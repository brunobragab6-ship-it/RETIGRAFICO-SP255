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b5221b9b54ff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ANÇAMENTOS DIÁRIOS" sheetId="1" r:id="R58b994171b2a4f95"/>
    <sheet name="ATIVIDADES" sheetId="2" r:id="R3ba9e60e9646464b"/>
    <sheet name="FRENTE C" sheetId="3" r:id="R4b53b964f1c1459a"/>
    <sheet name="FRENTE D" sheetId="4" r:id="R1e644a42618f403e"/>
    <sheet name="FRENTE E" sheetId="5" r:id="Rcd580e03ee524bab"/>
    <sheet name="FRENTE F" sheetId="6" r:id="R33bffa37a69e4b83"/>
    <sheet name="FRENTE G" sheetId="7" r:id="R94d0f91a2d1e4a9c"/>
    <sheet name="FRENTE H" sheetId="8" r:id="R7547fac9f9004fab"/>
  </sheet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@"/>
    <x:numFmt numFmtId="202" formatCode="#,##0.00"/>
  </x:numFmts>
  <x:fonts count="9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155"/>
      <x:name val="Carlito"/>
    </x:font>
    <x:font>
      <x:b/>
      <x:sz val="9"/>
      <x:color rgb="FFFFFFFF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sz val="9"/>
      <x:color rgb="FF111827"/>
      <x:name val="Carlito"/>
    </x:font>
    <x:font>
      <x:b/>
      <x:sz val="10"/>
      <x:color rgb="FF111827"/>
      <x:name val="Carlito"/>
    </x:font>
    <x:font>
      <x:b/>
      <x:sz val="9"/>
      <x:color rgb="FF1E3A5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53E75"/>
      </x:patternFill>
    </x:fill>
    <x:fill>
      <x:patternFill patternType="solid">
        <x:fgColor rgb="FFEAF2F8"/>
      </x:patternFill>
    </x:fill>
    <x:fill>
      <x:patternFill patternType="solid">
        <x:fgColor rgb="FF1E4E8C"/>
      </x:patternFill>
    </x:fill>
    <x:fill>
      <x:patternFill patternType="solid">
        <x:fgColor rgb="FF475569"/>
      </x:patternFill>
    </x:fill>
    <x:fill>
      <x:patternFill patternType="solid">
        <x:fgColor rgb="FF0B253A"/>
      </x:patternFill>
    </x:fill>
    <x:fill>
      <x:patternFill patternType="solid">
        <x:fgColor rgb="FFF3F4F6"/>
      </x:patternFill>
    </x:fill>
    <x:fill>
      <x:patternFill patternType="solid">
        <x:fgColor rgb="FFB7C9D6"/>
      </x:patternFill>
    </x:fill>
    <x:fill>
      <x:patternFill patternType="solid">
        <x:fgColor rgb="FFDCE6EE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8" fillId="9" borderId="1" xfId="0" applyNumberFormat="1" applyFont="1" applyFill="1" applyBorder="1" applyAlignment="1">
      <x:alignment vertical="center" wrapText="1"/>
    </x:xf>
    <x:xf numFmtId="0" fontId="8" fillId="9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9a5f7bc42e47d5" /><Relationship Type="http://schemas.openxmlformats.org/officeDocument/2006/relationships/theme" Target="/xl/theme/theme1.xml" Id="R1f8f0caeb93648de" /><Relationship Type="http://schemas.openxmlformats.org/officeDocument/2006/relationships/sharedStrings" Target="/xl/sharedStrings.xml" Id="R09fba8b68b964fca" /><Relationship Type="http://schemas.openxmlformats.org/officeDocument/2006/relationships/worksheet" Target="/xl/worksheets/sheet1.xml" Id="R58b994171b2a4f95" /><Relationship Type="http://schemas.openxmlformats.org/officeDocument/2006/relationships/worksheet" Target="/xl/worksheets/sheet2.xml" Id="R3ba9e60e9646464b" /><Relationship Type="http://schemas.openxmlformats.org/officeDocument/2006/relationships/worksheet" Target="/xl/worksheets/sheet3.xml" Id="R4b53b964f1c1459a" /><Relationship Type="http://schemas.openxmlformats.org/officeDocument/2006/relationships/worksheet" Target="/xl/worksheets/sheet4.xml" Id="R1e644a42618f403e" /><Relationship Type="http://schemas.openxmlformats.org/officeDocument/2006/relationships/worksheet" Target="/xl/worksheets/sheet5.xml" Id="Rcd580e03ee524bab" /><Relationship Type="http://schemas.openxmlformats.org/officeDocument/2006/relationships/worksheet" Target="/xl/worksheets/sheet6.xml" Id="R33bffa37a69e4b83" /><Relationship Type="http://schemas.openxmlformats.org/officeDocument/2006/relationships/worksheet" Target="/xl/worksheets/sheet7.xml" Id="R94d0f91a2d1e4a9c" /><Relationship Type="http://schemas.openxmlformats.org/officeDocument/2006/relationships/worksheet" Target="/xl/worksheets/sheet8.xml" Id="R7547fac9f9004f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48" hidden="0" customWidth="1"/>
    <x:col min="4" max="4" width="13" hidden="0" customWidth="1"/>
    <x:col min="5" max="5" width="13" hidden="0" customWidth="1"/>
    <x:col min="6" max="6" width="28" hidden="0" customWidth="1"/>
    <x:col min="7" max="7" width="8" hidden="0" customWidth="1"/>
    <x:col min="8" max="8" width="9" hidden="0" customWidth="1"/>
    <x:col min="9" max="9" width="12" hidden="0" customWidth="1"/>
    <x:col min="10" max="10" width="11" hidden="0" customWidth="1"/>
    <x:col min="11" max="11" width="34" hidden="0" customWidth="1"/>
    <x:col min="12" max="12" width="24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28" customHeight="1">
      <x:c r="A1" s="4" t="str">
        <x:v>CADERNO DIÁRIO DE APONTAMENTOS — LANÇAMENTO PRINCIPAL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4" customHeight="1">
      <x:c r="A2" s="9" t="str">
        <x:v>Preencha uma linha por atividade. KM INICIAL e KM FINAL separados facilitam o retigráfico. As colunas M:P são automáticas.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4" ht="32" customHeight="1">
      <x:c r="A4" s="16" t="str">
        <x:v>DATA</x:v>
      </x:c>
      <x:c r="B4" s="16" t="str">
        <x:v>MEDIÇÃO</x:v>
      </x:c>
      <x:c r="C4" s="16" t="str">
        <x:v>ATIVIDADE / ITEM</x:v>
      </x:c>
      <x:c r="D4" s="16" t="str">
        <x:v>KM INICIAL</x:v>
      </x:c>
      <x:c r="E4" s="16" t="str">
        <x:v>KM FINAL</x:v>
      </x:c>
      <x:c r="F4" s="16" t="str">
        <x:v>RAMO / ESTACA / LOCAL</x:v>
      </x:c>
      <x:c r="G4" s="16" t="str">
        <x:v>FR.</x:v>
      </x:c>
      <x:c r="H4" s="16" t="str">
        <x:v>SENT.</x:v>
      </x:c>
      <x:c r="I4" s="16" t="str">
        <x:v>QTD.</x:v>
      </x:c>
      <x:c r="J4" s="16" t="str">
        <x:v>UN.</x:v>
      </x:c>
      <x:c r="K4" s="16" t="str">
        <x:v>OBSERVAÇÕES</x:v>
      </x:c>
      <x:c r="L4" s="16" t="str">
        <x:v>SERIAL KARTADO</x:v>
      </x:c>
      <x:c r="M4" s="16" t="str">
        <x:v>KM INI NUM (AUTO)</x:v>
      </x:c>
      <x:c r="N4" s="16" t="str">
        <x:v>KM FIM NUM (AUTO)</x:v>
      </x:c>
      <x:c r="O4" s="16" t="str">
        <x:v>KM MENOR (AUTO)</x:v>
      </x:c>
      <x:c r="P4" s="16" t="str">
        <x:v>KM MAIOR (AUTO)</x:v>
      </x:c>
    </x:row>
    <x:row r="5" ht="21" customHeight="1">
      <x:c r="A5" s="26" t="n">
        <x:v>46280</x:v>
      </x:c>
      <x:c r="B5" s="23" t="str">
        <x:v>MED 06</x:v>
      </x:c>
      <x:c r="C5" s="23" t="str">
        <x:v>Escavação de material de 1ª e 2ª categoria (*)</x:v>
      </x:c>
      <x:c r="D5" s="28" t="str">
        <x:v>108+109</x:v>
      </x:c>
      <x:c r="E5" s="28" t="str">
        <x:v>108+193</x:v>
      </x:c>
      <x:c r="F5" s="23" t="str"/>
      <x:c r="G5" s="23" t="str">
        <x:v>E</x:v>
      </x:c>
      <x:c r="H5" s="23" t="str">
        <x:v>PS</x:v>
      </x:c>
      <x:c r="I5" s="30" t="n">
        <x:v>315</x:v>
      </x:c>
      <x:c r="J5" s="23" t="str">
        <x:v>m³</x:v>
      </x:c>
      <x:c r="K5" s="23" t="str">
        <x:v>SEM TRANSPORTE</x:v>
      </x:c>
      <x:c r="L5" s="23" t="str">
        <x:v>VPT-default-2026.03407</x:v>
      </x:c>
      <x:c r="M5" s="23" t="n">
        <x:f>IF(D5="","",VALUE(LEFT(D5,FIND("+",D5)-1))*1000+VALUE(MID(D5,FIND("+",D5)+1,3)))</x:f>
        <x:v>108109</x:v>
      </x:c>
      <x:c r="N5" s="23" t="n">
        <x:f>IF(E5="","",VALUE(LEFT(E5,FIND("+",E5)-1))*1000+VALUE(MID(E5,FIND("+",E5)+1,3)))</x:f>
        <x:v>108193</x:v>
      </x:c>
      <x:c r="O5" s="23" t="n">
        <x:f>IF(AND(M5="",N5=""),"",MIN(IF(M5="",N5,M5),IF(N5="",M5,N5)))</x:f>
        <x:v>108109</x:v>
      </x:c>
      <x:c r="P5" s="23" t="n">
        <x:f>IF(AND(M5="",N5=""),"",MAX(IF(M5="",N5,M5),IF(N5="",M5,N5)))</x:f>
        <x:v>108193</x:v>
      </x:c>
    </x:row>
    <x:row r="6" ht="21" customHeight="1">
      <x:c r="A6" s="26" t="n">
        <x:v>46280</x:v>
      </x:c>
      <x:c r="B6" s="23" t="str">
        <x:v>MED 06</x:v>
      </x:c>
      <x:c r="C6" s="23" t="str">
        <x:v>Remoção de cerca</x:v>
      </x:c>
      <x:c r="D6" s="28" t="str">
        <x:v>100+680</x:v>
      </x:c>
      <x:c r="E6" s="28" t="str">
        <x:v>100+560</x:v>
      </x:c>
      <x:c r="F6" s="23" t="str"/>
      <x:c r="G6" s="23" t="str">
        <x:v>D</x:v>
      </x:c>
      <x:c r="H6" s="23" t="str">
        <x:v>PN</x:v>
      </x:c>
      <x:c r="I6" s="30" t="n">
        <x:v>120</x:v>
      </x:c>
      <x:c r="J6" s="23" t="str">
        <x:v>m</x:v>
      </x:c>
      <x:c r="K6" s="23" t="str"/>
      <x:c r="L6" s="23" t="str">
        <x:v>VPT-EST-2026.00991</x:v>
      </x:c>
      <x:c r="M6" s="23" t="n">
        <x:f>IF(D6="","",VALUE(LEFT(D6,FIND("+",D6)-1))*1000+VALUE(MID(D6,FIND("+",D6)+1,3)))</x:f>
        <x:v>100680</x:v>
      </x:c>
      <x:c r="N6" s="23" t="n">
        <x:f>IF(E6="","",VALUE(LEFT(E6,FIND("+",E6)-1))*1000+VALUE(MID(E6,FIND("+",E6)+1,3)))</x:f>
        <x:v>100560</x:v>
      </x:c>
      <x:c r="O6" s="23" t="n">
        <x:f>IF(AND(M6="",N6=""),"",MIN(IF(M6="",N6,M6),IF(N6="",M6,N6)))</x:f>
        <x:v>100560</x:v>
      </x:c>
      <x:c r="P6" s="23" t="n">
        <x:f>IF(AND(M6="",N6=""),"",MAX(IF(M6="",N6,M6),IF(N6="",M6,N6)))</x:f>
        <x:v>100680</x:v>
      </x:c>
    </x:row>
    <x:row r="7" ht="21" customHeight="1">
      <x:c r="A7" s="26" t="n">
        <x:v>46281</x:v>
      </x:c>
      <x:c r="B7" s="23" t="str">
        <x:v>MED 06</x:v>
      </x:c>
      <x:c r="C7" s="23" t="str">
        <x:v>Escavação de material de 1ª e 2ª categoria (*)</x:v>
      </x:c>
      <x:c r="D7" s="28" t="str">
        <x:v>097+530</x:v>
      </x:c>
      <x:c r="E7" s="28" t="str">
        <x:v>097+370</x:v>
      </x:c>
      <x:c r="F7" s="23" t="str"/>
      <x:c r="G7" s="23" t="str">
        <x:v>C</x:v>
      </x:c>
      <x:c r="H7" s="23" t="str">
        <x:v>PN</x:v>
      </x:c>
      <x:c r="I7" s="30" t="n">
        <x:v>1680</x:v>
      </x:c>
      <x:c r="J7" s="23" t="str">
        <x:v>m³</x:v>
      </x:c>
      <x:c r="K7" s="23" t="str"/>
      <x:c r="L7" s="23" t="str">
        <x:v>VPT-default-2026.03361</x:v>
      </x:c>
      <x:c r="M7" s="23" t="n">
        <x:f>IF(D7="","",VALUE(LEFT(D7,FIND("+",D7)-1))*1000+VALUE(MID(D7,FIND("+",D7)+1,3)))</x:f>
        <x:v>97530</x:v>
      </x:c>
      <x:c r="N7" s="23" t="n">
        <x:f>IF(E7="","",VALUE(LEFT(E7,FIND("+",E7)-1))*1000+VALUE(MID(E7,FIND("+",E7)+1,3)))</x:f>
        <x:v>97370</x:v>
      </x:c>
      <x:c r="O7" s="23" t="n">
        <x:f>IF(AND(M7="",N7=""),"",MIN(IF(M7="",N7,M7),IF(N7="",M7,N7)))</x:f>
        <x:v>97370</x:v>
      </x:c>
      <x:c r="P7" s="23" t="n">
        <x:f>IF(AND(M7="",N7=""),"",MAX(IF(M7="",N7,M7),IF(N7="",M7,N7)))</x:f>
        <x:v>97530</x:v>
      </x:c>
    </x:row>
    <x:row r="8" ht="21" customHeight="1">
      <x:c r="A8" s="26" t="n">
        <x:v>46281</x:v>
      </x:c>
      <x:c r="B8" s="23" t="str">
        <x:v>MED 06</x:v>
      </x:c>
      <x:c r="C8" s="23" t="str">
        <x:v>Fundação / reaterro com pedra rachão</x:v>
      </x:c>
      <x:c r="D8" s="28" t="str">
        <x:v>097+530</x:v>
      </x:c>
      <x:c r="E8" s="28" t="str">
        <x:v>097+370</x:v>
      </x:c>
      <x:c r="F8" s="23" t="str"/>
      <x:c r="G8" s="23" t="str">
        <x:v>C</x:v>
      </x:c>
      <x:c r="H8" s="23" t="str">
        <x:v>PN</x:v>
      </x:c>
      <x:c r="I8" s="30" t="n">
        <x:v>672</x:v>
      </x:c>
      <x:c r="J8" s="23" t="str">
        <x:v>m³</x:v>
      </x:c>
      <x:c r="K8" s="23" t="str"/>
      <x:c r="L8" s="23" t="str">
        <x:v>VPT-default-2026.03405</x:v>
      </x:c>
      <x:c r="M8" s="23" t="n">
        <x:f>IF(D8="","",VALUE(LEFT(D8,FIND("+",D8)-1))*1000+VALUE(MID(D8,FIND("+",D8)+1,3)))</x:f>
        <x:v>97530</x:v>
      </x:c>
      <x:c r="N8" s="23" t="n">
        <x:f>IF(E8="","",VALUE(LEFT(E8,FIND("+",E8)-1))*1000+VALUE(MID(E8,FIND("+",E8)+1,3)))</x:f>
        <x:v>97370</x:v>
      </x:c>
      <x:c r="O8" s="23" t="n">
        <x:f>IF(AND(M8="",N8=""),"",MIN(IF(M8="",N8,M8),IF(N8="",M8,N8)))</x:f>
        <x:v>97370</x:v>
      </x:c>
      <x:c r="P8" s="23" t="n">
        <x:f>IF(AND(M8="",N8=""),"",MAX(IF(M8="",N8,M8),IF(N8="",M8,N8)))</x:f>
        <x:v>97530</x:v>
      </x:c>
    </x:row>
    <x:row r="9" ht="21" customHeight="1">
      <x:c r="A9" s="26" t="n">
        <x:v>46281</x:v>
      </x:c>
      <x:c r="B9" s="23" t="str">
        <x:v>MED 06</x:v>
      </x:c>
      <x:c r="C9" s="23" t="str">
        <x:v>Transporte de material de 1ª e 2ª categoria - DMT até 1 km</x:v>
      </x:c>
      <x:c r="D9" s="28" t="str">
        <x:v>097+530</x:v>
      </x:c>
      <x:c r="E9" s="28" t="str">
        <x:v>097+260</x:v>
      </x:c>
      <x:c r="F9" s="23" t="str">
        <x:v>BOTA ESPERA</x:v>
      </x:c>
      <x:c r="G9" s="23" t="str">
        <x:v>C</x:v>
      </x:c>
      <x:c r="H9" s="23" t="str">
        <x:v>PN</x:v>
      </x:c>
      <x:c r="I9" s="30" t="n">
        <x:v>268.38</x:v>
      </x:c>
      <x:c r="J9" s="23" t="str">
        <x:v>m³·km</x:v>
      </x:c>
      <x:c r="K9" s="23" t="str">
        <x:v>ADICIONAR A CARGA BOTA ESPERA ( NÃO TEM NO TRONCO ) </x:v>
      </x:c>
      <x:c r="L9" s="23" t="str"/>
      <x:c r="M9" s="23" t="n">
        <x:f>IF(D9="","",VALUE(LEFT(D9,FIND("+",D9)-1))*1000+VALUE(MID(D9,FIND("+",D9)+1,3)))</x:f>
        <x:v>97530</x:v>
      </x:c>
      <x:c r="N9" s="23" t="n">
        <x:f>IF(E9="","",VALUE(LEFT(E9,FIND("+",E9)-1))*1000+VALUE(MID(E9,FIND("+",E9)+1,3)))</x:f>
        <x:v>97260</x:v>
      </x:c>
      <x:c r="O9" s="23" t="n">
        <x:f>IF(AND(M9="",N9=""),"",MIN(IF(M9="",N9,M9),IF(N9="",M9,N9)))</x:f>
        <x:v>97260</x:v>
      </x:c>
      <x:c r="P9" s="23" t="n">
        <x:f>IF(AND(M9="",N9=""),"",MAX(IF(M9="",N9,M9),IF(N9="",M9,N9)))</x:f>
        <x:v>97530</x:v>
      </x:c>
    </x:row>
    <x:row r="10" ht="21" customHeight="1">
      <x:c r="A10" s="26" t="n">
        <x:v>46281</x:v>
      </x:c>
      <x:c r="B10" s="23" t="str">
        <x:v>MED 06</x:v>
      </x:c>
      <x:c r="C10" s="23" t="str">
        <x:v>Remoção de cerca</x:v>
      </x:c>
      <x:c r="D10" s="28" t="str">
        <x:v>100+680</x:v>
      </x:c>
      <x:c r="E10" s="28" t="str">
        <x:v>100+920</x:v>
      </x:c>
      <x:c r="F10" s="23" t="str"/>
      <x:c r="G10" s="23" t="str">
        <x:v>D</x:v>
      </x:c>
      <x:c r="H10" s="23" t="str">
        <x:v>PS</x:v>
      </x:c>
      <x:c r="I10" s="30" t="n">
        <x:v>240</x:v>
      </x:c>
      <x:c r="J10" s="23" t="str">
        <x:v>m</x:v>
      </x:c>
      <x:c r="K10" s="23" t="str"/>
      <x:c r="L10" s="23" t="str">
        <x:v>VPT-EST-2026.00989</x:v>
      </x:c>
      <x:c r="M10" s="23" t="n">
        <x:f>IF(D10="","",VALUE(LEFT(D10,FIND("+",D10)-1))*1000+VALUE(MID(D10,FIND("+",D10)+1,3)))</x:f>
        <x:v>100680</x:v>
      </x:c>
      <x:c r="N10" s="23" t="n">
        <x:f>IF(E10="","",VALUE(LEFT(E10,FIND("+",E10)-1))*1000+VALUE(MID(E10,FIND("+",E10)+1,3)))</x:f>
        <x:v>100920</x:v>
      </x:c>
      <x:c r="O10" s="23" t="n">
        <x:f>IF(AND(M10="",N10=""),"",MIN(IF(M10="",N10,M10),IF(N10="",M10,N10)))</x:f>
        <x:v>100680</x:v>
      </x:c>
      <x:c r="P10" s="23" t="n">
        <x:f>IF(AND(M10="",N10=""),"",MAX(IF(M10="",N10,M10),IF(N10="",M10,N10)))</x:f>
        <x:v>100920</x:v>
      </x:c>
    </x:row>
    <x:row r="11" ht="21" customHeight="1">
      <x:c r="A11" s="26" t="n">
        <x:v>46281</x:v>
      </x:c>
      <x:c r="B11" s="23" t="str">
        <x:v>MED 06</x:v>
      </x:c>
      <x:c r="C11" s="23" t="str">
        <x:v>Escavação de material de 1ª e 2ª categoria (*)</x:v>
      </x:c>
      <x:c r="D11" s="28" t="str">
        <x:v>108+193</x:v>
      </x:c>
      <x:c r="E11" s="28" t="str">
        <x:v>108+617</x:v>
      </x:c>
      <x:c r="F11" s="23" t="str"/>
      <x:c r="G11" s="23" t="str">
        <x:v>E</x:v>
      </x:c>
      <x:c r="H11" s="23" t="str">
        <x:v>PS</x:v>
      </x:c>
      <x:c r="I11" s="30" t="n">
        <x:v>1590</x:v>
      </x:c>
      <x:c r="J11" s="23" t="str">
        <x:v>m³</x:v>
      </x:c>
      <x:c r="K11" s="23" t="str"/>
      <x:c r="L11" s="23" t="str">
        <x:v>VPT-default-2026.03408</x:v>
      </x:c>
      <x:c r="M11" s="23" t="n">
        <x:f>IF(D11="","",VALUE(LEFT(D11,FIND("+",D11)-1))*1000+VALUE(MID(D11,FIND("+",D11)+1,3)))</x:f>
        <x:v>108193</x:v>
      </x:c>
      <x:c r="N11" s="23" t="n">
        <x:f>IF(E11="","",VALUE(LEFT(E11,FIND("+",E11)-1))*1000+VALUE(MID(E11,FIND("+",E11)+1,3)))</x:f>
        <x:v>108617</x:v>
      </x:c>
      <x:c r="O11" s="23" t="n">
        <x:f>IF(AND(M11="",N11=""),"",MIN(IF(M11="",N11,M11),IF(N11="",M11,N11)))</x:f>
        <x:v>108193</x:v>
      </x:c>
      <x:c r="P11" s="23" t="n">
        <x:f>IF(AND(M11="",N11=""),"",MAX(IF(M11="",N11,M11),IF(N11="",M11,N11)))</x:f>
        <x:v>108617</x:v>
      </x:c>
    </x:row>
    <x:row r="12" ht="21" customHeight="1">
      <x:c r="A12" s="26" t="n">
        <x:v>46281</x:v>
      </x:c>
      <x:c r="B12" s="23" t="str">
        <x:v>MED 06</x:v>
      </x:c>
      <x:c r="C12" s="23" t="str">
        <x:v>Limpeza do terreno com destocamento de árvore d=&lt;0,15m</x:v>
      </x:c>
      <x:c r="D12" s="28" t="str">
        <x:v>108+460</x:v>
      </x:c>
      <x:c r="E12" s="28" t="str">
        <x:v>108+460</x:v>
      </x:c>
      <x:c r="F12" s="23" t="str"/>
      <x:c r="G12" s="23" t="str">
        <x:v>E</x:v>
      </x:c>
      <x:c r="H12" s="23" t="str">
        <x:v>PS</x:v>
      </x:c>
      <x:c r="I12" s="30"/>
      <x:c r="J12" s="23" t="str"/>
      <x:c r="K12" s="23" t="str">
        <x:v>MEDIDO NA MED 05 </x:v>
      </x:c>
      <x:c r="L12" s="23" t="str">
        <x:v>VERIFICAR </x:v>
      </x:c>
      <x:c r="M12" s="23" t="n">
        <x:f>IF(D12="","",VALUE(LEFT(D12,FIND("+",D12)-1))*1000+VALUE(MID(D12,FIND("+",D12)+1,3)))</x:f>
        <x:v>108460</x:v>
      </x:c>
      <x:c r="N12" s="23" t="n">
        <x:f>IF(E12="","",VALUE(LEFT(E12,FIND("+",E12)-1))*1000+VALUE(MID(E12,FIND("+",E12)+1,3)))</x:f>
        <x:v>108460</x:v>
      </x:c>
      <x:c r="O12" s="23" t="n">
        <x:f>IF(AND(M12="",N12=""),"",MIN(IF(M12="",N12,M12),IF(N12="",M12,N12)))</x:f>
        <x:v>108460</x:v>
      </x:c>
      <x:c r="P12" s="23" t="n">
        <x:f>IF(AND(M12="",N12=""),"",MAX(IF(M12="",N12,M12),IF(N12="",M12,N12)))</x:f>
        <x:v>108460</x:v>
      </x:c>
    </x:row>
    <x:row r="13" ht="21" customHeight="1">
      <x:c r="A13" s="26" t="n">
        <x:v>46281</x:v>
      </x:c>
      <x:c r="B13" s="23" t="str">
        <x:v>MED 06</x:v>
      </x:c>
      <x:c r="C13" s="23" t="str">
        <x:v>Transporte de material de 1ª e 2ª categoria - DMT até 5 km</x:v>
      </x:c>
      <x:c r="D13" s="28" t="str">
        <x:v>108+460</x:v>
      </x:c>
      <x:c r="E13" s="28" t="str">
        <x:v>112+656</x:v>
      </x:c>
      <x:c r="F13" s="23" t="str">
        <x:v>BOTA-FORA</x:v>
      </x:c>
      <x:c r="G13" s="23" t="str">
        <x:v>E/F</x:v>
      </x:c>
      <x:c r="H13" s="23" t="str">
        <x:v>PNS</x:v>
      </x:c>
      <x:c r="I13" s="30" t="n">
        <x:v>2937.2</x:v>
      </x:c>
      <x:c r="J13" s="23" t="str">
        <x:v>m³·km</x:v>
      </x:c>
      <x:c r="K13" s="23" t="str">
        <x:v>MEDIDO NA MED 05 </x:v>
      </x:c>
      <x:c r="L13" s="23" t="str">
        <x:v>VERIFICAR </x:v>
      </x:c>
      <x:c r="M13" s="23" t="n">
        <x:f>IF(D13="","",VALUE(LEFT(D13,FIND("+",D13)-1))*1000+VALUE(MID(D13,FIND("+",D13)+1,3)))</x:f>
        <x:v>108460</x:v>
      </x:c>
      <x:c r="N13" s="23" t="n">
        <x:f>IF(E13="","",VALUE(LEFT(E13,FIND("+",E13)-1))*1000+VALUE(MID(E13,FIND("+",E13)+1,3)))</x:f>
        <x:v>112656</x:v>
      </x:c>
      <x:c r="O13" s="23" t="n">
        <x:f>IF(AND(M13="",N13=""),"",MIN(IF(M13="",N13,M13),IF(N13="",M13,N13)))</x:f>
        <x:v>108460</x:v>
      </x:c>
      <x:c r="P13" s="23" t="n">
        <x:f>IF(AND(M13="",N13=""),"",MAX(IF(M13="",N13,M13),IF(N13="",M13,N13)))</x:f>
        <x:v>112656</x:v>
      </x:c>
    </x:row>
    <x:row r="14" ht="21" customHeight="1">
      <x:c r="A14" s="26" t="n">
        <x:v>46281</x:v>
      </x:c>
      <x:c r="B14" s="23" t="str">
        <x:v>MED 06</x:v>
      </x:c>
      <x:c r="C14" s="23" t="str">
        <x:v>Remoção de cerca</x:v>
      </x:c>
      <x:c r="D14" s="28" t="str">
        <x:v>113+135</x:v>
      </x:c>
      <x:c r="E14" s="28" t="str">
        <x:v>113+483</x:v>
      </x:c>
      <x:c r="F14" s="23" t="str"/>
      <x:c r="G14" s="23" t="str">
        <x:v>F</x:v>
      </x:c>
      <x:c r="H14" s="23" t="str">
        <x:v>PS</x:v>
      </x:c>
      <x:c r="I14" s="30" t="n">
        <x:v>348</x:v>
      </x:c>
      <x:c r="J14" s="23" t="str">
        <x:v>m</x:v>
      </x:c>
      <x:c r="K14" s="23" t="str"/>
      <x:c r="L14" s="23" t="str">
        <x:v>VPT-EST-2026.00989</x:v>
      </x:c>
      <x:c r="M14" s="23" t="n">
        <x:f>IF(D14="","",VALUE(LEFT(D14,FIND("+",D14)-1))*1000+VALUE(MID(D14,FIND("+",D14)+1,3)))</x:f>
        <x:v>113135</x:v>
      </x:c>
      <x:c r="N14" s="23" t="n">
        <x:f>IF(E14="","",VALUE(LEFT(E14,FIND("+",E14)-1))*1000+VALUE(MID(E14,FIND("+",E14)+1,3)))</x:f>
        <x:v>113483</x:v>
      </x:c>
      <x:c r="O14" s="23" t="n">
        <x:f>IF(AND(M14="",N14=""),"",MIN(IF(M14="",N14,M14),IF(N14="",M14,N14)))</x:f>
        <x:v>113135</x:v>
      </x:c>
      <x:c r="P14" s="23" t="n">
        <x:f>IF(AND(M14="",N14=""),"",MAX(IF(M14="",N14,M14),IF(N14="",M14,N14)))</x:f>
        <x:v>113483</x:v>
      </x:c>
    </x:row>
    <x:row r="15" ht="21" customHeight="1">
      <x:c r="A15" s="26" t="n">
        <x:v>46281</x:v>
      </x:c>
      <x:c r="B15" s="23" t="str">
        <x:v>MED 06</x:v>
      </x:c>
      <x:c r="C15" s="23" t="str">
        <x:v>REC. MATERIAL</x:v>
      </x:c>
      <x:c r="D15" s="28" t="str">
        <x:v>118+780</x:v>
      </x:c>
      <x:c r="E15" s="28" t="str">
        <x:v>118+780</x:v>
      </x:c>
      <x:c r="F15" s="23" t="str">
        <x:v>RECEBIMENTO DE MATERIAL</x:v>
      </x:c>
      <x:c r="G15" s="23" t="str">
        <x:v>G</x:v>
      </x:c>
      <x:c r="H15" s="23" t="str">
        <x:v>PN</x:v>
      </x:c>
      <x:c r="I15" s="30" t="n">
        <x:v>2</x:v>
      </x:c>
      <x:c r="J15" s="23" t="str">
        <x:v>un</x:v>
      </x:c>
      <x:c r="K15" s="23" t="str">
        <x:v>QUAL MATERIAL  ? </x:v>
      </x:c>
      <x:c r="L15" s="23" t="str">
        <x:v>VERIFICAR </x:v>
      </x:c>
      <x:c r="M15" s="23" t="n">
        <x:f>IF(D15="","",VALUE(LEFT(D15,FIND("+",D15)-1))*1000+VALUE(MID(D15,FIND("+",D15)+1,3)))</x:f>
        <x:v>118780</x:v>
      </x:c>
      <x:c r="N15" s="23" t="n">
        <x:f>IF(E15="","",VALUE(LEFT(E15,FIND("+",E15)-1))*1000+VALUE(MID(E15,FIND("+",E15)+1,3)))</x:f>
        <x:v>118780</x:v>
      </x:c>
      <x:c r="O15" s="23" t="n">
        <x:f>IF(AND(M15="",N15=""),"",MIN(IF(M15="",N15,M15),IF(N15="",M15,N15)))</x:f>
        <x:v>118780</x:v>
      </x:c>
      <x:c r="P15" s="23" t="n">
        <x:f>IF(AND(M15="",N15=""),"",MAX(IF(M15="",N15,M15),IF(N15="",M15,N15)))</x:f>
        <x:v>118780</x:v>
      </x:c>
    </x:row>
    <x:row r="16" ht="21" customHeight="1">
      <x:c r="A16" s="26" t="n">
        <x:v>46281</x:v>
      </x:c>
      <x:c r="B16" s="23" t="str">
        <x:v>MED 06</x:v>
      </x:c>
      <x:c r="C16" s="23" t="str">
        <x:v>TRANSP. DEMOLIÇÃO</x:v>
      </x:c>
      <x:c r="D16" s="28" t="str">
        <x:v>118+780</x:v>
      </x:c>
      <x:c r="E16" s="28" t="str">
        <x:v>118+780</x:v>
      </x:c>
      <x:c r="F16" s="23" t="str">
        <x:v>118+780 → PEDREIRA ARARAQUARA</x:v>
      </x:c>
      <x:c r="G16" s="23" t="str">
        <x:v>G</x:v>
      </x:c>
      <x:c r="H16" s="23" t="str">
        <x:v>PN</x:v>
      </x:c>
      <x:c r="I16" s="30"/>
      <x:c r="J16" s="23" t="str"/>
      <x:c r="K16" s="23" t="str">
        <x:v>VOLUME DA DEMOLIÇÃO DE BARREIRA ( 36,9 KM ) </x:v>
      </x:c>
      <x:c r="L16" s="23" t="str">
        <x:v>VERIFICAR </x:v>
      </x:c>
      <x:c r="M16" s="23" t="n">
        <x:f>IF(D16="","",VALUE(LEFT(D16,FIND("+",D16)-1))*1000+VALUE(MID(D16,FIND("+",D16)+1,3)))</x:f>
        <x:v>118780</x:v>
      </x:c>
      <x:c r="N16" s="23" t="n">
        <x:f>IF(E16="","",VALUE(LEFT(E16,FIND("+",E16)-1))*1000+VALUE(MID(E16,FIND("+",E16)+1,3)))</x:f>
        <x:v>118780</x:v>
      </x:c>
      <x:c r="O16" s="23" t="n">
        <x:f>IF(AND(M16="",N16=""),"",MIN(IF(M16="",N16,M16),IF(N16="",M16,N16)))</x:f>
        <x:v>118780</x:v>
      </x:c>
      <x:c r="P16" s="23" t="n">
        <x:f>IF(AND(M16="",N16=""),"",MAX(IF(M16="",N16,M16),IF(N16="",M16,N16)))</x:f>
        <x:v>118780</x:v>
      </x:c>
    </x:row>
    <x:row r="17" ht="21" customHeight="1">
      <x:c r="A17" s="26" t="n">
        <x:v>46281</x:v>
      </x:c>
      <x:c r="B17" s="23" t="str">
        <x:v>MED 06</x:v>
      </x:c>
      <x:c r="C17" s="23" t="str">
        <x:v>Escavação de material de 1ª e 2ª categoria - Sem transporte</x:v>
      </x:c>
      <x:c r="D17" s="28" t="str"/>
      <x:c r="E17" s="28" t="str"/>
      <x:c r="F17" s="23" t="str">
        <x:v>RAMO 300 EST. 302 → 304</x:v>
      </x:c>
      <x:c r="G17" s="23" t="str">
        <x:v>G</x:v>
      </x:c>
      <x:c r="H17" s="23" t="str">
        <x:v>PS</x:v>
      </x:c>
      <x:c r="I17" s="30" t="n">
        <x:v>540</x:v>
      </x:c>
      <x:c r="J17" s="23" t="str">
        <x:v>m³</x:v>
      </x:c>
      <x:c r="K17" s="23" t="str"/>
      <x:c r="L17" s="23" t="str"/>
      <x:c r="M17" s="23" t="str">
        <x:f>IF(D17="","",VALUE(LEFT(D17,FIND("+",D17)-1))*1000+VALUE(MID(D17,FIND("+",D17)+1,3)))</x:f>
      </x:c>
      <x:c r="N17" s="23" t="str">
        <x:f>IF(E17="","",VALUE(LEFT(E17,FIND("+",E17)-1))*1000+VALUE(MID(E17,FIND("+",E17)+1,3)))</x:f>
      </x:c>
      <x:c r="O17" s="23" t="str">
        <x:f>IF(AND(M17="",N17=""),"",MIN(IF(M17="",N17,M17),IF(N17="",M17,N17)))</x:f>
      </x:c>
      <x:c r="P17" s="23" t="str">
        <x:f>IF(AND(M17="",N17=""),"",MAX(IF(M17="",N17,M17),IF(N17="",M17,N17)))</x:f>
      </x:c>
    </x:row>
    <x:row r="18" ht="21" customHeight="1">
      <x:c r="A18" s="26" t="n">
        <x:v>46281</x:v>
      </x:c>
      <x:c r="B18" s="23" t="str">
        <x:v>MED 06</x:v>
      </x:c>
      <x:c r="C18" s="23" t="str">
        <x:v>Transporte de material de 1ª e 2ª categoria - DMT até 1 km</x:v>
      </x:c>
      <x:c r="D18" s="28" t="str">
        <x:v>117+690</x:v>
      </x:c>
      <x:c r="E18" s="28" t="str">
        <x:v>118+040</x:v>
      </x:c>
      <x:c r="F18" s="23" t="str">
        <x:v>BASE | RAMO 300 S → 117+690 / 118+040 N</x:v>
      </x:c>
      <x:c r="G18" s="23" t="str">
        <x:v>G</x:v>
      </x:c>
      <x:c r="H18" s="23" t="str">
        <x:v>PS</x:v>
      </x:c>
      <x:c r="I18" s="30" t="n">
        <x:v>420</x:v>
      </x:c>
      <x:c r="J18" s="23" t="str">
        <x:v>m³·km</x:v>
      </x:c>
      <x:c r="K18" s="23" t="str"/>
      <x:c r="L18" s="23" t="str"/>
      <x:c r="M18" s="23" t="n">
        <x:f>IF(D18="","",VALUE(LEFT(D18,FIND("+",D18)-1))*1000+VALUE(MID(D18,FIND("+",D18)+1,3)))</x:f>
        <x:v>117690</x:v>
      </x:c>
      <x:c r="N18" s="23" t="n">
        <x:f>IF(E18="","",VALUE(LEFT(E18,FIND("+",E18)-1))*1000+VALUE(MID(E18,FIND("+",E18)+1,3)))</x:f>
        <x:v>118040</x:v>
      </x:c>
      <x:c r="O18" s="23" t="n">
        <x:f>IF(AND(M18="",N18=""),"",MIN(IF(M18="",N18,M18),IF(N18="",M18,N18)))</x:f>
        <x:v>117690</x:v>
      </x:c>
      <x:c r="P18" s="23" t="n">
        <x:f>IF(AND(M18="",N18=""),"",MAX(IF(M18="",N18,M18),IF(N18="",M18,N18)))</x:f>
        <x:v>118040</x:v>
      </x:c>
    </x:row>
    <x:row r="19" ht="21" customHeight="1">
      <x:c r="A19" s="26" t="n">
        <x:v>46282</x:v>
      </x:c>
      <x:c r="B19" s="23" t="str">
        <x:v>MED 06</x:v>
      </x:c>
      <x:c r="C19" s="23" t="str">
        <x:v>Carga de material em Bota Espera - material de 1ª e 2ª categoria (*)</x:v>
      </x:c>
      <x:c r="D19" s="28" t="str">
        <x:v>100+500</x:v>
      </x:c>
      <x:c r="E19" s="28" t="str">
        <x:v>097+450</x:v>
      </x:c>
      <x:c r="F19" s="23" t="str">
        <x:v>BOTA ESPERA</x:v>
      </x:c>
      <x:c r="G19" s="23" t="str">
        <x:v>C</x:v>
      </x:c>
      <x:c r="H19" s="23" t="str">
        <x:v>SN</x:v>
      </x:c>
      <x:c r="I19" s="30" t="n">
        <x:v>210</x:v>
      </x:c>
      <x:c r="J19" s="23" t="str">
        <x:v>m³</x:v>
      </x:c>
      <x:c r="K19" s="23" t="str">
        <x:v>CARGA DA BICA </x:v>
      </x:c>
      <x:c r="L19" s="23" t="str">
        <x:v>VPT-default-2026.03361</x:v>
      </x:c>
      <x:c r="M19" s="23" t="n">
        <x:f>IF(D19="","",VALUE(LEFT(D19,FIND("+",D19)-1))*1000+VALUE(MID(D19,FIND("+",D19)+1,3)))</x:f>
        <x:v>100500</x:v>
      </x:c>
      <x:c r="N19" s="23" t="n">
        <x:f>IF(E19="","",VALUE(LEFT(E19,FIND("+",E19)-1))*1000+VALUE(MID(E19,FIND("+",E19)+1,3)))</x:f>
        <x:v>97450</x:v>
      </x:c>
      <x:c r="O19" s="23" t="n">
        <x:f>IF(AND(M19="",N19=""),"",MIN(IF(M19="",N19,M19),IF(N19="",M19,N19)))</x:f>
        <x:v>97450</x:v>
      </x:c>
      <x:c r="P19" s="23" t="n">
        <x:f>IF(AND(M19="",N19=""),"",MAX(IF(M19="",N19,M19),IF(N19="",M19,N19)))</x:f>
        <x:v>100500</x:v>
      </x:c>
    </x:row>
    <x:row r="20" ht="21" customHeight="1">
      <x:c r="A20" s="26" t="n">
        <x:v>46282</x:v>
      </x:c>
      <x:c r="B20" s="23" t="str">
        <x:v>MED 06</x:v>
      </x:c>
      <x:c r="C20" s="23" t="str">
        <x:v>Transporte de material de 1ª e 2ª categoria - DMT até 5 km</x:v>
      </x:c>
      <x:c r="D20" s="28" t="str">
        <x:v>100+500</x:v>
      </x:c>
      <x:c r="E20" s="28" t="str">
        <x:v>097+450</x:v>
      </x:c>
      <x:c r="F20" s="23" t="str">
        <x:v>BICA / BOTA ESPERA</x:v>
      </x:c>
      <x:c r="G20" s="23" t="str">
        <x:v>C</x:v>
      </x:c>
      <x:c r="H20" s="23" t="str">
        <x:v>SN</x:v>
      </x:c>
      <x:c r="I20" s="30" t="n">
        <x:v>727.02</x:v>
      </x:c>
      <x:c r="J20" s="23" t="str">
        <x:v>m³·km</x:v>
      </x:c>
      <x:c r="K20" s="23" t="str">
        <x:v>3,452 KM</x:v>
      </x:c>
      <x:c r="L20" s="23" t="str"/>
      <x:c r="M20" s="23" t="n">
        <x:f>IF(D20="","",VALUE(LEFT(D20,FIND("+",D20)-1))*1000+VALUE(MID(D20,FIND("+",D20)+1,3)))</x:f>
        <x:v>100500</x:v>
      </x:c>
      <x:c r="N20" s="23" t="n">
        <x:f>IF(E20="","",VALUE(LEFT(E20,FIND("+",E20)-1))*1000+VALUE(MID(E20,FIND("+",E20)+1,3)))</x:f>
        <x:v>97450</x:v>
      </x:c>
      <x:c r="O20" s="23" t="n">
        <x:f>IF(AND(M20="",N20=""),"",MIN(IF(M20="",N20,M20),IF(N20="",M20,N20)))</x:f>
        <x:v>97450</x:v>
      </x:c>
      <x:c r="P20" s="23" t="n">
        <x:f>IF(AND(M20="",N20=""),"",MAX(IF(M20="",N20,M20),IF(N20="",M20,N20)))</x:f>
        <x:v>100500</x:v>
      </x:c>
    </x:row>
    <x:row r="21" ht="21" customHeight="1">
      <x:c r="A21" s="26" t="n">
        <x:v>46282</x:v>
      </x:c>
      <x:c r="B21" s="23" t="str">
        <x:v>MED 06</x:v>
      </x:c>
      <x:c r="C21" s="23" t="str">
        <x:v>Fundação / reaterro com bica corrida</x:v>
      </x:c>
      <x:c r="D21" s="28" t="str">
        <x:v>097+530</x:v>
      </x:c>
      <x:c r="E21" s="28" t="str">
        <x:v>097+370</x:v>
      </x:c>
      <x:c r="F21" s="23" t="str"/>
      <x:c r="G21" s="23" t="str">
        <x:v>C</x:v>
      </x:c>
      <x:c r="H21" s="23" t="str">
        <x:v>PN</x:v>
      </x:c>
      <x:c r="I21" s="30" t="n">
        <x:v>168</x:v>
      </x:c>
      <x:c r="J21" s="23" t="str">
        <x:v>m³</x:v>
      </x:c>
      <x:c r="K21" s="23" t="str"/>
      <x:c r="L21" s="23" t="str"/>
      <x:c r="M21" s="23" t="n">
        <x:f>IF(D21="","",VALUE(LEFT(D21,FIND("+",D21)-1))*1000+VALUE(MID(D21,FIND("+",D21)+1,3)))</x:f>
        <x:v>97530</x:v>
      </x:c>
      <x:c r="N21" s="23" t="n">
        <x:f>IF(E21="","",VALUE(LEFT(E21,FIND("+",E21)-1))*1000+VALUE(MID(E21,FIND("+",E21)+1,3)))</x:f>
        <x:v>97370</x:v>
      </x:c>
      <x:c r="O21" s="23" t="n">
        <x:f>IF(AND(M21="",N21=""),"",MIN(IF(M21="",N21,M21),IF(N21="",M21,N21)))</x:f>
        <x:v>97370</x:v>
      </x:c>
      <x:c r="P21" s="23" t="n">
        <x:f>IF(AND(M21="",N21=""),"",MAX(IF(M21="",N21,M21),IF(N21="",M21,N21)))</x:f>
        <x:v>97530</x:v>
      </x:c>
    </x:row>
    <x:row r="22" ht="21" customHeight="1">
      <x:c r="A22" s="26" t="n">
        <x:v>46282</x:v>
      </x:c>
      <x:c r="B22" s="23" t="str">
        <x:v>MED 06</x:v>
      </x:c>
      <x:c r="C22" s="23" t="str">
        <x:v>Escavação de solo com baixa capacidade de suporte</x:v>
      </x:c>
      <x:c r="D22" s="28" t="str">
        <x:v>097+340</x:v>
      </x:c>
      <x:c r="E22" s="28" t="str">
        <x:v>097+330</x:v>
      </x:c>
      <x:c r="F22" s="23" t="str"/>
      <x:c r="G22" s="23" t="str">
        <x:v>C</x:v>
      </x:c>
      <x:c r="H22" s="23" t="str">
        <x:v>PN</x:v>
      </x:c>
      <x:c r="I22" s="30" t="n">
        <x:v>455</x:v>
      </x:c>
      <x:c r="J22" s="23" t="str">
        <x:v>m³</x:v>
      </x:c>
      <x:c r="K22" s="23" t="str">
        <x:v>TROCA DE SOLO </x:v>
      </x:c>
      <x:c r="L22" s="23" t="str">
        <x:v>VPT-default-2026.03384</x:v>
      </x:c>
      <x:c r="M22" s="23" t="n">
        <x:f>IF(D22="","",VALUE(LEFT(D22,FIND("+",D22)-1))*1000+VALUE(MID(D22,FIND("+",D22)+1,3)))</x:f>
        <x:v>97340</x:v>
      </x:c>
      <x:c r="N22" s="23" t="n">
        <x:f>IF(E22="","",VALUE(LEFT(E22,FIND("+",E22)-1))*1000+VALUE(MID(E22,FIND("+",E22)+1,3)))</x:f>
        <x:v>97330</x:v>
      </x:c>
      <x:c r="O22" s="23" t="n">
        <x:f>IF(AND(M22="",N22=""),"",MIN(IF(M22="",N22,M22),IF(N22="",M22,N22)))</x:f>
        <x:v>97330</x:v>
      </x:c>
      <x:c r="P22" s="23" t="n">
        <x:f>IF(AND(M22="",N22=""),"",MAX(IF(M22="",N22,M22),IF(N22="",M22,N22)))</x:f>
        <x:v>97340</x:v>
      </x:c>
    </x:row>
    <x:row r="23" ht="21" customHeight="1">
      <x:c r="A23" s="26" t="n">
        <x:v>46282</x:v>
      </x:c>
      <x:c r="B23" s="23" t="str">
        <x:v>MED 06</x:v>
      </x:c>
      <x:c r="C23" s="23" t="str">
        <x:v>Transporte de material de 1ª e 2ª categoria - DMT até 5 km</x:v>
      </x:c>
      <x:c r="D23" s="28" t="str">
        <x:v>097+335</x:v>
      </x:c>
      <x:c r="E23" s="28" t="str">
        <x:v>100+500</x:v>
      </x:c>
      <x:c r="F23" s="23" t="str">
        <x:v>BOTA-FORA</x:v>
      </x:c>
      <x:c r="G23" s="23" t="str">
        <x:v>C</x:v>
      </x:c>
      <x:c r="H23" s="23" t="str">
        <x:v>PN</x:v>
      </x:c>
      <x:c r="I23" s="30" t="n">
        <x:v>2127.125</x:v>
      </x:c>
      <x:c r="J23" s="23" t="str">
        <x:v>m³·km</x:v>
      </x:c>
      <x:c r="K23" s="23" t="str">
        <x:v>DISTANCIA 3,740</x:v>
      </x:c>
      <x:c r="L23" s="23" t="str"/>
      <x:c r="M23" s="23" t="n">
        <x:f>IF(D23="","",VALUE(LEFT(D23,FIND("+",D23)-1))*1000+VALUE(MID(D23,FIND("+",D23)+1,3)))</x:f>
        <x:v>97335</x:v>
      </x:c>
      <x:c r="N23" s="23" t="n">
        <x:f>IF(E23="","",VALUE(LEFT(E23,FIND("+",E23)-1))*1000+VALUE(MID(E23,FIND("+",E23)+1,3)))</x:f>
        <x:v>100500</x:v>
      </x:c>
      <x:c r="O23" s="23" t="n">
        <x:f>IF(AND(M23="",N23=""),"",MIN(IF(M23="",N23,M23),IF(N23="",M23,N23)))</x:f>
        <x:v>97335</x:v>
      </x:c>
      <x:c r="P23" s="23" t="n">
        <x:f>IF(AND(M23="",N23=""),"",MAX(IF(M23="",N23,M23),IF(N23="",M23,N23)))</x:f>
        <x:v>100500</x:v>
      </x:c>
    </x:row>
    <x:row r="24" ht="21" customHeight="1">
      <x:c r="A24" s="26" t="n">
        <x:v>46282</x:v>
      </x:c>
      <x:c r="B24" s="23" t="str">
        <x:v>MED 06</x:v>
      </x:c>
      <x:c r="C24" s="23" t="str">
        <x:v>Escavação de material de 1ª e 2ª categoria (*)</x:v>
      </x:c>
      <x:c r="D24" s="28" t="str">
        <x:v>108+783</x:v>
      </x:c>
      <x:c r="E24" s="28" t="str">
        <x:v>109+040</x:v>
      </x:c>
      <x:c r="F24" s="23" t="str"/>
      <x:c r="G24" s="23" t="str">
        <x:v>E</x:v>
      </x:c>
      <x:c r="H24" s="23" t="str">
        <x:v>PS</x:v>
      </x:c>
      <x:c r="I24" s="30" t="n">
        <x:v>771</x:v>
      </x:c>
      <x:c r="J24" s="23" t="str">
        <x:v>m³</x:v>
      </x:c>
      <x:c r="K24" s="23" t="str"/>
      <x:c r="L24" s="23" t="str">
        <x:v>VPT-default-2026.03385</x:v>
      </x:c>
      <x:c r="M24" s="23" t="n">
        <x:f>IF(D24="","",VALUE(LEFT(D24,FIND("+",D24)-1))*1000+VALUE(MID(D24,FIND("+",D24)+1,3)))</x:f>
        <x:v>108783</x:v>
      </x:c>
      <x:c r="N24" s="23" t="n">
        <x:f>IF(E24="","",VALUE(LEFT(E24,FIND("+",E24)-1))*1000+VALUE(MID(E24,FIND("+",E24)+1,3)))</x:f>
        <x:v>109040</x:v>
      </x:c>
      <x:c r="O24" s="23" t="n">
        <x:f>IF(AND(M24="",N24=""),"",MIN(IF(M24="",N24,M24),IF(N24="",M24,N24)))</x:f>
        <x:v>108783</x:v>
      </x:c>
      <x:c r="P24" s="23" t="n">
        <x:f>IF(AND(M24="",N24=""),"",MAX(IF(M24="",N24,M24),IF(N24="",M24,N24)))</x:f>
        <x:v>109040</x:v>
      </x:c>
    </x:row>
    <x:row r="25" ht="21" customHeight="1">
      <x:c r="A25" s="26" t="n">
        <x:v>46282</x:v>
      </x:c>
      <x:c r="B25" s="23" t="str">
        <x:v>MED 06</x:v>
      </x:c>
      <x:c r="C25" s="23" t="str">
        <x:v>Transporte de material de limpeza além de 1 km</x:v>
      </x:c>
      <x:c r="D25" s="28" t="str">
        <x:v>108+480</x:v>
      </x:c>
      <x:c r="E25" s="28" t="str">
        <x:v>100+500</x:v>
      </x:c>
      <x:c r="F25" s="23" t="str">
        <x:v>LIMPEZA / BOTA-FORA</x:v>
      </x:c>
      <x:c r="G25" s="23" t="str">
        <x:v>E/F</x:v>
      </x:c>
      <x:c r="H25" s="23" t="str"/>
      <x:c r="I25" s="30" t="n">
        <x:v>4803.96</x:v>
      </x:c>
      <x:c r="J25" s="23" t="str">
        <x:v>m³·km</x:v>
      </x:c>
      <x:c r="K25" s="23" t="str"/>
      <x:c r="L25" s="23" t="str"/>
      <x:c r="M25" s="23" t="n">
        <x:f>IF(D25="","",VALUE(LEFT(D25,FIND("+",D25)-1))*1000+VALUE(MID(D25,FIND("+",D25)+1,3)))</x:f>
        <x:v>108480</x:v>
      </x:c>
      <x:c r="N25" s="23" t="n">
        <x:f>IF(E25="","",VALUE(LEFT(E25,FIND("+",E25)-1))*1000+VALUE(MID(E25,FIND("+",E25)+1,3)))</x:f>
        <x:v>100500</x:v>
      </x:c>
      <x:c r="O25" s="23" t="n">
        <x:f>IF(AND(M25="",N25=""),"",MIN(IF(M25="",N25,M25),IF(N25="",M25,N25)))</x:f>
        <x:v>100500</x:v>
      </x:c>
      <x:c r="P25" s="23" t="n">
        <x:f>IF(AND(M25="",N25=""),"",MAX(IF(M25="",N25,M25),IF(N25="",M25,N25)))</x:f>
        <x:v>108480</x:v>
      </x:c>
    </x:row>
    <x:row r="26" ht="21" customHeight="1">
      <x:c r="A26" s="26" t="n">
        <x:v>46282</x:v>
      </x:c>
      <x:c r="B26" s="23" t="str">
        <x:v>MED 06</x:v>
      </x:c>
      <x:c r="C26" s="23" t="str">
        <x:v>Transporte de material de limpeza além de 1 km</x:v>
      </x:c>
      <x:c r="D26" s="28" t="str">
        <x:v>108+783</x:v>
      </x:c>
      <x:c r="E26" s="28" t="str">
        <x:v>112+656</x:v>
      </x:c>
      <x:c r="F26" s="23" t="str">
        <x:v>LIMPEZA / BOTA-FORA</x:v>
      </x:c>
      <x:c r="G26" s="23" t="str">
        <x:v>E/F</x:v>
      </x:c>
      <x:c r="H26" s="23" t="str">
        <x:v>PSN</x:v>
      </x:c>
      <x:c r="I26" s="30" t="n">
        <x:v>3090.65</x:v>
      </x:c>
      <x:c r="J26" s="23" t="str">
        <x:v>m³·km</x:v>
      </x:c>
      <x:c r="K26" s="23" t="str">
        <x:v>BOTA FORA </x:v>
      </x:c>
      <x:c r="L26" s="23" t="str">
        <x:v>VPT-default-2026.03385</x:v>
      </x:c>
      <x:c r="M26" s="23" t="n">
        <x:f>IF(D26="","",VALUE(LEFT(D26,FIND("+",D26)-1))*1000+VALUE(MID(D26,FIND("+",D26)+1,3)))</x:f>
        <x:v>108783</x:v>
      </x:c>
      <x:c r="N26" s="23" t="n">
        <x:f>IF(E26="","",VALUE(LEFT(E26,FIND("+",E26)-1))*1000+VALUE(MID(E26,FIND("+",E26)+1,3)))</x:f>
        <x:v>112656</x:v>
      </x:c>
      <x:c r="O26" s="23" t="n">
        <x:f>IF(AND(M26="",N26=""),"",MIN(IF(M26="",N26,M26),IF(N26="",M26,N26)))</x:f>
        <x:v>108783</x:v>
      </x:c>
      <x:c r="P26" s="23" t="n">
        <x:f>IF(AND(M26="",N26=""),"",MAX(IF(M26="",N26,M26),IF(N26="",M26,N26)))</x:f>
        <x:v>112656</x:v>
      </x:c>
    </x:row>
    <x:row r="27" ht="21" customHeight="1">
      <x:c r="A27" s="26" t="n">
        <x:v>46282</x:v>
      </x:c>
      <x:c r="B27" s="23" t="str">
        <x:v>MED 06</x:v>
      </x:c>
      <x:c r="C27" s="23" t="str">
        <x:v>Transporte de material de limpeza além de 1 km</x:v>
      </x:c>
      <x:c r="D27" s="28" t="str">
        <x:v>108+400</x:v>
      </x:c>
      <x:c r="E27" s="28" t="str">
        <x:v>112+656</x:v>
      </x:c>
      <x:c r="F27" s="23" t="str">
        <x:v>LIMPEZA / BOTA-FORA</x:v>
      </x:c>
      <x:c r="G27" s="23" t="str">
        <x:v>E/F</x:v>
      </x:c>
      <x:c r="H27" s="23" t="str"/>
      <x:c r="I27" s="30" t="n">
        <x:v>1072.51</x:v>
      </x:c>
      <x:c r="J27" s="23" t="str">
        <x:v>m³·km</x:v>
      </x:c>
      <x:c r="K27" s="23" t="str"/>
      <x:c r="L27" s="23" t="str"/>
      <x:c r="M27" s="23" t="n">
        <x:f>IF(D27="","",VALUE(LEFT(D27,FIND("+",D27)-1))*1000+VALUE(MID(D27,FIND("+",D27)+1,3)))</x:f>
        <x:v>108400</x:v>
      </x:c>
      <x:c r="N27" s="23" t="n">
        <x:f>IF(E27="","",VALUE(LEFT(E27,FIND("+",E27)-1))*1000+VALUE(MID(E27,FIND("+",E27)+1,3)))</x:f>
        <x:v>112656</x:v>
      </x:c>
      <x:c r="O27" s="23" t="n">
        <x:f>IF(AND(M27="",N27=""),"",MIN(IF(M27="",N27,M27),IF(N27="",M27,N27)))</x:f>
        <x:v>108400</x:v>
      </x:c>
      <x:c r="P27" s="23" t="n">
        <x:f>IF(AND(M27="",N27=""),"",MAX(IF(M27="",N27,M27),IF(N27="",M27,N27)))</x:f>
        <x:v>112656</x:v>
      </x:c>
    </x:row>
    <x:row r="28" ht="21" customHeight="1">
      <x:c r="A28" s="26" t="n">
        <x:v>46282</x:v>
      </x:c>
      <x:c r="B28" s="23" t="str">
        <x:v>MED 06</x:v>
      </x:c>
      <x:c r="C28" s="23" t="str">
        <x:v>Remoção de cerca</x:v>
      </x:c>
      <x:c r="D28" s="28" t="str">
        <x:v>113+646</x:v>
      </x:c>
      <x:c r="E28" s="28" t="str">
        <x:v>113+765</x:v>
      </x:c>
      <x:c r="F28" s="23" t="str"/>
      <x:c r="G28" s="23" t="str">
        <x:v>F</x:v>
      </x:c>
      <x:c r="H28" s="23" t="str">
        <x:v>PS</x:v>
      </x:c>
      <x:c r="I28" s="30" t="n">
        <x:v>119</x:v>
      </x:c>
      <x:c r="J28" s="23" t="str">
        <x:v>m</x:v>
      </x:c>
      <x:c r="K28" s="23" t="str"/>
      <x:c r="L28" s="23" t="str"/>
      <x:c r="M28" s="23" t="n">
        <x:f>IF(D28="","",VALUE(LEFT(D28,FIND("+",D28)-1))*1000+VALUE(MID(D28,FIND("+",D28)+1,3)))</x:f>
        <x:v>113646</x:v>
      </x:c>
      <x:c r="N28" s="23" t="n">
        <x:f>IF(E28="","",VALUE(LEFT(E28,FIND("+",E28)-1))*1000+VALUE(MID(E28,FIND("+",E28)+1,3)))</x:f>
        <x:v>113765</x:v>
      </x:c>
      <x:c r="O28" s="23" t="n">
        <x:f>IF(AND(M28="",N28=""),"",MIN(IF(M28="",N28,M28),IF(N28="",M28,N28)))</x:f>
        <x:v>113646</x:v>
      </x:c>
      <x:c r="P28" s="23" t="n">
        <x:f>IF(AND(M28="",N28=""),"",MAX(IF(M28="",N28,M28),IF(N28="",M28,N28)))</x:f>
        <x:v>113765</x:v>
      </x:c>
    </x:row>
    <x:row r="29" ht="21" customHeight="1">
      <x:c r="A29" s="26" t="n">
        <x:v>46282</x:v>
      </x:c>
      <x:c r="B29" s="23" t="str">
        <x:v>MED 06</x:v>
      </x:c>
      <x:c r="C29" s="23" t="str">
        <x:v>Demolição de pavimento, revestimento betuminoso</x:v>
      </x:c>
      <x:c r="D29" s="28" t="str">
        <x:v>108+480</x:v>
      </x:c>
      <x:c r="E29" s="28" t="str">
        <x:v>108+700</x:v>
      </x:c>
      <x:c r="F29" s="23" t="str"/>
      <x:c r="G29" s="23" t="str">
        <x:v>E</x:v>
      </x:c>
      <x:c r="H29" s="23" t="str">
        <x:v>PS</x:v>
      </x:c>
      <x:c r="I29" s="30" t="n">
        <x:v>33</x:v>
      </x:c>
      <x:c r="J29" s="23" t="str">
        <x:v>m³</x:v>
      </x:c>
      <x:c r="K29" s="23" t="str"/>
      <x:c r="L29" s="23" t="str"/>
      <x:c r="M29" s="23" t="n">
        <x:f>IF(D29="","",VALUE(LEFT(D29,FIND("+",D29)-1))*1000+VALUE(MID(D29,FIND("+",D29)+1,3)))</x:f>
        <x:v>108480</x:v>
      </x:c>
      <x:c r="N29" s="23" t="n">
        <x:f>IF(E29="","",VALUE(LEFT(E29,FIND("+",E29)-1))*1000+VALUE(MID(E29,FIND("+",E29)+1,3)))</x:f>
        <x:v>108700</x:v>
      </x:c>
      <x:c r="O29" s="23" t="n">
        <x:f>IF(AND(M29="",N29=""),"",MIN(IF(M29="",N29,M29),IF(N29="",M29,N29)))</x:f>
        <x:v>108480</x:v>
      </x:c>
      <x:c r="P29" s="23" t="n">
        <x:f>IF(AND(M29="",N29=""),"",MAX(IF(M29="",N29,M29),IF(N29="",M29,N29)))</x:f>
        <x:v>108700</x:v>
      </x:c>
    </x:row>
    <x:row r="30" ht="21" customHeight="1">
      <x:c r="A30" s="26" t="n">
        <x:v>46282</x:v>
      </x:c>
      <x:c r="B30" s="23" t="str">
        <x:v>MED 06</x:v>
      </x:c>
      <x:c r="C30" s="23" t="str">
        <x:v>Transporte de material de 1ª e 2ª categoria - DMT até 1 km</x:v>
      </x:c>
      <x:c r="D30" s="28" t="str"/>
      <x:c r="E30" s="28" t="str"/>
      <x:c r="F30" s="23" t="str">
        <x:v>JAZIDA 01 | JAZ. 01 → RAMO 200 EST. 200 → 205</x:v>
      </x:c>
      <x:c r="G30" s="23" t="str"/>
      <x:c r="H30" s="23" t="str">
        <x:v>PS</x:v>
      </x:c>
      <x:c r="I30" s="30" t="n">
        <x:v>150.5</x:v>
      </x:c>
      <x:c r="J30" s="23" t="str">
        <x:v>m³·km</x:v>
      </x:c>
      <x:c r="K30" s="23" t="str"/>
      <x:c r="L30" s="23" t="str"/>
      <x:c r="M30" s="23" t="str">
        <x:f>IF(D30="","",VALUE(LEFT(D30,FIND("+",D30)-1))*1000+VALUE(MID(D30,FIND("+",D30)+1,3)))</x:f>
      </x:c>
      <x:c r="N30" s="23" t="str">
        <x:f>IF(E30="","",VALUE(LEFT(E30,FIND("+",E30)-1))*1000+VALUE(MID(E30,FIND("+",E30)+1,3)))</x:f>
      </x:c>
      <x:c r="O30" s="23" t="str">
        <x:f>IF(AND(M30="",N30=""),"",MIN(IF(M30="",N30,M30),IF(N30="",M30,N30)))</x:f>
      </x:c>
      <x:c r="P30" s="23" t="str">
        <x:f>IF(AND(M30="",N30=""),"",MAX(IF(M30="",N30,M30),IF(N30="",M30,N30)))</x:f>
      </x:c>
    </x:row>
    <x:row r="31" ht="21" customHeight="1">
      <x:c r="A31" s="26" t="n">
        <x:v>46282</x:v>
      </x:c>
      <x:c r="B31" s="23" t="str">
        <x:v>MED 06</x:v>
      </x:c>
      <x:c r="C31" s="23" t="str">
        <x:v>Compactação de aterro a 95% do proctor normal</x:v>
      </x:c>
      <x:c r="D31" s="28" t="str"/>
      <x:c r="E31" s="28" t="str"/>
      <x:c r="F31" s="23" t="str">
        <x:v>RAMO 200 EST. 200 → 205</x:v>
      </x:c>
      <x:c r="G31" s="23" t="str"/>
      <x:c r="H31" s="23" t="str">
        <x:v>PS</x:v>
      </x:c>
      <x:c r="I31" s="30" t="n">
        <x:v>201.6</x:v>
      </x:c>
      <x:c r="J31" s="23" t="str">
        <x:v>m³</x:v>
      </x:c>
      <x:c r="K31" s="23" t="str"/>
      <x:c r="L31" s="23" t="str"/>
      <x:c r="M31" s="23" t="str">
        <x:f>IF(D31="","",VALUE(LEFT(D31,FIND("+",D31)-1))*1000+VALUE(MID(D31,FIND("+",D31)+1,3)))</x:f>
      </x:c>
      <x:c r="N31" s="23" t="str">
        <x:f>IF(E31="","",VALUE(LEFT(E31,FIND("+",E31)-1))*1000+VALUE(MID(E31,FIND("+",E31)+1,3)))</x:f>
      </x:c>
      <x:c r="O31" s="23" t="str">
        <x:f>IF(AND(M31="",N31=""),"",MIN(IF(M31="",N31,M31),IF(N31="",M31,N31)))</x:f>
      </x:c>
      <x:c r="P31" s="23" t="str">
        <x:f>IF(AND(M31="",N31=""),"",MAX(IF(M31="",N31,M31),IF(N31="",M31,N31)))</x:f>
      </x:c>
    </x:row>
    <x:row r="32" ht="21" customHeight="1">
      <x:c r="A32" s="26" t="n">
        <x:v>46282</x:v>
      </x:c>
      <x:c r="B32" s="23" t="str">
        <x:v>MED 06</x:v>
      </x:c>
      <x:c r="C32" s="23" t="str">
        <x:v>Compactação de aterro a 95% do proctor normal</x:v>
      </x:c>
      <x:c r="D32" s="28" t="str"/>
      <x:c r="E32" s="28" t="str"/>
      <x:c r="F32" s="23" t="str">
        <x:v>RAMO 600 EST. 600 → 612</x:v>
      </x:c>
      <x:c r="G32" s="23" t="str"/>
      <x:c r="H32" s="23" t="str">
        <x:v>PS</x:v>
      </x:c>
      <x:c r="I32" s="30" t="n">
        <x:v>360</x:v>
      </x:c>
      <x:c r="J32" s="23" t="str">
        <x:v>m³</x:v>
      </x:c>
      <x:c r="K32" s="23" t="str"/>
      <x:c r="L32" s="23" t="str"/>
      <x:c r="M32" s="23" t="str">
        <x:f>IF(D32="","",VALUE(LEFT(D32,FIND("+",D32)-1))*1000+VALUE(MID(D32,FIND("+",D32)+1,3)))</x:f>
      </x:c>
      <x:c r="N32" s="23" t="str">
        <x:f>IF(E32="","",VALUE(LEFT(E32,FIND("+",E32)-1))*1000+VALUE(MID(E32,FIND("+",E32)+1,3)))</x:f>
      </x:c>
      <x:c r="O32" s="23" t="str">
        <x:f>IF(AND(M32="",N32=""),"",MIN(IF(M32="",N32,M32),IF(N32="",M32,N32)))</x:f>
      </x:c>
      <x:c r="P32" s="23" t="str">
        <x:f>IF(AND(M32="",N32=""),"",MAX(IF(M32="",N32,M32),IF(N32="",M32,N32)))</x:f>
      </x:c>
    </x:row>
    <x:row r="33" ht="21" customHeight="1">
      <x:c r="A33" s="26" t="n">
        <x:v>46282</x:v>
      </x:c>
      <x:c r="B33" s="23" t="str">
        <x:v>MED 06</x:v>
      </x:c>
      <x:c r="C33" s="23" t="str">
        <x:v>Material de jazida de 1ª e 2ª categoria</x:v>
      </x:c>
      <x:c r="D33" s="28" t="str">
        <x:v>100+500</x:v>
      </x:c>
      <x:c r="E33" s="28" t="str">
        <x:v>100+500</x:v>
      </x:c>
      <x:c r="F33" s="23" t="str">
        <x:v>JAZIDA 01 | JAZ. 01 → KM 100+500</x:v>
      </x:c>
      <x:c r="G33" s="23" t="str"/>
      <x:c r="H33" s="23" t="str">
        <x:v>PS</x:v>
      </x:c>
      <x:c r="I33" s="30" t="n">
        <x:v>840</x:v>
      </x:c>
      <x:c r="J33" s="23" t="str">
        <x:v>m³</x:v>
      </x:c>
      <x:c r="K33" s="23" t="str"/>
      <x:c r="L33" s="23" t="str"/>
      <x:c r="M33" s="23" t="n">
        <x:f>IF(D33="","",VALUE(LEFT(D33,FIND("+",D33)-1))*1000+VALUE(MID(D33,FIND("+",D33)+1,3)))</x:f>
        <x:v>100500</x:v>
      </x:c>
      <x:c r="N33" s="23" t="n">
        <x:f>IF(E33="","",VALUE(LEFT(E33,FIND("+",E33)-1))*1000+VALUE(MID(E33,FIND("+",E33)+1,3)))</x:f>
        <x:v>100500</x:v>
      </x:c>
      <x:c r="O33" s="23" t="n">
        <x:f>IF(AND(M33="",N33=""),"",MIN(IF(M33="",N33,M33),IF(N33="",M33,N33)))</x:f>
        <x:v>100500</x:v>
      </x:c>
      <x:c r="P33" s="23" t="n">
        <x:f>IF(AND(M33="",N33=""),"",MAX(IF(M33="",N33,M33),IF(N33="",M33,N33)))</x:f>
        <x:v>100500</x:v>
      </x:c>
    </x:row>
    <x:row r="34" ht="21" customHeight="1">
      <x:c r="A34" s="26" t="n">
        <x:v>46282</x:v>
      </x:c>
      <x:c r="B34" s="23" t="str">
        <x:v>MED 06</x:v>
      </x:c>
      <x:c r="C34" s="23" t="str">
        <x:v>Escavação de material de 1ª e 2ª categoria - Sem transporte</x:v>
      </x:c>
      <x:c r="D34" s="28" t="str"/>
      <x:c r="E34" s="28" t="str"/>
      <x:c r="F34" s="23" t="str">
        <x:v>RAMO 300 EST. 302 → 304</x:v>
      </x:c>
      <x:c r="G34" s="23" t="str">
        <x:v>G</x:v>
      </x:c>
      <x:c r="H34" s="23" t="str">
        <x:v>PS</x:v>
      </x:c>
      <x:c r="I34" s="30" t="n">
        <x:v>540</x:v>
      </x:c>
      <x:c r="J34" s="23" t="str">
        <x:v>m³</x:v>
      </x:c>
      <x:c r="K34" s="23" t="str"/>
      <x:c r="L34" s="23" t="str"/>
      <x:c r="M34" s="23" t="str">
        <x:f>IF(D34="","",VALUE(LEFT(D34,FIND("+",D34)-1))*1000+VALUE(MID(D34,FIND("+",D34)+1,3)))</x:f>
      </x:c>
      <x:c r="N34" s="23" t="str">
        <x:f>IF(E34="","",VALUE(LEFT(E34,FIND("+",E34)-1))*1000+VALUE(MID(E34,FIND("+",E34)+1,3)))</x:f>
      </x:c>
      <x:c r="O34" s="23" t="str">
        <x:f>IF(AND(M34="",N34=""),"",MIN(IF(M34="",N34,M34),IF(N34="",M34,N34)))</x:f>
      </x:c>
      <x:c r="P34" s="23" t="str">
        <x:f>IF(AND(M34="",N34=""),"",MAX(IF(M34="",N34,M34),IF(N34="",M34,N34)))</x:f>
      </x:c>
    </x:row>
    <x:row r="35" ht="21" customHeight="1">
      <x:c r="A35" s="26" t="n">
        <x:v>46282</x:v>
      </x:c>
      <x:c r="B35" s="23" t="str">
        <x:v>MED 06</x:v>
      </x:c>
      <x:c r="C35" s="23" t="str">
        <x:v>Transporte de material de 1ª e 2ª categoria - DMT até 1 km</x:v>
      </x:c>
      <x:c r="D35" s="28" t="str">
        <x:v>117+690</x:v>
      </x:c>
      <x:c r="E35" s="28" t="str">
        <x:v>118+040</x:v>
      </x:c>
      <x:c r="F35" s="23" t="str">
        <x:v>BASE | RAMO 300 S → 117+690 / 118+040 N</x:v>
      </x:c>
      <x:c r="G35" s="23" t="str">
        <x:v>G</x:v>
      </x:c>
      <x:c r="H35" s="23" t="str">
        <x:v>PS</x:v>
      </x:c>
      <x:c r="I35" s="30" t="n">
        <x:v>420</x:v>
      </x:c>
      <x:c r="J35" s="23" t="str">
        <x:v>m³·km</x:v>
      </x:c>
      <x:c r="K35" s="23" t="str"/>
      <x:c r="L35" s="23" t="str"/>
      <x:c r="M35" s="23" t="n">
        <x:f>IF(D35="","",VALUE(LEFT(D35,FIND("+",D35)-1))*1000+VALUE(MID(D35,FIND("+",D35)+1,3)))</x:f>
        <x:v>117690</x:v>
      </x:c>
      <x:c r="N35" s="23" t="n">
        <x:f>IF(E35="","",VALUE(LEFT(E35,FIND("+",E35)-1))*1000+VALUE(MID(E35,FIND("+",E35)+1,3)))</x:f>
        <x:v>118040</x:v>
      </x:c>
      <x:c r="O35" s="23" t="n">
        <x:f>IF(AND(M35="",N35=""),"",MIN(IF(M35="",N35,M35),IF(N35="",M35,N35)))</x:f>
        <x:v>117690</x:v>
      </x:c>
      <x:c r="P35" s="23" t="n">
        <x:f>IF(AND(M35="",N35=""),"",MAX(IF(M35="",N35,M35),IF(N35="",M35,N35)))</x:f>
        <x:v>118040</x:v>
      </x:c>
    </x:row>
    <x:row r="36" ht="21" customHeight="1">
      <x:c r="A36" s="26"/>
      <x:c r="B36" s="23"/>
      <x:c r="C36" s="23"/>
      <x:c r="D36" s="28"/>
      <x:c r="E36" s="28"/>
      <x:c r="F36" s="23"/>
      <x:c r="G36" s="23"/>
      <x:c r="H36" s="23"/>
      <x:c r="I36" s="30"/>
      <x:c r="J36" s="23"/>
      <x:c r="K36" s="23"/>
      <x:c r="L36" s="23"/>
      <x:c r="M36" s="23" t="str">
        <x:f>IF(D36="","",VALUE(LEFT(D36,FIND("+",D36)-1))*1000+VALUE(MID(D36,FIND("+",D36)+1,3)))</x:f>
      </x:c>
      <x:c r="N36" s="23" t="str">
        <x:f>IF(E36="","",VALUE(LEFT(E36,FIND("+",E36)-1))*1000+VALUE(MID(E36,FIND("+",E36)+1,3)))</x:f>
      </x:c>
      <x:c r="O36" s="23" t="str">
        <x:f>IF(AND(M36="",N36=""),"",MIN(IF(M36="",N36,M36),IF(N36="",M36,N36)))</x:f>
      </x:c>
      <x:c r="P36" s="23" t="str">
        <x:f>IF(AND(M36="",N36=""),"",MAX(IF(M36="",N36,M36),IF(N36="",M36,N36)))</x:f>
      </x:c>
    </x:row>
    <x:row r="37" ht="21" customHeight="1">
      <x:c r="A37" s="26"/>
      <x:c r="B37" s="23"/>
      <x:c r="C37" s="23"/>
      <x:c r="D37" s="28"/>
      <x:c r="E37" s="28"/>
      <x:c r="F37" s="23"/>
      <x:c r="G37" s="23"/>
      <x:c r="H37" s="23"/>
      <x:c r="I37" s="30"/>
      <x:c r="J37" s="23"/>
      <x:c r="K37" s="23"/>
      <x:c r="L37" s="23"/>
      <x:c r="M37" s="23" t="str">
        <x:f>IF(D37="","",VALUE(LEFT(D37,FIND("+",D37)-1))*1000+VALUE(MID(D37,FIND("+",D37)+1,3)))</x:f>
      </x:c>
      <x:c r="N37" s="23" t="str">
        <x:f>IF(E37="","",VALUE(LEFT(E37,FIND("+",E37)-1))*1000+VALUE(MID(E37,FIND("+",E37)+1,3)))</x:f>
      </x:c>
      <x:c r="O37" s="23" t="str">
        <x:f>IF(AND(M37="",N37=""),"",MIN(IF(M37="",N37,M37),IF(N37="",M37,N37)))</x:f>
      </x:c>
      <x:c r="P37" s="23" t="str">
        <x:f>IF(AND(M37="",N37=""),"",MAX(IF(M37="",N37,M37),IF(N37="",M37,N37)))</x:f>
      </x:c>
    </x:row>
    <x:row r="38" ht="21" customHeight="1">
      <x:c r="A38" s="26"/>
      <x:c r="B38" s="23"/>
      <x:c r="C38" s="23"/>
      <x:c r="D38" s="28"/>
      <x:c r="E38" s="28"/>
      <x:c r="F38" s="23"/>
      <x:c r="G38" s="23"/>
      <x:c r="H38" s="23"/>
      <x:c r="I38" s="30"/>
      <x:c r="J38" s="23"/>
      <x:c r="K38" s="23"/>
      <x:c r="L38" s="23"/>
      <x:c r="M38" s="23" t="str">
        <x:f>IF(D38="","",VALUE(LEFT(D38,FIND("+",D38)-1))*1000+VALUE(MID(D38,FIND("+",D38)+1,3)))</x:f>
      </x:c>
      <x:c r="N38" s="23" t="str">
        <x:f>IF(E38="","",VALUE(LEFT(E38,FIND("+",E38)-1))*1000+VALUE(MID(E38,FIND("+",E38)+1,3)))</x:f>
      </x:c>
      <x:c r="O38" s="23" t="str">
        <x:f>IF(AND(M38="",N38=""),"",MIN(IF(M38="",N38,M38),IF(N38="",M38,N38)))</x:f>
      </x:c>
      <x:c r="P38" s="23" t="str">
        <x:f>IF(AND(M38="",N38=""),"",MAX(IF(M38="",N38,M38),IF(N38="",M38,N38)))</x:f>
      </x:c>
    </x:row>
    <x:row r="39" ht="21" customHeight="1">
      <x:c r="A39" s="26"/>
      <x:c r="B39" s="23"/>
      <x:c r="C39" s="23"/>
      <x:c r="D39" s="28"/>
      <x:c r="E39" s="28"/>
      <x:c r="F39" s="23"/>
      <x:c r="G39" s="23"/>
      <x:c r="H39" s="23"/>
      <x:c r="I39" s="30"/>
      <x:c r="J39" s="23"/>
      <x:c r="K39" s="23"/>
      <x:c r="L39" s="23"/>
      <x:c r="M39" s="23" t="str">
        <x:f>IF(D39="","",VALUE(LEFT(D39,FIND("+",D39)-1))*1000+VALUE(MID(D39,FIND("+",D39)+1,3)))</x:f>
      </x:c>
      <x:c r="N39" s="23" t="str">
        <x:f>IF(E39="","",VALUE(LEFT(E39,FIND("+",E39)-1))*1000+VALUE(MID(E39,FIND("+",E39)+1,3)))</x:f>
      </x:c>
      <x:c r="O39" s="23" t="str">
        <x:f>IF(AND(M39="",N39=""),"",MIN(IF(M39="",N39,M39),IF(N39="",M39,N39)))</x:f>
      </x:c>
      <x:c r="P39" s="23" t="str">
        <x:f>IF(AND(M39="",N39=""),"",MAX(IF(M39="",N39,M39),IF(N39="",M39,N39)))</x:f>
      </x:c>
    </x:row>
    <x:row r="40" ht="21" customHeight="1">
      <x:c r="A40" s="26"/>
      <x:c r="B40" s="23"/>
      <x:c r="C40" s="23"/>
      <x:c r="D40" s="28"/>
      <x:c r="E40" s="28"/>
      <x:c r="F40" s="23"/>
      <x:c r="G40" s="23"/>
      <x:c r="H40" s="23"/>
      <x:c r="I40" s="30"/>
      <x:c r="J40" s="23"/>
      <x:c r="K40" s="23"/>
      <x:c r="L40" s="23"/>
      <x:c r="M40" s="23" t="str">
        <x:f>IF(D40="","",VALUE(LEFT(D40,FIND("+",D40)-1))*1000+VALUE(MID(D40,FIND("+",D40)+1,3)))</x:f>
      </x:c>
      <x:c r="N40" s="23" t="str">
        <x:f>IF(E40="","",VALUE(LEFT(E40,FIND("+",E40)-1))*1000+VALUE(MID(E40,FIND("+",E40)+1,3)))</x:f>
      </x:c>
      <x:c r="O40" s="23" t="str">
        <x:f>IF(AND(M40="",N40=""),"",MIN(IF(M40="",N40,M40),IF(N40="",M40,N40)))</x:f>
      </x:c>
      <x:c r="P40" s="23" t="str">
        <x:f>IF(AND(M40="",N40=""),"",MAX(IF(M40="",N40,M40),IF(N40="",M40,N40)))</x:f>
      </x:c>
    </x:row>
    <x:row r="41" ht="21" customHeight="1">
      <x:c r="A41" s="26"/>
      <x:c r="B41" s="23"/>
      <x:c r="C41" s="23"/>
      <x:c r="D41" s="28"/>
      <x:c r="E41" s="28"/>
      <x:c r="F41" s="23"/>
      <x:c r="G41" s="23"/>
      <x:c r="H41" s="23"/>
      <x:c r="I41" s="30"/>
      <x:c r="J41" s="23"/>
      <x:c r="K41" s="23"/>
      <x:c r="L41" s="23"/>
      <x:c r="M41" s="23" t="str">
        <x:f>IF(D41="","",VALUE(LEFT(D41,FIND("+",D41)-1))*1000+VALUE(MID(D41,FIND("+",D41)+1,3)))</x:f>
      </x:c>
      <x:c r="N41" s="23" t="str">
        <x:f>IF(E41="","",VALUE(LEFT(E41,FIND("+",E41)-1))*1000+VALUE(MID(E41,FIND("+",E41)+1,3)))</x:f>
      </x:c>
      <x:c r="O41" s="23" t="str">
        <x:f>IF(AND(M41="",N41=""),"",MIN(IF(M41="",N41,M41),IF(N41="",M41,N41)))</x:f>
      </x:c>
      <x:c r="P41" s="23" t="str">
        <x:f>IF(AND(M41="",N41=""),"",MAX(IF(M41="",N41,M41),IF(N41="",M41,N41)))</x:f>
      </x:c>
    </x:row>
    <x:row r="42" ht="21" customHeight="1">
      <x:c r="A42" s="26"/>
      <x:c r="B42" s="23"/>
      <x:c r="C42" s="23"/>
      <x:c r="D42" s="28"/>
      <x:c r="E42" s="28"/>
      <x:c r="F42" s="23"/>
      <x:c r="G42" s="23"/>
      <x:c r="H42" s="23"/>
      <x:c r="I42" s="30"/>
      <x:c r="J42" s="23"/>
      <x:c r="K42" s="23"/>
      <x:c r="L42" s="23"/>
      <x:c r="M42" s="23" t="str">
        <x:f>IF(D42="","",VALUE(LEFT(D42,FIND("+",D42)-1))*1000+VALUE(MID(D42,FIND("+",D42)+1,3)))</x:f>
      </x:c>
      <x:c r="N42" s="23" t="str">
        <x:f>IF(E42="","",VALUE(LEFT(E42,FIND("+",E42)-1))*1000+VALUE(MID(E42,FIND("+",E42)+1,3)))</x:f>
      </x:c>
      <x:c r="O42" s="23" t="str">
        <x:f>IF(AND(M42="",N42=""),"",MIN(IF(M42="",N42,M42),IF(N42="",M42,N42)))</x:f>
      </x:c>
      <x:c r="P42" s="23" t="str">
        <x:f>IF(AND(M42="",N42=""),"",MAX(IF(M42="",N42,M42),IF(N42="",M42,N42)))</x:f>
      </x:c>
    </x:row>
    <x:row r="43" ht="21" customHeight="1">
      <x:c r="A43" s="26"/>
      <x:c r="B43" s="23"/>
      <x:c r="C43" s="23"/>
      <x:c r="D43" s="28"/>
      <x:c r="E43" s="28"/>
      <x:c r="F43" s="23"/>
      <x:c r="G43" s="23"/>
      <x:c r="H43" s="23"/>
      <x:c r="I43" s="30"/>
      <x:c r="J43" s="23"/>
      <x:c r="K43" s="23"/>
      <x:c r="L43" s="23"/>
      <x:c r="M43" s="23" t="str">
        <x:f>IF(D43="","",VALUE(LEFT(D43,FIND("+",D43)-1))*1000+VALUE(MID(D43,FIND("+",D43)+1,3)))</x:f>
      </x:c>
      <x:c r="N43" s="23" t="str">
        <x:f>IF(E43="","",VALUE(LEFT(E43,FIND("+",E43)-1))*1000+VALUE(MID(E43,FIND("+",E43)+1,3)))</x:f>
      </x:c>
      <x:c r="O43" s="23" t="str">
        <x:f>IF(AND(M43="",N43=""),"",MIN(IF(M43="",N43,M43),IF(N43="",M43,N43)))</x:f>
      </x:c>
      <x:c r="P43" s="23" t="str">
        <x:f>IF(AND(M43="",N43=""),"",MAX(IF(M43="",N43,M43),IF(N43="",M43,N43)))</x:f>
      </x:c>
    </x:row>
    <x:row r="44" ht="21" customHeight="1">
      <x:c r="A44" s="26"/>
      <x:c r="B44" s="23"/>
      <x:c r="C44" s="23"/>
      <x:c r="D44" s="28"/>
      <x:c r="E44" s="28"/>
      <x:c r="F44" s="23"/>
      <x:c r="G44" s="23"/>
      <x:c r="H44" s="23"/>
      <x:c r="I44" s="30"/>
      <x:c r="J44" s="23"/>
      <x:c r="K44" s="23"/>
      <x:c r="L44" s="23"/>
      <x:c r="M44" s="23" t="str">
        <x:f>IF(D44="","",VALUE(LEFT(D44,FIND("+",D44)-1))*1000+VALUE(MID(D44,FIND("+",D44)+1,3)))</x:f>
      </x:c>
      <x:c r="N44" s="23" t="str">
        <x:f>IF(E44="","",VALUE(LEFT(E44,FIND("+",E44)-1))*1000+VALUE(MID(E44,FIND("+",E44)+1,3)))</x:f>
      </x:c>
      <x:c r="O44" s="23" t="str">
        <x:f>IF(AND(M44="",N44=""),"",MIN(IF(M44="",N44,M44),IF(N44="",M44,N44)))</x:f>
      </x:c>
      <x:c r="P44" s="23" t="str">
        <x:f>IF(AND(M44="",N44=""),"",MAX(IF(M44="",N44,M44),IF(N44="",M44,N44)))</x:f>
      </x:c>
    </x:row>
    <x:row r="45" ht="21" customHeight="1">
      <x:c r="A45" s="26"/>
      <x:c r="B45" s="23"/>
      <x:c r="C45" s="23"/>
      <x:c r="D45" s="28"/>
      <x:c r="E45" s="28"/>
      <x:c r="F45" s="23"/>
      <x:c r="G45" s="23"/>
      <x:c r="H45" s="23"/>
      <x:c r="I45" s="30"/>
      <x:c r="J45" s="23"/>
      <x:c r="K45" s="23"/>
      <x:c r="L45" s="23"/>
      <x:c r="M45" s="23" t="str">
        <x:f>IF(D45="","",VALUE(LEFT(D45,FIND("+",D45)-1))*1000+VALUE(MID(D45,FIND("+",D45)+1,3)))</x:f>
      </x:c>
      <x:c r="N45" s="23" t="str">
        <x:f>IF(E45="","",VALUE(LEFT(E45,FIND("+",E45)-1))*1000+VALUE(MID(E45,FIND("+",E45)+1,3)))</x:f>
      </x:c>
      <x:c r="O45" s="23" t="str">
        <x:f>IF(AND(M45="",N45=""),"",MIN(IF(M45="",N45,M45),IF(N45="",M45,N45)))</x:f>
      </x:c>
      <x:c r="P45" s="23" t="str">
        <x:f>IF(AND(M45="",N45=""),"",MAX(IF(M45="",N45,M45),IF(N45="",M45,N45)))</x:f>
      </x:c>
    </x:row>
    <x:row r="46" ht="21" customHeight="1">
      <x:c r="A46" s="26"/>
      <x:c r="B46" s="23"/>
      <x:c r="C46" s="23"/>
      <x:c r="D46" s="28"/>
      <x:c r="E46" s="28"/>
      <x:c r="F46" s="23"/>
      <x:c r="G46" s="23"/>
      <x:c r="H46" s="23"/>
      <x:c r="I46" s="30"/>
      <x:c r="J46" s="23"/>
      <x:c r="K46" s="23"/>
      <x:c r="L46" s="23"/>
      <x:c r="M46" s="23" t="str">
        <x:f>IF(D46="","",VALUE(LEFT(D46,FIND("+",D46)-1))*1000+VALUE(MID(D46,FIND("+",D46)+1,3)))</x:f>
      </x:c>
      <x:c r="N46" s="23" t="str">
        <x:f>IF(E46="","",VALUE(LEFT(E46,FIND("+",E46)-1))*1000+VALUE(MID(E46,FIND("+",E46)+1,3)))</x:f>
      </x:c>
      <x:c r="O46" s="23" t="str">
        <x:f>IF(AND(M46="",N46=""),"",MIN(IF(M46="",N46,M46),IF(N46="",M46,N46)))</x:f>
      </x:c>
      <x:c r="P46" s="23" t="str">
        <x:f>IF(AND(M46="",N46=""),"",MAX(IF(M46="",N46,M46),IF(N46="",M46,N46)))</x:f>
      </x:c>
    </x:row>
    <x:row r="47" ht="21" customHeight="1">
      <x:c r="A47" s="26"/>
      <x:c r="B47" s="23"/>
      <x:c r="C47" s="23"/>
      <x:c r="D47" s="28"/>
      <x:c r="E47" s="28"/>
      <x:c r="F47" s="23"/>
      <x:c r="G47" s="23"/>
      <x:c r="H47" s="23"/>
      <x:c r="I47" s="30"/>
      <x:c r="J47" s="23"/>
      <x:c r="K47" s="23"/>
      <x:c r="L47" s="23"/>
      <x:c r="M47" s="23" t="str">
        <x:f>IF(D47="","",VALUE(LEFT(D47,FIND("+",D47)-1))*1000+VALUE(MID(D47,FIND("+",D47)+1,3)))</x:f>
      </x:c>
      <x:c r="N47" s="23" t="str">
        <x:f>IF(E47="","",VALUE(LEFT(E47,FIND("+",E47)-1))*1000+VALUE(MID(E47,FIND("+",E47)+1,3)))</x:f>
      </x:c>
      <x:c r="O47" s="23" t="str">
        <x:f>IF(AND(M47="",N47=""),"",MIN(IF(M47="",N47,M47),IF(N47="",M47,N47)))</x:f>
      </x:c>
      <x:c r="P47" s="23" t="str">
        <x:f>IF(AND(M47="",N47=""),"",MAX(IF(M47="",N47,M47),IF(N47="",M47,N47)))</x:f>
      </x:c>
    </x:row>
    <x:row r="48" ht="21" customHeight="1">
      <x:c r="A48" s="26"/>
      <x:c r="B48" s="23"/>
      <x:c r="C48" s="23"/>
      <x:c r="D48" s="28"/>
      <x:c r="E48" s="28"/>
      <x:c r="F48" s="23"/>
      <x:c r="G48" s="23"/>
      <x:c r="H48" s="23"/>
      <x:c r="I48" s="30"/>
      <x:c r="J48" s="23"/>
      <x:c r="K48" s="23"/>
      <x:c r="L48" s="23"/>
      <x:c r="M48" s="23" t="str">
        <x:f>IF(D48="","",VALUE(LEFT(D48,FIND("+",D48)-1))*1000+VALUE(MID(D48,FIND("+",D48)+1,3)))</x:f>
      </x:c>
      <x:c r="N48" s="23" t="str">
        <x:f>IF(E48="","",VALUE(LEFT(E48,FIND("+",E48)-1))*1000+VALUE(MID(E48,FIND("+",E48)+1,3)))</x:f>
      </x:c>
      <x:c r="O48" s="23" t="str">
        <x:f>IF(AND(M48="",N48=""),"",MIN(IF(M48="",N48,M48),IF(N48="",M48,N48)))</x:f>
      </x:c>
      <x:c r="P48" s="23" t="str">
        <x:f>IF(AND(M48="",N48=""),"",MAX(IF(M48="",N48,M48),IF(N48="",M48,N48)))</x:f>
      </x:c>
    </x:row>
    <x:row r="49" ht="21" customHeight="1">
      <x:c r="A49" s="26"/>
      <x:c r="B49" s="23"/>
      <x:c r="C49" s="23"/>
      <x:c r="D49" s="28"/>
      <x:c r="E49" s="28"/>
      <x:c r="F49" s="23"/>
      <x:c r="G49" s="23"/>
      <x:c r="H49" s="23"/>
      <x:c r="I49" s="30"/>
      <x:c r="J49" s="23"/>
      <x:c r="K49" s="23"/>
      <x:c r="L49" s="23"/>
      <x:c r="M49" s="23" t="str">
        <x:f>IF(D49="","",VALUE(LEFT(D49,FIND("+",D49)-1))*1000+VALUE(MID(D49,FIND("+",D49)+1,3)))</x:f>
      </x:c>
      <x:c r="N49" s="23" t="str">
        <x:f>IF(E49="","",VALUE(LEFT(E49,FIND("+",E49)-1))*1000+VALUE(MID(E49,FIND("+",E49)+1,3)))</x:f>
      </x:c>
      <x:c r="O49" s="23" t="str">
        <x:f>IF(AND(M49="",N49=""),"",MIN(IF(M49="",N49,M49),IF(N49="",M49,N49)))</x:f>
      </x:c>
      <x:c r="P49" s="23" t="str">
        <x:f>IF(AND(M49="",N49=""),"",MAX(IF(M49="",N49,M49),IF(N49="",M49,N49)))</x:f>
      </x:c>
    </x:row>
    <x:row r="50" ht="21" customHeight="1">
      <x:c r="A50" s="26"/>
      <x:c r="B50" s="23"/>
      <x:c r="C50" s="23"/>
      <x:c r="D50" s="28"/>
      <x:c r="E50" s="28"/>
      <x:c r="F50" s="23"/>
      <x:c r="G50" s="23"/>
      <x:c r="H50" s="23"/>
      <x:c r="I50" s="30"/>
      <x:c r="J50" s="23"/>
      <x:c r="K50" s="23"/>
      <x:c r="L50" s="23"/>
      <x:c r="M50" s="23" t="str">
        <x:f>IF(D50="","",VALUE(LEFT(D50,FIND("+",D50)-1))*1000+VALUE(MID(D50,FIND("+",D50)+1,3)))</x:f>
      </x:c>
      <x:c r="N50" s="23" t="str">
        <x:f>IF(E50="","",VALUE(LEFT(E50,FIND("+",E50)-1))*1000+VALUE(MID(E50,FIND("+",E50)+1,3)))</x:f>
      </x:c>
      <x:c r="O50" s="23" t="str">
        <x:f>IF(AND(M50="",N50=""),"",MIN(IF(M50="",N50,M50),IF(N50="",M50,N50)))</x:f>
      </x:c>
      <x:c r="P50" s="23" t="str">
        <x:f>IF(AND(M50="",N50=""),"",MAX(IF(M50="",N50,M50),IF(N50="",M50,N50)))</x:f>
      </x:c>
    </x:row>
    <x:row r="51" ht="21" customHeight="1">
      <x:c r="A51" s="26"/>
      <x:c r="B51" s="23"/>
      <x:c r="C51" s="23"/>
      <x:c r="D51" s="28"/>
      <x:c r="E51" s="28"/>
      <x:c r="F51" s="23"/>
      <x:c r="G51" s="23"/>
      <x:c r="H51" s="23"/>
      <x:c r="I51" s="30"/>
      <x:c r="J51" s="23"/>
      <x:c r="K51" s="23"/>
      <x:c r="L51" s="23"/>
      <x:c r="M51" s="23" t="str">
        <x:f>IF(D51="","",VALUE(LEFT(D51,FIND("+",D51)-1))*1000+VALUE(MID(D51,FIND("+",D51)+1,3)))</x:f>
      </x:c>
      <x:c r="N51" s="23" t="str">
        <x:f>IF(E51="","",VALUE(LEFT(E51,FIND("+",E51)-1))*1000+VALUE(MID(E51,FIND("+",E51)+1,3)))</x:f>
      </x:c>
      <x:c r="O51" s="23" t="str">
        <x:f>IF(AND(M51="",N51=""),"",MIN(IF(M51="",N51,M51),IF(N51="",M51,N51)))</x:f>
      </x:c>
      <x:c r="P51" s="23" t="str">
        <x:f>IF(AND(M51="",N51=""),"",MAX(IF(M51="",N51,M51),IF(N51="",M51,N51)))</x:f>
      </x:c>
    </x:row>
    <x:row r="52" ht="21" customHeight="1">
      <x:c r="A52" s="26"/>
      <x:c r="B52" s="23"/>
      <x:c r="C52" s="23"/>
      <x:c r="D52" s="28"/>
      <x:c r="E52" s="28"/>
      <x:c r="F52" s="23"/>
      <x:c r="G52" s="23"/>
      <x:c r="H52" s="23"/>
      <x:c r="I52" s="30"/>
      <x:c r="J52" s="23"/>
      <x:c r="K52" s="23"/>
      <x:c r="L52" s="23"/>
      <x:c r="M52" s="23" t="str">
        <x:f>IF(D52="","",VALUE(LEFT(D52,FIND("+",D52)-1))*1000+VALUE(MID(D52,FIND("+",D52)+1,3)))</x:f>
      </x:c>
      <x:c r="N52" s="23" t="str">
        <x:f>IF(E52="","",VALUE(LEFT(E52,FIND("+",E52)-1))*1000+VALUE(MID(E52,FIND("+",E52)+1,3)))</x:f>
      </x:c>
      <x:c r="O52" s="23" t="str">
        <x:f>IF(AND(M52="",N52=""),"",MIN(IF(M52="",N52,M52),IF(N52="",M52,N52)))</x:f>
      </x:c>
      <x:c r="P52" s="23" t="str">
        <x:f>IF(AND(M52="",N52=""),"",MAX(IF(M52="",N52,M52),IF(N52="",M52,N52)))</x:f>
      </x:c>
    </x:row>
    <x:row r="53" ht="21" customHeight="1">
      <x:c r="A53" s="26"/>
      <x:c r="B53" s="23"/>
      <x:c r="C53" s="23"/>
      <x:c r="D53" s="28"/>
      <x:c r="E53" s="28"/>
      <x:c r="F53" s="23"/>
      <x:c r="G53" s="23"/>
      <x:c r="H53" s="23"/>
      <x:c r="I53" s="30"/>
      <x:c r="J53" s="23"/>
      <x:c r="K53" s="23"/>
      <x:c r="L53" s="23"/>
      <x:c r="M53" s="23" t="str">
        <x:f>IF(D53="","",VALUE(LEFT(D53,FIND("+",D53)-1))*1000+VALUE(MID(D53,FIND("+",D53)+1,3)))</x:f>
      </x:c>
      <x:c r="N53" s="23" t="str">
        <x:f>IF(E53="","",VALUE(LEFT(E53,FIND("+",E53)-1))*1000+VALUE(MID(E53,FIND("+",E53)+1,3)))</x:f>
      </x:c>
      <x:c r="O53" s="23" t="str">
        <x:f>IF(AND(M53="",N53=""),"",MIN(IF(M53="",N53,M53),IF(N53="",M53,N53)))</x:f>
      </x:c>
      <x:c r="P53" s="23" t="str">
        <x:f>IF(AND(M53="",N53=""),"",MAX(IF(M53="",N53,M53),IF(N53="",M53,N53)))</x:f>
      </x:c>
    </x:row>
    <x:row r="54" ht="21" customHeight="1">
      <x:c r="A54" s="26"/>
      <x:c r="B54" s="23"/>
      <x:c r="C54" s="23"/>
      <x:c r="D54" s="28"/>
      <x:c r="E54" s="28"/>
      <x:c r="F54" s="23"/>
      <x:c r="G54" s="23"/>
      <x:c r="H54" s="23"/>
      <x:c r="I54" s="30"/>
      <x:c r="J54" s="23"/>
      <x:c r="K54" s="23"/>
      <x:c r="L54" s="23"/>
      <x:c r="M54" s="23" t="str">
        <x:f>IF(D54="","",VALUE(LEFT(D54,FIND("+",D54)-1))*1000+VALUE(MID(D54,FIND("+",D54)+1,3)))</x:f>
      </x:c>
      <x:c r="N54" s="23" t="str">
        <x:f>IF(E54="","",VALUE(LEFT(E54,FIND("+",E54)-1))*1000+VALUE(MID(E54,FIND("+",E54)+1,3)))</x:f>
      </x:c>
      <x:c r="O54" s="23" t="str">
        <x:f>IF(AND(M54="",N54=""),"",MIN(IF(M54="",N54,M54),IF(N54="",M54,N54)))</x:f>
      </x:c>
      <x:c r="P54" s="23" t="str">
        <x:f>IF(AND(M54="",N54=""),"",MAX(IF(M54="",N54,M54),IF(N54="",M54,N54)))</x:f>
      </x:c>
    </x:row>
    <x:row r="55" ht="21" customHeight="1">
      <x:c r="A55" s="26"/>
      <x:c r="B55" s="23"/>
      <x:c r="C55" s="23"/>
      <x:c r="D55" s="28"/>
      <x:c r="E55" s="28"/>
      <x:c r="F55" s="23"/>
      <x:c r="G55" s="23"/>
      <x:c r="H55" s="23"/>
      <x:c r="I55" s="30"/>
      <x:c r="J55" s="23"/>
      <x:c r="K55" s="23"/>
      <x:c r="L55" s="23"/>
      <x:c r="M55" s="23" t="str">
        <x:f>IF(D55="","",VALUE(LEFT(D55,FIND("+",D55)-1))*1000+VALUE(MID(D55,FIND("+",D55)+1,3)))</x:f>
      </x:c>
      <x:c r="N55" s="23" t="str">
        <x:f>IF(E55="","",VALUE(LEFT(E55,FIND("+",E55)-1))*1000+VALUE(MID(E55,FIND("+",E55)+1,3)))</x:f>
      </x:c>
      <x:c r="O55" s="23" t="str">
        <x:f>IF(AND(M55="",N55=""),"",MIN(IF(M55="",N55,M55),IF(N55="",M55,N55)))</x:f>
      </x:c>
      <x:c r="P55" s="23" t="str">
        <x:f>IF(AND(M55="",N55=""),"",MAX(IF(M55="",N55,M55),IF(N55="",M55,N55)))</x:f>
      </x:c>
    </x:row>
    <x:row r="56" ht="21" customHeight="1">
      <x:c r="A56" s="26"/>
      <x:c r="B56" s="23"/>
      <x:c r="C56" s="23"/>
      <x:c r="D56" s="28"/>
      <x:c r="E56" s="28"/>
      <x:c r="F56" s="23"/>
      <x:c r="G56" s="23"/>
      <x:c r="H56" s="23"/>
      <x:c r="I56" s="30"/>
      <x:c r="J56" s="23"/>
      <x:c r="K56" s="23"/>
      <x:c r="L56" s="23"/>
      <x:c r="M56" s="23" t="str">
        <x:f>IF(D56="","",VALUE(LEFT(D56,FIND("+",D56)-1))*1000+VALUE(MID(D56,FIND("+",D56)+1,3)))</x:f>
      </x:c>
      <x:c r="N56" s="23" t="str">
        <x:f>IF(E56="","",VALUE(LEFT(E56,FIND("+",E56)-1))*1000+VALUE(MID(E56,FIND("+",E56)+1,3)))</x:f>
      </x:c>
      <x:c r="O56" s="23" t="str">
        <x:f>IF(AND(M56="",N56=""),"",MIN(IF(M56="",N56,M56),IF(N56="",M56,N56)))</x:f>
      </x:c>
      <x:c r="P56" s="23" t="str">
        <x:f>IF(AND(M56="",N56=""),"",MAX(IF(M56="",N56,M56),IF(N56="",M56,N56)))</x:f>
      </x:c>
    </x:row>
    <x:row r="57" ht="21" customHeight="1">
      <x:c r="A57" s="26"/>
      <x:c r="B57" s="23"/>
      <x:c r="C57" s="23"/>
      <x:c r="D57" s="28"/>
      <x:c r="E57" s="28"/>
      <x:c r="F57" s="23"/>
      <x:c r="G57" s="23"/>
      <x:c r="H57" s="23"/>
      <x:c r="I57" s="30"/>
      <x:c r="J57" s="23"/>
      <x:c r="K57" s="23"/>
      <x:c r="L57" s="23"/>
      <x:c r="M57" s="23" t="str">
        <x:f>IF(D57="","",VALUE(LEFT(D57,FIND("+",D57)-1))*1000+VALUE(MID(D57,FIND("+",D57)+1,3)))</x:f>
      </x:c>
      <x:c r="N57" s="23" t="str">
        <x:f>IF(E57="","",VALUE(LEFT(E57,FIND("+",E57)-1))*1000+VALUE(MID(E57,FIND("+",E57)+1,3)))</x:f>
      </x:c>
      <x:c r="O57" s="23" t="str">
        <x:f>IF(AND(M57="",N57=""),"",MIN(IF(M57="",N57,M57),IF(N57="",M57,N57)))</x:f>
      </x:c>
      <x:c r="P57" s="23" t="str">
        <x:f>IF(AND(M57="",N57=""),"",MAX(IF(M57="",N57,M57),IF(N57="",M57,N57)))</x:f>
      </x:c>
    </x:row>
    <x:row r="58" ht="21" customHeight="1">
      <x:c r="A58" s="26"/>
      <x:c r="B58" s="23"/>
      <x:c r="C58" s="23"/>
      <x:c r="D58" s="28"/>
      <x:c r="E58" s="28"/>
      <x:c r="F58" s="23"/>
      <x:c r="G58" s="23"/>
      <x:c r="H58" s="23"/>
      <x:c r="I58" s="30"/>
      <x:c r="J58" s="23"/>
      <x:c r="K58" s="23"/>
      <x:c r="L58" s="23"/>
      <x:c r="M58" s="23" t="str">
        <x:f>IF(D58="","",VALUE(LEFT(D58,FIND("+",D58)-1))*1000+VALUE(MID(D58,FIND("+",D58)+1,3)))</x:f>
      </x:c>
      <x:c r="N58" s="23" t="str">
        <x:f>IF(E58="","",VALUE(LEFT(E58,FIND("+",E58)-1))*1000+VALUE(MID(E58,FIND("+",E58)+1,3)))</x:f>
      </x:c>
      <x:c r="O58" s="23" t="str">
        <x:f>IF(AND(M58="",N58=""),"",MIN(IF(M58="",N58,M58),IF(N58="",M58,N58)))</x:f>
      </x:c>
      <x:c r="P58" s="23" t="str">
        <x:f>IF(AND(M58="",N58=""),"",MAX(IF(M58="",N58,M58),IF(N58="",M58,N58)))</x:f>
      </x:c>
    </x:row>
    <x:row r="59" ht="21" customHeight="1">
      <x:c r="A59" s="26"/>
      <x:c r="B59" s="23"/>
      <x:c r="C59" s="23"/>
      <x:c r="D59" s="28"/>
      <x:c r="E59" s="28"/>
      <x:c r="F59" s="23"/>
      <x:c r="G59" s="23"/>
      <x:c r="H59" s="23"/>
      <x:c r="I59" s="30"/>
      <x:c r="J59" s="23"/>
      <x:c r="K59" s="23"/>
      <x:c r="L59" s="23"/>
      <x:c r="M59" s="23" t="str">
        <x:f>IF(D59="","",VALUE(LEFT(D59,FIND("+",D59)-1))*1000+VALUE(MID(D59,FIND("+",D59)+1,3)))</x:f>
      </x:c>
      <x:c r="N59" s="23" t="str">
        <x:f>IF(E59="","",VALUE(LEFT(E59,FIND("+",E59)-1))*1000+VALUE(MID(E59,FIND("+",E59)+1,3)))</x:f>
      </x:c>
      <x:c r="O59" s="23" t="str">
        <x:f>IF(AND(M59="",N59=""),"",MIN(IF(M59="",N59,M59),IF(N59="",M59,N59)))</x:f>
      </x:c>
      <x:c r="P59" s="23" t="str">
        <x:f>IF(AND(M59="",N59=""),"",MAX(IF(M59="",N59,M59),IF(N59="",M59,N59)))</x:f>
      </x:c>
    </x:row>
    <x:row r="60" ht="21" customHeight="1">
      <x:c r="A60" s="26"/>
      <x:c r="B60" s="23"/>
      <x:c r="C60" s="23"/>
      <x:c r="D60" s="28"/>
      <x:c r="E60" s="28"/>
      <x:c r="F60" s="23"/>
      <x:c r="G60" s="23"/>
      <x:c r="H60" s="23"/>
      <x:c r="I60" s="30"/>
      <x:c r="J60" s="23"/>
      <x:c r="K60" s="23"/>
      <x:c r="L60" s="23"/>
      <x:c r="M60" s="23" t="str">
        <x:f>IF(D60="","",VALUE(LEFT(D60,FIND("+",D60)-1))*1000+VALUE(MID(D60,FIND("+",D60)+1,3)))</x:f>
      </x:c>
      <x:c r="N60" s="23" t="str">
        <x:f>IF(E60="","",VALUE(LEFT(E60,FIND("+",E60)-1))*1000+VALUE(MID(E60,FIND("+",E60)+1,3)))</x:f>
      </x:c>
      <x:c r="O60" s="23" t="str">
        <x:f>IF(AND(M60="",N60=""),"",MIN(IF(M60="",N60,M60),IF(N60="",M60,N60)))</x:f>
      </x:c>
      <x:c r="P60" s="23" t="str">
        <x:f>IF(AND(M60="",N60=""),"",MAX(IF(M60="",N60,M60),IF(N60="",M60,N60)))</x:f>
      </x:c>
    </x:row>
    <x:row r="61" ht="21" customHeight="1">
      <x:c r="A61" s="26"/>
      <x:c r="B61" s="23"/>
      <x:c r="C61" s="23"/>
      <x:c r="D61" s="28"/>
      <x:c r="E61" s="28"/>
      <x:c r="F61" s="23"/>
      <x:c r="G61" s="23"/>
      <x:c r="H61" s="23"/>
      <x:c r="I61" s="30"/>
      <x:c r="J61" s="23"/>
      <x:c r="K61" s="23"/>
      <x:c r="L61" s="23"/>
      <x:c r="M61" s="23" t="str">
        <x:f>IF(D61="","",VALUE(LEFT(D61,FIND("+",D61)-1))*1000+VALUE(MID(D61,FIND("+",D61)+1,3)))</x:f>
      </x:c>
      <x:c r="N61" s="23" t="str">
        <x:f>IF(E61="","",VALUE(LEFT(E61,FIND("+",E61)-1))*1000+VALUE(MID(E61,FIND("+",E61)+1,3)))</x:f>
      </x:c>
      <x:c r="O61" s="23" t="str">
        <x:f>IF(AND(M61="",N61=""),"",MIN(IF(M61="",N61,M61),IF(N61="",M61,N61)))</x:f>
      </x:c>
      <x:c r="P61" s="23" t="str">
        <x:f>IF(AND(M61="",N61=""),"",MAX(IF(M61="",N61,M61),IF(N61="",M61,N61)))</x:f>
      </x:c>
    </x:row>
    <x:row r="62" ht="21" customHeight="1">
      <x:c r="A62" s="26"/>
      <x:c r="B62" s="23"/>
      <x:c r="C62" s="23"/>
      <x:c r="D62" s="28"/>
      <x:c r="E62" s="28"/>
      <x:c r="F62" s="23"/>
      <x:c r="G62" s="23"/>
      <x:c r="H62" s="23"/>
      <x:c r="I62" s="30"/>
      <x:c r="J62" s="23"/>
      <x:c r="K62" s="23"/>
      <x:c r="L62" s="23"/>
      <x:c r="M62" s="23" t="str">
        <x:f>IF(D62="","",VALUE(LEFT(D62,FIND("+",D62)-1))*1000+VALUE(MID(D62,FIND("+",D62)+1,3)))</x:f>
      </x:c>
      <x:c r="N62" s="23" t="str">
        <x:f>IF(E62="","",VALUE(LEFT(E62,FIND("+",E62)-1))*1000+VALUE(MID(E62,FIND("+",E62)+1,3)))</x:f>
      </x:c>
      <x:c r="O62" s="23" t="str">
        <x:f>IF(AND(M62="",N62=""),"",MIN(IF(M62="",N62,M62),IF(N62="",M62,N62)))</x:f>
      </x:c>
      <x:c r="P62" s="23" t="str">
        <x:f>IF(AND(M62="",N62=""),"",MAX(IF(M62="",N62,M62),IF(N62="",M62,N62)))</x:f>
      </x:c>
    </x:row>
    <x:row r="63" ht="21" customHeight="1">
      <x:c r="A63" s="26"/>
      <x:c r="B63" s="23"/>
      <x:c r="C63" s="23"/>
      <x:c r="D63" s="28"/>
      <x:c r="E63" s="28"/>
      <x:c r="F63" s="23"/>
      <x:c r="G63" s="23"/>
      <x:c r="H63" s="23"/>
      <x:c r="I63" s="30"/>
      <x:c r="J63" s="23"/>
      <x:c r="K63" s="23"/>
      <x:c r="L63" s="23"/>
      <x:c r="M63" s="23" t="str">
        <x:f>IF(D63="","",VALUE(LEFT(D63,FIND("+",D63)-1))*1000+VALUE(MID(D63,FIND("+",D63)+1,3)))</x:f>
      </x:c>
      <x:c r="N63" s="23" t="str">
        <x:f>IF(E63="","",VALUE(LEFT(E63,FIND("+",E63)-1))*1000+VALUE(MID(E63,FIND("+",E63)+1,3)))</x:f>
      </x:c>
      <x:c r="O63" s="23" t="str">
        <x:f>IF(AND(M63="",N63=""),"",MIN(IF(M63="",N63,M63),IF(N63="",M63,N63)))</x:f>
      </x:c>
      <x:c r="P63" s="23" t="str">
        <x:f>IF(AND(M63="",N63=""),"",MAX(IF(M63="",N63,M63),IF(N63="",M63,N63)))</x:f>
      </x:c>
    </x:row>
    <x:row r="64" ht="21" customHeight="1">
      <x:c r="A64" s="26"/>
      <x:c r="B64" s="23"/>
      <x:c r="C64" s="23"/>
      <x:c r="D64" s="28"/>
      <x:c r="E64" s="28"/>
      <x:c r="F64" s="23"/>
      <x:c r="G64" s="23"/>
      <x:c r="H64" s="23"/>
      <x:c r="I64" s="30"/>
      <x:c r="J64" s="23"/>
      <x:c r="K64" s="23"/>
      <x:c r="L64" s="23"/>
      <x:c r="M64" s="23" t="str">
        <x:f>IF(D64="","",VALUE(LEFT(D64,FIND("+",D64)-1))*1000+VALUE(MID(D64,FIND("+",D64)+1,3)))</x:f>
      </x:c>
      <x:c r="N64" s="23" t="str">
        <x:f>IF(E64="","",VALUE(LEFT(E64,FIND("+",E64)-1))*1000+VALUE(MID(E64,FIND("+",E64)+1,3)))</x:f>
      </x:c>
      <x:c r="O64" s="23" t="str">
        <x:f>IF(AND(M64="",N64=""),"",MIN(IF(M64="",N64,M64),IF(N64="",M64,N64)))</x:f>
      </x:c>
      <x:c r="P64" s="23" t="str">
        <x:f>IF(AND(M64="",N64=""),"",MAX(IF(M64="",N64,M64),IF(N64="",M64,N64)))</x:f>
      </x:c>
    </x:row>
    <x:row r="65" ht="21" customHeight="1">
      <x:c r="A65" s="26"/>
      <x:c r="B65" s="23"/>
      <x:c r="C65" s="23"/>
      <x:c r="D65" s="28"/>
      <x:c r="E65" s="28"/>
      <x:c r="F65" s="23"/>
      <x:c r="G65" s="23"/>
      <x:c r="H65" s="23"/>
      <x:c r="I65" s="30"/>
      <x:c r="J65" s="23"/>
      <x:c r="K65" s="23"/>
      <x:c r="L65" s="23"/>
      <x:c r="M65" s="23" t="str">
        <x:f>IF(D65="","",VALUE(LEFT(D65,FIND("+",D65)-1))*1000+VALUE(MID(D65,FIND("+",D65)+1,3)))</x:f>
      </x:c>
      <x:c r="N65" s="23" t="str">
        <x:f>IF(E65="","",VALUE(LEFT(E65,FIND("+",E65)-1))*1000+VALUE(MID(E65,FIND("+",E65)+1,3)))</x:f>
      </x:c>
      <x:c r="O65" s="23" t="str">
        <x:f>IF(AND(M65="",N65=""),"",MIN(IF(M65="",N65,M65),IF(N65="",M65,N65)))</x:f>
      </x:c>
      <x:c r="P65" s="23" t="str">
        <x:f>IF(AND(M65="",N65=""),"",MAX(IF(M65="",N65,M65),IF(N65="",M65,N65)))</x:f>
      </x:c>
    </x:row>
    <x:row r="66" ht="21" customHeight="1">
      <x:c r="A66" s="26"/>
      <x:c r="B66" s="23"/>
      <x:c r="C66" s="23"/>
      <x:c r="D66" s="28"/>
      <x:c r="E66" s="28"/>
      <x:c r="F66" s="23"/>
      <x:c r="G66" s="23"/>
      <x:c r="H66" s="23"/>
      <x:c r="I66" s="30"/>
      <x:c r="J66" s="23"/>
      <x:c r="K66" s="23"/>
      <x:c r="L66" s="23"/>
      <x:c r="M66" s="23" t="str">
        <x:f>IF(D66="","",VALUE(LEFT(D66,FIND("+",D66)-1))*1000+VALUE(MID(D66,FIND("+",D66)+1,3)))</x:f>
      </x:c>
      <x:c r="N66" s="23" t="str">
        <x:f>IF(E66="","",VALUE(LEFT(E66,FIND("+",E66)-1))*1000+VALUE(MID(E66,FIND("+",E66)+1,3)))</x:f>
      </x:c>
      <x:c r="O66" s="23" t="str">
        <x:f>IF(AND(M66="",N66=""),"",MIN(IF(M66="",N66,M66),IF(N66="",M66,N66)))</x:f>
      </x:c>
      <x:c r="P66" s="23" t="str">
        <x:f>IF(AND(M66="",N66=""),"",MAX(IF(M66="",N66,M66),IF(N66="",M66,N66)))</x:f>
      </x:c>
    </x:row>
    <x:row r="67" ht="21" customHeight="1">
      <x:c r="A67" s="26"/>
      <x:c r="B67" s="23"/>
      <x:c r="C67" s="23"/>
      <x:c r="D67" s="28"/>
      <x:c r="E67" s="28"/>
      <x:c r="F67" s="23"/>
      <x:c r="G67" s="23"/>
      <x:c r="H67" s="23"/>
      <x:c r="I67" s="30"/>
      <x:c r="J67" s="23"/>
      <x:c r="K67" s="23"/>
      <x:c r="L67" s="23"/>
      <x:c r="M67" s="23" t="str">
        <x:f>IF(D67="","",VALUE(LEFT(D67,FIND("+",D67)-1))*1000+VALUE(MID(D67,FIND("+",D67)+1,3)))</x:f>
      </x:c>
      <x:c r="N67" s="23" t="str">
        <x:f>IF(E67="","",VALUE(LEFT(E67,FIND("+",E67)-1))*1000+VALUE(MID(E67,FIND("+",E67)+1,3)))</x:f>
      </x:c>
      <x:c r="O67" s="23" t="str">
        <x:f>IF(AND(M67="",N67=""),"",MIN(IF(M67="",N67,M67),IF(N67="",M67,N67)))</x:f>
      </x:c>
      <x:c r="P67" s="23" t="str">
        <x:f>IF(AND(M67="",N67=""),"",MAX(IF(M67="",N67,M67),IF(N67="",M67,N67)))</x:f>
      </x:c>
    </x:row>
    <x:row r="68" ht="21" customHeight="1">
      <x:c r="A68" s="26"/>
      <x:c r="B68" s="23"/>
      <x:c r="C68" s="23"/>
      <x:c r="D68" s="28"/>
      <x:c r="E68" s="28"/>
      <x:c r="F68" s="23"/>
      <x:c r="G68" s="23"/>
      <x:c r="H68" s="23"/>
      <x:c r="I68" s="30"/>
      <x:c r="J68" s="23"/>
      <x:c r="K68" s="23"/>
      <x:c r="L68" s="23"/>
      <x:c r="M68" s="23" t="str">
        <x:f>IF(D68="","",VALUE(LEFT(D68,FIND("+",D68)-1))*1000+VALUE(MID(D68,FIND("+",D68)+1,3)))</x:f>
      </x:c>
      <x:c r="N68" s="23" t="str">
        <x:f>IF(E68="","",VALUE(LEFT(E68,FIND("+",E68)-1))*1000+VALUE(MID(E68,FIND("+",E68)+1,3)))</x:f>
      </x:c>
      <x:c r="O68" s="23" t="str">
        <x:f>IF(AND(M68="",N68=""),"",MIN(IF(M68="",N68,M68),IF(N68="",M68,N68)))</x:f>
      </x:c>
      <x:c r="P68" s="23" t="str">
        <x:f>IF(AND(M68="",N68=""),"",MAX(IF(M68="",N68,M68),IF(N68="",M68,N68)))</x:f>
      </x:c>
    </x:row>
    <x:row r="69" ht="21" customHeight="1">
      <x:c r="A69" s="26"/>
      <x:c r="B69" s="23"/>
      <x:c r="C69" s="23"/>
      <x:c r="D69" s="28"/>
      <x:c r="E69" s="28"/>
      <x:c r="F69" s="23"/>
      <x:c r="G69" s="23"/>
      <x:c r="H69" s="23"/>
      <x:c r="I69" s="30"/>
      <x:c r="J69" s="23"/>
      <x:c r="K69" s="23"/>
      <x:c r="L69" s="23"/>
      <x:c r="M69" s="23" t="str">
        <x:f>IF(D69="","",VALUE(LEFT(D69,FIND("+",D69)-1))*1000+VALUE(MID(D69,FIND("+",D69)+1,3)))</x:f>
      </x:c>
      <x:c r="N69" s="23" t="str">
        <x:f>IF(E69="","",VALUE(LEFT(E69,FIND("+",E69)-1))*1000+VALUE(MID(E69,FIND("+",E69)+1,3)))</x:f>
      </x:c>
      <x:c r="O69" s="23" t="str">
        <x:f>IF(AND(M69="",N69=""),"",MIN(IF(M69="",N69,M69),IF(N69="",M69,N69)))</x:f>
      </x:c>
      <x:c r="P69" s="23" t="str">
        <x:f>IF(AND(M69="",N69=""),"",MAX(IF(M69="",N69,M69),IF(N69="",M69,N69)))</x:f>
      </x:c>
    </x:row>
    <x:row r="70" ht="21" customHeight="1">
      <x:c r="A70" s="26"/>
      <x:c r="B70" s="23"/>
      <x:c r="C70" s="23"/>
      <x:c r="D70" s="28"/>
      <x:c r="E70" s="28"/>
      <x:c r="F70" s="23"/>
      <x:c r="G70" s="23"/>
      <x:c r="H70" s="23"/>
      <x:c r="I70" s="30"/>
      <x:c r="J70" s="23"/>
      <x:c r="K70" s="23"/>
      <x:c r="L70" s="23"/>
      <x:c r="M70" s="23" t="str">
        <x:f>IF(D70="","",VALUE(LEFT(D70,FIND("+",D70)-1))*1000+VALUE(MID(D70,FIND("+",D70)+1,3)))</x:f>
      </x:c>
      <x:c r="N70" s="23" t="str">
        <x:f>IF(E70="","",VALUE(LEFT(E70,FIND("+",E70)-1))*1000+VALUE(MID(E70,FIND("+",E70)+1,3)))</x:f>
      </x:c>
      <x:c r="O70" s="23" t="str">
        <x:f>IF(AND(M70="",N70=""),"",MIN(IF(M70="",N70,M70),IF(N70="",M70,N70)))</x:f>
      </x:c>
      <x:c r="P70" s="23" t="str">
        <x:f>IF(AND(M70="",N70=""),"",MAX(IF(M70="",N70,M70),IF(N70="",M70,N70)))</x:f>
      </x:c>
    </x:row>
    <x:row r="71" ht="21" customHeight="1">
      <x:c r="A71" s="26"/>
      <x:c r="B71" s="23"/>
      <x:c r="C71" s="23"/>
      <x:c r="D71" s="28"/>
      <x:c r="E71" s="28"/>
      <x:c r="F71" s="23"/>
      <x:c r="G71" s="23"/>
      <x:c r="H71" s="23"/>
      <x:c r="I71" s="30"/>
      <x:c r="J71" s="23"/>
      <x:c r="K71" s="23"/>
      <x:c r="L71" s="23"/>
      <x:c r="M71" s="23" t="str">
        <x:f>IF(D71="","",VALUE(LEFT(D71,FIND("+",D71)-1))*1000+VALUE(MID(D71,FIND("+",D71)+1,3)))</x:f>
      </x:c>
      <x:c r="N71" s="23" t="str">
        <x:f>IF(E71="","",VALUE(LEFT(E71,FIND("+",E71)-1))*1000+VALUE(MID(E71,FIND("+",E71)+1,3)))</x:f>
      </x:c>
      <x:c r="O71" s="23" t="str">
        <x:f>IF(AND(M71="",N71=""),"",MIN(IF(M71="",N71,M71),IF(N71="",M71,N71)))</x:f>
      </x:c>
      <x:c r="P71" s="23" t="str">
        <x:f>IF(AND(M71="",N71=""),"",MAX(IF(M71="",N71,M71),IF(N71="",M71,N71)))</x:f>
      </x:c>
    </x:row>
    <x:row r="72" ht="21" customHeight="1">
      <x:c r="A72" s="26"/>
      <x:c r="B72" s="23"/>
      <x:c r="C72" s="23"/>
      <x:c r="D72" s="28"/>
      <x:c r="E72" s="28"/>
      <x:c r="F72" s="23"/>
      <x:c r="G72" s="23"/>
      <x:c r="H72" s="23"/>
      <x:c r="I72" s="30"/>
      <x:c r="J72" s="23"/>
      <x:c r="K72" s="23"/>
      <x:c r="L72" s="23"/>
      <x:c r="M72" s="23" t="str">
        <x:f>IF(D72="","",VALUE(LEFT(D72,FIND("+",D72)-1))*1000+VALUE(MID(D72,FIND("+",D72)+1,3)))</x:f>
      </x:c>
      <x:c r="N72" s="23" t="str">
        <x:f>IF(E72="","",VALUE(LEFT(E72,FIND("+",E72)-1))*1000+VALUE(MID(E72,FIND("+",E72)+1,3)))</x:f>
      </x:c>
      <x:c r="O72" s="23" t="str">
        <x:f>IF(AND(M72="",N72=""),"",MIN(IF(M72="",N72,M72),IF(N72="",M72,N72)))</x:f>
      </x:c>
      <x:c r="P72" s="23" t="str">
        <x:f>IF(AND(M72="",N72=""),"",MAX(IF(M72="",N72,M72),IF(N72="",M72,N72)))</x:f>
      </x:c>
    </x:row>
    <x:row r="73" ht="21" customHeight="1">
      <x:c r="A73" s="26"/>
      <x:c r="B73" s="23"/>
      <x:c r="C73" s="23"/>
      <x:c r="D73" s="28"/>
      <x:c r="E73" s="28"/>
      <x:c r="F73" s="23"/>
      <x:c r="G73" s="23"/>
      <x:c r="H73" s="23"/>
      <x:c r="I73" s="30"/>
      <x:c r="J73" s="23"/>
      <x:c r="K73" s="23"/>
      <x:c r="L73" s="23"/>
      <x:c r="M73" s="23" t="str">
        <x:f>IF(D73="","",VALUE(LEFT(D73,FIND("+",D73)-1))*1000+VALUE(MID(D73,FIND("+",D73)+1,3)))</x:f>
      </x:c>
      <x:c r="N73" s="23" t="str">
        <x:f>IF(E73="","",VALUE(LEFT(E73,FIND("+",E73)-1))*1000+VALUE(MID(E73,FIND("+",E73)+1,3)))</x:f>
      </x:c>
      <x:c r="O73" s="23" t="str">
        <x:f>IF(AND(M73="",N73=""),"",MIN(IF(M73="",N73,M73),IF(N73="",M73,N73)))</x:f>
      </x:c>
      <x:c r="P73" s="23" t="str">
        <x:f>IF(AND(M73="",N73=""),"",MAX(IF(M73="",N73,M73),IF(N73="",M73,N73)))</x:f>
      </x:c>
    </x:row>
    <x:row r="74" ht="21" customHeight="1">
      <x:c r="A74" s="26"/>
      <x:c r="B74" s="23"/>
      <x:c r="C74" s="23"/>
      <x:c r="D74" s="28"/>
      <x:c r="E74" s="28"/>
      <x:c r="F74" s="23"/>
      <x:c r="G74" s="23"/>
      <x:c r="H74" s="23"/>
      <x:c r="I74" s="30"/>
      <x:c r="J74" s="23"/>
      <x:c r="K74" s="23"/>
      <x:c r="L74" s="23"/>
      <x:c r="M74" s="23" t="str">
        <x:f>IF(D74="","",VALUE(LEFT(D74,FIND("+",D74)-1))*1000+VALUE(MID(D74,FIND("+",D74)+1,3)))</x:f>
      </x:c>
      <x:c r="N74" s="23" t="str">
        <x:f>IF(E74="","",VALUE(LEFT(E74,FIND("+",E74)-1))*1000+VALUE(MID(E74,FIND("+",E74)+1,3)))</x:f>
      </x:c>
      <x:c r="O74" s="23" t="str">
        <x:f>IF(AND(M74="",N74=""),"",MIN(IF(M74="",N74,M74),IF(N74="",M74,N74)))</x:f>
      </x:c>
      <x:c r="P74" s="23" t="str">
        <x:f>IF(AND(M74="",N74=""),"",MAX(IF(M74="",N74,M74),IF(N74="",M74,N74)))</x:f>
      </x:c>
    </x:row>
    <x:row r="75" ht="21" customHeight="1">
      <x:c r="A75" s="26"/>
      <x:c r="B75" s="23"/>
      <x:c r="C75" s="23"/>
      <x:c r="D75" s="28"/>
      <x:c r="E75" s="28"/>
      <x:c r="F75" s="23"/>
      <x:c r="G75" s="23"/>
      <x:c r="H75" s="23"/>
      <x:c r="I75" s="30"/>
      <x:c r="J75" s="23"/>
      <x:c r="K75" s="23"/>
      <x:c r="L75" s="23"/>
      <x:c r="M75" s="23" t="str">
        <x:f>IF(D75="","",VALUE(LEFT(D75,FIND("+",D75)-1))*1000+VALUE(MID(D75,FIND("+",D75)+1,3)))</x:f>
      </x:c>
      <x:c r="N75" s="23" t="str">
        <x:f>IF(E75="","",VALUE(LEFT(E75,FIND("+",E75)-1))*1000+VALUE(MID(E75,FIND("+",E75)+1,3)))</x:f>
      </x:c>
      <x:c r="O75" s="23" t="str">
        <x:f>IF(AND(M75="",N75=""),"",MIN(IF(M75="",N75,M75),IF(N75="",M75,N75)))</x:f>
      </x:c>
      <x:c r="P75" s="23" t="str">
        <x:f>IF(AND(M75="",N75=""),"",MAX(IF(M75="",N75,M75),IF(N75="",M75,N75)))</x:f>
      </x:c>
    </x:row>
    <x:row r="76" ht="21" customHeight="1">
      <x:c r="A76" s="26"/>
      <x:c r="B76" s="23"/>
      <x:c r="C76" s="23"/>
      <x:c r="D76" s="28"/>
      <x:c r="E76" s="28"/>
      <x:c r="F76" s="23"/>
      <x:c r="G76" s="23"/>
      <x:c r="H76" s="23"/>
      <x:c r="I76" s="30"/>
      <x:c r="J76" s="23"/>
      <x:c r="K76" s="23"/>
      <x:c r="L76" s="23"/>
      <x:c r="M76" s="23" t="str">
        <x:f>IF(D76="","",VALUE(LEFT(D76,FIND("+",D76)-1))*1000+VALUE(MID(D76,FIND("+",D76)+1,3)))</x:f>
      </x:c>
      <x:c r="N76" s="23" t="str">
        <x:f>IF(E76="","",VALUE(LEFT(E76,FIND("+",E76)-1))*1000+VALUE(MID(E76,FIND("+",E76)+1,3)))</x:f>
      </x:c>
      <x:c r="O76" s="23" t="str">
        <x:f>IF(AND(M76="",N76=""),"",MIN(IF(M76="",N76,M76),IF(N76="",M76,N76)))</x:f>
      </x:c>
      <x:c r="P76" s="23" t="str">
        <x:f>IF(AND(M76="",N76=""),"",MAX(IF(M76="",N76,M76),IF(N76="",M76,N76)))</x:f>
      </x:c>
    </x:row>
    <x:row r="77" ht="21" customHeight="1">
      <x:c r="A77" s="26"/>
      <x:c r="B77" s="23"/>
      <x:c r="C77" s="23"/>
      <x:c r="D77" s="28"/>
      <x:c r="E77" s="28"/>
      <x:c r="F77" s="23"/>
      <x:c r="G77" s="23"/>
      <x:c r="H77" s="23"/>
      <x:c r="I77" s="30"/>
      <x:c r="J77" s="23"/>
      <x:c r="K77" s="23"/>
      <x:c r="L77" s="23"/>
      <x:c r="M77" s="23" t="str">
        <x:f>IF(D77="","",VALUE(LEFT(D77,FIND("+",D77)-1))*1000+VALUE(MID(D77,FIND("+",D77)+1,3)))</x:f>
      </x:c>
      <x:c r="N77" s="23" t="str">
        <x:f>IF(E77="","",VALUE(LEFT(E77,FIND("+",E77)-1))*1000+VALUE(MID(E77,FIND("+",E77)+1,3)))</x:f>
      </x:c>
      <x:c r="O77" s="23" t="str">
        <x:f>IF(AND(M77="",N77=""),"",MIN(IF(M77="",N77,M77),IF(N77="",M77,N77)))</x:f>
      </x:c>
      <x:c r="P77" s="23" t="str">
        <x:f>IF(AND(M77="",N77=""),"",MAX(IF(M77="",N77,M77),IF(N77="",M77,N77)))</x:f>
      </x:c>
    </x:row>
    <x:row r="78" ht="21" customHeight="1">
      <x:c r="A78" s="26"/>
      <x:c r="B78" s="23"/>
      <x:c r="C78" s="23"/>
      <x:c r="D78" s="28"/>
      <x:c r="E78" s="28"/>
      <x:c r="F78" s="23"/>
      <x:c r="G78" s="23"/>
      <x:c r="H78" s="23"/>
      <x:c r="I78" s="30"/>
      <x:c r="J78" s="23"/>
      <x:c r="K78" s="23"/>
      <x:c r="L78" s="23"/>
      <x:c r="M78" s="23" t="str">
        <x:f>IF(D78="","",VALUE(LEFT(D78,FIND("+",D78)-1))*1000+VALUE(MID(D78,FIND("+",D78)+1,3)))</x:f>
      </x:c>
      <x:c r="N78" s="23" t="str">
        <x:f>IF(E78="","",VALUE(LEFT(E78,FIND("+",E78)-1))*1000+VALUE(MID(E78,FIND("+",E78)+1,3)))</x:f>
      </x:c>
      <x:c r="O78" s="23" t="str">
        <x:f>IF(AND(M78="",N78=""),"",MIN(IF(M78="",N78,M78),IF(N78="",M78,N78)))</x:f>
      </x:c>
      <x:c r="P78" s="23" t="str">
        <x:f>IF(AND(M78="",N78=""),"",MAX(IF(M78="",N78,M78),IF(N78="",M78,N78)))</x:f>
      </x:c>
    </x:row>
    <x:row r="79" ht="21" customHeight="1">
      <x:c r="A79" s="26"/>
      <x:c r="B79" s="23"/>
      <x:c r="C79" s="23"/>
      <x:c r="D79" s="28"/>
      <x:c r="E79" s="28"/>
      <x:c r="F79" s="23"/>
      <x:c r="G79" s="23"/>
      <x:c r="H79" s="23"/>
      <x:c r="I79" s="30"/>
      <x:c r="J79" s="23"/>
      <x:c r="K79" s="23"/>
      <x:c r="L79" s="23"/>
      <x:c r="M79" s="23" t="str">
        <x:f>IF(D79="","",VALUE(LEFT(D79,FIND("+",D79)-1))*1000+VALUE(MID(D79,FIND("+",D79)+1,3)))</x:f>
      </x:c>
      <x:c r="N79" s="23" t="str">
        <x:f>IF(E79="","",VALUE(LEFT(E79,FIND("+",E79)-1))*1000+VALUE(MID(E79,FIND("+",E79)+1,3)))</x:f>
      </x:c>
      <x:c r="O79" s="23" t="str">
        <x:f>IF(AND(M79="",N79=""),"",MIN(IF(M79="",N79,M79),IF(N79="",M79,N79)))</x:f>
      </x:c>
      <x:c r="P79" s="23" t="str">
        <x:f>IF(AND(M79="",N79=""),"",MAX(IF(M79="",N79,M79),IF(N79="",M79,N79)))</x:f>
      </x:c>
    </x:row>
    <x:row r="80" ht="21" customHeight="1">
      <x:c r="A80" s="26"/>
      <x:c r="B80" s="23"/>
      <x:c r="C80" s="23"/>
      <x:c r="D80" s="28"/>
      <x:c r="E80" s="28"/>
      <x:c r="F80" s="23"/>
      <x:c r="G80" s="23"/>
      <x:c r="H80" s="23"/>
      <x:c r="I80" s="30"/>
      <x:c r="J80" s="23"/>
      <x:c r="K80" s="23"/>
      <x:c r="L80" s="23"/>
      <x:c r="M80" s="23" t="str">
        <x:f>IF(D80="","",VALUE(LEFT(D80,FIND("+",D80)-1))*1000+VALUE(MID(D80,FIND("+",D80)+1,3)))</x:f>
      </x:c>
      <x:c r="N80" s="23" t="str">
        <x:f>IF(E80="","",VALUE(LEFT(E80,FIND("+",E80)-1))*1000+VALUE(MID(E80,FIND("+",E80)+1,3)))</x:f>
      </x:c>
      <x:c r="O80" s="23" t="str">
        <x:f>IF(AND(M80="",N80=""),"",MIN(IF(M80="",N80,M80),IF(N80="",M80,N80)))</x:f>
      </x:c>
      <x:c r="P80" s="23" t="str">
        <x:f>IF(AND(M80="",N80=""),"",MAX(IF(M80="",N80,M80),IF(N80="",M80,N80)))</x:f>
      </x:c>
    </x:row>
    <x:row r="81" ht="21" customHeight="1">
      <x:c r="A81" s="26"/>
      <x:c r="B81" s="23"/>
      <x:c r="C81" s="23"/>
      <x:c r="D81" s="28"/>
      <x:c r="E81" s="28"/>
      <x:c r="F81" s="23"/>
      <x:c r="G81" s="23"/>
      <x:c r="H81" s="23"/>
      <x:c r="I81" s="30"/>
      <x:c r="J81" s="23"/>
      <x:c r="K81" s="23"/>
      <x:c r="L81" s="23"/>
      <x:c r="M81" s="23" t="str">
        <x:f>IF(D81="","",VALUE(LEFT(D81,FIND("+",D81)-1))*1000+VALUE(MID(D81,FIND("+",D81)+1,3)))</x:f>
      </x:c>
      <x:c r="N81" s="23" t="str">
        <x:f>IF(E81="","",VALUE(LEFT(E81,FIND("+",E81)-1))*1000+VALUE(MID(E81,FIND("+",E81)+1,3)))</x:f>
      </x:c>
      <x:c r="O81" s="23" t="str">
        <x:f>IF(AND(M81="",N81=""),"",MIN(IF(M81="",N81,M81),IF(N81="",M81,N81)))</x:f>
      </x:c>
      <x:c r="P81" s="23" t="str">
        <x:f>IF(AND(M81="",N81=""),"",MAX(IF(M81="",N81,M81),IF(N81="",M81,N81)))</x:f>
      </x:c>
    </x:row>
    <x:row r="82" ht="21" customHeight="1">
      <x:c r="A82" s="26"/>
      <x:c r="B82" s="23"/>
      <x:c r="C82" s="23"/>
      <x:c r="D82" s="28"/>
      <x:c r="E82" s="28"/>
      <x:c r="F82" s="23"/>
      <x:c r="G82" s="23"/>
      <x:c r="H82" s="23"/>
      <x:c r="I82" s="30"/>
      <x:c r="J82" s="23"/>
      <x:c r="K82" s="23"/>
      <x:c r="L82" s="23"/>
      <x:c r="M82" s="23" t="str">
        <x:f>IF(D82="","",VALUE(LEFT(D82,FIND("+",D82)-1))*1000+VALUE(MID(D82,FIND("+",D82)+1,3)))</x:f>
      </x:c>
      <x:c r="N82" s="23" t="str">
        <x:f>IF(E82="","",VALUE(LEFT(E82,FIND("+",E82)-1))*1000+VALUE(MID(E82,FIND("+",E82)+1,3)))</x:f>
      </x:c>
      <x:c r="O82" s="23" t="str">
        <x:f>IF(AND(M82="",N82=""),"",MIN(IF(M82="",N82,M82),IF(N82="",M82,N82)))</x:f>
      </x:c>
      <x:c r="P82" s="23" t="str">
        <x:f>IF(AND(M82="",N82=""),"",MAX(IF(M82="",N82,M82),IF(N82="",M82,N82)))</x:f>
      </x:c>
    </x:row>
    <x:row r="83" ht="21" customHeight="1">
      <x:c r="A83" s="26"/>
      <x:c r="B83" s="23"/>
      <x:c r="C83" s="23"/>
      <x:c r="D83" s="28"/>
      <x:c r="E83" s="28"/>
      <x:c r="F83" s="23"/>
      <x:c r="G83" s="23"/>
      <x:c r="H83" s="23"/>
      <x:c r="I83" s="30"/>
      <x:c r="J83" s="23"/>
      <x:c r="K83" s="23"/>
      <x:c r="L83" s="23"/>
      <x:c r="M83" s="23" t="str">
        <x:f>IF(D83="","",VALUE(LEFT(D83,FIND("+",D83)-1))*1000+VALUE(MID(D83,FIND("+",D83)+1,3)))</x:f>
      </x:c>
      <x:c r="N83" s="23" t="str">
        <x:f>IF(E83="","",VALUE(LEFT(E83,FIND("+",E83)-1))*1000+VALUE(MID(E83,FIND("+",E83)+1,3)))</x:f>
      </x:c>
      <x:c r="O83" s="23" t="str">
        <x:f>IF(AND(M83="",N83=""),"",MIN(IF(M83="",N83,M83),IF(N83="",M83,N83)))</x:f>
      </x:c>
      <x:c r="P83" s="23" t="str">
        <x:f>IF(AND(M83="",N83=""),"",MAX(IF(M83="",N83,M83),IF(N83="",M83,N83)))</x:f>
      </x:c>
    </x:row>
    <x:row r="84" ht="21" customHeight="1">
      <x:c r="A84" s="26"/>
      <x:c r="B84" s="23"/>
      <x:c r="C84" s="23"/>
      <x:c r="D84" s="28"/>
      <x:c r="E84" s="28"/>
      <x:c r="F84" s="23"/>
      <x:c r="G84" s="23"/>
      <x:c r="H84" s="23"/>
      <x:c r="I84" s="30"/>
      <x:c r="J84" s="23"/>
      <x:c r="K84" s="23"/>
      <x:c r="L84" s="23"/>
      <x:c r="M84" s="23" t="str">
        <x:f>IF(D84="","",VALUE(LEFT(D84,FIND("+",D84)-1))*1000+VALUE(MID(D84,FIND("+",D84)+1,3)))</x:f>
      </x:c>
      <x:c r="N84" s="23" t="str">
        <x:f>IF(E84="","",VALUE(LEFT(E84,FIND("+",E84)-1))*1000+VALUE(MID(E84,FIND("+",E84)+1,3)))</x:f>
      </x:c>
      <x:c r="O84" s="23" t="str">
        <x:f>IF(AND(M84="",N84=""),"",MIN(IF(M84="",N84,M84),IF(N84="",M84,N84)))</x:f>
      </x:c>
      <x:c r="P84" s="23" t="str">
        <x:f>IF(AND(M84="",N84=""),"",MAX(IF(M84="",N84,M84),IF(N84="",M84,N84)))</x:f>
      </x:c>
    </x:row>
    <x:row r="85" ht="21" customHeight="1">
      <x:c r="A85" s="26"/>
      <x:c r="B85" s="23"/>
      <x:c r="C85" s="23"/>
      <x:c r="D85" s="28"/>
      <x:c r="E85" s="28"/>
      <x:c r="F85" s="23"/>
      <x:c r="G85" s="23"/>
      <x:c r="H85" s="23"/>
      <x:c r="I85" s="30"/>
      <x:c r="J85" s="23"/>
      <x:c r="K85" s="23"/>
      <x:c r="L85" s="23"/>
      <x:c r="M85" s="23" t="str">
        <x:f>IF(D85="","",VALUE(LEFT(D85,FIND("+",D85)-1))*1000+VALUE(MID(D85,FIND("+",D85)+1,3)))</x:f>
      </x:c>
      <x:c r="N85" s="23" t="str">
        <x:f>IF(E85="","",VALUE(LEFT(E85,FIND("+",E85)-1))*1000+VALUE(MID(E85,FIND("+",E85)+1,3)))</x:f>
      </x:c>
      <x:c r="O85" s="23" t="str">
        <x:f>IF(AND(M85="",N85=""),"",MIN(IF(M85="",N85,M85),IF(N85="",M85,N85)))</x:f>
      </x:c>
      <x:c r="P85" s="23" t="str">
        <x:f>IF(AND(M85="",N85=""),"",MAX(IF(M85="",N85,M85),IF(N85="",M85,N85)))</x:f>
      </x:c>
    </x:row>
    <x:row r="86" ht="21" customHeight="1">
      <x:c r="A86" s="26"/>
      <x:c r="B86" s="23"/>
      <x:c r="C86" s="23"/>
      <x:c r="D86" s="28"/>
      <x:c r="E86" s="28"/>
      <x:c r="F86" s="23"/>
      <x:c r="G86" s="23"/>
      <x:c r="H86" s="23"/>
      <x:c r="I86" s="30"/>
      <x:c r="J86" s="23"/>
      <x:c r="K86" s="23"/>
      <x:c r="L86" s="23"/>
      <x:c r="M86" s="23" t="str">
        <x:f>IF(D86="","",VALUE(LEFT(D86,FIND("+",D86)-1))*1000+VALUE(MID(D86,FIND("+",D86)+1,3)))</x:f>
      </x:c>
      <x:c r="N86" s="23" t="str">
        <x:f>IF(E86="","",VALUE(LEFT(E86,FIND("+",E86)-1))*1000+VALUE(MID(E86,FIND("+",E86)+1,3)))</x:f>
      </x:c>
      <x:c r="O86" s="23" t="str">
        <x:f>IF(AND(M86="",N86=""),"",MIN(IF(M86="",N86,M86),IF(N86="",M86,N86)))</x:f>
      </x:c>
      <x:c r="P86" s="23" t="str">
        <x:f>IF(AND(M86="",N86=""),"",MAX(IF(M86="",N86,M86),IF(N86="",M86,N86)))</x:f>
      </x:c>
    </x:row>
    <x:row r="87" ht="21" customHeight="1">
      <x:c r="A87" s="26"/>
      <x:c r="B87" s="23"/>
      <x:c r="C87" s="23"/>
      <x:c r="D87" s="28"/>
      <x:c r="E87" s="28"/>
      <x:c r="F87" s="23"/>
      <x:c r="G87" s="23"/>
      <x:c r="H87" s="23"/>
      <x:c r="I87" s="30"/>
      <x:c r="J87" s="23"/>
      <x:c r="K87" s="23"/>
      <x:c r="L87" s="23"/>
      <x:c r="M87" s="23" t="str">
        <x:f>IF(D87="","",VALUE(LEFT(D87,FIND("+",D87)-1))*1000+VALUE(MID(D87,FIND("+",D87)+1,3)))</x:f>
      </x:c>
      <x:c r="N87" s="23" t="str">
        <x:f>IF(E87="","",VALUE(LEFT(E87,FIND("+",E87)-1))*1000+VALUE(MID(E87,FIND("+",E87)+1,3)))</x:f>
      </x:c>
      <x:c r="O87" s="23" t="str">
        <x:f>IF(AND(M87="",N87=""),"",MIN(IF(M87="",N87,M87),IF(N87="",M87,N87)))</x:f>
      </x:c>
      <x:c r="P87" s="23" t="str">
        <x:f>IF(AND(M87="",N87=""),"",MAX(IF(M87="",N87,M87),IF(N87="",M87,N87)))</x:f>
      </x:c>
    </x:row>
    <x:row r="88" ht="21" customHeight="1">
      <x:c r="A88" s="26"/>
      <x:c r="B88" s="23"/>
      <x:c r="C88" s="23"/>
      <x:c r="D88" s="28"/>
      <x:c r="E88" s="28"/>
      <x:c r="F88" s="23"/>
      <x:c r="G88" s="23"/>
      <x:c r="H88" s="23"/>
      <x:c r="I88" s="30"/>
      <x:c r="J88" s="23"/>
      <x:c r="K88" s="23"/>
      <x:c r="L88" s="23"/>
      <x:c r="M88" s="23" t="str">
        <x:f>IF(D88="","",VALUE(LEFT(D88,FIND("+",D88)-1))*1000+VALUE(MID(D88,FIND("+",D88)+1,3)))</x:f>
      </x:c>
      <x:c r="N88" s="23" t="str">
        <x:f>IF(E88="","",VALUE(LEFT(E88,FIND("+",E88)-1))*1000+VALUE(MID(E88,FIND("+",E88)+1,3)))</x:f>
      </x:c>
      <x:c r="O88" s="23" t="str">
        <x:f>IF(AND(M88="",N88=""),"",MIN(IF(M88="",N88,M88),IF(N88="",M88,N88)))</x:f>
      </x:c>
      <x:c r="P88" s="23" t="str">
        <x:f>IF(AND(M88="",N88=""),"",MAX(IF(M88="",N88,M88),IF(N88="",M88,N88)))</x:f>
      </x:c>
    </x:row>
    <x:row r="89" ht="21" customHeight="1">
      <x:c r="A89" s="26"/>
      <x:c r="B89" s="23"/>
      <x:c r="C89" s="23"/>
      <x:c r="D89" s="28"/>
      <x:c r="E89" s="28"/>
      <x:c r="F89" s="23"/>
      <x:c r="G89" s="23"/>
      <x:c r="H89" s="23"/>
      <x:c r="I89" s="30"/>
      <x:c r="J89" s="23"/>
      <x:c r="K89" s="23"/>
      <x:c r="L89" s="23"/>
      <x:c r="M89" s="23" t="str">
        <x:f>IF(D89="","",VALUE(LEFT(D89,FIND("+",D89)-1))*1000+VALUE(MID(D89,FIND("+",D89)+1,3)))</x:f>
      </x:c>
      <x:c r="N89" s="23" t="str">
        <x:f>IF(E89="","",VALUE(LEFT(E89,FIND("+",E89)-1))*1000+VALUE(MID(E89,FIND("+",E89)+1,3)))</x:f>
      </x:c>
      <x:c r="O89" s="23" t="str">
        <x:f>IF(AND(M89="",N89=""),"",MIN(IF(M89="",N89,M89),IF(N89="",M89,N89)))</x:f>
      </x:c>
      <x:c r="P89" s="23" t="str">
        <x:f>IF(AND(M89="",N89=""),"",MAX(IF(M89="",N89,M89),IF(N89="",M89,N89)))</x:f>
      </x:c>
    </x:row>
    <x:row r="90" ht="21" customHeight="1">
      <x:c r="A90" s="26"/>
      <x:c r="B90" s="23"/>
      <x:c r="C90" s="23"/>
      <x:c r="D90" s="28"/>
      <x:c r="E90" s="28"/>
      <x:c r="F90" s="23"/>
      <x:c r="G90" s="23"/>
      <x:c r="H90" s="23"/>
      <x:c r="I90" s="30"/>
      <x:c r="J90" s="23"/>
      <x:c r="K90" s="23"/>
      <x:c r="L90" s="23"/>
      <x:c r="M90" s="23" t="str">
        <x:f>IF(D90="","",VALUE(LEFT(D90,FIND("+",D90)-1))*1000+VALUE(MID(D90,FIND("+",D90)+1,3)))</x:f>
      </x:c>
      <x:c r="N90" s="23" t="str">
        <x:f>IF(E90="","",VALUE(LEFT(E90,FIND("+",E90)-1))*1000+VALUE(MID(E90,FIND("+",E90)+1,3)))</x:f>
      </x:c>
      <x:c r="O90" s="23" t="str">
        <x:f>IF(AND(M90="",N90=""),"",MIN(IF(M90="",N90,M90),IF(N90="",M90,N90)))</x:f>
      </x:c>
      <x:c r="P90" s="23" t="str">
        <x:f>IF(AND(M90="",N90=""),"",MAX(IF(M90="",N90,M90),IF(N90="",M90,N90)))</x:f>
      </x:c>
    </x:row>
    <x:row r="91" ht="21" customHeight="1">
      <x:c r="A91" s="26"/>
      <x:c r="B91" s="23"/>
      <x:c r="C91" s="23"/>
      <x:c r="D91" s="28"/>
      <x:c r="E91" s="28"/>
      <x:c r="F91" s="23"/>
      <x:c r="G91" s="23"/>
      <x:c r="H91" s="23"/>
      <x:c r="I91" s="30"/>
      <x:c r="J91" s="23"/>
      <x:c r="K91" s="23"/>
      <x:c r="L91" s="23"/>
      <x:c r="M91" s="23" t="str">
        <x:f>IF(D91="","",VALUE(LEFT(D91,FIND("+",D91)-1))*1000+VALUE(MID(D91,FIND("+",D91)+1,3)))</x:f>
      </x:c>
      <x:c r="N91" s="23" t="str">
        <x:f>IF(E91="","",VALUE(LEFT(E91,FIND("+",E91)-1))*1000+VALUE(MID(E91,FIND("+",E91)+1,3)))</x:f>
      </x:c>
      <x:c r="O91" s="23" t="str">
        <x:f>IF(AND(M91="",N91=""),"",MIN(IF(M91="",N91,M91),IF(N91="",M91,N91)))</x:f>
      </x:c>
      <x:c r="P91" s="23" t="str">
        <x:f>IF(AND(M91="",N91=""),"",MAX(IF(M91="",N91,M91),IF(N91="",M91,N91)))</x:f>
      </x:c>
    </x:row>
    <x:row r="92" ht="21" customHeight="1">
      <x:c r="A92" s="26"/>
      <x:c r="B92" s="23"/>
      <x:c r="C92" s="23"/>
      <x:c r="D92" s="28"/>
      <x:c r="E92" s="28"/>
      <x:c r="F92" s="23"/>
      <x:c r="G92" s="23"/>
      <x:c r="H92" s="23"/>
      <x:c r="I92" s="30"/>
      <x:c r="J92" s="23"/>
      <x:c r="K92" s="23"/>
      <x:c r="L92" s="23"/>
      <x:c r="M92" s="23" t="str">
        <x:f>IF(D92="","",VALUE(LEFT(D92,FIND("+",D92)-1))*1000+VALUE(MID(D92,FIND("+",D92)+1,3)))</x:f>
      </x:c>
      <x:c r="N92" s="23" t="str">
        <x:f>IF(E92="","",VALUE(LEFT(E92,FIND("+",E92)-1))*1000+VALUE(MID(E92,FIND("+",E92)+1,3)))</x:f>
      </x:c>
      <x:c r="O92" s="23" t="str">
        <x:f>IF(AND(M92="",N92=""),"",MIN(IF(M92="",N92,M92),IF(N92="",M92,N92)))</x:f>
      </x:c>
      <x:c r="P92" s="23" t="str">
        <x:f>IF(AND(M92="",N92=""),"",MAX(IF(M92="",N92,M92),IF(N92="",M92,N92)))</x:f>
      </x:c>
    </x:row>
    <x:row r="93" ht="21" customHeight="1">
      <x:c r="A93" s="26"/>
      <x:c r="B93" s="23"/>
      <x:c r="C93" s="23"/>
      <x:c r="D93" s="28"/>
      <x:c r="E93" s="28"/>
      <x:c r="F93" s="23"/>
      <x:c r="G93" s="23"/>
      <x:c r="H93" s="23"/>
      <x:c r="I93" s="30"/>
      <x:c r="J93" s="23"/>
      <x:c r="K93" s="23"/>
      <x:c r="L93" s="23"/>
      <x:c r="M93" s="23" t="str">
        <x:f>IF(D93="","",VALUE(LEFT(D93,FIND("+",D93)-1))*1000+VALUE(MID(D93,FIND("+",D93)+1,3)))</x:f>
      </x:c>
      <x:c r="N93" s="23" t="str">
        <x:f>IF(E93="","",VALUE(LEFT(E93,FIND("+",E93)-1))*1000+VALUE(MID(E93,FIND("+",E93)+1,3)))</x:f>
      </x:c>
      <x:c r="O93" s="23" t="str">
        <x:f>IF(AND(M93="",N93=""),"",MIN(IF(M93="",N93,M93),IF(N93="",M93,N93)))</x:f>
      </x:c>
      <x:c r="P93" s="23" t="str">
        <x:f>IF(AND(M93="",N93=""),"",MAX(IF(M93="",N93,M93),IF(N93="",M93,N93)))</x:f>
      </x:c>
    </x:row>
    <x:row r="94" ht="21" customHeight="1">
      <x:c r="A94" s="26"/>
      <x:c r="B94" s="23"/>
      <x:c r="C94" s="23"/>
      <x:c r="D94" s="28"/>
      <x:c r="E94" s="28"/>
      <x:c r="F94" s="23"/>
      <x:c r="G94" s="23"/>
      <x:c r="H94" s="23"/>
      <x:c r="I94" s="30"/>
      <x:c r="J94" s="23"/>
      <x:c r="K94" s="23"/>
      <x:c r="L94" s="23"/>
      <x:c r="M94" s="23" t="str">
        <x:f>IF(D94="","",VALUE(LEFT(D94,FIND("+",D94)-1))*1000+VALUE(MID(D94,FIND("+",D94)+1,3)))</x:f>
      </x:c>
      <x:c r="N94" s="23" t="str">
        <x:f>IF(E94="","",VALUE(LEFT(E94,FIND("+",E94)-1))*1000+VALUE(MID(E94,FIND("+",E94)+1,3)))</x:f>
      </x:c>
      <x:c r="O94" s="23" t="str">
        <x:f>IF(AND(M94="",N94=""),"",MIN(IF(M94="",N94,M94),IF(N94="",M94,N94)))</x:f>
      </x:c>
      <x:c r="P94" s="23" t="str">
        <x:f>IF(AND(M94="",N94=""),"",MAX(IF(M94="",N94,M94),IF(N94="",M94,N94)))</x:f>
      </x:c>
    </x:row>
    <x:row r="95" ht="21" customHeight="1">
      <x:c r="A95" s="26"/>
      <x:c r="B95" s="23"/>
      <x:c r="C95" s="23"/>
      <x:c r="D95" s="28"/>
      <x:c r="E95" s="28"/>
      <x:c r="F95" s="23"/>
      <x:c r="G95" s="23"/>
      <x:c r="H95" s="23"/>
      <x:c r="I95" s="30"/>
      <x:c r="J95" s="23"/>
      <x:c r="K95" s="23"/>
      <x:c r="L95" s="23"/>
      <x:c r="M95" s="23" t="str">
        <x:f>IF(D95="","",VALUE(LEFT(D95,FIND("+",D95)-1))*1000+VALUE(MID(D95,FIND("+",D95)+1,3)))</x:f>
      </x:c>
      <x:c r="N95" s="23" t="str">
        <x:f>IF(E95="","",VALUE(LEFT(E95,FIND("+",E95)-1))*1000+VALUE(MID(E95,FIND("+",E95)+1,3)))</x:f>
      </x:c>
      <x:c r="O95" s="23" t="str">
        <x:f>IF(AND(M95="",N95=""),"",MIN(IF(M95="",N95,M95),IF(N95="",M95,N95)))</x:f>
      </x:c>
      <x:c r="P95" s="23" t="str">
        <x:f>IF(AND(M95="",N95=""),"",MAX(IF(M95="",N95,M95),IF(N95="",M95,N95)))</x:f>
      </x:c>
    </x:row>
    <x:row r="96" ht="21" customHeight="1">
      <x:c r="A96" s="26"/>
      <x:c r="B96" s="23"/>
      <x:c r="C96" s="23"/>
      <x:c r="D96" s="28"/>
      <x:c r="E96" s="28"/>
      <x:c r="F96" s="23"/>
      <x:c r="G96" s="23"/>
      <x:c r="H96" s="23"/>
      <x:c r="I96" s="30"/>
      <x:c r="J96" s="23"/>
      <x:c r="K96" s="23"/>
      <x:c r="L96" s="23"/>
      <x:c r="M96" s="23" t="str">
        <x:f>IF(D96="","",VALUE(LEFT(D96,FIND("+",D96)-1))*1000+VALUE(MID(D96,FIND("+",D96)+1,3)))</x:f>
      </x:c>
      <x:c r="N96" s="23" t="str">
        <x:f>IF(E96="","",VALUE(LEFT(E96,FIND("+",E96)-1))*1000+VALUE(MID(E96,FIND("+",E96)+1,3)))</x:f>
      </x:c>
      <x:c r="O96" s="23" t="str">
        <x:f>IF(AND(M96="",N96=""),"",MIN(IF(M96="",N96,M96),IF(N96="",M96,N96)))</x:f>
      </x:c>
      <x:c r="P96" s="23" t="str">
        <x:f>IF(AND(M96="",N96=""),"",MAX(IF(M96="",N96,M96),IF(N96="",M96,N96)))</x:f>
      </x:c>
    </x:row>
    <x:row r="97" ht="21" customHeight="1">
      <x:c r="A97" s="26"/>
      <x:c r="B97" s="23"/>
      <x:c r="C97" s="23"/>
      <x:c r="D97" s="28"/>
      <x:c r="E97" s="28"/>
      <x:c r="F97" s="23"/>
      <x:c r="G97" s="23"/>
      <x:c r="H97" s="23"/>
      <x:c r="I97" s="30"/>
      <x:c r="J97" s="23"/>
      <x:c r="K97" s="23"/>
      <x:c r="L97" s="23"/>
      <x:c r="M97" s="23" t="str">
        <x:f>IF(D97="","",VALUE(LEFT(D97,FIND("+",D97)-1))*1000+VALUE(MID(D97,FIND("+",D97)+1,3)))</x:f>
      </x:c>
      <x:c r="N97" s="23" t="str">
        <x:f>IF(E97="","",VALUE(LEFT(E97,FIND("+",E97)-1))*1000+VALUE(MID(E97,FIND("+",E97)+1,3)))</x:f>
      </x:c>
      <x:c r="O97" s="23" t="str">
        <x:f>IF(AND(M97="",N97=""),"",MIN(IF(M97="",N97,M97),IF(N97="",M97,N97)))</x:f>
      </x:c>
      <x:c r="P97" s="23" t="str">
        <x:f>IF(AND(M97="",N97=""),"",MAX(IF(M97="",N97,M97),IF(N97="",M97,N97)))</x:f>
      </x:c>
    </x:row>
    <x:row r="98" ht="21" customHeight="1">
      <x:c r="A98" s="26"/>
      <x:c r="B98" s="23"/>
      <x:c r="C98" s="23"/>
      <x:c r="D98" s="28"/>
      <x:c r="E98" s="28"/>
      <x:c r="F98" s="23"/>
      <x:c r="G98" s="23"/>
      <x:c r="H98" s="23"/>
      <x:c r="I98" s="30"/>
      <x:c r="J98" s="23"/>
      <x:c r="K98" s="23"/>
      <x:c r="L98" s="23"/>
      <x:c r="M98" s="23" t="str">
        <x:f>IF(D98="","",VALUE(LEFT(D98,FIND("+",D98)-1))*1000+VALUE(MID(D98,FIND("+",D98)+1,3)))</x:f>
      </x:c>
      <x:c r="N98" s="23" t="str">
        <x:f>IF(E98="","",VALUE(LEFT(E98,FIND("+",E98)-1))*1000+VALUE(MID(E98,FIND("+",E98)+1,3)))</x:f>
      </x:c>
      <x:c r="O98" s="23" t="str">
        <x:f>IF(AND(M98="",N98=""),"",MIN(IF(M98="",N98,M98),IF(N98="",M98,N98)))</x:f>
      </x:c>
      <x:c r="P98" s="23" t="str">
        <x:f>IF(AND(M98="",N98=""),"",MAX(IF(M98="",N98,M98),IF(N98="",M98,N98)))</x:f>
      </x:c>
    </x:row>
    <x:row r="99" ht="21" customHeight="1">
      <x:c r="A99" s="26"/>
      <x:c r="B99" s="23"/>
      <x:c r="C99" s="23"/>
      <x:c r="D99" s="28"/>
      <x:c r="E99" s="28"/>
      <x:c r="F99" s="23"/>
      <x:c r="G99" s="23"/>
      <x:c r="H99" s="23"/>
      <x:c r="I99" s="30"/>
      <x:c r="J99" s="23"/>
      <x:c r="K99" s="23"/>
      <x:c r="L99" s="23"/>
      <x:c r="M99" s="23" t="str">
        <x:f>IF(D99="","",VALUE(LEFT(D99,FIND("+",D99)-1))*1000+VALUE(MID(D99,FIND("+",D99)+1,3)))</x:f>
      </x:c>
      <x:c r="N99" s="23" t="str">
        <x:f>IF(E99="","",VALUE(LEFT(E99,FIND("+",E99)-1))*1000+VALUE(MID(E99,FIND("+",E99)+1,3)))</x:f>
      </x:c>
      <x:c r="O99" s="23" t="str">
        <x:f>IF(AND(M99="",N99=""),"",MIN(IF(M99="",N99,M99),IF(N99="",M99,N99)))</x:f>
      </x:c>
      <x:c r="P99" s="23" t="str">
        <x:f>IF(AND(M99="",N99=""),"",MAX(IF(M99="",N99,M99),IF(N99="",M99,N99)))</x:f>
      </x:c>
    </x:row>
    <x:row r="100" ht="21" customHeight="1">
      <x:c r="A100" s="26"/>
      <x:c r="B100" s="23"/>
      <x:c r="C100" s="23"/>
      <x:c r="D100" s="28"/>
      <x:c r="E100" s="28"/>
      <x:c r="F100" s="23"/>
      <x:c r="G100" s="23"/>
      <x:c r="H100" s="23"/>
      <x:c r="I100" s="30"/>
      <x:c r="J100" s="23"/>
      <x:c r="K100" s="23"/>
      <x:c r="L100" s="23"/>
      <x:c r="M100" s="23" t="str">
        <x:f>IF(D100="","",VALUE(LEFT(D100,FIND("+",D100)-1))*1000+VALUE(MID(D100,FIND("+",D100)+1,3)))</x:f>
      </x:c>
      <x:c r="N100" s="23" t="str">
        <x:f>IF(E100="","",VALUE(LEFT(E100,FIND("+",E100)-1))*1000+VALUE(MID(E100,FIND("+",E100)+1,3)))</x:f>
      </x:c>
      <x:c r="O100" s="23" t="str">
        <x:f>IF(AND(M100="",N100=""),"",MIN(IF(M100="",N100,M100),IF(N100="",M100,N100)))</x:f>
      </x:c>
      <x:c r="P100" s="23" t="str">
        <x:f>IF(AND(M100="",N100=""),"",MAX(IF(M100="",N100,M100),IF(N100="",M100,N100)))</x:f>
      </x:c>
    </x:row>
    <x:row r="101" ht="21" customHeight="1">
      <x:c r="A101" s="26"/>
      <x:c r="B101" s="23"/>
      <x:c r="C101" s="23"/>
      <x:c r="D101" s="28"/>
      <x:c r="E101" s="28"/>
      <x:c r="F101" s="23"/>
      <x:c r="G101" s="23"/>
      <x:c r="H101" s="23"/>
      <x:c r="I101" s="30"/>
      <x:c r="J101" s="23"/>
      <x:c r="K101" s="23"/>
      <x:c r="L101" s="23"/>
      <x:c r="M101" s="23" t="str">
        <x:f>IF(D101="","",VALUE(LEFT(D101,FIND("+",D101)-1))*1000+VALUE(MID(D101,FIND("+",D101)+1,3)))</x:f>
      </x:c>
      <x:c r="N101" s="23" t="str">
        <x:f>IF(E101="","",VALUE(LEFT(E101,FIND("+",E101)-1))*1000+VALUE(MID(E101,FIND("+",E101)+1,3)))</x:f>
      </x:c>
      <x:c r="O101" s="23" t="str">
        <x:f>IF(AND(M101="",N101=""),"",MIN(IF(M101="",N101,M101),IF(N101="",M101,N101)))</x:f>
      </x:c>
      <x:c r="P101" s="23" t="str">
        <x:f>IF(AND(M101="",N101=""),"",MAX(IF(M101="",N101,M101),IF(N101="",M101,N101)))</x:f>
      </x:c>
    </x:row>
    <x:row r="102" ht="21" customHeight="1">
      <x:c r="A102" s="26"/>
      <x:c r="B102" s="23"/>
      <x:c r="C102" s="23"/>
      <x:c r="D102" s="28"/>
      <x:c r="E102" s="28"/>
      <x:c r="F102" s="23"/>
      <x:c r="G102" s="23"/>
      <x:c r="H102" s="23"/>
      <x:c r="I102" s="30"/>
      <x:c r="J102" s="23"/>
      <x:c r="K102" s="23"/>
      <x:c r="L102" s="23"/>
      <x:c r="M102" s="23" t="str">
        <x:f>IF(D102="","",VALUE(LEFT(D102,FIND("+",D102)-1))*1000+VALUE(MID(D102,FIND("+",D102)+1,3)))</x:f>
      </x:c>
      <x:c r="N102" s="23" t="str">
        <x:f>IF(E102="","",VALUE(LEFT(E102,FIND("+",E102)-1))*1000+VALUE(MID(E102,FIND("+",E102)+1,3)))</x:f>
      </x:c>
      <x:c r="O102" s="23" t="str">
        <x:f>IF(AND(M102="",N102=""),"",MIN(IF(M102="",N102,M102),IF(N102="",M102,N102)))</x:f>
      </x:c>
      <x:c r="P102" s="23" t="str">
        <x:f>IF(AND(M102="",N102=""),"",MAX(IF(M102="",N102,M102),IF(N102="",M102,N102)))</x:f>
      </x:c>
    </x:row>
    <x:row r="103" ht="21" customHeight="1">
      <x:c r="A103" s="26"/>
      <x:c r="B103" s="23"/>
      <x:c r="C103" s="23"/>
      <x:c r="D103" s="28"/>
      <x:c r="E103" s="28"/>
      <x:c r="F103" s="23"/>
      <x:c r="G103" s="23"/>
      <x:c r="H103" s="23"/>
      <x:c r="I103" s="30"/>
      <x:c r="J103" s="23"/>
      <x:c r="K103" s="23"/>
      <x:c r="L103" s="23"/>
      <x:c r="M103" s="23" t="str">
        <x:f>IF(D103="","",VALUE(LEFT(D103,FIND("+",D103)-1))*1000+VALUE(MID(D103,FIND("+",D103)+1,3)))</x:f>
      </x:c>
      <x:c r="N103" s="23" t="str">
        <x:f>IF(E103="","",VALUE(LEFT(E103,FIND("+",E103)-1))*1000+VALUE(MID(E103,FIND("+",E103)+1,3)))</x:f>
      </x:c>
      <x:c r="O103" s="23" t="str">
        <x:f>IF(AND(M103="",N103=""),"",MIN(IF(M103="",N103,M103),IF(N103="",M103,N103)))</x:f>
      </x:c>
      <x:c r="P103" s="23" t="str">
        <x:f>IF(AND(M103="",N103=""),"",MAX(IF(M103="",N103,M103),IF(N103="",M103,N103)))</x:f>
      </x:c>
    </x:row>
    <x:row r="104" ht="21" customHeight="1">
      <x:c r="A104" s="26"/>
      <x:c r="B104" s="23"/>
      <x:c r="C104" s="23"/>
      <x:c r="D104" s="28"/>
      <x:c r="E104" s="28"/>
      <x:c r="F104" s="23"/>
      <x:c r="G104" s="23"/>
      <x:c r="H104" s="23"/>
      <x:c r="I104" s="30"/>
      <x:c r="J104" s="23"/>
      <x:c r="K104" s="23"/>
      <x:c r="L104" s="23"/>
      <x:c r="M104" s="23" t="str">
        <x:f>IF(D104="","",VALUE(LEFT(D104,FIND("+",D104)-1))*1000+VALUE(MID(D104,FIND("+",D104)+1,3)))</x:f>
      </x:c>
      <x:c r="N104" s="23" t="str">
        <x:f>IF(E104="","",VALUE(LEFT(E104,FIND("+",E104)-1))*1000+VALUE(MID(E104,FIND("+",E104)+1,3)))</x:f>
      </x:c>
      <x:c r="O104" s="23" t="str">
        <x:f>IF(AND(M104="",N104=""),"",MIN(IF(M104="",N104,M104),IF(N104="",M104,N104)))</x:f>
      </x:c>
      <x:c r="P104" s="23" t="str">
        <x:f>IF(AND(M104="",N104=""),"",MAX(IF(M104="",N104,M104),IF(N104="",M104,N104)))</x:f>
      </x:c>
    </x:row>
    <x:row r="105" ht="21" customHeight="1">
      <x:c r="A105" s="26"/>
      <x:c r="B105" s="23"/>
      <x:c r="C105" s="23"/>
      <x:c r="D105" s="28"/>
      <x:c r="E105" s="28"/>
      <x:c r="F105" s="23"/>
      <x:c r="G105" s="23"/>
      <x:c r="H105" s="23"/>
      <x:c r="I105" s="30"/>
      <x:c r="J105" s="23"/>
      <x:c r="K105" s="23"/>
      <x:c r="L105" s="23"/>
      <x:c r="M105" s="23" t="str">
        <x:f>IF(D105="","",VALUE(LEFT(D105,FIND("+",D105)-1))*1000+VALUE(MID(D105,FIND("+",D105)+1,3)))</x:f>
      </x:c>
      <x:c r="N105" s="23" t="str">
        <x:f>IF(E105="","",VALUE(LEFT(E105,FIND("+",E105)-1))*1000+VALUE(MID(E105,FIND("+",E105)+1,3)))</x:f>
      </x:c>
      <x:c r="O105" s="23" t="str">
        <x:f>IF(AND(M105="",N105=""),"",MIN(IF(M105="",N105,M105),IF(N105="",M105,N105)))</x:f>
      </x:c>
      <x:c r="P105" s="23" t="str">
        <x:f>IF(AND(M105="",N105=""),"",MAX(IF(M105="",N105,M105),IF(N105="",M105,N105)))</x:f>
      </x:c>
    </x:row>
    <x:row r="106" ht="21" customHeight="1">
      <x:c r="A106" s="26"/>
      <x:c r="B106" s="23"/>
      <x:c r="C106" s="23"/>
      <x:c r="D106" s="28"/>
      <x:c r="E106" s="28"/>
      <x:c r="F106" s="23"/>
      <x:c r="G106" s="23"/>
      <x:c r="H106" s="23"/>
      <x:c r="I106" s="30"/>
      <x:c r="J106" s="23"/>
      <x:c r="K106" s="23"/>
      <x:c r="L106" s="23"/>
      <x:c r="M106" s="23" t="str">
        <x:f>IF(D106="","",VALUE(LEFT(D106,FIND("+",D106)-1))*1000+VALUE(MID(D106,FIND("+",D106)+1,3)))</x:f>
      </x:c>
      <x:c r="N106" s="23" t="str">
        <x:f>IF(E106="","",VALUE(LEFT(E106,FIND("+",E106)-1))*1000+VALUE(MID(E106,FIND("+",E106)+1,3)))</x:f>
      </x:c>
      <x:c r="O106" s="23" t="str">
        <x:f>IF(AND(M106="",N106=""),"",MIN(IF(M106="",N106,M106),IF(N106="",M106,N106)))</x:f>
      </x:c>
      <x:c r="P106" s="23" t="str">
        <x:f>IF(AND(M106="",N106=""),"",MAX(IF(M106="",N106,M106),IF(N106="",M106,N106)))</x:f>
      </x:c>
    </x:row>
    <x:row r="107" ht="21" customHeight="1">
      <x:c r="A107" s="26"/>
      <x:c r="B107" s="23"/>
      <x:c r="C107" s="23"/>
      <x:c r="D107" s="28"/>
      <x:c r="E107" s="28"/>
      <x:c r="F107" s="23"/>
      <x:c r="G107" s="23"/>
      <x:c r="H107" s="23"/>
      <x:c r="I107" s="30"/>
      <x:c r="J107" s="23"/>
      <x:c r="K107" s="23"/>
      <x:c r="L107" s="23"/>
      <x:c r="M107" s="23" t="str">
        <x:f>IF(D107="","",VALUE(LEFT(D107,FIND("+",D107)-1))*1000+VALUE(MID(D107,FIND("+",D107)+1,3)))</x:f>
      </x:c>
      <x:c r="N107" s="23" t="str">
        <x:f>IF(E107="","",VALUE(LEFT(E107,FIND("+",E107)-1))*1000+VALUE(MID(E107,FIND("+",E107)+1,3)))</x:f>
      </x:c>
      <x:c r="O107" s="23" t="str">
        <x:f>IF(AND(M107="",N107=""),"",MIN(IF(M107="",N107,M107),IF(N107="",M107,N107)))</x:f>
      </x:c>
      <x:c r="P107" s="23" t="str">
        <x:f>IF(AND(M107="",N107=""),"",MAX(IF(M107="",N107,M107),IF(N107="",M107,N107)))</x:f>
      </x:c>
    </x:row>
    <x:row r="108" ht="21" customHeight="1">
      <x:c r="A108" s="26"/>
      <x:c r="B108" s="23"/>
      <x:c r="C108" s="23"/>
      <x:c r="D108" s="28"/>
      <x:c r="E108" s="28"/>
      <x:c r="F108" s="23"/>
      <x:c r="G108" s="23"/>
      <x:c r="H108" s="23"/>
      <x:c r="I108" s="30"/>
      <x:c r="J108" s="23"/>
      <x:c r="K108" s="23"/>
      <x:c r="L108" s="23"/>
      <x:c r="M108" s="23" t="str">
        <x:f>IF(D108="","",VALUE(LEFT(D108,FIND("+",D108)-1))*1000+VALUE(MID(D108,FIND("+",D108)+1,3)))</x:f>
      </x:c>
      <x:c r="N108" s="23" t="str">
        <x:f>IF(E108="","",VALUE(LEFT(E108,FIND("+",E108)-1))*1000+VALUE(MID(E108,FIND("+",E108)+1,3)))</x:f>
      </x:c>
      <x:c r="O108" s="23" t="str">
        <x:f>IF(AND(M108="",N108=""),"",MIN(IF(M108="",N108,M108),IF(N108="",M108,N108)))</x:f>
      </x:c>
      <x:c r="P108" s="23" t="str">
        <x:f>IF(AND(M108="",N108=""),"",MAX(IF(M108="",N108,M108),IF(N108="",M108,N108)))</x:f>
      </x:c>
    </x:row>
    <x:row r="109" ht="21" customHeight="1">
      <x:c r="A109" s="26"/>
      <x:c r="B109" s="23"/>
      <x:c r="C109" s="23"/>
      <x:c r="D109" s="28"/>
      <x:c r="E109" s="28"/>
      <x:c r="F109" s="23"/>
      <x:c r="G109" s="23"/>
      <x:c r="H109" s="23"/>
      <x:c r="I109" s="30"/>
      <x:c r="J109" s="23"/>
      <x:c r="K109" s="23"/>
      <x:c r="L109" s="23"/>
      <x:c r="M109" s="23" t="str">
        <x:f>IF(D109="","",VALUE(LEFT(D109,FIND("+",D109)-1))*1000+VALUE(MID(D109,FIND("+",D109)+1,3)))</x:f>
      </x:c>
      <x:c r="N109" s="23" t="str">
        <x:f>IF(E109="","",VALUE(LEFT(E109,FIND("+",E109)-1))*1000+VALUE(MID(E109,FIND("+",E109)+1,3)))</x:f>
      </x:c>
      <x:c r="O109" s="23" t="str">
        <x:f>IF(AND(M109="",N109=""),"",MIN(IF(M109="",N109,M109),IF(N109="",M109,N109)))</x:f>
      </x:c>
      <x:c r="P109" s="23" t="str">
        <x:f>IF(AND(M109="",N109=""),"",MAX(IF(M109="",N109,M109),IF(N109="",M109,N109)))</x:f>
      </x:c>
    </x:row>
    <x:row r="110" ht="21" customHeight="1">
      <x:c r="A110" s="26"/>
      <x:c r="B110" s="23"/>
      <x:c r="C110" s="23"/>
      <x:c r="D110" s="28"/>
      <x:c r="E110" s="28"/>
      <x:c r="F110" s="23"/>
      <x:c r="G110" s="23"/>
      <x:c r="H110" s="23"/>
      <x:c r="I110" s="30"/>
      <x:c r="J110" s="23"/>
      <x:c r="K110" s="23"/>
      <x:c r="L110" s="23"/>
      <x:c r="M110" s="23" t="str">
        <x:f>IF(D110="","",VALUE(LEFT(D110,FIND("+",D110)-1))*1000+VALUE(MID(D110,FIND("+",D110)+1,3)))</x:f>
      </x:c>
      <x:c r="N110" s="23" t="str">
        <x:f>IF(E110="","",VALUE(LEFT(E110,FIND("+",E110)-1))*1000+VALUE(MID(E110,FIND("+",E110)+1,3)))</x:f>
      </x:c>
      <x:c r="O110" s="23" t="str">
        <x:f>IF(AND(M110="",N110=""),"",MIN(IF(M110="",N110,M110),IF(N110="",M110,N110)))</x:f>
      </x:c>
      <x:c r="P110" s="23" t="str">
        <x:f>IF(AND(M110="",N110=""),"",MAX(IF(M110="",N110,M110),IF(N110="",M110,N110)))</x:f>
      </x:c>
    </x:row>
    <x:row r="111" ht="21" customHeight="1">
      <x:c r="A111" s="26"/>
      <x:c r="B111" s="23"/>
      <x:c r="C111" s="23"/>
      <x:c r="D111" s="28"/>
      <x:c r="E111" s="28"/>
      <x:c r="F111" s="23"/>
      <x:c r="G111" s="23"/>
      <x:c r="H111" s="23"/>
      <x:c r="I111" s="30"/>
      <x:c r="J111" s="23"/>
      <x:c r="K111" s="23"/>
      <x:c r="L111" s="23"/>
      <x:c r="M111" s="23" t="str">
        <x:f>IF(D111="","",VALUE(LEFT(D111,FIND("+",D111)-1))*1000+VALUE(MID(D111,FIND("+",D111)+1,3)))</x:f>
      </x:c>
      <x:c r="N111" s="23" t="str">
        <x:f>IF(E111="","",VALUE(LEFT(E111,FIND("+",E111)-1))*1000+VALUE(MID(E111,FIND("+",E111)+1,3)))</x:f>
      </x:c>
      <x:c r="O111" s="23" t="str">
        <x:f>IF(AND(M111="",N111=""),"",MIN(IF(M111="",N111,M111),IF(N111="",M111,N111)))</x:f>
      </x:c>
      <x:c r="P111" s="23" t="str">
        <x:f>IF(AND(M111="",N111=""),"",MAX(IF(M111="",N111,M111),IF(N111="",M111,N111)))</x:f>
      </x:c>
    </x:row>
    <x:row r="112" ht="21" customHeight="1">
      <x:c r="A112" s="26"/>
      <x:c r="B112" s="23"/>
      <x:c r="C112" s="23"/>
      <x:c r="D112" s="28"/>
      <x:c r="E112" s="28"/>
      <x:c r="F112" s="23"/>
      <x:c r="G112" s="23"/>
      <x:c r="H112" s="23"/>
      <x:c r="I112" s="30"/>
      <x:c r="J112" s="23"/>
      <x:c r="K112" s="23"/>
      <x:c r="L112" s="23"/>
      <x:c r="M112" s="23" t="str">
        <x:f>IF(D112="","",VALUE(LEFT(D112,FIND("+",D112)-1))*1000+VALUE(MID(D112,FIND("+",D112)+1,3)))</x:f>
      </x:c>
      <x:c r="N112" s="23" t="str">
        <x:f>IF(E112="","",VALUE(LEFT(E112,FIND("+",E112)-1))*1000+VALUE(MID(E112,FIND("+",E112)+1,3)))</x:f>
      </x:c>
      <x:c r="O112" s="23" t="str">
        <x:f>IF(AND(M112="",N112=""),"",MIN(IF(M112="",N112,M112),IF(N112="",M112,N112)))</x:f>
      </x:c>
      <x:c r="P112" s="23" t="str">
        <x:f>IF(AND(M112="",N112=""),"",MAX(IF(M112="",N112,M112),IF(N112="",M112,N112)))</x:f>
      </x:c>
    </x:row>
    <x:row r="113" ht="21" customHeight="1">
      <x:c r="A113" s="26"/>
      <x:c r="B113" s="23"/>
      <x:c r="C113" s="23"/>
      <x:c r="D113" s="28"/>
      <x:c r="E113" s="28"/>
      <x:c r="F113" s="23"/>
      <x:c r="G113" s="23"/>
      <x:c r="H113" s="23"/>
      <x:c r="I113" s="30"/>
      <x:c r="J113" s="23"/>
      <x:c r="K113" s="23"/>
      <x:c r="L113" s="23"/>
      <x:c r="M113" s="23" t="str">
        <x:f>IF(D113="","",VALUE(LEFT(D113,FIND("+",D113)-1))*1000+VALUE(MID(D113,FIND("+",D113)+1,3)))</x:f>
      </x:c>
      <x:c r="N113" s="23" t="str">
        <x:f>IF(E113="","",VALUE(LEFT(E113,FIND("+",E113)-1))*1000+VALUE(MID(E113,FIND("+",E113)+1,3)))</x:f>
      </x:c>
      <x:c r="O113" s="23" t="str">
        <x:f>IF(AND(M113="",N113=""),"",MIN(IF(M113="",N113,M113),IF(N113="",M113,N113)))</x:f>
      </x:c>
      <x:c r="P113" s="23" t="str">
        <x:f>IF(AND(M113="",N113=""),"",MAX(IF(M113="",N113,M113),IF(N113="",M113,N113)))</x:f>
      </x:c>
    </x:row>
    <x:row r="114" ht="21" customHeight="1">
      <x:c r="A114" s="26"/>
      <x:c r="B114" s="23"/>
      <x:c r="C114" s="23"/>
      <x:c r="D114" s="28"/>
      <x:c r="E114" s="28"/>
      <x:c r="F114" s="23"/>
      <x:c r="G114" s="23"/>
      <x:c r="H114" s="23"/>
      <x:c r="I114" s="30"/>
      <x:c r="J114" s="23"/>
      <x:c r="K114" s="23"/>
      <x:c r="L114" s="23"/>
      <x:c r="M114" s="23" t="str">
        <x:f>IF(D114="","",VALUE(LEFT(D114,FIND("+",D114)-1))*1000+VALUE(MID(D114,FIND("+",D114)+1,3)))</x:f>
      </x:c>
      <x:c r="N114" s="23" t="str">
        <x:f>IF(E114="","",VALUE(LEFT(E114,FIND("+",E114)-1))*1000+VALUE(MID(E114,FIND("+",E114)+1,3)))</x:f>
      </x:c>
      <x:c r="O114" s="23" t="str">
        <x:f>IF(AND(M114="",N114=""),"",MIN(IF(M114="",N114,M114),IF(N114="",M114,N114)))</x:f>
      </x:c>
      <x:c r="P114" s="23" t="str">
        <x:f>IF(AND(M114="",N114=""),"",MAX(IF(M114="",N114,M114),IF(N114="",M114,N114)))</x:f>
      </x:c>
    </x:row>
    <x:row r="115" ht="21" customHeight="1">
      <x:c r="A115" s="26"/>
      <x:c r="B115" s="23"/>
      <x:c r="C115" s="23"/>
      <x:c r="D115" s="28"/>
      <x:c r="E115" s="28"/>
      <x:c r="F115" s="23"/>
      <x:c r="G115" s="23"/>
      <x:c r="H115" s="23"/>
      <x:c r="I115" s="30"/>
      <x:c r="J115" s="23"/>
      <x:c r="K115" s="23"/>
      <x:c r="L115" s="23"/>
      <x:c r="M115" s="23" t="str">
        <x:f>IF(D115="","",VALUE(LEFT(D115,FIND("+",D115)-1))*1000+VALUE(MID(D115,FIND("+",D115)+1,3)))</x:f>
      </x:c>
      <x:c r="N115" s="23" t="str">
        <x:f>IF(E115="","",VALUE(LEFT(E115,FIND("+",E115)-1))*1000+VALUE(MID(E115,FIND("+",E115)+1,3)))</x:f>
      </x:c>
      <x:c r="O115" s="23" t="str">
        <x:f>IF(AND(M115="",N115=""),"",MIN(IF(M115="",N115,M115),IF(N115="",M115,N115)))</x:f>
      </x:c>
      <x:c r="P115" s="23" t="str">
        <x:f>IF(AND(M115="",N115=""),"",MAX(IF(M115="",N115,M115),IF(N115="",M115,N115)))</x:f>
      </x:c>
    </x:row>
    <x:row r="116" ht="21" customHeight="1">
      <x:c r="A116" s="26"/>
      <x:c r="B116" s="23"/>
      <x:c r="C116" s="23"/>
      <x:c r="D116" s="28"/>
      <x:c r="E116" s="28"/>
      <x:c r="F116" s="23"/>
      <x:c r="G116" s="23"/>
      <x:c r="H116" s="23"/>
      <x:c r="I116" s="30"/>
      <x:c r="J116" s="23"/>
      <x:c r="K116" s="23"/>
      <x:c r="L116" s="23"/>
      <x:c r="M116" s="23" t="str">
        <x:f>IF(D116="","",VALUE(LEFT(D116,FIND("+",D116)-1))*1000+VALUE(MID(D116,FIND("+",D116)+1,3)))</x:f>
      </x:c>
      <x:c r="N116" s="23" t="str">
        <x:f>IF(E116="","",VALUE(LEFT(E116,FIND("+",E116)-1))*1000+VALUE(MID(E116,FIND("+",E116)+1,3)))</x:f>
      </x:c>
      <x:c r="O116" s="23" t="str">
        <x:f>IF(AND(M116="",N116=""),"",MIN(IF(M116="",N116,M116),IF(N116="",M116,N116)))</x:f>
      </x:c>
      <x:c r="P116" s="23" t="str">
        <x:f>IF(AND(M116="",N116=""),"",MAX(IF(M116="",N116,M116),IF(N116="",M116,N116)))</x:f>
      </x:c>
    </x:row>
    <x:row r="117" ht="21" customHeight="1">
      <x:c r="A117" s="26"/>
      <x:c r="B117" s="23"/>
      <x:c r="C117" s="23"/>
      <x:c r="D117" s="28"/>
      <x:c r="E117" s="28"/>
      <x:c r="F117" s="23"/>
      <x:c r="G117" s="23"/>
      <x:c r="H117" s="23"/>
      <x:c r="I117" s="30"/>
      <x:c r="J117" s="23"/>
      <x:c r="K117" s="23"/>
      <x:c r="L117" s="23"/>
      <x:c r="M117" s="23" t="str">
        <x:f>IF(D117="","",VALUE(LEFT(D117,FIND("+",D117)-1))*1000+VALUE(MID(D117,FIND("+",D117)+1,3)))</x:f>
      </x:c>
      <x:c r="N117" s="23" t="str">
        <x:f>IF(E117="","",VALUE(LEFT(E117,FIND("+",E117)-1))*1000+VALUE(MID(E117,FIND("+",E117)+1,3)))</x:f>
      </x:c>
      <x:c r="O117" s="23" t="str">
        <x:f>IF(AND(M117="",N117=""),"",MIN(IF(M117="",N117,M117),IF(N117="",M117,N117)))</x:f>
      </x:c>
      <x:c r="P117" s="23" t="str">
        <x:f>IF(AND(M117="",N117=""),"",MAX(IF(M117="",N117,M117),IF(N117="",M117,N117)))</x:f>
      </x:c>
    </x:row>
    <x:row r="118" ht="21" customHeight="1">
      <x:c r="A118" s="26"/>
      <x:c r="B118" s="23"/>
      <x:c r="C118" s="23"/>
      <x:c r="D118" s="28"/>
      <x:c r="E118" s="28"/>
      <x:c r="F118" s="23"/>
      <x:c r="G118" s="23"/>
      <x:c r="H118" s="23"/>
      <x:c r="I118" s="30"/>
      <x:c r="J118" s="23"/>
      <x:c r="K118" s="23"/>
      <x:c r="L118" s="23"/>
      <x:c r="M118" s="23" t="str">
        <x:f>IF(D118="","",VALUE(LEFT(D118,FIND("+",D118)-1))*1000+VALUE(MID(D118,FIND("+",D118)+1,3)))</x:f>
      </x:c>
      <x:c r="N118" s="23" t="str">
        <x:f>IF(E118="","",VALUE(LEFT(E118,FIND("+",E118)-1))*1000+VALUE(MID(E118,FIND("+",E118)+1,3)))</x:f>
      </x:c>
      <x:c r="O118" s="23" t="str">
        <x:f>IF(AND(M118="",N118=""),"",MIN(IF(M118="",N118,M118),IF(N118="",M118,N118)))</x:f>
      </x:c>
      <x:c r="P118" s="23" t="str">
        <x:f>IF(AND(M118="",N118=""),"",MAX(IF(M118="",N118,M118),IF(N118="",M118,N118)))</x:f>
      </x:c>
    </x:row>
    <x:row r="119" ht="21" customHeight="1">
      <x:c r="A119" s="26"/>
      <x:c r="B119" s="23"/>
      <x:c r="C119" s="23"/>
      <x:c r="D119" s="28"/>
      <x:c r="E119" s="28"/>
      <x:c r="F119" s="23"/>
      <x:c r="G119" s="23"/>
      <x:c r="H119" s="23"/>
      <x:c r="I119" s="30"/>
      <x:c r="J119" s="23"/>
      <x:c r="K119" s="23"/>
      <x:c r="L119" s="23"/>
      <x:c r="M119" s="23" t="str">
        <x:f>IF(D119="","",VALUE(LEFT(D119,FIND("+",D119)-1))*1000+VALUE(MID(D119,FIND("+",D119)+1,3)))</x:f>
      </x:c>
      <x:c r="N119" s="23" t="str">
        <x:f>IF(E119="","",VALUE(LEFT(E119,FIND("+",E119)-1))*1000+VALUE(MID(E119,FIND("+",E119)+1,3)))</x:f>
      </x:c>
      <x:c r="O119" s="23" t="str">
        <x:f>IF(AND(M119="",N119=""),"",MIN(IF(M119="",N119,M119),IF(N119="",M119,N119)))</x:f>
      </x:c>
      <x:c r="P119" s="23" t="str">
        <x:f>IF(AND(M119="",N119=""),"",MAX(IF(M119="",N119,M119),IF(N119="",M119,N119)))</x:f>
      </x:c>
    </x:row>
    <x:row r="120" ht="21" customHeight="1">
      <x:c r="A120" s="26"/>
      <x:c r="B120" s="23"/>
      <x:c r="C120" s="23"/>
      <x:c r="D120" s="28"/>
      <x:c r="E120" s="28"/>
      <x:c r="F120" s="23"/>
      <x:c r="G120" s="23"/>
      <x:c r="H120" s="23"/>
      <x:c r="I120" s="30"/>
      <x:c r="J120" s="23"/>
      <x:c r="K120" s="23"/>
      <x:c r="L120" s="23"/>
      <x:c r="M120" s="23" t="str">
        <x:f>IF(D120="","",VALUE(LEFT(D120,FIND("+",D120)-1))*1000+VALUE(MID(D120,FIND("+",D120)+1,3)))</x:f>
      </x:c>
      <x:c r="N120" s="23" t="str">
        <x:f>IF(E120="","",VALUE(LEFT(E120,FIND("+",E120)-1))*1000+VALUE(MID(E120,FIND("+",E120)+1,3)))</x:f>
      </x:c>
      <x:c r="O120" s="23" t="str">
        <x:f>IF(AND(M120="",N120=""),"",MIN(IF(M120="",N120,M120),IF(N120="",M120,N120)))</x:f>
      </x:c>
      <x:c r="P120" s="23" t="str">
        <x:f>IF(AND(M120="",N120=""),"",MAX(IF(M120="",N120,M120),IF(N120="",M120,N120)))</x:f>
      </x:c>
    </x:row>
    <x:row r="121" ht="21" customHeight="1">
      <x:c r="A121" s="26"/>
      <x:c r="B121" s="23"/>
      <x:c r="C121" s="23"/>
      <x:c r="D121" s="28"/>
      <x:c r="E121" s="28"/>
      <x:c r="F121" s="23"/>
      <x:c r="G121" s="23"/>
      <x:c r="H121" s="23"/>
      <x:c r="I121" s="30"/>
      <x:c r="J121" s="23"/>
      <x:c r="K121" s="23"/>
      <x:c r="L121" s="23"/>
      <x:c r="M121" s="23" t="str">
        <x:f>IF(D121="","",VALUE(LEFT(D121,FIND("+",D121)-1))*1000+VALUE(MID(D121,FIND("+",D121)+1,3)))</x:f>
      </x:c>
      <x:c r="N121" s="23" t="str">
        <x:f>IF(E121="","",VALUE(LEFT(E121,FIND("+",E121)-1))*1000+VALUE(MID(E121,FIND("+",E121)+1,3)))</x:f>
      </x:c>
      <x:c r="O121" s="23" t="str">
        <x:f>IF(AND(M121="",N121=""),"",MIN(IF(M121="",N121,M121),IF(N121="",M121,N121)))</x:f>
      </x:c>
      <x:c r="P121" s="23" t="str">
        <x:f>IF(AND(M121="",N121=""),"",MAX(IF(M121="",N121,M121),IF(N121="",M121,N121)))</x:f>
      </x:c>
    </x:row>
    <x:row r="122" ht="21" customHeight="1">
      <x:c r="A122" s="26"/>
      <x:c r="B122" s="23"/>
      <x:c r="C122" s="23"/>
      <x:c r="D122" s="28"/>
      <x:c r="E122" s="28"/>
      <x:c r="F122" s="23"/>
      <x:c r="G122" s="23"/>
      <x:c r="H122" s="23"/>
      <x:c r="I122" s="30"/>
      <x:c r="J122" s="23"/>
      <x:c r="K122" s="23"/>
      <x:c r="L122" s="23"/>
      <x:c r="M122" s="23" t="str">
        <x:f>IF(D122="","",VALUE(LEFT(D122,FIND("+",D122)-1))*1000+VALUE(MID(D122,FIND("+",D122)+1,3)))</x:f>
      </x:c>
      <x:c r="N122" s="23" t="str">
        <x:f>IF(E122="","",VALUE(LEFT(E122,FIND("+",E122)-1))*1000+VALUE(MID(E122,FIND("+",E122)+1,3)))</x:f>
      </x:c>
      <x:c r="O122" s="23" t="str">
        <x:f>IF(AND(M122="",N122=""),"",MIN(IF(M122="",N122,M122),IF(N122="",M122,N122)))</x:f>
      </x:c>
      <x:c r="P122" s="23" t="str">
        <x:f>IF(AND(M122="",N122=""),"",MAX(IF(M122="",N122,M122),IF(N122="",M122,N122)))</x:f>
      </x:c>
    </x:row>
    <x:row r="123" ht="21" customHeight="1">
      <x:c r="A123" s="26"/>
      <x:c r="B123" s="23"/>
      <x:c r="C123" s="23"/>
      <x:c r="D123" s="28"/>
      <x:c r="E123" s="28"/>
      <x:c r="F123" s="23"/>
      <x:c r="G123" s="23"/>
      <x:c r="H123" s="23"/>
      <x:c r="I123" s="30"/>
      <x:c r="J123" s="23"/>
      <x:c r="K123" s="23"/>
      <x:c r="L123" s="23"/>
      <x:c r="M123" s="23" t="str">
        <x:f>IF(D123="","",VALUE(LEFT(D123,FIND("+",D123)-1))*1000+VALUE(MID(D123,FIND("+",D123)+1,3)))</x:f>
      </x:c>
      <x:c r="N123" s="23" t="str">
        <x:f>IF(E123="","",VALUE(LEFT(E123,FIND("+",E123)-1))*1000+VALUE(MID(E123,FIND("+",E123)+1,3)))</x:f>
      </x:c>
      <x:c r="O123" s="23" t="str">
        <x:f>IF(AND(M123="",N123=""),"",MIN(IF(M123="",N123,M123),IF(N123="",M123,N123)))</x:f>
      </x:c>
      <x:c r="P123" s="23" t="str">
        <x:f>IF(AND(M123="",N123=""),"",MAX(IF(M123="",N123,M123),IF(N123="",M123,N123)))</x:f>
      </x:c>
    </x:row>
    <x:row r="124" ht="21" customHeight="1">
      <x:c r="A124" s="26"/>
      <x:c r="B124" s="23"/>
      <x:c r="C124" s="23"/>
      <x:c r="D124" s="28"/>
      <x:c r="E124" s="28"/>
      <x:c r="F124" s="23"/>
      <x:c r="G124" s="23"/>
      <x:c r="H124" s="23"/>
      <x:c r="I124" s="30"/>
      <x:c r="J124" s="23"/>
      <x:c r="K124" s="23"/>
      <x:c r="L124" s="23"/>
      <x:c r="M124" s="23" t="str">
        <x:f>IF(D124="","",VALUE(LEFT(D124,FIND("+",D124)-1))*1000+VALUE(MID(D124,FIND("+",D124)+1,3)))</x:f>
      </x:c>
      <x:c r="N124" s="23" t="str">
        <x:f>IF(E124="","",VALUE(LEFT(E124,FIND("+",E124)-1))*1000+VALUE(MID(E124,FIND("+",E124)+1,3)))</x:f>
      </x:c>
      <x:c r="O124" s="23" t="str">
        <x:f>IF(AND(M124="",N124=""),"",MIN(IF(M124="",N124,M124),IF(N124="",M124,N124)))</x:f>
      </x:c>
      <x:c r="P124" s="23" t="str">
        <x:f>IF(AND(M124="",N124=""),"",MAX(IF(M124="",N124,M124),IF(N124="",M124,N124)))</x:f>
      </x:c>
    </x:row>
    <x:row r="125" ht="21" customHeight="1">
      <x:c r="A125" s="26"/>
      <x:c r="B125" s="23"/>
      <x:c r="C125" s="23"/>
      <x:c r="D125" s="28"/>
      <x:c r="E125" s="28"/>
      <x:c r="F125" s="23"/>
      <x:c r="G125" s="23"/>
      <x:c r="H125" s="23"/>
      <x:c r="I125" s="30"/>
      <x:c r="J125" s="23"/>
      <x:c r="K125" s="23"/>
      <x:c r="L125" s="23"/>
      <x:c r="M125" s="23" t="str">
        <x:f>IF(D125="","",VALUE(LEFT(D125,FIND("+",D125)-1))*1000+VALUE(MID(D125,FIND("+",D125)+1,3)))</x:f>
      </x:c>
      <x:c r="N125" s="23" t="str">
        <x:f>IF(E125="","",VALUE(LEFT(E125,FIND("+",E125)-1))*1000+VALUE(MID(E125,FIND("+",E125)+1,3)))</x:f>
      </x:c>
      <x:c r="O125" s="23" t="str">
        <x:f>IF(AND(M125="",N125=""),"",MIN(IF(M125="",N125,M125),IF(N125="",M125,N125)))</x:f>
      </x:c>
      <x:c r="P125" s="23" t="str">
        <x:f>IF(AND(M125="",N125=""),"",MAX(IF(M125="",N125,M125),IF(N125="",M125,N125)))</x:f>
      </x:c>
    </x:row>
    <x:row r="126" ht="21" customHeight="1">
      <x:c r="A126" s="26"/>
      <x:c r="B126" s="23"/>
      <x:c r="C126" s="23"/>
      <x:c r="D126" s="28"/>
      <x:c r="E126" s="28"/>
      <x:c r="F126" s="23"/>
      <x:c r="G126" s="23"/>
      <x:c r="H126" s="23"/>
      <x:c r="I126" s="30"/>
      <x:c r="J126" s="23"/>
      <x:c r="K126" s="23"/>
      <x:c r="L126" s="23"/>
      <x:c r="M126" s="23" t="str">
        <x:f>IF(D126="","",VALUE(LEFT(D126,FIND("+",D126)-1))*1000+VALUE(MID(D126,FIND("+",D126)+1,3)))</x:f>
      </x:c>
      <x:c r="N126" s="23" t="str">
        <x:f>IF(E126="","",VALUE(LEFT(E126,FIND("+",E126)-1))*1000+VALUE(MID(E126,FIND("+",E126)+1,3)))</x:f>
      </x:c>
      <x:c r="O126" s="23" t="str">
        <x:f>IF(AND(M126="",N126=""),"",MIN(IF(M126="",N126,M126),IF(N126="",M126,N126)))</x:f>
      </x:c>
      <x:c r="P126" s="23" t="str">
        <x:f>IF(AND(M126="",N126=""),"",MAX(IF(M126="",N126,M126),IF(N126="",M126,N126)))</x:f>
      </x:c>
    </x:row>
    <x:row r="127" ht="21" customHeight="1">
      <x:c r="A127" s="26"/>
      <x:c r="B127" s="23"/>
      <x:c r="C127" s="23"/>
      <x:c r="D127" s="28"/>
      <x:c r="E127" s="28"/>
      <x:c r="F127" s="23"/>
      <x:c r="G127" s="23"/>
      <x:c r="H127" s="23"/>
      <x:c r="I127" s="30"/>
      <x:c r="J127" s="23"/>
      <x:c r="K127" s="23"/>
      <x:c r="L127" s="23"/>
      <x:c r="M127" s="23" t="str">
        <x:f>IF(D127="","",VALUE(LEFT(D127,FIND("+",D127)-1))*1000+VALUE(MID(D127,FIND("+",D127)+1,3)))</x:f>
      </x:c>
      <x:c r="N127" s="23" t="str">
        <x:f>IF(E127="","",VALUE(LEFT(E127,FIND("+",E127)-1))*1000+VALUE(MID(E127,FIND("+",E127)+1,3)))</x:f>
      </x:c>
      <x:c r="O127" s="23" t="str">
        <x:f>IF(AND(M127="",N127=""),"",MIN(IF(M127="",N127,M127),IF(N127="",M127,N127)))</x:f>
      </x:c>
      <x:c r="P127" s="23" t="str">
        <x:f>IF(AND(M127="",N127=""),"",MAX(IF(M127="",N127,M127),IF(N127="",M127,N127)))</x:f>
      </x:c>
    </x:row>
    <x:row r="128" ht="21" customHeight="1">
      <x:c r="A128" s="26"/>
      <x:c r="B128" s="23"/>
      <x:c r="C128" s="23"/>
      <x:c r="D128" s="28"/>
      <x:c r="E128" s="28"/>
      <x:c r="F128" s="23"/>
      <x:c r="G128" s="23"/>
      <x:c r="H128" s="23"/>
      <x:c r="I128" s="30"/>
      <x:c r="J128" s="23"/>
      <x:c r="K128" s="23"/>
      <x:c r="L128" s="23"/>
      <x:c r="M128" s="23" t="str">
        <x:f>IF(D128="","",VALUE(LEFT(D128,FIND("+",D128)-1))*1000+VALUE(MID(D128,FIND("+",D128)+1,3)))</x:f>
      </x:c>
      <x:c r="N128" s="23" t="str">
        <x:f>IF(E128="","",VALUE(LEFT(E128,FIND("+",E128)-1))*1000+VALUE(MID(E128,FIND("+",E128)+1,3)))</x:f>
      </x:c>
      <x:c r="O128" s="23" t="str">
        <x:f>IF(AND(M128="",N128=""),"",MIN(IF(M128="",N128,M128),IF(N128="",M128,N128)))</x:f>
      </x:c>
      <x:c r="P128" s="23" t="str">
        <x:f>IF(AND(M128="",N128=""),"",MAX(IF(M128="",N128,M128),IF(N128="",M128,N128)))</x:f>
      </x:c>
    </x:row>
    <x:row r="129" ht="21" customHeight="1">
      <x:c r="A129" s="26"/>
      <x:c r="B129" s="23"/>
      <x:c r="C129" s="23"/>
      <x:c r="D129" s="28"/>
      <x:c r="E129" s="28"/>
      <x:c r="F129" s="23"/>
      <x:c r="G129" s="23"/>
      <x:c r="H129" s="23"/>
      <x:c r="I129" s="30"/>
      <x:c r="J129" s="23"/>
      <x:c r="K129" s="23"/>
      <x:c r="L129" s="23"/>
      <x:c r="M129" s="23" t="str">
        <x:f>IF(D129="","",VALUE(LEFT(D129,FIND("+",D129)-1))*1000+VALUE(MID(D129,FIND("+",D129)+1,3)))</x:f>
      </x:c>
      <x:c r="N129" s="23" t="str">
        <x:f>IF(E129="","",VALUE(LEFT(E129,FIND("+",E129)-1))*1000+VALUE(MID(E129,FIND("+",E129)+1,3)))</x:f>
      </x:c>
      <x:c r="O129" s="23" t="str">
        <x:f>IF(AND(M129="",N129=""),"",MIN(IF(M129="",N129,M129),IF(N129="",M129,N129)))</x:f>
      </x:c>
      <x:c r="P129" s="23" t="str">
        <x:f>IF(AND(M129="",N129=""),"",MAX(IF(M129="",N129,M129),IF(N129="",M129,N129)))</x:f>
      </x:c>
    </x:row>
    <x:row r="130" ht="21" customHeight="1">
      <x:c r="A130" s="26"/>
      <x:c r="B130" s="23"/>
      <x:c r="C130" s="23"/>
      <x:c r="D130" s="28"/>
      <x:c r="E130" s="28"/>
      <x:c r="F130" s="23"/>
      <x:c r="G130" s="23"/>
      <x:c r="H130" s="23"/>
      <x:c r="I130" s="30"/>
      <x:c r="J130" s="23"/>
      <x:c r="K130" s="23"/>
      <x:c r="L130" s="23"/>
      <x:c r="M130" s="23" t="str">
        <x:f>IF(D130="","",VALUE(LEFT(D130,FIND("+",D130)-1))*1000+VALUE(MID(D130,FIND("+",D130)+1,3)))</x:f>
      </x:c>
      <x:c r="N130" s="23" t="str">
        <x:f>IF(E130="","",VALUE(LEFT(E130,FIND("+",E130)-1))*1000+VALUE(MID(E130,FIND("+",E130)+1,3)))</x:f>
      </x:c>
      <x:c r="O130" s="23" t="str">
        <x:f>IF(AND(M130="",N130=""),"",MIN(IF(M130="",N130,M130),IF(N130="",M130,N130)))</x:f>
      </x:c>
      <x:c r="P130" s="23" t="str">
        <x:f>IF(AND(M130="",N130=""),"",MAX(IF(M130="",N130,M130),IF(N130="",M130,N130)))</x:f>
      </x:c>
    </x:row>
    <x:row r="131" ht="21" customHeight="1">
      <x:c r="A131" s="26"/>
      <x:c r="B131" s="23"/>
      <x:c r="C131" s="23"/>
      <x:c r="D131" s="28"/>
      <x:c r="E131" s="28"/>
      <x:c r="F131" s="23"/>
      <x:c r="G131" s="23"/>
      <x:c r="H131" s="23"/>
      <x:c r="I131" s="30"/>
      <x:c r="J131" s="23"/>
      <x:c r="K131" s="23"/>
      <x:c r="L131" s="23"/>
      <x:c r="M131" s="23" t="str">
        <x:f>IF(D131="","",VALUE(LEFT(D131,FIND("+",D131)-1))*1000+VALUE(MID(D131,FIND("+",D131)+1,3)))</x:f>
      </x:c>
      <x:c r="N131" s="23" t="str">
        <x:f>IF(E131="","",VALUE(LEFT(E131,FIND("+",E131)-1))*1000+VALUE(MID(E131,FIND("+",E131)+1,3)))</x:f>
      </x:c>
      <x:c r="O131" s="23" t="str">
        <x:f>IF(AND(M131="",N131=""),"",MIN(IF(M131="",N131,M131),IF(N131="",M131,N131)))</x:f>
      </x:c>
      <x:c r="P131" s="23" t="str">
        <x:f>IF(AND(M131="",N131=""),"",MAX(IF(M131="",N131,M131),IF(N131="",M131,N131)))</x:f>
      </x:c>
    </x:row>
    <x:row r="132" ht="21" customHeight="1">
      <x:c r="A132" s="26"/>
      <x:c r="B132" s="23"/>
      <x:c r="C132" s="23"/>
      <x:c r="D132" s="28"/>
      <x:c r="E132" s="28"/>
      <x:c r="F132" s="23"/>
      <x:c r="G132" s="23"/>
      <x:c r="H132" s="23"/>
      <x:c r="I132" s="30"/>
      <x:c r="J132" s="23"/>
      <x:c r="K132" s="23"/>
      <x:c r="L132" s="23"/>
      <x:c r="M132" s="23" t="str">
        <x:f>IF(D132="","",VALUE(LEFT(D132,FIND("+",D132)-1))*1000+VALUE(MID(D132,FIND("+",D132)+1,3)))</x:f>
      </x:c>
      <x:c r="N132" s="23" t="str">
        <x:f>IF(E132="","",VALUE(LEFT(E132,FIND("+",E132)-1))*1000+VALUE(MID(E132,FIND("+",E132)+1,3)))</x:f>
      </x:c>
      <x:c r="O132" s="23" t="str">
        <x:f>IF(AND(M132="",N132=""),"",MIN(IF(M132="",N132,M132),IF(N132="",M132,N132)))</x:f>
      </x:c>
      <x:c r="P132" s="23" t="str">
        <x:f>IF(AND(M132="",N132=""),"",MAX(IF(M132="",N132,M132),IF(N132="",M132,N132)))</x:f>
      </x:c>
    </x:row>
    <x:row r="133" ht="21" customHeight="1">
      <x:c r="A133" s="26"/>
      <x:c r="B133" s="23"/>
      <x:c r="C133" s="23"/>
      <x:c r="D133" s="28"/>
      <x:c r="E133" s="28"/>
      <x:c r="F133" s="23"/>
      <x:c r="G133" s="23"/>
      <x:c r="H133" s="23"/>
      <x:c r="I133" s="30"/>
      <x:c r="J133" s="23"/>
      <x:c r="K133" s="23"/>
      <x:c r="L133" s="23"/>
      <x:c r="M133" s="23" t="str">
        <x:f>IF(D133="","",VALUE(LEFT(D133,FIND("+",D133)-1))*1000+VALUE(MID(D133,FIND("+",D133)+1,3)))</x:f>
      </x:c>
      <x:c r="N133" s="23" t="str">
        <x:f>IF(E133="","",VALUE(LEFT(E133,FIND("+",E133)-1))*1000+VALUE(MID(E133,FIND("+",E133)+1,3)))</x:f>
      </x:c>
      <x:c r="O133" s="23" t="str">
        <x:f>IF(AND(M133="",N133=""),"",MIN(IF(M133="",N133,M133),IF(N133="",M133,N133)))</x:f>
      </x:c>
      <x:c r="P133" s="23" t="str">
        <x:f>IF(AND(M133="",N133=""),"",MAX(IF(M133="",N133,M133),IF(N133="",M133,N133)))</x:f>
      </x:c>
    </x:row>
    <x:row r="134" ht="21" customHeight="1">
      <x:c r="A134" s="26"/>
      <x:c r="B134" s="23"/>
      <x:c r="C134" s="23"/>
      <x:c r="D134" s="28"/>
      <x:c r="E134" s="28"/>
      <x:c r="F134" s="23"/>
      <x:c r="G134" s="23"/>
      <x:c r="H134" s="23"/>
      <x:c r="I134" s="30"/>
      <x:c r="J134" s="23"/>
      <x:c r="K134" s="23"/>
      <x:c r="L134" s="23"/>
      <x:c r="M134" s="23" t="str">
        <x:f>IF(D134="","",VALUE(LEFT(D134,FIND("+",D134)-1))*1000+VALUE(MID(D134,FIND("+",D134)+1,3)))</x:f>
      </x:c>
      <x:c r="N134" s="23" t="str">
        <x:f>IF(E134="","",VALUE(LEFT(E134,FIND("+",E134)-1))*1000+VALUE(MID(E134,FIND("+",E134)+1,3)))</x:f>
      </x:c>
      <x:c r="O134" s="23" t="str">
        <x:f>IF(AND(M134="",N134=""),"",MIN(IF(M134="",N134,M134),IF(N134="",M134,N134)))</x:f>
      </x:c>
      <x:c r="P134" s="23" t="str">
        <x:f>IF(AND(M134="",N134=""),"",MAX(IF(M134="",N134,M134),IF(N134="",M134,N134)))</x:f>
      </x:c>
    </x:row>
    <x:row r="135" ht="21" customHeight="1">
      <x:c r="A135" s="26"/>
      <x:c r="B135" s="23"/>
      <x:c r="C135" s="23"/>
      <x:c r="D135" s="28"/>
      <x:c r="E135" s="28"/>
      <x:c r="F135" s="23"/>
      <x:c r="G135" s="23"/>
      <x:c r="H135" s="23"/>
      <x:c r="I135" s="30"/>
      <x:c r="J135" s="23"/>
      <x:c r="K135" s="23"/>
      <x:c r="L135" s="23"/>
      <x:c r="M135" s="23" t="str">
        <x:f>IF(D135="","",VALUE(LEFT(D135,FIND("+",D135)-1))*1000+VALUE(MID(D135,FIND("+",D135)+1,3)))</x:f>
      </x:c>
      <x:c r="N135" s="23" t="str">
        <x:f>IF(E135="","",VALUE(LEFT(E135,FIND("+",E135)-1))*1000+VALUE(MID(E135,FIND("+",E135)+1,3)))</x:f>
      </x:c>
      <x:c r="O135" s="23" t="str">
        <x:f>IF(AND(M135="",N135=""),"",MIN(IF(M135="",N135,M135),IF(N135="",M135,N135)))</x:f>
      </x:c>
      <x:c r="P135" s="23" t="str">
        <x:f>IF(AND(M135="",N135=""),"",MAX(IF(M135="",N135,M135),IF(N135="",M135,N135)))</x:f>
      </x:c>
    </x:row>
    <x:row r="136" ht="21" customHeight="1">
      <x:c r="A136" s="26"/>
      <x:c r="B136" s="23"/>
      <x:c r="C136" s="23"/>
      <x:c r="D136" s="28"/>
      <x:c r="E136" s="28"/>
      <x:c r="F136" s="23"/>
      <x:c r="G136" s="23"/>
      <x:c r="H136" s="23"/>
      <x:c r="I136" s="30"/>
      <x:c r="J136" s="23"/>
      <x:c r="K136" s="23"/>
      <x:c r="L136" s="23"/>
      <x:c r="M136" s="23" t="str">
        <x:f>IF(D136="","",VALUE(LEFT(D136,FIND("+",D136)-1))*1000+VALUE(MID(D136,FIND("+",D136)+1,3)))</x:f>
      </x:c>
      <x:c r="N136" s="23" t="str">
        <x:f>IF(E136="","",VALUE(LEFT(E136,FIND("+",E136)-1))*1000+VALUE(MID(E136,FIND("+",E136)+1,3)))</x:f>
      </x:c>
      <x:c r="O136" s="23" t="str">
        <x:f>IF(AND(M136="",N136=""),"",MIN(IF(M136="",N136,M136),IF(N136="",M136,N136)))</x:f>
      </x:c>
      <x:c r="P136" s="23" t="str">
        <x:f>IF(AND(M136="",N136=""),"",MAX(IF(M136="",N136,M136),IF(N136="",M136,N136)))</x:f>
      </x:c>
    </x:row>
    <x:row r="137" ht="21" customHeight="1">
      <x:c r="A137" s="26"/>
      <x:c r="B137" s="23"/>
      <x:c r="C137" s="23"/>
      <x:c r="D137" s="28"/>
      <x:c r="E137" s="28"/>
      <x:c r="F137" s="23"/>
      <x:c r="G137" s="23"/>
      <x:c r="H137" s="23"/>
      <x:c r="I137" s="30"/>
      <x:c r="J137" s="23"/>
      <x:c r="K137" s="23"/>
      <x:c r="L137" s="23"/>
      <x:c r="M137" s="23" t="str">
        <x:f>IF(D137="","",VALUE(LEFT(D137,FIND("+",D137)-1))*1000+VALUE(MID(D137,FIND("+",D137)+1,3)))</x:f>
      </x:c>
      <x:c r="N137" s="23" t="str">
        <x:f>IF(E137="","",VALUE(LEFT(E137,FIND("+",E137)-1))*1000+VALUE(MID(E137,FIND("+",E137)+1,3)))</x:f>
      </x:c>
      <x:c r="O137" s="23" t="str">
        <x:f>IF(AND(M137="",N137=""),"",MIN(IF(M137="",N137,M137),IF(N137="",M137,N137)))</x:f>
      </x:c>
      <x:c r="P137" s="23" t="str">
        <x:f>IF(AND(M137="",N137=""),"",MAX(IF(M137="",N137,M137),IF(N137="",M137,N137)))</x:f>
      </x:c>
    </x:row>
    <x:row r="138" ht="21" customHeight="1">
      <x:c r="A138" s="26"/>
      <x:c r="B138" s="23"/>
      <x:c r="C138" s="23"/>
      <x:c r="D138" s="28"/>
      <x:c r="E138" s="28"/>
      <x:c r="F138" s="23"/>
      <x:c r="G138" s="23"/>
      <x:c r="H138" s="23"/>
      <x:c r="I138" s="30"/>
      <x:c r="J138" s="23"/>
      <x:c r="K138" s="23"/>
      <x:c r="L138" s="23"/>
      <x:c r="M138" s="23" t="str">
        <x:f>IF(D138="","",VALUE(LEFT(D138,FIND("+",D138)-1))*1000+VALUE(MID(D138,FIND("+",D138)+1,3)))</x:f>
      </x:c>
      <x:c r="N138" s="23" t="str">
        <x:f>IF(E138="","",VALUE(LEFT(E138,FIND("+",E138)-1))*1000+VALUE(MID(E138,FIND("+",E138)+1,3)))</x:f>
      </x:c>
      <x:c r="O138" s="23" t="str">
        <x:f>IF(AND(M138="",N138=""),"",MIN(IF(M138="",N138,M138),IF(N138="",M138,N138)))</x:f>
      </x:c>
      <x:c r="P138" s="23" t="str">
        <x:f>IF(AND(M138="",N138=""),"",MAX(IF(M138="",N138,M138),IF(N138="",M138,N138)))</x:f>
      </x:c>
    </x:row>
    <x:row r="139" ht="21" customHeight="1">
      <x:c r="A139" s="26"/>
      <x:c r="B139" s="23"/>
      <x:c r="C139" s="23"/>
      <x:c r="D139" s="28"/>
      <x:c r="E139" s="28"/>
      <x:c r="F139" s="23"/>
      <x:c r="G139" s="23"/>
      <x:c r="H139" s="23"/>
      <x:c r="I139" s="30"/>
      <x:c r="J139" s="23"/>
      <x:c r="K139" s="23"/>
      <x:c r="L139" s="23"/>
      <x:c r="M139" s="23" t="str">
        <x:f>IF(D139="","",VALUE(LEFT(D139,FIND("+",D139)-1))*1000+VALUE(MID(D139,FIND("+",D139)+1,3)))</x:f>
      </x:c>
      <x:c r="N139" s="23" t="str">
        <x:f>IF(E139="","",VALUE(LEFT(E139,FIND("+",E139)-1))*1000+VALUE(MID(E139,FIND("+",E139)+1,3)))</x:f>
      </x:c>
      <x:c r="O139" s="23" t="str">
        <x:f>IF(AND(M139="",N139=""),"",MIN(IF(M139="",N139,M139),IF(N139="",M139,N139)))</x:f>
      </x:c>
      <x:c r="P139" s="23" t="str">
        <x:f>IF(AND(M139="",N139=""),"",MAX(IF(M139="",N139,M139),IF(N139="",M139,N139)))</x:f>
      </x:c>
    </x:row>
    <x:row r="140" ht="21" customHeight="1">
      <x:c r="A140" s="26"/>
      <x:c r="B140" s="23"/>
      <x:c r="C140" s="23"/>
      <x:c r="D140" s="28"/>
      <x:c r="E140" s="28"/>
      <x:c r="F140" s="23"/>
      <x:c r="G140" s="23"/>
      <x:c r="H140" s="23"/>
      <x:c r="I140" s="30"/>
      <x:c r="J140" s="23"/>
      <x:c r="K140" s="23"/>
      <x:c r="L140" s="23"/>
      <x:c r="M140" s="23" t="str">
        <x:f>IF(D140="","",VALUE(LEFT(D140,FIND("+",D140)-1))*1000+VALUE(MID(D140,FIND("+",D140)+1,3)))</x:f>
      </x:c>
      <x:c r="N140" s="23" t="str">
        <x:f>IF(E140="","",VALUE(LEFT(E140,FIND("+",E140)-1))*1000+VALUE(MID(E140,FIND("+",E140)+1,3)))</x:f>
      </x:c>
      <x:c r="O140" s="23" t="str">
        <x:f>IF(AND(M140="",N140=""),"",MIN(IF(M140="",N140,M140),IF(N140="",M140,N140)))</x:f>
      </x:c>
      <x:c r="P140" s="23" t="str">
        <x:f>IF(AND(M140="",N140=""),"",MAX(IF(M140="",N140,M140),IF(N140="",M140,N140)))</x:f>
      </x:c>
    </x:row>
    <x:row r="141" ht="21" customHeight="1">
      <x:c r="A141" s="26"/>
      <x:c r="B141" s="23"/>
      <x:c r="C141" s="23"/>
      <x:c r="D141" s="28"/>
      <x:c r="E141" s="28"/>
      <x:c r="F141" s="23"/>
      <x:c r="G141" s="23"/>
      <x:c r="H141" s="23"/>
      <x:c r="I141" s="30"/>
      <x:c r="J141" s="23"/>
      <x:c r="K141" s="23"/>
      <x:c r="L141" s="23"/>
      <x:c r="M141" s="23" t="str">
        <x:f>IF(D141="","",VALUE(LEFT(D141,FIND("+",D141)-1))*1000+VALUE(MID(D141,FIND("+",D141)+1,3)))</x:f>
      </x:c>
      <x:c r="N141" s="23" t="str">
        <x:f>IF(E141="","",VALUE(LEFT(E141,FIND("+",E141)-1))*1000+VALUE(MID(E141,FIND("+",E141)+1,3)))</x:f>
      </x:c>
      <x:c r="O141" s="23" t="str">
        <x:f>IF(AND(M141="",N141=""),"",MIN(IF(M141="",N141,M141),IF(N141="",M141,N141)))</x:f>
      </x:c>
      <x:c r="P141" s="23" t="str">
        <x:f>IF(AND(M141="",N141=""),"",MAX(IF(M141="",N141,M141),IF(N141="",M141,N141)))</x:f>
      </x:c>
    </x:row>
    <x:row r="142" ht="21" customHeight="1">
      <x:c r="A142" s="26"/>
      <x:c r="B142" s="23"/>
      <x:c r="C142" s="23"/>
      <x:c r="D142" s="28"/>
      <x:c r="E142" s="28"/>
      <x:c r="F142" s="23"/>
      <x:c r="G142" s="23"/>
      <x:c r="H142" s="23"/>
      <x:c r="I142" s="30"/>
      <x:c r="J142" s="23"/>
      <x:c r="K142" s="23"/>
      <x:c r="L142" s="23"/>
      <x:c r="M142" s="23" t="str">
        <x:f>IF(D142="","",VALUE(LEFT(D142,FIND("+",D142)-1))*1000+VALUE(MID(D142,FIND("+",D142)+1,3)))</x:f>
      </x:c>
      <x:c r="N142" s="23" t="str">
        <x:f>IF(E142="","",VALUE(LEFT(E142,FIND("+",E142)-1))*1000+VALUE(MID(E142,FIND("+",E142)+1,3)))</x:f>
      </x:c>
      <x:c r="O142" s="23" t="str">
        <x:f>IF(AND(M142="",N142=""),"",MIN(IF(M142="",N142,M142),IF(N142="",M142,N142)))</x:f>
      </x:c>
      <x:c r="P142" s="23" t="str">
        <x:f>IF(AND(M142="",N142=""),"",MAX(IF(M142="",N142,M142),IF(N142="",M142,N142)))</x:f>
      </x:c>
    </x:row>
    <x:row r="143" ht="21" customHeight="1">
      <x:c r="A143" s="26"/>
      <x:c r="B143" s="23"/>
      <x:c r="C143" s="23"/>
      <x:c r="D143" s="28"/>
      <x:c r="E143" s="28"/>
      <x:c r="F143" s="23"/>
      <x:c r="G143" s="23"/>
      <x:c r="H143" s="23"/>
      <x:c r="I143" s="30"/>
      <x:c r="J143" s="23"/>
      <x:c r="K143" s="23"/>
      <x:c r="L143" s="23"/>
      <x:c r="M143" s="23" t="str">
        <x:f>IF(D143="","",VALUE(LEFT(D143,FIND("+",D143)-1))*1000+VALUE(MID(D143,FIND("+",D143)+1,3)))</x:f>
      </x:c>
      <x:c r="N143" s="23" t="str">
        <x:f>IF(E143="","",VALUE(LEFT(E143,FIND("+",E143)-1))*1000+VALUE(MID(E143,FIND("+",E143)+1,3)))</x:f>
      </x:c>
      <x:c r="O143" s="23" t="str">
        <x:f>IF(AND(M143="",N143=""),"",MIN(IF(M143="",N143,M143),IF(N143="",M143,N143)))</x:f>
      </x:c>
      <x:c r="P143" s="23" t="str">
        <x:f>IF(AND(M143="",N143=""),"",MAX(IF(M143="",N143,M143),IF(N143="",M143,N143)))</x:f>
      </x:c>
    </x:row>
    <x:row r="144" ht="21" customHeight="1">
      <x:c r="A144" s="26"/>
      <x:c r="B144" s="23"/>
      <x:c r="C144" s="23"/>
      <x:c r="D144" s="28"/>
      <x:c r="E144" s="28"/>
      <x:c r="F144" s="23"/>
      <x:c r="G144" s="23"/>
      <x:c r="H144" s="23"/>
      <x:c r="I144" s="30"/>
      <x:c r="J144" s="23"/>
      <x:c r="K144" s="23"/>
      <x:c r="L144" s="23"/>
      <x:c r="M144" s="23" t="str">
        <x:f>IF(D144="","",VALUE(LEFT(D144,FIND("+",D144)-1))*1000+VALUE(MID(D144,FIND("+",D144)+1,3)))</x:f>
      </x:c>
      <x:c r="N144" s="23" t="str">
        <x:f>IF(E144="","",VALUE(LEFT(E144,FIND("+",E144)-1))*1000+VALUE(MID(E144,FIND("+",E144)+1,3)))</x:f>
      </x:c>
      <x:c r="O144" s="23" t="str">
        <x:f>IF(AND(M144="",N144=""),"",MIN(IF(M144="",N144,M144),IF(N144="",M144,N144)))</x:f>
      </x:c>
      <x:c r="P144" s="23" t="str">
        <x:f>IF(AND(M144="",N144=""),"",MAX(IF(M144="",N144,M144),IF(N144="",M144,N144)))</x:f>
      </x:c>
    </x:row>
    <x:row r="145" ht="21" customHeight="1">
      <x:c r="A145" s="26"/>
      <x:c r="B145" s="23"/>
      <x:c r="C145" s="23"/>
      <x:c r="D145" s="28"/>
      <x:c r="E145" s="28"/>
      <x:c r="F145" s="23"/>
      <x:c r="G145" s="23"/>
      <x:c r="H145" s="23"/>
      <x:c r="I145" s="30"/>
      <x:c r="J145" s="23"/>
      <x:c r="K145" s="23"/>
      <x:c r="L145" s="23"/>
      <x:c r="M145" s="23" t="str">
        <x:f>IF(D145="","",VALUE(LEFT(D145,FIND("+",D145)-1))*1000+VALUE(MID(D145,FIND("+",D145)+1,3)))</x:f>
      </x:c>
      <x:c r="N145" s="23" t="str">
        <x:f>IF(E145="","",VALUE(LEFT(E145,FIND("+",E145)-1))*1000+VALUE(MID(E145,FIND("+",E145)+1,3)))</x:f>
      </x:c>
      <x:c r="O145" s="23" t="str">
        <x:f>IF(AND(M145="",N145=""),"",MIN(IF(M145="",N145,M145),IF(N145="",M145,N145)))</x:f>
      </x:c>
      <x:c r="P145" s="23" t="str">
        <x:f>IF(AND(M145="",N145=""),"",MAX(IF(M145="",N145,M145),IF(N145="",M145,N145)))</x:f>
      </x:c>
    </x:row>
    <x:row r="146" ht="21" customHeight="1">
      <x:c r="A146" s="26"/>
      <x:c r="B146" s="23"/>
      <x:c r="C146" s="23"/>
      <x:c r="D146" s="28"/>
      <x:c r="E146" s="28"/>
      <x:c r="F146" s="23"/>
      <x:c r="G146" s="23"/>
      <x:c r="H146" s="23"/>
      <x:c r="I146" s="30"/>
      <x:c r="J146" s="23"/>
      <x:c r="K146" s="23"/>
      <x:c r="L146" s="23"/>
      <x:c r="M146" s="23" t="str">
        <x:f>IF(D146="","",VALUE(LEFT(D146,FIND("+",D146)-1))*1000+VALUE(MID(D146,FIND("+",D146)+1,3)))</x:f>
      </x:c>
      <x:c r="N146" s="23" t="str">
        <x:f>IF(E146="","",VALUE(LEFT(E146,FIND("+",E146)-1))*1000+VALUE(MID(E146,FIND("+",E146)+1,3)))</x:f>
      </x:c>
      <x:c r="O146" s="23" t="str">
        <x:f>IF(AND(M146="",N146=""),"",MIN(IF(M146="",N146,M146),IF(N146="",M146,N146)))</x:f>
      </x:c>
      <x:c r="P146" s="23" t="str">
        <x:f>IF(AND(M146="",N146=""),"",MAX(IF(M146="",N146,M146),IF(N146="",M146,N146)))</x:f>
      </x:c>
    </x:row>
    <x:row r="147" ht="21" customHeight="1">
      <x:c r="A147" s="26"/>
      <x:c r="B147" s="23"/>
      <x:c r="C147" s="23"/>
      <x:c r="D147" s="28"/>
      <x:c r="E147" s="28"/>
      <x:c r="F147" s="23"/>
      <x:c r="G147" s="23"/>
      <x:c r="H147" s="23"/>
      <x:c r="I147" s="30"/>
      <x:c r="J147" s="23"/>
      <x:c r="K147" s="23"/>
      <x:c r="L147" s="23"/>
      <x:c r="M147" s="23" t="str">
        <x:f>IF(D147="","",VALUE(LEFT(D147,FIND("+",D147)-1))*1000+VALUE(MID(D147,FIND("+",D147)+1,3)))</x:f>
      </x:c>
      <x:c r="N147" s="23" t="str">
        <x:f>IF(E147="","",VALUE(LEFT(E147,FIND("+",E147)-1))*1000+VALUE(MID(E147,FIND("+",E147)+1,3)))</x:f>
      </x:c>
      <x:c r="O147" s="23" t="str">
        <x:f>IF(AND(M147="",N147=""),"",MIN(IF(M147="",N147,M147),IF(N147="",M147,N147)))</x:f>
      </x:c>
      <x:c r="P147" s="23" t="str">
        <x:f>IF(AND(M147="",N147=""),"",MAX(IF(M147="",N147,M147),IF(N147="",M147,N147)))</x:f>
      </x:c>
    </x:row>
    <x:row r="148" ht="21" customHeight="1">
      <x:c r="A148" s="26"/>
      <x:c r="B148" s="23"/>
      <x:c r="C148" s="23"/>
      <x:c r="D148" s="28"/>
      <x:c r="E148" s="28"/>
      <x:c r="F148" s="23"/>
      <x:c r="G148" s="23"/>
      <x:c r="H148" s="23"/>
      <x:c r="I148" s="30"/>
      <x:c r="J148" s="23"/>
      <x:c r="K148" s="23"/>
      <x:c r="L148" s="23"/>
      <x:c r="M148" s="23" t="str">
        <x:f>IF(D148="","",VALUE(LEFT(D148,FIND("+",D148)-1))*1000+VALUE(MID(D148,FIND("+",D148)+1,3)))</x:f>
      </x:c>
      <x:c r="N148" s="23" t="str">
        <x:f>IF(E148="","",VALUE(LEFT(E148,FIND("+",E148)-1))*1000+VALUE(MID(E148,FIND("+",E148)+1,3)))</x:f>
      </x:c>
      <x:c r="O148" s="23" t="str">
        <x:f>IF(AND(M148="",N148=""),"",MIN(IF(M148="",N148,M148),IF(N148="",M148,N148)))</x:f>
      </x:c>
      <x:c r="P148" s="23" t="str">
        <x:f>IF(AND(M148="",N148=""),"",MAX(IF(M148="",N148,M148),IF(N148="",M148,N148)))</x:f>
      </x:c>
    </x:row>
    <x:row r="149" ht="21" customHeight="1">
      <x:c r="A149" s="26"/>
      <x:c r="B149" s="23"/>
      <x:c r="C149" s="23"/>
      <x:c r="D149" s="28"/>
      <x:c r="E149" s="28"/>
      <x:c r="F149" s="23"/>
      <x:c r="G149" s="23"/>
      <x:c r="H149" s="23"/>
      <x:c r="I149" s="30"/>
      <x:c r="J149" s="23"/>
      <x:c r="K149" s="23"/>
      <x:c r="L149" s="23"/>
      <x:c r="M149" s="23" t="str">
        <x:f>IF(D149="","",VALUE(LEFT(D149,FIND("+",D149)-1))*1000+VALUE(MID(D149,FIND("+",D149)+1,3)))</x:f>
      </x:c>
      <x:c r="N149" s="23" t="str">
        <x:f>IF(E149="","",VALUE(LEFT(E149,FIND("+",E149)-1))*1000+VALUE(MID(E149,FIND("+",E149)+1,3)))</x:f>
      </x:c>
      <x:c r="O149" s="23" t="str">
        <x:f>IF(AND(M149="",N149=""),"",MIN(IF(M149="",N149,M149),IF(N149="",M149,N149)))</x:f>
      </x:c>
      <x:c r="P149" s="23" t="str">
        <x:f>IF(AND(M149="",N149=""),"",MAX(IF(M149="",N149,M149),IF(N149="",M149,N149)))</x:f>
      </x:c>
    </x:row>
    <x:row r="150" ht="21" customHeight="1">
      <x:c r="A150" s="26"/>
      <x:c r="B150" s="23"/>
      <x:c r="C150" s="23"/>
      <x:c r="D150" s="28"/>
      <x:c r="E150" s="28"/>
      <x:c r="F150" s="23"/>
      <x:c r="G150" s="23"/>
      <x:c r="H150" s="23"/>
      <x:c r="I150" s="30"/>
      <x:c r="J150" s="23"/>
      <x:c r="K150" s="23"/>
      <x:c r="L150" s="23"/>
      <x:c r="M150" s="23" t="str">
        <x:f>IF(D150="","",VALUE(LEFT(D150,FIND("+",D150)-1))*1000+VALUE(MID(D150,FIND("+",D150)+1,3)))</x:f>
      </x:c>
      <x:c r="N150" s="23" t="str">
        <x:f>IF(E150="","",VALUE(LEFT(E150,FIND("+",E150)-1))*1000+VALUE(MID(E150,FIND("+",E150)+1,3)))</x:f>
      </x:c>
      <x:c r="O150" s="23" t="str">
        <x:f>IF(AND(M150="",N150=""),"",MIN(IF(M150="",N150,M150),IF(N150="",M150,N150)))</x:f>
      </x:c>
      <x:c r="P150" s="23" t="str">
        <x:f>IF(AND(M150="",N150=""),"",MAX(IF(M150="",N150,M150),IF(N150="",M150,N150)))</x:f>
      </x:c>
    </x:row>
    <x:row r="151" ht="21" customHeight="1">
      <x:c r="A151" s="26"/>
      <x:c r="B151" s="23"/>
      <x:c r="C151" s="23"/>
      <x:c r="D151" s="28"/>
      <x:c r="E151" s="28"/>
      <x:c r="F151" s="23"/>
      <x:c r="G151" s="23"/>
      <x:c r="H151" s="23"/>
      <x:c r="I151" s="30"/>
      <x:c r="J151" s="23"/>
      <x:c r="K151" s="23"/>
      <x:c r="L151" s="23"/>
      <x:c r="M151" s="23" t="str">
        <x:f>IF(D151="","",VALUE(LEFT(D151,FIND("+",D151)-1))*1000+VALUE(MID(D151,FIND("+",D151)+1,3)))</x:f>
      </x:c>
      <x:c r="N151" s="23" t="str">
        <x:f>IF(E151="","",VALUE(LEFT(E151,FIND("+",E151)-1))*1000+VALUE(MID(E151,FIND("+",E151)+1,3)))</x:f>
      </x:c>
      <x:c r="O151" s="23" t="str">
        <x:f>IF(AND(M151="",N151=""),"",MIN(IF(M151="",N151,M151),IF(N151="",M151,N151)))</x:f>
      </x:c>
      <x:c r="P151" s="23" t="str">
        <x:f>IF(AND(M151="",N151=""),"",MAX(IF(M151="",N151,M151),IF(N151="",M151,N151)))</x:f>
      </x:c>
    </x:row>
    <x:row r="152" ht="21" customHeight="1">
      <x:c r="A152" s="26"/>
      <x:c r="B152" s="23"/>
      <x:c r="C152" s="23"/>
      <x:c r="D152" s="28"/>
      <x:c r="E152" s="28"/>
      <x:c r="F152" s="23"/>
      <x:c r="G152" s="23"/>
      <x:c r="H152" s="23"/>
      <x:c r="I152" s="30"/>
      <x:c r="J152" s="23"/>
      <x:c r="K152" s="23"/>
      <x:c r="L152" s="23"/>
      <x:c r="M152" s="23" t="str">
        <x:f>IF(D152="","",VALUE(LEFT(D152,FIND("+",D152)-1))*1000+VALUE(MID(D152,FIND("+",D152)+1,3)))</x:f>
      </x:c>
      <x:c r="N152" s="23" t="str">
        <x:f>IF(E152="","",VALUE(LEFT(E152,FIND("+",E152)-1))*1000+VALUE(MID(E152,FIND("+",E152)+1,3)))</x:f>
      </x:c>
      <x:c r="O152" s="23" t="str">
        <x:f>IF(AND(M152="",N152=""),"",MIN(IF(M152="",N152,M152),IF(N152="",M152,N152)))</x:f>
      </x:c>
      <x:c r="P152" s="23" t="str">
        <x:f>IF(AND(M152="",N152=""),"",MAX(IF(M152="",N152,M152),IF(N152="",M152,N152)))</x:f>
      </x:c>
    </x:row>
    <x:row r="153" ht="21" customHeight="1">
      <x:c r="A153" s="26"/>
      <x:c r="B153" s="23"/>
      <x:c r="C153" s="23"/>
      <x:c r="D153" s="28"/>
      <x:c r="E153" s="28"/>
      <x:c r="F153" s="23"/>
      <x:c r="G153" s="23"/>
      <x:c r="H153" s="23"/>
      <x:c r="I153" s="30"/>
      <x:c r="J153" s="23"/>
      <x:c r="K153" s="23"/>
      <x:c r="L153" s="23"/>
      <x:c r="M153" s="23" t="str">
        <x:f>IF(D153="","",VALUE(LEFT(D153,FIND("+",D153)-1))*1000+VALUE(MID(D153,FIND("+",D153)+1,3)))</x:f>
      </x:c>
      <x:c r="N153" s="23" t="str">
        <x:f>IF(E153="","",VALUE(LEFT(E153,FIND("+",E153)-1))*1000+VALUE(MID(E153,FIND("+",E153)+1,3)))</x:f>
      </x:c>
      <x:c r="O153" s="23" t="str">
        <x:f>IF(AND(M153="",N153=""),"",MIN(IF(M153="",N153,M153),IF(N153="",M153,N153)))</x:f>
      </x:c>
      <x:c r="P153" s="23" t="str">
        <x:f>IF(AND(M153="",N153=""),"",MAX(IF(M153="",N153,M153),IF(N153="",M153,N153)))</x:f>
      </x:c>
    </x:row>
    <x:row r="154" ht="21" customHeight="1">
      <x:c r="A154" s="26"/>
      <x:c r="B154" s="23"/>
      <x:c r="C154" s="23"/>
      <x:c r="D154" s="28"/>
      <x:c r="E154" s="28"/>
      <x:c r="F154" s="23"/>
      <x:c r="G154" s="23"/>
      <x:c r="H154" s="23"/>
      <x:c r="I154" s="30"/>
      <x:c r="J154" s="23"/>
      <x:c r="K154" s="23"/>
      <x:c r="L154" s="23"/>
      <x:c r="M154" s="23" t="str">
        <x:f>IF(D154="","",VALUE(LEFT(D154,FIND("+",D154)-1))*1000+VALUE(MID(D154,FIND("+",D154)+1,3)))</x:f>
      </x:c>
      <x:c r="N154" s="23" t="str">
        <x:f>IF(E154="","",VALUE(LEFT(E154,FIND("+",E154)-1))*1000+VALUE(MID(E154,FIND("+",E154)+1,3)))</x:f>
      </x:c>
      <x:c r="O154" s="23" t="str">
        <x:f>IF(AND(M154="",N154=""),"",MIN(IF(M154="",N154,M154),IF(N154="",M154,N154)))</x:f>
      </x:c>
      <x:c r="P154" s="23" t="str">
        <x:f>IF(AND(M154="",N154=""),"",MAX(IF(M154="",N154,M154),IF(N154="",M154,N154)))</x:f>
      </x:c>
    </x:row>
    <x:row r="155" ht="21" customHeight="1">
      <x:c r="A155" s="26"/>
      <x:c r="B155" s="23"/>
      <x:c r="C155" s="23"/>
      <x:c r="D155" s="28"/>
      <x:c r="E155" s="28"/>
      <x:c r="F155" s="23"/>
      <x:c r="G155" s="23"/>
      <x:c r="H155" s="23"/>
      <x:c r="I155" s="30"/>
      <x:c r="J155" s="23"/>
      <x:c r="K155" s="23"/>
      <x:c r="L155" s="23"/>
      <x:c r="M155" s="23" t="str">
        <x:f>IF(D155="","",VALUE(LEFT(D155,FIND("+",D155)-1))*1000+VALUE(MID(D155,FIND("+",D155)+1,3)))</x:f>
      </x:c>
      <x:c r="N155" s="23" t="str">
        <x:f>IF(E155="","",VALUE(LEFT(E155,FIND("+",E155)-1))*1000+VALUE(MID(E155,FIND("+",E155)+1,3)))</x:f>
      </x:c>
      <x:c r="O155" s="23" t="str">
        <x:f>IF(AND(M155="",N155=""),"",MIN(IF(M155="",N155,M155),IF(N155="",M155,N155)))</x:f>
      </x:c>
      <x:c r="P155" s="23" t="str">
        <x:f>IF(AND(M155="",N155=""),"",MAX(IF(M155="",N155,M155),IF(N155="",M155,N155)))</x:f>
      </x:c>
    </x:row>
    <x:row r="156" ht="21" customHeight="1">
      <x:c r="A156" s="26"/>
      <x:c r="B156" s="23"/>
      <x:c r="C156" s="23"/>
      <x:c r="D156" s="28"/>
      <x:c r="E156" s="28"/>
      <x:c r="F156" s="23"/>
      <x:c r="G156" s="23"/>
      <x:c r="H156" s="23"/>
      <x:c r="I156" s="30"/>
      <x:c r="J156" s="23"/>
      <x:c r="K156" s="23"/>
      <x:c r="L156" s="23"/>
      <x:c r="M156" s="23" t="str">
        <x:f>IF(D156="","",VALUE(LEFT(D156,FIND("+",D156)-1))*1000+VALUE(MID(D156,FIND("+",D156)+1,3)))</x:f>
      </x:c>
      <x:c r="N156" s="23" t="str">
        <x:f>IF(E156="","",VALUE(LEFT(E156,FIND("+",E156)-1))*1000+VALUE(MID(E156,FIND("+",E156)+1,3)))</x:f>
      </x:c>
      <x:c r="O156" s="23" t="str">
        <x:f>IF(AND(M156="",N156=""),"",MIN(IF(M156="",N156,M156),IF(N156="",M156,N156)))</x:f>
      </x:c>
      <x:c r="P156" s="23" t="str">
        <x:f>IF(AND(M156="",N156=""),"",MAX(IF(M156="",N156,M156),IF(N156="",M156,N156)))</x:f>
      </x:c>
    </x:row>
    <x:row r="157" ht="21" customHeight="1">
      <x:c r="A157" s="26"/>
      <x:c r="B157" s="23"/>
      <x:c r="C157" s="23"/>
      <x:c r="D157" s="28"/>
      <x:c r="E157" s="28"/>
      <x:c r="F157" s="23"/>
      <x:c r="G157" s="23"/>
      <x:c r="H157" s="23"/>
      <x:c r="I157" s="30"/>
      <x:c r="J157" s="23"/>
      <x:c r="K157" s="23"/>
      <x:c r="L157" s="23"/>
      <x:c r="M157" s="23" t="str">
        <x:f>IF(D157="","",VALUE(LEFT(D157,FIND("+",D157)-1))*1000+VALUE(MID(D157,FIND("+",D157)+1,3)))</x:f>
      </x:c>
      <x:c r="N157" s="23" t="str">
        <x:f>IF(E157="","",VALUE(LEFT(E157,FIND("+",E157)-1))*1000+VALUE(MID(E157,FIND("+",E157)+1,3)))</x:f>
      </x:c>
      <x:c r="O157" s="23" t="str">
        <x:f>IF(AND(M157="",N157=""),"",MIN(IF(M157="",N157,M157),IF(N157="",M157,N157)))</x:f>
      </x:c>
      <x:c r="P157" s="23" t="str">
        <x:f>IF(AND(M157="",N157=""),"",MAX(IF(M157="",N157,M157),IF(N157="",M157,N157)))</x:f>
      </x:c>
    </x:row>
    <x:row r="158" ht="21" customHeight="1">
      <x:c r="A158" s="26"/>
      <x:c r="B158" s="23"/>
      <x:c r="C158" s="23"/>
      <x:c r="D158" s="28"/>
      <x:c r="E158" s="28"/>
      <x:c r="F158" s="23"/>
      <x:c r="G158" s="23"/>
      <x:c r="H158" s="23"/>
      <x:c r="I158" s="30"/>
      <x:c r="J158" s="23"/>
      <x:c r="K158" s="23"/>
      <x:c r="L158" s="23"/>
      <x:c r="M158" s="23" t="str">
        <x:f>IF(D158="","",VALUE(LEFT(D158,FIND("+",D158)-1))*1000+VALUE(MID(D158,FIND("+",D158)+1,3)))</x:f>
      </x:c>
      <x:c r="N158" s="23" t="str">
        <x:f>IF(E158="","",VALUE(LEFT(E158,FIND("+",E158)-1))*1000+VALUE(MID(E158,FIND("+",E158)+1,3)))</x:f>
      </x:c>
      <x:c r="O158" s="23" t="str">
        <x:f>IF(AND(M158="",N158=""),"",MIN(IF(M158="",N158,M158),IF(N158="",M158,N158)))</x:f>
      </x:c>
      <x:c r="P158" s="23" t="str">
        <x:f>IF(AND(M158="",N158=""),"",MAX(IF(M158="",N158,M158),IF(N158="",M158,N158)))</x:f>
      </x:c>
    </x:row>
    <x:row r="159" ht="21" customHeight="1">
      <x:c r="A159" s="26"/>
      <x:c r="B159" s="23"/>
      <x:c r="C159" s="23"/>
      <x:c r="D159" s="28"/>
      <x:c r="E159" s="28"/>
      <x:c r="F159" s="23"/>
      <x:c r="G159" s="23"/>
      <x:c r="H159" s="23"/>
      <x:c r="I159" s="30"/>
      <x:c r="J159" s="23"/>
      <x:c r="K159" s="23"/>
      <x:c r="L159" s="23"/>
      <x:c r="M159" s="23" t="str">
        <x:f>IF(D159="","",VALUE(LEFT(D159,FIND("+",D159)-1))*1000+VALUE(MID(D159,FIND("+",D159)+1,3)))</x:f>
      </x:c>
      <x:c r="N159" s="23" t="str">
        <x:f>IF(E159="","",VALUE(LEFT(E159,FIND("+",E159)-1))*1000+VALUE(MID(E159,FIND("+",E159)+1,3)))</x:f>
      </x:c>
      <x:c r="O159" s="23" t="str">
        <x:f>IF(AND(M159="",N159=""),"",MIN(IF(M159="",N159,M159),IF(N159="",M159,N159)))</x:f>
      </x:c>
      <x:c r="P159" s="23" t="str">
        <x:f>IF(AND(M159="",N159=""),"",MAX(IF(M159="",N159,M159),IF(N159="",M159,N159)))</x:f>
      </x:c>
    </x:row>
    <x:row r="160" ht="21" customHeight="1">
      <x:c r="A160" s="26"/>
      <x:c r="B160" s="23"/>
      <x:c r="C160" s="23"/>
      <x:c r="D160" s="28"/>
      <x:c r="E160" s="28"/>
      <x:c r="F160" s="23"/>
      <x:c r="G160" s="23"/>
      <x:c r="H160" s="23"/>
      <x:c r="I160" s="30"/>
      <x:c r="J160" s="23"/>
      <x:c r="K160" s="23"/>
      <x:c r="L160" s="23"/>
      <x:c r="M160" s="23" t="str">
        <x:f>IF(D160="","",VALUE(LEFT(D160,FIND("+",D160)-1))*1000+VALUE(MID(D160,FIND("+",D160)+1,3)))</x:f>
      </x:c>
      <x:c r="N160" s="23" t="str">
        <x:f>IF(E160="","",VALUE(LEFT(E160,FIND("+",E160)-1))*1000+VALUE(MID(E160,FIND("+",E160)+1,3)))</x:f>
      </x:c>
      <x:c r="O160" s="23" t="str">
        <x:f>IF(AND(M160="",N160=""),"",MIN(IF(M160="",N160,M160),IF(N160="",M160,N160)))</x:f>
      </x:c>
      <x:c r="P160" s="23" t="str">
        <x:f>IF(AND(M160="",N160=""),"",MAX(IF(M160="",N160,M160),IF(N160="",M160,N160)))</x:f>
      </x:c>
    </x:row>
    <x:row r="161" ht="21" customHeight="1">
      <x:c r="A161" s="26"/>
      <x:c r="B161" s="23"/>
      <x:c r="C161" s="23"/>
      <x:c r="D161" s="28"/>
      <x:c r="E161" s="28"/>
      <x:c r="F161" s="23"/>
      <x:c r="G161" s="23"/>
      <x:c r="H161" s="23"/>
      <x:c r="I161" s="30"/>
      <x:c r="J161" s="23"/>
      <x:c r="K161" s="23"/>
      <x:c r="L161" s="23"/>
      <x:c r="M161" s="23" t="str">
        <x:f>IF(D161="","",VALUE(LEFT(D161,FIND("+",D161)-1))*1000+VALUE(MID(D161,FIND("+",D161)+1,3)))</x:f>
      </x:c>
      <x:c r="N161" s="23" t="str">
        <x:f>IF(E161="","",VALUE(LEFT(E161,FIND("+",E161)-1))*1000+VALUE(MID(E161,FIND("+",E161)+1,3)))</x:f>
      </x:c>
      <x:c r="O161" s="23" t="str">
        <x:f>IF(AND(M161="",N161=""),"",MIN(IF(M161="",N161,M161),IF(N161="",M161,N161)))</x:f>
      </x:c>
      <x:c r="P161" s="23" t="str">
        <x:f>IF(AND(M161="",N161=""),"",MAX(IF(M161="",N161,M161),IF(N161="",M161,N161)))</x:f>
      </x:c>
    </x:row>
    <x:row r="162" ht="21" customHeight="1">
      <x:c r="A162" s="26"/>
      <x:c r="B162" s="23"/>
      <x:c r="C162" s="23"/>
      <x:c r="D162" s="28"/>
      <x:c r="E162" s="28"/>
      <x:c r="F162" s="23"/>
      <x:c r="G162" s="23"/>
      <x:c r="H162" s="23"/>
      <x:c r="I162" s="30"/>
      <x:c r="J162" s="23"/>
      <x:c r="K162" s="23"/>
      <x:c r="L162" s="23"/>
      <x:c r="M162" s="23" t="str">
        <x:f>IF(D162="","",VALUE(LEFT(D162,FIND("+",D162)-1))*1000+VALUE(MID(D162,FIND("+",D162)+1,3)))</x:f>
      </x:c>
      <x:c r="N162" s="23" t="str">
        <x:f>IF(E162="","",VALUE(LEFT(E162,FIND("+",E162)-1))*1000+VALUE(MID(E162,FIND("+",E162)+1,3)))</x:f>
      </x:c>
      <x:c r="O162" s="23" t="str">
        <x:f>IF(AND(M162="",N162=""),"",MIN(IF(M162="",N162,M162),IF(N162="",M162,N162)))</x:f>
      </x:c>
      <x:c r="P162" s="23" t="str">
        <x:f>IF(AND(M162="",N162=""),"",MAX(IF(M162="",N162,M162),IF(N162="",M162,N162)))</x:f>
      </x:c>
    </x:row>
    <x:row r="163" ht="21" customHeight="1">
      <x:c r="A163" s="26"/>
      <x:c r="B163" s="23"/>
      <x:c r="C163" s="23"/>
      <x:c r="D163" s="28"/>
      <x:c r="E163" s="28"/>
      <x:c r="F163" s="23"/>
      <x:c r="G163" s="23"/>
      <x:c r="H163" s="23"/>
      <x:c r="I163" s="30"/>
      <x:c r="J163" s="23"/>
      <x:c r="K163" s="23"/>
      <x:c r="L163" s="23"/>
      <x:c r="M163" s="23" t="str">
        <x:f>IF(D163="","",VALUE(LEFT(D163,FIND("+",D163)-1))*1000+VALUE(MID(D163,FIND("+",D163)+1,3)))</x:f>
      </x:c>
      <x:c r="N163" s="23" t="str">
        <x:f>IF(E163="","",VALUE(LEFT(E163,FIND("+",E163)-1))*1000+VALUE(MID(E163,FIND("+",E163)+1,3)))</x:f>
      </x:c>
      <x:c r="O163" s="23" t="str">
        <x:f>IF(AND(M163="",N163=""),"",MIN(IF(M163="",N163,M163),IF(N163="",M163,N163)))</x:f>
      </x:c>
      <x:c r="P163" s="23" t="str">
        <x:f>IF(AND(M163="",N163=""),"",MAX(IF(M163="",N163,M163),IF(N163="",M163,N163)))</x:f>
      </x:c>
    </x:row>
    <x:row r="164" ht="21" customHeight="1">
      <x:c r="A164" s="26"/>
      <x:c r="B164" s="23"/>
      <x:c r="C164" s="23"/>
      <x:c r="D164" s="28"/>
      <x:c r="E164" s="28"/>
      <x:c r="F164" s="23"/>
      <x:c r="G164" s="23"/>
      <x:c r="H164" s="23"/>
      <x:c r="I164" s="30"/>
      <x:c r="J164" s="23"/>
      <x:c r="K164" s="23"/>
      <x:c r="L164" s="23"/>
      <x:c r="M164" s="23" t="str">
        <x:f>IF(D164="","",VALUE(LEFT(D164,FIND("+",D164)-1))*1000+VALUE(MID(D164,FIND("+",D164)+1,3)))</x:f>
      </x:c>
      <x:c r="N164" s="23" t="str">
        <x:f>IF(E164="","",VALUE(LEFT(E164,FIND("+",E164)-1))*1000+VALUE(MID(E164,FIND("+",E164)+1,3)))</x:f>
      </x:c>
      <x:c r="O164" s="23" t="str">
        <x:f>IF(AND(M164="",N164=""),"",MIN(IF(M164="",N164,M164),IF(N164="",M164,N164)))</x:f>
      </x:c>
      <x:c r="P164" s="23" t="str">
        <x:f>IF(AND(M164="",N164=""),"",MAX(IF(M164="",N164,M164),IF(N164="",M164,N164)))</x:f>
      </x:c>
    </x:row>
    <x:row r="165" ht="21" customHeight="1">
      <x:c r="A165" s="26"/>
      <x:c r="B165" s="23"/>
      <x:c r="C165" s="23"/>
      <x:c r="D165" s="28"/>
      <x:c r="E165" s="28"/>
      <x:c r="F165" s="23"/>
      <x:c r="G165" s="23"/>
      <x:c r="H165" s="23"/>
      <x:c r="I165" s="30"/>
      <x:c r="J165" s="23"/>
      <x:c r="K165" s="23"/>
      <x:c r="L165" s="23"/>
      <x:c r="M165" s="23" t="str">
        <x:f>IF(D165="","",VALUE(LEFT(D165,FIND("+",D165)-1))*1000+VALUE(MID(D165,FIND("+",D165)+1,3)))</x:f>
      </x:c>
      <x:c r="N165" s="23" t="str">
        <x:f>IF(E165="","",VALUE(LEFT(E165,FIND("+",E165)-1))*1000+VALUE(MID(E165,FIND("+",E165)+1,3)))</x:f>
      </x:c>
      <x:c r="O165" s="23" t="str">
        <x:f>IF(AND(M165="",N165=""),"",MIN(IF(M165="",N165,M165),IF(N165="",M165,N165)))</x:f>
      </x:c>
      <x:c r="P165" s="23" t="str">
        <x:f>IF(AND(M165="",N165=""),"",MAX(IF(M165="",N165,M165),IF(N165="",M165,N165)))</x:f>
      </x:c>
    </x:row>
    <x:row r="166" ht="21" customHeight="1">
      <x:c r="A166" s="26"/>
      <x:c r="B166" s="23"/>
      <x:c r="C166" s="23"/>
      <x:c r="D166" s="28"/>
      <x:c r="E166" s="28"/>
      <x:c r="F166" s="23"/>
      <x:c r="G166" s="23"/>
      <x:c r="H166" s="23"/>
      <x:c r="I166" s="30"/>
      <x:c r="J166" s="23"/>
      <x:c r="K166" s="23"/>
      <x:c r="L166" s="23"/>
      <x:c r="M166" s="23" t="str">
        <x:f>IF(D166="","",VALUE(LEFT(D166,FIND("+",D166)-1))*1000+VALUE(MID(D166,FIND("+",D166)+1,3)))</x:f>
      </x:c>
      <x:c r="N166" s="23" t="str">
        <x:f>IF(E166="","",VALUE(LEFT(E166,FIND("+",E166)-1))*1000+VALUE(MID(E166,FIND("+",E166)+1,3)))</x:f>
      </x:c>
      <x:c r="O166" s="23" t="str">
        <x:f>IF(AND(M166="",N166=""),"",MIN(IF(M166="",N166,M166),IF(N166="",M166,N166)))</x:f>
      </x:c>
      <x:c r="P166" s="23" t="str">
        <x:f>IF(AND(M166="",N166=""),"",MAX(IF(M166="",N166,M166),IF(N166="",M166,N166)))</x:f>
      </x:c>
    </x:row>
    <x:row r="167" ht="21" customHeight="1">
      <x:c r="A167" s="26"/>
      <x:c r="B167" s="23"/>
      <x:c r="C167" s="23"/>
      <x:c r="D167" s="28"/>
      <x:c r="E167" s="28"/>
      <x:c r="F167" s="23"/>
      <x:c r="G167" s="23"/>
      <x:c r="H167" s="23"/>
      <x:c r="I167" s="30"/>
      <x:c r="J167" s="23"/>
      <x:c r="K167" s="23"/>
      <x:c r="L167" s="23"/>
      <x:c r="M167" s="23" t="str">
        <x:f>IF(D167="","",VALUE(LEFT(D167,FIND("+",D167)-1))*1000+VALUE(MID(D167,FIND("+",D167)+1,3)))</x:f>
      </x:c>
      <x:c r="N167" s="23" t="str">
        <x:f>IF(E167="","",VALUE(LEFT(E167,FIND("+",E167)-1))*1000+VALUE(MID(E167,FIND("+",E167)+1,3)))</x:f>
      </x:c>
      <x:c r="O167" s="23" t="str">
        <x:f>IF(AND(M167="",N167=""),"",MIN(IF(M167="",N167,M167),IF(N167="",M167,N167)))</x:f>
      </x:c>
      <x:c r="P167" s="23" t="str">
        <x:f>IF(AND(M167="",N167=""),"",MAX(IF(M167="",N167,M167),IF(N167="",M167,N167)))</x:f>
      </x:c>
    </x:row>
    <x:row r="168" ht="21" customHeight="1">
      <x:c r="A168" s="26"/>
      <x:c r="B168" s="23"/>
      <x:c r="C168" s="23"/>
      <x:c r="D168" s="28"/>
      <x:c r="E168" s="28"/>
      <x:c r="F168" s="23"/>
      <x:c r="G168" s="23"/>
      <x:c r="H168" s="23"/>
      <x:c r="I168" s="30"/>
      <x:c r="J168" s="23"/>
      <x:c r="K168" s="23"/>
      <x:c r="L168" s="23"/>
      <x:c r="M168" s="23" t="str">
        <x:f>IF(D168="","",VALUE(LEFT(D168,FIND("+",D168)-1))*1000+VALUE(MID(D168,FIND("+",D168)+1,3)))</x:f>
      </x:c>
      <x:c r="N168" s="23" t="str">
        <x:f>IF(E168="","",VALUE(LEFT(E168,FIND("+",E168)-1))*1000+VALUE(MID(E168,FIND("+",E168)+1,3)))</x:f>
      </x:c>
      <x:c r="O168" s="23" t="str">
        <x:f>IF(AND(M168="",N168=""),"",MIN(IF(M168="",N168,M168),IF(N168="",M168,N168)))</x:f>
      </x:c>
      <x:c r="P168" s="23" t="str">
        <x:f>IF(AND(M168="",N168=""),"",MAX(IF(M168="",N168,M168),IF(N168="",M168,N168)))</x:f>
      </x:c>
    </x:row>
    <x:row r="169" ht="21" customHeight="1">
      <x:c r="A169" s="26"/>
      <x:c r="B169" s="23"/>
      <x:c r="C169" s="23"/>
      <x:c r="D169" s="28"/>
      <x:c r="E169" s="28"/>
      <x:c r="F169" s="23"/>
      <x:c r="G169" s="23"/>
      <x:c r="H169" s="23"/>
      <x:c r="I169" s="30"/>
      <x:c r="J169" s="23"/>
      <x:c r="K169" s="23"/>
      <x:c r="L169" s="23"/>
      <x:c r="M169" s="23" t="str">
        <x:f>IF(D169="","",VALUE(LEFT(D169,FIND("+",D169)-1))*1000+VALUE(MID(D169,FIND("+",D169)+1,3)))</x:f>
      </x:c>
      <x:c r="N169" s="23" t="str">
        <x:f>IF(E169="","",VALUE(LEFT(E169,FIND("+",E169)-1))*1000+VALUE(MID(E169,FIND("+",E169)+1,3)))</x:f>
      </x:c>
      <x:c r="O169" s="23" t="str">
        <x:f>IF(AND(M169="",N169=""),"",MIN(IF(M169="",N169,M169),IF(N169="",M169,N169)))</x:f>
      </x:c>
      <x:c r="P169" s="23" t="str">
        <x:f>IF(AND(M169="",N169=""),"",MAX(IF(M169="",N169,M169),IF(N169="",M169,N169)))</x:f>
      </x:c>
    </x:row>
    <x:row r="170" ht="21" customHeight="1">
      <x:c r="A170" s="26"/>
      <x:c r="B170" s="23"/>
      <x:c r="C170" s="23"/>
      <x:c r="D170" s="28"/>
      <x:c r="E170" s="28"/>
      <x:c r="F170" s="23"/>
      <x:c r="G170" s="23"/>
      <x:c r="H170" s="23"/>
      <x:c r="I170" s="30"/>
      <x:c r="J170" s="23"/>
      <x:c r="K170" s="23"/>
      <x:c r="L170" s="23"/>
      <x:c r="M170" s="23" t="str">
        <x:f>IF(D170="","",VALUE(LEFT(D170,FIND("+",D170)-1))*1000+VALUE(MID(D170,FIND("+",D170)+1,3)))</x:f>
      </x:c>
      <x:c r="N170" s="23" t="str">
        <x:f>IF(E170="","",VALUE(LEFT(E170,FIND("+",E170)-1))*1000+VALUE(MID(E170,FIND("+",E170)+1,3)))</x:f>
      </x:c>
      <x:c r="O170" s="23" t="str">
        <x:f>IF(AND(M170="",N170=""),"",MIN(IF(M170="",N170,M170),IF(N170="",M170,N170)))</x:f>
      </x:c>
      <x:c r="P170" s="23" t="str">
        <x:f>IF(AND(M170="",N170=""),"",MAX(IF(M170="",N170,M170),IF(N170="",M170,N170)))</x:f>
      </x:c>
    </x:row>
    <x:row r="171" ht="21" customHeight="1">
      <x:c r="A171" s="26"/>
      <x:c r="B171" s="23"/>
      <x:c r="C171" s="23"/>
      <x:c r="D171" s="28"/>
      <x:c r="E171" s="28"/>
      <x:c r="F171" s="23"/>
      <x:c r="G171" s="23"/>
      <x:c r="H171" s="23"/>
      <x:c r="I171" s="30"/>
      <x:c r="J171" s="23"/>
      <x:c r="K171" s="23"/>
      <x:c r="L171" s="23"/>
      <x:c r="M171" s="23" t="str">
        <x:f>IF(D171="","",VALUE(LEFT(D171,FIND("+",D171)-1))*1000+VALUE(MID(D171,FIND("+",D171)+1,3)))</x:f>
      </x:c>
      <x:c r="N171" s="23" t="str">
        <x:f>IF(E171="","",VALUE(LEFT(E171,FIND("+",E171)-1))*1000+VALUE(MID(E171,FIND("+",E171)+1,3)))</x:f>
      </x:c>
      <x:c r="O171" s="23" t="str">
        <x:f>IF(AND(M171="",N171=""),"",MIN(IF(M171="",N171,M171),IF(N171="",M171,N171)))</x:f>
      </x:c>
      <x:c r="P171" s="23" t="str">
        <x:f>IF(AND(M171="",N171=""),"",MAX(IF(M171="",N171,M171),IF(N171="",M171,N171)))</x:f>
      </x:c>
    </x:row>
    <x:row r="172" ht="21" customHeight="1">
      <x:c r="A172" s="26"/>
      <x:c r="B172" s="23"/>
      <x:c r="C172" s="23"/>
      <x:c r="D172" s="28"/>
      <x:c r="E172" s="28"/>
      <x:c r="F172" s="23"/>
      <x:c r="G172" s="23"/>
      <x:c r="H172" s="23"/>
      <x:c r="I172" s="30"/>
      <x:c r="J172" s="23"/>
      <x:c r="K172" s="23"/>
      <x:c r="L172" s="23"/>
      <x:c r="M172" s="23" t="str">
        <x:f>IF(D172="","",VALUE(LEFT(D172,FIND("+",D172)-1))*1000+VALUE(MID(D172,FIND("+",D172)+1,3)))</x:f>
      </x:c>
      <x:c r="N172" s="23" t="str">
        <x:f>IF(E172="","",VALUE(LEFT(E172,FIND("+",E172)-1))*1000+VALUE(MID(E172,FIND("+",E172)+1,3)))</x:f>
      </x:c>
      <x:c r="O172" s="23" t="str">
        <x:f>IF(AND(M172="",N172=""),"",MIN(IF(M172="",N172,M172),IF(N172="",M172,N172)))</x:f>
      </x:c>
      <x:c r="P172" s="23" t="str">
        <x:f>IF(AND(M172="",N172=""),"",MAX(IF(M172="",N172,M172),IF(N172="",M172,N172)))</x:f>
      </x:c>
    </x:row>
    <x:row r="173" ht="21" customHeight="1">
      <x:c r="A173" s="26"/>
      <x:c r="B173" s="23"/>
      <x:c r="C173" s="23"/>
      <x:c r="D173" s="28"/>
      <x:c r="E173" s="28"/>
      <x:c r="F173" s="23"/>
      <x:c r="G173" s="23"/>
      <x:c r="H173" s="23"/>
      <x:c r="I173" s="30"/>
      <x:c r="J173" s="23"/>
      <x:c r="K173" s="23"/>
      <x:c r="L173" s="23"/>
      <x:c r="M173" s="23" t="str">
        <x:f>IF(D173="","",VALUE(LEFT(D173,FIND("+",D173)-1))*1000+VALUE(MID(D173,FIND("+",D173)+1,3)))</x:f>
      </x:c>
      <x:c r="N173" s="23" t="str">
        <x:f>IF(E173="","",VALUE(LEFT(E173,FIND("+",E173)-1))*1000+VALUE(MID(E173,FIND("+",E173)+1,3)))</x:f>
      </x:c>
      <x:c r="O173" s="23" t="str">
        <x:f>IF(AND(M173="",N173=""),"",MIN(IF(M173="",N173,M173),IF(N173="",M173,N173)))</x:f>
      </x:c>
      <x:c r="P173" s="23" t="str">
        <x:f>IF(AND(M173="",N173=""),"",MAX(IF(M173="",N173,M173),IF(N173="",M173,N173)))</x:f>
      </x:c>
    </x:row>
    <x:row r="174" ht="21" customHeight="1">
      <x:c r="A174" s="26"/>
      <x:c r="B174" s="23"/>
      <x:c r="C174" s="23"/>
      <x:c r="D174" s="28"/>
      <x:c r="E174" s="28"/>
      <x:c r="F174" s="23"/>
      <x:c r="G174" s="23"/>
      <x:c r="H174" s="23"/>
      <x:c r="I174" s="30"/>
      <x:c r="J174" s="23"/>
      <x:c r="K174" s="23"/>
      <x:c r="L174" s="23"/>
      <x:c r="M174" s="23" t="str">
        <x:f>IF(D174="","",VALUE(LEFT(D174,FIND("+",D174)-1))*1000+VALUE(MID(D174,FIND("+",D174)+1,3)))</x:f>
      </x:c>
      <x:c r="N174" s="23" t="str">
        <x:f>IF(E174="","",VALUE(LEFT(E174,FIND("+",E174)-1))*1000+VALUE(MID(E174,FIND("+",E174)+1,3)))</x:f>
      </x:c>
      <x:c r="O174" s="23" t="str">
        <x:f>IF(AND(M174="",N174=""),"",MIN(IF(M174="",N174,M174),IF(N174="",M174,N174)))</x:f>
      </x:c>
      <x:c r="P174" s="23" t="str">
        <x:f>IF(AND(M174="",N174=""),"",MAX(IF(M174="",N174,M174),IF(N174="",M174,N174)))</x:f>
      </x:c>
    </x:row>
    <x:row r="175" ht="21" customHeight="1">
      <x:c r="A175" s="26"/>
      <x:c r="B175" s="23"/>
      <x:c r="C175" s="23"/>
      <x:c r="D175" s="28"/>
      <x:c r="E175" s="28"/>
      <x:c r="F175" s="23"/>
      <x:c r="G175" s="23"/>
      <x:c r="H175" s="23"/>
      <x:c r="I175" s="30"/>
      <x:c r="J175" s="23"/>
      <x:c r="K175" s="23"/>
      <x:c r="L175" s="23"/>
      <x:c r="M175" s="23" t="str">
        <x:f>IF(D175="","",VALUE(LEFT(D175,FIND("+",D175)-1))*1000+VALUE(MID(D175,FIND("+",D175)+1,3)))</x:f>
      </x:c>
      <x:c r="N175" s="23" t="str">
        <x:f>IF(E175="","",VALUE(LEFT(E175,FIND("+",E175)-1))*1000+VALUE(MID(E175,FIND("+",E175)+1,3)))</x:f>
      </x:c>
      <x:c r="O175" s="23" t="str">
        <x:f>IF(AND(M175="",N175=""),"",MIN(IF(M175="",N175,M175),IF(N175="",M175,N175)))</x:f>
      </x:c>
      <x:c r="P175" s="23" t="str">
        <x:f>IF(AND(M175="",N175=""),"",MAX(IF(M175="",N175,M175),IF(N175="",M175,N175)))</x:f>
      </x:c>
    </x:row>
    <x:row r="176" ht="21" customHeight="1">
      <x:c r="A176" s="26"/>
      <x:c r="B176" s="23"/>
      <x:c r="C176" s="23"/>
      <x:c r="D176" s="28"/>
      <x:c r="E176" s="28"/>
      <x:c r="F176" s="23"/>
      <x:c r="G176" s="23"/>
      <x:c r="H176" s="23"/>
      <x:c r="I176" s="30"/>
      <x:c r="J176" s="23"/>
      <x:c r="K176" s="23"/>
      <x:c r="L176" s="23"/>
      <x:c r="M176" s="23" t="str">
        <x:f>IF(D176="","",VALUE(LEFT(D176,FIND("+",D176)-1))*1000+VALUE(MID(D176,FIND("+",D176)+1,3)))</x:f>
      </x:c>
      <x:c r="N176" s="23" t="str">
        <x:f>IF(E176="","",VALUE(LEFT(E176,FIND("+",E176)-1))*1000+VALUE(MID(E176,FIND("+",E176)+1,3)))</x:f>
      </x:c>
      <x:c r="O176" s="23" t="str">
        <x:f>IF(AND(M176="",N176=""),"",MIN(IF(M176="",N176,M176),IF(N176="",M176,N176)))</x:f>
      </x:c>
      <x:c r="P176" s="23" t="str">
        <x:f>IF(AND(M176="",N176=""),"",MAX(IF(M176="",N176,M176),IF(N176="",M176,N176)))</x:f>
      </x:c>
    </x:row>
    <x:row r="177" ht="21" customHeight="1">
      <x:c r="A177" s="26"/>
      <x:c r="B177" s="23"/>
      <x:c r="C177" s="23"/>
      <x:c r="D177" s="28"/>
      <x:c r="E177" s="28"/>
      <x:c r="F177" s="23"/>
      <x:c r="G177" s="23"/>
      <x:c r="H177" s="23"/>
      <x:c r="I177" s="30"/>
      <x:c r="J177" s="23"/>
      <x:c r="K177" s="23"/>
      <x:c r="L177" s="23"/>
      <x:c r="M177" s="23" t="str">
        <x:f>IF(D177="","",VALUE(LEFT(D177,FIND("+",D177)-1))*1000+VALUE(MID(D177,FIND("+",D177)+1,3)))</x:f>
      </x:c>
      <x:c r="N177" s="23" t="str">
        <x:f>IF(E177="","",VALUE(LEFT(E177,FIND("+",E177)-1))*1000+VALUE(MID(E177,FIND("+",E177)+1,3)))</x:f>
      </x:c>
      <x:c r="O177" s="23" t="str">
        <x:f>IF(AND(M177="",N177=""),"",MIN(IF(M177="",N177,M177),IF(N177="",M177,N177)))</x:f>
      </x:c>
      <x:c r="P177" s="23" t="str">
        <x:f>IF(AND(M177="",N177=""),"",MAX(IF(M177="",N177,M177),IF(N177="",M177,N177)))</x:f>
      </x:c>
    </x:row>
    <x:row r="178" ht="21" customHeight="1">
      <x:c r="A178" s="26"/>
      <x:c r="B178" s="23"/>
      <x:c r="C178" s="23"/>
      <x:c r="D178" s="28"/>
      <x:c r="E178" s="28"/>
      <x:c r="F178" s="23"/>
      <x:c r="G178" s="23"/>
      <x:c r="H178" s="23"/>
      <x:c r="I178" s="30"/>
      <x:c r="J178" s="23"/>
      <x:c r="K178" s="23"/>
      <x:c r="L178" s="23"/>
      <x:c r="M178" s="23" t="str">
        <x:f>IF(D178="","",VALUE(LEFT(D178,FIND("+",D178)-1))*1000+VALUE(MID(D178,FIND("+",D178)+1,3)))</x:f>
      </x:c>
      <x:c r="N178" s="23" t="str">
        <x:f>IF(E178="","",VALUE(LEFT(E178,FIND("+",E178)-1))*1000+VALUE(MID(E178,FIND("+",E178)+1,3)))</x:f>
      </x:c>
      <x:c r="O178" s="23" t="str">
        <x:f>IF(AND(M178="",N178=""),"",MIN(IF(M178="",N178,M178),IF(N178="",M178,N178)))</x:f>
      </x:c>
      <x:c r="P178" s="23" t="str">
        <x:f>IF(AND(M178="",N178=""),"",MAX(IF(M178="",N178,M178),IF(N178="",M178,N178)))</x:f>
      </x:c>
    </x:row>
    <x:row r="179" ht="21" customHeight="1">
      <x:c r="A179" s="26"/>
      <x:c r="B179" s="23"/>
      <x:c r="C179" s="23"/>
      <x:c r="D179" s="28"/>
      <x:c r="E179" s="28"/>
      <x:c r="F179" s="23"/>
      <x:c r="G179" s="23"/>
      <x:c r="H179" s="23"/>
      <x:c r="I179" s="30"/>
      <x:c r="J179" s="23"/>
      <x:c r="K179" s="23"/>
      <x:c r="L179" s="23"/>
      <x:c r="M179" s="23" t="str">
        <x:f>IF(D179="","",VALUE(LEFT(D179,FIND("+",D179)-1))*1000+VALUE(MID(D179,FIND("+",D179)+1,3)))</x:f>
      </x:c>
      <x:c r="N179" s="23" t="str">
        <x:f>IF(E179="","",VALUE(LEFT(E179,FIND("+",E179)-1))*1000+VALUE(MID(E179,FIND("+",E179)+1,3)))</x:f>
      </x:c>
      <x:c r="O179" s="23" t="str">
        <x:f>IF(AND(M179="",N179=""),"",MIN(IF(M179="",N179,M179),IF(N179="",M179,N179)))</x:f>
      </x:c>
      <x:c r="P179" s="23" t="str">
        <x:f>IF(AND(M179="",N179=""),"",MAX(IF(M179="",N179,M179),IF(N179="",M179,N179)))</x:f>
      </x:c>
    </x:row>
    <x:row r="180" ht="21" customHeight="1">
      <x:c r="A180" s="26"/>
      <x:c r="B180" s="23"/>
      <x:c r="C180" s="23"/>
      <x:c r="D180" s="28"/>
      <x:c r="E180" s="28"/>
      <x:c r="F180" s="23"/>
      <x:c r="G180" s="23"/>
      <x:c r="H180" s="23"/>
      <x:c r="I180" s="30"/>
      <x:c r="J180" s="23"/>
      <x:c r="K180" s="23"/>
      <x:c r="L180" s="23"/>
      <x:c r="M180" s="23" t="str">
        <x:f>IF(D180="","",VALUE(LEFT(D180,FIND("+",D180)-1))*1000+VALUE(MID(D180,FIND("+",D180)+1,3)))</x:f>
      </x:c>
      <x:c r="N180" s="23" t="str">
        <x:f>IF(E180="","",VALUE(LEFT(E180,FIND("+",E180)-1))*1000+VALUE(MID(E180,FIND("+",E180)+1,3)))</x:f>
      </x:c>
      <x:c r="O180" s="23" t="str">
        <x:f>IF(AND(M180="",N180=""),"",MIN(IF(M180="",N180,M180),IF(N180="",M180,N180)))</x:f>
      </x:c>
      <x:c r="P180" s="23" t="str">
        <x:f>IF(AND(M180="",N180=""),"",MAX(IF(M180="",N180,M180),IF(N180="",M180,N180)))</x:f>
      </x:c>
    </x:row>
    <x:row r="181" ht="21" customHeight="1">
      <x:c r="A181" s="26"/>
      <x:c r="B181" s="23"/>
      <x:c r="C181" s="23"/>
      <x:c r="D181" s="28"/>
      <x:c r="E181" s="28"/>
      <x:c r="F181" s="23"/>
      <x:c r="G181" s="23"/>
      <x:c r="H181" s="23"/>
      <x:c r="I181" s="30"/>
      <x:c r="J181" s="23"/>
      <x:c r="K181" s="23"/>
      <x:c r="L181" s="23"/>
      <x:c r="M181" s="23" t="str">
        <x:f>IF(D181="","",VALUE(LEFT(D181,FIND("+",D181)-1))*1000+VALUE(MID(D181,FIND("+",D181)+1,3)))</x:f>
      </x:c>
      <x:c r="N181" s="23" t="str">
        <x:f>IF(E181="","",VALUE(LEFT(E181,FIND("+",E181)-1))*1000+VALUE(MID(E181,FIND("+",E181)+1,3)))</x:f>
      </x:c>
      <x:c r="O181" s="23" t="str">
        <x:f>IF(AND(M181="",N181=""),"",MIN(IF(M181="",N181,M181),IF(N181="",M181,N181)))</x:f>
      </x:c>
      <x:c r="P181" s="23" t="str">
        <x:f>IF(AND(M181="",N181=""),"",MAX(IF(M181="",N181,M181),IF(N181="",M181,N181)))</x:f>
      </x:c>
    </x:row>
    <x:row r="182" ht="21" customHeight="1">
      <x:c r="A182" s="26"/>
      <x:c r="B182" s="23"/>
      <x:c r="C182" s="23"/>
      <x:c r="D182" s="28"/>
      <x:c r="E182" s="28"/>
      <x:c r="F182" s="23"/>
      <x:c r="G182" s="23"/>
      <x:c r="H182" s="23"/>
      <x:c r="I182" s="30"/>
      <x:c r="J182" s="23"/>
      <x:c r="K182" s="23"/>
      <x:c r="L182" s="23"/>
      <x:c r="M182" s="23" t="str">
        <x:f>IF(D182="","",VALUE(LEFT(D182,FIND("+",D182)-1))*1000+VALUE(MID(D182,FIND("+",D182)+1,3)))</x:f>
      </x:c>
      <x:c r="N182" s="23" t="str">
        <x:f>IF(E182="","",VALUE(LEFT(E182,FIND("+",E182)-1))*1000+VALUE(MID(E182,FIND("+",E182)+1,3)))</x:f>
      </x:c>
      <x:c r="O182" s="23" t="str">
        <x:f>IF(AND(M182="",N182=""),"",MIN(IF(M182="",N182,M182),IF(N182="",M182,N182)))</x:f>
      </x:c>
      <x:c r="P182" s="23" t="str">
        <x:f>IF(AND(M182="",N182=""),"",MAX(IF(M182="",N182,M182),IF(N182="",M182,N182)))</x:f>
      </x:c>
    </x:row>
    <x:row r="183" ht="21" customHeight="1">
      <x:c r="A183" s="26"/>
      <x:c r="B183" s="23"/>
      <x:c r="C183" s="23"/>
      <x:c r="D183" s="28"/>
      <x:c r="E183" s="28"/>
      <x:c r="F183" s="23"/>
      <x:c r="G183" s="23"/>
      <x:c r="H183" s="23"/>
      <x:c r="I183" s="30"/>
      <x:c r="J183" s="23"/>
      <x:c r="K183" s="23"/>
      <x:c r="L183" s="23"/>
      <x:c r="M183" s="23" t="str">
        <x:f>IF(D183="","",VALUE(LEFT(D183,FIND("+",D183)-1))*1000+VALUE(MID(D183,FIND("+",D183)+1,3)))</x:f>
      </x:c>
      <x:c r="N183" s="23" t="str">
        <x:f>IF(E183="","",VALUE(LEFT(E183,FIND("+",E183)-1))*1000+VALUE(MID(E183,FIND("+",E183)+1,3)))</x:f>
      </x:c>
      <x:c r="O183" s="23" t="str">
        <x:f>IF(AND(M183="",N183=""),"",MIN(IF(M183="",N183,M183),IF(N183="",M183,N183)))</x:f>
      </x:c>
      <x:c r="P183" s="23" t="str">
        <x:f>IF(AND(M183="",N183=""),"",MAX(IF(M183="",N183,M183),IF(N183="",M183,N183)))</x:f>
      </x:c>
    </x:row>
    <x:row r="184" ht="21" customHeight="1">
      <x:c r="A184" s="26"/>
      <x:c r="B184" s="23"/>
      <x:c r="C184" s="23"/>
      <x:c r="D184" s="28"/>
      <x:c r="E184" s="28"/>
      <x:c r="F184" s="23"/>
      <x:c r="G184" s="23"/>
      <x:c r="H184" s="23"/>
      <x:c r="I184" s="30"/>
      <x:c r="J184" s="23"/>
      <x:c r="K184" s="23"/>
      <x:c r="L184" s="23"/>
      <x:c r="M184" s="23" t="str">
        <x:f>IF(D184="","",VALUE(LEFT(D184,FIND("+",D184)-1))*1000+VALUE(MID(D184,FIND("+",D184)+1,3)))</x:f>
      </x:c>
      <x:c r="N184" s="23" t="str">
        <x:f>IF(E184="","",VALUE(LEFT(E184,FIND("+",E184)-1))*1000+VALUE(MID(E184,FIND("+",E184)+1,3)))</x:f>
      </x:c>
      <x:c r="O184" s="23" t="str">
        <x:f>IF(AND(M184="",N184=""),"",MIN(IF(M184="",N184,M184),IF(N184="",M184,N184)))</x:f>
      </x:c>
      <x:c r="P184" s="23" t="str">
        <x:f>IF(AND(M184="",N184=""),"",MAX(IF(M184="",N184,M184),IF(N184="",M184,N184)))</x:f>
      </x:c>
    </x:row>
    <x:row r="185" ht="21" customHeight="1">
      <x:c r="A185" s="26"/>
      <x:c r="B185" s="23"/>
      <x:c r="C185" s="23"/>
      <x:c r="D185" s="28"/>
      <x:c r="E185" s="28"/>
      <x:c r="F185" s="23"/>
      <x:c r="G185" s="23"/>
      <x:c r="H185" s="23"/>
      <x:c r="I185" s="30"/>
      <x:c r="J185" s="23"/>
      <x:c r="K185" s="23"/>
      <x:c r="L185" s="23"/>
      <x:c r="M185" s="23" t="str">
        <x:f>IF(D185="","",VALUE(LEFT(D185,FIND("+",D185)-1))*1000+VALUE(MID(D185,FIND("+",D185)+1,3)))</x:f>
      </x:c>
      <x:c r="N185" s="23" t="str">
        <x:f>IF(E185="","",VALUE(LEFT(E185,FIND("+",E185)-1))*1000+VALUE(MID(E185,FIND("+",E185)+1,3)))</x:f>
      </x:c>
      <x:c r="O185" s="23" t="str">
        <x:f>IF(AND(M185="",N185=""),"",MIN(IF(M185="",N185,M185),IF(N185="",M185,N185)))</x:f>
      </x:c>
      <x:c r="P185" s="23" t="str">
        <x:f>IF(AND(M185="",N185=""),"",MAX(IF(M185="",N185,M185),IF(N185="",M185,N185)))</x:f>
      </x:c>
    </x:row>
    <x:row r="186" ht="21" customHeight="1">
      <x:c r="A186" s="26"/>
      <x:c r="B186" s="23"/>
      <x:c r="C186" s="23"/>
      <x:c r="D186" s="28"/>
      <x:c r="E186" s="28"/>
      <x:c r="F186" s="23"/>
      <x:c r="G186" s="23"/>
      <x:c r="H186" s="23"/>
      <x:c r="I186" s="30"/>
      <x:c r="J186" s="23"/>
      <x:c r="K186" s="23"/>
      <x:c r="L186" s="23"/>
      <x:c r="M186" s="23" t="str">
        <x:f>IF(D186="","",VALUE(LEFT(D186,FIND("+",D186)-1))*1000+VALUE(MID(D186,FIND("+",D186)+1,3)))</x:f>
      </x:c>
      <x:c r="N186" s="23" t="str">
        <x:f>IF(E186="","",VALUE(LEFT(E186,FIND("+",E186)-1))*1000+VALUE(MID(E186,FIND("+",E186)+1,3)))</x:f>
      </x:c>
      <x:c r="O186" s="23" t="str">
        <x:f>IF(AND(M186="",N186=""),"",MIN(IF(M186="",N186,M186),IF(N186="",M186,N186)))</x:f>
      </x:c>
      <x:c r="P186" s="23" t="str">
        <x:f>IF(AND(M186="",N186=""),"",MAX(IF(M186="",N186,M186),IF(N186="",M186,N186)))</x:f>
      </x:c>
    </x:row>
    <x:row r="187" ht="21" customHeight="1">
      <x:c r="A187" s="26"/>
      <x:c r="B187" s="23"/>
      <x:c r="C187" s="23"/>
      <x:c r="D187" s="28"/>
      <x:c r="E187" s="28"/>
      <x:c r="F187" s="23"/>
      <x:c r="G187" s="23"/>
      <x:c r="H187" s="23"/>
      <x:c r="I187" s="30"/>
      <x:c r="J187" s="23"/>
      <x:c r="K187" s="23"/>
      <x:c r="L187" s="23"/>
      <x:c r="M187" s="23" t="str">
        <x:f>IF(D187="","",VALUE(LEFT(D187,FIND("+",D187)-1))*1000+VALUE(MID(D187,FIND("+",D187)+1,3)))</x:f>
      </x:c>
      <x:c r="N187" s="23" t="str">
        <x:f>IF(E187="","",VALUE(LEFT(E187,FIND("+",E187)-1))*1000+VALUE(MID(E187,FIND("+",E187)+1,3)))</x:f>
      </x:c>
      <x:c r="O187" s="23" t="str">
        <x:f>IF(AND(M187="",N187=""),"",MIN(IF(M187="",N187,M187),IF(N187="",M187,N187)))</x:f>
      </x:c>
      <x:c r="P187" s="23" t="str">
        <x:f>IF(AND(M187="",N187=""),"",MAX(IF(M187="",N187,M187),IF(N187="",M187,N187)))</x:f>
      </x:c>
    </x:row>
    <x:row r="188" ht="21" customHeight="1">
      <x:c r="A188" s="26"/>
      <x:c r="B188" s="23"/>
      <x:c r="C188" s="23"/>
      <x:c r="D188" s="28"/>
      <x:c r="E188" s="28"/>
      <x:c r="F188" s="23"/>
      <x:c r="G188" s="23"/>
      <x:c r="H188" s="23"/>
      <x:c r="I188" s="30"/>
      <x:c r="J188" s="23"/>
      <x:c r="K188" s="23"/>
      <x:c r="L188" s="23"/>
      <x:c r="M188" s="23" t="str">
        <x:f>IF(D188="","",VALUE(LEFT(D188,FIND("+",D188)-1))*1000+VALUE(MID(D188,FIND("+",D188)+1,3)))</x:f>
      </x:c>
      <x:c r="N188" s="23" t="str">
        <x:f>IF(E188="","",VALUE(LEFT(E188,FIND("+",E188)-1))*1000+VALUE(MID(E188,FIND("+",E188)+1,3)))</x:f>
      </x:c>
      <x:c r="O188" s="23" t="str">
        <x:f>IF(AND(M188="",N188=""),"",MIN(IF(M188="",N188,M188),IF(N188="",M188,N188)))</x:f>
      </x:c>
      <x:c r="P188" s="23" t="str">
        <x:f>IF(AND(M188="",N188=""),"",MAX(IF(M188="",N188,M188),IF(N188="",M188,N188)))</x:f>
      </x:c>
    </x:row>
    <x:row r="189" ht="21" customHeight="1">
      <x:c r="A189" s="26"/>
      <x:c r="B189" s="23"/>
      <x:c r="C189" s="23"/>
      <x:c r="D189" s="28"/>
      <x:c r="E189" s="28"/>
      <x:c r="F189" s="23"/>
      <x:c r="G189" s="23"/>
      <x:c r="H189" s="23"/>
      <x:c r="I189" s="30"/>
      <x:c r="J189" s="23"/>
      <x:c r="K189" s="23"/>
      <x:c r="L189" s="23"/>
      <x:c r="M189" s="23" t="str">
        <x:f>IF(D189="","",VALUE(LEFT(D189,FIND("+",D189)-1))*1000+VALUE(MID(D189,FIND("+",D189)+1,3)))</x:f>
      </x:c>
      <x:c r="N189" s="23" t="str">
        <x:f>IF(E189="","",VALUE(LEFT(E189,FIND("+",E189)-1))*1000+VALUE(MID(E189,FIND("+",E189)+1,3)))</x:f>
      </x:c>
      <x:c r="O189" s="23" t="str">
        <x:f>IF(AND(M189="",N189=""),"",MIN(IF(M189="",N189,M189),IF(N189="",M189,N189)))</x:f>
      </x:c>
      <x:c r="P189" s="23" t="str">
        <x:f>IF(AND(M189="",N189=""),"",MAX(IF(M189="",N189,M189),IF(N189="",M189,N189)))</x:f>
      </x:c>
    </x:row>
    <x:row r="190" ht="21" customHeight="1">
      <x:c r="A190" s="26"/>
      <x:c r="B190" s="23"/>
      <x:c r="C190" s="23"/>
      <x:c r="D190" s="28"/>
      <x:c r="E190" s="28"/>
      <x:c r="F190" s="23"/>
      <x:c r="G190" s="23"/>
      <x:c r="H190" s="23"/>
      <x:c r="I190" s="30"/>
      <x:c r="J190" s="23"/>
      <x:c r="K190" s="23"/>
      <x:c r="L190" s="23"/>
      <x:c r="M190" s="23" t="str">
        <x:f>IF(D190="","",VALUE(LEFT(D190,FIND("+",D190)-1))*1000+VALUE(MID(D190,FIND("+",D190)+1,3)))</x:f>
      </x:c>
      <x:c r="N190" s="23" t="str">
        <x:f>IF(E190="","",VALUE(LEFT(E190,FIND("+",E190)-1))*1000+VALUE(MID(E190,FIND("+",E190)+1,3)))</x:f>
      </x:c>
      <x:c r="O190" s="23" t="str">
        <x:f>IF(AND(M190="",N190=""),"",MIN(IF(M190="",N190,M190),IF(N190="",M190,N190)))</x:f>
      </x:c>
      <x:c r="P190" s="23" t="str">
        <x:f>IF(AND(M190="",N190=""),"",MAX(IF(M190="",N190,M190),IF(N190="",M190,N190)))</x:f>
      </x:c>
    </x:row>
    <x:row r="191" ht="21" customHeight="1">
      <x:c r="A191" s="26"/>
      <x:c r="B191" s="23"/>
      <x:c r="C191" s="23"/>
      <x:c r="D191" s="28"/>
      <x:c r="E191" s="28"/>
      <x:c r="F191" s="23"/>
      <x:c r="G191" s="23"/>
      <x:c r="H191" s="23"/>
      <x:c r="I191" s="30"/>
      <x:c r="J191" s="23"/>
      <x:c r="K191" s="23"/>
      <x:c r="L191" s="23"/>
      <x:c r="M191" s="23" t="str">
        <x:f>IF(D191="","",VALUE(LEFT(D191,FIND("+",D191)-1))*1000+VALUE(MID(D191,FIND("+",D191)+1,3)))</x:f>
      </x:c>
      <x:c r="N191" s="23" t="str">
        <x:f>IF(E191="","",VALUE(LEFT(E191,FIND("+",E191)-1))*1000+VALUE(MID(E191,FIND("+",E191)+1,3)))</x:f>
      </x:c>
      <x:c r="O191" s="23" t="str">
        <x:f>IF(AND(M191="",N191=""),"",MIN(IF(M191="",N191,M191),IF(N191="",M191,N191)))</x:f>
      </x:c>
      <x:c r="P191" s="23" t="str">
        <x:f>IF(AND(M191="",N191=""),"",MAX(IF(M191="",N191,M191),IF(N191="",M191,N191)))</x:f>
      </x:c>
    </x:row>
    <x:row r="192" ht="21" customHeight="1">
      <x:c r="A192" s="26"/>
      <x:c r="B192" s="23"/>
      <x:c r="C192" s="23"/>
      <x:c r="D192" s="28"/>
      <x:c r="E192" s="28"/>
      <x:c r="F192" s="23"/>
      <x:c r="G192" s="23"/>
      <x:c r="H192" s="23"/>
      <x:c r="I192" s="30"/>
      <x:c r="J192" s="23"/>
      <x:c r="K192" s="23"/>
      <x:c r="L192" s="23"/>
      <x:c r="M192" s="23" t="str">
        <x:f>IF(D192="","",VALUE(LEFT(D192,FIND("+",D192)-1))*1000+VALUE(MID(D192,FIND("+",D192)+1,3)))</x:f>
      </x:c>
      <x:c r="N192" s="23" t="str">
        <x:f>IF(E192="","",VALUE(LEFT(E192,FIND("+",E192)-1))*1000+VALUE(MID(E192,FIND("+",E192)+1,3)))</x:f>
      </x:c>
      <x:c r="O192" s="23" t="str">
        <x:f>IF(AND(M192="",N192=""),"",MIN(IF(M192="",N192,M192),IF(N192="",M192,N192)))</x:f>
      </x:c>
      <x:c r="P192" s="23" t="str">
        <x:f>IF(AND(M192="",N192=""),"",MAX(IF(M192="",N192,M192),IF(N192="",M192,N192)))</x:f>
      </x:c>
    </x:row>
    <x:row r="193" ht="21" customHeight="1">
      <x:c r="A193" s="26"/>
      <x:c r="B193" s="23"/>
      <x:c r="C193" s="23"/>
      <x:c r="D193" s="28"/>
      <x:c r="E193" s="28"/>
      <x:c r="F193" s="23"/>
      <x:c r="G193" s="23"/>
      <x:c r="H193" s="23"/>
      <x:c r="I193" s="30"/>
      <x:c r="J193" s="23"/>
      <x:c r="K193" s="23"/>
      <x:c r="L193" s="23"/>
      <x:c r="M193" s="23" t="str">
        <x:f>IF(D193="","",VALUE(LEFT(D193,FIND("+",D193)-1))*1000+VALUE(MID(D193,FIND("+",D193)+1,3)))</x:f>
      </x:c>
      <x:c r="N193" s="23" t="str">
        <x:f>IF(E193="","",VALUE(LEFT(E193,FIND("+",E193)-1))*1000+VALUE(MID(E193,FIND("+",E193)+1,3)))</x:f>
      </x:c>
      <x:c r="O193" s="23" t="str">
        <x:f>IF(AND(M193="",N193=""),"",MIN(IF(M193="",N193,M193),IF(N193="",M193,N193)))</x:f>
      </x:c>
      <x:c r="P193" s="23" t="str">
        <x:f>IF(AND(M193="",N193=""),"",MAX(IF(M193="",N193,M193),IF(N193="",M193,N193)))</x:f>
      </x:c>
    </x:row>
    <x:row r="194" ht="21" customHeight="1">
      <x:c r="A194" s="26"/>
      <x:c r="B194" s="23"/>
      <x:c r="C194" s="23"/>
      <x:c r="D194" s="28"/>
      <x:c r="E194" s="28"/>
      <x:c r="F194" s="23"/>
      <x:c r="G194" s="23"/>
      <x:c r="H194" s="23"/>
      <x:c r="I194" s="30"/>
      <x:c r="J194" s="23"/>
      <x:c r="K194" s="23"/>
      <x:c r="L194" s="23"/>
      <x:c r="M194" s="23" t="str">
        <x:f>IF(D194="","",VALUE(LEFT(D194,FIND("+",D194)-1))*1000+VALUE(MID(D194,FIND("+",D194)+1,3)))</x:f>
      </x:c>
      <x:c r="N194" s="23" t="str">
        <x:f>IF(E194="","",VALUE(LEFT(E194,FIND("+",E194)-1))*1000+VALUE(MID(E194,FIND("+",E194)+1,3)))</x:f>
      </x:c>
      <x:c r="O194" s="23" t="str">
        <x:f>IF(AND(M194="",N194=""),"",MIN(IF(M194="",N194,M194),IF(N194="",M194,N194)))</x:f>
      </x:c>
      <x:c r="P194" s="23" t="str">
        <x:f>IF(AND(M194="",N194=""),"",MAX(IF(M194="",N194,M194),IF(N194="",M194,N194)))</x:f>
      </x:c>
    </x:row>
    <x:row r="195" ht="21" customHeight="1">
      <x:c r="A195" s="26"/>
      <x:c r="B195" s="23"/>
      <x:c r="C195" s="23"/>
      <x:c r="D195" s="28"/>
      <x:c r="E195" s="28"/>
      <x:c r="F195" s="23"/>
      <x:c r="G195" s="23"/>
      <x:c r="H195" s="23"/>
      <x:c r="I195" s="30"/>
      <x:c r="J195" s="23"/>
      <x:c r="K195" s="23"/>
      <x:c r="L195" s="23"/>
      <x:c r="M195" s="23" t="str">
        <x:f>IF(D195="","",VALUE(LEFT(D195,FIND("+",D195)-1))*1000+VALUE(MID(D195,FIND("+",D195)+1,3)))</x:f>
      </x:c>
      <x:c r="N195" s="23" t="str">
        <x:f>IF(E195="","",VALUE(LEFT(E195,FIND("+",E195)-1))*1000+VALUE(MID(E195,FIND("+",E195)+1,3)))</x:f>
      </x:c>
      <x:c r="O195" s="23" t="str">
        <x:f>IF(AND(M195="",N195=""),"",MIN(IF(M195="",N195,M195),IF(N195="",M195,N195)))</x:f>
      </x:c>
      <x:c r="P195" s="23" t="str">
        <x:f>IF(AND(M195="",N195=""),"",MAX(IF(M195="",N195,M195),IF(N195="",M195,N195)))</x:f>
      </x:c>
    </x:row>
    <x:row r="196" ht="21" customHeight="1">
      <x:c r="A196" s="26"/>
      <x:c r="B196" s="23"/>
      <x:c r="C196" s="23"/>
      <x:c r="D196" s="28"/>
      <x:c r="E196" s="28"/>
      <x:c r="F196" s="23"/>
      <x:c r="G196" s="23"/>
      <x:c r="H196" s="23"/>
      <x:c r="I196" s="30"/>
      <x:c r="J196" s="23"/>
      <x:c r="K196" s="23"/>
      <x:c r="L196" s="23"/>
      <x:c r="M196" s="23" t="str">
        <x:f>IF(D196="","",VALUE(LEFT(D196,FIND("+",D196)-1))*1000+VALUE(MID(D196,FIND("+",D196)+1,3)))</x:f>
      </x:c>
      <x:c r="N196" s="23" t="str">
        <x:f>IF(E196="","",VALUE(LEFT(E196,FIND("+",E196)-1))*1000+VALUE(MID(E196,FIND("+",E196)+1,3)))</x:f>
      </x:c>
      <x:c r="O196" s="23" t="str">
        <x:f>IF(AND(M196="",N196=""),"",MIN(IF(M196="",N196,M196),IF(N196="",M196,N196)))</x:f>
      </x:c>
      <x:c r="P196" s="23" t="str">
        <x:f>IF(AND(M196="",N196=""),"",MAX(IF(M196="",N196,M196),IF(N196="",M196,N196)))</x:f>
      </x:c>
    </x:row>
    <x:row r="197" ht="21" customHeight="1">
      <x:c r="A197" s="26"/>
      <x:c r="B197" s="23"/>
      <x:c r="C197" s="23"/>
      <x:c r="D197" s="28"/>
      <x:c r="E197" s="28"/>
      <x:c r="F197" s="23"/>
      <x:c r="G197" s="23"/>
      <x:c r="H197" s="23"/>
      <x:c r="I197" s="30"/>
      <x:c r="J197" s="23"/>
      <x:c r="K197" s="23"/>
      <x:c r="L197" s="23"/>
      <x:c r="M197" s="23" t="str">
        <x:f>IF(D197="","",VALUE(LEFT(D197,FIND("+",D197)-1))*1000+VALUE(MID(D197,FIND("+",D197)+1,3)))</x:f>
      </x:c>
      <x:c r="N197" s="23" t="str">
        <x:f>IF(E197="","",VALUE(LEFT(E197,FIND("+",E197)-1))*1000+VALUE(MID(E197,FIND("+",E197)+1,3)))</x:f>
      </x:c>
      <x:c r="O197" s="23" t="str">
        <x:f>IF(AND(M197="",N197=""),"",MIN(IF(M197="",N197,M197),IF(N197="",M197,N197)))</x:f>
      </x:c>
      <x:c r="P197" s="23" t="str">
        <x:f>IF(AND(M197="",N197=""),"",MAX(IF(M197="",N197,M197),IF(N197="",M197,N197)))</x:f>
      </x:c>
    </x:row>
    <x:row r="198" ht="21" customHeight="1">
      <x:c r="A198" s="26"/>
      <x:c r="B198" s="23"/>
      <x:c r="C198" s="23"/>
      <x:c r="D198" s="28"/>
      <x:c r="E198" s="28"/>
      <x:c r="F198" s="23"/>
      <x:c r="G198" s="23"/>
      <x:c r="H198" s="23"/>
      <x:c r="I198" s="30"/>
      <x:c r="J198" s="23"/>
      <x:c r="K198" s="23"/>
      <x:c r="L198" s="23"/>
      <x:c r="M198" s="23" t="str">
        <x:f>IF(D198="","",VALUE(LEFT(D198,FIND("+",D198)-1))*1000+VALUE(MID(D198,FIND("+",D198)+1,3)))</x:f>
      </x:c>
      <x:c r="N198" s="23" t="str">
        <x:f>IF(E198="","",VALUE(LEFT(E198,FIND("+",E198)-1))*1000+VALUE(MID(E198,FIND("+",E198)+1,3)))</x:f>
      </x:c>
      <x:c r="O198" s="23" t="str">
        <x:f>IF(AND(M198="",N198=""),"",MIN(IF(M198="",N198,M198),IF(N198="",M198,N198)))</x:f>
      </x:c>
      <x:c r="P198" s="23" t="str">
        <x:f>IF(AND(M198="",N198=""),"",MAX(IF(M198="",N198,M198),IF(N198="",M198,N198)))</x:f>
      </x:c>
    </x:row>
    <x:row r="199" ht="21" customHeight="1">
      <x:c r="A199" s="26"/>
      <x:c r="B199" s="23"/>
      <x:c r="C199" s="23"/>
      <x:c r="D199" s="28"/>
      <x:c r="E199" s="28"/>
      <x:c r="F199" s="23"/>
      <x:c r="G199" s="23"/>
      <x:c r="H199" s="23"/>
      <x:c r="I199" s="30"/>
      <x:c r="J199" s="23"/>
      <x:c r="K199" s="23"/>
      <x:c r="L199" s="23"/>
      <x:c r="M199" s="23" t="str">
        <x:f>IF(D199="","",VALUE(LEFT(D199,FIND("+",D199)-1))*1000+VALUE(MID(D199,FIND("+",D199)+1,3)))</x:f>
      </x:c>
      <x:c r="N199" s="23" t="str">
        <x:f>IF(E199="","",VALUE(LEFT(E199,FIND("+",E199)-1))*1000+VALUE(MID(E199,FIND("+",E199)+1,3)))</x:f>
      </x:c>
      <x:c r="O199" s="23" t="str">
        <x:f>IF(AND(M199="",N199=""),"",MIN(IF(M199="",N199,M199),IF(N199="",M199,N199)))</x:f>
      </x:c>
      <x:c r="P199" s="23" t="str">
        <x:f>IF(AND(M199="",N199=""),"",MAX(IF(M199="",N199,M199),IF(N199="",M199,N199)))</x:f>
      </x:c>
    </x:row>
    <x:row r="200" ht="21" customHeight="1">
      <x:c r="A200" s="26"/>
      <x:c r="B200" s="23"/>
      <x:c r="C200" s="23"/>
      <x:c r="D200" s="28"/>
      <x:c r="E200" s="28"/>
      <x:c r="F200" s="23"/>
      <x:c r="G200" s="23"/>
      <x:c r="H200" s="23"/>
      <x:c r="I200" s="30"/>
      <x:c r="J200" s="23"/>
      <x:c r="K200" s="23"/>
      <x:c r="L200" s="23"/>
      <x:c r="M200" s="23" t="str">
        <x:f>IF(D200="","",VALUE(LEFT(D200,FIND("+",D200)-1))*1000+VALUE(MID(D200,FIND("+",D200)+1,3)))</x:f>
      </x:c>
      <x:c r="N200" s="23" t="str">
        <x:f>IF(E200="","",VALUE(LEFT(E200,FIND("+",E200)-1))*1000+VALUE(MID(E200,FIND("+",E200)+1,3)))</x:f>
      </x:c>
      <x:c r="O200" s="23" t="str">
        <x:f>IF(AND(M200="",N200=""),"",MIN(IF(M200="",N200,M200),IF(N200="",M200,N200)))</x:f>
      </x:c>
      <x:c r="P200" s="23" t="str">
        <x:f>IF(AND(M200="",N200=""),"",MAX(IF(M200="",N200,M200),IF(N200="",M200,N200)))</x:f>
      </x:c>
    </x:row>
    <x:row r="201" ht="21" customHeight="1">
      <x:c r="A201" s="26"/>
      <x:c r="B201" s="23"/>
      <x:c r="C201" s="23"/>
      <x:c r="D201" s="28"/>
      <x:c r="E201" s="28"/>
      <x:c r="F201" s="23"/>
      <x:c r="G201" s="23"/>
      <x:c r="H201" s="23"/>
      <x:c r="I201" s="30"/>
      <x:c r="J201" s="23"/>
      <x:c r="K201" s="23"/>
      <x:c r="L201" s="23"/>
      <x:c r="M201" s="23" t="str">
        <x:f>IF(D201="","",VALUE(LEFT(D201,FIND("+",D201)-1))*1000+VALUE(MID(D201,FIND("+",D201)+1,3)))</x:f>
      </x:c>
      <x:c r="N201" s="23" t="str">
        <x:f>IF(E201="","",VALUE(LEFT(E201,FIND("+",E201)-1))*1000+VALUE(MID(E201,FIND("+",E201)+1,3)))</x:f>
      </x:c>
      <x:c r="O201" s="23" t="str">
        <x:f>IF(AND(M201="",N201=""),"",MIN(IF(M201="",N201,M201),IF(N201="",M201,N201)))</x:f>
      </x:c>
      <x:c r="P201" s="23" t="str">
        <x:f>IF(AND(M201="",N201=""),"",MAX(IF(M201="",N201,M201),IF(N201="",M201,N201)))</x:f>
      </x:c>
    </x:row>
    <x:row r="202" ht="21" customHeight="1">
      <x:c r="A202" s="26"/>
      <x:c r="B202" s="23"/>
      <x:c r="C202" s="23"/>
      <x:c r="D202" s="28"/>
      <x:c r="E202" s="28"/>
      <x:c r="F202" s="23"/>
      <x:c r="G202" s="23"/>
      <x:c r="H202" s="23"/>
      <x:c r="I202" s="30"/>
      <x:c r="J202" s="23"/>
      <x:c r="K202" s="23"/>
      <x:c r="L202" s="23"/>
      <x:c r="M202" s="23" t="str">
        <x:f>IF(D202="","",VALUE(LEFT(D202,FIND("+",D202)-1))*1000+VALUE(MID(D202,FIND("+",D202)+1,3)))</x:f>
      </x:c>
      <x:c r="N202" s="23" t="str">
        <x:f>IF(E202="","",VALUE(LEFT(E202,FIND("+",E202)-1))*1000+VALUE(MID(E202,FIND("+",E202)+1,3)))</x:f>
      </x:c>
      <x:c r="O202" s="23" t="str">
        <x:f>IF(AND(M202="",N202=""),"",MIN(IF(M202="",N202,M202),IF(N202="",M202,N202)))</x:f>
      </x:c>
      <x:c r="P202" s="23" t="str">
        <x:f>IF(AND(M202="",N202=""),"",MAX(IF(M202="",N202,M202),IF(N202="",M202,N202)))</x:f>
      </x:c>
    </x:row>
    <x:row r="203" ht="21" customHeight="1">
      <x:c r="A203" s="26"/>
      <x:c r="B203" s="23"/>
      <x:c r="C203" s="23"/>
      <x:c r="D203" s="28"/>
      <x:c r="E203" s="28"/>
      <x:c r="F203" s="23"/>
      <x:c r="G203" s="23"/>
      <x:c r="H203" s="23"/>
      <x:c r="I203" s="30"/>
      <x:c r="J203" s="23"/>
      <x:c r="K203" s="23"/>
      <x:c r="L203" s="23"/>
      <x:c r="M203" s="23" t="str">
        <x:f>IF(D203="","",VALUE(LEFT(D203,FIND("+",D203)-1))*1000+VALUE(MID(D203,FIND("+",D203)+1,3)))</x:f>
      </x:c>
      <x:c r="N203" s="23" t="str">
        <x:f>IF(E203="","",VALUE(LEFT(E203,FIND("+",E203)-1))*1000+VALUE(MID(E203,FIND("+",E203)+1,3)))</x:f>
      </x:c>
      <x:c r="O203" s="23" t="str">
        <x:f>IF(AND(M203="",N203=""),"",MIN(IF(M203="",N203,M203),IF(N203="",M203,N203)))</x:f>
      </x:c>
      <x:c r="P203" s="23" t="str">
        <x:f>IF(AND(M203="",N203=""),"",MAX(IF(M203="",N203,M203),IF(N203="",M203,N203)))</x:f>
      </x:c>
    </x:row>
    <x:row r="204" ht="21" customHeight="1">
      <x:c r="A204" s="26"/>
      <x:c r="B204" s="23"/>
      <x:c r="C204" s="23"/>
      <x:c r="D204" s="28"/>
      <x:c r="E204" s="28"/>
      <x:c r="F204" s="23"/>
      <x:c r="G204" s="23"/>
      <x:c r="H204" s="23"/>
      <x:c r="I204" s="30"/>
      <x:c r="J204" s="23"/>
      <x:c r="K204" s="23"/>
      <x:c r="L204" s="23"/>
      <x:c r="M204" s="23" t="str">
        <x:f>IF(D204="","",VALUE(LEFT(D204,FIND("+",D204)-1))*1000+VALUE(MID(D204,FIND("+",D204)+1,3)))</x:f>
      </x:c>
      <x:c r="N204" s="23" t="str">
        <x:f>IF(E204="","",VALUE(LEFT(E204,FIND("+",E204)-1))*1000+VALUE(MID(E204,FIND("+",E204)+1,3)))</x:f>
      </x:c>
      <x:c r="O204" s="23" t="str">
        <x:f>IF(AND(M204="",N204=""),"",MIN(IF(M204="",N204,M204),IF(N204="",M204,N204)))</x:f>
      </x:c>
      <x:c r="P204" s="23" t="str">
        <x:f>IF(AND(M204="",N204=""),"",MAX(IF(M204="",N204,M204),IF(N204="",M204,N204)))</x:f>
      </x:c>
    </x:row>
    <x:row r="205" ht="21" customHeight="1">
      <x:c r="A205" s="26"/>
      <x:c r="B205" s="23"/>
      <x:c r="C205" s="23"/>
      <x:c r="D205" s="28"/>
      <x:c r="E205" s="28"/>
      <x:c r="F205" s="23"/>
      <x:c r="G205" s="23"/>
      <x:c r="H205" s="23"/>
      <x:c r="I205" s="30"/>
      <x:c r="J205" s="23"/>
      <x:c r="K205" s="23"/>
      <x:c r="L205" s="23"/>
      <x:c r="M205" s="23" t="str">
        <x:f>IF(D205="","",VALUE(LEFT(D205,FIND("+",D205)-1))*1000+VALUE(MID(D205,FIND("+",D205)+1,3)))</x:f>
      </x:c>
      <x:c r="N205" s="23" t="str">
        <x:f>IF(E205="","",VALUE(LEFT(E205,FIND("+",E205)-1))*1000+VALUE(MID(E205,FIND("+",E205)+1,3)))</x:f>
      </x:c>
      <x:c r="O205" s="23" t="str">
        <x:f>IF(AND(M205="",N205=""),"",MIN(IF(M205="",N205,M205),IF(N205="",M205,N205)))</x:f>
      </x:c>
      <x:c r="P205" s="23" t="str">
        <x:f>IF(AND(M205="",N205=""),"",MAX(IF(M205="",N205,M205),IF(N205="",M205,N205)))</x:f>
      </x:c>
    </x:row>
    <x:row r="206" ht="21" customHeight="1">
      <x:c r="A206" s="26"/>
      <x:c r="B206" s="23"/>
      <x:c r="C206" s="23"/>
      <x:c r="D206" s="28"/>
      <x:c r="E206" s="28"/>
      <x:c r="F206" s="23"/>
      <x:c r="G206" s="23"/>
      <x:c r="H206" s="23"/>
      <x:c r="I206" s="30"/>
      <x:c r="J206" s="23"/>
      <x:c r="K206" s="23"/>
      <x:c r="L206" s="23"/>
      <x:c r="M206" s="23" t="str">
        <x:f>IF(D206="","",VALUE(LEFT(D206,FIND("+",D206)-1))*1000+VALUE(MID(D206,FIND("+",D206)+1,3)))</x:f>
      </x:c>
      <x:c r="N206" s="23" t="str">
        <x:f>IF(E206="","",VALUE(LEFT(E206,FIND("+",E206)-1))*1000+VALUE(MID(E206,FIND("+",E206)+1,3)))</x:f>
      </x:c>
      <x:c r="O206" s="23" t="str">
        <x:f>IF(AND(M206="",N206=""),"",MIN(IF(M206="",N206,M206),IF(N206="",M206,N206)))</x:f>
      </x:c>
      <x:c r="P206" s="23" t="str">
        <x:f>IF(AND(M206="",N206=""),"",MAX(IF(M206="",N206,M206),IF(N206="",M206,N206)))</x:f>
      </x:c>
    </x:row>
    <x:row r="207" ht="21" customHeight="1">
      <x:c r="A207" s="26"/>
      <x:c r="B207" s="23"/>
      <x:c r="C207" s="23"/>
      <x:c r="D207" s="28"/>
      <x:c r="E207" s="28"/>
      <x:c r="F207" s="23"/>
      <x:c r="G207" s="23"/>
      <x:c r="H207" s="23"/>
      <x:c r="I207" s="30"/>
      <x:c r="J207" s="23"/>
      <x:c r="K207" s="23"/>
      <x:c r="L207" s="23"/>
      <x:c r="M207" s="23" t="str">
        <x:f>IF(D207="","",VALUE(LEFT(D207,FIND("+",D207)-1))*1000+VALUE(MID(D207,FIND("+",D207)+1,3)))</x:f>
      </x:c>
      <x:c r="N207" s="23" t="str">
        <x:f>IF(E207="","",VALUE(LEFT(E207,FIND("+",E207)-1))*1000+VALUE(MID(E207,FIND("+",E207)+1,3)))</x:f>
      </x:c>
      <x:c r="O207" s="23" t="str">
        <x:f>IF(AND(M207="",N207=""),"",MIN(IF(M207="",N207,M207),IF(N207="",M207,N207)))</x:f>
      </x:c>
      <x:c r="P207" s="23" t="str">
        <x:f>IF(AND(M207="",N207=""),"",MAX(IF(M207="",N207,M207),IF(N207="",M207,N207)))</x:f>
      </x:c>
    </x:row>
    <x:row r="208" ht="21" customHeight="1">
      <x:c r="A208" s="26"/>
      <x:c r="B208" s="23"/>
      <x:c r="C208" s="23"/>
      <x:c r="D208" s="28"/>
      <x:c r="E208" s="28"/>
      <x:c r="F208" s="23"/>
      <x:c r="G208" s="23"/>
      <x:c r="H208" s="23"/>
      <x:c r="I208" s="30"/>
      <x:c r="J208" s="23"/>
      <x:c r="K208" s="23"/>
      <x:c r="L208" s="23"/>
      <x:c r="M208" s="23" t="str">
        <x:f>IF(D208="","",VALUE(LEFT(D208,FIND("+",D208)-1))*1000+VALUE(MID(D208,FIND("+",D208)+1,3)))</x:f>
      </x:c>
      <x:c r="N208" s="23" t="str">
        <x:f>IF(E208="","",VALUE(LEFT(E208,FIND("+",E208)-1))*1000+VALUE(MID(E208,FIND("+",E208)+1,3)))</x:f>
      </x:c>
      <x:c r="O208" s="23" t="str">
        <x:f>IF(AND(M208="",N208=""),"",MIN(IF(M208="",N208,M208),IF(N208="",M208,N208)))</x:f>
      </x:c>
      <x:c r="P208" s="23" t="str">
        <x:f>IF(AND(M208="",N208=""),"",MAX(IF(M208="",N208,M208),IF(N208="",M208,N208)))</x:f>
      </x:c>
    </x:row>
    <x:row r="209" ht="21" customHeight="1">
      <x:c r="A209" s="26"/>
      <x:c r="B209" s="23"/>
      <x:c r="C209" s="23"/>
      <x:c r="D209" s="28"/>
      <x:c r="E209" s="28"/>
      <x:c r="F209" s="23"/>
      <x:c r="G209" s="23"/>
      <x:c r="H209" s="23"/>
      <x:c r="I209" s="30"/>
      <x:c r="J209" s="23"/>
      <x:c r="K209" s="23"/>
      <x:c r="L209" s="23"/>
      <x:c r="M209" s="23" t="str">
        <x:f>IF(D209="","",VALUE(LEFT(D209,FIND("+",D209)-1))*1000+VALUE(MID(D209,FIND("+",D209)+1,3)))</x:f>
      </x:c>
      <x:c r="N209" s="23" t="str">
        <x:f>IF(E209="","",VALUE(LEFT(E209,FIND("+",E209)-1))*1000+VALUE(MID(E209,FIND("+",E209)+1,3)))</x:f>
      </x:c>
      <x:c r="O209" s="23" t="str">
        <x:f>IF(AND(M209="",N209=""),"",MIN(IF(M209="",N209,M209),IF(N209="",M209,N209)))</x:f>
      </x:c>
      <x:c r="P209" s="23" t="str">
        <x:f>IF(AND(M209="",N209=""),"",MAX(IF(M209="",N209,M209),IF(N209="",M209,N209)))</x:f>
      </x:c>
    </x:row>
    <x:row r="210" ht="21" customHeight="1">
      <x:c r="A210" s="26"/>
      <x:c r="B210" s="23"/>
      <x:c r="C210" s="23"/>
      <x:c r="D210" s="28"/>
      <x:c r="E210" s="28"/>
      <x:c r="F210" s="23"/>
      <x:c r="G210" s="23"/>
      <x:c r="H210" s="23"/>
      <x:c r="I210" s="30"/>
      <x:c r="J210" s="23"/>
      <x:c r="K210" s="23"/>
      <x:c r="L210" s="23"/>
      <x:c r="M210" s="23" t="str">
        <x:f>IF(D210="","",VALUE(LEFT(D210,FIND("+",D210)-1))*1000+VALUE(MID(D210,FIND("+",D210)+1,3)))</x:f>
      </x:c>
      <x:c r="N210" s="23" t="str">
        <x:f>IF(E210="","",VALUE(LEFT(E210,FIND("+",E210)-1))*1000+VALUE(MID(E210,FIND("+",E210)+1,3)))</x:f>
      </x:c>
      <x:c r="O210" s="23" t="str">
        <x:f>IF(AND(M210="",N210=""),"",MIN(IF(M210="",N210,M210),IF(N210="",M210,N210)))</x:f>
      </x:c>
      <x:c r="P210" s="23" t="str">
        <x:f>IF(AND(M210="",N210=""),"",MAX(IF(M210="",N210,M210),IF(N210="",M210,N210)))</x:f>
      </x:c>
    </x:row>
    <x:row r="211" ht="21" customHeight="1">
      <x:c r="A211" s="26"/>
      <x:c r="B211" s="23"/>
      <x:c r="C211" s="23"/>
      <x:c r="D211" s="28"/>
      <x:c r="E211" s="28"/>
      <x:c r="F211" s="23"/>
      <x:c r="G211" s="23"/>
      <x:c r="H211" s="23"/>
      <x:c r="I211" s="30"/>
      <x:c r="J211" s="23"/>
      <x:c r="K211" s="23"/>
      <x:c r="L211" s="23"/>
      <x:c r="M211" s="23" t="str">
        <x:f>IF(D211="","",VALUE(LEFT(D211,FIND("+",D211)-1))*1000+VALUE(MID(D211,FIND("+",D211)+1,3)))</x:f>
      </x:c>
      <x:c r="N211" s="23" t="str">
        <x:f>IF(E211="","",VALUE(LEFT(E211,FIND("+",E211)-1))*1000+VALUE(MID(E211,FIND("+",E211)+1,3)))</x:f>
      </x:c>
      <x:c r="O211" s="23" t="str">
        <x:f>IF(AND(M211="",N211=""),"",MIN(IF(M211="",N211,M211),IF(N211="",M211,N211)))</x:f>
      </x:c>
      <x:c r="P211" s="23" t="str">
        <x:f>IF(AND(M211="",N211=""),"",MAX(IF(M211="",N211,M211),IF(N211="",M211,N211)))</x:f>
      </x:c>
    </x:row>
    <x:row r="212" ht="21" customHeight="1">
      <x:c r="A212" s="26"/>
      <x:c r="B212" s="23"/>
      <x:c r="C212" s="23"/>
      <x:c r="D212" s="28"/>
      <x:c r="E212" s="28"/>
      <x:c r="F212" s="23"/>
      <x:c r="G212" s="23"/>
      <x:c r="H212" s="23"/>
      <x:c r="I212" s="30"/>
      <x:c r="J212" s="23"/>
      <x:c r="K212" s="23"/>
      <x:c r="L212" s="23"/>
      <x:c r="M212" s="23" t="str">
        <x:f>IF(D212="","",VALUE(LEFT(D212,FIND("+",D212)-1))*1000+VALUE(MID(D212,FIND("+",D212)+1,3)))</x:f>
      </x:c>
      <x:c r="N212" s="23" t="str">
        <x:f>IF(E212="","",VALUE(LEFT(E212,FIND("+",E212)-1))*1000+VALUE(MID(E212,FIND("+",E212)+1,3)))</x:f>
      </x:c>
      <x:c r="O212" s="23" t="str">
        <x:f>IF(AND(M212="",N212=""),"",MIN(IF(M212="",N212,M212),IF(N212="",M212,N212)))</x:f>
      </x:c>
      <x:c r="P212" s="23" t="str">
        <x:f>IF(AND(M212="",N212=""),"",MAX(IF(M212="",N212,M212),IF(N212="",M212,N212)))</x:f>
      </x:c>
    </x:row>
    <x:row r="213" ht="21" customHeight="1">
      <x:c r="A213" s="26"/>
      <x:c r="B213" s="23"/>
      <x:c r="C213" s="23"/>
      <x:c r="D213" s="28"/>
      <x:c r="E213" s="28"/>
      <x:c r="F213" s="23"/>
      <x:c r="G213" s="23"/>
      <x:c r="H213" s="23"/>
      <x:c r="I213" s="30"/>
      <x:c r="J213" s="23"/>
      <x:c r="K213" s="23"/>
      <x:c r="L213" s="23"/>
      <x:c r="M213" s="23" t="str">
        <x:f>IF(D213="","",VALUE(LEFT(D213,FIND("+",D213)-1))*1000+VALUE(MID(D213,FIND("+",D213)+1,3)))</x:f>
      </x:c>
      <x:c r="N213" s="23" t="str">
        <x:f>IF(E213="","",VALUE(LEFT(E213,FIND("+",E213)-1))*1000+VALUE(MID(E213,FIND("+",E213)+1,3)))</x:f>
      </x:c>
      <x:c r="O213" s="23" t="str">
        <x:f>IF(AND(M213="",N213=""),"",MIN(IF(M213="",N213,M213),IF(N213="",M213,N213)))</x:f>
      </x:c>
      <x:c r="P213" s="23" t="str">
        <x:f>IF(AND(M213="",N213=""),"",MAX(IF(M213="",N213,M213),IF(N213="",M213,N213)))</x:f>
      </x:c>
    </x:row>
    <x:row r="214" ht="21" customHeight="1">
      <x:c r="A214" s="26"/>
      <x:c r="B214" s="23"/>
      <x:c r="C214" s="23"/>
      <x:c r="D214" s="28"/>
      <x:c r="E214" s="28"/>
      <x:c r="F214" s="23"/>
      <x:c r="G214" s="23"/>
      <x:c r="H214" s="23"/>
      <x:c r="I214" s="30"/>
      <x:c r="J214" s="23"/>
      <x:c r="K214" s="23"/>
      <x:c r="L214" s="23"/>
      <x:c r="M214" s="23" t="str">
        <x:f>IF(D214="","",VALUE(LEFT(D214,FIND("+",D214)-1))*1000+VALUE(MID(D214,FIND("+",D214)+1,3)))</x:f>
      </x:c>
      <x:c r="N214" s="23" t="str">
        <x:f>IF(E214="","",VALUE(LEFT(E214,FIND("+",E214)-1))*1000+VALUE(MID(E214,FIND("+",E214)+1,3)))</x:f>
      </x:c>
      <x:c r="O214" s="23" t="str">
        <x:f>IF(AND(M214="",N214=""),"",MIN(IF(M214="",N214,M214),IF(N214="",M214,N214)))</x:f>
      </x:c>
      <x:c r="P214" s="23" t="str">
        <x:f>IF(AND(M214="",N214=""),"",MAX(IF(M214="",N214,M214),IF(N214="",M214,N214)))</x:f>
      </x:c>
    </x:row>
    <x:row r="215" ht="21" customHeight="1">
      <x:c r="A215" s="26"/>
      <x:c r="B215" s="23"/>
      <x:c r="C215" s="23"/>
      <x:c r="D215" s="28"/>
      <x:c r="E215" s="28"/>
      <x:c r="F215" s="23"/>
      <x:c r="G215" s="23"/>
      <x:c r="H215" s="23"/>
      <x:c r="I215" s="30"/>
      <x:c r="J215" s="23"/>
      <x:c r="K215" s="23"/>
      <x:c r="L215" s="23"/>
      <x:c r="M215" s="23" t="str">
        <x:f>IF(D215="","",VALUE(LEFT(D215,FIND("+",D215)-1))*1000+VALUE(MID(D215,FIND("+",D215)+1,3)))</x:f>
      </x:c>
      <x:c r="N215" s="23" t="str">
        <x:f>IF(E215="","",VALUE(LEFT(E215,FIND("+",E215)-1))*1000+VALUE(MID(E215,FIND("+",E215)+1,3)))</x:f>
      </x:c>
      <x:c r="O215" s="23" t="str">
        <x:f>IF(AND(M215="",N215=""),"",MIN(IF(M215="",N215,M215),IF(N215="",M215,N215)))</x:f>
      </x:c>
      <x:c r="P215" s="23" t="str">
        <x:f>IF(AND(M215="",N215=""),"",MAX(IF(M215="",N215,M215),IF(N215="",M215,N215)))</x:f>
      </x:c>
    </x:row>
    <x:row r="216" ht="21" customHeight="1">
      <x:c r="A216" s="26"/>
      <x:c r="B216" s="23"/>
      <x:c r="C216" s="23"/>
      <x:c r="D216" s="28"/>
      <x:c r="E216" s="28"/>
      <x:c r="F216" s="23"/>
      <x:c r="G216" s="23"/>
      <x:c r="H216" s="23"/>
      <x:c r="I216" s="30"/>
      <x:c r="J216" s="23"/>
      <x:c r="K216" s="23"/>
      <x:c r="L216" s="23"/>
      <x:c r="M216" s="23" t="str">
        <x:f>IF(D216="","",VALUE(LEFT(D216,FIND("+",D216)-1))*1000+VALUE(MID(D216,FIND("+",D216)+1,3)))</x:f>
      </x:c>
      <x:c r="N216" s="23" t="str">
        <x:f>IF(E216="","",VALUE(LEFT(E216,FIND("+",E216)-1))*1000+VALUE(MID(E216,FIND("+",E216)+1,3)))</x:f>
      </x:c>
      <x:c r="O216" s="23" t="str">
        <x:f>IF(AND(M216="",N216=""),"",MIN(IF(M216="",N216,M216),IF(N216="",M216,N216)))</x:f>
      </x:c>
      <x:c r="P216" s="23" t="str">
        <x:f>IF(AND(M216="",N216=""),"",MAX(IF(M216="",N216,M216),IF(N216="",M216,N216)))</x:f>
      </x:c>
    </x:row>
    <x:row r="217" ht="21" customHeight="1">
      <x:c r="A217" s="26"/>
      <x:c r="B217" s="23"/>
      <x:c r="C217" s="23"/>
      <x:c r="D217" s="28"/>
      <x:c r="E217" s="28"/>
      <x:c r="F217" s="23"/>
      <x:c r="G217" s="23"/>
      <x:c r="H217" s="23"/>
      <x:c r="I217" s="30"/>
      <x:c r="J217" s="23"/>
      <x:c r="K217" s="23"/>
      <x:c r="L217" s="23"/>
      <x:c r="M217" s="23" t="str">
        <x:f>IF(D217="","",VALUE(LEFT(D217,FIND("+",D217)-1))*1000+VALUE(MID(D217,FIND("+",D217)+1,3)))</x:f>
      </x:c>
      <x:c r="N217" s="23" t="str">
        <x:f>IF(E217="","",VALUE(LEFT(E217,FIND("+",E217)-1))*1000+VALUE(MID(E217,FIND("+",E217)+1,3)))</x:f>
      </x:c>
      <x:c r="O217" s="23" t="str">
        <x:f>IF(AND(M217="",N217=""),"",MIN(IF(M217="",N217,M217),IF(N217="",M217,N217)))</x:f>
      </x:c>
      <x:c r="P217" s="23" t="str">
        <x:f>IF(AND(M217="",N217=""),"",MAX(IF(M217="",N217,M217),IF(N217="",M217,N217)))</x:f>
      </x:c>
    </x:row>
    <x:row r="218" ht="21" customHeight="1">
      <x:c r="A218" s="26"/>
      <x:c r="B218" s="23"/>
      <x:c r="C218" s="23"/>
      <x:c r="D218" s="28"/>
      <x:c r="E218" s="28"/>
      <x:c r="F218" s="23"/>
      <x:c r="G218" s="23"/>
      <x:c r="H218" s="23"/>
      <x:c r="I218" s="30"/>
      <x:c r="J218" s="23"/>
      <x:c r="K218" s="23"/>
      <x:c r="L218" s="23"/>
      <x:c r="M218" s="23" t="str">
        <x:f>IF(D218="","",VALUE(LEFT(D218,FIND("+",D218)-1))*1000+VALUE(MID(D218,FIND("+",D218)+1,3)))</x:f>
      </x:c>
      <x:c r="N218" s="23" t="str">
        <x:f>IF(E218="","",VALUE(LEFT(E218,FIND("+",E218)-1))*1000+VALUE(MID(E218,FIND("+",E218)+1,3)))</x:f>
      </x:c>
      <x:c r="O218" s="23" t="str">
        <x:f>IF(AND(M218="",N218=""),"",MIN(IF(M218="",N218,M218),IF(N218="",M218,N218)))</x:f>
      </x:c>
      <x:c r="P218" s="23" t="str">
        <x:f>IF(AND(M218="",N218=""),"",MAX(IF(M218="",N218,M218),IF(N218="",M218,N218)))</x:f>
      </x:c>
    </x:row>
    <x:row r="219" ht="21" customHeight="1">
      <x:c r="A219" s="26"/>
      <x:c r="B219" s="23"/>
      <x:c r="C219" s="23"/>
      <x:c r="D219" s="28"/>
      <x:c r="E219" s="28"/>
      <x:c r="F219" s="23"/>
      <x:c r="G219" s="23"/>
      <x:c r="H219" s="23"/>
      <x:c r="I219" s="30"/>
      <x:c r="J219" s="23"/>
      <x:c r="K219" s="23"/>
      <x:c r="L219" s="23"/>
      <x:c r="M219" s="23" t="str">
        <x:f>IF(D219="","",VALUE(LEFT(D219,FIND("+",D219)-1))*1000+VALUE(MID(D219,FIND("+",D219)+1,3)))</x:f>
      </x:c>
      <x:c r="N219" s="23" t="str">
        <x:f>IF(E219="","",VALUE(LEFT(E219,FIND("+",E219)-1))*1000+VALUE(MID(E219,FIND("+",E219)+1,3)))</x:f>
      </x:c>
      <x:c r="O219" s="23" t="str">
        <x:f>IF(AND(M219="",N219=""),"",MIN(IF(M219="",N219,M219),IF(N219="",M219,N219)))</x:f>
      </x:c>
      <x:c r="P219" s="23" t="str">
        <x:f>IF(AND(M219="",N219=""),"",MAX(IF(M219="",N219,M219),IF(N219="",M219,N219)))</x:f>
      </x:c>
    </x:row>
    <x:row r="220" ht="21" customHeight="1">
      <x:c r="A220" s="26"/>
      <x:c r="B220" s="23"/>
      <x:c r="C220" s="23"/>
      <x:c r="D220" s="28"/>
      <x:c r="E220" s="28"/>
      <x:c r="F220" s="23"/>
      <x:c r="G220" s="23"/>
      <x:c r="H220" s="23"/>
      <x:c r="I220" s="30"/>
      <x:c r="J220" s="23"/>
      <x:c r="K220" s="23"/>
      <x:c r="L220" s="23"/>
      <x:c r="M220" s="23" t="str">
        <x:f>IF(D220="","",VALUE(LEFT(D220,FIND("+",D220)-1))*1000+VALUE(MID(D220,FIND("+",D220)+1,3)))</x:f>
      </x:c>
      <x:c r="N220" s="23" t="str">
        <x:f>IF(E220="","",VALUE(LEFT(E220,FIND("+",E220)-1))*1000+VALUE(MID(E220,FIND("+",E220)+1,3)))</x:f>
      </x:c>
      <x:c r="O220" s="23" t="str">
        <x:f>IF(AND(M220="",N220=""),"",MIN(IF(M220="",N220,M220),IF(N220="",M220,N220)))</x:f>
      </x:c>
      <x:c r="P220" s="23" t="str">
        <x:f>IF(AND(M220="",N220=""),"",MAX(IF(M220="",N220,M220),IF(N220="",M220,N220)))</x:f>
      </x:c>
    </x:row>
    <x:row r="221" ht="21" customHeight="1">
      <x:c r="A221" s="26"/>
      <x:c r="B221" s="23"/>
      <x:c r="C221" s="23"/>
      <x:c r="D221" s="28"/>
      <x:c r="E221" s="28"/>
      <x:c r="F221" s="23"/>
      <x:c r="G221" s="23"/>
      <x:c r="H221" s="23"/>
      <x:c r="I221" s="30"/>
      <x:c r="J221" s="23"/>
      <x:c r="K221" s="23"/>
      <x:c r="L221" s="23"/>
      <x:c r="M221" s="23" t="str">
        <x:f>IF(D221="","",VALUE(LEFT(D221,FIND("+",D221)-1))*1000+VALUE(MID(D221,FIND("+",D221)+1,3)))</x:f>
      </x:c>
      <x:c r="N221" s="23" t="str">
        <x:f>IF(E221="","",VALUE(LEFT(E221,FIND("+",E221)-1))*1000+VALUE(MID(E221,FIND("+",E221)+1,3)))</x:f>
      </x:c>
      <x:c r="O221" s="23" t="str">
        <x:f>IF(AND(M221="",N221=""),"",MIN(IF(M221="",N221,M221),IF(N221="",M221,N221)))</x:f>
      </x:c>
      <x:c r="P221" s="23" t="str">
        <x:f>IF(AND(M221="",N221=""),"",MAX(IF(M221="",N221,M221),IF(N221="",M221,N221)))</x:f>
      </x:c>
    </x:row>
    <x:row r="222" ht="21" customHeight="1">
      <x:c r="A222" s="26"/>
      <x:c r="B222" s="23"/>
      <x:c r="C222" s="23"/>
      <x:c r="D222" s="28"/>
      <x:c r="E222" s="28"/>
      <x:c r="F222" s="23"/>
      <x:c r="G222" s="23"/>
      <x:c r="H222" s="23"/>
      <x:c r="I222" s="30"/>
      <x:c r="J222" s="23"/>
      <x:c r="K222" s="23"/>
      <x:c r="L222" s="23"/>
      <x:c r="M222" s="23" t="str">
        <x:f>IF(D222="","",VALUE(LEFT(D222,FIND("+",D222)-1))*1000+VALUE(MID(D222,FIND("+",D222)+1,3)))</x:f>
      </x:c>
      <x:c r="N222" s="23" t="str">
        <x:f>IF(E222="","",VALUE(LEFT(E222,FIND("+",E222)-1))*1000+VALUE(MID(E222,FIND("+",E222)+1,3)))</x:f>
      </x:c>
      <x:c r="O222" s="23" t="str">
        <x:f>IF(AND(M222="",N222=""),"",MIN(IF(M222="",N222,M222),IF(N222="",M222,N222)))</x:f>
      </x:c>
      <x:c r="P222" s="23" t="str">
        <x:f>IF(AND(M222="",N222=""),"",MAX(IF(M222="",N222,M222),IF(N222="",M222,N222)))</x:f>
      </x:c>
    </x:row>
    <x:row r="223" ht="21" customHeight="1">
      <x:c r="A223" s="26"/>
      <x:c r="B223" s="23"/>
      <x:c r="C223" s="23"/>
      <x:c r="D223" s="28"/>
      <x:c r="E223" s="28"/>
      <x:c r="F223" s="23"/>
      <x:c r="G223" s="23"/>
      <x:c r="H223" s="23"/>
      <x:c r="I223" s="30"/>
      <x:c r="J223" s="23"/>
      <x:c r="K223" s="23"/>
      <x:c r="L223" s="23"/>
      <x:c r="M223" s="23" t="str">
        <x:f>IF(D223="","",VALUE(LEFT(D223,FIND("+",D223)-1))*1000+VALUE(MID(D223,FIND("+",D223)+1,3)))</x:f>
      </x:c>
      <x:c r="N223" s="23" t="str">
        <x:f>IF(E223="","",VALUE(LEFT(E223,FIND("+",E223)-1))*1000+VALUE(MID(E223,FIND("+",E223)+1,3)))</x:f>
      </x:c>
      <x:c r="O223" s="23" t="str">
        <x:f>IF(AND(M223="",N223=""),"",MIN(IF(M223="",N223,M223),IF(N223="",M223,N223)))</x:f>
      </x:c>
      <x:c r="P223" s="23" t="str">
        <x:f>IF(AND(M223="",N223=""),"",MAX(IF(M223="",N223,M223),IF(N223="",M223,N223)))</x:f>
      </x:c>
    </x:row>
    <x:row r="224" ht="21" customHeight="1">
      <x:c r="A224" s="26"/>
      <x:c r="B224" s="23"/>
      <x:c r="C224" s="23"/>
      <x:c r="D224" s="28"/>
      <x:c r="E224" s="28"/>
      <x:c r="F224" s="23"/>
      <x:c r="G224" s="23"/>
      <x:c r="H224" s="23"/>
      <x:c r="I224" s="30"/>
      <x:c r="J224" s="23"/>
      <x:c r="K224" s="23"/>
      <x:c r="L224" s="23"/>
      <x:c r="M224" s="23" t="str">
        <x:f>IF(D224="","",VALUE(LEFT(D224,FIND("+",D224)-1))*1000+VALUE(MID(D224,FIND("+",D224)+1,3)))</x:f>
      </x:c>
      <x:c r="N224" s="23" t="str">
        <x:f>IF(E224="","",VALUE(LEFT(E224,FIND("+",E224)-1))*1000+VALUE(MID(E224,FIND("+",E224)+1,3)))</x:f>
      </x:c>
      <x:c r="O224" s="23" t="str">
        <x:f>IF(AND(M224="",N224=""),"",MIN(IF(M224="",N224,M224),IF(N224="",M224,N224)))</x:f>
      </x:c>
      <x:c r="P224" s="23" t="str">
        <x:f>IF(AND(M224="",N224=""),"",MAX(IF(M224="",N224,M224),IF(N224="",M224,N224)))</x:f>
      </x:c>
    </x:row>
    <x:row r="225" ht="21" customHeight="1">
      <x:c r="A225" s="26"/>
      <x:c r="B225" s="23"/>
      <x:c r="C225" s="23"/>
      <x:c r="D225" s="28"/>
      <x:c r="E225" s="28"/>
      <x:c r="F225" s="23"/>
      <x:c r="G225" s="23"/>
      <x:c r="H225" s="23"/>
      <x:c r="I225" s="30"/>
      <x:c r="J225" s="23"/>
      <x:c r="K225" s="23"/>
      <x:c r="L225" s="23"/>
      <x:c r="M225" s="23" t="str">
        <x:f>IF(D225="","",VALUE(LEFT(D225,FIND("+",D225)-1))*1000+VALUE(MID(D225,FIND("+",D225)+1,3)))</x:f>
      </x:c>
      <x:c r="N225" s="23" t="str">
        <x:f>IF(E225="","",VALUE(LEFT(E225,FIND("+",E225)-1))*1000+VALUE(MID(E225,FIND("+",E225)+1,3)))</x:f>
      </x:c>
      <x:c r="O225" s="23" t="str">
        <x:f>IF(AND(M225="",N225=""),"",MIN(IF(M225="",N225,M225),IF(N225="",M225,N225)))</x:f>
      </x:c>
      <x:c r="P225" s="23" t="str">
        <x:f>IF(AND(M225="",N225=""),"",MAX(IF(M225="",N225,M225),IF(N225="",M225,N225)))</x:f>
      </x:c>
    </x:row>
    <x:row r="226" ht="21" customHeight="1">
      <x:c r="A226" s="26"/>
      <x:c r="B226" s="23"/>
      <x:c r="C226" s="23"/>
      <x:c r="D226" s="28"/>
      <x:c r="E226" s="28"/>
      <x:c r="F226" s="23"/>
      <x:c r="G226" s="23"/>
      <x:c r="H226" s="23"/>
      <x:c r="I226" s="30"/>
      <x:c r="J226" s="23"/>
      <x:c r="K226" s="23"/>
      <x:c r="L226" s="23"/>
      <x:c r="M226" s="23" t="str">
        <x:f>IF(D226="","",VALUE(LEFT(D226,FIND("+",D226)-1))*1000+VALUE(MID(D226,FIND("+",D226)+1,3)))</x:f>
      </x:c>
      <x:c r="N226" s="23" t="str">
        <x:f>IF(E226="","",VALUE(LEFT(E226,FIND("+",E226)-1))*1000+VALUE(MID(E226,FIND("+",E226)+1,3)))</x:f>
      </x:c>
      <x:c r="O226" s="23" t="str">
        <x:f>IF(AND(M226="",N226=""),"",MIN(IF(M226="",N226,M226),IF(N226="",M226,N226)))</x:f>
      </x:c>
      <x:c r="P226" s="23" t="str">
        <x:f>IF(AND(M226="",N226=""),"",MAX(IF(M226="",N226,M226),IF(N226="",M226,N226)))</x:f>
      </x:c>
    </x:row>
    <x:row r="227" ht="21" customHeight="1">
      <x:c r="A227" s="26"/>
      <x:c r="B227" s="23"/>
      <x:c r="C227" s="23"/>
      <x:c r="D227" s="28"/>
      <x:c r="E227" s="28"/>
      <x:c r="F227" s="23"/>
      <x:c r="G227" s="23"/>
      <x:c r="H227" s="23"/>
      <x:c r="I227" s="30"/>
      <x:c r="J227" s="23"/>
      <x:c r="K227" s="23"/>
      <x:c r="L227" s="23"/>
      <x:c r="M227" s="23" t="str">
        <x:f>IF(D227="","",VALUE(LEFT(D227,FIND("+",D227)-1))*1000+VALUE(MID(D227,FIND("+",D227)+1,3)))</x:f>
      </x:c>
      <x:c r="N227" s="23" t="str">
        <x:f>IF(E227="","",VALUE(LEFT(E227,FIND("+",E227)-1))*1000+VALUE(MID(E227,FIND("+",E227)+1,3)))</x:f>
      </x:c>
      <x:c r="O227" s="23" t="str">
        <x:f>IF(AND(M227="",N227=""),"",MIN(IF(M227="",N227,M227),IF(N227="",M227,N227)))</x:f>
      </x:c>
      <x:c r="P227" s="23" t="str">
        <x:f>IF(AND(M227="",N227=""),"",MAX(IF(M227="",N227,M227),IF(N227="",M227,N227)))</x:f>
      </x:c>
    </x:row>
    <x:row r="228" ht="21" customHeight="1">
      <x:c r="A228" s="26"/>
      <x:c r="B228" s="23"/>
      <x:c r="C228" s="23"/>
      <x:c r="D228" s="28"/>
      <x:c r="E228" s="28"/>
      <x:c r="F228" s="23"/>
      <x:c r="G228" s="23"/>
      <x:c r="H228" s="23"/>
      <x:c r="I228" s="30"/>
      <x:c r="J228" s="23"/>
      <x:c r="K228" s="23"/>
      <x:c r="L228" s="23"/>
      <x:c r="M228" s="23" t="str">
        <x:f>IF(D228="","",VALUE(LEFT(D228,FIND("+",D228)-1))*1000+VALUE(MID(D228,FIND("+",D228)+1,3)))</x:f>
      </x:c>
      <x:c r="N228" s="23" t="str">
        <x:f>IF(E228="","",VALUE(LEFT(E228,FIND("+",E228)-1))*1000+VALUE(MID(E228,FIND("+",E228)+1,3)))</x:f>
      </x:c>
      <x:c r="O228" s="23" t="str">
        <x:f>IF(AND(M228="",N228=""),"",MIN(IF(M228="",N228,M228),IF(N228="",M228,N228)))</x:f>
      </x:c>
      <x:c r="P228" s="23" t="str">
        <x:f>IF(AND(M228="",N228=""),"",MAX(IF(M228="",N228,M228),IF(N228="",M228,N228)))</x:f>
      </x:c>
    </x:row>
    <x:row r="229" ht="21" customHeight="1">
      <x:c r="A229" s="26"/>
      <x:c r="B229" s="23"/>
      <x:c r="C229" s="23"/>
      <x:c r="D229" s="28"/>
      <x:c r="E229" s="28"/>
      <x:c r="F229" s="23"/>
      <x:c r="G229" s="23"/>
      <x:c r="H229" s="23"/>
      <x:c r="I229" s="30"/>
      <x:c r="J229" s="23"/>
      <x:c r="K229" s="23"/>
      <x:c r="L229" s="23"/>
      <x:c r="M229" s="23" t="str">
        <x:f>IF(D229="","",VALUE(LEFT(D229,FIND("+",D229)-1))*1000+VALUE(MID(D229,FIND("+",D229)+1,3)))</x:f>
      </x:c>
      <x:c r="N229" s="23" t="str">
        <x:f>IF(E229="","",VALUE(LEFT(E229,FIND("+",E229)-1))*1000+VALUE(MID(E229,FIND("+",E229)+1,3)))</x:f>
      </x:c>
      <x:c r="O229" s="23" t="str">
        <x:f>IF(AND(M229="",N229=""),"",MIN(IF(M229="",N229,M229),IF(N229="",M229,N229)))</x:f>
      </x:c>
      <x:c r="P229" s="23" t="str">
        <x:f>IF(AND(M229="",N229=""),"",MAX(IF(M229="",N229,M229),IF(N229="",M229,N229)))</x:f>
      </x:c>
    </x:row>
    <x:row r="230" ht="21" customHeight="1">
      <x:c r="A230" s="26"/>
      <x:c r="B230" s="23"/>
      <x:c r="C230" s="23"/>
      <x:c r="D230" s="28"/>
      <x:c r="E230" s="28"/>
      <x:c r="F230" s="23"/>
      <x:c r="G230" s="23"/>
      <x:c r="H230" s="23"/>
      <x:c r="I230" s="30"/>
      <x:c r="J230" s="23"/>
      <x:c r="K230" s="23"/>
      <x:c r="L230" s="23"/>
      <x:c r="M230" s="23" t="str">
        <x:f>IF(D230="","",VALUE(LEFT(D230,FIND("+",D230)-1))*1000+VALUE(MID(D230,FIND("+",D230)+1,3)))</x:f>
      </x:c>
      <x:c r="N230" s="23" t="str">
        <x:f>IF(E230="","",VALUE(LEFT(E230,FIND("+",E230)-1))*1000+VALUE(MID(E230,FIND("+",E230)+1,3)))</x:f>
      </x:c>
      <x:c r="O230" s="23" t="str">
        <x:f>IF(AND(M230="",N230=""),"",MIN(IF(M230="",N230,M230),IF(N230="",M230,N230)))</x:f>
      </x:c>
      <x:c r="P230" s="23" t="str">
        <x:f>IF(AND(M230="",N230=""),"",MAX(IF(M230="",N230,M230),IF(N230="",M230,N230)))</x:f>
      </x:c>
    </x:row>
    <x:row r="231" ht="21" customHeight="1">
      <x:c r="A231" s="26"/>
      <x:c r="B231" s="23"/>
      <x:c r="C231" s="23"/>
      <x:c r="D231" s="28"/>
      <x:c r="E231" s="28"/>
      <x:c r="F231" s="23"/>
      <x:c r="G231" s="23"/>
      <x:c r="H231" s="23"/>
      <x:c r="I231" s="30"/>
      <x:c r="J231" s="23"/>
      <x:c r="K231" s="23"/>
      <x:c r="L231" s="23"/>
      <x:c r="M231" s="23" t="str">
        <x:f>IF(D231="","",VALUE(LEFT(D231,FIND("+",D231)-1))*1000+VALUE(MID(D231,FIND("+",D231)+1,3)))</x:f>
      </x:c>
      <x:c r="N231" s="23" t="str">
        <x:f>IF(E231="","",VALUE(LEFT(E231,FIND("+",E231)-1))*1000+VALUE(MID(E231,FIND("+",E231)+1,3)))</x:f>
      </x:c>
      <x:c r="O231" s="23" t="str">
        <x:f>IF(AND(M231="",N231=""),"",MIN(IF(M231="",N231,M231),IF(N231="",M231,N231)))</x:f>
      </x:c>
      <x:c r="P231" s="23" t="str">
        <x:f>IF(AND(M231="",N231=""),"",MAX(IF(M231="",N231,M231),IF(N231="",M231,N231)))</x:f>
      </x:c>
    </x:row>
    <x:row r="232" ht="21" customHeight="1">
      <x:c r="A232" s="26"/>
      <x:c r="B232" s="23"/>
      <x:c r="C232" s="23"/>
      <x:c r="D232" s="28"/>
      <x:c r="E232" s="28"/>
      <x:c r="F232" s="23"/>
      <x:c r="G232" s="23"/>
      <x:c r="H232" s="23"/>
      <x:c r="I232" s="30"/>
      <x:c r="J232" s="23"/>
      <x:c r="K232" s="23"/>
      <x:c r="L232" s="23"/>
      <x:c r="M232" s="23" t="str">
        <x:f>IF(D232="","",VALUE(LEFT(D232,FIND("+",D232)-1))*1000+VALUE(MID(D232,FIND("+",D232)+1,3)))</x:f>
      </x:c>
      <x:c r="N232" s="23" t="str">
        <x:f>IF(E232="","",VALUE(LEFT(E232,FIND("+",E232)-1))*1000+VALUE(MID(E232,FIND("+",E232)+1,3)))</x:f>
      </x:c>
      <x:c r="O232" s="23" t="str">
        <x:f>IF(AND(M232="",N232=""),"",MIN(IF(M232="",N232,M232),IF(N232="",M232,N232)))</x:f>
      </x:c>
      <x:c r="P232" s="23" t="str">
        <x:f>IF(AND(M232="",N232=""),"",MAX(IF(M232="",N232,M232),IF(N232="",M232,N232)))</x:f>
      </x:c>
    </x:row>
    <x:row r="233" ht="21" customHeight="1">
      <x:c r="A233" s="26"/>
      <x:c r="B233" s="23"/>
      <x:c r="C233" s="23"/>
      <x:c r="D233" s="28"/>
      <x:c r="E233" s="28"/>
      <x:c r="F233" s="23"/>
      <x:c r="G233" s="23"/>
      <x:c r="H233" s="23"/>
      <x:c r="I233" s="30"/>
      <x:c r="J233" s="23"/>
      <x:c r="K233" s="23"/>
      <x:c r="L233" s="23"/>
      <x:c r="M233" s="23" t="str">
        <x:f>IF(D233="","",VALUE(LEFT(D233,FIND("+",D233)-1))*1000+VALUE(MID(D233,FIND("+",D233)+1,3)))</x:f>
      </x:c>
      <x:c r="N233" s="23" t="str">
        <x:f>IF(E233="","",VALUE(LEFT(E233,FIND("+",E233)-1))*1000+VALUE(MID(E233,FIND("+",E233)+1,3)))</x:f>
      </x:c>
      <x:c r="O233" s="23" t="str">
        <x:f>IF(AND(M233="",N233=""),"",MIN(IF(M233="",N233,M233),IF(N233="",M233,N233)))</x:f>
      </x:c>
      <x:c r="P233" s="23" t="str">
        <x:f>IF(AND(M233="",N233=""),"",MAX(IF(M233="",N233,M233),IF(N233="",M233,N233)))</x:f>
      </x:c>
    </x:row>
    <x:row r="234" ht="21" customHeight="1">
      <x:c r="A234" s="26"/>
      <x:c r="B234" s="23"/>
      <x:c r="C234" s="23"/>
      <x:c r="D234" s="28"/>
      <x:c r="E234" s="28"/>
      <x:c r="F234" s="23"/>
      <x:c r="G234" s="23"/>
      <x:c r="H234" s="23"/>
      <x:c r="I234" s="30"/>
      <x:c r="J234" s="23"/>
      <x:c r="K234" s="23"/>
      <x:c r="L234" s="23"/>
      <x:c r="M234" s="23" t="str">
        <x:f>IF(D234="","",VALUE(LEFT(D234,FIND("+",D234)-1))*1000+VALUE(MID(D234,FIND("+",D234)+1,3)))</x:f>
      </x:c>
      <x:c r="N234" s="23" t="str">
        <x:f>IF(E234="","",VALUE(LEFT(E234,FIND("+",E234)-1))*1000+VALUE(MID(E234,FIND("+",E234)+1,3)))</x:f>
      </x:c>
      <x:c r="O234" s="23" t="str">
        <x:f>IF(AND(M234="",N234=""),"",MIN(IF(M234="",N234,M234),IF(N234="",M234,N234)))</x:f>
      </x:c>
      <x:c r="P234" s="23" t="str">
        <x:f>IF(AND(M234="",N234=""),"",MAX(IF(M234="",N234,M234),IF(N234="",M234,N234)))</x:f>
      </x:c>
    </x:row>
    <x:row r="235" ht="21" customHeight="1">
      <x:c r="A235" s="26"/>
      <x:c r="B235" s="23"/>
      <x:c r="C235" s="23"/>
      <x:c r="D235" s="28"/>
      <x:c r="E235" s="28"/>
      <x:c r="F235" s="23"/>
      <x:c r="G235" s="23"/>
      <x:c r="H235" s="23"/>
      <x:c r="I235" s="30"/>
      <x:c r="J235" s="23"/>
      <x:c r="K235" s="23"/>
      <x:c r="L235" s="23"/>
      <x:c r="M235" s="23" t="str">
        <x:f>IF(D235="","",VALUE(LEFT(D235,FIND("+",D235)-1))*1000+VALUE(MID(D235,FIND("+",D235)+1,3)))</x:f>
      </x:c>
      <x:c r="N235" s="23" t="str">
        <x:f>IF(E235="","",VALUE(LEFT(E235,FIND("+",E235)-1))*1000+VALUE(MID(E235,FIND("+",E235)+1,3)))</x:f>
      </x:c>
      <x:c r="O235" s="23" t="str">
        <x:f>IF(AND(M235="",N235=""),"",MIN(IF(M235="",N235,M235),IF(N235="",M235,N235)))</x:f>
      </x:c>
      <x:c r="P235" s="23" t="str">
        <x:f>IF(AND(M235="",N235=""),"",MAX(IF(M235="",N235,M235),IF(N235="",M235,N235)))</x:f>
      </x:c>
    </x:row>
    <x:row r="236" ht="21" customHeight="1">
      <x:c r="A236" s="26"/>
      <x:c r="B236" s="23"/>
      <x:c r="C236" s="23"/>
      <x:c r="D236" s="28"/>
      <x:c r="E236" s="28"/>
      <x:c r="F236" s="23"/>
      <x:c r="G236" s="23"/>
      <x:c r="H236" s="23"/>
      <x:c r="I236" s="30"/>
      <x:c r="J236" s="23"/>
      <x:c r="K236" s="23"/>
      <x:c r="L236" s="23"/>
      <x:c r="M236" s="23" t="str">
        <x:f>IF(D236="","",VALUE(LEFT(D236,FIND("+",D236)-1))*1000+VALUE(MID(D236,FIND("+",D236)+1,3)))</x:f>
      </x:c>
      <x:c r="N236" s="23" t="str">
        <x:f>IF(E236="","",VALUE(LEFT(E236,FIND("+",E236)-1))*1000+VALUE(MID(E236,FIND("+",E236)+1,3)))</x:f>
      </x:c>
      <x:c r="O236" s="23" t="str">
        <x:f>IF(AND(M236="",N236=""),"",MIN(IF(M236="",N236,M236),IF(N236="",M236,N236)))</x:f>
      </x:c>
      <x:c r="P236" s="23" t="str">
        <x:f>IF(AND(M236="",N236=""),"",MAX(IF(M236="",N236,M236),IF(N236="",M236,N236)))</x:f>
      </x:c>
    </x:row>
    <x:row r="237" ht="21" customHeight="1">
      <x:c r="A237" s="26"/>
      <x:c r="B237" s="23"/>
      <x:c r="C237" s="23"/>
      <x:c r="D237" s="28"/>
      <x:c r="E237" s="28"/>
      <x:c r="F237" s="23"/>
      <x:c r="G237" s="23"/>
      <x:c r="H237" s="23"/>
      <x:c r="I237" s="30"/>
      <x:c r="J237" s="23"/>
      <x:c r="K237" s="23"/>
      <x:c r="L237" s="23"/>
      <x:c r="M237" s="23" t="str">
        <x:f>IF(D237="","",VALUE(LEFT(D237,FIND("+",D237)-1))*1000+VALUE(MID(D237,FIND("+",D237)+1,3)))</x:f>
      </x:c>
      <x:c r="N237" s="23" t="str">
        <x:f>IF(E237="","",VALUE(LEFT(E237,FIND("+",E237)-1))*1000+VALUE(MID(E237,FIND("+",E237)+1,3)))</x:f>
      </x:c>
      <x:c r="O237" s="23" t="str">
        <x:f>IF(AND(M237="",N237=""),"",MIN(IF(M237="",N237,M237),IF(N237="",M237,N237)))</x:f>
      </x:c>
      <x:c r="P237" s="23" t="str">
        <x:f>IF(AND(M237="",N237=""),"",MAX(IF(M237="",N237,M237),IF(N237="",M237,N237)))</x:f>
      </x:c>
    </x:row>
    <x:row r="238" ht="21" customHeight="1">
      <x:c r="A238" s="26"/>
      <x:c r="B238" s="23"/>
      <x:c r="C238" s="23"/>
      <x:c r="D238" s="28"/>
      <x:c r="E238" s="28"/>
      <x:c r="F238" s="23"/>
      <x:c r="G238" s="23"/>
      <x:c r="H238" s="23"/>
      <x:c r="I238" s="30"/>
      <x:c r="J238" s="23"/>
      <x:c r="K238" s="23"/>
      <x:c r="L238" s="23"/>
      <x:c r="M238" s="23" t="str">
        <x:f>IF(D238="","",VALUE(LEFT(D238,FIND("+",D238)-1))*1000+VALUE(MID(D238,FIND("+",D238)+1,3)))</x:f>
      </x:c>
      <x:c r="N238" s="23" t="str">
        <x:f>IF(E238="","",VALUE(LEFT(E238,FIND("+",E238)-1))*1000+VALUE(MID(E238,FIND("+",E238)+1,3)))</x:f>
      </x:c>
      <x:c r="O238" s="23" t="str">
        <x:f>IF(AND(M238="",N238=""),"",MIN(IF(M238="",N238,M238),IF(N238="",M238,N238)))</x:f>
      </x:c>
      <x:c r="P238" s="23" t="str">
        <x:f>IF(AND(M238="",N238=""),"",MAX(IF(M238="",N238,M238),IF(N238="",M238,N238)))</x:f>
      </x:c>
    </x:row>
    <x:row r="239" ht="21" customHeight="1">
      <x:c r="A239" s="26"/>
      <x:c r="B239" s="23"/>
      <x:c r="C239" s="23"/>
      <x:c r="D239" s="28"/>
      <x:c r="E239" s="28"/>
      <x:c r="F239" s="23"/>
      <x:c r="G239" s="23"/>
      <x:c r="H239" s="23"/>
      <x:c r="I239" s="30"/>
      <x:c r="J239" s="23"/>
      <x:c r="K239" s="23"/>
      <x:c r="L239" s="23"/>
      <x:c r="M239" s="23" t="str">
        <x:f>IF(D239="","",VALUE(LEFT(D239,FIND("+",D239)-1))*1000+VALUE(MID(D239,FIND("+",D239)+1,3)))</x:f>
      </x:c>
      <x:c r="N239" s="23" t="str">
        <x:f>IF(E239="","",VALUE(LEFT(E239,FIND("+",E239)-1))*1000+VALUE(MID(E239,FIND("+",E239)+1,3)))</x:f>
      </x:c>
      <x:c r="O239" s="23" t="str">
        <x:f>IF(AND(M239="",N239=""),"",MIN(IF(M239="",N239,M239),IF(N239="",M239,N239)))</x:f>
      </x:c>
      <x:c r="P239" s="23" t="str">
        <x:f>IF(AND(M239="",N239=""),"",MAX(IF(M239="",N239,M239),IF(N239="",M239,N239)))</x:f>
      </x:c>
    </x:row>
    <x:row r="240" ht="21" customHeight="1">
      <x:c r="A240" s="26"/>
      <x:c r="B240" s="23"/>
      <x:c r="C240" s="23"/>
      <x:c r="D240" s="28"/>
      <x:c r="E240" s="28"/>
      <x:c r="F240" s="23"/>
      <x:c r="G240" s="23"/>
      <x:c r="H240" s="23"/>
      <x:c r="I240" s="30"/>
      <x:c r="J240" s="23"/>
      <x:c r="K240" s="23"/>
      <x:c r="L240" s="23"/>
      <x:c r="M240" s="23" t="str">
        <x:f>IF(D240="","",VALUE(LEFT(D240,FIND("+",D240)-1))*1000+VALUE(MID(D240,FIND("+",D240)+1,3)))</x:f>
      </x:c>
      <x:c r="N240" s="23" t="str">
        <x:f>IF(E240="","",VALUE(LEFT(E240,FIND("+",E240)-1))*1000+VALUE(MID(E240,FIND("+",E240)+1,3)))</x:f>
      </x:c>
      <x:c r="O240" s="23" t="str">
        <x:f>IF(AND(M240="",N240=""),"",MIN(IF(M240="",N240,M240),IF(N240="",M240,N240)))</x:f>
      </x:c>
      <x:c r="P240" s="23" t="str">
        <x:f>IF(AND(M240="",N240=""),"",MAX(IF(M240="",N240,M240),IF(N240="",M240,N240)))</x:f>
      </x:c>
    </x:row>
    <x:row r="241" ht="21" customHeight="1">
      <x:c r="A241" s="26"/>
      <x:c r="B241" s="23"/>
      <x:c r="C241" s="23"/>
      <x:c r="D241" s="28"/>
      <x:c r="E241" s="28"/>
      <x:c r="F241" s="23"/>
      <x:c r="G241" s="23"/>
      <x:c r="H241" s="23"/>
      <x:c r="I241" s="30"/>
      <x:c r="J241" s="23"/>
      <x:c r="K241" s="23"/>
      <x:c r="L241" s="23"/>
      <x:c r="M241" s="23" t="str">
        <x:f>IF(D241="","",VALUE(LEFT(D241,FIND("+",D241)-1))*1000+VALUE(MID(D241,FIND("+",D241)+1,3)))</x:f>
      </x:c>
      <x:c r="N241" s="23" t="str">
        <x:f>IF(E241="","",VALUE(LEFT(E241,FIND("+",E241)-1))*1000+VALUE(MID(E241,FIND("+",E241)+1,3)))</x:f>
      </x:c>
      <x:c r="O241" s="23" t="str">
        <x:f>IF(AND(M241="",N241=""),"",MIN(IF(M241="",N241,M241),IF(N241="",M241,N241)))</x:f>
      </x:c>
      <x:c r="P241" s="23" t="str">
        <x:f>IF(AND(M241="",N241=""),"",MAX(IF(M241="",N241,M241),IF(N241="",M241,N241)))</x:f>
      </x:c>
    </x:row>
    <x:row r="242" ht="21" customHeight="1">
      <x:c r="A242" s="26"/>
      <x:c r="B242" s="23"/>
      <x:c r="C242" s="23"/>
      <x:c r="D242" s="28"/>
      <x:c r="E242" s="28"/>
      <x:c r="F242" s="23"/>
      <x:c r="G242" s="23"/>
      <x:c r="H242" s="23"/>
      <x:c r="I242" s="30"/>
      <x:c r="J242" s="23"/>
      <x:c r="K242" s="23"/>
      <x:c r="L242" s="23"/>
      <x:c r="M242" s="23" t="str">
        <x:f>IF(D242="","",VALUE(LEFT(D242,FIND("+",D242)-1))*1000+VALUE(MID(D242,FIND("+",D242)+1,3)))</x:f>
      </x:c>
      <x:c r="N242" s="23" t="str">
        <x:f>IF(E242="","",VALUE(LEFT(E242,FIND("+",E242)-1))*1000+VALUE(MID(E242,FIND("+",E242)+1,3)))</x:f>
      </x:c>
      <x:c r="O242" s="23" t="str">
        <x:f>IF(AND(M242="",N242=""),"",MIN(IF(M242="",N242,M242),IF(N242="",M242,N242)))</x:f>
      </x:c>
      <x:c r="P242" s="23" t="str">
        <x:f>IF(AND(M242="",N242=""),"",MAX(IF(M242="",N242,M242),IF(N242="",M242,N242)))</x:f>
      </x:c>
    </x:row>
    <x:row r="243" ht="21" customHeight="1">
      <x:c r="A243" s="26"/>
      <x:c r="B243" s="23"/>
      <x:c r="C243" s="23"/>
      <x:c r="D243" s="28"/>
      <x:c r="E243" s="28"/>
      <x:c r="F243" s="23"/>
      <x:c r="G243" s="23"/>
      <x:c r="H243" s="23"/>
      <x:c r="I243" s="30"/>
      <x:c r="J243" s="23"/>
      <x:c r="K243" s="23"/>
      <x:c r="L243" s="23"/>
      <x:c r="M243" s="23" t="str">
        <x:f>IF(D243="","",VALUE(LEFT(D243,FIND("+",D243)-1))*1000+VALUE(MID(D243,FIND("+",D243)+1,3)))</x:f>
      </x:c>
      <x:c r="N243" s="23" t="str">
        <x:f>IF(E243="","",VALUE(LEFT(E243,FIND("+",E243)-1))*1000+VALUE(MID(E243,FIND("+",E243)+1,3)))</x:f>
      </x:c>
      <x:c r="O243" s="23" t="str">
        <x:f>IF(AND(M243="",N243=""),"",MIN(IF(M243="",N243,M243),IF(N243="",M243,N243)))</x:f>
      </x:c>
      <x:c r="P243" s="23" t="str">
        <x:f>IF(AND(M243="",N243=""),"",MAX(IF(M243="",N243,M243),IF(N243="",M243,N243)))</x:f>
      </x:c>
    </x:row>
    <x:row r="244" ht="21" customHeight="1">
      <x:c r="A244" s="26"/>
      <x:c r="B244" s="23"/>
      <x:c r="C244" s="23"/>
      <x:c r="D244" s="28"/>
      <x:c r="E244" s="28"/>
      <x:c r="F244" s="23"/>
      <x:c r="G244" s="23"/>
      <x:c r="H244" s="23"/>
      <x:c r="I244" s="30"/>
      <x:c r="J244" s="23"/>
      <x:c r="K244" s="23"/>
      <x:c r="L244" s="23"/>
      <x:c r="M244" s="23" t="str">
        <x:f>IF(D244="","",VALUE(LEFT(D244,FIND("+",D244)-1))*1000+VALUE(MID(D244,FIND("+",D244)+1,3)))</x:f>
      </x:c>
      <x:c r="N244" s="23" t="str">
        <x:f>IF(E244="","",VALUE(LEFT(E244,FIND("+",E244)-1))*1000+VALUE(MID(E244,FIND("+",E244)+1,3)))</x:f>
      </x:c>
      <x:c r="O244" s="23" t="str">
        <x:f>IF(AND(M244="",N244=""),"",MIN(IF(M244="",N244,M244),IF(N244="",M244,N244)))</x:f>
      </x:c>
      <x:c r="P244" s="23" t="str">
        <x:f>IF(AND(M244="",N244=""),"",MAX(IF(M244="",N244,M244),IF(N244="",M244,N244)))</x:f>
      </x:c>
    </x:row>
    <x:row r="245" ht="21" customHeight="1">
      <x:c r="A245" s="26"/>
      <x:c r="B245" s="23"/>
      <x:c r="C245" s="23"/>
      <x:c r="D245" s="28"/>
      <x:c r="E245" s="28"/>
      <x:c r="F245" s="23"/>
      <x:c r="G245" s="23"/>
      <x:c r="H245" s="23"/>
      <x:c r="I245" s="30"/>
      <x:c r="J245" s="23"/>
      <x:c r="K245" s="23"/>
      <x:c r="L245" s="23"/>
      <x:c r="M245" s="23" t="str">
        <x:f>IF(D245="","",VALUE(LEFT(D245,FIND("+",D245)-1))*1000+VALUE(MID(D245,FIND("+",D245)+1,3)))</x:f>
      </x:c>
      <x:c r="N245" s="23" t="str">
        <x:f>IF(E245="","",VALUE(LEFT(E245,FIND("+",E245)-1))*1000+VALUE(MID(E245,FIND("+",E245)+1,3)))</x:f>
      </x:c>
      <x:c r="O245" s="23" t="str">
        <x:f>IF(AND(M245="",N245=""),"",MIN(IF(M245="",N245,M245),IF(N245="",M245,N245)))</x:f>
      </x:c>
      <x:c r="P245" s="23" t="str">
        <x:f>IF(AND(M245="",N245=""),"",MAX(IF(M245="",N245,M245),IF(N245="",M245,N245)))</x:f>
      </x:c>
    </x:row>
    <x:row r="246" ht="21" customHeight="1">
      <x:c r="A246" s="26"/>
      <x:c r="B246" s="23"/>
      <x:c r="C246" s="23"/>
      <x:c r="D246" s="28"/>
      <x:c r="E246" s="28"/>
      <x:c r="F246" s="23"/>
      <x:c r="G246" s="23"/>
      <x:c r="H246" s="23"/>
      <x:c r="I246" s="30"/>
      <x:c r="J246" s="23"/>
      <x:c r="K246" s="23"/>
      <x:c r="L246" s="23"/>
      <x:c r="M246" s="23" t="str">
        <x:f>IF(D246="","",VALUE(LEFT(D246,FIND("+",D246)-1))*1000+VALUE(MID(D246,FIND("+",D246)+1,3)))</x:f>
      </x:c>
      <x:c r="N246" s="23" t="str">
        <x:f>IF(E246="","",VALUE(LEFT(E246,FIND("+",E246)-1))*1000+VALUE(MID(E246,FIND("+",E246)+1,3)))</x:f>
      </x:c>
      <x:c r="O246" s="23" t="str">
        <x:f>IF(AND(M246="",N246=""),"",MIN(IF(M246="",N246,M246),IF(N246="",M246,N246)))</x:f>
      </x:c>
      <x:c r="P246" s="23" t="str">
        <x:f>IF(AND(M246="",N246=""),"",MAX(IF(M246="",N246,M246),IF(N246="",M246,N246)))</x:f>
      </x:c>
    </x:row>
    <x:row r="247" ht="21" customHeight="1">
      <x:c r="A247" s="26"/>
      <x:c r="B247" s="23"/>
      <x:c r="C247" s="23"/>
      <x:c r="D247" s="28"/>
      <x:c r="E247" s="28"/>
      <x:c r="F247" s="23"/>
      <x:c r="G247" s="23"/>
      <x:c r="H247" s="23"/>
      <x:c r="I247" s="30"/>
      <x:c r="J247" s="23"/>
      <x:c r="K247" s="23"/>
      <x:c r="L247" s="23"/>
      <x:c r="M247" s="23" t="str">
        <x:f>IF(D247="","",VALUE(LEFT(D247,FIND("+",D247)-1))*1000+VALUE(MID(D247,FIND("+",D247)+1,3)))</x:f>
      </x:c>
      <x:c r="N247" s="23" t="str">
        <x:f>IF(E247="","",VALUE(LEFT(E247,FIND("+",E247)-1))*1000+VALUE(MID(E247,FIND("+",E247)+1,3)))</x:f>
      </x:c>
      <x:c r="O247" s="23" t="str">
        <x:f>IF(AND(M247="",N247=""),"",MIN(IF(M247="",N247,M247),IF(N247="",M247,N247)))</x:f>
      </x:c>
      <x:c r="P247" s="23" t="str">
        <x:f>IF(AND(M247="",N247=""),"",MAX(IF(M247="",N247,M247),IF(N247="",M247,N247)))</x:f>
      </x:c>
    </x:row>
    <x:row r="248" ht="21" customHeight="1">
      <x:c r="A248" s="26"/>
      <x:c r="B248" s="23"/>
      <x:c r="C248" s="23"/>
      <x:c r="D248" s="28"/>
      <x:c r="E248" s="28"/>
      <x:c r="F248" s="23"/>
      <x:c r="G248" s="23"/>
      <x:c r="H248" s="23"/>
      <x:c r="I248" s="30"/>
      <x:c r="J248" s="23"/>
      <x:c r="K248" s="23"/>
      <x:c r="L248" s="23"/>
      <x:c r="M248" s="23" t="str">
        <x:f>IF(D248="","",VALUE(LEFT(D248,FIND("+",D248)-1))*1000+VALUE(MID(D248,FIND("+",D248)+1,3)))</x:f>
      </x:c>
      <x:c r="N248" s="23" t="str">
        <x:f>IF(E248="","",VALUE(LEFT(E248,FIND("+",E248)-1))*1000+VALUE(MID(E248,FIND("+",E248)+1,3)))</x:f>
      </x:c>
      <x:c r="O248" s="23" t="str">
        <x:f>IF(AND(M248="",N248=""),"",MIN(IF(M248="",N248,M248),IF(N248="",M248,N248)))</x:f>
      </x:c>
      <x:c r="P248" s="23" t="str">
        <x:f>IF(AND(M248="",N248=""),"",MAX(IF(M248="",N248,M248),IF(N248="",M248,N248)))</x:f>
      </x:c>
    </x:row>
    <x:row r="249" ht="21" customHeight="1">
      <x:c r="A249" s="26"/>
      <x:c r="B249" s="23"/>
      <x:c r="C249" s="23"/>
      <x:c r="D249" s="28"/>
      <x:c r="E249" s="28"/>
      <x:c r="F249" s="23"/>
      <x:c r="G249" s="23"/>
      <x:c r="H249" s="23"/>
      <x:c r="I249" s="30"/>
      <x:c r="J249" s="23"/>
      <x:c r="K249" s="23"/>
      <x:c r="L249" s="23"/>
      <x:c r="M249" s="23" t="str">
        <x:f>IF(D249="","",VALUE(LEFT(D249,FIND("+",D249)-1))*1000+VALUE(MID(D249,FIND("+",D249)+1,3)))</x:f>
      </x:c>
      <x:c r="N249" s="23" t="str">
        <x:f>IF(E249="","",VALUE(LEFT(E249,FIND("+",E249)-1))*1000+VALUE(MID(E249,FIND("+",E249)+1,3)))</x:f>
      </x:c>
      <x:c r="O249" s="23" t="str">
        <x:f>IF(AND(M249="",N249=""),"",MIN(IF(M249="",N249,M249),IF(N249="",M249,N249)))</x:f>
      </x:c>
      <x:c r="P249" s="23" t="str">
        <x:f>IF(AND(M249="",N249=""),"",MAX(IF(M249="",N249,M249),IF(N249="",M249,N249)))</x:f>
      </x:c>
    </x:row>
    <x:row r="250" ht="21" customHeight="1">
      <x:c r="A250" s="26"/>
      <x:c r="B250" s="23"/>
      <x:c r="C250" s="23"/>
      <x:c r="D250" s="28"/>
      <x:c r="E250" s="28"/>
      <x:c r="F250" s="23"/>
      <x:c r="G250" s="23"/>
      <x:c r="H250" s="23"/>
      <x:c r="I250" s="30"/>
      <x:c r="J250" s="23"/>
      <x:c r="K250" s="23"/>
      <x:c r="L250" s="23"/>
      <x:c r="M250" s="23" t="str">
        <x:f>IF(D250="","",VALUE(LEFT(D250,FIND("+",D250)-1))*1000+VALUE(MID(D250,FIND("+",D250)+1,3)))</x:f>
      </x:c>
      <x:c r="N250" s="23" t="str">
        <x:f>IF(E250="","",VALUE(LEFT(E250,FIND("+",E250)-1))*1000+VALUE(MID(E250,FIND("+",E250)+1,3)))</x:f>
      </x:c>
      <x:c r="O250" s="23" t="str">
        <x:f>IF(AND(M250="",N250=""),"",MIN(IF(M250="",N250,M250),IF(N250="",M250,N250)))</x:f>
      </x:c>
      <x:c r="P250" s="23" t="str">
        <x:f>IF(AND(M250="",N250=""),"",MAX(IF(M250="",N250,M250),IF(N250="",M250,N250)))</x:f>
      </x:c>
    </x:row>
    <x:row r="251" ht="21" customHeight="1">
      <x:c r="A251" s="26"/>
      <x:c r="B251" s="23"/>
      <x:c r="C251" s="23"/>
      <x:c r="D251" s="28"/>
      <x:c r="E251" s="28"/>
      <x:c r="F251" s="23"/>
      <x:c r="G251" s="23"/>
      <x:c r="H251" s="23"/>
      <x:c r="I251" s="30"/>
      <x:c r="J251" s="23"/>
      <x:c r="K251" s="23"/>
      <x:c r="L251" s="23"/>
      <x:c r="M251" s="23" t="str">
        <x:f>IF(D251="","",VALUE(LEFT(D251,FIND("+",D251)-1))*1000+VALUE(MID(D251,FIND("+",D251)+1,3)))</x:f>
      </x:c>
      <x:c r="N251" s="23" t="str">
        <x:f>IF(E251="","",VALUE(LEFT(E251,FIND("+",E251)-1))*1000+VALUE(MID(E251,FIND("+",E251)+1,3)))</x:f>
      </x:c>
      <x:c r="O251" s="23" t="str">
        <x:f>IF(AND(M251="",N251=""),"",MIN(IF(M251="",N251,M251),IF(N251="",M251,N251)))</x:f>
      </x:c>
      <x:c r="P251" s="23" t="str">
        <x:f>IF(AND(M251="",N251=""),"",MAX(IF(M251="",N251,M251),IF(N251="",M251,N251)))</x:f>
      </x:c>
    </x:row>
    <x:row r="252" ht="21" customHeight="1">
      <x:c r="A252" s="26"/>
      <x:c r="B252" s="23"/>
      <x:c r="C252" s="23"/>
      <x:c r="D252" s="28"/>
      <x:c r="E252" s="28"/>
      <x:c r="F252" s="23"/>
      <x:c r="G252" s="23"/>
      <x:c r="H252" s="23"/>
      <x:c r="I252" s="30"/>
      <x:c r="J252" s="23"/>
      <x:c r="K252" s="23"/>
      <x:c r="L252" s="23"/>
      <x:c r="M252" s="23" t="str">
        <x:f>IF(D252="","",VALUE(LEFT(D252,FIND("+",D252)-1))*1000+VALUE(MID(D252,FIND("+",D252)+1,3)))</x:f>
      </x:c>
      <x:c r="N252" s="23" t="str">
        <x:f>IF(E252="","",VALUE(LEFT(E252,FIND("+",E252)-1))*1000+VALUE(MID(E252,FIND("+",E252)+1,3)))</x:f>
      </x:c>
      <x:c r="O252" s="23" t="str">
        <x:f>IF(AND(M252="",N252=""),"",MIN(IF(M252="",N252,M252),IF(N252="",M252,N252)))</x:f>
      </x:c>
      <x:c r="P252" s="23" t="str">
        <x:f>IF(AND(M252="",N252=""),"",MAX(IF(M252="",N252,M252),IF(N252="",M252,N252)))</x:f>
      </x:c>
    </x:row>
    <x:row r="253" ht="21" customHeight="1">
      <x:c r="A253" s="26"/>
      <x:c r="B253" s="23"/>
      <x:c r="C253" s="23"/>
      <x:c r="D253" s="28"/>
      <x:c r="E253" s="28"/>
      <x:c r="F253" s="23"/>
      <x:c r="G253" s="23"/>
      <x:c r="H253" s="23"/>
      <x:c r="I253" s="30"/>
      <x:c r="J253" s="23"/>
      <x:c r="K253" s="23"/>
      <x:c r="L253" s="23"/>
      <x:c r="M253" s="23" t="str">
        <x:f>IF(D253="","",VALUE(LEFT(D253,FIND("+",D253)-1))*1000+VALUE(MID(D253,FIND("+",D253)+1,3)))</x:f>
      </x:c>
      <x:c r="N253" s="23" t="str">
        <x:f>IF(E253="","",VALUE(LEFT(E253,FIND("+",E253)-1))*1000+VALUE(MID(E253,FIND("+",E253)+1,3)))</x:f>
      </x:c>
      <x:c r="O253" s="23" t="str">
        <x:f>IF(AND(M253="",N253=""),"",MIN(IF(M253="",N253,M253),IF(N253="",M253,N253)))</x:f>
      </x:c>
      <x:c r="P253" s="23" t="str">
        <x:f>IF(AND(M253="",N253=""),"",MAX(IF(M253="",N253,M253),IF(N253="",M253,N253)))</x:f>
      </x:c>
    </x:row>
    <x:row r="254" ht="21" customHeight="1">
      <x:c r="A254" s="26"/>
      <x:c r="B254" s="23"/>
      <x:c r="C254" s="23"/>
      <x:c r="D254" s="28"/>
      <x:c r="E254" s="28"/>
      <x:c r="F254" s="23"/>
      <x:c r="G254" s="23"/>
      <x:c r="H254" s="23"/>
      <x:c r="I254" s="30"/>
      <x:c r="J254" s="23"/>
      <x:c r="K254" s="23"/>
      <x:c r="L254" s="23"/>
      <x:c r="M254" s="23" t="str">
        <x:f>IF(D254="","",VALUE(LEFT(D254,FIND("+",D254)-1))*1000+VALUE(MID(D254,FIND("+",D254)+1,3)))</x:f>
      </x:c>
      <x:c r="N254" s="23" t="str">
        <x:f>IF(E254="","",VALUE(LEFT(E254,FIND("+",E254)-1))*1000+VALUE(MID(E254,FIND("+",E254)+1,3)))</x:f>
      </x:c>
      <x:c r="O254" s="23" t="str">
        <x:f>IF(AND(M254="",N254=""),"",MIN(IF(M254="",N254,M254),IF(N254="",M254,N254)))</x:f>
      </x:c>
      <x:c r="P254" s="23" t="str">
        <x:f>IF(AND(M254="",N254=""),"",MAX(IF(M254="",N254,M254),IF(N254="",M254,N254)))</x:f>
      </x:c>
    </x:row>
    <x:row r="255" ht="21" customHeight="1">
      <x:c r="A255" s="26"/>
      <x:c r="B255" s="23"/>
      <x:c r="C255" s="23"/>
      <x:c r="D255" s="28"/>
      <x:c r="E255" s="28"/>
      <x:c r="F255" s="23"/>
      <x:c r="G255" s="23"/>
      <x:c r="H255" s="23"/>
      <x:c r="I255" s="30"/>
      <x:c r="J255" s="23"/>
      <x:c r="K255" s="23"/>
      <x:c r="L255" s="23"/>
      <x:c r="M255" s="23" t="str">
        <x:f>IF(D255="","",VALUE(LEFT(D255,FIND("+",D255)-1))*1000+VALUE(MID(D255,FIND("+",D255)+1,3)))</x:f>
      </x:c>
      <x:c r="N255" s="23" t="str">
        <x:f>IF(E255="","",VALUE(LEFT(E255,FIND("+",E255)-1))*1000+VALUE(MID(E255,FIND("+",E255)+1,3)))</x:f>
      </x:c>
      <x:c r="O255" s="23" t="str">
        <x:f>IF(AND(M255="",N255=""),"",MIN(IF(M255="",N255,M255),IF(N255="",M255,N255)))</x:f>
      </x:c>
      <x:c r="P255" s="23" t="str">
        <x:f>IF(AND(M255="",N255=""),"",MAX(IF(M255="",N255,M255),IF(N255="",M255,N255)))</x:f>
      </x:c>
    </x:row>
    <x:row r="256" ht="21" customHeight="1">
      <x:c r="A256" s="26"/>
      <x:c r="B256" s="23"/>
      <x:c r="C256" s="23"/>
      <x:c r="D256" s="28"/>
      <x:c r="E256" s="28"/>
      <x:c r="F256" s="23"/>
      <x:c r="G256" s="23"/>
      <x:c r="H256" s="23"/>
      <x:c r="I256" s="30"/>
      <x:c r="J256" s="23"/>
      <x:c r="K256" s="23"/>
      <x:c r="L256" s="23"/>
      <x:c r="M256" s="23" t="str">
        <x:f>IF(D256="","",VALUE(LEFT(D256,FIND("+",D256)-1))*1000+VALUE(MID(D256,FIND("+",D256)+1,3)))</x:f>
      </x:c>
      <x:c r="N256" s="23" t="str">
        <x:f>IF(E256="","",VALUE(LEFT(E256,FIND("+",E256)-1))*1000+VALUE(MID(E256,FIND("+",E256)+1,3)))</x:f>
      </x:c>
      <x:c r="O256" s="23" t="str">
        <x:f>IF(AND(M256="",N256=""),"",MIN(IF(M256="",N256,M256),IF(N256="",M256,N256)))</x:f>
      </x:c>
      <x:c r="P256" s="23" t="str">
        <x:f>IF(AND(M256="",N256=""),"",MAX(IF(M256="",N256,M256),IF(N256="",M256,N256)))</x:f>
      </x:c>
    </x:row>
    <x:row r="257" ht="21" customHeight="1">
      <x:c r="A257" s="26"/>
      <x:c r="B257" s="23"/>
      <x:c r="C257" s="23"/>
      <x:c r="D257" s="28"/>
      <x:c r="E257" s="28"/>
      <x:c r="F257" s="23"/>
      <x:c r="G257" s="23"/>
      <x:c r="H257" s="23"/>
      <x:c r="I257" s="30"/>
      <x:c r="J257" s="23"/>
      <x:c r="K257" s="23"/>
      <x:c r="L257" s="23"/>
      <x:c r="M257" s="23" t="str">
        <x:f>IF(D257="","",VALUE(LEFT(D257,FIND("+",D257)-1))*1000+VALUE(MID(D257,FIND("+",D257)+1,3)))</x:f>
      </x:c>
      <x:c r="N257" s="23" t="str">
        <x:f>IF(E257="","",VALUE(LEFT(E257,FIND("+",E257)-1))*1000+VALUE(MID(E257,FIND("+",E257)+1,3)))</x:f>
      </x:c>
      <x:c r="O257" s="23" t="str">
        <x:f>IF(AND(M257="",N257=""),"",MIN(IF(M257="",N257,M257),IF(N257="",M257,N257)))</x:f>
      </x:c>
      <x:c r="P257" s="23" t="str">
        <x:f>IF(AND(M257="",N257=""),"",MAX(IF(M257="",N257,M257),IF(N257="",M257,N257)))</x:f>
      </x:c>
    </x:row>
    <x:row r="258" ht="21" customHeight="1">
      <x:c r="A258" s="26"/>
      <x:c r="B258" s="23"/>
      <x:c r="C258" s="23"/>
      <x:c r="D258" s="28"/>
      <x:c r="E258" s="28"/>
      <x:c r="F258" s="23"/>
      <x:c r="G258" s="23"/>
      <x:c r="H258" s="23"/>
      <x:c r="I258" s="30"/>
      <x:c r="J258" s="23"/>
      <x:c r="K258" s="23"/>
      <x:c r="L258" s="23"/>
      <x:c r="M258" s="23" t="str">
        <x:f>IF(D258="","",VALUE(LEFT(D258,FIND("+",D258)-1))*1000+VALUE(MID(D258,FIND("+",D258)+1,3)))</x:f>
      </x:c>
      <x:c r="N258" s="23" t="str">
        <x:f>IF(E258="","",VALUE(LEFT(E258,FIND("+",E258)-1))*1000+VALUE(MID(E258,FIND("+",E258)+1,3)))</x:f>
      </x:c>
      <x:c r="O258" s="23" t="str">
        <x:f>IF(AND(M258="",N258=""),"",MIN(IF(M258="",N258,M258),IF(N258="",M258,N258)))</x:f>
      </x:c>
      <x:c r="P258" s="23" t="str">
        <x:f>IF(AND(M258="",N258=""),"",MAX(IF(M258="",N258,M258),IF(N258="",M258,N258)))</x:f>
      </x:c>
    </x:row>
    <x:row r="259" ht="21" customHeight="1">
      <x:c r="A259" s="26"/>
      <x:c r="B259" s="23"/>
      <x:c r="C259" s="23"/>
      <x:c r="D259" s="28"/>
      <x:c r="E259" s="28"/>
      <x:c r="F259" s="23"/>
      <x:c r="G259" s="23"/>
      <x:c r="H259" s="23"/>
      <x:c r="I259" s="30"/>
      <x:c r="J259" s="23"/>
      <x:c r="K259" s="23"/>
      <x:c r="L259" s="23"/>
      <x:c r="M259" s="23" t="str">
        <x:f>IF(D259="","",VALUE(LEFT(D259,FIND("+",D259)-1))*1000+VALUE(MID(D259,FIND("+",D259)+1,3)))</x:f>
      </x:c>
      <x:c r="N259" s="23" t="str">
        <x:f>IF(E259="","",VALUE(LEFT(E259,FIND("+",E259)-1))*1000+VALUE(MID(E259,FIND("+",E259)+1,3)))</x:f>
      </x:c>
      <x:c r="O259" s="23" t="str">
        <x:f>IF(AND(M259="",N259=""),"",MIN(IF(M259="",N259,M259),IF(N259="",M259,N259)))</x:f>
      </x:c>
      <x:c r="P259" s="23" t="str">
        <x:f>IF(AND(M259="",N259=""),"",MAX(IF(M259="",N259,M259),IF(N259="",M259,N259)))</x:f>
      </x:c>
    </x:row>
    <x:row r="260" ht="21" customHeight="1">
      <x:c r="A260" s="26"/>
      <x:c r="B260" s="23"/>
      <x:c r="C260" s="23"/>
      <x:c r="D260" s="28"/>
      <x:c r="E260" s="28"/>
      <x:c r="F260" s="23"/>
      <x:c r="G260" s="23"/>
      <x:c r="H260" s="23"/>
      <x:c r="I260" s="30"/>
      <x:c r="J260" s="23"/>
      <x:c r="K260" s="23"/>
      <x:c r="L260" s="23"/>
      <x:c r="M260" s="23" t="str">
        <x:f>IF(D260="","",VALUE(LEFT(D260,FIND("+",D260)-1))*1000+VALUE(MID(D260,FIND("+",D260)+1,3)))</x:f>
      </x:c>
      <x:c r="N260" s="23" t="str">
        <x:f>IF(E260="","",VALUE(LEFT(E260,FIND("+",E260)-1))*1000+VALUE(MID(E260,FIND("+",E260)+1,3)))</x:f>
      </x:c>
      <x:c r="O260" s="23" t="str">
        <x:f>IF(AND(M260="",N260=""),"",MIN(IF(M260="",N260,M260),IF(N260="",M260,N260)))</x:f>
      </x:c>
      <x:c r="P260" s="23" t="str">
        <x:f>IF(AND(M260="",N260=""),"",MAX(IF(M260="",N260,M260),IF(N260="",M260,N260)))</x:f>
      </x:c>
    </x:row>
    <x:row r="261" ht="21" customHeight="1">
      <x:c r="A261" s="26"/>
      <x:c r="B261" s="23"/>
      <x:c r="C261" s="23"/>
      <x:c r="D261" s="28"/>
      <x:c r="E261" s="28"/>
      <x:c r="F261" s="23"/>
      <x:c r="G261" s="23"/>
      <x:c r="H261" s="23"/>
      <x:c r="I261" s="30"/>
      <x:c r="J261" s="23"/>
      <x:c r="K261" s="23"/>
      <x:c r="L261" s="23"/>
      <x:c r="M261" s="23" t="str">
        <x:f>IF(D261="","",VALUE(LEFT(D261,FIND("+",D261)-1))*1000+VALUE(MID(D261,FIND("+",D261)+1,3)))</x:f>
      </x:c>
      <x:c r="N261" s="23" t="str">
        <x:f>IF(E261="","",VALUE(LEFT(E261,FIND("+",E261)-1))*1000+VALUE(MID(E261,FIND("+",E261)+1,3)))</x:f>
      </x:c>
      <x:c r="O261" s="23" t="str">
        <x:f>IF(AND(M261="",N261=""),"",MIN(IF(M261="",N261,M261),IF(N261="",M261,N261)))</x:f>
      </x:c>
      <x:c r="P261" s="23" t="str">
        <x:f>IF(AND(M261="",N261=""),"",MAX(IF(M261="",N261,M261),IF(N261="",M261,N261)))</x:f>
      </x:c>
    </x:row>
    <x:row r="262" ht="21" customHeight="1">
      <x:c r="A262" s="26"/>
      <x:c r="B262" s="23"/>
      <x:c r="C262" s="23"/>
      <x:c r="D262" s="28"/>
      <x:c r="E262" s="28"/>
      <x:c r="F262" s="23"/>
      <x:c r="G262" s="23"/>
      <x:c r="H262" s="23"/>
      <x:c r="I262" s="30"/>
      <x:c r="J262" s="23"/>
      <x:c r="K262" s="23"/>
      <x:c r="L262" s="23"/>
      <x:c r="M262" s="23" t="str">
        <x:f>IF(D262="","",VALUE(LEFT(D262,FIND("+",D262)-1))*1000+VALUE(MID(D262,FIND("+",D262)+1,3)))</x:f>
      </x:c>
      <x:c r="N262" s="23" t="str">
        <x:f>IF(E262="","",VALUE(LEFT(E262,FIND("+",E262)-1))*1000+VALUE(MID(E262,FIND("+",E262)+1,3)))</x:f>
      </x:c>
      <x:c r="O262" s="23" t="str">
        <x:f>IF(AND(M262="",N262=""),"",MIN(IF(M262="",N262,M262),IF(N262="",M262,N262)))</x:f>
      </x:c>
      <x:c r="P262" s="23" t="str">
        <x:f>IF(AND(M262="",N262=""),"",MAX(IF(M262="",N262,M262),IF(N262="",M262,N262)))</x:f>
      </x:c>
    </x:row>
    <x:row r="263" ht="21" customHeight="1">
      <x:c r="A263" s="26"/>
      <x:c r="B263" s="23"/>
      <x:c r="C263" s="23"/>
      <x:c r="D263" s="28"/>
      <x:c r="E263" s="28"/>
      <x:c r="F263" s="23"/>
      <x:c r="G263" s="23"/>
      <x:c r="H263" s="23"/>
      <x:c r="I263" s="30"/>
      <x:c r="J263" s="23"/>
      <x:c r="K263" s="23"/>
      <x:c r="L263" s="23"/>
      <x:c r="M263" s="23" t="str">
        <x:f>IF(D263="","",VALUE(LEFT(D263,FIND("+",D263)-1))*1000+VALUE(MID(D263,FIND("+",D263)+1,3)))</x:f>
      </x:c>
      <x:c r="N263" s="23" t="str">
        <x:f>IF(E263="","",VALUE(LEFT(E263,FIND("+",E263)-1))*1000+VALUE(MID(E263,FIND("+",E263)+1,3)))</x:f>
      </x:c>
      <x:c r="O263" s="23" t="str">
        <x:f>IF(AND(M263="",N263=""),"",MIN(IF(M263="",N263,M263),IF(N263="",M263,N263)))</x:f>
      </x:c>
      <x:c r="P263" s="23" t="str">
        <x:f>IF(AND(M263="",N263=""),"",MAX(IF(M263="",N263,M263),IF(N263="",M263,N263)))</x:f>
      </x:c>
    </x:row>
    <x:row r="264" ht="21" customHeight="1">
      <x:c r="A264" s="26"/>
      <x:c r="B264" s="23"/>
      <x:c r="C264" s="23"/>
      <x:c r="D264" s="28"/>
      <x:c r="E264" s="28"/>
      <x:c r="F264" s="23"/>
      <x:c r="G264" s="23"/>
      <x:c r="H264" s="23"/>
      <x:c r="I264" s="30"/>
      <x:c r="J264" s="23"/>
      <x:c r="K264" s="23"/>
      <x:c r="L264" s="23"/>
      <x:c r="M264" s="23" t="str">
        <x:f>IF(D264="","",VALUE(LEFT(D264,FIND("+",D264)-1))*1000+VALUE(MID(D264,FIND("+",D264)+1,3)))</x:f>
      </x:c>
      <x:c r="N264" s="23" t="str">
        <x:f>IF(E264="","",VALUE(LEFT(E264,FIND("+",E264)-1))*1000+VALUE(MID(E264,FIND("+",E264)+1,3)))</x:f>
      </x:c>
      <x:c r="O264" s="23" t="str">
        <x:f>IF(AND(M264="",N264=""),"",MIN(IF(M264="",N264,M264),IF(N264="",M264,N264)))</x:f>
      </x:c>
      <x:c r="P264" s="23" t="str">
        <x:f>IF(AND(M264="",N264=""),"",MAX(IF(M264="",N264,M264),IF(N264="",M264,N264)))</x:f>
      </x:c>
    </x:row>
    <x:row r="265" ht="21" customHeight="1">
      <x:c r="A265" s="26"/>
      <x:c r="B265" s="23"/>
      <x:c r="C265" s="23"/>
      <x:c r="D265" s="28"/>
      <x:c r="E265" s="28"/>
      <x:c r="F265" s="23"/>
      <x:c r="G265" s="23"/>
      <x:c r="H265" s="23"/>
      <x:c r="I265" s="30"/>
      <x:c r="J265" s="23"/>
      <x:c r="K265" s="23"/>
      <x:c r="L265" s="23"/>
      <x:c r="M265" s="23" t="str">
        <x:f>IF(D265="","",VALUE(LEFT(D265,FIND("+",D265)-1))*1000+VALUE(MID(D265,FIND("+",D265)+1,3)))</x:f>
      </x:c>
      <x:c r="N265" s="23" t="str">
        <x:f>IF(E265="","",VALUE(LEFT(E265,FIND("+",E265)-1))*1000+VALUE(MID(E265,FIND("+",E265)+1,3)))</x:f>
      </x:c>
      <x:c r="O265" s="23" t="str">
        <x:f>IF(AND(M265="",N265=""),"",MIN(IF(M265="",N265,M265),IF(N265="",M265,N265)))</x:f>
      </x:c>
      <x:c r="P265" s="23" t="str">
        <x:f>IF(AND(M265="",N265=""),"",MAX(IF(M265="",N265,M265),IF(N265="",M265,N265)))</x:f>
      </x:c>
    </x:row>
    <x:row r="266" ht="21" customHeight="1">
      <x:c r="A266" s="26"/>
      <x:c r="B266" s="23"/>
      <x:c r="C266" s="23"/>
      <x:c r="D266" s="28"/>
      <x:c r="E266" s="28"/>
      <x:c r="F266" s="23"/>
      <x:c r="G266" s="23"/>
      <x:c r="H266" s="23"/>
      <x:c r="I266" s="30"/>
      <x:c r="J266" s="23"/>
      <x:c r="K266" s="23"/>
      <x:c r="L266" s="23"/>
      <x:c r="M266" s="23" t="str">
        <x:f>IF(D266="","",VALUE(LEFT(D266,FIND("+",D266)-1))*1000+VALUE(MID(D266,FIND("+",D266)+1,3)))</x:f>
      </x:c>
      <x:c r="N266" s="23" t="str">
        <x:f>IF(E266="","",VALUE(LEFT(E266,FIND("+",E266)-1))*1000+VALUE(MID(E266,FIND("+",E266)+1,3)))</x:f>
      </x:c>
      <x:c r="O266" s="23" t="str">
        <x:f>IF(AND(M266="",N266=""),"",MIN(IF(M266="",N266,M266),IF(N266="",M266,N266)))</x:f>
      </x:c>
      <x:c r="P266" s="23" t="str">
        <x:f>IF(AND(M266="",N266=""),"",MAX(IF(M266="",N266,M266),IF(N266="",M266,N266)))</x:f>
      </x:c>
    </x:row>
    <x:row r="267" ht="21" customHeight="1">
      <x:c r="A267" s="26"/>
      <x:c r="B267" s="23"/>
      <x:c r="C267" s="23"/>
      <x:c r="D267" s="28"/>
      <x:c r="E267" s="28"/>
      <x:c r="F267" s="23"/>
      <x:c r="G267" s="23"/>
      <x:c r="H267" s="23"/>
      <x:c r="I267" s="30"/>
      <x:c r="J267" s="23"/>
      <x:c r="K267" s="23"/>
      <x:c r="L267" s="23"/>
      <x:c r="M267" s="23" t="str">
        <x:f>IF(D267="","",VALUE(LEFT(D267,FIND("+",D267)-1))*1000+VALUE(MID(D267,FIND("+",D267)+1,3)))</x:f>
      </x:c>
      <x:c r="N267" s="23" t="str">
        <x:f>IF(E267="","",VALUE(LEFT(E267,FIND("+",E267)-1))*1000+VALUE(MID(E267,FIND("+",E267)+1,3)))</x:f>
      </x:c>
      <x:c r="O267" s="23" t="str">
        <x:f>IF(AND(M267="",N267=""),"",MIN(IF(M267="",N267,M267),IF(N267="",M267,N267)))</x:f>
      </x:c>
      <x:c r="P267" s="23" t="str">
        <x:f>IF(AND(M267="",N267=""),"",MAX(IF(M267="",N267,M267),IF(N267="",M267,N267)))</x:f>
      </x:c>
    </x:row>
    <x:row r="268" ht="21" customHeight="1">
      <x:c r="A268" s="26"/>
      <x:c r="B268" s="23"/>
      <x:c r="C268" s="23"/>
      <x:c r="D268" s="28"/>
      <x:c r="E268" s="28"/>
      <x:c r="F268" s="23"/>
      <x:c r="G268" s="23"/>
      <x:c r="H268" s="23"/>
      <x:c r="I268" s="30"/>
      <x:c r="J268" s="23"/>
      <x:c r="K268" s="23"/>
      <x:c r="L268" s="23"/>
      <x:c r="M268" s="23" t="str">
        <x:f>IF(D268="","",VALUE(LEFT(D268,FIND("+",D268)-1))*1000+VALUE(MID(D268,FIND("+",D268)+1,3)))</x:f>
      </x:c>
      <x:c r="N268" s="23" t="str">
        <x:f>IF(E268="","",VALUE(LEFT(E268,FIND("+",E268)-1))*1000+VALUE(MID(E268,FIND("+",E268)+1,3)))</x:f>
      </x:c>
      <x:c r="O268" s="23" t="str">
        <x:f>IF(AND(M268="",N268=""),"",MIN(IF(M268="",N268,M268),IF(N268="",M268,N268)))</x:f>
      </x:c>
      <x:c r="P268" s="23" t="str">
        <x:f>IF(AND(M268="",N268=""),"",MAX(IF(M268="",N268,M268),IF(N268="",M268,N268)))</x:f>
      </x:c>
    </x:row>
    <x:row r="269" ht="21" customHeight="1">
      <x:c r="A269" s="26"/>
      <x:c r="B269" s="23"/>
      <x:c r="C269" s="23"/>
      <x:c r="D269" s="28"/>
      <x:c r="E269" s="28"/>
      <x:c r="F269" s="23"/>
      <x:c r="G269" s="23"/>
      <x:c r="H269" s="23"/>
      <x:c r="I269" s="30"/>
      <x:c r="J269" s="23"/>
      <x:c r="K269" s="23"/>
      <x:c r="L269" s="23"/>
      <x:c r="M269" s="23" t="str">
        <x:f>IF(D269="","",VALUE(LEFT(D269,FIND("+",D269)-1))*1000+VALUE(MID(D269,FIND("+",D269)+1,3)))</x:f>
      </x:c>
      <x:c r="N269" s="23" t="str">
        <x:f>IF(E269="","",VALUE(LEFT(E269,FIND("+",E269)-1))*1000+VALUE(MID(E269,FIND("+",E269)+1,3)))</x:f>
      </x:c>
      <x:c r="O269" s="23" t="str">
        <x:f>IF(AND(M269="",N269=""),"",MIN(IF(M269="",N269,M269),IF(N269="",M269,N269)))</x:f>
      </x:c>
      <x:c r="P269" s="23" t="str">
        <x:f>IF(AND(M269="",N269=""),"",MAX(IF(M269="",N269,M269),IF(N269="",M269,N269)))</x:f>
      </x:c>
    </x:row>
    <x:row r="270" ht="21" customHeight="1">
      <x:c r="A270" s="26"/>
      <x:c r="B270" s="23"/>
      <x:c r="C270" s="23"/>
      <x:c r="D270" s="28"/>
      <x:c r="E270" s="28"/>
      <x:c r="F270" s="23"/>
      <x:c r="G270" s="23"/>
      <x:c r="H270" s="23"/>
      <x:c r="I270" s="30"/>
      <x:c r="J270" s="23"/>
      <x:c r="K270" s="23"/>
      <x:c r="L270" s="23"/>
      <x:c r="M270" s="23" t="str">
        <x:f>IF(D270="","",VALUE(LEFT(D270,FIND("+",D270)-1))*1000+VALUE(MID(D270,FIND("+",D270)+1,3)))</x:f>
      </x:c>
      <x:c r="N270" s="23" t="str">
        <x:f>IF(E270="","",VALUE(LEFT(E270,FIND("+",E270)-1))*1000+VALUE(MID(E270,FIND("+",E270)+1,3)))</x:f>
      </x:c>
      <x:c r="O270" s="23" t="str">
        <x:f>IF(AND(M270="",N270=""),"",MIN(IF(M270="",N270,M270),IF(N270="",M270,N270)))</x:f>
      </x:c>
      <x:c r="P270" s="23" t="str">
        <x:f>IF(AND(M270="",N270=""),"",MAX(IF(M270="",N270,M270),IF(N270="",M270,N270)))</x:f>
      </x:c>
    </x:row>
    <x:row r="271" ht="21" customHeight="1">
      <x:c r="A271" s="26"/>
      <x:c r="B271" s="23"/>
      <x:c r="C271" s="23"/>
      <x:c r="D271" s="28"/>
      <x:c r="E271" s="28"/>
      <x:c r="F271" s="23"/>
      <x:c r="G271" s="23"/>
      <x:c r="H271" s="23"/>
      <x:c r="I271" s="30"/>
      <x:c r="J271" s="23"/>
      <x:c r="K271" s="23"/>
      <x:c r="L271" s="23"/>
      <x:c r="M271" s="23" t="str">
        <x:f>IF(D271="","",VALUE(LEFT(D271,FIND("+",D271)-1))*1000+VALUE(MID(D271,FIND("+",D271)+1,3)))</x:f>
      </x:c>
      <x:c r="N271" s="23" t="str">
        <x:f>IF(E271="","",VALUE(LEFT(E271,FIND("+",E271)-1))*1000+VALUE(MID(E271,FIND("+",E271)+1,3)))</x:f>
      </x:c>
      <x:c r="O271" s="23" t="str">
        <x:f>IF(AND(M271="",N271=""),"",MIN(IF(M271="",N271,M271),IF(N271="",M271,N271)))</x:f>
      </x:c>
      <x:c r="P271" s="23" t="str">
        <x:f>IF(AND(M271="",N271=""),"",MAX(IF(M271="",N271,M271),IF(N271="",M271,N271)))</x:f>
      </x:c>
    </x:row>
    <x:row r="272" ht="21" customHeight="1">
      <x:c r="A272" s="26"/>
      <x:c r="B272" s="23"/>
      <x:c r="C272" s="23"/>
      <x:c r="D272" s="28"/>
      <x:c r="E272" s="28"/>
      <x:c r="F272" s="23"/>
      <x:c r="G272" s="23"/>
      <x:c r="H272" s="23"/>
      <x:c r="I272" s="30"/>
      <x:c r="J272" s="23"/>
      <x:c r="K272" s="23"/>
      <x:c r="L272" s="23"/>
      <x:c r="M272" s="23" t="str">
        <x:f>IF(D272="","",VALUE(LEFT(D272,FIND("+",D272)-1))*1000+VALUE(MID(D272,FIND("+",D272)+1,3)))</x:f>
      </x:c>
      <x:c r="N272" s="23" t="str">
        <x:f>IF(E272="","",VALUE(LEFT(E272,FIND("+",E272)-1))*1000+VALUE(MID(E272,FIND("+",E272)+1,3)))</x:f>
      </x:c>
      <x:c r="O272" s="23" t="str">
        <x:f>IF(AND(M272="",N272=""),"",MIN(IF(M272="",N272,M272),IF(N272="",M272,N272)))</x:f>
      </x:c>
      <x:c r="P272" s="23" t="str">
        <x:f>IF(AND(M272="",N272=""),"",MAX(IF(M272="",N272,M272),IF(N272="",M272,N272)))</x:f>
      </x:c>
    </x:row>
    <x:row r="273" ht="21" customHeight="1">
      <x:c r="A273" s="26"/>
      <x:c r="B273" s="23"/>
      <x:c r="C273" s="23"/>
      <x:c r="D273" s="28"/>
      <x:c r="E273" s="28"/>
      <x:c r="F273" s="23"/>
      <x:c r="G273" s="23"/>
      <x:c r="H273" s="23"/>
      <x:c r="I273" s="30"/>
      <x:c r="J273" s="23"/>
      <x:c r="K273" s="23"/>
      <x:c r="L273" s="23"/>
      <x:c r="M273" s="23" t="str">
        <x:f>IF(D273="","",VALUE(LEFT(D273,FIND("+",D273)-1))*1000+VALUE(MID(D273,FIND("+",D273)+1,3)))</x:f>
      </x:c>
      <x:c r="N273" s="23" t="str">
        <x:f>IF(E273="","",VALUE(LEFT(E273,FIND("+",E273)-1))*1000+VALUE(MID(E273,FIND("+",E273)+1,3)))</x:f>
      </x:c>
      <x:c r="O273" s="23" t="str">
        <x:f>IF(AND(M273="",N273=""),"",MIN(IF(M273="",N273,M273),IF(N273="",M273,N273)))</x:f>
      </x:c>
      <x:c r="P273" s="23" t="str">
        <x:f>IF(AND(M273="",N273=""),"",MAX(IF(M273="",N273,M273),IF(N273="",M273,N273)))</x:f>
      </x:c>
    </x:row>
    <x:row r="274" ht="21" customHeight="1">
      <x:c r="A274" s="26"/>
      <x:c r="B274" s="23"/>
      <x:c r="C274" s="23"/>
      <x:c r="D274" s="28"/>
      <x:c r="E274" s="28"/>
      <x:c r="F274" s="23"/>
      <x:c r="G274" s="23"/>
      <x:c r="H274" s="23"/>
      <x:c r="I274" s="30"/>
      <x:c r="J274" s="23"/>
      <x:c r="K274" s="23"/>
      <x:c r="L274" s="23"/>
      <x:c r="M274" s="23" t="str">
        <x:f>IF(D274="","",VALUE(LEFT(D274,FIND("+",D274)-1))*1000+VALUE(MID(D274,FIND("+",D274)+1,3)))</x:f>
      </x:c>
      <x:c r="N274" s="23" t="str">
        <x:f>IF(E274="","",VALUE(LEFT(E274,FIND("+",E274)-1))*1000+VALUE(MID(E274,FIND("+",E274)+1,3)))</x:f>
      </x:c>
      <x:c r="O274" s="23" t="str">
        <x:f>IF(AND(M274="",N274=""),"",MIN(IF(M274="",N274,M274),IF(N274="",M274,N274)))</x:f>
      </x:c>
      <x:c r="P274" s="23" t="str">
        <x:f>IF(AND(M274="",N274=""),"",MAX(IF(M274="",N274,M274),IF(N274="",M274,N274)))</x:f>
      </x:c>
    </x:row>
    <x:row r="275" ht="21" customHeight="1">
      <x:c r="A275" s="26"/>
      <x:c r="B275" s="23"/>
      <x:c r="C275" s="23"/>
      <x:c r="D275" s="28"/>
      <x:c r="E275" s="28"/>
      <x:c r="F275" s="23"/>
      <x:c r="G275" s="23"/>
      <x:c r="H275" s="23"/>
      <x:c r="I275" s="30"/>
      <x:c r="J275" s="23"/>
      <x:c r="K275" s="23"/>
      <x:c r="L275" s="23"/>
      <x:c r="M275" s="23" t="str">
        <x:f>IF(D275="","",VALUE(LEFT(D275,FIND("+",D275)-1))*1000+VALUE(MID(D275,FIND("+",D275)+1,3)))</x:f>
      </x:c>
      <x:c r="N275" s="23" t="str">
        <x:f>IF(E275="","",VALUE(LEFT(E275,FIND("+",E275)-1))*1000+VALUE(MID(E275,FIND("+",E275)+1,3)))</x:f>
      </x:c>
      <x:c r="O275" s="23" t="str">
        <x:f>IF(AND(M275="",N275=""),"",MIN(IF(M275="",N275,M275),IF(N275="",M275,N275)))</x:f>
      </x:c>
      <x:c r="P275" s="23" t="str">
        <x:f>IF(AND(M275="",N275=""),"",MAX(IF(M275="",N275,M275),IF(N275="",M275,N275)))</x:f>
      </x:c>
    </x:row>
    <x:row r="276" ht="21" customHeight="1">
      <x:c r="A276" s="26"/>
      <x:c r="B276" s="23"/>
      <x:c r="C276" s="23"/>
      <x:c r="D276" s="28"/>
      <x:c r="E276" s="28"/>
      <x:c r="F276" s="23"/>
      <x:c r="G276" s="23"/>
      <x:c r="H276" s="23"/>
      <x:c r="I276" s="30"/>
      <x:c r="J276" s="23"/>
      <x:c r="K276" s="23"/>
      <x:c r="L276" s="23"/>
      <x:c r="M276" s="23" t="str">
        <x:f>IF(D276="","",VALUE(LEFT(D276,FIND("+",D276)-1))*1000+VALUE(MID(D276,FIND("+",D276)+1,3)))</x:f>
      </x:c>
      <x:c r="N276" s="23" t="str">
        <x:f>IF(E276="","",VALUE(LEFT(E276,FIND("+",E276)-1))*1000+VALUE(MID(E276,FIND("+",E276)+1,3)))</x:f>
      </x:c>
      <x:c r="O276" s="23" t="str">
        <x:f>IF(AND(M276="",N276=""),"",MIN(IF(M276="",N276,M276),IF(N276="",M276,N276)))</x:f>
      </x:c>
      <x:c r="P276" s="23" t="str">
        <x:f>IF(AND(M276="",N276=""),"",MAX(IF(M276="",N276,M276),IF(N276="",M276,N276)))</x:f>
      </x:c>
    </x:row>
    <x:row r="277" ht="21" customHeight="1">
      <x:c r="A277" s="26"/>
      <x:c r="B277" s="23"/>
      <x:c r="C277" s="23"/>
      <x:c r="D277" s="28"/>
      <x:c r="E277" s="28"/>
      <x:c r="F277" s="23"/>
      <x:c r="G277" s="23"/>
      <x:c r="H277" s="23"/>
      <x:c r="I277" s="30"/>
      <x:c r="J277" s="23"/>
      <x:c r="K277" s="23"/>
      <x:c r="L277" s="23"/>
      <x:c r="M277" s="23" t="str">
        <x:f>IF(D277="","",VALUE(LEFT(D277,FIND("+",D277)-1))*1000+VALUE(MID(D277,FIND("+",D277)+1,3)))</x:f>
      </x:c>
      <x:c r="N277" s="23" t="str">
        <x:f>IF(E277="","",VALUE(LEFT(E277,FIND("+",E277)-1))*1000+VALUE(MID(E277,FIND("+",E277)+1,3)))</x:f>
      </x:c>
      <x:c r="O277" s="23" t="str">
        <x:f>IF(AND(M277="",N277=""),"",MIN(IF(M277="",N277,M277),IF(N277="",M277,N277)))</x:f>
      </x:c>
      <x:c r="P277" s="23" t="str">
        <x:f>IF(AND(M277="",N277=""),"",MAX(IF(M277="",N277,M277),IF(N277="",M277,N277)))</x:f>
      </x:c>
    </x:row>
    <x:row r="278" ht="21" customHeight="1">
      <x:c r="A278" s="26"/>
      <x:c r="B278" s="23"/>
      <x:c r="C278" s="23"/>
      <x:c r="D278" s="28"/>
      <x:c r="E278" s="28"/>
      <x:c r="F278" s="23"/>
      <x:c r="G278" s="23"/>
      <x:c r="H278" s="23"/>
      <x:c r="I278" s="30"/>
      <x:c r="J278" s="23"/>
      <x:c r="K278" s="23"/>
      <x:c r="L278" s="23"/>
      <x:c r="M278" s="23" t="str">
        <x:f>IF(D278="","",VALUE(LEFT(D278,FIND("+",D278)-1))*1000+VALUE(MID(D278,FIND("+",D278)+1,3)))</x:f>
      </x:c>
      <x:c r="N278" s="23" t="str">
        <x:f>IF(E278="","",VALUE(LEFT(E278,FIND("+",E278)-1))*1000+VALUE(MID(E278,FIND("+",E278)+1,3)))</x:f>
      </x:c>
      <x:c r="O278" s="23" t="str">
        <x:f>IF(AND(M278="",N278=""),"",MIN(IF(M278="",N278,M278),IF(N278="",M278,N278)))</x:f>
      </x:c>
      <x:c r="P278" s="23" t="str">
        <x:f>IF(AND(M278="",N278=""),"",MAX(IF(M278="",N278,M278),IF(N278="",M278,N278)))</x:f>
      </x:c>
    </x:row>
    <x:row r="279" ht="21" customHeight="1">
      <x:c r="A279" s="26"/>
      <x:c r="B279" s="23"/>
      <x:c r="C279" s="23"/>
      <x:c r="D279" s="28"/>
      <x:c r="E279" s="28"/>
      <x:c r="F279" s="23"/>
      <x:c r="G279" s="23"/>
      <x:c r="H279" s="23"/>
      <x:c r="I279" s="30"/>
      <x:c r="J279" s="23"/>
      <x:c r="K279" s="23"/>
      <x:c r="L279" s="23"/>
      <x:c r="M279" s="23" t="str">
        <x:f>IF(D279="","",VALUE(LEFT(D279,FIND("+",D279)-1))*1000+VALUE(MID(D279,FIND("+",D279)+1,3)))</x:f>
      </x:c>
      <x:c r="N279" s="23" t="str">
        <x:f>IF(E279="","",VALUE(LEFT(E279,FIND("+",E279)-1))*1000+VALUE(MID(E279,FIND("+",E279)+1,3)))</x:f>
      </x:c>
      <x:c r="O279" s="23" t="str">
        <x:f>IF(AND(M279="",N279=""),"",MIN(IF(M279="",N279,M279),IF(N279="",M279,N279)))</x:f>
      </x:c>
      <x:c r="P279" s="23" t="str">
        <x:f>IF(AND(M279="",N279=""),"",MAX(IF(M279="",N279,M279),IF(N279="",M279,N279)))</x:f>
      </x:c>
    </x:row>
    <x:row r="280" ht="21" customHeight="1">
      <x:c r="A280" s="26"/>
      <x:c r="B280" s="23"/>
      <x:c r="C280" s="23"/>
      <x:c r="D280" s="28"/>
      <x:c r="E280" s="28"/>
      <x:c r="F280" s="23"/>
      <x:c r="G280" s="23"/>
      <x:c r="H280" s="23"/>
      <x:c r="I280" s="30"/>
      <x:c r="J280" s="23"/>
      <x:c r="K280" s="23"/>
      <x:c r="L280" s="23"/>
      <x:c r="M280" s="23" t="str">
        <x:f>IF(D280="","",VALUE(LEFT(D280,FIND("+",D280)-1))*1000+VALUE(MID(D280,FIND("+",D280)+1,3)))</x:f>
      </x:c>
      <x:c r="N280" s="23" t="str">
        <x:f>IF(E280="","",VALUE(LEFT(E280,FIND("+",E280)-1))*1000+VALUE(MID(E280,FIND("+",E280)+1,3)))</x:f>
      </x:c>
      <x:c r="O280" s="23" t="str">
        <x:f>IF(AND(M280="",N280=""),"",MIN(IF(M280="",N280,M280),IF(N280="",M280,N280)))</x:f>
      </x:c>
      <x:c r="P280" s="23" t="str">
        <x:f>IF(AND(M280="",N280=""),"",MAX(IF(M280="",N280,M280),IF(N280="",M280,N280)))</x:f>
      </x:c>
    </x:row>
    <x:row r="281" ht="21" customHeight="1">
      <x:c r="A281" s="26"/>
      <x:c r="B281" s="23"/>
      <x:c r="C281" s="23"/>
      <x:c r="D281" s="28"/>
      <x:c r="E281" s="28"/>
      <x:c r="F281" s="23"/>
      <x:c r="G281" s="23"/>
      <x:c r="H281" s="23"/>
      <x:c r="I281" s="30"/>
      <x:c r="J281" s="23"/>
      <x:c r="K281" s="23"/>
      <x:c r="L281" s="23"/>
      <x:c r="M281" s="23" t="str">
        <x:f>IF(D281="","",VALUE(LEFT(D281,FIND("+",D281)-1))*1000+VALUE(MID(D281,FIND("+",D281)+1,3)))</x:f>
      </x:c>
      <x:c r="N281" s="23" t="str">
        <x:f>IF(E281="","",VALUE(LEFT(E281,FIND("+",E281)-1))*1000+VALUE(MID(E281,FIND("+",E281)+1,3)))</x:f>
      </x:c>
      <x:c r="O281" s="23" t="str">
        <x:f>IF(AND(M281="",N281=""),"",MIN(IF(M281="",N281,M281),IF(N281="",M281,N281)))</x:f>
      </x:c>
      <x:c r="P281" s="23" t="str">
        <x:f>IF(AND(M281="",N281=""),"",MAX(IF(M281="",N281,M281),IF(N281="",M281,N281)))</x:f>
      </x:c>
    </x:row>
    <x:row r="282" ht="21" customHeight="1">
      <x:c r="A282" s="26"/>
      <x:c r="B282" s="23"/>
      <x:c r="C282" s="23"/>
      <x:c r="D282" s="28"/>
      <x:c r="E282" s="28"/>
      <x:c r="F282" s="23"/>
      <x:c r="G282" s="23"/>
      <x:c r="H282" s="23"/>
      <x:c r="I282" s="30"/>
      <x:c r="J282" s="23"/>
      <x:c r="K282" s="23"/>
      <x:c r="L282" s="23"/>
      <x:c r="M282" s="23" t="str">
        <x:f>IF(D282="","",VALUE(LEFT(D282,FIND("+",D282)-1))*1000+VALUE(MID(D282,FIND("+",D282)+1,3)))</x:f>
      </x:c>
      <x:c r="N282" s="23" t="str">
        <x:f>IF(E282="","",VALUE(LEFT(E282,FIND("+",E282)-1))*1000+VALUE(MID(E282,FIND("+",E282)+1,3)))</x:f>
      </x:c>
      <x:c r="O282" s="23" t="str">
        <x:f>IF(AND(M282="",N282=""),"",MIN(IF(M282="",N282,M282),IF(N282="",M282,N282)))</x:f>
      </x:c>
      <x:c r="P282" s="23" t="str">
        <x:f>IF(AND(M282="",N282=""),"",MAX(IF(M282="",N282,M282),IF(N282="",M282,N282)))</x:f>
      </x:c>
    </x:row>
    <x:row r="283" ht="21" customHeight="1">
      <x:c r="A283" s="26"/>
      <x:c r="B283" s="23"/>
      <x:c r="C283" s="23"/>
      <x:c r="D283" s="28"/>
      <x:c r="E283" s="28"/>
      <x:c r="F283" s="23"/>
      <x:c r="G283" s="23"/>
      <x:c r="H283" s="23"/>
      <x:c r="I283" s="30"/>
      <x:c r="J283" s="23"/>
      <x:c r="K283" s="23"/>
      <x:c r="L283" s="23"/>
      <x:c r="M283" s="23" t="str">
        <x:f>IF(D283="","",VALUE(LEFT(D283,FIND("+",D283)-1))*1000+VALUE(MID(D283,FIND("+",D283)+1,3)))</x:f>
      </x:c>
      <x:c r="N283" s="23" t="str">
        <x:f>IF(E283="","",VALUE(LEFT(E283,FIND("+",E283)-1))*1000+VALUE(MID(E283,FIND("+",E283)+1,3)))</x:f>
      </x:c>
      <x:c r="O283" s="23" t="str">
        <x:f>IF(AND(M283="",N283=""),"",MIN(IF(M283="",N283,M283),IF(N283="",M283,N283)))</x:f>
      </x:c>
      <x:c r="P283" s="23" t="str">
        <x:f>IF(AND(M283="",N283=""),"",MAX(IF(M283="",N283,M283),IF(N283="",M283,N283)))</x:f>
      </x:c>
    </x:row>
    <x:row r="284" ht="21" customHeight="1">
      <x:c r="A284" s="26"/>
      <x:c r="B284" s="23"/>
      <x:c r="C284" s="23"/>
      <x:c r="D284" s="28"/>
      <x:c r="E284" s="28"/>
      <x:c r="F284" s="23"/>
      <x:c r="G284" s="23"/>
      <x:c r="H284" s="23"/>
      <x:c r="I284" s="30"/>
      <x:c r="J284" s="23"/>
      <x:c r="K284" s="23"/>
      <x:c r="L284" s="23"/>
      <x:c r="M284" s="23" t="str">
        <x:f>IF(D284="","",VALUE(LEFT(D284,FIND("+",D284)-1))*1000+VALUE(MID(D284,FIND("+",D284)+1,3)))</x:f>
      </x:c>
      <x:c r="N284" s="23" t="str">
        <x:f>IF(E284="","",VALUE(LEFT(E284,FIND("+",E284)-1))*1000+VALUE(MID(E284,FIND("+",E284)+1,3)))</x:f>
      </x:c>
      <x:c r="O284" s="23" t="str">
        <x:f>IF(AND(M284="",N284=""),"",MIN(IF(M284="",N284,M284),IF(N284="",M284,N284)))</x:f>
      </x:c>
      <x:c r="P284" s="23" t="str">
        <x:f>IF(AND(M284="",N284=""),"",MAX(IF(M284="",N284,M284),IF(N284="",M284,N284)))</x:f>
      </x:c>
    </x:row>
    <x:row r="285" ht="21" customHeight="1">
      <x:c r="A285" s="26"/>
      <x:c r="B285" s="23"/>
      <x:c r="C285" s="23"/>
      <x:c r="D285" s="28"/>
      <x:c r="E285" s="28"/>
      <x:c r="F285" s="23"/>
      <x:c r="G285" s="23"/>
      <x:c r="H285" s="23"/>
      <x:c r="I285" s="30"/>
      <x:c r="J285" s="23"/>
      <x:c r="K285" s="23"/>
      <x:c r="L285" s="23"/>
      <x:c r="M285" s="23" t="str">
        <x:f>IF(D285="","",VALUE(LEFT(D285,FIND("+",D285)-1))*1000+VALUE(MID(D285,FIND("+",D285)+1,3)))</x:f>
      </x:c>
      <x:c r="N285" s="23" t="str">
        <x:f>IF(E285="","",VALUE(LEFT(E285,FIND("+",E285)-1))*1000+VALUE(MID(E285,FIND("+",E285)+1,3)))</x:f>
      </x:c>
      <x:c r="O285" s="23" t="str">
        <x:f>IF(AND(M285="",N285=""),"",MIN(IF(M285="",N285,M285),IF(N285="",M285,N285)))</x:f>
      </x:c>
      <x:c r="P285" s="23" t="str">
        <x:f>IF(AND(M285="",N285=""),"",MAX(IF(M285="",N285,M285),IF(N285="",M285,N285)))</x:f>
      </x:c>
    </x:row>
    <x:row r="286" ht="21" customHeight="1">
      <x:c r="A286" s="26"/>
      <x:c r="B286" s="23"/>
      <x:c r="C286" s="23"/>
      <x:c r="D286" s="28"/>
      <x:c r="E286" s="28"/>
      <x:c r="F286" s="23"/>
      <x:c r="G286" s="23"/>
      <x:c r="H286" s="23"/>
      <x:c r="I286" s="30"/>
      <x:c r="J286" s="23"/>
      <x:c r="K286" s="23"/>
      <x:c r="L286" s="23"/>
      <x:c r="M286" s="23" t="str">
        <x:f>IF(D286="","",VALUE(LEFT(D286,FIND("+",D286)-1))*1000+VALUE(MID(D286,FIND("+",D286)+1,3)))</x:f>
      </x:c>
      <x:c r="N286" s="23" t="str">
        <x:f>IF(E286="","",VALUE(LEFT(E286,FIND("+",E286)-1))*1000+VALUE(MID(E286,FIND("+",E286)+1,3)))</x:f>
      </x:c>
      <x:c r="O286" s="23" t="str">
        <x:f>IF(AND(M286="",N286=""),"",MIN(IF(M286="",N286,M286),IF(N286="",M286,N286)))</x:f>
      </x:c>
      <x:c r="P286" s="23" t="str">
        <x:f>IF(AND(M286="",N286=""),"",MAX(IF(M286="",N286,M286),IF(N286="",M286,N286)))</x:f>
      </x:c>
    </x:row>
    <x:row r="287" ht="21" customHeight="1">
      <x:c r="A287" s="26"/>
      <x:c r="B287" s="23"/>
      <x:c r="C287" s="23"/>
      <x:c r="D287" s="28"/>
      <x:c r="E287" s="28"/>
      <x:c r="F287" s="23"/>
      <x:c r="G287" s="23"/>
      <x:c r="H287" s="23"/>
      <x:c r="I287" s="30"/>
      <x:c r="J287" s="23"/>
      <x:c r="K287" s="23"/>
      <x:c r="L287" s="23"/>
      <x:c r="M287" s="23" t="str">
        <x:f>IF(D287="","",VALUE(LEFT(D287,FIND("+",D287)-1))*1000+VALUE(MID(D287,FIND("+",D287)+1,3)))</x:f>
      </x:c>
      <x:c r="N287" s="23" t="str">
        <x:f>IF(E287="","",VALUE(LEFT(E287,FIND("+",E287)-1))*1000+VALUE(MID(E287,FIND("+",E287)+1,3)))</x:f>
      </x:c>
      <x:c r="O287" s="23" t="str">
        <x:f>IF(AND(M287="",N287=""),"",MIN(IF(M287="",N287,M287),IF(N287="",M287,N287)))</x:f>
      </x:c>
      <x:c r="P287" s="23" t="str">
        <x:f>IF(AND(M287="",N287=""),"",MAX(IF(M287="",N287,M287),IF(N287="",M287,N287)))</x:f>
      </x:c>
    </x:row>
    <x:row r="288" ht="21" customHeight="1">
      <x:c r="A288" s="26"/>
      <x:c r="B288" s="23"/>
      <x:c r="C288" s="23"/>
      <x:c r="D288" s="28"/>
      <x:c r="E288" s="28"/>
      <x:c r="F288" s="23"/>
      <x:c r="G288" s="23"/>
      <x:c r="H288" s="23"/>
      <x:c r="I288" s="30"/>
      <x:c r="J288" s="23"/>
      <x:c r="K288" s="23"/>
      <x:c r="L288" s="23"/>
      <x:c r="M288" s="23" t="str">
        <x:f>IF(D288="","",VALUE(LEFT(D288,FIND("+",D288)-1))*1000+VALUE(MID(D288,FIND("+",D288)+1,3)))</x:f>
      </x:c>
      <x:c r="N288" s="23" t="str">
        <x:f>IF(E288="","",VALUE(LEFT(E288,FIND("+",E288)-1))*1000+VALUE(MID(E288,FIND("+",E288)+1,3)))</x:f>
      </x:c>
      <x:c r="O288" s="23" t="str">
        <x:f>IF(AND(M288="",N288=""),"",MIN(IF(M288="",N288,M288),IF(N288="",M288,N288)))</x:f>
      </x:c>
      <x:c r="P288" s="23" t="str">
        <x:f>IF(AND(M288="",N288=""),"",MAX(IF(M288="",N288,M288),IF(N288="",M288,N288)))</x:f>
      </x:c>
    </x:row>
    <x:row r="289" ht="21" customHeight="1">
      <x:c r="A289" s="26"/>
      <x:c r="B289" s="23"/>
      <x:c r="C289" s="23"/>
      <x:c r="D289" s="28"/>
      <x:c r="E289" s="28"/>
      <x:c r="F289" s="23"/>
      <x:c r="G289" s="23"/>
      <x:c r="H289" s="23"/>
      <x:c r="I289" s="30"/>
      <x:c r="J289" s="23"/>
      <x:c r="K289" s="23"/>
      <x:c r="L289" s="23"/>
      <x:c r="M289" s="23" t="str">
        <x:f>IF(D289="","",VALUE(LEFT(D289,FIND("+",D289)-1))*1000+VALUE(MID(D289,FIND("+",D289)+1,3)))</x:f>
      </x:c>
      <x:c r="N289" s="23" t="str">
        <x:f>IF(E289="","",VALUE(LEFT(E289,FIND("+",E289)-1))*1000+VALUE(MID(E289,FIND("+",E289)+1,3)))</x:f>
      </x:c>
      <x:c r="O289" s="23" t="str">
        <x:f>IF(AND(M289="",N289=""),"",MIN(IF(M289="",N289,M289),IF(N289="",M289,N289)))</x:f>
      </x:c>
      <x:c r="P289" s="23" t="str">
        <x:f>IF(AND(M289="",N289=""),"",MAX(IF(M289="",N289,M289),IF(N289="",M289,N289)))</x:f>
      </x:c>
    </x:row>
    <x:row r="290" ht="21" customHeight="1">
      <x:c r="A290" s="26"/>
      <x:c r="B290" s="23"/>
      <x:c r="C290" s="23"/>
      <x:c r="D290" s="28"/>
      <x:c r="E290" s="28"/>
      <x:c r="F290" s="23"/>
      <x:c r="G290" s="23"/>
      <x:c r="H290" s="23"/>
      <x:c r="I290" s="30"/>
      <x:c r="J290" s="23"/>
      <x:c r="K290" s="23"/>
      <x:c r="L290" s="23"/>
      <x:c r="M290" s="23" t="str">
        <x:f>IF(D290="","",VALUE(LEFT(D290,FIND("+",D290)-1))*1000+VALUE(MID(D290,FIND("+",D290)+1,3)))</x:f>
      </x:c>
      <x:c r="N290" s="23" t="str">
        <x:f>IF(E290="","",VALUE(LEFT(E290,FIND("+",E290)-1))*1000+VALUE(MID(E290,FIND("+",E290)+1,3)))</x:f>
      </x:c>
      <x:c r="O290" s="23" t="str">
        <x:f>IF(AND(M290="",N290=""),"",MIN(IF(M290="",N290,M290),IF(N290="",M290,N290)))</x:f>
      </x:c>
      <x:c r="P290" s="23" t="str">
        <x:f>IF(AND(M290="",N290=""),"",MAX(IF(M290="",N290,M290),IF(N290="",M290,N290)))</x:f>
      </x:c>
    </x:row>
    <x:row r="291" ht="21" customHeight="1">
      <x:c r="A291" s="26"/>
      <x:c r="B291" s="23"/>
      <x:c r="C291" s="23"/>
      <x:c r="D291" s="28"/>
      <x:c r="E291" s="28"/>
      <x:c r="F291" s="23"/>
      <x:c r="G291" s="23"/>
      <x:c r="H291" s="23"/>
      <x:c r="I291" s="30"/>
      <x:c r="J291" s="23"/>
      <x:c r="K291" s="23"/>
      <x:c r="L291" s="23"/>
      <x:c r="M291" s="23" t="str">
        <x:f>IF(D291="","",VALUE(LEFT(D291,FIND("+",D291)-1))*1000+VALUE(MID(D291,FIND("+",D291)+1,3)))</x:f>
      </x:c>
      <x:c r="N291" s="23" t="str">
        <x:f>IF(E291="","",VALUE(LEFT(E291,FIND("+",E291)-1))*1000+VALUE(MID(E291,FIND("+",E291)+1,3)))</x:f>
      </x:c>
      <x:c r="O291" s="23" t="str">
        <x:f>IF(AND(M291="",N291=""),"",MIN(IF(M291="",N291,M291),IF(N291="",M291,N291)))</x:f>
      </x:c>
      <x:c r="P291" s="23" t="str">
        <x:f>IF(AND(M291="",N291=""),"",MAX(IF(M291="",N291,M291),IF(N291="",M291,N291)))</x:f>
      </x:c>
    </x:row>
    <x:row r="292" ht="21" customHeight="1">
      <x:c r="A292" s="26"/>
      <x:c r="B292" s="23"/>
      <x:c r="C292" s="23"/>
      <x:c r="D292" s="28"/>
      <x:c r="E292" s="28"/>
      <x:c r="F292" s="23"/>
      <x:c r="G292" s="23"/>
      <x:c r="H292" s="23"/>
      <x:c r="I292" s="30"/>
      <x:c r="J292" s="23"/>
      <x:c r="K292" s="23"/>
      <x:c r="L292" s="23"/>
      <x:c r="M292" s="23" t="str">
        <x:f>IF(D292="","",VALUE(LEFT(D292,FIND("+",D292)-1))*1000+VALUE(MID(D292,FIND("+",D292)+1,3)))</x:f>
      </x:c>
      <x:c r="N292" s="23" t="str">
        <x:f>IF(E292="","",VALUE(LEFT(E292,FIND("+",E292)-1))*1000+VALUE(MID(E292,FIND("+",E292)+1,3)))</x:f>
      </x:c>
      <x:c r="O292" s="23" t="str">
        <x:f>IF(AND(M292="",N292=""),"",MIN(IF(M292="",N292,M292),IF(N292="",M292,N292)))</x:f>
      </x:c>
      <x:c r="P292" s="23" t="str">
        <x:f>IF(AND(M292="",N292=""),"",MAX(IF(M292="",N292,M292),IF(N292="",M292,N292)))</x:f>
      </x:c>
    </x:row>
    <x:row r="293" ht="21" customHeight="1">
      <x:c r="A293" s="26"/>
      <x:c r="B293" s="23"/>
      <x:c r="C293" s="23"/>
      <x:c r="D293" s="28"/>
      <x:c r="E293" s="28"/>
      <x:c r="F293" s="23"/>
      <x:c r="G293" s="23"/>
      <x:c r="H293" s="23"/>
      <x:c r="I293" s="30"/>
      <x:c r="J293" s="23"/>
      <x:c r="K293" s="23"/>
      <x:c r="L293" s="23"/>
      <x:c r="M293" s="23" t="str">
        <x:f>IF(D293="","",VALUE(LEFT(D293,FIND("+",D293)-1))*1000+VALUE(MID(D293,FIND("+",D293)+1,3)))</x:f>
      </x:c>
      <x:c r="N293" s="23" t="str">
        <x:f>IF(E293="","",VALUE(LEFT(E293,FIND("+",E293)-1))*1000+VALUE(MID(E293,FIND("+",E293)+1,3)))</x:f>
      </x:c>
      <x:c r="O293" s="23" t="str">
        <x:f>IF(AND(M293="",N293=""),"",MIN(IF(M293="",N293,M293),IF(N293="",M293,N293)))</x:f>
      </x:c>
      <x:c r="P293" s="23" t="str">
        <x:f>IF(AND(M293="",N293=""),"",MAX(IF(M293="",N293,M293),IF(N293="",M293,N293)))</x:f>
      </x:c>
    </x:row>
    <x:row r="294" ht="21" customHeight="1">
      <x:c r="A294" s="26"/>
      <x:c r="B294" s="23"/>
      <x:c r="C294" s="23"/>
      <x:c r="D294" s="28"/>
      <x:c r="E294" s="28"/>
      <x:c r="F294" s="23"/>
      <x:c r="G294" s="23"/>
      <x:c r="H294" s="23"/>
      <x:c r="I294" s="30"/>
      <x:c r="J294" s="23"/>
      <x:c r="K294" s="23"/>
      <x:c r="L294" s="23"/>
      <x:c r="M294" s="23" t="str">
        <x:f>IF(D294="","",VALUE(LEFT(D294,FIND("+",D294)-1))*1000+VALUE(MID(D294,FIND("+",D294)+1,3)))</x:f>
      </x:c>
      <x:c r="N294" s="23" t="str">
        <x:f>IF(E294="","",VALUE(LEFT(E294,FIND("+",E294)-1))*1000+VALUE(MID(E294,FIND("+",E294)+1,3)))</x:f>
      </x:c>
      <x:c r="O294" s="23" t="str">
        <x:f>IF(AND(M294="",N294=""),"",MIN(IF(M294="",N294,M294),IF(N294="",M294,N294)))</x:f>
      </x:c>
      <x:c r="P294" s="23" t="str">
        <x:f>IF(AND(M294="",N294=""),"",MAX(IF(M294="",N294,M294),IF(N294="",M294,N294)))</x:f>
      </x:c>
    </x:row>
    <x:row r="295" ht="21" customHeight="1">
      <x:c r="A295" s="26"/>
      <x:c r="B295" s="23"/>
      <x:c r="C295" s="23"/>
      <x:c r="D295" s="28"/>
      <x:c r="E295" s="28"/>
      <x:c r="F295" s="23"/>
      <x:c r="G295" s="23"/>
      <x:c r="H295" s="23"/>
      <x:c r="I295" s="30"/>
      <x:c r="J295" s="23"/>
      <x:c r="K295" s="23"/>
      <x:c r="L295" s="23"/>
      <x:c r="M295" s="23" t="str">
        <x:f>IF(D295="","",VALUE(LEFT(D295,FIND("+",D295)-1))*1000+VALUE(MID(D295,FIND("+",D295)+1,3)))</x:f>
      </x:c>
      <x:c r="N295" s="23" t="str">
        <x:f>IF(E295="","",VALUE(LEFT(E295,FIND("+",E295)-1))*1000+VALUE(MID(E295,FIND("+",E295)+1,3)))</x:f>
      </x:c>
      <x:c r="O295" s="23" t="str">
        <x:f>IF(AND(M295="",N295=""),"",MIN(IF(M295="",N295,M295),IF(N295="",M295,N295)))</x:f>
      </x:c>
      <x:c r="P295" s="23" t="str">
        <x:f>IF(AND(M295="",N295=""),"",MAX(IF(M295="",N295,M295),IF(N295="",M295,N295)))</x:f>
      </x:c>
    </x:row>
    <x:row r="296" ht="21" customHeight="1">
      <x:c r="A296" s="26"/>
      <x:c r="B296" s="23"/>
      <x:c r="C296" s="23"/>
      <x:c r="D296" s="28"/>
      <x:c r="E296" s="28"/>
      <x:c r="F296" s="23"/>
      <x:c r="G296" s="23"/>
      <x:c r="H296" s="23"/>
      <x:c r="I296" s="30"/>
      <x:c r="J296" s="23"/>
      <x:c r="K296" s="23"/>
      <x:c r="L296" s="23"/>
      <x:c r="M296" s="23" t="str">
        <x:f>IF(D296="","",VALUE(LEFT(D296,FIND("+",D296)-1))*1000+VALUE(MID(D296,FIND("+",D296)+1,3)))</x:f>
      </x:c>
      <x:c r="N296" s="23" t="str">
        <x:f>IF(E296="","",VALUE(LEFT(E296,FIND("+",E296)-1))*1000+VALUE(MID(E296,FIND("+",E296)+1,3)))</x:f>
      </x:c>
      <x:c r="O296" s="23" t="str">
        <x:f>IF(AND(M296="",N296=""),"",MIN(IF(M296="",N296,M296),IF(N296="",M296,N296)))</x:f>
      </x:c>
      <x:c r="P296" s="23" t="str">
        <x:f>IF(AND(M296="",N296=""),"",MAX(IF(M296="",N296,M296),IF(N296="",M296,N296)))</x:f>
      </x:c>
    </x:row>
    <x:row r="297" ht="21" customHeight="1">
      <x:c r="A297" s="26"/>
      <x:c r="B297" s="23"/>
      <x:c r="C297" s="23"/>
      <x:c r="D297" s="28"/>
      <x:c r="E297" s="28"/>
      <x:c r="F297" s="23"/>
      <x:c r="G297" s="23"/>
      <x:c r="H297" s="23"/>
      <x:c r="I297" s="30"/>
      <x:c r="J297" s="23"/>
      <x:c r="K297" s="23"/>
      <x:c r="L297" s="23"/>
      <x:c r="M297" s="23" t="str">
        <x:f>IF(D297="","",VALUE(LEFT(D297,FIND("+",D297)-1))*1000+VALUE(MID(D297,FIND("+",D297)+1,3)))</x:f>
      </x:c>
      <x:c r="N297" s="23" t="str">
        <x:f>IF(E297="","",VALUE(LEFT(E297,FIND("+",E297)-1))*1000+VALUE(MID(E297,FIND("+",E297)+1,3)))</x:f>
      </x:c>
      <x:c r="O297" s="23" t="str">
        <x:f>IF(AND(M297="",N297=""),"",MIN(IF(M297="",N297,M297),IF(N297="",M297,N297)))</x:f>
      </x:c>
      <x:c r="P297" s="23" t="str">
        <x:f>IF(AND(M297="",N297=""),"",MAX(IF(M297="",N297,M297),IF(N297="",M297,N297)))</x:f>
      </x:c>
    </x:row>
    <x:row r="298" ht="21" customHeight="1">
      <x:c r="A298" s="26"/>
      <x:c r="B298" s="23"/>
      <x:c r="C298" s="23"/>
      <x:c r="D298" s="28"/>
      <x:c r="E298" s="28"/>
      <x:c r="F298" s="23"/>
      <x:c r="G298" s="23"/>
      <x:c r="H298" s="23"/>
      <x:c r="I298" s="30"/>
      <x:c r="J298" s="23"/>
      <x:c r="K298" s="23"/>
      <x:c r="L298" s="23"/>
      <x:c r="M298" s="23" t="str">
        <x:f>IF(D298="","",VALUE(LEFT(D298,FIND("+",D298)-1))*1000+VALUE(MID(D298,FIND("+",D298)+1,3)))</x:f>
      </x:c>
      <x:c r="N298" s="23" t="str">
        <x:f>IF(E298="","",VALUE(LEFT(E298,FIND("+",E298)-1))*1000+VALUE(MID(E298,FIND("+",E298)+1,3)))</x:f>
      </x:c>
      <x:c r="O298" s="23" t="str">
        <x:f>IF(AND(M298="",N298=""),"",MIN(IF(M298="",N298,M298),IF(N298="",M298,N298)))</x:f>
      </x:c>
      <x:c r="P298" s="23" t="str">
        <x:f>IF(AND(M298="",N298=""),"",MAX(IF(M298="",N298,M298),IF(N298="",M298,N298)))</x:f>
      </x:c>
    </x:row>
    <x:row r="299" ht="21" customHeight="1">
      <x:c r="A299" s="26"/>
      <x:c r="B299" s="23"/>
      <x:c r="C299" s="23"/>
      <x:c r="D299" s="28"/>
      <x:c r="E299" s="28"/>
      <x:c r="F299" s="23"/>
      <x:c r="G299" s="23"/>
      <x:c r="H299" s="23"/>
      <x:c r="I299" s="30"/>
      <x:c r="J299" s="23"/>
      <x:c r="K299" s="23"/>
      <x:c r="L299" s="23"/>
      <x:c r="M299" s="23" t="str">
        <x:f>IF(D299="","",VALUE(LEFT(D299,FIND("+",D299)-1))*1000+VALUE(MID(D299,FIND("+",D299)+1,3)))</x:f>
      </x:c>
      <x:c r="N299" s="23" t="str">
        <x:f>IF(E299="","",VALUE(LEFT(E299,FIND("+",E299)-1))*1000+VALUE(MID(E299,FIND("+",E299)+1,3)))</x:f>
      </x:c>
      <x:c r="O299" s="23" t="str">
        <x:f>IF(AND(M299="",N299=""),"",MIN(IF(M299="",N299,M299),IF(N299="",M299,N299)))</x:f>
      </x:c>
      <x:c r="P299" s="23" t="str">
        <x:f>IF(AND(M299="",N299=""),"",MAX(IF(M299="",N299,M299),IF(N299="",M299,N299)))</x:f>
      </x:c>
    </x:row>
    <x:row r="300" ht="21" customHeight="1">
      <x:c r="A300" s="26"/>
      <x:c r="B300" s="23"/>
      <x:c r="C300" s="23"/>
      <x:c r="D300" s="28"/>
      <x:c r="E300" s="28"/>
      <x:c r="F300" s="23"/>
      <x:c r="G300" s="23"/>
      <x:c r="H300" s="23"/>
      <x:c r="I300" s="30"/>
      <x:c r="J300" s="23"/>
      <x:c r="K300" s="23"/>
      <x:c r="L300" s="23"/>
      <x:c r="M300" s="23" t="str">
        <x:f>IF(D300="","",VALUE(LEFT(D300,FIND("+",D300)-1))*1000+VALUE(MID(D300,FIND("+",D300)+1,3)))</x:f>
      </x:c>
      <x:c r="N300" s="23" t="str">
        <x:f>IF(E300="","",VALUE(LEFT(E300,FIND("+",E300)-1))*1000+VALUE(MID(E300,FIND("+",E300)+1,3)))</x:f>
      </x:c>
      <x:c r="O300" s="23" t="str">
        <x:f>IF(AND(M300="",N300=""),"",MIN(IF(M300="",N300,M300),IF(N300="",M300,N300)))</x:f>
      </x:c>
      <x:c r="P300" s="23" t="str">
        <x:f>IF(AND(M300="",N300=""),"",MAX(IF(M300="",N300,M300),IF(N300="",M300,N300)))</x:f>
      </x:c>
    </x:row>
    <x:row r="301" ht="21" customHeight="1">
      <x:c r="A301" s="26"/>
      <x:c r="B301" s="23"/>
      <x:c r="C301" s="23"/>
      <x:c r="D301" s="28"/>
      <x:c r="E301" s="28"/>
      <x:c r="F301" s="23"/>
      <x:c r="G301" s="23"/>
      <x:c r="H301" s="23"/>
      <x:c r="I301" s="30"/>
      <x:c r="J301" s="23"/>
      <x:c r="K301" s="23"/>
      <x:c r="L301" s="23"/>
      <x:c r="M301" s="23" t="str">
        <x:f>IF(D301="","",VALUE(LEFT(D301,FIND("+",D301)-1))*1000+VALUE(MID(D301,FIND("+",D301)+1,3)))</x:f>
      </x:c>
      <x:c r="N301" s="23" t="str">
        <x:f>IF(E301="","",VALUE(LEFT(E301,FIND("+",E301)-1))*1000+VALUE(MID(E301,FIND("+",E301)+1,3)))</x:f>
      </x:c>
      <x:c r="O301" s="23" t="str">
        <x:f>IF(AND(M301="",N301=""),"",MIN(IF(M301="",N301,M301),IF(N301="",M301,N301)))</x:f>
      </x:c>
      <x:c r="P301" s="23" t="str">
        <x:f>IF(AND(M301="",N301=""),"",MAX(IF(M301="",N301,M301),IF(N301="",M301,N301)))</x:f>
      </x:c>
    </x:row>
    <x:row r="302" ht="21" customHeight="1">
      <x:c r="A302" s="26"/>
      <x:c r="B302" s="23"/>
      <x:c r="C302" s="23"/>
      <x:c r="D302" s="28"/>
      <x:c r="E302" s="28"/>
      <x:c r="F302" s="23"/>
      <x:c r="G302" s="23"/>
      <x:c r="H302" s="23"/>
      <x:c r="I302" s="30"/>
      <x:c r="J302" s="23"/>
      <x:c r="K302" s="23"/>
      <x:c r="L302" s="23"/>
      <x:c r="M302" s="23" t="str">
        <x:f>IF(D302="","",VALUE(LEFT(D302,FIND("+",D302)-1))*1000+VALUE(MID(D302,FIND("+",D302)+1,3)))</x:f>
      </x:c>
      <x:c r="N302" s="23" t="str">
        <x:f>IF(E302="","",VALUE(LEFT(E302,FIND("+",E302)-1))*1000+VALUE(MID(E302,FIND("+",E302)+1,3)))</x:f>
      </x:c>
      <x:c r="O302" s="23" t="str">
        <x:f>IF(AND(M302="",N302=""),"",MIN(IF(M302="",N302,M302),IF(N302="",M302,N302)))</x:f>
      </x:c>
      <x:c r="P302" s="23" t="str">
        <x:f>IF(AND(M302="",N302=""),"",MAX(IF(M302="",N302,M302),IF(N302="",M302,N302)))</x:f>
      </x:c>
    </x:row>
    <x:row r="303" ht="21" customHeight="1">
      <x:c r="A303" s="26"/>
      <x:c r="B303" s="23"/>
      <x:c r="C303" s="23"/>
      <x:c r="D303" s="28"/>
      <x:c r="E303" s="28"/>
      <x:c r="F303" s="23"/>
      <x:c r="G303" s="23"/>
      <x:c r="H303" s="23"/>
      <x:c r="I303" s="30"/>
      <x:c r="J303" s="23"/>
      <x:c r="K303" s="23"/>
      <x:c r="L303" s="23"/>
      <x:c r="M303" s="23" t="str">
        <x:f>IF(D303="","",VALUE(LEFT(D303,FIND("+",D303)-1))*1000+VALUE(MID(D303,FIND("+",D303)+1,3)))</x:f>
      </x:c>
      <x:c r="N303" s="23" t="str">
        <x:f>IF(E303="","",VALUE(LEFT(E303,FIND("+",E303)-1))*1000+VALUE(MID(E303,FIND("+",E303)+1,3)))</x:f>
      </x:c>
      <x:c r="O303" s="23" t="str">
        <x:f>IF(AND(M303="",N303=""),"",MIN(IF(M303="",N303,M303),IF(N303="",M303,N303)))</x:f>
      </x:c>
      <x:c r="P303" s="23" t="str">
        <x:f>IF(AND(M303="",N303=""),"",MAX(IF(M303="",N303,M303),IF(N303="",M303,N303)))</x:f>
      </x:c>
    </x:row>
    <x:row r="304" ht="21" customHeight="1">
      <x:c r="A304" s="26"/>
      <x:c r="B304" s="23"/>
      <x:c r="C304" s="23"/>
      <x:c r="D304" s="28"/>
      <x:c r="E304" s="28"/>
      <x:c r="F304" s="23"/>
      <x:c r="G304" s="23"/>
      <x:c r="H304" s="23"/>
      <x:c r="I304" s="30"/>
      <x:c r="J304" s="23"/>
      <x:c r="K304" s="23"/>
      <x:c r="L304" s="23"/>
      <x:c r="M304" s="23" t="str">
        <x:f>IF(D304="","",VALUE(LEFT(D304,FIND("+",D304)-1))*1000+VALUE(MID(D304,FIND("+",D304)+1,3)))</x:f>
      </x:c>
      <x:c r="N304" s="23" t="str">
        <x:f>IF(E304="","",VALUE(LEFT(E304,FIND("+",E304)-1))*1000+VALUE(MID(E304,FIND("+",E304)+1,3)))</x:f>
      </x:c>
      <x:c r="O304" s="23" t="str">
        <x:f>IF(AND(M304="",N304=""),"",MIN(IF(M304="",N304,M304),IF(N304="",M304,N304)))</x:f>
      </x:c>
      <x:c r="P304" s="23" t="str">
        <x:f>IF(AND(M304="",N304=""),"",MAX(IF(M304="",N304,M304),IF(N304="",M304,N304)))</x:f>
      </x:c>
    </x:row>
    <x:row r="305" ht="21" customHeight="1">
      <x:c r="A305" s="26"/>
      <x:c r="B305" s="23"/>
      <x:c r="C305" s="23"/>
      <x:c r="D305" s="28"/>
      <x:c r="E305" s="28"/>
      <x:c r="F305" s="23"/>
      <x:c r="G305" s="23"/>
      <x:c r="H305" s="23"/>
      <x:c r="I305" s="30"/>
      <x:c r="J305" s="23"/>
      <x:c r="K305" s="23"/>
      <x:c r="L305" s="23"/>
      <x:c r="M305" s="23" t="str">
        <x:f>IF(D305="","",VALUE(LEFT(D305,FIND("+",D305)-1))*1000+VALUE(MID(D305,FIND("+",D305)+1,3)))</x:f>
      </x:c>
      <x:c r="N305" s="23" t="str">
        <x:f>IF(E305="","",VALUE(LEFT(E305,FIND("+",E305)-1))*1000+VALUE(MID(E305,FIND("+",E305)+1,3)))</x:f>
      </x:c>
      <x:c r="O305" s="23" t="str">
        <x:f>IF(AND(M305="",N305=""),"",MIN(IF(M305="",N305,M305),IF(N305="",M305,N305)))</x:f>
      </x:c>
      <x:c r="P305" s="23" t="str">
        <x:f>IF(AND(M305="",N305=""),"",MAX(IF(M305="",N305,M305),IF(N305="",M305,N305)))</x:f>
      </x:c>
    </x:row>
    <x:row r="306" ht="21" customHeight="1">
      <x:c r="A306" s="26"/>
      <x:c r="B306" s="23"/>
      <x:c r="C306" s="23"/>
      <x:c r="D306" s="28"/>
      <x:c r="E306" s="28"/>
      <x:c r="F306" s="23"/>
      <x:c r="G306" s="23"/>
      <x:c r="H306" s="23"/>
      <x:c r="I306" s="30"/>
      <x:c r="J306" s="23"/>
      <x:c r="K306" s="23"/>
      <x:c r="L306" s="23"/>
      <x:c r="M306" s="23" t="str">
        <x:f>IF(D306="","",VALUE(LEFT(D306,FIND("+",D306)-1))*1000+VALUE(MID(D306,FIND("+",D306)+1,3)))</x:f>
      </x:c>
      <x:c r="N306" s="23" t="str">
        <x:f>IF(E306="","",VALUE(LEFT(E306,FIND("+",E306)-1))*1000+VALUE(MID(E306,FIND("+",E306)+1,3)))</x:f>
      </x:c>
      <x:c r="O306" s="23" t="str">
        <x:f>IF(AND(M306="",N306=""),"",MIN(IF(M306="",N306,M306),IF(N306="",M306,N306)))</x:f>
      </x:c>
      <x:c r="P306" s="23" t="str">
        <x:f>IF(AND(M306="",N306=""),"",MAX(IF(M306="",N306,M306),IF(N306="",M306,N306)))</x:f>
      </x:c>
    </x:row>
    <x:row r="307" ht="21" customHeight="1">
      <x:c r="A307" s="26"/>
      <x:c r="B307" s="23"/>
      <x:c r="C307" s="23"/>
      <x:c r="D307" s="28"/>
      <x:c r="E307" s="28"/>
      <x:c r="F307" s="23"/>
      <x:c r="G307" s="23"/>
      <x:c r="H307" s="23"/>
      <x:c r="I307" s="30"/>
      <x:c r="J307" s="23"/>
      <x:c r="K307" s="23"/>
      <x:c r="L307" s="23"/>
      <x:c r="M307" s="23" t="str">
        <x:f>IF(D307="","",VALUE(LEFT(D307,FIND("+",D307)-1))*1000+VALUE(MID(D307,FIND("+",D307)+1,3)))</x:f>
      </x:c>
      <x:c r="N307" s="23" t="str">
        <x:f>IF(E307="","",VALUE(LEFT(E307,FIND("+",E307)-1))*1000+VALUE(MID(E307,FIND("+",E307)+1,3)))</x:f>
      </x:c>
      <x:c r="O307" s="23" t="str">
        <x:f>IF(AND(M307="",N307=""),"",MIN(IF(M307="",N307,M307),IF(N307="",M307,N307)))</x:f>
      </x:c>
      <x:c r="P307" s="23" t="str">
        <x:f>IF(AND(M307="",N307=""),"",MAX(IF(M307="",N307,M307),IF(N307="",M307,N307)))</x:f>
      </x:c>
    </x:row>
    <x:row r="308" ht="21" customHeight="1">
      <x:c r="A308" s="26"/>
      <x:c r="B308" s="23"/>
      <x:c r="C308" s="23"/>
      <x:c r="D308" s="28"/>
      <x:c r="E308" s="28"/>
      <x:c r="F308" s="23"/>
      <x:c r="G308" s="23"/>
      <x:c r="H308" s="23"/>
      <x:c r="I308" s="30"/>
      <x:c r="J308" s="23"/>
      <x:c r="K308" s="23"/>
      <x:c r="L308" s="23"/>
      <x:c r="M308" s="23" t="str">
        <x:f>IF(D308="","",VALUE(LEFT(D308,FIND("+",D308)-1))*1000+VALUE(MID(D308,FIND("+",D308)+1,3)))</x:f>
      </x:c>
      <x:c r="N308" s="23" t="str">
        <x:f>IF(E308="","",VALUE(LEFT(E308,FIND("+",E308)-1))*1000+VALUE(MID(E308,FIND("+",E308)+1,3)))</x:f>
      </x:c>
      <x:c r="O308" s="23" t="str">
        <x:f>IF(AND(M308="",N308=""),"",MIN(IF(M308="",N308,M308),IF(N308="",M308,N308)))</x:f>
      </x:c>
      <x:c r="P308" s="23" t="str">
        <x:f>IF(AND(M308="",N308=""),"",MAX(IF(M308="",N308,M308),IF(N308="",M308,N308)))</x:f>
      </x:c>
    </x:row>
    <x:row r="309" ht="21" customHeight="1">
      <x:c r="A309" s="26"/>
      <x:c r="B309" s="23"/>
      <x:c r="C309" s="23"/>
      <x:c r="D309" s="28"/>
      <x:c r="E309" s="28"/>
      <x:c r="F309" s="23"/>
      <x:c r="G309" s="23"/>
      <x:c r="H309" s="23"/>
      <x:c r="I309" s="30"/>
      <x:c r="J309" s="23"/>
      <x:c r="K309" s="23"/>
      <x:c r="L309" s="23"/>
      <x:c r="M309" s="23" t="str">
        <x:f>IF(D309="","",VALUE(LEFT(D309,FIND("+",D309)-1))*1000+VALUE(MID(D309,FIND("+",D309)+1,3)))</x:f>
      </x:c>
      <x:c r="N309" s="23" t="str">
        <x:f>IF(E309="","",VALUE(LEFT(E309,FIND("+",E309)-1))*1000+VALUE(MID(E309,FIND("+",E309)+1,3)))</x:f>
      </x:c>
      <x:c r="O309" s="23" t="str">
        <x:f>IF(AND(M309="",N309=""),"",MIN(IF(M309="",N309,M309),IF(N309="",M309,N309)))</x:f>
      </x:c>
      <x:c r="P309" s="23" t="str">
        <x:f>IF(AND(M309="",N309=""),"",MAX(IF(M309="",N309,M309),IF(N309="",M309,N309)))</x:f>
      </x:c>
    </x:row>
    <x:row r="310" ht="21" customHeight="1">
      <x:c r="A310" s="26"/>
      <x:c r="B310" s="23"/>
      <x:c r="C310" s="23"/>
      <x:c r="D310" s="28"/>
      <x:c r="E310" s="28"/>
      <x:c r="F310" s="23"/>
      <x:c r="G310" s="23"/>
      <x:c r="H310" s="23"/>
      <x:c r="I310" s="30"/>
      <x:c r="J310" s="23"/>
      <x:c r="K310" s="23"/>
      <x:c r="L310" s="23"/>
      <x:c r="M310" s="23" t="str">
        <x:f>IF(D310="","",VALUE(LEFT(D310,FIND("+",D310)-1))*1000+VALUE(MID(D310,FIND("+",D310)+1,3)))</x:f>
      </x:c>
      <x:c r="N310" s="23" t="str">
        <x:f>IF(E310="","",VALUE(LEFT(E310,FIND("+",E310)-1))*1000+VALUE(MID(E310,FIND("+",E310)+1,3)))</x:f>
      </x:c>
      <x:c r="O310" s="23" t="str">
        <x:f>IF(AND(M310="",N310=""),"",MIN(IF(M310="",N310,M310),IF(N310="",M310,N310)))</x:f>
      </x:c>
      <x:c r="P310" s="23" t="str">
        <x:f>IF(AND(M310="",N310=""),"",MAX(IF(M310="",N310,M310),IF(N310="",M310,N310)))</x:f>
      </x:c>
    </x:row>
    <x:row r="311" ht="21" customHeight="1">
      <x:c r="A311" s="26"/>
      <x:c r="B311" s="23"/>
      <x:c r="C311" s="23"/>
      <x:c r="D311" s="28"/>
      <x:c r="E311" s="28"/>
      <x:c r="F311" s="23"/>
      <x:c r="G311" s="23"/>
      <x:c r="H311" s="23"/>
      <x:c r="I311" s="30"/>
      <x:c r="J311" s="23"/>
      <x:c r="K311" s="23"/>
      <x:c r="L311" s="23"/>
      <x:c r="M311" s="23" t="str">
        <x:f>IF(D311="","",VALUE(LEFT(D311,FIND("+",D311)-1))*1000+VALUE(MID(D311,FIND("+",D311)+1,3)))</x:f>
      </x:c>
      <x:c r="N311" s="23" t="str">
        <x:f>IF(E311="","",VALUE(LEFT(E311,FIND("+",E311)-1))*1000+VALUE(MID(E311,FIND("+",E311)+1,3)))</x:f>
      </x:c>
      <x:c r="O311" s="23" t="str">
        <x:f>IF(AND(M311="",N311=""),"",MIN(IF(M311="",N311,M311),IF(N311="",M311,N311)))</x:f>
      </x:c>
      <x:c r="P311" s="23" t="str">
        <x:f>IF(AND(M311="",N311=""),"",MAX(IF(M311="",N311,M311),IF(N311="",M311,N311)))</x:f>
      </x:c>
    </x:row>
    <x:row r="312" ht="21" customHeight="1">
      <x:c r="A312" s="26"/>
      <x:c r="B312" s="23"/>
      <x:c r="C312" s="23"/>
      <x:c r="D312" s="28"/>
      <x:c r="E312" s="28"/>
      <x:c r="F312" s="23"/>
      <x:c r="G312" s="23"/>
      <x:c r="H312" s="23"/>
      <x:c r="I312" s="30"/>
      <x:c r="J312" s="23"/>
      <x:c r="K312" s="23"/>
      <x:c r="L312" s="23"/>
      <x:c r="M312" s="23" t="str">
        <x:f>IF(D312="","",VALUE(LEFT(D312,FIND("+",D312)-1))*1000+VALUE(MID(D312,FIND("+",D312)+1,3)))</x:f>
      </x:c>
      <x:c r="N312" s="23" t="str">
        <x:f>IF(E312="","",VALUE(LEFT(E312,FIND("+",E312)-1))*1000+VALUE(MID(E312,FIND("+",E312)+1,3)))</x:f>
      </x:c>
      <x:c r="O312" s="23" t="str">
        <x:f>IF(AND(M312="",N312=""),"",MIN(IF(M312="",N312,M312),IF(N312="",M312,N312)))</x:f>
      </x:c>
      <x:c r="P312" s="23" t="str">
        <x:f>IF(AND(M312="",N312=""),"",MAX(IF(M312="",N312,M312),IF(N312="",M312,N312)))</x:f>
      </x:c>
    </x:row>
    <x:row r="313" ht="21" customHeight="1">
      <x:c r="A313" s="26"/>
      <x:c r="B313" s="23"/>
      <x:c r="C313" s="23"/>
      <x:c r="D313" s="28"/>
      <x:c r="E313" s="28"/>
      <x:c r="F313" s="23"/>
      <x:c r="G313" s="23"/>
      <x:c r="H313" s="23"/>
      <x:c r="I313" s="30"/>
      <x:c r="J313" s="23"/>
      <x:c r="K313" s="23"/>
      <x:c r="L313" s="23"/>
      <x:c r="M313" s="23" t="str">
        <x:f>IF(D313="","",VALUE(LEFT(D313,FIND("+",D313)-1))*1000+VALUE(MID(D313,FIND("+",D313)+1,3)))</x:f>
      </x:c>
      <x:c r="N313" s="23" t="str">
        <x:f>IF(E313="","",VALUE(LEFT(E313,FIND("+",E313)-1))*1000+VALUE(MID(E313,FIND("+",E313)+1,3)))</x:f>
      </x:c>
      <x:c r="O313" s="23" t="str">
        <x:f>IF(AND(M313="",N313=""),"",MIN(IF(M313="",N313,M313),IF(N313="",M313,N313)))</x:f>
      </x:c>
      <x:c r="P313" s="23" t="str">
        <x:f>IF(AND(M313="",N313=""),"",MAX(IF(M313="",N313,M313),IF(N313="",M313,N313)))</x:f>
      </x:c>
    </x:row>
    <x:row r="314" ht="21" customHeight="1">
      <x:c r="A314" s="26"/>
      <x:c r="B314" s="23"/>
      <x:c r="C314" s="23"/>
      <x:c r="D314" s="28"/>
      <x:c r="E314" s="28"/>
      <x:c r="F314" s="23"/>
      <x:c r="G314" s="23"/>
      <x:c r="H314" s="23"/>
      <x:c r="I314" s="30"/>
      <x:c r="J314" s="23"/>
      <x:c r="K314" s="23"/>
      <x:c r="L314" s="23"/>
      <x:c r="M314" s="23" t="str">
        <x:f>IF(D314="","",VALUE(LEFT(D314,FIND("+",D314)-1))*1000+VALUE(MID(D314,FIND("+",D314)+1,3)))</x:f>
      </x:c>
      <x:c r="N314" s="23" t="str">
        <x:f>IF(E314="","",VALUE(LEFT(E314,FIND("+",E314)-1))*1000+VALUE(MID(E314,FIND("+",E314)+1,3)))</x:f>
      </x:c>
      <x:c r="O314" s="23" t="str">
        <x:f>IF(AND(M314="",N314=""),"",MIN(IF(M314="",N314,M314),IF(N314="",M314,N314)))</x:f>
      </x:c>
      <x:c r="P314" s="23" t="str">
        <x:f>IF(AND(M314="",N314=""),"",MAX(IF(M314="",N314,M314),IF(N314="",M314,N314)))</x:f>
      </x:c>
    </x:row>
    <x:row r="315" ht="21" customHeight="1">
      <x:c r="A315" s="26"/>
      <x:c r="B315" s="23"/>
      <x:c r="C315" s="23"/>
      <x:c r="D315" s="28"/>
      <x:c r="E315" s="28"/>
      <x:c r="F315" s="23"/>
      <x:c r="G315" s="23"/>
      <x:c r="H315" s="23"/>
      <x:c r="I315" s="30"/>
      <x:c r="J315" s="23"/>
      <x:c r="K315" s="23"/>
      <x:c r="L315" s="23"/>
      <x:c r="M315" s="23" t="str">
        <x:f>IF(D315="","",VALUE(LEFT(D315,FIND("+",D315)-1))*1000+VALUE(MID(D315,FIND("+",D315)+1,3)))</x:f>
      </x:c>
      <x:c r="N315" s="23" t="str">
        <x:f>IF(E315="","",VALUE(LEFT(E315,FIND("+",E315)-1))*1000+VALUE(MID(E315,FIND("+",E315)+1,3)))</x:f>
      </x:c>
      <x:c r="O315" s="23" t="str">
        <x:f>IF(AND(M315="",N315=""),"",MIN(IF(M315="",N315,M315),IF(N315="",M315,N315)))</x:f>
      </x:c>
      <x:c r="P315" s="23" t="str">
        <x:f>IF(AND(M315="",N315=""),"",MAX(IF(M315="",N315,M315),IF(N315="",M315,N315)))</x:f>
      </x:c>
    </x:row>
    <x:row r="316" ht="21" customHeight="1">
      <x:c r="A316" s="26"/>
      <x:c r="B316" s="23"/>
      <x:c r="C316" s="23"/>
      <x:c r="D316" s="28"/>
      <x:c r="E316" s="28"/>
      <x:c r="F316" s="23"/>
      <x:c r="G316" s="23"/>
      <x:c r="H316" s="23"/>
      <x:c r="I316" s="30"/>
      <x:c r="J316" s="23"/>
      <x:c r="K316" s="23"/>
      <x:c r="L316" s="23"/>
      <x:c r="M316" s="23" t="str">
        <x:f>IF(D316="","",VALUE(LEFT(D316,FIND("+",D316)-1))*1000+VALUE(MID(D316,FIND("+",D316)+1,3)))</x:f>
      </x:c>
      <x:c r="N316" s="23" t="str">
        <x:f>IF(E316="","",VALUE(LEFT(E316,FIND("+",E316)-1))*1000+VALUE(MID(E316,FIND("+",E316)+1,3)))</x:f>
      </x:c>
      <x:c r="O316" s="23" t="str">
        <x:f>IF(AND(M316="",N316=""),"",MIN(IF(M316="",N316,M316),IF(N316="",M316,N316)))</x:f>
      </x:c>
      <x:c r="P316" s="23" t="str">
        <x:f>IF(AND(M316="",N316=""),"",MAX(IF(M316="",N316,M316),IF(N316="",M316,N316)))</x:f>
      </x:c>
    </x:row>
    <x:row r="317" ht="21" customHeight="1">
      <x:c r="A317" s="26"/>
      <x:c r="B317" s="23"/>
      <x:c r="C317" s="23"/>
      <x:c r="D317" s="28"/>
      <x:c r="E317" s="28"/>
      <x:c r="F317" s="23"/>
      <x:c r="G317" s="23"/>
      <x:c r="H317" s="23"/>
      <x:c r="I317" s="30"/>
      <x:c r="J317" s="23"/>
      <x:c r="K317" s="23"/>
      <x:c r="L317" s="23"/>
      <x:c r="M317" s="23" t="str">
        <x:f>IF(D317="","",VALUE(LEFT(D317,FIND("+",D317)-1))*1000+VALUE(MID(D317,FIND("+",D317)+1,3)))</x:f>
      </x:c>
      <x:c r="N317" s="23" t="str">
        <x:f>IF(E317="","",VALUE(LEFT(E317,FIND("+",E317)-1))*1000+VALUE(MID(E317,FIND("+",E317)+1,3)))</x:f>
      </x:c>
      <x:c r="O317" s="23" t="str">
        <x:f>IF(AND(M317="",N317=""),"",MIN(IF(M317="",N317,M317),IF(N317="",M317,N317)))</x:f>
      </x:c>
      <x:c r="P317" s="23" t="str">
        <x:f>IF(AND(M317="",N317=""),"",MAX(IF(M317="",N317,M317),IF(N317="",M317,N317)))</x:f>
      </x:c>
    </x:row>
    <x:row r="318" ht="21" customHeight="1">
      <x:c r="A318" s="26"/>
      <x:c r="B318" s="23"/>
      <x:c r="C318" s="23"/>
      <x:c r="D318" s="28"/>
      <x:c r="E318" s="28"/>
      <x:c r="F318" s="23"/>
      <x:c r="G318" s="23"/>
      <x:c r="H318" s="23"/>
      <x:c r="I318" s="30"/>
      <x:c r="J318" s="23"/>
      <x:c r="K318" s="23"/>
      <x:c r="L318" s="23"/>
      <x:c r="M318" s="23" t="str">
        <x:f>IF(D318="","",VALUE(LEFT(D318,FIND("+",D318)-1))*1000+VALUE(MID(D318,FIND("+",D318)+1,3)))</x:f>
      </x:c>
      <x:c r="N318" s="23" t="str">
        <x:f>IF(E318="","",VALUE(LEFT(E318,FIND("+",E318)-1))*1000+VALUE(MID(E318,FIND("+",E318)+1,3)))</x:f>
      </x:c>
      <x:c r="O318" s="23" t="str">
        <x:f>IF(AND(M318="",N318=""),"",MIN(IF(M318="",N318,M318),IF(N318="",M318,N318)))</x:f>
      </x:c>
      <x:c r="P318" s="23" t="str">
        <x:f>IF(AND(M318="",N318=""),"",MAX(IF(M318="",N318,M318),IF(N318="",M318,N318)))</x:f>
      </x:c>
    </x:row>
    <x:row r="319" ht="21" customHeight="1">
      <x:c r="A319" s="26"/>
      <x:c r="B319" s="23"/>
      <x:c r="C319" s="23"/>
      <x:c r="D319" s="28"/>
      <x:c r="E319" s="28"/>
      <x:c r="F319" s="23"/>
      <x:c r="G319" s="23"/>
      <x:c r="H319" s="23"/>
      <x:c r="I319" s="30"/>
      <x:c r="J319" s="23"/>
      <x:c r="K319" s="23"/>
      <x:c r="L319" s="23"/>
      <x:c r="M319" s="23" t="str">
        <x:f>IF(D319="","",VALUE(LEFT(D319,FIND("+",D319)-1))*1000+VALUE(MID(D319,FIND("+",D319)+1,3)))</x:f>
      </x:c>
      <x:c r="N319" s="23" t="str">
        <x:f>IF(E319="","",VALUE(LEFT(E319,FIND("+",E319)-1))*1000+VALUE(MID(E319,FIND("+",E319)+1,3)))</x:f>
      </x:c>
      <x:c r="O319" s="23" t="str">
        <x:f>IF(AND(M319="",N319=""),"",MIN(IF(M319="",N319,M319),IF(N319="",M319,N319)))</x:f>
      </x:c>
      <x:c r="P319" s="23" t="str">
        <x:f>IF(AND(M319="",N319=""),"",MAX(IF(M319="",N319,M319),IF(N319="",M319,N319)))</x:f>
      </x:c>
    </x:row>
    <x:row r="320" ht="21" customHeight="1">
      <x:c r="A320" s="26"/>
      <x:c r="B320" s="23"/>
      <x:c r="C320" s="23"/>
      <x:c r="D320" s="28"/>
      <x:c r="E320" s="28"/>
      <x:c r="F320" s="23"/>
      <x:c r="G320" s="23"/>
      <x:c r="H320" s="23"/>
      <x:c r="I320" s="30"/>
      <x:c r="J320" s="23"/>
      <x:c r="K320" s="23"/>
      <x:c r="L320" s="23"/>
      <x:c r="M320" s="23" t="str">
        <x:f>IF(D320="","",VALUE(LEFT(D320,FIND("+",D320)-1))*1000+VALUE(MID(D320,FIND("+",D320)+1,3)))</x:f>
      </x:c>
      <x:c r="N320" s="23" t="str">
        <x:f>IF(E320="","",VALUE(LEFT(E320,FIND("+",E320)-1))*1000+VALUE(MID(E320,FIND("+",E320)+1,3)))</x:f>
      </x:c>
      <x:c r="O320" s="23" t="str">
        <x:f>IF(AND(M320="",N320=""),"",MIN(IF(M320="",N320,M320),IF(N320="",M320,N320)))</x:f>
      </x:c>
      <x:c r="P320" s="23" t="str">
        <x:f>IF(AND(M320="",N320=""),"",MAX(IF(M320="",N320,M320),IF(N320="",M320,N320)))</x:f>
      </x:c>
    </x:row>
    <x:row r="321" ht="21" customHeight="1">
      <x:c r="A321" s="26"/>
      <x:c r="B321" s="23"/>
      <x:c r="C321" s="23"/>
      <x:c r="D321" s="28"/>
      <x:c r="E321" s="28"/>
      <x:c r="F321" s="23"/>
      <x:c r="G321" s="23"/>
      <x:c r="H321" s="23"/>
      <x:c r="I321" s="30"/>
      <x:c r="J321" s="23"/>
      <x:c r="K321" s="23"/>
      <x:c r="L321" s="23"/>
      <x:c r="M321" s="23" t="str">
        <x:f>IF(D321="","",VALUE(LEFT(D321,FIND("+",D321)-1))*1000+VALUE(MID(D321,FIND("+",D321)+1,3)))</x:f>
      </x:c>
      <x:c r="N321" s="23" t="str">
        <x:f>IF(E321="","",VALUE(LEFT(E321,FIND("+",E321)-1))*1000+VALUE(MID(E321,FIND("+",E321)+1,3)))</x:f>
      </x:c>
      <x:c r="O321" s="23" t="str">
        <x:f>IF(AND(M321="",N321=""),"",MIN(IF(M321="",N321,M321),IF(N321="",M321,N321)))</x:f>
      </x:c>
      <x:c r="P321" s="23" t="str">
        <x:f>IF(AND(M321="",N321=""),"",MAX(IF(M321="",N321,M321),IF(N321="",M321,N321)))</x:f>
      </x:c>
    </x:row>
    <x:row r="322" ht="21" customHeight="1">
      <x:c r="A322" s="26"/>
      <x:c r="B322" s="23"/>
      <x:c r="C322" s="23"/>
      <x:c r="D322" s="28"/>
      <x:c r="E322" s="28"/>
      <x:c r="F322" s="23"/>
      <x:c r="G322" s="23"/>
      <x:c r="H322" s="23"/>
      <x:c r="I322" s="30"/>
      <x:c r="J322" s="23"/>
      <x:c r="K322" s="23"/>
      <x:c r="L322" s="23"/>
      <x:c r="M322" s="23" t="str">
        <x:f>IF(D322="","",VALUE(LEFT(D322,FIND("+",D322)-1))*1000+VALUE(MID(D322,FIND("+",D322)+1,3)))</x:f>
      </x:c>
      <x:c r="N322" s="23" t="str">
        <x:f>IF(E322="","",VALUE(LEFT(E322,FIND("+",E322)-1))*1000+VALUE(MID(E322,FIND("+",E322)+1,3)))</x:f>
      </x:c>
      <x:c r="O322" s="23" t="str">
        <x:f>IF(AND(M322="",N322=""),"",MIN(IF(M322="",N322,M322),IF(N322="",M322,N322)))</x:f>
      </x:c>
      <x:c r="P322" s="23" t="str">
        <x:f>IF(AND(M322="",N322=""),"",MAX(IF(M322="",N322,M322),IF(N322="",M322,N322)))</x:f>
      </x:c>
    </x:row>
    <x:row r="323" ht="21" customHeight="1">
      <x:c r="A323" s="26"/>
      <x:c r="B323" s="23"/>
      <x:c r="C323" s="23"/>
      <x:c r="D323" s="28"/>
      <x:c r="E323" s="28"/>
      <x:c r="F323" s="23"/>
      <x:c r="G323" s="23"/>
      <x:c r="H323" s="23"/>
      <x:c r="I323" s="30"/>
      <x:c r="J323" s="23"/>
      <x:c r="K323" s="23"/>
      <x:c r="L323" s="23"/>
      <x:c r="M323" s="23" t="str">
        <x:f>IF(D323="","",VALUE(LEFT(D323,FIND("+",D323)-1))*1000+VALUE(MID(D323,FIND("+",D323)+1,3)))</x:f>
      </x:c>
      <x:c r="N323" s="23" t="str">
        <x:f>IF(E323="","",VALUE(LEFT(E323,FIND("+",E323)-1))*1000+VALUE(MID(E323,FIND("+",E323)+1,3)))</x:f>
      </x:c>
      <x:c r="O323" s="23" t="str">
        <x:f>IF(AND(M323="",N323=""),"",MIN(IF(M323="",N323,M323),IF(N323="",M323,N323)))</x:f>
      </x:c>
      <x:c r="P323" s="23" t="str">
        <x:f>IF(AND(M323="",N323=""),"",MAX(IF(M323="",N323,M323),IF(N323="",M323,N323)))</x:f>
      </x:c>
    </x:row>
    <x:row r="324" ht="21" customHeight="1">
      <x:c r="A324" s="26"/>
      <x:c r="B324" s="23"/>
      <x:c r="C324" s="23"/>
      <x:c r="D324" s="28"/>
      <x:c r="E324" s="28"/>
      <x:c r="F324" s="23"/>
      <x:c r="G324" s="23"/>
      <x:c r="H324" s="23"/>
      <x:c r="I324" s="30"/>
      <x:c r="J324" s="23"/>
      <x:c r="K324" s="23"/>
      <x:c r="L324" s="23"/>
      <x:c r="M324" s="23" t="str">
        <x:f>IF(D324="","",VALUE(LEFT(D324,FIND("+",D324)-1))*1000+VALUE(MID(D324,FIND("+",D324)+1,3)))</x:f>
      </x:c>
      <x:c r="N324" s="23" t="str">
        <x:f>IF(E324="","",VALUE(LEFT(E324,FIND("+",E324)-1))*1000+VALUE(MID(E324,FIND("+",E324)+1,3)))</x:f>
      </x:c>
      <x:c r="O324" s="23" t="str">
        <x:f>IF(AND(M324="",N324=""),"",MIN(IF(M324="",N324,M324),IF(N324="",M324,N324)))</x:f>
      </x:c>
      <x:c r="P324" s="23" t="str">
        <x:f>IF(AND(M324="",N324=""),"",MAX(IF(M324="",N324,M324),IF(N324="",M324,N324)))</x:f>
      </x:c>
    </x:row>
    <x:row r="325" ht="21" customHeight="1">
      <x:c r="A325" s="26"/>
      <x:c r="B325" s="23"/>
      <x:c r="C325" s="23"/>
      <x:c r="D325" s="28"/>
      <x:c r="E325" s="28"/>
      <x:c r="F325" s="23"/>
      <x:c r="G325" s="23"/>
      <x:c r="H325" s="23"/>
      <x:c r="I325" s="30"/>
      <x:c r="J325" s="23"/>
      <x:c r="K325" s="23"/>
      <x:c r="L325" s="23"/>
      <x:c r="M325" s="23" t="str">
        <x:f>IF(D325="","",VALUE(LEFT(D325,FIND("+",D325)-1))*1000+VALUE(MID(D325,FIND("+",D325)+1,3)))</x:f>
      </x:c>
      <x:c r="N325" s="23" t="str">
        <x:f>IF(E325="","",VALUE(LEFT(E325,FIND("+",E325)-1))*1000+VALUE(MID(E325,FIND("+",E325)+1,3)))</x:f>
      </x:c>
      <x:c r="O325" s="23" t="str">
        <x:f>IF(AND(M325="",N325=""),"",MIN(IF(M325="",N325,M325),IF(N325="",M325,N325)))</x:f>
      </x:c>
      <x:c r="P325" s="23" t="str">
        <x:f>IF(AND(M325="",N325=""),"",MAX(IF(M325="",N325,M325),IF(N325="",M325,N325)))</x:f>
      </x:c>
    </x:row>
    <x:row r="326" ht="21" customHeight="1">
      <x:c r="A326" s="26"/>
      <x:c r="B326" s="23"/>
      <x:c r="C326" s="23"/>
      <x:c r="D326" s="28"/>
      <x:c r="E326" s="28"/>
      <x:c r="F326" s="23"/>
      <x:c r="G326" s="23"/>
      <x:c r="H326" s="23"/>
      <x:c r="I326" s="30"/>
      <x:c r="J326" s="23"/>
      <x:c r="K326" s="23"/>
      <x:c r="L326" s="23"/>
      <x:c r="M326" s="23" t="str">
        <x:f>IF(D326="","",VALUE(LEFT(D326,FIND("+",D326)-1))*1000+VALUE(MID(D326,FIND("+",D326)+1,3)))</x:f>
      </x:c>
      <x:c r="N326" s="23" t="str">
        <x:f>IF(E326="","",VALUE(LEFT(E326,FIND("+",E326)-1))*1000+VALUE(MID(E326,FIND("+",E326)+1,3)))</x:f>
      </x:c>
      <x:c r="O326" s="23" t="str">
        <x:f>IF(AND(M326="",N326=""),"",MIN(IF(M326="",N326,M326),IF(N326="",M326,N326)))</x:f>
      </x:c>
      <x:c r="P326" s="23" t="str">
        <x:f>IF(AND(M326="",N326=""),"",MAX(IF(M326="",N326,M326),IF(N326="",M326,N326)))</x:f>
      </x:c>
    </x:row>
    <x:row r="327" ht="21" customHeight="1">
      <x:c r="A327" s="26"/>
      <x:c r="B327" s="23"/>
      <x:c r="C327" s="23"/>
      <x:c r="D327" s="28"/>
      <x:c r="E327" s="28"/>
      <x:c r="F327" s="23"/>
      <x:c r="G327" s="23"/>
      <x:c r="H327" s="23"/>
      <x:c r="I327" s="30"/>
      <x:c r="J327" s="23"/>
      <x:c r="K327" s="23"/>
      <x:c r="L327" s="23"/>
      <x:c r="M327" s="23" t="str">
        <x:f>IF(D327="","",VALUE(LEFT(D327,FIND("+",D327)-1))*1000+VALUE(MID(D327,FIND("+",D327)+1,3)))</x:f>
      </x:c>
      <x:c r="N327" s="23" t="str">
        <x:f>IF(E327="","",VALUE(LEFT(E327,FIND("+",E327)-1))*1000+VALUE(MID(E327,FIND("+",E327)+1,3)))</x:f>
      </x:c>
      <x:c r="O327" s="23" t="str">
        <x:f>IF(AND(M327="",N327=""),"",MIN(IF(M327="",N327,M327),IF(N327="",M327,N327)))</x:f>
      </x:c>
      <x:c r="P327" s="23" t="str">
        <x:f>IF(AND(M327="",N327=""),"",MAX(IF(M327="",N327,M327),IF(N327="",M327,N327)))</x:f>
      </x:c>
    </x:row>
    <x:row r="328" ht="21" customHeight="1">
      <x:c r="A328" s="26"/>
      <x:c r="B328" s="23"/>
      <x:c r="C328" s="23"/>
      <x:c r="D328" s="28"/>
      <x:c r="E328" s="28"/>
      <x:c r="F328" s="23"/>
      <x:c r="G328" s="23"/>
      <x:c r="H328" s="23"/>
      <x:c r="I328" s="30"/>
      <x:c r="J328" s="23"/>
      <x:c r="K328" s="23"/>
      <x:c r="L328" s="23"/>
      <x:c r="M328" s="23" t="str">
        <x:f>IF(D328="","",VALUE(LEFT(D328,FIND("+",D328)-1))*1000+VALUE(MID(D328,FIND("+",D328)+1,3)))</x:f>
      </x:c>
      <x:c r="N328" s="23" t="str">
        <x:f>IF(E328="","",VALUE(LEFT(E328,FIND("+",E328)-1))*1000+VALUE(MID(E328,FIND("+",E328)+1,3)))</x:f>
      </x:c>
      <x:c r="O328" s="23" t="str">
        <x:f>IF(AND(M328="",N328=""),"",MIN(IF(M328="",N328,M328),IF(N328="",M328,N328)))</x:f>
      </x:c>
      <x:c r="P328" s="23" t="str">
        <x:f>IF(AND(M328="",N328=""),"",MAX(IF(M328="",N328,M328),IF(N328="",M328,N328)))</x:f>
      </x:c>
    </x:row>
    <x:row r="329" ht="21" customHeight="1">
      <x:c r="A329" s="26"/>
      <x:c r="B329" s="23"/>
      <x:c r="C329" s="23"/>
      <x:c r="D329" s="28"/>
      <x:c r="E329" s="28"/>
      <x:c r="F329" s="23"/>
      <x:c r="G329" s="23"/>
      <x:c r="H329" s="23"/>
      <x:c r="I329" s="30"/>
      <x:c r="J329" s="23"/>
      <x:c r="K329" s="23"/>
      <x:c r="L329" s="23"/>
      <x:c r="M329" s="23" t="str">
        <x:f>IF(D329="","",VALUE(LEFT(D329,FIND("+",D329)-1))*1000+VALUE(MID(D329,FIND("+",D329)+1,3)))</x:f>
      </x:c>
      <x:c r="N329" s="23" t="str">
        <x:f>IF(E329="","",VALUE(LEFT(E329,FIND("+",E329)-1))*1000+VALUE(MID(E329,FIND("+",E329)+1,3)))</x:f>
      </x:c>
      <x:c r="O329" s="23" t="str">
        <x:f>IF(AND(M329="",N329=""),"",MIN(IF(M329="",N329,M329),IF(N329="",M329,N329)))</x:f>
      </x:c>
      <x:c r="P329" s="23" t="str">
        <x:f>IF(AND(M329="",N329=""),"",MAX(IF(M329="",N329,M329),IF(N329="",M329,N329)))</x:f>
      </x:c>
    </x:row>
    <x:row r="330" ht="21" customHeight="1">
      <x:c r="A330" s="26"/>
      <x:c r="B330" s="23"/>
      <x:c r="C330" s="23"/>
      <x:c r="D330" s="28"/>
      <x:c r="E330" s="28"/>
      <x:c r="F330" s="23"/>
      <x:c r="G330" s="23"/>
      <x:c r="H330" s="23"/>
      <x:c r="I330" s="30"/>
      <x:c r="J330" s="23"/>
      <x:c r="K330" s="23"/>
      <x:c r="L330" s="23"/>
      <x:c r="M330" s="23" t="str">
        <x:f>IF(D330="","",VALUE(LEFT(D330,FIND("+",D330)-1))*1000+VALUE(MID(D330,FIND("+",D330)+1,3)))</x:f>
      </x:c>
      <x:c r="N330" s="23" t="str">
        <x:f>IF(E330="","",VALUE(LEFT(E330,FIND("+",E330)-1))*1000+VALUE(MID(E330,FIND("+",E330)+1,3)))</x:f>
      </x:c>
      <x:c r="O330" s="23" t="str">
        <x:f>IF(AND(M330="",N330=""),"",MIN(IF(M330="",N330,M330),IF(N330="",M330,N330)))</x:f>
      </x:c>
      <x:c r="P330" s="23" t="str">
        <x:f>IF(AND(M330="",N330=""),"",MAX(IF(M330="",N330,M330),IF(N330="",M330,N330)))</x:f>
      </x:c>
    </x:row>
    <x:row r="331" ht="21" customHeight="1">
      <x:c r="A331" s="26"/>
      <x:c r="B331" s="23"/>
      <x:c r="C331" s="23"/>
      <x:c r="D331" s="28"/>
      <x:c r="E331" s="28"/>
      <x:c r="F331" s="23"/>
      <x:c r="G331" s="23"/>
      <x:c r="H331" s="23"/>
      <x:c r="I331" s="30"/>
      <x:c r="J331" s="23"/>
      <x:c r="K331" s="23"/>
      <x:c r="L331" s="23"/>
      <x:c r="M331" s="23" t="str">
        <x:f>IF(D331="","",VALUE(LEFT(D331,FIND("+",D331)-1))*1000+VALUE(MID(D331,FIND("+",D331)+1,3)))</x:f>
      </x:c>
      <x:c r="N331" s="23" t="str">
        <x:f>IF(E331="","",VALUE(LEFT(E331,FIND("+",E331)-1))*1000+VALUE(MID(E331,FIND("+",E331)+1,3)))</x:f>
      </x:c>
      <x:c r="O331" s="23" t="str">
        <x:f>IF(AND(M331="",N331=""),"",MIN(IF(M331="",N331,M331),IF(N331="",M331,N331)))</x:f>
      </x:c>
      <x:c r="P331" s="23" t="str">
        <x:f>IF(AND(M331="",N331=""),"",MAX(IF(M331="",N331,M331),IF(N331="",M331,N331)))</x:f>
      </x:c>
    </x:row>
    <x:row r="332" ht="21" customHeight="1">
      <x:c r="A332" s="26"/>
      <x:c r="B332" s="23"/>
      <x:c r="C332" s="23"/>
      <x:c r="D332" s="28"/>
      <x:c r="E332" s="28"/>
      <x:c r="F332" s="23"/>
      <x:c r="G332" s="23"/>
      <x:c r="H332" s="23"/>
      <x:c r="I332" s="30"/>
      <x:c r="J332" s="23"/>
      <x:c r="K332" s="23"/>
      <x:c r="L332" s="23"/>
      <x:c r="M332" s="23" t="str">
        <x:f>IF(D332="","",VALUE(LEFT(D332,FIND("+",D332)-1))*1000+VALUE(MID(D332,FIND("+",D332)+1,3)))</x:f>
      </x:c>
      <x:c r="N332" s="23" t="str">
        <x:f>IF(E332="","",VALUE(LEFT(E332,FIND("+",E332)-1))*1000+VALUE(MID(E332,FIND("+",E332)+1,3)))</x:f>
      </x:c>
      <x:c r="O332" s="23" t="str">
        <x:f>IF(AND(M332="",N332=""),"",MIN(IF(M332="",N332,M332),IF(N332="",M332,N332)))</x:f>
      </x:c>
      <x:c r="P332" s="23" t="str">
        <x:f>IF(AND(M332="",N332=""),"",MAX(IF(M332="",N332,M332),IF(N332="",M332,N332)))</x:f>
      </x:c>
    </x:row>
    <x:row r="333" ht="21" customHeight="1">
      <x:c r="A333" s="26"/>
      <x:c r="B333" s="23"/>
      <x:c r="C333" s="23"/>
      <x:c r="D333" s="28"/>
      <x:c r="E333" s="28"/>
      <x:c r="F333" s="23"/>
      <x:c r="G333" s="23"/>
      <x:c r="H333" s="23"/>
      <x:c r="I333" s="30"/>
      <x:c r="J333" s="23"/>
      <x:c r="K333" s="23"/>
      <x:c r="L333" s="23"/>
      <x:c r="M333" s="23" t="str">
        <x:f>IF(D333="","",VALUE(LEFT(D333,FIND("+",D333)-1))*1000+VALUE(MID(D333,FIND("+",D333)+1,3)))</x:f>
      </x:c>
      <x:c r="N333" s="23" t="str">
        <x:f>IF(E333="","",VALUE(LEFT(E333,FIND("+",E333)-1))*1000+VALUE(MID(E333,FIND("+",E333)+1,3)))</x:f>
      </x:c>
      <x:c r="O333" s="23" t="str">
        <x:f>IF(AND(M333="",N333=""),"",MIN(IF(M333="",N333,M333),IF(N333="",M333,N333)))</x:f>
      </x:c>
      <x:c r="P333" s="23" t="str">
        <x:f>IF(AND(M333="",N333=""),"",MAX(IF(M333="",N333,M333),IF(N333="",M333,N333)))</x:f>
      </x:c>
    </x:row>
    <x:row r="334" ht="21" customHeight="1">
      <x:c r="A334" s="26"/>
      <x:c r="B334" s="23"/>
      <x:c r="C334" s="23"/>
      <x:c r="D334" s="28"/>
      <x:c r="E334" s="28"/>
      <x:c r="F334" s="23"/>
      <x:c r="G334" s="23"/>
      <x:c r="H334" s="23"/>
      <x:c r="I334" s="30"/>
      <x:c r="J334" s="23"/>
      <x:c r="K334" s="23"/>
      <x:c r="L334" s="23"/>
      <x:c r="M334" s="23" t="str">
        <x:f>IF(D334="","",VALUE(LEFT(D334,FIND("+",D334)-1))*1000+VALUE(MID(D334,FIND("+",D334)+1,3)))</x:f>
      </x:c>
      <x:c r="N334" s="23" t="str">
        <x:f>IF(E334="","",VALUE(LEFT(E334,FIND("+",E334)-1))*1000+VALUE(MID(E334,FIND("+",E334)+1,3)))</x:f>
      </x:c>
      <x:c r="O334" s="23" t="str">
        <x:f>IF(AND(M334="",N334=""),"",MIN(IF(M334="",N334,M334),IF(N334="",M334,N334)))</x:f>
      </x:c>
      <x:c r="P334" s="23" t="str">
        <x:f>IF(AND(M334="",N334=""),"",MAX(IF(M334="",N334,M334),IF(N334="",M334,N334)))</x:f>
      </x:c>
    </x:row>
    <x:row r="335" ht="21" customHeight="1">
      <x:c r="A335" s="26"/>
      <x:c r="B335" s="23"/>
      <x:c r="C335" s="23"/>
      <x:c r="D335" s="28"/>
      <x:c r="E335" s="28"/>
      <x:c r="F335" s="23"/>
      <x:c r="G335" s="23"/>
      <x:c r="H335" s="23"/>
      <x:c r="I335" s="30"/>
      <x:c r="J335" s="23"/>
      <x:c r="K335" s="23"/>
      <x:c r="L335" s="23"/>
      <x:c r="M335" s="23" t="str">
        <x:f>IF(D335="","",VALUE(LEFT(D335,FIND("+",D335)-1))*1000+VALUE(MID(D335,FIND("+",D335)+1,3)))</x:f>
      </x:c>
      <x:c r="N335" s="23" t="str">
        <x:f>IF(E335="","",VALUE(LEFT(E335,FIND("+",E335)-1))*1000+VALUE(MID(E335,FIND("+",E335)+1,3)))</x:f>
      </x:c>
      <x:c r="O335" s="23" t="str">
        <x:f>IF(AND(M335="",N335=""),"",MIN(IF(M335="",N335,M335),IF(N335="",M335,N335)))</x:f>
      </x:c>
      <x:c r="P335" s="23" t="str">
        <x:f>IF(AND(M335="",N335=""),"",MAX(IF(M335="",N335,M335),IF(N335="",M335,N335)))</x:f>
      </x:c>
    </x:row>
    <x:row r="336" ht="21" customHeight="1">
      <x:c r="A336" s="26"/>
      <x:c r="B336" s="23"/>
      <x:c r="C336" s="23"/>
      <x:c r="D336" s="28"/>
      <x:c r="E336" s="28"/>
      <x:c r="F336" s="23"/>
      <x:c r="G336" s="23"/>
      <x:c r="H336" s="23"/>
      <x:c r="I336" s="30"/>
      <x:c r="J336" s="23"/>
      <x:c r="K336" s="23"/>
      <x:c r="L336" s="23"/>
      <x:c r="M336" s="23" t="str">
        <x:f>IF(D336="","",VALUE(LEFT(D336,FIND("+",D336)-1))*1000+VALUE(MID(D336,FIND("+",D336)+1,3)))</x:f>
      </x:c>
      <x:c r="N336" s="23" t="str">
        <x:f>IF(E336="","",VALUE(LEFT(E336,FIND("+",E336)-1))*1000+VALUE(MID(E336,FIND("+",E336)+1,3)))</x:f>
      </x:c>
      <x:c r="O336" s="23" t="str">
        <x:f>IF(AND(M336="",N336=""),"",MIN(IF(M336="",N336,M336),IF(N336="",M336,N336)))</x:f>
      </x:c>
      <x:c r="P336" s="23" t="str">
        <x:f>IF(AND(M336="",N336=""),"",MAX(IF(M336="",N336,M336),IF(N336="",M336,N336)))</x:f>
      </x:c>
    </x:row>
    <x:row r="337" ht="21" customHeight="1">
      <x:c r="A337" s="26"/>
      <x:c r="B337" s="23"/>
      <x:c r="C337" s="23"/>
      <x:c r="D337" s="28"/>
      <x:c r="E337" s="28"/>
      <x:c r="F337" s="23"/>
      <x:c r="G337" s="23"/>
      <x:c r="H337" s="23"/>
      <x:c r="I337" s="30"/>
      <x:c r="J337" s="23"/>
      <x:c r="K337" s="23"/>
      <x:c r="L337" s="23"/>
      <x:c r="M337" s="23" t="str">
        <x:f>IF(D337="","",VALUE(LEFT(D337,FIND("+",D337)-1))*1000+VALUE(MID(D337,FIND("+",D337)+1,3)))</x:f>
      </x:c>
      <x:c r="N337" s="23" t="str">
        <x:f>IF(E337="","",VALUE(LEFT(E337,FIND("+",E337)-1))*1000+VALUE(MID(E337,FIND("+",E337)+1,3)))</x:f>
      </x:c>
      <x:c r="O337" s="23" t="str">
        <x:f>IF(AND(M337="",N337=""),"",MIN(IF(M337="",N337,M337),IF(N337="",M337,N337)))</x:f>
      </x:c>
      <x:c r="P337" s="23" t="str">
        <x:f>IF(AND(M337="",N337=""),"",MAX(IF(M337="",N337,M337),IF(N337="",M337,N337)))</x:f>
      </x:c>
    </x:row>
    <x:row r="338" ht="21" customHeight="1">
      <x:c r="A338" s="26"/>
      <x:c r="B338" s="23"/>
      <x:c r="C338" s="23"/>
      <x:c r="D338" s="28"/>
      <x:c r="E338" s="28"/>
      <x:c r="F338" s="23"/>
      <x:c r="G338" s="23"/>
      <x:c r="H338" s="23"/>
      <x:c r="I338" s="30"/>
      <x:c r="J338" s="23"/>
      <x:c r="K338" s="23"/>
      <x:c r="L338" s="23"/>
      <x:c r="M338" s="23" t="str">
        <x:f>IF(D338="","",VALUE(LEFT(D338,FIND("+",D338)-1))*1000+VALUE(MID(D338,FIND("+",D338)+1,3)))</x:f>
      </x:c>
      <x:c r="N338" s="23" t="str">
        <x:f>IF(E338="","",VALUE(LEFT(E338,FIND("+",E338)-1))*1000+VALUE(MID(E338,FIND("+",E338)+1,3)))</x:f>
      </x:c>
      <x:c r="O338" s="23" t="str">
        <x:f>IF(AND(M338="",N338=""),"",MIN(IF(M338="",N338,M338),IF(N338="",M338,N338)))</x:f>
      </x:c>
      <x:c r="P338" s="23" t="str">
        <x:f>IF(AND(M338="",N338=""),"",MAX(IF(M338="",N338,M338),IF(N338="",M338,N338)))</x:f>
      </x:c>
    </x:row>
    <x:row r="339" ht="21" customHeight="1">
      <x:c r="A339" s="26"/>
      <x:c r="B339" s="23"/>
      <x:c r="C339" s="23"/>
      <x:c r="D339" s="28"/>
      <x:c r="E339" s="28"/>
      <x:c r="F339" s="23"/>
      <x:c r="G339" s="23"/>
      <x:c r="H339" s="23"/>
      <x:c r="I339" s="30"/>
      <x:c r="J339" s="23"/>
      <x:c r="K339" s="23"/>
      <x:c r="L339" s="23"/>
      <x:c r="M339" s="23" t="str">
        <x:f>IF(D339="","",VALUE(LEFT(D339,FIND("+",D339)-1))*1000+VALUE(MID(D339,FIND("+",D339)+1,3)))</x:f>
      </x:c>
      <x:c r="N339" s="23" t="str">
        <x:f>IF(E339="","",VALUE(LEFT(E339,FIND("+",E339)-1))*1000+VALUE(MID(E339,FIND("+",E339)+1,3)))</x:f>
      </x:c>
      <x:c r="O339" s="23" t="str">
        <x:f>IF(AND(M339="",N339=""),"",MIN(IF(M339="",N339,M339),IF(N339="",M339,N339)))</x:f>
      </x:c>
      <x:c r="P339" s="23" t="str">
        <x:f>IF(AND(M339="",N339=""),"",MAX(IF(M339="",N339,M339),IF(N339="",M339,N339)))</x:f>
      </x:c>
    </x:row>
    <x:row r="340" ht="21" customHeight="1">
      <x:c r="A340" s="26"/>
      <x:c r="B340" s="23"/>
      <x:c r="C340" s="23"/>
      <x:c r="D340" s="28"/>
      <x:c r="E340" s="28"/>
      <x:c r="F340" s="23"/>
      <x:c r="G340" s="23"/>
      <x:c r="H340" s="23"/>
      <x:c r="I340" s="30"/>
      <x:c r="J340" s="23"/>
      <x:c r="K340" s="23"/>
      <x:c r="L340" s="23"/>
      <x:c r="M340" s="23" t="str">
        <x:f>IF(D340="","",VALUE(LEFT(D340,FIND("+",D340)-1))*1000+VALUE(MID(D340,FIND("+",D340)+1,3)))</x:f>
      </x:c>
      <x:c r="N340" s="23" t="str">
        <x:f>IF(E340="","",VALUE(LEFT(E340,FIND("+",E340)-1))*1000+VALUE(MID(E340,FIND("+",E340)+1,3)))</x:f>
      </x:c>
      <x:c r="O340" s="23" t="str">
        <x:f>IF(AND(M340="",N340=""),"",MIN(IF(M340="",N340,M340),IF(N340="",M340,N340)))</x:f>
      </x:c>
      <x:c r="P340" s="23" t="str">
        <x:f>IF(AND(M340="",N340=""),"",MAX(IF(M340="",N340,M340),IF(N340="",M340,N340)))</x:f>
      </x:c>
    </x:row>
    <x:row r="341" ht="21" customHeight="1">
      <x:c r="A341" s="26"/>
      <x:c r="B341" s="23"/>
      <x:c r="C341" s="23"/>
      <x:c r="D341" s="28"/>
      <x:c r="E341" s="28"/>
      <x:c r="F341" s="23"/>
      <x:c r="G341" s="23"/>
      <x:c r="H341" s="23"/>
      <x:c r="I341" s="30"/>
      <x:c r="J341" s="23"/>
      <x:c r="K341" s="23"/>
      <x:c r="L341" s="23"/>
      <x:c r="M341" s="23" t="str">
        <x:f>IF(D341="","",VALUE(LEFT(D341,FIND("+",D341)-1))*1000+VALUE(MID(D341,FIND("+",D341)+1,3)))</x:f>
      </x:c>
      <x:c r="N341" s="23" t="str">
        <x:f>IF(E341="","",VALUE(LEFT(E341,FIND("+",E341)-1))*1000+VALUE(MID(E341,FIND("+",E341)+1,3)))</x:f>
      </x:c>
      <x:c r="O341" s="23" t="str">
        <x:f>IF(AND(M341="",N341=""),"",MIN(IF(M341="",N341,M341),IF(N341="",M341,N341)))</x:f>
      </x:c>
      <x:c r="P341" s="23" t="str">
        <x:f>IF(AND(M341="",N341=""),"",MAX(IF(M341="",N341,M341),IF(N341="",M341,N341)))</x:f>
      </x:c>
    </x:row>
    <x:row r="342" ht="21" customHeight="1">
      <x:c r="A342" s="26"/>
      <x:c r="B342" s="23"/>
      <x:c r="C342" s="23"/>
      <x:c r="D342" s="28"/>
      <x:c r="E342" s="28"/>
      <x:c r="F342" s="23"/>
      <x:c r="G342" s="23"/>
      <x:c r="H342" s="23"/>
      <x:c r="I342" s="30"/>
      <x:c r="J342" s="23"/>
      <x:c r="K342" s="23"/>
      <x:c r="L342" s="23"/>
      <x:c r="M342" s="23" t="str">
        <x:f>IF(D342="","",VALUE(LEFT(D342,FIND("+",D342)-1))*1000+VALUE(MID(D342,FIND("+",D342)+1,3)))</x:f>
      </x:c>
      <x:c r="N342" s="23" t="str">
        <x:f>IF(E342="","",VALUE(LEFT(E342,FIND("+",E342)-1))*1000+VALUE(MID(E342,FIND("+",E342)+1,3)))</x:f>
      </x:c>
      <x:c r="O342" s="23" t="str">
        <x:f>IF(AND(M342="",N342=""),"",MIN(IF(M342="",N342,M342),IF(N342="",M342,N342)))</x:f>
      </x:c>
      <x:c r="P342" s="23" t="str">
        <x:f>IF(AND(M342="",N342=""),"",MAX(IF(M342="",N342,M342),IF(N342="",M342,N342)))</x:f>
      </x:c>
    </x:row>
    <x:row r="343" ht="21" customHeight="1">
      <x:c r="A343" s="26"/>
      <x:c r="B343" s="23"/>
      <x:c r="C343" s="23"/>
      <x:c r="D343" s="28"/>
      <x:c r="E343" s="28"/>
      <x:c r="F343" s="23"/>
      <x:c r="G343" s="23"/>
      <x:c r="H343" s="23"/>
      <x:c r="I343" s="30"/>
      <x:c r="J343" s="23"/>
      <x:c r="K343" s="23"/>
      <x:c r="L343" s="23"/>
      <x:c r="M343" s="23" t="str">
        <x:f>IF(D343="","",VALUE(LEFT(D343,FIND("+",D343)-1))*1000+VALUE(MID(D343,FIND("+",D343)+1,3)))</x:f>
      </x:c>
      <x:c r="N343" s="23" t="str">
        <x:f>IF(E343="","",VALUE(LEFT(E343,FIND("+",E343)-1))*1000+VALUE(MID(E343,FIND("+",E343)+1,3)))</x:f>
      </x:c>
      <x:c r="O343" s="23" t="str">
        <x:f>IF(AND(M343="",N343=""),"",MIN(IF(M343="",N343,M343),IF(N343="",M343,N343)))</x:f>
      </x:c>
      <x:c r="P343" s="23" t="str">
        <x:f>IF(AND(M343="",N343=""),"",MAX(IF(M343="",N343,M343),IF(N343="",M343,N343)))</x:f>
      </x:c>
    </x:row>
    <x:row r="344" ht="21" customHeight="1">
      <x:c r="A344" s="26"/>
      <x:c r="B344" s="23"/>
      <x:c r="C344" s="23"/>
      <x:c r="D344" s="28"/>
      <x:c r="E344" s="28"/>
      <x:c r="F344" s="23"/>
      <x:c r="G344" s="23"/>
      <x:c r="H344" s="23"/>
      <x:c r="I344" s="30"/>
      <x:c r="J344" s="23"/>
      <x:c r="K344" s="23"/>
      <x:c r="L344" s="23"/>
      <x:c r="M344" s="23" t="str">
        <x:f>IF(D344="","",VALUE(LEFT(D344,FIND("+",D344)-1))*1000+VALUE(MID(D344,FIND("+",D344)+1,3)))</x:f>
      </x:c>
      <x:c r="N344" s="23" t="str">
        <x:f>IF(E344="","",VALUE(LEFT(E344,FIND("+",E344)-1))*1000+VALUE(MID(E344,FIND("+",E344)+1,3)))</x:f>
      </x:c>
      <x:c r="O344" s="23" t="str">
        <x:f>IF(AND(M344="",N344=""),"",MIN(IF(M344="",N344,M344),IF(N344="",M344,N344)))</x:f>
      </x:c>
      <x:c r="P344" s="23" t="str">
        <x:f>IF(AND(M344="",N344=""),"",MAX(IF(M344="",N344,M344),IF(N344="",M344,N344)))</x:f>
      </x:c>
    </x:row>
    <x:row r="345" ht="21" customHeight="1">
      <x:c r="A345" s="26"/>
      <x:c r="B345" s="23"/>
      <x:c r="C345" s="23"/>
      <x:c r="D345" s="28"/>
      <x:c r="E345" s="28"/>
      <x:c r="F345" s="23"/>
      <x:c r="G345" s="23"/>
      <x:c r="H345" s="23"/>
      <x:c r="I345" s="30"/>
      <x:c r="J345" s="23"/>
      <x:c r="K345" s="23"/>
      <x:c r="L345" s="23"/>
      <x:c r="M345" s="23" t="str">
        <x:f>IF(D345="","",VALUE(LEFT(D345,FIND("+",D345)-1))*1000+VALUE(MID(D345,FIND("+",D345)+1,3)))</x:f>
      </x:c>
      <x:c r="N345" s="23" t="str">
        <x:f>IF(E345="","",VALUE(LEFT(E345,FIND("+",E345)-1))*1000+VALUE(MID(E345,FIND("+",E345)+1,3)))</x:f>
      </x:c>
      <x:c r="O345" s="23" t="str">
        <x:f>IF(AND(M345="",N345=""),"",MIN(IF(M345="",N345,M345),IF(N345="",M345,N345)))</x:f>
      </x:c>
      <x:c r="P345" s="23" t="str">
        <x:f>IF(AND(M345="",N345=""),"",MAX(IF(M345="",N345,M345),IF(N345="",M345,N345)))</x:f>
      </x:c>
    </x:row>
    <x:row r="346" ht="21" customHeight="1">
      <x:c r="A346" s="26"/>
      <x:c r="B346" s="23"/>
      <x:c r="C346" s="23"/>
      <x:c r="D346" s="28"/>
      <x:c r="E346" s="28"/>
      <x:c r="F346" s="23"/>
      <x:c r="G346" s="23"/>
      <x:c r="H346" s="23"/>
      <x:c r="I346" s="30"/>
      <x:c r="J346" s="23"/>
      <x:c r="K346" s="23"/>
      <x:c r="L346" s="23"/>
      <x:c r="M346" s="23" t="str">
        <x:f>IF(D346="","",VALUE(LEFT(D346,FIND("+",D346)-1))*1000+VALUE(MID(D346,FIND("+",D346)+1,3)))</x:f>
      </x:c>
      <x:c r="N346" s="23" t="str">
        <x:f>IF(E346="","",VALUE(LEFT(E346,FIND("+",E346)-1))*1000+VALUE(MID(E346,FIND("+",E346)+1,3)))</x:f>
      </x:c>
      <x:c r="O346" s="23" t="str">
        <x:f>IF(AND(M346="",N346=""),"",MIN(IF(M346="",N346,M346),IF(N346="",M346,N346)))</x:f>
      </x:c>
      <x:c r="P346" s="23" t="str">
        <x:f>IF(AND(M346="",N346=""),"",MAX(IF(M346="",N346,M346),IF(N346="",M346,N346)))</x:f>
      </x:c>
    </x:row>
    <x:row r="347" ht="21" customHeight="1">
      <x:c r="A347" s="26"/>
      <x:c r="B347" s="23"/>
      <x:c r="C347" s="23"/>
      <x:c r="D347" s="28"/>
      <x:c r="E347" s="28"/>
      <x:c r="F347" s="23"/>
      <x:c r="G347" s="23"/>
      <x:c r="H347" s="23"/>
      <x:c r="I347" s="30"/>
      <x:c r="J347" s="23"/>
      <x:c r="K347" s="23"/>
      <x:c r="L347" s="23"/>
      <x:c r="M347" s="23" t="str">
        <x:f>IF(D347="","",VALUE(LEFT(D347,FIND("+",D347)-1))*1000+VALUE(MID(D347,FIND("+",D347)+1,3)))</x:f>
      </x:c>
      <x:c r="N347" s="23" t="str">
        <x:f>IF(E347="","",VALUE(LEFT(E347,FIND("+",E347)-1))*1000+VALUE(MID(E347,FIND("+",E347)+1,3)))</x:f>
      </x:c>
      <x:c r="O347" s="23" t="str">
        <x:f>IF(AND(M347="",N347=""),"",MIN(IF(M347="",N347,M347),IF(N347="",M347,N347)))</x:f>
      </x:c>
      <x:c r="P347" s="23" t="str">
        <x:f>IF(AND(M347="",N347=""),"",MAX(IF(M347="",N347,M347),IF(N347="",M347,N347)))</x:f>
      </x:c>
    </x:row>
    <x:row r="348" ht="21" customHeight="1">
      <x:c r="A348" s="26"/>
      <x:c r="B348" s="23"/>
      <x:c r="C348" s="23"/>
      <x:c r="D348" s="28"/>
      <x:c r="E348" s="28"/>
      <x:c r="F348" s="23"/>
      <x:c r="G348" s="23"/>
      <x:c r="H348" s="23"/>
      <x:c r="I348" s="30"/>
      <x:c r="J348" s="23"/>
      <x:c r="K348" s="23"/>
      <x:c r="L348" s="23"/>
      <x:c r="M348" s="23" t="str">
        <x:f>IF(D348="","",VALUE(LEFT(D348,FIND("+",D348)-1))*1000+VALUE(MID(D348,FIND("+",D348)+1,3)))</x:f>
      </x:c>
      <x:c r="N348" s="23" t="str">
        <x:f>IF(E348="","",VALUE(LEFT(E348,FIND("+",E348)-1))*1000+VALUE(MID(E348,FIND("+",E348)+1,3)))</x:f>
      </x:c>
      <x:c r="O348" s="23" t="str">
        <x:f>IF(AND(M348="",N348=""),"",MIN(IF(M348="",N348,M348),IF(N348="",M348,N348)))</x:f>
      </x:c>
      <x:c r="P348" s="23" t="str">
        <x:f>IF(AND(M348="",N348=""),"",MAX(IF(M348="",N348,M348),IF(N348="",M348,N348)))</x:f>
      </x:c>
    </x:row>
    <x:row r="349" ht="21" customHeight="1">
      <x:c r="A349" s="26"/>
      <x:c r="B349" s="23"/>
      <x:c r="C349" s="23"/>
      <x:c r="D349" s="28"/>
      <x:c r="E349" s="28"/>
      <x:c r="F349" s="23"/>
      <x:c r="G349" s="23"/>
      <x:c r="H349" s="23"/>
      <x:c r="I349" s="30"/>
      <x:c r="J349" s="23"/>
      <x:c r="K349" s="23"/>
      <x:c r="L349" s="23"/>
      <x:c r="M349" s="23" t="str">
        <x:f>IF(D349="","",VALUE(LEFT(D349,FIND("+",D349)-1))*1000+VALUE(MID(D349,FIND("+",D349)+1,3)))</x:f>
      </x:c>
      <x:c r="N349" s="23" t="str">
        <x:f>IF(E349="","",VALUE(LEFT(E349,FIND("+",E349)-1))*1000+VALUE(MID(E349,FIND("+",E349)+1,3)))</x:f>
      </x:c>
      <x:c r="O349" s="23" t="str">
        <x:f>IF(AND(M349="",N349=""),"",MIN(IF(M349="",N349,M349),IF(N349="",M349,N349)))</x:f>
      </x:c>
      <x:c r="P349" s="23" t="str">
        <x:f>IF(AND(M349="",N349=""),"",MAX(IF(M349="",N349,M349),IF(N349="",M349,N349)))</x:f>
      </x:c>
    </x:row>
    <x:row r="350" ht="21" customHeight="1">
      <x:c r="A350" s="26"/>
      <x:c r="B350" s="23"/>
      <x:c r="C350" s="23"/>
      <x:c r="D350" s="28"/>
      <x:c r="E350" s="28"/>
      <x:c r="F350" s="23"/>
      <x:c r="G350" s="23"/>
      <x:c r="H350" s="23"/>
      <x:c r="I350" s="30"/>
      <x:c r="J350" s="23"/>
      <x:c r="K350" s="23"/>
      <x:c r="L350" s="23"/>
      <x:c r="M350" s="23" t="str">
        <x:f>IF(D350="","",VALUE(LEFT(D350,FIND("+",D350)-1))*1000+VALUE(MID(D350,FIND("+",D350)+1,3)))</x:f>
      </x:c>
      <x:c r="N350" s="23" t="str">
        <x:f>IF(E350="","",VALUE(LEFT(E350,FIND("+",E350)-1))*1000+VALUE(MID(E350,FIND("+",E350)+1,3)))</x:f>
      </x:c>
      <x:c r="O350" s="23" t="str">
        <x:f>IF(AND(M350="",N350=""),"",MIN(IF(M350="",N350,M350),IF(N350="",M350,N350)))</x:f>
      </x:c>
      <x:c r="P350" s="23" t="str">
        <x:f>IF(AND(M350="",N350=""),"",MAX(IF(M350="",N350,M350),IF(N350="",M350,N350)))</x:f>
      </x:c>
    </x:row>
    <x:row r="351" ht="21" customHeight="1">
      <x:c r="A351" s="26"/>
      <x:c r="B351" s="23"/>
      <x:c r="C351" s="23"/>
      <x:c r="D351" s="28"/>
      <x:c r="E351" s="28"/>
      <x:c r="F351" s="23"/>
      <x:c r="G351" s="23"/>
      <x:c r="H351" s="23"/>
      <x:c r="I351" s="30"/>
      <x:c r="J351" s="23"/>
      <x:c r="K351" s="23"/>
      <x:c r="L351" s="23"/>
      <x:c r="M351" s="23" t="str">
        <x:f>IF(D351="","",VALUE(LEFT(D351,FIND("+",D351)-1))*1000+VALUE(MID(D351,FIND("+",D351)+1,3)))</x:f>
      </x:c>
      <x:c r="N351" s="23" t="str">
        <x:f>IF(E351="","",VALUE(LEFT(E351,FIND("+",E351)-1))*1000+VALUE(MID(E351,FIND("+",E351)+1,3)))</x:f>
      </x:c>
      <x:c r="O351" s="23" t="str">
        <x:f>IF(AND(M351="",N351=""),"",MIN(IF(M351="",N351,M351),IF(N351="",M351,N351)))</x:f>
      </x:c>
      <x:c r="P351" s="23" t="str">
        <x:f>IF(AND(M351="",N351=""),"",MAX(IF(M351="",N351,M351),IF(N351="",M351,N351)))</x:f>
      </x:c>
    </x:row>
    <x:row r="352" ht="21" customHeight="1">
      <x:c r="A352" s="26"/>
      <x:c r="B352" s="23"/>
      <x:c r="C352" s="23"/>
      <x:c r="D352" s="28"/>
      <x:c r="E352" s="28"/>
      <x:c r="F352" s="23"/>
      <x:c r="G352" s="23"/>
      <x:c r="H352" s="23"/>
      <x:c r="I352" s="30"/>
      <x:c r="J352" s="23"/>
      <x:c r="K352" s="23"/>
      <x:c r="L352" s="23"/>
      <x:c r="M352" s="23" t="str">
        <x:f>IF(D352="","",VALUE(LEFT(D352,FIND("+",D352)-1))*1000+VALUE(MID(D352,FIND("+",D352)+1,3)))</x:f>
      </x:c>
      <x:c r="N352" s="23" t="str">
        <x:f>IF(E352="","",VALUE(LEFT(E352,FIND("+",E352)-1))*1000+VALUE(MID(E352,FIND("+",E352)+1,3)))</x:f>
      </x:c>
      <x:c r="O352" s="23" t="str">
        <x:f>IF(AND(M352="",N352=""),"",MIN(IF(M352="",N352,M352),IF(N352="",M352,N352)))</x:f>
      </x:c>
      <x:c r="P352" s="23" t="str">
        <x:f>IF(AND(M352="",N352=""),"",MAX(IF(M352="",N352,M352),IF(N352="",M352,N352)))</x:f>
      </x:c>
    </x:row>
    <x:row r="353" ht="21" customHeight="1">
      <x:c r="A353" s="26"/>
      <x:c r="B353" s="23"/>
      <x:c r="C353" s="23"/>
      <x:c r="D353" s="28"/>
      <x:c r="E353" s="28"/>
      <x:c r="F353" s="23"/>
      <x:c r="G353" s="23"/>
      <x:c r="H353" s="23"/>
      <x:c r="I353" s="30"/>
      <x:c r="J353" s="23"/>
      <x:c r="K353" s="23"/>
      <x:c r="L353" s="23"/>
      <x:c r="M353" s="23" t="str">
        <x:f>IF(D353="","",VALUE(LEFT(D353,FIND("+",D353)-1))*1000+VALUE(MID(D353,FIND("+",D353)+1,3)))</x:f>
      </x:c>
      <x:c r="N353" s="23" t="str">
        <x:f>IF(E353="","",VALUE(LEFT(E353,FIND("+",E353)-1))*1000+VALUE(MID(E353,FIND("+",E353)+1,3)))</x:f>
      </x:c>
      <x:c r="O353" s="23" t="str">
        <x:f>IF(AND(M353="",N353=""),"",MIN(IF(M353="",N353,M353),IF(N353="",M353,N353)))</x:f>
      </x:c>
      <x:c r="P353" s="23" t="str">
        <x:f>IF(AND(M353="",N353=""),"",MAX(IF(M353="",N353,M353),IF(N353="",M353,N353)))</x:f>
      </x:c>
    </x:row>
    <x:row r="354" ht="21" customHeight="1">
      <x:c r="A354" s="26"/>
      <x:c r="B354" s="23"/>
      <x:c r="C354" s="23"/>
      <x:c r="D354" s="28"/>
      <x:c r="E354" s="28"/>
      <x:c r="F354" s="23"/>
      <x:c r="G354" s="23"/>
      <x:c r="H354" s="23"/>
      <x:c r="I354" s="30"/>
      <x:c r="J354" s="23"/>
      <x:c r="K354" s="23"/>
      <x:c r="L354" s="23"/>
      <x:c r="M354" s="23" t="str">
        <x:f>IF(D354="","",VALUE(LEFT(D354,FIND("+",D354)-1))*1000+VALUE(MID(D354,FIND("+",D354)+1,3)))</x:f>
      </x:c>
      <x:c r="N354" s="23" t="str">
        <x:f>IF(E354="","",VALUE(LEFT(E354,FIND("+",E354)-1))*1000+VALUE(MID(E354,FIND("+",E354)+1,3)))</x:f>
      </x:c>
      <x:c r="O354" s="23" t="str">
        <x:f>IF(AND(M354="",N354=""),"",MIN(IF(M354="",N354,M354),IF(N354="",M354,N354)))</x:f>
      </x:c>
      <x:c r="P354" s="23" t="str">
        <x:f>IF(AND(M354="",N354=""),"",MAX(IF(M354="",N354,M354),IF(N354="",M354,N354)))</x:f>
      </x:c>
    </x:row>
    <x:row r="355" ht="21" customHeight="1">
      <x:c r="A355" s="26"/>
      <x:c r="B355" s="23"/>
      <x:c r="C355" s="23"/>
      <x:c r="D355" s="28"/>
      <x:c r="E355" s="28"/>
      <x:c r="F355" s="23"/>
      <x:c r="G355" s="23"/>
      <x:c r="H355" s="23"/>
      <x:c r="I355" s="30"/>
      <x:c r="J355" s="23"/>
      <x:c r="K355" s="23"/>
      <x:c r="L355" s="23"/>
      <x:c r="M355" s="23" t="str">
        <x:f>IF(D355="","",VALUE(LEFT(D355,FIND("+",D355)-1))*1000+VALUE(MID(D355,FIND("+",D355)+1,3)))</x:f>
      </x:c>
      <x:c r="N355" s="23" t="str">
        <x:f>IF(E355="","",VALUE(LEFT(E355,FIND("+",E355)-1))*1000+VALUE(MID(E355,FIND("+",E355)+1,3)))</x:f>
      </x:c>
      <x:c r="O355" s="23" t="str">
        <x:f>IF(AND(M355="",N355=""),"",MIN(IF(M355="",N355,M355),IF(N355="",M355,N355)))</x:f>
      </x:c>
      <x:c r="P355" s="23" t="str">
        <x:f>IF(AND(M355="",N355=""),"",MAX(IF(M355="",N355,M355),IF(N355="",M355,N355)))</x:f>
      </x:c>
    </x:row>
    <x:row r="356" ht="21" customHeight="1">
      <x:c r="A356" s="26"/>
      <x:c r="B356" s="23"/>
      <x:c r="C356" s="23"/>
      <x:c r="D356" s="28"/>
      <x:c r="E356" s="28"/>
      <x:c r="F356" s="23"/>
      <x:c r="G356" s="23"/>
      <x:c r="H356" s="23"/>
      <x:c r="I356" s="30"/>
      <x:c r="J356" s="23"/>
      <x:c r="K356" s="23"/>
      <x:c r="L356" s="23"/>
      <x:c r="M356" s="23" t="str">
        <x:f>IF(D356="","",VALUE(LEFT(D356,FIND("+",D356)-1))*1000+VALUE(MID(D356,FIND("+",D356)+1,3)))</x:f>
      </x:c>
      <x:c r="N356" s="23" t="str">
        <x:f>IF(E356="","",VALUE(LEFT(E356,FIND("+",E356)-1))*1000+VALUE(MID(E356,FIND("+",E356)+1,3)))</x:f>
      </x:c>
      <x:c r="O356" s="23" t="str">
        <x:f>IF(AND(M356="",N356=""),"",MIN(IF(M356="",N356,M356),IF(N356="",M356,N356)))</x:f>
      </x:c>
      <x:c r="P356" s="23" t="str">
        <x:f>IF(AND(M356="",N356=""),"",MAX(IF(M356="",N356,M356),IF(N356="",M356,N356)))</x:f>
      </x:c>
    </x:row>
    <x:row r="357" ht="21" customHeight="1">
      <x:c r="A357" s="26"/>
      <x:c r="B357" s="23"/>
      <x:c r="C357" s="23"/>
      <x:c r="D357" s="28"/>
      <x:c r="E357" s="28"/>
      <x:c r="F357" s="23"/>
      <x:c r="G357" s="23"/>
      <x:c r="H357" s="23"/>
      <x:c r="I357" s="30"/>
      <x:c r="J357" s="23"/>
      <x:c r="K357" s="23"/>
      <x:c r="L357" s="23"/>
      <x:c r="M357" s="23" t="str">
        <x:f>IF(D357="","",VALUE(LEFT(D357,FIND("+",D357)-1))*1000+VALUE(MID(D357,FIND("+",D357)+1,3)))</x:f>
      </x:c>
      <x:c r="N357" s="23" t="str">
        <x:f>IF(E357="","",VALUE(LEFT(E357,FIND("+",E357)-1))*1000+VALUE(MID(E357,FIND("+",E357)+1,3)))</x:f>
      </x:c>
      <x:c r="O357" s="23" t="str">
        <x:f>IF(AND(M357="",N357=""),"",MIN(IF(M357="",N357,M357),IF(N357="",M357,N357)))</x:f>
      </x:c>
      <x:c r="P357" s="23" t="str">
        <x:f>IF(AND(M357="",N357=""),"",MAX(IF(M357="",N357,M357),IF(N357="",M357,N357)))</x:f>
      </x:c>
    </x:row>
    <x:row r="358" ht="21" customHeight="1">
      <x:c r="A358" s="26"/>
      <x:c r="B358" s="23"/>
      <x:c r="C358" s="23"/>
      <x:c r="D358" s="28"/>
      <x:c r="E358" s="28"/>
      <x:c r="F358" s="23"/>
      <x:c r="G358" s="23"/>
      <x:c r="H358" s="23"/>
      <x:c r="I358" s="30"/>
      <x:c r="J358" s="23"/>
      <x:c r="K358" s="23"/>
      <x:c r="L358" s="23"/>
      <x:c r="M358" s="23" t="str">
        <x:f>IF(D358="","",VALUE(LEFT(D358,FIND("+",D358)-1))*1000+VALUE(MID(D358,FIND("+",D358)+1,3)))</x:f>
      </x:c>
      <x:c r="N358" s="23" t="str">
        <x:f>IF(E358="","",VALUE(LEFT(E358,FIND("+",E358)-1))*1000+VALUE(MID(E358,FIND("+",E358)+1,3)))</x:f>
      </x:c>
      <x:c r="O358" s="23" t="str">
        <x:f>IF(AND(M358="",N358=""),"",MIN(IF(M358="",N358,M358),IF(N358="",M358,N358)))</x:f>
      </x:c>
      <x:c r="P358" s="23" t="str">
        <x:f>IF(AND(M358="",N358=""),"",MAX(IF(M358="",N358,M358),IF(N358="",M358,N358)))</x:f>
      </x:c>
    </x:row>
    <x:row r="359" ht="21" customHeight="1">
      <x:c r="A359" s="26"/>
      <x:c r="B359" s="23"/>
      <x:c r="C359" s="23"/>
      <x:c r="D359" s="28"/>
      <x:c r="E359" s="28"/>
      <x:c r="F359" s="23"/>
      <x:c r="G359" s="23"/>
      <x:c r="H359" s="23"/>
      <x:c r="I359" s="30"/>
      <x:c r="J359" s="23"/>
      <x:c r="K359" s="23"/>
      <x:c r="L359" s="23"/>
      <x:c r="M359" s="23" t="str">
        <x:f>IF(D359="","",VALUE(LEFT(D359,FIND("+",D359)-1))*1000+VALUE(MID(D359,FIND("+",D359)+1,3)))</x:f>
      </x:c>
      <x:c r="N359" s="23" t="str">
        <x:f>IF(E359="","",VALUE(LEFT(E359,FIND("+",E359)-1))*1000+VALUE(MID(E359,FIND("+",E359)+1,3)))</x:f>
      </x:c>
      <x:c r="O359" s="23" t="str">
        <x:f>IF(AND(M359="",N359=""),"",MIN(IF(M359="",N359,M359),IF(N359="",M359,N359)))</x:f>
      </x:c>
      <x:c r="P359" s="23" t="str">
        <x:f>IF(AND(M359="",N359=""),"",MAX(IF(M359="",N359,M359),IF(N359="",M359,N359)))</x:f>
      </x:c>
    </x:row>
    <x:row r="360" ht="21" customHeight="1">
      <x:c r="A360" s="26"/>
      <x:c r="B360" s="23"/>
      <x:c r="C360" s="23"/>
      <x:c r="D360" s="28"/>
      <x:c r="E360" s="28"/>
      <x:c r="F360" s="23"/>
      <x:c r="G360" s="23"/>
      <x:c r="H360" s="23"/>
      <x:c r="I360" s="30"/>
      <x:c r="J360" s="23"/>
      <x:c r="K360" s="23"/>
      <x:c r="L360" s="23"/>
      <x:c r="M360" s="23" t="str">
        <x:f>IF(D360="","",VALUE(LEFT(D360,FIND("+",D360)-1))*1000+VALUE(MID(D360,FIND("+",D360)+1,3)))</x:f>
      </x:c>
      <x:c r="N360" s="23" t="str">
        <x:f>IF(E360="","",VALUE(LEFT(E360,FIND("+",E360)-1))*1000+VALUE(MID(E360,FIND("+",E360)+1,3)))</x:f>
      </x:c>
      <x:c r="O360" s="23" t="str">
        <x:f>IF(AND(M360="",N360=""),"",MIN(IF(M360="",N360,M360),IF(N360="",M360,N360)))</x:f>
      </x:c>
      <x:c r="P360" s="23" t="str">
        <x:f>IF(AND(M360="",N360=""),"",MAX(IF(M360="",N360,M360),IF(N360="",M360,N360)))</x:f>
      </x:c>
    </x:row>
    <x:row r="361" ht="21" customHeight="1">
      <x:c r="A361" s="26"/>
      <x:c r="B361" s="23"/>
      <x:c r="C361" s="23"/>
      <x:c r="D361" s="28"/>
      <x:c r="E361" s="28"/>
      <x:c r="F361" s="23"/>
      <x:c r="G361" s="23"/>
      <x:c r="H361" s="23"/>
      <x:c r="I361" s="30"/>
      <x:c r="J361" s="23"/>
      <x:c r="K361" s="23"/>
      <x:c r="L361" s="23"/>
      <x:c r="M361" s="23" t="str">
        <x:f>IF(D361="","",VALUE(LEFT(D361,FIND("+",D361)-1))*1000+VALUE(MID(D361,FIND("+",D361)+1,3)))</x:f>
      </x:c>
      <x:c r="N361" s="23" t="str">
        <x:f>IF(E361="","",VALUE(LEFT(E361,FIND("+",E361)-1))*1000+VALUE(MID(E361,FIND("+",E361)+1,3)))</x:f>
      </x:c>
      <x:c r="O361" s="23" t="str">
        <x:f>IF(AND(M361="",N361=""),"",MIN(IF(M361="",N361,M361),IF(N361="",M361,N361)))</x:f>
      </x:c>
      <x:c r="P361" s="23" t="str">
        <x:f>IF(AND(M361="",N361=""),"",MAX(IF(M361="",N361,M361),IF(N361="",M361,N361)))</x:f>
      </x:c>
    </x:row>
    <x:row r="362" ht="21" customHeight="1">
      <x:c r="A362" s="26"/>
      <x:c r="B362" s="23"/>
      <x:c r="C362" s="23"/>
      <x:c r="D362" s="28"/>
      <x:c r="E362" s="28"/>
      <x:c r="F362" s="23"/>
      <x:c r="G362" s="23"/>
      <x:c r="H362" s="23"/>
      <x:c r="I362" s="30"/>
      <x:c r="J362" s="23"/>
      <x:c r="K362" s="23"/>
      <x:c r="L362" s="23"/>
      <x:c r="M362" s="23" t="str">
        <x:f>IF(D362="","",VALUE(LEFT(D362,FIND("+",D362)-1))*1000+VALUE(MID(D362,FIND("+",D362)+1,3)))</x:f>
      </x:c>
      <x:c r="N362" s="23" t="str">
        <x:f>IF(E362="","",VALUE(LEFT(E362,FIND("+",E362)-1))*1000+VALUE(MID(E362,FIND("+",E362)+1,3)))</x:f>
      </x:c>
      <x:c r="O362" s="23" t="str">
        <x:f>IF(AND(M362="",N362=""),"",MIN(IF(M362="",N362,M362),IF(N362="",M362,N362)))</x:f>
      </x:c>
      <x:c r="P362" s="23" t="str">
        <x:f>IF(AND(M362="",N362=""),"",MAX(IF(M362="",N362,M362),IF(N362="",M362,N362)))</x:f>
      </x:c>
    </x:row>
    <x:row r="363" ht="21" customHeight="1">
      <x:c r="A363" s="26"/>
      <x:c r="B363" s="23"/>
      <x:c r="C363" s="23"/>
      <x:c r="D363" s="28"/>
      <x:c r="E363" s="28"/>
      <x:c r="F363" s="23"/>
      <x:c r="G363" s="23"/>
      <x:c r="H363" s="23"/>
      <x:c r="I363" s="30"/>
      <x:c r="J363" s="23"/>
      <x:c r="K363" s="23"/>
      <x:c r="L363" s="23"/>
      <x:c r="M363" s="23" t="str">
        <x:f>IF(D363="","",VALUE(LEFT(D363,FIND("+",D363)-1))*1000+VALUE(MID(D363,FIND("+",D363)+1,3)))</x:f>
      </x:c>
      <x:c r="N363" s="23" t="str">
        <x:f>IF(E363="","",VALUE(LEFT(E363,FIND("+",E363)-1))*1000+VALUE(MID(E363,FIND("+",E363)+1,3)))</x:f>
      </x:c>
      <x:c r="O363" s="23" t="str">
        <x:f>IF(AND(M363="",N363=""),"",MIN(IF(M363="",N363,M363),IF(N363="",M363,N363)))</x:f>
      </x:c>
      <x:c r="P363" s="23" t="str">
        <x:f>IF(AND(M363="",N363=""),"",MAX(IF(M363="",N363,M363),IF(N363="",M363,N363)))</x:f>
      </x:c>
    </x:row>
    <x:row r="364" ht="21" customHeight="1">
      <x:c r="A364" s="26"/>
      <x:c r="B364" s="23"/>
      <x:c r="C364" s="23"/>
      <x:c r="D364" s="28"/>
      <x:c r="E364" s="28"/>
      <x:c r="F364" s="23"/>
      <x:c r="G364" s="23"/>
      <x:c r="H364" s="23"/>
      <x:c r="I364" s="30"/>
      <x:c r="J364" s="23"/>
      <x:c r="K364" s="23"/>
      <x:c r="L364" s="23"/>
      <x:c r="M364" s="23" t="str">
        <x:f>IF(D364="","",VALUE(LEFT(D364,FIND("+",D364)-1))*1000+VALUE(MID(D364,FIND("+",D364)+1,3)))</x:f>
      </x:c>
      <x:c r="N364" s="23" t="str">
        <x:f>IF(E364="","",VALUE(LEFT(E364,FIND("+",E364)-1))*1000+VALUE(MID(E364,FIND("+",E364)+1,3)))</x:f>
      </x:c>
      <x:c r="O364" s="23" t="str">
        <x:f>IF(AND(M364="",N364=""),"",MIN(IF(M364="",N364,M364),IF(N364="",M364,N364)))</x:f>
      </x:c>
      <x:c r="P364" s="23" t="str">
        <x:f>IF(AND(M364="",N364=""),"",MAX(IF(M364="",N364,M364),IF(N364="",M364,N364)))</x:f>
      </x:c>
    </x:row>
    <x:row r="365" ht="21" customHeight="1">
      <x:c r="A365" s="26"/>
      <x:c r="B365" s="23"/>
      <x:c r="C365" s="23"/>
      <x:c r="D365" s="28"/>
      <x:c r="E365" s="28"/>
      <x:c r="F365" s="23"/>
      <x:c r="G365" s="23"/>
      <x:c r="H365" s="23"/>
      <x:c r="I365" s="30"/>
      <x:c r="J365" s="23"/>
      <x:c r="K365" s="23"/>
      <x:c r="L365" s="23"/>
      <x:c r="M365" s="23" t="str">
        <x:f>IF(D365="","",VALUE(LEFT(D365,FIND("+",D365)-1))*1000+VALUE(MID(D365,FIND("+",D365)+1,3)))</x:f>
      </x:c>
      <x:c r="N365" s="23" t="str">
        <x:f>IF(E365="","",VALUE(LEFT(E365,FIND("+",E365)-1))*1000+VALUE(MID(E365,FIND("+",E365)+1,3)))</x:f>
      </x:c>
      <x:c r="O365" s="23" t="str">
        <x:f>IF(AND(M365="",N365=""),"",MIN(IF(M365="",N365,M365),IF(N365="",M365,N365)))</x:f>
      </x:c>
      <x:c r="P365" s="23" t="str">
        <x:f>IF(AND(M365="",N365=""),"",MAX(IF(M365="",N365,M365),IF(N365="",M365,N365)))</x:f>
      </x:c>
    </x:row>
    <x:row r="366" ht="21" customHeight="1">
      <x:c r="A366" s="26"/>
      <x:c r="B366" s="23"/>
      <x:c r="C366" s="23"/>
      <x:c r="D366" s="28"/>
      <x:c r="E366" s="28"/>
      <x:c r="F366" s="23"/>
      <x:c r="G366" s="23"/>
      <x:c r="H366" s="23"/>
      <x:c r="I366" s="30"/>
      <x:c r="J366" s="23"/>
      <x:c r="K366" s="23"/>
      <x:c r="L366" s="23"/>
      <x:c r="M366" s="23" t="str">
        <x:f>IF(D366="","",VALUE(LEFT(D366,FIND("+",D366)-1))*1000+VALUE(MID(D366,FIND("+",D366)+1,3)))</x:f>
      </x:c>
      <x:c r="N366" s="23" t="str">
        <x:f>IF(E366="","",VALUE(LEFT(E366,FIND("+",E366)-1))*1000+VALUE(MID(E366,FIND("+",E366)+1,3)))</x:f>
      </x:c>
      <x:c r="O366" s="23" t="str">
        <x:f>IF(AND(M366="",N366=""),"",MIN(IF(M366="",N366,M366),IF(N366="",M366,N366)))</x:f>
      </x:c>
      <x:c r="P366" s="23" t="str">
        <x:f>IF(AND(M366="",N366=""),"",MAX(IF(M366="",N366,M366),IF(N366="",M366,N366)))</x:f>
      </x:c>
    </x:row>
    <x:row r="367" ht="21" customHeight="1">
      <x:c r="A367" s="26"/>
      <x:c r="B367" s="23"/>
      <x:c r="C367" s="23"/>
      <x:c r="D367" s="28"/>
      <x:c r="E367" s="28"/>
      <x:c r="F367" s="23"/>
      <x:c r="G367" s="23"/>
      <x:c r="H367" s="23"/>
      <x:c r="I367" s="30"/>
      <x:c r="J367" s="23"/>
      <x:c r="K367" s="23"/>
      <x:c r="L367" s="23"/>
      <x:c r="M367" s="23" t="str">
        <x:f>IF(D367="","",VALUE(LEFT(D367,FIND("+",D367)-1))*1000+VALUE(MID(D367,FIND("+",D367)+1,3)))</x:f>
      </x:c>
      <x:c r="N367" s="23" t="str">
        <x:f>IF(E367="","",VALUE(LEFT(E367,FIND("+",E367)-1))*1000+VALUE(MID(E367,FIND("+",E367)+1,3)))</x:f>
      </x:c>
      <x:c r="O367" s="23" t="str">
        <x:f>IF(AND(M367="",N367=""),"",MIN(IF(M367="",N367,M367),IF(N367="",M367,N367)))</x:f>
      </x:c>
      <x:c r="P367" s="23" t="str">
        <x:f>IF(AND(M367="",N367=""),"",MAX(IF(M367="",N367,M367),IF(N367="",M367,N367)))</x:f>
      </x:c>
    </x:row>
    <x:row r="368" ht="21" customHeight="1">
      <x:c r="A368" s="26"/>
      <x:c r="B368" s="23"/>
      <x:c r="C368" s="23"/>
      <x:c r="D368" s="28"/>
      <x:c r="E368" s="28"/>
      <x:c r="F368" s="23"/>
      <x:c r="G368" s="23"/>
      <x:c r="H368" s="23"/>
      <x:c r="I368" s="30"/>
      <x:c r="J368" s="23"/>
      <x:c r="K368" s="23"/>
      <x:c r="L368" s="23"/>
      <x:c r="M368" s="23" t="str">
        <x:f>IF(D368="","",VALUE(LEFT(D368,FIND("+",D368)-1))*1000+VALUE(MID(D368,FIND("+",D368)+1,3)))</x:f>
      </x:c>
      <x:c r="N368" s="23" t="str">
        <x:f>IF(E368="","",VALUE(LEFT(E368,FIND("+",E368)-1))*1000+VALUE(MID(E368,FIND("+",E368)+1,3)))</x:f>
      </x:c>
      <x:c r="O368" s="23" t="str">
        <x:f>IF(AND(M368="",N368=""),"",MIN(IF(M368="",N368,M368),IF(N368="",M368,N368)))</x:f>
      </x:c>
      <x:c r="P368" s="23" t="str">
        <x:f>IF(AND(M368="",N368=""),"",MAX(IF(M368="",N368,M368),IF(N368="",M368,N368)))</x:f>
      </x:c>
    </x:row>
    <x:row r="369" ht="21" customHeight="1">
      <x:c r="A369" s="26"/>
      <x:c r="B369" s="23"/>
      <x:c r="C369" s="23"/>
      <x:c r="D369" s="28"/>
      <x:c r="E369" s="28"/>
      <x:c r="F369" s="23"/>
      <x:c r="G369" s="23"/>
      <x:c r="H369" s="23"/>
      <x:c r="I369" s="30"/>
      <x:c r="J369" s="23"/>
      <x:c r="K369" s="23"/>
      <x:c r="L369" s="23"/>
      <x:c r="M369" s="23" t="str">
        <x:f>IF(D369="","",VALUE(LEFT(D369,FIND("+",D369)-1))*1000+VALUE(MID(D369,FIND("+",D369)+1,3)))</x:f>
      </x:c>
      <x:c r="N369" s="23" t="str">
        <x:f>IF(E369="","",VALUE(LEFT(E369,FIND("+",E369)-1))*1000+VALUE(MID(E369,FIND("+",E369)+1,3)))</x:f>
      </x:c>
      <x:c r="O369" s="23" t="str">
        <x:f>IF(AND(M369="",N369=""),"",MIN(IF(M369="",N369,M369),IF(N369="",M369,N369)))</x:f>
      </x:c>
      <x:c r="P369" s="23" t="str">
        <x:f>IF(AND(M369="",N369=""),"",MAX(IF(M369="",N369,M369),IF(N369="",M369,N369)))</x:f>
      </x:c>
    </x:row>
    <x:row r="370" ht="21" customHeight="1">
      <x:c r="A370" s="26"/>
      <x:c r="B370" s="23"/>
      <x:c r="C370" s="23"/>
      <x:c r="D370" s="28"/>
      <x:c r="E370" s="28"/>
      <x:c r="F370" s="23"/>
      <x:c r="G370" s="23"/>
      <x:c r="H370" s="23"/>
      <x:c r="I370" s="30"/>
      <x:c r="J370" s="23"/>
      <x:c r="K370" s="23"/>
      <x:c r="L370" s="23"/>
      <x:c r="M370" s="23" t="str">
        <x:f>IF(D370="","",VALUE(LEFT(D370,FIND("+",D370)-1))*1000+VALUE(MID(D370,FIND("+",D370)+1,3)))</x:f>
      </x:c>
      <x:c r="N370" s="23" t="str">
        <x:f>IF(E370="","",VALUE(LEFT(E370,FIND("+",E370)-1))*1000+VALUE(MID(E370,FIND("+",E370)+1,3)))</x:f>
      </x:c>
      <x:c r="O370" s="23" t="str">
        <x:f>IF(AND(M370="",N370=""),"",MIN(IF(M370="",N370,M370),IF(N370="",M370,N370)))</x:f>
      </x:c>
      <x:c r="P370" s="23" t="str">
        <x:f>IF(AND(M370="",N370=""),"",MAX(IF(M370="",N370,M370),IF(N370="",M370,N370)))</x:f>
      </x:c>
    </x:row>
    <x:row r="371" ht="21" customHeight="1">
      <x:c r="A371" s="26"/>
      <x:c r="B371" s="23"/>
      <x:c r="C371" s="23"/>
      <x:c r="D371" s="28"/>
      <x:c r="E371" s="28"/>
      <x:c r="F371" s="23"/>
      <x:c r="G371" s="23"/>
      <x:c r="H371" s="23"/>
      <x:c r="I371" s="30"/>
      <x:c r="J371" s="23"/>
      <x:c r="K371" s="23"/>
      <x:c r="L371" s="23"/>
      <x:c r="M371" s="23" t="str">
        <x:f>IF(D371="","",VALUE(LEFT(D371,FIND("+",D371)-1))*1000+VALUE(MID(D371,FIND("+",D371)+1,3)))</x:f>
      </x:c>
      <x:c r="N371" s="23" t="str">
        <x:f>IF(E371="","",VALUE(LEFT(E371,FIND("+",E371)-1))*1000+VALUE(MID(E371,FIND("+",E371)+1,3)))</x:f>
      </x:c>
      <x:c r="O371" s="23" t="str">
        <x:f>IF(AND(M371="",N371=""),"",MIN(IF(M371="",N371,M371),IF(N371="",M371,N371)))</x:f>
      </x:c>
      <x:c r="P371" s="23" t="str">
        <x:f>IF(AND(M371="",N371=""),"",MAX(IF(M371="",N371,M371),IF(N371="",M371,N371)))</x:f>
      </x:c>
    </x:row>
    <x:row r="372" ht="21" customHeight="1">
      <x:c r="A372" s="26"/>
      <x:c r="B372" s="23"/>
      <x:c r="C372" s="23"/>
      <x:c r="D372" s="28"/>
      <x:c r="E372" s="28"/>
      <x:c r="F372" s="23"/>
      <x:c r="G372" s="23"/>
      <x:c r="H372" s="23"/>
      <x:c r="I372" s="30"/>
      <x:c r="J372" s="23"/>
      <x:c r="K372" s="23"/>
      <x:c r="L372" s="23"/>
      <x:c r="M372" s="23" t="str">
        <x:f>IF(D372="","",VALUE(LEFT(D372,FIND("+",D372)-1))*1000+VALUE(MID(D372,FIND("+",D372)+1,3)))</x:f>
      </x:c>
      <x:c r="N372" s="23" t="str">
        <x:f>IF(E372="","",VALUE(LEFT(E372,FIND("+",E372)-1))*1000+VALUE(MID(E372,FIND("+",E372)+1,3)))</x:f>
      </x:c>
      <x:c r="O372" s="23" t="str">
        <x:f>IF(AND(M372="",N372=""),"",MIN(IF(M372="",N372,M372),IF(N372="",M372,N372)))</x:f>
      </x:c>
      <x:c r="P372" s="23" t="str">
        <x:f>IF(AND(M372="",N372=""),"",MAX(IF(M372="",N372,M372),IF(N372="",M372,N372)))</x:f>
      </x:c>
    </x:row>
    <x:row r="373" ht="21" customHeight="1">
      <x:c r="A373" s="26"/>
      <x:c r="B373" s="23"/>
      <x:c r="C373" s="23"/>
      <x:c r="D373" s="28"/>
      <x:c r="E373" s="28"/>
      <x:c r="F373" s="23"/>
      <x:c r="G373" s="23"/>
      <x:c r="H373" s="23"/>
      <x:c r="I373" s="30"/>
      <x:c r="J373" s="23"/>
      <x:c r="K373" s="23"/>
      <x:c r="L373" s="23"/>
      <x:c r="M373" s="23" t="str">
        <x:f>IF(D373="","",VALUE(LEFT(D373,FIND("+",D373)-1))*1000+VALUE(MID(D373,FIND("+",D373)+1,3)))</x:f>
      </x:c>
      <x:c r="N373" s="23" t="str">
        <x:f>IF(E373="","",VALUE(LEFT(E373,FIND("+",E373)-1))*1000+VALUE(MID(E373,FIND("+",E373)+1,3)))</x:f>
      </x:c>
      <x:c r="O373" s="23" t="str">
        <x:f>IF(AND(M373="",N373=""),"",MIN(IF(M373="",N373,M373),IF(N373="",M373,N373)))</x:f>
      </x:c>
      <x:c r="P373" s="23" t="str">
        <x:f>IF(AND(M373="",N373=""),"",MAX(IF(M373="",N373,M373),IF(N373="",M373,N373)))</x:f>
      </x:c>
    </x:row>
    <x:row r="374" ht="21" customHeight="1">
      <x:c r="A374" s="26"/>
      <x:c r="B374" s="23"/>
      <x:c r="C374" s="23"/>
      <x:c r="D374" s="28"/>
      <x:c r="E374" s="28"/>
      <x:c r="F374" s="23"/>
      <x:c r="G374" s="23"/>
      <x:c r="H374" s="23"/>
      <x:c r="I374" s="30"/>
      <x:c r="J374" s="23"/>
      <x:c r="K374" s="23"/>
      <x:c r="L374" s="23"/>
      <x:c r="M374" s="23" t="str">
        <x:f>IF(D374="","",VALUE(LEFT(D374,FIND("+",D374)-1))*1000+VALUE(MID(D374,FIND("+",D374)+1,3)))</x:f>
      </x:c>
      <x:c r="N374" s="23" t="str">
        <x:f>IF(E374="","",VALUE(LEFT(E374,FIND("+",E374)-1))*1000+VALUE(MID(E374,FIND("+",E374)+1,3)))</x:f>
      </x:c>
      <x:c r="O374" s="23" t="str">
        <x:f>IF(AND(M374="",N374=""),"",MIN(IF(M374="",N374,M374),IF(N374="",M374,N374)))</x:f>
      </x:c>
      <x:c r="P374" s="23" t="str">
        <x:f>IF(AND(M374="",N374=""),"",MAX(IF(M374="",N374,M374),IF(N374="",M374,N374)))</x:f>
      </x:c>
    </x:row>
    <x:row r="375" ht="21" customHeight="1">
      <x:c r="A375" s="26"/>
      <x:c r="B375" s="23"/>
      <x:c r="C375" s="23"/>
      <x:c r="D375" s="28"/>
      <x:c r="E375" s="28"/>
      <x:c r="F375" s="23"/>
      <x:c r="G375" s="23"/>
      <x:c r="H375" s="23"/>
      <x:c r="I375" s="30"/>
      <x:c r="J375" s="23"/>
      <x:c r="K375" s="23"/>
      <x:c r="L375" s="23"/>
      <x:c r="M375" s="23" t="str">
        <x:f>IF(D375="","",VALUE(LEFT(D375,FIND("+",D375)-1))*1000+VALUE(MID(D375,FIND("+",D375)+1,3)))</x:f>
      </x:c>
      <x:c r="N375" s="23" t="str">
        <x:f>IF(E375="","",VALUE(LEFT(E375,FIND("+",E375)-1))*1000+VALUE(MID(E375,FIND("+",E375)+1,3)))</x:f>
      </x:c>
      <x:c r="O375" s="23" t="str">
        <x:f>IF(AND(M375="",N375=""),"",MIN(IF(M375="",N375,M375),IF(N375="",M375,N375)))</x:f>
      </x:c>
      <x:c r="P375" s="23" t="str">
        <x:f>IF(AND(M375="",N375=""),"",MAX(IF(M375="",N375,M375),IF(N375="",M375,N375)))</x:f>
      </x:c>
    </x:row>
    <x:row r="376" ht="21" customHeight="1">
      <x:c r="A376" s="26"/>
      <x:c r="B376" s="23"/>
      <x:c r="C376" s="23"/>
      <x:c r="D376" s="28"/>
      <x:c r="E376" s="28"/>
      <x:c r="F376" s="23"/>
      <x:c r="G376" s="23"/>
      <x:c r="H376" s="23"/>
      <x:c r="I376" s="30"/>
      <x:c r="J376" s="23"/>
      <x:c r="K376" s="23"/>
      <x:c r="L376" s="23"/>
      <x:c r="M376" s="23" t="str">
        <x:f>IF(D376="","",VALUE(LEFT(D376,FIND("+",D376)-1))*1000+VALUE(MID(D376,FIND("+",D376)+1,3)))</x:f>
      </x:c>
      <x:c r="N376" s="23" t="str">
        <x:f>IF(E376="","",VALUE(LEFT(E376,FIND("+",E376)-1))*1000+VALUE(MID(E376,FIND("+",E376)+1,3)))</x:f>
      </x:c>
      <x:c r="O376" s="23" t="str">
        <x:f>IF(AND(M376="",N376=""),"",MIN(IF(M376="",N376,M376),IF(N376="",M376,N376)))</x:f>
      </x:c>
      <x:c r="P376" s="23" t="str">
        <x:f>IF(AND(M376="",N376=""),"",MAX(IF(M376="",N376,M376),IF(N376="",M376,N376)))</x:f>
      </x:c>
    </x:row>
    <x:row r="377" ht="21" customHeight="1">
      <x:c r="A377" s="26"/>
      <x:c r="B377" s="23"/>
      <x:c r="C377" s="23"/>
      <x:c r="D377" s="28"/>
      <x:c r="E377" s="28"/>
      <x:c r="F377" s="23"/>
      <x:c r="G377" s="23"/>
      <x:c r="H377" s="23"/>
      <x:c r="I377" s="30"/>
      <x:c r="J377" s="23"/>
      <x:c r="K377" s="23"/>
      <x:c r="L377" s="23"/>
      <x:c r="M377" s="23" t="str">
        <x:f>IF(D377="","",VALUE(LEFT(D377,FIND("+",D377)-1))*1000+VALUE(MID(D377,FIND("+",D377)+1,3)))</x:f>
      </x:c>
      <x:c r="N377" s="23" t="str">
        <x:f>IF(E377="","",VALUE(LEFT(E377,FIND("+",E377)-1))*1000+VALUE(MID(E377,FIND("+",E377)+1,3)))</x:f>
      </x:c>
      <x:c r="O377" s="23" t="str">
        <x:f>IF(AND(M377="",N377=""),"",MIN(IF(M377="",N377,M377),IF(N377="",M377,N377)))</x:f>
      </x:c>
      <x:c r="P377" s="23" t="str">
        <x:f>IF(AND(M377="",N377=""),"",MAX(IF(M377="",N377,M377),IF(N377="",M377,N377)))</x:f>
      </x:c>
    </x:row>
    <x:row r="378" ht="21" customHeight="1">
      <x:c r="A378" s="26"/>
      <x:c r="B378" s="23"/>
      <x:c r="C378" s="23"/>
      <x:c r="D378" s="28"/>
      <x:c r="E378" s="28"/>
      <x:c r="F378" s="23"/>
      <x:c r="G378" s="23"/>
      <x:c r="H378" s="23"/>
      <x:c r="I378" s="30"/>
      <x:c r="J378" s="23"/>
      <x:c r="K378" s="23"/>
      <x:c r="L378" s="23"/>
      <x:c r="M378" s="23" t="str">
        <x:f>IF(D378="","",VALUE(LEFT(D378,FIND("+",D378)-1))*1000+VALUE(MID(D378,FIND("+",D378)+1,3)))</x:f>
      </x:c>
      <x:c r="N378" s="23" t="str">
        <x:f>IF(E378="","",VALUE(LEFT(E378,FIND("+",E378)-1))*1000+VALUE(MID(E378,FIND("+",E378)+1,3)))</x:f>
      </x:c>
      <x:c r="O378" s="23" t="str">
        <x:f>IF(AND(M378="",N378=""),"",MIN(IF(M378="",N378,M378),IF(N378="",M378,N378)))</x:f>
      </x:c>
      <x:c r="P378" s="23" t="str">
        <x:f>IF(AND(M378="",N378=""),"",MAX(IF(M378="",N378,M378),IF(N378="",M378,N378)))</x:f>
      </x:c>
    </x:row>
    <x:row r="379" ht="21" customHeight="1">
      <x:c r="A379" s="26"/>
      <x:c r="B379" s="23"/>
      <x:c r="C379" s="23"/>
      <x:c r="D379" s="28"/>
      <x:c r="E379" s="28"/>
      <x:c r="F379" s="23"/>
      <x:c r="G379" s="23"/>
      <x:c r="H379" s="23"/>
      <x:c r="I379" s="30"/>
      <x:c r="J379" s="23"/>
      <x:c r="K379" s="23"/>
      <x:c r="L379" s="23"/>
      <x:c r="M379" s="23" t="str">
        <x:f>IF(D379="","",VALUE(LEFT(D379,FIND("+",D379)-1))*1000+VALUE(MID(D379,FIND("+",D379)+1,3)))</x:f>
      </x:c>
      <x:c r="N379" s="23" t="str">
        <x:f>IF(E379="","",VALUE(LEFT(E379,FIND("+",E379)-1))*1000+VALUE(MID(E379,FIND("+",E379)+1,3)))</x:f>
      </x:c>
      <x:c r="O379" s="23" t="str">
        <x:f>IF(AND(M379="",N379=""),"",MIN(IF(M379="",N379,M379),IF(N379="",M379,N379)))</x:f>
      </x:c>
      <x:c r="P379" s="23" t="str">
        <x:f>IF(AND(M379="",N379=""),"",MAX(IF(M379="",N379,M379),IF(N379="",M379,N379)))</x:f>
      </x:c>
    </x:row>
    <x:row r="380" ht="21" customHeight="1">
      <x:c r="A380" s="26"/>
      <x:c r="B380" s="23"/>
      <x:c r="C380" s="23"/>
      <x:c r="D380" s="28"/>
      <x:c r="E380" s="28"/>
      <x:c r="F380" s="23"/>
      <x:c r="G380" s="23"/>
      <x:c r="H380" s="23"/>
      <x:c r="I380" s="30"/>
      <x:c r="J380" s="23"/>
      <x:c r="K380" s="23"/>
      <x:c r="L380" s="23"/>
      <x:c r="M380" s="23" t="str">
        <x:f>IF(D380="","",VALUE(LEFT(D380,FIND("+",D380)-1))*1000+VALUE(MID(D380,FIND("+",D380)+1,3)))</x:f>
      </x:c>
      <x:c r="N380" s="23" t="str">
        <x:f>IF(E380="","",VALUE(LEFT(E380,FIND("+",E380)-1))*1000+VALUE(MID(E380,FIND("+",E380)+1,3)))</x:f>
      </x:c>
      <x:c r="O380" s="23" t="str">
        <x:f>IF(AND(M380="",N380=""),"",MIN(IF(M380="",N380,M380),IF(N380="",M380,N380)))</x:f>
      </x:c>
      <x:c r="P380" s="23" t="str">
        <x:f>IF(AND(M380="",N380=""),"",MAX(IF(M380="",N380,M380),IF(N380="",M380,N380)))</x:f>
      </x:c>
    </x:row>
    <x:row r="381" ht="21" customHeight="1">
      <x:c r="A381" s="26"/>
      <x:c r="B381" s="23"/>
      <x:c r="C381" s="23"/>
      <x:c r="D381" s="28"/>
      <x:c r="E381" s="28"/>
      <x:c r="F381" s="23"/>
      <x:c r="G381" s="23"/>
      <x:c r="H381" s="23"/>
      <x:c r="I381" s="30"/>
      <x:c r="J381" s="23"/>
      <x:c r="K381" s="23"/>
      <x:c r="L381" s="23"/>
      <x:c r="M381" s="23" t="str">
        <x:f>IF(D381="","",VALUE(LEFT(D381,FIND("+",D381)-1))*1000+VALUE(MID(D381,FIND("+",D381)+1,3)))</x:f>
      </x:c>
      <x:c r="N381" s="23" t="str">
        <x:f>IF(E381="","",VALUE(LEFT(E381,FIND("+",E381)-1))*1000+VALUE(MID(E381,FIND("+",E381)+1,3)))</x:f>
      </x:c>
      <x:c r="O381" s="23" t="str">
        <x:f>IF(AND(M381="",N381=""),"",MIN(IF(M381="",N381,M381),IF(N381="",M381,N381)))</x:f>
      </x:c>
      <x:c r="P381" s="23" t="str">
        <x:f>IF(AND(M381="",N381=""),"",MAX(IF(M381="",N381,M381),IF(N381="",M381,N381)))</x:f>
      </x:c>
    </x:row>
    <x:row r="382" ht="21" customHeight="1">
      <x:c r="A382" s="26"/>
      <x:c r="B382" s="23"/>
      <x:c r="C382" s="23"/>
      <x:c r="D382" s="28"/>
      <x:c r="E382" s="28"/>
      <x:c r="F382" s="23"/>
      <x:c r="G382" s="23"/>
      <x:c r="H382" s="23"/>
      <x:c r="I382" s="30"/>
      <x:c r="J382" s="23"/>
      <x:c r="K382" s="23"/>
      <x:c r="L382" s="23"/>
      <x:c r="M382" s="23" t="str">
        <x:f>IF(D382="","",VALUE(LEFT(D382,FIND("+",D382)-1))*1000+VALUE(MID(D382,FIND("+",D382)+1,3)))</x:f>
      </x:c>
      <x:c r="N382" s="23" t="str">
        <x:f>IF(E382="","",VALUE(LEFT(E382,FIND("+",E382)-1))*1000+VALUE(MID(E382,FIND("+",E382)+1,3)))</x:f>
      </x:c>
      <x:c r="O382" s="23" t="str">
        <x:f>IF(AND(M382="",N382=""),"",MIN(IF(M382="",N382,M382),IF(N382="",M382,N382)))</x:f>
      </x:c>
      <x:c r="P382" s="23" t="str">
        <x:f>IF(AND(M382="",N382=""),"",MAX(IF(M382="",N382,M382),IF(N382="",M382,N382)))</x:f>
      </x:c>
    </x:row>
    <x:row r="383" ht="21" customHeight="1">
      <x:c r="A383" s="26"/>
      <x:c r="B383" s="23"/>
      <x:c r="C383" s="23"/>
      <x:c r="D383" s="28"/>
      <x:c r="E383" s="28"/>
      <x:c r="F383" s="23"/>
      <x:c r="G383" s="23"/>
      <x:c r="H383" s="23"/>
      <x:c r="I383" s="30"/>
      <x:c r="J383" s="23"/>
      <x:c r="K383" s="23"/>
      <x:c r="L383" s="23"/>
      <x:c r="M383" s="23" t="str">
        <x:f>IF(D383="","",VALUE(LEFT(D383,FIND("+",D383)-1))*1000+VALUE(MID(D383,FIND("+",D383)+1,3)))</x:f>
      </x:c>
      <x:c r="N383" s="23" t="str">
        <x:f>IF(E383="","",VALUE(LEFT(E383,FIND("+",E383)-1))*1000+VALUE(MID(E383,FIND("+",E383)+1,3)))</x:f>
      </x:c>
      <x:c r="O383" s="23" t="str">
        <x:f>IF(AND(M383="",N383=""),"",MIN(IF(M383="",N383,M383),IF(N383="",M383,N383)))</x:f>
      </x:c>
      <x:c r="P383" s="23" t="str">
        <x:f>IF(AND(M383="",N383=""),"",MAX(IF(M383="",N383,M383),IF(N383="",M383,N383)))</x:f>
      </x:c>
    </x:row>
    <x:row r="384" ht="21" customHeight="1">
      <x:c r="A384" s="26"/>
      <x:c r="B384" s="23"/>
      <x:c r="C384" s="23"/>
      <x:c r="D384" s="28"/>
      <x:c r="E384" s="28"/>
      <x:c r="F384" s="23"/>
      <x:c r="G384" s="23"/>
      <x:c r="H384" s="23"/>
      <x:c r="I384" s="30"/>
      <x:c r="J384" s="23"/>
      <x:c r="K384" s="23"/>
      <x:c r="L384" s="23"/>
      <x:c r="M384" s="23" t="str">
        <x:f>IF(D384="","",VALUE(LEFT(D384,FIND("+",D384)-1))*1000+VALUE(MID(D384,FIND("+",D384)+1,3)))</x:f>
      </x:c>
      <x:c r="N384" s="23" t="str">
        <x:f>IF(E384="","",VALUE(LEFT(E384,FIND("+",E384)-1))*1000+VALUE(MID(E384,FIND("+",E384)+1,3)))</x:f>
      </x:c>
      <x:c r="O384" s="23" t="str">
        <x:f>IF(AND(M384="",N384=""),"",MIN(IF(M384="",N384,M384),IF(N384="",M384,N384)))</x:f>
      </x:c>
      <x:c r="P384" s="23" t="str">
        <x:f>IF(AND(M384="",N384=""),"",MAX(IF(M384="",N384,M384),IF(N384="",M384,N384)))</x:f>
      </x:c>
    </x:row>
    <x:row r="385" ht="21" customHeight="1">
      <x:c r="A385" s="26"/>
      <x:c r="B385" s="23"/>
      <x:c r="C385" s="23"/>
      <x:c r="D385" s="28"/>
      <x:c r="E385" s="28"/>
      <x:c r="F385" s="23"/>
      <x:c r="G385" s="23"/>
      <x:c r="H385" s="23"/>
      <x:c r="I385" s="30"/>
      <x:c r="J385" s="23"/>
      <x:c r="K385" s="23"/>
      <x:c r="L385" s="23"/>
      <x:c r="M385" s="23" t="str">
        <x:f>IF(D385="","",VALUE(LEFT(D385,FIND("+",D385)-1))*1000+VALUE(MID(D385,FIND("+",D385)+1,3)))</x:f>
      </x:c>
      <x:c r="N385" s="23" t="str">
        <x:f>IF(E385="","",VALUE(LEFT(E385,FIND("+",E385)-1))*1000+VALUE(MID(E385,FIND("+",E385)+1,3)))</x:f>
      </x:c>
      <x:c r="O385" s="23" t="str">
        <x:f>IF(AND(M385="",N385=""),"",MIN(IF(M385="",N385,M385),IF(N385="",M385,N385)))</x:f>
      </x:c>
      <x:c r="P385" s="23" t="str">
        <x:f>IF(AND(M385="",N385=""),"",MAX(IF(M385="",N385,M385),IF(N385="",M385,N385)))</x:f>
      </x:c>
    </x:row>
    <x:row r="386" ht="21" customHeight="1">
      <x:c r="A386" s="26"/>
      <x:c r="B386" s="23"/>
      <x:c r="C386" s="23"/>
      <x:c r="D386" s="28"/>
      <x:c r="E386" s="28"/>
      <x:c r="F386" s="23"/>
      <x:c r="G386" s="23"/>
      <x:c r="H386" s="23"/>
      <x:c r="I386" s="30"/>
      <x:c r="J386" s="23"/>
      <x:c r="K386" s="23"/>
      <x:c r="L386" s="23"/>
      <x:c r="M386" s="23" t="str">
        <x:f>IF(D386="","",VALUE(LEFT(D386,FIND("+",D386)-1))*1000+VALUE(MID(D386,FIND("+",D386)+1,3)))</x:f>
      </x:c>
      <x:c r="N386" s="23" t="str">
        <x:f>IF(E386="","",VALUE(LEFT(E386,FIND("+",E386)-1))*1000+VALUE(MID(E386,FIND("+",E386)+1,3)))</x:f>
      </x:c>
      <x:c r="O386" s="23" t="str">
        <x:f>IF(AND(M386="",N386=""),"",MIN(IF(M386="",N386,M386),IF(N386="",M386,N386)))</x:f>
      </x:c>
      <x:c r="P386" s="23" t="str">
        <x:f>IF(AND(M386="",N386=""),"",MAX(IF(M386="",N386,M386),IF(N386="",M386,N386)))</x:f>
      </x:c>
    </x:row>
    <x:row r="387" ht="21" customHeight="1">
      <x:c r="A387" s="26"/>
      <x:c r="B387" s="23"/>
      <x:c r="C387" s="23"/>
      <x:c r="D387" s="28"/>
      <x:c r="E387" s="28"/>
      <x:c r="F387" s="23"/>
      <x:c r="G387" s="23"/>
      <x:c r="H387" s="23"/>
      <x:c r="I387" s="30"/>
      <x:c r="J387" s="23"/>
      <x:c r="K387" s="23"/>
      <x:c r="L387" s="23"/>
      <x:c r="M387" s="23" t="str">
        <x:f>IF(D387="","",VALUE(LEFT(D387,FIND("+",D387)-1))*1000+VALUE(MID(D387,FIND("+",D387)+1,3)))</x:f>
      </x:c>
      <x:c r="N387" s="23" t="str">
        <x:f>IF(E387="","",VALUE(LEFT(E387,FIND("+",E387)-1))*1000+VALUE(MID(E387,FIND("+",E387)+1,3)))</x:f>
      </x:c>
      <x:c r="O387" s="23" t="str">
        <x:f>IF(AND(M387="",N387=""),"",MIN(IF(M387="",N387,M387),IF(N387="",M387,N387)))</x:f>
      </x:c>
      <x:c r="P387" s="23" t="str">
        <x:f>IF(AND(M387="",N387=""),"",MAX(IF(M387="",N387,M387),IF(N387="",M387,N387)))</x:f>
      </x:c>
    </x:row>
    <x:row r="388" ht="21" customHeight="1">
      <x:c r="A388" s="26"/>
      <x:c r="B388" s="23"/>
      <x:c r="C388" s="23"/>
      <x:c r="D388" s="28"/>
      <x:c r="E388" s="28"/>
      <x:c r="F388" s="23"/>
      <x:c r="G388" s="23"/>
      <x:c r="H388" s="23"/>
      <x:c r="I388" s="30"/>
      <x:c r="J388" s="23"/>
      <x:c r="K388" s="23"/>
      <x:c r="L388" s="23"/>
      <x:c r="M388" s="23" t="str">
        <x:f>IF(D388="","",VALUE(LEFT(D388,FIND("+",D388)-1))*1000+VALUE(MID(D388,FIND("+",D388)+1,3)))</x:f>
      </x:c>
      <x:c r="N388" s="23" t="str">
        <x:f>IF(E388="","",VALUE(LEFT(E388,FIND("+",E388)-1))*1000+VALUE(MID(E388,FIND("+",E388)+1,3)))</x:f>
      </x:c>
      <x:c r="O388" s="23" t="str">
        <x:f>IF(AND(M388="",N388=""),"",MIN(IF(M388="",N388,M388),IF(N388="",M388,N388)))</x:f>
      </x:c>
      <x:c r="P388" s="23" t="str">
        <x:f>IF(AND(M388="",N388=""),"",MAX(IF(M388="",N388,M388),IF(N388="",M388,N388)))</x:f>
      </x:c>
    </x:row>
    <x:row r="389" ht="21" customHeight="1">
      <x:c r="A389" s="26"/>
      <x:c r="B389" s="23"/>
      <x:c r="C389" s="23"/>
      <x:c r="D389" s="28"/>
      <x:c r="E389" s="28"/>
      <x:c r="F389" s="23"/>
      <x:c r="G389" s="23"/>
      <x:c r="H389" s="23"/>
      <x:c r="I389" s="30"/>
      <x:c r="J389" s="23"/>
      <x:c r="K389" s="23"/>
      <x:c r="L389" s="23"/>
      <x:c r="M389" s="23" t="str">
        <x:f>IF(D389="","",VALUE(LEFT(D389,FIND("+",D389)-1))*1000+VALUE(MID(D389,FIND("+",D389)+1,3)))</x:f>
      </x:c>
      <x:c r="N389" s="23" t="str">
        <x:f>IF(E389="","",VALUE(LEFT(E389,FIND("+",E389)-1))*1000+VALUE(MID(E389,FIND("+",E389)+1,3)))</x:f>
      </x:c>
      <x:c r="O389" s="23" t="str">
        <x:f>IF(AND(M389="",N389=""),"",MIN(IF(M389="",N389,M389),IF(N389="",M389,N389)))</x:f>
      </x:c>
      <x:c r="P389" s="23" t="str">
        <x:f>IF(AND(M389="",N389=""),"",MAX(IF(M389="",N389,M389),IF(N389="",M389,N389)))</x:f>
      </x:c>
    </x:row>
    <x:row r="390" ht="21" customHeight="1">
      <x:c r="A390" s="26"/>
      <x:c r="B390" s="23"/>
      <x:c r="C390" s="23"/>
      <x:c r="D390" s="28"/>
      <x:c r="E390" s="28"/>
      <x:c r="F390" s="23"/>
      <x:c r="G390" s="23"/>
      <x:c r="H390" s="23"/>
      <x:c r="I390" s="30"/>
      <x:c r="J390" s="23"/>
      <x:c r="K390" s="23"/>
      <x:c r="L390" s="23"/>
      <x:c r="M390" s="23" t="str">
        <x:f>IF(D390="","",VALUE(LEFT(D390,FIND("+",D390)-1))*1000+VALUE(MID(D390,FIND("+",D390)+1,3)))</x:f>
      </x:c>
      <x:c r="N390" s="23" t="str">
        <x:f>IF(E390="","",VALUE(LEFT(E390,FIND("+",E390)-1))*1000+VALUE(MID(E390,FIND("+",E390)+1,3)))</x:f>
      </x:c>
      <x:c r="O390" s="23" t="str">
        <x:f>IF(AND(M390="",N390=""),"",MIN(IF(M390="",N390,M390),IF(N390="",M390,N390)))</x:f>
      </x:c>
      <x:c r="P390" s="23" t="str">
        <x:f>IF(AND(M390="",N390=""),"",MAX(IF(M390="",N390,M390),IF(N390="",M390,N390)))</x:f>
      </x:c>
    </x:row>
    <x:row r="391" ht="21" customHeight="1">
      <x:c r="A391" s="26"/>
      <x:c r="B391" s="23"/>
      <x:c r="C391" s="23"/>
      <x:c r="D391" s="28"/>
      <x:c r="E391" s="28"/>
      <x:c r="F391" s="23"/>
      <x:c r="G391" s="23"/>
      <x:c r="H391" s="23"/>
      <x:c r="I391" s="30"/>
      <x:c r="J391" s="23"/>
      <x:c r="K391" s="23"/>
      <x:c r="L391" s="23"/>
      <x:c r="M391" s="23" t="str">
        <x:f>IF(D391="","",VALUE(LEFT(D391,FIND("+",D391)-1))*1000+VALUE(MID(D391,FIND("+",D391)+1,3)))</x:f>
      </x:c>
      <x:c r="N391" s="23" t="str">
        <x:f>IF(E391="","",VALUE(LEFT(E391,FIND("+",E391)-1))*1000+VALUE(MID(E391,FIND("+",E391)+1,3)))</x:f>
      </x:c>
      <x:c r="O391" s="23" t="str">
        <x:f>IF(AND(M391="",N391=""),"",MIN(IF(M391="",N391,M391),IF(N391="",M391,N391)))</x:f>
      </x:c>
      <x:c r="P391" s="23" t="str">
        <x:f>IF(AND(M391="",N391=""),"",MAX(IF(M391="",N391,M391),IF(N391="",M391,N391)))</x:f>
      </x:c>
    </x:row>
    <x:row r="392" ht="21" customHeight="1">
      <x:c r="A392" s="26"/>
      <x:c r="B392" s="23"/>
      <x:c r="C392" s="23"/>
      <x:c r="D392" s="28"/>
      <x:c r="E392" s="28"/>
      <x:c r="F392" s="23"/>
      <x:c r="G392" s="23"/>
      <x:c r="H392" s="23"/>
      <x:c r="I392" s="30"/>
      <x:c r="J392" s="23"/>
      <x:c r="K392" s="23"/>
      <x:c r="L392" s="23"/>
      <x:c r="M392" s="23" t="str">
        <x:f>IF(D392="","",VALUE(LEFT(D392,FIND("+",D392)-1))*1000+VALUE(MID(D392,FIND("+",D392)+1,3)))</x:f>
      </x:c>
      <x:c r="N392" s="23" t="str">
        <x:f>IF(E392="","",VALUE(LEFT(E392,FIND("+",E392)-1))*1000+VALUE(MID(E392,FIND("+",E392)+1,3)))</x:f>
      </x:c>
      <x:c r="O392" s="23" t="str">
        <x:f>IF(AND(M392="",N392=""),"",MIN(IF(M392="",N392,M392),IF(N392="",M392,N392)))</x:f>
      </x:c>
      <x:c r="P392" s="23" t="str">
        <x:f>IF(AND(M392="",N392=""),"",MAX(IF(M392="",N392,M392),IF(N392="",M392,N392)))</x:f>
      </x:c>
    </x:row>
    <x:row r="393" ht="21" customHeight="1">
      <x:c r="A393" s="26"/>
      <x:c r="B393" s="23"/>
      <x:c r="C393" s="23"/>
      <x:c r="D393" s="28"/>
      <x:c r="E393" s="28"/>
      <x:c r="F393" s="23"/>
      <x:c r="G393" s="23"/>
      <x:c r="H393" s="23"/>
      <x:c r="I393" s="30"/>
      <x:c r="J393" s="23"/>
      <x:c r="K393" s="23"/>
      <x:c r="L393" s="23"/>
      <x:c r="M393" s="23" t="str">
        <x:f>IF(D393="","",VALUE(LEFT(D393,FIND("+",D393)-1))*1000+VALUE(MID(D393,FIND("+",D393)+1,3)))</x:f>
      </x:c>
      <x:c r="N393" s="23" t="str">
        <x:f>IF(E393="","",VALUE(LEFT(E393,FIND("+",E393)-1))*1000+VALUE(MID(E393,FIND("+",E393)+1,3)))</x:f>
      </x:c>
      <x:c r="O393" s="23" t="str">
        <x:f>IF(AND(M393="",N393=""),"",MIN(IF(M393="",N393,M393),IF(N393="",M393,N393)))</x:f>
      </x:c>
      <x:c r="P393" s="23" t="str">
        <x:f>IF(AND(M393="",N393=""),"",MAX(IF(M393="",N393,M393),IF(N393="",M393,N393)))</x:f>
      </x:c>
    </x:row>
    <x:row r="394" ht="21" customHeight="1">
      <x:c r="A394" s="26"/>
      <x:c r="B394" s="23"/>
      <x:c r="C394" s="23"/>
      <x:c r="D394" s="28"/>
      <x:c r="E394" s="28"/>
      <x:c r="F394" s="23"/>
      <x:c r="G394" s="23"/>
      <x:c r="H394" s="23"/>
      <x:c r="I394" s="30"/>
      <x:c r="J394" s="23"/>
      <x:c r="K394" s="23"/>
      <x:c r="L394" s="23"/>
      <x:c r="M394" s="23" t="str">
        <x:f>IF(D394="","",VALUE(LEFT(D394,FIND("+",D394)-1))*1000+VALUE(MID(D394,FIND("+",D394)+1,3)))</x:f>
      </x:c>
      <x:c r="N394" s="23" t="str">
        <x:f>IF(E394="","",VALUE(LEFT(E394,FIND("+",E394)-1))*1000+VALUE(MID(E394,FIND("+",E394)+1,3)))</x:f>
      </x:c>
      <x:c r="O394" s="23" t="str">
        <x:f>IF(AND(M394="",N394=""),"",MIN(IF(M394="",N394,M394),IF(N394="",M394,N394)))</x:f>
      </x:c>
      <x:c r="P394" s="23" t="str">
        <x:f>IF(AND(M394="",N394=""),"",MAX(IF(M394="",N394,M394),IF(N394="",M394,N394)))</x:f>
      </x:c>
    </x:row>
    <x:row r="395" ht="21" customHeight="1">
      <x:c r="A395" s="26"/>
      <x:c r="B395" s="23"/>
      <x:c r="C395" s="23"/>
      <x:c r="D395" s="28"/>
      <x:c r="E395" s="28"/>
      <x:c r="F395" s="23"/>
      <x:c r="G395" s="23"/>
      <x:c r="H395" s="23"/>
      <x:c r="I395" s="30"/>
      <x:c r="J395" s="23"/>
      <x:c r="K395" s="23"/>
      <x:c r="L395" s="23"/>
      <x:c r="M395" s="23" t="str">
        <x:f>IF(D395="","",VALUE(LEFT(D395,FIND("+",D395)-1))*1000+VALUE(MID(D395,FIND("+",D395)+1,3)))</x:f>
      </x:c>
      <x:c r="N395" s="23" t="str">
        <x:f>IF(E395="","",VALUE(LEFT(E395,FIND("+",E395)-1))*1000+VALUE(MID(E395,FIND("+",E395)+1,3)))</x:f>
      </x:c>
      <x:c r="O395" s="23" t="str">
        <x:f>IF(AND(M395="",N395=""),"",MIN(IF(M395="",N395,M395),IF(N395="",M395,N395)))</x:f>
      </x:c>
      <x:c r="P395" s="23" t="str">
        <x:f>IF(AND(M395="",N395=""),"",MAX(IF(M395="",N395,M395),IF(N395="",M395,N395)))</x:f>
      </x:c>
    </x:row>
    <x:row r="396" ht="21" customHeight="1">
      <x:c r="A396" s="26"/>
      <x:c r="B396" s="23"/>
      <x:c r="C396" s="23"/>
      <x:c r="D396" s="28"/>
      <x:c r="E396" s="28"/>
      <x:c r="F396" s="23"/>
      <x:c r="G396" s="23"/>
      <x:c r="H396" s="23"/>
      <x:c r="I396" s="30"/>
      <x:c r="J396" s="23"/>
      <x:c r="K396" s="23"/>
      <x:c r="L396" s="23"/>
      <x:c r="M396" s="23" t="str">
        <x:f>IF(D396="","",VALUE(LEFT(D396,FIND("+",D396)-1))*1000+VALUE(MID(D396,FIND("+",D396)+1,3)))</x:f>
      </x:c>
      <x:c r="N396" s="23" t="str">
        <x:f>IF(E396="","",VALUE(LEFT(E396,FIND("+",E396)-1))*1000+VALUE(MID(E396,FIND("+",E396)+1,3)))</x:f>
      </x:c>
      <x:c r="O396" s="23" t="str">
        <x:f>IF(AND(M396="",N396=""),"",MIN(IF(M396="",N396,M396),IF(N396="",M396,N396)))</x:f>
      </x:c>
      <x:c r="P396" s="23" t="str">
        <x:f>IF(AND(M396="",N396=""),"",MAX(IF(M396="",N396,M396),IF(N396="",M396,N396)))</x:f>
      </x:c>
    </x:row>
    <x:row r="397" ht="21" customHeight="1">
      <x:c r="A397" s="26"/>
      <x:c r="B397" s="23"/>
      <x:c r="C397" s="23"/>
      <x:c r="D397" s="28"/>
      <x:c r="E397" s="28"/>
      <x:c r="F397" s="23"/>
      <x:c r="G397" s="23"/>
      <x:c r="H397" s="23"/>
      <x:c r="I397" s="30"/>
      <x:c r="J397" s="23"/>
      <x:c r="K397" s="23"/>
      <x:c r="L397" s="23"/>
      <x:c r="M397" s="23" t="str">
        <x:f>IF(D397="","",VALUE(LEFT(D397,FIND("+",D397)-1))*1000+VALUE(MID(D397,FIND("+",D397)+1,3)))</x:f>
      </x:c>
      <x:c r="N397" s="23" t="str">
        <x:f>IF(E397="","",VALUE(LEFT(E397,FIND("+",E397)-1))*1000+VALUE(MID(E397,FIND("+",E397)+1,3)))</x:f>
      </x:c>
      <x:c r="O397" s="23" t="str">
        <x:f>IF(AND(M397="",N397=""),"",MIN(IF(M397="",N397,M397),IF(N397="",M397,N397)))</x:f>
      </x:c>
      <x:c r="P397" s="23" t="str">
        <x:f>IF(AND(M397="",N397=""),"",MAX(IF(M397="",N397,M397),IF(N397="",M397,N397)))</x:f>
      </x:c>
    </x:row>
    <x:row r="398" ht="21" customHeight="1">
      <x:c r="A398" s="26"/>
      <x:c r="B398" s="23"/>
      <x:c r="C398" s="23"/>
      <x:c r="D398" s="28"/>
      <x:c r="E398" s="28"/>
      <x:c r="F398" s="23"/>
      <x:c r="G398" s="23"/>
      <x:c r="H398" s="23"/>
      <x:c r="I398" s="30"/>
      <x:c r="J398" s="23"/>
      <x:c r="K398" s="23"/>
      <x:c r="L398" s="23"/>
      <x:c r="M398" s="23" t="str">
        <x:f>IF(D398="","",VALUE(LEFT(D398,FIND("+",D398)-1))*1000+VALUE(MID(D398,FIND("+",D398)+1,3)))</x:f>
      </x:c>
      <x:c r="N398" s="23" t="str">
        <x:f>IF(E398="","",VALUE(LEFT(E398,FIND("+",E398)-1))*1000+VALUE(MID(E398,FIND("+",E398)+1,3)))</x:f>
      </x:c>
      <x:c r="O398" s="23" t="str">
        <x:f>IF(AND(M398="",N398=""),"",MIN(IF(M398="",N398,M398),IF(N398="",M398,N398)))</x:f>
      </x:c>
      <x:c r="P398" s="23" t="str">
        <x:f>IF(AND(M398="",N398=""),"",MAX(IF(M398="",N398,M398),IF(N398="",M398,N398)))</x:f>
      </x:c>
    </x:row>
    <x:row r="399" ht="21" customHeight="1">
      <x:c r="A399" s="26"/>
      <x:c r="B399" s="23"/>
      <x:c r="C399" s="23"/>
      <x:c r="D399" s="28"/>
      <x:c r="E399" s="28"/>
      <x:c r="F399" s="23"/>
      <x:c r="G399" s="23"/>
      <x:c r="H399" s="23"/>
      <x:c r="I399" s="30"/>
      <x:c r="J399" s="23"/>
      <x:c r="K399" s="23"/>
      <x:c r="L399" s="23"/>
      <x:c r="M399" s="23" t="str">
        <x:f>IF(D399="","",VALUE(LEFT(D399,FIND("+",D399)-1))*1000+VALUE(MID(D399,FIND("+",D399)+1,3)))</x:f>
      </x:c>
      <x:c r="N399" s="23" t="str">
        <x:f>IF(E399="","",VALUE(LEFT(E399,FIND("+",E399)-1))*1000+VALUE(MID(E399,FIND("+",E399)+1,3)))</x:f>
      </x:c>
      <x:c r="O399" s="23" t="str">
        <x:f>IF(AND(M399="",N399=""),"",MIN(IF(M399="",N399,M399),IF(N399="",M399,N399)))</x:f>
      </x:c>
      <x:c r="P399" s="23" t="str">
        <x:f>IF(AND(M399="",N399=""),"",MAX(IF(M399="",N399,M399),IF(N399="",M399,N399)))</x:f>
      </x:c>
    </x:row>
    <x:row r="400" ht="21" customHeight="1">
      <x:c r="A400" s="26"/>
      <x:c r="B400" s="23"/>
      <x:c r="C400" s="23"/>
      <x:c r="D400" s="28"/>
      <x:c r="E400" s="28"/>
      <x:c r="F400" s="23"/>
      <x:c r="G400" s="23"/>
      <x:c r="H400" s="23"/>
      <x:c r="I400" s="30"/>
      <x:c r="J400" s="23"/>
      <x:c r="K400" s="23"/>
      <x:c r="L400" s="23"/>
      <x:c r="M400" s="23" t="str">
        <x:f>IF(D400="","",VALUE(LEFT(D400,FIND("+",D400)-1))*1000+VALUE(MID(D400,FIND("+",D400)+1,3)))</x:f>
      </x:c>
      <x:c r="N400" s="23" t="str">
        <x:f>IF(E400="","",VALUE(LEFT(E400,FIND("+",E400)-1))*1000+VALUE(MID(E400,FIND("+",E400)+1,3)))</x:f>
      </x:c>
      <x:c r="O400" s="23" t="str">
        <x:f>IF(AND(M400="",N400=""),"",MIN(IF(M400="",N400,M400),IF(N400="",M400,N400)))</x:f>
      </x:c>
      <x:c r="P400" s="23" t="str">
        <x:f>IF(AND(M400="",N400=""),"",MAX(IF(M400="",N400,M400),IF(N400="",M400,N400)))</x:f>
      </x:c>
    </x:row>
    <x:row r="401" ht="21" customHeight="1">
      <x:c r="A401" s="26"/>
      <x:c r="B401" s="23"/>
      <x:c r="C401" s="23"/>
      <x:c r="D401" s="28"/>
      <x:c r="E401" s="28"/>
      <x:c r="F401" s="23"/>
      <x:c r="G401" s="23"/>
      <x:c r="H401" s="23"/>
      <x:c r="I401" s="30"/>
      <x:c r="J401" s="23"/>
      <x:c r="K401" s="23"/>
      <x:c r="L401" s="23"/>
      <x:c r="M401" s="23" t="str">
        <x:f>IF(D401="","",VALUE(LEFT(D401,FIND("+",D401)-1))*1000+VALUE(MID(D401,FIND("+",D401)+1,3)))</x:f>
      </x:c>
      <x:c r="N401" s="23" t="str">
        <x:f>IF(E401="","",VALUE(LEFT(E401,FIND("+",E401)-1))*1000+VALUE(MID(E401,FIND("+",E401)+1,3)))</x:f>
      </x:c>
      <x:c r="O401" s="23" t="str">
        <x:f>IF(AND(M401="",N401=""),"",MIN(IF(M401="",N401,M401),IF(N401="",M401,N401)))</x:f>
      </x:c>
      <x:c r="P401" s="23" t="str">
        <x:f>IF(AND(M401="",N401=""),"",MAX(IF(M401="",N401,M401),IF(N401="",M401,N401)))</x:f>
      </x:c>
    </x:row>
    <x:row r="402" ht="21" customHeight="1">
      <x:c r="A402" s="26"/>
      <x:c r="B402" s="23"/>
      <x:c r="C402" s="23"/>
      <x:c r="D402" s="28"/>
      <x:c r="E402" s="28"/>
      <x:c r="F402" s="23"/>
      <x:c r="G402" s="23"/>
      <x:c r="H402" s="23"/>
      <x:c r="I402" s="30"/>
      <x:c r="J402" s="23"/>
      <x:c r="K402" s="23"/>
      <x:c r="L402" s="23"/>
      <x:c r="M402" s="23" t="str">
        <x:f>IF(D402="","",VALUE(LEFT(D402,FIND("+",D402)-1))*1000+VALUE(MID(D402,FIND("+",D402)+1,3)))</x:f>
      </x:c>
      <x:c r="N402" s="23" t="str">
        <x:f>IF(E402="","",VALUE(LEFT(E402,FIND("+",E402)-1))*1000+VALUE(MID(E402,FIND("+",E402)+1,3)))</x:f>
      </x:c>
      <x:c r="O402" s="23" t="str">
        <x:f>IF(AND(M402="",N402=""),"",MIN(IF(M402="",N402,M402),IF(N402="",M402,N402)))</x:f>
      </x:c>
      <x:c r="P402" s="23" t="str">
        <x:f>IF(AND(M402="",N402=""),"",MAX(IF(M402="",N402,M402),IF(N402="",M402,N402)))</x:f>
      </x:c>
    </x:row>
    <x:row r="403" ht="21" customHeight="1">
      <x:c r="A403" s="26"/>
      <x:c r="B403" s="23"/>
      <x:c r="C403" s="23"/>
      <x:c r="D403" s="28"/>
      <x:c r="E403" s="28"/>
      <x:c r="F403" s="23"/>
      <x:c r="G403" s="23"/>
      <x:c r="H403" s="23"/>
      <x:c r="I403" s="30"/>
      <x:c r="J403" s="23"/>
      <x:c r="K403" s="23"/>
      <x:c r="L403" s="23"/>
      <x:c r="M403" s="23" t="str">
        <x:f>IF(D403="","",VALUE(LEFT(D403,FIND("+",D403)-1))*1000+VALUE(MID(D403,FIND("+",D403)+1,3)))</x:f>
      </x:c>
      <x:c r="N403" s="23" t="str">
        <x:f>IF(E403="","",VALUE(LEFT(E403,FIND("+",E403)-1))*1000+VALUE(MID(E403,FIND("+",E403)+1,3)))</x:f>
      </x:c>
      <x:c r="O403" s="23" t="str">
        <x:f>IF(AND(M403="",N403=""),"",MIN(IF(M403="",N403,M403),IF(N403="",M403,N403)))</x:f>
      </x:c>
      <x:c r="P403" s="23" t="str">
        <x:f>IF(AND(M403="",N403=""),"",MAX(IF(M403="",N403,M403),IF(N403="",M403,N403)))</x:f>
      </x:c>
    </x:row>
    <x:row r="404" ht="21" customHeight="1">
      <x:c r="A404" s="26"/>
      <x:c r="B404" s="23"/>
      <x:c r="C404" s="23"/>
      <x:c r="D404" s="28"/>
      <x:c r="E404" s="28"/>
      <x:c r="F404" s="23"/>
      <x:c r="G404" s="23"/>
      <x:c r="H404" s="23"/>
      <x:c r="I404" s="30"/>
      <x:c r="J404" s="23"/>
      <x:c r="K404" s="23"/>
      <x:c r="L404" s="23"/>
      <x:c r="M404" s="23" t="str">
        <x:f>IF(D404="","",VALUE(LEFT(D404,FIND("+",D404)-1))*1000+VALUE(MID(D404,FIND("+",D404)+1,3)))</x:f>
      </x:c>
      <x:c r="N404" s="23" t="str">
        <x:f>IF(E404="","",VALUE(LEFT(E404,FIND("+",E404)-1))*1000+VALUE(MID(E404,FIND("+",E404)+1,3)))</x:f>
      </x:c>
      <x:c r="O404" s="23" t="str">
        <x:f>IF(AND(M404="",N404=""),"",MIN(IF(M404="",N404,M404),IF(N404="",M404,N404)))</x:f>
      </x:c>
      <x:c r="P404" s="23" t="str">
        <x:f>IF(AND(M404="",N404=""),"",MAX(IF(M404="",N404,M404),IF(N404="",M404,N404)))</x:f>
      </x:c>
    </x:row>
    <x:row r="405" ht="21" customHeight="1">
      <x:c r="A405" s="26"/>
      <x:c r="B405" s="23"/>
      <x:c r="C405" s="23"/>
      <x:c r="D405" s="28"/>
      <x:c r="E405" s="28"/>
      <x:c r="F405" s="23"/>
      <x:c r="G405" s="23"/>
      <x:c r="H405" s="23"/>
      <x:c r="I405" s="30"/>
      <x:c r="J405" s="23"/>
      <x:c r="K405" s="23"/>
      <x:c r="L405" s="23"/>
      <x:c r="M405" s="23" t="str">
        <x:f>IF(D405="","",VALUE(LEFT(D405,FIND("+",D405)-1))*1000+VALUE(MID(D405,FIND("+",D405)+1,3)))</x:f>
      </x:c>
      <x:c r="N405" s="23" t="str">
        <x:f>IF(E405="","",VALUE(LEFT(E405,FIND("+",E405)-1))*1000+VALUE(MID(E405,FIND("+",E405)+1,3)))</x:f>
      </x:c>
      <x:c r="O405" s="23" t="str">
        <x:f>IF(AND(M405="",N405=""),"",MIN(IF(M405="",N405,M405),IF(N405="",M405,N405)))</x:f>
      </x:c>
      <x:c r="P405" s="23" t="str">
        <x:f>IF(AND(M405="",N405=""),"",MAX(IF(M405="",N405,M405),IF(N405="",M405,N405)))</x:f>
      </x:c>
    </x:row>
    <x:row r="406" ht="21" customHeight="1">
      <x:c r="A406" s="26"/>
      <x:c r="B406" s="23"/>
      <x:c r="C406" s="23"/>
      <x:c r="D406" s="28"/>
      <x:c r="E406" s="28"/>
      <x:c r="F406" s="23"/>
      <x:c r="G406" s="23"/>
      <x:c r="H406" s="23"/>
      <x:c r="I406" s="30"/>
      <x:c r="J406" s="23"/>
      <x:c r="K406" s="23"/>
      <x:c r="L406" s="23"/>
      <x:c r="M406" s="23" t="str">
        <x:f>IF(D406="","",VALUE(LEFT(D406,FIND("+",D406)-1))*1000+VALUE(MID(D406,FIND("+",D406)+1,3)))</x:f>
      </x:c>
      <x:c r="N406" s="23" t="str">
        <x:f>IF(E406="","",VALUE(LEFT(E406,FIND("+",E406)-1))*1000+VALUE(MID(E406,FIND("+",E406)+1,3)))</x:f>
      </x:c>
      <x:c r="O406" s="23" t="str">
        <x:f>IF(AND(M406="",N406=""),"",MIN(IF(M406="",N406,M406),IF(N406="",M406,N406)))</x:f>
      </x:c>
      <x:c r="P406" s="23" t="str">
        <x:f>IF(AND(M406="",N406=""),"",MAX(IF(M406="",N406,M406),IF(N406="",M406,N406)))</x:f>
      </x:c>
    </x:row>
    <x:row r="407" ht="21" customHeight="1">
      <x:c r="A407" s="26"/>
      <x:c r="B407" s="23"/>
      <x:c r="C407" s="23"/>
      <x:c r="D407" s="28"/>
      <x:c r="E407" s="28"/>
      <x:c r="F407" s="23"/>
      <x:c r="G407" s="23"/>
      <x:c r="H407" s="23"/>
      <x:c r="I407" s="30"/>
      <x:c r="J407" s="23"/>
      <x:c r="K407" s="23"/>
      <x:c r="L407" s="23"/>
      <x:c r="M407" s="23" t="str">
        <x:f>IF(D407="","",VALUE(LEFT(D407,FIND("+",D407)-1))*1000+VALUE(MID(D407,FIND("+",D407)+1,3)))</x:f>
      </x:c>
      <x:c r="N407" s="23" t="str">
        <x:f>IF(E407="","",VALUE(LEFT(E407,FIND("+",E407)-1))*1000+VALUE(MID(E407,FIND("+",E407)+1,3)))</x:f>
      </x:c>
      <x:c r="O407" s="23" t="str">
        <x:f>IF(AND(M407="",N407=""),"",MIN(IF(M407="",N407,M407),IF(N407="",M407,N407)))</x:f>
      </x:c>
      <x:c r="P407" s="23" t="str">
        <x:f>IF(AND(M407="",N407=""),"",MAX(IF(M407="",N407,M407),IF(N407="",M407,N407)))</x:f>
      </x:c>
    </x:row>
    <x:row r="408" ht="21" customHeight="1">
      <x:c r="A408" s="26"/>
      <x:c r="B408" s="23"/>
      <x:c r="C408" s="23"/>
      <x:c r="D408" s="28"/>
      <x:c r="E408" s="28"/>
      <x:c r="F408" s="23"/>
      <x:c r="G408" s="23"/>
      <x:c r="H408" s="23"/>
      <x:c r="I408" s="30"/>
      <x:c r="J408" s="23"/>
      <x:c r="K408" s="23"/>
      <x:c r="L408" s="23"/>
      <x:c r="M408" s="23" t="str">
        <x:f>IF(D408="","",VALUE(LEFT(D408,FIND("+",D408)-1))*1000+VALUE(MID(D408,FIND("+",D408)+1,3)))</x:f>
      </x:c>
      <x:c r="N408" s="23" t="str">
        <x:f>IF(E408="","",VALUE(LEFT(E408,FIND("+",E408)-1))*1000+VALUE(MID(E408,FIND("+",E408)+1,3)))</x:f>
      </x:c>
      <x:c r="O408" s="23" t="str">
        <x:f>IF(AND(M408="",N408=""),"",MIN(IF(M408="",N408,M408),IF(N408="",M408,N408)))</x:f>
      </x:c>
      <x:c r="P408" s="23" t="str">
        <x:f>IF(AND(M408="",N408=""),"",MAX(IF(M408="",N408,M408),IF(N408="",M408,N408)))</x:f>
      </x:c>
    </x:row>
    <x:row r="409" ht="21" customHeight="1">
      <x:c r="A409" s="26"/>
      <x:c r="B409" s="23"/>
      <x:c r="C409" s="23"/>
      <x:c r="D409" s="28"/>
      <x:c r="E409" s="28"/>
      <x:c r="F409" s="23"/>
      <x:c r="G409" s="23"/>
      <x:c r="H409" s="23"/>
      <x:c r="I409" s="30"/>
      <x:c r="J409" s="23"/>
      <x:c r="K409" s="23"/>
      <x:c r="L409" s="23"/>
      <x:c r="M409" s="23" t="str">
        <x:f>IF(D409="","",VALUE(LEFT(D409,FIND("+",D409)-1))*1000+VALUE(MID(D409,FIND("+",D409)+1,3)))</x:f>
      </x:c>
      <x:c r="N409" s="23" t="str">
        <x:f>IF(E409="","",VALUE(LEFT(E409,FIND("+",E409)-1))*1000+VALUE(MID(E409,FIND("+",E409)+1,3)))</x:f>
      </x:c>
      <x:c r="O409" s="23" t="str">
        <x:f>IF(AND(M409="",N409=""),"",MIN(IF(M409="",N409,M409),IF(N409="",M409,N409)))</x:f>
      </x:c>
      <x:c r="P409" s="23" t="str">
        <x:f>IF(AND(M409="",N409=""),"",MAX(IF(M409="",N409,M409),IF(N409="",M409,N409)))</x:f>
      </x:c>
    </x:row>
    <x:row r="410" ht="21" customHeight="1">
      <x:c r="A410" s="26"/>
      <x:c r="B410" s="23"/>
      <x:c r="C410" s="23"/>
      <x:c r="D410" s="28"/>
      <x:c r="E410" s="28"/>
      <x:c r="F410" s="23"/>
      <x:c r="G410" s="23"/>
      <x:c r="H410" s="23"/>
      <x:c r="I410" s="30"/>
      <x:c r="J410" s="23"/>
      <x:c r="K410" s="23"/>
      <x:c r="L410" s="23"/>
      <x:c r="M410" s="23" t="str">
        <x:f>IF(D410="","",VALUE(LEFT(D410,FIND("+",D410)-1))*1000+VALUE(MID(D410,FIND("+",D410)+1,3)))</x:f>
      </x:c>
      <x:c r="N410" s="23" t="str">
        <x:f>IF(E410="","",VALUE(LEFT(E410,FIND("+",E410)-1))*1000+VALUE(MID(E410,FIND("+",E410)+1,3)))</x:f>
      </x:c>
      <x:c r="O410" s="23" t="str">
        <x:f>IF(AND(M410="",N410=""),"",MIN(IF(M410="",N410,M410),IF(N410="",M410,N410)))</x:f>
      </x:c>
      <x:c r="P410" s="23" t="str">
        <x:f>IF(AND(M410="",N410=""),"",MAX(IF(M410="",N410,M410),IF(N410="",M410,N410)))</x:f>
      </x:c>
    </x:row>
    <x:row r="411" ht="21" customHeight="1">
      <x:c r="A411" s="26"/>
      <x:c r="B411" s="23"/>
      <x:c r="C411" s="23"/>
      <x:c r="D411" s="28"/>
      <x:c r="E411" s="28"/>
      <x:c r="F411" s="23"/>
      <x:c r="G411" s="23"/>
      <x:c r="H411" s="23"/>
      <x:c r="I411" s="30"/>
      <x:c r="J411" s="23"/>
      <x:c r="K411" s="23"/>
      <x:c r="L411" s="23"/>
      <x:c r="M411" s="23" t="str">
        <x:f>IF(D411="","",VALUE(LEFT(D411,FIND("+",D411)-1))*1000+VALUE(MID(D411,FIND("+",D411)+1,3)))</x:f>
      </x:c>
      <x:c r="N411" s="23" t="str">
        <x:f>IF(E411="","",VALUE(LEFT(E411,FIND("+",E411)-1))*1000+VALUE(MID(E411,FIND("+",E411)+1,3)))</x:f>
      </x:c>
      <x:c r="O411" s="23" t="str">
        <x:f>IF(AND(M411="",N411=""),"",MIN(IF(M411="",N411,M411),IF(N411="",M411,N411)))</x:f>
      </x:c>
      <x:c r="P411" s="23" t="str">
        <x:f>IF(AND(M411="",N411=""),"",MAX(IF(M411="",N411,M411),IF(N411="",M411,N411)))</x:f>
      </x:c>
    </x:row>
    <x:row r="412" ht="21" customHeight="1">
      <x:c r="A412" s="26"/>
      <x:c r="B412" s="23"/>
      <x:c r="C412" s="23"/>
      <x:c r="D412" s="28"/>
      <x:c r="E412" s="28"/>
      <x:c r="F412" s="23"/>
      <x:c r="G412" s="23"/>
      <x:c r="H412" s="23"/>
      <x:c r="I412" s="30"/>
      <x:c r="J412" s="23"/>
      <x:c r="K412" s="23"/>
      <x:c r="L412" s="23"/>
      <x:c r="M412" s="23" t="str">
        <x:f>IF(D412="","",VALUE(LEFT(D412,FIND("+",D412)-1))*1000+VALUE(MID(D412,FIND("+",D412)+1,3)))</x:f>
      </x:c>
      <x:c r="N412" s="23" t="str">
        <x:f>IF(E412="","",VALUE(LEFT(E412,FIND("+",E412)-1))*1000+VALUE(MID(E412,FIND("+",E412)+1,3)))</x:f>
      </x:c>
      <x:c r="O412" s="23" t="str">
        <x:f>IF(AND(M412="",N412=""),"",MIN(IF(M412="",N412,M412),IF(N412="",M412,N412)))</x:f>
      </x:c>
      <x:c r="P412" s="23" t="str">
        <x:f>IF(AND(M412="",N412=""),"",MAX(IF(M412="",N412,M412),IF(N412="",M412,N412)))</x:f>
      </x:c>
    </x:row>
    <x:row r="413" ht="21" customHeight="1">
      <x:c r="A413" s="26"/>
      <x:c r="B413" s="23"/>
      <x:c r="C413" s="23"/>
      <x:c r="D413" s="28"/>
      <x:c r="E413" s="28"/>
      <x:c r="F413" s="23"/>
      <x:c r="G413" s="23"/>
      <x:c r="H413" s="23"/>
      <x:c r="I413" s="30"/>
      <x:c r="J413" s="23"/>
      <x:c r="K413" s="23"/>
      <x:c r="L413" s="23"/>
      <x:c r="M413" s="23" t="str">
        <x:f>IF(D413="","",VALUE(LEFT(D413,FIND("+",D413)-1))*1000+VALUE(MID(D413,FIND("+",D413)+1,3)))</x:f>
      </x:c>
      <x:c r="N413" s="23" t="str">
        <x:f>IF(E413="","",VALUE(LEFT(E413,FIND("+",E413)-1))*1000+VALUE(MID(E413,FIND("+",E413)+1,3)))</x:f>
      </x:c>
      <x:c r="O413" s="23" t="str">
        <x:f>IF(AND(M413="",N413=""),"",MIN(IF(M413="",N413,M413),IF(N413="",M413,N413)))</x:f>
      </x:c>
      <x:c r="P413" s="23" t="str">
        <x:f>IF(AND(M413="",N413=""),"",MAX(IF(M413="",N413,M413),IF(N413="",M413,N413)))</x:f>
      </x:c>
    </x:row>
    <x:row r="414" ht="21" customHeight="1">
      <x:c r="A414" s="26"/>
      <x:c r="B414" s="23"/>
      <x:c r="C414" s="23"/>
      <x:c r="D414" s="28"/>
      <x:c r="E414" s="28"/>
      <x:c r="F414" s="23"/>
      <x:c r="G414" s="23"/>
      <x:c r="H414" s="23"/>
      <x:c r="I414" s="30"/>
      <x:c r="J414" s="23"/>
      <x:c r="K414" s="23"/>
      <x:c r="L414" s="23"/>
      <x:c r="M414" s="23" t="str">
        <x:f>IF(D414="","",VALUE(LEFT(D414,FIND("+",D414)-1))*1000+VALUE(MID(D414,FIND("+",D414)+1,3)))</x:f>
      </x:c>
      <x:c r="N414" s="23" t="str">
        <x:f>IF(E414="","",VALUE(LEFT(E414,FIND("+",E414)-1))*1000+VALUE(MID(E414,FIND("+",E414)+1,3)))</x:f>
      </x:c>
      <x:c r="O414" s="23" t="str">
        <x:f>IF(AND(M414="",N414=""),"",MIN(IF(M414="",N414,M414),IF(N414="",M414,N414)))</x:f>
      </x:c>
      <x:c r="P414" s="23" t="str">
        <x:f>IF(AND(M414="",N414=""),"",MAX(IF(M414="",N414,M414),IF(N414="",M414,N414)))</x:f>
      </x:c>
    </x:row>
    <x:row r="415" ht="21" customHeight="1">
      <x:c r="A415" s="26"/>
      <x:c r="B415" s="23"/>
      <x:c r="C415" s="23"/>
      <x:c r="D415" s="28"/>
      <x:c r="E415" s="28"/>
      <x:c r="F415" s="23"/>
      <x:c r="G415" s="23"/>
      <x:c r="H415" s="23"/>
      <x:c r="I415" s="30"/>
      <x:c r="J415" s="23"/>
      <x:c r="K415" s="23"/>
      <x:c r="L415" s="23"/>
      <x:c r="M415" s="23" t="str">
        <x:f>IF(D415="","",VALUE(LEFT(D415,FIND("+",D415)-1))*1000+VALUE(MID(D415,FIND("+",D415)+1,3)))</x:f>
      </x:c>
      <x:c r="N415" s="23" t="str">
        <x:f>IF(E415="","",VALUE(LEFT(E415,FIND("+",E415)-1))*1000+VALUE(MID(E415,FIND("+",E415)+1,3)))</x:f>
      </x:c>
      <x:c r="O415" s="23" t="str">
        <x:f>IF(AND(M415="",N415=""),"",MIN(IF(M415="",N415,M415),IF(N415="",M415,N415)))</x:f>
      </x:c>
      <x:c r="P415" s="23" t="str">
        <x:f>IF(AND(M415="",N415=""),"",MAX(IF(M415="",N415,M415),IF(N415="",M415,N415)))</x:f>
      </x:c>
    </x:row>
    <x:row r="416" ht="21" customHeight="1">
      <x:c r="A416" s="26"/>
      <x:c r="B416" s="23"/>
      <x:c r="C416" s="23"/>
      <x:c r="D416" s="28"/>
      <x:c r="E416" s="28"/>
      <x:c r="F416" s="23"/>
      <x:c r="G416" s="23"/>
      <x:c r="H416" s="23"/>
      <x:c r="I416" s="30"/>
      <x:c r="J416" s="23"/>
      <x:c r="K416" s="23"/>
      <x:c r="L416" s="23"/>
      <x:c r="M416" s="23" t="str">
        <x:f>IF(D416="","",VALUE(LEFT(D416,FIND("+",D416)-1))*1000+VALUE(MID(D416,FIND("+",D416)+1,3)))</x:f>
      </x:c>
      <x:c r="N416" s="23" t="str">
        <x:f>IF(E416="","",VALUE(LEFT(E416,FIND("+",E416)-1))*1000+VALUE(MID(E416,FIND("+",E416)+1,3)))</x:f>
      </x:c>
      <x:c r="O416" s="23" t="str">
        <x:f>IF(AND(M416="",N416=""),"",MIN(IF(M416="",N416,M416),IF(N416="",M416,N416)))</x:f>
      </x:c>
      <x:c r="P416" s="23" t="str">
        <x:f>IF(AND(M416="",N416=""),"",MAX(IF(M416="",N416,M416),IF(N416="",M416,N416)))</x:f>
      </x:c>
    </x:row>
    <x:row r="417" ht="21" customHeight="1">
      <x:c r="A417" s="26"/>
      <x:c r="B417" s="23"/>
      <x:c r="C417" s="23"/>
      <x:c r="D417" s="28"/>
      <x:c r="E417" s="28"/>
      <x:c r="F417" s="23"/>
      <x:c r="G417" s="23"/>
      <x:c r="H417" s="23"/>
      <x:c r="I417" s="30"/>
      <x:c r="J417" s="23"/>
      <x:c r="K417" s="23"/>
      <x:c r="L417" s="23"/>
      <x:c r="M417" s="23" t="str">
        <x:f>IF(D417="","",VALUE(LEFT(D417,FIND("+",D417)-1))*1000+VALUE(MID(D417,FIND("+",D417)+1,3)))</x:f>
      </x:c>
      <x:c r="N417" s="23" t="str">
        <x:f>IF(E417="","",VALUE(LEFT(E417,FIND("+",E417)-1))*1000+VALUE(MID(E417,FIND("+",E417)+1,3)))</x:f>
      </x:c>
      <x:c r="O417" s="23" t="str">
        <x:f>IF(AND(M417="",N417=""),"",MIN(IF(M417="",N417,M417),IF(N417="",M417,N417)))</x:f>
      </x:c>
      <x:c r="P417" s="23" t="str">
        <x:f>IF(AND(M417="",N417=""),"",MAX(IF(M417="",N417,M417),IF(N417="",M417,N417)))</x:f>
      </x:c>
    </x:row>
    <x:row r="418" ht="21" customHeight="1">
      <x:c r="A418" s="26"/>
      <x:c r="B418" s="23"/>
      <x:c r="C418" s="23"/>
      <x:c r="D418" s="28"/>
      <x:c r="E418" s="28"/>
      <x:c r="F418" s="23"/>
      <x:c r="G418" s="23"/>
      <x:c r="H418" s="23"/>
      <x:c r="I418" s="30"/>
      <x:c r="J418" s="23"/>
      <x:c r="K418" s="23"/>
      <x:c r="L418" s="23"/>
      <x:c r="M418" s="23" t="str">
        <x:f>IF(D418="","",VALUE(LEFT(D418,FIND("+",D418)-1))*1000+VALUE(MID(D418,FIND("+",D418)+1,3)))</x:f>
      </x:c>
      <x:c r="N418" s="23" t="str">
        <x:f>IF(E418="","",VALUE(LEFT(E418,FIND("+",E418)-1))*1000+VALUE(MID(E418,FIND("+",E418)+1,3)))</x:f>
      </x:c>
      <x:c r="O418" s="23" t="str">
        <x:f>IF(AND(M418="",N418=""),"",MIN(IF(M418="",N418,M418),IF(N418="",M418,N418)))</x:f>
      </x:c>
      <x:c r="P418" s="23" t="str">
        <x:f>IF(AND(M418="",N418=""),"",MAX(IF(M418="",N418,M418),IF(N418="",M418,N418)))</x:f>
      </x:c>
    </x:row>
    <x:row r="419" ht="21" customHeight="1">
      <x:c r="A419" s="26"/>
      <x:c r="B419" s="23"/>
      <x:c r="C419" s="23"/>
      <x:c r="D419" s="28"/>
      <x:c r="E419" s="28"/>
      <x:c r="F419" s="23"/>
      <x:c r="G419" s="23"/>
      <x:c r="H419" s="23"/>
      <x:c r="I419" s="30"/>
      <x:c r="J419" s="23"/>
      <x:c r="K419" s="23"/>
      <x:c r="L419" s="23"/>
      <x:c r="M419" s="23" t="str">
        <x:f>IF(D419="","",VALUE(LEFT(D419,FIND("+",D419)-1))*1000+VALUE(MID(D419,FIND("+",D419)+1,3)))</x:f>
      </x:c>
      <x:c r="N419" s="23" t="str">
        <x:f>IF(E419="","",VALUE(LEFT(E419,FIND("+",E419)-1))*1000+VALUE(MID(E419,FIND("+",E419)+1,3)))</x:f>
      </x:c>
      <x:c r="O419" s="23" t="str">
        <x:f>IF(AND(M419="",N419=""),"",MIN(IF(M419="",N419,M419),IF(N419="",M419,N419)))</x:f>
      </x:c>
      <x:c r="P419" s="23" t="str">
        <x:f>IF(AND(M419="",N419=""),"",MAX(IF(M419="",N419,M419),IF(N419="",M419,N419)))</x:f>
      </x:c>
    </x:row>
    <x:row r="420" ht="21" customHeight="1">
      <x:c r="A420" s="26"/>
      <x:c r="B420" s="23"/>
      <x:c r="C420" s="23"/>
      <x:c r="D420" s="28"/>
      <x:c r="E420" s="28"/>
      <x:c r="F420" s="23"/>
      <x:c r="G420" s="23"/>
      <x:c r="H420" s="23"/>
      <x:c r="I420" s="30"/>
      <x:c r="J420" s="23"/>
      <x:c r="K420" s="23"/>
      <x:c r="L420" s="23"/>
      <x:c r="M420" s="23" t="str">
        <x:f>IF(D420="","",VALUE(LEFT(D420,FIND("+",D420)-1))*1000+VALUE(MID(D420,FIND("+",D420)+1,3)))</x:f>
      </x:c>
      <x:c r="N420" s="23" t="str">
        <x:f>IF(E420="","",VALUE(LEFT(E420,FIND("+",E420)-1))*1000+VALUE(MID(E420,FIND("+",E420)+1,3)))</x:f>
      </x:c>
      <x:c r="O420" s="23" t="str">
        <x:f>IF(AND(M420="",N420=""),"",MIN(IF(M420="",N420,M420),IF(N420="",M420,N420)))</x:f>
      </x:c>
      <x:c r="P420" s="23" t="str">
        <x:f>IF(AND(M420="",N420=""),"",MAX(IF(M420="",N420,M420),IF(N420="",M420,N420)))</x:f>
      </x:c>
    </x:row>
    <x:row r="421" ht="21" customHeight="1">
      <x:c r="A421" s="26"/>
      <x:c r="B421" s="23"/>
      <x:c r="C421" s="23"/>
      <x:c r="D421" s="28"/>
      <x:c r="E421" s="28"/>
      <x:c r="F421" s="23"/>
      <x:c r="G421" s="23"/>
      <x:c r="H421" s="23"/>
      <x:c r="I421" s="30"/>
      <x:c r="J421" s="23"/>
      <x:c r="K421" s="23"/>
      <x:c r="L421" s="23"/>
      <x:c r="M421" s="23" t="str">
        <x:f>IF(D421="","",VALUE(LEFT(D421,FIND("+",D421)-1))*1000+VALUE(MID(D421,FIND("+",D421)+1,3)))</x:f>
      </x:c>
      <x:c r="N421" s="23" t="str">
        <x:f>IF(E421="","",VALUE(LEFT(E421,FIND("+",E421)-1))*1000+VALUE(MID(E421,FIND("+",E421)+1,3)))</x:f>
      </x:c>
      <x:c r="O421" s="23" t="str">
        <x:f>IF(AND(M421="",N421=""),"",MIN(IF(M421="",N421,M421),IF(N421="",M421,N421)))</x:f>
      </x:c>
      <x:c r="P421" s="23" t="str">
        <x:f>IF(AND(M421="",N421=""),"",MAX(IF(M421="",N421,M421),IF(N421="",M421,N421)))</x:f>
      </x:c>
    </x:row>
    <x:row r="422" ht="21" customHeight="1">
      <x:c r="A422" s="26"/>
      <x:c r="B422" s="23"/>
      <x:c r="C422" s="23"/>
      <x:c r="D422" s="28"/>
      <x:c r="E422" s="28"/>
      <x:c r="F422" s="23"/>
      <x:c r="G422" s="23"/>
      <x:c r="H422" s="23"/>
      <x:c r="I422" s="30"/>
      <x:c r="J422" s="23"/>
      <x:c r="K422" s="23"/>
      <x:c r="L422" s="23"/>
      <x:c r="M422" s="23" t="str">
        <x:f>IF(D422="","",VALUE(LEFT(D422,FIND("+",D422)-1))*1000+VALUE(MID(D422,FIND("+",D422)+1,3)))</x:f>
      </x:c>
      <x:c r="N422" s="23" t="str">
        <x:f>IF(E422="","",VALUE(LEFT(E422,FIND("+",E422)-1))*1000+VALUE(MID(E422,FIND("+",E422)+1,3)))</x:f>
      </x:c>
      <x:c r="O422" s="23" t="str">
        <x:f>IF(AND(M422="",N422=""),"",MIN(IF(M422="",N422,M422),IF(N422="",M422,N422)))</x:f>
      </x:c>
      <x:c r="P422" s="23" t="str">
        <x:f>IF(AND(M422="",N422=""),"",MAX(IF(M422="",N422,M422),IF(N422="",M422,N422)))</x:f>
      </x:c>
    </x:row>
    <x:row r="423" ht="21" customHeight="1">
      <x:c r="A423" s="26"/>
      <x:c r="B423" s="23"/>
      <x:c r="C423" s="23"/>
      <x:c r="D423" s="28"/>
      <x:c r="E423" s="28"/>
      <x:c r="F423" s="23"/>
      <x:c r="G423" s="23"/>
      <x:c r="H423" s="23"/>
      <x:c r="I423" s="30"/>
      <x:c r="J423" s="23"/>
      <x:c r="K423" s="23"/>
      <x:c r="L423" s="23"/>
      <x:c r="M423" s="23" t="str">
        <x:f>IF(D423="","",VALUE(LEFT(D423,FIND("+",D423)-1))*1000+VALUE(MID(D423,FIND("+",D423)+1,3)))</x:f>
      </x:c>
      <x:c r="N423" s="23" t="str">
        <x:f>IF(E423="","",VALUE(LEFT(E423,FIND("+",E423)-1))*1000+VALUE(MID(E423,FIND("+",E423)+1,3)))</x:f>
      </x:c>
      <x:c r="O423" s="23" t="str">
        <x:f>IF(AND(M423="",N423=""),"",MIN(IF(M423="",N423,M423),IF(N423="",M423,N423)))</x:f>
      </x:c>
      <x:c r="P423" s="23" t="str">
        <x:f>IF(AND(M423="",N423=""),"",MAX(IF(M423="",N423,M423),IF(N423="",M423,N423)))</x:f>
      </x:c>
    </x:row>
    <x:row r="424" ht="21" customHeight="1">
      <x:c r="A424" s="26"/>
      <x:c r="B424" s="23"/>
      <x:c r="C424" s="23"/>
      <x:c r="D424" s="28"/>
      <x:c r="E424" s="28"/>
      <x:c r="F424" s="23"/>
      <x:c r="G424" s="23"/>
      <x:c r="H424" s="23"/>
      <x:c r="I424" s="30"/>
      <x:c r="J424" s="23"/>
      <x:c r="K424" s="23"/>
      <x:c r="L424" s="23"/>
      <x:c r="M424" s="23" t="str">
        <x:f>IF(D424="","",VALUE(LEFT(D424,FIND("+",D424)-1))*1000+VALUE(MID(D424,FIND("+",D424)+1,3)))</x:f>
      </x:c>
      <x:c r="N424" s="23" t="str">
        <x:f>IF(E424="","",VALUE(LEFT(E424,FIND("+",E424)-1))*1000+VALUE(MID(E424,FIND("+",E424)+1,3)))</x:f>
      </x:c>
      <x:c r="O424" s="23" t="str">
        <x:f>IF(AND(M424="",N424=""),"",MIN(IF(M424="",N424,M424),IF(N424="",M424,N424)))</x:f>
      </x:c>
      <x:c r="P424" s="23" t="str">
        <x:f>IF(AND(M424="",N424=""),"",MAX(IF(M424="",N424,M424),IF(N424="",M424,N424)))</x:f>
      </x:c>
    </x:row>
    <x:row r="425" ht="21" customHeight="1">
      <x:c r="A425" s="26"/>
      <x:c r="B425" s="23"/>
      <x:c r="C425" s="23"/>
      <x:c r="D425" s="28"/>
      <x:c r="E425" s="28"/>
      <x:c r="F425" s="23"/>
      <x:c r="G425" s="23"/>
      <x:c r="H425" s="23"/>
      <x:c r="I425" s="30"/>
      <x:c r="J425" s="23"/>
      <x:c r="K425" s="23"/>
      <x:c r="L425" s="23"/>
      <x:c r="M425" s="23" t="str">
        <x:f>IF(D425="","",VALUE(LEFT(D425,FIND("+",D425)-1))*1000+VALUE(MID(D425,FIND("+",D425)+1,3)))</x:f>
      </x:c>
      <x:c r="N425" s="23" t="str">
        <x:f>IF(E425="","",VALUE(LEFT(E425,FIND("+",E425)-1))*1000+VALUE(MID(E425,FIND("+",E425)+1,3)))</x:f>
      </x:c>
      <x:c r="O425" s="23" t="str">
        <x:f>IF(AND(M425="",N425=""),"",MIN(IF(M425="",N425,M425),IF(N425="",M425,N425)))</x:f>
      </x:c>
      <x:c r="P425" s="23" t="str">
        <x:f>IF(AND(M425="",N425=""),"",MAX(IF(M425="",N425,M425),IF(N425="",M425,N425)))</x:f>
      </x:c>
    </x:row>
    <x:row r="426" ht="21" customHeight="1">
      <x:c r="A426" s="26"/>
      <x:c r="B426" s="23"/>
      <x:c r="C426" s="23"/>
      <x:c r="D426" s="28"/>
      <x:c r="E426" s="28"/>
      <x:c r="F426" s="23"/>
      <x:c r="G426" s="23"/>
      <x:c r="H426" s="23"/>
      <x:c r="I426" s="30"/>
      <x:c r="J426" s="23"/>
      <x:c r="K426" s="23"/>
      <x:c r="L426" s="23"/>
      <x:c r="M426" s="23" t="str">
        <x:f>IF(D426="","",VALUE(LEFT(D426,FIND("+",D426)-1))*1000+VALUE(MID(D426,FIND("+",D426)+1,3)))</x:f>
      </x:c>
      <x:c r="N426" s="23" t="str">
        <x:f>IF(E426="","",VALUE(LEFT(E426,FIND("+",E426)-1))*1000+VALUE(MID(E426,FIND("+",E426)+1,3)))</x:f>
      </x:c>
      <x:c r="O426" s="23" t="str">
        <x:f>IF(AND(M426="",N426=""),"",MIN(IF(M426="",N426,M426),IF(N426="",M426,N426)))</x:f>
      </x:c>
      <x:c r="P426" s="23" t="str">
        <x:f>IF(AND(M426="",N426=""),"",MAX(IF(M426="",N426,M426),IF(N426="",M426,N426)))</x:f>
      </x:c>
    </x:row>
    <x:row r="427" ht="21" customHeight="1">
      <x:c r="A427" s="26"/>
      <x:c r="B427" s="23"/>
      <x:c r="C427" s="23"/>
      <x:c r="D427" s="28"/>
      <x:c r="E427" s="28"/>
      <x:c r="F427" s="23"/>
      <x:c r="G427" s="23"/>
      <x:c r="H427" s="23"/>
      <x:c r="I427" s="30"/>
      <x:c r="J427" s="23"/>
      <x:c r="K427" s="23"/>
      <x:c r="L427" s="23"/>
      <x:c r="M427" s="23" t="str">
        <x:f>IF(D427="","",VALUE(LEFT(D427,FIND("+",D427)-1))*1000+VALUE(MID(D427,FIND("+",D427)+1,3)))</x:f>
      </x:c>
      <x:c r="N427" s="23" t="str">
        <x:f>IF(E427="","",VALUE(LEFT(E427,FIND("+",E427)-1))*1000+VALUE(MID(E427,FIND("+",E427)+1,3)))</x:f>
      </x:c>
      <x:c r="O427" s="23" t="str">
        <x:f>IF(AND(M427="",N427=""),"",MIN(IF(M427="",N427,M427),IF(N427="",M427,N427)))</x:f>
      </x:c>
      <x:c r="P427" s="23" t="str">
        <x:f>IF(AND(M427="",N427=""),"",MAX(IF(M427="",N427,M427),IF(N427="",M427,N427)))</x:f>
      </x:c>
    </x:row>
    <x:row r="428" ht="21" customHeight="1">
      <x:c r="A428" s="26"/>
      <x:c r="B428" s="23"/>
      <x:c r="C428" s="23"/>
      <x:c r="D428" s="28"/>
      <x:c r="E428" s="28"/>
      <x:c r="F428" s="23"/>
      <x:c r="G428" s="23"/>
      <x:c r="H428" s="23"/>
      <x:c r="I428" s="30"/>
      <x:c r="J428" s="23"/>
      <x:c r="K428" s="23"/>
      <x:c r="L428" s="23"/>
      <x:c r="M428" s="23" t="str">
        <x:f>IF(D428="","",VALUE(LEFT(D428,FIND("+",D428)-1))*1000+VALUE(MID(D428,FIND("+",D428)+1,3)))</x:f>
      </x:c>
      <x:c r="N428" s="23" t="str">
        <x:f>IF(E428="","",VALUE(LEFT(E428,FIND("+",E428)-1))*1000+VALUE(MID(E428,FIND("+",E428)+1,3)))</x:f>
      </x:c>
      <x:c r="O428" s="23" t="str">
        <x:f>IF(AND(M428="",N428=""),"",MIN(IF(M428="",N428,M428),IF(N428="",M428,N428)))</x:f>
      </x:c>
      <x:c r="P428" s="23" t="str">
        <x:f>IF(AND(M428="",N428=""),"",MAX(IF(M428="",N428,M428),IF(N428="",M428,N428)))</x:f>
      </x:c>
    </x:row>
    <x:row r="429" ht="21" customHeight="1">
      <x:c r="A429" s="26"/>
      <x:c r="B429" s="23"/>
      <x:c r="C429" s="23"/>
      <x:c r="D429" s="28"/>
      <x:c r="E429" s="28"/>
      <x:c r="F429" s="23"/>
      <x:c r="G429" s="23"/>
      <x:c r="H429" s="23"/>
      <x:c r="I429" s="30"/>
      <x:c r="J429" s="23"/>
      <x:c r="K429" s="23"/>
      <x:c r="L429" s="23"/>
      <x:c r="M429" s="23" t="str">
        <x:f>IF(D429="","",VALUE(LEFT(D429,FIND("+",D429)-1))*1000+VALUE(MID(D429,FIND("+",D429)+1,3)))</x:f>
      </x:c>
      <x:c r="N429" s="23" t="str">
        <x:f>IF(E429="","",VALUE(LEFT(E429,FIND("+",E429)-1))*1000+VALUE(MID(E429,FIND("+",E429)+1,3)))</x:f>
      </x:c>
      <x:c r="O429" s="23" t="str">
        <x:f>IF(AND(M429="",N429=""),"",MIN(IF(M429="",N429,M429),IF(N429="",M429,N429)))</x:f>
      </x:c>
      <x:c r="P429" s="23" t="str">
        <x:f>IF(AND(M429="",N429=""),"",MAX(IF(M429="",N429,M429),IF(N429="",M429,N429)))</x:f>
      </x:c>
    </x:row>
    <x:row r="430" ht="21" customHeight="1">
      <x:c r="A430" s="26"/>
      <x:c r="B430" s="23"/>
      <x:c r="C430" s="23"/>
      <x:c r="D430" s="28"/>
      <x:c r="E430" s="28"/>
      <x:c r="F430" s="23"/>
      <x:c r="G430" s="23"/>
      <x:c r="H430" s="23"/>
      <x:c r="I430" s="30"/>
      <x:c r="J430" s="23"/>
      <x:c r="K430" s="23"/>
      <x:c r="L430" s="23"/>
      <x:c r="M430" s="23" t="str">
        <x:f>IF(D430="","",VALUE(LEFT(D430,FIND("+",D430)-1))*1000+VALUE(MID(D430,FIND("+",D430)+1,3)))</x:f>
      </x:c>
      <x:c r="N430" s="23" t="str">
        <x:f>IF(E430="","",VALUE(LEFT(E430,FIND("+",E430)-1))*1000+VALUE(MID(E430,FIND("+",E430)+1,3)))</x:f>
      </x:c>
      <x:c r="O430" s="23" t="str">
        <x:f>IF(AND(M430="",N430=""),"",MIN(IF(M430="",N430,M430),IF(N430="",M430,N430)))</x:f>
      </x:c>
      <x:c r="P430" s="23" t="str">
        <x:f>IF(AND(M430="",N430=""),"",MAX(IF(M430="",N430,M430),IF(N430="",M430,N430)))</x:f>
      </x:c>
    </x:row>
    <x:row r="431" ht="21" customHeight="1">
      <x:c r="A431" s="26"/>
      <x:c r="B431" s="23"/>
      <x:c r="C431" s="23"/>
      <x:c r="D431" s="28"/>
      <x:c r="E431" s="28"/>
      <x:c r="F431" s="23"/>
      <x:c r="G431" s="23"/>
      <x:c r="H431" s="23"/>
      <x:c r="I431" s="30"/>
      <x:c r="J431" s="23"/>
      <x:c r="K431" s="23"/>
      <x:c r="L431" s="23"/>
      <x:c r="M431" s="23" t="str">
        <x:f>IF(D431="","",VALUE(LEFT(D431,FIND("+",D431)-1))*1000+VALUE(MID(D431,FIND("+",D431)+1,3)))</x:f>
      </x:c>
      <x:c r="N431" s="23" t="str">
        <x:f>IF(E431="","",VALUE(LEFT(E431,FIND("+",E431)-1))*1000+VALUE(MID(E431,FIND("+",E431)+1,3)))</x:f>
      </x:c>
      <x:c r="O431" s="23" t="str">
        <x:f>IF(AND(M431="",N431=""),"",MIN(IF(M431="",N431,M431),IF(N431="",M431,N431)))</x:f>
      </x:c>
      <x:c r="P431" s="23" t="str">
        <x:f>IF(AND(M431="",N431=""),"",MAX(IF(M431="",N431,M431),IF(N431="",M431,N431)))</x:f>
      </x:c>
    </x:row>
    <x:row r="432" ht="21" customHeight="1">
      <x:c r="A432" s="26"/>
      <x:c r="B432" s="23"/>
      <x:c r="C432" s="23"/>
      <x:c r="D432" s="28"/>
      <x:c r="E432" s="28"/>
      <x:c r="F432" s="23"/>
      <x:c r="G432" s="23"/>
      <x:c r="H432" s="23"/>
      <x:c r="I432" s="30"/>
      <x:c r="J432" s="23"/>
      <x:c r="K432" s="23"/>
      <x:c r="L432" s="23"/>
      <x:c r="M432" s="23" t="str">
        <x:f>IF(D432="","",VALUE(LEFT(D432,FIND("+",D432)-1))*1000+VALUE(MID(D432,FIND("+",D432)+1,3)))</x:f>
      </x:c>
      <x:c r="N432" s="23" t="str">
        <x:f>IF(E432="","",VALUE(LEFT(E432,FIND("+",E432)-1))*1000+VALUE(MID(E432,FIND("+",E432)+1,3)))</x:f>
      </x:c>
      <x:c r="O432" s="23" t="str">
        <x:f>IF(AND(M432="",N432=""),"",MIN(IF(M432="",N432,M432),IF(N432="",M432,N432)))</x:f>
      </x:c>
      <x:c r="P432" s="23" t="str">
        <x:f>IF(AND(M432="",N432=""),"",MAX(IF(M432="",N432,M432),IF(N432="",M432,N432)))</x:f>
      </x:c>
    </x:row>
    <x:row r="433" ht="21" customHeight="1">
      <x:c r="A433" s="26"/>
      <x:c r="B433" s="23"/>
      <x:c r="C433" s="23"/>
      <x:c r="D433" s="28"/>
      <x:c r="E433" s="28"/>
      <x:c r="F433" s="23"/>
      <x:c r="G433" s="23"/>
      <x:c r="H433" s="23"/>
      <x:c r="I433" s="30"/>
      <x:c r="J433" s="23"/>
      <x:c r="K433" s="23"/>
      <x:c r="L433" s="23"/>
      <x:c r="M433" s="23" t="str">
        <x:f>IF(D433="","",VALUE(LEFT(D433,FIND("+",D433)-1))*1000+VALUE(MID(D433,FIND("+",D433)+1,3)))</x:f>
      </x:c>
      <x:c r="N433" s="23" t="str">
        <x:f>IF(E433="","",VALUE(LEFT(E433,FIND("+",E433)-1))*1000+VALUE(MID(E433,FIND("+",E433)+1,3)))</x:f>
      </x:c>
      <x:c r="O433" s="23" t="str">
        <x:f>IF(AND(M433="",N433=""),"",MIN(IF(M433="",N433,M433),IF(N433="",M433,N433)))</x:f>
      </x:c>
      <x:c r="P433" s="23" t="str">
        <x:f>IF(AND(M433="",N433=""),"",MAX(IF(M433="",N433,M433),IF(N433="",M433,N433)))</x:f>
      </x:c>
    </x:row>
    <x:row r="434" ht="21" customHeight="1">
      <x:c r="A434" s="26"/>
      <x:c r="B434" s="23"/>
      <x:c r="C434" s="23"/>
      <x:c r="D434" s="28"/>
      <x:c r="E434" s="28"/>
      <x:c r="F434" s="23"/>
      <x:c r="G434" s="23"/>
      <x:c r="H434" s="23"/>
      <x:c r="I434" s="30"/>
      <x:c r="J434" s="23"/>
      <x:c r="K434" s="23"/>
      <x:c r="L434" s="23"/>
      <x:c r="M434" s="23" t="str">
        <x:f>IF(D434="","",VALUE(LEFT(D434,FIND("+",D434)-1))*1000+VALUE(MID(D434,FIND("+",D434)+1,3)))</x:f>
      </x:c>
      <x:c r="N434" s="23" t="str">
        <x:f>IF(E434="","",VALUE(LEFT(E434,FIND("+",E434)-1))*1000+VALUE(MID(E434,FIND("+",E434)+1,3)))</x:f>
      </x:c>
      <x:c r="O434" s="23" t="str">
        <x:f>IF(AND(M434="",N434=""),"",MIN(IF(M434="",N434,M434),IF(N434="",M434,N434)))</x:f>
      </x:c>
      <x:c r="P434" s="23" t="str">
        <x:f>IF(AND(M434="",N434=""),"",MAX(IF(M434="",N434,M434),IF(N434="",M434,N434)))</x:f>
      </x:c>
    </x:row>
    <x:row r="435" ht="21" customHeight="1">
      <x:c r="A435" s="26"/>
      <x:c r="B435" s="23"/>
      <x:c r="C435" s="23"/>
      <x:c r="D435" s="28"/>
      <x:c r="E435" s="28"/>
      <x:c r="F435" s="23"/>
      <x:c r="G435" s="23"/>
      <x:c r="H435" s="23"/>
      <x:c r="I435" s="30"/>
      <x:c r="J435" s="23"/>
      <x:c r="K435" s="23"/>
      <x:c r="L435" s="23"/>
      <x:c r="M435" s="23" t="str">
        <x:f>IF(D435="","",VALUE(LEFT(D435,FIND("+",D435)-1))*1000+VALUE(MID(D435,FIND("+",D435)+1,3)))</x:f>
      </x:c>
      <x:c r="N435" s="23" t="str">
        <x:f>IF(E435="","",VALUE(LEFT(E435,FIND("+",E435)-1))*1000+VALUE(MID(E435,FIND("+",E435)+1,3)))</x:f>
      </x:c>
      <x:c r="O435" s="23" t="str">
        <x:f>IF(AND(M435="",N435=""),"",MIN(IF(M435="",N435,M435),IF(N435="",M435,N435)))</x:f>
      </x:c>
      <x:c r="P435" s="23" t="str">
        <x:f>IF(AND(M435="",N435=""),"",MAX(IF(M435="",N435,M435),IF(N435="",M435,N435)))</x:f>
      </x:c>
    </x:row>
    <x:row r="436" ht="21" customHeight="1">
      <x:c r="A436" s="26"/>
      <x:c r="B436" s="23"/>
      <x:c r="C436" s="23"/>
      <x:c r="D436" s="28"/>
      <x:c r="E436" s="28"/>
      <x:c r="F436" s="23"/>
      <x:c r="G436" s="23"/>
      <x:c r="H436" s="23"/>
      <x:c r="I436" s="30"/>
      <x:c r="J436" s="23"/>
      <x:c r="K436" s="23"/>
      <x:c r="L436" s="23"/>
      <x:c r="M436" s="23" t="str">
        <x:f>IF(D436="","",VALUE(LEFT(D436,FIND("+",D436)-1))*1000+VALUE(MID(D436,FIND("+",D436)+1,3)))</x:f>
      </x:c>
      <x:c r="N436" s="23" t="str">
        <x:f>IF(E436="","",VALUE(LEFT(E436,FIND("+",E436)-1))*1000+VALUE(MID(E436,FIND("+",E436)+1,3)))</x:f>
      </x:c>
      <x:c r="O436" s="23" t="str">
        <x:f>IF(AND(M436="",N436=""),"",MIN(IF(M436="",N436,M436),IF(N436="",M436,N436)))</x:f>
      </x:c>
      <x:c r="P436" s="23" t="str">
        <x:f>IF(AND(M436="",N436=""),"",MAX(IF(M436="",N436,M436),IF(N436="",M436,N436)))</x:f>
      </x:c>
    </x:row>
    <x:row r="437" ht="21" customHeight="1">
      <x:c r="A437" s="26"/>
      <x:c r="B437" s="23"/>
      <x:c r="C437" s="23"/>
      <x:c r="D437" s="28"/>
      <x:c r="E437" s="28"/>
      <x:c r="F437" s="23"/>
      <x:c r="G437" s="23"/>
      <x:c r="H437" s="23"/>
      <x:c r="I437" s="30"/>
      <x:c r="J437" s="23"/>
      <x:c r="K437" s="23"/>
      <x:c r="L437" s="23"/>
      <x:c r="M437" s="23" t="str">
        <x:f>IF(D437="","",VALUE(LEFT(D437,FIND("+",D437)-1))*1000+VALUE(MID(D437,FIND("+",D437)+1,3)))</x:f>
      </x:c>
      <x:c r="N437" s="23" t="str">
        <x:f>IF(E437="","",VALUE(LEFT(E437,FIND("+",E437)-1))*1000+VALUE(MID(E437,FIND("+",E437)+1,3)))</x:f>
      </x:c>
      <x:c r="O437" s="23" t="str">
        <x:f>IF(AND(M437="",N437=""),"",MIN(IF(M437="",N437,M437),IF(N437="",M437,N437)))</x:f>
      </x:c>
      <x:c r="P437" s="23" t="str">
        <x:f>IF(AND(M437="",N437=""),"",MAX(IF(M437="",N437,M437),IF(N437="",M437,N437)))</x:f>
      </x:c>
    </x:row>
    <x:row r="438" ht="21" customHeight="1">
      <x:c r="A438" s="26"/>
      <x:c r="B438" s="23"/>
      <x:c r="C438" s="23"/>
      <x:c r="D438" s="28"/>
      <x:c r="E438" s="28"/>
      <x:c r="F438" s="23"/>
      <x:c r="G438" s="23"/>
      <x:c r="H438" s="23"/>
      <x:c r="I438" s="30"/>
      <x:c r="J438" s="23"/>
      <x:c r="K438" s="23"/>
      <x:c r="L438" s="23"/>
      <x:c r="M438" s="23" t="str">
        <x:f>IF(D438="","",VALUE(LEFT(D438,FIND("+",D438)-1))*1000+VALUE(MID(D438,FIND("+",D438)+1,3)))</x:f>
      </x:c>
      <x:c r="N438" s="23" t="str">
        <x:f>IF(E438="","",VALUE(LEFT(E438,FIND("+",E438)-1))*1000+VALUE(MID(E438,FIND("+",E438)+1,3)))</x:f>
      </x:c>
      <x:c r="O438" s="23" t="str">
        <x:f>IF(AND(M438="",N438=""),"",MIN(IF(M438="",N438,M438),IF(N438="",M438,N438)))</x:f>
      </x:c>
      <x:c r="P438" s="23" t="str">
        <x:f>IF(AND(M438="",N438=""),"",MAX(IF(M438="",N438,M438),IF(N438="",M438,N438)))</x:f>
      </x:c>
    </x:row>
    <x:row r="439" ht="21" customHeight="1">
      <x:c r="A439" s="26"/>
      <x:c r="B439" s="23"/>
      <x:c r="C439" s="23"/>
      <x:c r="D439" s="28"/>
      <x:c r="E439" s="28"/>
      <x:c r="F439" s="23"/>
      <x:c r="G439" s="23"/>
      <x:c r="H439" s="23"/>
      <x:c r="I439" s="30"/>
      <x:c r="J439" s="23"/>
      <x:c r="K439" s="23"/>
      <x:c r="L439" s="23"/>
      <x:c r="M439" s="23" t="str">
        <x:f>IF(D439="","",VALUE(LEFT(D439,FIND("+",D439)-1))*1000+VALUE(MID(D439,FIND("+",D439)+1,3)))</x:f>
      </x:c>
      <x:c r="N439" s="23" t="str">
        <x:f>IF(E439="","",VALUE(LEFT(E439,FIND("+",E439)-1))*1000+VALUE(MID(E439,FIND("+",E439)+1,3)))</x:f>
      </x:c>
      <x:c r="O439" s="23" t="str">
        <x:f>IF(AND(M439="",N439=""),"",MIN(IF(M439="",N439,M439),IF(N439="",M439,N439)))</x:f>
      </x:c>
      <x:c r="P439" s="23" t="str">
        <x:f>IF(AND(M439="",N439=""),"",MAX(IF(M439="",N439,M439),IF(N439="",M439,N439)))</x:f>
      </x:c>
    </x:row>
    <x:row r="440" ht="21" customHeight="1">
      <x:c r="A440" s="26"/>
      <x:c r="B440" s="23"/>
      <x:c r="C440" s="23"/>
      <x:c r="D440" s="28"/>
      <x:c r="E440" s="28"/>
      <x:c r="F440" s="23"/>
      <x:c r="G440" s="23"/>
      <x:c r="H440" s="23"/>
      <x:c r="I440" s="30"/>
      <x:c r="J440" s="23"/>
      <x:c r="K440" s="23"/>
      <x:c r="L440" s="23"/>
      <x:c r="M440" s="23" t="str">
        <x:f>IF(D440="","",VALUE(LEFT(D440,FIND("+",D440)-1))*1000+VALUE(MID(D440,FIND("+",D440)+1,3)))</x:f>
      </x:c>
      <x:c r="N440" s="23" t="str">
        <x:f>IF(E440="","",VALUE(LEFT(E440,FIND("+",E440)-1))*1000+VALUE(MID(E440,FIND("+",E440)+1,3)))</x:f>
      </x:c>
      <x:c r="O440" s="23" t="str">
        <x:f>IF(AND(M440="",N440=""),"",MIN(IF(M440="",N440,M440),IF(N440="",M440,N440)))</x:f>
      </x:c>
      <x:c r="P440" s="23" t="str">
        <x:f>IF(AND(M440="",N440=""),"",MAX(IF(M440="",N440,M440),IF(N440="",M440,N440)))</x:f>
      </x:c>
    </x:row>
    <x:row r="441" ht="21" customHeight="1">
      <x:c r="A441" s="26"/>
      <x:c r="B441" s="23"/>
      <x:c r="C441" s="23"/>
      <x:c r="D441" s="28"/>
      <x:c r="E441" s="28"/>
      <x:c r="F441" s="23"/>
      <x:c r="G441" s="23"/>
      <x:c r="H441" s="23"/>
      <x:c r="I441" s="30"/>
      <x:c r="J441" s="23"/>
      <x:c r="K441" s="23"/>
      <x:c r="L441" s="23"/>
      <x:c r="M441" s="23" t="str">
        <x:f>IF(D441="","",VALUE(LEFT(D441,FIND("+",D441)-1))*1000+VALUE(MID(D441,FIND("+",D441)+1,3)))</x:f>
      </x:c>
      <x:c r="N441" s="23" t="str">
        <x:f>IF(E441="","",VALUE(LEFT(E441,FIND("+",E441)-1))*1000+VALUE(MID(E441,FIND("+",E441)+1,3)))</x:f>
      </x:c>
      <x:c r="O441" s="23" t="str">
        <x:f>IF(AND(M441="",N441=""),"",MIN(IF(M441="",N441,M441),IF(N441="",M441,N441)))</x:f>
      </x:c>
      <x:c r="P441" s="23" t="str">
        <x:f>IF(AND(M441="",N441=""),"",MAX(IF(M441="",N441,M441),IF(N441="",M441,N441)))</x:f>
      </x:c>
    </x:row>
    <x:row r="442" ht="21" customHeight="1">
      <x:c r="A442" s="26"/>
      <x:c r="B442" s="23"/>
      <x:c r="C442" s="23"/>
      <x:c r="D442" s="28"/>
      <x:c r="E442" s="28"/>
      <x:c r="F442" s="23"/>
      <x:c r="G442" s="23"/>
      <x:c r="H442" s="23"/>
      <x:c r="I442" s="30"/>
      <x:c r="J442" s="23"/>
      <x:c r="K442" s="23"/>
      <x:c r="L442" s="23"/>
      <x:c r="M442" s="23" t="str">
        <x:f>IF(D442="","",VALUE(LEFT(D442,FIND("+",D442)-1))*1000+VALUE(MID(D442,FIND("+",D442)+1,3)))</x:f>
      </x:c>
      <x:c r="N442" s="23" t="str">
        <x:f>IF(E442="","",VALUE(LEFT(E442,FIND("+",E442)-1))*1000+VALUE(MID(E442,FIND("+",E442)+1,3)))</x:f>
      </x:c>
      <x:c r="O442" s="23" t="str">
        <x:f>IF(AND(M442="",N442=""),"",MIN(IF(M442="",N442,M442),IF(N442="",M442,N442)))</x:f>
      </x:c>
      <x:c r="P442" s="23" t="str">
        <x:f>IF(AND(M442="",N442=""),"",MAX(IF(M442="",N442,M442),IF(N442="",M442,N442)))</x:f>
      </x:c>
    </x:row>
    <x:row r="443" ht="21" customHeight="1">
      <x:c r="A443" s="26"/>
      <x:c r="B443" s="23"/>
      <x:c r="C443" s="23"/>
      <x:c r="D443" s="28"/>
      <x:c r="E443" s="28"/>
      <x:c r="F443" s="23"/>
      <x:c r="G443" s="23"/>
      <x:c r="H443" s="23"/>
      <x:c r="I443" s="30"/>
      <x:c r="J443" s="23"/>
      <x:c r="K443" s="23"/>
      <x:c r="L443" s="23"/>
      <x:c r="M443" s="23" t="str">
        <x:f>IF(D443="","",VALUE(LEFT(D443,FIND("+",D443)-1))*1000+VALUE(MID(D443,FIND("+",D443)+1,3)))</x:f>
      </x:c>
      <x:c r="N443" s="23" t="str">
        <x:f>IF(E443="","",VALUE(LEFT(E443,FIND("+",E443)-1))*1000+VALUE(MID(E443,FIND("+",E443)+1,3)))</x:f>
      </x:c>
      <x:c r="O443" s="23" t="str">
        <x:f>IF(AND(M443="",N443=""),"",MIN(IF(M443="",N443,M443),IF(N443="",M443,N443)))</x:f>
      </x:c>
      <x:c r="P443" s="23" t="str">
        <x:f>IF(AND(M443="",N443=""),"",MAX(IF(M443="",N443,M443),IF(N443="",M443,N443)))</x:f>
      </x:c>
    </x:row>
    <x:row r="444" ht="21" customHeight="1">
      <x:c r="A444" s="26"/>
      <x:c r="B444" s="23"/>
      <x:c r="C444" s="23"/>
      <x:c r="D444" s="28"/>
      <x:c r="E444" s="28"/>
      <x:c r="F444" s="23"/>
      <x:c r="G444" s="23"/>
      <x:c r="H444" s="23"/>
      <x:c r="I444" s="30"/>
      <x:c r="J444" s="23"/>
      <x:c r="K444" s="23"/>
      <x:c r="L444" s="23"/>
      <x:c r="M444" s="23" t="str">
        <x:f>IF(D444="","",VALUE(LEFT(D444,FIND("+",D444)-1))*1000+VALUE(MID(D444,FIND("+",D444)+1,3)))</x:f>
      </x:c>
      <x:c r="N444" s="23" t="str">
        <x:f>IF(E444="","",VALUE(LEFT(E444,FIND("+",E444)-1))*1000+VALUE(MID(E444,FIND("+",E444)+1,3)))</x:f>
      </x:c>
      <x:c r="O444" s="23" t="str">
        <x:f>IF(AND(M444="",N444=""),"",MIN(IF(M444="",N444,M444),IF(N444="",M444,N444)))</x:f>
      </x:c>
      <x:c r="P444" s="23" t="str">
        <x:f>IF(AND(M444="",N444=""),"",MAX(IF(M444="",N444,M444),IF(N444="",M444,N444)))</x:f>
      </x:c>
    </x:row>
    <x:row r="445" ht="21" customHeight="1">
      <x:c r="A445" s="26"/>
      <x:c r="B445" s="23"/>
      <x:c r="C445" s="23"/>
      <x:c r="D445" s="28"/>
      <x:c r="E445" s="28"/>
      <x:c r="F445" s="23"/>
      <x:c r="G445" s="23"/>
      <x:c r="H445" s="23"/>
      <x:c r="I445" s="30"/>
      <x:c r="J445" s="23"/>
      <x:c r="K445" s="23"/>
      <x:c r="L445" s="23"/>
      <x:c r="M445" s="23" t="str">
        <x:f>IF(D445="","",VALUE(LEFT(D445,FIND("+",D445)-1))*1000+VALUE(MID(D445,FIND("+",D445)+1,3)))</x:f>
      </x:c>
      <x:c r="N445" s="23" t="str">
        <x:f>IF(E445="","",VALUE(LEFT(E445,FIND("+",E445)-1))*1000+VALUE(MID(E445,FIND("+",E445)+1,3)))</x:f>
      </x:c>
      <x:c r="O445" s="23" t="str">
        <x:f>IF(AND(M445="",N445=""),"",MIN(IF(M445="",N445,M445),IF(N445="",M445,N445)))</x:f>
      </x:c>
      <x:c r="P445" s="23" t="str">
        <x:f>IF(AND(M445="",N445=""),"",MAX(IF(M445="",N445,M445),IF(N445="",M445,N445)))</x:f>
      </x:c>
    </x:row>
    <x:row r="446" ht="21" customHeight="1">
      <x:c r="A446" s="26"/>
      <x:c r="B446" s="23"/>
      <x:c r="C446" s="23"/>
      <x:c r="D446" s="28"/>
      <x:c r="E446" s="28"/>
      <x:c r="F446" s="23"/>
      <x:c r="G446" s="23"/>
      <x:c r="H446" s="23"/>
      <x:c r="I446" s="30"/>
      <x:c r="J446" s="23"/>
      <x:c r="K446" s="23"/>
      <x:c r="L446" s="23"/>
      <x:c r="M446" s="23" t="str">
        <x:f>IF(D446="","",VALUE(LEFT(D446,FIND("+",D446)-1))*1000+VALUE(MID(D446,FIND("+",D446)+1,3)))</x:f>
      </x:c>
      <x:c r="N446" s="23" t="str">
        <x:f>IF(E446="","",VALUE(LEFT(E446,FIND("+",E446)-1))*1000+VALUE(MID(E446,FIND("+",E446)+1,3)))</x:f>
      </x:c>
      <x:c r="O446" s="23" t="str">
        <x:f>IF(AND(M446="",N446=""),"",MIN(IF(M446="",N446,M446),IF(N446="",M446,N446)))</x:f>
      </x:c>
      <x:c r="P446" s="23" t="str">
        <x:f>IF(AND(M446="",N446=""),"",MAX(IF(M446="",N446,M446),IF(N446="",M446,N446)))</x:f>
      </x:c>
    </x:row>
    <x:row r="447" ht="21" customHeight="1">
      <x:c r="A447" s="26"/>
      <x:c r="B447" s="23"/>
      <x:c r="C447" s="23"/>
      <x:c r="D447" s="28"/>
      <x:c r="E447" s="28"/>
      <x:c r="F447" s="23"/>
      <x:c r="G447" s="23"/>
      <x:c r="H447" s="23"/>
      <x:c r="I447" s="30"/>
      <x:c r="J447" s="23"/>
      <x:c r="K447" s="23"/>
      <x:c r="L447" s="23"/>
      <x:c r="M447" s="23" t="str">
        <x:f>IF(D447="","",VALUE(LEFT(D447,FIND("+",D447)-1))*1000+VALUE(MID(D447,FIND("+",D447)+1,3)))</x:f>
      </x:c>
      <x:c r="N447" s="23" t="str">
        <x:f>IF(E447="","",VALUE(LEFT(E447,FIND("+",E447)-1))*1000+VALUE(MID(E447,FIND("+",E447)+1,3)))</x:f>
      </x:c>
      <x:c r="O447" s="23" t="str">
        <x:f>IF(AND(M447="",N447=""),"",MIN(IF(M447="",N447,M447),IF(N447="",M447,N447)))</x:f>
      </x:c>
      <x:c r="P447" s="23" t="str">
        <x:f>IF(AND(M447="",N447=""),"",MAX(IF(M447="",N447,M447),IF(N447="",M447,N447)))</x:f>
      </x:c>
    </x:row>
    <x:row r="448" ht="21" customHeight="1">
      <x:c r="A448" s="26"/>
      <x:c r="B448" s="23"/>
      <x:c r="C448" s="23"/>
      <x:c r="D448" s="28"/>
      <x:c r="E448" s="28"/>
      <x:c r="F448" s="23"/>
      <x:c r="G448" s="23"/>
      <x:c r="H448" s="23"/>
      <x:c r="I448" s="30"/>
      <x:c r="J448" s="23"/>
      <x:c r="K448" s="23"/>
      <x:c r="L448" s="23"/>
      <x:c r="M448" s="23" t="str">
        <x:f>IF(D448="","",VALUE(LEFT(D448,FIND("+",D448)-1))*1000+VALUE(MID(D448,FIND("+",D448)+1,3)))</x:f>
      </x:c>
      <x:c r="N448" s="23" t="str">
        <x:f>IF(E448="","",VALUE(LEFT(E448,FIND("+",E448)-1))*1000+VALUE(MID(E448,FIND("+",E448)+1,3)))</x:f>
      </x:c>
      <x:c r="O448" s="23" t="str">
        <x:f>IF(AND(M448="",N448=""),"",MIN(IF(M448="",N448,M448),IF(N448="",M448,N448)))</x:f>
      </x:c>
      <x:c r="P448" s="23" t="str">
        <x:f>IF(AND(M448="",N448=""),"",MAX(IF(M448="",N448,M448),IF(N448="",M448,N448)))</x:f>
      </x:c>
    </x:row>
    <x:row r="449" ht="21" customHeight="1">
      <x:c r="A449" s="26"/>
      <x:c r="B449" s="23"/>
      <x:c r="C449" s="23"/>
      <x:c r="D449" s="28"/>
      <x:c r="E449" s="28"/>
      <x:c r="F449" s="23"/>
      <x:c r="G449" s="23"/>
      <x:c r="H449" s="23"/>
      <x:c r="I449" s="30"/>
      <x:c r="J449" s="23"/>
      <x:c r="K449" s="23"/>
      <x:c r="L449" s="23"/>
      <x:c r="M449" s="23" t="str">
        <x:f>IF(D449="","",VALUE(LEFT(D449,FIND("+",D449)-1))*1000+VALUE(MID(D449,FIND("+",D449)+1,3)))</x:f>
      </x:c>
      <x:c r="N449" s="23" t="str">
        <x:f>IF(E449="","",VALUE(LEFT(E449,FIND("+",E449)-1))*1000+VALUE(MID(E449,FIND("+",E449)+1,3)))</x:f>
      </x:c>
      <x:c r="O449" s="23" t="str">
        <x:f>IF(AND(M449="",N449=""),"",MIN(IF(M449="",N449,M449),IF(N449="",M449,N449)))</x:f>
      </x:c>
      <x:c r="P449" s="23" t="str">
        <x:f>IF(AND(M449="",N449=""),"",MAX(IF(M449="",N449,M449),IF(N449="",M449,N449)))</x:f>
      </x:c>
    </x:row>
    <x:row r="450" ht="21" customHeight="1">
      <x:c r="A450" s="26"/>
      <x:c r="B450" s="23"/>
      <x:c r="C450" s="23"/>
      <x:c r="D450" s="28"/>
      <x:c r="E450" s="28"/>
      <x:c r="F450" s="23"/>
      <x:c r="G450" s="23"/>
      <x:c r="H450" s="23"/>
      <x:c r="I450" s="30"/>
      <x:c r="J450" s="23"/>
      <x:c r="K450" s="23"/>
      <x:c r="L450" s="23"/>
      <x:c r="M450" s="23" t="str">
        <x:f>IF(D450="","",VALUE(LEFT(D450,FIND("+",D450)-1))*1000+VALUE(MID(D450,FIND("+",D450)+1,3)))</x:f>
      </x:c>
      <x:c r="N450" s="23" t="str">
        <x:f>IF(E450="","",VALUE(LEFT(E450,FIND("+",E450)-1))*1000+VALUE(MID(E450,FIND("+",E450)+1,3)))</x:f>
      </x:c>
      <x:c r="O450" s="23" t="str">
        <x:f>IF(AND(M450="",N450=""),"",MIN(IF(M450="",N450,M450),IF(N450="",M450,N450)))</x:f>
      </x:c>
      <x:c r="P450" s="23" t="str">
        <x:f>IF(AND(M450="",N450=""),"",MAX(IF(M450="",N450,M450),IF(N450="",M450,N450)))</x:f>
      </x:c>
    </x:row>
    <x:row r="451" ht="21" customHeight="1">
      <x:c r="A451" s="26"/>
      <x:c r="B451" s="23"/>
      <x:c r="C451" s="23"/>
      <x:c r="D451" s="28"/>
      <x:c r="E451" s="28"/>
      <x:c r="F451" s="23"/>
      <x:c r="G451" s="23"/>
      <x:c r="H451" s="23"/>
      <x:c r="I451" s="30"/>
      <x:c r="J451" s="23"/>
      <x:c r="K451" s="23"/>
      <x:c r="L451" s="23"/>
      <x:c r="M451" s="23" t="str">
        <x:f>IF(D451="","",VALUE(LEFT(D451,FIND("+",D451)-1))*1000+VALUE(MID(D451,FIND("+",D451)+1,3)))</x:f>
      </x:c>
      <x:c r="N451" s="23" t="str">
        <x:f>IF(E451="","",VALUE(LEFT(E451,FIND("+",E451)-1))*1000+VALUE(MID(E451,FIND("+",E451)+1,3)))</x:f>
      </x:c>
      <x:c r="O451" s="23" t="str">
        <x:f>IF(AND(M451="",N451=""),"",MIN(IF(M451="",N451,M451),IF(N451="",M451,N451)))</x:f>
      </x:c>
      <x:c r="P451" s="23" t="str">
        <x:f>IF(AND(M451="",N451=""),"",MAX(IF(M451="",N451,M451),IF(N451="",M451,N451)))</x:f>
      </x:c>
    </x:row>
    <x:row r="452" ht="21" customHeight="1">
      <x:c r="A452" s="26"/>
      <x:c r="B452" s="23"/>
      <x:c r="C452" s="23"/>
      <x:c r="D452" s="28"/>
      <x:c r="E452" s="28"/>
      <x:c r="F452" s="23"/>
      <x:c r="G452" s="23"/>
      <x:c r="H452" s="23"/>
      <x:c r="I452" s="30"/>
      <x:c r="J452" s="23"/>
      <x:c r="K452" s="23"/>
      <x:c r="L452" s="23"/>
      <x:c r="M452" s="23" t="str">
        <x:f>IF(D452="","",VALUE(LEFT(D452,FIND("+",D452)-1))*1000+VALUE(MID(D452,FIND("+",D452)+1,3)))</x:f>
      </x:c>
      <x:c r="N452" s="23" t="str">
        <x:f>IF(E452="","",VALUE(LEFT(E452,FIND("+",E452)-1))*1000+VALUE(MID(E452,FIND("+",E452)+1,3)))</x:f>
      </x:c>
      <x:c r="O452" s="23" t="str">
        <x:f>IF(AND(M452="",N452=""),"",MIN(IF(M452="",N452,M452),IF(N452="",M452,N452)))</x:f>
      </x:c>
      <x:c r="P452" s="23" t="str">
        <x:f>IF(AND(M452="",N452=""),"",MAX(IF(M452="",N452,M452),IF(N452="",M452,N452)))</x:f>
      </x:c>
    </x:row>
    <x:row r="453" ht="21" customHeight="1">
      <x:c r="A453" s="26"/>
      <x:c r="B453" s="23"/>
      <x:c r="C453" s="23"/>
      <x:c r="D453" s="28"/>
      <x:c r="E453" s="28"/>
      <x:c r="F453" s="23"/>
      <x:c r="G453" s="23"/>
      <x:c r="H453" s="23"/>
      <x:c r="I453" s="30"/>
      <x:c r="J453" s="23"/>
      <x:c r="K453" s="23"/>
      <x:c r="L453" s="23"/>
      <x:c r="M453" s="23" t="str">
        <x:f>IF(D453="","",VALUE(LEFT(D453,FIND("+",D453)-1))*1000+VALUE(MID(D453,FIND("+",D453)+1,3)))</x:f>
      </x:c>
      <x:c r="N453" s="23" t="str">
        <x:f>IF(E453="","",VALUE(LEFT(E453,FIND("+",E453)-1))*1000+VALUE(MID(E453,FIND("+",E453)+1,3)))</x:f>
      </x:c>
      <x:c r="O453" s="23" t="str">
        <x:f>IF(AND(M453="",N453=""),"",MIN(IF(M453="",N453,M453),IF(N453="",M453,N453)))</x:f>
      </x:c>
      <x:c r="P453" s="23" t="str">
        <x:f>IF(AND(M453="",N453=""),"",MAX(IF(M453="",N453,M453),IF(N453="",M453,N453)))</x:f>
      </x:c>
    </x:row>
    <x:row r="454" ht="21" customHeight="1">
      <x:c r="A454" s="26"/>
      <x:c r="B454" s="23"/>
      <x:c r="C454" s="23"/>
      <x:c r="D454" s="28"/>
      <x:c r="E454" s="28"/>
      <x:c r="F454" s="23"/>
      <x:c r="G454" s="23"/>
      <x:c r="H454" s="23"/>
      <x:c r="I454" s="30"/>
      <x:c r="J454" s="23"/>
      <x:c r="K454" s="23"/>
      <x:c r="L454" s="23"/>
      <x:c r="M454" s="23" t="str">
        <x:f>IF(D454="","",VALUE(LEFT(D454,FIND("+",D454)-1))*1000+VALUE(MID(D454,FIND("+",D454)+1,3)))</x:f>
      </x:c>
      <x:c r="N454" s="23" t="str">
        <x:f>IF(E454="","",VALUE(LEFT(E454,FIND("+",E454)-1))*1000+VALUE(MID(E454,FIND("+",E454)+1,3)))</x:f>
      </x:c>
      <x:c r="O454" s="23" t="str">
        <x:f>IF(AND(M454="",N454=""),"",MIN(IF(M454="",N454,M454),IF(N454="",M454,N454)))</x:f>
      </x:c>
      <x:c r="P454" s="23" t="str">
        <x:f>IF(AND(M454="",N454=""),"",MAX(IF(M454="",N454,M454),IF(N454="",M454,N454)))</x:f>
      </x:c>
    </x:row>
    <x:row r="455" ht="21" customHeight="1">
      <x:c r="A455" s="26"/>
      <x:c r="B455" s="23"/>
      <x:c r="C455" s="23"/>
      <x:c r="D455" s="28"/>
      <x:c r="E455" s="28"/>
      <x:c r="F455" s="23"/>
      <x:c r="G455" s="23"/>
      <x:c r="H455" s="23"/>
      <x:c r="I455" s="30"/>
      <x:c r="J455" s="23"/>
      <x:c r="K455" s="23"/>
      <x:c r="L455" s="23"/>
      <x:c r="M455" s="23" t="str">
        <x:f>IF(D455="","",VALUE(LEFT(D455,FIND("+",D455)-1))*1000+VALUE(MID(D455,FIND("+",D455)+1,3)))</x:f>
      </x:c>
      <x:c r="N455" s="23" t="str">
        <x:f>IF(E455="","",VALUE(LEFT(E455,FIND("+",E455)-1))*1000+VALUE(MID(E455,FIND("+",E455)+1,3)))</x:f>
      </x:c>
      <x:c r="O455" s="23" t="str">
        <x:f>IF(AND(M455="",N455=""),"",MIN(IF(M455="",N455,M455),IF(N455="",M455,N455)))</x:f>
      </x:c>
      <x:c r="P455" s="23" t="str">
        <x:f>IF(AND(M455="",N455=""),"",MAX(IF(M455="",N455,M455),IF(N455="",M455,N455)))</x:f>
      </x:c>
    </x:row>
    <x:row r="456" ht="21" customHeight="1">
      <x:c r="A456" s="26"/>
      <x:c r="B456" s="23"/>
      <x:c r="C456" s="23"/>
      <x:c r="D456" s="28"/>
      <x:c r="E456" s="28"/>
      <x:c r="F456" s="23"/>
      <x:c r="G456" s="23"/>
      <x:c r="H456" s="23"/>
      <x:c r="I456" s="30"/>
      <x:c r="J456" s="23"/>
      <x:c r="K456" s="23"/>
      <x:c r="L456" s="23"/>
      <x:c r="M456" s="23" t="str">
        <x:f>IF(D456="","",VALUE(LEFT(D456,FIND("+",D456)-1))*1000+VALUE(MID(D456,FIND("+",D456)+1,3)))</x:f>
      </x:c>
      <x:c r="N456" s="23" t="str">
        <x:f>IF(E456="","",VALUE(LEFT(E456,FIND("+",E456)-1))*1000+VALUE(MID(E456,FIND("+",E456)+1,3)))</x:f>
      </x:c>
      <x:c r="O456" s="23" t="str">
        <x:f>IF(AND(M456="",N456=""),"",MIN(IF(M456="",N456,M456),IF(N456="",M456,N456)))</x:f>
      </x:c>
      <x:c r="P456" s="23" t="str">
        <x:f>IF(AND(M456="",N456=""),"",MAX(IF(M456="",N456,M456),IF(N456="",M456,N456)))</x:f>
      </x:c>
    </x:row>
    <x:row r="457" ht="21" customHeight="1">
      <x:c r="A457" s="26"/>
      <x:c r="B457" s="23"/>
      <x:c r="C457" s="23"/>
      <x:c r="D457" s="28"/>
      <x:c r="E457" s="28"/>
      <x:c r="F457" s="23"/>
      <x:c r="G457" s="23"/>
      <x:c r="H457" s="23"/>
      <x:c r="I457" s="30"/>
      <x:c r="J457" s="23"/>
      <x:c r="K457" s="23"/>
      <x:c r="L457" s="23"/>
      <x:c r="M457" s="23" t="str">
        <x:f>IF(D457="","",VALUE(LEFT(D457,FIND("+",D457)-1))*1000+VALUE(MID(D457,FIND("+",D457)+1,3)))</x:f>
      </x:c>
      <x:c r="N457" s="23" t="str">
        <x:f>IF(E457="","",VALUE(LEFT(E457,FIND("+",E457)-1))*1000+VALUE(MID(E457,FIND("+",E457)+1,3)))</x:f>
      </x:c>
      <x:c r="O457" s="23" t="str">
        <x:f>IF(AND(M457="",N457=""),"",MIN(IF(M457="",N457,M457),IF(N457="",M457,N457)))</x:f>
      </x:c>
      <x:c r="P457" s="23" t="str">
        <x:f>IF(AND(M457="",N457=""),"",MAX(IF(M457="",N457,M457),IF(N457="",M457,N457)))</x:f>
      </x:c>
    </x:row>
    <x:row r="458" ht="21" customHeight="1">
      <x:c r="A458" s="26"/>
      <x:c r="B458" s="23"/>
      <x:c r="C458" s="23"/>
      <x:c r="D458" s="28"/>
      <x:c r="E458" s="28"/>
      <x:c r="F458" s="23"/>
      <x:c r="G458" s="23"/>
      <x:c r="H458" s="23"/>
      <x:c r="I458" s="30"/>
      <x:c r="J458" s="23"/>
      <x:c r="K458" s="23"/>
      <x:c r="L458" s="23"/>
      <x:c r="M458" s="23" t="str">
        <x:f>IF(D458="","",VALUE(LEFT(D458,FIND("+",D458)-1))*1000+VALUE(MID(D458,FIND("+",D458)+1,3)))</x:f>
      </x:c>
      <x:c r="N458" s="23" t="str">
        <x:f>IF(E458="","",VALUE(LEFT(E458,FIND("+",E458)-1))*1000+VALUE(MID(E458,FIND("+",E458)+1,3)))</x:f>
      </x:c>
      <x:c r="O458" s="23" t="str">
        <x:f>IF(AND(M458="",N458=""),"",MIN(IF(M458="",N458,M458),IF(N458="",M458,N458)))</x:f>
      </x:c>
      <x:c r="P458" s="23" t="str">
        <x:f>IF(AND(M458="",N458=""),"",MAX(IF(M458="",N458,M458),IF(N458="",M458,N458)))</x:f>
      </x:c>
    </x:row>
    <x:row r="459" ht="21" customHeight="1">
      <x:c r="A459" s="26"/>
      <x:c r="B459" s="23"/>
      <x:c r="C459" s="23"/>
      <x:c r="D459" s="28"/>
      <x:c r="E459" s="28"/>
      <x:c r="F459" s="23"/>
      <x:c r="G459" s="23"/>
      <x:c r="H459" s="23"/>
      <x:c r="I459" s="30"/>
      <x:c r="J459" s="23"/>
      <x:c r="K459" s="23"/>
      <x:c r="L459" s="23"/>
      <x:c r="M459" s="23" t="str">
        <x:f>IF(D459="","",VALUE(LEFT(D459,FIND("+",D459)-1))*1000+VALUE(MID(D459,FIND("+",D459)+1,3)))</x:f>
      </x:c>
      <x:c r="N459" s="23" t="str">
        <x:f>IF(E459="","",VALUE(LEFT(E459,FIND("+",E459)-1))*1000+VALUE(MID(E459,FIND("+",E459)+1,3)))</x:f>
      </x:c>
      <x:c r="O459" s="23" t="str">
        <x:f>IF(AND(M459="",N459=""),"",MIN(IF(M459="",N459,M459),IF(N459="",M459,N459)))</x:f>
      </x:c>
      <x:c r="P459" s="23" t="str">
        <x:f>IF(AND(M459="",N459=""),"",MAX(IF(M459="",N459,M459),IF(N459="",M459,N459)))</x:f>
      </x:c>
    </x:row>
    <x:row r="460" ht="21" customHeight="1">
      <x:c r="A460" s="26"/>
      <x:c r="B460" s="23"/>
      <x:c r="C460" s="23"/>
      <x:c r="D460" s="28"/>
      <x:c r="E460" s="28"/>
      <x:c r="F460" s="23"/>
      <x:c r="G460" s="23"/>
      <x:c r="H460" s="23"/>
      <x:c r="I460" s="30"/>
      <x:c r="J460" s="23"/>
      <x:c r="K460" s="23"/>
      <x:c r="L460" s="23"/>
      <x:c r="M460" s="23" t="str">
        <x:f>IF(D460="","",VALUE(LEFT(D460,FIND("+",D460)-1))*1000+VALUE(MID(D460,FIND("+",D460)+1,3)))</x:f>
      </x:c>
      <x:c r="N460" s="23" t="str">
        <x:f>IF(E460="","",VALUE(LEFT(E460,FIND("+",E460)-1))*1000+VALUE(MID(E460,FIND("+",E460)+1,3)))</x:f>
      </x:c>
      <x:c r="O460" s="23" t="str">
        <x:f>IF(AND(M460="",N460=""),"",MIN(IF(M460="",N460,M460),IF(N460="",M460,N460)))</x:f>
      </x:c>
      <x:c r="P460" s="23" t="str">
        <x:f>IF(AND(M460="",N460=""),"",MAX(IF(M460="",N460,M460),IF(N460="",M460,N460)))</x:f>
      </x:c>
    </x:row>
    <x:row r="461" ht="21" customHeight="1">
      <x:c r="A461" s="26"/>
      <x:c r="B461" s="23"/>
      <x:c r="C461" s="23"/>
      <x:c r="D461" s="28"/>
      <x:c r="E461" s="28"/>
      <x:c r="F461" s="23"/>
      <x:c r="G461" s="23"/>
      <x:c r="H461" s="23"/>
      <x:c r="I461" s="30"/>
      <x:c r="J461" s="23"/>
      <x:c r="K461" s="23"/>
      <x:c r="L461" s="23"/>
      <x:c r="M461" s="23" t="str">
        <x:f>IF(D461="","",VALUE(LEFT(D461,FIND("+",D461)-1))*1000+VALUE(MID(D461,FIND("+",D461)+1,3)))</x:f>
      </x:c>
      <x:c r="N461" s="23" t="str">
        <x:f>IF(E461="","",VALUE(LEFT(E461,FIND("+",E461)-1))*1000+VALUE(MID(E461,FIND("+",E461)+1,3)))</x:f>
      </x:c>
      <x:c r="O461" s="23" t="str">
        <x:f>IF(AND(M461="",N461=""),"",MIN(IF(M461="",N461,M461),IF(N461="",M461,N461)))</x:f>
      </x:c>
      <x:c r="P461" s="23" t="str">
        <x:f>IF(AND(M461="",N461=""),"",MAX(IF(M461="",N461,M461),IF(N461="",M461,N461)))</x:f>
      </x:c>
    </x:row>
    <x:row r="462" ht="21" customHeight="1">
      <x:c r="A462" s="26"/>
      <x:c r="B462" s="23"/>
      <x:c r="C462" s="23"/>
      <x:c r="D462" s="28"/>
      <x:c r="E462" s="28"/>
      <x:c r="F462" s="23"/>
      <x:c r="G462" s="23"/>
      <x:c r="H462" s="23"/>
      <x:c r="I462" s="30"/>
      <x:c r="J462" s="23"/>
      <x:c r="K462" s="23"/>
      <x:c r="L462" s="23"/>
      <x:c r="M462" s="23" t="str">
        <x:f>IF(D462="","",VALUE(LEFT(D462,FIND("+",D462)-1))*1000+VALUE(MID(D462,FIND("+",D462)+1,3)))</x:f>
      </x:c>
      <x:c r="N462" s="23" t="str">
        <x:f>IF(E462="","",VALUE(LEFT(E462,FIND("+",E462)-1))*1000+VALUE(MID(E462,FIND("+",E462)+1,3)))</x:f>
      </x:c>
      <x:c r="O462" s="23" t="str">
        <x:f>IF(AND(M462="",N462=""),"",MIN(IF(M462="",N462,M462),IF(N462="",M462,N462)))</x:f>
      </x:c>
      <x:c r="P462" s="23" t="str">
        <x:f>IF(AND(M462="",N462=""),"",MAX(IF(M462="",N462,M462),IF(N462="",M462,N462)))</x:f>
      </x:c>
    </x:row>
    <x:row r="463" ht="21" customHeight="1">
      <x:c r="A463" s="26"/>
      <x:c r="B463" s="23"/>
      <x:c r="C463" s="23"/>
      <x:c r="D463" s="28"/>
      <x:c r="E463" s="28"/>
      <x:c r="F463" s="23"/>
      <x:c r="G463" s="23"/>
      <x:c r="H463" s="23"/>
      <x:c r="I463" s="30"/>
      <x:c r="J463" s="23"/>
      <x:c r="K463" s="23"/>
      <x:c r="L463" s="23"/>
      <x:c r="M463" s="23" t="str">
        <x:f>IF(D463="","",VALUE(LEFT(D463,FIND("+",D463)-1))*1000+VALUE(MID(D463,FIND("+",D463)+1,3)))</x:f>
      </x:c>
      <x:c r="N463" s="23" t="str">
        <x:f>IF(E463="","",VALUE(LEFT(E463,FIND("+",E463)-1))*1000+VALUE(MID(E463,FIND("+",E463)+1,3)))</x:f>
      </x:c>
      <x:c r="O463" s="23" t="str">
        <x:f>IF(AND(M463="",N463=""),"",MIN(IF(M463="",N463,M463),IF(N463="",M463,N463)))</x:f>
      </x:c>
      <x:c r="P463" s="23" t="str">
        <x:f>IF(AND(M463="",N463=""),"",MAX(IF(M463="",N463,M463),IF(N463="",M463,N463)))</x:f>
      </x:c>
    </x:row>
    <x:row r="464" ht="21" customHeight="1">
      <x:c r="A464" s="26"/>
      <x:c r="B464" s="23"/>
      <x:c r="C464" s="23"/>
      <x:c r="D464" s="28"/>
      <x:c r="E464" s="28"/>
      <x:c r="F464" s="23"/>
      <x:c r="G464" s="23"/>
      <x:c r="H464" s="23"/>
      <x:c r="I464" s="30"/>
      <x:c r="J464" s="23"/>
      <x:c r="K464" s="23"/>
      <x:c r="L464" s="23"/>
      <x:c r="M464" s="23" t="str">
        <x:f>IF(D464="","",VALUE(LEFT(D464,FIND("+",D464)-1))*1000+VALUE(MID(D464,FIND("+",D464)+1,3)))</x:f>
      </x:c>
      <x:c r="N464" s="23" t="str">
        <x:f>IF(E464="","",VALUE(LEFT(E464,FIND("+",E464)-1))*1000+VALUE(MID(E464,FIND("+",E464)+1,3)))</x:f>
      </x:c>
      <x:c r="O464" s="23" t="str">
        <x:f>IF(AND(M464="",N464=""),"",MIN(IF(M464="",N464,M464),IF(N464="",M464,N464)))</x:f>
      </x:c>
      <x:c r="P464" s="23" t="str">
        <x:f>IF(AND(M464="",N464=""),"",MAX(IF(M464="",N464,M464),IF(N464="",M464,N464)))</x:f>
      </x:c>
    </x:row>
    <x:row r="465" ht="21" customHeight="1">
      <x:c r="A465" s="26"/>
      <x:c r="B465" s="23"/>
      <x:c r="C465" s="23"/>
      <x:c r="D465" s="28"/>
      <x:c r="E465" s="28"/>
      <x:c r="F465" s="23"/>
      <x:c r="G465" s="23"/>
      <x:c r="H465" s="23"/>
      <x:c r="I465" s="30"/>
      <x:c r="J465" s="23"/>
      <x:c r="K465" s="23"/>
      <x:c r="L465" s="23"/>
      <x:c r="M465" s="23" t="str">
        <x:f>IF(D465="","",VALUE(LEFT(D465,FIND("+",D465)-1))*1000+VALUE(MID(D465,FIND("+",D465)+1,3)))</x:f>
      </x:c>
      <x:c r="N465" s="23" t="str">
        <x:f>IF(E465="","",VALUE(LEFT(E465,FIND("+",E465)-1))*1000+VALUE(MID(E465,FIND("+",E465)+1,3)))</x:f>
      </x:c>
      <x:c r="O465" s="23" t="str">
        <x:f>IF(AND(M465="",N465=""),"",MIN(IF(M465="",N465,M465),IF(N465="",M465,N465)))</x:f>
      </x:c>
      <x:c r="P465" s="23" t="str">
        <x:f>IF(AND(M465="",N465=""),"",MAX(IF(M465="",N465,M465),IF(N465="",M465,N465)))</x:f>
      </x:c>
    </x:row>
    <x:row r="466" ht="21" customHeight="1">
      <x:c r="A466" s="26"/>
      <x:c r="B466" s="23"/>
      <x:c r="C466" s="23"/>
      <x:c r="D466" s="28"/>
      <x:c r="E466" s="28"/>
      <x:c r="F466" s="23"/>
      <x:c r="G466" s="23"/>
      <x:c r="H466" s="23"/>
      <x:c r="I466" s="30"/>
      <x:c r="J466" s="23"/>
      <x:c r="K466" s="23"/>
      <x:c r="L466" s="23"/>
      <x:c r="M466" s="23" t="str">
        <x:f>IF(D466="","",VALUE(LEFT(D466,FIND("+",D466)-1))*1000+VALUE(MID(D466,FIND("+",D466)+1,3)))</x:f>
      </x:c>
      <x:c r="N466" s="23" t="str">
        <x:f>IF(E466="","",VALUE(LEFT(E466,FIND("+",E466)-1))*1000+VALUE(MID(E466,FIND("+",E466)+1,3)))</x:f>
      </x:c>
      <x:c r="O466" s="23" t="str">
        <x:f>IF(AND(M466="",N466=""),"",MIN(IF(M466="",N466,M466),IF(N466="",M466,N466)))</x:f>
      </x:c>
      <x:c r="P466" s="23" t="str">
        <x:f>IF(AND(M466="",N466=""),"",MAX(IF(M466="",N466,M466),IF(N466="",M466,N466)))</x:f>
      </x:c>
    </x:row>
    <x:row r="467" ht="21" customHeight="1">
      <x:c r="A467" s="26"/>
      <x:c r="B467" s="23"/>
      <x:c r="C467" s="23"/>
      <x:c r="D467" s="28"/>
      <x:c r="E467" s="28"/>
      <x:c r="F467" s="23"/>
      <x:c r="G467" s="23"/>
      <x:c r="H467" s="23"/>
      <x:c r="I467" s="30"/>
      <x:c r="J467" s="23"/>
      <x:c r="K467" s="23"/>
      <x:c r="L467" s="23"/>
      <x:c r="M467" s="23" t="str">
        <x:f>IF(D467="","",VALUE(LEFT(D467,FIND("+",D467)-1))*1000+VALUE(MID(D467,FIND("+",D467)+1,3)))</x:f>
      </x:c>
      <x:c r="N467" s="23" t="str">
        <x:f>IF(E467="","",VALUE(LEFT(E467,FIND("+",E467)-1))*1000+VALUE(MID(E467,FIND("+",E467)+1,3)))</x:f>
      </x:c>
      <x:c r="O467" s="23" t="str">
        <x:f>IF(AND(M467="",N467=""),"",MIN(IF(M467="",N467,M467),IF(N467="",M467,N467)))</x:f>
      </x:c>
      <x:c r="P467" s="23" t="str">
        <x:f>IF(AND(M467="",N467=""),"",MAX(IF(M467="",N467,M467),IF(N467="",M467,N467)))</x:f>
      </x:c>
    </x:row>
    <x:row r="468" ht="21" customHeight="1">
      <x:c r="A468" s="26"/>
      <x:c r="B468" s="23"/>
      <x:c r="C468" s="23"/>
      <x:c r="D468" s="28"/>
      <x:c r="E468" s="28"/>
      <x:c r="F468" s="23"/>
      <x:c r="G468" s="23"/>
      <x:c r="H468" s="23"/>
      <x:c r="I468" s="30"/>
      <x:c r="J468" s="23"/>
      <x:c r="K468" s="23"/>
      <x:c r="L468" s="23"/>
      <x:c r="M468" s="23" t="str">
        <x:f>IF(D468="","",VALUE(LEFT(D468,FIND("+",D468)-1))*1000+VALUE(MID(D468,FIND("+",D468)+1,3)))</x:f>
      </x:c>
      <x:c r="N468" s="23" t="str">
        <x:f>IF(E468="","",VALUE(LEFT(E468,FIND("+",E468)-1))*1000+VALUE(MID(E468,FIND("+",E468)+1,3)))</x:f>
      </x:c>
      <x:c r="O468" s="23" t="str">
        <x:f>IF(AND(M468="",N468=""),"",MIN(IF(M468="",N468,M468),IF(N468="",M468,N468)))</x:f>
      </x:c>
      <x:c r="P468" s="23" t="str">
        <x:f>IF(AND(M468="",N468=""),"",MAX(IF(M468="",N468,M468),IF(N468="",M468,N468)))</x:f>
      </x:c>
    </x:row>
    <x:row r="469" ht="21" customHeight="1">
      <x:c r="A469" s="26"/>
      <x:c r="B469" s="23"/>
      <x:c r="C469" s="23"/>
      <x:c r="D469" s="28"/>
      <x:c r="E469" s="28"/>
      <x:c r="F469" s="23"/>
      <x:c r="G469" s="23"/>
      <x:c r="H469" s="23"/>
      <x:c r="I469" s="30"/>
      <x:c r="J469" s="23"/>
      <x:c r="K469" s="23"/>
      <x:c r="L469" s="23"/>
      <x:c r="M469" s="23" t="str">
        <x:f>IF(D469="","",VALUE(LEFT(D469,FIND("+",D469)-1))*1000+VALUE(MID(D469,FIND("+",D469)+1,3)))</x:f>
      </x:c>
      <x:c r="N469" s="23" t="str">
        <x:f>IF(E469="","",VALUE(LEFT(E469,FIND("+",E469)-1))*1000+VALUE(MID(E469,FIND("+",E469)+1,3)))</x:f>
      </x:c>
      <x:c r="O469" s="23" t="str">
        <x:f>IF(AND(M469="",N469=""),"",MIN(IF(M469="",N469,M469),IF(N469="",M469,N469)))</x:f>
      </x:c>
      <x:c r="P469" s="23" t="str">
        <x:f>IF(AND(M469="",N469=""),"",MAX(IF(M469="",N469,M469),IF(N469="",M469,N469)))</x:f>
      </x:c>
    </x:row>
    <x:row r="470" ht="21" customHeight="1">
      <x:c r="A470" s="26"/>
      <x:c r="B470" s="23"/>
      <x:c r="C470" s="23"/>
      <x:c r="D470" s="28"/>
      <x:c r="E470" s="28"/>
      <x:c r="F470" s="23"/>
      <x:c r="G470" s="23"/>
      <x:c r="H470" s="23"/>
      <x:c r="I470" s="30"/>
      <x:c r="J470" s="23"/>
      <x:c r="K470" s="23"/>
      <x:c r="L470" s="23"/>
      <x:c r="M470" s="23" t="str">
        <x:f>IF(D470="","",VALUE(LEFT(D470,FIND("+",D470)-1))*1000+VALUE(MID(D470,FIND("+",D470)+1,3)))</x:f>
      </x:c>
      <x:c r="N470" s="23" t="str">
        <x:f>IF(E470="","",VALUE(LEFT(E470,FIND("+",E470)-1))*1000+VALUE(MID(E470,FIND("+",E470)+1,3)))</x:f>
      </x:c>
      <x:c r="O470" s="23" t="str">
        <x:f>IF(AND(M470="",N470=""),"",MIN(IF(M470="",N470,M470),IF(N470="",M470,N470)))</x:f>
      </x:c>
      <x:c r="P470" s="23" t="str">
        <x:f>IF(AND(M470="",N470=""),"",MAX(IF(M470="",N470,M470),IF(N470="",M470,N470)))</x:f>
      </x:c>
    </x:row>
    <x:row r="471" ht="21" customHeight="1">
      <x:c r="A471" s="26"/>
      <x:c r="B471" s="23"/>
      <x:c r="C471" s="23"/>
      <x:c r="D471" s="28"/>
      <x:c r="E471" s="28"/>
      <x:c r="F471" s="23"/>
      <x:c r="G471" s="23"/>
      <x:c r="H471" s="23"/>
      <x:c r="I471" s="30"/>
      <x:c r="J471" s="23"/>
      <x:c r="K471" s="23"/>
      <x:c r="L471" s="23"/>
      <x:c r="M471" s="23" t="str">
        <x:f>IF(D471="","",VALUE(LEFT(D471,FIND("+",D471)-1))*1000+VALUE(MID(D471,FIND("+",D471)+1,3)))</x:f>
      </x:c>
      <x:c r="N471" s="23" t="str">
        <x:f>IF(E471="","",VALUE(LEFT(E471,FIND("+",E471)-1))*1000+VALUE(MID(E471,FIND("+",E471)+1,3)))</x:f>
      </x:c>
      <x:c r="O471" s="23" t="str">
        <x:f>IF(AND(M471="",N471=""),"",MIN(IF(M471="",N471,M471),IF(N471="",M471,N471)))</x:f>
      </x:c>
      <x:c r="P471" s="23" t="str">
        <x:f>IF(AND(M471="",N471=""),"",MAX(IF(M471="",N471,M471),IF(N471="",M471,N471)))</x:f>
      </x:c>
    </x:row>
    <x:row r="472" ht="21" customHeight="1">
      <x:c r="A472" s="26"/>
      <x:c r="B472" s="23"/>
      <x:c r="C472" s="23"/>
      <x:c r="D472" s="28"/>
      <x:c r="E472" s="28"/>
      <x:c r="F472" s="23"/>
      <x:c r="G472" s="23"/>
      <x:c r="H472" s="23"/>
      <x:c r="I472" s="30"/>
      <x:c r="J472" s="23"/>
      <x:c r="K472" s="23"/>
      <x:c r="L472" s="23"/>
      <x:c r="M472" s="23" t="str">
        <x:f>IF(D472="","",VALUE(LEFT(D472,FIND("+",D472)-1))*1000+VALUE(MID(D472,FIND("+",D472)+1,3)))</x:f>
      </x:c>
      <x:c r="N472" s="23" t="str">
        <x:f>IF(E472="","",VALUE(LEFT(E472,FIND("+",E472)-1))*1000+VALUE(MID(E472,FIND("+",E472)+1,3)))</x:f>
      </x:c>
      <x:c r="O472" s="23" t="str">
        <x:f>IF(AND(M472="",N472=""),"",MIN(IF(M472="",N472,M472),IF(N472="",M472,N472)))</x:f>
      </x:c>
      <x:c r="P472" s="23" t="str">
        <x:f>IF(AND(M472="",N472=""),"",MAX(IF(M472="",N472,M472),IF(N472="",M472,N472)))</x:f>
      </x:c>
    </x:row>
    <x:row r="473" ht="21" customHeight="1">
      <x:c r="A473" s="26"/>
      <x:c r="B473" s="23"/>
      <x:c r="C473" s="23"/>
      <x:c r="D473" s="28"/>
      <x:c r="E473" s="28"/>
      <x:c r="F473" s="23"/>
      <x:c r="G473" s="23"/>
      <x:c r="H473" s="23"/>
      <x:c r="I473" s="30"/>
      <x:c r="J473" s="23"/>
      <x:c r="K473" s="23"/>
      <x:c r="L473" s="23"/>
      <x:c r="M473" s="23" t="str">
        <x:f>IF(D473="","",VALUE(LEFT(D473,FIND("+",D473)-1))*1000+VALUE(MID(D473,FIND("+",D473)+1,3)))</x:f>
      </x:c>
      <x:c r="N473" s="23" t="str">
        <x:f>IF(E473="","",VALUE(LEFT(E473,FIND("+",E473)-1))*1000+VALUE(MID(E473,FIND("+",E473)+1,3)))</x:f>
      </x:c>
      <x:c r="O473" s="23" t="str">
        <x:f>IF(AND(M473="",N473=""),"",MIN(IF(M473="",N473,M473),IF(N473="",M473,N473)))</x:f>
      </x:c>
      <x:c r="P473" s="23" t="str">
        <x:f>IF(AND(M473="",N473=""),"",MAX(IF(M473="",N473,M473),IF(N473="",M473,N473)))</x:f>
      </x:c>
    </x:row>
    <x:row r="474" ht="21" customHeight="1">
      <x:c r="A474" s="26"/>
      <x:c r="B474" s="23"/>
      <x:c r="C474" s="23"/>
      <x:c r="D474" s="28"/>
      <x:c r="E474" s="28"/>
      <x:c r="F474" s="23"/>
      <x:c r="G474" s="23"/>
      <x:c r="H474" s="23"/>
      <x:c r="I474" s="30"/>
      <x:c r="J474" s="23"/>
      <x:c r="K474" s="23"/>
      <x:c r="L474" s="23"/>
      <x:c r="M474" s="23" t="str">
        <x:f>IF(D474="","",VALUE(LEFT(D474,FIND("+",D474)-1))*1000+VALUE(MID(D474,FIND("+",D474)+1,3)))</x:f>
      </x:c>
      <x:c r="N474" s="23" t="str">
        <x:f>IF(E474="","",VALUE(LEFT(E474,FIND("+",E474)-1))*1000+VALUE(MID(E474,FIND("+",E474)+1,3)))</x:f>
      </x:c>
      <x:c r="O474" s="23" t="str">
        <x:f>IF(AND(M474="",N474=""),"",MIN(IF(M474="",N474,M474),IF(N474="",M474,N474)))</x:f>
      </x:c>
      <x:c r="P474" s="23" t="str">
        <x:f>IF(AND(M474="",N474=""),"",MAX(IF(M474="",N474,M474),IF(N474="",M474,N474)))</x:f>
      </x:c>
    </x:row>
    <x:row r="475" ht="21" customHeight="1">
      <x:c r="A475" s="26"/>
      <x:c r="B475" s="23"/>
      <x:c r="C475" s="23"/>
      <x:c r="D475" s="28"/>
      <x:c r="E475" s="28"/>
      <x:c r="F475" s="23"/>
      <x:c r="G475" s="23"/>
      <x:c r="H475" s="23"/>
      <x:c r="I475" s="30"/>
      <x:c r="J475" s="23"/>
      <x:c r="K475" s="23"/>
      <x:c r="L475" s="23"/>
      <x:c r="M475" s="23" t="str">
        <x:f>IF(D475="","",VALUE(LEFT(D475,FIND("+",D475)-1))*1000+VALUE(MID(D475,FIND("+",D475)+1,3)))</x:f>
      </x:c>
      <x:c r="N475" s="23" t="str">
        <x:f>IF(E475="","",VALUE(LEFT(E475,FIND("+",E475)-1))*1000+VALUE(MID(E475,FIND("+",E475)+1,3)))</x:f>
      </x:c>
      <x:c r="O475" s="23" t="str">
        <x:f>IF(AND(M475="",N475=""),"",MIN(IF(M475="",N475,M475),IF(N475="",M475,N475)))</x:f>
      </x:c>
      <x:c r="P475" s="23" t="str">
        <x:f>IF(AND(M475="",N475=""),"",MAX(IF(M475="",N475,M475),IF(N475="",M475,N475)))</x:f>
      </x:c>
    </x:row>
    <x:row r="476" ht="21" customHeight="1">
      <x:c r="A476" s="26"/>
      <x:c r="B476" s="23"/>
      <x:c r="C476" s="23"/>
      <x:c r="D476" s="28"/>
      <x:c r="E476" s="28"/>
      <x:c r="F476" s="23"/>
      <x:c r="G476" s="23"/>
      <x:c r="H476" s="23"/>
      <x:c r="I476" s="30"/>
      <x:c r="J476" s="23"/>
      <x:c r="K476" s="23"/>
      <x:c r="L476" s="23"/>
      <x:c r="M476" s="23" t="str">
        <x:f>IF(D476="","",VALUE(LEFT(D476,FIND("+",D476)-1))*1000+VALUE(MID(D476,FIND("+",D476)+1,3)))</x:f>
      </x:c>
      <x:c r="N476" s="23" t="str">
        <x:f>IF(E476="","",VALUE(LEFT(E476,FIND("+",E476)-1))*1000+VALUE(MID(E476,FIND("+",E476)+1,3)))</x:f>
      </x:c>
      <x:c r="O476" s="23" t="str">
        <x:f>IF(AND(M476="",N476=""),"",MIN(IF(M476="",N476,M476),IF(N476="",M476,N476)))</x:f>
      </x:c>
      <x:c r="P476" s="23" t="str">
        <x:f>IF(AND(M476="",N476=""),"",MAX(IF(M476="",N476,M476),IF(N476="",M476,N476)))</x:f>
      </x:c>
    </x:row>
    <x:row r="477" ht="21" customHeight="1">
      <x:c r="A477" s="26"/>
      <x:c r="B477" s="23"/>
      <x:c r="C477" s="23"/>
      <x:c r="D477" s="28"/>
      <x:c r="E477" s="28"/>
      <x:c r="F477" s="23"/>
      <x:c r="G477" s="23"/>
      <x:c r="H477" s="23"/>
      <x:c r="I477" s="30"/>
      <x:c r="J477" s="23"/>
      <x:c r="K477" s="23"/>
      <x:c r="L477" s="23"/>
      <x:c r="M477" s="23" t="str">
        <x:f>IF(D477="","",VALUE(LEFT(D477,FIND("+",D477)-1))*1000+VALUE(MID(D477,FIND("+",D477)+1,3)))</x:f>
      </x:c>
      <x:c r="N477" s="23" t="str">
        <x:f>IF(E477="","",VALUE(LEFT(E477,FIND("+",E477)-1))*1000+VALUE(MID(E477,FIND("+",E477)+1,3)))</x:f>
      </x:c>
      <x:c r="O477" s="23" t="str">
        <x:f>IF(AND(M477="",N477=""),"",MIN(IF(M477="",N477,M477),IF(N477="",M477,N477)))</x:f>
      </x:c>
      <x:c r="P477" s="23" t="str">
        <x:f>IF(AND(M477="",N477=""),"",MAX(IF(M477="",N477,M477),IF(N477="",M477,N477)))</x:f>
      </x:c>
    </x:row>
    <x:row r="478" ht="21" customHeight="1">
      <x:c r="A478" s="26"/>
      <x:c r="B478" s="23"/>
      <x:c r="C478" s="23"/>
      <x:c r="D478" s="28"/>
      <x:c r="E478" s="28"/>
      <x:c r="F478" s="23"/>
      <x:c r="G478" s="23"/>
      <x:c r="H478" s="23"/>
      <x:c r="I478" s="30"/>
      <x:c r="J478" s="23"/>
      <x:c r="K478" s="23"/>
      <x:c r="L478" s="23"/>
      <x:c r="M478" s="23" t="str">
        <x:f>IF(D478="","",VALUE(LEFT(D478,FIND("+",D478)-1))*1000+VALUE(MID(D478,FIND("+",D478)+1,3)))</x:f>
      </x:c>
      <x:c r="N478" s="23" t="str">
        <x:f>IF(E478="","",VALUE(LEFT(E478,FIND("+",E478)-1))*1000+VALUE(MID(E478,FIND("+",E478)+1,3)))</x:f>
      </x:c>
      <x:c r="O478" s="23" t="str">
        <x:f>IF(AND(M478="",N478=""),"",MIN(IF(M478="",N478,M478),IF(N478="",M478,N478)))</x:f>
      </x:c>
      <x:c r="P478" s="23" t="str">
        <x:f>IF(AND(M478="",N478=""),"",MAX(IF(M478="",N478,M478),IF(N478="",M478,N478)))</x:f>
      </x:c>
    </x:row>
    <x:row r="479" ht="21" customHeight="1">
      <x:c r="A479" s="26"/>
      <x:c r="B479" s="23"/>
      <x:c r="C479" s="23"/>
      <x:c r="D479" s="28"/>
      <x:c r="E479" s="28"/>
      <x:c r="F479" s="23"/>
      <x:c r="G479" s="23"/>
      <x:c r="H479" s="23"/>
      <x:c r="I479" s="30"/>
      <x:c r="J479" s="23"/>
      <x:c r="K479" s="23"/>
      <x:c r="L479" s="23"/>
      <x:c r="M479" s="23" t="str">
        <x:f>IF(D479="","",VALUE(LEFT(D479,FIND("+",D479)-1))*1000+VALUE(MID(D479,FIND("+",D479)+1,3)))</x:f>
      </x:c>
      <x:c r="N479" s="23" t="str">
        <x:f>IF(E479="","",VALUE(LEFT(E479,FIND("+",E479)-1))*1000+VALUE(MID(E479,FIND("+",E479)+1,3)))</x:f>
      </x:c>
      <x:c r="O479" s="23" t="str">
        <x:f>IF(AND(M479="",N479=""),"",MIN(IF(M479="",N479,M479),IF(N479="",M479,N479)))</x:f>
      </x:c>
      <x:c r="P479" s="23" t="str">
        <x:f>IF(AND(M479="",N479=""),"",MAX(IF(M479="",N479,M479),IF(N479="",M479,N479)))</x:f>
      </x:c>
    </x:row>
    <x:row r="480" ht="21" customHeight="1">
      <x:c r="A480" s="26"/>
      <x:c r="B480" s="23"/>
      <x:c r="C480" s="23"/>
      <x:c r="D480" s="28"/>
      <x:c r="E480" s="28"/>
      <x:c r="F480" s="23"/>
      <x:c r="G480" s="23"/>
      <x:c r="H480" s="23"/>
      <x:c r="I480" s="30"/>
      <x:c r="J480" s="23"/>
      <x:c r="K480" s="23"/>
      <x:c r="L480" s="23"/>
      <x:c r="M480" s="23" t="str">
        <x:f>IF(D480="","",VALUE(LEFT(D480,FIND("+",D480)-1))*1000+VALUE(MID(D480,FIND("+",D480)+1,3)))</x:f>
      </x:c>
      <x:c r="N480" s="23" t="str">
        <x:f>IF(E480="","",VALUE(LEFT(E480,FIND("+",E480)-1))*1000+VALUE(MID(E480,FIND("+",E480)+1,3)))</x:f>
      </x:c>
      <x:c r="O480" s="23" t="str">
        <x:f>IF(AND(M480="",N480=""),"",MIN(IF(M480="",N480,M480),IF(N480="",M480,N480)))</x:f>
      </x:c>
      <x:c r="P480" s="23" t="str">
        <x:f>IF(AND(M480="",N480=""),"",MAX(IF(M480="",N480,M480),IF(N480="",M480,N480)))</x:f>
      </x:c>
    </x:row>
    <x:row r="481" ht="21" customHeight="1">
      <x:c r="A481" s="26"/>
      <x:c r="B481" s="23"/>
      <x:c r="C481" s="23"/>
      <x:c r="D481" s="28"/>
      <x:c r="E481" s="28"/>
      <x:c r="F481" s="23"/>
      <x:c r="G481" s="23"/>
      <x:c r="H481" s="23"/>
      <x:c r="I481" s="30"/>
      <x:c r="J481" s="23"/>
      <x:c r="K481" s="23"/>
      <x:c r="L481" s="23"/>
      <x:c r="M481" s="23" t="str">
        <x:f>IF(D481="","",VALUE(LEFT(D481,FIND("+",D481)-1))*1000+VALUE(MID(D481,FIND("+",D481)+1,3)))</x:f>
      </x:c>
      <x:c r="N481" s="23" t="str">
        <x:f>IF(E481="","",VALUE(LEFT(E481,FIND("+",E481)-1))*1000+VALUE(MID(E481,FIND("+",E481)+1,3)))</x:f>
      </x:c>
      <x:c r="O481" s="23" t="str">
        <x:f>IF(AND(M481="",N481=""),"",MIN(IF(M481="",N481,M481),IF(N481="",M481,N481)))</x:f>
      </x:c>
      <x:c r="P481" s="23" t="str">
        <x:f>IF(AND(M481="",N481=""),"",MAX(IF(M481="",N481,M481),IF(N481="",M481,N481)))</x:f>
      </x:c>
    </x:row>
    <x:row r="482" ht="21" customHeight="1">
      <x:c r="A482" s="26"/>
      <x:c r="B482" s="23"/>
      <x:c r="C482" s="23"/>
      <x:c r="D482" s="28"/>
      <x:c r="E482" s="28"/>
      <x:c r="F482" s="23"/>
      <x:c r="G482" s="23"/>
      <x:c r="H482" s="23"/>
      <x:c r="I482" s="30"/>
      <x:c r="J482" s="23"/>
      <x:c r="K482" s="23"/>
      <x:c r="L482" s="23"/>
      <x:c r="M482" s="23" t="str">
        <x:f>IF(D482="","",VALUE(LEFT(D482,FIND("+",D482)-1))*1000+VALUE(MID(D482,FIND("+",D482)+1,3)))</x:f>
      </x:c>
      <x:c r="N482" s="23" t="str">
        <x:f>IF(E482="","",VALUE(LEFT(E482,FIND("+",E482)-1))*1000+VALUE(MID(E482,FIND("+",E482)+1,3)))</x:f>
      </x:c>
      <x:c r="O482" s="23" t="str">
        <x:f>IF(AND(M482="",N482=""),"",MIN(IF(M482="",N482,M482),IF(N482="",M482,N482)))</x:f>
      </x:c>
      <x:c r="P482" s="23" t="str">
        <x:f>IF(AND(M482="",N482=""),"",MAX(IF(M482="",N482,M482),IF(N482="",M482,N482)))</x:f>
      </x:c>
    </x:row>
    <x:row r="483" ht="21" customHeight="1">
      <x:c r="A483" s="26"/>
      <x:c r="B483" s="23"/>
      <x:c r="C483" s="23"/>
      <x:c r="D483" s="28"/>
      <x:c r="E483" s="28"/>
      <x:c r="F483" s="23"/>
      <x:c r="G483" s="23"/>
      <x:c r="H483" s="23"/>
      <x:c r="I483" s="30"/>
      <x:c r="J483" s="23"/>
      <x:c r="K483" s="23"/>
      <x:c r="L483" s="23"/>
      <x:c r="M483" s="23" t="str">
        <x:f>IF(D483="","",VALUE(LEFT(D483,FIND("+",D483)-1))*1000+VALUE(MID(D483,FIND("+",D483)+1,3)))</x:f>
      </x:c>
      <x:c r="N483" s="23" t="str">
        <x:f>IF(E483="","",VALUE(LEFT(E483,FIND("+",E483)-1))*1000+VALUE(MID(E483,FIND("+",E483)+1,3)))</x:f>
      </x:c>
      <x:c r="O483" s="23" t="str">
        <x:f>IF(AND(M483="",N483=""),"",MIN(IF(M483="",N483,M483),IF(N483="",M483,N483)))</x:f>
      </x:c>
      <x:c r="P483" s="23" t="str">
        <x:f>IF(AND(M483="",N483=""),"",MAX(IF(M483="",N483,M483),IF(N483="",M483,N483)))</x:f>
      </x:c>
    </x:row>
    <x:row r="484" ht="21" customHeight="1">
      <x:c r="A484" s="26"/>
      <x:c r="B484" s="23"/>
      <x:c r="C484" s="23"/>
      <x:c r="D484" s="28"/>
      <x:c r="E484" s="28"/>
      <x:c r="F484" s="23"/>
      <x:c r="G484" s="23"/>
      <x:c r="H484" s="23"/>
      <x:c r="I484" s="30"/>
      <x:c r="J484" s="23"/>
      <x:c r="K484" s="23"/>
      <x:c r="L484" s="23"/>
      <x:c r="M484" s="23" t="str">
        <x:f>IF(D484="","",VALUE(LEFT(D484,FIND("+",D484)-1))*1000+VALUE(MID(D484,FIND("+",D484)+1,3)))</x:f>
      </x:c>
      <x:c r="N484" s="23" t="str">
        <x:f>IF(E484="","",VALUE(LEFT(E484,FIND("+",E484)-1))*1000+VALUE(MID(E484,FIND("+",E484)+1,3)))</x:f>
      </x:c>
      <x:c r="O484" s="23" t="str">
        <x:f>IF(AND(M484="",N484=""),"",MIN(IF(M484="",N484,M484),IF(N484="",M484,N484)))</x:f>
      </x:c>
      <x:c r="P484" s="23" t="str">
        <x:f>IF(AND(M484="",N484=""),"",MAX(IF(M484="",N484,M484),IF(N484="",M484,N484)))</x:f>
      </x:c>
    </x:row>
    <x:row r="485" ht="21" customHeight="1">
      <x:c r="A485" s="26"/>
      <x:c r="B485" s="23"/>
      <x:c r="C485" s="23"/>
      <x:c r="D485" s="28"/>
      <x:c r="E485" s="28"/>
      <x:c r="F485" s="23"/>
      <x:c r="G485" s="23"/>
      <x:c r="H485" s="23"/>
      <x:c r="I485" s="30"/>
      <x:c r="J485" s="23"/>
      <x:c r="K485" s="23"/>
      <x:c r="L485" s="23"/>
      <x:c r="M485" s="23" t="str">
        <x:f>IF(D485="","",VALUE(LEFT(D485,FIND("+",D485)-1))*1000+VALUE(MID(D485,FIND("+",D485)+1,3)))</x:f>
      </x:c>
      <x:c r="N485" s="23" t="str">
        <x:f>IF(E485="","",VALUE(LEFT(E485,FIND("+",E485)-1))*1000+VALUE(MID(E485,FIND("+",E485)+1,3)))</x:f>
      </x:c>
      <x:c r="O485" s="23" t="str">
        <x:f>IF(AND(M485="",N485=""),"",MIN(IF(M485="",N485,M485),IF(N485="",M485,N485)))</x:f>
      </x:c>
      <x:c r="P485" s="23" t="str">
        <x:f>IF(AND(M485="",N485=""),"",MAX(IF(M485="",N485,M485),IF(N485="",M485,N485)))</x:f>
      </x:c>
    </x:row>
    <x:row r="486" ht="21" customHeight="1">
      <x:c r="A486" s="26"/>
      <x:c r="B486" s="23"/>
      <x:c r="C486" s="23"/>
      <x:c r="D486" s="28"/>
      <x:c r="E486" s="28"/>
      <x:c r="F486" s="23"/>
      <x:c r="G486" s="23"/>
      <x:c r="H486" s="23"/>
      <x:c r="I486" s="30"/>
      <x:c r="J486" s="23"/>
      <x:c r="K486" s="23"/>
      <x:c r="L486" s="23"/>
      <x:c r="M486" s="23" t="str">
        <x:f>IF(D486="","",VALUE(LEFT(D486,FIND("+",D486)-1))*1000+VALUE(MID(D486,FIND("+",D486)+1,3)))</x:f>
      </x:c>
      <x:c r="N486" s="23" t="str">
        <x:f>IF(E486="","",VALUE(LEFT(E486,FIND("+",E486)-1))*1000+VALUE(MID(E486,FIND("+",E486)+1,3)))</x:f>
      </x:c>
      <x:c r="O486" s="23" t="str">
        <x:f>IF(AND(M486="",N486=""),"",MIN(IF(M486="",N486,M486),IF(N486="",M486,N486)))</x:f>
      </x:c>
      <x:c r="P486" s="23" t="str">
        <x:f>IF(AND(M486="",N486=""),"",MAX(IF(M486="",N486,M486),IF(N486="",M486,N486)))</x:f>
      </x:c>
    </x:row>
    <x:row r="487" ht="21" customHeight="1">
      <x:c r="A487" s="26"/>
      <x:c r="B487" s="23"/>
      <x:c r="C487" s="23"/>
      <x:c r="D487" s="28"/>
      <x:c r="E487" s="28"/>
      <x:c r="F487" s="23"/>
      <x:c r="G487" s="23"/>
      <x:c r="H487" s="23"/>
      <x:c r="I487" s="30"/>
      <x:c r="J487" s="23"/>
      <x:c r="K487" s="23"/>
      <x:c r="L487" s="23"/>
      <x:c r="M487" s="23" t="str">
        <x:f>IF(D487="","",VALUE(LEFT(D487,FIND("+",D487)-1))*1000+VALUE(MID(D487,FIND("+",D487)+1,3)))</x:f>
      </x:c>
      <x:c r="N487" s="23" t="str">
        <x:f>IF(E487="","",VALUE(LEFT(E487,FIND("+",E487)-1))*1000+VALUE(MID(E487,FIND("+",E487)+1,3)))</x:f>
      </x:c>
      <x:c r="O487" s="23" t="str">
        <x:f>IF(AND(M487="",N487=""),"",MIN(IF(M487="",N487,M487),IF(N487="",M487,N487)))</x:f>
      </x:c>
      <x:c r="P487" s="23" t="str">
        <x:f>IF(AND(M487="",N487=""),"",MAX(IF(M487="",N487,M487),IF(N487="",M487,N487)))</x:f>
      </x:c>
    </x:row>
    <x:row r="488" ht="21" customHeight="1">
      <x:c r="A488" s="26"/>
      <x:c r="B488" s="23"/>
      <x:c r="C488" s="23"/>
      <x:c r="D488" s="28"/>
      <x:c r="E488" s="28"/>
      <x:c r="F488" s="23"/>
      <x:c r="G488" s="23"/>
      <x:c r="H488" s="23"/>
      <x:c r="I488" s="30"/>
      <x:c r="J488" s="23"/>
      <x:c r="K488" s="23"/>
      <x:c r="L488" s="23"/>
      <x:c r="M488" s="23" t="str">
        <x:f>IF(D488="","",VALUE(LEFT(D488,FIND("+",D488)-1))*1000+VALUE(MID(D488,FIND("+",D488)+1,3)))</x:f>
      </x:c>
      <x:c r="N488" s="23" t="str">
        <x:f>IF(E488="","",VALUE(LEFT(E488,FIND("+",E488)-1))*1000+VALUE(MID(E488,FIND("+",E488)+1,3)))</x:f>
      </x:c>
      <x:c r="O488" s="23" t="str">
        <x:f>IF(AND(M488="",N488=""),"",MIN(IF(M488="",N488,M488),IF(N488="",M488,N488)))</x:f>
      </x:c>
      <x:c r="P488" s="23" t="str">
        <x:f>IF(AND(M488="",N488=""),"",MAX(IF(M488="",N488,M488),IF(N488="",M488,N488)))</x:f>
      </x:c>
    </x:row>
    <x:row r="489" ht="21" customHeight="1">
      <x:c r="A489" s="26"/>
      <x:c r="B489" s="23"/>
      <x:c r="C489" s="23"/>
      <x:c r="D489" s="28"/>
      <x:c r="E489" s="28"/>
      <x:c r="F489" s="23"/>
      <x:c r="G489" s="23"/>
      <x:c r="H489" s="23"/>
      <x:c r="I489" s="30"/>
      <x:c r="J489" s="23"/>
      <x:c r="K489" s="23"/>
      <x:c r="L489" s="23"/>
      <x:c r="M489" s="23" t="str">
        <x:f>IF(D489="","",VALUE(LEFT(D489,FIND("+",D489)-1))*1000+VALUE(MID(D489,FIND("+",D489)+1,3)))</x:f>
      </x:c>
      <x:c r="N489" s="23" t="str">
        <x:f>IF(E489="","",VALUE(LEFT(E489,FIND("+",E489)-1))*1000+VALUE(MID(E489,FIND("+",E489)+1,3)))</x:f>
      </x:c>
      <x:c r="O489" s="23" t="str">
        <x:f>IF(AND(M489="",N489=""),"",MIN(IF(M489="",N489,M489),IF(N489="",M489,N489)))</x:f>
      </x:c>
      <x:c r="P489" s="23" t="str">
        <x:f>IF(AND(M489="",N489=""),"",MAX(IF(M489="",N489,M489),IF(N489="",M489,N489)))</x:f>
      </x:c>
    </x:row>
    <x:row r="490" ht="21" customHeight="1">
      <x:c r="A490" s="26"/>
      <x:c r="B490" s="23"/>
      <x:c r="C490" s="23"/>
      <x:c r="D490" s="28"/>
      <x:c r="E490" s="28"/>
      <x:c r="F490" s="23"/>
      <x:c r="G490" s="23"/>
      <x:c r="H490" s="23"/>
      <x:c r="I490" s="30"/>
      <x:c r="J490" s="23"/>
      <x:c r="K490" s="23"/>
      <x:c r="L490" s="23"/>
      <x:c r="M490" s="23" t="str">
        <x:f>IF(D490="","",VALUE(LEFT(D490,FIND("+",D490)-1))*1000+VALUE(MID(D490,FIND("+",D490)+1,3)))</x:f>
      </x:c>
      <x:c r="N490" s="23" t="str">
        <x:f>IF(E490="","",VALUE(LEFT(E490,FIND("+",E490)-1))*1000+VALUE(MID(E490,FIND("+",E490)+1,3)))</x:f>
      </x:c>
      <x:c r="O490" s="23" t="str">
        <x:f>IF(AND(M490="",N490=""),"",MIN(IF(M490="",N490,M490),IF(N490="",M490,N490)))</x:f>
      </x:c>
      <x:c r="P490" s="23" t="str">
        <x:f>IF(AND(M490="",N490=""),"",MAX(IF(M490="",N490,M490),IF(N490="",M490,N490)))</x:f>
      </x:c>
    </x:row>
    <x:row r="491" ht="21" customHeight="1">
      <x:c r="A491" s="26"/>
      <x:c r="B491" s="23"/>
      <x:c r="C491" s="23"/>
      <x:c r="D491" s="28"/>
      <x:c r="E491" s="28"/>
      <x:c r="F491" s="23"/>
      <x:c r="G491" s="23"/>
      <x:c r="H491" s="23"/>
      <x:c r="I491" s="30"/>
      <x:c r="J491" s="23"/>
      <x:c r="K491" s="23"/>
      <x:c r="L491" s="23"/>
      <x:c r="M491" s="23" t="str">
        <x:f>IF(D491="","",VALUE(LEFT(D491,FIND("+",D491)-1))*1000+VALUE(MID(D491,FIND("+",D491)+1,3)))</x:f>
      </x:c>
      <x:c r="N491" s="23" t="str">
        <x:f>IF(E491="","",VALUE(LEFT(E491,FIND("+",E491)-1))*1000+VALUE(MID(E491,FIND("+",E491)+1,3)))</x:f>
      </x:c>
      <x:c r="O491" s="23" t="str">
        <x:f>IF(AND(M491="",N491=""),"",MIN(IF(M491="",N491,M491),IF(N491="",M491,N491)))</x:f>
      </x:c>
      <x:c r="P491" s="23" t="str">
        <x:f>IF(AND(M491="",N491=""),"",MAX(IF(M491="",N491,M491),IF(N491="",M491,N491)))</x:f>
      </x:c>
    </x:row>
    <x:row r="492" ht="21" customHeight="1">
      <x:c r="A492" s="26"/>
      <x:c r="B492" s="23"/>
      <x:c r="C492" s="23"/>
      <x:c r="D492" s="28"/>
      <x:c r="E492" s="28"/>
      <x:c r="F492" s="23"/>
      <x:c r="G492" s="23"/>
      <x:c r="H492" s="23"/>
      <x:c r="I492" s="30"/>
      <x:c r="J492" s="23"/>
      <x:c r="K492" s="23"/>
      <x:c r="L492" s="23"/>
      <x:c r="M492" s="23" t="str">
        <x:f>IF(D492="","",VALUE(LEFT(D492,FIND("+",D492)-1))*1000+VALUE(MID(D492,FIND("+",D492)+1,3)))</x:f>
      </x:c>
      <x:c r="N492" s="23" t="str">
        <x:f>IF(E492="","",VALUE(LEFT(E492,FIND("+",E492)-1))*1000+VALUE(MID(E492,FIND("+",E492)+1,3)))</x:f>
      </x:c>
      <x:c r="O492" s="23" t="str">
        <x:f>IF(AND(M492="",N492=""),"",MIN(IF(M492="",N492,M492),IF(N492="",M492,N492)))</x:f>
      </x:c>
      <x:c r="P492" s="23" t="str">
        <x:f>IF(AND(M492="",N492=""),"",MAX(IF(M492="",N492,M492),IF(N492="",M492,N492)))</x:f>
      </x:c>
    </x:row>
    <x:row r="493" ht="21" customHeight="1">
      <x:c r="A493" s="26"/>
      <x:c r="B493" s="23"/>
      <x:c r="C493" s="23"/>
      <x:c r="D493" s="28"/>
      <x:c r="E493" s="28"/>
      <x:c r="F493" s="23"/>
      <x:c r="G493" s="23"/>
      <x:c r="H493" s="23"/>
      <x:c r="I493" s="30"/>
      <x:c r="J493" s="23"/>
      <x:c r="K493" s="23"/>
      <x:c r="L493" s="23"/>
      <x:c r="M493" s="23" t="str">
        <x:f>IF(D493="","",VALUE(LEFT(D493,FIND("+",D493)-1))*1000+VALUE(MID(D493,FIND("+",D493)+1,3)))</x:f>
      </x:c>
      <x:c r="N493" s="23" t="str">
        <x:f>IF(E493="","",VALUE(LEFT(E493,FIND("+",E493)-1))*1000+VALUE(MID(E493,FIND("+",E493)+1,3)))</x:f>
      </x:c>
      <x:c r="O493" s="23" t="str">
        <x:f>IF(AND(M493="",N493=""),"",MIN(IF(M493="",N493,M493),IF(N493="",M493,N493)))</x:f>
      </x:c>
      <x:c r="P493" s="23" t="str">
        <x:f>IF(AND(M493="",N493=""),"",MAX(IF(M493="",N493,M493),IF(N493="",M493,N493)))</x:f>
      </x:c>
    </x:row>
    <x:row r="494" ht="21" customHeight="1">
      <x:c r="A494" s="26"/>
      <x:c r="B494" s="23"/>
      <x:c r="C494" s="23"/>
      <x:c r="D494" s="28"/>
      <x:c r="E494" s="28"/>
      <x:c r="F494" s="23"/>
      <x:c r="G494" s="23"/>
      <x:c r="H494" s="23"/>
      <x:c r="I494" s="30"/>
      <x:c r="J494" s="23"/>
      <x:c r="K494" s="23"/>
      <x:c r="L494" s="23"/>
      <x:c r="M494" s="23" t="str">
        <x:f>IF(D494="","",VALUE(LEFT(D494,FIND("+",D494)-1))*1000+VALUE(MID(D494,FIND("+",D494)+1,3)))</x:f>
      </x:c>
      <x:c r="N494" s="23" t="str">
        <x:f>IF(E494="","",VALUE(LEFT(E494,FIND("+",E494)-1))*1000+VALUE(MID(E494,FIND("+",E494)+1,3)))</x:f>
      </x:c>
      <x:c r="O494" s="23" t="str">
        <x:f>IF(AND(M494="",N494=""),"",MIN(IF(M494="",N494,M494),IF(N494="",M494,N494)))</x:f>
      </x:c>
      <x:c r="P494" s="23" t="str">
        <x:f>IF(AND(M494="",N494=""),"",MAX(IF(M494="",N494,M494),IF(N494="",M494,N494)))</x:f>
      </x:c>
    </x:row>
    <x:row r="495" ht="21" customHeight="1">
      <x:c r="A495" s="26"/>
      <x:c r="B495" s="23"/>
      <x:c r="C495" s="23"/>
      <x:c r="D495" s="28"/>
      <x:c r="E495" s="28"/>
      <x:c r="F495" s="23"/>
      <x:c r="G495" s="23"/>
      <x:c r="H495" s="23"/>
      <x:c r="I495" s="30"/>
      <x:c r="J495" s="23"/>
      <x:c r="K495" s="23"/>
      <x:c r="L495" s="23"/>
      <x:c r="M495" s="23" t="str">
        <x:f>IF(D495="","",VALUE(LEFT(D495,FIND("+",D495)-1))*1000+VALUE(MID(D495,FIND("+",D495)+1,3)))</x:f>
      </x:c>
      <x:c r="N495" s="23" t="str">
        <x:f>IF(E495="","",VALUE(LEFT(E495,FIND("+",E495)-1))*1000+VALUE(MID(E495,FIND("+",E495)+1,3)))</x:f>
      </x:c>
      <x:c r="O495" s="23" t="str">
        <x:f>IF(AND(M495="",N495=""),"",MIN(IF(M495="",N495,M495),IF(N495="",M495,N495)))</x:f>
      </x:c>
      <x:c r="P495" s="23" t="str">
        <x:f>IF(AND(M495="",N495=""),"",MAX(IF(M495="",N495,M495),IF(N495="",M495,N495)))</x:f>
      </x:c>
    </x:row>
    <x:row r="496" ht="21" customHeight="1">
      <x:c r="A496" s="26"/>
      <x:c r="B496" s="23"/>
      <x:c r="C496" s="23"/>
      <x:c r="D496" s="28"/>
      <x:c r="E496" s="28"/>
      <x:c r="F496" s="23"/>
      <x:c r="G496" s="23"/>
      <x:c r="H496" s="23"/>
      <x:c r="I496" s="30"/>
      <x:c r="J496" s="23"/>
      <x:c r="K496" s="23"/>
      <x:c r="L496" s="23"/>
      <x:c r="M496" s="23" t="str">
        <x:f>IF(D496="","",VALUE(LEFT(D496,FIND("+",D496)-1))*1000+VALUE(MID(D496,FIND("+",D496)+1,3)))</x:f>
      </x:c>
      <x:c r="N496" s="23" t="str">
        <x:f>IF(E496="","",VALUE(LEFT(E496,FIND("+",E496)-1))*1000+VALUE(MID(E496,FIND("+",E496)+1,3)))</x:f>
      </x:c>
      <x:c r="O496" s="23" t="str">
        <x:f>IF(AND(M496="",N496=""),"",MIN(IF(M496="",N496,M496),IF(N496="",M496,N496)))</x:f>
      </x:c>
      <x:c r="P496" s="23" t="str">
        <x:f>IF(AND(M496="",N496=""),"",MAX(IF(M496="",N496,M496),IF(N496="",M496,N496)))</x:f>
      </x:c>
    </x:row>
    <x:row r="497" ht="21" customHeight="1">
      <x:c r="A497" s="26"/>
      <x:c r="B497" s="23"/>
      <x:c r="C497" s="23"/>
      <x:c r="D497" s="28"/>
      <x:c r="E497" s="28"/>
      <x:c r="F497" s="23"/>
      <x:c r="G497" s="23"/>
      <x:c r="H497" s="23"/>
      <x:c r="I497" s="30"/>
      <x:c r="J497" s="23"/>
      <x:c r="K497" s="23"/>
      <x:c r="L497" s="23"/>
      <x:c r="M497" s="23" t="str">
        <x:f>IF(D497="","",VALUE(LEFT(D497,FIND("+",D497)-1))*1000+VALUE(MID(D497,FIND("+",D497)+1,3)))</x:f>
      </x:c>
      <x:c r="N497" s="23" t="str">
        <x:f>IF(E497="","",VALUE(LEFT(E497,FIND("+",E497)-1))*1000+VALUE(MID(E497,FIND("+",E497)+1,3)))</x:f>
      </x:c>
      <x:c r="O497" s="23" t="str">
        <x:f>IF(AND(M497="",N497=""),"",MIN(IF(M497="",N497,M497),IF(N497="",M497,N497)))</x:f>
      </x:c>
      <x:c r="P497" s="23" t="str">
        <x:f>IF(AND(M497="",N497=""),"",MAX(IF(M497="",N497,M497),IF(N497="",M497,N497)))</x:f>
      </x:c>
    </x:row>
    <x:row r="498" ht="21" customHeight="1">
      <x:c r="A498" s="26"/>
      <x:c r="B498" s="23"/>
      <x:c r="C498" s="23"/>
      <x:c r="D498" s="28"/>
      <x:c r="E498" s="28"/>
      <x:c r="F498" s="23"/>
      <x:c r="G498" s="23"/>
      <x:c r="H498" s="23"/>
      <x:c r="I498" s="30"/>
      <x:c r="J498" s="23"/>
      <x:c r="K498" s="23"/>
      <x:c r="L498" s="23"/>
      <x:c r="M498" s="23" t="str">
        <x:f>IF(D498="","",VALUE(LEFT(D498,FIND("+",D498)-1))*1000+VALUE(MID(D498,FIND("+",D498)+1,3)))</x:f>
      </x:c>
      <x:c r="N498" s="23" t="str">
        <x:f>IF(E498="","",VALUE(LEFT(E498,FIND("+",E498)-1))*1000+VALUE(MID(E498,FIND("+",E498)+1,3)))</x:f>
      </x:c>
      <x:c r="O498" s="23" t="str">
        <x:f>IF(AND(M498="",N498=""),"",MIN(IF(M498="",N498,M498),IF(N498="",M498,N498)))</x:f>
      </x:c>
      <x:c r="P498" s="23" t="str">
        <x:f>IF(AND(M498="",N498=""),"",MAX(IF(M498="",N498,M498),IF(N498="",M498,N498)))</x:f>
      </x:c>
    </x:row>
    <x:row r="499" ht="21" customHeight="1">
      <x:c r="A499" s="26"/>
      <x:c r="B499" s="23"/>
      <x:c r="C499" s="23"/>
      <x:c r="D499" s="28"/>
      <x:c r="E499" s="28"/>
      <x:c r="F499" s="23"/>
      <x:c r="G499" s="23"/>
      <x:c r="H499" s="23"/>
      <x:c r="I499" s="30"/>
      <x:c r="J499" s="23"/>
      <x:c r="K499" s="23"/>
      <x:c r="L499" s="23"/>
      <x:c r="M499" s="23" t="str">
        <x:f>IF(D499="","",VALUE(LEFT(D499,FIND("+",D499)-1))*1000+VALUE(MID(D499,FIND("+",D499)+1,3)))</x:f>
      </x:c>
      <x:c r="N499" s="23" t="str">
        <x:f>IF(E499="","",VALUE(LEFT(E499,FIND("+",E499)-1))*1000+VALUE(MID(E499,FIND("+",E499)+1,3)))</x:f>
      </x:c>
      <x:c r="O499" s="23" t="str">
        <x:f>IF(AND(M499="",N499=""),"",MIN(IF(M499="",N499,M499),IF(N499="",M499,N499)))</x:f>
      </x:c>
      <x:c r="P499" s="23" t="str">
        <x:f>IF(AND(M499="",N499=""),"",MAX(IF(M499="",N499,M499),IF(N499="",M499,N499)))</x:f>
      </x:c>
    </x:row>
    <x:row r="500" ht="21" customHeight="1">
      <x:c r="A500" s="26"/>
      <x:c r="B500" s="23"/>
      <x:c r="C500" s="23"/>
      <x:c r="D500" s="28"/>
      <x:c r="E500" s="28"/>
      <x:c r="F500" s="23"/>
      <x:c r="G500" s="23"/>
      <x:c r="H500" s="23"/>
      <x:c r="I500" s="30"/>
      <x:c r="J500" s="23"/>
      <x:c r="K500" s="23"/>
      <x:c r="L500" s="23"/>
      <x:c r="M500" s="23" t="str">
        <x:f>IF(D500="","",VALUE(LEFT(D500,FIND("+",D500)-1))*1000+VALUE(MID(D500,FIND("+",D500)+1,3)))</x:f>
      </x:c>
      <x:c r="N500" s="23" t="str">
        <x:f>IF(E500="","",VALUE(LEFT(E500,FIND("+",E500)-1))*1000+VALUE(MID(E500,FIND("+",E500)+1,3)))</x:f>
      </x:c>
      <x:c r="O500" s="23" t="str">
        <x:f>IF(AND(M500="",N500=""),"",MIN(IF(M500="",N500,M500),IF(N500="",M500,N500)))</x:f>
      </x:c>
      <x:c r="P500" s="23" t="str">
        <x:f>IF(AND(M500="",N500=""),"",MAX(IF(M500="",N500,M500),IF(N500="",M500,N500)))</x:f>
      </x:c>
    </x:row>
  </x:sheetData>
  <x:mergeCells>
    <x:mergeCell ref="A1:P1"/>
    <x:mergeCell ref="A2:P2"/>
  </x:mergeCells>
  <x:dataValidations count="4">
    <x:dataValidation type="list" sqref="B5:B500">
      <x:formula1>"MED 01,MED 02,MED 03,MED 04,MED 05,MED 06,MED 07,MED 08,MED 09,MED 10,MED 11,MED 12"</x:formula1>
    </x:dataValidation>
    <x:dataValidation type="list" sqref="G5:G500">
      <x:formula1>"C,D,E,F,G,H,E/F,F/G"</x:formula1>
    </x:dataValidation>
    <x:dataValidation type="list" sqref="H5:H500">
      <x:formula1>"PN,PS,N,S,PNS,SN"</x:formula1>
    </x:dataValidation>
    <x:dataValidation type="list" sqref="J5:J500">
      <x:formula1>"m³,m²,m,un,m³·km,m³ x km,vb"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68" hidden="0" customWidth="1"/>
    <x:col min="6" max="6" width="28" hidden="0" customWidth="1"/>
    <x:col min="7" max="7" width="36" hidden="0" customWidth="1"/>
    <x:col min="8" max="8" width="68" hidden="0" customWidth="1"/>
    <x:col min="9" max="9" width="11" hidden="0" customWidth="1"/>
  </x:cols>
  <x:sheetData>
    <x:row r="1">
      <x:c r="A1" s="32" t="str">
        <x:v>GRUPO</x:v>
      </x:c>
      <x:c r="B1" s="32" t="str">
        <x:v>SUBATIVIDADE</x:v>
      </x:c>
      <x:c r="C1" s="32" t="str">
        <x:v>ATIVIDADE / ITEM DO RETIGRÁFICO</x:v>
      </x:c>
      <x:c r="F1" s="35" t="str">
        <x:v>GRUPO CONTRATO</x:v>
      </x:c>
      <x:c r="G1" s="35" t="str">
        <x:v>ATIVIDADE CONTRATO</x:v>
      </x:c>
      <x:c r="H1" s="35" t="str">
        <x:v>ITEM CONTRATUAL</x:v>
      </x:c>
      <x:c r="I1" s="35" t="str">
        <x:v>UN.</x:v>
      </x:c>
    </x:row>
    <x:row r="2">
      <x:c r="A2" s="22" t="str">
        <x:v>Serviços preliminares e conclusivos</x:v>
      </x:c>
      <x:c r="B2" s="22" t="str">
        <x:v>Demolições e remoções</x:v>
      </x:c>
      <x:c r="C2" s="22" t="str">
        <x:v>Remoção de cerca</x:v>
      </x:c>
      <x:c r="F2" s="22" t="str">
        <x:v>Serviços preliminares e conclusivos</x:v>
      </x:c>
      <x:c r="G2" s="22" t="str">
        <x:v>Demolições e remoções</x:v>
      </x:c>
      <x:c r="H2" s="22" t="str">
        <x:v>Remoção de cerca</x:v>
      </x:c>
      <x:c r="I2" s="22" t="str">
        <x:v>m</x:v>
      </x:c>
    </x:row>
    <x:row r="3">
      <x:c r="A3" s="22" t="str">
        <x:v>Serviços preliminares e conclusivos</x:v>
      </x:c>
      <x:c r="B3" s="22" t="str">
        <x:v>Demolições e remoções</x:v>
      </x:c>
      <x:c r="C3" s="22" t="str">
        <x:v>Remoção de defensa metálica</x:v>
      </x:c>
      <x:c r="F3" s="22" t="str">
        <x:v>Serviços preliminares e conclusivos</x:v>
      </x:c>
      <x:c r="G3" s="22" t="str">
        <x:v>Demolições e remoções</x:v>
      </x:c>
      <x:c r="H3" s="22" t="str">
        <x:v>Remoção de defensa metálica</x:v>
      </x:c>
      <x:c r="I3" s="22" t="str">
        <x:v>m</x:v>
      </x:c>
    </x:row>
    <x:row r="4">
      <x:c r="A4" s="22" t="str">
        <x:v>Serviços preliminares e conclusivos</x:v>
      </x:c>
      <x:c r="B4" s="22" t="str">
        <x:v>Demolições e remoções</x:v>
      </x:c>
      <x:c r="C4" s="22" t="str">
        <x:v>Remoção de placa de sinalização vertical instalada no solo</x:v>
      </x:c>
      <x:c r="F4" s="22" t="str">
        <x:v>Serviços preliminares e conclusivos</x:v>
      </x:c>
      <x:c r="G4" s="22" t="str">
        <x:v>Demolições e remoções</x:v>
      </x:c>
      <x:c r="H4" s="22" t="str">
        <x:v>Remoção de placa de sinalização vertical instalada no solo</x:v>
      </x:c>
      <x:c r="I4" s="22" t="str">
        <x:v>m²</x:v>
      </x:c>
    </x:row>
    <x:row r="5">
      <x:c r="A5" s="22" t="str">
        <x:v>Serviços preliminares e conclusivos</x:v>
      </x:c>
      <x:c r="B5" s="22" t="str">
        <x:v>Demolições e remoções</x:v>
      </x:c>
      <x:c r="C5" s="22" t="str">
        <x:v>Demolição de OAE (Km 84+100)</x:v>
      </x:c>
      <x:c r="F5" s="22" t="str">
        <x:v>Serviços preliminares e conclusivos</x:v>
      </x:c>
      <x:c r="G5" s="22" t="str">
        <x:v>Demolições e remoções</x:v>
      </x:c>
      <x:c r="H5" s="22" t="str">
        <x:v>Demolição de OAE (Km 84+100)</x:v>
      </x:c>
      <x:c r="I5" s="22" t="str">
        <x:v>m²</x:v>
      </x:c>
    </x:row>
    <x:row r="6">
      <x:c r="A6" s="22" t="str">
        <x:v>Serviços preliminares e conclusivos</x:v>
      </x:c>
      <x:c r="B6" s="22" t="str">
        <x:v>Demolições e remoções</x:v>
      </x:c>
      <x:c r="C6" s="22" t="str">
        <x:v>Remoção de postes com luminárias</x:v>
      </x:c>
      <x:c r="F6" s="22" t="str">
        <x:v>Serviços preliminares e conclusivos</x:v>
      </x:c>
      <x:c r="G6" s="22" t="str">
        <x:v>Demolições e remoções</x:v>
      </x:c>
      <x:c r="H6" s="22" t="str">
        <x:v>Remoção de postes com luminárias</x:v>
      </x:c>
      <x:c r="I6" s="22" t="str">
        <x:v>un</x:v>
      </x:c>
    </x:row>
    <x:row r="7">
      <x:c r="A7" s="22" t="str">
        <x:v>Serviços preliminares e conclusivos</x:v>
      </x:c>
      <x:c r="B7" s="22" t="str">
        <x:v>Demolições e remoções</x:v>
      </x:c>
      <x:c r="C7" s="22" t="str">
        <x:v>Remoção de bueiro</x:v>
      </x:c>
      <x:c r="F7" s="22" t="str">
        <x:v>Serviços preliminares e conclusivos</x:v>
      </x:c>
      <x:c r="G7" s="22" t="str">
        <x:v>Demolições e remoções</x:v>
      </x:c>
      <x:c r="H7" s="22" t="str">
        <x:v>Remoção de bueiro</x:v>
      </x:c>
      <x:c r="I7" s="22" t="str">
        <x:v>m</x:v>
      </x:c>
    </x:row>
    <x:row r="8">
      <x:c r="A8" s="22" t="str">
        <x:v>Serviços preliminares e conclusivos</x:v>
      </x:c>
      <x:c r="B8" s="22" t="str">
        <x:v>Demolições e remoções</x:v>
      </x:c>
      <x:c r="C8" s="22" t="str">
        <x:v>Demolição de dispositivos de concreto armado</x:v>
      </x:c>
      <x:c r="F8" s="22" t="str">
        <x:v>Serviços preliminares e conclusivos</x:v>
      </x:c>
      <x:c r="G8" s="22" t="str">
        <x:v>Demolições e remoções</x:v>
      </x:c>
      <x:c r="H8" s="22" t="str">
        <x:v>Demolição de dispositivos de concreto armado</x:v>
      </x:c>
      <x:c r="I8" s="22" t="str">
        <x:v>m³</x:v>
      </x:c>
    </x:row>
    <x:row r="9">
      <x:c r="A9" s="22" t="str">
        <x:v>Serviços preliminares e conclusivos</x:v>
      </x:c>
      <x:c r="B9" s="22" t="str">
        <x:v>Demolições e remoções</x:v>
      </x:c>
      <x:c r="C9" s="22" t="str">
        <x:v>Demolição de dispositivos de concreto simples</x:v>
      </x:c>
      <x:c r="F9" s="22" t="str">
        <x:v>Serviços preliminares e conclusivos</x:v>
      </x:c>
      <x:c r="G9" s="22" t="str">
        <x:v>Demolições e remoções</x:v>
      </x:c>
      <x:c r="H9" s="22" t="str">
        <x:v>Demolição de dispositivos de concreto simples</x:v>
      </x:c>
      <x:c r="I9" s="22" t="str">
        <x:v>m³</x:v>
      </x:c>
    </x:row>
    <x:row r="10">
      <x:c r="A10" s="22" t="str">
        <x:v>Serviços preliminares e conclusivos</x:v>
      </x:c>
      <x:c r="B10" s="22" t="str">
        <x:v>Demolições e remoções</x:v>
      </x:c>
      <x:c r="C10" s="22" t="str">
        <x:v>Remoção de barreira rígida de concreto</x:v>
      </x:c>
      <x:c r="F10" s="22" t="str">
        <x:v>Serviços preliminares e conclusivos</x:v>
      </x:c>
      <x:c r="G10" s="22" t="str">
        <x:v>Mobilização</x:v>
      </x:c>
      <x:c r="H10" s="22" t="str">
        <x:v>Mobilização</x:v>
      </x:c>
      <x:c r="I10" s="22" t="str">
        <x:v>vb</x:v>
      </x:c>
    </x:row>
    <x:row r="11">
      <x:c r="A11" s="22" t="str">
        <x:v>Serviços preliminares e conclusivos</x:v>
      </x:c>
      <x:c r="B11" s="22" t="str">
        <x:v>Demolições e remoções</x:v>
      </x:c>
      <x:c r="C11" s="22" t="str">
        <x:v>Remoção de terminal absorvedor de energia</x:v>
      </x:c>
      <x:c r="F11" s="22" t="str">
        <x:v>Serviços preliminares e conclusivos</x:v>
      </x:c>
      <x:c r="G11" s="22" t="str">
        <x:v>Desmobilização</x:v>
      </x:c>
      <x:c r="H11" s="22" t="str">
        <x:v>Desmobilização</x:v>
      </x:c>
      <x:c r="I11" s="22" t="str">
        <x:v>vb</x:v>
      </x:c>
    </x:row>
    <x:row r="12">
      <x:c r="A12" s="22" t="str">
        <x:v>Serviços preliminares e conclusivos</x:v>
      </x:c>
      <x:c r="B12" s="22" t="str">
        <x:v>Demolições e remoções</x:v>
      </x:c>
      <x:c r="C12" s="22" t="str">
        <x:v>Remoção de terminal absorvedor de energia.m</x:v>
      </x:c>
      <x:c r="F12" s="22" t="str">
        <x:v>Serviços preliminares e conclusivos</x:v>
      </x:c>
      <x:c r="G12" s="22" t="str">
        <x:v>Desvio de tráfego</x:v>
      </x:c>
      <x:c r="H12" s="22" t="str">
        <x:v>Desvio de tráfego</x:v>
      </x:c>
      <x:c r="I12" s="22" t="str">
        <x:v>vb</x:v>
      </x:c>
    </x:row>
    <x:row r="13">
      <x:c r="A13" s="22" t="str">
        <x:v>Serviços preliminares e conclusivos</x:v>
      </x:c>
      <x:c r="B13" s="22" t="str">
        <x:v>Desvio de tráfego</x:v>
      </x:c>
      <x:c r="C13" s="22" t="str">
        <x:v>Desvio de tráfego</x:v>
      </x:c>
      <x:c r="F13" s="22" t="str">
        <x:v>Terraplenagem</x:v>
      </x:c>
      <x:c r="G13" s="22" t="str">
        <x:v>Desmatamento e limpeza do terreno</x:v>
      </x:c>
      <x:c r="H13" s="22" t="str">
        <x:v>Limpeza do terreno com destocamento de árvore d=&lt;0,15m</x:v>
      </x:c>
      <x:c r="I13" s="22" t="str">
        <x:v>m²</x:v>
      </x:c>
    </x:row>
    <x:row r="14">
      <x:c r="A14" s="22" t="str">
        <x:v>Serviços preliminares e conclusivos</x:v>
      </x:c>
      <x:c r="B14" s="22" t="str">
        <x:v>Acondicionamento da faixa de domínio</x:v>
      </x:c>
      <x:c r="C14" s="22" t="str">
        <x:v>Remanejamento de placa de sinalização instalada no solo, suporte de madeira</x:v>
      </x:c>
      <x:c r="F14" s="22" t="str">
        <x:v>Terraplenagem</x:v>
      </x:c>
      <x:c r="G14" s="22" t="str">
        <x:v>Desmatamento e limpeza do terreno</x:v>
      </x:c>
      <x:c r="H14" s="22" t="str">
        <x:v>Transporte de material de limpeza além de 1 km</x:v>
      </x:c>
      <x:c r="I14" s="22" t="str">
        <x:v>m³ x km</x:v>
      </x:c>
    </x:row>
    <x:row r="15">
      <x:c r="A15" s="22" t="str">
        <x:v>Serviços preliminares e conclusivos</x:v>
      </x:c>
      <x:c r="B15" s="22" t="str">
        <x:v>Acondicionamento da faixa de domínio</x:v>
      </x:c>
      <x:c r="C15" s="22" t="str">
        <x:v>Remanejamento de semi-pórtico</x:v>
      </x:c>
      <x:c r="F15" s="22" t="str">
        <x:v>Terraplenagem</x:v>
      </x:c>
      <x:c r="G15" s="22" t="str">
        <x:v>Desmatamento e limpeza do terreno</x:v>
      </x:c>
      <x:c r="H15" s="22" t="str">
        <x:v>Destocamento de árvore 0,10m&lt;d&lt;0,30m</x:v>
      </x:c>
      <x:c r="I15" s="22" t="str">
        <x:v>un</x:v>
      </x:c>
    </x:row>
    <x:row r="16">
      <x:c r="A16" s="22" t="str">
        <x:v>Serviços preliminares e conclusivos</x:v>
      </x:c>
      <x:c r="B16" s="22" t="str">
        <x:v>Acondicionamento da faixa de domínio</x:v>
      </x:c>
      <x:c r="C16" s="22" t="str">
        <x:v>Remanejamento de placa de sinalização instalada no solo, suporte metálico</x:v>
      </x:c>
      <x:c r="F16" s="22" t="str">
        <x:v>Terraplenagem</x:v>
      </x:c>
      <x:c r="G16" s="22" t="str">
        <x:v>Desmatamento e limpeza do terreno</x:v>
      </x:c>
      <x:c r="H16" s="22" t="str">
        <x:v>Destocamento de árvore d&gt;0,30m</x:v>
      </x:c>
      <x:c r="I16" s="22" t="str">
        <x:v>un</x:v>
      </x:c>
    </x:row>
    <x:row r="17">
      <x:c r="A17" s="22" t="str">
        <x:v>Serviços preliminares e conclusivos</x:v>
      </x:c>
      <x:c r="B17" s="22" t="str">
        <x:v>Acondicionamento da faixa de domínio</x:v>
      </x:c>
      <x:c r="C17" s="22" t="str">
        <x:v>Remanejamento de placa de sinalização, solo</x:v>
      </x:c>
      <x:c r="F17" s="22" t="str">
        <x:v>Terraplenagem</x:v>
      </x:c>
      <x:c r="G17" s="22" t="str">
        <x:v>Corte em rocha</x:v>
      </x:c>
      <x:c r="H17" s="22" t="str">
        <x:v>Escavação de material de 3ª categoria a fogo-S/ Transporte</x:v>
      </x:c>
      <x:c r="I17" s="22" t="str">
        <x:v>m³</x:v>
      </x:c>
    </x:row>
    <x:row r="18">
      <x:c r="A18" s="22" t="str">
        <x:v>Serviços preliminares e conclusivos</x:v>
      </x:c>
      <x:c r="B18" s="22" t="str">
        <x:v>Acondicionamento da faixa de domínio</x:v>
      </x:c>
      <x:c r="C18" s="22" t="str">
        <x:v>Remoção de placa de sinalização vertical instalada no solo</x:v>
      </x:c>
      <x:c r="F18" s="22" t="str">
        <x:v>Terraplenagem</x:v>
      </x:c>
      <x:c r="G18" s="22" t="str">
        <x:v>Corte em rocha</x:v>
      </x:c>
      <x:c r="H18" s="22" t="str">
        <x:v>Transporte de material de 3ª categoria - DMT além de 1 km</x:v>
      </x:c>
      <x:c r="I18" s="22" t="str">
        <x:v>m³ x km</x:v>
      </x:c>
    </x:row>
    <x:row r="19">
      <x:c r="A19" s="22" t="str">
        <x:v>Terraplenagem</x:v>
      </x:c>
      <x:c r="B19" s="22" t="str">
        <x:v>Desmatamento e limpeza do terreno</x:v>
      </x:c>
      <x:c r="C19" s="22" t="str">
        <x:v>Limpeza do terreno com destocamento de árvore d=&lt;0,15m</x:v>
      </x:c>
      <x:c r="F19" s="22" t="str">
        <x:v>Terraplenagem</x:v>
      </x:c>
      <x:c r="G19" s="22" t="str">
        <x:v>Corte em rocha</x:v>
      </x:c>
      <x:c r="H19" s="22" t="str">
        <x:v>Escavação e carga de material de 3ª categoria a, com a utilização de equipamento hidráulico (picão) - Sem Transporte</x:v>
      </x:c>
      <x:c r="I19" s="22" t="str">
        <x:v>m³</x:v>
      </x:c>
    </x:row>
    <x:row r="20">
      <x:c r="A20" s="22" t="str">
        <x:v>Terraplenagem</x:v>
      </x:c>
      <x:c r="B20" s="22" t="str">
        <x:v>Desmatamento e limpeza do terreno</x:v>
      </x:c>
      <x:c r="C20" s="22" t="str">
        <x:v>Destocamento de árvore 0,10m&lt;d&lt;0,30m</x:v>
      </x:c>
      <x:c r="F20" s="22" t="str">
        <x:v>Terraplenagem</x:v>
      </x:c>
      <x:c r="G20" s="22" t="str">
        <x:v>Corte em solo</x:v>
      </x:c>
      <x:c r="H20" s="22" t="str">
        <x:v>Escavação de material de 1ª e 2ª categoria - Sem transporte</x:v>
      </x:c>
      <x:c r="I20" s="22" t="str">
        <x:v>m³</x:v>
      </x:c>
    </x:row>
    <x:row r="21">
      <x:c r="A21" s="22" t="str">
        <x:v>Terraplenagem</x:v>
      </x:c>
      <x:c r="B21" s="22" t="str">
        <x:v>Desmatamento e limpeza do terreno</x:v>
      </x:c>
      <x:c r="C21" s="22" t="str">
        <x:v>Destocamento de árvore d&gt;0,30m</x:v>
      </x:c>
      <x:c r="F21" s="22" t="str">
        <x:v>Terraplenagem</x:v>
      </x:c>
      <x:c r="G21" s="22" t="str">
        <x:v>Corte em solo</x:v>
      </x:c>
      <x:c r="H21" s="22" t="str">
        <x:v>Transporte de material de 1ª e 2ª categoria - DMT até 1 km</x:v>
      </x:c>
      <x:c r="I21" s="22" t="str">
        <x:v>m³ x km</x:v>
      </x:c>
    </x:row>
    <x:row r="22">
      <x:c r="A22" s="22" t="str">
        <x:v>Terraplenagem</x:v>
      </x:c>
      <x:c r="B22" s="22" t="str">
        <x:v>Desmatamento e limpeza do terreno</x:v>
      </x:c>
      <x:c r="C22" s="22" t="str">
        <x:v>Derrubada e destocamento arv. c/ diâmetro &gt; 0,15 m</x:v>
      </x:c>
      <x:c r="F22" s="22" t="str">
        <x:v>Terraplenagem</x:v>
      </x:c>
      <x:c r="G22" s="22" t="str">
        <x:v>Corte em solo</x:v>
      </x:c>
      <x:c r="H22" s="22" t="str">
        <x:v>Transporte de material de 1ª e 2ª categoria - DMT até 2 km</x:v>
      </x:c>
      <x:c r="I22" s="22" t="str">
        <x:v>m³ x km</x:v>
      </x:c>
    </x:row>
    <x:row r="23">
      <x:c r="A23" s="22" t="str">
        <x:v>Terraplenagem</x:v>
      </x:c>
      <x:c r="B23" s="22" t="str">
        <x:v>Desmatamento e limpeza do terreno</x:v>
      </x:c>
      <x:c r="C23" s="22" t="str">
        <x:v>Derrubada e destocamento.arv. c/ diâmetro 20&lt;&gt;30cm, com limpeza da área</x:v>
      </x:c>
      <x:c r="F23" s="22" t="str">
        <x:v>Terraplenagem</x:v>
      </x:c>
      <x:c r="G23" s="22" t="str">
        <x:v>Corte em solo</x:v>
      </x:c>
      <x:c r="H23" s="22" t="str">
        <x:v>Transporte de material de 1ª e 2ª categoria - DMT até 5 km</x:v>
      </x:c>
      <x:c r="I23" s="22" t="str">
        <x:v>m³ x km</x:v>
      </x:c>
    </x:row>
    <x:row r="24">
      <x:c r="A24" s="22" t="str">
        <x:v>Terraplenagem</x:v>
      </x:c>
      <x:c r="B24" s="22" t="str">
        <x:v>Desmatamento e limpeza do terreno</x:v>
      </x:c>
      <x:c r="C24" s="22" t="str">
        <x:v>Derrubada e destocamento.arv. c/ diâmetro 30&lt;&gt;40cm, com limpeza da área</x:v>
      </x:c>
      <x:c r="F24" s="22" t="str">
        <x:v>Terraplenagem</x:v>
      </x:c>
      <x:c r="G24" s="22" t="str">
        <x:v>Corte em solo</x:v>
      </x:c>
      <x:c r="H24" s="22" t="str">
        <x:v>Transporte de material de 1ª e 2ª categoria - DMT até 10 km</x:v>
      </x:c>
      <x:c r="I24" s="22" t="str">
        <x:v>m³ x km</x:v>
      </x:c>
    </x:row>
    <x:row r="25">
      <x:c r="A25" s="22" t="str">
        <x:v>Terraplenagem</x:v>
      </x:c>
      <x:c r="B25" s="22" t="str">
        <x:v>Desmatamento e limpeza do terreno</x:v>
      </x:c>
      <x:c r="C25" s="22" t="str">
        <x:v>Derrubada e destocamento.arv. c/ diâmetro 40&lt;&gt;50cm, com limpeza da área</x:v>
      </x:c>
      <x:c r="F25" s="22" t="str">
        <x:v>Terraplenagem</x:v>
      </x:c>
      <x:c r="G25" s="22" t="str">
        <x:v>Aterro</x:v>
      </x:c>
      <x:c r="H25" s="22" t="str">
        <x:v>Compactação de aterro a 95% do proctor normal</x:v>
      </x:c>
      <x:c r="I25" s="22" t="str">
        <x:v>m³</x:v>
      </x:c>
    </x:row>
    <x:row r="26">
      <x:c r="A26" s="22" t="str">
        <x:v>Terraplenagem</x:v>
      </x:c>
      <x:c r="B26" s="22" t="str">
        <x:v>Desmatamento e limpeza do terreno</x:v>
      </x:c>
      <x:c r="C26" s="22" t="str">
        <x:v>Derrubada e destocamento.arv. c/ diâmetro 50&lt;&gt;60cm, com limpeza da área</x:v>
      </x:c>
      <x:c r="F26" s="22" t="str">
        <x:v>Terraplenagem</x:v>
      </x:c>
      <x:c r="G26" s="22" t="str">
        <x:v>Aterro</x:v>
      </x:c>
      <x:c r="H26" s="22" t="str">
        <x:v>Compactação de aterro a 100% do proctor intermediário</x:v>
      </x:c>
      <x:c r="I26" s="22" t="str">
        <x:v>m³</x:v>
      </x:c>
    </x:row>
    <x:row r="27">
      <x:c r="A27" s="22" t="str">
        <x:v>Terraplenagem</x:v>
      </x:c>
      <x:c r="B27" s="22" t="str">
        <x:v>Desmatamento e limpeza do terreno</x:v>
      </x:c>
      <x:c r="C27" s="22" t="str">
        <x:v>Derrubada e destocamento.arv. c/ diâmetro 60&lt;&gt;70cm, com limpeza da área</x:v>
      </x:c>
      <x:c r="F27" s="22" t="str">
        <x:v>Terraplenagem</x:v>
      </x:c>
      <x:c r="G27" s="22" t="str">
        <x:v>Trocas e melhorias de solo</x:v>
      </x:c>
      <x:c r="H27" s="22" t="str">
        <x:v>Escavação de solo com baixa capacidade de suporte</x:v>
      </x:c>
      <x:c r="I27" s="22" t="str">
        <x:v>m³</x:v>
      </x:c>
    </x:row>
    <x:row r="28">
      <x:c r="A28" s="22" t="str">
        <x:v>Terraplenagem</x:v>
      </x:c>
      <x:c r="B28" s="22" t="str">
        <x:v>Desmatamento e limpeza do terreno</x:v>
      </x:c>
      <x:c r="C28" s="22" t="str">
        <x:v>Derrubada e destocamento.arv. c/ diâmetro 70&lt;&gt; 80cm, com limpeza da área</x:v>
      </x:c>
      <x:c r="F28" s="22" t="str">
        <x:v>Terraplenagem</x:v>
      </x:c>
      <x:c r="G28" s="22" t="str">
        <x:v>Trocas e melhorias de solo</x:v>
      </x:c>
      <x:c r="H28" s="22" t="str">
        <x:v>Fundação / reaterro com solo</x:v>
      </x:c>
      <x:c r="I28" s="22" t="str">
        <x:v>m³</x:v>
      </x:c>
    </x:row>
    <x:row r="29">
      <x:c r="A29" s="22" t="str">
        <x:v>Terraplenagem</x:v>
      </x:c>
      <x:c r="B29" s="22" t="str">
        <x:v>Desmatamento e limpeza do terreno</x:v>
      </x:c>
      <x:c r="C29" s="22" t="str">
        <x:v>Derrubada e destocamento.arv. c/ diâmetro &gt; 80cm, com limpeza da área</x:v>
      </x:c>
      <x:c r="F29" s="22" t="str">
        <x:v>Terraplenagem</x:v>
      </x:c>
      <x:c r="G29" s="22" t="str">
        <x:v>Construção do subleito</x:v>
      </x:c>
      <x:c r="H29" s="22" t="str">
        <x:v>Regularização do subleito</x:v>
      </x:c>
      <x:c r="I29" s="22" t="str">
        <x:v>m²</x:v>
      </x:c>
    </x:row>
    <x:row r="30">
      <x:c r="A30" s="22" t="str">
        <x:v>Terraplenagem</x:v>
      </x:c>
      <x:c r="B30" s="22" t="str">
        <x:v>Corte em rocha</x:v>
      </x:c>
      <x:c r="C30" s="22" t="str">
        <x:v>Escavação de material de 3ª categoria a fogo-S/ Transporte</x:v>
      </x:c>
      <x:c r="F30" s="22" t="str">
        <x:v>Pavimentação</x:v>
      </x:c>
      <x:c r="G30" s="22" t="str">
        <x:v>Demolição do pavimento</x:v>
      </x:c>
      <x:c r="H30" s="22" t="str">
        <x:v>Demolição de pavimento, revestimento betuminoso</x:v>
      </x:c>
      <x:c r="I30" s="22" t="str">
        <x:v>m³</x:v>
      </x:c>
    </x:row>
    <x:row r="31">
      <x:c r="A31" s="22" t="str">
        <x:v>Terraplenagem</x:v>
      </x:c>
      <x:c r="B31" s="22" t="str">
        <x:v>Corte em rocha</x:v>
      </x:c>
      <x:c r="C31" s="22" t="str">
        <x:v>Escavação e carga de material de 3ª categoria a, com a utilização de equipamento hidráulico (picão) - Sem Transporte</x:v>
      </x:c>
      <x:c r="F31" s="22" t="str">
        <x:v>Pavimentação</x:v>
      </x:c>
      <x:c r="G31" s="22" t="str">
        <x:v>Demolição do pavimento</x:v>
      </x:c>
      <x:c r="H31" s="22" t="str">
        <x:v>Demolição de pavimento, camada granular</x:v>
      </x:c>
      <x:c r="I31" s="22" t="str">
        <x:v>m³</x:v>
      </x:c>
    </x:row>
    <x:row r="32">
      <x:c r="A32" s="22" t="str">
        <x:v>Terraplenagem</x:v>
      </x:c>
      <x:c r="B32" s="22" t="str">
        <x:v>Corte em solo</x:v>
      </x:c>
      <x:c r="C32" s="22" t="str">
        <x:v>Escavação de material de 1ª e 2ª categoria - Sem transporte</x:v>
      </x:c>
      <x:c r="F32" s="22" t="str">
        <x:v>Pavimentação</x:v>
      </x:c>
      <x:c r="G32" s="22" t="str">
        <x:v>Demolição do pavimento</x:v>
      </x:c>
      <x:c r="H32" s="22" t="str">
        <x:v>Fresagem contínua do pavimento</x:v>
      </x:c>
      <x:c r="I32" s="22" t="str">
        <x:v>m³</x:v>
      </x:c>
    </x:row>
    <x:row r="33">
      <x:c r="A33" s="22" t="str">
        <x:v>Terraplenagem</x:v>
      </x:c>
      <x:c r="B33" s="22" t="str">
        <x:v>Corte em solo</x:v>
      </x:c>
      <x:c r="C33" s="22" t="str">
        <x:v>Escavação de material de 1ª e 2ª categoria, sem transporte</x:v>
      </x:c>
      <x:c r="F33" s="22" t="str">
        <x:v>Pavimentação</x:v>
      </x:c>
      <x:c r="G33" s="22" t="str">
        <x:v>Construção da sub-base</x:v>
      </x:c>
      <x:c r="H33" s="22" t="str">
        <x:v>Solo cimento com adição de 3% cimento,mistura in situ- Recicladora</x:v>
      </x:c>
      <x:c r="I33" s="22" t="str">
        <x:v>m³</x:v>
      </x:c>
    </x:row>
    <x:row r="34">
      <x:c r="A34" s="22" t="str">
        <x:v>Terraplenagem</x:v>
      </x:c>
      <x:c r="B34" s="22" t="str">
        <x:v>Corte em solo</x:v>
      </x:c>
      <x:c r="C34" s="22" t="str">
        <x:v>Escavação de material de 1ª e 2ª categoria</x:v>
      </x:c>
      <x:c r="F34" s="22" t="str">
        <x:v>Pavimentação</x:v>
      </x:c>
      <x:c r="G34" s="22" t="str">
        <x:v>Construção da base</x:v>
      </x:c>
      <x:c r="H34" s="22" t="str">
        <x:v>Solo brita 30/70 cimento 4%</x:v>
      </x:c>
      <x:c r="I34" s="22" t="str">
        <x:v>m³</x:v>
      </x:c>
    </x:row>
    <x:row r="35">
      <x:c r="A35" s="22" t="str">
        <x:v>Terraplenagem</x:v>
      </x:c>
      <x:c r="B35" s="22" t="str">
        <x:v>Aterro</x:v>
      </x:c>
      <x:c r="C35" s="22" t="str">
        <x:v>Compactação de aterro a 95% do proctor normal</x:v>
      </x:c>
      <x:c r="F35" s="22" t="str">
        <x:v>Pavimentação</x:v>
      </x:c>
      <x:c r="G35" s="22" t="str">
        <x:v>Construção da base</x:v>
      </x:c>
      <x:c r="H35" s="22" t="str">
        <x:v>Solo brita 30/70</x:v>
      </x:c>
      <x:c r="I35" s="22" t="str">
        <x:v>m³</x:v>
      </x:c>
    </x:row>
    <x:row r="36">
      <x:c r="A36" s="22" t="str">
        <x:v>Terraplenagem</x:v>
      </x:c>
      <x:c r="B36" s="22" t="str">
        <x:v>Aterro</x:v>
      </x:c>
      <x:c r="C36" s="22" t="str">
        <x:v>Compactação de aterro a 100% do proctor intermediário</x:v>
      </x:c>
      <x:c r="F36" s="22" t="str">
        <x:v>Pavimentação</x:v>
      </x:c>
      <x:c r="G36" s="22" t="str">
        <x:v>Construção da camada de revestimento</x:v>
      </x:c>
      <x:c r="H36" s="22" t="str">
        <x:v>Imprimadura impermeabilizante com EAI - Sem o fornecimento dos materias</x:v>
      </x:c>
      <x:c r="I36" s="22" t="str">
        <x:v>m²</x:v>
      </x:c>
    </x:row>
    <x:row r="37">
      <x:c r="A37" s="22" t="str">
        <x:v>Terraplenagem</x:v>
      </x:c>
      <x:c r="B37" s="22" t="str">
        <x:v>Trocas e melhorias de solo</x:v>
      </x:c>
      <x:c r="C37" s="22" t="str">
        <x:v>Escavação de solo com baixa capacidade de suporte</x:v>
      </x:c>
      <x:c r="F37" s="22" t="str">
        <x:v>Pavimentação</x:v>
      </x:c>
      <x:c r="G37" s="22" t="str">
        <x:v>Construção da camada de revestimento</x:v>
      </x:c>
      <x:c r="H37" s="22" t="str">
        <x:v>Imprimadura ligante (Cura) - sem o fornecimento dos materiais</x:v>
      </x:c>
      <x:c r="I37" s="22" t="str">
        <x:v>m²</x:v>
      </x:c>
    </x:row>
    <x:row r="38">
      <x:c r="A38" s="22" t="str">
        <x:v>Terraplenagem</x:v>
      </x:c>
      <x:c r="B38" s="22" t="str">
        <x:v>Trocas e melhorias de solo</x:v>
      </x:c>
      <x:c r="C38" s="22" t="str">
        <x:v>Fundação / reaterro com solo</x:v>
      </x:c>
      <x:c r="F38" s="22" t="str">
        <x:v>Pavimentação</x:v>
      </x:c>
      <x:c r="G38" s="22" t="str">
        <x:v>Construção da camada de revestimento</x:v>
      </x:c>
      <x:c r="H38" s="22" t="str">
        <x:v>Imprimadura ligante, sem fornecimento de materiais</x:v>
      </x:c>
      <x:c r="I38" s="22" t="str">
        <x:v>m²</x:v>
      </x:c>
    </x:row>
    <x:row r="39">
      <x:c r="A39" s="22" t="str">
        <x:v>Terraplenagem</x:v>
      </x:c>
      <x:c r="B39" s="22" t="str">
        <x:v>Trocas e melhorias de solo</x:v>
      </x:c>
      <x:c r="C39" s="22" t="str">
        <x:v>Escavação de solo mole</x:v>
      </x:c>
      <x:c r="F39" s="22" t="str">
        <x:v>Pavimentação</x:v>
      </x:c>
      <x:c r="G39" s="22" t="str">
        <x:v>Construção da camada de revestimento</x:v>
      </x:c>
      <x:c r="H39" s="22" t="str">
        <x:v>Concreto betuminoso usinado a quente SPV 16 mm, modificado por borracha, sem o fornecimento de CAP</x:v>
      </x:c>
      <x:c r="I39" s="22" t="str">
        <x:v>m³</x:v>
      </x:c>
    </x:row>
    <x:row r="40">
      <x:c r="A40" s="22" t="str">
        <x:v>Terraplenagem</x:v>
      </x:c>
      <x:c r="B40" s="22" t="str">
        <x:v>Trocas e melhorias de solo</x:v>
      </x:c>
      <x:c r="C40" s="22" t="str">
        <x:v>Fundação / reaterro com pedra rachão</x:v>
      </x:c>
      <x:c r="F40" s="22" t="str">
        <x:v>Pavimentação</x:v>
      </x:c>
      <x:c r="G40" s="22" t="str">
        <x:v>Construção da camada de revestimento</x:v>
      </x:c>
      <x:c r="H40" s="22" t="str">
        <x:v>Microrrevestimento asfáltico a frio adaptado para acostamentos - Espessura de 25 mm - sem fornecimento de emulsão</x:v>
      </x:c>
      <x:c r="I40" s="22" t="str">
        <x:v>m²</x:v>
      </x:c>
    </x:row>
    <x:row r="41">
      <x:c r="A41" s="22" t="str">
        <x:v>Terraplenagem</x:v>
      </x:c>
      <x:c r="B41" s="22" t="str">
        <x:v>Trocas e melhorias de solo</x:v>
      </x:c>
      <x:c r="C41" s="22" t="str">
        <x:v>Fundação / reaterro com areia média a grossa</x:v>
      </x:c>
      <x:c r="F41" s="22" t="str">
        <x:v>Pavimentação</x:v>
      </x:c>
      <x:c r="G41" s="22" t="str">
        <x:v>Construção da camada de revestimento</x:v>
      </x:c>
      <x:c r="H41" s="22" t="str">
        <x:v>Reciclagem de pavimento com adicao de 30% de brita</x:v>
      </x:c>
      <x:c r="I41" s="22" t="str">
        <x:v>m³</x:v>
      </x:c>
    </x:row>
    <x:row r="42">
      <x:c r="A42" s="22" t="str">
        <x:v>Terraplenagem</x:v>
      </x:c>
      <x:c r="B42" s="22" t="str">
        <x:v>Trocas e melhorias de solo</x:v>
      </x:c>
      <x:c r="C42" s="22" t="str">
        <x:v>Fundação / reaterro com brita graduada simples/pedrisco</x:v>
      </x:c>
      <x:c r="F42" s="22" t="str">
        <x:v>Pavimentação</x:v>
      </x:c>
      <x:c r="G42" s="22" t="str">
        <x:v>Construção da camada de revestimento</x:v>
      </x:c>
      <x:c r="H42" s="22" t="str">
        <x:v>Geogrelha Hatelit - Sem o fornecimento de materiais</x:v>
      </x:c>
      <x:c r="I42" s="22" t="str">
        <x:v>m²</x:v>
      </x:c>
    </x:row>
    <x:row r="43">
      <x:c r="A43" s="22" t="str">
        <x:v>Terraplenagem</x:v>
      </x:c>
      <x:c r="B43" s="22" t="str">
        <x:v>Trocas e melhorias de solo</x:v>
      </x:c>
      <x:c r="C43" s="22" t="str">
        <x:v>Fundação / reaterro com bica corrida</x:v>
      </x:c>
      <x:c r="F43" s="22" t="str">
        <x:v>Drenagem</x:v>
      </x:c>
      <x:c r="G43" s="22" t="str">
        <x:v>Obras de drenagem profunda. Galerias e Bueiros</x:v>
      </x:c>
      <x:c r="H43" s="22" t="str">
        <x:v>Bueiro simples tubular de concreto PA2 com berço de brita - Ø 0,80 m, sem o fornecimento do tubo</x:v>
      </x:c>
      <x:c r="I43" s="22" t="str">
        <x:v>m</x:v>
      </x:c>
    </x:row>
    <x:row r="44">
      <x:c r="A44" s="22" t="str">
        <x:v>Terraplenagem</x:v>
      </x:c>
      <x:c r="B44" s="22" t="str">
        <x:v>Trocas e melhorias de solo</x:v>
      </x:c>
      <x:c r="C44" s="22" t="str">
        <x:v>Camada drenante Brita 3/4" a 1 1/2"</x:v>
      </x:c>
      <x:c r="F44" s="22" t="str">
        <x:v>Drenagem</x:v>
      </x:c>
      <x:c r="G44" s="22" t="str">
        <x:v>Obras de drenagem profunda. Galerias e Bueiros</x:v>
      </x:c>
      <x:c r="H44" s="22" t="str">
        <x:v>Bueiro simples tubular de concreto PA2 com berço de brita - Ø 1,20 m, sem o fornecimento do tubo</x:v>
      </x:c>
      <x:c r="I44" s="22" t="str">
        <x:v>m</x:v>
      </x:c>
    </x:row>
    <x:row r="45">
      <x:c r="A45" s="22" t="str">
        <x:v>Terraplenagem</x:v>
      </x:c>
      <x:c r="B45" s="22" t="str">
        <x:v>Trocas e melhorias de solo</x:v>
      </x:c>
      <x:c r="C45" s="22" t="str">
        <x:v>Estaca de brita ø 0,80 m</x:v>
      </x:c>
      <x:c r="F45" s="22" t="str">
        <x:v>Drenagem</x:v>
      </x:c>
      <x:c r="G45" s="22" t="str">
        <x:v>Obras de drenagem profunda. Galerias e Bueiros</x:v>
      </x:c>
      <x:c r="H45" s="22" t="str">
        <x:v>Bueiro simples tubular de concreto PA2 com berço de brita - Ø 1,50 m, sem o fornecimento do tubo</x:v>
      </x:c>
      <x:c r="I45" s="22" t="str">
        <x:v>m</x:v>
      </x:c>
    </x:row>
    <x:row r="46">
      <x:c r="A46" s="22" t="str">
        <x:v>Terraplenagem</x:v>
      </x:c>
      <x:c r="B46" s="22" t="str">
        <x:v>Trocas e melhorias de solo</x:v>
      </x:c>
      <x:c r="C46" s="22" t="str">
        <x:v>Compactação de aterro a 100% do proctor normal (*)</x:v>
      </x:c>
      <x:c r="F46" s="22" t="str">
        <x:v>Drenagem</x:v>
      </x:c>
      <x:c r="G46" s="22" t="str">
        <x:v>Obras de drenagem profunda. Galerias e Bueiros</x:v>
      </x:c>
      <x:c r="H46" s="22" t="str">
        <x:v>Bueiro simples tubular de concreto PA3 com berço de brita - Ø 0,60 m, sem o fornecimento do tubo</x:v>
      </x:c>
      <x:c r="I46" s="22" t="str">
        <x:v>m</x:v>
      </x:c>
    </x:row>
    <x:row r="47">
      <x:c r="A47" s="22" t="str">
        <x:v>Terraplenagem</x:v>
      </x:c>
      <x:c r="B47" s="22" t="str">
        <x:v>Trocas e melhorias de solo</x:v>
      </x:c>
      <x:c r="C47" s="22" t="str">
        <x:v>Rede metálica de alta resistência StellGrid HR 100 ou Similiar (Perfuração e instalação)</x:v>
      </x:c>
      <x:c r="F47" s="22" t="str">
        <x:v>Drenagem</x:v>
      </x:c>
      <x:c r="G47" s="22" t="str">
        <x:v>Obras de drenagem profunda. Galerias e Bueiros</x:v>
      </x:c>
      <x:c r="H47" s="22" t="str">
        <x:v>Bueiro simples tubular de concreto PA3 com berço de brita - Ø 0,80 m, sem o fornecimento do tubo</x:v>
      </x:c>
      <x:c r="I47" s="22" t="str">
        <x:v>m</x:v>
      </x:c>
    </x:row>
    <x:row r="48">
      <x:c r="A48" s="22" t="str">
        <x:v>Terraplenagem</x:v>
      </x:c>
      <x:c r="B48" s="22" t="str">
        <x:v>Construção do subleito</x:v>
      </x:c>
      <x:c r="C48" s="22" t="str">
        <x:v>Regularização do subleito</x:v>
      </x:c>
      <x:c r="F48" s="22" t="str">
        <x:v>Drenagem</x:v>
      </x:c>
      <x:c r="G48" s="22" t="str">
        <x:v>Obras de drenagem profunda. Galerias e Bueiros</x:v>
      </x:c>
      <x:c r="H48" s="22" t="str">
        <x:v>Bueiro duplo tubular de concreto PA3 com berço de brita - Ø 1,00 m (*) - Sem o fornecimento do tubo</x:v>
      </x:c>
      <x:c r="I48" s="22" t="str">
        <x:v>m</x:v>
      </x:c>
    </x:row>
    <x:row r="49">
      <x:c r="A49" s="22" t="str">
        <x:v>Terraplenagem</x:v>
      </x:c>
      <x:c r="B49" s="22" t="str">
        <x:v>Construção do subleito</x:v>
      </x:c>
      <x:c r="C49" s="22" t="str">
        <x:v>Escavação de material de 1ª e 2ª categoria (*)</x:v>
      </x:c>
      <x:c r="F49" s="22" t="str">
        <x:v>Drenagem</x:v>
      </x:c>
      <x:c r="G49" s="22" t="str">
        <x:v>Obras de drenagem profunda. Galerias e Bueiros</x:v>
      </x:c>
      <x:c r="H49" s="22" t="str">
        <x:v>Bueiro simples tubular de concreto PA3 com berço de brita - Ø 1,50 m, sem o fornecimento do tubo</x:v>
      </x:c>
      <x:c r="I49" s="22" t="str">
        <x:v>m</x:v>
      </x:c>
    </x:row>
    <x:row r="50">
      <x:c r="A50" s="22" t="str">
        <x:v>Terraplenagem</x:v>
      </x:c>
      <x:c r="B50" s="22" t="str">
        <x:v>Construção do subleito</x:v>
      </x:c>
      <x:c r="C50" s="22" t="str">
        <x:v>Regularização do subleito (*)</x:v>
      </x:c>
      <x:c r="F50" s="22" t="str">
        <x:v>Drenagem</x:v>
      </x:c>
      <x:c r="G50" s="22" t="str">
        <x:v>Obras de drenagem profunda. Galerias e Bueiros</x:v>
      </x:c>
      <x:c r="H50" s="22" t="str">
        <x:v>Bueiro simples tubular de concreto PA4 com berço de brita - Ø 1,20 m, sem o fornecimento do tubo</x:v>
      </x:c>
      <x:c r="I50" s="22" t="str">
        <x:v>m</x:v>
      </x:c>
    </x:row>
    <x:row r="51">
      <x:c r="A51" s="22" t="str">
        <x:v>Terraplenagem</x:v>
      </x:c>
      <x:c r="B51" s="22" t="str">
        <x:v>Construção do subleito</x:v>
      </x:c>
      <x:c r="C51" s="22" t="str">
        <x:v>Compactação de aterro a 100% do proctor intermediário (*)</x:v>
      </x:c>
      <x:c r="F51" s="22" t="str">
        <x:v>Drenagem</x:v>
      </x:c>
      <x:c r="G51" s="22" t="str">
        <x:v>Obras de drenagem profunda. Galerias e Bueiros</x:v>
      </x:c>
      <x:c r="H51" s="22" t="str">
        <x:v>Bueiro duplo tubular de concreto PA4 com berço de concreto - Ø 1,50 m - Sem o fornecimento do tubo</x:v>
      </x:c>
      <x:c r="I51" s="22" t="str">
        <x:v>m</x:v>
      </x:c>
    </x:row>
    <x:row r="52">
      <x:c r="A52" s="22" t="str">
        <x:v>Terraplenagem</x:v>
      </x:c>
      <x:c r="B52" s="22" t="str">
        <x:v>Aplicação de geomanta e geogrelha</x:v>
      </x:c>
      <x:c r="C52" s="22" t="str">
        <x:v>Geogrelha uniaxial com deformação máxima de 10% e resistência nominal de 100kN/m - Sem o fronecimento de materiais</x:v>
      </x:c>
      <x:c r="F52" s="22" t="str">
        <x:v>Drenagem</x:v>
      </x:c>
      <x:c r="G52" s="22" t="str">
        <x:v>Obras de drenagem profunda. Galerias e Bueiros</x:v>
      </x:c>
      <x:c r="H52" s="22" t="str">
        <x:v>Galeria simples 2,50 x 2,50 - alt. 2,51 m a 5,00 m</x:v>
      </x:c>
      <x:c r="I52" s="22" t="str">
        <x:v>m</x:v>
      </x:c>
    </x:row>
    <x:row r="53">
      <x:c r="A53" s="22" t="str">
        <x:v>Terraplenagem</x:v>
      </x:c>
      <x:c r="B53" s="22" t="str">
        <x:v>Aplicação de geomanta e geogrelha</x:v>
      </x:c>
      <x:c r="C53" s="22" t="str">
        <x:v>Geogrelha uniaxial com deformação máxima de 5% e resistência nominal de 225kN/m - Sem o fornecimento dos materias</x:v>
      </x:c>
      <x:c r="F53" s="22" t="str">
        <x:v>Drenagem</x:v>
      </x:c>
      <x:c r="G53" s="22" t="str">
        <x:v>Obras de drenagem profunda. Galerias e Bueiros</x:v>
      </x:c>
      <x:c r="H53" s="22" t="str">
        <x:v>Galeria simples 4,00 x 2,90 - alt. até 2,5 m</x:v>
      </x:c>
      <x:c r="I53" s="22" t="str">
        <x:v>m</x:v>
      </x:c>
    </x:row>
    <x:row r="54">
      <x:c r="A54" s="22" t="str">
        <x:v>Terraplenagem</x:v>
      </x:c>
      <x:c r="B54" s="22" t="str">
        <x:v>Aplicação de geomanta e geogrelha</x:v>
      </x:c>
      <x:c r="C54" s="22" t="str">
        <x:v>Geogrelha uniaxial com deformação máxima de 5% e resistência nominal de 300kN/m (*) - Sem o fornecimento de materiais</x:v>
      </x:c>
      <x:c r="F54" s="22" t="str">
        <x:v>Drenagem</x:v>
      </x:c>
      <x:c r="G54" s="22" t="str">
        <x:v>Obras de drenagem profunda. Galerias e Bueiros</x:v>
      </x:c>
      <x:c r="H54" s="22" t="str">
        <x:v>Ala especial para galeria simples 4,00 x 2,90</x:v>
      </x:c>
      <x:c r="I54" s="22" t="str">
        <x:v>un</x:v>
      </x:c>
    </x:row>
    <x:row r="55">
      <x:c r="A55" s="22" t="str">
        <x:v>Terraplenagem</x:v>
      </x:c>
      <x:c r="B55" s="22" t="str">
        <x:v>Instrumentação geotécnica para Terraplenagem</x:v>
      </x:c>
      <x:c r="C55" s="22" t="str">
        <x:v>Placa de recalque</x:v>
      </x:c>
      <x:c r="F55" s="22" t="str">
        <x:v>Drenagem</x:v>
      </x:c>
      <x:c r="G55" s="22" t="str">
        <x:v>Obras de drenagem profunda. Galerias e Bueiros</x:v>
      </x:c>
      <x:c r="H55" s="22" t="str">
        <x:v>Galeria simples 2,50 x 2,40 - alt. até 2,5 m</x:v>
      </x:c>
      <x:c r="I55" s="22" t="str">
        <x:v>m</x:v>
      </x:c>
    </x:row>
    <x:row r="56">
      <x:c r="A56" s="22" t="str">
        <x:v>Terraplenagem</x:v>
      </x:c>
      <x:c r="B56" s="22" t="str">
        <x:v>Instrumentação geotécnica para Terraplenagem</x:v>
      </x:c>
      <x:c r="C56" s="22" t="str">
        <x:v>Marco Superficial</x:v>
      </x:c>
      <x:c r="F56" s="22" t="str">
        <x:v>Drenagem</x:v>
      </x:c>
      <x:c r="G56" s="22" t="str">
        <x:v>Obras de drenagem profunda. Galerias e Bueiros</x:v>
      </x:c>
      <x:c r="H56" s="22" t="str">
        <x:v>Ala especial para galeria simples 2,50 x 2,40</x:v>
      </x:c>
      <x:c r="I56" s="22" t="str">
        <x:v>un</x:v>
      </x:c>
    </x:row>
    <x:row r="57">
      <x:c r="A57" s="22" t="str">
        <x:v>Terraplenagem</x:v>
      </x:c>
      <x:c r="B57" s="22" t="str">
        <x:v>Instrumentação geotécnica para Terraplenagem</x:v>
      </x:c>
      <x:c r="C57" s="22" t="str">
        <x:v>Inclinômetro</x:v>
      </x:c>
      <x:c r="F57" s="22" t="str">
        <x:v>Drenagem</x:v>
      </x:c>
      <x:c r="G57" s="22" t="str">
        <x:v>Obras de drenagem profunda. Galerias e Bueiros</x:v>
      </x:c>
      <x:c r="H57" s="22" t="str">
        <x:v>Dissipador de energia tipo DR-10B-2 para bueiro simples de concreto BSTC Ø 0,80 m</x:v>
      </x:c>
      <x:c r="I57" s="22" t="str">
        <x:v>un</x:v>
      </x:c>
    </x:row>
    <x:row r="58">
      <x:c r="A58" s="22" t="str">
        <x:v>Terraplenagem</x:v>
      </x:c>
      <x:c r="B58" s="22" t="str">
        <x:v>Instrumentação geotécnica para Terraplenagem</x:v>
      </x:c>
      <x:c r="C58" s="22" t="str">
        <x:v>Monitoramento de Instrumentação</x:v>
      </x:c>
      <x:c r="F58" s="22" t="str">
        <x:v>Drenagem</x:v>
      </x:c>
      <x:c r="G58" s="22" t="str">
        <x:v>Obras de drenagem profunda. Galerias e Bueiros</x:v>
      </x:c>
      <x:c r="H58" s="22" t="str">
        <x:v>Boca de bueiro simples tipo A2 para Ø 0,60 m</x:v>
      </x:c>
      <x:c r="I58" s="22" t="str">
        <x:v>un</x:v>
      </x:c>
    </x:row>
    <x:row r="59">
      <x:c r="A59" s="22" t="str">
        <x:v>Pavimentação</x:v>
      </x:c>
      <x:c r="B59" s="22" t="str">
        <x:v>Demolição do pavimento</x:v>
      </x:c>
      <x:c r="C59" s="22" t="str">
        <x:v>Demolição de pavimento, revestimento betuminoso</x:v>
      </x:c>
      <x:c r="F59" s="22" t="str">
        <x:v>Drenagem</x:v>
      </x:c>
      <x:c r="G59" s="22" t="str">
        <x:v>Obras de drenagem profunda. Galerias e Bueiros</x:v>
      </x:c>
      <x:c r="H59" s="22" t="str">
        <x:v>Boca de bueiro simples tipo A2 para Ø 0,80 m</x:v>
      </x:c>
      <x:c r="I59" s="22" t="str">
        <x:v>un</x:v>
      </x:c>
    </x:row>
    <x:row r="60">
      <x:c r="A60" s="22" t="str">
        <x:v>Pavimentação</x:v>
      </x:c>
      <x:c r="B60" s="22" t="str">
        <x:v>Demolição do pavimento</x:v>
      </x:c>
      <x:c r="C60" s="22" t="str">
        <x:v>Demolição de pavimento, camada granular</x:v>
      </x:c>
      <x:c r="F60" s="22" t="str">
        <x:v>Drenagem</x:v>
      </x:c>
      <x:c r="G60" s="22" t="str">
        <x:v>Obras de drenagem profunda. Galerias e Bueiros</x:v>
      </x:c>
      <x:c r="H60" s="22" t="str">
        <x:v>Boca de bueiro simples tipo C2 para Ø 0,80 m</x:v>
      </x:c>
      <x:c r="I60" s="22" t="str">
        <x:v>un</x:v>
      </x:c>
    </x:row>
    <x:row r="61">
      <x:c r="A61" s="22" t="str">
        <x:v>Pavimentação</x:v>
      </x:c>
      <x:c r="B61" s="22" t="str">
        <x:v>Demolição do pavimento</x:v>
      </x:c>
      <x:c r="C61" s="22" t="str">
        <x:v>Fresagem contínua do pavimento</x:v>
      </x:c>
      <x:c r="F61" s="22" t="str">
        <x:v>Drenagem</x:v>
      </x:c>
      <x:c r="G61" s="22" t="str">
        <x:v>Obras de drenagem profunda. Galerias e Bueiros</x:v>
      </x:c>
      <x:c r="H61" s="22" t="str">
        <x:v>Boca de bueiro simples tipo C2 para Ø 1,20 m</x:v>
      </x:c>
      <x:c r="I61" s="22" t="str">
        <x:v>un</x:v>
      </x:c>
    </x:row>
    <x:row r="62">
      <x:c r="A62" s="22" t="str">
        <x:v>Pavimentação</x:v>
      </x:c>
      <x:c r="B62" s="22" t="str">
        <x:v>Construção da sub-base</x:v>
      </x:c>
      <x:c r="C62" s="22" t="str">
        <x:v>Solo cimento com adição de 3% cimento,mistura in situ- Recicladora</x:v>
      </x:c>
      <x:c r="F62" s="22" t="str">
        <x:v>Drenagem</x:v>
      </x:c>
      <x:c r="G62" s="22" t="str">
        <x:v>Obras de drenagem profunda. Galerias e Bueiros</x:v>
      </x:c>
      <x:c r="H62" s="22" t="str">
        <x:v>Boca de bueiro simples tipo C2 para Ø 1,50 m</x:v>
      </x:c>
      <x:c r="I62" s="22" t="str">
        <x:v>un</x:v>
      </x:c>
    </x:row>
    <x:row r="63">
      <x:c r="A63" s="22" t="str">
        <x:v>Pavimentação</x:v>
      </x:c>
      <x:c r="B63" s="22" t="str">
        <x:v>Construção da base</x:v>
      </x:c>
      <x:c r="C63" s="22" t="str">
        <x:v>Solo brita 30/70 cimento 4%</x:v>
      </x:c>
      <x:c r="F63" s="22" t="str">
        <x:v>Drenagem</x:v>
      </x:c>
      <x:c r="G63" s="22" t="str">
        <x:v>Obras de drenagem profunda. Galerias e Bueiros</x:v>
      </x:c>
      <x:c r="H63" s="22" t="str">
        <x:v>Boca de bueiro simples tipo C2 para Ø 1,00 m</x:v>
      </x:c>
      <x:c r="I63" s="22" t="str">
        <x:v>un</x:v>
      </x:c>
    </x:row>
    <x:row r="64">
      <x:c r="A64" s="22" t="str">
        <x:v>Pavimentação</x:v>
      </x:c>
      <x:c r="B64" s="22" t="str">
        <x:v>Construção da base</x:v>
      </x:c>
      <x:c r="C64" s="22" t="str">
        <x:v>Solo brita 30/70</x:v>
      </x:c>
      <x:c r="F64" s="22" t="str">
        <x:v>Drenagem</x:v>
      </x:c>
      <x:c r="G64" s="22" t="str">
        <x:v>Obras de drenagem profunda. Galerias e Bueiros</x:v>
      </x:c>
      <x:c r="H64" s="22" t="str">
        <x:v>Bacia de captação com pedra arrumada e rejuntada DR-16</x:v>
      </x:c>
      <x:c r="I64" s="22" t="str">
        <x:v>m³</x:v>
      </x:c>
    </x:row>
    <x:row r="65">
      <x:c r="A65" s="22" t="str">
        <x:v>Pavimentação</x:v>
      </x:c>
      <x:c r="B65" s="22" t="str">
        <x:v>Construção da camada de revestimento</x:v>
      </x:c>
      <x:c r="C65" s="22" t="str">
        <x:v>Imprimadura impermeabilizante com EAI - Sem o fornecimento dos materias</x:v>
      </x:c>
      <x:c r="F65" s="22" t="str">
        <x:v>Drenagem</x:v>
      </x:c>
      <x:c r="G65" s="22" t="str">
        <x:v>Obras de drenagem profunda. Galerias e Bueiros</x:v>
      </x:c>
      <x:c r="H65" s="22" t="str">
        <x:v>Caixa coletora tipo CX-1 com h até 1,50</x:v>
      </x:c>
      <x:c r="I65" s="22" t="str">
        <x:v>un</x:v>
      </x:c>
    </x:row>
    <x:row r="66">
      <x:c r="A66" s="22" t="str">
        <x:v>Pavimentação</x:v>
      </x:c>
      <x:c r="B66" s="22" t="str">
        <x:v>Construção da camada de revestimento</x:v>
      </x:c>
      <x:c r="C66" s="22" t="str">
        <x:v>Imprimadura ligante (Cura) - sem o fornecimento dos materiais</x:v>
      </x:c>
      <x:c r="F66" s="22" t="str">
        <x:v>Drenagem</x:v>
      </x:c>
      <x:c r="G66" s="22" t="str">
        <x:v>Obras de drenagem profunda. Galerias e Bueiros</x:v>
      </x:c>
      <x:c r="H66" s="22" t="str">
        <x:v>Caixa coletora tipo CX-3 com h até 1,50</x:v>
      </x:c>
      <x:c r="I66" s="22" t="str">
        <x:v>un</x:v>
      </x:c>
    </x:row>
    <x:row r="67">
      <x:c r="A67" s="22" t="str">
        <x:v>Pavimentação</x:v>
      </x:c>
      <x:c r="B67" s="22" t="str">
        <x:v>Construção da camada de revestimento</x:v>
      </x:c>
      <x:c r="C67" s="22" t="str">
        <x:v>Imprimadura ligante, sem fornecimento de materiais</x:v>
      </x:c>
      <x:c r="F67" s="22" t="str">
        <x:v>Drenagem</x:v>
      </x:c>
      <x:c r="G67" s="22" t="str">
        <x:v>Obras de drenagem profunda. Galerias e Bueiros</x:v>
      </x:c>
      <x:c r="H67" s="22" t="str">
        <x:v>Caixa coletora tipo CX-7 com h até 1,50</x:v>
      </x:c>
      <x:c r="I67" s="22" t="str">
        <x:v>un</x:v>
      </x:c>
    </x:row>
    <x:row r="68">
      <x:c r="A68" s="22" t="str">
        <x:v>Pavimentação</x:v>
      </x:c>
      <x:c r="B68" s="22" t="str">
        <x:v>Construção da camada de revestimento</x:v>
      </x:c>
      <x:c r="C68" s="22" t="str">
        <x:v>Concreto betuminoso usinado a quente SPV 16 mm, modificado por borracha, sem o fornecimento de CAP</x:v>
      </x:c>
      <x:c r="F68" s="22" t="str">
        <x:v>Drenagem</x:v>
      </x:c>
      <x:c r="G68" s="22" t="str">
        <x:v>Obras de drenagem profunda. Galerias e Bueiros</x:v>
      </x:c>
      <x:c r="H68" s="22" t="str">
        <x:v>Caixa coletora tipo CX-7 com h= 1,51 a 2,00</x:v>
      </x:c>
      <x:c r="I68" s="22" t="str">
        <x:v>un</x:v>
      </x:c>
    </x:row>
    <x:row r="69">
      <x:c r="A69" s="22" t="str">
        <x:v>Pavimentação</x:v>
      </x:c>
      <x:c r="B69" s="22" t="str">
        <x:v>Construção da camada de revestimento</x:v>
      </x:c>
      <x:c r="C69" s="22" t="str">
        <x:v>Microrrevestimento asfáltico a frio adaptado para acostamentos - Espessura de 25 mm - sem fornecimento de emulsão</x:v>
      </x:c>
      <x:c r="F69" s="22" t="str">
        <x:v>Drenagem</x:v>
      </x:c>
      <x:c r="G69" s="22" t="str">
        <x:v>Obras de drenagem superficiais. Sarjetas e Valetas</x:v>
      </x:c>
      <x:c r="H69" s="22" t="str">
        <x:v>Sarjeta triângular de corte tipo DR-1A</x:v>
      </x:c>
      <x:c r="I69" s="22" t="str">
        <x:v>m</x:v>
      </x:c>
    </x:row>
    <x:row r="70">
      <x:c r="A70" s="22" t="str">
        <x:v>Pavimentação</x:v>
      </x:c>
      <x:c r="B70" s="22" t="str">
        <x:v>Construção da camada de revestimento</x:v>
      </x:c>
      <x:c r="C70" s="22" t="str">
        <x:v>Reciclagem de pavimento com adicao de 30% de brita</x:v>
      </x:c>
      <x:c r="F70" s="22" t="str">
        <x:v>Drenagem</x:v>
      </x:c>
      <x:c r="G70" s="22" t="str">
        <x:v>Obras de drenagem superficiais. Sarjetas e Valetas</x:v>
      </x:c>
      <x:c r="H70" s="22" t="str">
        <x:v>Sarjeta triângular de corte tipo DR-1B-1</x:v>
      </x:c>
      <x:c r="I70" s="22" t="str">
        <x:v>m</x:v>
      </x:c>
    </x:row>
    <x:row r="71">
      <x:c r="A71" s="22" t="str">
        <x:v>Pavimentação</x:v>
      </x:c>
      <x:c r="B71" s="22" t="str">
        <x:v>Construção da camada de revestimento</x:v>
      </x:c>
      <x:c r="C71" s="22" t="str">
        <x:v>Geogrelha Hatelit - Sem o fornecimento de materiais</x:v>
      </x:c>
      <x:c r="F71" s="22" t="str">
        <x:v>Drenagem</x:v>
      </x:c>
      <x:c r="G71" s="22" t="str">
        <x:v>Obras de drenagem superficiais. Sarjetas e Valetas</x:v>
      </x:c>
      <x:c r="H71" s="22" t="str">
        <x:v>Sarjeta triângular de corte tipo DR-1B-2</x:v>
      </x:c>
      <x:c r="I71" s="22" t="str">
        <x:v>m</x:v>
      </x:c>
    </x:row>
    <x:row r="72">
      <x:c r="A72" s="22" t="str">
        <x:v>Pavimentação</x:v>
      </x:c>
      <x:c r="B72" s="22" t="str">
        <x:v>Construção da camada de revestimento</x:v>
      </x:c>
      <x:c r="C72" s="22" t="str">
        <x:v>Imprimadura impermeabilizante, sem fornecimento de material</x:v>
      </x:c>
      <x:c r="F72" s="22" t="str">
        <x:v>Drenagem</x:v>
      </x:c>
      <x:c r="G72" s="22" t="str">
        <x:v>Obras de drenagem superficiais. Sarjetas e Valetas</x:v>
      </x:c>
      <x:c r="H72" s="22" t="str">
        <x:v>Sarjeta triangular de borda de aterro DR-6</x:v>
      </x:c>
      <x:c r="I72" s="22" t="str">
        <x:v>m</x:v>
      </x:c>
    </x:row>
    <x:row r="73">
      <x:c r="A73" s="22" t="str">
        <x:v>Drenagem</x:v>
      </x:c>
      <x:c r="B73" s="22" t="str">
        <x:v>Obras de drenagem profunda. Galerias e Bueiros</x:v>
      </x:c>
      <x:c r="C73" s="22" t="str">
        <x:v>Obras de drenagem profunda. Galerias e Bueiros</x:v>
      </x:c>
      <x:c r="F73" s="22" t="str">
        <x:v>Drenagem</x:v>
      </x:c>
      <x:c r="G73" s="22" t="str">
        <x:v>Obras de drenagem superficiais. Sarjetas e Valetas</x:v>
      </x:c>
      <x:c r="H73" s="22" t="str">
        <x:v>Valeta de proteção trapezoidal revestida em concreto DR-3B-1</x:v>
      </x:c>
      <x:c r="I73" s="22" t="str">
        <x:v>m</x:v>
      </x:c>
    </x:row>
    <x:row r="74">
      <x:c r="A74" s="22" t="str">
        <x:v>Drenagem</x:v>
      </x:c>
      <x:c r="B74" s="22" t="str">
        <x:v>Obras de drenagem superficiais. Sarjetas e Valetas</x:v>
      </x:c>
      <x:c r="C74" s="22" t="str">
        <x:v>Obras de drenagem superficiais. Sarjetas e Valetas</x:v>
      </x:c>
      <x:c r="F74" s="22" t="str">
        <x:v>Drenagem</x:v>
      </x:c>
      <x:c r="G74" s="22" t="str">
        <x:v>Obras de drenagem superficiais. Sarjetas e Valetas</x:v>
      </x:c>
      <x:c r="H74" s="22" t="str">
        <x:v>Valeta de proteção trapezoidal revestida em concreto DR-3B-4</x:v>
      </x:c>
      <x:c r="I74" s="22" t="str">
        <x:v>m</x:v>
      </x:c>
    </x:row>
    <x:row r="75">
      <x:c r="A75" s="22" t="str">
        <x:v>Drenagem</x:v>
      </x:c>
      <x:c r="B75" s="22" t="str">
        <x:v>Execução de dreno de pavimento e de plataforma</x:v>
      </x:c>
      <x:c r="C75" s="22" t="str">
        <x:v>Execução de dreno de pavimento e de plataforma</x:v>
      </x:c>
      <x:c r="F75" s="22" t="str">
        <x:v>Drenagem</x:v>
      </x:c>
      <x:c r="G75" s="22" t="str">
        <x:v>Obras de drenagem superficiais. Sarjetas e Valetas</x:v>
      </x:c>
      <x:c r="H75" s="22" t="str">
        <x:v>Valeta de proteção trapezoidal revestida em concreto DR-3B-3</x:v>
      </x:c>
      <x:c r="I75" s="22" t="str">
        <x:v>m</x:v>
      </x:c>
    </x:row>
    <x:row r="76">
      <x:c r="A76" s="22" t="str">
        <x:v>Obras complementares exigidas</x:v>
      </x:c>
      <x:c r="B76" s="22" t="str">
        <x:v>Passagens de fauna e melhorias no habitat</x:v>
      </x:c>
      <x:c r="C76" s="22" t="str">
        <x:v>Passagem de fauna adaptada em bueiro</x:v>
      </x:c>
      <x:c r="F76" s="22" t="str">
        <x:v>Drenagem</x:v>
      </x:c>
      <x:c r="G76" s="22" t="str">
        <x:v>Obras de drenagem superficiais. Sarjetas e Valetas</x:v>
      </x:c>
      <x:c r="H76" s="22" t="str">
        <x:v>Valeta de proteção trapezoidal revestida em concreto DR-3B-5</x:v>
      </x:c>
      <x:c r="I76" s="22" t="str">
        <x:v>m</x:v>
      </x:c>
    </x:row>
    <x:row r="77">
      <x:c r="A77" s="22" t="str">
        <x:v>Segurança viária</x:v>
      </x:c>
      <x:c r="B77" s="22" t="str">
        <x:v>Instalação de barreira de concreto</x:v>
      </x:c>
      <x:c r="C77" s="22" t="str">
        <x:v>Barreira rígida dupla baixa</x:v>
      </x:c>
      <x:c r="F77" s="22" t="str">
        <x:v>Drenagem</x:v>
      </x:c>
      <x:c r="G77" s="22" t="str">
        <x:v>Obras de drenagem superficiais. Sarjetas e Valetas</x:v>
      </x:c>
      <x:c r="H77" s="22" t="str">
        <x:v>Valeta de canteiro central revestida em grama DR-2A</x:v>
      </x:c>
      <x:c r="I77" s="22" t="str">
        <x:v>m</x:v>
      </x:c>
    </x:row>
    <x:row r="78">
      <x:c r="A78" s="22" t="str">
        <x:v>Segurança viária</x:v>
      </x:c>
      <x:c r="B78" s="22" t="str">
        <x:v>Instalação de barreira de concreto</x:v>
      </x:c>
      <x:c r="C78" s="22" t="str">
        <x:v>Barreira rígida simples baixa</x:v>
      </x:c>
      <x:c r="F78" s="22" t="str">
        <x:v>Drenagem</x:v>
      </x:c>
      <x:c r="G78" s="22" t="str">
        <x:v>Obras de drenagem superficiais. Sarjetas e Valetas</x:v>
      </x:c>
      <x:c r="H78" s="22" t="str">
        <x:v>Valeta de canteiro central revestida em concreto DR-2B-1</x:v>
      </x:c>
      <x:c r="I78" s="22" t="str">
        <x:v>m</x:v>
      </x:c>
    </x:row>
    <x:row r="79">
      <x:c r="F79" s="22" t="str">
        <x:v>Drenagem</x:v>
      </x:c>
      <x:c r="G79" s="22" t="str">
        <x:v>Obras de drenagem superficiais. Sarjetas e Valetas</x:v>
      </x:c>
      <x:c r="H79" s="22" t="str">
        <x:v>Valeta de canteiro central revestida em concreto DR-2B-2</x:v>
      </x:c>
      <x:c r="I79" s="22" t="str">
        <x:v>m</x:v>
      </x:c>
    </x:row>
    <x:row r="80">
      <x:c r="F80" s="22" t="str">
        <x:v>Drenagem</x:v>
      </x:c>
      <x:c r="G80" s="22" t="str">
        <x:v>Obras de drenagem superficiais. Sarjetas e Valetas</x:v>
      </x:c>
      <x:c r="H80" s="22" t="str">
        <x:v>Valeta de canteiro central revestida em concreto DR-2B-3</x:v>
      </x:c>
      <x:c r="I80" s="22" t="str">
        <x:v>m</x:v>
      </x:c>
    </x:row>
    <x:row r="81">
      <x:c r="F81" s="22" t="str">
        <x:v>Drenagem</x:v>
      </x:c>
      <x:c r="G81" s="22" t="str">
        <x:v>Obras de drenagem superficiais. Sarjetas e Valetas</x:v>
      </x:c>
      <x:c r="H81" s="22" t="str">
        <x:v>Transposição de segmentos de sarjetas com laje tipo TSS-04</x:v>
      </x:c>
      <x:c r="I81" s="22" t="str">
        <x:v>m</x:v>
      </x:c>
    </x:row>
    <x:row r="82">
      <x:c r="F82" s="22" t="str">
        <x:v>Drenagem</x:v>
      </x:c>
      <x:c r="G82" s="22" t="str">
        <x:v>Obras de drenagem superficiais. Sarjetas e Valetas</x:v>
      </x:c>
      <x:c r="H82" s="22" t="str">
        <x:v>Canal retangular de concreto simples tipo DR-4A-2</x:v>
      </x:c>
      <x:c r="I82" s="22" t="str">
        <x:v>m</x:v>
      </x:c>
    </x:row>
    <x:row r="83">
      <x:c r="F83" s="22" t="str">
        <x:v>Drenagem</x:v>
      </x:c>
      <x:c r="G83" s="22" t="str">
        <x:v>Obras de drenagem superficiais. Sarjetas e Valetas</x:v>
      </x:c>
      <x:c r="H83" s="22" t="str">
        <x:v>Canal retangular de concreto armado tipo DR-7A-1</x:v>
      </x:c>
      <x:c r="I83" s="22" t="str">
        <x:v>m</x:v>
      </x:c>
    </x:row>
    <x:row r="84">
      <x:c r="F84" s="22" t="str">
        <x:v>Drenagem</x:v>
      </x:c>
      <x:c r="G84" s="22" t="str">
        <x:v>Obras de drenagem superficiais. Sarjetas e Valetas</x:v>
      </x:c>
      <x:c r="H84" s="22" t="str">
        <x:v>Canal retangular de concreto armado tipo R2P</x:v>
      </x:c>
      <x:c r="I84" s="22" t="str">
        <x:v>m</x:v>
      </x:c>
    </x:row>
    <x:row r="85">
      <x:c r="F85" s="22" t="str">
        <x:v>Drenagem</x:v>
      </x:c>
      <x:c r="G85" s="22" t="str">
        <x:v>Obras de drenagem superficiais. Sarjetas e Valetas</x:v>
      </x:c>
      <x:c r="H85" s="22" t="str">
        <x:v>Dissipador de energia tipo DR-10A-1 para canaletas ou valetas</x:v>
      </x:c>
      <x:c r="I85" s="22" t="str">
        <x:v>un</x:v>
      </x:c>
    </x:row>
    <x:row r="86">
      <x:c r="F86" s="22" t="str">
        <x:v>Drenagem</x:v>
      </x:c>
      <x:c r="G86" s="22" t="str">
        <x:v>Obras de drenagem superficiais. Sarjetas e Valetas</x:v>
      </x:c>
      <x:c r="H86" s="22" t="str">
        <x:v>Dissipador de energia tipo DR-10B-1 para canaletas ou valetas</x:v>
      </x:c>
      <x:c r="I86" s="22" t="str">
        <x:v>un</x:v>
      </x:c>
    </x:row>
    <x:row r="87">
      <x:c r="F87" s="22" t="str">
        <x:v>Drenagem</x:v>
      </x:c>
      <x:c r="G87" s="22" t="str">
        <x:v>Obras de drenagem superficiais. Sarjetas e Valetas</x:v>
      </x:c>
      <x:c r="H87" s="22" t="str">
        <x:v>Canal trapezoidal revestido com pedra argamassada B=9,00 H=6,00</x:v>
      </x:c>
      <x:c r="I87" s="22" t="str">
        <x:v>m</x:v>
      </x:c>
    </x:row>
    <x:row r="88">
      <x:c r="F88" s="22" t="str">
        <x:v>Drenagem</x:v>
      </x:c>
      <x:c r="G88" s="22" t="str">
        <x:v>Obras de drenagem superficiais. Sarjetas e Valetas</x:v>
      </x:c>
      <x:c r="H88" s="22" t="str">
        <x:v>Canal trapezoidal revestido com grama em placas:   B=3,00 H=VAR. - TAL. H=1,50 V=1,00</x:v>
      </x:c>
      <x:c r="I88" s="22" t="str">
        <x:v>m</x:v>
      </x:c>
    </x:row>
    <x:row r="89">
      <x:c r="F89" s="22" t="str">
        <x:v>Drenagem</x:v>
      </x:c>
      <x:c r="G89" s="22" t="str">
        <x:v>Obras de drenagem superficiais. Sarjetas e Valetas</x:v>
      </x:c>
      <x:c r="H89" s="22" t="str">
        <x:v>Canal trapezoidal revestido com grama em placas:  B=2,00 H=VAR. - TAL. H=1,50 V=1,00</x:v>
      </x:c>
      <x:c r="I89" s="22" t="str">
        <x:v>m</x:v>
      </x:c>
    </x:row>
    <x:row r="90">
      <x:c r="F90" s="22" t="str">
        <x:v>Drenagem</x:v>
      </x:c>
      <x:c r="G90" s="22" t="str">
        <x:v>Obras de drenagem superficiais. Sarjetas e Valetas</x:v>
      </x:c>
      <x:c r="H90" s="22" t="str">
        <x:v>Canal trapezoidal revestido com grama em placas:  B=1,20 H=VAR. - TAL. H=1,50 V=1,00</x:v>
      </x:c>
      <x:c r="I90" s="22" t="str">
        <x:v>m</x:v>
      </x:c>
    </x:row>
    <x:row r="91">
      <x:c r="F91" s="22" t="str">
        <x:v>Drenagem</x:v>
      </x:c>
      <x:c r="G91" s="22" t="str">
        <x:v>Obras de drenagem superficiais. Sarjetas e Valetas</x:v>
      </x:c>
      <x:c r="H91" s="22" t="str">
        <x:v>Canal trapezoidal revestido com grama em placas:  B=3,30 H=VAR. - TAL. H=1,50 V=1,00</x:v>
      </x:c>
      <x:c r="I91" s="22" t="str">
        <x:v>m</x:v>
      </x:c>
    </x:row>
    <x:row r="92">
      <x:c r="F92" s="22" t="str">
        <x:v>Drenagem</x:v>
      </x:c>
      <x:c r="G92" s="22" t="str">
        <x:v>Obras de drenagem superficiais. Sarjetas e Valetas</x:v>
      </x:c>
      <x:c r="H92" s="22" t="str">
        <x:v>Canal trapezoidal revestido com grama em placas: B=2.50 H=VAR. - TAL. H=1,50 V=1,00</x:v>
      </x:c>
      <x:c r="I92" s="22" t="str">
        <x:v>m</x:v>
      </x:c>
    </x:row>
    <x:row r="93">
      <x:c r="F93" s="22" t="str">
        <x:v>Drenagem</x:v>
      </x:c>
      <x:c r="G93" s="22" t="str">
        <x:v>Execução de dreno de pavimento e de plataforma</x:v>
      </x:c>
      <x:c r="H93" s="22" t="str">
        <x:v>Caixa de passagem para dreno de pavimento tipo CP 1</x:v>
      </x:c>
      <x:c r="I93" s="22" t="str">
        <x:v>un</x:v>
      </x:c>
    </x:row>
    <x:row r="94">
      <x:c r="F94" s="22" t="str">
        <x:v>Drenagem</x:v>
      </x:c>
      <x:c r="G94" s="22" t="str">
        <x:v>Execução de dreno de pavimento e de plataforma</x:v>
      </x:c>
      <x:c r="H94" s="22" t="str">
        <x:v>Caixa de passagem para dreno de pavimento tipo CP 2</x:v>
      </x:c>
      <x:c r="I94" s="22" t="str">
        <x:v>un</x:v>
      </x:c>
    </x:row>
    <x:row r="95">
      <x:c r="F95" s="22" t="str">
        <x:v>Drenagem</x:v>
      </x:c>
      <x:c r="G95" s="22" t="str">
        <x:v>Execução de dreno de pavimento e de plataforma</x:v>
      </x:c>
      <x:c r="H95" s="22" t="str">
        <x:v>Boca de saída  tipo BSD-3 para dreno de pavimento</x:v>
      </x:c>
      <x:c r="I95" s="22" t="str">
        <x:v>un</x:v>
      </x:c>
    </x:row>
    <x:row r="96">
      <x:c r="F96" s="22" t="str">
        <x:v>Drenagem</x:v>
      </x:c>
      <x:c r="G96" s="22" t="str">
        <x:v>Execução de dreno de pavimento e de plataforma</x:v>
      </x:c>
      <x:c r="H96" s="22" t="str">
        <x:v>Dreno transversal raso DTR, sem o fornecimento dos materiais</x:v>
      </x:c>
      <x:c r="I96" s="22" t="str">
        <x:v>m</x:v>
      </x:c>
    </x:row>
    <x:row r="97">
      <x:c r="F97" s="22" t="str">
        <x:v>Drenagem</x:v>
      </x:c>
      <x:c r="G97" s="22" t="str">
        <x:v>Execução de dreno de pavimento e de plataforma</x:v>
      </x:c>
      <x:c r="H97" s="22" t="str">
        <x:v>Tubo de PVC perfurado ou não - tubo Ø 4", sem fornecimento de material</x:v>
      </x:c>
      <x:c r="I97" s="22" t="str">
        <x:v>m</x:v>
      </x:c>
    </x:row>
    <x:row r="98">
      <x:c r="F98" s="22" t="str">
        <x:v>Drenagem</x:v>
      </x:c>
      <x:c r="G98" s="22" t="str">
        <x:v>Execução de dreno de pavimento e de plataforma</x:v>
      </x:c>
      <x:c r="H98" s="22" t="str">
        <x:v>Dreno longitudinal de pavimento H = 0,40 m - sem o tubo e o geocomposto drenante</x:v>
      </x:c>
      <x:c r="I98" s="22" t="str">
        <x:v>m</x:v>
      </x:c>
    </x:row>
    <x:row r="99">
      <x:c r="F99" s="22" t="str">
        <x:v>Obra de Arte Especial. Pontes, viadutos e passarelas -
 PONTE DO RIO OURO (Km 84+140 PISTA SUL)</x:v>
      </x:c>
      <x:c r="G99" s="22" t="str">
        <x:v>Fundações profundas</x:v>
      </x:c>
      <x:c r="H99" s="22" t="str">
        <x:v>Estaca raiz Ø 0,41 m em solo</x:v>
      </x:c>
      <x:c r="I99" s="22" t="str">
        <x:v>m</x:v>
      </x:c>
    </x:row>
    <x:row r="100">
      <x:c r="F100" s="22" t="str">
        <x:v>Obra de Arte Especial. Pontes, viadutos e passarelas -
 PONTE DO RIO OURO (Km 84+140 PISTA SUL)</x:v>
      </x:c>
      <x:c r="G100" s="22" t="str">
        <x:v>Fundações profundas</x:v>
      </x:c>
      <x:c r="H100" s="22" t="str">
        <x:v>Estaca raiz Ø 0,41 m em rocha alterada / sã</x:v>
      </x:c>
      <x:c r="I100" s="22" t="str">
        <x:v>m</x:v>
      </x:c>
    </x:row>
    <x:row r="101">
      <x:c r="F101" s="22" t="str">
        <x:v>Obra de Arte Especial. Pontes, viadutos e passarelas -
 PONTE DO RIO OURO (Km 84+140 PISTA SUL)</x:v>
      </x:c>
      <x:c r="G101" s="22" t="str">
        <x:v>Mesoestrutura</x:v>
      </x:c>
      <x:c r="H101" s="22" t="str">
        <x:v>Cimbramento metálico</x:v>
      </x:c>
      <x:c r="I101" s="22" t="str">
        <x:v>m³</x:v>
      </x:c>
    </x:row>
    <x:row r="102">
      <x:c r="F102" s="22" t="str">
        <x:v>Obra de Arte Especial. Pontes, viadutos e passarelas -
 PONTE DO RIO OURO (Km 84+140 PISTA SUL)</x:v>
      </x:c>
      <x:c r="G102" s="22" t="str">
        <x:v>Mesoestrutura</x:v>
      </x:c>
      <x:c r="H102" s="22" t="str">
        <x:v>Escavação mecânica para obra de arte especial  de 1ª e 2ª cat</x:v>
      </x:c>
      <x:c r="I102" s="22" t="str">
        <x:v>m³</x:v>
      </x:c>
    </x:row>
    <x:row r="103">
      <x:c r="F103" s="22" t="str">
        <x:v>Obra de Arte Especial. Pontes, viadutos e passarelas -
 PONTE DO RIO OURO (Km 84+140 PISTA SUL)</x:v>
      </x:c>
      <x:c r="G103" s="22" t="str">
        <x:v>Mesoestrutura</x:v>
      </x:c>
      <x:c r="H103" s="22" t="str">
        <x:v>Escavação manual para obra de arte especial em material de 1ª cat</x:v>
      </x:c>
      <x:c r="I103" s="22" t="str">
        <x:v>m³</x:v>
      </x:c>
    </x:row>
    <x:row r="104">
      <x:c r="F104" s="22" t="str">
        <x:v>Obra de Arte Especial. Pontes, viadutos e passarelas -
 PONTE DO RIO OURO (Km 84+140 PISTA SUL)</x:v>
      </x:c>
      <x:c r="G104" s="22" t="str">
        <x:v>Mesoestrutura</x:v>
      </x:c>
      <x:c r="H104" s="22" t="str">
        <x:v>Regularização e compactação de fundo de cavas</x:v>
      </x:c>
      <x:c r="I104" s="22" t="str">
        <x:v>m²</x:v>
      </x:c>
    </x:row>
    <x:row r="105">
      <x:c r="F105" s="22" t="str">
        <x:v>Obra de Arte Especial. Pontes, viadutos e passarelas -
 PONTE DO RIO OURO (Km 84+140 PISTA SUL)</x:v>
      </x:c>
      <x:c r="G105" s="22" t="str">
        <x:v>Mesoestrutura</x:v>
      </x:c>
      <x:c r="H105" s="22" t="str">
        <x:v>Concreto Fck 10 Mpa, sem fornecimento de materiais e sem transporte do material</x:v>
      </x:c>
      <x:c r="I105" s="22" t="str">
        <x:v>m³</x:v>
      </x:c>
    </x:row>
    <x:row r="106">
      <x:c r="F106" s="22" t="str">
        <x:v>Obra de Arte Especial. Pontes, viadutos e passarelas -
 PONTE DO RIO OURO (Km 84+140 PISTA SUL)</x:v>
      </x:c>
      <x:c r="G106" s="22" t="str">
        <x:v>Mesoestrutura</x:v>
      </x:c>
      <x:c r="H106" s="22" t="str">
        <x:v>Concreto Fck 30 Mpa, sem fornecimento de materiais e sem transporte do material</x:v>
      </x:c>
      <x:c r="I106" s="22" t="str">
        <x:v>m³</x:v>
      </x:c>
    </x:row>
    <x:row r="107">
      <x:c r="F107" s="22" t="str">
        <x:v>Obra de Arte Especial. Pontes, viadutos e passarelas -
 PONTE DO RIO OURO (Km 84+140 PISTA SUL)</x:v>
      </x:c>
      <x:c r="G107" s="22" t="str">
        <x:v>Mesoestrutura</x:v>
      </x:c>
      <x:c r="H107" s="22" t="str">
        <x:v>Forma comum</x:v>
      </x:c>
      <x:c r="I107" s="22" t="str">
        <x:v>m²</x:v>
      </x:c>
    </x:row>
    <x:row r="108">
      <x:c r="F108" s="22" t="str">
        <x:v>Obra de Arte Especial. Pontes, viadutos e passarelas -
 PONTE DO RIO OURO (Km 84+140 PISTA SUL)</x:v>
      </x:c>
      <x:c r="G108" s="22" t="str">
        <x:v>Mesoestrutura</x:v>
      </x:c>
      <x:c r="H108" s="22" t="str">
        <x:v>Forma para concreto aparente</x:v>
      </x:c>
      <x:c r="I108" s="22" t="str">
        <x:v>m²</x:v>
      </x:c>
    </x:row>
    <x:row r="109">
      <x:c r="F109" s="22" t="str">
        <x:v>Obra de Arte Especial. Pontes, viadutos e passarelas -
 PONTE DO RIO OURO (Km 84+140 PISTA SUL)</x:v>
      </x:c>
      <x:c r="G109" s="22" t="str">
        <x:v>Mesoestrutura</x:v>
      </x:c>
      <x:c r="H109" s="22" t="str">
        <x:v>Forma curva para concreto aparente</x:v>
      </x:c>
      <x:c r="I109" s="22" t="str">
        <x:v>m²</x:v>
      </x:c>
    </x:row>
    <x:row r="110">
      <x:c r="F110" s="22" t="str">
        <x:v>Obra de Arte Especial. Pontes, viadutos e passarelas -
 PONTE DO RIO OURO (Km 84+140 PISTA SUL)</x:v>
      </x:c>
      <x:c r="G110" s="22" t="str">
        <x:v>Mesoestrutura</x:v>
      </x:c>
      <x:c r="H110" s="22" t="str">
        <x:v>Aço CA-50 para concreto armado, aplicação sem fornecimento de materiais.</x:v>
      </x:c>
      <x:c r="I110" s="22" t="str">
        <x:v>kg</x:v>
      </x:c>
    </x:row>
    <x:row r="111">
      <x:c r="F111" s="22" t="str">
        <x:v>Obra de Arte Especial. Pontes, viadutos e passarelas -
 PONTE DO RIO OURO (Km 84+140 PISTA SUL)</x:v>
      </x:c>
      <x:c r="G111" s="22" t="str">
        <x:v>Mesoestrutura</x:v>
      </x:c>
      <x:c r="H111" s="22" t="str">
        <x:v>Articulação de concreto tipo freyssinet</x:v>
      </x:c>
      <x:c r="I111" s="22" t="str">
        <x:v>dm²</x:v>
      </x:c>
    </x:row>
    <x:row r="112">
      <x:c r="F112" s="22" t="str">
        <x:v>Obra de Arte Especial. Pontes, viadutos e passarelas -
 PONTE DO RIO OURO (Km 84+140 PISTA SUL)</x:v>
      </x:c>
      <x:c r="G112" s="22" t="str">
        <x:v>Mesoestrutura</x:v>
      </x:c>
      <x:c r="H112" s="22" t="str">
        <x:v>Aparelho de apoio fretado NEOPRENE</x:v>
      </x:c>
      <x:c r="I112" s="22" t="str">
        <x:v>dm³</x:v>
      </x:c>
    </x:row>
    <x:row r="113">
      <x:c r="F113" s="22" t="str">
        <x:v>Obra de Arte Especial. Pontes, viadutos e passarelas -
 PONTE DO RIO OURO (Km 84+140 PISTA SUL)</x:v>
      </x:c>
      <x:c r="G113" s="22" t="str">
        <x:v>Mesoestrutura</x:v>
      </x:c>
      <x:c r="H113" s="22" t="str">
        <x:v>Concreto grout alta resistência</x:v>
      </x:c>
      <x:c r="I113" s="22" t="str">
        <x:v>dm³</x:v>
      </x:c>
    </x:row>
    <x:row r="114">
      <x:c r="F114" s="22" t="str">
        <x:v>Obra de Arte Especial. Pontes, viadutos e passarelas -
 PONTE DO RIO OURO (Km 84+140 PISTA SUL)</x:v>
      </x:c>
      <x:c r="G114" s="22" t="str">
        <x:v>Mesoestrutura</x:v>
      </x:c>
      <x:c r="H114" s="22" t="str">
        <x:v>Reaterro compactado com solo cimento</x:v>
      </x:c>
      <x:c r="I114" s="22" t="str">
        <x:v>m³</x:v>
      </x:c>
    </x:row>
    <x:row r="115">
      <x:c r="F115" s="22" t="str">
        <x:v>Obra de Arte Especial. Pontes, viadutos e passarelas -
 PONTE DO RIO OURO (Km 84+140 PISTA SUL)</x:v>
      </x:c>
      <x:c r="G115" s="22" t="str">
        <x:v>Mesoestrutura</x:v>
      </x:c>
      <x:c r="H115" s="22" t="str">
        <x:v>Dreno de areia</x:v>
      </x:c>
      <x:c r="I115" s="22" t="str">
        <x:v>m³</x:v>
      </x:c>
    </x:row>
    <x:row r="116">
      <x:c r="F116" s="22" t="str">
        <x:v>Obra de Arte Especial. Pontes, viadutos e passarelas -
 PONTE DO RIO OURO (Km 84+140 PISTA SUL)</x:v>
      </x:c>
      <x:c r="G116" s="22" t="str">
        <x:v>Mesoestrutura</x:v>
      </x:c>
      <x:c r="H116" s="22" t="str">
        <x:v>Manta geotextil tecido  - Sem o fornecimento de materiais</x:v>
      </x:c>
      <x:c r="I116" s="22" t="str">
        <x:v>m²</x:v>
      </x:c>
    </x:row>
    <x:row r="117">
      <x:c r="F117" s="22" t="str">
        <x:v>Obra de Arte Especial. Pontes, viadutos e passarelas -
 PONTE DO RIO OURO (Km 84+140 PISTA SUL)</x:v>
      </x:c>
      <x:c r="G117" s="22" t="str">
        <x:v>Mesoestrutura</x:v>
      </x:c>
      <x:c r="H117" s="22" t="str">
        <x:v>Tubo de PVC perfurado ou não - Ø 4" - Sem o fornecimento de tubo</x:v>
      </x:c>
      <x:c r="I117" s="22" t="str">
        <x:v>m</x:v>
      </x:c>
    </x:row>
    <x:row r="118">
      <x:c r="F118" s="22" t="str">
        <x:v>Obra de Arte Especial. Pontes, viadutos e passarelas -
 PONTE DO RIO OURO (Km 84+140 PISTA SUL)</x:v>
      </x:c>
      <x:c r="G118" s="22" t="str">
        <x:v>Superestrutura</x:v>
      </x:c>
      <x:c r="H118" s="22" t="str">
        <x:v>Concreto Fck 35 MPa, sem fornecimento e sem transporte do material (OAE Nova) (*)</x:v>
      </x:c>
      <x:c r="I118" s="22" t="str">
        <x:v>m³</x:v>
      </x:c>
    </x:row>
    <x:row r="119">
      <x:c r="F119" s="22" t="str">
        <x:v>Obra de Arte Especial. Pontes, viadutos e passarelas -
 PONTE DO RIO OURO (Km 84+140 PISTA SUL)</x:v>
      </x:c>
      <x:c r="G119" s="22" t="str">
        <x:v>Superestrutura</x:v>
      </x:c>
      <x:c r="H119" s="22" t="str">
        <x:v>Aço CA-25 para concreto armado, aplicação sem fornecimento de materiais.</x:v>
      </x:c>
      <x:c r="I119" s="22" t="str">
        <x:v>kg</x:v>
      </x:c>
    </x:row>
    <x:row r="120">
      <x:c r="F120" s="22" t="str">
        <x:v>Obra de Arte Especial. Pontes, viadutos e passarelas -
 PONTE DO RIO OURO (Km 84+140 PISTA SUL)</x:v>
      </x:c>
      <x:c r="G120" s="22" t="str">
        <x:v>Superestrutura</x:v>
      </x:c>
      <x:c r="H120" s="22" t="str">
        <x:v>Aço para concreto protendido - protensão interna, sem o fornecimento do aço</x:v>
      </x:c>
      <x:c r="I120" s="22" t="str">
        <x:v>kg</x:v>
      </x:c>
    </x:row>
    <x:row r="121">
      <x:c r="F121" s="22" t="str">
        <x:v>Obra de Arte Especial. Pontes, viadutos e passarelas -
 PONTE DO RIO OURO (Km 84+140 PISTA SUL)</x:v>
      </x:c>
      <x:c r="G121" s="22" t="str">
        <x:v>Superestrutura</x:v>
      </x:c>
      <x:c r="H121" s="22" t="str">
        <x:v>Lançamento de viga pré-moldada com 10 &lt; P &lt;= 50 ton com guindaste</x:v>
      </x:c>
      <x:c r="I121" s="22" t="str">
        <x:v>un</x:v>
      </x:c>
    </x:row>
    <x:row r="122">
      <x:c r="F122" s="22" t="str">
        <x:v>Obra de Arte Especial. Pontes, viadutos e passarelas -
 PONTE DO RIO OURO (Km 84+140 PISTA SUL)</x:v>
      </x:c>
      <x:c r="G122" s="22" t="str">
        <x:v>Superestrutura</x:v>
      </x:c>
      <x:c r="H122" s="22" t="str">
        <x:v>Lançamento de viga pré-moldada com 50 &lt; P &lt;= 100 ton com guindaste</x:v>
      </x:c>
      <x:c r="I122" s="22" t="str">
        <x:v>un</x:v>
      </x:c>
    </x:row>
    <x:row r="123">
      <x:c r="F123" s="22" t="str">
        <x:v>Obra de Arte Especial. Pontes, viadutos e passarelas -
 PONTE DO RIO OURO (Km 84+140 PISTA SUL)</x:v>
      </x:c>
      <x:c r="G123" s="22" t="str">
        <x:v>Superestrutura</x:v>
      </x:c>
      <x:c r="H123" s="22" t="str">
        <x:v>Lançamento de placa pré-moldada de concreto</x:v>
      </x:c>
      <x:c r="I123" s="22" t="str">
        <x:v>un</x:v>
      </x:c>
    </x:row>
    <x:row r="124">
      <x:c r="F124" s="22" t="str">
        <x:v>Obra de Arte Especial. Pontes, viadutos e passarelas -
 PONTE DO RIO OURO (Km 84+140 PISTA SUL)</x:v>
      </x:c>
      <x:c r="G124" s="22" t="str">
        <x:v>Superestrutura</x:v>
      </x:c>
      <x:c r="H124" s="22" t="str">
        <x:v>Aparelho de ancoragem ativo - Ø 12,7mm para 10 fios</x:v>
      </x:c>
      <x:c r="I124" s="22" t="str">
        <x:v>un</x:v>
      </x:c>
    </x:row>
    <x:row r="125">
      <x:c r="F125" s="22" t="str">
        <x:v>Obra de Arte Especial. Pontes, viadutos e passarelas -
 PONTE DO RIO OURO (Km 84+140 PISTA SUL)</x:v>
      </x:c>
      <x:c r="G125" s="22" t="str">
        <x:v>Superestrutura</x:v>
      </x:c>
      <x:c r="H125" s="22" t="str">
        <x:v>Aparelho de ancoragem ativo - Ø 12,7mm para 12 fios</x:v>
      </x:c>
      <x:c r="I125" s="22" t="str">
        <x:v>un</x:v>
      </x:c>
    </x:row>
    <x:row r="126">
      <x:c r="F126" s="22" t="str">
        <x:v>Obra de Arte Especial. Pontes, viadutos e passarelas -
 PONTE DO RIO OURO (Km 84+140 PISTA SUL)</x:v>
      </x:c>
      <x:c r="G126" s="22" t="str">
        <x:v>Superestrutura</x:v>
      </x:c>
      <x:c r="H126" s="22" t="str">
        <x:v>Isopor para uso geral</x:v>
      </x:c>
      <x:c r="I126" s="22" t="str">
        <x:v>m³</x:v>
      </x:c>
    </x:row>
    <x:row r="127">
      <x:c r="F127" s="22" t="str">
        <x:v>Obra de Arte Especial. Pontes, viadutos e passarelas -
 PONTE DO RIO OURO (Km 84+140 PISTA SUL)</x:v>
      </x:c>
      <x:c r="G127" s="22" t="str">
        <x:v>Superestrutura</x:v>
      </x:c>
      <x:c r="H127" s="22" t="str">
        <x:v>Tubo de PVC perfurado ou não - Ø 3" - Sem o fornecimento do tubo</x:v>
      </x:c>
      <x:c r="I127" s="22" t="str">
        <x:v>m</x:v>
      </x:c>
    </x:row>
    <x:row r="128">
      <x:c r="F128" s="22" t="str">
        <x:v>Obra de Arte Especial. Pontes, viadutos e passarelas -
 PONTE DO RIO OURO (Km 84+140 PISTA SUL)</x:v>
      </x:c>
      <x:c r="G128" s="22" t="str">
        <x:v>Serviços complementares</x:v>
      </x:c>
      <x:c r="H128" s="22" t="str">
        <x:v>Gradil metálico</x:v>
      </x:c>
      <x:c r="I128" s="22" t="str">
        <x:v>m</x:v>
      </x:c>
    </x:row>
    <x:row r="129">
      <x:c r="F129" s="22" t="str">
        <x:v>Obra de Arte Especial. Pontes, viadutos e passarelas -
 PONTE DO RIO OURO (Km 84+140 PISTA SUL)</x:v>
      </x:c>
      <x:c r="G129" s="22" t="str">
        <x:v>Serviços complementares</x:v>
      </x:c>
      <x:c r="H129" s="22" t="str">
        <x:v>Junta tipo JEENE com abertura acima de 50 mm</x:v>
      </x:c>
      <x:c r="I129" s="22" t="str">
        <x:v>m</x:v>
      </x:c>
    </x:row>
    <x:row r="130">
      <x:c r="F130" s="22" t="str">
        <x:v>Obra de Arte Especial. Pontes, viadutos e passarelas -
 PONTE DO RIO OURO (Km 84+140 PISTA SUL)</x:v>
      </x:c>
      <x:c r="G130" s="22" t="str">
        <x:v>Construção da camada de revestimento</x:v>
      </x:c>
      <x:c r="H130" s="22" t="str">
        <x:v>Concreto betuminoso usinado a quente SPV 16 mm, sem fornecimento de CAP</x:v>
      </x:c>
      <x:c r="I130" s="22" t="str">
        <x:v>m³</x:v>
      </x:c>
    </x:row>
    <x:row r="131">
      <x:c r="F131" s="22" t="str">
        <x:v>Obra de Arte Especial. Pontes, viadutos e passarelas -
 PONTE DO RIO OURO (Km 84+140 PISTA SUL)</x:v>
      </x:c>
      <x:c r="G131" s="22" t="str">
        <x:v>Telas / muros para contenção</x:v>
      </x:c>
      <x:c r="H131" s="22" t="str">
        <x:v>Contenção tipo Terrae</x:v>
      </x:c>
      <x:c r="I131" s="22" t="str">
        <x:v>m²</x:v>
      </x:c>
    </x:row>
    <x:row r="132">
      <x:c r="F132" s="22" t="str">
        <x:v>Obra de Arte Especial. Pontes, viadutos e passarelas -
 PONTE DO RIO OURO (Km 84+140 PISTA NORTE)</x:v>
      </x:c>
      <x:c r="G132" s="22" t="str">
        <x:v>Fundações profundas</x:v>
      </x:c>
      <x:c r="H132" s="22" t="str">
        <x:v>Estaca raiz Ø 0,45 m em solo</x:v>
      </x:c>
      <x:c r="I132" s="22" t="str">
        <x:v>m</x:v>
      </x:c>
    </x:row>
    <x:row r="133">
      <x:c r="F133" s="22" t="str">
        <x:v>Obra de Arte Especial. Pontes, viadutos e passarelas -
 PONTE DO RIO OURO (Km 84+140 PISTA NORTE)</x:v>
      </x:c>
      <x:c r="G133" s="22" t="str">
        <x:v>Fundações profundas</x:v>
      </x:c>
      <x:c r="H133" s="22" t="str">
        <x:v>Estaca raiz  Ø 0,35 m em solo</x:v>
      </x:c>
      <x:c r="I133" s="22" t="str">
        <x:v>m</x:v>
      </x:c>
    </x:row>
    <x:row r="134">
      <x:c r="F134" s="22" t="str">
        <x:v>Obra de Arte Especial. Pontes, viadutos e passarelas -
 PONTE DO RIO OURO (Km 84+140 PISTA NORTE)</x:v>
      </x:c>
      <x:c r="G134" s="22" t="str">
        <x:v>Fundações profundas</x:v>
      </x:c>
      <x:c r="H134" s="22" t="str">
        <x:v>Estaca raiz  Ø 0,41 m em solo</x:v>
      </x:c>
      <x:c r="I134" s="22" t="str">
        <x:v>m</x:v>
      </x:c>
    </x:row>
    <x:row r="135">
      <x:c r="F135" s="22" t="str">
        <x:v>Obra de Arte Especial. Pontes, viadutos e passarelas -
 PONTE DO RIO OURO (Km 84+140 PISTA NORTE)</x:v>
      </x:c>
      <x:c r="G135" s="22" t="str">
        <x:v>Fundações profundas</x:v>
      </x:c>
      <x:c r="H135" s="22" t="str">
        <x:v>Estaca raiz Ø 0,31 m em rocha alterada / sã</x:v>
      </x:c>
      <x:c r="I135" s="22" t="str">
        <x:v>m</x:v>
      </x:c>
    </x:row>
    <x:row r="136">
      <x:c r="F136" s="22" t="str">
        <x:v>Obras complementares exigidas</x:v>
      </x:c>
      <x:c r="G136" s="22" t="str">
        <x:v>Passagens de fauna e melhorias no habitat</x:v>
      </x:c>
      <x:c r="H136" s="22" t="str">
        <x:v>Passagem de fauna adaptada em bueiro</x:v>
      </x:c>
      <x:c r="I136" s="22" t="str">
        <x:v>m</x:v>
      </x:c>
    </x:row>
    <x:row r="137">
      <x:c r="F137" s="22" t="str">
        <x:v>Serviços preliminares e conclusivos</x:v>
      </x:c>
      <x:c r="G137" s="22" t="str">
        <x:v>Demolições e remoções</x:v>
      </x:c>
      <x:c r="H137" s="22" t="str">
        <x:v>Remoção de barreira rígida de concreto</x:v>
      </x:c>
      <x:c r="I137" s="22" t="str">
        <x:v>m</x:v>
      </x:c>
    </x:row>
    <x:row r="138">
      <x:c r="F138" s="22" t="str">
        <x:v>Serviços preliminares e conclusivos</x:v>
      </x:c>
      <x:c r="G138" s="22" t="str">
        <x:v>Acondicionamento da faixa de domínio</x:v>
      </x:c>
      <x:c r="H138" s="22" t="str">
        <x:v>Remanejamento de placa de sinalização instalada no solo, suporte de madeira</x:v>
      </x:c>
      <x:c r="I138" s="22" t="str">
        <x:v>m²</x:v>
      </x:c>
    </x:row>
    <x:row r="139">
      <x:c r="F139" s="22" t="str">
        <x:v>Terraplenagem</x:v>
      </x:c>
      <x:c r="G139" s="22" t="str">
        <x:v>Corte em solo</x:v>
      </x:c>
      <x:c r="H139" s="22" t="str">
        <x:v>Material de jazida de 1ª e 2ª categoria</x:v>
      </x:c>
      <x:c r="I139" s="22" t="str">
        <x:v>m³</x:v>
      </x:c>
    </x:row>
    <x:row r="140">
      <x:c r="F140" s="22" t="str">
        <x:v>Pavimentação</x:v>
      </x:c>
      <x:c r="G140" s="22" t="str">
        <x:v>Construção da camada de revestimento</x:v>
      </x:c>
      <x:c r="H140" s="22" t="str">
        <x:v>Imprimadura impermeabilizante, sem fornecimento de material</x:v>
      </x:c>
      <x:c r="I140" s="22" t="str">
        <x:v>m²</x:v>
      </x:c>
    </x:row>
    <x:row r="141">
      <x:c r="F141" s="22" t="str">
        <x:v>Drenagem</x:v>
      </x:c>
      <x:c r="G141" s="22" t="str">
        <x:v>Obras de drenagem profunda. Galerias e Bueiros</x:v>
      </x:c>
      <x:c r="H141" s="22" t="str">
        <x:v>Bueiro simples tubular de concreto PA2 com berço de brita - Ø 0,50 m - Sem o fornecimento do tubo</x:v>
      </x:c>
      <x:c r="I141" s="22" t="str">
        <x:v>m</x:v>
      </x:c>
    </x:row>
    <x:row r="142">
      <x:c r="F142" s="22" t="str">
        <x:v>Drenagem</x:v>
      </x:c>
      <x:c r="G142" s="22" t="str">
        <x:v>Obras de drenagem profunda. Galerias e Bueiros</x:v>
      </x:c>
      <x:c r="H142" s="22" t="str">
        <x:v>Bueiro simples tubular de concreto PA2 com berço de brita - Ø 0,60 m, sem o fornecimento do tubo</x:v>
      </x:c>
      <x:c r="I142" s="22" t="str">
        <x:v>m</x:v>
      </x:c>
    </x:row>
    <x:row r="143">
      <x:c r="F143" s="22" t="str">
        <x:v>Drenagem</x:v>
      </x:c>
      <x:c r="G143" s="22" t="str">
        <x:v>Obras de drenagem profunda. Galerias e Bueiros</x:v>
      </x:c>
      <x:c r="H143" s="22" t="str">
        <x:v>Bueiro simples tubular de concreto PA4 com berço de brita - Ø 0,60 m, sem o fornecimento do tubo</x:v>
      </x:c>
      <x:c r="I143" s="22" t="str">
        <x:v>m</x:v>
      </x:c>
    </x:row>
    <x:row r="144">
      <x:c r="F144" s="22" t="str">
        <x:v>Drenagem</x:v>
      </x:c>
      <x:c r="G144" s="22" t="str">
        <x:v>Obras de drenagem profunda. Galerias e Bueiros</x:v>
      </x:c>
      <x:c r="H144" s="22" t="str">
        <x:v>Bueiro simples tubular de concreto PA4 com berço de brita - Ø 0,80 m, sem o fornecimento do tubo</x:v>
      </x:c>
      <x:c r="I144" s="22" t="str">
        <x:v>m</x:v>
      </x:c>
    </x:row>
    <x:row r="145">
      <x:c r="F145" s="22" t="str">
        <x:v>Drenagem</x:v>
      </x:c>
      <x:c r="G145" s="22" t="str">
        <x:v>Obras de drenagem profunda. Galerias e Bueiros</x:v>
      </x:c>
      <x:c r="H145" s="22" t="str">
        <x:v>Poço de visita tipo 1 com h até 1,50 m</x:v>
      </x:c>
      <x:c r="I145" s="22" t="str">
        <x:v>m</x:v>
      </x:c>
    </x:row>
    <x:row r="146">
      <x:c r="F146" s="22" t="str">
        <x:v>Drenagem</x:v>
      </x:c>
      <x:c r="G146" s="22" t="str">
        <x:v>Obras de drenagem profunda. Galerias e Bueiros</x:v>
      </x:c>
      <x:c r="H146" s="22" t="str">
        <x:v>Caixa coletora tipo CX-3 com h= 1,51 a 2,00</x:v>
      </x:c>
      <x:c r="I146" s="22" t="str">
        <x:v>un</x:v>
      </x:c>
    </x:row>
    <x:row r="147">
      <x:c r="F147" s="22" t="str">
        <x:v>Drenagem</x:v>
      </x:c>
      <x:c r="G147" s="22" t="str">
        <x:v>Obras de drenagem profunda. Galerias e Bueiros</x:v>
      </x:c>
      <x:c r="H147" s="22" t="str">
        <x:v>Caixa coletora tipo CX-3 com h= 2,01 a 2,50</x:v>
      </x:c>
      <x:c r="I147" s="22" t="str">
        <x:v>un</x:v>
      </x:c>
    </x:row>
    <x:row r="148">
      <x:c r="F148" s="22" t="str">
        <x:v>Drenagem</x:v>
      </x:c>
      <x:c r="G148" s="22" t="str">
        <x:v>Obras de drenagem superficiais. Sarjetas e Valetas</x:v>
      </x:c>
      <x:c r="H148" s="22" t="str">
        <x:v>Meio fio e sarjeta padrão DER-SP</x:v>
      </x:c>
      <x:c r="I148" s="22" t="str">
        <x:v>m</x:v>
      </x:c>
    </x:row>
    <x:row r="149">
      <x:c r="F149" s="22" t="str">
        <x:v>Drenagem</x:v>
      </x:c>
      <x:c r="G149" s="22" t="str">
        <x:v>Obras de drenagem superficiais. Sarjetas e Valetas</x:v>
      </x:c>
      <x:c r="H149" s="22" t="str">
        <x:v>Descida d'água em corte tipo escada DR 13A</x:v>
      </x:c>
      <x:c r="I149" s="22" t="str">
        <x:v>m</x:v>
      </x:c>
    </x:row>
    <x:row r="150">
      <x:c r="F150" s="22" t="str">
        <x:v>Drenagem</x:v>
      </x:c>
      <x:c r="G150" s="22" t="str">
        <x:v>Obras de drenagem superficiais. Sarjetas e Valetas</x:v>
      </x:c>
      <x:c r="H150" s="22" t="str">
        <x:v>Descida d'água em aterro em concreto armado DR-12</x:v>
      </x:c>
      <x:c r="I150" s="22" t="str">
        <x:v>m</x:v>
      </x:c>
    </x:row>
    <x:row r="151">
      <x:c r="F151" s="22" t="str">
        <x:v>Drenagem</x:v>
      </x:c>
      <x:c r="G151" s="22" t="str">
        <x:v>Obras de drenagem superficiais. Sarjetas e Valetas</x:v>
      </x:c>
      <x:c r="H151" s="22" t="str">
        <x:v>Descida d'água tipo rápido DR 11A</x:v>
      </x:c>
      <x:c r="I151" s="22" t="str">
        <x:v>m</x:v>
      </x:c>
    </x:row>
    <x:row r="152">
      <x:c r="F152" s="22" t="str">
        <x:v>Drenagem</x:v>
      </x:c>
      <x:c r="G152" s="22" t="str">
        <x:v>Obras de drenagem superficiais. Sarjetas e Valetas</x:v>
      </x:c>
      <x:c r="H152" s="22" t="str">
        <x:v>Descida d'água tipo rápido DR 11B</x:v>
      </x:c>
      <x:c r="I152" s="22" t="str">
        <x:v>m</x:v>
      </x:c>
    </x:row>
    <x:row r="153">
      <x:c r="F153" s="22" t="str">
        <x:v>Drenagem</x:v>
      </x:c>
      <x:c r="G153" s="22" t="str">
        <x:v>Obras de drenagem superficiais. Sarjetas e Valetas</x:v>
      </x:c>
      <x:c r="H153" s="22" t="str">
        <x:v>Boca de Lobo Simples tipo BLCS com h até 1,50 m</x:v>
      </x:c>
      <x:c r="I153" s="22" t="str">
        <x:v>un</x:v>
      </x:c>
    </x:row>
    <x:row r="154">
      <x:c r="F154" s="22" t="str">
        <x:v>Drenagem</x:v>
      </x:c>
      <x:c r="G154" s="22" t="str">
        <x:v>Obras de drenagem superficiais. Sarjetas e Valetas</x:v>
      </x:c>
      <x:c r="H154" s="22" t="str">
        <x:v>Canal trapezoidal com revestimento de grama em placas B=0,50; H= VAR; TAL H=1,5 V=1,0</x:v>
      </x:c>
      <x:c r="I154" s="22" t="str">
        <x:v>m</x:v>
      </x:c>
    </x:row>
    <x:row r="155">
      <x:c r="F155" s="22" t="str">
        <x:v>Drenagem</x:v>
      </x:c>
      <x:c r="G155" s="22" t="str">
        <x:v>Execução de dreno de pavimento e de plataforma</x:v>
      </x:c>
      <x:c r="H155" s="22" t="str">
        <x:v>Boca de saída  tipo BSD-1 para dreno de pavimento</x:v>
      </x:c>
      <x:c r="I155" s="22" t="str">
        <x:v>un</x:v>
      </x:c>
    </x:row>
    <x:row r="156">
      <x:c r="F156" s="22" t="str">
        <x:v>Obra de Arte Especial. Pontes, viadutos e passarelas</x:v>
      </x:c>
      <x:c r="G156" s="22" t="str">
        <x:v>Mesoestrutura</x:v>
      </x:c>
      <x:c r="H156" s="22" t="str">
        <x:v>Reaterro compactado com solo - compactação manual</x:v>
      </x:c>
      <x:c r="I156" s="22" t="str">
        <x:v>m³</x:v>
      </x:c>
    </x:row>
    <x:row r="157">
      <x:c r="F157" s="22" t="str">
        <x:v>Obra de Arte Especial. Pontes, viadutos e passarelas</x:v>
      </x:c>
      <x:c r="G157" s="22" t="str">
        <x:v>Mesoestrutura</x:v>
      </x:c>
      <x:c r="H157" s="22" t="str">
        <x:v>Concreto Fck 25 Mpa, sem fornecimento de materiais e sem transporte do material</x:v>
      </x:c>
      <x:c r="I157" s="22" t="str">
        <x:v>m³</x:v>
      </x:c>
    </x:row>
    <x:row r="158">
      <x:c r="F158" s="22" t="str">
        <x:v>Obra de Arte Especial. Pontes, viadutos e passarelas</x:v>
      </x:c>
      <x:c r="G158" s="22" t="str">
        <x:v>Superestrutura</x:v>
      </x:c>
      <x:c r="H158" s="22" t="str">
        <x:v>Concreto Fck 40 MPa, sem fornecimento de materiais e sem transporte do material</x:v>
      </x:c>
      <x:c r="I158" s="22" t="str">
        <x:v>m³</x:v>
      </x:c>
    </x:row>
    <x:row r="159">
      <x:c r="F159" s="22" t="str">
        <x:v>Obra de Arte Especial. Pontes, viadutos e passarelas</x:v>
      </x:c>
      <x:c r="G159" s="22" t="str">
        <x:v>Superestrutura</x:v>
      </x:c>
      <x:c r="H159" s="22" t="str">
        <x:v>Aparelho de ancoragem ativo - Ø 15,2mm para 10 fios</x:v>
      </x:c>
      <x:c r="I159" s="22" t="str">
        <x:v>un</x:v>
      </x:c>
    </x:row>
    <x:row r="160">
      <x:c r="F160" s="22" t="str">
        <x:v>Obra de Arte Especial. Pontes, viadutos e passarelas</x:v>
      </x:c>
      <x:c r="G160" s="22" t="str">
        <x:v>Serviços complementares</x:v>
      </x:c>
      <x:c r="H160" s="22" t="str">
        <x:v>Proteção de talude sob OAE em blocos intertravados</x:v>
      </x:c>
      <x:c r="I160" s="22" t="str">
        <x:v>m²</x:v>
      </x:c>
    </x:row>
    <x:row r="161">
      <x:c r="F161" s="22" t="str">
        <x:v>Segurança viária</x:v>
      </x:c>
      <x:c r="G161" s="22" t="str">
        <x:v>Instalação de barreira de concreto</x:v>
      </x:c>
      <x:c r="H161" s="22" t="str">
        <x:v>Barreira rígida dupla baixa</x:v>
      </x:c>
      <x:c r="I161" s="22" t="str">
        <x:v>m</x:v>
      </x:c>
    </x:row>
    <x:row r="162">
      <x:c r="F162" s="22" t="str">
        <x:v>Drenagem</x:v>
      </x:c>
      <x:c r="G162" s="22" t="str">
        <x:v>Obras de drenagem superficiais. Sarjetas e Valetas</x:v>
      </x:c>
      <x:c r="H162" s="22" t="str">
        <x:v>Caixa de transição para bueiros tipo CT-1</x:v>
      </x:c>
      <x:c r="I162" s="22" t="str">
        <x:v>un</x:v>
      </x:c>
    </x:row>
    <x:row r="163">
      <x:c r="F163" s="22" t="str">
        <x:v>Drenagem</x:v>
      </x:c>
      <x:c r="G163" s="22" t="str">
        <x:v>Obras de drenagem superficiais. Sarjetas e Valetas</x:v>
      </x:c>
      <x:c r="H163" s="22" t="str">
        <x:v>Canal trapezoidal revestido com grama em placas: B=1,00 H=VAR. - TAL. H=1,50 V=1,00</x:v>
      </x:c>
      <x:c r="I163" s="22" t="str">
        <x:v>m</x:v>
      </x:c>
    </x:row>
    <x:row r="164">
      <x:c r="F164" s="22" t="str">
        <x:v>Obra de Arte Especial. Pontes, viadutos e passarelas</x:v>
      </x:c>
      <x:c r="G164" s="22" t="str">
        <x:v>Fundações profundas</x:v>
      </x:c>
      <x:c r="H164" s="22" t="str">
        <x:v>Estaca pré-moldada de concreto, método centrifug., diam. 0,50 capac. de 91 a 100tf</x:v>
      </x:c>
      <x:c r="I164" s="22" t="str">
        <x:v>m</x:v>
      </x:c>
    </x:row>
    <x:row r="165">
      <x:c r="F165" s="22" t="str">
        <x:v>Obra de Arte Especial. Pontes, viadutos e passarelas</x:v>
      </x:c>
      <x:c r="G165" s="22" t="str">
        <x:v>Fundações profundas</x:v>
      </x:c>
      <x:c r="H165" s="22" t="str">
        <x:v>Ponteira Metálica para estacas centrifugadas</x:v>
      </x:c>
      <x:c r="I165" s="22" t="str">
        <x:v>kg</x:v>
      </x:c>
    </x:row>
    <x:row r="166">
      <x:c r="F166" s="22" t="str">
        <x:v>Drenagem</x:v>
      </x:c>
      <x:c r="G166" s="22" t="str">
        <x:v>Obras de drenagem superficiais. Sarjetas e Valetas</x:v>
      </x:c>
      <x:c r="H166" s="22" t="str">
        <x:v>Valeta de proteção trapezoidal revestida em concreto DR-3B-2</x:v>
      </x:c>
      <x:c r="I166" s="22" t="str">
        <x:v>m</x:v>
      </x:c>
    </x:row>
    <x:row r="167">
      <x:c r="F167" s="22" t="str">
        <x:v>Drenagem</x:v>
      </x:c>
      <x:c r="G167" s="22" t="str">
        <x:v>Obras de drenagem superficiais. Sarjetas e Valetas</x:v>
      </x:c>
      <x:c r="H167" s="22" t="str">
        <x:v>Valeta de proteção trapezoidal revestida em concreto DR-3B-7</x:v>
      </x:c>
      <x:c r="I167" s="22" t="str">
        <x:v>m</x:v>
      </x:c>
    </x:row>
    <x:row r="168">
      <x:c r="F168" s="22" t="str">
        <x:v>Drenagem</x:v>
      </x:c>
      <x:c r="G168" s="22" t="str">
        <x:v>Obras de drenagem superficiais. Sarjetas e Valetas</x:v>
      </x:c>
      <x:c r="H168" s="22" t="str">
        <x:v>Valeta de proteção trapezoidal revestida em concreto DR-3B-8</x:v>
      </x:c>
      <x:c r="I168" s="22" t="str">
        <x:v>m</x:v>
      </x:c>
    </x:row>
    <x:row r="169">
      <x:c r="F169" s="22" t="str">
        <x:v>Drenagem</x:v>
      </x:c>
      <x:c r="G169" s="22" t="str">
        <x:v>Obras de drenagem superficiais. Sarjetas e Valetas</x:v>
      </x:c>
      <x:c r="H169" s="22" t="str">
        <x:v>Valeta de proteção trapezoidal revestida em concreto DR-3B-9</x:v>
      </x:c>
      <x:c r="I169" s="22" t="str">
        <x:v>m</x:v>
      </x:c>
    </x:row>
    <x:row r="170">
      <x:c r="F170" s="22" t="str">
        <x:v>Obra de Arte Especial. Pontes, viadutos e passarelas</x:v>
      </x:c>
      <x:c r="G170" s="22" t="str">
        <x:v>Mesoestrutura</x:v>
      </x:c>
      <x:c r="H170" s="22" t="str">
        <x:v>Manta geotextil não tecido - Sem o fornecimento de mateiriais</x:v>
      </x:c>
      <x:c r="I170" s="22" t="str">
        <x:v>m²</x:v>
      </x:c>
    </x:row>
    <x:row r="171">
      <x:c r="F171" s="22" t="str">
        <x:v>Serviços preliminares e conclusivos</x:v>
      </x:c>
      <x:c r="G171" s="22" t="str">
        <x:v>Acondicionamento da faixa de domínio</x:v>
      </x:c>
      <x:c r="H171" s="22" t="str">
        <x:v>Remanejamento de semi-pórtico</x:v>
      </x:c>
      <x:c r="I171" s="22" t="str">
        <x:v>un</x:v>
      </x:c>
    </x:row>
    <x:row r="172">
      <x:c r="F172" s="22" t="str">
        <x:v>Serviços preliminares e conclusivos</x:v>
      </x:c>
      <x:c r="G172" s="22" t="str">
        <x:v>Acondicionamento da faixa de domínio</x:v>
      </x:c>
      <x:c r="H172" s="22" t="str">
        <x:v>Remanejamento de placa de sinalização instalada no solo, suporte metálico</x:v>
      </x:c>
      <x:c r="I172" s="22" t="str">
        <x:v>m²</x:v>
      </x:c>
    </x:row>
    <x:row r="173">
      <x:c r="F173" s="22" t="str">
        <x:v>Terraplenagem</x:v>
      </x:c>
      <x:c r="G173" s="22" t="str">
        <x:v>Desmatamento e limpeza do terreno</x:v>
      </x:c>
      <x:c r="H173" s="22" t="str">
        <x:v>Derrubada e destocamento arv. c/ diâmetro &gt; 0,15 m</x:v>
      </x:c>
      <x:c r="I173" s="22" t="str">
        <x:v>un</x:v>
      </x:c>
    </x:row>
    <x:row r="174">
      <x:c r="F174" s="22" t="str">
        <x:v>Terraplenagem</x:v>
      </x:c>
      <x:c r="G174" s="22" t="str">
        <x:v>Desmatamento e limpeza do terreno</x:v>
      </x:c>
      <x:c r="H174" s="22" t="str">
        <x:v>Derrubada e destocamento.arv. c/ diâmetro 20&lt;&gt;30cm, com limpeza da área</x:v>
      </x:c>
      <x:c r="I174" s="22" t="str">
        <x:v>un</x:v>
      </x:c>
    </x:row>
    <x:row r="175">
      <x:c r="F175" s="22" t="str">
        <x:v>Terraplenagem</x:v>
      </x:c>
      <x:c r="G175" s="22" t="str">
        <x:v>Desmatamento e limpeza do terreno</x:v>
      </x:c>
      <x:c r="H175" s="22" t="str">
        <x:v>Derrubada e destocamento.arv. c/ diâmetro 30&lt;&gt;40cm, com limpeza da área</x:v>
      </x:c>
      <x:c r="I175" s="22" t="str">
        <x:v>un</x:v>
      </x:c>
    </x:row>
    <x:row r="176">
      <x:c r="F176" s="22" t="str">
        <x:v>Terraplenagem</x:v>
      </x:c>
      <x:c r="G176" s="22" t="str">
        <x:v>Desmatamento e limpeza do terreno</x:v>
      </x:c>
      <x:c r="H176" s="22" t="str">
        <x:v>Derrubada e destocamento.arv. c/ diâmetro 40&lt;&gt;50cm, com limpeza da área</x:v>
      </x:c>
      <x:c r="I176" s="22" t="str">
        <x:v>un</x:v>
      </x:c>
    </x:row>
    <x:row r="177">
      <x:c r="F177" s="22" t="str">
        <x:v>Terraplenagem</x:v>
      </x:c>
      <x:c r="G177" s="22" t="str">
        <x:v>Desmatamento e limpeza do terreno</x:v>
      </x:c>
      <x:c r="H177" s="22" t="str">
        <x:v>Derrubada e destocamento.arv. c/ diâmetro 50&lt;&gt;60cm, com limpeza da área</x:v>
      </x:c>
      <x:c r="I177" s="22" t="str">
        <x:v>un</x:v>
      </x:c>
    </x:row>
    <x:row r="178">
      <x:c r="F178" s="22" t="str">
        <x:v>Terraplenagem</x:v>
      </x:c>
      <x:c r="G178" s="22" t="str">
        <x:v>Desmatamento e limpeza do terreno</x:v>
      </x:c>
      <x:c r="H178" s="22" t="str">
        <x:v>Derrubada e destocamento.arv. c/ diâmetro 60&lt;&gt;70cm, com limpeza da área</x:v>
      </x:c>
      <x:c r="I178" s="22" t="str">
        <x:v>un</x:v>
      </x:c>
    </x:row>
    <x:row r="179">
      <x:c r="F179" s="22" t="str">
        <x:v>Terraplenagem</x:v>
      </x:c>
      <x:c r="G179" s="22" t="str">
        <x:v>Desmatamento e limpeza do terreno</x:v>
      </x:c>
      <x:c r="H179" s="22" t="str">
        <x:v>Derrubada e destocamento.arv. c/ diâmetro 70&lt;&gt; 80cm, com limpeza da área</x:v>
      </x:c>
      <x:c r="I179" s="22" t="str">
        <x:v>un</x:v>
      </x:c>
    </x:row>
    <x:row r="180">
      <x:c r="F180" s="22" t="str">
        <x:v>Terraplenagem</x:v>
      </x:c>
      <x:c r="G180" s="22" t="str">
        <x:v>Desmatamento e limpeza do terreno</x:v>
      </x:c>
      <x:c r="H180" s="22" t="str">
        <x:v>Derrubada e destocamento.arv. c/ diâmetro &gt; 80cm, com limpeza da área</x:v>
      </x:c>
      <x:c r="I180" s="22" t="str">
        <x:v>un</x:v>
      </x:c>
    </x:row>
    <x:row r="181">
      <x:c r="F181" s="22" t="str">
        <x:v>Terraplenagem</x:v>
      </x:c>
      <x:c r="G181" s="22" t="str">
        <x:v>Corte em solo</x:v>
      </x:c>
      <x:c r="H181" s="22" t="str">
        <x:v>Escavação de material de 1ª e 2ª categoria, sem transporte</x:v>
      </x:c>
      <x:c r="I181" s="22" t="str">
        <x:v>m³</x:v>
      </x:c>
    </x:row>
    <x:row r="182">
      <x:c r="F182" s="22" t="str">
        <x:v>Terraplenagem</x:v>
      </x:c>
      <x:c r="G182" s="22" t="str">
        <x:v>Corte em solo</x:v>
      </x:c>
      <x:c r="H182" s="22" t="str">
        <x:v>Transporte de material de 1ª e 2ª categoria - DMT até 15 km</x:v>
      </x:c>
      <x:c r="I182" s="22" t="str">
        <x:v>m³xkm</x:v>
      </x:c>
    </x:row>
    <x:row r="183">
      <x:c r="F183" s="22" t="str">
        <x:v>Terraplenagem</x:v>
      </x:c>
      <x:c r="G183" s="22" t="str">
        <x:v>Trocas e melhorias de solo</x:v>
      </x:c>
      <x:c r="H183" s="22" t="str">
        <x:v>Escavação de solo mole</x:v>
      </x:c>
      <x:c r="I183" s="22" t="str">
        <x:v>m³</x:v>
      </x:c>
    </x:row>
    <x:row r="184">
      <x:c r="F184" s="22" t="str">
        <x:v>Terraplenagem</x:v>
      </x:c>
      <x:c r="G184" s="22" t="str">
        <x:v>Trocas e melhorias de solo</x:v>
      </x:c>
      <x:c r="H184" s="22" t="str">
        <x:v>Fundação / reaterro com pedra rachão</x:v>
      </x:c>
      <x:c r="I184" s="22" t="str">
        <x:v>m³</x:v>
      </x:c>
    </x:row>
    <x:row r="185">
      <x:c r="F185" s="22" t="str">
        <x:v>Terraplenagem</x:v>
      </x:c>
      <x:c r="G185" s="22" t="str">
        <x:v>Trocas e melhorias de solo</x:v>
      </x:c>
      <x:c r="H185" s="22" t="str">
        <x:v>Fundação / reaterro com areia média a grossa</x:v>
      </x:c>
      <x:c r="I185" s="22" t="str">
        <x:v>m³</x:v>
      </x:c>
    </x:row>
    <x:row r="186">
      <x:c r="F186" s="22" t="str">
        <x:v>Terraplenagem</x:v>
      </x:c>
      <x:c r="G186" s="22" t="str">
        <x:v>Trocas e melhorias de solo</x:v>
      </x:c>
      <x:c r="H186" s="22" t="str">
        <x:v>Fundação / reaterro com brita graduada simples/pedrisco</x:v>
      </x:c>
      <x:c r="I186" s="22" t="str">
        <x:v>m³</x:v>
      </x:c>
    </x:row>
    <x:row r="187">
      <x:c r="F187" s="22" t="str">
        <x:v>Terraplenagem</x:v>
      </x:c>
      <x:c r="G187" s="22" t="str">
        <x:v>Trocas e melhorias de solo</x:v>
      </x:c>
      <x:c r="H187" s="22" t="str">
        <x:v>Fundação / reaterro com bica corrida</x:v>
      </x:c>
      <x:c r="I187" s="22" t="str">
        <x:v>m³</x:v>
      </x:c>
    </x:row>
    <x:row r="188">
      <x:c r="F188" s="22" t="str">
        <x:v>Terraplenagem</x:v>
      </x:c>
      <x:c r="G188" s="22" t="str">
        <x:v>Trocas e melhorias de solo</x:v>
      </x:c>
      <x:c r="H188" s="22" t="str">
        <x:v>Camada drenante Brita 3/4" a 1 1/2"</x:v>
      </x:c>
      <x:c r="I188" s="22" t="str">
        <x:v>m³</x:v>
      </x:c>
    </x:row>
    <x:row r="189">
      <x:c r="F189" s="22" t="str">
        <x:v>Terraplenagem</x:v>
      </x:c>
      <x:c r="G189" s="22" t="str">
        <x:v>Trocas e melhorias de solo</x:v>
      </x:c>
      <x:c r="H189" s="22" t="str">
        <x:v>Estaca de brita ø 0,80 m</x:v>
      </x:c>
      <x:c r="I189" s="22" t="str">
        <x:v>m</x:v>
      </x:c>
    </x:row>
    <x:row r="190">
      <x:c r="F190" s="22" t="str">
        <x:v>Terraplenagem</x:v>
      </x:c>
      <x:c r="G190" s="22" t="str">
        <x:v>Aplicação de geomanta e geogrelha</x:v>
      </x:c>
      <x:c r="H190" s="22" t="str">
        <x:v>Geogrelha uniaxial com deformação máxima de 10% e resistência nominal de 100kN/m - Sem o fronecimento de materiais</x:v>
      </x:c>
      <x:c r="I190" s="22" t="str">
        <x:v>m²</x:v>
      </x:c>
    </x:row>
    <x:row r="191">
      <x:c r="F191" s="22" t="str">
        <x:v>Terraplenagem</x:v>
      </x:c>
      <x:c r="G191" s="22" t="str">
        <x:v>Aplicação de geomanta e geogrelha</x:v>
      </x:c>
      <x:c r="H191" s="22" t="str">
        <x:v>Geogrelha uniaxial com deformação máxima de 5% e resistência nominal de 225kN/m - Sem o fornecimento dos materias</x:v>
      </x:c>
      <x:c r="I191" s="22" t="str">
        <x:v>m²</x:v>
      </x:c>
    </x:row>
    <x:row r="192">
      <x:c r="F192" s="22" t="str">
        <x:v>Terraplenagem</x:v>
      </x:c>
      <x:c r="G192" s="22" t="str">
        <x:v>Aplicação de geomanta e geogrelha</x:v>
      </x:c>
      <x:c r="H192" s="22" t="str">
        <x:v>Geogrelha uniaxial com deformação máxima de 5% e resistência nominal de 300kN/m (*) - Sem o fornecimento de materiais</x:v>
      </x:c>
      <x:c r="I192" s="22" t="str">
        <x:v>m²</x:v>
      </x:c>
    </x:row>
    <x:row r="193">
      <x:c r="F193" s="22" t="str">
        <x:v>Terraplenagem</x:v>
      </x:c>
      <x:c r="G193" s="22" t="str">
        <x:v>Instrumentação geotécnica para Terraplenagem</x:v>
      </x:c>
      <x:c r="H193" s="22" t="str">
        <x:v>Placa de recalque</x:v>
      </x:c>
      <x:c r="I193" s="22" t="str">
        <x:v>un</x:v>
      </x:c>
    </x:row>
    <x:row r="194">
      <x:c r="F194" s="22" t="str">
        <x:v>Terraplenagem</x:v>
      </x:c>
      <x:c r="G194" s="22" t="str">
        <x:v>Instrumentação geotécnica para Terraplenagem</x:v>
      </x:c>
      <x:c r="H194" s="22" t="str">
        <x:v>Marco Superficial</x:v>
      </x:c>
      <x:c r="I194" s="22" t="str">
        <x:v>un</x:v>
      </x:c>
    </x:row>
    <x:row r="195">
      <x:c r="F195" s="22" t="str">
        <x:v>Terraplenagem</x:v>
      </x:c>
      <x:c r="G195" s="22" t="str">
        <x:v>Instrumentação geotécnica para Terraplenagem</x:v>
      </x:c>
      <x:c r="H195" s="22" t="str">
        <x:v>Inclinômetro</x:v>
      </x:c>
      <x:c r="I195" s="22" t="str">
        <x:v>un</x:v>
      </x:c>
    </x:row>
    <x:row r="196">
      <x:c r="F196" s="22" t="str">
        <x:v>Terraplenagem</x:v>
      </x:c>
      <x:c r="G196" s="22" t="str">
        <x:v>Instrumentação geotécnica para Terraplenagem</x:v>
      </x:c>
      <x:c r="H196" s="22" t="str">
        <x:v>Monitoramento de Instrumentação</x:v>
      </x:c>
      <x:c r="I196" s="22" t="str">
        <x:v>mês</x:v>
      </x:c>
    </x:row>
    <x:row r="197">
      <x:c r="F197" s="22" t="str">
        <x:v>Terraplenagem</x:v>
      </x:c>
      <x:c r="G197" s="22" t="str">
        <x:v>Construção do subleito</x:v>
      </x:c>
      <x:c r="H197" s="22" t="str">
        <x:v>Escavação de material de 1ª e 2ª categoria (*)</x:v>
      </x:c>
      <x:c r="I197" s="22" t="str">
        <x:v>m³</x:v>
      </x:c>
    </x:row>
    <x:row r="198">
      <x:c r="F198" s="22" t="str">
        <x:v>Terraplenagem</x:v>
      </x:c>
      <x:c r="G198" s="22" t="str">
        <x:v>Construção do subleito</x:v>
      </x:c>
      <x:c r="H198" s="22" t="str">
        <x:v>Regularização do subleito (*)</x:v>
      </x:c>
      <x:c r="I198" s="22" t="str">
        <x:v>m²</x:v>
      </x:c>
    </x:row>
    <x:row r="199">
      <x:c r="F199" s="22" t="str">
        <x:v>Terraplenagem</x:v>
      </x:c>
      <x:c r="G199" s="22" t="str">
        <x:v>Construção do subleito</x:v>
      </x:c>
      <x:c r="H199" s="22" t="str">
        <x:v>Compactação de aterro a 100% do proctor intermediário (*)</x:v>
      </x:c>
      <x:c r="I199" s="22" t="str">
        <x:v>m³</x:v>
      </x:c>
    </x:row>
    <x:row r="200">
      <x:c r="F200" s="22" t="str">
        <x:v>Drenagem</x:v>
      </x:c>
      <x:c r="G200" s="22" t="str">
        <x:v>Obras de drenagem profunda. Galerias e Bueiros</x:v>
      </x:c>
      <x:c r="H200" s="22" t="str">
        <x:v>Bueiro simples tubular de concreto PA2 com berço de brita - Ø 1,00 m, sem o fornecimento do tubo</x:v>
      </x:c>
      <x:c r="I200" s="22" t="str">
        <x:v>m</x:v>
      </x:c>
    </x:row>
    <x:row r="201">
      <x:c r="F201" s="22" t="str">
        <x:v>Drenagem</x:v>
      </x:c>
      <x:c r="G201" s="22" t="str">
        <x:v>Obras de drenagem profunda. Galerias e Bueiros</x:v>
      </x:c>
      <x:c r="H201" s="22" t="str">
        <x:v>Bueiro simples tubular de concreto PA3 com berço de brita - Ø 1,00 m - Sem o fornecimento de tubo</x:v>
      </x:c>
      <x:c r="I201" s="22" t="str">
        <x:v>m</x:v>
      </x:c>
    </x:row>
    <x:row r="202">
      <x:c r="F202" s="22" t="str">
        <x:v>Drenagem</x:v>
      </x:c>
      <x:c r="G202" s="22" t="str">
        <x:v>Obras de drenagem profunda. Galerias e Bueiros</x:v>
      </x:c>
      <x:c r="H202" s="22" t="str">
        <x:v>Bueiro simples tubular de concreto PA3 com berço de brita - Ø 1,20 m, sem o fornecimento do tubo</x:v>
      </x:c>
      <x:c r="I202" s="22" t="str">
        <x:v>m</x:v>
      </x:c>
    </x:row>
    <x:row r="203">
      <x:c r="F203" s="22" t="str">
        <x:v>Drenagem</x:v>
      </x:c>
      <x:c r="G203" s="22" t="str">
        <x:v>Obras de drenagem profunda. Galerias e Bueiros</x:v>
      </x:c>
      <x:c r="H203" s="22" t="str">
        <x:v>Bueiro simples tubular de concreto PA4 com berço de brita - Ø 1,00 m, sem o fornecimento do tubo</x:v>
      </x:c>
      <x:c r="I203" s="22" t="str">
        <x:v>m</x:v>
      </x:c>
    </x:row>
    <x:row r="204">
      <x:c r="F204" s="22" t="str">
        <x:v>Drenagem</x:v>
      </x:c>
      <x:c r="G204" s="22" t="str">
        <x:v>Obras de drenagem profunda. Galerias e Bueiros</x:v>
      </x:c>
      <x:c r="H204" s="22" t="str">
        <x:v>Bueiro duplo tubular de concreto PA3 com berço de brita - Ø 1,50 m, sem o fornecimento do tubo</x:v>
      </x:c>
      <x:c r="I204" s="22" t="str">
        <x:v>m</x:v>
      </x:c>
    </x:row>
    <x:row r="205">
      <x:c r="F205" s="22" t="str">
        <x:v>Drenagem</x:v>
      </x:c>
      <x:c r="G205" s="22" t="str">
        <x:v>Obras de drenagem profunda. Galerias e Bueiros</x:v>
      </x:c>
      <x:c r="H205" s="22" t="str">
        <x:v>Galeria simples 2,00 x 2,00 - alt. até 2,5 m</x:v>
      </x:c>
      <x:c r="I205" s="22" t="str">
        <x:v>m</x:v>
      </x:c>
    </x:row>
    <x:row r="206">
      <x:c r="F206" s="22" t="str">
        <x:v>Drenagem</x:v>
      </x:c>
      <x:c r="G206" s="22" t="str">
        <x:v>Obras de drenagem profunda. Galerias e Bueiros</x:v>
      </x:c>
      <x:c r="H206" s="22" t="str">
        <x:v>Galeria simples 2,50 x 2,00 - alt. até 2,5 m</x:v>
      </x:c>
      <x:c r="I206" s="22" t="str">
        <x:v>m</x:v>
      </x:c>
    </x:row>
    <x:row r="207">
      <x:c r="F207" s="22" t="str">
        <x:v>Drenagem</x:v>
      </x:c>
      <x:c r="G207" s="22" t="str">
        <x:v>Obras de drenagem profunda. Galerias e Bueiros</x:v>
      </x:c>
      <x:c r="H207" s="22" t="str">
        <x:v>Galeria simples 2,50 x 2,30 - alt. até 2,5 m</x:v>
      </x:c>
      <x:c r="I207" s="22" t="str">
        <x:v>m</x:v>
      </x:c>
    </x:row>
    <x:row r="208">
      <x:c r="F208" s="22" t="str">
        <x:v>Drenagem</x:v>
      </x:c>
      <x:c r="G208" s="22" t="str">
        <x:v>Obras de drenagem profunda. Galerias e Bueiros</x:v>
      </x:c>
      <x:c r="H208" s="22" t="str">
        <x:v>Galeria simples 3,00 x 3,00 - alt. até 2,5 m</x:v>
      </x:c>
      <x:c r="I208" s="22" t="str">
        <x:v>m</x:v>
      </x:c>
    </x:row>
    <x:row r="209">
      <x:c r="F209" s="22" t="str">
        <x:v>Drenagem</x:v>
      </x:c>
      <x:c r="G209" s="22" t="str">
        <x:v>Obras de drenagem profunda. Galerias e Bueiros</x:v>
      </x:c>
      <x:c r="H209" s="22" t="str">
        <x:v>Galeria simples 3,45 x 2,50 - alt. 2,51 m a 5,00 m</x:v>
      </x:c>
      <x:c r="I209" s="22" t="str">
        <x:v>m</x:v>
      </x:c>
    </x:row>
    <x:row r="210">
      <x:c r="F210" s="22" t="str">
        <x:v>Drenagem</x:v>
      </x:c>
      <x:c r="G210" s="22" t="str">
        <x:v>Obras de drenagem profunda. Galerias e Bueiros</x:v>
      </x:c>
      <x:c r="H210" s="22" t="str">
        <x:v>Galeria dupla 2,50 x 2,50 - alt. 2,51 m a 5,00 m</x:v>
      </x:c>
      <x:c r="I210" s="22" t="str">
        <x:v>m</x:v>
      </x:c>
    </x:row>
    <x:row r="211">
      <x:c r="F211" s="22" t="str">
        <x:v>Drenagem</x:v>
      </x:c>
      <x:c r="G211" s="22" t="str">
        <x:v>Obras de drenagem profunda. Galerias e Bueiros</x:v>
      </x:c>
      <x:c r="H211" s="22" t="str">
        <x:v>Galeria dupla 3,00 x 3,00 - alt. até 2,5 m</x:v>
      </x:c>
      <x:c r="I211" s="22" t="str">
        <x:v>m</x:v>
      </x:c>
    </x:row>
    <x:row r="212">
      <x:c r="F212" s="22" t="str">
        <x:v>Drenagem</x:v>
      </x:c>
      <x:c r="G212" s="22" t="str">
        <x:v>Obras de drenagem profunda. Galerias e Bueiros</x:v>
      </x:c>
      <x:c r="H212" s="22" t="str">
        <x:v>Boca para galeria simples BSCC 2,00 x 2,00 - normal</x:v>
      </x:c>
      <x:c r="I212" s="22" t="str">
        <x:v>un</x:v>
      </x:c>
    </x:row>
    <x:row r="213">
      <x:c r="F213" s="22" t="str">
        <x:v>Drenagem</x:v>
      </x:c>
      <x:c r="G213" s="22" t="str">
        <x:v>Obras de drenagem profunda. Galerias e Bueiros</x:v>
      </x:c>
      <x:c r="H213" s="22" t="str">
        <x:v>Boca para galeria simples BSCC 2,50 x 2,00 - normal</x:v>
      </x:c>
      <x:c r="I213" s="22" t="str">
        <x:v>un</x:v>
      </x:c>
    </x:row>
    <x:row r="214">
      <x:c r="F214" s="22" t="str">
        <x:v>Drenagem</x:v>
      </x:c>
      <x:c r="G214" s="22" t="str">
        <x:v>Obras de drenagem profunda. Galerias e Bueiros</x:v>
      </x:c>
      <x:c r="H214" s="22" t="str">
        <x:v>Boca para galeria simples BSCC 2,50 x 2,30 - normal</x:v>
      </x:c>
      <x:c r="I214" s="22" t="str">
        <x:v>un</x:v>
      </x:c>
    </x:row>
    <x:row r="215">
      <x:c r="F215" s="22" t="str">
        <x:v>Drenagem</x:v>
      </x:c>
      <x:c r="G215" s="22" t="str">
        <x:v>Obras de drenagem profunda. Galerias e Bueiros</x:v>
      </x:c>
      <x:c r="H215" s="22" t="str">
        <x:v>Boca para galeria simples BSCC 3,00 x 3,00 - normal</x:v>
      </x:c>
      <x:c r="I215" s="22" t="str">
        <x:v>un</x:v>
      </x:c>
    </x:row>
    <x:row r="216">
      <x:c r="F216" s="22" t="str">
        <x:v>Drenagem</x:v>
      </x:c>
      <x:c r="G216" s="22" t="str">
        <x:v>Obras de drenagem profunda. Galerias e Bueiros</x:v>
      </x:c>
      <x:c r="H216" s="22" t="str">
        <x:v>Boca para galeria simples BSCC 3,45 x 2,50 - normal</x:v>
      </x:c>
      <x:c r="I216" s="22" t="str">
        <x:v>un</x:v>
      </x:c>
    </x:row>
    <x:row r="217">
      <x:c r="F217" s="22" t="str">
        <x:v>Drenagem</x:v>
      </x:c>
      <x:c r="G217" s="22" t="str">
        <x:v>Obras de drenagem profunda. Galerias e Bueiros</x:v>
      </x:c>
      <x:c r="H217" s="22" t="str">
        <x:v>Boca para galeria dupla BDCC 2,50 x 2,50 - normal</x:v>
      </x:c>
      <x:c r="I217" s="22" t="str">
        <x:v>un</x:v>
      </x:c>
    </x:row>
    <x:row r="218">
      <x:c r="F218" s="22" t="str">
        <x:v>Drenagem</x:v>
      </x:c>
      <x:c r="G218" s="22" t="str">
        <x:v>Obras de drenagem profunda. Galerias e Bueiros</x:v>
      </x:c>
      <x:c r="H218" s="22" t="str">
        <x:v>Boca para galeria dupla BDCC 3,00 x 3,00 - normal</x:v>
      </x:c>
      <x:c r="I218" s="22" t="str">
        <x:v>un</x:v>
      </x:c>
    </x:row>
    <x:row r="219">
      <x:c r="F219" s="22" t="str">
        <x:v>Drenagem</x:v>
      </x:c>
      <x:c r="G219" s="22" t="str">
        <x:v>Obras de drenagem profunda. Galerias e Bueiros</x:v>
      </x:c>
      <x:c r="H219" s="22" t="str">
        <x:v>Dissipador de energia tipo DR-10B-1 para bueiro simples de concreto BSTC Ø 0,60 m</x:v>
      </x:c>
      <x:c r="I219" s="22" t="str">
        <x:v>un</x:v>
      </x:c>
    </x:row>
    <x:row r="220">
      <x:c r="F220" s="22" t="str">
        <x:v>Drenagem</x:v>
      </x:c>
      <x:c r="G220" s="22" t="str">
        <x:v>Obras de drenagem profunda. Galerias e Bueiros</x:v>
      </x:c>
      <x:c r="H220" s="22" t="str">
        <x:v>Dissipador de energia tipo DR-10B-1 para bueiro simples de concreto BSTC Ø 0,80 m</x:v>
      </x:c>
      <x:c r="I220" s="22" t="str">
        <x:v>un</x:v>
      </x:c>
    </x:row>
    <x:row r="221">
      <x:c r="F221" s="22" t="str">
        <x:v>Drenagem</x:v>
      </x:c>
      <x:c r="G221" s="22" t="str">
        <x:v>Obras de drenagem profunda. Galerias e Bueiros</x:v>
      </x:c>
      <x:c r="H221" s="22" t="str">
        <x:v>Dissipador de energia tipo DR-10B-1 para bueiro simples de concreto BSTC Ø 1,00 m</x:v>
      </x:c>
      <x:c r="I221" s="22" t="str">
        <x:v>un</x:v>
      </x:c>
    </x:row>
    <x:row r="222">
      <x:c r="F222" s="22" t="str">
        <x:v>Drenagem</x:v>
      </x:c>
      <x:c r="G222" s="22" t="str">
        <x:v>Obras de drenagem profunda. Galerias e Bueiros</x:v>
      </x:c>
      <x:c r="H222" s="22" t="str">
        <x:v>Dissipador de energia tipo DR-10B-1 para bueiro simples de concreto BSTC Ø 1,20 m</x:v>
      </x:c>
      <x:c r="I222" s="22" t="str">
        <x:v>un</x:v>
      </x:c>
    </x:row>
    <x:row r="223">
      <x:c r="F223" s="22" t="str">
        <x:v>Drenagem</x:v>
      </x:c>
      <x:c r="G223" s="22" t="str">
        <x:v>Obras de drenagem profunda. Galerias e Bueiros</x:v>
      </x:c>
      <x:c r="H223" s="22" t="str">
        <x:v>Dissipador de energia tipo DR-10B-1 para bueiro simples de concreto BSTC Ø 1,50 m</x:v>
      </x:c>
      <x:c r="I223" s="22" t="str">
        <x:v>un</x:v>
      </x:c>
    </x:row>
    <x:row r="224">
      <x:c r="F224" s="22" t="str">
        <x:v>Drenagem</x:v>
      </x:c>
      <x:c r="G224" s="22" t="str">
        <x:v>Obras de drenagem profunda. Galerias e Bueiros</x:v>
      </x:c>
      <x:c r="H224" s="22" t="str">
        <x:v>Dissipador de energia tipo DR-10B-1 para bueiro duplo de concreto BDTC Ø 1,50 m</x:v>
      </x:c>
      <x:c r="I224" s="22" t="str">
        <x:v>un</x:v>
      </x:c>
    </x:row>
    <x:row r="225">
      <x:c r="F225" s="22" t="str">
        <x:v>Drenagem</x:v>
      </x:c>
      <x:c r="G225" s="22" t="str">
        <x:v>Obras de drenagem profunda. Galerias e Bueiros</x:v>
      </x:c>
      <x:c r="H225" s="22" t="str">
        <x:v>Dissipador de energia tipo DR-10B-1 para galeria simples de concreto BSCC 2,00 x 2,00</x:v>
      </x:c>
      <x:c r="I225" s="22" t="str">
        <x:v>un</x:v>
      </x:c>
    </x:row>
    <x:row r="226">
      <x:c r="F226" s="22" t="str">
        <x:v>Drenagem</x:v>
      </x:c>
      <x:c r="G226" s="22" t="str">
        <x:v>Obras de drenagem profunda. Galerias e Bueiros</x:v>
      </x:c>
      <x:c r="H226" s="22" t="str">
        <x:v>Dissipador de energia tipo DR-10B-1 para galeria dupla de concreto BDCC 2,50 x 2,50</x:v>
      </x:c>
      <x:c r="I226" s="22" t="str">
        <x:v>un</x:v>
      </x:c>
    </x:row>
    <x:row r="227">
      <x:c r="F227" s="22" t="str">
        <x:v>Drenagem</x:v>
      </x:c>
      <x:c r="G227" s="22" t="str">
        <x:v>Obras de drenagem profunda. Galerias e Bueiros</x:v>
      </x:c>
      <x:c r="H227" s="22" t="str">
        <x:v>Dissipador de energia tipo DR-10B-1 para galeria simples de concreto BSCC 3,00 x 3,00</x:v>
      </x:c>
      <x:c r="I227" s="22" t="str">
        <x:v>un</x:v>
      </x:c>
    </x:row>
    <x:row r="228">
      <x:c r="F228" s="22" t="str">
        <x:v>Drenagem</x:v>
      </x:c>
      <x:c r="G228" s="22" t="str">
        <x:v>Obras de drenagem profunda. Galerias e Bueiros</x:v>
      </x:c>
      <x:c r="H228" s="22" t="str">
        <x:v>Dissipador de energia tipo DR-10B-1 para galeria dupla de concreto BDCC 3,00 x 3,00</x:v>
      </x:c>
      <x:c r="I228" s="22" t="str">
        <x:v>un</x:v>
      </x:c>
    </x:row>
    <x:row r="229">
      <x:c r="F229" s="22" t="str">
        <x:v>Drenagem</x:v>
      </x:c>
      <x:c r="G229" s="22" t="str">
        <x:v>Obras de drenagem profunda. Galerias e Bueiros</x:v>
      </x:c>
      <x:c r="H229" s="22" t="str">
        <x:v>Dissipador de energia tipo DR-10B-1 para galeria simples de concreto BSCC 3,45 x 2,50</x:v>
      </x:c>
      <x:c r="I229" s="22" t="str">
        <x:v>un</x:v>
      </x:c>
    </x:row>
    <x:row r="230">
      <x:c r="F230" s="22" t="str">
        <x:v>Drenagem</x:v>
      </x:c>
      <x:c r="G230" s="22" t="str">
        <x:v>Obras de drenagem profunda. Galerias e Bueiros</x:v>
      </x:c>
      <x:c r="H230" s="22" t="str">
        <x:v>Boca de bueiro simples tipo C1 para Ø 1,00 m</x:v>
      </x:c>
      <x:c r="I230" s="22" t="str">
        <x:v>un</x:v>
      </x:c>
    </x:row>
    <x:row r="231">
      <x:c r="F231" s="22" t="str">
        <x:v>Drenagem</x:v>
      </x:c>
      <x:c r="G231" s="22" t="str">
        <x:v>Obras de drenagem profunda. Galerias e Bueiros</x:v>
      </x:c>
      <x:c r="H231" s="22" t="str">
        <x:v>Boca de bueiro simples tipo C1 para Ø 1,20 m</x:v>
      </x:c>
      <x:c r="I231" s="22" t="str">
        <x:v>un</x:v>
      </x:c>
    </x:row>
    <x:row r="232">
      <x:c r="F232" s="22" t="str">
        <x:v>Drenagem</x:v>
      </x:c>
      <x:c r="G232" s="22" t="str">
        <x:v>Obras de drenagem profunda. Galerias e Bueiros</x:v>
      </x:c>
      <x:c r="H232" s="22" t="str">
        <x:v>Boca de bueiro simples tipo C1 para Ø 1,50 m</x:v>
      </x:c>
      <x:c r="I232" s="22" t="str">
        <x:v>un</x:v>
      </x:c>
    </x:row>
    <x:row r="233">
      <x:c r="F233" s="22" t="str">
        <x:v>Drenagem</x:v>
      </x:c>
      <x:c r="G233" s="22" t="str">
        <x:v>Obras de drenagem profunda. Galerias e Bueiros</x:v>
      </x:c>
      <x:c r="H233" s="22" t="str">
        <x:v>Boca de bueiro duplo tipo C1 para Ø 1,50 m</x:v>
      </x:c>
      <x:c r="I233" s="22" t="str">
        <x:v>un</x:v>
      </x:c>
    </x:row>
    <x:row r="234">
      <x:c r="F234" s="22" t="str">
        <x:v>Drenagem</x:v>
      </x:c>
      <x:c r="G234" s="22" t="str">
        <x:v>Obras de drenagem profunda. Galerias e Bueiros</x:v>
      </x:c>
      <x:c r="H234" s="22" t="str">
        <x:v>Boca de bueiro simples tipo C2 para Ø 0,60 m (*)</x:v>
      </x:c>
      <x:c r="I234" s="22" t="str">
        <x:v>un</x:v>
      </x:c>
    </x:row>
    <x:row r="235">
      <x:c r="F235" s="22" t="str">
        <x:v>Drenagem</x:v>
      </x:c>
      <x:c r="G235" s="22" t="str">
        <x:v>Obras de drenagem profunda. Galerias e Bueiros</x:v>
      </x:c>
      <x:c r="H235" s="22" t="str">
        <x:v>Caixa coletora tipo CX-1 com h= 1,51 a 2,00</x:v>
      </x:c>
      <x:c r="I235" s="22" t="str">
        <x:v>un</x:v>
      </x:c>
    </x:row>
    <x:row r="236">
      <x:c r="F236" s="22" t="str">
        <x:v>Drenagem</x:v>
      </x:c>
      <x:c r="G236" s="22" t="str">
        <x:v>Obras de drenagem profunda. Galerias e Bueiros</x:v>
      </x:c>
      <x:c r="H236" s="22" t="str">
        <x:v>Caixa coletora tipo CX-1 com h= 2,01 a 2,50</x:v>
      </x:c>
      <x:c r="I236" s="22" t="str">
        <x:v>un</x:v>
      </x:c>
    </x:row>
    <x:row r="237">
      <x:c r="F237" s="22" t="str">
        <x:v>Drenagem</x:v>
      </x:c>
      <x:c r="G237" s="22" t="str">
        <x:v>Obras de drenagem profunda. Galerias e Bueiros</x:v>
      </x:c>
      <x:c r="H237" s="22" t="str">
        <x:v>Caixa coletora tipo CX-3 com h até 1,50 (*)</x:v>
      </x:c>
      <x:c r="I237" s="22" t="str">
        <x:v>un</x:v>
      </x:c>
    </x:row>
    <x:row r="238">
      <x:c r="F238" s="22" t="str">
        <x:v>Drenagem</x:v>
      </x:c>
      <x:c r="G238" s="22" t="str">
        <x:v>Obras de drenagem profunda. Galerias e Bueiros</x:v>
      </x:c>
      <x:c r="H238" s="22" t="str">
        <x:v>Caixa coletora tipo CX-3 com h= 2,51 a 3,50</x:v>
      </x:c>
      <x:c r="I238" s="22" t="str">
        <x:v>un</x:v>
      </x:c>
    </x:row>
    <x:row r="239">
      <x:c r="F239" s="22" t="str">
        <x:v>Drenagem</x:v>
      </x:c>
      <x:c r="G239" s="22" t="str">
        <x:v>Obras de drenagem profunda. Galerias e Bueiros</x:v>
      </x:c>
      <x:c r="H239" s="22" t="str">
        <x:v>Caixa coletora tipo CX-9D com h= 2,01 a 2,50</x:v>
      </x:c>
      <x:c r="I239" s="22" t="str">
        <x:v>un</x:v>
      </x:c>
    </x:row>
    <x:row r="240">
      <x:c r="F240" s="22" t="str">
        <x:v>Drenagem</x:v>
      </x:c>
      <x:c r="G240" s="22" t="str">
        <x:v>Obras de drenagem superficiais. Sarjetas e Valetas</x:v>
      </x:c>
      <x:c r="H240" s="22" t="str">
        <x:v>Valeta de proteção trapezoidal revestida em concreto DR-3B-6</x:v>
      </x:c>
      <x:c r="I240" s="22" t="str">
        <x:v>m</x:v>
      </x:c>
    </x:row>
    <x:row r="241">
      <x:c r="F241" s="22" t="str">
        <x:v>Drenagem</x:v>
      </x:c>
      <x:c r="G241" s="22" t="str">
        <x:v>Obras de drenagem superficiais. Sarjetas e Valetas</x:v>
      </x:c>
      <x:c r="H241" s="22" t="str">
        <x:v>Valeta de proteção trapezoidal revestida em concreto DR-3B-10</x:v>
      </x:c>
      <x:c r="I241" s="22" t="str">
        <x:v>m</x:v>
      </x:c>
    </x:row>
    <x:row r="242">
      <x:c r="F242" s="22" t="str">
        <x:v>Drenagem</x:v>
      </x:c>
      <x:c r="G242" s="22" t="str">
        <x:v>Obras de drenagem superficiais. Sarjetas e Valetas</x:v>
      </x:c>
      <x:c r="H242" s="22" t="str">
        <x:v>Valeta de proteção trapezoidal revestida em concreto DR-3B-11</x:v>
      </x:c>
      <x:c r="I242" s="22" t="str">
        <x:v>m</x:v>
      </x:c>
    </x:row>
    <x:row r="243">
      <x:c r="F243" s="22" t="str">
        <x:v>Drenagem</x:v>
      </x:c>
      <x:c r="G243" s="22" t="str">
        <x:v>Obras de drenagem superficiais. Sarjetas e Valetas</x:v>
      </x:c>
      <x:c r="H243" s="22" t="str">
        <x:v>Valeta de proteção trapezoidal revestida em concreto DR-3B-12</x:v>
      </x:c>
      <x:c r="I243" s="22" t="str">
        <x:v>m</x:v>
      </x:c>
    </x:row>
    <x:row r="244">
      <x:c r="F244" s="22" t="str">
        <x:v>Drenagem</x:v>
      </x:c>
      <x:c r="G244" s="22" t="str">
        <x:v>Obras de drenagem superficiais. Sarjetas e Valetas</x:v>
      </x:c>
      <x:c r="H244" s="22" t="str">
        <x:v>Valeta de proteção trapezoidal revestida em concreto DR-3B-13</x:v>
      </x:c>
      <x:c r="I244" s="22" t="str">
        <x:v>m</x:v>
      </x:c>
    </x:row>
    <x:row r="245">
      <x:c r="F245" s="22" t="str">
        <x:v>Drenagem</x:v>
      </x:c>
      <x:c r="G245" s="22" t="str">
        <x:v>Obras de drenagem superficiais. Sarjetas e Valetas</x:v>
      </x:c>
      <x:c r="H245" s="22" t="str">
        <x:v>Valeta de proteção trapezoidal revestida em concreto DR-3B-14</x:v>
      </x:c>
      <x:c r="I245" s="22" t="str">
        <x:v>m</x:v>
      </x:c>
    </x:row>
    <x:row r="246">
      <x:c r="F246" s="22" t="str">
        <x:v>Drenagem</x:v>
      </x:c>
      <x:c r="G246" s="22" t="str">
        <x:v>Obras de drenagem superficiais. Sarjetas e Valetas</x:v>
      </x:c>
      <x:c r="H246" s="22" t="str">
        <x:v>Valeta de proteção trapezoidal revestida em concreto DR-3B-15</x:v>
      </x:c>
      <x:c r="I246" s="22" t="str">
        <x:v>m</x:v>
      </x:c>
    </x:row>
    <x:row r="247">
      <x:c r="F247" s="22" t="str">
        <x:v>Drenagem</x:v>
      </x:c>
      <x:c r="G247" s="22" t="str">
        <x:v>Obras de drenagem superficiais. Sarjetas e Valetas</x:v>
      </x:c>
      <x:c r="H247" s="22" t="str">
        <x:v>Valeta de proteção trapezoidal revestida em concreto DR-3B-16</x:v>
      </x:c>
      <x:c r="I247" s="22" t="str">
        <x:v>m</x:v>
      </x:c>
    </x:row>
    <x:row r="248">
      <x:c r="F248" s="22" t="str">
        <x:v>Drenagem</x:v>
      </x:c>
      <x:c r="G248" s="22" t="str">
        <x:v>Obras de drenagem superficiais. Sarjetas e Valetas</x:v>
      </x:c>
      <x:c r="H248" s="22" t="str">
        <x:v>Descida d'água em corte em concreto armado DR 13C</x:v>
      </x:c>
      <x:c r="I248" s="22" t="str">
        <x:v>m</x:v>
      </x:c>
    </x:row>
    <x:row r="249">
      <x:c r="F249" s="22" t="str">
        <x:v>Drenagem</x:v>
      </x:c>
      <x:c r="G249" s="22" t="str">
        <x:v>Obras de drenagem superficiais. Sarjetas e Valetas</x:v>
      </x:c>
      <x:c r="H249" s="22" t="str">
        <x:v>Descida d'água tipo rápido DR 11B (*)</x:v>
      </x:c>
      <x:c r="I249" s="22" t="str">
        <x:v>m</x:v>
      </x:c>
    </x:row>
    <x:row r="250">
      <x:c r="F250" s="22" t="str">
        <x:v>Drenagem</x:v>
      </x:c>
      <x:c r="G250" s="22" t="str">
        <x:v>Obras de drenagem superficiais. Sarjetas e Valetas</x:v>
      </x:c>
      <x:c r="H250" s="22" t="str">
        <x:v>Canal trapezoidal revestido com grama em placas: B=1,60 H=VAR - TAL. H=1,50 V=1,00</x:v>
      </x:c>
      <x:c r="I250" s="22" t="str">
        <x:v>m</x:v>
      </x:c>
    </x:row>
    <x:row r="251">
      <x:c r="F251" s="22" t="str">
        <x:v>Drenagem</x:v>
      </x:c>
      <x:c r="G251" s="22" t="str">
        <x:v>Obras de drenagem superficiais. Sarjetas e Valetas</x:v>
      </x:c>
      <x:c r="H251" s="22" t="str">
        <x:v>Canal trapezoidal revestido com grama em placas: B=4,00 H=VAR - TAL. H=1,50 V=1,00</x:v>
      </x:c>
      <x:c r="I251" s="22" t="str">
        <x:v>m</x:v>
      </x:c>
    </x:row>
    <x:row r="252">
      <x:c r="F252" s="22" t="str">
        <x:v>Drenagem</x:v>
      </x:c>
      <x:c r="G252" s="22" t="str">
        <x:v>Obras de drenagem superficiais. Sarjetas e Valetas</x:v>
      </x:c>
      <x:c r="H252" s="22" t="str">
        <x:v>Canal trapezoidal revestido com grama em placas: B=6,00 H=VAR - TAL. H=1,50 V=1,00</x:v>
      </x:c>
      <x:c r="I252" s="22" t="str">
        <x:v>m</x:v>
      </x:c>
    </x:row>
    <x:row r="253">
      <x:c r="F253" s="22" t="str">
        <x:v>Drenagem</x:v>
      </x:c>
      <x:c r="G253" s="22" t="str">
        <x:v>Obras de drenagem superficiais. Sarjetas e Valetas</x:v>
      </x:c>
      <x:c r="H253" s="22" t="str">
        <x:v>Canal trapezoidal revestido com grama em placas: B=2,00 H=VAR - TAL. H=1,50 V=1,00</x:v>
      </x:c>
      <x:c r="I253" s="22" t="str">
        <x:v>m</x:v>
      </x:c>
    </x:row>
    <x:row r="254">
      <x:c r="F254" s="22" t="str">
        <x:v>Drenagem</x:v>
      </x:c>
      <x:c r="G254" s="22" t="str">
        <x:v>Obras de drenagem superficiais. Sarjetas e Valetas</x:v>
      </x:c>
      <x:c r="H254" s="22" t="str">
        <x:v>Transposição de segmentos de sarjetas com laje tipo TSS-03</x:v>
      </x:c>
      <x:c r="I254" s="22" t="str">
        <x:v>m</x:v>
      </x:c>
    </x:row>
    <x:row r="255">
      <x:c r="F255" s="22" t="str">
        <x:v>Drenagem</x:v>
      </x:c>
      <x:c r="G255" s="22" t="str">
        <x:v>Obras de drenagem superficiais. Sarjetas e Valetas</x:v>
      </x:c>
      <x:c r="H255" s="22" t="str">
        <x:v>Saída de bueiro tipo escada em talude de aterro DR-14</x:v>
      </x:c>
      <x:c r="I255" s="22" t="str">
        <x:v>m</x:v>
      </x:c>
    </x:row>
    <x:row r="256">
      <x:c r="F256" s="22" t="str">
        <x:v>Drenagem</x:v>
      </x:c>
      <x:c r="G256" s="22" t="str">
        <x:v>Obras de drenagem superficiais. Sarjetas e Valetas</x:v>
      </x:c>
      <x:c r="H256" s="22" t="str">
        <x:v>Dissipador de energia tipo DR-10A-1 para canaletas ou valetas (*)</x:v>
      </x:c>
      <x:c r="I256" s="22" t="str">
        <x:v>un</x:v>
      </x:c>
    </x:row>
    <x:row r="257">
      <x:c r="F257" s="22" t="str">
        <x:v>Drenagem</x:v>
      </x:c>
      <x:c r="G257" s="22" t="str">
        <x:v>Obras de drenagem superficiais. Sarjetas e Valetas</x:v>
      </x:c>
      <x:c r="H257" s="22" t="str">
        <x:v>Dissipador de energia tipo DR-10A-1 para descida d'água em aterro tipo escada</x:v>
      </x:c>
      <x:c r="I257" s="22" t="str">
        <x:v>un</x:v>
      </x:c>
    </x:row>
    <x:row r="258">
      <x:c r="F258" s="22" t="str">
        <x:v>Drenagem</x:v>
      </x:c>
      <x:c r="G258" s="22" t="str">
        <x:v>Obras de drenagem superficiais. Sarjetas e Valetas</x:v>
      </x:c>
      <x:c r="H258" s="22" t="str">
        <x:v>Transição de DR-1A para DR-2A  (*)</x:v>
      </x:c>
      <x:c r="I258" s="22" t="str">
        <x:v>m</x:v>
      </x:c>
    </x:row>
    <x:row r="259">
      <x:c r="F259" s="22" t="str">
        <x:v>Drenagem</x:v>
      </x:c>
      <x:c r="G259" s="22" t="str">
        <x:v>Obras de drenagem superficiais. Sarjetas e Valetas</x:v>
      </x:c>
      <x:c r="H259" s="22" t="str">
        <x:v>Transição de DR-1A para DR-2B-1  (*)</x:v>
      </x:c>
      <x:c r="I259" s="22" t="str">
        <x:v>m</x:v>
      </x:c>
    </x:row>
    <x:row r="260">
      <x:c r="F260" s="22" t="str">
        <x:v>Drenagem</x:v>
      </x:c>
      <x:c r="G260" s="22" t="str">
        <x:v>Obras de drenagem superficiais. Sarjetas e Valetas</x:v>
      </x:c>
      <x:c r="H260" s="22" t="str">
        <x:v>Transição de DR-1B-1 para DR-2B-1 (*)</x:v>
      </x:c>
      <x:c r="I260" s="22" t="str">
        <x:v>m</x:v>
      </x:c>
    </x:row>
    <x:row r="261">
      <x:c r="F261" s="22" t="str">
        <x:v>Drenagem</x:v>
      </x:c>
      <x:c r="G261" s="22" t="str">
        <x:v>Obras de drenagem superficiais. Sarjetas e Valetas</x:v>
      </x:c>
      <x:c r="H261" s="22" t="str">
        <x:v>Transição de DR-1B-2 para DR-1B-2 (*)</x:v>
      </x:c>
      <x:c r="I261" s="22" t="str">
        <x:v>m</x:v>
      </x:c>
    </x:row>
    <x:row r="262">
      <x:c r="F262" s="22" t="str">
        <x:v>Drenagem</x:v>
      </x:c>
      <x:c r="G262" s="22" t="str">
        <x:v>Obras de drenagem superficiais. Sarjetas e Valetas</x:v>
      </x:c>
      <x:c r="H262" s="22" t="str">
        <x:v>Transição de DR-2A para DR-1A (*)</x:v>
      </x:c>
      <x:c r="I262" s="22" t="str">
        <x:v>m</x:v>
      </x:c>
    </x:row>
    <x:row r="263">
      <x:c r="F263" s="22" t="str">
        <x:v>Drenagem</x:v>
      </x:c>
      <x:c r="G263" s="22" t="str">
        <x:v>Obras de drenagem superficiais. Sarjetas e Valetas</x:v>
      </x:c>
      <x:c r="H263" s="22" t="str">
        <x:v>Transição de DR-2A para DR-1B-1 (*)</x:v>
      </x:c>
      <x:c r="I263" s="22" t="str">
        <x:v>m</x:v>
      </x:c>
    </x:row>
    <x:row r="264">
      <x:c r="F264" s="22" t="str">
        <x:v>Drenagem</x:v>
      </x:c>
      <x:c r="G264" s="22" t="str">
        <x:v>Obras de drenagem superficiais. Sarjetas e Valetas</x:v>
      </x:c>
      <x:c r="H264" s="22" t="str">
        <x:v>Transição de DR-2B-1 para DR-1B-1 (*)</x:v>
      </x:c>
      <x:c r="I264" s="22" t="str">
        <x:v>m</x:v>
      </x:c>
    </x:row>
    <x:row r="265">
      <x:c r="F265" s="22" t="str">
        <x:v>Drenagem</x:v>
      </x:c>
      <x:c r="G265" s="22" t="str">
        <x:v>Obras de drenagem superficiais. Sarjetas e Valetas</x:v>
      </x:c>
      <x:c r="H265" s="22" t="str">
        <x:v>Transição de DR-2B-2 para DR-1B-1 (*)</x:v>
      </x:c>
      <x:c r="I265" s="22" t="str">
        <x:v>m</x:v>
      </x:c>
    </x:row>
    <x:row r="266">
      <x:c r="F266" s="22" t="str">
        <x:v>Drenagem</x:v>
      </x:c>
      <x:c r="G266" s="22" t="str">
        <x:v>Execução de dreno de pavimento e de plataforma</x:v>
      </x:c>
      <x:c r="H266" s="22" t="str">
        <x:v>Dreno de pavimento em microvala com geocomposto drenante H = 0,40 m - Sem geocomposto</x:v>
      </x:c>
      <x:c r="I266" s="22" t="str">
        <x:v>m</x:v>
      </x:c>
    </x:row>
    <x:row r="267">
      <x:c r="F267" s="22" t="str">
        <x:v>Obra de Arte Especial. Pontes, viadutos e passarelas
OAE km 112+200</x:v>
      </x:c>
      <x:c r="G267" s="22" t="str">
        <x:v>Infraestrutura</x:v>
      </x:c>
      <x:c r="H267" s="22" t="str">
        <x:v>Compactação manual para bases de caixas e valas</x:v>
      </x:c>
      <x:c r="I267" s="22" t="str">
        <x:v>m³</x:v>
      </x:c>
    </x:row>
    <x:row r="268">
      <x:c r="F268" s="22" t="str">
        <x:v>Obra de Arte Especial. Pontes, viadutos e passarelas
OAE km 112+200</x:v>
      </x:c>
      <x:c r="G268" s="22" t="str">
        <x:v>Mesoestrutura</x:v>
      </x:c>
      <x:c r="H268" s="22" t="str">
        <x:v>Reaterro com areia natural ou artificial</x:v>
      </x:c>
      <x:c r="I268" s="22" t="str">
        <x:v>m³</x:v>
      </x:c>
    </x:row>
    <x:row r="269">
      <x:c r="F269" s="22" t="str">
        <x:v>Obra de Arte Especial. Pontes, viadutos e passarelas
OAE km 112+200</x:v>
      </x:c>
      <x:c r="G269" s="22" t="str">
        <x:v>Mesoestrutura</x:v>
      </x:c>
      <x:c r="H269" s="22" t="str">
        <x:v>Manta geotextil não tecido, sem o fornecimento de mateiriais</x:v>
      </x:c>
      <x:c r="I269" s="22" t="str">
        <x:v>m²</x:v>
      </x:c>
    </x:row>
    <x:row r="270">
      <x:c r="F270" s="22" t="str">
        <x:v>Obra de Arte Especial. Pontes, viadutos e passarelas
OAE km 112+200</x:v>
      </x:c>
      <x:c r="G270" s="22" t="str">
        <x:v>Superestrutura</x:v>
      </x:c>
      <x:c r="H270" s="22" t="str">
        <x:v>Forma metálica para viga pré-moldada</x:v>
      </x:c>
      <x:c r="I270" s="22" t="str">
        <x:v>m²</x:v>
      </x:c>
    </x:row>
    <x:row r="271">
      <x:c r="F271" s="22" t="str">
        <x:v>Obra de Arte Especial. Pontes, viadutos e passarelas
OAE km 112+200</x:v>
      </x:c>
      <x:c r="G271" s="22" t="str">
        <x:v>Superestrutura</x:v>
      </x:c>
      <x:c r="H271" s="22" t="str">
        <x:v>Mastique a base de silicone</x:v>
      </x:c>
      <x:c r="I271" s="22" t="str">
        <x:v>m</x:v>
      </x:c>
    </x:row>
    <x:row r="272">
      <x:c r="F272" s="22" t="str">
        <x:v>Obra de Arte Especial. Pontes, viadutos e passarelas
OAE km 112+200</x:v>
      </x:c>
      <x:c r="G272" s="22" t="str">
        <x:v>Superestrutura</x:v>
      </x:c>
      <x:c r="H272" s="22" t="str">
        <x:v>Argamassa de cimento-areia para regularização - traço 1:6</x:v>
      </x:c>
      <x:c r="I272" s="22" t="str">
        <x:v>m³</x:v>
      </x:c>
    </x:row>
    <x:row r="273">
      <x:c r="F273" s="22" t="str">
        <x:v>Obra de Arte Especial. Pontes, viadutos e passarelas
OAE km 112+200</x:v>
      </x:c>
      <x:c r="G273" s="22" t="str">
        <x:v>Superestrutura</x:v>
      </x:c>
      <x:c r="H273" s="22" t="str">
        <x:v>Tubo de PVC perfurado ou não - Ø 6" - Sem o fornecimento do tubo</x:v>
      </x:c>
      <x:c r="I273" s="22" t="str">
        <x:v>m</x:v>
      </x:c>
    </x:row>
    <x:row r="274">
      <x:c r="F274" s="22" t="str">
        <x:v>Obra de Arte Especial. Pontes, viadutos e passarelas
OAE km 112+200</x:v>
      </x:c>
      <x:c r="G274" s="22" t="str">
        <x:v>Serviços complementares</x:v>
      </x:c>
      <x:c r="H274" s="22" t="str">
        <x:v>Junta tipo JEENE com abertura de 25 mm até 50 mm</x:v>
      </x:c>
      <x:c r="I274" s="22" t="str">
        <x:v>m</x:v>
      </x:c>
    </x:row>
    <x:row r="275">
      <x:c r="F275" s="22" t="str">
        <x:v>Obra de Arte Especial. Pontes, viadutos e passarelas
OAE km 112+200</x:v>
      </x:c>
      <x:c r="G275" s="22" t="str">
        <x:v>Serviços complementares</x:v>
      </x:c>
      <x:c r="H275" s="22" t="str">
        <x:v>Guarda Corpo Metálico</x:v>
      </x:c>
      <x:c r="I275" s="22" t="str">
        <x:v>m</x:v>
      </x:c>
    </x:row>
    <x:row r="276">
      <x:c r="F276" s="22" t="str">
        <x:v>Obra de Arte Especial. Pontes, viadutos e passarelas
OAE km 112+200</x:v>
      </x:c>
      <x:c r="G276" s="22" t="str">
        <x:v>Serviços complementares</x:v>
      </x:c>
      <x:c r="H276" s="22" t="str">
        <x:v>Gabião tipo colchão com esp.=17cm com malha revestida em PVC</x:v>
      </x:c>
      <x:c r="I276" s="22" t="str">
        <x:v>m²</x:v>
      </x:c>
    </x:row>
    <x:row r="277">
      <x:c r="F277" s="22" t="str">
        <x:v>Obra de Arte Especial. Pontes, viadutos e passarelas
OAE km 112+200</x:v>
      </x:c>
      <x:c r="G277" s="22" t="str">
        <x:v>Serviços complementares</x:v>
      </x:c>
      <x:c r="H277" s="22" t="str">
        <x:v>Retificação para canal trapezoidal revestido com grama em placas: B=10,00 H=VAR - TAL. H=1,50 V=1,00</x:v>
      </x:c>
      <x:c r="I277" s="22" t="str">
        <x:v>m</x:v>
      </x:c>
    </x:row>
    <x:row r="278">
      <x:c r="F278" s="22" t="str">
        <x:v>Contenções. Em Cortes, Aterros e Emboques de Túneis</x:v>
      </x:c>
      <x:c r="G278" s="22" t="str">
        <x:v>Corte em solo para Contenções</x:v>
      </x:c>
      <x:c r="H278" s="22" t="str">
        <x:v>Escavação de material de 1ª e 2ª cat</x:v>
      </x:c>
      <x:c r="I278" s="22" t="str">
        <x:v>m³</x:v>
      </x:c>
    </x:row>
    <x:row r="279">
      <x:c r="F279" s="22" t="str">
        <x:v>Contenções. Em Cortes, Aterros e Emboques de Túneis</x:v>
      </x:c>
      <x:c r="G279" s="22" t="str">
        <x:v>Paredes e cortinas (exceto ancoragens, tirantes, chumbadores ou pregagens)</x:v>
      </x:c>
      <x:c r="H279" s="22" t="str">
        <x:v>Gabião tipo caixa com malha hexagonal - galvanizado - alt. cx 0,50m</x:v>
      </x:c>
      <x:c r="I279" s="22" t="str">
        <x:v>m³</x:v>
      </x:c>
    </x:row>
    <x:row r="280">
      <x:c r="F280" s="22" t="str">
        <x:v>Contenções. Em Cortes, Aterros e Emboques de Túneis</x:v>
      </x:c>
      <x:c r="G280" s="22" t="str">
        <x:v>Paredes e cortinas (exceto ancoragens, tirantes, chumbadores ou pregagens)</x:v>
      </x:c>
      <x:c r="H280" s="22" t="str">
        <x:v>Gabião tipo caixa com malha hexagonal - galvanizado - alt. cx 1,00m</x:v>
      </x:c>
      <x:c r="I280" s="22" t="str">
        <x:v>m³</x:v>
      </x:c>
    </x:row>
    <x:row r="281">
      <x:c r="F281" s="22" t="str">
        <x:v>Contenções. Em Cortes, Aterros e Emboques de Túneis</x:v>
      </x:c>
      <x:c r="G281" s="22" t="str">
        <x:v>Reaterros e aterros para Contenções</x:v>
      </x:c>
      <x:c r="H281" s="22" t="str">
        <x:v>Reaterro compactado com solo - compactação mecânica</x:v>
      </x:c>
      <x:c r="I281" s="22" t="str">
        <x:v>m³</x:v>
      </x:c>
    </x:row>
    <x:row r="282">
      <x:c r="F282" s="22" t="str">
        <x:v>Contenções. Em Cortes, Aterros e Emboques de Túneis</x:v>
      </x:c>
      <x:c r="G282" s="22" t="str">
        <x:v>Paredes e cortinas (exceto ancoragens, tirantes, chumbadores ou pregagens)</x:v>
      </x:c>
      <x:c r="H282" s="22" t="str">
        <x:v>Geogrelha biaxial com deformação máxima de 5%  e resistência nominal de 50kN/m, sem fornecimento de material (*)</x:v>
      </x:c>
      <x:c r="I282" s="22" t="str">
        <x:v>m²</x:v>
      </x:c>
    </x:row>
    <x:row r="283">
      <x:c r="F283" s="22" t="str">
        <x:v>Contenções. Em Cortes, Aterros e Emboques de Túneis</x:v>
      </x:c>
      <x:c r="G283" s="22" t="str">
        <x:v>Paredes e cortinas (exceto ancoragens, tirantes, chumbadores ou pregagens)</x:v>
      </x:c>
      <x:c r="H283" s="22" t="str">
        <x:v>Tela metálica tipo telcon, sem fornecimento de material</x:v>
      </x:c>
      <x:c r="I283" s="22" t="str">
        <x:v>kg</x:v>
      </x:c>
    </x:row>
    <x:row r="284">
      <x:c r="F284" s="22" t="str">
        <x:v>Contenções. Em Cortes, Aterros e Emboques de Túneis</x:v>
      </x:c>
      <x:c r="G284" s="22" t="str">
        <x:v>Paredes e cortinas (exceto ancoragens, tirantes, chumbadores ou pregagens)</x:v>
      </x:c>
      <x:c r="H284" s="22" t="str">
        <x:v>Concreto projetado Fck 20 MPa</x:v>
      </x:c>
      <x:c r="I284" s="22" t="str">
        <x:v>m³</x:v>
      </x:c>
    </x:row>
    <x:row r="285">
      <x:c r="F285" s="22" t="str">
        <x:v>Segurança viária</x:v>
      </x:c>
      <x:c r="G285" s="22" t="str">
        <x:v>Instalação de barreira de concreto</x:v>
      </x:c>
      <x:c r="H285" s="22" t="str">
        <x:v>Barreira rígida simples baixa</x:v>
      </x:c>
      <x:c r="I285" s="22" t="str">
        <x:v>m</x:v>
      </x:c>
    </x:row>
    <x:row r="286">
      <x:c r="F286" s="22" t="str">
        <x:v>Drenagem</x:v>
      </x:c>
      <x:c r="G286" s="22" t="str">
        <x:v>Obras de drenagem profunda. Galerias e Bueiros</x:v>
      </x:c>
      <x:c r="H286" s="22" t="str">
        <x:v>Boca de bueiro simples tipo A1 para Ø 0,60 m (*)</x:v>
      </x:c>
      <x:c r="I286" s="22" t="str">
        <x:v>un</x:v>
      </x:c>
    </x:row>
    <x:row r="287">
      <x:c r="F287" s="22" t="str">
        <x:v>Drenagem</x:v>
      </x:c>
      <x:c r="G287" s="22" t="str">
        <x:v>Obras de drenagem profunda. Galerias e Bueiros</x:v>
      </x:c>
      <x:c r="H287" s="22" t="str">
        <x:v>Boca de bueiro simples tipo A1 para Ø 0,80 m</x:v>
      </x:c>
      <x:c r="I287" s="22" t="str">
        <x:v>un</x:v>
      </x:c>
    </x:row>
    <x:row r="288">
      <x:c r="F288" s="22" t="str">
        <x:v>Drenagem</x:v>
      </x:c>
      <x:c r="G288" s="22" t="str">
        <x:v>Obras de drenagem profunda. Galerias e Bueiros</x:v>
      </x:c>
      <x:c r="H288" s="22" t="str">
        <x:v>Boca de bueiro simples tipo A2 para Ø 1,00 m</x:v>
      </x:c>
      <x:c r="I288" s="22" t="str">
        <x:v>un</x:v>
      </x:c>
    </x:row>
    <x:row r="289">
      <x:c r="F289" s="22" t="str">
        <x:v>Drenagem</x:v>
      </x:c>
      <x:c r="G289" s="22" t="str">
        <x:v>Obras de drenagem profunda. Galerias e Bueiros</x:v>
      </x:c>
      <x:c r="H289" s="22" t="str">
        <x:v>Caixa coletora tipo CX-2 com h= 2,51 a 3,00 (*)</x:v>
      </x:c>
      <x:c r="I289" s="22" t="str">
        <x:v>un</x:v>
      </x:c>
    </x:row>
    <x:row r="290">
      <x:c r="F290" s="22" t="str">
        <x:v>Drenagem</x:v>
      </x:c>
      <x:c r="G290" s="22" t="str">
        <x:v>Obras de drenagem superficiais. Sarjetas e Valetas</x:v>
      </x:c>
      <x:c r="H290" s="22" t="str">
        <x:v>Caixa coletora tipo transição CTD-1</x:v>
      </x:c>
      <x:c r="I290" s="22" t="str">
        <x:v>un</x:v>
      </x:c>
    </x:row>
    <x:row r="291">
      <x:c r="F291" s="22" t="str">
        <x:v>Drenagem</x:v>
      </x:c>
      <x:c r="G291" s="22" t="str">
        <x:v>Obras de drenagem superficiais. Sarjetas e Valetas</x:v>
      </x:c>
      <x:c r="H291" s="22" t="str">
        <x:v>Dissipador de energia tipo DR-10B-2 para bueiro simples de concreto BSTC Ø 0,60 m (*)</x:v>
      </x:c>
      <x:c r="I291" s="22" t="str">
        <x:v>un</x:v>
      </x:c>
    </x:row>
    <x:row r="292">
      <x:c r="F292" s="22" t="str">
        <x:v>Drenagem</x:v>
      </x:c>
      <x:c r="G292" s="22" t="str">
        <x:v>Obras de drenagem superficiais. Sarjetas e Valetas</x:v>
      </x:c>
      <x:c r="H292" s="22" t="str">
        <x:v>Dissipador de energia tipo DR-10B-2 para bueiro simples de concreto BSTC Ø 1,00 m (*)</x:v>
      </x:c>
      <x:c r="I292" s="22" t="str">
        <x:v>un</x:v>
      </x:c>
    </x:row>
    <x:row r="293">
      <x:c r="F293" s="22" t="str">
        <x:v>Drenagem</x:v>
      </x:c>
      <x:c r="G293" s="22" t="str">
        <x:v>Obras de drenagem superficiais. Sarjetas e Valetas</x:v>
      </x:c>
      <x:c r="H293" s="22" t="str">
        <x:v>Canal trapezoidal revestido com grama em placas: B=1,50 H=VAR. - TAL. H=1,50 V=1,00</x:v>
      </x:c>
      <x:c r="I293" s="22" t="str">
        <x:v>m</x:v>
      </x:c>
    </x:row>
    <x:row r="294">
      <x:c r="F294" s="22" t="str">
        <x:v>Drenagem</x:v>
      </x:c>
      <x:c r="G294" s="22" t="str">
        <x:v>Execução de dreno de pavimento e de plataforma</x:v>
      </x:c>
      <x:c r="H294" s="22" t="str">
        <x:v>Dreno longitudinal de pavimento H = 1,50 m - Sem geocomposto drenante / Sem Tubo PEAD</x:v>
      </x:c>
      <x:c r="I294" s="22" t="str">
        <x:v>m</x:v>
      </x:c>
    </x:row>
    <x:row r="295">
      <x:c r="F295" s="22" t="str">
        <x:v>Obra de Arte Especial. Pontes, viadutos e passarelas</x:v>
      </x:c>
      <x:c r="G295" s="22" t="str">
        <x:v>Fundações profundas</x:v>
      </x:c>
      <x:c r="H295" s="22" t="str">
        <x:v>Estaca pré-moldada de concreto, forma circular com diâmetro 42</x:v>
      </x:c>
      <x:c r="I295" s="22" t="str">
        <x:v>m</x:v>
      </x:c>
    </x:row>
    <x:row r="296">
      <x:c r="F296" s="22" t="str">
        <x:v>Obra de Arte Especial. Pontes, viadutos e passarelas</x:v>
      </x:c>
      <x:c r="G296" s="22" t="str">
        <x:v>Fundações profundas</x:v>
      </x:c>
      <x:c r="H296" s="22" t="str">
        <x:v>Estaca pré-moldada de concreto, forma circular com diâmetro 50</x:v>
      </x:c>
      <x:c r="I296" s="22" t="str">
        <x:v>m</x:v>
      </x:c>
    </x:row>
    <x:row r="297">
      <x:c r="F297" s="22" t="str">
        <x:v>Obra de Arte Especial. Pontes, viadutos e passarelas</x:v>
      </x:c>
      <x:c r="G297" s="22" t="str">
        <x:v>Superestrutura</x:v>
      </x:c>
      <x:c r="H297" s="22" t="str">
        <x:v>Lançamento de viga pré-moldada com P &lt;= 10 ton com guindaste</x:v>
      </x:c>
      <x:c r="I297" s="22" t="str">
        <x:v>un</x:v>
      </x:c>
    </x:row>
    <x:row r="298">
      <x:c r="F298" s="22" t="str">
        <x:v>Obra de Arte Especial. Pontes, viadutos e passarelas</x:v>
      </x:c>
      <x:c r="G298" s="22" t="str">
        <x:v>Superestrutura</x:v>
      </x:c>
      <x:c r="H298" s="22" t="str">
        <x:v>Aparelho de ancoragem ativo - Ø 15,2mm para 9 fios</x:v>
      </x:c>
      <x:c r="I298" s="22" t="str">
        <x:v>un</x:v>
      </x:c>
    </x:row>
    <x:row r="299">
      <x:c r="F299" s="22" t="str">
        <x:v>Terraplenagem</x:v>
      </x:c>
      <x:c r="G299" s="22" t="str">
        <x:v>Corte em solo</x:v>
      </x:c>
      <x:c r="H299" s="22" t="str">
        <x:v>Material de jazida de 1ª e 2ª categoria, sem transporte</x:v>
      </x:c>
      <x:c r="I299" s="22" t="str">
        <x:v>m³</x:v>
      </x:c>
    </x:row>
    <x:row r="300">
      <x:c r="F300" s="22" t="str">
        <x:v>Terraplenagem</x:v>
      </x:c>
      <x:c r="G300" s="22" t="str">
        <x:v>Trocas e melhorias de solo</x:v>
      </x:c>
      <x:c r="H300" s="22" t="str">
        <x:v>Carga de material em Bota Espera - material de 1ª e 2ª categoria (*)</x:v>
      </x:c>
      <x:c r="I300" s="22" t="str">
        <x:v>m³</x:v>
      </x:c>
    </x:row>
    <x:row r="301">
      <x:c r="F301" s="22" t="str">
        <x:v>Terraplenagem</x:v>
      </x:c>
      <x:c r="G301" s="22" t="str">
        <x:v>Trocas e melhorias de solo</x:v>
      </x:c>
      <x:c r="H301" s="22" t="str">
        <x:v>Compactação de aterro a 100% do proctor normal (*)</x:v>
      </x:c>
      <x:c r="I301" s="22" t="str">
        <x:v>m³</x:v>
      </x:c>
    </x:row>
    <x:row r="302">
      <x:c r="F302" s="22" t="str">
        <x:v>Terraplenagem</x:v>
      </x:c>
      <x:c r="G302" s="22" t="str">
        <x:v>Trocas e melhorias de solo</x:v>
      </x:c>
      <x:c r="H302" s="22" t="str">
        <x:v>Material de jazida de 1ª e 2ª categoria (*)</x:v>
      </x:c>
      <x:c r="I302" s="22" t="str">
        <x:v>m³</x:v>
      </x:c>
    </x:row>
    <x:row r="303">
      <x:c r="F303" s="22" t="str">
        <x:v>Drenagem</x:v>
      </x:c>
      <x:c r="G303" s="22" t="str">
        <x:v>Obras de drenagem profunda. Galerias e Bueiros</x:v>
      </x:c>
      <x:c r="H303" s="22" t="str">
        <x:v>Boca de bueiro simples tipo A2 para Ø 1,50 m</x:v>
      </x:c>
      <x:c r="I303" s="22" t="str">
        <x:v>un</x:v>
      </x:c>
    </x:row>
    <x:row r="304">
      <x:c r="F304" s="22" t="str">
        <x:v>Drenagem</x:v>
      </x:c>
      <x:c r="G304" s="22" t="str">
        <x:v>Obras de drenagem profunda. Galerias e Bueiros</x:v>
      </x:c>
      <x:c r="H304" s="22" t="str">
        <x:v>Caixa coletora tipo CX-2 com h= 2,01 a 2,50</x:v>
      </x:c>
      <x:c r="I304" s="22" t="str">
        <x:v>un</x:v>
      </x:c>
    </x:row>
    <x:row r="305">
      <x:c r="F305" s="22" t="str">
        <x:v>Drenagem</x:v>
      </x:c>
      <x:c r="G305" s="22" t="str">
        <x:v>Obras de drenagem profunda. Galerias e Bueiros</x:v>
      </x:c>
      <x:c r="H305" s="22" t="str">
        <x:v>Caixa coletora tipo CX-7 com h= 2,51 a 3,00</x:v>
      </x:c>
      <x:c r="I305" s="22" t="str">
        <x:v>un</x:v>
      </x:c>
    </x:row>
    <x:row r="306">
      <x:c r="F306" s="22" t="str">
        <x:v>Drenagem</x:v>
      </x:c>
      <x:c r="G306" s="22" t="str">
        <x:v>Obras de drenagem profunda. Galerias e Bueiros</x:v>
      </x:c>
      <x:c r="H306" s="22" t="str">
        <x:v>Caixa coletora tipo CX-10 com h= 2,51 a 3,00</x:v>
      </x:c>
      <x:c r="I306" s="22" t="str">
        <x:v>un</x:v>
      </x:c>
    </x:row>
    <x:row r="307">
      <x:c r="F307" s="22" t="str">
        <x:v>Drenagem</x:v>
      </x:c>
      <x:c r="G307" s="22" t="str">
        <x:v>Obras de drenagem profunda. Galerias e Bueiros</x:v>
      </x:c>
      <x:c r="H307" s="22" t="str">
        <x:v>Caixa coletora tipo CX-10 com h= 3,51 a 4,00</x:v>
      </x:c>
      <x:c r="I307" s="22" t="str">
        <x:v>un</x:v>
      </x:c>
    </x:row>
    <x:row r="308">
      <x:c r="F308" s="22" t="str">
        <x:v>Drenagem</x:v>
      </x:c>
      <x:c r="G308" s="22" t="str">
        <x:v>Obras de drenagem profunda. Galerias e Bueiros</x:v>
      </x:c>
      <x:c r="H308" s="22" t="str">
        <x:v>Caixa de transição para bueiros tipo CT-3</x:v>
      </x:c>
      <x:c r="I308" s="22" t="str">
        <x:v>un</x:v>
      </x:c>
    </x:row>
    <x:row r="309">
      <x:c r="F309" s="22" t="str">
        <x:v>Drenagem</x:v>
      </x:c>
      <x:c r="G309" s="22" t="str">
        <x:v>Obras de drenagem superficiais. Sarjetas e Valetas</x:v>
      </x:c>
      <x:c r="H309" s="22" t="str">
        <x:v>Valeta de banqueta de aterro revestida em concreto armado DR-3C-1</x:v>
      </x:c>
      <x:c r="I309" s="22" t="str">
        <x:v>m</x:v>
      </x:c>
    </x:row>
    <x:row r="310">
      <x:c r="F310" s="22" t="str">
        <x:v>Drenagem</x:v>
      </x:c>
      <x:c r="G310" s="22" t="str">
        <x:v>Obras de drenagem superficiais. Sarjetas e Valetas</x:v>
      </x:c>
      <x:c r="H310" s="22" t="str">
        <x:v>Valeta de banqueta de aterro revestida em concreto armado DR-3C-4</x:v>
      </x:c>
      <x:c r="I310" s="22" t="str">
        <x:v>m</x:v>
      </x:c>
    </x:row>
    <x:row r="311">
      <x:c r="F311" s="22" t="str">
        <x:v>Drenagem</x:v>
      </x:c>
      <x:c r="G311" s="22" t="str">
        <x:v>Obras de drenagem superficiais. Sarjetas e Valetas</x:v>
      </x:c>
      <x:c r="H311" s="22" t="str">
        <x:v>Dissipador de energia tipo DR-10B-2 para bueiro simples de concreto BSTC Ø 1,50 m</x:v>
      </x:c>
      <x:c r="I311" s="22" t="str">
        <x:v>un</x:v>
      </x:c>
    </x:row>
    <x:row r="312">
      <x:c r="F312" s="22" t="str">
        <x:v>Drenagem</x:v>
      </x:c>
      <x:c r="G312" s="22" t="str">
        <x:v>Obras de drenagem superficiais. Sarjetas e Valetas</x:v>
      </x:c>
      <x:c r="H312" s="22" t="str">
        <x:v>Canal retangular de concreto armado tipo R2I</x:v>
      </x:c>
      <x:c r="I312" s="22" t="str">
        <x:v>m</x:v>
      </x:c>
    </x:row>
    <x:row r="313">
      <x:c r="F313" s="22" t="str">
        <x:v>Drenagem</x:v>
      </x:c>
      <x:c r="G313" s="22" t="str">
        <x:v>Obras de drenagem superficiais. Sarjetas e Valetas</x:v>
      </x:c>
      <x:c r="H313" s="22" t="str">
        <x:v>Canal retangular de concreto armado tipo R2Q</x:v>
      </x:c>
      <x:c r="I313" s="22" t="str">
        <x:v>m</x:v>
      </x:c>
    </x:row>
    <x:row r="314">
      <x:c r="F314" s="22" t="str">
        <x:v>Drenagem</x:v>
      </x:c>
      <x:c r="G314" s="22" t="str">
        <x:v>Obras de drenagem superficiais. Sarjetas e Valetas</x:v>
      </x:c>
      <x:c r="H314" s="22" t="str">
        <x:v>Canal trapezoidal revestido com grama em placas: B=2,60 H=VAR. - TAL. H=1,50 V=1,00</x:v>
      </x:c>
      <x:c r="I314" s="22" t="str">
        <x:v>m</x:v>
      </x:c>
    </x:row>
    <x:row r="315">
      <x:c r="F315" s="22" t="str">
        <x:v>Terraplenagem</x:v>
      </x:c>
      <x:c r="G315" s="22" t="str">
        <x:v>Corte em solo</x:v>
      </x:c>
      <x:c r="H315" s="22" t="str">
        <x:v>Transporte de 1ª e 2ª categoria ate 15 km</x:v>
      </x:c>
      <x:c r="I315" s="22" t="str">
        <x:v>m³xkm</x:v>
      </x:c>
    </x:row>
    <x:row r="316">
      <x:c r="F316" s="22" t="str">
        <x:v>Drenagem</x:v>
      </x:c>
      <x:c r="G316" s="22" t="str">
        <x:v>Obras de drenagem profunda. Galerias e Bueiros</x:v>
      </x:c>
      <x:c r="H316" s="22" t="str">
        <x:v>Boca de bueiro simples tipo A1 para Ø 1,00 m</x:v>
      </x:c>
      <x:c r="I316" s="22" t="str">
        <x:v>un</x:v>
      </x:c>
    </x:row>
    <x:row r="317">
      <x:c r="F317" s="22" t="str">
        <x:v>Drenagem</x:v>
      </x:c>
      <x:c r="G317" s="22" t="str">
        <x:v>Obras de drenagem profunda. Galerias e Bueiros</x:v>
      </x:c>
      <x:c r="H317" s="22" t="str">
        <x:v>Caixa coletora tipo CX-1 com h até 1,50 (*)</x:v>
      </x:c>
      <x:c r="I317" s="22" t="str">
        <x:v>un</x:v>
      </x:c>
    </x:row>
    <x:row r="318">
      <x:c r="F318" s="22" t="str">
        <x:v>Drenagem</x:v>
      </x:c>
      <x:c r="G318" s="22" t="str">
        <x:v>Obras de drenagem profunda. Galerias e Bueiros</x:v>
      </x:c>
      <x:c r="H318" s="22" t="str">
        <x:v>Caixa coletora tipo CX-4 com h= 2,01 a 2,50</x:v>
      </x:c>
      <x:c r="I318" s="22" t="str">
        <x:v>un</x:v>
      </x:c>
    </x:row>
    <x:row r="319">
      <x:c r="F319" s="22" t="str">
        <x:v>Drenagem</x:v>
      </x:c>
      <x:c r="G319" s="22" t="str">
        <x:v>Obras de drenagem profunda. Galerias e Bueiros</x:v>
      </x:c>
      <x:c r="H319" s="22" t="str">
        <x:v>Caixa coletora tipo CX-7 com h até 1,50 (*)</x:v>
      </x:c>
      <x:c r="I319" s="22" t="str">
        <x:v>un</x:v>
      </x:c>
    </x:row>
    <x:row r="320">
      <x:c r="F320" s="22" t="str">
        <x:v>Drenagem</x:v>
      </x:c>
      <x:c r="G320" s="22" t="str">
        <x:v>Obras de drenagem profunda. Galerias e Bueiros</x:v>
      </x:c>
      <x:c r="H320" s="22" t="str">
        <x:v>Caixa coletora tipo CX-9 com h= 3,51 a 4,00</x:v>
      </x:c>
      <x:c r="I320" s="22" t="str">
        <x:v>un</x:v>
      </x:c>
    </x:row>
    <x:row r="321">
      <x:c r="F321" s="22" t="str">
        <x:v>Drenagem</x:v>
      </x:c>
      <x:c r="G321" s="22" t="str">
        <x:v>Obras de drenagem profunda. Galerias e Bueiros</x:v>
      </x:c>
      <x:c r="H321" s="22" t="str">
        <x:v>Caixa coletora tipo CX-9 com h= 4,01 a 4,50</x:v>
      </x:c>
      <x:c r="I321" s="22" t="str">
        <x:v>un</x:v>
      </x:c>
    </x:row>
    <x:row r="322">
      <x:c r="F322" s="22" t="str">
        <x:v>Drenagem</x:v>
      </x:c>
      <x:c r="G322" s="22" t="str">
        <x:v>Obras de drenagem superficiais. Sarjetas e Valetas</x:v>
      </x:c>
      <x:c r="H322" s="22" t="str">
        <x:v>Canal trapezoidal revestido com grama em placas: B=2,00 H=VAR. i=0,0010m/m TAL. H=1,50 V=1,00</x:v>
      </x:c>
      <x:c r="I322" s="22" t="str">
        <x:v>m</x:v>
      </x:c>
    </x:row>
    <x:row r="323">
      <x:c r="F323" s="22" t="str">
        <x:v>Drenagem</x:v>
      </x:c>
      <x:c r="G323" s="22" t="str">
        <x:v>Obras de drenagem superficiais. Sarjetas e Valetas</x:v>
      </x:c>
      <x:c r="H323" s="22" t="str">
        <x:v>Canal trapezoidal em degrau revestido com gabião tipo colchão b=2,00m h=VAR TAL. H=1,50 V=1,00 (*)</x:v>
      </x:c>
      <x:c r="I323" s="22" t="str">
        <x:v>m</x:v>
      </x:c>
    </x:row>
    <x:row r="324">
      <x:c r="F324" s="22" t="str">
        <x:v>Drenagem</x:v>
      </x:c>
      <x:c r="G324" s="22" t="str">
        <x:v>Obras de drenagem profunda. Galerias e Bueiros</x:v>
      </x:c>
      <x:c r="H324" s="22" t="str">
        <x:v>Boca de bueiro simples tipo C1 para Ø 0,60 m</x:v>
      </x:c>
      <x:c r="I324" s="22" t="str">
        <x:v>un</x:v>
      </x:c>
    </x:row>
    <x:row r="325">
      <x:c r="F325" s="22" t="str">
        <x:v>Obra de Arte Especial. Pontes, viadutos e passarelas</x:v>
      </x:c>
      <x:c r="G325" s="22" t="str">
        <x:v>Serviços complementares</x:v>
      </x:c>
      <x:c r="H325" s="22" t="str">
        <x:v>Dreno transversal raso DTR</x:v>
      </x:c>
      <x:c r="I325" s="22" t="str">
        <x:v>m</x:v>
      </x:c>
    </x:row>
    <x:row r="326">
      <x:c r="F326" s="22" t="str">
        <x:v>Drenagem</x:v>
      </x:c>
      <x:c r="G326" s="22" t="str">
        <x:v>Obras de drenagem superficiais. Sarjetas e Valetas</x:v>
      </x:c>
      <x:c r="H326" s="22" t="str">
        <x:v>Sarjeta triângular de corte tipo DR-1B-4</x:v>
      </x:c>
      <x:c r="I326" s="22" t="str">
        <x:v>m</x:v>
      </x:c>
    </x:row>
    <x:row r="327">
      <x:c r="F327" s="22" t="str">
        <x:v>Drenagem</x:v>
      </x:c>
      <x:c r="G327" s="22" t="str">
        <x:v>Execução de dreno de pavimento e de plataforma</x:v>
      </x:c>
      <x:c r="H327" s="22" t="str">
        <x:v>Dreno longitudinal de pavimento H = 0,40 m - com geocomposto drenante</x:v>
      </x:c>
      <x:c r="I327" s="22" t="str">
        <x:v>m</x:v>
      </x:c>
    </x:row>
    <x:row r="328">
      <x:c r="F328" s="22" t="str">
        <x:v>Drenagem</x:v>
      </x:c>
      <x:c r="G328" s="22" t="str">
        <x:v>Execução de dreno de pavimento e de plataforma</x:v>
      </x:c>
      <x:c r="H328" s="22" t="str">
        <x:v>Dreno de pavimento em microvala com geocomposto drenante H = 0,40 m</x:v>
      </x:c>
      <x:c r="I328" s="22" t="str">
        <x:v>m</x:v>
      </x:c>
    </x:row>
    <x:row r="329">
      <x:c r="F329" s="22" t="str">
        <x:v>Obra de Arte Especial. Pontes, viadutos e passarelas</x:v>
      </x:c>
      <x:c r="G329" s="22" t="str">
        <x:v>Serviços complementares</x:v>
      </x:c>
      <x:c r="H329" s="22" t="str">
        <x:v>Junta tipo JEENE com abertura de 20 mm até 55 mm</x:v>
      </x:c>
      <x:c r="I329" s="22" t="str">
        <x:v>m</x:v>
      </x:c>
    </x:row>
    <x:row r="330">
      <x:c r="F330" s="22" t="str">
        <x:v>Serviços preliminares e conclusivos</x:v>
      </x:c>
      <x:c r="G330" s="22" t="str">
        <x:v>Demolições e remoções</x:v>
      </x:c>
      <x:c r="H330" s="22" t="str">
        <x:v>Remoção de terminal absorvedor de energia</x:v>
      </x:c>
      <x:c r="I330" s="22" t="str">
        <x:v>un</x:v>
      </x:c>
    </x:row>
    <x:row r="331">
      <x:c r="F331" s="22" t="str">
        <x:v>Terraplenagem</x:v>
      </x:c>
      <x:c r="G331" s="22" t="str">
        <x:v>Trocas e melhorias de solo</x:v>
      </x:c>
      <x:c r="H331" s="22" t="str">
        <x:v>Rede metálica de alta resistência StellGrid HR 100 ou Similiar (Perfuração e instalação)</x:v>
      </x:c>
      <x:c r="I331" s="22" t="str">
        <x:v>m²</x:v>
      </x:c>
    </x:row>
    <x:row r="332">
      <x:c r="F332" s="22" t="str">
        <x:v>Obra de Arte Especial. Pontes, viadutos e passarelas
OAE km 122+197 </x:v>
      </x:c>
      <x:c r="G332" s="22" t="str">
        <x:v>Fundações profundas</x:v>
      </x:c>
      <x:c r="H332" s="22" t="str">
        <x:v>Estaca raiz Ø 0,31 m em solo</x:v>
      </x:c>
      <x:c r="I332" s="22" t="str">
        <x:v>m</x:v>
      </x:c>
    </x:row>
    <x:row r="333">
      <x:c r="F333" s="22" t="str">
        <x:v>Obra de Arte Especial. Pontes, viadutos e passarelas
OAE km 122+197 </x:v>
      </x:c>
      <x:c r="G333" s="22" t="str">
        <x:v>Mesoestrutura</x:v>
      </x:c>
      <x:c r="H333" s="22" t="str">
        <x:v>Enrocamento com pedra arrumada</x:v>
      </x:c>
      <x:c r="I333" s="22" t="str">
        <x:v>m³</x:v>
      </x:c>
    </x:row>
    <x:row r="334">
      <x:c r="F334" s="22" t="str">
        <x:v>Serviços preliminares e conclusivos</x:v>
      </x:c>
      <x:c r="G334" s="22" t="str">
        <x:v>Demolições e remoções</x:v>
      </x:c>
      <x:c r="H334" s="22" t="str">
        <x:v>Remoção de terminal absorvedor de energia.m</x:v>
      </x:c>
      <x:c r="I334" s="22" t="str">
        <x:v>un</x:v>
      </x:c>
    </x:row>
    <x:row r="335">
      <x:c r="F335" s="22" t="str">
        <x:v>Drenagem</x:v>
      </x:c>
      <x:c r="G335" s="22" t="str">
        <x:v>Obras de drenagem superficiais. Sarjetas e Valetas</x:v>
      </x:c>
      <x:c r="H335" s="22" t="str">
        <x:v>Sarjeta triangular de corte tipo DR-1B</x:v>
      </x:c>
      <x:c r="I335" s="22" t="str">
        <x:v>m</x:v>
      </x:c>
    </x:row>
    <x:row r="336">
      <x:c r="F336" s="22" t="str">
        <x:v>Drenagem</x:v>
      </x:c>
      <x:c r="G336" s="22" t="str">
        <x:v>Execução de dreno de pavimento e de plataforma</x:v>
      </x:c>
      <x:c r="H336" s="22" t="str">
        <x:v>Dreno longitudinal de pavimento H = 1,50 m - com geocomposto drenante</x:v>
      </x:c>
      <x:c r="I336" s="22" t="str">
        <x:v>m</x:v>
      </x:c>
    </x:row>
    <x:row r="337">
      <x:c r="F337" s="22" t="str">
        <x:v>Drenagem</x:v>
      </x:c>
      <x:c r="G337" s="22" t="str">
        <x:v>Execução de dreno de pavimento e de plataforma</x:v>
      </x:c>
      <x:c r="H337" s="22" t="str">
        <x:v>Geocomposto drenante contínuo</x:v>
      </x:c>
      <x:c r="I337" s="22" t="str">
        <x:v>m</x:v>
      </x:c>
    </x:row>
    <x:row r="338">
      <x:c r="F338" s="22" t="str">
        <x:v>Obra de Arte Especial. Pontes, viadutos e passarelas</x:v>
      </x:c>
      <x:c r="G338" s="22" t="str">
        <x:v>Mesoestrutura</x:v>
      </x:c>
      <x:c r="H338" s="22" t="str">
        <x:v>Mata-junta elástico tipo O-22</x:v>
      </x:c>
      <x:c r="I338" s="22" t="str">
        <x:v>m</x:v>
      </x:c>
    </x:row>
    <x:row r="339">
      <x:c r="F339" s="22" t="str">
        <x:v>Obra de Arte Especial. Pontes, viadutos e passarelas</x:v>
      </x:c>
      <x:c r="G339" s="22" t="str">
        <x:v>Construção da camada de revestimento</x:v>
      </x:c>
      <x:c r="H339" s="22" t="str">
        <x:v>Imprimadura ligante</x:v>
      </x:c>
      <x:c r="I339" s="22" t="str">
        <x:v>m²</x:v>
      </x:c>
    </x:row>
    <x:row r="340">
      <x:c r="F340" s="22" t="str">
        <x:v>Serviços preliminares e conclusivos</x:v>
      </x:c>
      <x:c r="G340" s="22" t="str">
        <x:v>Acondicionamento da faixa de domínio</x:v>
      </x:c>
      <x:c r="H340" s="22" t="str">
        <x:v>Remanejamento de placa de sinalização, solo</x:v>
      </x:c>
      <x:c r="I340" s="22" t="str">
        <x:v>m²</x:v>
      </x:c>
    </x:row>
    <x:row r="341">
      <x:c r="F341" s="22" t="str">
        <x:v>Drenagem</x:v>
      </x:c>
      <x:c r="G341" s="22" t="str">
        <x:v>Obras de drenagem profunda. Galerias e Bueiros</x:v>
      </x:c>
      <x:c r="H341" s="22" t="str">
        <x:v>Boca de bueiro simples tipo A1 para Ø 0,60 m</x:v>
      </x:c>
      <x:c r="I341" s="22" t="str">
        <x:v>un</x:v>
      </x:c>
    </x:row>
    <x:row r="342">
      <x:c r="F342" s="22" t="str">
        <x:v>Drenagem</x:v>
      </x:c>
      <x:c r="G342" s="22" t="str">
        <x:v>Obras de drenagem superficiais. Sarjetas e Valetas</x:v>
      </x:c>
      <x:c r="H342" s="22" t="str">
        <x:v>Descida d'água em corte em concreto armado DR 13</x:v>
      </x:c>
      <x:c r="I342" s="22" t="str">
        <x:v>m</x:v>
      </x:c>
    </x:row>
    <x:row r="343">
      <x:c r="F343" s="22" t="str">
        <x:v>Obra de Arte Especial. Pontes, viadutos e passarelas</x:v>
      </x:c>
      <x:c r="G343" s="22" t="str">
        <x:v>Serviços complementares</x:v>
      </x:c>
      <x:c r="H343" s="22" t="str">
        <x:v>Proteção de talude sob OAE em placas pré-moldadas</x:v>
      </x:c>
      <x:c r="I343" s="22" t="str">
        <x:v>m²</x:v>
      </x:c>
    </x:row>
    <x:row r="344">
      <x:c r="F344" s="22" t="str">
        <x:v>Terraplenagem</x:v>
      </x:c>
      <x:c r="G344" s="22" t="str">
        <x:v>Corte em solo</x:v>
      </x:c>
      <x:c r="H344" s="22" t="str">
        <x:v>Escavação de material de 1ª e 2ª categoria</x:v>
      </x:c>
      <x:c r="I344" s="22" t="str">
        <x:v>m³</x:v>
      </x:c>
    </x:row>
    <x:row r="345">
      <x:c r="F345" s="22" t="str">
        <x:v>Drenagem</x:v>
      </x:c>
      <x:c r="G345" s="22" t="str">
        <x:v>Obras de drenagem profunda. Galerias e Bueiros</x:v>
      </x:c>
      <x:c r="H345" s="22" t="str">
        <x:v>Caixa coletora tipo CX-2 com h= 1,51 a 2,00</x:v>
      </x:c>
      <x:c r="I345" s="22" t="str">
        <x:v>un</x:v>
      </x:c>
    </x:row>
    <x:row r="346">
      <x:c r="F346" s="22" t="str">
        <x:v>Drenagem</x:v>
      </x:c>
      <x:c r="G346" s="22" t="str">
        <x:v>Obras de drenagem profunda. Galerias e Bueiros</x:v>
      </x:c>
      <x:c r="H346" s="22" t="str">
        <x:v>Caixa coletora tipo CX-7 com h= 2,01 a 2,50</x:v>
      </x:c>
      <x:c r="I346" s="22" t="str">
        <x:v>un</x:v>
      </x:c>
    </x:row>
    <x:row r="347">
      <x:c r="F347" s="22" t="str">
        <x:v>Drenagem</x:v>
      </x:c>
      <x:c r="G347" s="22" t="str">
        <x:v>Obras de drenagem profunda. Galerias e Bueiros</x:v>
      </x:c>
      <x:c r="H347" s="22" t="str">
        <x:v>Caixa coletora tipo CX-9 com h= 2,01 a 2,50</x:v>
      </x:c>
      <x:c r="I347" s="22" t="str">
        <x:v>un</x:v>
      </x:c>
    </x:row>
    <x:row r="348">
      <x:c r="F348" s="22" t="str">
        <x:v>Drenagem</x:v>
      </x:c>
      <x:c r="G348" s="22" t="str">
        <x:v>Obras de drenagem profunda. Galerias e Bueiros</x:v>
      </x:c>
      <x:c r="H348" s="22" t="str">
        <x:v>Caixa coletora tipo CX-9D com h= 4,01 a 4,50</x:v>
      </x:c>
      <x:c r="I348" s="22" t="str">
        <x:v>un</x:v>
      </x:c>
    </x:row>
    <x:row r="349">
      <x:c r="F349" s="22" t="str">
        <x:v>Drenagem</x:v>
      </x:c>
      <x:c r="G349" s="22" t="str">
        <x:v>Obras de drenagem profunda. Galerias e Bueiros</x:v>
      </x:c>
      <x:c r="H349" s="22" t="str">
        <x:v>Ala especial para galeria (2.00x2.00)</x:v>
      </x:c>
      <x:c r="I349" s="22" t="str">
        <x:v>un</x:v>
      </x:c>
    </x:row>
    <x:row r="350">
      <x:c r="F350" s="22" t="str">
        <x:v>Drenagem</x:v>
      </x:c>
      <x:c r="G350" s="22" t="str">
        <x:v>Obras de drenagem profunda. Galerias e Bueiros</x:v>
      </x:c>
      <x:c r="H350" s="22" t="str">
        <x:v>Galeria simples 2,00 x 2,00 - alt. 10,01 m a 15,00 m</x:v>
      </x:c>
      <x:c r="I350" s="22" t="str">
        <x:v>m</x:v>
      </x:c>
    </x:row>
    <x:row r="351">
      <x:c r="F351" s="22" t="str">
        <x:v>Drenagem</x:v>
      </x:c>
      <x:c r="G351" s="22" t="str">
        <x:v>Obras de drenagem profunda. Galerias e Bueiros</x:v>
      </x:c>
      <x:c r="H351" s="22" t="str">
        <x:v>Galeria simples 3,05 x 3,60 - alt. Até 1,00m</x:v>
      </x:c>
      <x:c r="I351" s="22" t="str">
        <x:v>m</x:v>
      </x:c>
    </x:row>
    <x:row r="352">
      <x:c r="F352" s="22" t="str">
        <x:v>Drenagem</x:v>
      </x:c>
      <x:c r="G352" s="22" t="str">
        <x:v>Obras de drenagem profunda. Galerias e Bueiros</x:v>
      </x:c>
      <x:c r="H352" s="22" t="str">
        <x:v>Ala especial para Galeria simples 3,05 x 3,60</x:v>
      </x:c>
      <x:c r="I352" s="22" t="str">
        <x:v>un</x:v>
      </x:c>
    </x:row>
    <x:row r="353">
      <x:c r="F353" s="22" t="str">
        <x:v>Drenagem</x:v>
      </x:c>
      <x:c r="G353" s="22" t="str">
        <x:v>Obras de drenagem profunda. Galerias e Bueiros</x:v>
      </x:c>
      <x:c r="H353" s="22" t="str">
        <x:v>Galeria simples 3,00 x 3,10 - alt. Até 1,00m</x:v>
      </x:c>
      <x:c r="I353" s="22" t="str">
        <x:v>m</x:v>
      </x:c>
    </x:row>
    <x:row r="354">
      <x:c r="F354" s="22" t="str">
        <x:v>Drenagem</x:v>
      </x:c>
      <x:c r="G354" s="22" t="str">
        <x:v>Obras de drenagem profunda. Galerias e Bueiros</x:v>
      </x:c>
      <x:c r="H354" s="22" t="str">
        <x:v>Ala especial para Galeria simples 3,00 x 3,10</x:v>
      </x:c>
      <x:c r="I354" s="22" t="str">
        <x:v>un</x:v>
      </x:c>
    </x:row>
    <x:row r="355">
      <x:c r="F355" s="22" t="str">
        <x:v>Drenagem</x:v>
      </x:c>
      <x:c r="G355" s="22" t="str">
        <x:v>Obras de drenagem profunda. Galerias e Bueiros</x:v>
      </x:c>
      <x:c r="H355" s="22" t="str">
        <x:v>Galeria simples 2,50 x 2,50 - alt. até 2,5 m</x:v>
      </x:c>
      <x:c r="I355" s="22" t="str">
        <x:v>m</x:v>
      </x:c>
    </x:row>
    <x:row r="356">
      <x:c r="F356" s="22" t="str">
        <x:v>Drenagem</x:v>
      </x:c>
      <x:c r="G356" s="22" t="str">
        <x:v>Obras de drenagem profunda. Galerias e Bueiros</x:v>
      </x:c>
      <x:c r="H356" s="22" t="str">
        <x:v>Boca para galeria simples BSCC 2,50 x 2,50 - normal</x:v>
      </x:c>
      <x:c r="I356" s="22" t="str">
        <x:v>un</x:v>
      </x:c>
    </x:row>
    <x:row r="357">
      <x:c r="F357" s="22" t="str">
        <x:v>Drenagem</x:v>
      </x:c>
      <x:c r="G357" s="22" t="str">
        <x:v>Obras de drenagem profunda. Galerias e Bueiros</x:v>
      </x:c>
      <x:c r="H357" s="22" t="str">
        <x:v>Boca de bueiro simples tipo C1 para Ø 0,80 m</x:v>
      </x:c>
      <x:c r="I357" s="22" t="str">
        <x:v>un</x:v>
      </x:c>
    </x:row>
    <x:row r="358">
      <x:c r="F358" s="22" t="str">
        <x:v>Drenagem</x:v>
      </x:c>
      <x:c r="G358" s="22" t="str">
        <x:v>Obras de drenagem profunda. Galerias e Bueiros</x:v>
      </x:c>
      <x:c r="H358" s="22" t="str">
        <x:v>Boca de bueiro duplo tipo C1 para Ø 1,00 m</x:v>
      </x:c>
      <x:c r="I358" s="22" t="str">
        <x:v>un</x:v>
      </x:c>
    </x:row>
    <x:row r="359">
      <x:c r="F359" s="22" t="str">
        <x:v>Drenagem</x:v>
      </x:c>
      <x:c r="G359" s="22" t="str">
        <x:v>Obras de drenagem profunda. Galerias e Bueiros</x:v>
      </x:c>
      <x:c r="H359" s="22" t="str">
        <x:v>Boca de bueiro para tubo metálico, Bueiro Ø 2,20 m - boca tipo E1</x:v>
      </x:c>
      <x:c r="I359" s="22" t="str">
        <x:v>un</x:v>
      </x:c>
    </x:row>
    <x:row r="360">
      <x:c r="F360" s="22" t="str">
        <x:v>Drenagem</x:v>
      </x:c>
      <x:c r="G360" s="22" t="str">
        <x:v>Obras de drenagem profunda. Galerias e Bueiros</x:v>
      </x:c>
      <x:c r="H360" s="22" t="str">
        <x:v>Bueiro metálico pelo método destrutível - chapa tratada com revestimento epóxi</x:v>
      </x:c>
      <x:c r="I360" s="22" t="str">
        <x:v>kg</x:v>
      </x:c>
    </x:row>
    <x:row r="361">
      <x:c r="F361" s="22" t="str">
        <x:v>Drenagem</x:v>
      </x:c>
      <x:c r="G361" s="22" t="str">
        <x:v>Obras de drenagem superficiais. Sarjetas e Valetas</x:v>
      </x:c>
      <x:c r="H361" s="22" t="str">
        <x:v>Canal retangular de concreto armado tipo R2J</x:v>
      </x:c>
      <x:c r="I361" s="22" t="str">
        <x:v>m</x:v>
      </x:c>
    </x:row>
    <x:row r="362">
      <x:c r="F362" s="22" t="str">
        <x:v>Drenagem</x:v>
      </x:c>
      <x:c r="G362" s="22" t="str">
        <x:v>Obras de drenagem superficiais. Sarjetas e Valetas</x:v>
      </x:c>
      <x:c r="H362" s="22" t="str">
        <x:v>Canal trapezoidal revestido em grama em placas B=1,60; H=VAR. ; TAL. 1,50H:1V</x:v>
      </x:c>
      <x:c r="I362" s="22" t="str">
        <x:v>m</x:v>
      </x:c>
    </x:row>
    <x:row r="363">
      <x:c r="F363" s="22" t="str">
        <x:v>Drenagem</x:v>
      </x:c>
      <x:c r="G363" s="22" t="str">
        <x:v>Obras de drenagem superficiais. Sarjetas e Valetas</x:v>
      </x:c>
      <x:c r="H363" s="22" t="str">
        <x:v>Canal trapezoidal revestido em grama em placas B=4,00; H=VAR. ; TAL. 1,50H:1V</x:v>
      </x:c>
      <x:c r="I363" s="22" t="str">
        <x:v>m</x:v>
      </x:c>
    </x:row>
    <x:row r="364">
      <x:c r="F364" s="22" t="str">
        <x:v>Drenagem</x:v>
      </x:c>
      <x:c r="G364" s="22" t="str">
        <x:v>Obras de drenagem superficiais. Sarjetas e Valetas</x:v>
      </x:c>
      <x:c r="H364" s="22" t="str">
        <x:v>Canal trapezoidal sem revestimento B=1,20 ; TAL. 1,50H:1V</x:v>
      </x:c>
      <x:c r="I364" s="22" t="str">
        <x:v>m</x:v>
      </x:c>
    </x:row>
    <x:row r="365">
      <x:c r="F365" s="22" t="str">
        <x:v>Drenagem</x:v>
      </x:c>
      <x:c r="G365" s="22" t="str">
        <x:v>Obras de drenagem superficiais. Sarjetas e Valetas</x:v>
      </x:c>
      <x:c r="H365" s="22" t="str">
        <x:v>Canal trapezoidal sem revestimento B=3,00 ; TAL. 1,50H:1V</x:v>
      </x:c>
      <x:c r="I365" s="22" t="str">
        <x:v>m</x:v>
      </x:c>
    </x:row>
    <x:row r="366">
      <x:c r="F366" s="22" t="str">
        <x:v>Drenagem</x:v>
      </x:c>
      <x:c r="G366" s="22" t="str">
        <x:v>Obras de drenagem superficiais. Sarjetas e Valetas</x:v>
      </x:c>
      <x:c r="H366" s="22" t="str">
        <x:v>Valeta de proteção trapezoidal revestida em concreto DR-3B-6, com degrau</x:v>
      </x:c>
      <x:c r="I366" s="22" t="str">
        <x:v>m</x:v>
      </x:c>
    </x:row>
    <x:row r="367">
      <x:c r="F367" s="22" t="str">
        <x:v>Drenagem</x:v>
      </x:c>
      <x:c r="G367" s="22" t="str">
        <x:v>Obras de drenagem superficiais. Sarjetas e Valetas</x:v>
      </x:c>
      <x:c r="H367" s="22" t="str">
        <x:v>Dissipador de Energia tipo DR-10A-1 para sarjetas</x:v>
      </x:c>
      <x:c r="I367" s="22" t="str">
        <x:v>un</x:v>
      </x:c>
    </x:row>
    <x:row r="368">
      <x:c r="F368" s="22" t="str">
        <x:v>Drenagem</x:v>
      </x:c>
      <x:c r="G368" s="22" t="str">
        <x:v>Obras de drenagem superficiais. Sarjetas e Valetas</x:v>
      </x:c>
      <x:c r="H368" s="22" t="str">
        <x:v>Dissipador de energia tipo DR-10A-2 para descida d'água de aterro tipo rápido DR-11A</x:v>
      </x:c>
      <x:c r="I368" s="22" t="str">
        <x:v>un</x:v>
      </x:c>
    </x:row>
    <x:row r="369">
      <x:c r="F369" s="22" t="str">
        <x:v>Drenagem</x:v>
      </x:c>
      <x:c r="G369" s="22" t="str">
        <x:v>Obras de drenagem superficiais. Sarjetas e Valetas</x:v>
      </x:c>
      <x:c r="H369" s="22" t="str">
        <x:v>Caixa coletora tipo CCS 01 com h até 1,50 m</x:v>
      </x:c>
      <x:c r="I369" s="22" t="str">
        <x:v>un</x:v>
      </x:c>
    </x:row>
    <x:row r="370">
      <x:c r="F370" s="22" t="str">
        <x:v>Drenagem</x:v>
      </x:c>
      <x:c r="G370" s="22" t="str">
        <x:v>Obras de drenagem superficiais. Sarjetas e Valetas</x:v>
      </x:c>
      <x:c r="H370" s="22" t="str">
        <x:v>Canal trapezoidal revestido em grama B=2,00; H=1,40m; talude h=1,50 v=1,00</x:v>
      </x:c>
      <x:c r="I370" s="22" t="str">
        <x:v>m</x:v>
      </x:c>
    </x:row>
    <x:row r="371">
      <x:c r="F371" s="22" t="str">
        <x:v>Obra de Arte Especial. Pontes, viadutos e passarelas</x:v>
      </x:c>
      <x:c r="G371" s="22" t="str">
        <x:v>Mesoestrutura</x:v>
      </x:c>
      <x:c r="H371" s="22" t="str">
        <x:v>Lastro de pedra brita</x:v>
      </x:c>
      <x:c r="I371" s="22" t="str">
        <x:v>m³</x:v>
      </x:c>
    </x:row>
  </x:sheetData>
  <x:pageMargins left="0.7" right="0.7" top="0.75" bottom="0.75" header="0.3" footer="0.3"/>
</x:worksheet>
</file>

<file path=xl/worksheets/sheet3.xml><?xml version="1.0" encoding="utf-8"?>
<worksheet xmlns="http://schemas.openxmlformats.org/spreadsheetml/2006/main">
  <sheetFormatPr defaultRowHeight="15"/>
  <cols>
    <col min="1" max="1" width="54" hidden="0" customWidth="1"/>
    <col min="2" max="2" width="10" hidden="0" customWidth="1"/>
    <col min="3" max="3" width="10" hidden="0" customWidth="1"/>
    <col min="4" max="4" width="10" hidden="0" customWidth="1"/>
    <col min="5" max="5" width="10" hidden="0" customWidth="1"/>
    <col min="6" max="6" width="10" hidden="0" customWidth="1"/>
    <col min="7" max="7" width="10" hidden="0" customWidth="1"/>
    <col min="8" max="8" width="10" hidden="0" customWidth="1"/>
    <col min="9" max="9" width="10" hidden="0" customWidth="1"/>
    <col min="10" max="10" width="10" hidden="0" customWidth="1"/>
    <col min="11" max="11" width="10" hidden="0" customWidth="1"/>
    <col min="12" max="12" width="10" hidden="0" customWidth="1"/>
    <col min="13" max="13" width="10" hidden="0" customWidth="1"/>
    <col min="14" max="14" width="10" hidden="0" customWidth="1"/>
    <col min="15" max="15" width="10" hidden="0" customWidth="1"/>
    <col min="16" max="16" width="10" hidden="0" customWidth="1"/>
    <col min="17" max="17" width="10" hidden="0" customWidth="1"/>
    <col min="18" max="18" width="10" hidden="0" customWidth="1"/>
    <col min="19" max="19" width="10" hidden="0" customWidth="1"/>
    <col min="20" max="20" width="10" hidden="0" customWidth="1"/>
    <col min="21" max="21" width="10" hidden="0" customWidth="1"/>
    <col min="22" max="22" width="10" hidden="0" customWidth="1"/>
    <col min="23" max="23" width="10" hidden="0" customWidth="1"/>
    <col min="24" max="24" width="10" hidden="0" customWidth="1"/>
    <col min="25" max="25" width="10" hidden="0" customWidth="1"/>
    <col min="26" max="26" width="10" hidden="0" customWidth="1"/>
    <col min="27" max="27" width="10" hidden="0" customWidth="1"/>
    <col min="28" max="28" width="10" hidden="0" customWidth="1"/>
    <col min="29" max="29" width="10" hidden="0" customWidth="1"/>
    <col min="30" max="30" width="10" hidden="0" customWidth="1"/>
    <col min="31" max="31" width="10" hidden="0" customWidth="1"/>
    <col min="32" max="32" width="10" hidden="0" customWidth="1"/>
    <col min="33" max="33" width="10" hidden="0" customWidth="1"/>
    <col min="34" max="34" width="10" hidden="0" customWidth="1"/>
    <col min="35" max="35" width="10" hidden="0" customWidth="1"/>
    <col min="36" max="36" width="10" hidden="0" customWidth="1"/>
    <col min="37" max="37" width="10" hidden="0" customWidth="1"/>
    <col min="38" max="38" width="10" hidden="0" customWidth="1"/>
    <col min="39" max="39" width="10" hidden="0" customWidth="1"/>
    <col min="40" max="40" width="10" hidden="0" customWidth="1"/>
    <col min="41" max="41" width="10" hidden="0" customWidth="1"/>
    <col min="42" max="42" width="10" hidden="0" customWidth="1"/>
  </cols>
  <sheetData>
    <row r="1" ht="26" customHeight="1">
      <c r="A1" s="38" t="str">
        <v>RETIGRÁFICO — FRENTE C | KM 096+500 A 100+500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</row>
    <row r="2" ht="26" customHeight="1">
      <c r="A2" s="43" t="str">
        <v>ATIVIDADE / ITEM</v>
      </c>
      <c r="B2" s="43" t="str">
        <v>096+500</v>
      </c>
      <c r="C2" s="43" t="str">
        <v>096+600</v>
      </c>
      <c r="D2" s="43" t="str">
        <v>096+700</v>
      </c>
      <c r="E2" s="43" t="str">
        <v>096+800</v>
      </c>
      <c r="F2" s="43" t="str">
        <v>096+900</v>
      </c>
      <c r="G2" s="43" t="str">
        <v>097+000</v>
      </c>
      <c r="H2" s="43" t="str">
        <v>097+100</v>
      </c>
      <c r="I2" s="43" t="str">
        <v>097+200</v>
      </c>
      <c r="J2" s="43" t="str">
        <v>097+300</v>
      </c>
      <c r="K2" s="43" t="str">
        <v>097+400</v>
      </c>
      <c r="L2" s="43" t="str">
        <v>097+500</v>
      </c>
      <c r="M2" s="43" t="str">
        <v>097+600</v>
      </c>
      <c r="N2" s="43" t="str">
        <v>097+700</v>
      </c>
      <c r="O2" s="43" t="str">
        <v>097+800</v>
      </c>
      <c r="P2" s="43" t="str">
        <v>097+900</v>
      </c>
      <c r="Q2" s="43" t="str">
        <v>098+000</v>
      </c>
      <c r="R2" s="43" t="str">
        <v>098+100</v>
      </c>
      <c r="S2" s="43" t="str">
        <v>098+200</v>
      </c>
      <c r="T2" s="43" t="str">
        <v>098+300</v>
      </c>
      <c r="U2" s="43" t="str">
        <v>098+400</v>
      </c>
      <c r="V2" s="43" t="str">
        <v>098+500</v>
      </c>
      <c r="W2" s="43" t="str">
        <v>098+600</v>
      </c>
      <c r="X2" s="43" t="str">
        <v>098+700</v>
      </c>
      <c r="Y2" s="43" t="str">
        <v>098+800</v>
      </c>
      <c r="Z2" s="43" t="str">
        <v>098+900</v>
      </c>
      <c r="AA2" s="43" t="str">
        <v>099+000</v>
      </c>
      <c r="AB2" s="43" t="str">
        <v>099+100</v>
      </c>
      <c r="AC2" s="43" t="str">
        <v>099+200</v>
      </c>
      <c r="AD2" s="43" t="str">
        <v>099+300</v>
      </c>
      <c r="AE2" s="43" t="str">
        <v>099+400</v>
      </c>
      <c r="AF2" s="43" t="str">
        <v>099+500</v>
      </c>
      <c r="AG2" s="43" t="str">
        <v>099+600</v>
      </c>
      <c r="AH2" s="43" t="str">
        <v>099+700</v>
      </c>
      <c r="AI2" s="43" t="str">
        <v>099+800</v>
      </c>
      <c r="AJ2" s="43" t="str">
        <v>099+900</v>
      </c>
      <c r="AK2" s="43" t="str">
        <v>100+000</v>
      </c>
      <c r="AL2" s="43" t="str">
        <v>100+100</v>
      </c>
      <c r="AM2" s="43" t="str">
        <v>100+200</v>
      </c>
      <c r="AN2" s="43" t="str">
        <v>100+300</v>
      </c>
      <c r="AO2" s="43" t="str">
        <v>100+400</v>
      </c>
      <c r="AP2" s="43" t="str">
        <v>100+500</v>
      </c>
    </row>
    <row r="3" ht="21" customHeight="1">
      <c r="A3" s="60" t="str">
        <v>Serviços preliminares e conclusivos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</row>
    <row r="4" ht="19" customHeight="1">
      <c r="A4" s="68" t="str">
        <v>Demolições e remoções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</row>
    <row r="5">
      <c r="A5" s="51" t="str">
        <v>Remoção de cerca</v>
      </c>
      <c r="B5" s="56" t="str">
        <f>IF(COUNTIFS('LANÇAMENTOS DIÁRIOS'!$G$5:$G$500,"C",'LANÇAMENTOS DIÁRIOS'!$C$5:$C$500,$A5,'LANÇAMENTOS DIÁRIOS'!$O$5:$O$500,"&lt;=96599",'LANÇAMENTOS DIÁRIOS'!$P$5:$P$500,"&gt;=96500")&gt;0,"X","")</f>
      </c>
      <c r="C5" s="56" t="str">
        <f>IF(COUNTIFS('LANÇAMENTOS DIÁRIOS'!$G$5:$G$500,"C",'LANÇAMENTOS DIÁRIOS'!$C$5:$C$500,$A5,'LANÇAMENTOS DIÁRIOS'!$O$5:$O$500,"&lt;=96699",'LANÇAMENTOS DIÁRIOS'!$P$5:$P$500,"&gt;=96600")&gt;0,"X","")</f>
      </c>
      <c r="D5" s="56" t="str">
        <f>IF(COUNTIFS('LANÇAMENTOS DIÁRIOS'!$G$5:$G$500,"C",'LANÇAMENTOS DIÁRIOS'!$C$5:$C$500,$A5,'LANÇAMENTOS DIÁRIOS'!$O$5:$O$500,"&lt;=96799",'LANÇAMENTOS DIÁRIOS'!$P$5:$P$500,"&gt;=96700")&gt;0,"X","")</f>
      </c>
      <c r="E5" s="56" t="str">
        <f>IF(COUNTIFS('LANÇAMENTOS DIÁRIOS'!$G$5:$G$500,"C",'LANÇAMENTOS DIÁRIOS'!$C$5:$C$500,$A5,'LANÇAMENTOS DIÁRIOS'!$O$5:$O$500,"&lt;=96899",'LANÇAMENTOS DIÁRIOS'!$P$5:$P$500,"&gt;=96800")&gt;0,"X","")</f>
      </c>
      <c r="F5" s="56" t="str">
        <f>IF(COUNTIFS('LANÇAMENTOS DIÁRIOS'!$G$5:$G$500,"C",'LANÇAMENTOS DIÁRIOS'!$C$5:$C$500,$A5,'LANÇAMENTOS DIÁRIOS'!$O$5:$O$500,"&lt;=96999",'LANÇAMENTOS DIÁRIOS'!$P$5:$P$500,"&gt;=96900")&gt;0,"X","")</f>
      </c>
      <c r="G5" s="56" t="str">
        <f>IF(COUNTIFS('LANÇAMENTOS DIÁRIOS'!$G$5:$G$500,"C",'LANÇAMENTOS DIÁRIOS'!$C$5:$C$500,$A5,'LANÇAMENTOS DIÁRIOS'!$O$5:$O$500,"&lt;=97099",'LANÇAMENTOS DIÁRIOS'!$P$5:$P$500,"&gt;=97000")&gt;0,"X","")</f>
      </c>
      <c r="H5" s="56" t="str">
        <f>IF(COUNTIFS('LANÇAMENTOS DIÁRIOS'!$G$5:$G$500,"C",'LANÇAMENTOS DIÁRIOS'!$C$5:$C$500,$A5,'LANÇAMENTOS DIÁRIOS'!$O$5:$O$500,"&lt;=97199",'LANÇAMENTOS DIÁRIOS'!$P$5:$P$500,"&gt;=97100")&gt;0,"X","")</f>
      </c>
      <c r="I5" s="56" t="str">
        <f>IF(COUNTIFS('LANÇAMENTOS DIÁRIOS'!$G$5:$G$500,"C",'LANÇAMENTOS DIÁRIOS'!$C$5:$C$500,$A5,'LANÇAMENTOS DIÁRIOS'!$O$5:$O$500,"&lt;=97299",'LANÇAMENTOS DIÁRIOS'!$P$5:$P$500,"&gt;=97200")&gt;0,"X","")</f>
      </c>
      <c r="J5" s="56" t="str">
        <f>IF(COUNTIFS('LANÇAMENTOS DIÁRIOS'!$G$5:$G$500,"C",'LANÇAMENTOS DIÁRIOS'!$C$5:$C$500,$A5,'LANÇAMENTOS DIÁRIOS'!$O$5:$O$500,"&lt;=97399",'LANÇAMENTOS DIÁRIOS'!$P$5:$P$500,"&gt;=97300")&gt;0,"X","")</f>
      </c>
      <c r="K5" s="56" t="str">
        <f>IF(COUNTIFS('LANÇAMENTOS DIÁRIOS'!$G$5:$G$500,"C",'LANÇAMENTOS DIÁRIOS'!$C$5:$C$500,$A5,'LANÇAMENTOS DIÁRIOS'!$O$5:$O$500,"&lt;=97499",'LANÇAMENTOS DIÁRIOS'!$P$5:$P$500,"&gt;=97400")&gt;0,"X","")</f>
      </c>
      <c r="L5" s="56" t="str">
        <f>IF(COUNTIFS('LANÇAMENTOS DIÁRIOS'!$G$5:$G$500,"C",'LANÇAMENTOS DIÁRIOS'!$C$5:$C$500,$A5,'LANÇAMENTOS DIÁRIOS'!$O$5:$O$500,"&lt;=97599",'LANÇAMENTOS DIÁRIOS'!$P$5:$P$500,"&gt;=97500")&gt;0,"X","")</f>
      </c>
      <c r="M5" s="56" t="str">
        <f>IF(COUNTIFS('LANÇAMENTOS DIÁRIOS'!$G$5:$G$500,"C",'LANÇAMENTOS DIÁRIOS'!$C$5:$C$500,$A5,'LANÇAMENTOS DIÁRIOS'!$O$5:$O$500,"&lt;=97699",'LANÇAMENTOS DIÁRIOS'!$P$5:$P$500,"&gt;=97600")&gt;0,"X","")</f>
      </c>
      <c r="N5" s="56" t="str">
        <f>IF(COUNTIFS('LANÇAMENTOS DIÁRIOS'!$G$5:$G$500,"C",'LANÇAMENTOS DIÁRIOS'!$C$5:$C$500,$A5,'LANÇAMENTOS DIÁRIOS'!$O$5:$O$500,"&lt;=97799",'LANÇAMENTOS DIÁRIOS'!$P$5:$P$500,"&gt;=97700")&gt;0,"X","")</f>
      </c>
      <c r="O5" s="56" t="str">
        <f>IF(COUNTIFS('LANÇAMENTOS DIÁRIOS'!$G$5:$G$500,"C",'LANÇAMENTOS DIÁRIOS'!$C$5:$C$500,$A5,'LANÇAMENTOS DIÁRIOS'!$O$5:$O$500,"&lt;=97899",'LANÇAMENTOS DIÁRIOS'!$P$5:$P$500,"&gt;=97800")&gt;0,"X","")</f>
      </c>
      <c r="P5" s="56" t="str">
        <f>IF(COUNTIFS('LANÇAMENTOS DIÁRIOS'!$G$5:$G$500,"C",'LANÇAMENTOS DIÁRIOS'!$C$5:$C$500,$A5,'LANÇAMENTOS DIÁRIOS'!$O$5:$O$500,"&lt;=97999",'LANÇAMENTOS DIÁRIOS'!$P$5:$P$500,"&gt;=97900")&gt;0,"X","")</f>
      </c>
      <c r="Q5" s="56" t="str">
        <f>IF(COUNTIFS('LANÇAMENTOS DIÁRIOS'!$G$5:$G$500,"C",'LANÇAMENTOS DIÁRIOS'!$C$5:$C$500,$A5,'LANÇAMENTOS DIÁRIOS'!$O$5:$O$500,"&lt;=98099",'LANÇAMENTOS DIÁRIOS'!$P$5:$P$500,"&gt;=98000")&gt;0,"X","")</f>
      </c>
      <c r="R5" s="56" t="str">
        <f>IF(COUNTIFS('LANÇAMENTOS DIÁRIOS'!$G$5:$G$500,"C",'LANÇAMENTOS DIÁRIOS'!$C$5:$C$500,$A5,'LANÇAMENTOS DIÁRIOS'!$O$5:$O$500,"&lt;=98199",'LANÇAMENTOS DIÁRIOS'!$P$5:$P$500,"&gt;=98100")&gt;0,"X","")</f>
      </c>
      <c r="S5" s="56" t="str">
        <f>IF(COUNTIFS('LANÇAMENTOS DIÁRIOS'!$G$5:$G$500,"C",'LANÇAMENTOS DIÁRIOS'!$C$5:$C$500,$A5,'LANÇAMENTOS DIÁRIOS'!$O$5:$O$500,"&lt;=98299",'LANÇAMENTOS DIÁRIOS'!$P$5:$P$500,"&gt;=98200")&gt;0,"X","")</f>
      </c>
      <c r="T5" s="56" t="str">
        <f>IF(COUNTIFS('LANÇAMENTOS DIÁRIOS'!$G$5:$G$500,"C",'LANÇAMENTOS DIÁRIOS'!$C$5:$C$500,$A5,'LANÇAMENTOS DIÁRIOS'!$O$5:$O$500,"&lt;=98399",'LANÇAMENTOS DIÁRIOS'!$P$5:$P$500,"&gt;=98300")&gt;0,"X","")</f>
      </c>
      <c r="U5" s="56" t="str">
        <f>IF(COUNTIFS('LANÇAMENTOS DIÁRIOS'!$G$5:$G$500,"C",'LANÇAMENTOS DIÁRIOS'!$C$5:$C$500,$A5,'LANÇAMENTOS DIÁRIOS'!$O$5:$O$500,"&lt;=98499",'LANÇAMENTOS DIÁRIOS'!$P$5:$P$500,"&gt;=98400")&gt;0,"X","")</f>
      </c>
      <c r="V5" s="56" t="str">
        <f>IF(COUNTIFS('LANÇAMENTOS DIÁRIOS'!$G$5:$G$500,"C",'LANÇAMENTOS DIÁRIOS'!$C$5:$C$500,$A5,'LANÇAMENTOS DIÁRIOS'!$O$5:$O$500,"&lt;=98599",'LANÇAMENTOS DIÁRIOS'!$P$5:$P$500,"&gt;=98500")&gt;0,"X","")</f>
      </c>
      <c r="W5" s="56" t="str">
        <f>IF(COUNTIFS('LANÇAMENTOS DIÁRIOS'!$G$5:$G$500,"C",'LANÇAMENTOS DIÁRIOS'!$C$5:$C$500,$A5,'LANÇAMENTOS DIÁRIOS'!$O$5:$O$500,"&lt;=98699",'LANÇAMENTOS DIÁRIOS'!$P$5:$P$500,"&gt;=98600")&gt;0,"X","")</f>
      </c>
      <c r="X5" s="56" t="str">
        <f>IF(COUNTIFS('LANÇAMENTOS DIÁRIOS'!$G$5:$G$500,"C",'LANÇAMENTOS DIÁRIOS'!$C$5:$C$500,$A5,'LANÇAMENTOS DIÁRIOS'!$O$5:$O$500,"&lt;=98799",'LANÇAMENTOS DIÁRIOS'!$P$5:$P$500,"&gt;=98700")&gt;0,"X","")</f>
      </c>
      <c r="Y5" s="56" t="str">
        <f>IF(COUNTIFS('LANÇAMENTOS DIÁRIOS'!$G$5:$G$500,"C",'LANÇAMENTOS DIÁRIOS'!$C$5:$C$500,$A5,'LANÇAMENTOS DIÁRIOS'!$O$5:$O$500,"&lt;=98899",'LANÇAMENTOS DIÁRIOS'!$P$5:$P$500,"&gt;=98800")&gt;0,"X","")</f>
      </c>
      <c r="Z5" s="56" t="str">
        <f>IF(COUNTIFS('LANÇAMENTOS DIÁRIOS'!$G$5:$G$500,"C",'LANÇAMENTOS DIÁRIOS'!$C$5:$C$500,$A5,'LANÇAMENTOS DIÁRIOS'!$O$5:$O$500,"&lt;=98999",'LANÇAMENTOS DIÁRIOS'!$P$5:$P$500,"&gt;=98900")&gt;0,"X","")</f>
      </c>
      <c r="AA5" s="56" t="str">
        <f>IF(COUNTIFS('LANÇAMENTOS DIÁRIOS'!$G$5:$G$500,"C",'LANÇAMENTOS DIÁRIOS'!$C$5:$C$500,$A5,'LANÇAMENTOS DIÁRIOS'!$O$5:$O$500,"&lt;=99099",'LANÇAMENTOS DIÁRIOS'!$P$5:$P$500,"&gt;=99000")&gt;0,"X","")</f>
      </c>
      <c r="AB5" s="56" t="str">
        <f>IF(COUNTIFS('LANÇAMENTOS DIÁRIOS'!$G$5:$G$500,"C",'LANÇAMENTOS DIÁRIOS'!$C$5:$C$500,$A5,'LANÇAMENTOS DIÁRIOS'!$O$5:$O$500,"&lt;=99199",'LANÇAMENTOS DIÁRIOS'!$P$5:$P$500,"&gt;=99100")&gt;0,"X","")</f>
      </c>
      <c r="AC5" s="56" t="str">
        <f>IF(COUNTIFS('LANÇAMENTOS DIÁRIOS'!$G$5:$G$500,"C",'LANÇAMENTOS DIÁRIOS'!$C$5:$C$500,$A5,'LANÇAMENTOS DIÁRIOS'!$O$5:$O$500,"&lt;=99299",'LANÇAMENTOS DIÁRIOS'!$P$5:$P$500,"&gt;=99200")&gt;0,"X","")</f>
      </c>
      <c r="AD5" s="56" t="str">
        <f>IF(COUNTIFS('LANÇAMENTOS DIÁRIOS'!$G$5:$G$500,"C",'LANÇAMENTOS DIÁRIOS'!$C$5:$C$500,$A5,'LANÇAMENTOS DIÁRIOS'!$O$5:$O$500,"&lt;=99399",'LANÇAMENTOS DIÁRIOS'!$P$5:$P$500,"&gt;=99300")&gt;0,"X","")</f>
      </c>
      <c r="AE5" s="56" t="str">
        <f>IF(COUNTIFS('LANÇAMENTOS DIÁRIOS'!$G$5:$G$500,"C",'LANÇAMENTOS DIÁRIOS'!$C$5:$C$500,$A5,'LANÇAMENTOS DIÁRIOS'!$O$5:$O$500,"&lt;=99499",'LANÇAMENTOS DIÁRIOS'!$P$5:$P$500,"&gt;=99400")&gt;0,"X","")</f>
      </c>
      <c r="AF5" s="56" t="str">
        <f>IF(COUNTIFS('LANÇAMENTOS DIÁRIOS'!$G$5:$G$500,"C",'LANÇAMENTOS DIÁRIOS'!$C$5:$C$500,$A5,'LANÇAMENTOS DIÁRIOS'!$O$5:$O$500,"&lt;=99599",'LANÇAMENTOS DIÁRIOS'!$P$5:$P$500,"&gt;=99500")&gt;0,"X","")</f>
      </c>
      <c r="AG5" s="56" t="str">
        <f>IF(COUNTIFS('LANÇAMENTOS DIÁRIOS'!$G$5:$G$500,"C",'LANÇAMENTOS DIÁRIOS'!$C$5:$C$500,$A5,'LANÇAMENTOS DIÁRIOS'!$O$5:$O$500,"&lt;=99699",'LANÇAMENTOS DIÁRIOS'!$P$5:$P$500,"&gt;=99600")&gt;0,"X","")</f>
      </c>
      <c r="AH5" s="56" t="str">
        <f>IF(COUNTIFS('LANÇAMENTOS DIÁRIOS'!$G$5:$G$500,"C",'LANÇAMENTOS DIÁRIOS'!$C$5:$C$500,$A5,'LANÇAMENTOS DIÁRIOS'!$O$5:$O$500,"&lt;=99799",'LANÇAMENTOS DIÁRIOS'!$P$5:$P$500,"&gt;=99700")&gt;0,"X","")</f>
      </c>
      <c r="AI5" s="56" t="str">
        <f>IF(COUNTIFS('LANÇAMENTOS DIÁRIOS'!$G$5:$G$500,"C",'LANÇAMENTOS DIÁRIOS'!$C$5:$C$500,$A5,'LANÇAMENTOS DIÁRIOS'!$O$5:$O$500,"&lt;=99899",'LANÇAMENTOS DIÁRIOS'!$P$5:$P$500,"&gt;=99800")&gt;0,"X","")</f>
      </c>
      <c r="AJ5" s="56" t="str">
        <f>IF(COUNTIFS('LANÇAMENTOS DIÁRIOS'!$G$5:$G$500,"C",'LANÇAMENTOS DIÁRIOS'!$C$5:$C$500,$A5,'LANÇAMENTOS DIÁRIOS'!$O$5:$O$500,"&lt;=99999",'LANÇAMENTOS DIÁRIOS'!$P$5:$P$500,"&gt;=99900")&gt;0,"X","")</f>
      </c>
      <c r="AK5" s="56" t="str">
        <f>IF(COUNTIFS('LANÇAMENTOS DIÁRIOS'!$G$5:$G$500,"C",'LANÇAMENTOS DIÁRIOS'!$C$5:$C$500,$A5,'LANÇAMENTOS DIÁRIOS'!$O$5:$O$500,"&lt;=100099",'LANÇAMENTOS DIÁRIOS'!$P$5:$P$500,"&gt;=100000")&gt;0,"X","")</f>
      </c>
      <c r="AL5" s="56" t="str">
        <f>IF(COUNTIFS('LANÇAMENTOS DIÁRIOS'!$G$5:$G$500,"C",'LANÇAMENTOS DIÁRIOS'!$C$5:$C$500,$A5,'LANÇAMENTOS DIÁRIOS'!$O$5:$O$500,"&lt;=100199",'LANÇAMENTOS DIÁRIOS'!$P$5:$P$500,"&gt;=100100")&gt;0,"X","")</f>
      </c>
      <c r="AM5" s="56" t="str">
        <f>IF(COUNTIFS('LANÇAMENTOS DIÁRIOS'!$G$5:$G$500,"C",'LANÇAMENTOS DIÁRIOS'!$C$5:$C$500,$A5,'LANÇAMENTOS DIÁRIOS'!$O$5:$O$500,"&lt;=100299",'LANÇAMENTOS DIÁRIOS'!$P$5:$P$500,"&gt;=100200")&gt;0,"X","")</f>
      </c>
      <c r="AN5" s="56" t="str">
        <f>IF(COUNTIFS('LANÇAMENTOS DIÁRIOS'!$G$5:$G$500,"C",'LANÇAMENTOS DIÁRIOS'!$C$5:$C$500,$A5,'LANÇAMENTOS DIÁRIOS'!$O$5:$O$500,"&lt;=100399",'LANÇAMENTOS DIÁRIOS'!$P$5:$P$500,"&gt;=100300")&gt;0,"X","")</f>
      </c>
      <c r="AO5" s="56" t="str">
        <f>IF(COUNTIFS('LANÇAMENTOS DIÁRIOS'!$G$5:$G$500,"C",'LANÇAMENTOS DIÁRIOS'!$C$5:$C$500,$A5,'LANÇAMENTOS DIÁRIOS'!$O$5:$O$500,"&lt;=100499",'LANÇAMENTOS DIÁRIOS'!$P$5:$P$500,"&gt;=100400")&gt;0,"X","")</f>
      </c>
      <c r="AP5" s="56" t="str">
        <f>IF(COUNTIFS('LANÇAMENTOS DIÁRIOS'!$G$5:$G$500,"C",'LANÇAMENTOS DIÁRIOS'!$C$5:$C$500,$A5,'LANÇAMENTOS DIÁRIOS'!$O$5:$O$500,"&lt;=100500",'LANÇAMENTOS DIÁRIOS'!$P$5:$P$500,"&gt;=100500")&gt;0,"X","")</f>
      </c>
    </row>
    <row r="6">
      <c r="A6" s="51" t="str">
        <v>Remoção de defensa metálica</v>
      </c>
      <c r="B6" s="56" t="str">
        <f>IF(COUNTIFS('LANÇAMENTOS DIÁRIOS'!$G$5:$G$500,"C",'LANÇAMENTOS DIÁRIOS'!$C$5:$C$500,$A6,'LANÇAMENTOS DIÁRIOS'!$O$5:$O$500,"&lt;=96599",'LANÇAMENTOS DIÁRIOS'!$P$5:$P$500,"&gt;=96500")&gt;0,"X","")</f>
      </c>
      <c r="C6" s="56" t="str">
        <f>IF(COUNTIFS('LANÇAMENTOS DIÁRIOS'!$G$5:$G$500,"C",'LANÇAMENTOS DIÁRIOS'!$C$5:$C$500,$A6,'LANÇAMENTOS DIÁRIOS'!$O$5:$O$500,"&lt;=96699",'LANÇAMENTOS DIÁRIOS'!$P$5:$P$500,"&gt;=96600")&gt;0,"X","")</f>
      </c>
      <c r="D6" s="56" t="str">
        <f>IF(COUNTIFS('LANÇAMENTOS DIÁRIOS'!$G$5:$G$500,"C",'LANÇAMENTOS DIÁRIOS'!$C$5:$C$500,$A6,'LANÇAMENTOS DIÁRIOS'!$O$5:$O$500,"&lt;=96799",'LANÇAMENTOS DIÁRIOS'!$P$5:$P$500,"&gt;=96700")&gt;0,"X","")</f>
      </c>
      <c r="E6" s="56" t="str">
        <f>IF(COUNTIFS('LANÇAMENTOS DIÁRIOS'!$G$5:$G$500,"C",'LANÇAMENTOS DIÁRIOS'!$C$5:$C$500,$A6,'LANÇAMENTOS DIÁRIOS'!$O$5:$O$500,"&lt;=96899",'LANÇAMENTOS DIÁRIOS'!$P$5:$P$500,"&gt;=96800")&gt;0,"X","")</f>
      </c>
      <c r="F6" s="56" t="str">
        <f>IF(COUNTIFS('LANÇAMENTOS DIÁRIOS'!$G$5:$G$500,"C",'LANÇAMENTOS DIÁRIOS'!$C$5:$C$500,$A6,'LANÇAMENTOS DIÁRIOS'!$O$5:$O$500,"&lt;=96999",'LANÇAMENTOS DIÁRIOS'!$P$5:$P$500,"&gt;=96900")&gt;0,"X","")</f>
      </c>
      <c r="G6" s="56" t="str">
        <f>IF(COUNTIFS('LANÇAMENTOS DIÁRIOS'!$G$5:$G$500,"C",'LANÇAMENTOS DIÁRIOS'!$C$5:$C$500,$A6,'LANÇAMENTOS DIÁRIOS'!$O$5:$O$500,"&lt;=97099",'LANÇAMENTOS DIÁRIOS'!$P$5:$P$500,"&gt;=97000")&gt;0,"X","")</f>
      </c>
      <c r="H6" s="56" t="str">
        <f>IF(COUNTIFS('LANÇAMENTOS DIÁRIOS'!$G$5:$G$500,"C",'LANÇAMENTOS DIÁRIOS'!$C$5:$C$500,$A6,'LANÇAMENTOS DIÁRIOS'!$O$5:$O$500,"&lt;=97199",'LANÇAMENTOS DIÁRIOS'!$P$5:$P$500,"&gt;=97100")&gt;0,"X","")</f>
      </c>
      <c r="I6" s="56" t="str">
        <f>IF(COUNTIFS('LANÇAMENTOS DIÁRIOS'!$G$5:$G$500,"C",'LANÇAMENTOS DIÁRIOS'!$C$5:$C$500,$A6,'LANÇAMENTOS DIÁRIOS'!$O$5:$O$500,"&lt;=97299",'LANÇAMENTOS DIÁRIOS'!$P$5:$P$500,"&gt;=97200")&gt;0,"X","")</f>
      </c>
      <c r="J6" s="56" t="str">
        <f>IF(COUNTIFS('LANÇAMENTOS DIÁRIOS'!$G$5:$G$500,"C",'LANÇAMENTOS DIÁRIOS'!$C$5:$C$500,$A6,'LANÇAMENTOS DIÁRIOS'!$O$5:$O$500,"&lt;=97399",'LANÇAMENTOS DIÁRIOS'!$P$5:$P$500,"&gt;=97300")&gt;0,"X","")</f>
      </c>
      <c r="K6" s="56" t="str">
        <f>IF(COUNTIFS('LANÇAMENTOS DIÁRIOS'!$G$5:$G$500,"C",'LANÇAMENTOS DIÁRIOS'!$C$5:$C$500,$A6,'LANÇAMENTOS DIÁRIOS'!$O$5:$O$500,"&lt;=97499",'LANÇAMENTOS DIÁRIOS'!$P$5:$P$500,"&gt;=97400")&gt;0,"X","")</f>
      </c>
      <c r="L6" s="56" t="str">
        <f>IF(COUNTIFS('LANÇAMENTOS DIÁRIOS'!$G$5:$G$500,"C",'LANÇAMENTOS DIÁRIOS'!$C$5:$C$500,$A6,'LANÇAMENTOS DIÁRIOS'!$O$5:$O$500,"&lt;=97599",'LANÇAMENTOS DIÁRIOS'!$P$5:$P$500,"&gt;=97500")&gt;0,"X","")</f>
      </c>
      <c r="M6" s="56" t="str">
        <f>IF(COUNTIFS('LANÇAMENTOS DIÁRIOS'!$G$5:$G$500,"C",'LANÇAMENTOS DIÁRIOS'!$C$5:$C$500,$A6,'LANÇAMENTOS DIÁRIOS'!$O$5:$O$500,"&lt;=97699",'LANÇAMENTOS DIÁRIOS'!$P$5:$P$500,"&gt;=97600")&gt;0,"X","")</f>
      </c>
      <c r="N6" s="56" t="str">
        <f>IF(COUNTIFS('LANÇAMENTOS DIÁRIOS'!$G$5:$G$500,"C",'LANÇAMENTOS DIÁRIOS'!$C$5:$C$500,$A6,'LANÇAMENTOS DIÁRIOS'!$O$5:$O$500,"&lt;=97799",'LANÇAMENTOS DIÁRIOS'!$P$5:$P$500,"&gt;=97700")&gt;0,"X","")</f>
      </c>
      <c r="O6" s="56" t="str">
        <f>IF(COUNTIFS('LANÇAMENTOS DIÁRIOS'!$G$5:$G$500,"C",'LANÇAMENTOS DIÁRIOS'!$C$5:$C$500,$A6,'LANÇAMENTOS DIÁRIOS'!$O$5:$O$500,"&lt;=97899",'LANÇAMENTOS DIÁRIOS'!$P$5:$P$500,"&gt;=97800")&gt;0,"X","")</f>
      </c>
      <c r="P6" s="56" t="str">
        <f>IF(COUNTIFS('LANÇAMENTOS DIÁRIOS'!$G$5:$G$500,"C",'LANÇAMENTOS DIÁRIOS'!$C$5:$C$500,$A6,'LANÇAMENTOS DIÁRIOS'!$O$5:$O$500,"&lt;=97999",'LANÇAMENTOS DIÁRIOS'!$P$5:$P$500,"&gt;=97900")&gt;0,"X","")</f>
      </c>
      <c r="Q6" s="56" t="str">
        <f>IF(COUNTIFS('LANÇAMENTOS DIÁRIOS'!$G$5:$G$500,"C",'LANÇAMENTOS DIÁRIOS'!$C$5:$C$500,$A6,'LANÇAMENTOS DIÁRIOS'!$O$5:$O$500,"&lt;=98099",'LANÇAMENTOS DIÁRIOS'!$P$5:$P$500,"&gt;=98000")&gt;0,"X","")</f>
      </c>
      <c r="R6" s="56" t="str">
        <f>IF(COUNTIFS('LANÇAMENTOS DIÁRIOS'!$G$5:$G$500,"C",'LANÇAMENTOS DIÁRIOS'!$C$5:$C$500,$A6,'LANÇAMENTOS DIÁRIOS'!$O$5:$O$500,"&lt;=98199",'LANÇAMENTOS DIÁRIOS'!$P$5:$P$500,"&gt;=98100")&gt;0,"X","")</f>
      </c>
      <c r="S6" s="56" t="str">
        <f>IF(COUNTIFS('LANÇAMENTOS DIÁRIOS'!$G$5:$G$500,"C",'LANÇAMENTOS DIÁRIOS'!$C$5:$C$500,$A6,'LANÇAMENTOS DIÁRIOS'!$O$5:$O$500,"&lt;=98299",'LANÇAMENTOS DIÁRIOS'!$P$5:$P$500,"&gt;=98200")&gt;0,"X","")</f>
      </c>
      <c r="T6" s="56" t="str">
        <f>IF(COUNTIFS('LANÇAMENTOS DIÁRIOS'!$G$5:$G$500,"C",'LANÇAMENTOS DIÁRIOS'!$C$5:$C$500,$A6,'LANÇAMENTOS DIÁRIOS'!$O$5:$O$500,"&lt;=98399",'LANÇAMENTOS DIÁRIOS'!$P$5:$P$500,"&gt;=98300")&gt;0,"X","")</f>
      </c>
      <c r="U6" s="56" t="str">
        <f>IF(COUNTIFS('LANÇAMENTOS DIÁRIOS'!$G$5:$G$500,"C",'LANÇAMENTOS DIÁRIOS'!$C$5:$C$500,$A6,'LANÇAMENTOS DIÁRIOS'!$O$5:$O$500,"&lt;=98499",'LANÇAMENTOS DIÁRIOS'!$P$5:$P$500,"&gt;=98400")&gt;0,"X","")</f>
      </c>
      <c r="V6" s="56" t="str">
        <f>IF(COUNTIFS('LANÇAMENTOS DIÁRIOS'!$G$5:$G$500,"C",'LANÇAMENTOS DIÁRIOS'!$C$5:$C$500,$A6,'LANÇAMENTOS DIÁRIOS'!$O$5:$O$500,"&lt;=98599",'LANÇAMENTOS DIÁRIOS'!$P$5:$P$500,"&gt;=98500")&gt;0,"X","")</f>
      </c>
      <c r="W6" s="56" t="str">
        <f>IF(COUNTIFS('LANÇAMENTOS DIÁRIOS'!$G$5:$G$500,"C",'LANÇAMENTOS DIÁRIOS'!$C$5:$C$500,$A6,'LANÇAMENTOS DIÁRIOS'!$O$5:$O$500,"&lt;=98699",'LANÇAMENTOS DIÁRIOS'!$P$5:$P$500,"&gt;=98600")&gt;0,"X","")</f>
      </c>
      <c r="X6" s="56" t="str">
        <f>IF(COUNTIFS('LANÇAMENTOS DIÁRIOS'!$G$5:$G$500,"C",'LANÇAMENTOS DIÁRIOS'!$C$5:$C$500,$A6,'LANÇAMENTOS DIÁRIOS'!$O$5:$O$500,"&lt;=98799",'LANÇAMENTOS DIÁRIOS'!$P$5:$P$500,"&gt;=98700")&gt;0,"X","")</f>
      </c>
      <c r="Y6" s="56" t="str">
        <f>IF(COUNTIFS('LANÇAMENTOS DIÁRIOS'!$G$5:$G$500,"C",'LANÇAMENTOS DIÁRIOS'!$C$5:$C$500,$A6,'LANÇAMENTOS DIÁRIOS'!$O$5:$O$500,"&lt;=98899",'LANÇAMENTOS DIÁRIOS'!$P$5:$P$500,"&gt;=98800")&gt;0,"X","")</f>
      </c>
      <c r="Z6" s="56" t="str">
        <f>IF(COUNTIFS('LANÇAMENTOS DIÁRIOS'!$G$5:$G$500,"C",'LANÇAMENTOS DIÁRIOS'!$C$5:$C$500,$A6,'LANÇAMENTOS DIÁRIOS'!$O$5:$O$500,"&lt;=98999",'LANÇAMENTOS DIÁRIOS'!$P$5:$P$500,"&gt;=98900")&gt;0,"X","")</f>
      </c>
      <c r="AA6" s="56" t="str">
        <f>IF(COUNTIFS('LANÇAMENTOS DIÁRIOS'!$G$5:$G$500,"C",'LANÇAMENTOS DIÁRIOS'!$C$5:$C$500,$A6,'LANÇAMENTOS DIÁRIOS'!$O$5:$O$500,"&lt;=99099",'LANÇAMENTOS DIÁRIOS'!$P$5:$P$500,"&gt;=99000")&gt;0,"X","")</f>
      </c>
      <c r="AB6" s="56" t="str">
        <f>IF(COUNTIFS('LANÇAMENTOS DIÁRIOS'!$G$5:$G$500,"C",'LANÇAMENTOS DIÁRIOS'!$C$5:$C$500,$A6,'LANÇAMENTOS DIÁRIOS'!$O$5:$O$500,"&lt;=99199",'LANÇAMENTOS DIÁRIOS'!$P$5:$P$500,"&gt;=99100")&gt;0,"X","")</f>
      </c>
      <c r="AC6" s="56" t="str">
        <f>IF(COUNTIFS('LANÇAMENTOS DIÁRIOS'!$G$5:$G$500,"C",'LANÇAMENTOS DIÁRIOS'!$C$5:$C$500,$A6,'LANÇAMENTOS DIÁRIOS'!$O$5:$O$500,"&lt;=99299",'LANÇAMENTOS DIÁRIOS'!$P$5:$P$500,"&gt;=99200")&gt;0,"X","")</f>
      </c>
      <c r="AD6" s="56" t="str">
        <f>IF(COUNTIFS('LANÇAMENTOS DIÁRIOS'!$G$5:$G$500,"C",'LANÇAMENTOS DIÁRIOS'!$C$5:$C$500,$A6,'LANÇAMENTOS DIÁRIOS'!$O$5:$O$500,"&lt;=99399",'LANÇAMENTOS DIÁRIOS'!$P$5:$P$500,"&gt;=99300")&gt;0,"X","")</f>
      </c>
      <c r="AE6" s="56" t="str">
        <f>IF(COUNTIFS('LANÇAMENTOS DIÁRIOS'!$G$5:$G$500,"C",'LANÇAMENTOS DIÁRIOS'!$C$5:$C$500,$A6,'LANÇAMENTOS DIÁRIOS'!$O$5:$O$500,"&lt;=99499",'LANÇAMENTOS DIÁRIOS'!$P$5:$P$500,"&gt;=99400")&gt;0,"X","")</f>
      </c>
      <c r="AF6" s="56" t="str">
        <f>IF(COUNTIFS('LANÇAMENTOS DIÁRIOS'!$G$5:$G$500,"C",'LANÇAMENTOS DIÁRIOS'!$C$5:$C$500,$A6,'LANÇAMENTOS DIÁRIOS'!$O$5:$O$500,"&lt;=99599",'LANÇAMENTOS DIÁRIOS'!$P$5:$P$500,"&gt;=99500")&gt;0,"X","")</f>
      </c>
      <c r="AG6" s="56" t="str">
        <f>IF(COUNTIFS('LANÇAMENTOS DIÁRIOS'!$G$5:$G$500,"C",'LANÇAMENTOS DIÁRIOS'!$C$5:$C$500,$A6,'LANÇAMENTOS DIÁRIOS'!$O$5:$O$500,"&lt;=99699",'LANÇAMENTOS DIÁRIOS'!$P$5:$P$500,"&gt;=99600")&gt;0,"X","")</f>
      </c>
      <c r="AH6" s="56" t="str">
        <f>IF(COUNTIFS('LANÇAMENTOS DIÁRIOS'!$G$5:$G$500,"C",'LANÇAMENTOS DIÁRIOS'!$C$5:$C$500,$A6,'LANÇAMENTOS DIÁRIOS'!$O$5:$O$500,"&lt;=99799",'LANÇAMENTOS DIÁRIOS'!$P$5:$P$500,"&gt;=99700")&gt;0,"X","")</f>
      </c>
      <c r="AI6" s="56" t="str">
        <f>IF(COUNTIFS('LANÇAMENTOS DIÁRIOS'!$G$5:$G$500,"C",'LANÇAMENTOS DIÁRIOS'!$C$5:$C$500,$A6,'LANÇAMENTOS DIÁRIOS'!$O$5:$O$500,"&lt;=99899",'LANÇAMENTOS DIÁRIOS'!$P$5:$P$500,"&gt;=99800")&gt;0,"X","")</f>
      </c>
      <c r="AJ6" s="56" t="str">
        <f>IF(COUNTIFS('LANÇAMENTOS DIÁRIOS'!$G$5:$G$500,"C",'LANÇAMENTOS DIÁRIOS'!$C$5:$C$500,$A6,'LANÇAMENTOS DIÁRIOS'!$O$5:$O$500,"&lt;=99999",'LANÇAMENTOS DIÁRIOS'!$P$5:$P$500,"&gt;=99900")&gt;0,"X","")</f>
      </c>
      <c r="AK6" s="56" t="str">
        <f>IF(COUNTIFS('LANÇAMENTOS DIÁRIOS'!$G$5:$G$500,"C",'LANÇAMENTOS DIÁRIOS'!$C$5:$C$500,$A6,'LANÇAMENTOS DIÁRIOS'!$O$5:$O$500,"&lt;=100099",'LANÇAMENTOS DIÁRIOS'!$P$5:$P$500,"&gt;=100000")&gt;0,"X","")</f>
      </c>
      <c r="AL6" s="56" t="str">
        <f>IF(COUNTIFS('LANÇAMENTOS DIÁRIOS'!$G$5:$G$500,"C",'LANÇAMENTOS DIÁRIOS'!$C$5:$C$500,$A6,'LANÇAMENTOS DIÁRIOS'!$O$5:$O$500,"&lt;=100199",'LANÇAMENTOS DIÁRIOS'!$P$5:$P$500,"&gt;=100100")&gt;0,"X","")</f>
      </c>
      <c r="AM6" s="56" t="str">
        <f>IF(COUNTIFS('LANÇAMENTOS DIÁRIOS'!$G$5:$G$500,"C",'LANÇAMENTOS DIÁRIOS'!$C$5:$C$500,$A6,'LANÇAMENTOS DIÁRIOS'!$O$5:$O$500,"&lt;=100299",'LANÇAMENTOS DIÁRIOS'!$P$5:$P$500,"&gt;=100200")&gt;0,"X","")</f>
      </c>
      <c r="AN6" s="56" t="str">
        <f>IF(COUNTIFS('LANÇAMENTOS DIÁRIOS'!$G$5:$G$500,"C",'LANÇAMENTOS DIÁRIOS'!$C$5:$C$500,$A6,'LANÇAMENTOS DIÁRIOS'!$O$5:$O$500,"&lt;=100399",'LANÇAMENTOS DIÁRIOS'!$P$5:$P$500,"&gt;=100300")&gt;0,"X","")</f>
      </c>
      <c r="AO6" s="56" t="str">
        <f>IF(COUNTIFS('LANÇAMENTOS DIÁRIOS'!$G$5:$G$500,"C",'LANÇAMENTOS DIÁRIOS'!$C$5:$C$500,$A6,'LANÇAMENTOS DIÁRIOS'!$O$5:$O$500,"&lt;=100499",'LANÇAMENTOS DIÁRIOS'!$P$5:$P$500,"&gt;=100400")&gt;0,"X","")</f>
      </c>
      <c r="AP6" s="56" t="str">
        <f>IF(COUNTIFS('LANÇAMENTOS DIÁRIOS'!$G$5:$G$500,"C",'LANÇAMENTOS DIÁRIOS'!$C$5:$C$500,$A6,'LANÇAMENTOS DIÁRIOS'!$O$5:$O$500,"&lt;=100500",'LANÇAMENTOS DIÁRIOS'!$P$5:$P$500,"&gt;=100500")&gt;0,"X","")</f>
      </c>
    </row>
    <row r="7">
      <c r="A7" s="51" t="str">
        <v>Remoção de placa de sinalização vertical instalada no solo</v>
      </c>
      <c r="B7" s="56" t="str">
        <f>IF(COUNTIFS('LANÇAMENTOS DIÁRIOS'!$G$5:$G$500,"C",'LANÇAMENTOS DIÁRIOS'!$C$5:$C$500,$A7,'LANÇAMENTOS DIÁRIOS'!$O$5:$O$500,"&lt;=96599",'LANÇAMENTOS DIÁRIOS'!$P$5:$P$500,"&gt;=96500")&gt;0,"X","")</f>
      </c>
      <c r="C7" s="56" t="str">
        <f>IF(COUNTIFS('LANÇAMENTOS DIÁRIOS'!$G$5:$G$500,"C",'LANÇAMENTOS DIÁRIOS'!$C$5:$C$500,$A7,'LANÇAMENTOS DIÁRIOS'!$O$5:$O$500,"&lt;=96699",'LANÇAMENTOS DIÁRIOS'!$P$5:$P$500,"&gt;=96600")&gt;0,"X","")</f>
      </c>
      <c r="D7" s="56" t="str">
        <f>IF(COUNTIFS('LANÇAMENTOS DIÁRIOS'!$G$5:$G$500,"C",'LANÇAMENTOS DIÁRIOS'!$C$5:$C$500,$A7,'LANÇAMENTOS DIÁRIOS'!$O$5:$O$500,"&lt;=96799",'LANÇAMENTOS DIÁRIOS'!$P$5:$P$500,"&gt;=96700")&gt;0,"X","")</f>
      </c>
      <c r="E7" s="56" t="str">
        <f>IF(COUNTIFS('LANÇAMENTOS DIÁRIOS'!$G$5:$G$500,"C",'LANÇAMENTOS DIÁRIOS'!$C$5:$C$500,$A7,'LANÇAMENTOS DIÁRIOS'!$O$5:$O$500,"&lt;=96899",'LANÇAMENTOS DIÁRIOS'!$P$5:$P$500,"&gt;=96800")&gt;0,"X","")</f>
      </c>
      <c r="F7" s="56" t="str">
        <f>IF(COUNTIFS('LANÇAMENTOS DIÁRIOS'!$G$5:$G$500,"C",'LANÇAMENTOS DIÁRIOS'!$C$5:$C$500,$A7,'LANÇAMENTOS DIÁRIOS'!$O$5:$O$500,"&lt;=96999",'LANÇAMENTOS DIÁRIOS'!$P$5:$P$500,"&gt;=96900")&gt;0,"X","")</f>
      </c>
      <c r="G7" s="56" t="str">
        <f>IF(COUNTIFS('LANÇAMENTOS DIÁRIOS'!$G$5:$G$500,"C",'LANÇAMENTOS DIÁRIOS'!$C$5:$C$500,$A7,'LANÇAMENTOS DIÁRIOS'!$O$5:$O$500,"&lt;=97099",'LANÇAMENTOS DIÁRIOS'!$P$5:$P$500,"&gt;=97000")&gt;0,"X","")</f>
      </c>
      <c r="H7" s="56" t="str">
        <f>IF(COUNTIFS('LANÇAMENTOS DIÁRIOS'!$G$5:$G$500,"C",'LANÇAMENTOS DIÁRIOS'!$C$5:$C$500,$A7,'LANÇAMENTOS DIÁRIOS'!$O$5:$O$500,"&lt;=97199",'LANÇAMENTOS DIÁRIOS'!$P$5:$P$500,"&gt;=97100")&gt;0,"X","")</f>
      </c>
      <c r="I7" s="56" t="str">
        <f>IF(COUNTIFS('LANÇAMENTOS DIÁRIOS'!$G$5:$G$500,"C",'LANÇAMENTOS DIÁRIOS'!$C$5:$C$500,$A7,'LANÇAMENTOS DIÁRIOS'!$O$5:$O$500,"&lt;=97299",'LANÇAMENTOS DIÁRIOS'!$P$5:$P$500,"&gt;=97200")&gt;0,"X","")</f>
      </c>
      <c r="J7" s="56" t="str">
        <f>IF(COUNTIFS('LANÇAMENTOS DIÁRIOS'!$G$5:$G$500,"C",'LANÇAMENTOS DIÁRIOS'!$C$5:$C$500,$A7,'LANÇAMENTOS DIÁRIOS'!$O$5:$O$500,"&lt;=97399",'LANÇAMENTOS DIÁRIOS'!$P$5:$P$500,"&gt;=97300")&gt;0,"X","")</f>
      </c>
      <c r="K7" s="56" t="str">
        <f>IF(COUNTIFS('LANÇAMENTOS DIÁRIOS'!$G$5:$G$500,"C",'LANÇAMENTOS DIÁRIOS'!$C$5:$C$500,$A7,'LANÇAMENTOS DIÁRIOS'!$O$5:$O$500,"&lt;=97499",'LANÇAMENTOS DIÁRIOS'!$P$5:$P$500,"&gt;=97400")&gt;0,"X","")</f>
      </c>
      <c r="L7" s="56" t="str">
        <f>IF(COUNTIFS('LANÇAMENTOS DIÁRIOS'!$G$5:$G$500,"C",'LANÇAMENTOS DIÁRIOS'!$C$5:$C$500,$A7,'LANÇAMENTOS DIÁRIOS'!$O$5:$O$500,"&lt;=97599",'LANÇAMENTOS DIÁRIOS'!$P$5:$P$500,"&gt;=97500")&gt;0,"X","")</f>
      </c>
      <c r="M7" s="56" t="str">
        <f>IF(COUNTIFS('LANÇAMENTOS DIÁRIOS'!$G$5:$G$500,"C",'LANÇAMENTOS DIÁRIOS'!$C$5:$C$500,$A7,'LANÇAMENTOS DIÁRIOS'!$O$5:$O$500,"&lt;=97699",'LANÇAMENTOS DIÁRIOS'!$P$5:$P$500,"&gt;=97600")&gt;0,"X","")</f>
      </c>
      <c r="N7" s="56" t="str">
        <f>IF(COUNTIFS('LANÇAMENTOS DIÁRIOS'!$G$5:$G$500,"C",'LANÇAMENTOS DIÁRIOS'!$C$5:$C$500,$A7,'LANÇAMENTOS DIÁRIOS'!$O$5:$O$500,"&lt;=97799",'LANÇAMENTOS DIÁRIOS'!$P$5:$P$500,"&gt;=97700")&gt;0,"X","")</f>
      </c>
      <c r="O7" s="56" t="str">
        <f>IF(COUNTIFS('LANÇAMENTOS DIÁRIOS'!$G$5:$G$500,"C",'LANÇAMENTOS DIÁRIOS'!$C$5:$C$500,$A7,'LANÇAMENTOS DIÁRIOS'!$O$5:$O$500,"&lt;=97899",'LANÇAMENTOS DIÁRIOS'!$P$5:$P$500,"&gt;=97800")&gt;0,"X","")</f>
      </c>
      <c r="P7" s="56" t="str">
        <f>IF(COUNTIFS('LANÇAMENTOS DIÁRIOS'!$G$5:$G$500,"C",'LANÇAMENTOS DIÁRIOS'!$C$5:$C$500,$A7,'LANÇAMENTOS DIÁRIOS'!$O$5:$O$500,"&lt;=97999",'LANÇAMENTOS DIÁRIOS'!$P$5:$P$500,"&gt;=97900")&gt;0,"X","")</f>
      </c>
      <c r="Q7" s="56" t="str">
        <f>IF(COUNTIFS('LANÇAMENTOS DIÁRIOS'!$G$5:$G$500,"C",'LANÇAMENTOS DIÁRIOS'!$C$5:$C$500,$A7,'LANÇAMENTOS DIÁRIOS'!$O$5:$O$500,"&lt;=98099",'LANÇAMENTOS DIÁRIOS'!$P$5:$P$500,"&gt;=98000")&gt;0,"X","")</f>
      </c>
      <c r="R7" s="56" t="str">
        <f>IF(COUNTIFS('LANÇAMENTOS DIÁRIOS'!$G$5:$G$500,"C",'LANÇAMENTOS DIÁRIOS'!$C$5:$C$500,$A7,'LANÇAMENTOS DIÁRIOS'!$O$5:$O$500,"&lt;=98199",'LANÇAMENTOS DIÁRIOS'!$P$5:$P$500,"&gt;=98100")&gt;0,"X","")</f>
      </c>
      <c r="S7" s="56" t="str">
        <f>IF(COUNTIFS('LANÇAMENTOS DIÁRIOS'!$G$5:$G$500,"C",'LANÇAMENTOS DIÁRIOS'!$C$5:$C$500,$A7,'LANÇAMENTOS DIÁRIOS'!$O$5:$O$500,"&lt;=98299",'LANÇAMENTOS DIÁRIOS'!$P$5:$P$500,"&gt;=98200")&gt;0,"X","")</f>
      </c>
      <c r="T7" s="56" t="str">
        <f>IF(COUNTIFS('LANÇAMENTOS DIÁRIOS'!$G$5:$G$500,"C",'LANÇAMENTOS DIÁRIOS'!$C$5:$C$500,$A7,'LANÇAMENTOS DIÁRIOS'!$O$5:$O$500,"&lt;=98399",'LANÇAMENTOS DIÁRIOS'!$P$5:$P$500,"&gt;=98300")&gt;0,"X","")</f>
      </c>
      <c r="U7" s="56" t="str">
        <f>IF(COUNTIFS('LANÇAMENTOS DIÁRIOS'!$G$5:$G$500,"C",'LANÇAMENTOS DIÁRIOS'!$C$5:$C$500,$A7,'LANÇAMENTOS DIÁRIOS'!$O$5:$O$500,"&lt;=98499",'LANÇAMENTOS DIÁRIOS'!$P$5:$P$500,"&gt;=98400")&gt;0,"X","")</f>
      </c>
      <c r="V7" s="56" t="str">
        <f>IF(COUNTIFS('LANÇAMENTOS DIÁRIOS'!$G$5:$G$500,"C",'LANÇAMENTOS DIÁRIOS'!$C$5:$C$500,$A7,'LANÇAMENTOS DIÁRIOS'!$O$5:$O$500,"&lt;=98599",'LANÇAMENTOS DIÁRIOS'!$P$5:$P$500,"&gt;=98500")&gt;0,"X","")</f>
      </c>
      <c r="W7" s="56" t="str">
        <f>IF(COUNTIFS('LANÇAMENTOS DIÁRIOS'!$G$5:$G$500,"C",'LANÇAMENTOS DIÁRIOS'!$C$5:$C$500,$A7,'LANÇAMENTOS DIÁRIOS'!$O$5:$O$500,"&lt;=98699",'LANÇAMENTOS DIÁRIOS'!$P$5:$P$500,"&gt;=98600")&gt;0,"X","")</f>
      </c>
      <c r="X7" s="56" t="str">
        <f>IF(COUNTIFS('LANÇAMENTOS DIÁRIOS'!$G$5:$G$500,"C",'LANÇAMENTOS DIÁRIOS'!$C$5:$C$500,$A7,'LANÇAMENTOS DIÁRIOS'!$O$5:$O$500,"&lt;=98799",'LANÇAMENTOS DIÁRIOS'!$P$5:$P$500,"&gt;=98700")&gt;0,"X","")</f>
      </c>
      <c r="Y7" s="56" t="str">
        <f>IF(COUNTIFS('LANÇAMENTOS DIÁRIOS'!$G$5:$G$500,"C",'LANÇAMENTOS DIÁRIOS'!$C$5:$C$500,$A7,'LANÇAMENTOS DIÁRIOS'!$O$5:$O$500,"&lt;=98899",'LANÇAMENTOS DIÁRIOS'!$P$5:$P$500,"&gt;=98800")&gt;0,"X","")</f>
      </c>
      <c r="Z7" s="56" t="str">
        <f>IF(COUNTIFS('LANÇAMENTOS DIÁRIOS'!$G$5:$G$500,"C",'LANÇAMENTOS DIÁRIOS'!$C$5:$C$500,$A7,'LANÇAMENTOS DIÁRIOS'!$O$5:$O$500,"&lt;=98999",'LANÇAMENTOS DIÁRIOS'!$P$5:$P$500,"&gt;=98900")&gt;0,"X","")</f>
      </c>
      <c r="AA7" s="56" t="str">
        <f>IF(COUNTIFS('LANÇAMENTOS DIÁRIOS'!$G$5:$G$500,"C",'LANÇAMENTOS DIÁRIOS'!$C$5:$C$500,$A7,'LANÇAMENTOS DIÁRIOS'!$O$5:$O$500,"&lt;=99099",'LANÇAMENTOS DIÁRIOS'!$P$5:$P$500,"&gt;=99000")&gt;0,"X","")</f>
      </c>
      <c r="AB7" s="56" t="str">
        <f>IF(COUNTIFS('LANÇAMENTOS DIÁRIOS'!$G$5:$G$500,"C",'LANÇAMENTOS DIÁRIOS'!$C$5:$C$500,$A7,'LANÇAMENTOS DIÁRIOS'!$O$5:$O$500,"&lt;=99199",'LANÇAMENTOS DIÁRIOS'!$P$5:$P$500,"&gt;=99100")&gt;0,"X","")</f>
      </c>
      <c r="AC7" s="56" t="str">
        <f>IF(COUNTIFS('LANÇAMENTOS DIÁRIOS'!$G$5:$G$500,"C",'LANÇAMENTOS DIÁRIOS'!$C$5:$C$500,$A7,'LANÇAMENTOS DIÁRIOS'!$O$5:$O$500,"&lt;=99299",'LANÇAMENTOS DIÁRIOS'!$P$5:$P$500,"&gt;=99200")&gt;0,"X","")</f>
      </c>
      <c r="AD7" s="56" t="str">
        <f>IF(COUNTIFS('LANÇAMENTOS DIÁRIOS'!$G$5:$G$500,"C",'LANÇAMENTOS DIÁRIOS'!$C$5:$C$500,$A7,'LANÇAMENTOS DIÁRIOS'!$O$5:$O$500,"&lt;=99399",'LANÇAMENTOS DIÁRIOS'!$P$5:$P$500,"&gt;=99300")&gt;0,"X","")</f>
      </c>
      <c r="AE7" s="56" t="str">
        <f>IF(COUNTIFS('LANÇAMENTOS DIÁRIOS'!$G$5:$G$500,"C",'LANÇAMENTOS DIÁRIOS'!$C$5:$C$500,$A7,'LANÇAMENTOS DIÁRIOS'!$O$5:$O$500,"&lt;=99499",'LANÇAMENTOS DIÁRIOS'!$P$5:$P$500,"&gt;=99400")&gt;0,"X","")</f>
      </c>
      <c r="AF7" s="56" t="str">
        <f>IF(COUNTIFS('LANÇAMENTOS DIÁRIOS'!$G$5:$G$500,"C",'LANÇAMENTOS DIÁRIOS'!$C$5:$C$500,$A7,'LANÇAMENTOS DIÁRIOS'!$O$5:$O$500,"&lt;=99599",'LANÇAMENTOS DIÁRIOS'!$P$5:$P$500,"&gt;=99500")&gt;0,"X","")</f>
      </c>
      <c r="AG7" s="56" t="str">
        <f>IF(COUNTIFS('LANÇAMENTOS DIÁRIOS'!$G$5:$G$500,"C",'LANÇAMENTOS DIÁRIOS'!$C$5:$C$500,$A7,'LANÇAMENTOS DIÁRIOS'!$O$5:$O$500,"&lt;=99699",'LANÇAMENTOS DIÁRIOS'!$P$5:$P$500,"&gt;=99600")&gt;0,"X","")</f>
      </c>
      <c r="AH7" s="56" t="str">
        <f>IF(COUNTIFS('LANÇAMENTOS DIÁRIOS'!$G$5:$G$500,"C",'LANÇAMENTOS DIÁRIOS'!$C$5:$C$500,$A7,'LANÇAMENTOS DIÁRIOS'!$O$5:$O$500,"&lt;=99799",'LANÇAMENTOS DIÁRIOS'!$P$5:$P$500,"&gt;=99700")&gt;0,"X","")</f>
      </c>
      <c r="AI7" s="56" t="str">
        <f>IF(COUNTIFS('LANÇAMENTOS DIÁRIOS'!$G$5:$G$500,"C",'LANÇAMENTOS DIÁRIOS'!$C$5:$C$500,$A7,'LANÇAMENTOS DIÁRIOS'!$O$5:$O$500,"&lt;=99899",'LANÇAMENTOS DIÁRIOS'!$P$5:$P$500,"&gt;=99800")&gt;0,"X","")</f>
      </c>
      <c r="AJ7" s="56" t="str">
        <f>IF(COUNTIFS('LANÇAMENTOS DIÁRIOS'!$G$5:$G$500,"C",'LANÇAMENTOS DIÁRIOS'!$C$5:$C$500,$A7,'LANÇAMENTOS DIÁRIOS'!$O$5:$O$500,"&lt;=99999",'LANÇAMENTOS DIÁRIOS'!$P$5:$P$500,"&gt;=99900")&gt;0,"X","")</f>
      </c>
      <c r="AK7" s="56" t="str">
        <f>IF(COUNTIFS('LANÇAMENTOS DIÁRIOS'!$G$5:$G$500,"C",'LANÇAMENTOS DIÁRIOS'!$C$5:$C$500,$A7,'LANÇAMENTOS DIÁRIOS'!$O$5:$O$500,"&lt;=100099",'LANÇAMENTOS DIÁRIOS'!$P$5:$P$500,"&gt;=100000")&gt;0,"X","")</f>
      </c>
      <c r="AL7" s="56" t="str">
        <f>IF(COUNTIFS('LANÇAMENTOS DIÁRIOS'!$G$5:$G$500,"C",'LANÇAMENTOS DIÁRIOS'!$C$5:$C$500,$A7,'LANÇAMENTOS DIÁRIOS'!$O$5:$O$500,"&lt;=100199",'LANÇAMENTOS DIÁRIOS'!$P$5:$P$500,"&gt;=100100")&gt;0,"X","")</f>
      </c>
      <c r="AM7" s="56" t="str">
        <f>IF(COUNTIFS('LANÇAMENTOS DIÁRIOS'!$G$5:$G$500,"C",'LANÇAMENTOS DIÁRIOS'!$C$5:$C$500,$A7,'LANÇAMENTOS DIÁRIOS'!$O$5:$O$500,"&lt;=100299",'LANÇAMENTOS DIÁRIOS'!$P$5:$P$500,"&gt;=100200")&gt;0,"X","")</f>
      </c>
      <c r="AN7" s="56" t="str">
        <f>IF(COUNTIFS('LANÇAMENTOS DIÁRIOS'!$G$5:$G$500,"C",'LANÇAMENTOS DIÁRIOS'!$C$5:$C$500,$A7,'LANÇAMENTOS DIÁRIOS'!$O$5:$O$500,"&lt;=100399",'LANÇAMENTOS DIÁRIOS'!$P$5:$P$500,"&gt;=100300")&gt;0,"X","")</f>
      </c>
      <c r="AO7" s="56" t="str">
        <f>IF(COUNTIFS('LANÇAMENTOS DIÁRIOS'!$G$5:$G$500,"C",'LANÇAMENTOS DIÁRIOS'!$C$5:$C$500,$A7,'LANÇAMENTOS DIÁRIOS'!$O$5:$O$500,"&lt;=100499",'LANÇAMENTOS DIÁRIOS'!$P$5:$P$500,"&gt;=100400")&gt;0,"X","")</f>
      </c>
      <c r="AP7" s="56" t="str">
        <f>IF(COUNTIFS('LANÇAMENTOS DIÁRIOS'!$G$5:$G$500,"C",'LANÇAMENTOS DIÁRIOS'!$C$5:$C$500,$A7,'LANÇAMENTOS DIÁRIOS'!$O$5:$O$500,"&lt;=100500",'LANÇAMENTOS DIÁRIOS'!$P$5:$P$500,"&gt;=100500")&gt;0,"X","")</f>
      </c>
    </row>
    <row r="8">
      <c r="A8" s="51" t="str">
        <v>Demolição de OAE (Km 84+100)</v>
      </c>
      <c r="B8" s="56" t="str">
        <f>IF(COUNTIFS('LANÇAMENTOS DIÁRIOS'!$G$5:$G$500,"C",'LANÇAMENTOS DIÁRIOS'!$C$5:$C$500,$A8,'LANÇAMENTOS DIÁRIOS'!$O$5:$O$500,"&lt;=96599",'LANÇAMENTOS DIÁRIOS'!$P$5:$P$500,"&gt;=96500")&gt;0,"X","")</f>
      </c>
      <c r="C8" s="56" t="str">
        <f>IF(COUNTIFS('LANÇAMENTOS DIÁRIOS'!$G$5:$G$500,"C",'LANÇAMENTOS DIÁRIOS'!$C$5:$C$500,$A8,'LANÇAMENTOS DIÁRIOS'!$O$5:$O$500,"&lt;=96699",'LANÇAMENTOS DIÁRIOS'!$P$5:$P$500,"&gt;=96600")&gt;0,"X","")</f>
      </c>
      <c r="D8" s="56" t="str">
        <f>IF(COUNTIFS('LANÇAMENTOS DIÁRIOS'!$G$5:$G$500,"C",'LANÇAMENTOS DIÁRIOS'!$C$5:$C$500,$A8,'LANÇAMENTOS DIÁRIOS'!$O$5:$O$500,"&lt;=96799",'LANÇAMENTOS DIÁRIOS'!$P$5:$P$500,"&gt;=96700")&gt;0,"X","")</f>
      </c>
      <c r="E8" s="56" t="str">
        <f>IF(COUNTIFS('LANÇAMENTOS DIÁRIOS'!$G$5:$G$500,"C",'LANÇAMENTOS DIÁRIOS'!$C$5:$C$500,$A8,'LANÇAMENTOS DIÁRIOS'!$O$5:$O$500,"&lt;=96899",'LANÇAMENTOS DIÁRIOS'!$P$5:$P$500,"&gt;=96800")&gt;0,"X","")</f>
      </c>
      <c r="F8" s="56" t="str">
        <f>IF(COUNTIFS('LANÇAMENTOS DIÁRIOS'!$G$5:$G$500,"C",'LANÇAMENTOS DIÁRIOS'!$C$5:$C$500,$A8,'LANÇAMENTOS DIÁRIOS'!$O$5:$O$500,"&lt;=96999",'LANÇAMENTOS DIÁRIOS'!$P$5:$P$500,"&gt;=96900")&gt;0,"X","")</f>
      </c>
      <c r="G8" s="56" t="str">
        <f>IF(COUNTIFS('LANÇAMENTOS DIÁRIOS'!$G$5:$G$500,"C",'LANÇAMENTOS DIÁRIOS'!$C$5:$C$500,$A8,'LANÇAMENTOS DIÁRIOS'!$O$5:$O$500,"&lt;=97099",'LANÇAMENTOS DIÁRIOS'!$P$5:$P$500,"&gt;=97000")&gt;0,"X","")</f>
      </c>
      <c r="H8" s="56" t="str">
        <f>IF(COUNTIFS('LANÇAMENTOS DIÁRIOS'!$G$5:$G$500,"C",'LANÇAMENTOS DIÁRIOS'!$C$5:$C$500,$A8,'LANÇAMENTOS DIÁRIOS'!$O$5:$O$500,"&lt;=97199",'LANÇAMENTOS DIÁRIOS'!$P$5:$P$500,"&gt;=97100")&gt;0,"X","")</f>
      </c>
      <c r="I8" s="56" t="str">
        <f>IF(COUNTIFS('LANÇAMENTOS DIÁRIOS'!$G$5:$G$500,"C",'LANÇAMENTOS DIÁRIOS'!$C$5:$C$500,$A8,'LANÇAMENTOS DIÁRIOS'!$O$5:$O$500,"&lt;=97299",'LANÇAMENTOS DIÁRIOS'!$P$5:$P$500,"&gt;=97200")&gt;0,"X","")</f>
      </c>
      <c r="J8" s="56" t="str">
        <f>IF(COUNTIFS('LANÇAMENTOS DIÁRIOS'!$G$5:$G$500,"C",'LANÇAMENTOS DIÁRIOS'!$C$5:$C$500,$A8,'LANÇAMENTOS DIÁRIOS'!$O$5:$O$500,"&lt;=97399",'LANÇAMENTOS DIÁRIOS'!$P$5:$P$500,"&gt;=97300")&gt;0,"X","")</f>
      </c>
      <c r="K8" s="56" t="str">
        <f>IF(COUNTIFS('LANÇAMENTOS DIÁRIOS'!$G$5:$G$500,"C",'LANÇAMENTOS DIÁRIOS'!$C$5:$C$500,$A8,'LANÇAMENTOS DIÁRIOS'!$O$5:$O$500,"&lt;=97499",'LANÇAMENTOS DIÁRIOS'!$P$5:$P$500,"&gt;=97400")&gt;0,"X","")</f>
      </c>
      <c r="L8" s="56" t="str">
        <f>IF(COUNTIFS('LANÇAMENTOS DIÁRIOS'!$G$5:$G$500,"C",'LANÇAMENTOS DIÁRIOS'!$C$5:$C$500,$A8,'LANÇAMENTOS DIÁRIOS'!$O$5:$O$500,"&lt;=97599",'LANÇAMENTOS DIÁRIOS'!$P$5:$P$500,"&gt;=97500")&gt;0,"X","")</f>
      </c>
      <c r="M8" s="56" t="str">
        <f>IF(COUNTIFS('LANÇAMENTOS DIÁRIOS'!$G$5:$G$500,"C",'LANÇAMENTOS DIÁRIOS'!$C$5:$C$500,$A8,'LANÇAMENTOS DIÁRIOS'!$O$5:$O$500,"&lt;=97699",'LANÇAMENTOS DIÁRIOS'!$P$5:$P$500,"&gt;=97600")&gt;0,"X","")</f>
      </c>
      <c r="N8" s="56" t="str">
        <f>IF(COUNTIFS('LANÇAMENTOS DIÁRIOS'!$G$5:$G$500,"C",'LANÇAMENTOS DIÁRIOS'!$C$5:$C$500,$A8,'LANÇAMENTOS DIÁRIOS'!$O$5:$O$500,"&lt;=97799",'LANÇAMENTOS DIÁRIOS'!$P$5:$P$500,"&gt;=97700")&gt;0,"X","")</f>
      </c>
      <c r="O8" s="56" t="str">
        <f>IF(COUNTIFS('LANÇAMENTOS DIÁRIOS'!$G$5:$G$500,"C",'LANÇAMENTOS DIÁRIOS'!$C$5:$C$500,$A8,'LANÇAMENTOS DIÁRIOS'!$O$5:$O$500,"&lt;=97899",'LANÇAMENTOS DIÁRIOS'!$P$5:$P$500,"&gt;=97800")&gt;0,"X","")</f>
      </c>
      <c r="P8" s="56" t="str">
        <f>IF(COUNTIFS('LANÇAMENTOS DIÁRIOS'!$G$5:$G$500,"C",'LANÇAMENTOS DIÁRIOS'!$C$5:$C$500,$A8,'LANÇAMENTOS DIÁRIOS'!$O$5:$O$500,"&lt;=97999",'LANÇAMENTOS DIÁRIOS'!$P$5:$P$500,"&gt;=97900")&gt;0,"X","")</f>
      </c>
      <c r="Q8" s="56" t="str">
        <f>IF(COUNTIFS('LANÇAMENTOS DIÁRIOS'!$G$5:$G$500,"C",'LANÇAMENTOS DIÁRIOS'!$C$5:$C$500,$A8,'LANÇAMENTOS DIÁRIOS'!$O$5:$O$500,"&lt;=98099",'LANÇAMENTOS DIÁRIOS'!$P$5:$P$500,"&gt;=98000")&gt;0,"X","")</f>
      </c>
      <c r="R8" s="56" t="str">
        <f>IF(COUNTIFS('LANÇAMENTOS DIÁRIOS'!$G$5:$G$500,"C",'LANÇAMENTOS DIÁRIOS'!$C$5:$C$500,$A8,'LANÇAMENTOS DIÁRIOS'!$O$5:$O$500,"&lt;=98199",'LANÇAMENTOS DIÁRIOS'!$P$5:$P$500,"&gt;=98100")&gt;0,"X","")</f>
      </c>
      <c r="S8" s="56" t="str">
        <f>IF(COUNTIFS('LANÇAMENTOS DIÁRIOS'!$G$5:$G$500,"C",'LANÇAMENTOS DIÁRIOS'!$C$5:$C$500,$A8,'LANÇAMENTOS DIÁRIOS'!$O$5:$O$500,"&lt;=98299",'LANÇAMENTOS DIÁRIOS'!$P$5:$P$500,"&gt;=98200")&gt;0,"X","")</f>
      </c>
      <c r="T8" s="56" t="str">
        <f>IF(COUNTIFS('LANÇAMENTOS DIÁRIOS'!$G$5:$G$500,"C",'LANÇAMENTOS DIÁRIOS'!$C$5:$C$500,$A8,'LANÇAMENTOS DIÁRIOS'!$O$5:$O$500,"&lt;=98399",'LANÇAMENTOS DIÁRIOS'!$P$5:$P$500,"&gt;=98300")&gt;0,"X","")</f>
      </c>
      <c r="U8" s="56" t="str">
        <f>IF(COUNTIFS('LANÇAMENTOS DIÁRIOS'!$G$5:$G$500,"C",'LANÇAMENTOS DIÁRIOS'!$C$5:$C$500,$A8,'LANÇAMENTOS DIÁRIOS'!$O$5:$O$500,"&lt;=98499",'LANÇAMENTOS DIÁRIOS'!$P$5:$P$500,"&gt;=98400")&gt;0,"X","")</f>
      </c>
      <c r="V8" s="56" t="str">
        <f>IF(COUNTIFS('LANÇAMENTOS DIÁRIOS'!$G$5:$G$500,"C",'LANÇAMENTOS DIÁRIOS'!$C$5:$C$500,$A8,'LANÇAMENTOS DIÁRIOS'!$O$5:$O$500,"&lt;=98599",'LANÇAMENTOS DIÁRIOS'!$P$5:$P$500,"&gt;=98500")&gt;0,"X","")</f>
      </c>
      <c r="W8" s="56" t="str">
        <f>IF(COUNTIFS('LANÇAMENTOS DIÁRIOS'!$G$5:$G$500,"C",'LANÇAMENTOS DIÁRIOS'!$C$5:$C$500,$A8,'LANÇAMENTOS DIÁRIOS'!$O$5:$O$500,"&lt;=98699",'LANÇAMENTOS DIÁRIOS'!$P$5:$P$500,"&gt;=98600")&gt;0,"X","")</f>
      </c>
      <c r="X8" s="56" t="str">
        <f>IF(COUNTIFS('LANÇAMENTOS DIÁRIOS'!$G$5:$G$500,"C",'LANÇAMENTOS DIÁRIOS'!$C$5:$C$500,$A8,'LANÇAMENTOS DIÁRIOS'!$O$5:$O$500,"&lt;=98799",'LANÇAMENTOS DIÁRIOS'!$P$5:$P$500,"&gt;=98700")&gt;0,"X","")</f>
      </c>
      <c r="Y8" s="56" t="str">
        <f>IF(COUNTIFS('LANÇAMENTOS DIÁRIOS'!$G$5:$G$500,"C",'LANÇAMENTOS DIÁRIOS'!$C$5:$C$500,$A8,'LANÇAMENTOS DIÁRIOS'!$O$5:$O$500,"&lt;=98899",'LANÇAMENTOS DIÁRIOS'!$P$5:$P$500,"&gt;=98800")&gt;0,"X","")</f>
      </c>
      <c r="Z8" s="56" t="str">
        <f>IF(COUNTIFS('LANÇAMENTOS DIÁRIOS'!$G$5:$G$500,"C",'LANÇAMENTOS DIÁRIOS'!$C$5:$C$500,$A8,'LANÇAMENTOS DIÁRIOS'!$O$5:$O$500,"&lt;=98999",'LANÇAMENTOS DIÁRIOS'!$P$5:$P$500,"&gt;=98900")&gt;0,"X","")</f>
      </c>
      <c r="AA8" s="56" t="str">
        <f>IF(COUNTIFS('LANÇAMENTOS DIÁRIOS'!$G$5:$G$500,"C",'LANÇAMENTOS DIÁRIOS'!$C$5:$C$500,$A8,'LANÇAMENTOS DIÁRIOS'!$O$5:$O$500,"&lt;=99099",'LANÇAMENTOS DIÁRIOS'!$P$5:$P$500,"&gt;=99000")&gt;0,"X","")</f>
      </c>
      <c r="AB8" s="56" t="str">
        <f>IF(COUNTIFS('LANÇAMENTOS DIÁRIOS'!$G$5:$G$500,"C",'LANÇAMENTOS DIÁRIOS'!$C$5:$C$500,$A8,'LANÇAMENTOS DIÁRIOS'!$O$5:$O$500,"&lt;=99199",'LANÇAMENTOS DIÁRIOS'!$P$5:$P$500,"&gt;=99100")&gt;0,"X","")</f>
      </c>
      <c r="AC8" s="56" t="str">
        <f>IF(COUNTIFS('LANÇAMENTOS DIÁRIOS'!$G$5:$G$500,"C",'LANÇAMENTOS DIÁRIOS'!$C$5:$C$500,$A8,'LANÇAMENTOS DIÁRIOS'!$O$5:$O$500,"&lt;=99299",'LANÇAMENTOS DIÁRIOS'!$P$5:$P$500,"&gt;=99200")&gt;0,"X","")</f>
      </c>
      <c r="AD8" s="56" t="str">
        <f>IF(COUNTIFS('LANÇAMENTOS DIÁRIOS'!$G$5:$G$500,"C",'LANÇAMENTOS DIÁRIOS'!$C$5:$C$500,$A8,'LANÇAMENTOS DIÁRIOS'!$O$5:$O$500,"&lt;=99399",'LANÇAMENTOS DIÁRIOS'!$P$5:$P$500,"&gt;=99300")&gt;0,"X","")</f>
      </c>
      <c r="AE8" s="56" t="str">
        <f>IF(COUNTIFS('LANÇAMENTOS DIÁRIOS'!$G$5:$G$500,"C",'LANÇAMENTOS DIÁRIOS'!$C$5:$C$500,$A8,'LANÇAMENTOS DIÁRIOS'!$O$5:$O$500,"&lt;=99499",'LANÇAMENTOS DIÁRIOS'!$P$5:$P$500,"&gt;=99400")&gt;0,"X","")</f>
      </c>
      <c r="AF8" s="56" t="str">
        <f>IF(COUNTIFS('LANÇAMENTOS DIÁRIOS'!$G$5:$G$500,"C",'LANÇAMENTOS DIÁRIOS'!$C$5:$C$500,$A8,'LANÇAMENTOS DIÁRIOS'!$O$5:$O$500,"&lt;=99599",'LANÇAMENTOS DIÁRIOS'!$P$5:$P$500,"&gt;=99500")&gt;0,"X","")</f>
      </c>
      <c r="AG8" s="56" t="str">
        <f>IF(COUNTIFS('LANÇAMENTOS DIÁRIOS'!$G$5:$G$500,"C",'LANÇAMENTOS DIÁRIOS'!$C$5:$C$500,$A8,'LANÇAMENTOS DIÁRIOS'!$O$5:$O$500,"&lt;=99699",'LANÇAMENTOS DIÁRIOS'!$P$5:$P$500,"&gt;=99600")&gt;0,"X","")</f>
      </c>
      <c r="AH8" s="56" t="str">
        <f>IF(COUNTIFS('LANÇAMENTOS DIÁRIOS'!$G$5:$G$500,"C",'LANÇAMENTOS DIÁRIOS'!$C$5:$C$500,$A8,'LANÇAMENTOS DIÁRIOS'!$O$5:$O$500,"&lt;=99799",'LANÇAMENTOS DIÁRIOS'!$P$5:$P$500,"&gt;=99700")&gt;0,"X","")</f>
      </c>
      <c r="AI8" s="56" t="str">
        <f>IF(COUNTIFS('LANÇAMENTOS DIÁRIOS'!$G$5:$G$500,"C",'LANÇAMENTOS DIÁRIOS'!$C$5:$C$500,$A8,'LANÇAMENTOS DIÁRIOS'!$O$5:$O$500,"&lt;=99899",'LANÇAMENTOS DIÁRIOS'!$P$5:$P$500,"&gt;=99800")&gt;0,"X","")</f>
      </c>
      <c r="AJ8" s="56" t="str">
        <f>IF(COUNTIFS('LANÇAMENTOS DIÁRIOS'!$G$5:$G$500,"C",'LANÇAMENTOS DIÁRIOS'!$C$5:$C$500,$A8,'LANÇAMENTOS DIÁRIOS'!$O$5:$O$500,"&lt;=99999",'LANÇAMENTOS DIÁRIOS'!$P$5:$P$500,"&gt;=99900")&gt;0,"X","")</f>
      </c>
      <c r="AK8" s="56" t="str">
        <f>IF(COUNTIFS('LANÇAMENTOS DIÁRIOS'!$G$5:$G$500,"C",'LANÇAMENTOS DIÁRIOS'!$C$5:$C$500,$A8,'LANÇAMENTOS DIÁRIOS'!$O$5:$O$500,"&lt;=100099",'LANÇAMENTOS DIÁRIOS'!$P$5:$P$500,"&gt;=100000")&gt;0,"X","")</f>
      </c>
      <c r="AL8" s="56" t="str">
        <f>IF(COUNTIFS('LANÇAMENTOS DIÁRIOS'!$G$5:$G$500,"C",'LANÇAMENTOS DIÁRIOS'!$C$5:$C$500,$A8,'LANÇAMENTOS DIÁRIOS'!$O$5:$O$500,"&lt;=100199",'LANÇAMENTOS DIÁRIOS'!$P$5:$P$500,"&gt;=100100")&gt;0,"X","")</f>
      </c>
      <c r="AM8" s="56" t="str">
        <f>IF(COUNTIFS('LANÇAMENTOS DIÁRIOS'!$G$5:$G$500,"C",'LANÇAMENTOS DIÁRIOS'!$C$5:$C$500,$A8,'LANÇAMENTOS DIÁRIOS'!$O$5:$O$500,"&lt;=100299",'LANÇAMENTOS DIÁRIOS'!$P$5:$P$500,"&gt;=100200")&gt;0,"X","")</f>
      </c>
      <c r="AN8" s="56" t="str">
        <f>IF(COUNTIFS('LANÇAMENTOS DIÁRIOS'!$G$5:$G$500,"C",'LANÇAMENTOS DIÁRIOS'!$C$5:$C$500,$A8,'LANÇAMENTOS DIÁRIOS'!$O$5:$O$500,"&lt;=100399",'LANÇAMENTOS DIÁRIOS'!$P$5:$P$500,"&gt;=100300")&gt;0,"X","")</f>
      </c>
      <c r="AO8" s="56" t="str">
        <f>IF(COUNTIFS('LANÇAMENTOS DIÁRIOS'!$G$5:$G$500,"C",'LANÇAMENTOS DIÁRIOS'!$C$5:$C$500,$A8,'LANÇAMENTOS DIÁRIOS'!$O$5:$O$500,"&lt;=100499",'LANÇAMENTOS DIÁRIOS'!$P$5:$P$500,"&gt;=100400")&gt;0,"X","")</f>
      </c>
      <c r="AP8" s="56" t="str">
        <f>IF(COUNTIFS('LANÇAMENTOS DIÁRIOS'!$G$5:$G$500,"C",'LANÇAMENTOS DIÁRIOS'!$C$5:$C$500,$A8,'LANÇAMENTOS DIÁRIOS'!$O$5:$O$500,"&lt;=100500",'LANÇAMENTOS DIÁRIOS'!$P$5:$P$500,"&gt;=100500")&gt;0,"X","")</f>
      </c>
    </row>
    <row r="9">
      <c r="A9" s="51" t="str">
        <v>Remoção de postes com luminárias</v>
      </c>
      <c r="B9" s="56" t="str">
        <f>IF(COUNTIFS('LANÇAMENTOS DIÁRIOS'!$G$5:$G$500,"C",'LANÇAMENTOS DIÁRIOS'!$C$5:$C$500,$A9,'LANÇAMENTOS DIÁRIOS'!$O$5:$O$500,"&lt;=96599",'LANÇAMENTOS DIÁRIOS'!$P$5:$P$500,"&gt;=96500")&gt;0,"X","")</f>
      </c>
      <c r="C9" s="56" t="str">
        <f>IF(COUNTIFS('LANÇAMENTOS DIÁRIOS'!$G$5:$G$500,"C",'LANÇAMENTOS DIÁRIOS'!$C$5:$C$500,$A9,'LANÇAMENTOS DIÁRIOS'!$O$5:$O$500,"&lt;=96699",'LANÇAMENTOS DIÁRIOS'!$P$5:$P$500,"&gt;=96600")&gt;0,"X","")</f>
      </c>
      <c r="D9" s="56" t="str">
        <f>IF(COUNTIFS('LANÇAMENTOS DIÁRIOS'!$G$5:$G$500,"C",'LANÇAMENTOS DIÁRIOS'!$C$5:$C$500,$A9,'LANÇAMENTOS DIÁRIOS'!$O$5:$O$500,"&lt;=96799",'LANÇAMENTOS DIÁRIOS'!$P$5:$P$500,"&gt;=96700")&gt;0,"X","")</f>
      </c>
      <c r="E9" s="56" t="str">
        <f>IF(COUNTIFS('LANÇAMENTOS DIÁRIOS'!$G$5:$G$500,"C",'LANÇAMENTOS DIÁRIOS'!$C$5:$C$500,$A9,'LANÇAMENTOS DIÁRIOS'!$O$5:$O$500,"&lt;=96899",'LANÇAMENTOS DIÁRIOS'!$P$5:$P$500,"&gt;=96800")&gt;0,"X","")</f>
      </c>
      <c r="F9" s="56" t="str">
        <f>IF(COUNTIFS('LANÇAMENTOS DIÁRIOS'!$G$5:$G$500,"C",'LANÇAMENTOS DIÁRIOS'!$C$5:$C$500,$A9,'LANÇAMENTOS DIÁRIOS'!$O$5:$O$500,"&lt;=96999",'LANÇAMENTOS DIÁRIOS'!$P$5:$P$500,"&gt;=96900")&gt;0,"X","")</f>
      </c>
      <c r="G9" s="56" t="str">
        <f>IF(COUNTIFS('LANÇAMENTOS DIÁRIOS'!$G$5:$G$500,"C",'LANÇAMENTOS DIÁRIOS'!$C$5:$C$500,$A9,'LANÇAMENTOS DIÁRIOS'!$O$5:$O$500,"&lt;=97099",'LANÇAMENTOS DIÁRIOS'!$P$5:$P$500,"&gt;=97000")&gt;0,"X","")</f>
      </c>
      <c r="H9" s="56" t="str">
        <f>IF(COUNTIFS('LANÇAMENTOS DIÁRIOS'!$G$5:$G$500,"C",'LANÇAMENTOS DIÁRIOS'!$C$5:$C$500,$A9,'LANÇAMENTOS DIÁRIOS'!$O$5:$O$500,"&lt;=97199",'LANÇAMENTOS DIÁRIOS'!$P$5:$P$500,"&gt;=97100")&gt;0,"X","")</f>
      </c>
      <c r="I9" s="56" t="str">
        <f>IF(COUNTIFS('LANÇAMENTOS DIÁRIOS'!$G$5:$G$500,"C",'LANÇAMENTOS DIÁRIOS'!$C$5:$C$500,$A9,'LANÇAMENTOS DIÁRIOS'!$O$5:$O$500,"&lt;=97299",'LANÇAMENTOS DIÁRIOS'!$P$5:$P$500,"&gt;=97200")&gt;0,"X","")</f>
      </c>
      <c r="J9" s="56" t="str">
        <f>IF(COUNTIFS('LANÇAMENTOS DIÁRIOS'!$G$5:$G$500,"C",'LANÇAMENTOS DIÁRIOS'!$C$5:$C$500,$A9,'LANÇAMENTOS DIÁRIOS'!$O$5:$O$500,"&lt;=97399",'LANÇAMENTOS DIÁRIOS'!$P$5:$P$500,"&gt;=97300")&gt;0,"X","")</f>
      </c>
      <c r="K9" s="56" t="str">
        <f>IF(COUNTIFS('LANÇAMENTOS DIÁRIOS'!$G$5:$G$500,"C",'LANÇAMENTOS DIÁRIOS'!$C$5:$C$500,$A9,'LANÇAMENTOS DIÁRIOS'!$O$5:$O$500,"&lt;=97499",'LANÇAMENTOS DIÁRIOS'!$P$5:$P$500,"&gt;=97400")&gt;0,"X","")</f>
      </c>
      <c r="L9" s="56" t="str">
        <f>IF(COUNTIFS('LANÇAMENTOS DIÁRIOS'!$G$5:$G$500,"C",'LANÇAMENTOS DIÁRIOS'!$C$5:$C$500,$A9,'LANÇAMENTOS DIÁRIOS'!$O$5:$O$500,"&lt;=97599",'LANÇAMENTOS DIÁRIOS'!$P$5:$P$500,"&gt;=97500")&gt;0,"X","")</f>
      </c>
      <c r="M9" s="56" t="str">
        <f>IF(COUNTIFS('LANÇAMENTOS DIÁRIOS'!$G$5:$G$500,"C",'LANÇAMENTOS DIÁRIOS'!$C$5:$C$500,$A9,'LANÇAMENTOS DIÁRIOS'!$O$5:$O$500,"&lt;=97699",'LANÇAMENTOS DIÁRIOS'!$P$5:$P$500,"&gt;=97600")&gt;0,"X","")</f>
      </c>
      <c r="N9" s="56" t="str">
        <f>IF(COUNTIFS('LANÇAMENTOS DIÁRIOS'!$G$5:$G$500,"C",'LANÇAMENTOS DIÁRIOS'!$C$5:$C$500,$A9,'LANÇAMENTOS DIÁRIOS'!$O$5:$O$500,"&lt;=97799",'LANÇAMENTOS DIÁRIOS'!$P$5:$P$500,"&gt;=97700")&gt;0,"X","")</f>
      </c>
      <c r="O9" s="56" t="str">
        <f>IF(COUNTIFS('LANÇAMENTOS DIÁRIOS'!$G$5:$G$500,"C",'LANÇAMENTOS DIÁRIOS'!$C$5:$C$500,$A9,'LANÇAMENTOS DIÁRIOS'!$O$5:$O$500,"&lt;=97899",'LANÇAMENTOS DIÁRIOS'!$P$5:$P$500,"&gt;=97800")&gt;0,"X","")</f>
      </c>
      <c r="P9" s="56" t="str">
        <f>IF(COUNTIFS('LANÇAMENTOS DIÁRIOS'!$G$5:$G$500,"C",'LANÇAMENTOS DIÁRIOS'!$C$5:$C$500,$A9,'LANÇAMENTOS DIÁRIOS'!$O$5:$O$500,"&lt;=97999",'LANÇAMENTOS DIÁRIOS'!$P$5:$P$500,"&gt;=97900")&gt;0,"X","")</f>
      </c>
      <c r="Q9" s="56" t="str">
        <f>IF(COUNTIFS('LANÇAMENTOS DIÁRIOS'!$G$5:$G$500,"C",'LANÇAMENTOS DIÁRIOS'!$C$5:$C$500,$A9,'LANÇAMENTOS DIÁRIOS'!$O$5:$O$500,"&lt;=98099",'LANÇAMENTOS DIÁRIOS'!$P$5:$P$500,"&gt;=98000")&gt;0,"X","")</f>
      </c>
      <c r="R9" s="56" t="str">
        <f>IF(COUNTIFS('LANÇAMENTOS DIÁRIOS'!$G$5:$G$500,"C",'LANÇAMENTOS DIÁRIOS'!$C$5:$C$500,$A9,'LANÇAMENTOS DIÁRIOS'!$O$5:$O$500,"&lt;=98199",'LANÇAMENTOS DIÁRIOS'!$P$5:$P$500,"&gt;=98100")&gt;0,"X","")</f>
      </c>
      <c r="S9" s="56" t="str">
        <f>IF(COUNTIFS('LANÇAMENTOS DIÁRIOS'!$G$5:$G$500,"C",'LANÇAMENTOS DIÁRIOS'!$C$5:$C$500,$A9,'LANÇAMENTOS DIÁRIOS'!$O$5:$O$500,"&lt;=98299",'LANÇAMENTOS DIÁRIOS'!$P$5:$P$500,"&gt;=98200")&gt;0,"X","")</f>
      </c>
      <c r="T9" s="56" t="str">
        <f>IF(COUNTIFS('LANÇAMENTOS DIÁRIOS'!$G$5:$G$500,"C",'LANÇAMENTOS DIÁRIOS'!$C$5:$C$500,$A9,'LANÇAMENTOS DIÁRIOS'!$O$5:$O$500,"&lt;=98399",'LANÇAMENTOS DIÁRIOS'!$P$5:$P$500,"&gt;=98300")&gt;0,"X","")</f>
      </c>
      <c r="U9" s="56" t="str">
        <f>IF(COUNTIFS('LANÇAMENTOS DIÁRIOS'!$G$5:$G$500,"C",'LANÇAMENTOS DIÁRIOS'!$C$5:$C$500,$A9,'LANÇAMENTOS DIÁRIOS'!$O$5:$O$500,"&lt;=98499",'LANÇAMENTOS DIÁRIOS'!$P$5:$P$500,"&gt;=98400")&gt;0,"X","")</f>
      </c>
      <c r="V9" s="56" t="str">
        <f>IF(COUNTIFS('LANÇAMENTOS DIÁRIOS'!$G$5:$G$500,"C",'LANÇAMENTOS DIÁRIOS'!$C$5:$C$500,$A9,'LANÇAMENTOS DIÁRIOS'!$O$5:$O$500,"&lt;=98599",'LANÇAMENTOS DIÁRIOS'!$P$5:$P$500,"&gt;=98500")&gt;0,"X","")</f>
      </c>
      <c r="W9" s="56" t="str">
        <f>IF(COUNTIFS('LANÇAMENTOS DIÁRIOS'!$G$5:$G$500,"C",'LANÇAMENTOS DIÁRIOS'!$C$5:$C$500,$A9,'LANÇAMENTOS DIÁRIOS'!$O$5:$O$500,"&lt;=98699",'LANÇAMENTOS DIÁRIOS'!$P$5:$P$500,"&gt;=98600")&gt;0,"X","")</f>
      </c>
      <c r="X9" s="56" t="str">
        <f>IF(COUNTIFS('LANÇAMENTOS DIÁRIOS'!$G$5:$G$500,"C",'LANÇAMENTOS DIÁRIOS'!$C$5:$C$500,$A9,'LANÇAMENTOS DIÁRIOS'!$O$5:$O$500,"&lt;=98799",'LANÇAMENTOS DIÁRIOS'!$P$5:$P$500,"&gt;=98700")&gt;0,"X","")</f>
      </c>
      <c r="Y9" s="56" t="str">
        <f>IF(COUNTIFS('LANÇAMENTOS DIÁRIOS'!$G$5:$G$500,"C",'LANÇAMENTOS DIÁRIOS'!$C$5:$C$500,$A9,'LANÇAMENTOS DIÁRIOS'!$O$5:$O$500,"&lt;=98899",'LANÇAMENTOS DIÁRIOS'!$P$5:$P$500,"&gt;=98800")&gt;0,"X","")</f>
      </c>
      <c r="Z9" s="56" t="str">
        <f>IF(COUNTIFS('LANÇAMENTOS DIÁRIOS'!$G$5:$G$500,"C",'LANÇAMENTOS DIÁRIOS'!$C$5:$C$500,$A9,'LANÇAMENTOS DIÁRIOS'!$O$5:$O$500,"&lt;=98999",'LANÇAMENTOS DIÁRIOS'!$P$5:$P$500,"&gt;=98900")&gt;0,"X","")</f>
      </c>
      <c r="AA9" s="56" t="str">
        <f>IF(COUNTIFS('LANÇAMENTOS DIÁRIOS'!$G$5:$G$500,"C",'LANÇAMENTOS DIÁRIOS'!$C$5:$C$500,$A9,'LANÇAMENTOS DIÁRIOS'!$O$5:$O$500,"&lt;=99099",'LANÇAMENTOS DIÁRIOS'!$P$5:$P$500,"&gt;=99000")&gt;0,"X","")</f>
      </c>
      <c r="AB9" s="56" t="str">
        <f>IF(COUNTIFS('LANÇAMENTOS DIÁRIOS'!$G$5:$G$500,"C",'LANÇAMENTOS DIÁRIOS'!$C$5:$C$500,$A9,'LANÇAMENTOS DIÁRIOS'!$O$5:$O$500,"&lt;=99199",'LANÇAMENTOS DIÁRIOS'!$P$5:$P$500,"&gt;=99100")&gt;0,"X","")</f>
      </c>
      <c r="AC9" s="56" t="str">
        <f>IF(COUNTIFS('LANÇAMENTOS DIÁRIOS'!$G$5:$G$500,"C",'LANÇAMENTOS DIÁRIOS'!$C$5:$C$500,$A9,'LANÇAMENTOS DIÁRIOS'!$O$5:$O$500,"&lt;=99299",'LANÇAMENTOS DIÁRIOS'!$P$5:$P$500,"&gt;=99200")&gt;0,"X","")</f>
      </c>
      <c r="AD9" s="56" t="str">
        <f>IF(COUNTIFS('LANÇAMENTOS DIÁRIOS'!$G$5:$G$500,"C",'LANÇAMENTOS DIÁRIOS'!$C$5:$C$500,$A9,'LANÇAMENTOS DIÁRIOS'!$O$5:$O$500,"&lt;=99399",'LANÇAMENTOS DIÁRIOS'!$P$5:$P$500,"&gt;=99300")&gt;0,"X","")</f>
      </c>
      <c r="AE9" s="56" t="str">
        <f>IF(COUNTIFS('LANÇAMENTOS DIÁRIOS'!$G$5:$G$500,"C",'LANÇAMENTOS DIÁRIOS'!$C$5:$C$500,$A9,'LANÇAMENTOS DIÁRIOS'!$O$5:$O$500,"&lt;=99499",'LANÇAMENTOS DIÁRIOS'!$P$5:$P$500,"&gt;=99400")&gt;0,"X","")</f>
      </c>
      <c r="AF9" s="56" t="str">
        <f>IF(COUNTIFS('LANÇAMENTOS DIÁRIOS'!$G$5:$G$500,"C",'LANÇAMENTOS DIÁRIOS'!$C$5:$C$500,$A9,'LANÇAMENTOS DIÁRIOS'!$O$5:$O$500,"&lt;=99599",'LANÇAMENTOS DIÁRIOS'!$P$5:$P$500,"&gt;=99500")&gt;0,"X","")</f>
      </c>
      <c r="AG9" s="56" t="str">
        <f>IF(COUNTIFS('LANÇAMENTOS DIÁRIOS'!$G$5:$G$500,"C",'LANÇAMENTOS DIÁRIOS'!$C$5:$C$500,$A9,'LANÇAMENTOS DIÁRIOS'!$O$5:$O$500,"&lt;=99699",'LANÇAMENTOS DIÁRIOS'!$P$5:$P$500,"&gt;=99600")&gt;0,"X","")</f>
      </c>
      <c r="AH9" s="56" t="str">
        <f>IF(COUNTIFS('LANÇAMENTOS DIÁRIOS'!$G$5:$G$500,"C",'LANÇAMENTOS DIÁRIOS'!$C$5:$C$500,$A9,'LANÇAMENTOS DIÁRIOS'!$O$5:$O$500,"&lt;=99799",'LANÇAMENTOS DIÁRIOS'!$P$5:$P$500,"&gt;=99700")&gt;0,"X","")</f>
      </c>
      <c r="AI9" s="56" t="str">
        <f>IF(COUNTIFS('LANÇAMENTOS DIÁRIOS'!$G$5:$G$500,"C",'LANÇAMENTOS DIÁRIOS'!$C$5:$C$500,$A9,'LANÇAMENTOS DIÁRIOS'!$O$5:$O$500,"&lt;=99899",'LANÇAMENTOS DIÁRIOS'!$P$5:$P$500,"&gt;=99800")&gt;0,"X","")</f>
      </c>
      <c r="AJ9" s="56" t="str">
        <f>IF(COUNTIFS('LANÇAMENTOS DIÁRIOS'!$G$5:$G$500,"C",'LANÇAMENTOS DIÁRIOS'!$C$5:$C$500,$A9,'LANÇAMENTOS DIÁRIOS'!$O$5:$O$500,"&lt;=99999",'LANÇAMENTOS DIÁRIOS'!$P$5:$P$500,"&gt;=99900")&gt;0,"X","")</f>
      </c>
      <c r="AK9" s="56" t="str">
        <f>IF(COUNTIFS('LANÇAMENTOS DIÁRIOS'!$G$5:$G$500,"C",'LANÇAMENTOS DIÁRIOS'!$C$5:$C$500,$A9,'LANÇAMENTOS DIÁRIOS'!$O$5:$O$500,"&lt;=100099",'LANÇAMENTOS DIÁRIOS'!$P$5:$P$500,"&gt;=100000")&gt;0,"X","")</f>
      </c>
      <c r="AL9" s="56" t="str">
        <f>IF(COUNTIFS('LANÇAMENTOS DIÁRIOS'!$G$5:$G$500,"C",'LANÇAMENTOS DIÁRIOS'!$C$5:$C$500,$A9,'LANÇAMENTOS DIÁRIOS'!$O$5:$O$500,"&lt;=100199",'LANÇAMENTOS DIÁRIOS'!$P$5:$P$500,"&gt;=100100")&gt;0,"X","")</f>
      </c>
      <c r="AM9" s="56" t="str">
        <f>IF(COUNTIFS('LANÇAMENTOS DIÁRIOS'!$G$5:$G$500,"C",'LANÇAMENTOS DIÁRIOS'!$C$5:$C$500,$A9,'LANÇAMENTOS DIÁRIOS'!$O$5:$O$500,"&lt;=100299",'LANÇAMENTOS DIÁRIOS'!$P$5:$P$500,"&gt;=100200")&gt;0,"X","")</f>
      </c>
      <c r="AN9" s="56" t="str">
        <f>IF(COUNTIFS('LANÇAMENTOS DIÁRIOS'!$G$5:$G$500,"C",'LANÇAMENTOS DIÁRIOS'!$C$5:$C$500,$A9,'LANÇAMENTOS DIÁRIOS'!$O$5:$O$500,"&lt;=100399",'LANÇAMENTOS DIÁRIOS'!$P$5:$P$500,"&gt;=100300")&gt;0,"X","")</f>
      </c>
      <c r="AO9" s="56" t="str">
        <f>IF(COUNTIFS('LANÇAMENTOS DIÁRIOS'!$G$5:$G$500,"C",'LANÇAMENTOS DIÁRIOS'!$C$5:$C$500,$A9,'LANÇAMENTOS DIÁRIOS'!$O$5:$O$500,"&lt;=100499",'LANÇAMENTOS DIÁRIOS'!$P$5:$P$500,"&gt;=100400")&gt;0,"X","")</f>
      </c>
      <c r="AP9" s="56" t="str">
        <f>IF(COUNTIFS('LANÇAMENTOS DIÁRIOS'!$G$5:$G$500,"C",'LANÇAMENTOS DIÁRIOS'!$C$5:$C$500,$A9,'LANÇAMENTOS DIÁRIOS'!$O$5:$O$500,"&lt;=100500",'LANÇAMENTOS DIÁRIOS'!$P$5:$P$500,"&gt;=100500")&gt;0,"X","")</f>
      </c>
    </row>
    <row r="10">
      <c r="A10" s="51" t="str">
        <v>Remoção de bueiro</v>
      </c>
      <c r="B10" s="56" t="str">
        <f>IF(COUNTIFS('LANÇAMENTOS DIÁRIOS'!$G$5:$G$500,"C",'LANÇAMENTOS DIÁRIOS'!$C$5:$C$500,$A10,'LANÇAMENTOS DIÁRIOS'!$O$5:$O$500,"&lt;=96599",'LANÇAMENTOS DIÁRIOS'!$P$5:$P$500,"&gt;=96500")&gt;0,"X","")</f>
      </c>
      <c r="C10" s="56" t="str">
        <f>IF(COUNTIFS('LANÇAMENTOS DIÁRIOS'!$G$5:$G$500,"C",'LANÇAMENTOS DIÁRIOS'!$C$5:$C$500,$A10,'LANÇAMENTOS DIÁRIOS'!$O$5:$O$500,"&lt;=96699",'LANÇAMENTOS DIÁRIOS'!$P$5:$P$500,"&gt;=96600")&gt;0,"X","")</f>
      </c>
      <c r="D10" s="56" t="str">
        <f>IF(COUNTIFS('LANÇAMENTOS DIÁRIOS'!$G$5:$G$500,"C",'LANÇAMENTOS DIÁRIOS'!$C$5:$C$500,$A10,'LANÇAMENTOS DIÁRIOS'!$O$5:$O$500,"&lt;=96799",'LANÇAMENTOS DIÁRIOS'!$P$5:$P$500,"&gt;=96700")&gt;0,"X","")</f>
      </c>
      <c r="E10" s="56" t="str">
        <f>IF(COUNTIFS('LANÇAMENTOS DIÁRIOS'!$G$5:$G$500,"C",'LANÇAMENTOS DIÁRIOS'!$C$5:$C$500,$A10,'LANÇAMENTOS DIÁRIOS'!$O$5:$O$500,"&lt;=96899",'LANÇAMENTOS DIÁRIOS'!$P$5:$P$500,"&gt;=96800")&gt;0,"X","")</f>
      </c>
      <c r="F10" s="56" t="str">
        <f>IF(COUNTIFS('LANÇAMENTOS DIÁRIOS'!$G$5:$G$500,"C",'LANÇAMENTOS DIÁRIOS'!$C$5:$C$500,$A10,'LANÇAMENTOS DIÁRIOS'!$O$5:$O$500,"&lt;=96999",'LANÇAMENTOS DIÁRIOS'!$P$5:$P$500,"&gt;=96900")&gt;0,"X","")</f>
      </c>
      <c r="G10" s="56" t="str">
        <f>IF(COUNTIFS('LANÇAMENTOS DIÁRIOS'!$G$5:$G$500,"C",'LANÇAMENTOS DIÁRIOS'!$C$5:$C$500,$A10,'LANÇAMENTOS DIÁRIOS'!$O$5:$O$500,"&lt;=97099",'LANÇAMENTOS DIÁRIOS'!$P$5:$P$500,"&gt;=97000")&gt;0,"X","")</f>
      </c>
      <c r="H10" s="56" t="str">
        <f>IF(COUNTIFS('LANÇAMENTOS DIÁRIOS'!$G$5:$G$500,"C",'LANÇAMENTOS DIÁRIOS'!$C$5:$C$500,$A10,'LANÇAMENTOS DIÁRIOS'!$O$5:$O$500,"&lt;=97199",'LANÇAMENTOS DIÁRIOS'!$P$5:$P$500,"&gt;=97100")&gt;0,"X","")</f>
      </c>
      <c r="I10" s="56" t="str">
        <f>IF(COUNTIFS('LANÇAMENTOS DIÁRIOS'!$G$5:$G$500,"C",'LANÇAMENTOS DIÁRIOS'!$C$5:$C$500,$A10,'LANÇAMENTOS DIÁRIOS'!$O$5:$O$500,"&lt;=97299",'LANÇAMENTOS DIÁRIOS'!$P$5:$P$500,"&gt;=97200")&gt;0,"X","")</f>
      </c>
      <c r="J10" s="56" t="str">
        <f>IF(COUNTIFS('LANÇAMENTOS DIÁRIOS'!$G$5:$G$500,"C",'LANÇAMENTOS DIÁRIOS'!$C$5:$C$500,$A10,'LANÇAMENTOS DIÁRIOS'!$O$5:$O$500,"&lt;=97399",'LANÇAMENTOS DIÁRIOS'!$P$5:$P$500,"&gt;=97300")&gt;0,"X","")</f>
      </c>
      <c r="K10" s="56" t="str">
        <f>IF(COUNTIFS('LANÇAMENTOS DIÁRIOS'!$G$5:$G$500,"C",'LANÇAMENTOS DIÁRIOS'!$C$5:$C$500,$A10,'LANÇAMENTOS DIÁRIOS'!$O$5:$O$500,"&lt;=97499",'LANÇAMENTOS DIÁRIOS'!$P$5:$P$500,"&gt;=97400")&gt;0,"X","")</f>
      </c>
      <c r="L10" s="56" t="str">
        <f>IF(COUNTIFS('LANÇAMENTOS DIÁRIOS'!$G$5:$G$500,"C",'LANÇAMENTOS DIÁRIOS'!$C$5:$C$500,$A10,'LANÇAMENTOS DIÁRIOS'!$O$5:$O$500,"&lt;=97599",'LANÇAMENTOS DIÁRIOS'!$P$5:$P$500,"&gt;=97500")&gt;0,"X","")</f>
      </c>
      <c r="M10" s="56" t="str">
        <f>IF(COUNTIFS('LANÇAMENTOS DIÁRIOS'!$G$5:$G$500,"C",'LANÇAMENTOS DIÁRIOS'!$C$5:$C$500,$A10,'LANÇAMENTOS DIÁRIOS'!$O$5:$O$500,"&lt;=97699",'LANÇAMENTOS DIÁRIOS'!$P$5:$P$500,"&gt;=97600")&gt;0,"X","")</f>
      </c>
      <c r="N10" s="56" t="str">
        <f>IF(COUNTIFS('LANÇAMENTOS DIÁRIOS'!$G$5:$G$500,"C",'LANÇAMENTOS DIÁRIOS'!$C$5:$C$500,$A10,'LANÇAMENTOS DIÁRIOS'!$O$5:$O$500,"&lt;=97799",'LANÇAMENTOS DIÁRIOS'!$P$5:$P$500,"&gt;=97700")&gt;0,"X","")</f>
      </c>
      <c r="O10" s="56" t="str">
        <f>IF(COUNTIFS('LANÇAMENTOS DIÁRIOS'!$G$5:$G$500,"C",'LANÇAMENTOS DIÁRIOS'!$C$5:$C$500,$A10,'LANÇAMENTOS DIÁRIOS'!$O$5:$O$500,"&lt;=97899",'LANÇAMENTOS DIÁRIOS'!$P$5:$P$500,"&gt;=97800")&gt;0,"X","")</f>
      </c>
      <c r="P10" s="56" t="str">
        <f>IF(COUNTIFS('LANÇAMENTOS DIÁRIOS'!$G$5:$G$500,"C",'LANÇAMENTOS DIÁRIOS'!$C$5:$C$500,$A10,'LANÇAMENTOS DIÁRIOS'!$O$5:$O$500,"&lt;=97999",'LANÇAMENTOS DIÁRIOS'!$P$5:$P$500,"&gt;=97900")&gt;0,"X","")</f>
      </c>
      <c r="Q10" s="56" t="str">
        <f>IF(COUNTIFS('LANÇAMENTOS DIÁRIOS'!$G$5:$G$500,"C",'LANÇAMENTOS DIÁRIOS'!$C$5:$C$500,$A10,'LANÇAMENTOS DIÁRIOS'!$O$5:$O$500,"&lt;=98099",'LANÇAMENTOS DIÁRIOS'!$P$5:$P$500,"&gt;=98000")&gt;0,"X","")</f>
      </c>
      <c r="R10" s="56" t="str">
        <f>IF(COUNTIFS('LANÇAMENTOS DIÁRIOS'!$G$5:$G$500,"C",'LANÇAMENTOS DIÁRIOS'!$C$5:$C$500,$A10,'LANÇAMENTOS DIÁRIOS'!$O$5:$O$500,"&lt;=98199",'LANÇAMENTOS DIÁRIOS'!$P$5:$P$500,"&gt;=98100")&gt;0,"X","")</f>
      </c>
      <c r="S10" s="56" t="str">
        <f>IF(COUNTIFS('LANÇAMENTOS DIÁRIOS'!$G$5:$G$500,"C",'LANÇAMENTOS DIÁRIOS'!$C$5:$C$500,$A10,'LANÇAMENTOS DIÁRIOS'!$O$5:$O$500,"&lt;=98299",'LANÇAMENTOS DIÁRIOS'!$P$5:$P$500,"&gt;=98200")&gt;0,"X","")</f>
      </c>
      <c r="T10" s="56" t="str">
        <f>IF(COUNTIFS('LANÇAMENTOS DIÁRIOS'!$G$5:$G$500,"C",'LANÇAMENTOS DIÁRIOS'!$C$5:$C$500,$A10,'LANÇAMENTOS DIÁRIOS'!$O$5:$O$500,"&lt;=98399",'LANÇAMENTOS DIÁRIOS'!$P$5:$P$500,"&gt;=98300")&gt;0,"X","")</f>
      </c>
      <c r="U10" s="56" t="str">
        <f>IF(COUNTIFS('LANÇAMENTOS DIÁRIOS'!$G$5:$G$500,"C",'LANÇAMENTOS DIÁRIOS'!$C$5:$C$500,$A10,'LANÇAMENTOS DIÁRIOS'!$O$5:$O$500,"&lt;=98499",'LANÇAMENTOS DIÁRIOS'!$P$5:$P$500,"&gt;=98400")&gt;0,"X","")</f>
      </c>
      <c r="V10" s="56" t="str">
        <f>IF(COUNTIFS('LANÇAMENTOS DIÁRIOS'!$G$5:$G$500,"C",'LANÇAMENTOS DIÁRIOS'!$C$5:$C$500,$A10,'LANÇAMENTOS DIÁRIOS'!$O$5:$O$500,"&lt;=98599",'LANÇAMENTOS DIÁRIOS'!$P$5:$P$500,"&gt;=98500")&gt;0,"X","")</f>
      </c>
      <c r="W10" s="56" t="str">
        <f>IF(COUNTIFS('LANÇAMENTOS DIÁRIOS'!$G$5:$G$500,"C",'LANÇAMENTOS DIÁRIOS'!$C$5:$C$500,$A10,'LANÇAMENTOS DIÁRIOS'!$O$5:$O$500,"&lt;=98699",'LANÇAMENTOS DIÁRIOS'!$P$5:$P$500,"&gt;=98600")&gt;0,"X","")</f>
      </c>
      <c r="X10" s="56" t="str">
        <f>IF(COUNTIFS('LANÇAMENTOS DIÁRIOS'!$G$5:$G$500,"C",'LANÇAMENTOS DIÁRIOS'!$C$5:$C$500,$A10,'LANÇAMENTOS DIÁRIOS'!$O$5:$O$500,"&lt;=98799",'LANÇAMENTOS DIÁRIOS'!$P$5:$P$500,"&gt;=98700")&gt;0,"X","")</f>
      </c>
      <c r="Y10" s="56" t="str">
        <f>IF(COUNTIFS('LANÇAMENTOS DIÁRIOS'!$G$5:$G$500,"C",'LANÇAMENTOS DIÁRIOS'!$C$5:$C$500,$A10,'LANÇAMENTOS DIÁRIOS'!$O$5:$O$500,"&lt;=98899",'LANÇAMENTOS DIÁRIOS'!$P$5:$P$500,"&gt;=98800")&gt;0,"X","")</f>
      </c>
      <c r="Z10" s="56" t="str">
        <f>IF(COUNTIFS('LANÇAMENTOS DIÁRIOS'!$G$5:$G$500,"C",'LANÇAMENTOS DIÁRIOS'!$C$5:$C$500,$A10,'LANÇAMENTOS DIÁRIOS'!$O$5:$O$500,"&lt;=98999",'LANÇAMENTOS DIÁRIOS'!$P$5:$P$500,"&gt;=98900")&gt;0,"X","")</f>
      </c>
      <c r="AA10" s="56" t="str">
        <f>IF(COUNTIFS('LANÇAMENTOS DIÁRIOS'!$G$5:$G$500,"C",'LANÇAMENTOS DIÁRIOS'!$C$5:$C$500,$A10,'LANÇAMENTOS DIÁRIOS'!$O$5:$O$500,"&lt;=99099",'LANÇAMENTOS DIÁRIOS'!$P$5:$P$500,"&gt;=99000")&gt;0,"X","")</f>
      </c>
      <c r="AB10" s="56" t="str">
        <f>IF(COUNTIFS('LANÇAMENTOS DIÁRIOS'!$G$5:$G$500,"C",'LANÇAMENTOS DIÁRIOS'!$C$5:$C$500,$A10,'LANÇAMENTOS DIÁRIOS'!$O$5:$O$500,"&lt;=99199",'LANÇAMENTOS DIÁRIOS'!$P$5:$P$500,"&gt;=99100")&gt;0,"X","")</f>
      </c>
      <c r="AC10" s="56" t="str">
        <f>IF(COUNTIFS('LANÇAMENTOS DIÁRIOS'!$G$5:$G$500,"C",'LANÇAMENTOS DIÁRIOS'!$C$5:$C$500,$A10,'LANÇAMENTOS DIÁRIOS'!$O$5:$O$500,"&lt;=99299",'LANÇAMENTOS DIÁRIOS'!$P$5:$P$500,"&gt;=99200")&gt;0,"X","")</f>
      </c>
      <c r="AD10" s="56" t="str">
        <f>IF(COUNTIFS('LANÇAMENTOS DIÁRIOS'!$G$5:$G$500,"C",'LANÇAMENTOS DIÁRIOS'!$C$5:$C$500,$A10,'LANÇAMENTOS DIÁRIOS'!$O$5:$O$500,"&lt;=99399",'LANÇAMENTOS DIÁRIOS'!$P$5:$P$500,"&gt;=99300")&gt;0,"X","")</f>
      </c>
      <c r="AE10" s="56" t="str">
        <f>IF(COUNTIFS('LANÇAMENTOS DIÁRIOS'!$G$5:$G$500,"C",'LANÇAMENTOS DIÁRIOS'!$C$5:$C$500,$A10,'LANÇAMENTOS DIÁRIOS'!$O$5:$O$500,"&lt;=99499",'LANÇAMENTOS DIÁRIOS'!$P$5:$P$500,"&gt;=99400")&gt;0,"X","")</f>
      </c>
      <c r="AF10" s="56" t="str">
        <f>IF(COUNTIFS('LANÇAMENTOS DIÁRIOS'!$G$5:$G$500,"C",'LANÇAMENTOS DIÁRIOS'!$C$5:$C$500,$A10,'LANÇAMENTOS DIÁRIOS'!$O$5:$O$500,"&lt;=99599",'LANÇAMENTOS DIÁRIOS'!$P$5:$P$500,"&gt;=99500")&gt;0,"X","")</f>
      </c>
      <c r="AG10" s="56" t="str">
        <f>IF(COUNTIFS('LANÇAMENTOS DIÁRIOS'!$G$5:$G$500,"C",'LANÇAMENTOS DIÁRIOS'!$C$5:$C$500,$A10,'LANÇAMENTOS DIÁRIOS'!$O$5:$O$500,"&lt;=99699",'LANÇAMENTOS DIÁRIOS'!$P$5:$P$500,"&gt;=99600")&gt;0,"X","")</f>
      </c>
      <c r="AH10" s="56" t="str">
        <f>IF(COUNTIFS('LANÇAMENTOS DIÁRIOS'!$G$5:$G$500,"C",'LANÇAMENTOS DIÁRIOS'!$C$5:$C$500,$A10,'LANÇAMENTOS DIÁRIOS'!$O$5:$O$500,"&lt;=99799",'LANÇAMENTOS DIÁRIOS'!$P$5:$P$500,"&gt;=99700")&gt;0,"X","")</f>
      </c>
      <c r="AI10" s="56" t="str">
        <f>IF(COUNTIFS('LANÇAMENTOS DIÁRIOS'!$G$5:$G$500,"C",'LANÇAMENTOS DIÁRIOS'!$C$5:$C$500,$A10,'LANÇAMENTOS DIÁRIOS'!$O$5:$O$500,"&lt;=99899",'LANÇAMENTOS DIÁRIOS'!$P$5:$P$500,"&gt;=99800")&gt;0,"X","")</f>
      </c>
      <c r="AJ10" s="56" t="str">
        <f>IF(COUNTIFS('LANÇAMENTOS DIÁRIOS'!$G$5:$G$500,"C",'LANÇAMENTOS DIÁRIOS'!$C$5:$C$500,$A10,'LANÇAMENTOS DIÁRIOS'!$O$5:$O$500,"&lt;=99999",'LANÇAMENTOS DIÁRIOS'!$P$5:$P$500,"&gt;=99900")&gt;0,"X","")</f>
      </c>
      <c r="AK10" s="56" t="str">
        <f>IF(COUNTIFS('LANÇAMENTOS DIÁRIOS'!$G$5:$G$500,"C",'LANÇAMENTOS DIÁRIOS'!$C$5:$C$500,$A10,'LANÇAMENTOS DIÁRIOS'!$O$5:$O$500,"&lt;=100099",'LANÇAMENTOS DIÁRIOS'!$P$5:$P$500,"&gt;=100000")&gt;0,"X","")</f>
      </c>
      <c r="AL10" s="56" t="str">
        <f>IF(COUNTIFS('LANÇAMENTOS DIÁRIOS'!$G$5:$G$500,"C",'LANÇAMENTOS DIÁRIOS'!$C$5:$C$500,$A10,'LANÇAMENTOS DIÁRIOS'!$O$5:$O$500,"&lt;=100199",'LANÇAMENTOS DIÁRIOS'!$P$5:$P$500,"&gt;=100100")&gt;0,"X","")</f>
      </c>
      <c r="AM10" s="56" t="str">
        <f>IF(COUNTIFS('LANÇAMENTOS DIÁRIOS'!$G$5:$G$500,"C",'LANÇAMENTOS DIÁRIOS'!$C$5:$C$500,$A10,'LANÇAMENTOS DIÁRIOS'!$O$5:$O$500,"&lt;=100299",'LANÇAMENTOS DIÁRIOS'!$P$5:$P$500,"&gt;=100200")&gt;0,"X","")</f>
      </c>
      <c r="AN10" s="56" t="str">
        <f>IF(COUNTIFS('LANÇAMENTOS DIÁRIOS'!$G$5:$G$500,"C",'LANÇAMENTOS DIÁRIOS'!$C$5:$C$500,$A10,'LANÇAMENTOS DIÁRIOS'!$O$5:$O$500,"&lt;=100399",'LANÇAMENTOS DIÁRIOS'!$P$5:$P$500,"&gt;=100300")&gt;0,"X","")</f>
      </c>
      <c r="AO10" s="56" t="str">
        <f>IF(COUNTIFS('LANÇAMENTOS DIÁRIOS'!$G$5:$G$500,"C",'LANÇAMENTOS DIÁRIOS'!$C$5:$C$500,$A10,'LANÇAMENTOS DIÁRIOS'!$O$5:$O$500,"&lt;=100499",'LANÇAMENTOS DIÁRIOS'!$P$5:$P$500,"&gt;=100400")&gt;0,"X","")</f>
      </c>
      <c r="AP10" s="56" t="str">
        <f>IF(COUNTIFS('LANÇAMENTOS DIÁRIOS'!$G$5:$G$500,"C",'LANÇAMENTOS DIÁRIOS'!$C$5:$C$500,$A10,'LANÇAMENTOS DIÁRIOS'!$O$5:$O$500,"&lt;=100500",'LANÇAMENTOS DIÁRIOS'!$P$5:$P$500,"&gt;=100500")&gt;0,"X","")</f>
      </c>
    </row>
    <row r="11">
      <c r="A11" s="51" t="str">
        <v>Demolição de dispositivos de concreto armado</v>
      </c>
      <c r="B11" s="56" t="str">
        <f>IF(COUNTIFS('LANÇAMENTOS DIÁRIOS'!$G$5:$G$500,"C",'LANÇAMENTOS DIÁRIOS'!$C$5:$C$500,$A11,'LANÇAMENTOS DIÁRIOS'!$O$5:$O$500,"&lt;=96599",'LANÇAMENTOS DIÁRIOS'!$P$5:$P$500,"&gt;=96500")&gt;0,"X","")</f>
      </c>
      <c r="C11" s="56" t="str">
        <f>IF(COUNTIFS('LANÇAMENTOS DIÁRIOS'!$G$5:$G$500,"C",'LANÇAMENTOS DIÁRIOS'!$C$5:$C$500,$A11,'LANÇAMENTOS DIÁRIOS'!$O$5:$O$500,"&lt;=96699",'LANÇAMENTOS DIÁRIOS'!$P$5:$P$500,"&gt;=96600")&gt;0,"X","")</f>
      </c>
      <c r="D11" s="56" t="str">
        <f>IF(COUNTIFS('LANÇAMENTOS DIÁRIOS'!$G$5:$G$500,"C",'LANÇAMENTOS DIÁRIOS'!$C$5:$C$500,$A11,'LANÇAMENTOS DIÁRIOS'!$O$5:$O$500,"&lt;=96799",'LANÇAMENTOS DIÁRIOS'!$P$5:$P$500,"&gt;=96700")&gt;0,"X","")</f>
      </c>
      <c r="E11" s="56" t="str">
        <f>IF(COUNTIFS('LANÇAMENTOS DIÁRIOS'!$G$5:$G$500,"C",'LANÇAMENTOS DIÁRIOS'!$C$5:$C$500,$A11,'LANÇAMENTOS DIÁRIOS'!$O$5:$O$500,"&lt;=96899",'LANÇAMENTOS DIÁRIOS'!$P$5:$P$500,"&gt;=96800")&gt;0,"X","")</f>
      </c>
      <c r="F11" s="56" t="str">
        <f>IF(COUNTIFS('LANÇAMENTOS DIÁRIOS'!$G$5:$G$500,"C",'LANÇAMENTOS DIÁRIOS'!$C$5:$C$500,$A11,'LANÇAMENTOS DIÁRIOS'!$O$5:$O$500,"&lt;=96999",'LANÇAMENTOS DIÁRIOS'!$P$5:$P$500,"&gt;=96900")&gt;0,"X","")</f>
      </c>
      <c r="G11" s="56" t="str">
        <f>IF(COUNTIFS('LANÇAMENTOS DIÁRIOS'!$G$5:$G$500,"C",'LANÇAMENTOS DIÁRIOS'!$C$5:$C$500,$A11,'LANÇAMENTOS DIÁRIOS'!$O$5:$O$500,"&lt;=97099",'LANÇAMENTOS DIÁRIOS'!$P$5:$P$500,"&gt;=97000")&gt;0,"X","")</f>
      </c>
      <c r="H11" s="56" t="str">
        <f>IF(COUNTIFS('LANÇAMENTOS DIÁRIOS'!$G$5:$G$500,"C",'LANÇAMENTOS DIÁRIOS'!$C$5:$C$500,$A11,'LANÇAMENTOS DIÁRIOS'!$O$5:$O$500,"&lt;=97199",'LANÇAMENTOS DIÁRIOS'!$P$5:$P$500,"&gt;=97100")&gt;0,"X","")</f>
      </c>
      <c r="I11" s="56" t="str">
        <f>IF(COUNTIFS('LANÇAMENTOS DIÁRIOS'!$G$5:$G$500,"C",'LANÇAMENTOS DIÁRIOS'!$C$5:$C$500,$A11,'LANÇAMENTOS DIÁRIOS'!$O$5:$O$500,"&lt;=97299",'LANÇAMENTOS DIÁRIOS'!$P$5:$P$500,"&gt;=97200")&gt;0,"X","")</f>
      </c>
      <c r="J11" s="56" t="str">
        <f>IF(COUNTIFS('LANÇAMENTOS DIÁRIOS'!$G$5:$G$500,"C",'LANÇAMENTOS DIÁRIOS'!$C$5:$C$500,$A11,'LANÇAMENTOS DIÁRIOS'!$O$5:$O$500,"&lt;=97399",'LANÇAMENTOS DIÁRIOS'!$P$5:$P$500,"&gt;=97300")&gt;0,"X","")</f>
      </c>
      <c r="K11" s="56" t="str">
        <f>IF(COUNTIFS('LANÇAMENTOS DIÁRIOS'!$G$5:$G$500,"C",'LANÇAMENTOS DIÁRIOS'!$C$5:$C$500,$A11,'LANÇAMENTOS DIÁRIOS'!$O$5:$O$500,"&lt;=97499",'LANÇAMENTOS DIÁRIOS'!$P$5:$P$500,"&gt;=97400")&gt;0,"X","")</f>
      </c>
      <c r="L11" s="56" t="str">
        <f>IF(COUNTIFS('LANÇAMENTOS DIÁRIOS'!$G$5:$G$500,"C",'LANÇAMENTOS DIÁRIOS'!$C$5:$C$500,$A11,'LANÇAMENTOS DIÁRIOS'!$O$5:$O$500,"&lt;=97599",'LANÇAMENTOS DIÁRIOS'!$P$5:$P$500,"&gt;=97500")&gt;0,"X","")</f>
      </c>
      <c r="M11" s="56" t="str">
        <f>IF(COUNTIFS('LANÇAMENTOS DIÁRIOS'!$G$5:$G$500,"C",'LANÇAMENTOS DIÁRIOS'!$C$5:$C$500,$A11,'LANÇAMENTOS DIÁRIOS'!$O$5:$O$500,"&lt;=97699",'LANÇAMENTOS DIÁRIOS'!$P$5:$P$500,"&gt;=97600")&gt;0,"X","")</f>
      </c>
      <c r="N11" s="56" t="str">
        <f>IF(COUNTIFS('LANÇAMENTOS DIÁRIOS'!$G$5:$G$500,"C",'LANÇAMENTOS DIÁRIOS'!$C$5:$C$500,$A11,'LANÇAMENTOS DIÁRIOS'!$O$5:$O$500,"&lt;=97799",'LANÇAMENTOS DIÁRIOS'!$P$5:$P$500,"&gt;=97700")&gt;0,"X","")</f>
      </c>
      <c r="O11" s="56" t="str">
        <f>IF(COUNTIFS('LANÇAMENTOS DIÁRIOS'!$G$5:$G$500,"C",'LANÇAMENTOS DIÁRIOS'!$C$5:$C$500,$A11,'LANÇAMENTOS DIÁRIOS'!$O$5:$O$500,"&lt;=97899",'LANÇAMENTOS DIÁRIOS'!$P$5:$P$500,"&gt;=97800")&gt;0,"X","")</f>
      </c>
      <c r="P11" s="56" t="str">
        <f>IF(COUNTIFS('LANÇAMENTOS DIÁRIOS'!$G$5:$G$500,"C",'LANÇAMENTOS DIÁRIOS'!$C$5:$C$500,$A11,'LANÇAMENTOS DIÁRIOS'!$O$5:$O$500,"&lt;=97999",'LANÇAMENTOS DIÁRIOS'!$P$5:$P$500,"&gt;=97900")&gt;0,"X","")</f>
      </c>
      <c r="Q11" s="56" t="str">
        <f>IF(COUNTIFS('LANÇAMENTOS DIÁRIOS'!$G$5:$G$500,"C",'LANÇAMENTOS DIÁRIOS'!$C$5:$C$500,$A11,'LANÇAMENTOS DIÁRIOS'!$O$5:$O$500,"&lt;=98099",'LANÇAMENTOS DIÁRIOS'!$P$5:$P$500,"&gt;=98000")&gt;0,"X","")</f>
      </c>
      <c r="R11" s="56" t="str">
        <f>IF(COUNTIFS('LANÇAMENTOS DIÁRIOS'!$G$5:$G$500,"C",'LANÇAMENTOS DIÁRIOS'!$C$5:$C$500,$A11,'LANÇAMENTOS DIÁRIOS'!$O$5:$O$500,"&lt;=98199",'LANÇAMENTOS DIÁRIOS'!$P$5:$P$500,"&gt;=98100")&gt;0,"X","")</f>
      </c>
      <c r="S11" s="56" t="str">
        <f>IF(COUNTIFS('LANÇAMENTOS DIÁRIOS'!$G$5:$G$500,"C",'LANÇAMENTOS DIÁRIOS'!$C$5:$C$500,$A11,'LANÇAMENTOS DIÁRIOS'!$O$5:$O$500,"&lt;=98299",'LANÇAMENTOS DIÁRIOS'!$P$5:$P$500,"&gt;=98200")&gt;0,"X","")</f>
      </c>
      <c r="T11" s="56" t="str">
        <f>IF(COUNTIFS('LANÇAMENTOS DIÁRIOS'!$G$5:$G$500,"C",'LANÇAMENTOS DIÁRIOS'!$C$5:$C$500,$A11,'LANÇAMENTOS DIÁRIOS'!$O$5:$O$500,"&lt;=98399",'LANÇAMENTOS DIÁRIOS'!$P$5:$P$500,"&gt;=98300")&gt;0,"X","")</f>
      </c>
      <c r="U11" s="56" t="str">
        <f>IF(COUNTIFS('LANÇAMENTOS DIÁRIOS'!$G$5:$G$500,"C",'LANÇAMENTOS DIÁRIOS'!$C$5:$C$500,$A11,'LANÇAMENTOS DIÁRIOS'!$O$5:$O$500,"&lt;=98499",'LANÇAMENTOS DIÁRIOS'!$P$5:$P$500,"&gt;=98400")&gt;0,"X","")</f>
      </c>
      <c r="V11" s="56" t="str">
        <f>IF(COUNTIFS('LANÇAMENTOS DIÁRIOS'!$G$5:$G$500,"C",'LANÇAMENTOS DIÁRIOS'!$C$5:$C$500,$A11,'LANÇAMENTOS DIÁRIOS'!$O$5:$O$500,"&lt;=98599",'LANÇAMENTOS DIÁRIOS'!$P$5:$P$500,"&gt;=98500")&gt;0,"X","")</f>
      </c>
      <c r="W11" s="56" t="str">
        <f>IF(COUNTIFS('LANÇAMENTOS DIÁRIOS'!$G$5:$G$500,"C",'LANÇAMENTOS DIÁRIOS'!$C$5:$C$500,$A11,'LANÇAMENTOS DIÁRIOS'!$O$5:$O$500,"&lt;=98699",'LANÇAMENTOS DIÁRIOS'!$P$5:$P$500,"&gt;=98600")&gt;0,"X","")</f>
      </c>
      <c r="X11" s="56" t="str">
        <f>IF(COUNTIFS('LANÇAMENTOS DIÁRIOS'!$G$5:$G$500,"C",'LANÇAMENTOS DIÁRIOS'!$C$5:$C$500,$A11,'LANÇAMENTOS DIÁRIOS'!$O$5:$O$500,"&lt;=98799",'LANÇAMENTOS DIÁRIOS'!$P$5:$P$500,"&gt;=98700")&gt;0,"X","")</f>
      </c>
      <c r="Y11" s="56" t="str">
        <f>IF(COUNTIFS('LANÇAMENTOS DIÁRIOS'!$G$5:$G$500,"C",'LANÇAMENTOS DIÁRIOS'!$C$5:$C$500,$A11,'LANÇAMENTOS DIÁRIOS'!$O$5:$O$500,"&lt;=98899",'LANÇAMENTOS DIÁRIOS'!$P$5:$P$500,"&gt;=98800")&gt;0,"X","")</f>
      </c>
      <c r="Z11" s="56" t="str">
        <f>IF(COUNTIFS('LANÇAMENTOS DIÁRIOS'!$G$5:$G$500,"C",'LANÇAMENTOS DIÁRIOS'!$C$5:$C$500,$A11,'LANÇAMENTOS DIÁRIOS'!$O$5:$O$500,"&lt;=98999",'LANÇAMENTOS DIÁRIOS'!$P$5:$P$500,"&gt;=98900")&gt;0,"X","")</f>
      </c>
      <c r="AA11" s="56" t="str">
        <f>IF(COUNTIFS('LANÇAMENTOS DIÁRIOS'!$G$5:$G$500,"C",'LANÇAMENTOS DIÁRIOS'!$C$5:$C$500,$A11,'LANÇAMENTOS DIÁRIOS'!$O$5:$O$500,"&lt;=99099",'LANÇAMENTOS DIÁRIOS'!$P$5:$P$500,"&gt;=99000")&gt;0,"X","")</f>
      </c>
      <c r="AB11" s="56" t="str">
        <f>IF(COUNTIFS('LANÇAMENTOS DIÁRIOS'!$G$5:$G$500,"C",'LANÇAMENTOS DIÁRIOS'!$C$5:$C$500,$A11,'LANÇAMENTOS DIÁRIOS'!$O$5:$O$500,"&lt;=99199",'LANÇAMENTOS DIÁRIOS'!$P$5:$P$500,"&gt;=99100")&gt;0,"X","")</f>
      </c>
      <c r="AC11" s="56" t="str">
        <f>IF(COUNTIFS('LANÇAMENTOS DIÁRIOS'!$G$5:$G$500,"C",'LANÇAMENTOS DIÁRIOS'!$C$5:$C$500,$A11,'LANÇAMENTOS DIÁRIOS'!$O$5:$O$500,"&lt;=99299",'LANÇAMENTOS DIÁRIOS'!$P$5:$P$500,"&gt;=99200")&gt;0,"X","")</f>
      </c>
      <c r="AD11" s="56" t="str">
        <f>IF(COUNTIFS('LANÇAMENTOS DIÁRIOS'!$G$5:$G$500,"C",'LANÇAMENTOS DIÁRIOS'!$C$5:$C$500,$A11,'LANÇAMENTOS DIÁRIOS'!$O$5:$O$500,"&lt;=99399",'LANÇAMENTOS DIÁRIOS'!$P$5:$P$500,"&gt;=99300")&gt;0,"X","")</f>
      </c>
      <c r="AE11" s="56" t="str">
        <f>IF(COUNTIFS('LANÇAMENTOS DIÁRIOS'!$G$5:$G$500,"C",'LANÇAMENTOS DIÁRIOS'!$C$5:$C$500,$A11,'LANÇAMENTOS DIÁRIOS'!$O$5:$O$500,"&lt;=99499",'LANÇAMENTOS DIÁRIOS'!$P$5:$P$500,"&gt;=99400")&gt;0,"X","")</f>
      </c>
      <c r="AF11" s="56" t="str">
        <f>IF(COUNTIFS('LANÇAMENTOS DIÁRIOS'!$G$5:$G$500,"C",'LANÇAMENTOS DIÁRIOS'!$C$5:$C$500,$A11,'LANÇAMENTOS DIÁRIOS'!$O$5:$O$500,"&lt;=99599",'LANÇAMENTOS DIÁRIOS'!$P$5:$P$500,"&gt;=99500")&gt;0,"X","")</f>
      </c>
      <c r="AG11" s="56" t="str">
        <f>IF(COUNTIFS('LANÇAMENTOS DIÁRIOS'!$G$5:$G$500,"C",'LANÇAMENTOS DIÁRIOS'!$C$5:$C$500,$A11,'LANÇAMENTOS DIÁRIOS'!$O$5:$O$500,"&lt;=99699",'LANÇAMENTOS DIÁRIOS'!$P$5:$P$500,"&gt;=99600")&gt;0,"X","")</f>
      </c>
      <c r="AH11" s="56" t="str">
        <f>IF(COUNTIFS('LANÇAMENTOS DIÁRIOS'!$G$5:$G$500,"C",'LANÇAMENTOS DIÁRIOS'!$C$5:$C$500,$A11,'LANÇAMENTOS DIÁRIOS'!$O$5:$O$500,"&lt;=99799",'LANÇAMENTOS DIÁRIOS'!$P$5:$P$500,"&gt;=99700")&gt;0,"X","")</f>
      </c>
      <c r="AI11" s="56" t="str">
        <f>IF(COUNTIFS('LANÇAMENTOS DIÁRIOS'!$G$5:$G$500,"C",'LANÇAMENTOS DIÁRIOS'!$C$5:$C$500,$A11,'LANÇAMENTOS DIÁRIOS'!$O$5:$O$500,"&lt;=99899",'LANÇAMENTOS DIÁRIOS'!$P$5:$P$500,"&gt;=99800")&gt;0,"X","")</f>
      </c>
      <c r="AJ11" s="56" t="str">
        <f>IF(COUNTIFS('LANÇAMENTOS DIÁRIOS'!$G$5:$G$500,"C",'LANÇAMENTOS DIÁRIOS'!$C$5:$C$500,$A11,'LANÇAMENTOS DIÁRIOS'!$O$5:$O$500,"&lt;=99999",'LANÇAMENTOS DIÁRIOS'!$P$5:$P$500,"&gt;=99900")&gt;0,"X","")</f>
      </c>
      <c r="AK11" s="56" t="str">
        <f>IF(COUNTIFS('LANÇAMENTOS DIÁRIOS'!$G$5:$G$500,"C",'LANÇAMENTOS DIÁRIOS'!$C$5:$C$500,$A11,'LANÇAMENTOS DIÁRIOS'!$O$5:$O$500,"&lt;=100099",'LANÇAMENTOS DIÁRIOS'!$P$5:$P$500,"&gt;=100000")&gt;0,"X","")</f>
      </c>
      <c r="AL11" s="56" t="str">
        <f>IF(COUNTIFS('LANÇAMENTOS DIÁRIOS'!$G$5:$G$500,"C",'LANÇAMENTOS DIÁRIOS'!$C$5:$C$500,$A11,'LANÇAMENTOS DIÁRIOS'!$O$5:$O$500,"&lt;=100199",'LANÇAMENTOS DIÁRIOS'!$P$5:$P$500,"&gt;=100100")&gt;0,"X","")</f>
      </c>
      <c r="AM11" s="56" t="str">
        <f>IF(COUNTIFS('LANÇAMENTOS DIÁRIOS'!$G$5:$G$500,"C",'LANÇAMENTOS DIÁRIOS'!$C$5:$C$500,$A11,'LANÇAMENTOS DIÁRIOS'!$O$5:$O$500,"&lt;=100299",'LANÇAMENTOS DIÁRIOS'!$P$5:$P$500,"&gt;=100200")&gt;0,"X","")</f>
      </c>
      <c r="AN11" s="56" t="str">
        <f>IF(COUNTIFS('LANÇAMENTOS DIÁRIOS'!$G$5:$G$500,"C",'LANÇAMENTOS DIÁRIOS'!$C$5:$C$500,$A11,'LANÇAMENTOS DIÁRIOS'!$O$5:$O$500,"&lt;=100399",'LANÇAMENTOS DIÁRIOS'!$P$5:$P$500,"&gt;=100300")&gt;0,"X","")</f>
      </c>
      <c r="AO11" s="56" t="str">
        <f>IF(COUNTIFS('LANÇAMENTOS DIÁRIOS'!$G$5:$G$500,"C",'LANÇAMENTOS DIÁRIOS'!$C$5:$C$500,$A11,'LANÇAMENTOS DIÁRIOS'!$O$5:$O$500,"&lt;=100499",'LANÇAMENTOS DIÁRIOS'!$P$5:$P$500,"&gt;=100400")&gt;0,"X","")</f>
      </c>
      <c r="AP11" s="56" t="str">
        <f>IF(COUNTIFS('LANÇAMENTOS DIÁRIOS'!$G$5:$G$500,"C",'LANÇAMENTOS DIÁRIOS'!$C$5:$C$500,$A11,'LANÇAMENTOS DIÁRIOS'!$O$5:$O$500,"&lt;=100500",'LANÇAMENTOS DIÁRIOS'!$P$5:$P$500,"&gt;=100500")&gt;0,"X","")</f>
      </c>
    </row>
    <row r="12">
      <c r="A12" s="51" t="str">
        <v>Demolição de dispositivos de concreto simples</v>
      </c>
      <c r="B12" s="56" t="str">
        <f>IF(COUNTIFS('LANÇAMENTOS DIÁRIOS'!$G$5:$G$500,"C",'LANÇAMENTOS DIÁRIOS'!$C$5:$C$500,$A12,'LANÇAMENTOS DIÁRIOS'!$O$5:$O$500,"&lt;=96599",'LANÇAMENTOS DIÁRIOS'!$P$5:$P$500,"&gt;=96500")&gt;0,"X","")</f>
      </c>
      <c r="C12" s="56" t="str">
        <f>IF(COUNTIFS('LANÇAMENTOS DIÁRIOS'!$G$5:$G$500,"C",'LANÇAMENTOS DIÁRIOS'!$C$5:$C$500,$A12,'LANÇAMENTOS DIÁRIOS'!$O$5:$O$500,"&lt;=96699",'LANÇAMENTOS DIÁRIOS'!$P$5:$P$500,"&gt;=96600")&gt;0,"X","")</f>
      </c>
      <c r="D12" s="56" t="str">
        <f>IF(COUNTIFS('LANÇAMENTOS DIÁRIOS'!$G$5:$G$500,"C",'LANÇAMENTOS DIÁRIOS'!$C$5:$C$500,$A12,'LANÇAMENTOS DIÁRIOS'!$O$5:$O$500,"&lt;=96799",'LANÇAMENTOS DIÁRIOS'!$P$5:$P$500,"&gt;=96700")&gt;0,"X","")</f>
      </c>
      <c r="E12" s="56" t="str">
        <f>IF(COUNTIFS('LANÇAMENTOS DIÁRIOS'!$G$5:$G$500,"C",'LANÇAMENTOS DIÁRIOS'!$C$5:$C$500,$A12,'LANÇAMENTOS DIÁRIOS'!$O$5:$O$500,"&lt;=96899",'LANÇAMENTOS DIÁRIOS'!$P$5:$P$500,"&gt;=96800")&gt;0,"X","")</f>
      </c>
      <c r="F12" s="56" t="str">
        <f>IF(COUNTIFS('LANÇAMENTOS DIÁRIOS'!$G$5:$G$500,"C",'LANÇAMENTOS DIÁRIOS'!$C$5:$C$500,$A12,'LANÇAMENTOS DIÁRIOS'!$O$5:$O$500,"&lt;=96999",'LANÇAMENTOS DIÁRIOS'!$P$5:$P$500,"&gt;=96900")&gt;0,"X","")</f>
      </c>
      <c r="G12" s="56" t="str">
        <f>IF(COUNTIFS('LANÇAMENTOS DIÁRIOS'!$G$5:$G$500,"C",'LANÇAMENTOS DIÁRIOS'!$C$5:$C$500,$A12,'LANÇAMENTOS DIÁRIOS'!$O$5:$O$500,"&lt;=97099",'LANÇAMENTOS DIÁRIOS'!$P$5:$P$500,"&gt;=97000")&gt;0,"X","")</f>
      </c>
      <c r="H12" s="56" t="str">
        <f>IF(COUNTIFS('LANÇAMENTOS DIÁRIOS'!$G$5:$G$500,"C",'LANÇAMENTOS DIÁRIOS'!$C$5:$C$500,$A12,'LANÇAMENTOS DIÁRIOS'!$O$5:$O$500,"&lt;=97199",'LANÇAMENTOS DIÁRIOS'!$P$5:$P$500,"&gt;=97100")&gt;0,"X","")</f>
      </c>
      <c r="I12" s="56" t="str">
        <f>IF(COUNTIFS('LANÇAMENTOS DIÁRIOS'!$G$5:$G$500,"C",'LANÇAMENTOS DIÁRIOS'!$C$5:$C$500,$A12,'LANÇAMENTOS DIÁRIOS'!$O$5:$O$500,"&lt;=97299",'LANÇAMENTOS DIÁRIOS'!$P$5:$P$500,"&gt;=97200")&gt;0,"X","")</f>
      </c>
      <c r="J12" s="56" t="str">
        <f>IF(COUNTIFS('LANÇAMENTOS DIÁRIOS'!$G$5:$G$500,"C",'LANÇAMENTOS DIÁRIOS'!$C$5:$C$500,$A12,'LANÇAMENTOS DIÁRIOS'!$O$5:$O$500,"&lt;=97399",'LANÇAMENTOS DIÁRIOS'!$P$5:$P$500,"&gt;=97300")&gt;0,"X","")</f>
      </c>
      <c r="K12" s="56" t="str">
        <f>IF(COUNTIFS('LANÇAMENTOS DIÁRIOS'!$G$5:$G$500,"C",'LANÇAMENTOS DIÁRIOS'!$C$5:$C$500,$A12,'LANÇAMENTOS DIÁRIOS'!$O$5:$O$500,"&lt;=97499",'LANÇAMENTOS DIÁRIOS'!$P$5:$P$500,"&gt;=97400")&gt;0,"X","")</f>
      </c>
      <c r="L12" s="56" t="str">
        <f>IF(COUNTIFS('LANÇAMENTOS DIÁRIOS'!$G$5:$G$500,"C",'LANÇAMENTOS DIÁRIOS'!$C$5:$C$500,$A12,'LANÇAMENTOS DIÁRIOS'!$O$5:$O$500,"&lt;=97599",'LANÇAMENTOS DIÁRIOS'!$P$5:$P$500,"&gt;=97500")&gt;0,"X","")</f>
      </c>
      <c r="M12" s="56" t="str">
        <f>IF(COUNTIFS('LANÇAMENTOS DIÁRIOS'!$G$5:$G$500,"C",'LANÇAMENTOS DIÁRIOS'!$C$5:$C$500,$A12,'LANÇAMENTOS DIÁRIOS'!$O$5:$O$500,"&lt;=97699",'LANÇAMENTOS DIÁRIOS'!$P$5:$P$500,"&gt;=97600")&gt;0,"X","")</f>
      </c>
      <c r="N12" s="56" t="str">
        <f>IF(COUNTIFS('LANÇAMENTOS DIÁRIOS'!$G$5:$G$500,"C",'LANÇAMENTOS DIÁRIOS'!$C$5:$C$500,$A12,'LANÇAMENTOS DIÁRIOS'!$O$5:$O$500,"&lt;=97799",'LANÇAMENTOS DIÁRIOS'!$P$5:$P$500,"&gt;=97700")&gt;0,"X","")</f>
      </c>
      <c r="O12" s="56" t="str">
        <f>IF(COUNTIFS('LANÇAMENTOS DIÁRIOS'!$G$5:$G$500,"C",'LANÇAMENTOS DIÁRIOS'!$C$5:$C$500,$A12,'LANÇAMENTOS DIÁRIOS'!$O$5:$O$500,"&lt;=97899",'LANÇAMENTOS DIÁRIOS'!$P$5:$P$500,"&gt;=97800")&gt;0,"X","")</f>
      </c>
      <c r="P12" s="56" t="str">
        <f>IF(COUNTIFS('LANÇAMENTOS DIÁRIOS'!$G$5:$G$500,"C",'LANÇAMENTOS DIÁRIOS'!$C$5:$C$500,$A12,'LANÇAMENTOS DIÁRIOS'!$O$5:$O$500,"&lt;=97999",'LANÇAMENTOS DIÁRIOS'!$P$5:$P$500,"&gt;=97900")&gt;0,"X","")</f>
      </c>
      <c r="Q12" s="56" t="str">
        <f>IF(COUNTIFS('LANÇAMENTOS DIÁRIOS'!$G$5:$G$500,"C",'LANÇAMENTOS DIÁRIOS'!$C$5:$C$500,$A12,'LANÇAMENTOS DIÁRIOS'!$O$5:$O$500,"&lt;=98099",'LANÇAMENTOS DIÁRIOS'!$P$5:$P$500,"&gt;=98000")&gt;0,"X","")</f>
      </c>
      <c r="R12" s="56" t="str">
        <f>IF(COUNTIFS('LANÇAMENTOS DIÁRIOS'!$G$5:$G$500,"C",'LANÇAMENTOS DIÁRIOS'!$C$5:$C$500,$A12,'LANÇAMENTOS DIÁRIOS'!$O$5:$O$500,"&lt;=98199",'LANÇAMENTOS DIÁRIOS'!$P$5:$P$500,"&gt;=98100")&gt;0,"X","")</f>
      </c>
      <c r="S12" s="56" t="str">
        <f>IF(COUNTIFS('LANÇAMENTOS DIÁRIOS'!$G$5:$G$500,"C",'LANÇAMENTOS DIÁRIOS'!$C$5:$C$500,$A12,'LANÇAMENTOS DIÁRIOS'!$O$5:$O$500,"&lt;=98299",'LANÇAMENTOS DIÁRIOS'!$P$5:$P$500,"&gt;=98200")&gt;0,"X","")</f>
      </c>
      <c r="T12" s="56" t="str">
        <f>IF(COUNTIFS('LANÇAMENTOS DIÁRIOS'!$G$5:$G$500,"C",'LANÇAMENTOS DIÁRIOS'!$C$5:$C$500,$A12,'LANÇAMENTOS DIÁRIOS'!$O$5:$O$500,"&lt;=98399",'LANÇAMENTOS DIÁRIOS'!$P$5:$P$500,"&gt;=98300")&gt;0,"X","")</f>
      </c>
      <c r="U12" s="56" t="str">
        <f>IF(COUNTIFS('LANÇAMENTOS DIÁRIOS'!$G$5:$G$500,"C",'LANÇAMENTOS DIÁRIOS'!$C$5:$C$500,$A12,'LANÇAMENTOS DIÁRIOS'!$O$5:$O$500,"&lt;=98499",'LANÇAMENTOS DIÁRIOS'!$P$5:$P$500,"&gt;=98400")&gt;0,"X","")</f>
      </c>
      <c r="V12" s="56" t="str">
        <f>IF(COUNTIFS('LANÇAMENTOS DIÁRIOS'!$G$5:$G$500,"C",'LANÇAMENTOS DIÁRIOS'!$C$5:$C$500,$A12,'LANÇAMENTOS DIÁRIOS'!$O$5:$O$500,"&lt;=98599",'LANÇAMENTOS DIÁRIOS'!$P$5:$P$500,"&gt;=98500")&gt;0,"X","")</f>
      </c>
      <c r="W12" s="56" t="str">
        <f>IF(COUNTIFS('LANÇAMENTOS DIÁRIOS'!$G$5:$G$500,"C",'LANÇAMENTOS DIÁRIOS'!$C$5:$C$500,$A12,'LANÇAMENTOS DIÁRIOS'!$O$5:$O$500,"&lt;=98699",'LANÇAMENTOS DIÁRIOS'!$P$5:$P$500,"&gt;=98600")&gt;0,"X","")</f>
      </c>
      <c r="X12" s="56" t="str">
        <f>IF(COUNTIFS('LANÇAMENTOS DIÁRIOS'!$G$5:$G$500,"C",'LANÇAMENTOS DIÁRIOS'!$C$5:$C$500,$A12,'LANÇAMENTOS DIÁRIOS'!$O$5:$O$500,"&lt;=98799",'LANÇAMENTOS DIÁRIOS'!$P$5:$P$500,"&gt;=98700")&gt;0,"X","")</f>
      </c>
      <c r="Y12" s="56" t="str">
        <f>IF(COUNTIFS('LANÇAMENTOS DIÁRIOS'!$G$5:$G$500,"C",'LANÇAMENTOS DIÁRIOS'!$C$5:$C$500,$A12,'LANÇAMENTOS DIÁRIOS'!$O$5:$O$500,"&lt;=98899",'LANÇAMENTOS DIÁRIOS'!$P$5:$P$500,"&gt;=98800")&gt;0,"X","")</f>
      </c>
      <c r="Z12" s="56" t="str">
        <f>IF(COUNTIFS('LANÇAMENTOS DIÁRIOS'!$G$5:$G$500,"C",'LANÇAMENTOS DIÁRIOS'!$C$5:$C$500,$A12,'LANÇAMENTOS DIÁRIOS'!$O$5:$O$500,"&lt;=98999",'LANÇAMENTOS DIÁRIOS'!$P$5:$P$500,"&gt;=98900")&gt;0,"X","")</f>
      </c>
      <c r="AA12" s="56" t="str">
        <f>IF(COUNTIFS('LANÇAMENTOS DIÁRIOS'!$G$5:$G$500,"C",'LANÇAMENTOS DIÁRIOS'!$C$5:$C$500,$A12,'LANÇAMENTOS DIÁRIOS'!$O$5:$O$500,"&lt;=99099",'LANÇAMENTOS DIÁRIOS'!$P$5:$P$500,"&gt;=99000")&gt;0,"X","")</f>
      </c>
      <c r="AB12" s="56" t="str">
        <f>IF(COUNTIFS('LANÇAMENTOS DIÁRIOS'!$G$5:$G$500,"C",'LANÇAMENTOS DIÁRIOS'!$C$5:$C$500,$A12,'LANÇAMENTOS DIÁRIOS'!$O$5:$O$500,"&lt;=99199",'LANÇAMENTOS DIÁRIOS'!$P$5:$P$500,"&gt;=99100")&gt;0,"X","")</f>
      </c>
      <c r="AC12" s="56" t="str">
        <f>IF(COUNTIFS('LANÇAMENTOS DIÁRIOS'!$G$5:$G$500,"C",'LANÇAMENTOS DIÁRIOS'!$C$5:$C$500,$A12,'LANÇAMENTOS DIÁRIOS'!$O$5:$O$500,"&lt;=99299",'LANÇAMENTOS DIÁRIOS'!$P$5:$P$500,"&gt;=99200")&gt;0,"X","")</f>
      </c>
      <c r="AD12" s="56" t="str">
        <f>IF(COUNTIFS('LANÇAMENTOS DIÁRIOS'!$G$5:$G$500,"C",'LANÇAMENTOS DIÁRIOS'!$C$5:$C$500,$A12,'LANÇAMENTOS DIÁRIOS'!$O$5:$O$500,"&lt;=99399",'LANÇAMENTOS DIÁRIOS'!$P$5:$P$500,"&gt;=99300")&gt;0,"X","")</f>
      </c>
      <c r="AE12" s="56" t="str">
        <f>IF(COUNTIFS('LANÇAMENTOS DIÁRIOS'!$G$5:$G$500,"C",'LANÇAMENTOS DIÁRIOS'!$C$5:$C$500,$A12,'LANÇAMENTOS DIÁRIOS'!$O$5:$O$500,"&lt;=99499",'LANÇAMENTOS DIÁRIOS'!$P$5:$P$500,"&gt;=99400")&gt;0,"X","")</f>
      </c>
      <c r="AF12" s="56" t="str">
        <f>IF(COUNTIFS('LANÇAMENTOS DIÁRIOS'!$G$5:$G$500,"C",'LANÇAMENTOS DIÁRIOS'!$C$5:$C$500,$A12,'LANÇAMENTOS DIÁRIOS'!$O$5:$O$500,"&lt;=99599",'LANÇAMENTOS DIÁRIOS'!$P$5:$P$500,"&gt;=99500")&gt;0,"X","")</f>
      </c>
      <c r="AG12" s="56" t="str">
        <f>IF(COUNTIFS('LANÇAMENTOS DIÁRIOS'!$G$5:$G$500,"C",'LANÇAMENTOS DIÁRIOS'!$C$5:$C$500,$A12,'LANÇAMENTOS DIÁRIOS'!$O$5:$O$500,"&lt;=99699",'LANÇAMENTOS DIÁRIOS'!$P$5:$P$500,"&gt;=99600")&gt;0,"X","")</f>
      </c>
      <c r="AH12" s="56" t="str">
        <f>IF(COUNTIFS('LANÇAMENTOS DIÁRIOS'!$G$5:$G$500,"C",'LANÇAMENTOS DIÁRIOS'!$C$5:$C$500,$A12,'LANÇAMENTOS DIÁRIOS'!$O$5:$O$500,"&lt;=99799",'LANÇAMENTOS DIÁRIOS'!$P$5:$P$500,"&gt;=99700")&gt;0,"X","")</f>
      </c>
      <c r="AI12" s="56" t="str">
        <f>IF(COUNTIFS('LANÇAMENTOS DIÁRIOS'!$G$5:$G$500,"C",'LANÇAMENTOS DIÁRIOS'!$C$5:$C$500,$A12,'LANÇAMENTOS DIÁRIOS'!$O$5:$O$500,"&lt;=99899",'LANÇAMENTOS DIÁRIOS'!$P$5:$P$500,"&gt;=99800")&gt;0,"X","")</f>
      </c>
      <c r="AJ12" s="56" t="str">
        <f>IF(COUNTIFS('LANÇAMENTOS DIÁRIOS'!$G$5:$G$500,"C",'LANÇAMENTOS DIÁRIOS'!$C$5:$C$500,$A12,'LANÇAMENTOS DIÁRIOS'!$O$5:$O$500,"&lt;=99999",'LANÇAMENTOS DIÁRIOS'!$P$5:$P$500,"&gt;=99900")&gt;0,"X","")</f>
      </c>
      <c r="AK12" s="56" t="str">
        <f>IF(COUNTIFS('LANÇAMENTOS DIÁRIOS'!$G$5:$G$500,"C",'LANÇAMENTOS DIÁRIOS'!$C$5:$C$500,$A12,'LANÇAMENTOS DIÁRIOS'!$O$5:$O$500,"&lt;=100099",'LANÇAMENTOS DIÁRIOS'!$P$5:$P$500,"&gt;=100000")&gt;0,"X","")</f>
      </c>
      <c r="AL12" s="56" t="str">
        <f>IF(COUNTIFS('LANÇAMENTOS DIÁRIOS'!$G$5:$G$500,"C",'LANÇAMENTOS DIÁRIOS'!$C$5:$C$500,$A12,'LANÇAMENTOS DIÁRIOS'!$O$5:$O$500,"&lt;=100199",'LANÇAMENTOS DIÁRIOS'!$P$5:$P$500,"&gt;=100100")&gt;0,"X","")</f>
      </c>
      <c r="AM12" s="56" t="str">
        <f>IF(COUNTIFS('LANÇAMENTOS DIÁRIOS'!$G$5:$G$500,"C",'LANÇAMENTOS DIÁRIOS'!$C$5:$C$500,$A12,'LANÇAMENTOS DIÁRIOS'!$O$5:$O$500,"&lt;=100299",'LANÇAMENTOS DIÁRIOS'!$P$5:$P$500,"&gt;=100200")&gt;0,"X","")</f>
      </c>
      <c r="AN12" s="56" t="str">
        <f>IF(COUNTIFS('LANÇAMENTOS DIÁRIOS'!$G$5:$G$500,"C",'LANÇAMENTOS DIÁRIOS'!$C$5:$C$500,$A12,'LANÇAMENTOS DIÁRIOS'!$O$5:$O$500,"&lt;=100399",'LANÇAMENTOS DIÁRIOS'!$P$5:$P$500,"&gt;=100300")&gt;0,"X","")</f>
      </c>
      <c r="AO12" s="56" t="str">
        <f>IF(COUNTIFS('LANÇAMENTOS DIÁRIOS'!$G$5:$G$500,"C",'LANÇAMENTOS DIÁRIOS'!$C$5:$C$500,$A12,'LANÇAMENTOS DIÁRIOS'!$O$5:$O$500,"&lt;=100499",'LANÇAMENTOS DIÁRIOS'!$P$5:$P$500,"&gt;=100400")&gt;0,"X","")</f>
      </c>
      <c r="AP12" s="56" t="str">
        <f>IF(COUNTIFS('LANÇAMENTOS DIÁRIOS'!$G$5:$G$500,"C",'LANÇAMENTOS DIÁRIOS'!$C$5:$C$500,$A12,'LANÇAMENTOS DIÁRIOS'!$O$5:$O$500,"&lt;=100500",'LANÇAMENTOS DIÁRIOS'!$P$5:$P$500,"&gt;=100500")&gt;0,"X","")</f>
      </c>
    </row>
    <row r="13">
      <c r="A13" s="51" t="str">
        <v>Remoção de barreira rígida de concreto</v>
      </c>
      <c r="B13" s="56" t="str">
        <f>IF(COUNTIFS('LANÇAMENTOS DIÁRIOS'!$G$5:$G$500,"C",'LANÇAMENTOS DIÁRIOS'!$C$5:$C$500,$A13,'LANÇAMENTOS DIÁRIOS'!$O$5:$O$500,"&lt;=96599",'LANÇAMENTOS DIÁRIOS'!$P$5:$P$500,"&gt;=96500")&gt;0,"X","")</f>
      </c>
      <c r="C13" s="56" t="str">
        <f>IF(COUNTIFS('LANÇAMENTOS DIÁRIOS'!$G$5:$G$500,"C",'LANÇAMENTOS DIÁRIOS'!$C$5:$C$500,$A13,'LANÇAMENTOS DIÁRIOS'!$O$5:$O$500,"&lt;=96699",'LANÇAMENTOS DIÁRIOS'!$P$5:$P$500,"&gt;=96600")&gt;0,"X","")</f>
      </c>
      <c r="D13" s="56" t="str">
        <f>IF(COUNTIFS('LANÇAMENTOS DIÁRIOS'!$G$5:$G$500,"C",'LANÇAMENTOS DIÁRIOS'!$C$5:$C$500,$A13,'LANÇAMENTOS DIÁRIOS'!$O$5:$O$500,"&lt;=96799",'LANÇAMENTOS DIÁRIOS'!$P$5:$P$500,"&gt;=96700")&gt;0,"X","")</f>
      </c>
      <c r="E13" s="56" t="str">
        <f>IF(COUNTIFS('LANÇAMENTOS DIÁRIOS'!$G$5:$G$500,"C",'LANÇAMENTOS DIÁRIOS'!$C$5:$C$500,$A13,'LANÇAMENTOS DIÁRIOS'!$O$5:$O$500,"&lt;=96899",'LANÇAMENTOS DIÁRIOS'!$P$5:$P$500,"&gt;=96800")&gt;0,"X","")</f>
      </c>
      <c r="F13" s="56" t="str">
        <f>IF(COUNTIFS('LANÇAMENTOS DIÁRIOS'!$G$5:$G$500,"C",'LANÇAMENTOS DIÁRIOS'!$C$5:$C$500,$A13,'LANÇAMENTOS DIÁRIOS'!$O$5:$O$500,"&lt;=96999",'LANÇAMENTOS DIÁRIOS'!$P$5:$P$500,"&gt;=96900")&gt;0,"X","")</f>
      </c>
      <c r="G13" s="56" t="str">
        <f>IF(COUNTIFS('LANÇAMENTOS DIÁRIOS'!$G$5:$G$500,"C",'LANÇAMENTOS DIÁRIOS'!$C$5:$C$500,$A13,'LANÇAMENTOS DIÁRIOS'!$O$5:$O$500,"&lt;=97099",'LANÇAMENTOS DIÁRIOS'!$P$5:$P$500,"&gt;=97000")&gt;0,"X","")</f>
      </c>
      <c r="H13" s="56" t="str">
        <f>IF(COUNTIFS('LANÇAMENTOS DIÁRIOS'!$G$5:$G$500,"C",'LANÇAMENTOS DIÁRIOS'!$C$5:$C$500,$A13,'LANÇAMENTOS DIÁRIOS'!$O$5:$O$500,"&lt;=97199",'LANÇAMENTOS DIÁRIOS'!$P$5:$P$500,"&gt;=97100")&gt;0,"X","")</f>
      </c>
      <c r="I13" s="56" t="str">
        <f>IF(COUNTIFS('LANÇAMENTOS DIÁRIOS'!$G$5:$G$500,"C",'LANÇAMENTOS DIÁRIOS'!$C$5:$C$500,$A13,'LANÇAMENTOS DIÁRIOS'!$O$5:$O$500,"&lt;=97299",'LANÇAMENTOS DIÁRIOS'!$P$5:$P$500,"&gt;=97200")&gt;0,"X","")</f>
      </c>
      <c r="J13" s="56" t="str">
        <f>IF(COUNTIFS('LANÇAMENTOS DIÁRIOS'!$G$5:$G$500,"C",'LANÇAMENTOS DIÁRIOS'!$C$5:$C$500,$A13,'LANÇAMENTOS DIÁRIOS'!$O$5:$O$500,"&lt;=97399",'LANÇAMENTOS DIÁRIOS'!$P$5:$P$500,"&gt;=97300")&gt;0,"X","")</f>
      </c>
      <c r="K13" s="56" t="str">
        <f>IF(COUNTIFS('LANÇAMENTOS DIÁRIOS'!$G$5:$G$500,"C",'LANÇAMENTOS DIÁRIOS'!$C$5:$C$500,$A13,'LANÇAMENTOS DIÁRIOS'!$O$5:$O$500,"&lt;=97499",'LANÇAMENTOS DIÁRIOS'!$P$5:$P$500,"&gt;=97400")&gt;0,"X","")</f>
      </c>
      <c r="L13" s="56" t="str">
        <f>IF(COUNTIFS('LANÇAMENTOS DIÁRIOS'!$G$5:$G$500,"C",'LANÇAMENTOS DIÁRIOS'!$C$5:$C$500,$A13,'LANÇAMENTOS DIÁRIOS'!$O$5:$O$500,"&lt;=97599",'LANÇAMENTOS DIÁRIOS'!$P$5:$P$500,"&gt;=97500")&gt;0,"X","")</f>
      </c>
      <c r="M13" s="56" t="str">
        <f>IF(COUNTIFS('LANÇAMENTOS DIÁRIOS'!$G$5:$G$500,"C",'LANÇAMENTOS DIÁRIOS'!$C$5:$C$500,$A13,'LANÇAMENTOS DIÁRIOS'!$O$5:$O$500,"&lt;=97699",'LANÇAMENTOS DIÁRIOS'!$P$5:$P$500,"&gt;=97600")&gt;0,"X","")</f>
      </c>
      <c r="N13" s="56" t="str">
        <f>IF(COUNTIFS('LANÇAMENTOS DIÁRIOS'!$G$5:$G$500,"C",'LANÇAMENTOS DIÁRIOS'!$C$5:$C$500,$A13,'LANÇAMENTOS DIÁRIOS'!$O$5:$O$500,"&lt;=97799",'LANÇAMENTOS DIÁRIOS'!$P$5:$P$500,"&gt;=97700")&gt;0,"X","")</f>
      </c>
      <c r="O13" s="56" t="str">
        <f>IF(COUNTIFS('LANÇAMENTOS DIÁRIOS'!$G$5:$G$500,"C",'LANÇAMENTOS DIÁRIOS'!$C$5:$C$500,$A13,'LANÇAMENTOS DIÁRIOS'!$O$5:$O$500,"&lt;=97899",'LANÇAMENTOS DIÁRIOS'!$P$5:$P$500,"&gt;=97800")&gt;0,"X","")</f>
      </c>
      <c r="P13" s="56" t="str">
        <f>IF(COUNTIFS('LANÇAMENTOS DIÁRIOS'!$G$5:$G$500,"C",'LANÇAMENTOS DIÁRIOS'!$C$5:$C$500,$A13,'LANÇAMENTOS DIÁRIOS'!$O$5:$O$500,"&lt;=97999",'LANÇAMENTOS DIÁRIOS'!$P$5:$P$500,"&gt;=97900")&gt;0,"X","")</f>
      </c>
      <c r="Q13" s="56" t="str">
        <f>IF(COUNTIFS('LANÇAMENTOS DIÁRIOS'!$G$5:$G$500,"C",'LANÇAMENTOS DIÁRIOS'!$C$5:$C$500,$A13,'LANÇAMENTOS DIÁRIOS'!$O$5:$O$500,"&lt;=98099",'LANÇAMENTOS DIÁRIOS'!$P$5:$P$500,"&gt;=98000")&gt;0,"X","")</f>
      </c>
      <c r="R13" s="56" t="str">
        <f>IF(COUNTIFS('LANÇAMENTOS DIÁRIOS'!$G$5:$G$500,"C",'LANÇAMENTOS DIÁRIOS'!$C$5:$C$500,$A13,'LANÇAMENTOS DIÁRIOS'!$O$5:$O$500,"&lt;=98199",'LANÇAMENTOS DIÁRIOS'!$P$5:$P$500,"&gt;=98100")&gt;0,"X","")</f>
      </c>
      <c r="S13" s="56" t="str">
        <f>IF(COUNTIFS('LANÇAMENTOS DIÁRIOS'!$G$5:$G$500,"C",'LANÇAMENTOS DIÁRIOS'!$C$5:$C$500,$A13,'LANÇAMENTOS DIÁRIOS'!$O$5:$O$500,"&lt;=98299",'LANÇAMENTOS DIÁRIOS'!$P$5:$P$500,"&gt;=98200")&gt;0,"X","")</f>
      </c>
      <c r="T13" s="56" t="str">
        <f>IF(COUNTIFS('LANÇAMENTOS DIÁRIOS'!$G$5:$G$500,"C",'LANÇAMENTOS DIÁRIOS'!$C$5:$C$500,$A13,'LANÇAMENTOS DIÁRIOS'!$O$5:$O$500,"&lt;=98399",'LANÇAMENTOS DIÁRIOS'!$P$5:$P$500,"&gt;=98300")&gt;0,"X","")</f>
      </c>
      <c r="U13" s="56" t="str">
        <f>IF(COUNTIFS('LANÇAMENTOS DIÁRIOS'!$G$5:$G$500,"C",'LANÇAMENTOS DIÁRIOS'!$C$5:$C$500,$A13,'LANÇAMENTOS DIÁRIOS'!$O$5:$O$500,"&lt;=98499",'LANÇAMENTOS DIÁRIOS'!$P$5:$P$500,"&gt;=98400")&gt;0,"X","")</f>
      </c>
      <c r="V13" s="56" t="str">
        <f>IF(COUNTIFS('LANÇAMENTOS DIÁRIOS'!$G$5:$G$500,"C",'LANÇAMENTOS DIÁRIOS'!$C$5:$C$500,$A13,'LANÇAMENTOS DIÁRIOS'!$O$5:$O$500,"&lt;=98599",'LANÇAMENTOS DIÁRIOS'!$P$5:$P$500,"&gt;=98500")&gt;0,"X","")</f>
      </c>
      <c r="W13" s="56" t="str">
        <f>IF(COUNTIFS('LANÇAMENTOS DIÁRIOS'!$G$5:$G$500,"C",'LANÇAMENTOS DIÁRIOS'!$C$5:$C$500,$A13,'LANÇAMENTOS DIÁRIOS'!$O$5:$O$500,"&lt;=98699",'LANÇAMENTOS DIÁRIOS'!$P$5:$P$500,"&gt;=98600")&gt;0,"X","")</f>
      </c>
      <c r="X13" s="56" t="str">
        <f>IF(COUNTIFS('LANÇAMENTOS DIÁRIOS'!$G$5:$G$500,"C",'LANÇAMENTOS DIÁRIOS'!$C$5:$C$500,$A13,'LANÇAMENTOS DIÁRIOS'!$O$5:$O$500,"&lt;=98799",'LANÇAMENTOS DIÁRIOS'!$P$5:$P$500,"&gt;=98700")&gt;0,"X","")</f>
      </c>
      <c r="Y13" s="56" t="str">
        <f>IF(COUNTIFS('LANÇAMENTOS DIÁRIOS'!$G$5:$G$500,"C",'LANÇAMENTOS DIÁRIOS'!$C$5:$C$500,$A13,'LANÇAMENTOS DIÁRIOS'!$O$5:$O$500,"&lt;=98899",'LANÇAMENTOS DIÁRIOS'!$P$5:$P$500,"&gt;=98800")&gt;0,"X","")</f>
      </c>
      <c r="Z13" s="56" t="str">
        <f>IF(COUNTIFS('LANÇAMENTOS DIÁRIOS'!$G$5:$G$500,"C",'LANÇAMENTOS DIÁRIOS'!$C$5:$C$500,$A13,'LANÇAMENTOS DIÁRIOS'!$O$5:$O$500,"&lt;=98999",'LANÇAMENTOS DIÁRIOS'!$P$5:$P$500,"&gt;=98900")&gt;0,"X","")</f>
      </c>
      <c r="AA13" s="56" t="str">
        <f>IF(COUNTIFS('LANÇAMENTOS DIÁRIOS'!$G$5:$G$500,"C",'LANÇAMENTOS DIÁRIOS'!$C$5:$C$500,$A13,'LANÇAMENTOS DIÁRIOS'!$O$5:$O$500,"&lt;=99099",'LANÇAMENTOS DIÁRIOS'!$P$5:$P$500,"&gt;=99000")&gt;0,"X","")</f>
      </c>
      <c r="AB13" s="56" t="str">
        <f>IF(COUNTIFS('LANÇAMENTOS DIÁRIOS'!$G$5:$G$500,"C",'LANÇAMENTOS DIÁRIOS'!$C$5:$C$500,$A13,'LANÇAMENTOS DIÁRIOS'!$O$5:$O$500,"&lt;=99199",'LANÇAMENTOS DIÁRIOS'!$P$5:$P$500,"&gt;=99100")&gt;0,"X","")</f>
      </c>
      <c r="AC13" s="56" t="str">
        <f>IF(COUNTIFS('LANÇAMENTOS DIÁRIOS'!$G$5:$G$500,"C",'LANÇAMENTOS DIÁRIOS'!$C$5:$C$500,$A13,'LANÇAMENTOS DIÁRIOS'!$O$5:$O$500,"&lt;=99299",'LANÇAMENTOS DIÁRIOS'!$P$5:$P$500,"&gt;=99200")&gt;0,"X","")</f>
      </c>
      <c r="AD13" s="56" t="str">
        <f>IF(COUNTIFS('LANÇAMENTOS DIÁRIOS'!$G$5:$G$500,"C",'LANÇAMENTOS DIÁRIOS'!$C$5:$C$500,$A13,'LANÇAMENTOS DIÁRIOS'!$O$5:$O$500,"&lt;=99399",'LANÇAMENTOS DIÁRIOS'!$P$5:$P$500,"&gt;=99300")&gt;0,"X","")</f>
      </c>
      <c r="AE13" s="56" t="str">
        <f>IF(COUNTIFS('LANÇAMENTOS DIÁRIOS'!$G$5:$G$500,"C",'LANÇAMENTOS DIÁRIOS'!$C$5:$C$500,$A13,'LANÇAMENTOS DIÁRIOS'!$O$5:$O$500,"&lt;=99499",'LANÇAMENTOS DIÁRIOS'!$P$5:$P$500,"&gt;=99400")&gt;0,"X","")</f>
      </c>
      <c r="AF13" s="56" t="str">
        <f>IF(COUNTIFS('LANÇAMENTOS DIÁRIOS'!$G$5:$G$500,"C",'LANÇAMENTOS DIÁRIOS'!$C$5:$C$500,$A13,'LANÇAMENTOS DIÁRIOS'!$O$5:$O$500,"&lt;=99599",'LANÇAMENTOS DIÁRIOS'!$P$5:$P$500,"&gt;=99500")&gt;0,"X","")</f>
      </c>
      <c r="AG13" s="56" t="str">
        <f>IF(COUNTIFS('LANÇAMENTOS DIÁRIOS'!$G$5:$G$500,"C",'LANÇAMENTOS DIÁRIOS'!$C$5:$C$500,$A13,'LANÇAMENTOS DIÁRIOS'!$O$5:$O$500,"&lt;=99699",'LANÇAMENTOS DIÁRIOS'!$P$5:$P$500,"&gt;=99600")&gt;0,"X","")</f>
      </c>
      <c r="AH13" s="56" t="str">
        <f>IF(COUNTIFS('LANÇAMENTOS DIÁRIOS'!$G$5:$G$500,"C",'LANÇAMENTOS DIÁRIOS'!$C$5:$C$500,$A13,'LANÇAMENTOS DIÁRIOS'!$O$5:$O$500,"&lt;=99799",'LANÇAMENTOS DIÁRIOS'!$P$5:$P$500,"&gt;=99700")&gt;0,"X","")</f>
      </c>
      <c r="AI13" s="56" t="str">
        <f>IF(COUNTIFS('LANÇAMENTOS DIÁRIOS'!$G$5:$G$500,"C",'LANÇAMENTOS DIÁRIOS'!$C$5:$C$500,$A13,'LANÇAMENTOS DIÁRIOS'!$O$5:$O$500,"&lt;=99899",'LANÇAMENTOS DIÁRIOS'!$P$5:$P$500,"&gt;=99800")&gt;0,"X","")</f>
      </c>
      <c r="AJ13" s="56" t="str">
        <f>IF(COUNTIFS('LANÇAMENTOS DIÁRIOS'!$G$5:$G$500,"C",'LANÇAMENTOS DIÁRIOS'!$C$5:$C$500,$A13,'LANÇAMENTOS DIÁRIOS'!$O$5:$O$500,"&lt;=99999",'LANÇAMENTOS DIÁRIOS'!$P$5:$P$500,"&gt;=99900")&gt;0,"X","")</f>
      </c>
      <c r="AK13" s="56" t="str">
        <f>IF(COUNTIFS('LANÇAMENTOS DIÁRIOS'!$G$5:$G$500,"C",'LANÇAMENTOS DIÁRIOS'!$C$5:$C$500,$A13,'LANÇAMENTOS DIÁRIOS'!$O$5:$O$500,"&lt;=100099",'LANÇAMENTOS DIÁRIOS'!$P$5:$P$500,"&gt;=100000")&gt;0,"X","")</f>
      </c>
      <c r="AL13" s="56" t="str">
        <f>IF(COUNTIFS('LANÇAMENTOS DIÁRIOS'!$G$5:$G$500,"C",'LANÇAMENTOS DIÁRIOS'!$C$5:$C$500,$A13,'LANÇAMENTOS DIÁRIOS'!$O$5:$O$500,"&lt;=100199",'LANÇAMENTOS DIÁRIOS'!$P$5:$P$500,"&gt;=100100")&gt;0,"X","")</f>
      </c>
      <c r="AM13" s="56" t="str">
        <f>IF(COUNTIFS('LANÇAMENTOS DIÁRIOS'!$G$5:$G$500,"C",'LANÇAMENTOS DIÁRIOS'!$C$5:$C$500,$A13,'LANÇAMENTOS DIÁRIOS'!$O$5:$O$500,"&lt;=100299",'LANÇAMENTOS DIÁRIOS'!$P$5:$P$500,"&gt;=100200")&gt;0,"X","")</f>
      </c>
      <c r="AN13" s="56" t="str">
        <f>IF(COUNTIFS('LANÇAMENTOS DIÁRIOS'!$G$5:$G$500,"C",'LANÇAMENTOS DIÁRIOS'!$C$5:$C$500,$A13,'LANÇAMENTOS DIÁRIOS'!$O$5:$O$500,"&lt;=100399",'LANÇAMENTOS DIÁRIOS'!$P$5:$P$500,"&gt;=100300")&gt;0,"X","")</f>
      </c>
      <c r="AO13" s="56" t="str">
        <f>IF(COUNTIFS('LANÇAMENTOS DIÁRIOS'!$G$5:$G$500,"C",'LANÇAMENTOS DIÁRIOS'!$C$5:$C$500,$A13,'LANÇAMENTOS DIÁRIOS'!$O$5:$O$500,"&lt;=100499",'LANÇAMENTOS DIÁRIOS'!$P$5:$P$500,"&gt;=100400")&gt;0,"X","")</f>
      </c>
      <c r="AP13" s="56" t="str">
        <f>IF(COUNTIFS('LANÇAMENTOS DIÁRIOS'!$G$5:$G$500,"C",'LANÇAMENTOS DIÁRIOS'!$C$5:$C$500,$A13,'LANÇAMENTOS DIÁRIOS'!$O$5:$O$500,"&lt;=100500",'LANÇAMENTOS DIÁRIOS'!$P$5:$P$500,"&gt;=100500")&gt;0,"X","")</f>
      </c>
    </row>
    <row r="14">
      <c r="A14" s="51" t="str">
        <v>Remoção de terminal absorvedor de energia</v>
      </c>
      <c r="B14" s="56" t="str">
        <f>IF(COUNTIFS('LANÇAMENTOS DIÁRIOS'!$G$5:$G$500,"C",'LANÇAMENTOS DIÁRIOS'!$C$5:$C$500,$A14,'LANÇAMENTOS DIÁRIOS'!$O$5:$O$500,"&lt;=96599",'LANÇAMENTOS DIÁRIOS'!$P$5:$P$500,"&gt;=96500")&gt;0,"X","")</f>
      </c>
      <c r="C14" s="56" t="str">
        <f>IF(COUNTIFS('LANÇAMENTOS DIÁRIOS'!$G$5:$G$500,"C",'LANÇAMENTOS DIÁRIOS'!$C$5:$C$500,$A14,'LANÇAMENTOS DIÁRIOS'!$O$5:$O$500,"&lt;=96699",'LANÇAMENTOS DIÁRIOS'!$P$5:$P$500,"&gt;=96600")&gt;0,"X","")</f>
      </c>
      <c r="D14" s="56" t="str">
        <f>IF(COUNTIFS('LANÇAMENTOS DIÁRIOS'!$G$5:$G$500,"C",'LANÇAMENTOS DIÁRIOS'!$C$5:$C$500,$A14,'LANÇAMENTOS DIÁRIOS'!$O$5:$O$500,"&lt;=96799",'LANÇAMENTOS DIÁRIOS'!$P$5:$P$500,"&gt;=96700")&gt;0,"X","")</f>
      </c>
      <c r="E14" s="56" t="str">
        <f>IF(COUNTIFS('LANÇAMENTOS DIÁRIOS'!$G$5:$G$500,"C",'LANÇAMENTOS DIÁRIOS'!$C$5:$C$500,$A14,'LANÇAMENTOS DIÁRIOS'!$O$5:$O$500,"&lt;=96899",'LANÇAMENTOS DIÁRIOS'!$P$5:$P$500,"&gt;=96800")&gt;0,"X","")</f>
      </c>
      <c r="F14" s="56" t="str">
        <f>IF(COUNTIFS('LANÇAMENTOS DIÁRIOS'!$G$5:$G$500,"C",'LANÇAMENTOS DIÁRIOS'!$C$5:$C$500,$A14,'LANÇAMENTOS DIÁRIOS'!$O$5:$O$500,"&lt;=96999",'LANÇAMENTOS DIÁRIOS'!$P$5:$P$500,"&gt;=96900")&gt;0,"X","")</f>
      </c>
      <c r="G14" s="56" t="str">
        <f>IF(COUNTIFS('LANÇAMENTOS DIÁRIOS'!$G$5:$G$500,"C",'LANÇAMENTOS DIÁRIOS'!$C$5:$C$500,$A14,'LANÇAMENTOS DIÁRIOS'!$O$5:$O$500,"&lt;=97099",'LANÇAMENTOS DIÁRIOS'!$P$5:$P$500,"&gt;=97000")&gt;0,"X","")</f>
      </c>
      <c r="H14" s="56" t="str">
        <f>IF(COUNTIFS('LANÇAMENTOS DIÁRIOS'!$G$5:$G$500,"C",'LANÇAMENTOS DIÁRIOS'!$C$5:$C$500,$A14,'LANÇAMENTOS DIÁRIOS'!$O$5:$O$500,"&lt;=97199",'LANÇAMENTOS DIÁRIOS'!$P$5:$P$500,"&gt;=97100")&gt;0,"X","")</f>
      </c>
      <c r="I14" s="56" t="str">
        <f>IF(COUNTIFS('LANÇAMENTOS DIÁRIOS'!$G$5:$G$500,"C",'LANÇAMENTOS DIÁRIOS'!$C$5:$C$500,$A14,'LANÇAMENTOS DIÁRIOS'!$O$5:$O$500,"&lt;=97299",'LANÇAMENTOS DIÁRIOS'!$P$5:$P$500,"&gt;=97200")&gt;0,"X","")</f>
      </c>
      <c r="J14" s="56" t="str">
        <f>IF(COUNTIFS('LANÇAMENTOS DIÁRIOS'!$G$5:$G$500,"C",'LANÇAMENTOS DIÁRIOS'!$C$5:$C$500,$A14,'LANÇAMENTOS DIÁRIOS'!$O$5:$O$500,"&lt;=97399",'LANÇAMENTOS DIÁRIOS'!$P$5:$P$500,"&gt;=97300")&gt;0,"X","")</f>
      </c>
      <c r="K14" s="56" t="str">
        <f>IF(COUNTIFS('LANÇAMENTOS DIÁRIOS'!$G$5:$G$500,"C",'LANÇAMENTOS DIÁRIOS'!$C$5:$C$500,$A14,'LANÇAMENTOS DIÁRIOS'!$O$5:$O$500,"&lt;=97499",'LANÇAMENTOS DIÁRIOS'!$P$5:$P$500,"&gt;=97400")&gt;0,"X","")</f>
      </c>
      <c r="L14" s="56" t="str">
        <f>IF(COUNTIFS('LANÇAMENTOS DIÁRIOS'!$G$5:$G$500,"C",'LANÇAMENTOS DIÁRIOS'!$C$5:$C$500,$A14,'LANÇAMENTOS DIÁRIOS'!$O$5:$O$500,"&lt;=97599",'LANÇAMENTOS DIÁRIOS'!$P$5:$P$500,"&gt;=97500")&gt;0,"X","")</f>
      </c>
      <c r="M14" s="56" t="str">
        <f>IF(COUNTIFS('LANÇAMENTOS DIÁRIOS'!$G$5:$G$500,"C",'LANÇAMENTOS DIÁRIOS'!$C$5:$C$500,$A14,'LANÇAMENTOS DIÁRIOS'!$O$5:$O$500,"&lt;=97699",'LANÇAMENTOS DIÁRIOS'!$P$5:$P$500,"&gt;=97600")&gt;0,"X","")</f>
      </c>
      <c r="N14" s="56" t="str">
        <f>IF(COUNTIFS('LANÇAMENTOS DIÁRIOS'!$G$5:$G$500,"C",'LANÇAMENTOS DIÁRIOS'!$C$5:$C$500,$A14,'LANÇAMENTOS DIÁRIOS'!$O$5:$O$500,"&lt;=97799",'LANÇAMENTOS DIÁRIOS'!$P$5:$P$500,"&gt;=97700")&gt;0,"X","")</f>
      </c>
      <c r="O14" s="56" t="str">
        <f>IF(COUNTIFS('LANÇAMENTOS DIÁRIOS'!$G$5:$G$500,"C",'LANÇAMENTOS DIÁRIOS'!$C$5:$C$500,$A14,'LANÇAMENTOS DIÁRIOS'!$O$5:$O$500,"&lt;=97899",'LANÇAMENTOS DIÁRIOS'!$P$5:$P$500,"&gt;=97800")&gt;0,"X","")</f>
      </c>
      <c r="P14" s="56" t="str">
        <f>IF(COUNTIFS('LANÇAMENTOS DIÁRIOS'!$G$5:$G$500,"C",'LANÇAMENTOS DIÁRIOS'!$C$5:$C$500,$A14,'LANÇAMENTOS DIÁRIOS'!$O$5:$O$500,"&lt;=97999",'LANÇAMENTOS DIÁRIOS'!$P$5:$P$500,"&gt;=97900")&gt;0,"X","")</f>
      </c>
      <c r="Q14" s="56" t="str">
        <f>IF(COUNTIFS('LANÇAMENTOS DIÁRIOS'!$G$5:$G$500,"C",'LANÇAMENTOS DIÁRIOS'!$C$5:$C$500,$A14,'LANÇAMENTOS DIÁRIOS'!$O$5:$O$500,"&lt;=98099",'LANÇAMENTOS DIÁRIOS'!$P$5:$P$500,"&gt;=98000")&gt;0,"X","")</f>
      </c>
      <c r="R14" s="56" t="str">
        <f>IF(COUNTIFS('LANÇAMENTOS DIÁRIOS'!$G$5:$G$500,"C",'LANÇAMENTOS DIÁRIOS'!$C$5:$C$500,$A14,'LANÇAMENTOS DIÁRIOS'!$O$5:$O$500,"&lt;=98199",'LANÇAMENTOS DIÁRIOS'!$P$5:$P$500,"&gt;=98100")&gt;0,"X","")</f>
      </c>
      <c r="S14" s="56" t="str">
        <f>IF(COUNTIFS('LANÇAMENTOS DIÁRIOS'!$G$5:$G$500,"C",'LANÇAMENTOS DIÁRIOS'!$C$5:$C$500,$A14,'LANÇAMENTOS DIÁRIOS'!$O$5:$O$500,"&lt;=98299",'LANÇAMENTOS DIÁRIOS'!$P$5:$P$500,"&gt;=98200")&gt;0,"X","")</f>
      </c>
      <c r="T14" s="56" t="str">
        <f>IF(COUNTIFS('LANÇAMENTOS DIÁRIOS'!$G$5:$G$500,"C",'LANÇAMENTOS DIÁRIOS'!$C$5:$C$500,$A14,'LANÇAMENTOS DIÁRIOS'!$O$5:$O$500,"&lt;=98399",'LANÇAMENTOS DIÁRIOS'!$P$5:$P$500,"&gt;=98300")&gt;0,"X","")</f>
      </c>
      <c r="U14" s="56" t="str">
        <f>IF(COUNTIFS('LANÇAMENTOS DIÁRIOS'!$G$5:$G$500,"C",'LANÇAMENTOS DIÁRIOS'!$C$5:$C$500,$A14,'LANÇAMENTOS DIÁRIOS'!$O$5:$O$500,"&lt;=98499",'LANÇAMENTOS DIÁRIOS'!$P$5:$P$500,"&gt;=98400")&gt;0,"X","")</f>
      </c>
      <c r="V14" s="56" t="str">
        <f>IF(COUNTIFS('LANÇAMENTOS DIÁRIOS'!$G$5:$G$500,"C",'LANÇAMENTOS DIÁRIOS'!$C$5:$C$500,$A14,'LANÇAMENTOS DIÁRIOS'!$O$5:$O$500,"&lt;=98599",'LANÇAMENTOS DIÁRIOS'!$P$5:$P$500,"&gt;=98500")&gt;0,"X","")</f>
      </c>
      <c r="W14" s="56" t="str">
        <f>IF(COUNTIFS('LANÇAMENTOS DIÁRIOS'!$G$5:$G$500,"C",'LANÇAMENTOS DIÁRIOS'!$C$5:$C$500,$A14,'LANÇAMENTOS DIÁRIOS'!$O$5:$O$500,"&lt;=98699",'LANÇAMENTOS DIÁRIOS'!$P$5:$P$500,"&gt;=98600")&gt;0,"X","")</f>
      </c>
      <c r="X14" s="56" t="str">
        <f>IF(COUNTIFS('LANÇAMENTOS DIÁRIOS'!$G$5:$G$500,"C",'LANÇAMENTOS DIÁRIOS'!$C$5:$C$500,$A14,'LANÇAMENTOS DIÁRIOS'!$O$5:$O$500,"&lt;=98799",'LANÇAMENTOS DIÁRIOS'!$P$5:$P$500,"&gt;=98700")&gt;0,"X","")</f>
      </c>
      <c r="Y14" s="56" t="str">
        <f>IF(COUNTIFS('LANÇAMENTOS DIÁRIOS'!$G$5:$G$500,"C",'LANÇAMENTOS DIÁRIOS'!$C$5:$C$500,$A14,'LANÇAMENTOS DIÁRIOS'!$O$5:$O$500,"&lt;=98899",'LANÇAMENTOS DIÁRIOS'!$P$5:$P$500,"&gt;=98800")&gt;0,"X","")</f>
      </c>
      <c r="Z14" s="56" t="str">
        <f>IF(COUNTIFS('LANÇAMENTOS DIÁRIOS'!$G$5:$G$500,"C",'LANÇAMENTOS DIÁRIOS'!$C$5:$C$500,$A14,'LANÇAMENTOS DIÁRIOS'!$O$5:$O$500,"&lt;=98999",'LANÇAMENTOS DIÁRIOS'!$P$5:$P$500,"&gt;=98900")&gt;0,"X","")</f>
      </c>
      <c r="AA14" s="56" t="str">
        <f>IF(COUNTIFS('LANÇAMENTOS DIÁRIOS'!$G$5:$G$500,"C",'LANÇAMENTOS DIÁRIOS'!$C$5:$C$500,$A14,'LANÇAMENTOS DIÁRIOS'!$O$5:$O$500,"&lt;=99099",'LANÇAMENTOS DIÁRIOS'!$P$5:$P$500,"&gt;=99000")&gt;0,"X","")</f>
      </c>
      <c r="AB14" s="56" t="str">
        <f>IF(COUNTIFS('LANÇAMENTOS DIÁRIOS'!$G$5:$G$500,"C",'LANÇAMENTOS DIÁRIOS'!$C$5:$C$500,$A14,'LANÇAMENTOS DIÁRIOS'!$O$5:$O$500,"&lt;=99199",'LANÇAMENTOS DIÁRIOS'!$P$5:$P$500,"&gt;=99100")&gt;0,"X","")</f>
      </c>
      <c r="AC14" s="56" t="str">
        <f>IF(COUNTIFS('LANÇAMENTOS DIÁRIOS'!$G$5:$G$500,"C",'LANÇAMENTOS DIÁRIOS'!$C$5:$C$500,$A14,'LANÇAMENTOS DIÁRIOS'!$O$5:$O$500,"&lt;=99299",'LANÇAMENTOS DIÁRIOS'!$P$5:$P$500,"&gt;=99200")&gt;0,"X","")</f>
      </c>
      <c r="AD14" s="56" t="str">
        <f>IF(COUNTIFS('LANÇAMENTOS DIÁRIOS'!$G$5:$G$500,"C",'LANÇAMENTOS DIÁRIOS'!$C$5:$C$500,$A14,'LANÇAMENTOS DIÁRIOS'!$O$5:$O$500,"&lt;=99399",'LANÇAMENTOS DIÁRIOS'!$P$5:$P$500,"&gt;=99300")&gt;0,"X","")</f>
      </c>
      <c r="AE14" s="56" t="str">
        <f>IF(COUNTIFS('LANÇAMENTOS DIÁRIOS'!$G$5:$G$500,"C",'LANÇAMENTOS DIÁRIOS'!$C$5:$C$500,$A14,'LANÇAMENTOS DIÁRIOS'!$O$5:$O$500,"&lt;=99499",'LANÇAMENTOS DIÁRIOS'!$P$5:$P$500,"&gt;=99400")&gt;0,"X","")</f>
      </c>
      <c r="AF14" s="56" t="str">
        <f>IF(COUNTIFS('LANÇAMENTOS DIÁRIOS'!$G$5:$G$500,"C",'LANÇAMENTOS DIÁRIOS'!$C$5:$C$500,$A14,'LANÇAMENTOS DIÁRIOS'!$O$5:$O$500,"&lt;=99599",'LANÇAMENTOS DIÁRIOS'!$P$5:$P$500,"&gt;=99500")&gt;0,"X","")</f>
      </c>
      <c r="AG14" s="56" t="str">
        <f>IF(COUNTIFS('LANÇAMENTOS DIÁRIOS'!$G$5:$G$500,"C",'LANÇAMENTOS DIÁRIOS'!$C$5:$C$500,$A14,'LANÇAMENTOS DIÁRIOS'!$O$5:$O$500,"&lt;=99699",'LANÇAMENTOS DIÁRIOS'!$P$5:$P$500,"&gt;=99600")&gt;0,"X","")</f>
      </c>
      <c r="AH14" s="56" t="str">
        <f>IF(COUNTIFS('LANÇAMENTOS DIÁRIOS'!$G$5:$G$500,"C",'LANÇAMENTOS DIÁRIOS'!$C$5:$C$500,$A14,'LANÇAMENTOS DIÁRIOS'!$O$5:$O$500,"&lt;=99799",'LANÇAMENTOS DIÁRIOS'!$P$5:$P$500,"&gt;=99700")&gt;0,"X","")</f>
      </c>
      <c r="AI14" s="56" t="str">
        <f>IF(COUNTIFS('LANÇAMENTOS DIÁRIOS'!$G$5:$G$500,"C",'LANÇAMENTOS DIÁRIOS'!$C$5:$C$500,$A14,'LANÇAMENTOS DIÁRIOS'!$O$5:$O$500,"&lt;=99899",'LANÇAMENTOS DIÁRIOS'!$P$5:$P$500,"&gt;=99800")&gt;0,"X","")</f>
      </c>
      <c r="AJ14" s="56" t="str">
        <f>IF(COUNTIFS('LANÇAMENTOS DIÁRIOS'!$G$5:$G$500,"C",'LANÇAMENTOS DIÁRIOS'!$C$5:$C$500,$A14,'LANÇAMENTOS DIÁRIOS'!$O$5:$O$500,"&lt;=99999",'LANÇAMENTOS DIÁRIOS'!$P$5:$P$500,"&gt;=99900")&gt;0,"X","")</f>
      </c>
      <c r="AK14" s="56" t="str">
        <f>IF(COUNTIFS('LANÇAMENTOS DIÁRIOS'!$G$5:$G$500,"C",'LANÇAMENTOS DIÁRIOS'!$C$5:$C$500,$A14,'LANÇAMENTOS DIÁRIOS'!$O$5:$O$500,"&lt;=100099",'LANÇAMENTOS DIÁRIOS'!$P$5:$P$500,"&gt;=100000")&gt;0,"X","")</f>
      </c>
      <c r="AL14" s="56" t="str">
        <f>IF(COUNTIFS('LANÇAMENTOS DIÁRIOS'!$G$5:$G$500,"C",'LANÇAMENTOS DIÁRIOS'!$C$5:$C$500,$A14,'LANÇAMENTOS DIÁRIOS'!$O$5:$O$500,"&lt;=100199",'LANÇAMENTOS DIÁRIOS'!$P$5:$P$500,"&gt;=100100")&gt;0,"X","")</f>
      </c>
      <c r="AM14" s="56" t="str">
        <f>IF(COUNTIFS('LANÇAMENTOS DIÁRIOS'!$G$5:$G$500,"C",'LANÇAMENTOS DIÁRIOS'!$C$5:$C$500,$A14,'LANÇAMENTOS DIÁRIOS'!$O$5:$O$500,"&lt;=100299",'LANÇAMENTOS DIÁRIOS'!$P$5:$P$500,"&gt;=100200")&gt;0,"X","")</f>
      </c>
      <c r="AN14" s="56" t="str">
        <f>IF(COUNTIFS('LANÇAMENTOS DIÁRIOS'!$G$5:$G$500,"C",'LANÇAMENTOS DIÁRIOS'!$C$5:$C$500,$A14,'LANÇAMENTOS DIÁRIOS'!$O$5:$O$500,"&lt;=100399",'LANÇAMENTOS DIÁRIOS'!$P$5:$P$500,"&gt;=100300")&gt;0,"X","")</f>
      </c>
      <c r="AO14" s="56" t="str">
        <f>IF(COUNTIFS('LANÇAMENTOS DIÁRIOS'!$G$5:$G$500,"C",'LANÇAMENTOS DIÁRIOS'!$C$5:$C$500,$A14,'LANÇAMENTOS DIÁRIOS'!$O$5:$O$500,"&lt;=100499",'LANÇAMENTOS DIÁRIOS'!$P$5:$P$500,"&gt;=100400")&gt;0,"X","")</f>
      </c>
      <c r="AP14" s="56" t="str">
        <f>IF(COUNTIFS('LANÇAMENTOS DIÁRIOS'!$G$5:$G$500,"C",'LANÇAMENTOS DIÁRIOS'!$C$5:$C$500,$A14,'LANÇAMENTOS DIÁRIOS'!$O$5:$O$500,"&lt;=100500",'LANÇAMENTOS DIÁRIOS'!$P$5:$P$500,"&gt;=100500")&gt;0,"X","")</f>
      </c>
    </row>
    <row r="15">
      <c r="A15" s="51" t="str">
        <v>Remoção de terminal absorvedor de energia.m</v>
      </c>
      <c r="B15" s="56" t="str">
        <f>IF(COUNTIFS('LANÇAMENTOS DIÁRIOS'!$G$5:$G$500,"C",'LANÇAMENTOS DIÁRIOS'!$C$5:$C$500,$A15,'LANÇAMENTOS DIÁRIOS'!$O$5:$O$500,"&lt;=96599",'LANÇAMENTOS DIÁRIOS'!$P$5:$P$500,"&gt;=96500")&gt;0,"X","")</f>
      </c>
      <c r="C15" s="56" t="str">
        <f>IF(COUNTIFS('LANÇAMENTOS DIÁRIOS'!$G$5:$G$500,"C",'LANÇAMENTOS DIÁRIOS'!$C$5:$C$500,$A15,'LANÇAMENTOS DIÁRIOS'!$O$5:$O$500,"&lt;=96699",'LANÇAMENTOS DIÁRIOS'!$P$5:$P$500,"&gt;=96600")&gt;0,"X","")</f>
      </c>
      <c r="D15" s="56" t="str">
        <f>IF(COUNTIFS('LANÇAMENTOS DIÁRIOS'!$G$5:$G$500,"C",'LANÇAMENTOS DIÁRIOS'!$C$5:$C$500,$A15,'LANÇAMENTOS DIÁRIOS'!$O$5:$O$500,"&lt;=96799",'LANÇAMENTOS DIÁRIOS'!$P$5:$P$500,"&gt;=96700")&gt;0,"X","")</f>
      </c>
      <c r="E15" s="56" t="str">
        <f>IF(COUNTIFS('LANÇAMENTOS DIÁRIOS'!$G$5:$G$500,"C",'LANÇAMENTOS DIÁRIOS'!$C$5:$C$500,$A15,'LANÇAMENTOS DIÁRIOS'!$O$5:$O$500,"&lt;=96899",'LANÇAMENTOS DIÁRIOS'!$P$5:$P$500,"&gt;=96800")&gt;0,"X","")</f>
      </c>
      <c r="F15" s="56" t="str">
        <f>IF(COUNTIFS('LANÇAMENTOS DIÁRIOS'!$G$5:$G$500,"C",'LANÇAMENTOS DIÁRIOS'!$C$5:$C$500,$A15,'LANÇAMENTOS DIÁRIOS'!$O$5:$O$500,"&lt;=96999",'LANÇAMENTOS DIÁRIOS'!$P$5:$P$500,"&gt;=96900")&gt;0,"X","")</f>
      </c>
      <c r="G15" s="56" t="str">
        <f>IF(COUNTIFS('LANÇAMENTOS DIÁRIOS'!$G$5:$G$500,"C",'LANÇAMENTOS DIÁRIOS'!$C$5:$C$500,$A15,'LANÇAMENTOS DIÁRIOS'!$O$5:$O$500,"&lt;=97099",'LANÇAMENTOS DIÁRIOS'!$P$5:$P$500,"&gt;=97000")&gt;0,"X","")</f>
      </c>
      <c r="H15" s="56" t="str">
        <f>IF(COUNTIFS('LANÇAMENTOS DIÁRIOS'!$G$5:$G$500,"C",'LANÇAMENTOS DIÁRIOS'!$C$5:$C$500,$A15,'LANÇAMENTOS DIÁRIOS'!$O$5:$O$500,"&lt;=97199",'LANÇAMENTOS DIÁRIOS'!$P$5:$P$500,"&gt;=97100")&gt;0,"X","")</f>
      </c>
      <c r="I15" s="56" t="str">
        <f>IF(COUNTIFS('LANÇAMENTOS DIÁRIOS'!$G$5:$G$500,"C",'LANÇAMENTOS DIÁRIOS'!$C$5:$C$500,$A15,'LANÇAMENTOS DIÁRIOS'!$O$5:$O$500,"&lt;=97299",'LANÇAMENTOS DIÁRIOS'!$P$5:$P$500,"&gt;=97200")&gt;0,"X","")</f>
      </c>
      <c r="J15" s="56" t="str">
        <f>IF(COUNTIFS('LANÇAMENTOS DIÁRIOS'!$G$5:$G$500,"C",'LANÇAMENTOS DIÁRIOS'!$C$5:$C$500,$A15,'LANÇAMENTOS DIÁRIOS'!$O$5:$O$500,"&lt;=97399",'LANÇAMENTOS DIÁRIOS'!$P$5:$P$500,"&gt;=97300")&gt;0,"X","")</f>
      </c>
      <c r="K15" s="56" t="str">
        <f>IF(COUNTIFS('LANÇAMENTOS DIÁRIOS'!$G$5:$G$500,"C",'LANÇAMENTOS DIÁRIOS'!$C$5:$C$500,$A15,'LANÇAMENTOS DIÁRIOS'!$O$5:$O$500,"&lt;=97499",'LANÇAMENTOS DIÁRIOS'!$P$5:$P$500,"&gt;=97400")&gt;0,"X","")</f>
      </c>
      <c r="L15" s="56" t="str">
        <f>IF(COUNTIFS('LANÇAMENTOS DIÁRIOS'!$G$5:$G$500,"C",'LANÇAMENTOS DIÁRIOS'!$C$5:$C$500,$A15,'LANÇAMENTOS DIÁRIOS'!$O$5:$O$500,"&lt;=97599",'LANÇAMENTOS DIÁRIOS'!$P$5:$P$500,"&gt;=97500")&gt;0,"X","")</f>
      </c>
      <c r="M15" s="56" t="str">
        <f>IF(COUNTIFS('LANÇAMENTOS DIÁRIOS'!$G$5:$G$500,"C",'LANÇAMENTOS DIÁRIOS'!$C$5:$C$500,$A15,'LANÇAMENTOS DIÁRIOS'!$O$5:$O$500,"&lt;=97699",'LANÇAMENTOS DIÁRIOS'!$P$5:$P$500,"&gt;=97600")&gt;0,"X","")</f>
      </c>
      <c r="N15" s="56" t="str">
        <f>IF(COUNTIFS('LANÇAMENTOS DIÁRIOS'!$G$5:$G$500,"C",'LANÇAMENTOS DIÁRIOS'!$C$5:$C$500,$A15,'LANÇAMENTOS DIÁRIOS'!$O$5:$O$500,"&lt;=97799",'LANÇAMENTOS DIÁRIOS'!$P$5:$P$500,"&gt;=97700")&gt;0,"X","")</f>
      </c>
      <c r="O15" s="56" t="str">
        <f>IF(COUNTIFS('LANÇAMENTOS DIÁRIOS'!$G$5:$G$500,"C",'LANÇAMENTOS DIÁRIOS'!$C$5:$C$500,$A15,'LANÇAMENTOS DIÁRIOS'!$O$5:$O$500,"&lt;=97899",'LANÇAMENTOS DIÁRIOS'!$P$5:$P$500,"&gt;=97800")&gt;0,"X","")</f>
      </c>
      <c r="P15" s="56" t="str">
        <f>IF(COUNTIFS('LANÇAMENTOS DIÁRIOS'!$G$5:$G$500,"C",'LANÇAMENTOS DIÁRIOS'!$C$5:$C$500,$A15,'LANÇAMENTOS DIÁRIOS'!$O$5:$O$500,"&lt;=97999",'LANÇAMENTOS DIÁRIOS'!$P$5:$P$500,"&gt;=97900")&gt;0,"X","")</f>
      </c>
      <c r="Q15" s="56" t="str">
        <f>IF(COUNTIFS('LANÇAMENTOS DIÁRIOS'!$G$5:$G$500,"C",'LANÇAMENTOS DIÁRIOS'!$C$5:$C$500,$A15,'LANÇAMENTOS DIÁRIOS'!$O$5:$O$500,"&lt;=98099",'LANÇAMENTOS DIÁRIOS'!$P$5:$P$500,"&gt;=98000")&gt;0,"X","")</f>
      </c>
      <c r="R15" s="56" t="str">
        <f>IF(COUNTIFS('LANÇAMENTOS DIÁRIOS'!$G$5:$G$500,"C",'LANÇAMENTOS DIÁRIOS'!$C$5:$C$500,$A15,'LANÇAMENTOS DIÁRIOS'!$O$5:$O$500,"&lt;=98199",'LANÇAMENTOS DIÁRIOS'!$P$5:$P$500,"&gt;=98100")&gt;0,"X","")</f>
      </c>
      <c r="S15" s="56" t="str">
        <f>IF(COUNTIFS('LANÇAMENTOS DIÁRIOS'!$G$5:$G$500,"C",'LANÇAMENTOS DIÁRIOS'!$C$5:$C$500,$A15,'LANÇAMENTOS DIÁRIOS'!$O$5:$O$500,"&lt;=98299",'LANÇAMENTOS DIÁRIOS'!$P$5:$P$500,"&gt;=98200")&gt;0,"X","")</f>
      </c>
      <c r="T15" s="56" t="str">
        <f>IF(COUNTIFS('LANÇAMENTOS DIÁRIOS'!$G$5:$G$500,"C",'LANÇAMENTOS DIÁRIOS'!$C$5:$C$500,$A15,'LANÇAMENTOS DIÁRIOS'!$O$5:$O$500,"&lt;=98399",'LANÇAMENTOS DIÁRIOS'!$P$5:$P$500,"&gt;=98300")&gt;0,"X","")</f>
      </c>
      <c r="U15" s="56" t="str">
        <f>IF(COUNTIFS('LANÇAMENTOS DIÁRIOS'!$G$5:$G$500,"C",'LANÇAMENTOS DIÁRIOS'!$C$5:$C$500,$A15,'LANÇAMENTOS DIÁRIOS'!$O$5:$O$500,"&lt;=98499",'LANÇAMENTOS DIÁRIOS'!$P$5:$P$500,"&gt;=98400")&gt;0,"X","")</f>
      </c>
      <c r="V15" s="56" t="str">
        <f>IF(COUNTIFS('LANÇAMENTOS DIÁRIOS'!$G$5:$G$500,"C",'LANÇAMENTOS DIÁRIOS'!$C$5:$C$500,$A15,'LANÇAMENTOS DIÁRIOS'!$O$5:$O$500,"&lt;=98599",'LANÇAMENTOS DIÁRIOS'!$P$5:$P$500,"&gt;=98500")&gt;0,"X","")</f>
      </c>
      <c r="W15" s="56" t="str">
        <f>IF(COUNTIFS('LANÇAMENTOS DIÁRIOS'!$G$5:$G$500,"C",'LANÇAMENTOS DIÁRIOS'!$C$5:$C$500,$A15,'LANÇAMENTOS DIÁRIOS'!$O$5:$O$500,"&lt;=98699",'LANÇAMENTOS DIÁRIOS'!$P$5:$P$500,"&gt;=98600")&gt;0,"X","")</f>
      </c>
      <c r="X15" s="56" t="str">
        <f>IF(COUNTIFS('LANÇAMENTOS DIÁRIOS'!$G$5:$G$500,"C",'LANÇAMENTOS DIÁRIOS'!$C$5:$C$500,$A15,'LANÇAMENTOS DIÁRIOS'!$O$5:$O$500,"&lt;=98799",'LANÇAMENTOS DIÁRIOS'!$P$5:$P$500,"&gt;=98700")&gt;0,"X","")</f>
      </c>
      <c r="Y15" s="56" t="str">
        <f>IF(COUNTIFS('LANÇAMENTOS DIÁRIOS'!$G$5:$G$500,"C",'LANÇAMENTOS DIÁRIOS'!$C$5:$C$500,$A15,'LANÇAMENTOS DIÁRIOS'!$O$5:$O$500,"&lt;=98899",'LANÇAMENTOS DIÁRIOS'!$P$5:$P$500,"&gt;=98800")&gt;0,"X","")</f>
      </c>
      <c r="Z15" s="56" t="str">
        <f>IF(COUNTIFS('LANÇAMENTOS DIÁRIOS'!$G$5:$G$500,"C",'LANÇAMENTOS DIÁRIOS'!$C$5:$C$500,$A15,'LANÇAMENTOS DIÁRIOS'!$O$5:$O$500,"&lt;=98999",'LANÇAMENTOS DIÁRIOS'!$P$5:$P$500,"&gt;=98900")&gt;0,"X","")</f>
      </c>
      <c r="AA15" s="56" t="str">
        <f>IF(COUNTIFS('LANÇAMENTOS DIÁRIOS'!$G$5:$G$500,"C",'LANÇAMENTOS DIÁRIOS'!$C$5:$C$500,$A15,'LANÇAMENTOS DIÁRIOS'!$O$5:$O$500,"&lt;=99099",'LANÇAMENTOS DIÁRIOS'!$P$5:$P$500,"&gt;=99000")&gt;0,"X","")</f>
      </c>
      <c r="AB15" s="56" t="str">
        <f>IF(COUNTIFS('LANÇAMENTOS DIÁRIOS'!$G$5:$G$500,"C",'LANÇAMENTOS DIÁRIOS'!$C$5:$C$500,$A15,'LANÇAMENTOS DIÁRIOS'!$O$5:$O$500,"&lt;=99199",'LANÇAMENTOS DIÁRIOS'!$P$5:$P$500,"&gt;=99100")&gt;0,"X","")</f>
      </c>
      <c r="AC15" s="56" t="str">
        <f>IF(COUNTIFS('LANÇAMENTOS DIÁRIOS'!$G$5:$G$500,"C",'LANÇAMENTOS DIÁRIOS'!$C$5:$C$500,$A15,'LANÇAMENTOS DIÁRIOS'!$O$5:$O$500,"&lt;=99299",'LANÇAMENTOS DIÁRIOS'!$P$5:$P$500,"&gt;=99200")&gt;0,"X","")</f>
      </c>
      <c r="AD15" s="56" t="str">
        <f>IF(COUNTIFS('LANÇAMENTOS DIÁRIOS'!$G$5:$G$500,"C",'LANÇAMENTOS DIÁRIOS'!$C$5:$C$500,$A15,'LANÇAMENTOS DIÁRIOS'!$O$5:$O$500,"&lt;=99399",'LANÇAMENTOS DIÁRIOS'!$P$5:$P$500,"&gt;=99300")&gt;0,"X","")</f>
      </c>
      <c r="AE15" s="56" t="str">
        <f>IF(COUNTIFS('LANÇAMENTOS DIÁRIOS'!$G$5:$G$500,"C",'LANÇAMENTOS DIÁRIOS'!$C$5:$C$500,$A15,'LANÇAMENTOS DIÁRIOS'!$O$5:$O$500,"&lt;=99499",'LANÇAMENTOS DIÁRIOS'!$P$5:$P$500,"&gt;=99400")&gt;0,"X","")</f>
      </c>
      <c r="AF15" s="56" t="str">
        <f>IF(COUNTIFS('LANÇAMENTOS DIÁRIOS'!$G$5:$G$500,"C",'LANÇAMENTOS DIÁRIOS'!$C$5:$C$500,$A15,'LANÇAMENTOS DIÁRIOS'!$O$5:$O$500,"&lt;=99599",'LANÇAMENTOS DIÁRIOS'!$P$5:$P$500,"&gt;=99500")&gt;0,"X","")</f>
      </c>
      <c r="AG15" s="56" t="str">
        <f>IF(COUNTIFS('LANÇAMENTOS DIÁRIOS'!$G$5:$G$500,"C",'LANÇAMENTOS DIÁRIOS'!$C$5:$C$500,$A15,'LANÇAMENTOS DIÁRIOS'!$O$5:$O$500,"&lt;=99699",'LANÇAMENTOS DIÁRIOS'!$P$5:$P$500,"&gt;=99600")&gt;0,"X","")</f>
      </c>
      <c r="AH15" s="56" t="str">
        <f>IF(COUNTIFS('LANÇAMENTOS DIÁRIOS'!$G$5:$G$500,"C",'LANÇAMENTOS DIÁRIOS'!$C$5:$C$500,$A15,'LANÇAMENTOS DIÁRIOS'!$O$5:$O$500,"&lt;=99799",'LANÇAMENTOS DIÁRIOS'!$P$5:$P$500,"&gt;=99700")&gt;0,"X","")</f>
      </c>
      <c r="AI15" s="56" t="str">
        <f>IF(COUNTIFS('LANÇAMENTOS DIÁRIOS'!$G$5:$G$500,"C",'LANÇAMENTOS DIÁRIOS'!$C$5:$C$500,$A15,'LANÇAMENTOS DIÁRIOS'!$O$5:$O$500,"&lt;=99899",'LANÇAMENTOS DIÁRIOS'!$P$5:$P$500,"&gt;=99800")&gt;0,"X","")</f>
      </c>
      <c r="AJ15" s="56" t="str">
        <f>IF(COUNTIFS('LANÇAMENTOS DIÁRIOS'!$G$5:$G$500,"C",'LANÇAMENTOS DIÁRIOS'!$C$5:$C$500,$A15,'LANÇAMENTOS DIÁRIOS'!$O$5:$O$500,"&lt;=99999",'LANÇAMENTOS DIÁRIOS'!$P$5:$P$500,"&gt;=99900")&gt;0,"X","")</f>
      </c>
      <c r="AK15" s="56" t="str">
        <f>IF(COUNTIFS('LANÇAMENTOS DIÁRIOS'!$G$5:$G$500,"C",'LANÇAMENTOS DIÁRIOS'!$C$5:$C$500,$A15,'LANÇAMENTOS DIÁRIOS'!$O$5:$O$500,"&lt;=100099",'LANÇAMENTOS DIÁRIOS'!$P$5:$P$500,"&gt;=100000")&gt;0,"X","")</f>
      </c>
      <c r="AL15" s="56" t="str">
        <f>IF(COUNTIFS('LANÇAMENTOS DIÁRIOS'!$G$5:$G$500,"C",'LANÇAMENTOS DIÁRIOS'!$C$5:$C$500,$A15,'LANÇAMENTOS DIÁRIOS'!$O$5:$O$500,"&lt;=100199",'LANÇAMENTOS DIÁRIOS'!$P$5:$P$500,"&gt;=100100")&gt;0,"X","")</f>
      </c>
      <c r="AM15" s="56" t="str">
        <f>IF(COUNTIFS('LANÇAMENTOS DIÁRIOS'!$G$5:$G$500,"C",'LANÇAMENTOS DIÁRIOS'!$C$5:$C$500,$A15,'LANÇAMENTOS DIÁRIOS'!$O$5:$O$500,"&lt;=100299",'LANÇAMENTOS DIÁRIOS'!$P$5:$P$500,"&gt;=100200")&gt;0,"X","")</f>
      </c>
      <c r="AN15" s="56" t="str">
        <f>IF(COUNTIFS('LANÇAMENTOS DIÁRIOS'!$G$5:$G$500,"C",'LANÇAMENTOS DIÁRIOS'!$C$5:$C$500,$A15,'LANÇAMENTOS DIÁRIOS'!$O$5:$O$500,"&lt;=100399",'LANÇAMENTOS DIÁRIOS'!$P$5:$P$500,"&gt;=100300")&gt;0,"X","")</f>
      </c>
      <c r="AO15" s="56" t="str">
        <f>IF(COUNTIFS('LANÇAMENTOS DIÁRIOS'!$G$5:$G$500,"C",'LANÇAMENTOS DIÁRIOS'!$C$5:$C$500,$A15,'LANÇAMENTOS DIÁRIOS'!$O$5:$O$500,"&lt;=100499",'LANÇAMENTOS DIÁRIOS'!$P$5:$P$500,"&gt;=100400")&gt;0,"X","")</f>
      </c>
      <c r="AP15" s="56" t="str">
        <f>IF(COUNTIFS('LANÇAMENTOS DIÁRIOS'!$G$5:$G$500,"C",'LANÇAMENTOS DIÁRIOS'!$C$5:$C$500,$A15,'LANÇAMENTOS DIÁRIOS'!$O$5:$O$500,"&lt;=100500",'LANÇAMENTOS DIÁRIOS'!$P$5:$P$500,"&gt;=100500")&gt;0,"X","")</f>
      </c>
    </row>
    <row r="16" ht="19" customHeight="1">
      <c r="A16" s="68" t="str">
        <v>Desvio de tráfego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</row>
    <row r="17">
      <c r="A17" s="51" t="str">
        <v>Desvio de tráfego</v>
      </c>
      <c r="B17" s="56" t="str">
        <f>IF(COUNTIFS('LANÇAMENTOS DIÁRIOS'!$G$5:$G$500,"C",'LANÇAMENTOS DIÁRIOS'!$C$5:$C$500,$A17,'LANÇAMENTOS DIÁRIOS'!$O$5:$O$500,"&lt;=96599",'LANÇAMENTOS DIÁRIOS'!$P$5:$P$500,"&gt;=96500")&gt;0,"X","")</f>
      </c>
      <c r="C17" s="56" t="str">
        <f>IF(COUNTIFS('LANÇAMENTOS DIÁRIOS'!$G$5:$G$500,"C",'LANÇAMENTOS DIÁRIOS'!$C$5:$C$500,$A17,'LANÇAMENTOS DIÁRIOS'!$O$5:$O$500,"&lt;=96699",'LANÇAMENTOS DIÁRIOS'!$P$5:$P$500,"&gt;=96600")&gt;0,"X","")</f>
      </c>
      <c r="D17" s="56" t="str">
        <f>IF(COUNTIFS('LANÇAMENTOS DIÁRIOS'!$G$5:$G$500,"C",'LANÇAMENTOS DIÁRIOS'!$C$5:$C$500,$A17,'LANÇAMENTOS DIÁRIOS'!$O$5:$O$500,"&lt;=96799",'LANÇAMENTOS DIÁRIOS'!$P$5:$P$500,"&gt;=96700")&gt;0,"X","")</f>
      </c>
      <c r="E17" s="56" t="str">
        <f>IF(COUNTIFS('LANÇAMENTOS DIÁRIOS'!$G$5:$G$500,"C",'LANÇAMENTOS DIÁRIOS'!$C$5:$C$500,$A17,'LANÇAMENTOS DIÁRIOS'!$O$5:$O$500,"&lt;=96899",'LANÇAMENTOS DIÁRIOS'!$P$5:$P$500,"&gt;=96800")&gt;0,"X","")</f>
      </c>
      <c r="F17" s="56" t="str">
        <f>IF(COUNTIFS('LANÇAMENTOS DIÁRIOS'!$G$5:$G$500,"C",'LANÇAMENTOS DIÁRIOS'!$C$5:$C$500,$A17,'LANÇAMENTOS DIÁRIOS'!$O$5:$O$500,"&lt;=96999",'LANÇAMENTOS DIÁRIOS'!$P$5:$P$500,"&gt;=96900")&gt;0,"X","")</f>
      </c>
      <c r="G17" s="56" t="str">
        <f>IF(COUNTIFS('LANÇAMENTOS DIÁRIOS'!$G$5:$G$500,"C",'LANÇAMENTOS DIÁRIOS'!$C$5:$C$500,$A17,'LANÇAMENTOS DIÁRIOS'!$O$5:$O$500,"&lt;=97099",'LANÇAMENTOS DIÁRIOS'!$P$5:$P$500,"&gt;=97000")&gt;0,"X","")</f>
      </c>
      <c r="H17" s="56" t="str">
        <f>IF(COUNTIFS('LANÇAMENTOS DIÁRIOS'!$G$5:$G$500,"C",'LANÇAMENTOS DIÁRIOS'!$C$5:$C$500,$A17,'LANÇAMENTOS DIÁRIOS'!$O$5:$O$500,"&lt;=97199",'LANÇAMENTOS DIÁRIOS'!$P$5:$P$500,"&gt;=97100")&gt;0,"X","")</f>
      </c>
      <c r="I17" s="56" t="str">
        <f>IF(COUNTIFS('LANÇAMENTOS DIÁRIOS'!$G$5:$G$500,"C",'LANÇAMENTOS DIÁRIOS'!$C$5:$C$500,$A17,'LANÇAMENTOS DIÁRIOS'!$O$5:$O$500,"&lt;=97299",'LANÇAMENTOS DIÁRIOS'!$P$5:$P$500,"&gt;=97200")&gt;0,"X","")</f>
      </c>
      <c r="J17" s="56" t="str">
        <f>IF(COUNTIFS('LANÇAMENTOS DIÁRIOS'!$G$5:$G$500,"C",'LANÇAMENTOS DIÁRIOS'!$C$5:$C$500,$A17,'LANÇAMENTOS DIÁRIOS'!$O$5:$O$500,"&lt;=97399",'LANÇAMENTOS DIÁRIOS'!$P$5:$P$500,"&gt;=97300")&gt;0,"X","")</f>
      </c>
      <c r="K17" s="56" t="str">
        <f>IF(COUNTIFS('LANÇAMENTOS DIÁRIOS'!$G$5:$G$500,"C",'LANÇAMENTOS DIÁRIOS'!$C$5:$C$500,$A17,'LANÇAMENTOS DIÁRIOS'!$O$5:$O$500,"&lt;=97499",'LANÇAMENTOS DIÁRIOS'!$P$5:$P$500,"&gt;=97400")&gt;0,"X","")</f>
      </c>
      <c r="L17" s="56" t="str">
        <f>IF(COUNTIFS('LANÇAMENTOS DIÁRIOS'!$G$5:$G$500,"C",'LANÇAMENTOS DIÁRIOS'!$C$5:$C$500,$A17,'LANÇAMENTOS DIÁRIOS'!$O$5:$O$500,"&lt;=97599",'LANÇAMENTOS DIÁRIOS'!$P$5:$P$500,"&gt;=97500")&gt;0,"X","")</f>
      </c>
      <c r="M17" s="56" t="str">
        <f>IF(COUNTIFS('LANÇAMENTOS DIÁRIOS'!$G$5:$G$500,"C",'LANÇAMENTOS DIÁRIOS'!$C$5:$C$500,$A17,'LANÇAMENTOS DIÁRIOS'!$O$5:$O$500,"&lt;=97699",'LANÇAMENTOS DIÁRIOS'!$P$5:$P$500,"&gt;=97600")&gt;0,"X","")</f>
      </c>
      <c r="N17" s="56" t="str">
        <f>IF(COUNTIFS('LANÇAMENTOS DIÁRIOS'!$G$5:$G$500,"C",'LANÇAMENTOS DIÁRIOS'!$C$5:$C$500,$A17,'LANÇAMENTOS DIÁRIOS'!$O$5:$O$500,"&lt;=97799",'LANÇAMENTOS DIÁRIOS'!$P$5:$P$500,"&gt;=97700")&gt;0,"X","")</f>
      </c>
      <c r="O17" s="56" t="str">
        <f>IF(COUNTIFS('LANÇAMENTOS DIÁRIOS'!$G$5:$G$500,"C",'LANÇAMENTOS DIÁRIOS'!$C$5:$C$500,$A17,'LANÇAMENTOS DIÁRIOS'!$O$5:$O$500,"&lt;=97899",'LANÇAMENTOS DIÁRIOS'!$P$5:$P$500,"&gt;=97800")&gt;0,"X","")</f>
      </c>
      <c r="P17" s="56" t="str">
        <f>IF(COUNTIFS('LANÇAMENTOS DIÁRIOS'!$G$5:$G$500,"C",'LANÇAMENTOS DIÁRIOS'!$C$5:$C$500,$A17,'LANÇAMENTOS DIÁRIOS'!$O$5:$O$500,"&lt;=97999",'LANÇAMENTOS DIÁRIOS'!$P$5:$P$500,"&gt;=97900")&gt;0,"X","")</f>
      </c>
      <c r="Q17" s="56" t="str">
        <f>IF(COUNTIFS('LANÇAMENTOS DIÁRIOS'!$G$5:$G$500,"C",'LANÇAMENTOS DIÁRIOS'!$C$5:$C$500,$A17,'LANÇAMENTOS DIÁRIOS'!$O$5:$O$500,"&lt;=98099",'LANÇAMENTOS DIÁRIOS'!$P$5:$P$500,"&gt;=98000")&gt;0,"X","")</f>
      </c>
      <c r="R17" s="56" t="str">
        <f>IF(COUNTIFS('LANÇAMENTOS DIÁRIOS'!$G$5:$G$500,"C",'LANÇAMENTOS DIÁRIOS'!$C$5:$C$500,$A17,'LANÇAMENTOS DIÁRIOS'!$O$5:$O$500,"&lt;=98199",'LANÇAMENTOS DIÁRIOS'!$P$5:$P$500,"&gt;=98100")&gt;0,"X","")</f>
      </c>
      <c r="S17" s="56" t="str">
        <f>IF(COUNTIFS('LANÇAMENTOS DIÁRIOS'!$G$5:$G$500,"C",'LANÇAMENTOS DIÁRIOS'!$C$5:$C$500,$A17,'LANÇAMENTOS DIÁRIOS'!$O$5:$O$500,"&lt;=98299",'LANÇAMENTOS DIÁRIOS'!$P$5:$P$500,"&gt;=98200")&gt;0,"X","")</f>
      </c>
      <c r="T17" s="56" t="str">
        <f>IF(COUNTIFS('LANÇAMENTOS DIÁRIOS'!$G$5:$G$500,"C",'LANÇAMENTOS DIÁRIOS'!$C$5:$C$500,$A17,'LANÇAMENTOS DIÁRIOS'!$O$5:$O$500,"&lt;=98399",'LANÇAMENTOS DIÁRIOS'!$P$5:$P$500,"&gt;=98300")&gt;0,"X","")</f>
      </c>
      <c r="U17" s="56" t="str">
        <f>IF(COUNTIFS('LANÇAMENTOS DIÁRIOS'!$G$5:$G$500,"C",'LANÇAMENTOS DIÁRIOS'!$C$5:$C$500,$A17,'LANÇAMENTOS DIÁRIOS'!$O$5:$O$500,"&lt;=98499",'LANÇAMENTOS DIÁRIOS'!$P$5:$P$500,"&gt;=98400")&gt;0,"X","")</f>
      </c>
      <c r="V17" s="56" t="str">
        <f>IF(COUNTIFS('LANÇAMENTOS DIÁRIOS'!$G$5:$G$500,"C",'LANÇAMENTOS DIÁRIOS'!$C$5:$C$500,$A17,'LANÇAMENTOS DIÁRIOS'!$O$5:$O$500,"&lt;=98599",'LANÇAMENTOS DIÁRIOS'!$P$5:$P$500,"&gt;=98500")&gt;0,"X","")</f>
      </c>
      <c r="W17" s="56" t="str">
        <f>IF(COUNTIFS('LANÇAMENTOS DIÁRIOS'!$G$5:$G$500,"C",'LANÇAMENTOS DIÁRIOS'!$C$5:$C$500,$A17,'LANÇAMENTOS DIÁRIOS'!$O$5:$O$500,"&lt;=98699",'LANÇAMENTOS DIÁRIOS'!$P$5:$P$500,"&gt;=98600")&gt;0,"X","")</f>
      </c>
      <c r="X17" s="56" t="str">
        <f>IF(COUNTIFS('LANÇAMENTOS DIÁRIOS'!$G$5:$G$500,"C",'LANÇAMENTOS DIÁRIOS'!$C$5:$C$500,$A17,'LANÇAMENTOS DIÁRIOS'!$O$5:$O$500,"&lt;=98799",'LANÇAMENTOS DIÁRIOS'!$P$5:$P$500,"&gt;=98700")&gt;0,"X","")</f>
      </c>
      <c r="Y17" s="56" t="str">
        <f>IF(COUNTIFS('LANÇAMENTOS DIÁRIOS'!$G$5:$G$500,"C",'LANÇAMENTOS DIÁRIOS'!$C$5:$C$500,$A17,'LANÇAMENTOS DIÁRIOS'!$O$5:$O$500,"&lt;=98899",'LANÇAMENTOS DIÁRIOS'!$P$5:$P$500,"&gt;=98800")&gt;0,"X","")</f>
      </c>
      <c r="Z17" s="56" t="str">
        <f>IF(COUNTIFS('LANÇAMENTOS DIÁRIOS'!$G$5:$G$500,"C",'LANÇAMENTOS DIÁRIOS'!$C$5:$C$500,$A17,'LANÇAMENTOS DIÁRIOS'!$O$5:$O$500,"&lt;=98999",'LANÇAMENTOS DIÁRIOS'!$P$5:$P$500,"&gt;=98900")&gt;0,"X","")</f>
      </c>
      <c r="AA17" s="56" t="str">
        <f>IF(COUNTIFS('LANÇAMENTOS DIÁRIOS'!$G$5:$G$500,"C",'LANÇAMENTOS DIÁRIOS'!$C$5:$C$500,$A17,'LANÇAMENTOS DIÁRIOS'!$O$5:$O$500,"&lt;=99099",'LANÇAMENTOS DIÁRIOS'!$P$5:$P$500,"&gt;=99000")&gt;0,"X","")</f>
      </c>
      <c r="AB17" s="56" t="str">
        <f>IF(COUNTIFS('LANÇAMENTOS DIÁRIOS'!$G$5:$G$500,"C",'LANÇAMENTOS DIÁRIOS'!$C$5:$C$500,$A17,'LANÇAMENTOS DIÁRIOS'!$O$5:$O$500,"&lt;=99199",'LANÇAMENTOS DIÁRIOS'!$P$5:$P$500,"&gt;=99100")&gt;0,"X","")</f>
      </c>
      <c r="AC17" s="56" t="str">
        <f>IF(COUNTIFS('LANÇAMENTOS DIÁRIOS'!$G$5:$G$500,"C",'LANÇAMENTOS DIÁRIOS'!$C$5:$C$500,$A17,'LANÇAMENTOS DIÁRIOS'!$O$5:$O$500,"&lt;=99299",'LANÇAMENTOS DIÁRIOS'!$P$5:$P$500,"&gt;=99200")&gt;0,"X","")</f>
      </c>
      <c r="AD17" s="56" t="str">
        <f>IF(COUNTIFS('LANÇAMENTOS DIÁRIOS'!$G$5:$G$500,"C",'LANÇAMENTOS DIÁRIOS'!$C$5:$C$500,$A17,'LANÇAMENTOS DIÁRIOS'!$O$5:$O$500,"&lt;=99399",'LANÇAMENTOS DIÁRIOS'!$P$5:$P$500,"&gt;=99300")&gt;0,"X","")</f>
      </c>
      <c r="AE17" s="56" t="str">
        <f>IF(COUNTIFS('LANÇAMENTOS DIÁRIOS'!$G$5:$G$500,"C",'LANÇAMENTOS DIÁRIOS'!$C$5:$C$500,$A17,'LANÇAMENTOS DIÁRIOS'!$O$5:$O$500,"&lt;=99499",'LANÇAMENTOS DIÁRIOS'!$P$5:$P$500,"&gt;=99400")&gt;0,"X","")</f>
      </c>
      <c r="AF17" s="56" t="str">
        <f>IF(COUNTIFS('LANÇAMENTOS DIÁRIOS'!$G$5:$G$500,"C",'LANÇAMENTOS DIÁRIOS'!$C$5:$C$500,$A17,'LANÇAMENTOS DIÁRIOS'!$O$5:$O$500,"&lt;=99599",'LANÇAMENTOS DIÁRIOS'!$P$5:$P$500,"&gt;=99500")&gt;0,"X","")</f>
      </c>
      <c r="AG17" s="56" t="str">
        <f>IF(COUNTIFS('LANÇAMENTOS DIÁRIOS'!$G$5:$G$500,"C",'LANÇAMENTOS DIÁRIOS'!$C$5:$C$500,$A17,'LANÇAMENTOS DIÁRIOS'!$O$5:$O$500,"&lt;=99699",'LANÇAMENTOS DIÁRIOS'!$P$5:$P$500,"&gt;=99600")&gt;0,"X","")</f>
      </c>
      <c r="AH17" s="56" t="str">
        <f>IF(COUNTIFS('LANÇAMENTOS DIÁRIOS'!$G$5:$G$500,"C",'LANÇAMENTOS DIÁRIOS'!$C$5:$C$500,$A17,'LANÇAMENTOS DIÁRIOS'!$O$5:$O$500,"&lt;=99799",'LANÇAMENTOS DIÁRIOS'!$P$5:$P$500,"&gt;=99700")&gt;0,"X","")</f>
      </c>
      <c r="AI17" s="56" t="str">
        <f>IF(COUNTIFS('LANÇAMENTOS DIÁRIOS'!$G$5:$G$500,"C",'LANÇAMENTOS DIÁRIOS'!$C$5:$C$500,$A17,'LANÇAMENTOS DIÁRIOS'!$O$5:$O$500,"&lt;=99899",'LANÇAMENTOS DIÁRIOS'!$P$5:$P$500,"&gt;=99800")&gt;0,"X","")</f>
      </c>
      <c r="AJ17" s="56" t="str">
        <f>IF(COUNTIFS('LANÇAMENTOS DIÁRIOS'!$G$5:$G$500,"C",'LANÇAMENTOS DIÁRIOS'!$C$5:$C$500,$A17,'LANÇAMENTOS DIÁRIOS'!$O$5:$O$500,"&lt;=99999",'LANÇAMENTOS DIÁRIOS'!$P$5:$P$500,"&gt;=99900")&gt;0,"X","")</f>
      </c>
      <c r="AK17" s="56" t="str">
        <f>IF(COUNTIFS('LANÇAMENTOS DIÁRIOS'!$G$5:$G$500,"C",'LANÇAMENTOS DIÁRIOS'!$C$5:$C$500,$A17,'LANÇAMENTOS DIÁRIOS'!$O$5:$O$500,"&lt;=100099",'LANÇAMENTOS DIÁRIOS'!$P$5:$P$500,"&gt;=100000")&gt;0,"X","")</f>
      </c>
      <c r="AL17" s="56" t="str">
        <f>IF(COUNTIFS('LANÇAMENTOS DIÁRIOS'!$G$5:$G$500,"C",'LANÇAMENTOS DIÁRIOS'!$C$5:$C$500,$A17,'LANÇAMENTOS DIÁRIOS'!$O$5:$O$500,"&lt;=100199",'LANÇAMENTOS DIÁRIOS'!$P$5:$P$500,"&gt;=100100")&gt;0,"X","")</f>
      </c>
      <c r="AM17" s="56" t="str">
        <f>IF(COUNTIFS('LANÇAMENTOS DIÁRIOS'!$G$5:$G$500,"C",'LANÇAMENTOS DIÁRIOS'!$C$5:$C$500,$A17,'LANÇAMENTOS DIÁRIOS'!$O$5:$O$500,"&lt;=100299",'LANÇAMENTOS DIÁRIOS'!$P$5:$P$500,"&gt;=100200")&gt;0,"X","")</f>
      </c>
      <c r="AN17" s="56" t="str">
        <f>IF(COUNTIFS('LANÇAMENTOS DIÁRIOS'!$G$5:$G$500,"C",'LANÇAMENTOS DIÁRIOS'!$C$5:$C$500,$A17,'LANÇAMENTOS DIÁRIOS'!$O$5:$O$500,"&lt;=100399",'LANÇAMENTOS DIÁRIOS'!$P$5:$P$500,"&gt;=100300")&gt;0,"X","")</f>
      </c>
      <c r="AO17" s="56" t="str">
        <f>IF(COUNTIFS('LANÇAMENTOS DIÁRIOS'!$G$5:$G$500,"C",'LANÇAMENTOS DIÁRIOS'!$C$5:$C$500,$A17,'LANÇAMENTOS DIÁRIOS'!$O$5:$O$500,"&lt;=100499",'LANÇAMENTOS DIÁRIOS'!$P$5:$P$500,"&gt;=100400")&gt;0,"X","")</f>
      </c>
      <c r="AP17" s="56" t="str">
        <f>IF(COUNTIFS('LANÇAMENTOS DIÁRIOS'!$G$5:$G$500,"C",'LANÇAMENTOS DIÁRIOS'!$C$5:$C$500,$A17,'LANÇAMENTOS DIÁRIOS'!$O$5:$O$500,"&lt;=100500",'LANÇAMENTOS DIÁRIOS'!$P$5:$P$500,"&gt;=100500")&gt;0,"X","")</f>
      </c>
    </row>
    <row r="18" ht="19" customHeight="1">
      <c r="A18" s="68" t="str">
        <v>Acondicionamento da faixa de domínio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</row>
    <row r="19">
      <c r="A19" s="51" t="str">
        <v>Remanejamento de placa de sinalização instalada no solo, suporte de madeira</v>
      </c>
      <c r="B19" s="56" t="str">
        <f>IF(COUNTIFS('LANÇAMENTOS DIÁRIOS'!$G$5:$G$500,"C",'LANÇAMENTOS DIÁRIOS'!$C$5:$C$500,$A19,'LANÇAMENTOS DIÁRIOS'!$O$5:$O$500,"&lt;=96599",'LANÇAMENTOS DIÁRIOS'!$P$5:$P$500,"&gt;=96500")&gt;0,"X","")</f>
      </c>
      <c r="C19" s="56" t="str">
        <f>IF(COUNTIFS('LANÇAMENTOS DIÁRIOS'!$G$5:$G$500,"C",'LANÇAMENTOS DIÁRIOS'!$C$5:$C$500,$A19,'LANÇAMENTOS DIÁRIOS'!$O$5:$O$500,"&lt;=96699",'LANÇAMENTOS DIÁRIOS'!$P$5:$P$500,"&gt;=96600")&gt;0,"X","")</f>
      </c>
      <c r="D19" s="56" t="str">
        <f>IF(COUNTIFS('LANÇAMENTOS DIÁRIOS'!$G$5:$G$500,"C",'LANÇAMENTOS DIÁRIOS'!$C$5:$C$500,$A19,'LANÇAMENTOS DIÁRIOS'!$O$5:$O$500,"&lt;=96799",'LANÇAMENTOS DIÁRIOS'!$P$5:$P$500,"&gt;=96700")&gt;0,"X","")</f>
      </c>
      <c r="E19" s="56" t="str">
        <f>IF(COUNTIFS('LANÇAMENTOS DIÁRIOS'!$G$5:$G$500,"C",'LANÇAMENTOS DIÁRIOS'!$C$5:$C$500,$A19,'LANÇAMENTOS DIÁRIOS'!$O$5:$O$500,"&lt;=96899",'LANÇAMENTOS DIÁRIOS'!$P$5:$P$500,"&gt;=96800")&gt;0,"X","")</f>
      </c>
      <c r="F19" s="56" t="str">
        <f>IF(COUNTIFS('LANÇAMENTOS DIÁRIOS'!$G$5:$G$500,"C",'LANÇAMENTOS DIÁRIOS'!$C$5:$C$500,$A19,'LANÇAMENTOS DIÁRIOS'!$O$5:$O$500,"&lt;=96999",'LANÇAMENTOS DIÁRIOS'!$P$5:$P$500,"&gt;=96900")&gt;0,"X","")</f>
      </c>
      <c r="G19" s="56" t="str">
        <f>IF(COUNTIFS('LANÇAMENTOS DIÁRIOS'!$G$5:$G$500,"C",'LANÇAMENTOS DIÁRIOS'!$C$5:$C$500,$A19,'LANÇAMENTOS DIÁRIOS'!$O$5:$O$500,"&lt;=97099",'LANÇAMENTOS DIÁRIOS'!$P$5:$P$500,"&gt;=97000")&gt;0,"X","")</f>
      </c>
      <c r="H19" s="56" t="str">
        <f>IF(COUNTIFS('LANÇAMENTOS DIÁRIOS'!$G$5:$G$500,"C",'LANÇAMENTOS DIÁRIOS'!$C$5:$C$500,$A19,'LANÇAMENTOS DIÁRIOS'!$O$5:$O$500,"&lt;=97199",'LANÇAMENTOS DIÁRIOS'!$P$5:$P$500,"&gt;=97100")&gt;0,"X","")</f>
      </c>
      <c r="I19" s="56" t="str">
        <f>IF(COUNTIFS('LANÇAMENTOS DIÁRIOS'!$G$5:$G$500,"C",'LANÇAMENTOS DIÁRIOS'!$C$5:$C$500,$A19,'LANÇAMENTOS DIÁRIOS'!$O$5:$O$500,"&lt;=97299",'LANÇAMENTOS DIÁRIOS'!$P$5:$P$500,"&gt;=97200")&gt;0,"X","")</f>
      </c>
      <c r="J19" s="56" t="str">
        <f>IF(COUNTIFS('LANÇAMENTOS DIÁRIOS'!$G$5:$G$500,"C",'LANÇAMENTOS DIÁRIOS'!$C$5:$C$500,$A19,'LANÇAMENTOS DIÁRIOS'!$O$5:$O$500,"&lt;=97399",'LANÇAMENTOS DIÁRIOS'!$P$5:$P$500,"&gt;=97300")&gt;0,"X","")</f>
      </c>
      <c r="K19" s="56" t="str">
        <f>IF(COUNTIFS('LANÇAMENTOS DIÁRIOS'!$G$5:$G$500,"C",'LANÇAMENTOS DIÁRIOS'!$C$5:$C$500,$A19,'LANÇAMENTOS DIÁRIOS'!$O$5:$O$500,"&lt;=97499",'LANÇAMENTOS DIÁRIOS'!$P$5:$P$500,"&gt;=97400")&gt;0,"X","")</f>
      </c>
      <c r="L19" s="56" t="str">
        <f>IF(COUNTIFS('LANÇAMENTOS DIÁRIOS'!$G$5:$G$500,"C",'LANÇAMENTOS DIÁRIOS'!$C$5:$C$500,$A19,'LANÇAMENTOS DIÁRIOS'!$O$5:$O$500,"&lt;=97599",'LANÇAMENTOS DIÁRIOS'!$P$5:$P$500,"&gt;=97500")&gt;0,"X","")</f>
      </c>
      <c r="M19" s="56" t="str">
        <f>IF(COUNTIFS('LANÇAMENTOS DIÁRIOS'!$G$5:$G$500,"C",'LANÇAMENTOS DIÁRIOS'!$C$5:$C$500,$A19,'LANÇAMENTOS DIÁRIOS'!$O$5:$O$500,"&lt;=97699",'LANÇAMENTOS DIÁRIOS'!$P$5:$P$500,"&gt;=97600")&gt;0,"X","")</f>
      </c>
      <c r="N19" s="56" t="str">
        <f>IF(COUNTIFS('LANÇAMENTOS DIÁRIOS'!$G$5:$G$500,"C",'LANÇAMENTOS DIÁRIOS'!$C$5:$C$500,$A19,'LANÇAMENTOS DIÁRIOS'!$O$5:$O$500,"&lt;=97799",'LANÇAMENTOS DIÁRIOS'!$P$5:$P$500,"&gt;=97700")&gt;0,"X","")</f>
      </c>
      <c r="O19" s="56" t="str">
        <f>IF(COUNTIFS('LANÇAMENTOS DIÁRIOS'!$G$5:$G$500,"C",'LANÇAMENTOS DIÁRIOS'!$C$5:$C$500,$A19,'LANÇAMENTOS DIÁRIOS'!$O$5:$O$500,"&lt;=97899",'LANÇAMENTOS DIÁRIOS'!$P$5:$P$500,"&gt;=97800")&gt;0,"X","")</f>
      </c>
      <c r="P19" s="56" t="str">
        <f>IF(COUNTIFS('LANÇAMENTOS DIÁRIOS'!$G$5:$G$500,"C",'LANÇAMENTOS DIÁRIOS'!$C$5:$C$500,$A19,'LANÇAMENTOS DIÁRIOS'!$O$5:$O$500,"&lt;=97999",'LANÇAMENTOS DIÁRIOS'!$P$5:$P$500,"&gt;=97900")&gt;0,"X","")</f>
      </c>
      <c r="Q19" s="56" t="str">
        <f>IF(COUNTIFS('LANÇAMENTOS DIÁRIOS'!$G$5:$G$500,"C",'LANÇAMENTOS DIÁRIOS'!$C$5:$C$500,$A19,'LANÇAMENTOS DIÁRIOS'!$O$5:$O$500,"&lt;=98099",'LANÇAMENTOS DIÁRIOS'!$P$5:$P$500,"&gt;=98000")&gt;0,"X","")</f>
      </c>
      <c r="R19" s="56" t="str">
        <f>IF(COUNTIFS('LANÇAMENTOS DIÁRIOS'!$G$5:$G$500,"C",'LANÇAMENTOS DIÁRIOS'!$C$5:$C$500,$A19,'LANÇAMENTOS DIÁRIOS'!$O$5:$O$500,"&lt;=98199",'LANÇAMENTOS DIÁRIOS'!$P$5:$P$500,"&gt;=98100")&gt;0,"X","")</f>
      </c>
      <c r="S19" s="56" t="str">
        <f>IF(COUNTIFS('LANÇAMENTOS DIÁRIOS'!$G$5:$G$500,"C",'LANÇAMENTOS DIÁRIOS'!$C$5:$C$500,$A19,'LANÇAMENTOS DIÁRIOS'!$O$5:$O$500,"&lt;=98299",'LANÇAMENTOS DIÁRIOS'!$P$5:$P$500,"&gt;=98200")&gt;0,"X","")</f>
      </c>
      <c r="T19" s="56" t="str">
        <f>IF(COUNTIFS('LANÇAMENTOS DIÁRIOS'!$G$5:$G$500,"C",'LANÇAMENTOS DIÁRIOS'!$C$5:$C$500,$A19,'LANÇAMENTOS DIÁRIOS'!$O$5:$O$500,"&lt;=98399",'LANÇAMENTOS DIÁRIOS'!$P$5:$P$500,"&gt;=98300")&gt;0,"X","")</f>
      </c>
      <c r="U19" s="56" t="str">
        <f>IF(COUNTIFS('LANÇAMENTOS DIÁRIOS'!$G$5:$G$500,"C",'LANÇAMENTOS DIÁRIOS'!$C$5:$C$500,$A19,'LANÇAMENTOS DIÁRIOS'!$O$5:$O$500,"&lt;=98499",'LANÇAMENTOS DIÁRIOS'!$P$5:$P$500,"&gt;=98400")&gt;0,"X","")</f>
      </c>
      <c r="V19" s="56" t="str">
        <f>IF(COUNTIFS('LANÇAMENTOS DIÁRIOS'!$G$5:$G$500,"C",'LANÇAMENTOS DIÁRIOS'!$C$5:$C$500,$A19,'LANÇAMENTOS DIÁRIOS'!$O$5:$O$500,"&lt;=98599",'LANÇAMENTOS DIÁRIOS'!$P$5:$P$500,"&gt;=98500")&gt;0,"X","")</f>
      </c>
      <c r="W19" s="56" t="str">
        <f>IF(COUNTIFS('LANÇAMENTOS DIÁRIOS'!$G$5:$G$500,"C",'LANÇAMENTOS DIÁRIOS'!$C$5:$C$500,$A19,'LANÇAMENTOS DIÁRIOS'!$O$5:$O$500,"&lt;=98699",'LANÇAMENTOS DIÁRIOS'!$P$5:$P$500,"&gt;=98600")&gt;0,"X","")</f>
      </c>
      <c r="X19" s="56" t="str">
        <f>IF(COUNTIFS('LANÇAMENTOS DIÁRIOS'!$G$5:$G$500,"C",'LANÇAMENTOS DIÁRIOS'!$C$5:$C$500,$A19,'LANÇAMENTOS DIÁRIOS'!$O$5:$O$500,"&lt;=98799",'LANÇAMENTOS DIÁRIOS'!$P$5:$P$500,"&gt;=98700")&gt;0,"X","")</f>
      </c>
      <c r="Y19" s="56" t="str">
        <f>IF(COUNTIFS('LANÇAMENTOS DIÁRIOS'!$G$5:$G$500,"C",'LANÇAMENTOS DIÁRIOS'!$C$5:$C$500,$A19,'LANÇAMENTOS DIÁRIOS'!$O$5:$O$500,"&lt;=98899",'LANÇAMENTOS DIÁRIOS'!$P$5:$P$500,"&gt;=98800")&gt;0,"X","")</f>
      </c>
      <c r="Z19" s="56" t="str">
        <f>IF(COUNTIFS('LANÇAMENTOS DIÁRIOS'!$G$5:$G$500,"C",'LANÇAMENTOS DIÁRIOS'!$C$5:$C$500,$A19,'LANÇAMENTOS DIÁRIOS'!$O$5:$O$500,"&lt;=98999",'LANÇAMENTOS DIÁRIOS'!$P$5:$P$500,"&gt;=98900")&gt;0,"X","")</f>
      </c>
      <c r="AA19" s="56" t="str">
        <f>IF(COUNTIFS('LANÇAMENTOS DIÁRIOS'!$G$5:$G$500,"C",'LANÇAMENTOS DIÁRIOS'!$C$5:$C$500,$A19,'LANÇAMENTOS DIÁRIOS'!$O$5:$O$500,"&lt;=99099",'LANÇAMENTOS DIÁRIOS'!$P$5:$P$500,"&gt;=99000")&gt;0,"X","")</f>
      </c>
      <c r="AB19" s="56" t="str">
        <f>IF(COUNTIFS('LANÇAMENTOS DIÁRIOS'!$G$5:$G$500,"C",'LANÇAMENTOS DIÁRIOS'!$C$5:$C$500,$A19,'LANÇAMENTOS DIÁRIOS'!$O$5:$O$500,"&lt;=99199",'LANÇAMENTOS DIÁRIOS'!$P$5:$P$500,"&gt;=99100")&gt;0,"X","")</f>
      </c>
      <c r="AC19" s="56" t="str">
        <f>IF(COUNTIFS('LANÇAMENTOS DIÁRIOS'!$G$5:$G$500,"C",'LANÇAMENTOS DIÁRIOS'!$C$5:$C$500,$A19,'LANÇAMENTOS DIÁRIOS'!$O$5:$O$500,"&lt;=99299",'LANÇAMENTOS DIÁRIOS'!$P$5:$P$500,"&gt;=99200")&gt;0,"X","")</f>
      </c>
      <c r="AD19" s="56" t="str">
        <f>IF(COUNTIFS('LANÇAMENTOS DIÁRIOS'!$G$5:$G$500,"C",'LANÇAMENTOS DIÁRIOS'!$C$5:$C$500,$A19,'LANÇAMENTOS DIÁRIOS'!$O$5:$O$500,"&lt;=99399",'LANÇAMENTOS DIÁRIOS'!$P$5:$P$500,"&gt;=99300")&gt;0,"X","")</f>
      </c>
      <c r="AE19" s="56" t="str">
        <f>IF(COUNTIFS('LANÇAMENTOS DIÁRIOS'!$G$5:$G$500,"C",'LANÇAMENTOS DIÁRIOS'!$C$5:$C$500,$A19,'LANÇAMENTOS DIÁRIOS'!$O$5:$O$500,"&lt;=99499",'LANÇAMENTOS DIÁRIOS'!$P$5:$P$500,"&gt;=99400")&gt;0,"X","")</f>
      </c>
      <c r="AF19" s="56" t="str">
        <f>IF(COUNTIFS('LANÇAMENTOS DIÁRIOS'!$G$5:$G$500,"C",'LANÇAMENTOS DIÁRIOS'!$C$5:$C$500,$A19,'LANÇAMENTOS DIÁRIOS'!$O$5:$O$500,"&lt;=99599",'LANÇAMENTOS DIÁRIOS'!$P$5:$P$500,"&gt;=99500")&gt;0,"X","")</f>
      </c>
      <c r="AG19" s="56" t="str">
        <f>IF(COUNTIFS('LANÇAMENTOS DIÁRIOS'!$G$5:$G$500,"C",'LANÇAMENTOS DIÁRIOS'!$C$5:$C$500,$A19,'LANÇAMENTOS DIÁRIOS'!$O$5:$O$500,"&lt;=99699",'LANÇAMENTOS DIÁRIOS'!$P$5:$P$500,"&gt;=99600")&gt;0,"X","")</f>
      </c>
      <c r="AH19" s="56" t="str">
        <f>IF(COUNTIFS('LANÇAMENTOS DIÁRIOS'!$G$5:$G$500,"C",'LANÇAMENTOS DIÁRIOS'!$C$5:$C$500,$A19,'LANÇAMENTOS DIÁRIOS'!$O$5:$O$500,"&lt;=99799",'LANÇAMENTOS DIÁRIOS'!$P$5:$P$500,"&gt;=99700")&gt;0,"X","")</f>
      </c>
      <c r="AI19" s="56" t="str">
        <f>IF(COUNTIFS('LANÇAMENTOS DIÁRIOS'!$G$5:$G$500,"C",'LANÇAMENTOS DIÁRIOS'!$C$5:$C$500,$A19,'LANÇAMENTOS DIÁRIOS'!$O$5:$O$500,"&lt;=99899",'LANÇAMENTOS DIÁRIOS'!$P$5:$P$500,"&gt;=99800")&gt;0,"X","")</f>
      </c>
      <c r="AJ19" s="56" t="str">
        <f>IF(COUNTIFS('LANÇAMENTOS DIÁRIOS'!$G$5:$G$500,"C",'LANÇAMENTOS DIÁRIOS'!$C$5:$C$500,$A19,'LANÇAMENTOS DIÁRIOS'!$O$5:$O$500,"&lt;=99999",'LANÇAMENTOS DIÁRIOS'!$P$5:$P$500,"&gt;=99900")&gt;0,"X","")</f>
      </c>
      <c r="AK19" s="56" t="str">
        <f>IF(COUNTIFS('LANÇAMENTOS DIÁRIOS'!$G$5:$G$500,"C",'LANÇAMENTOS DIÁRIOS'!$C$5:$C$500,$A19,'LANÇAMENTOS DIÁRIOS'!$O$5:$O$500,"&lt;=100099",'LANÇAMENTOS DIÁRIOS'!$P$5:$P$500,"&gt;=100000")&gt;0,"X","")</f>
      </c>
      <c r="AL19" s="56" t="str">
        <f>IF(COUNTIFS('LANÇAMENTOS DIÁRIOS'!$G$5:$G$500,"C",'LANÇAMENTOS DIÁRIOS'!$C$5:$C$500,$A19,'LANÇAMENTOS DIÁRIOS'!$O$5:$O$500,"&lt;=100199",'LANÇAMENTOS DIÁRIOS'!$P$5:$P$500,"&gt;=100100")&gt;0,"X","")</f>
      </c>
      <c r="AM19" s="56" t="str">
        <f>IF(COUNTIFS('LANÇAMENTOS DIÁRIOS'!$G$5:$G$500,"C",'LANÇAMENTOS DIÁRIOS'!$C$5:$C$500,$A19,'LANÇAMENTOS DIÁRIOS'!$O$5:$O$500,"&lt;=100299",'LANÇAMENTOS DIÁRIOS'!$P$5:$P$500,"&gt;=100200")&gt;0,"X","")</f>
      </c>
      <c r="AN19" s="56" t="str">
        <f>IF(COUNTIFS('LANÇAMENTOS DIÁRIOS'!$G$5:$G$500,"C",'LANÇAMENTOS DIÁRIOS'!$C$5:$C$500,$A19,'LANÇAMENTOS DIÁRIOS'!$O$5:$O$500,"&lt;=100399",'LANÇAMENTOS DIÁRIOS'!$P$5:$P$500,"&gt;=100300")&gt;0,"X","")</f>
      </c>
      <c r="AO19" s="56" t="str">
        <f>IF(COUNTIFS('LANÇAMENTOS DIÁRIOS'!$G$5:$G$500,"C",'LANÇAMENTOS DIÁRIOS'!$C$5:$C$500,$A19,'LANÇAMENTOS DIÁRIOS'!$O$5:$O$500,"&lt;=100499",'LANÇAMENTOS DIÁRIOS'!$P$5:$P$500,"&gt;=100400")&gt;0,"X","")</f>
      </c>
      <c r="AP19" s="56" t="str">
        <f>IF(COUNTIFS('LANÇAMENTOS DIÁRIOS'!$G$5:$G$500,"C",'LANÇAMENTOS DIÁRIOS'!$C$5:$C$500,$A19,'LANÇAMENTOS DIÁRIOS'!$O$5:$O$500,"&lt;=100500",'LANÇAMENTOS DIÁRIOS'!$P$5:$P$500,"&gt;=100500")&gt;0,"X","")</f>
      </c>
    </row>
    <row r="20">
      <c r="A20" s="51" t="str">
        <v>Remanejamento de semi-pórtico</v>
      </c>
      <c r="B20" s="56" t="str">
        <f>IF(COUNTIFS('LANÇAMENTOS DIÁRIOS'!$G$5:$G$500,"C",'LANÇAMENTOS DIÁRIOS'!$C$5:$C$500,$A20,'LANÇAMENTOS DIÁRIOS'!$O$5:$O$500,"&lt;=96599",'LANÇAMENTOS DIÁRIOS'!$P$5:$P$500,"&gt;=96500")&gt;0,"X","")</f>
      </c>
      <c r="C20" s="56" t="str">
        <f>IF(COUNTIFS('LANÇAMENTOS DIÁRIOS'!$G$5:$G$500,"C",'LANÇAMENTOS DIÁRIOS'!$C$5:$C$500,$A20,'LANÇAMENTOS DIÁRIOS'!$O$5:$O$500,"&lt;=96699",'LANÇAMENTOS DIÁRIOS'!$P$5:$P$500,"&gt;=96600")&gt;0,"X","")</f>
      </c>
      <c r="D20" s="56" t="str">
        <f>IF(COUNTIFS('LANÇAMENTOS DIÁRIOS'!$G$5:$G$500,"C",'LANÇAMENTOS DIÁRIOS'!$C$5:$C$500,$A20,'LANÇAMENTOS DIÁRIOS'!$O$5:$O$500,"&lt;=96799",'LANÇAMENTOS DIÁRIOS'!$P$5:$P$500,"&gt;=96700")&gt;0,"X","")</f>
      </c>
      <c r="E20" s="56" t="str">
        <f>IF(COUNTIFS('LANÇAMENTOS DIÁRIOS'!$G$5:$G$500,"C",'LANÇAMENTOS DIÁRIOS'!$C$5:$C$500,$A20,'LANÇAMENTOS DIÁRIOS'!$O$5:$O$500,"&lt;=96899",'LANÇAMENTOS DIÁRIOS'!$P$5:$P$500,"&gt;=96800")&gt;0,"X","")</f>
      </c>
      <c r="F20" s="56" t="str">
        <f>IF(COUNTIFS('LANÇAMENTOS DIÁRIOS'!$G$5:$G$500,"C",'LANÇAMENTOS DIÁRIOS'!$C$5:$C$500,$A20,'LANÇAMENTOS DIÁRIOS'!$O$5:$O$500,"&lt;=96999",'LANÇAMENTOS DIÁRIOS'!$P$5:$P$500,"&gt;=96900")&gt;0,"X","")</f>
      </c>
      <c r="G20" s="56" t="str">
        <f>IF(COUNTIFS('LANÇAMENTOS DIÁRIOS'!$G$5:$G$500,"C",'LANÇAMENTOS DIÁRIOS'!$C$5:$C$500,$A20,'LANÇAMENTOS DIÁRIOS'!$O$5:$O$500,"&lt;=97099",'LANÇAMENTOS DIÁRIOS'!$P$5:$P$500,"&gt;=97000")&gt;0,"X","")</f>
      </c>
      <c r="H20" s="56" t="str">
        <f>IF(COUNTIFS('LANÇAMENTOS DIÁRIOS'!$G$5:$G$500,"C",'LANÇAMENTOS DIÁRIOS'!$C$5:$C$500,$A20,'LANÇAMENTOS DIÁRIOS'!$O$5:$O$500,"&lt;=97199",'LANÇAMENTOS DIÁRIOS'!$P$5:$P$500,"&gt;=97100")&gt;0,"X","")</f>
      </c>
      <c r="I20" s="56" t="str">
        <f>IF(COUNTIFS('LANÇAMENTOS DIÁRIOS'!$G$5:$G$500,"C",'LANÇAMENTOS DIÁRIOS'!$C$5:$C$500,$A20,'LANÇAMENTOS DIÁRIOS'!$O$5:$O$500,"&lt;=97299",'LANÇAMENTOS DIÁRIOS'!$P$5:$P$500,"&gt;=97200")&gt;0,"X","")</f>
      </c>
      <c r="J20" s="56" t="str">
        <f>IF(COUNTIFS('LANÇAMENTOS DIÁRIOS'!$G$5:$G$500,"C",'LANÇAMENTOS DIÁRIOS'!$C$5:$C$500,$A20,'LANÇAMENTOS DIÁRIOS'!$O$5:$O$500,"&lt;=97399",'LANÇAMENTOS DIÁRIOS'!$P$5:$P$500,"&gt;=97300")&gt;0,"X","")</f>
      </c>
      <c r="K20" s="56" t="str">
        <f>IF(COUNTIFS('LANÇAMENTOS DIÁRIOS'!$G$5:$G$500,"C",'LANÇAMENTOS DIÁRIOS'!$C$5:$C$500,$A20,'LANÇAMENTOS DIÁRIOS'!$O$5:$O$500,"&lt;=97499",'LANÇAMENTOS DIÁRIOS'!$P$5:$P$500,"&gt;=97400")&gt;0,"X","")</f>
      </c>
      <c r="L20" s="56" t="str">
        <f>IF(COUNTIFS('LANÇAMENTOS DIÁRIOS'!$G$5:$G$500,"C",'LANÇAMENTOS DIÁRIOS'!$C$5:$C$500,$A20,'LANÇAMENTOS DIÁRIOS'!$O$5:$O$500,"&lt;=97599",'LANÇAMENTOS DIÁRIOS'!$P$5:$P$500,"&gt;=97500")&gt;0,"X","")</f>
      </c>
      <c r="M20" s="56" t="str">
        <f>IF(COUNTIFS('LANÇAMENTOS DIÁRIOS'!$G$5:$G$500,"C",'LANÇAMENTOS DIÁRIOS'!$C$5:$C$500,$A20,'LANÇAMENTOS DIÁRIOS'!$O$5:$O$500,"&lt;=97699",'LANÇAMENTOS DIÁRIOS'!$P$5:$P$500,"&gt;=97600")&gt;0,"X","")</f>
      </c>
      <c r="N20" s="56" t="str">
        <f>IF(COUNTIFS('LANÇAMENTOS DIÁRIOS'!$G$5:$G$500,"C",'LANÇAMENTOS DIÁRIOS'!$C$5:$C$500,$A20,'LANÇAMENTOS DIÁRIOS'!$O$5:$O$500,"&lt;=97799",'LANÇAMENTOS DIÁRIOS'!$P$5:$P$500,"&gt;=97700")&gt;0,"X","")</f>
      </c>
      <c r="O20" s="56" t="str">
        <f>IF(COUNTIFS('LANÇAMENTOS DIÁRIOS'!$G$5:$G$500,"C",'LANÇAMENTOS DIÁRIOS'!$C$5:$C$500,$A20,'LANÇAMENTOS DIÁRIOS'!$O$5:$O$500,"&lt;=97899",'LANÇAMENTOS DIÁRIOS'!$P$5:$P$500,"&gt;=97800")&gt;0,"X","")</f>
      </c>
      <c r="P20" s="56" t="str">
        <f>IF(COUNTIFS('LANÇAMENTOS DIÁRIOS'!$G$5:$G$500,"C",'LANÇAMENTOS DIÁRIOS'!$C$5:$C$500,$A20,'LANÇAMENTOS DIÁRIOS'!$O$5:$O$500,"&lt;=97999",'LANÇAMENTOS DIÁRIOS'!$P$5:$P$500,"&gt;=97900")&gt;0,"X","")</f>
      </c>
      <c r="Q20" s="56" t="str">
        <f>IF(COUNTIFS('LANÇAMENTOS DIÁRIOS'!$G$5:$G$500,"C",'LANÇAMENTOS DIÁRIOS'!$C$5:$C$500,$A20,'LANÇAMENTOS DIÁRIOS'!$O$5:$O$500,"&lt;=98099",'LANÇAMENTOS DIÁRIOS'!$P$5:$P$500,"&gt;=98000")&gt;0,"X","")</f>
      </c>
      <c r="R20" s="56" t="str">
        <f>IF(COUNTIFS('LANÇAMENTOS DIÁRIOS'!$G$5:$G$500,"C",'LANÇAMENTOS DIÁRIOS'!$C$5:$C$500,$A20,'LANÇAMENTOS DIÁRIOS'!$O$5:$O$500,"&lt;=98199",'LANÇAMENTOS DIÁRIOS'!$P$5:$P$500,"&gt;=98100")&gt;0,"X","")</f>
      </c>
      <c r="S20" s="56" t="str">
        <f>IF(COUNTIFS('LANÇAMENTOS DIÁRIOS'!$G$5:$G$500,"C",'LANÇAMENTOS DIÁRIOS'!$C$5:$C$500,$A20,'LANÇAMENTOS DIÁRIOS'!$O$5:$O$500,"&lt;=98299",'LANÇAMENTOS DIÁRIOS'!$P$5:$P$500,"&gt;=98200")&gt;0,"X","")</f>
      </c>
      <c r="T20" s="56" t="str">
        <f>IF(COUNTIFS('LANÇAMENTOS DIÁRIOS'!$G$5:$G$500,"C",'LANÇAMENTOS DIÁRIOS'!$C$5:$C$500,$A20,'LANÇAMENTOS DIÁRIOS'!$O$5:$O$500,"&lt;=98399",'LANÇAMENTOS DIÁRIOS'!$P$5:$P$500,"&gt;=98300")&gt;0,"X","")</f>
      </c>
      <c r="U20" s="56" t="str">
        <f>IF(COUNTIFS('LANÇAMENTOS DIÁRIOS'!$G$5:$G$500,"C",'LANÇAMENTOS DIÁRIOS'!$C$5:$C$500,$A20,'LANÇAMENTOS DIÁRIOS'!$O$5:$O$500,"&lt;=98499",'LANÇAMENTOS DIÁRIOS'!$P$5:$P$500,"&gt;=98400")&gt;0,"X","")</f>
      </c>
      <c r="V20" s="56" t="str">
        <f>IF(COUNTIFS('LANÇAMENTOS DIÁRIOS'!$G$5:$G$500,"C",'LANÇAMENTOS DIÁRIOS'!$C$5:$C$500,$A20,'LANÇAMENTOS DIÁRIOS'!$O$5:$O$500,"&lt;=98599",'LANÇAMENTOS DIÁRIOS'!$P$5:$P$500,"&gt;=98500")&gt;0,"X","")</f>
      </c>
      <c r="W20" s="56" t="str">
        <f>IF(COUNTIFS('LANÇAMENTOS DIÁRIOS'!$G$5:$G$500,"C",'LANÇAMENTOS DIÁRIOS'!$C$5:$C$500,$A20,'LANÇAMENTOS DIÁRIOS'!$O$5:$O$500,"&lt;=98699",'LANÇAMENTOS DIÁRIOS'!$P$5:$P$500,"&gt;=98600")&gt;0,"X","")</f>
      </c>
      <c r="X20" s="56" t="str">
        <f>IF(COUNTIFS('LANÇAMENTOS DIÁRIOS'!$G$5:$G$500,"C",'LANÇAMENTOS DIÁRIOS'!$C$5:$C$500,$A20,'LANÇAMENTOS DIÁRIOS'!$O$5:$O$500,"&lt;=98799",'LANÇAMENTOS DIÁRIOS'!$P$5:$P$500,"&gt;=98700")&gt;0,"X","")</f>
      </c>
      <c r="Y20" s="56" t="str">
        <f>IF(COUNTIFS('LANÇAMENTOS DIÁRIOS'!$G$5:$G$500,"C",'LANÇAMENTOS DIÁRIOS'!$C$5:$C$500,$A20,'LANÇAMENTOS DIÁRIOS'!$O$5:$O$500,"&lt;=98899",'LANÇAMENTOS DIÁRIOS'!$P$5:$P$500,"&gt;=98800")&gt;0,"X","")</f>
      </c>
      <c r="Z20" s="56" t="str">
        <f>IF(COUNTIFS('LANÇAMENTOS DIÁRIOS'!$G$5:$G$500,"C",'LANÇAMENTOS DIÁRIOS'!$C$5:$C$500,$A20,'LANÇAMENTOS DIÁRIOS'!$O$5:$O$500,"&lt;=98999",'LANÇAMENTOS DIÁRIOS'!$P$5:$P$500,"&gt;=98900")&gt;0,"X","")</f>
      </c>
      <c r="AA20" s="56" t="str">
        <f>IF(COUNTIFS('LANÇAMENTOS DIÁRIOS'!$G$5:$G$500,"C",'LANÇAMENTOS DIÁRIOS'!$C$5:$C$500,$A20,'LANÇAMENTOS DIÁRIOS'!$O$5:$O$500,"&lt;=99099",'LANÇAMENTOS DIÁRIOS'!$P$5:$P$500,"&gt;=99000")&gt;0,"X","")</f>
      </c>
      <c r="AB20" s="56" t="str">
        <f>IF(COUNTIFS('LANÇAMENTOS DIÁRIOS'!$G$5:$G$500,"C",'LANÇAMENTOS DIÁRIOS'!$C$5:$C$500,$A20,'LANÇAMENTOS DIÁRIOS'!$O$5:$O$500,"&lt;=99199",'LANÇAMENTOS DIÁRIOS'!$P$5:$P$500,"&gt;=99100")&gt;0,"X","")</f>
      </c>
      <c r="AC20" s="56" t="str">
        <f>IF(COUNTIFS('LANÇAMENTOS DIÁRIOS'!$G$5:$G$500,"C",'LANÇAMENTOS DIÁRIOS'!$C$5:$C$500,$A20,'LANÇAMENTOS DIÁRIOS'!$O$5:$O$500,"&lt;=99299",'LANÇAMENTOS DIÁRIOS'!$P$5:$P$500,"&gt;=99200")&gt;0,"X","")</f>
      </c>
      <c r="AD20" s="56" t="str">
        <f>IF(COUNTIFS('LANÇAMENTOS DIÁRIOS'!$G$5:$G$500,"C",'LANÇAMENTOS DIÁRIOS'!$C$5:$C$500,$A20,'LANÇAMENTOS DIÁRIOS'!$O$5:$O$500,"&lt;=99399",'LANÇAMENTOS DIÁRIOS'!$P$5:$P$500,"&gt;=99300")&gt;0,"X","")</f>
      </c>
      <c r="AE20" s="56" t="str">
        <f>IF(COUNTIFS('LANÇAMENTOS DIÁRIOS'!$G$5:$G$500,"C",'LANÇAMENTOS DIÁRIOS'!$C$5:$C$500,$A20,'LANÇAMENTOS DIÁRIOS'!$O$5:$O$500,"&lt;=99499",'LANÇAMENTOS DIÁRIOS'!$P$5:$P$500,"&gt;=99400")&gt;0,"X","")</f>
      </c>
      <c r="AF20" s="56" t="str">
        <f>IF(COUNTIFS('LANÇAMENTOS DIÁRIOS'!$G$5:$G$500,"C",'LANÇAMENTOS DIÁRIOS'!$C$5:$C$500,$A20,'LANÇAMENTOS DIÁRIOS'!$O$5:$O$500,"&lt;=99599",'LANÇAMENTOS DIÁRIOS'!$P$5:$P$500,"&gt;=99500")&gt;0,"X","")</f>
      </c>
      <c r="AG20" s="56" t="str">
        <f>IF(COUNTIFS('LANÇAMENTOS DIÁRIOS'!$G$5:$G$500,"C",'LANÇAMENTOS DIÁRIOS'!$C$5:$C$500,$A20,'LANÇAMENTOS DIÁRIOS'!$O$5:$O$500,"&lt;=99699",'LANÇAMENTOS DIÁRIOS'!$P$5:$P$500,"&gt;=99600")&gt;0,"X","")</f>
      </c>
      <c r="AH20" s="56" t="str">
        <f>IF(COUNTIFS('LANÇAMENTOS DIÁRIOS'!$G$5:$G$500,"C",'LANÇAMENTOS DIÁRIOS'!$C$5:$C$500,$A20,'LANÇAMENTOS DIÁRIOS'!$O$5:$O$500,"&lt;=99799",'LANÇAMENTOS DIÁRIOS'!$P$5:$P$500,"&gt;=99700")&gt;0,"X","")</f>
      </c>
      <c r="AI20" s="56" t="str">
        <f>IF(COUNTIFS('LANÇAMENTOS DIÁRIOS'!$G$5:$G$500,"C",'LANÇAMENTOS DIÁRIOS'!$C$5:$C$500,$A20,'LANÇAMENTOS DIÁRIOS'!$O$5:$O$500,"&lt;=99899",'LANÇAMENTOS DIÁRIOS'!$P$5:$P$500,"&gt;=99800")&gt;0,"X","")</f>
      </c>
      <c r="AJ20" s="56" t="str">
        <f>IF(COUNTIFS('LANÇAMENTOS DIÁRIOS'!$G$5:$G$500,"C",'LANÇAMENTOS DIÁRIOS'!$C$5:$C$500,$A20,'LANÇAMENTOS DIÁRIOS'!$O$5:$O$500,"&lt;=99999",'LANÇAMENTOS DIÁRIOS'!$P$5:$P$500,"&gt;=99900")&gt;0,"X","")</f>
      </c>
      <c r="AK20" s="56" t="str">
        <f>IF(COUNTIFS('LANÇAMENTOS DIÁRIOS'!$G$5:$G$500,"C",'LANÇAMENTOS DIÁRIOS'!$C$5:$C$500,$A20,'LANÇAMENTOS DIÁRIOS'!$O$5:$O$500,"&lt;=100099",'LANÇAMENTOS DIÁRIOS'!$P$5:$P$500,"&gt;=100000")&gt;0,"X","")</f>
      </c>
      <c r="AL20" s="56" t="str">
        <f>IF(COUNTIFS('LANÇAMENTOS DIÁRIOS'!$G$5:$G$500,"C",'LANÇAMENTOS DIÁRIOS'!$C$5:$C$500,$A20,'LANÇAMENTOS DIÁRIOS'!$O$5:$O$500,"&lt;=100199",'LANÇAMENTOS DIÁRIOS'!$P$5:$P$500,"&gt;=100100")&gt;0,"X","")</f>
      </c>
      <c r="AM20" s="56" t="str">
        <f>IF(COUNTIFS('LANÇAMENTOS DIÁRIOS'!$G$5:$G$500,"C",'LANÇAMENTOS DIÁRIOS'!$C$5:$C$500,$A20,'LANÇAMENTOS DIÁRIOS'!$O$5:$O$500,"&lt;=100299",'LANÇAMENTOS DIÁRIOS'!$P$5:$P$500,"&gt;=100200")&gt;0,"X","")</f>
      </c>
      <c r="AN20" s="56" t="str">
        <f>IF(COUNTIFS('LANÇAMENTOS DIÁRIOS'!$G$5:$G$500,"C",'LANÇAMENTOS DIÁRIOS'!$C$5:$C$500,$A20,'LANÇAMENTOS DIÁRIOS'!$O$5:$O$500,"&lt;=100399",'LANÇAMENTOS DIÁRIOS'!$P$5:$P$500,"&gt;=100300")&gt;0,"X","")</f>
      </c>
      <c r="AO20" s="56" t="str">
        <f>IF(COUNTIFS('LANÇAMENTOS DIÁRIOS'!$G$5:$G$500,"C",'LANÇAMENTOS DIÁRIOS'!$C$5:$C$500,$A20,'LANÇAMENTOS DIÁRIOS'!$O$5:$O$500,"&lt;=100499",'LANÇAMENTOS DIÁRIOS'!$P$5:$P$500,"&gt;=100400")&gt;0,"X","")</f>
      </c>
      <c r="AP20" s="56" t="str">
        <f>IF(COUNTIFS('LANÇAMENTOS DIÁRIOS'!$G$5:$G$500,"C",'LANÇAMENTOS DIÁRIOS'!$C$5:$C$500,$A20,'LANÇAMENTOS DIÁRIOS'!$O$5:$O$500,"&lt;=100500",'LANÇAMENTOS DIÁRIOS'!$P$5:$P$500,"&gt;=100500")&gt;0,"X","")</f>
      </c>
    </row>
    <row r="21">
      <c r="A21" s="51" t="str">
        <v>Remanejamento de placa de sinalização instalada no solo, suporte metálico</v>
      </c>
      <c r="B21" s="56" t="str">
        <f>IF(COUNTIFS('LANÇAMENTOS DIÁRIOS'!$G$5:$G$500,"C",'LANÇAMENTOS DIÁRIOS'!$C$5:$C$500,$A21,'LANÇAMENTOS DIÁRIOS'!$O$5:$O$500,"&lt;=96599",'LANÇAMENTOS DIÁRIOS'!$P$5:$P$500,"&gt;=96500")&gt;0,"X","")</f>
      </c>
      <c r="C21" s="56" t="str">
        <f>IF(COUNTIFS('LANÇAMENTOS DIÁRIOS'!$G$5:$G$500,"C",'LANÇAMENTOS DIÁRIOS'!$C$5:$C$500,$A21,'LANÇAMENTOS DIÁRIOS'!$O$5:$O$500,"&lt;=96699",'LANÇAMENTOS DIÁRIOS'!$P$5:$P$500,"&gt;=96600")&gt;0,"X","")</f>
      </c>
      <c r="D21" s="56" t="str">
        <f>IF(COUNTIFS('LANÇAMENTOS DIÁRIOS'!$G$5:$G$500,"C",'LANÇAMENTOS DIÁRIOS'!$C$5:$C$500,$A21,'LANÇAMENTOS DIÁRIOS'!$O$5:$O$500,"&lt;=96799",'LANÇAMENTOS DIÁRIOS'!$P$5:$P$500,"&gt;=96700")&gt;0,"X","")</f>
      </c>
      <c r="E21" s="56" t="str">
        <f>IF(COUNTIFS('LANÇAMENTOS DIÁRIOS'!$G$5:$G$500,"C",'LANÇAMENTOS DIÁRIOS'!$C$5:$C$500,$A21,'LANÇAMENTOS DIÁRIOS'!$O$5:$O$500,"&lt;=96899",'LANÇAMENTOS DIÁRIOS'!$P$5:$P$500,"&gt;=96800")&gt;0,"X","")</f>
      </c>
      <c r="F21" s="56" t="str">
        <f>IF(COUNTIFS('LANÇAMENTOS DIÁRIOS'!$G$5:$G$500,"C",'LANÇAMENTOS DIÁRIOS'!$C$5:$C$500,$A21,'LANÇAMENTOS DIÁRIOS'!$O$5:$O$500,"&lt;=96999",'LANÇAMENTOS DIÁRIOS'!$P$5:$P$500,"&gt;=96900")&gt;0,"X","")</f>
      </c>
      <c r="G21" s="56" t="str">
        <f>IF(COUNTIFS('LANÇAMENTOS DIÁRIOS'!$G$5:$G$500,"C",'LANÇAMENTOS DIÁRIOS'!$C$5:$C$500,$A21,'LANÇAMENTOS DIÁRIOS'!$O$5:$O$500,"&lt;=97099",'LANÇAMENTOS DIÁRIOS'!$P$5:$P$500,"&gt;=97000")&gt;0,"X","")</f>
      </c>
      <c r="H21" s="56" t="str">
        <f>IF(COUNTIFS('LANÇAMENTOS DIÁRIOS'!$G$5:$G$500,"C",'LANÇAMENTOS DIÁRIOS'!$C$5:$C$500,$A21,'LANÇAMENTOS DIÁRIOS'!$O$5:$O$500,"&lt;=97199",'LANÇAMENTOS DIÁRIOS'!$P$5:$P$500,"&gt;=97100")&gt;0,"X","")</f>
      </c>
      <c r="I21" s="56" t="str">
        <f>IF(COUNTIFS('LANÇAMENTOS DIÁRIOS'!$G$5:$G$500,"C",'LANÇAMENTOS DIÁRIOS'!$C$5:$C$500,$A21,'LANÇAMENTOS DIÁRIOS'!$O$5:$O$500,"&lt;=97299",'LANÇAMENTOS DIÁRIOS'!$P$5:$P$500,"&gt;=97200")&gt;0,"X","")</f>
      </c>
      <c r="J21" s="56" t="str">
        <f>IF(COUNTIFS('LANÇAMENTOS DIÁRIOS'!$G$5:$G$500,"C",'LANÇAMENTOS DIÁRIOS'!$C$5:$C$500,$A21,'LANÇAMENTOS DIÁRIOS'!$O$5:$O$500,"&lt;=97399",'LANÇAMENTOS DIÁRIOS'!$P$5:$P$500,"&gt;=97300")&gt;0,"X","")</f>
      </c>
      <c r="K21" s="56" t="str">
        <f>IF(COUNTIFS('LANÇAMENTOS DIÁRIOS'!$G$5:$G$500,"C",'LANÇAMENTOS DIÁRIOS'!$C$5:$C$500,$A21,'LANÇAMENTOS DIÁRIOS'!$O$5:$O$500,"&lt;=97499",'LANÇAMENTOS DIÁRIOS'!$P$5:$P$500,"&gt;=97400")&gt;0,"X","")</f>
      </c>
      <c r="L21" s="56" t="str">
        <f>IF(COUNTIFS('LANÇAMENTOS DIÁRIOS'!$G$5:$G$500,"C",'LANÇAMENTOS DIÁRIOS'!$C$5:$C$500,$A21,'LANÇAMENTOS DIÁRIOS'!$O$5:$O$500,"&lt;=97599",'LANÇAMENTOS DIÁRIOS'!$P$5:$P$500,"&gt;=97500")&gt;0,"X","")</f>
      </c>
      <c r="M21" s="56" t="str">
        <f>IF(COUNTIFS('LANÇAMENTOS DIÁRIOS'!$G$5:$G$500,"C",'LANÇAMENTOS DIÁRIOS'!$C$5:$C$500,$A21,'LANÇAMENTOS DIÁRIOS'!$O$5:$O$500,"&lt;=97699",'LANÇAMENTOS DIÁRIOS'!$P$5:$P$500,"&gt;=97600")&gt;0,"X","")</f>
      </c>
      <c r="N21" s="56" t="str">
        <f>IF(COUNTIFS('LANÇAMENTOS DIÁRIOS'!$G$5:$G$500,"C",'LANÇAMENTOS DIÁRIOS'!$C$5:$C$500,$A21,'LANÇAMENTOS DIÁRIOS'!$O$5:$O$500,"&lt;=97799",'LANÇAMENTOS DIÁRIOS'!$P$5:$P$500,"&gt;=97700")&gt;0,"X","")</f>
      </c>
      <c r="O21" s="56" t="str">
        <f>IF(COUNTIFS('LANÇAMENTOS DIÁRIOS'!$G$5:$G$500,"C",'LANÇAMENTOS DIÁRIOS'!$C$5:$C$500,$A21,'LANÇAMENTOS DIÁRIOS'!$O$5:$O$500,"&lt;=97899",'LANÇAMENTOS DIÁRIOS'!$P$5:$P$500,"&gt;=97800")&gt;0,"X","")</f>
      </c>
      <c r="P21" s="56" t="str">
        <f>IF(COUNTIFS('LANÇAMENTOS DIÁRIOS'!$G$5:$G$500,"C",'LANÇAMENTOS DIÁRIOS'!$C$5:$C$500,$A21,'LANÇAMENTOS DIÁRIOS'!$O$5:$O$500,"&lt;=97999",'LANÇAMENTOS DIÁRIOS'!$P$5:$P$500,"&gt;=97900")&gt;0,"X","")</f>
      </c>
      <c r="Q21" s="56" t="str">
        <f>IF(COUNTIFS('LANÇAMENTOS DIÁRIOS'!$G$5:$G$500,"C",'LANÇAMENTOS DIÁRIOS'!$C$5:$C$500,$A21,'LANÇAMENTOS DIÁRIOS'!$O$5:$O$500,"&lt;=98099",'LANÇAMENTOS DIÁRIOS'!$P$5:$P$500,"&gt;=98000")&gt;0,"X","")</f>
      </c>
      <c r="R21" s="56" t="str">
        <f>IF(COUNTIFS('LANÇAMENTOS DIÁRIOS'!$G$5:$G$500,"C",'LANÇAMENTOS DIÁRIOS'!$C$5:$C$500,$A21,'LANÇAMENTOS DIÁRIOS'!$O$5:$O$500,"&lt;=98199",'LANÇAMENTOS DIÁRIOS'!$P$5:$P$500,"&gt;=98100")&gt;0,"X","")</f>
      </c>
      <c r="S21" s="56" t="str">
        <f>IF(COUNTIFS('LANÇAMENTOS DIÁRIOS'!$G$5:$G$500,"C",'LANÇAMENTOS DIÁRIOS'!$C$5:$C$500,$A21,'LANÇAMENTOS DIÁRIOS'!$O$5:$O$500,"&lt;=98299",'LANÇAMENTOS DIÁRIOS'!$P$5:$P$500,"&gt;=98200")&gt;0,"X","")</f>
      </c>
      <c r="T21" s="56" t="str">
        <f>IF(COUNTIFS('LANÇAMENTOS DIÁRIOS'!$G$5:$G$500,"C",'LANÇAMENTOS DIÁRIOS'!$C$5:$C$500,$A21,'LANÇAMENTOS DIÁRIOS'!$O$5:$O$500,"&lt;=98399",'LANÇAMENTOS DIÁRIOS'!$P$5:$P$500,"&gt;=98300")&gt;0,"X","")</f>
      </c>
      <c r="U21" s="56" t="str">
        <f>IF(COUNTIFS('LANÇAMENTOS DIÁRIOS'!$G$5:$G$500,"C",'LANÇAMENTOS DIÁRIOS'!$C$5:$C$500,$A21,'LANÇAMENTOS DIÁRIOS'!$O$5:$O$500,"&lt;=98499",'LANÇAMENTOS DIÁRIOS'!$P$5:$P$500,"&gt;=98400")&gt;0,"X","")</f>
      </c>
      <c r="V21" s="56" t="str">
        <f>IF(COUNTIFS('LANÇAMENTOS DIÁRIOS'!$G$5:$G$500,"C",'LANÇAMENTOS DIÁRIOS'!$C$5:$C$500,$A21,'LANÇAMENTOS DIÁRIOS'!$O$5:$O$500,"&lt;=98599",'LANÇAMENTOS DIÁRIOS'!$P$5:$P$500,"&gt;=98500")&gt;0,"X","")</f>
      </c>
      <c r="W21" s="56" t="str">
        <f>IF(COUNTIFS('LANÇAMENTOS DIÁRIOS'!$G$5:$G$500,"C",'LANÇAMENTOS DIÁRIOS'!$C$5:$C$500,$A21,'LANÇAMENTOS DIÁRIOS'!$O$5:$O$500,"&lt;=98699",'LANÇAMENTOS DIÁRIOS'!$P$5:$P$500,"&gt;=98600")&gt;0,"X","")</f>
      </c>
      <c r="X21" s="56" t="str">
        <f>IF(COUNTIFS('LANÇAMENTOS DIÁRIOS'!$G$5:$G$500,"C",'LANÇAMENTOS DIÁRIOS'!$C$5:$C$500,$A21,'LANÇAMENTOS DIÁRIOS'!$O$5:$O$500,"&lt;=98799",'LANÇAMENTOS DIÁRIOS'!$P$5:$P$500,"&gt;=98700")&gt;0,"X","")</f>
      </c>
      <c r="Y21" s="56" t="str">
        <f>IF(COUNTIFS('LANÇAMENTOS DIÁRIOS'!$G$5:$G$500,"C",'LANÇAMENTOS DIÁRIOS'!$C$5:$C$500,$A21,'LANÇAMENTOS DIÁRIOS'!$O$5:$O$500,"&lt;=98899",'LANÇAMENTOS DIÁRIOS'!$P$5:$P$500,"&gt;=98800")&gt;0,"X","")</f>
      </c>
      <c r="Z21" s="56" t="str">
        <f>IF(COUNTIFS('LANÇAMENTOS DIÁRIOS'!$G$5:$G$500,"C",'LANÇAMENTOS DIÁRIOS'!$C$5:$C$500,$A21,'LANÇAMENTOS DIÁRIOS'!$O$5:$O$500,"&lt;=98999",'LANÇAMENTOS DIÁRIOS'!$P$5:$P$500,"&gt;=98900")&gt;0,"X","")</f>
      </c>
      <c r="AA21" s="56" t="str">
        <f>IF(COUNTIFS('LANÇAMENTOS DIÁRIOS'!$G$5:$G$500,"C",'LANÇAMENTOS DIÁRIOS'!$C$5:$C$500,$A21,'LANÇAMENTOS DIÁRIOS'!$O$5:$O$500,"&lt;=99099",'LANÇAMENTOS DIÁRIOS'!$P$5:$P$500,"&gt;=99000")&gt;0,"X","")</f>
      </c>
      <c r="AB21" s="56" t="str">
        <f>IF(COUNTIFS('LANÇAMENTOS DIÁRIOS'!$G$5:$G$500,"C",'LANÇAMENTOS DIÁRIOS'!$C$5:$C$500,$A21,'LANÇAMENTOS DIÁRIOS'!$O$5:$O$500,"&lt;=99199",'LANÇAMENTOS DIÁRIOS'!$P$5:$P$500,"&gt;=99100")&gt;0,"X","")</f>
      </c>
      <c r="AC21" s="56" t="str">
        <f>IF(COUNTIFS('LANÇAMENTOS DIÁRIOS'!$G$5:$G$500,"C",'LANÇAMENTOS DIÁRIOS'!$C$5:$C$500,$A21,'LANÇAMENTOS DIÁRIOS'!$O$5:$O$500,"&lt;=99299",'LANÇAMENTOS DIÁRIOS'!$P$5:$P$500,"&gt;=99200")&gt;0,"X","")</f>
      </c>
      <c r="AD21" s="56" t="str">
        <f>IF(COUNTIFS('LANÇAMENTOS DIÁRIOS'!$G$5:$G$500,"C",'LANÇAMENTOS DIÁRIOS'!$C$5:$C$500,$A21,'LANÇAMENTOS DIÁRIOS'!$O$5:$O$500,"&lt;=99399",'LANÇAMENTOS DIÁRIOS'!$P$5:$P$500,"&gt;=99300")&gt;0,"X","")</f>
      </c>
      <c r="AE21" s="56" t="str">
        <f>IF(COUNTIFS('LANÇAMENTOS DIÁRIOS'!$G$5:$G$500,"C",'LANÇAMENTOS DIÁRIOS'!$C$5:$C$500,$A21,'LANÇAMENTOS DIÁRIOS'!$O$5:$O$500,"&lt;=99499",'LANÇAMENTOS DIÁRIOS'!$P$5:$P$500,"&gt;=99400")&gt;0,"X","")</f>
      </c>
      <c r="AF21" s="56" t="str">
        <f>IF(COUNTIFS('LANÇAMENTOS DIÁRIOS'!$G$5:$G$500,"C",'LANÇAMENTOS DIÁRIOS'!$C$5:$C$500,$A21,'LANÇAMENTOS DIÁRIOS'!$O$5:$O$500,"&lt;=99599",'LANÇAMENTOS DIÁRIOS'!$P$5:$P$500,"&gt;=99500")&gt;0,"X","")</f>
      </c>
      <c r="AG21" s="56" t="str">
        <f>IF(COUNTIFS('LANÇAMENTOS DIÁRIOS'!$G$5:$G$500,"C",'LANÇAMENTOS DIÁRIOS'!$C$5:$C$500,$A21,'LANÇAMENTOS DIÁRIOS'!$O$5:$O$500,"&lt;=99699",'LANÇAMENTOS DIÁRIOS'!$P$5:$P$500,"&gt;=99600")&gt;0,"X","")</f>
      </c>
      <c r="AH21" s="56" t="str">
        <f>IF(COUNTIFS('LANÇAMENTOS DIÁRIOS'!$G$5:$G$500,"C",'LANÇAMENTOS DIÁRIOS'!$C$5:$C$500,$A21,'LANÇAMENTOS DIÁRIOS'!$O$5:$O$500,"&lt;=99799",'LANÇAMENTOS DIÁRIOS'!$P$5:$P$500,"&gt;=99700")&gt;0,"X","")</f>
      </c>
      <c r="AI21" s="56" t="str">
        <f>IF(COUNTIFS('LANÇAMENTOS DIÁRIOS'!$G$5:$G$500,"C",'LANÇAMENTOS DIÁRIOS'!$C$5:$C$500,$A21,'LANÇAMENTOS DIÁRIOS'!$O$5:$O$500,"&lt;=99899",'LANÇAMENTOS DIÁRIOS'!$P$5:$P$500,"&gt;=99800")&gt;0,"X","")</f>
      </c>
      <c r="AJ21" s="56" t="str">
        <f>IF(COUNTIFS('LANÇAMENTOS DIÁRIOS'!$G$5:$G$500,"C",'LANÇAMENTOS DIÁRIOS'!$C$5:$C$500,$A21,'LANÇAMENTOS DIÁRIOS'!$O$5:$O$500,"&lt;=99999",'LANÇAMENTOS DIÁRIOS'!$P$5:$P$500,"&gt;=99900")&gt;0,"X","")</f>
      </c>
      <c r="AK21" s="56" t="str">
        <f>IF(COUNTIFS('LANÇAMENTOS DIÁRIOS'!$G$5:$G$500,"C",'LANÇAMENTOS DIÁRIOS'!$C$5:$C$500,$A21,'LANÇAMENTOS DIÁRIOS'!$O$5:$O$500,"&lt;=100099",'LANÇAMENTOS DIÁRIOS'!$P$5:$P$500,"&gt;=100000")&gt;0,"X","")</f>
      </c>
      <c r="AL21" s="56" t="str">
        <f>IF(COUNTIFS('LANÇAMENTOS DIÁRIOS'!$G$5:$G$500,"C",'LANÇAMENTOS DIÁRIOS'!$C$5:$C$500,$A21,'LANÇAMENTOS DIÁRIOS'!$O$5:$O$500,"&lt;=100199",'LANÇAMENTOS DIÁRIOS'!$P$5:$P$500,"&gt;=100100")&gt;0,"X","")</f>
      </c>
      <c r="AM21" s="56" t="str">
        <f>IF(COUNTIFS('LANÇAMENTOS DIÁRIOS'!$G$5:$G$500,"C",'LANÇAMENTOS DIÁRIOS'!$C$5:$C$500,$A21,'LANÇAMENTOS DIÁRIOS'!$O$5:$O$500,"&lt;=100299",'LANÇAMENTOS DIÁRIOS'!$P$5:$P$500,"&gt;=100200")&gt;0,"X","")</f>
      </c>
      <c r="AN21" s="56" t="str">
        <f>IF(COUNTIFS('LANÇAMENTOS DIÁRIOS'!$G$5:$G$500,"C",'LANÇAMENTOS DIÁRIOS'!$C$5:$C$500,$A21,'LANÇAMENTOS DIÁRIOS'!$O$5:$O$500,"&lt;=100399",'LANÇAMENTOS DIÁRIOS'!$P$5:$P$500,"&gt;=100300")&gt;0,"X","")</f>
      </c>
      <c r="AO21" s="56" t="str">
        <f>IF(COUNTIFS('LANÇAMENTOS DIÁRIOS'!$G$5:$G$500,"C",'LANÇAMENTOS DIÁRIOS'!$C$5:$C$500,$A21,'LANÇAMENTOS DIÁRIOS'!$O$5:$O$500,"&lt;=100499",'LANÇAMENTOS DIÁRIOS'!$P$5:$P$500,"&gt;=100400")&gt;0,"X","")</f>
      </c>
      <c r="AP21" s="56" t="str">
        <f>IF(COUNTIFS('LANÇAMENTOS DIÁRIOS'!$G$5:$G$500,"C",'LANÇAMENTOS DIÁRIOS'!$C$5:$C$500,$A21,'LANÇAMENTOS DIÁRIOS'!$O$5:$O$500,"&lt;=100500",'LANÇAMENTOS DIÁRIOS'!$P$5:$P$500,"&gt;=100500")&gt;0,"X","")</f>
      </c>
    </row>
    <row r="22">
      <c r="A22" s="51" t="str">
        <v>Remanejamento de placa de sinalização, solo</v>
      </c>
      <c r="B22" s="56" t="str">
        <f>IF(COUNTIFS('LANÇAMENTOS DIÁRIOS'!$G$5:$G$500,"C",'LANÇAMENTOS DIÁRIOS'!$C$5:$C$500,$A22,'LANÇAMENTOS DIÁRIOS'!$O$5:$O$500,"&lt;=96599",'LANÇAMENTOS DIÁRIOS'!$P$5:$P$500,"&gt;=96500")&gt;0,"X","")</f>
      </c>
      <c r="C22" s="56" t="str">
        <f>IF(COUNTIFS('LANÇAMENTOS DIÁRIOS'!$G$5:$G$500,"C",'LANÇAMENTOS DIÁRIOS'!$C$5:$C$500,$A22,'LANÇAMENTOS DIÁRIOS'!$O$5:$O$500,"&lt;=96699",'LANÇAMENTOS DIÁRIOS'!$P$5:$P$500,"&gt;=96600")&gt;0,"X","")</f>
      </c>
      <c r="D22" s="56" t="str">
        <f>IF(COUNTIFS('LANÇAMENTOS DIÁRIOS'!$G$5:$G$500,"C",'LANÇAMENTOS DIÁRIOS'!$C$5:$C$500,$A22,'LANÇAMENTOS DIÁRIOS'!$O$5:$O$500,"&lt;=96799",'LANÇAMENTOS DIÁRIOS'!$P$5:$P$500,"&gt;=96700")&gt;0,"X","")</f>
      </c>
      <c r="E22" s="56" t="str">
        <f>IF(COUNTIFS('LANÇAMENTOS DIÁRIOS'!$G$5:$G$500,"C",'LANÇAMENTOS DIÁRIOS'!$C$5:$C$500,$A22,'LANÇAMENTOS DIÁRIOS'!$O$5:$O$500,"&lt;=96899",'LANÇAMENTOS DIÁRIOS'!$P$5:$P$500,"&gt;=96800")&gt;0,"X","")</f>
      </c>
      <c r="F22" s="56" t="str">
        <f>IF(COUNTIFS('LANÇAMENTOS DIÁRIOS'!$G$5:$G$500,"C",'LANÇAMENTOS DIÁRIOS'!$C$5:$C$500,$A22,'LANÇAMENTOS DIÁRIOS'!$O$5:$O$500,"&lt;=96999",'LANÇAMENTOS DIÁRIOS'!$P$5:$P$500,"&gt;=96900")&gt;0,"X","")</f>
      </c>
      <c r="G22" s="56" t="str">
        <f>IF(COUNTIFS('LANÇAMENTOS DIÁRIOS'!$G$5:$G$500,"C",'LANÇAMENTOS DIÁRIOS'!$C$5:$C$500,$A22,'LANÇAMENTOS DIÁRIOS'!$O$5:$O$500,"&lt;=97099",'LANÇAMENTOS DIÁRIOS'!$P$5:$P$500,"&gt;=97000")&gt;0,"X","")</f>
      </c>
      <c r="H22" s="56" t="str">
        <f>IF(COUNTIFS('LANÇAMENTOS DIÁRIOS'!$G$5:$G$500,"C",'LANÇAMENTOS DIÁRIOS'!$C$5:$C$500,$A22,'LANÇAMENTOS DIÁRIOS'!$O$5:$O$500,"&lt;=97199",'LANÇAMENTOS DIÁRIOS'!$P$5:$P$500,"&gt;=97100")&gt;0,"X","")</f>
      </c>
      <c r="I22" s="56" t="str">
        <f>IF(COUNTIFS('LANÇAMENTOS DIÁRIOS'!$G$5:$G$500,"C",'LANÇAMENTOS DIÁRIOS'!$C$5:$C$500,$A22,'LANÇAMENTOS DIÁRIOS'!$O$5:$O$500,"&lt;=97299",'LANÇAMENTOS DIÁRIOS'!$P$5:$P$500,"&gt;=97200")&gt;0,"X","")</f>
      </c>
      <c r="J22" s="56" t="str">
        <f>IF(COUNTIFS('LANÇAMENTOS DIÁRIOS'!$G$5:$G$500,"C",'LANÇAMENTOS DIÁRIOS'!$C$5:$C$500,$A22,'LANÇAMENTOS DIÁRIOS'!$O$5:$O$500,"&lt;=97399",'LANÇAMENTOS DIÁRIOS'!$P$5:$P$500,"&gt;=97300")&gt;0,"X","")</f>
      </c>
      <c r="K22" s="56" t="str">
        <f>IF(COUNTIFS('LANÇAMENTOS DIÁRIOS'!$G$5:$G$500,"C",'LANÇAMENTOS DIÁRIOS'!$C$5:$C$500,$A22,'LANÇAMENTOS DIÁRIOS'!$O$5:$O$500,"&lt;=97499",'LANÇAMENTOS DIÁRIOS'!$P$5:$P$500,"&gt;=97400")&gt;0,"X","")</f>
      </c>
      <c r="L22" s="56" t="str">
        <f>IF(COUNTIFS('LANÇAMENTOS DIÁRIOS'!$G$5:$G$500,"C",'LANÇAMENTOS DIÁRIOS'!$C$5:$C$500,$A22,'LANÇAMENTOS DIÁRIOS'!$O$5:$O$500,"&lt;=97599",'LANÇAMENTOS DIÁRIOS'!$P$5:$P$500,"&gt;=97500")&gt;0,"X","")</f>
      </c>
      <c r="M22" s="56" t="str">
        <f>IF(COUNTIFS('LANÇAMENTOS DIÁRIOS'!$G$5:$G$500,"C",'LANÇAMENTOS DIÁRIOS'!$C$5:$C$500,$A22,'LANÇAMENTOS DIÁRIOS'!$O$5:$O$500,"&lt;=97699",'LANÇAMENTOS DIÁRIOS'!$P$5:$P$500,"&gt;=97600")&gt;0,"X","")</f>
      </c>
      <c r="N22" s="56" t="str">
        <f>IF(COUNTIFS('LANÇAMENTOS DIÁRIOS'!$G$5:$G$500,"C",'LANÇAMENTOS DIÁRIOS'!$C$5:$C$500,$A22,'LANÇAMENTOS DIÁRIOS'!$O$5:$O$500,"&lt;=97799",'LANÇAMENTOS DIÁRIOS'!$P$5:$P$500,"&gt;=97700")&gt;0,"X","")</f>
      </c>
      <c r="O22" s="56" t="str">
        <f>IF(COUNTIFS('LANÇAMENTOS DIÁRIOS'!$G$5:$G$500,"C",'LANÇAMENTOS DIÁRIOS'!$C$5:$C$500,$A22,'LANÇAMENTOS DIÁRIOS'!$O$5:$O$500,"&lt;=97899",'LANÇAMENTOS DIÁRIOS'!$P$5:$P$500,"&gt;=97800")&gt;0,"X","")</f>
      </c>
      <c r="P22" s="56" t="str">
        <f>IF(COUNTIFS('LANÇAMENTOS DIÁRIOS'!$G$5:$G$500,"C",'LANÇAMENTOS DIÁRIOS'!$C$5:$C$500,$A22,'LANÇAMENTOS DIÁRIOS'!$O$5:$O$500,"&lt;=97999",'LANÇAMENTOS DIÁRIOS'!$P$5:$P$500,"&gt;=97900")&gt;0,"X","")</f>
      </c>
      <c r="Q22" s="56" t="str">
        <f>IF(COUNTIFS('LANÇAMENTOS DIÁRIOS'!$G$5:$G$500,"C",'LANÇAMENTOS DIÁRIOS'!$C$5:$C$500,$A22,'LANÇAMENTOS DIÁRIOS'!$O$5:$O$500,"&lt;=98099",'LANÇAMENTOS DIÁRIOS'!$P$5:$P$500,"&gt;=98000")&gt;0,"X","")</f>
      </c>
      <c r="R22" s="56" t="str">
        <f>IF(COUNTIFS('LANÇAMENTOS DIÁRIOS'!$G$5:$G$500,"C",'LANÇAMENTOS DIÁRIOS'!$C$5:$C$500,$A22,'LANÇAMENTOS DIÁRIOS'!$O$5:$O$500,"&lt;=98199",'LANÇAMENTOS DIÁRIOS'!$P$5:$P$500,"&gt;=98100")&gt;0,"X","")</f>
      </c>
      <c r="S22" s="56" t="str">
        <f>IF(COUNTIFS('LANÇAMENTOS DIÁRIOS'!$G$5:$G$500,"C",'LANÇAMENTOS DIÁRIOS'!$C$5:$C$500,$A22,'LANÇAMENTOS DIÁRIOS'!$O$5:$O$500,"&lt;=98299",'LANÇAMENTOS DIÁRIOS'!$P$5:$P$500,"&gt;=98200")&gt;0,"X","")</f>
      </c>
      <c r="T22" s="56" t="str">
        <f>IF(COUNTIFS('LANÇAMENTOS DIÁRIOS'!$G$5:$G$500,"C",'LANÇAMENTOS DIÁRIOS'!$C$5:$C$500,$A22,'LANÇAMENTOS DIÁRIOS'!$O$5:$O$500,"&lt;=98399",'LANÇAMENTOS DIÁRIOS'!$P$5:$P$500,"&gt;=98300")&gt;0,"X","")</f>
      </c>
      <c r="U22" s="56" t="str">
        <f>IF(COUNTIFS('LANÇAMENTOS DIÁRIOS'!$G$5:$G$500,"C",'LANÇAMENTOS DIÁRIOS'!$C$5:$C$500,$A22,'LANÇAMENTOS DIÁRIOS'!$O$5:$O$500,"&lt;=98499",'LANÇAMENTOS DIÁRIOS'!$P$5:$P$500,"&gt;=98400")&gt;0,"X","")</f>
      </c>
      <c r="V22" s="56" t="str">
        <f>IF(COUNTIFS('LANÇAMENTOS DIÁRIOS'!$G$5:$G$500,"C",'LANÇAMENTOS DIÁRIOS'!$C$5:$C$500,$A22,'LANÇAMENTOS DIÁRIOS'!$O$5:$O$500,"&lt;=98599",'LANÇAMENTOS DIÁRIOS'!$P$5:$P$500,"&gt;=98500")&gt;0,"X","")</f>
      </c>
      <c r="W22" s="56" t="str">
        <f>IF(COUNTIFS('LANÇAMENTOS DIÁRIOS'!$G$5:$G$500,"C",'LANÇAMENTOS DIÁRIOS'!$C$5:$C$500,$A22,'LANÇAMENTOS DIÁRIOS'!$O$5:$O$500,"&lt;=98699",'LANÇAMENTOS DIÁRIOS'!$P$5:$P$500,"&gt;=98600")&gt;0,"X","")</f>
      </c>
      <c r="X22" s="56" t="str">
        <f>IF(COUNTIFS('LANÇAMENTOS DIÁRIOS'!$G$5:$G$500,"C",'LANÇAMENTOS DIÁRIOS'!$C$5:$C$500,$A22,'LANÇAMENTOS DIÁRIOS'!$O$5:$O$500,"&lt;=98799",'LANÇAMENTOS DIÁRIOS'!$P$5:$P$500,"&gt;=98700")&gt;0,"X","")</f>
      </c>
      <c r="Y22" s="56" t="str">
        <f>IF(COUNTIFS('LANÇAMENTOS DIÁRIOS'!$G$5:$G$500,"C",'LANÇAMENTOS DIÁRIOS'!$C$5:$C$500,$A22,'LANÇAMENTOS DIÁRIOS'!$O$5:$O$500,"&lt;=98899",'LANÇAMENTOS DIÁRIOS'!$P$5:$P$500,"&gt;=98800")&gt;0,"X","")</f>
      </c>
      <c r="Z22" s="56" t="str">
        <f>IF(COUNTIFS('LANÇAMENTOS DIÁRIOS'!$G$5:$G$500,"C",'LANÇAMENTOS DIÁRIOS'!$C$5:$C$500,$A22,'LANÇAMENTOS DIÁRIOS'!$O$5:$O$500,"&lt;=98999",'LANÇAMENTOS DIÁRIOS'!$P$5:$P$500,"&gt;=98900")&gt;0,"X","")</f>
      </c>
      <c r="AA22" s="56" t="str">
        <f>IF(COUNTIFS('LANÇAMENTOS DIÁRIOS'!$G$5:$G$500,"C",'LANÇAMENTOS DIÁRIOS'!$C$5:$C$500,$A22,'LANÇAMENTOS DIÁRIOS'!$O$5:$O$500,"&lt;=99099",'LANÇAMENTOS DIÁRIOS'!$P$5:$P$500,"&gt;=99000")&gt;0,"X","")</f>
      </c>
      <c r="AB22" s="56" t="str">
        <f>IF(COUNTIFS('LANÇAMENTOS DIÁRIOS'!$G$5:$G$500,"C",'LANÇAMENTOS DIÁRIOS'!$C$5:$C$500,$A22,'LANÇAMENTOS DIÁRIOS'!$O$5:$O$500,"&lt;=99199",'LANÇAMENTOS DIÁRIOS'!$P$5:$P$500,"&gt;=99100")&gt;0,"X","")</f>
      </c>
      <c r="AC22" s="56" t="str">
        <f>IF(COUNTIFS('LANÇAMENTOS DIÁRIOS'!$G$5:$G$500,"C",'LANÇAMENTOS DIÁRIOS'!$C$5:$C$500,$A22,'LANÇAMENTOS DIÁRIOS'!$O$5:$O$500,"&lt;=99299",'LANÇAMENTOS DIÁRIOS'!$P$5:$P$500,"&gt;=99200")&gt;0,"X","")</f>
      </c>
      <c r="AD22" s="56" t="str">
        <f>IF(COUNTIFS('LANÇAMENTOS DIÁRIOS'!$G$5:$G$500,"C",'LANÇAMENTOS DIÁRIOS'!$C$5:$C$500,$A22,'LANÇAMENTOS DIÁRIOS'!$O$5:$O$500,"&lt;=99399",'LANÇAMENTOS DIÁRIOS'!$P$5:$P$500,"&gt;=99300")&gt;0,"X","")</f>
      </c>
      <c r="AE22" s="56" t="str">
        <f>IF(COUNTIFS('LANÇAMENTOS DIÁRIOS'!$G$5:$G$500,"C",'LANÇAMENTOS DIÁRIOS'!$C$5:$C$500,$A22,'LANÇAMENTOS DIÁRIOS'!$O$5:$O$500,"&lt;=99499",'LANÇAMENTOS DIÁRIOS'!$P$5:$P$500,"&gt;=99400")&gt;0,"X","")</f>
      </c>
      <c r="AF22" s="56" t="str">
        <f>IF(COUNTIFS('LANÇAMENTOS DIÁRIOS'!$G$5:$G$500,"C",'LANÇAMENTOS DIÁRIOS'!$C$5:$C$500,$A22,'LANÇAMENTOS DIÁRIOS'!$O$5:$O$500,"&lt;=99599",'LANÇAMENTOS DIÁRIOS'!$P$5:$P$500,"&gt;=99500")&gt;0,"X","")</f>
      </c>
      <c r="AG22" s="56" t="str">
        <f>IF(COUNTIFS('LANÇAMENTOS DIÁRIOS'!$G$5:$G$500,"C",'LANÇAMENTOS DIÁRIOS'!$C$5:$C$500,$A22,'LANÇAMENTOS DIÁRIOS'!$O$5:$O$500,"&lt;=99699",'LANÇAMENTOS DIÁRIOS'!$P$5:$P$500,"&gt;=99600")&gt;0,"X","")</f>
      </c>
      <c r="AH22" s="56" t="str">
        <f>IF(COUNTIFS('LANÇAMENTOS DIÁRIOS'!$G$5:$G$500,"C",'LANÇAMENTOS DIÁRIOS'!$C$5:$C$500,$A22,'LANÇAMENTOS DIÁRIOS'!$O$5:$O$500,"&lt;=99799",'LANÇAMENTOS DIÁRIOS'!$P$5:$P$500,"&gt;=99700")&gt;0,"X","")</f>
      </c>
      <c r="AI22" s="56" t="str">
        <f>IF(COUNTIFS('LANÇAMENTOS DIÁRIOS'!$G$5:$G$500,"C",'LANÇAMENTOS DIÁRIOS'!$C$5:$C$500,$A22,'LANÇAMENTOS DIÁRIOS'!$O$5:$O$500,"&lt;=99899",'LANÇAMENTOS DIÁRIOS'!$P$5:$P$500,"&gt;=99800")&gt;0,"X","")</f>
      </c>
      <c r="AJ22" s="56" t="str">
        <f>IF(COUNTIFS('LANÇAMENTOS DIÁRIOS'!$G$5:$G$500,"C",'LANÇAMENTOS DIÁRIOS'!$C$5:$C$500,$A22,'LANÇAMENTOS DIÁRIOS'!$O$5:$O$500,"&lt;=99999",'LANÇAMENTOS DIÁRIOS'!$P$5:$P$500,"&gt;=99900")&gt;0,"X","")</f>
      </c>
      <c r="AK22" s="56" t="str">
        <f>IF(COUNTIFS('LANÇAMENTOS DIÁRIOS'!$G$5:$G$500,"C",'LANÇAMENTOS DIÁRIOS'!$C$5:$C$500,$A22,'LANÇAMENTOS DIÁRIOS'!$O$5:$O$500,"&lt;=100099",'LANÇAMENTOS DIÁRIOS'!$P$5:$P$500,"&gt;=100000")&gt;0,"X","")</f>
      </c>
      <c r="AL22" s="56" t="str">
        <f>IF(COUNTIFS('LANÇAMENTOS DIÁRIOS'!$G$5:$G$500,"C",'LANÇAMENTOS DIÁRIOS'!$C$5:$C$500,$A22,'LANÇAMENTOS DIÁRIOS'!$O$5:$O$500,"&lt;=100199",'LANÇAMENTOS DIÁRIOS'!$P$5:$P$500,"&gt;=100100")&gt;0,"X","")</f>
      </c>
      <c r="AM22" s="56" t="str">
        <f>IF(COUNTIFS('LANÇAMENTOS DIÁRIOS'!$G$5:$G$500,"C",'LANÇAMENTOS DIÁRIOS'!$C$5:$C$500,$A22,'LANÇAMENTOS DIÁRIOS'!$O$5:$O$500,"&lt;=100299",'LANÇAMENTOS DIÁRIOS'!$P$5:$P$500,"&gt;=100200")&gt;0,"X","")</f>
      </c>
      <c r="AN22" s="56" t="str">
        <f>IF(COUNTIFS('LANÇAMENTOS DIÁRIOS'!$G$5:$G$500,"C",'LANÇAMENTOS DIÁRIOS'!$C$5:$C$500,$A22,'LANÇAMENTOS DIÁRIOS'!$O$5:$O$500,"&lt;=100399",'LANÇAMENTOS DIÁRIOS'!$P$5:$P$500,"&gt;=100300")&gt;0,"X","")</f>
      </c>
      <c r="AO22" s="56" t="str">
        <f>IF(COUNTIFS('LANÇAMENTOS DIÁRIOS'!$G$5:$G$500,"C",'LANÇAMENTOS DIÁRIOS'!$C$5:$C$500,$A22,'LANÇAMENTOS DIÁRIOS'!$O$5:$O$500,"&lt;=100499",'LANÇAMENTOS DIÁRIOS'!$P$5:$P$500,"&gt;=100400")&gt;0,"X","")</f>
      </c>
      <c r="AP22" s="56" t="str">
        <f>IF(COUNTIFS('LANÇAMENTOS DIÁRIOS'!$G$5:$G$500,"C",'LANÇAMENTOS DIÁRIOS'!$C$5:$C$500,$A22,'LANÇAMENTOS DIÁRIOS'!$O$5:$O$500,"&lt;=100500",'LANÇAMENTOS DIÁRIOS'!$P$5:$P$500,"&gt;=100500")&gt;0,"X","")</f>
      </c>
    </row>
    <row r="23">
      <c r="A23" s="51" t="str">
        <v>Remoção de placa de sinalização vertical instalada no solo</v>
      </c>
      <c r="B23" s="56" t="str">
        <f>IF(COUNTIFS('LANÇAMENTOS DIÁRIOS'!$G$5:$G$500,"C",'LANÇAMENTOS DIÁRIOS'!$C$5:$C$500,$A23,'LANÇAMENTOS DIÁRIOS'!$O$5:$O$500,"&lt;=96599",'LANÇAMENTOS DIÁRIOS'!$P$5:$P$500,"&gt;=96500")&gt;0,"X","")</f>
      </c>
      <c r="C23" s="56" t="str">
        <f>IF(COUNTIFS('LANÇAMENTOS DIÁRIOS'!$G$5:$G$500,"C",'LANÇAMENTOS DIÁRIOS'!$C$5:$C$500,$A23,'LANÇAMENTOS DIÁRIOS'!$O$5:$O$500,"&lt;=96699",'LANÇAMENTOS DIÁRIOS'!$P$5:$P$500,"&gt;=96600")&gt;0,"X","")</f>
      </c>
      <c r="D23" s="56" t="str">
        <f>IF(COUNTIFS('LANÇAMENTOS DIÁRIOS'!$G$5:$G$500,"C",'LANÇAMENTOS DIÁRIOS'!$C$5:$C$500,$A23,'LANÇAMENTOS DIÁRIOS'!$O$5:$O$500,"&lt;=96799",'LANÇAMENTOS DIÁRIOS'!$P$5:$P$500,"&gt;=96700")&gt;0,"X","")</f>
      </c>
      <c r="E23" s="56" t="str">
        <f>IF(COUNTIFS('LANÇAMENTOS DIÁRIOS'!$G$5:$G$500,"C",'LANÇAMENTOS DIÁRIOS'!$C$5:$C$500,$A23,'LANÇAMENTOS DIÁRIOS'!$O$5:$O$500,"&lt;=96899",'LANÇAMENTOS DIÁRIOS'!$P$5:$P$500,"&gt;=96800")&gt;0,"X","")</f>
      </c>
      <c r="F23" s="56" t="str">
        <f>IF(COUNTIFS('LANÇAMENTOS DIÁRIOS'!$G$5:$G$500,"C",'LANÇAMENTOS DIÁRIOS'!$C$5:$C$500,$A23,'LANÇAMENTOS DIÁRIOS'!$O$5:$O$500,"&lt;=96999",'LANÇAMENTOS DIÁRIOS'!$P$5:$P$500,"&gt;=96900")&gt;0,"X","")</f>
      </c>
      <c r="G23" s="56" t="str">
        <f>IF(COUNTIFS('LANÇAMENTOS DIÁRIOS'!$G$5:$G$500,"C",'LANÇAMENTOS DIÁRIOS'!$C$5:$C$500,$A23,'LANÇAMENTOS DIÁRIOS'!$O$5:$O$500,"&lt;=97099",'LANÇAMENTOS DIÁRIOS'!$P$5:$P$500,"&gt;=97000")&gt;0,"X","")</f>
      </c>
      <c r="H23" s="56" t="str">
        <f>IF(COUNTIFS('LANÇAMENTOS DIÁRIOS'!$G$5:$G$500,"C",'LANÇAMENTOS DIÁRIOS'!$C$5:$C$500,$A23,'LANÇAMENTOS DIÁRIOS'!$O$5:$O$500,"&lt;=97199",'LANÇAMENTOS DIÁRIOS'!$P$5:$P$500,"&gt;=97100")&gt;0,"X","")</f>
      </c>
      <c r="I23" s="56" t="str">
        <f>IF(COUNTIFS('LANÇAMENTOS DIÁRIOS'!$G$5:$G$500,"C",'LANÇAMENTOS DIÁRIOS'!$C$5:$C$500,$A23,'LANÇAMENTOS DIÁRIOS'!$O$5:$O$500,"&lt;=97299",'LANÇAMENTOS DIÁRIOS'!$P$5:$P$500,"&gt;=97200")&gt;0,"X","")</f>
      </c>
      <c r="J23" s="56" t="str">
        <f>IF(COUNTIFS('LANÇAMENTOS DIÁRIOS'!$G$5:$G$500,"C",'LANÇAMENTOS DIÁRIOS'!$C$5:$C$500,$A23,'LANÇAMENTOS DIÁRIOS'!$O$5:$O$500,"&lt;=97399",'LANÇAMENTOS DIÁRIOS'!$P$5:$P$500,"&gt;=97300")&gt;0,"X","")</f>
      </c>
      <c r="K23" s="56" t="str">
        <f>IF(COUNTIFS('LANÇAMENTOS DIÁRIOS'!$G$5:$G$500,"C",'LANÇAMENTOS DIÁRIOS'!$C$5:$C$500,$A23,'LANÇAMENTOS DIÁRIOS'!$O$5:$O$500,"&lt;=97499",'LANÇAMENTOS DIÁRIOS'!$P$5:$P$500,"&gt;=97400")&gt;0,"X","")</f>
      </c>
      <c r="L23" s="56" t="str">
        <f>IF(COUNTIFS('LANÇAMENTOS DIÁRIOS'!$G$5:$G$500,"C",'LANÇAMENTOS DIÁRIOS'!$C$5:$C$500,$A23,'LANÇAMENTOS DIÁRIOS'!$O$5:$O$500,"&lt;=97599",'LANÇAMENTOS DIÁRIOS'!$P$5:$P$500,"&gt;=97500")&gt;0,"X","")</f>
      </c>
      <c r="M23" s="56" t="str">
        <f>IF(COUNTIFS('LANÇAMENTOS DIÁRIOS'!$G$5:$G$500,"C",'LANÇAMENTOS DIÁRIOS'!$C$5:$C$500,$A23,'LANÇAMENTOS DIÁRIOS'!$O$5:$O$500,"&lt;=97699",'LANÇAMENTOS DIÁRIOS'!$P$5:$P$500,"&gt;=97600")&gt;0,"X","")</f>
      </c>
      <c r="N23" s="56" t="str">
        <f>IF(COUNTIFS('LANÇAMENTOS DIÁRIOS'!$G$5:$G$500,"C",'LANÇAMENTOS DIÁRIOS'!$C$5:$C$500,$A23,'LANÇAMENTOS DIÁRIOS'!$O$5:$O$500,"&lt;=97799",'LANÇAMENTOS DIÁRIOS'!$P$5:$P$500,"&gt;=97700")&gt;0,"X","")</f>
      </c>
      <c r="O23" s="56" t="str">
        <f>IF(COUNTIFS('LANÇAMENTOS DIÁRIOS'!$G$5:$G$500,"C",'LANÇAMENTOS DIÁRIOS'!$C$5:$C$500,$A23,'LANÇAMENTOS DIÁRIOS'!$O$5:$O$500,"&lt;=97899",'LANÇAMENTOS DIÁRIOS'!$P$5:$P$500,"&gt;=97800")&gt;0,"X","")</f>
      </c>
      <c r="P23" s="56" t="str">
        <f>IF(COUNTIFS('LANÇAMENTOS DIÁRIOS'!$G$5:$G$500,"C",'LANÇAMENTOS DIÁRIOS'!$C$5:$C$500,$A23,'LANÇAMENTOS DIÁRIOS'!$O$5:$O$500,"&lt;=97999",'LANÇAMENTOS DIÁRIOS'!$P$5:$P$500,"&gt;=97900")&gt;0,"X","")</f>
      </c>
      <c r="Q23" s="56" t="str">
        <f>IF(COUNTIFS('LANÇAMENTOS DIÁRIOS'!$G$5:$G$500,"C",'LANÇAMENTOS DIÁRIOS'!$C$5:$C$500,$A23,'LANÇAMENTOS DIÁRIOS'!$O$5:$O$500,"&lt;=98099",'LANÇAMENTOS DIÁRIOS'!$P$5:$P$500,"&gt;=98000")&gt;0,"X","")</f>
      </c>
      <c r="R23" s="56" t="str">
        <f>IF(COUNTIFS('LANÇAMENTOS DIÁRIOS'!$G$5:$G$500,"C",'LANÇAMENTOS DIÁRIOS'!$C$5:$C$500,$A23,'LANÇAMENTOS DIÁRIOS'!$O$5:$O$500,"&lt;=98199",'LANÇAMENTOS DIÁRIOS'!$P$5:$P$500,"&gt;=98100")&gt;0,"X","")</f>
      </c>
      <c r="S23" s="56" t="str">
        <f>IF(COUNTIFS('LANÇAMENTOS DIÁRIOS'!$G$5:$G$500,"C",'LANÇAMENTOS DIÁRIOS'!$C$5:$C$500,$A23,'LANÇAMENTOS DIÁRIOS'!$O$5:$O$500,"&lt;=98299",'LANÇAMENTOS DIÁRIOS'!$P$5:$P$500,"&gt;=98200")&gt;0,"X","")</f>
      </c>
      <c r="T23" s="56" t="str">
        <f>IF(COUNTIFS('LANÇAMENTOS DIÁRIOS'!$G$5:$G$500,"C",'LANÇAMENTOS DIÁRIOS'!$C$5:$C$500,$A23,'LANÇAMENTOS DIÁRIOS'!$O$5:$O$500,"&lt;=98399",'LANÇAMENTOS DIÁRIOS'!$P$5:$P$500,"&gt;=98300")&gt;0,"X","")</f>
      </c>
      <c r="U23" s="56" t="str">
        <f>IF(COUNTIFS('LANÇAMENTOS DIÁRIOS'!$G$5:$G$500,"C",'LANÇAMENTOS DIÁRIOS'!$C$5:$C$500,$A23,'LANÇAMENTOS DIÁRIOS'!$O$5:$O$500,"&lt;=98499",'LANÇAMENTOS DIÁRIOS'!$P$5:$P$500,"&gt;=98400")&gt;0,"X","")</f>
      </c>
      <c r="V23" s="56" t="str">
        <f>IF(COUNTIFS('LANÇAMENTOS DIÁRIOS'!$G$5:$G$500,"C",'LANÇAMENTOS DIÁRIOS'!$C$5:$C$500,$A23,'LANÇAMENTOS DIÁRIOS'!$O$5:$O$500,"&lt;=98599",'LANÇAMENTOS DIÁRIOS'!$P$5:$P$500,"&gt;=98500")&gt;0,"X","")</f>
      </c>
      <c r="W23" s="56" t="str">
        <f>IF(COUNTIFS('LANÇAMENTOS DIÁRIOS'!$G$5:$G$500,"C",'LANÇAMENTOS DIÁRIOS'!$C$5:$C$500,$A23,'LANÇAMENTOS DIÁRIOS'!$O$5:$O$500,"&lt;=98699",'LANÇAMENTOS DIÁRIOS'!$P$5:$P$500,"&gt;=98600")&gt;0,"X","")</f>
      </c>
      <c r="X23" s="56" t="str">
        <f>IF(COUNTIFS('LANÇAMENTOS DIÁRIOS'!$G$5:$G$500,"C",'LANÇAMENTOS DIÁRIOS'!$C$5:$C$500,$A23,'LANÇAMENTOS DIÁRIOS'!$O$5:$O$500,"&lt;=98799",'LANÇAMENTOS DIÁRIOS'!$P$5:$P$500,"&gt;=98700")&gt;0,"X","")</f>
      </c>
      <c r="Y23" s="56" t="str">
        <f>IF(COUNTIFS('LANÇAMENTOS DIÁRIOS'!$G$5:$G$500,"C",'LANÇAMENTOS DIÁRIOS'!$C$5:$C$500,$A23,'LANÇAMENTOS DIÁRIOS'!$O$5:$O$500,"&lt;=98899",'LANÇAMENTOS DIÁRIOS'!$P$5:$P$500,"&gt;=98800")&gt;0,"X","")</f>
      </c>
      <c r="Z23" s="56" t="str">
        <f>IF(COUNTIFS('LANÇAMENTOS DIÁRIOS'!$G$5:$G$500,"C",'LANÇAMENTOS DIÁRIOS'!$C$5:$C$500,$A23,'LANÇAMENTOS DIÁRIOS'!$O$5:$O$500,"&lt;=98999",'LANÇAMENTOS DIÁRIOS'!$P$5:$P$500,"&gt;=98900")&gt;0,"X","")</f>
      </c>
      <c r="AA23" s="56" t="str">
        <f>IF(COUNTIFS('LANÇAMENTOS DIÁRIOS'!$G$5:$G$500,"C",'LANÇAMENTOS DIÁRIOS'!$C$5:$C$500,$A23,'LANÇAMENTOS DIÁRIOS'!$O$5:$O$500,"&lt;=99099",'LANÇAMENTOS DIÁRIOS'!$P$5:$P$500,"&gt;=99000")&gt;0,"X","")</f>
      </c>
      <c r="AB23" s="56" t="str">
        <f>IF(COUNTIFS('LANÇAMENTOS DIÁRIOS'!$G$5:$G$500,"C",'LANÇAMENTOS DIÁRIOS'!$C$5:$C$500,$A23,'LANÇAMENTOS DIÁRIOS'!$O$5:$O$500,"&lt;=99199",'LANÇAMENTOS DIÁRIOS'!$P$5:$P$500,"&gt;=99100")&gt;0,"X","")</f>
      </c>
      <c r="AC23" s="56" t="str">
        <f>IF(COUNTIFS('LANÇAMENTOS DIÁRIOS'!$G$5:$G$500,"C",'LANÇAMENTOS DIÁRIOS'!$C$5:$C$500,$A23,'LANÇAMENTOS DIÁRIOS'!$O$5:$O$500,"&lt;=99299",'LANÇAMENTOS DIÁRIOS'!$P$5:$P$500,"&gt;=99200")&gt;0,"X","")</f>
      </c>
      <c r="AD23" s="56" t="str">
        <f>IF(COUNTIFS('LANÇAMENTOS DIÁRIOS'!$G$5:$G$500,"C",'LANÇAMENTOS DIÁRIOS'!$C$5:$C$500,$A23,'LANÇAMENTOS DIÁRIOS'!$O$5:$O$500,"&lt;=99399",'LANÇAMENTOS DIÁRIOS'!$P$5:$P$500,"&gt;=99300")&gt;0,"X","")</f>
      </c>
      <c r="AE23" s="56" t="str">
        <f>IF(COUNTIFS('LANÇAMENTOS DIÁRIOS'!$G$5:$G$500,"C",'LANÇAMENTOS DIÁRIOS'!$C$5:$C$500,$A23,'LANÇAMENTOS DIÁRIOS'!$O$5:$O$500,"&lt;=99499",'LANÇAMENTOS DIÁRIOS'!$P$5:$P$500,"&gt;=99400")&gt;0,"X","")</f>
      </c>
      <c r="AF23" s="56" t="str">
        <f>IF(COUNTIFS('LANÇAMENTOS DIÁRIOS'!$G$5:$G$500,"C",'LANÇAMENTOS DIÁRIOS'!$C$5:$C$500,$A23,'LANÇAMENTOS DIÁRIOS'!$O$5:$O$500,"&lt;=99599",'LANÇAMENTOS DIÁRIOS'!$P$5:$P$500,"&gt;=99500")&gt;0,"X","")</f>
      </c>
      <c r="AG23" s="56" t="str">
        <f>IF(COUNTIFS('LANÇAMENTOS DIÁRIOS'!$G$5:$G$500,"C",'LANÇAMENTOS DIÁRIOS'!$C$5:$C$500,$A23,'LANÇAMENTOS DIÁRIOS'!$O$5:$O$500,"&lt;=99699",'LANÇAMENTOS DIÁRIOS'!$P$5:$P$500,"&gt;=99600")&gt;0,"X","")</f>
      </c>
      <c r="AH23" s="56" t="str">
        <f>IF(COUNTIFS('LANÇAMENTOS DIÁRIOS'!$G$5:$G$500,"C",'LANÇAMENTOS DIÁRIOS'!$C$5:$C$500,$A23,'LANÇAMENTOS DIÁRIOS'!$O$5:$O$500,"&lt;=99799",'LANÇAMENTOS DIÁRIOS'!$P$5:$P$500,"&gt;=99700")&gt;0,"X","")</f>
      </c>
      <c r="AI23" s="56" t="str">
        <f>IF(COUNTIFS('LANÇAMENTOS DIÁRIOS'!$G$5:$G$500,"C",'LANÇAMENTOS DIÁRIOS'!$C$5:$C$500,$A23,'LANÇAMENTOS DIÁRIOS'!$O$5:$O$500,"&lt;=99899",'LANÇAMENTOS DIÁRIOS'!$P$5:$P$500,"&gt;=99800")&gt;0,"X","")</f>
      </c>
      <c r="AJ23" s="56" t="str">
        <f>IF(COUNTIFS('LANÇAMENTOS DIÁRIOS'!$G$5:$G$500,"C",'LANÇAMENTOS DIÁRIOS'!$C$5:$C$500,$A23,'LANÇAMENTOS DIÁRIOS'!$O$5:$O$500,"&lt;=99999",'LANÇAMENTOS DIÁRIOS'!$P$5:$P$500,"&gt;=99900")&gt;0,"X","")</f>
      </c>
      <c r="AK23" s="56" t="str">
        <f>IF(COUNTIFS('LANÇAMENTOS DIÁRIOS'!$G$5:$G$500,"C",'LANÇAMENTOS DIÁRIOS'!$C$5:$C$500,$A23,'LANÇAMENTOS DIÁRIOS'!$O$5:$O$500,"&lt;=100099",'LANÇAMENTOS DIÁRIOS'!$P$5:$P$500,"&gt;=100000")&gt;0,"X","")</f>
      </c>
      <c r="AL23" s="56" t="str">
        <f>IF(COUNTIFS('LANÇAMENTOS DIÁRIOS'!$G$5:$G$500,"C",'LANÇAMENTOS DIÁRIOS'!$C$5:$C$500,$A23,'LANÇAMENTOS DIÁRIOS'!$O$5:$O$500,"&lt;=100199",'LANÇAMENTOS DIÁRIOS'!$P$5:$P$500,"&gt;=100100")&gt;0,"X","")</f>
      </c>
      <c r="AM23" s="56" t="str">
        <f>IF(COUNTIFS('LANÇAMENTOS DIÁRIOS'!$G$5:$G$500,"C",'LANÇAMENTOS DIÁRIOS'!$C$5:$C$500,$A23,'LANÇAMENTOS DIÁRIOS'!$O$5:$O$500,"&lt;=100299",'LANÇAMENTOS DIÁRIOS'!$P$5:$P$500,"&gt;=100200")&gt;0,"X","")</f>
      </c>
      <c r="AN23" s="56" t="str">
        <f>IF(COUNTIFS('LANÇAMENTOS DIÁRIOS'!$G$5:$G$500,"C",'LANÇAMENTOS DIÁRIOS'!$C$5:$C$500,$A23,'LANÇAMENTOS DIÁRIOS'!$O$5:$O$500,"&lt;=100399",'LANÇAMENTOS DIÁRIOS'!$P$5:$P$500,"&gt;=100300")&gt;0,"X","")</f>
      </c>
      <c r="AO23" s="56" t="str">
        <f>IF(COUNTIFS('LANÇAMENTOS DIÁRIOS'!$G$5:$G$500,"C",'LANÇAMENTOS DIÁRIOS'!$C$5:$C$500,$A23,'LANÇAMENTOS DIÁRIOS'!$O$5:$O$500,"&lt;=100499",'LANÇAMENTOS DIÁRIOS'!$P$5:$P$500,"&gt;=100400")&gt;0,"X","")</f>
      </c>
      <c r="AP23" s="56" t="str">
        <f>IF(COUNTIFS('LANÇAMENTOS DIÁRIOS'!$G$5:$G$500,"C",'LANÇAMENTOS DIÁRIOS'!$C$5:$C$500,$A23,'LANÇAMENTOS DIÁRIOS'!$O$5:$O$500,"&lt;=100500",'LANÇAMENTOS DIÁRIOS'!$P$5:$P$500,"&gt;=100500")&gt;0,"X","")</f>
      </c>
    </row>
    <row r="24" ht="21" customHeight="1">
      <c r="A24" s="60" t="str">
        <v>Terraplenagem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</row>
    <row r="25" ht="19" customHeight="1">
      <c r="A25" s="68" t="str">
        <v>Desmatamento e limpeza do terreno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</row>
    <row r="26">
      <c r="A26" s="51" t="str">
        <v>Limpeza do terreno com destocamento de árvore d=&lt;0,15m</v>
      </c>
      <c r="B26" s="56" t="str">
        <f>IF(COUNTIFS('LANÇAMENTOS DIÁRIOS'!$G$5:$G$500,"C",'LANÇAMENTOS DIÁRIOS'!$C$5:$C$500,$A26,'LANÇAMENTOS DIÁRIOS'!$O$5:$O$500,"&lt;=96599",'LANÇAMENTOS DIÁRIOS'!$P$5:$P$500,"&gt;=96500")&gt;0,"X","")</f>
      </c>
      <c r="C26" s="56" t="str">
        <f>IF(COUNTIFS('LANÇAMENTOS DIÁRIOS'!$G$5:$G$500,"C",'LANÇAMENTOS DIÁRIOS'!$C$5:$C$500,$A26,'LANÇAMENTOS DIÁRIOS'!$O$5:$O$500,"&lt;=96699",'LANÇAMENTOS DIÁRIOS'!$P$5:$P$500,"&gt;=96600")&gt;0,"X","")</f>
      </c>
      <c r="D26" s="56" t="str">
        <f>IF(COUNTIFS('LANÇAMENTOS DIÁRIOS'!$G$5:$G$500,"C",'LANÇAMENTOS DIÁRIOS'!$C$5:$C$500,$A26,'LANÇAMENTOS DIÁRIOS'!$O$5:$O$500,"&lt;=96799",'LANÇAMENTOS DIÁRIOS'!$P$5:$P$500,"&gt;=96700")&gt;0,"X","")</f>
      </c>
      <c r="E26" s="56" t="str">
        <f>IF(COUNTIFS('LANÇAMENTOS DIÁRIOS'!$G$5:$G$500,"C",'LANÇAMENTOS DIÁRIOS'!$C$5:$C$500,$A26,'LANÇAMENTOS DIÁRIOS'!$O$5:$O$500,"&lt;=96899",'LANÇAMENTOS DIÁRIOS'!$P$5:$P$500,"&gt;=96800")&gt;0,"X","")</f>
      </c>
      <c r="F26" s="56" t="str">
        <f>IF(COUNTIFS('LANÇAMENTOS DIÁRIOS'!$G$5:$G$500,"C",'LANÇAMENTOS DIÁRIOS'!$C$5:$C$500,$A26,'LANÇAMENTOS DIÁRIOS'!$O$5:$O$500,"&lt;=96999",'LANÇAMENTOS DIÁRIOS'!$P$5:$P$500,"&gt;=96900")&gt;0,"X","")</f>
      </c>
      <c r="G26" s="56" t="str">
        <f>IF(COUNTIFS('LANÇAMENTOS DIÁRIOS'!$G$5:$G$500,"C",'LANÇAMENTOS DIÁRIOS'!$C$5:$C$500,$A26,'LANÇAMENTOS DIÁRIOS'!$O$5:$O$500,"&lt;=97099",'LANÇAMENTOS DIÁRIOS'!$P$5:$P$500,"&gt;=97000")&gt;0,"X","")</f>
      </c>
      <c r="H26" s="56" t="str">
        <f>IF(COUNTIFS('LANÇAMENTOS DIÁRIOS'!$G$5:$G$500,"C",'LANÇAMENTOS DIÁRIOS'!$C$5:$C$500,$A26,'LANÇAMENTOS DIÁRIOS'!$O$5:$O$500,"&lt;=97199",'LANÇAMENTOS DIÁRIOS'!$P$5:$P$500,"&gt;=97100")&gt;0,"X","")</f>
      </c>
      <c r="I26" s="56" t="str">
        <f>IF(COUNTIFS('LANÇAMENTOS DIÁRIOS'!$G$5:$G$500,"C",'LANÇAMENTOS DIÁRIOS'!$C$5:$C$500,$A26,'LANÇAMENTOS DIÁRIOS'!$O$5:$O$500,"&lt;=97299",'LANÇAMENTOS DIÁRIOS'!$P$5:$P$500,"&gt;=97200")&gt;0,"X","")</f>
      </c>
      <c r="J26" s="56" t="str">
        <f>IF(COUNTIFS('LANÇAMENTOS DIÁRIOS'!$G$5:$G$500,"C",'LANÇAMENTOS DIÁRIOS'!$C$5:$C$500,$A26,'LANÇAMENTOS DIÁRIOS'!$O$5:$O$500,"&lt;=97399",'LANÇAMENTOS DIÁRIOS'!$P$5:$P$500,"&gt;=97300")&gt;0,"X","")</f>
      </c>
      <c r="K26" s="56" t="str">
        <f>IF(COUNTIFS('LANÇAMENTOS DIÁRIOS'!$G$5:$G$500,"C",'LANÇAMENTOS DIÁRIOS'!$C$5:$C$500,$A26,'LANÇAMENTOS DIÁRIOS'!$O$5:$O$500,"&lt;=97499",'LANÇAMENTOS DIÁRIOS'!$P$5:$P$500,"&gt;=97400")&gt;0,"X","")</f>
      </c>
      <c r="L26" s="56" t="str">
        <f>IF(COUNTIFS('LANÇAMENTOS DIÁRIOS'!$G$5:$G$500,"C",'LANÇAMENTOS DIÁRIOS'!$C$5:$C$500,$A26,'LANÇAMENTOS DIÁRIOS'!$O$5:$O$500,"&lt;=97599",'LANÇAMENTOS DIÁRIOS'!$P$5:$P$500,"&gt;=97500")&gt;0,"X","")</f>
      </c>
      <c r="M26" s="56" t="str">
        <f>IF(COUNTIFS('LANÇAMENTOS DIÁRIOS'!$G$5:$G$500,"C",'LANÇAMENTOS DIÁRIOS'!$C$5:$C$500,$A26,'LANÇAMENTOS DIÁRIOS'!$O$5:$O$500,"&lt;=97699",'LANÇAMENTOS DIÁRIOS'!$P$5:$P$500,"&gt;=97600")&gt;0,"X","")</f>
      </c>
      <c r="N26" s="56" t="str">
        <f>IF(COUNTIFS('LANÇAMENTOS DIÁRIOS'!$G$5:$G$500,"C",'LANÇAMENTOS DIÁRIOS'!$C$5:$C$500,$A26,'LANÇAMENTOS DIÁRIOS'!$O$5:$O$500,"&lt;=97799",'LANÇAMENTOS DIÁRIOS'!$P$5:$P$500,"&gt;=97700")&gt;0,"X","")</f>
      </c>
      <c r="O26" s="56" t="str">
        <f>IF(COUNTIFS('LANÇAMENTOS DIÁRIOS'!$G$5:$G$500,"C",'LANÇAMENTOS DIÁRIOS'!$C$5:$C$500,$A26,'LANÇAMENTOS DIÁRIOS'!$O$5:$O$500,"&lt;=97899",'LANÇAMENTOS DIÁRIOS'!$P$5:$P$500,"&gt;=97800")&gt;0,"X","")</f>
      </c>
      <c r="P26" s="56" t="str">
        <f>IF(COUNTIFS('LANÇAMENTOS DIÁRIOS'!$G$5:$G$500,"C",'LANÇAMENTOS DIÁRIOS'!$C$5:$C$500,$A26,'LANÇAMENTOS DIÁRIOS'!$O$5:$O$500,"&lt;=97999",'LANÇAMENTOS DIÁRIOS'!$P$5:$P$500,"&gt;=97900")&gt;0,"X","")</f>
      </c>
      <c r="Q26" s="56" t="str">
        <f>IF(COUNTIFS('LANÇAMENTOS DIÁRIOS'!$G$5:$G$500,"C",'LANÇAMENTOS DIÁRIOS'!$C$5:$C$500,$A26,'LANÇAMENTOS DIÁRIOS'!$O$5:$O$500,"&lt;=98099",'LANÇAMENTOS DIÁRIOS'!$P$5:$P$500,"&gt;=98000")&gt;0,"X","")</f>
      </c>
      <c r="R26" s="56" t="str">
        <f>IF(COUNTIFS('LANÇAMENTOS DIÁRIOS'!$G$5:$G$500,"C",'LANÇAMENTOS DIÁRIOS'!$C$5:$C$500,$A26,'LANÇAMENTOS DIÁRIOS'!$O$5:$O$500,"&lt;=98199",'LANÇAMENTOS DIÁRIOS'!$P$5:$P$500,"&gt;=98100")&gt;0,"X","")</f>
      </c>
      <c r="S26" s="56" t="str">
        <f>IF(COUNTIFS('LANÇAMENTOS DIÁRIOS'!$G$5:$G$500,"C",'LANÇAMENTOS DIÁRIOS'!$C$5:$C$500,$A26,'LANÇAMENTOS DIÁRIOS'!$O$5:$O$500,"&lt;=98299",'LANÇAMENTOS DIÁRIOS'!$P$5:$P$500,"&gt;=98200")&gt;0,"X","")</f>
      </c>
      <c r="T26" s="56" t="str">
        <f>IF(COUNTIFS('LANÇAMENTOS DIÁRIOS'!$G$5:$G$500,"C",'LANÇAMENTOS DIÁRIOS'!$C$5:$C$500,$A26,'LANÇAMENTOS DIÁRIOS'!$O$5:$O$500,"&lt;=98399",'LANÇAMENTOS DIÁRIOS'!$P$5:$P$500,"&gt;=98300")&gt;0,"X","")</f>
      </c>
      <c r="U26" s="56" t="str">
        <f>IF(COUNTIFS('LANÇAMENTOS DIÁRIOS'!$G$5:$G$500,"C",'LANÇAMENTOS DIÁRIOS'!$C$5:$C$500,$A26,'LANÇAMENTOS DIÁRIOS'!$O$5:$O$500,"&lt;=98499",'LANÇAMENTOS DIÁRIOS'!$P$5:$P$500,"&gt;=98400")&gt;0,"X","")</f>
      </c>
      <c r="V26" s="56" t="str">
        <f>IF(COUNTIFS('LANÇAMENTOS DIÁRIOS'!$G$5:$G$500,"C",'LANÇAMENTOS DIÁRIOS'!$C$5:$C$500,$A26,'LANÇAMENTOS DIÁRIOS'!$O$5:$O$500,"&lt;=98599",'LANÇAMENTOS DIÁRIOS'!$P$5:$P$500,"&gt;=98500")&gt;0,"X","")</f>
      </c>
      <c r="W26" s="56" t="str">
        <f>IF(COUNTIFS('LANÇAMENTOS DIÁRIOS'!$G$5:$G$500,"C",'LANÇAMENTOS DIÁRIOS'!$C$5:$C$500,$A26,'LANÇAMENTOS DIÁRIOS'!$O$5:$O$500,"&lt;=98699",'LANÇAMENTOS DIÁRIOS'!$P$5:$P$500,"&gt;=98600")&gt;0,"X","")</f>
      </c>
      <c r="X26" s="56" t="str">
        <f>IF(COUNTIFS('LANÇAMENTOS DIÁRIOS'!$G$5:$G$500,"C",'LANÇAMENTOS DIÁRIOS'!$C$5:$C$500,$A26,'LANÇAMENTOS DIÁRIOS'!$O$5:$O$500,"&lt;=98799",'LANÇAMENTOS DIÁRIOS'!$P$5:$P$500,"&gt;=98700")&gt;0,"X","")</f>
      </c>
      <c r="Y26" s="56" t="str">
        <f>IF(COUNTIFS('LANÇAMENTOS DIÁRIOS'!$G$5:$G$500,"C",'LANÇAMENTOS DIÁRIOS'!$C$5:$C$500,$A26,'LANÇAMENTOS DIÁRIOS'!$O$5:$O$500,"&lt;=98899",'LANÇAMENTOS DIÁRIOS'!$P$5:$P$500,"&gt;=98800")&gt;0,"X","")</f>
      </c>
      <c r="Z26" s="56" t="str">
        <f>IF(COUNTIFS('LANÇAMENTOS DIÁRIOS'!$G$5:$G$500,"C",'LANÇAMENTOS DIÁRIOS'!$C$5:$C$500,$A26,'LANÇAMENTOS DIÁRIOS'!$O$5:$O$500,"&lt;=98999",'LANÇAMENTOS DIÁRIOS'!$P$5:$P$500,"&gt;=98900")&gt;0,"X","")</f>
      </c>
      <c r="AA26" s="56" t="str">
        <f>IF(COUNTIFS('LANÇAMENTOS DIÁRIOS'!$G$5:$G$500,"C",'LANÇAMENTOS DIÁRIOS'!$C$5:$C$500,$A26,'LANÇAMENTOS DIÁRIOS'!$O$5:$O$500,"&lt;=99099",'LANÇAMENTOS DIÁRIOS'!$P$5:$P$500,"&gt;=99000")&gt;0,"X","")</f>
      </c>
      <c r="AB26" s="56" t="str">
        <f>IF(COUNTIFS('LANÇAMENTOS DIÁRIOS'!$G$5:$G$500,"C",'LANÇAMENTOS DIÁRIOS'!$C$5:$C$500,$A26,'LANÇAMENTOS DIÁRIOS'!$O$5:$O$500,"&lt;=99199",'LANÇAMENTOS DIÁRIOS'!$P$5:$P$500,"&gt;=99100")&gt;0,"X","")</f>
      </c>
      <c r="AC26" s="56" t="str">
        <f>IF(COUNTIFS('LANÇAMENTOS DIÁRIOS'!$G$5:$G$500,"C",'LANÇAMENTOS DIÁRIOS'!$C$5:$C$500,$A26,'LANÇAMENTOS DIÁRIOS'!$O$5:$O$500,"&lt;=99299",'LANÇAMENTOS DIÁRIOS'!$P$5:$P$500,"&gt;=99200")&gt;0,"X","")</f>
      </c>
      <c r="AD26" s="56" t="str">
        <f>IF(COUNTIFS('LANÇAMENTOS DIÁRIOS'!$G$5:$G$500,"C",'LANÇAMENTOS DIÁRIOS'!$C$5:$C$500,$A26,'LANÇAMENTOS DIÁRIOS'!$O$5:$O$500,"&lt;=99399",'LANÇAMENTOS DIÁRIOS'!$P$5:$P$500,"&gt;=99300")&gt;0,"X","")</f>
      </c>
      <c r="AE26" s="56" t="str">
        <f>IF(COUNTIFS('LANÇAMENTOS DIÁRIOS'!$G$5:$G$500,"C",'LANÇAMENTOS DIÁRIOS'!$C$5:$C$500,$A26,'LANÇAMENTOS DIÁRIOS'!$O$5:$O$500,"&lt;=99499",'LANÇAMENTOS DIÁRIOS'!$P$5:$P$500,"&gt;=99400")&gt;0,"X","")</f>
      </c>
      <c r="AF26" s="56" t="str">
        <f>IF(COUNTIFS('LANÇAMENTOS DIÁRIOS'!$G$5:$G$500,"C",'LANÇAMENTOS DIÁRIOS'!$C$5:$C$500,$A26,'LANÇAMENTOS DIÁRIOS'!$O$5:$O$500,"&lt;=99599",'LANÇAMENTOS DIÁRIOS'!$P$5:$P$500,"&gt;=99500")&gt;0,"X","")</f>
      </c>
      <c r="AG26" s="56" t="str">
        <f>IF(COUNTIFS('LANÇAMENTOS DIÁRIOS'!$G$5:$G$500,"C",'LANÇAMENTOS DIÁRIOS'!$C$5:$C$500,$A26,'LANÇAMENTOS DIÁRIOS'!$O$5:$O$500,"&lt;=99699",'LANÇAMENTOS DIÁRIOS'!$P$5:$P$500,"&gt;=99600")&gt;0,"X","")</f>
      </c>
      <c r="AH26" s="56" t="str">
        <f>IF(COUNTIFS('LANÇAMENTOS DIÁRIOS'!$G$5:$G$500,"C",'LANÇAMENTOS DIÁRIOS'!$C$5:$C$500,$A26,'LANÇAMENTOS DIÁRIOS'!$O$5:$O$500,"&lt;=99799",'LANÇAMENTOS DIÁRIOS'!$P$5:$P$500,"&gt;=99700")&gt;0,"X","")</f>
      </c>
      <c r="AI26" s="56" t="str">
        <f>IF(COUNTIFS('LANÇAMENTOS DIÁRIOS'!$G$5:$G$500,"C",'LANÇAMENTOS DIÁRIOS'!$C$5:$C$500,$A26,'LANÇAMENTOS DIÁRIOS'!$O$5:$O$500,"&lt;=99899",'LANÇAMENTOS DIÁRIOS'!$P$5:$P$500,"&gt;=99800")&gt;0,"X","")</f>
      </c>
      <c r="AJ26" s="56" t="str">
        <f>IF(COUNTIFS('LANÇAMENTOS DIÁRIOS'!$G$5:$G$500,"C",'LANÇAMENTOS DIÁRIOS'!$C$5:$C$500,$A26,'LANÇAMENTOS DIÁRIOS'!$O$5:$O$500,"&lt;=99999",'LANÇAMENTOS DIÁRIOS'!$P$5:$P$500,"&gt;=99900")&gt;0,"X","")</f>
      </c>
      <c r="AK26" s="56" t="str">
        <f>IF(COUNTIFS('LANÇAMENTOS DIÁRIOS'!$G$5:$G$500,"C",'LANÇAMENTOS DIÁRIOS'!$C$5:$C$500,$A26,'LANÇAMENTOS DIÁRIOS'!$O$5:$O$500,"&lt;=100099",'LANÇAMENTOS DIÁRIOS'!$P$5:$P$500,"&gt;=100000")&gt;0,"X","")</f>
      </c>
      <c r="AL26" s="56" t="str">
        <f>IF(COUNTIFS('LANÇAMENTOS DIÁRIOS'!$G$5:$G$500,"C",'LANÇAMENTOS DIÁRIOS'!$C$5:$C$500,$A26,'LANÇAMENTOS DIÁRIOS'!$O$5:$O$500,"&lt;=100199",'LANÇAMENTOS DIÁRIOS'!$P$5:$P$500,"&gt;=100100")&gt;0,"X","")</f>
      </c>
      <c r="AM26" s="56" t="str">
        <f>IF(COUNTIFS('LANÇAMENTOS DIÁRIOS'!$G$5:$G$500,"C",'LANÇAMENTOS DIÁRIOS'!$C$5:$C$500,$A26,'LANÇAMENTOS DIÁRIOS'!$O$5:$O$500,"&lt;=100299",'LANÇAMENTOS DIÁRIOS'!$P$5:$P$500,"&gt;=100200")&gt;0,"X","")</f>
      </c>
      <c r="AN26" s="56" t="str">
        <f>IF(COUNTIFS('LANÇAMENTOS DIÁRIOS'!$G$5:$G$500,"C",'LANÇAMENTOS DIÁRIOS'!$C$5:$C$500,$A26,'LANÇAMENTOS DIÁRIOS'!$O$5:$O$500,"&lt;=100399",'LANÇAMENTOS DIÁRIOS'!$P$5:$P$500,"&gt;=100300")&gt;0,"X","")</f>
      </c>
      <c r="AO26" s="56" t="str">
        <f>IF(COUNTIFS('LANÇAMENTOS DIÁRIOS'!$G$5:$G$500,"C",'LANÇAMENTOS DIÁRIOS'!$C$5:$C$500,$A26,'LANÇAMENTOS DIÁRIOS'!$O$5:$O$500,"&lt;=100499",'LANÇAMENTOS DIÁRIOS'!$P$5:$P$500,"&gt;=100400")&gt;0,"X","")</f>
      </c>
      <c r="AP26" s="56" t="str">
        <f>IF(COUNTIFS('LANÇAMENTOS DIÁRIOS'!$G$5:$G$500,"C",'LANÇAMENTOS DIÁRIOS'!$C$5:$C$500,$A26,'LANÇAMENTOS DIÁRIOS'!$O$5:$O$500,"&lt;=100500",'LANÇAMENTOS DIÁRIOS'!$P$5:$P$500,"&gt;=100500")&gt;0,"X","")</f>
      </c>
    </row>
    <row r="27">
      <c r="A27" s="51" t="str">
        <v>Destocamento de árvore 0,10m&lt;d&lt;0,30m</v>
      </c>
      <c r="B27" s="56" t="str">
        <f>IF(COUNTIFS('LANÇAMENTOS DIÁRIOS'!$G$5:$G$500,"C",'LANÇAMENTOS DIÁRIOS'!$C$5:$C$500,$A27,'LANÇAMENTOS DIÁRIOS'!$O$5:$O$500,"&lt;=96599",'LANÇAMENTOS DIÁRIOS'!$P$5:$P$500,"&gt;=96500")&gt;0,"X","")</f>
      </c>
      <c r="C27" s="56" t="str">
        <f>IF(COUNTIFS('LANÇAMENTOS DIÁRIOS'!$G$5:$G$500,"C",'LANÇAMENTOS DIÁRIOS'!$C$5:$C$500,$A27,'LANÇAMENTOS DIÁRIOS'!$O$5:$O$500,"&lt;=96699",'LANÇAMENTOS DIÁRIOS'!$P$5:$P$500,"&gt;=96600")&gt;0,"X","")</f>
      </c>
      <c r="D27" s="56" t="str">
        <f>IF(COUNTIFS('LANÇAMENTOS DIÁRIOS'!$G$5:$G$500,"C",'LANÇAMENTOS DIÁRIOS'!$C$5:$C$500,$A27,'LANÇAMENTOS DIÁRIOS'!$O$5:$O$500,"&lt;=96799",'LANÇAMENTOS DIÁRIOS'!$P$5:$P$500,"&gt;=96700")&gt;0,"X","")</f>
      </c>
      <c r="E27" s="56" t="str">
        <f>IF(COUNTIFS('LANÇAMENTOS DIÁRIOS'!$G$5:$G$500,"C",'LANÇAMENTOS DIÁRIOS'!$C$5:$C$500,$A27,'LANÇAMENTOS DIÁRIOS'!$O$5:$O$500,"&lt;=96899",'LANÇAMENTOS DIÁRIOS'!$P$5:$P$500,"&gt;=96800")&gt;0,"X","")</f>
      </c>
      <c r="F27" s="56" t="str">
        <f>IF(COUNTIFS('LANÇAMENTOS DIÁRIOS'!$G$5:$G$500,"C",'LANÇAMENTOS DIÁRIOS'!$C$5:$C$500,$A27,'LANÇAMENTOS DIÁRIOS'!$O$5:$O$500,"&lt;=96999",'LANÇAMENTOS DIÁRIOS'!$P$5:$P$500,"&gt;=96900")&gt;0,"X","")</f>
      </c>
      <c r="G27" s="56" t="str">
        <f>IF(COUNTIFS('LANÇAMENTOS DIÁRIOS'!$G$5:$G$500,"C",'LANÇAMENTOS DIÁRIOS'!$C$5:$C$500,$A27,'LANÇAMENTOS DIÁRIOS'!$O$5:$O$500,"&lt;=97099",'LANÇAMENTOS DIÁRIOS'!$P$5:$P$500,"&gt;=97000")&gt;0,"X","")</f>
      </c>
      <c r="H27" s="56" t="str">
        <f>IF(COUNTIFS('LANÇAMENTOS DIÁRIOS'!$G$5:$G$500,"C",'LANÇAMENTOS DIÁRIOS'!$C$5:$C$500,$A27,'LANÇAMENTOS DIÁRIOS'!$O$5:$O$500,"&lt;=97199",'LANÇAMENTOS DIÁRIOS'!$P$5:$P$500,"&gt;=97100")&gt;0,"X","")</f>
      </c>
      <c r="I27" s="56" t="str">
        <f>IF(COUNTIFS('LANÇAMENTOS DIÁRIOS'!$G$5:$G$500,"C",'LANÇAMENTOS DIÁRIOS'!$C$5:$C$500,$A27,'LANÇAMENTOS DIÁRIOS'!$O$5:$O$500,"&lt;=97299",'LANÇAMENTOS DIÁRIOS'!$P$5:$P$500,"&gt;=97200")&gt;0,"X","")</f>
      </c>
      <c r="J27" s="56" t="str">
        <f>IF(COUNTIFS('LANÇAMENTOS DIÁRIOS'!$G$5:$G$500,"C",'LANÇAMENTOS DIÁRIOS'!$C$5:$C$500,$A27,'LANÇAMENTOS DIÁRIOS'!$O$5:$O$500,"&lt;=97399",'LANÇAMENTOS DIÁRIOS'!$P$5:$P$500,"&gt;=97300")&gt;0,"X","")</f>
      </c>
      <c r="K27" s="56" t="str">
        <f>IF(COUNTIFS('LANÇAMENTOS DIÁRIOS'!$G$5:$G$500,"C",'LANÇAMENTOS DIÁRIOS'!$C$5:$C$500,$A27,'LANÇAMENTOS DIÁRIOS'!$O$5:$O$500,"&lt;=97499",'LANÇAMENTOS DIÁRIOS'!$P$5:$P$500,"&gt;=97400")&gt;0,"X","")</f>
      </c>
      <c r="L27" s="56" t="str">
        <f>IF(COUNTIFS('LANÇAMENTOS DIÁRIOS'!$G$5:$G$500,"C",'LANÇAMENTOS DIÁRIOS'!$C$5:$C$500,$A27,'LANÇAMENTOS DIÁRIOS'!$O$5:$O$500,"&lt;=97599",'LANÇAMENTOS DIÁRIOS'!$P$5:$P$500,"&gt;=97500")&gt;0,"X","")</f>
      </c>
      <c r="M27" s="56" t="str">
        <f>IF(COUNTIFS('LANÇAMENTOS DIÁRIOS'!$G$5:$G$500,"C",'LANÇAMENTOS DIÁRIOS'!$C$5:$C$500,$A27,'LANÇAMENTOS DIÁRIOS'!$O$5:$O$500,"&lt;=97699",'LANÇAMENTOS DIÁRIOS'!$P$5:$P$500,"&gt;=97600")&gt;0,"X","")</f>
      </c>
      <c r="N27" s="56" t="str">
        <f>IF(COUNTIFS('LANÇAMENTOS DIÁRIOS'!$G$5:$G$500,"C",'LANÇAMENTOS DIÁRIOS'!$C$5:$C$500,$A27,'LANÇAMENTOS DIÁRIOS'!$O$5:$O$500,"&lt;=97799",'LANÇAMENTOS DIÁRIOS'!$P$5:$P$500,"&gt;=97700")&gt;0,"X","")</f>
      </c>
      <c r="O27" s="56" t="str">
        <f>IF(COUNTIFS('LANÇAMENTOS DIÁRIOS'!$G$5:$G$500,"C",'LANÇAMENTOS DIÁRIOS'!$C$5:$C$500,$A27,'LANÇAMENTOS DIÁRIOS'!$O$5:$O$500,"&lt;=97899",'LANÇAMENTOS DIÁRIOS'!$P$5:$P$500,"&gt;=97800")&gt;0,"X","")</f>
      </c>
      <c r="P27" s="56" t="str">
        <f>IF(COUNTIFS('LANÇAMENTOS DIÁRIOS'!$G$5:$G$500,"C",'LANÇAMENTOS DIÁRIOS'!$C$5:$C$500,$A27,'LANÇAMENTOS DIÁRIOS'!$O$5:$O$500,"&lt;=97999",'LANÇAMENTOS DIÁRIOS'!$P$5:$P$500,"&gt;=97900")&gt;0,"X","")</f>
      </c>
      <c r="Q27" s="56" t="str">
        <f>IF(COUNTIFS('LANÇAMENTOS DIÁRIOS'!$G$5:$G$500,"C",'LANÇAMENTOS DIÁRIOS'!$C$5:$C$500,$A27,'LANÇAMENTOS DIÁRIOS'!$O$5:$O$500,"&lt;=98099",'LANÇAMENTOS DIÁRIOS'!$P$5:$P$500,"&gt;=98000")&gt;0,"X","")</f>
      </c>
      <c r="R27" s="56" t="str">
        <f>IF(COUNTIFS('LANÇAMENTOS DIÁRIOS'!$G$5:$G$500,"C",'LANÇAMENTOS DIÁRIOS'!$C$5:$C$500,$A27,'LANÇAMENTOS DIÁRIOS'!$O$5:$O$500,"&lt;=98199",'LANÇAMENTOS DIÁRIOS'!$P$5:$P$500,"&gt;=98100")&gt;0,"X","")</f>
      </c>
      <c r="S27" s="56" t="str">
        <f>IF(COUNTIFS('LANÇAMENTOS DIÁRIOS'!$G$5:$G$500,"C",'LANÇAMENTOS DIÁRIOS'!$C$5:$C$500,$A27,'LANÇAMENTOS DIÁRIOS'!$O$5:$O$500,"&lt;=98299",'LANÇAMENTOS DIÁRIOS'!$P$5:$P$500,"&gt;=98200")&gt;0,"X","")</f>
      </c>
      <c r="T27" s="56" t="str">
        <f>IF(COUNTIFS('LANÇAMENTOS DIÁRIOS'!$G$5:$G$500,"C",'LANÇAMENTOS DIÁRIOS'!$C$5:$C$500,$A27,'LANÇAMENTOS DIÁRIOS'!$O$5:$O$500,"&lt;=98399",'LANÇAMENTOS DIÁRIOS'!$P$5:$P$500,"&gt;=98300")&gt;0,"X","")</f>
      </c>
      <c r="U27" s="56" t="str">
        <f>IF(COUNTIFS('LANÇAMENTOS DIÁRIOS'!$G$5:$G$500,"C",'LANÇAMENTOS DIÁRIOS'!$C$5:$C$500,$A27,'LANÇAMENTOS DIÁRIOS'!$O$5:$O$500,"&lt;=98499",'LANÇAMENTOS DIÁRIOS'!$P$5:$P$500,"&gt;=98400")&gt;0,"X","")</f>
      </c>
      <c r="V27" s="56" t="str">
        <f>IF(COUNTIFS('LANÇAMENTOS DIÁRIOS'!$G$5:$G$500,"C",'LANÇAMENTOS DIÁRIOS'!$C$5:$C$500,$A27,'LANÇAMENTOS DIÁRIOS'!$O$5:$O$500,"&lt;=98599",'LANÇAMENTOS DIÁRIOS'!$P$5:$P$500,"&gt;=98500")&gt;0,"X","")</f>
      </c>
      <c r="W27" s="56" t="str">
        <f>IF(COUNTIFS('LANÇAMENTOS DIÁRIOS'!$G$5:$G$500,"C",'LANÇAMENTOS DIÁRIOS'!$C$5:$C$500,$A27,'LANÇAMENTOS DIÁRIOS'!$O$5:$O$500,"&lt;=98699",'LANÇAMENTOS DIÁRIOS'!$P$5:$P$500,"&gt;=98600")&gt;0,"X","")</f>
      </c>
      <c r="X27" s="56" t="str">
        <f>IF(COUNTIFS('LANÇAMENTOS DIÁRIOS'!$G$5:$G$500,"C",'LANÇAMENTOS DIÁRIOS'!$C$5:$C$500,$A27,'LANÇAMENTOS DIÁRIOS'!$O$5:$O$500,"&lt;=98799",'LANÇAMENTOS DIÁRIOS'!$P$5:$P$500,"&gt;=98700")&gt;0,"X","")</f>
      </c>
      <c r="Y27" s="56" t="str">
        <f>IF(COUNTIFS('LANÇAMENTOS DIÁRIOS'!$G$5:$G$500,"C",'LANÇAMENTOS DIÁRIOS'!$C$5:$C$500,$A27,'LANÇAMENTOS DIÁRIOS'!$O$5:$O$500,"&lt;=98899",'LANÇAMENTOS DIÁRIOS'!$P$5:$P$500,"&gt;=98800")&gt;0,"X","")</f>
      </c>
      <c r="Z27" s="56" t="str">
        <f>IF(COUNTIFS('LANÇAMENTOS DIÁRIOS'!$G$5:$G$500,"C",'LANÇAMENTOS DIÁRIOS'!$C$5:$C$500,$A27,'LANÇAMENTOS DIÁRIOS'!$O$5:$O$500,"&lt;=98999",'LANÇAMENTOS DIÁRIOS'!$P$5:$P$500,"&gt;=98900")&gt;0,"X","")</f>
      </c>
      <c r="AA27" s="56" t="str">
        <f>IF(COUNTIFS('LANÇAMENTOS DIÁRIOS'!$G$5:$G$500,"C",'LANÇAMENTOS DIÁRIOS'!$C$5:$C$500,$A27,'LANÇAMENTOS DIÁRIOS'!$O$5:$O$500,"&lt;=99099",'LANÇAMENTOS DIÁRIOS'!$P$5:$P$500,"&gt;=99000")&gt;0,"X","")</f>
      </c>
      <c r="AB27" s="56" t="str">
        <f>IF(COUNTIFS('LANÇAMENTOS DIÁRIOS'!$G$5:$G$500,"C",'LANÇAMENTOS DIÁRIOS'!$C$5:$C$500,$A27,'LANÇAMENTOS DIÁRIOS'!$O$5:$O$500,"&lt;=99199",'LANÇAMENTOS DIÁRIOS'!$P$5:$P$500,"&gt;=99100")&gt;0,"X","")</f>
      </c>
      <c r="AC27" s="56" t="str">
        <f>IF(COUNTIFS('LANÇAMENTOS DIÁRIOS'!$G$5:$G$500,"C",'LANÇAMENTOS DIÁRIOS'!$C$5:$C$500,$A27,'LANÇAMENTOS DIÁRIOS'!$O$5:$O$500,"&lt;=99299",'LANÇAMENTOS DIÁRIOS'!$P$5:$P$500,"&gt;=99200")&gt;0,"X","")</f>
      </c>
      <c r="AD27" s="56" t="str">
        <f>IF(COUNTIFS('LANÇAMENTOS DIÁRIOS'!$G$5:$G$500,"C",'LANÇAMENTOS DIÁRIOS'!$C$5:$C$500,$A27,'LANÇAMENTOS DIÁRIOS'!$O$5:$O$500,"&lt;=99399",'LANÇAMENTOS DIÁRIOS'!$P$5:$P$500,"&gt;=99300")&gt;0,"X","")</f>
      </c>
      <c r="AE27" s="56" t="str">
        <f>IF(COUNTIFS('LANÇAMENTOS DIÁRIOS'!$G$5:$G$500,"C",'LANÇAMENTOS DIÁRIOS'!$C$5:$C$500,$A27,'LANÇAMENTOS DIÁRIOS'!$O$5:$O$500,"&lt;=99499",'LANÇAMENTOS DIÁRIOS'!$P$5:$P$500,"&gt;=99400")&gt;0,"X","")</f>
      </c>
      <c r="AF27" s="56" t="str">
        <f>IF(COUNTIFS('LANÇAMENTOS DIÁRIOS'!$G$5:$G$500,"C",'LANÇAMENTOS DIÁRIOS'!$C$5:$C$500,$A27,'LANÇAMENTOS DIÁRIOS'!$O$5:$O$500,"&lt;=99599",'LANÇAMENTOS DIÁRIOS'!$P$5:$P$500,"&gt;=99500")&gt;0,"X","")</f>
      </c>
      <c r="AG27" s="56" t="str">
        <f>IF(COUNTIFS('LANÇAMENTOS DIÁRIOS'!$G$5:$G$500,"C",'LANÇAMENTOS DIÁRIOS'!$C$5:$C$500,$A27,'LANÇAMENTOS DIÁRIOS'!$O$5:$O$500,"&lt;=99699",'LANÇAMENTOS DIÁRIOS'!$P$5:$P$500,"&gt;=99600")&gt;0,"X","")</f>
      </c>
      <c r="AH27" s="56" t="str">
        <f>IF(COUNTIFS('LANÇAMENTOS DIÁRIOS'!$G$5:$G$500,"C",'LANÇAMENTOS DIÁRIOS'!$C$5:$C$500,$A27,'LANÇAMENTOS DIÁRIOS'!$O$5:$O$500,"&lt;=99799",'LANÇAMENTOS DIÁRIOS'!$P$5:$P$500,"&gt;=99700")&gt;0,"X","")</f>
      </c>
      <c r="AI27" s="56" t="str">
        <f>IF(COUNTIFS('LANÇAMENTOS DIÁRIOS'!$G$5:$G$500,"C",'LANÇAMENTOS DIÁRIOS'!$C$5:$C$500,$A27,'LANÇAMENTOS DIÁRIOS'!$O$5:$O$500,"&lt;=99899",'LANÇAMENTOS DIÁRIOS'!$P$5:$P$500,"&gt;=99800")&gt;0,"X","")</f>
      </c>
      <c r="AJ27" s="56" t="str">
        <f>IF(COUNTIFS('LANÇAMENTOS DIÁRIOS'!$G$5:$G$500,"C",'LANÇAMENTOS DIÁRIOS'!$C$5:$C$500,$A27,'LANÇAMENTOS DIÁRIOS'!$O$5:$O$500,"&lt;=99999",'LANÇAMENTOS DIÁRIOS'!$P$5:$P$500,"&gt;=99900")&gt;0,"X","")</f>
      </c>
      <c r="AK27" s="56" t="str">
        <f>IF(COUNTIFS('LANÇAMENTOS DIÁRIOS'!$G$5:$G$500,"C",'LANÇAMENTOS DIÁRIOS'!$C$5:$C$500,$A27,'LANÇAMENTOS DIÁRIOS'!$O$5:$O$500,"&lt;=100099",'LANÇAMENTOS DIÁRIOS'!$P$5:$P$500,"&gt;=100000")&gt;0,"X","")</f>
      </c>
      <c r="AL27" s="56" t="str">
        <f>IF(COUNTIFS('LANÇAMENTOS DIÁRIOS'!$G$5:$G$500,"C",'LANÇAMENTOS DIÁRIOS'!$C$5:$C$500,$A27,'LANÇAMENTOS DIÁRIOS'!$O$5:$O$500,"&lt;=100199",'LANÇAMENTOS DIÁRIOS'!$P$5:$P$500,"&gt;=100100")&gt;0,"X","")</f>
      </c>
      <c r="AM27" s="56" t="str">
        <f>IF(COUNTIFS('LANÇAMENTOS DIÁRIOS'!$G$5:$G$500,"C",'LANÇAMENTOS DIÁRIOS'!$C$5:$C$500,$A27,'LANÇAMENTOS DIÁRIOS'!$O$5:$O$500,"&lt;=100299",'LANÇAMENTOS DIÁRIOS'!$P$5:$P$500,"&gt;=100200")&gt;0,"X","")</f>
      </c>
      <c r="AN27" s="56" t="str">
        <f>IF(COUNTIFS('LANÇAMENTOS DIÁRIOS'!$G$5:$G$500,"C",'LANÇAMENTOS DIÁRIOS'!$C$5:$C$500,$A27,'LANÇAMENTOS DIÁRIOS'!$O$5:$O$500,"&lt;=100399",'LANÇAMENTOS DIÁRIOS'!$P$5:$P$500,"&gt;=100300")&gt;0,"X","")</f>
      </c>
      <c r="AO27" s="56" t="str">
        <f>IF(COUNTIFS('LANÇAMENTOS DIÁRIOS'!$G$5:$G$500,"C",'LANÇAMENTOS DIÁRIOS'!$C$5:$C$500,$A27,'LANÇAMENTOS DIÁRIOS'!$O$5:$O$500,"&lt;=100499",'LANÇAMENTOS DIÁRIOS'!$P$5:$P$500,"&gt;=100400")&gt;0,"X","")</f>
      </c>
      <c r="AP27" s="56" t="str">
        <f>IF(COUNTIFS('LANÇAMENTOS DIÁRIOS'!$G$5:$G$500,"C",'LANÇAMENTOS DIÁRIOS'!$C$5:$C$500,$A27,'LANÇAMENTOS DIÁRIOS'!$O$5:$O$500,"&lt;=100500",'LANÇAMENTOS DIÁRIOS'!$P$5:$P$500,"&gt;=100500")&gt;0,"X","")</f>
      </c>
    </row>
    <row r="28">
      <c r="A28" s="51" t="str">
        <v>Destocamento de árvore d&gt;0,30m</v>
      </c>
      <c r="B28" s="56" t="str">
        <f>IF(COUNTIFS('LANÇAMENTOS DIÁRIOS'!$G$5:$G$500,"C",'LANÇAMENTOS DIÁRIOS'!$C$5:$C$500,$A28,'LANÇAMENTOS DIÁRIOS'!$O$5:$O$500,"&lt;=96599",'LANÇAMENTOS DIÁRIOS'!$P$5:$P$500,"&gt;=96500")&gt;0,"X","")</f>
      </c>
      <c r="C28" s="56" t="str">
        <f>IF(COUNTIFS('LANÇAMENTOS DIÁRIOS'!$G$5:$G$500,"C",'LANÇAMENTOS DIÁRIOS'!$C$5:$C$500,$A28,'LANÇAMENTOS DIÁRIOS'!$O$5:$O$500,"&lt;=96699",'LANÇAMENTOS DIÁRIOS'!$P$5:$P$500,"&gt;=96600")&gt;0,"X","")</f>
      </c>
      <c r="D28" s="56" t="str">
        <f>IF(COUNTIFS('LANÇAMENTOS DIÁRIOS'!$G$5:$G$500,"C",'LANÇAMENTOS DIÁRIOS'!$C$5:$C$500,$A28,'LANÇAMENTOS DIÁRIOS'!$O$5:$O$500,"&lt;=96799",'LANÇAMENTOS DIÁRIOS'!$P$5:$P$500,"&gt;=96700")&gt;0,"X","")</f>
      </c>
      <c r="E28" s="56" t="str">
        <f>IF(COUNTIFS('LANÇAMENTOS DIÁRIOS'!$G$5:$G$500,"C",'LANÇAMENTOS DIÁRIOS'!$C$5:$C$500,$A28,'LANÇAMENTOS DIÁRIOS'!$O$5:$O$500,"&lt;=96899",'LANÇAMENTOS DIÁRIOS'!$P$5:$P$500,"&gt;=96800")&gt;0,"X","")</f>
      </c>
      <c r="F28" s="56" t="str">
        <f>IF(COUNTIFS('LANÇAMENTOS DIÁRIOS'!$G$5:$G$500,"C",'LANÇAMENTOS DIÁRIOS'!$C$5:$C$500,$A28,'LANÇAMENTOS DIÁRIOS'!$O$5:$O$500,"&lt;=96999",'LANÇAMENTOS DIÁRIOS'!$P$5:$P$500,"&gt;=96900")&gt;0,"X","")</f>
      </c>
      <c r="G28" s="56" t="str">
        <f>IF(COUNTIFS('LANÇAMENTOS DIÁRIOS'!$G$5:$G$500,"C",'LANÇAMENTOS DIÁRIOS'!$C$5:$C$500,$A28,'LANÇAMENTOS DIÁRIOS'!$O$5:$O$500,"&lt;=97099",'LANÇAMENTOS DIÁRIOS'!$P$5:$P$500,"&gt;=97000")&gt;0,"X","")</f>
      </c>
      <c r="H28" s="56" t="str">
        <f>IF(COUNTIFS('LANÇAMENTOS DIÁRIOS'!$G$5:$G$500,"C",'LANÇAMENTOS DIÁRIOS'!$C$5:$C$500,$A28,'LANÇAMENTOS DIÁRIOS'!$O$5:$O$500,"&lt;=97199",'LANÇAMENTOS DIÁRIOS'!$P$5:$P$500,"&gt;=97100")&gt;0,"X","")</f>
      </c>
      <c r="I28" s="56" t="str">
        <f>IF(COUNTIFS('LANÇAMENTOS DIÁRIOS'!$G$5:$G$500,"C",'LANÇAMENTOS DIÁRIOS'!$C$5:$C$500,$A28,'LANÇAMENTOS DIÁRIOS'!$O$5:$O$500,"&lt;=97299",'LANÇAMENTOS DIÁRIOS'!$P$5:$P$500,"&gt;=97200")&gt;0,"X","")</f>
      </c>
      <c r="J28" s="56" t="str">
        <f>IF(COUNTIFS('LANÇAMENTOS DIÁRIOS'!$G$5:$G$500,"C",'LANÇAMENTOS DIÁRIOS'!$C$5:$C$500,$A28,'LANÇAMENTOS DIÁRIOS'!$O$5:$O$500,"&lt;=97399",'LANÇAMENTOS DIÁRIOS'!$P$5:$P$500,"&gt;=97300")&gt;0,"X","")</f>
      </c>
      <c r="K28" s="56" t="str">
        <f>IF(COUNTIFS('LANÇAMENTOS DIÁRIOS'!$G$5:$G$500,"C",'LANÇAMENTOS DIÁRIOS'!$C$5:$C$500,$A28,'LANÇAMENTOS DIÁRIOS'!$O$5:$O$500,"&lt;=97499",'LANÇAMENTOS DIÁRIOS'!$P$5:$P$500,"&gt;=97400")&gt;0,"X","")</f>
      </c>
      <c r="L28" s="56" t="str">
        <f>IF(COUNTIFS('LANÇAMENTOS DIÁRIOS'!$G$5:$G$500,"C",'LANÇAMENTOS DIÁRIOS'!$C$5:$C$500,$A28,'LANÇAMENTOS DIÁRIOS'!$O$5:$O$500,"&lt;=97599",'LANÇAMENTOS DIÁRIOS'!$P$5:$P$500,"&gt;=97500")&gt;0,"X","")</f>
      </c>
      <c r="M28" s="56" t="str">
        <f>IF(COUNTIFS('LANÇAMENTOS DIÁRIOS'!$G$5:$G$500,"C",'LANÇAMENTOS DIÁRIOS'!$C$5:$C$500,$A28,'LANÇAMENTOS DIÁRIOS'!$O$5:$O$500,"&lt;=97699",'LANÇAMENTOS DIÁRIOS'!$P$5:$P$500,"&gt;=97600")&gt;0,"X","")</f>
      </c>
      <c r="N28" s="56" t="str">
        <f>IF(COUNTIFS('LANÇAMENTOS DIÁRIOS'!$G$5:$G$500,"C",'LANÇAMENTOS DIÁRIOS'!$C$5:$C$500,$A28,'LANÇAMENTOS DIÁRIOS'!$O$5:$O$500,"&lt;=97799",'LANÇAMENTOS DIÁRIOS'!$P$5:$P$500,"&gt;=97700")&gt;0,"X","")</f>
      </c>
      <c r="O28" s="56" t="str">
        <f>IF(COUNTIFS('LANÇAMENTOS DIÁRIOS'!$G$5:$G$500,"C",'LANÇAMENTOS DIÁRIOS'!$C$5:$C$500,$A28,'LANÇAMENTOS DIÁRIOS'!$O$5:$O$500,"&lt;=97899",'LANÇAMENTOS DIÁRIOS'!$P$5:$P$500,"&gt;=97800")&gt;0,"X","")</f>
      </c>
      <c r="P28" s="56" t="str">
        <f>IF(COUNTIFS('LANÇAMENTOS DIÁRIOS'!$G$5:$G$500,"C",'LANÇAMENTOS DIÁRIOS'!$C$5:$C$500,$A28,'LANÇAMENTOS DIÁRIOS'!$O$5:$O$500,"&lt;=97999",'LANÇAMENTOS DIÁRIOS'!$P$5:$P$500,"&gt;=97900")&gt;0,"X","")</f>
      </c>
      <c r="Q28" s="56" t="str">
        <f>IF(COUNTIFS('LANÇAMENTOS DIÁRIOS'!$G$5:$G$500,"C",'LANÇAMENTOS DIÁRIOS'!$C$5:$C$500,$A28,'LANÇAMENTOS DIÁRIOS'!$O$5:$O$500,"&lt;=98099",'LANÇAMENTOS DIÁRIOS'!$P$5:$P$500,"&gt;=98000")&gt;0,"X","")</f>
      </c>
      <c r="R28" s="56" t="str">
        <f>IF(COUNTIFS('LANÇAMENTOS DIÁRIOS'!$G$5:$G$500,"C",'LANÇAMENTOS DIÁRIOS'!$C$5:$C$500,$A28,'LANÇAMENTOS DIÁRIOS'!$O$5:$O$500,"&lt;=98199",'LANÇAMENTOS DIÁRIOS'!$P$5:$P$500,"&gt;=98100")&gt;0,"X","")</f>
      </c>
      <c r="S28" s="56" t="str">
        <f>IF(COUNTIFS('LANÇAMENTOS DIÁRIOS'!$G$5:$G$500,"C",'LANÇAMENTOS DIÁRIOS'!$C$5:$C$500,$A28,'LANÇAMENTOS DIÁRIOS'!$O$5:$O$500,"&lt;=98299",'LANÇAMENTOS DIÁRIOS'!$P$5:$P$500,"&gt;=98200")&gt;0,"X","")</f>
      </c>
      <c r="T28" s="56" t="str">
        <f>IF(COUNTIFS('LANÇAMENTOS DIÁRIOS'!$G$5:$G$500,"C",'LANÇAMENTOS DIÁRIOS'!$C$5:$C$500,$A28,'LANÇAMENTOS DIÁRIOS'!$O$5:$O$500,"&lt;=98399",'LANÇAMENTOS DIÁRIOS'!$P$5:$P$500,"&gt;=98300")&gt;0,"X","")</f>
      </c>
      <c r="U28" s="56" t="str">
        <f>IF(COUNTIFS('LANÇAMENTOS DIÁRIOS'!$G$5:$G$500,"C",'LANÇAMENTOS DIÁRIOS'!$C$5:$C$500,$A28,'LANÇAMENTOS DIÁRIOS'!$O$5:$O$500,"&lt;=98499",'LANÇAMENTOS DIÁRIOS'!$P$5:$P$500,"&gt;=98400")&gt;0,"X","")</f>
      </c>
      <c r="V28" s="56" t="str">
        <f>IF(COUNTIFS('LANÇAMENTOS DIÁRIOS'!$G$5:$G$500,"C",'LANÇAMENTOS DIÁRIOS'!$C$5:$C$500,$A28,'LANÇAMENTOS DIÁRIOS'!$O$5:$O$500,"&lt;=98599",'LANÇAMENTOS DIÁRIOS'!$P$5:$P$500,"&gt;=98500")&gt;0,"X","")</f>
      </c>
      <c r="W28" s="56" t="str">
        <f>IF(COUNTIFS('LANÇAMENTOS DIÁRIOS'!$G$5:$G$500,"C",'LANÇAMENTOS DIÁRIOS'!$C$5:$C$500,$A28,'LANÇAMENTOS DIÁRIOS'!$O$5:$O$500,"&lt;=98699",'LANÇAMENTOS DIÁRIOS'!$P$5:$P$500,"&gt;=98600")&gt;0,"X","")</f>
      </c>
      <c r="X28" s="56" t="str">
        <f>IF(COUNTIFS('LANÇAMENTOS DIÁRIOS'!$G$5:$G$500,"C",'LANÇAMENTOS DIÁRIOS'!$C$5:$C$500,$A28,'LANÇAMENTOS DIÁRIOS'!$O$5:$O$500,"&lt;=98799",'LANÇAMENTOS DIÁRIOS'!$P$5:$P$500,"&gt;=98700")&gt;0,"X","")</f>
      </c>
      <c r="Y28" s="56" t="str">
        <f>IF(COUNTIFS('LANÇAMENTOS DIÁRIOS'!$G$5:$G$500,"C",'LANÇAMENTOS DIÁRIOS'!$C$5:$C$500,$A28,'LANÇAMENTOS DIÁRIOS'!$O$5:$O$500,"&lt;=98899",'LANÇAMENTOS DIÁRIOS'!$P$5:$P$500,"&gt;=98800")&gt;0,"X","")</f>
      </c>
      <c r="Z28" s="56" t="str">
        <f>IF(COUNTIFS('LANÇAMENTOS DIÁRIOS'!$G$5:$G$500,"C",'LANÇAMENTOS DIÁRIOS'!$C$5:$C$500,$A28,'LANÇAMENTOS DIÁRIOS'!$O$5:$O$500,"&lt;=98999",'LANÇAMENTOS DIÁRIOS'!$P$5:$P$500,"&gt;=98900")&gt;0,"X","")</f>
      </c>
      <c r="AA28" s="56" t="str">
        <f>IF(COUNTIFS('LANÇAMENTOS DIÁRIOS'!$G$5:$G$500,"C",'LANÇAMENTOS DIÁRIOS'!$C$5:$C$500,$A28,'LANÇAMENTOS DIÁRIOS'!$O$5:$O$500,"&lt;=99099",'LANÇAMENTOS DIÁRIOS'!$P$5:$P$500,"&gt;=99000")&gt;0,"X","")</f>
      </c>
      <c r="AB28" s="56" t="str">
        <f>IF(COUNTIFS('LANÇAMENTOS DIÁRIOS'!$G$5:$G$500,"C",'LANÇAMENTOS DIÁRIOS'!$C$5:$C$500,$A28,'LANÇAMENTOS DIÁRIOS'!$O$5:$O$500,"&lt;=99199",'LANÇAMENTOS DIÁRIOS'!$P$5:$P$500,"&gt;=99100")&gt;0,"X","")</f>
      </c>
      <c r="AC28" s="56" t="str">
        <f>IF(COUNTIFS('LANÇAMENTOS DIÁRIOS'!$G$5:$G$500,"C",'LANÇAMENTOS DIÁRIOS'!$C$5:$C$500,$A28,'LANÇAMENTOS DIÁRIOS'!$O$5:$O$500,"&lt;=99299",'LANÇAMENTOS DIÁRIOS'!$P$5:$P$500,"&gt;=99200")&gt;0,"X","")</f>
      </c>
      <c r="AD28" s="56" t="str">
        <f>IF(COUNTIFS('LANÇAMENTOS DIÁRIOS'!$G$5:$G$500,"C",'LANÇAMENTOS DIÁRIOS'!$C$5:$C$500,$A28,'LANÇAMENTOS DIÁRIOS'!$O$5:$O$500,"&lt;=99399",'LANÇAMENTOS DIÁRIOS'!$P$5:$P$500,"&gt;=99300")&gt;0,"X","")</f>
      </c>
      <c r="AE28" s="56" t="str">
        <f>IF(COUNTIFS('LANÇAMENTOS DIÁRIOS'!$G$5:$G$500,"C",'LANÇAMENTOS DIÁRIOS'!$C$5:$C$500,$A28,'LANÇAMENTOS DIÁRIOS'!$O$5:$O$500,"&lt;=99499",'LANÇAMENTOS DIÁRIOS'!$P$5:$P$500,"&gt;=99400")&gt;0,"X","")</f>
      </c>
      <c r="AF28" s="56" t="str">
        <f>IF(COUNTIFS('LANÇAMENTOS DIÁRIOS'!$G$5:$G$500,"C",'LANÇAMENTOS DIÁRIOS'!$C$5:$C$500,$A28,'LANÇAMENTOS DIÁRIOS'!$O$5:$O$500,"&lt;=99599",'LANÇAMENTOS DIÁRIOS'!$P$5:$P$500,"&gt;=99500")&gt;0,"X","")</f>
      </c>
      <c r="AG28" s="56" t="str">
        <f>IF(COUNTIFS('LANÇAMENTOS DIÁRIOS'!$G$5:$G$500,"C",'LANÇAMENTOS DIÁRIOS'!$C$5:$C$500,$A28,'LANÇAMENTOS DIÁRIOS'!$O$5:$O$500,"&lt;=99699",'LANÇAMENTOS DIÁRIOS'!$P$5:$P$500,"&gt;=99600")&gt;0,"X","")</f>
      </c>
      <c r="AH28" s="56" t="str">
        <f>IF(COUNTIFS('LANÇAMENTOS DIÁRIOS'!$G$5:$G$500,"C",'LANÇAMENTOS DIÁRIOS'!$C$5:$C$500,$A28,'LANÇAMENTOS DIÁRIOS'!$O$5:$O$500,"&lt;=99799",'LANÇAMENTOS DIÁRIOS'!$P$5:$P$500,"&gt;=99700")&gt;0,"X","")</f>
      </c>
      <c r="AI28" s="56" t="str">
        <f>IF(COUNTIFS('LANÇAMENTOS DIÁRIOS'!$G$5:$G$500,"C",'LANÇAMENTOS DIÁRIOS'!$C$5:$C$500,$A28,'LANÇAMENTOS DIÁRIOS'!$O$5:$O$500,"&lt;=99899",'LANÇAMENTOS DIÁRIOS'!$P$5:$P$500,"&gt;=99800")&gt;0,"X","")</f>
      </c>
      <c r="AJ28" s="56" t="str">
        <f>IF(COUNTIFS('LANÇAMENTOS DIÁRIOS'!$G$5:$G$500,"C",'LANÇAMENTOS DIÁRIOS'!$C$5:$C$500,$A28,'LANÇAMENTOS DIÁRIOS'!$O$5:$O$500,"&lt;=99999",'LANÇAMENTOS DIÁRIOS'!$P$5:$P$500,"&gt;=99900")&gt;0,"X","")</f>
      </c>
      <c r="AK28" s="56" t="str">
        <f>IF(COUNTIFS('LANÇAMENTOS DIÁRIOS'!$G$5:$G$500,"C",'LANÇAMENTOS DIÁRIOS'!$C$5:$C$500,$A28,'LANÇAMENTOS DIÁRIOS'!$O$5:$O$500,"&lt;=100099",'LANÇAMENTOS DIÁRIOS'!$P$5:$P$500,"&gt;=100000")&gt;0,"X","")</f>
      </c>
      <c r="AL28" s="56" t="str">
        <f>IF(COUNTIFS('LANÇAMENTOS DIÁRIOS'!$G$5:$G$500,"C",'LANÇAMENTOS DIÁRIOS'!$C$5:$C$500,$A28,'LANÇAMENTOS DIÁRIOS'!$O$5:$O$500,"&lt;=100199",'LANÇAMENTOS DIÁRIOS'!$P$5:$P$500,"&gt;=100100")&gt;0,"X","")</f>
      </c>
      <c r="AM28" s="56" t="str">
        <f>IF(COUNTIFS('LANÇAMENTOS DIÁRIOS'!$G$5:$G$500,"C",'LANÇAMENTOS DIÁRIOS'!$C$5:$C$500,$A28,'LANÇAMENTOS DIÁRIOS'!$O$5:$O$500,"&lt;=100299",'LANÇAMENTOS DIÁRIOS'!$P$5:$P$500,"&gt;=100200")&gt;0,"X","")</f>
      </c>
      <c r="AN28" s="56" t="str">
        <f>IF(COUNTIFS('LANÇAMENTOS DIÁRIOS'!$G$5:$G$500,"C",'LANÇAMENTOS DIÁRIOS'!$C$5:$C$500,$A28,'LANÇAMENTOS DIÁRIOS'!$O$5:$O$500,"&lt;=100399",'LANÇAMENTOS DIÁRIOS'!$P$5:$P$500,"&gt;=100300")&gt;0,"X","")</f>
      </c>
      <c r="AO28" s="56" t="str">
        <f>IF(COUNTIFS('LANÇAMENTOS DIÁRIOS'!$G$5:$G$500,"C",'LANÇAMENTOS DIÁRIOS'!$C$5:$C$500,$A28,'LANÇAMENTOS DIÁRIOS'!$O$5:$O$500,"&lt;=100499",'LANÇAMENTOS DIÁRIOS'!$P$5:$P$500,"&gt;=100400")&gt;0,"X","")</f>
      </c>
      <c r="AP28" s="56" t="str">
        <f>IF(COUNTIFS('LANÇAMENTOS DIÁRIOS'!$G$5:$G$500,"C",'LANÇAMENTOS DIÁRIOS'!$C$5:$C$500,$A28,'LANÇAMENTOS DIÁRIOS'!$O$5:$O$500,"&lt;=100500",'LANÇAMENTOS DIÁRIOS'!$P$5:$P$500,"&gt;=100500")&gt;0,"X","")</f>
      </c>
    </row>
    <row r="29">
      <c r="A29" s="51" t="str">
        <v>Derrubada e destocamento arv. c/ diâmetro &gt; 0,15 m</v>
      </c>
      <c r="B29" s="56" t="str">
        <f>IF(COUNTIFS('LANÇAMENTOS DIÁRIOS'!$G$5:$G$500,"C",'LANÇAMENTOS DIÁRIOS'!$C$5:$C$500,$A29,'LANÇAMENTOS DIÁRIOS'!$O$5:$O$500,"&lt;=96599",'LANÇAMENTOS DIÁRIOS'!$P$5:$P$500,"&gt;=96500")&gt;0,"X","")</f>
      </c>
      <c r="C29" s="56" t="str">
        <f>IF(COUNTIFS('LANÇAMENTOS DIÁRIOS'!$G$5:$G$500,"C",'LANÇAMENTOS DIÁRIOS'!$C$5:$C$500,$A29,'LANÇAMENTOS DIÁRIOS'!$O$5:$O$500,"&lt;=96699",'LANÇAMENTOS DIÁRIOS'!$P$5:$P$500,"&gt;=96600")&gt;0,"X","")</f>
      </c>
      <c r="D29" s="56" t="str">
        <f>IF(COUNTIFS('LANÇAMENTOS DIÁRIOS'!$G$5:$G$500,"C",'LANÇAMENTOS DIÁRIOS'!$C$5:$C$500,$A29,'LANÇAMENTOS DIÁRIOS'!$O$5:$O$500,"&lt;=96799",'LANÇAMENTOS DIÁRIOS'!$P$5:$P$500,"&gt;=96700")&gt;0,"X","")</f>
      </c>
      <c r="E29" s="56" t="str">
        <f>IF(COUNTIFS('LANÇAMENTOS DIÁRIOS'!$G$5:$G$500,"C",'LANÇAMENTOS DIÁRIOS'!$C$5:$C$500,$A29,'LANÇAMENTOS DIÁRIOS'!$O$5:$O$500,"&lt;=96899",'LANÇAMENTOS DIÁRIOS'!$P$5:$P$500,"&gt;=96800")&gt;0,"X","")</f>
      </c>
      <c r="F29" s="56" t="str">
        <f>IF(COUNTIFS('LANÇAMENTOS DIÁRIOS'!$G$5:$G$500,"C",'LANÇAMENTOS DIÁRIOS'!$C$5:$C$500,$A29,'LANÇAMENTOS DIÁRIOS'!$O$5:$O$500,"&lt;=96999",'LANÇAMENTOS DIÁRIOS'!$P$5:$P$500,"&gt;=96900")&gt;0,"X","")</f>
      </c>
      <c r="G29" s="56" t="str">
        <f>IF(COUNTIFS('LANÇAMENTOS DIÁRIOS'!$G$5:$G$500,"C",'LANÇAMENTOS DIÁRIOS'!$C$5:$C$500,$A29,'LANÇAMENTOS DIÁRIOS'!$O$5:$O$500,"&lt;=97099",'LANÇAMENTOS DIÁRIOS'!$P$5:$P$500,"&gt;=97000")&gt;0,"X","")</f>
      </c>
      <c r="H29" s="56" t="str">
        <f>IF(COUNTIFS('LANÇAMENTOS DIÁRIOS'!$G$5:$G$500,"C",'LANÇAMENTOS DIÁRIOS'!$C$5:$C$500,$A29,'LANÇAMENTOS DIÁRIOS'!$O$5:$O$500,"&lt;=97199",'LANÇAMENTOS DIÁRIOS'!$P$5:$P$500,"&gt;=97100")&gt;0,"X","")</f>
      </c>
      <c r="I29" s="56" t="str">
        <f>IF(COUNTIFS('LANÇAMENTOS DIÁRIOS'!$G$5:$G$500,"C",'LANÇAMENTOS DIÁRIOS'!$C$5:$C$500,$A29,'LANÇAMENTOS DIÁRIOS'!$O$5:$O$500,"&lt;=97299",'LANÇAMENTOS DIÁRIOS'!$P$5:$P$500,"&gt;=97200")&gt;0,"X","")</f>
      </c>
      <c r="J29" s="56" t="str">
        <f>IF(COUNTIFS('LANÇAMENTOS DIÁRIOS'!$G$5:$G$500,"C",'LANÇAMENTOS DIÁRIOS'!$C$5:$C$500,$A29,'LANÇAMENTOS DIÁRIOS'!$O$5:$O$500,"&lt;=97399",'LANÇAMENTOS DIÁRIOS'!$P$5:$P$500,"&gt;=97300")&gt;0,"X","")</f>
      </c>
      <c r="K29" s="56" t="str">
        <f>IF(COUNTIFS('LANÇAMENTOS DIÁRIOS'!$G$5:$G$500,"C",'LANÇAMENTOS DIÁRIOS'!$C$5:$C$500,$A29,'LANÇAMENTOS DIÁRIOS'!$O$5:$O$500,"&lt;=97499",'LANÇAMENTOS DIÁRIOS'!$P$5:$P$500,"&gt;=97400")&gt;0,"X","")</f>
      </c>
      <c r="L29" s="56" t="str">
        <f>IF(COUNTIFS('LANÇAMENTOS DIÁRIOS'!$G$5:$G$500,"C",'LANÇAMENTOS DIÁRIOS'!$C$5:$C$500,$A29,'LANÇAMENTOS DIÁRIOS'!$O$5:$O$500,"&lt;=97599",'LANÇAMENTOS DIÁRIOS'!$P$5:$P$500,"&gt;=97500")&gt;0,"X","")</f>
      </c>
      <c r="M29" s="56" t="str">
        <f>IF(COUNTIFS('LANÇAMENTOS DIÁRIOS'!$G$5:$G$500,"C",'LANÇAMENTOS DIÁRIOS'!$C$5:$C$500,$A29,'LANÇAMENTOS DIÁRIOS'!$O$5:$O$500,"&lt;=97699",'LANÇAMENTOS DIÁRIOS'!$P$5:$P$500,"&gt;=97600")&gt;0,"X","")</f>
      </c>
      <c r="N29" s="56" t="str">
        <f>IF(COUNTIFS('LANÇAMENTOS DIÁRIOS'!$G$5:$G$500,"C",'LANÇAMENTOS DIÁRIOS'!$C$5:$C$500,$A29,'LANÇAMENTOS DIÁRIOS'!$O$5:$O$500,"&lt;=97799",'LANÇAMENTOS DIÁRIOS'!$P$5:$P$500,"&gt;=97700")&gt;0,"X","")</f>
      </c>
      <c r="O29" s="56" t="str">
        <f>IF(COUNTIFS('LANÇAMENTOS DIÁRIOS'!$G$5:$G$500,"C",'LANÇAMENTOS DIÁRIOS'!$C$5:$C$500,$A29,'LANÇAMENTOS DIÁRIOS'!$O$5:$O$500,"&lt;=97899",'LANÇAMENTOS DIÁRIOS'!$P$5:$P$500,"&gt;=97800")&gt;0,"X","")</f>
      </c>
      <c r="P29" s="56" t="str">
        <f>IF(COUNTIFS('LANÇAMENTOS DIÁRIOS'!$G$5:$G$500,"C",'LANÇAMENTOS DIÁRIOS'!$C$5:$C$500,$A29,'LANÇAMENTOS DIÁRIOS'!$O$5:$O$500,"&lt;=97999",'LANÇAMENTOS DIÁRIOS'!$P$5:$P$500,"&gt;=97900")&gt;0,"X","")</f>
      </c>
      <c r="Q29" s="56" t="str">
        <f>IF(COUNTIFS('LANÇAMENTOS DIÁRIOS'!$G$5:$G$500,"C",'LANÇAMENTOS DIÁRIOS'!$C$5:$C$500,$A29,'LANÇAMENTOS DIÁRIOS'!$O$5:$O$500,"&lt;=98099",'LANÇAMENTOS DIÁRIOS'!$P$5:$P$500,"&gt;=98000")&gt;0,"X","")</f>
      </c>
      <c r="R29" s="56" t="str">
        <f>IF(COUNTIFS('LANÇAMENTOS DIÁRIOS'!$G$5:$G$500,"C",'LANÇAMENTOS DIÁRIOS'!$C$5:$C$500,$A29,'LANÇAMENTOS DIÁRIOS'!$O$5:$O$500,"&lt;=98199",'LANÇAMENTOS DIÁRIOS'!$P$5:$P$500,"&gt;=98100")&gt;0,"X","")</f>
      </c>
      <c r="S29" s="56" t="str">
        <f>IF(COUNTIFS('LANÇAMENTOS DIÁRIOS'!$G$5:$G$500,"C",'LANÇAMENTOS DIÁRIOS'!$C$5:$C$500,$A29,'LANÇAMENTOS DIÁRIOS'!$O$5:$O$500,"&lt;=98299",'LANÇAMENTOS DIÁRIOS'!$P$5:$P$500,"&gt;=98200")&gt;0,"X","")</f>
      </c>
      <c r="T29" s="56" t="str">
        <f>IF(COUNTIFS('LANÇAMENTOS DIÁRIOS'!$G$5:$G$500,"C",'LANÇAMENTOS DIÁRIOS'!$C$5:$C$500,$A29,'LANÇAMENTOS DIÁRIOS'!$O$5:$O$500,"&lt;=98399",'LANÇAMENTOS DIÁRIOS'!$P$5:$P$500,"&gt;=98300")&gt;0,"X","")</f>
      </c>
      <c r="U29" s="56" t="str">
        <f>IF(COUNTIFS('LANÇAMENTOS DIÁRIOS'!$G$5:$G$500,"C",'LANÇAMENTOS DIÁRIOS'!$C$5:$C$500,$A29,'LANÇAMENTOS DIÁRIOS'!$O$5:$O$500,"&lt;=98499",'LANÇAMENTOS DIÁRIOS'!$P$5:$P$500,"&gt;=98400")&gt;0,"X","")</f>
      </c>
      <c r="V29" s="56" t="str">
        <f>IF(COUNTIFS('LANÇAMENTOS DIÁRIOS'!$G$5:$G$500,"C",'LANÇAMENTOS DIÁRIOS'!$C$5:$C$500,$A29,'LANÇAMENTOS DIÁRIOS'!$O$5:$O$500,"&lt;=98599",'LANÇAMENTOS DIÁRIOS'!$P$5:$P$500,"&gt;=98500")&gt;0,"X","")</f>
      </c>
      <c r="W29" s="56" t="str">
        <f>IF(COUNTIFS('LANÇAMENTOS DIÁRIOS'!$G$5:$G$500,"C",'LANÇAMENTOS DIÁRIOS'!$C$5:$C$500,$A29,'LANÇAMENTOS DIÁRIOS'!$O$5:$O$500,"&lt;=98699",'LANÇAMENTOS DIÁRIOS'!$P$5:$P$500,"&gt;=98600")&gt;0,"X","")</f>
      </c>
      <c r="X29" s="56" t="str">
        <f>IF(COUNTIFS('LANÇAMENTOS DIÁRIOS'!$G$5:$G$500,"C",'LANÇAMENTOS DIÁRIOS'!$C$5:$C$500,$A29,'LANÇAMENTOS DIÁRIOS'!$O$5:$O$500,"&lt;=98799",'LANÇAMENTOS DIÁRIOS'!$P$5:$P$500,"&gt;=98700")&gt;0,"X","")</f>
      </c>
      <c r="Y29" s="56" t="str">
        <f>IF(COUNTIFS('LANÇAMENTOS DIÁRIOS'!$G$5:$G$500,"C",'LANÇAMENTOS DIÁRIOS'!$C$5:$C$500,$A29,'LANÇAMENTOS DIÁRIOS'!$O$5:$O$500,"&lt;=98899",'LANÇAMENTOS DIÁRIOS'!$P$5:$P$500,"&gt;=98800")&gt;0,"X","")</f>
      </c>
      <c r="Z29" s="56" t="str">
        <f>IF(COUNTIFS('LANÇAMENTOS DIÁRIOS'!$G$5:$G$500,"C",'LANÇAMENTOS DIÁRIOS'!$C$5:$C$500,$A29,'LANÇAMENTOS DIÁRIOS'!$O$5:$O$500,"&lt;=98999",'LANÇAMENTOS DIÁRIOS'!$P$5:$P$500,"&gt;=98900")&gt;0,"X","")</f>
      </c>
      <c r="AA29" s="56" t="str">
        <f>IF(COUNTIFS('LANÇAMENTOS DIÁRIOS'!$G$5:$G$500,"C",'LANÇAMENTOS DIÁRIOS'!$C$5:$C$500,$A29,'LANÇAMENTOS DIÁRIOS'!$O$5:$O$500,"&lt;=99099",'LANÇAMENTOS DIÁRIOS'!$P$5:$P$500,"&gt;=99000")&gt;0,"X","")</f>
      </c>
      <c r="AB29" s="56" t="str">
        <f>IF(COUNTIFS('LANÇAMENTOS DIÁRIOS'!$G$5:$G$500,"C",'LANÇAMENTOS DIÁRIOS'!$C$5:$C$500,$A29,'LANÇAMENTOS DIÁRIOS'!$O$5:$O$500,"&lt;=99199",'LANÇAMENTOS DIÁRIOS'!$P$5:$P$500,"&gt;=99100")&gt;0,"X","")</f>
      </c>
      <c r="AC29" s="56" t="str">
        <f>IF(COUNTIFS('LANÇAMENTOS DIÁRIOS'!$G$5:$G$500,"C",'LANÇAMENTOS DIÁRIOS'!$C$5:$C$500,$A29,'LANÇAMENTOS DIÁRIOS'!$O$5:$O$500,"&lt;=99299",'LANÇAMENTOS DIÁRIOS'!$P$5:$P$500,"&gt;=99200")&gt;0,"X","")</f>
      </c>
      <c r="AD29" s="56" t="str">
        <f>IF(COUNTIFS('LANÇAMENTOS DIÁRIOS'!$G$5:$G$500,"C",'LANÇAMENTOS DIÁRIOS'!$C$5:$C$500,$A29,'LANÇAMENTOS DIÁRIOS'!$O$5:$O$500,"&lt;=99399",'LANÇAMENTOS DIÁRIOS'!$P$5:$P$500,"&gt;=99300")&gt;0,"X","")</f>
      </c>
      <c r="AE29" s="56" t="str">
        <f>IF(COUNTIFS('LANÇAMENTOS DIÁRIOS'!$G$5:$G$500,"C",'LANÇAMENTOS DIÁRIOS'!$C$5:$C$500,$A29,'LANÇAMENTOS DIÁRIOS'!$O$5:$O$500,"&lt;=99499",'LANÇAMENTOS DIÁRIOS'!$P$5:$P$500,"&gt;=99400")&gt;0,"X","")</f>
      </c>
      <c r="AF29" s="56" t="str">
        <f>IF(COUNTIFS('LANÇAMENTOS DIÁRIOS'!$G$5:$G$500,"C",'LANÇAMENTOS DIÁRIOS'!$C$5:$C$500,$A29,'LANÇAMENTOS DIÁRIOS'!$O$5:$O$500,"&lt;=99599",'LANÇAMENTOS DIÁRIOS'!$P$5:$P$500,"&gt;=99500")&gt;0,"X","")</f>
      </c>
      <c r="AG29" s="56" t="str">
        <f>IF(COUNTIFS('LANÇAMENTOS DIÁRIOS'!$G$5:$G$500,"C",'LANÇAMENTOS DIÁRIOS'!$C$5:$C$500,$A29,'LANÇAMENTOS DIÁRIOS'!$O$5:$O$500,"&lt;=99699",'LANÇAMENTOS DIÁRIOS'!$P$5:$P$500,"&gt;=99600")&gt;0,"X","")</f>
      </c>
      <c r="AH29" s="56" t="str">
        <f>IF(COUNTIFS('LANÇAMENTOS DIÁRIOS'!$G$5:$G$500,"C",'LANÇAMENTOS DIÁRIOS'!$C$5:$C$500,$A29,'LANÇAMENTOS DIÁRIOS'!$O$5:$O$500,"&lt;=99799",'LANÇAMENTOS DIÁRIOS'!$P$5:$P$500,"&gt;=99700")&gt;0,"X","")</f>
      </c>
      <c r="AI29" s="56" t="str">
        <f>IF(COUNTIFS('LANÇAMENTOS DIÁRIOS'!$G$5:$G$500,"C",'LANÇAMENTOS DIÁRIOS'!$C$5:$C$500,$A29,'LANÇAMENTOS DIÁRIOS'!$O$5:$O$500,"&lt;=99899",'LANÇAMENTOS DIÁRIOS'!$P$5:$P$500,"&gt;=99800")&gt;0,"X","")</f>
      </c>
      <c r="AJ29" s="56" t="str">
        <f>IF(COUNTIFS('LANÇAMENTOS DIÁRIOS'!$G$5:$G$500,"C",'LANÇAMENTOS DIÁRIOS'!$C$5:$C$500,$A29,'LANÇAMENTOS DIÁRIOS'!$O$5:$O$500,"&lt;=99999",'LANÇAMENTOS DIÁRIOS'!$P$5:$P$500,"&gt;=99900")&gt;0,"X","")</f>
      </c>
      <c r="AK29" s="56" t="str">
        <f>IF(COUNTIFS('LANÇAMENTOS DIÁRIOS'!$G$5:$G$500,"C",'LANÇAMENTOS DIÁRIOS'!$C$5:$C$500,$A29,'LANÇAMENTOS DIÁRIOS'!$O$5:$O$500,"&lt;=100099",'LANÇAMENTOS DIÁRIOS'!$P$5:$P$500,"&gt;=100000")&gt;0,"X","")</f>
      </c>
      <c r="AL29" s="56" t="str">
        <f>IF(COUNTIFS('LANÇAMENTOS DIÁRIOS'!$G$5:$G$500,"C",'LANÇAMENTOS DIÁRIOS'!$C$5:$C$500,$A29,'LANÇAMENTOS DIÁRIOS'!$O$5:$O$500,"&lt;=100199",'LANÇAMENTOS DIÁRIOS'!$P$5:$P$500,"&gt;=100100")&gt;0,"X","")</f>
      </c>
      <c r="AM29" s="56" t="str">
        <f>IF(COUNTIFS('LANÇAMENTOS DIÁRIOS'!$G$5:$G$500,"C",'LANÇAMENTOS DIÁRIOS'!$C$5:$C$500,$A29,'LANÇAMENTOS DIÁRIOS'!$O$5:$O$500,"&lt;=100299",'LANÇAMENTOS DIÁRIOS'!$P$5:$P$500,"&gt;=100200")&gt;0,"X","")</f>
      </c>
      <c r="AN29" s="56" t="str">
        <f>IF(COUNTIFS('LANÇAMENTOS DIÁRIOS'!$G$5:$G$500,"C",'LANÇAMENTOS DIÁRIOS'!$C$5:$C$500,$A29,'LANÇAMENTOS DIÁRIOS'!$O$5:$O$500,"&lt;=100399",'LANÇAMENTOS DIÁRIOS'!$P$5:$P$500,"&gt;=100300")&gt;0,"X","")</f>
      </c>
      <c r="AO29" s="56" t="str">
        <f>IF(COUNTIFS('LANÇAMENTOS DIÁRIOS'!$G$5:$G$500,"C",'LANÇAMENTOS DIÁRIOS'!$C$5:$C$500,$A29,'LANÇAMENTOS DIÁRIOS'!$O$5:$O$500,"&lt;=100499",'LANÇAMENTOS DIÁRIOS'!$P$5:$P$500,"&gt;=100400")&gt;0,"X","")</f>
      </c>
      <c r="AP29" s="56" t="str">
        <f>IF(COUNTIFS('LANÇAMENTOS DIÁRIOS'!$G$5:$G$500,"C",'LANÇAMENTOS DIÁRIOS'!$C$5:$C$500,$A29,'LANÇAMENTOS DIÁRIOS'!$O$5:$O$500,"&lt;=100500",'LANÇAMENTOS DIÁRIOS'!$P$5:$P$500,"&gt;=100500")&gt;0,"X","")</f>
      </c>
    </row>
    <row r="30">
      <c r="A30" s="51" t="str">
        <v>Derrubada e destocamento.arv. c/ diâmetro 20&lt;&gt;30cm, com limpeza da área</v>
      </c>
      <c r="B30" s="56" t="str">
        <f>IF(COUNTIFS('LANÇAMENTOS DIÁRIOS'!$G$5:$G$500,"C",'LANÇAMENTOS DIÁRIOS'!$C$5:$C$500,$A30,'LANÇAMENTOS DIÁRIOS'!$O$5:$O$500,"&lt;=96599",'LANÇAMENTOS DIÁRIOS'!$P$5:$P$500,"&gt;=96500")&gt;0,"X","")</f>
      </c>
      <c r="C30" s="56" t="str">
        <f>IF(COUNTIFS('LANÇAMENTOS DIÁRIOS'!$G$5:$G$500,"C",'LANÇAMENTOS DIÁRIOS'!$C$5:$C$500,$A30,'LANÇAMENTOS DIÁRIOS'!$O$5:$O$500,"&lt;=96699",'LANÇAMENTOS DIÁRIOS'!$P$5:$P$500,"&gt;=96600")&gt;0,"X","")</f>
      </c>
      <c r="D30" s="56" t="str">
        <f>IF(COUNTIFS('LANÇAMENTOS DIÁRIOS'!$G$5:$G$500,"C",'LANÇAMENTOS DIÁRIOS'!$C$5:$C$500,$A30,'LANÇAMENTOS DIÁRIOS'!$O$5:$O$500,"&lt;=96799",'LANÇAMENTOS DIÁRIOS'!$P$5:$P$500,"&gt;=96700")&gt;0,"X","")</f>
      </c>
      <c r="E30" s="56" t="str">
        <f>IF(COUNTIFS('LANÇAMENTOS DIÁRIOS'!$G$5:$G$500,"C",'LANÇAMENTOS DIÁRIOS'!$C$5:$C$500,$A30,'LANÇAMENTOS DIÁRIOS'!$O$5:$O$500,"&lt;=96899",'LANÇAMENTOS DIÁRIOS'!$P$5:$P$500,"&gt;=96800")&gt;0,"X","")</f>
      </c>
      <c r="F30" s="56" t="str">
        <f>IF(COUNTIFS('LANÇAMENTOS DIÁRIOS'!$G$5:$G$500,"C",'LANÇAMENTOS DIÁRIOS'!$C$5:$C$500,$A30,'LANÇAMENTOS DIÁRIOS'!$O$5:$O$500,"&lt;=96999",'LANÇAMENTOS DIÁRIOS'!$P$5:$P$500,"&gt;=96900")&gt;0,"X","")</f>
      </c>
      <c r="G30" s="56" t="str">
        <f>IF(COUNTIFS('LANÇAMENTOS DIÁRIOS'!$G$5:$G$500,"C",'LANÇAMENTOS DIÁRIOS'!$C$5:$C$500,$A30,'LANÇAMENTOS DIÁRIOS'!$O$5:$O$500,"&lt;=97099",'LANÇAMENTOS DIÁRIOS'!$P$5:$P$500,"&gt;=97000")&gt;0,"X","")</f>
      </c>
      <c r="H30" s="56" t="str">
        <f>IF(COUNTIFS('LANÇAMENTOS DIÁRIOS'!$G$5:$G$500,"C",'LANÇAMENTOS DIÁRIOS'!$C$5:$C$500,$A30,'LANÇAMENTOS DIÁRIOS'!$O$5:$O$500,"&lt;=97199",'LANÇAMENTOS DIÁRIOS'!$P$5:$P$500,"&gt;=97100")&gt;0,"X","")</f>
      </c>
      <c r="I30" s="56" t="str">
        <f>IF(COUNTIFS('LANÇAMENTOS DIÁRIOS'!$G$5:$G$500,"C",'LANÇAMENTOS DIÁRIOS'!$C$5:$C$500,$A30,'LANÇAMENTOS DIÁRIOS'!$O$5:$O$500,"&lt;=97299",'LANÇAMENTOS DIÁRIOS'!$P$5:$P$500,"&gt;=97200")&gt;0,"X","")</f>
      </c>
      <c r="J30" s="56" t="str">
        <f>IF(COUNTIFS('LANÇAMENTOS DIÁRIOS'!$G$5:$G$500,"C",'LANÇAMENTOS DIÁRIOS'!$C$5:$C$500,$A30,'LANÇAMENTOS DIÁRIOS'!$O$5:$O$500,"&lt;=97399",'LANÇAMENTOS DIÁRIOS'!$P$5:$P$500,"&gt;=97300")&gt;0,"X","")</f>
      </c>
      <c r="K30" s="56" t="str">
        <f>IF(COUNTIFS('LANÇAMENTOS DIÁRIOS'!$G$5:$G$500,"C",'LANÇAMENTOS DIÁRIOS'!$C$5:$C$500,$A30,'LANÇAMENTOS DIÁRIOS'!$O$5:$O$500,"&lt;=97499",'LANÇAMENTOS DIÁRIOS'!$P$5:$P$500,"&gt;=97400")&gt;0,"X","")</f>
      </c>
      <c r="L30" s="56" t="str">
        <f>IF(COUNTIFS('LANÇAMENTOS DIÁRIOS'!$G$5:$G$500,"C",'LANÇAMENTOS DIÁRIOS'!$C$5:$C$500,$A30,'LANÇAMENTOS DIÁRIOS'!$O$5:$O$500,"&lt;=97599",'LANÇAMENTOS DIÁRIOS'!$P$5:$P$500,"&gt;=97500")&gt;0,"X","")</f>
      </c>
      <c r="M30" s="56" t="str">
        <f>IF(COUNTIFS('LANÇAMENTOS DIÁRIOS'!$G$5:$G$500,"C",'LANÇAMENTOS DIÁRIOS'!$C$5:$C$500,$A30,'LANÇAMENTOS DIÁRIOS'!$O$5:$O$500,"&lt;=97699",'LANÇAMENTOS DIÁRIOS'!$P$5:$P$500,"&gt;=97600")&gt;0,"X","")</f>
      </c>
      <c r="N30" s="56" t="str">
        <f>IF(COUNTIFS('LANÇAMENTOS DIÁRIOS'!$G$5:$G$500,"C",'LANÇAMENTOS DIÁRIOS'!$C$5:$C$500,$A30,'LANÇAMENTOS DIÁRIOS'!$O$5:$O$500,"&lt;=97799",'LANÇAMENTOS DIÁRIOS'!$P$5:$P$500,"&gt;=97700")&gt;0,"X","")</f>
      </c>
      <c r="O30" s="56" t="str">
        <f>IF(COUNTIFS('LANÇAMENTOS DIÁRIOS'!$G$5:$G$500,"C",'LANÇAMENTOS DIÁRIOS'!$C$5:$C$500,$A30,'LANÇAMENTOS DIÁRIOS'!$O$5:$O$500,"&lt;=97899",'LANÇAMENTOS DIÁRIOS'!$P$5:$P$500,"&gt;=97800")&gt;0,"X","")</f>
      </c>
      <c r="P30" s="56" t="str">
        <f>IF(COUNTIFS('LANÇAMENTOS DIÁRIOS'!$G$5:$G$500,"C",'LANÇAMENTOS DIÁRIOS'!$C$5:$C$500,$A30,'LANÇAMENTOS DIÁRIOS'!$O$5:$O$500,"&lt;=97999",'LANÇAMENTOS DIÁRIOS'!$P$5:$P$500,"&gt;=97900")&gt;0,"X","")</f>
      </c>
      <c r="Q30" s="56" t="str">
        <f>IF(COUNTIFS('LANÇAMENTOS DIÁRIOS'!$G$5:$G$500,"C",'LANÇAMENTOS DIÁRIOS'!$C$5:$C$500,$A30,'LANÇAMENTOS DIÁRIOS'!$O$5:$O$500,"&lt;=98099",'LANÇAMENTOS DIÁRIOS'!$P$5:$P$500,"&gt;=98000")&gt;0,"X","")</f>
      </c>
      <c r="R30" s="56" t="str">
        <f>IF(COUNTIFS('LANÇAMENTOS DIÁRIOS'!$G$5:$G$500,"C",'LANÇAMENTOS DIÁRIOS'!$C$5:$C$500,$A30,'LANÇAMENTOS DIÁRIOS'!$O$5:$O$500,"&lt;=98199",'LANÇAMENTOS DIÁRIOS'!$P$5:$P$500,"&gt;=98100")&gt;0,"X","")</f>
      </c>
      <c r="S30" s="56" t="str">
        <f>IF(COUNTIFS('LANÇAMENTOS DIÁRIOS'!$G$5:$G$500,"C",'LANÇAMENTOS DIÁRIOS'!$C$5:$C$500,$A30,'LANÇAMENTOS DIÁRIOS'!$O$5:$O$500,"&lt;=98299",'LANÇAMENTOS DIÁRIOS'!$P$5:$P$500,"&gt;=98200")&gt;0,"X","")</f>
      </c>
      <c r="T30" s="56" t="str">
        <f>IF(COUNTIFS('LANÇAMENTOS DIÁRIOS'!$G$5:$G$500,"C",'LANÇAMENTOS DIÁRIOS'!$C$5:$C$500,$A30,'LANÇAMENTOS DIÁRIOS'!$O$5:$O$500,"&lt;=98399",'LANÇAMENTOS DIÁRIOS'!$P$5:$P$500,"&gt;=98300")&gt;0,"X","")</f>
      </c>
      <c r="U30" s="56" t="str">
        <f>IF(COUNTIFS('LANÇAMENTOS DIÁRIOS'!$G$5:$G$500,"C",'LANÇAMENTOS DIÁRIOS'!$C$5:$C$500,$A30,'LANÇAMENTOS DIÁRIOS'!$O$5:$O$500,"&lt;=98499",'LANÇAMENTOS DIÁRIOS'!$P$5:$P$500,"&gt;=98400")&gt;0,"X","")</f>
      </c>
      <c r="V30" s="56" t="str">
        <f>IF(COUNTIFS('LANÇAMENTOS DIÁRIOS'!$G$5:$G$500,"C",'LANÇAMENTOS DIÁRIOS'!$C$5:$C$500,$A30,'LANÇAMENTOS DIÁRIOS'!$O$5:$O$500,"&lt;=98599",'LANÇAMENTOS DIÁRIOS'!$P$5:$P$500,"&gt;=98500")&gt;0,"X","")</f>
      </c>
      <c r="W30" s="56" t="str">
        <f>IF(COUNTIFS('LANÇAMENTOS DIÁRIOS'!$G$5:$G$500,"C",'LANÇAMENTOS DIÁRIOS'!$C$5:$C$500,$A30,'LANÇAMENTOS DIÁRIOS'!$O$5:$O$500,"&lt;=98699",'LANÇAMENTOS DIÁRIOS'!$P$5:$P$500,"&gt;=98600")&gt;0,"X","")</f>
      </c>
      <c r="X30" s="56" t="str">
        <f>IF(COUNTIFS('LANÇAMENTOS DIÁRIOS'!$G$5:$G$500,"C",'LANÇAMENTOS DIÁRIOS'!$C$5:$C$500,$A30,'LANÇAMENTOS DIÁRIOS'!$O$5:$O$500,"&lt;=98799",'LANÇAMENTOS DIÁRIOS'!$P$5:$P$500,"&gt;=98700")&gt;0,"X","")</f>
      </c>
      <c r="Y30" s="56" t="str">
        <f>IF(COUNTIFS('LANÇAMENTOS DIÁRIOS'!$G$5:$G$500,"C",'LANÇAMENTOS DIÁRIOS'!$C$5:$C$500,$A30,'LANÇAMENTOS DIÁRIOS'!$O$5:$O$500,"&lt;=98899",'LANÇAMENTOS DIÁRIOS'!$P$5:$P$500,"&gt;=98800")&gt;0,"X","")</f>
      </c>
      <c r="Z30" s="56" t="str">
        <f>IF(COUNTIFS('LANÇAMENTOS DIÁRIOS'!$G$5:$G$500,"C",'LANÇAMENTOS DIÁRIOS'!$C$5:$C$500,$A30,'LANÇAMENTOS DIÁRIOS'!$O$5:$O$500,"&lt;=98999",'LANÇAMENTOS DIÁRIOS'!$P$5:$P$500,"&gt;=98900")&gt;0,"X","")</f>
      </c>
      <c r="AA30" s="56" t="str">
        <f>IF(COUNTIFS('LANÇAMENTOS DIÁRIOS'!$G$5:$G$500,"C",'LANÇAMENTOS DIÁRIOS'!$C$5:$C$500,$A30,'LANÇAMENTOS DIÁRIOS'!$O$5:$O$500,"&lt;=99099",'LANÇAMENTOS DIÁRIOS'!$P$5:$P$500,"&gt;=99000")&gt;0,"X","")</f>
      </c>
      <c r="AB30" s="56" t="str">
        <f>IF(COUNTIFS('LANÇAMENTOS DIÁRIOS'!$G$5:$G$500,"C",'LANÇAMENTOS DIÁRIOS'!$C$5:$C$500,$A30,'LANÇAMENTOS DIÁRIOS'!$O$5:$O$500,"&lt;=99199",'LANÇAMENTOS DIÁRIOS'!$P$5:$P$500,"&gt;=99100")&gt;0,"X","")</f>
      </c>
      <c r="AC30" s="56" t="str">
        <f>IF(COUNTIFS('LANÇAMENTOS DIÁRIOS'!$G$5:$G$500,"C",'LANÇAMENTOS DIÁRIOS'!$C$5:$C$500,$A30,'LANÇAMENTOS DIÁRIOS'!$O$5:$O$500,"&lt;=99299",'LANÇAMENTOS DIÁRIOS'!$P$5:$P$500,"&gt;=99200")&gt;0,"X","")</f>
      </c>
      <c r="AD30" s="56" t="str">
        <f>IF(COUNTIFS('LANÇAMENTOS DIÁRIOS'!$G$5:$G$500,"C",'LANÇAMENTOS DIÁRIOS'!$C$5:$C$500,$A30,'LANÇAMENTOS DIÁRIOS'!$O$5:$O$500,"&lt;=99399",'LANÇAMENTOS DIÁRIOS'!$P$5:$P$500,"&gt;=99300")&gt;0,"X","")</f>
      </c>
      <c r="AE30" s="56" t="str">
        <f>IF(COUNTIFS('LANÇAMENTOS DIÁRIOS'!$G$5:$G$500,"C",'LANÇAMENTOS DIÁRIOS'!$C$5:$C$500,$A30,'LANÇAMENTOS DIÁRIOS'!$O$5:$O$500,"&lt;=99499",'LANÇAMENTOS DIÁRIOS'!$P$5:$P$500,"&gt;=99400")&gt;0,"X","")</f>
      </c>
      <c r="AF30" s="56" t="str">
        <f>IF(COUNTIFS('LANÇAMENTOS DIÁRIOS'!$G$5:$G$500,"C",'LANÇAMENTOS DIÁRIOS'!$C$5:$C$500,$A30,'LANÇAMENTOS DIÁRIOS'!$O$5:$O$500,"&lt;=99599",'LANÇAMENTOS DIÁRIOS'!$P$5:$P$500,"&gt;=99500")&gt;0,"X","")</f>
      </c>
      <c r="AG30" s="56" t="str">
        <f>IF(COUNTIFS('LANÇAMENTOS DIÁRIOS'!$G$5:$G$500,"C",'LANÇAMENTOS DIÁRIOS'!$C$5:$C$500,$A30,'LANÇAMENTOS DIÁRIOS'!$O$5:$O$500,"&lt;=99699",'LANÇAMENTOS DIÁRIOS'!$P$5:$P$500,"&gt;=99600")&gt;0,"X","")</f>
      </c>
      <c r="AH30" s="56" t="str">
        <f>IF(COUNTIFS('LANÇAMENTOS DIÁRIOS'!$G$5:$G$500,"C",'LANÇAMENTOS DIÁRIOS'!$C$5:$C$500,$A30,'LANÇAMENTOS DIÁRIOS'!$O$5:$O$500,"&lt;=99799",'LANÇAMENTOS DIÁRIOS'!$P$5:$P$500,"&gt;=99700")&gt;0,"X","")</f>
      </c>
      <c r="AI30" s="56" t="str">
        <f>IF(COUNTIFS('LANÇAMENTOS DIÁRIOS'!$G$5:$G$500,"C",'LANÇAMENTOS DIÁRIOS'!$C$5:$C$500,$A30,'LANÇAMENTOS DIÁRIOS'!$O$5:$O$500,"&lt;=99899",'LANÇAMENTOS DIÁRIOS'!$P$5:$P$500,"&gt;=99800")&gt;0,"X","")</f>
      </c>
      <c r="AJ30" s="56" t="str">
        <f>IF(COUNTIFS('LANÇAMENTOS DIÁRIOS'!$G$5:$G$500,"C",'LANÇAMENTOS DIÁRIOS'!$C$5:$C$500,$A30,'LANÇAMENTOS DIÁRIOS'!$O$5:$O$500,"&lt;=99999",'LANÇAMENTOS DIÁRIOS'!$P$5:$P$500,"&gt;=99900")&gt;0,"X","")</f>
      </c>
      <c r="AK30" s="56" t="str">
        <f>IF(COUNTIFS('LANÇAMENTOS DIÁRIOS'!$G$5:$G$500,"C",'LANÇAMENTOS DIÁRIOS'!$C$5:$C$500,$A30,'LANÇAMENTOS DIÁRIOS'!$O$5:$O$500,"&lt;=100099",'LANÇAMENTOS DIÁRIOS'!$P$5:$P$500,"&gt;=100000")&gt;0,"X","")</f>
      </c>
      <c r="AL30" s="56" t="str">
        <f>IF(COUNTIFS('LANÇAMENTOS DIÁRIOS'!$G$5:$G$500,"C",'LANÇAMENTOS DIÁRIOS'!$C$5:$C$500,$A30,'LANÇAMENTOS DIÁRIOS'!$O$5:$O$500,"&lt;=100199",'LANÇAMENTOS DIÁRIOS'!$P$5:$P$500,"&gt;=100100")&gt;0,"X","")</f>
      </c>
      <c r="AM30" s="56" t="str">
        <f>IF(COUNTIFS('LANÇAMENTOS DIÁRIOS'!$G$5:$G$500,"C",'LANÇAMENTOS DIÁRIOS'!$C$5:$C$500,$A30,'LANÇAMENTOS DIÁRIOS'!$O$5:$O$500,"&lt;=100299",'LANÇAMENTOS DIÁRIOS'!$P$5:$P$500,"&gt;=100200")&gt;0,"X","")</f>
      </c>
      <c r="AN30" s="56" t="str">
        <f>IF(COUNTIFS('LANÇAMENTOS DIÁRIOS'!$G$5:$G$500,"C",'LANÇAMENTOS DIÁRIOS'!$C$5:$C$500,$A30,'LANÇAMENTOS DIÁRIOS'!$O$5:$O$500,"&lt;=100399",'LANÇAMENTOS DIÁRIOS'!$P$5:$P$500,"&gt;=100300")&gt;0,"X","")</f>
      </c>
      <c r="AO30" s="56" t="str">
        <f>IF(COUNTIFS('LANÇAMENTOS DIÁRIOS'!$G$5:$G$500,"C",'LANÇAMENTOS DIÁRIOS'!$C$5:$C$500,$A30,'LANÇAMENTOS DIÁRIOS'!$O$5:$O$500,"&lt;=100499",'LANÇAMENTOS DIÁRIOS'!$P$5:$P$500,"&gt;=100400")&gt;0,"X","")</f>
      </c>
      <c r="AP30" s="56" t="str">
        <f>IF(COUNTIFS('LANÇAMENTOS DIÁRIOS'!$G$5:$G$500,"C",'LANÇAMENTOS DIÁRIOS'!$C$5:$C$500,$A30,'LANÇAMENTOS DIÁRIOS'!$O$5:$O$500,"&lt;=100500",'LANÇAMENTOS DIÁRIOS'!$P$5:$P$500,"&gt;=100500")&gt;0,"X","")</f>
      </c>
    </row>
    <row r="31">
      <c r="A31" s="51" t="str">
        <v>Derrubada e destocamento.arv. c/ diâmetro 30&lt;&gt;40cm, com limpeza da área</v>
      </c>
      <c r="B31" s="56" t="str">
        <f>IF(COUNTIFS('LANÇAMENTOS DIÁRIOS'!$G$5:$G$500,"C",'LANÇAMENTOS DIÁRIOS'!$C$5:$C$500,$A31,'LANÇAMENTOS DIÁRIOS'!$O$5:$O$500,"&lt;=96599",'LANÇAMENTOS DIÁRIOS'!$P$5:$P$500,"&gt;=96500")&gt;0,"X","")</f>
      </c>
      <c r="C31" s="56" t="str">
        <f>IF(COUNTIFS('LANÇAMENTOS DIÁRIOS'!$G$5:$G$500,"C",'LANÇAMENTOS DIÁRIOS'!$C$5:$C$500,$A31,'LANÇAMENTOS DIÁRIOS'!$O$5:$O$500,"&lt;=96699",'LANÇAMENTOS DIÁRIOS'!$P$5:$P$500,"&gt;=96600")&gt;0,"X","")</f>
      </c>
      <c r="D31" s="56" t="str">
        <f>IF(COUNTIFS('LANÇAMENTOS DIÁRIOS'!$G$5:$G$500,"C",'LANÇAMENTOS DIÁRIOS'!$C$5:$C$500,$A31,'LANÇAMENTOS DIÁRIOS'!$O$5:$O$500,"&lt;=96799",'LANÇAMENTOS DIÁRIOS'!$P$5:$P$500,"&gt;=96700")&gt;0,"X","")</f>
      </c>
      <c r="E31" s="56" t="str">
        <f>IF(COUNTIFS('LANÇAMENTOS DIÁRIOS'!$G$5:$G$500,"C",'LANÇAMENTOS DIÁRIOS'!$C$5:$C$500,$A31,'LANÇAMENTOS DIÁRIOS'!$O$5:$O$500,"&lt;=96899",'LANÇAMENTOS DIÁRIOS'!$P$5:$P$500,"&gt;=96800")&gt;0,"X","")</f>
      </c>
      <c r="F31" s="56" t="str">
        <f>IF(COUNTIFS('LANÇAMENTOS DIÁRIOS'!$G$5:$G$500,"C",'LANÇAMENTOS DIÁRIOS'!$C$5:$C$500,$A31,'LANÇAMENTOS DIÁRIOS'!$O$5:$O$500,"&lt;=96999",'LANÇAMENTOS DIÁRIOS'!$P$5:$P$500,"&gt;=96900")&gt;0,"X","")</f>
      </c>
      <c r="G31" s="56" t="str">
        <f>IF(COUNTIFS('LANÇAMENTOS DIÁRIOS'!$G$5:$G$500,"C",'LANÇAMENTOS DIÁRIOS'!$C$5:$C$500,$A31,'LANÇAMENTOS DIÁRIOS'!$O$5:$O$500,"&lt;=97099",'LANÇAMENTOS DIÁRIOS'!$P$5:$P$500,"&gt;=97000")&gt;0,"X","")</f>
      </c>
      <c r="H31" s="56" t="str">
        <f>IF(COUNTIFS('LANÇAMENTOS DIÁRIOS'!$G$5:$G$500,"C",'LANÇAMENTOS DIÁRIOS'!$C$5:$C$500,$A31,'LANÇAMENTOS DIÁRIOS'!$O$5:$O$500,"&lt;=97199",'LANÇAMENTOS DIÁRIOS'!$P$5:$P$500,"&gt;=97100")&gt;0,"X","")</f>
      </c>
      <c r="I31" s="56" t="str">
        <f>IF(COUNTIFS('LANÇAMENTOS DIÁRIOS'!$G$5:$G$500,"C",'LANÇAMENTOS DIÁRIOS'!$C$5:$C$500,$A31,'LANÇAMENTOS DIÁRIOS'!$O$5:$O$500,"&lt;=97299",'LANÇAMENTOS DIÁRIOS'!$P$5:$P$500,"&gt;=97200")&gt;0,"X","")</f>
      </c>
      <c r="J31" s="56" t="str">
        <f>IF(COUNTIFS('LANÇAMENTOS DIÁRIOS'!$G$5:$G$500,"C",'LANÇAMENTOS DIÁRIOS'!$C$5:$C$500,$A31,'LANÇAMENTOS DIÁRIOS'!$O$5:$O$500,"&lt;=97399",'LANÇAMENTOS DIÁRIOS'!$P$5:$P$500,"&gt;=97300")&gt;0,"X","")</f>
      </c>
      <c r="K31" s="56" t="str">
        <f>IF(COUNTIFS('LANÇAMENTOS DIÁRIOS'!$G$5:$G$500,"C",'LANÇAMENTOS DIÁRIOS'!$C$5:$C$500,$A31,'LANÇAMENTOS DIÁRIOS'!$O$5:$O$500,"&lt;=97499",'LANÇAMENTOS DIÁRIOS'!$P$5:$P$500,"&gt;=97400")&gt;0,"X","")</f>
      </c>
      <c r="L31" s="56" t="str">
        <f>IF(COUNTIFS('LANÇAMENTOS DIÁRIOS'!$G$5:$G$500,"C",'LANÇAMENTOS DIÁRIOS'!$C$5:$C$500,$A31,'LANÇAMENTOS DIÁRIOS'!$O$5:$O$500,"&lt;=97599",'LANÇAMENTOS DIÁRIOS'!$P$5:$P$500,"&gt;=97500")&gt;0,"X","")</f>
      </c>
      <c r="M31" s="56" t="str">
        <f>IF(COUNTIFS('LANÇAMENTOS DIÁRIOS'!$G$5:$G$500,"C",'LANÇAMENTOS DIÁRIOS'!$C$5:$C$500,$A31,'LANÇAMENTOS DIÁRIOS'!$O$5:$O$500,"&lt;=97699",'LANÇAMENTOS DIÁRIOS'!$P$5:$P$500,"&gt;=97600")&gt;0,"X","")</f>
      </c>
      <c r="N31" s="56" t="str">
        <f>IF(COUNTIFS('LANÇAMENTOS DIÁRIOS'!$G$5:$G$500,"C",'LANÇAMENTOS DIÁRIOS'!$C$5:$C$500,$A31,'LANÇAMENTOS DIÁRIOS'!$O$5:$O$500,"&lt;=97799",'LANÇAMENTOS DIÁRIOS'!$P$5:$P$500,"&gt;=97700")&gt;0,"X","")</f>
      </c>
      <c r="O31" s="56" t="str">
        <f>IF(COUNTIFS('LANÇAMENTOS DIÁRIOS'!$G$5:$G$500,"C",'LANÇAMENTOS DIÁRIOS'!$C$5:$C$500,$A31,'LANÇAMENTOS DIÁRIOS'!$O$5:$O$500,"&lt;=97899",'LANÇAMENTOS DIÁRIOS'!$P$5:$P$500,"&gt;=97800")&gt;0,"X","")</f>
      </c>
      <c r="P31" s="56" t="str">
        <f>IF(COUNTIFS('LANÇAMENTOS DIÁRIOS'!$G$5:$G$500,"C",'LANÇAMENTOS DIÁRIOS'!$C$5:$C$500,$A31,'LANÇAMENTOS DIÁRIOS'!$O$5:$O$500,"&lt;=97999",'LANÇAMENTOS DIÁRIOS'!$P$5:$P$500,"&gt;=97900")&gt;0,"X","")</f>
      </c>
      <c r="Q31" s="56" t="str">
        <f>IF(COUNTIFS('LANÇAMENTOS DIÁRIOS'!$G$5:$G$500,"C",'LANÇAMENTOS DIÁRIOS'!$C$5:$C$500,$A31,'LANÇAMENTOS DIÁRIOS'!$O$5:$O$500,"&lt;=98099",'LANÇAMENTOS DIÁRIOS'!$P$5:$P$500,"&gt;=98000")&gt;0,"X","")</f>
      </c>
      <c r="R31" s="56" t="str">
        <f>IF(COUNTIFS('LANÇAMENTOS DIÁRIOS'!$G$5:$G$500,"C",'LANÇAMENTOS DIÁRIOS'!$C$5:$C$500,$A31,'LANÇAMENTOS DIÁRIOS'!$O$5:$O$500,"&lt;=98199",'LANÇAMENTOS DIÁRIOS'!$P$5:$P$500,"&gt;=98100")&gt;0,"X","")</f>
      </c>
      <c r="S31" s="56" t="str">
        <f>IF(COUNTIFS('LANÇAMENTOS DIÁRIOS'!$G$5:$G$500,"C",'LANÇAMENTOS DIÁRIOS'!$C$5:$C$500,$A31,'LANÇAMENTOS DIÁRIOS'!$O$5:$O$500,"&lt;=98299",'LANÇAMENTOS DIÁRIOS'!$P$5:$P$500,"&gt;=98200")&gt;0,"X","")</f>
      </c>
      <c r="T31" s="56" t="str">
        <f>IF(COUNTIFS('LANÇAMENTOS DIÁRIOS'!$G$5:$G$500,"C",'LANÇAMENTOS DIÁRIOS'!$C$5:$C$500,$A31,'LANÇAMENTOS DIÁRIOS'!$O$5:$O$500,"&lt;=98399",'LANÇAMENTOS DIÁRIOS'!$P$5:$P$500,"&gt;=98300")&gt;0,"X","")</f>
      </c>
      <c r="U31" s="56" t="str">
        <f>IF(COUNTIFS('LANÇAMENTOS DIÁRIOS'!$G$5:$G$500,"C",'LANÇAMENTOS DIÁRIOS'!$C$5:$C$500,$A31,'LANÇAMENTOS DIÁRIOS'!$O$5:$O$500,"&lt;=98499",'LANÇAMENTOS DIÁRIOS'!$P$5:$P$500,"&gt;=98400")&gt;0,"X","")</f>
      </c>
      <c r="V31" s="56" t="str">
        <f>IF(COUNTIFS('LANÇAMENTOS DIÁRIOS'!$G$5:$G$500,"C",'LANÇAMENTOS DIÁRIOS'!$C$5:$C$500,$A31,'LANÇAMENTOS DIÁRIOS'!$O$5:$O$500,"&lt;=98599",'LANÇAMENTOS DIÁRIOS'!$P$5:$P$500,"&gt;=98500")&gt;0,"X","")</f>
      </c>
      <c r="W31" s="56" t="str">
        <f>IF(COUNTIFS('LANÇAMENTOS DIÁRIOS'!$G$5:$G$500,"C",'LANÇAMENTOS DIÁRIOS'!$C$5:$C$500,$A31,'LANÇAMENTOS DIÁRIOS'!$O$5:$O$500,"&lt;=98699",'LANÇAMENTOS DIÁRIOS'!$P$5:$P$500,"&gt;=98600")&gt;0,"X","")</f>
      </c>
      <c r="X31" s="56" t="str">
        <f>IF(COUNTIFS('LANÇAMENTOS DIÁRIOS'!$G$5:$G$500,"C",'LANÇAMENTOS DIÁRIOS'!$C$5:$C$500,$A31,'LANÇAMENTOS DIÁRIOS'!$O$5:$O$500,"&lt;=98799",'LANÇAMENTOS DIÁRIOS'!$P$5:$P$500,"&gt;=98700")&gt;0,"X","")</f>
      </c>
      <c r="Y31" s="56" t="str">
        <f>IF(COUNTIFS('LANÇAMENTOS DIÁRIOS'!$G$5:$G$500,"C",'LANÇAMENTOS DIÁRIOS'!$C$5:$C$500,$A31,'LANÇAMENTOS DIÁRIOS'!$O$5:$O$500,"&lt;=98899",'LANÇAMENTOS DIÁRIOS'!$P$5:$P$500,"&gt;=98800")&gt;0,"X","")</f>
      </c>
      <c r="Z31" s="56" t="str">
        <f>IF(COUNTIFS('LANÇAMENTOS DIÁRIOS'!$G$5:$G$500,"C",'LANÇAMENTOS DIÁRIOS'!$C$5:$C$500,$A31,'LANÇAMENTOS DIÁRIOS'!$O$5:$O$500,"&lt;=98999",'LANÇAMENTOS DIÁRIOS'!$P$5:$P$500,"&gt;=98900")&gt;0,"X","")</f>
      </c>
      <c r="AA31" s="56" t="str">
        <f>IF(COUNTIFS('LANÇAMENTOS DIÁRIOS'!$G$5:$G$500,"C",'LANÇAMENTOS DIÁRIOS'!$C$5:$C$500,$A31,'LANÇAMENTOS DIÁRIOS'!$O$5:$O$500,"&lt;=99099",'LANÇAMENTOS DIÁRIOS'!$P$5:$P$500,"&gt;=99000")&gt;0,"X","")</f>
      </c>
      <c r="AB31" s="56" t="str">
        <f>IF(COUNTIFS('LANÇAMENTOS DIÁRIOS'!$G$5:$G$500,"C",'LANÇAMENTOS DIÁRIOS'!$C$5:$C$500,$A31,'LANÇAMENTOS DIÁRIOS'!$O$5:$O$500,"&lt;=99199",'LANÇAMENTOS DIÁRIOS'!$P$5:$P$500,"&gt;=99100")&gt;0,"X","")</f>
      </c>
      <c r="AC31" s="56" t="str">
        <f>IF(COUNTIFS('LANÇAMENTOS DIÁRIOS'!$G$5:$G$500,"C",'LANÇAMENTOS DIÁRIOS'!$C$5:$C$500,$A31,'LANÇAMENTOS DIÁRIOS'!$O$5:$O$500,"&lt;=99299",'LANÇAMENTOS DIÁRIOS'!$P$5:$P$500,"&gt;=99200")&gt;0,"X","")</f>
      </c>
      <c r="AD31" s="56" t="str">
        <f>IF(COUNTIFS('LANÇAMENTOS DIÁRIOS'!$G$5:$G$500,"C",'LANÇAMENTOS DIÁRIOS'!$C$5:$C$500,$A31,'LANÇAMENTOS DIÁRIOS'!$O$5:$O$500,"&lt;=99399",'LANÇAMENTOS DIÁRIOS'!$P$5:$P$500,"&gt;=99300")&gt;0,"X","")</f>
      </c>
      <c r="AE31" s="56" t="str">
        <f>IF(COUNTIFS('LANÇAMENTOS DIÁRIOS'!$G$5:$G$500,"C",'LANÇAMENTOS DIÁRIOS'!$C$5:$C$500,$A31,'LANÇAMENTOS DIÁRIOS'!$O$5:$O$500,"&lt;=99499",'LANÇAMENTOS DIÁRIOS'!$P$5:$P$500,"&gt;=99400")&gt;0,"X","")</f>
      </c>
      <c r="AF31" s="56" t="str">
        <f>IF(COUNTIFS('LANÇAMENTOS DIÁRIOS'!$G$5:$G$500,"C",'LANÇAMENTOS DIÁRIOS'!$C$5:$C$500,$A31,'LANÇAMENTOS DIÁRIOS'!$O$5:$O$500,"&lt;=99599",'LANÇAMENTOS DIÁRIOS'!$P$5:$P$500,"&gt;=99500")&gt;0,"X","")</f>
      </c>
      <c r="AG31" s="56" t="str">
        <f>IF(COUNTIFS('LANÇAMENTOS DIÁRIOS'!$G$5:$G$500,"C",'LANÇAMENTOS DIÁRIOS'!$C$5:$C$500,$A31,'LANÇAMENTOS DIÁRIOS'!$O$5:$O$500,"&lt;=99699",'LANÇAMENTOS DIÁRIOS'!$P$5:$P$500,"&gt;=99600")&gt;0,"X","")</f>
      </c>
      <c r="AH31" s="56" t="str">
        <f>IF(COUNTIFS('LANÇAMENTOS DIÁRIOS'!$G$5:$G$500,"C",'LANÇAMENTOS DIÁRIOS'!$C$5:$C$500,$A31,'LANÇAMENTOS DIÁRIOS'!$O$5:$O$500,"&lt;=99799",'LANÇAMENTOS DIÁRIOS'!$P$5:$P$500,"&gt;=99700")&gt;0,"X","")</f>
      </c>
      <c r="AI31" s="56" t="str">
        <f>IF(COUNTIFS('LANÇAMENTOS DIÁRIOS'!$G$5:$G$500,"C",'LANÇAMENTOS DIÁRIOS'!$C$5:$C$500,$A31,'LANÇAMENTOS DIÁRIOS'!$O$5:$O$500,"&lt;=99899",'LANÇAMENTOS DIÁRIOS'!$P$5:$P$500,"&gt;=99800")&gt;0,"X","")</f>
      </c>
      <c r="AJ31" s="56" t="str">
        <f>IF(COUNTIFS('LANÇAMENTOS DIÁRIOS'!$G$5:$G$500,"C",'LANÇAMENTOS DIÁRIOS'!$C$5:$C$500,$A31,'LANÇAMENTOS DIÁRIOS'!$O$5:$O$500,"&lt;=99999",'LANÇAMENTOS DIÁRIOS'!$P$5:$P$500,"&gt;=99900")&gt;0,"X","")</f>
      </c>
      <c r="AK31" s="56" t="str">
        <f>IF(COUNTIFS('LANÇAMENTOS DIÁRIOS'!$G$5:$G$500,"C",'LANÇAMENTOS DIÁRIOS'!$C$5:$C$500,$A31,'LANÇAMENTOS DIÁRIOS'!$O$5:$O$500,"&lt;=100099",'LANÇAMENTOS DIÁRIOS'!$P$5:$P$500,"&gt;=100000")&gt;0,"X","")</f>
      </c>
      <c r="AL31" s="56" t="str">
        <f>IF(COUNTIFS('LANÇAMENTOS DIÁRIOS'!$G$5:$G$500,"C",'LANÇAMENTOS DIÁRIOS'!$C$5:$C$500,$A31,'LANÇAMENTOS DIÁRIOS'!$O$5:$O$500,"&lt;=100199",'LANÇAMENTOS DIÁRIOS'!$P$5:$P$500,"&gt;=100100")&gt;0,"X","")</f>
      </c>
      <c r="AM31" s="56" t="str">
        <f>IF(COUNTIFS('LANÇAMENTOS DIÁRIOS'!$G$5:$G$500,"C",'LANÇAMENTOS DIÁRIOS'!$C$5:$C$500,$A31,'LANÇAMENTOS DIÁRIOS'!$O$5:$O$500,"&lt;=100299",'LANÇAMENTOS DIÁRIOS'!$P$5:$P$500,"&gt;=100200")&gt;0,"X","")</f>
      </c>
      <c r="AN31" s="56" t="str">
        <f>IF(COUNTIFS('LANÇAMENTOS DIÁRIOS'!$G$5:$G$500,"C",'LANÇAMENTOS DIÁRIOS'!$C$5:$C$500,$A31,'LANÇAMENTOS DIÁRIOS'!$O$5:$O$500,"&lt;=100399",'LANÇAMENTOS DIÁRIOS'!$P$5:$P$500,"&gt;=100300")&gt;0,"X","")</f>
      </c>
      <c r="AO31" s="56" t="str">
        <f>IF(COUNTIFS('LANÇAMENTOS DIÁRIOS'!$G$5:$G$500,"C",'LANÇAMENTOS DIÁRIOS'!$C$5:$C$500,$A31,'LANÇAMENTOS DIÁRIOS'!$O$5:$O$500,"&lt;=100499",'LANÇAMENTOS DIÁRIOS'!$P$5:$P$500,"&gt;=100400")&gt;0,"X","")</f>
      </c>
      <c r="AP31" s="56" t="str">
        <f>IF(COUNTIFS('LANÇAMENTOS DIÁRIOS'!$G$5:$G$500,"C",'LANÇAMENTOS DIÁRIOS'!$C$5:$C$500,$A31,'LANÇAMENTOS DIÁRIOS'!$O$5:$O$500,"&lt;=100500",'LANÇAMENTOS DIÁRIOS'!$P$5:$P$500,"&gt;=100500")&gt;0,"X","")</f>
      </c>
    </row>
    <row r="32">
      <c r="A32" s="51" t="str">
        <v>Derrubada e destocamento.arv. c/ diâmetro 40&lt;&gt;50cm, com limpeza da área</v>
      </c>
      <c r="B32" s="56" t="str">
        <f>IF(COUNTIFS('LANÇAMENTOS DIÁRIOS'!$G$5:$G$500,"C",'LANÇAMENTOS DIÁRIOS'!$C$5:$C$500,$A32,'LANÇAMENTOS DIÁRIOS'!$O$5:$O$500,"&lt;=96599",'LANÇAMENTOS DIÁRIOS'!$P$5:$P$500,"&gt;=96500")&gt;0,"X","")</f>
      </c>
      <c r="C32" s="56" t="str">
        <f>IF(COUNTIFS('LANÇAMENTOS DIÁRIOS'!$G$5:$G$500,"C",'LANÇAMENTOS DIÁRIOS'!$C$5:$C$500,$A32,'LANÇAMENTOS DIÁRIOS'!$O$5:$O$500,"&lt;=96699",'LANÇAMENTOS DIÁRIOS'!$P$5:$P$500,"&gt;=96600")&gt;0,"X","")</f>
      </c>
      <c r="D32" s="56" t="str">
        <f>IF(COUNTIFS('LANÇAMENTOS DIÁRIOS'!$G$5:$G$500,"C",'LANÇAMENTOS DIÁRIOS'!$C$5:$C$500,$A32,'LANÇAMENTOS DIÁRIOS'!$O$5:$O$500,"&lt;=96799",'LANÇAMENTOS DIÁRIOS'!$P$5:$P$500,"&gt;=96700")&gt;0,"X","")</f>
      </c>
      <c r="E32" s="56" t="str">
        <f>IF(COUNTIFS('LANÇAMENTOS DIÁRIOS'!$G$5:$G$500,"C",'LANÇAMENTOS DIÁRIOS'!$C$5:$C$500,$A32,'LANÇAMENTOS DIÁRIOS'!$O$5:$O$500,"&lt;=96899",'LANÇAMENTOS DIÁRIOS'!$P$5:$P$500,"&gt;=96800")&gt;0,"X","")</f>
      </c>
      <c r="F32" s="56" t="str">
        <f>IF(COUNTIFS('LANÇAMENTOS DIÁRIOS'!$G$5:$G$500,"C",'LANÇAMENTOS DIÁRIOS'!$C$5:$C$500,$A32,'LANÇAMENTOS DIÁRIOS'!$O$5:$O$500,"&lt;=96999",'LANÇAMENTOS DIÁRIOS'!$P$5:$P$500,"&gt;=96900")&gt;0,"X","")</f>
      </c>
      <c r="G32" s="56" t="str">
        <f>IF(COUNTIFS('LANÇAMENTOS DIÁRIOS'!$G$5:$G$500,"C",'LANÇAMENTOS DIÁRIOS'!$C$5:$C$500,$A32,'LANÇAMENTOS DIÁRIOS'!$O$5:$O$500,"&lt;=97099",'LANÇAMENTOS DIÁRIOS'!$P$5:$P$500,"&gt;=97000")&gt;0,"X","")</f>
      </c>
      <c r="H32" s="56" t="str">
        <f>IF(COUNTIFS('LANÇAMENTOS DIÁRIOS'!$G$5:$G$500,"C",'LANÇAMENTOS DIÁRIOS'!$C$5:$C$500,$A32,'LANÇAMENTOS DIÁRIOS'!$O$5:$O$500,"&lt;=97199",'LANÇAMENTOS DIÁRIOS'!$P$5:$P$500,"&gt;=97100")&gt;0,"X","")</f>
      </c>
      <c r="I32" s="56" t="str">
        <f>IF(COUNTIFS('LANÇAMENTOS DIÁRIOS'!$G$5:$G$500,"C",'LANÇAMENTOS DIÁRIOS'!$C$5:$C$500,$A32,'LANÇAMENTOS DIÁRIOS'!$O$5:$O$500,"&lt;=97299",'LANÇAMENTOS DIÁRIOS'!$P$5:$P$500,"&gt;=97200")&gt;0,"X","")</f>
      </c>
      <c r="J32" s="56" t="str">
        <f>IF(COUNTIFS('LANÇAMENTOS DIÁRIOS'!$G$5:$G$500,"C",'LANÇAMENTOS DIÁRIOS'!$C$5:$C$500,$A32,'LANÇAMENTOS DIÁRIOS'!$O$5:$O$500,"&lt;=97399",'LANÇAMENTOS DIÁRIOS'!$P$5:$P$500,"&gt;=97300")&gt;0,"X","")</f>
      </c>
      <c r="K32" s="56" t="str">
        <f>IF(COUNTIFS('LANÇAMENTOS DIÁRIOS'!$G$5:$G$500,"C",'LANÇAMENTOS DIÁRIOS'!$C$5:$C$500,$A32,'LANÇAMENTOS DIÁRIOS'!$O$5:$O$500,"&lt;=97499",'LANÇAMENTOS DIÁRIOS'!$P$5:$P$500,"&gt;=97400")&gt;0,"X","")</f>
      </c>
      <c r="L32" s="56" t="str">
        <f>IF(COUNTIFS('LANÇAMENTOS DIÁRIOS'!$G$5:$G$500,"C",'LANÇAMENTOS DIÁRIOS'!$C$5:$C$500,$A32,'LANÇAMENTOS DIÁRIOS'!$O$5:$O$500,"&lt;=97599",'LANÇAMENTOS DIÁRIOS'!$P$5:$P$500,"&gt;=97500")&gt;0,"X","")</f>
      </c>
      <c r="M32" s="56" t="str">
        <f>IF(COUNTIFS('LANÇAMENTOS DIÁRIOS'!$G$5:$G$500,"C",'LANÇAMENTOS DIÁRIOS'!$C$5:$C$500,$A32,'LANÇAMENTOS DIÁRIOS'!$O$5:$O$500,"&lt;=97699",'LANÇAMENTOS DIÁRIOS'!$P$5:$P$500,"&gt;=97600")&gt;0,"X","")</f>
      </c>
      <c r="N32" s="56" t="str">
        <f>IF(COUNTIFS('LANÇAMENTOS DIÁRIOS'!$G$5:$G$500,"C",'LANÇAMENTOS DIÁRIOS'!$C$5:$C$500,$A32,'LANÇAMENTOS DIÁRIOS'!$O$5:$O$500,"&lt;=97799",'LANÇAMENTOS DIÁRIOS'!$P$5:$P$500,"&gt;=97700")&gt;0,"X","")</f>
      </c>
      <c r="O32" s="56" t="str">
        <f>IF(COUNTIFS('LANÇAMENTOS DIÁRIOS'!$G$5:$G$500,"C",'LANÇAMENTOS DIÁRIOS'!$C$5:$C$500,$A32,'LANÇAMENTOS DIÁRIOS'!$O$5:$O$500,"&lt;=97899",'LANÇAMENTOS DIÁRIOS'!$P$5:$P$500,"&gt;=97800")&gt;0,"X","")</f>
      </c>
      <c r="P32" s="56" t="str">
        <f>IF(COUNTIFS('LANÇAMENTOS DIÁRIOS'!$G$5:$G$500,"C",'LANÇAMENTOS DIÁRIOS'!$C$5:$C$500,$A32,'LANÇAMENTOS DIÁRIOS'!$O$5:$O$500,"&lt;=97999",'LANÇAMENTOS DIÁRIOS'!$P$5:$P$500,"&gt;=97900")&gt;0,"X","")</f>
      </c>
      <c r="Q32" s="56" t="str">
        <f>IF(COUNTIFS('LANÇAMENTOS DIÁRIOS'!$G$5:$G$500,"C",'LANÇAMENTOS DIÁRIOS'!$C$5:$C$500,$A32,'LANÇAMENTOS DIÁRIOS'!$O$5:$O$500,"&lt;=98099",'LANÇAMENTOS DIÁRIOS'!$P$5:$P$500,"&gt;=98000")&gt;0,"X","")</f>
      </c>
      <c r="R32" s="56" t="str">
        <f>IF(COUNTIFS('LANÇAMENTOS DIÁRIOS'!$G$5:$G$500,"C",'LANÇAMENTOS DIÁRIOS'!$C$5:$C$500,$A32,'LANÇAMENTOS DIÁRIOS'!$O$5:$O$500,"&lt;=98199",'LANÇAMENTOS DIÁRIOS'!$P$5:$P$500,"&gt;=98100")&gt;0,"X","")</f>
      </c>
      <c r="S32" s="56" t="str">
        <f>IF(COUNTIFS('LANÇAMENTOS DIÁRIOS'!$G$5:$G$500,"C",'LANÇAMENTOS DIÁRIOS'!$C$5:$C$500,$A32,'LANÇAMENTOS DIÁRIOS'!$O$5:$O$500,"&lt;=98299",'LANÇAMENTOS DIÁRIOS'!$P$5:$P$500,"&gt;=98200")&gt;0,"X","")</f>
      </c>
      <c r="T32" s="56" t="str">
        <f>IF(COUNTIFS('LANÇAMENTOS DIÁRIOS'!$G$5:$G$500,"C",'LANÇAMENTOS DIÁRIOS'!$C$5:$C$500,$A32,'LANÇAMENTOS DIÁRIOS'!$O$5:$O$500,"&lt;=98399",'LANÇAMENTOS DIÁRIOS'!$P$5:$P$500,"&gt;=98300")&gt;0,"X","")</f>
      </c>
      <c r="U32" s="56" t="str">
        <f>IF(COUNTIFS('LANÇAMENTOS DIÁRIOS'!$G$5:$G$500,"C",'LANÇAMENTOS DIÁRIOS'!$C$5:$C$500,$A32,'LANÇAMENTOS DIÁRIOS'!$O$5:$O$500,"&lt;=98499",'LANÇAMENTOS DIÁRIOS'!$P$5:$P$500,"&gt;=98400")&gt;0,"X","")</f>
      </c>
      <c r="V32" s="56" t="str">
        <f>IF(COUNTIFS('LANÇAMENTOS DIÁRIOS'!$G$5:$G$500,"C",'LANÇAMENTOS DIÁRIOS'!$C$5:$C$500,$A32,'LANÇAMENTOS DIÁRIOS'!$O$5:$O$500,"&lt;=98599",'LANÇAMENTOS DIÁRIOS'!$P$5:$P$500,"&gt;=98500")&gt;0,"X","")</f>
      </c>
      <c r="W32" s="56" t="str">
        <f>IF(COUNTIFS('LANÇAMENTOS DIÁRIOS'!$G$5:$G$500,"C",'LANÇAMENTOS DIÁRIOS'!$C$5:$C$500,$A32,'LANÇAMENTOS DIÁRIOS'!$O$5:$O$500,"&lt;=98699",'LANÇAMENTOS DIÁRIOS'!$P$5:$P$500,"&gt;=98600")&gt;0,"X","")</f>
      </c>
      <c r="X32" s="56" t="str">
        <f>IF(COUNTIFS('LANÇAMENTOS DIÁRIOS'!$G$5:$G$500,"C",'LANÇAMENTOS DIÁRIOS'!$C$5:$C$500,$A32,'LANÇAMENTOS DIÁRIOS'!$O$5:$O$500,"&lt;=98799",'LANÇAMENTOS DIÁRIOS'!$P$5:$P$500,"&gt;=98700")&gt;0,"X","")</f>
      </c>
      <c r="Y32" s="56" t="str">
        <f>IF(COUNTIFS('LANÇAMENTOS DIÁRIOS'!$G$5:$G$500,"C",'LANÇAMENTOS DIÁRIOS'!$C$5:$C$500,$A32,'LANÇAMENTOS DIÁRIOS'!$O$5:$O$500,"&lt;=98899",'LANÇAMENTOS DIÁRIOS'!$P$5:$P$500,"&gt;=98800")&gt;0,"X","")</f>
      </c>
      <c r="Z32" s="56" t="str">
        <f>IF(COUNTIFS('LANÇAMENTOS DIÁRIOS'!$G$5:$G$500,"C",'LANÇAMENTOS DIÁRIOS'!$C$5:$C$500,$A32,'LANÇAMENTOS DIÁRIOS'!$O$5:$O$500,"&lt;=98999",'LANÇAMENTOS DIÁRIOS'!$P$5:$P$500,"&gt;=98900")&gt;0,"X","")</f>
      </c>
      <c r="AA32" s="56" t="str">
        <f>IF(COUNTIFS('LANÇAMENTOS DIÁRIOS'!$G$5:$G$500,"C",'LANÇAMENTOS DIÁRIOS'!$C$5:$C$500,$A32,'LANÇAMENTOS DIÁRIOS'!$O$5:$O$500,"&lt;=99099",'LANÇAMENTOS DIÁRIOS'!$P$5:$P$500,"&gt;=99000")&gt;0,"X","")</f>
      </c>
      <c r="AB32" s="56" t="str">
        <f>IF(COUNTIFS('LANÇAMENTOS DIÁRIOS'!$G$5:$G$500,"C",'LANÇAMENTOS DIÁRIOS'!$C$5:$C$500,$A32,'LANÇAMENTOS DIÁRIOS'!$O$5:$O$500,"&lt;=99199",'LANÇAMENTOS DIÁRIOS'!$P$5:$P$500,"&gt;=99100")&gt;0,"X","")</f>
      </c>
      <c r="AC32" s="56" t="str">
        <f>IF(COUNTIFS('LANÇAMENTOS DIÁRIOS'!$G$5:$G$500,"C",'LANÇAMENTOS DIÁRIOS'!$C$5:$C$500,$A32,'LANÇAMENTOS DIÁRIOS'!$O$5:$O$500,"&lt;=99299",'LANÇAMENTOS DIÁRIOS'!$P$5:$P$500,"&gt;=99200")&gt;0,"X","")</f>
      </c>
      <c r="AD32" s="56" t="str">
        <f>IF(COUNTIFS('LANÇAMENTOS DIÁRIOS'!$G$5:$G$500,"C",'LANÇAMENTOS DIÁRIOS'!$C$5:$C$500,$A32,'LANÇAMENTOS DIÁRIOS'!$O$5:$O$500,"&lt;=99399",'LANÇAMENTOS DIÁRIOS'!$P$5:$P$500,"&gt;=99300")&gt;0,"X","")</f>
      </c>
      <c r="AE32" s="56" t="str">
        <f>IF(COUNTIFS('LANÇAMENTOS DIÁRIOS'!$G$5:$G$500,"C",'LANÇAMENTOS DIÁRIOS'!$C$5:$C$500,$A32,'LANÇAMENTOS DIÁRIOS'!$O$5:$O$500,"&lt;=99499",'LANÇAMENTOS DIÁRIOS'!$P$5:$P$500,"&gt;=99400")&gt;0,"X","")</f>
      </c>
      <c r="AF32" s="56" t="str">
        <f>IF(COUNTIFS('LANÇAMENTOS DIÁRIOS'!$G$5:$G$500,"C",'LANÇAMENTOS DIÁRIOS'!$C$5:$C$500,$A32,'LANÇAMENTOS DIÁRIOS'!$O$5:$O$500,"&lt;=99599",'LANÇAMENTOS DIÁRIOS'!$P$5:$P$500,"&gt;=99500")&gt;0,"X","")</f>
      </c>
      <c r="AG32" s="56" t="str">
        <f>IF(COUNTIFS('LANÇAMENTOS DIÁRIOS'!$G$5:$G$500,"C",'LANÇAMENTOS DIÁRIOS'!$C$5:$C$500,$A32,'LANÇAMENTOS DIÁRIOS'!$O$5:$O$500,"&lt;=99699",'LANÇAMENTOS DIÁRIOS'!$P$5:$P$500,"&gt;=99600")&gt;0,"X","")</f>
      </c>
      <c r="AH32" s="56" t="str">
        <f>IF(COUNTIFS('LANÇAMENTOS DIÁRIOS'!$G$5:$G$500,"C",'LANÇAMENTOS DIÁRIOS'!$C$5:$C$500,$A32,'LANÇAMENTOS DIÁRIOS'!$O$5:$O$500,"&lt;=99799",'LANÇAMENTOS DIÁRIOS'!$P$5:$P$500,"&gt;=99700")&gt;0,"X","")</f>
      </c>
      <c r="AI32" s="56" t="str">
        <f>IF(COUNTIFS('LANÇAMENTOS DIÁRIOS'!$G$5:$G$500,"C",'LANÇAMENTOS DIÁRIOS'!$C$5:$C$500,$A32,'LANÇAMENTOS DIÁRIOS'!$O$5:$O$500,"&lt;=99899",'LANÇAMENTOS DIÁRIOS'!$P$5:$P$500,"&gt;=99800")&gt;0,"X","")</f>
      </c>
      <c r="AJ32" s="56" t="str">
        <f>IF(COUNTIFS('LANÇAMENTOS DIÁRIOS'!$G$5:$G$500,"C",'LANÇAMENTOS DIÁRIOS'!$C$5:$C$500,$A32,'LANÇAMENTOS DIÁRIOS'!$O$5:$O$500,"&lt;=99999",'LANÇAMENTOS DIÁRIOS'!$P$5:$P$500,"&gt;=99900")&gt;0,"X","")</f>
      </c>
      <c r="AK32" s="56" t="str">
        <f>IF(COUNTIFS('LANÇAMENTOS DIÁRIOS'!$G$5:$G$500,"C",'LANÇAMENTOS DIÁRIOS'!$C$5:$C$500,$A32,'LANÇAMENTOS DIÁRIOS'!$O$5:$O$500,"&lt;=100099",'LANÇAMENTOS DIÁRIOS'!$P$5:$P$500,"&gt;=100000")&gt;0,"X","")</f>
      </c>
      <c r="AL32" s="56" t="str">
        <f>IF(COUNTIFS('LANÇAMENTOS DIÁRIOS'!$G$5:$G$500,"C",'LANÇAMENTOS DIÁRIOS'!$C$5:$C$500,$A32,'LANÇAMENTOS DIÁRIOS'!$O$5:$O$500,"&lt;=100199",'LANÇAMENTOS DIÁRIOS'!$P$5:$P$500,"&gt;=100100")&gt;0,"X","")</f>
      </c>
      <c r="AM32" s="56" t="str">
        <f>IF(COUNTIFS('LANÇAMENTOS DIÁRIOS'!$G$5:$G$500,"C",'LANÇAMENTOS DIÁRIOS'!$C$5:$C$500,$A32,'LANÇAMENTOS DIÁRIOS'!$O$5:$O$500,"&lt;=100299",'LANÇAMENTOS DIÁRIOS'!$P$5:$P$500,"&gt;=100200")&gt;0,"X","")</f>
      </c>
      <c r="AN32" s="56" t="str">
        <f>IF(COUNTIFS('LANÇAMENTOS DIÁRIOS'!$G$5:$G$500,"C",'LANÇAMENTOS DIÁRIOS'!$C$5:$C$500,$A32,'LANÇAMENTOS DIÁRIOS'!$O$5:$O$500,"&lt;=100399",'LANÇAMENTOS DIÁRIOS'!$P$5:$P$500,"&gt;=100300")&gt;0,"X","")</f>
      </c>
      <c r="AO32" s="56" t="str">
        <f>IF(COUNTIFS('LANÇAMENTOS DIÁRIOS'!$G$5:$G$500,"C",'LANÇAMENTOS DIÁRIOS'!$C$5:$C$500,$A32,'LANÇAMENTOS DIÁRIOS'!$O$5:$O$500,"&lt;=100499",'LANÇAMENTOS DIÁRIOS'!$P$5:$P$500,"&gt;=100400")&gt;0,"X","")</f>
      </c>
      <c r="AP32" s="56" t="str">
        <f>IF(COUNTIFS('LANÇAMENTOS DIÁRIOS'!$G$5:$G$500,"C",'LANÇAMENTOS DIÁRIOS'!$C$5:$C$500,$A32,'LANÇAMENTOS DIÁRIOS'!$O$5:$O$500,"&lt;=100500",'LANÇAMENTOS DIÁRIOS'!$P$5:$P$500,"&gt;=100500")&gt;0,"X","")</f>
      </c>
    </row>
    <row r="33">
      <c r="A33" s="51" t="str">
        <v>Derrubada e destocamento.arv. c/ diâmetro 50&lt;&gt;60cm, com limpeza da área</v>
      </c>
      <c r="B33" s="56" t="str">
        <f>IF(COUNTIFS('LANÇAMENTOS DIÁRIOS'!$G$5:$G$500,"C",'LANÇAMENTOS DIÁRIOS'!$C$5:$C$500,$A33,'LANÇAMENTOS DIÁRIOS'!$O$5:$O$500,"&lt;=96599",'LANÇAMENTOS DIÁRIOS'!$P$5:$P$500,"&gt;=96500")&gt;0,"X","")</f>
      </c>
      <c r="C33" s="56" t="str">
        <f>IF(COUNTIFS('LANÇAMENTOS DIÁRIOS'!$G$5:$G$500,"C",'LANÇAMENTOS DIÁRIOS'!$C$5:$C$500,$A33,'LANÇAMENTOS DIÁRIOS'!$O$5:$O$500,"&lt;=96699",'LANÇAMENTOS DIÁRIOS'!$P$5:$P$500,"&gt;=96600")&gt;0,"X","")</f>
      </c>
      <c r="D33" s="56" t="str">
        <f>IF(COUNTIFS('LANÇAMENTOS DIÁRIOS'!$G$5:$G$500,"C",'LANÇAMENTOS DIÁRIOS'!$C$5:$C$500,$A33,'LANÇAMENTOS DIÁRIOS'!$O$5:$O$500,"&lt;=96799",'LANÇAMENTOS DIÁRIOS'!$P$5:$P$500,"&gt;=96700")&gt;0,"X","")</f>
      </c>
      <c r="E33" s="56" t="str">
        <f>IF(COUNTIFS('LANÇAMENTOS DIÁRIOS'!$G$5:$G$500,"C",'LANÇAMENTOS DIÁRIOS'!$C$5:$C$500,$A33,'LANÇAMENTOS DIÁRIOS'!$O$5:$O$500,"&lt;=96899",'LANÇAMENTOS DIÁRIOS'!$P$5:$P$500,"&gt;=96800")&gt;0,"X","")</f>
      </c>
      <c r="F33" s="56" t="str">
        <f>IF(COUNTIFS('LANÇAMENTOS DIÁRIOS'!$G$5:$G$500,"C",'LANÇAMENTOS DIÁRIOS'!$C$5:$C$500,$A33,'LANÇAMENTOS DIÁRIOS'!$O$5:$O$500,"&lt;=96999",'LANÇAMENTOS DIÁRIOS'!$P$5:$P$500,"&gt;=96900")&gt;0,"X","")</f>
      </c>
      <c r="G33" s="56" t="str">
        <f>IF(COUNTIFS('LANÇAMENTOS DIÁRIOS'!$G$5:$G$500,"C",'LANÇAMENTOS DIÁRIOS'!$C$5:$C$500,$A33,'LANÇAMENTOS DIÁRIOS'!$O$5:$O$500,"&lt;=97099",'LANÇAMENTOS DIÁRIOS'!$P$5:$P$500,"&gt;=97000")&gt;0,"X","")</f>
      </c>
      <c r="H33" s="56" t="str">
        <f>IF(COUNTIFS('LANÇAMENTOS DIÁRIOS'!$G$5:$G$500,"C",'LANÇAMENTOS DIÁRIOS'!$C$5:$C$500,$A33,'LANÇAMENTOS DIÁRIOS'!$O$5:$O$500,"&lt;=97199",'LANÇAMENTOS DIÁRIOS'!$P$5:$P$500,"&gt;=97100")&gt;0,"X","")</f>
      </c>
      <c r="I33" s="56" t="str">
        <f>IF(COUNTIFS('LANÇAMENTOS DIÁRIOS'!$G$5:$G$500,"C",'LANÇAMENTOS DIÁRIOS'!$C$5:$C$500,$A33,'LANÇAMENTOS DIÁRIOS'!$O$5:$O$500,"&lt;=97299",'LANÇAMENTOS DIÁRIOS'!$P$5:$P$500,"&gt;=97200")&gt;0,"X","")</f>
      </c>
      <c r="J33" s="56" t="str">
        <f>IF(COUNTIFS('LANÇAMENTOS DIÁRIOS'!$G$5:$G$500,"C",'LANÇAMENTOS DIÁRIOS'!$C$5:$C$500,$A33,'LANÇAMENTOS DIÁRIOS'!$O$5:$O$500,"&lt;=97399",'LANÇAMENTOS DIÁRIOS'!$P$5:$P$500,"&gt;=97300")&gt;0,"X","")</f>
      </c>
      <c r="K33" s="56" t="str">
        <f>IF(COUNTIFS('LANÇAMENTOS DIÁRIOS'!$G$5:$G$500,"C",'LANÇAMENTOS DIÁRIOS'!$C$5:$C$500,$A33,'LANÇAMENTOS DIÁRIOS'!$O$5:$O$500,"&lt;=97499",'LANÇAMENTOS DIÁRIOS'!$P$5:$P$500,"&gt;=97400")&gt;0,"X","")</f>
      </c>
      <c r="L33" s="56" t="str">
        <f>IF(COUNTIFS('LANÇAMENTOS DIÁRIOS'!$G$5:$G$500,"C",'LANÇAMENTOS DIÁRIOS'!$C$5:$C$500,$A33,'LANÇAMENTOS DIÁRIOS'!$O$5:$O$500,"&lt;=97599",'LANÇAMENTOS DIÁRIOS'!$P$5:$P$500,"&gt;=97500")&gt;0,"X","")</f>
      </c>
      <c r="M33" s="56" t="str">
        <f>IF(COUNTIFS('LANÇAMENTOS DIÁRIOS'!$G$5:$G$500,"C",'LANÇAMENTOS DIÁRIOS'!$C$5:$C$500,$A33,'LANÇAMENTOS DIÁRIOS'!$O$5:$O$500,"&lt;=97699",'LANÇAMENTOS DIÁRIOS'!$P$5:$P$500,"&gt;=97600")&gt;0,"X","")</f>
      </c>
      <c r="N33" s="56" t="str">
        <f>IF(COUNTIFS('LANÇAMENTOS DIÁRIOS'!$G$5:$G$500,"C",'LANÇAMENTOS DIÁRIOS'!$C$5:$C$500,$A33,'LANÇAMENTOS DIÁRIOS'!$O$5:$O$500,"&lt;=97799",'LANÇAMENTOS DIÁRIOS'!$P$5:$P$500,"&gt;=97700")&gt;0,"X","")</f>
      </c>
      <c r="O33" s="56" t="str">
        <f>IF(COUNTIFS('LANÇAMENTOS DIÁRIOS'!$G$5:$G$500,"C",'LANÇAMENTOS DIÁRIOS'!$C$5:$C$500,$A33,'LANÇAMENTOS DIÁRIOS'!$O$5:$O$500,"&lt;=97899",'LANÇAMENTOS DIÁRIOS'!$P$5:$P$500,"&gt;=97800")&gt;0,"X","")</f>
      </c>
      <c r="P33" s="56" t="str">
        <f>IF(COUNTIFS('LANÇAMENTOS DIÁRIOS'!$G$5:$G$500,"C",'LANÇAMENTOS DIÁRIOS'!$C$5:$C$500,$A33,'LANÇAMENTOS DIÁRIOS'!$O$5:$O$500,"&lt;=97999",'LANÇAMENTOS DIÁRIOS'!$P$5:$P$500,"&gt;=97900")&gt;0,"X","")</f>
      </c>
      <c r="Q33" s="56" t="str">
        <f>IF(COUNTIFS('LANÇAMENTOS DIÁRIOS'!$G$5:$G$500,"C",'LANÇAMENTOS DIÁRIOS'!$C$5:$C$500,$A33,'LANÇAMENTOS DIÁRIOS'!$O$5:$O$500,"&lt;=98099",'LANÇAMENTOS DIÁRIOS'!$P$5:$P$500,"&gt;=98000")&gt;0,"X","")</f>
      </c>
      <c r="R33" s="56" t="str">
        <f>IF(COUNTIFS('LANÇAMENTOS DIÁRIOS'!$G$5:$G$500,"C",'LANÇAMENTOS DIÁRIOS'!$C$5:$C$500,$A33,'LANÇAMENTOS DIÁRIOS'!$O$5:$O$500,"&lt;=98199",'LANÇAMENTOS DIÁRIOS'!$P$5:$P$500,"&gt;=98100")&gt;0,"X","")</f>
      </c>
      <c r="S33" s="56" t="str">
        <f>IF(COUNTIFS('LANÇAMENTOS DIÁRIOS'!$G$5:$G$500,"C",'LANÇAMENTOS DIÁRIOS'!$C$5:$C$500,$A33,'LANÇAMENTOS DIÁRIOS'!$O$5:$O$500,"&lt;=98299",'LANÇAMENTOS DIÁRIOS'!$P$5:$P$500,"&gt;=98200")&gt;0,"X","")</f>
      </c>
      <c r="T33" s="56" t="str">
        <f>IF(COUNTIFS('LANÇAMENTOS DIÁRIOS'!$G$5:$G$500,"C",'LANÇAMENTOS DIÁRIOS'!$C$5:$C$500,$A33,'LANÇAMENTOS DIÁRIOS'!$O$5:$O$500,"&lt;=98399",'LANÇAMENTOS DIÁRIOS'!$P$5:$P$500,"&gt;=98300")&gt;0,"X","")</f>
      </c>
      <c r="U33" s="56" t="str">
        <f>IF(COUNTIFS('LANÇAMENTOS DIÁRIOS'!$G$5:$G$500,"C",'LANÇAMENTOS DIÁRIOS'!$C$5:$C$500,$A33,'LANÇAMENTOS DIÁRIOS'!$O$5:$O$500,"&lt;=98499",'LANÇAMENTOS DIÁRIOS'!$P$5:$P$500,"&gt;=98400")&gt;0,"X","")</f>
      </c>
      <c r="V33" s="56" t="str">
        <f>IF(COUNTIFS('LANÇAMENTOS DIÁRIOS'!$G$5:$G$500,"C",'LANÇAMENTOS DIÁRIOS'!$C$5:$C$500,$A33,'LANÇAMENTOS DIÁRIOS'!$O$5:$O$500,"&lt;=98599",'LANÇAMENTOS DIÁRIOS'!$P$5:$P$500,"&gt;=98500")&gt;0,"X","")</f>
      </c>
      <c r="W33" s="56" t="str">
        <f>IF(COUNTIFS('LANÇAMENTOS DIÁRIOS'!$G$5:$G$500,"C",'LANÇAMENTOS DIÁRIOS'!$C$5:$C$500,$A33,'LANÇAMENTOS DIÁRIOS'!$O$5:$O$500,"&lt;=98699",'LANÇAMENTOS DIÁRIOS'!$P$5:$P$500,"&gt;=98600")&gt;0,"X","")</f>
      </c>
      <c r="X33" s="56" t="str">
        <f>IF(COUNTIFS('LANÇAMENTOS DIÁRIOS'!$G$5:$G$500,"C",'LANÇAMENTOS DIÁRIOS'!$C$5:$C$500,$A33,'LANÇAMENTOS DIÁRIOS'!$O$5:$O$500,"&lt;=98799",'LANÇAMENTOS DIÁRIOS'!$P$5:$P$500,"&gt;=98700")&gt;0,"X","")</f>
      </c>
      <c r="Y33" s="56" t="str">
        <f>IF(COUNTIFS('LANÇAMENTOS DIÁRIOS'!$G$5:$G$500,"C",'LANÇAMENTOS DIÁRIOS'!$C$5:$C$500,$A33,'LANÇAMENTOS DIÁRIOS'!$O$5:$O$500,"&lt;=98899",'LANÇAMENTOS DIÁRIOS'!$P$5:$P$500,"&gt;=98800")&gt;0,"X","")</f>
      </c>
      <c r="Z33" s="56" t="str">
        <f>IF(COUNTIFS('LANÇAMENTOS DIÁRIOS'!$G$5:$G$500,"C",'LANÇAMENTOS DIÁRIOS'!$C$5:$C$500,$A33,'LANÇAMENTOS DIÁRIOS'!$O$5:$O$500,"&lt;=98999",'LANÇAMENTOS DIÁRIOS'!$P$5:$P$500,"&gt;=98900")&gt;0,"X","")</f>
      </c>
      <c r="AA33" s="56" t="str">
        <f>IF(COUNTIFS('LANÇAMENTOS DIÁRIOS'!$G$5:$G$500,"C",'LANÇAMENTOS DIÁRIOS'!$C$5:$C$500,$A33,'LANÇAMENTOS DIÁRIOS'!$O$5:$O$500,"&lt;=99099",'LANÇAMENTOS DIÁRIOS'!$P$5:$P$500,"&gt;=99000")&gt;0,"X","")</f>
      </c>
      <c r="AB33" s="56" t="str">
        <f>IF(COUNTIFS('LANÇAMENTOS DIÁRIOS'!$G$5:$G$500,"C",'LANÇAMENTOS DIÁRIOS'!$C$5:$C$500,$A33,'LANÇAMENTOS DIÁRIOS'!$O$5:$O$500,"&lt;=99199",'LANÇAMENTOS DIÁRIOS'!$P$5:$P$500,"&gt;=99100")&gt;0,"X","")</f>
      </c>
      <c r="AC33" s="56" t="str">
        <f>IF(COUNTIFS('LANÇAMENTOS DIÁRIOS'!$G$5:$G$500,"C",'LANÇAMENTOS DIÁRIOS'!$C$5:$C$500,$A33,'LANÇAMENTOS DIÁRIOS'!$O$5:$O$500,"&lt;=99299",'LANÇAMENTOS DIÁRIOS'!$P$5:$P$500,"&gt;=99200")&gt;0,"X","")</f>
      </c>
      <c r="AD33" s="56" t="str">
        <f>IF(COUNTIFS('LANÇAMENTOS DIÁRIOS'!$G$5:$G$500,"C",'LANÇAMENTOS DIÁRIOS'!$C$5:$C$500,$A33,'LANÇAMENTOS DIÁRIOS'!$O$5:$O$500,"&lt;=99399",'LANÇAMENTOS DIÁRIOS'!$P$5:$P$500,"&gt;=99300")&gt;0,"X","")</f>
      </c>
      <c r="AE33" s="56" t="str">
        <f>IF(COUNTIFS('LANÇAMENTOS DIÁRIOS'!$G$5:$G$500,"C",'LANÇAMENTOS DIÁRIOS'!$C$5:$C$500,$A33,'LANÇAMENTOS DIÁRIOS'!$O$5:$O$500,"&lt;=99499",'LANÇAMENTOS DIÁRIOS'!$P$5:$P$500,"&gt;=99400")&gt;0,"X","")</f>
      </c>
      <c r="AF33" s="56" t="str">
        <f>IF(COUNTIFS('LANÇAMENTOS DIÁRIOS'!$G$5:$G$500,"C",'LANÇAMENTOS DIÁRIOS'!$C$5:$C$500,$A33,'LANÇAMENTOS DIÁRIOS'!$O$5:$O$500,"&lt;=99599",'LANÇAMENTOS DIÁRIOS'!$P$5:$P$500,"&gt;=99500")&gt;0,"X","")</f>
      </c>
      <c r="AG33" s="56" t="str">
        <f>IF(COUNTIFS('LANÇAMENTOS DIÁRIOS'!$G$5:$G$500,"C",'LANÇAMENTOS DIÁRIOS'!$C$5:$C$500,$A33,'LANÇAMENTOS DIÁRIOS'!$O$5:$O$500,"&lt;=99699",'LANÇAMENTOS DIÁRIOS'!$P$5:$P$500,"&gt;=99600")&gt;0,"X","")</f>
      </c>
      <c r="AH33" s="56" t="str">
        <f>IF(COUNTIFS('LANÇAMENTOS DIÁRIOS'!$G$5:$G$500,"C",'LANÇAMENTOS DIÁRIOS'!$C$5:$C$500,$A33,'LANÇAMENTOS DIÁRIOS'!$O$5:$O$500,"&lt;=99799",'LANÇAMENTOS DIÁRIOS'!$P$5:$P$500,"&gt;=99700")&gt;0,"X","")</f>
      </c>
      <c r="AI33" s="56" t="str">
        <f>IF(COUNTIFS('LANÇAMENTOS DIÁRIOS'!$G$5:$G$500,"C",'LANÇAMENTOS DIÁRIOS'!$C$5:$C$500,$A33,'LANÇAMENTOS DIÁRIOS'!$O$5:$O$500,"&lt;=99899",'LANÇAMENTOS DIÁRIOS'!$P$5:$P$500,"&gt;=99800")&gt;0,"X","")</f>
      </c>
      <c r="AJ33" s="56" t="str">
        <f>IF(COUNTIFS('LANÇAMENTOS DIÁRIOS'!$G$5:$G$500,"C",'LANÇAMENTOS DIÁRIOS'!$C$5:$C$500,$A33,'LANÇAMENTOS DIÁRIOS'!$O$5:$O$500,"&lt;=99999",'LANÇAMENTOS DIÁRIOS'!$P$5:$P$500,"&gt;=99900")&gt;0,"X","")</f>
      </c>
      <c r="AK33" s="56" t="str">
        <f>IF(COUNTIFS('LANÇAMENTOS DIÁRIOS'!$G$5:$G$500,"C",'LANÇAMENTOS DIÁRIOS'!$C$5:$C$500,$A33,'LANÇAMENTOS DIÁRIOS'!$O$5:$O$500,"&lt;=100099",'LANÇAMENTOS DIÁRIOS'!$P$5:$P$500,"&gt;=100000")&gt;0,"X","")</f>
      </c>
      <c r="AL33" s="56" t="str">
        <f>IF(COUNTIFS('LANÇAMENTOS DIÁRIOS'!$G$5:$G$500,"C",'LANÇAMENTOS DIÁRIOS'!$C$5:$C$500,$A33,'LANÇAMENTOS DIÁRIOS'!$O$5:$O$500,"&lt;=100199",'LANÇAMENTOS DIÁRIOS'!$P$5:$P$500,"&gt;=100100")&gt;0,"X","")</f>
      </c>
      <c r="AM33" s="56" t="str">
        <f>IF(COUNTIFS('LANÇAMENTOS DIÁRIOS'!$G$5:$G$500,"C",'LANÇAMENTOS DIÁRIOS'!$C$5:$C$500,$A33,'LANÇAMENTOS DIÁRIOS'!$O$5:$O$500,"&lt;=100299",'LANÇAMENTOS DIÁRIOS'!$P$5:$P$500,"&gt;=100200")&gt;0,"X","")</f>
      </c>
      <c r="AN33" s="56" t="str">
        <f>IF(COUNTIFS('LANÇAMENTOS DIÁRIOS'!$G$5:$G$500,"C",'LANÇAMENTOS DIÁRIOS'!$C$5:$C$500,$A33,'LANÇAMENTOS DIÁRIOS'!$O$5:$O$500,"&lt;=100399",'LANÇAMENTOS DIÁRIOS'!$P$5:$P$500,"&gt;=100300")&gt;0,"X","")</f>
      </c>
      <c r="AO33" s="56" t="str">
        <f>IF(COUNTIFS('LANÇAMENTOS DIÁRIOS'!$G$5:$G$500,"C",'LANÇAMENTOS DIÁRIOS'!$C$5:$C$500,$A33,'LANÇAMENTOS DIÁRIOS'!$O$5:$O$500,"&lt;=100499",'LANÇAMENTOS DIÁRIOS'!$P$5:$P$500,"&gt;=100400")&gt;0,"X","")</f>
      </c>
      <c r="AP33" s="56" t="str">
        <f>IF(COUNTIFS('LANÇAMENTOS DIÁRIOS'!$G$5:$G$500,"C",'LANÇAMENTOS DIÁRIOS'!$C$5:$C$500,$A33,'LANÇAMENTOS DIÁRIOS'!$O$5:$O$500,"&lt;=100500",'LANÇAMENTOS DIÁRIOS'!$P$5:$P$500,"&gt;=100500")&gt;0,"X","")</f>
      </c>
    </row>
    <row r="34">
      <c r="A34" s="51" t="str">
        <v>Derrubada e destocamento.arv. c/ diâmetro 60&lt;&gt;70cm, com limpeza da área</v>
      </c>
      <c r="B34" s="56" t="str">
        <f>IF(COUNTIFS('LANÇAMENTOS DIÁRIOS'!$G$5:$G$500,"C",'LANÇAMENTOS DIÁRIOS'!$C$5:$C$500,$A34,'LANÇAMENTOS DIÁRIOS'!$O$5:$O$500,"&lt;=96599",'LANÇAMENTOS DIÁRIOS'!$P$5:$P$500,"&gt;=96500")&gt;0,"X","")</f>
      </c>
      <c r="C34" s="56" t="str">
        <f>IF(COUNTIFS('LANÇAMENTOS DIÁRIOS'!$G$5:$G$500,"C",'LANÇAMENTOS DIÁRIOS'!$C$5:$C$500,$A34,'LANÇAMENTOS DIÁRIOS'!$O$5:$O$500,"&lt;=96699",'LANÇAMENTOS DIÁRIOS'!$P$5:$P$500,"&gt;=96600")&gt;0,"X","")</f>
      </c>
      <c r="D34" s="56" t="str">
        <f>IF(COUNTIFS('LANÇAMENTOS DIÁRIOS'!$G$5:$G$500,"C",'LANÇAMENTOS DIÁRIOS'!$C$5:$C$500,$A34,'LANÇAMENTOS DIÁRIOS'!$O$5:$O$500,"&lt;=96799",'LANÇAMENTOS DIÁRIOS'!$P$5:$P$500,"&gt;=96700")&gt;0,"X","")</f>
      </c>
      <c r="E34" s="56" t="str">
        <f>IF(COUNTIFS('LANÇAMENTOS DIÁRIOS'!$G$5:$G$500,"C",'LANÇAMENTOS DIÁRIOS'!$C$5:$C$500,$A34,'LANÇAMENTOS DIÁRIOS'!$O$5:$O$500,"&lt;=96899",'LANÇAMENTOS DIÁRIOS'!$P$5:$P$500,"&gt;=96800")&gt;0,"X","")</f>
      </c>
      <c r="F34" s="56" t="str">
        <f>IF(COUNTIFS('LANÇAMENTOS DIÁRIOS'!$G$5:$G$500,"C",'LANÇAMENTOS DIÁRIOS'!$C$5:$C$500,$A34,'LANÇAMENTOS DIÁRIOS'!$O$5:$O$500,"&lt;=96999",'LANÇAMENTOS DIÁRIOS'!$P$5:$P$500,"&gt;=96900")&gt;0,"X","")</f>
      </c>
      <c r="G34" s="56" t="str">
        <f>IF(COUNTIFS('LANÇAMENTOS DIÁRIOS'!$G$5:$G$500,"C",'LANÇAMENTOS DIÁRIOS'!$C$5:$C$500,$A34,'LANÇAMENTOS DIÁRIOS'!$O$5:$O$500,"&lt;=97099",'LANÇAMENTOS DIÁRIOS'!$P$5:$P$500,"&gt;=97000")&gt;0,"X","")</f>
      </c>
      <c r="H34" s="56" t="str">
        <f>IF(COUNTIFS('LANÇAMENTOS DIÁRIOS'!$G$5:$G$500,"C",'LANÇAMENTOS DIÁRIOS'!$C$5:$C$500,$A34,'LANÇAMENTOS DIÁRIOS'!$O$5:$O$500,"&lt;=97199",'LANÇAMENTOS DIÁRIOS'!$P$5:$P$500,"&gt;=97100")&gt;0,"X","")</f>
      </c>
      <c r="I34" s="56" t="str">
        <f>IF(COUNTIFS('LANÇAMENTOS DIÁRIOS'!$G$5:$G$500,"C",'LANÇAMENTOS DIÁRIOS'!$C$5:$C$500,$A34,'LANÇAMENTOS DIÁRIOS'!$O$5:$O$500,"&lt;=97299",'LANÇAMENTOS DIÁRIOS'!$P$5:$P$500,"&gt;=97200")&gt;0,"X","")</f>
      </c>
      <c r="J34" s="56" t="str">
        <f>IF(COUNTIFS('LANÇAMENTOS DIÁRIOS'!$G$5:$G$500,"C",'LANÇAMENTOS DIÁRIOS'!$C$5:$C$500,$A34,'LANÇAMENTOS DIÁRIOS'!$O$5:$O$500,"&lt;=97399",'LANÇAMENTOS DIÁRIOS'!$P$5:$P$500,"&gt;=97300")&gt;0,"X","")</f>
      </c>
      <c r="K34" s="56" t="str">
        <f>IF(COUNTIFS('LANÇAMENTOS DIÁRIOS'!$G$5:$G$500,"C",'LANÇAMENTOS DIÁRIOS'!$C$5:$C$500,$A34,'LANÇAMENTOS DIÁRIOS'!$O$5:$O$500,"&lt;=97499",'LANÇAMENTOS DIÁRIOS'!$P$5:$P$500,"&gt;=97400")&gt;0,"X","")</f>
      </c>
      <c r="L34" s="56" t="str">
        <f>IF(COUNTIFS('LANÇAMENTOS DIÁRIOS'!$G$5:$G$500,"C",'LANÇAMENTOS DIÁRIOS'!$C$5:$C$500,$A34,'LANÇAMENTOS DIÁRIOS'!$O$5:$O$500,"&lt;=97599",'LANÇAMENTOS DIÁRIOS'!$P$5:$P$500,"&gt;=97500")&gt;0,"X","")</f>
      </c>
      <c r="M34" s="56" t="str">
        <f>IF(COUNTIFS('LANÇAMENTOS DIÁRIOS'!$G$5:$G$500,"C",'LANÇAMENTOS DIÁRIOS'!$C$5:$C$500,$A34,'LANÇAMENTOS DIÁRIOS'!$O$5:$O$500,"&lt;=97699",'LANÇAMENTOS DIÁRIOS'!$P$5:$P$500,"&gt;=97600")&gt;0,"X","")</f>
      </c>
      <c r="N34" s="56" t="str">
        <f>IF(COUNTIFS('LANÇAMENTOS DIÁRIOS'!$G$5:$G$500,"C",'LANÇAMENTOS DIÁRIOS'!$C$5:$C$500,$A34,'LANÇAMENTOS DIÁRIOS'!$O$5:$O$500,"&lt;=97799",'LANÇAMENTOS DIÁRIOS'!$P$5:$P$500,"&gt;=97700")&gt;0,"X","")</f>
      </c>
      <c r="O34" s="56" t="str">
        <f>IF(COUNTIFS('LANÇAMENTOS DIÁRIOS'!$G$5:$G$500,"C",'LANÇAMENTOS DIÁRIOS'!$C$5:$C$500,$A34,'LANÇAMENTOS DIÁRIOS'!$O$5:$O$500,"&lt;=97899",'LANÇAMENTOS DIÁRIOS'!$P$5:$P$500,"&gt;=97800")&gt;0,"X","")</f>
      </c>
      <c r="P34" s="56" t="str">
        <f>IF(COUNTIFS('LANÇAMENTOS DIÁRIOS'!$G$5:$G$500,"C",'LANÇAMENTOS DIÁRIOS'!$C$5:$C$500,$A34,'LANÇAMENTOS DIÁRIOS'!$O$5:$O$500,"&lt;=97999",'LANÇAMENTOS DIÁRIOS'!$P$5:$P$500,"&gt;=97900")&gt;0,"X","")</f>
      </c>
      <c r="Q34" s="56" t="str">
        <f>IF(COUNTIFS('LANÇAMENTOS DIÁRIOS'!$G$5:$G$500,"C",'LANÇAMENTOS DIÁRIOS'!$C$5:$C$500,$A34,'LANÇAMENTOS DIÁRIOS'!$O$5:$O$500,"&lt;=98099",'LANÇAMENTOS DIÁRIOS'!$P$5:$P$500,"&gt;=98000")&gt;0,"X","")</f>
      </c>
      <c r="R34" s="56" t="str">
        <f>IF(COUNTIFS('LANÇAMENTOS DIÁRIOS'!$G$5:$G$500,"C",'LANÇAMENTOS DIÁRIOS'!$C$5:$C$500,$A34,'LANÇAMENTOS DIÁRIOS'!$O$5:$O$500,"&lt;=98199",'LANÇAMENTOS DIÁRIOS'!$P$5:$P$500,"&gt;=98100")&gt;0,"X","")</f>
      </c>
      <c r="S34" s="56" t="str">
        <f>IF(COUNTIFS('LANÇAMENTOS DIÁRIOS'!$G$5:$G$500,"C",'LANÇAMENTOS DIÁRIOS'!$C$5:$C$500,$A34,'LANÇAMENTOS DIÁRIOS'!$O$5:$O$500,"&lt;=98299",'LANÇAMENTOS DIÁRIOS'!$P$5:$P$500,"&gt;=98200")&gt;0,"X","")</f>
      </c>
      <c r="T34" s="56" t="str">
        <f>IF(COUNTIFS('LANÇAMENTOS DIÁRIOS'!$G$5:$G$500,"C",'LANÇAMENTOS DIÁRIOS'!$C$5:$C$500,$A34,'LANÇAMENTOS DIÁRIOS'!$O$5:$O$500,"&lt;=98399",'LANÇAMENTOS DIÁRIOS'!$P$5:$P$500,"&gt;=98300")&gt;0,"X","")</f>
      </c>
      <c r="U34" s="56" t="str">
        <f>IF(COUNTIFS('LANÇAMENTOS DIÁRIOS'!$G$5:$G$500,"C",'LANÇAMENTOS DIÁRIOS'!$C$5:$C$500,$A34,'LANÇAMENTOS DIÁRIOS'!$O$5:$O$500,"&lt;=98499",'LANÇAMENTOS DIÁRIOS'!$P$5:$P$500,"&gt;=98400")&gt;0,"X","")</f>
      </c>
      <c r="V34" s="56" t="str">
        <f>IF(COUNTIFS('LANÇAMENTOS DIÁRIOS'!$G$5:$G$500,"C",'LANÇAMENTOS DIÁRIOS'!$C$5:$C$500,$A34,'LANÇAMENTOS DIÁRIOS'!$O$5:$O$500,"&lt;=98599",'LANÇAMENTOS DIÁRIOS'!$P$5:$P$500,"&gt;=98500")&gt;0,"X","")</f>
      </c>
      <c r="W34" s="56" t="str">
        <f>IF(COUNTIFS('LANÇAMENTOS DIÁRIOS'!$G$5:$G$500,"C",'LANÇAMENTOS DIÁRIOS'!$C$5:$C$500,$A34,'LANÇAMENTOS DIÁRIOS'!$O$5:$O$500,"&lt;=98699",'LANÇAMENTOS DIÁRIOS'!$P$5:$P$500,"&gt;=98600")&gt;0,"X","")</f>
      </c>
      <c r="X34" s="56" t="str">
        <f>IF(COUNTIFS('LANÇAMENTOS DIÁRIOS'!$G$5:$G$500,"C",'LANÇAMENTOS DIÁRIOS'!$C$5:$C$500,$A34,'LANÇAMENTOS DIÁRIOS'!$O$5:$O$500,"&lt;=98799",'LANÇAMENTOS DIÁRIOS'!$P$5:$P$500,"&gt;=98700")&gt;0,"X","")</f>
      </c>
      <c r="Y34" s="56" t="str">
        <f>IF(COUNTIFS('LANÇAMENTOS DIÁRIOS'!$G$5:$G$500,"C",'LANÇAMENTOS DIÁRIOS'!$C$5:$C$500,$A34,'LANÇAMENTOS DIÁRIOS'!$O$5:$O$500,"&lt;=98899",'LANÇAMENTOS DIÁRIOS'!$P$5:$P$500,"&gt;=98800")&gt;0,"X","")</f>
      </c>
      <c r="Z34" s="56" t="str">
        <f>IF(COUNTIFS('LANÇAMENTOS DIÁRIOS'!$G$5:$G$500,"C",'LANÇAMENTOS DIÁRIOS'!$C$5:$C$500,$A34,'LANÇAMENTOS DIÁRIOS'!$O$5:$O$500,"&lt;=98999",'LANÇAMENTOS DIÁRIOS'!$P$5:$P$500,"&gt;=98900")&gt;0,"X","")</f>
      </c>
      <c r="AA34" s="56" t="str">
        <f>IF(COUNTIFS('LANÇAMENTOS DIÁRIOS'!$G$5:$G$500,"C",'LANÇAMENTOS DIÁRIOS'!$C$5:$C$500,$A34,'LANÇAMENTOS DIÁRIOS'!$O$5:$O$500,"&lt;=99099",'LANÇAMENTOS DIÁRIOS'!$P$5:$P$500,"&gt;=99000")&gt;0,"X","")</f>
      </c>
      <c r="AB34" s="56" t="str">
        <f>IF(COUNTIFS('LANÇAMENTOS DIÁRIOS'!$G$5:$G$500,"C",'LANÇAMENTOS DIÁRIOS'!$C$5:$C$500,$A34,'LANÇAMENTOS DIÁRIOS'!$O$5:$O$500,"&lt;=99199",'LANÇAMENTOS DIÁRIOS'!$P$5:$P$500,"&gt;=99100")&gt;0,"X","")</f>
      </c>
      <c r="AC34" s="56" t="str">
        <f>IF(COUNTIFS('LANÇAMENTOS DIÁRIOS'!$G$5:$G$500,"C",'LANÇAMENTOS DIÁRIOS'!$C$5:$C$500,$A34,'LANÇAMENTOS DIÁRIOS'!$O$5:$O$500,"&lt;=99299",'LANÇAMENTOS DIÁRIOS'!$P$5:$P$500,"&gt;=99200")&gt;0,"X","")</f>
      </c>
      <c r="AD34" s="56" t="str">
        <f>IF(COUNTIFS('LANÇAMENTOS DIÁRIOS'!$G$5:$G$500,"C",'LANÇAMENTOS DIÁRIOS'!$C$5:$C$500,$A34,'LANÇAMENTOS DIÁRIOS'!$O$5:$O$500,"&lt;=99399",'LANÇAMENTOS DIÁRIOS'!$P$5:$P$500,"&gt;=99300")&gt;0,"X","")</f>
      </c>
      <c r="AE34" s="56" t="str">
        <f>IF(COUNTIFS('LANÇAMENTOS DIÁRIOS'!$G$5:$G$500,"C",'LANÇAMENTOS DIÁRIOS'!$C$5:$C$500,$A34,'LANÇAMENTOS DIÁRIOS'!$O$5:$O$500,"&lt;=99499",'LANÇAMENTOS DIÁRIOS'!$P$5:$P$500,"&gt;=99400")&gt;0,"X","")</f>
      </c>
      <c r="AF34" s="56" t="str">
        <f>IF(COUNTIFS('LANÇAMENTOS DIÁRIOS'!$G$5:$G$500,"C",'LANÇAMENTOS DIÁRIOS'!$C$5:$C$500,$A34,'LANÇAMENTOS DIÁRIOS'!$O$5:$O$500,"&lt;=99599",'LANÇAMENTOS DIÁRIOS'!$P$5:$P$500,"&gt;=99500")&gt;0,"X","")</f>
      </c>
      <c r="AG34" s="56" t="str">
        <f>IF(COUNTIFS('LANÇAMENTOS DIÁRIOS'!$G$5:$G$500,"C",'LANÇAMENTOS DIÁRIOS'!$C$5:$C$500,$A34,'LANÇAMENTOS DIÁRIOS'!$O$5:$O$500,"&lt;=99699",'LANÇAMENTOS DIÁRIOS'!$P$5:$P$500,"&gt;=99600")&gt;0,"X","")</f>
      </c>
      <c r="AH34" s="56" t="str">
        <f>IF(COUNTIFS('LANÇAMENTOS DIÁRIOS'!$G$5:$G$500,"C",'LANÇAMENTOS DIÁRIOS'!$C$5:$C$500,$A34,'LANÇAMENTOS DIÁRIOS'!$O$5:$O$500,"&lt;=99799",'LANÇAMENTOS DIÁRIOS'!$P$5:$P$500,"&gt;=99700")&gt;0,"X","")</f>
      </c>
      <c r="AI34" s="56" t="str">
        <f>IF(COUNTIFS('LANÇAMENTOS DIÁRIOS'!$G$5:$G$500,"C",'LANÇAMENTOS DIÁRIOS'!$C$5:$C$500,$A34,'LANÇAMENTOS DIÁRIOS'!$O$5:$O$500,"&lt;=99899",'LANÇAMENTOS DIÁRIOS'!$P$5:$P$500,"&gt;=99800")&gt;0,"X","")</f>
      </c>
      <c r="AJ34" s="56" t="str">
        <f>IF(COUNTIFS('LANÇAMENTOS DIÁRIOS'!$G$5:$G$500,"C",'LANÇAMENTOS DIÁRIOS'!$C$5:$C$500,$A34,'LANÇAMENTOS DIÁRIOS'!$O$5:$O$500,"&lt;=99999",'LANÇAMENTOS DIÁRIOS'!$P$5:$P$500,"&gt;=99900")&gt;0,"X","")</f>
      </c>
      <c r="AK34" s="56" t="str">
        <f>IF(COUNTIFS('LANÇAMENTOS DIÁRIOS'!$G$5:$G$500,"C",'LANÇAMENTOS DIÁRIOS'!$C$5:$C$500,$A34,'LANÇAMENTOS DIÁRIOS'!$O$5:$O$500,"&lt;=100099",'LANÇAMENTOS DIÁRIOS'!$P$5:$P$500,"&gt;=100000")&gt;0,"X","")</f>
      </c>
      <c r="AL34" s="56" t="str">
        <f>IF(COUNTIFS('LANÇAMENTOS DIÁRIOS'!$G$5:$G$500,"C",'LANÇAMENTOS DIÁRIOS'!$C$5:$C$500,$A34,'LANÇAMENTOS DIÁRIOS'!$O$5:$O$500,"&lt;=100199",'LANÇAMENTOS DIÁRIOS'!$P$5:$P$500,"&gt;=100100")&gt;0,"X","")</f>
      </c>
      <c r="AM34" s="56" t="str">
        <f>IF(COUNTIFS('LANÇAMENTOS DIÁRIOS'!$G$5:$G$500,"C",'LANÇAMENTOS DIÁRIOS'!$C$5:$C$500,$A34,'LANÇAMENTOS DIÁRIOS'!$O$5:$O$500,"&lt;=100299",'LANÇAMENTOS DIÁRIOS'!$P$5:$P$500,"&gt;=100200")&gt;0,"X","")</f>
      </c>
      <c r="AN34" s="56" t="str">
        <f>IF(COUNTIFS('LANÇAMENTOS DIÁRIOS'!$G$5:$G$500,"C",'LANÇAMENTOS DIÁRIOS'!$C$5:$C$500,$A34,'LANÇAMENTOS DIÁRIOS'!$O$5:$O$500,"&lt;=100399",'LANÇAMENTOS DIÁRIOS'!$P$5:$P$500,"&gt;=100300")&gt;0,"X","")</f>
      </c>
      <c r="AO34" s="56" t="str">
        <f>IF(COUNTIFS('LANÇAMENTOS DIÁRIOS'!$G$5:$G$500,"C",'LANÇAMENTOS DIÁRIOS'!$C$5:$C$500,$A34,'LANÇAMENTOS DIÁRIOS'!$O$5:$O$500,"&lt;=100499",'LANÇAMENTOS DIÁRIOS'!$P$5:$P$500,"&gt;=100400")&gt;0,"X","")</f>
      </c>
      <c r="AP34" s="56" t="str">
        <f>IF(COUNTIFS('LANÇAMENTOS DIÁRIOS'!$G$5:$G$500,"C",'LANÇAMENTOS DIÁRIOS'!$C$5:$C$500,$A34,'LANÇAMENTOS DIÁRIOS'!$O$5:$O$500,"&lt;=100500",'LANÇAMENTOS DIÁRIOS'!$P$5:$P$500,"&gt;=100500")&gt;0,"X","")</f>
      </c>
    </row>
    <row r="35">
      <c r="A35" s="51" t="str">
        <v>Derrubada e destocamento.arv. c/ diâmetro 70&lt;&gt; 80cm, com limpeza da área</v>
      </c>
      <c r="B35" s="56" t="str">
        <f>IF(COUNTIFS('LANÇAMENTOS DIÁRIOS'!$G$5:$G$500,"C",'LANÇAMENTOS DIÁRIOS'!$C$5:$C$500,$A35,'LANÇAMENTOS DIÁRIOS'!$O$5:$O$500,"&lt;=96599",'LANÇAMENTOS DIÁRIOS'!$P$5:$P$500,"&gt;=96500")&gt;0,"X","")</f>
      </c>
      <c r="C35" s="56" t="str">
        <f>IF(COUNTIFS('LANÇAMENTOS DIÁRIOS'!$G$5:$G$500,"C",'LANÇAMENTOS DIÁRIOS'!$C$5:$C$500,$A35,'LANÇAMENTOS DIÁRIOS'!$O$5:$O$500,"&lt;=96699",'LANÇAMENTOS DIÁRIOS'!$P$5:$P$500,"&gt;=96600")&gt;0,"X","")</f>
      </c>
      <c r="D35" s="56" t="str">
        <f>IF(COUNTIFS('LANÇAMENTOS DIÁRIOS'!$G$5:$G$500,"C",'LANÇAMENTOS DIÁRIOS'!$C$5:$C$500,$A35,'LANÇAMENTOS DIÁRIOS'!$O$5:$O$500,"&lt;=96799",'LANÇAMENTOS DIÁRIOS'!$P$5:$P$500,"&gt;=96700")&gt;0,"X","")</f>
      </c>
      <c r="E35" s="56" t="str">
        <f>IF(COUNTIFS('LANÇAMENTOS DIÁRIOS'!$G$5:$G$500,"C",'LANÇAMENTOS DIÁRIOS'!$C$5:$C$500,$A35,'LANÇAMENTOS DIÁRIOS'!$O$5:$O$500,"&lt;=96899",'LANÇAMENTOS DIÁRIOS'!$P$5:$P$500,"&gt;=96800")&gt;0,"X","")</f>
      </c>
      <c r="F35" s="56" t="str">
        <f>IF(COUNTIFS('LANÇAMENTOS DIÁRIOS'!$G$5:$G$500,"C",'LANÇAMENTOS DIÁRIOS'!$C$5:$C$500,$A35,'LANÇAMENTOS DIÁRIOS'!$O$5:$O$500,"&lt;=96999",'LANÇAMENTOS DIÁRIOS'!$P$5:$P$500,"&gt;=96900")&gt;0,"X","")</f>
      </c>
      <c r="G35" s="56" t="str">
        <f>IF(COUNTIFS('LANÇAMENTOS DIÁRIOS'!$G$5:$G$500,"C",'LANÇAMENTOS DIÁRIOS'!$C$5:$C$500,$A35,'LANÇAMENTOS DIÁRIOS'!$O$5:$O$500,"&lt;=97099",'LANÇAMENTOS DIÁRIOS'!$P$5:$P$500,"&gt;=97000")&gt;0,"X","")</f>
      </c>
      <c r="H35" s="56" t="str">
        <f>IF(COUNTIFS('LANÇAMENTOS DIÁRIOS'!$G$5:$G$500,"C",'LANÇAMENTOS DIÁRIOS'!$C$5:$C$500,$A35,'LANÇAMENTOS DIÁRIOS'!$O$5:$O$500,"&lt;=97199",'LANÇAMENTOS DIÁRIOS'!$P$5:$P$500,"&gt;=97100")&gt;0,"X","")</f>
      </c>
      <c r="I35" s="56" t="str">
        <f>IF(COUNTIFS('LANÇAMENTOS DIÁRIOS'!$G$5:$G$500,"C",'LANÇAMENTOS DIÁRIOS'!$C$5:$C$500,$A35,'LANÇAMENTOS DIÁRIOS'!$O$5:$O$500,"&lt;=97299",'LANÇAMENTOS DIÁRIOS'!$P$5:$P$500,"&gt;=97200")&gt;0,"X","")</f>
      </c>
      <c r="J35" s="56" t="str">
        <f>IF(COUNTIFS('LANÇAMENTOS DIÁRIOS'!$G$5:$G$500,"C",'LANÇAMENTOS DIÁRIOS'!$C$5:$C$500,$A35,'LANÇAMENTOS DIÁRIOS'!$O$5:$O$500,"&lt;=97399",'LANÇAMENTOS DIÁRIOS'!$P$5:$P$500,"&gt;=97300")&gt;0,"X","")</f>
      </c>
      <c r="K35" s="56" t="str">
        <f>IF(COUNTIFS('LANÇAMENTOS DIÁRIOS'!$G$5:$G$500,"C",'LANÇAMENTOS DIÁRIOS'!$C$5:$C$500,$A35,'LANÇAMENTOS DIÁRIOS'!$O$5:$O$500,"&lt;=97499",'LANÇAMENTOS DIÁRIOS'!$P$5:$P$500,"&gt;=97400")&gt;0,"X","")</f>
      </c>
      <c r="L35" s="56" t="str">
        <f>IF(COUNTIFS('LANÇAMENTOS DIÁRIOS'!$G$5:$G$500,"C",'LANÇAMENTOS DIÁRIOS'!$C$5:$C$500,$A35,'LANÇAMENTOS DIÁRIOS'!$O$5:$O$500,"&lt;=97599",'LANÇAMENTOS DIÁRIOS'!$P$5:$P$500,"&gt;=97500")&gt;0,"X","")</f>
      </c>
      <c r="M35" s="56" t="str">
        <f>IF(COUNTIFS('LANÇAMENTOS DIÁRIOS'!$G$5:$G$500,"C",'LANÇAMENTOS DIÁRIOS'!$C$5:$C$500,$A35,'LANÇAMENTOS DIÁRIOS'!$O$5:$O$500,"&lt;=97699",'LANÇAMENTOS DIÁRIOS'!$P$5:$P$500,"&gt;=97600")&gt;0,"X","")</f>
      </c>
      <c r="N35" s="56" t="str">
        <f>IF(COUNTIFS('LANÇAMENTOS DIÁRIOS'!$G$5:$G$500,"C",'LANÇAMENTOS DIÁRIOS'!$C$5:$C$500,$A35,'LANÇAMENTOS DIÁRIOS'!$O$5:$O$500,"&lt;=97799",'LANÇAMENTOS DIÁRIOS'!$P$5:$P$500,"&gt;=97700")&gt;0,"X","")</f>
      </c>
      <c r="O35" s="56" t="str">
        <f>IF(COUNTIFS('LANÇAMENTOS DIÁRIOS'!$G$5:$G$500,"C",'LANÇAMENTOS DIÁRIOS'!$C$5:$C$500,$A35,'LANÇAMENTOS DIÁRIOS'!$O$5:$O$500,"&lt;=97899",'LANÇAMENTOS DIÁRIOS'!$P$5:$P$500,"&gt;=97800")&gt;0,"X","")</f>
      </c>
      <c r="P35" s="56" t="str">
        <f>IF(COUNTIFS('LANÇAMENTOS DIÁRIOS'!$G$5:$G$500,"C",'LANÇAMENTOS DIÁRIOS'!$C$5:$C$500,$A35,'LANÇAMENTOS DIÁRIOS'!$O$5:$O$500,"&lt;=97999",'LANÇAMENTOS DIÁRIOS'!$P$5:$P$500,"&gt;=97900")&gt;0,"X","")</f>
      </c>
      <c r="Q35" s="56" t="str">
        <f>IF(COUNTIFS('LANÇAMENTOS DIÁRIOS'!$G$5:$G$500,"C",'LANÇAMENTOS DIÁRIOS'!$C$5:$C$500,$A35,'LANÇAMENTOS DIÁRIOS'!$O$5:$O$500,"&lt;=98099",'LANÇAMENTOS DIÁRIOS'!$P$5:$P$500,"&gt;=98000")&gt;0,"X","")</f>
      </c>
      <c r="R35" s="56" t="str">
        <f>IF(COUNTIFS('LANÇAMENTOS DIÁRIOS'!$G$5:$G$500,"C",'LANÇAMENTOS DIÁRIOS'!$C$5:$C$500,$A35,'LANÇAMENTOS DIÁRIOS'!$O$5:$O$500,"&lt;=98199",'LANÇAMENTOS DIÁRIOS'!$P$5:$P$500,"&gt;=98100")&gt;0,"X","")</f>
      </c>
      <c r="S35" s="56" t="str">
        <f>IF(COUNTIFS('LANÇAMENTOS DIÁRIOS'!$G$5:$G$500,"C",'LANÇAMENTOS DIÁRIOS'!$C$5:$C$500,$A35,'LANÇAMENTOS DIÁRIOS'!$O$5:$O$500,"&lt;=98299",'LANÇAMENTOS DIÁRIOS'!$P$5:$P$500,"&gt;=98200")&gt;0,"X","")</f>
      </c>
      <c r="T35" s="56" t="str">
        <f>IF(COUNTIFS('LANÇAMENTOS DIÁRIOS'!$G$5:$G$500,"C",'LANÇAMENTOS DIÁRIOS'!$C$5:$C$500,$A35,'LANÇAMENTOS DIÁRIOS'!$O$5:$O$500,"&lt;=98399",'LANÇAMENTOS DIÁRIOS'!$P$5:$P$500,"&gt;=98300")&gt;0,"X","")</f>
      </c>
      <c r="U35" s="56" t="str">
        <f>IF(COUNTIFS('LANÇAMENTOS DIÁRIOS'!$G$5:$G$500,"C",'LANÇAMENTOS DIÁRIOS'!$C$5:$C$500,$A35,'LANÇAMENTOS DIÁRIOS'!$O$5:$O$500,"&lt;=98499",'LANÇAMENTOS DIÁRIOS'!$P$5:$P$500,"&gt;=98400")&gt;0,"X","")</f>
      </c>
      <c r="V35" s="56" t="str">
        <f>IF(COUNTIFS('LANÇAMENTOS DIÁRIOS'!$G$5:$G$500,"C",'LANÇAMENTOS DIÁRIOS'!$C$5:$C$500,$A35,'LANÇAMENTOS DIÁRIOS'!$O$5:$O$500,"&lt;=98599",'LANÇAMENTOS DIÁRIOS'!$P$5:$P$500,"&gt;=98500")&gt;0,"X","")</f>
      </c>
      <c r="W35" s="56" t="str">
        <f>IF(COUNTIFS('LANÇAMENTOS DIÁRIOS'!$G$5:$G$500,"C",'LANÇAMENTOS DIÁRIOS'!$C$5:$C$500,$A35,'LANÇAMENTOS DIÁRIOS'!$O$5:$O$500,"&lt;=98699",'LANÇAMENTOS DIÁRIOS'!$P$5:$P$500,"&gt;=98600")&gt;0,"X","")</f>
      </c>
      <c r="X35" s="56" t="str">
        <f>IF(COUNTIFS('LANÇAMENTOS DIÁRIOS'!$G$5:$G$500,"C",'LANÇAMENTOS DIÁRIOS'!$C$5:$C$500,$A35,'LANÇAMENTOS DIÁRIOS'!$O$5:$O$500,"&lt;=98799",'LANÇAMENTOS DIÁRIOS'!$P$5:$P$500,"&gt;=98700")&gt;0,"X","")</f>
      </c>
      <c r="Y35" s="56" t="str">
        <f>IF(COUNTIFS('LANÇAMENTOS DIÁRIOS'!$G$5:$G$500,"C",'LANÇAMENTOS DIÁRIOS'!$C$5:$C$500,$A35,'LANÇAMENTOS DIÁRIOS'!$O$5:$O$500,"&lt;=98899",'LANÇAMENTOS DIÁRIOS'!$P$5:$P$500,"&gt;=98800")&gt;0,"X","")</f>
      </c>
      <c r="Z35" s="56" t="str">
        <f>IF(COUNTIFS('LANÇAMENTOS DIÁRIOS'!$G$5:$G$500,"C",'LANÇAMENTOS DIÁRIOS'!$C$5:$C$500,$A35,'LANÇAMENTOS DIÁRIOS'!$O$5:$O$500,"&lt;=98999",'LANÇAMENTOS DIÁRIOS'!$P$5:$P$500,"&gt;=98900")&gt;0,"X","")</f>
      </c>
      <c r="AA35" s="56" t="str">
        <f>IF(COUNTIFS('LANÇAMENTOS DIÁRIOS'!$G$5:$G$500,"C",'LANÇAMENTOS DIÁRIOS'!$C$5:$C$500,$A35,'LANÇAMENTOS DIÁRIOS'!$O$5:$O$500,"&lt;=99099",'LANÇAMENTOS DIÁRIOS'!$P$5:$P$500,"&gt;=99000")&gt;0,"X","")</f>
      </c>
      <c r="AB35" s="56" t="str">
        <f>IF(COUNTIFS('LANÇAMENTOS DIÁRIOS'!$G$5:$G$500,"C",'LANÇAMENTOS DIÁRIOS'!$C$5:$C$500,$A35,'LANÇAMENTOS DIÁRIOS'!$O$5:$O$500,"&lt;=99199",'LANÇAMENTOS DIÁRIOS'!$P$5:$P$500,"&gt;=99100")&gt;0,"X","")</f>
      </c>
      <c r="AC35" s="56" t="str">
        <f>IF(COUNTIFS('LANÇAMENTOS DIÁRIOS'!$G$5:$G$500,"C",'LANÇAMENTOS DIÁRIOS'!$C$5:$C$500,$A35,'LANÇAMENTOS DIÁRIOS'!$O$5:$O$500,"&lt;=99299",'LANÇAMENTOS DIÁRIOS'!$P$5:$P$500,"&gt;=99200")&gt;0,"X","")</f>
      </c>
      <c r="AD35" s="56" t="str">
        <f>IF(COUNTIFS('LANÇAMENTOS DIÁRIOS'!$G$5:$G$500,"C",'LANÇAMENTOS DIÁRIOS'!$C$5:$C$500,$A35,'LANÇAMENTOS DIÁRIOS'!$O$5:$O$500,"&lt;=99399",'LANÇAMENTOS DIÁRIOS'!$P$5:$P$500,"&gt;=99300")&gt;0,"X","")</f>
      </c>
      <c r="AE35" s="56" t="str">
        <f>IF(COUNTIFS('LANÇAMENTOS DIÁRIOS'!$G$5:$G$500,"C",'LANÇAMENTOS DIÁRIOS'!$C$5:$C$500,$A35,'LANÇAMENTOS DIÁRIOS'!$O$5:$O$500,"&lt;=99499",'LANÇAMENTOS DIÁRIOS'!$P$5:$P$500,"&gt;=99400")&gt;0,"X","")</f>
      </c>
      <c r="AF35" s="56" t="str">
        <f>IF(COUNTIFS('LANÇAMENTOS DIÁRIOS'!$G$5:$G$500,"C",'LANÇAMENTOS DIÁRIOS'!$C$5:$C$500,$A35,'LANÇAMENTOS DIÁRIOS'!$O$5:$O$500,"&lt;=99599",'LANÇAMENTOS DIÁRIOS'!$P$5:$P$500,"&gt;=99500")&gt;0,"X","")</f>
      </c>
      <c r="AG35" s="56" t="str">
        <f>IF(COUNTIFS('LANÇAMENTOS DIÁRIOS'!$G$5:$G$500,"C",'LANÇAMENTOS DIÁRIOS'!$C$5:$C$500,$A35,'LANÇAMENTOS DIÁRIOS'!$O$5:$O$500,"&lt;=99699",'LANÇAMENTOS DIÁRIOS'!$P$5:$P$500,"&gt;=99600")&gt;0,"X","")</f>
      </c>
      <c r="AH35" s="56" t="str">
        <f>IF(COUNTIFS('LANÇAMENTOS DIÁRIOS'!$G$5:$G$500,"C",'LANÇAMENTOS DIÁRIOS'!$C$5:$C$500,$A35,'LANÇAMENTOS DIÁRIOS'!$O$5:$O$500,"&lt;=99799",'LANÇAMENTOS DIÁRIOS'!$P$5:$P$500,"&gt;=99700")&gt;0,"X","")</f>
      </c>
      <c r="AI35" s="56" t="str">
        <f>IF(COUNTIFS('LANÇAMENTOS DIÁRIOS'!$G$5:$G$500,"C",'LANÇAMENTOS DIÁRIOS'!$C$5:$C$500,$A35,'LANÇAMENTOS DIÁRIOS'!$O$5:$O$500,"&lt;=99899",'LANÇAMENTOS DIÁRIOS'!$P$5:$P$500,"&gt;=99800")&gt;0,"X","")</f>
      </c>
      <c r="AJ35" s="56" t="str">
        <f>IF(COUNTIFS('LANÇAMENTOS DIÁRIOS'!$G$5:$G$500,"C",'LANÇAMENTOS DIÁRIOS'!$C$5:$C$500,$A35,'LANÇAMENTOS DIÁRIOS'!$O$5:$O$500,"&lt;=99999",'LANÇAMENTOS DIÁRIOS'!$P$5:$P$500,"&gt;=99900")&gt;0,"X","")</f>
      </c>
      <c r="AK35" s="56" t="str">
        <f>IF(COUNTIFS('LANÇAMENTOS DIÁRIOS'!$G$5:$G$500,"C",'LANÇAMENTOS DIÁRIOS'!$C$5:$C$500,$A35,'LANÇAMENTOS DIÁRIOS'!$O$5:$O$500,"&lt;=100099",'LANÇAMENTOS DIÁRIOS'!$P$5:$P$500,"&gt;=100000")&gt;0,"X","")</f>
      </c>
      <c r="AL35" s="56" t="str">
        <f>IF(COUNTIFS('LANÇAMENTOS DIÁRIOS'!$G$5:$G$500,"C",'LANÇAMENTOS DIÁRIOS'!$C$5:$C$500,$A35,'LANÇAMENTOS DIÁRIOS'!$O$5:$O$500,"&lt;=100199",'LANÇAMENTOS DIÁRIOS'!$P$5:$P$500,"&gt;=100100")&gt;0,"X","")</f>
      </c>
      <c r="AM35" s="56" t="str">
        <f>IF(COUNTIFS('LANÇAMENTOS DIÁRIOS'!$G$5:$G$500,"C",'LANÇAMENTOS DIÁRIOS'!$C$5:$C$500,$A35,'LANÇAMENTOS DIÁRIOS'!$O$5:$O$500,"&lt;=100299",'LANÇAMENTOS DIÁRIOS'!$P$5:$P$500,"&gt;=100200")&gt;0,"X","")</f>
      </c>
      <c r="AN35" s="56" t="str">
        <f>IF(COUNTIFS('LANÇAMENTOS DIÁRIOS'!$G$5:$G$500,"C",'LANÇAMENTOS DIÁRIOS'!$C$5:$C$500,$A35,'LANÇAMENTOS DIÁRIOS'!$O$5:$O$500,"&lt;=100399",'LANÇAMENTOS DIÁRIOS'!$P$5:$P$500,"&gt;=100300")&gt;0,"X","")</f>
      </c>
      <c r="AO35" s="56" t="str">
        <f>IF(COUNTIFS('LANÇAMENTOS DIÁRIOS'!$G$5:$G$500,"C",'LANÇAMENTOS DIÁRIOS'!$C$5:$C$500,$A35,'LANÇAMENTOS DIÁRIOS'!$O$5:$O$500,"&lt;=100499",'LANÇAMENTOS DIÁRIOS'!$P$5:$P$500,"&gt;=100400")&gt;0,"X","")</f>
      </c>
      <c r="AP35" s="56" t="str">
        <f>IF(COUNTIFS('LANÇAMENTOS DIÁRIOS'!$G$5:$G$500,"C",'LANÇAMENTOS DIÁRIOS'!$C$5:$C$500,$A35,'LANÇAMENTOS DIÁRIOS'!$O$5:$O$500,"&lt;=100500",'LANÇAMENTOS DIÁRIOS'!$P$5:$P$500,"&gt;=100500")&gt;0,"X","")</f>
      </c>
    </row>
    <row r="36">
      <c r="A36" s="51" t="str">
        <v>Derrubada e destocamento.arv. c/ diâmetro &gt; 80cm, com limpeza da área</v>
      </c>
      <c r="B36" s="56" t="str">
        <f>IF(COUNTIFS('LANÇAMENTOS DIÁRIOS'!$G$5:$G$500,"C",'LANÇAMENTOS DIÁRIOS'!$C$5:$C$500,$A36,'LANÇAMENTOS DIÁRIOS'!$O$5:$O$500,"&lt;=96599",'LANÇAMENTOS DIÁRIOS'!$P$5:$P$500,"&gt;=96500")&gt;0,"X","")</f>
      </c>
      <c r="C36" s="56" t="str">
        <f>IF(COUNTIFS('LANÇAMENTOS DIÁRIOS'!$G$5:$G$500,"C",'LANÇAMENTOS DIÁRIOS'!$C$5:$C$500,$A36,'LANÇAMENTOS DIÁRIOS'!$O$5:$O$500,"&lt;=96699",'LANÇAMENTOS DIÁRIOS'!$P$5:$P$500,"&gt;=96600")&gt;0,"X","")</f>
      </c>
      <c r="D36" s="56" t="str">
        <f>IF(COUNTIFS('LANÇAMENTOS DIÁRIOS'!$G$5:$G$500,"C",'LANÇAMENTOS DIÁRIOS'!$C$5:$C$500,$A36,'LANÇAMENTOS DIÁRIOS'!$O$5:$O$500,"&lt;=96799",'LANÇAMENTOS DIÁRIOS'!$P$5:$P$500,"&gt;=96700")&gt;0,"X","")</f>
      </c>
      <c r="E36" s="56" t="str">
        <f>IF(COUNTIFS('LANÇAMENTOS DIÁRIOS'!$G$5:$G$500,"C",'LANÇAMENTOS DIÁRIOS'!$C$5:$C$500,$A36,'LANÇAMENTOS DIÁRIOS'!$O$5:$O$500,"&lt;=96899",'LANÇAMENTOS DIÁRIOS'!$P$5:$P$500,"&gt;=96800")&gt;0,"X","")</f>
      </c>
      <c r="F36" s="56" t="str">
        <f>IF(COUNTIFS('LANÇAMENTOS DIÁRIOS'!$G$5:$G$500,"C",'LANÇAMENTOS DIÁRIOS'!$C$5:$C$500,$A36,'LANÇAMENTOS DIÁRIOS'!$O$5:$O$500,"&lt;=96999",'LANÇAMENTOS DIÁRIOS'!$P$5:$P$500,"&gt;=96900")&gt;0,"X","")</f>
      </c>
      <c r="G36" s="56" t="str">
        <f>IF(COUNTIFS('LANÇAMENTOS DIÁRIOS'!$G$5:$G$500,"C",'LANÇAMENTOS DIÁRIOS'!$C$5:$C$500,$A36,'LANÇAMENTOS DIÁRIOS'!$O$5:$O$500,"&lt;=97099",'LANÇAMENTOS DIÁRIOS'!$P$5:$P$500,"&gt;=97000")&gt;0,"X","")</f>
      </c>
      <c r="H36" s="56" t="str">
        <f>IF(COUNTIFS('LANÇAMENTOS DIÁRIOS'!$G$5:$G$500,"C",'LANÇAMENTOS DIÁRIOS'!$C$5:$C$500,$A36,'LANÇAMENTOS DIÁRIOS'!$O$5:$O$500,"&lt;=97199",'LANÇAMENTOS DIÁRIOS'!$P$5:$P$500,"&gt;=97100")&gt;0,"X","")</f>
      </c>
      <c r="I36" s="56" t="str">
        <f>IF(COUNTIFS('LANÇAMENTOS DIÁRIOS'!$G$5:$G$500,"C",'LANÇAMENTOS DIÁRIOS'!$C$5:$C$500,$A36,'LANÇAMENTOS DIÁRIOS'!$O$5:$O$500,"&lt;=97299",'LANÇAMENTOS DIÁRIOS'!$P$5:$P$500,"&gt;=97200")&gt;0,"X","")</f>
      </c>
      <c r="J36" s="56" t="str">
        <f>IF(COUNTIFS('LANÇAMENTOS DIÁRIOS'!$G$5:$G$500,"C",'LANÇAMENTOS DIÁRIOS'!$C$5:$C$500,$A36,'LANÇAMENTOS DIÁRIOS'!$O$5:$O$500,"&lt;=97399",'LANÇAMENTOS DIÁRIOS'!$P$5:$P$500,"&gt;=97300")&gt;0,"X","")</f>
      </c>
      <c r="K36" s="56" t="str">
        <f>IF(COUNTIFS('LANÇAMENTOS DIÁRIOS'!$G$5:$G$500,"C",'LANÇAMENTOS DIÁRIOS'!$C$5:$C$500,$A36,'LANÇAMENTOS DIÁRIOS'!$O$5:$O$500,"&lt;=97499",'LANÇAMENTOS DIÁRIOS'!$P$5:$P$500,"&gt;=97400")&gt;0,"X","")</f>
      </c>
      <c r="L36" s="56" t="str">
        <f>IF(COUNTIFS('LANÇAMENTOS DIÁRIOS'!$G$5:$G$500,"C",'LANÇAMENTOS DIÁRIOS'!$C$5:$C$500,$A36,'LANÇAMENTOS DIÁRIOS'!$O$5:$O$500,"&lt;=97599",'LANÇAMENTOS DIÁRIOS'!$P$5:$P$500,"&gt;=97500")&gt;0,"X","")</f>
      </c>
      <c r="M36" s="56" t="str">
        <f>IF(COUNTIFS('LANÇAMENTOS DIÁRIOS'!$G$5:$G$500,"C",'LANÇAMENTOS DIÁRIOS'!$C$5:$C$500,$A36,'LANÇAMENTOS DIÁRIOS'!$O$5:$O$500,"&lt;=97699",'LANÇAMENTOS DIÁRIOS'!$P$5:$P$500,"&gt;=97600")&gt;0,"X","")</f>
      </c>
      <c r="N36" s="56" t="str">
        <f>IF(COUNTIFS('LANÇAMENTOS DIÁRIOS'!$G$5:$G$500,"C",'LANÇAMENTOS DIÁRIOS'!$C$5:$C$500,$A36,'LANÇAMENTOS DIÁRIOS'!$O$5:$O$500,"&lt;=97799",'LANÇAMENTOS DIÁRIOS'!$P$5:$P$500,"&gt;=97700")&gt;0,"X","")</f>
      </c>
      <c r="O36" s="56" t="str">
        <f>IF(COUNTIFS('LANÇAMENTOS DIÁRIOS'!$G$5:$G$500,"C",'LANÇAMENTOS DIÁRIOS'!$C$5:$C$500,$A36,'LANÇAMENTOS DIÁRIOS'!$O$5:$O$500,"&lt;=97899",'LANÇAMENTOS DIÁRIOS'!$P$5:$P$500,"&gt;=97800")&gt;0,"X","")</f>
      </c>
      <c r="P36" s="56" t="str">
        <f>IF(COUNTIFS('LANÇAMENTOS DIÁRIOS'!$G$5:$G$500,"C",'LANÇAMENTOS DIÁRIOS'!$C$5:$C$500,$A36,'LANÇAMENTOS DIÁRIOS'!$O$5:$O$500,"&lt;=97999",'LANÇAMENTOS DIÁRIOS'!$P$5:$P$500,"&gt;=97900")&gt;0,"X","")</f>
      </c>
      <c r="Q36" s="56" t="str">
        <f>IF(COUNTIFS('LANÇAMENTOS DIÁRIOS'!$G$5:$G$500,"C",'LANÇAMENTOS DIÁRIOS'!$C$5:$C$500,$A36,'LANÇAMENTOS DIÁRIOS'!$O$5:$O$500,"&lt;=98099",'LANÇAMENTOS DIÁRIOS'!$P$5:$P$500,"&gt;=98000")&gt;0,"X","")</f>
      </c>
      <c r="R36" s="56" t="str">
        <f>IF(COUNTIFS('LANÇAMENTOS DIÁRIOS'!$G$5:$G$500,"C",'LANÇAMENTOS DIÁRIOS'!$C$5:$C$500,$A36,'LANÇAMENTOS DIÁRIOS'!$O$5:$O$500,"&lt;=98199",'LANÇAMENTOS DIÁRIOS'!$P$5:$P$500,"&gt;=98100")&gt;0,"X","")</f>
      </c>
      <c r="S36" s="56" t="str">
        <f>IF(COUNTIFS('LANÇAMENTOS DIÁRIOS'!$G$5:$G$500,"C",'LANÇAMENTOS DIÁRIOS'!$C$5:$C$500,$A36,'LANÇAMENTOS DIÁRIOS'!$O$5:$O$500,"&lt;=98299",'LANÇAMENTOS DIÁRIOS'!$P$5:$P$500,"&gt;=98200")&gt;0,"X","")</f>
      </c>
      <c r="T36" s="56" t="str">
        <f>IF(COUNTIFS('LANÇAMENTOS DIÁRIOS'!$G$5:$G$500,"C",'LANÇAMENTOS DIÁRIOS'!$C$5:$C$500,$A36,'LANÇAMENTOS DIÁRIOS'!$O$5:$O$500,"&lt;=98399",'LANÇAMENTOS DIÁRIOS'!$P$5:$P$500,"&gt;=98300")&gt;0,"X","")</f>
      </c>
      <c r="U36" s="56" t="str">
        <f>IF(COUNTIFS('LANÇAMENTOS DIÁRIOS'!$G$5:$G$500,"C",'LANÇAMENTOS DIÁRIOS'!$C$5:$C$500,$A36,'LANÇAMENTOS DIÁRIOS'!$O$5:$O$500,"&lt;=98499",'LANÇAMENTOS DIÁRIOS'!$P$5:$P$500,"&gt;=98400")&gt;0,"X","")</f>
      </c>
      <c r="V36" s="56" t="str">
        <f>IF(COUNTIFS('LANÇAMENTOS DIÁRIOS'!$G$5:$G$500,"C",'LANÇAMENTOS DIÁRIOS'!$C$5:$C$500,$A36,'LANÇAMENTOS DIÁRIOS'!$O$5:$O$500,"&lt;=98599",'LANÇAMENTOS DIÁRIOS'!$P$5:$P$500,"&gt;=98500")&gt;0,"X","")</f>
      </c>
      <c r="W36" s="56" t="str">
        <f>IF(COUNTIFS('LANÇAMENTOS DIÁRIOS'!$G$5:$G$500,"C",'LANÇAMENTOS DIÁRIOS'!$C$5:$C$500,$A36,'LANÇAMENTOS DIÁRIOS'!$O$5:$O$500,"&lt;=98699",'LANÇAMENTOS DIÁRIOS'!$P$5:$P$500,"&gt;=98600")&gt;0,"X","")</f>
      </c>
      <c r="X36" s="56" t="str">
        <f>IF(COUNTIFS('LANÇAMENTOS DIÁRIOS'!$G$5:$G$500,"C",'LANÇAMENTOS DIÁRIOS'!$C$5:$C$500,$A36,'LANÇAMENTOS DIÁRIOS'!$O$5:$O$500,"&lt;=98799",'LANÇAMENTOS DIÁRIOS'!$P$5:$P$500,"&gt;=98700")&gt;0,"X","")</f>
      </c>
      <c r="Y36" s="56" t="str">
        <f>IF(COUNTIFS('LANÇAMENTOS DIÁRIOS'!$G$5:$G$500,"C",'LANÇAMENTOS DIÁRIOS'!$C$5:$C$500,$A36,'LANÇAMENTOS DIÁRIOS'!$O$5:$O$500,"&lt;=98899",'LANÇAMENTOS DIÁRIOS'!$P$5:$P$500,"&gt;=98800")&gt;0,"X","")</f>
      </c>
      <c r="Z36" s="56" t="str">
        <f>IF(COUNTIFS('LANÇAMENTOS DIÁRIOS'!$G$5:$G$500,"C",'LANÇAMENTOS DIÁRIOS'!$C$5:$C$500,$A36,'LANÇAMENTOS DIÁRIOS'!$O$5:$O$500,"&lt;=98999",'LANÇAMENTOS DIÁRIOS'!$P$5:$P$500,"&gt;=98900")&gt;0,"X","")</f>
      </c>
      <c r="AA36" s="56" t="str">
        <f>IF(COUNTIFS('LANÇAMENTOS DIÁRIOS'!$G$5:$G$500,"C",'LANÇAMENTOS DIÁRIOS'!$C$5:$C$500,$A36,'LANÇAMENTOS DIÁRIOS'!$O$5:$O$500,"&lt;=99099",'LANÇAMENTOS DIÁRIOS'!$P$5:$P$500,"&gt;=99000")&gt;0,"X","")</f>
      </c>
      <c r="AB36" s="56" t="str">
        <f>IF(COUNTIFS('LANÇAMENTOS DIÁRIOS'!$G$5:$G$500,"C",'LANÇAMENTOS DIÁRIOS'!$C$5:$C$500,$A36,'LANÇAMENTOS DIÁRIOS'!$O$5:$O$500,"&lt;=99199",'LANÇAMENTOS DIÁRIOS'!$P$5:$P$500,"&gt;=99100")&gt;0,"X","")</f>
      </c>
      <c r="AC36" s="56" t="str">
        <f>IF(COUNTIFS('LANÇAMENTOS DIÁRIOS'!$G$5:$G$500,"C",'LANÇAMENTOS DIÁRIOS'!$C$5:$C$500,$A36,'LANÇAMENTOS DIÁRIOS'!$O$5:$O$500,"&lt;=99299",'LANÇAMENTOS DIÁRIOS'!$P$5:$P$500,"&gt;=99200")&gt;0,"X","")</f>
      </c>
      <c r="AD36" s="56" t="str">
        <f>IF(COUNTIFS('LANÇAMENTOS DIÁRIOS'!$G$5:$G$500,"C",'LANÇAMENTOS DIÁRIOS'!$C$5:$C$500,$A36,'LANÇAMENTOS DIÁRIOS'!$O$5:$O$500,"&lt;=99399",'LANÇAMENTOS DIÁRIOS'!$P$5:$P$500,"&gt;=99300")&gt;0,"X","")</f>
      </c>
      <c r="AE36" s="56" t="str">
        <f>IF(COUNTIFS('LANÇAMENTOS DIÁRIOS'!$G$5:$G$500,"C",'LANÇAMENTOS DIÁRIOS'!$C$5:$C$500,$A36,'LANÇAMENTOS DIÁRIOS'!$O$5:$O$500,"&lt;=99499",'LANÇAMENTOS DIÁRIOS'!$P$5:$P$500,"&gt;=99400")&gt;0,"X","")</f>
      </c>
      <c r="AF36" s="56" t="str">
        <f>IF(COUNTIFS('LANÇAMENTOS DIÁRIOS'!$G$5:$G$500,"C",'LANÇAMENTOS DIÁRIOS'!$C$5:$C$500,$A36,'LANÇAMENTOS DIÁRIOS'!$O$5:$O$500,"&lt;=99599",'LANÇAMENTOS DIÁRIOS'!$P$5:$P$500,"&gt;=99500")&gt;0,"X","")</f>
      </c>
      <c r="AG36" s="56" t="str">
        <f>IF(COUNTIFS('LANÇAMENTOS DIÁRIOS'!$G$5:$G$500,"C",'LANÇAMENTOS DIÁRIOS'!$C$5:$C$500,$A36,'LANÇAMENTOS DIÁRIOS'!$O$5:$O$500,"&lt;=99699",'LANÇAMENTOS DIÁRIOS'!$P$5:$P$500,"&gt;=99600")&gt;0,"X","")</f>
      </c>
      <c r="AH36" s="56" t="str">
        <f>IF(COUNTIFS('LANÇAMENTOS DIÁRIOS'!$G$5:$G$500,"C",'LANÇAMENTOS DIÁRIOS'!$C$5:$C$500,$A36,'LANÇAMENTOS DIÁRIOS'!$O$5:$O$500,"&lt;=99799",'LANÇAMENTOS DIÁRIOS'!$P$5:$P$500,"&gt;=99700")&gt;0,"X","")</f>
      </c>
      <c r="AI36" s="56" t="str">
        <f>IF(COUNTIFS('LANÇAMENTOS DIÁRIOS'!$G$5:$G$500,"C",'LANÇAMENTOS DIÁRIOS'!$C$5:$C$500,$A36,'LANÇAMENTOS DIÁRIOS'!$O$5:$O$500,"&lt;=99899",'LANÇAMENTOS DIÁRIOS'!$P$5:$P$500,"&gt;=99800")&gt;0,"X","")</f>
      </c>
      <c r="AJ36" s="56" t="str">
        <f>IF(COUNTIFS('LANÇAMENTOS DIÁRIOS'!$G$5:$G$500,"C",'LANÇAMENTOS DIÁRIOS'!$C$5:$C$500,$A36,'LANÇAMENTOS DIÁRIOS'!$O$5:$O$500,"&lt;=99999",'LANÇAMENTOS DIÁRIOS'!$P$5:$P$500,"&gt;=99900")&gt;0,"X","")</f>
      </c>
      <c r="AK36" s="56" t="str">
        <f>IF(COUNTIFS('LANÇAMENTOS DIÁRIOS'!$G$5:$G$500,"C",'LANÇAMENTOS DIÁRIOS'!$C$5:$C$500,$A36,'LANÇAMENTOS DIÁRIOS'!$O$5:$O$500,"&lt;=100099",'LANÇAMENTOS DIÁRIOS'!$P$5:$P$500,"&gt;=100000")&gt;0,"X","")</f>
      </c>
      <c r="AL36" s="56" t="str">
        <f>IF(COUNTIFS('LANÇAMENTOS DIÁRIOS'!$G$5:$G$500,"C",'LANÇAMENTOS DIÁRIOS'!$C$5:$C$500,$A36,'LANÇAMENTOS DIÁRIOS'!$O$5:$O$500,"&lt;=100199",'LANÇAMENTOS DIÁRIOS'!$P$5:$P$500,"&gt;=100100")&gt;0,"X","")</f>
      </c>
      <c r="AM36" s="56" t="str">
        <f>IF(COUNTIFS('LANÇAMENTOS DIÁRIOS'!$G$5:$G$500,"C",'LANÇAMENTOS DIÁRIOS'!$C$5:$C$500,$A36,'LANÇAMENTOS DIÁRIOS'!$O$5:$O$500,"&lt;=100299",'LANÇAMENTOS DIÁRIOS'!$P$5:$P$500,"&gt;=100200")&gt;0,"X","")</f>
      </c>
      <c r="AN36" s="56" t="str">
        <f>IF(COUNTIFS('LANÇAMENTOS DIÁRIOS'!$G$5:$G$500,"C",'LANÇAMENTOS DIÁRIOS'!$C$5:$C$500,$A36,'LANÇAMENTOS DIÁRIOS'!$O$5:$O$500,"&lt;=100399",'LANÇAMENTOS DIÁRIOS'!$P$5:$P$500,"&gt;=100300")&gt;0,"X","")</f>
      </c>
      <c r="AO36" s="56" t="str">
        <f>IF(COUNTIFS('LANÇAMENTOS DIÁRIOS'!$G$5:$G$500,"C",'LANÇAMENTOS DIÁRIOS'!$C$5:$C$500,$A36,'LANÇAMENTOS DIÁRIOS'!$O$5:$O$500,"&lt;=100499",'LANÇAMENTOS DIÁRIOS'!$P$5:$P$500,"&gt;=100400")&gt;0,"X","")</f>
      </c>
      <c r="AP36" s="56" t="str">
        <f>IF(COUNTIFS('LANÇAMENTOS DIÁRIOS'!$G$5:$G$500,"C",'LANÇAMENTOS DIÁRIOS'!$C$5:$C$500,$A36,'LANÇAMENTOS DIÁRIOS'!$O$5:$O$500,"&lt;=100500",'LANÇAMENTOS DIÁRIOS'!$P$5:$P$500,"&gt;=100500")&gt;0,"X","")</f>
      </c>
    </row>
    <row r="37" ht="19" customHeight="1">
      <c r="A37" s="68" t="str">
        <v>Corte em rocha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</row>
    <row r="38">
      <c r="A38" s="51" t="str">
        <v>Escavação de material de 3ª categoria a fogo-S/ Transporte</v>
      </c>
      <c r="B38" s="56" t="str">
        <f>IF(COUNTIFS('LANÇAMENTOS DIÁRIOS'!$G$5:$G$500,"C",'LANÇAMENTOS DIÁRIOS'!$C$5:$C$500,$A38,'LANÇAMENTOS DIÁRIOS'!$O$5:$O$500,"&lt;=96599",'LANÇAMENTOS DIÁRIOS'!$P$5:$P$500,"&gt;=96500")&gt;0,"X","")</f>
      </c>
      <c r="C38" s="56" t="str">
        <f>IF(COUNTIFS('LANÇAMENTOS DIÁRIOS'!$G$5:$G$500,"C",'LANÇAMENTOS DIÁRIOS'!$C$5:$C$500,$A38,'LANÇAMENTOS DIÁRIOS'!$O$5:$O$500,"&lt;=96699",'LANÇAMENTOS DIÁRIOS'!$P$5:$P$500,"&gt;=96600")&gt;0,"X","")</f>
      </c>
      <c r="D38" s="56" t="str">
        <f>IF(COUNTIFS('LANÇAMENTOS DIÁRIOS'!$G$5:$G$500,"C",'LANÇAMENTOS DIÁRIOS'!$C$5:$C$500,$A38,'LANÇAMENTOS DIÁRIOS'!$O$5:$O$500,"&lt;=96799",'LANÇAMENTOS DIÁRIOS'!$P$5:$P$500,"&gt;=96700")&gt;0,"X","")</f>
      </c>
      <c r="E38" s="56" t="str">
        <f>IF(COUNTIFS('LANÇAMENTOS DIÁRIOS'!$G$5:$G$500,"C",'LANÇAMENTOS DIÁRIOS'!$C$5:$C$500,$A38,'LANÇAMENTOS DIÁRIOS'!$O$5:$O$500,"&lt;=96899",'LANÇAMENTOS DIÁRIOS'!$P$5:$P$500,"&gt;=96800")&gt;0,"X","")</f>
      </c>
      <c r="F38" s="56" t="str">
        <f>IF(COUNTIFS('LANÇAMENTOS DIÁRIOS'!$G$5:$G$500,"C",'LANÇAMENTOS DIÁRIOS'!$C$5:$C$500,$A38,'LANÇAMENTOS DIÁRIOS'!$O$5:$O$500,"&lt;=96999",'LANÇAMENTOS DIÁRIOS'!$P$5:$P$500,"&gt;=96900")&gt;0,"X","")</f>
      </c>
      <c r="G38" s="56" t="str">
        <f>IF(COUNTIFS('LANÇAMENTOS DIÁRIOS'!$G$5:$G$500,"C",'LANÇAMENTOS DIÁRIOS'!$C$5:$C$500,$A38,'LANÇAMENTOS DIÁRIOS'!$O$5:$O$500,"&lt;=97099",'LANÇAMENTOS DIÁRIOS'!$P$5:$P$500,"&gt;=97000")&gt;0,"X","")</f>
      </c>
      <c r="H38" s="56" t="str">
        <f>IF(COUNTIFS('LANÇAMENTOS DIÁRIOS'!$G$5:$G$500,"C",'LANÇAMENTOS DIÁRIOS'!$C$5:$C$500,$A38,'LANÇAMENTOS DIÁRIOS'!$O$5:$O$500,"&lt;=97199",'LANÇAMENTOS DIÁRIOS'!$P$5:$P$500,"&gt;=97100")&gt;0,"X","")</f>
      </c>
      <c r="I38" s="56" t="str">
        <f>IF(COUNTIFS('LANÇAMENTOS DIÁRIOS'!$G$5:$G$500,"C",'LANÇAMENTOS DIÁRIOS'!$C$5:$C$500,$A38,'LANÇAMENTOS DIÁRIOS'!$O$5:$O$500,"&lt;=97299",'LANÇAMENTOS DIÁRIOS'!$P$5:$P$500,"&gt;=97200")&gt;0,"X","")</f>
      </c>
      <c r="J38" s="56" t="str">
        <f>IF(COUNTIFS('LANÇAMENTOS DIÁRIOS'!$G$5:$G$500,"C",'LANÇAMENTOS DIÁRIOS'!$C$5:$C$500,$A38,'LANÇAMENTOS DIÁRIOS'!$O$5:$O$500,"&lt;=97399",'LANÇAMENTOS DIÁRIOS'!$P$5:$P$500,"&gt;=97300")&gt;0,"X","")</f>
      </c>
      <c r="K38" s="56" t="str">
        <f>IF(COUNTIFS('LANÇAMENTOS DIÁRIOS'!$G$5:$G$500,"C",'LANÇAMENTOS DIÁRIOS'!$C$5:$C$500,$A38,'LANÇAMENTOS DIÁRIOS'!$O$5:$O$500,"&lt;=97499",'LANÇAMENTOS DIÁRIOS'!$P$5:$P$500,"&gt;=97400")&gt;0,"X","")</f>
      </c>
      <c r="L38" s="56" t="str">
        <f>IF(COUNTIFS('LANÇAMENTOS DIÁRIOS'!$G$5:$G$500,"C",'LANÇAMENTOS DIÁRIOS'!$C$5:$C$500,$A38,'LANÇAMENTOS DIÁRIOS'!$O$5:$O$500,"&lt;=97599",'LANÇAMENTOS DIÁRIOS'!$P$5:$P$500,"&gt;=97500")&gt;0,"X","")</f>
      </c>
      <c r="M38" s="56" t="str">
        <f>IF(COUNTIFS('LANÇAMENTOS DIÁRIOS'!$G$5:$G$500,"C",'LANÇAMENTOS DIÁRIOS'!$C$5:$C$500,$A38,'LANÇAMENTOS DIÁRIOS'!$O$5:$O$500,"&lt;=97699",'LANÇAMENTOS DIÁRIOS'!$P$5:$P$500,"&gt;=97600")&gt;0,"X","")</f>
      </c>
      <c r="N38" s="56" t="str">
        <f>IF(COUNTIFS('LANÇAMENTOS DIÁRIOS'!$G$5:$G$500,"C",'LANÇAMENTOS DIÁRIOS'!$C$5:$C$500,$A38,'LANÇAMENTOS DIÁRIOS'!$O$5:$O$500,"&lt;=97799",'LANÇAMENTOS DIÁRIOS'!$P$5:$P$500,"&gt;=97700")&gt;0,"X","")</f>
      </c>
      <c r="O38" s="56" t="str">
        <f>IF(COUNTIFS('LANÇAMENTOS DIÁRIOS'!$G$5:$G$500,"C",'LANÇAMENTOS DIÁRIOS'!$C$5:$C$500,$A38,'LANÇAMENTOS DIÁRIOS'!$O$5:$O$500,"&lt;=97899",'LANÇAMENTOS DIÁRIOS'!$P$5:$P$500,"&gt;=97800")&gt;0,"X","")</f>
      </c>
      <c r="P38" s="56" t="str">
        <f>IF(COUNTIFS('LANÇAMENTOS DIÁRIOS'!$G$5:$G$500,"C",'LANÇAMENTOS DIÁRIOS'!$C$5:$C$500,$A38,'LANÇAMENTOS DIÁRIOS'!$O$5:$O$500,"&lt;=97999",'LANÇAMENTOS DIÁRIOS'!$P$5:$P$500,"&gt;=97900")&gt;0,"X","")</f>
      </c>
      <c r="Q38" s="56" t="str">
        <f>IF(COUNTIFS('LANÇAMENTOS DIÁRIOS'!$G$5:$G$500,"C",'LANÇAMENTOS DIÁRIOS'!$C$5:$C$500,$A38,'LANÇAMENTOS DIÁRIOS'!$O$5:$O$500,"&lt;=98099",'LANÇAMENTOS DIÁRIOS'!$P$5:$P$500,"&gt;=98000")&gt;0,"X","")</f>
      </c>
      <c r="R38" s="56" t="str">
        <f>IF(COUNTIFS('LANÇAMENTOS DIÁRIOS'!$G$5:$G$500,"C",'LANÇAMENTOS DIÁRIOS'!$C$5:$C$500,$A38,'LANÇAMENTOS DIÁRIOS'!$O$5:$O$500,"&lt;=98199",'LANÇAMENTOS DIÁRIOS'!$P$5:$P$500,"&gt;=98100")&gt;0,"X","")</f>
      </c>
      <c r="S38" s="56" t="str">
        <f>IF(COUNTIFS('LANÇAMENTOS DIÁRIOS'!$G$5:$G$500,"C",'LANÇAMENTOS DIÁRIOS'!$C$5:$C$500,$A38,'LANÇAMENTOS DIÁRIOS'!$O$5:$O$500,"&lt;=98299",'LANÇAMENTOS DIÁRIOS'!$P$5:$P$500,"&gt;=98200")&gt;0,"X","")</f>
      </c>
      <c r="T38" s="56" t="str">
        <f>IF(COUNTIFS('LANÇAMENTOS DIÁRIOS'!$G$5:$G$500,"C",'LANÇAMENTOS DIÁRIOS'!$C$5:$C$500,$A38,'LANÇAMENTOS DIÁRIOS'!$O$5:$O$500,"&lt;=98399",'LANÇAMENTOS DIÁRIOS'!$P$5:$P$500,"&gt;=98300")&gt;0,"X","")</f>
      </c>
      <c r="U38" s="56" t="str">
        <f>IF(COUNTIFS('LANÇAMENTOS DIÁRIOS'!$G$5:$G$500,"C",'LANÇAMENTOS DIÁRIOS'!$C$5:$C$500,$A38,'LANÇAMENTOS DIÁRIOS'!$O$5:$O$500,"&lt;=98499",'LANÇAMENTOS DIÁRIOS'!$P$5:$P$500,"&gt;=98400")&gt;0,"X","")</f>
      </c>
      <c r="V38" s="56" t="str">
        <f>IF(COUNTIFS('LANÇAMENTOS DIÁRIOS'!$G$5:$G$500,"C",'LANÇAMENTOS DIÁRIOS'!$C$5:$C$500,$A38,'LANÇAMENTOS DIÁRIOS'!$O$5:$O$500,"&lt;=98599",'LANÇAMENTOS DIÁRIOS'!$P$5:$P$500,"&gt;=98500")&gt;0,"X","")</f>
      </c>
      <c r="W38" s="56" t="str">
        <f>IF(COUNTIFS('LANÇAMENTOS DIÁRIOS'!$G$5:$G$500,"C",'LANÇAMENTOS DIÁRIOS'!$C$5:$C$500,$A38,'LANÇAMENTOS DIÁRIOS'!$O$5:$O$500,"&lt;=98699",'LANÇAMENTOS DIÁRIOS'!$P$5:$P$500,"&gt;=98600")&gt;0,"X","")</f>
      </c>
      <c r="X38" s="56" t="str">
        <f>IF(COUNTIFS('LANÇAMENTOS DIÁRIOS'!$G$5:$G$500,"C",'LANÇAMENTOS DIÁRIOS'!$C$5:$C$500,$A38,'LANÇAMENTOS DIÁRIOS'!$O$5:$O$500,"&lt;=98799",'LANÇAMENTOS DIÁRIOS'!$P$5:$P$500,"&gt;=98700")&gt;0,"X","")</f>
      </c>
      <c r="Y38" s="56" t="str">
        <f>IF(COUNTIFS('LANÇAMENTOS DIÁRIOS'!$G$5:$G$500,"C",'LANÇAMENTOS DIÁRIOS'!$C$5:$C$500,$A38,'LANÇAMENTOS DIÁRIOS'!$O$5:$O$500,"&lt;=98899",'LANÇAMENTOS DIÁRIOS'!$P$5:$P$500,"&gt;=98800")&gt;0,"X","")</f>
      </c>
      <c r="Z38" s="56" t="str">
        <f>IF(COUNTIFS('LANÇAMENTOS DIÁRIOS'!$G$5:$G$500,"C",'LANÇAMENTOS DIÁRIOS'!$C$5:$C$500,$A38,'LANÇAMENTOS DIÁRIOS'!$O$5:$O$500,"&lt;=98999",'LANÇAMENTOS DIÁRIOS'!$P$5:$P$500,"&gt;=98900")&gt;0,"X","")</f>
      </c>
      <c r="AA38" s="56" t="str">
        <f>IF(COUNTIFS('LANÇAMENTOS DIÁRIOS'!$G$5:$G$500,"C",'LANÇAMENTOS DIÁRIOS'!$C$5:$C$500,$A38,'LANÇAMENTOS DIÁRIOS'!$O$5:$O$500,"&lt;=99099",'LANÇAMENTOS DIÁRIOS'!$P$5:$P$500,"&gt;=99000")&gt;0,"X","")</f>
      </c>
      <c r="AB38" s="56" t="str">
        <f>IF(COUNTIFS('LANÇAMENTOS DIÁRIOS'!$G$5:$G$500,"C",'LANÇAMENTOS DIÁRIOS'!$C$5:$C$500,$A38,'LANÇAMENTOS DIÁRIOS'!$O$5:$O$500,"&lt;=99199",'LANÇAMENTOS DIÁRIOS'!$P$5:$P$500,"&gt;=99100")&gt;0,"X","")</f>
      </c>
      <c r="AC38" s="56" t="str">
        <f>IF(COUNTIFS('LANÇAMENTOS DIÁRIOS'!$G$5:$G$500,"C",'LANÇAMENTOS DIÁRIOS'!$C$5:$C$500,$A38,'LANÇAMENTOS DIÁRIOS'!$O$5:$O$500,"&lt;=99299",'LANÇAMENTOS DIÁRIOS'!$P$5:$P$500,"&gt;=99200")&gt;0,"X","")</f>
      </c>
      <c r="AD38" s="56" t="str">
        <f>IF(COUNTIFS('LANÇAMENTOS DIÁRIOS'!$G$5:$G$500,"C",'LANÇAMENTOS DIÁRIOS'!$C$5:$C$500,$A38,'LANÇAMENTOS DIÁRIOS'!$O$5:$O$500,"&lt;=99399",'LANÇAMENTOS DIÁRIOS'!$P$5:$P$500,"&gt;=99300")&gt;0,"X","")</f>
      </c>
      <c r="AE38" s="56" t="str">
        <f>IF(COUNTIFS('LANÇAMENTOS DIÁRIOS'!$G$5:$G$500,"C",'LANÇAMENTOS DIÁRIOS'!$C$5:$C$500,$A38,'LANÇAMENTOS DIÁRIOS'!$O$5:$O$500,"&lt;=99499",'LANÇAMENTOS DIÁRIOS'!$P$5:$P$500,"&gt;=99400")&gt;0,"X","")</f>
      </c>
      <c r="AF38" s="56" t="str">
        <f>IF(COUNTIFS('LANÇAMENTOS DIÁRIOS'!$G$5:$G$500,"C",'LANÇAMENTOS DIÁRIOS'!$C$5:$C$500,$A38,'LANÇAMENTOS DIÁRIOS'!$O$5:$O$500,"&lt;=99599",'LANÇAMENTOS DIÁRIOS'!$P$5:$P$500,"&gt;=99500")&gt;0,"X","")</f>
      </c>
      <c r="AG38" s="56" t="str">
        <f>IF(COUNTIFS('LANÇAMENTOS DIÁRIOS'!$G$5:$G$500,"C",'LANÇAMENTOS DIÁRIOS'!$C$5:$C$500,$A38,'LANÇAMENTOS DIÁRIOS'!$O$5:$O$500,"&lt;=99699",'LANÇAMENTOS DIÁRIOS'!$P$5:$P$500,"&gt;=99600")&gt;0,"X","")</f>
      </c>
      <c r="AH38" s="56" t="str">
        <f>IF(COUNTIFS('LANÇAMENTOS DIÁRIOS'!$G$5:$G$500,"C",'LANÇAMENTOS DIÁRIOS'!$C$5:$C$500,$A38,'LANÇAMENTOS DIÁRIOS'!$O$5:$O$500,"&lt;=99799",'LANÇAMENTOS DIÁRIOS'!$P$5:$P$500,"&gt;=99700")&gt;0,"X","")</f>
      </c>
      <c r="AI38" s="56" t="str">
        <f>IF(COUNTIFS('LANÇAMENTOS DIÁRIOS'!$G$5:$G$500,"C",'LANÇAMENTOS DIÁRIOS'!$C$5:$C$500,$A38,'LANÇAMENTOS DIÁRIOS'!$O$5:$O$500,"&lt;=99899",'LANÇAMENTOS DIÁRIOS'!$P$5:$P$500,"&gt;=99800")&gt;0,"X","")</f>
      </c>
      <c r="AJ38" s="56" t="str">
        <f>IF(COUNTIFS('LANÇAMENTOS DIÁRIOS'!$G$5:$G$500,"C",'LANÇAMENTOS DIÁRIOS'!$C$5:$C$500,$A38,'LANÇAMENTOS DIÁRIOS'!$O$5:$O$500,"&lt;=99999",'LANÇAMENTOS DIÁRIOS'!$P$5:$P$500,"&gt;=99900")&gt;0,"X","")</f>
      </c>
      <c r="AK38" s="56" t="str">
        <f>IF(COUNTIFS('LANÇAMENTOS DIÁRIOS'!$G$5:$G$500,"C",'LANÇAMENTOS DIÁRIOS'!$C$5:$C$500,$A38,'LANÇAMENTOS DIÁRIOS'!$O$5:$O$500,"&lt;=100099",'LANÇAMENTOS DIÁRIOS'!$P$5:$P$500,"&gt;=100000")&gt;0,"X","")</f>
      </c>
      <c r="AL38" s="56" t="str">
        <f>IF(COUNTIFS('LANÇAMENTOS DIÁRIOS'!$G$5:$G$500,"C",'LANÇAMENTOS DIÁRIOS'!$C$5:$C$500,$A38,'LANÇAMENTOS DIÁRIOS'!$O$5:$O$500,"&lt;=100199",'LANÇAMENTOS DIÁRIOS'!$P$5:$P$500,"&gt;=100100")&gt;0,"X","")</f>
      </c>
      <c r="AM38" s="56" t="str">
        <f>IF(COUNTIFS('LANÇAMENTOS DIÁRIOS'!$G$5:$G$500,"C",'LANÇAMENTOS DIÁRIOS'!$C$5:$C$500,$A38,'LANÇAMENTOS DIÁRIOS'!$O$5:$O$500,"&lt;=100299",'LANÇAMENTOS DIÁRIOS'!$P$5:$P$500,"&gt;=100200")&gt;0,"X","")</f>
      </c>
      <c r="AN38" s="56" t="str">
        <f>IF(COUNTIFS('LANÇAMENTOS DIÁRIOS'!$G$5:$G$500,"C",'LANÇAMENTOS DIÁRIOS'!$C$5:$C$500,$A38,'LANÇAMENTOS DIÁRIOS'!$O$5:$O$500,"&lt;=100399",'LANÇAMENTOS DIÁRIOS'!$P$5:$P$500,"&gt;=100300")&gt;0,"X","")</f>
      </c>
      <c r="AO38" s="56" t="str">
        <f>IF(COUNTIFS('LANÇAMENTOS DIÁRIOS'!$G$5:$G$500,"C",'LANÇAMENTOS DIÁRIOS'!$C$5:$C$500,$A38,'LANÇAMENTOS DIÁRIOS'!$O$5:$O$500,"&lt;=100499",'LANÇAMENTOS DIÁRIOS'!$P$5:$P$500,"&gt;=100400")&gt;0,"X","")</f>
      </c>
      <c r="AP38" s="56" t="str">
        <f>IF(COUNTIFS('LANÇAMENTOS DIÁRIOS'!$G$5:$G$500,"C",'LANÇAMENTOS DIÁRIOS'!$C$5:$C$500,$A38,'LANÇAMENTOS DIÁRIOS'!$O$5:$O$500,"&lt;=100500",'LANÇAMENTOS DIÁRIOS'!$P$5:$P$500,"&gt;=100500")&gt;0,"X","")</f>
      </c>
    </row>
    <row r="39">
      <c r="A39" s="51" t="str">
        <v>Escavação e carga de material de 3ª categoria a, com a utilização de equipamento hidráulico (picão) - Sem Transporte</v>
      </c>
      <c r="B39" s="56" t="str">
        <f>IF(COUNTIFS('LANÇAMENTOS DIÁRIOS'!$G$5:$G$500,"C",'LANÇAMENTOS DIÁRIOS'!$C$5:$C$500,$A39,'LANÇAMENTOS DIÁRIOS'!$O$5:$O$500,"&lt;=96599",'LANÇAMENTOS DIÁRIOS'!$P$5:$P$500,"&gt;=96500")&gt;0,"X","")</f>
      </c>
      <c r="C39" s="56" t="str">
        <f>IF(COUNTIFS('LANÇAMENTOS DIÁRIOS'!$G$5:$G$500,"C",'LANÇAMENTOS DIÁRIOS'!$C$5:$C$500,$A39,'LANÇAMENTOS DIÁRIOS'!$O$5:$O$500,"&lt;=96699",'LANÇAMENTOS DIÁRIOS'!$P$5:$P$500,"&gt;=96600")&gt;0,"X","")</f>
      </c>
      <c r="D39" s="56" t="str">
        <f>IF(COUNTIFS('LANÇAMENTOS DIÁRIOS'!$G$5:$G$500,"C",'LANÇAMENTOS DIÁRIOS'!$C$5:$C$500,$A39,'LANÇAMENTOS DIÁRIOS'!$O$5:$O$500,"&lt;=96799",'LANÇAMENTOS DIÁRIOS'!$P$5:$P$500,"&gt;=96700")&gt;0,"X","")</f>
      </c>
      <c r="E39" s="56" t="str">
        <f>IF(COUNTIFS('LANÇAMENTOS DIÁRIOS'!$G$5:$G$500,"C",'LANÇAMENTOS DIÁRIOS'!$C$5:$C$500,$A39,'LANÇAMENTOS DIÁRIOS'!$O$5:$O$500,"&lt;=96899",'LANÇAMENTOS DIÁRIOS'!$P$5:$P$500,"&gt;=96800")&gt;0,"X","")</f>
      </c>
      <c r="F39" s="56" t="str">
        <f>IF(COUNTIFS('LANÇAMENTOS DIÁRIOS'!$G$5:$G$500,"C",'LANÇAMENTOS DIÁRIOS'!$C$5:$C$500,$A39,'LANÇAMENTOS DIÁRIOS'!$O$5:$O$500,"&lt;=96999",'LANÇAMENTOS DIÁRIOS'!$P$5:$P$500,"&gt;=96900")&gt;0,"X","")</f>
      </c>
      <c r="G39" s="56" t="str">
        <f>IF(COUNTIFS('LANÇAMENTOS DIÁRIOS'!$G$5:$G$500,"C",'LANÇAMENTOS DIÁRIOS'!$C$5:$C$500,$A39,'LANÇAMENTOS DIÁRIOS'!$O$5:$O$500,"&lt;=97099",'LANÇAMENTOS DIÁRIOS'!$P$5:$P$500,"&gt;=97000")&gt;0,"X","")</f>
      </c>
      <c r="H39" s="56" t="str">
        <f>IF(COUNTIFS('LANÇAMENTOS DIÁRIOS'!$G$5:$G$500,"C",'LANÇAMENTOS DIÁRIOS'!$C$5:$C$500,$A39,'LANÇAMENTOS DIÁRIOS'!$O$5:$O$500,"&lt;=97199",'LANÇAMENTOS DIÁRIOS'!$P$5:$P$500,"&gt;=97100")&gt;0,"X","")</f>
      </c>
      <c r="I39" s="56" t="str">
        <f>IF(COUNTIFS('LANÇAMENTOS DIÁRIOS'!$G$5:$G$500,"C",'LANÇAMENTOS DIÁRIOS'!$C$5:$C$500,$A39,'LANÇAMENTOS DIÁRIOS'!$O$5:$O$500,"&lt;=97299",'LANÇAMENTOS DIÁRIOS'!$P$5:$P$500,"&gt;=97200")&gt;0,"X","")</f>
      </c>
      <c r="J39" s="56" t="str">
        <f>IF(COUNTIFS('LANÇAMENTOS DIÁRIOS'!$G$5:$G$500,"C",'LANÇAMENTOS DIÁRIOS'!$C$5:$C$500,$A39,'LANÇAMENTOS DIÁRIOS'!$O$5:$O$500,"&lt;=97399",'LANÇAMENTOS DIÁRIOS'!$P$5:$P$500,"&gt;=97300")&gt;0,"X","")</f>
      </c>
      <c r="K39" s="56" t="str">
        <f>IF(COUNTIFS('LANÇAMENTOS DIÁRIOS'!$G$5:$G$500,"C",'LANÇAMENTOS DIÁRIOS'!$C$5:$C$500,$A39,'LANÇAMENTOS DIÁRIOS'!$O$5:$O$500,"&lt;=97499",'LANÇAMENTOS DIÁRIOS'!$P$5:$P$500,"&gt;=97400")&gt;0,"X","")</f>
      </c>
      <c r="L39" s="56" t="str">
        <f>IF(COUNTIFS('LANÇAMENTOS DIÁRIOS'!$G$5:$G$500,"C",'LANÇAMENTOS DIÁRIOS'!$C$5:$C$500,$A39,'LANÇAMENTOS DIÁRIOS'!$O$5:$O$500,"&lt;=97599",'LANÇAMENTOS DIÁRIOS'!$P$5:$P$500,"&gt;=97500")&gt;0,"X","")</f>
      </c>
      <c r="M39" s="56" t="str">
        <f>IF(COUNTIFS('LANÇAMENTOS DIÁRIOS'!$G$5:$G$500,"C",'LANÇAMENTOS DIÁRIOS'!$C$5:$C$500,$A39,'LANÇAMENTOS DIÁRIOS'!$O$5:$O$500,"&lt;=97699",'LANÇAMENTOS DIÁRIOS'!$P$5:$P$500,"&gt;=97600")&gt;0,"X","")</f>
      </c>
      <c r="N39" s="56" t="str">
        <f>IF(COUNTIFS('LANÇAMENTOS DIÁRIOS'!$G$5:$G$500,"C",'LANÇAMENTOS DIÁRIOS'!$C$5:$C$500,$A39,'LANÇAMENTOS DIÁRIOS'!$O$5:$O$500,"&lt;=97799",'LANÇAMENTOS DIÁRIOS'!$P$5:$P$500,"&gt;=97700")&gt;0,"X","")</f>
      </c>
      <c r="O39" s="56" t="str">
        <f>IF(COUNTIFS('LANÇAMENTOS DIÁRIOS'!$G$5:$G$500,"C",'LANÇAMENTOS DIÁRIOS'!$C$5:$C$500,$A39,'LANÇAMENTOS DIÁRIOS'!$O$5:$O$500,"&lt;=97899",'LANÇAMENTOS DIÁRIOS'!$P$5:$P$500,"&gt;=97800")&gt;0,"X","")</f>
      </c>
      <c r="P39" s="56" t="str">
        <f>IF(COUNTIFS('LANÇAMENTOS DIÁRIOS'!$G$5:$G$500,"C",'LANÇAMENTOS DIÁRIOS'!$C$5:$C$500,$A39,'LANÇAMENTOS DIÁRIOS'!$O$5:$O$500,"&lt;=97999",'LANÇAMENTOS DIÁRIOS'!$P$5:$P$500,"&gt;=97900")&gt;0,"X","")</f>
      </c>
      <c r="Q39" s="56" t="str">
        <f>IF(COUNTIFS('LANÇAMENTOS DIÁRIOS'!$G$5:$G$500,"C",'LANÇAMENTOS DIÁRIOS'!$C$5:$C$500,$A39,'LANÇAMENTOS DIÁRIOS'!$O$5:$O$500,"&lt;=98099",'LANÇAMENTOS DIÁRIOS'!$P$5:$P$500,"&gt;=98000")&gt;0,"X","")</f>
      </c>
      <c r="R39" s="56" t="str">
        <f>IF(COUNTIFS('LANÇAMENTOS DIÁRIOS'!$G$5:$G$500,"C",'LANÇAMENTOS DIÁRIOS'!$C$5:$C$500,$A39,'LANÇAMENTOS DIÁRIOS'!$O$5:$O$500,"&lt;=98199",'LANÇAMENTOS DIÁRIOS'!$P$5:$P$500,"&gt;=98100")&gt;0,"X","")</f>
      </c>
      <c r="S39" s="56" t="str">
        <f>IF(COUNTIFS('LANÇAMENTOS DIÁRIOS'!$G$5:$G$500,"C",'LANÇAMENTOS DIÁRIOS'!$C$5:$C$500,$A39,'LANÇAMENTOS DIÁRIOS'!$O$5:$O$500,"&lt;=98299",'LANÇAMENTOS DIÁRIOS'!$P$5:$P$500,"&gt;=98200")&gt;0,"X","")</f>
      </c>
      <c r="T39" s="56" t="str">
        <f>IF(COUNTIFS('LANÇAMENTOS DIÁRIOS'!$G$5:$G$500,"C",'LANÇAMENTOS DIÁRIOS'!$C$5:$C$500,$A39,'LANÇAMENTOS DIÁRIOS'!$O$5:$O$500,"&lt;=98399",'LANÇAMENTOS DIÁRIOS'!$P$5:$P$500,"&gt;=98300")&gt;0,"X","")</f>
      </c>
      <c r="U39" s="56" t="str">
        <f>IF(COUNTIFS('LANÇAMENTOS DIÁRIOS'!$G$5:$G$500,"C",'LANÇAMENTOS DIÁRIOS'!$C$5:$C$500,$A39,'LANÇAMENTOS DIÁRIOS'!$O$5:$O$500,"&lt;=98499",'LANÇAMENTOS DIÁRIOS'!$P$5:$P$500,"&gt;=98400")&gt;0,"X","")</f>
      </c>
      <c r="V39" s="56" t="str">
        <f>IF(COUNTIFS('LANÇAMENTOS DIÁRIOS'!$G$5:$G$500,"C",'LANÇAMENTOS DIÁRIOS'!$C$5:$C$500,$A39,'LANÇAMENTOS DIÁRIOS'!$O$5:$O$500,"&lt;=98599",'LANÇAMENTOS DIÁRIOS'!$P$5:$P$500,"&gt;=98500")&gt;0,"X","")</f>
      </c>
      <c r="W39" s="56" t="str">
        <f>IF(COUNTIFS('LANÇAMENTOS DIÁRIOS'!$G$5:$G$500,"C",'LANÇAMENTOS DIÁRIOS'!$C$5:$C$500,$A39,'LANÇAMENTOS DIÁRIOS'!$O$5:$O$500,"&lt;=98699",'LANÇAMENTOS DIÁRIOS'!$P$5:$P$500,"&gt;=98600")&gt;0,"X","")</f>
      </c>
      <c r="X39" s="56" t="str">
        <f>IF(COUNTIFS('LANÇAMENTOS DIÁRIOS'!$G$5:$G$500,"C",'LANÇAMENTOS DIÁRIOS'!$C$5:$C$500,$A39,'LANÇAMENTOS DIÁRIOS'!$O$5:$O$500,"&lt;=98799",'LANÇAMENTOS DIÁRIOS'!$P$5:$P$500,"&gt;=98700")&gt;0,"X","")</f>
      </c>
      <c r="Y39" s="56" t="str">
        <f>IF(COUNTIFS('LANÇAMENTOS DIÁRIOS'!$G$5:$G$500,"C",'LANÇAMENTOS DIÁRIOS'!$C$5:$C$500,$A39,'LANÇAMENTOS DIÁRIOS'!$O$5:$O$500,"&lt;=98899",'LANÇAMENTOS DIÁRIOS'!$P$5:$P$500,"&gt;=98800")&gt;0,"X","")</f>
      </c>
      <c r="Z39" s="56" t="str">
        <f>IF(COUNTIFS('LANÇAMENTOS DIÁRIOS'!$G$5:$G$500,"C",'LANÇAMENTOS DIÁRIOS'!$C$5:$C$500,$A39,'LANÇAMENTOS DIÁRIOS'!$O$5:$O$500,"&lt;=98999",'LANÇAMENTOS DIÁRIOS'!$P$5:$P$500,"&gt;=98900")&gt;0,"X","")</f>
      </c>
      <c r="AA39" s="56" t="str">
        <f>IF(COUNTIFS('LANÇAMENTOS DIÁRIOS'!$G$5:$G$500,"C",'LANÇAMENTOS DIÁRIOS'!$C$5:$C$500,$A39,'LANÇAMENTOS DIÁRIOS'!$O$5:$O$500,"&lt;=99099",'LANÇAMENTOS DIÁRIOS'!$P$5:$P$500,"&gt;=99000")&gt;0,"X","")</f>
      </c>
      <c r="AB39" s="56" t="str">
        <f>IF(COUNTIFS('LANÇAMENTOS DIÁRIOS'!$G$5:$G$500,"C",'LANÇAMENTOS DIÁRIOS'!$C$5:$C$500,$A39,'LANÇAMENTOS DIÁRIOS'!$O$5:$O$500,"&lt;=99199",'LANÇAMENTOS DIÁRIOS'!$P$5:$P$500,"&gt;=99100")&gt;0,"X","")</f>
      </c>
      <c r="AC39" s="56" t="str">
        <f>IF(COUNTIFS('LANÇAMENTOS DIÁRIOS'!$G$5:$G$500,"C",'LANÇAMENTOS DIÁRIOS'!$C$5:$C$500,$A39,'LANÇAMENTOS DIÁRIOS'!$O$5:$O$500,"&lt;=99299",'LANÇAMENTOS DIÁRIOS'!$P$5:$P$500,"&gt;=99200")&gt;0,"X","")</f>
      </c>
      <c r="AD39" s="56" t="str">
        <f>IF(COUNTIFS('LANÇAMENTOS DIÁRIOS'!$G$5:$G$500,"C",'LANÇAMENTOS DIÁRIOS'!$C$5:$C$500,$A39,'LANÇAMENTOS DIÁRIOS'!$O$5:$O$500,"&lt;=99399",'LANÇAMENTOS DIÁRIOS'!$P$5:$P$500,"&gt;=99300")&gt;0,"X","")</f>
      </c>
      <c r="AE39" s="56" t="str">
        <f>IF(COUNTIFS('LANÇAMENTOS DIÁRIOS'!$G$5:$G$500,"C",'LANÇAMENTOS DIÁRIOS'!$C$5:$C$500,$A39,'LANÇAMENTOS DIÁRIOS'!$O$5:$O$500,"&lt;=99499",'LANÇAMENTOS DIÁRIOS'!$P$5:$P$500,"&gt;=99400")&gt;0,"X","")</f>
      </c>
      <c r="AF39" s="56" t="str">
        <f>IF(COUNTIFS('LANÇAMENTOS DIÁRIOS'!$G$5:$G$500,"C",'LANÇAMENTOS DIÁRIOS'!$C$5:$C$500,$A39,'LANÇAMENTOS DIÁRIOS'!$O$5:$O$500,"&lt;=99599",'LANÇAMENTOS DIÁRIOS'!$P$5:$P$500,"&gt;=99500")&gt;0,"X","")</f>
      </c>
      <c r="AG39" s="56" t="str">
        <f>IF(COUNTIFS('LANÇAMENTOS DIÁRIOS'!$G$5:$G$500,"C",'LANÇAMENTOS DIÁRIOS'!$C$5:$C$500,$A39,'LANÇAMENTOS DIÁRIOS'!$O$5:$O$500,"&lt;=99699",'LANÇAMENTOS DIÁRIOS'!$P$5:$P$500,"&gt;=99600")&gt;0,"X","")</f>
      </c>
      <c r="AH39" s="56" t="str">
        <f>IF(COUNTIFS('LANÇAMENTOS DIÁRIOS'!$G$5:$G$500,"C",'LANÇAMENTOS DIÁRIOS'!$C$5:$C$500,$A39,'LANÇAMENTOS DIÁRIOS'!$O$5:$O$500,"&lt;=99799",'LANÇAMENTOS DIÁRIOS'!$P$5:$P$500,"&gt;=99700")&gt;0,"X","")</f>
      </c>
      <c r="AI39" s="56" t="str">
        <f>IF(COUNTIFS('LANÇAMENTOS DIÁRIOS'!$G$5:$G$500,"C",'LANÇAMENTOS DIÁRIOS'!$C$5:$C$500,$A39,'LANÇAMENTOS DIÁRIOS'!$O$5:$O$500,"&lt;=99899",'LANÇAMENTOS DIÁRIOS'!$P$5:$P$500,"&gt;=99800")&gt;0,"X","")</f>
      </c>
      <c r="AJ39" s="56" t="str">
        <f>IF(COUNTIFS('LANÇAMENTOS DIÁRIOS'!$G$5:$G$500,"C",'LANÇAMENTOS DIÁRIOS'!$C$5:$C$500,$A39,'LANÇAMENTOS DIÁRIOS'!$O$5:$O$500,"&lt;=99999",'LANÇAMENTOS DIÁRIOS'!$P$5:$P$500,"&gt;=99900")&gt;0,"X","")</f>
      </c>
      <c r="AK39" s="56" t="str">
        <f>IF(COUNTIFS('LANÇAMENTOS DIÁRIOS'!$G$5:$G$500,"C",'LANÇAMENTOS DIÁRIOS'!$C$5:$C$500,$A39,'LANÇAMENTOS DIÁRIOS'!$O$5:$O$500,"&lt;=100099",'LANÇAMENTOS DIÁRIOS'!$P$5:$P$500,"&gt;=100000")&gt;0,"X","")</f>
      </c>
      <c r="AL39" s="56" t="str">
        <f>IF(COUNTIFS('LANÇAMENTOS DIÁRIOS'!$G$5:$G$500,"C",'LANÇAMENTOS DIÁRIOS'!$C$5:$C$500,$A39,'LANÇAMENTOS DIÁRIOS'!$O$5:$O$500,"&lt;=100199",'LANÇAMENTOS DIÁRIOS'!$P$5:$P$500,"&gt;=100100")&gt;0,"X","")</f>
      </c>
      <c r="AM39" s="56" t="str">
        <f>IF(COUNTIFS('LANÇAMENTOS DIÁRIOS'!$G$5:$G$500,"C",'LANÇAMENTOS DIÁRIOS'!$C$5:$C$500,$A39,'LANÇAMENTOS DIÁRIOS'!$O$5:$O$500,"&lt;=100299",'LANÇAMENTOS DIÁRIOS'!$P$5:$P$500,"&gt;=100200")&gt;0,"X","")</f>
      </c>
      <c r="AN39" s="56" t="str">
        <f>IF(COUNTIFS('LANÇAMENTOS DIÁRIOS'!$G$5:$G$500,"C",'LANÇAMENTOS DIÁRIOS'!$C$5:$C$500,$A39,'LANÇAMENTOS DIÁRIOS'!$O$5:$O$500,"&lt;=100399",'LANÇAMENTOS DIÁRIOS'!$P$5:$P$500,"&gt;=100300")&gt;0,"X","")</f>
      </c>
      <c r="AO39" s="56" t="str">
        <f>IF(COUNTIFS('LANÇAMENTOS DIÁRIOS'!$G$5:$G$500,"C",'LANÇAMENTOS DIÁRIOS'!$C$5:$C$500,$A39,'LANÇAMENTOS DIÁRIOS'!$O$5:$O$500,"&lt;=100499",'LANÇAMENTOS DIÁRIOS'!$P$5:$P$500,"&gt;=100400")&gt;0,"X","")</f>
      </c>
      <c r="AP39" s="56" t="str">
        <f>IF(COUNTIFS('LANÇAMENTOS DIÁRIOS'!$G$5:$G$500,"C",'LANÇAMENTOS DIÁRIOS'!$C$5:$C$500,$A39,'LANÇAMENTOS DIÁRIOS'!$O$5:$O$500,"&lt;=100500",'LANÇAMENTOS DIÁRIOS'!$P$5:$P$500,"&gt;=100500")&gt;0,"X","")</f>
      </c>
    </row>
    <row r="40" ht="19" customHeight="1">
      <c r="A40" s="68" t="str">
        <v>Corte em solo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</row>
    <row r="41">
      <c r="A41" s="51" t="str">
        <v>Escavação de material de 1ª e 2ª categoria - Sem transporte</v>
      </c>
      <c r="B41" s="56" t="str">
        <f>IF(COUNTIFS('LANÇAMENTOS DIÁRIOS'!$G$5:$G$500,"C",'LANÇAMENTOS DIÁRIOS'!$C$5:$C$500,$A41,'LANÇAMENTOS DIÁRIOS'!$O$5:$O$500,"&lt;=96599",'LANÇAMENTOS DIÁRIOS'!$P$5:$P$500,"&gt;=96500")&gt;0,"X","")</f>
      </c>
      <c r="C41" s="56" t="str">
        <f>IF(COUNTIFS('LANÇAMENTOS DIÁRIOS'!$G$5:$G$500,"C",'LANÇAMENTOS DIÁRIOS'!$C$5:$C$500,$A41,'LANÇAMENTOS DIÁRIOS'!$O$5:$O$500,"&lt;=96699",'LANÇAMENTOS DIÁRIOS'!$P$5:$P$500,"&gt;=96600")&gt;0,"X","")</f>
      </c>
      <c r="D41" s="56" t="str">
        <f>IF(COUNTIFS('LANÇAMENTOS DIÁRIOS'!$G$5:$G$500,"C",'LANÇAMENTOS DIÁRIOS'!$C$5:$C$500,$A41,'LANÇAMENTOS DIÁRIOS'!$O$5:$O$500,"&lt;=96799",'LANÇAMENTOS DIÁRIOS'!$P$5:$P$500,"&gt;=96700")&gt;0,"X","")</f>
      </c>
      <c r="E41" s="56" t="str">
        <f>IF(COUNTIFS('LANÇAMENTOS DIÁRIOS'!$G$5:$G$500,"C",'LANÇAMENTOS DIÁRIOS'!$C$5:$C$500,$A41,'LANÇAMENTOS DIÁRIOS'!$O$5:$O$500,"&lt;=96899",'LANÇAMENTOS DIÁRIOS'!$P$5:$P$500,"&gt;=96800")&gt;0,"X","")</f>
      </c>
      <c r="F41" s="56" t="str">
        <f>IF(COUNTIFS('LANÇAMENTOS DIÁRIOS'!$G$5:$G$500,"C",'LANÇAMENTOS DIÁRIOS'!$C$5:$C$500,$A41,'LANÇAMENTOS DIÁRIOS'!$O$5:$O$500,"&lt;=96999",'LANÇAMENTOS DIÁRIOS'!$P$5:$P$500,"&gt;=96900")&gt;0,"X","")</f>
      </c>
      <c r="G41" s="56" t="str">
        <f>IF(COUNTIFS('LANÇAMENTOS DIÁRIOS'!$G$5:$G$500,"C",'LANÇAMENTOS DIÁRIOS'!$C$5:$C$500,$A41,'LANÇAMENTOS DIÁRIOS'!$O$5:$O$500,"&lt;=97099",'LANÇAMENTOS DIÁRIOS'!$P$5:$P$500,"&gt;=97000")&gt;0,"X","")</f>
      </c>
      <c r="H41" s="56" t="str">
        <f>IF(COUNTIFS('LANÇAMENTOS DIÁRIOS'!$G$5:$G$500,"C",'LANÇAMENTOS DIÁRIOS'!$C$5:$C$500,$A41,'LANÇAMENTOS DIÁRIOS'!$O$5:$O$500,"&lt;=97199",'LANÇAMENTOS DIÁRIOS'!$P$5:$P$500,"&gt;=97100")&gt;0,"X","")</f>
      </c>
      <c r="I41" s="56" t="str">
        <f>IF(COUNTIFS('LANÇAMENTOS DIÁRIOS'!$G$5:$G$500,"C",'LANÇAMENTOS DIÁRIOS'!$C$5:$C$500,$A41,'LANÇAMENTOS DIÁRIOS'!$O$5:$O$500,"&lt;=97299",'LANÇAMENTOS DIÁRIOS'!$P$5:$P$500,"&gt;=97200")&gt;0,"X","")</f>
      </c>
      <c r="J41" s="56" t="str">
        <f>IF(COUNTIFS('LANÇAMENTOS DIÁRIOS'!$G$5:$G$500,"C",'LANÇAMENTOS DIÁRIOS'!$C$5:$C$500,$A41,'LANÇAMENTOS DIÁRIOS'!$O$5:$O$500,"&lt;=97399",'LANÇAMENTOS DIÁRIOS'!$P$5:$P$500,"&gt;=97300")&gt;0,"X","")</f>
      </c>
      <c r="K41" s="56" t="str">
        <f>IF(COUNTIFS('LANÇAMENTOS DIÁRIOS'!$G$5:$G$500,"C",'LANÇAMENTOS DIÁRIOS'!$C$5:$C$500,$A41,'LANÇAMENTOS DIÁRIOS'!$O$5:$O$500,"&lt;=97499",'LANÇAMENTOS DIÁRIOS'!$P$5:$P$500,"&gt;=97400")&gt;0,"X","")</f>
      </c>
      <c r="L41" s="56" t="str">
        <f>IF(COUNTIFS('LANÇAMENTOS DIÁRIOS'!$G$5:$G$500,"C",'LANÇAMENTOS DIÁRIOS'!$C$5:$C$500,$A41,'LANÇAMENTOS DIÁRIOS'!$O$5:$O$500,"&lt;=97599",'LANÇAMENTOS DIÁRIOS'!$P$5:$P$500,"&gt;=97500")&gt;0,"X","")</f>
      </c>
      <c r="M41" s="56" t="str">
        <f>IF(COUNTIFS('LANÇAMENTOS DIÁRIOS'!$G$5:$G$500,"C",'LANÇAMENTOS DIÁRIOS'!$C$5:$C$500,$A41,'LANÇAMENTOS DIÁRIOS'!$O$5:$O$500,"&lt;=97699",'LANÇAMENTOS DIÁRIOS'!$P$5:$P$500,"&gt;=97600")&gt;0,"X","")</f>
      </c>
      <c r="N41" s="56" t="str">
        <f>IF(COUNTIFS('LANÇAMENTOS DIÁRIOS'!$G$5:$G$500,"C",'LANÇAMENTOS DIÁRIOS'!$C$5:$C$500,$A41,'LANÇAMENTOS DIÁRIOS'!$O$5:$O$500,"&lt;=97799",'LANÇAMENTOS DIÁRIOS'!$P$5:$P$500,"&gt;=97700")&gt;0,"X","")</f>
      </c>
      <c r="O41" s="56" t="str">
        <f>IF(COUNTIFS('LANÇAMENTOS DIÁRIOS'!$G$5:$G$500,"C",'LANÇAMENTOS DIÁRIOS'!$C$5:$C$500,$A41,'LANÇAMENTOS DIÁRIOS'!$O$5:$O$500,"&lt;=97899",'LANÇAMENTOS DIÁRIOS'!$P$5:$P$500,"&gt;=97800")&gt;0,"X","")</f>
      </c>
      <c r="P41" s="56" t="str">
        <f>IF(COUNTIFS('LANÇAMENTOS DIÁRIOS'!$G$5:$G$500,"C",'LANÇAMENTOS DIÁRIOS'!$C$5:$C$500,$A41,'LANÇAMENTOS DIÁRIOS'!$O$5:$O$500,"&lt;=97999",'LANÇAMENTOS DIÁRIOS'!$P$5:$P$500,"&gt;=97900")&gt;0,"X","")</f>
      </c>
      <c r="Q41" s="56" t="str">
        <f>IF(COUNTIFS('LANÇAMENTOS DIÁRIOS'!$G$5:$G$500,"C",'LANÇAMENTOS DIÁRIOS'!$C$5:$C$500,$A41,'LANÇAMENTOS DIÁRIOS'!$O$5:$O$500,"&lt;=98099",'LANÇAMENTOS DIÁRIOS'!$P$5:$P$500,"&gt;=98000")&gt;0,"X","")</f>
      </c>
      <c r="R41" s="56" t="str">
        <f>IF(COUNTIFS('LANÇAMENTOS DIÁRIOS'!$G$5:$G$500,"C",'LANÇAMENTOS DIÁRIOS'!$C$5:$C$500,$A41,'LANÇAMENTOS DIÁRIOS'!$O$5:$O$500,"&lt;=98199",'LANÇAMENTOS DIÁRIOS'!$P$5:$P$500,"&gt;=98100")&gt;0,"X","")</f>
      </c>
      <c r="S41" s="56" t="str">
        <f>IF(COUNTIFS('LANÇAMENTOS DIÁRIOS'!$G$5:$G$500,"C",'LANÇAMENTOS DIÁRIOS'!$C$5:$C$500,$A41,'LANÇAMENTOS DIÁRIOS'!$O$5:$O$500,"&lt;=98299",'LANÇAMENTOS DIÁRIOS'!$P$5:$P$500,"&gt;=98200")&gt;0,"X","")</f>
      </c>
      <c r="T41" s="56" t="str">
        <f>IF(COUNTIFS('LANÇAMENTOS DIÁRIOS'!$G$5:$G$500,"C",'LANÇAMENTOS DIÁRIOS'!$C$5:$C$500,$A41,'LANÇAMENTOS DIÁRIOS'!$O$5:$O$500,"&lt;=98399",'LANÇAMENTOS DIÁRIOS'!$P$5:$P$500,"&gt;=98300")&gt;0,"X","")</f>
      </c>
      <c r="U41" s="56" t="str">
        <f>IF(COUNTIFS('LANÇAMENTOS DIÁRIOS'!$G$5:$G$500,"C",'LANÇAMENTOS DIÁRIOS'!$C$5:$C$500,$A41,'LANÇAMENTOS DIÁRIOS'!$O$5:$O$500,"&lt;=98499",'LANÇAMENTOS DIÁRIOS'!$P$5:$P$500,"&gt;=98400")&gt;0,"X","")</f>
      </c>
      <c r="V41" s="56" t="str">
        <f>IF(COUNTIFS('LANÇAMENTOS DIÁRIOS'!$G$5:$G$500,"C",'LANÇAMENTOS DIÁRIOS'!$C$5:$C$500,$A41,'LANÇAMENTOS DIÁRIOS'!$O$5:$O$500,"&lt;=98599",'LANÇAMENTOS DIÁRIOS'!$P$5:$P$500,"&gt;=98500")&gt;0,"X","")</f>
      </c>
      <c r="W41" s="56" t="str">
        <f>IF(COUNTIFS('LANÇAMENTOS DIÁRIOS'!$G$5:$G$500,"C",'LANÇAMENTOS DIÁRIOS'!$C$5:$C$500,$A41,'LANÇAMENTOS DIÁRIOS'!$O$5:$O$500,"&lt;=98699",'LANÇAMENTOS DIÁRIOS'!$P$5:$P$500,"&gt;=98600")&gt;0,"X","")</f>
      </c>
      <c r="X41" s="56" t="str">
        <f>IF(COUNTIFS('LANÇAMENTOS DIÁRIOS'!$G$5:$G$500,"C",'LANÇAMENTOS DIÁRIOS'!$C$5:$C$500,$A41,'LANÇAMENTOS DIÁRIOS'!$O$5:$O$500,"&lt;=98799",'LANÇAMENTOS DIÁRIOS'!$P$5:$P$500,"&gt;=98700")&gt;0,"X","")</f>
      </c>
      <c r="Y41" s="56" t="str">
        <f>IF(COUNTIFS('LANÇAMENTOS DIÁRIOS'!$G$5:$G$500,"C",'LANÇAMENTOS DIÁRIOS'!$C$5:$C$500,$A41,'LANÇAMENTOS DIÁRIOS'!$O$5:$O$500,"&lt;=98899",'LANÇAMENTOS DIÁRIOS'!$P$5:$P$500,"&gt;=98800")&gt;0,"X","")</f>
      </c>
      <c r="Z41" s="56" t="str">
        <f>IF(COUNTIFS('LANÇAMENTOS DIÁRIOS'!$G$5:$G$500,"C",'LANÇAMENTOS DIÁRIOS'!$C$5:$C$500,$A41,'LANÇAMENTOS DIÁRIOS'!$O$5:$O$500,"&lt;=98999",'LANÇAMENTOS DIÁRIOS'!$P$5:$P$500,"&gt;=98900")&gt;0,"X","")</f>
      </c>
      <c r="AA41" s="56" t="str">
        <f>IF(COUNTIFS('LANÇAMENTOS DIÁRIOS'!$G$5:$G$500,"C",'LANÇAMENTOS DIÁRIOS'!$C$5:$C$500,$A41,'LANÇAMENTOS DIÁRIOS'!$O$5:$O$500,"&lt;=99099",'LANÇAMENTOS DIÁRIOS'!$P$5:$P$500,"&gt;=99000")&gt;0,"X","")</f>
      </c>
      <c r="AB41" s="56" t="str">
        <f>IF(COUNTIFS('LANÇAMENTOS DIÁRIOS'!$G$5:$G$500,"C",'LANÇAMENTOS DIÁRIOS'!$C$5:$C$500,$A41,'LANÇAMENTOS DIÁRIOS'!$O$5:$O$500,"&lt;=99199",'LANÇAMENTOS DIÁRIOS'!$P$5:$P$500,"&gt;=99100")&gt;0,"X","")</f>
      </c>
      <c r="AC41" s="56" t="str">
        <f>IF(COUNTIFS('LANÇAMENTOS DIÁRIOS'!$G$5:$G$500,"C",'LANÇAMENTOS DIÁRIOS'!$C$5:$C$500,$A41,'LANÇAMENTOS DIÁRIOS'!$O$5:$O$500,"&lt;=99299",'LANÇAMENTOS DIÁRIOS'!$P$5:$P$500,"&gt;=99200")&gt;0,"X","")</f>
      </c>
      <c r="AD41" s="56" t="str">
        <f>IF(COUNTIFS('LANÇAMENTOS DIÁRIOS'!$G$5:$G$500,"C",'LANÇAMENTOS DIÁRIOS'!$C$5:$C$500,$A41,'LANÇAMENTOS DIÁRIOS'!$O$5:$O$500,"&lt;=99399",'LANÇAMENTOS DIÁRIOS'!$P$5:$P$500,"&gt;=99300")&gt;0,"X","")</f>
      </c>
      <c r="AE41" s="56" t="str">
        <f>IF(COUNTIFS('LANÇAMENTOS DIÁRIOS'!$G$5:$G$500,"C",'LANÇAMENTOS DIÁRIOS'!$C$5:$C$500,$A41,'LANÇAMENTOS DIÁRIOS'!$O$5:$O$500,"&lt;=99499",'LANÇAMENTOS DIÁRIOS'!$P$5:$P$500,"&gt;=99400")&gt;0,"X","")</f>
      </c>
      <c r="AF41" s="56" t="str">
        <f>IF(COUNTIFS('LANÇAMENTOS DIÁRIOS'!$G$5:$G$500,"C",'LANÇAMENTOS DIÁRIOS'!$C$5:$C$500,$A41,'LANÇAMENTOS DIÁRIOS'!$O$5:$O$500,"&lt;=99599",'LANÇAMENTOS DIÁRIOS'!$P$5:$P$500,"&gt;=99500")&gt;0,"X","")</f>
      </c>
      <c r="AG41" s="56" t="str">
        <f>IF(COUNTIFS('LANÇAMENTOS DIÁRIOS'!$G$5:$G$500,"C",'LANÇAMENTOS DIÁRIOS'!$C$5:$C$500,$A41,'LANÇAMENTOS DIÁRIOS'!$O$5:$O$500,"&lt;=99699",'LANÇAMENTOS DIÁRIOS'!$P$5:$P$500,"&gt;=99600")&gt;0,"X","")</f>
      </c>
      <c r="AH41" s="56" t="str">
        <f>IF(COUNTIFS('LANÇAMENTOS DIÁRIOS'!$G$5:$G$500,"C",'LANÇAMENTOS DIÁRIOS'!$C$5:$C$500,$A41,'LANÇAMENTOS DIÁRIOS'!$O$5:$O$500,"&lt;=99799",'LANÇAMENTOS DIÁRIOS'!$P$5:$P$500,"&gt;=99700")&gt;0,"X","")</f>
      </c>
      <c r="AI41" s="56" t="str">
        <f>IF(COUNTIFS('LANÇAMENTOS DIÁRIOS'!$G$5:$G$500,"C",'LANÇAMENTOS DIÁRIOS'!$C$5:$C$500,$A41,'LANÇAMENTOS DIÁRIOS'!$O$5:$O$500,"&lt;=99899",'LANÇAMENTOS DIÁRIOS'!$P$5:$P$500,"&gt;=99800")&gt;0,"X","")</f>
      </c>
      <c r="AJ41" s="56" t="str">
        <f>IF(COUNTIFS('LANÇAMENTOS DIÁRIOS'!$G$5:$G$500,"C",'LANÇAMENTOS DIÁRIOS'!$C$5:$C$500,$A41,'LANÇAMENTOS DIÁRIOS'!$O$5:$O$500,"&lt;=99999",'LANÇAMENTOS DIÁRIOS'!$P$5:$P$500,"&gt;=99900")&gt;0,"X","")</f>
      </c>
      <c r="AK41" s="56" t="str">
        <f>IF(COUNTIFS('LANÇAMENTOS DIÁRIOS'!$G$5:$G$500,"C",'LANÇAMENTOS DIÁRIOS'!$C$5:$C$500,$A41,'LANÇAMENTOS DIÁRIOS'!$O$5:$O$500,"&lt;=100099",'LANÇAMENTOS DIÁRIOS'!$P$5:$P$500,"&gt;=100000")&gt;0,"X","")</f>
      </c>
      <c r="AL41" s="56" t="str">
        <f>IF(COUNTIFS('LANÇAMENTOS DIÁRIOS'!$G$5:$G$500,"C",'LANÇAMENTOS DIÁRIOS'!$C$5:$C$500,$A41,'LANÇAMENTOS DIÁRIOS'!$O$5:$O$500,"&lt;=100199",'LANÇAMENTOS DIÁRIOS'!$P$5:$P$500,"&gt;=100100")&gt;0,"X","")</f>
      </c>
      <c r="AM41" s="56" t="str">
        <f>IF(COUNTIFS('LANÇAMENTOS DIÁRIOS'!$G$5:$G$500,"C",'LANÇAMENTOS DIÁRIOS'!$C$5:$C$500,$A41,'LANÇAMENTOS DIÁRIOS'!$O$5:$O$500,"&lt;=100299",'LANÇAMENTOS DIÁRIOS'!$P$5:$P$500,"&gt;=100200")&gt;0,"X","")</f>
      </c>
      <c r="AN41" s="56" t="str">
        <f>IF(COUNTIFS('LANÇAMENTOS DIÁRIOS'!$G$5:$G$500,"C",'LANÇAMENTOS DIÁRIOS'!$C$5:$C$500,$A41,'LANÇAMENTOS DIÁRIOS'!$O$5:$O$500,"&lt;=100399",'LANÇAMENTOS DIÁRIOS'!$P$5:$P$500,"&gt;=100300")&gt;0,"X","")</f>
      </c>
      <c r="AO41" s="56" t="str">
        <f>IF(COUNTIFS('LANÇAMENTOS DIÁRIOS'!$G$5:$G$500,"C",'LANÇAMENTOS DIÁRIOS'!$C$5:$C$500,$A41,'LANÇAMENTOS DIÁRIOS'!$O$5:$O$500,"&lt;=100499",'LANÇAMENTOS DIÁRIOS'!$P$5:$P$500,"&gt;=100400")&gt;0,"X","")</f>
      </c>
      <c r="AP41" s="56" t="str">
        <f>IF(COUNTIFS('LANÇAMENTOS DIÁRIOS'!$G$5:$G$500,"C",'LANÇAMENTOS DIÁRIOS'!$C$5:$C$500,$A41,'LANÇAMENTOS DIÁRIOS'!$O$5:$O$500,"&lt;=100500",'LANÇAMENTOS DIÁRIOS'!$P$5:$P$500,"&gt;=100500")&gt;0,"X","")</f>
      </c>
    </row>
    <row r="42">
      <c r="A42" s="51" t="str">
        <v>Escavação de material de 1ª e 2ª categoria, sem transporte</v>
      </c>
      <c r="B42" s="56" t="str">
        <f>IF(COUNTIFS('LANÇAMENTOS DIÁRIOS'!$G$5:$G$500,"C",'LANÇAMENTOS DIÁRIOS'!$C$5:$C$500,$A42,'LANÇAMENTOS DIÁRIOS'!$O$5:$O$500,"&lt;=96599",'LANÇAMENTOS DIÁRIOS'!$P$5:$P$500,"&gt;=96500")&gt;0,"X","")</f>
      </c>
      <c r="C42" s="56" t="str">
        <f>IF(COUNTIFS('LANÇAMENTOS DIÁRIOS'!$G$5:$G$500,"C",'LANÇAMENTOS DIÁRIOS'!$C$5:$C$500,$A42,'LANÇAMENTOS DIÁRIOS'!$O$5:$O$500,"&lt;=96699",'LANÇAMENTOS DIÁRIOS'!$P$5:$P$500,"&gt;=96600")&gt;0,"X","")</f>
      </c>
      <c r="D42" s="56" t="str">
        <f>IF(COUNTIFS('LANÇAMENTOS DIÁRIOS'!$G$5:$G$500,"C",'LANÇAMENTOS DIÁRIOS'!$C$5:$C$500,$A42,'LANÇAMENTOS DIÁRIOS'!$O$5:$O$500,"&lt;=96799",'LANÇAMENTOS DIÁRIOS'!$P$5:$P$500,"&gt;=96700")&gt;0,"X","")</f>
      </c>
      <c r="E42" s="56" t="str">
        <f>IF(COUNTIFS('LANÇAMENTOS DIÁRIOS'!$G$5:$G$500,"C",'LANÇAMENTOS DIÁRIOS'!$C$5:$C$500,$A42,'LANÇAMENTOS DIÁRIOS'!$O$5:$O$500,"&lt;=96899",'LANÇAMENTOS DIÁRIOS'!$P$5:$P$500,"&gt;=96800")&gt;0,"X","")</f>
      </c>
      <c r="F42" s="56" t="str">
        <f>IF(COUNTIFS('LANÇAMENTOS DIÁRIOS'!$G$5:$G$500,"C",'LANÇAMENTOS DIÁRIOS'!$C$5:$C$500,$A42,'LANÇAMENTOS DIÁRIOS'!$O$5:$O$500,"&lt;=96999",'LANÇAMENTOS DIÁRIOS'!$P$5:$P$500,"&gt;=96900")&gt;0,"X","")</f>
      </c>
      <c r="G42" s="56" t="str">
        <f>IF(COUNTIFS('LANÇAMENTOS DIÁRIOS'!$G$5:$G$500,"C",'LANÇAMENTOS DIÁRIOS'!$C$5:$C$500,$A42,'LANÇAMENTOS DIÁRIOS'!$O$5:$O$500,"&lt;=97099",'LANÇAMENTOS DIÁRIOS'!$P$5:$P$500,"&gt;=97000")&gt;0,"X","")</f>
      </c>
      <c r="H42" s="56" t="str">
        <f>IF(COUNTIFS('LANÇAMENTOS DIÁRIOS'!$G$5:$G$500,"C",'LANÇAMENTOS DIÁRIOS'!$C$5:$C$500,$A42,'LANÇAMENTOS DIÁRIOS'!$O$5:$O$500,"&lt;=97199",'LANÇAMENTOS DIÁRIOS'!$P$5:$P$500,"&gt;=97100")&gt;0,"X","")</f>
      </c>
      <c r="I42" s="56" t="str">
        <f>IF(COUNTIFS('LANÇAMENTOS DIÁRIOS'!$G$5:$G$500,"C",'LANÇAMENTOS DIÁRIOS'!$C$5:$C$500,$A42,'LANÇAMENTOS DIÁRIOS'!$O$5:$O$500,"&lt;=97299",'LANÇAMENTOS DIÁRIOS'!$P$5:$P$500,"&gt;=97200")&gt;0,"X","")</f>
      </c>
      <c r="J42" s="56" t="str">
        <f>IF(COUNTIFS('LANÇAMENTOS DIÁRIOS'!$G$5:$G$500,"C",'LANÇAMENTOS DIÁRIOS'!$C$5:$C$500,$A42,'LANÇAMENTOS DIÁRIOS'!$O$5:$O$500,"&lt;=97399",'LANÇAMENTOS DIÁRIOS'!$P$5:$P$500,"&gt;=97300")&gt;0,"X","")</f>
      </c>
      <c r="K42" s="56" t="str">
        <f>IF(COUNTIFS('LANÇAMENTOS DIÁRIOS'!$G$5:$G$500,"C",'LANÇAMENTOS DIÁRIOS'!$C$5:$C$500,$A42,'LANÇAMENTOS DIÁRIOS'!$O$5:$O$500,"&lt;=97499",'LANÇAMENTOS DIÁRIOS'!$P$5:$P$500,"&gt;=97400")&gt;0,"X","")</f>
      </c>
      <c r="L42" s="56" t="str">
        <f>IF(COUNTIFS('LANÇAMENTOS DIÁRIOS'!$G$5:$G$500,"C",'LANÇAMENTOS DIÁRIOS'!$C$5:$C$500,$A42,'LANÇAMENTOS DIÁRIOS'!$O$5:$O$500,"&lt;=97599",'LANÇAMENTOS DIÁRIOS'!$P$5:$P$500,"&gt;=97500")&gt;0,"X","")</f>
      </c>
      <c r="M42" s="56" t="str">
        <f>IF(COUNTIFS('LANÇAMENTOS DIÁRIOS'!$G$5:$G$500,"C",'LANÇAMENTOS DIÁRIOS'!$C$5:$C$500,$A42,'LANÇAMENTOS DIÁRIOS'!$O$5:$O$500,"&lt;=97699",'LANÇAMENTOS DIÁRIOS'!$P$5:$P$500,"&gt;=97600")&gt;0,"X","")</f>
      </c>
      <c r="N42" s="56" t="str">
        <f>IF(COUNTIFS('LANÇAMENTOS DIÁRIOS'!$G$5:$G$500,"C",'LANÇAMENTOS DIÁRIOS'!$C$5:$C$500,$A42,'LANÇAMENTOS DIÁRIOS'!$O$5:$O$500,"&lt;=97799",'LANÇAMENTOS DIÁRIOS'!$P$5:$P$500,"&gt;=97700")&gt;0,"X","")</f>
      </c>
      <c r="O42" s="56" t="str">
        <f>IF(COUNTIFS('LANÇAMENTOS DIÁRIOS'!$G$5:$G$500,"C",'LANÇAMENTOS DIÁRIOS'!$C$5:$C$500,$A42,'LANÇAMENTOS DIÁRIOS'!$O$5:$O$500,"&lt;=97899",'LANÇAMENTOS DIÁRIOS'!$P$5:$P$500,"&gt;=97800")&gt;0,"X","")</f>
      </c>
      <c r="P42" s="56" t="str">
        <f>IF(COUNTIFS('LANÇAMENTOS DIÁRIOS'!$G$5:$G$500,"C",'LANÇAMENTOS DIÁRIOS'!$C$5:$C$500,$A42,'LANÇAMENTOS DIÁRIOS'!$O$5:$O$500,"&lt;=97999",'LANÇAMENTOS DIÁRIOS'!$P$5:$P$500,"&gt;=97900")&gt;0,"X","")</f>
      </c>
      <c r="Q42" s="56" t="str">
        <f>IF(COUNTIFS('LANÇAMENTOS DIÁRIOS'!$G$5:$G$500,"C",'LANÇAMENTOS DIÁRIOS'!$C$5:$C$500,$A42,'LANÇAMENTOS DIÁRIOS'!$O$5:$O$500,"&lt;=98099",'LANÇAMENTOS DIÁRIOS'!$P$5:$P$500,"&gt;=98000")&gt;0,"X","")</f>
      </c>
      <c r="R42" s="56" t="str">
        <f>IF(COUNTIFS('LANÇAMENTOS DIÁRIOS'!$G$5:$G$500,"C",'LANÇAMENTOS DIÁRIOS'!$C$5:$C$500,$A42,'LANÇAMENTOS DIÁRIOS'!$O$5:$O$500,"&lt;=98199",'LANÇAMENTOS DIÁRIOS'!$P$5:$P$500,"&gt;=98100")&gt;0,"X","")</f>
      </c>
      <c r="S42" s="56" t="str">
        <f>IF(COUNTIFS('LANÇAMENTOS DIÁRIOS'!$G$5:$G$500,"C",'LANÇAMENTOS DIÁRIOS'!$C$5:$C$500,$A42,'LANÇAMENTOS DIÁRIOS'!$O$5:$O$500,"&lt;=98299",'LANÇAMENTOS DIÁRIOS'!$P$5:$P$500,"&gt;=98200")&gt;0,"X","")</f>
      </c>
      <c r="T42" s="56" t="str">
        <f>IF(COUNTIFS('LANÇAMENTOS DIÁRIOS'!$G$5:$G$500,"C",'LANÇAMENTOS DIÁRIOS'!$C$5:$C$500,$A42,'LANÇAMENTOS DIÁRIOS'!$O$5:$O$500,"&lt;=98399",'LANÇAMENTOS DIÁRIOS'!$P$5:$P$500,"&gt;=98300")&gt;0,"X","")</f>
      </c>
      <c r="U42" s="56" t="str">
        <f>IF(COUNTIFS('LANÇAMENTOS DIÁRIOS'!$G$5:$G$500,"C",'LANÇAMENTOS DIÁRIOS'!$C$5:$C$500,$A42,'LANÇAMENTOS DIÁRIOS'!$O$5:$O$500,"&lt;=98499",'LANÇAMENTOS DIÁRIOS'!$P$5:$P$500,"&gt;=98400")&gt;0,"X","")</f>
      </c>
      <c r="V42" s="56" t="str">
        <f>IF(COUNTIFS('LANÇAMENTOS DIÁRIOS'!$G$5:$G$500,"C",'LANÇAMENTOS DIÁRIOS'!$C$5:$C$500,$A42,'LANÇAMENTOS DIÁRIOS'!$O$5:$O$500,"&lt;=98599",'LANÇAMENTOS DIÁRIOS'!$P$5:$P$500,"&gt;=98500")&gt;0,"X","")</f>
      </c>
      <c r="W42" s="56" t="str">
        <f>IF(COUNTIFS('LANÇAMENTOS DIÁRIOS'!$G$5:$G$500,"C",'LANÇAMENTOS DIÁRIOS'!$C$5:$C$500,$A42,'LANÇAMENTOS DIÁRIOS'!$O$5:$O$500,"&lt;=98699",'LANÇAMENTOS DIÁRIOS'!$P$5:$P$500,"&gt;=98600")&gt;0,"X","")</f>
      </c>
      <c r="X42" s="56" t="str">
        <f>IF(COUNTIFS('LANÇAMENTOS DIÁRIOS'!$G$5:$G$500,"C",'LANÇAMENTOS DIÁRIOS'!$C$5:$C$500,$A42,'LANÇAMENTOS DIÁRIOS'!$O$5:$O$500,"&lt;=98799",'LANÇAMENTOS DIÁRIOS'!$P$5:$P$500,"&gt;=98700")&gt;0,"X","")</f>
      </c>
      <c r="Y42" s="56" t="str">
        <f>IF(COUNTIFS('LANÇAMENTOS DIÁRIOS'!$G$5:$G$500,"C",'LANÇAMENTOS DIÁRIOS'!$C$5:$C$500,$A42,'LANÇAMENTOS DIÁRIOS'!$O$5:$O$500,"&lt;=98899",'LANÇAMENTOS DIÁRIOS'!$P$5:$P$500,"&gt;=98800")&gt;0,"X","")</f>
      </c>
      <c r="Z42" s="56" t="str">
        <f>IF(COUNTIFS('LANÇAMENTOS DIÁRIOS'!$G$5:$G$500,"C",'LANÇAMENTOS DIÁRIOS'!$C$5:$C$500,$A42,'LANÇAMENTOS DIÁRIOS'!$O$5:$O$500,"&lt;=98999",'LANÇAMENTOS DIÁRIOS'!$P$5:$P$500,"&gt;=98900")&gt;0,"X","")</f>
      </c>
      <c r="AA42" s="56" t="str">
        <f>IF(COUNTIFS('LANÇAMENTOS DIÁRIOS'!$G$5:$G$500,"C",'LANÇAMENTOS DIÁRIOS'!$C$5:$C$500,$A42,'LANÇAMENTOS DIÁRIOS'!$O$5:$O$500,"&lt;=99099",'LANÇAMENTOS DIÁRIOS'!$P$5:$P$500,"&gt;=99000")&gt;0,"X","")</f>
      </c>
      <c r="AB42" s="56" t="str">
        <f>IF(COUNTIFS('LANÇAMENTOS DIÁRIOS'!$G$5:$G$500,"C",'LANÇAMENTOS DIÁRIOS'!$C$5:$C$500,$A42,'LANÇAMENTOS DIÁRIOS'!$O$5:$O$500,"&lt;=99199",'LANÇAMENTOS DIÁRIOS'!$P$5:$P$500,"&gt;=99100")&gt;0,"X","")</f>
      </c>
      <c r="AC42" s="56" t="str">
        <f>IF(COUNTIFS('LANÇAMENTOS DIÁRIOS'!$G$5:$G$500,"C",'LANÇAMENTOS DIÁRIOS'!$C$5:$C$500,$A42,'LANÇAMENTOS DIÁRIOS'!$O$5:$O$500,"&lt;=99299",'LANÇAMENTOS DIÁRIOS'!$P$5:$P$500,"&gt;=99200")&gt;0,"X","")</f>
      </c>
      <c r="AD42" s="56" t="str">
        <f>IF(COUNTIFS('LANÇAMENTOS DIÁRIOS'!$G$5:$G$500,"C",'LANÇAMENTOS DIÁRIOS'!$C$5:$C$500,$A42,'LANÇAMENTOS DIÁRIOS'!$O$5:$O$500,"&lt;=99399",'LANÇAMENTOS DIÁRIOS'!$P$5:$P$500,"&gt;=99300")&gt;0,"X","")</f>
      </c>
      <c r="AE42" s="56" t="str">
        <f>IF(COUNTIFS('LANÇAMENTOS DIÁRIOS'!$G$5:$G$500,"C",'LANÇAMENTOS DIÁRIOS'!$C$5:$C$500,$A42,'LANÇAMENTOS DIÁRIOS'!$O$5:$O$500,"&lt;=99499",'LANÇAMENTOS DIÁRIOS'!$P$5:$P$500,"&gt;=99400")&gt;0,"X","")</f>
      </c>
      <c r="AF42" s="56" t="str">
        <f>IF(COUNTIFS('LANÇAMENTOS DIÁRIOS'!$G$5:$G$500,"C",'LANÇAMENTOS DIÁRIOS'!$C$5:$C$500,$A42,'LANÇAMENTOS DIÁRIOS'!$O$5:$O$500,"&lt;=99599",'LANÇAMENTOS DIÁRIOS'!$P$5:$P$500,"&gt;=99500")&gt;0,"X","")</f>
      </c>
      <c r="AG42" s="56" t="str">
        <f>IF(COUNTIFS('LANÇAMENTOS DIÁRIOS'!$G$5:$G$500,"C",'LANÇAMENTOS DIÁRIOS'!$C$5:$C$500,$A42,'LANÇAMENTOS DIÁRIOS'!$O$5:$O$500,"&lt;=99699",'LANÇAMENTOS DIÁRIOS'!$P$5:$P$500,"&gt;=99600")&gt;0,"X","")</f>
      </c>
      <c r="AH42" s="56" t="str">
        <f>IF(COUNTIFS('LANÇAMENTOS DIÁRIOS'!$G$5:$G$500,"C",'LANÇAMENTOS DIÁRIOS'!$C$5:$C$500,$A42,'LANÇAMENTOS DIÁRIOS'!$O$5:$O$500,"&lt;=99799",'LANÇAMENTOS DIÁRIOS'!$P$5:$P$500,"&gt;=99700")&gt;0,"X","")</f>
      </c>
      <c r="AI42" s="56" t="str">
        <f>IF(COUNTIFS('LANÇAMENTOS DIÁRIOS'!$G$5:$G$500,"C",'LANÇAMENTOS DIÁRIOS'!$C$5:$C$500,$A42,'LANÇAMENTOS DIÁRIOS'!$O$5:$O$500,"&lt;=99899",'LANÇAMENTOS DIÁRIOS'!$P$5:$P$500,"&gt;=99800")&gt;0,"X","")</f>
      </c>
      <c r="AJ42" s="56" t="str">
        <f>IF(COUNTIFS('LANÇAMENTOS DIÁRIOS'!$G$5:$G$500,"C",'LANÇAMENTOS DIÁRIOS'!$C$5:$C$500,$A42,'LANÇAMENTOS DIÁRIOS'!$O$5:$O$500,"&lt;=99999",'LANÇAMENTOS DIÁRIOS'!$P$5:$P$500,"&gt;=99900")&gt;0,"X","")</f>
      </c>
      <c r="AK42" s="56" t="str">
        <f>IF(COUNTIFS('LANÇAMENTOS DIÁRIOS'!$G$5:$G$500,"C",'LANÇAMENTOS DIÁRIOS'!$C$5:$C$500,$A42,'LANÇAMENTOS DIÁRIOS'!$O$5:$O$500,"&lt;=100099",'LANÇAMENTOS DIÁRIOS'!$P$5:$P$500,"&gt;=100000")&gt;0,"X","")</f>
      </c>
      <c r="AL42" s="56" t="str">
        <f>IF(COUNTIFS('LANÇAMENTOS DIÁRIOS'!$G$5:$G$500,"C",'LANÇAMENTOS DIÁRIOS'!$C$5:$C$500,$A42,'LANÇAMENTOS DIÁRIOS'!$O$5:$O$500,"&lt;=100199",'LANÇAMENTOS DIÁRIOS'!$P$5:$P$500,"&gt;=100100")&gt;0,"X","")</f>
      </c>
      <c r="AM42" s="56" t="str">
        <f>IF(COUNTIFS('LANÇAMENTOS DIÁRIOS'!$G$5:$G$500,"C",'LANÇAMENTOS DIÁRIOS'!$C$5:$C$500,$A42,'LANÇAMENTOS DIÁRIOS'!$O$5:$O$500,"&lt;=100299",'LANÇAMENTOS DIÁRIOS'!$P$5:$P$500,"&gt;=100200")&gt;0,"X","")</f>
      </c>
      <c r="AN42" s="56" t="str">
        <f>IF(COUNTIFS('LANÇAMENTOS DIÁRIOS'!$G$5:$G$500,"C",'LANÇAMENTOS DIÁRIOS'!$C$5:$C$500,$A42,'LANÇAMENTOS DIÁRIOS'!$O$5:$O$500,"&lt;=100399",'LANÇAMENTOS DIÁRIOS'!$P$5:$P$500,"&gt;=100300")&gt;0,"X","")</f>
      </c>
      <c r="AO42" s="56" t="str">
        <f>IF(COUNTIFS('LANÇAMENTOS DIÁRIOS'!$G$5:$G$500,"C",'LANÇAMENTOS DIÁRIOS'!$C$5:$C$500,$A42,'LANÇAMENTOS DIÁRIOS'!$O$5:$O$500,"&lt;=100499",'LANÇAMENTOS DIÁRIOS'!$P$5:$P$500,"&gt;=100400")&gt;0,"X","")</f>
      </c>
      <c r="AP42" s="56" t="str">
        <f>IF(COUNTIFS('LANÇAMENTOS DIÁRIOS'!$G$5:$G$500,"C",'LANÇAMENTOS DIÁRIOS'!$C$5:$C$500,$A42,'LANÇAMENTOS DIÁRIOS'!$O$5:$O$500,"&lt;=100500",'LANÇAMENTOS DIÁRIOS'!$P$5:$P$500,"&gt;=100500")&gt;0,"X","")</f>
      </c>
    </row>
    <row r="43">
      <c r="A43" s="51" t="str">
        <v>Escavação de material de 1ª e 2ª categoria</v>
      </c>
      <c r="B43" s="56" t="str">
        <f>IF(COUNTIFS('LANÇAMENTOS DIÁRIOS'!$G$5:$G$500,"C",'LANÇAMENTOS DIÁRIOS'!$C$5:$C$500,$A43,'LANÇAMENTOS DIÁRIOS'!$O$5:$O$500,"&lt;=96599",'LANÇAMENTOS DIÁRIOS'!$P$5:$P$500,"&gt;=96500")&gt;0,"X","")</f>
      </c>
      <c r="C43" s="56" t="str">
        <f>IF(COUNTIFS('LANÇAMENTOS DIÁRIOS'!$G$5:$G$500,"C",'LANÇAMENTOS DIÁRIOS'!$C$5:$C$500,$A43,'LANÇAMENTOS DIÁRIOS'!$O$5:$O$500,"&lt;=96699",'LANÇAMENTOS DIÁRIOS'!$P$5:$P$500,"&gt;=96600")&gt;0,"X","")</f>
      </c>
      <c r="D43" s="56" t="str">
        <f>IF(COUNTIFS('LANÇAMENTOS DIÁRIOS'!$G$5:$G$500,"C",'LANÇAMENTOS DIÁRIOS'!$C$5:$C$500,$A43,'LANÇAMENTOS DIÁRIOS'!$O$5:$O$500,"&lt;=96799",'LANÇAMENTOS DIÁRIOS'!$P$5:$P$500,"&gt;=96700")&gt;0,"X","")</f>
      </c>
      <c r="E43" s="56" t="str">
        <f>IF(COUNTIFS('LANÇAMENTOS DIÁRIOS'!$G$5:$G$500,"C",'LANÇAMENTOS DIÁRIOS'!$C$5:$C$500,$A43,'LANÇAMENTOS DIÁRIOS'!$O$5:$O$500,"&lt;=96899",'LANÇAMENTOS DIÁRIOS'!$P$5:$P$500,"&gt;=96800")&gt;0,"X","")</f>
      </c>
      <c r="F43" s="56" t="str">
        <f>IF(COUNTIFS('LANÇAMENTOS DIÁRIOS'!$G$5:$G$500,"C",'LANÇAMENTOS DIÁRIOS'!$C$5:$C$500,$A43,'LANÇAMENTOS DIÁRIOS'!$O$5:$O$500,"&lt;=96999",'LANÇAMENTOS DIÁRIOS'!$P$5:$P$500,"&gt;=96900")&gt;0,"X","")</f>
      </c>
      <c r="G43" s="56" t="str">
        <f>IF(COUNTIFS('LANÇAMENTOS DIÁRIOS'!$G$5:$G$500,"C",'LANÇAMENTOS DIÁRIOS'!$C$5:$C$500,$A43,'LANÇAMENTOS DIÁRIOS'!$O$5:$O$500,"&lt;=97099",'LANÇAMENTOS DIÁRIOS'!$P$5:$P$500,"&gt;=97000")&gt;0,"X","")</f>
      </c>
      <c r="H43" s="56" t="str">
        <f>IF(COUNTIFS('LANÇAMENTOS DIÁRIOS'!$G$5:$G$500,"C",'LANÇAMENTOS DIÁRIOS'!$C$5:$C$500,$A43,'LANÇAMENTOS DIÁRIOS'!$O$5:$O$500,"&lt;=97199",'LANÇAMENTOS DIÁRIOS'!$P$5:$P$500,"&gt;=97100")&gt;0,"X","")</f>
      </c>
      <c r="I43" s="56" t="str">
        <f>IF(COUNTIFS('LANÇAMENTOS DIÁRIOS'!$G$5:$G$500,"C",'LANÇAMENTOS DIÁRIOS'!$C$5:$C$500,$A43,'LANÇAMENTOS DIÁRIOS'!$O$5:$O$500,"&lt;=97299",'LANÇAMENTOS DIÁRIOS'!$P$5:$P$500,"&gt;=97200")&gt;0,"X","")</f>
      </c>
      <c r="J43" s="56" t="str">
        <f>IF(COUNTIFS('LANÇAMENTOS DIÁRIOS'!$G$5:$G$500,"C",'LANÇAMENTOS DIÁRIOS'!$C$5:$C$500,$A43,'LANÇAMENTOS DIÁRIOS'!$O$5:$O$500,"&lt;=97399",'LANÇAMENTOS DIÁRIOS'!$P$5:$P$500,"&gt;=97300")&gt;0,"X","")</f>
      </c>
      <c r="K43" s="56" t="str">
        <f>IF(COUNTIFS('LANÇAMENTOS DIÁRIOS'!$G$5:$G$500,"C",'LANÇAMENTOS DIÁRIOS'!$C$5:$C$500,$A43,'LANÇAMENTOS DIÁRIOS'!$O$5:$O$500,"&lt;=97499",'LANÇAMENTOS DIÁRIOS'!$P$5:$P$500,"&gt;=97400")&gt;0,"X","")</f>
      </c>
      <c r="L43" s="56" t="str">
        <f>IF(COUNTIFS('LANÇAMENTOS DIÁRIOS'!$G$5:$G$500,"C",'LANÇAMENTOS DIÁRIOS'!$C$5:$C$500,$A43,'LANÇAMENTOS DIÁRIOS'!$O$5:$O$500,"&lt;=97599",'LANÇAMENTOS DIÁRIOS'!$P$5:$P$500,"&gt;=97500")&gt;0,"X","")</f>
      </c>
      <c r="M43" s="56" t="str">
        <f>IF(COUNTIFS('LANÇAMENTOS DIÁRIOS'!$G$5:$G$500,"C",'LANÇAMENTOS DIÁRIOS'!$C$5:$C$500,$A43,'LANÇAMENTOS DIÁRIOS'!$O$5:$O$500,"&lt;=97699",'LANÇAMENTOS DIÁRIOS'!$P$5:$P$500,"&gt;=97600")&gt;0,"X","")</f>
      </c>
      <c r="N43" s="56" t="str">
        <f>IF(COUNTIFS('LANÇAMENTOS DIÁRIOS'!$G$5:$G$500,"C",'LANÇAMENTOS DIÁRIOS'!$C$5:$C$500,$A43,'LANÇAMENTOS DIÁRIOS'!$O$5:$O$500,"&lt;=97799",'LANÇAMENTOS DIÁRIOS'!$P$5:$P$500,"&gt;=97700")&gt;0,"X","")</f>
      </c>
      <c r="O43" s="56" t="str">
        <f>IF(COUNTIFS('LANÇAMENTOS DIÁRIOS'!$G$5:$G$500,"C",'LANÇAMENTOS DIÁRIOS'!$C$5:$C$500,$A43,'LANÇAMENTOS DIÁRIOS'!$O$5:$O$500,"&lt;=97899",'LANÇAMENTOS DIÁRIOS'!$P$5:$P$500,"&gt;=97800")&gt;0,"X","")</f>
      </c>
      <c r="P43" s="56" t="str">
        <f>IF(COUNTIFS('LANÇAMENTOS DIÁRIOS'!$G$5:$G$500,"C",'LANÇAMENTOS DIÁRIOS'!$C$5:$C$500,$A43,'LANÇAMENTOS DIÁRIOS'!$O$5:$O$500,"&lt;=97999",'LANÇAMENTOS DIÁRIOS'!$P$5:$P$500,"&gt;=97900")&gt;0,"X","")</f>
      </c>
      <c r="Q43" s="56" t="str">
        <f>IF(COUNTIFS('LANÇAMENTOS DIÁRIOS'!$G$5:$G$500,"C",'LANÇAMENTOS DIÁRIOS'!$C$5:$C$500,$A43,'LANÇAMENTOS DIÁRIOS'!$O$5:$O$500,"&lt;=98099",'LANÇAMENTOS DIÁRIOS'!$P$5:$P$500,"&gt;=98000")&gt;0,"X","")</f>
      </c>
      <c r="R43" s="56" t="str">
        <f>IF(COUNTIFS('LANÇAMENTOS DIÁRIOS'!$G$5:$G$500,"C",'LANÇAMENTOS DIÁRIOS'!$C$5:$C$500,$A43,'LANÇAMENTOS DIÁRIOS'!$O$5:$O$500,"&lt;=98199",'LANÇAMENTOS DIÁRIOS'!$P$5:$P$500,"&gt;=98100")&gt;0,"X","")</f>
      </c>
      <c r="S43" s="56" t="str">
        <f>IF(COUNTIFS('LANÇAMENTOS DIÁRIOS'!$G$5:$G$500,"C",'LANÇAMENTOS DIÁRIOS'!$C$5:$C$500,$A43,'LANÇAMENTOS DIÁRIOS'!$O$5:$O$500,"&lt;=98299",'LANÇAMENTOS DIÁRIOS'!$P$5:$P$500,"&gt;=98200")&gt;0,"X","")</f>
      </c>
      <c r="T43" s="56" t="str">
        <f>IF(COUNTIFS('LANÇAMENTOS DIÁRIOS'!$G$5:$G$500,"C",'LANÇAMENTOS DIÁRIOS'!$C$5:$C$500,$A43,'LANÇAMENTOS DIÁRIOS'!$O$5:$O$500,"&lt;=98399",'LANÇAMENTOS DIÁRIOS'!$P$5:$P$500,"&gt;=98300")&gt;0,"X","")</f>
      </c>
      <c r="U43" s="56" t="str">
        <f>IF(COUNTIFS('LANÇAMENTOS DIÁRIOS'!$G$5:$G$500,"C",'LANÇAMENTOS DIÁRIOS'!$C$5:$C$500,$A43,'LANÇAMENTOS DIÁRIOS'!$O$5:$O$500,"&lt;=98499",'LANÇAMENTOS DIÁRIOS'!$P$5:$P$500,"&gt;=98400")&gt;0,"X","")</f>
      </c>
      <c r="V43" s="56" t="str">
        <f>IF(COUNTIFS('LANÇAMENTOS DIÁRIOS'!$G$5:$G$500,"C",'LANÇAMENTOS DIÁRIOS'!$C$5:$C$500,$A43,'LANÇAMENTOS DIÁRIOS'!$O$5:$O$500,"&lt;=98599",'LANÇAMENTOS DIÁRIOS'!$P$5:$P$500,"&gt;=98500")&gt;0,"X","")</f>
      </c>
      <c r="W43" s="56" t="str">
        <f>IF(COUNTIFS('LANÇAMENTOS DIÁRIOS'!$G$5:$G$500,"C",'LANÇAMENTOS DIÁRIOS'!$C$5:$C$500,$A43,'LANÇAMENTOS DIÁRIOS'!$O$5:$O$500,"&lt;=98699",'LANÇAMENTOS DIÁRIOS'!$P$5:$P$500,"&gt;=98600")&gt;0,"X","")</f>
      </c>
      <c r="X43" s="56" t="str">
        <f>IF(COUNTIFS('LANÇAMENTOS DIÁRIOS'!$G$5:$G$500,"C",'LANÇAMENTOS DIÁRIOS'!$C$5:$C$500,$A43,'LANÇAMENTOS DIÁRIOS'!$O$5:$O$500,"&lt;=98799",'LANÇAMENTOS DIÁRIOS'!$P$5:$P$500,"&gt;=98700")&gt;0,"X","")</f>
      </c>
      <c r="Y43" s="56" t="str">
        <f>IF(COUNTIFS('LANÇAMENTOS DIÁRIOS'!$G$5:$G$500,"C",'LANÇAMENTOS DIÁRIOS'!$C$5:$C$500,$A43,'LANÇAMENTOS DIÁRIOS'!$O$5:$O$500,"&lt;=98899",'LANÇAMENTOS DIÁRIOS'!$P$5:$P$500,"&gt;=98800")&gt;0,"X","")</f>
      </c>
      <c r="Z43" s="56" t="str">
        <f>IF(COUNTIFS('LANÇAMENTOS DIÁRIOS'!$G$5:$G$500,"C",'LANÇAMENTOS DIÁRIOS'!$C$5:$C$500,$A43,'LANÇAMENTOS DIÁRIOS'!$O$5:$O$500,"&lt;=98999",'LANÇAMENTOS DIÁRIOS'!$P$5:$P$500,"&gt;=98900")&gt;0,"X","")</f>
      </c>
      <c r="AA43" s="56" t="str">
        <f>IF(COUNTIFS('LANÇAMENTOS DIÁRIOS'!$G$5:$G$500,"C",'LANÇAMENTOS DIÁRIOS'!$C$5:$C$500,$A43,'LANÇAMENTOS DIÁRIOS'!$O$5:$O$500,"&lt;=99099",'LANÇAMENTOS DIÁRIOS'!$P$5:$P$500,"&gt;=99000")&gt;0,"X","")</f>
      </c>
      <c r="AB43" s="56" t="str">
        <f>IF(COUNTIFS('LANÇAMENTOS DIÁRIOS'!$G$5:$G$500,"C",'LANÇAMENTOS DIÁRIOS'!$C$5:$C$500,$A43,'LANÇAMENTOS DIÁRIOS'!$O$5:$O$500,"&lt;=99199",'LANÇAMENTOS DIÁRIOS'!$P$5:$P$500,"&gt;=99100")&gt;0,"X","")</f>
      </c>
      <c r="AC43" s="56" t="str">
        <f>IF(COUNTIFS('LANÇAMENTOS DIÁRIOS'!$G$5:$G$500,"C",'LANÇAMENTOS DIÁRIOS'!$C$5:$C$500,$A43,'LANÇAMENTOS DIÁRIOS'!$O$5:$O$500,"&lt;=99299",'LANÇAMENTOS DIÁRIOS'!$P$5:$P$500,"&gt;=99200")&gt;0,"X","")</f>
      </c>
      <c r="AD43" s="56" t="str">
        <f>IF(COUNTIFS('LANÇAMENTOS DIÁRIOS'!$G$5:$G$500,"C",'LANÇAMENTOS DIÁRIOS'!$C$5:$C$500,$A43,'LANÇAMENTOS DIÁRIOS'!$O$5:$O$500,"&lt;=99399",'LANÇAMENTOS DIÁRIOS'!$P$5:$P$500,"&gt;=99300")&gt;0,"X","")</f>
      </c>
      <c r="AE43" s="56" t="str">
        <f>IF(COUNTIFS('LANÇAMENTOS DIÁRIOS'!$G$5:$G$500,"C",'LANÇAMENTOS DIÁRIOS'!$C$5:$C$500,$A43,'LANÇAMENTOS DIÁRIOS'!$O$5:$O$500,"&lt;=99499",'LANÇAMENTOS DIÁRIOS'!$P$5:$P$500,"&gt;=99400")&gt;0,"X","")</f>
      </c>
      <c r="AF43" s="56" t="str">
        <f>IF(COUNTIFS('LANÇAMENTOS DIÁRIOS'!$G$5:$G$500,"C",'LANÇAMENTOS DIÁRIOS'!$C$5:$C$500,$A43,'LANÇAMENTOS DIÁRIOS'!$O$5:$O$500,"&lt;=99599",'LANÇAMENTOS DIÁRIOS'!$P$5:$P$500,"&gt;=99500")&gt;0,"X","")</f>
      </c>
      <c r="AG43" s="56" t="str">
        <f>IF(COUNTIFS('LANÇAMENTOS DIÁRIOS'!$G$5:$G$500,"C",'LANÇAMENTOS DIÁRIOS'!$C$5:$C$500,$A43,'LANÇAMENTOS DIÁRIOS'!$O$5:$O$500,"&lt;=99699",'LANÇAMENTOS DIÁRIOS'!$P$5:$P$500,"&gt;=99600")&gt;0,"X","")</f>
      </c>
      <c r="AH43" s="56" t="str">
        <f>IF(COUNTIFS('LANÇAMENTOS DIÁRIOS'!$G$5:$G$500,"C",'LANÇAMENTOS DIÁRIOS'!$C$5:$C$500,$A43,'LANÇAMENTOS DIÁRIOS'!$O$5:$O$500,"&lt;=99799",'LANÇAMENTOS DIÁRIOS'!$P$5:$P$500,"&gt;=99700")&gt;0,"X","")</f>
      </c>
      <c r="AI43" s="56" t="str">
        <f>IF(COUNTIFS('LANÇAMENTOS DIÁRIOS'!$G$5:$G$500,"C",'LANÇAMENTOS DIÁRIOS'!$C$5:$C$500,$A43,'LANÇAMENTOS DIÁRIOS'!$O$5:$O$500,"&lt;=99899",'LANÇAMENTOS DIÁRIOS'!$P$5:$P$500,"&gt;=99800")&gt;0,"X","")</f>
      </c>
      <c r="AJ43" s="56" t="str">
        <f>IF(COUNTIFS('LANÇAMENTOS DIÁRIOS'!$G$5:$G$500,"C",'LANÇAMENTOS DIÁRIOS'!$C$5:$C$500,$A43,'LANÇAMENTOS DIÁRIOS'!$O$5:$O$500,"&lt;=99999",'LANÇAMENTOS DIÁRIOS'!$P$5:$P$500,"&gt;=99900")&gt;0,"X","")</f>
      </c>
      <c r="AK43" s="56" t="str">
        <f>IF(COUNTIFS('LANÇAMENTOS DIÁRIOS'!$G$5:$G$500,"C",'LANÇAMENTOS DIÁRIOS'!$C$5:$C$500,$A43,'LANÇAMENTOS DIÁRIOS'!$O$5:$O$500,"&lt;=100099",'LANÇAMENTOS DIÁRIOS'!$P$5:$P$500,"&gt;=100000")&gt;0,"X","")</f>
      </c>
      <c r="AL43" s="56" t="str">
        <f>IF(COUNTIFS('LANÇAMENTOS DIÁRIOS'!$G$5:$G$500,"C",'LANÇAMENTOS DIÁRIOS'!$C$5:$C$500,$A43,'LANÇAMENTOS DIÁRIOS'!$O$5:$O$500,"&lt;=100199",'LANÇAMENTOS DIÁRIOS'!$P$5:$P$500,"&gt;=100100")&gt;0,"X","")</f>
      </c>
      <c r="AM43" s="56" t="str">
        <f>IF(COUNTIFS('LANÇAMENTOS DIÁRIOS'!$G$5:$G$500,"C",'LANÇAMENTOS DIÁRIOS'!$C$5:$C$500,$A43,'LANÇAMENTOS DIÁRIOS'!$O$5:$O$500,"&lt;=100299",'LANÇAMENTOS DIÁRIOS'!$P$5:$P$500,"&gt;=100200")&gt;0,"X","")</f>
      </c>
      <c r="AN43" s="56" t="str">
        <f>IF(COUNTIFS('LANÇAMENTOS DIÁRIOS'!$G$5:$G$500,"C",'LANÇAMENTOS DIÁRIOS'!$C$5:$C$500,$A43,'LANÇAMENTOS DIÁRIOS'!$O$5:$O$500,"&lt;=100399",'LANÇAMENTOS DIÁRIOS'!$P$5:$P$500,"&gt;=100300")&gt;0,"X","")</f>
      </c>
      <c r="AO43" s="56" t="str">
        <f>IF(COUNTIFS('LANÇAMENTOS DIÁRIOS'!$G$5:$G$500,"C",'LANÇAMENTOS DIÁRIOS'!$C$5:$C$500,$A43,'LANÇAMENTOS DIÁRIOS'!$O$5:$O$500,"&lt;=100499",'LANÇAMENTOS DIÁRIOS'!$P$5:$P$500,"&gt;=100400")&gt;0,"X","")</f>
      </c>
      <c r="AP43" s="56" t="str">
        <f>IF(COUNTIFS('LANÇAMENTOS DIÁRIOS'!$G$5:$G$500,"C",'LANÇAMENTOS DIÁRIOS'!$C$5:$C$500,$A43,'LANÇAMENTOS DIÁRIOS'!$O$5:$O$500,"&lt;=100500",'LANÇAMENTOS DIÁRIOS'!$P$5:$P$500,"&gt;=100500")&gt;0,"X","")</f>
      </c>
    </row>
    <row r="44" ht="19" customHeight="1">
      <c r="A44" s="68" t="str">
        <v>Aterro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</row>
    <row r="45">
      <c r="A45" s="51" t="str">
        <v>Compactação de aterro a 95% do proctor normal</v>
      </c>
      <c r="B45" s="56" t="str">
        <f>IF(COUNTIFS('LANÇAMENTOS DIÁRIOS'!$G$5:$G$500,"C",'LANÇAMENTOS DIÁRIOS'!$C$5:$C$500,$A45,'LANÇAMENTOS DIÁRIOS'!$O$5:$O$500,"&lt;=96599",'LANÇAMENTOS DIÁRIOS'!$P$5:$P$500,"&gt;=96500")&gt;0,"X","")</f>
      </c>
      <c r="C45" s="56" t="str">
        <f>IF(COUNTIFS('LANÇAMENTOS DIÁRIOS'!$G$5:$G$500,"C",'LANÇAMENTOS DIÁRIOS'!$C$5:$C$500,$A45,'LANÇAMENTOS DIÁRIOS'!$O$5:$O$500,"&lt;=96699",'LANÇAMENTOS DIÁRIOS'!$P$5:$P$500,"&gt;=96600")&gt;0,"X","")</f>
      </c>
      <c r="D45" s="56" t="str">
        <f>IF(COUNTIFS('LANÇAMENTOS DIÁRIOS'!$G$5:$G$500,"C",'LANÇAMENTOS DIÁRIOS'!$C$5:$C$500,$A45,'LANÇAMENTOS DIÁRIOS'!$O$5:$O$500,"&lt;=96799",'LANÇAMENTOS DIÁRIOS'!$P$5:$P$500,"&gt;=96700")&gt;0,"X","")</f>
      </c>
      <c r="E45" s="56" t="str">
        <f>IF(COUNTIFS('LANÇAMENTOS DIÁRIOS'!$G$5:$G$500,"C",'LANÇAMENTOS DIÁRIOS'!$C$5:$C$500,$A45,'LANÇAMENTOS DIÁRIOS'!$O$5:$O$500,"&lt;=96899",'LANÇAMENTOS DIÁRIOS'!$P$5:$P$500,"&gt;=96800")&gt;0,"X","")</f>
      </c>
      <c r="F45" s="56" t="str">
        <f>IF(COUNTIFS('LANÇAMENTOS DIÁRIOS'!$G$5:$G$500,"C",'LANÇAMENTOS DIÁRIOS'!$C$5:$C$500,$A45,'LANÇAMENTOS DIÁRIOS'!$O$5:$O$500,"&lt;=96999",'LANÇAMENTOS DIÁRIOS'!$P$5:$P$500,"&gt;=96900")&gt;0,"X","")</f>
      </c>
      <c r="G45" s="56" t="str">
        <f>IF(COUNTIFS('LANÇAMENTOS DIÁRIOS'!$G$5:$G$500,"C",'LANÇAMENTOS DIÁRIOS'!$C$5:$C$500,$A45,'LANÇAMENTOS DIÁRIOS'!$O$5:$O$500,"&lt;=97099",'LANÇAMENTOS DIÁRIOS'!$P$5:$P$500,"&gt;=97000")&gt;0,"X","")</f>
      </c>
      <c r="H45" s="56" t="str">
        <f>IF(COUNTIFS('LANÇAMENTOS DIÁRIOS'!$G$5:$G$500,"C",'LANÇAMENTOS DIÁRIOS'!$C$5:$C$500,$A45,'LANÇAMENTOS DIÁRIOS'!$O$5:$O$500,"&lt;=97199",'LANÇAMENTOS DIÁRIOS'!$P$5:$P$500,"&gt;=97100")&gt;0,"X","")</f>
      </c>
      <c r="I45" s="56" t="str">
        <f>IF(COUNTIFS('LANÇAMENTOS DIÁRIOS'!$G$5:$G$500,"C",'LANÇAMENTOS DIÁRIOS'!$C$5:$C$500,$A45,'LANÇAMENTOS DIÁRIOS'!$O$5:$O$500,"&lt;=97299",'LANÇAMENTOS DIÁRIOS'!$P$5:$P$500,"&gt;=97200")&gt;0,"X","")</f>
      </c>
      <c r="J45" s="56" t="str">
        <f>IF(COUNTIFS('LANÇAMENTOS DIÁRIOS'!$G$5:$G$500,"C",'LANÇAMENTOS DIÁRIOS'!$C$5:$C$500,$A45,'LANÇAMENTOS DIÁRIOS'!$O$5:$O$500,"&lt;=97399",'LANÇAMENTOS DIÁRIOS'!$P$5:$P$500,"&gt;=97300")&gt;0,"X","")</f>
      </c>
      <c r="K45" s="56" t="str">
        <f>IF(COUNTIFS('LANÇAMENTOS DIÁRIOS'!$G$5:$G$500,"C",'LANÇAMENTOS DIÁRIOS'!$C$5:$C$500,$A45,'LANÇAMENTOS DIÁRIOS'!$O$5:$O$500,"&lt;=97499",'LANÇAMENTOS DIÁRIOS'!$P$5:$P$500,"&gt;=97400")&gt;0,"X","")</f>
      </c>
      <c r="L45" s="56" t="str">
        <f>IF(COUNTIFS('LANÇAMENTOS DIÁRIOS'!$G$5:$G$500,"C",'LANÇAMENTOS DIÁRIOS'!$C$5:$C$500,$A45,'LANÇAMENTOS DIÁRIOS'!$O$5:$O$500,"&lt;=97599",'LANÇAMENTOS DIÁRIOS'!$P$5:$P$500,"&gt;=97500")&gt;0,"X","")</f>
      </c>
      <c r="M45" s="56" t="str">
        <f>IF(COUNTIFS('LANÇAMENTOS DIÁRIOS'!$G$5:$G$500,"C",'LANÇAMENTOS DIÁRIOS'!$C$5:$C$500,$A45,'LANÇAMENTOS DIÁRIOS'!$O$5:$O$500,"&lt;=97699",'LANÇAMENTOS DIÁRIOS'!$P$5:$P$500,"&gt;=97600")&gt;0,"X","")</f>
      </c>
      <c r="N45" s="56" t="str">
        <f>IF(COUNTIFS('LANÇAMENTOS DIÁRIOS'!$G$5:$G$500,"C",'LANÇAMENTOS DIÁRIOS'!$C$5:$C$500,$A45,'LANÇAMENTOS DIÁRIOS'!$O$5:$O$500,"&lt;=97799",'LANÇAMENTOS DIÁRIOS'!$P$5:$P$500,"&gt;=97700")&gt;0,"X","")</f>
      </c>
      <c r="O45" s="56" t="str">
        <f>IF(COUNTIFS('LANÇAMENTOS DIÁRIOS'!$G$5:$G$500,"C",'LANÇAMENTOS DIÁRIOS'!$C$5:$C$500,$A45,'LANÇAMENTOS DIÁRIOS'!$O$5:$O$500,"&lt;=97899",'LANÇAMENTOS DIÁRIOS'!$P$5:$P$500,"&gt;=97800")&gt;0,"X","")</f>
      </c>
      <c r="P45" s="56" t="str">
        <f>IF(COUNTIFS('LANÇAMENTOS DIÁRIOS'!$G$5:$G$500,"C",'LANÇAMENTOS DIÁRIOS'!$C$5:$C$500,$A45,'LANÇAMENTOS DIÁRIOS'!$O$5:$O$500,"&lt;=97999",'LANÇAMENTOS DIÁRIOS'!$P$5:$P$500,"&gt;=97900")&gt;0,"X","")</f>
      </c>
      <c r="Q45" s="56" t="str">
        <f>IF(COUNTIFS('LANÇAMENTOS DIÁRIOS'!$G$5:$G$500,"C",'LANÇAMENTOS DIÁRIOS'!$C$5:$C$500,$A45,'LANÇAMENTOS DIÁRIOS'!$O$5:$O$500,"&lt;=98099",'LANÇAMENTOS DIÁRIOS'!$P$5:$P$500,"&gt;=98000")&gt;0,"X","")</f>
      </c>
      <c r="R45" s="56" t="str">
        <f>IF(COUNTIFS('LANÇAMENTOS DIÁRIOS'!$G$5:$G$500,"C",'LANÇAMENTOS DIÁRIOS'!$C$5:$C$500,$A45,'LANÇAMENTOS DIÁRIOS'!$O$5:$O$500,"&lt;=98199",'LANÇAMENTOS DIÁRIOS'!$P$5:$P$500,"&gt;=98100")&gt;0,"X","")</f>
      </c>
      <c r="S45" s="56" t="str">
        <f>IF(COUNTIFS('LANÇAMENTOS DIÁRIOS'!$G$5:$G$500,"C",'LANÇAMENTOS DIÁRIOS'!$C$5:$C$500,$A45,'LANÇAMENTOS DIÁRIOS'!$O$5:$O$500,"&lt;=98299",'LANÇAMENTOS DIÁRIOS'!$P$5:$P$500,"&gt;=98200")&gt;0,"X","")</f>
      </c>
      <c r="T45" s="56" t="str">
        <f>IF(COUNTIFS('LANÇAMENTOS DIÁRIOS'!$G$5:$G$500,"C",'LANÇAMENTOS DIÁRIOS'!$C$5:$C$500,$A45,'LANÇAMENTOS DIÁRIOS'!$O$5:$O$500,"&lt;=98399",'LANÇAMENTOS DIÁRIOS'!$P$5:$P$500,"&gt;=98300")&gt;0,"X","")</f>
      </c>
      <c r="U45" s="56" t="str">
        <f>IF(COUNTIFS('LANÇAMENTOS DIÁRIOS'!$G$5:$G$500,"C",'LANÇAMENTOS DIÁRIOS'!$C$5:$C$500,$A45,'LANÇAMENTOS DIÁRIOS'!$O$5:$O$500,"&lt;=98499",'LANÇAMENTOS DIÁRIOS'!$P$5:$P$500,"&gt;=98400")&gt;0,"X","")</f>
      </c>
      <c r="V45" s="56" t="str">
        <f>IF(COUNTIFS('LANÇAMENTOS DIÁRIOS'!$G$5:$G$500,"C",'LANÇAMENTOS DIÁRIOS'!$C$5:$C$500,$A45,'LANÇAMENTOS DIÁRIOS'!$O$5:$O$500,"&lt;=98599",'LANÇAMENTOS DIÁRIOS'!$P$5:$P$500,"&gt;=98500")&gt;0,"X","")</f>
      </c>
      <c r="W45" s="56" t="str">
        <f>IF(COUNTIFS('LANÇAMENTOS DIÁRIOS'!$G$5:$G$500,"C",'LANÇAMENTOS DIÁRIOS'!$C$5:$C$500,$A45,'LANÇAMENTOS DIÁRIOS'!$O$5:$O$500,"&lt;=98699",'LANÇAMENTOS DIÁRIOS'!$P$5:$P$500,"&gt;=98600")&gt;0,"X","")</f>
      </c>
      <c r="X45" s="56" t="str">
        <f>IF(COUNTIFS('LANÇAMENTOS DIÁRIOS'!$G$5:$G$500,"C",'LANÇAMENTOS DIÁRIOS'!$C$5:$C$500,$A45,'LANÇAMENTOS DIÁRIOS'!$O$5:$O$500,"&lt;=98799",'LANÇAMENTOS DIÁRIOS'!$P$5:$P$500,"&gt;=98700")&gt;0,"X","")</f>
      </c>
      <c r="Y45" s="56" t="str">
        <f>IF(COUNTIFS('LANÇAMENTOS DIÁRIOS'!$G$5:$G$500,"C",'LANÇAMENTOS DIÁRIOS'!$C$5:$C$500,$A45,'LANÇAMENTOS DIÁRIOS'!$O$5:$O$500,"&lt;=98899",'LANÇAMENTOS DIÁRIOS'!$P$5:$P$500,"&gt;=98800")&gt;0,"X","")</f>
      </c>
      <c r="Z45" s="56" t="str">
        <f>IF(COUNTIFS('LANÇAMENTOS DIÁRIOS'!$G$5:$G$500,"C",'LANÇAMENTOS DIÁRIOS'!$C$5:$C$500,$A45,'LANÇAMENTOS DIÁRIOS'!$O$5:$O$500,"&lt;=98999",'LANÇAMENTOS DIÁRIOS'!$P$5:$P$500,"&gt;=98900")&gt;0,"X","")</f>
      </c>
      <c r="AA45" s="56" t="str">
        <f>IF(COUNTIFS('LANÇAMENTOS DIÁRIOS'!$G$5:$G$500,"C",'LANÇAMENTOS DIÁRIOS'!$C$5:$C$500,$A45,'LANÇAMENTOS DIÁRIOS'!$O$5:$O$500,"&lt;=99099",'LANÇAMENTOS DIÁRIOS'!$P$5:$P$500,"&gt;=99000")&gt;0,"X","")</f>
      </c>
      <c r="AB45" s="56" t="str">
        <f>IF(COUNTIFS('LANÇAMENTOS DIÁRIOS'!$G$5:$G$500,"C",'LANÇAMENTOS DIÁRIOS'!$C$5:$C$500,$A45,'LANÇAMENTOS DIÁRIOS'!$O$5:$O$500,"&lt;=99199",'LANÇAMENTOS DIÁRIOS'!$P$5:$P$500,"&gt;=99100")&gt;0,"X","")</f>
      </c>
      <c r="AC45" s="56" t="str">
        <f>IF(COUNTIFS('LANÇAMENTOS DIÁRIOS'!$G$5:$G$500,"C",'LANÇAMENTOS DIÁRIOS'!$C$5:$C$500,$A45,'LANÇAMENTOS DIÁRIOS'!$O$5:$O$500,"&lt;=99299",'LANÇAMENTOS DIÁRIOS'!$P$5:$P$500,"&gt;=99200")&gt;0,"X","")</f>
      </c>
      <c r="AD45" s="56" t="str">
        <f>IF(COUNTIFS('LANÇAMENTOS DIÁRIOS'!$G$5:$G$500,"C",'LANÇAMENTOS DIÁRIOS'!$C$5:$C$500,$A45,'LANÇAMENTOS DIÁRIOS'!$O$5:$O$500,"&lt;=99399",'LANÇAMENTOS DIÁRIOS'!$P$5:$P$500,"&gt;=99300")&gt;0,"X","")</f>
      </c>
      <c r="AE45" s="56" t="str">
        <f>IF(COUNTIFS('LANÇAMENTOS DIÁRIOS'!$G$5:$G$500,"C",'LANÇAMENTOS DIÁRIOS'!$C$5:$C$500,$A45,'LANÇAMENTOS DIÁRIOS'!$O$5:$O$500,"&lt;=99499",'LANÇAMENTOS DIÁRIOS'!$P$5:$P$500,"&gt;=99400")&gt;0,"X","")</f>
      </c>
      <c r="AF45" s="56" t="str">
        <f>IF(COUNTIFS('LANÇAMENTOS DIÁRIOS'!$G$5:$G$500,"C",'LANÇAMENTOS DIÁRIOS'!$C$5:$C$500,$A45,'LANÇAMENTOS DIÁRIOS'!$O$5:$O$500,"&lt;=99599",'LANÇAMENTOS DIÁRIOS'!$P$5:$P$500,"&gt;=99500")&gt;0,"X","")</f>
      </c>
      <c r="AG45" s="56" t="str">
        <f>IF(COUNTIFS('LANÇAMENTOS DIÁRIOS'!$G$5:$G$500,"C",'LANÇAMENTOS DIÁRIOS'!$C$5:$C$500,$A45,'LANÇAMENTOS DIÁRIOS'!$O$5:$O$500,"&lt;=99699",'LANÇAMENTOS DIÁRIOS'!$P$5:$P$500,"&gt;=99600")&gt;0,"X","")</f>
      </c>
      <c r="AH45" s="56" t="str">
        <f>IF(COUNTIFS('LANÇAMENTOS DIÁRIOS'!$G$5:$G$500,"C",'LANÇAMENTOS DIÁRIOS'!$C$5:$C$500,$A45,'LANÇAMENTOS DIÁRIOS'!$O$5:$O$500,"&lt;=99799",'LANÇAMENTOS DIÁRIOS'!$P$5:$P$500,"&gt;=99700")&gt;0,"X","")</f>
      </c>
      <c r="AI45" s="56" t="str">
        <f>IF(COUNTIFS('LANÇAMENTOS DIÁRIOS'!$G$5:$G$500,"C",'LANÇAMENTOS DIÁRIOS'!$C$5:$C$500,$A45,'LANÇAMENTOS DIÁRIOS'!$O$5:$O$500,"&lt;=99899",'LANÇAMENTOS DIÁRIOS'!$P$5:$P$500,"&gt;=99800")&gt;0,"X","")</f>
      </c>
      <c r="AJ45" s="56" t="str">
        <f>IF(COUNTIFS('LANÇAMENTOS DIÁRIOS'!$G$5:$G$500,"C",'LANÇAMENTOS DIÁRIOS'!$C$5:$C$500,$A45,'LANÇAMENTOS DIÁRIOS'!$O$5:$O$500,"&lt;=99999",'LANÇAMENTOS DIÁRIOS'!$P$5:$P$500,"&gt;=99900")&gt;0,"X","")</f>
      </c>
      <c r="AK45" s="56" t="str">
        <f>IF(COUNTIFS('LANÇAMENTOS DIÁRIOS'!$G$5:$G$500,"C",'LANÇAMENTOS DIÁRIOS'!$C$5:$C$500,$A45,'LANÇAMENTOS DIÁRIOS'!$O$5:$O$500,"&lt;=100099",'LANÇAMENTOS DIÁRIOS'!$P$5:$P$500,"&gt;=100000")&gt;0,"X","")</f>
      </c>
      <c r="AL45" s="56" t="str">
        <f>IF(COUNTIFS('LANÇAMENTOS DIÁRIOS'!$G$5:$G$500,"C",'LANÇAMENTOS DIÁRIOS'!$C$5:$C$500,$A45,'LANÇAMENTOS DIÁRIOS'!$O$5:$O$500,"&lt;=100199",'LANÇAMENTOS DIÁRIOS'!$P$5:$P$500,"&gt;=100100")&gt;0,"X","")</f>
      </c>
      <c r="AM45" s="56" t="str">
        <f>IF(COUNTIFS('LANÇAMENTOS DIÁRIOS'!$G$5:$G$500,"C",'LANÇAMENTOS DIÁRIOS'!$C$5:$C$500,$A45,'LANÇAMENTOS DIÁRIOS'!$O$5:$O$500,"&lt;=100299",'LANÇAMENTOS DIÁRIOS'!$P$5:$P$500,"&gt;=100200")&gt;0,"X","")</f>
      </c>
      <c r="AN45" s="56" t="str">
        <f>IF(COUNTIFS('LANÇAMENTOS DIÁRIOS'!$G$5:$G$500,"C",'LANÇAMENTOS DIÁRIOS'!$C$5:$C$500,$A45,'LANÇAMENTOS DIÁRIOS'!$O$5:$O$500,"&lt;=100399",'LANÇAMENTOS DIÁRIOS'!$P$5:$P$500,"&gt;=100300")&gt;0,"X","")</f>
      </c>
      <c r="AO45" s="56" t="str">
        <f>IF(COUNTIFS('LANÇAMENTOS DIÁRIOS'!$G$5:$G$500,"C",'LANÇAMENTOS DIÁRIOS'!$C$5:$C$500,$A45,'LANÇAMENTOS DIÁRIOS'!$O$5:$O$500,"&lt;=100499",'LANÇAMENTOS DIÁRIOS'!$P$5:$P$500,"&gt;=100400")&gt;0,"X","")</f>
      </c>
      <c r="AP45" s="56" t="str">
        <f>IF(COUNTIFS('LANÇAMENTOS DIÁRIOS'!$G$5:$G$500,"C",'LANÇAMENTOS DIÁRIOS'!$C$5:$C$500,$A45,'LANÇAMENTOS DIÁRIOS'!$O$5:$O$500,"&lt;=100500",'LANÇAMENTOS DIÁRIOS'!$P$5:$P$500,"&gt;=100500")&gt;0,"X","")</f>
      </c>
    </row>
    <row r="46">
      <c r="A46" s="51" t="str">
        <v>Compactação de aterro a 100% do proctor intermediário</v>
      </c>
      <c r="B46" s="56" t="str">
        <f>IF(COUNTIFS('LANÇAMENTOS DIÁRIOS'!$G$5:$G$500,"C",'LANÇAMENTOS DIÁRIOS'!$C$5:$C$500,$A46,'LANÇAMENTOS DIÁRIOS'!$O$5:$O$500,"&lt;=96599",'LANÇAMENTOS DIÁRIOS'!$P$5:$P$500,"&gt;=96500")&gt;0,"X","")</f>
      </c>
      <c r="C46" s="56" t="str">
        <f>IF(COUNTIFS('LANÇAMENTOS DIÁRIOS'!$G$5:$G$500,"C",'LANÇAMENTOS DIÁRIOS'!$C$5:$C$500,$A46,'LANÇAMENTOS DIÁRIOS'!$O$5:$O$500,"&lt;=96699",'LANÇAMENTOS DIÁRIOS'!$P$5:$P$500,"&gt;=96600")&gt;0,"X","")</f>
      </c>
      <c r="D46" s="56" t="str">
        <f>IF(COUNTIFS('LANÇAMENTOS DIÁRIOS'!$G$5:$G$500,"C",'LANÇAMENTOS DIÁRIOS'!$C$5:$C$500,$A46,'LANÇAMENTOS DIÁRIOS'!$O$5:$O$500,"&lt;=96799",'LANÇAMENTOS DIÁRIOS'!$P$5:$P$500,"&gt;=96700")&gt;0,"X","")</f>
      </c>
      <c r="E46" s="56" t="str">
        <f>IF(COUNTIFS('LANÇAMENTOS DIÁRIOS'!$G$5:$G$500,"C",'LANÇAMENTOS DIÁRIOS'!$C$5:$C$500,$A46,'LANÇAMENTOS DIÁRIOS'!$O$5:$O$500,"&lt;=96899",'LANÇAMENTOS DIÁRIOS'!$P$5:$P$500,"&gt;=96800")&gt;0,"X","")</f>
      </c>
      <c r="F46" s="56" t="str">
        <f>IF(COUNTIFS('LANÇAMENTOS DIÁRIOS'!$G$5:$G$500,"C",'LANÇAMENTOS DIÁRIOS'!$C$5:$C$500,$A46,'LANÇAMENTOS DIÁRIOS'!$O$5:$O$500,"&lt;=96999",'LANÇAMENTOS DIÁRIOS'!$P$5:$P$500,"&gt;=96900")&gt;0,"X","")</f>
      </c>
      <c r="G46" s="56" t="str">
        <f>IF(COUNTIFS('LANÇAMENTOS DIÁRIOS'!$G$5:$G$500,"C",'LANÇAMENTOS DIÁRIOS'!$C$5:$C$500,$A46,'LANÇAMENTOS DIÁRIOS'!$O$5:$O$500,"&lt;=97099",'LANÇAMENTOS DIÁRIOS'!$P$5:$P$500,"&gt;=97000")&gt;0,"X","")</f>
      </c>
      <c r="H46" s="56" t="str">
        <f>IF(COUNTIFS('LANÇAMENTOS DIÁRIOS'!$G$5:$G$500,"C",'LANÇAMENTOS DIÁRIOS'!$C$5:$C$500,$A46,'LANÇAMENTOS DIÁRIOS'!$O$5:$O$500,"&lt;=97199",'LANÇAMENTOS DIÁRIOS'!$P$5:$P$500,"&gt;=97100")&gt;0,"X","")</f>
      </c>
      <c r="I46" s="56" t="str">
        <f>IF(COUNTIFS('LANÇAMENTOS DIÁRIOS'!$G$5:$G$500,"C",'LANÇAMENTOS DIÁRIOS'!$C$5:$C$500,$A46,'LANÇAMENTOS DIÁRIOS'!$O$5:$O$500,"&lt;=97299",'LANÇAMENTOS DIÁRIOS'!$P$5:$P$500,"&gt;=97200")&gt;0,"X","")</f>
      </c>
      <c r="J46" s="56" t="str">
        <f>IF(COUNTIFS('LANÇAMENTOS DIÁRIOS'!$G$5:$G$500,"C",'LANÇAMENTOS DIÁRIOS'!$C$5:$C$500,$A46,'LANÇAMENTOS DIÁRIOS'!$O$5:$O$500,"&lt;=97399",'LANÇAMENTOS DIÁRIOS'!$P$5:$P$500,"&gt;=97300")&gt;0,"X","")</f>
      </c>
      <c r="K46" s="56" t="str">
        <f>IF(COUNTIFS('LANÇAMENTOS DIÁRIOS'!$G$5:$G$500,"C",'LANÇAMENTOS DIÁRIOS'!$C$5:$C$500,$A46,'LANÇAMENTOS DIÁRIOS'!$O$5:$O$500,"&lt;=97499",'LANÇAMENTOS DIÁRIOS'!$P$5:$P$500,"&gt;=97400")&gt;0,"X","")</f>
      </c>
      <c r="L46" s="56" t="str">
        <f>IF(COUNTIFS('LANÇAMENTOS DIÁRIOS'!$G$5:$G$500,"C",'LANÇAMENTOS DIÁRIOS'!$C$5:$C$500,$A46,'LANÇAMENTOS DIÁRIOS'!$O$5:$O$500,"&lt;=97599",'LANÇAMENTOS DIÁRIOS'!$P$5:$P$500,"&gt;=97500")&gt;0,"X","")</f>
      </c>
      <c r="M46" s="56" t="str">
        <f>IF(COUNTIFS('LANÇAMENTOS DIÁRIOS'!$G$5:$G$500,"C",'LANÇAMENTOS DIÁRIOS'!$C$5:$C$500,$A46,'LANÇAMENTOS DIÁRIOS'!$O$5:$O$500,"&lt;=97699",'LANÇAMENTOS DIÁRIOS'!$P$5:$P$500,"&gt;=97600")&gt;0,"X","")</f>
      </c>
      <c r="N46" s="56" t="str">
        <f>IF(COUNTIFS('LANÇAMENTOS DIÁRIOS'!$G$5:$G$500,"C",'LANÇAMENTOS DIÁRIOS'!$C$5:$C$500,$A46,'LANÇAMENTOS DIÁRIOS'!$O$5:$O$500,"&lt;=97799",'LANÇAMENTOS DIÁRIOS'!$P$5:$P$500,"&gt;=97700")&gt;0,"X","")</f>
      </c>
      <c r="O46" s="56" t="str">
        <f>IF(COUNTIFS('LANÇAMENTOS DIÁRIOS'!$G$5:$G$500,"C",'LANÇAMENTOS DIÁRIOS'!$C$5:$C$500,$A46,'LANÇAMENTOS DIÁRIOS'!$O$5:$O$500,"&lt;=97899",'LANÇAMENTOS DIÁRIOS'!$P$5:$P$500,"&gt;=97800")&gt;0,"X","")</f>
      </c>
      <c r="P46" s="56" t="str">
        <f>IF(COUNTIFS('LANÇAMENTOS DIÁRIOS'!$G$5:$G$500,"C",'LANÇAMENTOS DIÁRIOS'!$C$5:$C$500,$A46,'LANÇAMENTOS DIÁRIOS'!$O$5:$O$500,"&lt;=97999",'LANÇAMENTOS DIÁRIOS'!$P$5:$P$500,"&gt;=97900")&gt;0,"X","")</f>
      </c>
      <c r="Q46" s="56" t="str">
        <f>IF(COUNTIFS('LANÇAMENTOS DIÁRIOS'!$G$5:$G$500,"C",'LANÇAMENTOS DIÁRIOS'!$C$5:$C$500,$A46,'LANÇAMENTOS DIÁRIOS'!$O$5:$O$500,"&lt;=98099",'LANÇAMENTOS DIÁRIOS'!$P$5:$P$500,"&gt;=98000")&gt;0,"X","")</f>
      </c>
      <c r="R46" s="56" t="str">
        <f>IF(COUNTIFS('LANÇAMENTOS DIÁRIOS'!$G$5:$G$500,"C",'LANÇAMENTOS DIÁRIOS'!$C$5:$C$500,$A46,'LANÇAMENTOS DIÁRIOS'!$O$5:$O$500,"&lt;=98199",'LANÇAMENTOS DIÁRIOS'!$P$5:$P$500,"&gt;=98100")&gt;0,"X","")</f>
      </c>
      <c r="S46" s="56" t="str">
        <f>IF(COUNTIFS('LANÇAMENTOS DIÁRIOS'!$G$5:$G$500,"C",'LANÇAMENTOS DIÁRIOS'!$C$5:$C$500,$A46,'LANÇAMENTOS DIÁRIOS'!$O$5:$O$500,"&lt;=98299",'LANÇAMENTOS DIÁRIOS'!$P$5:$P$500,"&gt;=98200")&gt;0,"X","")</f>
      </c>
      <c r="T46" s="56" t="str">
        <f>IF(COUNTIFS('LANÇAMENTOS DIÁRIOS'!$G$5:$G$500,"C",'LANÇAMENTOS DIÁRIOS'!$C$5:$C$500,$A46,'LANÇAMENTOS DIÁRIOS'!$O$5:$O$500,"&lt;=98399",'LANÇAMENTOS DIÁRIOS'!$P$5:$P$500,"&gt;=98300")&gt;0,"X","")</f>
      </c>
      <c r="U46" s="56" t="str">
        <f>IF(COUNTIFS('LANÇAMENTOS DIÁRIOS'!$G$5:$G$500,"C",'LANÇAMENTOS DIÁRIOS'!$C$5:$C$500,$A46,'LANÇAMENTOS DIÁRIOS'!$O$5:$O$500,"&lt;=98499",'LANÇAMENTOS DIÁRIOS'!$P$5:$P$500,"&gt;=98400")&gt;0,"X","")</f>
      </c>
      <c r="V46" s="56" t="str">
        <f>IF(COUNTIFS('LANÇAMENTOS DIÁRIOS'!$G$5:$G$500,"C",'LANÇAMENTOS DIÁRIOS'!$C$5:$C$500,$A46,'LANÇAMENTOS DIÁRIOS'!$O$5:$O$500,"&lt;=98599",'LANÇAMENTOS DIÁRIOS'!$P$5:$P$500,"&gt;=98500")&gt;0,"X","")</f>
      </c>
      <c r="W46" s="56" t="str">
        <f>IF(COUNTIFS('LANÇAMENTOS DIÁRIOS'!$G$5:$G$500,"C",'LANÇAMENTOS DIÁRIOS'!$C$5:$C$500,$A46,'LANÇAMENTOS DIÁRIOS'!$O$5:$O$500,"&lt;=98699",'LANÇAMENTOS DIÁRIOS'!$P$5:$P$500,"&gt;=98600")&gt;0,"X","")</f>
      </c>
      <c r="X46" s="56" t="str">
        <f>IF(COUNTIFS('LANÇAMENTOS DIÁRIOS'!$G$5:$G$500,"C",'LANÇAMENTOS DIÁRIOS'!$C$5:$C$500,$A46,'LANÇAMENTOS DIÁRIOS'!$O$5:$O$500,"&lt;=98799",'LANÇAMENTOS DIÁRIOS'!$P$5:$P$500,"&gt;=98700")&gt;0,"X","")</f>
      </c>
      <c r="Y46" s="56" t="str">
        <f>IF(COUNTIFS('LANÇAMENTOS DIÁRIOS'!$G$5:$G$500,"C",'LANÇAMENTOS DIÁRIOS'!$C$5:$C$500,$A46,'LANÇAMENTOS DIÁRIOS'!$O$5:$O$500,"&lt;=98899",'LANÇAMENTOS DIÁRIOS'!$P$5:$P$500,"&gt;=98800")&gt;0,"X","")</f>
      </c>
      <c r="Z46" s="56" t="str">
        <f>IF(COUNTIFS('LANÇAMENTOS DIÁRIOS'!$G$5:$G$500,"C",'LANÇAMENTOS DIÁRIOS'!$C$5:$C$500,$A46,'LANÇAMENTOS DIÁRIOS'!$O$5:$O$500,"&lt;=98999",'LANÇAMENTOS DIÁRIOS'!$P$5:$P$500,"&gt;=98900")&gt;0,"X","")</f>
      </c>
      <c r="AA46" s="56" t="str">
        <f>IF(COUNTIFS('LANÇAMENTOS DIÁRIOS'!$G$5:$G$500,"C",'LANÇAMENTOS DIÁRIOS'!$C$5:$C$500,$A46,'LANÇAMENTOS DIÁRIOS'!$O$5:$O$500,"&lt;=99099",'LANÇAMENTOS DIÁRIOS'!$P$5:$P$500,"&gt;=99000")&gt;0,"X","")</f>
      </c>
      <c r="AB46" s="56" t="str">
        <f>IF(COUNTIFS('LANÇAMENTOS DIÁRIOS'!$G$5:$G$500,"C",'LANÇAMENTOS DIÁRIOS'!$C$5:$C$500,$A46,'LANÇAMENTOS DIÁRIOS'!$O$5:$O$500,"&lt;=99199",'LANÇAMENTOS DIÁRIOS'!$P$5:$P$500,"&gt;=99100")&gt;0,"X","")</f>
      </c>
      <c r="AC46" s="56" t="str">
        <f>IF(COUNTIFS('LANÇAMENTOS DIÁRIOS'!$G$5:$G$500,"C",'LANÇAMENTOS DIÁRIOS'!$C$5:$C$500,$A46,'LANÇAMENTOS DIÁRIOS'!$O$5:$O$500,"&lt;=99299",'LANÇAMENTOS DIÁRIOS'!$P$5:$P$500,"&gt;=99200")&gt;0,"X","")</f>
      </c>
      <c r="AD46" s="56" t="str">
        <f>IF(COUNTIFS('LANÇAMENTOS DIÁRIOS'!$G$5:$G$500,"C",'LANÇAMENTOS DIÁRIOS'!$C$5:$C$500,$A46,'LANÇAMENTOS DIÁRIOS'!$O$5:$O$500,"&lt;=99399",'LANÇAMENTOS DIÁRIOS'!$P$5:$P$500,"&gt;=99300")&gt;0,"X","")</f>
      </c>
      <c r="AE46" s="56" t="str">
        <f>IF(COUNTIFS('LANÇAMENTOS DIÁRIOS'!$G$5:$G$500,"C",'LANÇAMENTOS DIÁRIOS'!$C$5:$C$500,$A46,'LANÇAMENTOS DIÁRIOS'!$O$5:$O$500,"&lt;=99499",'LANÇAMENTOS DIÁRIOS'!$P$5:$P$500,"&gt;=99400")&gt;0,"X","")</f>
      </c>
      <c r="AF46" s="56" t="str">
        <f>IF(COUNTIFS('LANÇAMENTOS DIÁRIOS'!$G$5:$G$500,"C",'LANÇAMENTOS DIÁRIOS'!$C$5:$C$500,$A46,'LANÇAMENTOS DIÁRIOS'!$O$5:$O$500,"&lt;=99599",'LANÇAMENTOS DIÁRIOS'!$P$5:$P$500,"&gt;=99500")&gt;0,"X","")</f>
      </c>
      <c r="AG46" s="56" t="str">
        <f>IF(COUNTIFS('LANÇAMENTOS DIÁRIOS'!$G$5:$G$500,"C",'LANÇAMENTOS DIÁRIOS'!$C$5:$C$500,$A46,'LANÇAMENTOS DIÁRIOS'!$O$5:$O$500,"&lt;=99699",'LANÇAMENTOS DIÁRIOS'!$P$5:$P$500,"&gt;=99600")&gt;0,"X","")</f>
      </c>
      <c r="AH46" s="56" t="str">
        <f>IF(COUNTIFS('LANÇAMENTOS DIÁRIOS'!$G$5:$G$500,"C",'LANÇAMENTOS DIÁRIOS'!$C$5:$C$500,$A46,'LANÇAMENTOS DIÁRIOS'!$O$5:$O$500,"&lt;=99799",'LANÇAMENTOS DIÁRIOS'!$P$5:$P$500,"&gt;=99700")&gt;0,"X","")</f>
      </c>
      <c r="AI46" s="56" t="str">
        <f>IF(COUNTIFS('LANÇAMENTOS DIÁRIOS'!$G$5:$G$500,"C",'LANÇAMENTOS DIÁRIOS'!$C$5:$C$500,$A46,'LANÇAMENTOS DIÁRIOS'!$O$5:$O$500,"&lt;=99899",'LANÇAMENTOS DIÁRIOS'!$P$5:$P$500,"&gt;=99800")&gt;0,"X","")</f>
      </c>
      <c r="AJ46" s="56" t="str">
        <f>IF(COUNTIFS('LANÇAMENTOS DIÁRIOS'!$G$5:$G$500,"C",'LANÇAMENTOS DIÁRIOS'!$C$5:$C$500,$A46,'LANÇAMENTOS DIÁRIOS'!$O$5:$O$500,"&lt;=99999",'LANÇAMENTOS DIÁRIOS'!$P$5:$P$500,"&gt;=99900")&gt;0,"X","")</f>
      </c>
      <c r="AK46" s="56" t="str">
        <f>IF(COUNTIFS('LANÇAMENTOS DIÁRIOS'!$G$5:$G$500,"C",'LANÇAMENTOS DIÁRIOS'!$C$5:$C$500,$A46,'LANÇAMENTOS DIÁRIOS'!$O$5:$O$500,"&lt;=100099",'LANÇAMENTOS DIÁRIOS'!$P$5:$P$500,"&gt;=100000")&gt;0,"X","")</f>
      </c>
      <c r="AL46" s="56" t="str">
        <f>IF(COUNTIFS('LANÇAMENTOS DIÁRIOS'!$G$5:$G$500,"C",'LANÇAMENTOS DIÁRIOS'!$C$5:$C$500,$A46,'LANÇAMENTOS DIÁRIOS'!$O$5:$O$500,"&lt;=100199",'LANÇAMENTOS DIÁRIOS'!$P$5:$P$500,"&gt;=100100")&gt;0,"X","")</f>
      </c>
      <c r="AM46" s="56" t="str">
        <f>IF(COUNTIFS('LANÇAMENTOS DIÁRIOS'!$G$5:$G$500,"C",'LANÇAMENTOS DIÁRIOS'!$C$5:$C$500,$A46,'LANÇAMENTOS DIÁRIOS'!$O$5:$O$500,"&lt;=100299",'LANÇAMENTOS DIÁRIOS'!$P$5:$P$500,"&gt;=100200")&gt;0,"X","")</f>
      </c>
      <c r="AN46" s="56" t="str">
        <f>IF(COUNTIFS('LANÇAMENTOS DIÁRIOS'!$G$5:$G$500,"C",'LANÇAMENTOS DIÁRIOS'!$C$5:$C$500,$A46,'LANÇAMENTOS DIÁRIOS'!$O$5:$O$500,"&lt;=100399",'LANÇAMENTOS DIÁRIOS'!$P$5:$P$500,"&gt;=100300")&gt;0,"X","")</f>
      </c>
      <c r="AO46" s="56" t="str">
        <f>IF(COUNTIFS('LANÇAMENTOS DIÁRIOS'!$G$5:$G$500,"C",'LANÇAMENTOS DIÁRIOS'!$C$5:$C$500,$A46,'LANÇAMENTOS DIÁRIOS'!$O$5:$O$500,"&lt;=100499",'LANÇAMENTOS DIÁRIOS'!$P$5:$P$500,"&gt;=100400")&gt;0,"X","")</f>
      </c>
      <c r="AP46" s="56" t="str">
        <f>IF(COUNTIFS('LANÇAMENTOS DIÁRIOS'!$G$5:$G$500,"C",'LANÇAMENTOS DIÁRIOS'!$C$5:$C$500,$A46,'LANÇAMENTOS DIÁRIOS'!$O$5:$O$500,"&lt;=100500",'LANÇAMENTOS DIÁRIOS'!$P$5:$P$500,"&gt;=100500")&gt;0,"X","")</f>
      </c>
    </row>
    <row r="47" ht="19" customHeight="1">
      <c r="A47" s="68" t="str">
        <v>Trocas e melhorias de solo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</row>
    <row r="48">
      <c r="A48" s="51" t="str">
        <v>Escavação de solo com baixa capacidade de suporte</v>
      </c>
      <c r="B48" s="56" t="str">
        <f>IF(COUNTIFS('LANÇAMENTOS DIÁRIOS'!$G$5:$G$500,"C",'LANÇAMENTOS DIÁRIOS'!$C$5:$C$500,$A48,'LANÇAMENTOS DIÁRIOS'!$O$5:$O$500,"&lt;=96599",'LANÇAMENTOS DIÁRIOS'!$P$5:$P$500,"&gt;=96500")&gt;0,"X","")</f>
      </c>
      <c r="C48" s="56" t="str">
        <f>IF(COUNTIFS('LANÇAMENTOS DIÁRIOS'!$G$5:$G$500,"C",'LANÇAMENTOS DIÁRIOS'!$C$5:$C$500,$A48,'LANÇAMENTOS DIÁRIOS'!$O$5:$O$500,"&lt;=96699",'LANÇAMENTOS DIÁRIOS'!$P$5:$P$500,"&gt;=96600")&gt;0,"X","")</f>
      </c>
      <c r="D48" s="56" t="str">
        <f>IF(COUNTIFS('LANÇAMENTOS DIÁRIOS'!$G$5:$G$500,"C",'LANÇAMENTOS DIÁRIOS'!$C$5:$C$500,$A48,'LANÇAMENTOS DIÁRIOS'!$O$5:$O$500,"&lt;=96799",'LANÇAMENTOS DIÁRIOS'!$P$5:$P$500,"&gt;=96700")&gt;0,"X","")</f>
      </c>
      <c r="E48" s="56" t="str">
        <f>IF(COUNTIFS('LANÇAMENTOS DIÁRIOS'!$G$5:$G$500,"C",'LANÇAMENTOS DIÁRIOS'!$C$5:$C$500,$A48,'LANÇAMENTOS DIÁRIOS'!$O$5:$O$500,"&lt;=96899",'LANÇAMENTOS DIÁRIOS'!$P$5:$P$500,"&gt;=96800")&gt;0,"X","")</f>
      </c>
      <c r="F48" s="56" t="str">
        <f>IF(COUNTIFS('LANÇAMENTOS DIÁRIOS'!$G$5:$G$500,"C",'LANÇAMENTOS DIÁRIOS'!$C$5:$C$500,$A48,'LANÇAMENTOS DIÁRIOS'!$O$5:$O$500,"&lt;=96999",'LANÇAMENTOS DIÁRIOS'!$P$5:$P$500,"&gt;=96900")&gt;0,"X","")</f>
      </c>
      <c r="G48" s="56" t="str">
        <f>IF(COUNTIFS('LANÇAMENTOS DIÁRIOS'!$G$5:$G$500,"C",'LANÇAMENTOS DIÁRIOS'!$C$5:$C$500,$A48,'LANÇAMENTOS DIÁRIOS'!$O$5:$O$500,"&lt;=97099",'LANÇAMENTOS DIÁRIOS'!$P$5:$P$500,"&gt;=97000")&gt;0,"X","")</f>
      </c>
      <c r="H48" s="56" t="str">
        <f>IF(COUNTIFS('LANÇAMENTOS DIÁRIOS'!$G$5:$G$500,"C",'LANÇAMENTOS DIÁRIOS'!$C$5:$C$500,$A48,'LANÇAMENTOS DIÁRIOS'!$O$5:$O$500,"&lt;=97199",'LANÇAMENTOS DIÁRIOS'!$P$5:$P$500,"&gt;=97100")&gt;0,"X","")</f>
      </c>
      <c r="I48" s="56" t="str">
        <f>IF(COUNTIFS('LANÇAMENTOS DIÁRIOS'!$G$5:$G$500,"C",'LANÇAMENTOS DIÁRIOS'!$C$5:$C$500,$A48,'LANÇAMENTOS DIÁRIOS'!$O$5:$O$500,"&lt;=97299",'LANÇAMENTOS DIÁRIOS'!$P$5:$P$500,"&gt;=97200")&gt;0,"X","")</f>
      </c>
      <c r="J48" s="56" t="str">
        <f>IF(COUNTIFS('LANÇAMENTOS DIÁRIOS'!$G$5:$G$500,"C",'LANÇAMENTOS DIÁRIOS'!$C$5:$C$500,$A48,'LANÇAMENTOS DIÁRIOS'!$O$5:$O$500,"&lt;=97399",'LANÇAMENTOS DIÁRIOS'!$P$5:$P$500,"&gt;=97300")&gt;0,"X","")</f>
        <v>X</v>
      </c>
      <c r="K48" s="56" t="str">
        <f>IF(COUNTIFS('LANÇAMENTOS DIÁRIOS'!$G$5:$G$500,"C",'LANÇAMENTOS DIÁRIOS'!$C$5:$C$500,$A48,'LANÇAMENTOS DIÁRIOS'!$O$5:$O$500,"&lt;=97499",'LANÇAMENTOS DIÁRIOS'!$P$5:$P$500,"&gt;=97400")&gt;0,"X","")</f>
      </c>
      <c r="L48" s="56" t="str">
        <f>IF(COUNTIFS('LANÇAMENTOS DIÁRIOS'!$G$5:$G$500,"C",'LANÇAMENTOS DIÁRIOS'!$C$5:$C$500,$A48,'LANÇAMENTOS DIÁRIOS'!$O$5:$O$500,"&lt;=97599",'LANÇAMENTOS DIÁRIOS'!$P$5:$P$500,"&gt;=97500")&gt;0,"X","")</f>
      </c>
      <c r="M48" s="56" t="str">
        <f>IF(COUNTIFS('LANÇAMENTOS DIÁRIOS'!$G$5:$G$500,"C",'LANÇAMENTOS DIÁRIOS'!$C$5:$C$500,$A48,'LANÇAMENTOS DIÁRIOS'!$O$5:$O$500,"&lt;=97699",'LANÇAMENTOS DIÁRIOS'!$P$5:$P$500,"&gt;=97600")&gt;0,"X","")</f>
      </c>
      <c r="N48" s="56" t="str">
        <f>IF(COUNTIFS('LANÇAMENTOS DIÁRIOS'!$G$5:$G$500,"C",'LANÇAMENTOS DIÁRIOS'!$C$5:$C$500,$A48,'LANÇAMENTOS DIÁRIOS'!$O$5:$O$500,"&lt;=97799",'LANÇAMENTOS DIÁRIOS'!$P$5:$P$500,"&gt;=97700")&gt;0,"X","")</f>
      </c>
      <c r="O48" s="56" t="str">
        <f>IF(COUNTIFS('LANÇAMENTOS DIÁRIOS'!$G$5:$G$500,"C",'LANÇAMENTOS DIÁRIOS'!$C$5:$C$500,$A48,'LANÇAMENTOS DIÁRIOS'!$O$5:$O$500,"&lt;=97899",'LANÇAMENTOS DIÁRIOS'!$P$5:$P$500,"&gt;=97800")&gt;0,"X","")</f>
      </c>
      <c r="P48" s="56" t="str">
        <f>IF(COUNTIFS('LANÇAMENTOS DIÁRIOS'!$G$5:$G$500,"C",'LANÇAMENTOS DIÁRIOS'!$C$5:$C$500,$A48,'LANÇAMENTOS DIÁRIOS'!$O$5:$O$500,"&lt;=97999",'LANÇAMENTOS DIÁRIOS'!$P$5:$P$500,"&gt;=97900")&gt;0,"X","")</f>
      </c>
      <c r="Q48" s="56" t="str">
        <f>IF(COUNTIFS('LANÇAMENTOS DIÁRIOS'!$G$5:$G$500,"C",'LANÇAMENTOS DIÁRIOS'!$C$5:$C$500,$A48,'LANÇAMENTOS DIÁRIOS'!$O$5:$O$500,"&lt;=98099",'LANÇAMENTOS DIÁRIOS'!$P$5:$P$500,"&gt;=98000")&gt;0,"X","")</f>
      </c>
      <c r="R48" s="56" t="str">
        <f>IF(COUNTIFS('LANÇAMENTOS DIÁRIOS'!$G$5:$G$500,"C",'LANÇAMENTOS DIÁRIOS'!$C$5:$C$500,$A48,'LANÇAMENTOS DIÁRIOS'!$O$5:$O$500,"&lt;=98199",'LANÇAMENTOS DIÁRIOS'!$P$5:$P$500,"&gt;=98100")&gt;0,"X","")</f>
      </c>
      <c r="S48" s="56" t="str">
        <f>IF(COUNTIFS('LANÇAMENTOS DIÁRIOS'!$G$5:$G$500,"C",'LANÇAMENTOS DIÁRIOS'!$C$5:$C$500,$A48,'LANÇAMENTOS DIÁRIOS'!$O$5:$O$500,"&lt;=98299",'LANÇAMENTOS DIÁRIOS'!$P$5:$P$500,"&gt;=98200")&gt;0,"X","")</f>
      </c>
      <c r="T48" s="56" t="str">
        <f>IF(COUNTIFS('LANÇAMENTOS DIÁRIOS'!$G$5:$G$500,"C",'LANÇAMENTOS DIÁRIOS'!$C$5:$C$500,$A48,'LANÇAMENTOS DIÁRIOS'!$O$5:$O$500,"&lt;=98399",'LANÇAMENTOS DIÁRIOS'!$P$5:$P$500,"&gt;=98300")&gt;0,"X","")</f>
      </c>
      <c r="U48" s="56" t="str">
        <f>IF(COUNTIFS('LANÇAMENTOS DIÁRIOS'!$G$5:$G$500,"C",'LANÇAMENTOS DIÁRIOS'!$C$5:$C$500,$A48,'LANÇAMENTOS DIÁRIOS'!$O$5:$O$500,"&lt;=98499",'LANÇAMENTOS DIÁRIOS'!$P$5:$P$500,"&gt;=98400")&gt;0,"X","")</f>
      </c>
      <c r="V48" s="56" t="str">
        <f>IF(COUNTIFS('LANÇAMENTOS DIÁRIOS'!$G$5:$G$500,"C",'LANÇAMENTOS DIÁRIOS'!$C$5:$C$500,$A48,'LANÇAMENTOS DIÁRIOS'!$O$5:$O$500,"&lt;=98599",'LANÇAMENTOS DIÁRIOS'!$P$5:$P$500,"&gt;=98500")&gt;0,"X","")</f>
      </c>
      <c r="W48" s="56" t="str">
        <f>IF(COUNTIFS('LANÇAMENTOS DIÁRIOS'!$G$5:$G$500,"C",'LANÇAMENTOS DIÁRIOS'!$C$5:$C$500,$A48,'LANÇAMENTOS DIÁRIOS'!$O$5:$O$500,"&lt;=98699",'LANÇAMENTOS DIÁRIOS'!$P$5:$P$500,"&gt;=98600")&gt;0,"X","")</f>
      </c>
      <c r="X48" s="56" t="str">
        <f>IF(COUNTIFS('LANÇAMENTOS DIÁRIOS'!$G$5:$G$500,"C",'LANÇAMENTOS DIÁRIOS'!$C$5:$C$500,$A48,'LANÇAMENTOS DIÁRIOS'!$O$5:$O$500,"&lt;=98799",'LANÇAMENTOS DIÁRIOS'!$P$5:$P$500,"&gt;=98700")&gt;0,"X","")</f>
      </c>
      <c r="Y48" s="56" t="str">
        <f>IF(COUNTIFS('LANÇAMENTOS DIÁRIOS'!$G$5:$G$500,"C",'LANÇAMENTOS DIÁRIOS'!$C$5:$C$500,$A48,'LANÇAMENTOS DIÁRIOS'!$O$5:$O$500,"&lt;=98899",'LANÇAMENTOS DIÁRIOS'!$P$5:$P$500,"&gt;=98800")&gt;0,"X","")</f>
      </c>
      <c r="Z48" s="56" t="str">
        <f>IF(COUNTIFS('LANÇAMENTOS DIÁRIOS'!$G$5:$G$500,"C",'LANÇAMENTOS DIÁRIOS'!$C$5:$C$500,$A48,'LANÇAMENTOS DIÁRIOS'!$O$5:$O$500,"&lt;=98999",'LANÇAMENTOS DIÁRIOS'!$P$5:$P$500,"&gt;=98900")&gt;0,"X","")</f>
      </c>
      <c r="AA48" s="56" t="str">
        <f>IF(COUNTIFS('LANÇAMENTOS DIÁRIOS'!$G$5:$G$500,"C",'LANÇAMENTOS DIÁRIOS'!$C$5:$C$500,$A48,'LANÇAMENTOS DIÁRIOS'!$O$5:$O$500,"&lt;=99099",'LANÇAMENTOS DIÁRIOS'!$P$5:$P$500,"&gt;=99000")&gt;0,"X","")</f>
      </c>
      <c r="AB48" s="56" t="str">
        <f>IF(COUNTIFS('LANÇAMENTOS DIÁRIOS'!$G$5:$G$500,"C",'LANÇAMENTOS DIÁRIOS'!$C$5:$C$500,$A48,'LANÇAMENTOS DIÁRIOS'!$O$5:$O$500,"&lt;=99199",'LANÇAMENTOS DIÁRIOS'!$P$5:$P$500,"&gt;=99100")&gt;0,"X","")</f>
      </c>
      <c r="AC48" s="56" t="str">
        <f>IF(COUNTIFS('LANÇAMENTOS DIÁRIOS'!$G$5:$G$500,"C",'LANÇAMENTOS DIÁRIOS'!$C$5:$C$500,$A48,'LANÇAMENTOS DIÁRIOS'!$O$5:$O$500,"&lt;=99299",'LANÇAMENTOS DIÁRIOS'!$P$5:$P$500,"&gt;=99200")&gt;0,"X","")</f>
      </c>
      <c r="AD48" s="56" t="str">
        <f>IF(COUNTIFS('LANÇAMENTOS DIÁRIOS'!$G$5:$G$500,"C",'LANÇAMENTOS DIÁRIOS'!$C$5:$C$500,$A48,'LANÇAMENTOS DIÁRIOS'!$O$5:$O$500,"&lt;=99399",'LANÇAMENTOS DIÁRIOS'!$P$5:$P$500,"&gt;=99300")&gt;0,"X","")</f>
      </c>
      <c r="AE48" s="56" t="str">
        <f>IF(COUNTIFS('LANÇAMENTOS DIÁRIOS'!$G$5:$G$500,"C",'LANÇAMENTOS DIÁRIOS'!$C$5:$C$500,$A48,'LANÇAMENTOS DIÁRIOS'!$O$5:$O$500,"&lt;=99499",'LANÇAMENTOS DIÁRIOS'!$P$5:$P$500,"&gt;=99400")&gt;0,"X","")</f>
      </c>
      <c r="AF48" s="56" t="str">
        <f>IF(COUNTIFS('LANÇAMENTOS DIÁRIOS'!$G$5:$G$500,"C",'LANÇAMENTOS DIÁRIOS'!$C$5:$C$500,$A48,'LANÇAMENTOS DIÁRIOS'!$O$5:$O$500,"&lt;=99599",'LANÇAMENTOS DIÁRIOS'!$P$5:$P$500,"&gt;=99500")&gt;0,"X","")</f>
      </c>
      <c r="AG48" s="56" t="str">
        <f>IF(COUNTIFS('LANÇAMENTOS DIÁRIOS'!$G$5:$G$500,"C",'LANÇAMENTOS DIÁRIOS'!$C$5:$C$500,$A48,'LANÇAMENTOS DIÁRIOS'!$O$5:$O$500,"&lt;=99699",'LANÇAMENTOS DIÁRIOS'!$P$5:$P$500,"&gt;=99600")&gt;0,"X","")</f>
      </c>
      <c r="AH48" s="56" t="str">
        <f>IF(COUNTIFS('LANÇAMENTOS DIÁRIOS'!$G$5:$G$500,"C",'LANÇAMENTOS DIÁRIOS'!$C$5:$C$500,$A48,'LANÇAMENTOS DIÁRIOS'!$O$5:$O$500,"&lt;=99799",'LANÇAMENTOS DIÁRIOS'!$P$5:$P$500,"&gt;=99700")&gt;0,"X","")</f>
      </c>
      <c r="AI48" s="56" t="str">
        <f>IF(COUNTIFS('LANÇAMENTOS DIÁRIOS'!$G$5:$G$500,"C",'LANÇAMENTOS DIÁRIOS'!$C$5:$C$500,$A48,'LANÇAMENTOS DIÁRIOS'!$O$5:$O$500,"&lt;=99899",'LANÇAMENTOS DIÁRIOS'!$P$5:$P$500,"&gt;=99800")&gt;0,"X","")</f>
      </c>
      <c r="AJ48" s="56" t="str">
        <f>IF(COUNTIFS('LANÇAMENTOS DIÁRIOS'!$G$5:$G$500,"C",'LANÇAMENTOS DIÁRIOS'!$C$5:$C$500,$A48,'LANÇAMENTOS DIÁRIOS'!$O$5:$O$500,"&lt;=99999",'LANÇAMENTOS DIÁRIOS'!$P$5:$P$500,"&gt;=99900")&gt;0,"X","")</f>
      </c>
      <c r="AK48" s="56" t="str">
        <f>IF(COUNTIFS('LANÇAMENTOS DIÁRIOS'!$G$5:$G$500,"C",'LANÇAMENTOS DIÁRIOS'!$C$5:$C$500,$A48,'LANÇAMENTOS DIÁRIOS'!$O$5:$O$500,"&lt;=100099",'LANÇAMENTOS DIÁRIOS'!$P$5:$P$500,"&gt;=100000")&gt;0,"X","")</f>
      </c>
      <c r="AL48" s="56" t="str">
        <f>IF(COUNTIFS('LANÇAMENTOS DIÁRIOS'!$G$5:$G$500,"C",'LANÇAMENTOS DIÁRIOS'!$C$5:$C$500,$A48,'LANÇAMENTOS DIÁRIOS'!$O$5:$O$500,"&lt;=100199",'LANÇAMENTOS DIÁRIOS'!$P$5:$P$500,"&gt;=100100")&gt;0,"X","")</f>
      </c>
      <c r="AM48" s="56" t="str">
        <f>IF(COUNTIFS('LANÇAMENTOS DIÁRIOS'!$G$5:$G$500,"C",'LANÇAMENTOS DIÁRIOS'!$C$5:$C$500,$A48,'LANÇAMENTOS DIÁRIOS'!$O$5:$O$500,"&lt;=100299",'LANÇAMENTOS DIÁRIOS'!$P$5:$P$500,"&gt;=100200")&gt;0,"X","")</f>
      </c>
      <c r="AN48" s="56" t="str">
        <f>IF(COUNTIFS('LANÇAMENTOS DIÁRIOS'!$G$5:$G$500,"C",'LANÇAMENTOS DIÁRIOS'!$C$5:$C$500,$A48,'LANÇAMENTOS DIÁRIOS'!$O$5:$O$500,"&lt;=100399",'LANÇAMENTOS DIÁRIOS'!$P$5:$P$500,"&gt;=100300")&gt;0,"X","")</f>
      </c>
      <c r="AO48" s="56" t="str">
        <f>IF(COUNTIFS('LANÇAMENTOS DIÁRIOS'!$G$5:$G$500,"C",'LANÇAMENTOS DIÁRIOS'!$C$5:$C$500,$A48,'LANÇAMENTOS DIÁRIOS'!$O$5:$O$500,"&lt;=100499",'LANÇAMENTOS DIÁRIOS'!$P$5:$P$500,"&gt;=100400")&gt;0,"X","")</f>
      </c>
      <c r="AP48" s="56" t="str">
        <f>IF(COUNTIFS('LANÇAMENTOS DIÁRIOS'!$G$5:$G$500,"C",'LANÇAMENTOS DIÁRIOS'!$C$5:$C$500,$A48,'LANÇAMENTOS DIÁRIOS'!$O$5:$O$500,"&lt;=100500",'LANÇAMENTOS DIÁRIOS'!$P$5:$P$500,"&gt;=100500")&gt;0,"X","")</f>
      </c>
    </row>
    <row r="49">
      <c r="A49" s="51" t="str">
        <v>Fundação / reaterro com solo</v>
      </c>
      <c r="B49" s="56" t="str">
        <f>IF(COUNTIFS('LANÇAMENTOS DIÁRIOS'!$G$5:$G$500,"C",'LANÇAMENTOS DIÁRIOS'!$C$5:$C$500,$A49,'LANÇAMENTOS DIÁRIOS'!$O$5:$O$500,"&lt;=96599",'LANÇAMENTOS DIÁRIOS'!$P$5:$P$500,"&gt;=96500")&gt;0,"X","")</f>
      </c>
      <c r="C49" s="56" t="str">
        <f>IF(COUNTIFS('LANÇAMENTOS DIÁRIOS'!$G$5:$G$500,"C",'LANÇAMENTOS DIÁRIOS'!$C$5:$C$500,$A49,'LANÇAMENTOS DIÁRIOS'!$O$5:$O$500,"&lt;=96699",'LANÇAMENTOS DIÁRIOS'!$P$5:$P$500,"&gt;=96600")&gt;0,"X","")</f>
      </c>
      <c r="D49" s="56" t="str">
        <f>IF(COUNTIFS('LANÇAMENTOS DIÁRIOS'!$G$5:$G$500,"C",'LANÇAMENTOS DIÁRIOS'!$C$5:$C$500,$A49,'LANÇAMENTOS DIÁRIOS'!$O$5:$O$500,"&lt;=96799",'LANÇAMENTOS DIÁRIOS'!$P$5:$P$500,"&gt;=96700")&gt;0,"X","")</f>
      </c>
      <c r="E49" s="56" t="str">
        <f>IF(COUNTIFS('LANÇAMENTOS DIÁRIOS'!$G$5:$G$500,"C",'LANÇAMENTOS DIÁRIOS'!$C$5:$C$500,$A49,'LANÇAMENTOS DIÁRIOS'!$O$5:$O$500,"&lt;=96899",'LANÇAMENTOS DIÁRIOS'!$P$5:$P$500,"&gt;=96800")&gt;0,"X","")</f>
      </c>
      <c r="F49" s="56" t="str">
        <f>IF(COUNTIFS('LANÇAMENTOS DIÁRIOS'!$G$5:$G$500,"C",'LANÇAMENTOS DIÁRIOS'!$C$5:$C$500,$A49,'LANÇAMENTOS DIÁRIOS'!$O$5:$O$500,"&lt;=96999",'LANÇAMENTOS DIÁRIOS'!$P$5:$P$500,"&gt;=96900")&gt;0,"X","")</f>
      </c>
      <c r="G49" s="56" t="str">
        <f>IF(COUNTIFS('LANÇAMENTOS DIÁRIOS'!$G$5:$G$500,"C",'LANÇAMENTOS DIÁRIOS'!$C$5:$C$500,$A49,'LANÇAMENTOS DIÁRIOS'!$O$5:$O$500,"&lt;=97099",'LANÇAMENTOS DIÁRIOS'!$P$5:$P$500,"&gt;=97000")&gt;0,"X","")</f>
      </c>
      <c r="H49" s="56" t="str">
        <f>IF(COUNTIFS('LANÇAMENTOS DIÁRIOS'!$G$5:$G$500,"C",'LANÇAMENTOS DIÁRIOS'!$C$5:$C$500,$A49,'LANÇAMENTOS DIÁRIOS'!$O$5:$O$500,"&lt;=97199",'LANÇAMENTOS DIÁRIOS'!$P$5:$P$500,"&gt;=97100")&gt;0,"X","")</f>
      </c>
      <c r="I49" s="56" t="str">
        <f>IF(COUNTIFS('LANÇAMENTOS DIÁRIOS'!$G$5:$G$500,"C",'LANÇAMENTOS DIÁRIOS'!$C$5:$C$500,$A49,'LANÇAMENTOS DIÁRIOS'!$O$5:$O$500,"&lt;=97299",'LANÇAMENTOS DIÁRIOS'!$P$5:$P$500,"&gt;=97200")&gt;0,"X","")</f>
      </c>
      <c r="J49" s="56" t="str">
        <f>IF(COUNTIFS('LANÇAMENTOS DIÁRIOS'!$G$5:$G$500,"C",'LANÇAMENTOS DIÁRIOS'!$C$5:$C$500,$A49,'LANÇAMENTOS DIÁRIOS'!$O$5:$O$500,"&lt;=97399",'LANÇAMENTOS DIÁRIOS'!$P$5:$P$500,"&gt;=97300")&gt;0,"X","")</f>
      </c>
      <c r="K49" s="56" t="str">
        <f>IF(COUNTIFS('LANÇAMENTOS DIÁRIOS'!$G$5:$G$500,"C",'LANÇAMENTOS DIÁRIOS'!$C$5:$C$500,$A49,'LANÇAMENTOS DIÁRIOS'!$O$5:$O$500,"&lt;=97499",'LANÇAMENTOS DIÁRIOS'!$P$5:$P$500,"&gt;=97400")&gt;0,"X","")</f>
      </c>
      <c r="L49" s="56" t="str">
        <f>IF(COUNTIFS('LANÇAMENTOS DIÁRIOS'!$G$5:$G$500,"C",'LANÇAMENTOS DIÁRIOS'!$C$5:$C$500,$A49,'LANÇAMENTOS DIÁRIOS'!$O$5:$O$500,"&lt;=97599",'LANÇAMENTOS DIÁRIOS'!$P$5:$P$500,"&gt;=97500")&gt;0,"X","")</f>
      </c>
      <c r="M49" s="56" t="str">
        <f>IF(COUNTIFS('LANÇAMENTOS DIÁRIOS'!$G$5:$G$500,"C",'LANÇAMENTOS DIÁRIOS'!$C$5:$C$500,$A49,'LANÇAMENTOS DIÁRIOS'!$O$5:$O$500,"&lt;=97699",'LANÇAMENTOS DIÁRIOS'!$P$5:$P$500,"&gt;=97600")&gt;0,"X","")</f>
      </c>
      <c r="N49" s="56" t="str">
        <f>IF(COUNTIFS('LANÇAMENTOS DIÁRIOS'!$G$5:$G$500,"C",'LANÇAMENTOS DIÁRIOS'!$C$5:$C$500,$A49,'LANÇAMENTOS DIÁRIOS'!$O$5:$O$500,"&lt;=97799",'LANÇAMENTOS DIÁRIOS'!$P$5:$P$500,"&gt;=97700")&gt;0,"X","")</f>
      </c>
      <c r="O49" s="56" t="str">
        <f>IF(COUNTIFS('LANÇAMENTOS DIÁRIOS'!$G$5:$G$500,"C",'LANÇAMENTOS DIÁRIOS'!$C$5:$C$500,$A49,'LANÇAMENTOS DIÁRIOS'!$O$5:$O$500,"&lt;=97899",'LANÇAMENTOS DIÁRIOS'!$P$5:$P$500,"&gt;=97800")&gt;0,"X","")</f>
      </c>
      <c r="P49" s="56" t="str">
        <f>IF(COUNTIFS('LANÇAMENTOS DIÁRIOS'!$G$5:$G$500,"C",'LANÇAMENTOS DIÁRIOS'!$C$5:$C$500,$A49,'LANÇAMENTOS DIÁRIOS'!$O$5:$O$500,"&lt;=97999",'LANÇAMENTOS DIÁRIOS'!$P$5:$P$500,"&gt;=97900")&gt;0,"X","")</f>
      </c>
      <c r="Q49" s="56" t="str">
        <f>IF(COUNTIFS('LANÇAMENTOS DIÁRIOS'!$G$5:$G$500,"C",'LANÇAMENTOS DIÁRIOS'!$C$5:$C$500,$A49,'LANÇAMENTOS DIÁRIOS'!$O$5:$O$500,"&lt;=98099",'LANÇAMENTOS DIÁRIOS'!$P$5:$P$500,"&gt;=98000")&gt;0,"X","")</f>
      </c>
      <c r="R49" s="56" t="str">
        <f>IF(COUNTIFS('LANÇAMENTOS DIÁRIOS'!$G$5:$G$500,"C",'LANÇAMENTOS DIÁRIOS'!$C$5:$C$500,$A49,'LANÇAMENTOS DIÁRIOS'!$O$5:$O$500,"&lt;=98199",'LANÇAMENTOS DIÁRIOS'!$P$5:$P$500,"&gt;=98100")&gt;0,"X","")</f>
      </c>
      <c r="S49" s="56" t="str">
        <f>IF(COUNTIFS('LANÇAMENTOS DIÁRIOS'!$G$5:$G$500,"C",'LANÇAMENTOS DIÁRIOS'!$C$5:$C$500,$A49,'LANÇAMENTOS DIÁRIOS'!$O$5:$O$500,"&lt;=98299",'LANÇAMENTOS DIÁRIOS'!$P$5:$P$500,"&gt;=98200")&gt;0,"X","")</f>
      </c>
      <c r="T49" s="56" t="str">
        <f>IF(COUNTIFS('LANÇAMENTOS DIÁRIOS'!$G$5:$G$500,"C",'LANÇAMENTOS DIÁRIOS'!$C$5:$C$500,$A49,'LANÇAMENTOS DIÁRIOS'!$O$5:$O$500,"&lt;=98399",'LANÇAMENTOS DIÁRIOS'!$P$5:$P$500,"&gt;=98300")&gt;0,"X","")</f>
      </c>
      <c r="U49" s="56" t="str">
        <f>IF(COUNTIFS('LANÇAMENTOS DIÁRIOS'!$G$5:$G$500,"C",'LANÇAMENTOS DIÁRIOS'!$C$5:$C$500,$A49,'LANÇAMENTOS DIÁRIOS'!$O$5:$O$500,"&lt;=98499",'LANÇAMENTOS DIÁRIOS'!$P$5:$P$500,"&gt;=98400")&gt;0,"X","")</f>
      </c>
      <c r="V49" s="56" t="str">
        <f>IF(COUNTIFS('LANÇAMENTOS DIÁRIOS'!$G$5:$G$500,"C",'LANÇAMENTOS DIÁRIOS'!$C$5:$C$500,$A49,'LANÇAMENTOS DIÁRIOS'!$O$5:$O$500,"&lt;=98599",'LANÇAMENTOS DIÁRIOS'!$P$5:$P$500,"&gt;=98500")&gt;0,"X","")</f>
      </c>
      <c r="W49" s="56" t="str">
        <f>IF(COUNTIFS('LANÇAMENTOS DIÁRIOS'!$G$5:$G$500,"C",'LANÇAMENTOS DIÁRIOS'!$C$5:$C$500,$A49,'LANÇAMENTOS DIÁRIOS'!$O$5:$O$500,"&lt;=98699",'LANÇAMENTOS DIÁRIOS'!$P$5:$P$500,"&gt;=98600")&gt;0,"X","")</f>
      </c>
      <c r="X49" s="56" t="str">
        <f>IF(COUNTIFS('LANÇAMENTOS DIÁRIOS'!$G$5:$G$500,"C",'LANÇAMENTOS DIÁRIOS'!$C$5:$C$500,$A49,'LANÇAMENTOS DIÁRIOS'!$O$5:$O$500,"&lt;=98799",'LANÇAMENTOS DIÁRIOS'!$P$5:$P$500,"&gt;=98700")&gt;0,"X","")</f>
      </c>
      <c r="Y49" s="56" t="str">
        <f>IF(COUNTIFS('LANÇAMENTOS DIÁRIOS'!$G$5:$G$500,"C",'LANÇAMENTOS DIÁRIOS'!$C$5:$C$500,$A49,'LANÇAMENTOS DIÁRIOS'!$O$5:$O$500,"&lt;=98899",'LANÇAMENTOS DIÁRIOS'!$P$5:$P$500,"&gt;=98800")&gt;0,"X","")</f>
      </c>
      <c r="Z49" s="56" t="str">
        <f>IF(COUNTIFS('LANÇAMENTOS DIÁRIOS'!$G$5:$G$500,"C",'LANÇAMENTOS DIÁRIOS'!$C$5:$C$500,$A49,'LANÇAMENTOS DIÁRIOS'!$O$5:$O$500,"&lt;=98999",'LANÇAMENTOS DIÁRIOS'!$P$5:$P$500,"&gt;=98900")&gt;0,"X","")</f>
      </c>
      <c r="AA49" s="56" t="str">
        <f>IF(COUNTIFS('LANÇAMENTOS DIÁRIOS'!$G$5:$G$500,"C",'LANÇAMENTOS DIÁRIOS'!$C$5:$C$500,$A49,'LANÇAMENTOS DIÁRIOS'!$O$5:$O$500,"&lt;=99099",'LANÇAMENTOS DIÁRIOS'!$P$5:$P$500,"&gt;=99000")&gt;0,"X","")</f>
      </c>
      <c r="AB49" s="56" t="str">
        <f>IF(COUNTIFS('LANÇAMENTOS DIÁRIOS'!$G$5:$G$500,"C",'LANÇAMENTOS DIÁRIOS'!$C$5:$C$500,$A49,'LANÇAMENTOS DIÁRIOS'!$O$5:$O$500,"&lt;=99199",'LANÇAMENTOS DIÁRIOS'!$P$5:$P$500,"&gt;=99100")&gt;0,"X","")</f>
      </c>
      <c r="AC49" s="56" t="str">
        <f>IF(COUNTIFS('LANÇAMENTOS DIÁRIOS'!$G$5:$G$500,"C",'LANÇAMENTOS DIÁRIOS'!$C$5:$C$500,$A49,'LANÇAMENTOS DIÁRIOS'!$O$5:$O$500,"&lt;=99299",'LANÇAMENTOS DIÁRIOS'!$P$5:$P$500,"&gt;=99200")&gt;0,"X","")</f>
      </c>
      <c r="AD49" s="56" t="str">
        <f>IF(COUNTIFS('LANÇAMENTOS DIÁRIOS'!$G$5:$G$500,"C",'LANÇAMENTOS DIÁRIOS'!$C$5:$C$500,$A49,'LANÇAMENTOS DIÁRIOS'!$O$5:$O$500,"&lt;=99399",'LANÇAMENTOS DIÁRIOS'!$P$5:$P$500,"&gt;=99300")&gt;0,"X","")</f>
      </c>
      <c r="AE49" s="56" t="str">
        <f>IF(COUNTIFS('LANÇAMENTOS DIÁRIOS'!$G$5:$G$500,"C",'LANÇAMENTOS DIÁRIOS'!$C$5:$C$500,$A49,'LANÇAMENTOS DIÁRIOS'!$O$5:$O$500,"&lt;=99499",'LANÇAMENTOS DIÁRIOS'!$P$5:$P$500,"&gt;=99400")&gt;0,"X","")</f>
      </c>
      <c r="AF49" s="56" t="str">
        <f>IF(COUNTIFS('LANÇAMENTOS DIÁRIOS'!$G$5:$G$500,"C",'LANÇAMENTOS DIÁRIOS'!$C$5:$C$500,$A49,'LANÇAMENTOS DIÁRIOS'!$O$5:$O$500,"&lt;=99599",'LANÇAMENTOS DIÁRIOS'!$P$5:$P$500,"&gt;=99500")&gt;0,"X","")</f>
      </c>
      <c r="AG49" s="56" t="str">
        <f>IF(COUNTIFS('LANÇAMENTOS DIÁRIOS'!$G$5:$G$500,"C",'LANÇAMENTOS DIÁRIOS'!$C$5:$C$500,$A49,'LANÇAMENTOS DIÁRIOS'!$O$5:$O$500,"&lt;=99699",'LANÇAMENTOS DIÁRIOS'!$P$5:$P$500,"&gt;=99600")&gt;0,"X","")</f>
      </c>
      <c r="AH49" s="56" t="str">
        <f>IF(COUNTIFS('LANÇAMENTOS DIÁRIOS'!$G$5:$G$500,"C",'LANÇAMENTOS DIÁRIOS'!$C$5:$C$500,$A49,'LANÇAMENTOS DIÁRIOS'!$O$5:$O$500,"&lt;=99799",'LANÇAMENTOS DIÁRIOS'!$P$5:$P$500,"&gt;=99700")&gt;0,"X","")</f>
      </c>
      <c r="AI49" s="56" t="str">
        <f>IF(COUNTIFS('LANÇAMENTOS DIÁRIOS'!$G$5:$G$500,"C",'LANÇAMENTOS DIÁRIOS'!$C$5:$C$500,$A49,'LANÇAMENTOS DIÁRIOS'!$O$5:$O$500,"&lt;=99899",'LANÇAMENTOS DIÁRIOS'!$P$5:$P$500,"&gt;=99800")&gt;0,"X","")</f>
      </c>
      <c r="AJ49" s="56" t="str">
        <f>IF(COUNTIFS('LANÇAMENTOS DIÁRIOS'!$G$5:$G$500,"C",'LANÇAMENTOS DIÁRIOS'!$C$5:$C$500,$A49,'LANÇAMENTOS DIÁRIOS'!$O$5:$O$500,"&lt;=99999",'LANÇAMENTOS DIÁRIOS'!$P$5:$P$500,"&gt;=99900")&gt;0,"X","")</f>
      </c>
      <c r="AK49" s="56" t="str">
        <f>IF(COUNTIFS('LANÇAMENTOS DIÁRIOS'!$G$5:$G$500,"C",'LANÇAMENTOS DIÁRIOS'!$C$5:$C$500,$A49,'LANÇAMENTOS DIÁRIOS'!$O$5:$O$500,"&lt;=100099",'LANÇAMENTOS DIÁRIOS'!$P$5:$P$500,"&gt;=100000")&gt;0,"X","")</f>
      </c>
      <c r="AL49" s="56" t="str">
        <f>IF(COUNTIFS('LANÇAMENTOS DIÁRIOS'!$G$5:$G$500,"C",'LANÇAMENTOS DIÁRIOS'!$C$5:$C$500,$A49,'LANÇAMENTOS DIÁRIOS'!$O$5:$O$500,"&lt;=100199",'LANÇAMENTOS DIÁRIOS'!$P$5:$P$500,"&gt;=100100")&gt;0,"X","")</f>
      </c>
      <c r="AM49" s="56" t="str">
        <f>IF(COUNTIFS('LANÇAMENTOS DIÁRIOS'!$G$5:$G$500,"C",'LANÇAMENTOS DIÁRIOS'!$C$5:$C$500,$A49,'LANÇAMENTOS DIÁRIOS'!$O$5:$O$500,"&lt;=100299",'LANÇAMENTOS DIÁRIOS'!$P$5:$P$500,"&gt;=100200")&gt;0,"X","")</f>
      </c>
      <c r="AN49" s="56" t="str">
        <f>IF(COUNTIFS('LANÇAMENTOS DIÁRIOS'!$G$5:$G$500,"C",'LANÇAMENTOS DIÁRIOS'!$C$5:$C$500,$A49,'LANÇAMENTOS DIÁRIOS'!$O$5:$O$500,"&lt;=100399",'LANÇAMENTOS DIÁRIOS'!$P$5:$P$500,"&gt;=100300")&gt;0,"X","")</f>
      </c>
      <c r="AO49" s="56" t="str">
        <f>IF(COUNTIFS('LANÇAMENTOS DIÁRIOS'!$G$5:$G$500,"C",'LANÇAMENTOS DIÁRIOS'!$C$5:$C$500,$A49,'LANÇAMENTOS DIÁRIOS'!$O$5:$O$500,"&lt;=100499",'LANÇAMENTOS DIÁRIOS'!$P$5:$P$500,"&gt;=100400")&gt;0,"X","")</f>
      </c>
      <c r="AP49" s="56" t="str">
        <f>IF(COUNTIFS('LANÇAMENTOS DIÁRIOS'!$G$5:$G$500,"C",'LANÇAMENTOS DIÁRIOS'!$C$5:$C$500,$A49,'LANÇAMENTOS DIÁRIOS'!$O$5:$O$500,"&lt;=100500",'LANÇAMENTOS DIÁRIOS'!$P$5:$P$500,"&gt;=100500")&gt;0,"X","")</f>
      </c>
    </row>
    <row r="50">
      <c r="A50" s="51" t="str">
        <v>Escavação de solo mole</v>
      </c>
      <c r="B50" s="56" t="str">
        <f>IF(COUNTIFS('LANÇAMENTOS DIÁRIOS'!$G$5:$G$500,"C",'LANÇAMENTOS DIÁRIOS'!$C$5:$C$500,$A50,'LANÇAMENTOS DIÁRIOS'!$O$5:$O$500,"&lt;=96599",'LANÇAMENTOS DIÁRIOS'!$P$5:$P$500,"&gt;=96500")&gt;0,"X","")</f>
      </c>
      <c r="C50" s="56" t="str">
        <f>IF(COUNTIFS('LANÇAMENTOS DIÁRIOS'!$G$5:$G$500,"C",'LANÇAMENTOS DIÁRIOS'!$C$5:$C$500,$A50,'LANÇAMENTOS DIÁRIOS'!$O$5:$O$500,"&lt;=96699",'LANÇAMENTOS DIÁRIOS'!$P$5:$P$500,"&gt;=96600")&gt;0,"X","")</f>
      </c>
      <c r="D50" s="56" t="str">
        <f>IF(COUNTIFS('LANÇAMENTOS DIÁRIOS'!$G$5:$G$500,"C",'LANÇAMENTOS DIÁRIOS'!$C$5:$C$500,$A50,'LANÇAMENTOS DIÁRIOS'!$O$5:$O$500,"&lt;=96799",'LANÇAMENTOS DIÁRIOS'!$P$5:$P$500,"&gt;=96700")&gt;0,"X","")</f>
      </c>
      <c r="E50" s="56" t="str">
        <f>IF(COUNTIFS('LANÇAMENTOS DIÁRIOS'!$G$5:$G$500,"C",'LANÇAMENTOS DIÁRIOS'!$C$5:$C$500,$A50,'LANÇAMENTOS DIÁRIOS'!$O$5:$O$500,"&lt;=96899",'LANÇAMENTOS DIÁRIOS'!$P$5:$P$500,"&gt;=96800")&gt;0,"X","")</f>
      </c>
      <c r="F50" s="56" t="str">
        <f>IF(COUNTIFS('LANÇAMENTOS DIÁRIOS'!$G$5:$G$500,"C",'LANÇAMENTOS DIÁRIOS'!$C$5:$C$500,$A50,'LANÇAMENTOS DIÁRIOS'!$O$5:$O$500,"&lt;=96999",'LANÇAMENTOS DIÁRIOS'!$P$5:$P$500,"&gt;=96900")&gt;0,"X","")</f>
      </c>
      <c r="G50" s="56" t="str">
        <f>IF(COUNTIFS('LANÇAMENTOS DIÁRIOS'!$G$5:$G$500,"C",'LANÇAMENTOS DIÁRIOS'!$C$5:$C$500,$A50,'LANÇAMENTOS DIÁRIOS'!$O$5:$O$500,"&lt;=97099",'LANÇAMENTOS DIÁRIOS'!$P$5:$P$500,"&gt;=97000")&gt;0,"X","")</f>
      </c>
      <c r="H50" s="56" t="str">
        <f>IF(COUNTIFS('LANÇAMENTOS DIÁRIOS'!$G$5:$G$500,"C",'LANÇAMENTOS DIÁRIOS'!$C$5:$C$500,$A50,'LANÇAMENTOS DIÁRIOS'!$O$5:$O$500,"&lt;=97199",'LANÇAMENTOS DIÁRIOS'!$P$5:$P$500,"&gt;=97100")&gt;0,"X","")</f>
      </c>
      <c r="I50" s="56" t="str">
        <f>IF(COUNTIFS('LANÇAMENTOS DIÁRIOS'!$G$5:$G$500,"C",'LANÇAMENTOS DIÁRIOS'!$C$5:$C$500,$A50,'LANÇAMENTOS DIÁRIOS'!$O$5:$O$500,"&lt;=97299",'LANÇAMENTOS DIÁRIOS'!$P$5:$P$500,"&gt;=97200")&gt;0,"X","")</f>
      </c>
      <c r="J50" s="56" t="str">
        <f>IF(COUNTIFS('LANÇAMENTOS DIÁRIOS'!$G$5:$G$500,"C",'LANÇAMENTOS DIÁRIOS'!$C$5:$C$500,$A50,'LANÇAMENTOS DIÁRIOS'!$O$5:$O$500,"&lt;=97399",'LANÇAMENTOS DIÁRIOS'!$P$5:$P$500,"&gt;=97300")&gt;0,"X","")</f>
      </c>
      <c r="K50" s="56" t="str">
        <f>IF(COUNTIFS('LANÇAMENTOS DIÁRIOS'!$G$5:$G$500,"C",'LANÇAMENTOS DIÁRIOS'!$C$5:$C$500,$A50,'LANÇAMENTOS DIÁRIOS'!$O$5:$O$500,"&lt;=97499",'LANÇAMENTOS DIÁRIOS'!$P$5:$P$500,"&gt;=97400")&gt;0,"X","")</f>
      </c>
      <c r="L50" s="56" t="str">
        <f>IF(COUNTIFS('LANÇAMENTOS DIÁRIOS'!$G$5:$G$500,"C",'LANÇAMENTOS DIÁRIOS'!$C$5:$C$500,$A50,'LANÇAMENTOS DIÁRIOS'!$O$5:$O$500,"&lt;=97599",'LANÇAMENTOS DIÁRIOS'!$P$5:$P$500,"&gt;=97500")&gt;0,"X","")</f>
      </c>
      <c r="M50" s="56" t="str">
        <f>IF(COUNTIFS('LANÇAMENTOS DIÁRIOS'!$G$5:$G$500,"C",'LANÇAMENTOS DIÁRIOS'!$C$5:$C$500,$A50,'LANÇAMENTOS DIÁRIOS'!$O$5:$O$500,"&lt;=97699",'LANÇAMENTOS DIÁRIOS'!$P$5:$P$500,"&gt;=97600")&gt;0,"X","")</f>
      </c>
      <c r="N50" s="56" t="str">
        <f>IF(COUNTIFS('LANÇAMENTOS DIÁRIOS'!$G$5:$G$500,"C",'LANÇAMENTOS DIÁRIOS'!$C$5:$C$500,$A50,'LANÇAMENTOS DIÁRIOS'!$O$5:$O$500,"&lt;=97799",'LANÇAMENTOS DIÁRIOS'!$P$5:$P$500,"&gt;=97700")&gt;0,"X","")</f>
      </c>
      <c r="O50" s="56" t="str">
        <f>IF(COUNTIFS('LANÇAMENTOS DIÁRIOS'!$G$5:$G$500,"C",'LANÇAMENTOS DIÁRIOS'!$C$5:$C$500,$A50,'LANÇAMENTOS DIÁRIOS'!$O$5:$O$500,"&lt;=97899",'LANÇAMENTOS DIÁRIOS'!$P$5:$P$500,"&gt;=97800")&gt;0,"X","")</f>
      </c>
      <c r="P50" s="56" t="str">
        <f>IF(COUNTIFS('LANÇAMENTOS DIÁRIOS'!$G$5:$G$500,"C",'LANÇAMENTOS DIÁRIOS'!$C$5:$C$500,$A50,'LANÇAMENTOS DIÁRIOS'!$O$5:$O$500,"&lt;=97999",'LANÇAMENTOS DIÁRIOS'!$P$5:$P$500,"&gt;=97900")&gt;0,"X","")</f>
      </c>
      <c r="Q50" s="56" t="str">
        <f>IF(COUNTIFS('LANÇAMENTOS DIÁRIOS'!$G$5:$G$500,"C",'LANÇAMENTOS DIÁRIOS'!$C$5:$C$500,$A50,'LANÇAMENTOS DIÁRIOS'!$O$5:$O$500,"&lt;=98099",'LANÇAMENTOS DIÁRIOS'!$P$5:$P$500,"&gt;=98000")&gt;0,"X","")</f>
      </c>
      <c r="R50" s="56" t="str">
        <f>IF(COUNTIFS('LANÇAMENTOS DIÁRIOS'!$G$5:$G$500,"C",'LANÇAMENTOS DIÁRIOS'!$C$5:$C$500,$A50,'LANÇAMENTOS DIÁRIOS'!$O$5:$O$500,"&lt;=98199",'LANÇAMENTOS DIÁRIOS'!$P$5:$P$500,"&gt;=98100")&gt;0,"X","")</f>
      </c>
      <c r="S50" s="56" t="str">
        <f>IF(COUNTIFS('LANÇAMENTOS DIÁRIOS'!$G$5:$G$500,"C",'LANÇAMENTOS DIÁRIOS'!$C$5:$C$500,$A50,'LANÇAMENTOS DIÁRIOS'!$O$5:$O$500,"&lt;=98299",'LANÇAMENTOS DIÁRIOS'!$P$5:$P$500,"&gt;=98200")&gt;0,"X","")</f>
      </c>
      <c r="T50" s="56" t="str">
        <f>IF(COUNTIFS('LANÇAMENTOS DIÁRIOS'!$G$5:$G$500,"C",'LANÇAMENTOS DIÁRIOS'!$C$5:$C$500,$A50,'LANÇAMENTOS DIÁRIOS'!$O$5:$O$500,"&lt;=98399",'LANÇAMENTOS DIÁRIOS'!$P$5:$P$500,"&gt;=98300")&gt;0,"X","")</f>
      </c>
      <c r="U50" s="56" t="str">
        <f>IF(COUNTIFS('LANÇAMENTOS DIÁRIOS'!$G$5:$G$500,"C",'LANÇAMENTOS DIÁRIOS'!$C$5:$C$500,$A50,'LANÇAMENTOS DIÁRIOS'!$O$5:$O$500,"&lt;=98499",'LANÇAMENTOS DIÁRIOS'!$P$5:$P$500,"&gt;=98400")&gt;0,"X","")</f>
      </c>
      <c r="V50" s="56" t="str">
        <f>IF(COUNTIFS('LANÇAMENTOS DIÁRIOS'!$G$5:$G$500,"C",'LANÇAMENTOS DIÁRIOS'!$C$5:$C$500,$A50,'LANÇAMENTOS DIÁRIOS'!$O$5:$O$500,"&lt;=98599",'LANÇAMENTOS DIÁRIOS'!$P$5:$P$500,"&gt;=98500")&gt;0,"X","")</f>
      </c>
      <c r="W50" s="56" t="str">
        <f>IF(COUNTIFS('LANÇAMENTOS DIÁRIOS'!$G$5:$G$500,"C",'LANÇAMENTOS DIÁRIOS'!$C$5:$C$500,$A50,'LANÇAMENTOS DIÁRIOS'!$O$5:$O$500,"&lt;=98699",'LANÇAMENTOS DIÁRIOS'!$P$5:$P$500,"&gt;=98600")&gt;0,"X","")</f>
      </c>
      <c r="X50" s="56" t="str">
        <f>IF(COUNTIFS('LANÇAMENTOS DIÁRIOS'!$G$5:$G$500,"C",'LANÇAMENTOS DIÁRIOS'!$C$5:$C$500,$A50,'LANÇAMENTOS DIÁRIOS'!$O$5:$O$500,"&lt;=98799",'LANÇAMENTOS DIÁRIOS'!$P$5:$P$500,"&gt;=98700")&gt;0,"X","")</f>
      </c>
      <c r="Y50" s="56" t="str">
        <f>IF(COUNTIFS('LANÇAMENTOS DIÁRIOS'!$G$5:$G$500,"C",'LANÇAMENTOS DIÁRIOS'!$C$5:$C$500,$A50,'LANÇAMENTOS DIÁRIOS'!$O$5:$O$500,"&lt;=98899",'LANÇAMENTOS DIÁRIOS'!$P$5:$P$500,"&gt;=98800")&gt;0,"X","")</f>
      </c>
      <c r="Z50" s="56" t="str">
        <f>IF(COUNTIFS('LANÇAMENTOS DIÁRIOS'!$G$5:$G$500,"C",'LANÇAMENTOS DIÁRIOS'!$C$5:$C$500,$A50,'LANÇAMENTOS DIÁRIOS'!$O$5:$O$500,"&lt;=98999",'LANÇAMENTOS DIÁRIOS'!$P$5:$P$500,"&gt;=98900")&gt;0,"X","")</f>
      </c>
      <c r="AA50" s="56" t="str">
        <f>IF(COUNTIFS('LANÇAMENTOS DIÁRIOS'!$G$5:$G$500,"C",'LANÇAMENTOS DIÁRIOS'!$C$5:$C$500,$A50,'LANÇAMENTOS DIÁRIOS'!$O$5:$O$500,"&lt;=99099",'LANÇAMENTOS DIÁRIOS'!$P$5:$P$500,"&gt;=99000")&gt;0,"X","")</f>
      </c>
      <c r="AB50" s="56" t="str">
        <f>IF(COUNTIFS('LANÇAMENTOS DIÁRIOS'!$G$5:$G$500,"C",'LANÇAMENTOS DIÁRIOS'!$C$5:$C$500,$A50,'LANÇAMENTOS DIÁRIOS'!$O$5:$O$500,"&lt;=99199",'LANÇAMENTOS DIÁRIOS'!$P$5:$P$500,"&gt;=99100")&gt;0,"X","")</f>
      </c>
      <c r="AC50" s="56" t="str">
        <f>IF(COUNTIFS('LANÇAMENTOS DIÁRIOS'!$G$5:$G$500,"C",'LANÇAMENTOS DIÁRIOS'!$C$5:$C$500,$A50,'LANÇAMENTOS DIÁRIOS'!$O$5:$O$500,"&lt;=99299",'LANÇAMENTOS DIÁRIOS'!$P$5:$P$500,"&gt;=99200")&gt;0,"X","")</f>
      </c>
      <c r="AD50" s="56" t="str">
        <f>IF(COUNTIFS('LANÇAMENTOS DIÁRIOS'!$G$5:$G$500,"C",'LANÇAMENTOS DIÁRIOS'!$C$5:$C$500,$A50,'LANÇAMENTOS DIÁRIOS'!$O$5:$O$500,"&lt;=99399",'LANÇAMENTOS DIÁRIOS'!$P$5:$P$500,"&gt;=99300")&gt;0,"X","")</f>
      </c>
      <c r="AE50" s="56" t="str">
        <f>IF(COUNTIFS('LANÇAMENTOS DIÁRIOS'!$G$5:$G$500,"C",'LANÇAMENTOS DIÁRIOS'!$C$5:$C$500,$A50,'LANÇAMENTOS DIÁRIOS'!$O$5:$O$500,"&lt;=99499",'LANÇAMENTOS DIÁRIOS'!$P$5:$P$500,"&gt;=99400")&gt;0,"X","")</f>
      </c>
      <c r="AF50" s="56" t="str">
        <f>IF(COUNTIFS('LANÇAMENTOS DIÁRIOS'!$G$5:$G$500,"C",'LANÇAMENTOS DIÁRIOS'!$C$5:$C$500,$A50,'LANÇAMENTOS DIÁRIOS'!$O$5:$O$500,"&lt;=99599",'LANÇAMENTOS DIÁRIOS'!$P$5:$P$500,"&gt;=99500")&gt;0,"X","")</f>
      </c>
      <c r="AG50" s="56" t="str">
        <f>IF(COUNTIFS('LANÇAMENTOS DIÁRIOS'!$G$5:$G$500,"C",'LANÇAMENTOS DIÁRIOS'!$C$5:$C$500,$A50,'LANÇAMENTOS DIÁRIOS'!$O$5:$O$500,"&lt;=99699",'LANÇAMENTOS DIÁRIOS'!$P$5:$P$500,"&gt;=99600")&gt;0,"X","")</f>
      </c>
      <c r="AH50" s="56" t="str">
        <f>IF(COUNTIFS('LANÇAMENTOS DIÁRIOS'!$G$5:$G$500,"C",'LANÇAMENTOS DIÁRIOS'!$C$5:$C$500,$A50,'LANÇAMENTOS DIÁRIOS'!$O$5:$O$500,"&lt;=99799",'LANÇAMENTOS DIÁRIOS'!$P$5:$P$500,"&gt;=99700")&gt;0,"X","")</f>
      </c>
      <c r="AI50" s="56" t="str">
        <f>IF(COUNTIFS('LANÇAMENTOS DIÁRIOS'!$G$5:$G$500,"C",'LANÇAMENTOS DIÁRIOS'!$C$5:$C$500,$A50,'LANÇAMENTOS DIÁRIOS'!$O$5:$O$500,"&lt;=99899",'LANÇAMENTOS DIÁRIOS'!$P$5:$P$500,"&gt;=99800")&gt;0,"X","")</f>
      </c>
      <c r="AJ50" s="56" t="str">
        <f>IF(COUNTIFS('LANÇAMENTOS DIÁRIOS'!$G$5:$G$500,"C",'LANÇAMENTOS DIÁRIOS'!$C$5:$C$500,$A50,'LANÇAMENTOS DIÁRIOS'!$O$5:$O$500,"&lt;=99999",'LANÇAMENTOS DIÁRIOS'!$P$5:$P$500,"&gt;=99900")&gt;0,"X","")</f>
      </c>
      <c r="AK50" s="56" t="str">
        <f>IF(COUNTIFS('LANÇAMENTOS DIÁRIOS'!$G$5:$G$500,"C",'LANÇAMENTOS DIÁRIOS'!$C$5:$C$500,$A50,'LANÇAMENTOS DIÁRIOS'!$O$5:$O$500,"&lt;=100099",'LANÇAMENTOS DIÁRIOS'!$P$5:$P$500,"&gt;=100000")&gt;0,"X","")</f>
      </c>
      <c r="AL50" s="56" t="str">
        <f>IF(COUNTIFS('LANÇAMENTOS DIÁRIOS'!$G$5:$G$500,"C",'LANÇAMENTOS DIÁRIOS'!$C$5:$C$500,$A50,'LANÇAMENTOS DIÁRIOS'!$O$5:$O$500,"&lt;=100199",'LANÇAMENTOS DIÁRIOS'!$P$5:$P$500,"&gt;=100100")&gt;0,"X","")</f>
      </c>
      <c r="AM50" s="56" t="str">
        <f>IF(COUNTIFS('LANÇAMENTOS DIÁRIOS'!$G$5:$G$500,"C",'LANÇAMENTOS DIÁRIOS'!$C$5:$C$500,$A50,'LANÇAMENTOS DIÁRIOS'!$O$5:$O$500,"&lt;=100299",'LANÇAMENTOS DIÁRIOS'!$P$5:$P$500,"&gt;=100200")&gt;0,"X","")</f>
      </c>
      <c r="AN50" s="56" t="str">
        <f>IF(COUNTIFS('LANÇAMENTOS DIÁRIOS'!$G$5:$G$500,"C",'LANÇAMENTOS DIÁRIOS'!$C$5:$C$500,$A50,'LANÇAMENTOS DIÁRIOS'!$O$5:$O$500,"&lt;=100399",'LANÇAMENTOS DIÁRIOS'!$P$5:$P$500,"&gt;=100300")&gt;0,"X","")</f>
      </c>
      <c r="AO50" s="56" t="str">
        <f>IF(COUNTIFS('LANÇAMENTOS DIÁRIOS'!$G$5:$G$500,"C",'LANÇAMENTOS DIÁRIOS'!$C$5:$C$500,$A50,'LANÇAMENTOS DIÁRIOS'!$O$5:$O$500,"&lt;=100499",'LANÇAMENTOS DIÁRIOS'!$P$5:$P$500,"&gt;=100400")&gt;0,"X","")</f>
      </c>
      <c r="AP50" s="56" t="str">
        <f>IF(COUNTIFS('LANÇAMENTOS DIÁRIOS'!$G$5:$G$500,"C",'LANÇAMENTOS DIÁRIOS'!$C$5:$C$500,$A50,'LANÇAMENTOS DIÁRIOS'!$O$5:$O$500,"&lt;=100500",'LANÇAMENTOS DIÁRIOS'!$P$5:$P$500,"&gt;=100500")&gt;0,"X","")</f>
      </c>
    </row>
    <row r="51">
      <c r="A51" s="51" t="str">
        <v>Fundação / reaterro com pedra rachão</v>
      </c>
      <c r="B51" s="56" t="str">
        <f>IF(COUNTIFS('LANÇAMENTOS DIÁRIOS'!$G$5:$G$500,"C",'LANÇAMENTOS DIÁRIOS'!$C$5:$C$500,$A51,'LANÇAMENTOS DIÁRIOS'!$O$5:$O$500,"&lt;=96599",'LANÇAMENTOS DIÁRIOS'!$P$5:$P$500,"&gt;=96500")&gt;0,"X","")</f>
      </c>
      <c r="C51" s="56" t="str">
        <f>IF(COUNTIFS('LANÇAMENTOS DIÁRIOS'!$G$5:$G$500,"C",'LANÇAMENTOS DIÁRIOS'!$C$5:$C$500,$A51,'LANÇAMENTOS DIÁRIOS'!$O$5:$O$500,"&lt;=96699",'LANÇAMENTOS DIÁRIOS'!$P$5:$P$500,"&gt;=96600")&gt;0,"X","")</f>
      </c>
      <c r="D51" s="56" t="str">
        <f>IF(COUNTIFS('LANÇAMENTOS DIÁRIOS'!$G$5:$G$500,"C",'LANÇAMENTOS DIÁRIOS'!$C$5:$C$500,$A51,'LANÇAMENTOS DIÁRIOS'!$O$5:$O$500,"&lt;=96799",'LANÇAMENTOS DIÁRIOS'!$P$5:$P$500,"&gt;=96700")&gt;0,"X","")</f>
      </c>
      <c r="E51" s="56" t="str">
        <f>IF(COUNTIFS('LANÇAMENTOS DIÁRIOS'!$G$5:$G$500,"C",'LANÇAMENTOS DIÁRIOS'!$C$5:$C$500,$A51,'LANÇAMENTOS DIÁRIOS'!$O$5:$O$500,"&lt;=96899",'LANÇAMENTOS DIÁRIOS'!$P$5:$P$500,"&gt;=96800")&gt;0,"X","")</f>
      </c>
      <c r="F51" s="56" t="str">
        <f>IF(COUNTIFS('LANÇAMENTOS DIÁRIOS'!$G$5:$G$500,"C",'LANÇAMENTOS DIÁRIOS'!$C$5:$C$500,$A51,'LANÇAMENTOS DIÁRIOS'!$O$5:$O$500,"&lt;=96999",'LANÇAMENTOS DIÁRIOS'!$P$5:$P$500,"&gt;=96900")&gt;0,"X","")</f>
      </c>
      <c r="G51" s="56" t="str">
        <f>IF(COUNTIFS('LANÇAMENTOS DIÁRIOS'!$G$5:$G$500,"C",'LANÇAMENTOS DIÁRIOS'!$C$5:$C$500,$A51,'LANÇAMENTOS DIÁRIOS'!$O$5:$O$500,"&lt;=97099",'LANÇAMENTOS DIÁRIOS'!$P$5:$P$500,"&gt;=97000")&gt;0,"X","")</f>
      </c>
      <c r="H51" s="56" t="str">
        <f>IF(COUNTIFS('LANÇAMENTOS DIÁRIOS'!$G$5:$G$500,"C",'LANÇAMENTOS DIÁRIOS'!$C$5:$C$500,$A51,'LANÇAMENTOS DIÁRIOS'!$O$5:$O$500,"&lt;=97199",'LANÇAMENTOS DIÁRIOS'!$P$5:$P$500,"&gt;=97100")&gt;0,"X","")</f>
      </c>
      <c r="I51" s="56" t="str">
        <f>IF(COUNTIFS('LANÇAMENTOS DIÁRIOS'!$G$5:$G$500,"C",'LANÇAMENTOS DIÁRIOS'!$C$5:$C$500,$A51,'LANÇAMENTOS DIÁRIOS'!$O$5:$O$500,"&lt;=97299",'LANÇAMENTOS DIÁRIOS'!$P$5:$P$500,"&gt;=97200")&gt;0,"X","")</f>
      </c>
      <c r="J51" s="56" t="str">
        <f>IF(COUNTIFS('LANÇAMENTOS DIÁRIOS'!$G$5:$G$500,"C",'LANÇAMENTOS DIÁRIOS'!$C$5:$C$500,$A51,'LANÇAMENTOS DIÁRIOS'!$O$5:$O$500,"&lt;=97399",'LANÇAMENTOS DIÁRIOS'!$P$5:$P$500,"&gt;=97300")&gt;0,"X","")</f>
        <v>X</v>
      </c>
      <c r="K51" s="56" t="str">
        <f>IF(COUNTIFS('LANÇAMENTOS DIÁRIOS'!$G$5:$G$500,"C",'LANÇAMENTOS DIÁRIOS'!$C$5:$C$500,$A51,'LANÇAMENTOS DIÁRIOS'!$O$5:$O$500,"&lt;=97499",'LANÇAMENTOS DIÁRIOS'!$P$5:$P$500,"&gt;=97400")&gt;0,"X","")</f>
        <v>X</v>
      </c>
      <c r="L51" s="56" t="str">
        <f>IF(COUNTIFS('LANÇAMENTOS DIÁRIOS'!$G$5:$G$500,"C",'LANÇAMENTOS DIÁRIOS'!$C$5:$C$500,$A51,'LANÇAMENTOS DIÁRIOS'!$O$5:$O$500,"&lt;=97599",'LANÇAMENTOS DIÁRIOS'!$P$5:$P$500,"&gt;=97500")&gt;0,"X","")</f>
        <v>X</v>
      </c>
      <c r="M51" s="56" t="str">
        <f>IF(COUNTIFS('LANÇAMENTOS DIÁRIOS'!$G$5:$G$500,"C",'LANÇAMENTOS DIÁRIOS'!$C$5:$C$500,$A51,'LANÇAMENTOS DIÁRIOS'!$O$5:$O$500,"&lt;=97699",'LANÇAMENTOS DIÁRIOS'!$P$5:$P$500,"&gt;=97600")&gt;0,"X","")</f>
      </c>
      <c r="N51" s="56" t="str">
        <f>IF(COUNTIFS('LANÇAMENTOS DIÁRIOS'!$G$5:$G$500,"C",'LANÇAMENTOS DIÁRIOS'!$C$5:$C$500,$A51,'LANÇAMENTOS DIÁRIOS'!$O$5:$O$500,"&lt;=97799",'LANÇAMENTOS DIÁRIOS'!$P$5:$P$500,"&gt;=97700")&gt;0,"X","")</f>
      </c>
      <c r="O51" s="56" t="str">
        <f>IF(COUNTIFS('LANÇAMENTOS DIÁRIOS'!$G$5:$G$500,"C",'LANÇAMENTOS DIÁRIOS'!$C$5:$C$500,$A51,'LANÇAMENTOS DIÁRIOS'!$O$5:$O$500,"&lt;=97899",'LANÇAMENTOS DIÁRIOS'!$P$5:$P$500,"&gt;=97800")&gt;0,"X","")</f>
      </c>
      <c r="P51" s="56" t="str">
        <f>IF(COUNTIFS('LANÇAMENTOS DIÁRIOS'!$G$5:$G$500,"C",'LANÇAMENTOS DIÁRIOS'!$C$5:$C$500,$A51,'LANÇAMENTOS DIÁRIOS'!$O$5:$O$500,"&lt;=97999",'LANÇAMENTOS DIÁRIOS'!$P$5:$P$500,"&gt;=97900")&gt;0,"X","")</f>
      </c>
      <c r="Q51" s="56" t="str">
        <f>IF(COUNTIFS('LANÇAMENTOS DIÁRIOS'!$G$5:$G$500,"C",'LANÇAMENTOS DIÁRIOS'!$C$5:$C$500,$A51,'LANÇAMENTOS DIÁRIOS'!$O$5:$O$500,"&lt;=98099",'LANÇAMENTOS DIÁRIOS'!$P$5:$P$500,"&gt;=98000")&gt;0,"X","")</f>
      </c>
      <c r="R51" s="56" t="str">
        <f>IF(COUNTIFS('LANÇAMENTOS DIÁRIOS'!$G$5:$G$500,"C",'LANÇAMENTOS DIÁRIOS'!$C$5:$C$500,$A51,'LANÇAMENTOS DIÁRIOS'!$O$5:$O$500,"&lt;=98199",'LANÇAMENTOS DIÁRIOS'!$P$5:$P$500,"&gt;=98100")&gt;0,"X","")</f>
      </c>
      <c r="S51" s="56" t="str">
        <f>IF(COUNTIFS('LANÇAMENTOS DIÁRIOS'!$G$5:$G$500,"C",'LANÇAMENTOS DIÁRIOS'!$C$5:$C$500,$A51,'LANÇAMENTOS DIÁRIOS'!$O$5:$O$500,"&lt;=98299",'LANÇAMENTOS DIÁRIOS'!$P$5:$P$500,"&gt;=98200")&gt;0,"X","")</f>
      </c>
      <c r="T51" s="56" t="str">
        <f>IF(COUNTIFS('LANÇAMENTOS DIÁRIOS'!$G$5:$G$500,"C",'LANÇAMENTOS DIÁRIOS'!$C$5:$C$500,$A51,'LANÇAMENTOS DIÁRIOS'!$O$5:$O$500,"&lt;=98399",'LANÇAMENTOS DIÁRIOS'!$P$5:$P$500,"&gt;=98300")&gt;0,"X","")</f>
      </c>
      <c r="U51" s="56" t="str">
        <f>IF(COUNTIFS('LANÇAMENTOS DIÁRIOS'!$G$5:$G$500,"C",'LANÇAMENTOS DIÁRIOS'!$C$5:$C$500,$A51,'LANÇAMENTOS DIÁRIOS'!$O$5:$O$500,"&lt;=98499",'LANÇAMENTOS DIÁRIOS'!$P$5:$P$500,"&gt;=98400")&gt;0,"X","")</f>
      </c>
      <c r="V51" s="56" t="str">
        <f>IF(COUNTIFS('LANÇAMENTOS DIÁRIOS'!$G$5:$G$500,"C",'LANÇAMENTOS DIÁRIOS'!$C$5:$C$500,$A51,'LANÇAMENTOS DIÁRIOS'!$O$5:$O$500,"&lt;=98599",'LANÇAMENTOS DIÁRIOS'!$P$5:$P$500,"&gt;=98500")&gt;0,"X","")</f>
      </c>
      <c r="W51" s="56" t="str">
        <f>IF(COUNTIFS('LANÇAMENTOS DIÁRIOS'!$G$5:$G$500,"C",'LANÇAMENTOS DIÁRIOS'!$C$5:$C$500,$A51,'LANÇAMENTOS DIÁRIOS'!$O$5:$O$500,"&lt;=98699",'LANÇAMENTOS DIÁRIOS'!$P$5:$P$500,"&gt;=98600")&gt;0,"X","")</f>
      </c>
      <c r="X51" s="56" t="str">
        <f>IF(COUNTIFS('LANÇAMENTOS DIÁRIOS'!$G$5:$G$500,"C",'LANÇAMENTOS DIÁRIOS'!$C$5:$C$500,$A51,'LANÇAMENTOS DIÁRIOS'!$O$5:$O$500,"&lt;=98799",'LANÇAMENTOS DIÁRIOS'!$P$5:$P$500,"&gt;=98700")&gt;0,"X","")</f>
      </c>
      <c r="Y51" s="56" t="str">
        <f>IF(COUNTIFS('LANÇAMENTOS DIÁRIOS'!$G$5:$G$500,"C",'LANÇAMENTOS DIÁRIOS'!$C$5:$C$500,$A51,'LANÇAMENTOS DIÁRIOS'!$O$5:$O$500,"&lt;=98899",'LANÇAMENTOS DIÁRIOS'!$P$5:$P$500,"&gt;=98800")&gt;0,"X","")</f>
      </c>
      <c r="Z51" s="56" t="str">
        <f>IF(COUNTIFS('LANÇAMENTOS DIÁRIOS'!$G$5:$G$500,"C",'LANÇAMENTOS DIÁRIOS'!$C$5:$C$500,$A51,'LANÇAMENTOS DIÁRIOS'!$O$5:$O$500,"&lt;=98999",'LANÇAMENTOS DIÁRIOS'!$P$5:$P$500,"&gt;=98900")&gt;0,"X","")</f>
      </c>
      <c r="AA51" s="56" t="str">
        <f>IF(COUNTIFS('LANÇAMENTOS DIÁRIOS'!$G$5:$G$500,"C",'LANÇAMENTOS DIÁRIOS'!$C$5:$C$500,$A51,'LANÇAMENTOS DIÁRIOS'!$O$5:$O$500,"&lt;=99099",'LANÇAMENTOS DIÁRIOS'!$P$5:$P$500,"&gt;=99000")&gt;0,"X","")</f>
      </c>
      <c r="AB51" s="56" t="str">
        <f>IF(COUNTIFS('LANÇAMENTOS DIÁRIOS'!$G$5:$G$500,"C",'LANÇAMENTOS DIÁRIOS'!$C$5:$C$500,$A51,'LANÇAMENTOS DIÁRIOS'!$O$5:$O$500,"&lt;=99199",'LANÇAMENTOS DIÁRIOS'!$P$5:$P$500,"&gt;=99100")&gt;0,"X","")</f>
      </c>
      <c r="AC51" s="56" t="str">
        <f>IF(COUNTIFS('LANÇAMENTOS DIÁRIOS'!$G$5:$G$500,"C",'LANÇAMENTOS DIÁRIOS'!$C$5:$C$500,$A51,'LANÇAMENTOS DIÁRIOS'!$O$5:$O$500,"&lt;=99299",'LANÇAMENTOS DIÁRIOS'!$P$5:$P$500,"&gt;=99200")&gt;0,"X","")</f>
      </c>
      <c r="AD51" s="56" t="str">
        <f>IF(COUNTIFS('LANÇAMENTOS DIÁRIOS'!$G$5:$G$500,"C",'LANÇAMENTOS DIÁRIOS'!$C$5:$C$500,$A51,'LANÇAMENTOS DIÁRIOS'!$O$5:$O$500,"&lt;=99399",'LANÇAMENTOS DIÁRIOS'!$P$5:$P$500,"&gt;=99300")&gt;0,"X","")</f>
      </c>
      <c r="AE51" s="56" t="str">
        <f>IF(COUNTIFS('LANÇAMENTOS DIÁRIOS'!$G$5:$G$500,"C",'LANÇAMENTOS DIÁRIOS'!$C$5:$C$500,$A51,'LANÇAMENTOS DIÁRIOS'!$O$5:$O$500,"&lt;=99499",'LANÇAMENTOS DIÁRIOS'!$P$5:$P$500,"&gt;=99400")&gt;0,"X","")</f>
      </c>
      <c r="AF51" s="56" t="str">
        <f>IF(COUNTIFS('LANÇAMENTOS DIÁRIOS'!$G$5:$G$500,"C",'LANÇAMENTOS DIÁRIOS'!$C$5:$C$500,$A51,'LANÇAMENTOS DIÁRIOS'!$O$5:$O$500,"&lt;=99599",'LANÇAMENTOS DIÁRIOS'!$P$5:$P$500,"&gt;=99500")&gt;0,"X","")</f>
      </c>
      <c r="AG51" s="56" t="str">
        <f>IF(COUNTIFS('LANÇAMENTOS DIÁRIOS'!$G$5:$G$500,"C",'LANÇAMENTOS DIÁRIOS'!$C$5:$C$500,$A51,'LANÇAMENTOS DIÁRIOS'!$O$5:$O$500,"&lt;=99699",'LANÇAMENTOS DIÁRIOS'!$P$5:$P$500,"&gt;=99600")&gt;0,"X","")</f>
      </c>
      <c r="AH51" s="56" t="str">
        <f>IF(COUNTIFS('LANÇAMENTOS DIÁRIOS'!$G$5:$G$500,"C",'LANÇAMENTOS DIÁRIOS'!$C$5:$C$500,$A51,'LANÇAMENTOS DIÁRIOS'!$O$5:$O$500,"&lt;=99799",'LANÇAMENTOS DIÁRIOS'!$P$5:$P$500,"&gt;=99700")&gt;0,"X","")</f>
      </c>
      <c r="AI51" s="56" t="str">
        <f>IF(COUNTIFS('LANÇAMENTOS DIÁRIOS'!$G$5:$G$500,"C",'LANÇAMENTOS DIÁRIOS'!$C$5:$C$500,$A51,'LANÇAMENTOS DIÁRIOS'!$O$5:$O$500,"&lt;=99899",'LANÇAMENTOS DIÁRIOS'!$P$5:$P$500,"&gt;=99800")&gt;0,"X","")</f>
      </c>
      <c r="AJ51" s="56" t="str">
        <f>IF(COUNTIFS('LANÇAMENTOS DIÁRIOS'!$G$5:$G$500,"C",'LANÇAMENTOS DIÁRIOS'!$C$5:$C$500,$A51,'LANÇAMENTOS DIÁRIOS'!$O$5:$O$500,"&lt;=99999",'LANÇAMENTOS DIÁRIOS'!$P$5:$P$500,"&gt;=99900")&gt;0,"X","")</f>
      </c>
      <c r="AK51" s="56" t="str">
        <f>IF(COUNTIFS('LANÇAMENTOS DIÁRIOS'!$G$5:$G$500,"C",'LANÇAMENTOS DIÁRIOS'!$C$5:$C$500,$A51,'LANÇAMENTOS DIÁRIOS'!$O$5:$O$500,"&lt;=100099",'LANÇAMENTOS DIÁRIOS'!$P$5:$P$500,"&gt;=100000")&gt;0,"X","")</f>
      </c>
      <c r="AL51" s="56" t="str">
        <f>IF(COUNTIFS('LANÇAMENTOS DIÁRIOS'!$G$5:$G$500,"C",'LANÇAMENTOS DIÁRIOS'!$C$5:$C$500,$A51,'LANÇAMENTOS DIÁRIOS'!$O$5:$O$500,"&lt;=100199",'LANÇAMENTOS DIÁRIOS'!$P$5:$P$500,"&gt;=100100")&gt;0,"X","")</f>
      </c>
      <c r="AM51" s="56" t="str">
        <f>IF(COUNTIFS('LANÇAMENTOS DIÁRIOS'!$G$5:$G$500,"C",'LANÇAMENTOS DIÁRIOS'!$C$5:$C$500,$A51,'LANÇAMENTOS DIÁRIOS'!$O$5:$O$500,"&lt;=100299",'LANÇAMENTOS DIÁRIOS'!$P$5:$P$500,"&gt;=100200")&gt;0,"X","")</f>
      </c>
      <c r="AN51" s="56" t="str">
        <f>IF(COUNTIFS('LANÇAMENTOS DIÁRIOS'!$G$5:$G$500,"C",'LANÇAMENTOS DIÁRIOS'!$C$5:$C$500,$A51,'LANÇAMENTOS DIÁRIOS'!$O$5:$O$500,"&lt;=100399",'LANÇAMENTOS DIÁRIOS'!$P$5:$P$500,"&gt;=100300")&gt;0,"X","")</f>
      </c>
      <c r="AO51" s="56" t="str">
        <f>IF(COUNTIFS('LANÇAMENTOS DIÁRIOS'!$G$5:$G$500,"C",'LANÇAMENTOS DIÁRIOS'!$C$5:$C$500,$A51,'LANÇAMENTOS DIÁRIOS'!$O$5:$O$500,"&lt;=100499",'LANÇAMENTOS DIÁRIOS'!$P$5:$P$500,"&gt;=100400")&gt;0,"X","")</f>
      </c>
      <c r="AP51" s="56" t="str">
        <f>IF(COUNTIFS('LANÇAMENTOS DIÁRIOS'!$G$5:$G$500,"C",'LANÇAMENTOS DIÁRIOS'!$C$5:$C$500,$A51,'LANÇAMENTOS DIÁRIOS'!$O$5:$O$500,"&lt;=100500",'LANÇAMENTOS DIÁRIOS'!$P$5:$P$500,"&gt;=100500")&gt;0,"X","")</f>
      </c>
    </row>
    <row r="52">
      <c r="A52" s="51" t="str">
        <v>Fundação / reaterro com areia média a grossa</v>
      </c>
      <c r="B52" s="56" t="str">
        <f>IF(COUNTIFS('LANÇAMENTOS DIÁRIOS'!$G$5:$G$500,"C",'LANÇAMENTOS DIÁRIOS'!$C$5:$C$500,$A52,'LANÇAMENTOS DIÁRIOS'!$O$5:$O$500,"&lt;=96599",'LANÇAMENTOS DIÁRIOS'!$P$5:$P$500,"&gt;=96500")&gt;0,"X","")</f>
      </c>
      <c r="C52" s="56" t="str">
        <f>IF(COUNTIFS('LANÇAMENTOS DIÁRIOS'!$G$5:$G$500,"C",'LANÇAMENTOS DIÁRIOS'!$C$5:$C$500,$A52,'LANÇAMENTOS DIÁRIOS'!$O$5:$O$500,"&lt;=96699",'LANÇAMENTOS DIÁRIOS'!$P$5:$P$500,"&gt;=96600")&gt;0,"X","")</f>
      </c>
      <c r="D52" s="56" t="str">
        <f>IF(COUNTIFS('LANÇAMENTOS DIÁRIOS'!$G$5:$G$500,"C",'LANÇAMENTOS DIÁRIOS'!$C$5:$C$500,$A52,'LANÇAMENTOS DIÁRIOS'!$O$5:$O$500,"&lt;=96799",'LANÇAMENTOS DIÁRIOS'!$P$5:$P$500,"&gt;=96700")&gt;0,"X","")</f>
      </c>
      <c r="E52" s="56" t="str">
        <f>IF(COUNTIFS('LANÇAMENTOS DIÁRIOS'!$G$5:$G$500,"C",'LANÇAMENTOS DIÁRIOS'!$C$5:$C$500,$A52,'LANÇAMENTOS DIÁRIOS'!$O$5:$O$500,"&lt;=96899",'LANÇAMENTOS DIÁRIOS'!$P$5:$P$500,"&gt;=96800")&gt;0,"X","")</f>
      </c>
      <c r="F52" s="56" t="str">
        <f>IF(COUNTIFS('LANÇAMENTOS DIÁRIOS'!$G$5:$G$500,"C",'LANÇAMENTOS DIÁRIOS'!$C$5:$C$500,$A52,'LANÇAMENTOS DIÁRIOS'!$O$5:$O$500,"&lt;=96999",'LANÇAMENTOS DIÁRIOS'!$P$5:$P$500,"&gt;=96900")&gt;0,"X","")</f>
      </c>
      <c r="G52" s="56" t="str">
        <f>IF(COUNTIFS('LANÇAMENTOS DIÁRIOS'!$G$5:$G$500,"C",'LANÇAMENTOS DIÁRIOS'!$C$5:$C$500,$A52,'LANÇAMENTOS DIÁRIOS'!$O$5:$O$500,"&lt;=97099",'LANÇAMENTOS DIÁRIOS'!$P$5:$P$500,"&gt;=97000")&gt;0,"X","")</f>
      </c>
      <c r="H52" s="56" t="str">
        <f>IF(COUNTIFS('LANÇAMENTOS DIÁRIOS'!$G$5:$G$500,"C",'LANÇAMENTOS DIÁRIOS'!$C$5:$C$500,$A52,'LANÇAMENTOS DIÁRIOS'!$O$5:$O$500,"&lt;=97199",'LANÇAMENTOS DIÁRIOS'!$P$5:$P$500,"&gt;=97100")&gt;0,"X","")</f>
      </c>
      <c r="I52" s="56" t="str">
        <f>IF(COUNTIFS('LANÇAMENTOS DIÁRIOS'!$G$5:$G$500,"C",'LANÇAMENTOS DIÁRIOS'!$C$5:$C$500,$A52,'LANÇAMENTOS DIÁRIOS'!$O$5:$O$500,"&lt;=97299",'LANÇAMENTOS DIÁRIOS'!$P$5:$P$500,"&gt;=97200")&gt;0,"X","")</f>
      </c>
      <c r="J52" s="56" t="str">
        <f>IF(COUNTIFS('LANÇAMENTOS DIÁRIOS'!$G$5:$G$500,"C",'LANÇAMENTOS DIÁRIOS'!$C$5:$C$500,$A52,'LANÇAMENTOS DIÁRIOS'!$O$5:$O$500,"&lt;=97399",'LANÇAMENTOS DIÁRIOS'!$P$5:$P$500,"&gt;=97300")&gt;0,"X","")</f>
      </c>
      <c r="K52" s="56" t="str">
        <f>IF(COUNTIFS('LANÇAMENTOS DIÁRIOS'!$G$5:$G$500,"C",'LANÇAMENTOS DIÁRIOS'!$C$5:$C$500,$A52,'LANÇAMENTOS DIÁRIOS'!$O$5:$O$500,"&lt;=97499",'LANÇAMENTOS DIÁRIOS'!$P$5:$P$500,"&gt;=97400")&gt;0,"X","")</f>
      </c>
      <c r="L52" s="56" t="str">
        <f>IF(COUNTIFS('LANÇAMENTOS DIÁRIOS'!$G$5:$G$500,"C",'LANÇAMENTOS DIÁRIOS'!$C$5:$C$500,$A52,'LANÇAMENTOS DIÁRIOS'!$O$5:$O$500,"&lt;=97599",'LANÇAMENTOS DIÁRIOS'!$P$5:$P$500,"&gt;=97500")&gt;0,"X","")</f>
      </c>
      <c r="M52" s="56" t="str">
        <f>IF(COUNTIFS('LANÇAMENTOS DIÁRIOS'!$G$5:$G$500,"C",'LANÇAMENTOS DIÁRIOS'!$C$5:$C$500,$A52,'LANÇAMENTOS DIÁRIOS'!$O$5:$O$500,"&lt;=97699",'LANÇAMENTOS DIÁRIOS'!$P$5:$P$500,"&gt;=97600")&gt;0,"X","")</f>
      </c>
      <c r="N52" s="56" t="str">
        <f>IF(COUNTIFS('LANÇAMENTOS DIÁRIOS'!$G$5:$G$500,"C",'LANÇAMENTOS DIÁRIOS'!$C$5:$C$500,$A52,'LANÇAMENTOS DIÁRIOS'!$O$5:$O$500,"&lt;=97799",'LANÇAMENTOS DIÁRIOS'!$P$5:$P$500,"&gt;=97700")&gt;0,"X","")</f>
      </c>
      <c r="O52" s="56" t="str">
        <f>IF(COUNTIFS('LANÇAMENTOS DIÁRIOS'!$G$5:$G$500,"C",'LANÇAMENTOS DIÁRIOS'!$C$5:$C$500,$A52,'LANÇAMENTOS DIÁRIOS'!$O$5:$O$500,"&lt;=97899",'LANÇAMENTOS DIÁRIOS'!$P$5:$P$500,"&gt;=97800")&gt;0,"X","")</f>
      </c>
      <c r="P52" s="56" t="str">
        <f>IF(COUNTIFS('LANÇAMENTOS DIÁRIOS'!$G$5:$G$500,"C",'LANÇAMENTOS DIÁRIOS'!$C$5:$C$500,$A52,'LANÇAMENTOS DIÁRIOS'!$O$5:$O$500,"&lt;=97999",'LANÇAMENTOS DIÁRIOS'!$P$5:$P$500,"&gt;=97900")&gt;0,"X","")</f>
      </c>
      <c r="Q52" s="56" t="str">
        <f>IF(COUNTIFS('LANÇAMENTOS DIÁRIOS'!$G$5:$G$500,"C",'LANÇAMENTOS DIÁRIOS'!$C$5:$C$500,$A52,'LANÇAMENTOS DIÁRIOS'!$O$5:$O$500,"&lt;=98099",'LANÇAMENTOS DIÁRIOS'!$P$5:$P$500,"&gt;=98000")&gt;0,"X","")</f>
      </c>
      <c r="R52" s="56" t="str">
        <f>IF(COUNTIFS('LANÇAMENTOS DIÁRIOS'!$G$5:$G$500,"C",'LANÇAMENTOS DIÁRIOS'!$C$5:$C$500,$A52,'LANÇAMENTOS DIÁRIOS'!$O$5:$O$500,"&lt;=98199",'LANÇAMENTOS DIÁRIOS'!$P$5:$P$500,"&gt;=98100")&gt;0,"X","")</f>
      </c>
      <c r="S52" s="56" t="str">
        <f>IF(COUNTIFS('LANÇAMENTOS DIÁRIOS'!$G$5:$G$500,"C",'LANÇAMENTOS DIÁRIOS'!$C$5:$C$500,$A52,'LANÇAMENTOS DIÁRIOS'!$O$5:$O$500,"&lt;=98299",'LANÇAMENTOS DIÁRIOS'!$P$5:$P$500,"&gt;=98200")&gt;0,"X","")</f>
      </c>
      <c r="T52" s="56" t="str">
        <f>IF(COUNTIFS('LANÇAMENTOS DIÁRIOS'!$G$5:$G$500,"C",'LANÇAMENTOS DIÁRIOS'!$C$5:$C$500,$A52,'LANÇAMENTOS DIÁRIOS'!$O$5:$O$500,"&lt;=98399",'LANÇAMENTOS DIÁRIOS'!$P$5:$P$500,"&gt;=98300")&gt;0,"X","")</f>
      </c>
      <c r="U52" s="56" t="str">
        <f>IF(COUNTIFS('LANÇAMENTOS DIÁRIOS'!$G$5:$G$500,"C",'LANÇAMENTOS DIÁRIOS'!$C$5:$C$500,$A52,'LANÇAMENTOS DIÁRIOS'!$O$5:$O$500,"&lt;=98499",'LANÇAMENTOS DIÁRIOS'!$P$5:$P$500,"&gt;=98400")&gt;0,"X","")</f>
      </c>
      <c r="V52" s="56" t="str">
        <f>IF(COUNTIFS('LANÇAMENTOS DIÁRIOS'!$G$5:$G$500,"C",'LANÇAMENTOS DIÁRIOS'!$C$5:$C$500,$A52,'LANÇAMENTOS DIÁRIOS'!$O$5:$O$500,"&lt;=98599",'LANÇAMENTOS DIÁRIOS'!$P$5:$P$500,"&gt;=98500")&gt;0,"X","")</f>
      </c>
      <c r="W52" s="56" t="str">
        <f>IF(COUNTIFS('LANÇAMENTOS DIÁRIOS'!$G$5:$G$500,"C",'LANÇAMENTOS DIÁRIOS'!$C$5:$C$500,$A52,'LANÇAMENTOS DIÁRIOS'!$O$5:$O$500,"&lt;=98699",'LANÇAMENTOS DIÁRIOS'!$P$5:$P$500,"&gt;=98600")&gt;0,"X","")</f>
      </c>
      <c r="X52" s="56" t="str">
        <f>IF(COUNTIFS('LANÇAMENTOS DIÁRIOS'!$G$5:$G$500,"C",'LANÇAMENTOS DIÁRIOS'!$C$5:$C$500,$A52,'LANÇAMENTOS DIÁRIOS'!$O$5:$O$500,"&lt;=98799",'LANÇAMENTOS DIÁRIOS'!$P$5:$P$500,"&gt;=98700")&gt;0,"X","")</f>
      </c>
      <c r="Y52" s="56" t="str">
        <f>IF(COUNTIFS('LANÇAMENTOS DIÁRIOS'!$G$5:$G$500,"C",'LANÇAMENTOS DIÁRIOS'!$C$5:$C$500,$A52,'LANÇAMENTOS DIÁRIOS'!$O$5:$O$500,"&lt;=98899",'LANÇAMENTOS DIÁRIOS'!$P$5:$P$500,"&gt;=98800")&gt;0,"X","")</f>
      </c>
      <c r="Z52" s="56" t="str">
        <f>IF(COUNTIFS('LANÇAMENTOS DIÁRIOS'!$G$5:$G$500,"C",'LANÇAMENTOS DIÁRIOS'!$C$5:$C$500,$A52,'LANÇAMENTOS DIÁRIOS'!$O$5:$O$500,"&lt;=98999",'LANÇAMENTOS DIÁRIOS'!$P$5:$P$500,"&gt;=98900")&gt;0,"X","")</f>
      </c>
      <c r="AA52" s="56" t="str">
        <f>IF(COUNTIFS('LANÇAMENTOS DIÁRIOS'!$G$5:$G$500,"C",'LANÇAMENTOS DIÁRIOS'!$C$5:$C$500,$A52,'LANÇAMENTOS DIÁRIOS'!$O$5:$O$500,"&lt;=99099",'LANÇAMENTOS DIÁRIOS'!$P$5:$P$500,"&gt;=99000")&gt;0,"X","")</f>
      </c>
      <c r="AB52" s="56" t="str">
        <f>IF(COUNTIFS('LANÇAMENTOS DIÁRIOS'!$G$5:$G$500,"C",'LANÇAMENTOS DIÁRIOS'!$C$5:$C$500,$A52,'LANÇAMENTOS DIÁRIOS'!$O$5:$O$500,"&lt;=99199",'LANÇAMENTOS DIÁRIOS'!$P$5:$P$500,"&gt;=99100")&gt;0,"X","")</f>
      </c>
      <c r="AC52" s="56" t="str">
        <f>IF(COUNTIFS('LANÇAMENTOS DIÁRIOS'!$G$5:$G$500,"C",'LANÇAMENTOS DIÁRIOS'!$C$5:$C$500,$A52,'LANÇAMENTOS DIÁRIOS'!$O$5:$O$500,"&lt;=99299",'LANÇAMENTOS DIÁRIOS'!$P$5:$P$500,"&gt;=99200")&gt;0,"X","")</f>
      </c>
      <c r="AD52" s="56" t="str">
        <f>IF(COUNTIFS('LANÇAMENTOS DIÁRIOS'!$G$5:$G$500,"C",'LANÇAMENTOS DIÁRIOS'!$C$5:$C$500,$A52,'LANÇAMENTOS DIÁRIOS'!$O$5:$O$500,"&lt;=99399",'LANÇAMENTOS DIÁRIOS'!$P$5:$P$500,"&gt;=99300")&gt;0,"X","")</f>
      </c>
      <c r="AE52" s="56" t="str">
        <f>IF(COUNTIFS('LANÇAMENTOS DIÁRIOS'!$G$5:$G$500,"C",'LANÇAMENTOS DIÁRIOS'!$C$5:$C$500,$A52,'LANÇAMENTOS DIÁRIOS'!$O$5:$O$500,"&lt;=99499",'LANÇAMENTOS DIÁRIOS'!$P$5:$P$500,"&gt;=99400")&gt;0,"X","")</f>
      </c>
      <c r="AF52" s="56" t="str">
        <f>IF(COUNTIFS('LANÇAMENTOS DIÁRIOS'!$G$5:$G$500,"C",'LANÇAMENTOS DIÁRIOS'!$C$5:$C$500,$A52,'LANÇAMENTOS DIÁRIOS'!$O$5:$O$500,"&lt;=99599",'LANÇAMENTOS DIÁRIOS'!$P$5:$P$500,"&gt;=99500")&gt;0,"X","")</f>
      </c>
      <c r="AG52" s="56" t="str">
        <f>IF(COUNTIFS('LANÇAMENTOS DIÁRIOS'!$G$5:$G$500,"C",'LANÇAMENTOS DIÁRIOS'!$C$5:$C$500,$A52,'LANÇAMENTOS DIÁRIOS'!$O$5:$O$500,"&lt;=99699",'LANÇAMENTOS DIÁRIOS'!$P$5:$P$500,"&gt;=99600")&gt;0,"X","")</f>
      </c>
      <c r="AH52" s="56" t="str">
        <f>IF(COUNTIFS('LANÇAMENTOS DIÁRIOS'!$G$5:$G$500,"C",'LANÇAMENTOS DIÁRIOS'!$C$5:$C$500,$A52,'LANÇAMENTOS DIÁRIOS'!$O$5:$O$500,"&lt;=99799",'LANÇAMENTOS DIÁRIOS'!$P$5:$P$500,"&gt;=99700")&gt;0,"X","")</f>
      </c>
      <c r="AI52" s="56" t="str">
        <f>IF(COUNTIFS('LANÇAMENTOS DIÁRIOS'!$G$5:$G$500,"C",'LANÇAMENTOS DIÁRIOS'!$C$5:$C$500,$A52,'LANÇAMENTOS DIÁRIOS'!$O$5:$O$500,"&lt;=99899",'LANÇAMENTOS DIÁRIOS'!$P$5:$P$500,"&gt;=99800")&gt;0,"X","")</f>
      </c>
      <c r="AJ52" s="56" t="str">
        <f>IF(COUNTIFS('LANÇAMENTOS DIÁRIOS'!$G$5:$G$500,"C",'LANÇAMENTOS DIÁRIOS'!$C$5:$C$500,$A52,'LANÇAMENTOS DIÁRIOS'!$O$5:$O$500,"&lt;=99999",'LANÇAMENTOS DIÁRIOS'!$P$5:$P$500,"&gt;=99900")&gt;0,"X","")</f>
      </c>
      <c r="AK52" s="56" t="str">
        <f>IF(COUNTIFS('LANÇAMENTOS DIÁRIOS'!$G$5:$G$500,"C",'LANÇAMENTOS DIÁRIOS'!$C$5:$C$500,$A52,'LANÇAMENTOS DIÁRIOS'!$O$5:$O$500,"&lt;=100099",'LANÇAMENTOS DIÁRIOS'!$P$5:$P$500,"&gt;=100000")&gt;0,"X","")</f>
      </c>
      <c r="AL52" s="56" t="str">
        <f>IF(COUNTIFS('LANÇAMENTOS DIÁRIOS'!$G$5:$G$500,"C",'LANÇAMENTOS DIÁRIOS'!$C$5:$C$500,$A52,'LANÇAMENTOS DIÁRIOS'!$O$5:$O$500,"&lt;=100199",'LANÇAMENTOS DIÁRIOS'!$P$5:$P$500,"&gt;=100100")&gt;0,"X","")</f>
      </c>
      <c r="AM52" s="56" t="str">
        <f>IF(COUNTIFS('LANÇAMENTOS DIÁRIOS'!$G$5:$G$500,"C",'LANÇAMENTOS DIÁRIOS'!$C$5:$C$500,$A52,'LANÇAMENTOS DIÁRIOS'!$O$5:$O$500,"&lt;=100299",'LANÇAMENTOS DIÁRIOS'!$P$5:$P$500,"&gt;=100200")&gt;0,"X","")</f>
      </c>
      <c r="AN52" s="56" t="str">
        <f>IF(COUNTIFS('LANÇAMENTOS DIÁRIOS'!$G$5:$G$500,"C",'LANÇAMENTOS DIÁRIOS'!$C$5:$C$500,$A52,'LANÇAMENTOS DIÁRIOS'!$O$5:$O$500,"&lt;=100399",'LANÇAMENTOS DIÁRIOS'!$P$5:$P$500,"&gt;=100300")&gt;0,"X","")</f>
      </c>
      <c r="AO52" s="56" t="str">
        <f>IF(COUNTIFS('LANÇAMENTOS DIÁRIOS'!$G$5:$G$500,"C",'LANÇAMENTOS DIÁRIOS'!$C$5:$C$500,$A52,'LANÇAMENTOS DIÁRIOS'!$O$5:$O$500,"&lt;=100499",'LANÇAMENTOS DIÁRIOS'!$P$5:$P$500,"&gt;=100400")&gt;0,"X","")</f>
      </c>
      <c r="AP52" s="56" t="str">
        <f>IF(COUNTIFS('LANÇAMENTOS DIÁRIOS'!$G$5:$G$500,"C",'LANÇAMENTOS DIÁRIOS'!$C$5:$C$500,$A52,'LANÇAMENTOS DIÁRIOS'!$O$5:$O$500,"&lt;=100500",'LANÇAMENTOS DIÁRIOS'!$P$5:$P$500,"&gt;=100500")&gt;0,"X","")</f>
      </c>
    </row>
    <row r="53">
      <c r="A53" s="51" t="str">
        <v>Fundação / reaterro com brita graduada simples/pedrisco</v>
      </c>
      <c r="B53" s="56" t="str">
        <f>IF(COUNTIFS('LANÇAMENTOS DIÁRIOS'!$G$5:$G$500,"C",'LANÇAMENTOS DIÁRIOS'!$C$5:$C$500,$A53,'LANÇAMENTOS DIÁRIOS'!$O$5:$O$500,"&lt;=96599",'LANÇAMENTOS DIÁRIOS'!$P$5:$P$500,"&gt;=96500")&gt;0,"X","")</f>
      </c>
      <c r="C53" s="56" t="str">
        <f>IF(COUNTIFS('LANÇAMENTOS DIÁRIOS'!$G$5:$G$500,"C",'LANÇAMENTOS DIÁRIOS'!$C$5:$C$500,$A53,'LANÇAMENTOS DIÁRIOS'!$O$5:$O$500,"&lt;=96699",'LANÇAMENTOS DIÁRIOS'!$P$5:$P$500,"&gt;=96600")&gt;0,"X","")</f>
      </c>
      <c r="D53" s="56" t="str">
        <f>IF(COUNTIFS('LANÇAMENTOS DIÁRIOS'!$G$5:$G$500,"C",'LANÇAMENTOS DIÁRIOS'!$C$5:$C$500,$A53,'LANÇAMENTOS DIÁRIOS'!$O$5:$O$500,"&lt;=96799",'LANÇAMENTOS DIÁRIOS'!$P$5:$P$500,"&gt;=96700")&gt;0,"X","")</f>
      </c>
      <c r="E53" s="56" t="str">
        <f>IF(COUNTIFS('LANÇAMENTOS DIÁRIOS'!$G$5:$G$500,"C",'LANÇAMENTOS DIÁRIOS'!$C$5:$C$500,$A53,'LANÇAMENTOS DIÁRIOS'!$O$5:$O$500,"&lt;=96899",'LANÇAMENTOS DIÁRIOS'!$P$5:$P$500,"&gt;=96800")&gt;0,"X","")</f>
      </c>
      <c r="F53" s="56" t="str">
        <f>IF(COUNTIFS('LANÇAMENTOS DIÁRIOS'!$G$5:$G$500,"C",'LANÇAMENTOS DIÁRIOS'!$C$5:$C$500,$A53,'LANÇAMENTOS DIÁRIOS'!$O$5:$O$500,"&lt;=96999",'LANÇAMENTOS DIÁRIOS'!$P$5:$P$500,"&gt;=96900")&gt;0,"X","")</f>
      </c>
      <c r="G53" s="56" t="str">
        <f>IF(COUNTIFS('LANÇAMENTOS DIÁRIOS'!$G$5:$G$500,"C",'LANÇAMENTOS DIÁRIOS'!$C$5:$C$500,$A53,'LANÇAMENTOS DIÁRIOS'!$O$5:$O$500,"&lt;=97099",'LANÇAMENTOS DIÁRIOS'!$P$5:$P$500,"&gt;=97000")&gt;0,"X","")</f>
      </c>
      <c r="H53" s="56" t="str">
        <f>IF(COUNTIFS('LANÇAMENTOS DIÁRIOS'!$G$5:$G$500,"C",'LANÇAMENTOS DIÁRIOS'!$C$5:$C$500,$A53,'LANÇAMENTOS DIÁRIOS'!$O$5:$O$500,"&lt;=97199",'LANÇAMENTOS DIÁRIOS'!$P$5:$P$500,"&gt;=97100")&gt;0,"X","")</f>
      </c>
      <c r="I53" s="56" t="str">
        <f>IF(COUNTIFS('LANÇAMENTOS DIÁRIOS'!$G$5:$G$500,"C",'LANÇAMENTOS DIÁRIOS'!$C$5:$C$500,$A53,'LANÇAMENTOS DIÁRIOS'!$O$5:$O$500,"&lt;=97299",'LANÇAMENTOS DIÁRIOS'!$P$5:$P$500,"&gt;=97200")&gt;0,"X","")</f>
      </c>
      <c r="J53" s="56" t="str">
        <f>IF(COUNTIFS('LANÇAMENTOS DIÁRIOS'!$G$5:$G$500,"C",'LANÇAMENTOS DIÁRIOS'!$C$5:$C$500,$A53,'LANÇAMENTOS DIÁRIOS'!$O$5:$O$500,"&lt;=97399",'LANÇAMENTOS DIÁRIOS'!$P$5:$P$500,"&gt;=97300")&gt;0,"X","")</f>
      </c>
      <c r="K53" s="56" t="str">
        <f>IF(COUNTIFS('LANÇAMENTOS DIÁRIOS'!$G$5:$G$500,"C",'LANÇAMENTOS DIÁRIOS'!$C$5:$C$500,$A53,'LANÇAMENTOS DIÁRIOS'!$O$5:$O$500,"&lt;=97499",'LANÇAMENTOS DIÁRIOS'!$P$5:$P$500,"&gt;=97400")&gt;0,"X","")</f>
      </c>
      <c r="L53" s="56" t="str">
        <f>IF(COUNTIFS('LANÇAMENTOS DIÁRIOS'!$G$5:$G$500,"C",'LANÇAMENTOS DIÁRIOS'!$C$5:$C$500,$A53,'LANÇAMENTOS DIÁRIOS'!$O$5:$O$500,"&lt;=97599",'LANÇAMENTOS DIÁRIOS'!$P$5:$P$500,"&gt;=97500")&gt;0,"X","")</f>
      </c>
      <c r="M53" s="56" t="str">
        <f>IF(COUNTIFS('LANÇAMENTOS DIÁRIOS'!$G$5:$G$500,"C",'LANÇAMENTOS DIÁRIOS'!$C$5:$C$500,$A53,'LANÇAMENTOS DIÁRIOS'!$O$5:$O$500,"&lt;=97699",'LANÇAMENTOS DIÁRIOS'!$P$5:$P$500,"&gt;=97600")&gt;0,"X","")</f>
      </c>
      <c r="N53" s="56" t="str">
        <f>IF(COUNTIFS('LANÇAMENTOS DIÁRIOS'!$G$5:$G$500,"C",'LANÇAMENTOS DIÁRIOS'!$C$5:$C$500,$A53,'LANÇAMENTOS DIÁRIOS'!$O$5:$O$500,"&lt;=97799",'LANÇAMENTOS DIÁRIOS'!$P$5:$P$500,"&gt;=97700")&gt;0,"X","")</f>
      </c>
      <c r="O53" s="56" t="str">
        <f>IF(COUNTIFS('LANÇAMENTOS DIÁRIOS'!$G$5:$G$500,"C",'LANÇAMENTOS DIÁRIOS'!$C$5:$C$500,$A53,'LANÇAMENTOS DIÁRIOS'!$O$5:$O$500,"&lt;=97899",'LANÇAMENTOS DIÁRIOS'!$P$5:$P$500,"&gt;=97800")&gt;0,"X","")</f>
      </c>
      <c r="P53" s="56" t="str">
        <f>IF(COUNTIFS('LANÇAMENTOS DIÁRIOS'!$G$5:$G$500,"C",'LANÇAMENTOS DIÁRIOS'!$C$5:$C$500,$A53,'LANÇAMENTOS DIÁRIOS'!$O$5:$O$500,"&lt;=97999",'LANÇAMENTOS DIÁRIOS'!$P$5:$P$500,"&gt;=97900")&gt;0,"X","")</f>
      </c>
      <c r="Q53" s="56" t="str">
        <f>IF(COUNTIFS('LANÇAMENTOS DIÁRIOS'!$G$5:$G$500,"C",'LANÇAMENTOS DIÁRIOS'!$C$5:$C$500,$A53,'LANÇAMENTOS DIÁRIOS'!$O$5:$O$500,"&lt;=98099",'LANÇAMENTOS DIÁRIOS'!$P$5:$P$500,"&gt;=98000")&gt;0,"X","")</f>
      </c>
      <c r="R53" s="56" t="str">
        <f>IF(COUNTIFS('LANÇAMENTOS DIÁRIOS'!$G$5:$G$500,"C",'LANÇAMENTOS DIÁRIOS'!$C$5:$C$500,$A53,'LANÇAMENTOS DIÁRIOS'!$O$5:$O$500,"&lt;=98199",'LANÇAMENTOS DIÁRIOS'!$P$5:$P$500,"&gt;=98100")&gt;0,"X","")</f>
      </c>
      <c r="S53" s="56" t="str">
        <f>IF(COUNTIFS('LANÇAMENTOS DIÁRIOS'!$G$5:$G$500,"C",'LANÇAMENTOS DIÁRIOS'!$C$5:$C$500,$A53,'LANÇAMENTOS DIÁRIOS'!$O$5:$O$500,"&lt;=98299",'LANÇAMENTOS DIÁRIOS'!$P$5:$P$500,"&gt;=98200")&gt;0,"X","")</f>
      </c>
      <c r="T53" s="56" t="str">
        <f>IF(COUNTIFS('LANÇAMENTOS DIÁRIOS'!$G$5:$G$500,"C",'LANÇAMENTOS DIÁRIOS'!$C$5:$C$500,$A53,'LANÇAMENTOS DIÁRIOS'!$O$5:$O$500,"&lt;=98399",'LANÇAMENTOS DIÁRIOS'!$P$5:$P$500,"&gt;=98300")&gt;0,"X","")</f>
      </c>
      <c r="U53" s="56" t="str">
        <f>IF(COUNTIFS('LANÇAMENTOS DIÁRIOS'!$G$5:$G$500,"C",'LANÇAMENTOS DIÁRIOS'!$C$5:$C$500,$A53,'LANÇAMENTOS DIÁRIOS'!$O$5:$O$500,"&lt;=98499",'LANÇAMENTOS DIÁRIOS'!$P$5:$P$500,"&gt;=98400")&gt;0,"X","")</f>
      </c>
      <c r="V53" s="56" t="str">
        <f>IF(COUNTIFS('LANÇAMENTOS DIÁRIOS'!$G$5:$G$500,"C",'LANÇAMENTOS DIÁRIOS'!$C$5:$C$500,$A53,'LANÇAMENTOS DIÁRIOS'!$O$5:$O$500,"&lt;=98599",'LANÇAMENTOS DIÁRIOS'!$P$5:$P$500,"&gt;=98500")&gt;0,"X","")</f>
      </c>
      <c r="W53" s="56" t="str">
        <f>IF(COUNTIFS('LANÇAMENTOS DIÁRIOS'!$G$5:$G$500,"C",'LANÇAMENTOS DIÁRIOS'!$C$5:$C$500,$A53,'LANÇAMENTOS DIÁRIOS'!$O$5:$O$500,"&lt;=98699",'LANÇAMENTOS DIÁRIOS'!$P$5:$P$500,"&gt;=98600")&gt;0,"X","")</f>
      </c>
      <c r="X53" s="56" t="str">
        <f>IF(COUNTIFS('LANÇAMENTOS DIÁRIOS'!$G$5:$G$500,"C",'LANÇAMENTOS DIÁRIOS'!$C$5:$C$500,$A53,'LANÇAMENTOS DIÁRIOS'!$O$5:$O$500,"&lt;=98799",'LANÇAMENTOS DIÁRIOS'!$P$5:$P$500,"&gt;=98700")&gt;0,"X","")</f>
      </c>
      <c r="Y53" s="56" t="str">
        <f>IF(COUNTIFS('LANÇAMENTOS DIÁRIOS'!$G$5:$G$500,"C",'LANÇAMENTOS DIÁRIOS'!$C$5:$C$500,$A53,'LANÇAMENTOS DIÁRIOS'!$O$5:$O$500,"&lt;=98899",'LANÇAMENTOS DIÁRIOS'!$P$5:$P$500,"&gt;=98800")&gt;0,"X","")</f>
      </c>
      <c r="Z53" s="56" t="str">
        <f>IF(COUNTIFS('LANÇAMENTOS DIÁRIOS'!$G$5:$G$500,"C",'LANÇAMENTOS DIÁRIOS'!$C$5:$C$500,$A53,'LANÇAMENTOS DIÁRIOS'!$O$5:$O$500,"&lt;=98999",'LANÇAMENTOS DIÁRIOS'!$P$5:$P$500,"&gt;=98900")&gt;0,"X","")</f>
      </c>
      <c r="AA53" s="56" t="str">
        <f>IF(COUNTIFS('LANÇAMENTOS DIÁRIOS'!$G$5:$G$500,"C",'LANÇAMENTOS DIÁRIOS'!$C$5:$C$500,$A53,'LANÇAMENTOS DIÁRIOS'!$O$5:$O$500,"&lt;=99099",'LANÇAMENTOS DIÁRIOS'!$P$5:$P$500,"&gt;=99000")&gt;0,"X","")</f>
      </c>
      <c r="AB53" s="56" t="str">
        <f>IF(COUNTIFS('LANÇAMENTOS DIÁRIOS'!$G$5:$G$500,"C",'LANÇAMENTOS DIÁRIOS'!$C$5:$C$500,$A53,'LANÇAMENTOS DIÁRIOS'!$O$5:$O$500,"&lt;=99199",'LANÇAMENTOS DIÁRIOS'!$P$5:$P$500,"&gt;=99100")&gt;0,"X","")</f>
      </c>
      <c r="AC53" s="56" t="str">
        <f>IF(COUNTIFS('LANÇAMENTOS DIÁRIOS'!$G$5:$G$500,"C",'LANÇAMENTOS DIÁRIOS'!$C$5:$C$500,$A53,'LANÇAMENTOS DIÁRIOS'!$O$5:$O$500,"&lt;=99299",'LANÇAMENTOS DIÁRIOS'!$P$5:$P$500,"&gt;=99200")&gt;0,"X","")</f>
      </c>
      <c r="AD53" s="56" t="str">
        <f>IF(COUNTIFS('LANÇAMENTOS DIÁRIOS'!$G$5:$G$500,"C",'LANÇAMENTOS DIÁRIOS'!$C$5:$C$500,$A53,'LANÇAMENTOS DIÁRIOS'!$O$5:$O$500,"&lt;=99399",'LANÇAMENTOS DIÁRIOS'!$P$5:$P$500,"&gt;=99300")&gt;0,"X","")</f>
      </c>
      <c r="AE53" s="56" t="str">
        <f>IF(COUNTIFS('LANÇAMENTOS DIÁRIOS'!$G$5:$G$500,"C",'LANÇAMENTOS DIÁRIOS'!$C$5:$C$500,$A53,'LANÇAMENTOS DIÁRIOS'!$O$5:$O$500,"&lt;=99499",'LANÇAMENTOS DIÁRIOS'!$P$5:$P$500,"&gt;=99400")&gt;0,"X","")</f>
      </c>
      <c r="AF53" s="56" t="str">
        <f>IF(COUNTIFS('LANÇAMENTOS DIÁRIOS'!$G$5:$G$500,"C",'LANÇAMENTOS DIÁRIOS'!$C$5:$C$500,$A53,'LANÇAMENTOS DIÁRIOS'!$O$5:$O$500,"&lt;=99599",'LANÇAMENTOS DIÁRIOS'!$P$5:$P$500,"&gt;=99500")&gt;0,"X","")</f>
      </c>
      <c r="AG53" s="56" t="str">
        <f>IF(COUNTIFS('LANÇAMENTOS DIÁRIOS'!$G$5:$G$500,"C",'LANÇAMENTOS DIÁRIOS'!$C$5:$C$500,$A53,'LANÇAMENTOS DIÁRIOS'!$O$5:$O$500,"&lt;=99699",'LANÇAMENTOS DIÁRIOS'!$P$5:$P$500,"&gt;=99600")&gt;0,"X","")</f>
      </c>
      <c r="AH53" s="56" t="str">
        <f>IF(COUNTIFS('LANÇAMENTOS DIÁRIOS'!$G$5:$G$500,"C",'LANÇAMENTOS DIÁRIOS'!$C$5:$C$500,$A53,'LANÇAMENTOS DIÁRIOS'!$O$5:$O$500,"&lt;=99799",'LANÇAMENTOS DIÁRIOS'!$P$5:$P$500,"&gt;=99700")&gt;0,"X","")</f>
      </c>
      <c r="AI53" s="56" t="str">
        <f>IF(COUNTIFS('LANÇAMENTOS DIÁRIOS'!$G$5:$G$500,"C",'LANÇAMENTOS DIÁRIOS'!$C$5:$C$500,$A53,'LANÇAMENTOS DIÁRIOS'!$O$5:$O$500,"&lt;=99899",'LANÇAMENTOS DIÁRIOS'!$P$5:$P$500,"&gt;=99800")&gt;0,"X","")</f>
      </c>
      <c r="AJ53" s="56" t="str">
        <f>IF(COUNTIFS('LANÇAMENTOS DIÁRIOS'!$G$5:$G$500,"C",'LANÇAMENTOS DIÁRIOS'!$C$5:$C$500,$A53,'LANÇAMENTOS DIÁRIOS'!$O$5:$O$500,"&lt;=99999",'LANÇAMENTOS DIÁRIOS'!$P$5:$P$500,"&gt;=99900")&gt;0,"X","")</f>
      </c>
      <c r="AK53" s="56" t="str">
        <f>IF(COUNTIFS('LANÇAMENTOS DIÁRIOS'!$G$5:$G$500,"C",'LANÇAMENTOS DIÁRIOS'!$C$5:$C$500,$A53,'LANÇAMENTOS DIÁRIOS'!$O$5:$O$500,"&lt;=100099",'LANÇAMENTOS DIÁRIOS'!$P$5:$P$500,"&gt;=100000")&gt;0,"X","")</f>
      </c>
      <c r="AL53" s="56" t="str">
        <f>IF(COUNTIFS('LANÇAMENTOS DIÁRIOS'!$G$5:$G$500,"C",'LANÇAMENTOS DIÁRIOS'!$C$5:$C$500,$A53,'LANÇAMENTOS DIÁRIOS'!$O$5:$O$500,"&lt;=100199",'LANÇAMENTOS DIÁRIOS'!$P$5:$P$500,"&gt;=100100")&gt;0,"X","")</f>
      </c>
      <c r="AM53" s="56" t="str">
        <f>IF(COUNTIFS('LANÇAMENTOS DIÁRIOS'!$G$5:$G$500,"C",'LANÇAMENTOS DIÁRIOS'!$C$5:$C$500,$A53,'LANÇAMENTOS DIÁRIOS'!$O$5:$O$500,"&lt;=100299",'LANÇAMENTOS DIÁRIOS'!$P$5:$P$500,"&gt;=100200")&gt;0,"X","")</f>
      </c>
      <c r="AN53" s="56" t="str">
        <f>IF(COUNTIFS('LANÇAMENTOS DIÁRIOS'!$G$5:$G$500,"C",'LANÇAMENTOS DIÁRIOS'!$C$5:$C$500,$A53,'LANÇAMENTOS DIÁRIOS'!$O$5:$O$500,"&lt;=100399",'LANÇAMENTOS DIÁRIOS'!$P$5:$P$500,"&gt;=100300")&gt;0,"X","")</f>
      </c>
      <c r="AO53" s="56" t="str">
        <f>IF(COUNTIFS('LANÇAMENTOS DIÁRIOS'!$G$5:$G$500,"C",'LANÇAMENTOS DIÁRIOS'!$C$5:$C$500,$A53,'LANÇAMENTOS DIÁRIOS'!$O$5:$O$500,"&lt;=100499",'LANÇAMENTOS DIÁRIOS'!$P$5:$P$500,"&gt;=100400")&gt;0,"X","")</f>
      </c>
      <c r="AP53" s="56" t="str">
        <f>IF(COUNTIFS('LANÇAMENTOS DIÁRIOS'!$G$5:$G$500,"C",'LANÇAMENTOS DIÁRIOS'!$C$5:$C$500,$A53,'LANÇAMENTOS DIÁRIOS'!$O$5:$O$500,"&lt;=100500",'LANÇAMENTOS DIÁRIOS'!$P$5:$P$500,"&gt;=100500")&gt;0,"X","")</f>
      </c>
    </row>
    <row r="54">
      <c r="A54" s="51" t="str">
        <v>Fundação / reaterro com bica corrida</v>
      </c>
      <c r="B54" s="56" t="str">
        <f>IF(COUNTIFS('LANÇAMENTOS DIÁRIOS'!$G$5:$G$500,"C",'LANÇAMENTOS DIÁRIOS'!$C$5:$C$500,$A54,'LANÇAMENTOS DIÁRIOS'!$O$5:$O$500,"&lt;=96599",'LANÇAMENTOS DIÁRIOS'!$P$5:$P$500,"&gt;=96500")&gt;0,"X","")</f>
      </c>
      <c r="C54" s="56" t="str">
        <f>IF(COUNTIFS('LANÇAMENTOS DIÁRIOS'!$G$5:$G$500,"C",'LANÇAMENTOS DIÁRIOS'!$C$5:$C$500,$A54,'LANÇAMENTOS DIÁRIOS'!$O$5:$O$500,"&lt;=96699",'LANÇAMENTOS DIÁRIOS'!$P$5:$P$500,"&gt;=96600")&gt;0,"X","")</f>
      </c>
      <c r="D54" s="56" t="str">
        <f>IF(COUNTIFS('LANÇAMENTOS DIÁRIOS'!$G$5:$G$500,"C",'LANÇAMENTOS DIÁRIOS'!$C$5:$C$500,$A54,'LANÇAMENTOS DIÁRIOS'!$O$5:$O$500,"&lt;=96799",'LANÇAMENTOS DIÁRIOS'!$P$5:$P$500,"&gt;=96700")&gt;0,"X","")</f>
      </c>
      <c r="E54" s="56" t="str">
        <f>IF(COUNTIFS('LANÇAMENTOS DIÁRIOS'!$G$5:$G$500,"C",'LANÇAMENTOS DIÁRIOS'!$C$5:$C$500,$A54,'LANÇAMENTOS DIÁRIOS'!$O$5:$O$500,"&lt;=96899",'LANÇAMENTOS DIÁRIOS'!$P$5:$P$500,"&gt;=96800")&gt;0,"X","")</f>
      </c>
      <c r="F54" s="56" t="str">
        <f>IF(COUNTIFS('LANÇAMENTOS DIÁRIOS'!$G$5:$G$500,"C",'LANÇAMENTOS DIÁRIOS'!$C$5:$C$500,$A54,'LANÇAMENTOS DIÁRIOS'!$O$5:$O$500,"&lt;=96999",'LANÇAMENTOS DIÁRIOS'!$P$5:$P$500,"&gt;=96900")&gt;0,"X","")</f>
      </c>
      <c r="G54" s="56" t="str">
        <f>IF(COUNTIFS('LANÇAMENTOS DIÁRIOS'!$G$5:$G$500,"C",'LANÇAMENTOS DIÁRIOS'!$C$5:$C$500,$A54,'LANÇAMENTOS DIÁRIOS'!$O$5:$O$500,"&lt;=97099",'LANÇAMENTOS DIÁRIOS'!$P$5:$P$500,"&gt;=97000")&gt;0,"X","")</f>
      </c>
      <c r="H54" s="56" t="str">
        <f>IF(COUNTIFS('LANÇAMENTOS DIÁRIOS'!$G$5:$G$500,"C",'LANÇAMENTOS DIÁRIOS'!$C$5:$C$500,$A54,'LANÇAMENTOS DIÁRIOS'!$O$5:$O$500,"&lt;=97199",'LANÇAMENTOS DIÁRIOS'!$P$5:$P$500,"&gt;=97100")&gt;0,"X","")</f>
      </c>
      <c r="I54" s="56" t="str">
        <f>IF(COUNTIFS('LANÇAMENTOS DIÁRIOS'!$G$5:$G$500,"C",'LANÇAMENTOS DIÁRIOS'!$C$5:$C$500,$A54,'LANÇAMENTOS DIÁRIOS'!$O$5:$O$500,"&lt;=97299",'LANÇAMENTOS DIÁRIOS'!$P$5:$P$500,"&gt;=97200")&gt;0,"X","")</f>
      </c>
      <c r="J54" s="56" t="str">
        <f>IF(COUNTIFS('LANÇAMENTOS DIÁRIOS'!$G$5:$G$500,"C",'LANÇAMENTOS DIÁRIOS'!$C$5:$C$500,$A54,'LANÇAMENTOS DIÁRIOS'!$O$5:$O$500,"&lt;=97399",'LANÇAMENTOS DIÁRIOS'!$P$5:$P$500,"&gt;=97300")&gt;0,"X","")</f>
        <v>X</v>
      </c>
      <c r="K54" s="56" t="str">
        <f>IF(COUNTIFS('LANÇAMENTOS DIÁRIOS'!$G$5:$G$500,"C",'LANÇAMENTOS DIÁRIOS'!$C$5:$C$500,$A54,'LANÇAMENTOS DIÁRIOS'!$O$5:$O$500,"&lt;=97499",'LANÇAMENTOS DIÁRIOS'!$P$5:$P$500,"&gt;=97400")&gt;0,"X","")</f>
        <v>X</v>
      </c>
      <c r="L54" s="56" t="str">
        <f>IF(COUNTIFS('LANÇAMENTOS DIÁRIOS'!$G$5:$G$500,"C",'LANÇAMENTOS DIÁRIOS'!$C$5:$C$500,$A54,'LANÇAMENTOS DIÁRIOS'!$O$5:$O$500,"&lt;=97599",'LANÇAMENTOS DIÁRIOS'!$P$5:$P$500,"&gt;=97500")&gt;0,"X","")</f>
        <v>X</v>
      </c>
      <c r="M54" s="56" t="str">
        <f>IF(COUNTIFS('LANÇAMENTOS DIÁRIOS'!$G$5:$G$500,"C",'LANÇAMENTOS DIÁRIOS'!$C$5:$C$500,$A54,'LANÇAMENTOS DIÁRIOS'!$O$5:$O$500,"&lt;=97699",'LANÇAMENTOS DIÁRIOS'!$P$5:$P$500,"&gt;=97600")&gt;0,"X","")</f>
      </c>
      <c r="N54" s="56" t="str">
        <f>IF(COUNTIFS('LANÇAMENTOS DIÁRIOS'!$G$5:$G$500,"C",'LANÇAMENTOS DIÁRIOS'!$C$5:$C$500,$A54,'LANÇAMENTOS DIÁRIOS'!$O$5:$O$500,"&lt;=97799",'LANÇAMENTOS DIÁRIOS'!$P$5:$P$500,"&gt;=97700")&gt;0,"X","")</f>
      </c>
      <c r="O54" s="56" t="str">
        <f>IF(COUNTIFS('LANÇAMENTOS DIÁRIOS'!$G$5:$G$500,"C",'LANÇAMENTOS DIÁRIOS'!$C$5:$C$500,$A54,'LANÇAMENTOS DIÁRIOS'!$O$5:$O$500,"&lt;=97899",'LANÇAMENTOS DIÁRIOS'!$P$5:$P$500,"&gt;=97800")&gt;0,"X","")</f>
      </c>
      <c r="P54" s="56" t="str">
        <f>IF(COUNTIFS('LANÇAMENTOS DIÁRIOS'!$G$5:$G$500,"C",'LANÇAMENTOS DIÁRIOS'!$C$5:$C$500,$A54,'LANÇAMENTOS DIÁRIOS'!$O$5:$O$500,"&lt;=97999",'LANÇAMENTOS DIÁRIOS'!$P$5:$P$500,"&gt;=97900")&gt;0,"X","")</f>
      </c>
      <c r="Q54" s="56" t="str">
        <f>IF(COUNTIFS('LANÇAMENTOS DIÁRIOS'!$G$5:$G$500,"C",'LANÇAMENTOS DIÁRIOS'!$C$5:$C$500,$A54,'LANÇAMENTOS DIÁRIOS'!$O$5:$O$500,"&lt;=98099",'LANÇAMENTOS DIÁRIOS'!$P$5:$P$500,"&gt;=98000")&gt;0,"X","")</f>
      </c>
      <c r="R54" s="56" t="str">
        <f>IF(COUNTIFS('LANÇAMENTOS DIÁRIOS'!$G$5:$G$500,"C",'LANÇAMENTOS DIÁRIOS'!$C$5:$C$500,$A54,'LANÇAMENTOS DIÁRIOS'!$O$5:$O$500,"&lt;=98199",'LANÇAMENTOS DIÁRIOS'!$P$5:$P$500,"&gt;=98100")&gt;0,"X","")</f>
      </c>
      <c r="S54" s="56" t="str">
        <f>IF(COUNTIFS('LANÇAMENTOS DIÁRIOS'!$G$5:$G$500,"C",'LANÇAMENTOS DIÁRIOS'!$C$5:$C$500,$A54,'LANÇAMENTOS DIÁRIOS'!$O$5:$O$500,"&lt;=98299",'LANÇAMENTOS DIÁRIOS'!$P$5:$P$500,"&gt;=98200")&gt;0,"X","")</f>
      </c>
      <c r="T54" s="56" t="str">
        <f>IF(COUNTIFS('LANÇAMENTOS DIÁRIOS'!$G$5:$G$500,"C",'LANÇAMENTOS DIÁRIOS'!$C$5:$C$500,$A54,'LANÇAMENTOS DIÁRIOS'!$O$5:$O$500,"&lt;=98399",'LANÇAMENTOS DIÁRIOS'!$P$5:$P$500,"&gt;=98300")&gt;0,"X","")</f>
      </c>
      <c r="U54" s="56" t="str">
        <f>IF(COUNTIFS('LANÇAMENTOS DIÁRIOS'!$G$5:$G$500,"C",'LANÇAMENTOS DIÁRIOS'!$C$5:$C$500,$A54,'LANÇAMENTOS DIÁRIOS'!$O$5:$O$500,"&lt;=98499",'LANÇAMENTOS DIÁRIOS'!$P$5:$P$500,"&gt;=98400")&gt;0,"X","")</f>
      </c>
      <c r="V54" s="56" t="str">
        <f>IF(COUNTIFS('LANÇAMENTOS DIÁRIOS'!$G$5:$G$500,"C",'LANÇAMENTOS DIÁRIOS'!$C$5:$C$500,$A54,'LANÇAMENTOS DIÁRIOS'!$O$5:$O$500,"&lt;=98599",'LANÇAMENTOS DIÁRIOS'!$P$5:$P$500,"&gt;=98500")&gt;0,"X","")</f>
      </c>
      <c r="W54" s="56" t="str">
        <f>IF(COUNTIFS('LANÇAMENTOS DIÁRIOS'!$G$5:$G$500,"C",'LANÇAMENTOS DIÁRIOS'!$C$5:$C$500,$A54,'LANÇAMENTOS DIÁRIOS'!$O$5:$O$500,"&lt;=98699",'LANÇAMENTOS DIÁRIOS'!$P$5:$P$500,"&gt;=98600")&gt;0,"X","")</f>
      </c>
      <c r="X54" s="56" t="str">
        <f>IF(COUNTIFS('LANÇAMENTOS DIÁRIOS'!$G$5:$G$500,"C",'LANÇAMENTOS DIÁRIOS'!$C$5:$C$500,$A54,'LANÇAMENTOS DIÁRIOS'!$O$5:$O$500,"&lt;=98799",'LANÇAMENTOS DIÁRIOS'!$P$5:$P$500,"&gt;=98700")&gt;0,"X","")</f>
      </c>
      <c r="Y54" s="56" t="str">
        <f>IF(COUNTIFS('LANÇAMENTOS DIÁRIOS'!$G$5:$G$500,"C",'LANÇAMENTOS DIÁRIOS'!$C$5:$C$500,$A54,'LANÇAMENTOS DIÁRIOS'!$O$5:$O$500,"&lt;=98899",'LANÇAMENTOS DIÁRIOS'!$P$5:$P$500,"&gt;=98800")&gt;0,"X","")</f>
      </c>
      <c r="Z54" s="56" t="str">
        <f>IF(COUNTIFS('LANÇAMENTOS DIÁRIOS'!$G$5:$G$500,"C",'LANÇAMENTOS DIÁRIOS'!$C$5:$C$500,$A54,'LANÇAMENTOS DIÁRIOS'!$O$5:$O$500,"&lt;=98999",'LANÇAMENTOS DIÁRIOS'!$P$5:$P$500,"&gt;=98900")&gt;0,"X","")</f>
      </c>
      <c r="AA54" s="56" t="str">
        <f>IF(COUNTIFS('LANÇAMENTOS DIÁRIOS'!$G$5:$G$500,"C",'LANÇAMENTOS DIÁRIOS'!$C$5:$C$500,$A54,'LANÇAMENTOS DIÁRIOS'!$O$5:$O$500,"&lt;=99099",'LANÇAMENTOS DIÁRIOS'!$P$5:$P$500,"&gt;=99000")&gt;0,"X","")</f>
      </c>
      <c r="AB54" s="56" t="str">
        <f>IF(COUNTIFS('LANÇAMENTOS DIÁRIOS'!$G$5:$G$500,"C",'LANÇAMENTOS DIÁRIOS'!$C$5:$C$500,$A54,'LANÇAMENTOS DIÁRIOS'!$O$5:$O$500,"&lt;=99199",'LANÇAMENTOS DIÁRIOS'!$P$5:$P$500,"&gt;=99100")&gt;0,"X","")</f>
      </c>
      <c r="AC54" s="56" t="str">
        <f>IF(COUNTIFS('LANÇAMENTOS DIÁRIOS'!$G$5:$G$500,"C",'LANÇAMENTOS DIÁRIOS'!$C$5:$C$500,$A54,'LANÇAMENTOS DIÁRIOS'!$O$5:$O$500,"&lt;=99299",'LANÇAMENTOS DIÁRIOS'!$P$5:$P$500,"&gt;=99200")&gt;0,"X","")</f>
      </c>
      <c r="AD54" s="56" t="str">
        <f>IF(COUNTIFS('LANÇAMENTOS DIÁRIOS'!$G$5:$G$500,"C",'LANÇAMENTOS DIÁRIOS'!$C$5:$C$500,$A54,'LANÇAMENTOS DIÁRIOS'!$O$5:$O$500,"&lt;=99399",'LANÇAMENTOS DIÁRIOS'!$P$5:$P$500,"&gt;=99300")&gt;0,"X","")</f>
      </c>
      <c r="AE54" s="56" t="str">
        <f>IF(COUNTIFS('LANÇAMENTOS DIÁRIOS'!$G$5:$G$500,"C",'LANÇAMENTOS DIÁRIOS'!$C$5:$C$500,$A54,'LANÇAMENTOS DIÁRIOS'!$O$5:$O$500,"&lt;=99499",'LANÇAMENTOS DIÁRIOS'!$P$5:$P$500,"&gt;=99400")&gt;0,"X","")</f>
      </c>
      <c r="AF54" s="56" t="str">
        <f>IF(COUNTIFS('LANÇAMENTOS DIÁRIOS'!$G$5:$G$500,"C",'LANÇAMENTOS DIÁRIOS'!$C$5:$C$500,$A54,'LANÇAMENTOS DIÁRIOS'!$O$5:$O$500,"&lt;=99599",'LANÇAMENTOS DIÁRIOS'!$P$5:$P$500,"&gt;=99500")&gt;0,"X","")</f>
      </c>
      <c r="AG54" s="56" t="str">
        <f>IF(COUNTIFS('LANÇAMENTOS DIÁRIOS'!$G$5:$G$500,"C",'LANÇAMENTOS DIÁRIOS'!$C$5:$C$500,$A54,'LANÇAMENTOS DIÁRIOS'!$O$5:$O$500,"&lt;=99699",'LANÇAMENTOS DIÁRIOS'!$P$5:$P$500,"&gt;=99600")&gt;0,"X","")</f>
      </c>
      <c r="AH54" s="56" t="str">
        <f>IF(COUNTIFS('LANÇAMENTOS DIÁRIOS'!$G$5:$G$500,"C",'LANÇAMENTOS DIÁRIOS'!$C$5:$C$500,$A54,'LANÇAMENTOS DIÁRIOS'!$O$5:$O$500,"&lt;=99799",'LANÇAMENTOS DIÁRIOS'!$P$5:$P$500,"&gt;=99700")&gt;0,"X","")</f>
      </c>
      <c r="AI54" s="56" t="str">
        <f>IF(COUNTIFS('LANÇAMENTOS DIÁRIOS'!$G$5:$G$500,"C",'LANÇAMENTOS DIÁRIOS'!$C$5:$C$500,$A54,'LANÇAMENTOS DIÁRIOS'!$O$5:$O$500,"&lt;=99899",'LANÇAMENTOS DIÁRIOS'!$P$5:$P$500,"&gt;=99800")&gt;0,"X","")</f>
      </c>
      <c r="AJ54" s="56" t="str">
        <f>IF(COUNTIFS('LANÇAMENTOS DIÁRIOS'!$G$5:$G$500,"C",'LANÇAMENTOS DIÁRIOS'!$C$5:$C$500,$A54,'LANÇAMENTOS DIÁRIOS'!$O$5:$O$500,"&lt;=99999",'LANÇAMENTOS DIÁRIOS'!$P$5:$P$500,"&gt;=99900")&gt;0,"X","")</f>
      </c>
      <c r="AK54" s="56" t="str">
        <f>IF(COUNTIFS('LANÇAMENTOS DIÁRIOS'!$G$5:$G$500,"C",'LANÇAMENTOS DIÁRIOS'!$C$5:$C$500,$A54,'LANÇAMENTOS DIÁRIOS'!$O$5:$O$500,"&lt;=100099",'LANÇAMENTOS DIÁRIOS'!$P$5:$P$500,"&gt;=100000")&gt;0,"X","")</f>
      </c>
      <c r="AL54" s="56" t="str">
        <f>IF(COUNTIFS('LANÇAMENTOS DIÁRIOS'!$G$5:$G$500,"C",'LANÇAMENTOS DIÁRIOS'!$C$5:$C$500,$A54,'LANÇAMENTOS DIÁRIOS'!$O$5:$O$500,"&lt;=100199",'LANÇAMENTOS DIÁRIOS'!$P$5:$P$500,"&gt;=100100")&gt;0,"X","")</f>
      </c>
      <c r="AM54" s="56" t="str">
        <f>IF(COUNTIFS('LANÇAMENTOS DIÁRIOS'!$G$5:$G$500,"C",'LANÇAMENTOS DIÁRIOS'!$C$5:$C$500,$A54,'LANÇAMENTOS DIÁRIOS'!$O$5:$O$500,"&lt;=100299",'LANÇAMENTOS DIÁRIOS'!$P$5:$P$500,"&gt;=100200")&gt;0,"X","")</f>
      </c>
      <c r="AN54" s="56" t="str">
        <f>IF(COUNTIFS('LANÇAMENTOS DIÁRIOS'!$G$5:$G$500,"C",'LANÇAMENTOS DIÁRIOS'!$C$5:$C$500,$A54,'LANÇAMENTOS DIÁRIOS'!$O$5:$O$500,"&lt;=100399",'LANÇAMENTOS DIÁRIOS'!$P$5:$P$500,"&gt;=100300")&gt;0,"X","")</f>
      </c>
      <c r="AO54" s="56" t="str">
        <f>IF(COUNTIFS('LANÇAMENTOS DIÁRIOS'!$G$5:$G$500,"C",'LANÇAMENTOS DIÁRIOS'!$C$5:$C$500,$A54,'LANÇAMENTOS DIÁRIOS'!$O$5:$O$500,"&lt;=100499",'LANÇAMENTOS DIÁRIOS'!$P$5:$P$500,"&gt;=100400")&gt;0,"X","")</f>
      </c>
      <c r="AP54" s="56" t="str">
        <f>IF(COUNTIFS('LANÇAMENTOS DIÁRIOS'!$G$5:$G$500,"C",'LANÇAMENTOS DIÁRIOS'!$C$5:$C$500,$A54,'LANÇAMENTOS DIÁRIOS'!$O$5:$O$500,"&lt;=100500",'LANÇAMENTOS DIÁRIOS'!$P$5:$P$500,"&gt;=100500")&gt;0,"X","")</f>
      </c>
    </row>
    <row r="55">
      <c r="A55" s="51" t="str">
        <v>Camada drenante Brita 3/4" a 1 1/2"</v>
      </c>
      <c r="B55" s="56" t="str">
        <f>IF(COUNTIFS('LANÇAMENTOS DIÁRIOS'!$G$5:$G$500,"C",'LANÇAMENTOS DIÁRIOS'!$C$5:$C$500,$A55,'LANÇAMENTOS DIÁRIOS'!$O$5:$O$500,"&lt;=96599",'LANÇAMENTOS DIÁRIOS'!$P$5:$P$500,"&gt;=96500")&gt;0,"X","")</f>
      </c>
      <c r="C55" s="56" t="str">
        <f>IF(COUNTIFS('LANÇAMENTOS DIÁRIOS'!$G$5:$G$500,"C",'LANÇAMENTOS DIÁRIOS'!$C$5:$C$500,$A55,'LANÇAMENTOS DIÁRIOS'!$O$5:$O$500,"&lt;=96699",'LANÇAMENTOS DIÁRIOS'!$P$5:$P$500,"&gt;=96600")&gt;0,"X","")</f>
      </c>
      <c r="D55" s="56" t="str">
        <f>IF(COUNTIFS('LANÇAMENTOS DIÁRIOS'!$G$5:$G$500,"C",'LANÇAMENTOS DIÁRIOS'!$C$5:$C$500,$A55,'LANÇAMENTOS DIÁRIOS'!$O$5:$O$500,"&lt;=96799",'LANÇAMENTOS DIÁRIOS'!$P$5:$P$500,"&gt;=96700")&gt;0,"X","")</f>
      </c>
      <c r="E55" s="56" t="str">
        <f>IF(COUNTIFS('LANÇAMENTOS DIÁRIOS'!$G$5:$G$500,"C",'LANÇAMENTOS DIÁRIOS'!$C$5:$C$500,$A55,'LANÇAMENTOS DIÁRIOS'!$O$5:$O$500,"&lt;=96899",'LANÇAMENTOS DIÁRIOS'!$P$5:$P$500,"&gt;=96800")&gt;0,"X","")</f>
      </c>
      <c r="F55" s="56" t="str">
        <f>IF(COUNTIFS('LANÇAMENTOS DIÁRIOS'!$G$5:$G$500,"C",'LANÇAMENTOS DIÁRIOS'!$C$5:$C$500,$A55,'LANÇAMENTOS DIÁRIOS'!$O$5:$O$500,"&lt;=96999",'LANÇAMENTOS DIÁRIOS'!$P$5:$P$500,"&gt;=96900")&gt;0,"X","")</f>
      </c>
      <c r="G55" s="56" t="str">
        <f>IF(COUNTIFS('LANÇAMENTOS DIÁRIOS'!$G$5:$G$500,"C",'LANÇAMENTOS DIÁRIOS'!$C$5:$C$500,$A55,'LANÇAMENTOS DIÁRIOS'!$O$5:$O$500,"&lt;=97099",'LANÇAMENTOS DIÁRIOS'!$P$5:$P$500,"&gt;=97000")&gt;0,"X","")</f>
      </c>
      <c r="H55" s="56" t="str">
        <f>IF(COUNTIFS('LANÇAMENTOS DIÁRIOS'!$G$5:$G$500,"C",'LANÇAMENTOS DIÁRIOS'!$C$5:$C$500,$A55,'LANÇAMENTOS DIÁRIOS'!$O$5:$O$500,"&lt;=97199",'LANÇAMENTOS DIÁRIOS'!$P$5:$P$500,"&gt;=97100")&gt;0,"X","")</f>
      </c>
      <c r="I55" s="56" t="str">
        <f>IF(COUNTIFS('LANÇAMENTOS DIÁRIOS'!$G$5:$G$500,"C",'LANÇAMENTOS DIÁRIOS'!$C$5:$C$500,$A55,'LANÇAMENTOS DIÁRIOS'!$O$5:$O$500,"&lt;=97299",'LANÇAMENTOS DIÁRIOS'!$P$5:$P$500,"&gt;=97200")&gt;0,"X","")</f>
      </c>
      <c r="J55" s="56" t="str">
        <f>IF(COUNTIFS('LANÇAMENTOS DIÁRIOS'!$G$5:$G$500,"C",'LANÇAMENTOS DIÁRIOS'!$C$5:$C$500,$A55,'LANÇAMENTOS DIÁRIOS'!$O$5:$O$500,"&lt;=97399",'LANÇAMENTOS DIÁRIOS'!$P$5:$P$500,"&gt;=97300")&gt;0,"X","")</f>
      </c>
      <c r="K55" s="56" t="str">
        <f>IF(COUNTIFS('LANÇAMENTOS DIÁRIOS'!$G$5:$G$500,"C",'LANÇAMENTOS DIÁRIOS'!$C$5:$C$500,$A55,'LANÇAMENTOS DIÁRIOS'!$O$5:$O$500,"&lt;=97499",'LANÇAMENTOS DIÁRIOS'!$P$5:$P$500,"&gt;=97400")&gt;0,"X","")</f>
      </c>
      <c r="L55" s="56" t="str">
        <f>IF(COUNTIFS('LANÇAMENTOS DIÁRIOS'!$G$5:$G$500,"C",'LANÇAMENTOS DIÁRIOS'!$C$5:$C$500,$A55,'LANÇAMENTOS DIÁRIOS'!$O$5:$O$500,"&lt;=97599",'LANÇAMENTOS DIÁRIOS'!$P$5:$P$500,"&gt;=97500")&gt;0,"X","")</f>
      </c>
      <c r="M55" s="56" t="str">
        <f>IF(COUNTIFS('LANÇAMENTOS DIÁRIOS'!$G$5:$G$500,"C",'LANÇAMENTOS DIÁRIOS'!$C$5:$C$500,$A55,'LANÇAMENTOS DIÁRIOS'!$O$5:$O$500,"&lt;=97699",'LANÇAMENTOS DIÁRIOS'!$P$5:$P$500,"&gt;=97600")&gt;0,"X","")</f>
      </c>
      <c r="N55" s="56" t="str">
        <f>IF(COUNTIFS('LANÇAMENTOS DIÁRIOS'!$G$5:$G$500,"C",'LANÇAMENTOS DIÁRIOS'!$C$5:$C$500,$A55,'LANÇAMENTOS DIÁRIOS'!$O$5:$O$500,"&lt;=97799",'LANÇAMENTOS DIÁRIOS'!$P$5:$P$500,"&gt;=97700")&gt;0,"X","")</f>
      </c>
      <c r="O55" s="56" t="str">
        <f>IF(COUNTIFS('LANÇAMENTOS DIÁRIOS'!$G$5:$G$500,"C",'LANÇAMENTOS DIÁRIOS'!$C$5:$C$500,$A55,'LANÇAMENTOS DIÁRIOS'!$O$5:$O$500,"&lt;=97899",'LANÇAMENTOS DIÁRIOS'!$P$5:$P$500,"&gt;=97800")&gt;0,"X","")</f>
      </c>
      <c r="P55" s="56" t="str">
        <f>IF(COUNTIFS('LANÇAMENTOS DIÁRIOS'!$G$5:$G$500,"C",'LANÇAMENTOS DIÁRIOS'!$C$5:$C$500,$A55,'LANÇAMENTOS DIÁRIOS'!$O$5:$O$500,"&lt;=97999",'LANÇAMENTOS DIÁRIOS'!$P$5:$P$500,"&gt;=97900")&gt;0,"X","")</f>
      </c>
      <c r="Q55" s="56" t="str">
        <f>IF(COUNTIFS('LANÇAMENTOS DIÁRIOS'!$G$5:$G$500,"C",'LANÇAMENTOS DIÁRIOS'!$C$5:$C$500,$A55,'LANÇAMENTOS DIÁRIOS'!$O$5:$O$500,"&lt;=98099",'LANÇAMENTOS DIÁRIOS'!$P$5:$P$500,"&gt;=98000")&gt;0,"X","")</f>
      </c>
      <c r="R55" s="56" t="str">
        <f>IF(COUNTIFS('LANÇAMENTOS DIÁRIOS'!$G$5:$G$500,"C",'LANÇAMENTOS DIÁRIOS'!$C$5:$C$500,$A55,'LANÇAMENTOS DIÁRIOS'!$O$5:$O$500,"&lt;=98199",'LANÇAMENTOS DIÁRIOS'!$P$5:$P$500,"&gt;=98100")&gt;0,"X","")</f>
      </c>
      <c r="S55" s="56" t="str">
        <f>IF(COUNTIFS('LANÇAMENTOS DIÁRIOS'!$G$5:$G$500,"C",'LANÇAMENTOS DIÁRIOS'!$C$5:$C$500,$A55,'LANÇAMENTOS DIÁRIOS'!$O$5:$O$500,"&lt;=98299",'LANÇAMENTOS DIÁRIOS'!$P$5:$P$500,"&gt;=98200")&gt;0,"X","")</f>
      </c>
      <c r="T55" s="56" t="str">
        <f>IF(COUNTIFS('LANÇAMENTOS DIÁRIOS'!$G$5:$G$500,"C",'LANÇAMENTOS DIÁRIOS'!$C$5:$C$500,$A55,'LANÇAMENTOS DIÁRIOS'!$O$5:$O$500,"&lt;=98399",'LANÇAMENTOS DIÁRIOS'!$P$5:$P$500,"&gt;=98300")&gt;0,"X","")</f>
      </c>
      <c r="U55" s="56" t="str">
        <f>IF(COUNTIFS('LANÇAMENTOS DIÁRIOS'!$G$5:$G$500,"C",'LANÇAMENTOS DIÁRIOS'!$C$5:$C$500,$A55,'LANÇAMENTOS DIÁRIOS'!$O$5:$O$500,"&lt;=98499",'LANÇAMENTOS DIÁRIOS'!$P$5:$P$500,"&gt;=98400")&gt;0,"X","")</f>
      </c>
      <c r="V55" s="56" t="str">
        <f>IF(COUNTIFS('LANÇAMENTOS DIÁRIOS'!$G$5:$G$500,"C",'LANÇAMENTOS DIÁRIOS'!$C$5:$C$500,$A55,'LANÇAMENTOS DIÁRIOS'!$O$5:$O$500,"&lt;=98599",'LANÇAMENTOS DIÁRIOS'!$P$5:$P$500,"&gt;=98500")&gt;0,"X","")</f>
      </c>
      <c r="W55" s="56" t="str">
        <f>IF(COUNTIFS('LANÇAMENTOS DIÁRIOS'!$G$5:$G$500,"C",'LANÇAMENTOS DIÁRIOS'!$C$5:$C$500,$A55,'LANÇAMENTOS DIÁRIOS'!$O$5:$O$500,"&lt;=98699",'LANÇAMENTOS DIÁRIOS'!$P$5:$P$500,"&gt;=98600")&gt;0,"X","")</f>
      </c>
      <c r="X55" s="56" t="str">
        <f>IF(COUNTIFS('LANÇAMENTOS DIÁRIOS'!$G$5:$G$500,"C",'LANÇAMENTOS DIÁRIOS'!$C$5:$C$500,$A55,'LANÇAMENTOS DIÁRIOS'!$O$5:$O$500,"&lt;=98799",'LANÇAMENTOS DIÁRIOS'!$P$5:$P$500,"&gt;=98700")&gt;0,"X","")</f>
      </c>
      <c r="Y55" s="56" t="str">
        <f>IF(COUNTIFS('LANÇAMENTOS DIÁRIOS'!$G$5:$G$500,"C",'LANÇAMENTOS DIÁRIOS'!$C$5:$C$500,$A55,'LANÇAMENTOS DIÁRIOS'!$O$5:$O$500,"&lt;=98899",'LANÇAMENTOS DIÁRIOS'!$P$5:$P$500,"&gt;=98800")&gt;0,"X","")</f>
      </c>
      <c r="Z55" s="56" t="str">
        <f>IF(COUNTIFS('LANÇAMENTOS DIÁRIOS'!$G$5:$G$500,"C",'LANÇAMENTOS DIÁRIOS'!$C$5:$C$500,$A55,'LANÇAMENTOS DIÁRIOS'!$O$5:$O$500,"&lt;=98999",'LANÇAMENTOS DIÁRIOS'!$P$5:$P$500,"&gt;=98900")&gt;0,"X","")</f>
      </c>
      <c r="AA55" s="56" t="str">
        <f>IF(COUNTIFS('LANÇAMENTOS DIÁRIOS'!$G$5:$G$500,"C",'LANÇAMENTOS DIÁRIOS'!$C$5:$C$500,$A55,'LANÇAMENTOS DIÁRIOS'!$O$5:$O$500,"&lt;=99099",'LANÇAMENTOS DIÁRIOS'!$P$5:$P$500,"&gt;=99000")&gt;0,"X","")</f>
      </c>
      <c r="AB55" s="56" t="str">
        <f>IF(COUNTIFS('LANÇAMENTOS DIÁRIOS'!$G$5:$G$500,"C",'LANÇAMENTOS DIÁRIOS'!$C$5:$C$500,$A55,'LANÇAMENTOS DIÁRIOS'!$O$5:$O$500,"&lt;=99199",'LANÇAMENTOS DIÁRIOS'!$P$5:$P$500,"&gt;=99100")&gt;0,"X","")</f>
      </c>
      <c r="AC55" s="56" t="str">
        <f>IF(COUNTIFS('LANÇAMENTOS DIÁRIOS'!$G$5:$G$500,"C",'LANÇAMENTOS DIÁRIOS'!$C$5:$C$500,$A55,'LANÇAMENTOS DIÁRIOS'!$O$5:$O$500,"&lt;=99299",'LANÇAMENTOS DIÁRIOS'!$P$5:$P$500,"&gt;=99200")&gt;0,"X","")</f>
      </c>
      <c r="AD55" s="56" t="str">
        <f>IF(COUNTIFS('LANÇAMENTOS DIÁRIOS'!$G$5:$G$500,"C",'LANÇAMENTOS DIÁRIOS'!$C$5:$C$500,$A55,'LANÇAMENTOS DIÁRIOS'!$O$5:$O$500,"&lt;=99399",'LANÇAMENTOS DIÁRIOS'!$P$5:$P$500,"&gt;=99300")&gt;0,"X","")</f>
      </c>
      <c r="AE55" s="56" t="str">
        <f>IF(COUNTIFS('LANÇAMENTOS DIÁRIOS'!$G$5:$G$500,"C",'LANÇAMENTOS DIÁRIOS'!$C$5:$C$500,$A55,'LANÇAMENTOS DIÁRIOS'!$O$5:$O$500,"&lt;=99499",'LANÇAMENTOS DIÁRIOS'!$P$5:$P$500,"&gt;=99400")&gt;0,"X","")</f>
      </c>
      <c r="AF55" s="56" t="str">
        <f>IF(COUNTIFS('LANÇAMENTOS DIÁRIOS'!$G$5:$G$500,"C",'LANÇAMENTOS DIÁRIOS'!$C$5:$C$500,$A55,'LANÇAMENTOS DIÁRIOS'!$O$5:$O$500,"&lt;=99599",'LANÇAMENTOS DIÁRIOS'!$P$5:$P$500,"&gt;=99500")&gt;0,"X","")</f>
      </c>
      <c r="AG55" s="56" t="str">
        <f>IF(COUNTIFS('LANÇAMENTOS DIÁRIOS'!$G$5:$G$500,"C",'LANÇAMENTOS DIÁRIOS'!$C$5:$C$500,$A55,'LANÇAMENTOS DIÁRIOS'!$O$5:$O$500,"&lt;=99699",'LANÇAMENTOS DIÁRIOS'!$P$5:$P$500,"&gt;=99600")&gt;0,"X","")</f>
      </c>
      <c r="AH55" s="56" t="str">
        <f>IF(COUNTIFS('LANÇAMENTOS DIÁRIOS'!$G$5:$G$500,"C",'LANÇAMENTOS DIÁRIOS'!$C$5:$C$500,$A55,'LANÇAMENTOS DIÁRIOS'!$O$5:$O$500,"&lt;=99799",'LANÇAMENTOS DIÁRIOS'!$P$5:$P$500,"&gt;=99700")&gt;0,"X","")</f>
      </c>
      <c r="AI55" s="56" t="str">
        <f>IF(COUNTIFS('LANÇAMENTOS DIÁRIOS'!$G$5:$G$500,"C",'LANÇAMENTOS DIÁRIOS'!$C$5:$C$500,$A55,'LANÇAMENTOS DIÁRIOS'!$O$5:$O$500,"&lt;=99899",'LANÇAMENTOS DIÁRIOS'!$P$5:$P$500,"&gt;=99800")&gt;0,"X","")</f>
      </c>
      <c r="AJ55" s="56" t="str">
        <f>IF(COUNTIFS('LANÇAMENTOS DIÁRIOS'!$G$5:$G$500,"C",'LANÇAMENTOS DIÁRIOS'!$C$5:$C$500,$A55,'LANÇAMENTOS DIÁRIOS'!$O$5:$O$500,"&lt;=99999",'LANÇAMENTOS DIÁRIOS'!$P$5:$P$500,"&gt;=99900")&gt;0,"X","")</f>
      </c>
      <c r="AK55" s="56" t="str">
        <f>IF(COUNTIFS('LANÇAMENTOS DIÁRIOS'!$G$5:$G$500,"C",'LANÇAMENTOS DIÁRIOS'!$C$5:$C$500,$A55,'LANÇAMENTOS DIÁRIOS'!$O$5:$O$500,"&lt;=100099",'LANÇAMENTOS DIÁRIOS'!$P$5:$P$500,"&gt;=100000")&gt;0,"X","")</f>
      </c>
      <c r="AL55" s="56" t="str">
        <f>IF(COUNTIFS('LANÇAMENTOS DIÁRIOS'!$G$5:$G$500,"C",'LANÇAMENTOS DIÁRIOS'!$C$5:$C$500,$A55,'LANÇAMENTOS DIÁRIOS'!$O$5:$O$500,"&lt;=100199",'LANÇAMENTOS DIÁRIOS'!$P$5:$P$500,"&gt;=100100")&gt;0,"X","")</f>
      </c>
      <c r="AM55" s="56" t="str">
        <f>IF(COUNTIFS('LANÇAMENTOS DIÁRIOS'!$G$5:$G$500,"C",'LANÇAMENTOS DIÁRIOS'!$C$5:$C$500,$A55,'LANÇAMENTOS DIÁRIOS'!$O$5:$O$500,"&lt;=100299",'LANÇAMENTOS DIÁRIOS'!$P$5:$P$500,"&gt;=100200")&gt;0,"X","")</f>
      </c>
      <c r="AN55" s="56" t="str">
        <f>IF(COUNTIFS('LANÇAMENTOS DIÁRIOS'!$G$5:$G$500,"C",'LANÇAMENTOS DIÁRIOS'!$C$5:$C$500,$A55,'LANÇAMENTOS DIÁRIOS'!$O$5:$O$500,"&lt;=100399",'LANÇAMENTOS DIÁRIOS'!$P$5:$P$500,"&gt;=100300")&gt;0,"X","")</f>
      </c>
      <c r="AO55" s="56" t="str">
        <f>IF(COUNTIFS('LANÇAMENTOS DIÁRIOS'!$G$5:$G$500,"C",'LANÇAMENTOS DIÁRIOS'!$C$5:$C$500,$A55,'LANÇAMENTOS DIÁRIOS'!$O$5:$O$500,"&lt;=100499",'LANÇAMENTOS DIÁRIOS'!$P$5:$P$500,"&gt;=100400")&gt;0,"X","")</f>
      </c>
      <c r="AP55" s="56" t="str">
        <f>IF(COUNTIFS('LANÇAMENTOS DIÁRIOS'!$G$5:$G$500,"C",'LANÇAMENTOS DIÁRIOS'!$C$5:$C$500,$A55,'LANÇAMENTOS DIÁRIOS'!$O$5:$O$500,"&lt;=100500",'LANÇAMENTOS DIÁRIOS'!$P$5:$P$500,"&gt;=100500")&gt;0,"X","")</f>
      </c>
    </row>
    <row r="56">
      <c r="A56" s="51" t="str">
        <v>Estaca de brita ø 0,80 m</v>
      </c>
      <c r="B56" s="56" t="str">
        <f>IF(COUNTIFS('LANÇAMENTOS DIÁRIOS'!$G$5:$G$500,"C",'LANÇAMENTOS DIÁRIOS'!$C$5:$C$500,$A56,'LANÇAMENTOS DIÁRIOS'!$O$5:$O$500,"&lt;=96599",'LANÇAMENTOS DIÁRIOS'!$P$5:$P$500,"&gt;=96500")&gt;0,"X","")</f>
      </c>
      <c r="C56" s="56" t="str">
        <f>IF(COUNTIFS('LANÇAMENTOS DIÁRIOS'!$G$5:$G$500,"C",'LANÇAMENTOS DIÁRIOS'!$C$5:$C$500,$A56,'LANÇAMENTOS DIÁRIOS'!$O$5:$O$500,"&lt;=96699",'LANÇAMENTOS DIÁRIOS'!$P$5:$P$500,"&gt;=96600")&gt;0,"X","")</f>
      </c>
      <c r="D56" s="56" t="str">
        <f>IF(COUNTIFS('LANÇAMENTOS DIÁRIOS'!$G$5:$G$500,"C",'LANÇAMENTOS DIÁRIOS'!$C$5:$C$500,$A56,'LANÇAMENTOS DIÁRIOS'!$O$5:$O$500,"&lt;=96799",'LANÇAMENTOS DIÁRIOS'!$P$5:$P$500,"&gt;=96700")&gt;0,"X","")</f>
      </c>
      <c r="E56" s="56" t="str">
        <f>IF(COUNTIFS('LANÇAMENTOS DIÁRIOS'!$G$5:$G$500,"C",'LANÇAMENTOS DIÁRIOS'!$C$5:$C$500,$A56,'LANÇAMENTOS DIÁRIOS'!$O$5:$O$500,"&lt;=96899",'LANÇAMENTOS DIÁRIOS'!$P$5:$P$500,"&gt;=96800")&gt;0,"X","")</f>
      </c>
      <c r="F56" s="56" t="str">
        <f>IF(COUNTIFS('LANÇAMENTOS DIÁRIOS'!$G$5:$G$500,"C",'LANÇAMENTOS DIÁRIOS'!$C$5:$C$500,$A56,'LANÇAMENTOS DIÁRIOS'!$O$5:$O$500,"&lt;=96999",'LANÇAMENTOS DIÁRIOS'!$P$5:$P$500,"&gt;=96900")&gt;0,"X","")</f>
      </c>
      <c r="G56" s="56" t="str">
        <f>IF(COUNTIFS('LANÇAMENTOS DIÁRIOS'!$G$5:$G$500,"C",'LANÇAMENTOS DIÁRIOS'!$C$5:$C$500,$A56,'LANÇAMENTOS DIÁRIOS'!$O$5:$O$500,"&lt;=97099",'LANÇAMENTOS DIÁRIOS'!$P$5:$P$500,"&gt;=97000")&gt;0,"X","")</f>
      </c>
      <c r="H56" s="56" t="str">
        <f>IF(COUNTIFS('LANÇAMENTOS DIÁRIOS'!$G$5:$G$500,"C",'LANÇAMENTOS DIÁRIOS'!$C$5:$C$500,$A56,'LANÇAMENTOS DIÁRIOS'!$O$5:$O$500,"&lt;=97199",'LANÇAMENTOS DIÁRIOS'!$P$5:$P$500,"&gt;=97100")&gt;0,"X","")</f>
      </c>
      <c r="I56" s="56" t="str">
        <f>IF(COUNTIFS('LANÇAMENTOS DIÁRIOS'!$G$5:$G$500,"C",'LANÇAMENTOS DIÁRIOS'!$C$5:$C$500,$A56,'LANÇAMENTOS DIÁRIOS'!$O$5:$O$500,"&lt;=97299",'LANÇAMENTOS DIÁRIOS'!$P$5:$P$500,"&gt;=97200")&gt;0,"X","")</f>
      </c>
      <c r="J56" s="56" t="str">
        <f>IF(COUNTIFS('LANÇAMENTOS DIÁRIOS'!$G$5:$G$500,"C",'LANÇAMENTOS DIÁRIOS'!$C$5:$C$500,$A56,'LANÇAMENTOS DIÁRIOS'!$O$5:$O$500,"&lt;=97399",'LANÇAMENTOS DIÁRIOS'!$P$5:$P$500,"&gt;=97300")&gt;0,"X","")</f>
      </c>
      <c r="K56" s="56" t="str">
        <f>IF(COUNTIFS('LANÇAMENTOS DIÁRIOS'!$G$5:$G$500,"C",'LANÇAMENTOS DIÁRIOS'!$C$5:$C$500,$A56,'LANÇAMENTOS DIÁRIOS'!$O$5:$O$500,"&lt;=97499",'LANÇAMENTOS DIÁRIOS'!$P$5:$P$500,"&gt;=97400")&gt;0,"X","")</f>
      </c>
      <c r="L56" s="56" t="str">
        <f>IF(COUNTIFS('LANÇAMENTOS DIÁRIOS'!$G$5:$G$500,"C",'LANÇAMENTOS DIÁRIOS'!$C$5:$C$500,$A56,'LANÇAMENTOS DIÁRIOS'!$O$5:$O$500,"&lt;=97599",'LANÇAMENTOS DIÁRIOS'!$P$5:$P$500,"&gt;=97500")&gt;0,"X","")</f>
      </c>
      <c r="M56" s="56" t="str">
        <f>IF(COUNTIFS('LANÇAMENTOS DIÁRIOS'!$G$5:$G$500,"C",'LANÇAMENTOS DIÁRIOS'!$C$5:$C$500,$A56,'LANÇAMENTOS DIÁRIOS'!$O$5:$O$500,"&lt;=97699",'LANÇAMENTOS DIÁRIOS'!$P$5:$P$500,"&gt;=97600")&gt;0,"X","")</f>
      </c>
      <c r="N56" s="56" t="str">
        <f>IF(COUNTIFS('LANÇAMENTOS DIÁRIOS'!$G$5:$G$500,"C",'LANÇAMENTOS DIÁRIOS'!$C$5:$C$500,$A56,'LANÇAMENTOS DIÁRIOS'!$O$5:$O$500,"&lt;=97799",'LANÇAMENTOS DIÁRIOS'!$P$5:$P$500,"&gt;=97700")&gt;0,"X","")</f>
      </c>
      <c r="O56" s="56" t="str">
        <f>IF(COUNTIFS('LANÇAMENTOS DIÁRIOS'!$G$5:$G$500,"C",'LANÇAMENTOS DIÁRIOS'!$C$5:$C$500,$A56,'LANÇAMENTOS DIÁRIOS'!$O$5:$O$500,"&lt;=97899",'LANÇAMENTOS DIÁRIOS'!$P$5:$P$500,"&gt;=97800")&gt;0,"X","")</f>
      </c>
      <c r="P56" s="56" t="str">
        <f>IF(COUNTIFS('LANÇAMENTOS DIÁRIOS'!$G$5:$G$500,"C",'LANÇAMENTOS DIÁRIOS'!$C$5:$C$500,$A56,'LANÇAMENTOS DIÁRIOS'!$O$5:$O$500,"&lt;=97999",'LANÇAMENTOS DIÁRIOS'!$P$5:$P$500,"&gt;=97900")&gt;0,"X","")</f>
      </c>
      <c r="Q56" s="56" t="str">
        <f>IF(COUNTIFS('LANÇAMENTOS DIÁRIOS'!$G$5:$G$500,"C",'LANÇAMENTOS DIÁRIOS'!$C$5:$C$500,$A56,'LANÇAMENTOS DIÁRIOS'!$O$5:$O$500,"&lt;=98099",'LANÇAMENTOS DIÁRIOS'!$P$5:$P$500,"&gt;=98000")&gt;0,"X","")</f>
      </c>
      <c r="R56" s="56" t="str">
        <f>IF(COUNTIFS('LANÇAMENTOS DIÁRIOS'!$G$5:$G$500,"C",'LANÇAMENTOS DIÁRIOS'!$C$5:$C$500,$A56,'LANÇAMENTOS DIÁRIOS'!$O$5:$O$500,"&lt;=98199",'LANÇAMENTOS DIÁRIOS'!$P$5:$P$500,"&gt;=98100")&gt;0,"X","")</f>
      </c>
      <c r="S56" s="56" t="str">
        <f>IF(COUNTIFS('LANÇAMENTOS DIÁRIOS'!$G$5:$G$500,"C",'LANÇAMENTOS DIÁRIOS'!$C$5:$C$500,$A56,'LANÇAMENTOS DIÁRIOS'!$O$5:$O$500,"&lt;=98299",'LANÇAMENTOS DIÁRIOS'!$P$5:$P$500,"&gt;=98200")&gt;0,"X","")</f>
      </c>
      <c r="T56" s="56" t="str">
        <f>IF(COUNTIFS('LANÇAMENTOS DIÁRIOS'!$G$5:$G$500,"C",'LANÇAMENTOS DIÁRIOS'!$C$5:$C$500,$A56,'LANÇAMENTOS DIÁRIOS'!$O$5:$O$500,"&lt;=98399",'LANÇAMENTOS DIÁRIOS'!$P$5:$P$500,"&gt;=98300")&gt;0,"X","")</f>
      </c>
      <c r="U56" s="56" t="str">
        <f>IF(COUNTIFS('LANÇAMENTOS DIÁRIOS'!$G$5:$G$500,"C",'LANÇAMENTOS DIÁRIOS'!$C$5:$C$500,$A56,'LANÇAMENTOS DIÁRIOS'!$O$5:$O$500,"&lt;=98499",'LANÇAMENTOS DIÁRIOS'!$P$5:$P$500,"&gt;=98400")&gt;0,"X","")</f>
      </c>
      <c r="V56" s="56" t="str">
        <f>IF(COUNTIFS('LANÇAMENTOS DIÁRIOS'!$G$5:$G$500,"C",'LANÇAMENTOS DIÁRIOS'!$C$5:$C$500,$A56,'LANÇAMENTOS DIÁRIOS'!$O$5:$O$500,"&lt;=98599",'LANÇAMENTOS DIÁRIOS'!$P$5:$P$500,"&gt;=98500")&gt;0,"X","")</f>
      </c>
      <c r="W56" s="56" t="str">
        <f>IF(COUNTIFS('LANÇAMENTOS DIÁRIOS'!$G$5:$G$500,"C",'LANÇAMENTOS DIÁRIOS'!$C$5:$C$500,$A56,'LANÇAMENTOS DIÁRIOS'!$O$5:$O$500,"&lt;=98699",'LANÇAMENTOS DIÁRIOS'!$P$5:$P$500,"&gt;=98600")&gt;0,"X","")</f>
      </c>
      <c r="X56" s="56" t="str">
        <f>IF(COUNTIFS('LANÇAMENTOS DIÁRIOS'!$G$5:$G$500,"C",'LANÇAMENTOS DIÁRIOS'!$C$5:$C$500,$A56,'LANÇAMENTOS DIÁRIOS'!$O$5:$O$500,"&lt;=98799",'LANÇAMENTOS DIÁRIOS'!$P$5:$P$500,"&gt;=98700")&gt;0,"X","")</f>
      </c>
      <c r="Y56" s="56" t="str">
        <f>IF(COUNTIFS('LANÇAMENTOS DIÁRIOS'!$G$5:$G$500,"C",'LANÇAMENTOS DIÁRIOS'!$C$5:$C$500,$A56,'LANÇAMENTOS DIÁRIOS'!$O$5:$O$500,"&lt;=98899",'LANÇAMENTOS DIÁRIOS'!$P$5:$P$500,"&gt;=98800")&gt;0,"X","")</f>
      </c>
      <c r="Z56" s="56" t="str">
        <f>IF(COUNTIFS('LANÇAMENTOS DIÁRIOS'!$G$5:$G$500,"C",'LANÇAMENTOS DIÁRIOS'!$C$5:$C$500,$A56,'LANÇAMENTOS DIÁRIOS'!$O$5:$O$500,"&lt;=98999",'LANÇAMENTOS DIÁRIOS'!$P$5:$P$500,"&gt;=98900")&gt;0,"X","")</f>
      </c>
      <c r="AA56" s="56" t="str">
        <f>IF(COUNTIFS('LANÇAMENTOS DIÁRIOS'!$G$5:$G$500,"C",'LANÇAMENTOS DIÁRIOS'!$C$5:$C$500,$A56,'LANÇAMENTOS DIÁRIOS'!$O$5:$O$500,"&lt;=99099",'LANÇAMENTOS DIÁRIOS'!$P$5:$P$500,"&gt;=99000")&gt;0,"X","")</f>
      </c>
      <c r="AB56" s="56" t="str">
        <f>IF(COUNTIFS('LANÇAMENTOS DIÁRIOS'!$G$5:$G$500,"C",'LANÇAMENTOS DIÁRIOS'!$C$5:$C$500,$A56,'LANÇAMENTOS DIÁRIOS'!$O$5:$O$500,"&lt;=99199",'LANÇAMENTOS DIÁRIOS'!$P$5:$P$500,"&gt;=99100")&gt;0,"X","")</f>
      </c>
      <c r="AC56" s="56" t="str">
        <f>IF(COUNTIFS('LANÇAMENTOS DIÁRIOS'!$G$5:$G$500,"C",'LANÇAMENTOS DIÁRIOS'!$C$5:$C$500,$A56,'LANÇAMENTOS DIÁRIOS'!$O$5:$O$500,"&lt;=99299",'LANÇAMENTOS DIÁRIOS'!$P$5:$P$500,"&gt;=99200")&gt;0,"X","")</f>
      </c>
      <c r="AD56" s="56" t="str">
        <f>IF(COUNTIFS('LANÇAMENTOS DIÁRIOS'!$G$5:$G$500,"C",'LANÇAMENTOS DIÁRIOS'!$C$5:$C$500,$A56,'LANÇAMENTOS DIÁRIOS'!$O$5:$O$500,"&lt;=99399",'LANÇAMENTOS DIÁRIOS'!$P$5:$P$500,"&gt;=99300")&gt;0,"X","")</f>
      </c>
      <c r="AE56" s="56" t="str">
        <f>IF(COUNTIFS('LANÇAMENTOS DIÁRIOS'!$G$5:$G$500,"C",'LANÇAMENTOS DIÁRIOS'!$C$5:$C$500,$A56,'LANÇAMENTOS DIÁRIOS'!$O$5:$O$500,"&lt;=99499",'LANÇAMENTOS DIÁRIOS'!$P$5:$P$500,"&gt;=99400")&gt;0,"X","")</f>
      </c>
      <c r="AF56" s="56" t="str">
        <f>IF(COUNTIFS('LANÇAMENTOS DIÁRIOS'!$G$5:$G$500,"C",'LANÇAMENTOS DIÁRIOS'!$C$5:$C$500,$A56,'LANÇAMENTOS DIÁRIOS'!$O$5:$O$500,"&lt;=99599",'LANÇAMENTOS DIÁRIOS'!$P$5:$P$500,"&gt;=99500")&gt;0,"X","")</f>
      </c>
      <c r="AG56" s="56" t="str">
        <f>IF(COUNTIFS('LANÇAMENTOS DIÁRIOS'!$G$5:$G$500,"C",'LANÇAMENTOS DIÁRIOS'!$C$5:$C$500,$A56,'LANÇAMENTOS DIÁRIOS'!$O$5:$O$500,"&lt;=99699",'LANÇAMENTOS DIÁRIOS'!$P$5:$P$500,"&gt;=99600")&gt;0,"X","")</f>
      </c>
      <c r="AH56" s="56" t="str">
        <f>IF(COUNTIFS('LANÇAMENTOS DIÁRIOS'!$G$5:$G$500,"C",'LANÇAMENTOS DIÁRIOS'!$C$5:$C$500,$A56,'LANÇAMENTOS DIÁRIOS'!$O$5:$O$500,"&lt;=99799",'LANÇAMENTOS DIÁRIOS'!$P$5:$P$500,"&gt;=99700")&gt;0,"X","")</f>
      </c>
      <c r="AI56" s="56" t="str">
        <f>IF(COUNTIFS('LANÇAMENTOS DIÁRIOS'!$G$5:$G$500,"C",'LANÇAMENTOS DIÁRIOS'!$C$5:$C$500,$A56,'LANÇAMENTOS DIÁRIOS'!$O$5:$O$500,"&lt;=99899",'LANÇAMENTOS DIÁRIOS'!$P$5:$P$500,"&gt;=99800")&gt;0,"X","")</f>
      </c>
      <c r="AJ56" s="56" t="str">
        <f>IF(COUNTIFS('LANÇAMENTOS DIÁRIOS'!$G$5:$G$500,"C",'LANÇAMENTOS DIÁRIOS'!$C$5:$C$500,$A56,'LANÇAMENTOS DIÁRIOS'!$O$5:$O$500,"&lt;=99999",'LANÇAMENTOS DIÁRIOS'!$P$5:$P$500,"&gt;=99900")&gt;0,"X","")</f>
      </c>
      <c r="AK56" s="56" t="str">
        <f>IF(COUNTIFS('LANÇAMENTOS DIÁRIOS'!$G$5:$G$500,"C",'LANÇAMENTOS DIÁRIOS'!$C$5:$C$500,$A56,'LANÇAMENTOS DIÁRIOS'!$O$5:$O$500,"&lt;=100099",'LANÇAMENTOS DIÁRIOS'!$P$5:$P$500,"&gt;=100000")&gt;0,"X","")</f>
      </c>
      <c r="AL56" s="56" t="str">
        <f>IF(COUNTIFS('LANÇAMENTOS DIÁRIOS'!$G$5:$G$500,"C",'LANÇAMENTOS DIÁRIOS'!$C$5:$C$500,$A56,'LANÇAMENTOS DIÁRIOS'!$O$5:$O$500,"&lt;=100199",'LANÇAMENTOS DIÁRIOS'!$P$5:$P$500,"&gt;=100100")&gt;0,"X","")</f>
      </c>
      <c r="AM56" s="56" t="str">
        <f>IF(COUNTIFS('LANÇAMENTOS DIÁRIOS'!$G$5:$G$500,"C",'LANÇAMENTOS DIÁRIOS'!$C$5:$C$500,$A56,'LANÇAMENTOS DIÁRIOS'!$O$5:$O$500,"&lt;=100299",'LANÇAMENTOS DIÁRIOS'!$P$5:$P$500,"&gt;=100200")&gt;0,"X","")</f>
      </c>
      <c r="AN56" s="56" t="str">
        <f>IF(COUNTIFS('LANÇAMENTOS DIÁRIOS'!$G$5:$G$500,"C",'LANÇAMENTOS DIÁRIOS'!$C$5:$C$500,$A56,'LANÇAMENTOS DIÁRIOS'!$O$5:$O$500,"&lt;=100399",'LANÇAMENTOS DIÁRIOS'!$P$5:$P$500,"&gt;=100300")&gt;0,"X","")</f>
      </c>
      <c r="AO56" s="56" t="str">
        <f>IF(COUNTIFS('LANÇAMENTOS DIÁRIOS'!$G$5:$G$500,"C",'LANÇAMENTOS DIÁRIOS'!$C$5:$C$500,$A56,'LANÇAMENTOS DIÁRIOS'!$O$5:$O$500,"&lt;=100499",'LANÇAMENTOS DIÁRIOS'!$P$5:$P$500,"&gt;=100400")&gt;0,"X","")</f>
      </c>
      <c r="AP56" s="56" t="str">
        <f>IF(COUNTIFS('LANÇAMENTOS DIÁRIOS'!$G$5:$G$500,"C",'LANÇAMENTOS DIÁRIOS'!$C$5:$C$500,$A56,'LANÇAMENTOS DIÁRIOS'!$O$5:$O$500,"&lt;=100500",'LANÇAMENTOS DIÁRIOS'!$P$5:$P$500,"&gt;=100500")&gt;0,"X","")</f>
      </c>
    </row>
    <row r="57">
      <c r="A57" s="51" t="str">
        <v>Compactação de aterro a 100% do proctor normal (*)</v>
      </c>
      <c r="B57" s="56" t="str">
        <f>IF(COUNTIFS('LANÇAMENTOS DIÁRIOS'!$G$5:$G$500,"C",'LANÇAMENTOS DIÁRIOS'!$C$5:$C$500,$A57,'LANÇAMENTOS DIÁRIOS'!$O$5:$O$500,"&lt;=96599",'LANÇAMENTOS DIÁRIOS'!$P$5:$P$500,"&gt;=96500")&gt;0,"X","")</f>
      </c>
      <c r="C57" s="56" t="str">
        <f>IF(COUNTIFS('LANÇAMENTOS DIÁRIOS'!$G$5:$G$500,"C",'LANÇAMENTOS DIÁRIOS'!$C$5:$C$500,$A57,'LANÇAMENTOS DIÁRIOS'!$O$5:$O$500,"&lt;=96699",'LANÇAMENTOS DIÁRIOS'!$P$5:$P$500,"&gt;=96600")&gt;0,"X","")</f>
      </c>
      <c r="D57" s="56" t="str">
        <f>IF(COUNTIFS('LANÇAMENTOS DIÁRIOS'!$G$5:$G$500,"C",'LANÇAMENTOS DIÁRIOS'!$C$5:$C$500,$A57,'LANÇAMENTOS DIÁRIOS'!$O$5:$O$500,"&lt;=96799",'LANÇAMENTOS DIÁRIOS'!$P$5:$P$500,"&gt;=96700")&gt;0,"X","")</f>
      </c>
      <c r="E57" s="56" t="str">
        <f>IF(COUNTIFS('LANÇAMENTOS DIÁRIOS'!$G$5:$G$500,"C",'LANÇAMENTOS DIÁRIOS'!$C$5:$C$500,$A57,'LANÇAMENTOS DIÁRIOS'!$O$5:$O$500,"&lt;=96899",'LANÇAMENTOS DIÁRIOS'!$P$5:$P$500,"&gt;=96800")&gt;0,"X","")</f>
      </c>
      <c r="F57" s="56" t="str">
        <f>IF(COUNTIFS('LANÇAMENTOS DIÁRIOS'!$G$5:$G$500,"C",'LANÇAMENTOS DIÁRIOS'!$C$5:$C$500,$A57,'LANÇAMENTOS DIÁRIOS'!$O$5:$O$500,"&lt;=96999",'LANÇAMENTOS DIÁRIOS'!$P$5:$P$500,"&gt;=96900")&gt;0,"X","")</f>
      </c>
      <c r="G57" s="56" t="str">
        <f>IF(COUNTIFS('LANÇAMENTOS DIÁRIOS'!$G$5:$G$500,"C",'LANÇAMENTOS DIÁRIOS'!$C$5:$C$500,$A57,'LANÇAMENTOS DIÁRIOS'!$O$5:$O$500,"&lt;=97099",'LANÇAMENTOS DIÁRIOS'!$P$5:$P$500,"&gt;=97000")&gt;0,"X","")</f>
      </c>
      <c r="H57" s="56" t="str">
        <f>IF(COUNTIFS('LANÇAMENTOS DIÁRIOS'!$G$5:$G$500,"C",'LANÇAMENTOS DIÁRIOS'!$C$5:$C$500,$A57,'LANÇAMENTOS DIÁRIOS'!$O$5:$O$500,"&lt;=97199",'LANÇAMENTOS DIÁRIOS'!$P$5:$P$500,"&gt;=97100")&gt;0,"X","")</f>
      </c>
      <c r="I57" s="56" t="str">
        <f>IF(COUNTIFS('LANÇAMENTOS DIÁRIOS'!$G$5:$G$500,"C",'LANÇAMENTOS DIÁRIOS'!$C$5:$C$500,$A57,'LANÇAMENTOS DIÁRIOS'!$O$5:$O$500,"&lt;=97299",'LANÇAMENTOS DIÁRIOS'!$P$5:$P$500,"&gt;=97200")&gt;0,"X","")</f>
      </c>
      <c r="J57" s="56" t="str">
        <f>IF(COUNTIFS('LANÇAMENTOS DIÁRIOS'!$G$5:$G$500,"C",'LANÇAMENTOS DIÁRIOS'!$C$5:$C$500,$A57,'LANÇAMENTOS DIÁRIOS'!$O$5:$O$500,"&lt;=97399",'LANÇAMENTOS DIÁRIOS'!$P$5:$P$500,"&gt;=97300")&gt;0,"X","")</f>
      </c>
      <c r="K57" s="56" t="str">
        <f>IF(COUNTIFS('LANÇAMENTOS DIÁRIOS'!$G$5:$G$500,"C",'LANÇAMENTOS DIÁRIOS'!$C$5:$C$500,$A57,'LANÇAMENTOS DIÁRIOS'!$O$5:$O$500,"&lt;=97499",'LANÇAMENTOS DIÁRIOS'!$P$5:$P$500,"&gt;=97400")&gt;0,"X","")</f>
      </c>
      <c r="L57" s="56" t="str">
        <f>IF(COUNTIFS('LANÇAMENTOS DIÁRIOS'!$G$5:$G$500,"C",'LANÇAMENTOS DIÁRIOS'!$C$5:$C$500,$A57,'LANÇAMENTOS DIÁRIOS'!$O$5:$O$500,"&lt;=97599",'LANÇAMENTOS DIÁRIOS'!$P$5:$P$500,"&gt;=97500")&gt;0,"X","")</f>
      </c>
      <c r="M57" s="56" t="str">
        <f>IF(COUNTIFS('LANÇAMENTOS DIÁRIOS'!$G$5:$G$500,"C",'LANÇAMENTOS DIÁRIOS'!$C$5:$C$500,$A57,'LANÇAMENTOS DIÁRIOS'!$O$5:$O$500,"&lt;=97699",'LANÇAMENTOS DIÁRIOS'!$P$5:$P$500,"&gt;=97600")&gt;0,"X","")</f>
      </c>
      <c r="N57" s="56" t="str">
        <f>IF(COUNTIFS('LANÇAMENTOS DIÁRIOS'!$G$5:$G$500,"C",'LANÇAMENTOS DIÁRIOS'!$C$5:$C$500,$A57,'LANÇAMENTOS DIÁRIOS'!$O$5:$O$500,"&lt;=97799",'LANÇAMENTOS DIÁRIOS'!$P$5:$P$500,"&gt;=97700")&gt;0,"X","")</f>
      </c>
      <c r="O57" s="56" t="str">
        <f>IF(COUNTIFS('LANÇAMENTOS DIÁRIOS'!$G$5:$G$500,"C",'LANÇAMENTOS DIÁRIOS'!$C$5:$C$500,$A57,'LANÇAMENTOS DIÁRIOS'!$O$5:$O$500,"&lt;=97899",'LANÇAMENTOS DIÁRIOS'!$P$5:$P$500,"&gt;=97800")&gt;0,"X","")</f>
      </c>
      <c r="P57" s="56" t="str">
        <f>IF(COUNTIFS('LANÇAMENTOS DIÁRIOS'!$G$5:$G$500,"C",'LANÇAMENTOS DIÁRIOS'!$C$5:$C$500,$A57,'LANÇAMENTOS DIÁRIOS'!$O$5:$O$500,"&lt;=97999",'LANÇAMENTOS DIÁRIOS'!$P$5:$P$500,"&gt;=97900")&gt;0,"X","")</f>
      </c>
      <c r="Q57" s="56" t="str">
        <f>IF(COUNTIFS('LANÇAMENTOS DIÁRIOS'!$G$5:$G$500,"C",'LANÇAMENTOS DIÁRIOS'!$C$5:$C$500,$A57,'LANÇAMENTOS DIÁRIOS'!$O$5:$O$500,"&lt;=98099",'LANÇAMENTOS DIÁRIOS'!$P$5:$P$500,"&gt;=98000")&gt;0,"X","")</f>
      </c>
      <c r="R57" s="56" t="str">
        <f>IF(COUNTIFS('LANÇAMENTOS DIÁRIOS'!$G$5:$G$500,"C",'LANÇAMENTOS DIÁRIOS'!$C$5:$C$500,$A57,'LANÇAMENTOS DIÁRIOS'!$O$5:$O$500,"&lt;=98199",'LANÇAMENTOS DIÁRIOS'!$P$5:$P$500,"&gt;=98100")&gt;0,"X","")</f>
      </c>
      <c r="S57" s="56" t="str">
        <f>IF(COUNTIFS('LANÇAMENTOS DIÁRIOS'!$G$5:$G$500,"C",'LANÇAMENTOS DIÁRIOS'!$C$5:$C$500,$A57,'LANÇAMENTOS DIÁRIOS'!$O$5:$O$500,"&lt;=98299",'LANÇAMENTOS DIÁRIOS'!$P$5:$P$500,"&gt;=98200")&gt;0,"X","")</f>
      </c>
      <c r="T57" s="56" t="str">
        <f>IF(COUNTIFS('LANÇAMENTOS DIÁRIOS'!$G$5:$G$500,"C",'LANÇAMENTOS DIÁRIOS'!$C$5:$C$500,$A57,'LANÇAMENTOS DIÁRIOS'!$O$5:$O$500,"&lt;=98399",'LANÇAMENTOS DIÁRIOS'!$P$5:$P$500,"&gt;=98300")&gt;0,"X","")</f>
      </c>
      <c r="U57" s="56" t="str">
        <f>IF(COUNTIFS('LANÇAMENTOS DIÁRIOS'!$G$5:$G$500,"C",'LANÇAMENTOS DIÁRIOS'!$C$5:$C$500,$A57,'LANÇAMENTOS DIÁRIOS'!$O$5:$O$500,"&lt;=98499",'LANÇAMENTOS DIÁRIOS'!$P$5:$P$500,"&gt;=98400")&gt;0,"X","")</f>
      </c>
      <c r="V57" s="56" t="str">
        <f>IF(COUNTIFS('LANÇAMENTOS DIÁRIOS'!$G$5:$G$500,"C",'LANÇAMENTOS DIÁRIOS'!$C$5:$C$500,$A57,'LANÇAMENTOS DIÁRIOS'!$O$5:$O$500,"&lt;=98599",'LANÇAMENTOS DIÁRIOS'!$P$5:$P$500,"&gt;=98500")&gt;0,"X","")</f>
      </c>
      <c r="W57" s="56" t="str">
        <f>IF(COUNTIFS('LANÇAMENTOS DIÁRIOS'!$G$5:$G$500,"C",'LANÇAMENTOS DIÁRIOS'!$C$5:$C$500,$A57,'LANÇAMENTOS DIÁRIOS'!$O$5:$O$500,"&lt;=98699",'LANÇAMENTOS DIÁRIOS'!$P$5:$P$500,"&gt;=98600")&gt;0,"X","")</f>
      </c>
      <c r="X57" s="56" t="str">
        <f>IF(COUNTIFS('LANÇAMENTOS DIÁRIOS'!$G$5:$G$500,"C",'LANÇAMENTOS DIÁRIOS'!$C$5:$C$500,$A57,'LANÇAMENTOS DIÁRIOS'!$O$5:$O$500,"&lt;=98799",'LANÇAMENTOS DIÁRIOS'!$P$5:$P$500,"&gt;=98700")&gt;0,"X","")</f>
      </c>
      <c r="Y57" s="56" t="str">
        <f>IF(COUNTIFS('LANÇAMENTOS DIÁRIOS'!$G$5:$G$500,"C",'LANÇAMENTOS DIÁRIOS'!$C$5:$C$500,$A57,'LANÇAMENTOS DIÁRIOS'!$O$5:$O$500,"&lt;=98899",'LANÇAMENTOS DIÁRIOS'!$P$5:$P$500,"&gt;=98800")&gt;0,"X","")</f>
      </c>
      <c r="Z57" s="56" t="str">
        <f>IF(COUNTIFS('LANÇAMENTOS DIÁRIOS'!$G$5:$G$500,"C",'LANÇAMENTOS DIÁRIOS'!$C$5:$C$500,$A57,'LANÇAMENTOS DIÁRIOS'!$O$5:$O$500,"&lt;=98999",'LANÇAMENTOS DIÁRIOS'!$P$5:$P$500,"&gt;=98900")&gt;0,"X","")</f>
      </c>
      <c r="AA57" s="56" t="str">
        <f>IF(COUNTIFS('LANÇAMENTOS DIÁRIOS'!$G$5:$G$500,"C",'LANÇAMENTOS DIÁRIOS'!$C$5:$C$500,$A57,'LANÇAMENTOS DIÁRIOS'!$O$5:$O$500,"&lt;=99099",'LANÇAMENTOS DIÁRIOS'!$P$5:$P$500,"&gt;=99000")&gt;0,"X","")</f>
      </c>
      <c r="AB57" s="56" t="str">
        <f>IF(COUNTIFS('LANÇAMENTOS DIÁRIOS'!$G$5:$G$500,"C",'LANÇAMENTOS DIÁRIOS'!$C$5:$C$500,$A57,'LANÇAMENTOS DIÁRIOS'!$O$5:$O$500,"&lt;=99199",'LANÇAMENTOS DIÁRIOS'!$P$5:$P$500,"&gt;=99100")&gt;0,"X","")</f>
      </c>
      <c r="AC57" s="56" t="str">
        <f>IF(COUNTIFS('LANÇAMENTOS DIÁRIOS'!$G$5:$G$500,"C",'LANÇAMENTOS DIÁRIOS'!$C$5:$C$500,$A57,'LANÇAMENTOS DIÁRIOS'!$O$5:$O$500,"&lt;=99299",'LANÇAMENTOS DIÁRIOS'!$P$5:$P$500,"&gt;=99200")&gt;0,"X","")</f>
      </c>
      <c r="AD57" s="56" t="str">
        <f>IF(COUNTIFS('LANÇAMENTOS DIÁRIOS'!$G$5:$G$500,"C",'LANÇAMENTOS DIÁRIOS'!$C$5:$C$500,$A57,'LANÇAMENTOS DIÁRIOS'!$O$5:$O$500,"&lt;=99399",'LANÇAMENTOS DIÁRIOS'!$P$5:$P$500,"&gt;=99300")&gt;0,"X","")</f>
      </c>
      <c r="AE57" s="56" t="str">
        <f>IF(COUNTIFS('LANÇAMENTOS DIÁRIOS'!$G$5:$G$500,"C",'LANÇAMENTOS DIÁRIOS'!$C$5:$C$500,$A57,'LANÇAMENTOS DIÁRIOS'!$O$5:$O$500,"&lt;=99499",'LANÇAMENTOS DIÁRIOS'!$P$5:$P$500,"&gt;=99400")&gt;0,"X","")</f>
      </c>
      <c r="AF57" s="56" t="str">
        <f>IF(COUNTIFS('LANÇAMENTOS DIÁRIOS'!$G$5:$G$500,"C",'LANÇAMENTOS DIÁRIOS'!$C$5:$C$500,$A57,'LANÇAMENTOS DIÁRIOS'!$O$5:$O$500,"&lt;=99599",'LANÇAMENTOS DIÁRIOS'!$P$5:$P$500,"&gt;=99500")&gt;0,"X","")</f>
      </c>
      <c r="AG57" s="56" t="str">
        <f>IF(COUNTIFS('LANÇAMENTOS DIÁRIOS'!$G$5:$G$500,"C",'LANÇAMENTOS DIÁRIOS'!$C$5:$C$500,$A57,'LANÇAMENTOS DIÁRIOS'!$O$5:$O$500,"&lt;=99699",'LANÇAMENTOS DIÁRIOS'!$P$5:$P$500,"&gt;=99600")&gt;0,"X","")</f>
      </c>
      <c r="AH57" s="56" t="str">
        <f>IF(COUNTIFS('LANÇAMENTOS DIÁRIOS'!$G$5:$G$500,"C",'LANÇAMENTOS DIÁRIOS'!$C$5:$C$500,$A57,'LANÇAMENTOS DIÁRIOS'!$O$5:$O$500,"&lt;=99799",'LANÇAMENTOS DIÁRIOS'!$P$5:$P$500,"&gt;=99700")&gt;0,"X","")</f>
      </c>
      <c r="AI57" s="56" t="str">
        <f>IF(COUNTIFS('LANÇAMENTOS DIÁRIOS'!$G$5:$G$500,"C",'LANÇAMENTOS DIÁRIOS'!$C$5:$C$500,$A57,'LANÇAMENTOS DIÁRIOS'!$O$5:$O$500,"&lt;=99899",'LANÇAMENTOS DIÁRIOS'!$P$5:$P$500,"&gt;=99800")&gt;0,"X","")</f>
      </c>
      <c r="AJ57" s="56" t="str">
        <f>IF(COUNTIFS('LANÇAMENTOS DIÁRIOS'!$G$5:$G$500,"C",'LANÇAMENTOS DIÁRIOS'!$C$5:$C$500,$A57,'LANÇAMENTOS DIÁRIOS'!$O$5:$O$500,"&lt;=99999",'LANÇAMENTOS DIÁRIOS'!$P$5:$P$500,"&gt;=99900")&gt;0,"X","")</f>
      </c>
      <c r="AK57" s="56" t="str">
        <f>IF(COUNTIFS('LANÇAMENTOS DIÁRIOS'!$G$5:$G$500,"C",'LANÇAMENTOS DIÁRIOS'!$C$5:$C$500,$A57,'LANÇAMENTOS DIÁRIOS'!$O$5:$O$500,"&lt;=100099",'LANÇAMENTOS DIÁRIOS'!$P$5:$P$500,"&gt;=100000")&gt;0,"X","")</f>
      </c>
      <c r="AL57" s="56" t="str">
        <f>IF(COUNTIFS('LANÇAMENTOS DIÁRIOS'!$G$5:$G$500,"C",'LANÇAMENTOS DIÁRIOS'!$C$5:$C$500,$A57,'LANÇAMENTOS DIÁRIOS'!$O$5:$O$500,"&lt;=100199",'LANÇAMENTOS DIÁRIOS'!$P$5:$P$500,"&gt;=100100")&gt;0,"X","")</f>
      </c>
      <c r="AM57" s="56" t="str">
        <f>IF(COUNTIFS('LANÇAMENTOS DIÁRIOS'!$G$5:$G$500,"C",'LANÇAMENTOS DIÁRIOS'!$C$5:$C$500,$A57,'LANÇAMENTOS DIÁRIOS'!$O$5:$O$500,"&lt;=100299",'LANÇAMENTOS DIÁRIOS'!$P$5:$P$500,"&gt;=100200")&gt;0,"X","")</f>
      </c>
      <c r="AN57" s="56" t="str">
        <f>IF(COUNTIFS('LANÇAMENTOS DIÁRIOS'!$G$5:$G$500,"C",'LANÇAMENTOS DIÁRIOS'!$C$5:$C$500,$A57,'LANÇAMENTOS DIÁRIOS'!$O$5:$O$500,"&lt;=100399",'LANÇAMENTOS DIÁRIOS'!$P$5:$P$500,"&gt;=100300")&gt;0,"X","")</f>
      </c>
      <c r="AO57" s="56" t="str">
        <f>IF(COUNTIFS('LANÇAMENTOS DIÁRIOS'!$G$5:$G$500,"C",'LANÇAMENTOS DIÁRIOS'!$C$5:$C$500,$A57,'LANÇAMENTOS DIÁRIOS'!$O$5:$O$500,"&lt;=100499",'LANÇAMENTOS DIÁRIOS'!$P$5:$P$500,"&gt;=100400")&gt;0,"X","")</f>
      </c>
      <c r="AP57" s="56" t="str">
        <f>IF(COUNTIFS('LANÇAMENTOS DIÁRIOS'!$G$5:$G$500,"C",'LANÇAMENTOS DIÁRIOS'!$C$5:$C$500,$A57,'LANÇAMENTOS DIÁRIOS'!$O$5:$O$500,"&lt;=100500",'LANÇAMENTOS DIÁRIOS'!$P$5:$P$500,"&gt;=100500")&gt;0,"X","")</f>
      </c>
    </row>
    <row r="58">
      <c r="A58" s="51" t="str">
        <v>Rede metálica de alta resistência StellGrid HR 100 ou Similiar (Perfuração e instalação)</v>
      </c>
      <c r="B58" s="56" t="str">
        <f>IF(COUNTIFS('LANÇAMENTOS DIÁRIOS'!$G$5:$G$500,"C",'LANÇAMENTOS DIÁRIOS'!$C$5:$C$500,$A58,'LANÇAMENTOS DIÁRIOS'!$O$5:$O$500,"&lt;=96599",'LANÇAMENTOS DIÁRIOS'!$P$5:$P$500,"&gt;=96500")&gt;0,"X","")</f>
      </c>
      <c r="C58" s="56" t="str">
        <f>IF(COUNTIFS('LANÇAMENTOS DIÁRIOS'!$G$5:$G$500,"C",'LANÇAMENTOS DIÁRIOS'!$C$5:$C$500,$A58,'LANÇAMENTOS DIÁRIOS'!$O$5:$O$500,"&lt;=96699",'LANÇAMENTOS DIÁRIOS'!$P$5:$P$500,"&gt;=96600")&gt;0,"X","")</f>
      </c>
      <c r="D58" s="56" t="str">
        <f>IF(COUNTIFS('LANÇAMENTOS DIÁRIOS'!$G$5:$G$500,"C",'LANÇAMENTOS DIÁRIOS'!$C$5:$C$500,$A58,'LANÇAMENTOS DIÁRIOS'!$O$5:$O$500,"&lt;=96799",'LANÇAMENTOS DIÁRIOS'!$P$5:$P$500,"&gt;=96700")&gt;0,"X","")</f>
      </c>
      <c r="E58" s="56" t="str">
        <f>IF(COUNTIFS('LANÇAMENTOS DIÁRIOS'!$G$5:$G$500,"C",'LANÇAMENTOS DIÁRIOS'!$C$5:$C$500,$A58,'LANÇAMENTOS DIÁRIOS'!$O$5:$O$500,"&lt;=96899",'LANÇAMENTOS DIÁRIOS'!$P$5:$P$500,"&gt;=96800")&gt;0,"X","")</f>
      </c>
      <c r="F58" s="56" t="str">
        <f>IF(COUNTIFS('LANÇAMENTOS DIÁRIOS'!$G$5:$G$500,"C",'LANÇAMENTOS DIÁRIOS'!$C$5:$C$500,$A58,'LANÇAMENTOS DIÁRIOS'!$O$5:$O$500,"&lt;=96999",'LANÇAMENTOS DIÁRIOS'!$P$5:$P$500,"&gt;=96900")&gt;0,"X","")</f>
      </c>
      <c r="G58" s="56" t="str">
        <f>IF(COUNTIFS('LANÇAMENTOS DIÁRIOS'!$G$5:$G$500,"C",'LANÇAMENTOS DIÁRIOS'!$C$5:$C$500,$A58,'LANÇAMENTOS DIÁRIOS'!$O$5:$O$500,"&lt;=97099",'LANÇAMENTOS DIÁRIOS'!$P$5:$P$500,"&gt;=97000")&gt;0,"X","")</f>
      </c>
      <c r="H58" s="56" t="str">
        <f>IF(COUNTIFS('LANÇAMENTOS DIÁRIOS'!$G$5:$G$500,"C",'LANÇAMENTOS DIÁRIOS'!$C$5:$C$500,$A58,'LANÇAMENTOS DIÁRIOS'!$O$5:$O$500,"&lt;=97199",'LANÇAMENTOS DIÁRIOS'!$P$5:$P$500,"&gt;=97100")&gt;0,"X","")</f>
      </c>
      <c r="I58" s="56" t="str">
        <f>IF(COUNTIFS('LANÇAMENTOS DIÁRIOS'!$G$5:$G$500,"C",'LANÇAMENTOS DIÁRIOS'!$C$5:$C$500,$A58,'LANÇAMENTOS DIÁRIOS'!$O$5:$O$500,"&lt;=97299",'LANÇAMENTOS DIÁRIOS'!$P$5:$P$500,"&gt;=97200")&gt;0,"X","")</f>
      </c>
      <c r="J58" s="56" t="str">
        <f>IF(COUNTIFS('LANÇAMENTOS DIÁRIOS'!$G$5:$G$500,"C",'LANÇAMENTOS DIÁRIOS'!$C$5:$C$500,$A58,'LANÇAMENTOS DIÁRIOS'!$O$5:$O$500,"&lt;=97399",'LANÇAMENTOS DIÁRIOS'!$P$5:$P$500,"&gt;=97300")&gt;0,"X","")</f>
      </c>
      <c r="K58" s="56" t="str">
        <f>IF(COUNTIFS('LANÇAMENTOS DIÁRIOS'!$G$5:$G$500,"C",'LANÇAMENTOS DIÁRIOS'!$C$5:$C$500,$A58,'LANÇAMENTOS DIÁRIOS'!$O$5:$O$500,"&lt;=97499",'LANÇAMENTOS DIÁRIOS'!$P$5:$P$500,"&gt;=97400")&gt;0,"X","")</f>
      </c>
      <c r="L58" s="56" t="str">
        <f>IF(COUNTIFS('LANÇAMENTOS DIÁRIOS'!$G$5:$G$500,"C",'LANÇAMENTOS DIÁRIOS'!$C$5:$C$500,$A58,'LANÇAMENTOS DIÁRIOS'!$O$5:$O$500,"&lt;=97599",'LANÇAMENTOS DIÁRIOS'!$P$5:$P$500,"&gt;=97500")&gt;0,"X","")</f>
      </c>
      <c r="M58" s="56" t="str">
        <f>IF(COUNTIFS('LANÇAMENTOS DIÁRIOS'!$G$5:$G$500,"C",'LANÇAMENTOS DIÁRIOS'!$C$5:$C$500,$A58,'LANÇAMENTOS DIÁRIOS'!$O$5:$O$500,"&lt;=97699",'LANÇAMENTOS DIÁRIOS'!$P$5:$P$500,"&gt;=97600")&gt;0,"X","")</f>
      </c>
      <c r="N58" s="56" t="str">
        <f>IF(COUNTIFS('LANÇAMENTOS DIÁRIOS'!$G$5:$G$500,"C",'LANÇAMENTOS DIÁRIOS'!$C$5:$C$500,$A58,'LANÇAMENTOS DIÁRIOS'!$O$5:$O$500,"&lt;=97799",'LANÇAMENTOS DIÁRIOS'!$P$5:$P$500,"&gt;=97700")&gt;0,"X","")</f>
      </c>
      <c r="O58" s="56" t="str">
        <f>IF(COUNTIFS('LANÇAMENTOS DIÁRIOS'!$G$5:$G$500,"C",'LANÇAMENTOS DIÁRIOS'!$C$5:$C$500,$A58,'LANÇAMENTOS DIÁRIOS'!$O$5:$O$500,"&lt;=97899",'LANÇAMENTOS DIÁRIOS'!$P$5:$P$500,"&gt;=97800")&gt;0,"X","")</f>
      </c>
      <c r="P58" s="56" t="str">
        <f>IF(COUNTIFS('LANÇAMENTOS DIÁRIOS'!$G$5:$G$500,"C",'LANÇAMENTOS DIÁRIOS'!$C$5:$C$500,$A58,'LANÇAMENTOS DIÁRIOS'!$O$5:$O$500,"&lt;=97999",'LANÇAMENTOS DIÁRIOS'!$P$5:$P$500,"&gt;=97900")&gt;0,"X","")</f>
      </c>
      <c r="Q58" s="56" t="str">
        <f>IF(COUNTIFS('LANÇAMENTOS DIÁRIOS'!$G$5:$G$500,"C",'LANÇAMENTOS DIÁRIOS'!$C$5:$C$500,$A58,'LANÇAMENTOS DIÁRIOS'!$O$5:$O$500,"&lt;=98099",'LANÇAMENTOS DIÁRIOS'!$P$5:$P$500,"&gt;=98000")&gt;0,"X","")</f>
      </c>
      <c r="R58" s="56" t="str">
        <f>IF(COUNTIFS('LANÇAMENTOS DIÁRIOS'!$G$5:$G$500,"C",'LANÇAMENTOS DIÁRIOS'!$C$5:$C$500,$A58,'LANÇAMENTOS DIÁRIOS'!$O$5:$O$500,"&lt;=98199",'LANÇAMENTOS DIÁRIOS'!$P$5:$P$500,"&gt;=98100")&gt;0,"X","")</f>
      </c>
      <c r="S58" s="56" t="str">
        <f>IF(COUNTIFS('LANÇAMENTOS DIÁRIOS'!$G$5:$G$500,"C",'LANÇAMENTOS DIÁRIOS'!$C$5:$C$500,$A58,'LANÇAMENTOS DIÁRIOS'!$O$5:$O$500,"&lt;=98299",'LANÇAMENTOS DIÁRIOS'!$P$5:$P$500,"&gt;=98200")&gt;0,"X","")</f>
      </c>
      <c r="T58" s="56" t="str">
        <f>IF(COUNTIFS('LANÇAMENTOS DIÁRIOS'!$G$5:$G$500,"C",'LANÇAMENTOS DIÁRIOS'!$C$5:$C$500,$A58,'LANÇAMENTOS DIÁRIOS'!$O$5:$O$500,"&lt;=98399",'LANÇAMENTOS DIÁRIOS'!$P$5:$P$500,"&gt;=98300")&gt;0,"X","")</f>
      </c>
      <c r="U58" s="56" t="str">
        <f>IF(COUNTIFS('LANÇAMENTOS DIÁRIOS'!$G$5:$G$500,"C",'LANÇAMENTOS DIÁRIOS'!$C$5:$C$500,$A58,'LANÇAMENTOS DIÁRIOS'!$O$5:$O$500,"&lt;=98499",'LANÇAMENTOS DIÁRIOS'!$P$5:$P$500,"&gt;=98400")&gt;0,"X","")</f>
      </c>
      <c r="V58" s="56" t="str">
        <f>IF(COUNTIFS('LANÇAMENTOS DIÁRIOS'!$G$5:$G$500,"C",'LANÇAMENTOS DIÁRIOS'!$C$5:$C$500,$A58,'LANÇAMENTOS DIÁRIOS'!$O$5:$O$500,"&lt;=98599",'LANÇAMENTOS DIÁRIOS'!$P$5:$P$500,"&gt;=98500")&gt;0,"X","")</f>
      </c>
      <c r="W58" s="56" t="str">
        <f>IF(COUNTIFS('LANÇAMENTOS DIÁRIOS'!$G$5:$G$500,"C",'LANÇAMENTOS DIÁRIOS'!$C$5:$C$500,$A58,'LANÇAMENTOS DIÁRIOS'!$O$5:$O$500,"&lt;=98699",'LANÇAMENTOS DIÁRIOS'!$P$5:$P$500,"&gt;=98600")&gt;0,"X","")</f>
      </c>
      <c r="X58" s="56" t="str">
        <f>IF(COUNTIFS('LANÇAMENTOS DIÁRIOS'!$G$5:$G$500,"C",'LANÇAMENTOS DIÁRIOS'!$C$5:$C$500,$A58,'LANÇAMENTOS DIÁRIOS'!$O$5:$O$500,"&lt;=98799",'LANÇAMENTOS DIÁRIOS'!$P$5:$P$500,"&gt;=98700")&gt;0,"X","")</f>
      </c>
      <c r="Y58" s="56" t="str">
        <f>IF(COUNTIFS('LANÇAMENTOS DIÁRIOS'!$G$5:$G$500,"C",'LANÇAMENTOS DIÁRIOS'!$C$5:$C$500,$A58,'LANÇAMENTOS DIÁRIOS'!$O$5:$O$500,"&lt;=98899",'LANÇAMENTOS DIÁRIOS'!$P$5:$P$500,"&gt;=98800")&gt;0,"X","")</f>
      </c>
      <c r="Z58" s="56" t="str">
        <f>IF(COUNTIFS('LANÇAMENTOS DIÁRIOS'!$G$5:$G$500,"C",'LANÇAMENTOS DIÁRIOS'!$C$5:$C$500,$A58,'LANÇAMENTOS DIÁRIOS'!$O$5:$O$500,"&lt;=98999",'LANÇAMENTOS DIÁRIOS'!$P$5:$P$500,"&gt;=98900")&gt;0,"X","")</f>
      </c>
      <c r="AA58" s="56" t="str">
        <f>IF(COUNTIFS('LANÇAMENTOS DIÁRIOS'!$G$5:$G$500,"C",'LANÇAMENTOS DIÁRIOS'!$C$5:$C$500,$A58,'LANÇAMENTOS DIÁRIOS'!$O$5:$O$500,"&lt;=99099",'LANÇAMENTOS DIÁRIOS'!$P$5:$P$500,"&gt;=99000")&gt;0,"X","")</f>
      </c>
      <c r="AB58" s="56" t="str">
        <f>IF(COUNTIFS('LANÇAMENTOS DIÁRIOS'!$G$5:$G$500,"C",'LANÇAMENTOS DIÁRIOS'!$C$5:$C$500,$A58,'LANÇAMENTOS DIÁRIOS'!$O$5:$O$500,"&lt;=99199",'LANÇAMENTOS DIÁRIOS'!$P$5:$P$500,"&gt;=99100")&gt;0,"X","")</f>
      </c>
      <c r="AC58" s="56" t="str">
        <f>IF(COUNTIFS('LANÇAMENTOS DIÁRIOS'!$G$5:$G$500,"C",'LANÇAMENTOS DIÁRIOS'!$C$5:$C$500,$A58,'LANÇAMENTOS DIÁRIOS'!$O$5:$O$500,"&lt;=99299",'LANÇAMENTOS DIÁRIOS'!$P$5:$P$500,"&gt;=99200")&gt;0,"X","")</f>
      </c>
      <c r="AD58" s="56" t="str">
        <f>IF(COUNTIFS('LANÇAMENTOS DIÁRIOS'!$G$5:$G$500,"C",'LANÇAMENTOS DIÁRIOS'!$C$5:$C$500,$A58,'LANÇAMENTOS DIÁRIOS'!$O$5:$O$500,"&lt;=99399",'LANÇAMENTOS DIÁRIOS'!$P$5:$P$500,"&gt;=99300")&gt;0,"X","")</f>
      </c>
      <c r="AE58" s="56" t="str">
        <f>IF(COUNTIFS('LANÇAMENTOS DIÁRIOS'!$G$5:$G$500,"C",'LANÇAMENTOS DIÁRIOS'!$C$5:$C$500,$A58,'LANÇAMENTOS DIÁRIOS'!$O$5:$O$500,"&lt;=99499",'LANÇAMENTOS DIÁRIOS'!$P$5:$P$500,"&gt;=99400")&gt;0,"X","")</f>
      </c>
      <c r="AF58" s="56" t="str">
        <f>IF(COUNTIFS('LANÇAMENTOS DIÁRIOS'!$G$5:$G$500,"C",'LANÇAMENTOS DIÁRIOS'!$C$5:$C$500,$A58,'LANÇAMENTOS DIÁRIOS'!$O$5:$O$500,"&lt;=99599",'LANÇAMENTOS DIÁRIOS'!$P$5:$P$500,"&gt;=99500")&gt;0,"X","")</f>
      </c>
      <c r="AG58" s="56" t="str">
        <f>IF(COUNTIFS('LANÇAMENTOS DIÁRIOS'!$G$5:$G$500,"C",'LANÇAMENTOS DIÁRIOS'!$C$5:$C$500,$A58,'LANÇAMENTOS DIÁRIOS'!$O$5:$O$500,"&lt;=99699",'LANÇAMENTOS DIÁRIOS'!$P$5:$P$500,"&gt;=99600")&gt;0,"X","")</f>
      </c>
      <c r="AH58" s="56" t="str">
        <f>IF(COUNTIFS('LANÇAMENTOS DIÁRIOS'!$G$5:$G$500,"C",'LANÇAMENTOS DIÁRIOS'!$C$5:$C$500,$A58,'LANÇAMENTOS DIÁRIOS'!$O$5:$O$500,"&lt;=99799",'LANÇAMENTOS DIÁRIOS'!$P$5:$P$500,"&gt;=99700")&gt;0,"X","")</f>
      </c>
      <c r="AI58" s="56" t="str">
        <f>IF(COUNTIFS('LANÇAMENTOS DIÁRIOS'!$G$5:$G$500,"C",'LANÇAMENTOS DIÁRIOS'!$C$5:$C$500,$A58,'LANÇAMENTOS DIÁRIOS'!$O$5:$O$500,"&lt;=99899",'LANÇAMENTOS DIÁRIOS'!$P$5:$P$500,"&gt;=99800")&gt;0,"X","")</f>
      </c>
      <c r="AJ58" s="56" t="str">
        <f>IF(COUNTIFS('LANÇAMENTOS DIÁRIOS'!$G$5:$G$500,"C",'LANÇAMENTOS DIÁRIOS'!$C$5:$C$500,$A58,'LANÇAMENTOS DIÁRIOS'!$O$5:$O$500,"&lt;=99999",'LANÇAMENTOS DIÁRIOS'!$P$5:$P$500,"&gt;=99900")&gt;0,"X","")</f>
      </c>
      <c r="AK58" s="56" t="str">
        <f>IF(COUNTIFS('LANÇAMENTOS DIÁRIOS'!$G$5:$G$500,"C",'LANÇAMENTOS DIÁRIOS'!$C$5:$C$500,$A58,'LANÇAMENTOS DIÁRIOS'!$O$5:$O$500,"&lt;=100099",'LANÇAMENTOS DIÁRIOS'!$P$5:$P$500,"&gt;=100000")&gt;0,"X","")</f>
      </c>
      <c r="AL58" s="56" t="str">
        <f>IF(COUNTIFS('LANÇAMENTOS DIÁRIOS'!$G$5:$G$500,"C",'LANÇAMENTOS DIÁRIOS'!$C$5:$C$500,$A58,'LANÇAMENTOS DIÁRIOS'!$O$5:$O$500,"&lt;=100199",'LANÇAMENTOS DIÁRIOS'!$P$5:$P$500,"&gt;=100100")&gt;0,"X","")</f>
      </c>
      <c r="AM58" s="56" t="str">
        <f>IF(COUNTIFS('LANÇAMENTOS DIÁRIOS'!$G$5:$G$500,"C",'LANÇAMENTOS DIÁRIOS'!$C$5:$C$500,$A58,'LANÇAMENTOS DIÁRIOS'!$O$5:$O$500,"&lt;=100299",'LANÇAMENTOS DIÁRIOS'!$P$5:$P$500,"&gt;=100200")&gt;0,"X","")</f>
      </c>
      <c r="AN58" s="56" t="str">
        <f>IF(COUNTIFS('LANÇAMENTOS DIÁRIOS'!$G$5:$G$500,"C",'LANÇAMENTOS DIÁRIOS'!$C$5:$C$500,$A58,'LANÇAMENTOS DIÁRIOS'!$O$5:$O$500,"&lt;=100399",'LANÇAMENTOS DIÁRIOS'!$P$5:$P$500,"&gt;=100300")&gt;0,"X","")</f>
      </c>
      <c r="AO58" s="56" t="str">
        <f>IF(COUNTIFS('LANÇAMENTOS DIÁRIOS'!$G$5:$G$500,"C",'LANÇAMENTOS DIÁRIOS'!$C$5:$C$500,$A58,'LANÇAMENTOS DIÁRIOS'!$O$5:$O$500,"&lt;=100499",'LANÇAMENTOS DIÁRIOS'!$P$5:$P$500,"&gt;=100400")&gt;0,"X","")</f>
      </c>
      <c r="AP58" s="56" t="str">
        <f>IF(COUNTIFS('LANÇAMENTOS DIÁRIOS'!$G$5:$G$500,"C",'LANÇAMENTOS DIÁRIOS'!$C$5:$C$500,$A58,'LANÇAMENTOS DIÁRIOS'!$O$5:$O$500,"&lt;=100500",'LANÇAMENTOS DIÁRIOS'!$P$5:$P$500,"&gt;=100500")&gt;0,"X","")</f>
      </c>
    </row>
    <row r="59" ht="19" customHeight="1">
      <c r="A59" s="68" t="str">
        <v>Construção do subleito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</row>
    <row r="60">
      <c r="A60" s="51" t="str">
        <v>Regularização do subleito</v>
      </c>
      <c r="B60" s="56" t="str">
        <f>IF(COUNTIFS('LANÇAMENTOS DIÁRIOS'!$G$5:$G$500,"C",'LANÇAMENTOS DIÁRIOS'!$C$5:$C$500,$A60,'LANÇAMENTOS DIÁRIOS'!$O$5:$O$500,"&lt;=96599",'LANÇAMENTOS DIÁRIOS'!$P$5:$P$500,"&gt;=96500")&gt;0,"X","")</f>
      </c>
      <c r="C60" s="56" t="str">
        <f>IF(COUNTIFS('LANÇAMENTOS DIÁRIOS'!$G$5:$G$500,"C",'LANÇAMENTOS DIÁRIOS'!$C$5:$C$500,$A60,'LANÇAMENTOS DIÁRIOS'!$O$5:$O$500,"&lt;=96699",'LANÇAMENTOS DIÁRIOS'!$P$5:$P$500,"&gt;=96600")&gt;0,"X","")</f>
      </c>
      <c r="D60" s="56" t="str">
        <f>IF(COUNTIFS('LANÇAMENTOS DIÁRIOS'!$G$5:$G$500,"C",'LANÇAMENTOS DIÁRIOS'!$C$5:$C$500,$A60,'LANÇAMENTOS DIÁRIOS'!$O$5:$O$500,"&lt;=96799",'LANÇAMENTOS DIÁRIOS'!$P$5:$P$500,"&gt;=96700")&gt;0,"X","")</f>
      </c>
      <c r="E60" s="56" t="str">
        <f>IF(COUNTIFS('LANÇAMENTOS DIÁRIOS'!$G$5:$G$500,"C",'LANÇAMENTOS DIÁRIOS'!$C$5:$C$500,$A60,'LANÇAMENTOS DIÁRIOS'!$O$5:$O$500,"&lt;=96899",'LANÇAMENTOS DIÁRIOS'!$P$5:$P$500,"&gt;=96800")&gt;0,"X","")</f>
      </c>
      <c r="F60" s="56" t="str">
        <f>IF(COUNTIFS('LANÇAMENTOS DIÁRIOS'!$G$5:$G$500,"C",'LANÇAMENTOS DIÁRIOS'!$C$5:$C$500,$A60,'LANÇAMENTOS DIÁRIOS'!$O$5:$O$500,"&lt;=96999",'LANÇAMENTOS DIÁRIOS'!$P$5:$P$500,"&gt;=96900")&gt;0,"X","")</f>
      </c>
      <c r="G60" s="56" t="str">
        <f>IF(COUNTIFS('LANÇAMENTOS DIÁRIOS'!$G$5:$G$500,"C",'LANÇAMENTOS DIÁRIOS'!$C$5:$C$500,$A60,'LANÇAMENTOS DIÁRIOS'!$O$5:$O$500,"&lt;=97099",'LANÇAMENTOS DIÁRIOS'!$P$5:$P$500,"&gt;=97000")&gt;0,"X","")</f>
      </c>
      <c r="H60" s="56" t="str">
        <f>IF(COUNTIFS('LANÇAMENTOS DIÁRIOS'!$G$5:$G$500,"C",'LANÇAMENTOS DIÁRIOS'!$C$5:$C$500,$A60,'LANÇAMENTOS DIÁRIOS'!$O$5:$O$500,"&lt;=97199",'LANÇAMENTOS DIÁRIOS'!$P$5:$P$500,"&gt;=97100")&gt;0,"X","")</f>
      </c>
      <c r="I60" s="56" t="str">
        <f>IF(COUNTIFS('LANÇAMENTOS DIÁRIOS'!$G$5:$G$500,"C",'LANÇAMENTOS DIÁRIOS'!$C$5:$C$500,$A60,'LANÇAMENTOS DIÁRIOS'!$O$5:$O$500,"&lt;=97299",'LANÇAMENTOS DIÁRIOS'!$P$5:$P$500,"&gt;=97200")&gt;0,"X","")</f>
      </c>
      <c r="J60" s="56" t="str">
        <f>IF(COUNTIFS('LANÇAMENTOS DIÁRIOS'!$G$5:$G$500,"C",'LANÇAMENTOS DIÁRIOS'!$C$5:$C$500,$A60,'LANÇAMENTOS DIÁRIOS'!$O$5:$O$500,"&lt;=97399",'LANÇAMENTOS DIÁRIOS'!$P$5:$P$500,"&gt;=97300")&gt;0,"X","")</f>
      </c>
      <c r="K60" s="56" t="str">
        <f>IF(COUNTIFS('LANÇAMENTOS DIÁRIOS'!$G$5:$G$500,"C",'LANÇAMENTOS DIÁRIOS'!$C$5:$C$500,$A60,'LANÇAMENTOS DIÁRIOS'!$O$5:$O$500,"&lt;=97499",'LANÇAMENTOS DIÁRIOS'!$P$5:$P$500,"&gt;=97400")&gt;0,"X","")</f>
      </c>
      <c r="L60" s="56" t="str">
        <f>IF(COUNTIFS('LANÇAMENTOS DIÁRIOS'!$G$5:$G$500,"C",'LANÇAMENTOS DIÁRIOS'!$C$5:$C$500,$A60,'LANÇAMENTOS DIÁRIOS'!$O$5:$O$500,"&lt;=97599",'LANÇAMENTOS DIÁRIOS'!$P$5:$P$500,"&gt;=97500")&gt;0,"X","")</f>
      </c>
      <c r="M60" s="56" t="str">
        <f>IF(COUNTIFS('LANÇAMENTOS DIÁRIOS'!$G$5:$G$500,"C",'LANÇAMENTOS DIÁRIOS'!$C$5:$C$500,$A60,'LANÇAMENTOS DIÁRIOS'!$O$5:$O$500,"&lt;=97699",'LANÇAMENTOS DIÁRIOS'!$P$5:$P$500,"&gt;=97600")&gt;0,"X","")</f>
      </c>
      <c r="N60" s="56" t="str">
        <f>IF(COUNTIFS('LANÇAMENTOS DIÁRIOS'!$G$5:$G$500,"C",'LANÇAMENTOS DIÁRIOS'!$C$5:$C$500,$A60,'LANÇAMENTOS DIÁRIOS'!$O$5:$O$500,"&lt;=97799",'LANÇAMENTOS DIÁRIOS'!$P$5:$P$500,"&gt;=97700")&gt;0,"X","")</f>
      </c>
      <c r="O60" s="56" t="str">
        <f>IF(COUNTIFS('LANÇAMENTOS DIÁRIOS'!$G$5:$G$500,"C",'LANÇAMENTOS DIÁRIOS'!$C$5:$C$500,$A60,'LANÇAMENTOS DIÁRIOS'!$O$5:$O$500,"&lt;=97899",'LANÇAMENTOS DIÁRIOS'!$P$5:$P$500,"&gt;=97800")&gt;0,"X","")</f>
      </c>
      <c r="P60" s="56" t="str">
        <f>IF(COUNTIFS('LANÇAMENTOS DIÁRIOS'!$G$5:$G$500,"C",'LANÇAMENTOS DIÁRIOS'!$C$5:$C$500,$A60,'LANÇAMENTOS DIÁRIOS'!$O$5:$O$500,"&lt;=97999",'LANÇAMENTOS DIÁRIOS'!$P$5:$P$500,"&gt;=97900")&gt;0,"X","")</f>
      </c>
      <c r="Q60" s="56" t="str">
        <f>IF(COUNTIFS('LANÇAMENTOS DIÁRIOS'!$G$5:$G$500,"C",'LANÇAMENTOS DIÁRIOS'!$C$5:$C$500,$A60,'LANÇAMENTOS DIÁRIOS'!$O$5:$O$500,"&lt;=98099",'LANÇAMENTOS DIÁRIOS'!$P$5:$P$500,"&gt;=98000")&gt;0,"X","")</f>
      </c>
      <c r="R60" s="56" t="str">
        <f>IF(COUNTIFS('LANÇAMENTOS DIÁRIOS'!$G$5:$G$500,"C",'LANÇAMENTOS DIÁRIOS'!$C$5:$C$500,$A60,'LANÇAMENTOS DIÁRIOS'!$O$5:$O$500,"&lt;=98199",'LANÇAMENTOS DIÁRIOS'!$P$5:$P$500,"&gt;=98100")&gt;0,"X","")</f>
      </c>
      <c r="S60" s="56" t="str">
        <f>IF(COUNTIFS('LANÇAMENTOS DIÁRIOS'!$G$5:$G$500,"C",'LANÇAMENTOS DIÁRIOS'!$C$5:$C$500,$A60,'LANÇAMENTOS DIÁRIOS'!$O$5:$O$500,"&lt;=98299",'LANÇAMENTOS DIÁRIOS'!$P$5:$P$500,"&gt;=98200")&gt;0,"X","")</f>
      </c>
      <c r="T60" s="56" t="str">
        <f>IF(COUNTIFS('LANÇAMENTOS DIÁRIOS'!$G$5:$G$500,"C",'LANÇAMENTOS DIÁRIOS'!$C$5:$C$500,$A60,'LANÇAMENTOS DIÁRIOS'!$O$5:$O$500,"&lt;=98399",'LANÇAMENTOS DIÁRIOS'!$P$5:$P$500,"&gt;=98300")&gt;0,"X","")</f>
      </c>
      <c r="U60" s="56" t="str">
        <f>IF(COUNTIFS('LANÇAMENTOS DIÁRIOS'!$G$5:$G$500,"C",'LANÇAMENTOS DIÁRIOS'!$C$5:$C$500,$A60,'LANÇAMENTOS DIÁRIOS'!$O$5:$O$500,"&lt;=98499",'LANÇAMENTOS DIÁRIOS'!$P$5:$P$500,"&gt;=98400")&gt;0,"X","")</f>
      </c>
      <c r="V60" s="56" t="str">
        <f>IF(COUNTIFS('LANÇAMENTOS DIÁRIOS'!$G$5:$G$500,"C",'LANÇAMENTOS DIÁRIOS'!$C$5:$C$500,$A60,'LANÇAMENTOS DIÁRIOS'!$O$5:$O$500,"&lt;=98599",'LANÇAMENTOS DIÁRIOS'!$P$5:$P$500,"&gt;=98500")&gt;0,"X","")</f>
      </c>
      <c r="W60" s="56" t="str">
        <f>IF(COUNTIFS('LANÇAMENTOS DIÁRIOS'!$G$5:$G$500,"C",'LANÇAMENTOS DIÁRIOS'!$C$5:$C$500,$A60,'LANÇAMENTOS DIÁRIOS'!$O$5:$O$500,"&lt;=98699",'LANÇAMENTOS DIÁRIOS'!$P$5:$P$500,"&gt;=98600")&gt;0,"X","")</f>
      </c>
      <c r="X60" s="56" t="str">
        <f>IF(COUNTIFS('LANÇAMENTOS DIÁRIOS'!$G$5:$G$500,"C",'LANÇAMENTOS DIÁRIOS'!$C$5:$C$500,$A60,'LANÇAMENTOS DIÁRIOS'!$O$5:$O$500,"&lt;=98799",'LANÇAMENTOS DIÁRIOS'!$P$5:$P$500,"&gt;=98700")&gt;0,"X","")</f>
      </c>
      <c r="Y60" s="56" t="str">
        <f>IF(COUNTIFS('LANÇAMENTOS DIÁRIOS'!$G$5:$G$500,"C",'LANÇAMENTOS DIÁRIOS'!$C$5:$C$500,$A60,'LANÇAMENTOS DIÁRIOS'!$O$5:$O$500,"&lt;=98899",'LANÇAMENTOS DIÁRIOS'!$P$5:$P$500,"&gt;=98800")&gt;0,"X","")</f>
      </c>
      <c r="Z60" s="56" t="str">
        <f>IF(COUNTIFS('LANÇAMENTOS DIÁRIOS'!$G$5:$G$500,"C",'LANÇAMENTOS DIÁRIOS'!$C$5:$C$500,$A60,'LANÇAMENTOS DIÁRIOS'!$O$5:$O$500,"&lt;=98999",'LANÇAMENTOS DIÁRIOS'!$P$5:$P$500,"&gt;=98900")&gt;0,"X","")</f>
      </c>
      <c r="AA60" s="56" t="str">
        <f>IF(COUNTIFS('LANÇAMENTOS DIÁRIOS'!$G$5:$G$500,"C",'LANÇAMENTOS DIÁRIOS'!$C$5:$C$500,$A60,'LANÇAMENTOS DIÁRIOS'!$O$5:$O$500,"&lt;=99099",'LANÇAMENTOS DIÁRIOS'!$P$5:$P$500,"&gt;=99000")&gt;0,"X","")</f>
      </c>
      <c r="AB60" s="56" t="str">
        <f>IF(COUNTIFS('LANÇAMENTOS DIÁRIOS'!$G$5:$G$500,"C",'LANÇAMENTOS DIÁRIOS'!$C$5:$C$500,$A60,'LANÇAMENTOS DIÁRIOS'!$O$5:$O$500,"&lt;=99199",'LANÇAMENTOS DIÁRIOS'!$P$5:$P$500,"&gt;=99100")&gt;0,"X","")</f>
      </c>
      <c r="AC60" s="56" t="str">
        <f>IF(COUNTIFS('LANÇAMENTOS DIÁRIOS'!$G$5:$G$500,"C",'LANÇAMENTOS DIÁRIOS'!$C$5:$C$500,$A60,'LANÇAMENTOS DIÁRIOS'!$O$5:$O$500,"&lt;=99299",'LANÇAMENTOS DIÁRIOS'!$P$5:$P$500,"&gt;=99200")&gt;0,"X","")</f>
      </c>
      <c r="AD60" s="56" t="str">
        <f>IF(COUNTIFS('LANÇAMENTOS DIÁRIOS'!$G$5:$G$500,"C",'LANÇAMENTOS DIÁRIOS'!$C$5:$C$500,$A60,'LANÇAMENTOS DIÁRIOS'!$O$5:$O$500,"&lt;=99399",'LANÇAMENTOS DIÁRIOS'!$P$5:$P$500,"&gt;=99300")&gt;0,"X","")</f>
      </c>
      <c r="AE60" s="56" t="str">
        <f>IF(COUNTIFS('LANÇAMENTOS DIÁRIOS'!$G$5:$G$500,"C",'LANÇAMENTOS DIÁRIOS'!$C$5:$C$500,$A60,'LANÇAMENTOS DIÁRIOS'!$O$5:$O$500,"&lt;=99499",'LANÇAMENTOS DIÁRIOS'!$P$5:$P$500,"&gt;=99400")&gt;0,"X","")</f>
      </c>
      <c r="AF60" s="56" t="str">
        <f>IF(COUNTIFS('LANÇAMENTOS DIÁRIOS'!$G$5:$G$500,"C",'LANÇAMENTOS DIÁRIOS'!$C$5:$C$500,$A60,'LANÇAMENTOS DIÁRIOS'!$O$5:$O$500,"&lt;=99599",'LANÇAMENTOS DIÁRIOS'!$P$5:$P$500,"&gt;=99500")&gt;0,"X","")</f>
      </c>
      <c r="AG60" s="56" t="str">
        <f>IF(COUNTIFS('LANÇAMENTOS DIÁRIOS'!$G$5:$G$500,"C",'LANÇAMENTOS DIÁRIOS'!$C$5:$C$500,$A60,'LANÇAMENTOS DIÁRIOS'!$O$5:$O$500,"&lt;=99699",'LANÇAMENTOS DIÁRIOS'!$P$5:$P$500,"&gt;=99600")&gt;0,"X","")</f>
      </c>
      <c r="AH60" s="56" t="str">
        <f>IF(COUNTIFS('LANÇAMENTOS DIÁRIOS'!$G$5:$G$500,"C",'LANÇAMENTOS DIÁRIOS'!$C$5:$C$500,$A60,'LANÇAMENTOS DIÁRIOS'!$O$5:$O$500,"&lt;=99799",'LANÇAMENTOS DIÁRIOS'!$P$5:$P$500,"&gt;=99700")&gt;0,"X","")</f>
      </c>
      <c r="AI60" s="56" t="str">
        <f>IF(COUNTIFS('LANÇAMENTOS DIÁRIOS'!$G$5:$G$500,"C",'LANÇAMENTOS DIÁRIOS'!$C$5:$C$500,$A60,'LANÇAMENTOS DIÁRIOS'!$O$5:$O$500,"&lt;=99899",'LANÇAMENTOS DIÁRIOS'!$P$5:$P$500,"&gt;=99800")&gt;0,"X","")</f>
      </c>
      <c r="AJ60" s="56" t="str">
        <f>IF(COUNTIFS('LANÇAMENTOS DIÁRIOS'!$G$5:$G$500,"C",'LANÇAMENTOS DIÁRIOS'!$C$5:$C$500,$A60,'LANÇAMENTOS DIÁRIOS'!$O$5:$O$500,"&lt;=99999",'LANÇAMENTOS DIÁRIOS'!$P$5:$P$500,"&gt;=99900")&gt;0,"X","")</f>
      </c>
      <c r="AK60" s="56" t="str">
        <f>IF(COUNTIFS('LANÇAMENTOS DIÁRIOS'!$G$5:$G$500,"C",'LANÇAMENTOS DIÁRIOS'!$C$5:$C$500,$A60,'LANÇAMENTOS DIÁRIOS'!$O$5:$O$500,"&lt;=100099",'LANÇAMENTOS DIÁRIOS'!$P$5:$P$500,"&gt;=100000")&gt;0,"X","")</f>
      </c>
      <c r="AL60" s="56" t="str">
        <f>IF(COUNTIFS('LANÇAMENTOS DIÁRIOS'!$G$5:$G$500,"C",'LANÇAMENTOS DIÁRIOS'!$C$5:$C$500,$A60,'LANÇAMENTOS DIÁRIOS'!$O$5:$O$500,"&lt;=100199",'LANÇAMENTOS DIÁRIOS'!$P$5:$P$500,"&gt;=100100")&gt;0,"X","")</f>
      </c>
      <c r="AM60" s="56" t="str">
        <f>IF(COUNTIFS('LANÇAMENTOS DIÁRIOS'!$G$5:$G$500,"C",'LANÇAMENTOS DIÁRIOS'!$C$5:$C$500,$A60,'LANÇAMENTOS DIÁRIOS'!$O$5:$O$500,"&lt;=100299",'LANÇAMENTOS DIÁRIOS'!$P$5:$P$500,"&gt;=100200")&gt;0,"X","")</f>
      </c>
      <c r="AN60" s="56" t="str">
        <f>IF(COUNTIFS('LANÇAMENTOS DIÁRIOS'!$G$5:$G$500,"C",'LANÇAMENTOS DIÁRIOS'!$C$5:$C$500,$A60,'LANÇAMENTOS DIÁRIOS'!$O$5:$O$500,"&lt;=100399",'LANÇAMENTOS DIÁRIOS'!$P$5:$P$500,"&gt;=100300")&gt;0,"X","")</f>
      </c>
      <c r="AO60" s="56" t="str">
        <f>IF(COUNTIFS('LANÇAMENTOS DIÁRIOS'!$G$5:$G$500,"C",'LANÇAMENTOS DIÁRIOS'!$C$5:$C$500,$A60,'LANÇAMENTOS DIÁRIOS'!$O$5:$O$500,"&lt;=100499",'LANÇAMENTOS DIÁRIOS'!$P$5:$P$500,"&gt;=100400")&gt;0,"X","")</f>
      </c>
      <c r="AP60" s="56" t="str">
        <f>IF(COUNTIFS('LANÇAMENTOS DIÁRIOS'!$G$5:$G$500,"C",'LANÇAMENTOS DIÁRIOS'!$C$5:$C$500,$A60,'LANÇAMENTOS DIÁRIOS'!$O$5:$O$500,"&lt;=100500",'LANÇAMENTOS DIÁRIOS'!$P$5:$P$500,"&gt;=100500")&gt;0,"X","")</f>
      </c>
    </row>
    <row r="61">
      <c r="A61" s="51" t="str">
        <v>Escavação de material de 1ª e 2ª categoria (*)</v>
      </c>
      <c r="B61" s="56" t="str">
        <f>IF(COUNTIFS('LANÇAMENTOS DIÁRIOS'!$G$5:$G$500,"C",'LANÇAMENTOS DIÁRIOS'!$C$5:$C$500,$A61,'LANÇAMENTOS DIÁRIOS'!$O$5:$O$500,"&lt;=96599",'LANÇAMENTOS DIÁRIOS'!$P$5:$P$500,"&gt;=96500")&gt;0,"X","")</f>
      </c>
      <c r="C61" s="56" t="str">
        <f>IF(COUNTIFS('LANÇAMENTOS DIÁRIOS'!$G$5:$G$500,"C",'LANÇAMENTOS DIÁRIOS'!$C$5:$C$500,$A61,'LANÇAMENTOS DIÁRIOS'!$O$5:$O$500,"&lt;=96699",'LANÇAMENTOS DIÁRIOS'!$P$5:$P$500,"&gt;=96600")&gt;0,"X","")</f>
      </c>
      <c r="D61" s="56" t="str">
        <f>IF(COUNTIFS('LANÇAMENTOS DIÁRIOS'!$G$5:$G$500,"C",'LANÇAMENTOS DIÁRIOS'!$C$5:$C$500,$A61,'LANÇAMENTOS DIÁRIOS'!$O$5:$O$500,"&lt;=96799",'LANÇAMENTOS DIÁRIOS'!$P$5:$P$500,"&gt;=96700")&gt;0,"X","")</f>
      </c>
      <c r="E61" s="56" t="str">
        <f>IF(COUNTIFS('LANÇAMENTOS DIÁRIOS'!$G$5:$G$500,"C",'LANÇAMENTOS DIÁRIOS'!$C$5:$C$500,$A61,'LANÇAMENTOS DIÁRIOS'!$O$5:$O$500,"&lt;=96899",'LANÇAMENTOS DIÁRIOS'!$P$5:$P$500,"&gt;=96800")&gt;0,"X","")</f>
      </c>
      <c r="F61" s="56" t="str">
        <f>IF(COUNTIFS('LANÇAMENTOS DIÁRIOS'!$G$5:$G$500,"C",'LANÇAMENTOS DIÁRIOS'!$C$5:$C$500,$A61,'LANÇAMENTOS DIÁRIOS'!$O$5:$O$500,"&lt;=96999",'LANÇAMENTOS DIÁRIOS'!$P$5:$P$500,"&gt;=96900")&gt;0,"X","")</f>
      </c>
      <c r="G61" s="56" t="str">
        <f>IF(COUNTIFS('LANÇAMENTOS DIÁRIOS'!$G$5:$G$500,"C",'LANÇAMENTOS DIÁRIOS'!$C$5:$C$500,$A61,'LANÇAMENTOS DIÁRIOS'!$O$5:$O$500,"&lt;=97099",'LANÇAMENTOS DIÁRIOS'!$P$5:$P$500,"&gt;=97000")&gt;0,"X","")</f>
      </c>
      <c r="H61" s="56" t="str">
        <f>IF(COUNTIFS('LANÇAMENTOS DIÁRIOS'!$G$5:$G$500,"C",'LANÇAMENTOS DIÁRIOS'!$C$5:$C$500,$A61,'LANÇAMENTOS DIÁRIOS'!$O$5:$O$500,"&lt;=97199",'LANÇAMENTOS DIÁRIOS'!$P$5:$P$500,"&gt;=97100")&gt;0,"X","")</f>
      </c>
      <c r="I61" s="56" t="str">
        <f>IF(COUNTIFS('LANÇAMENTOS DIÁRIOS'!$G$5:$G$500,"C",'LANÇAMENTOS DIÁRIOS'!$C$5:$C$500,$A61,'LANÇAMENTOS DIÁRIOS'!$O$5:$O$500,"&lt;=97299",'LANÇAMENTOS DIÁRIOS'!$P$5:$P$500,"&gt;=97200")&gt;0,"X","")</f>
      </c>
      <c r="J61" s="56" t="str">
        <f>IF(COUNTIFS('LANÇAMENTOS DIÁRIOS'!$G$5:$G$500,"C",'LANÇAMENTOS DIÁRIOS'!$C$5:$C$500,$A61,'LANÇAMENTOS DIÁRIOS'!$O$5:$O$500,"&lt;=97399",'LANÇAMENTOS DIÁRIOS'!$P$5:$P$500,"&gt;=97300")&gt;0,"X","")</f>
        <v>X</v>
      </c>
      <c r="K61" s="56" t="str">
        <f>IF(COUNTIFS('LANÇAMENTOS DIÁRIOS'!$G$5:$G$500,"C",'LANÇAMENTOS DIÁRIOS'!$C$5:$C$500,$A61,'LANÇAMENTOS DIÁRIOS'!$O$5:$O$500,"&lt;=97499",'LANÇAMENTOS DIÁRIOS'!$P$5:$P$500,"&gt;=97400")&gt;0,"X","")</f>
        <v>X</v>
      </c>
      <c r="L61" s="56" t="str">
        <f>IF(COUNTIFS('LANÇAMENTOS DIÁRIOS'!$G$5:$G$500,"C",'LANÇAMENTOS DIÁRIOS'!$C$5:$C$500,$A61,'LANÇAMENTOS DIÁRIOS'!$O$5:$O$500,"&lt;=97599",'LANÇAMENTOS DIÁRIOS'!$P$5:$P$500,"&gt;=97500")&gt;0,"X","")</f>
        <v>X</v>
      </c>
      <c r="M61" s="56" t="str">
        <f>IF(COUNTIFS('LANÇAMENTOS DIÁRIOS'!$G$5:$G$500,"C",'LANÇAMENTOS DIÁRIOS'!$C$5:$C$500,$A61,'LANÇAMENTOS DIÁRIOS'!$O$5:$O$500,"&lt;=97699",'LANÇAMENTOS DIÁRIOS'!$P$5:$P$500,"&gt;=97600")&gt;0,"X","")</f>
      </c>
      <c r="N61" s="56" t="str">
        <f>IF(COUNTIFS('LANÇAMENTOS DIÁRIOS'!$G$5:$G$500,"C",'LANÇAMENTOS DIÁRIOS'!$C$5:$C$500,$A61,'LANÇAMENTOS DIÁRIOS'!$O$5:$O$500,"&lt;=97799",'LANÇAMENTOS DIÁRIOS'!$P$5:$P$500,"&gt;=97700")&gt;0,"X","")</f>
      </c>
      <c r="O61" s="56" t="str">
        <f>IF(COUNTIFS('LANÇAMENTOS DIÁRIOS'!$G$5:$G$500,"C",'LANÇAMENTOS DIÁRIOS'!$C$5:$C$500,$A61,'LANÇAMENTOS DIÁRIOS'!$O$5:$O$500,"&lt;=97899",'LANÇAMENTOS DIÁRIOS'!$P$5:$P$500,"&gt;=97800")&gt;0,"X","")</f>
      </c>
      <c r="P61" s="56" t="str">
        <f>IF(COUNTIFS('LANÇAMENTOS DIÁRIOS'!$G$5:$G$500,"C",'LANÇAMENTOS DIÁRIOS'!$C$5:$C$500,$A61,'LANÇAMENTOS DIÁRIOS'!$O$5:$O$500,"&lt;=97999",'LANÇAMENTOS DIÁRIOS'!$P$5:$P$500,"&gt;=97900")&gt;0,"X","")</f>
      </c>
      <c r="Q61" s="56" t="str">
        <f>IF(COUNTIFS('LANÇAMENTOS DIÁRIOS'!$G$5:$G$500,"C",'LANÇAMENTOS DIÁRIOS'!$C$5:$C$500,$A61,'LANÇAMENTOS DIÁRIOS'!$O$5:$O$500,"&lt;=98099",'LANÇAMENTOS DIÁRIOS'!$P$5:$P$500,"&gt;=98000")&gt;0,"X","")</f>
      </c>
      <c r="R61" s="56" t="str">
        <f>IF(COUNTIFS('LANÇAMENTOS DIÁRIOS'!$G$5:$G$500,"C",'LANÇAMENTOS DIÁRIOS'!$C$5:$C$500,$A61,'LANÇAMENTOS DIÁRIOS'!$O$5:$O$500,"&lt;=98199",'LANÇAMENTOS DIÁRIOS'!$P$5:$P$500,"&gt;=98100")&gt;0,"X","")</f>
      </c>
      <c r="S61" s="56" t="str">
        <f>IF(COUNTIFS('LANÇAMENTOS DIÁRIOS'!$G$5:$G$500,"C",'LANÇAMENTOS DIÁRIOS'!$C$5:$C$500,$A61,'LANÇAMENTOS DIÁRIOS'!$O$5:$O$500,"&lt;=98299",'LANÇAMENTOS DIÁRIOS'!$P$5:$P$500,"&gt;=98200")&gt;0,"X","")</f>
      </c>
      <c r="T61" s="56" t="str">
        <f>IF(COUNTIFS('LANÇAMENTOS DIÁRIOS'!$G$5:$G$500,"C",'LANÇAMENTOS DIÁRIOS'!$C$5:$C$500,$A61,'LANÇAMENTOS DIÁRIOS'!$O$5:$O$500,"&lt;=98399",'LANÇAMENTOS DIÁRIOS'!$P$5:$P$500,"&gt;=98300")&gt;0,"X","")</f>
      </c>
      <c r="U61" s="56" t="str">
        <f>IF(COUNTIFS('LANÇAMENTOS DIÁRIOS'!$G$5:$G$500,"C",'LANÇAMENTOS DIÁRIOS'!$C$5:$C$500,$A61,'LANÇAMENTOS DIÁRIOS'!$O$5:$O$500,"&lt;=98499",'LANÇAMENTOS DIÁRIOS'!$P$5:$P$500,"&gt;=98400")&gt;0,"X","")</f>
      </c>
      <c r="V61" s="56" t="str">
        <f>IF(COUNTIFS('LANÇAMENTOS DIÁRIOS'!$G$5:$G$500,"C",'LANÇAMENTOS DIÁRIOS'!$C$5:$C$500,$A61,'LANÇAMENTOS DIÁRIOS'!$O$5:$O$500,"&lt;=98599",'LANÇAMENTOS DIÁRIOS'!$P$5:$P$500,"&gt;=98500")&gt;0,"X","")</f>
      </c>
      <c r="W61" s="56" t="str">
        <f>IF(COUNTIFS('LANÇAMENTOS DIÁRIOS'!$G$5:$G$500,"C",'LANÇAMENTOS DIÁRIOS'!$C$5:$C$500,$A61,'LANÇAMENTOS DIÁRIOS'!$O$5:$O$500,"&lt;=98699",'LANÇAMENTOS DIÁRIOS'!$P$5:$P$500,"&gt;=98600")&gt;0,"X","")</f>
      </c>
      <c r="X61" s="56" t="str">
        <f>IF(COUNTIFS('LANÇAMENTOS DIÁRIOS'!$G$5:$G$500,"C",'LANÇAMENTOS DIÁRIOS'!$C$5:$C$500,$A61,'LANÇAMENTOS DIÁRIOS'!$O$5:$O$500,"&lt;=98799",'LANÇAMENTOS DIÁRIOS'!$P$5:$P$500,"&gt;=98700")&gt;0,"X","")</f>
      </c>
      <c r="Y61" s="56" t="str">
        <f>IF(COUNTIFS('LANÇAMENTOS DIÁRIOS'!$G$5:$G$500,"C",'LANÇAMENTOS DIÁRIOS'!$C$5:$C$500,$A61,'LANÇAMENTOS DIÁRIOS'!$O$5:$O$500,"&lt;=98899",'LANÇAMENTOS DIÁRIOS'!$P$5:$P$500,"&gt;=98800")&gt;0,"X","")</f>
      </c>
      <c r="Z61" s="56" t="str">
        <f>IF(COUNTIFS('LANÇAMENTOS DIÁRIOS'!$G$5:$G$500,"C",'LANÇAMENTOS DIÁRIOS'!$C$5:$C$500,$A61,'LANÇAMENTOS DIÁRIOS'!$O$5:$O$500,"&lt;=98999",'LANÇAMENTOS DIÁRIOS'!$P$5:$P$500,"&gt;=98900")&gt;0,"X","")</f>
      </c>
      <c r="AA61" s="56" t="str">
        <f>IF(COUNTIFS('LANÇAMENTOS DIÁRIOS'!$G$5:$G$500,"C",'LANÇAMENTOS DIÁRIOS'!$C$5:$C$500,$A61,'LANÇAMENTOS DIÁRIOS'!$O$5:$O$500,"&lt;=99099",'LANÇAMENTOS DIÁRIOS'!$P$5:$P$500,"&gt;=99000")&gt;0,"X","")</f>
      </c>
      <c r="AB61" s="56" t="str">
        <f>IF(COUNTIFS('LANÇAMENTOS DIÁRIOS'!$G$5:$G$500,"C",'LANÇAMENTOS DIÁRIOS'!$C$5:$C$500,$A61,'LANÇAMENTOS DIÁRIOS'!$O$5:$O$500,"&lt;=99199",'LANÇAMENTOS DIÁRIOS'!$P$5:$P$500,"&gt;=99100")&gt;0,"X","")</f>
      </c>
      <c r="AC61" s="56" t="str">
        <f>IF(COUNTIFS('LANÇAMENTOS DIÁRIOS'!$G$5:$G$500,"C",'LANÇAMENTOS DIÁRIOS'!$C$5:$C$500,$A61,'LANÇAMENTOS DIÁRIOS'!$O$5:$O$500,"&lt;=99299",'LANÇAMENTOS DIÁRIOS'!$P$5:$P$500,"&gt;=99200")&gt;0,"X","")</f>
      </c>
      <c r="AD61" s="56" t="str">
        <f>IF(COUNTIFS('LANÇAMENTOS DIÁRIOS'!$G$5:$G$500,"C",'LANÇAMENTOS DIÁRIOS'!$C$5:$C$500,$A61,'LANÇAMENTOS DIÁRIOS'!$O$5:$O$500,"&lt;=99399",'LANÇAMENTOS DIÁRIOS'!$P$5:$P$500,"&gt;=99300")&gt;0,"X","")</f>
      </c>
      <c r="AE61" s="56" t="str">
        <f>IF(COUNTIFS('LANÇAMENTOS DIÁRIOS'!$G$5:$G$500,"C",'LANÇAMENTOS DIÁRIOS'!$C$5:$C$500,$A61,'LANÇAMENTOS DIÁRIOS'!$O$5:$O$500,"&lt;=99499",'LANÇAMENTOS DIÁRIOS'!$P$5:$P$500,"&gt;=99400")&gt;0,"X","")</f>
      </c>
      <c r="AF61" s="56" t="str">
        <f>IF(COUNTIFS('LANÇAMENTOS DIÁRIOS'!$G$5:$G$500,"C",'LANÇAMENTOS DIÁRIOS'!$C$5:$C$500,$A61,'LANÇAMENTOS DIÁRIOS'!$O$5:$O$500,"&lt;=99599",'LANÇAMENTOS DIÁRIOS'!$P$5:$P$500,"&gt;=99500")&gt;0,"X","")</f>
      </c>
      <c r="AG61" s="56" t="str">
        <f>IF(COUNTIFS('LANÇAMENTOS DIÁRIOS'!$G$5:$G$500,"C",'LANÇAMENTOS DIÁRIOS'!$C$5:$C$500,$A61,'LANÇAMENTOS DIÁRIOS'!$O$5:$O$500,"&lt;=99699",'LANÇAMENTOS DIÁRIOS'!$P$5:$P$500,"&gt;=99600")&gt;0,"X","")</f>
      </c>
      <c r="AH61" s="56" t="str">
        <f>IF(COUNTIFS('LANÇAMENTOS DIÁRIOS'!$G$5:$G$500,"C",'LANÇAMENTOS DIÁRIOS'!$C$5:$C$500,$A61,'LANÇAMENTOS DIÁRIOS'!$O$5:$O$500,"&lt;=99799",'LANÇAMENTOS DIÁRIOS'!$P$5:$P$500,"&gt;=99700")&gt;0,"X","")</f>
      </c>
      <c r="AI61" s="56" t="str">
        <f>IF(COUNTIFS('LANÇAMENTOS DIÁRIOS'!$G$5:$G$500,"C",'LANÇAMENTOS DIÁRIOS'!$C$5:$C$500,$A61,'LANÇAMENTOS DIÁRIOS'!$O$5:$O$500,"&lt;=99899",'LANÇAMENTOS DIÁRIOS'!$P$5:$P$500,"&gt;=99800")&gt;0,"X","")</f>
      </c>
      <c r="AJ61" s="56" t="str">
        <f>IF(COUNTIFS('LANÇAMENTOS DIÁRIOS'!$G$5:$G$500,"C",'LANÇAMENTOS DIÁRIOS'!$C$5:$C$500,$A61,'LANÇAMENTOS DIÁRIOS'!$O$5:$O$500,"&lt;=99999",'LANÇAMENTOS DIÁRIOS'!$P$5:$P$500,"&gt;=99900")&gt;0,"X","")</f>
      </c>
      <c r="AK61" s="56" t="str">
        <f>IF(COUNTIFS('LANÇAMENTOS DIÁRIOS'!$G$5:$G$500,"C",'LANÇAMENTOS DIÁRIOS'!$C$5:$C$500,$A61,'LANÇAMENTOS DIÁRIOS'!$O$5:$O$500,"&lt;=100099",'LANÇAMENTOS DIÁRIOS'!$P$5:$P$500,"&gt;=100000")&gt;0,"X","")</f>
      </c>
      <c r="AL61" s="56" t="str">
        <f>IF(COUNTIFS('LANÇAMENTOS DIÁRIOS'!$G$5:$G$500,"C",'LANÇAMENTOS DIÁRIOS'!$C$5:$C$500,$A61,'LANÇAMENTOS DIÁRIOS'!$O$5:$O$500,"&lt;=100199",'LANÇAMENTOS DIÁRIOS'!$P$5:$P$500,"&gt;=100100")&gt;0,"X","")</f>
      </c>
      <c r="AM61" s="56" t="str">
        <f>IF(COUNTIFS('LANÇAMENTOS DIÁRIOS'!$G$5:$G$500,"C",'LANÇAMENTOS DIÁRIOS'!$C$5:$C$500,$A61,'LANÇAMENTOS DIÁRIOS'!$O$5:$O$500,"&lt;=100299",'LANÇAMENTOS DIÁRIOS'!$P$5:$P$500,"&gt;=100200")&gt;0,"X","")</f>
      </c>
      <c r="AN61" s="56" t="str">
        <f>IF(COUNTIFS('LANÇAMENTOS DIÁRIOS'!$G$5:$G$500,"C",'LANÇAMENTOS DIÁRIOS'!$C$5:$C$500,$A61,'LANÇAMENTOS DIÁRIOS'!$O$5:$O$500,"&lt;=100399",'LANÇAMENTOS DIÁRIOS'!$P$5:$P$500,"&gt;=100300")&gt;0,"X","")</f>
      </c>
      <c r="AO61" s="56" t="str">
        <f>IF(COUNTIFS('LANÇAMENTOS DIÁRIOS'!$G$5:$G$500,"C",'LANÇAMENTOS DIÁRIOS'!$C$5:$C$500,$A61,'LANÇAMENTOS DIÁRIOS'!$O$5:$O$500,"&lt;=100499",'LANÇAMENTOS DIÁRIOS'!$P$5:$P$500,"&gt;=100400")&gt;0,"X","")</f>
      </c>
      <c r="AP61" s="56" t="str">
        <f>IF(COUNTIFS('LANÇAMENTOS DIÁRIOS'!$G$5:$G$500,"C",'LANÇAMENTOS DIÁRIOS'!$C$5:$C$500,$A61,'LANÇAMENTOS DIÁRIOS'!$O$5:$O$500,"&lt;=100500",'LANÇAMENTOS DIÁRIOS'!$P$5:$P$500,"&gt;=100500")&gt;0,"X","")</f>
      </c>
    </row>
    <row r="62">
      <c r="A62" s="51" t="str">
        <v>Regularização do subleito (*)</v>
      </c>
      <c r="B62" s="56" t="str">
        <f>IF(COUNTIFS('LANÇAMENTOS DIÁRIOS'!$G$5:$G$500,"C",'LANÇAMENTOS DIÁRIOS'!$C$5:$C$500,$A62,'LANÇAMENTOS DIÁRIOS'!$O$5:$O$500,"&lt;=96599",'LANÇAMENTOS DIÁRIOS'!$P$5:$P$500,"&gt;=96500")&gt;0,"X","")</f>
      </c>
      <c r="C62" s="56" t="str">
        <f>IF(COUNTIFS('LANÇAMENTOS DIÁRIOS'!$G$5:$G$500,"C",'LANÇAMENTOS DIÁRIOS'!$C$5:$C$500,$A62,'LANÇAMENTOS DIÁRIOS'!$O$5:$O$500,"&lt;=96699",'LANÇAMENTOS DIÁRIOS'!$P$5:$P$500,"&gt;=96600")&gt;0,"X","")</f>
      </c>
      <c r="D62" s="56" t="str">
        <f>IF(COUNTIFS('LANÇAMENTOS DIÁRIOS'!$G$5:$G$500,"C",'LANÇAMENTOS DIÁRIOS'!$C$5:$C$500,$A62,'LANÇAMENTOS DIÁRIOS'!$O$5:$O$500,"&lt;=96799",'LANÇAMENTOS DIÁRIOS'!$P$5:$P$500,"&gt;=96700")&gt;0,"X","")</f>
      </c>
      <c r="E62" s="56" t="str">
        <f>IF(COUNTIFS('LANÇAMENTOS DIÁRIOS'!$G$5:$G$500,"C",'LANÇAMENTOS DIÁRIOS'!$C$5:$C$500,$A62,'LANÇAMENTOS DIÁRIOS'!$O$5:$O$500,"&lt;=96899",'LANÇAMENTOS DIÁRIOS'!$P$5:$P$500,"&gt;=96800")&gt;0,"X","")</f>
      </c>
      <c r="F62" s="56" t="str">
        <f>IF(COUNTIFS('LANÇAMENTOS DIÁRIOS'!$G$5:$G$500,"C",'LANÇAMENTOS DIÁRIOS'!$C$5:$C$500,$A62,'LANÇAMENTOS DIÁRIOS'!$O$5:$O$500,"&lt;=96999",'LANÇAMENTOS DIÁRIOS'!$P$5:$P$500,"&gt;=96900")&gt;0,"X","")</f>
      </c>
      <c r="G62" s="56" t="str">
        <f>IF(COUNTIFS('LANÇAMENTOS DIÁRIOS'!$G$5:$G$500,"C",'LANÇAMENTOS DIÁRIOS'!$C$5:$C$500,$A62,'LANÇAMENTOS DIÁRIOS'!$O$5:$O$500,"&lt;=97099",'LANÇAMENTOS DIÁRIOS'!$P$5:$P$500,"&gt;=97000")&gt;0,"X","")</f>
      </c>
      <c r="H62" s="56" t="str">
        <f>IF(COUNTIFS('LANÇAMENTOS DIÁRIOS'!$G$5:$G$500,"C",'LANÇAMENTOS DIÁRIOS'!$C$5:$C$500,$A62,'LANÇAMENTOS DIÁRIOS'!$O$5:$O$500,"&lt;=97199",'LANÇAMENTOS DIÁRIOS'!$P$5:$P$500,"&gt;=97100")&gt;0,"X","")</f>
      </c>
      <c r="I62" s="56" t="str">
        <f>IF(COUNTIFS('LANÇAMENTOS DIÁRIOS'!$G$5:$G$500,"C",'LANÇAMENTOS DIÁRIOS'!$C$5:$C$500,$A62,'LANÇAMENTOS DIÁRIOS'!$O$5:$O$500,"&lt;=97299",'LANÇAMENTOS DIÁRIOS'!$P$5:$P$500,"&gt;=97200")&gt;0,"X","")</f>
      </c>
      <c r="J62" s="56" t="str">
        <f>IF(COUNTIFS('LANÇAMENTOS DIÁRIOS'!$G$5:$G$500,"C",'LANÇAMENTOS DIÁRIOS'!$C$5:$C$500,$A62,'LANÇAMENTOS DIÁRIOS'!$O$5:$O$500,"&lt;=97399",'LANÇAMENTOS DIÁRIOS'!$P$5:$P$500,"&gt;=97300")&gt;0,"X","")</f>
      </c>
      <c r="K62" s="56" t="str">
        <f>IF(COUNTIFS('LANÇAMENTOS DIÁRIOS'!$G$5:$G$500,"C",'LANÇAMENTOS DIÁRIOS'!$C$5:$C$500,$A62,'LANÇAMENTOS DIÁRIOS'!$O$5:$O$500,"&lt;=97499",'LANÇAMENTOS DIÁRIOS'!$P$5:$P$500,"&gt;=97400")&gt;0,"X","")</f>
      </c>
      <c r="L62" s="56" t="str">
        <f>IF(COUNTIFS('LANÇAMENTOS DIÁRIOS'!$G$5:$G$500,"C",'LANÇAMENTOS DIÁRIOS'!$C$5:$C$500,$A62,'LANÇAMENTOS DIÁRIOS'!$O$5:$O$500,"&lt;=97599",'LANÇAMENTOS DIÁRIOS'!$P$5:$P$500,"&gt;=97500")&gt;0,"X","")</f>
      </c>
      <c r="M62" s="56" t="str">
        <f>IF(COUNTIFS('LANÇAMENTOS DIÁRIOS'!$G$5:$G$500,"C",'LANÇAMENTOS DIÁRIOS'!$C$5:$C$500,$A62,'LANÇAMENTOS DIÁRIOS'!$O$5:$O$500,"&lt;=97699",'LANÇAMENTOS DIÁRIOS'!$P$5:$P$500,"&gt;=97600")&gt;0,"X","")</f>
      </c>
      <c r="N62" s="56" t="str">
        <f>IF(COUNTIFS('LANÇAMENTOS DIÁRIOS'!$G$5:$G$500,"C",'LANÇAMENTOS DIÁRIOS'!$C$5:$C$500,$A62,'LANÇAMENTOS DIÁRIOS'!$O$5:$O$500,"&lt;=97799",'LANÇAMENTOS DIÁRIOS'!$P$5:$P$500,"&gt;=97700")&gt;0,"X","")</f>
      </c>
      <c r="O62" s="56" t="str">
        <f>IF(COUNTIFS('LANÇAMENTOS DIÁRIOS'!$G$5:$G$500,"C",'LANÇAMENTOS DIÁRIOS'!$C$5:$C$500,$A62,'LANÇAMENTOS DIÁRIOS'!$O$5:$O$500,"&lt;=97899",'LANÇAMENTOS DIÁRIOS'!$P$5:$P$500,"&gt;=97800")&gt;0,"X","")</f>
      </c>
      <c r="P62" s="56" t="str">
        <f>IF(COUNTIFS('LANÇAMENTOS DIÁRIOS'!$G$5:$G$500,"C",'LANÇAMENTOS DIÁRIOS'!$C$5:$C$500,$A62,'LANÇAMENTOS DIÁRIOS'!$O$5:$O$500,"&lt;=97999",'LANÇAMENTOS DIÁRIOS'!$P$5:$P$500,"&gt;=97900")&gt;0,"X","")</f>
      </c>
      <c r="Q62" s="56" t="str">
        <f>IF(COUNTIFS('LANÇAMENTOS DIÁRIOS'!$G$5:$G$500,"C",'LANÇAMENTOS DIÁRIOS'!$C$5:$C$500,$A62,'LANÇAMENTOS DIÁRIOS'!$O$5:$O$500,"&lt;=98099",'LANÇAMENTOS DIÁRIOS'!$P$5:$P$500,"&gt;=98000")&gt;0,"X","")</f>
      </c>
      <c r="R62" s="56" t="str">
        <f>IF(COUNTIFS('LANÇAMENTOS DIÁRIOS'!$G$5:$G$500,"C",'LANÇAMENTOS DIÁRIOS'!$C$5:$C$500,$A62,'LANÇAMENTOS DIÁRIOS'!$O$5:$O$500,"&lt;=98199",'LANÇAMENTOS DIÁRIOS'!$P$5:$P$500,"&gt;=98100")&gt;0,"X","")</f>
      </c>
      <c r="S62" s="56" t="str">
        <f>IF(COUNTIFS('LANÇAMENTOS DIÁRIOS'!$G$5:$G$500,"C",'LANÇAMENTOS DIÁRIOS'!$C$5:$C$500,$A62,'LANÇAMENTOS DIÁRIOS'!$O$5:$O$500,"&lt;=98299",'LANÇAMENTOS DIÁRIOS'!$P$5:$P$500,"&gt;=98200")&gt;0,"X","")</f>
      </c>
      <c r="T62" s="56" t="str">
        <f>IF(COUNTIFS('LANÇAMENTOS DIÁRIOS'!$G$5:$G$500,"C",'LANÇAMENTOS DIÁRIOS'!$C$5:$C$500,$A62,'LANÇAMENTOS DIÁRIOS'!$O$5:$O$500,"&lt;=98399",'LANÇAMENTOS DIÁRIOS'!$P$5:$P$500,"&gt;=98300")&gt;0,"X","")</f>
      </c>
      <c r="U62" s="56" t="str">
        <f>IF(COUNTIFS('LANÇAMENTOS DIÁRIOS'!$G$5:$G$500,"C",'LANÇAMENTOS DIÁRIOS'!$C$5:$C$500,$A62,'LANÇAMENTOS DIÁRIOS'!$O$5:$O$500,"&lt;=98499",'LANÇAMENTOS DIÁRIOS'!$P$5:$P$500,"&gt;=98400")&gt;0,"X","")</f>
      </c>
      <c r="V62" s="56" t="str">
        <f>IF(COUNTIFS('LANÇAMENTOS DIÁRIOS'!$G$5:$G$500,"C",'LANÇAMENTOS DIÁRIOS'!$C$5:$C$500,$A62,'LANÇAMENTOS DIÁRIOS'!$O$5:$O$500,"&lt;=98599",'LANÇAMENTOS DIÁRIOS'!$P$5:$P$500,"&gt;=98500")&gt;0,"X","")</f>
      </c>
      <c r="W62" s="56" t="str">
        <f>IF(COUNTIFS('LANÇAMENTOS DIÁRIOS'!$G$5:$G$500,"C",'LANÇAMENTOS DIÁRIOS'!$C$5:$C$500,$A62,'LANÇAMENTOS DIÁRIOS'!$O$5:$O$500,"&lt;=98699",'LANÇAMENTOS DIÁRIOS'!$P$5:$P$500,"&gt;=98600")&gt;0,"X","")</f>
      </c>
      <c r="X62" s="56" t="str">
        <f>IF(COUNTIFS('LANÇAMENTOS DIÁRIOS'!$G$5:$G$500,"C",'LANÇAMENTOS DIÁRIOS'!$C$5:$C$500,$A62,'LANÇAMENTOS DIÁRIOS'!$O$5:$O$500,"&lt;=98799",'LANÇAMENTOS DIÁRIOS'!$P$5:$P$500,"&gt;=98700")&gt;0,"X","")</f>
      </c>
      <c r="Y62" s="56" t="str">
        <f>IF(COUNTIFS('LANÇAMENTOS DIÁRIOS'!$G$5:$G$500,"C",'LANÇAMENTOS DIÁRIOS'!$C$5:$C$500,$A62,'LANÇAMENTOS DIÁRIOS'!$O$5:$O$500,"&lt;=98899",'LANÇAMENTOS DIÁRIOS'!$P$5:$P$500,"&gt;=98800")&gt;0,"X","")</f>
      </c>
      <c r="Z62" s="56" t="str">
        <f>IF(COUNTIFS('LANÇAMENTOS DIÁRIOS'!$G$5:$G$500,"C",'LANÇAMENTOS DIÁRIOS'!$C$5:$C$500,$A62,'LANÇAMENTOS DIÁRIOS'!$O$5:$O$500,"&lt;=98999",'LANÇAMENTOS DIÁRIOS'!$P$5:$P$500,"&gt;=98900")&gt;0,"X","")</f>
      </c>
      <c r="AA62" s="56" t="str">
        <f>IF(COUNTIFS('LANÇAMENTOS DIÁRIOS'!$G$5:$G$500,"C",'LANÇAMENTOS DIÁRIOS'!$C$5:$C$500,$A62,'LANÇAMENTOS DIÁRIOS'!$O$5:$O$500,"&lt;=99099",'LANÇAMENTOS DIÁRIOS'!$P$5:$P$500,"&gt;=99000")&gt;0,"X","")</f>
      </c>
      <c r="AB62" s="56" t="str">
        <f>IF(COUNTIFS('LANÇAMENTOS DIÁRIOS'!$G$5:$G$500,"C",'LANÇAMENTOS DIÁRIOS'!$C$5:$C$500,$A62,'LANÇAMENTOS DIÁRIOS'!$O$5:$O$500,"&lt;=99199",'LANÇAMENTOS DIÁRIOS'!$P$5:$P$500,"&gt;=99100")&gt;0,"X","")</f>
      </c>
      <c r="AC62" s="56" t="str">
        <f>IF(COUNTIFS('LANÇAMENTOS DIÁRIOS'!$G$5:$G$500,"C",'LANÇAMENTOS DIÁRIOS'!$C$5:$C$500,$A62,'LANÇAMENTOS DIÁRIOS'!$O$5:$O$500,"&lt;=99299",'LANÇAMENTOS DIÁRIOS'!$P$5:$P$500,"&gt;=99200")&gt;0,"X","")</f>
      </c>
      <c r="AD62" s="56" t="str">
        <f>IF(COUNTIFS('LANÇAMENTOS DIÁRIOS'!$G$5:$G$500,"C",'LANÇAMENTOS DIÁRIOS'!$C$5:$C$500,$A62,'LANÇAMENTOS DIÁRIOS'!$O$5:$O$500,"&lt;=99399",'LANÇAMENTOS DIÁRIOS'!$P$5:$P$500,"&gt;=99300")&gt;0,"X","")</f>
      </c>
      <c r="AE62" s="56" t="str">
        <f>IF(COUNTIFS('LANÇAMENTOS DIÁRIOS'!$G$5:$G$500,"C",'LANÇAMENTOS DIÁRIOS'!$C$5:$C$500,$A62,'LANÇAMENTOS DIÁRIOS'!$O$5:$O$500,"&lt;=99499",'LANÇAMENTOS DIÁRIOS'!$P$5:$P$500,"&gt;=99400")&gt;0,"X","")</f>
      </c>
      <c r="AF62" s="56" t="str">
        <f>IF(COUNTIFS('LANÇAMENTOS DIÁRIOS'!$G$5:$G$500,"C",'LANÇAMENTOS DIÁRIOS'!$C$5:$C$500,$A62,'LANÇAMENTOS DIÁRIOS'!$O$5:$O$500,"&lt;=99599",'LANÇAMENTOS DIÁRIOS'!$P$5:$P$500,"&gt;=99500")&gt;0,"X","")</f>
      </c>
      <c r="AG62" s="56" t="str">
        <f>IF(COUNTIFS('LANÇAMENTOS DIÁRIOS'!$G$5:$G$500,"C",'LANÇAMENTOS DIÁRIOS'!$C$5:$C$500,$A62,'LANÇAMENTOS DIÁRIOS'!$O$5:$O$500,"&lt;=99699",'LANÇAMENTOS DIÁRIOS'!$P$5:$P$500,"&gt;=99600")&gt;0,"X","")</f>
      </c>
      <c r="AH62" s="56" t="str">
        <f>IF(COUNTIFS('LANÇAMENTOS DIÁRIOS'!$G$5:$G$500,"C",'LANÇAMENTOS DIÁRIOS'!$C$5:$C$500,$A62,'LANÇAMENTOS DIÁRIOS'!$O$5:$O$500,"&lt;=99799",'LANÇAMENTOS DIÁRIOS'!$P$5:$P$500,"&gt;=99700")&gt;0,"X","")</f>
      </c>
      <c r="AI62" s="56" t="str">
        <f>IF(COUNTIFS('LANÇAMENTOS DIÁRIOS'!$G$5:$G$500,"C",'LANÇAMENTOS DIÁRIOS'!$C$5:$C$500,$A62,'LANÇAMENTOS DIÁRIOS'!$O$5:$O$500,"&lt;=99899",'LANÇAMENTOS DIÁRIOS'!$P$5:$P$500,"&gt;=99800")&gt;0,"X","")</f>
      </c>
      <c r="AJ62" s="56" t="str">
        <f>IF(COUNTIFS('LANÇAMENTOS DIÁRIOS'!$G$5:$G$500,"C",'LANÇAMENTOS DIÁRIOS'!$C$5:$C$500,$A62,'LANÇAMENTOS DIÁRIOS'!$O$5:$O$500,"&lt;=99999",'LANÇAMENTOS DIÁRIOS'!$P$5:$P$500,"&gt;=99900")&gt;0,"X","")</f>
      </c>
      <c r="AK62" s="56" t="str">
        <f>IF(COUNTIFS('LANÇAMENTOS DIÁRIOS'!$G$5:$G$500,"C",'LANÇAMENTOS DIÁRIOS'!$C$5:$C$500,$A62,'LANÇAMENTOS DIÁRIOS'!$O$5:$O$500,"&lt;=100099",'LANÇAMENTOS DIÁRIOS'!$P$5:$P$500,"&gt;=100000")&gt;0,"X","")</f>
      </c>
      <c r="AL62" s="56" t="str">
        <f>IF(COUNTIFS('LANÇAMENTOS DIÁRIOS'!$G$5:$G$500,"C",'LANÇAMENTOS DIÁRIOS'!$C$5:$C$500,$A62,'LANÇAMENTOS DIÁRIOS'!$O$5:$O$500,"&lt;=100199",'LANÇAMENTOS DIÁRIOS'!$P$5:$P$500,"&gt;=100100")&gt;0,"X","")</f>
      </c>
      <c r="AM62" s="56" t="str">
        <f>IF(COUNTIFS('LANÇAMENTOS DIÁRIOS'!$G$5:$G$500,"C",'LANÇAMENTOS DIÁRIOS'!$C$5:$C$500,$A62,'LANÇAMENTOS DIÁRIOS'!$O$5:$O$500,"&lt;=100299",'LANÇAMENTOS DIÁRIOS'!$P$5:$P$500,"&gt;=100200")&gt;0,"X","")</f>
      </c>
      <c r="AN62" s="56" t="str">
        <f>IF(COUNTIFS('LANÇAMENTOS DIÁRIOS'!$G$5:$G$500,"C",'LANÇAMENTOS DIÁRIOS'!$C$5:$C$500,$A62,'LANÇAMENTOS DIÁRIOS'!$O$5:$O$500,"&lt;=100399",'LANÇAMENTOS DIÁRIOS'!$P$5:$P$500,"&gt;=100300")&gt;0,"X","")</f>
      </c>
      <c r="AO62" s="56" t="str">
        <f>IF(COUNTIFS('LANÇAMENTOS DIÁRIOS'!$G$5:$G$500,"C",'LANÇAMENTOS DIÁRIOS'!$C$5:$C$500,$A62,'LANÇAMENTOS DIÁRIOS'!$O$5:$O$500,"&lt;=100499",'LANÇAMENTOS DIÁRIOS'!$P$5:$P$500,"&gt;=100400")&gt;0,"X","")</f>
      </c>
      <c r="AP62" s="56" t="str">
        <f>IF(COUNTIFS('LANÇAMENTOS DIÁRIOS'!$G$5:$G$500,"C",'LANÇAMENTOS DIÁRIOS'!$C$5:$C$500,$A62,'LANÇAMENTOS DIÁRIOS'!$O$5:$O$500,"&lt;=100500",'LANÇAMENTOS DIÁRIOS'!$P$5:$P$500,"&gt;=100500")&gt;0,"X","")</f>
      </c>
    </row>
    <row r="63">
      <c r="A63" s="51" t="str">
        <v>Compactação de aterro a 100% do proctor intermediário (*)</v>
      </c>
      <c r="B63" s="56" t="str">
        <f>IF(COUNTIFS('LANÇAMENTOS DIÁRIOS'!$G$5:$G$500,"C",'LANÇAMENTOS DIÁRIOS'!$C$5:$C$500,$A63,'LANÇAMENTOS DIÁRIOS'!$O$5:$O$500,"&lt;=96599",'LANÇAMENTOS DIÁRIOS'!$P$5:$P$500,"&gt;=96500")&gt;0,"X","")</f>
      </c>
      <c r="C63" s="56" t="str">
        <f>IF(COUNTIFS('LANÇAMENTOS DIÁRIOS'!$G$5:$G$500,"C",'LANÇAMENTOS DIÁRIOS'!$C$5:$C$500,$A63,'LANÇAMENTOS DIÁRIOS'!$O$5:$O$500,"&lt;=96699",'LANÇAMENTOS DIÁRIOS'!$P$5:$P$500,"&gt;=96600")&gt;0,"X","")</f>
      </c>
      <c r="D63" s="56" t="str">
        <f>IF(COUNTIFS('LANÇAMENTOS DIÁRIOS'!$G$5:$G$500,"C",'LANÇAMENTOS DIÁRIOS'!$C$5:$C$500,$A63,'LANÇAMENTOS DIÁRIOS'!$O$5:$O$500,"&lt;=96799",'LANÇAMENTOS DIÁRIOS'!$P$5:$P$500,"&gt;=96700")&gt;0,"X","")</f>
      </c>
      <c r="E63" s="56" t="str">
        <f>IF(COUNTIFS('LANÇAMENTOS DIÁRIOS'!$G$5:$G$500,"C",'LANÇAMENTOS DIÁRIOS'!$C$5:$C$500,$A63,'LANÇAMENTOS DIÁRIOS'!$O$5:$O$500,"&lt;=96899",'LANÇAMENTOS DIÁRIOS'!$P$5:$P$500,"&gt;=96800")&gt;0,"X","")</f>
      </c>
      <c r="F63" s="56" t="str">
        <f>IF(COUNTIFS('LANÇAMENTOS DIÁRIOS'!$G$5:$G$500,"C",'LANÇAMENTOS DIÁRIOS'!$C$5:$C$500,$A63,'LANÇAMENTOS DIÁRIOS'!$O$5:$O$500,"&lt;=96999",'LANÇAMENTOS DIÁRIOS'!$P$5:$P$500,"&gt;=96900")&gt;0,"X","")</f>
      </c>
      <c r="G63" s="56" t="str">
        <f>IF(COUNTIFS('LANÇAMENTOS DIÁRIOS'!$G$5:$G$500,"C",'LANÇAMENTOS DIÁRIOS'!$C$5:$C$500,$A63,'LANÇAMENTOS DIÁRIOS'!$O$5:$O$500,"&lt;=97099",'LANÇAMENTOS DIÁRIOS'!$P$5:$P$500,"&gt;=97000")&gt;0,"X","")</f>
      </c>
      <c r="H63" s="56" t="str">
        <f>IF(COUNTIFS('LANÇAMENTOS DIÁRIOS'!$G$5:$G$500,"C",'LANÇAMENTOS DIÁRIOS'!$C$5:$C$500,$A63,'LANÇAMENTOS DIÁRIOS'!$O$5:$O$500,"&lt;=97199",'LANÇAMENTOS DIÁRIOS'!$P$5:$P$500,"&gt;=97100")&gt;0,"X","")</f>
      </c>
      <c r="I63" s="56" t="str">
        <f>IF(COUNTIFS('LANÇAMENTOS DIÁRIOS'!$G$5:$G$500,"C",'LANÇAMENTOS DIÁRIOS'!$C$5:$C$500,$A63,'LANÇAMENTOS DIÁRIOS'!$O$5:$O$500,"&lt;=97299",'LANÇAMENTOS DIÁRIOS'!$P$5:$P$500,"&gt;=97200")&gt;0,"X","")</f>
      </c>
      <c r="J63" s="56" t="str">
        <f>IF(COUNTIFS('LANÇAMENTOS DIÁRIOS'!$G$5:$G$500,"C",'LANÇAMENTOS DIÁRIOS'!$C$5:$C$500,$A63,'LANÇAMENTOS DIÁRIOS'!$O$5:$O$500,"&lt;=97399",'LANÇAMENTOS DIÁRIOS'!$P$5:$P$500,"&gt;=97300")&gt;0,"X","")</f>
      </c>
      <c r="K63" s="56" t="str">
        <f>IF(COUNTIFS('LANÇAMENTOS DIÁRIOS'!$G$5:$G$500,"C",'LANÇAMENTOS DIÁRIOS'!$C$5:$C$500,$A63,'LANÇAMENTOS DIÁRIOS'!$O$5:$O$500,"&lt;=97499",'LANÇAMENTOS DIÁRIOS'!$P$5:$P$500,"&gt;=97400")&gt;0,"X","")</f>
      </c>
      <c r="L63" s="56" t="str">
        <f>IF(COUNTIFS('LANÇAMENTOS DIÁRIOS'!$G$5:$G$500,"C",'LANÇAMENTOS DIÁRIOS'!$C$5:$C$500,$A63,'LANÇAMENTOS DIÁRIOS'!$O$5:$O$500,"&lt;=97599",'LANÇAMENTOS DIÁRIOS'!$P$5:$P$500,"&gt;=97500")&gt;0,"X","")</f>
      </c>
      <c r="M63" s="56" t="str">
        <f>IF(COUNTIFS('LANÇAMENTOS DIÁRIOS'!$G$5:$G$500,"C",'LANÇAMENTOS DIÁRIOS'!$C$5:$C$500,$A63,'LANÇAMENTOS DIÁRIOS'!$O$5:$O$500,"&lt;=97699",'LANÇAMENTOS DIÁRIOS'!$P$5:$P$500,"&gt;=97600")&gt;0,"X","")</f>
      </c>
      <c r="N63" s="56" t="str">
        <f>IF(COUNTIFS('LANÇAMENTOS DIÁRIOS'!$G$5:$G$500,"C",'LANÇAMENTOS DIÁRIOS'!$C$5:$C$500,$A63,'LANÇAMENTOS DIÁRIOS'!$O$5:$O$500,"&lt;=97799",'LANÇAMENTOS DIÁRIOS'!$P$5:$P$500,"&gt;=97700")&gt;0,"X","")</f>
      </c>
      <c r="O63" s="56" t="str">
        <f>IF(COUNTIFS('LANÇAMENTOS DIÁRIOS'!$G$5:$G$500,"C",'LANÇAMENTOS DIÁRIOS'!$C$5:$C$500,$A63,'LANÇAMENTOS DIÁRIOS'!$O$5:$O$500,"&lt;=97899",'LANÇAMENTOS DIÁRIOS'!$P$5:$P$500,"&gt;=97800")&gt;0,"X","")</f>
      </c>
      <c r="P63" s="56" t="str">
        <f>IF(COUNTIFS('LANÇAMENTOS DIÁRIOS'!$G$5:$G$500,"C",'LANÇAMENTOS DIÁRIOS'!$C$5:$C$500,$A63,'LANÇAMENTOS DIÁRIOS'!$O$5:$O$500,"&lt;=97999",'LANÇAMENTOS DIÁRIOS'!$P$5:$P$500,"&gt;=97900")&gt;0,"X","")</f>
      </c>
      <c r="Q63" s="56" t="str">
        <f>IF(COUNTIFS('LANÇAMENTOS DIÁRIOS'!$G$5:$G$500,"C",'LANÇAMENTOS DIÁRIOS'!$C$5:$C$500,$A63,'LANÇAMENTOS DIÁRIOS'!$O$5:$O$500,"&lt;=98099",'LANÇAMENTOS DIÁRIOS'!$P$5:$P$500,"&gt;=98000")&gt;0,"X","")</f>
      </c>
      <c r="R63" s="56" t="str">
        <f>IF(COUNTIFS('LANÇAMENTOS DIÁRIOS'!$G$5:$G$500,"C",'LANÇAMENTOS DIÁRIOS'!$C$5:$C$500,$A63,'LANÇAMENTOS DIÁRIOS'!$O$5:$O$500,"&lt;=98199",'LANÇAMENTOS DIÁRIOS'!$P$5:$P$500,"&gt;=98100")&gt;0,"X","")</f>
      </c>
      <c r="S63" s="56" t="str">
        <f>IF(COUNTIFS('LANÇAMENTOS DIÁRIOS'!$G$5:$G$500,"C",'LANÇAMENTOS DIÁRIOS'!$C$5:$C$500,$A63,'LANÇAMENTOS DIÁRIOS'!$O$5:$O$500,"&lt;=98299",'LANÇAMENTOS DIÁRIOS'!$P$5:$P$500,"&gt;=98200")&gt;0,"X","")</f>
      </c>
      <c r="T63" s="56" t="str">
        <f>IF(COUNTIFS('LANÇAMENTOS DIÁRIOS'!$G$5:$G$500,"C",'LANÇAMENTOS DIÁRIOS'!$C$5:$C$500,$A63,'LANÇAMENTOS DIÁRIOS'!$O$5:$O$500,"&lt;=98399",'LANÇAMENTOS DIÁRIOS'!$P$5:$P$500,"&gt;=98300")&gt;0,"X","")</f>
      </c>
      <c r="U63" s="56" t="str">
        <f>IF(COUNTIFS('LANÇAMENTOS DIÁRIOS'!$G$5:$G$500,"C",'LANÇAMENTOS DIÁRIOS'!$C$5:$C$500,$A63,'LANÇAMENTOS DIÁRIOS'!$O$5:$O$500,"&lt;=98499",'LANÇAMENTOS DIÁRIOS'!$P$5:$P$500,"&gt;=98400")&gt;0,"X","")</f>
      </c>
      <c r="V63" s="56" t="str">
        <f>IF(COUNTIFS('LANÇAMENTOS DIÁRIOS'!$G$5:$G$500,"C",'LANÇAMENTOS DIÁRIOS'!$C$5:$C$500,$A63,'LANÇAMENTOS DIÁRIOS'!$O$5:$O$500,"&lt;=98599",'LANÇAMENTOS DIÁRIOS'!$P$5:$P$500,"&gt;=98500")&gt;0,"X","")</f>
      </c>
      <c r="W63" s="56" t="str">
        <f>IF(COUNTIFS('LANÇAMENTOS DIÁRIOS'!$G$5:$G$500,"C",'LANÇAMENTOS DIÁRIOS'!$C$5:$C$500,$A63,'LANÇAMENTOS DIÁRIOS'!$O$5:$O$500,"&lt;=98699",'LANÇAMENTOS DIÁRIOS'!$P$5:$P$500,"&gt;=98600")&gt;0,"X","")</f>
      </c>
      <c r="X63" s="56" t="str">
        <f>IF(COUNTIFS('LANÇAMENTOS DIÁRIOS'!$G$5:$G$500,"C",'LANÇAMENTOS DIÁRIOS'!$C$5:$C$500,$A63,'LANÇAMENTOS DIÁRIOS'!$O$5:$O$500,"&lt;=98799",'LANÇAMENTOS DIÁRIOS'!$P$5:$P$500,"&gt;=98700")&gt;0,"X","")</f>
      </c>
      <c r="Y63" s="56" t="str">
        <f>IF(COUNTIFS('LANÇAMENTOS DIÁRIOS'!$G$5:$G$500,"C",'LANÇAMENTOS DIÁRIOS'!$C$5:$C$500,$A63,'LANÇAMENTOS DIÁRIOS'!$O$5:$O$500,"&lt;=98899",'LANÇAMENTOS DIÁRIOS'!$P$5:$P$500,"&gt;=98800")&gt;0,"X","")</f>
      </c>
      <c r="Z63" s="56" t="str">
        <f>IF(COUNTIFS('LANÇAMENTOS DIÁRIOS'!$G$5:$G$500,"C",'LANÇAMENTOS DIÁRIOS'!$C$5:$C$500,$A63,'LANÇAMENTOS DIÁRIOS'!$O$5:$O$500,"&lt;=98999",'LANÇAMENTOS DIÁRIOS'!$P$5:$P$500,"&gt;=98900")&gt;0,"X","")</f>
      </c>
      <c r="AA63" s="56" t="str">
        <f>IF(COUNTIFS('LANÇAMENTOS DIÁRIOS'!$G$5:$G$500,"C",'LANÇAMENTOS DIÁRIOS'!$C$5:$C$500,$A63,'LANÇAMENTOS DIÁRIOS'!$O$5:$O$500,"&lt;=99099",'LANÇAMENTOS DIÁRIOS'!$P$5:$P$500,"&gt;=99000")&gt;0,"X","")</f>
      </c>
      <c r="AB63" s="56" t="str">
        <f>IF(COUNTIFS('LANÇAMENTOS DIÁRIOS'!$G$5:$G$500,"C",'LANÇAMENTOS DIÁRIOS'!$C$5:$C$500,$A63,'LANÇAMENTOS DIÁRIOS'!$O$5:$O$500,"&lt;=99199",'LANÇAMENTOS DIÁRIOS'!$P$5:$P$500,"&gt;=99100")&gt;0,"X","")</f>
      </c>
      <c r="AC63" s="56" t="str">
        <f>IF(COUNTIFS('LANÇAMENTOS DIÁRIOS'!$G$5:$G$500,"C",'LANÇAMENTOS DIÁRIOS'!$C$5:$C$500,$A63,'LANÇAMENTOS DIÁRIOS'!$O$5:$O$500,"&lt;=99299",'LANÇAMENTOS DIÁRIOS'!$P$5:$P$500,"&gt;=99200")&gt;0,"X","")</f>
      </c>
      <c r="AD63" s="56" t="str">
        <f>IF(COUNTIFS('LANÇAMENTOS DIÁRIOS'!$G$5:$G$500,"C",'LANÇAMENTOS DIÁRIOS'!$C$5:$C$500,$A63,'LANÇAMENTOS DIÁRIOS'!$O$5:$O$500,"&lt;=99399",'LANÇAMENTOS DIÁRIOS'!$P$5:$P$500,"&gt;=99300")&gt;0,"X","")</f>
      </c>
      <c r="AE63" s="56" t="str">
        <f>IF(COUNTIFS('LANÇAMENTOS DIÁRIOS'!$G$5:$G$500,"C",'LANÇAMENTOS DIÁRIOS'!$C$5:$C$500,$A63,'LANÇAMENTOS DIÁRIOS'!$O$5:$O$500,"&lt;=99499",'LANÇAMENTOS DIÁRIOS'!$P$5:$P$500,"&gt;=99400")&gt;0,"X","")</f>
      </c>
      <c r="AF63" s="56" t="str">
        <f>IF(COUNTIFS('LANÇAMENTOS DIÁRIOS'!$G$5:$G$500,"C",'LANÇAMENTOS DIÁRIOS'!$C$5:$C$500,$A63,'LANÇAMENTOS DIÁRIOS'!$O$5:$O$500,"&lt;=99599",'LANÇAMENTOS DIÁRIOS'!$P$5:$P$500,"&gt;=99500")&gt;0,"X","")</f>
      </c>
      <c r="AG63" s="56" t="str">
        <f>IF(COUNTIFS('LANÇAMENTOS DIÁRIOS'!$G$5:$G$500,"C",'LANÇAMENTOS DIÁRIOS'!$C$5:$C$500,$A63,'LANÇAMENTOS DIÁRIOS'!$O$5:$O$500,"&lt;=99699",'LANÇAMENTOS DIÁRIOS'!$P$5:$P$500,"&gt;=99600")&gt;0,"X","")</f>
      </c>
      <c r="AH63" s="56" t="str">
        <f>IF(COUNTIFS('LANÇAMENTOS DIÁRIOS'!$G$5:$G$500,"C",'LANÇAMENTOS DIÁRIOS'!$C$5:$C$500,$A63,'LANÇAMENTOS DIÁRIOS'!$O$5:$O$500,"&lt;=99799",'LANÇAMENTOS DIÁRIOS'!$P$5:$P$500,"&gt;=99700")&gt;0,"X","")</f>
      </c>
      <c r="AI63" s="56" t="str">
        <f>IF(COUNTIFS('LANÇAMENTOS DIÁRIOS'!$G$5:$G$500,"C",'LANÇAMENTOS DIÁRIOS'!$C$5:$C$500,$A63,'LANÇAMENTOS DIÁRIOS'!$O$5:$O$500,"&lt;=99899",'LANÇAMENTOS DIÁRIOS'!$P$5:$P$500,"&gt;=99800")&gt;0,"X","")</f>
      </c>
      <c r="AJ63" s="56" t="str">
        <f>IF(COUNTIFS('LANÇAMENTOS DIÁRIOS'!$G$5:$G$500,"C",'LANÇAMENTOS DIÁRIOS'!$C$5:$C$500,$A63,'LANÇAMENTOS DIÁRIOS'!$O$5:$O$500,"&lt;=99999",'LANÇAMENTOS DIÁRIOS'!$P$5:$P$500,"&gt;=99900")&gt;0,"X","")</f>
      </c>
      <c r="AK63" s="56" t="str">
        <f>IF(COUNTIFS('LANÇAMENTOS DIÁRIOS'!$G$5:$G$500,"C",'LANÇAMENTOS DIÁRIOS'!$C$5:$C$500,$A63,'LANÇAMENTOS DIÁRIOS'!$O$5:$O$500,"&lt;=100099",'LANÇAMENTOS DIÁRIOS'!$P$5:$P$500,"&gt;=100000")&gt;0,"X","")</f>
      </c>
      <c r="AL63" s="56" t="str">
        <f>IF(COUNTIFS('LANÇAMENTOS DIÁRIOS'!$G$5:$G$500,"C",'LANÇAMENTOS DIÁRIOS'!$C$5:$C$500,$A63,'LANÇAMENTOS DIÁRIOS'!$O$5:$O$500,"&lt;=100199",'LANÇAMENTOS DIÁRIOS'!$P$5:$P$500,"&gt;=100100")&gt;0,"X","")</f>
      </c>
      <c r="AM63" s="56" t="str">
        <f>IF(COUNTIFS('LANÇAMENTOS DIÁRIOS'!$G$5:$G$500,"C",'LANÇAMENTOS DIÁRIOS'!$C$5:$C$500,$A63,'LANÇAMENTOS DIÁRIOS'!$O$5:$O$500,"&lt;=100299",'LANÇAMENTOS DIÁRIOS'!$P$5:$P$500,"&gt;=100200")&gt;0,"X","")</f>
      </c>
      <c r="AN63" s="56" t="str">
        <f>IF(COUNTIFS('LANÇAMENTOS DIÁRIOS'!$G$5:$G$500,"C",'LANÇAMENTOS DIÁRIOS'!$C$5:$C$500,$A63,'LANÇAMENTOS DIÁRIOS'!$O$5:$O$500,"&lt;=100399",'LANÇAMENTOS DIÁRIOS'!$P$5:$P$500,"&gt;=100300")&gt;0,"X","")</f>
      </c>
      <c r="AO63" s="56" t="str">
        <f>IF(COUNTIFS('LANÇAMENTOS DIÁRIOS'!$G$5:$G$500,"C",'LANÇAMENTOS DIÁRIOS'!$C$5:$C$500,$A63,'LANÇAMENTOS DIÁRIOS'!$O$5:$O$500,"&lt;=100499",'LANÇAMENTOS DIÁRIOS'!$P$5:$P$500,"&gt;=100400")&gt;0,"X","")</f>
      </c>
      <c r="AP63" s="56" t="str">
        <f>IF(COUNTIFS('LANÇAMENTOS DIÁRIOS'!$G$5:$G$500,"C",'LANÇAMENTOS DIÁRIOS'!$C$5:$C$500,$A63,'LANÇAMENTOS DIÁRIOS'!$O$5:$O$500,"&lt;=100500",'LANÇAMENTOS DIÁRIOS'!$P$5:$P$500,"&gt;=100500")&gt;0,"X","")</f>
      </c>
    </row>
    <row r="64" ht="19" customHeight="1">
      <c r="A64" s="68" t="str">
        <v>Aplicação de geomanta e geogrelha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</row>
    <row r="65">
      <c r="A65" s="51" t="str">
        <v>Geogrelha uniaxial com deformação máxima de 10% e resistência nominal de 100kN/m - Sem o fronecimento de materiais</v>
      </c>
      <c r="B65" s="56" t="str">
        <f>IF(COUNTIFS('LANÇAMENTOS DIÁRIOS'!$G$5:$G$500,"C",'LANÇAMENTOS DIÁRIOS'!$C$5:$C$500,$A65,'LANÇAMENTOS DIÁRIOS'!$O$5:$O$500,"&lt;=96599",'LANÇAMENTOS DIÁRIOS'!$P$5:$P$500,"&gt;=96500")&gt;0,"X","")</f>
      </c>
      <c r="C65" s="56" t="str">
        <f>IF(COUNTIFS('LANÇAMENTOS DIÁRIOS'!$G$5:$G$500,"C",'LANÇAMENTOS DIÁRIOS'!$C$5:$C$500,$A65,'LANÇAMENTOS DIÁRIOS'!$O$5:$O$500,"&lt;=96699",'LANÇAMENTOS DIÁRIOS'!$P$5:$P$500,"&gt;=96600")&gt;0,"X","")</f>
      </c>
      <c r="D65" s="56" t="str">
        <f>IF(COUNTIFS('LANÇAMENTOS DIÁRIOS'!$G$5:$G$500,"C",'LANÇAMENTOS DIÁRIOS'!$C$5:$C$500,$A65,'LANÇAMENTOS DIÁRIOS'!$O$5:$O$500,"&lt;=96799",'LANÇAMENTOS DIÁRIOS'!$P$5:$P$500,"&gt;=96700")&gt;0,"X","")</f>
      </c>
      <c r="E65" s="56" t="str">
        <f>IF(COUNTIFS('LANÇAMENTOS DIÁRIOS'!$G$5:$G$500,"C",'LANÇAMENTOS DIÁRIOS'!$C$5:$C$500,$A65,'LANÇAMENTOS DIÁRIOS'!$O$5:$O$500,"&lt;=96899",'LANÇAMENTOS DIÁRIOS'!$P$5:$P$500,"&gt;=96800")&gt;0,"X","")</f>
      </c>
      <c r="F65" s="56" t="str">
        <f>IF(COUNTIFS('LANÇAMENTOS DIÁRIOS'!$G$5:$G$500,"C",'LANÇAMENTOS DIÁRIOS'!$C$5:$C$500,$A65,'LANÇAMENTOS DIÁRIOS'!$O$5:$O$500,"&lt;=96999",'LANÇAMENTOS DIÁRIOS'!$P$5:$P$500,"&gt;=96900")&gt;0,"X","")</f>
      </c>
      <c r="G65" s="56" t="str">
        <f>IF(COUNTIFS('LANÇAMENTOS DIÁRIOS'!$G$5:$G$500,"C",'LANÇAMENTOS DIÁRIOS'!$C$5:$C$500,$A65,'LANÇAMENTOS DIÁRIOS'!$O$5:$O$500,"&lt;=97099",'LANÇAMENTOS DIÁRIOS'!$P$5:$P$500,"&gt;=97000")&gt;0,"X","")</f>
      </c>
      <c r="H65" s="56" t="str">
        <f>IF(COUNTIFS('LANÇAMENTOS DIÁRIOS'!$G$5:$G$500,"C",'LANÇAMENTOS DIÁRIOS'!$C$5:$C$500,$A65,'LANÇAMENTOS DIÁRIOS'!$O$5:$O$500,"&lt;=97199",'LANÇAMENTOS DIÁRIOS'!$P$5:$P$500,"&gt;=97100")&gt;0,"X","")</f>
      </c>
      <c r="I65" s="56" t="str">
        <f>IF(COUNTIFS('LANÇAMENTOS DIÁRIOS'!$G$5:$G$500,"C",'LANÇAMENTOS DIÁRIOS'!$C$5:$C$500,$A65,'LANÇAMENTOS DIÁRIOS'!$O$5:$O$500,"&lt;=97299",'LANÇAMENTOS DIÁRIOS'!$P$5:$P$500,"&gt;=97200")&gt;0,"X","")</f>
      </c>
      <c r="J65" s="56" t="str">
        <f>IF(COUNTIFS('LANÇAMENTOS DIÁRIOS'!$G$5:$G$500,"C",'LANÇAMENTOS DIÁRIOS'!$C$5:$C$500,$A65,'LANÇAMENTOS DIÁRIOS'!$O$5:$O$500,"&lt;=97399",'LANÇAMENTOS DIÁRIOS'!$P$5:$P$500,"&gt;=97300")&gt;0,"X","")</f>
      </c>
      <c r="K65" s="56" t="str">
        <f>IF(COUNTIFS('LANÇAMENTOS DIÁRIOS'!$G$5:$G$500,"C",'LANÇAMENTOS DIÁRIOS'!$C$5:$C$500,$A65,'LANÇAMENTOS DIÁRIOS'!$O$5:$O$500,"&lt;=97499",'LANÇAMENTOS DIÁRIOS'!$P$5:$P$500,"&gt;=97400")&gt;0,"X","")</f>
      </c>
      <c r="L65" s="56" t="str">
        <f>IF(COUNTIFS('LANÇAMENTOS DIÁRIOS'!$G$5:$G$500,"C",'LANÇAMENTOS DIÁRIOS'!$C$5:$C$500,$A65,'LANÇAMENTOS DIÁRIOS'!$O$5:$O$500,"&lt;=97599",'LANÇAMENTOS DIÁRIOS'!$P$5:$P$500,"&gt;=97500")&gt;0,"X","")</f>
      </c>
      <c r="M65" s="56" t="str">
        <f>IF(COUNTIFS('LANÇAMENTOS DIÁRIOS'!$G$5:$G$500,"C",'LANÇAMENTOS DIÁRIOS'!$C$5:$C$500,$A65,'LANÇAMENTOS DIÁRIOS'!$O$5:$O$500,"&lt;=97699",'LANÇAMENTOS DIÁRIOS'!$P$5:$P$500,"&gt;=97600")&gt;0,"X","")</f>
      </c>
      <c r="N65" s="56" t="str">
        <f>IF(COUNTIFS('LANÇAMENTOS DIÁRIOS'!$G$5:$G$500,"C",'LANÇAMENTOS DIÁRIOS'!$C$5:$C$500,$A65,'LANÇAMENTOS DIÁRIOS'!$O$5:$O$500,"&lt;=97799",'LANÇAMENTOS DIÁRIOS'!$P$5:$P$500,"&gt;=97700")&gt;0,"X","")</f>
      </c>
      <c r="O65" s="56" t="str">
        <f>IF(COUNTIFS('LANÇAMENTOS DIÁRIOS'!$G$5:$G$500,"C",'LANÇAMENTOS DIÁRIOS'!$C$5:$C$500,$A65,'LANÇAMENTOS DIÁRIOS'!$O$5:$O$500,"&lt;=97899",'LANÇAMENTOS DIÁRIOS'!$P$5:$P$500,"&gt;=97800")&gt;0,"X","")</f>
      </c>
      <c r="P65" s="56" t="str">
        <f>IF(COUNTIFS('LANÇAMENTOS DIÁRIOS'!$G$5:$G$500,"C",'LANÇAMENTOS DIÁRIOS'!$C$5:$C$500,$A65,'LANÇAMENTOS DIÁRIOS'!$O$5:$O$500,"&lt;=97999",'LANÇAMENTOS DIÁRIOS'!$P$5:$P$500,"&gt;=97900")&gt;0,"X","")</f>
      </c>
      <c r="Q65" s="56" t="str">
        <f>IF(COUNTIFS('LANÇAMENTOS DIÁRIOS'!$G$5:$G$500,"C",'LANÇAMENTOS DIÁRIOS'!$C$5:$C$500,$A65,'LANÇAMENTOS DIÁRIOS'!$O$5:$O$500,"&lt;=98099",'LANÇAMENTOS DIÁRIOS'!$P$5:$P$500,"&gt;=98000")&gt;0,"X","")</f>
      </c>
      <c r="R65" s="56" t="str">
        <f>IF(COUNTIFS('LANÇAMENTOS DIÁRIOS'!$G$5:$G$500,"C",'LANÇAMENTOS DIÁRIOS'!$C$5:$C$500,$A65,'LANÇAMENTOS DIÁRIOS'!$O$5:$O$500,"&lt;=98199",'LANÇAMENTOS DIÁRIOS'!$P$5:$P$500,"&gt;=98100")&gt;0,"X","")</f>
      </c>
      <c r="S65" s="56" t="str">
        <f>IF(COUNTIFS('LANÇAMENTOS DIÁRIOS'!$G$5:$G$500,"C",'LANÇAMENTOS DIÁRIOS'!$C$5:$C$500,$A65,'LANÇAMENTOS DIÁRIOS'!$O$5:$O$500,"&lt;=98299",'LANÇAMENTOS DIÁRIOS'!$P$5:$P$500,"&gt;=98200")&gt;0,"X","")</f>
      </c>
      <c r="T65" s="56" t="str">
        <f>IF(COUNTIFS('LANÇAMENTOS DIÁRIOS'!$G$5:$G$500,"C",'LANÇAMENTOS DIÁRIOS'!$C$5:$C$500,$A65,'LANÇAMENTOS DIÁRIOS'!$O$5:$O$500,"&lt;=98399",'LANÇAMENTOS DIÁRIOS'!$P$5:$P$500,"&gt;=98300")&gt;0,"X","")</f>
      </c>
      <c r="U65" s="56" t="str">
        <f>IF(COUNTIFS('LANÇAMENTOS DIÁRIOS'!$G$5:$G$500,"C",'LANÇAMENTOS DIÁRIOS'!$C$5:$C$500,$A65,'LANÇAMENTOS DIÁRIOS'!$O$5:$O$500,"&lt;=98499",'LANÇAMENTOS DIÁRIOS'!$P$5:$P$500,"&gt;=98400")&gt;0,"X","")</f>
      </c>
      <c r="V65" s="56" t="str">
        <f>IF(COUNTIFS('LANÇAMENTOS DIÁRIOS'!$G$5:$G$500,"C",'LANÇAMENTOS DIÁRIOS'!$C$5:$C$500,$A65,'LANÇAMENTOS DIÁRIOS'!$O$5:$O$500,"&lt;=98599",'LANÇAMENTOS DIÁRIOS'!$P$5:$P$500,"&gt;=98500")&gt;0,"X","")</f>
      </c>
      <c r="W65" s="56" t="str">
        <f>IF(COUNTIFS('LANÇAMENTOS DIÁRIOS'!$G$5:$G$500,"C",'LANÇAMENTOS DIÁRIOS'!$C$5:$C$500,$A65,'LANÇAMENTOS DIÁRIOS'!$O$5:$O$500,"&lt;=98699",'LANÇAMENTOS DIÁRIOS'!$P$5:$P$500,"&gt;=98600")&gt;0,"X","")</f>
      </c>
      <c r="X65" s="56" t="str">
        <f>IF(COUNTIFS('LANÇAMENTOS DIÁRIOS'!$G$5:$G$500,"C",'LANÇAMENTOS DIÁRIOS'!$C$5:$C$500,$A65,'LANÇAMENTOS DIÁRIOS'!$O$5:$O$500,"&lt;=98799",'LANÇAMENTOS DIÁRIOS'!$P$5:$P$500,"&gt;=98700")&gt;0,"X","")</f>
      </c>
      <c r="Y65" s="56" t="str">
        <f>IF(COUNTIFS('LANÇAMENTOS DIÁRIOS'!$G$5:$G$500,"C",'LANÇAMENTOS DIÁRIOS'!$C$5:$C$500,$A65,'LANÇAMENTOS DIÁRIOS'!$O$5:$O$500,"&lt;=98899",'LANÇAMENTOS DIÁRIOS'!$P$5:$P$500,"&gt;=98800")&gt;0,"X","")</f>
      </c>
      <c r="Z65" s="56" t="str">
        <f>IF(COUNTIFS('LANÇAMENTOS DIÁRIOS'!$G$5:$G$500,"C",'LANÇAMENTOS DIÁRIOS'!$C$5:$C$500,$A65,'LANÇAMENTOS DIÁRIOS'!$O$5:$O$500,"&lt;=98999",'LANÇAMENTOS DIÁRIOS'!$P$5:$P$500,"&gt;=98900")&gt;0,"X","")</f>
      </c>
      <c r="AA65" s="56" t="str">
        <f>IF(COUNTIFS('LANÇAMENTOS DIÁRIOS'!$G$5:$G$500,"C",'LANÇAMENTOS DIÁRIOS'!$C$5:$C$500,$A65,'LANÇAMENTOS DIÁRIOS'!$O$5:$O$500,"&lt;=99099",'LANÇAMENTOS DIÁRIOS'!$P$5:$P$500,"&gt;=99000")&gt;0,"X","")</f>
      </c>
      <c r="AB65" s="56" t="str">
        <f>IF(COUNTIFS('LANÇAMENTOS DIÁRIOS'!$G$5:$G$500,"C",'LANÇAMENTOS DIÁRIOS'!$C$5:$C$500,$A65,'LANÇAMENTOS DIÁRIOS'!$O$5:$O$500,"&lt;=99199",'LANÇAMENTOS DIÁRIOS'!$P$5:$P$500,"&gt;=99100")&gt;0,"X","")</f>
      </c>
      <c r="AC65" s="56" t="str">
        <f>IF(COUNTIFS('LANÇAMENTOS DIÁRIOS'!$G$5:$G$500,"C",'LANÇAMENTOS DIÁRIOS'!$C$5:$C$500,$A65,'LANÇAMENTOS DIÁRIOS'!$O$5:$O$500,"&lt;=99299",'LANÇAMENTOS DIÁRIOS'!$P$5:$P$500,"&gt;=99200")&gt;0,"X","")</f>
      </c>
      <c r="AD65" s="56" t="str">
        <f>IF(COUNTIFS('LANÇAMENTOS DIÁRIOS'!$G$5:$G$500,"C",'LANÇAMENTOS DIÁRIOS'!$C$5:$C$500,$A65,'LANÇAMENTOS DIÁRIOS'!$O$5:$O$500,"&lt;=99399",'LANÇAMENTOS DIÁRIOS'!$P$5:$P$500,"&gt;=99300")&gt;0,"X","")</f>
      </c>
      <c r="AE65" s="56" t="str">
        <f>IF(COUNTIFS('LANÇAMENTOS DIÁRIOS'!$G$5:$G$500,"C",'LANÇAMENTOS DIÁRIOS'!$C$5:$C$500,$A65,'LANÇAMENTOS DIÁRIOS'!$O$5:$O$500,"&lt;=99499",'LANÇAMENTOS DIÁRIOS'!$P$5:$P$500,"&gt;=99400")&gt;0,"X","")</f>
      </c>
      <c r="AF65" s="56" t="str">
        <f>IF(COUNTIFS('LANÇAMENTOS DIÁRIOS'!$G$5:$G$500,"C",'LANÇAMENTOS DIÁRIOS'!$C$5:$C$500,$A65,'LANÇAMENTOS DIÁRIOS'!$O$5:$O$500,"&lt;=99599",'LANÇAMENTOS DIÁRIOS'!$P$5:$P$500,"&gt;=99500")&gt;0,"X","")</f>
      </c>
      <c r="AG65" s="56" t="str">
        <f>IF(COUNTIFS('LANÇAMENTOS DIÁRIOS'!$G$5:$G$500,"C",'LANÇAMENTOS DIÁRIOS'!$C$5:$C$500,$A65,'LANÇAMENTOS DIÁRIOS'!$O$5:$O$500,"&lt;=99699",'LANÇAMENTOS DIÁRIOS'!$P$5:$P$500,"&gt;=99600")&gt;0,"X","")</f>
      </c>
      <c r="AH65" s="56" t="str">
        <f>IF(COUNTIFS('LANÇAMENTOS DIÁRIOS'!$G$5:$G$500,"C",'LANÇAMENTOS DIÁRIOS'!$C$5:$C$500,$A65,'LANÇAMENTOS DIÁRIOS'!$O$5:$O$500,"&lt;=99799",'LANÇAMENTOS DIÁRIOS'!$P$5:$P$500,"&gt;=99700")&gt;0,"X","")</f>
      </c>
      <c r="AI65" s="56" t="str">
        <f>IF(COUNTIFS('LANÇAMENTOS DIÁRIOS'!$G$5:$G$500,"C",'LANÇAMENTOS DIÁRIOS'!$C$5:$C$500,$A65,'LANÇAMENTOS DIÁRIOS'!$O$5:$O$500,"&lt;=99899",'LANÇAMENTOS DIÁRIOS'!$P$5:$P$500,"&gt;=99800")&gt;0,"X","")</f>
      </c>
      <c r="AJ65" s="56" t="str">
        <f>IF(COUNTIFS('LANÇAMENTOS DIÁRIOS'!$G$5:$G$500,"C",'LANÇAMENTOS DIÁRIOS'!$C$5:$C$500,$A65,'LANÇAMENTOS DIÁRIOS'!$O$5:$O$500,"&lt;=99999",'LANÇAMENTOS DIÁRIOS'!$P$5:$P$500,"&gt;=99900")&gt;0,"X","")</f>
      </c>
      <c r="AK65" s="56" t="str">
        <f>IF(COUNTIFS('LANÇAMENTOS DIÁRIOS'!$G$5:$G$500,"C",'LANÇAMENTOS DIÁRIOS'!$C$5:$C$500,$A65,'LANÇAMENTOS DIÁRIOS'!$O$5:$O$500,"&lt;=100099",'LANÇAMENTOS DIÁRIOS'!$P$5:$P$500,"&gt;=100000")&gt;0,"X","")</f>
      </c>
      <c r="AL65" s="56" t="str">
        <f>IF(COUNTIFS('LANÇAMENTOS DIÁRIOS'!$G$5:$G$500,"C",'LANÇAMENTOS DIÁRIOS'!$C$5:$C$500,$A65,'LANÇAMENTOS DIÁRIOS'!$O$5:$O$500,"&lt;=100199",'LANÇAMENTOS DIÁRIOS'!$P$5:$P$500,"&gt;=100100")&gt;0,"X","")</f>
      </c>
      <c r="AM65" s="56" t="str">
        <f>IF(COUNTIFS('LANÇAMENTOS DIÁRIOS'!$G$5:$G$500,"C",'LANÇAMENTOS DIÁRIOS'!$C$5:$C$500,$A65,'LANÇAMENTOS DIÁRIOS'!$O$5:$O$500,"&lt;=100299",'LANÇAMENTOS DIÁRIOS'!$P$5:$P$500,"&gt;=100200")&gt;0,"X","")</f>
      </c>
      <c r="AN65" s="56" t="str">
        <f>IF(COUNTIFS('LANÇAMENTOS DIÁRIOS'!$G$5:$G$500,"C",'LANÇAMENTOS DIÁRIOS'!$C$5:$C$500,$A65,'LANÇAMENTOS DIÁRIOS'!$O$5:$O$500,"&lt;=100399",'LANÇAMENTOS DIÁRIOS'!$P$5:$P$500,"&gt;=100300")&gt;0,"X","")</f>
      </c>
      <c r="AO65" s="56" t="str">
        <f>IF(COUNTIFS('LANÇAMENTOS DIÁRIOS'!$G$5:$G$500,"C",'LANÇAMENTOS DIÁRIOS'!$C$5:$C$500,$A65,'LANÇAMENTOS DIÁRIOS'!$O$5:$O$500,"&lt;=100499",'LANÇAMENTOS DIÁRIOS'!$P$5:$P$500,"&gt;=100400")&gt;0,"X","")</f>
      </c>
      <c r="AP65" s="56" t="str">
        <f>IF(COUNTIFS('LANÇAMENTOS DIÁRIOS'!$G$5:$G$500,"C",'LANÇAMENTOS DIÁRIOS'!$C$5:$C$500,$A65,'LANÇAMENTOS DIÁRIOS'!$O$5:$O$500,"&lt;=100500",'LANÇAMENTOS DIÁRIOS'!$P$5:$P$500,"&gt;=100500")&gt;0,"X","")</f>
      </c>
    </row>
    <row r="66">
      <c r="A66" s="51" t="str">
        <v>Geogrelha uniaxial com deformação máxima de 5% e resistência nominal de 225kN/m - Sem o fornecimento dos materias</v>
      </c>
      <c r="B66" s="56" t="str">
        <f>IF(COUNTIFS('LANÇAMENTOS DIÁRIOS'!$G$5:$G$500,"C",'LANÇAMENTOS DIÁRIOS'!$C$5:$C$500,$A66,'LANÇAMENTOS DIÁRIOS'!$O$5:$O$500,"&lt;=96599",'LANÇAMENTOS DIÁRIOS'!$P$5:$P$500,"&gt;=96500")&gt;0,"X","")</f>
      </c>
      <c r="C66" s="56" t="str">
        <f>IF(COUNTIFS('LANÇAMENTOS DIÁRIOS'!$G$5:$G$500,"C",'LANÇAMENTOS DIÁRIOS'!$C$5:$C$500,$A66,'LANÇAMENTOS DIÁRIOS'!$O$5:$O$500,"&lt;=96699",'LANÇAMENTOS DIÁRIOS'!$P$5:$P$500,"&gt;=96600")&gt;0,"X","")</f>
      </c>
      <c r="D66" s="56" t="str">
        <f>IF(COUNTIFS('LANÇAMENTOS DIÁRIOS'!$G$5:$G$500,"C",'LANÇAMENTOS DIÁRIOS'!$C$5:$C$500,$A66,'LANÇAMENTOS DIÁRIOS'!$O$5:$O$500,"&lt;=96799",'LANÇAMENTOS DIÁRIOS'!$P$5:$P$500,"&gt;=96700")&gt;0,"X","")</f>
      </c>
      <c r="E66" s="56" t="str">
        <f>IF(COUNTIFS('LANÇAMENTOS DIÁRIOS'!$G$5:$G$500,"C",'LANÇAMENTOS DIÁRIOS'!$C$5:$C$500,$A66,'LANÇAMENTOS DIÁRIOS'!$O$5:$O$500,"&lt;=96899",'LANÇAMENTOS DIÁRIOS'!$P$5:$P$500,"&gt;=96800")&gt;0,"X","")</f>
      </c>
      <c r="F66" s="56" t="str">
        <f>IF(COUNTIFS('LANÇAMENTOS DIÁRIOS'!$G$5:$G$500,"C",'LANÇAMENTOS DIÁRIOS'!$C$5:$C$500,$A66,'LANÇAMENTOS DIÁRIOS'!$O$5:$O$500,"&lt;=96999",'LANÇAMENTOS DIÁRIOS'!$P$5:$P$500,"&gt;=96900")&gt;0,"X","")</f>
      </c>
      <c r="G66" s="56" t="str">
        <f>IF(COUNTIFS('LANÇAMENTOS DIÁRIOS'!$G$5:$G$500,"C",'LANÇAMENTOS DIÁRIOS'!$C$5:$C$500,$A66,'LANÇAMENTOS DIÁRIOS'!$O$5:$O$500,"&lt;=97099",'LANÇAMENTOS DIÁRIOS'!$P$5:$P$500,"&gt;=97000")&gt;0,"X","")</f>
      </c>
      <c r="H66" s="56" t="str">
        <f>IF(COUNTIFS('LANÇAMENTOS DIÁRIOS'!$G$5:$G$500,"C",'LANÇAMENTOS DIÁRIOS'!$C$5:$C$500,$A66,'LANÇAMENTOS DIÁRIOS'!$O$5:$O$500,"&lt;=97199",'LANÇAMENTOS DIÁRIOS'!$P$5:$P$500,"&gt;=97100")&gt;0,"X","")</f>
      </c>
      <c r="I66" s="56" t="str">
        <f>IF(COUNTIFS('LANÇAMENTOS DIÁRIOS'!$G$5:$G$500,"C",'LANÇAMENTOS DIÁRIOS'!$C$5:$C$500,$A66,'LANÇAMENTOS DIÁRIOS'!$O$5:$O$500,"&lt;=97299",'LANÇAMENTOS DIÁRIOS'!$P$5:$P$500,"&gt;=97200")&gt;0,"X","")</f>
      </c>
      <c r="J66" s="56" t="str">
        <f>IF(COUNTIFS('LANÇAMENTOS DIÁRIOS'!$G$5:$G$500,"C",'LANÇAMENTOS DIÁRIOS'!$C$5:$C$500,$A66,'LANÇAMENTOS DIÁRIOS'!$O$5:$O$500,"&lt;=97399",'LANÇAMENTOS DIÁRIOS'!$P$5:$P$500,"&gt;=97300")&gt;0,"X","")</f>
      </c>
      <c r="K66" s="56" t="str">
        <f>IF(COUNTIFS('LANÇAMENTOS DIÁRIOS'!$G$5:$G$500,"C",'LANÇAMENTOS DIÁRIOS'!$C$5:$C$500,$A66,'LANÇAMENTOS DIÁRIOS'!$O$5:$O$500,"&lt;=97499",'LANÇAMENTOS DIÁRIOS'!$P$5:$P$500,"&gt;=97400")&gt;0,"X","")</f>
      </c>
      <c r="L66" s="56" t="str">
        <f>IF(COUNTIFS('LANÇAMENTOS DIÁRIOS'!$G$5:$G$500,"C",'LANÇAMENTOS DIÁRIOS'!$C$5:$C$500,$A66,'LANÇAMENTOS DIÁRIOS'!$O$5:$O$500,"&lt;=97599",'LANÇAMENTOS DIÁRIOS'!$P$5:$P$500,"&gt;=97500")&gt;0,"X","")</f>
      </c>
      <c r="M66" s="56" t="str">
        <f>IF(COUNTIFS('LANÇAMENTOS DIÁRIOS'!$G$5:$G$500,"C",'LANÇAMENTOS DIÁRIOS'!$C$5:$C$500,$A66,'LANÇAMENTOS DIÁRIOS'!$O$5:$O$500,"&lt;=97699",'LANÇAMENTOS DIÁRIOS'!$P$5:$P$500,"&gt;=97600")&gt;0,"X","")</f>
      </c>
      <c r="N66" s="56" t="str">
        <f>IF(COUNTIFS('LANÇAMENTOS DIÁRIOS'!$G$5:$G$500,"C",'LANÇAMENTOS DIÁRIOS'!$C$5:$C$500,$A66,'LANÇAMENTOS DIÁRIOS'!$O$5:$O$500,"&lt;=97799",'LANÇAMENTOS DIÁRIOS'!$P$5:$P$500,"&gt;=97700")&gt;0,"X","")</f>
      </c>
      <c r="O66" s="56" t="str">
        <f>IF(COUNTIFS('LANÇAMENTOS DIÁRIOS'!$G$5:$G$500,"C",'LANÇAMENTOS DIÁRIOS'!$C$5:$C$500,$A66,'LANÇAMENTOS DIÁRIOS'!$O$5:$O$500,"&lt;=97899",'LANÇAMENTOS DIÁRIOS'!$P$5:$P$500,"&gt;=97800")&gt;0,"X","")</f>
      </c>
      <c r="P66" s="56" t="str">
        <f>IF(COUNTIFS('LANÇAMENTOS DIÁRIOS'!$G$5:$G$500,"C",'LANÇAMENTOS DIÁRIOS'!$C$5:$C$500,$A66,'LANÇAMENTOS DIÁRIOS'!$O$5:$O$500,"&lt;=97999",'LANÇAMENTOS DIÁRIOS'!$P$5:$P$500,"&gt;=97900")&gt;0,"X","")</f>
      </c>
      <c r="Q66" s="56" t="str">
        <f>IF(COUNTIFS('LANÇAMENTOS DIÁRIOS'!$G$5:$G$500,"C",'LANÇAMENTOS DIÁRIOS'!$C$5:$C$500,$A66,'LANÇAMENTOS DIÁRIOS'!$O$5:$O$500,"&lt;=98099",'LANÇAMENTOS DIÁRIOS'!$P$5:$P$500,"&gt;=98000")&gt;0,"X","")</f>
      </c>
      <c r="R66" s="56" t="str">
        <f>IF(COUNTIFS('LANÇAMENTOS DIÁRIOS'!$G$5:$G$500,"C",'LANÇAMENTOS DIÁRIOS'!$C$5:$C$500,$A66,'LANÇAMENTOS DIÁRIOS'!$O$5:$O$500,"&lt;=98199",'LANÇAMENTOS DIÁRIOS'!$P$5:$P$500,"&gt;=98100")&gt;0,"X","")</f>
      </c>
      <c r="S66" s="56" t="str">
        <f>IF(COUNTIFS('LANÇAMENTOS DIÁRIOS'!$G$5:$G$500,"C",'LANÇAMENTOS DIÁRIOS'!$C$5:$C$500,$A66,'LANÇAMENTOS DIÁRIOS'!$O$5:$O$500,"&lt;=98299",'LANÇAMENTOS DIÁRIOS'!$P$5:$P$500,"&gt;=98200")&gt;0,"X","")</f>
      </c>
      <c r="T66" s="56" t="str">
        <f>IF(COUNTIFS('LANÇAMENTOS DIÁRIOS'!$G$5:$G$500,"C",'LANÇAMENTOS DIÁRIOS'!$C$5:$C$500,$A66,'LANÇAMENTOS DIÁRIOS'!$O$5:$O$500,"&lt;=98399",'LANÇAMENTOS DIÁRIOS'!$P$5:$P$500,"&gt;=98300")&gt;0,"X","")</f>
      </c>
      <c r="U66" s="56" t="str">
        <f>IF(COUNTIFS('LANÇAMENTOS DIÁRIOS'!$G$5:$G$500,"C",'LANÇAMENTOS DIÁRIOS'!$C$5:$C$500,$A66,'LANÇAMENTOS DIÁRIOS'!$O$5:$O$500,"&lt;=98499",'LANÇAMENTOS DIÁRIOS'!$P$5:$P$500,"&gt;=98400")&gt;0,"X","")</f>
      </c>
      <c r="V66" s="56" t="str">
        <f>IF(COUNTIFS('LANÇAMENTOS DIÁRIOS'!$G$5:$G$500,"C",'LANÇAMENTOS DIÁRIOS'!$C$5:$C$500,$A66,'LANÇAMENTOS DIÁRIOS'!$O$5:$O$500,"&lt;=98599",'LANÇAMENTOS DIÁRIOS'!$P$5:$P$500,"&gt;=98500")&gt;0,"X","")</f>
      </c>
      <c r="W66" s="56" t="str">
        <f>IF(COUNTIFS('LANÇAMENTOS DIÁRIOS'!$G$5:$G$500,"C",'LANÇAMENTOS DIÁRIOS'!$C$5:$C$500,$A66,'LANÇAMENTOS DIÁRIOS'!$O$5:$O$500,"&lt;=98699",'LANÇAMENTOS DIÁRIOS'!$P$5:$P$500,"&gt;=98600")&gt;0,"X","")</f>
      </c>
      <c r="X66" s="56" t="str">
        <f>IF(COUNTIFS('LANÇAMENTOS DIÁRIOS'!$G$5:$G$500,"C",'LANÇAMENTOS DIÁRIOS'!$C$5:$C$500,$A66,'LANÇAMENTOS DIÁRIOS'!$O$5:$O$500,"&lt;=98799",'LANÇAMENTOS DIÁRIOS'!$P$5:$P$500,"&gt;=98700")&gt;0,"X","")</f>
      </c>
      <c r="Y66" s="56" t="str">
        <f>IF(COUNTIFS('LANÇAMENTOS DIÁRIOS'!$G$5:$G$500,"C",'LANÇAMENTOS DIÁRIOS'!$C$5:$C$500,$A66,'LANÇAMENTOS DIÁRIOS'!$O$5:$O$500,"&lt;=98899",'LANÇAMENTOS DIÁRIOS'!$P$5:$P$500,"&gt;=98800")&gt;0,"X","")</f>
      </c>
      <c r="Z66" s="56" t="str">
        <f>IF(COUNTIFS('LANÇAMENTOS DIÁRIOS'!$G$5:$G$500,"C",'LANÇAMENTOS DIÁRIOS'!$C$5:$C$500,$A66,'LANÇAMENTOS DIÁRIOS'!$O$5:$O$500,"&lt;=98999",'LANÇAMENTOS DIÁRIOS'!$P$5:$P$500,"&gt;=98900")&gt;0,"X","")</f>
      </c>
      <c r="AA66" s="56" t="str">
        <f>IF(COUNTIFS('LANÇAMENTOS DIÁRIOS'!$G$5:$G$500,"C",'LANÇAMENTOS DIÁRIOS'!$C$5:$C$500,$A66,'LANÇAMENTOS DIÁRIOS'!$O$5:$O$500,"&lt;=99099",'LANÇAMENTOS DIÁRIOS'!$P$5:$P$500,"&gt;=99000")&gt;0,"X","")</f>
      </c>
      <c r="AB66" s="56" t="str">
        <f>IF(COUNTIFS('LANÇAMENTOS DIÁRIOS'!$G$5:$G$500,"C",'LANÇAMENTOS DIÁRIOS'!$C$5:$C$500,$A66,'LANÇAMENTOS DIÁRIOS'!$O$5:$O$500,"&lt;=99199",'LANÇAMENTOS DIÁRIOS'!$P$5:$P$500,"&gt;=99100")&gt;0,"X","")</f>
      </c>
      <c r="AC66" s="56" t="str">
        <f>IF(COUNTIFS('LANÇAMENTOS DIÁRIOS'!$G$5:$G$500,"C",'LANÇAMENTOS DIÁRIOS'!$C$5:$C$500,$A66,'LANÇAMENTOS DIÁRIOS'!$O$5:$O$500,"&lt;=99299",'LANÇAMENTOS DIÁRIOS'!$P$5:$P$500,"&gt;=99200")&gt;0,"X","")</f>
      </c>
      <c r="AD66" s="56" t="str">
        <f>IF(COUNTIFS('LANÇAMENTOS DIÁRIOS'!$G$5:$G$500,"C",'LANÇAMENTOS DIÁRIOS'!$C$5:$C$500,$A66,'LANÇAMENTOS DIÁRIOS'!$O$5:$O$500,"&lt;=99399",'LANÇAMENTOS DIÁRIOS'!$P$5:$P$500,"&gt;=99300")&gt;0,"X","")</f>
      </c>
      <c r="AE66" s="56" t="str">
        <f>IF(COUNTIFS('LANÇAMENTOS DIÁRIOS'!$G$5:$G$500,"C",'LANÇAMENTOS DIÁRIOS'!$C$5:$C$500,$A66,'LANÇAMENTOS DIÁRIOS'!$O$5:$O$500,"&lt;=99499",'LANÇAMENTOS DIÁRIOS'!$P$5:$P$500,"&gt;=99400")&gt;0,"X","")</f>
      </c>
      <c r="AF66" s="56" t="str">
        <f>IF(COUNTIFS('LANÇAMENTOS DIÁRIOS'!$G$5:$G$500,"C",'LANÇAMENTOS DIÁRIOS'!$C$5:$C$500,$A66,'LANÇAMENTOS DIÁRIOS'!$O$5:$O$500,"&lt;=99599",'LANÇAMENTOS DIÁRIOS'!$P$5:$P$500,"&gt;=99500")&gt;0,"X","")</f>
      </c>
      <c r="AG66" s="56" t="str">
        <f>IF(COUNTIFS('LANÇAMENTOS DIÁRIOS'!$G$5:$G$500,"C",'LANÇAMENTOS DIÁRIOS'!$C$5:$C$500,$A66,'LANÇAMENTOS DIÁRIOS'!$O$5:$O$500,"&lt;=99699",'LANÇAMENTOS DIÁRIOS'!$P$5:$P$500,"&gt;=99600")&gt;0,"X","")</f>
      </c>
      <c r="AH66" s="56" t="str">
        <f>IF(COUNTIFS('LANÇAMENTOS DIÁRIOS'!$G$5:$G$500,"C",'LANÇAMENTOS DIÁRIOS'!$C$5:$C$500,$A66,'LANÇAMENTOS DIÁRIOS'!$O$5:$O$500,"&lt;=99799",'LANÇAMENTOS DIÁRIOS'!$P$5:$P$500,"&gt;=99700")&gt;0,"X","")</f>
      </c>
      <c r="AI66" s="56" t="str">
        <f>IF(COUNTIFS('LANÇAMENTOS DIÁRIOS'!$G$5:$G$500,"C",'LANÇAMENTOS DIÁRIOS'!$C$5:$C$500,$A66,'LANÇAMENTOS DIÁRIOS'!$O$5:$O$500,"&lt;=99899",'LANÇAMENTOS DIÁRIOS'!$P$5:$P$500,"&gt;=99800")&gt;0,"X","")</f>
      </c>
      <c r="AJ66" s="56" t="str">
        <f>IF(COUNTIFS('LANÇAMENTOS DIÁRIOS'!$G$5:$G$500,"C",'LANÇAMENTOS DIÁRIOS'!$C$5:$C$500,$A66,'LANÇAMENTOS DIÁRIOS'!$O$5:$O$500,"&lt;=99999",'LANÇAMENTOS DIÁRIOS'!$P$5:$P$500,"&gt;=99900")&gt;0,"X","")</f>
      </c>
      <c r="AK66" s="56" t="str">
        <f>IF(COUNTIFS('LANÇAMENTOS DIÁRIOS'!$G$5:$G$500,"C",'LANÇAMENTOS DIÁRIOS'!$C$5:$C$500,$A66,'LANÇAMENTOS DIÁRIOS'!$O$5:$O$500,"&lt;=100099",'LANÇAMENTOS DIÁRIOS'!$P$5:$P$500,"&gt;=100000")&gt;0,"X","")</f>
      </c>
      <c r="AL66" s="56" t="str">
        <f>IF(COUNTIFS('LANÇAMENTOS DIÁRIOS'!$G$5:$G$500,"C",'LANÇAMENTOS DIÁRIOS'!$C$5:$C$500,$A66,'LANÇAMENTOS DIÁRIOS'!$O$5:$O$500,"&lt;=100199",'LANÇAMENTOS DIÁRIOS'!$P$5:$P$500,"&gt;=100100")&gt;0,"X","")</f>
      </c>
      <c r="AM66" s="56" t="str">
        <f>IF(COUNTIFS('LANÇAMENTOS DIÁRIOS'!$G$5:$G$500,"C",'LANÇAMENTOS DIÁRIOS'!$C$5:$C$500,$A66,'LANÇAMENTOS DIÁRIOS'!$O$5:$O$500,"&lt;=100299",'LANÇAMENTOS DIÁRIOS'!$P$5:$P$500,"&gt;=100200")&gt;0,"X","")</f>
      </c>
      <c r="AN66" s="56" t="str">
        <f>IF(COUNTIFS('LANÇAMENTOS DIÁRIOS'!$G$5:$G$500,"C",'LANÇAMENTOS DIÁRIOS'!$C$5:$C$500,$A66,'LANÇAMENTOS DIÁRIOS'!$O$5:$O$500,"&lt;=100399",'LANÇAMENTOS DIÁRIOS'!$P$5:$P$500,"&gt;=100300")&gt;0,"X","")</f>
      </c>
      <c r="AO66" s="56" t="str">
        <f>IF(COUNTIFS('LANÇAMENTOS DIÁRIOS'!$G$5:$G$500,"C",'LANÇAMENTOS DIÁRIOS'!$C$5:$C$500,$A66,'LANÇAMENTOS DIÁRIOS'!$O$5:$O$500,"&lt;=100499",'LANÇAMENTOS DIÁRIOS'!$P$5:$P$500,"&gt;=100400")&gt;0,"X","")</f>
      </c>
      <c r="AP66" s="56" t="str">
        <f>IF(COUNTIFS('LANÇAMENTOS DIÁRIOS'!$G$5:$G$500,"C",'LANÇAMENTOS DIÁRIOS'!$C$5:$C$500,$A66,'LANÇAMENTOS DIÁRIOS'!$O$5:$O$500,"&lt;=100500",'LANÇAMENTOS DIÁRIOS'!$P$5:$P$500,"&gt;=100500")&gt;0,"X","")</f>
      </c>
    </row>
    <row r="67">
      <c r="A67" s="51" t="str">
        <v>Geogrelha uniaxial com deformação máxima de 5% e resistência nominal de 300kN/m (*) - Sem o fornecimento de materiais</v>
      </c>
      <c r="B67" s="56" t="str">
        <f>IF(COUNTIFS('LANÇAMENTOS DIÁRIOS'!$G$5:$G$500,"C",'LANÇAMENTOS DIÁRIOS'!$C$5:$C$500,$A67,'LANÇAMENTOS DIÁRIOS'!$O$5:$O$500,"&lt;=96599",'LANÇAMENTOS DIÁRIOS'!$P$5:$P$500,"&gt;=96500")&gt;0,"X","")</f>
      </c>
      <c r="C67" s="56" t="str">
        <f>IF(COUNTIFS('LANÇAMENTOS DIÁRIOS'!$G$5:$G$500,"C",'LANÇAMENTOS DIÁRIOS'!$C$5:$C$500,$A67,'LANÇAMENTOS DIÁRIOS'!$O$5:$O$500,"&lt;=96699",'LANÇAMENTOS DIÁRIOS'!$P$5:$P$500,"&gt;=96600")&gt;0,"X","")</f>
      </c>
      <c r="D67" s="56" t="str">
        <f>IF(COUNTIFS('LANÇAMENTOS DIÁRIOS'!$G$5:$G$500,"C",'LANÇAMENTOS DIÁRIOS'!$C$5:$C$500,$A67,'LANÇAMENTOS DIÁRIOS'!$O$5:$O$500,"&lt;=96799",'LANÇAMENTOS DIÁRIOS'!$P$5:$P$500,"&gt;=96700")&gt;0,"X","")</f>
      </c>
      <c r="E67" s="56" t="str">
        <f>IF(COUNTIFS('LANÇAMENTOS DIÁRIOS'!$G$5:$G$500,"C",'LANÇAMENTOS DIÁRIOS'!$C$5:$C$500,$A67,'LANÇAMENTOS DIÁRIOS'!$O$5:$O$500,"&lt;=96899",'LANÇAMENTOS DIÁRIOS'!$P$5:$P$500,"&gt;=96800")&gt;0,"X","")</f>
      </c>
      <c r="F67" s="56" t="str">
        <f>IF(COUNTIFS('LANÇAMENTOS DIÁRIOS'!$G$5:$G$500,"C",'LANÇAMENTOS DIÁRIOS'!$C$5:$C$500,$A67,'LANÇAMENTOS DIÁRIOS'!$O$5:$O$500,"&lt;=96999",'LANÇAMENTOS DIÁRIOS'!$P$5:$P$500,"&gt;=96900")&gt;0,"X","")</f>
      </c>
      <c r="G67" s="56" t="str">
        <f>IF(COUNTIFS('LANÇAMENTOS DIÁRIOS'!$G$5:$G$500,"C",'LANÇAMENTOS DIÁRIOS'!$C$5:$C$500,$A67,'LANÇAMENTOS DIÁRIOS'!$O$5:$O$500,"&lt;=97099",'LANÇAMENTOS DIÁRIOS'!$P$5:$P$500,"&gt;=97000")&gt;0,"X","")</f>
      </c>
      <c r="H67" s="56" t="str">
        <f>IF(COUNTIFS('LANÇAMENTOS DIÁRIOS'!$G$5:$G$500,"C",'LANÇAMENTOS DIÁRIOS'!$C$5:$C$500,$A67,'LANÇAMENTOS DIÁRIOS'!$O$5:$O$500,"&lt;=97199",'LANÇAMENTOS DIÁRIOS'!$P$5:$P$500,"&gt;=97100")&gt;0,"X","")</f>
      </c>
      <c r="I67" s="56" t="str">
        <f>IF(COUNTIFS('LANÇAMENTOS DIÁRIOS'!$G$5:$G$500,"C",'LANÇAMENTOS DIÁRIOS'!$C$5:$C$500,$A67,'LANÇAMENTOS DIÁRIOS'!$O$5:$O$500,"&lt;=97299",'LANÇAMENTOS DIÁRIOS'!$P$5:$P$500,"&gt;=97200")&gt;0,"X","")</f>
      </c>
      <c r="J67" s="56" t="str">
        <f>IF(COUNTIFS('LANÇAMENTOS DIÁRIOS'!$G$5:$G$500,"C",'LANÇAMENTOS DIÁRIOS'!$C$5:$C$500,$A67,'LANÇAMENTOS DIÁRIOS'!$O$5:$O$500,"&lt;=97399",'LANÇAMENTOS DIÁRIOS'!$P$5:$P$500,"&gt;=97300")&gt;0,"X","")</f>
      </c>
      <c r="K67" s="56" t="str">
        <f>IF(COUNTIFS('LANÇAMENTOS DIÁRIOS'!$G$5:$G$500,"C",'LANÇAMENTOS DIÁRIOS'!$C$5:$C$500,$A67,'LANÇAMENTOS DIÁRIOS'!$O$5:$O$500,"&lt;=97499",'LANÇAMENTOS DIÁRIOS'!$P$5:$P$500,"&gt;=97400")&gt;0,"X","")</f>
      </c>
      <c r="L67" s="56" t="str">
        <f>IF(COUNTIFS('LANÇAMENTOS DIÁRIOS'!$G$5:$G$500,"C",'LANÇAMENTOS DIÁRIOS'!$C$5:$C$500,$A67,'LANÇAMENTOS DIÁRIOS'!$O$5:$O$500,"&lt;=97599",'LANÇAMENTOS DIÁRIOS'!$P$5:$P$500,"&gt;=97500")&gt;0,"X","")</f>
      </c>
      <c r="M67" s="56" t="str">
        <f>IF(COUNTIFS('LANÇAMENTOS DIÁRIOS'!$G$5:$G$500,"C",'LANÇAMENTOS DIÁRIOS'!$C$5:$C$500,$A67,'LANÇAMENTOS DIÁRIOS'!$O$5:$O$500,"&lt;=97699",'LANÇAMENTOS DIÁRIOS'!$P$5:$P$500,"&gt;=97600")&gt;0,"X","")</f>
      </c>
      <c r="N67" s="56" t="str">
        <f>IF(COUNTIFS('LANÇAMENTOS DIÁRIOS'!$G$5:$G$500,"C",'LANÇAMENTOS DIÁRIOS'!$C$5:$C$500,$A67,'LANÇAMENTOS DIÁRIOS'!$O$5:$O$500,"&lt;=97799",'LANÇAMENTOS DIÁRIOS'!$P$5:$P$500,"&gt;=97700")&gt;0,"X","")</f>
      </c>
      <c r="O67" s="56" t="str">
        <f>IF(COUNTIFS('LANÇAMENTOS DIÁRIOS'!$G$5:$G$500,"C",'LANÇAMENTOS DIÁRIOS'!$C$5:$C$500,$A67,'LANÇAMENTOS DIÁRIOS'!$O$5:$O$500,"&lt;=97899",'LANÇAMENTOS DIÁRIOS'!$P$5:$P$500,"&gt;=97800")&gt;0,"X","")</f>
      </c>
      <c r="P67" s="56" t="str">
        <f>IF(COUNTIFS('LANÇAMENTOS DIÁRIOS'!$G$5:$G$500,"C",'LANÇAMENTOS DIÁRIOS'!$C$5:$C$500,$A67,'LANÇAMENTOS DIÁRIOS'!$O$5:$O$500,"&lt;=97999",'LANÇAMENTOS DIÁRIOS'!$P$5:$P$500,"&gt;=97900")&gt;0,"X","")</f>
      </c>
      <c r="Q67" s="56" t="str">
        <f>IF(COUNTIFS('LANÇAMENTOS DIÁRIOS'!$G$5:$G$500,"C",'LANÇAMENTOS DIÁRIOS'!$C$5:$C$500,$A67,'LANÇAMENTOS DIÁRIOS'!$O$5:$O$500,"&lt;=98099",'LANÇAMENTOS DIÁRIOS'!$P$5:$P$500,"&gt;=98000")&gt;0,"X","")</f>
      </c>
      <c r="R67" s="56" t="str">
        <f>IF(COUNTIFS('LANÇAMENTOS DIÁRIOS'!$G$5:$G$500,"C",'LANÇAMENTOS DIÁRIOS'!$C$5:$C$500,$A67,'LANÇAMENTOS DIÁRIOS'!$O$5:$O$500,"&lt;=98199",'LANÇAMENTOS DIÁRIOS'!$P$5:$P$500,"&gt;=98100")&gt;0,"X","")</f>
      </c>
      <c r="S67" s="56" t="str">
        <f>IF(COUNTIFS('LANÇAMENTOS DIÁRIOS'!$G$5:$G$500,"C",'LANÇAMENTOS DIÁRIOS'!$C$5:$C$500,$A67,'LANÇAMENTOS DIÁRIOS'!$O$5:$O$500,"&lt;=98299",'LANÇAMENTOS DIÁRIOS'!$P$5:$P$500,"&gt;=98200")&gt;0,"X","")</f>
      </c>
      <c r="T67" s="56" t="str">
        <f>IF(COUNTIFS('LANÇAMENTOS DIÁRIOS'!$G$5:$G$500,"C",'LANÇAMENTOS DIÁRIOS'!$C$5:$C$500,$A67,'LANÇAMENTOS DIÁRIOS'!$O$5:$O$500,"&lt;=98399",'LANÇAMENTOS DIÁRIOS'!$P$5:$P$500,"&gt;=98300")&gt;0,"X","")</f>
      </c>
      <c r="U67" s="56" t="str">
        <f>IF(COUNTIFS('LANÇAMENTOS DIÁRIOS'!$G$5:$G$500,"C",'LANÇAMENTOS DIÁRIOS'!$C$5:$C$500,$A67,'LANÇAMENTOS DIÁRIOS'!$O$5:$O$500,"&lt;=98499",'LANÇAMENTOS DIÁRIOS'!$P$5:$P$500,"&gt;=98400")&gt;0,"X","")</f>
      </c>
      <c r="V67" s="56" t="str">
        <f>IF(COUNTIFS('LANÇAMENTOS DIÁRIOS'!$G$5:$G$500,"C",'LANÇAMENTOS DIÁRIOS'!$C$5:$C$500,$A67,'LANÇAMENTOS DIÁRIOS'!$O$5:$O$500,"&lt;=98599",'LANÇAMENTOS DIÁRIOS'!$P$5:$P$500,"&gt;=98500")&gt;0,"X","")</f>
      </c>
      <c r="W67" s="56" t="str">
        <f>IF(COUNTIFS('LANÇAMENTOS DIÁRIOS'!$G$5:$G$500,"C",'LANÇAMENTOS DIÁRIOS'!$C$5:$C$500,$A67,'LANÇAMENTOS DIÁRIOS'!$O$5:$O$500,"&lt;=98699",'LANÇAMENTOS DIÁRIOS'!$P$5:$P$500,"&gt;=98600")&gt;0,"X","")</f>
      </c>
      <c r="X67" s="56" t="str">
        <f>IF(COUNTIFS('LANÇAMENTOS DIÁRIOS'!$G$5:$G$500,"C",'LANÇAMENTOS DIÁRIOS'!$C$5:$C$500,$A67,'LANÇAMENTOS DIÁRIOS'!$O$5:$O$500,"&lt;=98799",'LANÇAMENTOS DIÁRIOS'!$P$5:$P$500,"&gt;=98700")&gt;0,"X","")</f>
      </c>
      <c r="Y67" s="56" t="str">
        <f>IF(COUNTIFS('LANÇAMENTOS DIÁRIOS'!$G$5:$G$500,"C",'LANÇAMENTOS DIÁRIOS'!$C$5:$C$500,$A67,'LANÇAMENTOS DIÁRIOS'!$O$5:$O$500,"&lt;=98899",'LANÇAMENTOS DIÁRIOS'!$P$5:$P$500,"&gt;=98800")&gt;0,"X","")</f>
      </c>
      <c r="Z67" s="56" t="str">
        <f>IF(COUNTIFS('LANÇAMENTOS DIÁRIOS'!$G$5:$G$500,"C",'LANÇAMENTOS DIÁRIOS'!$C$5:$C$500,$A67,'LANÇAMENTOS DIÁRIOS'!$O$5:$O$500,"&lt;=98999",'LANÇAMENTOS DIÁRIOS'!$P$5:$P$500,"&gt;=98900")&gt;0,"X","")</f>
      </c>
      <c r="AA67" s="56" t="str">
        <f>IF(COUNTIFS('LANÇAMENTOS DIÁRIOS'!$G$5:$G$500,"C",'LANÇAMENTOS DIÁRIOS'!$C$5:$C$500,$A67,'LANÇAMENTOS DIÁRIOS'!$O$5:$O$500,"&lt;=99099",'LANÇAMENTOS DIÁRIOS'!$P$5:$P$500,"&gt;=99000")&gt;0,"X","")</f>
      </c>
      <c r="AB67" s="56" t="str">
        <f>IF(COUNTIFS('LANÇAMENTOS DIÁRIOS'!$G$5:$G$500,"C",'LANÇAMENTOS DIÁRIOS'!$C$5:$C$500,$A67,'LANÇAMENTOS DIÁRIOS'!$O$5:$O$500,"&lt;=99199",'LANÇAMENTOS DIÁRIOS'!$P$5:$P$500,"&gt;=99100")&gt;0,"X","")</f>
      </c>
      <c r="AC67" s="56" t="str">
        <f>IF(COUNTIFS('LANÇAMENTOS DIÁRIOS'!$G$5:$G$500,"C",'LANÇAMENTOS DIÁRIOS'!$C$5:$C$500,$A67,'LANÇAMENTOS DIÁRIOS'!$O$5:$O$500,"&lt;=99299",'LANÇAMENTOS DIÁRIOS'!$P$5:$P$500,"&gt;=99200")&gt;0,"X","")</f>
      </c>
      <c r="AD67" s="56" t="str">
        <f>IF(COUNTIFS('LANÇAMENTOS DIÁRIOS'!$G$5:$G$500,"C",'LANÇAMENTOS DIÁRIOS'!$C$5:$C$500,$A67,'LANÇAMENTOS DIÁRIOS'!$O$5:$O$500,"&lt;=99399",'LANÇAMENTOS DIÁRIOS'!$P$5:$P$500,"&gt;=99300")&gt;0,"X","")</f>
      </c>
      <c r="AE67" s="56" t="str">
        <f>IF(COUNTIFS('LANÇAMENTOS DIÁRIOS'!$G$5:$G$500,"C",'LANÇAMENTOS DIÁRIOS'!$C$5:$C$500,$A67,'LANÇAMENTOS DIÁRIOS'!$O$5:$O$500,"&lt;=99499",'LANÇAMENTOS DIÁRIOS'!$P$5:$P$500,"&gt;=99400")&gt;0,"X","")</f>
      </c>
      <c r="AF67" s="56" t="str">
        <f>IF(COUNTIFS('LANÇAMENTOS DIÁRIOS'!$G$5:$G$500,"C",'LANÇAMENTOS DIÁRIOS'!$C$5:$C$500,$A67,'LANÇAMENTOS DIÁRIOS'!$O$5:$O$500,"&lt;=99599",'LANÇAMENTOS DIÁRIOS'!$P$5:$P$500,"&gt;=99500")&gt;0,"X","")</f>
      </c>
      <c r="AG67" s="56" t="str">
        <f>IF(COUNTIFS('LANÇAMENTOS DIÁRIOS'!$G$5:$G$500,"C",'LANÇAMENTOS DIÁRIOS'!$C$5:$C$500,$A67,'LANÇAMENTOS DIÁRIOS'!$O$5:$O$500,"&lt;=99699",'LANÇAMENTOS DIÁRIOS'!$P$5:$P$500,"&gt;=99600")&gt;0,"X","")</f>
      </c>
      <c r="AH67" s="56" t="str">
        <f>IF(COUNTIFS('LANÇAMENTOS DIÁRIOS'!$G$5:$G$500,"C",'LANÇAMENTOS DIÁRIOS'!$C$5:$C$500,$A67,'LANÇAMENTOS DIÁRIOS'!$O$5:$O$500,"&lt;=99799",'LANÇAMENTOS DIÁRIOS'!$P$5:$P$500,"&gt;=99700")&gt;0,"X","")</f>
      </c>
      <c r="AI67" s="56" t="str">
        <f>IF(COUNTIFS('LANÇAMENTOS DIÁRIOS'!$G$5:$G$500,"C",'LANÇAMENTOS DIÁRIOS'!$C$5:$C$500,$A67,'LANÇAMENTOS DIÁRIOS'!$O$5:$O$500,"&lt;=99899",'LANÇAMENTOS DIÁRIOS'!$P$5:$P$500,"&gt;=99800")&gt;0,"X","")</f>
      </c>
      <c r="AJ67" s="56" t="str">
        <f>IF(COUNTIFS('LANÇAMENTOS DIÁRIOS'!$G$5:$G$500,"C",'LANÇAMENTOS DIÁRIOS'!$C$5:$C$500,$A67,'LANÇAMENTOS DIÁRIOS'!$O$5:$O$500,"&lt;=99999",'LANÇAMENTOS DIÁRIOS'!$P$5:$P$500,"&gt;=99900")&gt;0,"X","")</f>
      </c>
      <c r="AK67" s="56" t="str">
        <f>IF(COUNTIFS('LANÇAMENTOS DIÁRIOS'!$G$5:$G$500,"C",'LANÇAMENTOS DIÁRIOS'!$C$5:$C$500,$A67,'LANÇAMENTOS DIÁRIOS'!$O$5:$O$500,"&lt;=100099",'LANÇAMENTOS DIÁRIOS'!$P$5:$P$500,"&gt;=100000")&gt;0,"X","")</f>
      </c>
      <c r="AL67" s="56" t="str">
        <f>IF(COUNTIFS('LANÇAMENTOS DIÁRIOS'!$G$5:$G$500,"C",'LANÇAMENTOS DIÁRIOS'!$C$5:$C$500,$A67,'LANÇAMENTOS DIÁRIOS'!$O$5:$O$500,"&lt;=100199",'LANÇAMENTOS DIÁRIOS'!$P$5:$P$500,"&gt;=100100")&gt;0,"X","")</f>
      </c>
      <c r="AM67" s="56" t="str">
        <f>IF(COUNTIFS('LANÇAMENTOS DIÁRIOS'!$G$5:$G$500,"C",'LANÇAMENTOS DIÁRIOS'!$C$5:$C$500,$A67,'LANÇAMENTOS DIÁRIOS'!$O$5:$O$500,"&lt;=100299",'LANÇAMENTOS DIÁRIOS'!$P$5:$P$500,"&gt;=100200")&gt;0,"X","")</f>
      </c>
      <c r="AN67" s="56" t="str">
        <f>IF(COUNTIFS('LANÇAMENTOS DIÁRIOS'!$G$5:$G$500,"C",'LANÇAMENTOS DIÁRIOS'!$C$5:$C$500,$A67,'LANÇAMENTOS DIÁRIOS'!$O$5:$O$500,"&lt;=100399",'LANÇAMENTOS DIÁRIOS'!$P$5:$P$500,"&gt;=100300")&gt;0,"X","")</f>
      </c>
      <c r="AO67" s="56" t="str">
        <f>IF(COUNTIFS('LANÇAMENTOS DIÁRIOS'!$G$5:$G$500,"C",'LANÇAMENTOS DIÁRIOS'!$C$5:$C$500,$A67,'LANÇAMENTOS DIÁRIOS'!$O$5:$O$500,"&lt;=100499",'LANÇAMENTOS DIÁRIOS'!$P$5:$P$500,"&gt;=100400")&gt;0,"X","")</f>
      </c>
      <c r="AP67" s="56" t="str">
        <f>IF(COUNTIFS('LANÇAMENTOS DIÁRIOS'!$G$5:$G$500,"C",'LANÇAMENTOS DIÁRIOS'!$C$5:$C$500,$A67,'LANÇAMENTOS DIÁRIOS'!$O$5:$O$500,"&lt;=100500",'LANÇAMENTOS DIÁRIOS'!$P$5:$P$500,"&gt;=100500")&gt;0,"X","")</f>
      </c>
    </row>
    <row r="68" ht="19" customHeight="1">
      <c r="A68" s="68" t="str">
        <v>Instrumentação geotécnica para Terraplenagem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</row>
    <row r="69">
      <c r="A69" s="51" t="str">
        <v>Placa de recalque</v>
      </c>
      <c r="B69" s="56" t="str">
        <f>IF(COUNTIFS('LANÇAMENTOS DIÁRIOS'!$G$5:$G$500,"C",'LANÇAMENTOS DIÁRIOS'!$C$5:$C$500,$A69,'LANÇAMENTOS DIÁRIOS'!$O$5:$O$500,"&lt;=96599",'LANÇAMENTOS DIÁRIOS'!$P$5:$P$500,"&gt;=96500")&gt;0,"X","")</f>
      </c>
      <c r="C69" s="56" t="str">
        <f>IF(COUNTIFS('LANÇAMENTOS DIÁRIOS'!$G$5:$G$500,"C",'LANÇAMENTOS DIÁRIOS'!$C$5:$C$500,$A69,'LANÇAMENTOS DIÁRIOS'!$O$5:$O$500,"&lt;=96699",'LANÇAMENTOS DIÁRIOS'!$P$5:$P$500,"&gt;=96600")&gt;0,"X","")</f>
      </c>
      <c r="D69" s="56" t="str">
        <f>IF(COUNTIFS('LANÇAMENTOS DIÁRIOS'!$G$5:$G$500,"C",'LANÇAMENTOS DIÁRIOS'!$C$5:$C$500,$A69,'LANÇAMENTOS DIÁRIOS'!$O$5:$O$500,"&lt;=96799",'LANÇAMENTOS DIÁRIOS'!$P$5:$P$500,"&gt;=96700")&gt;0,"X","")</f>
      </c>
      <c r="E69" s="56" t="str">
        <f>IF(COUNTIFS('LANÇAMENTOS DIÁRIOS'!$G$5:$G$500,"C",'LANÇAMENTOS DIÁRIOS'!$C$5:$C$500,$A69,'LANÇAMENTOS DIÁRIOS'!$O$5:$O$500,"&lt;=96899",'LANÇAMENTOS DIÁRIOS'!$P$5:$P$500,"&gt;=96800")&gt;0,"X","")</f>
      </c>
      <c r="F69" s="56" t="str">
        <f>IF(COUNTIFS('LANÇAMENTOS DIÁRIOS'!$G$5:$G$500,"C",'LANÇAMENTOS DIÁRIOS'!$C$5:$C$500,$A69,'LANÇAMENTOS DIÁRIOS'!$O$5:$O$500,"&lt;=96999",'LANÇAMENTOS DIÁRIOS'!$P$5:$P$500,"&gt;=96900")&gt;0,"X","")</f>
      </c>
      <c r="G69" s="56" t="str">
        <f>IF(COUNTIFS('LANÇAMENTOS DIÁRIOS'!$G$5:$G$500,"C",'LANÇAMENTOS DIÁRIOS'!$C$5:$C$500,$A69,'LANÇAMENTOS DIÁRIOS'!$O$5:$O$500,"&lt;=97099",'LANÇAMENTOS DIÁRIOS'!$P$5:$P$500,"&gt;=97000")&gt;0,"X","")</f>
      </c>
      <c r="H69" s="56" t="str">
        <f>IF(COUNTIFS('LANÇAMENTOS DIÁRIOS'!$G$5:$G$500,"C",'LANÇAMENTOS DIÁRIOS'!$C$5:$C$500,$A69,'LANÇAMENTOS DIÁRIOS'!$O$5:$O$500,"&lt;=97199",'LANÇAMENTOS DIÁRIOS'!$P$5:$P$500,"&gt;=97100")&gt;0,"X","")</f>
      </c>
      <c r="I69" s="56" t="str">
        <f>IF(COUNTIFS('LANÇAMENTOS DIÁRIOS'!$G$5:$G$500,"C",'LANÇAMENTOS DIÁRIOS'!$C$5:$C$500,$A69,'LANÇAMENTOS DIÁRIOS'!$O$5:$O$500,"&lt;=97299",'LANÇAMENTOS DIÁRIOS'!$P$5:$P$500,"&gt;=97200")&gt;0,"X","")</f>
      </c>
      <c r="J69" s="56" t="str">
        <f>IF(COUNTIFS('LANÇAMENTOS DIÁRIOS'!$G$5:$G$500,"C",'LANÇAMENTOS DIÁRIOS'!$C$5:$C$500,$A69,'LANÇAMENTOS DIÁRIOS'!$O$5:$O$500,"&lt;=97399",'LANÇAMENTOS DIÁRIOS'!$P$5:$P$500,"&gt;=97300")&gt;0,"X","")</f>
      </c>
      <c r="K69" s="56" t="str">
        <f>IF(COUNTIFS('LANÇAMENTOS DIÁRIOS'!$G$5:$G$500,"C",'LANÇAMENTOS DIÁRIOS'!$C$5:$C$500,$A69,'LANÇAMENTOS DIÁRIOS'!$O$5:$O$500,"&lt;=97499",'LANÇAMENTOS DIÁRIOS'!$P$5:$P$500,"&gt;=97400")&gt;0,"X","")</f>
      </c>
      <c r="L69" s="56" t="str">
        <f>IF(COUNTIFS('LANÇAMENTOS DIÁRIOS'!$G$5:$G$500,"C",'LANÇAMENTOS DIÁRIOS'!$C$5:$C$500,$A69,'LANÇAMENTOS DIÁRIOS'!$O$5:$O$500,"&lt;=97599",'LANÇAMENTOS DIÁRIOS'!$P$5:$P$500,"&gt;=97500")&gt;0,"X","")</f>
      </c>
      <c r="M69" s="56" t="str">
        <f>IF(COUNTIFS('LANÇAMENTOS DIÁRIOS'!$G$5:$G$500,"C",'LANÇAMENTOS DIÁRIOS'!$C$5:$C$500,$A69,'LANÇAMENTOS DIÁRIOS'!$O$5:$O$500,"&lt;=97699",'LANÇAMENTOS DIÁRIOS'!$P$5:$P$500,"&gt;=97600")&gt;0,"X","")</f>
      </c>
      <c r="N69" s="56" t="str">
        <f>IF(COUNTIFS('LANÇAMENTOS DIÁRIOS'!$G$5:$G$500,"C",'LANÇAMENTOS DIÁRIOS'!$C$5:$C$500,$A69,'LANÇAMENTOS DIÁRIOS'!$O$5:$O$500,"&lt;=97799",'LANÇAMENTOS DIÁRIOS'!$P$5:$P$500,"&gt;=97700")&gt;0,"X","")</f>
      </c>
      <c r="O69" s="56" t="str">
        <f>IF(COUNTIFS('LANÇAMENTOS DIÁRIOS'!$G$5:$G$500,"C",'LANÇAMENTOS DIÁRIOS'!$C$5:$C$500,$A69,'LANÇAMENTOS DIÁRIOS'!$O$5:$O$500,"&lt;=97899",'LANÇAMENTOS DIÁRIOS'!$P$5:$P$500,"&gt;=97800")&gt;0,"X","")</f>
      </c>
      <c r="P69" s="56" t="str">
        <f>IF(COUNTIFS('LANÇAMENTOS DIÁRIOS'!$G$5:$G$500,"C",'LANÇAMENTOS DIÁRIOS'!$C$5:$C$500,$A69,'LANÇAMENTOS DIÁRIOS'!$O$5:$O$500,"&lt;=97999",'LANÇAMENTOS DIÁRIOS'!$P$5:$P$500,"&gt;=97900")&gt;0,"X","")</f>
      </c>
      <c r="Q69" s="56" t="str">
        <f>IF(COUNTIFS('LANÇAMENTOS DIÁRIOS'!$G$5:$G$500,"C",'LANÇAMENTOS DIÁRIOS'!$C$5:$C$500,$A69,'LANÇAMENTOS DIÁRIOS'!$O$5:$O$500,"&lt;=98099",'LANÇAMENTOS DIÁRIOS'!$P$5:$P$500,"&gt;=98000")&gt;0,"X","")</f>
      </c>
      <c r="R69" s="56" t="str">
        <f>IF(COUNTIFS('LANÇAMENTOS DIÁRIOS'!$G$5:$G$500,"C",'LANÇAMENTOS DIÁRIOS'!$C$5:$C$500,$A69,'LANÇAMENTOS DIÁRIOS'!$O$5:$O$500,"&lt;=98199",'LANÇAMENTOS DIÁRIOS'!$P$5:$P$500,"&gt;=98100")&gt;0,"X","")</f>
      </c>
      <c r="S69" s="56" t="str">
        <f>IF(COUNTIFS('LANÇAMENTOS DIÁRIOS'!$G$5:$G$500,"C",'LANÇAMENTOS DIÁRIOS'!$C$5:$C$500,$A69,'LANÇAMENTOS DIÁRIOS'!$O$5:$O$500,"&lt;=98299",'LANÇAMENTOS DIÁRIOS'!$P$5:$P$500,"&gt;=98200")&gt;0,"X","")</f>
      </c>
      <c r="T69" s="56" t="str">
        <f>IF(COUNTIFS('LANÇAMENTOS DIÁRIOS'!$G$5:$G$500,"C",'LANÇAMENTOS DIÁRIOS'!$C$5:$C$500,$A69,'LANÇAMENTOS DIÁRIOS'!$O$5:$O$500,"&lt;=98399",'LANÇAMENTOS DIÁRIOS'!$P$5:$P$500,"&gt;=98300")&gt;0,"X","")</f>
      </c>
      <c r="U69" s="56" t="str">
        <f>IF(COUNTIFS('LANÇAMENTOS DIÁRIOS'!$G$5:$G$500,"C",'LANÇAMENTOS DIÁRIOS'!$C$5:$C$500,$A69,'LANÇAMENTOS DIÁRIOS'!$O$5:$O$500,"&lt;=98499",'LANÇAMENTOS DIÁRIOS'!$P$5:$P$500,"&gt;=98400")&gt;0,"X","")</f>
      </c>
      <c r="V69" s="56" t="str">
        <f>IF(COUNTIFS('LANÇAMENTOS DIÁRIOS'!$G$5:$G$500,"C",'LANÇAMENTOS DIÁRIOS'!$C$5:$C$500,$A69,'LANÇAMENTOS DIÁRIOS'!$O$5:$O$500,"&lt;=98599",'LANÇAMENTOS DIÁRIOS'!$P$5:$P$500,"&gt;=98500")&gt;0,"X","")</f>
      </c>
      <c r="W69" s="56" t="str">
        <f>IF(COUNTIFS('LANÇAMENTOS DIÁRIOS'!$G$5:$G$500,"C",'LANÇAMENTOS DIÁRIOS'!$C$5:$C$500,$A69,'LANÇAMENTOS DIÁRIOS'!$O$5:$O$500,"&lt;=98699",'LANÇAMENTOS DIÁRIOS'!$P$5:$P$500,"&gt;=98600")&gt;0,"X","")</f>
      </c>
      <c r="X69" s="56" t="str">
        <f>IF(COUNTIFS('LANÇAMENTOS DIÁRIOS'!$G$5:$G$500,"C",'LANÇAMENTOS DIÁRIOS'!$C$5:$C$500,$A69,'LANÇAMENTOS DIÁRIOS'!$O$5:$O$500,"&lt;=98799",'LANÇAMENTOS DIÁRIOS'!$P$5:$P$500,"&gt;=98700")&gt;0,"X","")</f>
      </c>
      <c r="Y69" s="56" t="str">
        <f>IF(COUNTIFS('LANÇAMENTOS DIÁRIOS'!$G$5:$G$500,"C",'LANÇAMENTOS DIÁRIOS'!$C$5:$C$500,$A69,'LANÇAMENTOS DIÁRIOS'!$O$5:$O$500,"&lt;=98899",'LANÇAMENTOS DIÁRIOS'!$P$5:$P$500,"&gt;=98800")&gt;0,"X","")</f>
      </c>
      <c r="Z69" s="56" t="str">
        <f>IF(COUNTIFS('LANÇAMENTOS DIÁRIOS'!$G$5:$G$500,"C",'LANÇAMENTOS DIÁRIOS'!$C$5:$C$500,$A69,'LANÇAMENTOS DIÁRIOS'!$O$5:$O$500,"&lt;=98999",'LANÇAMENTOS DIÁRIOS'!$P$5:$P$500,"&gt;=98900")&gt;0,"X","")</f>
      </c>
      <c r="AA69" s="56" t="str">
        <f>IF(COUNTIFS('LANÇAMENTOS DIÁRIOS'!$G$5:$G$500,"C",'LANÇAMENTOS DIÁRIOS'!$C$5:$C$500,$A69,'LANÇAMENTOS DIÁRIOS'!$O$5:$O$500,"&lt;=99099",'LANÇAMENTOS DIÁRIOS'!$P$5:$P$500,"&gt;=99000")&gt;0,"X","")</f>
      </c>
      <c r="AB69" s="56" t="str">
        <f>IF(COUNTIFS('LANÇAMENTOS DIÁRIOS'!$G$5:$G$500,"C",'LANÇAMENTOS DIÁRIOS'!$C$5:$C$500,$A69,'LANÇAMENTOS DIÁRIOS'!$O$5:$O$500,"&lt;=99199",'LANÇAMENTOS DIÁRIOS'!$P$5:$P$500,"&gt;=99100")&gt;0,"X","")</f>
      </c>
      <c r="AC69" s="56" t="str">
        <f>IF(COUNTIFS('LANÇAMENTOS DIÁRIOS'!$G$5:$G$500,"C",'LANÇAMENTOS DIÁRIOS'!$C$5:$C$500,$A69,'LANÇAMENTOS DIÁRIOS'!$O$5:$O$500,"&lt;=99299",'LANÇAMENTOS DIÁRIOS'!$P$5:$P$500,"&gt;=99200")&gt;0,"X","")</f>
      </c>
      <c r="AD69" s="56" t="str">
        <f>IF(COUNTIFS('LANÇAMENTOS DIÁRIOS'!$G$5:$G$500,"C",'LANÇAMENTOS DIÁRIOS'!$C$5:$C$500,$A69,'LANÇAMENTOS DIÁRIOS'!$O$5:$O$500,"&lt;=99399",'LANÇAMENTOS DIÁRIOS'!$P$5:$P$500,"&gt;=99300")&gt;0,"X","")</f>
      </c>
      <c r="AE69" s="56" t="str">
        <f>IF(COUNTIFS('LANÇAMENTOS DIÁRIOS'!$G$5:$G$500,"C",'LANÇAMENTOS DIÁRIOS'!$C$5:$C$500,$A69,'LANÇAMENTOS DIÁRIOS'!$O$5:$O$500,"&lt;=99499",'LANÇAMENTOS DIÁRIOS'!$P$5:$P$500,"&gt;=99400")&gt;0,"X","")</f>
      </c>
      <c r="AF69" s="56" t="str">
        <f>IF(COUNTIFS('LANÇAMENTOS DIÁRIOS'!$G$5:$G$500,"C",'LANÇAMENTOS DIÁRIOS'!$C$5:$C$500,$A69,'LANÇAMENTOS DIÁRIOS'!$O$5:$O$500,"&lt;=99599",'LANÇAMENTOS DIÁRIOS'!$P$5:$P$500,"&gt;=99500")&gt;0,"X","")</f>
      </c>
      <c r="AG69" s="56" t="str">
        <f>IF(COUNTIFS('LANÇAMENTOS DIÁRIOS'!$G$5:$G$500,"C",'LANÇAMENTOS DIÁRIOS'!$C$5:$C$500,$A69,'LANÇAMENTOS DIÁRIOS'!$O$5:$O$500,"&lt;=99699",'LANÇAMENTOS DIÁRIOS'!$P$5:$P$500,"&gt;=99600")&gt;0,"X","")</f>
      </c>
      <c r="AH69" s="56" t="str">
        <f>IF(COUNTIFS('LANÇAMENTOS DIÁRIOS'!$G$5:$G$500,"C",'LANÇAMENTOS DIÁRIOS'!$C$5:$C$500,$A69,'LANÇAMENTOS DIÁRIOS'!$O$5:$O$500,"&lt;=99799",'LANÇAMENTOS DIÁRIOS'!$P$5:$P$500,"&gt;=99700")&gt;0,"X","")</f>
      </c>
      <c r="AI69" s="56" t="str">
        <f>IF(COUNTIFS('LANÇAMENTOS DIÁRIOS'!$G$5:$G$500,"C",'LANÇAMENTOS DIÁRIOS'!$C$5:$C$500,$A69,'LANÇAMENTOS DIÁRIOS'!$O$5:$O$500,"&lt;=99899",'LANÇAMENTOS DIÁRIOS'!$P$5:$P$500,"&gt;=99800")&gt;0,"X","")</f>
      </c>
      <c r="AJ69" s="56" t="str">
        <f>IF(COUNTIFS('LANÇAMENTOS DIÁRIOS'!$G$5:$G$500,"C",'LANÇAMENTOS DIÁRIOS'!$C$5:$C$500,$A69,'LANÇAMENTOS DIÁRIOS'!$O$5:$O$500,"&lt;=99999",'LANÇAMENTOS DIÁRIOS'!$P$5:$P$500,"&gt;=99900")&gt;0,"X","")</f>
      </c>
      <c r="AK69" s="56" t="str">
        <f>IF(COUNTIFS('LANÇAMENTOS DIÁRIOS'!$G$5:$G$500,"C",'LANÇAMENTOS DIÁRIOS'!$C$5:$C$500,$A69,'LANÇAMENTOS DIÁRIOS'!$O$5:$O$500,"&lt;=100099",'LANÇAMENTOS DIÁRIOS'!$P$5:$P$500,"&gt;=100000")&gt;0,"X","")</f>
      </c>
      <c r="AL69" s="56" t="str">
        <f>IF(COUNTIFS('LANÇAMENTOS DIÁRIOS'!$G$5:$G$500,"C",'LANÇAMENTOS DIÁRIOS'!$C$5:$C$500,$A69,'LANÇAMENTOS DIÁRIOS'!$O$5:$O$500,"&lt;=100199",'LANÇAMENTOS DIÁRIOS'!$P$5:$P$500,"&gt;=100100")&gt;0,"X","")</f>
      </c>
      <c r="AM69" s="56" t="str">
        <f>IF(COUNTIFS('LANÇAMENTOS DIÁRIOS'!$G$5:$G$500,"C",'LANÇAMENTOS DIÁRIOS'!$C$5:$C$500,$A69,'LANÇAMENTOS DIÁRIOS'!$O$5:$O$500,"&lt;=100299",'LANÇAMENTOS DIÁRIOS'!$P$5:$P$500,"&gt;=100200")&gt;0,"X","")</f>
      </c>
      <c r="AN69" s="56" t="str">
        <f>IF(COUNTIFS('LANÇAMENTOS DIÁRIOS'!$G$5:$G$500,"C",'LANÇAMENTOS DIÁRIOS'!$C$5:$C$500,$A69,'LANÇAMENTOS DIÁRIOS'!$O$5:$O$500,"&lt;=100399",'LANÇAMENTOS DIÁRIOS'!$P$5:$P$500,"&gt;=100300")&gt;0,"X","")</f>
      </c>
      <c r="AO69" s="56" t="str">
        <f>IF(COUNTIFS('LANÇAMENTOS DIÁRIOS'!$G$5:$G$500,"C",'LANÇAMENTOS DIÁRIOS'!$C$5:$C$500,$A69,'LANÇAMENTOS DIÁRIOS'!$O$5:$O$500,"&lt;=100499",'LANÇAMENTOS DIÁRIOS'!$P$5:$P$500,"&gt;=100400")&gt;0,"X","")</f>
      </c>
      <c r="AP69" s="56" t="str">
        <f>IF(COUNTIFS('LANÇAMENTOS DIÁRIOS'!$G$5:$G$500,"C",'LANÇAMENTOS DIÁRIOS'!$C$5:$C$500,$A69,'LANÇAMENTOS DIÁRIOS'!$O$5:$O$500,"&lt;=100500",'LANÇAMENTOS DIÁRIOS'!$P$5:$P$500,"&gt;=100500")&gt;0,"X","")</f>
      </c>
    </row>
    <row r="70">
      <c r="A70" s="51" t="str">
        <v>Marco Superficial</v>
      </c>
      <c r="B70" s="56" t="str">
        <f>IF(COUNTIFS('LANÇAMENTOS DIÁRIOS'!$G$5:$G$500,"C",'LANÇAMENTOS DIÁRIOS'!$C$5:$C$500,$A70,'LANÇAMENTOS DIÁRIOS'!$O$5:$O$500,"&lt;=96599",'LANÇAMENTOS DIÁRIOS'!$P$5:$P$500,"&gt;=96500")&gt;0,"X","")</f>
      </c>
      <c r="C70" s="56" t="str">
        <f>IF(COUNTIFS('LANÇAMENTOS DIÁRIOS'!$G$5:$G$500,"C",'LANÇAMENTOS DIÁRIOS'!$C$5:$C$500,$A70,'LANÇAMENTOS DIÁRIOS'!$O$5:$O$500,"&lt;=96699",'LANÇAMENTOS DIÁRIOS'!$P$5:$P$500,"&gt;=96600")&gt;0,"X","")</f>
      </c>
      <c r="D70" s="56" t="str">
        <f>IF(COUNTIFS('LANÇAMENTOS DIÁRIOS'!$G$5:$G$500,"C",'LANÇAMENTOS DIÁRIOS'!$C$5:$C$500,$A70,'LANÇAMENTOS DIÁRIOS'!$O$5:$O$500,"&lt;=96799",'LANÇAMENTOS DIÁRIOS'!$P$5:$P$500,"&gt;=96700")&gt;0,"X","")</f>
      </c>
      <c r="E70" s="56" t="str">
        <f>IF(COUNTIFS('LANÇAMENTOS DIÁRIOS'!$G$5:$G$500,"C",'LANÇAMENTOS DIÁRIOS'!$C$5:$C$500,$A70,'LANÇAMENTOS DIÁRIOS'!$O$5:$O$500,"&lt;=96899",'LANÇAMENTOS DIÁRIOS'!$P$5:$P$500,"&gt;=96800")&gt;0,"X","")</f>
      </c>
      <c r="F70" s="56" t="str">
        <f>IF(COUNTIFS('LANÇAMENTOS DIÁRIOS'!$G$5:$G$500,"C",'LANÇAMENTOS DIÁRIOS'!$C$5:$C$500,$A70,'LANÇAMENTOS DIÁRIOS'!$O$5:$O$500,"&lt;=96999",'LANÇAMENTOS DIÁRIOS'!$P$5:$P$500,"&gt;=96900")&gt;0,"X","")</f>
      </c>
      <c r="G70" s="56" t="str">
        <f>IF(COUNTIFS('LANÇAMENTOS DIÁRIOS'!$G$5:$G$500,"C",'LANÇAMENTOS DIÁRIOS'!$C$5:$C$500,$A70,'LANÇAMENTOS DIÁRIOS'!$O$5:$O$500,"&lt;=97099",'LANÇAMENTOS DIÁRIOS'!$P$5:$P$500,"&gt;=97000")&gt;0,"X","")</f>
      </c>
      <c r="H70" s="56" t="str">
        <f>IF(COUNTIFS('LANÇAMENTOS DIÁRIOS'!$G$5:$G$500,"C",'LANÇAMENTOS DIÁRIOS'!$C$5:$C$500,$A70,'LANÇAMENTOS DIÁRIOS'!$O$5:$O$500,"&lt;=97199",'LANÇAMENTOS DIÁRIOS'!$P$5:$P$500,"&gt;=97100")&gt;0,"X","")</f>
      </c>
      <c r="I70" s="56" t="str">
        <f>IF(COUNTIFS('LANÇAMENTOS DIÁRIOS'!$G$5:$G$500,"C",'LANÇAMENTOS DIÁRIOS'!$C$5:$C$500,$A70,'LANÇAMENTOS DIÁRIOS'!$O$5:$O$500,"&lt;=97299",'LANÇAMENTOS DIÁRIOS'!$P$5:$P$500,"&gt;=97200")&gt;0,"X","")</f>
      </c>
      <c r="J70" s="56" t="str">
        <f>IF(COUNTIFS('LANÇAMENTOS DIÁRIOS'!$G$5:$G$500,"C",'LANÇAMENTOS DIÁRIOS'!$C$5:$C$500,$A70,'LANÇAMENTOS DIÁRIOS'!$O$5:$O$500,"&lt;=97399",'LANÇAMENTOS DIÁRIOS'!$P$5:$P$500,"&gt;=97300")&gt;0,"X","")</f>
      </c>
      <c r="K70" s="56" t="str">
        <f>IF(COUNTIFS('LANÇAMENTOS DIÁRIOS'!$G$5:$G$500,"C",'LANÇAMENTOS DIÁRIOS'!$C$5:$C$500,$A70,'LANÇAMENTOS DIÁRIOS'!$O$5:$O$500,"&lt;=97499",'LANÇAMENTOS DIÁRIOS'!$P$5:$P$500,"&gt;=97400")&gt;0,"X","")</f>
      </c>
      <c r="L70" s="56" t="str">
        <f>IF(COUNTIFS('LANÇAMENTOS DIÁRIOS'!$G$5:$G$500,"C",'LANÇAMENTOS DIÁRIOS'!$C$5:$C$500,$A70,'LANÇAMENTOS DIÁRIOS'!$O$5:$O$500,"&lt;=97599",'LANÇAMENTOS DIÁRIOS'!$P$5:$P$500,"&gt;=97500")&gt;0,"X","")</f>
      </c>
      <c r="M70" s="56" t="str">
        <f>IF(COUNTIFS('LANÇAMENTOS DIÁRIOS'!$G$5:$G$500,"C",'LANÇAMENTOS DIÁRIOS'!$C$5:$C$500,$A70,'LANÇAMENTOS DIÁRIOS'!$O$5:$O$500,"&lt;=97699",'LANÇAMENTOS DIÁRIOS'!$P$5:$P$500,"&gt;=97600")&gt;0,"X","")</f>
      </c>
      <c r="N70" s="56" t="str">
        <f>IF(COUNTIFS('LANÇAMENTOS DIÁRIOS'!$G$5:$G$500,"C",'LANÇAMENTOS DIÁRIOS'!$C$5:$C$500,$A70,'LANÇAMENTOS DIÁRIOS'!$O$5:$O$500,"&lt;=97799",'LANÇAMENTOS DIÁRIOS'!$P$5:$P$500,"&gt;=97700")&gt;0,"X","")</f>
      </c>
      <c r="O70" s="56" t="str">
        <f>IF(COUNTIFS('LANÇAMENTOS DIÁRIOS'!$G$5:$G$500,"C",'LANÇAMENTOS DIÁRIOS'!$C$5:$C$500,$A70,'LANÇAMENTOS DIÁRIOS'!$O$5:$O$500,"&lt;=97899",'LANÇAMENTOS DIÁRIOS'!$P$5:$P$500,"&gt;=97800")&gt;0,"X","")</f>
      </c>
      <c r="P70" s="56" t="str">
        <f>IF(COUNTIFS('LANÇAMENTOS DIÁRIOS'!$G$5:$G$500,"C",'LANÇAMENTOS DIÁRIOS'!$C$5:$C$500,$A70,'LANÇAMENTOS DIÁRIOS'!$O$5:$O$500,"&lt;=97999",'LANÇAMENTOS DIÁRIOS'!$P$5:$P$500,"&gt;=97900")&gt;0,"X","")</f>
      </c>
      <c r="Q70" s="56" t="str">
        <f>IF(COUNTIFS('LANÇAMENTOS DIÁRIOS'!$G$5:$G$500,"C",'LANÇAMENTOS DIÁRIOS'!$C$5:$C$500,$A70,'LANÇAMENTOS DIÁRIOS'!$O$5:$O$500,"&lt;=98099",'LANÇAMENTOS DIÁRIOS'!$P$5:$P$500,"&gt;=98000")&gt;0,"X","")</f>
      </c>
      <c r="R70" s="56" t="str">
        <f>IF(COUNTIFS('LANÇAMENTOS DIÁRIOS'!$G$5:$G$500,"C",'LANÇAMENTOS DIÁRIOS'!$C$5:$C$500,$A70,'LANÇAMENTOS DIÁRIOS'!$O$5:$O$500,"&lt;=98199",'LANÇAMENTOS DIÁRIOS'!$P$5:$P$500,"&gt;=98100")&gt;0,"X","")</f>
      </c>
      <c r="S70" s="56" t="str">
        <f>IF(COUNTIFS('LANÇAMENTOS DIÁRIOS'!$G$5:$G$500,"C",'LANÇAMENTOS DIÁRIOS'!$C$5:$C$500,$A70,'LANÇAMENTOS DIÁRIOS'!$O$5:$O$500,"&lt;=98299",'LANÇAMENTOS DIÁRIOS'!$P$5:$P$500,"&gt;=98200")&gt;0,"X","")</f>
      </c>
      <c r="T70" s="56" t="str">
        <f>IF(COUNTIFS('LANÇAMENTOS DIÁRIOS'!$G$5:$G$500,"C",'LANÇAMENTOS DIÁRIOS'!$C$5:$C$500,$A70,'LANÇAMENTOS DIÁRIOS'!$O$5:$O$500,"&lt;=98399",'LANÇAMENTOS DIÁRIOS'!$P$5:$P$500,"&gt;=98300")&gt;0,"X","")</f>
      </c>
      <c r="U70" s="56" t="str">
        <f>IF(COUNTIFS('LANÇAMENTOS DIÁRIOS'!$G$5:$G$500,"C",'LANÇAMENTOS DIÁRIOS'!$C$5:$C$500,$A70,'LANÇAMENTOS DIÁRIOS'!$O$5:$O$500,"&lt;=98499",'LANÇAMENTOS DIÁRIOS'!$P$5:$P$500,"&gt;=98400")&gt;0,"X","")</f>
      </c>
      <c r="V70" s="56" t="str">
        <f>IF(COUNTIFS('LANÇAMENTOS DIÁRIOS'!$G$5:$G$500,"C",'LANÇAMENTOS DIÁRIOS'!$C$5:$C$500,$A70,'LANÇAMENTOS DIÁRIOS'!$O$5:$O$500,"&lt;=98599",'LANÇAMENTOS DIÁRIOS'!$P$5:$P$500,"&gt;=98500")&gt;0,"X","")</f>
      </c>
      <c r="W70" s="56" t="str">
        <f>IF(COUNTIFS('LANÇAMENTOS DIÁRIOS'!$G$5:$G$500,"C",'LANÇAMENTOS DIÁRIOS'!$C$5:$C$500,$A70,'LANÇAMENTOS DIÁRIOS'!$O$5:$O$500,"&lt;=98699",'LANÇAMENTOS DIÁRIOS'!$P$5:$P$500,"&gt;=98600")&gt;0,"X","")</f>
      </c>
      <c r="X70" s="56" t="str">
        <f>IF(COUNTIFS('LANÇAMENTOS DIÁRIOS'!$G$5:$G$500,"C",'LANÇAMENTOS DIÁRIOS'!$C$5:$C$500,$A70,'LANÇAMENTOS DIÁRIOS'!$O$5:$O$500,"&lt;=98799",'LANÇAMENTOS DIÁRIOS'!$P$5:$P$500,"&gt;=98700")&gt;0,"X","")</f>
      </c>
      <c r="Y70" s="56" t="str">
        <f>IF(COUNTIFS('LANÇAMENTOS DIÁRIOS'!$G$5:$G$500,"C",'LANÇAMENTOS DIÁRIOS'!$C$5:$C$500,$A70,'LANÇAMENTOS DIÁRIOS'!$O$5:$O$500,"&lt;=98899",'LANÇAMENTOS DIÁRIOS'!$P$5:$P$500,"&gt;=98800")&gt;0,"X","")</f>
      </c>
      <c r="Z70" s="56" t="str">
        <f>IF(COUNTIFS('LANÇAMENTOS DIÁRIOS'!$G$5:$G$500,"C",'LANÇAMENTOS DIÁRIOS'!$C$5:$C$500,$A70,'LANÇAMENTOS DIÁRIOS'!$O$5:$O$500,"&lt;=98999",'LANÇAMENTOS DIÁRIOS'!$P$5:$P$500,"&gt;=98900")&gt;0,"X","")</f>
      </c>
      <c r="AA70" s="56" t="str">
        <f>IF(COUNTIFS('LANÇAMENTOS DIÁRIOS'!$G$5:$G$500,"C",'LANÇAMENTOS DIÁRIOS'!$C$5:$C$500,$A70,'LANÇAMENTOS DIÁRIOS'!$O$5:$O$500,"&lt;=99099",'LANÇAMENTOS DIÁRIOS'!$P$5:$P$500,"&gt;=99000")&gt;0,"X","")</f>
      </c>
      <c r="AB70" s="56" t="str">
        <f>IF(COUNTIFS('LANÇAMENTOS DIÁRIOS'!$G$5:$G$500,"C",'LANÇAMENTOS DIÁRIOS'!$C$5:$C$500,$A70,'LANÇAMENTOS DIÁRIOS'!$O$5:$O$500,"&lt;=99199",'LANÇAMENTOS DIÁRIOS'!$P$5:$P$500,"&gt;=99100")&gt;0,"X","")</f>
      </c>
      <c r="AC70" s="56" t="str">
        <f>IF(COUNTIFS('LANÇAMENTOS DIÁRIOS'!$G$5:$G$500,"C",'LANÇAMENTOS DIÁRIOS'!$C$5:$C$500,$A70,'LANÇAMENTOS DIÁRIOS'!$O$5:$O$500,"&lt;=99299",'LANÇAMENTOS DIÁRIOS'!$P$5:$P$500,"&gt;=99200")&gt;0,"X","")</f>
      </c>
      <c r="AD70" s="56" t="str">
        <f>IF(COUNTIFS('LANÇAMENTOS DIÁRIOS'!$G$5:$G$500,"C",'LANÇAMENTOS DIÁRIOS'!$C$5:$C$500,$A70,'LANÇAMENTOS DIÁRIOS'!$O$5:$O$500,"&lt;=99399",'LANÇAMENTOS DIÁRIOS'!$P$5:$P$500,"&gt;=99300")&gt;0,"X","")</f>
      </c>
      <c r="AE70" s="56" t="str">
        <f>IF(COUNTIFS('LANÇAMENTOS DIÁRIOS'!$G$5:$G$500,"C",'LANÇAMENTOS DIÁRIOS'!$C$5:$C$500,$A70,'LANÇAMENTOS DIÁRIOS'!$O$5:$O$500,"&lt;=99499",'LANÇAMENTOS DIÁRIOS'!$P$5:$P$500,"&gt;=99400")&gt;0,"X","")</f>
      </c>
      <c r="AF70" s="56" t="str">
        <f>IF(COUNTIFS('LANÇAMENTOS DIÁRIOS'!$G$5:$G$500,"C",'LANÇAMENTOS DIÁRIOS'!$C$5:$C$500,$A70,'LANÇAMENTOS DIÁRIOS'!$O$5:$O$500,"&lt;=99599",'LANÇAMENTOS DIÁRIOS'!$P$5:$P$500,"&gt;=99500")&gt;0,"X","")</f>
      </c>
      <c r="AG70" s="56" t="str">
        <f>IF(COUNTIFS('LANÇAMENTOS DIÁRIOS'!$G$5:$G$500,"C",'LANÇAMENTOS DIÁRIOS'!$C$5:$C$500,$A70,'LANÇAMENTOS DIÁRIOS'!$O$5:$O$500,"&lt;=99699",'LANÇAMENTOS DIÁRIOS'!$P$5:$P$500,"&gt;=99600")&gt;0,"X","")</f>
      </c>
      <c r="AH70" s="56" t="str">
        <f>IF(COUNTIFS('LANÇAMENTOS DIÁRIOS'!$G$5:$G$500,"C",'LANÇAMENTOS DIÁRIOS'!$C$5:$C$500,$A70,'LANÇAMENTOS DIÁRIOS'!$O$5:$O$500,"&lt;=99799",'LANÇAMENTOS DIÁRIOS'!$P$5:$P$500,"&gt;=99700")&gt;0,"X","")</f>
      </c>
      <c r="AI70" s="56" t="str">
        <f>IF(COUNTIFS('LANÇAMENTOS DIÁRIOS'!$G$5:$G$500,"C",'LANÇAMENTOS DIÁRIOS'!$C$5:$C$500,$A70,'LANÇAMENTOS DIÁRIOS'!$O$5:$O$500,"&lt;=99899",'LANÇAMENTOS DIÁRIOS'!$P$5:$P$500,"&gt;=99800")&gt;0,"X","")</f>
      </c>
      <c r="AJ70" s="56" t="str">
        <f>IF(COUNTIFS('LANÇAMENTOS DIÁRIOS'!$G$5:$G$500,"C",'LANÇAMENTOS DIÁRIOS'!$C$5:$C$500,$A70,'LANÇAMENTOS DIÁRIOS'!$O$5:$O$500,"&lt;=99999",'LANÇAMENTOS DIÁRIOS'!$P$5:$P$500,"&gt;=99900")&gt;0,"X","")</f>
      </c>
      <c r="AK70" s="56" t="str">
        <f>IF(COUNTIFS('LANÇAMENTOS DIÁRIOS'!$G$5:$G$500,"C",'LANÇAMENTOS DIÁRIOS'!$C$5:$C$500,$A70,'LANÇAMENTOS DIÁRIOS'!$O$5:$O$500,"&lt;=100099",'LANÇAMENTOS DIÁRIOS'!$P$5:$P$500,"&gt;=100000")&gt;0,"X","")</f>
      </c>
      <c r="AL70" s="56" t="str">
        <f>IF(COUNTIFS('LANÇAMENTOS DIÁRIOS'!$G$5:$G$500,"C",'LANÇAMENTOS DIÁRIOS'!$C$5:$C$500,$A70,'LANÇAMENTOS DIÁRIOS'!$O$5:$O$500,"&lt;=100199",'LANÇAMENTOS DIÁRIOS'!$P$5:$P$500,"&gt;=100100")&gt;0,"X","")</f>
      </c>
      <c r="AM70" s="56" t="str">
        <f>IF(COUNTIFS('LANÇAMENTOS DIÁRIOS'!$G$5:$G$500,"C",'LANÇAMENTOS DIÁRIOS'!$C$5:$C$500,$A70,'LANÇAMENTOS DIÁRIOS'!$O$5:$O$500,"&lt;=100299",'LANÇAMENTOS DIÁRIOS'!$P$5:$P$500,"&gt;=100200")&gt;0,"X","")</f>
      </c>
      <c r="AN70" s="56" t="str">
        <f>IF(COUNTIFS('LANÇAMENTOS DIÁRIOS'!$G$5:$G$500,"C",'LANÇAMENTOS DIÁRIOS'!$C$5:$C$500,$A70,'LANÇAMENTOS DIÁRIOS'!$O$5:$O$500,"&lt;=100399",'LANÇAMENTOS DIÁRIOS'!$P$5:$P$500,"&gt;=100300")&gt;0,"X","")</f>
      </c>
      <c r="AO70" s="56" t="str">
        <f>IF(COUNTIFS('LANÇAMENTOS DIÁRIOS'!$G$5:$G$500,"C",'LANÇAMENTOS DIÁRIOS'!$C$5:$C$500,$A70,'LANÇAMENTOS DIÁRIOS'!$O$5:$O$500,"&lt;=100499",'LANÇAMENTOS DIÁRIOS'!$P$5:$P$500,"&gt;=100400")&gt;0,"X","")</f>
      </c>
      <c r="AP70" s="56" t="str">
        <f>IF(COUNTIFS('LANÇAMENTOS DIÁRIOS'!$G$5:$G$500,"C",'LANÇAMENTOS DIÁRIOS'!$C$5:$C$500,$A70,'LANÇAMENTOS DIÁRIOS'!$O$5:$O$500,"&lt;=100500",'LANÇAMENTOS DIÁRIOS'!$P$5:$P$500,"&gt;=100500")&gt;0,"X","")</f>
      </c>
    </row>
    <row r="71">
      <c r="A71" s="51" t="str">
        <v>Inclinômetro</v>
      </c>
      <c r="B71" s="56" t="str">
        <f>IF(COUNTIFS('LANÇAMENTOS DIÁRIOS'!$G$5:$G$500,"C",'LANÇAMENTOS DIÁRIOS'!$C$5:$C$500,$A71,'LANÇAMENTOS DIÁRIOS'!$O$5:$O$500,"&lt;=96599",'LANÇAMENTOS DIÁRIOS'!$P$5:$P$500,"&gt;=96500")&gt;0,"X","")</f>
      </c>
      <c r="C71" s="56" t="str">
        <f>IF(COUNTIFS('LANÇAMENTOS DIÁRIOS'!$G$5:$G$500,"C",'LANÇAMENTOS DIÁRIOS'!$C$5:$C$500,$A71,'LANÇAMENTOS DIÁRIOS'!$O$5:$O$500,"&lt;=96699",'LANÇAMENTOS DIÁRIOS'!$P$5:$P$500,"&gt;=96600")&gt;0,"X","")</f>
      </c>
      <c r="D71" s="56" t="str">
        <f>IF(COUNTIFS('LANÇAMENTOS DIÁRIOS'!$G$5:$G$500,"C",'LANÇAMENTOS DIÁRIOS'!$C$5:$C$500,$A71,'LANÇAMENTOS DIÁRIOS'!$O$5:$O$500,"&lt;=96799",'LANÇAMENTOS DIÁRIOS'!$P$5:$P$500,"&gt;=96700")&gt;0,"X","")</f>
      </c>
      <c r="E71" s="56" t="str">
        <f>IF(COUNTIFS('LANÇAMENTOS DIÁRIOS'!$G$5:$G$500,"C",'LANÇAMENTOS DIÁRIOS'!$C$5:$C$500,$A71,'LANÇAMENTOS DIÁRIOS'!$O$5:$O$500,"&lt;=96899",'LANÇAMENTOS DIÁRIOS'!$P$5:$P$500,"&gt;=96800")&gt;0,"X","")</f>
      </c>
      <c r="F71" s="56" t="str">
        <f>IF(COUNTIFS('LANÇAMENTOS DIÁRIOS'!$G$5:$G$500,"C",'LANÇAMENTOS DIÁRIOS'!$C$5:$C$500,$A71,'LANÇAMENTOS DIÁRIOS'!$O$5:$O$500,"&lt;=96999",'LANÇAMENTOS DIÁRIOS'!$P$5:$P$500,"&gt;=96900")&gt;0,"X","")</f>
      </c>
      <c r="G71" s="56" t="str">
        <f>IF(COUNTIFS('LANÇAMENTOS DIÁRIOS'!$G$5:$G$500,"C",'LANÇAMENTOS DIÁRIOS'!$C$5:$C$500,$A71,'LANÇAMENTOS DIÁRIOS'!$O$5:$O$500,"&lt;=97099",'LANÇAMENTOS DIÁRIOS'!$P$5:$P$500,"&gt;=97000")&gt;0,"X","")</f>
      </c>
      <c r="H71" s="56" t="str">
        <f>IF(COUNTIFS('LANÇAMENTOS DIÁRIOS'!$G$5:$G$500,"C",'LANÇAMENTOS DIÁRIOS'!$C$5:$C$500,$A71,'LANÇAMENTOS DIÁRIOS'!$O$5:$O$500,"&lt;=97199",'LANÇAMENTOS DIÁRIOS'!$P$5:$P$500,"&gt;=97100")&gt;0,"X","")</f>
      </c>
      <c r="I71" s="56" t="str">
        <f>IF(COUNTIFS('LANÇAMENTOS DIÁRIOS'!$G$5:$G$500,"C",'LANÇAMENTOS DIÁRIOS'!$C$5:$C$500,$A71,'LANÇAMENTOS DIÁRIOS'!$O$5:$O$500,"&lt;=97299",'LANÇAMENTOS DIÁRIOS'!$P$5:$P$500,"&gt;=97200")&gt;0,"X","")</f>
      </c>
      <c r="J71" s="56" t="str">
        <f>IF(COUNTIFS('LANÇAMENTOS DIÁRIOS'!$G$5:$G$500,"C",'LANÇAMENTOS DIÁRIOS'!$C$5:$C$500,$A71,'LANÇAMENTOS DIÁRIOS'!$O$5:$O$500,"&lt;=97399",'LANÇAMENTOS DIÁRIOS'!$P$5:$P$500,"&gt;=97300")&gt;0,"X","")</f>
      </c>
      <c r="K71" s="56" t="str">
        <f>IF(COUNTIFS('LANÇAMENTOS DIÁRIOS'!$G$5:$G$500,"C",'LANÇAMENTOS DIÁRIOS'!$C$5:$C$500,$A71,'LANÇAMENTOS DIÁRIOS'!$O$5:$O$500,"&lt;=97499",'LANÇAMENTOS DIÁRIOS'!$P$5:$P$500,"&gt;=97400")&gt;0,"X","")</f>
      </c>
      <c r="L71" s="56" t="str">
        <f>IF(COUNTIFS('LANÇAMENTOS DIÁRIOS'!$G$5:$G$500,"C",'LANÇAMENTOS DIÁRIOS'!$C$5:$C$500,$A71,'LANÇAMENTOS DIÁRIOS'!$O$5:$O$500,"&lt;=97599",'LANÇAMENTOS DIÁRIOS'!$P$5:$P$500,"&gt;=97500")&gt;0,"X","")</f>
      </c>
      <c r="M71" s="56" t="str">
        <f>IF(COUNTIFS('LANÇAMENTOS DIÁRIOS'!$G$5:$G$500,"C",'LANÇAMENTOS DIÁRIOS'!$C$5:$C$500,$A71,'LANÇAMENTOS DIÁRIOS'!$O$5:$O$500,"&lt;=97699",'LANÇAMENTOS DIÁRIOS'!$P$5:$P$500,"&gt;=97600")&gt;0,"X","")</f>
      </c>
      <c r="N71" s="56" t="str">
        <f>IF(COUNTIFS('LANÇAMENTOS DIÁRIOS'!$G$5:$G$500,"C",'LANÇAMENTOS DIÁRIOS'!$C$5:$C$500,$A71,'LANÇAMENTOS DIÁRIOS'!$O$5:$O$500,"&lt;=97799",'LANÇAMENTOS DIÁRIOS'!$P$5:$P$500,"&gt;=97700")&gt;0,"X","")</f>
      </c>
      <c r="O71" s="56" t="str">
        <f>IF(COUNTIFS('LANÇAMENTOS DIÁRIOS'!$G$5:$G$500,"C",'LANÇAMENTOS DIÁRIOS'!$C$5:$C$500,$A71,'LANÇAMENTOS DIÁRIOS'!$O$5:$O$500,"&lt;=97899",'LANÇAMENTOS DIÁRIOS'!$P$5:$P$500,"&gt;=97800")&gt;0,"X","")</f>
      </c>
      <c r="P71" s="56" t="str">
        <f>IF(COUNTIFS('LANÇAMENTOS DIÁRIOS'!$G$5:$G$500,"C",'LANÇAMENTOS DIÁRIOS'!$C$5:$C$500,$A71,'LANÇAMENTOS DIÁRIOS'!$O$5:$O$500,"&lt;=97999",'LANÇAMENTOS DIÁRIOS'!$P$5:$P$500,"&gt;=97900")&gt;0,"X","")</f>
      </c>
      <c r="Q71" s="56" t="str">
        <f>IF(COUNTIFS('LANÇAMENTOS DIÁRIOS'!$G$5:$G$500,"C",'LANÇAMENTOS DIÁRIOS'!$C$5:$C$500,$A71,'LANÇAMENTOS DIÁRIOS'!$O$5:$O$500,"&lt;=98099",'LANÇAMENTOS DIÁRIOS'!$P$5:$P$500,"&gt;=98000")&gt;0,"X","")</f>
      </c>
      <c r="R71" s="56" t="str">
        <f>IF(COUNTIFS('LANÇAMENTOS DIÁRIOS'!$G$5:$G$500,"C",'LANÇAMENTOS DIÁRIOS'!$C$5:$C$500,$A71,'LANÇAMENTOS DIÁRIOS'!$O$5:$O$500,"&lt;=98199",'LANÇAMENTOS DIÁRIOS'!$P$5:$P$500,"&gt;=98100")&gt;0,"X","")</f>
      </c>
      <c r="S71" s="56" t="str">
        <f>IF(COUNTIFS('LANÇAMENTOS DIÁRIOS'!$G$5:$G$500,"C",'LANÇAMENTOS DIÁRIOS'!$C$5:$C$500,$A71,'LANÇAMENTOS DIÁRIOS'!$O$5:$O$500,"&lt;=98299",'LANÇAMENTOS DIÁRIOS'!$P$5:$P$500,"&gt;=98200")&gt;0,"X","")</f>
      </c>
      <c r="T71" s="56" t="str">
        <f>IF(COUNTIFS('LANÇAMENTOS DIÁRIOS'!$G$5:$G$500,"C",'LANÇAMENTOS DIÁRIOS'!$C$5:$C$500,$A71,'LANÇAMENTOS DIÁRIOS'!$O$5:$O$500,"&lt;=98399",'LANÇAMENTOS DIÁRIOS'!$P$5:$P$500,"&gt;=98300")&gt;0,"X","")</f>
      </c>
      <c r="U71" s="56" t="str">
        <f>IF(COUNTIFS('LANÇAMENTOS DIÁRIOS'!$G$5:$G$500,"C",'LANÇAMENTOS DIÁRIOS'!$C$5:$C$500,$A71,'LANÇAMENTOS DIÁRIOS'!$O$5:$O$500,"&lt;=98499",'LANÇAMENTOS DIÁRIOS'!$P$5:$P$500,"&gt;=98400")&gt;0,"X","")</f>
      </c>
      <c r="V71" s="56" t="str">
        <f>IF(COUNTIFS('LANÇAMENTOS DIÁRIOS'!$G$5:$G$500,"C",'LANÇAMENTOS DIÁRIOS'!$C$5:$C$500,$A71,'LANÇAMENTOS DIÁRIOS'!$O$5:$O$500,"&lt;=98599",'LANÇAMENTOS DIÁRIOS'!$P$5:$P$500,"&gt;=98500")&gt;0,"X","")</f>
      </c>
      <c r="W71" s="56" t="str">
        <f>IF(COUNTIFS('LANÇAMENTOS DIÁRIOS'!$G$5:$G$500,"C",'LANÇAMENTOS DIÁRIOS'!$C$5:$C$500,$A71,'LANÇAMENTOS DIÁRIOS'!$O$5:$O$500,"&lt;=98699",'LANÇAMENTOS DIÁRIOS'!$P$5:$P$500,"&gt;=98600")&gt;0,"X","")</f>
      </c>
      <c r="X71" s="56" t="str">
        <f>IF(COUNTIFS('LANÇAMENTOS DIÁRIOS'!$G$5:$G$500,"C",'LANÇAMENTOS DIÁRIOS'!$C$5:$C$500,$A71,'LANÇAMENTOS DIÁRIOS'!$O$5:$O$500,"&lt;=98799",'LANÇAMENTOS DIÁRIOS'!$P$5:$P$500,"&gt;=98700")&gt;0,"X","")</f>
      </c>
      <c r="Y71" s="56" t="str">
        <f>IF(COUNTIFS('LANÇAMENTOS DIÁRIOS'!$G$5:$G$500,"C",'LANÇAMENTOS DIÁRIOS'!$C$5:$C$500,$A71,'LANÇAMENTOS DIÁRIOS'!$O$5:$O$500,"&lt;=98899",'LANÇAMENTOS DIÁRIOS'!$P$5:$P$500,"&gt;=98800")&gt;0,"X","")</f>
      </c>
      <c r="Z71" s="56" t="str">
        <f>IF(COUNTIFS('LANÇAMENTOS DIÁRIOS'!$G$5:$G$500,"C",'LANÇAMENTOS DIÁRIOS'!$C$5:$C$500,$A71,'LANÇAMENTOS DIÁRIOS'!$O$5:$O$500,"&lt;=98999",'LANÇAMENTOS DIÁRIOS'!$P$5:$P$500,"&gt;=98900")&gt;0,"X","")</f>
      </c>
      <c r="AA71" s="56" t="str">
        <f>IF(COUNTIFS('LANÇAMENTOS DIÁRIOS'!$G$5:$G$500,"C",'LANÇAMENTOS DIÁRIOS'!$C$5:$C$500,$A71,'LANÇAMENTOS DIÁRIOS'!$O$5:$O$500,"&lt;=99099",'LANÇAMENTOS DIÁRIOS'!$P$5:$P$500,"&gt;=99000")&gt;0,"X","")</f>
      </c>
      <c r="AB71" s="56" t="str">
        <f>IF(COUNTIFS('LANÇAMENTOS DIÁRIOS'!$G$5:$G$500,"C",'LANÇAMENTOS DIÁRIOS'!$C$5:$C$500,$A71,'LANÇAMENTOS DIÁRIOS'!$O$5:$O$500,"&lt;=99199",'LANÇAMENTOS DIÁRIOS'!$P$5:$P$500,"&gt;=99100")&gt;0,"X","")</f>
      </c>
      <c r="AC71" s="56" t="str">
        <f>IF(COUNTIFS('LANÇAMENTOS DIÁRIOS'!$G$5:$G$500,"C",'LANÇAMENTOS DIÁRIOS'!$C$5:$C$500,$A71,'LANÇAMENTOS DIÁRIOS'!$O$5:$O$500,"&lt;=99299",'LANÇAMENTOS DIÁRIOS'!$P$5:$P$500,"&gt;=99200")&gt;0,"X","")</f>
      </c>
      <c r="AD71" s="56" t="str">
        <f>IF(COUNTIFS('LANÇAMENTOS DIÁRIOS'!$G$5:$G$500,"C",'LANÇAMENTOS DIÁRIOS'!$C$5:$C$500,$A71,'LANÇAMENTOS DIÁRIOS'!$O$5:$O$500,"&lt;=99399",'LANÇAMENTOS DIÁRIOS'!$P$5:$P$500,"&gt;=99300")&gt;0,"X","")</f>
      </c>
      <c r="AE71" s="56" t="str">
        <f>IF(COUNTIFS('LANÇAMENTOS DIÁRIOS'!$G$5:$G$500,"C",'LANÇAMENTOS DIÁRIOS'!$C$5:$C$500,$A71,'LANÇAMENTOS DIÁRIOS'!$O$5:$O$500,"&lt;=99499",'LANÇAMENTOS DIÁRIOS'!$P$5:$P$500,"&gt;=99400")&gt;0,"X","")</f>
      </c>
      <c r="AF71" s="56" t="str">
        <f>IF(COUNTIFS('LANÇAMENTOS DIÁRIOS'!$G$5:$G$500,"C",'LANÇAMENTOS DIÁRIOS'!$C$5:$C$500,$A71,'LANÇAMENTOS DIÁRIOS'!$O$5:$O$500,"&lt;=99599",'LANÇAMENTOS DIÁRIOS'!$P$5:$P$500,"&gt;=99500")&gt;0,"X","")</f>
      </c>
      <c r="AG71" s="56" t="str">
        <f>IF(COUNTIFS('LANÇAMENTOS DIÁRIOS'!$G$5:$G$500,"C",'LANÇAMENTOS DIÁRIOS'!$C$5:$C$500,$A71,'LANÇAMENTOS DIÁRIOS'!$O$5:$O$500,"&lt;=99699",'LANÇAMENTOS DIÁRIOS'!$P$5:$P$500,"&gt;=99600")&gt;0,"X","")</f>
      </c>
      <c r="AH71" s="56" t="str">
        <f>IF(COUNTIFS('LANÇAMENTOS DIÁRIOS'!$G$5:$G$500,"C",'LANÇAMENTOS DIÁRIOS'!$C$5:$C$500,$A71,'LANÇAMENTOS DIÁRIOS'!$O$5:$O$500,"&lt;=99799",'LANÇAMENTOS DIÁRIOS'!$P$5:$P$500,"&gt;=99700")&gt;0,"X","")</f>
      </c>
      <c r="AI71" s="56" t="str">
        <f>IF(COUNTIFS('LANÇAMENTOS DIÁRIOS'!$G$5:$G$500,"C",'LANÇAMENTOS DIÁRIOS'!$C$5:$C$500,$A71,'LANÇAMENTOS DIÁRIOS'!$O$5:$O$500,"&lt;=99899",'LANÇAMENTOS DIÁRIOS'!$P$5:$P$500,"&gt;=99800")&gt;0,"X","")</f>
      </c>
      <c r="AJ71" s="56" t="str">
        <f>IF(COUNTIFS('LANÇAMENTOS DIÁRIOS'!$G$5:$G$500,"C",'LANÇAMENTOS DIÁRIOS'!$C$5:$C$500,$A71,'LANÇAMENTOS DIÁRIOS'!$O$5:$O$500,"&lt;=99999",'LANÇAMENTOS DIÁRIOS'!$P$5:$P$500,"&gt;=99900")&gt;0,"X","")</f>
      </c>
      <c r="AK71" s="56" t="str">
        <f>IF(COUNTIFS('LANÇAMENTOS DIÁRIOS'!$G$5:$G$500,"C",'LANÇAMENTOS DIÁRIOS'!$C$5:$C$500,$A71,'LANÇAMENTOS DIÁRIOS'!$O$5:$O$500,"&lt;=100099",'LANÇAMENTOS DIÁRIOS'!$P$5:$P$500,"&gt;=100000")&gt;0,"X","")</f>
      </c>
      <c r="AL71" s="56" t="str">
        <f>IF(COUNTIFS('LANÇAMENTOS DIÁRIOS'!$G$5:$G$500,"C",'LANÇAMENTOS DIÁRIOS'!$C$5:$C$500,$A71,'LANÇAMENTOS DIÁRIOS'!$O$5:$O$500,"&lt;=100199",'LANÇAMENTOS DIÁRIOS'!$P$5:$P$500,"&gt;=100100")&gt;0,"X","")</f>
      </c>
      <c r="AM71" s="56" t="str">
        <f>IF(COUNTIFS('LANÇAMENTOS DIÁRIOS'!$G$5:$G$500,"C",'LANÇAMENTOS DIÁRIOS'!$C$5:$C$500,$A71,'LANÇAMENTOS DIÁRIOS'!$O$5:$O$500,"&lt;=100299",'LANÇAMENTOS DIÁRIOS'!$P$5:$P$500,"&gt;=100200")&gt;0,"X","")</f>
      </c>
      <c r="AN71" s="56" t="str">
        <f>IF(COUNTIFS('LANÇAMENTOS DIÁRIOS'!$G$5:$G$500,"C",'LANÇAMENTOS DIÁRIOS'!$C$5:$C$500,$A71,'LANÇAMENTOS DIÁRIOS'!$O$5:$O$500,"&lt;=100399",'LANÇAMENTOS DIÁRIOS'!$P$5:$P$500,"&gt;=100300")&gt;0,"X","")</f>
      </c>
      <c r="AO71" s="56" t="str">
        <f>IF(COUNTIFS('LANÇAMENTOS DIÁRIOS'!$G$5:$G$500,"C",'LANÇAMENTOS DIÁRIOS'!$C$5:$C$500,$A71,'LANÇAMENTOS DIÁRIOS'!$O$5:$O$500,"&lt;=100499",'LANÇAMENTOS DIÁRIOS'!$P$5:$P$500,"&gt;=100400")&gt;0,"X","")</f>
      </c>
      <c r="AP71" s="56" t="str">
        <f>IF(COUNTIFS('LANÇAMENTOS DIÁRIOS'!$G$5:$G$500,"C",'LANÇAMENTOS DIÁRIOS'!$C$5:$C$500,$A71,'LANÇAMENTOS DIÁRIOS'!$O$5:$O$500,"&lt;=100500",'LANÇAMENTOS DIÁRIOS'!$P$5:$P$500,"&gt;=100500")&gt;0,"X","")</f>
      </c>
    </row>
    <row r="72">
      <c r="A72" s="51" t="str">
        <v>Monitoramento de Instrumentação</v>
      </c>
      <c r="B72" s="56" t="str">
        <f>IF(COUNTIFS('LANÇAMENTOS DIÁRIOS'!$G$5:$G$500,"C",'LANÇAMENTOS DIÁRIOS'!$C$5:$C$500,$A72,'LANÇAMENTOS DIÁRIOS'!$O$5:$O$500,"&lt;=96599",'LANÇAMENTOS DIÁRIOS'!$P$5:$P$500,"&gt;=96500")&gt;0,"X","")</f>
      </c>
      <c r="C72" s="56" t="str">
        <f>IF(COUNTIFS('LANÇAMENTOS DIÁRIOS'!$G$5:$G$500,"C",'LANÇAMENTOS DIÁRIOS'!$C$5:$C$500,$A72,'LANÇAMENTOS DIÁRIOS'!$O$5:$O$500,"&lt;=96699",'LANÇAMENTOS DIÁRIOS'!$P$5:$P$500,"&gt;=96600")&gt;0,"X","")</f>
      </c>
      <c r="D72" s="56" t="str">
        <f>IF(COUNTIFS('LANÇAMENTOS DIÁRIOS'!$G$5:$G$500,"C",'LANÇAMENTOS DIÁRIOS'!$C$5:$C$500,$A72,'LANÇAMENTOS DIÁRIOS'!$O$5:$O$500,"&lt;=96799",'LANÇAMENTOS DIÁRIOS'!$P$5:$P$500,"&gt;=96700")&gt;0,"X","")</f>
      </c>
      <c r="E72" s="56" t="str">
        <f>IF(COUNTIFS('LANÇAMENTOS DIÁRIOS'!$G$5:$G$500,"C",'LANÇAMENTOS DIÁRIOS'!$C$5:$C$500,$A72,'LANÇAMENTOS DIÁRIOS'!$O$5:$O$500,"&lt;=96899",'LANÇAMENTOS DIÁRIOS'!$P$5:$P$500,"&gt;=96800")&gt;0,"X","")</f>
      </c>
      <c r="F72" s="56" t="str">
        <f>IF(COUNTIFS('LANÇAMENTOS DIÁRIOS'!$G$5:$G$500,"C",'LANÇAMENTOS DIÁRIOS'!$C$5:$C$500,$A72,'LANÇAMENTOS DIÁRIOS'!$O$5:$O$500,"&lt;=96999",'LANÇAMENTOS DIÁRIOS'!$P$5:$P$500,"&gt;=96900")&gt;0,"X","")</f>
      </c>
      <c r="G72" s="56" t="str">
        <f>IF(COUNTIFS('LANÇAMENTOS DIÁRIOS'!$G$5:$G$500,"C",'LANÇAMENTOS DIÁRIOS'!$C$5:$C$500,$A72,'LANÇAMENTOS DIÁRIOS'!$O$5:$O$500,"&lt;=97099",'LANÇAMENTOS DIÁRIOS'!$P$5:$P$500,"&gt;=97000")&gt;0,"X","")</f>
      </c>
      <c r="H72" s="56" t="str">
        <f>IF(COUNTIFS('LANÇAMENTOS DIÁRIOS'!$G$5:$G$500,"C",'LANÇAMENTOS DIÁRIOS'!$C$5:$C$500,$A72,'LANÇAMENTOS DIÁRIOS'!$O$5:$O$500,"&lt;=97199",'LANÇAMENTOS DIÁRIOS'!$P$5:$P$500,"&gt;=97100")&gt;0,"X","")</f>
      </c>
      <c r="I72" s="56" t="str">
        <f>IF(COUNTIFS('LANÇAMENTOS DIÁRIOS'!$G$5:$G$500,"C",'LANÇAMENTOS DIÁRIOS'!$C$5:$C$500,$A72,'LANÇAMENTOS DIÁRIOS'!$O$5:$O$500,"&lt;=97299",'LANÇAMENTOS DIÁRIOS'!$P$5:$P$500,"&gt;=97200")&gt;0,"X","")</f>
      </c>
      <c r="J72" s="56" t="str">
        <f>IF(COUNTIFS('LANÇAMENTOS DIÁRIOS'!$G$5:$G$500,"C",'LANÇAMENTOS DIÁRIOS'!$C$5:$C$500,$A72,'LANÇAMENTOS DIÁRIOS'!$O$5:$O$500,"&lt;=97399",'LANÇAMENTOS DIÁRIOS'!$P$5:$P$500,"&gt;=97300")&gt;0,"X","")</f>
      </c>
      <c r="K72" s="56" t="str">
        <f>IF(COUNTIFS('LANÇAMENTOS DIÁRIOS'!$G$5:$G$500,"C",'LANÇAMENTOS DIÁRIOS'!$C$5:$C$500,$A72,'LANÇAMENTOS DIÁRIOS'!$O$5:$O$500,"&lt;=97499",'LANÇAMENTOS DIÁRIOS'!$P$5:$P$500,"&gt;=97400")&gt;0,"X","")</f>
      </c>
      <c r="L72" s="56" t="str">
        <f>IF(COUNTIFS('LANÇAMENTOS DIÁRIOS'!$G$5:$G$500,"C",'LANÇAMENTOS DIÁRIOS'!$C$5:$C$500,$A72,'LANÇAMENTOS DIÁRIOS'!$O$5:$O$500,"&lt;=97599",'LANÇAMENTOS DIÁRIOS'!$P$5:$P$500,"&gt;=97500")&gt;0,"X","")</f>
      </c>
      <c r="M72" s="56" t="str">
        <f>IF(COUNTIFS('LANÇAMENTOS DIÁRIOS'!$G$5:$G$500,"C",'LANÇAMENTOS DIÁRIOS'!$C$5:$C$500,$A72,'LANÇAMENTOS DIÁRIOS'!$O$5:$O$500,"&lt;=97699",'LANÇAMENTOS DIÁRIOS'!$P$5:$P$500,"&gt;=97600")&gt;0,"X","")</f>
      </c>
      <c r="N72" s="56" t="str">
        <f>IF(COUNTIFS('LANÇAMENTOS DIÁRIOS'!$G$5:$G$500,"C",'LANÇAMENTOS DIÁRIOS'!$C$5:$C$500,$A72,'LANÇAMENTOS DIÁRIOS'!$O$5:$O$500,"&lt;=97799",'LANÇAMENTOS DIÁRIOS'!$P$5:$P$500,"&gt;=97700")&gt;0,"X","")</f>
      </c>
      <c r="O72" s="56" t="str">
        <f>IF(COUNTIFS('LANÇAMENTOS DIÁRIOS'!$G$5:$G$500,"C",'LANÇAMENTOS DIÁRIOS'!$C$5:$C$500,$A72,'LANÇAMENTOS DIÁRIOS'!$O$5:$O$500,"&lt;=97899",'LANÇAMENTOS DIÁRIOS'!$P$5:$P$500,"&gt;=97800")&gt;0,"X","")</f>
      </c>
      <c r="P72" s="56" t="str">
        <f>IF(COUNTIFS('LANÇAMENTOS DIÁRIOS'!$G$5:$G$500,"C",'LANÇAMENTOS DIÁRIOS'!$C$5:$C$500,$A72,'LANÇAMENTOS DIÁRIOS'!$O$5:$O$500,"&lt;=97999",'LANÇAMENTOS DIÁRIOS'!$P$5:$P$500,"&gt;=97900")&gt;0,"X","")</f>
      </c>
      <c r="Q72" s="56" t="str">
        <f>IF(COUNTIFS('LANÇAMENTOS DIÁRIOS'!$G$5:$G$500,"C",'LANÇAMENTOS DIÁRIOS'!$C$5:$C$500,$A72,'LANÇAMENTOS DIÁRIOS'!$O$5:$O$500,"&lt;=98099",'LANÇAMENTOS DIÁRIOS'!$P$5:$P$500,"&gt;=98000")&gt;0,"X","")</f>
      </c>
      <c r="R72" s="56" t="str">
        <f>IF(COUNTIFS('LANÇAMENTOS DIÁRIOS'!$G$5:$G$500,"C",'LANÇAMENTOS DIÁRIOS'!$C$5:$C$500,$A72,'LANÇAMENTOS DIÁRIOS'!$O$5:$O$500,"&lt;=98199",'LANÇAMENTOS DIÁRIOS'!$P$5:$P$500,"&gt;=98100")&gt;0,"X","")</f>
      </c>
      <c r="S72" s="56" t="str">
        <f>IF(COUNTIFS('LANÇAMENTOS DIÁRIOS'!$G$5:$G$500,"C",'LANÇAMENTOS DIÁRIOS'!$C$5:$C$500,$A72,'LANÇAMENTOS DIÁRIOS'!$O$5:$O$500,"&lt;=98299",'LANÇAMENTOS DIÁRIOS'!$P$5:$P$500,"&gt;=98200")&gt;0,"X","")</f>
      </c>
      <c r="T72" s="56" t="str">
        <f>IF(COUNTIFS('LANÇAMENTOS DIÁRIOS'!$G$5:$G$500,"C",'LANÇAMENTOS DIÁRIOS'!$C$5:$C$500,$A72,'LANÇAMENTOS DIÁRIOS'!$O$5:$O$500,"&lt;=98399",'LANÇAMENTOS DIÁRIOS'!$P$5:$P$500,"&gt;=98300")&gt;0,"X","")</f>
      </c>
      <c r="U72" s="56" t="str">
        <f>IF(COUNTIFS('LANÇAMENTOS DIÁRIOS'!$G$5:$G$500,"C",'LANÇAMENTOS DIÁRIOS'!$C$5:$C$500,$A72,'LANÇAMENTOS DIÁRIOS'!$O$5:$O$500,"&lt;=98499",'LANÇAMENTOS DIÁRIOS'!$P$5:$P$500,"&gt;=98400")&gt;0,"X","")</f>
      </c>
      <c r="V72" s="56" t="str">
        <f>IF(COUNTIFS('LANÇAMENTOS DIÁRIOS'!$G$5:$G$500,"C",'LANÇAMENTOS DIÁRIOS'!$C$5:$C$500,$A72,'LANÇAMENTOS DIÁRIOS'!$O$5:$O$500,"&lt;=98599",'LANÇAMENTOS DIÁRIOS'!$P$5:$P$500,"&gt;=98500")&gt;0,"X","")</f>
      </c>
      <c r="W72" s="56" t="str">
        <f>IF(COUNTIFS('LANÇAMENTOS DIÁRIOS'!$G$5:$G$500,"C",'LANÇAMENTOS DIÁRIOS'!$C$5:$C$500,$A72,'LANÇAMENTOS DIÁRIOS'!$O$5:$O$500,"&lt;=98699",'LANÇAMENTOS DIÁRIOS'!$P$5:$P$500,"&gt;=98600")&gt;0,"X","")</f>
      </c>
      <c r="X72" s="56" t="str">
        <f>IF(COUNTIFS('LANÇAMENTOS DIÁRIOS'!$G$5:$G$500,"C",'LANÇAMENTOS DIÁRIOS'!$C$5:$C$500,$A72,'LANÇAMENTOS DIÁRIOS'!$O$5:$O$500,"&lt;=98799",'LANÇAMENTOS DIÁRIOS'!$P$5:$P$500,"&gt;=98700")&gt;0,"X","")</f>
      </c>
      <c r="Y72" s="56" t="str">
        <f>IF(COUNTIFS('LANÇAMENTOS DIÁRIOS'!$G$5:$G$500,"C",'LANÇAMENTOS DIÁRIOS'!$C$5:$C$500,$A72,'LANÇAMENTOS DIÁRIOS'!$O$5:$O$500,"&lt;=98899",'LANÇAMENTOS DIÁRIOS'!$P$5:$P$500,"&gt;=98800")&gt;0,"X","")</f>
      </c>
      <c r="Z72" s="56" t="str">
        <f>IF(COUNTIFS('LANÇAMENTOS DIÁRIOS'!$G$5:$G$500,"C",'LANÇAMENTOS DIÁRIOS'!$C$5:$C$500,$A72,'LANÇAMENTOS DIÁRIOS'!$O$5:$O$500,"&lt;=98999",'LANÇAMENTOS DIÁRIOS'!$P$5:$P$500,"&gt;=98900")&gt;0,"X","")</f>
      </c>
      <c r="AA72" s="56" t="str">
        <f>IF(COUNTIFS('LANÇAMENTOS DIÁRIOS'!$G$5:$G$500,"C",'LANÇAMENTOS DIÁRIOS'!$C$5:$C$500,$A72,'LANÇAMENTOS DIÁRIOS'!$O$5:$O$500,"&lt;=99099",'LANÇAMENTOS DIÁRIOS'!$P$5:$P$500,"&gt;=99000")&gt;0,"X","")</f>
      </c>
      <c r="AB72" s="56" t="str">
        <f>IF(COUNTIFS('LANÇAMENTOS DIÁRIOS'!$G$5:$G$500,"C",'LANÇAMENTOS DIÁRIOS'!$C$5:$C$500,$A72,'LANÇAMENTOS DIÁRIOS'!$O$5:$O$500,"&lt;=99199",'LANÇAMENTOS DIÁRIOS'!$P$5:$P$500,"&gt;=99100")&gt;0,"X","")</f>
      </c>
      <c r="AC72" s="56" t="str">
        <f>IF(COUNTIFS('LANÇAMENTOS DIÁRIOS'!$G$5:$G$500,"C",'LANÇAMENTOS DIÁRIOS'!$C$5:$C$500,$A72,'LANÇAMENTOS DIÁRIOS'!$O$5:$O$500,"&lt;=99299",'LANÇAMENTOS DIÁRIOS'!$P$5:$P$500,"&gt;=99200")&gt;0,"X","")</f>
      </c>
      <c r="AD72" s="56" t="str">
        <f>IF(COUNTIFS('LANÇAMENTOS DIÁRIOS'!$G$5:$G$500,"C",'LANÇAMENTOS DIÁRIOS'!$C$5:$C$500,$A72,'LANÇAMENTOS DIÁRIOS'!$O$5:$O$500,"&lt;=99399",'LANÇAMENTOS DIÁRIOS'!$P$5:$P$500,"&gt;=99300")&gt;0,"X","")</f>
      </c>
      <c r="AE72" s="56" t="str">
        <f>IF(COUNTIFS('LANÇAMENTOS DIÁRIOS'!$G$5:$G$500,"C",'LANÇAMENTOS DIÁRIOS'!$C$5:$C$500,$A72,'LANÇAMENTOS DIÁRIOS'!$O$5:$O$500,"&lt;=99499",'LANÇAMENTOS DIÁRIOS'!$P$5:$P$500,"&gt;=99400")&gt;0,"X","")</f>
      </c>
      <c r="AF72" s="56" t="str">
        <f>IF(COUNTIFS('LANÇAMENTOS DIÁRIOS'!$G$5:$G$500,"C",'LANÇAMENTOS DIÁRIOS'!$C$5:$C$500,$A72,'LANÇAMENTOS DIÁRIOS'!$O$5:$O$500,"&lt;=99599",'LANÇAMENTOS DIÁRIOS'!$P$5:$P$500,"&gt;=99500")&gt;0,"X","")</f>
      </c>
      <c r="AG72" s="56" t="str">
        <f>IF(COUNTIFS('LANÇAMENTOS DIÁRIOS'!$G$5:$G$500,"C",'LANÇAMENTOS DIÁRIOS'!$C$5:$C$500,$A72,'LANÇAMENTOS DIÁRIOS'!$O$5:$O$500,"&lt;=99699",'LANÇAMENTOS DIÁRIOS'!$P$5:$P$500,"&gt;=99600")&gt;0,"X","")</f>
      </c>
      <c r="AH72" s="56" t="str">
        <f>IF(COUNTIFS('LANÇAMENTOS DIÁRIOS'!$G$5:$G$500,"C",'LANÇAMENTOS DIÁRIOS'!$C$5:$C$500,$A72,'LANÇAMENTOS DIÁRIOS'!$O$5:$O$500,"&lt;=99799",'LANÇAMENTOS DIÁRIOS'!$P$5:$P$500,"&gt;=99700")&gt;0,"X","")</f>
      </c>
      <c r="AI72" s="56" t="str">
        <f>IF(COUNTIFS('LANÇAMENTOS DIÁRIOS'!$G$5:$G$500,"C",'LANÇAMENTOS DIÁRIOS'!$C$5:$C$500,$A72,'LANÇAMENTOS DIÁRIOS'!$O$5:$O$500,"&lt;=99899",'LANÇAMENTOS DIÁRIOS'!$P$5:$P$500,"&gt;=99800")&gt;0,"X","")</f>
      </c>
      <c r="AJ72" s="56" t="str">
        <f>IF(COUNTIFS('LANÇAMENTOS DIÁRIOS'!$G$5:$G$500,"C",'LANÇAMENTOS DIÁRIOS'!$C$5:$C$500,$A72,'LANÇAMENTOS DIÁRIOS'!$O$5:$O$500,"&lt;=99999",'LANÇAMENTOS DIÁRIOS'!$P$5:$P$500,"&gt;=99900")&gt;0,"X","")</f>
      </c>
      <c r="AK72" s="56" t="str">
        <f>IF(COUNTIFS('LANÇAMENTOS DIÁRIOS'!$G$5:$G$500,"C",'LANÇAMENTOS DIÁRIOS'!$C$5:$C$500,$A72,'LANÇAMENTOS DIÁRIOS'!$O$5:$O$500,"&lt;=100099",'LANÇAMENTOS DIÁRIOS'!$P$5:$P$500,"&gt;=100000")&gt;0,"X","")</f>
      </c>
      <c r="AL72" s="56" t="str">
        <f>IF(COUNTIFS('LANÇAMENTOS DIÁRIOS'!$G$5:$G$500,"C",'LANÇAMENTOS DIÁRIOS'!$C$5:$C$500,$A72,'LANÇAMENTOS DIÁRIOS'!$O$5:$O$500,"&lt;=100199",'LANÇAMENTOS DIÁRIOS'!$P$5:$P$500,"&gt;=100100")&gt;0,"X","")</f>
      </c>
      <c r="AM72" s="56" t="str">
        <f>IF(COUNTIFS('LANÇAMENTOS DIÁRIOS'!$G$5:$G$500,"C",'LANÇAMENTOS DIÁRIOS'!$C$5:$C$500,$A72,'LANÇAMENTOS DIÁRIOS'!$O$5:$O$500,"&lt;=100299",'LANÇAMENTOS DIÁRIOS'!$P$5:$P$500,"&gt;=100200")&gt;0,"X","")</f>
      </c>
      <c r="AN72" s="56" t="str">
        <f>IF(COUNTIFS('LANÇAMENTOS DIÁRIOS'!$G$5:$G$500,"C",'LANÇAMENTOS DIÁRIOS'!$C$5:$C$500,$A72,'LANÇAMENTOS DIÁRIOS'!$O$5:$O$500,"&lt;=100399",'LANÇAMENTOS DIÁRIOS'!$P$5:$P$500,"&gt;=100300")&gt;0,"X","")</f>
      </c>
      <c r="AO72" s="56" t="str">
        <f>IF(COUNTIFS('LANÇAMENTOS DIÁRIOS'!$G$5:$G$500,"C",'LANÇAMENTOS DIÁRIOS'!$C$5:$C$500,$A72,'LANÇAMENTOS DIÁRIOS'!$O$5:$O$500,"&lt;=100499",'LANÇAMENTOS DIÁRIOS'!$P$5:$P$500,"&gt;=100400")&gt;0,"X","")</f>
      </c>
      <c r="AP72" s="56" t="str">
        <f>IF(COUNTIFS('LANÇAMENTOS DIÁRIOS'!$G$5:$G$500,"C",'LANÇAMENTOS DIÁRIOS'!$C$5:$C$500,$A72,'LANÇAMENTOS DIÁRIOS'!$O$5:$O$500,"&lt;=100500",'LANÇAMENTOS DIÁRIOS'!$P$5:$P$500,"&gt;=100500")&gt;0,"X","")</f>
      </c>
    </row>
    <row r="73" ht="21" customHeight="1">
      <c r="A73" s="60" t="str">
        <v>Pavimentação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</row>
    <row r="74" ht="19" customHeight="1">
      <c r="A74" s="68" t="str">
        <v>Demolição do pavimento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</row>
    <row r="75">
      <c r="A75" s="51" t="str">
        <v>Demolição de pavimento, revestimento betuminoso</v>
      </c>
      <c r="B75" s="56" t="str">
        <f>IF(COUNTIFS('LANÇAMENTOS DIÁRIOS'!$G$5:$G$500,"C",'LANÇAMENTOS DIÁRIOS'!$C$5:$C$500,$A75,'LANÇAMENTOS DIÁRIOS'!$O$5:$O$500,"&lt;=96599",'LANÇAMENTOS DIÁRIOS'!$P$5:$P$500,"&gt;=96500")&gt;0,"X","")</f>
      </c>
      <c r="C75" s="56" t="str">
        <f>IF(COUNTIFS('LANÇAMENTOS DIÁRIOS'!$G$5:$G$500,"C",'LANÇAMENTOS DIÁRIOS'!$C$5:$C$500,$A75,'LANÇAMENTOS DIÁRIOS'!$O$5:$O$500,"&lt;=96699",'LANÇAMENTOS DIÁRIOS'!$P$5:$P$500,"&gt;=96600")&gt;0,"X","")</f>
      </c>
      <c r="D75" s="56" t="str">
        <f>IF(COUNTIFS('LANÇAMENTOS DIÁRIOS'!$G$5:$G$500,"C",'LANÇAMENTOS DIÁRIOS'!$C$5:$C$500,$A75,'LANÇAMENTOS DIÁRIOS'!$O$5:$O$500,"&lt;=96799",'LANÇAMENTOS DIÁRIOS'!$P$5:$P$500,"&gt;=96700")&gt;0,"X","")</f>
      </c>
      <c r="E75" s="56" t="str">
        <f>IF(COUNTIFS('LANÇAMENTOS DIÁRIOS'!$G$5:$G$500,"C",'LANÇAMENTOS DIÁRIOS'!$C$5:$C$500,$A75,'LANÇAMENTOS DIÁRIOS'!$O$5:$O$500,"&lt;=96899",'LANÇAMENTOS DIÁRIOS'!$P$5:$P$500,"&gt;=96800")&gt;0,"X","")</f>
      </c>
      <c r="F75" s="56" t="str">
        <f>IF(COUNTIFS('LANÇAMENTOS DIÁRIOS'!$G$5:$G$500,"C",'LANÇAMENTOS DIÁRIOS'!$C$5:$C$500,$A75,'LANÇAMENTOS DIÁRIOS'!$O$5:$O$500,"&lt;=96999",'LANÇAMENTOS DIÁRIOS'!$P$5:$P$500,"&gt;=96900")&gt;0,"X","")</f>
      </c>
      <c r="G75" s="56" t="str">
        <f>IF(COUNTIFS('LANÇAMENTOS DIÁRIOS'!$G$5:$G$500,"C",'LANÇAMENTOS DIÁRIOS'!$C$5:$C$500,$A75,'LANÇAMENTOS DIÁRIOS'!$O$5:$O$500,"&lt;=97099",'LANÇAMENTOS DIÁRIOS'!$P$5:$P$500,"&gt;=97000")&gt;0,"X","")</f>
      </c>
      <c r="H75" s="56" t="str">
        <f>IF(COUNTIFS('LANÇAMENTOS DIÁRIOS'!$G$5:$G$500,"C",'LANÇAMENTOS DIÁRIOS'!$C$5:$C$500,$A75,'LANÇAMENTOS DIÁRIOS'!$O$5:$O$500,"&lt;=97199",'LANÇAMENTOS DIÁRIOS'!$P$5:$P$500,"&gt;=97100")&gt;0,"X","")</f>
      </c>
      <c r="I75" s="56" t="str">
        <f>IF(COUNTIFS('LANÇAMENTOS DIÁRIOS'!$G$5:$G$500,"C",'LANÇAMENTOS DIÁRIOS'!$C$5:$C$500,$A75,'LANÇAMENTOS DIÁRIOS'!$O$5:$O$500,"&lt;=97299",'LANÇAMENTOS DIÁRIOS'!$P$5:$P$500,"&gt;=97200")&gt;0,"X","")</f>
      </c>
      <c r="J75" s="56" t="str">
        <f>IF(COUNTIFS('LANÇAMENTOS DIÁRIOS'!$G$5:$G$500,"C",'LANÇAMENTOS DIÁRIOS'!$C$5:$C$500,$A75,'LANÇAMENTOS DIÁRIOS'!$O$5:$O$500,"&lt;=97399",'LANÇAMENTOS DIÁRIOS'!$P$5:$P$500,"&gt;=97300")&gt;0,"X","")</f>
      </c>
      <c r="K75" s="56" t="str">
        <f>IF(COUNTIFS('LANÇAMENTOS DIÁRIOS'!$G$5:$G$500,"C",'LANÇAMENTOS DIÁRIOS'!$C$5:$C$500,$A75,'LANÇAMENTOS DIÁRIOS'!$O$5:$O$500,"&lt;=97499",'LANÇAMENTOS DIÁRIOS'!$P$5:$P$500,"&gt;=97400")&gt;0,"X","")</f>
      </c>
      <c r="L75" s="56" t="str">
        <f>IF(COUNTIFS('LANÇAMENTOS DIÁRIOS'!$G$5:$G$500,"C",'LANÇAMENTOS DIÁRIOS'!$C$5:$C$500,$A75,'LANÇAMENTOS DIÁRIOS'!$O$5:$O$500,"&lt;=97599",'LANÇAMENTOS DIÁRIOS'!$P$5:$P$500,"&gt;=97500")&gt;0,"X","")</f>
      </c>
      <c r="M75" s="56" t="str">
        <f>IF(COUNTIFS('LANÇAMENTOS DIÁRIOS'!$G$5:$G$500,"C",'LANÇAMENTOS DIÁRIOS'!$C$5:$C$500,$A75,'LANÇAMENTOS DIÁRIOS'!$O$5:$O$500,"&lt;=97699",'LANÇAMENTOS DIÁRIOS'!$P$5:$P$500,"&gt;=97600")&gt;0,"X","")</f>
      </c>
      <c r="N75" s="56" t="str">
        <f>IF(COUNTIFS('LANÇAMENTOS DIÁRIOS'!$G$5:$G$500,"C",'LANÇAMENTOS DIÁRIOS'!$C$5:$C$500,$A75,'LANÇAMENTOS DIÁRIOS'!$O$5:$O$500,"&lt;=97799",'LANÇAMENTOS DIÁRIOS'!$P$5:$P$500,"&gt;=97700")&gt;0,"X","")</f>
      </c>
      <c r="O75" s="56" t="str">
        <f>IF(COUNTIFS('LANÇAMENTOS DIÁRIOS'!$G$5:$G$500,"C",'LANÇAMENTOS DIÁRIOS'!$C$5:$C$500,$A75,'LANÇAMENTOS DIÁRIOS'!$O$5:$O$500,"&lt;=97899",'LANÇAMENTOS DIÁRIOS'!$P$5:$P$500,"&gt;=97800")&gt;0,"X","")</f>
      </c>
      <c r="P75" s="56" t="str">
        <f>IF(COUNTIFS('LANÇAMENTOS DIÁRIOS'!$G$5:$G$500,"C",'LANÇAMENTOS DIÁRIOS'!$C$5:$C$500,$A75,'LANÇAMENTOS DIÁRIOS'!$O$5:$O$500,"&lt;=97999",'LANÇAMENTOS DIÁRIOS'!$P$5:$P$500,"&gt;=97900")&gt;0,"X","")</f>
      </c>
      <c r="Q75" s="56" t="str">
        <f>IF(COUNTIFS('LANÇAMENTOS DIÁRIOS'!$G$5:$G$500,"C",'LANÇAMENTOS DIÁRIOS'!$C$5:$C$500,$A75,'LANÇAMENTOS DIÁRIOS'!$O$5:$O$500,"&lt;=98099",'LANÇAMENTOS DIÁRIOS'!$P$5:$P$500,"&gt;=98000")&gt;0,"X","")</f>
      </c>
      <c r="R75" s="56" t="str">
        <f>IF(COUNTIFS('LANÇAMENTOS DIÁRIOS'!$G$5:$G$500,"C",'LANÇAMENTOS DIÁRIOS'!$C$5:$C$500,$A75,'LANÇAMENTOS DIÁRIOS'!$O$5:$O$500,"&lt;=98199",'LANÇAMENTOS DIÁRIOS'!$P$5:$P$500,"&gt;=98100")&gt;0,"X","")</f>
      </c>
      <c r="S75" s="56" t="str">
        <f>IF(COUNTIFS('LANÇAMENTOS DIÁRIOS'!$G$5:$G$500,"C",'LANÇAMENTOS DIÁRIOS'!$C$5:$C$500,$A75,'LANÇAMENTOS DIÁRIOS'!$O$5:$O$500,"&lt;=98299",'LANÇAMENTOS DIÁRIOS'!$P$5:$P$500,"&gt;=98200")&gt;0,"X","")</f>
      </c>
      <c r="T75" s="56" t="str">
        <f>IF(COUNTIFS('LANÇAMENTOS DIÁRIOS'!$G$5:$G$500,"C",'LANÇAMENTOS DIÁRIOS'!$C$5:$C$500,$A75,'LANÇAMENTOS DIÁRIOS'!$O$5:$O$500,"&lt;=98399",'LANÇAMENTOS DIÁRIOS'!$P$5:$P$500,"&gt;=98300")&gt;0,"X","")</f>
      </c>
      <c r="U75" s="56" t="str">
        <f>IF(COUNTIFS('LANÇAMENTOS DIÁRIOS'!$G$5:$G$500,"C",'LANÇAMENTOS DIÁRIOS'!$C$5:$C$500,$A75,'LANÇAMENTOS DIÁRIOS'!$O$5:$O$500,"&lt;=98499",'LANÇAMENTOS DIÁRIOS'!$P$5:$P$500,"&gt;=98400")&gt;0,"X","")</f>
      </c>
      <c r="V75" s="56" t="str">
        <f>IF(COUNTIFS('LANÇAMENTOS DIÁRIOS'!$G$5:$G$500,"C",'LANÇAMENTOS DIÁRIOS'!$C$5:$C$500,$A75,'LANÇAMENTOS DIÁRIOS'!$O$5:$O$500,"&lt;=98599",'LANÇAMENTOS DIÁRIOS'!$P$5:$P$500,"&gt;=98500")&gt;0,"X","")</f>
      </c>
      <c r="W75" s="56" t="str">
        <f>IF(COUNTIFS('LANÇAMENTOS DIÁRIOS'!$G$5:$G$500,"C",'LANÇAMENTOS DIÁRIOS'!$C$5:$C$500,$A75,'LANÇAMENTOS DIÁRIOS'!$O$5:$O$500,"&lt;=98699",'LANÇAMENTOS DIÁRIOS'!$P$5:$P$500,"&gt;=98600")&gt;0,"X","")</f>
      </c>
      <c r="X75" s="56" t="str">
        <f>IF(COUNTIFS('LANÇAMENTOS DIÁRIOS'!$G$5:$G$500,"C",'LANÇAMENTOS DIÁRIOS'!$C$5:$C$500,$A75,'LANÇAMENTOS DIÁRIOS'!$O$5:$O$500,"&lt;=98799",'LANÇAMENTOS DIÁRIOS'!$P$5:$P$500,"&gt;=98700")&gt;0,"X","")</f>
      </c>
      <c r="Y75" s="56" t="str">
        <f>IF(COUNTIFS('LANÇAMENTOS DIÁRIOS'!$G$5:$G$500,"C",'LANÇAMENTOS DIÁRIOS'!$C$5:$C$500,$A75,'LANÇAMENTOS DIÁRIOS'!$O$5:$O$500,"&lt;=98899",'LANÇAMENTOS DIÁRIOS'!$P$5:$P$500,"&gt;=98800")&gt;0,"X","")</f>
      </c>
      <c r="Z75" s="56" t="str">
        <f>IF(COUNTIFS('LANÇAMENTOS DIÁRIOS'!$G$5:$G$500,"C",'LANÇAMENTOS DIÁRIOS'!$C$5:$C$500,$A75,'LANÇAMENTOS DIÁRIOS'!$O$5:$O$500,"&lt;=98999",'LANÇAMENTOS DIÁRIOS'!$P$5:$P$500,"&gt;=98900")&gt;0,"X","")</f>
      </c>
      <c r="AA75" s="56" t="str">
        <f>IF(COUNTIFS('LANÇAMENTOS DIÁRIOS'!$G$5:$G$500,"C",'LANÇAMENTOS DIÁRIOS'!$C$5:$C$500,$A75,'LANÇAMENTOS DIÁRIOS'!$O$5:$O$500,"&lt;=99099",'LANÇAMENTOS DIÁRIOS'!$P$5:$P$500,"&gt;=99000")&gt;0,"X","")</f>
      </c>
      <c r="AB75" s="56" t="str">
        <f>IF(COUNTIFS('LANÇAMENTOS DIÁRIOS'!$G$5:$G$500,"C",'LANÇAMENTOS DIÁRIOS'!$C$5:$C$500,$A75,'LANÇAMENTOS DIÁRIOS'!$O$5:$O$500,"&lt;=99199",'LANÇAMENTOS DIÁRIOS'!$P$5:$P$500,"&gt;=99100")&gt;0,"X","")</f>
      </c>
      <c r="AC75" s="56" t="str">
        <f>IF(COUNTIFS('LANÇAMENTOS DIÁRIOS'!$G$5:$G$500,"C",'LANÇAMENTOS DIÁRIOS'!$C$5:$C$500,$A75,'LANÇAMENTOS DIÁRIOS'!$O$5:$O$500,"&lt;=99299",'LANÇAMENTOS DIÁRIOS'!$P$5:$P$500,"&gt;=99200")&gt;0,"X","")</f>
      </c>
      <c r="AD75" s="56" t="str">
        <f>IF(COUNTIFS('LANÇAMENTOS DIÁRIOS'!$G$5:$G$500,"C",'LANÇAMENTOS DIÁRIOS'!$C$5:$C$500,$A75,'LANÇAMENTOS DIÁRIOS'!$O$5:$O$500,"&lt;=99399",'LANÇAMENTOS DIÁRIOS'!$P$5:$P$500,"&gt;=99300")&gt;0,"X","")</f>
      </c>
      <c r="AE75" s="56" t="str">
        <f>IF(COUNTIFS('LANÇAMENTOS DIÁRIOS'!$G$5:$G$500,"C",'LANÇAMENTOS DIÁRIOS'!$C$5:$C$500,$A75,'LANÇAMENTOS DIÁRIOS'!$O$5:$O$500,"&lt;=99499",'LANÇAMENTOS DIÁRIOS'!$P$5:$P$500,"&gt;=99400")&gt;0,"X","")</f>
      </c>
      <c r="AF75" s="56" t="str">
        <f>IF(COUNTIFS('LANÇAMENTOS DIÁRIOS'!$G$5:$G$500,"C",'LANÇAMENTOS DIÁRIOS'!$C$5:$C$500,$A75,'LANÇAMENTOS DIÁRIOS'!$O$5:$O$500,"&lt;=99599",'LANÇAMENTOS DIÁRIOS'!$P$5:$P$500,"&gt;=99500")&gt;0,"X","")</f>
      </c>
      <c r="AG75" s="56" t="str">
        <f>IF(COUNTIFS('LANÇAMENTOS DIÁRIOS'!$G$5:$G$500,"C",'LANÇAMENTOS DIÁRIOS'!$C$5:$C$500,$A75,'LANÇAMENTOS DIÁRIOS'!$O$5:$O$500,"&lt;=99699",'LANÇAMENTOS DIÁRIOS'!$P$5:$P$500,"&gt;=99600")&gt;0,"X","")</f>
      </c>
      <c r="AH75" s="56" t="str">
        <f>IF(COUNTIFS('LANÇAMENTOS DIÁRIOS'!$G$5:$G$500,"C",'LANÇAMENTOS DIÁRIOS'!$C$5:$C$500,$A75,'LANÇAMENTOS DIÁRIOS'!$O$5:$O$500,"&lt;=99799",'LANÇAMENTOS DIÁRIOS'!$P$5:$P$500,"&gt;=99700")&gt;0,"X","")</f>
      </c>
      <c r="AI75" s="56" t="str">
        <f>IF(COUNTIFS('LANÇAMENTOS DIÁRIOS'!$G$5:$G$500,"C",'LANÇAMENTOS DIÁRIOS'!$C$5:$C$500,$A75,'LANÇAMENTOS DIÁRIOS'!$O$5:$O$500,"&lt;=99899",'LANÇAMENTOS DIÁRIOS'!$P$5:$P$500,"&gt;=99800")&gt;0,"X","")</f>
      </c>
      <c r="AJ75" s="56" t="str">
        <f>IF(COUNTIFS('LANÇAMENTOS DIÁRIOS'!$G$5:$G$500,"C",'LANÇAMENTOS DIÁRIOS'!$C$5:$C$500,$A75,'LANÇAMENTOS DIÁRIOS'!$O$5:$O$500,"&lt;=99999",'LANÇAMENTOS DIÁRIOS'!$P$5:$P$500,"&gt;=99900")&gt;0,"X","")</f>
      </c>
      <c r="AK75" s="56" t="str">
        <f>IF(COUNTIFS('LANÇAMENTOS DIÁRIOS'!$G$5:$G$500,"C",'LANÇAMENTOS DIÁRIOS'!$C$5:$C$500,$A75,'LANÇAMENTOS DIÁRIOS'!$O$5:$O$500,"&lt;=100099",'LANÇAMENTOS DIÁRIOS'!$P$5:$P$500,"&gt;=100000")&gt;0,"X","")</f>
      </c>
      <c r="AL75" s="56" t="str">
        <f>IF(COUNTIFS('LANÇAMENTOS DIÁRIOS'!$G$5:$G$500,"C",'LANÇAMENTOS DIÁRIOS'!$C$5:$C$500,$A75,'LANÇAMENTOS DIÁRIOS'!$O$5:$O$500,"&lt;=100199",'LANÇAMENTOS DIÁRIOS'!$P$5:$P$500,"&gt;=100100")&gt;0,"X","")</f>
      </c>
      <c r="AM75" s="56" t="str">
        <f>IF(COUNTIFS('LANÇAMENTOS DIÁRIOS'!$G$5:$G$500,"C",'LANÇAMENTOS DIÁRIOS'!$C$5:$C$500,$A75,'LANÇAMENTOS DIÁRIOS'!$O$5:$O$500,"&lt;=100299",'LANÇAMENTOS DIÁRIOS'!$P$5:$P$500,"&gt;=100200")&gt;0,"X","")</f>
      </c>
      <c r="AN75" s="56" t="str">
        <f>IF(COUNTIFS('LANÇAMENTOS DIÁRIOS'!$G$5:$G$500,"C",'LANÇAMENTOS DIÁRIOS'!$C$5:$C$500,$A75,'LANÇAMENTOS DIÁRIOS'!$O$5:$O$500,"&lt;=100399",'LANÇAMENTOS DIÁRIOS'!$P$5:$P$500,"&gt;=100300")&gt;0,"X","")</f>
      </c>
      <c r="AO75" s="56" t="str">
        <f>IF(COUNTIFS('LANÇAMENTOS DIÁRIOS'!$G$5:$G$500,"C",'LANÇAMENTOS DIÁRIOS'!$C$5:$C$500,$A75,'LANÇAMENTOS DIÁRIOS'!$O$5:$O$500,"&lt;=100499",'LANÇAMENTOS DIÁRIOS'!$P$5:$P$500,"&gt;=100400")&gt;0,"X","")</f>
      </c>
      <c r="AP75" s="56" t="str">
        <f>IF(COUNTIFS('LANÇAMENTOS DIÁRIOS'!$G$5:$G$500,"C",'LANÇAMENTOS DIÁRIOS'!$C$5:$C$500,$A75,'LANÇAMENTOS DIÁRIOS'!$O$5:$O$500,"&lt;=100500",'LANÇAMENTOS DIÁRIOS'!$P$5:$P$500,"&gt;=100500")&gt;0,"X","")</f>
      </c>
    </row>
    <row r="76">
      <c r="A76" s="51" t="str">
        <v>Demolição de pavimento, camada granular</v>
      </c>
      <c r="B76" s="56" t="str">
        <f>IF(COUNTIFS('LANÇAMENTOS DIÁRIOS'!$G$5:$G$500,"C",'LANÇAMENTOS DIÁRIOS'!$C$5:$C$500,$A76,'LANÇAMENTOS DIÁRIOS'!$O$5:$O$500,"&lt;=96599",'LANÇAMENTOS DIÁRIOS'!$P$5:$P$500,"&gt;=96500")&gt;0,"X","")</f>
      </c>
      <c r="C76" s="56" t="str">
        <f>IF(COUNTIFS('LANÇAMENTOS DIÁRIOS'!$G$5:$G$500,"C",'LANÇAMENTOS DIÁRIOS'!$C$5:$C$500,$A76,'LANÇAMENTOS DIÁRIOS'!$O$5:$O$500,"&lt;=96699",'LANÇAMENTOS DIÁRIOS'!$P$5:$P$500,"&gt;=96600")&gt;0,"X","")</f>
      </c>
      <c r="D76" s="56" t="str">
        <f>IF(COUNTIFS('LANÇAMENTOS DIÁRIOS'!$G$5:$G$500,"C",'LANÇAMENTOS DIÁRIOS'!$C$5:$C$500,$A76,'LANÇAMENTOS DIÁRIOS'!$O$5:$O$500,"&lt;=96799",'LANÇAMENTOS DIÁRIOS'!$P$5:$P$500,"&gt;=96700")&gt;0,"X","")</f>
      </c>
      <c r="E76" s="56" t="str">
        <f>IF(COUNTIFS('LANÇAMENTOS DIÁRIOS'!$G$5:$G$500,"C",'LANÇAMENTOS DIÁRIOS'!$C$5:$C$500,$A76,'LANÇAMENTOS DIÁRIOS'!$O$5:$O$500,"&lt;=96899",'LANÇAMENTOS DIÁRIOS'!$P$5:$P$500,"&gt;=96800")&gt;0,"X","")</f>
      </c>
      <c r="F76" s="56" t="str">
        <f>IF(COUNTIFS('LANÇAMENTOS DIÁRIOS'!$G$5:$G$500,"C",'LANÇAMENTOS DIÁRIOS'!$C$5:$C$500,$A76,'LANÇAMENTOS DIÁRIOS'!$O$5:$O$500,"&lt;=96999",'LANÇAMENTOS DIÁRIOS'!$P$5:$P$500,"&gt;=96900")&gt;0,"X","")</f>
      </c>
      <c r="G76" s="56" t="str">
        <f>IF(COUNTIFS('LANÇAMENTOS DIÁRIOS'!$G$5:$G$500,"C",'LANÇAMENTOS DIÁRIOS'!$C$5:$C$500,$A76,'LANÇAMENTOS DIÁRIOS'!$O$5:$O$500,"&lt;=97099",'LANÇAMENTOS DIÁRIOS'!$P$5:$P$500,"&gt;=97000")&gt;0,"X","")</f>
      </c>
      <c r="H76" s="56" t="str">
        <f>IF(COUNTIFS('LANÇAMENTOS DIÁRIOS'!$G$5:$G$500,"C",'LANÇAMENTOS DIÁRIOS'!$C$5:$C$500,$A76,'LANÇAMENTOS DIÁRIOS'!$O$5:$O$500,"&lt;=97199",'LANÇAMENTOS DIÁRIOS'!$P$5:$P$500,"&gt;=97100")&gt;0,"X","")</f>
      </c>
      <c r="I76" s="56" t="str">
        <f>IF(COUNTIFS('LANÇAMENTOS DIÁRIOS'!$G$5:$G$500,"C",'LANÇAMENTOS DIÁRIOS'!$C$5:$C$500,$A76,'LANÇAMENTOS DIÁRIOS'!$O$5:$O$500,"&lt;=97299",'LANÇAMENTOS DIÁRIOS'!$P$5:$P$500,"&gt;=97200")&gt;0,"X","")</f>
      </c>
      <c r="J76" s="56" t="str">
        <f>IF(COUNTIFS('LANÇAMENTOS DIÁRIOS'!$G$5:$G$500,"C",'LANÇAMENTOS DIÁRIOS'!$C$5:$C$500,$A76,'LANÇAMENTOS DIÁRIOS'!$O$5:$O$500,"&lt;=97399",'LANÇAMENTOS DIÁRIOS'!$P$5:$P$500,"&gt;=97300")&gt;0,"X","")</f>
      </c>
      <c r="K76" s="56" t="str">
        <f>IF(COUNTIFS('LANÇAMENTOS DIÁRIOS'!$G$5:$G$500,"C",'LANÇAMENTOS DIÁRIOS'!$C$5:$C$500,$A76,'LANÇAMENTOS DIÁRIOS'!$O$5:$O$500,"&lt;=97499",'LANÇAMENTOS DIÁRIOS'!$P$5:$P$500,"&gt;=97400")&gt;0,"X","")</f>
      </c>
      <c r="L76" s="56" t="str">
        <f>IF(COUNTIFS('LANÇAMENTOS DIÁRIOS'!$G$5:$G$500,"C",'LANÇAMENTOS DIÁRIOS'!$C$5:$C$500,$A76,'LANÇAMENTOS DIÁRIOS'!$O$5:$O$500,"&lt;=97599",'LANÇAMENTOS DIÁRIOS'!$P$5:$P$500,"&gt;=97500")&gt;0,"X","")</f>
      </c>
      <c r="M76" s="56" t="str">
        <f>IF(COUNTIFS('LANÇAMENTOS DIÁRIOS'!$G$5:$G$500,"C",'LANÇAMENTOS DIÁRIOS'!$C$5:$C$500,$A76,'LANÇAMENTOS DIÁRIOS'!$O$5:$O$500,"&lt;=97699",'LANÇAMENTOS DIÁRIOS'!$P$5:$P$500,"&gt;=97600")&gt;0,"X","")</f>
      </c>
      <c r="N76" s="56" t="str">
        <f>IF(COUNTIFS('LANÇAMENTOS DIÁRIOS'!$G$5:$G$500,"C",'LANÇAMENTOS DIÁRIOS'!$C$5:$C$500,$A76,'LANÇAMENTOS DIÁRIOS'!$O$5:$O$500,"&lt;=97799",'LANÇAMENTOS DIÁRIOS'!$P$5:$P$500,"&gt;=97700")&gt;0,"X","")</f>
      </c>
      <c r="O76" s="56" t="str">
        <f>IF(COUNTIFS('LANÇAMENTOS DIÁRIOS'!$G$5:$G$500,"C",'LANÇAMENTOS DIÁRIOS'!$C$5:$C$500,$A76,'LANÇAMENTOS DIÁRIOS'!$O$5:$O$500,"&lt;=97899",'LANÇAMENTOS DIÁRIOS'!$P$5:$P$500,"&gt;=97800")&gt;0,"X","")</f>
      </c>
      <c r="P76" s="56" t="str">
        <f>IF(COUNTIFS('LANÇAMENTOS DIÁRIOS'!$G$5:$G$500,"C",'LANÇAMENTOS DIÁRIOS'!$C$5:$C$500,$A76,'LANÇAMENTOS DIÁRIOS'!$O$5:$O$500,"&lt;=97999",'LANÇAMENTOS DIÁRIOS'!$P$5:$P$500,"&gt;=97900")&gt;0,"X","")</f>
      </c>
      <c r="Q76" s="56" t="str">
        <f>IF(COUNTIFS('LANÇAMENTOS DIÁRIOS'!$G$5:$G$500,"C",'LANÇAMENTOS DIÁRIOS'!$C$5:$C$500,$A76,'LANÇAMENTOS DIÁRIOS'!$O$5:$O$500,"&lt;=98099",'LANÇAMENTOS DIÁRIOS'!$P$5:$P$500,"&gt;=98000")&gt;0,"X","")</f>
      </c>
      <c r="R76" s="56" t="str">
        <f>IF(COUNTIFS('LANÇAMENTOS DIÁRIOS'!$G$5:$G$500,"C",'LANÇAMENTOS DIÁRIOS'!$C$5:$C$500,$A76,'LANÇAMENTOS DIÁRIOS'!$O$5:$O$500,"&lt;=98199",'LANÇAMENTOS DIÁRIOS'!$P$5:$P$500,"&gt;=98100")&gt;0,"X","")</f>
      </c>
      <c r="S76" s="56" t="str">
        <f>IF(COUNTIFS('LANÇAMENTOS DIÁRIOS'!$G$5:$G$500,"C",'LANÇAMENTOS DIÁRIOS'!$C$5:$C$500,$A76,'LANÇAMENTOS DIÁRIOS'!$O$5:$O$500,"&lt;=98299",'LANÇAMENTOS DIÁRIOS'!$P$5:$P$500,"&gt;=98200")&gt;0,"X","")</f>
      </c>
      <c r="T76" s="56" t="str">
        <f>IF(COUNTIFS('LANÇAMENTOS DIÁRIOS'!$G$5:$G$500,"C",'LANÇAMENTOS DIÁRIOS'!$C$5:$C$500,$A76,'LANÇAMENTOS DIÁRIOS'!$O$5:$O$500,"&lt;=98399",'LANÇAMENTOS DIÁRIOS'!$P$5:$P$500,"&gt;=98300")&gt;0,"X","")</f>
      </c>
      <c r="U76" s="56" t="str">
        <f>IF(COUNTIFS('LANÇAMENTOS DIÁRIOS'!$G$5:$G$500,"C",'LANÇAMENTOS DIÁRIOS'!$C$5:$C$500,$A76,'LANÇAMENTOS DIÁRIOS'!$O$5:$O$500,"&lt;=98499",'LANÇAMENTOS DIÁRIOS'!$P$5:$P$500,"&gt;=98400")&gt;0,"X","")</f>
      </c>
      <c r="V76" s="56" t="str">
        <f>IF(COUNTIFS('LANÇAMENTOS DIÁRIOS'!$G$5:$G$500,"C",'LANÇAMENTOS DIÁRIOS'!$C$5:$C$500,$A76,'LANÇAMENTOS DIÁRIOS'!$O$5:$O$500,"&lt;=98599",'LANÇAMENTOS DIÁRIOS'!$P$5:$P$500,"&gt;=98500")&gt;0,"X","")</f>
      </c>
      <c r="W76" s="56" t="str">
        <f>IF(COUNTIFS('LANÇAMENTOS DIÁRIOS'!$G$5:$G$500,"C",'LANÇAMENTOS DIÁRIOS'!$C$5:$C$500,$A76,'LANÇAMENTOS DIÁRIOS'!$O$5:$O$500,"&lt;=98699",'LANÇAMENTOS DIÁRIOS'!$P$5:$P$500,"&gt;=98600")&gt;0,"X","")</f>
      </c>
      <c r="X76" s="56" t="str">
        <f>IF(COUNTIFS('LANÇAMENTOS DIÁRIOS'!$G$5:$G$500,"C",'LANÇAMENTOS DIÁRIOS'!$C$5:$C$500,$A76,'LANÇAMENTOS DIÁRIOS'!$O$5:$O$500,"&lt;=98799",'LANÇAMENTOS DIÁRIOS'!$P$5:$P$500,"&gt;=98700")&gt;0,"X","")</f>
      </c>
      <c r="Y76" s="56" t="str">
        <f>IF(COUNTIFS('LANÇAMENTOS DIÁRIOS'!$G$5:$G$500,"C",'LANÇAMENTOS DIÁRIOS'!$C$5:$C$500,$A76,'LANÇAMENTOS DIÁRIOS'!$O$5:$O$500,"&lt;=98899",'LANÇAMENTOS DIÁRIOS'!$P$5:$P$500,"&gt;=98800")&gt;0,"X","")</f>
      </c>
      <c r="Z76" s="56" t="str">
        <f>IF(COUNTIFS('LANÇAMENTOS DIÁRIOS'!$G$5:$G$500,"C",'LANÇAMENTOS DIÁRIOS'!$C$5:$C$500,$A76,'LANÇAMENTOS DIÁRIOS'!$O$5:$O$500,"&lt;=98999",'LANÇAMENTOS DIÁRIOS'!$P$5:$P$500,"&gt;=98900")&gt;0,"X","")</f>
      </c>
      <c r="AA76" s="56" t="str">
        <f>IF(COUNTIFS('LANÇAMENTOS DIÁRIOS'!$G$5:$G$500,"C",'LANÇAMENTOS DIÁRIOS'!$C$5:$C$500,$A76,'LANÇAMENTOS DIÁRIOS'!$O$5:$O$500,"&lt;=99099",'LANÇAMENTOS DIÁRIOS'!$P$5:$P$500,"&gt;=99000")&gt;0,"X","")</f>
      </c>
      <c r="AB76" s="56" t="str">
        <f>IF(COUNTIFS('LANÇAMENTOS DIÁRIOS'!$G$5:$G$500,"C",'LANÇAMENTOS DIÁRIOS'!$C$5:$C$500,$A76,'LANÇAMENTOS DIÁRIOS'!$O$5:$O$500,"&lt;=99199",'LANÇAMENTOS DIÁRIOS'!$P$5:$P$500,"&gt;=99100")&gt;0,"X","")</f>
      </c>
      <c r="AC76" s="56" t="str">
        <f>IF(COUNTIFS('LANÇAMENTOS DIÁRIOS'!$G$5:$G$500,"C",'LANÇAMENTOS DIÁRIOS'!$C$5:$C$500,$A76,'LANÇAMENTOS DIÁRIOS'!$O$5:$O$500,"&lt;=99299",'LANÇAMENTOS DIÁRIOS'!$P$5:$P$500,"&gt;=99200")&gt;0,"X","")</f>
      </c>
      <c r="AD76" s="56" t="str">
        <f>IF(COUNTIFS('LANÇAMENTOS DIÁRIOS'!$G$5:$G$500,"C",'LANÇAMENTOS DIÁRIOS'!$C$5:$C$500,$A76,'LANÇAMENTOS DIÁRIOS'!$O$5:$O$500,"&lt;=99399",'LANÇAMENTOS DIÁRIOS'!$P$5:$P$500,"&gt;=99300")&gt;0,"X","")</f>
      </c>
      <c r="AE76" s="56" t="str">
        <f>IF(COUNTIFS('LANÇAMENTOS DIÁRIOS'!$G$5:$G$500,"C",'LANÇAMENTOS DIÁRIOS'!$C$5:$C$500,$A76,'LANÇAMENTOS DIÁRIOS'!$O$5:$O$500,"&lt;=99499",'LANÇAMENTOS DIÁRIOS'!$P$5:$P$500,"&gt;=99400")&gt;0,"X","")</f>
      </c>
      <c r="AF76" s="56" t="str">
        <f>IF(COUNTIFS('LANÇAMENTOS DIÁRIOS'!$G$5:$G$500,"C",'LANÇAMENTOS DIÁRIOS'!$C$5:$C$500,$A76,'LANÇAMENTOS DIÁRIOS'!$O$5:$O$500,"&lt;=99599",'LANÇAMENTOS DIÁRIOS'!$P$5:$P$500,"&gt;=99500")&gt;0,"X","")</f>
      </c>
      <c r="AG76" s="56" t="str">
        <f>IF(COUNTIFS('LANÇAMENTOS DIÁRIOS'!$G$5:$G$500,"C",'LANÇAMENTOS DIÁRIOS'!$C$5:$C$500,$A76,'LANÇAMENTOS DIÁRIOS'!$O$5:$O$500,"&lt;=99699",'LANÇAMENTOS DIÁRIOS'!$P$5:$P$500,"&gt;=99600")&gt;0,"X","")</f>
      </c>
      <c r="AH76" s="56" t="str">
        <f>IF(COUNTIFS('LANÇAMENTOS DIÁRIOS'!$G$5:$G$500,"C",'LANÇAMENTOS DIÁRIOS'!$C$5:$C$500,$A76,'LANÇAMENTOS DIÁRIOS'!$O$5:$O$500,"&lt;=99799",'LANÇAMENTOS DIÁRIOS'!$P$5:$P$500,"&gt;=99700")&gt;0,"X","")</f>
      </c>
      <c r="AI76" s="56" t="str">
        <f>IF(COUNTIFS('LANÇAMENTOS DIÁRIOS'!$G$5:$G$500,"C",'LANÇAMENTOS DIÁRIOS'!$C$5:$C$500,$A76,'LANÇAMENTOS DIÁRIOS'!$O$5:$O$500,"&lt;=99899",'LANÇAMENTOS DIÁRIOS'!$P$5:$P$500,"&gt;=99800")&gt;0,"X","")</f>
      </c>
      <c r="AJ76" s="56" t="str">
        <f>IF(COUNTIFS('LANÇAMENTOS DIÁRIOS'!$G$5:$G$500,"C",'LANÇAMENTOS DIÁRIOS'!$C$5:$C$500,$A76,'LANÇAMENTOS DIÁRIOS'!$O$5:$O$500,"&lt;=99999",'LANÇAMENTOS DIÁRIOS'!$P$5:$P$500,"&gt;=99900")&gt;0,"X","")</f>
      </c>
      <c r="AK76" s="56" t="str">
        <f>IF(COUNTIFS('LANÇAMENTOS DIÁRIOS'!$G$5:$G$500,"C",'LANÇAMENTOS DIÁRIOS'!$C$5:$C$500,$A76,'LANÇAMENTOS DIÁRIOS'!$O$5:$O$500,"&lt;=100099",'LANÇAMENTOS DIÁRIOS'!$P$5:$P$500,"&gt;=100000")&gt;0,"X","")</f>
      </c>
      <c r="AL76" s="56" t="str">
        <f>IF(COUNTIFS('LANÇAMENTOS DIÁRIOS'!$G$5:$G$500,"C",'LANÇAMENTOS DIÁRIOS'!$C$5:$C$500,$A76,'LANÇAMENTOS DIÁRIOS'!$O$5:$O$500,"&lt;=100199",'LANÇAMENTOS DIÁRIOS'!$P$5:$P$500,"&gt;=100100")&gt;0,"X","")</f>
      </c>
      <c r="AM76" s="56" t="str">
        <f>IF(COUNTIFS('LANÇAMENTOS DIÁRIOS'!$G$5:$G$500,"C",'LANÇAMENTOS DIÁRIOS'!$C$5:$C$500,$A76,'LANÇAMENTOS DIÁRIOS'!$O$5:$O$500,"&lt;=100299",'LANÇAMENTOS DIÁRIOS'!$P$5:$P$500,"&gt;=100200")&gt;0,"X","")</f>
      </c>
      <c r="AN76" s="56" t="str">
        <f>IF(COUNTIFS('LANÇAMENTOS DIÁRIOS'!$G$5:$G$500,"C",'LANÇAMENTOS DIÁRIOS'!$C$5:$C$500,$A76,'LANÇAMENTOS DIÁRIOS'!$O$5:$O$500,"&lt;=100399",'LANÇAMENTOS DIÁRIOS'!$P$5:$P$500,"&gt;=100300")&gt;0,"X","")</f>
      </c>
      <c r="AO76" s="56" t="str">
        <f>IF(COUNTIFS('LANÇAMENTOS DIÁRIOS'!$G$5:$G$500,"C",'LANÇAMENTOS DIÁRIOS'!$C$5:$C$500,$A76,'LANÇAMENTOS DIÁRIOS'!$O$5:$O$500,"&lt;=100499",'LANÇAMENTOS DIÁRIOS'!$P$5:$P$500,"&gt;=100400")&gt;0,"X","")</f>
      </c>
      <c r="AP76" s="56" t="str">
        <f>IF(COUNTIFS('LANÇAMENTOS DIÁRIOS'!$G$5:$G$500,"C",'LANÇAMENTOS DIÁRIOS'!$C$5:$C$500,$A76,'LANÇAMENTOS DIÁRIOS'!$O$5:$O$500,"&lt;=100500",'LANÇAMENTOS DIÁRIOS'!$P$5:$P$500,"&gt;=100500")&gt;0,"X","")</f>
      </c>
    </row>
    <row r="77">
      <c r="A77" s="51" t="str">
        <v>Fresagem contínua do pavimento</v>
      </c>
      <c r="B77" s="56" t="str">
        <f>IF(COUNTIFS('LANÇAMENTOS DIÁRIOS'!$G$5:$G$500,"C",'LANÇAMENTOS DIÁRIOS'!$C$5:$C$500,$A77,'LANÇAMENTOS DIÁRIOS'!$O$5:$O$500,"&lt;=96599",'LANÇAMENTOS DIÁRIOS'!$P$5:$P$500,"&gt;=96500")&gt;0,"X","")</f>
      </c>
      <c r="C77" s="56" t="str">
        <f>IF(COUNTIFS('LANÇAMENTOS DIÁRIOS'!$G$5:$G$500,"C",'LANÇAMENTOS DIÁRIOS'!$C$5:$C$500,$A77,'LANÇAMENTOS DIÁRIOS'!$O$5:$O$500,"&lt;=96699",'LANÇAMENTOS DIÁRIOS'!$P$5:$P$500,"&gt;=96600")&gt;0,"X","")</f>
      </c>
      <c r="D77" s="56" t="str">
        <f>IF(COUNTIFS('LANÇAMENTOS DIÁRIOS'!$G$5:$G$500,"C",'LANÇAMENTOS DIÁRIOS'!$C$5:$C$500,$A77,'LANÇAMENTOS DIÁRIOS'!$O$5:$O$500,"&lt;=96799",'LANÇAMENTOS DIÁRIOS'!$P$5:$P$500,"&gt;=96700")&gt;0,"X","")</f>
      </c>
      <c r="E77" s="56" t="str">
        <f>IF(COUNTIFS('LANÇAMENTOS DIÁRIOS'!$G$5:$G$500,"C",'LANÇAMENTOS DIÁRIOS'!$C$5:$C$500,$A77,'LANÇAMENTOS DIÁRIOS'!$O$5:$O$500,"&lt;=96899",'LANÇAMENTOS DIÁRIOS'!$P$5:$P$500,"&gt;=96800")&gt;0,"X","")</f>
      </c>
      <c r="F77" s="56" t="str">
        <f>IF(COUNTIFS('LANÇAMENTOS DIÁRIOS'!$G$5:$G$500,"C",'LANÇAMENTOS DIÁRIOS'!$C$5:$C$500,$A77,'LANÇAMENTOS DIÁRIOS'!$O$5:$O$500,"&lt;=96999",'LANÇAMENTOS DIÁRIOS'!$P$5:$P$500,"&gt;=96900")&gt;0,"X","")</f>
      </c>
      <c r="G77" s="56" t="str">
        <f>IF(COUNTIFS('LANÇAMENTOS DIÁRIOS'!$G$5:$G$500,"C",'LANÇAMENTOS DIÁRIOS'!$C$5:$C$500,$A77,'LANÇAMENTOS DIÁRIOS'!$O$5:$O$500,"&lt;=97099",'LANÇAMENTOS DIÁRIOS'!$P$5:$P$500,"&gt;=97000")&gt;0,"X","")</f>
      </c>
      <c r="H77" s="56" t="str">
        <f>IF(COUNTIFS('LANÇAMENTOS DIÁRIOS'!$G$5:$G$500,"C",'LANÇAMENTOS DIÁRIOS'!$C$5:$C$500,$A77,'LANÇAMENTOS DIÁRIOS'!$O$5:$O$500,"&lt;=97199",'LANÇAMENTOS DIÁRIOS'!$P$5:$P$500,"&gt;=97100")&gt;0,"X","")</f>
      </c>
      <c r="I77" s="56" t="str">
        <f>IF(COUNTIFS('LANÇAMENTOS DIÁRIOS'!$G$5:$G$500,"C",'LANÇAMENTOS DIÁRIOS'!$C$5:$C$500,$A77,'LANÇAMENTOS DIÁRIOS'!$O$5:$O$500,"&lt;=97299",'LANÇAMENTOS DIÁRIOS'!$P$5:$P$500,"&gt;=97200")&gt;0,"X","")</f>
      </c>
      <c r="J77" s="56" t="str">
        <f>IF(COUNTIFS('LANÇAMENTOS DIÁRIOS'!$G$5:$G$500,"C",'LANÇAMENTOS DIÁRIOS'!$C$5:$C$500,$A77,'LANÇAMENTOS DIÁRIOS'!$O$5:$O$500,"&lt;=97399",'LANÇAMENTOS DIÁRIOS'!$P$5:$P$500,"&gt;=97300")&gt;0,"X","")</f>
      </c>
      <c r="K77" s="56" t="str">
        <f>IF(COUNTIFS('LANÇAMENTOS DIÁRIOS'!$G$5:$G$500,"C",'LANÇAMENTOS DIÁRIOS'!$C$5:$C$500,$A77,'LANÇAMENTOS DIÁRIOS'!$O$5:$O$500,"&lt;=97499",'LANÇAMENTOS DIÁRIOS'!$P$5:$P$500,"&gt;=97400")&gt;0,"X","")</f>
      </c>
      <c r="L77" s="56" t="str">
        <f>IF(COUNTIFS('LANÇAMENTOS DIÁRIOS'!$G$5:$G$500,"C",'LANÇAMENTOS DIÁRIOS'!$C$5:$C$500,$A77,'LANÇAMENTOS DIÁRIOS'!$O$5:$O$500,"&lt;=97599",'LANÇAMENTOS DIÁRIOS'!$P$5:$P$500,"&gt;=97500")&gt;0,"X","")</f>
      </c>
      <c r="M77" s="56" t="str">
        <f>IF(COUNTIFS('LANÇAMENTOS DIÁRIOS'!$G$5:$G$500,"C",'LANÇAMENTOS DIÁRIOS'!$C$5:$C$500,$A77,'LANÇAMENTOS DIÁRIOS'!$O$5:$O$500,"&lt;=97699",'LANÇAMENTOS DIÁRIOS'!$P$5:$P$500,"&gt;=97600")&gt;0,"X","")</f>
      </c>
      <c r="N77" s="56" t="str">
        <f>IF(COUNTIFS('LANÇAMENTOS DIÁRIOS'!$G$5:$G$500,"C",'LANÇAMENTOS DIÁRIOS'!$C$5:$C$500,$A77,'LANÇAMENTOS DIÁRIOS'!$O$5:$O$500,"&lt;=97799",'LANÇAMENTOS DIÁRIOS'!$P$5:$P$500,"&gt;=97700")&gt;0,"X","")</f>
      </c>
      <c r="O77" s="56" t="str">
        <f>IF(COUNTIFS('LANÇAMENTOS DIÁRIOS'!$G$5:$G$500,"C",'LANÇAMENTOS DIÁRIOS'!$C$5:$C$500,$A77,'LANÇAMENTOS DIÁRIOS'!$O$5:$O$500,"&lt;=97899",'LANÇAMENTOS DIÁRIOS'!$P$5:$P$500,"&gt;=97800")&gt;0,"X","")</f>
      </c>
      <c r="P77" s="56" t="str">
        <f>IF(COUNTIFS('LANÇAMENTOS DIÁRIOS'!$G$5:$G$500,"C",'LANÇAMENTOS DIÁRIOS'!$C$5:$C$500,$A77,'LANÇAMENTOS DIÁRIOS'!$O$5:$O$500,"&lt;=97999",'LANÇAMENTOS DIÁRIOS'!$P$5:$P$500,"&gt;=97900")&gt;0,"X","")</f>
      </c>
      <c r="Q77" s="56" t="str">
        <f>IF(COUNTIFS('LANÇAMENTOS DIÁRIOS'!$G$5:$G$500,"C",'LANÇAMENTOS DIÁRIOS'!$C$5:$C$500,$A77,'LANÇAMENTOS DIÁRIOS'!$O$5:$O$500,"&lt;=98099",'LANÇAMENTOS DIÁRIOS'!$P$5:$P$500,"&gt;=98000")&gt;0,"X","")</f>
      </c>
      <c r="R77" s="56" t="str">
        <f>IF(COUNTIFS('LANÇAMENTOS DIÁRIOS'!$G$5:$G$500,"C",'LANÇAMENTOS DIÁRIOS'!$C$5:$C$500,$A77,'LANÇAMENTOS DIÁRIOS'!$O$5:$O$500,"&lt;=98199",'LANÇAMENTOS DIÁRIOS'!$P$5:$P$500,"&gt;=98100")&gt;0,"X","")</f>
      </c>
      <c r="S77" s="56" t="str">
        <f>IF(COUNTIFS('LANÇAMENTOS DIÁRIOS'!$G$5:$G$500,"C",'LANÇAMENTOS DIÁRIOS'!$C$5:$C$500,$A77,'LANÇAMENTOS DIÁRIOS'!$O$5:$O$500,"&lt;=98299",'LANÇAMENTOS DIÁRIOS'!$P$5:$P$500,"&gt;=98200")&gt;0,"X","")</f>
      </c>
      <c r="T77" s="56" t="str">
        <f>IF(COUNTIFS('LANÇAMENTOS DIÁRIOS'!$G$5:$G$500,"C",'LANÇAMENTOS DIÁRIOS'!$C$5:$C$500,$A77,'LANÇAMENTOS DIÁRIOS'!$O$5:$O$500,"&lt;=98399",'LANÇAMENTOS DIÁRIOS'!$P$5:$P$500,"&gt;=98300")&gt;0,"X","")</f>
      </c>
      <c r="U77" s="56" t="str">
        <f>IF(COUNTIFS('LANÇAMENTOS DIÁRIOS'!$G$5:$G$500,"C",'LANÇAMENTOS DIÁRIOS'!$C$5:$C$500,$A77,'LANÇAMENTOS DIÁRIOS'!$O$5:$O$500,"&lt;=98499",'LANÇAMENTOS DIÁRIOS'!$P$5:$P$500,"&gt;=98400")&gt;0,"X","")</f>
      </c>
      <c r="V77" s="56" t="str">
        <f>IF(COUNTIFS('LANÇAMENTOS DIÁRIOS'!$G$5:$G$500,"C",'LANÇAMENTOS DIÁRIOS'!$C$5:$C$500,$A77,'LANÇAMENTOS DIÁRIOS'!$O$5:$O$500,"&lt;=98599",'LANÇAMENTOS DIÁRIOS'!$P$5:$P$500,"&gt;=98500")&gt;0,"X","")</f>
      </c>
      <c r="W77" s="56" t="str">
        <f>IF(COUNTIFS('LANÇAMENTOS DIÁRIOS'!$G$5:$G$500,"C",'LANÇAMENTOS DIÁRIOS'!$C$5:$C$500,$A77,'LANÇAMENTOS DIÁRIOS'!$O$5:$O$500,"&lt;=98699",'LANÇAMENTOS DIÁRIOS'!$P$5:$P$500,"&gt;=98600")&gt;0,"X","")</f>
      </c>
      <c r="X77" s="56" t="str">
        <f>IF(COUNTIFS('LANÇAMENTOS DIÁRIOS'!$G$5:$G$500,"C",'LANÇAMENTOS DIÁRIOS'!$C$5:$C$500,$A77,'LANÇAMENTOS DIÁRIOS'!$O$5:$O$500,"&lt;=98799",'LANÇAMENTOS DIÁRIOS'!$P$5:$P$500,"&gt;=98700")&gt;0,"X","")</f>
      </c>
      <c r="Y77" s="56" t="str">
        <f>IF(COUNTIFS('LANÇAMENTOS DIÁRIOS'!$G$5:$G$500,"C",'LANÇAMENTOS DIÁRIOS'!$C$5:$C$500,$A77,'LANÇAMENTOS DIÁRIOS'!$O$5:$O$500,"&lt;=98899",'LANÇAMENTOS DIÁRIOS'!$P$5:$P$500,"&gt;=98800")&gt;0,"X","")</f>
      </c>
      <c r="Z77" s="56" t="str">
        <f>IF(COUNTIFS('LANÇAMENTOS DIÁRIOS'!$G$5:$G$500,"C",'LANÇAMENTOS DIÁRIOS'!$C$5:$C$500,$A77,'LANÇAMENTOS DIÁRIOS'!$O$5:$O$500,"&lt;=98999",'LANÇAMENTOS DIÁRIOS'!$P$5:$P$500,"&gt;=98900")&gt;0,"X","")</f>
      </c>
      <c r="AA77" s="56" t="str">
        <f>IF(COUNTIFS('LANÇAMENTOS DIÁRIOS'!$G$5:$G$500,"C",'LANÇAMENTOS DIÁRIOS'!$C$5:$C$500,$A77,'LANÇAMENTOS DIÁRIOS'!$O$5:$O$500,"&lt;=99099",'LANÇAMENTOS DIÁRIOS'!$P$5:$P$500,"&gt;=99000")&gt;0,"X","")</f>
      </c>
      <c r="AB77" s="56" t="str">
        <f>IF(COUNTIFS('LANÇAMENTOS DIÁRIOS'!$G$5:$G$500,"C",'LANÇAMENTOS DIÁRIOS'!$C$5:$C$500,$A77,'LANÇAMENTOS DIÁRIOS'!$O$5:$O$500,"&lt;=99199",'LANÇAMENTOS DIÁRIOS'!$P$5:$P$500,"&gt;=99100")&gt;0,"X","")</f>
      </c>
      <c r="AC77" s="56" t="str">
        <f>IF(COUNTIFS('LANÇAMENTOS DIÁRIOS'!$G$5:$G$500,"C",'LANÇAMENTOS DIÁRIOS'!$C$5:$C$500,$A77,'LANÇAMENTOS DIÁRIOS'!$O$5:$O$500,"&lt;=99299",'LANÇAMENTOS DIÁRIOS'!$P$5:$P$500,"&gt;=99200")&gt;0,"X","")</f>
      </c>
      <c r="AD77" s="56" t="str">
        <f>IF(COUNTIFS('LANÇAMENTOS DIÁRIOS'!$G$5:$G$500,"C",'LANÇAMENTOS DIÁRIOS'!$C$5:$C$500,$A77,'LANÇAMENTOS DIÁRIOS'!$O$5:$O$500,"&lt;=99399",'LANÇAMENTOS DIÁRIOS'!$P$5:$P$500,"&gt;=99300")&gt;0,"X","")</f>
      </c>
      <c r="AE77" s="56" t="str">
        <f>IF(COUNTIFS('LANÇAMENTOS DIÁRIOS'!$G$5:$G$500,"C",'LANÇAMENTOS DIÁRIOS'!$C$5:$C$500,$A77,'LANÇAMENTOS DIÁRIOS'!$O$5:$O$500,"&lt;=99499",'LANÇAMENTOS DIÁRIOS'!$P$5:$P$500,"&gt;=99400")&gt;0,"X","")</f>
      </c>
      <c r="AF77" s="56" t="str">
        <f>IF(COUNTIFS('LANÇAMENTOS DIÁRIOS'!$G$5:$G$500,"C",'LANÇAMENTOS DIÁRIOS'!$C$5:$C$500,$A77,'LANÇAMENTOS DIÁRIOS'!$O$5:$O$500,"&lt;=99599",'LANÇAMENTOS DIÁRIOS'!$P$5:$P$500,"&gt;=99500")&gt;0,"X","")</f>
      </c>
      <c r="AG77" s="56" t="str">
        <f>IF(COUNTIFS('LANÇAMENTOS DIÁRIOS'!$G$5:$G$500,"C",'LANÇAMENTOS DIÁRIOS'!$C$5:$C$500,$A77,'LANÇAMENTOS DIÁRIOS'!$O$5:$O$500,"&lt;=99699",'LANÇAMENTOS DIÁRIOS'!$P$5:$P$500,"&gt;=99600")&gt;0,"X","")</f>
      </c>
      <c r="AH77" s="56" t="str">
        <f>IF(COUNTIFS('LANÇAMENTOS DIÁRIOS'!$G$5:$G$500,"C",'LANÇAMENTOS DIÁRIOS'!$C$5:$C$500,$A77,'LANÇAMENTOS DIÁRIOS'!$O$5:$O$500,"&lt;=99799",'LANÇAMENTOS DIÁRIOS'!$P$5:$P$500,"&gt;=99700")&gt;0,"X","")</f>
      </c>
      <c r="AI77" s="56" t="str">
        <f>IF(COUNTIFS('LANÇAMENTOS DIÁRIOS'!$G$5:$G$500,"C",'LANÇAMENTOS DIÁRIOS'!$C$5:$C$500,$A77,'LANÇAMENTOS DIÁRIOS'!$O$5:$O$500,"&lt;=99899",'LANÇAMENTOS DIÁRIOS'!$P$5:$P$500,"&gt;=99800")&gt;0,"X","")</f>
      </c>
      <c r="AJ77" s="56" t="str">
        <f>IF(COUNTIFS('LANÇAMENTOS DIÁRIOS'!$G$5:$G$500,"C",'LANÇAMENTOS DIÁRIOS'!$C$5:$C$500,$A77,'LANÇAMENTOS DIÁRIOS'!$O$5:$O$500,"&lt;=99999",'LANÇAMENTOS DIÁRIOS'!$P$5:$P$500,"&gt;=99900")&gt;0,"X","")</f>
      </c>
      <c r="AK77" s="56" t="str">
        <f>IF(COUNTIFS('LANÇAMENTOS DIÁRIOS'!$G$5:$G$500,"C",'LANÇAMENTOS DIÁRIOS'!$C$5:$C$500,$A77,'LANÇAMENTOS DIÁRIOS'!$O$5:$O$500,"&lt;=100099",'LANÇAMENTOS DIÁRIOS'!$P$5:$P$500,"&gt;=100000")&gt;0,"X","")</f>
      </c>
      <c r="AL77" s="56" t="str">
        <f>IF(COUNTIFS('LANÇAMENTOS DIÁRIOS'!$G$5:$G$500,"C",'LANÇAMENTOS DIÁRIOS'!$C$5:$C$500,$A77,'LANÇAMENTOS DIÁRIOS'!$O$5:$O$500,"&lt;=100199",'LANÇAMENTOS DIÁRIOS'!$P$5:$P$500,"&gt;=100100")&gt;0,"X","")</f>
      </c>
      <c r="AM77" s="56" t="str">
        <f>IF(COUNTIFS('LANÇAMENTOS DIÁRIOS'!$G$5:$G$500,"C",'LANÇAMENTOS DIÁRIOS'!$C$5:$C$500,$A77,'LANÇAMENTOS DIÁRIOS'!$O$5:$O$500,"&lt;=100299",'LANÇAMENTOS DIÁRIOS'!$P$5:$P$500,"&gt;=100200")&gt;0,"X","")</f>
      </c>
      <c r="AN77" s="56" t="str">
        <f>IF(COUNTIFS('LANÇAMENTOS DIÁRIOS'!$G$5:$G$500,"C",'LANÇAMENTOS DIÁRIOS'!$C$5:$C$500,$A77,'LANÇAMENTOS DIÁRIOS'!$O$5:$O$500,"&lt;=100399",'LANÇAMENTOS DIÁRIOS'!$P$5:$P$500,"&gt;=100300")&gt;0,"X","")</f>
      </c>
      <c r="AO77" s="56" t="str">
        <f>IF(COUNTIFS('LANÇAMENTOS DIÁRIOS'!$G$5:$G$500,"C",'LANÇAMENTOS DIÁRIOS'!$C$5:$C$500,$A77,'LANÇAMENTOS DIÁRIOS'!$O$5:$O$500,"&lt;=100499",'LANÇAMENTOS DIÁRIOS'!$P$5:$P$500,"&gt;=100400")&gt;0,"X","")</f>
      </c>
      <c r="AP77" s="56" t="str">
        <f>IF(COUNTIFS('LANÇAMENTOS DIÁRIOS'!$G$5:$G$500,"C",'LANÇAMENTOS DIÁRIOS'!$C$5:$C$500,$A77,'LANÇAMENTOS DIÁRIOS'!$O$5:$O$500,"&lt;=100500",'LANÇAMENTOS DIÁRIOS'!$P$5:$P$500,"&gt;=100500")&gt;0,"X","")</f>
      </c>
    </row>
    <row r="78" ht="19" customHeight="1">
      <c r="A78" s="68" t="str">
        <v>Construção da sub-base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</row>
    <row r="79">
      <c r="A79" s="51" t="str">
        <v>Solo cimento com adição de 3% cimento,mistura in situ- Recicladora</v>
      </c>
      <c r="B79" s="56" t="str">
        <f>IF(COUNTIFS('LANÇAMENTOS DIÁRIOS'!$G$5:$G$500,"C",'LANÇAMENTOS DIÁRIOS'!$C$5:$C$500,$A79,'LANÇAMENTOS DIÁRIOS'!$O$5:$O$500,"&lt;=96599",'LANÇAMENTOS DIÁRIOS'!$P$5:$P$500,"&gt;=96500")&gt;0,"X","")</f>
      </c>
      <c r="C79" s="56" t="str">
        <f>IF(COUNTIFS('LANÇAMENTOS DIÁRIOS'!$G$5:$G$500,"C",'LANÇAMENTOS DIÁRIOS'!$C$5:$C$500,$A79,'LANÇAMENTOS DIÁRIOS'!$O$5:$O$500,"&lt;=96699",'LANÇAMENTOS DIÁRIOS'!$P$5:$P$500,"&gt;=96600")&gt;0,"X","")</f>
      </c>
      <c r="D79" s="56" t="str">
        <f>IF(COUNTIFS('LANÇAMENTOS DIÁRIOS'!$G$5:$G$500,"C",'LANÇAMENTOS DIÁRIOS'!$C$5:$C$500,$A79,'LANÇAMENTOS DIÁRIOS'!$O$5:$O$500,"&lt;=96799",'LANÇAMENTOS DIÁRIOS'!$P$5:$P$500,"&gt;=96700")&gt;0,"X","")</f>
      </c>
      <c r="E79" s="56" t="str">
        <f>IF(COUNTIFS('LANÇAMENTOS DIÁRIOS'!$G$5:$G$500,"C",'LANÇAMENTOS DIÁRIOS'!$C$5:$C$500,$A79,'LANÇAMENTOS DIÁRIOS'!$O$5:$O$500,"&lt;=96899",'LANÇAMENTOS DIÁRIOS'!$P$5:$P$500,"&gt;=96800")&gt;0,"X","")</f>
      </c>
      <c r="F79" s="56" t="str">
        <f>IF(COUNTIFS('LANÇAMENTOS DIÁRIOS'!$G$5:$G$500,"C",'LANÇAMENTOS DIÁRIOS'!$C$5:$C$500,$A79,'LANÇAMENTOS DIÁRIOS'!$O$5:$O$500,"&lt;=96999",'LANÇAMENTOS DIÁRIOS'!$P$5:$P$500,"&gt;=96900")&gt;0,"X","")</f>
      </c>
      <c r="G79" s="56" t="str">
        <f>IF(COUNTIFS('LANÇAMENTOS DIÁRIOS'!$G$5:$G$500,"C",'LANÇAMENTOS DIÁRIOS'!$C$5:$C$500,$A79,'LANÇAMENTOS DIÁRIOS'!$O$5:$O$500,"&lt;=97099",'LANÇAMENTOS DIÁRIOS'!$P$5:$P$500,"&gt;=97000")&gt;0,"X","")</f>
      </c>
      <c r="H79" s="56" t="str">
        <f>IF(COUNTIFS('LANÇAMENTOS DIÁRIOS'!$G$5:$G$500,"C",'LANÇAMENTOS DIÁRIOS'!$C$5:$C$500,$A79,'LANÇAMENTOS DIÁRIOS'!$O$5:$O$500,"&lt;=97199",'LANÇAMENTOS DIÁRIOS'!$P$5:$P$500,"&gt;=97100")&gt;0,"X","")</f>
      </c>
      <c r="I79" s="56" t="str">
        <f>IF(COUNTIFS('LANÇAMENTOS DIÁRIOS'!$G$5:$G$500,"C",'LANÇAMENTOS DIÁRIOS'!$C$5:$C$500,$A79,'LANÇAMENTOS DIÁRIOS'!$O$5:$O$500,"&lt;=97299",'LANÇAMENTOS DIÁRIOS'!$P$5:$P$500,"&gt;=97200")&gt;0,"X","")</f>
      </c>
      <c r="J79" s="56" t="str">
        <f>IF(COUNTIFS('LANÇAMENTOS DIÁRIOS'!$G$5:$G$500,"C",'LANÇAMENTOS DIÁRIOS'!$C$5:$C$500,$A79,'LANÇAMENTOS DIÁRIOS'!$O$5:$O$500,"&lt;=97399",'LANÇAMENTOS DIÁRIOS'!$P$5:$P$500,"&gt;=97300")&gt;0,"X","")</f>
      </c>
      <c r="K79" s="56" t="str">
        <f>IF(COUNTIFS('LANÇAMENTOS DIÁRIOS'!$G$5:$G$500,"C",'LANÇAMENTOS DIÁRIOS'!$C$5:$C$500,$A79,'LANÇAMENTOS DIÁRIOS'!$O$5:$O$500,"&lt;=97499",'LANÇAMENTOS DIÁRIOS'!$P$5:$P$500,"&gt;=97400")&gt;0,"X","")</f>
      </c>
      <c r="L79" s="56" t="str">
        <f>IF(COUNTIFS('LANÇAMENTOS DIÁRIOS'!$G$5:$G$500,"C",'LANÇAMENTOS DIÁRIOS'!$C$5:$C$500,$A79,'LANÇAMENTOS DIÁRIOS'!$O$5:$O$500,"&lt;=97599",'LANÇAMENTOS DIÁRIOS'!$P$5:$P$500,"&gt;=97500")&gt;0,"X","")</f>
      </c>
      <c r="M79" s="56" t="str">
        <f>IF(COUNTIFS('LANÇAMENTOS DIÁRIOS'!$G$5:$G$500,"C",'LANÇAMENTOS DIÁRIOS'!$C$5:$C$500,$A79,'LANÇAMENTOS DIÁRIOS'!$O$5:$O$500,"&lt;=97699",'LANÇAMENTOS DIÁRIOS'!$P$5:$P$500,"&gt;=97600")&gt;0,"X","")</f>
      </c>
      <c r="N79" s="56" t="str">
        <f>IF(COUNTIFS('LANÇAMENTOS DIÁRIOS'!$G$5:$G$500,"C",'LANÇAMENTOS DIÁRIOS'!$C$5:$C$500,$A79,'LANÇAMENTOS DIÁRIOS'!$O$5:$O$500,"&lt;=97799",'LANÇAMENTOS DIÁRIOS'!$P$5:$P$500,"&gt;=97700")&gt;0,"X","")</f>
      </c>
      <c r="O79" s="56" t="str">
        <f>IF(COUNTIFS('LANÇAMENTOS DIÁRIOS'!$G$5:$G$500,"C",'LANÇAMENTOS DIÁRIOS'!$C$5:$C$500,$A79,'LANÇAMENTOS DIÁRIOS'!$O$5:$O$500,"&lt;=97899",'LANÇAMENTOS DIÁRIOS'!$P$5:$P$500,"&gt;=97800")&gt;0,"X","")</f>
      </c>
      <c r="P79" s="56" t="str">
        <f>IF(COUNTIFS('LANÇAMENTOS DIÁRIOS'!$G$5:$G$500,"C",'LANÇAMENTOS DIÁRIOS'!$C$5:$C$500,$A79,'LANÇAMENTOS DIÁRIOS'!$O$5:$O$500,"&lt;=97999",'LANÇAMENTOS DIÁRIOS'!$P$5:$P$500,"&gt;=97900")&gt;0,"X","")</f>
      </c>
      <c r="Q79" s="56" t="str">
        <f>IF(COUNTIFS('LANÇAMENTOS DIÁRIOS'!$G$5:$G$500,"C",'LANÇAMENTOS DIÁRIOS'!$C$5:$C$500,$A79,'LANÇAMENTOS DIÁRIOS'!$O$5:$O$500,"&lt;=98099",'LANÇAMENTOS DIÁRIOS'!$P$5:$P$500,"&gt;=98000")&gt;0,"X","")</f>
      </c>
      <c r="R79" s="56" t="str">
        <f>IF(COUNTIFS('LANÇAMENTOS DIÁRIOS'!$G$5:$G$500,"C",'LANÇAMENTOS DIÁRIOS'!$C$5:$C$500,$A79,'LANÇAMENTOS DIÁRIOS'!$O$5:$O$500,"&lt;=98199",'LANÇAMENTOS DIÁRIOS'!$P$5:$P$500,"&gt;=98100")&gt;0,"X","")</f>
      </c>
      <c r="S79" s="56" t="str">
        <f>IF(COUNTIFS('LANÇAMENTOS DIÁRIOS'!$G$5:$G$500,"C",'LANÇAMENTOS DIÁRIOS'!$C$5:$C$500,$A79,'LANÇAMENTOS DIÁRIOS'!$O$5:$O$500,"&lt;=98299",'LANÇAMENTOS DIÁRIOS'!$P$5:$P$500,"&gt;=98200")&gt;0,"X","")</f>
      </c>
      <c r="T79" s="56" t="str">
        <f>IF(COUNTIFS('LANÇAMENTOS DIÁRIOS'!$G$5:$G$500,"C",'LANÇAMENTOS DIÁRIOS'!$C$5:$C$500,$A79,'LANÇAMENTOS DIÁRIOS'!$O$5:$O$500,"&lt;=98399",'LANÇAMENTOS DIÁRIOS'!$P$5:$P$500,"&gt;=98300")&gt;0,"X","")</f>
      </c>
      <c r="U79" s="56" t="str">
        <f>IF(COUNTIFS('LANÇAMENTOS DIÁRIOS'!$G$5:$G$500,"C",'LANÇAMENTOS DIÁRIOS'!$C$5:$C$500,$A79,'LANÇAMENTOS DIÁRIOS'!$O$5:$O$500,"&lt;=98499",'LANÇAMENTOS DIÁRIOS'!$P$5:$P$500,"&gt;=98400")&gt;0,"X","")</f>
      </c>
      <c r="V79" s="56" t="str">
        <f>IF(COUNTIFS('LANÇAMENTOS DIÁRIOS'!$G$5:$G$500,"C",'LANÇAMENTOS DIÁRIOS'!$C$5:$C$500,$A79,'LANÇAMENTOS DIÁRIOS'!$O$5:$O$500,"&lt;=98599",'LANÇAMENTOS DIÁRIOS'!$P$5:$P$500,"&gt;=98500")&gt;0,"X","")</f>
      </c>
      <c r="W79" s="56" t="str">
        <f>IF(COUNTIFS('LANÇAMENTOS DIÁRIOS'!$G$5:$G$500,"C",'LANÇAMENTOS DIÁRIOS'!$C$5:$C$500,$A79,'LANÇAMENTOS DIÁRIOS'!$O$5:$O$500,"&lt;=98699",'LANÇAMENTOS DIÁRIOS'!$P$5:$P$500,"&gt;=98600")&gt;0,"X","")</f>
      </c>
      <c r="X79" s="56" t="str">
        <f>IF(COUNTIFS('LANÇAMENTOS DIÁRIOS'!$G$5:$G$500,"C",'LANÇAMENTOS DIÁRIOS'!$C$5:$C$500,$A79,'LANÇAMENTOS DIÁRIOS'!$O$5:$O$500,"&lt;=98799",'LANÇAMENTOS DIÁRIOS'!$P$5:$P$500,"&gt;=98700")&gt;0,"X","")</f>
      </c>
      <c r="Y79" s="56" t="str">
        <f>IF(COUNTIFS('LANÇAMENTOS DIÁRIOS'!$G$5:$G$500,"C",'LANÇAMENTOS DIÁRIOS'!$C$5:$C$500,$A79,'LANÇAMENTOS DIÁRIOS'!$O$5:$O$500,"&lt;=98899",'LANÇAMENTOS DIÁRIOS'!$P$5:$P$500,"&gt;=98800")&gt;0,"X","")</f>
      </c>
      <c r="Z79" s="56" t="str">
        <f>IF(COUNTIFS('LANÇAMENTOS DIÁRIOS'!$G$5:$G$500,"C",'LANÇAMENTOS DIÁRIOS'!$C$5:$C$500,$A79,'LANÇAMENTOS DIÁRIOS'!$O$5:$O$500,"&lt;=98999",'LANÇAMENTOS DIÁRIOS'!$P$5:$P$500,"&gt;=98900")&gt;0,"X","")</f>
      </c>
      <c r="AA79" s="56" t="str">
        <f>IF(COUNTIFS('LANÇAMENTOS DIÁRIOS'!$G$5:$G$500,"C",'LANÇAMENTOS DIÁRIOS'!$C$5:$C$500,$A79,'LANÇAMENTOS DIÁRIOS'!$O$5:$O$500,"&lt;=99099",'LANÇAMENTOS DIÁRIOS'!$P$5:$P$500,"&gt;=99000")&gt;0,"X","")</f>
      </c>
      <c r="AB79" s="56" t="str">
        <f>IF(COUNTIFS('LANÇAMENTOS DIÁRIOS'!$G$5:$G$500,"C",'LANÇAMENTOS DIÁRIOS'!$C$5:$C$500,$A79,'LANÇAMENTOS DIÁRIOS'!$O$5:$O$500,"&lt;=99199",'LANÇAMENTOS DIÁRIOS'!$P$5:$P$500,"&gt;=99100")&gt;0,"X","")</f>
      </c>
      <c r="AC79" s="56" t="str">
        <f>IF(COUNTIFS('LANÇAMENTOS DIÁRIOS'!$G$5:$G$500,"C",'LANÇAMENTOS DIÁRIOS'!$C$5:$C$500,$A79,'LANÇAMENTOS DIÁRIOS'!$O$5:$O$500,"&lt;=99299",'LANÇAMENTOS DIÁRIOS'!$P$5:$P$500,"&gt;=99200")&gt;0,"X","")</f>
      </c>
      <c r="AD79" s="56" t="str">
        <f>IF(COUNTIFS('LANÇAMENTOS DIÁRIOS'!$G$5:$G$500,"C",'LANÇAMENTOS DIÁRIOS'!$C$5:$C$500,$A79,'LANÇAMENTOS DIÁRIOS'!$O$5:$O$500,"&lt;=99399",'LANÇAMENTOS DIÁRIOS'!$P$5:$P$500,"&gt;=99300")&gt;0,"X","")</f>
      </c>
      <c r="AE79" s="56" t="str">
        <f>IF(COUNTIFS('LANÇAMENTOS DIÁRIOS'!$G$5:$G$500,"C",'LANÇAMENTOS DIÁRIOS'!$C$5:$C$500,$A79,'LANÇAMENTOS DIÁRIOS'!$O$5:$O$500,"&lt;=99499",'LANÇAMENTOS DIÁRIOS'!$P$5:$P$500,"&gt;=99400")&gt;0,"X","")</f>
      </c>
      <c r="AF79" s="56" t="str">
        <f>IF(COUNTIFS('LANÇAMENTOS DIÁRIOS'!$G$5:$G$500,"C",'LANÇAMENTOS DIÁRIOS'!$C$5:$C$500,$A79,'LANÇAMENTOS DIÁRIOS'!$O$5:$O$500,"&lt;=99599",'LANÇAMENTOS DIÁRIOS'!$P$5:$P$500,"&gt;=99500")&gt;0,"X","")</f>
      </c>
      <c r="AG79" s="56" t="str">
        <f>IF(COUNTIFS('LANÇAMENTOS DIÁRIOS'!$G$5:$G$500,"C",'LANÇAMENTOS DIÁRIOS'!$C$5:$C$500,$A79,'LANÇAMENTOS DIÁRIOS'!$O$5:$O$500,"&lt;=99699",'LANÇAMENTOS DIÁRIOS'!$P$5:$P$500,"&gt;=99600")&gt;0,"X","")</f>
      </c>
      <c r="AH79" s="56" t="str">
        <f>IF(COUNTIFS('LANÇAMENTOS DIÁRIOS'!$G$5:$G$500,"C",'LANÇAMENTOS DIÁRIOS'!$C$5:$C$500,$A79,'LANÇAMENTOS DIÁRIOS'!$O$5:$O$500,"&lt;=99799",'LANÇAMENTOS DIÁRIOS'!$P$5:$P$500,"&gt;=99700")&gt;0,"X","")</f>
      </c>
      <c r="AI79" s="56" t="str">
        <f>IF(COUNTIFS('LANÇAMENTOS DIÁRIOS'!$G$5:$G$500,"C",'LANÇAMENTOS DIÁRIOS'!$C$5:$C$500,$A79,'LANÇAMENTOS DIÁRIOS'!$O$5:$O$500,"&lt;=99899",'LANÇAMENTOS DIÁRIOS'!$P$5:$P$500,"&gt;=99800")&gt;0,"X","")</f>
      </c>
      <c r="AJ79" s="56" t="str">
        <f>IF(COUNTIFS('LANÇAMENTOS DIÁRIOS'!$G$5:$G$500,"C",'LANÇAMENTOS DIÁRIOS'!$C$5:$C$500,$A79,'LANÇAMENTOS DIÁRIOS'!$O$5:$O$500,"&lt;=99999",'LANÇAMENTOS DIÁRIOS'!$P$5:$P$500,"&gt;=99900")&gt;0,"X","")</f>
      </c>
      <c r="AK79" s="56" t="str">
        <f>IF(COUNTIFS('LANÇAMENTOS DIÁRIOS'!$G$5:$G$500,"C",'LANÇAMENTOS DIÁRIOS'!$C$5:$C$500,$A79,'LANÇAMENTOS DIÁRIOS'!$O$5:$O$500,"&lt;=100099",'LANÇAMENTOS DIÁRIOS'!$P$5:$P$500,"&gt;=100000")&gt;0,"X","")</f>
      </c>
      <c r="AL79" s="56" t="str">
        <f>IF(COUNTIFS('LANÇAMENTOS DIÁRIOS'!$G$5:$G$500,"C",'LANÇAMENTOS DIÁRIOS'!$C$5:$C$500,$A79,'LANÇAMENTOS DIÁRIOS'!$O$5:$O$500,"&lt;=100199",'LANÇAMENTOS DIÁRIOS'!$P$5:$P$500,"&gt;=100100")&gt;0,"X","")</f>
      </c>
      <c r="AM79" s="56" t="str">
        <f>IF(COUNTIFS('LANÇAMENTOS DIÁRIOS'!$G$5:$G$500,"C",'LANÇAMENTOS DIÁRIOS'!$C$5:$C$500,$A79,'LANÇAMENTOS DIÁRIOS'!$O$5:$O$500,"&lt;=100299",'LANÇAMENTOS DIÁRIOS'!$P$5:$P$500,"&gt;=100200")&gt;0,"X","")</f>
      </c>
      <c r="AN79" s="56" t="str">
        <f>IF(COUNTIFS('LANÇAMENTOS DIÁRIOS'!$G$5:$G$500,"C",'LANÇAMENTOS DIÁRIOS'!$C$5:$C$500,$A79,'LANÇAMENTOS DIÁRIOS'!$O$5:$O$500,"&lt;=100399",'LANÇAMENTOS DIÁRIOS'!$P$5:$P$500,"&gt;=100300")&gt;0,"X","")</f>
      </c>
      <c r="AO79" s="56" t="str">
        <f>IF(COUNTIFS('LANÇAMENTOS DIÁRIOS'!$G$5:$G$500,"C",'LANÇAMENTOS DIÁRIOS'!$C$5:$C$500,$A79,'LANÇAMENTOS DIÁRIOS'!$O$5:$O$500,"&lt;=100499",'LANÇAMENTOS DIÁRIOS'!$P$5:$P$500,"&gt;=100400")&gt;0,"X","")</f>
      </c>
      <c r="AP79" s="56" t="str">
        <f>IF(COUNTIFS('LANÇAMENTOS DIÁRIOS'!$G$5:$G$500,"C",'LANÇAMENTOS DIÁRIOS'!$C$5:$C$500,$A79,'LANÇAMENTOS DIÁRIOS'!$O$5:$O$500,"&lt;=100500",'LANÇAMENTOS DIÁRIOS'!$P$5:$P$500,"&gt;=100500")&gt;0,"X","")</f>
      </c>
    </row>
    <row r="80" ht="19" customHeight="1">
      <c r="A80" s="68" t="str">
        <v>Construção da base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</row>
    <row r="81">
      <c r="A81" s="51" t="str">
        <v>Solo brita 30/70 cimento 4%</v>
      </c>
      <c r="B81" s="56" t="str">
        <f>IF(COUNTIFS('LANÇAMENTOS DIÁRIOS'!$G$5:$G$500,"C",'LANÇAMENTOS DIÁRIOS'!$C$5:$C$500,$A81,'LANÇAMENTOS DIÁRIOS'!$O$5:$O$500,"&lt;=96599",'LANÇAMENTOS DIÁRIOS'!$P$5:$P$500,"&gt;=96500")&gt;0,"X","")</f>
      </c>
      <c r="C81" s="56" t="str">
        <f>IF(COUNTIFS('LANÇAMENTOS DIÁRIOS'!$G$5:$G$500,"C",'LANÇAMENTOS DIÁRIOS'!$C$5:$C$500,$A81,'LANÇAMENTOS DIÁRIOS'!$O$5:$O$500,"&lt;=96699",'LANÇAMENTOS DIÁRIOS'!$P$5:$P$500,"&gt;=96600")&gt;0,"X","")</f>
      </c>
      <c r="D81" s="56" t="str">
        <f>IF(COUNTIFS('LANÇAMENTOS DIÁRIOS'!$G$5:$G$500,"C",'LANÇAMENTOS DIÁRIOS'!$C$5:$C$500,$A81,'LANÇAMENTOS DIÁRIOS'!$O$5:$O$500,"&lt;=96799",'LANÇAMENTOS DIÁRIOS'!$P$5:$P$500,"&gt;=96700")&gt;0,"X","")</f>
      </c>
      <c r="E81" s="56" t="str">
        <f>IF(COUNTIFS('LANÇAMENTOS DIÁRIOS'!$G$5:$G$500,"C",'LANÇAMENTOS DIÁRIOS'!$C$5:$C$500,$A81,'LANÇAMENTOS DIÁRIOS'!$O$5:$O$500,"&lt;=96899",'LANÇAMENTOS DIÁRIOS'!$P$5:$P$500,"&gt;=96800")&gt;0,"X","")</f>
      </c>
      <c r="F81" s="56" t="str">
        <f>IF(COUNTIFS('LANÇAMENTOS DIÁRIOS'!$G$5:$G$500,"C",'LANÇAMENTOS DIÁRIOS'!$C$5:$C$500,$A81,'LANÇAMENTOS DIÁRIOS'!$O$5:$O$500,"&lt;=96999",'LANÇAMENTOS DIÁRIOS'!$P$5:$P$500,"&gt;=96900")&gt;0,"X","")</f>
      </c>
      <c r="G81" s="56" t="str">
        <f>IF(COUNTIFS('LANÇAMENTOS DIÁRIOS'!$G$5:$G$500,"C",'LANÇAMENTOS DIÁRIOS'!$C$5:$C$500,$A81,'LANÇAMENTOS DIÁRIOS'!$O$5:$O$500,"&lt;=97099",'LANÇAMENTOS DIÁRIOS'!$P$5:$P$500,"&gt;=97000")&gt;0,"X","")</f>
      </c>
      <c r="H81" s="56" t="str">
        <f>IF(COUNTIFS('LANÇAMENTOS DIÁRIOS'!$G$5:$G$500,"C",'LANÇAMENTOS DIÁRIOS'!$C$5:$C$500,$A81,'LANÇAMENTOS DIÁRIOS'!$O$5:$O$500,"&lt;=97199",'LANÇAMENTOS DIÁRIOS'!$P$5:$P$500,"&gt;=97100")&gt;0,"X","")</f>
      </c>
      <c r="I81" s="56" t="str">
        <f>IF(COUNTIFS('LANÇAMENTOS DIÁRIOS'!$G$5:$G$500,"C",'LANÇAMENTOS DIÁRIOS'!$C$5:$C$500,$A81,'LANÇAMENTOS DIÁRIOS'!$O$5:$O$500,"&lt;=97299",'LANÇAMENTOS DIÁRIOS'!$P$5:$P$500,"&gt;=97200")&gt;0,"X","")</f>
      </c>
      <c r="J81" s="56" t="str">
        <f>IF(COUNTIFS('LANÇAMENTOS DIÁRIOS'!$G$5:$G$500,"C",'LANÇAMENTOS DIÁRIOS'!$C$5:$C$500,$A81,'LANÇAMENTOS DIÁRIOS'!$O$5:$O$500,"&lt;=97399",'LANÇAMENTOS DIÁRIOS'!$P$5:$P$500,"&gt;=97300")&gt;0,"X","")</f>
      </c>
      <c r="K81" s="56" t="str">
        <f>IF(COUNTIFS('LANÇAMENTOS DIÁRIOS'!$G$5:$G$500,"C",'LANÇAMENTOS DIÁRIOS'!$C$5:$C$500,$A81,'LANÇAMENTOS DIÁRIOS'!$O$5:$O$500,"&lt;=97499",'LANÇAMENTOS DIÁRIOS'!$P$5:$P$500,"&gt;=97400")&gt;0,"X","")</f>
      </c>
      <c r="L81" s="56" t="str">
        <f>IF(COUNTIFS('LANÇAMENTOS DIÁRIOS'!$G$5:$G$500,"C",'LANÇAMENTOS DIÁRIOS'!$C$5:$C$500,$A81,'LANÇAMENTOS DIÁRIOS'!$O$5:$O$500,"&lt;=97599",'LANÇAMENTOS DIÁRIOS'!$P$5:$P$500,"&gt;=97500")&gt;0,"X","")</f>
      </c>
      <c r="M81" s="56" t="str">
        <f>IF(COUNTIFS('LANÇAMENTOS DIÁRIOS'!$G$5:$G$500,"C",'LANÇAMENTOS DIÁRIOS'!$C$5:$C$500,$A81,'LANÇAMENTOS DIÁRIOS'!$O$5:$O$500,"&lt;=97699",'LANÇAMENTOS DIÁRIOS'!$P$5:$P$500,"&gt;=97600")&gt;0,"X","")</f>
      </c>
      <c r="N81" s="56" t="str">
        <f>IF(COUNTIFS('LANÇAMENTOS DIÁRIOS'!$G$5:$G$500,"C",'LANÇAMENTOS DIÁRIOS'!$C$5:$C$500,$A81,'LANÇAMENTOS DIÁRIOS'!$O$5:$O$500,"&lt;=97799",'LANÇAMENTOS DIÁRIOS'!$P$5:$P$500,"&gt;=97700")&gt;0,"X","")</f>
      </c>
      <c r="O81" s="56" t="str">
        <f>IF(COUNTIFS('LANÇAMENTOS DIÁRIOS'!$G$5:$G$500,"C",'LANÇAMENTOS DIÁRIOS'!$C$5:$C$500,$A81,'LANÇAMENTOS DIÁRIOS'!$O$5:$O$500,"&lt;=97899",'LANÇAMENTOS DIÁRIOS'!$P$5:$P$500,"&gt;=97800")&gt;0,"X","")</f>
      </c>
      <c r="P81" s="56" t="str">
        <f>IF(COUNTIFS('LANÇAMENTOS DIÁRIOS'!$G$5:$G$500,"C",'LANÇAMENTOS DIÁRIOS'!$C$5:$C$500,$A81,'LANÇAMENTOS DIÁRIOS'!$O$5:$O$500,"&lt;=97999",'LANÇAMENTOS DIÁRIOS'!$P$5:$P$500,"&gt;=97900")&gt;0,"X","")</f>
      </c>
      <c r="Q81" s="56" t="str">
        <f>IF(COUNTIFS('LANÇAMENTOS DIÁRIOS'!$G$5:$G$500,"C",'LANÇAMENTOS DIÁRIOS'!$C$5:$C$500,$A81,'LANÇAMENTOS DIÁRIOS'!$O$5:$O$500,"&lt;=98099",'LANÇAMENTOS DIÁRIOS'!$P$5:$P$500,"&gt;=98000")&gt;0,"X","")</f>
      </c>
      <c r="R81" s="56" t="str">
        <f>IF(COUNTIFS('LANÇAMENTOS DIÁRIOS'!$G$5:$G$500,"C",'LANÇAMENTOS DIÁRIOS'!$C$5:$C$500,$A81,'LANÇAMENTOS DIÁRIOS'!$O$5:$O$500,"&lt;=98199",'LANÇAMENTOS DIÁRIOS'!$P$5:$P$500,"&gt;=98100")&gt;0,"X","")</f>
      </c>
      <c r="S81" s="56" t="str">
        <f>IF(COUNTIFS('LANÇAMENTOS DIÁRIOS'!$G$5:$G$500,"C",'LANÇAMENTOS DIÁRIOS'!$C$5:$C$500,$A81,'LANÇAMENTOS DIÁRIOS'!$O$5:$O$500,"&lt;=98299",'LANÇAMENTOS DIÁRIOS'!$P$5:$P$500,"&gt;=98200")&gt;0,"X","")</f>
      </c>
      <c r="T81" s="56" t="str">
        <f>IF(COUNTIFS('LANÇAMENTOS DIÁRIOS'!$G$5:$G$500,"C",'LANÇAMENTOS DIÁRIOS'!$C$5:$C$500,$A81,'LANÇAMENTOS DIÁRIOS'!$O$5:$O$500,"&lt;=98399",'LANÇAMENTOS DIÁRIOS'!$P$5:$P$500,"&gt;=98300")&gt;0,"X","")</f>
      </c>
      <c r="U81" s="56" t="str">
        <f>IF(COUNTIFS('LANÇAMENTOS DIÁRIOS'!$G$5:$G$500,"C",'LANÇAMENTOS DIÁRIOS'!$C$5:$C$500,$A81,'LANÇAMENTOS DIÁRIOS'!$O$5:$O$500,"&lt;=98499",'LANÇAMENTOS DIÁRIOS'!$P$5:$P$500,"&gt;=98400")&gt;0,"X","")</f>
      </c>
      <c r="V81" s="56" t="str">
        <f>IF(COUNTIFS('LANÇAMENTOS DIÁRIOS'!$G$5:$G$500,"C",'LANÇAMENTOS DIÁRIOS'!$C$5:$C$500,$A81,'LANÇAMENTOS DIÁRIOS'!$O$5:$O$500,"&lt;=98599",'LANÇAMENTOS DIÁRIOS'!$P$5:$P$500,"&gt;=98500")&gt;0,"X","")</f>
      </c>
      <c r="W81" s="56" t="str">
        <f>IF(COUNTIFS('LANÇAMENTOS DIÁRIOS'!$G$5:$G$500,"C",'LANÇAMENTOS DIÁRIOS'!$C$5:$C$500,$A81,'LANÇAMENTOS DIÁRIOS'!$O$5:$O$500,"&lt;=98699",'LANÇAMENTOS DIÁRIOS'!$P$5:$P$500,"&gt;=98600")&gt;0,"X","")</f>
      </c>
      <c r="X81" s="56" t="str">
        <f>IF(COUNTIFS('LANÇAMENTOS DIÁRIOS'!$G$5:$G$500,"C",'LANÇAMENTOS DIÁRIOS'!$C$5:$C$500,$A81,'LANÇAMENTOS DIÁRIOS'!$O$5:$O$500,"&lt;=98799",'LANÇAMENTOS DIÁRIOS'!$P$5:$P$500,"&gt;=98700")&gt;0,"X","")</f>
      </c>
      <c r="Y81" s="56" t="str">
        <f>IF(COUNTIFS('LANÇAMENTOS DIÁRIOS'!$G$5:$G$500,"C",'LANÇAMENTOS DIÁRIOS'!$C$5:$C$500,$A81,'LANÇAMENTOS DIÁRIOS'!$O$5:$O$500,"&lt;=98899",'LANÇAMENTOS DIÁRIOS'!$P$5:$P$500,"&gt;=98800")&gt;0,"X","")</f>
      </c>
      <c r="Z81" s="56" t="str">
        <f>IF(COUNTIFS('LANÇAMENTOS DIÁRIOS'!$G$5:$G$500,"C",'LANÇAMENTOS DIÁRIOS'!$C$5:$C$500,$A81,'LANÇAMENTOS DIÁRIOS'!$O$5:$O$500,"&lt;=98999",'LANÇAMENTOS DIÁRIOS'!$P$5:$P$500,"&gt;=98900")&gt;0,"X","")</f>
      </c>
      <c r="AA81" s="56" t="str">
        <f>IF(COUNTIFS('LANÇAMENTOS DIÁRIOS'!$G$5:$G$500,"C",'LANÇAMENTOS DIÁRIOS'!$C$5:$C$500,$A81,'LANÇAMENTOS DIÁRIOS'!$O$5:$O$500,"&lt;=99099",'LANÇAMENTOS DIÁRIOS'!$P$5:$P$500,"&gt;=99000")&gt;0,"X","")</f>
      </c>
      <c r="AB81" s="56" t="str">
        <f>IF(COUNTIFS('LANÇAMENTOS DIÁRIOS'!$G$5:$G$500,"C",'LANÇAMENTOS DIÁRIOS'!$C$5:$C$500,$A81,'LANÇAMENTOS DIÁRIOS'!$O$5:$O$500,"&lt;=99199",'LANÇAMENTOS DIÁRIOS'!$P$5:$P$500,"&gt;=99100")&gt;0,"X","")</f>
      </c>
      <c r="AC81" s="56" t="str">
        <f>IF(COUNTIFS('LANÇAMENTOS DIÁRIOS'!$G$5:$G$500,"C",'LANÇAMENTOS DIÁRIOS'!$C$5:$C$500,$A81,'LANÇAMENTOS DIÁRIOS'!$O$5:$O$500,"&lt;=99299",'LANÇAMENTOS DIÁRIOS'!$P$5:$P$500,"&gt;=99200")&gt;0,"X","")</f>
      </c>
      <c r="AD81" s="56" t="str">
        <f>IF(COUNTIFS('LANÇAMENTOS DIÁRIOS'!$G$5:$G$500,"C",'LANÇAMENTOS DIÁRIOS'!$C$5:$C$500,$A81,'LANÇAMENTOS DIÁRIOS'!$O$5:$O$500,"&lt;=99399",'LANÇAMENTOS DIÁRIOS'!$P$5:$P$500,"&gt;=99300")&gt;0,"X","")</f>
      </c>
      <c r="AE81" s="56" t="str">
        <f>IF(COUNTIFS('LANÇAMENTOS DIÁRIOS'!$G$5:$G$500,"C",'LANÇAMENTOS DIÁRIOS'!$C$5:$C$500,$A81,'LANÇAMENTOS DIÁRIOS'!$O$5:$O$500,"&lt;=99499",'LANÇAMENTOS DIÁRIOS'!$P$5:$P$500,"&gt;=99400")&gt;0,"X","")</f>
      </c>
      <c r="AF81" s="56" t="str">
        <f>IF(COUNTIFS('LANÇAMENTOS DIÁRIOS'!$G$5:$G$500,"C",'LANÇAMENTOS DIÁRIOS'!$C$5:$C$500,$A81,'LANÇAMENTOS DIÁRIOS'!$O$5:$O$500,"&lt;=99599",'LANÇAMENTOS DIÁRIOS'!$P$5:$P$500,"&gt;=99500")&gt;0,"X","")</f>
      </c>
      <c r="AG81" s="56" t="str">
        <f>IF(COUNTIFS('LANÇAMENTOS DIÁRIOS'!$G$5:$G$500,"C",'LANÇAMENTOS DIÁRIOS'!$C$5:$C$500,$A81,'LANÇAMENTOS DIÁRIOS'!$O$5:$O$500,"&lt;=99699",'LANÇAMENTOS DIÁRIOS'!$P$5:$P$500,"&gt;=99600")&gt;0,"X","")</f>
      </c>
      <c r="AH81" s="56" t="str">
        <f>IF(COUNTIFS('LANÇAMENTOS DIÁRIOS'!$G$5:$G$500,"C",'LANÇAMENTOS DIÁRIOS'!$C$5:$C$500,$A81,'LANÇAMENTOS DIÁRIOS'!$O$5:$O$500,"&lt;=99799",'LANÇAMENTOS DIÁRIOS'!$P$5:$P$500,"&gt;=99700")&gt;0,"X","")</f>
      </c>
      <c r="AI81" s="56" t="str">
        <f>IF(COUNTIFS('LANÇAMENTOS DIÁRIOS'!$G$5:$G$500,"C",'LANÇAMENTOS DIÁRIOS'!$C$5:$C$500,$A81,'LANÇAMENTOS DIÁRIOS'!$O$5:$O$500,"&lt;=99899",'LANÇAMENTOS DIÁRIOS'!$P$5:$P$500,"&gt;=99800")&gt;0,"X","")</f>
      </c>
      <c r="AJ81" s="56" t="str">
        <f>IF(COUNTIFS('LANÇAMENTOS DIÁRIOS'!$G$5:$G$500,"C",'LANÇAMENTOS DIÁRIOS'!$C$5:$C$500,$A81,'LANÇAMENTOS DIÁRIOS'!$O$5:$O$500,"&lt;=99999",'LANÇAMENTOS DIÁRIOS'!$P$5:$P$500,"&gt;=99900")&gt;0,"X","")</f>
      </c>
      <c r="AK81" s="56" t="str">
        <f>IF(COUNTIFS('LANÇAMENTOS DIÁRIOS'!$G$5:$G$500,"C",'LANÇAMENTOS DIÁRIOS'!$C$5:$C$500,$A81,'LANÇAMENTOS DIÁRIOS'!$O$5:$O$500,"&lt;=100099",'LANÇAMENTOS DIÁRIOS'!$P$5:$P$500,"&gt;=100000")&gt;0,"X","")</f>
      </c>
      <c r="AL81" s="56" t="str">
        <f>IF(COUNTIFS('LANÇAMENTOS DIÁRIOS'!$G$5:$G$500,"C",'LANÇAMENTOS DIÁRIOS'!$C$5:$C$500,$A81,'LANÇAMENTOS DIÁRIOS'!$O$5:$O$500,"&lt;=100199",'LANÇAMENTOS DIÁRIOS'!$P$5:$P$500,"&gt;=100100")&gt;0,"X","")</f>
      </c>
      <c r="AM81" s="56" t="str">
        <f>IF(COUNTIFS('LANÇAMENTOS DIÁRIOS'!$G$5:$G$500,"C",'LANÇAMENTOS DIÁRIOS'!$C$5:$C$500,$A81,'LANÇAMENTOS DIÁRIOS'!$O$5:$O$500,"&lt;=100299",'LANÇAMENTOS DIÁRIOS'!$P$5:$P$500,"&gt;=100200")&gt;0,"X","")</f>
      </c>
      <c r="AN81" s="56" t="str">
        <f>IF(COUNTIFS('LANÇAMENTOS DIÁRIOS'!$G$5:$G$500,"C",'LANÇAMENTOS DIÁRIOS'!$C$5:$C$500,$A81,'LANÇAMENTOS DIÁRIOS'!$O$5:$O$500,"&lt;=100399",'LANÇAMENTOS DIÁRIOS'!$P$5:$P$500,"&gt;=100300")&gt;0,"X","")</f>
      </c>
      <c r="AO81" s="56" t="str">
        <f>IF(COUNTIFS('LANÇAMENTOS DIÁRIOS'!$G$5:$G$500,"C",'LANÇAMENTOS DIÁRIOS'!$C$5:$C$500,$A81,'LANÇAMENTOS DIÁRIOS'!$O$5:$O$500,"&lt;=100499",'LANÇAMENTOS DIÁRIOS'!$P$5:$P$500,"&gt;=100400")&gt;0,"X","")</f>
      </c>
      <c r="AP81" s="56" t="str">
        <f>IF(COUNTIFS('LANÇAMENTOS DIÁRIOS'!$G$5:$G$500,"C",'LANÇAMENTOS DIÁRIOS'!$C$5:$C$500,$A81,'LANÇAMENTOS DIÁRIOS'!$O$5:$O$500,"&lt;=100500",'LANÇAMENTOS DIÁRIOS'!$P$5:$P$500,"&gt;=100500")&gt;0,"X","")</f>
      </c>
    </row>
    <row r="82">
      <c r="A82" s="51" t="str">
        <v>Solo brita 30/70</v>
      </c>
      <c r="B82" s="56" t="str">
        <f>IF(COUNTIFS('LANÇAMENTOS DIÁRIOS'!$G$5:$G$500,"C",'LANÇAMENTOS DIÁRIOS'!$C$5:$C$500,$A82,'LANÇAMENTOS DIÁRIOS'!$O$5:$O$500,"&lt;=96599",'LANÇAMENTOS DIÁRIOS'!$P$5:$P$500,"&gt;=96500")&gt;0,"X","")</f>
      </c>
      <c r="C82" s="56" t="str">
        <f>IF(COUNTIFS('LANÇAMENTOS DIÁRIOS'!$G$5:$G$500,"C",'LANÇAMENTOS DIÁRIOS'!$C$5:$C$500,$A82,'LANÇAMENTOS DIÁRIOS'!$O$5:$O$500,"&lt;=96699",'LANÇAMENTOS DIÁRIOS'!$P$5:$P$500,"&gt;=96600")&gt;0,"X","")</f>
      </c>
      <c r="D82" s="56" t="str">
        <f>IF(COUNTIFS('LANÇAMENTOS DIÁRIOS'!$G$5:$G$500,"C",'LANÇAMENTOS DIÁRIOS'!$C$5:$C$500,$A82,'LANÇAMENTOS DIÁRIOS'!$O$5:$O$500,"&lt;=96799",'LANÇAMENTOS DIÁRIOS'!$P$5:$P$500,"&gt;=96700")&gt;0,"X","")</f>
      </c>
      <c r="E82" s="56" t="str">
        <f>IF(COUNTIFS('LANÇAMENTOS DIÁRIOS'!$G$5:$G$500,"C",'LANÇAMENTOS DIÁRIOS'!$C$5:$C$500,$A82,'LANÇAMENTOS DIÁRIOS'!$O$5:$O$500,"&lt;=96899",'LANÇAMENTOS DIÁRIOS'!$P$5:$P$500,"&gt;=96800")&gt;0,"X","")</f>
      </c>
      <c r="F82" s="56" t="str">
        <f>IF(COUNTIFS('LANÇAMENTOS DIÁRIOS'!$G$5:$G$500,"C",'LANÇAMENTOS DIÁRIOS'!$C$5:$C$500,$A82,'LANÇAMENTOS DIÁRIOS'!$O$5:$O$500,"&lt;=96999",'LANÇAMENTOS DIÁRIOS'!$P$5:$P$500,"&gt;=96900")&gt;0,"X","")</f>
      </c>
      <c r="G82" s="56" t="str">
        <f>IF(COUNTIFS('LANÇAMENTOS DIÁRIOS'!$G$5:$G$500,"C",'LANÇAMENTOS DIÁRIOS'!$C$5:$C$500,$A82,'LANÇAMENTOS DIÁRIOS'!$O$5:$O$500,"&lt;=97099",'LANÇAMENTOS DIÁRIOS'!$P$5:$P$500,"&gt;=97000")&gt;0,"X","")</f>
      </c>
      <c r="H82" s="56" t="str">
        <f>IF(COUNTIFS('LANÇAMENTOS DIÁRIOS'!$G$5:$G$500,"C",'LANÇAMENTOS DIÁRIOS'!$C$5:$C$500,$A82,'LANÇAMENTOS DIÁRIOS'!$O$5:$O$500,"&lt;=97199",'LANÇAMENTOS DIÁRIOS'!$P$5:$P$500,"&gt;=97100")&gt;0,"X","")</f>
      </c>
      <c r="I82" s="56" t="str">
        <f>IF(COUNTIFS('LANÇAMENTOS DIÁRIOS'!$G$5:$G$500,"C",'LANÇAMENTOS DIÁRIOS'!$C$5:$C$500,$A82,'LANÇAMENTOS DIÁRIOS'!$O$5:$O$500,"&lt;=97299",'LANÇAMENTOS DIÁRIOS'!$P$5:$P$500,"&gt;=97200")&gt;0,"X","")</f>
      </c>
      <c r="J82" s="56" t="str">
        <f>IF(COUNTIFS('LANÇAMENTOS DIÁRIOS'!$G$5:$G$500,"C",'LANÇAMENTOS DIÁRIOS'!$C$5:$C$500,$A82,'LANÇAMENTOS DIÁRIOS'!$O$5:$O$500,"&lt;=97399",'LANÇAMENTOS DIÁRIOS'!$P$5:$P$500,"&gt;=97300")&gt;0,"X","")</f>
      </c>
      <c r="K82" s="56" t="str">
        <f>IF(COUNTIFS('LANÇAMENTOS DIÁRIOS'!$G$5:$G$500,"C",'LANÇAMENTOS DIÁRIOS'!$C$5:$C$500,$A82,'LANÇAMENTOS DIÁRIOS'!$O$5:$O$500,"&lt;=97499",'LANÇAMENTOS DIÁRIOS'!$P$5:$P$500,"&gt;=97400")&gt;0,"X","")</f>
      </c>
      <c r="L82" s="56" t="str">
        <f>IF(COUNTIFS('LANÇAMENTOS DIÁRIOS'!$G$5:$G$500,"C",'LANÇAMENTOS DIÁRIOS'!$C$5:$C$500,$A82,'LANÇAMENTOS DIÁRIOS'!$O$5:$O$500,"&lt;=97599",'LANÇAMENTOS DIÁRIOS'!$P$5:$P$500,"&gt;=97500")&gt;0,"X","")</f>
      </c>
      <c r="M82" s="56" t="str">
        <f>IF(COUNTIFS('LANÇAMENTOS DIÁRIOS'!$G$5:$G$500,"C",'LANÇAMENTOS DIÁRIOS'!$C$5:$C$500,$A82,'LANÇAMENTOS DIÁRIOS'!$O$5:$O$500,"&lt;=97699",'LANÇAMENTOS DIÁRIOS'!$P$5:$P$500,"&gt;=97600")&gt;0,"X","")</f>
      </c>
      <c r="N82" s="56" t="str">
        <f>IF(COUNTIFS('LANÇAMENTOS DIÁRIOS'!$G$5:$G$500,"C",'LANÇAMENTOS DIÁRIOS'!$C$5:$C$500,$A82,'LANÇAMENTOS DIÁRIOS'!$O$5:$O$500,"&lt;=97799",'LANÇAMENTOS DIÁRIOS'!$P$5:$P$500,"&gt;=97700")&gt;0,"X","")</f>
      </c>
      <c r="O82" s="56" t="str">
        <f>IF(COUNTIFS('LANÇAMENTOS DIÁRIOS'!$G$5:$G$500,"C",'LANÇAMENTOS DIÁRIOS'!$C$5:$C$500,$A82,'LANÇAMENTOS DIÁRIOS'!$O$5:$O$500,"&lt;=97899",'LANÇAMENTOS DIÁRIOS'!$P$5:$P$500,"&gt;=97800")&gt;0,"X","")</f>
      </c>
      <c r="P82" s="56" t="str">
        <f>IF(COUNTIFS('LANÇAMENTOS DIÁRIOS'!$G$5:$G$500,"C",'LANÇAMENTOS DIÁRIOS'!$C$5:$C$500,$A82,'LANÇAMENTOS DIÁRIOS'!$O$5:$O$500,"&lt;=97999",'LANÇAMENTOS DIÁRIOS'!$P$5:$P$500,"&gt;=97900")&gt;0,"X","")</f>
      </c>
      <c r="Q82" s="56" t="str">
        <f>IF(COUNTIFS('LANÇAMENTOS DIÁRIOS'!$G$5:$G$500,"C",'LANÇAMENTOS DIÁRIOS'!$C$5:$C$500,$A82,'LANÇAMENTOS DIÁRIOS'!$O$5:$O$500,"&lt;=98099",'LANÇAMENTOS DIÁRIOS'!$P$5:$P$500,"&gt;=98000")&gt;0,"X","")</f>
      </c>
      <c r="R82" s="56" t="str">
        <f>IF(COUNTIFS('LANÇAMENTOS DIÁRIOS'!$G$5:$G$500,"C",'LANÇAMENTOS DIÁRIOS'!$C$5:$C$500,$A82,'LANÇAMENTOS DIÁRIOS'!$O$5:$O$500,"&lt;=98199",'LANÇAMENTOS DIÁRIOS'!$P$5:$P$500,"&gt;=98100")&gt;0,"X","")</f>
      </c>
      <c r="S82" s="56" t="str">
        <f>IF(COUNTIFS('LANÇAMENTOS DIÁRIOS'!$G$5:$G$500,"C",'LANÇAMENTOS DIÁRIOS'!$C$5:$C$500,$A82,'LANÇAMENTOS DIÁRIOS'!$O$5:$O$500,"&lt;=98299",'LANÇAMENTOS DIÁRIOS'!$P$5:$P$500,"&gt;=98200")&gt;0,"X","")</f>
      </c>
      <c r="T82" s="56" t="str">
        <f>IF(COUNTIFS('LANÇAMENTOS DIÁRIOS'!$G$5:$G$500,"C",'LANÇAMENTOS DIÁRIOS'!$C$5:$C$500,$A82,'LANÇAMENTOS DIÁRIOS'!$O$5:$O$500,"&lt;=98399",'LANÇAMENTOS DIÁRIOS'!$P$5:$P$500,"&gt;=98300")&gt;0,"X","")</f>
      </c>
      <c r="U82" s="56" t="str">
        <f>IF(COUNTIFS('LANÇAMENTOS DIÁRIOS'!$G$5:$G$500,"C",'LANÇAMENTOS DIÁRIOS'!$C$5:$C$500,$A82,'LANÇAMENTOS DIÁRIOS'!$O$5:$O$500,"&lt;=98499",'LANÇAMENTOS DIÁRIOS'!$P$5:$P$500,"&gt;=98400")&gt;0,"X","")</f>
      </c>
      <c r="V82" s="56" t="str">
        <f>IF(COUNTIFS('LANÇAMENTOS DIÁRIOS'!$G$5:$G$500,"C",'LANÇAMENTOS DIÁRIOS'!$C$5:$C$500,$A82,'LANÇAMENTOS DIÁRIOS'!$O$5:$O$500,"&lt;=98599",'LANÇAMENTOS DIÁRIOS'!$P$5:$P$500,"&gt;=98500")&gt;0,"X","")</f>
      </c>
      <c r="W82" s="56" t="str">
        <f>IF(COUNTIFS('LANÇAMENTOS DIÁRIOS'!$G$5:$G$500,"C",'LANÇAMENTOS DIÁRIOS'!$C$5:$C$500,$A82,'LANÇAMENTOS DIÁRIOS'!$O$5:$O$500,"&lt;=98699",'LANÇAMENTOS DIÁRIOS'!$P$5:$P$500,"&gt;=98600")&gt;0,"X","")</f>
      </c>
      <c r="X82" s="56" t="str">
        <f>IF(COUNTIFS('LANÇAMENTOS DIÁRIOS'!$G$5:$G$500,"C",'LANÇAMENTOS DIÁRIOS'!$C$5:$C$500,$A82,'LANÇAMENTOS DIÁRIOS'!$O$5:$O$500,"&lt;=98799",'LANÇAMENTOS DIÁRIOS'!$P$5:$P$500,"&gt;=98700")&gt;0,"X","")</f>
      </c>
      <c r="Y82" s="56" t="str">
        <f>IF(COUNTIFS('LANÇAMENTOS DIÁRIOS'!$G$5:$G$500,"C",'LANÇAMENTOS DIÁRIOS'!$C$5:$C$500,$A82,'LANÇAMENTOS DIÁRIOS'!$O$5:$O$500,"&lt;=98899",'LANÇAMENTOS DIÁRIOS'!$P$5:$P$500,"&gt;=98800")&gt;0,"X","")</f>
      </c>
      <c r="Z82" s="56" t="str">
        <f>IF(COUNTIFS('LANÇAMENTOS DIÁRIOS'!$G$5:$G$500,"C",'LANÇAMENTOS DIÁRIOS'!$C$5:$C$500,$A82,'LANÇAMENTOS DIÁRIOS'!$O$5:$O$500,"&lt;=98999",'LANÇAMENTOS DIÁRIOS'!$P$5:$P$500,"&gt;=98900")&gt;0,"X","")</f>
      </c>
      <c r="AA82" s="56" t="str">
        <f>IF(COUNTIFS('LANÇAMENTOS DIÁRIOS'!$G$5:$G$500,"C",'LANÇAMENTOS DIÁRIOS'!$C$5:$C$500,$A82,'LANÇAMENTOS DIÁRIOS'!$O$5:$O$500,"&lt;=99099",'LANÇAMENTOS DIÁRIOS'!$P$5:$P$500,"&gt;=99000")&gt;0,"X","")</f>
      </c>
      <c r="AB82" s="56" t="str">
        <f>IF(COUNTIFS('LANÇAMENTOS DIÁRIOS'!$G$5:$G$500,"C",'LANÇAMENTOS DIÁRIOS'!$C$5:$C$500,$A82,'LANÇAMENTOS DIÁRIOS'!$O$5:$O$500,"&lt;=99199",'LANÇAMENTOS DIÁRIOS'!$P$5:$P$500,"&gt;=99100")&gt;0,"X","")</f>
      </c>
      <c r="AC82" s="56" t="str">
        <f>IF(COUNTIFS('LANÇAMENTOS DIÁRIOS'!$G$5:$G$500,"C",'LANÇAMENTOS DIÁRIOS'!$C$5:$C$500,$A82,'LANÇAMENTOS DIÁRIOS'!$O$5:$O$500,"&lt;=99299",'LANÇAMENTOS DIÁRIOS'!$P$5:$P$500,"&gt;=99200")&gt;0,"X","")</f>
      </c>
      <c r="AD82" s="56" t="str">
        <f>IF(COUNTIFS('LANÇAMENTOS DIÁRIOS'!$G$5:$G$500,"C",'LANÇAMENTOS DIÁRIOS'!$C$5:$C$500,$A82,'LANÇAMENTOS DIÁRIOS'!$O$5:$O$500,"&lt;=99399",'LANÇAMENTOS DIÁRIOS'!$P$5:$P$500,"&gt;=99300")&gt;0,"X","")</f>
      </c>
      <c r="AE82" s="56" t="str">
        <f>IF(COUNTIFS('LANÇAMENTOS DIÁRIOS'!$G$5:$G$500,"C",'LANÇAMENTOS DIÁRIOS'!$C$5:$C$500,$A82,'LANÇAMENTOS DIÁRIOS'!$O$5:$O$500,"&lt;=99499",'LANÇAMENTOS DIÁRIOS'!$P$5:$P$500,"&gt;=99400")&gt;0,"X","")</f>
      </c>
      <c r="AF82" s="56" t="str">
        <f>IF(COUNTIFS('LANÇAMENTOS DIÁRIOS'!$G$5:$G$500,"C",'LANÇAMENTOS DIÁRIOS'!$C$5:$C$500,$A82,'LANÇAMENTOS DIÁRIOS'!$O$5:$O$500,"&lt;=99599",'LANÇAMENTOS DIÁRIOS'!$P$5:$P$500,"&gt;=99500")&gt;0,"X","")</f>
      </c>
      <c r="AG82" s="56" t="str">
        <f>IF(COUNTIFS('LANÇAMENTOS DIÁRIOS'!$G$5:$G$500,"C",'LANÇAMENTOS DIÁRIOS'!$C$5:$C$500,$A82,'LANÇAMENTOS DIÁRIOS'!$O$5:$O$500,"&lt;=99699",'LANÇAMENTOS DIÁRIOS'!$P$5:$P$500,"&gt;=99600")&gt;0,"X","")</f>
      </c>
      <c r="AH82" s="56" t="str">
        <f>IF(COUNTIFS('LANÇAMENTOS DIÁRIOS'!$G$5:$G$500,"C",'LANÇAMENTOS DIÁRIOS'!$C$5:$C$500,$A82,'LANÇAMENTOS DIÁRIOS'!$O$5:$O$500,"&lt;=99799",'LANÇAMENTOS DIÁRIOS'!$P$5:$P$500,"&gt;=99700")&gt;0,"X","")</f>
      </c>
      <c r="AI82" s="56" t="str">
        <f>IF(COUNTIFS('LANÇAMENTOS DIÁRIOS'!$G$5:$G$500,"C",'LANÇAMENTOS DIÁRIOS'!$C$5:$C$500,$A82,'LANÇAMENTOS DIÁRIOS'!$O$5:$O$500,"&lt;=99899",'LANÇAMENTOS DIÁRIOS'!$P$5:$P$500,"&gt;=99800")&gt;0,"X","")</f>
      </c>
      <c r="AJ82" s="56" t="str">
        <f>IF(COUNTIFS('LANÇAMENTOS DIÁRIOS'!$G$5:$G$500,"C",'LANÇAMENTOS DIÁRIOS'!$C$5:$C$500,$A82,'LANÇAMENTOS DIÁRIOS'!$O$5:$O$500,"&lt;=99999",'LANÇAMENTOS DIÁRIOS'!$P$5:$P$500,"&gt;=99900")&gt;0,"X","")</f>
      </c>
      <c r="AK82" s="56" t="str">
        <f>IF(COUNTIFS('LANÇAMENTOS DIÁRIOS'!$G$5:$G$500,"C",'LANÇAMENTOS DIÁRIOS'!$C$5:$C$500,$A82,'LANÇAMENTOS DIÁRIOS'!$O$5:$O$500,"&lt;=100099",'LANÇAMENTOS DIÁRIOS'!$P$5:$P$500,"&gt;=100000")&gt;0,"X","")</f>
      </c>
      <c r="AL82" s="56" t="str">
        <f>IF(COUNTIFS('LANÇAMENTOS DIÁRIOS'!$G$5:$G$500,"C",'LANÇAMENTOS DIÁRIOS'!$C$5:$C$500,$A82,'LANÇAMENTOS DIÁRIOS'!$O$5:$O$500,"&lt;=100199",'LANÇAMENTOS DIÁRIOS'!$P$5:$P$500,"&gt;=100100")&gt;0,"X","")</f>
      </c>
      <c r="AM82" s="56" t="str">
        <f>IF(COUNTIFS('LANÇAMENTOS DIÁRIOS'!$G$5:$G$500,"C",'LANÇAMENTOS DIÁRIOS'!$C$5:$C$500,$A82,'LANÇAMENTOS DIÁRIOS'!$O$5:$O$500,"&lt;=100299",'LANÇAMENTOS DIÁRIOS'!$P$5:$P$500,"&gt;=100200")&gt;0,"X","")</f>
      </c>
      <c r="AN82" s="56" t="str">
        <f>IF(COUNTIFS('LANÇAMENTOS DIÁRIOS'!$G$5:$G$500,"C",'LANÇAMENTOS DIÁRIOS'!$C$5:$C$500,$A82,'LANÇAMENTOS DIÁRIOS'!$O$5:$O$500,"&lt;=100399",'LANÇAMENTOS DIÁRIOS'!$P$5:$P$500,"&gt;=100300")&gt;0,"X","")</f>
      </c>
      <c r="AO82" s="56" t="str">
        <f>IF(COUNTIFS('LANÇAMENTOS DIÁRIOS'!$G$5:$G$500,"C",'LANÇAMENTOS DIÁRIOS'!$C$5:$C$500,$A82,'LANÇAMENTOS DIÁRIOS'!$O$5:$O$500,"&lt;=100499",'LANÇAMENTOS DIÁRIOS'!$P$5:$P$500,"&gt;=100400")&gt;0,"X","")</f>
      </c>
      <c r="AP82" s="56" t="str">
        <f>IF(COUNTIFS('LANÇAMENTOS DIÁRIOS'!$G$5:$G$500,"C",'LANÇAMENTOS DIÁRIOS'!$C$5:$C$500,$A82,'LANÇAMENTOS DIÁRIOS'!$O$5:$O$500,"&lt;=100500",'LANÇAMENTOS DIÁRIOS'!$P$5:$P$500,"&gt;=100500")&gt;0,"X","")</f>
      </c>
    </row>
    <row r="83" ht="19" customHeight="1">
      <c r="A83" s="68" t="str">
        <v>Construção da camada de revestimento</v>
      </c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</row>
    <row r="84">
      <c r="A84" s="51" t="str">
        <v>Imprimadura impermeabilizante com EAI - Sem o fornecimento dos materias</v>
      </c>
      <c r="B84" s="56" t="str">
        <f>IF(COUNTIFS('LANÇAMENTOS DIÁRIOS'!$G$5:$G$500,"C",'LANÇAMENTOS DIÁRIOS'!$C$5:$C$500,$A84,'LANÇAMENTOS DIÁRIOS'!$O$5:$O$500,"&lt;=96599",'LANÇAMENTOS DIÁRIOS'!$P$5:$P$500,"&gt;=96500")&gt;0,"X","")</f>
      </c>
      <c r="C84" s="56" t="str">
        <f>IF(COUNTIFS('LANÇAMENTOS DIÁRIOS'!$G$5:$G$500,"C",'LANÇAMENTOS DIÁRIOS'!$C$5:$C$500,$A84,'LANÇAMENTOS DIÁRIOS'!$O$5:$O$500,"&lt;=96699",'LANÇAMENTOS DIÁRIOS'!$P$5:$P$500,"&gt;=96600")&gt;0,"X","")</f>
      </c>
      <c r="D84" s="56" t="str">
        <f>IF(COUNTIFS('LANÇAMENTOS DIÁRIOS'!$G$5:$G$500,"C",'LANÇAMENTOS DIÁRIOS'!$C$5:$C$500,$A84,'LANÇAMENTOS DIÁRIOS'!$O$5:$O$500,"&lt;=96799",'LANÇAMENTOS DIÁRIOS'!$P$5:$P$500,"&gt;=96700")&gt;0,"X","")</f>
      </c>
      <c r="E84" s="56" t="str">
        <f>IF(COUNTIFS('LANÇAMENTOS DIÁRIOS'!$G$5:$G$500,"C",'LANÇAMENTOS DIÁRIOS'!$C$5:$C$500,$A84,'LANÇAMENTOS DIÁRIOS'!$O$5:$O$500,"&lt;=96899",'LANÇAMENTOS DIÁRIOS'!$P$5:$P$500,"&gt;=96800")&gt;0,"X","")</f>
      </c>
      <c r="F84" s="56" t="str">
        <f>IF(COUNTIFS('LANÇAMENTOS DIÁRIOS'!$G$5:$G$500,"C",'LANÇAMENTOS DIÁRIOS'!$C$5:$C$500,$A84,'LANÇAMENTOS DIÁRIOS'!$O$5:$O$500,"&lt;=96999",'LANÇAMENTOS DIÁRIOS'!$P$5:$P$500,"&gt;=96900")&gt;0,"X","")</f>
      </c>
      <c r="G84" s="56" t="str">
        <f>IF(COUNTIFS('LANÇAMENTOS DIÁRIOS'!$G$5:$G$500,"C",'LANÇAMENTOS DIÁRIOS'!$C$5:$C$500,$A84,'LANÇAMENTOS DIÁRIOS'!$O$5:$O$500,"&lt;=97099",'LANÇAMENTOS DIÁRIOS'!$P$5:$P$500,"&gt;=97000")&gt;0,"X","")</f>
      </c>
      <c r="H84" s="56" t="str">
        <f>IF(COUNTIFS('LANÇAMENTOS DIÁRIOS'!$G$5:$G$500,"C",'LANÇAMENTOS DIÁRIOS'!$C$5:$C$500,$A84,'LANÇAMENTOS DIÁRIOS'!$O$5:$O$500,"&lt;=97199",'LANÇAMENTOS DIÁRIOS'!$P$5:$P$500,"&gt;=97100")&gt;0,"X","")</f>
      </c>
      <c r="I84" s="56" t="str">
        <f>IF(COUNTIFS('LANÇAMENTOS DIÁRIOS'!$G$5:$G$500,"C",'LANÇAMENTOS DIÁRIOS'!$C$5:$C$500,$A84,'LANÇAMENTOS DIÁRIOS'!$O$5:$O$500,"&lt;=97299",'LANÇAMENTOS DIÁRIOS'!$P$5:$P$500,"&gt;=97200")&gt;0,"X","")</f>
      </c>
      <c r="J84" s="56" t="str">
        <f>IF(COUNTIFS('LANÇAMENTOS DIÁRIOS'!$G$5:$G$500,"C",'LANÇAMENTOS DIÁRIOS'!$C$5:$C$500,$A84,'LANÇAMENTOS DIÁRIOS'!$O$5:$O$500,"&lt;=97399",'LANÇAMENTOS DIÁRIOS'!$P$5:$P$500,"&gt;=97300")&gt;0,"X","")</f>
      </c>
      <c r="K84" s="56" t="str">
        <f>IF(COUNTIFS('LANÇAMENTOS DIÁRIOS'!$G$5:$G$500,"C",'LANÇAMENTOS DIÁRIOS'!$C$5:$C$500,$A84,'LANÇAMENTOS DIÁRIOS'!$O$5:$O$500,"&lt;=97499",'LANÇAMENTOS DIÁRIOS'!$P$5:$P$500,"&gt;=97400")&gt;0,"X","")</f>
      </c>
      <c r="L84" s="56" t="str">
        <f>IF(COUNTIFS('LANÇAMENTOS DIÁRIOS'!$G$5:$G$500,"C",'LANÇAMENTOS DIÁRIOS'!$C$5:$C$500,$A84,'LANÇAMENTOS DIÁRIOS'!$O$5:$O$500,"&lt;=97599",'LANÇAMENTOS DIÁRIOS'!$P$5:$P$500,"&gt;=97500")&gt;0,"X","")</f>
      </c>
      <c r="M84" s="56" t="str">
        <f>IF(COUNTIFS('LANÇAMENTOS DIÁRIOS'!$G$5:$G$500,"C",'LANÇAMENTOS DIÁRIOS'!$C$5:$C$500,$A84,'LANÇAMENTOS DIÁRIOS'!$O$5:$O$500,"&lt;=97699",'LANÇAMENTOS DIÁRIOS'!$P$5:$P$500,"&gt;=97600")&gt;0,"X","")</f>
      </c>
      <c r="N84" s="56" t="str">
        <f>IF(COUNTIFS('LANÇAMENTOS DIÁRIOS'!$G$5:$G$500,"C",'LANÇAMENTOS DIÁRIOS'!$C$5:$C$500,$A84,'LANÇAMENTOS DIÁRIOS'!$O$5:$O$500,"&lt;=97799",'LANÇAMENTOS DIÁRIOS'!$P$5:$P$500,"&gt;=97700")&gt;0,"X","")</f>
      </c>
      <c r="O84" s="56" t="str">
        <f>IF(COUNTIFS('LANÇAMENTOS DIÁRIOS'!$G$5:$G$500,"C",'LANÇAMENTOS DIÁRIOS'!$C$5:$C$500,$A84,'LANÇAMENTOS DIÁRIOS'!$O$5:$O$500,"&lt;=97899",'LANÇAMENTOS DIÁRIOS'!$P$5:$P$500,"&gt;=97800")&gt;0,"X","")</f>
      </c>
      <c r="P84" s="56" t="str">
        <f>IF(COUNTIFS('LANÇAMENTOS DIÁRIOS'!$G$5:$G$500,"C",'LANÇAMENTOS DIÁRIOS'!$C$5:$C$500,$A84,'LANÇAMENTOS DIÁRIOS'!$O$5:$O$500,"&lt;=97999",'LANÇAMENTOS DIÁRIOS'!$P$5:$P$500,"&gt;=97900")&gt;0,"X","")</f>
      </c>
      <c r="Q84" s="56" t="str">
        <f>IF(COUNTIFS('LANÇAMENTOS DIÁRIOS'!$G$5:$G$500,"C",'LANÇAMENTOS DIÁRIOS'!$C$5:$C$500,$A84,'LANÇAMENTOS DIÁRIOS'!$O$5:$O$500,"&lt;=98099",'LANÇAMENTOS DIÁRIOS'!$P$5:$P$500,"&gt;=98000")&gt;0,"X","")</f>
      </c>
      <c r="R84" s="56" t="str">
        <f>IF(COUNTIFS('LANÇAMENTOS DIÁRIOS'!$G$5:$G$500,"C",'LANÇAMENTOS DIÁRIOS'!$C$5:$C$500,$A84,'LANÇAMENTOS DIÁRIOS'!$O$5:$O$500,"&lt;=98199",'LANÇAMENTOS DIÁRIOS'!$P$5:$P$500,"&gt;=98100")&gt;0,"X","")</f>
      </c>
      <c r="S84" s="56" t="str">
        <f>IF(COUNTIFS('LANÇAMENTOS DIÁRIOS'!$G$5:$G$500,"C",'LANÇAMENTOS DIÁRIOS'!$C$5:$C$500,$A84,'LANÇAMENTOS DIÁRIOS'!$O$5:$O$500,"&lt;=98299",'LANÇAMENTOS DIÁRIOS'!$P$5:$P$500,"&gt;=98200")&gt;0,"X","")</f>
      </c>
      <c r="T84" s="56" t="str">
        <f>IF(COUNTIFS('LANÇAMENTOS DIÁRIOS'!$G$5:$G$500,"C",'LANÇAMENTOS DIÁRIOS'!$C$5:$C$500,$A84,'LANÇAMENTOS DIÁRIOS'!$O$5:$O$500,"&lt;=98399",'LANÇAMENTOS DIÁRIOS'!$P$5:$P$500,"&gt;=98300")&gt;0,"X","")</f>
      </c>
      <c r="U84" s="56" t="str">
        <f>IF(COUNTIFS('LANÇAMENTOS DIÁRIOS'!$G$5:$G$500,"C",'LANÇAMENTOS DIÁRIOS'!$C$5:$C$500,$A84,'LANÇAMENTOS DIÁRIOS'!$O$5:$O$500,"&lt;=98499",'LANÇAMENTOS DIÁRIOS'!$P$5:$P$500,"&gt;=98400")&gt;0,"X","")</f>
      </c>
      <c r="V84" s="56" t="str">
        <f>IF(COUNTIFS('LANÇAMENTOS DIÁRIOS'!$G$5:$G$500,"C",'LANÇAMENTOS DIÁRIOS'!$C$5:$C$500,$A84,'LANÇAMENTOS DIÁRIOS'!$O$5:$O$500,"&lt;=98599",'LANÇAMENTOS DIÁRIOS'!$P$5:$P$500,"&gt;=98500")&gt;0,"X","")</f>
      </c>
      <c r="W84" s="56" t="str">
        <f>IF(COUNTIFS('LANÇAMENTOS DIÁRIOS'!$G$5:$G$500,"C",'LANÇAMENTOS DIÁRIOS'!$C$5:$C$500,$A84,'LANÇAMENTOS DIÁRIOS'!$O$5:$O$500,"&lt;=98699",'LANÇAMENTOS DIÁRIOS'!$P$5:$P$500,"&gt;=98600")&gt;0,"X","")</f>
      </c>
      <c r="X84" s="56" t="str">
        <f>IF(COUNTIFS('LANÇAMENTOS DIÁRIOS'!$G$5:$G$500,"C",'LANÇAMENTOS DIÁRIOS'!$C$5:$C$500,$A84,'LANÇAMENTOS DIÁRIOS'!$O$5:$O$500,"&lt;=98799",'LANÇAMENTOS DIÁRIOS'!$P$5:$P$500,"&gt;=98700")&gt;0,"X","")</f>
      </c>
      <c r="Y84" s="56" t="str">
        <f>IF(COUNTIFS('LANÇAMENTOS DIÁRIOS'!$G$5:$G$500,"C",'LANÇAMENTOS DIÁRIOS'!$C$5:$C$500,$A84,'LANÇAMENTOS DIÁRIOS'!$O$5:$O$500,"&lt;=98899",'LANÇAMENTOS DIÁRIOS'!$P$5:$P$500,"&gt;=98800")&gt;0,"X","")</f>
      </c>
      <c r="Z84" s="56" t="str">
        <f>IF(COUNTIFS('LANÇAMENTOS DIÁRIOS'!$G$5:$G$500,"C",'LANÇAMENTOS DIÁRIOS'!$C$5:$C$500,$A84,'LANÇAMENTOS DIÁRIOS'!$O$5:$O$500,"&lt;=98999",'LANÇAMENTOS DIÁRIOS'!$P$5:$P$500,"&gt;=98900")&gt;0,"X","")</f>
      </c>
      <c r="AA84" s="56" t="str">
        <f>IF(COUNTIFS('LANÇAMENTOS DIÁRIOS'!$G$5:$G$500,"C",'LANÇAMENTOS DIÁRIOS'!$C$5:$C$500,$A84,'LANÇAMENTOS DIÁRIOS'!$O$5:$O$500,"&lt;=99099",'LANÇAMENTOS DIÁRIOS'!$P$5:$P$500,"&gt;=99000")&gt;0,"X","")</f>
      </c>
      <c r="AB84" s="56" t="str">
        <f>IF(COUNTIFS('LANÇAMENTOS DIÁRIOS'!$G$5:$G$500,"C",'LANÇAMENTOS DIÁRIOS'!$C$5:$C$500,$A84,'LANÇAMENTOS DIÁRIOS'!$O$5:$O$500,"&lt;=99199",'LANÇAMENTOS DIÁRIOS'!$P$5:$P$500,"&gt;=99100")&gt;0,"X","")</f>
      </c>
      <c r="AC84" s="56" t="str">
        <f>IF(COUNTIFS('LANÇAMENTOS DIÁRIOS'!$G$5:$G$500,"C",'LANÇAMENTOS DIÁRIOS'!$C$5:$C$500,$A84,'LANÇAMENTOS DIÁRIOS'!$O$5:$O$500,"&lt;=99299",'LANÇAMENTOS DIÁRIOS'!$P$5:$P$500,"&gt;=99200")&gt;0,"X","")</f>
      </c>
      <c r="AD84" s="56" t="str">
        <f>IF(COUNTIFS('LANÇAMENTOS DIÁRIOS'!$G$5:$G$500,"C",'LANÇAMENTOS DIÁRIOS'!$C$5:$C$500,$A84,'LANÇAMENTOS DIÁRIOS'!$O$5:$O$500,"&lt;=99399",'LANÇAMENTOS DIÁRIOS'!$P$5:$P$500,"&gt;=99300")&gt;0,"X","")</f>
      </c>
      <c r="AE84" s="56" t="str">
        <f>IF(COUNTIFS('LANÇAMENTOS DIÁRIOS'!$G$5:$G$500,"C",'LANÇAMENTOS DIÁRIOS'!$C$5:$C$500,$A84,'LANÇAMENTOS DIÁRIOS'!$O$5:$O$500,"&lt;=99499",'LANÇAMENTOS DIÁRIOS'!$P$5:$P$500,"&gt;=99400")&gt;0,"X","")</f>
      </c>
      <c r="AF84" s="56" t="str">
        <f>IF(COUNTIFS('LANÇAMENTOS DIÁRIOS'!$G$5:$G$500,"C",'LANÇAMENTOS DIÁRIOS'!$C$5:$C$500,$A84,'LANÇAMENTOS DIÁRIOS'!$O$5:$O$500,"&lt;=99599",'LANÇAMENTOS DIÁRIOS'!$P$5:$P$500,"&gt;=99500")&gt;0,"X","")</f>
      </c>
      <c r="AG84" s="56" t="str">
        <f>IF(COUNTIFS('LANÇAMENTOS DIÁRIOS'!$G$5:$G$500,"C",'LANÇAMENTOS DIÁRIOS'!$C$5:$C$500,$A84,'LANÇAMENTOS DIÁRIOS'!$O$5:$O$500,"&lt;=99699",'LANÇAMENTOS DIÁRIOS'!$P$5:$P$500,"&gt;=99600")&gt;0,"X","")</f>
      </c>
      <c r="AH84" s="56" t="str">
        <f>IF(COUNTIFS('LANÇAMENTOS DIÁRIOS'!$G$5:$G$500,"C",'LANÇAMENTOS DIÁRIOS'!$C$5:$C$500,$A84,'LANÇAMENTOS DIÁRIOS'!$O$5:$O$500,"&lt;=99799",'LANÇAMENTOS DIÁRIOS'!$P$5:$P$500,"&gt;=99700")&gt;0,"X","")</f>
      </c>
      <c r="AI84" s="56" t="str">
        <f>IF(COUNTIFS('LANÇAMENTOS DIÁRIOS'!$G$5:$G$500,"C",'LANÇAMENTOS DIÁRIOS'!$C$5:$C$500,$A84,'LANÇAMENTOS DIÁRIOS'!$O$5:$O$500,"&lt;=99899",'LANÇAMENTOS DIÁRIOS'!$P$5:$P$500,"&gt;=99800")&gt;0,"X","")</f>
      </c>
      <c r="AJ84" s="56" t="str">
        <f>IF(COUNTIFS('LANÇAMENTOS DIÁRIOS'!$G$5:$G$500,"C",'LANÇAMENTOS DIÁRIOS'!$C$5:$C$500,$A84,'LANÇAMENTOS DIÁRIOS'!$O$5:$O$500,"&lt;=99999",'LANÇAMENTOS DIÁRIOS'!$P$5:$P$500,"&gt;=99900")&gt;0,"X","")</f>
      </c>
      <c r="AK84" s="56" t="str">
        <f>IF(COUNTIFS('LANÇAMENTOS DIÁRIOS'!$G$5:$G$500,"C",'LANÇAMENTOS DIÁRIOS'!$C$5:$C$500,$A84,'LANÇAMENTOS DIÁRIOS'!$O$5:$O$500,"&lt;=100099",'LANÇAMENTOS DIÁRIOS'!$P$5:$P$500,"&gt;=100000")&gt;0,"X","")</f>
      </c>
      <c r="AL84" s="56" t="str">
        <f>IF(COUNTIFS('LANÇAMENTOS DIÁRIOS'!$G$5:$G$500,"C",'LANÇAMENTOS DIÁRIOS'!$C$5:$C$500,$A84,'LANÇAMENTOS DIÁRIOS'!$O$5:$O$500,"&lt;=100199",'LANÇAMENTOS DIÁRIOS'!$P$5:$P$500,"&gt;=100100")&gt;0,"X","")</f>
      </c>
      <c r="AM84" s="56" t="str">
        <f>IF(COUNTIFS('LANÇAMENTOS DIÁRIOS'!$G$5:$G$500,"C",'LANÇAMENTOS DIÁRIOS'!$C$5:$C$500,$A84,'LANÇAMENTOS DIÁRIOS'!$O$5:$O$500,"&lt;=100299",'LANÇAMENTOS DIÁRIOS'!$P$5:$P$500,"&gt;=100200")&gt;0,"X","")</f>
      </c>
      <c r="AN84" s="56" t="str">
        <f>IF(COUNTIFS('LANÇAMENTOS DIÁRIOS'!$G$5:$G$500,"C",'LANÇAMENTOS DIÁRIOS'!$C$5:$C$500,$A84,'LANÇAMENTOS DIÁRIOS'!$O$5:$O$500,"&lt;=100399",'LANÇAMENTOS DIÁRIOS'!$P$5:$P$500,"&gt;=100300")&gt;0,"X","")</f>
      </c>
      <c r="AO84" s="56" t="str">
        <f>IF(COUNTIFS('LANÇAMENTOS DIÁRIOS'!$G$5:$G$500,"C",'LANÇAMENTOS DIÁRIOS'!$C$5:$C$500,$A84,'LANÇAMENTOS DIÁRIOS'!$O$5:$O$500,"&lt;=100499",'LANÇAMENTOS DIÁRIOS'!$P$5:$P$500,"&gt;=100400")&gt;0,"X","")</f>
      </c>
      <c r="AP84" s="56" t="str">
        <f>IF(COUNTIFS('LANÇAMENTOS DIÁRIOS'!$G$5:$G$500,"C",'LANÇAMENTOS DIÁRIOS'!$C$5:$C$500,$A84,'LANÇAMENTOS DIÁRIOS'!$O$5:$O$500,"&lt;=100500",'LANÇAMENTOS DIÁRIOS'!$P$5:$P$500,"&gt;=100500")&gt;0,"X","")</f>
      </c>
    </row>
    <row r="85">
      <c r="A85" s="51" t="str">
        <v>Imprimadura ligante (Cura) - sem o fornecimento dos materiais</v>
      </c>
      <c r="B85" s="56" t="str">
        <f>IF(COUNTIFS('LANÇAMENTOS DIÁRIOS'!$G$5:$G$500,"C",'LANÇAMENTOS DIÁRIOS'!$C$5:$C$500,$A85,'LANÇAMENTOS DIÁRIOS'!$O$5:$O$500,"&lt;=96599",'LANÇAMENTOS DIÁRIOS'!$P$5:$P$500,"&gt;=96500")&gt;0,"X","")</f>
      </c>
      <c r="C85" s="56" t="str">
        <f>IF(COUNTIFS('LANÇAMENTOS DIÁRIOS'!$G$5:$G$500,"C",'LANÇAMENTOS DIÁRIOS'!$C$5:$C$500,$A85,'LANÇAMENTOS DIÁRIOS'!$O$5:$O$500,"&lt;=96699",'LANÇAMENTOS DIÁRIOS'!$P$5:$P$500,"&gt;=96600")&gt;0,"X","")</f>
      </c>
      <c r="D85" s="56" t="str">
        <f>IF(COUNTIFS('LANÇAMENTOS DIÁRIOS'!$G$5:$G$500,"C",'LANÇAMENTOS DIÁRIOS'!$C$5:$C$500,$A85,'LANÇAMENTOS DIÁRIOS'!$O$5:$O$500,"&lt;=96799",'LANÇAMENTOS DIÁRIOS'!$P$5:$P$500,"&gt;=96700")&gt;0,"X","")</f>
      </c>
      <c r="E85" s="56" t="str">
        <f>IF(COUNTIFS('LANÇAMENTOS DIÁRIOS'!$G$5:$G$500,"C",'LANÇAMENTOS DIÁRIOS'!$C$5:$C$500,$A85,'LANÇAMENTOS DIÁRIOS'!$O$5:$O$500,"&lt;=96899",'LANÇAMENTOS DIÁRIOS'!$P$5:$P$500,"&gt;=96800")&gt;0,"X","")</f>
      </c>
      <c r="F85" s="56" t="str">
        <f>IF(COUNTIFS('LANÇAMENTOS DIÁRIOS'!$G$5:$G$500,"C",'LANÇAMENTOS DIÁRIOS'!$C$5:$C$500,$A85,'LANÇAMENTOS DIÁRIOS'!$O$5:$O$500,"&lt;=96999",'LANÇAMENTOS DIÁRIOS'!$P$5:$P$500,"&gt;=96900")&gt;0,"X","")</f>
      </c>
      <c r="G85" s="56" t="str">
        <f>IF(COUNTIFS('LANÇAMENTOS DIÁRIOS'!$G$5:$G$500,"C",'LANÇAMENTOS DIÁRIOS'!$C$5:$C$500,$A85,'LANÇAMENTOS DIÁRIOS'!$O$5:$O$500,"&lt;=97099",'LANÇAMENTOS DIÁRIOS'!$P$5:$P$500,"&gt;=97000")&gt;0,"X","")</f>
      </c>
      <c r="H85" s="56" t="str">
        <f>IF(COUNTIFS('LANÇAMENTOS DIÁRIOS'!$G$5:$G$500,"C",'LANÇAMENTOS DIÁRIOS'!$C$5:$C$500,$A85,'LANÇAMENTOS DIÁRIOS'!$O$5:$O$500,"&lt;=97199",'LANÇAMENTOS DIÁRIOS'!$P$5:$P$500,"&gt;=97100")&gt;0,"X","")</f>
      </c>
      <c r="I85" s="56" t="str">
        <f>IF(COUNTIFS('LANÇAMENTOS DIÁRIOS'!$G$5:$G$500,"C",'LANÇAMENTOS DIÁRIOS'!$C$5:$C$500,$A85,'LANÇAMENTOS DIÁRIOS'!$O$5:$O$500,"&lt;=97299",'LANÇAMENTOS DIÁRIOS'!$P$5:$P$500,"&gt;=97200")&gt;0,"X","")</f>
      </c>
      <c r="J85" s="56" t="str">
        <f>IF(COUNTIFS('LANÇAMENTOS DIÁRIOS'!$G$5:$G$500,"C",'LANÇAMENTOS DIÁRIOS'!$C$5:$C$500,$A85,'LANÇAMENTOS DIÁRIOS'!$O$5:$O$500,"&lt;=97399",'LANÇAMENTOS DIÁRIOS'!$P$5:$P$500,"&gt;=97300")&gt;0,"X","")</f>
      </c>
      <c r="K85" s="56" t="str">
        <f>IF(COUNTIFS('LANÇAMENTOS DIÁRIOS'!$G$5:$G$500,"C",'LANÇAMENTOS DIÁRIOS'!$C$5:$C$500,$A85,'LANÇAMENTOS DIÁRIOS'!$O$5:$O$500,"&lt;=97499",'LANÇAMENTOS DIÁRIOS'!$P$5:$P$500,"&gt;=97400")&gt;0,"X","")</f>
      </c>
      <c r="L85" s="56" t="str">
        <f>IF(COUNTIFS('LANÇAMENTOS DIÁRIOS'!$G$5:$G$500,"C",'LANÇAMENTOS DIÁRIOS'!$C$5:$C$500,$A85,'LANÇAMENTOS DIÁRIOS'!$O$5:$O$500,"&lt;=97599",'LANÇAMENTOS DIÁRIOS'!$P$5:$P$500,"&gt;=97500")&gt;0,"X","")</f>
      </c>
      <c r="M85" s="56" t="str">
        <f>IF(COUNTIFS('LANÇAMENTOS DIÁRIOS'!$G$5:$G$500,"C",'LANÇAMENTOS DIÁRIOS'!$C$5:$C$500,$A85,'LANÇAMENTOS DIÁRIOS'!$O$5:$O$500,"&lt;=97699",'LANÇAMENTOS DIÁRIOS'!$P$5:$P$500,"&gt;=97600")&gt;0,"X","")</f>
      </c>
      <c r="N85" s="56" t="str">
        <f>IF(COUNTIFS('LANÇAMENTOS DIÁRIOS'!$G$5:$G$500,"C",'LANÇAMENTOS DIÁRIOS'!$C$5:$C$500,$A85,'LANÇAMENTOS DIÁRIOS'!$O$5:$O$500,"&lt;=97799",'LANÇAMENTOS DIÁRIOS'!$P$5:$P$500,"&gt;=97700")&gt;0,"X","")</f>
      </c>
      <c r="O85" s="56" t="str">
        <f>IF(COUNTIFS('LANÇAMENTOS DIÁRIOS'!$G$5:$G$500,"C",'LANÇAMENTOS DIÁRIOS'!$C$5:$C$500,$A85,'LANÇAMENTOS DIÁRIOS'!$O$5:$O$500,"&lt;=97899",'LANÇAMENTOS DIÁRIOS'!$P$5:$P$500,"&gt;=97800")&gt;0,"X","")</f>
      </c>
      <c r="P85" s="56" t="str">
        <f>IF(COUNTIFS('LANÇAMENTOS DIÁRIOS'!$G$5:$G$500,"C",'LANÇAMENTOS DIÁRIOS'!$C$5:$C$500,$A85,'LANÇAMENTOS DIÁRIOS'!$O$5:$O$500,"&lt;=97999",'LANÇAMENTOS DIÁRIOS'!$P$5:$P$500,"&gt;=97900")&gt;0,"X","")</f>
      </c>
      <c r="Q85" s="56" t="str">
        <f>IF(COUNTIFS('LANÇAMENTOS DIÁRIOS'!$G$5:$G$500,"C",'LANÇAMENTOS DIÁRIOS'!$C$5:$C$500,$A85,'LANÇAMENTOS DIÁRIOS'!$O$5:$O$500,"&lt;=98099",'LANÇAMENTOS DIÁRIOS'!$P$5:$P$500,"&gt;=98000")&gt;0,"X","")</f>
      </c>
      <c r="R85" s="56" t="str">
        <f>IF(COUNTIFS('LANÇAMENTOS DIÁRIOS'!$G$5:$G$500,"C",'LANÇAMENTOS DIÁRIOS'!$C$5:$C$500,$A85,'LANÇAMENTOS DIÁRIOS'!$O$5:$O$500,"&lt;=98199",'LANÇAMENTOS DIÁRIOS'!$P$5:$P$500,"&gt;=98100")&gt;0,"X","")</f>
      </c>
      <c r="S85" s="56" t="str">
        <f>IF(COUNTIFS('LANÇAMENTOS DIÁRIOS'!$G$5:$G$500,"C",'LANÇAMENTOS DIÁRIOS'!$C$5:$C$500,$A85,'LANÇAMENTOS DIÁRIOS'!$O$5:$O$500,"&lt;=98299",'LANÇAMENTOS DIÁRIOS'!$P$5:$P$500,"&gt;=98200")&gt;0,"X","")</f>
      </c>
      <c r="T85" s="56" t="str">
        <f>IF(COUNTIFS('LANÇAMENTOS DIÁRIOS'!$G$5:$G$500,"C",'LANÇAMENTOS DIÁRIOS'!$C$5:$C$500,$A85,'LANÇAMENTOS DIÁRIOS'!$O$5:$O$500,"&lt;=98399",'LANÇAMENTOS DIÁRIOS'!$P$5:$P$500,"&gt;=98300")&gt;0,"X","")</f>
      </c>
      <c r="U85" s="56" t="str">
        <f>IF(COUNTIFS('LANÇAMENTOS DIÁRIOS'!$G$5:$G$500,"C",'LANÇAMENTOS DIÁRIOS'!$C$5:$C$500,$A85,'LANÇAMENTOS DIÁRIOS'!$O$5:$O$500,"&lt;=98499",'LANÇAMENTOS DIÁRIOS'!$P$5:$P$500,"&gt;=98400")&gt;0,"X","")</f>
      </c>
      <c r="V85" s="56" t="str">
        <f>IF(COUNTIFS('LANÇAMENTOS DIÁRIOS'!$G$5:$G$500,"C",'LANÇAMENTOS DIÁRIOS'!$C$5:$C$500,$A85,'LANÇAMENTOS DIÁRIOS'!$O$5:$O$500,"&lt;=98599",'LANÇAMENTOS DIÁRIOS'!$P$5:$P$500,"&gt;=98500")&gt;0,"X","")</f>
      </c>
      <c r="W85" s="56" t="str">
        <f>IF(COUNTIFS('LANÇAMENTOS DIÁRIOS'!$G$5:$G$500,"C",'LANÇAMENTOS DIÁRIOS'!$C$5:$C$500,$A85,'LANÇAMENTOS DIÁRIOS'!$O$5:$O$500,"&lt;=98699",'LANÇAMENTOS DIÁRIOS'!$P$5:$P$500,"&gt;=98600")&gt;0,"X","")</f>
      </c>
      <c r="X85" s="56" t="str">
        <f>IF(COUNTIFS('LANÇAMENTOS DIÁRIOS'!$G$5:$G$500,"C",'LANÇAMENTOS DIÁRIOS'!$C$5:$C$500,$A85,'LANÇAMENTOS DIÁRIOS'!$O$5:$O$500,"&lt;=98799",'LANÇAMENTOS DIÁRIOS'!$P$5:$P$500,"&gt;=98700")&gt;0,"X","")</f>
      </c>
      <c r="Y85" s="56" t="str">
        <f>IF(COUNTIFS('LANÇAMENTOS DIÁRIOS'!$G$5:$G$500,"C",'LANÇAMENTOS DIÁRIOS'!$C$5:$C$500,$A85,'LANÇAMENTOS DIÁRIOS'!$O$5:$O$500,"&lt;=98899",'LANÇAMENTOS DIÁRIOS'!$P$5:$P$500,"&gt;=98800")&gt;0,"X","")</f>
      </c>
      <c r="Z85" s="56" t="str">
        <f>IF(COUNTIFS('LANÇAMENTOS DIÁRIOS'!$G$5:$G$500,"C",'LANÇAMENTOS DIÁRIOS'!$C$5:$C$500,$A85,'LANÇAMENTOS DIÁRIOS'!$O$5:$O$500,"&lt;=98999",'LANÇAMENTOS DIÁRIOS'!$P$5:$P$500,"&gt;=98900")&gt;0,"X","")</f>
      </c>
      <c r="AA85" s="56" t="str">
        <f>IF(COUNTIFS('LANÇAMENTOS DIÁRIOS'!$G$5:$G$500,"C",'LANÇAMENTOS DIÁRIOS'!$C$5:$C$500,$A85,'LANÇAMENTOS DIÁRIOS'!$O$5:$O$500,"&lt;=99099",'LANÇAMENTOS DIÁRIOS'!$P$5:$P$500,"&gt;=99000")&gt;0,"X","")</f>
      </c>
      <c r="AB85" s="56" t="str">
        <f>IF(COUNTIFS('LANÇAMENTOS DIÁRIOS'!$G$5:$G$500,"C",'LANÇAMENTOS DIÁRIOS'!$C$5:$C$500,$A85,'LANÇAMENTOS DIÁRIOS'!$O$5:$O$500,"&lt;=99199",'LANÇAMENTOS DIÁRIOS'!$P$5:$P$500,"&gt;=99100")&gt;0,"X","")</f>
      </c>
      <c r="AC85" s="56" t="str">
        <f>IF(COUNTIFS('LANÇAMENTOS DIÁRIOS'!$G$5:$G$500,"C",'LANÇAMENTOS DIÁRIOS'!$C$5:$C$500,$A85,'LANÇAMENTOS DIÁRIOS'!$O$5:$O$500,"&lt;=99299",'LANÇAMENTOS DIÁRIOS'!$P$5:$P$500,"&gt;=99200")&gt;0,"X","")</f>
      </c>
      <c r="AD85" s="56" t="str">
        <f>IF(COUNTIFS('LANÇAMENTOS DIÁRIOS'!$G$5:$G$500,"C",'LANÇAMENTOS DIÁRIOS'!$C$5:$C$500,$A85,'LANÇAMENTOS DIÁRIOS'!$O$5:$O$500,"&lt;=99399",'LANÇAMENTOS DIÁRIOS'!$P$5:$P$500,"&gt;=99300")&gt;0,"X","")</f>
      </c>
      <c r="AE85" s="56" t="str">
        <f>IF(COUNTIFS('LANÇAMENTOS DIÁRIOS'!$G$5:$G$500,"C",'LANÇAMENTOS DIÁRIOS'!$C$5:$C$500,$A85,'LANÇAMENTOS DIÁRIOS'!$O$5:$O$500,"&lt;=99499",'LANÇAMENTOS DIÁRIOS'!$P$5:$P$500,"&gt;=99400")&gt;0,"X","")</f>
      </c>
      <c r="AF85" s="56" t="str">
        <f>IF(COUNTIFS('LANÇAMENTOS DIÁRIOS'!$G$5:$G$500,"C",'LANÇAMENTOS DIÁRIOS'!$C$5:$C$500,$A85,'LANÇAMENTOS DIÁRIOS'!$O$5:$O$500,"&lt;=99599",'LANÇAMENTOS DIÁRIOS'!$P$5:$P$500,"&gt;=99500")&gt;0,"X","")</f>
      </c>
      <c r="AG85" s="56" t="str">
        <f>IF(COUNTIFS('LANÇAMENTOS DIÁRIOS'!$G$5:$G$500,"C",'LANÇAMENTOS DIÁRIOS'!$C$5:$C$500,$A85,'LANÇAMENTOS DIÁRIOS'!$O$5:$O$500,"&lt;=99699",'LANÇAMENTOS DIÁRIOS'!$P$5:$P$500,"&gt;=99600")&gt;0,"X","")</f>
      </c>
      <c r="AH85" s="56" t="str">
        <f>IF(COUNTIFS('LANÇAMENTOS DIÁRIOS'!$G$5:$G$500,"C",'LANÇAMENTOS DIÁRIOS'!$C$5:$C$500,$A85,'LANÇAMENTOS DIÁRIOS'!$O$5:$O$500,"&lt;=99799",'LANÇAMENTOS DIÁRIOS'!$P$5:$P$500,"&gt;=99700")&gt;0,"X","")</f>
      </c>
      <c r="AI85" s="56" t="str">
        <f>IF(COUNTIFS('LANÇAMENTOS DIÁRIOS'!$G$5:$G$500,"C",'LANÇAMENTOS DIÁRIOS'!$C$5:$C$500,$A85,'LANÇAMENTOS DIÁRIOS'!$O$5:$O$500,"&lt;=99899",'LANÇAMENTOS DIÁRIOS'!$P$5:$P$500,"&gt;=99800")&gt;0,"X","")</f>
      </c>
      <c r="AJ85" s="56" t="str">
        <f>IF(COUNTIFS('LANÇAMENTOS DIÁRIOS'!$G$5:$G$500,"C",'LANÇAMENTOS DIÁRIOS'!$C$5:$C$500,$A85,'LANÇAMENTOS DIÁRIOS'!$O$5:$O$500,"&lt;=99999",'LANÇAMENTOS DIÁRIOS'!$P$5:$P$500,"&gt;=99900")&gt;0,"X","")</f>
      </c>
      <c r="AK85" s="56" t="str">
        <f>IF(COUNTIFS('LANÇAMENTOS DIÁRIOS'!$G$5:$G$500,"C",'LANÇAMENTOS DIÁRIOS'!$C$5:$C$500,$A85,'LANÇAMENTOS DIÁRIOS'!$O$5:$O$500,"&lt;=100099",'LANÇAMENTOS DIÁRIOS'!$P$5:$P$500,"&gt;=100000")&gt;0,"X","")</f>
      </c>
      <c r="AL85" s="56" t="str">
        <f>IF(COUNTIFS('LANÇAMENTOS DIÁRIOS'!$G$5:$G$500,"C",'LANÇAMENTOS DIÁRIOS'!$C$5:$C$500,$A85,'LANÇAMENTOS DIÁRIOS'!$O$5:$O$500,"&lt;=100199",'LANÇAMENTOS DIÁRIOS'!$P$5:$P$500,"&gt;=100100")&gt;0,"X","")</f>
      </c>
      <c r="AM85" s="56" t="str">
        <f>IF(COUNTIFS('LANÇAMENTOS DIÁRIOS'!$G$5:$G$500,"C",'LANÇAMENTOS DIÁRIOS'!$C$5:$C$500,$A85,'LANÇAMENTOS DIÁRIOS'!$O$5:$O$500,"&lt;=100299",'LANÇAMENTOS DIÁRIOS'!$P$5:$P$500,"&gt;=100200")&gt;0,"X","")</f>
      </c>
      <c r="AN85" s="56" t="str">
        <f>IF(COUNTIFS('LANÇAMENTOS DIÁRIOS'!$G$5:$G$500,"C",'LANÇAMENTOS DIÁRIOS'!$C$5:$C$500,$A85,'LANÇAMENTOS DIÁRIOS'!$O$5:$O$500,"&lt;=100399",'LANÇAMENTOS DIÁRIOS'!$P$5:$P$500,"&gt;=100300")&gt;0,"X","")</f>
      </c>
      <c r="AO85" s="56" t="str">
        <f>IF(COUNTIFS('LANÇAMENTOS DIÁRIOS'!$G$5:$G$500,"C",'LANÇAMENTOS DIÁRIOS'!$C$5:$C$500,$A85,'LANÇAMENTOS DIÁRIOS'!$O$5:$O$500,"&lt;=100499",'LANÇAMENTOS DIÁRIOS'!$P$5:$P$500,"&gt;=100400")&gt;0,"X","")</f>
      </c>
      <c r="AP85" s="56" t="str">
        <f>IF(COUNTIFS('LANÇAMENTOS DIÁRIOS'!$G$5:$G$500,"C",'LANÇAMENTOS DIÁRIOS'!$C$5:$C$500,$A85,'LANÇAMENTOS DIÁRIOS'!$O$5:$O$500,"&lt;=100500",'LANÇAMENTOS DIÁRIOS'!$P$5:$P$500,"&gt;=100500")&gt;0,"X","")</f>
      </c>
    </row>
    <row r="86">
      <c r="A86" s="51" t="str">
        <v>Imprimadura ligante, sem fornecimento de materiais</v>
      </c>
      <c r="B86" s="56" t="str">
        <f>IF(COUNTIFS('LANÇAMENTOS DIÁRIOS'!$G$5:$G$500,"C",'LANÇAMENTOS DIÁRIOS'!$C$5:$C$500,$A86,'LANÇAMENTOS DIÁRIOS'!$O$5:$O$500,"&lt;=96599",'LANÇAMENTOS DIÁRIOS'!$P$5:$P$500,"&gt;=96500")&gt;0,"X","")</f>
      </c>
      <c r="C86" s="56" t="str">
        <f>IF(COUNTIFS('LANÇAMENTOS DIÁRIOS'!$G$5:$G$500,"C",'LANÇAMENTOS DIÁRIOS'!$C$5:$C$500,$A86,'LANÇAMENTOS DIÁRIOS'!$O$5:$O$500,"&lt;=96699",'LANÇAMENTOS DIÁRIOS'!$P$5:$P$500,"&gt;=96600")&gt;0,"X","")</f>
      </c>
      <c r="D86" s="56" t="str">
        <f>IF(COUNTIFS('LANÇAMENTOS DIÁRIOS'!$G$5:$G$500,"C",'LANÇAMENTOS DIÁRIOS'!$C$5:$C$500,$A86,'LANÇAMENTOS DIÁRIOS'!$O$5:$O$500,"&lt;=96799",'LANÇAMENTOS DIÁRIOS'!$P$5:$P$500,"&gt;=96700")&gt;0,"X","")</f>
      </c>
      <c r="E86" s="56" t="str">
        <f>IF(COUNTIFS('LANÇAMENTOS DIÁRIOS'!$G$5:$G$500,"C",'LANÇAMENTOS DIÁRIOS'!$C$5:$C$500,$A86,'LANÇAMENTOS DIÁRIOS'!$O$5:$O$500,"&lt;=96899",'LANÇAMENTOS DIÁRIOS'!$P$5:$P$500,"&gt;=96800")&gt;0,"X","")</f>
      </c>
      <c r="F86" s="56" t="str">
        <f>IF(COUNTIFS('LANÇAMENTOS DIÁRIOS'!$G$5:$G$500,"C",'LANÇAMENTOS DIÁRIOS'!$C$5:$C$500,$A86,'LANÇAMENTOS DIÁRIOS'!$O$5:$O$500,"&lt;=96999",'LANÇAMENTOS DIÁRIOS'!$P$5:$P$500,"&gt;=96900")&gt;0,"X","")</f>
      </c>
      <c r="G86" s="56" t="str">
        <f>IF(COUNTIFS('LANÇAMENTOS DIÁRIOS'!$G$5:$G$500,"C",'LANÇAMENTOS DIÁRIOS'!$C$5:$C$500,$A86,'LANÇAMENTOS DIÁRIOS'!$O$5:$O$500,"&lt;=97099",'LANÇAMENTOS DIÁRIOS'!$P$5:$P$500,"&gt;=97000")&gt;0,"X","")</f>
      </c>
      <c r="H86" s="56" t="str">
        <f>IF(COUNTIFS('LANÇAMENTOS DIÁRIOS'!$G$5:$G$500,"C",'LANÇAMENTOS DIÁRIOS'!$C$5:$C$500,$A86,'LANÇAMENTOS DIÁRIOS'!$O$5:$O$500,"&lt;=97199",'LANÇAMENTOS DIÁRIOS'!$P$5:$P$500,"&gt;=97100")&gt;0,"X","")</f>
      </c>
      <c r="I86" s="56" t="str">
        <f>IF(COUNTIFS('LANÇAMENTOS DIÁRIOS'!$G$5:$G$500,"C",'LANÇAMENTOS DIÁRIOS'!$C$5:$C$500,$A86,'LANÇAMENTOS DIÁRIOS'!$O$5:$O$500,"&lt;=97299",'LANÇAMENTOS DIÁRIOS'!$P$5:$P$500,"&gt;=97200")&gt;0,"X","")</f>
      </c>
      <c r="J86" s="56" t="str">
        <f>IF(COUNTIFS('LANÇAMENTOS DIÁRIOS'!$G$5:$G$500,"C",'LANÇAMENTOS DIÁRIOS'!$C$5:$C$500,$A86,'LANÇAMENTOS DIÁRIOS'!$O$5:$O$500,"&lt;=97399",'LANÇAMENTOS DIÁRIOS'!$P$5:$P$500,"&gt;=97300")&gt;0,"X","")</f>
      </c>
      <c r="K86" s="56" t="str">
        <f>IF(COUNTIFS('LANÇAMENTOS DIÁRIOS'!$G$5:$G$500,"C",'LANÇAMENTOS DIÁRIOS'!$C$5:$C$500,$A86,'LANÇAMENTOS DIÁRIOS'!$O$5:$O$500,"&lt;=97499",'LANÇAMENTOS DIÁRIOS'!$P$5:$P$500,"&gt;=97400")&gt;0,"X","")</f>
      </c>
      <c r="L86" s="56" t="str">
        <f>IF(COUNTIFS('LANÇAMENTOS DIÁRIOS'!$G$5:$G$500,"C",'LANÇAMENTOS DIÁRIOS'!$C$5:$C$500,$A86,'LANÇAMENTOS DIÁRIOS'!$O$5:$O$500,"&lt;=97599",'LANÇAMENTOS DIÁRIOS'!$P$5:$P$500,"&gt;=97500")&gt;0,"X","")</f>
      </c>
      <c r="M86" s="56" t="str">
        <f>IF(COUNTIFS('LANÇAMENTOS DIÁRIOS'!$G$5:$G$500,"C",'LANÇAMENTOS DIÁRIOS'!$C$5:$C$500,$A86,'LANÇAMENTOS DIÁRIOS'!$O$5:$O$500,"&lt;=97699",'LANÇAMENTOS DIÁRIOS'!$P$5:$P$500,"&gt;=97600")&gt;0,"X","")</f>
      </c>
      <c r="N86" s="56" t="str">
        <f>IF(COUNTIFS('LANÇAMENTOS DIÁRIOS'!$G$5:$G$500,"C",'LANÇAMENTOS DIÁRIOS'!$C$5:$C$500,$A86,'LANÇAMENTOS DIÁRIOS'!$O$5:$O$500,"&lt;=97799",'LANÇAMENTOS DIÁRIOS'!$P$5:$P$500,"&gt;=97700")&gt;0,"X","")</f>
      </c>
      <c r="O86" s="56" t="str">
        <f>IF(COUNTIFS('LANÇAMENTOS DIÁRIOS'!$G$5:$G$500,"C",'LANÇAMENTOS DIÁRIOS'!$C$5:$C$500,$A86,'LANÇAMENTOS DIÁRIOS'!$O$5:$O$500,"&lt;=97899",'LANÇAMENTOS DIÁRIOS'!$P$5:$P$500,"&gt;=97800")&gt;0,"X","")</f>
      </c>
      <c r="P86" s="56" t="str">
        <f>IF(COUNTIFS('LANÇAMENTOS DIÁRIOS'!$G$5:$G$500,"C",'LANÇAMENTOS DIÁRIOS'!$C$5:$C$500,$A86,'LANÇAMENTOS DIÁRIOS'!$O$5:$O$500,"&lt;=97999",'LANÇAMENTOS DIÁRIOS'!$P$5:$P$500,"&gt;=97900")&gt;0,"X","")</f>
      </c>
      <c r="Q86" s="56" t="str">
        <f>IF(COUNTIFS('LANÇAMENTOS DIÁRIOS'!$G$5:$G$500,"C",'LANÇAMENTOS DIÁRIOS'!$C$5:$C$500,$A86,'LANÇAMENTOS DIÁRIOS'!$O$5:$O$500,"&lt;=98099",'LANÇAMENTOS DIÁRIOS'!$P$5:$P$500,"&gt;=98000")&gt;0,"X","")</f>
      </c>
      <c r="R86" s="56" t="str">
        <f>IF(COUNTIFS('LANÇAMENTOS DIÁRIOS'!$G$5:$G$500,"C",'LANÇAMENTOS DIÁRIOS'!$C$5:$C$500,$A86,'LANÇAMENTOS DIÁRIOS'!$O$5:$O$500,"&lt;=98199",'LANÇAMENTOS DIÁRIOS'!$P$5:$P$500,"&gt;=98100")&gt;0,"X","")</f>
      </c>
      <c r="S86" s="56" t="str">
        <f>IF(COUNTIFS('LANÇAMENTOS DIÁRIOS'!$G$5:$G$500,"C",'LANÇAMENTOS DIÁRIOS'!$C$5:$C$500,$A86,'LANÇAMENTOS DIÁRIOS'!$O$5:$O$500,"&lt;=98299",'LANÇAMENTOS DIÁRIOS'!$P$5:$P$500,"&gt;=98200")&gt;0,"X","")</f>
      </c>
      <c r="T86" s="56" t="str">
        <f>IF(COUNTIFS('LANÇAMENTOS DIÁRIOS'!$G$5:$G$500,"C",'LANÇAMENTOS DIÁRIOS'!$C$5:$C$500,$A86,'LANÇAMENTOS DIÁRIOS'!$O$5:$O$500,"&lt;=98399",'LANÇAMENTOS DIÁRIOS'!$P$5:$P$500,"&gt;=98300")&gt;0,"X","")</f>
      </c>
      <c r="U86" s="56" t="str">
        <f>IF(COUNTIFS('LANÇAMENTOS DIÁRIOS'!$G$5:$G$500,"C",'LANÇAMENTOS DIÁRIOS'!$C$5:$C$500,$A86,'LANÇAMENTOS DIÁRIOS'!$O$5:$O$500,"&lt;=98499",'LANÇAMENTOS DIÁRIOS'!$P$5:$P$500,"&gt;=98400")&gt;0,"X","")</f>
      </c>
      <c r="V86" s="56" t="str">
        <f>IF(COUNTIFS('LANÇAMENTOS DIÁRIOS'!$G$5:$G$500,"C",'LANÇAMENTOS DIÁRIOS'!$C$5:$C$500,$A86,'LANÇAMENTOS DIÁRIOS'!$O$5:$O$500,"&lt;=98599",'LANÇAMENTOS DIÁRIOS'!$P$5:$P$500,"&gt;=98500")&gt;0,"X","")</f>
      </c>
      <c r="W86" s="56" t="str">
        <f>IF(COUNTIFS('LANÇAMENTOS DIÁRIOS'!$G$5:$G$500,"C",'LANÇAMENTOS DIÁRIOS'!$C$5:$C$500,$A86,'LANÇAMENTOS DIÁRIOS'!$O$5:$O$500,"&lt;=98699",'LANÇAMENTOS DIÁRIOS'!$P$5:$P$500,"&gt;=98600")&gt;0,"X","")</f>
      </c>
      <c r="X86" s="56" t="str">
        <f>IF(COUNTIFS('LANÇAMENTOS DIÁRIOS'!$G$5:$G$500,"C",'LANÇAMENTOS DIÁRIOS'!$C$5:$C$500,$A86,'LANÇAMENTOS DIÁRIOS'!$O$5:$O$500,"&lt;=98799",'LANÇAMENTOS DIÁRIOS'!$P$5:$P$500,"&gt;=98700")&gt;0,"X","")</f>
      </c>
      <c r="Y86" s="56" t="str">
        <f>IF(COUNTIFS('LANÇAMENTOS DIÁRIOS'!$G$5:$G$500,"C",'LANÇAMENTOS DIÁRIOS'!$C$5:$C$500,$A86,'LANÇAMENTOS DIÁRIOS'!$O$5:$O$500,"&lt;=98899",'LANÇAMENTOS DIÁRIOS'!$P$5:$P$500,"&gt;=98800")&gt;0,"X","")</f>
      </c>
      <c r="Z86" s="56" t="str">
        <f>IF(COUNTIFS('LANÇAMENTOS DIÁRIOS'!$G$5:$G$500,"C",'LANÇAMENTOS DIÁRIOS'!$C$5:$C$500,$A86,'LANÇAMENTOS DIÁRIOS'!$O$5:$O$500,"&lt;=98999",'LANÇAMENTOS DIÁRIOS'!$P$5:$P$500,"&gt;=98900")&gt;0,"X","")</f>
      </c>
      <c r="AA86" s="56" t="str">
        <f>IF(COUNTIFS('LANÇAMENTOS DIÁRIOS'!$G$5:$G$500,"C",'LANÇAMENTOS DIÁRIOS'!$C$5:$C$500,$A86,'LANÇAMENTOS DIÁRIOS'!$O$5:$O$500,"&lt;=99099",'LANÇAMENTOS DIÁRIOS'!$P$5:$P$500,"&gt;=99000")&gt;0,"X","")</f>
      </c>
      <c r="AB86" s="56" t="str">
        <f>IF(COUNTIFS('LANÇAMENTOS DIÁRIOS'!$G$5:$G$500,"C",'LANÇAMENTOS DIÁRIOS'!$C$5:$C$500,$A86,'LANÇAMENTOS DIÁRIOS'!$O$5:$O$500,"&lt;=99199",'LANÇAMENTOS DIÁRIOS'!$P$5:$P$500,"&gt;=99100")&gt;0,"X","")</f>
      </c>
      <c r="AC86" s="56" t="str">
        <f>IF(COUNTIFS('LANÇAMENTOS DIÁRIOS'!$G$5:$G$500,"C",'LANÇAMENTOS DIÁRIOS'!$C$5:$C$500,$A86,'LANÇAMENTOS DIÁRIOS'!$O$5:$O$500,"&lt;=99299",'LANÇAMENTOS DIÁRIOS'!$P$5:$P$500,"&gt;=99200")&gt;0,"X","")</f>
      </c>
      <c r="AD86" s="56" t="str">
        <f>IF(COUNTIFS('LANÇAMENTOS DIÁRIOS'!$G$5:$G$500,"C",'LANÇAMENTOS DIÁRIOS'!$C$5:$C$500,$A86,'LANÇAMENTOS DIÁRIOS'!$O$5:$O$500,"&lt;=99399",'LANÇAMENTOS DIÁRIOS'!$P$5:$P$500,"&gt;=99300")&gt;0,"X","")</f>
      </c>
      <c r="AE86" s="56" t="str">
        <f>IF(COUNTIFS('LANÇAMENTOS DIÁRIOS'!$G$5:$G$500,"C",'LANÇAMENTOS DIÁRIOS'!$C$5:$C$500,$A86,'LANÇAMENTOS DIÁRIOS'!$O$5:$O$500,"&lt;=99499",'LANÇAMENTOS DIÁRIOS'!$P$5:$P$500,"&gt;=99400")&gt;0,"X","")</f>
      </c>
      <c r="AF86" s="56" t="str">
        <f>IF(COUNTIFS('LANÇAMENTOS DIÁRIOS'!$G$5:$G$500,"C",'LANÇAMENTOS DIÁRIOS'!$C$5:$C$500,$A86,'LANÇAMENTOS DIÁRIOS'!$O$5:$O$500,"&lt;=99599",'LANÇAMENTOS DIÁRIOS'!$P$5:$P$500,"&gt;=99500")&gt;0,"X","")</f>
      </c>
      <c r="AG86" s="56" t="str">
        <f>IF(COUNTIFS('LANÇAMENTOS DIÁRIOS'!$G$5:$G$500,"C",'LANÇAMENTOS DIÁRIOS'!$C$5:$C$500,$A86,'LANÇAMENTOS DIÁRIOS'!$O$5:$O$500,"&lt;=99699",'LANÇAMENTOS DIÁRIOS'!$P$5:$P$500,"&gt;=99600")&gt;0,"X","")</f>
      </c>
      <c r="AH86" s="56" t="str">
        <f>IF(COUNTIFS('LANÇAMENTOS DIÁRIOS'!$G$5:$G$500,"C",'LANÇAMENTOS DIÁRIOS'!$C$5:$C$500,$A86,'LANÇAMENTOS DIÁRIOS'!$O$5:$O$500,"&lt;=99799",'LANÇAMENTOS DIÁRIOS'!$P$5:$P$500,"&gt;=99700")&gt;0,"X","")</f>
      </c>
      <c r="AI86" s="56" t="str">
        <f>IF(COUNTIFS('LANÇAMENTOS DIÁRIOS'!$G$5:$G$500,"C",'LANÇAMENTOS DIÁRIOS'!$C$5:$C$500,$A86,'LANÇAMENTOS DIÁRIOS'!$O$5:$O$500,"&lt;=99899",'LANÇAMENTOS DIÁRIOS'!$P$5:$P$500,"&gt;=99800")&gt;0,"X","")</f>
      </c>
      <c r="AJ86" s="56" t="str">
        <f>IF(COUNTIFS('LANÇAMENTOS DIÁRIOS'!$G$5:$G$500,"C",'LANÇAMENTOS DIÁRIOS'!$C$5:$C$500,$A86,'LANÇAMENTOS DIÁRIOS'!$O$5:$O$500,"&lt;=99999",'LANÇAMENTOS DIÁRIOS'!$P$5:$P$500,"&gt;=99900")&gt;0,"X","")</f>
      </c>
      <c r="AK86" s="56" t="str">
        <f>IF(COUNTIFS('LANÇAMENTOS DIÁRIOS'!$G$5:$G$500,"C",'LANÇAMENTOS DIÁRIOS'!$C$5:$C$500,$A86,'LANÇAMENTOS DIÁRIOS'!$O$5:$O$500,"&lt;=100099",'LANÇAMENTOS DIÁRIOS'!$P$5:$P$500,"&gt;=100000")&gt;0,"X","")</f>
      </c>
      <c r="AL86" s="56" t="str">
        <f>IF(COUNTIFS('LANÇAMENTOS DIÁRIOS'!$G$5:$G$500,"C",'LANÇAMENTOS DIÁRIOS'!$C$5:$C$500,$A86,'LANÇAMENTOS DIÁRIOS'!$O$5:$O$500,"&lt;=100199",'LANÇAMENTOS DIÁRIOS'!$P$5:$P$500,"&gt;=100100")&gt;0,"X","")</f>
      </c>
      <c r="AM86" s="56" t="str">
        <f>IF(COUNTIFS('LANÇAMENTOS DIÁRIOS'!$G$5:$G$500,"C",'LANÇAMENTOS DIÁRIOS'!$C$5:$C$500,$A86,'LANÇAMENTOS DIÁRIOS'!$O$5:$O$500,"&lt;=100299",'LANÇAMENTOS DIÁRIOS'!$P$5:$P$500,"&gt;=100200")&gt;0,"X","")</f>
      </c>
      <c r="AN86" s="56" t="str">
        <f>IF(COUNTIFS('LANÇAMENTOS DIÁRIOS'!$G$5:$G$500,"C",'LANÇAMENTOS DIÁRIOS'!$C$5:$C$500,$A86,'LANÇAMENTOS DIÁRIOS'!$O$5:$O$500,"&lt;=100399",'LANÇAMENTOS DIÁRIOS'!$P$5:$P$500,"&gt;=100300")&gt;0,"X","")</f>
      </c>
      <c r="AO86" s="56" t="str">
        <f>IF(COUNTIFS('LANÇAMENTOS DIÁRIOS'!$G$5:$G$500,"C",'LANÇAMENTOS DIÁRIOS'!$C$5:$C$500,$A86,'LANÇAMENTOS DIÁRIOS'!$O$5:$O$500,"&lt;=100499",'LANÇAMENTOS DIÁRIOS'!$P$5:$P$500,"&gt;=100400")&gt;0,"X","")</f>
      </c>
      <c r="AP86" s="56" t="str">
        <f>IF(COUNTIFS('LANÇAMENTOS DIÁRIOS'!$G$5:$G$500,"C",'LANÇAMENTOS DIÁRIOS'!$C$5:$C$500,$A86,'LANÇAMENTOS DIÁRIOS'!$O$5:$O$500,"&lt;=100500",'LANÇAMENTOS DIÁRIOS'!$P$5:$P$500,"&gt;=100500")&gt;0,"X","")</f>
      </c>
    </row>
    <row r="87">
      <c r="A87" s="51" t="str">
        <v>Concreto betuminoso usinado a quente SPV 16 mm, modificado por borracha, sem o fornecimento de CAP</v>
      </c>
      <c r="B87" s="56" t="str">
        <f>IF(COUNTIFS('LANÇAMENTOS DIÁRIOS'!$G$5:$G$500,"C",'LANÇAMENTOS DIÁRIOS'!$C$5:$C$500,$A87,'LANÇAMENTOS DIÁRIOS'!$O$5:$O$500,"&lt;=96599",'LANÇAMENTOS DIÁRIOS'!$P$5:$P$500,"&gt;=96500")&gt;0,"X","")</f>
      </c>
      <c r="C87" s="56" t="str">
        <f>IF(COUNTIFS('LANÇAMENTOS DIÁRIOS'!$G$5:$G$500,"C",'LANÇAMENTOS DIÁRIOS'!$C$5:$C$500,$A87,'LANÇAMENTOS DIÁRIOS'!$O$5:$O$500,"&lt;=96699",'LANÇAMENTOS DIÁRIOS'!$P$5:$P$500,"&gt;=96600")&gt;0,"X","")</f>
      </c>
      <c r="D87" s="56" t="str">
        <f>IF(COUNTIFS('LANÇAMENTOS DIÁRIOS'!$G$5:$G$500,"C",'LANÇAMENTOS DIÁRIOS'!$C$5:$C$500,$A87,'LANÇAMENTOS DIÁRIOS'!$O$5:$O$500,"&lt;=96799",'LANÇAMENTOS DIÁRIOS'!$P$5:$P$500,"&gt;=96700")&gt;0,"X","")</f>
      </c>
      <c r="E87" s="56" t="str">
        <f>IF(COUNTIFS('LANÇAMENTOS DIÁRIOS'!$G$5:$G$500,"C",'LANÇAMENTOS DIÁRIOS'!$C$5:$C$500,$A87,'LANÇAMENTOS DIÁRIOS'!$O$5:$O$500,"&lt;=96899",'LANÇAMENTOS DIÁRIOS'!$P$5:$P$500,"&gt;=96800")&gt;0,"X","")</f>
      </c>
      <c r="F87" s="56" t="str">
        <f>IF(COUNTIFS('LANÇAMENTOS DIÁRIOS'!$G$5:$G$500,"C",'LANÇAMENTOS DIÁRIOS'!$C$5:$C$500,$A87,'LANÇAMENTOS DIÁRIOS'!$O$5:$O$500,"&lt;=96999",'LANÇAMENTOS DIÁRIOS'!$P$5:$P$500,"&gt;=96900")&gt;0,"X","")</f>
      </c>
      <c r="G87" s="56" t="str">
        <f>IF(COUNTIFS('LANÇAMENTOS DIÁRIOS'!$G$5:$G$500,"C",'LANÇAMENTOS DIÁRIOS'!$C$5:$C$500,$A87,'LANÇAMENTOS DIÁRIOS'!$O$5:$O$500,"&lt;=97099",'LANÇAMENTOS DIÁRIOS'!$P$5:$P$500,"&gt;=97000")&gt;0,"X","")</f>
      </c>
      <c r="H87" s="56" t="str">
        <f>IF(COUNTIFS('LANÇAMENTOS DIÁRIOS'!$G$5:$G$500,"C",'LANÇAMENTOS DIÁRIOS'!$C$5:$C$500,$A87,'LANÇAMENTOS DIÁRIOS'!$O$5:$O$500,"&lt;=97199",'LANÇAMENTOS DIÁRIOS'!$P$5:$P$500,"&gt;=97100")&gt;0,"X","")</f>
      </c>
      <c r="I87" s="56" t="str">
        <f>IF(COUNTIFS('LANÇAMENTOS DIÁRIOS'!$G$5:$G$500,"C",'LANÇAMENTOS DIÁRIOS'!$C$5:$C$500,$A87,'LANÇAMENTOS DIÁRIOS'!$O$5:$O$500,"&lt;=97299",'LANÇAMENTOS DIÁRIOS'!$P$5:$P$500,"&gt;=97200")&gt;0,"X","")</f>
      </c>
      <c r="J87" s="56" t="str">
        <f>IF(COUNTIFS('LANÇAMENTOS DIÁRIOS'!$G$5:$G$500,"C",'LANÇAMENTOS DIÁRIOS'!$C$5:$C$500,$A87,'LANÇAMENTOS DIÁRIOS'!$O$5:$O$500,"&lt;=97399",'LANÇAMENTOS DIÁRIOS'!$P$5:$P$500,"&gt;=97300")&gt;0,"X","")</f>
      </c>
      <c r="K87" s="56" t="str">
        <f>IF(COUNTIFS('LANÇAMENTOS DIÁRIOS'!$G$5:$G$500,"C",'LANÇAMENTOS DIÁRIOS'!$C$5:$C$500,$A87,'LANÇAMENTOS DIÁRIOS'!$O$5:$O$500,"&lt;=97499",'LANÇAMENTOS DIÁRIOS'!$P$5:$P$500,"&gt;=97400")&gt;0,"X","")</f>
      </c>
      <c r="L87" s="56" t="str">
        <f>IF(COUNTIFS('LANÇAMENTOS DIÁRIOS'!$G$5:$G$500,"C",'LANÇAMENTOS DIÁRIOS'!$C$5:$C$500,$A87,'LANÇAMENTOS DIÁRIOS'!$O$5:$O$500,"&lt;=97599",'LANÇAMENTOS DIÁRIOS'!$P$5:$P$500,"&gt;=97500")&gt;0,"X","")</f>
      </c>
      <c r="M87" s="56" t="str">
        <f>IF(COUNTIFS('LANÇAMENTOS DIÁRIOS'!$G$5:$G$500,"C",'LANÇAMENTOS DIÁRIOS'!$C$5:$C$500,$A87,'LANÇAMENTOS DIÁRIOS'!$O$5:$O$500,"&lt;=97699",'LANÇAMENTOS DIÁRIOS'!$P$5:$P$500,"&gt;=97600")&gt;0,"X","")</f>
      </c>
      <c r="N87" s="56" t="str">
        <f>IF(COUNTIFS('LANÇAMENTOS DIÁRIOS'!$G$5:$G$500,"C",'LANÇAMENTOS DIÁRIOS'!$C$5:$C$500,$A87,'LANÇAMENTOS DIÁRIOS'!$O$5:$O$500,"&lt;=97799",'LANÇAMENTOS DIÁRIOS'!$P$5:$P$500,"&gt;=97700")&gt;0,"X","")</f>
      </c>
      <c r="O87" s="56" t="str">
        <f>IF(COUNTIFS('LANÇAMENTOS DIÁRIOS'!$G$5:$G$500,"C",'LANÇAMENTOS DIÁRIOS'!$C$5:$C$500,$A87,'LANÇAMENTOS DIÁRIOS'!$O$5:$O$500,"&lt;=97899",'LANÇAMENTOS DIÁRIOS'!$P$5:$P$500,"&gt;=97800")&gt;0,"X","")</f>
      </c>
      <c r="P87" s="56" t="str">
        <f>IF(COUNTIFS('LANÇAMENTOS DIÁRIOS'!$G$5:$G$500,"C",'LANÇAMENTOS DIÁRIOS'!$C$5:$C$500,$A87,'LANÇAMENTOS DIÁRIOS'!$O$5:$O$500,"&lt;=97999",'LANÇAMENTOS DIÁRIOS'!$P$5:$P$500,"&gt;=97900")&gt;0,"X","")</f>
      </c>
      <c r="Q87" s="56" t="str">
        <f>IF(COUNTIFS('LANÇAMENTOS DIÁRIOS'!$G$5:$G$500,"C",'LANÇAMENTOS DIÁRIOS'!$C$5:$C$500,$A87,'LANÇAMENTOS DIÁRIOS'!$O$5:$O$500,"&lt;=98099",'LANÇAMENTOS DIÁRIOS'!$P$5:$P$500,"&gt;=98000")&gt;0,"X","")</f>
      </c>
      <c r="R87" s="56" t="str">
        <f>IF(COUNTIFS('LANÇAMENTOS DIÁRIOS'!$G$5:$G$500,"C",'LANÇAMENTOS DIÁRIOS'!$C$5:$C$500,$A87,'LANÇAMENTOS DIÁRIOS'!$O$5:$O$500,"&lt;=98199",'LANÇAMENTOS DIÁRIOS'!$P$5:$P$500,"&gt;=98100")&gt;0,"X","")</f>
      </c>
      <c r="S87" s="56" t="str">
        <f>IF(COUNTIFS('LANÇAMENTOS DIÁRIOS'!$G$5:$G$500,"C",'LANÇAMENTOS DIÁRIOS'!$C$5:$C$500,$A87,'LANÇAMENTOS DIÁRIOS'!$O$5:$O$500,"&lt;=98299",'LANÇAMENTOS DIÁRIOS'!$P$5:$P$500,"&gt;=98200")&gt;0,"X","")</f>
      </c>
      <c r="T87" s="56" t="str">
        <f>IF(COUNTIFS('LANÇAMENTOS DIÁRIOS'!$G$5:$G$500,"C",'LANÇAMENTOS DIÁRIOS'!$C$5:$C$500,$A87,'LANÇAMENTOS DIÁRIOS'!$O$5:$O$500,"&lt;=98399",'LANÇAMENTOS DIÁRIOS'!$P$5:$P$500,"&gt;=98300")&gt;0,"X","")</f>
      </c>
      <c r="U87" s="56" t="str">
        <f>IF(COUNTIFS('LANÇAMENTOS DIÁRIOS'!$G$5:$G$500,"C",'LANÇAMENTOS DIÁRIOS'!$C$5:$C$500,$A87,'LANÇAMENTOS DIÁRIOS'!$O$5:$O$500,"&lt;=98499",'LANÇAMENTOS DIÁRIOS'!$P$5:$P$500,"&gt;=98400")&gt;0,"X","")</f>
      </c>
      <c r="V87" s="56" t="str">
        <f>IF(COUNTIFS('LANÇAMENTOS DIÁRIOS'!$G$5:$G$500,"C",'LANÇAMENTOS DIÁRIOS'!$C$5:$C$500,$A87,'LANÇAMENTOS DIÁRIOS'!$O$5:$O$500,"&lt;=98599",'LANÇAMENTOS DIÁRIOS'!$P$5:$P$500,"&gt;=98500")&gt;0,"X","")</f>
      </c>
      <c r="W87" s="56" t="str">
        <f>IF(COUNTIFS('LANÇAMENTOS DIÁRIOS'!$G$5:$G$500,"C",'LANÇAMENTOS DIÁRIOS'!$C$5:$C$500,$A87,'LANÇAMENTOS DIÁRIOS'!$O$5:$O$500,"&lt;=98699",'LANÇAMENTOS DIÁRIOS'!$P$5:$P$500,"&gt;=98600")&gt;0,"X","")</f>
      </c>
      <c r="X87" s="56" t="str">
        <f>IF(COUNTIFS('LANÇAMENTOS DIÁRIOS'!$G$5:$G$500,"C",'LANÇAMENTOS DIÁRIOS'!$C$5:$C$500,$A87,'LANÇAMENTOS DIÁRIOS'!$O$5:$O$500,"&lt;=98799",'LANÇAMENTOS DIÁRIOS'!$P$5:$P$500,"&gt;=98700")&gt;0,"X","")</f>
      </c>
      <c r="Y87" s="56" t="str">
        <f>IF(COUNTIFS('LANÇAMENTOS DIÁRIOS'!$G$5:$G$500,"C",'LANÇAMENTOS DIÁRIOS'!$C$5:$C$500,$A87,'LANÇAMENTOS DIÁRIOS'!$O$5:$O$500,"&lt;=98899",'LANÇAMENTOS DIÁRIOS'!$P$5:$P$500,"&gt;=98800")&gt;0,"X","")</f>
      </c>
      <c r="Z87" s="56" t="str">
        <f>IF(COUNTIFS('LANÇAMENTOS DIÁRIOS'!$G$5:$G$500,"C",'LANÇAMENTOS DIÁRIOS'!$C$5:$C$500,$A87,'LANÇAMENTOS DIÁRIOS'!$O$5:$O$500,"&lt;=98999",'LANÇAMENTOS DIÁRIOS'!$P$5:$P$500,"&gt;=98900")&gt;0,"X","")</f>
      </c>
      <c r="AA87" s="56" t="str">
        <f>IF(COUNTIFS('LANÇAMENTOS DIÁRIOS'!$G$5:$G$500,"C",'LANÇAMENTOS DIÁRIOS'!$C$5:$C$500,$A87,'LANÇAMENTOS DIÁRIOS'!$O$5:$O$500,"&lt;=99099",'LANÇAMENTOS DIÁRIOS'!$P$5:$P$500,"&gt;=99000")&gt;0,"X","")</f>
      </c>
      <c r="AB87" s="56" t="str">
        <f>IF(COUNTIFS('LANÇAMENTOS DIÁRIOS'!$G$5:$G$500,"C",'LANÇAMENTOS DIÁRIOS'!$C$5:$C$500,$A87,'LANÇAMENTOS DIÁRIOS'!$O$5:$O$500,"&lt;=99199",'LANÇAMENTOS DIÁRIOS'!$P$5:$P$500,"&gt;=99100")&gt;0,"X","")</f>
      </c>
      <c r="AC87" s="56" t="str">
        <f>IF(COUNTIFS('LANÇAMENTOS DIÁRIOS'!$G$5:$G$500,"C",'LANÇAMENTOS DIÁRIOS'!$C$5:$C$500,$A87,'LANÇAMENTOS DIÁRIOS'!$O$5:$O$500,"&lt;=99299",'LANÇAMENTOS DIÁRIOS'!$P$5:$P$500,"&gt;=99200")&gt;0,"X","")</f>
      </c>
      <c r="AD87" s="56" t="str">
        <f>IF(COUNTIFS('LANÇAMENTOS DIÁRIOS'!$G$5:$G$500,"C",'LANÇAMENTOS DIÁRIOS'!$C$5:$C$500,$A87,'LANÇAMENTOS DIÁRIOS'!$O$5:$O$500,"&lt;=99399",'LANÇAMENTOS DIÁRIOS'!$P$5:$P$500,"&gt;=99300")&gt;0,"X","")</f>
      </c>
      <c r="AE87" s="56" t="str">
        <f>IF(COUNTIFS('LANÇAMENTOS DIÁRIOS'!$G$5:$G$500,"C",'LANÇAMENTOS DIÁRIOS'!$C$5:$C$500,$A87,'LANÇAMENTOS DIÁRIOS'!$O$5:$O$500,"&lt;=99499",'LANÇAMENTOS DIÁRIOS'!$P$5:$P$500,"&gt;=99400")&gt;0,"X","")</f>
      </c>
      <c r="AF87" s="56" t="str">
        <f>IF(COUNTIFS('LANÇAMENTOS DIÁRIOS'!$G$5:$G$500,"C",'LANÇAMENTOS DIÁRIOS'!$C$5:$C$500,$A87,'LANÇAMENTOS DIÁRIOS'!$O$5:$O$500,"&lt;=99599",'LANÇAMENTOS DIÁRIOS'!$P$5:$P$500,"&gt;=99500")&gt;0,"X","")</f>
      </c>
      <c r="AG87" s="56" t="str">
        <f>IF(COUNTIFS('LANÇAMENTOS DIÁRIOS'!$G$5:$G$500,"C",'LANÇAMENTOS DIÁRIOS'!$C$5:$C$500,$A87,'LANÇAMENTOS DIÁRIOS'!$O$5:$O$500,"&lt;=99699",'LANÇAMENTOS DIÁRIOS'!$P$5:$P$500,"&gt;=99600")&gt;0,"X","")</f>
      </c>
      <c r="AH87" s="56" t="str">
        <f>IF(COUNTIFS('LANÇAMENTOS DIÁRIOS'!$G$5:$G$500,"C",'LANÇAMENTOS DIÁRIOS'!$C$5:$C$500,$A87,'LANÇAMENTOS DIÁRIOS'!$O$5:$O$500,"&lt;=99799",'LANÇAMENTOS DIÁRIOS'!$P$5:$P$500,"&gt;=99700")&gt;0,"X","")</f>
      </c>
      <c r="AI87" s="56" t="str">
        <f>IF(COUNTIFS('LANÇAMENTOS DIÁRIOS'!$G$5:$G$500,"C",'LANÇAMENTOS DIÁRIOS'!$C$5:$C$500,$A87,'LANÇAMENTOS DIÁRIOS'!$O$5:$O$500,"&lt;=99899",'LANÇAMENTOS DIÁRIOS'!$P$5:$P$500,"&gt;=99800")&gt;0,"X","")</f>
      </c>
      <c r="AJ87" s="56" t="str">
        <f>IF(COUNTIFS('LANÇAMENTOS DIÁRIOS'!$G$5:$G$500,"C",'LANÇAMENTOS DIÁRIOS'!$C$5:$C$500,$A87,'LANÇAMENTOS DIÁRIOS'!$O$5:$O$500,"&lt;=99999",'LANÇAMENTOS DIÁRIOS'!$P$5:$P$500,"&gt;=99900")&gt;0,"X","")</f>
      </c>
      <c r="AK87" s="56" t="str">
        <f>IF(COUNTIFS('LANÇAMENTOS DIÁRIOS'!$G$5:$G$500,"C",'LANÇAMENTOS DIÁRIOS'!$C$5:$C$500,$A87,'LANÇAMENTOS DIÁRIOS'!$O$5:$O$500,"&lt;=100099",'LANÇAMENTOS DIÁRIOS'!$P$5:$P$500,"&gt;=100000")&gt;0,"X","")</f>
      </c>
      <c r="AL87" s="56" t="str">
        <f>IF(COUNTIFS('LANÇAMENTOS DIÁRIOS'!$G$5:$G$500,"C",'LANÇAMENTOS DIÁRIOS'!$C$5:$C$500,$A87,'LANÇAMENTOS DIÁRIOS'!$O$5:$O$500,"&lt;=100199",'LANÇAMENTOS DIÁRIOS'!$P$5:$P$500,"&gt;=100100")&gt;0,"X","")</f>
      </c>
      <c r="AM87" s="56" t="str">
        <f>IF(COUNTIFS('LANÇAMENTOS DIÁRIOS'!$G$5:$G$500,"C",'LANÇAMENTOS DIÁRIOS'!$C$5:$C$500,$A87,'LANÇAMENTOS DIÁRIOS'!$O$5:$O$500,"&lt;=100299",'LANÇAMENTOS DIÁRIOS'!$P$5:$P$500,"&gt;=100200")&gt;0,"X","")</f>
      </c>
      <c r="AN87" s="56" t="str">
        <f>IF(COUNTIFS('LANÇAMENTOS DIÁRIOS'!$G$5:$G$500,"C",'LANÇAMENTOS DIÁRIOS'!$C$5:$C$500,$A87,'LANÇAMENTOS DIÁRIOS'!$O$5:$O$500,"&lt;=100399",'LANÇAMENTOS DIÁRIOS'!$P$5:$P$500,"&gt;=100300")&gt;0,"X","")</f>
      </c>
      <c r="AO87" s="56" t="str">
        <f>IF(COUNTIFS('LANÇAMENTOS DIÁRIOS'!$G$5:$G$500,"C",'LANÇAMENTOS DIÁRIOS'!$C$5:$C$500,$A87,'LANÇAMENTOS DIÁRIOS'!$O$5:$O$500,"&lt;=100499",'LANÇAMENTOS DIÁRIOS'!$P$5:$P$500,"&gt;=100400")&gt;0,"X","")</f>
      </c>
      <c r="AP87" s="56" t="str">
        <f>IF(COUNTIFS('LANÇAMENTOS DIÁRIOS'!$G$5:$G$500,"C",'LANÇAMENTOS DIÁRIOS'!$C$5:$C$500,$A87,'LANÇAMENTOS DIÁRIOS'!$O$5:$O$500,"&lt;=100500",'LANÇAMENTOS DIÁRIOS'!$P$5:$P$500,"&gt;=100500")&gt;0,"X","")</f>
      </c>
    </row>
    <row r="88">
      <c r="A88" s="51" t="str">
        <v>Microrrevestimento asfáltico a frio adaptado para acostamentos - Espessura de 25 mm - sem fornecimento de emulsão</v>
      </c>
      <c r="B88" s="56" t="str">
        <f>IF(COUNTIFS('LANÇAMENTOS DIÁRIOS'!$G$5:$G$500,"C",'LANÇAMENTOS DIÁRIOS'!$C$5:$C$500,$A88,'LANÇAMENTOS DIÁRIOS'!$O$5:$O$500,"&lt;=96599",'LANÇAMENTOS DIÁRIOS'!$P$5:$P$500,"&gt;=96500")&gt;0,"X","")</f>
      </c>
      <c r="C88" s="56" t="str">
        <f>IF(COUNTIFS('LANÇAMENTOS DIÁRIOS'!$G$5:$G$500,"C",'LANÇAMENTOS DIÁRIOS'!$C$5:$C$500,$A88,'LANÇAMENTOS DIÁRIOS'!$O$5:$O$500,"&lt;=96699",'LANÇAMENTOS DIÁRIOS'!$P$5:$P$500,"&gt;=96600")&gt;0,"X","")</f>
      </c>
      <c r="D88" s="56" t="str">
        <f>IF(COUNTIFS('LANÇAMENTOS DIÁRIOS'!$G$5:$G$500,"C",'LANÇAMENTOS DIÁRIOS'!$C$5:$C$500,$A88,'LANÇAMENTOS DIÁRIOS'!$O$5:$O$500,"&lt;=96799",'LANÇAMENTOS DIÁRIOS'!$P$5:$P$500,"&gt;=96700")&gt;0,"X","")</f>
      </c>
      <c r="E88" s="56" t="str">
        <f>IF(COUNTIFS('LANÇAMENTOS DIÁRIOS'!$G$5:$G$500,"C",'LANÇAMENTOS DIÁRIOS'!$C$5:$C$500,$A88,'LANÇAMENTOS DIÁRIOS'!$O$5:$O$500,"&lt;=96899",'LANÇAMENTOS DIÁRIOS'!$P$5:$P$500,"&gt;=96800")&gt;0,"X","")</f>
      </c>
      <c r="F88" s="56" t="str">
        <f>IF(COUNTIFS('LANÇAMENTOS DIÁRIOS'!$G$5:$G$500,"C",'LANÇAMENTOS DIÁRIOS'!$C$5:$C$500,$A88,'LANÇAMENTOS DIÁRIOS'!$O$5:$O$500,"&lt;=96999",'LANÇAMENTOS DIÁRIOS'!$P$5:$P$500,"&gt;=96900")&gt;0,"X","")</f>
      </c>
      <c r="G88" s="56" t="str">
        <f>IF(COUNTIFS('LANÇAMENTOS DIÁRIOS'!$G$5:$G$500,"C",'LANÇAMENTOS DIÁRIOS'!$C$5:$C$500,$A88,'LANÇAMENTOS DIÁRIOS'!$O$5:$O$500,"&lt;=97099",'LANÇAMENTOS DIÁRIOS'!$P$5:$P$500,"&gt;=97000")&gt;0,"X","")</f>
      </c>
      <c r="H88" s="56" t="str">
        <f>IF(COUNTIFS('LANÇAMENTOS DIÁRIOS'!$G$5:$G$500,"C",'LANÇAMENTOS DIÁRIOS'!$C$5:$C$500,$A88,'LANÇAMENTOS DIÁRIOS'!$O$5:$O$500,"&lt;=97199",'LANÇAMENTOS DIÁRIOS'!$P$5:$P$500,"&gt;=97100")&gt;0,"X","")</f>
      </c>
      <c r="I88" s="56" t="str">
        <f>IF(COUNTIFS('LANÇAMENTOS DIÁRIOS'!$G$5:$G$500,"C",'LANÇAMENTOS DIÁRIOS'!$C$5:$C$500,$A88,'LANÇAMENTOS DIÁRIOS'!$O$5:$O$500,"&lt;=97299",'LANÇAMENTOS DIÁRIOS'!$P$5:$P$500,"&gt;=97200")&gt;0,"X","")</f>
      </c>
      <c r="J88" s="56" t="str">
        <f>IF(COUNTIFS('LANÇAMENTOS DIÁRIOS'!$G$5:$G$500,"C",'LANÇAMENTOS DIÁRIOS'!$C$5:$C$500,$A88,'LANÇAMENTOS DIÁRIOS'!$O$5:$O$500,"&lt;=97399",'LANÇAMENTOS DIÁRIOS'!$P$5:$P$500,"&gt;=97300")&gt;0,"X","")</f>
      </c>
      <c r="K88" s="56" t="str">
        <f>IF(COUNTIFS('LANÇAMENTOS DIÁRIOS'!$G$5:$G$500,"C",'LANÇAMENTOS DIÁRIOS'!$C$5:$C$500,$A88,'LANÇAMENTOS DIÁRIOS'!$O$5:$O$500,"&lt;=97499",'LANÇAMENTOS DIÁRIOS'!$P$5:$P$500,"&gt;=97400")&gt;0,"X","")</f>
      </c>
      <c r="L88" s="56" t="str">
        <f>IF(COUNTIFS('LANÇAMENTOS DIÁRIOS'!$G$5:$G$500,"C",'LANÇAMENTOS DIÁRIOS'!$C$5:$C$500,$A88,'LANÇAMENTOS DIÁRIOS'!$O$5:$O$500,"&lt;=97599",'LANÇAMENTOS DIÁRIOS'!$P$5:$P$500,"&gt;=97500")&gt;0,"X","")</f>
      </c>
      <c r="M88" s="56" t="str">
        <f>IF(COUNTIFS('LANÇAMENTOS DIÁRIOS'!$G$5:$G$500,"C",'LANÇAMENTOS DIÁRIOS'!$C$5:$C$500,$A88,'LANÇAMENTOS DIÁRIOS'!$O$5:$O$500,"&lt;=97699",'LANÇAMENTOS DIÁRIOS'!$P$5:$P$500,"&gt;=97600")&gt;0,"X","")</f>
      </c>
      <c r="N88" s="56" t="str">
        <f>IF(COUNTIFS('LANÇAMENTOS DIÁRIOS'!$G$5:$G$500,"C",'LANÇAMENTOS DIÁRIOS'!$C$5:$C$500,$A88,'LANÇAMENTOS DIÁRIOS'!$O$5:$O$500,"&lt;=97799",'LANÇAMENTOS DIÁRIOS'!$P$5:$P$500,"&gt;=97700")&gt;0,"X","")</f>
      </c>
      <c r="O88" s="56" t="str">
        <f>IF(COUNTIFS('LANÇAMENTOS DIÁRIOS'!$G$5:$G$500,"C",'LANÇAMENTOS DIÁRIOS'!$C$5:$C$500,$A88,'LANÇAMENTOS DIÁRIOS'!$O$5:$O$500,"&lt;=97899",'LANÇAMENTOS DIÁRIOS'!$P$5:$P$500,"&gt;=97800")&gt;0,"X","")</f>
      </c>
      <c r="P88" s="56" t="str">
        <f>IF(COUNTIFS('LANÇAMENTOS DIÁRIOS'!$G$5:$G$500,"C",'LANÇAMENTOS DIÁRIOS'!$C$5:$C$500,$A88,'LANÇAMENTOS DIÁRIOS'!$O$5:$O$500,"&lt;=97999",'LANÇAMENTOS DIÁRIOS'!$P$5:$P$500,"&gt;=97900")&gt;0,"X","")</f>
      </c>
      <c r="Q88" s="56" t="str">
        <f>IF(COUNTIFS('LANÇAMENTOS DIÁRIOS'!$G$5:$G$500,"C",'LANÇAMENTOS DIÁRIOS'!$C$5:$C$500,$A88,'LANÇAMENTOS DIÁRIOS'!$O$5:$O$500,"&lt;=98099",'LANÇAMENTOS DIÁRIOS'!$P$5:$P$500,"&gt;=98000")&gt;0,"X","")</f>
      </c>
      <c r="R88" s="56" t="str">
        <f>IF(COUNTIFS('LANÇAMENTOS DIÁRIOS'!$G$5:$G$500,"C",'LANÇAMENTOS DIÁRIOS'!$C$5:$C$500,$A88,'LANÇAMENTOS DIÁRIOS'!$O$5:$O$500,"&lt;=98199",'LANÇAMENTOS DIÁRIOS'!$P$5:$P$500,"&gt;=98100")&gt;0,"X","")</f>
      </c>
      <c r="S88" s="56" t="str">
        <f>IF(COUNTIFS('LANÇAMENTOS DIÁRIOS'!$G$5:$G$500,"C",'LANÇAMENTOS DIÁRIOS'!$C$5:$C$500,$A88,'LANÇAMENTOS DIÁRIOS'!$O$5:$O$500,"&lt;=98299",'LANÇAMENTOS DIÁRIOS'!$P$5:$P$500,"&gt;=98200")&gt;0,"X","")</f>
      </c>
      <c r="T88" s="56" t="str">
        <f>IF(COUNTIFS('LANÇAMENTOS DIÁRIOS'!$G$5:$G$500,"C",'LANÇAMENTOS DIÁRIOS'!$C$5:$C$500,$A88,'LANÇAMENTOS DIÁRIOS'!$O$5:$O$500,"&lt;=98399",'LANÇAMENTOS DIÁRIOS'!$P$5:$P$500,"&gt;=98300")&gt;0,"X","")</f>
      </c>
      <c r="U88" s="56" t="str">
        <f>IF(COUNTIFS('LANÇAMENTOS DIÁRIOS'!$G$5:$G$500,"C",'LANÇAMENTOS DIÁRIOS'!$C$5:$C$500,$A88,'LANÇAMENTOS DIÁRIOS'!$O$5:$O$500,"&lt;=98499",'LANÇAMENTOS DIÁRIOS'!$P$5:$P$500,"&gt;=98400")&gt;0,"X","")</f>
      </c>
      <c r="V88" s="56" t="str">
        <f>IF(COUNTIFS('LANÇAMENTOS DIÁRIOS'!$G$5:$G$500,"C",'LANÇAMENTOS DIÁRIOS'!$C$5:$C$500,$A88,'LANÇAMENTOS DIÁRIOS'!$O$5:$O$500,"&lt;=98599",'LANÇAMENTOS DIÁRIOS'!$P$5:$P$500,"&gt;=98500")&gt;0,"X","")</f>
      </c>
      <c r="W88" s="56" t="str">
        <f>IF(COUNTIFS('LANÇAMENTOS DIÁRIOS'!$G$5:$G$500,"C",'LANÇAMENTOS DIÁRIOS'!$C$5:$C$500,$A88,'LANÇAMENTOS DIÁRIOS'!$O$5:$O$500,"&lt;=98699",'LANÇAMENTOS DIÁRIOS'!$P$5:$P$500,"&gt;=98600")&gt;0,"X","")</f>
      </c>
      <c r="X88" s="56" t="str">
        <f>IF(COUNTIFS('LANÇAMENTOS DIÁRIOS'!$G$5:$G$500,"C",'LANÇAMENTOS DIÁRIOS'!$C$5:$C$500,$A88,'LANÇAMENTOS DIÁRIOS'!$O$5:$O$500,"&lt;=98799",'LANÇAMENTOS DIÁRIOS'!$P$5:$P$500,"&gt;=98700")&gt;0,"X","")</f>
      </c>
      <c r="Y88" s="56" t="str">
        <f>IF(COUNTIFS('LANÇAMENTOS DIÁRIOS'!$G$5:$G$500,"C",'LANÇAMENTOS DIÁRIOS'!$C$5:$C$500,$A88,'LANÇAMENTOS DIÁRIOS'!$O$5:$O$500,"&lt;=98899",'LANÇAMENTOS DIÁRIOS'!$P$5:$P$500,"&gt;=98800")&gt;0,"X","")</f>
      </c>
      <c r="Z88" s="56" t="str">
        <f>IF(COUNTIFS('LANÇAMENTOS DIÁRIOS'!$G$5:$G$500,"C",'LANÇAMENTOS DIÁRIOS'!$C$5:$C$500,$A88,'LANÇAMENTOS DIÁRIOS'!$O$5:$O$500,"&lt;=98999",'LANÇAMENTOS DIÁRIOS'!$P$5:$P$500,"&gt;=98900")&gt;0,"X","")</f>
      </c>
      <c r="AA88" s="56" t="str">
        <f>IF(COUNTIFS('LANÇAMENTOS DIÁRIOS'!$G$5:$G$500,"C",'LANÇAMENTOS DIÁRIOS'!$C$5:$C$500,$A88,'LANÇAMENTOS DIÁRIOS'!$O$5:$O$500,"&lt;=99099",'LANÇAMENTOS DIÁRIOS'!$P$5:$P$500,"&gt;=99000")&gt;0,"X","")</f>
      </c>
      <c r="AB88" s="56" t="str">
        <f>IF(COUNTIFS('LANÇAMENTOS DIÁRIOS'!$G$5:$G$500,"C",'LANÇAMENTOS DIÁRIOS'!$C$5:$C$500,$A88,'LANÇAMENTOS DIÁRIOS'!$O$5:$O$500,"&lt;=99199",'LANÇAMENTOS DIÁRIOS'!$P$5:$P$500,"&gt;=99100")&gt;0,"X","")</f>
      </c>
      <c r="AC88" s="56" t="str">
        <f>IF(COUNTIFS('LANÇAMENTOS DIÁRIOS'!$G$5:$G$500,"C",'LANÇAMENTOS DIÁRIOS'!$C$5:$C$500,$A88,'LANÇAMENTOS DIÁRIOS'!$O$5:$O$500,"&lt;=99299",'LANÇAMENTOS DIÁRIOS'!$P$5:$P$500,"&gt;=99200")&gt;0,"X","")</f>
      </c>
      <c r="AD88" s="56" t="str">
        <f>IF(COUNTIFS('LANÇAMENTOS DIÁRIOS'!$G$5:$G$500,"C",'LANÇAMENTOS DIÁRIOS'!$C$5:$C$500,$A88,'LANÇAMENTOS DIÁRIOS'!$O$5:$O$500,"&lt;=99399",'LANÇAMENTOS DIÁRIOS'!$P$5:$P$500,"&gt;=99300")&gt;0,"X","")</f>
      </c>
      <c r="AE88" s="56" t="str">
        <f>IF(COUNTIFS('LANÇAMENTOS DIÁRIOS'!$G$5:$G$500,"C",'LANÇAMENTOS DIÁRIOS'!$C$5:$C$500,$A88,'LANÇAMENTOS DIÁRIOS'!$O$5:$O$500,"&lt;=99499",'LANÇAMENTOS DIÁRIOS'!$P$5:$P$500,"&gt;=99400")&gt;0,"X","")</f>
      </c>
      <c r="AF88" s="56" t="str">
        <f>IF(COUNTIFS('LANÇAMENTOS DIÁRIOS'!$G$5:$G$500,"C",'LANÇAMENTOS DIÁRIOS'!$C$5:$C$500,$A88,'LANÇAMENTOS DIÁRIOS'!$O$5:$O$500,"&lt;=99599",'LANÇAMENTOS DIÁRIOS'!$P$5:$P$500,"&gt;=99500")&gt;0,"X","")</f>
      </c>
      <c r="AG88" s="56" t="str">
        <f>IF(COUNTIFS('LANÇAMENTOS DIÁRIOS'!$G$5:$G$500,"C",'LANÇAMENTOS DIÁRIOS'!$C$5:$C$500,$A88,'LANÇAMENTOS DIÁRIOS'!$O$5:$O$500,"&lt;=99699",'LANÇAMENTOS DIÁRIOS'!$P$5:$P$500,"&gt;=99600")&gt;0,"X","")</f>
      </c>
      <c r="AH88" s="56" t="str">
        <f>IF(COUNTIFS('LANÇAMENTOS DIÁRIOS'!$G$5:$G$500,"C",'LANÇAMENTOS DIÁRIOS'!$C$5:$C$500,$A88,'LANÇAMENTOS DIÁRIOS'!$O$5:$O$500,"&lt;=99799",'LANÇAMENTOS DIÁRIOS'!$P$5:$P$500,"&gt;=99700")&gt;0,"X","")</f>
      </c>
      <c r="AI88" s="56" t="str">
        <f>IF(COUNTIFS('LANÇAMENTOS DIÁRIOS'!$G$5:$G$500,"C",'LANÇAMENTOS DIÁRIOS'!$C$5:$C$500,$A88,'LANÇAMENTOS DIÁRIOS'!$O$5:$O$500,"&lt;=99899",'LANÇAMENTOS DIÁRIOS'!$P$5:$P$500,"&gt;=99800")&gt;0,"X","")</f>
      </c>
      <c r="AJ88" s="56" t="str">
        <f>IF(COUNTIFS('LANÇAMENTOS DIÁRIOS'!$G$5:$G$500,"C",'LANÇAMENTOS DIÁRIOS'!$C$5:$C$500,$A88,'LANÇAMENTOS DIÁRIOS'!$O$5:$O$500,"&lt;=99999",'LANÇAMENTOS DIÁRIOS'!$P$5:$P$500,"&gt;=99900")&gt;0,"X","")</f>
      </c>
      <c r="AK88" s="56" t="str">
        <f>IF(COUNTIFS('LANÇAMENTOS DIÁRIOS'!$G$5:$G$500,"C",'LANÇAMENTOS DIÁRIOS'!$C$5:$C$500,$A88,'LANÇAMENTOS DIÁRIOS'!$O$5:$O$500,"&lt;=100099",'LANÇAMENTOS DIÁRIOS'!$P$5:$P$500,"&gt;=100000")&gt;0,"X","")</f>
      </c>
      <c r="AL88" s="56" t="str">
        <f>IF(COUNTIFS('LANÇAMENTOS DIÁRIOS'!$G$5:$G$500,"C",'LANÇAMENTOS DIÁRIOS'!$C$5:$C$500,$A88,'LANÇAMENTOS DIÁRIOS'!$O$5:$O$500,"&lt;=100199",'LANÇAMENTOS DIÁRIOS'!$P$5:$P$500,"&gt;=100100")&gt;0,"X","")</f>
      </c>
      <c r="AM88" s="56" t="str">
        <f>IF(COUNTIFS('LANÇAMENTOS DIÁRIOS'!$G$5:$G$500,"C",'LANÇAMENTOS DIÁRIOS'!$C$5:$C$500,$A88,'LANÇAMENTOS DIÁRIOS'!$O$5:$O$500,"&lt;=100299",'LANÇAMENTOS DIÁRIOS'!$P$5:$P$500,"&gt;=100200")&gt;0,"X","")</f>
      </c>
      <c r="AN88" s="56" t="str">
        <f>IF(COUNTIFS('LANÇAMENTOS DIÁRIOS'!$G$5:$G$500,"C",'LANÇAMENTOS DIÁRIOS'!$C$5:$C$500,$A88,'LANÇAMENTOS DIÁRIOS'!$O$5:$O$500,"&lt;=100399",'LANÇAMENTOS DIÁRIOS'!$P$5:$P$500,"&gt;=100300")&gt;0,"X","")</f>
      </c>
      <c r="AO88" s="56" t="str">
        <f>IF(COUNTIFS('LANÇAMENTOS DIÁRIOS'!$G$5:$G$500,"C",'LANÇAMENTOS DIÁRIOS'!$C$5:$C$500,$A88,'LANÇAMENTOS DIÁRIOS'!$O$5:$O$500,"&lt;=100499",'LANÇAMENTOS DIÁRIOS'!$P$5:$P$500,"&gt;=100400")&gt;0,"X","")</f>
      </c>
      <c r="AP88" s="56" t="str">
        <f>IF(COUNTIFS('LANÇAMENTOS DIÁRIOS'!$G$5:$G$500,"C",'LANÇAMENTOS DIÁRIOS'!$C$5:$C$500,$A88,'LANÇAMENTOS DIÁRIOS'!$O$5:$O$500,"&lt;=100500",'LANÇAMENTOS DIÁRIOS'!$P$5:$P$500,"&gt;=100500")&gt;0,"X","")</f>
      </c>
    </row>
    <row r="89">
      <c r="A89" s="51" t="str">
        <v>Reciclagem de pavimento com adicao de 30% de brita</v>
      </c>
      <c r="B89" s="56" t="str">
        <f>IF(COUNTIFS('LANÇAMENTOS DIÁRIOS'!$G$5:$G$500,"C",'LANÇAMENTOS DIÁRIOS'!$C$5:$C$500,$A89,'LANÇAMENTOS DIÁRIOS'!$O$5:$O$500,"&lt;=96599",'LANÇAMENTOS DIÁRIOS'!$P$5:$P$500,"&gt;=96500")&gt;0,"X","")</f>
      </c>
      <c r="C89" s="56" t="str">
        <f>IF(COUNTIFS('LANÇAMENTOS DIÁRIOS'!$G$5:$G$500,"C",'LANÇAMENTOS DIÁRIOS'!$C$5:$C$500,$A89,'LANÇAMENTOS DIÁRIOS'!$O$5:$O$500,"&lt;=96699",'LANÇAMENTOS DIÁRIOS'!$P$5:$P$500,"&gt;=96600")&gt;0,"X","")</f>
      </c>
      <c r="D89" s="56" t="str">
        <f>IF(COUNTIFS('LANÇAMENTOS DIÁRIOS'!$G$5:$G$500,"C",'LANÇAMENTOS DIÁRIOS'!$C$5:$C$500,$A89,'LANÇAMENTOS DIÁRIOS'!$O$5:$O$500,"&lt;=96799",'LANÇAMENTOS DIÁRIOS'!$P$5:$P$500,"&gt;=96700")&gt;0,"X","")</f>
      </c>
      <c r="E89" s="56" t="str">
        <f>IF(COUNTIFS('LANÇAMENTOS DIÁRIOS'!$G$5:$G$500,"C",'LANÇAMENTOS DIÁRIOS'!$C$5:$C$500,$A89,'LANÇAMENTOS DIÁRIOS'!$O$5:$O$500,"&lt;=96899",'LANÇAMENTOS DIÁRIOS'!$P$5:$P$500,"&gt;=96800")&gt;0,"X","")</f>
      </c>
      <c r="F89" s="56" t="str">
        <f>IF(COUNTIFS('LANÇAMENTOS DIÁRIOS'!$G$5:$G$500,"C",'LANÇAMENTOS DIÁRIOS'!$C$5:$C$500,$A89,'LANÇAMENTOS DIÁRIOS'!$O$5:$O$500,"&lt;=96999",'LANÇAMENTOS DIÁRIOS'!$P$5:$P$500,"&gt;=96900")&gt;0,"X","")</f>
      </c>
      <c r="G89" s="56" t="str">
        <f>IF(COUNTIFS('LANÇAMENTOS DIÁRIOS'!$G$5:$G$500,"C",'LANÇAMENTOS DIÁRIOS'!$C$5:$C$500,$A89,'LANÇAMENTOS DIÁRIOS'!$O$5:$O$500,"&lt;=97099",'LANÇAMENTOS DIÁRIOS'!$P$5:$P$500,"&gt;=97000")&gt;0,"X","")</f>
      </c>
      <c r="H89" s="56" t="str">
        <f>IF(COUNTIFS('LANÇAMENTOS DIÁRIOS'!$G$5:$G$500,"C",'LANÇAMENTOS DIÁRIOS'!$C$5:$C$500,$A89,'LANÇAMENTOS DIÁRIOS'!$O$5:$O$500,"&lt;=97199",'LANÇAMENTOS DIÁRIOS'!$P$5:$P$500,"&gt;=97100")&gt;0,"X","")</f>
      </c>
      <c r="I89" s="56" t="str">
        <f>IF(COUNTIFS('LANÇAMENTOS DIÁRIOS'!$G$5:$G$500,"C",'LANÇAMENTOS DIÁRIOS'!$C$5:$C$500,$A89,'LANÇAMENTOS DIÁRIOS'!$O$5:$O$500,"&lt;=97299",'LANÇAMENTOS DIÁRIOS'!$P$5:$P$500,"&gt;=97200")&gt;0,"X","")</f>
      </c>
      <c r="J89" s="56" t="str">
        <f>IF(COUNTIFS('LANÇAMENTOS DIÁRIOS'!$G$5:$G$500,"C",'LANÇAMENTOS DIÁRIOS'!$C$5:$C$500,$A89,'LANÇAMENTOS DIÁRIOS'!$O$5:$O$500,"&lt;=97399",'LANÇAMENTOS DIÁRIOS'!$P$5:$P$500,"&gt;=97300")&gt;0,"X","")</f>
      </c>
      <c r="K89" s="56" t="str">
        <f>IF(COUNTIFS('LANÇAMENTOS DIÁRIOS'!$G$5:$G$500,"C",'LANÇAMENTOS DIÁRIOS'!$C$5:$C$500,$A89,'LANÇAMENTOS DIÁRIOS'!$O$5:$O$500,"&lt;=97499",'LANÇAMENTOS DIÁRIOS'!$P$5:$P$500,"&gt;=97400")&gt;0,"X","")</f>
      </c>
      <c r="L89" s="56" t="str">
        <f>IF(COUNTIFS('LANÇAMENTOS DIÁRIOS'!$G$5:$G$500,"C",'LANÇAMENTOS DIÁRIOS'!$C$5:$C$500,$A89,'LANÇAMENTOS DIÁRIOS'!$O$5:$O$500,"&lt;=97599",'LANÇAMENTOS DIÁRIOS'!$P$5:$P$500,"&gt;=97500")&gt;0,"X","")</f>
      </c>
      <c r="M89" s="56" t="str">
        <f>IF(COUNTIFS('LANÇAMENTOS DIÁRIOS'!$G$5:$G$500,"C",'LANÇAMENTOS DIÁRIOS'!$C$5:$C$500,$A89,'LANÇAMENTOS DIÁRIOS'!$O$5:$O$500,"&lt;=97699",'LANÇAMENTOS DIÁRIOS'!$P$5:$P$500,"&gt;=97600")&gt;0,"X","")</f>
      </c>
      <c r="N89" s="56" t="str">
        <f>IF(COUNTIFS('LANÇAMENTOS DIÁRIOS'!$G$5:$G$500,"C",'LANÇAMENTOS DIÁRIOS'!$C$5:$C$500,$A89,'LANÇAMENTOS DIÁRIOS'!$O$5:$O$500,"&lt;=97799",'LANÇAMENTOS DIÁRIOS'!$P$5:$P$500,"&gt;=97700")&gt;0,"X","")</f>
      </c>
      <c r="O89" s="56" t="str">
        <f>IF(COUNTIFS('LANÇAMENTOS DIÁRIOS'!$G$5:$G$500,"C",'LANÇAMENTOS DIÁRIOS'!$C$5:$C$500,$A89,'LANÇAMENTOS DIÁRIOS'!$O$5:$O$500,"&lt;=97899",'LANÇAMENTOS DIÁRIOS'!$P$5:$P$500,"&gt;=97800")&gt;0,"X","")</f>
      </c>
      <c r="P89" s="56" t="str">
        <f>IF(COUNTIFS('LANÇAMENTOS DIÁRIOS'!$G$5:$G$500,"C",'LANÇAMENTOS DIÁRIOS'!$C$5:$C$500,$A89,'LANÇAMENTOS DIÁRIOS'!$O$5:$O$500,"&lt;=97999",'LANÇAMENTOS DIÁRIOS'!$P$5:$P$500,"&gt;=97900")&gt;0,"X","")</f>
      </c>
      <c r="Q89" s="56" t="str">
        <f>IF(COUNTIFS('LANÇAMENTOS DIÁRIOS'!$G$5:$G$500,"C",'LANÇAMENTOS DIÁRIOS'!$C$5:$C$500,$A89,'LANÇAMENTOS DIÁRIOS'!$O$5:$O$500,"&lt;=98099",'LANÇAMENTOS DIÁRIOS'!$P$5:$P$500,"&gt;=98000")&gt;0,"X","")</f>
      </c>
      <c r="R89" s="56" t="str">
        <f>IF(COUNTIFS('LANÇAMENTOS DIÁRIOS'!$G$5:$G$500,"C",'LANÇAMENTOS DIÁRIOS'!$C$5:$C$500,$A89,'LANÇAMENTOS DIÁRIOS'!$O$5:$O$500,"&lt;=98199",'LANÇAMENTOS DIÁRIOS'!$P$5:$P$500,"&gt;=98100")&gt;0,"X","")</f>
      </c>
      <c r="S89" s="56" t="str">
        <f>IF(COUNTIFS('LANÇAMENTOS DIÁRIOS'!$G$5:$G$500,"C",'LANÇAMENTOS DIÁRIOS'!$C$5:$C$500,$A89,'LANÇAMENTOS DIÁRIOS'!$O$5:$O$500,"&lt;=98299",'LANÇAMENTOS DIÁRIOS'!$P$5:$P$500,"&gt;=98200")&gt;0,"X","")</f>
      </c>
      <c r="T89" s="56" t="str">
        <f>IF(COUNTIFS('LANÇAMENTOS DIÁRIOS'!$G$5:$G$500,"C",'LANÇAMENTOS DIÁRIOS'!$C$5:$C$500,$A89,'LANÇAMENTOS DIÁRIOS'!$O$5:$O$500,"&lt;=98399",'LANÇAMENTOS DIÁRIOS'!$P$5:$P$500,"&gt;=98300")&gt;0,"X","")</f>
      </c>
      <c r="U89" s="56" t="str">
        <f>IF(COUNTIFS('LANÇAMENTOS DIÁRIOS'!$G$5:$G$500,"C",'LANÇAMENTOS DIÁRIOS'!$C$5:$C$500,$A89,'LANÇAMENTOS DIÁRIOS'!$O$5:$O$500,"&lt;=98499",'LANÇAMENTOS DIÁRIOS'!$P$5:$P$500,"&gt;=98400")&gt;0,"X","")</f>
      </c>
      <c r="V89" s="56" t="str">
        <f>IF(COUNTIFS('LANÇAMENTOS DIÁRIOS'!$G$5:$G$500,"C",'LANÇAMENTOS DIÁRIOS'!$C$5:$C$500,$A89,'LANÇAMENTOS DIÁRIOS'!$O$5:$O$500,"&lt;=98599",'LANÇAMENTOS DIÁRIOS'!$P$5:$P$500,"&gt;=98500")&gt;0,"X","")</f>
      </c>
      <c r="W89" s="56" t="str">
        <f>IF(COUNTIFS('LANÇAMENTOS DIÁRIOS'!$G$5:$G$500,"C",'LANÇAMENTOS DIÁRIOS'!$C$5:$C$500,$A89,'LANÇAMENTOS DIÁRIOS'!$O$5:$O$500,"&lt;=98699",'LANÇAMENTOS DIÁRIOS'!$P$5:$P$500,"&gt;=98600")&gt;0,"X","")</f>
      </c>
      <c r="X89" s="56" t="str">
        <f>IF(COUNTIFS('LANÇAMENTOS DIÁRIOS'!$G$5:$G$500,"C",'LANÇAMENTOS DIÁRIOS'!$C$5:$C$500,$A89,'LANÇAMENTOS DIÁRIOS'!$O$5:$O$500,"&lt;=98799",'LANÇAMENTOS DIÁRIOS'!$P$5:$P$500,"&gt;=98700")&gt;0,"X","")</f>
      </c>
      <c r="Y89" s="56" t="str">
        <f>IF(COUNTIFS('LANÇAMENTOS DIÁRIOS'!$G$5:$G$500,"C",'LANÇAMENTOS DIÁRIOS'!$C$5:$C$500,$A89,'LANÇAMENTOS DIÁRIOS'!$O$5:$O$500,"&lt;=98899",'LANÇAMENTOS DIÁRIOS'!$P$5:$P$500,"&gt;=98800")&gt;0,"X","")</f>
      </c>
      <c r="Z89" s="56" t="str">
        <f>IF(COUNTIFS('LANÇAMENTOS DIÁRIOS'!$G$5:$G$500,"C",'LANÇAMENTOS DIÁRIOS'!$C$5:$C$500,$A89,'LANÇAMENTOS DIÁRIOS'!$O$5:$O$500,"&lt;=98999",'LANÇAMENTOS DIÁRIOS'!$P$5:$P$500,"&gt;=98900")&gt;0,"X","")</f>
      </c>
      <c r="AA89" s="56" t="str">
        <f>IF(COUNTIFS('LANÇAMENTOS DIÁRIOS'!$G$5:$G$500,"C",'LANÇAMENTOS DIÁRIOS'!$C$5:$C$500,$A89,'LANÇAMENTOS DIÁRIOS'!$O$5:$O$500,"&lt;=99099",'LANÇAMENTOS DIÁRIOS'!$P$5:$P$500,"&gt;=99000")&gt;0,"X","")</f>
      </c>
      <c r="AB89" s="56" t="str">
        <f>IF(COUNTIFS('LANÇAMENTOS DIÁRIOS'!$G$5:$G$500,"C",'LANÇAMENTOS DIÁRIOS'!$C$5:$C$500,$A89,'LANÇAMENTOS DIÁRIOS'!$O$5:$O$500,"&lt;=99199",'LANÇAMENTOS DIÁRIOS'!$P$5:$P$500,"&gt;=99100")&gt;0,"X","")</f>
      </c>
      <c r="AC89" s="56" t="str">
        <f>IF(COUNTIFS('LANÇAMENTOS DIÁRIOS'!$G$5:$G$500,"C",'LANÇAMENTOS DIÁRIOS'!$C$5:$C$500,$A89,'LANÇAMENTOS DIÁRIOS'!$O$5:$O$500,"&lt;=99299",'LANÇAMENTOS DIÁRIOS'!$P$5:$P$500,"&gt;=99200")&gt;0,"X","")</f>
      </c>
      <c r="AD89" s="56" t="str">
        <f>IF(COUNTIFS('LANÇAMENTOS DIÁRIOS'!$G$5:$G$500,"C",'LANÇAMENTOS DIÁRIOS'!$C$5:$C$500,$A89,'LANÇAMENTOS DIÁRIOS'!$O$5:$O$500,"&lt;=99399",'LANÇAMENTOS DIÁRIOS'!$P$5:$P$500,"&gt;=99300")&gt;0,"X","")</f>
      </c>
      <c r="AE89" s="56" t="str">
        <f>IF(COUNTIFS('LANÇAMENTOS DIÁRIOS'!$G$5:$G$500,"C",'LANÇAMENTOS DIÁRIOS'!$C$5:$C$500,$A89,'LANÇAMENTOS DIÁRIOS'!$O$5:$O$500,"&lt;=99499",'LANÇAMENTOS DIÁRIOS'!$P$5:$P$500,"&gt;=99400")&gt;0,"X","")</f>
      </c>
      <c r="AF89" s="56" t="str">
        <f>IF(COUNTIFS('LANÇAMENTOS DIÁRIOS'!$G$5:$G$500,"C",'LANÇAMENTOS DIÁRIOS'!$C$5:$C$500,$A89,'LANÇAMENTOS DIÁRIOS'!$O$5:$O$500,"&lt;=99599",'LANÇAMENTOS DIÁRIOS'!$P$5:$P$500,"&gt;=99500")&gt;0,"X","")</f>
      </c>
      <c r="AG89" s="56" t="str">
        <f>IF(COUNTIFS('LANÇAMENTOS DIÁRIOS'!$G$5:$G$500,"C",'LANÇAMENTOS DIÁRIOS'!$C$5:$C$500,$A89,'LANÇAMENTOS DIÁRIOS'!$O$5:$O$500,"&lt;=99699",'LANÇAMENTOS DIÁRIOS'!$P$5:$P$500,"&gt;=99600")&gt;0,"X","")</f>
      </c>
      <c r="AH89" s="56" t="str">
        <f>IF(COUNTIFS('LANÇAMENTOS DIÁRIOS'!$G$5:$G$500,"C",'LANÇAMENTOS DIÁRIOS'!$C$5:$C$500,$A89,'LANÇAMENTOS DIÁRIOS'!$O$5:$O$500,"&lt;=99799",'LANÇAMENTOS DIÁRIOS'!$P$5:$P$500,"&gt;=99700")&gt;0,"X","")</f>
      </c>
      <c r="AI89" s="56" t="str">
        <f>IF(COUNTIFS('LANÇAMENTOS DIÁRIOS'!$G$5:$G$500,"C",'LANÇAMENTOS DIÁRIOS'!$C$5:$C$500,$A89,'LANÇAMENTOS DIÁRIOS'!$O$5:$O$500,"&lt;=99899",'LANÇAMENTOS DIÁRIOS'!$P$5:$P$500,"&gt;=99800")&gt;0,"X","")</f>
      </c>
      <c r="AJ89" s="56" t="str">
        <f>IF(COUNTIFS('LANÇAMENTOS DIÁRIOS'!$G$5:$G$500,"C",'LANÇAMENTOS DIÁRIOS'!$C$5:$C$500,$A89,'LANÇAMENTOS DIÁRIOS'!$O$5:$O$500,"&lt;=99999",'LANÇAMENTOS DIÁRIOS'!$P$5:$P$500,"&gt;=99900")&gt;0,"X","")</f>
      </c>
      <c r="AK89" s="56" t="str">
        <f>IF(COUNTIFS('LANÇAMENTOS DIÁRIOS'!$G$5:$G$500,"C",'LANÇAMENTOS DIÁRIOS'!$C$5:$C$500,$A89,'LANÇAMENTOS DIÁRIOS'!$O$5:$O$500,"&lt;=100099",'LANÇAMENTOS DIÁRIOS'!$P$5:$P$500,"&gt;=100000")&gt;0,"X","")</f>
      </c>
      <c r="AL89" s="56" t="str">
        <f>IF(COUNTIFS('LANÇAMENTOS DIÁRIOS'!$G$5:$G$500,"C",'LANÇAMENTOS DIÁRIOS'!$C$5:$C$500,$A89,'LANÇAMENTOS DIÁRIOS'!$O$5:$O$500,"&lt;=100199",'LANÇAMENTOS DIÁRIOS'!$P$5:$P$500,"&gt;=100100")&gt;0,"X","")</f>
      </c>
      <c r="AM89" s="56" t="str">
        <f>IF(COUNTIFS('LANÇAMENTOS DIÁRIOS'!$G$5:$G$500,"C",'LANÇAMENTOS DIÁRIOS'!$C$5:$C$500,$A89,'LANÇAMENTOS DIÁRIOS'!$O$5:$O$500,"&lt;=100299",'LANÇAMENTOS DIÁRIOS'!$P$5:$P$500,"&gt;=100200")&gt;0,"X","")</f>
      </c>
      <c r="AN89" s="56" t="str">
        <f>IF(COUNTIFS('LANÇAMENTOS DIÁRIOS'!$G$5:$G$500,"C",'LANÇAMENTOS DIÁRIOS'!$C$5:$C$500,$A89,'LANÇAMENTOS DIÁRIOS'!$O$5:$O$500,"&lt;=100399",'LANÇAMENTOS DIÁRIOS'!$P$5:$P$500,"&gt;=100300")&gt;0,"X","")</f>
      </c>
      <c r="AO89" s="56" t="str">
        <f>IF(COUNTIFS('LANÇAMENTOS DIÁRIOS'!$G$5:$G$500,"C",'LANÇAMENTOS DIÁRIOS'!$C$5:$C$500,$A89,'LANÇAMENTOS DIÁRIOS'!$O$5:$O$500,"&lt;=100499",'LANÇAMENTOS DIÁRIOS'!$P$5:$P$500,"&gt;=100400")&gt;0,"X","")</f>
      </c>
      <c r="AP89" s="56" t="str">
        <f>IF(COUNTIFS('LANÇAMENTOS DIÁRIOS'!$G$5:$G$500,"C",'LANÇAMENTOS DIÁRIOS'!$C$5:$C$500,$A89,'LANÇAMENTOS DIÁRIOS'!$O$5:$O$500,"&lt;=100500",'LANÇAMENTOS DIÁRIOS'!$P$5:$P$500,"&gt;=100500")&gt;0,"X","")</f>
      </c>
    </row>
    <row r="90">
      <c r="A90" s="51" t="str">
        <v>Geogrelha Hatelit - Sem o fornecimento de materiais</v>
      </c>
      <c r="B90" s="56" t="str">
        <f>IF(COUNTIFS('LANÇAMENTOS DIÁRIOS'!$G$5:$G$500,"C",'LANÇAMENTOS DIÁRIOS'!$C$5:$C$500,$A90,'LANÇAMENTOS DIÁRIOS'!$O$5:$O$500,"&lt;=96599",'LANÇAMENTOS DIÁRIOS'!$P$5:$P$500,"&gt;=96500")&gt;0,"X","")</f>
      </c>
      <c r="C90" s="56" t="str">
        <f>IF(COUNTIFS('LANÇAMENTOS DIÁRIOS'!$G$5:$G$500,"C",'LANÇAMENTOS DIÁRIOS'!$C$5:$C$500,$A90,'LANÇAMENTOS DIÁRIOS'!$O$5:$O$500,"&lt;=96699",'LANÇAMENTOS DIÁRIOS'!$P$5:$P$500,"&gt;=96600")&gt;0,"X","")</f>
      </c>
      <c r="D90" s="56" t="str">
        <f>IF(COUNTIFS('LANÇAMENTOS DIÁRIOS'!$G$5:$G$500,"C",'LANÇAMENTOS DIÁRIOS'!$C$5:$C$500,$A90,'LANÇAMENTOS DIÁRIOS'!$O$5:$O$500,"&lt;=96799",'LANÇAMENTOS DIÁRIOS'!$P$5:$P$500,"&gt;=96700")&gt;0,"X","")</f>
      </c>
      <c r="E90" s="56" t="str">
        <f>IF(COUNTIFS('LANÇAMENTOS DIÁRIOS'!$G$5:$G$500,"C",'LANÇAMENTOS DIÁRIOS'!$C$5:$C$500,$A90,'LANÇAMENTOS DIÁRIOS'!$O$5:$O$500,"&lt;=96899",'LANÇAMENTOS DIÁRIOS'!$P$5:$P$500,"&gt;=96800")&gt;0,"X","")</f>
      </c>
      <c r="F90" s="56" t="str">
        <f>IF(COUNTIFS('LANÇAMENTOS DIÁRIOS'!$G$5:$G$500,"C",'LANÇAMENTOS DIÁRIOS'!$C$5:$C$500,$A90,'LANÇAMENTOS DIÁRIOS'!$O$5:$O$500,"&lt;=96999",'LANÇAMENTOS DIÁRIOS'!$P$5:$P$500,"&gt;=96900")&gt;0,"X","")</f>
      </c>
      <c r="G90" s="56" t="str">
        <f>IF(COUNTIFS('LANÇAMENTOS DIÁRIOS'!$G$5:$G$500,"C",'LANÇAMENTOS DIÁRIOS'!$C$5:$C$500,$A90,'LANÇAMENTOS DIÁRIOS'!$O$5:$O$500,"&lt;=97099",'LANÇAMENTOS DIÁRIOS'!$P$5:$P$500,"&gt;=97000")&gt;0,"X","")</f>
      </c>
      <c r="H90" s="56" t="str">
        <f>IF(COUNTIFS('LANÇAMENTOS DIÁRIOS'!$G$5:$G$500,"C",'LANÇAMENTOS DIÁRIOS'!$C$5:$C$500,$A90,'LANÇAMENTOS DIÁRIOS'!$O$5:$O$500,"&lt;=97199",'LANÇAMENTOS DIÁRIOS'!$P$5:$P$500,"&gt;=97100")&gt;0,"X","")</f>
      </c>
      <c r="I90" s="56" t="str">
        <f>IF(COUNTIFS('LANÇAMENTOS DIÁRIOS'!$G$5:$G$500,"C",'LANÇAMENTOS DIÁRIOS'!$C$5:$C$500,$A90,'LANÇAMENTOS DIÁRIOS'!$O$5:$O$500,"&lt;=97299",'LANÇAMENTOS DIÁRIOS'!$P$5:$P$500,"&gt;=97200")&gt;0,"X","")</f>
      </c>
      <c r="J90" s="56" t="str">
        <f>IF(COUNTIFS('LANÇAMENTOS DIÁRIOS'!$G$5:$G$500,"C",'LANÇAMENTOS DIÁRIOS'!$C$5:$C$500,$A90,'LANÇAMENTOS DIÁRIOS'!$O$5:$O$500,"&lt;=97399",'LANÇAMENTOS DIÁRIOS'!$P$5:$P$500,"&gt;=97300")&gt;0,"X","")</f>
      </c>
      <c r="K90" s="56" t="str">
        <f>IF(COUNTIFS('LANÇAMENTOS DIÁRIOS'!$G$5:$G$500,"C",'LANÇAMENTOS DIÁRIOS'!$C$5:$C$500,$A90,'LANÇAMENTOS DIÁRIOS'!$O$5:$O$500,"&lt;=97499",'LANÇAMENTOS DIÁRIOS'!$P$5:$P$500,"&gt;=97400")&gt;0,"X","")</f>
      </c>
      <c r="L90" s="56" t="str">
        <f>IF(COUNTIFS('LANÇAMENTOS DIÁRIOS'!$G$5:$G$500,"C",'LANÇAMENTOS DIÁRIOS'!$C$5:$C$500,$A90,'LANÇAMENTOS DIÁRIOS'!$O$5:$O$500,"&lt;=97599",'LANÇAMENTOS DIÁRIOS'!$P$5:$P$500,"&gt;=97500")&gt;0,"X","")</f>
      </c>
      <c r="M90" s="56" t="str">
        <f>IF(COUNTIFS('LANÇAMENTOS DIÁRIOS'!$G$5:$G$500,"C",'LANÇAMENTOS DIÁRIOS'!$C$5:$C$500,$A90,'LANÇAMENTOS DIÁRIOS'!$O$5:$O$500,"&lt;=97699",'LANÇAMENTOS DIÁRIOS'!$P$5:$P$500,"&gt;=97600")&gt;0,"X","")</f>
      </c>
      <c r="N90" s="56" t="str">
        <f>IF(COUNTIFS('LANÇAMENTOS DIÁRIOS'!$G$5:$G$500,"C",'LANÇAMENTOS DIÁRIOS'!$C$5:$C$500,$A90,'LANÇAMENTOS DIÁRIOS'!$O$5:$O$500,"&lt;=97799",'LANÇAMENTOS DIÁRIOS'!$P$5:$P$500,"&gt;=97700")&gt;0,"X","")</f>
      </c>
      <c r="O90" s="56" t="str">
        <f>IF(COUNTIFS('LANÇAMENTOS DIÁRIOS'!$G$5:$G$500,"C",'LANÇAMENTOS DIÁRIOS'!$C$5:$C$500,$A90,'LANÇAMENTOS DIÁRIOS'!$O$5:$O$500,"&lt;=97899",'LANÇAMENTOS DIÁRIOS'!$P$5:$P$500,"&gt;=97800")&gt;0,"X","")</f>
      </c>
      <c r="P90" s="56" t="str">
        <f>IF(COUNTIFS('LANÇAMENTOS DIÁRIOS'!$G$5:$G$500,"C",'LANÇAMENTOS DIÁRIOS'!$C$5:$C$500,$A90,'LANÇAMENTOS DIÁRIOS'!$O$5:$O$500,"&lt;=97999",'LANÇAMENTOS DIÁRIOS'!$P$5:$P$500,"&gt;=97900")&gt;0,"X","")</f>
      </c>
      <c r="Q90" s="56" t="str">
        <f>IF(COUNTIFS('LANÇAMENTOS DIÁRIOS'!$G$5:$G$500,"C",'LANÇAMENTOS DIÁRIOS'!$C$5:$C$500,$A90,'LANÇAMENTOS DIÁRIOS'!$O$5:$O$500,"&lt;=98099",'LANÇAMENTOS DIÁRIOS'!$P$5:$P$500,"&gt;=98000")&gt;0,"X","")</f>
      </c>
      <c r="R90" s="56" t="str">
        <f>IF(COUNTIFS('LANÇAMENTOS DIÁRIOS'!$G$5:$G$500,"C",'LANÇAMENTOS DIÁRIOS'!$C$5:$C$500,$A90,'LANÇAMENTOS DIÁRIOS'!$O$5:$O$500,"&lt;=98199",'LANÇAMENTOS DIÁRIOS'!$P$5:$P$500,"&gt;=98100")&gt;0,"X","")</f>
      </c>
      <c r="S90" s="56" t="str">
        <f>IF(COUNTIFS('LANÇAMENTOS DIÁRIOS'!$G$5:$G$500,"C",'LANÇAMENTOS DIÁRIOS'!$C$5:$C$500,$A90,'LANÇAMENTOS DIÁRIOS'!$O$5:$O$500,"&lt;=98299",'LANÇAMENTOS DIÁRIOS'!$P$5:$P$500,"&gt;=98200")&gt;0,"X","")</f>
      </c>
      <c r="T90" s="56" t="str">
        <f>IF(COUNTIFS('LANÇAMENTOS DIÁRIOS'!$G$5:$G$500,"C",'LANÇAMENTOS DIÁRIOS'!$C$5:$C$500,$A90,'LANÇAMENTOS DIÁRIOS'!$O$5:$O$500,"&lt;=98399",'LANÇAMENTOS DIÁRIOS'!$P$5:$P$500,"&gt;=98300")&gt;0,"X","")</f>
      </c>
      <c r="U90" s="56" t="str">
        <f>IF(COUNTIFS('LANÇAMENTOS DIÁRIOS'!$G$5:$G$500,"C",'LANÇAMENTOS DIÁRIOS'!$C$5:$C$500,$A90,'LANÇAMENTOS DIÁRIOS'!$O$5:$O$500,"&lt;=98499",'LANÇAMENTOS DIÁRIOS'!$P$5:$P$500,"&gt;=98400")&gt;0,"X","")</f>
      </c>
      <c r="V90" s="56" t="str">
        <f>IF(COUNTIFS('LANÇAMENTOS DIÁRIOS'!$G$5:$G$500,"C",'LANÇAMENTOS DIÁRIOS'!$C$5:$C$500,$A90,'LANÇAMENTOS DIÁRIOS'!$O$5:$O$500,"&lt;=98599",'LANÇAMENTOS DIÁRIOS'!$P$5:$P$500,"&gt;=98500")&gt;0,"X","")</f>
      </c>
      <c r="W90" s="56" t="str">
        <f>IF(COUNTIFS('LANÇAMENTOS DIÁRIOS'!$G$5:$G$500,"C",'LANÇAMENTOS DIÁRIOS'!$C$5:$C$500,$A90,'LANÇAMENTOS DIÁRIOS'!$O$5:$O$500,"&lt;=98699",'LANÇAMENTOS DIÁRIOS'!$P$5:$P$500,"&gt;=98600")&gt;0,"X","")</f>
      </c>
      <c r="X90" s="56" t="str">
        <f>IF(COUNTIFS('LANÇAMENTOS DIÁRIOS'!$G$5:$G$500,"C",'LANÇAMENTOS DIÁRIOS'!$C$5:$C$500,$A90,'LANÇAMENTOS DIÁRIOS'!$O$5:$O$500,"&lt;=98799",'LANÇAMENTOS DIÁRIOS'!$P$5:$P$500,"&gt;=98700")&gt;0,"X","")</f>
      </c>
      <c r="Y90" s="56" t="str">
        <f>IF(COUNTIFS('LANÇAMENTOS DIÁRIOS'!$G$5:$G$500,"C",'LANÇAMENTOS DIÁRIOS'!$C$5:$C$500,$A90,'LANÇAMENTOS DIÁRIOS'!$O$5:$O$500,"&lt;=98899",'LANÇAMENTOS DIÁRIOS'!$P$5:$P$500,"&gt;=98800")&gt;0,"X","")</f>
      </c>
      <c r="Z90" s="56" t="str">
        <f>IF(COUNTIFS('LANÇAMENTOS DIÁRIOS'!$G$5:$G$500,"C",'LANÇAMENTOS DIÁRIOS'!$C$5:$C$500,$A90,'LANÇAMENTOS DIÁRIOS'!$O$5:$O$500,"&lt;=98999",'LANÇAMENTOS DIÁRIOS'!$P$5:$P$500,"&gt;=98900")&gt;0,"X","")</f>
      </c>
      <c r="AA90" s="56" t="str">
        <f>IF(COUNTIFS('LANÇAMENTOS DIÁRIOS'!$G$5:$G$500,"C",'LANÇAMENTOS DIÁRIOS'!$C$5:$C$500,$A90,'LANÇAMENTOS DIÁRIOS'!$O$5:$O$500,"&lt;=99099",'LANÇAMENTOS DIÁRIOS'!$P$5:$P$500,"&gt;=99000")&gt;0,"X","")</f>
      </c>
      <c r="AB90" s="56" t="str">
        <f>IF(COUNTIFS('LANÇAMENTOS DIÁRIOS'!$G$5:$G$500,"C",'LANÇAMENTOS DIÁRIOS'!$C$5:$C$500,$A90,'LANÇAMENTOS DIÁRIOS'!$O$5:$O$500,"&lt;=99199",'LANÇAMENTOS DIÁRIOS'!$P$5:$P$500,"&gt;=99100")&gt;0,"X","")</f>
      </c>
      <c r="AC90" s="56" t="str">
        <f>IF(COUNTIFS('LANÇAMENTOS DIÁRIOS'!$G$5:$G$500,"C",'LANÇAMENTOS DIÁRIOS'!$C$5:$C$500,$A90,'LANÇAMENTOS DIÁRIOS'!$O$5:$O$500,"&lt;=99299",'LANÇAMENTOS DIÁRIOS'!$P$5:$P$500,"&gt;=99200")&gt;0,"X","")</f>
      </c>
      <c r="AD90" s="56" t="str">
        <f>IF(COUNTIFS('LANÇAMENTOS DIÁRIOS'!$G$5:$G$500,"C",'LANÇAMENTOS DIÁRIOS'!$C$5:$C$500,$A90,'LANÇAMENTOS DIÁRIOS'!$O$5:$O$500,"&lt;=99399",'LANÇAMENTOS DIÁRIOS'!$P$5:$P$500,"&gt;=99300")&gt;0,"X","")</f>
      </c>
      <c r="AE90" s="56" t="str">
        <f>IF(COUNTIFS('LANÇAMENTOS DIÁRIOS'!$G$5:$G$500,"C",'LANÇAMENTOS DIÁRIOS'!$C$5:$C$500,$A90,'LANÇAMENTOS DIÁRIOS'!$O$5:$O$500,"&lt;=99499",'LANÇAMENTOS DIÁRIOS'!$P$5:$P$500,"&gt;=99400")&gt;0,"X","")</f>
      </c>
      <c r="AF90" s="56" t="str">
        <f>IF(COUNTIFS('LANÇAMENTOS DIÁRIOS'!$G$5:$G$500,"C",'LANÇAMENTOS DIÁRIOS'!$C$5:$C$500,$A90,'LANÇAMENTOS DIÁRIOS'!$O$5:$O$500,"&lt;=99599",'LANÇAMENTOS DIÁRIOS'!$P$5:$P$500,"&gt;=99500")&gt;0,"X","")</f>
      </c>
      <c r="AG90" s="56" t="str">
        <f>IF(COUNTIFS('LANÇAMENTOS DIÁRIOS'!$G$5:$G$500,"C",'LANÇAMENTOS DIÁRIOS'!$C$5:$C$500,$A90,'LANÇAMENTOS DIÁRIOS'!$O$5:$O$500,"&lt;=99699",'LANÇAMENTOS DIÁRIOS'!$P$5:$P$500,"&gt;=99600")&gt;0,"X","")</f>
      </c>
      <c r="AH90" s="56" t="str">
        <f>IF(COUNTIFS('LANÇAMENTOS DIÁRIOS'!$G$5:$G$500,"C",'LANÇAMENTOS DIÁRIOS'!$C$5:$C$500,$A90,'LANÇAMENTOS DIÁRIOS'!$O$5:$O$500,"&lt;=99799",'LANÇAMENTOS DIÁRIOS'!$P$5:$P$500,"&gt;=99700")&gt;0,"X","")</f>
      </c>
      <c r="AI90" s="56" t="str">
        <f>IF(COUNTIFS('LANÇAMENTOS DIÁRIOS'!$G$5:$G$500,"C",'LANÇAMENTOS DIÁRIOS'!$C$5:$C$500,$A90,'LANÇAMENTOS DIÁRIOS'!$O$5:$O$500,"&lt;=99899",'LANÇAMENTOS DIÁRIOS'!$P$5:$P$500,"&gt;=99800")&gt;0,"X","")</f>
      </c>
      <c r="AJ90" s="56" t="str">
        <f>IF(COUNTIFS('LANÇAMENTOS DIÁRIOS'!$G$5:$G$500,"C",'LANÇAMENTOS DIÁRIOS'!$C$5:$C$500,$A90,'LANÇAMENTOS DIÁRIOS'!$O$5:$O$500,"&lt;=99999",'LANÇAMENTOS DIÁRIOS'!$P$5:$P$500,"&gt;=99900")&gt;0,"X","")</f>
      </c>
      <c r="AK90" s="56" t="str">
        <f>IF(COUNTIFS('LANÇAMENTOS DIÁRIOS'!$G$5:$G$500,"C",'LANÇAMENTOS DIÁRIOS'!$C$5:$C$500,$A90,'LANÇAMENTOS DIÁRIOS'!$O$5:$O$500,"&lt;=100099",'LANÇAMENTOS DIÁRIOS'!$P$5:$P$500,"&gt;=100000")&gt;0,"X","")</f>
      </c>
      <c r="AL90" s="56" t="str">
        <f>IF(COUNTIFS('LANÇAMENTOS DIÁRIOS'!$G$5:$G$500,"C",'LANÇAMENTOS DIÁRIOS'!$C$5:$C$500,$A90,'LANÇAMENTOS DIÁRIOS'!$O$5:$O$500,"&lt;=100199",'LANÇAMENTOS DIÁRIOS'!$P$5:$P$500,"&gt;=100100")&gt;0,"X","")</f>
      </c>
      <c r="AM90" s="56" t="str">
        <f>IF(COUNTIFS('LANÇAMENTOS DIÁRIOS'!$G$5:$G$500,"C",'LANÇAMENTOS DIÁRIOS'!$C$5:$C$500,$A90,'LANÇAMENTOS DIÁRIOS'!$O$5:$O$500,"&lt;=100299",'LANÇAMENTOS DIÁRIOS'!$P$5:$P$500,"&gt;=100200")&gt;0,"X","")</f>
      </c>
      <c r="AN90" s="56" t="str">
        <f>IF(COUNTIFS('LANÇAMENTOS DIÁRIOS'!$G$5:$G$500,"C",'LANÇAMENTOS DIÁRIOS'!$C$5:$C$500,$A90,'LANÇAMENTOS DIÁRIOS'!$O$5:$O$500,"&lt;=100399",'LANÇAMENTOS DIÁRIOS'!$P$5:$P$500,"&gt;=100300")&gt;0,"X","")</f>
      </c>
      <c r="AO90" s="56" t="str">
        <f>IF(COUNTIFS('LANÇAMENTOS DIÁRIOS'!$G$5:$G$500,"C",'LANÇAMENTOS DIÁRIOS'!$C$5:$C$500,$A90,'LANÇAMENTOS DIÁRIOS'!$O$5:$O$500,"&lt;=100499",'LANÇAMENTOS DIÁRIOS'!$P$5:$P$500,"&gt;=100400")&gt;0,"X","")</f>
      </c>
      <c r="AP90" s="56" t="str">
        <f>IF(COUNTIFS('LANÇAMENTOS DIÁRIOS'!$G$5:$G$500,"C",'LANÇAMENTOS DIÁRIOS'!$C$5:$C$500,$A90,'LANÇAMENTOS DIÁRIOS'!$O$5:$O$500,"&lt;=100500",'LANÇAMENTOS DIÁRIOS'!$P$5:$P$500,"&gt;=100500")&gt;0,"X","")</f>
      </c>
    </row>
    <row r="91">
      <c r="A91" s="51" t="str">
        <v>Imprimadura impermeabilizante, sem fornecimento de material</v>
      </c>
      <c r="B91" s="56" t="str">
        <f>IF(COUNTIFS('LANÇAMENTOS DIÁRIOS'!$G$5:$G$500,"C",'LANÇAMENTOS DIÁRIOS'!$C$5:$C$500,$A91,'LANÇAMENTOS DIÁRIOS'!$O$5:$O$500,"&lt;=96599",'LANÇAMENTOS DIÁRIOS'!$P$5:$P$500,"&gt;=96500")&gt;0,"X","")</f>
      </c>
      <c r="C91" s="56" t="str">
        <f>IF(COUNTIFS('LANÇAMENTOS DIÁRIOS'!$G$5:$G$500,"C",'LANÇAMENTOS DIÁRIOS'!$C$5:$C$500,$A91,'LANÇAMENTOS DIÁRIOS'!$O$5:$O$500,"&lt;=96699",'LANÇAMENTOS DIÁRIOS'!$P$5:$P$500,"&gt;=96600")&gt;0,"X","")</f>
      </c>
      <c r="D91" s="56" t="str">
        <f>IF(COUNTIFS('LANÇAMENTOS DIÁRIOS'!$G$5:$G$500,"C",'LANÇAMENTOS DIÁRIOS'!$C$5:$C$500,$A91,'LANÇAMENTOS DIÁRIOS'!$O$5:$O$500,"&lt;=96799",'LANÇAMENTOS DIÁRIOS'!$P$5:$P$500,"&gt;=96700")&gt;0,"X","")</f>
      </c>
      <c r="E91" s="56" t="str">
        <f>IF(COUNTIFS('LANÇAMENTOS DIÁRIOS'!$G$5:$G$500,"C",'LANÇAMENTOS DIÁRIOS'!$C$5:$C$500,$A91,'LANÇAMENTOS DIÁRIOS'!$O$5:$O$500,"&lt;=96899",'LANÇAMENTOS DIÁRIOS'!$P$5:$P$500,"&gt;=96800")&gt;0,"X","")</f>
      </c>
      <c r="F91" s="56" t="str">
        <f>IF(COUNTIFS('LANÇAMENTOS DIÁRIOS'!$G$5:$G$500,"C",'LANÇAMENTOS DIÁRIOS'!$C$5:$C$500,$A91,'LANÇAMENTOS DIÁRIOS'!$O$5:$O$500,"&lt;=96999",'LANÇAMENTOS DIÁRIOS'!$P$5:$P$500,"&gt;=96900")&gt;0,"X","")</f>
      </c>
      <c r="G91" s="56" t="str">
        <f>IF(COUNTIFS('LANÇAMENTOS DIÁRIOS'!$G$5:$G$500,"C",'LANÇAMENTOS DIÁRIOS'!$C$5:$C$500,$A91,'LANÇAMENTOS DIÁRIOS'!$O$5:$O$500,"&lt;=97099",'LANÇAMENTOS DIÁRIOS'!$P$5:$P$500,"&gt;=97000")&gt;0,"X","")</f>
      </c>
      <c r="H91" s="56" t="str">
        <f>IF(COUNTIFS('LANÇAMENTOS DIÁRIOS'!$G$5:$G$500,"C",'LANÇAMENTOS DIÁRIOS'!$C$5:$C$500,$A91,'LANÇAMENTOS DIÁRIOS'!$O$5:$O$500,"&lt;=97199",'LANÇAMENTOS DIÁRIOS'!$P$5:$P$500,"&gt;=97100")&gt;0,"X","")</f>
      </c>
      <c r="I91" s="56" t="str">
        <f>IF(COUNTIFS('LANÇAMENTOS DIÁRIOS'!$G$5:$G$500,"C",'LANÇAMENTOS DIÁRIOS'!$C$5:$C$500,$A91,'LANÇAMENTOS DIÁRIOS'!$O$5:$O$500,"&lt;=97299",'LANÇAMENTOS DIÁRIOS'!$P$5:$P$500,"&gt;=97200")&gt;0,"X","")</f>
      </c>
      <c r="J91" s="56" t="str">
        <f>IF(COUNTIFS('LANÇAMENTOS DIÁRIOS'!$G$5:$G$500,"C",'LANÇAMENTOS DIÁRIOS'!$C$5:$C$500,$A91,'LANÇAMENTOS DIÁRIOS'!$O$5:$O$500,"&lt;=97399",'LANÇAMENTOS DIÁRIOS'!$P$5:$P$500,"&gt;=97300")&gt;0,"X","")</f>
      </c>
      <c r="K91" s="56" t="str">
        <f>IF(COUNTIFS('LANÇAMENTOS DIÁRIOS'!$G$5:$G$500,"C",'LANÇAMENTOS DIÁRIOS'!$C$5:$C$500,$A91,'LANÇAMENTOS DIÁRIOS'!$O$5:$O$500,"&lt;=97499",'LANÇAMENTOS DIÁRIOS'!$P$5:$P$500,"&gt;=97400")&gt;0,"X","")</f>
      </c>
      <c r="L91" s="56" t="str">
        <f>IF(COUNTIFS('LANÇAMENTOS DIÁRIOS'!$G$5:$G$500,"C",'LANÇAMENTOS DIÁRIOS'!$C$5:$C$500,$A91,'LANÇAMENTOS DIÁRIOS'!$O$5:$O$500,"&lt;=97599",'LANÇAMENTOS DIÁRIOS'!$P$5:$P$500,"&gt;=97500")&gt;0,"X","")</f>
      </c>
      <c r="M91" s="56" t="str">
        <f>IF(COUNTIFS('LANÇAMENTOS DIÁRIOS'!$G$5:$G$500,"C",'LANÇAMENTOS DIÁRIOS'!$C$5:$C$500,$A91,'LANÇAMENTOS DIÁRIOS'!$O$5:$O$500,"&lt;=97699",'LANÇAMENTOS DIÁRIOS'!$P$5:$P$500,"&gt;=97600")&gt;0,"X","")</f>
      </c>
      <c r="N91" s="56" t="str">
        <f>IF(COUNTIFS('LANÇAMENTOS DIÁRIOS'!$G$5:$G$500,"C",'LANÇAMENTOS DIÁRIOS'!$C$5:$C$500,$A91,'LANÇAMENTOS DIÁRIOS'!$O$5:$O$500,"&lt;=97799",'LANÇAMENTOS DIÁRIOS'!$P$5:$P$500,"&gt;=97700")&gt;0,"X","")</f>
      </c>
      <c r="O91" s="56" t="str">
        <f>IF(COUNTIFS('LANÇAMENTOS DIÁRIOS'!$G$5:$G$500,"C",'LANÇAMENTOS DIÁRIOS'!$C$5:$C$500,$A91,'LANÇAMENTOS DIÁRIOS'!$O$5:$O$500,"&lt;=97899",'LANÇAMENTOS DIÁRIOS'!$P$5:$P$500,"&gt;=97800")&gt;0,"X","")</f>
      </c>
      <c r="P91" s="56" t="str">
        <f>IF(COUNTIFS('LANÇAMENTOS DIÁRIOS'!$G$5:$G$500,"C",'LANÇAMENTOS DIÁRIOS'!$C$5:$C$500,$A91,'LANÇAMENTOS DIÁRIOS'!$O$5:$O$500,"&lt;=97999",'LANÇAMENTOS DIÁRIOS'!$P$5:$P$500,"&gt;=97900")&gt;0,"X","")</f>
      </c>
      <c r="Q91" s="56" t="str">
        <f>IF(COUNTIFS('LANÇAMENTOS DIÁRIOS'!$G$5:$G$500,"C",'LANÇAMENTOS DIÁRIOS'!$C$5:$C$500,$A91,'LANÇAMENTOS DIÁRIOS'!$O$5:$O$500,"&lt;=98099",'LANÇAMENTOS DIÁRIOS'!$P$5:$P$500,"&gt;=98000")&gt;0,"X","")</f>
      </c>
      <c r="R91" s="56" t="str">
        <f>IF(COUNTIFS('LANÇAMENTOS DIÁRIOS'!$G$5:$G$500,"C",'LANÇAMENTOS DIÁRIOS'!$C$5:$C$500,$A91,'LANÇAMENTOS DIÁRIOS'!$O$5:$O$500,"&lt;=98199",'LANÇAMENTOS DIÁRIOS'!$P$5:$P$500,"&gt;=98100")&gt;0,"X","")</f>
      </c>
      <c r="S91" s="56" t="str">
        <f>IF(COUNTIFS('LANÇAMENTOS DIÁRIOS'!$G$5:$G$500,"C",'LANÇAMENTOS DIÁRIOS'!$C$5:$C$500,$A91,'LANÇAMENTOS DIÁRIOS'!$O$5:$O$500,"&lt;=98299",'LANÇAMENTOS DIÁRIOS'!$P$5:$P$500,"&gt;=98200")&gt;0,"X","")</f>
      </c>
      <c r="T91" s="56" t="str">
        <f>IF(COUNTIFS('LANÇAMENTOS DIÁRIOS'!$G$5:$G$500,"C",'LANÇAMENTOS DIÁRIOS'!$C$5:$C$500,$A91,'LANÇAMENTOS DIÁRIOS'!$O$5:$O$500,"&lt;=98399",'LANÇAMENTOS DIÁRIOS'!$P$5:$P$500,"&gt;=98300")&gt;0,"X","")</f>
      </c>
      <c r="U91" s="56" t="str">
        <f>IF(COUNTIFS('LANÇAMENTOS DIÁRIOS'!$G$5:$G$500,"C",'LANÇAMENTOS DIÁRIOS'!$C$5:$C$500,$A91,'LANÇAMENTOS DIÁRIOS'!$O$5:$O$500,"&lt;=98499",'LANÇAMENTOS DIÁRIOS'!$P$5:$P$500,"&gt;=98400")&gt;0,"X","")</f>
      </c>
      <c r="V91" s="56" t="str">
        <f>IF(COUNTIFS('LANÇAMENTOS DIÁRIOS'!$G$5:$G$500,"C",'LANÇAMENTOS DIÁRIOS'!$C$5:$C$500,$A91,'LANÇAMENTOS DIÁRIOS'!$O$5:$O$500,"&lt;=98599",'LANÇAMENTOS DIÁRIOS'!$P$5:$P$500,"&gt;=98500")&gt;0,"X","")</f>
      </c>
      <c r="W91" s="56" t="str">
        <f>IF(COUNTIFS('LANÇAMENTOS DIÁRIOS'!$G$5:$G$500,"C",'LANÇAMENTOS DIÁRIOS'!$C$5:$C$500,$A91,'LANÇAMENTOS DIÁRIOS'!$O$5:$O$500,"&lt;=98699",'LANÇAMENTOS DIÁRIOS'!$P$5:$P$500,"&gt;=98600")&gt;0,"X","")</f>
      </c>
      <c r="X91" s="56" t="str">
        <f>IF(COUNTIFS('LANÇAMENTOS DIÁRIOS'!$G$5:$G$500,"C",'LANÇAMENTOS DIÁRIOS'!$C$5:$C$500,$A91,'LANÇAMENTOS DIÁRIOS'!$O$5:$O$500,"&lt;=98799",'LANÇAMENTOS DIÁRIOS'!$P$5:$P$500,"&gt;=98700")&gt;0,"X","")</f>
      </c>
      <c r="Y91" s="56" t="str">
        <f>IF(COUNTIFS('LANÇAMENTOS DIÁRIOS'!$G$5:$G$500,"C",'LANÇAMENTOS DIÁRIOS'!$C$5:$C$500,$A91,'LANÇAMENTOS DIÁRIOS'!$O$5:$O$500,"&lt;=98899",'LANÇAMENTOS DIÁRIOS'!$P$5:$P$500,"&gt;=98800")&gt;0,"X","")</f>
      </c>
      <c r="Z91" s="56" t="str">
        <f>IF(COUNTIFS('LANÇAMENTOS DIÁRIOS'!$G$5:$G$500,"C",'LANÇAMENTOS DIÁRIOS'!$C$5:$C$500,$A91,'LANÇAMENTOS DIÁRIOS'!$O$5:$O$500,"&lt;=98999",'LANÇAMENTOS DIÁRIOS'!$P$5:$P$500,"&gt;=98900")&gt;0,"X","")</f>
      </c>
      <c r="AA91" s="56" t="str">
        <f>IF(COUNTIFS('LANÇAMENTOS DIÁRIOS'!$G$5:$G$500,"C",'LANÇAMENTOS DIÁRIOS'!$C$5:$C$500,$A91,'LANÇAMENTOS DIÁRIOS'!$O$5:$O$500,"&lt;=99099",'LANÇAMENTOS DIÁRIOS'!$P$5:$P$500,"&gt;=99000")&gt;0,"X","")</f>
      </c>
      <c r="AB91" s="56" t="str">
        <f>IF(COUNTIFS('LANÇAMENTOS DIÁRIOS'!$G$5:$G$500,"C",'LANÇAMENTOS DIÁRIOS'!$C$5:$C$500,$A91,'LANÇAMENTOS DIÁRIOS'!$O$5:$O$500,"&lt;=99199",'LANÇAMENTOS DIÁRIOS'!$P$5:$P$500,"&gt;=99100")&gt;0,"X","")</f>
      </c>
      <c r="AC91" s="56" t="str">
        <f>IF(COUNTIFS('LANÇAMENTOS DIÁRIOS'!$G$5:$G$500,"C",'LANÇAMENTOS DIÁRIOS'!$C$5:$C$500,$A91,'LANÇAMENTOS DIÁRIOS'!$O$5:$O$500,"&lt;=99299",'LANÇAMENTOS DIÁRIOS'!$P$5:$P$500,"&gt;=99200")&gt;0,"X","")</f>
      </c>
      <c r="AD91" s="56" t="str">
        <f>IF(COUNTIFS('LANÇAMENTOS DIÁRIOS'!$G$5:$G$500,"C",'LANÇAMENTOS DIÁRIOS'!$C$5:$C$500,$A91,'LANÇAMENTOS DIÁRIOS'!$O$5:$O$500,"&lt;=99399",'LANÇAMENTOS DIÁRIOS'!$P$5:$P$500,"&gt;=99300")&gt;0,"X","")</f>
      </c>
      <c r="AE91" s="56" t="str">
        <f>IF(COUNTIFS('LANÇAMENTOS DIÁRIOS'!$G$5:$G$500,"C",'LANÇAMENTOS DIÁRIOS'!$C$5:$C$500,$A91,'LANÇAMENTOS DIÁRIOS'!$O$5:$O$500,"&lt;=99499",'LANÇAMENTOS DIÁRIOS'!$P$5:$P$500,"&gt;=99400")&gt;0,"X","")</f>
      </c>
      <c r="AF91" s="56" t="str">
        <f>IF(COUNTIFS('LANÇAMENTOS DIÁRIOS'!$G$5:$G$500,"C",'LANÇAMENTOS DIÁRIOS'!$C$5:$C$500,$A91,'LANÇAMENTOS DIÁRIOS'!$O$5:$O$500,"&lt;=99599",'LANÇAMENTOS DIÁRIOS'!$P$5:$P$500,"&gt;=99500")&gt;0,"X","")</f>
      </c>
      <c r="AG91" s="56" t="str">
        <f>IF(COUNTIFS('LANÇAMENTOS DIÁRIOS'!$G$5:$G$500,"C",'LANÇAMENTOS DIÁRIOS'!$C$5:$C$500,$A91,'LANÇAMENTOS DIÁRIOS'!$O$5:$O$500,"&lt;=99699",'LANÇAMENTOS DIÁRIOS'!$P$5:$P$500,"&gt;=99600")&gt;0,"X","")</f>
      </c>
      <c r="AH91" s="56" t="str">
        <f>IF(COUNTIFS('LANÇAMENTOS DIÁRIOS'!$G$5:$G$500,"C",'LANÇAMENTOS DIÁRIOS'!$C$5:$C$500,$A91,'LANÇAMENTOS DIÁRIOS'!$O$5:$O$500,"&lt;=99799",'LANÇAMENTOS DIÁRIOS'!$P$5:$P$500,"&gt;=99700")&gt;0,"X","")</f>
      </c>
      <c r="AI91" s="56" t="str">
        <f>IF(COUNTIFS('LANÇAMENTOS DIÁRIOS'!$G$5:$G$500,"C",'LANÇAMENTOS DIÁRIOS'!$C$5:$C$500,$A91,'LANÇAMENTOS DIÁRIOS'!$O$5:$O$500,"&lt;=99899",'LANÇAMENTOS DIÁRIOS'!$P$5:$P$500,"&gt;=99800")&gt;0,"X","")</f>
      </c>
      <c r="AJ91" s="56" t="str">
        <f>IF(COUNTIFS('LANÇAMENTOS DIÁRIOS'!$G$5:$G$500,"C",'LANÇAMENTOS DIÁRIOS'!$C$5:$C$500,$A91,'LANÇAMENTOS DIÁRIOS'!$O$5:$O$500,"&lt;=99999",'LANÇAMENTOS DIÁRIOS'!$P$5:$P$500,"&gt;=99900")&gt;0,"X","")</f>
      </c>
      <c r="AK91" s="56" t="str">
        <f>IF(COUNTIFS('LANÇAMENTOS DIÁRIOS'!$G$5:$G$500,"C",'LANÇAMENTOS DIÁRIOS'!$C$5:$C$500,$A91,'LANÇAMENTOS DIÁRIOS'!$O$5:$O$500,"&lt;=100099",'LANÇAMENTOS DIÁRIOS'!$P$5:$P$500,"&gt;=100000")&gt;0,"X","")</f>
      </c>
      <c r="AL91" s="56" t="str">
        <f>IF(COUNTIFS('LANÇAMENTOS DIÁRIOS'!$G$5:$G$500,"C",'LANÇAMENTOS DIÁRIOS'!$C$5:$C$500,$A91,'LANÇAMENTOS DIÁRIOS'!$O$5:$O$500,"&lt;=100199",'LANÇAMENTOS DIÁRIOS'!$P$5:$P$500,"&gt;=100100")&gt;0,"X","")</f>
      </c>
      <c r="AM91" s="56" t="str">
        <f>IF(COUNTIFS('LANÇAMENTOS DIÁRIOS'!$G$5:$G$500,"C",'LANÇAMENTOS DIÁRIOS'!$C$5:$C$500,$A91,'LANÇAMENTOS DIÁRIOS'!$O$5:$O$500,"&lt;=100299",'LANÇAMENTOS DIÁRIOS'!$P$5:$P$500,"&gt;=100200")&gt;0,"X","")</f>
      </c>
      <c r="AN91" s="56" t="str">
        <f>IF(COUNTIFS('LANÇAMENTOS DIÁRIOS'!$G$5:$G$500,"C",'LANÇAMENTOS DIÁRIOS'!$C$5:$C$500,$A91,'LANÇAMENTOS DIÁRIOS'!$O$5:$O$500,"&lt;=100399",'LANÇAMENTOS DIÁRIOS'!$P$5:$P$500,"&gt;=100300")&gt;0,"X","")</f>
      </c>
      <c r="AO91" s="56" t="str">
        <f>IF(COUNTIFS('LANÇAMENTOS DIÁRIOS'!$G$5:$G$500,"C",'LANÇAMENTOS DIÁRIOS'!$C$5:$C$500,$A91,'LANÇAMENTOS DIÁRIOS'!$O$5:$O$500,"&lt;=100499",'LANÇAMENTOS DIÁRIOS'!$P$5:$P$500,"&gt;=100400")&gt;0,"X","")</f>
      </c>
      <c r="AP91" s="56" t="str">
        <f>IF(COUNTIFS('LANÇAMENTOS DIÁRIOS'!$G$5:$G$500,"C",'LANÇAMENTOS DIÁRIOS'!$C$5:$C$500,$A91,'LANÇAMENTOS DIÁRIOS'!$O$5:$O$500,"&lt;=100500",'LANÇAMENTOS DIÁRIOS'!$P$5:$P$500,"&gt;=100500")&gt;0,"X","")</f>
      </c>
    </row>
    <row r="92" ht="21" customHeight="1">
      <c r="A92" s="60" t="str">
        <v>Drenagem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</row>
    <row r="93" ht="19" customHeight="1">
      <c r="A93" s="68" t="str">
        <v>Obras de drenagem profunda. Galerias e Bueiros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</row>
    <row r="94">
      <c r="A94" s="51" t="str">
        <v>Obras de drenagem profunda. Galerias e Bueiros</v>
      </c>
      <c r="B94" s="56" t="str">
        <f>IF(COUNTIFS('LANÇAMENTOS DIÁRIOS'!$G$5:$G$500,"C",'LANÇAMENTOS DIÁRIOS'!$C$5:$C$500,$A94,'LANÇAMENTOS DIÁRIOS'!$O$5:$O$500,"&lt;=96599",'LANÇAMENTOS DIÁRIOS'!$P$5:$P$500,"&gt;=96500")&gt;0,"X","")</f>
      </c>
      <c r="C94" s="56" t="str">
        <f>IF(COUNTIFS('LANÇAMENTOS DIÁRIOS'!$G$5:$G$500,"C",'LANÇAMENTOS DIÁRIOS'!$C$5:$C$500,$A94,'LANÇAMENTOS DIÁRIOS'!$O$5:$O$500,"&lt;=96699",'LANÇAMENTOS DIÁRIOS'!$P$5:$P$500,"&gt;=96600")&gt;0,"X","")</f>
      </c>
      <c r="D94" s="56" t="str">
        <f>IF(COUNTIFS('LANÇAMENTOS DIÁRIOS'!$G$5:$G$500,"C",'LANÇAMENTOS DIÁRIOS'!$C$5:$C$500,$A94,'LANÇAMENTOS DIÁRIOS'!$O$5:$O$500,"&lt;=96799",'LANÇAMENTOS DIÁRIOS'!$P$5:$P$500,"&gt;=96700")&gt;0,"X","")</f>
      </c>
      <c r="E94" s="56" t="str">
        <f>IF(COUNTIFS('LANÇAMENTOS DIÁRIOS'!$G$5:$G$500,"C",'LANÇAMENTOS DIÁRIOS'!$C$5:$C$500,$A94,'LANÇAMENTOS DIÁRIOS'!$O$5:$O$500,"&lt;=96899",'LANÇAMENTOS DIÁRIOS'!$P$5:$P$500,"&gt;=96800")&gt;0,"X","")</f>
      </c>
      <c r="F94" s="56" t="str">
        <f>IF(COUNTIFS('LANÇAMENTOS DIÁRIOS'!$G$5:$G$500,"C",'LANÇAMENTOS DIÁRIOS'!$C$5:$C$500,$A94,'LANÇAMENTOS DIÁRIOS'!$O$5:$O$500,"&lt;=96999",'LANÇAMENTOS DIÁRIOS'!$P$5:$P$500,"&gt;=96900")&gt;0,"X","")</f>
      </c>
      <c r="G94" s="56" t="str">
        <f>IF(COUNTIFS('LANÇAMENTOS DIÁRIOS'!$G$5:$G$500,"C",'LANÇAMENTOS DIÁRIOS'!$C$5:$C$500,$A94,'LANÇAMENTOS DIÁRIOS'!$O$5:$O$500,"&lt;=97099",'LANÇAMENTOS DIÁRIOS'!$P$5:$P$500,"&gt;=97000")&gt;0,"X","")</f>
      </c>
      <c r="H94" s="56" t="str">
        <f>IF(COUNTIFS('LANÇAMENTOS DIÁRIOS'!$G$5:$G$500,"C",'LANÇAMENTOS DIÁRIOS'!$C$5:$C$500,$A94,'LANÇAMENTOS DIÁRIOS'!$O$5:$O$500,"&lt;=97199",'LANÇAMENTOS DIÁRIOS'!$P$5:$P$500,"&gt;=97100")&gt;0,"X","")</f>
      </c>
      <c r="I94" s="56" t="str">
        <f>IF(COUNTIFS('LANÇAMENTOS DIÁRIOS'!$G$5:$G$500,"C",'LANÇAMENTOS DIÁRIOS'!$C$5:$C$500,$A94,'LANÇAMENTOS DIÁRIOS'!$O$5:$O$500,"&lt;=97299",'LANÇAMENTOS DIÁRIOS'!$P$5:$P$500,"&gt;=97200")&gt;0,"X","")</f>
      </c>
      <c r="J94" s="56" t="str">
        <f>IF(COUNTIFS('LANÇAMENTOS DIÁRIOS'!$G$5:$G$500,"C",'LANÇAMENTOS DIÁRIOS'!$C$5:$C$500,$A94,'LANÇAMENTOS DIÁRIOS'!$O$5:$O$500,"&lt;=97399",'LANÇAMENTOS DIÁRIOS'!$P$5:$P$500,"&gt;=97300")&gt;0,"X","")</f>
      </c>
      <c r="K94" s="56" t="str">
        <f>IF(COUNTIFS('LANÇAMENTOS DIÁRIOS'!$G$5:$G$500,"C",'LANÇAMENTOS DIÁRIOS'!$C$5:$C$500,$A94,'LANÇAMENTOS DIÁRIOS'!$O$5:$O$500,"&lt;=97499",'LANÇAMENTOS DIÁRIOS'!$P$5:$P$500,"&gt;=97400")&gt;0,"X","")</f>
      </c>
      <c r="L94" s="56" t="str">
        <f>IF(COUNTIFS('LANÇAMENTOS DIÁRIOS'!$G$5:$G$500,"C",'LANÇAMENTOS DIÁRIOS'!$C$5:$C$500,$A94,'LANÇAMENTOS DIÁRIOS'!$O$5:$O$500,"&lt;=97599",'LANÇAMENTOS DIÁRIOS'!$P$5:$P$500,"&gt;=97500")&gt;0,"X","")</f>
      </c>
      <c r="M94" s="56" t="str">
        <f>IF(COUNTIFS('LANÇAMENTOS DIÁRIOS'!$G$5:$G$500,"C",'LANÇAMENTOS DIÁRIOS'!$C$5:$C$500,$A94,'LANÇAMENTOS DIÁRIOS'!$O$5:$O$500,"&lt;=97699",'LANÇAMENTOS DIÁRIOS'!$P$5:$P$500,"&gt;=97600")&gt;0,"X","")</f>
      </c>
      <c r="N94" s="56" t="str">
        <f>IF(COUNTIFS('LANÇAMENTOS DIÁRIOS'!$G$5:$G$500,"C",'LANÇAMENTOS DIÁRIOS'!$C$5:$C$500,$A94,'LANÇAMENTOS DIÁRIOS'!$O$5:$O$500,"&lt;=97799",'LANÇAMENTOS DIÁRIOS'!$P$5:$P$500,"&gt;=97700")&gt;0,"X","")</f>
      </c>
      <c r="O94" s="56" t="str">
        <f>IF(COUNTIFS('LANÇAMENTOS DIÁRIOS'!$G$5:$G$500,"C",'LANÇAMENTOS DIÁRIOS'!$C$5:$C$500,$A94,'LANÇAMENTOS DIÁRIOS'!$O$5:$O$500,"&lt;=97899",'LANÇAMENTOS DIÁRIOS'!$P$5:$P$500,"&gt;=97800")&gt;0,"X","")</f>
      </c>
      <c r="P94" s="56" t="str">
        <f>IF(COUNTIFS('LANÇAMENTOS DIÁRIOS'!$G$5:$G$500,"C",'LANÇAMENTOS DIÁRIOS'!$C$5:$C$500,$A94,'LANÇAMENTOS DIÁRIOS'!$O$5:$O$500,"&lt;=97999",'LANÇAMENTOS DIÁRIOS'!$P$5:$P$500,"&gt;=97900")&gt;0,"X","")</f>
      </c>
      <c r="Q94" s="56" t="str">
        <f>IF(COUNTIFS('LANÇAMENTOS DIÁRIOS'!$G$5:$G$500,"C",'LANÇAMENTOS DIÁRIOS'!$C$5:$C$500,$A94,'LANÇAMENTOS DIÁRIOS'!$O$5:$O$500,"&lt;=98099",'LANÇAMENTOS DIÁRIOS'!$P$5:$P$500,"&gt;=98000")&gt;0,"X","")</f>
      </c>
      <c r="R94" s="56" t="str">
        <f>IF(COUNTIFS('LANÇAMENTOS DIÁRIOS'!$G$5:$G$500,"C",'LANÇAMENTOS DIÁRIOS'!$C$5:$C$500,$A94,'LANÇAMENTOS DIÁRIOS'!$O$5:$O$500,"&lt;=98199",'LANÇAMENTOS DIÁRIOS'!$P$5:$P$500,"&gt;=98100")&gt;0,"X","")</f>
      </c>
      <c r="S94" s="56" t="str">
        <f>IF(COUNTIFS('LANÇAMENTOS DIÁRIOS'!$G$5:$G$500,"C",'LANÇAMENTOS DIÁRIOS'!$C$5:$C$500,$A94,'LANÇAMENTOS DIÁRIOS'!$O$5:$O$500,"&lt;=98299",'LANÇAMENTOS DIÁRIOS'!$P$5:$P$500,"&gt;=98200")&gt;0,"X","")</f>
      </c>
      <c r="T94" s="56" t="str">
        <f>IF(COUNTIFS('LANÇAMENTOS DIÁRIOS'!$G$5:$G$500,"C",'LANÇAMENTOS DIÁRIOS'!$C$5:$C$500,$A94,'LANÇAMENTOS DIÁRIOS'!$O$5:$O$500,"&lt;=98399",'LANÇAMENTOS DIÁRIOS'!$P$5:$P$500,"&gt;=98300")&gt;0,"X","")</f>
      </c>
      <c r="U94" s="56" t="str">
        <f>IF(COUNTIFS('LANÇAMENTOS DIÁRIOS'!$G$5:$G$500,"C",'LANÇAMENTOS DIÁRIOS'!$C$5:$C$500,$A94,'LANÇAMENTOS DIÁRIOS'!$O$5:$O$500,"&lt;=98499",'LANÇAMENTOS DIÁRIOS'!$P$5:$P$500,"&gt;=98400")&gt;0,"X","")</f>
      </c>
      <c r="V94" s="56" t="str">
        <f>IF(COUNTIFS('LANÇAMENTOS DIÁRIOS'!$G$5:$G$500,"C",'LANÇAMENTOS DIÁRIOS'!$C$5:$C$500,$A94,'LANÇAMENTOS DIÁRIOS'!$O$5:$O$500,"&lt;=98599",'LANÇAMENTOS DIÁRIOS'!$P$5:$P$500,"&gt;=98500")&gt;0,"X","")</f>
      </c>
      <c r="W94" s="56" t="str">
        <f>IF(COUNTIFS('LANÇAMENTOS DIÁRIOS'!$G$5:$G$500,"C",'LANÇAMENTOS DIÁRIOS'!$C$5:$C$500,$A94,'LANÇAMENTOS DIÁRIOS'!$O$5:$O$500,"&lt;=98699",'LANÇAMENTOS DIÁRIOS'!$P$5:$P$500,"&gt;=98600")&gt;0,"X","")</f>
      </c>
      <c r="X94" s="56" t="str">
        <f>IF(COUNTIFS('LANÇAMENTOS DIÁRIOS'!$G$5:$G$500,"C",'LANÇAMENTOS DIÁRIOS'!$C$5:$C$500,$A94,'LANÇAMENTOS DIÁRIOS'!$O$5:$O$500,"&lt;=98799",'LANÇAMENTOS DIÁRIOS'!$P$5:$P$500,"&gt;=98700")&gt;0,"X","")</f>
      </c>
      <c r="Y94" s="56" t="str">
        <f>IF(COUNTIFS('LANÇAMENTOS DIÁRIOS'!$G$5:$G$500,"C",'LANÇAMENTOS DIÁRIOS'!$C$5:$C$500,$A94,'LANÇAMENTOS DIÁRIOS'!$O$5:$O$500,"&lt;=98899",'LANÇAMENTOS DIÁRIOS'!$P$5:$P$500,"&gt;=98800")&gt;0,"X","")</f>
      </c>
      <c r="Z94" s="56" t="str">
        <f>IF(COUNTIFS('LANÇAMENTOS DIÁRIOS'!$G$5:$G$500,"C",'LANÇAMENTOS DIÁRIOS'!$C$5:$C$500,$A94,'LANÇAMENTOS DIÁRIOS'!$O$5:$O$500,"&lt;=98999",'LANÇAMENTOS DIÁRIOS'!$P$5:$P$500,"&gt;=98900")&gt;0,"X","")</f>
      </c>
      <c r="AA94" s="56" t="str">
        <f>IF(COUNTIFS('LANÇAMENTOS DIÁRIOS'!$G$5:$G$500,"C",'LANÇAMENTOS DIÁRIOS'!$C$5:$C$500,$A94,'LANÇAMENTOS DIÁRIOS'!$O$5:$O$500,"&lt;=99099",'LANÇAMENTOS DIÁRIOS'!$P$5:$P$500,"&gt;=99000")&gt;0,"X","")</f>
      </c>
      <c r="AB94" s="56" t="str">
        <f>IF(COUNTIFS('LANÇAMENTOS DIÁRIOS'!$G$5:$G$500,"C",'LANÇAMENTOS DIÁRIOS'!$C$5:$C$500,$A94,'LANÇAMENTOS DIÁRIOS'!$O$5:$O$500,"&lt;=99199",'LANÇAMENTOS DIÁRIOS'!$P$5:$P$500,"&gt;=99100")&gt;0,"X","")</f>
      </c>
      <c r="AC94" s="56" t="str">
        <f>IF(COUNTIFS('LANÇAMENTOS DIÁRIOS'!$G$5:$G$500,"C",'LANÇAMENTOS DIÁRIOS'!$C$5:$C$500,$A94,'LANÇAMENTOS DIÁRIOS'!$O$5:$O$500,"&lt;=99299",'LANÇAMENTOS DIÁRIOS'!$P$5:$P$500,"&gt;=99200")&gt;0,"X","")</f>
      </c>
      <c r="AD94" s="56" t="str">
        <f>IF(COUNTIFS('LANÇAMENTOS DIÁRIOS'!$G$5:$G$500,"C",'LANÇAMENTOS DIÁRIOS'!$C$5:$C$500,$A94,'LANÇAMENTOS DIÁRIOS'!$O$5:$O$500,"&lt;=99399",'LANÇAMENTOS DIÁRIOS'!$P$5:$P$500,"&gt;=99300")&gt;0,"X","")</f>
      </c>
      <c r="AE94" s="56" t="str">
        <f>IF(COUNTIFS('LANÇAMENTOS DIÁRIOS'!$G$5:$G$500,"C",'LANÇAMENTOS DIÁRIOS'!$C$5:$C$500,$A94,'LANÇAMENTOS DIÁRIOS'!$O$5:$O$500,"&lt;=99499",'LANÇAMENTOS DIÁRIOS'!$P$5:$P$500,"&gt;=99400")&gt;0,"X","")</f>
      </c>
      <c r="AF94" s="56" t="str">
        <f>IF(COUNTIFS('LANÇAMENTOS DIÁRIOS'!$G$5:$G$500,"C",'LANÇAMENTOS DIÁRIOS'!$C$5:$C$500,$A94,'LANÇAMENTOS DIÁRIOS'!$O$5:$O$500,"&lt;=99599",'LANÇAMENTOS DIÁRIOS'!$P$5:$P$500,"&gt;=99500")&gt;0,"X","")</f>
      </c>
      <c r="AG94" s="56" t="str">
        <f>IF(COUNTIFS('LANÇAMENTOS DIÁRIOS'!$G$5:$G$500,"C",'LANÇAMENTOS DIÁRIOS'!$C$5:$C$500,$A94,'LANÇAMENTOS DIÁRIOS'!$O$5:$O$500,"&lt;=99699",'LANÇAMENTOS DIÁRIOS'!$P$5:$P$500,"&gt;=99600")&gt;0,"X","")</f>
      </c>
      <c r="AH94" s="56" t="str">
        <f>IF(COUNTIFS('LANÇAMENTOS DIÁRIOS'!$G$5:$G$500,"C",'LANÇAMENTOS DIÁRIOS'!$C$5:$C$500,$A94,'LANÇAMENTOS DIÁRIOS'!$O$5:$O$500,"&lt;=99799",'LANÇAMENTOS DIÁRIOS'!$P$5:$P$500,"&gt;=99700")&gt;0,"X","")</f>
      </c>
      <c r="AI94" s="56" t="str">
        <f>IF(COUNTIFS('LANÇAMENTOS DIÁRIOS'!$G$5:$G$500,"C",'LANÇAMENTOS DIÁRIOS'!$C$5:$C$500,$A94,'LANÇAMENTOS DIÁRIOS'!$O$5:$O$500,"&lt;=99899",'LANÇAMENTOS DIÁRIOS'!$P$5:$P$500,"&gt;=99800")&gt;0,"X","")</f>
      </c>
      <c r="AJ94" s="56" t="str">
        <f>IF(COUNTIFS('LANÇAMENTOS DIÁRIOS'!$G$5:$G$500,"C",'LANÇAMENTOS DIÁRIOS'!$C$5:$C$500,$A94,'LANÇAMENTOS DIÁRIOS'!$O$5:$O$500,"&lt;=99999",'LANÇAMENTOS DIÁRIOS'!$P$5:$P$500,"&gt;=99900")&gt;0,"X","")</f>
      </c>
      <c r="AK94" s="56" t="str">
        <f>IF(COUNTIFS('LANÇAMENTOS DIÁRIOS'!$G$5:$G$500,"C",'LANÇAMENTOS DIÁRIOS'!$C$5:$C$500,$A94,'LANÇAMENTOS DIÁRIOS'!$O$5:$O$500,"&lt;=100099",'LANÇAMENTOS DIÁRIOS'!$P$5:$P$500,"&gt;=100000")&gt;0,"X","")</f>
      </c>
      <c r="AL94" s="56" t="str">
        <f>IF(COUNTIFS('LANÇAMENTOS DIÁRIOS'!$G$5:$G$500,"C",'LANÇAMENTOS DIÁRIOS'!$C$5:$C$500,$A94,'LANÇAMENTOS DIÁRIOS'!$O$5:$O$500,"&lt;=100199",'LANÇAMENTOS DIÁRIOS'!$P$5:$P$500,"&gt;=100100")&gt;0,"X","")</f>
      </c>
      <c r="AM94" s="56" t="str">
        <f>IF(COUNTIFS('LANÇAMENTOS DIÁRIOS'!$G$5:$G$500,"C",'LANÇAMENTOS DIÁRIOS'!$C$5:$C$500,$A94,'LANÇAMENTOS DIÁRIOS'!$O$5:$O$500,"&lt;=100299",'LANÇAMENTOS DIÁRIOS'!$P$5:$P$500,"&gt;=100200")&gt;0,"X","")</f>
      </c>
      <c r="AN94" s="56" t="str">
        <f>IF(COUNTIFS('LANÇAMENTOS DIÁRIOS'!$G$5:$G$500,"C",'LANÇAMENTOS DIÁRIOS'!$C$5:$C$500,$A94,'LANÇAMENTOS DIÁRIOS'!$O$5:$O$500,"&lt;=100399",'LANÇAMENTOS DIÁRIOS'!$P$5:$P$500,"&gt;=100300")&gt;0,"X","")</f>
      </c>
      <c r="AO94" s="56" t="str">
        <f>IF(COUNTIFS('LANÇAMENTOS DIÁRIOS'!$G$5:$G$500,"C",'LANÇAMENTOS DIÁRIOS'!$C$5:$C$500,$A94,'LANÇAMENTOS DIÁRIOS'!$O$5:$O$500,"&lt;=100499",'LANÇAMENTOS DIÁRIOS'!$P$5:$P$500,"&gt;=100400")&gt;0,"X","")</f>
      </c>
      <c r="AP94" s="56" t="str">
        <f>IF(COUNTIFS('LANÇAMENTOS DIÁRIOS'!$G$5:$G$500,"C",'LANÇAMENTOS DIÁRIOS'!$C$5:$C$500,$A94,'LANÇAMENTOS DIÁRIOS'!$O$5:$O$500,"&lt;=100500",'LANÇAMENTOS DIÁRIOS'!$P$5:$P$500,"&gt;=100500")&gt;0,"X","")</f>
      </c>
    </row>
    <row r="95" ht="19" customHeight="1">
      <c r="A95" s="68" t="str">
        <v>Obras de drenagem superficiais. Sarjetas e Valetas</v>
      </c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</row>
    <row r="96">
      <c r="A96" s="51" t="str">
        <v>Obras de drenagem superficiais. Sarjetas e Valetas</v>
      </c>
      <c r="B96" s="56" t="str">
        <f>IF(COUNTIFS('LANÇAMENTOS DIÁRIOS'!$G$5:$G$500,"C",'LANÇAMENTOS DIÁRIOS'!$C$5:$C$500,$A96,'LANÇAMENTOS DIÁRIOS'!$O$5:$O$500,"&lt;=96599",'LANÇAMENTOS DIÁRIOS'!$P$5:$P$500,"&gt;=96500")&gt;0,"X","")</f>
      </c>
      <c r="C96" s="56" t="str">
        <f>IF(COUNTIFS('LANÇAMENTOS DIÁRIOS'!$G$5:$G$500,"C",'LANÇAMENTOS DIÁRIOS'!$C$5:$C$500,$A96,'LANÇAMENTOS DIÁRIOS'!$O$5:$O$500,"&lt;=96699",'LANÇAMENTOS DIÁRIOS'!$P$5:$P$500,"&gt;=96600")&gt;0,"X","")</f>
      </c>
      <c r="D96" s="56" t="str">
        <f>IF(COUNTIFS('LANÇAMENTOS DIÁRIOS'!$G$5:$G$500,"C",'LANÇAMENTOS DIÁRIOS'!$C$5:$C$500,$A96,'LANÇAMENTOS DIÁRIOS'!$O$5:$O$500,"&lt;=96799",'LANÇAMENTOS DIÁRIOS'!$P$5:$P$500,"&gt;=96700")&gt;0,"X","")</f>
      </c>
      <c r="E96" s="56" t="str">
        <f>IF(COUNTIFS('LANÇAMENTOS DIÁRIOS'!$G$5:$G$500,"C",'LANÇAMENTOS DIÁRIOS'!$C$5:$C$500,$A96,'LANÇAMENTOS DIÁRIOS'!$O$5:$O$500,"&lt;=96899",'LANÇAMENTOS DIÁRIOS'!$P$5:$P$500,"&gt;=96800")&gt;0,"X","")</f>
      </c>
      <c r="F96" s="56" t="str">
        <f>IF(COUNTIFS('LANÇAMENTOS DIÁRIOS'!$G$5:$G$500,"C",'LANÇAMENTOS DIÁRIOS'!$C$5:$C$500,$A96,'LANÇAMENTOS DIÁRIOS'!$O$5:$O$500,"&lt;=96999",'LANÇAMENTOS DIÁRIOS'!$P$5:$P$500,"&gt;=96900")&gt;0,"X","")</f>
      </c>
      <c r="G96" s="56" t="str">
        <f>IF(COUNTIFS('LANÇAMENTOS DIÁRIOS'!$G$5:$G$500,"C",'LANÇAMENTOS DIÁRIOS'!$C$5:$C$500,$A96,'LANÇAMENTOS DIÁRIOS'!$O$5:$O$500,"&lt;=97099",'LANÇAMENTOS DIÁRIOS'!$P$5:$P$500,"&gt;=97000")&gt;0,"X","")</f>
      </c>
      <c r="H96" s="56" t="str">
        <f>IF(COUNTIFS('LANÇAMENTOS DIÁRIOS'!$G$5:$G$500,"C",'LANÇAMENTOS DIÁRIOS'!$C$5:$C$500,$A96,'LANÇAMENTOS DIÁRIOS'!$O$5:$O$500,"&lt;=97199",'LANÇAMENTOS DIÁRIOS'!$P$5:$P$500,"&gt;=97100")&gt;0,"X","")</f>
      </c>
      <c r="I96" s="56" t="str">
        <f>IF(COUNTIFS('LANÇAMENTOS DIÁRIOS'!$G$5:$G$500,"C",'LANÇAMENTOS DIÁRIOS'!$C$5:$C$500,$A96,'LANÇAMENTOS DIÁRIOS'!$O$5:$O$500,"&lt;=97299",'LANÇAMENTOS DIÁRIOS'!$P$5:$P$500,"&gt;=97200")&gt;0,"X","")</f>
      </c>
      <c r="J96" s="56" t="str">
        <f>IF(COUNTIFS('LANÇAMENTOS DIÁRIOS'!$G$5:$G$500,"C",'LANÇAMENTOS DIÁRIOS'!$C$5:$C$500,$A96,'LANÇAMENTOS DIÁRIOS'!$O$5:$O$500,"&lt;=97399",'LANÇAMENTOS DIÁRIOS'!$P$5:$P$500,"&gt;=97300")&gt;0,"X","")</f>
      </c>
      <c r="K96" s="56" t="str">
        <f>IF(COUNTIFS('LANÇAMENTOS DIÁRIOS'!$G$5:$G$500,"C",'LANÇAMENTOS DIÁRIOS'!$C$5:$C$500,$A96,'LANÇAMENTOS DIÁRIOS'!$O$5:$O$500,"&lt;=97499",'LANÇAMENTOS DIÁRIOS'!$P$5:$P$500,"&gt;=97400")&gt;0,"X","")</f>
      </c>
      <c r="L96" s="56" t="str">
        <f>IF(COUNTIFS('LANÇAMENTOS DIÁRIOS'!$G$5:$G$500,"C",'LANÇAMENTOS DIÁRIOS'!$C$5:$C$500,$A96,'LANÇAMENTOS DIÁRIOS'!$O$5:$O$500,"&lt;=97599",'LANÇAMENTOS DIÁRIOS'!$P$5:$P$500,"&gt;=97500")&gt;0,"X","")</f>
      </c>
      <c r="M96" s="56" t="str">
        <f>IF(COUNTIFS('LANÇAMENTOS DIÁRIOS'!$G$5:$G$500,"C",'LANÇAMENTOS DIÁRIOS'!$C$5:$C$500,$A96,'LANÇAMENTOS DIÁRIOS'!$O$5:$O$500,"&lt;=97699",'LANÇAMENTOS DIÁRIOS'!$P$5:$P$500,"&gt;=97600")&gt;0,"X","")</f>
      </c>
      <c r="N96" s="56" t="str">
        <f>IF(COUNTIFS('LANÇAMENTOS DIÁRIOS'!$G$5:$G$500,"C",'LANÇAMENTOS DIÁRIOS'!$C$5:$C$500,$A96,'LANÇAMENTOS DIÁRIOS'!$O$5:$O$500,"&lt;=97799",'LANÇAMENTOS DIÁRIOS'!$P$5:$P$500,"&gt;=97700")&gt;0,"X","")</f>
      </c>
      <c r="O96" s="56" t="str">
        <f>IF(COUNTIFS('LANÇAMENTOS DIÁRIOS'!$G$5:$G$500,"C",'LANÇAMENTOS DIÁRIOS'!$C$5:$C$500,$A96,'LANÇAMENTOS DIÁRIOS'!$O$5:$O$500,"&lt;=97899",'LANÇAMENTOS DIÁRIOS'!$P$5:$P$500,"&gt;=97800")&gt;0,"X","")</f>
      </c>
      <c r="P96" s="56" t="str">
        <f>IF(COUNTIFS('LANÇAMENTOS DIÁRIOS'!$G$5:$G$500,"C",'LANÇAMENTOS DIÁRIOS'!$C$5:$C$500,$A96,'LANÇAMENTOS DIÁRIOS'!$O$5:$O$500,"&lt;=97999",'LANÇAMENTOS DIÁRIOS'!$P$5:$P$500,"&gt;=97900")&gt;0,"X","")</f>
      </c>
      <c r="Q96" s="56" t="str">
        <f>IF(COUNTIFS('LANÇAMENTOS DIÁRIOS'!$G$5:$G$500,"C",'LANÇAMENTOS DIÁRIOS'!$C$5:$C$500,$A96,'LANÇAMENTOS DIÁRIOS'!$O$5:$O$500,"&lt;=98099",'LANÇAMENTOS DIÁRIOS'!$P$5:$P$500,"&gt;=98000")&gt;0,"X","")</f>
      </c>
      <c r="R96" s="56" t="str">
        <f>IF(COUNTIFS('LANÇAMENTOS DIÁRIOS'!$G$5:$G$500,"C",'LANÇAMENTOS DIÁRIOS'!$C$5:$C$500,$A96,'LANÇAMENTOS DIÁRIOS'!$O$5:$O$500,"&lt;=98199",'LANÇAMENTOS DIÁRIOS'!$P$5:$P$500,"&gt;=98100")&gt;0,"X","")</f>
      </c>
      <c r="S96" s="56" t="str">
        <f>IF(COUNTIFS('LANÇAMENTOS DIÁRIOS'!$G$5:$G$500,"C",'LANÇAMENTOS DIÁRIOS'!$C$5:$C$500,$A96,'LANÇAMENTOS DIÁRIOS'!$O$5:$O$500,"&lt;=98299",'LANÇAMENTOS DIÁRIOS'!$P$5:$P$500,"&gt;=98200")&gt;0,"X","")</f>
      </c>
      <c r="T96" s="56" t="str">
        <f>IF(COUNTIFS('LANÇAMENTOS DIÁRIOS'!$G$5:$G$500,"C",'LANÇAMENTOS DIÁRIOS'!$C$5:$C$500,$A96,'LANÇAMENTOS DIÁRIOS'!$O$5:$O$500,"&lt;=98399",'LANÇAMENTOS DIÁRIOS'!$P$5:$P$500,"&gt;=98300")&gt;0,"X","")</f>
      </c>
      <c r="U96" s="56" t="str">
        <f>IF(COUNTIFS('LANÇAMENTOS DIÁRIOS'!$G$5:$G$500,"C",'LANÇAMENTOS DIÁRIOS'!$C$5:$C$500,$A96,'LANÇAMENTOS DIÁRIOS'!$O$5:$O$500,"&lt;=98499",'LANÇAMENTOS DIÁRIOS'!$P$5:$P$500,"&gt;=98400")&gt;0,"X","")</f>
      </c>
      <c r="V96" s="56" t="str">
        <f>IF(COUNTIFS('LANÇAMENTOS DIÁRIOS'!$G$5:$G$500,"C",'LANÇAMENTOS DIÁRIOS'!$C$5:$C$500,$A96,'LANÇAMENTOS DIÁRIOS'!$O$5:$O$500,"&lt;=98599",'LANÇAMENTOS DIÁRIOS'!$P$5:$P$500,"&gt;=98500")&gt;0,"X","")</f>
      </c>
      <c r="W96" s="56" t="str">
        <f>IF(COUNTIFS('LANÇAMENTOS DIÁRIOS'!$G$5:$G$500,"C",'LANÇAMENTOS DIÁRIOS'!$C$5:$C$500,$A96,'LANÇAMENTOS DIÁRIOS'!$O$5:$O$500,"&lt;=98699",'LANÇAMENTOS DIÁRIOS'!$P$5:$P$500,"&gt;=98600")&gt;0,"X","")</f>
      </c>
      <c r="X96" s="56" t="str">
        <f>IF(COUNTIFS('LANÇAMENTOS DIÁRIOS'!$G$5:$G$500,"C",'LANÇAMENTOS DIÁRIOS'!$C$5:$C$500,$A96,'LANÇAMENTOS DIÁRIOS'!$O$5:$O$500,"&lt;=98799",'LANÇAMENTOS DIÁRIOS'!$P$5:$P$500,"&gt;=98700")&gt;0,"X","")</f>
      </c>
      <c r="Y96" s="56" t="str">
        <f>IF(COUNTIFS('LANÇAMENTOS DIÁRIOS'!$G$5:$G$500,"C",'LANÇAMENTOS DIÁRIOS'!$C$5:$C$500,$A96,'LANÇAMENTOS DIÁRIOS'!$O$5:$O$500,"&lt;=98899",'LANÇAMENTOS DIÁRIOS'!$P$5:$P$500,"&gt;=98800")&gt;0,"X","")</f>
      </c>
      <c r="Z96" s="56" t="str">
        <f>IF(COUNTIFS('LANÇAMENTOS DIÁRIOS'!$G$5:$G$500,"C",'LANÇAMENTOS DIÁRIOS'!$C$5:$C$500,$A96,'LANÇAMENTOS DIÁRIOS'!$O$5:$O$500,"&lt;=98999",'LANÇAMENTOS DIÁRIOS'!$P$5:$P$500,"&gt;=98900")&gt;0,"X","")</f>
      </c>
      <c r="AA96" s="56" t="str">
        <f>IF(COUNTIFS('LANÇAMENTOS DIÁRIOS'!$G$5:$G$500,"C",'LANÇAMENTOS DIÁRIOS'!$C$5:$C$500,$A96,'LANÇAMENTOS DIÁRIOS'!$O$5:$O$500,"&lt;=99099",'LANÇAMENTOS DIÁRIOS'!$P$5:$P$500,"&gt;=99000")&gt;0,"X","")</f>
      </c>
      <c r="AB96" s="56" t="str">
        <f>IF(COUNTIFS('LANÇAMENTOS DIÁRIOS'!$G$5:$G$500,"C",'LANÇAMENTOS DIÁRIOS'!$C$5:$C$500,$A96,'LANÇAMENTOS DIÁRIOS'!$O$5:$O$500,"&lt;=99199",'LANÇAMENTOS DIÁRIOS'!$P$5:$P$500,"&gt;=99100")&gt;0,"X","")</f>
      </c>
      <c r="AC96" s="56" t="str">
        <f>IF(COUNTIFS('LANÇAMENTOS DIÁRIOS'!$G$5:$G$500,"C",'LANÇAMENTOS DIÁRIOS'!$C$5:$C$500,$A96,'LANÇAMENTOS DIÁRIOS'!$O$5:$O$500,"&lt;=99299",'LANÇAMENTOS DIÁRIOS'!$P$5:$P$500,"&gt;=99200")&gt;0,"X","")</f>
      </c>
      <c r="AD96" s="56" t="str">
        <f>IF(COUNTIFS('LANÇAMENTOS DIÁRIOS'!$G$5:$G$500,"C",'LANÇAMENTOS DIÁRIOS'!$C$5:$C$500,$A96,'LANÇAMENTOS DIÁRIOS'!$O$5:$O$500,"&lt;=99399",'LANÇAMENTOS DIÁRIOS'!$P$5:$P$500,"&gt;=99300")&gt;0,"X","")</f>
      </c>
      <c r="AE96" s="56" t="str">
        <f>IF(COUNTIFS('LANÇAMENTOS DIÁRIOS'!$G$5:$G$500,"C",'LANÇAMENTOS DIÁRIOS'!$C$5:$C$500,$A96,'LANÇAMENTOS DIÁRIOS'!$O$5:$O$500,"&lt;=99499",'LANÇAMENTOS DIÁRIOS'!$P$5:$P$500,"&gt;=99400")&gt;0,"X","")</f>
      </c>
      <c r="AF96" s="56" t="str">
        <f>IF(COUNTIFS('LANÇAMENTOS DIÁRIOS'!$G$5:$G$500,"C",'LANÇAMENTOS DIÁRIOS'!$C$5:$C$500,$A96,'LANÇAMENTOS DIÁRIOS'!$O$5:$O$500,"&lt;=99599",'LANÇAMENTOS DIÁRIOS'!$P$5:$P$500,"&gt;=99500")&gt;0,"X","")</f>
      </c>
      <c r="AG96" s="56" t="str">
        <f>IF(COUNTIFS('LANÇAMENTOS DIÁRIOS'!$G$5:$G$500,"C",'LANÇAMENTOS DIÁRIOS'!$C$5:$C$500,$A96,'LANÇAMENTOS DIÁRIOS'!$O$5:$O$500,"&lt;=99699",'LANÇAMENTOS DIÁRIOS'!$P$5:$P$500,"&gt;=99600")&gt;0,"X","")</f>
      </c>
      <c r="AH96" s="56" t="str">
        <f>IF(COUNTIFS('LANÇAMENTOS DIÁRIOS'!$G$5:$G$500,"C",'LANÇAMENTOS DIÁRIOS'!$C$5:$C$500,$A96,'LANÇAMENTOS DIÁRIOS'!$O$5:$O$500,"&lt;=99799",'LANÇAMENTOS DIÁRIOS'!$P$5:$P$500,"&gt;=99700")&gt;0,"X","")</f>
      </c>
      <c r="AI96" s="56" t="str">
        <f>IF(COUNTIFS('LANÇAMENTOS DIÁRIOS'!$G$5:$G$500,"C",'LANÇAMENTOS DIÁRIOS'!$C$5:$C$500,$A96,'LANÇAMENTOS DIÁRIOS'!$O$5:$O$500,"&lt;=99899",'LANÇAMENTOS DIÁRIOS'!$P$5:$P$500,"&gt;=99800")&gt;0,"X","")</f>
      </c>
      <c r="AJ96" s="56" t="str">
        <f>IF(COUNTIFS('LANÇAMENTOS DIÁRIOS'!$G$5:$G$500,"C",'LANÇAMENTOS DIÁRIOS'!$C$5:$C$500,$A96,'LANÇAMENTOS DIÁRIOS'!$O$5:$O$500,"&lt;=99999",'LANÇAMENTOS DIÁRIOS'!$P$5:$P$500,"&gt;=99900")&gt;0,"X","")</f>
      </c>
      <c r="AK96" s="56" t="str">
        <f>IF(COUNTIFS('LANÇAMENTOS DIÁRIOS'!$G$5:$G$500,"C",'LANÇAMENTOS DIÁRIOS'!$C$5:$C$500,$A96,'LANÇAMENTOS DIÁRIOS'!$O$5:$O$500,"&lt;=100099",'LANÇAMENTOS DIÁRIOS'!$P$5:$P$500,"&gt;=100000")&gt;0,"X","")</f>
      </c>
      <c r="AL96" s="56" t="str">
        <f>IF(COUNTIFS('LANÇAMENTOS DIÁRIOS'!$G$5:$G$500,"C",'LANÇAMENTOS DIÁRIOS'!$C$5:$C$500,$A96,'LANÇAMENTOS DIÁRIOS'!$O$5:$O$500,"&lt;=100199",'LANÇAMENTOS DIÁRIOS'!$P$5:$P$500,"&gt;=100100")&gt;0,"X","")</f>
      </c>
      <c r="AM96" s="56" t="str">
        <f>IF(COUNTIFS('LANÇAMENTOS DIÁRIOS'!$G$5:$G$500,"C",'LANÇAMENTOS DIÁRIOS'!$C$5:$C$500,$A96,'LANÇAMENTOS DIÁRIOS'!$O$5:$O$500,"&lt;=100299",'LANÇAMENTOS DIÁRIOS'!$P$5:$P$500,"&gt;=100200")&gt;0,"X","")</f>
      </c>
      <c r="AN96" s="56" t="str">
        <f>IF(COUNTIFS('LANÇAMENTOS DIÁRIOS'!$G$5:$G$500,"C",'LANÇAMENTOS DIÁRIOS'!$C$5:$C$500,$A96,'LANÇAMENTOS DIÁRIOS'!$O$5:$O$500,"&lt;=100399",'LANÇAMENTOS DIÁRIOS'!$P$5:$P$500,"&gt;=100300")&gt;0,"X","")</f>
      </c>
      <c r="AO96" s="56" t="str">
        <f>IF(COUNTIFS('LANÇAMENTOS DIÁRIOS'!$G$5:$G$500,"C",'LANÇAMENTOS DIÁRIOS'!$C$5:$C$500,$A96,'LANÇAMENTOS DIÁRIOS'!$O$5:$O$500,"&lt;=100499",'LANÇAMENTOS DIÁRIOS'!$P$5:$P$500,"&gt;=100400")&gt;0,"X","")</f>
      </c>
      <c r="AP96" s="56" t="str">
        <f>IF(COUNTIFS('LANÇAMENTOS DIÁRIOS'!$G$5:$G$500,"C",'LANÇAMENTOS DIÁRIOS'!$C$5:$C$500,$A96,'LANÇAMENTOS DIÁRIOS'!$O$5:$O$500,"&lt;=100500",'LANÇAMENTOS DIÁRIOS'!$P$5:$P$500,"&gt;=100500")&gt;0,"X","")</f>
      </c>
    </row>
    <row r="97" ht="19" customHeight="1">
      <c r="A97" s="68" t="str">
        <v>Execução de dreno de pavimento e de plataforma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</row>
    <row r="98">
      <c r="A98" s="51" t="str">
        <v>Execução de dreno de pavimento e de plataforma</v>
      </c>
      <c r="B98" s="56" t="str">
        <f>IF(COUNTIFS('LANÇAMENTOS DIÁRIOS'!$G$5:$G$500,"C",'LANÇAMENTOS DIÁRIOS'!$C$5:$C$500,$A98,'LANÇAMENTOS DIÁRIOS'!$O$5:$O$500,"&lt;=96599",'LANÇAMENTOS DIÁRIOS'!$P$5:$P$500,"&gt;=96500")&gt;0,"X","")</f>
      </c>
      <c r="C98" s="56" t="str">
        <f>IF(COUNTIFS('LANÇAMENTOS DIÁRIOS'!$G$5:$G$500,"C",'LANÇAMENTOS DIÁRIOS'!$C$5:$C$500,$A98,'LANÇAMENTOS DIÁRIOS'!$O$5:$O$500,"&lt;=96699",'LANÇAMENTOS DIÁRIOS'!$P$5:$P$500,"&gt;=96600")&gt;0,"X","")</f>
      </c>
      <c r="D98" s="56" t="str">
        <f>IF(COUNTIFS('LANÇAMENTOS DIÁRIOS'!$G$5:$G$500,"C",'LANÇAMENTOS DIÁRIOS'!$C$5:$C$500,$A98,'LANÇAMENTOS DIÁRIOS'!$O$5:$O$500,"&lt;=96799",'LANÇAMENTOS DIÁRIOS'!$P$5:$P$500,"&gt;=96700")&gt;0,"X","")</f>
      </c>
      <c r="E98" s="56" t="str">
        <f>IF(COUNTIFS('LANÇAMENTOS DIÁRIOS'!$G$5:$G$500,"C",'LANÇAMENTOS DIÁRIOS'!$C$5:$C$500,$A98,'LANÇAMENTOS DIÁRIOS'!$O$5:$O$500,"&lt;=96899",'LANÇAMENTOS DIÁRIOS'!$P$5:$P$500,"&gt;=96800")&gt;0,"X","")</f>
      </c>
      <c r="F98" s="56" t="str">
        <f>IF(COUNTIFS('LANÇAMENTOS DIÁRIOS'!$G$5:$G$500,"C",'LANÇAMENTOS DIÁRIOS'!$C$5:$C$500,$A98,'LANÇAMENTOS DIÁRIOS'!$O$5:$O$500,"&lt;=96999",'LANÇAMENTOS DIÁRIOS'!$P$5:$P$500,"&gt;=96900")&gt;0,"X","")</f>
      </c>
      <c r="G98" s="56" t="str">
        <f>IF(COUNTIFS('LANÇAMENTOS DIÁRIOS'!$G$5:$G$500,"C",'LANÇAMENTOS DIÁRIOS'!$C$5:$C$500,$A98,'LANÇAMENTOS DIÁRIOS'!$O$5:$O$500,"&lt;=97099",'LANÇAMENTOS DIÁRIOS'!$P$5:$P$500,"&gt;=97000")&gt;0,"X","")</f>
      </c>
      <c r="H98" s="56" t="str">
        <f>IF(COUNTIFS('LANÇAMENTOS DIÁRIOS'!$G$5:$G$500,"C",'LANÇAMENTOS DIÁRIOS'!$C$5:$C$500,$A98,'LANÇAMENTOS DIÁRIOS'!$O$5:$O$500,"&lt;=97199",'LANÇAMENTOS DIÁRIOS'!$P$5:$P$500,"&gt;=97100")&gt;0,"X","")</f>
      </c>
      <c r="I98" s="56" t="str">
        <f>IF(COUNTIFS('LANÇAMENTOS DIÁRIOS'!$G$5:$G$500,"C",'LANÇAMENTOS DIÁRIOS'!$C$5:$C$500,$A98,'LANÇAMENTOS DIÁRIOS'!$O$5:$O$500,"&lt;=97299",'LANÇAMENTOS DIÁRIOS'!$P$5:$P$500,"&gt;=97200")&gt;0,"X","")</f>
      </c>
      <c r="J98" s="56" t="str">
        <f>IF(COUNTIFS('LANÇAMENTOS DIÁRIOS'!$G$5:$G$500,"C",'LANÇAMENTOS DIÁRIOS'!$C$5:$C$500,$A98,'LANÇAMENTOS DIÁRIOS'!$O$5:$O$500,"&lt;=97399",'LANÇAMENTOS DIÁRIOS'!$P$5:$P$500,"&gt;=97300")&gt;0,"X","")</f>
      </c>
      <c r="K98" s="56" t="str">
        <f>IF(COUNTIFS('LANÇAMENTOS DIÁRIOS'!$G$5:$G$500,"C",'LANÇAMENTOS DIÁRIOS'!$C$5:$C$500,$A98,'LANÇAMENTOS DIÁRIOS'!$O$5:$O$500,"&lt;=97499",'LANÇAMENTOS DIÁRIOS'!$P$5:$P$500,"&gt;=97400")&gt;0,"X","")</f>
      </c>
      <c r="L98" s="56" t="str">
        <f>IF(COUNTIFS('LANÇAMENTOS DIÁRIOS'!$G$5:$G$500,"C",'LANÇAMENTOS DIÁRIOS'!$C$5:$C$500,$A98,'LANÇAMENTOS DIÁRIOS'!$O$5:$O$500,"&lt;=97599",'LANÇAMENTOS DIÁRIOS'!$P$5:$P$500,"&gt;=97500")&gt;0,"X","")</f>
      </c>
      <c r="M98" s="56" t="str">
        <f>IF(COUNTIFS('LANÇAMENTOS DIÁRIOS'!$G$5:$G$500,"C",'LANÇAMENTOS DIÁRIOS'!$C$5:$C$500,$A98,'LANÇAMENTOS DIÁRIOS'!$O$5:$O$500,"&lt;=97699",'LANÇAMENTOS DIÁRIOS'!$P$5:$P$500,"&gt;=97600")&gt;0,"X","")</f>
      </c>
      <c r="N98" s="56" t="str">
        <f>IF(COUNTIFS('LANÇAMENTOS DIÁRIOS'!$G$5:$G$500,"C",'LANÇAMENTOS DIÁRIOS'!$C$5:$C$500,$A98,'LANÇAMENTOS DIÁRIOS'!$O$5:$O$500,"&lt;=97799",'LANÇAMENTOS DIÁRIOS'!$P$5:$P$500,"&gt;=97700")&gt;0,"X","")</f>
      </c>
      <c r="O98" s="56" t="str">
        <f>IF(COUNTIFS('LANÇAMENTOS DIÁRIOS'!$G$5:$G$500,"C",'LANÇAMENTOS DIÁRIOS'!$C$5:$C$500,$A98,'LANÇAMENTOS DIÁRIOS'!$O$5:$O$500,"&lt;=97899",'LANÇAMENTOS DIÁRIOS'!$P$5:$P$500,"&gt;=97800")&gt;0,"X","")</f>
      </c>
      <c r="P98" s="56" t="str">
        <f>IF(COUNTIFS('LANÇAMENTOS DIÁRIOS'!$G$5:$G$500,"C",'LANÇAMENTOS DIÁRIOS'!$C$5:$C$500,$A98,'LANÇAMENTOS DIÁRIOS'!$O$5:$O$500,"&lt;=97999",'LANÇAMENTOS DIÁRIOS'!$P$5:$P$500,"&gt;=97900")&gt;0,"X","")</f>
      </c>
      <c r="Q98" s="56" t="str">
        <f>IF(COUNTIFS('LANÇAMENTOS DIÁRIOS'!$G$5:$G$500,"C",'LANÇAMENTOS DIÁRIOS'!$C$5:$C$500,$A98,'LANÇAMENTOS DIÁRIOS'!$O$5:$O$500,"&lt;=98099",'LANÇAMENTOS DIÁRIOS'!$P$5:$P$500,"&gt;=98000")&gt;0,"X","")</f>
      </c>
      <c r="R98" s="56" t="str">
        <f>IF(COUNTIFS('LANÇAMENTOS DIÁRIOS'!$G$5:$G$500,"C",'LANÇAMENTOS DIÁRIOS'!$C$5:$C$500,$A98,'LANÇAMENTOS DIÁRIOS'!$O$5:$O$500,"&lt;=98199",'LANÇAMENTOS DIÁRIOS'!$P$5:$P$500,"&gt;=98100")&gt;0,"X","")</f>
      </c>
      <c r="S98" s="56" t="str">
        <f>IF(COUNTIFS('LANÇAMENTOS DIÁRIOS'!$G$5:$G$500,"C",'LANÇAMENTOS DIÁRIOS'!$C$5:$C$500,$A98,'LANÇAMENTOS DIÁRIOS'!$O$5:$O$500,"&lt;=98299",'LANÇAMENTOS DIÁRIOS'!$P$5:$P$500,"&gt;=98200")&gt;0,"X","")</f>
      </c>
      <c r="T98" s="56" t="str">
        <f>IF(COUNTIFS('LANÇAMENTOS DIÁRIOS'!$G$5:$G$500,"C",'LANÇAMENTOS DIÁRIOS'!$C$5:$C$500,$A98,'LANÇAMENTOS DIÁRIOS'!$O$5:$O$500,"&lt;=98399",'LANÇAMENTOS DIÁRIOS'!$P$5:$P$500,"&gt;=98300")&gt;0,"X","")</f>
      </c>
      <c r="U98" s="56" t="str">
        <f>IF(COUNTIFS('LANÇAMENTOS DIÁRIOS'!$G$5:$G$500,"C",'LANÇAMENTOS DIÁRIOS'!$C$5:$C$500,$A98,'LANÇAMENTOS DIÁRIOS'!$O$5:$O$500,"&lt;=98499",'LANÇAMENTOS DIÁRIOS'!$P$5:$P$500,"&gt;=98400")&gt;0,"X","")</f>
      </c>
      <c r="V98" s="56" t="str">
        <f>IF(COUNTIFS('LANÇAMENTOS DIÁRIOS'!$G$5:$G$500,"C",'LANÇAMENTOS DIÁRIOS'!$C$5:$C$500,$A98,'LANÇAMENTOS DIÁRIOS'!$O$5:$O$500,"&lt;=98599",'LANÇAMENTOS DIÁRIOS'!$P$5:$P$500,"&gt;=98500")&gt;0,"X","")</f>
      </c>
      <c r="W98" s="56" t="str">
        <f>IF(COUNTIFS('LANÇAMENTOS DIÁRIOS'!$G$5:$G$500,"C",'LANÇAMENTOS DIÁRIOS'!$C$5:$C$500,$A98,'LANÇAMENTOS DIÁRIOS'!$O$5:$O$500,"&lt;=98699",'LANÇAMENTOS DIÁRIOS'!$P$5:$P$500,"&gt;=98600")&gt;0,"X","")</f>
      </c>
      <c r="X98" s="56" t="str">
        <f>IF(COUNTIFS('LANÇAMENTOS DIÁRIOS'!$G$5:$G$500,"C",'LANÇAMENTOS DIÁRIOS'!$C$5:$C$500,$A98,'LANÇAMENTOS DIÁRIOS'!$O$5:$O$500,"&lt;=98799",'LANÇAMENTOS DIÁRIOS'!$P$5:$P$500,"&gt;=98700")&gt;0,"X","")</f>
      </c>
      <c r="Y98" s="56" t="str">
        <f>IF(COUNTIFS('LANÇAMENTOS DIÁRIOS'!$G$5:$G$500,"C",'LANÇAMENTOS DIÁRIOS'!$C$5:$C$500,$A98,'LANÇAMENTOS DIÁRIOS'!$O$5:$O$500,"&lt;=98899",'LANÇAMENTOS DIÁRIOS'!$P$5:$P$500,"&gt;=98800")&gt;0,"X","")</f>
      </c>
      <c r="Z98" s="56" t="str">
        <f>IF(COUNTIFS('LANÇAMENTOS DIÁRIOS'!$G$5:$G$500,"C",'LANÇAMENTOS DIÁRIOS'!$C$5:$C$500,$A98,'LANÇAMENTOS DIÁRIOS'!$O$5:$O$500,"&lt;=98999",'LANÇAMENTOS DIÁRIOS'!$P$5:$P$500,"&gt;=98900")&gt;0,"X","")</f>
      </c>
      <c r="AA98" s="56" t="str">
        <f>IF(COUNTIFS('LANÇAMENTOS DIÁRIOS'!$G$5:$G$500,"C",'LANÇAMENTOS DIÁRIOS'!$C$5:$C$500,$A98,'LANÇAMENTOS DIÁRIOS'!$O$5:$O$500,"&lt;=99099",'LANÇAMENTOS DIÁRIOS'!$P$5:$P$500,"&gt;=99000")&gt;0,"X","")</f>
      </c>
      <c r="AB98" s="56" t="str">
        <f>IF(COUNTIFS('LANÇAMENTOS DIÁRIOS'!$G$5:$G$500,"C",'LANÇAMENTOS DIÁRIOS'!$C$5:$C$500,$A98,'LANÇAMENTOS DIÁRIOS'!$O$5:$O$500,"&lt;=99199",'LANÇAMENTOS DIÁRIOS'!$P$5:$P$500,"&gt;=99100")&gt;0,"X","")</f>
      </c>
      <c r="AC98" s="56" t="str">
        <f>IF(COUNTIFS('LANÇAMENTOS DIÁRIOS'!$G$5:$G$500,"C",'LANÇAMENTOS DIÁRIOS'!$C$5:$C$500,$A98,'LANÇAMENTOS DIÁRIOS'!$O$5:$O$500,"&lt;=99299",'LANÇAMENTOS DIÁRIOS'!$P$5:$P$500,"&gt;=99200")&gt;0,"X","")</f>
      </c>
      <c r="AD98" s="56" t="str">
        <f>IF(COUNTIFS('LANÇAMENTOS DIÁRIOS'!$G$5:$G$500,"C",'LANÇAMENTOS DIÁRIOS'!$C$5:$C$500,$A98,'LANÇAMENTOS DIÁRIOS'!$O$5:$O$500,"&lt;=99399",'LANÇAMENTOS DIÁRIOS'!$P$5:$P$500,"&gt;=99300")&gt;0,"X","")</f>
      </c>
      <c r="AE98" s="56" t="str">
        <f>IF(COUNTIFS('LANÇAMENTOS DIÁRIOS'!$G$5:$G$500,"C",'LANÇAMENTOS DIÁRIOS'!$C$5:$C$500,$A98,'LANÇAMENTOS DIÁRIOS'!$O$5:$O$500,"&lt;=99499",'LANÇAMENTOS DIÁRIOS'!$P$5:$P$500,"&gt;=99400")&gt;0,"X","")</f>
      </c>
      <c r="AF98" s="56" t="str">
        <f>IF(COUNTIFS('LANÇAMENTOS DIÁRIOS'!$G$5:$G$500,"C",'LANÇAMENTOS DIÁRIOS'!$C$5:$C$500,$A98,'LANÇAMENTOS DIÁRIOS'!$O$5:$O$500,"&lt;=99599",'LANÇAMENTOS DIÁRIOS'!$P$5:$P$500,"&gt;=99500")&gt;0,"X","")</f>
      </c>
      <c r="AG98" s="56" t="str">
        <f>IF(COUNTIFS('LANÇAMENTOS DIÁRIOS'!$G$5:$G$500,"C",'LANÇAMENTOS DIÁRIOS'!$C$5:$C$500,$A98,'LANÇAMENTOS DIÁRIOS'!$O$5:$O$500,"&lt;=99699",'LANÇAMENTOS DIÁRIOS'!$P$5:$P$500,"&gt;=99600")&gt;0,"X","")</f>
      </c>
      <c r="AH98" s="56" t="str">
        <f>IF(COUNTIFS('LANÇAMENTOS DIÁRIOS'!$G$5:$G$500,"C",'LANÇAMENTOS DIÁRIOS'!$C$5:$C$500,$A98,'LANÇAMENTOS DIÁRIOS'!$O$5:$O$500,"&lt;=99799",'LANÇAMENTOS DIÁRIOS'!$P$5:$P$500,"&gt;=99700")&gt;0,"X","")</f>
      </c>
      <c r="AI98" s="56" t="str">
        <f>IF(COUNTIFS('LANÇAMENTOS DIÁRIOS'!$G$5:$G$500,"C",'LANÇAMENTOS DIÁRIOS'!$C$5:$C$500,$A98,'LANÇAMENTOS DIÁRIOS'!$O$5:$O$500,"&lt;=99899",'LANÇAMENTOS DIÁRIOS'!$P$5:$P$500,"&gt;=99800")&gt;0,"X","")</f>
      </c>
      <c r="AJ98" s="56" t="str">
        <f>IF(COUNTIFS('LANÇAMENTOS DIÁRIOS'!$G$5:$G$500,"C",'LANÇAMENTOS DIÁRIOS'!$C$5:$C$500,$A98,'LANÇAMENTOS DIÁRIOS'!$O$5:$O$500,"&lt;=99999",'LANÇAMENTOS DIÁRIOS'!$P$5:$P$500,"&gt;=99900")&gt;0,"X","")</f>
      </c>
      <c r="AK98" s="56" t="str">
        <f>IF(COUNTIFS('LANÇAMENTOS DIÁRIOS'!$G$5:$G$500,"C",'LANÇAMENTOS DIÁRIOS'!$C$5:$C$500,$A98,'LANÇAMENTOS DIÁRIOS'!$O$5:$O$500,"&lt;=100099",'LANÇAMENTOS DIÁRIOS'!$P$5:$P$500,"&gt;=100000")&gt;0,"X","")</f>
      </c>
      <c r="AL98" s="56" t="str">
        <f>IF(COUNTIFS('LANÇAMENTOS DIÁRIOS'!$G$5:$G$500,"C",'LANÇAMENTOS DIÁRIOS'!$C$5:$C$500,$A98,'LANÇAMENTOS DIÁRIOS'!$O$5:$O$500,"&lt;=100199",'LANÇAMENTOS DIÁRIOS'!$P$5:$P$500,"&gt;=100100")&gt;0,"X","")</f>
      </c>
      <c r="AM98" s="56" t="str">
        <f>IF(COUNTIFS('LANÇAMENTOS DIÁRIOS'!$G$5:$G$500,"C",'LANÇAMENTOS DIÁRIOS'!$C$5:$C$500,$A98,'LANÇAMENTOS DIÁRIOS'!$O$5:$O$500,"&lt;=100299",'LANÇAMENTOS DIÁRIOS'!$P$5:$P$500,"&gt;=100200")&gt;0,"X","")</f>
      </c>
      <c r="AN98" s="56" t="str">
        <f>IF(COUNTIFS('LANÇAMENTOS DIÁRIOS'!$G$5:$G$500,"C",'LANÇAMENTOS DIÁRIOS'!$C$5:$C$500,$A98,'LANÇAMENTOS DIÁRIOS'!$O$5:$O$500,"&lt;=100399",'LANÇAMENTOS DIÁRIOS'!$P$5:$P$500,"&gt;=100300")&gt;0,"X","")</f>
      </c>
      <c r="AO98" s="56" t="str">
        <f>IF(COUNTIFS('LANÇAMENTOS DIÁRIOS'!$G$5:$G$500,"C",'LANÇAMENTOS DIÁRIOS'!$C$5:$C$500,$A98,'LANÇAMENTOS DIÁRIOS'!$O$5:$O$500,"&lt;=100499",'LANÇAMENTOS DIÁRIOS'!$P$5:$P$500,"&gt;=100400")&gt;0,"X","")</f>
      </c>
      <c r="AP98" s="56" t="str">
        <f>IF(COUNTIFS('LANÇAMENTOS DIÁRIOS'!$G$5:$G$500,"C",'LANÇAMENTOS DIÁRIOS'!$C$5:$C$500,$A98,'LANÇAMENTOS DIÁRIOS'!$O$5:$O$500,"&lt;=100500",'LANÇAMENTOS DIÁRIOS'!$P$5:$P$500,"&gt;=100500")&gt;0,"X","")</f>
      </c>
    </row>
    <row r="99" ht="21" customHeight="1">
      <c r="A99" s="60" t="str">
        <v>Obras complementares exigidas</v>
      </c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</row>
    <row r="100" ht="19" customHeight="1">
      <c r="A100" s="68" t="str">
        <v>Passagens de fauna e melhorias no habitat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</row>
    <row r="101">
      <c r="A101" s="51" t="str">
        <v>Passagem de fauna adaptada em bueiro</v>
      </c>
      <c r="B101" s="56" t="str">
        <f>IF(COUNTIFS('LANÇAMENTOS DIÁRIOS'!$G$5:$G$500,"C",'LANÇAMENTOS DIÁRIOS'!$C$5:$C$500,$A101,'LANÇAMENTOS DIÁRIOS'!$O$5:$O$500,"&lt;=96599",'LANÇAMENTOS DIÁRIOS'!$P$5:$P$500,"&gt;=96500")&gt;0,"X","")</f>
      </c>
      <c r="C101" s="56" t="str">
        <f>IF(COUNTIFS('LANÇAMENTOS DIÁRIOS'!$G$5:$G$500,"C",'LANÇAMENTOS DIÁRIOS'!$C$5:$C$500,$A101,'LANÇAMENTOS DIÁRIOS'!$O$5:$O$500,"&lt;=96699",'LANÇAMENTOS DIÁRIOS'!$P$5:$P$500,"&gt;=96600")&gt;0,"X","")</f>
      </c>
      <c r="D101" s="56" t="str">
        <f>IF(COUNTIFS('LANÇAMENTOS DIÁRIOS'!$G$5:$G$500,"C",'LANÇAMENTOS DIÁRIOS'!$C$5:$C$500,$A101,'LANÇAMENTOS DIÁRIOS'!$O$5:$O$500,"&lt;=96799",'LANÇAMENTOS DIÁRIOS'!$P$5:$P$500,"&gt;=96700")&gt;0,"X","")</f>
      </c>
      <c r="E101" s="56" t="str">
        <f>IF(COUNTIFS('LANÇAMENTOS DIÁRIOS'!$G$5:$G$500,"C",'LANÇAMENTOS DIÁRIOS'!$C$5:$C$500,$A101,'LANÇAMENTOS DIÁRIOS'!$O$5:$O$500,"&lt;=96899",'LANÇAMENTOS DIÁRIOS'!$P$5:$P$500,"&gt;=96800")&gt;0,"X","")</f>
      </c>
      <c r="F101" s="56" t="str">
        <f>IF(COUNTIFS('LANÇAMENTOS DIÁRIOS'!$G$5:$G$500,"C",'LANÇAMENTOS DIÁRIOS'!$C$5:$C$500,$A101,'LANÇAMENTOS DIÁRIOS'!$O$5:$O$500,"&lt;=96999",'LANÇAMENTOS DIÁRIOS'!$P$5:$P$500,"&gt;=96900")&gt;0,"X","")</f>
      </c>
      <c r="G101" s="56" t="str">
        <f>IF(COUNTIFS('LANÇAMENTOS DIÁRIOS'!$G$5:$G$500,"C",'LANÇAMENTOS DIÁRIOS'!$C$5:$C$500,$A101,'LANÇAMENTOS DIÁRIOS'!$O$5:$O$500,"&lt;=97099",'LANÇAMENTOS DIÁRIOS'!$P$5:$P$500,"&gt;=97000")&gt;0,"X","")</f>
      </c>
      <c r="H101" s="56" t="str">
        <f>IF(COUNTIFS('LANÇAMENTOS DIÁRIOS'!$G$5:$G$500,"C",'LANÇAMENTOS DIÁRIOS'!$C$5:$C$500,$A101,'LANÇAMENTOS DIÁRIOS'!$O$5:$O$500,"&lt;=97199",'LANÇAMENTOS DIÁRIOS'!$P$5:$P$500,"&gt;=97100")&gt;0,"X","")</f>
      </c>
      <c r="I101" s="56" t="str">
        <f>IF(COUNTIFS('LANÇAMENTOS DIÁRIOS'!$G$5:$G$500,"C",'LANÇAMENTOS DIÁRIOS'!$C$5:$C$500,$A101,'LANÇAMENTOS DIÁRIOS'!$O$5:$O$500,"&lt;=97299",'LANÇAMENTOS DIÁRIOS'!$P$5:$P$500,"&gt;=97200")&gt;0,"X","")</f>
      </c>
      <c r="J101" s="56" t="str">
        <f>IF(COUNTIFS('LANÇAMENTOS DIÁRIOS'!$G$5:$G$500,"C",'LANÇAMENTOS DIÁRIOS'!$C$5:$C$500,$A101,'LANÇAMENTOS DIÁRIOS'!$O$5:$O$500,"&lt;=97399",'LANÇAMENTOS DIÁRIOS'!$P$5:$P$500,"&gt;=97300")&gt;0,"X","")</f>
      </c>
      <c r="K101" s="56" t="str">
        <f>IF(COUNTIFS('LANÇAMENTOS DIÁRIOS'!$G$5:$G$500,"C",'LANÇAMENTOS DIÁRIOS'!$C$5:$C$500,$A101,'LANÇAMENTOS DIÁRIOS'!$O$5:$O$500,"&lt;=97499",'LANÇAMENTOS DIÁRIOS'!$P$5:$P$500,"&gt;=97400")&gt;0,"X","")</f>
      </c>
      <c r="L101" s="56" t="str">
        <f>IF(COUNTIFS('LANÇAMENTOS DIÁRIOS'!$G$5:$G$500,"C",'LANÇAMENTOS DIÁRIOS'!$C$5:$C$500,$A101,'LANÇAMENTOS DIÁRIOS'!$O$5:$O$500,"&lt;=97599",'LANÇAMENTOS DIÁRIOS'!$P$5:$P$500,"&gt;=97500")&gt;0,"X","")</f>
      </c>
      <c r="M101" s="56" t="str">
        <f>IF(COUNTIFS('LANÇAMENTOS DIÁRIOS'!$G$5:$G$500,"C",'LANÇAMENTOS DIÁRIOS'!$C$5:$C$500,$A101,'LANÇAMENTOS DIÁRIOS'!$O$5:$O$500,"&lt;=97699",'LANÇAMENTOS DIÁRIOS'!$P$5:$P$500,"&gt;=97600")&gt;0,"X","")</f>
      </c>
      <c r="N101" s="56" t="str">
        <f>IF(COUNTIFS('LANÇAMENTOS DIÁRIOS'!$G$5:$G$500,"C",'LANÇAMENTOS DIÁRIOS'!$C$5:$C$500,$A101,'LANÇAMENTOS DIÁRIOS'!$O$5:$O$500,"&lt;=97799",'LANÇAMENTOS DIÁRIOS'!$P$5:$P$500,"&gt;=97700")&gt;0,"X","")</f>
      </c>
      <c r="O101" s="56" t="str">
        <f>IF(COUNTIFS('LANÇAMENTOS DIÁRIOS'!$G$5:$G$500,"C",'LANÇAMENTOS DIÁRIOS'!$C$5:$C$500,$A101,'LANÇAMENTOS DIÁRIOS'!$O$5:$O$500,"&lt;=97899",'LANÇAMENTOS DIÁRIOS'!$P$5:$P$500,"&gt;=97800")&gt;0,"X","")</f>
      </c>
      <c r="P101" s="56" t="str">
        <f>IF(COUNTIFS('LANÇAMENTOS DIÁRIOS'!$G$5:$G$500,"C",'LANÇAMENTOS DIÁRIOS'!$C$5:$C$500,$A101,'LANÇAMENTOS DIÁRIOS'!$O$5:$O$500,"&lt;=97999",'LANÇAMENTOS DIÁRIOS'!$P$5:$P$500,"&gt;=97900")&gt;0,"X","")</f>
      </c>
      <c r="Q101" s="56" t="str">
        <f>IF(COUNTIFS('LANÇAMENTOS DIÁRIOS'!$G$5:$G$500,"C",'LANÇAMENTOS DIÁRIOS'!$C$5:$C$500,$A101,'LANÇAMENTOS DIÁRIOS'!$O$5:$O$500,"&lt;=98099",'LANÇAMENTOS DIÁRIOS'!$P$5:$P$500,"&gt;=98000")&gt;0,"X","")</f>
      </c>
      <c r="R101" s="56" t="str">
        <f>IF(COUNTIFS('LANÇAMENTOS DIÁRIOS'!$G$5:$G$500,"C",'LANÇAMENTOS DIÁRIOS'!$C$5:$C$500,$A101,'LANÇAMENTOS DIÁRIOS'!$O$5:$O$500,"&lt;=98199",'LANÇAMENTOS DIÁRIOS'!$P$5:$P$500,"&gt;=98100")&gt;0,"X","")</f>
      </c>
      <c r="S101" s="56" t="str">
        <f>IF(COUNTIFS('LANÇAMENTOS DIÁRIOS'!$G$5:$G$500,"C",'LANÇAMENTOS DIÁRIOS'!$C$5:$C$500,$A101,'LANÇAMENTOS DIÁRIOS'!$O$5:$O$500,"&lt;=98299",'LANÇAMENTOS DIÁRIOS'!$P$5:$P$500,"&gt;=98200")&gt;0,"X","")</f>
      </c>
      <c r="T101" s="56" t="str">
        <f>IF(COUNTIFS('LANÇAMENTOS DIÁRIOS'!$G$5:$G$500,"C",'LANÇAMENTOS DIÁRIOS'!$C$5:$C$500,$A101,'LANÇAMENTOS DIÁRIOS'!$O$5:$O$500,"&lt;=98399",'LANÇAMENTOS DIÁRIOS'!$P$5:$P$500,"&gt;=98300")&gt;0,"X","")</f>
      </c>
      <c r="U101" s="56" t="str">
        <f>IF(COUNTIFS('LANÇAMENTOS DIÁRIOS'!$G$5:$G$500,"C",'LANÇAMENTOS DIÁRIOS'!$C$5:$C$500,$A101,'LANÇAMENTOS DIÁRIOS'!$O$5:$O$500,"&lt;=98499",'LANÇAMENTOS DIÁRIOS'!$P$5:$P$500,"&gt;=98400")&gt;0,"X","")</f>
      </c>
      <c r="V101" s="56" t="str">
        <f>IF(COUNTIFS('LANÇAMENTOS DIÁRIOS'!$G$5:$G$500,"C",'LANÇAMENTOS DIÁRIOS'!$C$5:$C$500,$A101,'LANÇAMENTOS DIÁRIOS'!$O$5:$O$500,"&lt;=98599",'LANÇAMENTOS DIÁRIOS'!$P$5:$P$500,"&gt;=98500")&gt;0,"X","")</f>
      </c>
      <c r="W101" s="56" t="str">
        <f>IF(COUNTIFS('LANÇAMENTOS DIÁRIOS'!$G$5:$G$500,"C",'LANÇAMENTOS DIÁRIOS'!$C$5:$C$500,$A101,'LANÇAMENTOS DIÁRIOS'!$O$5:$O$500,"&lt;=98699",'LANÇAMENTOS DIÁRIOS'!$P$5:$P$500,"&gt;=98600")&gt;0,"X","")</f>
      </c>
      <c r="X101" s="56" t="str">
        <f>IF(COUNTIFS('LANÇAMENTOS DIÁRIOS'!$G$5:$G$500,"C",'LANÇAMENTOS DIÁRIOS'!$C$5:$C$500,$A101,'LANÇAMENTOS DIÁRIOS'!$O$5:$O$500,"&lt;=98799",'LANÇAMENTOS DIÁRIOS'!$P$5:$P$500,"&gt;=98700")&gt;0,"X","")</f>
      </c>
      <c r="Y101" s="56" t="str">
        <f>IF(COUNTIFS('LANÇAMENTOS DIÁRIOS'!$G$5:$G$500,"C",'LANÇAMENTOS DIÁRIOS'!$C$5:$C$500,$A101,'LANÇAMENTOS DIÁRIOS'!$O$5:$O$500,"&lt;=98899",'LANÇAMENTOS DIÁRIOS'!$P$5:$P$500,"&gt;=98800")&gt;0,"X","")</f>
      </c>
      <c r="Z101" s="56" t="str">
        <f>IF(COUNTIFS('LANÇAMENTOS DIÁRIOS'!$G$5:$G$500,"C",'LANÇAMENTOS DIÁRIOS'!$C$5:$C$500,$A101,'LANÇAMENTOS DIÁRIOS'!$O$5:$O$500,"&lt;=98999",'LANÇAMENTOS DIÁRIOS'!$P$5:$P$500,"&gt;=98900")&gt;0,"X","")</f>
      </c>
      <c r="AA101" s="56" t="str">
        <f>IF(COUNTIFS('LANÇAMENTOS DIÁRIOS'!$G$5:$G$500,"C",'LANÇAMENTOS DIÁRIOS'!$C$5:$C$500,$A101,'LANÇAMENTOS DIÁRIOS'!$O$5:$O$500,"&lt;=99099",'LANÇAMENTOS DIÁRIOS'!$P$5:$P$500,"&gt;=99000")&gt;0,"X","")</f>
      </c>
      <c r="AB101" s="56" t="str">
        <f>IF(COUNTIFS('LANÇAMENTOS DIÁRIOS'!$G$5:$G$500,"C",'LANÇAMENTOS DIÁRIOS'!$C$5:$C$500,$A101,'LANÇAMENTOS DIÁRIOS'!$O$5:$O$500,"&lt;=99199",'LANÇAMENTOS DIÁRIOS'!$P$5:$P$500,"&gt;=99100")&gt;0,"X","")</f>
      </c>
      <c r="AC101" s="56" t="str">
        <f>IF(COUNTIFS('LANÇAMENTOS DIÁRIOS'!$G$5:$G$500,"C",'LANÇAMENTOS DIÁRIOS'!$C$5:$C$500,$A101,'LANÇAMENTOS DIÁRIOS'!$O$5:$O$500,"&lt;=99299",'LANÇAMENTOS DIÁRIOS'!$P$5:$P$500,"&gt;=99200")&gt;0,"X","")</f>
      </c>
      <c r="AD101" s="56" t="str">
        <f>IF(COUNTIFS('LANÇAMENTOS DIÁRIOS'!$G$5:$G$500,"C",'LANÇAMENTOS DIÁRIOS'!$C$5:$C$500,$A101,'LANÇAMENTOS DIÁRIOS'!$O$5:$O$500,"&lt;=99399",'LANÇAMENTOS DIÁRIOS'!$P$5:$P$500,"&gt;=99300")&gt;0,"X","")</f>
      </c>
      <c r="AE101" s="56" t="str">
        <f>IF(COUNTIFS('LANÇAMENTOS DIÁRIOS'!$G$5:$G$500,"C",'LANÇAMENTOS DIÁRIOS'!$C$5:$C$500,$A101,'LANÇAMENTOS DIÁRIOS'!$O$5:$O$500,"&lt;=99499",'LANÇAMENTOS DIÁRIOS'!$P$5:$P$500,"&gt;=99400")&gt;0,"X","")</f>
      </c>
      <c r="AF101" s="56" t="str">
        <f>IF(COUNTIFS('LANÇAMENTOS DIÁRIOS'!$G$5:$G$500,"C",'LANÇAMENTOS DIÁRIOS'!$C$5:$C$500,$A101,'LANÇAMENTOS DIÁRIOS'!$O$5:$O$500,"&lt;=99599",'LANÇAMENTOS DIÁRIOS'!$P$5:$P$500,"&gt;=99500")&gt;0,"X","")</f>
      </c>
      <c r="AG101" s="56" t="str">
        <f>IF(COUNTIFS('LANÇAMENTOS DIÁRIOS'!$G$5:$G$500,"C",'LANÇAMENTOS DIÁRIOS'!$C$5:$C$500,$A101,'LANÇAMENTOS DIÁRIOS'!$O$5:$O$500,"&lt;=99699",'LANÇAMENTOS DIÁRIOS'!$P$5:$P$500,"&gt;=99600")&gt;0,"X","")</f>
      </c>
      <c r="AH101" s="56" t="str">
        <f>IF(COUNTIFS('LANÇAMENTOS DIÁRIOS'!$G$5:$G$500,"C",'LANÇAMENTOS DIÁRIOS'!$C$5:$C$500,$A101,'LANÇAMENTOS DIÁRIOS'!$O$5:$O$500,"&lt;=99799",'LANÇAMENTOS DIÁRIOS'!$P$5:$P$500,"&gt;=99700")&gt;0,"X","")</f>
      </c>
      <c r="AI101" s="56" t="str">
        <f>IF(COUNTIFS('LANÇAMENTOS DIÁRIOS'!$G$5:$G$500,"C",'LANÇAMENTOS DIÁRIOS'!$C$5:$C$500,$A101,'LANÇAMENTOS DIÁRIOS'!$O$5:$O$500,"&lt;=99899",'LANÇAMENTOS DIÁRIOS'!$P$5:$P$500,"&gt;=99800")&gt;0,"X","")</f>
      </c>
      <c r="AJ101" s="56" t="str">
        <f>IF(COUNTIFS('LANÇAMENTOS DIÁRIOS'!$G$5:$G$500,"C",'LANÇAMENTOS DIÁRIOS'!$C$5:$C$500,$A101,'LANÇAMENTOS DIÁRIOS'!$O$5:$O$500,"&lt;=99999",'LANÇAMENTOS DIÁRIOS'!$P$5:$P$500,"&gt;=99900")&gt;0,"X","")</f>
      </c>
      <c r="AK101" s="56" t="str">
        <f>IF(COUNTIFS('LANÇAMENTOS DIÁRIOS'!$G$5:$G$500,"C",'LANÇAMENTOS DIÁRIOS'!$C$5:$C$500,$A101,'LANÇAMENTOS DIÁRIOS'!$O$5:$O$500,"&lt;=100099",'LANÇAMENTOS DIÁRIOS'!$P$5:$P$500,"&gt;=100000")&gt;0,"X","")</f>
      </c>
      <c r="AL101" s="56" t="str">
        <f>IF(COUNTIFS('LANÇAMENTOS DIÁRIOS'!$G$5:$G$500,"C",'LANÇAMENTOS DIÁRIOS'!$C$5:$C$500,$A101,'LANÇAMENTOS DIÁRIOS'!$O$5:$O$500,"&lt;=100199",'LANÇAMENTOS DIÁRIOS'!$P$5:$P$500,"&gt;=100100")&gt;0,"X","")</f>
      </c>
      <c r="AM101" s="56" t="str">
        <f>IF(COUNTIFS('LANÇAMENTOS DIÁRIOS'!$G$5:$G$500,"C",'LANÇAMENTOS DIÁRIOS'!$C$5:$C$500,$A101,'LANÇAMENTOS DIÁRIOS'!$O$5:$O$500,"&lt;=100299",'LANÇAMENTOS DIÁRIOS'!$P$5:$P$500,"&gt;=100200")&gt;0,"X","")</f>
      </c>
      <c r="AN101" s="56" t="str">
        <f>IF(COUNTIFS('LANÇAMENTOS DIÁRIOS'!$G$5:$G$500,"C",'LANÇAMENTOS DIÁRIOS'!$C$5:$C$500,$A101,'LANÇAMENTOS DIÁRIOS'!$O$5:$O$500,"&lt;=100399",'LANÇAMENTOS DIÁRIOS'!$P$5:$P$500,"&gt;=100300")&gt;0,"X","")</f>
      </c>
      <c r="AO101" s="56" t="str">
        <f>IF(COUNTIFS('LANÇAMENTOS DIÁRIOS'!$G$5:$G$500,"C",'LANÇAMENTOS DIÁRIOS'!$C$5:$C$500,$A101,'LANÇAMENTOS DIÁRIOS'!$O$5:$O$500,"&lt;=100499",'LANÇAMENTOS DIÁRIOS'!$P$5:$P$500,"&gt;=100400")&gt;0,"X","")</f>
      </c>
      <c r="AP101" s="56" t="str">
        <f>IF(COUNTIFS('LANÇAMENTOS DIÁRIOS'!$G$5:$G$500,"C",'LANÇAMENTOS DIÁRIOS'!$C$5:$C$500,$A101,'LANÇAMENTOS DIÁRIOS'!$O$5:$O$500,"&lt;=100500",'LANÇAMENTOS DIÁRIOS'!$P$5:$P$500,"&gt;=100500")&gt;0,"X","")</f>
      </c>
    </row>
    <row r="102" ht="21" customHeight="1">
      <c r="A102" s="60" t="str">
        <v>Segurança viária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</row>
    <row r="103" ht="19" customHeight="1">
      <c r="A103" s="68" t="str">
        <v>Instalação de barreira de concreto</v>
      </c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</row>
    <row r="104">
      <c r="A104" s="51" t="str">
        <v>Barreira rígida dupla baixa</v>
      </c>
      <c r="B104" s="56" t="str">
        <f>IF(COUNTIFS('LANÇAMENTOS DIÁRIOS'!$G$5:$G$500,"C",'LANÇAMENTOS DIÁRIOS'!$C$5:$C$500,$A104,'LANÇAMENTOS DIÁRIOS'!$O$5:$O$500,"&lt;=96599",'LANÇAMENTOS DIÁRIOS'!$P$5:$P$500,"&gt;=96500")&gt;0,"X","")</f>
      </c>
      <c r="C104" s="56" t="str">
        <f>IF(COUNTIFS('LANÇAMENTOS DIÁRIOS'!$G$5:$G$500,"C",'LANÇAMENTOS DIÁRIOS'!$C$5:$C$500,$A104,'LANÇAMENTOS DIÁRIOS'!$O$5:$O$500,"&lt;=96699",'LANÇAMENTOS DIÁRIOS'!$P$5:$P$500,"&gt;=96600")&gt;0,"X","")</f>
      </c>
      <c r="D104" s="56" t="str">
        <f>IF(COUNTIFS('LANÇAMENTOS DIÁRIOS'!$G$5:$G$500,"C",'LANÇAMENTOS DIÁRIOS'!$C$5:$C$500,$A104,'LANÇAMENTOS DIÁRIOS'!$O$5:$O$500,"&lt;=96799",'LANÇAMENTOS DIÁRIOS'!$P$5:$P$500,"&gt;=96700")&gt;0,"X","")</f>
      </c>
      <c r="E104" s="56" t="str">
        <f>IF(COUNTIFS('LANÇAMENTOS DIÁRIOS'!$G$5:$G$500,"C",'LANÇAMENTOS DIÁRIOS'!$C$5:$C$500,$A104,'LANÇAMENTOS DIÁRIOS'!$O$5:$O$500,"&lt;=96899",'LANÇAMENTOS DIÁRIOS'!$P$5:$P$500,"&gt;=96800")&gt;0,"X","")</f>
      </c>
      <c r="F104" s="56" t="str">
        <f>IF(COUNTIFS('LANÇAMENTOS DIÁRIOS'!$G$5:$G$500,"C",'LANÇAMENTOS DIÁRIOS'!$C$5:$C$500,$A104,'LANÇAMENTOS DIÁRIOS'!$O$5:$O$500,"&lt;=96999",'LANÇAMENTOS DIÁRIOS'!$P$5:$P$500,"&gt;=96900")&gt;0,"X","")</f>
      </c>
      <c r="G104" s="56" t="str">
        <f>IF(COUNTIFS('LANÇAMENTOS DIÁRIOS'!$G$5:$G$500,"C",'LANÇAMENTOS DIÁRIOS'!$C$5:$C$500,$A104,'LANÇAMENTOS DIÁRIOS'!$O$5:$O$500,"&lt;=97099",'LANÇAMENTOS DIÁRIOS'!$P$5:$P$500,"&gt;=97000")&gt;0,"X","")</f>
      </c>
      <c r="H104" s="56" t="str">
        <f>IF(COUNTIFS('LANÇAMENTOS DIÁRIOS'!$G$5:$G$500,"C",'LANÇAMENTOS DIÁRIOS'!$C$5:$C$500,$A104,'LANÇAMENTOS DIÁRIOS'!$O$5:$O$500,"&lt;=97199",'LANÇAMENTOS DIÁRIOS'!$P$5:$P$500,"&gt;=97100")&gt;0,"X","")</f>
      </c>
      <c r="I104" s="56" t="str">
        <f>IF(COUNTIFS('LANÇAMENTOS DIÁRIOS'!$G$5:$G$500,"C",'LANÇAMENTOS DIÁRIOS'!$C$5:$C$500,$A104,'LANÇAMENTOS DIÁRIOS'!$O$5:$O$500,"&lt;=97299",'LANÇAMENTOS DIÁRIOS'!$P$5:$P$500,"&gt;=97200")&gt;0,"X","")</f>
      </c>
      <c r="J104" s="56" t="str">
        <f>IF(COUNTIFS('LANÇAMENTOS DIÁRIOS'!$G$5:$G$500,"C",'LANÇAMENTOS DIÁRIOS'!$C$5:$C$500,$A104,'LANÇAMENTOS DIÁRIOS'!$O$5:$O$500,"&lt;=97399",'LANÇAMENTOS DIÁRIOS'!$P$5:$P$500,"&gt;=97300")&gt;0,"X","")</f>
      </c>
      <c r="K104" s="56" t="str">
        <f>IF(COUNTIFS('LANÇAMENTOS DIÁRIOS'!$G$5:$G$500,"C",'LANÇAMENTOS DIÁRIOS'!$C$5:$C$500,$A104,'LANÇAMENTOS DIÁRIOS'!$O$5:$O$500,"&lt;=97499",'LANÇAMENTOS DIÁRIOS'!$P$5:$P$500,"&gt;=97400")&gt;0,"X","")</f>
      </c>
      <c r="L104" s="56" t="str">
        <f>IF(COUNTIFS('LANÇAMENTOS DIÁRIOS'!$G$5:$G$500,"C",'LANÇAMENTOS DIÁRIOS'!$C$5:$C$500,$A104,'LANÇAMENTOS DIÁRIOS'!$O$5:$O$500,"&lt;=97599",'LANÇAMENTOS DIÁRIOS'!$P$5:$P$500,"&gt;=97500")&gt;0,"X","")</f>
      </c>
      <c r="M104" s="56" t="str">
        <f>IF(COUNTIFS('LANÇAMENTOS DIÁRIOS'!$G$5:$G$500,"C",'LANÇAMENTOS DIÁRIOS'!$C$5:$C$500,$A104,'LANÇAMENTOS DIÁRIOS'!$O$5:$O$500,"&lt;=97699",'LANÇAMENTOS DIÁRIOS'!$P$5:$P$500,"&gt;=97600")&gt;0,"X","")</f>
      </c>
      <c r="N104" s="56" t="str">
        <f>IF(COUNTIFS('LANÇAMENTOS DIÁRIOS'!$G$5:$G$500,"C",'LANÇAMENTOS DIÁRIOS'!$C$5:$C$500,$A104,'LANÇAMENTOS DIÁRIOS'!$O$5:$O$500,"&lt;=97799",'LANÇAMENTOS DIÁRIOS'!$P$5:$P$500,"&gt;=97700")&gt;0,"X","")</f>
      </c>
      <c r="O104" s="56" t="str">
        <f>IF(COUNTIFS('LANÇAMENTOS DIÁRIOS'!$G$5:$G$500,"C",'LANÇAMENTOS DIÁRIOS'!$C$5:$C$500,$A104,'LANÇAMENTOS DIÁRIOS'!$O$5:$O$500,"&lt;=97899",'LANÇAMENTOS DIÁRIOS'!$P$5:$P$500,"&gt;=97800")&gt;0,"X","")</f>
      </c>
      <c r="P104" s="56" t="str">
        <f>IF(COUNTIFS('LANÇAMENTOS DIÁRIOS'!$G$5:$G$500,"C",'LANÇAMENTOS DIÁRIOS'!$C$5:$C$500,$A104,'LANÇAMENTOS DIÁRIOS'!$O$5:$O$500,"&lt;=97999",'LANÇAMENTOS DIÁRIOS'!$P$5:$P$500,"&gt;=97900")&gt;0,"X","")</f>
      </c>
      <c r="Q104" s="56" t="str">
        <f>IF(COUNTIFS('LANÇAMENTOS DIÁRIOS'!$G$5:$G$500,"C",'LANÇAMENTOS DIÁRIOS'!$C$5:$C$500,$A104,'LANÇAMENTOS DIÁRIOS'!$O$5:$O$500,"&lt;=98099",'LANÇAMENTOS DIÁRIOS'!$P$5:$P$500,"&gt;=98000")&gt;0,"X","")</f>
      </c>
      <c r="R104" s="56" t="str">
        <f>IF(COUNTIFS('LANÇAMENTOS DIÁRIOS'!$G$5:$G$500,"C",'LANÇAMENTOS DIÁRIOS'!$C$5:$C$500,$A104,'LANÇAMENTOS DIÁRIOS'!$O$5:$O$500,"&lt;=98199",'LANÇAMENTOS DIÁRIOS'!$P$5:$P$500,"&gt;=98100")&gt;0,"X","")</f>
      </c>
      <c r="S104" s="56" t="str">
        <f>IF(COUNTIFS('LANÇAMENTOS DIÁRIOS'!$G$5:$G$500,"C",'LANÇAMENTOS DIÁRIOS'!$C$5:$C$500,$A104,'LANÇAMENTOS DIÁRIOS'!$O$5:$O$500,"&lt;=98299",'LANÇAMENTOS DIÁRIOS'!$P$5:$P$500,"&gt;=98200")&gt;0,"X","")</f>
      </c>
      <c r="T104" s="56" t="str">
        <f>IF(COUNTIFS('LANÇAMENTOS DIÁRIOS'!$G$5:$G$500,"C",'LANÇAMENTOS DIÁRIOS'!$C$5:$C$500,$A104,'LANÇAMENTOS DIÁRIOS'!$O$5:$O$500,"&lt;=98399",'LANÇAMENTOS DIÁRIOS'!$P$5:$P$500,"&gt;=98300")&gt;0,"X","")</f>
      </c>
      <c r="U104" s="56" t="str">
        <f>IF(COUNTIFS('LANÇAMENTOS DIÁRIOS'!$G$5:$G$500,"C",'LANÇAMENTOS DIÁRIOS'!$C$5:$C$500,$A104,'LANÇAMENTOS DIÁRIOS'!$O$5:$O$500,"&lt;=98499",'LANÇAMENTOS DIÁRIOS'!$P$5:$P$500,"&gt;=98400")&gt;0,"X","")</f>
      </c>
      <c r="V104" s="56" t="str">
        <f>IF(COUNTIFS('LANÇAMENTOS DIÁRIOS'!$G$5:$G$500,"C",'LANÇAMENTOS DIÁRIOS'!$C$5:$C$500,$A104,'LANÇAMENTOS DIÁRIOS'!$O$5:$O$500,"&lt;=98599",'LANÇAMENTOS DIÁRIOS'!$P$5:$P$500,"&gt;=98500")&gt;0,"X","")</f>
      </c>
      <c r="W104" s="56" t="str">
        <f>IF(COUNTIFS('LANÇAMENTOS DIÁRIOS'!$G$5:$G$500,"C",'LANÇAMENTOS DIÁRIOS'!$C$5:$C$500,$A104,'LANÇAMENTOS DIÁRIOS'!$O$5:$O$500,"&lt;=98699",'LANÇAMENTOS DIÁRIOS'!$P$5:$P$500,"&gt;=98600")&gt;0,"X","")</f>
      </c>
      <c r="X104" s="56" t="str">
        <f>IF(COUNTIFS('LANÇAMENTOS DIÁRIOS'!$G$5:$G$500,"C",'LANÇAMENTOS DIÁRIOS'!$C$5:$C$500,$A104,'LANÇAMENTOS DIÁRIOS'!$O$5:$O$500,"&lt;=98799",'LANÇAMENTOS DIÁRIOS'!$P$5:$P$500,"&gt;=98700")&gt;0,"X","")</f>
      </c>
      <c r="Y104" s="56" t="str">
        <f>IF(COUNTIFS('LANÇAMENTOS DIÁRIOS'!$G$5:$G$500,"C",'LANÇAMENTOS DIÁRIOS'!$C$5:$C$500,$A104,'LANÇAMENTOS DIÁRIOS'!$O$5:$O$500,"&lt;=98899",'LANÇAMENTOS DIÁRIOS'!$P$5:$P$500,"&gt;=98800")&gt;0,"X","")</f>
      </c>
      <c r="Z104" s="56" t="str">
        <f>IF(COUNTIFS('LANÇAMENTOS DIÁRIOS'!$G$5:$G$500,"C",'LANÇAMENTOS DIÁRIOS'!$C$5:$C$500,$A104,'LANÇAMENTOS DIÁRIOS'!$O$5:$O$500,"&lt;=98999",'LANÇAMENTOS DIÁRIOS'!$P$5:$P$500,"&gt;=98900")&gt;0,"X","")</f>
      </c>
      <c r="AA104" s="56" t="str">
        <f>IF(COUNTIFS('LANÇAMENTOS DIÁRIOS'!$G$5:$G$500,"C",'LANÇAMENTOS DIÁRIOS'!$C$5:$C$500,$A104,'LANÇAMENTOS DIÁRIOS'!$O$5:$O$500,"&lt;=99099",'LANÇAMENTOS DIÁRIOS'!$P$5:$P$500,"&gt;=99000")&gt;0,"X","")</f>
      </c>
      <c r="AB104" s="56" t="str">
        <f>IF(COUNTIFS('LANÇAMENTOS DIÁRIOS'!$G$5:$G$500,"C",'LANÇAMENTOS DIÁRIOS'!$C$5:$C$500,$A104,'LANÇAMENTOS DIÁRIOS'!$O$5:$O$500,"&lt;=99199",'LANÇAMENTOS DIÁRIOS'!$P$5:$P$500,"&gt;=99100")&gt;0,"X","")</f>
      </c>
      <c r="AC104" s="56" t="str">
        <f>IF(COUNTIFS('LANÇAMENTOS DIÁRIOS'!$G$5:$G$500,"C",'LANÇAMENTOS DIÁRIOS'!$C$5:$C$500,$A104,'LANÇAMENTOS DIÁRIOS'!$O$5:$O$500,"&lt;=99299",'LANÇAMENTOS DIÁRIOS'!$P$5:$P$500,"&gt;=99200")&gt;0,"X","")</f>
      </c>
      <c r="AD104" s="56" t="str">
        <f>IF(COUNTIFS('LANÇAMENTOS DIÁRIOS'!$G$5:$G$500,"C",'LANÇAMENTOS DIÁRIOS'!$C$5:$C$500,$A104,'LANÇAMENTOS DIÁRIOS'!$O$5:$O$500,"&lt;=99399",'LANÇAMENTOS DIÁRIOS'!$P$5:$P$500,"&gt;=99300")&gt;0,"X","")</f>
      </c>
      <c r="AE104" s="56" t="str">
        <f>IF(COUNTIFS('LANÇAMENTOS DIÁRIOS'!$G$5:$G$500,"C",'LANÇAMENTOS DIÁRIOS'!$C$5:$C$500,$A104,'LANÇAMENTOS DIÁRIOS'!$O$5:$O$500,"&lt;=99499",'LANÇAMENTOS DIÁRIOS'!$P$5:$P$500,"&gt;=99400")&gt;0,"X","")</f>
      </c>
      <c r="AF104" s="56" t="str">
        <f>IF(COUNTIFS('LANÇAMENTOS DIÁRIOS'!$G$5:$G$500,"C",'LANÇAMENTOS DIÁRIOS'!$C$5:$C$500,$A104,'LANÇAMENTOS DIÁRIOS'!$O$5:$O$500,"&lt;=99599",'LANÇAMENTOS DIÁRIOS'!$P$5:$P$500,"&gt;=99500")&gt;0,"X","")</f>
      </c>
      <c r="AG104" s="56" t="str">
        <f>IF(COUNTIFS('LANÇAMENTOS DIÁRIOS'!$G$5:$G$500,"C",'LANÇAMENTOS DIÁRIOS'!$C$5:$C$500,$A104,'LANÇAMENTOS DIÁRIOS'!$O$5:$O$500,"&lt;=99699",'LANÇAMENTOS DIÁRIOS'!$P$5:$P$500,"&gt;=99600")&gt;0,"X","")</f>
      </c>
      <c r="AH104" s="56" t="str">
        <f>IF(COUNTIFS('LANÇAMENTOS DIÁRIOS'!$G$5:$G$500,"C",'LANÇAMENTOS DIÁRIOS'!$C$5:$C$500,$A104,'LANÇAMENTOS DIÁRIOS'!$O$5:$O$500,"&lt;=99799",'LANÇAMENTOS DIÁRIOS'!$P$5:$P$500,"&gt;=99700")&gt;0,"X","")</f>
      </c>
      <c r="AI104" s="56" t="str">
        <f>IF(COUNTIFS('LANÇAMENTOS DIÁRIOS'!$G$5:$G$500,"C",'LANÇAMENTOS DIÁRIOS'!$C$5:$C$500,$A104,'LANÇAMENTOS DIÁRIOS'!$O$5:$O$500,"&lt;=99899",'LANÇAMENTOS DIÁRIOS'!$P$5:$P$500,"&gt;=99800")&gt;0,"X","")</f>
      </c>
      <c r="AJ104" s="56" t="str">
        <f>IF(COUNTIFS('LANÇAMENTOS DIÁRIOS'!$G$5:$G$500,"C",'LANÇAMENTOS DIÁRIOS'!$C$5:$C$500,$A104,'LANÇAMENTOS DIÁRIOS'!$O$5:$O$500,"&lt;=99999",'LANÇAMENTOS DIÁRIOS'!$P$5:$P$500,"&gt;=99900")&gt;0,"X","")</f>
      </c>
      <c r="AK104" s="56" t="str">
        <f>IF(COUNTIFS('LANÇAMENTOS DIÁRIOS'!$G$5:$G$500,"C",'LANÇAMENTOS DIÁRIOS'!$C$5:$C$500,$A104,'LANÇAMENTOS DIÁRIOS'!$O$5:$O$500,"&lt;=100099",'LANÇAMENTOS DIÁRIOS'!$P$5:$P$500,"&gt;=100000")&gt;0,"X","")</f>
      </c>
      <c r="AL104" s="56" t="str">
        <f>IF(COUNTIFS('LANÇAMENTOS DIÁRIOS'!$G$5:$G$500,"C",'LANÇAMENTOS DIÁRIOS'!$C$5:$C$500,$A104,'LANÇAMENTOS DIÁRIOS'!$O$5:$O$500,"&lt;=100199",'LANÇAMENTOS DIÁRIOS'!$P$5:$P$500,"&gt;=100100")&gt;0,"X","")</f>
      </c>
      <c r="AM104" s="56" t="str">
        <f>IF(COUNTIFS('LANÇAMENTOS DIÁRIOS'!$G$5:$G$500,"C",'LANÇAMENTOS DIÁRIOS'!$C$5:$C$500,$A104,'LANÇAMENTOS DIÁRIOS'!$O$5:$O$500,"&lt;=100299",'LANÇAMENTOS DIÁRIOS'!$P$5:$P$500,"&gt;=100200")&gt;0,"X","")</f>
      </c>
      <c r="AN104" s="56" t="str">
        <f>IF(COUNTIFS('LANÇAMENTOS DIÁRIOS'!$G$5:$G$500,"C",'LANÇAMENTOS DIÁRIOS'!$C$5:$C$500,$A104,'LANÇAMENTOS DIÁRIOS'!$O$5:$O$500,"&lt;=100399",'LANÇAMENTOS DIÁRIOS'!$P$5:$P$500,"&gt;=100300")&gt;0,"X","")</f>
      </c>
      <c r="AO104" s="56" t="str">
        <f>IF(COUNTIFS('LANÇAMENTOS DIÁRIOS'!$G$5:$G$500,"C",'LANÇAMENTOS DIÁRIOS'!$C$5:$C$500,$A104,'LANÇAMENTOS DIÁRIOS'!$O$5:$O$500,"&lt;=100499",'LANÇAMENTOS DIÁRIOS'!$P$5:$P$500,"&gt;=100400")&gt;0,"X","")</f>
      </c>
      <c r="AP104" s="56" t="str">
        <f>IF(COUNTIFS('LANÇAMENTOS DIÁRIOS'!$G$5:$G$500,"C",'LANÇAMENTOS DIÁRIOS'!$C$5:$C$500,$A104,'LANÇAMENTOS DIÁRIOS'!$O$5:$O$500,"&lt;=100500",'LANÇAMENTOS DIÁRIOS'!$P$5:$P$500,"&gt;=100500")&gt;0,"X","")</f>
      </c>
    </row>
    <row r="105">
      <c r="A105" s="51" t="str">
        <v>Barreira rígida simples baixa</v>
      </c>
      <c r="B105" s="56" t="str">
        <f>IF(COUNTIFS('LANÇAMENTOS DIÁRIOS'!$G$5:$G$500,"C",'LANÇAMENTOS DIÁRIOS'!$C$5:$C$500,$A105,'LANÇAMENTOS DIÁRIOS'!$O$5:$O$500,"&lt;=96599",'LANÇAMENTOS DIÁRIOS'!$P$5:$P$500,"&gt;=96500")&gt;0,"X","")</f>
      </c>
      <c r="C105" s="56" t="str">
        <f>IF(COUNTIFS('LANÇAMENTOS DIÁRIOS'!$G$5:$G$500,"C",'LANÇAMENTOS DIÁRIOS'!$C$5:$C$500,$A105,'LANÇAMENTOS DIÁRIOS'!$O$5:$O$500,"&lt;=96699",'LANÇAMENTOS DIÁRIOS'!$P$5:$P$500,"&gt;=96600")&gt;0,"X","")</f>
      </c>
      <c r="D105" s="56" t="str">
        <f>IF(COUNTIFS('LANÇAMENTOS DIÁRIOS'!$G$5:$G$500,"C",'LANÇAMENTOS DIÁRIOS'!$C$5:$C$500,$A105,'LANÇAMENTOS DIÁRIOS'!$O$5:$O$500,"&lt;=96799",'LANÇAMENTOS DIÁRIOS'!$P$5:$P$500,"&gt;=96700")&gt;0,"X","")</f>
      </c>
      <c r="E105" s="56" t="str">
        <f>IF(COUNTIFS('LANÇAMENTOS DIÁRIOS'!$G$5:$G$500,"C",'LANÇAMENTOS DIÁRIOS'!$C$5:$C$500,$A105,'LANÇAMENTOS DIÁRIOS'!$O$5:$O$500,"&lt;=96899",'LANÇAMENTOS DIÁRIOS'!$P$5:$P$500,"&gt;=96800")&gt;0,"X","")</f>
      </c>
      <c r="F105" s="56" t="str">
        <f>IF(COUNTIFS('LANÇAMENTOS DIÁRIOS'!$G$5:$G$500,"C",'LANÇAMENTOS DIÁRIOS'!$C$5:$C$500,$A105,'LANÇAMENTOS DIÁRIOS'!$O$5:$O$500,"&lt;=96999",'LANÇAMENTOS DIÁRIOS'!$P$5:$P$500,"&gt;=96900")&gt;0,"X","")</f>
      </c>
      <c r="G105" s="56" t="str">
        <f>IF(COUNTIFS('LANÇAMENTOS DIÁRIOS'!$G$5:$G$500,"C",'LANÇAMENTOS DIÁRIOS'!$C$5:$C$500,$A105,'LANÇAMENTOS DIÁRIOS'!$O$5:$O$500,"&lt;=97099",'LANÇAMENTOS DIÁRIOS'!$P$5:$P$500,"&gt;=97000")&gt;0,"X","")</f>
      </c>
      <c r="H105" s="56" t="str">
        <f>IF(COUNTIFS('LANÇAMENTOS DIÁRIOS'!$G$5:$G$500,"C",'LANÇAMENTOS DIÁRIOS'!$C$5:$C$500,$A105,'LANÇAMENTOS DIÁRIOS'!$O$5:$O$500,"&lt;=97199",'LANÇAMENTOS DIÁRIOS'!$P$5:$P$500,"&gt;=97100")&gt;0,"X","")</f>
      </c>
      <c r="I105" s="56" t="str">
        <f>IF(COUNTIFS('LANÇAMENTOS DIÁRIOS'!$G$5:$G$500,"C",'LANÇAMENTOS DIÁRIOS'!$C$5:$C$500,$A105,'LANÇAMENTOS DIÁRIOS'!$O$5:$O$500,"&lt;=97299",'LANÇAMENTOS DIÁRIOS'!$P$5:$P$500,"&gt;=97200")&gt;0,"X","")</f>
      </c>
      <c r="J105" s="56" t="str">
        <f>IF(COUNTIFS('LANÇAMENTOS DIÁRIOS'!$G$5:$G$500,"C",'LANÇAMENTOS DIÁRIOS'!$C$5:$C$500,$A105,'LANÇAMENTOS DIÁRIOS'!$O$5:$O$500,"&lt;=97399",'LANÇAMENTOS DIÁRIOS'!$P$5:$P$500,"&gt;=97300")&gt;0,"X","")</f>
      </c>
      <c r="K105" s="56" t="str">
        <f>IF(COUNTIFS('LANÇAMENTOS DIÁRIOS'!$G$5:$G$500,"C",'LANÇAMENTOS DIÁRIOS'!$C$5:$C$500,$A105,'LANÇAMENTOS DIÁRIOS'!$O$5:$O$500,"&lt;=97499",'LANÇAMENTOS DIÁRIOS'!$P$5:$P$500,"&gt;=97400")&gt;0,"X","")</f>
      </c>
      <c r="L105" s="56" t="str">
        <f>IF(COUNTIFS('LANÇAMENTOS DIÁRIOS'!$G$5:$G$500,"C",'LANÇAMENTOS DIÁRIOS'!$C$5:$C$500,$A105,'LANÇAMENTOS DIÁRIOS'!$O$5:$O$500,"&lt;=97599",'LANÇAMENTOS DIÁRIOS'!$P$5:$P$500,"&gt;=97500")&gt;0,"X","")</f>
      </c>
      <c r="M105" s="56" t="str">
        <f>IF(COUNTIFS('LANÇAMENTOS DIÁRIOS'!$G$5:$G$500,"C",'LANÇAMENTOS DIÁRIOS'!$C$5:$C$500,$A105,'LANÇAMENTOS DIÁRIOS'!$O$5:$O$500,"&lt;=97699",'LANÇAMENTOS DIÁRIOS'!$P$5:$P$500,"&gt;=97600")&gt;0,"X","")</f>
      </c>
      <c r="N105" s="56" t="str">
        <f>IF(COUNTIFS('LANÇAMENTOS DIÁRIOS'!$G$5:$G$500,"C",'LANÇAMENTOS DIÁRIOS'!$C$5:$C$500,$A105,'LANÇAMENTOS DIÁRIOS'!$O$5:$O$500,"&lt;=97799",'LANÇAMENTOS DIÁRIOS'!$P$5:$P$500,"&gt;=97700")&gt;0,"X","")</f>
      </c>
      <c r="O105" s="56" t="str">
        <f>IF(COUNTIFS('LANÇAMENTOS DIÁRIOS'!$G$5:$G$500,"C",'LANÇAMENTOS DIÁRIOS'!$C$5:$C$500,$A105,'LANÇAMENTOS DIÁRIOS'!$O$5:$O$500,"&lt;=97899",'LANÇAMENTOS DIÁRIOS'!$P$5:$P$500,"&gt;=97800")&gt;0,"X","")</f>
      </c>
      <c r="P105" s="56" t="str">
        <f>IF(COUNTIFS('LANÇAMENTOS DIÁRIOS'!$G$5:$G$500,"C",'LANÇAMENTOS DIÁRIOS'!$C$5:$C$500,$A105,'LANÇAMENTOS DIÁRIOS'!$O$5:$O$500,"&lt;=97999",'LANÇAMENTOS DIÁRIOS'!$P$5:$P$500,"&gt;=97900")&gt;0,"X","")</f>
      </c>
      <c r="Q105" s="56" t="str">
        <f>IF(COUNTIFS('LANÇAMENTOS DIÁRIOS'!$G$5:$G$500,"C",'LANÇAMENTOS DIÁRIOS'!$C$5:$C$500,$A105,'LANÇAMENTOS DIÁRIOS'!$O$5:$O$500,"&lt;=98099",'LANÇAMENTOS DIÁRIOS'!$P$5:$P$500,"&gt;=98000")&gt;0,"X","")</f>
      </c>
      <c r="R105" s="56" t="str">
        <f>IF(COUNTIFS('LANÇAMENTOS DIÁRIOS'!$G$5:$G$500,"C",'LANÇAMENTOS DIÁRIOS'!$C$5:$C$500,$A105,'LANÇAMENTOS DIÁRIOS'!$O$5:$O$500,"&lt;=98199",'LANÇAMENTOS DIÁRIOS'!$P$5:$P$500,"&gt;=98100")&gt;0,"X","")</f>
      </c>
      <c r="S105" s="56" t="str">
        <f>IF(COUNTIFS('LANÇAMENTOS DIÁRIOS'!$G$5:$G$500,"C",'LANÇAMENTOS DIÁRIOS'!$C$5:$C$500,$A105,'LANÇAMENTOS DIÁRIOS'!$O$5:$O$500,"&lt;=98299",'LANÇAMENTOS DIÁRIOS'!$P$5:$P$500,"&gt;=98200")&gt;0,"X","")</f>
      </c>
      <c r="T105" s="56" t="str">
        <f>IF(COUNTIFS('LANÇAMENTOS DIÁRIOS'!$G$5:$G$500,"C",'LANÇAMENTOS DIÁRIOS'!$C$5:$C$500,$A105,'LANÇAMENTOS DIÁRIOS'!$O$5:$O$500,"&lt;=98399",'LANÇAMENTOS DIÁRIOS'!$P$5:$P$500,"&gt;=98300")&gt;0,"X","")</f>
      </c>
      <c r="U105" s="56" t="str">
        <f>IF(COUNTIFS('LANÇAMENTOS DIÁRIOS'!$G$5:$G$500,"C",'LANÇAMENTOS DIÁRIOS'!$C$5:$C$500,$A105,'LANÇAMENTOS DIÁRIOS'!$O$5:$O$500,"&lt;=98499",'LANÇAMENTOS DIÁRIOS'!$P$5:$P$500,"&gt;=98400")&gt;0,"X","")</f>
      </c>
      <c r="V105" s="56" t="str">
        <f>IF(COUNTIFS('LANÇAMENTOS DIÁRIOS'!$G$5:$G$500,"C",'LANÇAMENTOS DIÁRIOS'!$C$5:$C$500,$A105,'LANÇAMENTOS DIÁRIOS'!$O$5:$O$500,"&lt;=98599",'LANÇAMENTOS DIÁRIOS'!$P$5:$P$500,"&gt;=98500")&gt;0,"X","")</f>
      </c>
      <c r="W105" s="56" t="str">
        <f>IF(COUNTIFS('LANÇAMENTOS DIÁRIOS'!$G$5:$G$500,"C",'LANÇAMENTOS DIÁRIOS'!$C$5:$C$500,$A105,'LANÇAMENTOS DIÁRIOS'!$O$5:$O$500,"&lt;=98699",'LANÇAMENTOS DIÁRIOS'!$P$5:$P$500,"&gt;=98600")&gt;0,"X","")</f>
      </c>
      <c r="X105" s="56" t="str">
        <f>IF(COUNTIFS('LANÇAMENTOS DIÁRIOS'!$G$5:$G$500,"C",'LANÇAMENTOS DIÁRIOS'!$C$5:$C$500,$A105,'LANÇAMENTOS DIÁRIOS'!$O$5:$O$500,"&lt;=98799",'LANÇAMENTOS DIÁRIOS'!$P$5:$P$500,"&gt;=98700")&gt;0,"X","")</f>
      </c>
      <c r="Y105" s="56" t="str">
        <f>IF(COUNTIFS('LANÇAMENTOS DIÁRIOS'!$G$5:$G$500,"C",'LANÇAMENTOS DIÁRIOS'!$C$5:$C$500,$A105,'LANÇAMENTOS DIÁRIOS'!$O$5:$O$500,"&lt;=98899",'LANÇAMENTOS DIÁRIOS'!$P$5:$P$500,"&gt;=98800")&gt;0,"X","")</f>
      </c>
      <c r="Z105" s="56" t="str">
        <f>IF(COUNTIFS('LANÇAMENTOS DIÁRIOS'!$G$5:$G$500,"C",'LANÇAMENTOS DIÁRIOS'!$C$5:$C$500,$A105,'LANÇAMENTOS DIÁRIOS'!$O$5:$O$500,"&lt;=98999",'LANÇAMENTOS DIÁRIOS'!$P$5:$P$500,"&gt;=98900")&gt;0,"X","")</f>
      </c>
      <c r="AA105" s="56" t="str">
        <f>IF(COUNTIFS('LANÇAMENTOS DIÁRIOS'!$G$5:$G$500,"C",'LANÇAMENTOS DIÁRIOS'!$C$5:$C$500,$A105,'LANÇAMENTOS DIÁRIOS'!$O$5:$O$500,"&lt;=99099",'LANÇAMENTOS DIÁRIOS'!$P$5:$P$500,"&gt;=99000")&gt;0,"X","")</f>
      </c>
      <c r="AB105" s="56" t="str">
        <f>IF(COUNTIFS('LANÇAMENTOS DIÁRIOS'!$G$5:$G$500,"C",'LANÇAMENTOS DIÁRIOS'!$C$5:$C$500,$A105,'LANÇAMENTOS DIÁRIOS'!$O$5:$O$500,"&lt;=99199",'LANÇAMENTOS DIÁRIOS'!$P$5:$P$500,"&gt;=99100")&gt;0,"X","")</f>
      </c>
      <c r="AC105" s="56" t="str">
        <f>IF(COUNTIFS('LANÇAMENTOS DIÁRIOS'!$G$5:$G$500,"C",'LANÇAMENTOS DIÁRIOS'!$C$5:$C$500,$A105,'LANÇAMENTOS DIÁRIOS'!$O$5:$O$500,"&lt;=99299",'LANÇAMENTOS DIÁRIOS'!$P$5:$P$500,"&gt;=99200")&gt;0,"X","")</f>
      </c>
      <c r="AD105" s="56" t="str">
        <f>IF(COUNTIFS('LANÇAMENTOS DIÁRIOS'!$G$5:$G$500,"C",'LANÇAMENTOS DIÁRIOS'!$C$5:$C$500,$A105,'LANÇAMENTOS DIÁRIOS'!$O$5:$O$500,"&lt;=99399",'LANÇAMENTOS DIÁRIOS'!$P$5:$P$500,"&gt;=99300")&gt;0,"X","")</f>
      </c>
      <c r="AE105" s="56" t="str">
        <f>IF(COUNTIFS('LANÇAMENTOS DIÁRIOS'!$G$5:$G$500,"C",'LANÇAMENTOS DIÁRIOS'!$C$5:$C$500,$A105,'LANÇAMENTOS DIÁRIOS'!$O$5:$O$500,"&lt;=99499",'LANÇAMENTOS DIÁRIOS'!$P$5:$P$500,"&gt;=99400")&gt;0,"X","")</f>
      </c>
      <c r="AF105" s="56" t="str">
        <f>IF(COUNTIFS('LANÇAMENTOS DIÁRIOS'!$G$5:$G$500,"C",'LANÇAMENTOS DIÁRIOS'!$C$5:$C$500,$A105,'LANÇAMENTOS DIÁRIOS'!$O$5:$O$500,"&lt;=99599",'LANÇAMENTOS DIÁRIOS'!$P$5:$P$500,"&gt;=99500")&gt;0,"X","")</f>
      </c>
      <c r="AG105" s="56" t="str">
        <f>IF(COUNTIFS('LANÇAMENTOS DIÁRIOS'!$G$5:$G$500,"C",'LANÇAMENTOS DIÁRIOS'!$C$5:$C$500,$A105,'LANÇAMENTOS DIÁRIOS'!$O$5:$O$500,"&lt;=99699",'LANÇAMENTOS DIÁRIOS'!$P$5:$P$500,"&gt;=99600")&gt;0,"X","")</f>
      </c>
      <c r="AH105" s="56" t="str">
        <f>IF(COUNTIFS('LANÇAMENTOS DIÁRIOS'!$G$5:$G$500,"C",'LANÇAMENTOS DIÁRIOS'!$C$5:$C$500,$A105,'LANÇAMENTOS DIÁRIOS'!$O$5:$O$500,"&lt;=99799",'LANÇAMENTOS DIÁRIOS'!$P$5:$P$500,"&gt;=99700")&gt;0,"X","")</f>
      </c>
      <c r="AI105" s="56" t="str">
        <f>IF(COUNTIFS('LANÇAMENTOS DIÁRIOS'!$G$5:$G$500,"C",'LANÇAMENTOS DIÁRIOS'!$C$5:$C$500,$A105,'LANÇAMENTOS DIÁRIOS'!$O$5:$O$500,"&lt;=99899",'LANÇAMENTOS DIÁRIOS'!$P$5:$P$500,"&gt;=99800")&gt;0,"X","")</f>
      </c>
      <c r="AJ105" s="56" t="str">
        <f>IF(COUNTIFS('LANÇAMENTOS DIÁRIOS'!$G$5:$G$500,"C",'LANÇAMENTOS DIÁRIOS'!$C$5:$C$500,$A105,'LANÇAMENTOS DIÁRIOS'!$O$5:$O$500,"&lt;=99999",'LANÇAMENTOS DIÁRIOS'!$P$5:$P$500,"&gt;=99900")&gt;0,"X","")</f>
      </c>
      <c r="AK105" s="56" t="str">
        <f>IF(COUNTIFS('LANÇAMENTOS DIÁRIOS'!$G$5:$G$500,"C",'LANÇAMENTOS DIÁRIOS'!$C$5:$C$500,$A105,'LANÇAMENTOS DIÁRIOS'!$O$5:$O$500,"&lt;=100099",'LANÇAMENTOS DIÁRIOS'!$P$5:$P$500,"&gt;=100000")&gt;0,"X","")</f>
      </c>
      <c r="AL105" s="56" t="str">
        <f>IF(COUNTIFS('LANÇAMENTOS DIÁRIOS'!$G$5:$G$500,"C",'LANÇAMENTOS DIÁRIOS'!$C$5:$C$500,$A105,'LANÇAMENTOS DIÁRIOS'!$O$5:$O$500,"&lt;=100199",'LANÇAMENTOS DIÁRIOS'!$P$5:$P$500,"&gt;=100100")&gt;0,"X","")</f>
      </c>
      <c r="AM105" s="56" t="str">
        <f>IF(COUNTIFS('LANÇAMENTOS DIÁRIOS'!$G$5:$G$500,"C",'LANÇAMENTOS DIÁRIOS'!$C$5:$C$500,$A105,'LANÇAMENTOS DIÁRIOS'!$O$5:$O$500,"&lt;=100299",'LANÇAMENTOS DIÁRIOS'!$P$5:$P$500,"&gt;=100200")&gt;0,"X","")</f>
      </c>
      <c r="AN105" s="56" t="str">
        <f>IF(COUNTIFS('LANÇAMENTOS DIÁRIOS'!$G$5:$G$500,"C",'LANÇAMENTOS DIÁRIOS'!$C$5:$C$500,$A105,'LANÇAMENTOS DIÁRIOS'!$O$5:$O$500,"&lt;=100399",'LANÇAMENTOS DIÁRIOS'!$P$5:$P$500,"&gt;=100300")&gt;0,"X","")</f>
      </c>
      <c r="AO105" s="56" t="str">
        <f>IF(COUNTIFS('LANÇAMENTOS DIÁRIOS'!$G$5:$G$500,"C",'LANÇAMENTOS DIÁRIOS'!$C$5:$C$500,$A105,'LANÇAMENTOS DIÁRIOS'!$O$5:$O$500,"&lt;=100499",'LANÇAMENTOS DIÁRIOS'!$P$5:$P$500,"&gt;=100400")&gt;0,"X","")</f>
      </c>
      <c r="AP105" s="56" t="str">
        <f>IF(COUNTIFS('LANÇAMENTOS DIÁRIOS'!$G$5:$G$500,"C",'LANÇAMENTOS DIÁRIOS'!$C$5:$C$500,$A105,'LANÇAMENTOS DIÁRIOS'!$O$5:$O$500,"&lt;=100500",'LANÇAMENTOS DIÁRIOS'!$P$5:$P$500,"&gt;=100500")&gt;0,"X","")</f>
      </c>
    </row>
  </sheetData>
  <conditionalFormatting sqref="B3:AP105">
    <cfRule type="expression" dxfId="0" priority="1">
      <formula>B3="X"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RowHeight="15"/>
  <cols>
    <col min="1" max="1" width="54" hidden="0" customWidth="1"/>
    <col min="2" max="2" width="10" hidden="0" customWidth="1"/>
    <col min="3" max="3" width="10" hidden="0" customWidth="1"/>
    <col min="4" max="4" width="10" hidden="0" customWidth="1"/>
    <col min="5" max="5" width="10" hidden="0" customWidth="1"/>
    <col min="6" max="6" width="10" hidden="0" customWidth="1"/>
    <col min="7" max="7" width="10" hidden="0" customWidth="1"/>
    <col min="8" max="8" width="10" hidden="0" customWidth="1"/>
    <col min="9" max="9" width="10" hidden="0" customWidth="1"/>
    <col min="10" max="10" width="10" hidden="0" customWidth="1"/>
    <col min="11" max="11" width="10" hidden="0" customWidth="1"/>
    <col min="12" max="12" width="10" hidden="0" customWidth="1"/>
    <col min="13" max="13" width="10" hidden="0" customWidth="1"/>
    <col min="14" max="14" width="10" hidden="0" customWidth="1"/>
    <col min="15" max="15" width="10" hidden="0" customWidth="1"/>
    <col min="16" max="16" width="10" hidden="0" customWidth="1"/>
    <col min="17" max="17" width="10" hidden="0" customWidth="1"/>
    <col min="18" max="18" width="10" hidden="0" customWidth="1"/>
    <col min="19" max="19" width="10" hidden="0" customWidth="1"/>
    <col min="20" max="20" width="10" hidden="0" customWidth="1"/>
    <col min="21" max="21" width="10" hidden="0" customWidth="1"/>
    <col min="22" max="22" width="10" hidden="0" customWidth="1"/>
    <col min="23" max="23" width="10" hidden="0" customWidth="1"/>
    <col min="24" max="24" width="10" hidden="0" customWidth="1"/>
    <col min="25" max="25" width="10" hidden="0" customWidth="1"/>
    <col min="26" max="26" width="10" hidden="0" customWidth="1"/>
    <col min="27" max="27" width="10" hidden="0" customWidth="1"/>
    <col min="28" max="28" width="10" hidden="0" customWidth="1"/>
    <col min="29" max="29" width="10" hidden="0" customWidth="1"/>
    <col min="30" max="30" width="10" hidden="0" customWidth="1"/>
    <col min="31" max="31" width="10" hidden="0" customWidth="1"/>
    <col min="32" max="32" width="10" hidden="0" customWidth="1"/>
    <col min="33" max="33" width="10" hidden="0" customWidth="1"/>
    <col min="34" max="34" width="10" hidden="0" customWidth="1"/>
    <col min="35" max="35" width="10" hidden="0" customWidth="1"/>
    <col min="36" max="36" width="10" hidden="0" customWidth="1"/>
    <col min="37" max="37" width="10" hidden="0" customWidth="1"/>
    <col min="38" max="38" width="10" hidden="0" customWidth="1"/>
    <col min="39" max="39" width="10" hidden="0" customWidth="1"/>
    <col min="40" max="40" width="10" hidden="0" customWidth="1"/>
    <col min="41" max="41" width="10" hidden="0" customWidth="1"/>
    <col min="42" max="42" width="10" hidden="0" customWidth="1"/>
    <col min="43" max="43" width="10" hidden="0" customWidth="1"/>
    <col min="44" max="44" width="10" hidden="0" customWidth="1"/>
    <col min="45" max="45" width="10" hidden="0" customWidth="1"/>
    <col min="46" max="46" width="10" hidden="0" customWidth="1"/>
    <col min="47" max="47" width="10" hidden="0" customWidth="1"/>
    <col min="48" max="48" width="10" hidden="0" customWidth="1"/>
    <col min="49" max="49" width="10" hidden="0" customWidth="1"/>
    <col min="50" max="50" width="10" hidden="0" customWidth="1"/>
    <col min="51" max="51" width="10" hidden="0" customWidth="1"/>
    <col min="52" max="52" width="10" hidden="0" customWidth="1"/>
  </cols>
  <sheetData>
    <row r="1" ht="26" customHeight="1">
      <c r="A1" s="38" t="str">
        <v>RETIGRÁFICO — FRENTE D | KM 100+500 A 105+500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</row>
    <row r="2" ht="26" customHeight="1">
      <c r="A2" s="43" t="str">
        <v>ATIVIDADE / ITEM</v>
      </c>
      <c r="B2" s="43" t="str">
        <v>100+500</v>
      </c>
      <c r="C2" s="43" t="str">
        <v>100+600</v>
      </c>
      <c r="D2" s="43" t="str">
        <v>100+700</v>
      </c>
      <c r="E2" s="43" t="str">
        <v>100+800</v>
      </c>
      <c r="F2" s="43" t="str">
        <v>100+900</v>
      </c>
      <c r="G2" s="43" t="str">
        <v>101+000</v>
      </c>
      <c r="H2" s="43" t="str">
        <v>101+100</v>
      </c>
      <c r="I2" s="43" t="str">
        <v>101+200</v>
      </c>
      <c r="J2" s="43" t="str">
        <v>101+300</v>
      </c>
      <c r="K2" s="43" t="str">
        <v>101+400</v>
      </c>
      <c r="L2" s="43" t="str">
        <v>101+500</v>
      </c>
      <c r="M2" s="43" t="str">
        <v>101+600</v>
      </c>
      <c r="N2" s="43" t="str">
        <v>101+700</v>
      </c>
      <c r="O2" s="43" t="str">
        <v>101+800</v>
      </c>
      <c r="P2" s="43" t="str">
        <v>101+900</v>
      </c>
      <c r="Q2" s="43" t="str">
        <v>102+000</v>
      </c>
      <c r="R2" s="43" t="str">
        <v>102+100</v>
      </c>
      <c r="S2" s="43" t="str">
        <v>102+200</v>
      </c>
      <c r="T2" s="43" t="str">
        <v>102+300</v>
      </c>
      <c r="U2" s="43" t="str">
        <v>102+400</v>
      </c>
      <c r="V2" s="43" t="str">
        <v>102+500</v>
      </c>
      <c r="W2" s="43" t="str">
        <v>102+600</v>
      </c>
      <c r="X2" s="43" t="str">
        <v>102+700</v>
      </c>
      <c r="Y2" s="43" t="str">
        <v>102+800</v>
      </c>
      <c r="Z2" s="43" t="str">
        <v>102+900</v>
      </c>
      <c r="AA2" s="43" t="str">
        <v>103+000</v>
      </c>
      <c r="AB2" s="43" t="str">
        <v>103+100</v>
      </c>
      <c r="AC2" s="43" t="str">
        <v>103+200</v>
      </c>
      <c r="AD2" s="43" t="str">
        <v>103+300</v>
      </c>
      <c r="AE2" s="43" t="str">
        <v>103+400</v>
      </c>
      <c r="AF2" s="43" t="str">
        <v>103+500</v>
      </c>
      <c r="AG2" s="43" t="str">
        <v>103+600</v>
      </c>
      <c r="AH2" s="43" t="str">
        <v>103+700</v>
      </c>
      <c r="AI2" s="43" t="str">
        <v>103+800</v>
      </c>
      <c r="AJ2" s="43" t="str">
        <v>103+900</v>
      </c>
      <c r="AK2" s="43" t="str">
        <v>104+000</v>
      </c>
      <c r="AL2" s="43" t="str">
        <v>104+100</v>
      </c>
      <c r="AM2" s="43" t="str">
        <v>104+200</v>
      </c>
      <c r="AN2" s="43" t="str">
        <v>104+300</v>
      </c>
      <c r="AO2" s="43" t="str">
        <v>104+400</v>
      </c>
      <c r="AP2" s="43" t="str">
        <v>104+500</v>
      </c>
      <c r="AQ2" s="43" t="str">
        <v>104+600</v>
      </c>
      <c r="AR2" s="43" t="str">
        <v>104+700</v>
      </c>
      <c r="AS2" s="43" t="str">
        <v>104+800</v>
      </c>
      <c r="AT2" s="43" t="str">
        <v>104+900</v>
      </c>
      <c r="AU2" s="43" t="str">
        <v>105+000</v>
      </c>
      <c r="AV2" s="43" t="str">
        <v>105+100</v>
      </c>
      <c r="AW2" s="43" t="str">
        <v>105+200</v>
      </c>
      <c r="AX2" s="43" t="str">
        <v>105+300</v>
      </c>
      <c r="AY2" s="43" t="str">
        <v>105+400</v>
      </c>
      <c r="AZ2" s="43" t="str">
        <v>105+500</v>
      </c>
    </row>
    <row r="3" ht="21" customHeight="1">
      <c r="A3" s="60" t="str">
        <v>Serviços preliminares e conclusivos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</row>
    <row r="4" ht="19" customHeight="1">
      <c r="A4" s="68" t="str">
        <v>Demolições e remoções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</row>
    <row r="5">
      <c r="A5" s="51" t="str">
        <v>Remoção de cerca</v>
      </c>
      <c r="B5" s="56" t="str">
        <f>IF(COUNTIFS('LANÇAMENTOS DIÁRIOS'!$G$5:$G$500,"D",'LANÇAMENTOS DIÁRIOS'!$C$5:$C$500,$A5,'LANÇAMENTOS DIÁRIOS'!$O$5:$O$500,"&lt;=100599",'LANÇAMENTOS DIÁRIOS'!$P$5:$P$500,"&gt;=100500")&gt;0,"X","")</f>
        <v>X</v>
      </c>
      <c r="C5" s="56" t="str">
        <f>IF(COUNTIFS('LANÇAMENTOS DIÁRIOS'!$G$5:$G$500,"D",'LANÇAMENTOS DIÁRIOS'!$C$5:$C$500,$A5,'LANÇAMENTOS DIÁRIOS'!$O$5:$O$500,"&lt;=100699",'LANÇAMENTOS DIÁRIOS'!$P$5:$P$500,"&gt;=100600")&gt;0,"X","")</f>
        <v>X</v>
      </c>
      <c r="D5" s="56" t="str">
        <f>IF(COUNTIFS('LANÇAMENTOS DIÁRIOS'!$G$5:$G$500,"D",'LANÇAMENTOS DIÁRIOS'!$C$5:$C$500,$A5,'LANÇAMENTOS DIÁRIOS'!$O$5:$O$500,"&lt;=100799",'LANÇAMENTOS DIÁRIOS'!$P$5:$P$500,"&gt;=100700")&gt;0,"X","")</f>
        <v>X</v>
      </c>
      <c r="E5" s="56" t="str">
        <f>IF(COUNTIFS('LANÇAMENTOS DIÁRIOS'!$G$5:$G$500,"D",'LANÇAMENTOS DIÁRIOS'!$C$5:$C$500,$A5,'LANÇAMENTOS DIÁRIOS'!$O$5:$O$500,"&lt;=100899",'LANÇAMENTOS DIÁRIOS'!$P$5:$P$500,"&gt;=100800")&gt;0,"X","")</f>
        <v>X</v>
      </c>
      <c r="F5" s="56" t="str">
        <f>IF(COUNTIFS('LANÇAMENTOS DIÁRIOS'!$G$5:$G$500,"D",'LANÇAMENTOS DIÁRIOS'!$C$5:$C$500,$A5,'LANÇAMENTOS DIÁRIOS'!$O$5:$O$500,"&lt;=100999",'LANÇAMENTOS DIÁRIOS'!$P$5:$P$500,"&gt;=100900")&gt;0,"X","")</f>
        <v>X</v>
      </c>
      <c r="G5" s="56" t="str">
        <f>IF(COUNTIFS('LANÇAMENTOS DIÁRIOS'!$G$5:$G$500,"D",'LANÇAMENTOS DIÁRIOS'!$C$5:$C$500,$A5,'LANÇAMENTOS DIÁRIOS'!$O$5:$O$500,"&lt;=101099",'LANÇAMENTOS DIÁRIOS'!$P$5:$P$500,"&gt;=101000")&gt;0,"X","")</f>
      </c>
      <c r="H5" s="56" t="str">
        <f>IF(COUNTIFS('LANÇAMENTOS DIÁRIOS'!$G$5:$G$500,"D",'LANÇAMENTOS DIÁRIOS'!$C$5:$C$500,$A5,'LANÇAMENTOS DIÁRIOS'!$O$5:$O$500,"&lt;=101199",'LANÇAMENTOS DIÁRIOS'!$P$5:$P$500,"&gt;=101100")&gt;0,"X","")</f>
      </c>
      <c r="I5" s="56" t="str">
        <f>IF(COUNTIFS('LANÇAMENTOS DIÁRIOS'!$G$5:$G$500,"D",'LANÇAMENTOS DIÁRIOS'!$C$5:$C$500,$A5,'LANÇAMENTOS DIÁRIOS'!$O$5:$O$500,"&lt;=101299",'LANÇAMENTOS DIÁRIOS'!$P$5:$P$500,"&gt;=101200")&gt;0,"X","")</f>
      </c>
      <c r="J5" s="56" t="str">
        <f>IF(COUNTIFS('LANÇAMENTOS DIÁRIOS'!$G$5:$G$500,"D",'LANÇAMENTOS DIÁRIOS'!$C$5:$C$500,$A5,'LANÇAMENTOS DIÁRIOS'!$O$5:$O$500,"&lt;=101399",'LANÇAMENTOS DIÁRIOS'!$P$5:$P$500,"&gt;=101300")&gt;0,"X","")</f>
      </c>
      <c r="K5" s="56" t="str">
        <f>IF(COUNTIFS('LANÇAMENTOS DIÁRIOS'!$G$5:$G$500,"D",'LANÇAMENTOS DIÁRIOS'!$C$5:$C$500,$A5,'LANÇAMENTOS DIÁRIOS'!$O$5:$O$500,"&lt;=101499",'LANÇAMENTOS DIÁRIOS'!$P$5:$P$500,"&gt;=101400")&gt;0,"X","")</f>
      </c>
      <c r="L5" s="56" t="str">
        <f>IF(COUNTIFS('LANÇAMENTOS DIÁRIOS'!$G$5:$G$500,"D",'LANÇAMENTOS DIÁRIOS'!$C$5:$C$500,$A5,'LANÇAMENTOS DIÁRIOS'!$O$5:$O$500,"&lt;=101599",'LANÇAMENTOS DIÁRIOS'!$P$5:$P$500,"&gt;=101500")&gt;0,"X","")</f>
      </c>
      <c r="M5" s="56" t="str">
        <f>IF(COUNTIFS('LANÇAMENTOS DIÁRIOS'!$G$5:$G$500,"D",'LANÇAMENTOS DIÁRIOS'!$C$5:$C$500,$A5,'LANÇAMENTOS DIÁRIOS'!$O$5:$O$500,"&lt;=101699",'LANÇAMENTOS DIÁRIOS'!$P$5:$P$500,"&gt;=101600")&gt;0,"X","")</f>
      </c>
      <c r="N5" s="56" t="str">
        <f>IF(COUNTIFS('LANÇAMENTOS DIÁRIOS'!$G$5:$G$500,"D",'LANÇAMENTOS DIÁRIOS'!$C$5:$C$500,$A5,'LANÇAMENTOS DIÁRIOS'!$O$5:$O$500,"&lt;=101799",'LANÇAMENTOS DIÁRIOS'!$P$5:$P$500,"&gt;=101700")&gt;0,"X","")</f>
      </c>
      <c r="O5" s="56" t="str">
        <f>IF(COUNTIFS('LANÇAMENTOS DIÁRIOS'!$G$5:$G$500,"D",'LANÇAMENTOS DIÁRIOS'!$C$5:$C$500,$A5,'LANÇAMENTOS DIÁRIOS'!$O$5:$O$500,"&lt;=101899",'LANÇAMENTOS DIÁRIOS'!$P$5:$P$500,"&gt;=101800")&gt;0,"X","")</f>
      </c>
      <c r="P5" s="56" t="str">
        <f>IF(COUNTIFS('LANÇAMENTOS DIÁRIOS'!$G$5:$G$500,"D",'LANÇAMENTOS DIÁRIOS'!$C$5:$C$500,$A5,'LANÇAMENTOS DIÁRIOS'!$O$5:$O$500,"&lt;=101999",'LANÇAMENTOS DIÁRIOS'!$P$5:$P$500,"&gt;=101900")&gt;0,"X","")</f>
      </c>
      <c r="Q5" s="56" t="str">
        <f>IF(COUNTIFS('LANÇAMENTOS DIÁRIOS'!$G$5:$G$500,"D",'LANÇAMENTOS DIÁRIOS'!$C$5:$C$500,$A5,'LANÇAMENTOS DIÁRIOS'!$O$5:$O$500,"&lt;=102099",'LANÇAMENTOS DIÁRIOS'!$P$5:$P$500,"&gt;=102000")&gt;0,"X","")</f>
      </c>
      <c r="R5" s="56" t="str">
        <f>IF(COUNTIFS('LANÇAMENTOS DIÁRIOS'!$G$5:$G$500,"D",'LANÇAMENTOS DIÁRIOS'!$C$5:$C$500,$A5,'LANÇAMENTOS DIÁRIOS'!$O$5:$O$500,"&lt;=102199",'LANÇAMENTOS DIÁRIOS'!$P$5:$P$500,"&gt;=102100")&gt;0,"X","")</f>
      </c>
      <c r="S5" s="56" t="str">
        <f>IF(COUNTIFS('LANÇAMENTOS DIÁRIOS'!$G$5:$G$500,"D",'LANÇAMENTOS DIÁRIOS'!$C$5:$C$500,$A5,'LANÇAMENTOS DIÁRIOS'!$O$5:$O$500,"&lt;=102299",'LANÇAMENTOS DIÁRIOS'!$P$5:$P$500,"&gt;=102200")&gt;0,"X","")</f>
      </c>
      <c r="T5" s="56" t="str">
        <f>IF(COUNTIFS('LANÇAMENTOS DIÁRIOS'!$G$5:$G$500,"D",'LANÇAMENTOS DIÁRIOS'!$C$5:$C$500,$A5,'LANÇAMENTOS DIÁRIOS'!$O$5:$O$500,"&lt;=102399",'LANÇAMENTOS DIÁRIOS'!$P$5:$P$500,"&gt;=102300")&gt;0,"X","")</f>
      </c>
      <c r="U5" s="56" t="str">
        <f>IF(COUNTIFS('LANÇAMENTOS DIÁRIOS'!$G$5:$G$500,"D",'LANÇAMENTOS DIÁRIOS'!$C$5:$C$500,$A5,'LANÇAMENTOS DIÁRIOS'!$O$5:$O$500,"&lt;=102499",'LANÇAMENTOS DIÁRIOS'!$P$5:$P$500,"&gt;=102400")&gt;0,"X","")</f>
      </c>
      <c r="V5" s="56" t="str">
        <f>IF(COUNTIFS('LANÇAMENTOS DIÁRIOS'!$G$5:$G$500,"D",'LANÇAMENTOS DIÁRIOS'!$C$5:$C$500,$A5,'LANÇAMENTOS DIÁRIOS'!$O$5:$O$500,"&lt;=102599",'LANÇAMENTOS DIÁRIOS'!$P$5:$P$500,"&gt;=102500")&gt;0,"X","")</f>
      </c>
      <c r="W5" s="56" t="str">
        <f>IF(COUNTIFS('LANÇAMENTOS DIÁRIOS'!$G$5:$G$500,"D",'LANÇAMENTOS DIÁRIOS'!$C$5:$C$500,$A5,'LANÇAMENTOS DIÁRIOS'!$O$5:$O$500,"&lt;=102699",'LANÇAMENTOS DIÁRIOS'!$P$5:$P$500,"&gt;=102600")&gt;0,"X","")</f>
      </c>
      <c r="X5" s="56" t="str">
        <f>IF(COUNTIFS('LANÇAMENTOS DIÁRIOS'!$G$5:$G$500,"D",'LANÇAMENTOS DIÁRIOS'!$C$5:$C$500,$A5,'LANÇAMENTOS DIÁRIOS'!$O$5:$O$500,"&lt;=102799",'LANÇAMENTOS DIÁRIOS'!$P$5:$P$500,"&gt;=102700")&gt;0,"X","")</f>
      </c>
      <c r="Y5" s="56" t="str">
        <f>IF(COUNTIFS('LANÇAMENTOS DIÁRIOS'!$G$5:$G$500,"D",'LANÇAMENTOS DIÁRIOS'!$C$5:$C$500,$A5,'LANÇAMENTOS DIÁRIOS'!$O$5:$O$500,"&lt;=102899",'LANÇAMENTOS DIÁRIOS'!$P$5:$P$500,"&gt;=102800")&gt;0,"X","")</f>
      </c>
      <c r="Z5" s="56" t="str">
        <f>IF(COUNTIFS('LANÇAMENTOS DIÁRIOS'!$G$5:$G$500,"D",'LANÇAMENTOS DIÁRIOS'!$C$5:$C$500,$A5,'LANÇAMENTOS DIÁRIOS'!$O$5:$O$500,"&lt;=102999",'LANÇAMENTOS DIÁRIOS'!$P$5:$P$500,"&gt;=102900")&gt;0,"X","")</f>
      </c>
      <c r="AA5" s="56" t="str">
        <f>IF(COUNTIFS('LANÇAMENTOS DIÁRIOS'!$G$5:$G$500,"D",'LANÇAMENTOS DIÁRIOS'!$C$5:$C$500,$A5,'LANÇAMENTOS DIÁRIOS'!$O$5:$O$500,"&lt;=103099",'LANÇAMENTOS DIÁRIOS'!$P$5:$P$500,"&gt;=103000")&gt;0,"X","")</f>
      </c>
      <c r="AB5" s="56" t="str">
        <f>IF(COUNTIFS('LANÇAMENTOS DIÁRIOS'!$G$5:$G$500,"D",'LANÇAMENTOS DIÁRIOS'!$C$5:$C$500,$A5,'LANÇAMENTOS DIÁRIOS'!$O$5:$O$500,"&lt;=103199",'LANÇAMENTOS DIÁRIOS'!$P$5:$P$500,"&gt;=103100")&gt;0,"X","")</f>
      </c>
      <c r="AC5" s="56" t="str">
        <f>IF(COUNTIFS('LANÇAMENTOS DIÁRIOS'!$G$5:$G$500,"D",'LANÇAMENTOS DIÁRIOS'!$C$5:$C$500,$A5,'LANÇAMENTOS DIÁRIOS'!$O$5:$O$500,"&lt;=103299",'LANÇAMENTOS DIÁRIOS'!$P$5:$P$500,"&gt;=103200")&gt;0,"X","")</f>
      </c>
      <c r="AD5" s="56" t="str">
        <f>IF(COUNTIFS('LANÇAMENTOS DIÁRIOS'!$G$5:$G$500,"D",'LANÇAMENTOS DIÁRIOS'!$C$5:$C$500,$A5,'LANÇAMENTOS DIÁRIOS'!$O$5:$O$500,"&lt;=103399",'LANÇAMENTOS DIÁRIOS'!$P$5:$P$500,"&gt;=103300")&gt;0,"X","")</f>
      </c>
      <c r="AE5" s="56" t="str">
        <f>IF(COUNTIFS('LANÇAMENTOS DIÁRIOS'!$G$5:$G$500,"D",'LANÇAMENTOS DIÁRIOS'!$C$5:$C$500,$A5,'LANÇAMENTOS DIÁRIOS'!$O$5:$O$500,"&lt;=103499",'LANÇAMENTOS DIÁRIOS'!$P$5:$P$500,"&gt;=103400")&gt;0,"X","")</f>
      </c>
      <c r="AF5" s="56" t="str">
        <f>IF(COUNTIFS('LANÇAMENTOS DIÁRIOS'!$G$5:$G$500,"D",'LANÇAMENTOS DIÁRIOS'!$C$5:$C$500,$A5,'LANÇAMENTOS DIÁRIOS'!$O$5:$O$500,"&lt;=103599",'LANÇAMENTOS DIÁRIOS'!$P$5:$P$500,"&gt;=103500")&gt;0,"X","")</f>
      </c>
      <c r="AG5" s="56" t="str">
        <f>IF(COUNTIFS('LANÇAMENTOS DIÁRIOS'!$G$5:$G$500,"D",'LANÇAMENTOS DIÁRIOS'!$C$5:$C$500,$A5,'LANÇAMENTOS DIÁRIOS'!$O$5:$O$500,"&lt;=103699",'LANÇAMENTOS DIÁRIOS'!$P$5:$P$500,"&gt;=103600")&gt;0,"X","")</f>
      </c>
      <c r="AH5" s="56" t="str">
        <f>IF(COUNTIFS('LANÇAMENTOS DIÁRIOS'!$G$5:$G$500,"D",'LANÇAMENTOS DIÁRIOS'!$C$5:$C$500,$A5,'LANÇAMENTOS DIÁRIOS'!$O$5:$O$500,"&lt;=103799",'LANÇAMENTOS DIÁRIOS'!$P$5:$P$500,"&gt;=103700")&gt;0,"X","")</f>
      </c>
      <c r="AI5" s="56" t="str">
        <f>IF(COUNTIFS('LANÇAMENTOS DIÁRIOS'!$G$5:$G$500,"D",'LANÇAMENTOS DIÁRIOS'!$C$5:$C$500,$A5,'LANÇAMENTOS DIÁRIOS'!$O$5:$O$500,"&lt;=103899",'LANÇAMENTOS DIÁRIOS'!$P$5:$P$500,"&gt;=103800")&gt;0,"X","")</f>
      </c>
      <c r="AJ5" s="56" t="str">
        <f>IF(COUNTIFS('LANÇAMENTOS DIÁRIOS'!$G$5:$G$500,"D",'LANÇAMENTOS DIÁRIOS'!$C$5:$C$500,$A5,'LANÇAMENTOS DIÁRIOS'!$O$5:$O$500,"&lt;=103999",'LANÇAMENTOS DIÁRIOS'!$P$5:$P$500,"&gt;=103900")&gt;0,"X","")</f>
      </c>
      <c r="AK5" s="56" t="str">
        <f>IF(COUNTIFS('LANÇAMENTOS DIÁRIOS'!$G$5:$G$500,"D",'LANÇAMENTOS DIÁRIOS'!$C$5:$C$500,$A5,'LANÇAMENTOS DIÁRIOS'!$O$5:$O$500,"&lt;=104099",'LANÇAMENTOS DIÁRIOS'!$P$5:$P$500,"&gt;=104000")&gt;0,"X","")</f>
      </c>
      <c r="AL5" s="56" t="str">
        <f>IF(COUNTIFS('LANÇAMENTOS DIÁRIOS'!$G$5:$G$500,"D",'LANÇAMENTOS DIÁRIOS'!$C$5:$C$500,$A5,'LANÇAMENTOS DIÁRIOS'!$O$5:$O$500,"&lt;=104199",'LANÇAMENTOS DIÁRIOS'!$P$5:$P$500,"&gt;=104100")&gt;0,"X","")</f>
      </c>
      <c r="AM5" s="56" t="str">
        <f>IF(COUNTIFS('LANÇAMENTOS DIÁRIOS'!$G$5:$G$500,"D",'LANÇAMENTOS DIÁRIOS'!$C$5:$C$500,$A5,'LANÇAMENTOS DIÁRIOS'!$O$5:$O$500,"&lt;=104299",'LANÇAMENTOS DIÁRIOS'!$P$5:$P$500,"&gt;=104200")&gt;0,"X","")</f>
      </c>
      <c r="AN5" s="56" t="str">
        <f>IF(COUNTIFS('LANÇAMENTOS DIÁRIOS'!$G$5:$G$500,"D",'LANÇAMENTOS DIÁRIOS'!$C$5:$C$500,$A5,'LANÇAMENTOS DIÁRIOS'!$O$5:$O$500,"&lt;=104399",'LANÇAMENTOS DIÁRIOS'!$P$5:$P$500,"&gt;=104300")&gt;0,"X","")</f>
      </c>
      <c r="AO5" s="56" t="str">
        <f>IF(COUNTIFS('LANÇAMENTOS DIÁRIOS'!$G$5:$G$500,"D",'LANÇAMENTOS DIÁRIOS'!$C$5:$C$500,$A5,'LANÇAMENTOS DIÁRIOS'!$O$5:$O$500,"&lt;=104499",'LANÇAMENTOS DIÁRIOS'!$P$5:$P$500,"&gt;=104400")&gt;0,"X","")</f>
      </c>
      <c r="AP5" s="56" t="str">
        <f>IF(COUNTIFS('LANÇAMENTOS DIÁRIOS'!$G$5:$G$500,"D",'LANÇAMENTOS DIÁRIOS'!$C$5:$C$500,$A5,'LANÇAMENTOS DIÁRIOS'!$O$5:$O$500,"&lt;=104599",'LANÇAMENTOS DIÁRIOS'!$P$5:$P$500,"&gt;=104500")&gt;0,"X","")</f>
      </c>
      <c r="AQ5" s="56" t="str">
        <f>IF(COUNTIFS('LANÇAMENTOS DIÁRIOS'!$G$5:$G$500,"D",'LANÇAMENTOS DIÁRIOS'!$C$5:$C$500,$A5,'LANÇAMENTOS DIÁRIOS'!$O$5:$O$500,"&lt;=104699",'LANÇAMENTOS DIÁRIOS'!$P$5:$P$500,"&gt;=104600")&gt;0,"X","")</f>
      </c>
      <c r="AR5" s="56" t="str">
        <f>IF(COUNTIFS('LANÇAMENTOS DIÁRIOS'!$G$5:$G$500,"D",'LANÇAMENTOS DIÁRIOS'!$C$5:$C$500,$A5,'LANÇAMENTOS DIÁRIOS'!$O$5:$O$500,"&lt;=104799",'LANÇAMENTOS DIÁRIOS'!$P$5:$P$500,"&gt;=104700")&gt;0,"X","")</f>
      </c>
      <c r="AS5" s="56" t="str">
        <f>IF(COUNTIFS('LANÇAMENTOS DIÁRIOS'!$G$5:$G$500,"D",'LANÇAMENTOS DIÁRIOS'!$C$5:$C$500,$A5,'LANÇAMENTOS DIÁRIOS'!$O$5:$O$500,"&lt;=104899",'LANÇAMENTOS DIÁRIOS'!$P$5:$P$500,"&gt;=104800")&gt;0,"X","")</f>
      </c>
      <c r="AT5" s="56" t="str">
        <f>IF(COUNTIFS('LANÇAMENTOS DIÁRIOS'!$G$5:$G$500,"D",'LANÇAMENTOS DIÁRIOS'!$C$5:$C$500,$A5,'LANÇAMENTOS DIÁRIOS'!$O$5:$O$500,"&lt;=104999",'LANÇAMENTOS DIÁRIOS'!$P$5:$P$500,"&gt;=104900")&gt;0,"X","")</f>
      </c>
      <c r="AU5" s="56" t="str">
        <f>IF(COUNTIFS('LANÇAMENTOS DIÁRIOS'!$G$5:$G$500,"D",'LANÇAMENTOS DIÁRIOS'!$C$5:$C$500,$A5,'LANÇAMENTOS DIÁRIOS'!$O$5:$O$500,"&lt;=105099",'LANÇAMENTOS DIÁRIOS'!$P$5:$P$500,"&gt;=105000")&gt;0,"X","")</f>
      </c>
      <c r="AV5" s="56" t="str">
        <f>IF(COUNTIFS('LANÇAMENTOS DIÁRIOS'!$G$5:$G$500,"D",'LANÇAMENTOS DIÁRIOS'!$C$5:$C$500,$A5,'LANÇAMENTOS DIÁRIOS'!$O$5:$O$500,"&lt;=105199",'LANÇAMENTOS DIÁRIOS'!$P$5:$P$500,"&gt;=105100")&gt;0,"X","")</f>
      </c>
      <c r="AW5" s="56" t="str">
        <f>IF(COUNTIFS('LANÇAMENTOS DIÁRIOS'!$G$5:$G$500,"D",'LANÇAMENTOS DIÁRIOS'!$C$5:$C$500,$A5,'LANÇAMENTOS DIÁRIOS'!$O$5:$O$500,"&lt;=105299",'LANÇAMENTOS DIÁRIOS'!$P$5:$P$500,"&gt;=105200")&gt;0,"X","")</f>
      </c>
      <c r="AX5" s="56" t="str">
        <f>IF(COUNTIFS('LANÇAMENTOS DIÁRIOS'!$G$5:$G$500,"D",'LANÇAMENTOS DIÁRIOS'!$C$5:$C$500,$A5,'LANÇAMENTOS DIÁRIOS'!$O$5:$O$500,"&lt;=105399",'LANÇAMENTOS DIÁRIOS'!$P$5:$P$500,"&gt;=105300")&gt;0,"X","")</f>
      </c>
      <c r="AY5" s="56" t="str">
        <f>IF(COUNTIFS('LANÇAMENTOS DIÁRIOS'!$G$5:$G$500,"D",'LANÇAMENTOS DIÁRIOS'!$C$5:$C$500,$A5,'LANÇAMENTOS DIÁRIOS'!$O$5:$O$500,"&lt;=105499",'LANÇAMENTOS DIÁRIOS'!$P$5:$P$500,"&gt;=105400")&gt;0,"X","")</f>
      </c>
      <c r="AZ5" s="56" t="str">
        <f>IF(COUNTIFS('LANÇAMENTOS DIÁRIOS'!$G$5:$G$500,"D",'LANÇAMENTOS DIÁRIOS'!$C$5:$C$500,$A5,'LANÇAMENTOS DIÁRIOS'!$O$5:$O$500,"&lt;=105500",'LANÇAMENTOS DIÁRIOS'!$P$5:$P$500,"&gt;=105500")&gt;0,"X","")</f>
      </c>
    </row>
    <row r="6">
      <c r="A6" s="51" t="str">
        <v>Remoção de defensa metálica</v>
      </c>
      <c r="B6" s="56" t="str">
        <f>IF(COUNTIFS('LANÇAMENTOS DIÁRIOS'!$G$5:$G$500,"D",'LANÇAMENTOS DIÁRIOS'!$C$5:$C$500,$A6,'LANÇAMENTOS DIÁRIOS'!$O$5:$O$500,"&lt;=100599",'LANÇAMENTOS DIÁRIOS'!$P$5:$P$500,"&gt;=100500")&gt;0,"X","")</f>
      </c>
      <c r="C6" s="56" t="str">
        <f>IF(COUNTIFS('LANÇAMENTOS DIÁRIOS'!$G$5:$G$500,"D",'LANÇAMENTOS DIÁRIOS'!$C$5:$C$500,$A6,'LANÇAMENTOS DIÁRIOS'!$O$5:$O$500,"&lt;=100699",'LANÇAMENTOS DIÁRIOS'!$P$5:$P$500,"&gt;=100600")&gt;0,"X","")</f>
      </c>
      <c r="D6" s="56" t="str">
        <f>IF(COUNTIFS('LANÇAMENTOS DIÁRIOS'!$G$5:$G$500,"D",'LANÇAMENTOS DIÁRIOS'!$C$5:$C$500,$A6,'LANÇAMENTOS DIÁRIOS'!$O$5:$O$500,"&lt;=100799",'LANÇAMENTOS DIÁRIOS'!$P$5:$P$500,"&gt;=100700")&gt;0,"X","")</f>
      </c>
      <c r="E6" s="56" t="str">
        <f>IF(COUNTIFS('LANÇAMENTOS DIÁRIOS'!$G$5:$G$500,"D",'LANÇAMENTOS DIÁRIOS'!$C$5:$C$500,$A6,'LANÇAMENTOS DIÁRIOS'!$O$5:$O$500,"&lt;=100899",'LANÇAMENTOS DIÁRIOS'!$P$5:$P$500,"&gt;=100800")&gt;0,"X","")</f>
      </c>
      <c r="F6" s="56" t="str">
        <f>IF(COUNTIFS('LANÇAMENTOS DIÁRIOS'!$G$5:$G$500,"D",'LANÇAMENTOS DIÁRIOS'!$C$5:$C$500,$A6,'LANÇAMENTOS DIÁRIOS'!$O$5:$O$500,"&lt;=100999",'LANÇAMENTOS DIÁRIOS'!$P$5:$P$500,"&gt;=100900")&gt;0,"X","")</f>
      </c>
      <c r="G6" s="56" t="str">
        <f>IF(COUNTIFS('LANÇAMENTOS DIÁRIOS'!$G$5:$G$500,"D",'LANÇAMENTOS DIÁRIOS'!$C$5:$C$500,$A6,'LANÇAMENTOS DIÁRIOS'!$O$5:$O$500,"&lt;=101099",'LANÇAMENTOS DIÁRIOS'!$P$5:$P$500,"&gt;=101000")&gt;0,"X","")</f>
      </c>
      <c r="H6" s="56" t="str">
        <f>IF(COUNTIFS('LANÇAMENTOS DIÁRIOS'!$G$5:$G$500,"D",'LANÇAMENTOS DIÁRIOS'!$C$5:$C$500,$A6,'LANÇAMENTOS DIÁRIOS'!$O$5:$O$500,"&lt;=101199",'LANÇAMENTOS DIÁRIOS'!$P$5:$P$500,"&gt;=101100")&gt;0,"X","")</f>
      </c>
      <c r="I6" s="56" t="str">
        <f>IF(COUNTIFS('LANÇAMENTOS DIÁRIOS'!$G$5:$G$500,"D",'LANÇAMENTOS DIÁRIOS'!$C$5:$C$500,$A6,'LANÇAMENTOS DIÁRIOS'!$O$5:$O$500,"&lt;=101299",'LANÇAMENTOS DIÁRIOS'!$P$5:$P$500,"&gt;=101200")&gt;0,"X","")</f>
      </c>
      <c r="J6" s="56" t="str">
        <f>IF(COUNTIFS('LANÇAMENTOS DIÁRIOS'!$G$5:$G$500,"D",'LANÇAMENTOS DIÁRIOS'!$C$5:$C$500,$A6,'LANÇAMENTOS DIÁRIOS'!$O$5:$O$500,"&lt;=101399",'LANÇAMENTOS DIÁRIOS'!$P$5:$P$500,"&gt;=101300")&gt;0,"X","")</f>
      </c>
      <c r="K6" s="56" t="str">
        <f>IF(COUNTIFS('LANÇAMENTOS DIÁRIOS'!$G$5:$G$500,"D",'LANÇAMENTOS DIÁRIOS'!$C$5:$C$500,$A6,'LANÇAMENTOS DIÁRIOS'!$O$5:$O$500,"&lt;=101499",'LANÇAMENTOS DIÁRIOS'!$P$5:$P$500,"&gt;=101400")&gt;0,"X","")</f>
      </c>
      <c r="L6" s="56" t="str">
        <f>IF(COUNTIFS('LANÇAMENTOS DIÁRIOS'!$G$5:$G$500,"D",'LANÇAMENTOS DIÁRIOS'!$C$5:$C$500,$A6,'LANÇAMENTOS DIÁRIOS'!$O$5:$O$500,"&lt;=101599",'LANÇAMENTOS DIÁRIOS'!$P$5:$P$500,"&gt;=101500")&gt;0,"X","")</f>
      </c>
      <c r="M6" s="56" t="str">
        <f>IF(COUNTIFS('LANÇAMENTOS DIÁRIOS'!$G$5:$G$500,"D",'LANÇAMENTOS DIÁRIOS'!$C$5:$C$500,$A6,'LANÇAMENTOS DIÁRIOS'!$O$5:$O$500,"&lt;=101699",'LANÇAMENTOS DIÁRIOS'!$P$5:$P$500,"&gt;=101600")&gt;0,"X","")</f>
      </c>
      <c r="N6" s="56" t="str">
        <f>IF(COUNTIFS('LANÇAMENTOS DIÁRIOS'!$G$5:$G$500,"D",'LANÇAMENTOS DIÁRIOS'!$C$5:$C$500,$A6,'LANÇAMENTOS DIÁRIOS'!$O$5:$O$500,"&lt;=101799",'LANÇAMENTOS DIÁRIOS'!$P$5:$P$500,"&gt;=101700")&gt;0,"X","")</f>
      </c>
      <c r="O6" s="56" t="str">
        <f>IF(COUNTIFS('LANÇAMENTOS DIÁRIOS'!$G$5:$G$500,"D",'LANÇAMENTOS DIÁRIOS'!$C$5:$C$500,$A6,'LANÇAMENTOS DIÁRIOS'!$O$5:$O$500,"&lt;=101899",'LANÇAMENTOS DIÁRIOS'!$P$5:$P$500,"&gt;=101800")&gt;0,"X","")</f>
      </c>
      <c r="P6" s="56" t="str">
        <f>IF(COUNTIFS('LANÇAMENTOS DIÁRIOS'!$G$5:$G$500,"D",'LANÇAMENTOS DIÁRIOS'!$C$5:$C$500,$A6,'LANÇAMENTOS DIÁRIOS'!$O$5:$O$500,"&lt;=101999",'LANÇAMENTOS DIÁRIOS'!$P$5:$P$500,"&gt;=101900")&gt;0,"X","")</f>
      </c>
      <c r="Q6" s="56" t="str">
        <f>IF(COUNTIFS('LANÇAMENTOS DIÁRIOS'!$G$5:$G$500,"D",'LANÇAMENTOS DIÁRIOS'!$C$5:$C$500,$A6,'LANÇAMENTOS DIÁRIOS'!$O$5:$O$500,"&lt;=102099",'LANÇAMENTOS DIÁRIOS'!$P$5:$P$500,"&gt;=102000")&gt;0,"X","")</f>
      </c>
      <c r="R6" s="56" t="str">
        <f>IF(COUNTIFS('LANÇAMENTOS DIÁRIOS'!$G$5:$G$500,"D",'LANÇAMENTOS DIÁRIOS'!$C$5:$C$500,$A6,'LANÇAMENTOS DIÁRIOS'!$O$5:$O$500,"&lt;=102199",'LANÇAMENTOS DIÁRIOS'!$P$5:$P$500,"&gt;=102100")&gt;0,"X","")</f>
      </c>
      <c r="S6" s="56" t="str">
        <f>IF(COUNTIFS('LANÇAMENTOS DIÁRIOS'!$G$5:$G$500,"D",'LANÇAMENTOS DIÁRIOS'!$C$5:$C$500,$A6,'LANÇAMENTOS DIÁRIOS'!$O$5:$O$500,"&lt;=102299",'LANÇAMENTOS DIÁRIOS'!$P$5:$P$500,"&gt;=102200")&gt;0,"X","")</f>
      </c>
      <c r="T6" s="56" t="str">
        <f>IF(COUNTIFS('LANÇAMENTOS DIÁRIOS'!$G$5:$G$500,"D",'LANÇAMENTOS DIÁRIOS'!$C$5:$C$500,$A6,'LANÇAMENTOS DIÁRIOS'!$O$5:$O$500,"&lt;=102399",'LANÇAMENTOS DIÁRIOS'!$P$5:$P$500,"&gt;=102300")&gt;0,"X","")</f>
      </c>
      <c r="U6" s="56" t="str">
        <f>IF(COUNTIFS('LANÇAMENTOS DIÁRIOS'!$G$5:$G$500,"D",'LANÇAMENTOS DIÁRIOS'!$C$5:$C$500,$A6,'LANÇAMENTOS DIÁRIOS'!$O$5:$O$500,"&lt;=102499",'LANÇAMENTOS DIÁRIOS'!$P$5:$P$500,"&gt;=102400")&gt;0,"X","")</f>
      </c>
      <c r="V6" s="56" t="str">
        <f>IF(COUNTIFS('LANÇAMENTOS DIÁRIOS'!$G$5:$G$500,"D",'LANÇAMENTOS DIÁRIOS'!$C$5:$C$500,$A6,'LANÇAMENTOS DIÁRIOS'!$O$5:$O$500,"&lt;=102599",'LANÇAMENTOS DIÁRIOS'!$P$5:$P$500,"&gt;=102500")&gt;0,"X","")</f>
      </c>
      <c r="W6" s="56" t="str">
        <f>IF(COUNTIFS('LANÇAMENTOS DIÁRIOS'!$G$5:$G$500,"D",'LANÇAMENTOS DIÁRIOS'!$C$5:$C$500,$A6,'LANÇAMENTOS DIÁRIOS'!$O$5:$O$500,"&lt;=102699",'LANÇAMENTOS DIÁRIOS'!$P$5:$P$500,"&gt;=102600")&gt;0,"X","")</f>
      </c>
      <c r="X6" s="56" t="str">
        <f>IF(COUNTIFS('LANÇAMENTOS DIÁRIOS'!$G$5:$G$500,"D",'LANÇAMENTOS DIÁRIOS'!$C$5:$C$500,$A6,'LANÇAMENTOS DIÁRIOS'!$O$5:$O$500,"&lt;=102799",'LANÇAMENTOS DIÁRIOS'!$P$5:$P$500,"&gt;=102700")&gt;0,"X","")</f>
      </c>
      <c r="Y6" s="56" t="str">
        <f>IF(COUNTIFS('LANÇAMENTOS DIÁRIOS'!$G$5:$G$500,"D",'LANÇAMENTOS DIÁRIOS'!$C$5:$C$500,$A6,'LANÇAMENTOS DIÁRIOS'!$O$5:$O$500,"&lt;=102899",'LANÇAMENTOS DIÁRIOS'!$P$5:$P$500,"&gt;=102800")&gt;0,"X","")</f>
      </c>
      <c r="Z6" s="56" t="str">
        <f>IF(COUNTIFS('LANÇAMENTOS DIÁRIOS'!$G$5:$G$500,"D",'LANÇAMENTOS DIÁRIOS'!$C$5:$C$500,$A6,'LANÇAMENTOS DIÁRIOS'!$O$5:$O$500,"&lt;=102999",'LANÇAMENTOS DIÁRIOS'!$P$5:$P$500,"&gt;=102900")&gt;0,"X","")</f>
      </c>
      <c r="AA6" s="56" t="str">
        <f>IF(COUNTIFS('LANÇAMENTOS DIÁRIOS'!$G$5:$G$500,"D",'LANÇAMENTOS DIÁRIOS'!$C$5:$C$500,$A6,'LANÇAMENTOS DIÁRIOS'!$O$5:$O$500,"&lt;=103099",'LANÇAMENTOS DIÁRIOS'!$P$5:$P$500,"&gt;=103000")&gt;0,"X","")</f>
      </c>
      <c r="AB6" s="56" t="str">
        <f>IF(COUNTIFS('LANÇAMENTOS DIÁRIOS'!$G$5:$G$500,"D",'LANÇAMENTOS DIÁRIOS'!$C$5:$C$500,$A6,'LANÇAMENTOS DIÁRIOS'!$O$5:$O$500,"&lt;=103199",'LANÇAMENTOS DIÁRIOS'!$P$5:$P$500,"&gt;=103100")&gt;0,"X","")</f>
      </c>
      <c r="AC6" s="56" t="str">
        <f>IF(COUNTIFS('LANÇAMENTOS DIÁRIOS'!$G$5:$G$500,"D",'LANÇAMENTOS DIÁRIOS'!$C$5:$C$500,$A6,'LANÇAMENTOS DIÁRIOS'!$O$5:$O$500,"&lt;=103299",'LANÇAMENTOS DIÁRIOS'!$P$5:$P$500,"&gt;=103200")&gt;0,"X","")</f>
      </c>
      <c r="AD6" s="56" t="str">
        <f>IF(COUNTIFS('LANÇAMENTOS DIÁRIOS'!$G$5:$G$500,"D",'LANÇAMENTOS DIÁRIOS'!$C$5:$C$500,$A6,'LANÇAMENTOS DIÁRIOS'!$O$5:$O$500,"&lt;=103399",'LANÇAMENTOS DIÁRIOS'!$P$5:$P$500,"&gt;=103300")&gt;0,"X","")</f>
      </c>
      <c r="AE6" s="56" t="str">
        <f>IF(COUNTIFS('LANÇAMENTOS DIÁRIOS'!$G$5:$G$500,"D",'LANÇAMENTOS DIÁRIOS'!$C$5:$C$500,$A6,'LANÇAMENTOS DIÁRIOS'!$O$5:$O$500,"&lt;=103499",'LANÇAMENTOS DIÁRIOS'!$P$5:$P$500,"&gt;=103400")&gt;0,"X","")</f>
      </c>
      <c r="AF6" s="56" t="str">
        <f>IF(COUNTIFS('LANÇAMENTOS DIÁRIOS'!$G$5:$G$500,"D",'LANÇAMENTOS DIÁRIOS'!$C$5:$C$500,$A6,'LANÇAMENTOS DIÁRIOS'!$O$5:$O$500,"&lt;=103599",'LANÇAMENTOS DIÁRIOS'!$P$5:$P$500,"&gt;=103500")&gt;0,"X","")</f>
      </c>
      <c r="AG6" s="56" t="str">
        <f>IF(COUNTIFS('LANÇAMENTOS DIÁRIOS'!$G$5:$G$500,"D",'LANÇAMENTOS DIÁRIOS'!$C$5:$C$500,$A6,'LANÇAMENTOS DIÁRIOS'!$O$5:$O$500,"&lt;=103699",'LANÇAMENTOS DIÁRIOS'!$P$5:$P$500,"&gt;=103600")&gt;0,"X","")</f>
      </c>
      <c r="AH6" s="56" t="str">
        <f>IF(COUNTIFS('LANÇAMENTOS DIÁRIOS'!$G$5:$G$500,"D",'LANÇAMENTOS DIÁRIOS'!$C$5:$C$500,$A6,'LANÇAMENTOS DIÁRIOS'!$O$5:$O$500,"&lt;=103799",'LANÇAMENTOS DIÁRIOS'!$P$5:$P$500,"&gt;=103700")&gt;0,"X","")</f>
      </c>
      <c r="AI6" s="56" t="str">
        <f>IF(COUNTIFS('LANÇAMENTOS DIÁRIOS'!$G$5:$G$500,"D",'LANÇAMENTOS DIÁRIOS'!$C$5:$C$500,$A6,'LANÇAMENTOS DIÁRIOS'!$O$5:$O$500,"&lt;=103899",'LANÇAMENTOS DIÁRIOS'!$P$5:$P$500,"&gt;=103800")&gt;0,"X","")</f>
      </c>
      <c r="AJ6" s="56" t="str">
        <f>IF(COUNTIFS('LANÇAMENTOS DIÁRIOS'!$G$5:$G$500,"D",'LANÇAMENTOS DIÁRIOS'!$C$5:$C$500,$A6,'LANÇAMENTOS DIÁRIOS'!$O$5:$O$500,"&lt;=103999",'LANÇAMENTOS DIÁRIOS'!$P$5:$P$500,"&gt;=103900")&gt;0,"X","")</f>
      </c>
      <c r="AK6" s="56" t="str">
        <f>IF(COUNTIFS('LANÇAMENTOS DIÁRIOS'!$G$5:$G$500,"D",'LANÇAMENTOS DIÁRIOS'!$C$5:$C$500,$A6,'LANÇAMENTOS DIÁRIOS'!$O$5:$O$500,"&lt;=104099",'LANÇAMENTOS DIÁRIOS'!$P$5:$P$500,"&gt;=104000")&gt;0,"X","")</f>
      </c>
      <c r="AL6" s="56" t="str">
        <f>IF(COUNTIFS('LANÇAMENTOS DIÁRIOS'!$G$5:$G$500,"D",'LANÇAMENTOS DIÁRIOS'!$C$5:$C$500,$A6,'LANÇAMENTOS DIÁRIOS'!$O$5:$O$500,"&lt;=104199",'LANÇAMENTOS DIÁRIOS'!$P$5:$P$500,"&gt;=104100")&gt;0,"X","")</f>
      </c>
      <c r="AM6" s="56" t="str">
        <f>IF(COUNTIFS('LANÇAMENTOS DIÁRIOS'!$G$5:$G$500,"D",'LANÇAMENTOS DIÁRIOS'!$C$5:$C$500,$A6,'LANÇAMENTOS DIÁRIOS'!$O$5:$O$500,"&lt;=104299",'LANÇAMENTOS DIÁRIOS'!$P$5:$P$500,"&gt;=104200")&gt;0,"X","")</f>
      </c>
      <c r="AN6" s="56" t="str">
        <f>IF(COUNTIFS('LANÇAMENTOS DIÁRIOS'!$G$5:$G$500,"D",'LANÇAMENTOS DIÁRIOS'!$C$5:$C$500,$A6,'LANÇAMENTOS DIÁRIOS'!$O$5:$O$500,"&lt;=104399",'LANÇAMENTOS DIÁRIOS'!$P$5:$P$500,"&gt;=104300")&gt;0,"X","")</f>
      </c>
      <c r="AO6" s="56" t="str">
        <f>IF(COUNTIFS('LANÇAMENTOS DIÁRIOS'!$G$5:$G$500,"D",'LANÇAMENTOS DIÁRIOS'!$C$5:$C$500,$A6,'LANÇAMENTOS DIÁRIOS'!$O$5:$O$500,"&lt;=104499",'LANÇAMENTOS DIÁRIOS'!$P$5:$P$500,"&gt;=104400")&gt;0,"X","")</f>
      </c>
      <c r="AP6" s="56" t="str">
        <f>IF(COUNTIFS('LANÇAMENTOS DIÁRIOS'!$G$5:$G$500,"D",'LANÇAMENTOS DIÁRIOS'!$C$5:$C$500,$A6,'LANÇAMENTOS DIÁRIOS'!$O$5:$O$500,"&lt;=104599",'LANÇAMENTOS DIÁRIOS'!$P$5:$P$500,"&gt;=104500")&gt;0,"X","")</f>
      </c>
      <c r="AQ6" s="56" t="str">
        <f>IF(COUNTIFS('LANÇAMENTOS DIÁRIOS'!$G$5:$G$500,"D",'LANÇAMENTOS DIÁRIOS'!$C$5:$C$500,$A6,'LANÇAMENTOS DIÁRIOS'!$O$5:$O$500,"&lt;=104699",'LANÇAMENTOS DIÁRIOS'!$P$5:$P$500,"&gt;=104600")&gt;0,"X","")</f>
      </c>
      <c r="AR6" s="56" t="str">
        <f>IF(COUNTIFS('LANÇAMENTOS DIÁRIOS'!$G$5:$G$500,"D",'LANÇAMENTOS DIÁRIOS'!$C$5:$C$500,$A6,'LANÇAMENTOS DIÁRIOS'!$O$5:$O$500,"&lt;=104799",'LANÇAMENTOS DIÁRIOS'!$P$5:$P$500,"&gt;=104700")&gt;0,"X","")</f>
      </c>
      <c r="AS6" s="56" t="str">
        <f>IF(COUNTIFS('LANÇAMENTOS DIÁRIOS'!$G$5:$G$500,"D",'LANÇAMENTOS DIÁRIOS'!$C$5:$C$500,$A6,'LANÇAMENTOS DIÁRIOS'!$O$5:$O$500,"&lt;=104899",'LANÇAMENTOS DIÁRIOS'!$P$5:$P$500,"&gt;=104800")&gt;0,"X","")</f>
      </c>
      <c r="AT6" s="56" t="str">
        <f>IF(COUNTIFS('LANÇAMENTOS DIÁRIOS'!$G$5:$G$500,"D",'LANÇAMENTOS DIÁRIOS'!$C$5:$C$500,$A6,'LANÇAMENTOS DIÁRIOS'!$O$5:$O$500,"&lt;=104999",'LANÇAMENTOS DIÁRIOS'!$P$5:$P$500,"&gt;=104900")&gt;0,"X","")</f>
      </c>
      <c r="AU6" s="56" t="str">
        <f>IF(COUNTIFS('LANÇAMENTOS DIÁRIOS'!$G$5:$G$500,"D",'LANÇAMENTOS DIÁRIOS'!$C$5:$C$500,$A6,'LANÇAMENTOS DIÁRIOS'!$O$5:$O$500,"&lt;=105099",'LANÇAMENTOS DIÁRIOS'!$P$5:$P$500,"&gt;=105000")&gt;0,"X","")</f>
      </c>
      <c r="AV6" s="56" t="str">
        <f>IF(COUNTIFS('LANÇAMENTOS DIÁRIOS'!$G$5:$G$500,"D",'LANÇAMENTOS DIÁRIOS'!$C$5:$C$500,$A6,'LANÇAMENTOS DIÁRIOS'!$O$5:$O$500,"&lt;=105199",'LANÇAMENTOS DIÁRIOS'!$P$5:$P$500,"&gt;=105100")&gt;0,"X","")</f>
      </c>
      <c r="AW6" s="56" t="str">
        <f>IF(COUNTIFS('LANÇAMENTOS DIÁRIOS'!$G$5:$G$500,"D",'LANÇAMENTOS DIÁRIOS'!$C$5:$C$500,$A6,'LANÇAMENTOS DIÁRIOS'!$O$5:$O$500,"&lt;=105299",'LANÇAMENTOS DIÁRIOS'!$P$5:$P$500,"&gt;=105200")&gt;0,"X","")</f>
      </c>
      <c r="AX6" s="56" t="str">
        <f>IF(COUNTIFS('LANÇAMENTOS DIÁRIOS'!$G$5:$G$500,"D",'LANÇAMENTOS DIÁRIOS'!$C$5:$C$500,$A6,'LANÇAMENTOS DIÁRIOS'!$O$5:$O$500,"&lt;=105399",'LANÇAMENTOS DIÁRIOS'!$P$5:$P$500,"&gt;=105300")&gt;0,"X","")</f>
      </c>
      <c r="AY6" s="56" t="str">
        <f>IF(COUNTIFS('LANÇAMENTOS DIÁRIOS'!$G$5:$G$500,"D",'LANÇAMENTOS DIÁRIOS'!$C$5:$C$500,$A6,'LANÇAMENTOS DIÁRIOS'!$O$5:$O$500,"&lt;=105499",'LANÇAMENTOS DIÁRIOS'!$P$5:$P$500,"&gt;=105400")&gt;0,"X","")</f>
      </c>
      <c r="AZ6" s="56" t="str">
        <f>IF(COUNTIFS('LANÇAMENTOS DIÁRIOS'!$G$5:$G$500,"D",'LANÇAMENTOS DIÁRIOS'!$C$5:$C$500,$A6,'LANÇAMENTOS DIÁRIOS'!$O$5:$O$500,"&lt;=105500",'LANÇAMENTOS DIÁRIOS'!$P$5:$P$500,"&gt;=105500")&gt;0,"X","")</f>
      </c>
    </row>
    <row r="7">
      <c r="A7" s="51" t="str">
        <v>Remoção de placa de sinalização vertical instalada no solo</v>
      </c>
      <c r="B7" s="56" t="str">
        <f>IF(COUNTIFS('LANÇAMENTOS DIÁRIOS'!$G$5:$G$500,"D",'LANÇAMENTOS DIÁRIOS'!$C$5:$C$500,$A7,'LANÇAMENTOS DIÁRIOS'!$O$5:$O$500,"&lt;=100599",'LANÇAMENTOS DIÁRIOS'!$P$5:$P$500,"&gt;=100500")&gt;0,"X","")</f>
      </c>
      <c r="C7" s="56" t="str">
        <f>IF(COUNTIFS('LANÇAMENTOS DIÁRIOS'!$G$5:$G$500,"D",'LANÇAMENTOS DIÁRIOS'!$C$5:$C$500,$A7,'LANÇAMENTOS DIÁRIOS'!$O$5:$O$500,"&lt;=100699",'LANÇAMENTOS DIÁRIOS'!$P$5:$P$500,"&gt;=100600")&gt;0,"X","")</f>
      </c>
      <c r="D7" s="56" t="str">
        <f>IF(COUNTIFS('LANÇAMENTOS DIÁRIOS'!$G$5:$G$500,"D",'LANÇAMENTOS DIÁRIOS'!$C$5:$C$500,$A7,'LANÇAMENTOS DIÁRIOS'!$O$5:$O$500,"&lt;=100799",'LANÇAMENTOS DIÁRIOS'!$P$5:$P$500,"&gt;=100700")&gt;0,"X","")</f>
      </c>
      <c r="E7" s="56" t="str">
        <f>IF(COUNTIFS('LANÇAMENTOS DIÁRIOS'!$G$5:$G$500,"D",'LANÇAMENTOS DIÁRIOS'!$C$5:$C$500,$A7,'LANÇAMENTOS DIÁRIOS'!$O$5:$O$500,"&lt;=100899",'LANÇAMENTOS DIÁRIOS'!$P$5:$P$500,"&gt;=100800")&gt;0,"X","")</f>
      </c>
      <c r="F7" s="56" t="str">
        <f>IF(COUNTIFS('LANÇAMENTOS DIÁRIOS'!$G$5:$G$500,"D",'LANÇAMENTOS DIÁRIOS'!$C$5:$C$500,$A7,'LANÇAMENTOS DIÁRIOS'!$O$5:$O$500,"&lt;=100999",'LANÇAMENTOS DIÁRIOS'!$P$5:$P$500,"&gt;=100900")&gt;0,"X","")</f>
      </c>
      <c r="G7" s="56" t="str">
        <f>IF(COUNTIFS('LANÇAMENTOS DIÁRIOS'!$G$5:$G$500,"D",'LANÇAMENTOS DIÁRIOS'!$C$5:$C$500,$A7,'LANÇAMENTOS DIÁRIOS'!$O$5:$O$500,"&lt;=101099",'LANÇAMENTOS DIÁRIOS'!$P$5:$P$500,"&gt;=101000")&gt;0,"X","")</f>
      </c>
      <c r="H7" s="56" t="str">
        <f>IF(COUNTIFS('LANÇAMENTOS DIÁRIOS'!$G$5:$G$500,"D",'LANÇAMENTOS DIÁRIOS'!$C$5:$C$500,$A7,'LANÇAMENTOS DIÁRIOS'!$O$5:$O$500,"&lt;=101199",'LANÇAMENTOS DIÁRIOS'!$P$5:$P$500,"&gt;=101100")&gt;0,"X","")</f>
      </c>
      <c r="I7" s="56" t="str">
        <f>IF(COUNTIFS('LANÇAMENTOS DIÁRIOS'!$G$5:$G$500,"D",'LANÇAMENTOS DIÁRIOS'!$C$5:$C$500,$A7,'LANÇAMENTOS DIÁRIOS'!$O$5:$O$500,"&lt;=101299",'LANÇAMENTOS DIÁRIOS'!$P$5:$P$500,"&gt;=101200")&gt;0,"X","")</f>
      </c>
      <c r="J7" s="56" t="str">
        <f>IF(COUNTIFS('LANÇAMENTOS DIÁRIOS'!$G$5:$G$500,"D",'LANÇAMENTOS DIÁRIOS'!$C$5:$C$500,$A7,'LANÇAMENTOS DIÁRIOS'!$O$5:$O$500,"&lt;=101399",'LANÇAMENTOS DIÁRIOS'!$P$5:$P$500,"&gt;=101300")&gt;0,"X","")</f>
      </c>
      <c r="K7" s="56" t="str">
        <f>IF(COUNTIFS('LANÇAMENTOS DIÁRIOS'!$G$5:$G$500,"D",'LANÇAMENTOS DIÁRIOS'!$C$5:$C$500,$A7,'LANÇAMENTOS DIÁRIOS'!$O$5:$O$500,"&lt;=101499",'LANÇAMENTOS DIÁRIOS'!$P$5:$P$500,"&gt;=101400")&gt;0,"X","")</f>
      </c>
      <c r="L7" s="56" t="str">
        <f>IF(COUNTIFS('LANÇAMENTOS DIÁRIOS'!$G$5:$G$500,"D",'LANÇAMENTOS DIÁRIOS'!$C$5:$C$500,$A7,'LANÇAMENTOS DIÁRIOS'!$O$5:$O$500,"&lt;=101599",'LANÇAMENTOS DIÁRIOS'!$P$5:$P$500,"&gt;=101500")&gt;0,"X","")</f>
      </c>
      <c r="M7" s="56" t="str">
        <f>IF(COUNTIFS('LANÇAMENTOS DIÁRIOS'!$G$5:$G$500,"D",'LANÇAMENTOS DIÁRIOS'!$C$5:$C$500,$A7,'LANÇAMENTOS DIÁRIOS'!$O$5:$O$500,"&lt;=101699",'LANÇAMENTOS DIÁRIOS'!$P$5:$P$500,"&gt;=101600")&gt;0,"X","")</f>
      </c>
      <c r="N7" s="56" t="str">
        <f>IF(COUNTIFS('LANÇAMENTOS DIÁRIOS'!$G$5:$G$500,"D",'LANÇAMENTOS DIÁRIOS'!$C$5:$C$500,$A7,'LANÇAMENTOS DIÁRIOS'!$O$5:$O$500,"&lt;=101799",'LANÇAMENTOS DIÁRIOS'!$P$5:$P$500,"&gt;=101700")&gt;0,"X","")</f>
      </c>
      <c r="O7" s="56" t="str">
        <f>IF(COUNTIFS('LANÇAMENTOS DIÁRIOS'!$G$5:$G$500,"D",'LANÇAMENTOS DIÁRIOS'!$C$5:$C$500,$A7,'LANÇAMENTOS DIÁRIOS'!$O$5:$O$500,"&lt;=101899",'LANÇAMENTOS DIÁRIOS'!$P$5:$P$500,"&gt;=101800")&gt;0,"X","")</f>
      </c>
      <c r="P7" s="56" t="str">
        <f>IF(COUNTIFS('LANÇAMENTOS DIÁRIOS'!$G$5:$G$500,"D",'LANÇAMENTOS DIÁRIOS'!$C$5:$C$500,$A7,'LANÇAMENTOS DIÁRIOS'!$O$5:$O$500,"&lt;=101999",'LANÇAMENTOS DIÁRIOS'!$P$5:$P$500,"&gt;=101900")&gt;0,"X","")</f>
      </c>
      <c r="Q7" s="56" t="str">
        <f>IF(COUNTIFS('LANÇAMENTOS DIÁRIOS'!$G$5:$G$500,"D",'LANÇAMENTOS DIÁRIOS'!$C$5:$C$500,$A7,'LANÇAMENTOS DIÁRIOS'!$O$5:$O$500,"&lt;=102099",'LANÇAMENTOS DIÁRIOS'!$P$5:$P$500,"&gt;=102000")&gt;0,"X","")</f>
      </c>
      <c r="R7" s="56" t="str">
        <f>IF(COUNTIFS('LANÇAMENTOS DIÁRIOS'!$G$5:$G$500,"D",'LANÇAMENTOS DIÁRIOS'!$C$5:$C$500,$A7,'LANÇAMENTOS DIÁRIOS'!$O$5:$O$500,"&lt;=102199",'LANÇAMENTOS DIÁRIOS'!$P$5:$P$500,"&gt;=102100")&gt;0,"X","")</f>
      </c>
      <c r="S7" s="56" t="str">
        <f>IF(COUNTIFS('LANÇAMENTOS DIÁRIOS'!$G$5:$G$500,"D",'LANÇAMENTOS DIÁRIOS'!$C$5:$C$500,$A7,'LANÇAMENTOS DIÁRIOS'!$O$5:$O$500,"&lt;=102299",'LANÇAMENTOS DIÁRIOS'!$P$5:$P$500,"&gt;=102200")&gt;0,"X","")</f>
      </c>
      <c r="T7" s="56" t="str">
        <f>IF(COUNTIFS('LANÇAMENTOS DIÁRIOS'!$G$5:$G$500,"D",'LANÇAMENTOS DIÁRIOS'!$C$5:$C$500,$A7,'LANÇAMENTOS DIÁRIOS'!$O$5:$O$500,"&lt;=102399",'LANÇAMENTOS DIÁRIOS'!$P$5:$P$500,"&gt;=102300")&gt;0,"X","")</f>
      </c>
      <c r="U7" s="56" t="str">
        <f>IF(COUNTIFS('LANÇAMENTOS DIÁRIOS'!$G$5:$G$500,"D",'LANÇAMENTOS DIÁRIOS'!$C$5:$C$500,$A7,'LANÇAMENTOS DIÁRIOS'!$O$5:$O$500,"&lt;=102499",'LANÇAMENTOS DIÁRIOS'!$P$5:$P$500,"&gt;=102400")&gt;0,"X","")</f>
      </c>
      <c r="V7" s="56" t="str">
        <f>IF(COUNTIFS('LANÇAMENTOS DIÁRIOS'!$G$5:$G$500,"D",'LANÇAMENTOS DIÁRIOS'!$C$5:$C$500,$A7,'LANÇAMENTOS DIÁRIOS'!$O$5:$O$500,"&lt;=102599",'LANÇAMENTOS DIÁRIOS'!$P$5:$P$500,"&gt;=102500")&gt;0,"X","")</f>
      </c>
      <c r="W7" s="56" t="str">
        <f>IF(COUNTIFS('LANÇAMENTOS DIÁRIOS'!$G$5:$G$500,"D",'LANÇAMENTOS DIÁRIOS'!$C$5:$C$500,$A7,'LANÇAMENTOS DIÁRIOS'!$O$5:$O$500,"&lt;=102699",'LANÇAMENTOS DIÁRIOS'!$P$5:$P$500,"&gt;=102600")&gt;0,"X","")</f>
      </c>
      <c r="X7" s="56" t="str">
        <f>IF(COUNTIFS('LANÇAMENTOS DIÁRIOS'!$G$5:$G$500,"D",'LANÇAMENTOS DIÁRIOS'!$C$5:$C$500,$A7,'LANÇAMENTOS DIÁRIOS'!$O$5:$O$500,"&lt;=102799",'LANÇAMENTOS DIÁRIOS'!$P$5:$P$500,"&gt;=102700")&gt;0,"X","")</f>
      </c>
      <c r="Y7" s="56" t="str">
        <f>IF(COUNTIFS('LANÇAMENTOS DIÁRIOS'!$G$5:$G$500,"D",'LANÇAMENTOS DIÁRIOS'!$C$5:$C$500,$A7,'LANÇAMENTOS DIÁRIOS'!$O$5:$O$500,"&lt;=102899",'LANÇAMENTOS DIÁRIOS'!$P$5:$P$500,"&gt;=102800")&gt;0,"X","")</f>
      </c>
      <c r="Z7" s="56" t="str">
        <f>IF(COUNTIFS('LANÇAMENTOS DIÁRIOS'!$G$5:$G$500,"D",'LANÇAMENTOS DIÁRIOS'!$C$5:$C$500,$A7,'LANÇAMENTOS DIÁRIOS'!$O$5:$O$500,"&lt;=102999",'LANÇAMENTOS DIÁRIOS'!$P$5:$P$500,"&gt;=102900")&gt;0,"X","")</f>
      </c>
      <c r="AA7" s="56" t="str">
        <f>IF(COUNTIFS('LANÇAMENTOS DIÁRIOS'!$G$5:$G$500,"D",'LANÇAMENTOS DIÁRIOS'!$C$5:$C$500,$A7,'LANÇAMENTOS DIÁRIOS'!$O$5:$O$500,"&lt;=103099",'LANÇAMENTOS DIÁRIOS'!$P$5:$P$500,"&gt;=103000")&gt;0,"X","")</f>
      </c>
      <c r="AB7" s="56" t="str">
        <f>IF(COUNTIFS('LANÇAMENTOS DIÁRIOS'!$G$5:$G$500,"D",'LANÇAMENTOS DIÁRIOS'!$C$5:$C$500,$A7,'LANÇAMENTOS DIÁRIOS'!$O$5:$O$500,"&lt;=103199",'LANÇAMENTOS DIÁRIOS'!$P$5:$P$500,"&gt;=103100")&gt;0,"X","")</f>
      </c>
      <c r="AC7" s="56" t="str">
        <f>IF(COUNTIFS('LANÇAMENTOS DIÁRIOS'!$G$5:$G$500,"D",'LANÇAMENTOS DIÁRIOS'!$C$5:$C$500,$A7,'LANÇAMENTOS DIÁRIOS'!$O$5:$O$500,"&lt;=103299",'LANÇAMENTOS DIÁRIOS'!$P$5:$P$500,"&gt;=103200")&gt;0,"X","")</f>
      </c>
      <c r="AD7" s="56" t="str">
        <f>IF(COUNTIFS('LANÇAMENTOS DIÁRIOS'!$G$5:$G$500,"D",'LANÇAMENTOS DIÁRIOS'!$C$5:$C$500,$A7,'LANÇAMENTOS DIÁRIOS'!$O$5:$O$500,"&lt;=103399",'LANÇAMENTOS DIÁRIOS'!$P$5:$P$500,"&gt;=103300")&gt;0,"X","")</f>
      </c>
      <c r="AE7" s="56" t="str">
        <f>IF(COUNTIFS('LANÇAMENTOS DIÁRIOS'!$G$5:$G$500,"D",'LANÇAMENTOS DIÁRIOS'!$C$5:$C$500,$A7,'LANÇAMENTOS DIÁRIOS'!$O$5:$O$500,"&lt;=103499",'LANÇAMENTOS DIÁRIOS'!$P$5:$P$500,"&gt;=103400")&gt;0,"X","")</f>
      </c>
      <c r="AF7" s="56" t="str">
        <f>IF(COUNTIFS('LANÇAMENTOS DIÁRIOS'!$G$5:$G$500,"D",'LANÇAMENTOS DIÁRIOS'!$C$5:$C$500,$A7,'LANÇAMENTOS DIÁRIOS'!$O$5:$O$500,"&lt;=103599",'LANÇAMENTOS DIÁRIOS'!$P$5:$P$500,"&gt;=103500")&gt;0,"X","")</f>
      </c>
      <c r="AG7" s="56" t="str">
        <f>IF(COUNTIFS('LANÇAMENTOS DIÁRIOS'!$G$5:$G$500,"D",'LANÇAMENTOS DIÁRIOS'!$C$5:$C$500,$A7,'LANÇAMENTOS DIÁRIOS'!$O$5:$O$500,"&lt;=103699",'LANÇAMENTOS DIÁRIOS'!$P$5:$P$500,"&gt;=103600")&gt;0,"X","")</f>
      </c>
      <c r="AH7" s="56" t="str">
        <f>IF(COUNTIFS('LANÇAMENTOS DIÁRIOS'!$G$5:$G$500,"D",'LANÇAMENTOS DIÁRIOS'!$C$5:$C$500,$A7,'LANÇAMENTOS DIÁRIOS'!$O$5:$O$500,"&lt;=103799",'LANÇAMENTOS DIÁRIOS'!$P$5:$P$500,"&gt;=103700")&gt;0,"X","")</f>
      </c>
      <c r="AI7" s="56" t="str">
        <f>IF(COUNTIFS('LANÇAMENTOS DIÁRIOS'!$G$5:$G$500,"D",'LANÇAMENTOS DIÁRIOS'!$C$5:$C$500,$A7,'LANÇAMENTOS DIÁRIOS'!$O$5:$O$500,"&lt;=103899",'LANÇAMENTOS DIÁRIOS'!$P$5:$P$500,"&gt;=103800")&gt;0,"X","")</f>
      </c>
      <c r="AJ7" s="56" t="str">
        <f>IF(COUNTIFS('LANÇAMENTOS DIÁRIOS'!$G$5:$G$500,"D",'LANÇAMENTOS DIÁRIOS'!$C$5:$C$500,$A7,'LANÇAMENTOS DIÁRIOS'!$O$5:$O$500,"&lt;=103999",'LANÇAMENTOS DIÁRIOS'!$P$5:$P$500,"&gt;=103900")&gt;0,"X","")</f>
      </c>
      <c r="AK7" s="56" t="str">
        <f>IF(COUNTIFS('LANÇAMENTOS DIÁRIOS'!$G$5:$G$500,"D",'LANÇAMENTOS DIÁRIOS'!$C$5:$C$500,$A7,'LANÇAMENTOS DIÁRIOS'!$O$5:$O$500,"&lt;=104099",'LANÇAMENTOS DIÁRIOS'!$P$5:$P$500,"&gt;=104000")&gt;0,"X","")</f>
      </c>
      <c r="AL7" s="56" t="str">
        <f>IF(COUNTIFS('LANÇAMENTOS DIÁRIOS'!$G$5:$G$500,"D",'LANÇAMENTOS DIÁRIOS'!$C$5:$C$500,$A7,'LANÇAMENTOS DIÁRIOS'!$O$5:$O$500,"&lt;=104199",'LANÇAMENTOS DIÁRIOS'!$P$5:$P$500,"&gt;=104100")&gt;0,"X","")</f>
      </c>
      <c r="AM7" s="56" t="str">
        <f>IF(COUNTIFS('LANÇAMENTOS DIÁRIOS'!$G$5:$G$500,"D",'LANÇAMENTOS DIÁRIOS'!$C$5:$C$500,$A7,'LANÇAMENTOS DIÁRIOS'!$O$5:$O$500,"&lt;=104299",'LANÇAMENTOS DIÁRIOS'!$P$5:$P$500,"&gt;=104200")&gt;0,"X","")</f>
      </c>
      <c r="AN7" s="56" t="str">
        <f>IF(COUNTIFS('LANÇAMENTOS DIÁRIOS'!$G$5:$G$500,"D",'LANÇAMENTOS DIÁRIOS'!$C$5:$C$500,$A7,'LANÇAMENTOS DIÁRIOS'!$O$5:$O$500,"&lt;=104399",'LANÇAMENTOS DIÁRIOS'!$P$5:$P$500,"&gt;=104300")&gt;0,"X","")</f>
      </c>
      <c r="AO7" s="56" t="str">
        <f>IF(COUNTIFS('LANÇAMENTOS DIÁRIOS'!$G$5:$G$500,"D",'LANÇAMENTOS DIÁRIOS'!$C$5:$C$500,$A7,'LANÇAMENTOS DIÁRIOS'!$O$5:$O$500,"&lt;=104499",'LANÇAMENTOS DIÁRIOS'!$P$5:$P$500,"&gt;=104400")&gt;0,"X","")</f>
      </c>
      <c r="AP7" s="56" t="str">
        <f>IF(COUNTIFS('LANÇAMENTOS DIÁRIOS'!$G$5:$G$500,"D",'LANÇAMENTOS DIÁRIOS'!$C$5:$C$500,$A7,'LANÇAMENTOS DIÁRIOS'!$O$5:$O$500,"&lt;=104599",'LANÇAMENTOS DIÁRIOS'!$P$5:$P$500,"&gt;=104500")&gt;0,"X","")</f>
      </c>
      <c r="AQ7" s="56" t="str">
        <f>IF(COUNTIFS('LANÇAMENTOS DIÁRIOS'!$G$5:$G$500,"D",'LANÇAMENTOS DIÁRIOS'!$C$5:$C$500,$A7,'LANÇAMENTOS DIÁRIOS'!$O$5:$O$500,"&lt;=104699",'LANÇAMENTOS DIÁRIOS'!$P$5:$P$500,"&gt;=104600")&gt;0,"X","")</f>
      </c>
      <c r="AR7" s="56" t="str">
        <f>IF(COUNTIFS('LANÇAMENTOS DIÁRIOS'!$G$5:$G$500,"D",'LANÇAMENTOS DIÁRIOS'!$C$5:$C$500,$A7,'LANÇAMENTOS DIÁRIOS'!$O$5:$O$500,"&lt;=104799",'LANÇAMENTOS DIÁRIOS'!$P$5:$P$500,"&gt;=104700")&gt;0,"X","")</f>
      </c>
      <c r="AS7" s="56" t="str">
        <f>IF(COUNTIFS('LANÇAMENTOS DIÁRIOS'!$G$5:$G$500,"D",'LANÇAMENTOS DIÁRIOS'!$C$5:$C$500,$A7,'LANÇAMENTOS DIÁRIOS'!$O$5:$O$500,"&lt;=104899",'LANÇAMENTOS DIÁRIOS'!$P$5:$P$500,"&gt;=104800")&gt;0,"X","")</f>
      </c>
      <c r="AT7" s="56" t="str">
        <f>IF(COUNTIFS('LANÇAMENTOS DIÁRIOS'!$G$5:$G$500,"D",'LANÇAMENTOS DIÁRIOS'!$C$5:$C$500,$A7,'LANÇAMENTOS DIÁRIOS'!$O$5:$O$500,"&lt;=104999",'LANÇAMENTOS DIÁRIOS'!$P$5:$P$500,"&gt;=104900")&gt;0,"X","")</f>
      </c>
      <c r="AU7" s="56" t="str">
        <f>IF(COUNTIFS('LANÇAMENTOS DIÁRIOS'!$G$5:$G$500,"D",'LANÇAMENTOS DIÁRIOS'!$C$5:$C$500,$A7,'LANÇAMENTOS DIÁRIOS'!$O$5:$O$500,"&lt;=105099",'LANÇAMENTOS DIÁRIOS'!$P$5:$P$500,"&gt;=105000")&gt;0,"X","")</f>
      </c>
      <c r="AV7" s="56" t="str">
        <f>IF(COUNTIFS('LANÇAMENTOS DIÁRIOS'!$G$5:$G$500,"D",'LANÇAMENTOS DIÁRIOS'!$C$5:$C$500,$A7,'LANÇAMENTOS DIÁRIOS'!$O$5:$O$500,"&lt;=105199",'LANÇAMENTOS DIÁRIOS'!$P$5:$P$500,"&gt;=105100")&gt;0,"X","")</f>
      </c>
      <c r="AW7" s="56" t="str">
        <f>IF(COUNTIFS('LANÇAMENTOS DIÁRIOS'!$G$5:$G$500,"D",'LANÇAMENTOS DIÁRIOS'!$C$5:$C$500,$A7,'LANÇAMENTOS DIÁRIOS'!$O$5:$O$500,"&lt;=105299",'LANÇAMENTOS DIÁRIOS'!$P$5:$P$500,"&gt;=105200")&gt;0,"X","")</f>
      </c>
      <c r="AX7" s="56" t="str">
        <f>IF(COUNTIFS('LANÇAMENTOS DIÁRIOS'!$G$5:$G$500,"D",'LANÇAMENTOS DIÁRIOS'!$C$5:$C$500,$A7,'LANÇAMENTOS DIÁRIOS'!$O$5:$O$500,"&lt;=105399",'LANÇAMENTOS DIÁRIOS'!$P$5:$P$500,"&gt;=105300")&gt;0,"X","")</f>
      </c>
      <c r="AY7" s="56" t="str">
        <f>IF(COUNTIFS('LANÇAMENTOS DIÁRIOS'!$G$5:$G$500,"D",'LANÇAMENTOS DIÁRIOS'!$C$5:$C$500,$A7,'LANÇAMENTOS DIÁRIOS'!$O$5:$O$500,"&lt;=105499",'LANÇAMENTOS DIÁRIOS'!$P$5:$P$500,"&gt;=105400")&gt;0,"X","")</f>
      </c>
      <c r="AZ7" s="56" t="str">
        <f>IF(COUNTIFS('LANÇAMENTOS DIÁRIOS'!$G$5:$G$500,"D",'LANÇAMENTOS DIÁRIOS'!$C$5:$C$500,$A7,'LANÇAMENTOS DIÁRIOS'!$O$5:$O$500,"&lt;=105500",'LANÇAMENTOS DIÁRIOS'!$P$5:$P$500,"&gt;=105500")&gt;0,"X","")</f>
      </c>
    </row>
    <row r="8">
      <c r="A8" s="51" t="str">
        <v>Demolição de OAE (Km 84+100)</v>
      </c>
      <c r="B8" s="56" t="str">
        <f>IF(COUNTIFS('LANÇAMENTOS DIÁRIOS'!$G$5:$G$500,"D",'LANÇAMENTOS DIÁRIOS'!$C$5:$C$500,$A8,'LANÇAMENTOS DIÁRIOS'!$O$5:$O$500,"&lt;=100599",'LANÇAMENTOS DIÁRIOS'!$P$5:$P$500,"&gt;=100500")&gt;0,"X","")</f>
      </c>
      <c r="C8" s="56" t="str">
        <f>IF(COUNTIFS('LANÇAMENTOS DIÁRIOS'!$G$5:$G$500,"D",'LANÇAMENTOS DIÁRIOS'!$C$5:$C$500,$A8,'LANÇAMENTOS DIÁRIOS'!$O$5:$O$500,"&lt;=100699",'LANÇAMENTOS DIÁRIOS'!$P$5:$P$500,"&gt;=100600")&gt;0,"X","")</f>
      </c>
      <c r="D8" s="56" t="str">
        <f>IF(COUNTIFS('LANÇAMENTOS DIÁRIOS'!$G$5:$G$500,"D",'LANÇAMENTOS DIÁRIOS'!$C$5:$C$500,$A8,'LANÇAMENTOS DIÁRIOS'!$O$5:$O$500,"&lt;=100799",'LANÇAMENTOS DIÁRIOS'!$P$5:$P$500,"&gt;=100700")&gt;0,"X","")</f>
      </c>
      <c r="E8" s="56" t="str">
        <f>IF(COUNTIFS('LANÇAMENTOS DIÁRIOS'!$G$5:$G$500,"D",'LANÇAMENTOS DIÁRIOS'!$C$5:$C$500,$A8,'LANÇAMENTOS DIÁRIOS'!$O$5:$O$500,"&lt;=100899",'LANÇAMENTOS DIÁRIOS'!$P$5:$P$500,"&gt;=100800")&gt;0,"X","")</f>
      </c>
      <c r="F8" s="56" t="str">
        <f>IF(COUNTIFS('LANÇAMENTOS DIÁRIOS'!$G$5:$G$500,"D",'LANÇAMENTOS DIÁRIOS'!$C$5:$C$500,$A8,'LANÇAMENTOS DIÁRIOS'!$O$5:$O$500,"&lt;=100999",'LANÇAMENTOS DIÁRIOS'!$P$5:$P$500,"&gt;=100900")&gt;0,"X","")</f>
      </c>
      <c r="G8" s="56" t="str">
        <f>IF(COUNTIFS('LANÇAMENTOS DIÁRIOS'!$G$5:$G$500,"D",'LANÇAMENTOS DIÁRIOS'!$C$5:$C$500,$A8,'LANÇAMENTOS DIÁRIOS'!$O$5:$O$500,"&lt;=101099",'LANÇAMENTOS DIÁRIOS'!$P$5:$P$500,"&gt;=101000")&gt;0,"X","")</f>
      </c>
      <c r="H8" s="56" t="str">
        <f>IF(COUNTIFS('LANÇAMENTOS DIÁRIOS'!$G$5:$G$500,"D",'LANÇAMENTOS DIÁRIOS'!$C$5:$C$500,$A8,'LANÇAMENTOS DIÁRIOS'!$O$5:$O$500,"&lt;=101199",'LANÇAMENTOS DIÁRIOS'!$P$5:$P$500,"&gt;=101100")&gt;0,"X","")</f>
      </c>
      <c r="I8" s="56" t="str">
        <f>IF(COUNTIFS('LANÇAMENTOS DIÁRIOS'!$G$5:$G$500,"D",'LANÇAMENTOS DIÁRIOS'!$C$5:$C$500,$A8,'LANÇAMENTOS DIÁRIOS'!$O$5:$O$500,"&lt;=101299",'LANÇAMENTOS DIÁRIOS'!$P$5:$P$500,"&gt;=101200")&gt;0,"X","")</f>
      </c>
      <c r="J8" s="56" t="str">
        <f>IF(COUNTIFS('LANÇAMENTOS DIÁRIOS'!$G$5:$G$500,"D",'LANÇAMENTOS DIÁRIOS'!$C$5:$C$500,$A8,'LANÇAMENTOS DIÁRIOS'!$O$5:$O$500,"&lt;=101399",'LANÇAMENTOS DIÁRIOS'!$P$5:$P$500,"&gt;=101300")&gt;0,"X","")</f>
      </c>
      <c r="K8" s="56" t="str">
        <f>IF(COUNTIFS('LANÇAMENTOS DIÁRIOS'!$G$5:$G$500,"D",'LANÇAMENTOS DIÁRIOS'!$C$5:$C$500,$A8,'LANÇAMENTOS DIÁRIOS'!$O$5:$O$500,"&lt;=101499",'LANÇAMENTOS DIÁRIOS'!$P$5:$P$500,"&gt;=101400")&gt;0,"X","")</f>
      </c>
      <c r="L8" s="56" t="str">
        <f>IF(COUNTIFS('LANÇAMENTOS DIÁRIOS'!$G$5:$G$500,"D",'LANÇAMENTOS DIÁRIOS'!$C$5:$C$500,$A8,'LANÇAMENTOS DIÁRIOS'!$O$5:$O$500,"&lt;=101599",'LANÇAMENTOS DIÁRIOS'!$P$5:$P$500,"&gt;=101500")&gt;0,"X","")</f>
      </c>
      <c r="M8" s="56" t="str">
        <f>IF(COUNTIFS('LANÇAMENTOS DIÁRIOS'!$G$5:$G$500,"D",'LANÇAMENTOS DIÁRIOS'!$C$5:$C$500,$A8,'LANÇAMENTOS DIÁRIOS'!$O$5:$O$500,"&lt;=101699",'LANÇAMENTOS DIÁRIOS'!$P$5:$P$500,"&gt;=101600")&gt;0,"X","")</f>
      </c>
      <c r="N8" s="56" t="str">
        <f>IF(COUNTIFS('LANÇAMENTOS DIÁRIOS'!$G$5:$G$500,"D",'LANÇAMENTOS DIÁRIOS'!$C$5:$C$500,$A8,'LANÇAMENTOS DIÁRIOS'!$O$5:$O$500,"&lt;=101799",'LANÇAMENTOS DIÁRIOS'!$P$5:$P$500,"&gt;=101700")&gt;0,"X","")</f>
      </c>
      <c r="O8" s="56" t="str">
        <f>IF(COUNTIFS('LANÇAMENTOS DIÁRIOS'!$G$5:$G$500,"D",'LANÇAMENTOS DIÁRIOS'!$C$5:$C$500,$A8,'LANÇAMENTOS DIÁRIOS'!$O$5:$O$500,"&lt;=101899",'LANÇAMENTOS DIÁRIOS'!$P$5:$P$500,"&gt;=101800")&gt;0,"X","")</f>
      </c>
      <c r="P8" s="56" t="str">
        <f>IF(COUNTIFS('LANÇAMENTOS DIÁRIOS'!$G$5:$G$500,"D",'LANÇAMENTOS DIÁRIOS'!$C$5:$C$500,$A8,'LANÇAMENTOS DIÁRIOS'!$O$5:$O$500,"&lt;=101999",'LANÇAMENTOS DIÁRIOS'!$P$5:$P$500,"&gt;=101900")&gt;0,"X","")</f>
      </c>
      <c r="Q8" s="56" t="str">
        <f>IF(COUNTIFS('LANÇAMENTOS DIÁRIOS'!$G$5:$G$500,"D",'LANÇAMENTOS DIÁRIOS'!$C$5:$C$500,$A8,'LANÇAMENTOS DIÁRIOS'!$O$5:$O$500,"&lt;=102099",'LANÇAMENTOS DIÁRIOS'!$P$5:$P$500,"&gt;=102000")&gt;0,"X","")</f>
      </c>
      <c r="R8" s="56" t="str">
        <f>IF(COUNTIFS('LANÇAMENTOS DIÁRIOS'!$G$5:$G$500,"D",'LANÇAMENTOS DIÁRIOS'!$C$5:$C$500,$A8,'LANÇAMENTOS DIÁRIOS'!$O$5:$O$500,"&lt;=102199",'LANÇAMENTOS DIÁRIOS'!$P$5:$P$500,"&gt;=102100")&gt;0,"X","")</f>
      </c>
      <c r="S8" s="56" t="str">
        <f>IF(COUNTIFS('LANÇAMENTOS DIÁRIOS'!$G$5:$G$500,"D",'LANÇAMENTOS DIÁRIOS'!$C$5:$C$500,$A8,'LANÇAMENTOS DIÁRIOS'!$O$5:$O$500,"&lt;=102299",'LANÇAMENTOS DIÁRIOS'!$P$5:$P$500,"&gt;=102200")&gt;0,"X","")</f>
      </c>
      <c r="T8" s="56" t="str">
        <f>IF(COUNTIFS('LANÇAMENTOS DIÁRIOS'!$G$5:$G$500,"D",'LANÇAMENTOS DIÁRIOS'!$C$5:$C$500,$A8,'LANÇAMENTOS DIÁRIOS'!$O$5:$O$500,"&lt;=102399",'LANÇAMENTOS DIÁRIOS'!$P$5:$P$500,"&gt;=102300")&gt;0,"X","")</f>
      </c>
      <c r="U8" s="56" t="str">
        <f>IF(COUNTIFS('LANÇAMENTOS DIÁRIOS'!$G$5:$G$500,"D",'LANÇAMENTOS DIÁRIOS'!$C$5:$C$500,$A8,'LANÇAMENTOS DIÁRIOS'!$O$5:$O$500,"&lt;=102499",'LANÇAMENTOS DIÁRIOS'!$P$5:$P$500,"&gt;=102400")&gt;0,"X","")</f>
      </c>
      <c r="V8" s="56" t="str">
        <f>IF(COUNTIFS('LANÇAMENTOS DIÁRIOS'!$G$5:$G$500,"D",'LANÇAMENTOS DIÁRIOS'!$C$5:$C$500,$A8,'LANÇAMENTOS DIÁRIOS'!$O$5:$O$500,"&lt;=102599",'LANÇAMENTOS DIÁRIOS'!$P$5:$P$500,"&gt;=102500")&gt;0,"X","")</f>
      </c>
      <c r="W8" s="56" t="str">
        <f>IF(COUNTIFS('LANÇAMENTOS DIÁRIOS'!$G$5:$G$500,"D",'LANÇAMENTOS DIÁRIOS'!$C$5:$C$500,$A8,'LANÇAMENTOS DIÁRIOS'!$O$5:$O$500,"&lt;=102699",'LANÇAMENTOS DIÁRIOS'!$P$5:$P$500,"&gt;=102600")&gt;0,"X","")</f>
      </c>
      <c r="X8" s="56" t="str">
        <f>IF(COUNTIFS('LANÇAMENTOS DIÁRIOS'!$G$5:$G$500,"D",'LANÇAMENTOS DIÁRIOS'!$C$5:$C$500,$A8,'LANÇAMENTOS DIÁRIOS'!$O$5:$O$500,"&lt;=102799",'LANÇAMENTOS DIÁRIOS'!$P$5:$P$500,"&gt;=102700")&gt;0,"X","")</f>
      </c>
      <c r="Y8" s="56" t="str">
        <f>IF(COUNTIFS('LANÇAMENTOS DIÁRIOS'!$G$5:$G$500,"D",'LANÇAMENTOS DIÁRIOS'!$C$5:$C$500,$A8,'LANÇAMENTOS DIÁRIOS'!$O$5:$O$500,"&lt;=102899",'LANÇAMENTOS DIÁRIOS'!$P$5:$P$500,"&gt;=102800")&gt;0,"X","")</f>
      </c>
      <c r="Z8" s="56" t="str">
        <f>IF(COUNTIFS('LANÇAMENTOS DIÁRIOS'!$G$5:$G$500,"D",'LANÇAMENTOS DIÁRIOS'!$C$5:$C$500,$A8,'LANÇAMENTOS DIÁRIOS'!$O$5:$O$500,"&lt;=102999",'LANÇAMENTOS DIÁRIOS'!$P$5:$P$500,"&gt;=102900")&gt;0,"X","")</f>
      </c>
      <c r="AA8" s="56" t="str">
        <f>IF(COUNTIFS('LANÇAMENTOS DIÁRIOS'!$G$5:$G$500,"D",'LANÇAMENTOS DIÁRIOS'!$C$5:$C$500,$A8,'LANÇAMENTOS DIÁRIOS'!$O$5:$O$500,"&lt;=103099",'LANÇAMENTOS DIÁRIOS'!$P$5:$P$500,"&gt;=103000")&gt;0,"X","")</f>
      </c>
      <c r="AB8" s="56" t="str">
        <f>IF(COUNTIFS('LANÇAMENTOS DIÁRIOS'!$G$5:$G$500,"D",'LANÇAMENTOS DIÁRIOS'!$C$5:$C$500,$A8,'LANÇAMENTOS DIÁRIOS'!$O$5:$O$500,"&lt;=103199",'LANÇAMENTOS DIÁRIOS'!$P$5:$P$500,"&gt;=103100")&gt;0,"X","")</f>
      </c>
      <c r="AC8" s="56" t="str">
        <f>IF(COUNTIFS('LANÇAMENTOS DIÁRIOS'!$G$5:$G$500,"D",'LANÇAMENTOS DIÁRIOS'!$C$5:$C$500,$A8,'LANÇAMENTOS DIÁRIOS'!$O$5:$O$500,"&lt;=103299",'LANÇAMENTOS DIÁRIOS'!$P$5:$P$500,"&gt;=103200")&gt;0,"X","")</f>
      </c>
      <c r="AD8" s="56" t="str">
        <f>IF(COUNTIFS('LANÇAMENTOS DIÁRIOS'!$G$5:$G$500,"D",'LANÇAMENTOS DIÁRIOS'!$C$5:$C$500,$A8,'LANÇAMENTOS DIÁRIOS'!$O$5:$O$500,"&lt;=103399",'LANÇAMENTOS DIÁRIOS'!$P$5:$P$500,"&gt;=103300")&gt;0,"X","")</f>
      </c>
      <c r="AE8" s="56" t="str">
        <f>IF(COUNTIFS('LANÇAMENTOS DIÁRIOS'!$G$5:$G$500,"D",'LANÇAMENTOS DIÁRIOS'!$C$5:$C$500,$A8,'LANÇAMENTOS DIÁRIOS'!$O$5:$O$500,"&lt;=103499",'LANÇAMENTOS DIÁRIOS'!$P$5:$P$500,"&gt;=103400")&gt;0,"X","")</f>
      </c>
      <c r="AF8" s="56" t="str">
        <f>IF(COUNTIFS('LANÇAMENTOS DIÁRIOS'!$G$5:$G$500,"D",'LANÇAMENTOS DIÁRIOS'!$C$5:$C$500,$A8,'LANÇAMENTOS DIÁRIOS'!$O$5:$O$500,"&lt;=103599",'LANÇAMENTOS DIÁRIOS'!$P$5:$P$500,"&gt;=103500")&gt;0,"X","")</f>
      </c>
      <c r="AG8" s="56" t="str">
        <f>IF(COUNTIFS('LANÇAMENTOS DIÁRIOS'!$G$5:$G$500,"D",'LANÇAMENTOS DIÁRIOS'!$C$5:$C$500,$A8,'LANÇAMENTOS DIÁRIOS'!$O$5:$O$500,"&lt;=103699",'LANÇAMENTOS DIÁRIOS'!$P$5:$P$500,"&gt;=103600")&gt;0,"X","")</f>
      </c>
      <c r="AH8" s="56" t="str">
        <f>IF(COUNTIFS('LANÇAMENTOS DIÁRIOS'!$G$5:$G$500,"D",'LANÇAMENTOS DIÁRIOS'!$C$5:$C$500,$A8,'LANÇAMENTOS DIÁRIOS'!$O$5:$O$500,"&lt;=103799",'LANÇAMENTOS DIÁRIOS'!$P$5:$P$500,"&gt;=103700")&gt;0,"X","")</f>
      </c>
      <c r="AI8" s="56" t="str">
        <f>IF(COUNTIFS('LANÇAMENTOS DIÁRIOS'!$G$5:$G$500,"D",'LANÇAMENTOS DIÁRIOS'!$C$5:$C$500,$A8,'LANÇAMENTOS DIÁRIOS'!$O$5:$O$500,"&lt;=103899",'LANÇAMENTOS DIÁRIOS'!$P$5:$P$500,"&gt;=103800")&gt;0,"X","")</f>
      </c>
      <c r="AJ8" s="56" t="str">
        <f>IF(COUNTIFS('LANÇAMENTOS DIÁRIOS'!$G$5:$G$500,"D",'LANÇAMENTOS DIÁRIOS'!$C$5:$C$500,$A8,'LANÇAMENTOS DIÁRIOS'!$O$5:$O$500,"&lt;=103999",'LANÇAMENTOS DIÁRIOS'!$P$5:$P$500,"&gt;=103900")&gt;0,"X","")</f>
      </c>
      <c r="AK8" s="56" t="str">
        <f>IF(COUNTIFS('LANÇAMENTOS DIÁRIOS'!$G$5:$G$500,"D",'LANÇAMENTOS DIÁRIOS'!$C$5:$C$500,$A8,'LANÇAMENTOS DIÁRIOS'!$O$5:$O$500,"&lt;=104099",'LANÇAMENTOS DIÁRIOS'!$P$5:$P$500,"&gt;=104000")&gt;0,"X","")</f>
      </c>
      <c r="AL8" s="56" t="str">
        <f>IF(COUNTIFS('LANÇAMENTOS DIÁRIOS'!$G$5:$G$500,"D",'LANÇAMENTOS DIÁRIOS'!$C$5:$C$500,$A8,'LANÇAMENTOS DIÁRIOS'!$O$5:$O$500,"&lt;=104199",'LANÇAMENTOS DIÁRIOS'!$P$5:$P$500,"&gt;=104100")&gt;0,"X","")</f>
      </c>
      <c r="AM8" s="56" t="str">
        <f>IF(COUNTIFS('LANÇAMENTOS DIÁRIOS'!$G$5:$G$500,"D",'LANÇAMENTOS DIÁRIOS'!$C$5:$C$500,$A8,'LANÇAMENTOS DIÁRIOS'!$O$5:$O$500,"&lt;=104299",'LANÇAMENTOS DIÁRIOS'!$P$5:$P$500,"&gt;=104200")&gt;0,"X","")</f>
      </c>
      <c r="AN8" s="56" t="str">
        <f>IF(COUNTIFS('LANÇAMENTOS DIÁRIOS'!$G$5:$G$500,"D",'LANÇAMENTOS DIÁRIOS'!$C$5:$C$500,$A8,'LANÇAMENTOS DIÁRIOS'!$O$5:$O$500,"&lt;=104399",'LANÇAMENTOS DIÁRIOS'!$P$5:$P$500,"&gt;=104300")&gt;0,"X","")</f>
      </c>
      <c r="AO8" s="56" t="str">
        <f>IF(COUNTIFS('LANÇAMENTOS DIÁRIOS'!$G$5:$G$500,"D",'LANÇAMENTOS DIÁRIOS'!$C$5:$C$500,$A8,'LANÇAMENTOS DIÁRIOS'!$O$5:$O$500,"&lt;=104499",'LANÇAMENTOS DIÁRIOS'!$P$5:$P$500,"&gt;=104400")&gt;0,"X","")</f>
      </c>
      <c r="AP8" s="56" t="str">
        <f>IF(COUNTIFS('LANÇAMENTOS DIÁRIOS'!$G$5:$G$500,"D",'LANÇAMENTOS DIÁRIOS'!$C$5:$C$500,$A8,'LANÇAMENTOS DIÁRIOS'!$O$5:$O$500,"&lt;=104599",'LANÇAMENTOS DIÁRIOS'!$P$5:$P$500,"&gt;=104500")&gt;0,"X","")</f>
      </c>
      <c r="AQ8" s="56" t="str">
        <f>IF(COUNTIFS('LANÇAMENTOS DIÁRIOS'!$G$5:$G$500,"D",'LANÇAMENTOS DIÁRIOS'!$C$5:$C$500,$A8,'LANÇAMENTOS DIÁRIOS'!$O$5:$O$500,"&lt;=104699",'LANÇAMENTOS DIÁRIOS'!$P$5:$P$500,"&gt;=104600")&gt;0,"X","")</f>
      </c>
      <c r="AR8" s="56" t="str">
        <f>IF(COUNTIFS('LANÇAMENTOS DIÁRIOS'!$G$5:$G$500,"D",'LANÇAMENTOS DIÁRIOS'!$C$5:$C$500,$A8,'LANÇAMENTOS DIÁRIOS'!$O$5:$O$500,"&lt;=104799",'LANÇAMENTOS DIÁRIOS'!$P$5:$P$500,"&gt;=104700")&gt;0,"X","")</f>
      </c>
      <c r="AS8" s="56" t="str">
        <f>IF(COUNTIFS('LANÇAMENTOS DIÁRIOS'!$G$5:$G$500,"D",'LANÇAMENTOS DIÁRIOS'!$C$5:$C$500,$A8,'LANÇAMENTOS DIÁRIOS'!$O$5:$O$500,"&lt;=104899",'LANÇAMENTOS DIÁRIOS'!$P$5:$P$500,"&gt;=104800")&gt;0,"X","")</f>
      </c>
      <c r="AT8" s="56" t="str">
        <f>IF(COUNTIFS('LANÇAMENTOS DIÁRIOS'!$G$5:$G$500,"D",'LANÇAMENTOS DIÁRIOS'!$C$5:$C$500,$A8,'LANÇAMENTOS DIÁRIOS'!$O$5:$O$500,"&lt;=104999",'LANÇAMENTOS DIÁRIOS'!$P$5:$P$500,"&gt;=104900")&gt;0,"X","")</f>
      </c>
      <c r="AU8" s="56" t="str">
        <f>IF(COUNTIFS('LANÇAMENTOS DIÁRIOS'!$G$5:$G$500,"D",'LANÇAMENTOS DIÁRIOS'!$C$5:$C$500,$A8,'LANÇAMENTOS DIÁRIOS'!$O$5:$O$500,"&lt;=105099",'LANÇAMENTOS DIÁRIOS'!$P$5:$P$500,"&gt;=105000")&gt;0,"X","")</f>
      </c>
      <c r="AV8" s="56" t="str">
        <f>IF(COUNTIFS('LANÇAMENTOS DIÁRIOS'!$G$5:$G$500,"D",'LANÇAMENTOS DIÁRIOS'!$C$5:$C$500,$A8,'LANÇAMENTOS DIÁRIOS'!$O$5:$O$500,"&lt;=105199",'LANÇAMENTOS DIÁRIOS'!$P$5:$P$500,"&gt;=105100")&gt;0,"X","")</f>
      </c>
      <c r="AW8" s="56" t="str">
        <f>IF(COUNTIFS('LANÇAMENTOS DIÁRIOS'!$G$5:$G$500,"D",'LANÇAMENTOS DIÁRIOS'!$C$5:$C$500,$A8,'LANÇAMENTOS DIÁRIOS'!$O$5:$O$500,"&lt;=105299",'LANÇAMENTOS DIÁRIOS'!$P$5:$P$500,"&gt;=105200")&gt;0,"X","")</f>
      </c>
      <c r="AX8" s="56" t="str">
        <f>IF(COUNTIFS('LANÇAMENTOS DIÁRIOS'!$G$5:$G$500,"D",'LANÇAMENTOS DIÁRIOS'!$C$5:$C$500,$A8,'LANÇAMENTOS DIÁRIOS'!$O$5:$O$500,"&lt;=105399",'LANÇAMENTOS DIÁRIOS'!$P$5:$P$500,"&gt;=105300")&gt;0,"X","")</f>
      </c>
      <c r="AY8" s="56" t="str">
        <f>IF(COUNTIFS('LANÇAMENTOS DIÁRIOS'!$G$5:$G$500,"D",'LANÇAMENTOS DIÁRIOS'!$C$5:$C$500,$A8,'LANÇAMENTOS DIÁRIOS'!$O$5:$O$500,"&lt;=105499",'LANÇAMENTOS DIÁRIOS'!$P$5:$P$500,"&gt;=105400")&gt;0,"X","")</f>
      </c>
      <c r="AZ8" s="56" t="str">
        <f>IF(COUNTIFS('LANÇAMENTOS DIÁRIOS'!$G$5:$G$500,"D",'LANÇAMENTOS DIÁRIOS'!$C$5:$C$500,$A8,'LANÇAMENTOS DIÁRIOS'!$O$5:$O$500,"&lt;=105500",'LANÇAMENTOS DIÁRIOS'!$P$5:$P$500,"&gt;=105500")&gt;0,"X","")</f>
      </c>
    </row>
    <row r="9">
      <c r="A9" s="51" t="str">
        <v>Remoção de postes com luminárias</v>
      </c>
      <c r="B9" s="56" t="str">
        <f>IF(COUNTIFS('LANÇAMENTOS DIÁRIOS'!$G$5:$G$500,"D",'LANÇAMENTOS DIÁRIOS'!$C$5:$C$500,$A9,'LANÇAMENTOS DIÁRIOS'!$O$5:$O$500,"&lt;=100599",'LANÇAMENTOS DIÁRIOS'!$P$5:$P$500,"&gt;=100500")&gt;0,"X","")</f>
      </c>
      <c r="C9" s="56" t="str">
        <f>IF(COUNTIFS('LANÇAMENTOS DIÁRIOS'!$G$5:$G$500,"D",'LANÇAMENTOS DIÁRIOS'!$C$5:$C$500,$A9,'LANÇAMENTOS DIÁRIOS'!$O$5:$O$500,"&lt;=100699",'LANÇAMENTOS DIÁRIOS'!$P$5:$P$500,"&gt;=100600")&gt;0,"X","")</f>
      </c>
      <c r="D9" s="56" t="str">
        <f>IF(COUNTIFS('LANÇAMENTOS DIÁRIOS'!$G$5:$G$500,"D",'LANÇAMENTOS DIÁRIOS'!$C$5:$C$500,$A9,'LANÇAMENTOS DIÁRIOS'!$O$5:$O$500,"&lt;=100799",'LANÇAMENTOS DIÁRIOS'!$P$5:$P$500,"&gt;=100700")&gt;0,"X","")</f>
      </c>
      <c r="E9" s="56" t="str">
        <f>IF(COUNTIFS('LANÇAMENTOS DIÁRIOS'!$G$5:$G$500,"D",'LANÇAMENTOS DIÁRIOS'!$C$5:$C$500,$A9,'LANÇAMENTOS DIÁRIOS'!$O$5:$O$500,"&lt;=100899",'LANÇAMENTOS DIÁRIOS'!$P$5:$P$500,"&gt;=100800")&gt;0,"X","")</f>
      </c>
      <c r="F9" s="56" t="str">
        <f>IF(COUNTIFS('LANÇAMENTOS DIÁRIOS'!$G$5:$G$500,"D",'LANÇAMENTOS DIÁRIOS'!$C$5:$C$500,$A9,'LANÇAMENTOS DIÁRIOS'!$O$5:$O$500,"&lt;=100999",'LANÇAMENTOS DIÁRIOS'!$P$5:$P$500,"&gt;=100900")&gt;0,"X","")</f>
      </c>
      <c r="G9" s="56" t="str">
        <f>IF(COUNTIFS('LANÇAMENTOS DIÁRIOS'!$G$5:$G$500,"D",'LANÇAMENTOS DIÁRIOS'!$C$5:$C$500,$A9,'LANÇAMENTOS DIÁRIOS'!$O$5:$O$500,"&lt;=101099",'LANÇAMENTOS DIÁRIOS'!$P$5:$P$500,"&gt;=101000")&gt;0,"X","")</f>
      </c>
      <c r="H9" s="56" t="str">
        <f>IF(COUNTIFS('LANÇAMENTOS DIÁRIOS'!$G$5:$G$500,"D",'LANÇAMENTOS DIÁRIOS'!$C$5:$C$500,$A9,'LANÇAMENTOS DIÁRIOS'!$O$5:$O$500,"&lt;=101199",'LANÇAMENTOS DIÁRIOS'!$P$5:$P$500,"&gt;=101100")&gt;0,"X","")</f>
      </c>
      <c r="I9" s="56" t="str">
        <f>IF(COUNTIFS('LANÇAMENTOS DIÁRIOS'!$G$5:$G$500,"D",'LANÇAMENTOS DIÁRIOS'!$C$5:$C$500,$A9,'LANÇAMENTOS DIÁRIOS'!$O$5:$O$500,"&lt;=101299",'LANÇAMENTOS DIÁRIOS'!$P$5:$P$500,"&gt;=101200")&gt;0,"X","")</f>
      </c>
      <c r="J9" s="56" t="str">
        <f>IF(COUNTIFS('LANÇAMENTOS DIÁRIOS'!$G$5:$G$500,"D",'LANÇAMENTOS DIÁRIOS'!$C$5:$C$500,$A9,'LANÇAMENTOS DIÁRIOS'!$O$5:$O$500,"&lt;=101399",'LANÇAMENTOS DIÁRIOS'!$P$5:$P$500,"&gt;=101300")&gt;0,"X","")</f>
      </c>
      <c r="K9" s="56" t="str">
        <f>IF(COUNTIFS('LANÇAMENTOS DIÁRIOS'!$G$5:$G$500,"D",'LANÇAMENTOS DIÁRIOS'!$C$5:$C$500,$A9,'LANÇAMENTOS DIÁRIOS'!$O$5:$O$500,"&lt;=101499",'LANÇAMENTOS DIÁRIOS'!$P$5:$P$500,"&gt;=101400")&gt;0,"X","")</f>
      </c>
      <c r="L9" s="56" t="str">
        <f>IF(COUNTIFS('LANÇAMENTOS DIÁRIOS'!$G$5:$G$500,"D",'LANÇAMENTOS DIÁRIOS'!$C$5:$C$500,$A9,'LANÇAMENTOS DIÁRIOS'!$O$5:$O$500,"&lt;=101599",'LANÇAMENTOS DIÁRIOS'!$P$5:$P$500,"&gt;=101500")&gt;0,"X","")</f>
      </c>
      <c r="M9" s="56" t="str">
        <f>IF(COUNTIFS('LANÇAMENTOS DIÁRIOS'!$G$5:$G$500,"D",'LANÇAMENTOS DIÁRIOS'!$C$5:$C$500,$A9,'LANÇAMENTOS DIÁRIOS'!$O$5:$O$500,"&lt;=101699",'LANÇAMENTOS DIÁRIOS'!$P$5:$P$500,"&gt;=101600")&gt;0,"X","")</f>
      </c>
      <c r="N9" s="56" t="str">
        <f>IF(COUNTIFS('LANÇAMENTOS DIÁRIOS'!$G$5:$G$500,"D",'LANÇAMENTOS DIÁRIOS'!$C$5:$C$500,$A9,'LANÇAMENTOS DIÁRIOS'!$O$5:$O$500,"&lt;=101799",'LANÇAMENTOS DIÁRIOS'!$P$5:$P$500,"&gt;=101700")&gt;0,"X","")</f>
      </c>
      <c r="O9" s="56" t="str">
        <f>IF(COUNTIFS('LANÇAMENTOS DIÁRIOS'!$G$5:$G$500,"D",'LANÇAMENTOS DIÁRIOS'!$C$5:$C$500,$A9,'LANÇAMENTOS DIÁRIOS'!$O$5:$O$500,"&lt;=101899",'LANÇAMENTOS DIÁRIOS'!$P$5:$P$500,"&gt;=101800")&gt;0,"X","")</f>
      </c>
      <c r="P9" s="56" t="str">
        <f>IF(COUNTIFS('LANÇAMENTOS DIÁRIOS'!$G$5:$G$500,"D",'LANÇAMENTOS DIÁRIOS'!$C$5:$C$500,$A9,'LANÇAMENTOS DIÁRIOS'!$O$5:$O$500,"&lt;=101999",'LANÇAMENTOS DIÁRIOS'!$P$5:$P$500,"&gt;=101900")&gt;0,"X","")</f>
      </c>
      <c r="Q9" s="56" t="str">
        <f>IF(COUNTIFS('LANÇAMENTOS DIÁRIOS'!$G$5:$G$500,"D",'LANÇAMENTOS DIÁRIOS'!$C$5:$C$500,$A9,'LANÇAMENTOS DIÁRIOS'!$O$5:$O$500,"&lt;=102099",'LANÇAMENTOS DIÁRIOS'!$P$5:$P$500,"&gt;=102000")&gt;0,"X","")</f>
      </c>
      <c r="R9" s="56" t="str">
        <f>IF(COUNTIFS('LANÇAMENTOS DIÁRIOS'!$G$5:$G$500,"D",'LANÇAMENTOS DIÁRIOS'!$C$5:$C$500,$A9,'LANÇAMENTOS DIÁRIOS'!$O$5:$O$500,"&lt;=102199",'LANÇAMENTOS DIÁRIOS'!$P$5:$P$500,"&gt;=102100")&gt;0,"X","")</f>
      </c>
      <c r="S9" s="56" t="str">
        <f>IF(COUNTIFS('LANÇAMENTOS DIÁRIOS'!$G$5:$G$500,"D",'LANÇAMENTOS DIÁRIOS'!$C$5:$C$500,$A9,'LANÇAMENTOS DIÁRIOS'!$O$5:$O$500,"&lt;=102299",'LANÇAMENTOS DIÁRIOS'!$P$5:$P$500,"&gt;=102200")&gt;0,"X","")</f>
      </c>
      <c r="T9" s="56" t="str">
        <f>IF(COUNTIFS('LANÇAMENTOS DIÁRIOS'!$G$5:$G$500,"D",'LANÇAMENTOS DIÁRIOS'!$C$5:$C$500,$A9,'LANÇAMENTOS DIÁRIOS'!$O$5:$O$500,"&lt;=102399",'LANÇAMENTOS DIÁRIOS'!$P$5:$P$500,"&gt;=102300")&gt;0,"X","")</f>
      </c>
      <c r="U9" s="56" t="str">
        <f>IF(COUNTIFS('LANÇAMENTOS DIÁRIOS'!$G$5:$G$500,"D",'LANÇAMENTOS DIÁRIOS'!$C$5:$C$500,$A9,'LANÇAMENTOS DIÁRIOS'!$O$5:$O$500,"&lt;=102499",'LANÇAMENTOS DIÁRIOS'!$P$5:$P$500,"&gt;=102400")&gt;0,"X","")</f>
      </c>
      <c r="V9" s="56" t="str">
        <f>IF(COUNTIFS('LANÇAMENTOS DIÁRIOS'!$G$5:$G$500,"D",'LANÇAMENTOS DIÁRIOS'!$C$5:$C$500,$A9,'LANÇAMENTOS DIÁRIOS'!$O$5:$O$500,"&lt;=102599",'LANÇAMENTOS DIÁRIOS'!$P$5:$P$500,"&gt;=102500")&gt;0,"X","")</f>
      </c>
      <c r="W9" s="56" t="str">
        <f>IF(COUNTIFS('LANÇAMENTOS DIÁRIOS'!$G$5:$G$500,"D",'LANÇAMENTOS DIÁRIOS'!$C$5:$C$500,$A9,'LANÇAMENTOS DIÁRIOS'!$O$5:$O$500,"&lt;=102699",'LANÇAMENTOS DIÁRIOS'!$P$5:$P$500,"&gt;=102600")&gt;0,"X","")</f>
      </c>
      <c r="X9" s="56" t="str">
        <f>IF(COUNTIFS('LANÇAMENTOS DIÁRIOS'!$G$5:$G$500,"D",'LANÇAMENTOS DIÁRIOS'!$C$5:$C$500,$A9,'LANÇAMENTOS DIÁRIOS'!$O$5:$O$500,"&lt;=102799",'LANÇAMENTOS DIÁRIOS'!$P$5:$P$500,"&gt;=102700")&gt;0,"X","")</f>
      </c>
      <c r="Y9" s="56" t="str">
        <f>IF(COUNTIFS('LANÇAMENTOS DIÁRIOS'!$G$5:$G$500,"D",'LANÇAMENTOS DIÁRIOS'!$C$5:$C$500,$A9,'LANÇAMENTOS DIÁRIOS'!$O$5:$O$500,"&lt;=102899",'LANÇAMENTOS DIÁRIOS'!$P$5:$P$500,"&gt;=102800")&gt;0,"X","")</f>
      </c>
      <c r="Z9" s="56" t="str">
        <f>IF(COUNTIFS('LANÇAMENTOS DIÁRIOS'!$G$5:$G$500,"D",'LANÇAMENTOS DIÁRIOS'!$C$5:$C$500,$A9,'LANÇAMENTOS DIÁRIOS'!$O$5:$O$500,"&lt;=102999",'LANÇAMENTOS DIÁRIOS'!$P$5:$P$500,"&gt;=102900")&gt;0,"X","")</f>
      </c>
      <c r="AA9" s="56" t="str">
        <f>IF(COUNTIFS('LANÇAMENTOS DIÁRIOS'!$G$5:$G$500,"D",'LANÇAMENTOS DIÁRIOS'!$C$5:$C$500,$A9,'LANÇAMENTOS DIÁRIOS'!$O$5:$O$500,"&lt;=103099",'LANÇAMENTOS DIÁRIOS'!$P$5:$P$500,"&gt;=103000")&gt;0,"X","")</f>
      </c>
      <c r="AB9" s="56" t="str">
        <f>IF(COUNTIFS('LANÇAMENTOS DIÁRIOS'!$G$5:$G$500,"D",'LANÇAMENTOS DIÁRIOS'!$C$5:$C$500,$A9,'LANÇAMENTOS DIÁRIOS'!$O$5:$O$500,"&lt;=103199",'LANÇAMENTOS DIÁRIOS'!$P$5:$P$500,"&gt;=103100")&gt;0,"X","")</f>
      </c>
      <c r="AC9" s="56" t="str">
        <f>IF(COUNTIFS('LANÇAMENTOS DIÁRIOS'!$G$5:$G$500,"D",'LANÇAMENTOS DIÁRIOS'!$C$5:$C$500,$A9,'LANÇAMENTOS DIÁRIOS'!$O$5:$O$500,"&lt;=103299",'LANÇAMENTOS DIÁRIOS'!$P$5:$P$500,"&gt;=103200")&gt;0,"X","")</f>
      </c>
      <c r="AD9" s="56" t="str">
        <f>IF(COUNTIFS('LANÇAMENTOS DIÁRIOS'!$G$5:$G$500,"D",'LANÇAMENTOS DIÁRIOS'!$C$5:$C$500,$A9,'LANÇAMENTOS DIÁRIOS'!$O$5:$O$500,"&lt;=103399",'LANÇAMENTOS DIÁRIOS'!$P$5:$P$500,"&gt;=103300")&gt;0,"X","")</f>
      </c>
      <c r="AE9" s="56" t="str">
        <f>IF(COUNTIFS('LANÇAMENTOS DIÁRIOS'!$G$5:$G$500,"D",'LANÇAMENTOS DIÁRIOS'!$C$5:$C$500,$A9,'LANÇAMENTOS DIÁRIOS'!$O$5:$O$500,"&lt;=103499",'LANÇAMENTOS DIÁRIOS'!$P$5:$P$500,"&gt;=103400")&gt;0,"X","")</f>
      </c>
      <c r="AF9" s="56" t="str">
        <f>IF(COUNTIFS('LANÇAMENTOS DIÁRIOS'!$G$5:$G$500,"D",'LANÇAMENTOS DIÁRIOS'!$C$5:$C$500,$A9,'LANÇAMENTOS DIÁRIOS'!$O$5:$O$500,"&lt;=103599",'LANÇAMENTOS DIÁRIOS'!$P$5:$P$500,"&gt;=103500")&gt;0,"X","")</f>
      </c>
      <c r="AG9" s="56" t="str">
        <f>IF(COUNTIFS('LANÇAMENTOS DIÁRIOS'!$G$5:$G$500,"D",'LANÇAMENTOS DIÁRIOS'!$C$5:$C$500,$A9,'LANÇAMENTOS DIÁRIOS'!$O$5:$O$500,"&lt;=103699",'LANÇAMENTOS DIÁRIOS'!$P$5:$P$500,"&gt;=103600")&gt;0,"X","")</f>
      </c>
      <c r="AH9" s="56" t="str">
        <f>IF(COUNTIFS('LANÇAMENTOS DIÁRIOS'!$G$5:$G$500,"D",'LANÇAMENTOS DIÁRIOS'!$C$5:$C$500,$A9,'LANÇAMENTOS DIÁRIOS'!$O$5:$O$500,"&lt;=103799",'LANÇAMENTOS DIÁRIOS'!$P$5:$P$500,"&gt;=103700")&gt;0,"X","")</f>
      </c>
      <c r="AI9" s="56" t="str">
        <f>IF(COUNTIFS('LANÇAMENTOS DIÁRIOS'!$G$5:$G$500,"D",'LANÇAMENTOS DIÁRIOS'!$C$5:$C$500,$A9,'LANÇAMENTOS DIÁRIOS'!$O$5:$O$500,"&lt;=103899",'LANÇAMENTOS DIÁRIOS'!$P$5:$P$500,"&gt;=103800")&gt;0,"X","")</f>
      </c>
      <c r="AJ9" s="56" t="str">
        <f>IF(COUNTIFS('LANÇAMENTOS DIÁRIOS'!$G$5:$G$500,"D",'LANÇAMENTOS DIÁRIOS'!$C$5:$C$500,$A9,'LANÇAMENTOS DIÁRIOS'!$O$5:$O$500,"&lt;=103999",'LANÇAMENTOS DIÁRIOS'!$P$5:$P$500,"&gt;=103900")&gt;0,"X","")</f>
      </c>
      <c r="AK9" s="56" t="str">
        <f>IF(COUNTIFS('LANÇAMENTOS DIÁRIOS'!$G$5:$G$500,"D",'LANÇAMENTOS DIÁRIOS'!$C$5:$C$500,$A9,'LANÇAMENTOS DIÁRIOS'!$O$5:$O$500,"&lt;=104099",'LANÇAMENTOS DIÁRIOS'!$P$5:$P$500,"&gt;=104000")&gt;0,"X","")</f>
      </c>
      <c r="AL9" s="56" t="str">
        <f>IF(COUNTIFS('LANÇAMENTOS DIÁRIOS'!$G$5:$G$500,"D",'LANÇAMENTOS DIÁRIOS'!$C$5:$C$500,$A9,'LANÇAMENTOS DIÁRIOS'!$O$5:$O$500,"&lt;=104199",'LANÇAMENTOS DIÁRIOS'!$P$5:$P$500,"&gt;=104100")&gt;0,"X","")</f>
      </c>
      <c r="AM9" s="56" t="str">
        <f>IF(COUNTIFS('LANÇAMENTOS DIÁRIOS'!$G$5:$G$500,"D",'LANÇAMENTOS DIÁRIOS'!$C$5:$C$500,$A9,'LANÇAMENTOS DIÁRIOS'!$O$5:$O$500,"&lt;=104299",'LANÇAMENTOS DIÁRIOS'!$P$5:$P$500,"&gt;=104200")&gt;0,"X","")</f>
      </c>
      <c r="AN9" s="56" t="str">
        <f>IF(COUNTIFS('LANÇAMENTOS DIÁRIOS'!$G$5:$G$500,"D",'LANÇAMENTOS DIÁRIOS'!$C$5:$C$500,$A9,'LANÇAMENTOS DIÁRIOS'!$O$5:$O$500,"&lt;=104399",'LANÇAMENTOS DIÁRIOS'!$P$5:$P$500,"&gt;=104300")&gt;0,"X","")</f>
      </c>
      <c r="AO9" s="56" t="str">
        <f>IF(COUNTIFS('LANÇAMENTOS DIÁRIOS'!$G$5:$G$500,"D",'LANÇAMENTOS DIÁRIOS'!$C$5:$C$500,$A9,'LANÇAMENTOS DIÁRIOS'!$O$5:$O$500,"&lt;=104499",'LANÇAMENTOS DIÁRIOS'!$P$5:$P$500,"&gt;=104400")&gt;0,"X","")</f>
      </c>
      <c r="AP9" s="56" t="str">
        <f>IF(COUNTIFS('LANÇAMENTOS DIÁRIOS'!$G$5:$G$500,"D",'LANÇAMENTOS DIÁRIOS'!$C$5:$C$500,$A9,'LANÇAMENTOS DIÁRIOS'!$O$5:$O$500,"&lt;=104599",'LANÇAMENTOS DIÁRIOS'!$P$5:$P$500,"&gt;=104500")&gt;0,"X","")</f>
      </c>
      <c r="AQ9" s="56" t="str">
        <f>IF(COUNTIFS('LANÇAMENTOS DIÁRIOS'!$G$5:$G$500,"D",'LANÇAMENTOS DIÁRIOS'!$C$5:$C$500,$A9,'LANÇAMENTOS DIÁRIOS'!$O$5:$O$500,"&lt;=104699",'LANÇAMENTOS DIÁRIOS'!$P$5:$P$500,"&gt;=104600")&gt;0,"X","")</f>
      </c>
      <c r="AR9" s="56" t="str">
        <f>IF(COUNTIFS('LANÇAMENTOS DIÁRIOS'!$G$5:$G$500,"D",'LANÇAMENTOS DIÁRIOS'!$C$5:$C$500,$A9,'LANÇAMENTOS DIÁRIOS'!$O$5:$O$500,"&lt;=104799",'LANÇAMENTOS DIÁRIOS'!$P$5:$P$500,"&gt;=104700")&gt;0,"X","")</f>
      </c>
      <c r="AS9" s="56" t="str">
        <f>IF(COUNTIFS('LANÇAMENTOS DIÁRIOS'!$G$5:$G$500,"D",'LANÇAMENTOS DIÁRIOS'!$C$5:$C$500,$A9,'LANÇAMENTOS DIÁRIOS'!$O$5:$O$500,"&lt;=104899",'LANÇAMENTOS DIÁRIOS'!$P$5:$P$500,"&gt;=104800")&gt;0,"X","")</f>
      </c>
      <c r="AT9" s="56" t="str">
        <f>IF(COUNTIFS('LANÇAMENTOS DIÁRIOS'!$G$5:$G$500,"D",'LANÇAMENTOS DIÁRIOS'!$C$5:$C$500,$A9,'LANÇAMENTOS DIÁRIOS'!$O$5:$O$500,"&lt;=104999",'LANÇAMENTOS DIÁRIOS'!$P$5:$P$500,"&gt;=104900")&gt;0,"X","")</f>
      </c>
      <c r="AU9" s="56" t="str">
        <f>IF(COUNTIFS('LANÇAMENTOS DIÁRIOS'!$G$5:$G$500,"D",'LANÇAMENTOS DIÁRIOS'!$C$5:$C$500,$A9,'LANÇAMENTOS DIÁRIOS'!$O$5:$O$500,"&lt;=105099",'LANÇAMENTOS DIÁRIOS'!$P$5:$P$500,"&gt;=105000")&gt;0,"X","")</f>
      </c>
      <c r="AV9" s="56" t="str">
        <f>IF(COUNTIFS('LANÇAMENTOS DIÁRIOS'!$G$5:$G$500,"D",'LANÇAMENTOS DIÁRIOS'!$C$5:$C$500,$A9,'LANÇAMENTOS DIÁRIOS'!$O$5:$O$500,"&lt;=105199",'LANÇAMENTOS DIÁRIOS'!$P$5:$P$500,"&gt;=105100")&gt;0,"X","")</f>
      </c>
      <c r="AW9" s="56" t="str">
        <f>IF(COUNTIFS('LANÇAMENTOS DIÁRIOS'!$G$5:$G$500,"D",'LANÇAMENTOS DIÁRIOS'!$C$5:$C$500,$A9,'LANÇAMENTOS DIÁRIOS'!$O$5:$O$500,"&lt;=105299",'LANÇAMENTOS DIÁRIOS'!$P$5:$P$500,"&gt;=105200")&gt;0,"X","")</f>
      </c>
      <c r="AX9" s="56" t="str">
        <f>IF(COUNTIFS('LANÇAMENTOS DIÁRIOS'!$G$5:$G$500,"D",'LANÇAMENTOS DIÁRIOS'!$C$5:$C$500,$A9,'LANÇAMENTOS DIÁRIOS'!$O$5:$O$500,"&lt;=105399",'LANÇAMENTOS DIÁRIOS'!$P$5:$P$500,"&gt;=105300")&gt;0,"X","")</f>
      </c>
      <c r="AY9" s="56" t="str">
        <f>IF(COUNTIFS('LANÇAMENTOS DIÁRIOS'!$G$5:$G$500,"D",'LANÇAMENTOS DIÁRIOS'!$C$5:$C$500,$A9,'LANÇAMENTOS DIÁRIOS'!$O$5:$O$500,"&lt;=105499",'LANÇAMENTOS DIÁRIOS'!$P$5:$P$500,"&gt;=105400")&gt;0,"X","")</f>
      </c>
      <c r="AZ9" s="56" t="str">
        <f>IF(COUNTIFS('LANÇAMENTOS DIÁRIOS'!$G$5:$G$500,"D",'LANÇAMENTOS DIÁRIOS'!$C$5:$C$500,$A9,'LANÇAMENTOS DIÁRIOS'!$O$5:$O$500,"&lt;=105500",'LANÇAMENTOS DIÁRIOS'!$P$5:$P$500,"&gt;=105500")&gt;0,"X","")</f>
      </c>
    </row>
    <row r="10">
      <c r="A10" s="51" t="str">
        <v>Remoção de bueiro</v>
      </c>
      <c r="B10" s="56" t="str">
        <f>IF(COUNTIFS('LANÇAMENTOS DIÁRIOS'!$G$5:$G$500,"D",'LANÇAMENTOS DIÁRIOS'!$C$5:$C$500,$A10,'LANÇAMENTOS DIÁRIOS'!$O$5:$O$500,"&lt;=100599",'LANÇAMENTOS DIÁRIOS'!$P$5:$P$500,"&gt;=100500")&gt;0,"X","")</f>
      </c>
      <c r="C10" s="56" t="str">
        <f>IF(COUNTIFS('LANÇAMENTOS DIÁRIOS'!$G$5:$G$500,"D",'LANÇAMENTOS DIÁRIOS'!$C$5:$C$500,$A10,'LANÇAMENTOS DIÁRIOS'!$O$5:$O$500,"&lt;=100699",'LANÇAMENTOS DIÁRIOS'!$P$5:$P$500,"&gt;=100600")&gt;0,"X","")</f>
      </c>
      <c r="D10" s="56" t="str">
        <f>IF(COUNTIFS('LANÇAMENTOS DIÁRIOS'!$G$5:$G$500,"D",'LANÇAMENTOS DIÁRIOS'!$C$5:$C$500,$A10,'LANÇAMENTOS DIÁRIOS'!$O$5:$O$500,"&lt;=100799",'LANÇAMENTOS DIÁRIOS'!$P$5:$P$500,"&gt;=100700")&gt;0,"X","")</f>
      </c>
      <c r="E10" s="56" t="str">
        <f>IF(COUNTIFS('LANÇAMENTOS DIÁRIOS'!$G$5:$G$500,"D",'LANÇAMENTOS DIÁRIOS'!$C$5:$C$500,$A10,'LANÇAMENTOS DIÁRIOS'!$O$5:$O$500,"&lt;=100899",'LANÇAMENTOS DIÁRIOS'!$P$5:$P$500,"&gt;=100800")&gt;0,"X","")</f>
      </c>
      <c r="F10" s="56" t="str">
        <f>IF(COUNTIFS('LANÇAMENTOS DIÁRIOS'!$G$5:$G$500,"D",'LANÇAMENTOS DIÁRIOS'!$C$5:$C$500,$A10,'LANÇAMENTOS DIÁRIOS'!$O$5:$O$500,"&lt;=100999",'LANÇAMENTOS DIÁRIOS'!$P$5:$P$500,"&gt;=100900")&gt;0,"X","")</f>
      </c>
      <c r="G10" s="56" t="str">
        <f>IF(COUNTIFS('LANÇAMENTOS DIÁRIOS'!$G$5:$G$500,"D",'LANÇAMENTOS DIÁRIOS'!$C$5:$C$500,$A10,'LANÇAMENTOS DIÁRIOS'!$O$5:$O$500,"&lt;=101099",'LANÇAMENTOS DIÁRIOS'!$P$5:$P$500,"&gt;=101000")&gt;0,"X","")</f>
      </c>
      <c r="H10" s="56" t="str">
        <f>IF(COUNTIFS('LANÇAMENTOS DIÁRIOS'!$G$5:$G$500,"D",'LANÇAMENTOS DIÁRIOS'!$C$5:$C$500,$A10,'LANÇAMENTOS DIÁRIOS'!$O$5:$O$500,"&lt;=101199",'LANÇAMENTOS DIÁRIOS'!$P$5:$P$500,"&gt;=101100")&gt;0,"X","")</f>
      </c>
      <c r="I10" s="56" t="str">
        <f>IF(COUNTIFS('LANÇAMENTOS DIÁRIOS'!$G$5:$G$500,"D",'LANÇAMENTOS DIÁRIOS'!$C$5:$C$500,$A10,'LANÇAMENTOS DIÁRIOS'!$O$5:$O$500,"&lt;=101299",'LANÇAMENTOS DIÁRIOS'!$P$5:$P$500,"&gt;=101200")&gt;0,"X","")</f>
      </c>
      <c r="J10" s="56" t="str">
        <f>IF(COUNTIFS('LANÇAMENTOS DIÁRIOS'!$G$5:$G$500,"D",'LANÇAMENTOS DIÁRIOS'!$C$5:$C$500,$A10,'LANÇAMENTOS DIÁRIOS'!$O$5:$O$500,"&lt;=101399",'LANÇAMENTOS DIÁRIOS'!$P$5:$P$500,"&gt;=101300")&gt;0,"X","")</f>
      </c>
      <c r="K10" s="56" t="str">
        <f>IF(COUNTIFS('LANÇAMENTOS DIÁRIOS'!$G$5:$G$500,"D",'LANÇAMENTOS DIÁRIOS'!$C$5:$C$500,$A10,'LANÇAMENTOS DIÁRIOS'!$O$5:$O$500,"&lt;=101499",'LANÇAMENTOS DIÁRIOS'!$P$5:$P$500,"&gt;=101400")&gt;0,"X","")</f>
      </c>
      <c r="L10" s="56" t="str">
        <f>IF(COUNTIFS('LANÇAMENTOS DIÁRIOS'!$G$5:$G$500,"D",'LANÇAMENTOS DIÁRIOS'!$C$5:$C$500,$A10,'LANÇAMENTOS DIÁRIOS'!$O$5:$O$500,"&lt;=101599",'LANÇAMENTOS DIÁRIOS'!$P$5:$P$500,"&gt;=101500")&gt;0,"X","")</f>
      </c>
      <c r="M10" s="56" t="str">
        <f>IF(COUNTIFS('LANÇAMENTOS DIÁRIOS'!$G$5:$G$500,"D",'LANÇAMENTOS DIÁRIOS'!$C$5:$C$500,$A10,'LANÇAMENTOS DIÁRIOS'!$O$5:$O$500,"&lt;=101699",'LANÇAMENTOS DIÁRIOS'!$P$5:$P$500,"&gt;=101600")&gt;0,"X","")</f>
      </c>
      <c r="N10" s="56" t="str">
        <f>IF(COUNTIFS('LANÇAMENTOS DIÁRIOS'!$G$5:$G$500,"D",'LANÇAMENTOS DIÁRIOS'!$C$5:$C$500,$A10,'LANÇAMENTOS DIÁRIOS'!$O$5:$O$500,"&lt;=101799",'LANÇAMENTOS DIÁRIOS'!$P$5:$P$500,"&gt;=101700")&gt;0,"X","")</f>
      </c>
      <c r="O10" s="56" t="str">
        <f>IF(COUNTIFS('LANÇAMENTOS DIÁRIOS'!$G$5:$G$500,"D",'LANÇAMENTOS DIÁRIOS'!$C$5:$C$500,$A10,'LANÇAMENTOS DIÁRIOS'!$O$5:$O$500,"&lt;=101899",'LANÇAMENTOS DIÁRIOS'!$P$5:$P$500,"&gt;=101800")&gt;0,"X","")</f>
      </c>
      <c r="P10" s="56" t="str">
        <f>IF(COUNTIFS('LANÇAMENTOS DIÁRIOS'!$G$5:$G$500,"D",'LANÇAMENTOS DIÁRIOS'!$C$5:$C$500,$A10,'LANÇAMENTOS DIÁRIOS'!$O$5:$O$500,"&lt;=101999",'LANÇAMENTOS DIÁRIOS'!$P$5:$P$500,"&gt;=101900")&gt;0,"X","")</f>
      </c>
      <c r="Q10" s="56" t="str">
        <f>IF(COUNTIFS('LANÇAMENTOS DIÁRIOS'!$G$5:$G$500,"D",'LANÇAMENTOS DIÁRIOS'!$C$5:$C$500,$A10,'LANÇAMENTOS DIÁRIOS'!$O$5:$O$500,"&lt;=102099",'LANÇAMENTOS DIÁRIOS'!$P$5:$P$500,"&gt;=102000")&gt;0,"X","")</f>
      </c>
      <c r="R10" s="56" t="str">
        <f>IF(COUNTIFS('LANÇAMENTOS DIÁRIOS'!$G$5:$G$500,"D",'LANÇAMENTOS DIÁRIOS'!$C$5:$C$500,$A10,'LANÇAMENTOS DIÁRIOS'!$O$5:$O$500,"&lt;=102199",'LANÇAMENTOS DIÁRIOS'!$P$5:$P$500,"&gt;=102100")&gt;0,"X","")</f>
      </c>
      <c r="S10" s="56" t="str">
        <f>IF(COUNTIFS('LANÇAMENTOS DIÁRIOS'!$G$5:$G$500,"D",'LANÇAMENTOS DIÁRIOS'!$C$5:$C$500,$A10,'LANÇAMENTOS DIÁRIOS'!$O$5:$O$500,"&lt;=102299",'LANÇAMENTOS DIÁRIOS'!$P$5:$P$500,"&gt;=102200")&gt;0,"X","")</f>
      </c>
      <c r="T10" s="56" t="str">
        <f>IF(COUNTIFS('LANÇAMENTOS DIÁRIOS'!$G$5:$G$500,"D",'LANÇAMENTOS DIÁRIOS'!$C$5:$C$500,$A10,'LANÇAMENTOS DIÁRIOS'!$O$5:$O$500,"&lt;=102399",'LANÇAMENTOS DIÁRIOS'!$P$5:$P$500,"&gt;=102300")&gt;0,"X","")</f>
      </c>
      <c r="U10" s="56" t="str">
        <f>IF(COUNTIFS('LANÇAMENTOS DIÁRIOS'!$G$5:$G$500,"D",'LANÇAMENTOS DIÁRIOS'!$C$5:$C$500,$A10,'LANÇAMENTOS DIÁRIOS'!$O$5:$O$500,"&lt;=102499",'LANÇAMENTOS DIÁRIOS'!$P$5:$P$500,"&gt;=102400")&gt;0,"X","")</f>
      </c>
      <c r="V10" s="56" t="str">
        <f>IF(COUNTIFS('LANÇAMENTOS DIÁRIOS'!$G$5:$G$500,"D",'LANÇAMENTOS DIÁRIOS'!$C$5:$C$500,$A10,'LANÇAMENTOS DIÁRIOS'!$O$5:$O$500,"&lt;=102599",'LANÇAMENTOS DIÁRIOS'!$P$5:$P$500,"&gt;=102500")&gt;0,"X","")</f>
      </c>
      <c r="W10" s="56" t="str">
        <f>IF(COUNTIFS('LANÇAMENTOS DIÁRIOS'!$G$5:$G$500,"D",'LANÇAMENTOS DIÁRIOS'!$C$5:$C$500,$A10,'LANÇAMENTOS DIÁRIOS'!$O$5:$O$500,"&lt;=102699",'LANÇAMENTOS DIÁRIOS'!$P$5:$P$500,"&gt;=102600")&gt;0,"X","")</f>
      </c>
      <c r="X10" s="56" t="str">
        <f>IF(COUNTIFS('LANÇAMENTOS DIÁRIOS'!$G$5:$G$500,"D",'LANÇAMENTOS DIÁRIOS'!$C$5:$C$500,$A10,'LANÇAMENTOS DIÁRIOS'!$O$5:$O$500,"&lt;=102799",'LANÇAMENTOS DIÁRIOS'!$P$5:$P$500,"&gt;=102700")&gt;0,"X","")</f>
      </c>
      <c r="Y10" s="56" t="str">
        <f>IF(COUNTIFS('LANÇAMENTOS DIÁRIOS'!$G$5:$G$500,"D",'LANÇAMENTOS DIÁRIOS'!$C$5:$C$500,$A10,'LANÇAMENTOS DIÁRIOS'!$O$5:$O$500,"&lt;=102899",'LANÇAMENTOS DIÁRIOS'!$P$5:$P$500,"&gt;=102800")&gt;0,"X","")</f>
      </c>
      <c r="Z10" s="56" t="str">
        <f>IF(COUNTIFS('LANÇAMENTOS DIÁRIOS'!$G$5:$G$500,"D",'LANÇAMENTOS DIÁRIOS'!$C$5:$C$500,$A10,'LANÇAMENTOS DIÁRIOS'!$O$5:$O$500,"&lt;=102999",'LANÇAMENTOS DIÁRIOS'!$P$5:$P$500,"&gt;=102900")&gt;0,"X","")</f>
      </c>
      <c r="AA10" s="56" t="str">
        <f>IF(COUNTIFS('LANÇAMENTOS DIÁRIOS'!$G$5:$G$500,"D",'LANÇAMENTOS DIÁRIOS'!$C$5:$C$500,$A10,'LANÇAMENTOS DIÁRIOS'!$O$5:$O$500,"&lt;=103099",'LANÇAMENTOS DIÁRIOS'!$P$5:$P$500,"&gt;=103000")&gt;0,"X","")</f>
      </c>
      <c r="AB10" s="56" t="str">
        <f>IF(COUNTIFS('LANÇAMENTOS DIÁRIOS'!$G$5:$G$500,"D",'LANÇAMENTOS DIÁRIOS'!$C$5:$C$500,$A10,'LANÇAMENTOS DIÁRIOS'!$O$5:$O$500,"&lt;=103199",'LANÇAMENTOS DIÁRIOS'!$P$5:$P$500,"&gt;=103100")&gt;0,"X","")</f>
      </c>
      <c r="AC10" s="56" t="str">
        <f>IF(COUNTIFS('LANÇAMENTOS DIÁRIOS'!$G$5:$G$500,"D",'LANÇAMENTOS DIÁRIOS'!$C$5:$C$500,$A10,'LANÇAMENTOS DIÁRIOS'!$O$5:$O$500,"&lt;=103299",'LANÇAMENTOS DIÁRIOS'!$P$5:$P$500,"&gt;=103200")&gt;0,"X","")</f>
      </c>
      <c r="AD10" s="56" t="str">
        <f>IF(COUNTIFS('LANÇAMENTOS DIÁRIOS'!$G$5:$G$500,"D",'LANÇAMENTOS DIÁRIOS'!$C$5:$C$500,$A10,'LANÇAMENTOS DIÁRIOS'!$O$5:$O$500,"&lt;=103399",'LANÇAMENTOS DIÁRIOS'!$P$5:$P$500,"&gt;=103300")&gt;0,"X","")</f>
      </c>
      <c r="AE10" s="56" t="str">
        <f>IF(COUNTIFS('LANÇAMENTOS DIÁRIOS'!$G$5:$G$500,"D",'LANÇAMENTOS DIÁRIOS'!$C$5:$C$500,$A10,'LANÇAMENTOS DIÁRIOS'!$O$5:$O$500,"&lt;=103499",'LANÇAMENTOS DIÁRIOS'!$P$5:$P$500,"&gt;=103400")&gt;0,"X","")</f>
      </c>
      <c r="AF10" s="56" t="str">
        <f>IF(COUNTIFS('LANÇAMENTOS DIÁRIOS'!$G$5:$G$500,"D",'LANÇAMENTOS DIÁRIOS'!$C$5:$C$500,$A10,'LANÇAMENTOS DIÁRIOS'!$O$5:$O$500,"&lt;=103599",'LANÇAMENTOS DIÁRIOS'!$P$5:$P$500,"&gt;=103500")&gt;0,"X","")</f>
      </c>
      <c r="AG10" s="56" t="str">
        <f>IF(COUNTIFS('LANÇAMENTOS DIÁRIOS'!$G$5:$G$500,"D",'LANÇAMENTOS DIÁRIOS'!$C$5:$C$500,$A10,'LANÇAMENTOS DIÁRIOS'!$O$5:$O$500,"&lt;=103699",'LANÇAMENTOS DIÁRIOS'!$P$5:$P$500,"&gt;=103600")&gt;0,"X","")</f>
      </c>
      <c r="AH10" s="56" t="str">
        <f>IF(COUNTIFS('LANÇAMENTOS DIÁRIOS'!$G$5:$G$500,"D",'LANÇAMENTOS DIÁRIOS'!$C$5:$C$500,$A10,'LANÇAMENTOS DIÁRIOS'!$O$5:$O$500,"&lt;=103799",'LANÇAMENTOS DIÁRIOS'!$P$5:$P$500,"&gt;=103700")&gt;0,"X","")</f>
      </c>
      <c r="AI10" s="56" t="str">
        <f>IF(COUNTIFS('LANÇAMENTOS DIÁRIOS'!$G$5:$G$500,"D",'LANÇAMENTOS DIÁRIOS'!$C$5:$C$500,$A10,'LANÇAMENTOS DIÁRIOS'!$O$5:$O$500,"&lt;=103899",'LANÇAMENTOS DIÁRIOS'!$P$5:$P$500,"&gt;=103800")&gt;0,"X","")</f>
      </c>
      <c r="AJ10" s="56" t="str">
        <f>IF(COUNTIFS('LANÇAMENTOS DIÁRIOS'!$G$5:$G$500,"D",'LANÇAMENTOS DIÁRIOS'!$C$5:$C$500,$A10,'LANÇAMENTOS DIÁRIOS'!$O$5:$O$500,"&lt;=103999",'LANÇAMENTOS DIÁRIOS'!$P$5:$P$500,"&gt;=103900")&gt;0,"X","")</f>
      </c>
      <c r="AK10" s="56" t="str">
        <f>IF(COUNTIFS('LANÇAMENTOS DIÁRIOS'!$G$5:$G$500,"D",'LANÇAMENTOS DIÁRIOS'!$C$5:$C$500,$A10,'LANÇAMENTOS DIÁRIOS'!$O$5:$O$500,"&lt;=104099",'LANÇAMENTOS DIÁRIOS'!$P$5:$P$500,"&gt;=104000")&gt;0,"X","")</f>
      </c>
      <c r="AL10" s="56" t="str">
        <f>IF(COUNTIFS('LANÇAMENTOS DIÁRIOS'!$G$5:$G$500,"D",'LANÇAMENTOS DIÁRIOS'!$C$5:$C$500,$A10,'LANÇAMENTOS DIÁRIOS'!$O$5:$O$500,"&lt;=104199",'LANÇAMENTOS DIÁRIOS'!$P$5:$P$500,"&gt;=104100")&gt;0,"X","")</f>
      </c>
      <c r="AM10" s="56" t="str">
        <f>IF(COUNTIFS('LANÇAMENTOS DIÁRIOS'!$G$5:$G$500,"D",'LANÇAMENTOS DIÁRIOS'!$C$5:$C$500,$A10,'LANÇAMENTOS DIÁRIOS'!$O$5:$O$500,"&lt;=104299",'LANÇAMENTOS DIÁRIOS'!$P$5:$P$500,"&gt;=104200")&gt;0,"X","")</f>
      </c>
      <c r="AN10" s="56" t="str">
        <f>IF(COUNTIFS('LANÇAMENTOS DIÁRIOS'!$G$5:$G$500,"D",'LANÇAMENTOS DIÁRIOS'!$C$5:$C$500,$A10,'LANÇAMENTOS DIÁRIOS'!$O$5:$O$500,"&lt;=104399",'LANÇAMENTOS DIÁRIOS'!$P$5:$P$500,"&gt;=104300")&gt;0,"X","")</f>
      </c>
      <c r="AO10" s="56" t="str">
        <f>IF(COUNTIFS('LANÇAMENTOS DIÁRIOS'!$G$5:$G$500,"D",'LANÇAMENTOS DIÁRIOS'!$C$5:$C$500,$A10,'LANÇAMENTOS DIÁRIOS'!$O$5:$O$500,"&lt;=104499",'LANÇAMENTOS DIÁRIOS'!$P$5:$P$500,"&gt;=104400")&gt;0,"X","")</f>
      </c>
      <c r="AP10" s="56" t="str">
        <f>IF(COUNTIFS('LANÇAMENTOS DIÁRIOS'!$G$5:$G$500,"D",'LANÇAMENTOS DIÁRIOS'!$C$5:$C$500,$A10,'LANÇAMENTOS DIÁRIOS'!$O$5:$O$500,"&lt;=104599",'LANÇAMENTOS DIÁRIOS'!$P$5:$P$500,"&gt;=104500")&gt;0,"X","")</f>
      </c>
      <c r="AQ10" s="56" t="str">
        <f>IF(COUNTIFS('LANÇAMENTOS DIÁRIOS'!$G$5:$G$500,"D",'LANÇAMENTOS DIÁRIOS'!$C$5:$C$500,$A10,'LANÇAMENTOS DIÁRIOS'!$O$5:$O$500,"&lt;=104699",'LANÇAMENTOS DIÁRIOS'!$P$5:$P$500,"&gt;=104600")&gt;0,"X","")</f>
      </c>
      <c r="AR10" s="56" t="str">
        <f>IF(COUNTIFS('LANÇAMENTOS DIÁRIOS'!$G$5:$G$500,"D",'LANÇAMENTOS DIÁRIOS'!$C$5:$C$500,$A10,'LANÇAMENTOS DIÁRIOS'!$O$5:$O$500,"&lt;=104799",'LANÇAMENTOS DIÁRIOS'!$P$5:$P$500,"&gt;=104700")&gt;0,"X","")</f>
      </c>
      <c r="AS10" s="56" t="str">
        <f>IF(COUNTIFS('LANÇAMENTOS DIÁRIOS'!$G$5:$G$500,"D",'LANÇAMENTOS DIÁRIOS'!$C$5:$C$500,$A10,'LANÇAMENTOS DIÁRIOS'!$O$5:$O$500,"&lt;=104899",'LANÇAMENTOS DIÁRIOS'!$P$5:$P$500,"&gt;=104800")&gt;0,"X","")</f>
      </c>
      <c r="AT10" s="56" t="str">
        <f>IF(COUNTIFS('LANÇAMENTOS DIÁRIOS'!$G$5:$G$500,"D",'LANÇAMENTOS DIÁRIOS'!$C$5:$C$500,$A10,'LANÇAMENTOS DIÁRIOS'!$O$5:$O$500,"&lt;=104999",'LANÇAMENTOS DIÁRIOS'!$P$5:$P$500,"&gt;=104900")&gt;0,"X","")</f>
      </c>
      <c r="AU10" s="56" t="str">
        <f>IF(COUNTIFS('LANÇAMENTOS DIÁRIOS'!$G$5:$G$500,"D",'LANÇAMENTOS DIÁRIOS'!$C$5:$C$500,$A10,'LANÇAMENTOS DIÁRIOS'!$O$5:$O$500,"&lt;=105099",'LANÇAMENTOS DIÁRIOS'!$P$5:$P$500,"&gt;=105000")&gt;0,"X","")</f>
      </c>
      <c r="AV10" s="56" t="str">
        <f>IF(COUNTIFS('LANÇAMENTOS DIÁRIOS'!$G$5:$G$500,"D",'LANÇAMENTOS DIÁRIOS'!$C$5:$C$500,$A10,'LANÇAMENTOS DIÁRIOS'!$O$5:$O$500,"&lt;=105199",'LANÇAMENTOS DIÁRIOS'!$P$5:$P$500,"&gt;=105100")&gt;0,"X","")</f>
      </c>
      <c r="AW10" s="56" t="str">
        <f>IF(COUNTIFS('LANÇAMENTOS DIÁRIOS'!$G$5:$G$500,"D",'LANÇAMENTOS DIÁRIOS'!$C$5:$C$500,$A10,'LANÇAMENTOS DIÁRIOS'!$O$5:$O$500,"&lt;=105299",'LANÇAMENTOS DIÁRIOS'!$P$5:$P$500,"&gt;=105200")&gt;0,"X","")</f>
      </c>
      <c r="AX10" s="56" t="str">
        <f>IF(COUNTIFS('LANÇAMENTOS DIÁRIOS'!$G$5:$G$500,"D",'LANÇAMENTOS DIÁRIOS'!$C$5:$C$500,$A10,'LANÇAMENTOS DIÁRIOS'!$O$5:$O$500,"&lt;=105399",'LANÇAMENTOS DIÁRIOS'!$P$5:$P$500,"&gt;=105300")&gt;0,"X","")</f>
      </c>
      <c r="AY10" s="56" t="str">
        <f>IF(COUNTIFS('LANÇAMENTOS DIÁRIOS'!$G$5:$G$500,"D",'LANÇAMENTOS DIÁRIOS'!$C$5:$C$500,$A10,'LANÇAMENTOS DIÁRIOS'!$O$5:$O$500,"&lt;=105499",'LANÇAMENTOS DIÁRIOS'!$P$5:$P$500,"&gt;=105400")&gt;0,"X","")</f>
      </c>
      <c r="AZ10" s="56" t="str">
        <f>IF(COUNTIFS('LANÇAMENTOS DIÁRIOS'!$G$5:$G$500,"D",'LANÇAMENTOS DIÁRIOS'!$C$5:$C$500,$A10,'LANÇAMENTOS DIÁRIOS'!$O$5:$O$500,"&lt;=105500",'LANÇAMENTOS DIÁRIOS'!$P$5:$P$500,"&gt;=105500")&gt;0,"X","")</f>
      </c>
    </row>
    <row r="11">
      <c r="A11" s="51" t="str">
        <v>Demolição de dispositivos de concreto armado</v>
      </c>
      <c r="B11" s="56" t="str">
        <f>IF(COUNTIFS('LANÇAMENTOS DIÁRIOS'!$G$5:$G$500,"D",'LANÇAMENTOS DIÁRIOS'!$C$5:$C$500,$A11,'LANÇAMENTOS DIÁRIOS'!$O$5:$O$500,"&lt;=100599",'LANÇAMENTOS DIÁRIOS'!$P$5:$P$500,"&gt;=100500")&gt;0,"X","")</f>
      </c>
      <c r="C11" s="56" t="str">
        <f>IF(COUNTIFS('LANÇAMENTOS DIÁRIOS'!$G$5:$G$500,"D",'LANÇAMENTOS DIÁRIOS'!$C$5:$C$500,$A11,'LANÇAMENTOS DIÁRIOS'!$O$5:$O$500,"&lt;=100699",'LANÇAMENTOS DIÁRIOS'!$P$5:$P$500,"&gt;=100600")&gt;0,"X","")</f>
      </c>
      <c r="D11" s="56" t="str">
        <f>IF(COUNTIFS('LANÇAMENTOS DIÁRIOS'!$G$5:$G$500,"D",'LANÇAMENTOS DIÁRIOS'!$C$5:$C$500,$A11,'LANÇAMENTOS DIÁRIOS'!$O$5:$O$500,"&lt;=100799",'LANÇAMENTOS DIÁRIOS'!$P$5:$P$500,"&gt;=100700")&gt;0,"X","")</f>
      </c>
      <c r="E11" s="56" t="str">
        <f>IF(COUNTIFS('LANÇAMENTOS DIÁRIOS'!$G$5:$G$500,"D",'LANÇAMENTOS DIÁRIOS'!$C$5:$C$500,$A11,'LANÇAMENTOS DIÁRIOS'!$O$5:$O$500,"&lt;=100899",'LANÇAMENTOS DIÁRIOS'!$P$5:$P$500,"&gt;=100800")&gt;0,"X","")</f>
      </c>
      <c r="F11" s="56" t="str">
        <f>IF(COUNTIFS('LANÇAMENTOS DIÁRIOS'!$G$5:$G$500,"D",'LANÇAMENTOS DIÁRIOS'!$C$5:$C$500,$A11,'LANÇAMENTOS DIÁRIOS'!$O$5:$O$500,"&lt;=100999",'LANÇAMENTOS DIÁRIOS'!$P$5:$P$500,"&gt;=100900")&gt;0,"X","")</f>
      </c>
      <c r="G11" s="56" t="str">
        <f>IF(COUNTIFS('LANÇAMENTOS DIÁRIOS'!$G$5:$G$500,"D",'LANÇAMENTOS DIÁRIOS'!$C$5:$C$500,$A11,'LANÇAMENTOS DIÁRIOS'!$O$5:$O$500,"&lt;=101099",'LANÇAMENTOS DIÁRIOS'!$P$5:$P$500,"&gt;=101000")&gt;0,"X","")</f>
      </c>
      <c r="H11" s="56" t="str">
        <f>IF(COUNTIFS('LANÇAMENTOS DIÁRIOS'!$G$5:$G$500,"D",'LANÇAMENTOS DIÁRIOS'!$C$5:$C$500,$A11,'LANÇAMENTOS DIÁRIOS'!$O$5:$O$500,"&lt;=101199",'LANÇAMENTOS DIÁRIOS'!$P$5:$P$500,"&gt;=101100")&gt;0,"X","")</f>
      </c>
      <c r="I11" s="56" t="str">
        <f>IF(COUNTIFS('LANÇAMENTOS DIÁRIOS'!$G$5:$G$500,"D",'LANÇAMENTOS DIÁRIOS'!$C$5:$C$500,$A11,'LANÇAMENTOS DIÁRIOS'!$O$5:$O$500,"&lt;=101299",'LANÇAMENTOS DIÁRIOS'!$P$5:$P$500,"&gt;=101200")&gt;0,"X","")</f>
      </c>
      <c r="J11" s="56" t="str">
        <f>IF(COUNTIFS('LANÇAMENTOS DIÁRIOS'!$G$5:$G$500,"D",'LANÇAMENTOS DIÁRIOS'!$C$5:$C$500,$A11,'LANÇAMENTOS DIÁRIOS'!$O$5:$O$500,"&lt;=101399",'LANÇAMENTOS DIÁRIOS'!$P$5:$P$500,"&gt;=101300")&gt;0,"X","")</f>
      </c>
      <c r="K11" s="56" t="str">
        <f>IF(COUNTIFS('LANÇAMENTOS DIÁRIOS'!$G$5:$G$500,"D",'LANÇAMENTOS DIÁRIOS'!$C$5:$C$500,$A11,'LANÇAMENTOS DIÁRIOS'!$O$5:$O$500,"&lt;=101499",'LANÇAMENTOS DIÁRIOS'!$P$5:$P$500,"&gt;=101400")&gt;0,"X","")</f>
      </c>
      <c r="L11" s="56" t="str">
        <f>IF(COUNTIFS('LANÇAMENTOS DIÁRIOS'!$G$5:$G$500,"D",'LANÇAMENTOS DIÁRIOS'!$C$5:$C$500,$A11,'LANÇAMENTOS DIÁRIOS'!$O$5:$O$500,"&lt;=101599",'LANÇAMENTOS DIÁRIOS'!$P$5:$P$500,"&gt;=101500")&gt;0,"X","")</f>
      </c>
      <c r="M11" s="56" t="str">
        <f>IF(COUNTIFS('LANÇAMENTOS DIÁRIOS'!$G$5:$G$500,"D",'LANÇAMENTOS DIÁRIOS'!$C$5:$C$500,$A11,'LANÇAMENTOS DIÁRIOS'!$O$5:$O$500,"&lt;=101699",'LANÇAMENTOS DIÁRIOS'!$P$5:$P$500,"&gt;=101600")&gt;0,"X","")</f>
      </c>
      <c r="N11" s="56" t="str">
        <f>IF(COUNTIFS('LANÇAMENTOS DIÁRIOS'!$G$5:$G$500,"D",'LANÇAMENTOS DIÁRIOS'!$C$5:$C$500,$A11,'LANÇAMENTOS DIÁRIOS'!$O$5:$O$500,"&lt;=101799",'LANÇAMENTOS DIÁRIOS'!$P$5:$P$500,"&gt;=101700")&gt;0,"X","")</f>
      </c>
      <c r="O11" s="56" t="str">
        <f>IF(COUNTIFS('LANÇAMENTOS DIÁRIOS'!$G$5:$G$500,"D",'LANÇAMENTOS DIÁRIOS'!$C$5:$C$500,$A11,'LANÇAMENTOS DIÁRIOS'!$O$5:$O$500,"&lt;=101899",'LANÇAMENTOS DIÁRIOS'!$P$5:$P$500,"&gt;=101800")&gt;0,"X","")</f>
      </c>
      <c r="P11" s="56" t="str">
        <f>IF(COUNTIFS('LANÇAMENTOS DIÁRIOS'!$G$5:$G$500,"D",'LANÇAMENTOS DIÁRIOS'!$C$5:$C$500,$A11,'LANÇAMENTOS DIÁRIOS'!$O$5:$O$500,"&lt;=101999",'LANÇAMENTOS DIÁRIOS'!$P$5:$P$500,"&gt;=101900")&gt;0,"X","")</f>
      </c>
      <c r="Q11" s="56" t="str">
        <f>IF(COUNTIFS('LANÇAMENTOS DIÁRIOS'!$G$5:$G$500,"D",'LANÇAMENTOS DIÁRIOS'!$C$5:$C$500,$A11,'LANÇAMENTOS DIÁRIOS'!$O$5:$O$500,"&lt;=102099",'LANÇAMENTOS DIÁRIOS'!$P$5:$P$500,"&gt;=102000")&gt;0,"X","")</f>
      </c>
      <c r="R11" s="56" t="str">
        <f>IF(COUNTIFS('LANÇAMENTOS DIÁRIOS'!$G$5:$G$500,"D",'LANÇAMENTOS DIÁRIOS'!$C$5:$C$500,$A11,'LANÇAMENTOS DIÁRIOS'!$O$5:$O$500,"&lt;=102199",'LANÇAMENTOS DIÁRIOS'!$P$5:$P$500,"&gt;=102100")&gt;0,"X","")</f>
      </c>
      <c r="S11" s="56" t="str">
        <f>IF(COUNTIFS('LANÇAMENTOS DIÁRIOS'!$G$5:$G$500,"D",'LANÇAMENTOS DIÁRIOS'!$C$5:$C$500,$A11,'LANÇAMENTOS DIÁRIOS'!$O$5:$O$500,"&lt;=102299",'LANÇAMENTOS DIÁRIOS'!$P$5:$P$500,"&gt;=102200")&gt;0,"X","")</f>
      </c>
      <c r="T11" s="56" t="str">
        <f>IF(COUNTIFS('LANÇAMENTOS DIÁRIOS'!$G$5:$G$500,"D",'LANÇAMENTOS DIÁRIOS'!$C$5:$C$500,$A11,'LANÇAMENTOS DIÁRIOS'!$O$5:$O$500,"&lt;=102399",'LANÇAMENTOS DIÁRIOS'!$P$5:$P$500,"&gt;=102300")&gt;0,"X","")</f>
      </c>
      <c r="U11" s="56" t="str">
        <f>IF(COUNTIFS('LANÇAMENTOS DIÁRIOS'!$G$5:$G$500,"D",'LANÇAMENTOS DIÁRIOS'!$C$5:$C$500,$A11,'LANÇAMENTOS DIÁRIOS'!$O$5:$O$500,"&lt;=102499",'LANÇAMENTOS DIÁRIOS'!$P$5:$P$500,"&gt;=102400")&gt;0,"X","")</f>
      </c>
      <c r="V11" s="56" t="str">
        <f>IF(COUNTIFS('LANÇAMENTOS DIÁRIOS'!$G$5:$G$500,"D",'LANÇAMENTOS DIÁRIOS'!$C$5:$C$500,$A11,'LANÇAMENTOS DIÁRIOS'!$O$5:$O$500,"&lt;=102599",'LANÇAMENTOS DIÁRIOS'!$P$5:$P$500,"&gt;=102500")&gt;0,"X","")</f>
      </c>
      <c r="W11" s="56" t="str">
        <f>IF(COUNTIFS('LANÇAMENTOS DIÁRIOS'!$G$5:$G$500,"D",'LANÇAMENTOS DIÁRIOS'!$C$5:$C$500,$A11,'LANÇAMENTOS DIÁRIOS'!$O$5:$O$500,"&lt;=102699",'LANÇAMENTOS DIÁRIOS'!$P$5:$P$500,"&gt;=102600")&gt;0,"X","")</f>
      </c>
      <c r="X11" s="56" t="str">
        <f>IF(COUNTIFS('LANÇAMENTOS DIÁRIOS'!$G$5:$G$500,"D",'LANÇAMENTOS DIÁRIOS'!$C$5:$C$500,$A11,'LANÇAMENTOS DIÁRIOS'!$O$5:$O$500,"&lt;=102799",'LANÇAMENTOS DIÁRIOS'!$P$5:$P$500,"&gt;=102700")&gt;0,"X","")</f>
      </c>
      <c r="Y11" s="56" t="str">
        <f>IF(COUNTIFS('LANÇAMENTOS DIÁRIOS'!$G$5:$G$500,"D",'LANÇAMENTOS DIÁRIOS'!$C$5:$C$500,$A11,'LANÇAMENTOS DIÁRIOS'!$O$5:$O$500,"&lt;=102899",'LANÇAMENTOS DIÁRIOS'!$P$5:$P$500,"&gt;=102800")&gt;0,"X","")</f>
      </c>
      <c r="Z11" s="56" t="str">
        <f>IF(COUNTIFS('LANÇAMENTOS DIÁRIOS'!$G$5:$G$500,"D",'LANÇAMENTOS DIÁRIOS'!$C$5:$C$500,$A11,'LANÇAMENTOS DIÁRIOS'!$O$5:$O$500,"&lt;=102999",'LANÇAMENTOS DIÁRIOS'!$P$5:$P$500,"&gt;=102900")&gt;0,"X","")</f>
      </c>
      <c r="AA11" s="56" t="str">
        <f>IF(COUNTIFS('LANÇAMENTOS DIÁRIOS'!$G$5:$G$500,"D",'LANÇAMENTOS DIÁRIOS'!$C$5:$C$500,$A11,'LANÇAMENTOS DIÁRIOS'!$O$5:$O$500,"&lt;=103099",'LANÇAMENTOS DIÁRIOS'!$P$5:$P$500,"&gt;=103000")&gt;0,"X","")</f>
      </c>
      <c r="AB11" s="56" t="str">
        <f>IF(COUNTIFS('LANÇAMENTOS DIÁRIOS'!$G$5:$G$500,"D",'LANÇAMENTOS DIÁRIOS'!$C$5:$C$500,$A11,'LANÇAMENTOS DIÁRIOS'!$O$5:$O$500,"&lt;=103199",'LANÇAMENTOS DIÁRIOS'!$P$5:$P$500,"&gt;=103100")&gt;0,"X","")</f>
      </c>
      <c r="AC11" s="56" t="str">
        <f>IF(COUNTIFS('LANÇAMENTOS DIÁRIOS'!$G$5:$G$500,"D",'LANÇAMENTOS DIÁRIOS'!$C$5:$C$500,$A11,'LANÇAMENTOS DIÁRIOS'!$O$5:$O$500,"&lt;=103299",'LANÇAMENTOS DIÁRIOS'!$P$5:$P$500,"&gt;=103200")&gt;0,"X","")</f>
      </c>
      <c r="AD11" s="56" t="str">
        <f>IF(COUNTIFS('LANÇAMENTOS DIÁRIOS'!$G$5:$G$500,"D",'LANÇAMENTOS DIÁRIOS'!$C$5:$C$500,$A11,'LANÇAMENTOS DIÁRIOS'!$O$5:$O$500,"&lt;=103399",'LANÇAMENTOS DIÁRIOS'!$P$5:$P$500,"&gt;=103300")&gt;0,"X","")</f>
      </c>
      <c r="AE11" s="56" t="str">
        <f>IF(COUNTIFS('LANÇAMENTOS DIÁRIOS'!$G$5:$G$500,"D",'LANÇAMENTOS DIÁRIOS'!$C$5:$C$500,$A11,'LANÇAMENTOS DIÁRIOS'!$O$5:$O$500,"&lt;=103499",'LANÇAMENTOS DIÁRIOS'!$P$5:$P$500,"&gt;=103400")&gt;0,"X","")</f>
      </c>
      <c r="AF11" s="56" t="str">
        <f>IF(COUNTIFS('LANÇAMENTOS DIÁRIOS'!$G$5:$G$500,"D",'LANÇAMENTOS DIÁRIOS'!$C$5:$C$500,$A11,'LANÇAMENTOS DIÁRIOS'!$O$5:$O$500,"&lt;=103599",'LANÇAMENTOS DIÁRIOS'!$P$5:$P$500,"&gt;=103500")&gt;0,"X","")</f>
      </c>
      <c r="AG11" s="56" t="str">
        <f>IF(COUNTIFS('LANÇAMENTOS DIÁRIOS'!$G$5:$G$500,"D",'LANÇAMENTOS DIÁRIOS'!$C$5:$C$500,$A11,'LANÇAMENTOS DIÁRIOS'!$O$5:$O$500,"&lt;=103699",'LANÇAMENTOS DIÁRIOS'!$P$5:$P$500,"&gt;=103600")&gt;0,"X","")</f>
      </c>
      <c r="AH11" s="56" t="str">
        <f>IF(COUNTIFS('LANÇAMENTOS DIÁRIOS'!$G$5:$G$500,"D",'LANÇAMENTOS DIÁRIOS'!$C$5:$C$500,$A11,'LANÇAMENTOS DIÁRIOS'!$O$5:$O$500,"&lt;=103799",'LANÇAMENTOS DIÁRIOS'!$P$5:$P$500,"&gt;=103700")&gt;0,"X","")</f>
      </c>
      <c r="AI11" s="56" t="str">
        <f>IF(COUNTIFS('LANÇAMENTOS DIÁRIOS'!$G$5:$G$500,"D",'LANÇAMENTOS DIÁRIOS'!$C$5:$C$500,$A11,'LANÇAMENTOS DIÁRIOS'!$O$5:$O$500,"&lt;=103899",'LANÇAMENTOS DIÁRIOS'!$P$5:$P$500,"&gt;=103800")&gt;0,"X","")</f>
      </c>
      <c r="AJ11" s="56" t="str">
        <f>IF(COUNTIFS('LANÇAMENTOS DIÁRIOS'!$G$5:$G$500,"D",'LANÇAMENTOS DIÁRIOS'!$C$5:$C$500,$A11,'LANÇAMENTOS DIÁRIOS'!$O$5:$O$500,"&lt;=103999",'LANÇAMENTOS DIÁRIOS'!$P$5:$P$500,"&gt;=103900")&gt;0,"X","")</f>
      </c>
      <c r="AK11" s="56" t="str">
        <f>IF(COUNTIFS('LANÇAMENTOS DIÁRIOS'!$G$5:$G$500,"D",'LANÇAMENTOS DIÁRIOS'!$C$5:$C$500,$A11,'LANÇAMENTOS DIÁRIOS'!$O$5:$O$500,"&lt;=104099",'LANÇAMENTOS DIÁRIOS'!$P$5:$P$500,"&gt;=104000")&gt;0,"X","")</f>
      </c>
      <c r="AL11" s="56" t="str">
        <f>IF(COUNTIFS('LANÇAMENTOS DIÁRIOS'!$G$5:$G$500,"D",'LANÇAMENTOS DIÁRIOS'!$C$5:$C$500,$A11,'LANÇAMENTOS DIÁRIOS'!$O$5:$O$500,"&lt;=104199",'LANÇAMENTOS DIÁRIOS'!$P$5:$P$500,"&gt;=104100")&gt;0,"X","")</f>
      </c>
      <c r="AM11" s="56" t="str">
        <f>IF(COUNTIFS('LANÇAMENTOS DIÁRIOS'!$G$5:$G$500,"D",'LANÇAMENTOS DIÁRIOS'!$C$5:$C$500,$A11,'LANÇAMENTOS DIÁRIOS'!$O$5:$O$500,"&lt;=104299",'LANÇAMENTOS DIÁRIOS'!$P$5:$P$500,"&gt;=104200")&gt;0,"X","")</f>
      </c>
      <c r="AN11" s="56" t="str">
        <f>IF(COUNTIFS('LANÇAMENTOS DIÁRIOS'!$G$5:$G$500,"D",'LANÇAMENTOS DIÁRIOS'!$C$5:$C$500,$A11,'LANÇAMENTOS DIÁRIOS'!$O$5:$O$500,"&lt;=104399",'LANÇAMENTOS DIÁRIOS'!$P$5:$P$500,"&gt;=104300")&gt;0,"X","")</f>
      </c>
      <c r="AO11" s="56" t="str">
        <f>IF(COUNTIFS('LANÇAMENTOS DIÁRIOS'!$G$5:$G$500,"D",'LANÇAMENTOS DIÁRIOS'!$C$5:$C$500,$A11,'LANÇAMENTOS DIÁRIOS'!$O$5:$O$500,"&lt;=104499",'LANÇAMENTOS DIÁRIOS'!$P$5:$P$500,"&gt;=104400")&gt;0,"X","")</f>
      </c>
      <c r="AP11" s="56" t="str">
        <f>IF(COUNTIFS('LANÇAMENTOS DIÁRIOS'!$G$5:$G$500,"D",'LANÇAMENTOS DIÁRIOS'!$C$5:$C$500,$A11,'LANÇAMENTOS DIÁRIOS'!$O$5:$O$500,"&lt;=104599",'LANÇAMENTOS DIÁRIOS'!$P$5:$P$500,"&gt;=104500")&gt;0,"X","")</f>
      </c>
      <c r="AQ11" s="56" t="str">
        <f>IF(COUNTIFS('LANÇAMENTOS DIÁRIOS'!$G$5:$G$500,"D",'LANÇAMENTOS DIÁRIOS'!$C$5:$C$500,$A11,'LANÇAMENTOS DIÁRIOS'!$O$5:$O$500,"&lt;=104699",'LANÇAMENTOS DIÁRIOS'!$P$5:$P$500,"&gt;=104600")&gt;0,"X","")</f>
      </c>
      <c r="AR11" s="56" t="str">
        <f>IF(COUNTIFS('LANÇAMENTOS DIÁRIOS'!$G$5:$G$500,"D",'LANÇAMENTOS DIÁRIOS'!$C$5:$C$500,$A11,'LANÇAMENTOS DIÁRIOS'!$O$5:$O$500,"&lt;=104799",'LANÇAMENTOS DIÁRIOS'!$P$5:$P$500,"&gt;=104700")&gt;0,"X","")</f>
      </c>
      <c r="AS11" s="56" t="str">
        <f>IF(COUNTIFS('LANÇAMENTOS DIÁRIOS'!$G$5:$G$500,"D",'LANÇAMENTOS DIÁRIOS'!$C$5:$C$500,$A11,'LANÇAMENTOS DIÁRIOS'!$O$5:$O$500,"&lt;=104899",'LANÇAMENTOS DIÁRIOS'!$P$5:$P$500,"&gt;=104800")&gt;0,"X","")</f>
      </c>
      <c r="AT11" s="56" t="str">
        <f>IF(COUNTIFS('LANÇAMENTOS DIÁRIOS'!$G$5:$G$500,"D",'LANÇAMENTOS DIÁRIOS'!$C$5:$C$500,$A11,'LANÇAMENTOS DIÁRIOS'!$O$5:$O$500,"&lt;=104999",'LANÇAMENTOS DIÁRIOS'!$P$5:$P$500,"&gt;=104900")&gt;0,"X","")</f>
      </c>
      <c r="AU11" s="56" t="str">
        <f>IF(COUNTIFS('LANÇAMENTOS DIÁRIOS'!$G$5:$G$500,"D",'LANÇAMENTOS DIÁRIOS'!$C$5:$C$500,$A11,'LANÇAMENTOS DIÁRIOS'!$O$5:$O$500,"&lt;=105099",'LANÇAMENTOS DIÁRIOS'!$P$5:$P$500,"&gt;=105000")&gt;0,"X","")</f>
      </c>
      <c r="AV11" s="56" t="str">
        <f>IF(COUNTIFS('LANÇAMENTOS DIÁRIOS'!$G$5:$G$500,"D",'LANÇAMENTOS DIÁRIOS'!$C$5:$C$500,$A11,'LANÇAMENTOS DIÁRIOS'!$O$5:$O$500,"&lt;=105199",'LANÇAMENTOS DIÁRIOS'!$P$5:$P$500,"&gt;=105100")&gt;0,"X","")</f>
      </c>
      <c r="AW11" s="56" t="str">
        <f>IF(COUNTIFS('LANÇAMENTOS DIÁRIOS'!$G$5:$G$500,"D",'LANÇAMENTOS DIÁRIOS'!$C$5:$C$500,$A11,'LANÇAMENTOS DIÁRIOS'!$O$5:$O$500,"&lt;=105299",'LANÇAMENTOS DIÁRIOS'!$P$5:$P$500,"&gt;=105200")&gt;0,"X","")</f>
      </c>
      <c r="AX11" s="56" t="str">
        <f>IF(COUNTIFS('LANÇAMENTOS DIÁRIOS'!$G$5:$G$500,"D",'LANÇAMENTOS DIÁRIOS'!$C$5:$C$500,$A11,'LANÇAMENTOS DIÁRIOS'!$O$5:$O$500,"&lt;=105399",'LANÇAMENTOS DIÁRIOS'!$P$5:$P$500,"&gt;=105300")&gt;0,"X","")</f>
      </c>
      <c r="AY11" s="56" t="str">
        <f>IF(COUNTIFS('LANÇAMENTOS DIÁRIOS'!$G$5:$G$500,"D",'LANÇAMENTOS DIÁRIOS'!$C$5:$C$500,$A11,'LANÇAMENTOS DIÁRIOS'!$O$5:$O$500,"&lt;=105499",'LANÇAMENTOS DIÁRIOS'!$P$5:$P$500,"&gt;=105400")&gt;0,"X","")</f>
      </c>
      <c r="AZ11" s="56" t="str">
        <f>IF(COUNTIFS('LANÇAMENTOS DIÁRIOS'!$G$5:$G$500,"D",'LANÇAMENTOS DIÁRIOS'!$C$5:$C$500,$A11,'LANÇAMENTOS DIÁRIOS'!$O$5:$O$500,"&lt;=105500",'LANÇAMENTOS DIÁRIOS'!$P$5:$P$500,"&gt;=105500")&gt;0,"X","")</f>
      </c>
    </row>
    <row r="12">
      <c r="A12" s="51" t="str">
        <v>Demolição de dispositivos de concreto simples</v>
      </c>
      <c r="B12" s="56" t="str">
        <f>IF(COUNTIFS('LANÇAMENTOS DIÁRIOS'!$G$5:$G$500,"D",'LANÇAMENTOS DIÁRIOS'!$C$5:$C$500,$A12,'LANÇAMENTOS DIÁRIOS'!$O$5:$O$500,"&lt;=100599",'LANÇAMENTOS DIÁRIOS'!$P$5:$P$500,"&gt;=100500")&gt;0,"X","")</f>
      </c>
      <c r="C12" s="56" t="str">
        <f>IF(COUNTIFS('LANÇAMENTOS DIÁRIOS'!$G$5:$G$500,"D",'LANÇAMENTOS DIÁRIOS'!$C$5:$C$500,$A12,'LANÇAMENTOS DIÁRIOS'!$O$5:$O$500,"&lt;=100699",'LANÇAMENTOS DIÁRIOS'!$P$5:$P$500,"&gt;=100600")&gt;0,"X","")</f>
      </c>
      <c r="D12" s="56" t="str">
        <f>IF(COUNTIFS('LANÇAMENTOS DIÁRIOS'!$G$5:$G$500,"D",'LANÇAMENTOS DIÁRIOS'!$C$5:$C$500,$A12,'LANÇAMENTOS DIÁRIOS'!$O$5:$O$500,"&lt;=100799",'LANÇAMENTOS DIÁRIOS'!$P$5:$P$500,"&gt;=100700")&gt;0,"X","")</f>
      </c>
      <c r="E12" s="56" t="str">
        <f>IF(COUNTIFS('LANÇAMENTOS DIÁRIOS'!$G$5:$G$500,"D",'LANÇAMENTOS DIÁRIOS'!$C$5:$C$500,$A12,'LANÇAMENTOS DIÁRIOS'!$O$5:$O$500,"&lt;=100899",'LANÇAMENTOS DIÁRIOS'!$P$5:$P$500,"&gt;=100800")&gt;0,"X","")</f>
      </c>
      <c r="F12" s="56" t="str">
        <f>IF(COUNTIFS('LANÇAMENTOS DIÁRIOS'!$G$5:$G$500,"D",'LANÇAMENTOS DIÁRIOS'!$C$5:$C$500,$A12,'LANÇAMENTOS DIÁRIOS'!$O$5:$O$500,"&lt;=100999",'LANÇAMENTOS DIÁRIOS'!$P$5:$P$500,"&gt;=100900")&gt;0,"X","")</f>
      </c>
      <c r="G12" s="56" t="str">
        <f>IF(COUNTIFS('LANÇAMENTOS DIÁRIOS'!$G$5:$G$500,"D",'LANÇAMENTOS DIÁRIOS'!$C$5:$C$500,$A12,'LANÇAMENTOS DIÁRIOS'!$O$5:$O$500,"&lt;=101099",'LANÇAMENTOS DIÁRIOS'!$P$5:$P$500,"&gt;=101000")&gt;0,"X","")</f>
      </c>
      <c r="H12" s="56" t="str">
        <f>IF(COUNTIFS('LANÇAMENTOS DIÁRIOS'!$G$5:$G$500,"D",'LANÇAMENTOS DIÁRIOS'!$C$5:$C$500,$A12,'LANÇAMENTOS DIÁRIOS'!$O$5:$O$500,"&lt;=101199",'LANÇAMENTOS DIÁRIOS'!$P$5:$P$500,"&gt;=101100")&gt;0,"X","")</f>
      </c>
      <c r="I12" s="56" t="str">
        <f>IF(COUNTIFS('LANÇAMENTOS DIÁRIOS'!$G$5:$G$500,"D",'LANÇAMENTOS DIÁRIOS'!$C$5:$C$500,$A12,'LANÇAMENTOS DIÁRIOS'!$O$5:$O$500,"&lt;=101299",'LANÇAMENTOS DIÁRIOS'!$P$5:$P$500,"&gt;=101200")&gt;0,"X","")</f>
      </c>
      <c r="J12" s="56" t="str">
        <f>IF(COUNTIFS('LANÇAMENTOS DIÁRIOS'!$G$5:$G$500,"D",'LANÇAMENTOS DIÁRIOS'!$C$5:$C$500,$A12,'LANÇAMENTOS DIÁRIOS'!$O$5:$O$500,"&lt;=101399",'LANÇAMENTOS DIÁRIOS'!$P$5:$P$500,"&gt;=101300")&gt;0,"X","")</f>
      </c>
      <c r="K12" s="56" t="str">
        <f>IF(COUNTIFS('LANÇAMENTOS DIÁRIOS'!$G$5:$G$500,"D",'LANÇAMENTOS DIÁRIOS'!$C$5:$C$500,$A12,'LANÇAMENTOS DIÁRIOS'!$O$5:$O$500,"&lt;=101499",'LANÇAMENTOS DIÁRIOS'!$P$5:$P$500,"&gt;=101400")&gt;0,"X","")</f>
      </c>
      <c r="L12" s="56" t="str">
        <f>IF(COUNTIFS('LANÇAMENTOS DIÁRIOS'!$G$5:$G$500,"D",'LANÇAMENTOS DIÁRIOS'!$C$5:$C$500,$A12,'LANÇAMENTOS DIÁRIOS'!$O$5:$O$500,"&lt;=101599",'LANÇAMENTOS DIÁRIOS'!$P$5:$P$500,"&gt;=101500")&gt;0,"X","")</f>
      </c>
      <c r="M12" s="56" t="str">
        <f>IF(COUNTIFS('LANÇAMENTOS DIÁRIOS'!$G$5:$G$500,"D",'LANÇAMENTOS DIÁRIOS'!$C$5:$C$500,$A12,'LANÇAMENTOS DIÁRIOS'!$O$5:$O$500,"&lt;=101699",'LANÇAMENTOS DIÁRIOS'!$P$5:$P$500,"&gt;=101600")&gt;0,"X","")</f>
      </c>
      <c r="N12" s="56" t="str">
        <f>IF(COUNTIFS('LANÇAMENTOS DIÁRIOS'!$G$5:$G$500,"D",'LANÇAMENTOS DIÁRIOS'!$C$5:$C$500,$A12,'LANÇAMENTOS DIÁRIOS'!$O$5:$O$500,"&lt;=101799",'LANÇAMENTOS DIÁRIOS'!$P$5:$P$500,"&gt;=101700")&gt;0,"X","")</f>
      </c>
      <c r="O12" s="56" t="str">
        <f>IF(COUNTIFS('LANÇAMENTOS DIÁRIOS'!$G$5:$G$500,"D",'LANÇAMENTOS DIÁRIOS'!$C$5:$C$500,$A12,'LANÇAMENTOS DIÁRIOS'!$O$5:$O$500,"&lt;=101899",'LANÇAMENTOS DIÁRIOS'!$P$5:$P$500,"&gt;=101800")&gt;0,"X","")</f>
      </c>
      <c r="P12" s="56" t="str">
        <f>IF(COUNTIFS('LANÇAMENTOS DIÁRIOS'!$G$5:$G$500,"D",'LANÇAMENTOS DIÁRIOS'!$C$5:$C$500,$A12,'LANÇAMENTOS DIÁRIOS'!$O$5:$O$500,"&lt;=101999",'LANÇAMENTOS DIÁRIOS'!$P$5:$P$500,"&gt;=101900")&gt;0,"X","")</f>
      </c>
      <c r="Q12" s="56" t="str">
        <f>IF(COUNTIFS('LANÇAMENTOS DIÁRIOS'!$G$5:$G$500,"D",'LANÇAMENTOS DIÁRIOS'!$C$5:$C$500,$A12,'LANÇAMENTOS DIÁRIOS'!$O$5:$O$500,"&lt;=102099",'LANÇAMENTOS DIÁRIOS'!$P$5:$P$500,"&gt;=102000")&gt;0,"X","")</f>
      </c>
      <c r="R12" s="56" t="str">
        <f>IF(COUNTIFS('LANÇAMENTOS DIÁRIOS'!$G$5:$G$500,"D",'LANÇAMENTOS DIÁRIOS'!$C$5:$C$500,$A12,'LANÇAMENTOS DIÁRIOS'!$O$5:$O$500,"&lt;=102199",'LANÇAMENTOS DIÁRIOS'!$P$5:$P$500,"&gt;=102100")&gt;0,"X","")</f>
      </c>
      <c r="S12" s="56" t="str">
        <f>IF(COUNTIFS('LANÇAMENTOS DIÁRIOS'!$G$5:$G$500,"D",'LANÇAMENTOS DIÁRIOS'!$C$5:$C$500,$A12,'LANÇAMENTOS DIÁRIOS'!$O$5:$O$500,"&lt;=102299",'LANÇAMENTOS DIÁRIOS'!$P$5:$P$500,"&gt;=102200")&gt;0,"X","")</f>
      </c>
      <c r="T12" s="56" t="str">
        <f>IF(COUNTIFS('LANÇAMENTOS DIÁRIOS'!$G$5:$G$500,"D",'LANÇAMENTOS DIÁRIOS'!$C$5:$C$500,$A12,'LANÇAMENTOS DIÁRIOS'!$O$5:$O$500,"&lt;=102399",'LANÇAMENTOS DIÁRIOS'!$P$5:$P$500,"&gt;=102300")&gt;0,"X","")</f>
      </c>
      <c r="U12" s="56" t="str">
        <f>IF(COUNTIFS('LANÇAMENTOS DIÁRIOS'!$G$5:$G$500,"D",'LANÇAMENTOS DIÁRIOS'!$C$5:$C$500,$A12,'LANÇAMENTOS DIÁRIOS'!$O$5:$O$500,"&lt;=102499",'LANÇAMENTOS DIÁRIOS'!$P$5:$P$500,"&gt;=102400")&gt;0,"X","")</f>
      </c>
      <c r="V12" s="56" t="str">
        <f>IF(COUNTIFS('LANÇAMENTOS DIÁRIOS'!$G$5:$G$500,"D",'LANÇAMENTOS DIÁRIOS'!$C$5:$C$500,$A12,'LANÇAMENTOS DIÁRIOS'!$O$5:$O$500,"&lt;=102599",'LANÇAMENTOS DIÁRIOS'!$P$5:$P$500,"&gt;=102500")&gt;0,"X","")</f>
      </c>
      <c r="W12" s="56" t="str">
        <f>IF(COUNTIFS('LANÇAMENTOS DIÁRIOS'!$G$5:$G$500,"D",'LANÇAMENTOS DIÁRIOS'!$C$5:$C$500,$A12,'LANÇAMENTOS DIÁRIOS'!$O$5:$O$500,"&lt;=102699",'LANÇAMENTOS DIÁRIOS'!$P$5:$P$500,"&gt;=102600")&gt;0,"X","")</f>
      </c>
      <c r="X12" s="56" t="str">
        <f>IF(COUNTIFS('LANÇAMENTOS DIÁRIOS'!$G$5:$G$500,"D",'LANÇAMENTOS DIÁRIOS'!$C$5:$C$500,$A12,'LANÇAMENTOS DIÁRIOS'!$O$5:$O$500,"&lt;=102799",'LANÇAMENTOS DIÁRIOS'!$P$5:$P$500,"&gt;=102700")&gt;0,"X","")</f>
      </c>
      <c r="Y12" s="56" t="str">
        <f>IF(COUNTIFS('LANÇAMENTOS DIÁRIOS'!$G$5:$G$500,"D",'LANÇAMENTOS DIÁRIOS'!$C$5:$C$500,$A12,'LANÇAMENTOS DIÁRIOS'!$O$5:$O$500,"&lt;=102899",'LANÇAMENTOS DIÁRIOS'!$P$5:$P$500,"&gt;=102800")&gt;0,"X","")</f>
      </c>
      <c r="Z12" s="56" t="str">
        <f>IF(COUNTIFS('LANÇAMENTOS DIÁRIOS'!$G$5:$G$500,"D",'LANÇAMENTOS DIÁRIOS'!$C$5:$C$500,$A12,'LANÇAMENTOS DIÁRIOS'!$O$5:$O$500,"&lt;=102999",'LANÇAMENTOS DIÁRIOS'!$P$5:$P$500,"&gt;=102900")&gt;0,"X","")</f>
      </c>
      <c r="AA12" s="56" t="str">
        <f>IF(COUNTIFS('LANÇAMENTOS DIÁRIOS'!$G$5:$G$500,"D",'LANÇAMENTOS DIÁRIOS'!$C$5:$C$500,$A12,'LANÇAMENTOS DIÁRIOS'!$O$5:$O$500,"&lt;=103099",'LANÇAMENTOS DIÁRIOS'!$P$5:$P$500,"&gt;=103000")&gt;0,"X","")</f>
      </c>
      <c r="AB12" s="56" t="str">
        <f>IF(COUNTIFS('LANÇAMENTOS DIÁRIOS'!$G$5:$G$500,"D",'LANÇAMENTOS DIÁRIOS'!$C$5:$C$500,$A12,'LANÇAMENTOS DIÁRIOS'!$O$5:$O$500,"&lt;=103199",'LANÇAMENTOS DIÁRIOS'!$P$5:$P$500,"&gt;=103100")&gt;0,"X","")</f>
      </c>
      <c r="AC12" s="56" t="str">
        <f>IF(COUNTIFS('LANÇAMENTOS DIÁRIOS'!$G$5:$G$500,"D",'LANÇAMENTOS DIÁRIOS'!$C$5:$C$500,$A12,'LANÇAMENTOS DIÁRIOS'!$O$5:$O$500,"&lt;=103299",'LANÇAMENTOS DIÁRIOS'!$P$5:$P$500,"&gt;=103200")&gt;0,"X","")</f>
      </c>
      <c r="AD12" s="56" t="str">
        <f>IF(COUNTIFS('LANÇAMENTOS DIÁRIOS'!$G$5:$G$500,"D",'LANÇAMENTOS DIÁRIOS'!$C$5:$C$500,$A12,'LANÇAMENTOS DIÁRIOS'!$O$5:$O$500,"&lt;=103399",'LANÇAMENTOS DIÁRIOS'!$P$5:$P$500,"&gt;=103300")&gt;0,"X","")</f>
      </c>
      <c r="AE12" s="56" t="str">
        <f>IF(COUNTIFS('LANÇAMENTOS DIÁRIOS'!$G$5:$G$500,"D",'LANÇAMENTOS DIÁRIOS'!$C$5:$C$500,$A12,'LANÇAMENTOS DIÁRIOS'!$O$5:$O$500,"&lt;=103499",'LANÇAMENTOS DIÁRIOS'!$P$5:$P$500,"&gt;=103400")&gt;0,"X","")</f>
      </c>
      <c r="AF12" s="56" t="str">
        <f>IF(COUNTIFS('LANÇAMENTOS DIÁRIOS'!$G$5:$G$500,"D",'LANÇAMENTOS DIÁRIOS'!$C$5:$C$500,$A12,'LANÇAMENTOS DIÁRIOS'!$O$5:$O$500,"&lt;=103599",'LANÇAMENTOS DIÁRIOS'!$P$5:$P$500,"&gt;=103500")&gt;0,"X","")</f>
      </c>
      <c r="AG12" s="56" t="str">
        <f>IF(COUNTIFS('LANÇAMENTOS DIÁRIOS'!$G$5:$G$500,"D",'LANÇAMENTOS DIÁRIOS'!$C$5:$C$500,$A12,'LANÇAMENTOS DIÁRIOS'!$O$5:$O$500,"&lt;=103699",'LANÇAMENTOS DIÁRIOS'!$P$5:$P$500,"&gt;=103600")&gt;0,"X","")</f>
      </c>
      <c r="AH12" s="56" t="str">
        <f>IF(COUNTIFS('LANÇAMENTOS DIÁRIOS'!$G$5:$G$500,"D",'LANÇAMENTOS DIÁRIOS'!$C$5:$C$500,$A12,'LANÇAMENTOS DIÁRIOS'!$O$5:$O$500,"&lt;=103799",'LANÇAMENTOS DIÁRIOS'!$P$5:$P$500,"&gt;=103700")&gt;0,"X","")</f>
      </c>
      <c r="AI12" s="56" t="str">
        <f>IF(COUNTIFS('LANÇAMENTOS DIÁRIOS'!$G$5:$G$500,"D",'LANÇAMENTOS DIÁRIOS'!$C$5:$C$500,$A12,'LANÇAMENTOS DIÁRIOS'!$O$5:$O$500,"&lt;=103899",'LANÇAMENTOS DIÁRIOS'!$P$5:$P$500,"&gt;=103800")&gt;0,"X","")</f>
      </c>
      <c r="AJ12" s="56" t="str">
        <f>IF(COUNTIFS('LANÇAMENTOS DIÁRIOS'!$G$5:$G$500,"D",'LANÇAMENTOS DIÁRIOS'!$C$5:$C$500,$A12,'LANÇAMENTOS DIÁRIOS'!$O$5:$O$500,"&lt;=103999",'LANÇAMENTOS DIÁRIOS'!$P$5:$P$500,"&gt;=103900")&gt;0,"X","")</f>
      </c>
      <c r="AK12" s="56" t="str">
        <f>IF(COUNTIFS('LANÇAMENTOS DIÁRIOS'!$G$5:$G$500,"D",'LANÇAMENTOS DIÁRIOS'!$C$5:$C$500,$A12,'LANÇAMENTOS DIÁRIOS'!$O$5:$O$500,"&lt;=104099",'LANÇAMENTOS DIÁRIOS'!$P$5:$P$500,"&gt;=104000")&gt;0,"X","")</f>
      </c>
      <c r="AL12" s="56" t="str">
        <f>IF(COUNTIFS('LANÇAMENTOS DIÁRIOS'!$G$5:$G$500,"D",'LANÇAMENTOS DIÁRIOS'!$C$5:$C$500,$A12,'LANÇAMENTOS DIÁRIOS'!$O$5:$O$500,"&lt;=104199",'LANÇAMENTOS DIÁRIOS'!$P$5:$P$500,"&gt;=104100")&gt;0,"X","")</f>
      </c>
      <c r="AM12" s="56" t="str">
        <f>IF(COUNTIFS('LANÇAMENTOS DIÁRIOS'!$G$5:$G$500,"D",'LANÇAMENTOS DIÁRIOS'!$C$5:$C$500,$A12,'LANÇAMENTOS DIÁRIOS'!$O$5:$O$500,"&lt;=104299",'LANÇAMENTOS DIÁRIOS'!$P$5:$P$500,"&gt;=104200")&gt;0,"X","")</f>
      </c>
      <c r="AN12" s="56" t="str">
        <f>IF(COUNTIFS('LANÇAMENTOS DIÁRIOS'!$G$5:$G$500,"D",'LANÇAMENTOS DIÁRIOS'!$C$5:$C$500,$A12,'LANÇAMENTOS DIÁRIOS'!$O$5:$O$500,"&lt;=104399",'LANÇAMENTOS DIÁRIOS'!$P$5:$P$500,"&gt;=104300")&gt;0,"X","")</f>
      </c>
      <c r="AO12" s="56" t="str">
        <f>IF(COUNTIFS('LANÇAMENTOS DIÁRIOS'!$G$5:$G$500,"D",'LANÇAMENTOS DIÁRIOS'!$C$5:$C$500,$A12,'LANÇAMENTOS DIÁRIOS'!$O$5:$O$500,"&lt;=104499",'LANÇAMENTOS DIÁRIOS'!$P$5:$P$500,"&gt;=104400")&gt;0,"X","")</f>
      </c>
      <c r="AP12" s="56" t="str">
        <f>IF(COUNTIFS('LANÇAMENTOS DIÁRIOS'!$G$5:$G$500,"D",'LANÇAMENTOS DIÁRIOS'!$C$5:$C$500,$A12,'LANÇAMENTOS DIÁRIOS'!$O$5:$O$500,"&lt;=104599",'LANÇAMENTOS DIÁRIOS'!$P$5:$P$500,"&gt;=104500")&gt;0,"X","")</f>
      </c>
      <c r="AQ12" s="56" t="str">
        <f>IF(COUNTIFS('LANÇAMENTOS DIÁRIOS'!$G$5:$G$500,"D",'LANÇAMENTOS DIÁRIOS'!$C$5:$C$500,$A12,'LANÇAMENTOS DIÁRIOS'!$O$5:$O$500,"&lt;=104699",'LANÇAMENTOS DIÁRIOS'!$P$5:$P$500,"&gt;=104600")&gt;0,"X","")</f>
      </c>
      <c r="AR12" s="56" t="str">
        <f>IF(COUNTIFS('LANÇAMENTOS DIÁRIOS'!$G$5:$G$500,"D",'LANÇAMENTOS DIÁRIOS'!$C$5:$C$500,$A12,'LANÇAMENTOS DIÁRIOS'!$O$5:$O$500,"&lt;=104799",'LANÇAMENTOS DIÁRIOS'!$P$5:$P$500,"&gt;=104700")&gt;0,"X","")</f>
      </c>
      <c r="AS12" s="56" t="str">
        <f>IF(COUNTIFS('LANÇAMENTOS DIÁRIOS'!$G$5:$G$500,"D",'LANÇAMENTOS DIÁRIOS'!$C$5:$C$500,$A12,'LANÇAMENTOS DIÁRIOS'!$O$5:$O$500,"&lt;=104899",'LANÇAMENTOS DIÁRIOS'!$P$5:$P$500,"&gt;=104800")&gt;0,"X","")</f>
      </c>
      <c r="AT12" s="56" t="str">
        <f>IF(COUNTIFS('LANÇAMENTOS DIÁRIOS'!$G$5:$G$500,"D",'LANÇAMENTOS DIÁRIOS'!$C$5:$C$500,$A12,'LANÇAMENTOS DIÁRIOS'!$O$5:$O$500,"&lt;=104999",'LANÇAMENTOS DIÁRIOS'!$P$5:$P$500,"&gt;=104900")&gt;0,"X","")</f>
      </c>
      <c r="AU12" s="56" t="str">
        <f>IF(COUNTIFS('LANÇAMENTOS DIÁRIOS'!$G$5:$G$500,"D",'LANÇAMENTOS DIÁRIOS'!$C$5:$C$500,$A12,'LANÇAMENTOS DIÁRIOS'!$O$5:$O$500,"&lt;=105099",'LANÇAMENTOS DIÁRIOS'!$P$5:$P$500,"&gt;=105000")&gt;0,"X","")</f>
      </c>
      <c r="AV12" s="56" t="str">
        <f>IF(COUNTIFS('LANÇAMENTOS DIÁRIOS'!$G$5:$G$500,"D",'LANÇAMENTOS DIÁRIOS'!$C$5:$C$500,$A12,'LANÇAMENTOS DIÁRIOS'!$O$5:$O$500,"&lt;=105199",'LANÇAMENTOS DIÁRIOS'!$P$5:$P$500,"&gt;=105100")&gt;0,"X","")</f>
      </c>
      <c r="AW12" s="56" t="str">
        <f>IF(COUNTIFS('LANÇAMENTOS DIÁRIOS'!$G$5:$G$500,"D",'LANÇAMENTOS DIÁRIOS'!$C$5:$C$500,$A12,'LANÇAMENTOS DIÁRIOS'!$O$5:$O$500,"&lt;=105299",'LANÇAMENTOS DIÁRIOS'!$P$5:$P$500,"&gt;=105200")&gt;0,"X","")</f>
      </c>
      <c r="AX12" s="56" t="str">
        <f>IF(COUNTIFS('LANÇAMENTOS DIÁRIOS'!$G$5:$G$500,"D",'LANÇAMENTOS DIÁRIOS'!$C$5:$C$500,$A12,'LANÇAMENTOS DIÁRIOS'!$O$5:$O$500,"&lt;=105399",'LANÇAMENTOS DIÁRIOS'!$P$5:$P$500,"&gt;=105300")&gt;0,"X","")</f>
      </c>
      <c r="AY12" s="56" t="str">
        <f>IF(COUNTIFS('LANÇAMENTOS DIÁRIOS'!$G$5:$G$500,"D",'LANÇAMENTOS DIÁRIOS'!$C$5:$C$500,$A12,'LANÇAMENTOS DIÁRIOS'!$O$5:$O$500,"&lt;=105499",'LANÇAMENTOS DIÁRIOS'!$P$5:$P$500,"&gt;=105400")&gt;0,"X","")</f>
      </c>
      <c r="AZ12" s="56" t="str">
        <f>IF(COUNTIFS('LANÇAMENTOS DIÁRIOS'!$G$5:$G$500,"D",'LANÇAMENTOS DIÁRIOS'!$C$5:$C$500,$A12,'LANÇAMENTOS DIÁRIOS'!$O$5:$O$500,"&lt;=105500",'LANÇAMENTOS DIÁRIOS'!$P$5:$P$500,"&gt;=105500")&gt;0,"X","")</f>
      </c>
    </row>
    <row r="13">
      <c r="A13" s="51" t="str">
        <v>Remoção de barreira rígida de concreto</v>
      </c>
      <c r="B13" s="56" t="str">
        <f>IF(COUNTIFS('LANÇAMENTOS DIÁRIOS'!$G$5:$G$500,"D",'LANÇAMENTOS DIÁRIOS'!$C$5:$C$500,$A13,'LANÇAMENTOS DIÁRIOS'!$O$5:$O$500,"&lt;=100599",'LANÇAMENTOS DIÁRIOS'!$P$5:$P$500,"&gt;=100500")&gt;0,"X","")</f>
      </c>
      <c r="C13" s="56" t="str">
        <f>IF(COUNTIFS('LANÇAMENTOS DIÁRIOS'!$G$5:$G$500,"D",'LANÇAMENTOS DIÁRIOS'!$C$5:$C$500,$A13,'LANÇAMENTOS DIÁRIOS'!$O$5:$O$500,"&lt;=100699",'LANÇAMENTOS DIÁRIOS'!$P$5:$P$500,"&gt;=100600")&gt;0,"X","")</f>
      </c>
      <c r="D13" s="56" t="str">
        <f>IF(COUNTIFS('LANÇAMENTOS DIÁRIOS'!$G$5:$G$500,"D",'LANÇAMENTOS DIÁRIOS'!$C$5:$C$500,$A13,'LANÇAMENTOS DIÁRIOS'!$O$5:$O$500,"&lt;=100799",'LANÇAMENTOS DIÁRIOS'!$P$5:$P$500,"&gt;=100700")&gt;0,"X","")</f>
      </c>
      <c r="E13" s="56" t="str">
        <f>IF(COUNTIFS('LANÇAMENTOS DIÁRIOS'!$G$5:$G$500,"D",'LANÇAMENTOS DIÁRIOS'!$C$5:$C$500,$A13,'LANÇAMENTOS DIÁRIOS'!$O$5:$O$500,"&lt;=100899",'LANÇAMENTOS DIÁRIOS'!$P$5:$P$500,"&gt;=100800")&gt;0,"X","")</f>
      </c>
      <c r="F13" s="56" t="str">
        <f>IF(COUNTIFS('LANÇAMENTOS DIÁRIOS'!$G$5:$G$500,"D",'LANÇAMENTOS DIÁRIOS'!$C$5:$C$500,$A13,'LANÇAMENTOS DIÁRIOS'!$O$5:$O$500,"&lt;=100999",'LANÇAMENTOS DIÁRIOS'!$P$5:$P$500,"&gt;=100900")&gt;0,"X","")</f>
      </c>
      <c r="G13" s="56" t="str">
        <f>IF(COUNTIFS('LANÇAMENTOS DIÁRIOS'!$G$5:$G$500,"D",'LANÇAMENTOS DIÁRIOS'!$C$5:$C$500,$A13,'LANÇAMENTOS DIÁRIOS'!$O$5:$O$500,"&lt;=101099",'LANÇAMENTOS DIÁRIOS'!$P$5:$P$500,"&gt;=101000")&gt;0,"X","")</f>
      </c>
      <c r="H13" s="56" t="str">
        <f>IF(COUNTIFS('LANÇAMENTOS DIÁRIOS'!$G$5:$G$500,"D",'LANÇAMENTOS DIÁRIOS'!$C$5:$C$500,$A13,'LANÇAMENTOS DIÁRIOS'!$O$5:$O$500,"&lt;=101199",'LANÇAMENTOS DIÁRIOS'!$P$5:$P$500,"&gt;=101100")&gt;0,"X","")</f>
      </c>
      <c r="I13" s="56" t="str">
        <f>IF(COUNTIFS('LANÇAMENTOS DIÁRIOS'!$G$5:$G$500,"D",'LANÇAMENTOS DIÁRIOS'!$C$5:$C$500,$A13,'LANÇAMENTOS DIÁRIOS'!$O$5:$O$500,"&lt;=101299",'LANÇAMENTOS DIÁRIOS'!$P$5:$P$500,"&gt;=101200")&gt;0,"X","")</f>
      </c>
      <c r="J13" s="56" t="str">
        <f>IF(COUNTIFS('LANÇAMENTOS DIÁRIOS'!$G$5:$G$500,"D",'LANÇAMENTOS DIÁRIOS'!$C$5:$C$500,$A13,'LANÇAMENTOS DIÁRIOS'!$O$5:$O$500,"&lt;=101399",'LANÇAMENTOS DIÁRIOS'!$P$5:$P$500,"&gt;=101300")&gt;0,"X","")</f>
      </c>
      <c r="K13" s="56" t="str">
        <f>IF(COUNTIFS('LANÇAMENTOS DIÁRIOS'!$G$5:$G$500,"D",'LANÇAMENTOS DIÁRIOS'!$C$5:$C$500,$A13,'LANÇAMENTOS DIÁRIOS'!$O$5:$O$500,"&lt;=101499",'LANÇAMENTOS DIÁRIOS'!$P$5:$P$500,"&gt;=101400")&gt;0,"X","")</f>
      </c>
      <c r="L13" s="56" t="str">
        <f>IF(COUNTIFS('LANÇAMENTOS DIÁRIOS'!$G$5:$G$500,"D",'LANÇAMENTOS DIÁRIOS'!$C$5:$C$500,$A13,'LANÇAMENTOS DIÁRIOS'!$O$5:$O$500,"&lt;=101599",'LANÇAMENTOS DIÁRIOS'!$P$5:$P$500,"&gt;=101500")&gt;0,"X","")</f>
      </c>
      <c r="M13" s="56" t="str">
        <f>IF(COUNTIFS('LANÇAMENTOS DIÁRIOS'!$G$5:$G$500,"D",'LANÇAMENTOS DIÁRIOS'!$C$5:$C$500,$A13,'LANÇAMENTOS DIÁRIOS'!$O$5:$O$500,"&lt;=101699",'LANÇAMENTOS DIÁRIOS'!$P$5:$P$500,"&gt;=101600")&gt;0,"X","")</f>
      </c>
      <c r="N13" s="56" t="str">
        <f>IF(COUNTIFS('LANÇAMENTOS DIÁRIOS'!$G$5:$G$500,"D",'LANÇAMENTOS DIÁRIOS'!$C$5:$C$500,$A13,'LANÇAMENTOS DIÁRIOS'!$O$5:$O$500,"&lt;=101799",'LANÇAMENTOS DIÁRIOS'!$P$5:$P$500,"&gt;=101700")&gt;0,"X","")</f>
      </c>
      <c r="O13" s="56" t="str">
        <f>IF(COUNTIFS('LANÇAMENTOS DIÁRIOS'!$G$5:$G$500,"D",'LANÇAMENTOS DIÁRIOS'!$C$5:$C$500,$A13,'LANÇAMENTOS DIÁRIOS'!$O$5:$O$500,"&lt;=101899",'LANÇAMENTOS DIÁRIOS'!$P$5:$P$500,"&gt;=101800")&gt;0,"X","")</f>
      </c>
      <c r="P13" s="56" t="str">
        <f>IF(COUNTIFS('LANÇAMENTOS DIÁRIOS'!$G$5:$G$500,"D",'LANÇAMENTOS DIÁRIOS'!$C$5:$C$500,$A13,'LANÇAMENTOS DIÁRIOS'!$O$5:$O$500,"&lt;=101999",'LANÇAMENTOS DIÁRIOS'!$P$5:$P$500,"&gt;=101900")&gt;0,"X","")</f>
      </c>
      <c r="Q13" s="56" t="str">
        <f>IF(COUNTIFS('LANÇAMENTOS DIÁRIOS'!$G$5:$G$500,"D",'LANÇAMENTOS DIÁRIOS'!$C$5:$C$500,$A13,'LANÇAMENTOS DIÁRIOS'!$O$5:$O$500,"&lt;=102099",'LANÇAMENTOS DIÁRIOS'!$P$5:$P$500,"&gt;=102000")&gt;0,"X","")</f>
      </c>
      <c r="R13" s="56" t="str">
        <f>IF(COUNTIFS('LANÇAMENTOS DIÁRIOS'!$G$5:$G$500,"D",'LANÇAMENTOS DIÁRIOS'!$C$5:$C$500,$A13,'LANÇAMENTOS DIÁRIOS'!$O$5:$O$500,"&lt;=102199",'LANÇAMENTOS DIÁRIOS'!$P$5:$P$500,"&gt;=102100")&gt;0,"X","")</f>
      </c>
      <c r="S13" s="56" t="str">
        <f>IF(COUNTIFS('LANÇAMENTOS DIÁRIOS'!$G$5:$G$500,"D",'LANÇAMENTOS DIÁRIOS'!$C$5:$C$500,$A13,'LANÇAMENTOS DIÁRIOS'!$O$5:$O$500,"&lt;=102299",'LANÇAMENTOS DIÁRIOS'!$P$5:$P$500,"&gt;=102200")&gt;0,"X","")</f>
      </c>
      <c r="T13" s="56" t="str">
        <f>IF(COUNTIFS('LANÇAMENTOS DIÁRIOS'!$G$5:$G$500,"D",'LANÇAMENTOS DIÁRIOS'!$C$5:$C$500,$A13,'LANÇAMENTOS DIÁRIOS'!$O$5:$O$500,"&lt;=102399",'LANÇAMENTOS DIÁRIOS'!$P$5:$P$500,"&gt;=102300")&gt;0,"X","")</f>
      </c>
      <c r="U13" s="56" t="str">
        <f>IF(COUNTIFS('LANÇAMENTOS DIÁRIOS'!$G$5:$G$500,"D",'LANÇAMENTOS DIÁRIOS'!$C$5:$C$500,$A13,'LANÇAMENTOS DIÁRIOS'!$O$5:$O$500,"&lt;=102499",'LANÇAMENTOS DIÁRIOS'!$P$5:$P$500,"&gt;=102400")&gt;0,"X","")</f>
      </c>
      <c r="V13" s="56" t="str">
        <f>IF(COUNTIFS('LANÇAMENTOS DIÁRIOS'!$G$5:$G$500,"D",'LANÇAMENTOS DIÁRIOS'!$C$5:$C$500,$A13,'LANÇAMENTOS DIÁRIOS'!$O$5:$O$500,"&lt;=102599",'LANÇAMENTOS DIÁRIOS'!$P$5:$P$500,"&gt;=102500")&gt;0,"X","")</f>
      </c>
      <c r="W13" s="56" t="str">
        <f>IF(COUNTIFS('LANÇAMENTOS DIÁRIOS'!$G$5:$G$500,"D",'LANÇAMENTOS DIÁRIOS'!$C$5:$C$500,$A13,'LANÇAMENTOS DIÁRIOS'!$O$5:$O$500,"&lt;=102699",'LANÇAMENTOS DIÁRIOS'!$P$5:$P$500,"&gt;=102600")&gt;0,"X","")</f>
      </c>
      <c r="X13" s="56" t="str">
        <f>IF(COUNTIFS('LANÇAMENTOS DIÁRIOS'!$G$5:$G$500,"D",'LANÇAMENTOS DIÁRIOS'!$C$5:$C$500,$A13,'LANÇAMENTOS DIÁRIOS'!$O$5:$O$500,"&lt;=102799",'LANÇAMENTOS DIÁRIOS'!$P$5:$P$500,"&gt;=102700")&gt;0,"X","")</f>
      </c>
      <c r="Y13" s="56" t="str">
        <f>IF(COUNTIFS('LANÇAMENTOS DIÁRIOS'!$G$5:$G$500,"D",'LANÇAMENTOS DIÁRIOS'!$C$5:$C$500,$A13,'LANÇAMENTOS DIÁRIOS'!$O$5:$O$500,"&lt;=102899",'LANÇAMENTOS DIÁRIOS'!$P$5:$P$500,"&gt;=102800")&gt;0,"X","")</f>
      </c>
      <c r="Z13" s="56" t="str">
        <f>IF(COUNTIFS('LANÇAMENTOS DIÁRIOS'!$G$5:$G$500,"D",'LANÇAMENTOS DIÁRIOS'!$C$5:$C$500,$A13,'LANÇAMENTOS DIÁRIOS'!$O$5:$O$500,"&lt;=102999",'LANÇAMENTOS DIÁRIOS'!$P$5:$P$500,"&gt;=102900")&gt;0,"X","")</f>
      </c>
      <c r="AA13" s="56" t="str">
        <f>IF(COUNTIFS('LANÇAMENTOS DIÁRIOS'!$G$5:$G$500,"D",'LANÇAMENTOS DIÁRIOS'!$C$5:$C$500,$A13,'LANÇAMENTOS DIÁRIOS'!$O$5:$O$500,"&lt;=103099",'LANÇAMENTOS DIÁRIOS'!$P$5:$P$500,"&gt;=103000")&gt;0,"X","")</f>
      </c>
      <c r="AB13" s="56" t="str">
        <f>IF(COUNTIFS('LANÇAMENTOS DIÁRIOS'!$G$5:$G$500,"D",'LANÇAMENTOS DIÁRIOS'!$C$5:$C$500,$A13,'LANÇAMENTOS DIÁRIOS'!$O$5:$O$500,"&lt;=103199",'LANÇAMENTOS DIÁRIOS'!$P$5:$P$500,"&gt;=103100")&gt;0,"X","")</f>
      </c>
      <c r="AC13" s="56" t="str">
        <f>IF(COUNTIFS('LANÇAMENTOS DIÁRIOS'!$G$5:$G$500,"D",'LANÇAMENTOS DIÁRIOS'!$C$5:$C$500,$A13,'LANÇAMENTOS DIÁRIOS'!$O$5:$O$500,"&lt;=103299",'LANÇAMENTOS DIÁRIOS'!$P$5:$P$500,"&gt;=103200")&gt;0,"X","")</f>
      </c>
      <c r="AD13" s="56" t="str">
        <f>IF(COUNTIFS('LANÇAMENTOS DIÁRIOS'!$G$5:$G$500,"D",'LANÇAMENTOS DIÁRIOS'!$C$5:$C$500,$A13,'LANÇAMENTOS DIÁRIOS'!$O$5:$O$500,"&lt;=103399",'LANÇAMENTOS DIÁRIOS'!$P$5:$P$500,"&gt;=103300")&gt;0,"X","")</f>
      </c>
      <c r="AE13" s="56" t="str">
        <f>IF(COUNTIFS('LANÇAMENTOS DIÁRIOS'!$G$5:$G$500,"D",'LANÇAMENTOS DIÁRIOS'!$C$5:$C$500,$A13,'LANÇAMENTOS DIÁRIOS'!$O$5:$O$500,"&lt;=103499",'LANÇAMENTOS DIÁRIOS'!$P$5:$P$500,"&gt;=103400")&gt;0,"X","")</f>
      </c>
      <c r="AF13" s="56" t="str">
        <f>IF(COUNTIFS('LANÇAMENTOS DIÁRIOS'!$G$5:$G$500,"D",'LANÇAMENTOS DIÁRIOS'!$C$5:$C$500,$A13,'LANÇAMENTOS DIÁRIOS'!$O$5:$O$500,"&lt;=103599",'LANÇAMENTOS DIÁRIOS'!$P$5:$P$500,"&gt;=103500")&gt;0,"X","")</f>
      </c>
      <c r="AG13" s="56" t="str">
        <f>IF(COUNTIFS('LANÇAMENTOS DIÁRIOS'!$G$5:$G$500,"D",'LANÇAMENTOS DIÁRIOS'!$C$5:$C$500,$A13,'LANÇAMENTOS DIÁRIOS'!$O$5:$O$500,"&lt;=103699",'LANÇAMENTOS DIÁRIOS'!$P$5:$P$500,"&gt;=103600")&gt;0,"X","")</f>
      </c>
      <c r="AH13" s="56" t="str">
        <f>IF(COUNTIFS('LANÇAMENTOS DIÁRIOS'!$G$5:$G$500,"D",'LANÇAMENTOS DIÁRIOS'!$C$5:$C$500,$A13,'LANÇAMENTOS DIÁRIOS'!$O$5:$O$500,"&lt;=103799",'LANÇAMENTOS DIÁRIOS'!$P$5:$P$500,"&gt;=103700")&gt;0,"X","")</f>
      </c>
      <c r="AI13" s="56" t="str">
        <f>IF(COUNTIFS('LANÇAMENTOS DIÁRIOS'!$G$5:$G$500,"D",'LANÇAMENTOS DIÁRIOS'!$C$5:$C$500,$A13,'LANÇAMENTOS DIÁRIOS'!$O$5:$O$500,"&lt;=103899",'LANÇAMENTOS DIÁRIOS'!$P$5:$P$500,"&gt;=103800")&gt;0,"X","")</f>
      </c>
      <c r="AJ13" s="56" t="str">
        <f>IF(COUNTIFS('LANÇAMENTOS DIÁRIOS'!$G$5:$G$500,"D",'LANÇAMENTOS DIÁRIOS'!$C$5:$C$500,$A13,'LANÇAMENTOS DIÁRIOS'!$O$5:$O$500,"&lt;=103999",'LANÇAMENTOS DIÁRIOS'!$P$5:$P$500,"&gt;=103900")&gt;0,"X","")</f>
      </c>
      <c r="AK13" s="56" t="str">
        <f>IF(COUNTIFS('LANÇAMENTOS DIÁRIOS'!$G$5:$G$500,"D",'LANÇAMENTOS DIÁRIOS'!$C$5:$C$500,$A13,'LANÇAMENTOS DIÁRIOS'!$O$5:$O$500,"&lt;=104099",'LANÇAMENTOS DIÁRIOS'!$P$5:$P$500,"&gt;=104000")&gt;0,"X","")</f>
      </c>
      <c r="AL13" s="56" t="str">
        <f>IF(COUNTIFS('LANÇAMENTOS DIÁRIOS'!$G$5:$G$500,"D",'LANÇAMENTOS DIÁRIOS'!$C$5:$C$500,$A13,'LANÇAMENTOS DIÁRIOS'!$O$5:$O$500,"&lt;=104199",'LANÇAMENTOS DIÁRIOS'!$P$5:$P$500,"&gt;=104100")&gt;0,"X","")</f>
      </c>
      <c r="AM13" s="56" t="str">
        <f>IF(COUNTIFS('LANÇAMENTOS DIÁRIOS'!$G$5:$G$500,"D",'LANÇAMENTOS DIÁRIOS'!$C$5:$C$500,$A13,'LANÇAMENTOS DIÁRIOS'!$O$5:$O$500,"&lt;=104299",'LANÇAMENTOS DIÁRIOS'!$P$5:$P$500,"&gt;=104200")&gt;0,"X","")</f>
      </c>
      <c r="AN13" s="56" t="str">
        <f>IF(COUNTIFS('LANÇAMENTOS DIÁRIOS'!$G$5:$G$500,"D",'LANÇAMENTOS DIÁRIOS'!$C$5:$C$500,$A13,'LANÇAMENTOS DIÁRIOS'!$O$5:$O$500,"&lt;=104399",'LANÇAMENTOS DIÁRIOS'!$P$5:$P$500,"&gt;=104300")&gt;0,"X","")</f>
      </c>
      <c r="AO13" s="56" t="str">
        <f>IF(COUNTIFS('LANÇAMENTOS DIÁRIOS'!$G$5:$G$500,"D",'LANÇAMENTOS DIÁRIOS'!$C$5:$C$500,$A13,'LANÇAMENTOS DIÁRIOS'!$O$5:$O$500,"&lt;=104499",'LANÇAMENTOS DIÁRIOS'!$P$5:$P$500,"&gt;=104400")&gt;0,"X","")</f>
      </c>
      <c r="AP13" s="56" t="str">
        <f>IF(COUNTIFS('LANÇAMENTOS DIÁRIOS'!$G$5:$G$500,"D",'LANÇAMENTOS DIÁRIOS'!$C$5:$C$500,$A13,'LANÇAMENTOS DIÁRIOS'!$O$5:$O$500,"&lt;=104599",'LANÇAMENTOS DIÁRIOS'!$P$5:$P$500,"&gt;=104500")&gt;0,"X","")</f>
      </c>
      <c r="AQ13" s="56" t="str">
        <f>IF(COUNTIFS('LANÇAMENTOS DIÁRIOS'!$G$5:$G$500,"D",'LANÇAMENTOS DIÁRIOS'!$C$5:$C$500,$A13,'LANÇAMENTOS DIÁRIOS'!$O$5:$O$500,"&lt;=104699",'LANÇAMENTOS DIÁRIOS'!$P$5:$P$500,"&gt;=104600")&gt;0,"X","")</f>
      </c>
      <c r="AR13" s="56" t="str">
        <f>IF(COUNTIFS('LANÇAMENTOS DIÁRIOS'!$G$5:$G$500,"D",'LANÇAMENTOS DIÁRIOS'!$C$5:$C$500,$A13,'LANÇAMENTOS DIÁRIOS'!$O$5:$O$500,"&lt;=104799",'LANÇAMENTOS DIÁRIOS'!$P$5:$P$500,"&gt;=104700")&gt;0,"X","")</f>
      </c>
      <c r="AS13" s="56" t="str">
        <f>IF(COUNTIFS('LANÇAMENTOS DIÁRIOS'!$G$5:$G$500,"D",'LANÇAMENTOS DIÁRIOS'!$C$5:$C$500,$A13,'LANÇAMENTOS DIÁRIOS'!$O$5:$O$500,"&lt;=104899",'LANÇAMENTOS DIÁRIOS'!$P$5:$P$500,"&gt;=104800")&gt;0,"X","")</f>
      </c>
      <c r="AT13" s="56" t="str">
        <f>IF(COUNTIFS('LANÇAMENTOS DIÁRIOS'!$G$5:$G$500,"D",'LANÇAMENTOS DIÁRIOS'!$C$5:$C$500,$A13,'LANÇAMENTOS DIÁRIOS'!$O$5:$O$500,"&lt;=104999",'LANÇAMENTOS DIÁRIOS'!$P$5:$P$500,"&gt;=104900")&gt;0,"X","")</f>
      </c>
      <c r="AU13" s="56" t="str">
        <f>IF(COUNTIFS('LANÇAMENTOS DIÁRIOS'!$G$5:$G$500,"D",'LANÇAMENTOS DIÁRIOS'!$C$5:$C$500,$A13,'LANÇAMENTOS DIÁRIOS'!$O$5:$O$500,"&lt;=105099",'LANÇAMENTOS DIÁRIOS'!$P$5:$P$500,"&gt;=105000")&gt;0,"X","")</f>
      </c>
      <c r="AV13" s="56" t="str">
        <f>IF(COUNTIFS('LANÇAMENTOS DIÁRIOS'!$G$5:$G$500,"D",'LANÇAMENTOS DIÁRIOS'!$C$5:$C$500,$A13,'LANÇAMENTOS DIÁRIOS'!$O$5:$O$500,"&lt;=105199",'LANÇAMENTOS DIÁRIOS'!$P$5:$P$500,"&gt;=105100")&gt;0,"X","")</f>
      </c>
      <c r="AW13" s="56" t="str">
        <f>IF(COUNTIFS('LANÇAMENTOS DIÁRIOS'!$G$5:$G$500,"D",'LANÇAMENTOS DIÁRIOS'!$C$5:$C$500,$A13,'LANÇAMENTOS DIÁRIOS'!$O$5:$O$500,"&lt;=105299",'LANÇAMENTOS DIÁRIOS'!$P$5:$P$500,"&gt;=105200")&gt;0,"X","")</f>
      </c>
      <c r="AX13" s="56" t="str">
        <f>IF(COUNTIFS('LANÇAMENTOS DIÁRIOS'!$G$5:$G$500,"D",'LANÇAMENTOS DIÁRIOS'!$C$5:$C$500,$A13,'LANÇAMENTOS DIÁRIOS'!$O$5:$O$500,"&lt;=105399",'LANÇAMENTOS DIÁRIOS'!$P$5:$P$500,"&gt;=105300")&gt;0,"X","")</f>
      </c>
      <c r="AY13" s="56" t="str">
        <f>IF(COUNTIFS('LANÇAMENTOS DIÁRIOS'!$G$5:$G$500,"D",'LANÇAMENTOS DIÁRIOS'!$C$5:$C$500,$A13,'LANÇAMENTOS DIÁRIOS'!$O$5:$O$500,"&lt;=105499",'LANÇAMENTOS DIÁRIOS'!$P$5:$P$500,"&gt;=105400")&gt;0,"X","")</f>
      </c>
      <c r="AZ13" s="56" t="str">
        <f>IF(COUNTIFS('LANÇAMENTOS DIÁRIOS'!$G$5:$G$500,"D",'LANÇAMENTOS DIÁRIOS'!$C$5:$C$500,$A13,'LANÇAMENTOS DIÁRIOS'!$O$5:$O$500,"&lt;=105500",'LANÇAMENTOS DIÁRIOS'!$P$5:$P$500,"&gt;=105500")&gt;0,"X","")</f>
      </c>
    </row>
    <row r="14">
      <c r="A14" s="51" t="str">
        <v>Remoção de terminal absorvedor de energia</v>
      </c>
      <c r="B14" s="56" t="str">
        <f>IF(COUNTIFS('LANÇAMENTOS DIÁRIOS'!$G$5:$G$500,"D",'LANÇAMENTOS DIÁRIOS'!$C$5:$C$500,$A14,'LANÇAMENTOS DIÁRIOS'!$O$5:$O$500,"&lt;=100599",'LANÇAMENTOS DIÁRIOS'!$P$5:$P$500,"&gt;=100500")&gt;0,"X","")</f>
      </c>
      <c r="C14" s="56" t="str">
        <f>IF(COUNTIFS('LANÇAMENTOS DIÁRIOS'!$G$5:$G$500,"D",'LANÇAMENTOS DIÁRIOS'!$C$5:$C$500,$A14,'LANÇAMENTOS DIÁRIOS'!$O$5:$O$500,"&lt;=100699",'LANÇAMENTOS DIÁRIOS'!$P$5:$P$500,"&gt;=100600")&gt;0,"X","")</f>
      </c>
      <c r="D14" s="56" t="str">
        <f>IF(COUNTIFS('LANÇAMENTOS DIÁRIOS'!$G$5:$G$500,"D",'LANÇAMENTOS DIÁRIOS'!$C$5:$C$500,$A14,'LANÇAMENTOS DIÁRIOS'!$O$5:$O$500,"&lt;=100799",'LANÇAMENTOS DIÁRIOS'!$P$5:$P$500,"&gt;=100700")&gt;0,"X","")</f>
      </c>
      <c r="E14" s="56" t="str">
        <f>IF(COUNTIFS('LANÇAMENTOS DIÁRIOS'!$G$5:$G$500,"D",'LANÇAMENTOS DIÁRIOS'!$C$5:$C$500,$A14,'LANÇAMENTOS DIÁRIOS'!$O$5:$O$500,"&lt;=100899",'LANÇAMENTOS DIÁRIOS'!$P$5:$P$500,"&gt;=100800")&gt;0,"X","")</f>
      </c>
      <c r="F14" s="56" t="str">
        <f>IF(COUNTIFS('LANÇAMENTOS DIÁRIOS'!$G$5:$G$500,"D",'LANÇAMENTOS DIÁRIOS'!$C$5:$C$500,$A14,'LANÇAMENTOS DIÁRIOS'!$O$5:$O$500,"&lt;=100999",'LANÇAMENTOS DIÁRIOS'!$P$5:$P$500,"&gt;=100900")&gt;0,"X","")</f>
      </c>
      <c r="G14" s="56" t="str">
        <f>IF(COUNTIFS('LANÇAMENTOS DIÁRIOS'!$G$5:$G$500,"D",'LANÇAMENTOS DIÁRIOS'!$C$5:$C$500,$A14,'LANÇAMENTOS DIÁRIOS'!$O$5:$O$500,"&lt;=101099",'LANÇAMENTOS DIÁRIOS'!$P$5:$P$500,"&gt;=101000")&gt;0,"X","")</f>
      </c>
      <c r="H14" s="56" t="str">
        <f>IF(COUNTIFS('LANÇAMENTOS DIÁRIOS'!$G$5:$G$500,"D",'LANÇAMENTOS DIÁRIOS'!$C$5:$C$500,$A14,'LANÇAMENTOS DIÁRIOS'!$O$5:$O$500,"&lt;=101199",'LANÇAMENTOS DIÁRIOS'!$P$5:$P$500,"&gt;=101100")&gt;0,"X","")</f>
      </c>
      <c r="I14" s="56" t="str">
        <f>IF(COUNTIFS('LANÇAMENTOS DIÁRIOS'!$G$5:$G$500,"D",'LANÇAMENTOS DIÁRIOS'!$C$5:$C$500,$A14,'LANÇAMENTOS DIÁRIOS'!$O$5:$O$500,"&lt;=101299",'LANÇAMENTOS DIÁRIOS'!$P$5:$P$500,"&gt;=101200")&gt;0,"X","")</f>
      </c>
      <c r="J14" s="56" t="str">
        <f>IF(COUNTIFS('LANÇAMENTOS DIÁRIOS'!$G$5:$G$500,"D",'LANÇAMENTOS DIÁRIOS'!$C$5:$C$500,$A14,'LANÇAMENTOS DIÁRIOS'!$O$5:$O$500,"&lt;=101399",'LANÇAMENTOS DIÁRIOS'!$P$5:$P$500,"&gt;=101300")&gt;0,"X","")</f>
      </c>
      <c r="K14" s="56" t="str">
        <f>IF(COUNTIFS('LANÇAMENTOS DIÁRIOS'!$G$5:$G$500,"D",'LANÇAMENTOS DIÁRIOS'!$C$5:$C$500,$A14,'LANÇAMENTOS DIÁRIOS'!$O$5:$O$500,"&lt;=101499",'LANÇAMENTOS DIÁRIOS'!$P$5:$P$500,"&gt;=101400")&gt;0,"X","")</f>
      </c>
      <c r="L14" s="56" t="str">
        <f>IF(COUNTIFS('LANÇAMENTOS DIÁRIOS'!$G$5:$G$500,"D",'LANÇAMENTOS DIÁRIOS'!$C$5:$C$500,$A14,'LANÇAMENTOS DIÁRIOS'!$O$5:$O$500,"&lt;=101599",'LANÇAMENTOS DIÁRIOS'!$P$5:$P$500,"&gt;=101500")&gt;0,"X","")</f>
      </c>
      <c r="M14" s="56" t="str">
        <f>IF(COUNTIFS('LANÇAMENTOS DIÁRIOS'!$G$5:$G$500,"D",'LANÇAMENTOS DIÁRIOS'!$C$5:$C$500,$A14,'LANÇAMENTOS DIÁRIOS'!$O$5:$O$500,"&lt;=101699",'LANÇAMENTOS DIÁRIOS'!$P$5:$P$500,"&gt;=101600")&gt;0,"X","")</f>
      </c>
      <c r="N14" s="56" t="str">
        <f>IF(COUNTIFS('LANÇAMENTOS DIÁRIOS'!$G$5:$G$500,"D",'LANÇAMENTOS DIÁRIOS'!$C$5:$C$500,$A14,'LANÇAMENTOS DIÁRIOS'!$O$5:$O$500,"&lt;=101799",'LANÇAMENTOS DIÁRIOS'!$P$5:$P$500,"&gt;=101700")&gt;0,"X","")</f>
      </c>
      <c r="O14" s="56" t="str">
        <f>IF(COUNTIFS('LANÇAMENTOS DIÁRIOS'!$G$5:$G$500,"D",'LANÇAMENTOS DIÁRIOS'!$C$5:$C$500,$A14,'LANÇAMENTOS DIÁRIOS'!$O$5:$O$500,"&lt;=101899",'LANÇAMENTOS DIÁRIOS'!$P$5:$P$500,"&gt;=101800")&gt;0,"X","")</f>
      </c>
      <c r="P14" s="56" t="str">
        <f>IF(COUNTIFS('LANÇAMENTOS DIÁRIOS'!$G$5:$G$500,"D",'LANÇAMENTOS DIÁRIOS'!$C$5:$C$500,$A14,'LANÇAMENTOS DIÁRIOS'!$O$5:$O$500,"&lt;=101999",'LANÇAMENTOS DIÁRIOS'!$P$5:$P$500,"&gt;=101900")&gt;0,"X","")</f>
      </c>
      <c r="Q14" s="56" t="str">
        <f>IF(COUNTIFS('LANÇAMENTOS DIÁRIOS'!$G$5:$G$500,"D",'LANÇAMENTOS DIÁRIOS'!$C$5:$C$500,$A14,'LANÇAMENTOS DIÁRIOS'!$O$5:$O$500,"&lt;=102099",'LANÇAMENTOS DIÁRIOS'!$P$5:$P$500,"&gt;=102000")&gt;0,"X","")</f>
      </c>
      <c r="R14" s="56" t="str">
        <f>IF(COUNTIFS('LANÇAMENTOS DIÁRIOS'!$G$5:$G$500,"D",'LANÇAMENTOS DIÁRIOS'!$C$5:$C$500,$A14,'LANÇAMENTOS DIÁRIOS'!$O$5:$O$500,"&lt;=102199",'LANÇAMENTOS DIÁRIOS'!$P$5:$P$500,"&gt;=102100")&gt;0,"X","")</f>
      </c>
      <c r="S14" s="56" t="str">
        <f>IF(COUNTIFS('LANÇAMENTOS DIÁRIOS'!$G$5:$G$500,"D",'LANÇAMENTOS DIÁRIOS'!$C$5:$C$500,$A14,'LANÇAMENTOS DIÁRIOS'!$O$5:$O$500,"&lt;=102299",'LANÇAMENTOS DIÁRIOS'!$P$5:$P$500,"&gt;=102200")&gt;0,"X","")</f>
      </c>
      <c r="T14" s="56" t="str">
        <f>IF(COUNTIFS('LANÇAMENTOS DIÁRIOS'!$G$5:$G$500,"D",'LANÇAMENTOS DIÁRIOS'!$C$5:$C$500,$A14,'LANÇAMENTOS DIÁRIOS'!$O$5:$O$500,"&lt;=102399",'LANÇAMENTOS DIÁRIOS'!$P$5:$P$500,"&gt;=102300")&gt;0,"X","")</f>
      </c>
      <c r="U14" s="56" t="str">
        <f>IF(COUNTIFS('LANÇAMENTOS DIÁRIOS'!$G$5:$G$500,"D",'LANÇAMENTOS DIÁRIOS'!$C$5:$C$500,$A14,'LANÇAMENTOS DIÁRIOS'!$O$5:$O$500,"&lt;=102499",'LANÇAMENTOS DIÁRIOS'!$P$5:$P$500,"&gt;=102400")&gt;0,"X","")</f>
      </c>
      <c r="V14" s="56" t="str">
        <f>IF(COUNTIFS('LANÇAMENTOS DIÁRIOS'!$G$5:$G$500,"D",'LANÇAMENTOS DIÁRIOS'!$C$5:$C$500,$A14,'LANÇAMENTOS DIÁRIOS'!$O$5:$O$500,"&lt;=102599",'LANÇAMENTOS DIÁRIOS'!$P$5:$P$500,"&gt;=102500")&gt;0,"X","")</f>
      </c>
      <c r="W14" s="56" t="str">
        <f>IF(COUNTIFS('LANÇAMENTOS DIÁRIOS'!$G$5:$G$500,"D",'LANÇAMENTOS DIÁRIOS'!$C$5:$C$500,$A14,'LANÇAMENTOS DIÁRIOS'!$O$5:$O$500,"&lt;=102699",'LANÇAMENTOS DIÁRIOS'!$P$5:$P$500,"&gt;=102600")&gt;0,"X","")</f>
      </c>
      <c r="X14" s="56" t="str">
        <f>IF(COUNTIFS('LANÇAMENTOS DIÁRIOS'!$G$5:$G$500,"D",'LANÇAMENTOS DIÁRIOS'!$C$5:$C$500,$A14,'LANÇAMENTOS DIÁRIOS'!$O$5:$O$500,"&lt;=102799",'LANÇAMENTOS DIÁRIOS'!$P$5:$P$500,"&gt;=102700")&gt;0,"X","")</f>
      </c>
      <c r="Y14" s="56" t="str">
        <f>IF(COUNTIFS('LANÇAMENTOS DIÁRIOS'!$G$5:$G$500,"D",'LANÇAMENTOS DIÁRIOS'!$C$5:$C$500,$A14,'LANÇAMENTOS DIÁRIOS'!$O$5:$O$500,"&lt;=102899",'LANÇAMENTOS DIÁRIOS'!$P$5:$P$500,"&gt;=102800")&gt;0,"X","")</f>
      </c>
      <c r="Z14" s="56" t="str">
        <f>IF(COUNTIFS('LANÇAMENTOS DIÁRIOS'!$G$5:$G$500,"D",'LANÇAMENTOS DIÁRIOS'!$C$5:$C$500,$A14,'LANÇAMENTOS DIÁRIOS'!$O$5:$O$500,"&lt;=102999",'LANÇAMENTOS DIÁRIOS'!$P$5:$P$500,"&gt;=102900")&gt;0,"X","")</f>
      </c>
      <c r="AA14" s="56" t="str">
        <f>IF(COUNTIFS('LANÇAMENTOS DIÁRIOS'!$G$5:$G$500,"D",'LANÇAMENTOS DIÁRIOS'!$C$5:$C$500,$A14,'LANÇAMENTOS DIÁRIOS'!$O$5:$O$500,"&lt;=103099",'LANÇAMENTOS DIÁRIOS'!$P$5:$P$500,"&gt;=103000")&gt;0,"X","")</f>
      </c>
      <c r="AB14" s="56" t="str">
        <f>IF(COUNTIFS('LANÇAMENTOS DIÁRIOS'!$G$5:$G$500,"D",'LANÇAMENTOS DIÁRIOS'!$C$5:$C$500,$A14,'LANÇAMENTOS DIÁRIOS'!$O$5:$O$500,"&lt;=103199",'LANÇAMENTOS DIÁRIOS'!$P$5:$P$500,"&gt;=103100")&gt;0,"X","")</f>
      </c>
      <c r="AC14" s="56" t="str">
        <f>IF(COUNTIFS('LANÇAMENTOS DIÁRIOS'!$G$5:$G$500,"D",'LANÇAMENTOS DIÁRIOS'!$C$5:$C$500,$A14,'LANÇAMENTOS DIÁRIOS'!$O$5:$O$500,"&lt;=103299",'LANÇAMENTOS DIÁRIOS'!$P$5:$P$500,"&gt;=103200")&gt;0,"X","")</f>
      </c>
      <c r="AD14" s="56" t="str">
        <f>IF(COUNTIFS('LANÇAMENTOS DIÁRIOS'!$G$5:$G$500,"D",'LANÇAMENTOS DIÁRIOS'!$C$5:$C$500,$A14,'LANÇAMENTOS DIÁRIOS'!$O$5:$O$500,"&lt;=103399",'LANÇAMENTOS DIÁRIOS'!$P$5:$P$500,"&gt;=103300")&gt;0,"X","")</f>
      </c>
      <c r="AE14" s="56" t="str">
        <f>IF(COUNTIFS('LANÇAMENTOS DIÁRIOS'!$G$5:$G$500,"D",'LANÇAMENTOS DIÁRIOS'!$C$5:$C$500,$A14,'LANÇAMENTOS DIÁRIOS'!$O$5:$O$500,"&lt;=103499",'LANÇAMENTOS DIÁRIOS'!$P$5:$P$500,"&gt;=103400")&gt;0,"X","")</f>
      </c>
      <c r="AF14" s="56" t="str">
        <f>IF(COUNTIFS('LANÇAMENTOS DIÁRIOS'!$G$5:$G$500,"D",'LANÇAMENTOS DIÁRIOS'!$C$5:$C$500,$A14,'LANÇAMENTOS DIÁRIOS'!$O$5:$O$500,"&lt;=103599",'LANÇAMENTOS DIÁRIOS'!$P$5:$P$500,"&gt;=103500")&gt;0,"X","")</f>
      </c>
      <c r="AG14" s="56" t="str">
        <f>IF(COUNTIFS('LANÇAMENTOS DIÁRIOS'!$G$5:$G$500,"D",'LANÇAMENTOS DIÁRIOS'!$C$5:$C$500,$A14,'LANÇAMENTOS DIÁRIOS'!$O$5:$O$500,"&lt;=103699",'LANÇAMENTOS DIÁRIOS'!$P$5:$P$500,"&gt;=103600")&gt;0,"X","")</f>
      </c>
      <c r="AH14" s="56" t="str">
        <f>IF(COUNTIFS('LANÇAMENTOS DIÁRIOS'!$G$5:$G$500,"D",'LANÇAMENTOS DIÁRIOS'!$C$5:$C$500,$A14,'LANÇAMENTOS DIÁRIOS'!$O$5:$O$500,"&lt;=103799",'LANÇAMENTOS DIÁRIOS'!$P$5:$P$500,"&gt;=103700")&gt;0,"X","")</f>
      </c>
      <c r="AI14" s="56" t="str">
        <f>IF(COUNTIFS('LANÇAMENTOS DIÁRIOS'!$G$5:$G$500,"D",'LANÇAMENTOS DIÁRIOS'!$C$5:$C$500,$A14,'LANÇAMENTOS DIÁRIOS'!$O$5:$O$500,"&lt;=103899",'LANÇAMENTOS DIÁRIOS'!$P$5:$P$500,"&gt;=103800")&gt;0,"X","")</f>
      </c>
      <c r="AJ14" s="56" t="str">
        <f>IF(COUNTIFS('LANÇAMENTOS DIÁRIOS'!$G$5:$G$500,"D",'LANÇAMENTOS DIÁRIOS'!$C$5:$C$500,$A14,'LANÇAMENTOS DIÁRIOS'!$O$5:$O$500,"&lt;=103999",'LANÇAMENTOS DIÁRIOS'!$P$5:$P$500,"&gt;=103900")&gt;0,"X","")</f>
      </c>
      <c r="AK14" s="56" t="str">
        <f>IF(COUNTIFS('LANÇAMENTOS DIÁRIOS'!$G$5:$G$500,"D",'LANÇAMENTOS DIÁRIOS'!$C$5:$C$500,$A14,'LANÇAMENTOS DIÁRIOS'!$O$5:$O$500,"&lt;=104099",'LANÇAMENTOS DIÁRIOS'!$P$5:$P$500,"&gt;=104000")&gt;0,"X","")</f>
      </c>
      <c r="AL14" s="56" t="str">
        <f>IF(COUNTIFS('LANÇAMENTOS DIÁRIOS'!$G$5:$G$500,"D",'LANÇAMENTOS DIÁRIOS'!$C$5:$C$500,$A14,'LANÇAMENTOS DIÁRIOS'!$O$5:$O$500,"&lt;=104199",'LANÇAMENTOS DIÁRIOS'!$P$5:$P$500,"&gt;=104100")&gt;0,"X","")</f>
      </c>
      <c r="AM14" s="56" t="str">
        <f>IF(COUNTIFS('LANÇAMENTOS DIÁRIOS'!$G$5:$G$500,"D",'LANÇAMENTOS DIÁRIOS'!$C$5:$C$500,$A14,'LANÇAMENTOS DIÁRIOS'!$O$5:$O$500,"&lt;=104299",'LANÇAMENTOS DIÁRIOS'!$P$5:$P$500,"&gt;=104200")&gt;0,"X","")</f>
      </c>
      <c r="AN14" s="56" t="str">
        <f>IF(COUNTIFS('LANÇAMENTOS DIÁRIOS'!$G$5:$G$500,"D",'LANÇAMENTOS DIÁRIOS'!$C$5:$C$500,$A14,'LANÇAMENTOS DIÁRIOS'!$O$5:$O$500,"&lt;=104399",'LANÇAMENTOS DIÁRIOS'!$P$5:$P$500,"&gt;=104300")&gt;0,"X","")</f>
      </c>
      <c r="AO14" s="56" t="str">
        <f>IF(COUNTIFS('LANÇAMENTOS DIÁRIOS'!$G$5:$G$500,"D",'LANÇAMENTOS DIÁRIOS'!$C$5:$C$500,$A14,'LANÇAMENTOS DIÁRIOS'!$O$5:$O$500,"&lt;=104499",'LANÇAMENTOS DIÁRIOS'!$P$5:$P$500,"&gt;=104400")&gt;0,"X","")</f>
      </c>
      <c r="AP14" s="56" t="str">
        <f>IF(COUNTIFS('LANÇAMENTOS DIÁRIOS'!$G$5:$G$500,"D",'LANÇAMENTOS DIÁRIOS'!$C$5:$C$500,$A14,'LANÇAMENTOS DIÁRIOS'!$O$5:$O$500,"&lt;=104599",'LANÇAMENTOS DIÁRIOS'!$P$5:$P$500,"&gt;=104500")&gt;0,"X","")</f>
      </c>
      <c r="AQ14" s="56" t="str">
        <f>IF(COUNTIFS('LANÇAMENTOS DIÁRIOS'!$G$5:$G$500,"D",'LANÇAMENTOS DIÁRIOS'!$C$5:$C$500,$A14,'LANÇAMENTOS DIÁRIOS'!$O$5:$O$500,"&lt;=104699",'LANÇAMENTOS DIÁRIOS'!$P$5:$P$500,"&gt;=104600")&gt;0,"X","")</f>
      </c>
      <c r="AR14" s="56" t="str">
        <f>IF(COUNTIFS('LANÇAMENTOS DIÁRIOS'!$G$5:$G$500,"D",'LANÇAMENTOS DIÁRIOS'!$C$5:$C$500,$A14,'LANÇAMENTOS DIÁRIOS'!$O$5:$O$500,"&lt;=104799",'LANÇAMENTOS DIÁRIOS'!$P$5:$P$500,"&gt;=104700")&gt;0,"X","")</f>
      </c>
      <c r="AS14" s="56" t="str">
        <f>IF(COUNTIFS('LANÇAMENTOS DIÁRIOS'!$G$5:$G$500,"D",'LANÇAMENTOS DIÁRIOS'!$C$5:$C$500,$A14,'LANÇAMENTOS DIÁRIOS'!$O$5:$O$500,"&lt;=104899",'LANÇAMENTOS DIÁRIOS'!$P$5:$P$500,"&gt;=104800")&gt;0,"X","")</f>
      </c>
      <c r="AT14" s="56" t="str">
        <f>IF(COUNTIFS('LANÇAMENTOS DIÁRIOS'!$G$5:$G$500,"D",'LANÇAMENTOS DIÁRIOS'!$C$5:$C$500,$A14,'LANÇAMENTOS DIÁRIOS'!$O$5:$O$500,"&lt;=104999",'LANÇAMENTOS DIÁRIOS'!$P$5:$P$500,"&gt;=104900")&gt;0,"X","")</f>
      </c>
      <c r="AU14" s="56" t="str">
        <f>IF(COUNTIFS('LANÇAMENTOS DIÁRIOS'!$G$5:$G$500,"D",'LANÇAMENTOS DIÁRIOS'!$C$5:$C$500,$A14,'LANÇAMENTOS DIÁRIOS'!$O$5:$O$500,"&lt;=105099",'LANÇAMENTOS DIÁRIOS'!$P$5:$P$500,"&gt;=105000")&gt;0,"X","")</f>
      </c>
      <c r="AV14" s="56" t="str">
        <f>IF(COUNTIFS('LANÇAMENTOS DIÁRIOS'!$G$5:$G$500,"D",'LANÇAMENTOS DIÁRIOS'!$C$5:$C$500,$A14,'LANÇAMENTOS DIÁRIOS'!$O$5:$O$500,"&lt;=105199",'LANÇAMENTOS DIÁRIOS'!$P$5:$P$500,"&gt;=105100")&gt;0,"X","")</f>
      </c>
      <c r="AW14" s="56" t="str">
        <f>IF(COUNTIFS('LANÇAMENTOS DIÁRIOS'!$G$5:$G$500,"D",'LANÇAMENTOS DIÁRIOS'!$C$5:$C$500,$A14,'LANÇAMENTOS DIÁRIOS'!$O$5:$O$500,"&lt;=105299",'LANÇAMENTOS DIÁRIOS'!$P$5:$P$500,"&gt;=105200")&gt;0,"X","")</f>
      </c>
      <c r="AX14" s="56" t="str">
        <f>IF(COUNTIFS('LANÇAMENTOS DIÁRIOS'!$G$5:$G$500,"D",'LANÇAMENTOS DIÁRIOS'!$C$5:$C$500,$A14,'LANÇAMENTOS DIÁRIOS'!$O$5:$O$500,"&lt;=105399",'LANÇAMENTOS DIÁRIOS'!$P$5:$P$500,"&gt;=105300")&gt;0,"X","")</f>
      </c>
      <c r="AY14" s="56" t="str">
        <f>IF(COUNTIFS('LANÇAMENTOS DIÁRIOS'!$G$5:$G$500,"D",'LANÇAMENTOS DIÁRIOS'!$C$5:$C$500,$A14,'LANÇAMENTOS DIÁRIOS'!$O$5:$O$500,"&lt;=105499",'LANÇAMENTOS DIÁRIOS'!$P$5:$P$500,"&gt;=105400")&gt;0,"X","")</f>
      </c>
      <c r="AZ14" s="56" t="str">
        <f>IF(COUNTIFS('LANÇAMENTOS DIÁRIOS'!$G$5:$G$500,"D",'LANÇAMENTOS DIÁRIOS'!$C$5:$C$500,$A14,'LANÇAMENTOS DIÁRIOS'!$O$5:$O$500,"&lt;=105500",'LANÇAMENTOS DIÁRIOS'!$P$5:$P$500,"&gt;=105500")&gt;0,"X","")</f>
      </c>
    </row>
    <row r="15">
      <c r="A15" s="51" t="str">
        <v>Remoção de terminal absorvedor de energia.m</v>
      </c>
      <c r="B15" s="56" t="str">
        <f>IF(COUNTIFS('LANÇAMENTOS DIÁRIOS'!$G$5:$G$500,"D",'LANÇAMENTOS DIÁRIOS'!$C$5:$C$500,$A15,'LANÇAMENTOS DIÁRIOS'!$O$5:$O$500,"&lt;=100599",'LANÇAMENTOS DIÁRIOS'!$P$5:$P$500,"&gt;=100500")&gt;0,"X","")</f>
      </c>
      <c r="C15" s="56" t="str">
        <f>IF(COUNTIFS('LANÇAMENTOS DIÁRIOS'!$G$5:$G$500,"D",'LANÇAMENTOS DIÁRIOS'!$C$5:$C$500,$A15,'LANÇAMENTOS DIÁRIOS'!$O$5:$O$500,"&lt;=100699",'LANÇAMENTOS DIÁRIOS'!$P$5:$P$500,"&gt;=100600")&gt;0,"X","")</f>
      </c>
      <c r="D15" s="56" t="str">
        <f>IF(COUNTIFS('LANÇAMENTOS DIÁRIOS'!$G$5:$G$500,"D",'LANÇAMENTOS DIÁRIOS'!$C$5:$C$500,$A15,'LANÇAMENTOS DIÁRIOS'!$O$5:$O$500,"&lt;=100799",'LANÇAMENTOS DIÁRIOS'!$P$5:$P$500,"&gt;=100700")&gt;0,"X","")</f>
      </c>
      <c r="E15" s="56" t="str">
        <f>IF(COUNTIFS('LANÇAMENTOS DIÁRIOS'!$G$5:$G$500,"D",'LANÇAMENTOS DIÁRIOS'!$C$5:$C$500,$A15,'LANÇAMENTOS DIÁRIOS'!$O$5:$O$500,"&lt;=100899",'LANÇAMENTOS DIÁRIOS'!$P$5:$P$500,"&gt;=100800")&gt;0,"X","")</f>
      </c>
      <c r="F15" s="56" t="str">
        <f>IF(COUNTIFS('LANÇAMENTOS DIÁRIOS'!$G$5:$G$500,"D",'LANÇAMENTOS DIÁRIOS'!$C$5:$C$500,$A15,'LANÇAMENTOS DIÁRIOS'!$O$5:$O$500,"&lt;=100999",'LANÇAMENTOS DIÁRIOS'!$P$5:$P$500,"&gt;=100900")&gt;0,"X","")</f>
      </c>
      <c r="G15" s="56" t="str">
        <f>IF(COUNTIFS('LANÇAMENTOS DIÁRIOS'!$G$5:$G$500,"D",'LANÇAMENTOS DIÁRIOS'!$C$5:$C$500,$A15,'LANÇAMENTOS DIÁRIOS'!$O$5:$O$500,"&lt;=101099",'LANÇAMENTOS DIÁRIOS'!$P$5:$P$500,"&gt;=101000")&gt;0,"X","")</f>
      </c>
      <c r="H15" s="56" t="str">
        <f>IF(COUNTIFS('LANÇAMENTOS DIÁRIOS'!$G$5:$G$500,"D",'LANÇAMENTOS DIÁRIOS'!$C$5:$C$500,$A15,'LANÇAMENTOS DIÁRIOS'!$O$5:$O$500,"&lt;=101199",'LANÇAMENTOS DIÁRIOS'!$P$5:$P$500,"&gt;=101100")&gt;0,"X","")</f>
      </c>
      <c r="I15" s="56" t="str">
        <f>IF(COUNTIFS('LANÇAMENTOS DIÁRIOS'!$G$5:$G$500,"D",'LANÇAMENTOS DIÁRIOS'!$C$5:$C$500,$A15,'LANÇAMENTOS DIÁRIOS'!$O$5:$O$500,"&lt;=101299",'LANÇAMENTOS DIÁRIOS'!$P$5:$P$500,"&gt;=101200")&gt;0,"X","")</f>
      </c>
      <c r="J15" s="56" t="str">
        <f>IF(COUNTIFS('LANÇAMENTOS DIÁRIOS'!$G$5:$G$500,"D",'LANÇAMENTOS DIÁRIOS'!$C$5:$C$500,$A15,'LANÇAMENTOS DIÁRIOS'!$O$5:$O$500,"&lt;=101399",'LANÇAMENTOS DIÁRIOS'!$P$5:$P$500,"&gt;=101300")&gt;0,"X","")</f>
      </c>
      <c r="K15" s="56" t="str">
        <f>IF(COUNTIFS('LANÇAMENTOS DIÁRIOS'!$G$5:$G$500,"D",'LANÇAMENTOS DIÁRIOS'!$C$5:$C$500,$A15,'LANÇAMENTOS DIÁRIOS'!$O$5:$O$500,"&lt;=101499",'LANÇAMENTOS DIÁRIOS'!$P$5:$P$500,"&gt;=101400")&gt;0,"X","")</f>
      </c>
      <c r="L15" s="56" t="str">
        <f>IF(COUNTIFS('LANÇAMENTOS DIÁRIOS'!$G$5:$G$500,"D",'LANÇAMENTOS DIÁRIOS'!$C$5:$C$500,$A15,'LANÇAMENTOS DIÁRIOS'!$O$5:$O$500,"&lt;=101599",'LANÇAMENTOS DIÁRIOS'!$P$5:$P$500,"&gt;=101500")&gt;0,"X","")</f>
      </c>
      <c r="M15" s="56" t="str">
        <f>IF(COUNTIFS('LANÇAMENTOS DIÁRIOS'!$G$5:$G$500,"D",'LANÇAMENTOS DIÁRIOS'!$C$5:$C$500,$A15,'LANÇAMENTOS DIÁRIOS'!$O$5:$O$500,"&lt;=101699",'LANÇAMENTOS DIÁRIOS'!$P$5:$P$500,"&gt;=101600")&gt;0,"X","")</f>
      </c>
      <c r="N15" s="56" t="str">
        <f>IF(COUNTIFS('LANÇAMENTOS DIÁRIOS'!$G$5:$G$500,"D",'LANÇAMENTOS DIÁRIOS'!$C$5:$C$500,$A15,'LANÇAMENTOS DIÁRIOS'!$O$5:$O$500,"&lt;=101799",'LANÇAMENTOS DIÁRIOS'!$P$5:$P$500,"&gt;=101700")&gt;0,"X","")</f>
      </c>
      <c r="O15" s="56" t="str">
        <f>IF(COUNTIFS('LANÇAMENTOS DIÁRIOS'!$G$5:$G$500,"D",'LANÇAMENTOS DIÁRIOS'!$C$5:$C$500,$A15,'LANÇAMENTOS DIÁRIOS'!$O$5:$O$500,"&lt;=101899",'LANÇAMENTOS DIÁRIOS'!$P$5:$P$500,"&gt;=101800")&gt;0,"X","")</f>
      </c>
      <c r="P15" s="56" t="str">
        <f>IF(COUNTIFS('LANÇAMENTOS DIÁRIOS'!$G$5:$G$500,"D",'LANÇAMENTOS DIÁRIOS'!$C$5:$C$500,$A15,'LANÇAMENTOS DIÁRIOS'!$O$5:$O$500,"&lt;=101999",'LANÇAMENTOS DIÁRIOS'!$P$5:$P$500,"&gt;=101900")&gt;0,"X","")</f>
      </c>
      <c r="Q15" s="56" t="str">
        <f>IF(COUNTIFS('LANÇAMENTOS DIÁRIOS'!$G$5:$G$500,"D",'LANÇAMENTOS DIÁRIOS'!$C$5:$C$500,$A15,'LANÇAMENTOS DIÁRIOS'!$O$5:$O$500,"&lt;=102099",'LANÇAMENTOS DIÁRIOS'!$P$5:$P$500,"&gt;=102000")&gt;0,"X","")</f>
      </c>
      <c r="R15" s="56" t="str">
        <f>IF(COUNTIFS('LANÇAMENTOS DIÁRIOS'!$G$5:$G$500,"D",'LANÇAMENTOS DIÁRIOS'!$C$5:$C$500,$A15,'LANÇAMENTOS DIÁRIOS'!$O$5:$O$500,"&lt;=102199",'LANÇAMENTOS DIÁRIOS'!$P$5:$P$500,"&gt;=102100")&gt;0,"X","")</f>
      </c>
      <c r="S15" s="56" t="str">
        <f>IF(COUNTIFS('LANÇAMENTOS DIÁRIOS'!$G$5:$G$500,"D",'LANÇAMENTOS DIÁRIOS'!$C$5:$C$500,$A15,'LANÇAMENTOS DIÁRIOS'!$O$5:$O$500,"&lt;=102299",'LANÇAMENTOS DIÁRIOS'!$P$5:$P$500,"&gt;=102200")&gt;0,"X","")</f>
      </c>
      <c r="T15" s="56" t="str">
        <f>IF(COUNTIFS('LANÇAMENTOS DIÁRIOS'!$G$5:$G$500,"D",'LANÇAMENTOS DIÁRIOS'!$C$5:$C$500,$A15,'LANÇAMENTOS DIÁRIOS'!$O$5:$O$500,"&lt;=102399",'LANÇAMENTOS DIÁRIOS'!$P$5:$P$500,"&gt;=102300")&gt;0,"X","")</f>
      </c>
      <c r="U15" s="56" t="str">
        <f>IF(COUNTIFS('LANÇAMENTOS DIÁRIOS'!$G$5:$G$500,"D",'LANÇAMENTOS DIÁRIOS'!$C$5:$C$500,$A15,'LANÇAMENTOS DIÁRIOS'!$O$5:$O$500,"&lt;=102499",'LANÇAMENTOS DIÁRIOS'!$P$5:$P$500,"&gt;=102400")&gt;0,"X","")</f>
      </c>
      <c r="V15" s="56" t="str">
        <f>IF(COUNTIFS('LANÇAMENTOS DIÁRIOS'!$G$5:$G$500,"D",'LANÇAMENTOS DIÁRIOS'!$C$5:$C$500,$A15,'LANÇAMENTOS DIÁRIOS'!$O$5:$O$500,"&lt;=102599",'LANÇAMENTOS DIÁRIOS'!$P$5:$P$500,"&gt;=102500")&gt;0,"X","")</f>
      </c>
      <c r="W15" s="56" t="str">
        <f>IF(COUNTIFS('LANÇAMENTOS DIÁRIOS'!$G$5:$G$500,"D",'LANÇAMENTOS DIÁRIOS'!$C$5:$C$500,$A15,'LANÇAMENTOS DIÁRIOS'!$O$5:$O$500,"&lt;=102699",'LANÇAMENTOS DIÁRIOS'!$P$5:$P$500,"&gt;=102600")&gt;0,"X","")</f>
      </c>
      <c r="X15" s="56" t="str">
        <f>IF(COUNTIFS('LANÇAMENTOS DIÁRIOS'!$G$5:$G$500,"D",'LANÇAMENTOS DIÁRIOS'!$C$5:$C$500,$A15,'LANÇAMENTOS DIÁRIOS'!$O$5:$O$500,"&lt;=102799",'LANÇAMENTOS DIÁRIOS'!$P$5:$P$500,"&gt;=102700")&gt;0,"X","")</f>
      </c>
      <c r="Y15" s="56" t="str">
        <f>IF(COUNTIFS('LANÇAMENTOS DIÁRIOS'!$G$5:$G$500,"D",'LANÇAMENTOS DIÁRIOS'!$C$5:$C$500,$A15,'LANÇAMENTOS DIÁRIOS'!$O$5:$O$500,"&lt;=102899",'LANÇAMENTOS DIÁRIOS'!$P$5:$P$500,"&gt;=102800")&gt;0,"X","")</f>
      </c>
      <c r="Z15" s="56" t="str">
        <f>IF(COUNTIFS('LANÇAMENTOS DIÁRIOS'!$G$5:$G$500,"D",'LANÇAMENTOS DIÁRIOS'!$C$5:$C$500,$A15,'LANÇAMENTOS DIÁRIOS'!$O$5:$O$500,"&lt;=102999",'LANÇAMENTOS DIÁRIOS'!$P$5:$P$500,"&gt;=102900")&gt;0,"X","")</f>
      </c>
      <c r="AA15" s="56" t="str">
        <f>IF(COUNTIFS('LANÇAMENTOS DIÁRIOS'!$G$5:$G$500,"D",'LANÇAMENTOS DIÁRIOS'!$C$5:$C$500,$A15,'LANÇAMENTOS DIÁRIOS'!$O$5:$O$500,"&lt;=103099",'LANÇAMENTOS DIÁRIOS'!$P$5:$P$500,"&gt;=103000")&gt;0,"X","")</f>
      </c>
      <c r="AB15" s="56" t="str">
        <f>IF(COUNTIFS('LANÇAMENTOS DIÁRIOS'!$G$5:$G$500,"D",'LANÇAMENTOS DIÁRIOS'!$C$5:$C$500,$A15,'LANÇAMENTOS DIÁRIOS'!$O$5:$O$500,"&lt;=103199",'LANÇAMENTOS DIÁRIOS'!$P$5:$P$500,"&gt;=103100")&gt;0,"X","")</f>
      </c>
      <c r="AC15" s="56" t="str">
        <f>IF(COUNTIFS('LANÇAMENTOS DIÁRIOS'!$G$5:$G$500,"D",'LANÇAMENTOS DIÁRIOS'!$C$5:$C$500,$A15,'LANÇAMENTOS DIÁRIOS'!$O$5:$O$500,"&lt;=103299",'LANÇAMENTOS DIÁRIOS'!$P$5:$P$500,"&gt;=103200")&gt;0,"X","")</f>
      </c>
      <c r="AD15" s="56" t="str">
        <f>IF(COUNTIFS('LANÇAMENTOS DIÁRIOS'!$G$5:$G$500,"D",'LANÇAMENTOS DIÁRIOS'!$C$5:$C$500,$A15,'LANÇAMENTOS DIÁRIOS'!$O$5:$O$500,"&lt;=103399",'LANÇAMENTOS DIÁRIOS'!$P$5:$P$500,"&gt;=103300")&gt;0,"X","")</f>
      </c>
      <c r="AE15" s="56" t="str">
        <f>IF(COUNTIFS('LANÇAMENTOS DIÁRIOS'!$G$5:$G$500,"D",'LANÇAMENTOS DIÁRIOS'!$C$5:$C$500,$A15,'LANÇAMENTOS DIÁRIOS'!$O$5:$O$500,"&lt;=103499",'LANÇAMENTOS DIÁRIOS'!$P$5:$P$500,"&gt;=103400")&gt;0,"X","")</f>
      </c>
      <c r="AF15" s="56" t="str">
        <f>IF(COUNTIFS('LANÇAMENTOS DIÁRIOS'!$G$5:$G$500,"D",'LANÇAMENTOS DIÁRIOS'!$C$5:$C$500,$A15,'LANÇAMENTOS DIÁRIOS'!$O$5:$O$500,"&lt;=103599",'LANÇAMENTOS DIÁRIOS'!$P$5:$P$500,"&gt;=103500")&gt;0,"X","")</f>
      </c>
      <c r="AG15" s="56" t="str">
        <f>IF(COUNTIFS('LANÇAMENTOS DIÁRIOS'!$G$5:$G$500,"D",'LANÇAMENTOS DIÁRIOS'!$C$5:$C$500,$A15,'LANÇAMENTOS DIÁRIOS'!$O$5:$O$500,"&lt;=103699",'LANÇAMENTOS DIÁRIOS'!$P$5:$P$500,"&gt;=103600")&gt;0,"X","")</f>
      </c>
      <c r="AH15" s="56" t="str">
        <f>IF(COUNTIFS('LANÇAMENTOS DIÁRIOS'!$G$5:$G$500,"D",'LANÇAMENTOS DIÁRIOS'!$C$5:$C$500,$A15,'LANÇAMENTOS DIÁRIOS'!$O$5:$O$500,"&lt;=103799",'LANÇAMENTOS DIÁRIOS'!$P$5:$P$500,"&gt;=103700")&gt;0,"X","")</f>
      </c>
      <c r="AI15" s="56" t="str">
        <f>IF(COUNTIFS('LANÇAMENTOS DIÁRIOS'!$G$5:$G$500,"D",'LANÇAMENTOS DIÁRIOS'!$C$5:$C$500,$A15,'LANÇAMENTOS DIÁRIOS'!$O$5:$O$500,"&lt;=103899",'LANÇAMENTOS DIÁRIOS'!$P$5:$P$500,"&gt;=103800")&gt;0,"X","")</f>
      </c>
      <c r="AJ15" s="56" t="str">
        <f>IF(COUNTIFS('LANÇAMENTOS DIÁRIOS'!$G$5:$G$500,"D",'LANÇAMENTOS DIÁRIOS'!$C$5:$C$500,$A15,'LANÇAMENTOS DIÁRIOS'!$O$5:$O$500,"&lt;=103999",'LANÇAMENTOS DIÁRIOS'!$P$5:$P$500,"&gt;=103900")&gt;0,"X","")</f>
      </c>
      <c r="AK15" s="56" t="str">
        <f>IF(COUNTIFS('LANÇAMENTOS DIÁRIOS'!$G$5:$G$500,"D",'LANÇAMENTOS DIÁRIOS'!$C$5:$C$500,$A15,'LANÇAMENTOS DIÁRIOS'!$O$5:$O$500,"&lt;=104099",'LANÇAMENTOS DIÁRIOS'!$P$5:$P$500,"&gt;=104000")&gt;0,"X","")</f>
      </c>
      <c r="AL15" s="56" t="str">
        <f>IF(COUNTIFS('LANÇAMENTOS DIÁRIOS'!$G$5:$G$500,"D",'LANÇAMENTOS DIÁRIOS'!$C$5:$C$500,$A15,'LANÇAMENTOS DIÁRIOS'!$O$5:$O$500,"&lt;=104199",'LANÇAMENTOS DIÁRIOS'!$P$5:$P$500,"&gt;=104100")&gt;0,"X","")</f>
      </c>
      <c r="AM15" s="56" t="str">
        <f>IF(COUNTIFS('LANÇAMENTOS DIÁRIOS'!$G$5:$G$500,"D",'LANÇAMENTOS DIÁRIOS'!$C$5:$C$500,$A15,'LANÇAMENTOS DIÁRIOS'!$O$5:$O$500,"&lt;=104299",'LANÇAMENTOS DIÁRIOS'!$P$5:$P$500,"&gt;=104200")&gt;0,"X","")</f>
      </c>
      <c r="AN15" s="56" t="str">
        <f>IF(COUNTIFS('LANÇAMENTOS DIÁRIOS'!$G$5:$G$500,"D",'LANÇAMENTOS DIÁRIOS'!$C$5:$C$500,$A15,'LANÇAMENTOS DIÁRIOS'!$O$5:$O$500,"&lt;=104399",'LANÇAMENTOS DIÁRIOS'!$P$5:$P$500,"&gt;=104300")&gt;0,"X","")</f>
      </c>
      <c r="AO15" s="56" t="str">
        <f>IF(COUNTIFS('LANÇAMENTOS DIÁRIOS'!$G$5:$G$500,"D",'LANÇAMENTOS DIÁRIOS'!$C$5:$C$500,$A15,'LANÇAMENTOS DIÁRIOS'!$O$5:$O$500,"&lt;=104499",'LANÇAMENTOS DIÁRIOS'!$P$5:$P$500,"&gt;=104400")&gt;0,"X","")</f>
      </c>
      <c r="AP15" s="56" t="str">
        <f>IF(COUNTIFS('LANÇAMENTOS DIÁRIOS'!$G$5:$G$500,"D",'LANÇAMENTOS DIÁRIOS'!$C$5:$C$500,$A15,'LANÇAMENTOS DIÁRIOS'!$O$5:$O$500,"&lt;=104599",'LANÇAMENTOS DIÁRIOS'!$P$5:$P$500,"&gt;=104500")&gt;0,"X","")</f>
      </c>
      <c r="AQ15" s="56" t="str">
        <f>IF(COUNTIFS('LANÇAMENTOS DIÁRIOS'!$G$5:$G$500,"D",'LANÇAMENTOS DIÁRIOS'!$C$5:$C$500,$A15,'LANÇAMENTOS DIÁRIOS'!$O$5:$O$500,"&lt;=104699",'LANÇAMENTOS DIÁRIOS'!$P$5:$P$500,"&gt;=104600")&gt;0,"X","")</f>
      </c>
      <c r="AR15" s="56" t="str">
        <f>IF(COUNTIFS('LANÇAMENTOS DIÁRIOS'!$G$5:$G$500,"D",'LANÇAMENTOS DIÁRIOS'!$C$5:$C$500,$A15,'LANÇAMENTOS DIÁRIOS'!$O$5:$O$500,"&lt;=104799",'LANÇAMENTOS DIÁRIOS'!$P$5:$P$500,"&gt;=104700")&gt;0,"X","")</f>
      </c>
      <c r="AS15" s="56" t="str">
        <f>IF(COUNTIFS('LANÇAMENTOS DIÁRIOS'!$G$5:$G$500,"D",'LANÇAMENTOS DIÁRIOS'!$C$5:$C$500,$A15,'LANÇAMENTOS DIÁRIOS'!$O$5:$O$500,"&lt;=104899",'LANÇAMENTOS DIÁRIOS'!$P$5:$P$500,"&gt;=104800")&gt;0,"X","")</f>
      </c>
      <c r="AT15" s="56" t="str">
        <f>IF(COUNTIFS('LANÇAMENTOS DIÁRIOS'!$G$5:$G$500,"D",'LANÇAMENTOS DIÁRIOS'!$C$5:$C$500,$A15,'LANÇAMENTOS DIÁRIOS'!$O$5:$O$500,"&lt;=104999",'LANÇAMENTOS DIÁRIOS'!$P$5:$P$500,"&gt;=104900")&gt;0,"X","")</f>
      </c>
      <c r="AU15" s="56" t="str">
        <f>IF(COUNTIFS('LANÇAMENTOS DIÁRIOS'!$G$5:$G$500,"D",'LANÇAMENTOS DIÁRIOS'!$C$5:$C$500,$A15,'LANÇAMENTOS DIÁRIOS'!$O$5:$O$500,"&lt;=105099",'LANÇAMENTOS DIÁRIOS'!$P$5:$P$500,"&gt;=105000")&gt;0,"X","")</f>
      </c>
      <c r="AV15" s="56" t="str">
        <f>IF(COUNTIFS('LANÇAMENTOS DIÁRIOS'!$G$5:$G$500,"D",'LANÇAMENTOS DIÁRIOS'!$C$5:$C$500,$A15,'LANÇAMENTOS DIÁRIOS'!$O$5:$O$500,"&lt;=105199",'LANÇAMENTOS DIÁRIOS'!$P$5:$P$500,"&gt;=105100")&gt;0,"X","")</f>
      </c>
      <c r="AW15" s="56" t="str">
        <f>IF(COUNTIFS('LANÇAMENTOS DIÁRIOS'!$G$5:$G$500,"D",'LANÇAMENTOS DIÁRIOS'!$C$5:$C$500,$A15,'LANÇAMENTOS DIÁRIOS'!$O$5:$O$500,"&lt;=105299",'LANÇAMENTOS DIÁRIOS'!$P$5:$P$500,"&gt;=105200")&gt;0,"X","")</f>
      </c>
      <c r="AX15" s="56" t="str">
        <f>IF(COUNTIFS('LANÇAMENTOS DIÁRIOS'!$G$5:$G$500,"D",'LANÇAMENTOS DIÁRIOS'!$C$5:$C$500,$A15,'LANÇAMENTOS DIÁRIOS'!$O$5:$O$500,"&lt;=105399",'LANÇAMENTOS DIÁRIOS'!$P$5:$P$500,"&gt;=105300")&gt;0,"X","")</f>
      </c>
      <c r="AY15" s="56" t="str">
        <f>IF(COUNTIFS('LANÇAMENTOS DIÁRIOS'!$G$5:$G$500,"D",'LANÇAMENTOS DIÁRIOS'!$C$5:$C$500,$A15,'LANÇAMENTOS DIÁRIOS'!$O$5:$O$500,"&lt;=105499",'LANÇAMENTOS DIÁRIOS'!$P$5:$P$500,"&gt;=105400")&gt;0,"X","")</f>
      </c>
      <c r="AZ15" s="56" t="str">
        <f>IF(COUNTIFS('LANÇAMENTOS DIÁRIOS'!$G$5:$G$500,"D",'LANÇAMENTOS DIÁRIOS'!$C$5:$C$500,$A15,'LANÇAMENTOS DIÁRIOS'!$O$5:$O$500,"&lt;=105500",'LANÇAMENTOS DIÁRIOS'!$P$5:$P$500,"&gt;=105500")&gt;0,"X","")</f>
      </c>
    </row>
    <row r="16" ht="19" customHeight="1">
      <c r="A16" s="68" t="str">
        <v>Desvio de tráfego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</row>
    <row r="17">
      <c r="A17" s="51" t="str">
        <v>Desvio de tráfego</v>
      </c>
      <c r="B17" s="56" t="str">
        <f>IF(COUNTIFS('LANÇAMENTOS DIÁRIOS'!$G$5:$G$500,"D",'LANÇAMENTOS DIÁRIOS'!$C$5:$C$500,$A17,'LANÇAMENTOS DIÁRIOS'!$O$5:$O$500,"&lt;=100599",'LANÇAMENTOS DIÁRIOS'!$P$5:$P$500,"&gt;=100500")&gt;0,"X","")</f>
      </c>
      <c r="C17" s="56" t="str">
        <f>IF(COUNTIFS('LANÇAMENTOS DIÁRIOS'!$G$5:$G$500,"D",'LANÇAMENTOS DIÁRIOS'!$C$5:$C$500,$A17,'LANÇAMENTOS DIÁRIOS'!$O$5:$O$500,"&lt;=100699",'LANÇAMENTOS DIÁRIOS'!$P$5:$P$500,"&gt;=100600")&gt;0,"X","")</f>
      </c>
      <c r="D17" s="56" t="str">
        <f>IF(COUNTIFS('LANÇAMENTOS DIÁRIOS'!$G$5:$G$500,"D",'LANÇAMENTOS DIÁRIOS'!$C$5:$C$500,$A17,'LANÇAMENTOS DIÁRIOS'!$O$5:$O$500,"&lt;=100799",'LANÇAMENTOS DIÁRIOS'!$P$5:$P$500,"&gt;=100700")&gt;0,"X","")</f>
      </c>
      <c r="E17" s="56" t="str">
        <f>IF(COUNTIFS('LANÇAMENTOS DIÁRIOS'!$G$5:$G$500,"D",'LANÇAMENTOS DIÁRIOS'!$C$5:$C$500,$A17,'LANÇAMENTOS DIÁRIOS'!$O$5:$O$500,"&lt;=100899",'LANÇAMENTOS DIÁRIOS'!$P$5:$P$500,"&gt;=100800")&gt;0,"X","")</f>
      </c>
      <c r="F17" s="56" t="str">
        <f>IF(COUNTIFS('LANÇAMENTOS DIÁRIOS'!$G$5:$G$500,"D",'LANÇAMENTOS DIÁRIOS'!$C$5:$C$500,$A17,'LANÇAMENTOS DIÁRIOS'!$O$5:$O$500,"&lt;=100999",'LANÇAMENTOS DIÁRIOS'!$P$5:$P$500,"&gt;=100900")&gt;0,"X","")</f>
      </c>
      <c r="G17" s="56" t="str">
        <f>IF(COUNTIFS('LANÇAMENTOS DIÁRIOS'!$G$5:$G$500,"D",'LANÇAMENTOS DIÁRIOS'!$C$5:$C$500,$A17,'LANÇAMENTOS DIÁRIOS'!$O$5:$O$500,"&lt;=101099",'LANÇAMENTOS DIÁRIOS'!$P$5:$P$500,"&gt;=101000")&gt;0,"X","")</f>
      </c>
      <c r="H17" s="56" t="str">
        <f>IF(COUNTIFS('LANÇAMENTOS DIÁRIOS'!$G$5:$G$500,"D",'LANÇAMENTOS DIÁRIOS'!$C$5:$C$500,$A17,'LANÇAMENTOS DIÁRIOS'!$O$5:$O$500,"&lt;=101199",'LANÇAMENTOS DIÁRIOS'!$P$5:$P$500,"&gt;=101100")&gt;0,"X","")</f>
      </c>
      <c r="I17" s="56" t="str">
        <f>IF(COUNTIFS('LANÇAMENTOS DIÁRIOS'!$G$5:$G$500,"D",'LANÇAMENTOS DIÁRIOS'!$C$5:$C$500,$A17,'LANÇAMENTOS DIÁRIOS'!$O$5:$O$500,"&lt;=101299",'LANÇAMENTOS DIÁRIOS'!$P$5:$P$500,"&gt;=101200")&gt;0,"X","")</f>
      </c>
      <c r="J17" s="56" t="str">
        <f>IF(COUNTIFS('LANÇAMENTOS DIÁRIOS'!$G$5:$G$500,"D",'LANÇAMENTOS DIÁRIOS'!$C$5:$C$500,$A17,'LANÇAMENTOS DIÁRIOS'!$O$5:$O$500,"&lt;=101399",'LANÇAMENTOS DIÁRIOS'!$P$5:$P$500,"&gt;=101300")&gt;0,"X","")</f>
      </c>
      <c r="K17" s="56" t="str">
        <f>IF(COUNTIFS('LANÇAMENTOS DIÁRIOS'!$G$5:$G$500,"D",'LANÇAMENTOS DIÁRIOS'!$C$5:$C$500,$A17,'LANÇAMENTOS DIÁRIOS'!$O$5:$O$500,"&lt;=101499",'LANÇAMENTOS DIÁRIOS'!$P$5:$P$500,"&gt;=101400")&gt;0,"X","")</f>
      </c>
      <c r="L17" s="56" t="str">
        <f>IF(COUNTIFS('LANÇAMENTOS DIÁRIOS'!$G$5:$G$500,"D",'LANÇAMENTOS DIÁRIOS'!$C$5:$C$500,$A17,'LANÇAMENTOS DIÁRIOS'!$O$5:$O$500,"&lt;=101599",'LANÇAMENTOS DIÁRIOS'!$P$5:$P$500,"&gt;=101500")&gt;0,"X","")</f>
      </c>
      <c r="M17" s="56" t="str">
        <f>IF(COUNTIFS('LANÇAMENTOS DIÁRIOS'!$G$5:$G$500,"D",'LANÇAMENTOS DIÁRIOS'!$C$5:$C$500,$A17,'LANÇAMENTOS DIÁRIOS'!$O$5:$O$500,"&lt;=101699",'LANÇAMENTOS DIÁRIOS'!$P$5:$P$500,"&gt;=101600")&gt;0,"X","")</f>
      </c>
      <c r="N17" s="56" t="str">
        <f>IF(COUNTIFS('LANÇAMENTOS DIÁRIOS'!$G$5:$G$500,"D",'LANÇAMENTOS DIÁRIOS'!$C$5:$C$500,$A17,'LANÇAMENTOS DIÁRIOS'!$O$5:$O$500,"&lt;=101799",'LANÇAMENTOS DIÁRIOS'!$P$5:$P$500,"&gt;=101700")&gt;0,"X","")</f>
      </c>
      <c r="O17" s="56" t="str">
        <f>IF(COUNTIFS('LANÇAMENTOS DIÁRIOS'!$G$5:$G$500,"D",'LANÇAMENTOS DIÁRIOS'!$C$5:$C$500,$A17,'LANÇAMENTOS DIÁRIOS'!$O$5:$O$500,"&lt;=101899",'LANÇAMENTOS DIÁRIOS'!$P$5:$P$500,"&gt;=101800")&gt;0,"X","")</f>
      </c>
      <c r="P17" s="56" t="str">
        <f>IF(COUNTIFS('LANÇAMENTOS DIÁRIOS'!$G$5:$G$500,"D",'LANÇAMENTOS DIÁRIOS'!$C$5:$C$500,$A17,'LANÇAMENTOS DIÁRIOS'!$O$5:$O$500,"&lt;=101999",'LANÇAMENTOS DIÁRIOS'!$P$5:$P$500,"&gt;=101900")&gt;0,"X","")</f>
      </c>
      <c r="Q17" s="56" t="str">
        <f>IF(COUNTIFS('LANÇAMENTOS DIÁRIOS'!$G$5:$G$500,"D",'LANÇAMENTOS DIÁRIOS'!$C$5:$C$500,$A17,'LANÇAMENTOS DIÁRIOS'!$O$5:$O$500,"&lt;=102099",'LANÇAMENTOS DIÁRIOS'!$P$5:$P$500,"&gt;=102000")&gt;0,"X","")</f>
      </c>
      <c r="R17" s="56" t="str">
        <f>IF(COUNTIFS('LANÇAMENTOS DIÁRIOS'!$G$5:$G$500,"D",'LANÇAMENTOS DIÁRIOS'!$C$5:$C$500,$A17,'LANÇAMENTOS DIÁRIOS'!$O$5:$O$500,"&lt;=102199",'LANÇAMENTOS DIÁRIOS'!$P$5:$P$500,"&gt;=102100")&gt;0,"X","")</f>
      </c>
      <c r="S17" s="56" t="str">
        <f>IF(COUNTIFS('LANÇAMENTOS DIÁRIOS'!$G$5:$G$500,"D",'LANÇAMENTOS DIÁRIOS'!$C$5:$C$500,$A17,'LANÇAMENTOS DIÁRIOS'!$O$5:$O$500,"&lt;=102299",'LANÇAMENTOS DIÁRIOS'!$P$5:$P$500,"&gt;=102200")&gt;0,"X","")</f>
      </c>
      <c r="T17" s="56" t="str">
        <f>IF(COUNTIFS('LANÇAMENTOS DIÁRIOS'!$G$5:$G$500,"D",'LANÇAMENTOS DIÁRIOS'!$C$5:$C$500,$A17,'LANÇAMENTOS DIÁRIOS'!$O$5:$O$500,"&lt;=102399",'LANÇAMENTOS DIÁRIOS'!$P$5:$P$500,"&gt;=102300")&gt;0,"X","")</f>
      </c>
      <c r="U17" s="56" t="str">
        <f>IF(COUNTIFS('LANÇAMENTOS DIÁRIOS'!$G$5:$G$500,"D",'LANÇAMENTOS DIÁRIOS'!$C$5:$C$500,$A17,'LANÇAMENTOS DIÁRIOS'!$O$5:$O$500,"&lt;=102499",'LANÇAMENTOS DIÁRIOS'!$P$5:$P$500,"&gt;=102400")&gt;0,"X","")</f>
      </c>
      <c r="V17" s="56" t="str">
        <f>IF(COUNTIFS('LANÇAMENTOS DIÁRIOS'!$G$5:$G$500,"D",'LANÇAMENTOS DIÁRIOS'!$C$5:$C$500,$A17,'LANÇAMENTOS DIÁRIOS'!$O$5:$O$500,"&lt;=102599",'LANÇAMENTOS DIÁRIOS'!$P$5:$P$500,"&gt;=102500")&gt;0,"X","")</f>
      </c>
      <c r="W17" s="56" t="str">
        <f>IF(COUNTIFS('LANÇAMENTOS DIÁRIOS'!$G$5:$G$500,"D",'LANÇAMENTOS DIÁRIOS'!$C$5:$C$500,$A17,'LANÇAMENTOS DIÁRIOS'!$O$5:$O$500,"&lt;=102699",'LANÇAMENTOS DIÁRIOS'!$P$5:$P$500,"&gt;=102600")&gt;0,"X","")</f>
      </c>
      <c r="X17" s="56" t="str">
        <f>IF(COUNTIFS('LANÇAMENTOS DIÁRIOS'!$G$5:$G$500,"D",'LANÇAMENTOS DIÁRIOS'!$C$5:$C$500,$A17,'LANÇAMENTOS DIÁRIOS'!$O$5:$O$500,"&lt;=102799",'LANÇAMENTOS DIÁRIOS'!$P$5:$P$500,"&gt;=102700")&gt;0,"X","")</f>
      </c>
      <c r="Y17" s="56" t="str">
        <f>IF(COUNTIFS('LANÇAMENTOS DIÁRIOS'!$G$5:$G$500,"D",'LANÇAMENTOS DIÁRIOS'!$C$5:$C$500,$A17,'LANÇAMENTOS DIÁRIOS'!$O$5:$O$500,"&lt;=102899",'LANÇAMENTOS DIÁRIOS'!$P$5:$P$500,"&gt;=102800")&gt;0,"X","")</f>
      </c>
      <c r="Z17" s="56" t="str">
        <f>IF(COUNTIFS('LANÇAMENTOS DIÁRIOS'!$G$5:$G$500,"D",'LANÇAMENTOS DIÁRIOS'!$C$5:$C$500,$A17,'LANÇAMENTOS DIÁRIOS'!$O$5:$O$500,"&lt;=102999",'LANÇAMENTOS DIÁRIOS'!$P$5:$P$500,"&gt;=102900")&gt;0,"X","")</f>
      </c>
      <c r="AA17" s="56" t="str">
        <f>IF(COUNTIFS('LANÇAMENTOS DIÁRIOS'!$G$5:$G$500,"D",'LANÇAMENTOS DIÁRIOS'!$C$5:$C$500,$A17,'LANÇAMENTOS DIÁRIOS'!$O$5:$O$500,"&lt;=103099",'LANÇAMENTOS DIÁRIOS'!$P$5:$P$500,"&gt;=103000")&gt;0,"X","")</f>
      </c>
      <c r="AB17" s="56" t="str">
        <f>IF(COUNTIFS('LANÇAMENTOS DIÁRIOS'!$G$5:$G$500,"D",'LANÇAMENTOS DIÁRIOS'!$C$5:$C$500,$A17,'LANÇAMENTOS DIÁRIOS'!$O$5:$O$500,"&lt;=103199",'LANÇAMENTOS DIÁRIOS'!$P$5:$P$500,"&gt;=103100")&gt;0,"X","")</f>
      </c>
      <c r="AC17" s="56" t="str">
        <f>IF(COUNTIFS('LANÇAMENTOS DIÁRIOS'!$G$5:$G$500,"D",'LANÇAMENTOS DIÁRIOS'!$C$5:$C$500,$A17,'LANÇAMENTOS DIÁRIOS'!$O$5:$O$500,"&lt;=103299",'LANÇAMENTOS DIÁRIOS'!$P$5:$P$500,"&gt;=103200")&gt;0,"X","")</f>
      </c>
      <c r="AD17" s="56" t="str">
        <f>IF(COUNTIFS('LANÇAMENTOS DIÁRIOS'!$G$5:$G$500,"D",'LANÇAMENTOS DIÁRIOS'!$C$5:$C$500,$A17,'LANÇAMENTOS DIÁRIOS'!$O$5:$O$500,"&lt;=103399",'LANÇAMENTOS DIÁRIOS'!$P$5:$P$500,"&gt;=103300")&gt;0,"X","")</f>
      </c>
      <c r="AE17" s="56" t="str">
        <f>IF(COUNTIFS('LANÇAMENTOS DIÁRIOS'!$G$5:$G$500,"D",'LANÇAMENTOS DIÁRIOS'!$C$5:$C$500,$A17,'LANÇAMENTOS DIÁRIOS'!$O$5:$O$500,"&lt;=103499",'LANÇAMENTOS DIÁRIOS'!$P$5:$P$500,"&gt;=103400")&gt;0,"X","")</f>
      </c>
      <c r="AF17" s="56" t="str">
        <f>IF(COUNTIFS('LANÇAMENTOS DIÁRIOS'!$G$5:$G$500,"D",'LANÇAMENTOS DIÁRIOS'!$C$5:$C$500,$A17,'LANÇAMENTOS DIÁRIOS'!$O$5:$O$500,"&lt;=103599",'LANÇAMENTOS DIÁRIOS'!$P$5:$P$500,"&gt;=103500")&gt;0,"X","")</f>
      </c>
      <c r="AG17" s="56" t="str">
        <f>IF(COUNTIFS('LANÇAMENTOS DIÁRIOS'!$G$5:$G$500,"D",'LANÇAMENTOS DIÁRIOS'!$C$5:$C$500,$A17,'LANÇAMENTOS DIÁRIOS'!$O$5:$O$500,"&lt;=103699",'LANÇAMENTOS DIÁRIOS'!$P$5:$P$500,"&gt;=103600")&gt;0,"X","")</f>
      </c>
      <c r="AH17" s="56" t="str">
        <f>IF(COUNTIFS('LANÇAMENTOS DIÁRIOS'!$G$5:$G$500,"D",'LANÇAMENTOS DIÁRIOS'!$C$5:$C$500,$A17,'LANÇAMENTOS DIÁRIOS'!$O$5:$O$500,"&lt;=103799",'LANÇAMENTOS DIÁRIOS'!$P$5:$P$500,"&gt;=103700")&gt;0,"X","")</f>
      </c>
      <c r="AI17" s="56" t="str">
        <f>IF(COUNTIFS('LANÇAMENTOS DIÁRIOS'!$G$5:$G$500,"D",'LANÇAMENTOS DIÁRIOS'!$C$5:$C$500,$A17,'LANÇAMENTOS DIÁRIOS'!$O$5:$O$500,"&lt;=103899",'LANÇAMENTOS DIÁRIOS'!$P$5:$P$500,"&gt;=103800")&gt;0,"X","")</f>
      </c>
      <c r="AJ17" s="56" t="str">
        <f>IF(COUNTIFS('LANÇAMENTOS DIÁRIOS'!$G$5:$G$500,"D",'LANÇAMENTOS DIÁRIOS'!$C$5:$C$500,$A17,'LANÇAMENTOS DIÁRIOS'!$O$5:$O$500,"&lt;=103999",'LANÇAMENTOS DIÁRIOS'!$P$5:$P$500,"&gt;=103900")&gt;0,"X","")</f>
      </c>
      <c r="AK17" s="56" t="str">
        <f>IF(COUNTIFS('LANÇAMENTOS DIÁRIOS'!$G$5:$G$500,"D",'LANÇAMENTOS DIÁRIOS'!$C$5:$C$500,$A17,'LANÇAMENTOS DIÁRIOS'!$O$5:$O$500,"&lt;=104099",'LANÇAMENTOS DIÁRIOS'!$P$5:$P$500,"&gt;=104000")&gt;0,"X","")</f>
      </c>
      <c r="AL17" s="56" t="str">
        <f>IF(COUNTIFS('LANÇAMENTOS DIÁRIOS'!$G$5:$G$500,"D",'LANÇAMENTOS DIÁRIOS'!$C$5:$C$500,$A17,'LANÇAMENTOS DIÁRIOS'!$O$5:$O$500,"&lt;=104199",'LANÇAMENTOS DIÁRIOS'!$P$5:$P$500,"&gt;=104100")&gt;0,"X","")</f>
      </c>
      <c r="AM17" s="56" t="str">
        <f>IF(COUNTIFS('LANÇAMENTOS DIÁRIOS'!$G$5:$G$500,"D",'LANÇAMENTOS DIÁRIOS'!$C$5:$C$500,$A17,'LANÇAMENTOS DIÁRIOS'!$O$5:$O$500,"&lt;=104299",'LANÇAMENTOS DIÁRIOS'!$P$5:$P$500,"&gt;=104200")&gt;0,"X","")</f>
      </c>
      <c r="AN17" s="56" t="str">
        <f>IF(COUNTIFS('LANÇAMENTOS DIÁRIOS'!$G$5:$G$500,"D",'LANÇAMENTOS DIÁRIOS'!$C$5:$C$500,$A17,'LANÇAMENTOS DIÁRIOS'!$O$5:$O$500,"&lt;=104399",'LANÇAMENTOS DIÁRIOS'!$P$5:$P$500,"&gt;=104300")&gt;0,"X","")</f>
      </c>
      <c r="AO17" s="56" t="str">
        <f>IF(COUNTIFS('LANÇAMENTOS DIÁRIOS'!$G$5:$G$500,"D",'LANÇAMENTOS DIÁRIOS'!$C$5:$C$500,$A17,'LANÇAMENTOS DIÁRIOS'!$O$5:$O$500,"&lt;=104499",'LANÇAMENTOS DIÁRIOS'!$P$5:$P$500,"&gt;=104400")&gt;0,"X","")</f>
      </c>
      <c r="AP17" s="56" t="str">
        <f>IF(COUNTIFS('LANÇAMENTOS DIÁRIOS'!$G$5:$G$500,"D",'LANÇAMENTOS DIÁRIOS'!$C$5:$C$500,$A17,'LANÇAMENTOS DIÁRIOS'!$O$5:$O$500,"&lt;=104599",'LANÇAMENTOS DIÁRIOS'!$P$5:$P$500,"&gt;=104500")&gt;0,"X","")</f>
      </c>
      <c r="AQ17" s="56" t="str">
        <f>IF(COUNTIFS('LANÇAMENTOS DIÁRIOS'!$G$5:$G$500,"D",'LANÇAMENTOS DIÁRIOS'!$C$5:$C$500,$A17,'LANÇAMENTOS DIÁRIOS'!$O$5:$O$500,"&lt;=104699",'LANÇAMENTOS DIÁRIOS'!$P$5:$P$500,"&gt;=104600")&gt;0,"X","")</f>
      </c>
      <c r="AR17" s="56" t="str">
        <f>IF(COUNTIFS('LANÇAMENTOS DIÁRIOS'!$G$5:$G$500,"D",'LANÇAMENTOS DIÁRIOS'!$C$5:$C$500,$A17,'LANÇAMENTOS DIÁRIOS'!$O$5:$O$500,"&lt;=104799",'LANÇAMENTOS DIÁRIOS'!$P$5:$P$500,"&gt;=104700")&gt;0,"X","")</f>
      </c>
      <c r="AS17" s="56" t="str">
        <f>IF(COUNTIFS('LANÇAMENTOS DIÁRIOS'!$G$5:$G$500,"D",'LANÇAMENTOS DIÁRIOS'!$C$5:$C$500,$A17,'LANÇAMENTOS DIÁRIOS'!$O$5:$O$500,"&lt;=104899",'LANÇAMENTOS DIÁRIOS'!$P$5:$P$500,"&gt;=104800")&gt;0,"X","")</f>
      </c>
      <c r="AT17" s="56" t="str">
        <f>IF(COUNTIFS('LANÇAMENTOS DIÁRIOS'!$G$5:$G$500,"D",'LANÇAMENTOS DIÁRIOS'!$C$5:$C$500,$A17,'LANÇAMENTOS DIÁRIOS'!$O$5:$O$500,"&lt;=104999",'LANÇAMENTOS DIÁRIOS'!$P$5:$P$500,"&gt;=104900")&gt;0,"X","")</f>
      </c>
      <c r="AU17" s="56" t="str">
        <f>IF(COUNTIFS('LANÇAMENTOS DIÁRIOS'!$G$5:$G$500,"D",'LANÇAMENTOS DIÁRIOS'!$C$5:$C$500,$A17,'LANÇAMENTOS DIÁRIOS'!$O$5:$O$500,"&lt;=105099",'LANÇAMENTOS DIÁRIOS'!$P$5:$P$500,"&gt;=105000")&gt;0,"X","")</f>
      </c>
      <c r="AV17" s="56" t="str">
        <f>IF(COUNTIFS('LANÇAMENTOS DIÁRIOS'!$G$5:$G$500,"D",'LANÇAMENTOS DIÁRIOS'!$C$5:$C$500,$A17,'LANÇAMENTOS DIÁRIOS'!$O$5:$O$500,"&lt;=105199",'LANÇAMENTOS DIÁRIOS'!$P$5:$P$500,"&gt;=105100")&gt;0,"X","")</f>
      </c>
      <c r="AW17" s="56" t="str">
        <f>IF(COUNTIFS('LANÇAMENTOS DIÁRIOS'!$G$5:$G$500,"D",'LANÇAMENTOS DIÁRIOS'!$C$5:$C$500,$A17,'LANÇAMENTOS DIÁRIOS'!$O$5:$O$500,"&lt;=105299",'LANÇAMENTOS DIÁRIOS'!$P$5:$P$500,"&gt;=105200")&gt;0,"X","")</f>
      </c>
      <c r="AX17" s="56" t="str">
        <f>IF(COUNTIFS('LANÇAMENTOS DIÁRIOS'!$G$5:$G$500,"D",'LANÇAMENTOS DIÁRIOS'!$C$5:$C$500,$A17,'LANÇAMENTOS DIÁRIOS'!$O$5:$O$500,"&lt;=105399",'LANÇAMENTOS DIÁRIOS'!$P$5:$P$500,"&gt;=105300")&gt;0,"X","")</f>
      </c>
      <c r="AY17" s="56" t="str">
        <f>IF(COUNTIFS('LANÇAMENTOS DIÁRIOS'!$G$5:$G$500,"D",'LANÇAMENTOS DIÁRIOS'!$C$5:$C$500,$A17,'LANÇAMENTOS DIÁRIOS'!$O$5:$O$500,"&lt;=105499",'LANÇAMENTOS DIÁRIOS'!$P$5:$P$500,"&gt;=105400")&gt;0,"X","")</f>
      </c>
      <c r="AZ17" s="56" t="str">
        <f>IF(COUNTIFS('LANÇAMENTOS DIÁRIOS'!$G$5:$G$500,"D",'LANÇAMENTOS DIÁRIOS'!$C$5:$C$500,$A17,'LANÇAMENTOS DIÁRIOS'!$O$5:$O$500,"&lt;=105500",'LANÇAMENTOS DIÁRIOS'!$P$5:$P$500,"&gt;=105500")&gt;0,"X","")</f>
      </c>
    </row>
    <row r="18" ht="19" customHeight="1">
      <c r="A18" s="68" t="str">
        <v>Acondicionamento da faixa de domínio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</row>
    <row r="19">
      <c r="A19" s="51" t="str">
        <v>Remanejamento de placa de sinalização instalada no solo, suporte de madeira</v>
      </c>
      <c r="B19" s="56" t="str">
        <f>IF(COUNTIFS('LANÇAMENTOS DIÁRIOS'!$G$5:$G$500,"D",'LANÇAMENTOS DIÁRIOS'!$C$5:$C$500,$A19,'LANÇAMENTOS DIÁRIOS'!$O$5:$O$500,"&lt;=100599",'LANÇAMENTOS DIÁRIOS'!$P$5:$P$500,"&gt;=100500")&gt;0,"X","")</f>
      </c>
      <c r="C19" s="56" t="str">
        <f>IF(COUNTIFS('LANÇAMENTOS DIÁRIOS'!$G$5:$G$500,"D",'LANÇAMENTOS DIÁRIOS'!$C$5:$C$500,$A19,'LANÇAMENTOS DIÁRIOS'!$O$5:$O$500,"&lt;=100699",'LANÇAMENTOS DIÁRIOS'!$P$5:$P$500,"&gt;=100600")&gt;0,"X","")</f>
      </c>
      <c r="D19" s="56" t="str">
        <f>IF(COUNTIFS('LANÇAMENTOS DIÁRIOS'!$G$5:$G$500,"D",'LANÇAMENTOS DIÁRIOS'!$C$5:$C$500,$A19,'LANÇAMENTOS DIÁRIOS'!$O$5:$O$500,"&lt;=100799",'LANÇAMENTOS DIÁRIOS'!$P$5:$P$500,"&gt;=100700")&gt;0,"X","")</f>
      </c>
      <c r="E19" s="56" t="str">
        <f>IF(COUNTIFS('LANÇAMENTOS DIÁRIOS'!$G$5:$G$500,"D",'LANÇAMENTOS DIÁRIOS'!$C$5:$C$500,$A19,'LANÇAMENTOS DIÁRIOS'!$O$5:$O$500,"&lt;=100899",'LANÇAMENTOS DIÁRIOS'!$P$5:$P$500,"&gt;=100800")&gt;0,"X","")</f>
      </c>
      <c r="F19" s="56" t="str">
        <f>IF(COUNTIFS('LANÇAMENTOS DIÁRIOS'!$G$5:$G$500,"D",'LANÇAMENTOS DIÁRIOS'!$C$5:$C$500,$A19,'LANÇAMENTOS DIÁRIOS'!$O$5:$O$500,"&lt;=100999",'LANÇAMENTOS DIÁRIOS'!$P$5:$P$500,"&gt;=100900")&gt;0,"X","")</f>
      </c>
      <c r="G19" s="56" t="str">
        <f>IF(COUNTIFS('LANÇAMENTOS DIÁRIOS'!$G$5:$G$500,"D",'LANÇAMENTOS DIÁRIOS'!$C$5:$C$500,$A19,'LANÇAMENTOS DIÁRIOS'!$O$5:$O$500,"&lt;=101099",'LANÇAMENTOS DIÁRIOS'!$P$5:$P$500,"&gt;=101000")&gt;0,"X","")</f>
      </c>
      <c r="H19" s="56" t="str">
        <f>IF(COUNTIFS('LANÇAMENTOS DIÁRIOS'!$G$5:$G$500,"D",'LANÇAMENTOS DIÁRIOS'!$C$5:$C$500,$A19,'LANÇAMENTOS DIÁRIOS'!$O$5:$O$500,"&lt;=101199",'LANÇAMENTOS DIÁRIOS'!$P$5:$P$500,"&gt;=101100")&gt;0,"X","")</f>
      </c>
      <c r="I19" s="56" t="str">
        <f>IF(COUNTIFS('LANÇAMENTOS DIÁRIOS'!$G$5:$G$500,"D",'LANÇAMENTOS DIÁRIOS'!$C$5:$C$500,$A19,'LANÇAMENTOS DIÁRIOS'!$O$5:$O$500,"&lt;=101299",'LANÇAMENTOS DIÁRIOS'!$P$5:$P$500,"&gt;=101200")&gt;0,"X","")</f>
      </c>
      <c r="J19" s="56" t="str">
        <f>IF(COUNTIFS('LANÇAMENTOS DIÁRIOS'!$G$5:$G$500,"D",'LANÇAMENTOS DIÁRIOS'!$C$5:$C$500,$A19,'LANÇAMENTOS DIÁRIOS'!$O$5:$O$500,"&lt;=101399",'LANÇAMENTOS DIÁRIOS'!$P$5:$P$500,"&gt;=101300")&gt;0,"X","")</f>
      </c>
      <c r="K19" s="56" t="str">
        <f>IF(COUNTIFS('LANÇAMENTOS DIÁRIOS'!$G$5:$G$500,"D",'LANÇAMENTOS DIÁRIOS'!$C$5:$C$500,$A19,'LANÇAMENTOS DIÁRIOS'!$O$5:$O$500,"&lt;=101499",'LANÇAMENTOS DIÁRIOS'!$P$5:$P$500,"&gt;=101400")&gt;0,"X","")</f>
      </c>
      <c r="L19" s="56" t="str">
        <f>IF(COUNTIFS('LANÇAMENTOS DIÁRIOS'!$G$5:$G$500,"D",'LANÇAMENTOS DIÁRIOS'!$C$5:$C$500,$A19,'LANÇAMENTOS DIÁRIOS'!$O$5:$O$500,"&lt;=101599",'LANÇAMENTOS DIÁRIOS'!$P$5:$P$500,"&gt;=101500")&gt;0,"X","")</f>
      </c>
      <c r="M19" s="56" t="str">
        <f>IF(COUNTIFS('LANÇAMENTOS DIÁRIOS'!$G$5:$G$500,"D",'LANÇAMENTOS DIÁRIOS'!$C$5:$C$500,$A19,'LANÇAMENTOS DIÁRIOS'!$O$5:$O$500,"&lt;=101699",'LANÇAMENTOS DIÁRIOS'!$P$5:$P$500,"&gt;=101600")&gt;0,"X","")</f>
      </c>
      <c r="N19" s="56" t="str">
        <f>IF(COUNTIFS('LANÇAMENTOS DIÁRIOS'!$G$5:$G$500,"D",'LANÇAMENTOS DIÁRIOS'!$C$5:$C$500,$A19,'LANÇAMENTOS DIÁRIOS'!$O$5:$O$500,"&lt;=101799",'LANÇAMENTOS DIÁRIOS'!$P$5:$P$500,"&gt;=101700")&gt;0,"X","")</f>
      </c>
      <c r="O19" s="56" t="str">
        <f>IF(COUNTIFS('LANÇAMENTOS DIÁRIOS'!$G$5:$G$500,"D",'LANÇAMENTOS DIÁRIOS'!$C$5:$C$500,$A19,'LANÇAMENTOS DIÁRIOS'!$O$5:$O$500,"&lt;=101899",'LANÇAMENTOS DIÁRIOS'!$P$5:$P$500,"&gt;=101800")&gt;0,"X","")</f>
      </c>
      <c r="P19" s="56" t="str">
        <f>IF(COUNTIFS('LANÇAMENTOS DIÁRIOS'!$G$5:$G$500,"D",'LANÇAMENTOS DIÁRIOS'!$C$5:$C$500,$A19,'LANÇAMENTOS DIÁRIOS'!$O$5:$O$500,"&lt;=101999",'LANÇAMENTOS DIÁRIOS'!$P$5:$P$500,"&gt;=101900")&gt;0,"X","")</f>
      </c>
      <c r="Q19" s="56" t="str">
        <f>IF(COUNTIFS('LANÇAMENTOS DIÁRIOS'!$G$5:$G$500,"D",'LANÇAMENTOS DIÁRIOS'!$C$5:$C$500,$A19,'LANÇAMENTOS DIÁRIOS'!$O$5:$O$500,"&lt;=102099",'LANÇAMENTOS DIÁRIOS'!$P$5:$P$500,"&gt;=102000")&gt;0,"X","")</f>
      </c>
      <c r="R19" s="56" t="str">
        <f>IF(COUNTIFS('LANÇAMENTOS DIÁRIOS'!$G$5:$G$500,"D",'LANÇAMENTOS DIÁRIOS'!$C$5:$C$500,$A19,'LANÇAMENTOS DIÁRIOS'!$O$5:$O$500,"&lt;=102199",'LANÇAMENTOS DIÁRIOS'!$P$5:$P$500,"&gt;=102100")&gt;0,"X","")</f>
      </c>
      <c r="S19" s="56" t="str">
        <f>IF(COUNTIFS('LANÇAMENTOS DIÁRIOS'!$G$5:$G$500,"D",'LANÇAMENTOS DIÁRIOS'!$C$5:$C$500,$A19,'LANÇAMENTOS DIÁRIOS'!$O$5:$O$500,"&lt;=102299",'LANÇAMENTOS DIÁRIOS'!$P$5:$P$500,"&gt;=102200")&gt;0,"X","")</f>
      </c>
      <c r="T19" s="56" t="str">
        <f>IF(COUNTIFS('LANÇAMENTOS DIÁRIOS'!$G$5:$G$500,"D",'LANÇAMENTOS DIÁRIOS'!$C$5:$C$500,$A19,'LANÇAMENTOS DIÁRIOS'!$O$5:$O$500,"&lt;=102399",'LANÇAMENTOS DIÁRIOS'!$P$5:$P$500,"&gt;=102300")&gt;0,"X","")</f>
      </c>
      <c r="U19" s="56" t="str">
        <f>IF(COUNTIFS('LANÇAMENTOS DIÁRIOS'!$G$5:$G$500,"D",'LANÇAMENTOS DIÁRIOS'!$C$5:$C$500,$A19,'LANÇAMENTOS DIÁRIOS'!$O$5:$O$500,"&lt;=102499",'LANÇAMENTOS DIÁRIOS'!$P$5:$P$500,"&gt;=102400")&gt;0,"X","")</f>
      </c>
      <c r="V19" s="56" t="str">
        <f>IF(COUNTIFS('LANÇAMENTOS DIÁRIOS'!$G$5:$G$500,"D",'LANÇAMENTOS DIÁRIOS'!$C$5:$C$500,$A19,'LANÇAMENTOS DIÁRIOS'!$O$5:$O$500,"&lt;=102599",'LANÇAMENTOS DIÁRIOS'!$P$5:$P$500,"&gt;=102500")&gt;0,"X","")</f>
      </c>
      <c r="W19" s="56" t="str">
        <f>IF(COUNTIFS('LANÇAMENTOS DIÁRIOS'!$G$5:$G$500,"D",'LANÇAMENTOS DIÁRIOS'!$C$5:$C$500,$A19,'LANÇAMENTOS DIÁRIOS'!$O$5:$O$500,"&lt;=102699",'LANÇAMENTOS DIÁRIOS'!$P$5:$P$500,"&gt;=102600")&gt;0,"X","")</f>
      </c>
      <c r="X19" s="56" t="str">
        <f>IF(COUNTIFS('LANÇAMENTOS DIÁRIOS'!$G$5:$G$500,"D",'LANÇAMENTOS DIÁRIOS'!$C$5:$C$500,$A19,'LANÇAMENTOS DIÁRIOS'!$O$5:$O$500,"&lt;=102799",'LANÇAMENTOS DIÁRIOS'!$P$5:$P$500,"&gt;=102700")&gt;0,"X","")</f>
      </c>
      <c r="Y19" s="56" t="str">
        <f>IF(COUNTIFS('LANÇAMENTOS DIÁRIOS'!$G$5:$G$500,"D",'LANÇAMENTOS DIÁRIOS'!$C$5:$C$500,$A19,'LANÇAMENTOS DIÁRIOS'!$O$5:$O$500,"&lt;=102899",'LANÇAMENTOS DIÁRIOS'!$P$5:$P$500,"&gt;=102800")&gt;0,"X","")</f>
      </c>
      <c r="Z19" s="56" t="str">
        <f>IF(COUNTIFS('LANÇAMENTOS DIÁRIOS'!$G$5:$G$500,"D",'LANÇAMENTOS DIÁRIOS'!$C$5:$C$500,$A19,'LANÇAMENTOS DIÁRIOS'!$O$5:$O$500,"&lt;=102999",'LANÇAMENTOS DIÁRIOS'!$P$5:$P$500,"&gt;=102900")&gt;0,"X","")</f>
      </c>
      <c r="AA19" s="56" t="str">
        <f>IF(COUNTIFS('LANÇAMENTOS DIÁRIOS'!$G$5:$G$500,"D",'LANÇAMENTOS DIÁRIOS'!$C$5:$C$500,$A19,'LANÇAMENTOS DIÁRIOS'!$O$5:$O$500,"&lt;=103099",'LANÇAMENTOS DIÁRIOS'!$P$5:$P$500,"&gt;=103000")&gt;0,"X","")</f>
      </c>
      <c r="AB19" s="56" t="str">
        <f>IF(COUNTIFS('LANÇAMENTOS DIÁRIOS'!$G$5:$G$500,"D",'LANÇAMENTOS DIÁRIOS'!$C$5:$C$500,$A19,'LANÇAMENTOS DIÁRIOS'!$O$5:$O$500,"&lt;=103199",'LANÇAMENTOS DIÁRIOS'!$P$5:$P$500,"&gt;=103100")&gt;0,"X","")</f>
      </c>
      <c r="AC19" s="56" t="str">
        <f>IF(COUNTIFS('LANÇAMENTOS DIÁRIOS'!$G$5:$G$500,"D",'LANÇAMENTOS DIÁRIOS'!$C$5:$C$500,$A19,'LANÇAMENTOS DIÁRIOS'!$O$5:$O$500,"&lt;=103299",'LANÇAMENTOS DIÁRIOS'!$P$5:$P$500,"&gt;=103200")&gt;0,"X","")</f>
      </c>
      <c r="AD19" s="56" t="str">
        <f>IF(COUNTIFS('LANÇAMENTOS DIÁRIOS'!$G$5:$G$500,"D",'LANÇAMENTOS DIÁRIOS'!$C$5:$C$500,$A19,'LANÇAMENTOS DIÁRIOS'!$O$5:$O$500,"&lt;=103399",'LANÇAMENTOS DIÁRIOS'!$P$5:$P$500,"&gt;=103300")&gt;0,"X","")</f>
      </c>
      <c r="AE19" s="56" t="str">
        <f>IF(COUNTIFS('LANÇAMENTOS DIÁRIOS'!$G$5:$G$500,"D",'LANÇAMENTOS DIÁRIOS'!$C$5:$C$500,$A19,'LANÇAMENTOS DIÁRIOS'!$O$5:$O$500,"&lt;=103499",'LANÇAMENTOS DIÁRIOS'!$P$5:$P$500,"&gt;=103400")&gt;0,"X","")</f>
      </c>
      <c r="AF19" s="56" t="str">
        <f>IF(COUNTIFS('LANÇAMENTOS DIÁRIOS'!$G$5:$G$500,"D",'LANÇAMENTOS DIÁRIOS'!$C$5:$C$500,$A19,'LANÇAMENTOS DIÁRIOS'!$O$5:$O$500,"&lt;=103599",'LANÇAMENTOS DIÁRIOS'!$P$5:$P$500,"&gt;=103500")&gt;0,"X","")</f>
      </c>
      <c r="AG19" s="56" t="str">
        <f>IF(COUNTIFS('LANÇAMENTOS DIÁRIOS'!$G$5:$G$500,"D",'LANÇAMENTOS DIÁRIOS'!$C$5:$C$500,$A19,'LANÇAMENTOS DIÁRIOS'!$O$5:$O$500,"&lt;=103699",'LANÇAMENTOS DIÁRIOS'!$P$5:$P$500,"&gt;=103600")&gt;0,"X","")</f>
      </c>
      <c r="AH19" s="56" t="str">
        <f>IF(COUNTIFS('LANÇAMENTOS DIÁRIOS'!$G$5:$G$500,"D",'LANÇAMENTOS DIÁRIOS'!$C$5:$C$500,$A19,'LANÇAMENTOS DIÁRIOS'!$O$5:$O$500,"&lt;=103799",'LANÇAMENTOS DIÁRIOS'!$P$5:$P$500,"&gt;=103700")&gt;0,"X","")</f>
      </c>
      <c r="AI19" s="56" t="str">
        <f>IF(COUNTIFS('LANÇAMENTOS DIÁRIOS'!$G$5:$G$500,"D",'LANÇAMENTOS DIÁRIOS'!$C$5:$C$500,$A19,'LANÇAMENTOS DIÁRIOS'!$O$5:$O$500,"&lt;=103899",'LANÇAMENTOS DIÁRIOS'!$P$5:$P$500,"&gt;=103800")&gt;0,"X","")</f>
      </c>
      <c r="AJ19" s="56" t="str">
        <f>IF(COUNTIFS('LANÇAMENTOS DIÁRIOS'!$G$5:$G$500,"D",'LANÇAMENTOS DIÁRIOS'!$C$5:$C$500,$A19,'LANÇAMENTOS DIÁRIOS'!$O$5:$O$500,"&lt;=103999",'LANÇAMENTOS DIÁRIOS'!$P$5:$P$500,"&gt;=103900")&gt;0,"X","")</f>
      </c>
      <c r="AK19" s="56" t="str">
        <f>IF(COUNTIFS('LANÇAMENTOS DIÁRIOS'!$G$5:$G$500,"D",'LANÇAMENTOS DIÁRIOS'!$C$5:$C$500,$A19,'LANÇAMENTOS DIÁRIOS'!$O$5:$O$500,"&lt;=104099",'LANÇAMENTOS DIÁRIOS'!$P$5:$P$500,"&gt;=104000")&gt;0,"X","")</f>
      </c>
      <c r="AL19" s="56" t="str">
        <f>IF(COUNTIFS('LANÇAMENTOS DIÁRIOS'!$G$5:$G$500,"D",'LANÇAMENTOS DIÁRIOS'!$C$5:$C$500,$A19,'LANÇAMENTOS DIÁRIOS'!$O$5:$O$500,"&lt;=104199",'LANÇAMENTOS DIÁRIOS'!$P$5:$P$500,"&gt;=104100")&gt;0,"X","")</f>
      </c>
      <c r="AM19" s="56" t="str">
        <f>IF(COUNTIFS('LANÇAMENTOS DIÁRIOS'!$G$5:$G$500,"D",'LANÇAMENTOS DIÁRIOS'!$C$5:$C$500,$A19,'LANÇAMENTOS DIÁRIOS'!$O$5:$O$500,"&lt;=104299",'LANÇAMENTOS DIÁRIOS'!$P$5:$P$500,"&gt;=104200")&gt;0,"X","")</f>
      </c>
      <c r="AN19" s="56" t="str">
        <f>IF(COUNTIFS('LANÇAMENTOS DIÁRIOS'!$G$5:$G$500,"D",'LANÇAMENTOS DIÁRIOS'!$C$5:$C$500,$A19,'LANÇAMENTOS DIÁRIOS'!$O$5:$O$500,"&lt;=104399",'LANÇAMENTOS DIÁRIOS'!$P$5:$P$500,"&gt;=104300")&gt;0,"X","")</f>
      </c>
      <c r="AO19" s="56" t="str">
        <f>IF(COUNTIFS('LANÇAMENTOS DIÁRIOS'!$G$5:$G$500,"D",'LANÇAMENTOS DIÁRIOS'!$C$5:$C$500,$A19,'LANÇAMENTOS DIÁRIOS'!$O$5:$O$500,"&lt;=104499",'LANÇAMENTOS DIÁRIOS'!$P$5:$P$500,"&gt;=104400")&gt;0,"X","")</f>
      </c>
      <c r="AP19" s="56" t="str">
        <f>IF(COUNTIFS('LANÇAMENTOS DIÁRIOS'!$G$5:$G$500,"D",'LANÇAMENTOS DIÁRIOS'!$C$5:$C$500,$A19,'LANÇAMENTOS DIÁRIOS'!$O$5:$O$500,"&lt;=104599",'LANÇAMENTOS DIÁRIOS'!$P$5:$P$500,"&gt;=104500")&gt;0,"X","")</f>
      </c>
      <c r="AQ19" s="56" t="str">
        <f>IF(COUNTIFS('LANÇAMENTOS DIÁRIOS'!$G$5:$G$500,"D",'LANÇAMENTOS DIÁRIOS'!$C$5:$C$500,$A19,'LANÇAMENTOS DIÁRIOS'!$O$5:$O$500,"&lt;=104699",'LANÇAMENTOS DIÁRIOS'!$P$5:$P$500,"&gt;=104600")&gt;0,"X","")</f>
      </c>
      <c r="AR19" s="56" t="str">
        <f>IF(COUNTIFS('LANÇAMENTOS DIÁRIOS'!$G$5:$G$500,"D",'LANÇAMENTOS DIÁRIOS'!$C$5:$C$500,$A19,'LANÇAMENTOS DIÁRIOS'!$O$5:$O$500,"&lt;=104799",'LANÇAMENTOS DIÁRIOS'!$P$5:$P$500,"&gt;=104700")&gt;0,"X","")</f>
      </c>
      <c r="AS19" s="56" t="str">
        <f>IF(COUNTIFS('LANÇAMENTOS DIÁRIOS'!$G$5:$G$500,"D",'LANÇAMENTOS DIÁRIOS'!$C$5:$C$500,$A19,'LANÇAMENTOS DIÁRIOS'!$O$5:$O$500,"&lt;=104899",'LANÇAMENTOS DIÁRIOS'!$P$5:$P$500,"&gt;=104800")&gt;0,"X","")</f>
      </c>
      <c r="AT19" s="56" t="str">
        <f>IF(COUNTIFS('LANÇAMENTOS DIÁRIOS'!$G$5:$G$500,"D",'LANÇAMENTOS DIÁRIOS'!$C$5:$C$500,$A19,'LANÇAMENTOS DIÁRIOS'!$O$5:$O$500,"&lt;=104999",'LANÇAMENTOS DIÁRIOS'!$P$5:$P$500,"&gt;=104900")&gt;0,"X","")</f>
      </c>
      <c r="AU19" s="56" t="str">
        <f>IF(COUNTIFS('LANÇAMENTOS DIÁRIOS'!$G$5:$G$500,"D",'LANÇAMENTOS DIÁRIOS'!$C$5:$C$500,$A19,'LANÇAMENTOS DIÁRIOS'!$O$5:$O$500,"&lt;=105099",'LANÇAMENTOS DIÁRIOS'!$P$5:$P$500,"&gt;=105000")&gt;0,"X","")</f>
      </c>
      <c r="AV19" s="56" t="str">
        <f>IF(COUNTIFS('LANÇAMENTOS DIÁRIOS'!$G$5:$G$500,"D",'LANÇAMENTOS DIÁRIOS'!$C$5:$C$500,$A19,'LANÇAMENTOS DIÁRIOS'!$O$5:$O$500,"&lt;=105199",'LANÇAMENTOS DIÁRIOS'!$P$5:$P$500,"&gt;=105100")&gt;0,"X","")</f>
      </c>
      <c r="AW19" s="56" t="str">
        <f>IF(COUNTIFS('LANÇAMENTOS DIÁRIOS'!$G$5:$G$500,"D",'LANÇAMENTOS DIÁRIOS'!$C$5:$C$500,$A19,'LANÇAMENTOS DIÁRIOS'!$O$5:$O$500,"&lt;=105299",'LANÇAMENTOS DIÁRIOS'!$P$5:$P$500,"&gt;=105200")&gt;0,"X","")</f>
      </c>
      <c r="AX19" s="56" t="str">
        <f>IF(COUNTIFS('LANÇAMENTOS DIÁRIOS'!$G$5:$G$500,"D",'LANÇAMENTOS DIÁRIOS'!$C$5:$C$500,$A19,'LANÇAMENTOS DIÁRIOS'!$O$5:$O$500,"&lt;=105399",'LANÇAMENTOS DIÁRIOS'!$P$5:$P$500,"&gt;=105300")&gt;0,"X","")</f>
      </c>
      <c r="AY19" s="56" t="str">
        <f>IF(COUNTIFS('LANÇAMENTOS DIÁRIOS'!$G$5:$G$500,"D",'LANÇAMENTOS DIÁRIOS'!$C$5:$C$500,$A19,'LANÇAMENTOS DIÁRIOS'!$O$5:$O$500,"&lt;=105499",'LANÇAMENTOS DIÁRIOS'!$P$5:$P$500,"&gt;=105400")&gt;0,"X","")</f>
      </c>
      <c r="AZ19" s="56" t="str">
        <f>IF(COUNTIFS('LANÇAMENTOS DIÁRIOS'!$G$5:$G$500,"D",'LANÇAMENTOS DIÁRIOS'!$C$5:$C$500,$A19,'LANÇAMENTOS DIÁRIOS'!$O$5:$O$500,"&lt;=105500",'LANÇAMENTOS DIÁRIOS'!$P$5:$P$500,"&gt;=105500")&gt;0,"X","")</f>
      </c>
    </row>
    <row r="20">
      <c r="A20" s="51" t="str">
        <v>Remanejamento de semi-pórtico</v>
      </c>
      <c r="B20" s="56" t="str">
        <f>IF(COUNTIFS('LANÇAMENTOS DIÁRIOS'!$G$5:$G$500,"D",'LANÇAMENTOS DIÁRIOS'!$C$5:$C$500,$A20,'LANÇAMENTOS DIÁRIOS'!$O$5:$O$500,"&lt;=100599",'LANÇAMENTOS DIÁRIOS'!$P$5:$P$500,"&gt;=100500")&gt;0,"X","")</f>
      </c>
      <c r="C20" s="56" t="str">
        <f>IF(COUNTIFS('LANÇAMENTOS DIÁRIOS'!$G$5:$G$500,"D",'LANÇAMENTOS DIÁRIOS'!$C$5:$C$500,$A20,'LANÇAMENTOS DIÁRIOS'!$O$5:$O$500,"&lt;=100699",'LANÇAMENTOS DIÁRIOS'!$P$5:$P$500,"&gt;=100600")&gt;0,"X","")</f>
      </c>
      <c r="D20" s="56" t="str">
        <f>IF(COUNTIFS('LANÇAMENTOS DIÁRIOS'!$G$5:$G$500,"D",'LANÇAMENTOS DIÁRIOS'!$C$5:$C$500,$A20,'LANÇAMENTOS DIÁRIOS'!$O$5:$O$500,"&lt;=100799",'LANÇAMENTOS DIÁRIOS'!$P$5:$P$500,"&gt;=100700")&gt;0,"X","")</f>
      </c>
      <c r="E20" s="56" t="str">
        <f>IF(COUNTIFS('LANÇAMENTOS DIÁRIOS'!$G$5:$G$500,"D",'LANÇAMENTOS DIÁRIOS'!$C$5:$C$500,$A20,'LANÇAMENTOS DIÁRIOS'!$O$5:$O$500,"&lt;=100899",'LANÇAMENTOS DIÁRIOS'!$P$5:$P$500,"&gt;=100800")&gt;0,"X","")</f>
      </c>
      <c r="F20" s="56" t="str">
        <f>IF(COUNTIFS('LANÇAMENTOS DIÁRIOS'!$G$5:$G$500,"D",'LANÇAMENTOS DIÁRIOS'!$C$5:$C$500,$A20,'LANÇAMENTOS DIÁRIOS'!$O$5:$O$500,"&lt;=100999",'LANÇAMENTOS DIÁRIOS'!$P$5:$P$500,"&gt;=100900")&gt;0,"X","")</f>
      </c>
      <c r="G20" s="56" t="str">
        <f>IF(COUNTIFS('LANÇAMENTOS DIÁRIOS'!$G$5:$G$500,"D",'LANÇAMENTOS DIÁRIOS'!$C$5:$C$500,$A20,'LANÇAMENTOS DIÁRIOS'!$O$5:$O$500,"&lt;=101099",'LANÇAMENTOS DIÁRIOS'!$P$5:$P$500,"&gt;=101000")&gt;0,"X","")</f>
      </c>
      <c r="H20" s="56" t="str">
        <f>IF(COUNTIFS('LANÇAMENTOS DIÁRIOS'!$G$5:$G$500,"D",'LANÇAMENTOS DIÁRIOS'!$C$5:$C$500,$A20,'LANÇAMENTOS DIÁRIOS'!$O$5:$O$500,"&lt;=101199",'LANÇAMENTOS DIÁRIOS'!$P$5:$P$500,"&gt;=101100")&gt;0,"X","")</f>
      </c>
      <c r="I20" s="56" t="str">
        <f>IF(COUNTIFS('LANÇAMENTOS DIÁRIOS'!$G$5:$G$500,"D",'LANÇAMENTOS DIÁRIOS'!$C$5:$C$500,$A20,'LANÇAMENTOS DIÁRIOS'!$O$5:$O$500,"&lt;=101299",'LANÇAMENTOS DIÁRIOS'!$P$5:$P$500,"&gt;=101200")&gt;0,"X","")</f>
      </c>
      <c r="J20" s="56" t="str">
        <f>IF(COUNTIFS('LANÇAMENTOS DIÁRIOS'!$G$5:$G$500,"D",'LANÇAMENTOS DIÁRIOS'!$C$5:$C$500,$A20,'LANÇAMENTOS DIÁRIOS'!$O$5:$O$500,"&lt;=101399",'LANÇAMENTOS DIÁRIOS'!$P$5:$P$500,"&gt;=101300")&gt;0,"X","")</f>
      </c>
      <c r="K20" s="56" t="str">
        <f>IF(COUNTIFS('LANÇAMENTOS DIÁRIOS'!$G$5:$G$500,"D",'LANÇAMENTOS DIÁRIOS'!$C$5:$C$500,$A20,'LANÇAMENTOS DIÁRIOS'!$O$5:$O$500,"&lt;=101499",'LANÇAMENTOS DIÁRIOS'!$P$5:$P$500,"&gt;=101400")&gt;0,"X","")</f>
      </c>
      <c r="L20" s="56" t="str">
        <f>IF(COUNTIFS('LANÇAMENTOS DIÁRIOS'!$G$5:$G$500,"D",'LANÇAMENTOS DIÁRIOS'!$C$5:$C$500,$A20,'LANÇAMENTOS DIÁRIOS'!$O$5:$O$500,"&lt;=101599",'LANÇAMENTOS DIÁRIOS'!$P$5:$P$500,"&gt;=101500")&gt;0,"X","")</f>
      </c>
      <c r="M20" s="56" t="str">
        <f>IF(COUNTIFS('LANÇAMENTOS DIÁRIOS'!$G$5:$G$500,"D",'LANÇAMENTOS DIÁRIOS'!$C$5:$C$500,$A20,'LANÇAMENTOS DIÁRIOS'!$O$5:$O$500,"&lt;=101699",'LANÇAMENTOS DIÁRIOS'!$P$5:$P$500,"&gt;=101600")&gt;0,"X","")</f>
      </c>
      <c r="N20" s="56" t="str">
        <f>IF(COUNTIFS('LANÇAMENTOS DIÁRIOS'!$G$5:$G$500,"D",'LANÇAMENTOS DIÁRIOS'!$C$5:$C$500,$A20,'LANÇAMENTOS DIÁRIOS'!$O$5:$O$500,"&lt;=101799",'LANÇAMENTOS DIÁRIOS'!$P$5:$P$500,"&gt;=101700")&gt;0,"X","")</f>
      </c>
      <c r="O20" s="56" t="str">
        <f>IF(COUNTIFS('LANÇAMENTOS DIÁRIOS'!$G$5:$G$500,"D",'LANÇAMENTOS DIÁRIOS'!$C$5:$C$500,$A20,'LANÇAMENTOS DIÁRIOS'!$O$5:$O$500,"&lt;=101899",'LANÇAMENTOS DIÁRIOS'!$P$5:$P$500,"&gt;=101800")&gt;0,"X","")</f>
      </c>
      <c r="P20" s="56" t="str">
        <f>IF(COUNTIFS('LANÇAMENTOS DIÁRIOS'!$G$5:$G$500,"D",'LANÇAMENTOS DIÁRIOS'!$C$5:$C$500,$A20,'LANÇAMENTOS DIÁRIOS'!$O$5:$O$500,"&lt;=101999",'LANÇAMENTOS DIÁRIOS'!$P$5:$P$500,"&gt;=101900")&gt;0,"X","")</f>
      </c>
      <c r="Q20" s="56" t="str">
        <f>IF(COUNTIFS('LANÇAMENTOS DIÁRIOS'!$G$5:$G$500,"D",'LANÇAMENTOS DIÁRIOS'!$C$5:$C$500,$A20,'LANÇAMENTOS DIÁRIOS'!$O$5:$O$500,"&lt;=102099",'LANÇAMENTOS DIÁRIOS'!$P$5:$P$500,"&gt;=102000")&gt;0,"X","")</f>
      </c>
      <c r="R20" s="56" t="str">
        <f>IF(COUNTIFS('LANÇAMENTOS DIÁRIOS'!$G$5:$G$500,"D",'LANÇAMENTOS DIÁRIOS'!$C$5:$C$500,$A20,'LANÇAMENTOS DIÁRIOS'!$O$5:$O$500,"&lt;=102199",'LANÇAMENTOS DIÁRIOS'!$P$5:$P$500,"&gt;=102100")&gt;0,"X","")</f>
      </c>
      <c r="S20" s="56" t="str">
        <f>IF(COUNTIFS('LANÇAMENTOS DIÁRIOS'!$G$5:$G$500,"D",'LANÇAMENTOS DIÁRIOS'!$C$5:$C$500,$A20,'LANÇAMENTOS DIÁRIOS'!$O$5:$O$500,"&lt;=102299",'LANÇAMENTOS DIÁRIOS'!$P$5:$P$500,"&gt;=102200")&gt;0,"X","")</f>
      </c>
      <c r="T20" s="56" t="str">
        <f>IF(COUNTIFS('LANÇAMENTOS DIÁRIOS'!$G$5:$G$500,"D",'LANÇAMENTOS DIÁRIOS'!$C$5:$C$500,$A20,'LANÇAMENTOS DIÁRIOS'!$O$5:$O$500,"&lt;=102399",'LANÇAMENTOS DIÁRIOS'!$P$5:$P$500,"&gt;=102300")&gt;0,"X","")</f>
      </c>
      <c r="U20" s="56" t="str">
        <f>IF(COUNTIFS('LANÇAMENTOS DIÁRIOS'!$G$5:$G$500,"D",'LANÇAMENTOS DIÁRIOS'!$C$5:$C$500,$A20,'LANÇAMENTOS DIÁRIOS'!$O$5:$O$500,"&lt;=102499",'LANÇAMENTOS DIÁRIOS'!$P$5:$P$500,"&gt;=102400")&gt;0,"X","")</f>
      </c>
      <c r="V20" s="56" t="str">
        <f>IF(COUNTIFS('LANÇAMENTOS DIÁRIOS'!$G$5:$G$500,"D",'LANÇAMENTOS DIÁRIOS'!$C$5:$C$500,$A20,'LANÇAMENTOS DIÁRIOS'!$O$5:$O$500,"&lt;=102599",'LANÇAMENTOS DIÁRIOS'!$P$5:$P$500,"&gt;=102500")&gt;0,"X","")</f>
      </c>
      <c r="W20" s="56" t="str">
        <f>IF(COUNTIFS('LANÇAMENTOS DIÁRIOS'!$G$5:$G$500,"D",'LANÇAMENTOS DIÁRIOS'!$C$5:$C$500,$A20,'LANÇAMENTOS DIÁRIOS'!$O$5:$O$500,"&lt;=102699",'LANÇAMENTOS DIÁRIOS'!$P$5:$P$500,"&gt;=102600")&gt;0,"X","")</f>
      </c>
      <c r="X20" s="56" t="str">
        <f>IF(COUNTIFS('LANÇAMENTOS DIÁRIOS'!$G$5:$G$500,"D",'LANÇAMENTOS DIÁRIOS'!$C$5:$C$500,$A20,'LANÇAMENTOS DIÁRIOS'!$O$5:$O$500,"&lt;=102799",'LANÇAMENTOS DIÁRIOS'!$P$5:$P$500,"&gt;=102700")&gt;0,"X","")</f>
      </c>
      <c r="Y20" s="56" t="str">
        <f>IF(COUNTIFS('LANÇAMENTOS DIÁRIOS'!$G$5:$G$500,"D",'LANÇAMENTOS DIÁRIOS'!$C$5:$C$500,$A20,'LANÇAMENTOS DIÁRIOS'!$O$5:$O$500,"&lt;=102899",'LANÇAMENTOS DIÁRIOS'!$P$5:$P$500,"&gt;=102800")&gt;0,"X","")</f>
      </c>
      <c r="Z20" s="56" t="str">
        <f>IF(COUNTIFS('LANÇAMENTOS DIÁRIOS'!$G$5:$G$500,"D",'LANÇAMENTOS DIÁRIOS'!$C$5:$C$500,$A20,'LANÇAMENTOS DIÁRIOS'!$O$5:$O$500,"&lt;=102999",'LANÇAMENTOS DIÁRIOS'!$P$5:$P$500,"&gt;=102900")&gt;0,"X","")</f>
      </c>
      <c r="AA20" s="56" t="str">
        <f>IF(COUNTIFS('LANÇAMENTOS DIÁRIOS'!$G$5:$G$500,"D",'LANÇAMENTOS DIÁRIOS'!$C$5:$C$500,$A20,'LANÇAMENTOS DIÁRIOS'!$O$5:$O$500,"&lt;=103099",'LANÇAMENTOS DIÁRIOS'!$P$5:$P$500,"&gt;=103000")&gt;0,"X","")</f>
      </c>
      <c r="AB20" s="56" t="str">
        <f>IF(COUNTIFS('LANÇAMENTOS DIÁRIOS'!$G$5:$G$500,"D",'LANÇAMENTOS DIÁRIOS'!$C$5:$C$500,$A20,'LANÇAMENTOS DIÁRIOS'!$O$5:$O$500,"&lt;=103199",'LANÇAMENTOS DIÁRIOS'!$P$5:$P$500,"&gt;=103100")&gt;0,"X","")</f>
      </c>
      <c r="AC20" s="56" t="str">
        <f>IF(COUNTIFS('LANÇAMENTOS DIÁRIOS'!$G$5:$G$500,"D",'LANÇAMENTOS DIÁRIOS'!$C$5:$C$500,$A20,'LANÇAMENTOS DIÁRIOS'!$O$5:$O$500,"&lt;=103299",'LANÇAMENTOS DIÁRIOS'!$P$5:$P$500,"&gt;=103200")&gt;0,"X","")</f>
      </c>
      <c r="AD20" s="56" t="str">
        <f>IF(COUNTIFS('LANÇAMENTOS DIÁRIOS'!$G$5:$G$500,"D",'LANÇAMENTOS DIÁRIOS'!$C$5:$C$500,$A20,'LANÇAMENTOS DIÁRIOS'!$O$5:$O$500,"&lt;=103399",'LANÇAMENTOS DIÁRIOS'!$P$5:$P$500,"&gt;=103300")&gt;0,"X","")</f>
      </c>
      <c r="AE20" s="56" t="str">
        <f>IF(COUNTIFS('LANÇAMENTOS DIÁRIOS'!$G$5:$G$500,"D",'LANÇAMENTOS DIÁRIOS'!$C$5:$C$500,$A20,'LANÇAMENTOS DIÁRIOS'!$O$5:$O$500,"&lt;=103499",'LANÇAMENTOS DIÁRIOS'!$P$5:$P$500,"&gt;=103400")&gt;0,"X","")</f>
      </c>
      <c r="AF20" s="56" t="str">
        <f>IF(COUNTIFS('LANÇAMENTOS DIÁRIOS'!$G$5:$G$500,"D",'LANÇAMENTOS DIÁRIOS'!$C$5:$C$500,$A20,'LANÇAMENTOS DIÁRIOS'!$O$5:$O$500,"&lt;=103599",'LANÇAMENTOS DIÁRIOS'!$P$5:$P$500,"&gt;=103500")&gt;0,"X","")</f>
      </c>
      <c r="AG20" s="56" t="str">
        <f>IF(COUNTIFS('LANÇAMENTOS DIÁRIOS'!$G$5:$G$500,"D",'LANÇAMENTOS DIÁRIOS'!$C$5:$C$500,$A20,'LANÇAMENTOS DIÁRIOS'!$O$5:$O$500,"&lt;=103699",'LANÇAMENTOS DIÁRIOS'!$P$5:$P$500,"&gt;=103600")&gt;0,"X","")</f>
      </c>
      <c r="AH20" s="56" t="str">
        <f>IF(COUNTIFS('LANÇAMENTOS DIÁRIOS'!$G$5:$G$500,"D",'LANÇAMENTOS DIÁRIOS'!$C$5:$C$500,$A20,'LANÇAMENTOS DIÁRIOS'!$O$5:$O$500,"&lt;=103799",'LANÇAMENTOS DIÁRIOS'!$P$5:$P$500,"&gt;=103700")&gt;0,"X","")</f>
      </c>
      <c r="AI20" s="56" t="str">
        <f>IF(COUNTIFS('LANÇAMENTOS DIÁRIOS'!$G$5:$G$500,"D",'LANÇAMENTOS DIÁRIOS'!$C$5:$C$500,$A20,'LANÇAMENTOS DIÁRIOS'!$O$5:$O$500,"&lt;=103899",'LANÇAMENTOS DIÁRIOS'!$P$5:$P$500,"&gt;=103800")&gt;0,"X","")</f>
      </c>
      <c r="AJ20" s="56" t="str">
        <f>IF(COUNTIFS('LANÇAMENTOS DIÁRIOS'!$G$5:$G$500,"D",'LANÇAMENTOS DIÁRIOS'!$C$5:$C$500,$A20,'LANÇAMENTOS DIÁRIOS'!$O$5:$O$500,"&lt;=103999",'LANÇAMENTOS DIÁRIOS'!$P$5:$P$500,"&gt;=103900")&gt;0,"X","")</f>
      </c>
      <c r="AK20" s="56" t="str">
        <f>IF(COUNTIFS('LANÇAMENTOS DIÁRIOS'!$G$5:$G$500,"D",'LANÇAMENTOS DIÁRIOS'!$C$5:$C$500,$A20,'LANÇAMENTOS DIÁRIOS'!$O$5:$O$500,"&lt;=104099",'LANÇAMENTOS DIÁRIOS'!$P$5:$P$500,"&gt;=104000")&gt;0,"X","")</f>
      </c>
      <c r="AL20" s="56" t="str">
        <f>IF(COUNTIFS('LANÇAMENTOS DIÁRIOS'!$G$5:$G$500,"D",'LANÇAMENTOS DIÁRIOS'!$C$5:$C$500,$A20,'LANÇAMENTOS DIÁRIOS'!$O$5:$O$500,"&lt;=104199",'LANÇAMENTOS DIÁRIOS'!$P$5:$P$500,"&gt;=104100")&gt;0,"X","")</f>
      </c>
      <c r="AM20" s="56" t="str">
        <f>IF(COUNTIFS('LANÇAMENTOS DIÁRIOS'!$G$5:$G$500,"D",'LANÇAMENTOS DIÁRIOS'!$C$5:$C$500,$A20,'LANÇAMENTOS DIÁRIOS'!$O$5:$O$500,"&lt;=104299",'LANÇAMENTOS DIÁRIOS'!$P$5:$P$500,"&gt;=104200")&gt;0,"X","")</f>
      </c>
      <c r="AN20" s="56" t="str">
        <f>IF(COUNTIFS('LANÇAMENTOS DIÁRIOS'!$G$5:$G$500,"D",'LANÇAMENTOS DIÁRIOS'!$C$5:$C$500,$A20,'LANÇAMENTOS DIÁRIOS'!$O$5:$O$500,"&lt;=104399",'LANÇAMENTOS DIÁRIOS'!$P$5:$P$500,"&gt;=104300")&gt;0,"X","")</f>
      </c>
      <c r="AO20" s="56" t="str">
        <f>IF(COUNTIFS('LANÇAMENTOS DIÁRIOS'!$G$5:$G$500,"D",'LANÇAMENTOS DIÁRIOS'!$C$5:$C$500,$A20,'LANÇAMENTOS DIÁRIOS'!$O$5:$O$500,"&lt;=104499",'LANÇAMENTOS DIÁRIOS'!$P$5:$P$500,"&gt;=104400")&gt;0,"X","")</f>
      </c>
      <c r="AP20" s="56" t="str">
        <f>IF(COUNTIFS('LANÇAMENTOS DIÁRIOS'!$G$5:$G$500,"D",'LANÇAMENTOS DIÁRIOS'!$C$5:$C$500,$A20,'LANÇAMENTOS DIÁRIOS'!$O$5:$O$500,"&lt;=104599",'LANÇAMENTOS DIÁRIOS'!$P$5:$P$500,"&gt;=104500")&gt;0,"X","")</f>
      </c>
      <c r="AQ20" s="56" t="str">
        <f>IF(COUNTIFS('LANÇAMENTOS DIÁRIOS'!$G$5:$G$500,"D",'LANÇAMENTOS DIÁRIOS'!$C$5:$C$500,$A20,'LANÇAMENTOS DIÁRIOS'!$O$5:$O$500,"&lt;=104699",'LANÇAMENTOS DIÁRIOS'!$P$5:$P$500,"&gt;=104600")&gt;0,"X","")</f>
      </c>
      <c r="AR20" s="56" t="str">
        <f>IF(COUNTIFS('LANÇAMENTOS DIÁRIOS'!$G$5:$G$500,"D",'LANÇAMENTOS DIÁRIOS'!$C$5:$C$500,$A20,'LANÇAMENTOS DIÁRIOS'!$O$5:$O$500,"&lt;=104799",'LANÇAMENTOS DIÁRIOS'!$P$5:$P$500,"&gt;=104700")&gt;0,"X","")</f>
      </c>
      <c r="AS20" s="56" t="str">
        <f>IF(COUNTIFS('LANÇAMENTOS DIÁRIOS'!$G$5:$G$500,"D",'LANÇAMENTOS DIÁRIOS'!$C$5:$C$500,$A20,'LANÇAMENTOS DIÁRIOS'!$O$5:$O$500,"&lt;=104899",'LANÇAMENTOS DIÁRIOS'!$P$5:$P$500,"&gt;=104800")&gt;0,"X","")</f>
      </c>
      <c r="AT20" s="56" t="str">
        <f>IF(COUNTIFS('LANÇAMENTOS DIÁRIOS'!$G$5:$G$500,"D",'LANÇAMENTOS DIÁRIOS'!$C$5:$C$500,$A20,'LANÇAMENTOS DIÁRIOS'!$O$5:$O$500,"&lt;=104999",'LANÇAMENTOS DIÁRIOS'!$P$5:$P$500,"&gt;=104900")&gt;0,"X","")</f>
      </c>
      <c r="AU20" s="56" t="str">
        <f>IF(COUNTIFS('LANÇAMENTOS DIÁRIOS'!$G$5:$G$500,"D",'LANÇAMENTOS DIÁRIOS'!$C$5:$C$500,$A20,'LANÇAMENTOS DIÁRIOS'!$O$5:$O$500,"&lt;=105099",'LANÇAMENTOS DIÁRIOS'!$P$5:$P$500,"&gt;=105000")&gt;0,"X","")</f>
      </c>
      <c r="AV20" s="56" t="str">
        <f>IF(COUNTIFS('LANÇAMENTOS DIÁRIOS'!$G$5:$G$500,"D",'LANÇAMENTOS DIÁRIOS'!$C$5:$C$500,$A20,'LANÇAMENTOS DIÁRIOS'!$O$5:$O$500,"&lt;=105199",'LANÇAMENTOS DIÁRIOS'!$P$5:$P$500,"&gt;=105100")&gt;0,"X","")</f>
      </c>
      <c r="AW20" s="56" t="str">
        <f>IF(COUNTIFS('LANÇAMENTOS DIÁRIOS'!$G$5:$G$500,"D",'LANÇAMENTOS DIÁRIOS'!$C$5:$C$500,$A20,'LANÇAMENTOS DIÁRIOS'!$O$5:$O$500,"&lt;=105299",'LANÇAMENTOS DIÁRIOS'!$P$5:$P$500,"&gt;=105200")&gt;0,"X","")</f>
      </c>
      <c r="AX20" s="56" t="str">
        <f>IF(COUNTIFS('LANÇAMENTOS DIÁRIOS'!$G$5:$G$500,"D",'LANÇAMENTOS DIÁRIOS'!$C$5:$C$500,$A20,'LANÇAMENTOS DIÁRIOS'!$O$5:$O$500,"&lt;=105399",'LANÇAMENTOS DIÁRIOS'!$P$5:$P$500,"&gt;=105300")&gt;0,"X","")</f>
      </c>
      <c r="AY20" s="56" t="str">
        <f>IF(COUNTIFS('LANÇAMENTOS DIÁRIOS'!$G$5:$G$500,"D",'LANÇAMENTOS DIÁRIOS'!$C$5:$C$500,$A20,'LANÇAMENTOS DIÁRIOS'!$O$5:$O$500,"&lt;=105499",'LANÇAMENTOS DIÁRIOS'!$P$5:$P$500,"&gt;=105400")&gt;0,"X","")</f>
      </c>
      <c r="AZ20" s="56" t="str">
        <f>IF(COUNTIFS('LANÇAMENTOS DIÁRIOS'!$G$5:$G$500,"D",'LANÇAMENTOS DIÁRIOS'!$C$5:$C$500,$A20,'LANÇAMENTOS DIÁRIOS'!$O$5:$O$500,"&lt;=105500",'LANÇAMENTOS DIÁRIOS'!$P$5:$P$500,"&gt;=105500")&gt;0,"X","")</f>
      </c>
    </row>
    <row r="21">
      <c r="A21" s="51" t="str">
        <v>Remanejamento de placa de sinalização instalada no solo, suporte metálico</v>
      </c>
      <c r="B21" s="56" t="str">
        <f>IF(COUNTIFS('LANÇAMENTOS DIÁRIOS'!$G$5:$G$500,"D",'LANÇAMENTOS DIÁRIOS'!$C$5:$C$500,$A21,'LANÇAMENTOS DIÁRIOS'!$O$5:$O$500,"&lt;=100599",'LANÇAMENTOS DIÁRIOS'!$P$5:$P$500,"&gt;=100500")&gt;0,"X","")</f>
      </c>
      <c r="C21" s="56" t="str">
        <f>IF(COUNTIFS('LANÇAMENTOS DIÁRIOS'!$G$5:$G$500,"D",'LANÇAMENTOS DIÁRIOS'!$C$5:$C$500,$A21,'LANÇAMENTOS DIÁRIOS'!$O$5:$O$500,"&lt;=100699",'LANÇAMENTOS DIÁRIOS'!$P$5:$P$500,"&gt;=100600")&gt;0,"X","")</f>
      </c>
      <c r="D21" s="56" t="str">
        <f>IF(COUNTIFS('LANÇAMENTOS DIÁRIOS'!$G$5:$G$500,"D",'LANÇAMENTOS DIÁRIOS'!$C$5:$C$500,$A21,'LANÇAMENTOS DIÁRIOS'!$O$5:$O$500,"&lt;=100799",'LANÇAMENTOS DIÁRIOS'!$P$5:$P$500,"&gt;=100700")&gt;0,"X","")</f>
      </c>
      <c r="E21" s="56" t="str">
        <f>IF(COUNTIFS('LANÇAMENTOS DIÁRIOS'!$G$5:$G$500,"D",'LANÇAMENTOS DIÁRIOS'!$C$5:$C$500,$A21,'LANÇAMENTOS DIÁRIOS'!$O$5:$O$500,"&lt;=100899",'LANÇAMENTOS DIÁRIOS'!$P$5:$P$500,"&gt;=100800")&gt;0,"X","")</f>
      </c>
      <c r="F21" s="56" t="str">
        <f>IF(COUNTIFS('LANÇAMENTOS DIÁRIOS'!$G$5:$G$500,"D",'LANÇAMENTOS DIÁRIOS'!$C$5:$C$500,$A21,'LANÇAMENTOS DIÁRIOS'!$O$5:$O$500,"&lt;=100999",'LANÇAMENTOS DIÁRIOS'!$P$5:$P$500,"&gt;=100900")&gt;0,"X","")</f>
      </c>
      <c r="G21" s="56" t="str">
        <f>IF(COUNTIFS('LANÇAMENTOS DIÁRIOS'!$G$5:$G$500,"D",'LANÇAMENTOS DIÁRIOS'!$C$5:$C$500,$A21,'LANÇAMENTOS DIÁRIOS'!$O$5:$O$500,"&lt;=101099",'LANÇAMENTOS DIÁRIOS'!$P$5:$P$500,"&gt;=101000")&gt;0,"X","")</f>
      </c>
      <c r="H21" s="56" t="str">
        <f>IF(COUNTIFS('LANÇAMENTOS DIÁRIOS'!$G$5:$G$500,"D",'LANÇAMENTOS DIÁRIOS'!$C$5:$C$500,$A21,'LANÇAMENTOS DIÁRIOS'!$O$5:$O$500,"&lt;=101199",'LANÇAMENTOS DIÁRIOS'!$P$5:$P$500,"&gt;=101100")&gt;0,"X","")</f>
      </c>
      <c r="I21" s="56" t="str">
        <f>IF(COUNTIFS('LANÇAMENTOS DIÁRIOS'!$G$5:$G$500,"D",'LANÇAMENTOS DIÁRIOS'!$C$5:$C$500,$A21,'LANÇAMENTOS DIÁRIOS'!$O$5:$O$500,"&lt;=101299",'LANÇAMENTOS DIÁRIOS'!$P$5:$P$500,"&gt;=101200")&gt;0,"X","")</f>
      </c>
      <c r="J21" s="56" t="str">
        <f>IF(COUNTIFS('LANÇAMENTOS DIÁRIOS'!$G$5:$G$500,"D",'LANÇAMENTOS DIÁRIOS'!$C$5:$C$500,$A21,'LANÇAMENTOS DIÁRIOS'!$O$5:$O$500,"&lt;=101399",'LANÇAMENTOS DIÁRIOS'!$P$5:$P$500,"&gt;=101300")&gt;0,"X","")</f>
      </c>
      <c r="K21" s="56" t="str">
        <f>IF(COUNTIFS('LANÇAMENTOS DIÁRIOS'!$G$5:$G$500,"D",'LANÇAMENTOS DIÁRIOS'!$C$5:$C$500,$A21,'LANÇAMENTOS DIÁRIOS'!$O$5:$O$500,"&lt;=101499",'LANÇAMENTOS DIÁRIOS'!$P$5:$P$500,"&gt;=101400")&gt;0,"X","")</f>
      </c>
      <c r="L21" s="56" t="str">
        <f>IF(COUNTIFS('LANÇAMENTOS DIÁRIOS'!$G$5:$G$500,"D",'LANÇAMENTOS DIÁRIOS'!$C$5:$C$500,$A21,'LANÇAMENTOS DIÁRIOS'!$O$5:$O$500,"&lt;=101599",'LANÇAMENTOS DIÁRIOS'!$P$5:$P$500,"&gt;=101500")&gt;0,"X","")</f>
      </c>
      <c r="M21" s="56" t="str">
        <f>IF(COUNTIFS('LANÇAMENTOS DIÁRIOS'!$G$5:$G$500,"D",'LANÇAMENTOS DIÁRIOS'!$C$5:$C$500,$A21,'LANÇAMENTOS DIÁRIOS'!$O$5:$O$500,"&lt;=101699",'LANÇAMENTOS DIÁRIOS'!$P$5:$P$500,"&gt;=101600")&gt;0,"X","")</f>
      </c>
      <c r="N21" s="56" t="str">
        <f>IF(COUNTIFS('LANÇAMENTOS DIÁRIOS'!$G$5:$G$500,"D",'LANÇAMENTOS DIÁRIOS'!$C$5:$C$500,$A21,'LANÇAMENTOS DIÁRIOS'!$O$5:$O$500,"&lt;=101799",'LANÇAMENTOS DIÁRIOS'!$P$5:$P$500,"&gt;=101700")&gt;0,"X","")</f>
      </c>
      <c r="O21" s="56" t="str">
        <f>IF(COUNTIFS('LANÇAMENTOS DIÁRIOS'!$G$5:$G$500,"D",'LANÇAMENTOS DIÁRIOS'!$C$5:$C$500,$A21,'LANÇAMENTOS DIÁRIOS'!$O$5:$O$500,"&lt;=101899",'LANÇAMENTOS DIÁRIOS'!$P$5:$P$500,"&gt;=101800")&gt;0,"X","")</f>
      </c>
      <c r="P21" s="56" t="str">
        <f>IF(COUNTIFS('LANÇAMENTOS DIÁRIOS'!$G$5:$G$500,"D",'LANÇAMENTOS DIÁRIOS'!$C$5:$C$500,$A21,'LANÇAMENTOS DIÁRIOS'!$O$5:$O$500,"&lt;=101999",'LANÇAMENTOS DIÁRIOS'!$P$5:$P$500,"&gt;=101900")&gt;0,"X","")</f>
      </c>
      <c r="Q21" s="56" t="str">
        <f>IF(COUNTIFS('LANÇAMENTOS DIÁRIOS'!$G$5:$G$500,"D",'LANÇAMENTOS DIÁRIOS'!$C$5:$C$500,$A21,'LANÇAMENTOS DIÁRIOS'!$O$5:$O$500,"&lt;=102099",'LANÇAMENTOS DIÁRIOS'!$P$5:$P$500,"&gt;=102000")&gt;0,"X","")</f>
      </c>
      <c r="R21" s="56" t="str">
        <f>IF(COUNTIFS('LANÇAMENTOS DIÁRIOS'!$G$5:$G$500,"D",'LANÇAMENTOS DIÁRIOS'!$C$5:$C$500,$A21,'LANÇAMENTOS DIÁRIOS'!$O$5:$O$500,"&lt;=102199",'LANÇAMENTOS DIÁRIOS'!$P$5:$P$500,"&gt;=102100")&gt;0,"X","")</f>
      </c>
      <c r="S21" s="56" t="str">
        <f>IF(COUNTIFS('LANÇAMENTOS DIÁRIOS'!$G$5:$G$500,"D",'LANÇAMENTOS DIÁRIOS'!$C$5:$C$500,$A21,'LANÇAMENTOS DIÁRIOS'!$O$5:$O$500,"&lt;=102299",'LANÇAMENTOS DIÁRIOS'!$P$5:$P$500,"&gt;=102200")&gt;0,"X","")</f>
      </c>
      <c r="T21" s="56" t="str">
        <f>IF(COUNTIFS('LANÇAMENTOS DIÁRIOS'!$G$5:$G$500,"D",'LANÇAMENTOS DIÁRIOS'!$C$5:$C$500,$A21,'LANÇAMENTOS DIÁRIOS'!$O$5:$O$500,"&lt;=102399",'LANÇAMENTOS DIÁRIOS'!$P$5:$P$500,"&gt;=102300")&gt;0,"X","")</f>
      </c>
      <c r="U21" s="56" t="str">
        <f>IF(COUNTIFS('LANÇAMENTOS DIÁRIOS'!$G$5:$G$500,"D",'LANÇAMENTOS DIÁRIOS'!$C$5:$C$500,$A21,'LANÇAMENTOS DIÁRIOS'!$O$5:$O$500,"&lt;=102499",'LANÇAMENTOS DIÁRIOS'!$P$5:$P$500,"&gt;=102400")&gt;0,"X","")</f>
      </c>
      <c r="V21" s="56" t="str">
        <f>IF(COUNTIFS('LANÇAMENTOS DIÁRIOS'!$G$5:$G$500,"D",'LANÇAMENTOS DIÁRIOS'!$C$5:$C$500,$A21,'LANÇAMENTOS DIÁRIOS'!$O$5:$O$500,"&lt;=102599",'LANÇAMENTOS DIÁRIOS'!$P$5:$P$500,"&gt;=102500")&gt;0,"X","")</f>
      </c>
      <c r="W21" s="56" t="str">
        <f>IF(COUNTIFS('LANÇAMENTOS DIÁRIOS'!$G$5:$G$500,"D",'LANÇAMENTOS DIÁRIOS'!$C$5:$C$500,$A21,'LANÇAMENTOS DIÁRIOS'!$O$5:$O$500,"&lt;=102699",'LANÇAMENTOS DIÁRIOS'!$P$5:$P$500,"&gt;=102600")&gt;0,"X","")</f>
      </c>
      <c r="X21" s="56" t="str">
        <f>IF(COUNTIFS('LANÇAMENTOS DIÁRIOS'!$G$5:$G$500,"D",'LANÇAMENTOS DIÁRIOS'!$C$5:$C$500,$A21,'LANÇAMENTOS DIÁRIOS'!$O$5:$O$500,"&lt;=102799",'LANÇAMENTOS DIÁRIOS'!$P$5:$P$500,"&gt;=102700")&gt;0,"X","")</f>
      </c>
      <c r="Y21" s="56" t="str">
        <f>IF(COUNTIFS('LANÇAMENTOS DIÁRIOS'!$G$5:$G$500,"D",'LANÇAMENTOS DIÁRIOS'!$C$5:$C$500,$A21,'LANÇAMENTOS DIÁRIOS'!$O$5:$O$500,"&lt;=102899",'LANÇAMENTOS DIÁRIOS'!$P$5:$P$500,"&gt;=102800")&gt;0,"X","")</f>
      </c>
      <c r="Z21" s="56" t="str">
        <f>IF(COUNTIFS('LANÇAMENTOS DIÁRIOS'!$G$5:$G$500,"D",'LANÇAMENTOS DIÁRIOS'!$C$5:$C$500,$A21,'LANÇAMENTOS DIÁRIOS'!$O$5:$O$500,"&lt;=102999",'LANÇAMENTOS DIÁRIOS'!$P$5:$P$500,"&gt;=102900")&gt;0,"X","")</f>
      </c>
      <c r="AA21" s="56" t="str">
        <f>IF(COUNTIFS('LANÇAMENTOS DIÁRIOS'!$G$5:$G$500,"D",'LANÇAMENTOS DIÁRIOS'!$C$5:$C$500,$A21,'LANÇAMENTOS DIÁRIOS'!$O$5:$O$500,"&lt;=103099",'LANÇAMENTOS DIÁRIOS'!$P$5:$P$500,"&gt;=103000")&gt;0,"X","")</f>
      </c>
      <c r="AB21" s="56" t="str">
        <f>IF(COUNTIFS('LANÇAMENTOS DIÁRIOS'!$G$5:$G$500,"D",'LANÇAMENTOS DIÁRIOS'!$C$5:$C$500,$A21,'LANÇAMENTOS DIÁRIOS'!$O$5:$O$500,"&lt;=103199",'LANÇAMENTOS DIÁRIOS'!$P$5:$P$500,"&gt;=103100")&gt;0,"X","")</f>
      </c>
      <c r="AC21" s="56" t="str">
        <f>IF(COUNTIFS('LANÇAMENTOS DIÁRIOS'!$G$5:$G$500,"D",'LANÇAMENTOS DIÁRIOS'!$C$5:$C$500,$A21,'LANÇAMENTOS DIÁRIOS'!$O$5:$O$500,"&lt;=103299",'LANÇAMENTOS DIÁRIOS'!$P$5:$P$500,"&gt;=103200")&gt;0,"X","")</f>
      </c>
      <c r="AD21" s="56" t="str">
        <f>IF(COUNTIFS('LANÇAMENTOS DIÁRIOS'!$G$5:$G$500,"D",'LANÇAMENTOS DIÁRIOS'!$C$5:$C$500,$A21,'LANÇAMENTOS DIÁRIOS'!$O$5:$O$500,"&lt;=103399",'LANÇAMENTOS DIÁRIOS'!$P$5:$P$500,"&gt;=103300")&gt;0,"X","")</f>
      </c>
      <c r="AE21" s="56" t="str">
        <f>IF(COUNTIFS('LANÇAMENTOS DIÁRIOS'!$G$5:$G$500,"D",'LANÇAMENTOS DIÁRIOS'!$C$5:$C$500,$A21,'LANÇAMENTOS DIÁRIOS'!$O$5:$O$500,"&lt;=103499",'LANÇAMENTOS DIÁRIOS'!$P$5:$P$500,"&gt;=103400")&gt;0,"X","")</f>
      </c>
      <c r="AF21" s="56" t="str">
        <f>IF(COUNTIFS('LANÇAMENTOS DIÁRIOS'!$G$5:$G$500,"D",'LANÇAMENTOS DIÁRIOS'!$C$5:$C$500,$A21,'LANÇAMENTOS DIÁRIOS'!$O$5:$O$500,"&lt;=103599",'LANÇAMENTOS DIÁRIOS'!$P$5:$P$500,"&gt;=103500")&gt;0,"X","")</f>
      </c>
      <c r="AG21" s="56" t="str">
        <f>IF(COUNTIFS('LANÇAMENTOS DIÁRIOS'!$G$5:$G$500,"D",'LANÇAMENTOS DIÁRIOS'!$C$5:$C$500,$A21,'LANÇAMENTOS DIÁRIOS'!$O$5:$O$500,"&lt;=103699",'LANÇAMENTOS DIÁRIOS'!$P$5:$P$500,"&gt;=103600")&gt;0,"X","")</f>
      </c>
      <c r="AH21" s="56" t="str">
        <f>IF(COUNTIFS('LANÇAMENTOS DIÁRIOS'!$G$5:$G$500,"D",'LANÇAMENTOS DIÁRIOS'!$C$5:$C$500,$A21,'LANÇAMENTOS DIÁRIOS'!$O$5:$O$500,"&lt;=103799",'LANÇAMENTOS DIÁRIOS'!$P$5:$P$500,"&gt;=103700")&gt;0,"X","")</f>
      </c>
      <c r="AI21" s="56" t="str">
        <f>IF(COUNTIFS('LANÇAMENTOS DIÁRIOS'!$G$5:$G$500,"D",'LANÇAMENTOS DIÁRIOS'!$C$5:$C$500,$A21,'LANÇAMENTOS DIÁRIOS'!$O$5:$O$500,"&lt;=103899",'LANÇAMENTOS DIÁRIOS'!$P$5:$P$500,"&gt;=103800")&gt;0,"X","")</f>
      </c>
      <c r="AJ21" s="56" t="str">
        <f>IF(COUNTIFS('LANÇAMENTOS DIÁRIOS'!$G$5:$G$500,"D",'LANÇAMENTOS DIÁRIOS'!$C$5:$C$500,$A21,'LANÇAMENTOS DIÁRIOS'!$O$5:$O$500,"&lt;=103999",'LANÇAMENTOS DIÁRIOS'!$P$5:$P$500,"&gt;=103900")&gt;0,"X","")</f>
      </c>
      <c r="AK21" s="56" t="str">
        <f>IF(COUNTIFS('LANÇAMENTOS DIÁRIOS'!$G$5:$G$500,"D",'LANÇAMENTOS DIÁRIOS'!$C$5:$C$500,$A21,'LANÇAMENTOS DIÁRIOS'!$O$5:$O$500,"&lt;=104099",'LANÇAMENTOS DIÁRIOS'!$P$5:$P$500,"&gt;=104000")&gt;0,"X","")</f>
      </c>
      <c r="AL21" s="56" t="str">
        <f>IF(COUNTIFS('LANÇAMENTOS DIÁRIOS'!$G$5:$G$500,"D",'LANÇAMENTOS DIÁRIOS'!$C$5:$C$500,$A21,'LANÇAMENTOS DIÁRIOS'!$O$5:$O$500,"&lt;=104199",'LANÇAMENTOS DIÁRIOS'!$P$5:$P$500,"&gt;=104100")&gt;0,"X","")</f>
      </c>
      <c r="AM21" s="56" t="str">
        <f>IF(COUNTIFS('LANÇAMENTOS DIÁRIOS'!$G$5:$G$500,"D",'LANÇAMENTOS DIÁRIOS'!$C$5:$C$500,$A21,'LANÇAMENTOS DIÁRIOS'!$O$5:$O$500,"&lt;=104299",'LANÇAMENTOS DIÁRIOS'!$P$5:$P$500,"&gt;=104200")&gt;0,"X","")</f>
      </c>
      <c r="AN21" s="56" t="str">
        <f>IF(COUNTIFS('LANÇAMENTOS DIÁRIOS'!$G$5:$G$500,"D",'LANÇAMENTOS DIÁRIOS'!$C$5:$C$500,$A21,'LANÇAMENTOS DIÁRIOS'!$O$5:$O$500,"&lt;=104399",'LANÇAMENTOS DIÁRIOS'!$P$5:$P$500,"&gt;=104300")&gt;0,"X","")</f>
      </c>
      <c r="AO21" s="56" t="str">
        <f>IF(COUNTIFS('LANÇAMENTOS DIÁRIOS'!$G$5:$G$500,"D",'LANÇAMENTOS DIÁRIOS'!$C$5:$C$500,$A21,'LANÇAMENTOS DIÁRIOS'!$O$5:$O$500,"&lt;=104499",'LANÇAMENTOS DIÁRIOS'!$P$5:$P$500,"&gt;=104400")&gt;0,"X","")</f>
      </c>
      <c r="AP21" s="56" t="str">
        <f>IF(COUNTIFS('LANÇAMENTOS DIÁRIOS'!$G$5:$G$500,"D",'LANÇAMENTOS DIÁRIOS'!$C$5:$C$500,$A21,'LANÇAMENTOS DIÁRIOS'!$O$5:$O$500,"&lt;=104599",'LANÇAMENTOS DIÁRIOS'!$P$5:$P$500,"&gt;=104500")&gt;0,"X","")</f>
      </c>
      <c r="AQ21" s="56" t="str">
        <f>IF(COUNTIFS('LANÇAMENTOS DIÁRIOS'!$G$5:$G$500,"D",'LANÇAMENTOS DIÁRIOS'!$C$5:$C$500,$A21,'LANÇAMENTOS DIÁRIOS'!$O$5:$O$500,"&lt;=104699",'LANÇAMENTOS DIÁRIOS'!$P$5:$P$500,"&gt;=104600")&gt;0,"X","")</f>
      </c>
      <c r="AR21" s="56" t="str">
        <f>IF(COUNTIFS('LANÇAMENTOS DIÁRIOS'!$G$5:$G$500,"D",'LANÇAMENTOS DIÁRIOS'!$C$5:$C$500,$A21,'LANÇAMENTOS DIÁRIOS'!$O$5:$O$500,"&lt;=104799",'LANÇAMENTOS DIÁRIOS'!$P$5:$P$500,"&gt;=104700")&gt;0,"X","")</f>
      </c>
      <c r="AS21" s="56" t="str">
        <f>IF(COUNTIFS('LANÇAMENTOS DIÁRIOS'!$G$5:$G$500,"D",'LANÇAMENTOS DIÁRIOS'!$C$5:$C$500,$A21,'LANÇAMENTOS DIÁRIOS'!$O$5:$O$500,"&lt;=104899",'LANÇAMENTOS DIÁRIOS'!$P$5:$P$500,"&gt;=104800")&gt;0,"X","")</f>
      </c>
      <c r="AT21" s="56" t="str">
        <f>IF(COUNTIFS('LANÇAMENTOS DIÁRIOS'!$G$5:$G$500,"D",'LANÇAMENTOS DIÁRIOS'!$C$5:$C$500,$A21,'LANÇAMENTOS DIÁRIOS'!$O$5:$O$500,"&lt;=104999",'LANÇAMENTOS DIÁRIOS'!$P$5:$P$500,"&gt;=104900")&gt;0,"X","")</f>
      </c>
      <c r="AU21" s="56" t="str">
        <f>IF(COUNTIFS('LANÇAMENTOS DIÁRIOS'!$G$5:$G$500,"D",'LANÇAMENTOS DIÁRIOS'!$C$5:$C$500,$A21,'LANÇAMENTOS DIÁRIOS'!$O$5:$O$500,"&lt;=105099",'LANÇAMENTOS DIÁRIOS'!$P$5:$P$500,"&gt;=105000")&gt;0,"X","")</f>
      </c>
      <c r="AV21" s="56" t="str">
        <f>IF(COUNTIFS('LANÇAMENTOS DIÁRIOS'!$G$5:$G$500,"D",'LANÇAMENTOS DIÁRIOS'!$C$5:$C$500,$A21,'LANÇAMENTOS DIÁRIOS'!$O$5:$O$500,"&lt;=105199",'LANÇAMENTOS DIÁRIOS'!$P$5:$P$500,"&gt;=105100")&gt;0,"X","")</f>
      </c>
      <c r="AW21" s="56" t="str">
        <f>IF(COUNTIFS('LANÇAMENTOS DIÁRIOS'!$G$5:$G$500,"D",'LANÇAMENTOS DIÁRIOS'!$C$5:$C$500,$A21,'LANÇAMENTOS DIÁRIOS'!$O$5:$O$500,"&lt;=105299",'LANÇAMENTOS DIÁRIOS'!$P$5:$P$500,"&gt;=105200")&gt;0,"X","")</f>
      </c>
      <c r="AX21" s="56" t="str">
        <f>IF(COUNTIFS('LANÇAMENTOS DIÁRIOS'!$G$5:$G$500,"D",'LANÇAMENTOS DIÁRIOS'!$C$5:$C$500,$A21,'LANÇAMENTOS DIÁRIOS'!$O$5:$O$500,"&lt;=105399",'LANÇAMENTOS DIÁRIOS'!$P$5:$P$500,"&gt;=105300")&gt;0,"X","")</f>
      </c>
      <c r="AY21" s="56" t="str">
        <f>IF(COUNTIFS('LANÇAMENTOS DIÁRIOS'!$G$5:$G$500,"D",'LANÇAMENTOS DIÁRIOS'!$C$5:$C$500,$A21,'LANÇAMENTOS DIÁRIOS'!$O$5:$O$500,"&lt;=105499",'LANÇAMENTOS DIÁRIOS'!$P$5:$P$500,"&gt;=105400")&gt;0,"X","")</f>
      </c>
      <c r="AZ21" s="56" t="str">
        <f>IF(COUNTIFS('LANÇAMENTOS DIÁRIOS'!$G$5:$G$500,"D",'LANÇAMENTOS DIÁRIOS'!$C$5:$C$500,$A21,'LANÇAMENTOS DIÁRIOS'!$O$5:$O$500,"&lt;=105500",'LANÇAMENTOS DIÁRIOS'!$P$5:$P$500,"&gt;=105500")&gt;0,"X","")</f>
      </c>
    </row>
    <row r="22">
      <c r="A22" s="51" t="str">
        <v>Remanejamento de placa de sinalização, solo</v>
      </c>
      <c r="B22" s="56" t="str">
        <f>IF(COUNTIFS('LANÇAMENTOS DIÁRIOS'!$G$5:$G$500,"D",'LANÇAMENTOS DIÁRIOS'!$C$5:$C$500,$A22,'LANÇAMENTOS DIÁRIOS'!$O$5:$O$500,"&lt;=100599",'LANÇAMENTOS DIÁRIOS'!$P$5:$P$500,"&gt;=100500")&gt;0,"X","")</f>
      </c>
      <c r="C22" s="56" t="str">
        <f>IF(COUNTIFS('LANÇAMENTOS DIÁRIOS'!$G$5:$G$500,"D",'LANÇAMENTOS DIÁRIOS'!$C$5:$C$500,$A22,'LANÇAMENTOS DIÁRIOS'!$O$5:$O$500,"&lt;=100699",'LANÇAMENTOS DIÁRIOS'!$P$5:$P$500,"&gt;=100600")&gt;0,"X","")</f>
      </c>
      <c r="D22" s="56" t="str">
        <f>IF(COUNTIFS('LANÇAMENTOS DIÁRIOS'!$G$5:$G$500,"D",'LANÇAMENTOS DIÁRIOS'!$C$5:$C$500,$A22,'LANÇAMENTOS DIÁRIOS'!$O$5:$O$500,"&lt;=100799",'LANÇAMENTOS DIÁRIOS'!$P$5:$P$500,"&gt;=100700")&gt;0,"X","")</f>
      </c>
      <c r="E22" s="56" t="str">
        <f>IF(COUNTIFS('LANÇAMENTOS DIÁRIOS'!$G$5:$G$500,"D",'LANÇAMENTOS DIÁRIOS'!$C$5:$C$500,$A22,'LANÇAMENTOS DIÁRIOS'!$O$5:$O$500,"&lt;=100899",'LANÇAMENTOS DIÁRIOS'!$P$5:$P$500,"&gt;=100800")&gt;0,"X","")</f>
      </c>
      <c r="F22" s="56" t="str">
        <f>IF(COUNTIFS('LANÇAMENTOS DIÁRIOS'!$G$5:$G$500,"D",'LANÇAMENTOS DIÁRIOS'!$C$5:$C$500,$A22,'LANÇAMENTOS DIÁRIOS'!$O$5:$O$500,"&lt;=100999",'LANÇAMENTOS DIÁRIOS'!$P$5:$P$500,"&gt;=100900")&gt;0,"X","")</f>
      </c>
      <c r="G22" s="56" t="str">
        <f>IF(COUNTIFS('LANÇAMENTOS DIÁRIOS'!$G$5:$G$500,"D",'LANÇAMENTOS DIÁRIOS'!$C$5:$C$500,$A22,'LANÇAMENTOS DIÁRIOS'!$O$5:$O$500,"&lt;=101099",'LANÇAMENTOS DIÁRIOS'!$P$5:$P$500,"&gt;=101000")&gt;0,"X","")</f>
      </c>
      <c r="H22" s="56" t="str">
        <f>IF(COUNTIFS('LANÇAMENTOS DIÁRIOS'!$G$5:$G$500,"D",'LANÇAMENTOS DIÁRIOS'!$C$5:$C$500,$A22,'LANÇAMENTOS DIÁRIOS'!$O$5:$O$500,"&lt;=101199",'LANÇAMENTOS DIÁRIOS'!$P$5:$P$500,"&gt;=101100")&gt;0,"X","")</f>
      </c>
      <c r="I22" s="56" t="str">
        <f>IF(COUNTIFS('LANÇAMENTOS DIÁRIOS'!$G$5:$G$500,"D",'LANÇAMENTOS DIÁRIOS'!$C$5:$C$500,$A22,'LANÇAMENTOS DIÁRIOS'!$O$5:$O$500,"&lt;=101299",'LANÇAMENTOS DIÁRIOS'!$P$5:$P$500,"&gt;=101200")&gt;0,"X","")</f>
      </c>
      <c r="J22" s="56" t="str">
        <f>IF(COUNTIFS('LANÇAMENTOS DIÁRIOS'!$G$5:$G$500,"D",'LANÇAMENTOS DIÁRIOS'!$C$5:$C$500,$A22,'LANÇAMENTOS DIÁRIOS'!$O$5:$O$500,"&lt;=101399",'LANÇAMENTOS DIÁRIOS'!$P$5:$P$500,"&gt;=101300")&gt;0,"X","")</f>
      </c>
      <c r="K22" s="56" t="str">
        <f>IF(COUNTIFS('LANÇAMENTOS DIÁRIOS'!$G$5:$G$500,"D",'LANÇAMENTOS DIÁRIOS'!$C$5:$C$500,$A22,'LANÇAMENTOS DIÁRIOS'!$O$5:$O$500,"&lt;=101499",'LANÇAMENTOS DIÁRIOS'!$P$5:$P$500,"&gt;=101400")&gt;0,"X","")</f>
      </c>
      <c r="L22" s="56" t="str">
        <f>IF(COUNTIFS('LANÇAMENTOS DIÁRIOS'!$G$5:$G$500,"D",'LANÇAMENTOS DIÁRIOS'!$C$5:$C$500,$A22,'LANÇAMENTOS DIÁRIOS'!$O$5:$O$500,"&lt;=101599",'LANÇAMENTOS DIÁRIOS'!$P$5:$P$500,"&gt;=101500")&gt;0,"X","")</f>
      </c>
      <c r="M22" s="56" t="str">
        <f>IF(COUNTIFS('LANÇAMENTOS DIÁRIOS'!$G$5:$G$500,"D",'LANÇAMENTOS DIÁRIOS'!$C$5:$C$500,$A22,'LANÇAMENTOS DIÁRIOS'!$O$5:$O$500,"&lt;=101699",'LANÇAMENTOS DIÁRIOS'!$P$5:$P$500,"&gt;=101600")&gt;0,"X","")</f>
      </c>
      <c r="N22" s="56" t="str">
        <f>IF(COUNTIFS('LANÇAMENTOS DIÁRIOS'!$G$5:$G$500,"D",'LANÇAMENTOS DIÁRIOS'!$C$5:$C$500,$A22,'LANÇAMENTOS DIÁRIOS'!$O$5:$O$500,"&lt;=101799",'LANÇAMENTOS DIÁRIOS'!$P$5:$P$500,"&gt;=101700")&gt;0,"X","")</f>
      </c>
      <c r="O22" s="56" t="str">
        <f>IF(COUNTIFS('LANÇAMENTOS DIÁRIOS'!$G$5:$G$500,"D",'LANÇAMENTOS DIÁRIOS'!$C$5:$C$500,$A22,'LANÇAMENTOS DIÁRIOS'!$O$5:$O$500,"&lt;=101899",'LANÇAMENTOS DIÁRIOS'!$P$5:$P$500,"&gt;=101800")&gt;0,"X","")</f>
      </c>
      <c r="P22" s="56" t="str">
        <f>IF(COUNTIFS('LANÇAMENTOS DIÁRIOS'!$G$5:$G$500,"D",'LANÇAMENTOS DIÁRIOS'!$C$5:$C$500,$A22,'LANÇAMENTOS DIÁRIOS'!$O$5:$O$500,"&lt;=101999",'LANÇAMENTOS DIÁRIOS'!$P$5:$P$500,"&gt;=101900")&gt;0,"X","")</f>
      </c>
      <c r="Q22" s="56" t="str">
        <f>IF(COUNTIFS('LANÇAMENTOS DIÁRIOS'!$G$5:$G$500,"D",'LANÇAMENTOS DIÁRIOS'!$C$5:$C$500,$A22,'LANÇAMENTOS DIÁRIOS'!$O$5:$O$500,"&lt;=102099",'LANÇAMENTOS DIÁRIOS'!$P$5:$P$500,"&gt;=102000")&gt;0,"X","")</f>
      </c>
      <c r="R22" s="56" t="str">
        <f>IF(COUNTIFS('LANÇAMENTOS DIÁRIOS'!$G$5:$G$500,"D",'LANÇAMENTOS DIÁRIOS'!$C$5:$C$500,$A22,'LANÇAMENTOS DIÁRIOS'!$O$5:$O$500,"&lt;=102199",'LANÇAMENTOS DIÁRIOS'!$P$5:$P$500,"&gt;=102100")&gt;0,"X","")</f>
      </c>
      <c r="S22" s="56" t="str">
        <f>IF(COUNTIFS('LANÇAMENTOS DIÁRIOS'!$G$5:$G$500,"D",'LANÇAMENTOS DIÁRIOS'!$C$5:$C$500,$A22,'LANÇAMENTOS DIÁRIOS'!$O$5:$O$500,"&lt;=102299",'LANÇAMENTOS DIÁRIOS'!$P$5:$P$500,"&gt;=102200")&gt;0,"X","")</f>
      </c>
      <c r="T22" s="56" t="str">
        <f>IF(COUNTIFS('LANÇAMENTOS DIÁRIOS'!$G$5:$G$500,"D",'LANÇAMENTOS DIÁRIOS'!$C$5:$C$500,$A22,'LANÇAMENTOS DIÁRIOS'!$O$5:$O$500,"&lt;=102399",'LANÇAMENTOS DIÁRIOS'!$P$5:$P$500,"&gt;=102300")&gt;0,"X","")</f>
      </c>
      <c r="U22" s="56" t="str">
        <f>IF(COUNTIFS('LANÇAMENTOS DIÁRIOS'!$G$5:$G$500,"D",'LANÇAMENTOS DIÁRIOS'!$C$5:$C$500,$A22,'LANÇAMENTOS DIÁRIOS'!$O$5:$O$500,"&lt;=102499",'LANÇAMENTOS DIÁRIOS'!$P$5:$P$500,"&gt;=102400")&gt;0,"X","")</f>
      </c>
      <c r="V22" s="56" t="str">
        <f>IF(COUNTIFS('LANÇAMENTOS DIÁRIOS'!$G$5:$G$500,"D",'LANÇAMENTOS DIÁRIOS'!$C$5:$C$500,$A22,'LANÇAMENTOS DIÁRIOS'!$O$5:$O$500,"&lt;=102599",'LANÇAMENTOS DIÁRIOS'!$P$5:$P$500,"&gt;=102500")&gt;0,"X","")</f>
      </c>
      <c r="W22" s="56" t="str">
        <f>IF(COUNTIFS('LANÇAMENTOS DIÁRIOS'!$G$5:$G$500,"D",'LANÇAMENTOS DIÁRIOS'!$C$5:$C$500,$A22,'LANÇAMENTOS DIÁRIOS'!$O$5:$O$500,"&lt;=102699",'LANÇAMENTOS DIÁRIOS'!$P$5:$P$500,"&gt;=102600")&gt;0,"X","")</f>
      </c>
      <c r="X22" s="56" t="str">
        <f>IF(COUNTIFS('LANÇAMENTOS DIÁRIOS'!$G$5:$G$500,"D",'LANÇAMENTOS DIÁRIOS'!$C$5:$C$500,$A22,'LANÇAMENTOS DIÁRIOS'!$O$5:$O$500,"&lt;=102799",'LANÇAMENTOS DIÁRIOS'!$P$5:$P$500,"&gt;=102700")&gt;0,"X","")</f>
      </c>
      <c r="Y22" s="56" t="str">
        <f>IF(COUNTIFS('LANÇAMENTOS DIÁRIOS'!$G$5:$G$500,"D",'LANÇAMENTOS DIÁRIOS'!$C$5:$C$500,$A22,'LANÇAMENTOS DIÁRIOS'!$O$5:$O$500,"&lt;=102899",'LANÇAMENTOS DIÁRIOS'!$P$5:$P$500,"&gt;=102800")&gt;0,"X","")</f>
      </c>
      <c r="Z22" s="56" t="str">
        <f>IF(COUNTIFS('LANÇAMENTOS DIÁRIOS'!$G$5:$G$500,"D",'LANÇAMENTOS DIÁRIOS'!$C$5:$C$500,$A22,'LANÇAMENTOS DIÁRIOS'!$O$5:$O$500,"&lt;=102999",'LANÇAMENTOS DIÁRIOS'!$P$5:$P$500,"&gt;=102900")&gt;0,"X","")</f>
      </c>
      <c r="AA22" s="56" t="str">
        <f>IF(COUNTIFS('LANÇAMENTOS DIÁRIOS'!$G$5:$G$500,"D",'LANÇAMENTOS DIÁRIOS'!$C$5:$C$500,$A22,'LANÇAMENTOS DIÁRIOS'!$O$5:$O$500,"&lt;=103099",'LANÇAMENTOS DIÁRIOS'!$P$5:$P$500,"&gt;=103000")&gt;0,"X","")</f>
      </c>
      <c r="AB22" s="56" t="str">
        <f>IF(COUNTIFS('LANÇAMENTOS DIÁRIOS'!$G$5:$G$500,"D",'LANÇAMENTOS DIÁRIOS'!$C$5:$C$500,$A22,'LANÇAMENTOS DIÁRIOS'!$O$5:$O$500,"&lt;=103199",'LANÇAMENTOS DIÁRIOS'!$P$5:$P$500,"&gt;=103100")&gt;0,"X","")</f>
      </c>
      <c r="AC22" s="56" t="str">
        <f>IF(COUNTIFS('LANÇAMENTOS DIÁRIOS'!$G$5:$G$500,"D",'LANÇAMENTOS DIÁRIOS'!$C$5:$C$500,$A22,'LANÇAMENTOS DIÁRIOS'!$O$5:$O$500,"&lt;=103299",'LANÇAMENTOS DIÁRIOS'!$P$5:$P$500,"&gt;=103200")&gt;0,"X","")</f>
      </c>
      <c r="AD22" s="56" t="str">
        <f>IF(COUNTIFS('LANÇAMENTOS DIÁRIOS'!$G$5:$G$500,"D",'LANÇAMENTOS DIÁRIOS'!$C$5:$C$500,$A22,'LANÇAMENTOS DIÁRIOS'!$O$5:$O$500,"&lt;=103399",'LANÇAMENTOS DIÁRIOS'!$P$5:$P$500,"&gt;=103300")&gt;0,"X","")</f>
      </c>
      <c r="AE22" s="56" t="str">
        <f>IF(COUNTIFS('LANÇAMENTOS DIÁRIOS'!$G$5:$G$500,"D",'LANÇAMENTOS DIÁRIOS'!$C$5:$C$500,$A22,'LANÇAMENTOS DIÁRIOS'!$O$5:$O$500,"&lt;=103499",'LANÇAMENTOS DIÁRIOS'!$P$5:$P$500,"&gt;=103400")&gt;0,"X","")</f>
      </c>
      <c r="AF22" s="56" t="str">
        <f>IF(COUNTIFS('LANÇAMENTOS DIÁRIOS'!$G$5:$G$500,"D",'LANÇAMENTOS DIÁRIOS'!$C$5:$C$500,$A22,'LANÇAMENTOS DIÁRIOS'!$O$5:$O$500,"&lt;=103599",'LANÇAMENTOS DIÁRIOS'!$P$5:$P$500,"&gt;=103500")&gt;0,"X","")</f>
      </c>
      <c r="AG22" s="56" t="str">
        <f>IF(COUNTIFS('LANÇAMENTOS DIÁRIOS'!$G$5:$G$500,"D",'LANÇAMENTOS DIÁRIOS'!$C$5:$C$500,$A22,'LANÇAMENTOS DIÁRIOS'!$O$5:$O$500,"&lt;=103699",'LANÇAMENTOS DIÁRIOS'!$P$5:$P$500,"&gt;=103600")&gt;0,"X","")</f>
      </c>
      <c r="AH22" s="56" t="str">
        <f>IF(COUNTIFS('LANÇAMENTOS DIÁRIOS'!$G$5:$G$500,"D",'LANÇAMENTOS DIÁRIOS'!$C$5:$C$500,$A22,'LANÇAMENTOS DIÁRIOS'!$O$5:$O$500,"&lt;=103799",'LANÇAMENTOS DIÁRIOS'!$P$5:$P$500,"&gt;=103700")&gt;0,"X","")</f>
      </c>
      <c r="AI22" s="56" t="str">
        <f>IF(COUNTIFS('LANÇAMENTOS DIÁRIOS'!$G$5:$G$500,"D",'LANÇAMENTOS DIÁRIOS'!$C$5:$C$500,$A22,'LANÇAMENTOS DIÁRIOS'!$O$5:$O$500,"&lt;=103899",'LANÇAMENTOS DIÁRIOS'!$P$5:$P$500,"&gt;=103800")&gt;0,"X","")</f>
      </c>
      <c r="AJ22" s="56" t="str">
        <f>IF(COUNTIFS('LANÇAMENTOS DIÁRIOS'!$G$5:$G$500,"D",'LANÇAMENTOS DIÁRIOS'!$C$5:$C$500,$A22,'LANÇAMENTOS DIÁRIOS'!$O$5:$O$500,"&lt;=103999",'LANÇAMENTOS DIÁRIOS'!$P$5:$P$500,"&gt;=103900")&gt;0,"X","")</f>
      </c>
      <c r="AK22" s="56" t="str">
        <f>IF(COUNTIFS('LANÇAMENTOS DIÁRIOS'!$G$5:$G$500,"D",'LANÇAMENTOS DIÁRIOS'!$C$5:$C$500,$A22,'LANÇAMENTOS DIÁRIOS'!$O$5:$O$500,"&lt;=104099",'LANÇAMENTOS DIÁRIOS'!$P$5:$P$500,"&gt;=104000")&gt;0,"X","")</f>
      </c>
      <c r="AL22" s="56" t="str">
        <f>IF(COUNTIFS('LANÇAMENTOS DIÁRIOS'!$G$5:$G$500,"D",'LANÇAMENTOS DIÁRIOS'!$C$5:$C$500,$A22,'LANÇAMENTOS DIÁRIOS'!$O$5:$O$500,"&lt;=104199",'LANÇAMENTOS DIÁRIOS'!$P$5:$P$500,"&gt;=104100")&gt;0,"X","")</f>
      </c>
      <c r="AM22" s="56" t="str">
        <f>IF(COUNTIFS('LANÇAMENTOS DIÁRIOS'!$G$5:$G$500,"D",'LANÇAMENTOS DIÁRIOS'!$C$5:$C$500,$A22,'LANÇAMENTOS DIÁRIOS'!$O$5:$O$500,"&lt;=104299",'LANÇAMENTOS DIÁRIOS'!$P$5:$P$500,"&gt;=104200")&gt;0,"X","")</f>
      </c>
      <c r="AN22" s="56" t="str">
        <f>IF(COUNTIFS('LANÇAMENTOS DIÁRIOS'!$G$5:$G$500,"D",'LANÇAMENTOS DIÁRIOS'!$C$5:$C$500,$A22,'LANÇAMENTOS DIÁRIOS'!$O$5:$O$500,"&lt;=104399",'LANÇAMENTOS DIÁRIOS'!$P$5:$P$500,"&gt;=104300")&gt;0,"X","")</f>
      </c>
      <c r="AO22" s="56" t="str">
        <f>IF(COUNTIFS('LANÇAMENTOS DIÁRIOS'!$G$5:$G$500,"D",'LANÇAMENTOS DIÁRIOS'!$C$5:$C$500,$A22,'LANÇAMENTOS DIÁRIOS'!$O$5:$O$500,"&lt;=104499",'LANÇAMENTOS DIÁRIOS'!$P$5:$P$500,"&gt;=104400")&gt;0,"X","")</f>
      </c>
      <c r="AP22" s="56" t="str">
        <f>IF(COUNTIFS('LANÇAMENTOS DIÁRIOS'!$G$5:$G$500,"D",'LANÇAMENTOS DIÁRIOS'!$C$5:$C$500,$A22,'LANÇAMENTOS DIÁRIOS'!$O$5:$O$500,"&lt;=104599",'LANÇAMENTOS DIÁRIOS'!$P$5:$P$500,"&gt;=104500")&gt;0,"X","")</f>
      </c>
      <c r="AQ22" s="56" t="str">
        <f>IF(COUNTIFS('LANÇAMENTOS DIÁRIOS'!$G$5:$G$500,"D",'LANÇAMENTOS DIÁRIOS'!$C$5:$C$500,$A22,'LANÇAMENTOS DIÁRIOS'!$O$5:$O$500,"&lt;=104699",'LANÇAMENTOS DIÁRIOS'!$P$5:$P$500,"&gt;=104600")&gt;0,"X","")</f>
      </c>
      <c r="AR22" s="56" t="str">
        <f>IF(COUNTIFS('LANÇAMENTOS DIÁRIOS'!$G$5:$G$500,"D",'LANÇAMENTOS DIÁRIOS'!$C$5:$C$500,$A22,'LANÇAMENTOS DIÁRIOS'!$O$5:$O$500,"&lt;=104799",'LANÇAMENTOS DIÁRIOS'!$P$5:$P$500,"&gt;=104700")&gt;0,"X","")</f>
      </c>
      <c r="AS22" s="56" t="str">
        <f>IF(COUNTIFS('LANÇAMENTOS DIÁRIOS'!$G$5:$G$500,"D",'LANÇAMENTOS DIÁRIOS'!$C$5:$C$500,$A22,'LANÇAMENTOS DIÁRIOS'!$O$5:$O$500,"&lt;=104899",'LANÇAMENTOS DIÁRIOS'!$P$5:$P$500,"&gt;=104800")&gt;0,"X","")</f>
      </c>
      <c r="AT22" s="56" t="str">
        <f>IF(COUNTIFS('LANÇAMENTOS DIÁRIOS'!$G$5:$G$500,"D",'LANÇAMENTOS DIÁRIOS'!$C$5:$C$500,$A22,'LANÇAMENTOS DIÁRIOS'!$O$5:$O$500,"&lt;=104999",'LANÇAMENTOS DIÁRIOS'!$P$5:$P$500,"&gt;=104900")&gt;0,"X","")</f>
      </c>
      <c r="AU22" s="56" t="str">
        <f>IF(COUNTIFS('LANÇAMENTOS DIÁRIOS'!$G$5:$G$500,"D",'LANÇAMENTOS DIÁRIOS'!$C$5:$C$500,$A22,'LANÇAMENTOS DIÁRIOS'!$O$5:$O$500,"&lt;=105099",'LANÇAMENTOS DIÁRIOS'!$P$5:$P$500,"&gt;=105000")&gt;0,"X","")</f>
      </c>
      <c r="AV22" s="56" t="str">
        <f>IF(COUNTIFS('LANÇAMENTOS DIÁRIOS'!$G$5:$G$500,"D",'LANÇAMENTOS DIÁRIOS'!$C$5:$C$500,$A22,'LANÇAMENTOS DIÁRIOS'!$O$5:$O$500,"&lt;=105199",'LANÇAMENTOS DIÁRIOS'!$P$5:$P$500,"&gt;=105100")&gt;0,"X","")</f>
      </c>
      <c r="AW22" s="56" t="str">
        <f>IF(COUNTIFS('LANÇAMENTOS DIÁRIOS'!$G$5:$G$500,"D",'LANÇAMENTOS DIÁRIOS'!$C$5:$C$500,$A22,'LANÇAMENTOS DIÁRIOS'!$O$5:$O$500,"&lt;=105299",'LANÇAMENTOS DIÁRIOS'!$P$5:$P$500,"&gt;=105200")&gt;0,"X","")</f>
      </c>
      <c r="AX22" s="56" t="str">
        <f>IF(COUNTIFS('LANÇAMENTOS DIÁRIOS'!$G$5:$G$500,"D",'LANÇAMENTOS DIÁRIOS'!$C$5:$C$500,$A22,'LANÇAMENTOS DIÁRIOS'!$O$5:$O$500,"&lt;=105399",'LANÇAMENTOS DIÁRIOS'!$P$5:$P$500,"&gt;=105300")&gt;0,"X","")</f>
      </c>
      <c r="AY22" s="56" t="str">
        <f>IF(COUNTIFS('LANÇAMENTOS DIÁRIOS'!$G$5:$G$500,"D",'LANÇAMENTOS DIÁRIOS'!$C$5:$C$500,$A22,'LANÇAMENTOS DIÁRIOS'!$O$5:$O$500,"&lt;=105499",'LANÇAMENTOS DIÁRIOS'!$P$5:$P$500,"&gt;=105400")&gt;0,"X","")</f>
      </c>
      <c r="AZ22" s="56" t="str">
        <f>IF(COUNTIFS('LANÇAMENTOS DIÁRIOS'!$G$5:$G$500,"D",'LANÇAMENTOS DIÁRIOS'!$C$5:$C$500,$A22,'LANÇAMENTOS DIÁRIOS'!$O$5:$O$500,"&lt;=105500",'LANÇAMENTOS DIÁRIOS'!$P$5:$P$500,"&gt;=105500")&gt;0,"X","")</f>
      </c>
    </row>
    <row r="23">
      <c r="A23" s="51" t="str">
        <v>Remoção de placa de sinalização vertical instalada no solo</v>
      </c>
      <c r="B23" s="56" t="str">
        <f>IF(COUNTIFS('LANÇAMENTOS DIÁRIOS'!$G$5:$G$500,"D",'LANÇAMENTOS DIÁRIOS'!$C$5:$C$500,$A23,'LANÇAMENTOS DIÁRIOS'!$O$5:$O$500,"&lt;=100599",'LANÇAMENTOS DIÁRIOS'!$P$5:$P$500,"&gt;=100500")&gt;0,"X","")</f>
      </c>
      <c r="C23" s="56" t="str">
        <f>IF(COUNTIFS('LANÇAMENTOS DIÁRIOS'!$G$5:$G$500,"D",'LANÇAMENTOS DIÁRIOS'!$C$5:$C$500,$A23,'LANÇAMENTOS DIÁRIOS'!$O$5:$O$500,"&lt;=100699",'LANÇAMENTOS DIÁRIOS'!$P$5:$P$500,"&gt;=100600")&gt;0,"X","")</f>
      </c>
      <c r="D23" s="56" t="str">
        <f>IF(COUNTIFS('LANÇAMENTOS DIÁRIOS'!$G$5:$G$500,"D",'LANÇAMENTOS DIÁRIOS'!$C$5:$C$500,$A23,'LANÇAMENTOS DIÁRIOS'!$O$5:$O$500,"&lt;=100799",'LANÇAMENTOS DIÁRIOS'!$P$5:$P$500,"&gt;=100700")&gt;0,"X","")</f>
      </c>
      <c r="E23" s="56" t="str">
        <f>IF(COUNTIFS('LANÇAMENTOS DIÁRIOS'!$G$5:$G$500,"D",'LANÇAMENTOS DIÁRIOS'!$C$5:$C$500,$A23,'LANÇAMENTOS DIÁRIOS'!$O$5:$O$500,"&lt;=100899",'LANÇAMENTOS DIÁRIOS'!$P$5:$P$500,"&gt;=100800")&gt;0,"X","")</f>
      </c>
      <c r="F23" s="56" t="str">
        <f>IF(COUNTIFS('LANÇAMENTOS DIÁRIOS'!$G$5:$G$500,"D",'LANÇAMENTOS DIÁRIOS'!$C$5:$C$500,$A23,'LANÇAMENTOS DIÁRIOS'!$O$5:$O$500,"&lt;=100999",'LANÇAMENTOS DIÁRIOS'!$P$5:$P$500,"&gt;=100900")&gt;0,"X","")</f>
      </c>
      <c r="G23" s="56" t="str">
        <f>IF(COUNTIFS('LANÇAMENTOS DIÁRIOS'!$G$5:$G$500,"D",'LANÇAMENTOS DIÁRIOS'!$C$5:$C$500,$A23,'LANÇAMENTOS DIÁRIOS'!$O$5:$O$500,"&lt;=101099",'LANÇAMENTOS DIÁRIOS'!$P$5:$P$500,"&gt;=101000")&gt;0,"X","")</f>
      </c>
      <c r="H23" s="56" t="str">
        <f>IF(COUNTIFS('LANÇAMENTOS DIÁRIOS'!$G$5:$G$500,"D",'LANÇAMENTOS DIÁRIOS'!$C$5:$C$500,$A23,'LANÇAMENTOS DIÁRIOS'!$O$5:$O$500,"&lt;=101199",'LANÇAMENTOS DIÁRIOS'!$P$5:$P$500,"&gt;=101100")&gt;0,"X","")</f>
      </c>
      <c r="I23" s="56" t="str">
        <f>IF(COUNTIFS('LANÇAMENTOS DIÁRIOS'!$G$5:$G$500,"D",'LANÇAMENTOS DIÁRIOS'!$C$5:$C$500,$A23,'LANÇAMENTOS DIÁRIOS'!$O$5:$O$500,"&lt;=101299",'LANÇAMENTOS DIÁRIOS'!$P$5:$P$500,"&gt;=101200")&gt;0,"X","")</f>
      </c>
      <c r="J23" s="56" t="str">
        <f>IF(COUNTIFS('LANÇAMENTOS DIÁRIOS'!$G$5:$G$500,"D",'LANÇAMENTOS DIÁRIOS'!$C$5:$C$500,$A23,'LANÇAMENTOS DIÁRIOS'!$O$5:$O$500,"&lt;=101399",'LANÇAMENTOS DIÁRIOS'!$P$5:$P$500,"&gt;=101300")&gt;0,"X","")</f>
      </c>
      <c r="K23" s="56" t="str">
        <f>IF(COUNTIFS('LANÇAMENTOS DIÁRIOS'!$G$5:$G$500,"D",'LANÇAMENTOS DIÁRIOS'!$C$5:$C$500,$A23,'LANÇAMENTOS DIÁRIOS'!$O$5:$O$500,"&lt;=101499",'LANÇAMENTOS DIÁRIOS'!$P$5:$P$500,"&gt;=101400")&gt;0,"X","")</f>
      </c>
      <c r="L23" s="56" t="str">
        <f>IF(COUNTIFS('LANÇAMENTOS DIÁRIOS'!$G$5:$G$500,"D",'LANÇAMENTOS DIÁRIOS'!$C$5:$C$500,$A23,'LANÇAMENTOS DIÁRIOS'!$O$5:$O$500,"&lt;=101599",'LANÇAMENTOS DIÁRIOS'!$P$5:$P$500,"&gt;=101500")&gt;0,"X","")</f>
      </c>
      <c r="M23" s="56" t="str">
        <f>IF(COUNTIFS('LANÇAMENTOS DIÁRIOS'!$G$5:$G$500,"D",'LANÇAMENTOS DIÁRIOS'!$C$5:$C$500,$A23,'LANÇAMENTOS DIÁRIOS'!$O$5:$O$500,"&lt;=101699",'LANÇAMENTOS DIÁRIOS'!$P$5:$P$500,"&gt;=101600")&gt;0,"X","")</f>
      </c>
      <c r="N23" s="56" t="str">
        <f>IF(COUNTIFS('LANÇAMENTOS DIÁRIOS'!$G$5:$G$500,"D",'LANÇAMENTOS DIÁRIOS'!$C$5:$C$500,$A23,'LANÇAMENTOS DIÁRIOS'!$O$5:$O$500,"&lt;=101799",'LANÇAMENTOS DIÁRIOS'!$P$5:$P$500,"&gt;=101700")&gt;0,"X","")</f>
      </c>
      <c r="O23" s="56" t="str">
        <f>IF(COUNTIFS('LANÇAMENTOS DIÁRIOS'!$G$5:$G$500,"D",'LANÇAMENTOS DIÁRIOS'!$C$5:$C$500,$A23,'LANÇAMENTOS DIÁRIOS'!$O$5:$O$500,"&lt;=101899",'LANÇAMENTOS DIÁRIOS'!$P$5:$P$500,"&gt;=101800")&gt;0,"X","")</f>
      </c>
      <c r="P23" s="56" t="str">
        <f>IF(COUNTIFS('LANÇAMENTOS DIÁRIOS'!$G$5:$G$500,"D",'LANÇAMENTOS DIÁRIOS'!$C$5:$C$500,$A23,'LANÇAMENTOS DIÁRIOS'!$O$5:$O$500,"&lt;=101999",'LANÇAMENTOS DIÁRIOS'!$P$5:$P$500,"&gt;=101900")&gt;0,"X","")</f>
      </c>
      <c r="Q23" s="56" t="str">
        <f>IF(COUNTIFS('LANÇAMENTOS DIÁRIOS'!$G$5:$G$500,"D",'LANÇAMENTOS DIÁRIOS'!$C$5:$C$500,$A23,'LANÇAMENTOS DIÁRIOS'!$O$5:$O$500,"&lt;=102099",'LANÇAMENTOS DIÁRIOS'!$P$5:$P$500,"&gt;=102000")&gt;0,"X","")</f>
      </c>
      <c r="R23" s="56" t="str">
        <f>IF(COUNTIFS('LANÇAMENTOS DIÁRIOS'!$G$5:$G$500,"D",'LANÇAMENTOS DIÁRIOS'!$C$5:$C$500,$A23,'LANÇAMENTOS DIÁRIOS'!$O$5:$O$500,"&lt;=102199",'LANÇAMENTOS DIÁRIOS'!$P$5:$P$500,"&gt;=102100")&gt;0,"X","")</f>
      </c>
      <c r="S23" s="56" t="str">
        <f>IF(COUNTIFS('LANÇAMENTOS DIÁRIOS'!$G$5:$G$500,"D",'LANÇAMENTOS DIÁRIOS'!$C$5:$C$500,$A23,'LANÇAMENTOS DIÁRIOS'!$O$5:$O$500,"&lt;=102299",'LANÇAMENTOS DIÁRIOS'!$P$5:$P$500,"&gt;=102200")&gt;0,"X","")</f>
      </c>
      <c r="T23" s="56" t="str">
        <f>IF(COUNTIFS('LANÇAMENTOS DIÁRIOS'!$G$5:$G$500,"D",'LANÇAMENTOS DIÁRIOS'!$C$5:$C$500,$A23,'LANÇAMENTOS DIÁRIOS'!$O$5:$O$500,"&lt;=102399",'LANÇAMENTOS DIÁRIOS'!$P$5:$P$500,"&gt;=102300")&gt;0,"X","")</f>
      </c>
      <c r="U23" s="56" t="str">
        <f>IF(COUNTIFS('LANÇAMENTOS DIÁRIOS'!$G$5:$G$500,"D",'LANÇAMENTOS DIÁRIOS'!$C$5:$C$500,$A23,'LANÇAMENTOS DIÁRIOS'!$O$5:$O$500,"&lt;=102499",'LANÇAMENTOS DIÁRIOS'!$P$5:$P$500,"&gt;=102400")&gt;0,"X","")</f>
      </c>
      <c r="V23" s="56" t="str">
        <f>IF(COUNTIFS('LANÇAMENTOS DIÁRIOS'!$G$5:$G$500,"D",'LANÇAMENTOS DIÁRIOS'!$C$5:$C$500,$A23,'LANÇAMENTOS DIÁRIOS'!$O$5:$O$500,"&lt;=102599",'LANÇAMENTOS DIÁRIOS'!$P$5:$P$500,"&gt;=102500")&gt;0,"X","")</f>
      </c>
      <c r="W23" s="56" t="str">
        <f>IF(COUNTIFS('LANÇAMENTOS DIÁRIOS'!$G$5:$G$500,"D",'LANÇAMENTOS DIÁRIOS'!$C$5:$C$500,$A23,'LANÇAMENTOS DIÁRIOS'!$O$5:$O$500,"&lt;=102699",'LANÇAMENTOS DIÁRIOS'!$P$5:$P$500,"&gt;=102600")&gt;0,"X","")</f>
      </c>
      <c r="X23" s="56" t="str">
        <f>IF(COUNTIFS('LANÇAMENTOS DIÁRIOS'!$G$5:$G$500,"D",'LANÇAMENTOS DIÁRIOS'!$C$5:$C$500,$A23,'LANÇAMENTOS DIÁRIOS'!$O$5:$O$500,"&lt;=102799",'LANÇAMENTOS DIÁRIOS'!$P$5:$P$500,"&gt;=102700")&gt;0,"X","")</f>
      </c>
      <c r="Y23" s="56" t="str">
        <f>IF(COUNTIFS('LANÇAMENTOS DIÁRIOS'!$G$5:$G$500,"D",'LANÇAMENTOS DIÁRIOS'!$C$5:$C$500,$A23,'LANÇAMENTOS DIÁRIOS'!$O$5:$O$500,"&lt;=102899",'LANÇAMENTOS DIÁRIOS'!$P$5:$P$500,"&gt;=102800")&gt;0,"X","")</f>
      </c>
      <c r="Z23" s="56" t="str">
        <f>IF(COUNTIFS('LANÇAMENTOS DIÁRIOS'!$G$5:$G$500,"D",'LANÇAMENTOS DIÁRIOS'!$C$5:$C$500,$A23,'LANÇAMENTOS DIÁRIOS'!$O$5:$O$500,"&lt;=102999",'LANÇAMENTOS DIÁRIOS'!$P$5:$P$500,"&gt;=102900")&gt;0,"X","")</f>
      </c>
      <c r="AA23" s="56" t="str">
        <f>IF(COUNTIFS('LANÇAMENTOS DIÁRIOS'!$G$5:$G$500,"D",'LANÇAMENTOS DIÁRIOS'!$C$5:$C$500,$A23,'LANÇAMENTOS DIÁRIOS'!$O$5:$O$500,"&lt;=103099",'LANÇAMENTOS DIÁRIOS'!$P$5:$P$500,"&gt;=103000")&gt;0,"X","")</f>
      </c>
      <c r="AB23" s="56" t="str">
        <f>IF(COUNTIFS('LANÇAMENTOS DIÁRIOS'!$G$5:$G$500,"D",'LANÇAMENTOS DIÁRIOS'!$C$5:$C$500,$A23,'LANÇAMENTOS DIÁRIOS'!$O$5:$O$500,"&lt;=103199",'LANÇAMENTOS DIÁRIOS'!$P$5:$P$500,"&gt;=103100")&gt;0,"X","")</f>
      </c>
      <c r="AC23" s="56" t="str">
        <f>IF(COUNTIFS('LANÇAMENTOS DIÁRIOS'!$G$5:$G$500,"D",'LANÇAMENTOS DIÁRIOS'!$C$5:$C$500,$A23,'LANÇAMENTOS DIÁRIOS'!$O$5:$O$500,"&lt;=103299",'LANÇAMENTOS DIÁRIOS'!$P$5:$P$500,"&gt;=103200")&gt;0,"X","")</f>
      </c>
      <c r="AD23" s="56" t="str">
        <f>IF(COUNTIFS('LANÇAMENTOS DIÁRIOS'!$G$5:$G$500,"D",'LANÇAMENTOS DIÁRIOS'!$C$5:$C$500,$A23,'LANÇAMENTOS DIÁRIOS'!$O$5:$O$500,"&lt;=103399",'LANÇAMENTOS DIÁRIOS'!$P$5:$P$500,"&gt;=103300")&gt;0,"X","")</f>
      </c>
      <c r="AE23" s="56" t="str">
        <f>IF(COUNTIFS('LANÇAMENTOS DIÁRIOS'!$G$5:$G$500,"D",'LANÇAMENTOS DIÁRIOS'!$C$5:$C$500,$A23,'LANÇAMENTOS DIÁRIOS'!$O$5:$O$500,"&lt;=103499",'LANÇAMENTOS DIÁRIOS'!$P$5:$P$500,"&gt;=103400")&gt;0,"X","")</f>
      </c>
      <c r="AF23" s="56" t="str">
        <f>IF(COUNTIFS('LANÇAMENTOS DIÁRIOS'!$G$5:$G$500,"D",'LANÇAMENTOS DIÁRIOS'!$C$5:$C$500,$A23,'LANÇAMENTOS DIÁRIOS'!$O$5:$O$500,"&lt;=103599",'LANÇAMENTOS DIÁRIOS'!$P$5:$P$500,"&gt;=103500")&gt;0,"X","")</f>
      </c>
      <c r="AG23" s="56" t="str">
        <f>IF(COUNTIFS('LANÇAMENTOS DIÁRIOS'!$G$5:$G$500,"D",'LANÇAMENTOS DIÁRIOS'!$C$5:$C$500,$A23,'LANÇAMENTOS DIÁRIOS'!$O$5:$O$500,"&lt;=103699",'LANÇAMENTOS DIÁRIOS'!$P$5:$P$500,"&gt;=103600")&gt;0,"X","")</f>
      </c>
      <c r="AH23" s="56" t="str">
        <f>IF(COUNTIFS('LANÇAMENTOS DIÁRIOS'!$G$5:$G$500,"D",'LANÇAMENTOS DIÁRIOS'!$C$5:$C$500,$A23,'LANÇAMENTOS DIÁRIOS'!$O$5:$O$500,"&lt;=103799",'LANÇAMENTOS DIÁRIOS'!$P$5:$P$500,"&gt;=103700")&gt;0,"X","")</f>
      </c>
      <c r="AI23" s="56" t="str">
        <f>IF(COUNTIFS('LANÇAMENTOS DIÁRIOS'!$G$5:$G$500,"D",'LANÇAMENTOS DIÁRIOS'!$C$5:$C$500,$A23,'LANÇAMENTOS DIÁRIOS'!$O$5:$O$500,"&lt;=103899",'LANÇAMENTOS DIÁRIOS'!$P$5:$P$500,"&gt;=103800")&gt;0,"X","")</f>
      </c>
      <c r="AJ23" s="56" t="str">
        <f>IF(COUNTIFS('LANÇAMENTOS DIÁRIOS'!$G$5:$G$500,"D",'LANÇAMENTOS DIÁRIOS'!$C$5:$C$500,$A23,'LANÇAMENTOS DIÁRIOS'!$O$5:$O$500,"&lt;=103999",'LANÇAMENTOS DIÁRIOS'!$P$5:$P$500,"&gt;=103900")&gt;0,"X","")</f>
      </c>
      <c r="AK23" s="56" t="str">
        <f>IF(COUNTIFS('LANÇAMENTOS DIÁRIOS'!$G$5:$G$500,"D",'LANÇAMENTOS DIÁRIOS'!$C$5:$C$500,$A23,'LANÇAMENTOS DIÁRIOS'!$O$5:$O$500,"&lt;=104099",'LANÇAMENTOS DIÁRIOS'!$P$5:$P$500,"&gt;=104000")&gt;0,"X","")</f>
      </c>
      <c r="AL23" s="56" t="str">
        <f>IF(COUNTIFS('LANÇAMENTOS DIÁRIOS'!$G$5:$G$500,"D",'LANÇAMENTOS DIÁRIOS'!$C$5:$C$500,$A23,'LANÇAMENTOS DIÁRIOS'!$O$5:$O$500,"&lt;=104199",'LANÇAMENTOS DIÁRIOS'!$P$5:$P$500,"&gt;=104100")&gt;0,"X","")</f>
      </c>
      <c r="AM23" s="56" t="str">
        <f>IF(COUNTIFS('LANÇAMENTOS DIÁRIOS'!$G$5:$G$500,"D",'LANÇAMENTOS DIÁRIOS'!$C$5:$C$500,$A23,'LANÇAMENTOS DIÁRIOS'!$O$5:$O$500,"&lt;=104299",'LANÇAMENTOS DIÁRIOS'!$P$5:$P$500,"&gt;=104200")&gt;0,"X","")</f>
      </c>
      <c r="AN23" s="56" t="str">
        <f>IF(COUNTIFS('LANÇAMENTOS DIÁRIOS'!$G$5:$G$500,"D",'LANÇAMENTOS DIÁRIOS'!$C$5:$C$500,$A23,'LANÇAMENTOS DIÁRIOS'!$O$5:$O$500,"&lt;=104399",'LANÇAMENTOS DIÁRIOS'!$P$5:$P$500,"&gt;=104300")&gt;0,"X","")</f>
      </c>
      <c r="AO23" s="56" t="str">
        <f>IF(COUNTIFS('LANÇAMENTOS DIÁRIOS'!$G$5:$G$500,"D",'LANÇAMENTOS DIÁRIOS'!$C$5:$C$500,$A23,'LANÇAMENTOS DIÁRIOS'!$O$5:$O$500,"&lt;=104499",'LANÇAMENTOS DIÁRIOS'!$P$5:$P$500,"&gt;=104400")&gt;0,"X","")</f>
      </c>
      <c r="AP23" s="56" t="str">
        <f>IF(COUNTIFS('LANÇAMENTOS DIÁRIOS'!$G$5:$G$500,"D",'LANÇAMENTOS DIÁRIOS'!$C$5:$C$500,$A23,'LANÇAMENTOS DIÁRIOS'!$O$5:$O$500,"&lt;=104599",'LANÇAMENTOS DIÁRIOS'!$P$5:$P$500,"&gt;=104500")&gt;0,"X","")</f>
      </c>
      <c r="AQ23" s="56" t="str">
        <f>IF(COUNTIFS('LANÇAMENTOS DIÁRIOS'!$G$5:$G$500,"D",'LANÇAMENTOS DIÁRIOS'!$C$5:$C$500,$A23,'LANÇAMENTOS DIÁRIOS'!$O$5:$O$500,"&lt;=104699",'LANÇAMENTOS DIÁRIOS'!$P$5:$P$500,"&gt;=104600")&gt;0,"X","")</f>
      </c>
      <c r="AR23" s="56" t="str">
        <f>IF(COUNTIFS('LANÇAMENTOS DIÁRIOS'!$G$5:$G$500,"D",'LANÇAMENTOS DIÁRIOS'!$C$5:$C$500,$A23,'LANÇAMENTOS DIÁRIOS'!$O$5:$O$500,"&lt;=104799",'LANÇAMENTOS DIÁRIOS'!$P$5:$P$500,"&gt;=104700")&gt;0,"X","")</f>
      </c>
      <c r="AS23" s="56" t="str">
        <f>IF(COUNTIFS('LANÇAMENTOS DIÁRIOS'!$G$5:$G$500,"D",'LANÇAMENTOS DIÁRIOS'!$C$5:$C$500,$A23,'LANÇAMENTOS DIÁRIOS'!$O$5:$O$500,"&lt;=104899",'LANÇAMENTOS DIÁRIOS'!$P$5:$P$500,"&gt;=104800")&gt;0,"X","")</f>
      </c>
      <c r="AT23" s="56" t="str">
        <f>IF(COUNTIFS('LANÇAMENTOS DIÁRIOS'!$G$5:$G$500,"D",'LANÇAMENTOS DIÁRIOS'!$C$5:$C$500,$A23,'LANÇAMENTOS DIÁRIOS'!$O$5:$O$500,"&lt;=104999",'LANÇAMENTOS DIÁRIOS'!$P$5:$P$500,"&gt;=104900")&gt;0,"X","")</f>
      </c>
      <c r="AU23" s="56" t="str">
        <f>IF(COUNTIFS('LANÇAMENTOS DIÁRIOS'!$G$5:$G$500,"D",'LANÇAMENTOS DIÁRIOS'!$C$5:$C$500,$A23,'LANÇAMENTOS DIÁRIOS'!$O$5:$O$500,"&lt;=105099",'LANÇAMENTOS DIÁRIOS'!$P$5:$P$500,"&gt;=105000")&gt;0,"X","")</f>
      </c>
      <c r="AV23" s="56" t="str">
        <f>IF(COUNTIFS('LANÇAMENTOS DIÁRIOS'!$G$5:$G$500,"D",'LANÇAMENTOS DIÁRIOS'!$C$5:$C$500,$A23,'LANÇAMENTOS DIÁRIOS'!$O$5:$O$500,"&lt;=105199",'LANÇAMENTOS DIÁRIOS'!$P$5:$P$500,"&gt;=105100")&gt;0,"X","")</f>
      </c>
      <c r="AW23" s="56" t="str">
        <f>IF(COUNTIFS('LANÇAMENTOS DIÁRIOS'!$G$5:$G$500,"D",'LANÇAMENTOS DIÁRIOS'!$C$5:$C$500,$A23,'LANÇAMENTOS DIÁRIOS'!$O$5:$O$500,"&lt;=105299",'LANÇAMENTOS DIÁRIOS'!$P$5:$P$500,"&gt;=105200")&gt;0,"X","")</f>
      </c>
      <c r="AX23" s="56" t="str">
        <f>IF(COUNTIFS('LANÇAMENTOS DIÁRIOS'!$G$5:$G$500,"D",'LANÇAMENTOS DIÁRIOS'!$C$5:$C$500,$A23,'LANÇAMENTOS DIÁRIOS'!$O$5:$O$500,"&lt;=105399",'LANÇAMENTOS DIÁRIOS'!$P$5:$P$500,"&gt;=105300")&gt;0,"X","")</f>
      </c>
      <c r="AY23" s="56" t="str">
        <f>IF(COUNTIFS('LANÇAMENTOS DIÁRIOS'!$G$5:$G$500,"D",'LANÇAMENTOS DIÁRIOS'!$C$5:$C$500,$A23,'LANÇAMENTOS DIÁRIOS'!$O$5:$O$500,"&lt;=105499",'LANÇAMENTOS DIÁRIOS'!$P$5:$P$500,"&gt;=105400")&gt;0,"X","")</f>
      </c>
      <c r="AZ23" s="56" t="str">
        <f>IF(COUNTIFS('LANÇAMENTOS DIÁRIOS'!$G$5:$G$500,"D",'LANÇAMENTOS DIÁRIOS'!$C$5:$C$500,$A23,'LANÇAMENTOS DIÁRIOS'!$O$5:$O$500,"&lt;=105500",'LANÇAMENTOS DIÁRIOS'!$P$5:$P$500,"&gt;=105500")&gt;0,"X","")</f>
      </c>
    </row>
    <row r="24" ht="21" customHeight="1">
      <c r="A24" s="60" t="str">
        <v>Terraplenagem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</row>
    <row r="25" ht="19" customHeight="1">
      <c r="A25" s="68" t="str">
        <v>Desmatamento e limpeza do terreno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</row>
    <row r="26">
      <c r="A26" s="51" t="str">
        <v>Limpeza do terreno com destocamento de árvore d=&lt;0,15m</v>
      </c>
      <c r="B26" s="56" t="str">
        <f>IF(COUNTIFS('LANÇAMENTOS DIÁRIOS'!$G$5:$G$500,"D",'LANÇAMENTOS DIÁRIOS'!$C$5:$C$500,$A26,'LANÇAMENTOS DIÁRIOS'!$O$5:$O$500,"&lt;=100599",'LANÇAMENTOS DIÁRIOS'!$P$5:$P$500,"&gt;=100500")&gt;0,"X","")</f>
      </c>
      <c r="C26" s="56" t="str">
        <f>IF(COUNTIFS('LANÇAMENTOS DIÁRIOS'!$G$5:$G$500,"D",'LANÇAMENTOS DIÁRIOS'!$C$5:$C$500,$A26,'LANÇAMENTOS DIÁRIOS'!$O$5:$O$500,"&lt;=100699",'LANÇAMENTOS DIÁRIOS'!$P$5:$P$500,"&gt;=100600")&gt;0,"X","")</f>
      </c>
      <c r="D26" s="56" t="str">
        <f>IF(COUNTIFS('LANÇAMENTOS DIÁRIOS'!$G$5:$G$500,"D",'LANÇAMENTOS DIÁRIOS'!$C$5:$C$500,$A26,'LANÇAMENTOS DIÁRIOS'!$O$5:$O$500,"&lt;=100799",'LANÇAMENTOS DIÁRIOS'!$P$5:$P$500,"&gt;=100700")&gt;0,"X","")</f>
      </c>
      <c r="E26" s="56" t="str">
        <f>IF(COUNTIFS('LANÇAMENTOS DIÁRIOS'!$G$5:$G$500,"D",'LANÇAMENTOS DIÁRIOS'!$C$5:$C$500,$A26,'LANÇAMENTOS DIÁRIOS'!$O$5:$O$500,"&lt;=100899",'LANÇAMENTOS DIÁRIOS'!$P$5:$P$500,"&gt;=100800")&gt;0,"X","")</f>
      </c>
      <c r="F26" s="56" t="str">
        <f>IF(COUNTIFS('LANÇAMENTOS DIÁRIOS'!$G$5:$G$500,"D",'LANÇAMENTOS DIÁRIOS'!$C$5:$C$500,$A26,'LANÇAMENTOS DIÁRIOS'!$O$5:$O$500,"&lt;=100999",'LANÇAMENTOS DIÁRIOS'!$P$5:$P$500,"&gt;=100900")&gt;0,"X","")</f>
      </c>
      <c r="G26" s="56" t="str">
        <f>IF(COUNTIFS('LANÇAMENTOS DIÁRIOS'!$G$5:$G$500,"D",'LANÇAMENTOS DIÁRIOS'!$C$5:$C$500,$A26,'LANÇAMENTOS DIÁRIOS'!$O$5:$O$500,"&lt;=101099",'LANÇAMENTOS DIÁRIOS'!$P$5:$P$500,"&gt;=101000")&gt;0,"X","")</f>
      </c>
      <c r="H26" s="56" t="str">
        <f>IF(COUNTIFS('LANÇAMENTOS DIÁRIOS'!$G$5:$G$500,"D",'LANÇAMENTOS DIÁRIOS'!$C$5:$C$500,$A26,'LANÇAMENTOS DIÁRIOS'!$O$5:$O$500,"&lt;=101199",'LANÇAMENTOS DIÁRIOS'!$P$5:$P$500,"&gt;=101100")&gt;0,"X","")</f>
      </c>
      <c r="I26" s="56" t="str">
        <f>IF(COUNTIFS('LANÇAMENTOS DIÁRIOS'!$G$5:$G$500,"D",'LANÇAMENTOS DIÁRIOS'!$C$5:$C$500,$A26,'LANÇAMENTOS DIÁRIOS'!$O$5:$O$500,"&lt;=101299",'LANÇAMENTOS DIÁRIOS'!$P$5:$P$500,"&gt;=101200")&gt;0,"X","")</f>
      </c>
      <c r="J26" s="56" t="str">
        <f>IF(COUNTIFS('LANÇAMENTOS DIÁRIOS'!$G$5:$G$500,"D",'LANÇAMENTOS DIÁRIOS'!$C$5:$C$500,$A26,'LANÇAMENTOS DIÁRIOS'!$O$5:$O$500,"&lt;=101399",'LANÇAMENTOS DIÁRIOS'!$P$5:$P$500,"&gt;=101300")&gt;0,"X","")</f>
      </c>
      <c r="K26" s="56" t="str">
        <f>IF(COUNTIFS('LANÇAMENTOS DIÁRIOS'!$G$5:$G$500,"D",'LANÇAMENTOS DIÁRIOS'!$C$5:$C$500,$A26,'LANÇAMENTOS DIÁRIOS'!$O$5:$O$500,"&lt;=101499",'LANÇAMENTOS DIÁRIOS'!$P$5:$P$500,"&gt;=101400")&gt;0,"X","")</f>
      </c>
      <c r="L26" s="56" t="str">
        <f>IF(COUNTIFS('LANÇAMENTOS DIÁRIOS'!$G$5:$G$500,"D",'LANÇAMENTOS DIÁRIOS'!$C$5:$C$500,$A26,'LANÇAMENTOS DIÁRIOS'!$O$5:$O$500,"&lt;=101599",'LANÇAMENTOS DIÁRIOS'!$P$5:$P$500,"&gt;=101500")&gt;0,"X","")</f>
      </c>
      <c r="M26" s="56" t="str">
        <f>IF(COUNTIFS('LANÇAMENTOS DIÁRIOS'!$G$5:$G$500,"D",'LANÇAMENTOS DIÁRIOS'!$C$5:$C$500,$A26,'LANÇAMENTOS DIÁRIOS'!$O$5:$O$500,"&lt;=101699",'LANÇAMENTOS DIÁRIOS'!$P$5:$P$500,"&gt;=101600")&gt;0,"X","")</f>
      </c>
      <c r="N26" s="56" t="str">
        <f>IF(COUNTIFS('LANÇAMENTOS DIÁRIOS'!$G$5:$G$500,"D",'LANÇAMENTOS DIÁRIOS'!$C$5:$C$500,$A26,'LANÇAMENTOS DIÁRIOS'!$O$5:$O$500,"&lt;=101799",'LANÇAMENTOS DIÁRIOS'!$P$5:$P$500,"&gt;=101700")&gt;0,"X","")</f>
      </c>
      <c r="O26" s="56" t="str">
        <f>IF(COUNTIFS('LANÇAMENTOS DIÁRIOS'!$G$5:$G$500,"D",'LANÇAMENTOS DIÁRIOS'!$C$5:$C$500,$A26,'LANÇAMENTOS DIÁRIOS'!$O$5:$O$500,"&lt;=101899",'LANÇAMENTOS DIÁRIOS'!$P$5:$P$500,"&gt;=101800")&gt;0,"X","")</f>
      </c>
      <c r="P26" s="56" t="str">
        <f>IF(COUNTIFS('LANÇAMENTOS DIÁRIOS'!$G$5:$G$500,"D",'LANÇAMENTOS DIÁRIOS'!$C$5:$C$500,$A26,'LANÇAMENTOS DIÁRIOS'!$O$5:$O$500,"&lt;=101999",'LANÇAMENTOS DIÁRIOS'!$P$5:$P$500,"&gt;=101900")&gt;0,"X","")</f>
      </c>
      <c r="Q26" s="56" t="str">
        <f>IF(COUNTIFS('LANÇAMENTOS DIÁRIOS'!$G$5:$G$500,"D",'LANÇAMENTOS DIÁRIOS'!$C$5:$C$500,$A26,'LANÇAMENTOS DIÁRIOS'!$O$5:$O$500,"&lt;=102099",'LANÇAMENTOS DIÁRIOS'!$P$5:$P$500,"&gt;=102000")&gt;0,"X","")</f>
      </c>
      <c r="R26" s="56" t="str">
        <f>IF(COUNTIFS('LANÇAMENTOS DIÁRIOS'!$G$5:$G$500,"D",'LANÇAMENTOS DIÁRIOS'!$C$5:$C$500,$A26,'LANÇAMENTOS DIÁRIOS'!$O$5:$O$500,"&lt;=102199",'LANÇAMENTOS DIÁRIOS'!$P$5:$P$500,"&gt;=102100")&gt;0,"X","")</f>
      </c>
      <c r="S26" s="56" t="str">
        <f>IF(COUNTIFS('LANÇAMENTOS DIÁRIOS'!$G$5:$G$500,"D",'LANÇAMENTOS DIÁRIOS'!$C$5:$C$500,$A26,'LANÇAMENTOS DIÁRIOS'!$O$5:$O$500,"&lt;=102299",'LANÇAMENTOS DIÁRIOS'!$P$5:$P$500,"&gt;=102200")&gt;0,"X","")</f>
      </c>
      <c r="T26" s="56" t="str">
        <f>IF(COUNTIFS('LANÇAMENTOS DIÁRIOS'!$G$5:$G$500,"D",'LANÇAMENTOS DIÁRIOS'!$C$5:$C$500,$A26,'LANÇAMENTOS DIÁRIOS'!$O$5:$O$500,"&lt;=102399",'LANÇAMENTOS DIÁRIOS'!$P$5:$P$500,"&gt;=102300")&gt;0,"X","")</f>
      </c>
      <c r="U26" s="56" t="str">
        <f>IF(COUNTIFS('LANÇAMENTOS DIÁRIOS'!$G$5:$G$500,"D",'LANÇAMENTOS DIÁRIOS'!$C$5:$C$500,$A26,'LANÇAMENTOS DIÁRIOS'!$O$5:$O$500,"&lt;=102499",'LANÇAMENTOS DIÁRIOS'!$P$5:$P$500,"&gt;=102400")&gt;0,"X","")</f>
      </c>
      <c r="V26" s="56" t="str">
        <f>IF(COUNTIFS('LANÇAMENTOS DIÁRIOS'!$G$5:$G$500,"D",'LANÇAMENTOS DIÁRIOS'!$C$5:$C$500,$A26,'LANÇAMENTOS DIÁRIOS'!$O$5:$O$500,"&lt;=102599",'LANÇAMENTOS DIÁRIOS'!$P$5:$P$500,"&gt;=102500")&gt;0,"X","")</f>
      </c>
      <c r="W26" s="56" t="str">
        <f>IF(COUNTIFS('LANÇAMENTOS DIÁRIOS'!$G$5:$G$500,"D",'LANÇAMENTOS DIÁRIOS'!$C$5:$C$500,$A26,'LANÇAMENTOS DIÁRIOS'!$O$5:$O$500,"&lt;=102699",'LANÇAMENTOS DIÁRIOS'!$P$5:$P$500,"&gt;=102600")&gt;0,"X","")</f>
      </c>
      <c r="X26" s="56" t="str">
        <f>IF(COUNTIFS('LANÇAMENTOS DIÁRIOS'!$G$5:$G$500,"D",'LANÇAMENTOS DIÁRIOS'!$C$5:$C$500,$A26,'LANÇAMENTOS DIÁRIOS'!$O$5:$O$500,"&lt;=102799",'LANÇAMENTOS DIÁRIOS'!$P$5:$P$500,"&gt;=102700")&gt;0,"X","")</f>
      </c>
      <c r="Y26" s="56" t="str">
        <f>IF(COUNTIFS('LANÇAMENTOS DIÁRIOS'!$G$5:$G$500,"D",'LANÇAMENTOS DIÁRIOS'!$C$5:$C$500,$A26,'LANÇAMENTOS DIÁRIOS'!$O$5:$O$500,"&lt;=102899",'LANÇAMENTOS DIÁRIOS'!$P$5:$P$500,"&gt;=102800")&gt;0,"X","")</f>
      </c>
      <c r="Z26" s="56" t="str">
        <f>IF(COUNTIFS('LANÇAMENTOS DIÁRIOS'!$G$5:$G$500,"D",'LANÇAMENTOS DIÁRIOS'!$C$5:$C$500,$A26,'LANÇAMENTOS DIÁRIOS'!$O$5:$O$500,"&lt;=102999",'LANÇAMENTOS DIÁRIOS'!$P$5:$P$500,"&gt;=102900")&gt;0,"X","")</f>
      </c>
      <c r="AA26" s="56" t="str">
        <f>IF(COUNTIFS('LANÇAMENTOS DIÁRIOS'!$G$5:$G$500,"D",'LANÇAMENTOS DIÁRIOS'!$C$5:$C$500,$A26,'LANÇAMENTOS DIÁRIOS'!$O$5:$O$500,"&lt;=103099",'LANÇAMENTOS DIÁRIOS'!$P$5:$P$500,"&gt;=103000")&gt;0,"X","")</f>
      </c>
      <c r="AB26" s="56" t="str">
        <f>IF(COUNTIFS('LANÇAMENTOS DIÁRIOS'!$G$5:$G$500,"D",'LANÇAMENTOS DIÁRIOS'!$C$5:$C$500,$A26,'LANÇAMENTOS DIÁRIOS'!$O$5:$O$500,"&lt;=103199",'LANÇAMENTOS DIÁRIOS'!$P$5:$P$500,"&gt;=103100")&gt;0,"X","")</f>
      </c>
      <c r="AC26" s="56" t="str">
        <f>IF(COUNTIFS('LANÇAMENTOS DIÁRIOS'!$G$5:$G$500,"D",'LANÇAMENTOS DIÁRIOS'!$C$5:$C$500,$A26,'LANÇAMENTOS DIÁRIOS'!$O$5:$O$500,"&lt;=103299",'LANÇAMENTOS DIÁRIOS'!$P$5:$P$500,"&gt;=103200")&gt;0,"X","")</f>
      </c>
      <c r="AD26" s="56" t="str">
        <f>IF(COUNTIFS('LANÇAMENTOS DIÁRIOS'!$G$5:$G$500,"D",'LANÇAMENTOS DIÁRIOS'!$C$5:$C$500,$A26,'LANÇAMENTOS DIÁRIOS'!$O$5:$O$500,"&lt;=103399",'LANÇAMENTOS DIÁRIOS'!$P$5:$P$500,"&gt;=103300")&gt;0,"X","")</f>
      </c>
      <c r="AE26" s="56" t="str">
        <f>IF(COUNTIFS('LANÇAMENTOS DIÁRIOS'!$G$5:$G$500,"D",'LANÇAMENTOS DIÁRIOS'!$C$5:$C$500,$A26,'LANÇAMENTOS DIÁRIOS'!$O$5:$O$500,"&lt;=103499",'LANÇAMENTOS DIÁRIOS'!$P$5:$P$500,"&gt;=103400")&gt;0,"X","")</f>
      </c>
      <c r="AF26" s="56" t="str">
        <f>IF(COUNTIFS('LANÇAMENTOS DIÁRIOS'!$G$5:$G$500,"D",'LANÇAMENTOS DIÁRIOS'!$C$5:$C$500,$A26,'LANÇAMENTOS DIÁRIOS'!$O$5:$O$500,"&lt;=103599",'LANÇAMENTOS DIÁRIOS'!$P$5:$P$500,"&gt;=103500")&gt;0,"X","")</f>
      </c>
      <c r="AG26" s="56" t="str">
        <f>IF(COUNTIFS('LANÇAMENTOS DIÁRIOS'!$G$5:$G$500,"D",'LANÇAMENTOS DIÁRIOS'!$C$5:$C$500,$A26,'LANÇAMENTOS DIÁRIOS'!$O$5:$O$500,"&lt;=103699",'LANÇAMENTOS DIÁRIOS'!$P$5:$P$500,"&gt;=103600")&gt;0,"X","")</f>
      </c>
      <c r="AH26" s="56" t="str">
        <f>IF(COUNTIFS('LANÇAMENTOS DIÁRIOS'!$G$5:$G$500,"D",'LANÇAMENTOS DIÁRIOS'!$C$5:$C$500,$A26,'LANÇAMENTOS DIÁRIOS'!$O$5:$O$500,"&lt;=103799",'LANÇAMENTOS DIÁRIOS'!$P$5:$P$500,"&gt;=103700")&gt;0,"X","")</f>
      </c>
      <c r="AI26" s="56" t="str">
        <f>IF(COUNTIFS('LANÇAMENTOS DIÁRIOS'!$G$5:$G$500,"D",'LANÇAMENTOS DIÁRIOS'!$C$5:$C$500,$A26,'LANÇAMENTOS DIÁRIOS'!$O$5:$O$500,"&lt;=103899",'LANÇAMENTOS DIÁRIOS'!$P$5:$P$500,"&gt;=103800")&gt;0,"X","")</f>
      </c>
      <c r="AJ26" s="56" t="str">
        <f>IF(COUNTIFS('LANÇAMENTOS DIÁRIOS'!$G$5:$G$500,"D",'LANÇAMENTOS DIÁRIOS'!$C$5:$C$500,$A26,'LANÇAMENTOS DIÁRIOS'!$O$5:$O$500,"&lt;=103999",'LANÇAMENTOS DIÁRIOS'!$P$5:$P$500,"&gt;=103900")&gt;0,"X","")</f>
      </c>
      <c r="AK26" s="56" t="str">
        <f>IF(COUNTIFS('LANÇAMENTOS DIÁRIOS'!$G$5:$G$500,"D",'LANÇAMENTOS DIÁRIOS'!$C$5:$C$500,$A26,'LANÇAMENTOS DIÁRIOS'!$O$5:$O$500,"&lt;=104099",'LANÇAMENTOS DIÁRIOS'!$P$5:$P$500,"&gt;=104000")&gt;0,"X","")</f>
      </c>
      <c r="AL26" s="56" t="str">
        <f>IF(COUNTIFS('LANÇAMENTOS DIÁRIOS'!$G$5:$G$500,"D",'LANÇAMENTOS DIÁRIOS'!$C$5:$C$500,$A26,'LANÇAMENTOS DIÁRIOS'!$O$5:$O$500,"&lt;=104199",'LANÇAMENTOS DIÁRIOS'!$P$5:$P$500,"&gt;=104100")&gt;0,"X","")</f>
      </c>
      <c r="AM26" s="56" t="str">
        <f>IF(COUNTIFS('LANÇAMENTOS DIÁRIOS'!$G$5:$G$500,"D",'LANÇAMENTOS DIÁRIOS'!$C$5:$C$500,$A26,'LANÇAMENTOS DIÁRIOS'!$O$5:$O$500,"&lt;=104299",'LANÇAMENTOS DIÁRIOS'!$P$5:$P$500,"&gt;=104200")&gt;0,"X","")</f>
      </c>
      <c r="AN26" s="56" t="str">
        <f>IF(COUNTIFS('LANÇAMENTOS DIÁRIOS'!$G$5:$G$500,"D",'LANÇAMENTOS DIÁRIOS'!$C$5:$C$500,$A26,'LANÇAMENTOS DIÁRIOS'!$O$5:$O$500,"&lt;=104399",'LANÇAMENTOS DIÁRIOS'!$P$5:$P$500,"&gt;=104300")&gt;0,"X","")</f>
      </c>
      <c r="AO26" s="56" t="str">
        <f>IF(COUNTIFS('LANÇAMENTOS DIÁRIOS'!$G$5:$G$500,"D",'LANÇAMENTOS DIÁRIOS'!$C$5:$C$500,$A26,'LANÇAMENTOS DIÁRIOS'!$O$5:$O$500,"&lt;=104499",'LANÇAMENTOS DIÁRIOS'!$P$5:$P$500,"&gt;=104400")&gt;0,"X","")</f>
      </c>
      <c r="AP26" s="56" t="str">
        <f>IF(COUNTIFS('LANÇAMENTOS DIÁRIOS'!$G$5:$G$500,"D",'LANÇAMENTOS DIÁRIOS'!$C$5:$C$500,$A26,'LANÇAMENTOS DIÁRIOS'!$O$5:$O$500,"&lt;=104599",'LANÇAMENTOS DIÁRIOS'!$P$5:$P$500,"&gt;=104500")&gt;0,"X","")</f>
      </c>
      <c r="AQ26" s="56" t="str">
        <f>IF(COUNTIFS('LANÇAMENTOS DIÁRIOS'!$G$5:$G$500,"D",'LANÇAMENTOS DIÁRIOS'!$C$5:$C$500,$A26,'LANÇAMENTOS DIÁRIOS'!$O$5:$O$500,"&lt;=104699",'LANÇAMENTOS DIÁRIOS'!$P$5:$P$500,"&gt;=104600")&gt;0,"X","")</f>
      </c>
      <c r="AR26" s="56" t="str">
        <f>IF(COUNTIFS('LANÇAMENTOS DIÁRIOS'!$G$5:$G$500,"D",'LANÇAMENTOS DIÁRIOS'!$C$5:$C$500,$A26,'LANÇAMENTOS DIÁRIOS'!$O$5:$O$500,"&lt;=104799",'LANÇAMENTOS DIÁRIOS'!$P$5:$P$500,"&gt;=104700")&gt;0,"X","")</f>
      </c>
      <c r="AS26" s="56" t="str">
        <f>IF(COUNTIFS('LANÇAMENTOS DIÁRIOS'!$G$5:$G$500,"D",'LANÇAMENTOS DIÁRIOS'!$C$5:$C$500,$A26,'LANÇAMENTOS DIÁRIOS'!$O$5:$O$500,"&lt;=104899",'LANÇAMENTOS DIÁRIOS'!$P$5:$P$500,"&gt;=104800")&gt;0,"X","")</f>
      </c>
      <c r="AT26" s="56" t="str">
        <f>IF(COUNTIFS('LANÇAMENTOS DIÁRIOS'!$G$5:$G$500,"D",'LANÇAMENTOS DIÁRIOS'!$C$5:$C$500,$A26,'LANÇAMENTOS DIÁRIOS'!$O$5:$O$500,"&lt;=104999",'LANÇAMENTOS DIÁRIOS'!$P$5:$P$500,"&gt;=104900")&gt;0,"X","")</f>
      </c>
      <c r="AU26" s="56" t="str">
        <f>IF(COUNTIFS('LANÇAMENTOS DIÁRIOS'!$G$5:$G$500,"D",'LANÇAMENTOS DIÁRIOS'!$C$5:$C$500,$A26,'LANÇAMENTOS DIÁRIOS'!$O$5:$O$500,"&lt;=105099",'LANÇAMENTOS DIÁRIOS'!$P$5:$P$500,"&gt;=105000")&gt;0,"X","")</f>
      </c>
      <c r="AV26" s="56" t="str">
        <f>IF(COUNTIFS('LANÇAMENTOS DIÁRIOS'!$G$5:$G$500,"D",'LANÇAMENTOS DIÁRIOS'!$C$5:$C$500,$A26,'LANÇAMENTOS DIÁRIOS'!$O$5:$O$500,"&lt;=105199",'LANÇAMENTOS DIÁRIOS'!$P$5:$P$500,"&gt;=105100")&gt;0,"X","")</f>
      </c>
      <c r="AW26" s="56" t="str">
        <f>IF(COUNTIFS('LANÇAMENTOS DIÁRIOS'!$G$5:$G$500,"D",'LANÇAMENTOS DIÁRIOS'!$C$5:$C$500,$A26,'LANÇAMENTOS DIÁRIOS'!$O$5:$O$500,"&lt;=105299",'LANÇAMENTOS DIÁRIOS'!$P$5:$P$500,"&gt;=105200")&gt;0,"X","")</f>
      </c>
      <c r="AX26" s="56" t="str">
        <f>IF(COUNTIFS('LANÇAMENTOS DIÁRIOS'!$G$5:$G$500,"D",'LANÇAMENTOS DIÁRIOS'!$C$5:$C$500,$A26,'LANÇAMENTOS DIÁRIOS'!$O$5:$O$500,"&lt;=105399",'LANÇAMENTOS DIÁRIOS'!$P$5:$P$500,"&gt;=105300")&gt;0,"X","")</f>
      </c>
      <c r="AY26" s="56" t="str">
        <f>IF(COUNTIFS('LANÇAMENTOS DIÁRIOS'!$G$5:$G$500,"D",'LANÇAMENTOS DIÁRIOS'!$C$5:$C$500,$A26,'LANÇAMENTOS DIÁRIOS'!$O$5:$O$500,"&lt;=105499",'LANÇAMENTOS DIÁRIOS'!$P$5:$P$500,"&gt;=105400")&gt;0,"X","")</f>
      </c>
      <c r="AZ26" s="56" t="str">
        <f>IF(COUNTIFS('LANÇAMENTOS DIÁRIOS'!$G$5:$G$500,"D",'LANÇAMENTOS DIÁRIOS'!$C$5:$C$500,$A26,'LANÇAMENTOS DIÁRIOS'!$O$5:$O$500,"&lt;=105500",'LANÇAMENTOS DIÁRIOS'!$P$5:$P$500,"&gt;=105500")&gt;0,"X","")</f>
      </c>
    </row>
    <row r="27">
      <c r="A27" s="51" t="str">
        <v>Destocamento de árvore 0,10m&lt;d&lt;0,30m</v>
      </c>
      <c r="B27" s="56" t="str">
        <f>IF(COUNTIFS('LANÇAMENTOS DIÁRIOS'!$G$5:$G$500,"D",'LANÇAMENTOS DIÁRIOS'!$C$5:$C$500,$A27,'LANÇAMENTOS DIÁRIOS'!$O$5:$O$500,"&lt;=100599",'LANÇAMENTOS DIÁRIOS'!$P$5:$P$500,"&gt;=100500")&gt;0,"X","")</f>
      </c>
      <c r="C27" s="56" t="str">
        <f>IF(COUNTIFS('LANÇAMENTOS DIÁRIOS'!$G$5:$G$500,"D",'LANÇAMENTOS DIÁRIOS'!$C$5:$C$500,$A27,'LANÇAMENTOS DIÁRIOS'!$O$5:$O$500,"&lt;=100699",'LANÇAMENTOS DIÁRIOS'!$P$5:$P$500,"&gt;=100600")&gt;0,"X","")</f>
      </c>
      <c r="D27" s="56" t="str">
        <f>IF(COUNTIFS('LANÇAMENTOS DIÁRIOS'!$G$5:$G$500,"D",'LANÇAMENTOS DIÁRIOS'!$C$5:$C$500,$A27,'LANÇAMENTOS DIÁRIOS'!$O$5:$O$500,"&lt;=100799",'LANÇAMENTOS DIÁRIOS'!$P$5:$P$500,"&gt;=100700")&gt;0,"X","")</f>
      </c>
      <c r="E27" s="56" t="str">
        <f>IF(COUNTIFS('LANÇAMENTOS DIÁRIOS'!$G$5:$G$500,"D",'LANÇAMENTOS DIÁRIOS'!$C$5:$C$500,$A27,'LANÇAMENTOS DIÁRIOS'!$O$5:$O$500,"&lt;=100899",'LANÇAMENTOS DIÁRIOS'!$P$5:$P$500,"&gt;=100800")&gt;0,"X","")</f>
      </c>
      <c r="F27" s="56" t="str">
        <f>IF(COUNTIFS('LANÇAMENTOS DIÁRIOS'!$G$5:$G$500,"D",'LANÇAMENTOS DIÁRIOS'!$C$5:$C$500,$A27,'LANÇAMENTOS DIÁRIOS'!$O$5:$O$500,"&lt;=100999",'LANÇAMENTOS DIÁRIOS'!$P$5:$P$500,"&gt;=100900")&gt;0,"X","")</f>
      </c>
      <c r="G27" s="56" t="str">
        <f>IF(COUNTIFS('LANÇAMENTOS DIÁRIOS'!$G$5:$G$500,"D",'LANÇAMENTOS DIÁRIOS'!$C$5:$C$500,$A27,'LANÇAMENTOS DIÁRIOS'!$O$5:$O$500,"&lt;=101099",'LANÇAMENTOS DIÁRIOS'!$P$5:$P$500,"&gt;=101000")&gt;0,"X","")</f>
      </c>
      <c r="H27" s="56" t="str">
        <f>IF(COUNTIFS('LANÇAMENTOS DIÁRIOS'!$G$5:$G$500,"D",'LANÇAMENTOS DIÁRIOS'!$C$5:$C$500,$A27,'LANÇAMENTOS DIÁRIOS'!$O$5:$O$500,"&lt;=101199",'LANÇAMENTOS DIÁRIOS'!$P$5:$P$500,"&gt;=101100")&gt;0,"X","")</f>
      </c>
      <c r="I27" s="56" t="str">
        <f>IF(COUNTIFS('LANÇAMENTOS DIÁRIOS'!$G$5:$G$500,"D",'LANÇAMENTOS DIÁRIOS'!$C$5:$C$500,$A27,'LANÇAMENTOS DIÁRIOS'!$O$5:$O$500,"&lt;=101299",'LANÇAMENTOS DIÁRIOS'!$P$5:$P$500,"&gt;=101200")&gt;0,"X","")</f>
      </c>
      <c r="J27" s="56" t="str">
        <f>IF(COUNTIFS('LANÇAMENTOS DIÁRIOS'!$G$5:$G$500,"D",'LANÇAMENTOS DIÁRIOS'!$C$5:$C$500,$A27,'LANÇAMENTOS DIÁRIOS'!$O$5:$O$500,"&lt;=101399",'LANÇAMENTOS DIÁRIOS'!$P$5:$P$500,"&gt;=101300")&gt;0,"X","")</f>
      </c>
      <c r="K27" s="56" t="str">
        <f>IF(COUNTIFS('LANÇAMENTOS DIÁRIOS'!$G$5:$G$500,"D",'LANÇAMENTOS DIÁRIOS'!$C$5:$C$500,$A27,'LANÇAMENTOS DIÁRIOS'!$O$5:$O$500,"&lt;=101499",'LANÇAMENTOS DIÁRIOS'!$P$5:$P$500,"&gt;=101400")&gt;0,"X","")</f>
      </c>
      <c r="L27" s="56" t="str">
        <f>IF(COUNTIFS('LANÇAMENTOS DIÁRIOS'!$G$5:$G$500,"D",'LANÇAMENTOS DIÁRIOS'!$C$5:$C$500,$A27,'LANÇAMENTOS DIÁRIOS'!$O$5:$O$500,"&lt;=101599",'LANÇAMENTOS DIÁRIOS'!$P$5:$P$500,"&gt;=101500")&gt;0,"X","")</f>
      </c>
      <c r="M27" s="56" t="str">
        <f>IF(COUNTIFS('LANÇAMENTOS DIÁRIOS'!$G$5:$G$500,"D",'LANÇAMENTOS DIÁRIOS'!$C$5:$C$500,$A27,'LANÇAMENTOS DIÁRIOS'!$O$5:$O$500,"&lt;=101699",'LANÇAMENTOS DIÁRIOS'!$P$5:$P$500,"&gt;=101600")&gt;0,"X","")</f>
      </c>
      <c r="N27" s="56" t="str">
        <f>IF(COUNTIFS('LANÇAMENTOS DIÁRIOS'!$G$5:$G$500,"D",'LANÇAMENTOS DIÁRIOS'!$C$5:$C$500,$A27,'LANÇAMENTOS DIÁRIOS'!$O$5:$O$500,"&lt;=101799",'LANÇAMENTOS DIÁRIOS'!$P$5:$P$500,"&gt;=101700")&gt;0,"X","")</f>
      </c>
      <c r="O27" s="56" t="str">
        <f>IF(COUNTIFS('LANÇAMENTOS DIÁRIOS'!$G$5:$G$500,"D",'LANÇAMENTOS DIÁRIOS'!$C$5:$C$500,$A27,'LANÇAMENTOS DIÁRIOS'!$O$5:$O$500,"&lt;=101899",'LANÇAMENTOS DIÁRIOS'!$P$5:$P$500,"&gt;=101800")&gt;0,"X","")</f>
      </c>
      <c r="P27" s="56" t="str">
        <f>IF(COUNTIFS('LANÇAMENTOS DIÁRIOS'!$G$5:$G$500,"D",'LANÇAMENTOS DIÁRIOS'!$C$5:$C$500,$A27,'LANÇAMENTOS DIÁRIOS'!$O$5:$O$500,"&lt;=101999",'LANÇAMENTOS DIÁRIOS'!$P$5:$P$500,"&gt;=101900")&gt;0,"X","")</f>
      </c>
      <c r="Q27" s="56" t="str">
        <f>IF(COUNTIFS('LANÇAMENTOS DIÁRIOS'!$G$5:$G$500,"D",'LANÇAMENTOS DIÁRIOS'!$C$5:$C$500,$A27,'LANÇAMENTOS DIÁRIOS'!$O$5:$O$500,"&lt;=102099",'LANÇAMENTOS DIÁRIOS'!$P$5:$P$500,"&gt;=102000")&gt;0,"X","")</f>
      </c>
      <c r="R27" s="56" t="str">
        <f>IF(COUNTIFS('LANÇAMENTOS DIÁRIOS'!$G$5:$G$500,"D",'LANÇAMENTOS DIÁRIOS'!$C$5:$C$500,$A27,'LANÇAMENTOS DIÁRIOS'!$O$5:$O$500,"&lt;=102199",'LANÇAMENTOS DIÁRIOS'!$P$5:$P$500,"&gt;=102100")&gt;0,"X","")</f>
      </c>
      <c r="S27" s="56" t="str">
        <f>IF(COUNTIFS('LANÇAMENTOS DIÁRIOS'!$G$5:$G$500,"D",'LANÇAMENTOS DIÁRIOS'!$C$5:$C$500,$A27,'LANÇAMENTOS DIÁRIOS'!$O$5:$O$500,"&lt;=102299",'LANÇAMENTOS DIÁRIOS'!$P$5:$P$500,"&gt;=102200")&gt;0,"X","")</f>
      </c>
      <c r="T27" s="56" t="str">
        <f>IF(COUNTIFS('LANÇAMENTOS DIÁRIOS'!$G$5:$G$500,"D",'LANÇAMENTOS DIÁRIOS'!$C$5:$C$500,$A27,'LANÇAMENTOS DIÁRIOS'!$O$5:$O$500,"&lt;=102399",'LANÇAMENTOS DIÁRIOS'!$P$5:$P$500,"&gt;=102300")&gt;0,"X","")</f>
      </c>
      <c r="U27" s="56" t="str">
        <f>IF(COUNTIFS('LANÇAMENTOS DIÁRIOS'!$G$5:$G$500,"D",'LANÇAMENTOS DIÁRIOS'!$C$5:$C$500,$A27,'LANÇAMENTOS DIÁRIOS'!$O$5:$O$500,"&lt;=102499",'LANÇAMENTOS DIÁRIOS'!$P$5:$P$500,"&gt;=102400")&gt;0,"X","")</f>
      </c>
      <c r="V27" s="56" t="str">
        <f>IF(COUNTIFS('LANÇAMENTOS DIÁRIOS'!$G$5:$G$500,"D",'LANÇAMENTOS DIÁRIOS'!$C$5:$C$500,$A27,'LANÇAMENTOS DIÁRIOS'!$O$5:$O$500,"&lt;=102599",'LANÇAMENTOS DIÁRIOS'!$P$5:$P$500,"&gt;=102500")&gt;0,"X","")</f>
      </c>
      <c r="W27" s="56" t="str">
        <f>IF(COUNTIFS('LANÇAMENTOS DIÁRIOS'!$G$5:$G$500,"D",'LANÇAMENTOS DIÁRIOS'!$C$5:$C$500,$A27,'LANÇAMENTOS DIÁRIOS'!$O$5:$O$500,"&lt;=102699",'LANÇAMENTOS DIÁRIOS'!$P$5:$P$500,"&gt;=102600")&gt;0,"X","")</f>
      </c>
      <c r="X27" s="56" t="str">
        <f>IF(COUNTIFS('LANÇAMENTOS DIÁRIOS'!$G$5:$G$500,"D",'LANÇAMENTOS DIÁRIOS'!$C$5:$C$500,$A27,'LANÇAMENTOS DIÁRIOS'!$O$5:$O$500,"&lt;=102799",'LANÇAMENTOS DIÁRIOS'!$P$5:$P$500,"&gt;=102700")&gt;0,"X","")</f>
      </c>
      <c r="Y27" s="56" t="str">
        <f>IF(COUNTIFS('LANÇAMENTOS DIÁRIOS'!$G$5:$G$500,"D",'LANÇAMENTOS DIÁRIOS'!$C$5:$C$500,$A27,'LANÇAMENTOS DIÁRIOS'!$O$5:$O$500,"&lt;=102899",'LANÇAMENTOS DIÁRIOS'!$P$5:$P$500,"&gt;=102800")&gt;0,"X","")</f>
      </c>
      <c r="Z27" s="56" t="str">
        <f>IF(COUNTIFS('LANÇAMENTOS DIÁRIOS'!$G$5:$G$500,"D",'LANÇAMENTOS DIÁRIOS'!$C$5:$C$500,$A27,'LANÇAMENTOS DIÁRIOS'!$O$5:$O$500,"&lt;=102999",'LANÇAMENTOS DIÁRIOS'!$P$5:$P$500,"&gt;=102900")&gt;0,"X","")</f>
      </c>
      <c r="AA27" s="56" t="str">
        <f>IF(COUNTIFS('LANÇAMENTOS DIÁRIOS'!$G$5:$G$500,"D",'LANÇAMENTOS DIÁRIOS'!$C$5:$C$500,$A27,'LANÇAMENTOS DIÁRIOS'!$O$5:$O$500,"&lt;=103099",'LANÇAMENTOS DIÁRIOS'!$P$5:$P$500,"&gt;=103000")&gt;0,"X","")</f>
      </c>
      <c r="AB27" s="56" t="str">
        <f>IF(COUNTIFS('LANÇAMENTOS DIÁRIOS'!$G$5:$G$500,"D",'LANÇAMENTOS DIÁRIOS'!$C$5:$C$500,$A27,'LANÇAMENTOS DIÁRIOS'!$O$5:$O$500,"&lt;=103199",'LANÇAMENTOS DIÁRIOS'!$P$5:$P$500,"&gt;=103100")&gt;0,"X","")</f>
      </c>
      <c r="AC27" s="56" t="str">
        <f>IF(COUNTIFS('LANÇAMENTOS DIÁRIOS'!$G$5:$G$500,"D",'LANÇAMENTOS DIÁRIOS'!$C$5:$C$500,$A27,'LANÇAMENTOS DIÁRIOS'!$O$5:$O$500,"&lt;=103299",'LANÇAMENTOS DIÁRIOS'!$P$5:$P$500,"&gt;=103200")&gt;0,"X","")</f>
      </c>
      <c r="AD27" s="56" t="str">
        <f>IF(COUNTIFS('LANÇAMENTOS DIÁRIOS'!$G$5:$G$500,"D",'LANÇAMENTOS DIÁRIOS'!$C$5:$C$500,$A27,'LANÇAMENTOS DIÁRIOS'!$O$5:$O$500,"&lt;=103399",'LANÇAMENTOS DIÁRIOS'!$P$5:$P$500,"&gt;=103300")&gt;0,"X","")</f>
      </c>
      <c r="AE27" s="56" t="str">
        <f>IF(COUNTIFS('LANÇAMENTOS DIÁRIOS'!$G$5:$G$500,"D",'LANÇAMENTOS DIÁRIOS'!$C$5:$C$500,$A27,'LANÇAMENTOS DIÁRIOS'!$O$5:$O$500,"&lt;=103499",'LANÇAMENTOS DIÁRIOS'!$P$5:$P$500,"&gt;=103400")&gt;0,"X","")</f>
      </c>
      <c r="AF27" s="56" t="str">
        <f>IF(COUNTIFS('LANÇAMENTOS DIÁRIOS'!$G$5:$G$500,"D",'LANÇAMENTOS DIÁRIOS'!$C$5:$C$500,$A27,'LANÇAMENTOS DIÁRIOS'!$O$5:$O$500,"&lt;=103599",'LANÇAMENTOS DIÁRIOS'!$P$5:$P$500,"&gt;=103500")&gt;0,"X","")</f>
      </c>
      <c r="AG27" s="56" t="str">
        <f>IF(COUNTIFS('LANÇAMENTOS DIÁRIOS'!$G$5:$G$500,"D",'LANÇAMENTOS DIÁRIOS'!$C$5:$C$500,$A27,'LANÇAMENTOS DIÁRIOS'!$O$5:$O$500,"&lt;=103699",'LANÇAMENTOS DIÁRIOS'!$P$5:$P$500,"&gt;=103600")&gt;0,"X","")</f>
      </c>
      <c r="AH27" s="56" t="str">
        <f>IF(COUNTIFS('LANÇAMENTOS DIÁRIOS'!$G$5:$G$500,"D",'LANÇAMENTOS DIÁRIOS'!$C$5:$C$500,$A27,'LANÇAMENTOS DIÁRIOS'!$O$5:$O$500,"&lt;=103799",'LANÇAMENTOS DIÁRIOS'!$P$5:$P$500,"&gt;=103700")&gt;0,"X","")</f>
      </c>
      <c r="AI27" s="56" t="str">
        <f>IF(COUNTIFS('LANÇAMENTOS DIÁRIOS'!$G$5:$G$500,"D",'LANÇAMENTOS DIÁRIOS'!$C$5:$C$500,$A27,'LANÇAMENTOS DIÁRIOS'!$O$5:$O$500,"&lt;=103899",'LANÇAMENTOS DIÁRIOS'!$P$5:$P$500,"&gt;=103800")&gt;0,"X","")</f>
      </c>
      <c r="AJ27" s="56" t="str">
        <f>IF(COUNTIFS('LANÇAMENTOS DIÁRIOS'!$G$5:$G$500,"D",'LANÇAMENTOS DIÁRIOS'!$C$5:$C$500,$A27,'LANÇAMENTOS DIÁRIOS'!$O$5:$O$500,"&lt;=103999",'LANÇAMENTOS DIÁRIOS'!$P$5:$P$500,"&gt;=103900")&gt;0,"X","")</f>
      </c>
      <c r="AK27" s="56" t="str">
        <f>IF(COUNTIFS('LANÇAMENTOS DIÁRIOS'!$G$5:$G$500,"D",'LANÇAMENTOS DIÁRIOS'!$C$5:$C$500,$A27,'LANÇAMENTOS DIÁRIOS'!$O$5:$O$500,"&lt;=104099",'LANÇAMENTOS DIÁRIOS'!$P$5:$P$500,"&gt;=104000")&gt;0,"X","")</f>
      </c>
      <c r="AL27" s="56" t="str">
        <f>IF(COUNTIFS('LANÇAMENTOS DIÁRIOS'!$G$5:$G$500,"D",'LANÇAMENTOS DIÁRIOS'!$C$5:$C$500,$A27,'LANÇAMENTOS DIÁRIOS'!$O$5:$O$500,"&lt;=104199",'LANÇAMENTOS DIÁRIOS'!$P$5:$P$500,"&gt;=104100")&gt;0,"X","")</f>
      </c>
      <c r="AM27" s="56" t="str">
        <f>IF(COUNTIFS('LANÇAMENTOS DIÁRIOS'!$G$5:$G$500,"D",'LANÇAMENTOS DIÁRIOS'!$C$5:$C$500,$A27,'LANÇAMENTOS DIÁRIOS'!$O$5:$O$500,"&lt;=104299",'LANÇAMENTOS DIÁRIOS'!$P$5:$P$500,"&gt;=104200")&gt;0,"X","")</f>
      </c>
      <c r="AN27" s="56" t="str">
        <f>IF(COUNTIFS('LANÇAMENTOS DIÁRIOS'!$G$5:$G$500,"D",'LANÇAMENTOS DIÁRIOS'!$C$5:$C$500,$A27,'LANÇAMENTOS DIÁRIOS'!$O$5:$O$500,"&lt;=104399",'LANÇAMENTOS DIÁRIOS'!$P$5:$P$500,"&gt;=104300")&gt;0,"X","")</f>
      </c>
      <c r="AO27" s="56" t="str">
        <f>IF(COUNTIFS('LANÇAMENTOS DIÁRIOS'!$G$5:$G$500,"D",'LANÇAMENTOS DIÁRIOS'!$C$5:$C$500,$A27,'LANÇAMENTOS DIÁRIOS'!$O$5:$O$500,"&lt;=104499",'LANÇAMENTOS DIÁRIOS'!$P$5:$P$500,"&gt;=104400")&gt;0,"X","")</f>
      </c>
      <c r="AP27" s="56" t="str">
        <f>IF(COUNTIFS('LANÇAMENTOS DIÁRIOS'!$G$5:$G$500,"D",'LANÇAMENTOS DIÁRIOS'!$C$5:$C$500,$A27,'LANÇAMENTOS DIÁRIOS'!$O$5:$O$500,"&lt;=104599",'LANÇAMENTOS DIÁRIOS'!$P$5:$P$500,"&gt;=104500")&gt;0,"X","")</f>
      </c>
      <c r="AQ27" s="56" t="str">
        <f>IF(COUNTIFS('LANÇAMENTOS DIÁRIOS'!$G$5:$G$500,"D",'LANÇAMENTOS DIÁRIOS'!$C$5:$C$500,$A27,'LANÇAMENTOS DIÁRIOS'!$O$5:$O$500,"&lt;=104699",'LANÇAMENTOS DIÁRIOS'!$P$5:$P$500,"&gt;=104600")&gt;0,"X","")</f>
      </c>
      <c r="AR27" s="56" t="str">
        <f>IF(COUNTIFS('LANÇAMENTOS DIÁRIOS'!$G$5:$G$500,"D",'LANÇAMENTOS DIÁRIOS'!$C$5:$C$500,$A27,'LANÇAMENTOS DIÁRIOS'!$O$5:$O$500,"&lt;=104799",'LANÇAMENTOS DIÁRIOS'!$P$5:$P$500,"&gt;=104700")&gt;0,"X","")</f>
      </c>
      <c r="AS27" s="56" t="str">
        <f>IF(COUNTIFS('LANÇAMENTOS DIÁRIOS'!$G$5:$G$500,"D",'LANÇAMENTOS DIÁRIOS'!$C$5:$C$500,$A27,'LANÇAMENTOS DIÁRIOS'!$O$5:$O$500,"&lt;=104899",'LANÇAMENTOS DIÁRIOS'!$P$5:$P$500,"&gt;=104800")&gt;0,"X","")</f>
      </c>
      <c r="AT27" s="56" t="str">
        <f>IF(COUNTIFS('LANÇAMENTOS DIÁRIOS'!$G$5:$G$500,"D",'LANÇAMENTOS DIÁRIOS'!$C$5:$C$500,$A27,'LANÇAMENTOS DIÁRIOS'!$O$5:$O$500,"&lt;=104999",'LANÇAMENTOS DIÁRIOS'!$P$5:$P$500,"&gt;=104900")&gt;0,"X","")</f>
      </c>
      <c r="AU27" s="56" t="str">
        <f>IF(COUNTIFS('LANÇAMENTOS DIÁRIOS'!$G$5:$G$500,"D",'LANÇAMENTOS DIÁRIOS'!$C$5:$C$500,$A27,'LANÇAMENTOS DIÁRIOS'!$O$5:$O$500,"&lt;=105099",'LANÇAMENTOS DIÁRIOS'!$P$5:$P$500,"&gt;=105000")&gt;0,"X","")</f>
      </c>
      <c r="AV27" s="56" t="str">
        <f>IF(COUNTIFS('LANÇAMENTOS DIÁRIOS'!$G$5:$G$500,"D",'LANÇAMENTOS DIÁRIOS'!$C$5:$C$500,$A27,'LANÇAMENTOS DIÁRIOS'!$O$5:$O$500,"&lt;=105199",'LANÇAMENTOS DIÁRIOS'!$P$5:$P$500,"&gt;=105100")&gt;0,"X","")</f>
      </c>
      <c r="AW27" s="56" t="str">
        <f>IF(COUNTIFS('LANÇAMENTOS DIÁRIOS'!$G$5:$G$500,"D",'LANÇAMENTOS DIÁRIOS'!$C$5:$C$500,$A27,'LANÇAMENTOS DIÁRIOS'!$O$5:$O$500,"&lt;=105299",'LANÇAMENTOS DIÁRIOS'!$P$5:$P$500,"&gt;=105200")&gt;0,"X","")</f>
      </c>
      <c r="AX27" s="56" t="str">
        <f>IF(COUNTIFS('LANÇAMENTOS DIÁRIOS'!$G$5:$G$500,"D",'LANÇAMENTOS DIÁRIOS'!$C$5:$C$500,$A27,'LANÇAMENTOS DIÁRIOS'!$O$5:$O$500,"&lt;=105399",'LANÇAMENTOS DIÁRIOS'!$P$5:$P$500,"&gt;=105300")&gt;0,"X","")</f>
      </c>
      <c r="AY27" s="56" t="str">
        <f>IF(COUNTIFS('LANÇAMENTOS DIÁRIOS'!$G$5:$G$500,"D",'LANÇAMENTOS DIÁRIOS'!$C$5:$C$500,$A27,'LANÇAMENTOS DIÁRIOS'!$O$5:$O$500,"&lt;=105499",'LANÇAMENTOS DIÁRIOS'!$P$5:$P$500,"&gt;=105400")&gt;0,"X","")</f>
      </c>
      <c r="AZ27" s="56" t="str">
        <f>IF(COUNTIFS('LANÇAMENTOS DIÁRIOS'!$G$5:$G$500,"D",'LANÇAMENTOS DIÁRIOS'!$C$5:$C$500,$A27,'LANÇAMENTOS DIÁRIOS'!$O$5:$O$500,"&lt;=105500",'LANÇAMENTOS DIÁRIOS'!$P$5:$P$500,"&gt;=105500")&gt;0,"X","")</f>
      </c>
    </row>
    <row r="28">
      <c r="A28" s="51" t="str">
        <v>Destocamento de árvore d&gt;0,30m</v>
      </c>
      <c r="B28" s="56" t="str">
        <f>IF(COUNTIFS('LANÇAMENTOS DIÁRIOS'!$G$5:$G$500,"D",'LANÇAMENTOS DIÁRIOS'!$C$5:$C$500,$A28,'LANÇAMENTOS DIÁRIOS'!$O$5:$O$500,"&lt;=100599",'LANÇAMENTOS DIÁRIOS'!$P$5:$P$500,"&gt;=100500")&gt;0,"X","")</f>
      </c>
      <c r="C28" s="56" t="str">
        <f>IF(COUNTIFS('LANÇAMENTOS DIÁRIOS'!$G$5:$G$500,"D",'LANÇAMENTOS DIÁRIOS'!$C$5:$C$500,$A28,'LANÇAMENTOS DIÁRIOS'!$O$5:$O$500,"&lt;=100699",'LANÇAMENTOS DIÁRIOS'!$P$5:$P$500,"&gt;=100600")&gt;0,"X","")</f>
      </c>
      <c r="D28" s="56" t="str">
        <f>IF(COUNTIFS('LANÇAMENTOS DIÁRIOS'!$G$5:$G$500,"D",'LANÇAMENTOS DIÁRIOS'!$C$5:$C$500,$A28,'LANÇAMENTOS DIÁRIOS'!$O$5:$O$500,"&lt;=100799",'LANÇAMENTOS DIÁRIOS'!$P$5:$P$500,"&gt;=100700")&gt;0,"X","")</f>
      </c>
      <c r="E28" s="56" t="str">
        <f>IF(COUNTIFS('LANÇAMENTOS DIÁRIOS'!$G$5:$G$500,"D",'LANÇAMENTOS DIÁRIOS'!$C$5:$C$500,$A28,'LANÇAMENTOS DIÁRIOS'!$O$5:$O$500,"&lt;=100899",'LANÇAMENTOS DIÁRIOS'!$P$5:$P$500,"&gt;=100800")&gt;0,"X","")</f>
      </c>
      <c r="F28" s="56" t="str">
        <f>IF(COUNTIFS('LANÇAMENTOS DIÁRIOS'!$G$5:$G$500,"D",'LANÇAMENTOS DIÁRIOS'!$C$5:$C$500,$A28,'LANÇAMENTOS DIÁRIOS'!$O$5:$O$500,"&lt;=100999",'LANÇAMENTOS DIÁRIOS'!$P$5:$P$500,"&gt;=100900")&gt;0,"X","")</f>
      </c>
      <c r="G28" s="56" t="str">
        <f>IF(COUNTIFS('LANÇAMENTOS DIÁRIOS'!$G$5:$G$500,"D",'LANÇAMENTOS DIÁRIOS'!$C$5:$C$500,$A28,'LANÇAMENTOS DIÁRIOS'!$O$5:$O$500,"&lt;=101099",'LANÇAMENTOS DIÁRIOS'!$P$5:$P$500,"&gt;=101000")&gt;0,"X","")</f>
      </c>
      <c r="H28" s="56" t="str">
        <f>IF(COUNTIFS('LANÇAMENTOS DIÁRIOS'!$G$5:$G$500,"D",'LANÇAMENTOS DIÁRIOS'!$C$5:$C$500,$A28,'LANÇAMENTOS DIÁRIOS'!$O$5:$O$500,"&lt;=101199",'LANÇAMENTOS DIÁRIOS'!$P$5:$P$500,"&gt;=101100")&gt;0,"X","")</f>
      </c>
      <c r="I28" s="56" t="str">
        <f>IF(COUNTIFS('LANÇAMENTOS DIÁRIOS'!$G$5:$G$500,"D",'LANÇAMENTOS DIÁRIOS'!$C$5:$C$500,$A28,'LANÇAMENTOS DIÁRIOS'!$O$5:$O$500,"&lt;=101299",'LANÇAMENTOS DIÁRIOS'!$P$5:$P$500,"&gt;=101200")&gt;0,"X","")</f>
      </c>
      <c r="J28" s="56" t="str">
        <f>IF(COUNTIFS('LANÇAMENTOS DIÁRIOS'!$G$5:$G$500,"D",'LANÇAMENTOS DIÁRIOS'!$C$5:$C$500,$A28,'LANÇAMENTOS DIÁRIOS'!$O$5:$O$500,"&lt;=101399",'LANÇAMENTOS DIÁRIOS'!$P$5:$P$500,"&gt;=101300")&gt;0,"X","")</f>
      </c>
      <c r="K28" s="56" t="str">
        <f>IF(COUNTIFS('LANÇAMENTOS DIÁRIOS'!$G$5:$G$500,"D",'LANÇAMENTOS DIÁRIOS'!$C$5:$C$500,$A28,'LANÇAMENTOS DIÁRIOS'!$O$5:$O$500,"&lt;=101499",'LANÇAMENTOS DIÁRIOS'!$P$5:$P$500,"&gt;=101400")&gt;0,"X","")</f>
      </c>
      <c r="L28" s="56" t="str">
        <f>IF(COUNTIFS('LANÇAMENTOS DIÁRIOS'!$G$5:$G$500,"D",'LANÇAMENTOS DIÁRIOS'!$C$5:$C$500,$A28,'LANÇAMENTOS DIÁRIOS'!$O$5:$O$500,"&lt;=101599",'LANÇAMENTOS DIÁRIOS'!$P$5:$P$500,"&gt;=101500")&gt;0,"X","")</f>
      </c>
      <c r="M28" s="56" t="str">
        <f>IF(COUNTIFS('LANÇAMENTOS DIÁRIOS'!$G$5:$G$500,"D",'LANÇAMENTOS DIÁRIOS'!$C$5:$C$500,$A28,'LANÇAMENTOS DIÁRIOS'!$O$5:$O$500,"&lt;=101699",'LANÇAMENTOS DIÁRIOS'!$P$5:$P$500,"&gt;=101600")&gt;0,"X","")</f>
      </c>
      <c r="N28" s="56" t="str">
        <f>IF(COUNTIFS('LANÇAMENTOS DIÁRIOS'!$G$5:$G$500,"D",'LANÇAMENTOS DIÁRIOS'!$C$5:$C$500,$A28,'LANÇAMENTOS DIÁRIOS'!$O$5:$O$500,"&lt;=101799",'LANÇAMENTOS DIÁRIOS'!$P$5:$P$500,"&gt;=101700")&gt;0,"X","")</f>
      </c>
      <c r="O28" s="56" t="str">
        <f>IF(COUNTIFS('LANÇAMENTOS DIÁRIOS'!$G$5:$G$500,"D",'LANÇAMENTOS DIÁRIOS'!$C$5:$C$500,$A28,'LANÇAMENTOS DIÁRIOS'!$O$5:$O$500,"&lt;=101899",'LANÇAMENTOS DIÁRIOS'!$P$5:$P$500,"&gt;=101800")&gt;0,"X","")</f>
      </c>
      <c r="P28" s="56" t="str">
        <f>IF(COUNTIFS('LANÇAMENTOS DIÁRIOS'!$G$5:$G$500,"D",'LANÇAMENTOS DIÁRIOS'!$C$5:$C$500,$A28,'LANÇAMENTOS DIÁRIOS'!$O$5:$O$500,"&lt;=101999",'LANÇAMENTOS DIÁRIOS'!$P$5:$P$500,"&gt;=101900")&gt;0,"X","")</f>
      </c>
      <c r="Q28" s="56" t="str">
        <f>IF(COUNTIFS('LANÇAMENTOS DIÁRIOS'!$G$5:$G$500,"D",'LANÇAMENTOS DIÁRIOS'!$C$5:$C$500,$A28,'LANÇAMENTOS DIÁRIOS'!$O$5:$O$500,"&lt;=102099",'LANÇAMENTOS DIÁRIOS'!$P$5:$P$500,"&gt;=102000")&gt;0,"X","")</f>
      </c>
      <c r="R28" s="56" t="str">
        <f>IF(COUNTIFS('LANÇAMENTOS DIÁRIOS'!$G$5:$G$500,"D",'LANÇAMENTOS DIÁRIOS'!$C$5:$C$500,$A28,'LANÇAMENTOS DIÁRIOS'!$O$5:$O$500,"&lt;=102199",'LANÇAMENTOS DIÁRIOS'!$P$5:$P$500,"&gt;=102100")&gt;0,"X","")</f>
      </c>
      <c r="S28" s="56" t="str">
        <f>IF(COUNTIFS('LANÇAMENTOS DIÁRIOS'!$G$5:$G$500,"D",'LANÇAMENTOS DIÁRIOS'!$C$5:$C$500,$A28,'LANÇAMENTOS DIÁRIOS'!$O$5:$O$500,"&lt;=102299",'LANÇAMENTOS DIÁRIOS'!$P$5:$P$500,"&gt;=102200")&gt;0,"X","")</f>
      </c>
      <c r="T28" s="56" t="str">
        <f>IF(COUNTIFS('LANÇAMENTOS DIÁRIOS'!$G$5:$G$500,"D",'LANÇAMENTOS DIÁRIOS'!$C$5:$C$500,$A28,'LANÇAMENTOS DIÁRIOS'!$O$5:$O$500,"&lt;=102399",'LANÇAMENTOS DIÁRIOS'!$P$5:$P$500,"&gt;=102300")&gt;0,"X","")</f>
      </c>
      <c r="U28" s="56" t="str">
        <f>IF(COUNTIFS('LANÇAMENTOS DIÁRIOS'!$G$5:$G$500,"D",'LANÇAMENTOS DIÁRIOS'!$C$5:$C$500,$A28,'LANÇAMENTOS DIÁRIOS'!$O$5:$O$500,"&lt;=102499",'LANÇAMENTOS DIÁRIOS'!$P$5:$P$500,"&gt;=102400")&gt;0,"X","")</f>
      </c>
      <c r="V28" s="56" t="str">
        <f>IF(COUNTIFS('LANÇAMENTOS DIÁRIOS'!$G$5:$G$500,"D",'LANÇAMENTOS DIÁRIOS'!$C$5:$C$500,$A28,'LANÇAMENTOS DIÁRIOS'!$O$5:$O$500,"&lt;=102599",'LANÇAMENTOS DIÁRIOS'!$P$5:$P$500,"&gt;=102500")&gt;0,"X","")</f>
      </c>
      <c r="W28" s="56" t="str">
        <f>IF(COUNTIFS('LANÇAMENTOS DIÁRIOS'!$G$5:$G$500,"D",'LANÇAMENTOS DIÁRIOS'!$C$5:$C$500,$A28,'LANÇAMENTOS DIÁRIOS'!$O$5:$O$500,"&lt;=102699",'LANÇAMENTOS DIÁRIOS'!$P$5:$P$500,"&gt;=102600")&gt;0,"X","")</f>
      </c>
      <c r="X28" s="56" t="str">
        <f>IF(COUNTIFS('LANÇAMENTOS DIÁRIOS'!$G$5:$G$500,"D",'LANÇAMENTOS DIÁRIOS'!$C$5:$C$500,$A28,'LANÇAMENTOS DIÁRIOS'!$O$5:$O$500,"&lt;=102799",'LANÇAMENTOS DIÁRIOS'!$P$5:$P$500,"&gt;=102700")&gt;0,"X","")</f>
      </c>
      <c r="Y28" s="56" t="str">
        <f>IF(COUNTIFS('LANÇAMENTOS DIÁRIOS'!$G$5:$G$500,"D",'LANÇAMENTOS DIÁRIOS'!$C$5:$C$500,$A28,'LANÇAMENTOS DIÁRIOS'!$O$5:$O$500,"&lt;=102899",'LANÇAMENTOS DIÁRIOS'!$P$5:$P$500,"&gt;=102800")&gt;0,"X","")</f>
      </c>
      <c r="Z28" s="56" t="str">
        <f>IF(COUNTIFS('LANÇAMENTOS DIÁRIOS'!$G$5:$G$500,"D",'LANÇAMENTOS DIÁRIOS'!$C$5:$C$500,$A28,'LANÇAMENTOS DIÁRIOS'!$O$5:$O$500,"&lt;=102999",'LANÇAMENTOS DIÁRIOS'!$P$5:$P$500,"&gt;=102900")&gt;0,"X","")</f>
      </c>
      <c r="AA28" s="56" t="str">
        <f>IF(COUNTIFS('LANÇAMENTOS DIÁRIOS'!$G$5:$G$500,"D",'LANÇAMENTOS DIÁRIOS'!$C$5:$C$500,$A28,'LANÇAMENTOS DIÁRIOS'!$O$5:$O$500,"&lt;=103099",'LANÇAMENTOS DIÁRIOS'!$P$5:$P$500,"&gt;=103000")&gt;0,"X","")</f>
      </c>
      <c r="AB28" s="56" t="str">
        <f>IF(COUNTIFS('LANÇAMENTOS DIÁRIOS'!$G$5:$G$500,"D",'LANÇAMENTOS DIÁRIOS'!$C$5:$C$500,$A28,'LANÇAMENTOS DIÁRIOS'!$O$5:$O$500,"&lt;=103199",'LANÇAMENTOS DIÁRIOS'!$P$5:$P$500,"&gt;=103100")&gt;0,"X","")</f>
      </c>
      <c r="AC28" s="56" t="str">
        <f>IF(COUNTIFS('LANÇAMENTOS DIÁRIOS'!$G$5:$G$500,"D",'LANÇAMENTOS DIÁRIOS'!$C$5:$C$500,$A28,'LANÇAMENTOS DIÁRIOS'!$O$5:$O$500,"&lt;=103299",'LANÇAMENTOS DIÁRIOS'!$P$5:$P$500,"&gt;=103200")&gt;0,"X","")</f>
      </c>
      <c r="AD28" s="56" t="str">
        <f>IF(COUNTIFS('LANÇAMENTOS DIÁRIOS'!$G$5:$G$500,"D",'LANÇAMENTOS DIÁRIOS'!$C$5:$C$500,$A28,'LANÇAMENTOS DIÁRIOS'!$O$5:$O$500,"&lt;=103399",'LANÇAMENTOS DIÁRIOS'!$P$5:$P$500,"&gt;=103300")&gt;0,"X","")</f>
      </c>
      <c r="AE28" s="56" t="str">
        <f>IF(COUNTIFS('LANÇAMENTOS DIÁRIOS'!$G$5:$G$500,"D",'LANÇAMENTOS DIÁRIOS'!$C$5:$C$500,$A28,'LANÇAMENTOS DIÁRIOS'!$O$5:$O$500,"&lt;=103499",'LANÇAMENTOS DIÁRIOS'!$P$5:$P$500,"&gt;=103400")&gt;0,"X","")</f>
      </c>
      <c r="AF28" s="56" t="str">
        <f>IF(COUNTIFS('LANÇAMENTOS DIÁRIOS'!$G$5:$G$500,"D",'LANÇAMENTOS DIÁRIOS'!$C$5:$C$500,$A28,'LANÇAMENTOS DIÁRIOS'!$O$5:$O$500,"&lt;=103599",'LANÇAMENTOS DIÁRIOS'!$P$5:$P$500,"&gt;=103500")&gt;0,"X","")</f>
      </c>
      <c r="AG28" s="56" t="str">
        <f>IF(COUNTIFS('LANÇAMENTOS DIÁRIOS'!$G$5:$G$500,"D",'LANÇAMENTOS DIÁRIOS'!$C$5:$C$500,$A28,'LANÇAMENTOS DIÁRIOS'!$O$5:$O$500,"&lt;=103699",'LANÇAMENTOS DIÁRIOS'!$P$5:$P$500,"&gt;=103600")&gt;0,"X","")</f>
      </c>
      <c r="AH28" s="56" t="str">
        <f>IF(COUNTIFS('LANÇAMENTOS DIÁRIOS'!$G$5:$G$500,"D",'LANÇAMENTOS DIÁRIOS'!$C$5:$C$500,$A28,'LANÇAMENTOS DIÁRIOS'!$O$5:$O$500,"&lt;=103799",'LANÇAMENTOS DIÁRIOS'!$P$5:$P$500,"&gt;=103700")&gt;0,"X","")</f>
      </c>
      <c r="AI28" s="56" t="str">
        <f>IF(COUNTIFS('LANÇAMENTOS DIÁRIOS'!$G$5:$G$500,"D",'LANÇAMENTOS DIÁRIOS'!$C$5:$C$500,$A28,'LANÇAMENTOS DIÁRIOS'!$O$5:$O$500,"&lt;=103899",'LANÇAMENTOS DIÁRIOS'!$P$5:$P$500,"&gt;=103800")&gt;0,"X","")</f>
      </c>
      <c r="AJ28" s="56" t="str">
        <f>IF(COUNTIFS('LANÇAMENTOS DIÁRIOS'!$G$5:$G$500,"D",'LANÇAMENTOS DIÁRIOS'!$C$5:$C$500,$A28,'LANÇAMENTOS DIÁRIOS'!$O$5:$O$500,"&lt;=103999",'LANÇAMENTOS DIÁRIOS'!$P$5:$P$500,"&gt;=103900")&gt;0,"X","")</f>
      </c>
      <c r="AK28" s="56" t="str">
        <f>IF(COUNTIFS('LANÇAMENTOS DIÁRIOS'!$G$5:$G$500,"D",'LANÇAMENTOS DIÁRIOS'!$C$5:$C$500,$A28,'LANÇAMENTOS DIÁRIOS'!$O$5:$O$500,"&lt;=104099",'LANÇAMENTOS DIÁRIOS'!$P$5:$P$500,"&gt;=104000")&gt;0,"X","")</f>
      </c>
      <c r="AL28" s="56" t="str">
        <f>IF(COUNTIFS('LANÇAMENTOS DIÁRIOS'!$G$5:$G$500,"D",'LANÇAMENTOS DIÁRIOS'!$C$5:$C$500,$A28,'LANÇAMENTOS DIÁRIOS'!$O$5:$O$500,"&lt;=104199",'LANÇAMENTOS DIÁRIOS'!$P$5:$P$500,"&gt;=104100")&gt;0,"X","")</f>
      </c>
      <c r="AM28" s="56" t="str">
        <f>IF(COUNTIFS('LANÇAMENTOS DIÁRIOS'!$G$5:$G$500,"D",'LANÇAMENTOS DIÁRIOS'!$C$5:$C$500,$A28,'LANÇAMENTOS DIÁRIOS'!$O$5:$O$500,"&lt;=104299",'LANÇAMENTOS DIÁRIOS'!$P$5:$P$500,"&gt;=104200")&gt;0,"X","")</f>
      </c>
      <c r="AN28" s="56" t="str">
        <f>IF(COUNTIFS('LANÇAMENTOS DIÁRIOS'!$G$5:$G$500,"D",'LANÇAMENTOS DIÁRIOS'!$C$5:$C$500,$A28,'LANÇAMENTOS DIÁRIOS'!$O$5:$O$500,"&lt;=104399",'LANÇAMENTOS DIÁRIOS'!$P$5:$P$500,"&gt;=104300")&gt;0,"X","")</f>
      </c>
      <c r="AO28" s="56" t="str">
        <f>IF(COUNTIFS('LANÇAMENTOS DIÁRIOS'!$G$5:$G$500,"D",'LANÇAMENTOS DIÁRIOS'!$C$5:$C$500,$A28,'LANÇAMENTOS DIÁRIOS'!$O$5:$O$500,"&lt;=104499",'LANÇAMENTOS DIÁRIOS'!$P$5:$P$500,"&gt;=104400")&gt;0,"X","")</f>
      </c>
      <c r="AP28" s="56" t="str">
        <f>IF(COUNTIFS('LANÇAMENTOS DIÁRIOS'!$G$5:$G$500,"D",'LANÇAMENTOS DIÁRIOS'!$C$5:$C$500,$A28,'LANÇAMENTOS DIÁRIOS'!$O$5:$O$500,"&lt;=104599",'LANÇAMENTOS DIÁRIOS'!$P$5:$P$500,"&gt;=104500")&gt;0,"X","")</f>
      </c>
      <c r="AQ28" s="56" t="str">
        <f>IF(COUNTIFS('LANÇAMENTOS DIÁRIOS'!$G$5:$G$500,"D",'LANÇAMENTOS DIÁRIOS'!$C$5:$C$500,$A28,'LANÇAMENTOS DIÁRIOS'!$O$5:$O$500,"&lt;=104699",'LANÇAMENTOS DIÁRIOS'!$P$5:$P$500,"&gt;=104600")&gt;0,"X","")</f>
      </c>
      <c r="AR28" s="56" t="str">
        <f>IF(COUNTIFS('LANÇAMENTOS DIÁRIOS'!$G$5:$G$500,"D",'LANÇAMENTOS DIÁRIOS'!$C$5:$C$500,$A28,'LANÇAMENTOS DIÁRIOS'!$O$5:$O$500,"&lt;=104799",'LANÇAMENTOS DIÁRIOS'!$P$5:$P$500,"&gt;=104700")&gt;0,"X","")</f>
      </c>
      <c r="AS28" s="56" t="str">
        <f>IF(COUNTIFS('LANÇAMENTOS DIÁRIOS'!$G$5:$G$500,"D",'LANÇAMENTOS DIÁRIOS'!$C$5:$C$500,$A28,'LANÇAMENTOS DIÁRIOS'!$O$5:$O$500,"&lt;=104899",'LANÇAMENTOS DIÁRIOS'!$P$5:$P$500,"&gt;=104800")&gt;0,"X","")</f>
      </c>
      <c r="AT28" s="56" t="str">
        <f>IF(COUNTIFS('LANÇAMENTOS DIÁRIOS'!$G$5:$G$500,"D",'LANÇAMENTOS DIÁRIOS'!$C$5:$C$500,$A28,'LANÇAMENTOS DIÁRIOS'!$O$5:$O$500,"&lt;=104999",'LANÇAMENTOS DIÁRIOS'!$P$5:$P$500,"&gt;=104900")&gt;0,"X","")</f>
      </c>
      <c r="AU28" s="56" t="str">
        <f>IF(COUNTIFS('LANÇAMENTOS DIÁRIOS'!$G$5:$G$500,"D",'LANÇAMENTOS DIÁRIOS'!$C$5:$C$500,$A28,'LANÇAMENTOS DIÁRIOS'!$O$5:$O$500,"&lt;=105099",'LANÇAMENTOS DIÁRIOS'!$P$5:$P$500,"&gt;=105000")&gt;0,"X","")</f>
      </c>
      <c r="AV28" s="56" t="str">
        <f>IF(COUNTIFS('LANÇAMENTOS DIÁRIOS'!$G$5:$G$500,"D",'LANÇAMENTOS DIÁRIOS'!$C$5:$C$500,$A28,'LANÇAMENTOS DIÁRIOS'!$O$5:$O$500,"&lt;=105199",'LANÇAMENTOS DIÁRIOS'!$P$5:$P$500,"&gt;=105100")&gt;0,"X","")</f>
      </c>
      <c r="AW28" s="56" t="str">
        <f>IF(COUNTIFS('LANÇAMENTOS DIÁRIOS'!$G$5:$G$500,"D",'LANÇAMENTOS DIÁRIOS'!$C$5:$C$500,$A28,'LANÇAMENTOS DIÁRIOS'!$O$5:$O$500,"&lt;=105299",'LANÇAMENTOS DIÁRIOS'!$P$5:$P$500,"&gt;=105200")&gt;0,"X","")</f>
      </c>
      <c r="AX28" s="56" t="str">
        <f>IF(COUNTIFS('LANÇAMENTOS DIÁRIOS'!$G$5:$G$500,"D",'LANÇAMENTOS DIÁRIOS'!$C$5:$C$500,$A28,'LANÇAMENTOS DIÁRIOS'!$O$5:$O$500,"&lt;=105399",'LANÇAMENTOS DIÁRIOS'!$P$5:$P$500,"&gt;=105300")&gt;0,"X","")</f>
      </c>
      <c r="AY28" s="56" t="str">
        <f>IF(COUNTIFS('LANÇAMENTOS DIÁRIOS'!$G$5:$G$500,"D",'LANÇAMENTOS DIÁRIOS'!$C$5:$C$500,$A28,'LANÇAMENTOS DIÁRIOS'!$O$5:$O$500,"&lt;=105499",'LANÇAMENTOS DIÁRIOS'!$P$5:$P$500,"&gt;=105400")&gt;0,"X","")</f>
      </c>
      <c r="AZ28" s="56" t="str">
        <f>IF(COUNTIFS('LANÇAMENTOS DIÁRIOS'!$G$5:$G$500,"D",'LANÇAMENTOS DIÁRIOS'!$C$5:$C$500,$A28,'LANÇAMENTOS DIÁRIOS'!$O$5:$O$500,"&lt;=105500",'LANÇAMENTOS DIÁRIOS'!$P$5:$P$500,"&gt;=105500")&gt;0,"X","")</f>
      </c>
    </row>
    <row r="29">
      <c r="A29" s="51" t="str">
        <v>Derrubada e destocamento arv. c/ diâmetro &gt; 0,15 m</v>
      </c>
      <c r="B29" s="56" t="str">
        <f>IF(COUNTIFS('LANÇAMENTOS DIÁRIOS'!$G$5:$G$500,"D",'LANÇAMENTOS DIÁRIOS'!$C$5:$C$500,$A29,'LANÇAMENTOS DIÁRIOS'!$O$5:$O$500,"&lt;=100599",'LANÇAMENTOS DIÁRIOS'!$P$5:$P$500,"&gt;=100500")&gt;0,"X","")</f>
      </c>
      <c r="C29" s="56" t="str">
        <f>IF(COUNTIFS('LANÇAMENTOS DIÁRIOS'!$G$5:$G$500,"D",'LANÇAMENTOS DIÁRIOS'!$C$5:$C$500,$A29,'LANÇAMENTOS DIÁRIOS'!$O$5:$O$500,"&lt;=100699",'LANÇAMENTOS DIÁRIOS'!$P$5:$P$500,"&gt;=100600")&gt;0,"X","")</f>
      </c>
      <c r="D29" s="56" t="str">
        <f>IF(COUNTIFS('LANÇAMENTOS DIÁRIOS'!$G$5:$G$500,"D",'LANÇAMENTOS DIÁRIOS'!$C$5:$C$500,$A29,'LANÇAMENTOS DIÁRIOS'!$O$5:$O$500,"&lt;=100799",'LANÇAMENTOS DIÁRIOS'!$P$5:$P$500,"&gt;=100700")&gt;0,"X","")</f>
      </c>
      <c r="E29" s="56" t="str">
        <f>IF(COUNTIFS('LANÇAMENTOS DIÁRIOS'!$G$5:$G$500,"D",'LANÇAMENTOS DIÁRIOS'!$C$5:$C$500,$A29,'LANÇAMENTOS DIÁRIOS'!$O$5:$O$500,"&lt;=100899",'LANÇAMENTOS DIÁRIOS'!$P$5:$P$500,"&gt;=100800")&gt;0,"X","")</f>
      </c>
      <c r="F29" s="56" t="str">
        <f>IF(COUNTIFS('LANÇAMENTOS DIÁRIOS'!$G$5:$G$500,"D",'LANÇAMENTOS DIÁRIOS'!$C$5:$C$500,$A29,'LANÇAMENTOS DIÁRIOS'!$O$5:$O$500,"&lt;=100999",'LANÇAMENTOS DIÁRIOS'!$P$5:$P$500,"&gt;=100900")&gt;0,"X","")</f>
      </c>
      <c r="G29" s="56" t="str">
        <f>IF(COUNTIFS('LANÇAMENTOS DIÁRIOS'!$G$5:$G$500,"D",'LANÇAMENTOS DIÁRIOS'!$C$5:$C$500,$A29,'LANÇAMENTOS DIÁRIOS'!$O$5:$O$500,"&lt;=101099",'LANÇAMENTOS DIÁRIOS'!$P$5:$P$500,"&gt;=101000")&gt;0,"X","")</f>
      </c>
      <c r="H29" s="56" t="str">
        <f>IF(COUNTIFS('LANÇAMENTOS DIÁRIOS'!$G$5:$G$500,"D",'LANÇAMENTOS DIÁRIOS'!$C$5:$C$500,$A29,'LANÇAMENTOS DIÁRIOS'!$O$5:$O$500,"&lt;=101199",'LANÇAMENTOS DIÁRIOS'!$P$5:$P$500,"&gt;=101100")&gt;0,"X","")</f>
      </c>
      <c r="I29" s="56" t="str">
        <f>IF(COUNTIFS('LANÇAMENTOS DIÁRIOS'!$G$5:$G$500,"D",'LANÇAMENTOS DIÁRIOS'!$C$5:$C$500,$A29,'LANÇAMENTOS DIÁRIOS'!$O$5:$O$500,"&lt;=101299",'LANÇAMENTOS DIÁRIOS'!$P$5:$P$500,"&gt;=101200")&gt;0,"X","")</f>
      </c>
      <c r="J29" s="56" t="str">
        <f>IF(COUNTIFS('LANÇAMENTOS DIÁRIOS'!$G$5:$G$500,"D",'LANÇAMENTOS DIÁRIOS'!$C$5:$C$500,$A29,'LANÇAMENTOS DIÁRIOS'!$O$5:$O$500,"&lt;=101399",'LANÇAMENTOS DIÁRIOS'!$P$5:$P$500,"&gt;=101300")&gt;0,"X","")</f>
      </c>
      <c r="K29" s="56" t="str">
        <f>IF(COUNTIFS('LANÇAMENTOS DIÁRIOS'!$G$5:$G$500,"D",'LANÇAMENTOS DIÁRIOS'!$C$5:$C$500,$A29,'LANÇAMENTOS DIÁRIOS'!$O$5:$O$500,"&lt;=101499",'LANÇAMENTOS DIÁRIOS'!$P$5:$P$500,"&gt;=101400")&gt;0,"X","")</f>
      </c>
      <c r="L29" s="56" t="str">
        <f>IF(COUNTIFS('LANÇAMENTOS DIÁRIOS'!$G$5:$G$500,"D",'LANÇAMENTOS DIÁRIOS'!$C$5:$C$500,$A29,'LANÇAMENTOS DIÁRIOS'!$O$5:$O$500,"&lt;=101599",'LANÇAMENTOS DIÁRIOS'!$P$5:$P$500,"&gt;=101500")&gt;0,"X","")</f>
      </c>
      <c r="M29" s="56" t="str">
        <f>IF(COUNTIFS('LANÇAMENTOS DIÁRIOS'!$G$5:$G$500,"D",'LANÇAMENTOS DIÁRIOS'!$C$5:$C$500,$A29,'LANÇAMENTOS DIÁRIOS'!$O$5:$O$500,"&lt;=101699",'LANÇAMENTOS DIÁRIOS'!$P$5:$P$500,"&gt;=101600")&gt;0,"X","")</f>
      </c>
      <c r="N29" s="56" t="str">
        <f>IF(COUNTIFS('LANÇAMENTOS DIÁRIOS'!$G$5:$G$500,"D",'LANÇAMENTOS DIÁRIOS'!$C$5:$C$500,$A29,'LANÇAMENTOS DIÁRIOS'!$O$5:$O$500,"&lt;=101799",'LANÇAMENTOS DIÁRIOS'!$P$5:$P$500,"&gt;=101700")&gt;0,"X","")</f>
      </c>
      <c r="O29" s="56" t="str">
        <f>IF(COUNTIFS('LANÇAMENTOS DIÁRIOS'!$G$5:$G$500,"D",'LANÇAMENTOS DIÁRIOS'!$C$5:$C$500,$A29,'LANÇAMENTOS DIÁRIOS'!$O$5:$O$500,"&lt;=101899",'LANÇAMENTOS DIÁRIOS'!$P$5:$P$500,"&gt;=101800")&gt;0,"X","")</f>
      </c>
      <c r="P29" s="56" t="str">
        <f>IF(COUNTIFS('LANÇAMENTOS DIÁRIOS'!$G$5:$G$500,"D",'LANÇAMENTOS DIÁRIOS'!$C$5:$C$500,$A29,'LANÇAMENTOS DIÁRIOS'!$O$5:$O$500,"&lt;=101999",'LANÇAMENTOS DIÁRIOS'!$P$5:$P$500,"&gt;=101900")&gt;0,"X","")</f>
      </c>
      <c r="Q29" s="56" t="str">
        <f>IF(COUNTIFS('LANÇAMENTOS DIÁRIOS'!$G$5:$G$500,"D",'LANÇAMENTOS DIÁRIOS'!$C$5:$C$500,$A29,'LANÇAMENTOS DIÁRIOS'!$O$5:$O$500,"&lt;=102099",'LANÇAMENTOS DIÁRIOS'!$P$5:$P$500,"&gt;=102000")&gt;0,"X","")</f>
      </c>
      <c r="R29" s="56" t="str">
        <f>IF(COUNTIFS('LANÇAMENTOS DIÁRIOS'!$G$5:$G$500,"D",'LANÇAMENTOS DIÁRIOS'!$C$5:$C$500,$A29,'LANÇAMENTOS DIÁRIOS'!$O$5:$O$500,"&lt;=102199",'LANÇAMENTOS DIÁRIOS'!$P$5:$P$500,"&gt;=102100")&gt;0,"X","")</f>
      </c>
      <c r="S29" s="56" t="str">
        <f>IF(COUNTIFS('LANÇAMENTOS DIÁRIOS'!$G$5:$G$500,"D",'LANÇAMENTOS DIÁRIOS'!$C$5:$C$500,$A29,'LANÇAMENTOS DIÁRIOS'!$O$5:$O$500,"&lt;=102299",'LANÇAMENTOS DIÁRIOS'!$P$5:$P$500,"&gt;=102200")&gt;0,"X","")</f>
      </c>
      <c r="T29" s="56" t="str">
        <f>IF(COUNTIFS('LANÇAMENTOS DIÁRIOS'!$G$5:$G$500,"D",'LANÇAMENTOS DIÁRIOS'!$C$5:$C$500,$A29,'LANÇAMENTOS DIÁRIOS'!$O$5:$O$500,"&lt;=102399",'LANÇAMENTOS DIÁRIOS'!$P$5:$P$500,"&gt;=102300")&gt;0,"X","")</f>
      </c>
      <c r="U29" s="56" t="str">
        <f>IF(COUNTIFS('LANÇAMENTOS DIÁRIOS'!$G$5:$G$500,"D",'LANÇAMENTOS DIÁRIOS'!$C$5:$C$500,$A29,'LANÇAMENTOS DIÁRIOS'!$O$5:$O$500,"&lt;=102499",'LANÇAMENTOS DIÁRIOS'!$P$5:$P$500,"&gt;=102400")&gt;0,"X","")</f>
      </c>
      <c r="V29" s="56" t="str">
        <f>IF(COUNTIFS('LANÇAMENTOS DIÁRIOS'!$G$5:$G$500,"D",'LANÇAMENTOS DIÁRIOS'!$C$5:$C$500,$A29,'LANÇAMENTOS DIÁRIOS'!$O$5:$O$500,"&lt;=102599",'LANÇAMENTOS DIÁRIOS'!$P$5:$P$500,"&gt;=102500")&gt;0,"X","")</f>
      </c>
      <c r="W29" s="56" t="str">
        <f>IF(COUNTIFS('LANÇAMENTOS DIÁRIOS'!$G$5:$G$500,"D",'LANÇAMENTOS DIÁRIOS'!$C$5:$C$500,$A29,'LANÇAMENTOS DIÁRIOS'!$O$5:$O$500,"&lt;=102699",'LANÇAMENTOS DIÁRIOS'!$P$5:$P$500,"&gt;=102600")&gt;0,"X","")</f>
      </c>
      <c r="X29" s="56" t="str">
        <f>IF(COUNTIFS('LANÇAMENTOS DIÁRIOS'!$G$5:$G$500,"D",'LANÇAMENTOS DIÁRIOS'!$C$5:$C$500,$A29,'LANÇAMENTOS DIÁRIOS'!$O$5:$O$500,"&lt;=102799",'LANÇAMENTOS DIÁRIOS'!$P$5:$P$500,"&gt;=102700")&gt;0,"X","")</f>
      </c>
      <c r="Y29" s="56" t="str">
        <f>IF(COUNTIFS('LANÇAMENTOS DIÁRIOS'!$G$5:$G$500,"D",'LANÇAMENTOS DIÁRIOS'!$C$5:$C$500,$A29,'LANÇAMENTOS DIÁRIOS'!$O$5:$O$500,"&lt;=102899",'LANÇAMENTOS DIÁRIOS'!$P$5:$P$500,"&gt;=102800")&gt;0,"X","")</f>
      </c>
      <c r="Z29" s="56" t="str">
        <f>IF(COUNTIFS('LANÇAMENTOS DIÁRIOS'!$G$5:$G$500,"D",'LANÇAMENTOS DIÁRIOS'!$C$5:$C$500,$A29,'LANÇAMENTOS DIÁRIOS'!$O$5:$O$500,"&lt;=102999",'LANÇAMENTOS DIÁRIOS'!$P$5:$P$500,"&gt;=102900")&gt;0,"X","")</f>
      </c>
      <c r="AA29" s="56" t="str">
        <f>IF(COUNTIFS('LANÇAMENTOS DIÁRIOS'!$G$5:$G$500,"D",'LANÇAMENTOS DIÁRIOS'!$C$5:$C$500,$A29,'LANÇAMENTOS DIÁRIOS'!$O$5:$O$500,"&lt;=103099",'LANÇAMENTOS DIÁRIOS'!$P$5:$P$500,"&gt;=103000")&gt;0,"X","")</f>
      </c>
      <c r="AB29" s="56" t="str">
        <f>IF(COUNTIFS('LANÇAMENTOS DIÁRIOS'!$G$5:$G$500,"D",'LANÇAMENTOS DIÁRIOS'!$C$5:$C$500,$A29,'LANÇAMENTOS DIÁRIOS'!$O$5:$O$500,"&lt;=103199",'LANÇAMENTOS DIÁRIOS'!$P$5:$P$500,"&gt;=103100")&gt;0,"X","")</f>
      </c>
      <c r="AC29" s="56" t="str">
        <f>IF(COUNTIFS('LANÇAMENTOS DIÁRIOS'!$G$5:$G$500,"D",'LANÇAMENTOS DIÁRIOS'!$C$5:$C$500,$A29,'LANÇAMENTOS DIÁRIOS'!$O$5:$O$500,"&lt;=103299",'LANÇAMENTOS DIÁRIOS'!$P$5:$P$500,"&gt;=103200")&gt;0,"X","")</f>
      </c>
      <c r="AD29" s="56" t="str">
        <f>IF(COUNTIFS('LANÇAMENTOS DIÁRIOS'!$G$5:$G$500,"D",'LANÇAMENTOS DIÁRIOS'!$C$5:$C$500,$A29,'LANÇAMENTOS DIÁRIOS'!$O$5:$O$500,"&lt;=103399",'LANÇAMENTOS DIÁRIOS'!$P$5:$P$500,"&gt;=103300")&gt;0,"X","")</f>
      </c>
      <c r="AE29" s="56" t="str">
        <f>IF(COUNTIFS('LANÇAMENTOS DIÁRIOS'!$G$5:$G$500,"D",'LANÇAMENTOS DIÁRIOS'!$C$5:$C$500,$A29,'LANÇAMENTOS DIÁRIOS'!$O$5:$O$500,"&lt;=103499",'LANÇAMENTOS DIÁRIOS'!$P$5:$P$500,"&gt;=103400")&gt;0,"X","")</f>
      </c>
      <c r="AF29" s="56" t="str">
        <f>IF(COUNTIFS('LANÇAMENTOS DIÁRIOS'!$G$5:$G$500,"D",'LANÇAMENTOS DIÁRIOS'!$C$5:$C$500,$A29,'LANÇAMENTOS DIÁRIOS'!$O$5:$O$500,"&lt;=103599",'LANÇAMENTOS DIÁRIOS'!$P$5:$P$500,"&gt;=103500")&gt;0,"X","")</f>
      </c>
      <c r="AG29" s="56" t="str">
        <f>IF(COUNTIFS('LANÇAMENTOS DIÁRIOS'!$G$5:$G$500,"D",'LANÇAMENTOS DIÁRIOS'!$C$5:$C$500,$A29,'LANÇAMENTOS DIÁRIOS'!$O$5:$O$500,"&lt;=103699",'LANÇAMENTOS DIÁRIOS'!$P$5:$P$500,"&gt;=103600")&gt;0,"X","")</f>
      </c>
      <c r="AH29" s="56" t="str">
        <f>IF(COUNTIFS('LANÇAMENTOS DIÁRIOS'!$G$5:$G$500,"D",'LANÇAMENTOS DIÁRIOS'!$C$5:$C$500,$A29,'LANÇAMENTOS DIÁRIOS'!$O$5:$O$500,"&lt;=103799",'LANÇAMENTOS DIÁRIOS'!$P$5:$P$500,"&gt;=103700")&gt;0,"X","")</f>
      </c>
      <c r="AI29" s="56" t="str">
        <f>IF(COUNTIFS('LANÇAMENTOS DIÁRIOS'!$G$5:$G$500,"D",'LANÇAMENTOS DIÁRIOS'!$C$5:$C$500,$A29,'LANÇAMENTOS DIÁRIOS'!$O$5:$O$500,"&lt;=103899",'LANÇAMENTOS DIÁRIOS'!$P$5:$P$500,"&gt;=103800")&gt;0,"X","")</f>
      </c>
      <c r="AJ29" s="56" t="str">
        <f>IF(COUNTIFS('LANÇAMENTOS DIÁRIOS'!$G$5:$G$500,"D",'LANÇAMENTOS DIÁRIOS'!$C$5:$C$500,$A29,'LANÇAMENTOS DIÁRIOS'!$O$5:$O$500,"&lt;=103999",'LANÇAMENTOS DIÁRIOS'!$P$5:$P$500,"&gt;=103900")&gt;0,"X","")</f>
      </c>
      <c r="AK29" s="56" t="str">
        <f>IF(COUNTIFS('LANÇAMENTOS DIÁRIOS'!$G$5:$G$500,"D",'LANÇAMENTOS DIÁRIOS'!$C$5:$C$500,$A29,'LANÇAMENTOS DIÁRIOS'!$O$5:$O$500,"&lt;=104099",'LANÇAMENTOS DIÁRIOS'!$P$5:$P$500,"&gt;=104000")&gt;0,"X","")</f>
      </c>
      <c r="AL29" s="56" t="str">
        <f>IF(COUNTIFS('LANÇAMENTOS DIÁRIOS'!$G$5:$G$500,"D",'LANÇAMENTOS DIÁRIOS'!$C$5:$C$500,$A29,'LANÇAMENTOS DIÁRIOS'!$O$5:$O$500,"&lt;=104199",'LANÇAMENTOS DIÁRIOS'!$P$5:$P$500,"&gt;=104100")&gt;0,"X","")</f>
      </c>
      <c r="AM29" s="56" t="str">
        <f>IF(COUNTIFS('LANÇAMENTOS DIÁRIOS'!$G$5:$G$500,"D",'LANÇAMENTOS DIÁRIOS'!$C$5:$C$500,$A29,'LANÇAMENTOS DIÁRIOS'!$O$5:$O$500,"&lt;=104299",'LANÇAMENTOS DIÁRIOS'!$P$5:$P$500,"&gt;=104200")&gt;0,"X","")</f>
      </c>
      <c r="AN29" s="56" t="str">
        <f>IF(COUNTIFS('LANÇAMENTOS DIÁRIOS'!$G$5:$G$500,"D",'LANÇAMENTOS DIÁRIOS'!$C$5:$C$500,$A29,'LANÇAMENTOS DIÁRIOS'!$O$5:$O$500,"&lt;=104399",'LANÇAMENTOS DIÁRIOS'!$P$5:$P$500,"&gt;=104300")&gt;0,"X","")</f>
      </c>
      <c r="AO29" s="56" t="str">
        <f>IF(COUNTIFS('LANÇAMENTOS DIÁRIOS'!$G$5:$G$500,"D",'LANÇAMENTOS DIÁRIOS'!$C$5:$C$500,$A29,'LANÇAMENTOS DIÁRIOS'!$O$5:$O$500,"&lt;=104499",'LANÇAMENTOS DIÁRIOS'!$P$5:$P$500,"&gt;=104400")&gt;0,"X","")</f>
      </c>
      <c r="AP29" s="56" t="str">
        <f>IF(COUNTIFS('LANÇAMENTOS DIÁRIOS'!$G$5:$G$500,"D",'LANÇAMENTOS DIÁRIOS'!$C$5:$C$500,$A29,'LANÇAMENTOS DIÁRIOS'!$O$5:$O$500,"&lt;=104599",'LANÇAMENTOS DIÁRIOS'!$P$5:$P$500,"&gt;=104500")&gt;0,"X","")</f>
      </c>
      <c r="AQ29" s="56" t="str">
        <f>IF(COUNTIFS('LANÇAMENTOS DIÁRIOS'!$G$5:$G$500,"D",'LANÇAMENTOS DIÁRIOS'!$C$5:$C$500,$A29,'LANÇAMENTOS DIÁRIOS'!$O$5:$O$500,"&lt;=104699",'LANÇAMENTOS DIÁRIOS'!$P$5:$P$500,"&gt;=104600")&gt;0,"X","")</f>
      </c>
      <c r="AR29" s="56" t="str">
        <f>IF(COUNTIFS('LANÇAMENTOS DIÁRIOS'!$G$5:$G$500,"D",'LANÇAMENTOS DIÁRIOS'!$C$5:$C$500,$A29,'LANÇAMENTOS DIÁRIOS'!$O$5:$O$500,"&lt;=104799",'LANÇAMENTOS DIÁRIOS'!$P$5:$P$500,"&gt;=104700")&gt;0,"X","")</f>
      </c>
      <c r="AS29" s="56" t="str">
        <f>IF(COUNTIFS('LANÇAMENTOS DIÁRIOS'!$G$5:$G$500,"D",'LANÇAMENTOS DIÁRIOS'!$C$5:$C$500,$A29,'LANÇAMENTOS DIÁRIOS'!$O$5:$O$500,"&lt;=104899",'LANÇAMENTOS DIÁRIOS'!$P$5:$P$500,"&gt;=104800")&gt;0,"X","")</f>
      </c>
      <c r="AT29" s="56" t="str">
        <f>IF(COUNTIFS('LANÇAMENTOS DIÁRIOS'!$G$5:$G$500,"D",'LANÇAMENTOS DIÁRIOS'!$C$5:$C$500,$A29,'LANÇAMENTOS DIÁRIOS'!$O$5:$O$500,"&lt;=104999",'LANÇAMENTOS DIÁRIOS'!$P$5:$P$500,"&gt;=104900")&gt;0,"X","")</f>
      </c>
      <c r="AU29" s="56" t="str">
        <f>IF(COUNTIFS('LANÇAMENTOS DIÁRIOS'!$G$5:$G$500,"D",'LANÇAMENTOS DIÁRIOS'!$C$5:$C$500,$A29,'LANÇAMENTOS DIÁRIOS'!$O$5:$O$500,"&lt;=105099",'LANÇAMENTOS DIÁRIOS'!$P$5:$P$500,"&gt;=105000")&gt;0,"X","")</f>
      </c>
      <c r="AV29" s="56" t="str">
        <f>IF(COUNTIFS('LANÇAMENTOS DIÁRIOS'!$G$5:$G$500,"D",'LANÇAMENTOS DIÁRIOS'!$C$5:$C$500,$A29,'LANÇAMENTOS DIÁRIOS'!$O$5:$O$500,"&lt;=105199",'LANÇAMENTOS DIÁRIOS'!$P$5:$P$500,"&gt;=105100")&gt;0,"X","")</f>
      </c>
      <c r="AW29" s="56" t="str">
        <f>IF(COUNTIFS('LANÇAMENTOS DIÁRIOS'!$G$5:$G$500,"D",'LANÇAMENTOS DIÁRIOS'!$C$5:$C$500,$A29,'LANÇAMENTOS DIÁRIOS'!$O$5:$O$500,"&lt;=105299",'LANÇAMENTOS DIÁRIOS'!$P$5:$P$500,"&gt;=105200")&gt;0,"X","")</f>
      </c>
      <c r="AX29" s="56" t="str">
        <f>IF(COUNTIFS('LANÇAMENTOS DIÁRIOS'!$G$5:$G$500,"D",'LANÇAMENTOS DIÁRIOS'!$C$5:$C$500,$A29,'LANÇAMENTOS DIÁRIOS'!$O$5:$O$500,"&lt;=105399",'LANÇAMENTOS DIÁRIOS'!$P$5:$P$500,"&gt;=105300")&gt;0,"X","")</f>
      </c>
      <c r="AY29" s="56" t="str">
        <f>IF(COUNTIFS('LANÇAMENTOS DIÁRIOS'!$G$5:$G$500,"D",'LANÇAMENTOS DIÁRIOS'!$C$5:$C$500,$A29,'LANÇAMENTOS DIÁRIOS'!$O$5:$O$500,"&lt;=105499",'LANÇAMENTOS DIÁRIOS'!$P$5:$P$500,"&gt;=105400")&gt;0,"X","")</f>
      </c>
      <c r="AZ29" s="56" t="str">
        <f>IF(COUNTIFS('LANÇAMENTOS DIÁRIOS'!$G$5:$G$500,"D",'LANÇAMENTOS DIÁRIOS'!$C$5:$C$500,$A29,'LANÇAMENTOS DIÁRIOS'!$O$5:$O$500,"&lt;=105500",'LANÇAMENTOS DIÁRIOS'!$P$5:$P$500,"&gt;=105500")&gt;0,"X","")</f>
      </c>
    </row>
    <row r="30">
      <c r="A30" s="51" t="str">
        <v>Derrubada e destocamento.arv. c/ diâmetro 20&lt;&gt;30cm, com limpeza da área</v>
      </c>
      <c r="B30" s="56" t="str">
        <f>IF(COUNTIFS('LANÇAMENTOS DIÁRIOS'!$G$5:$G$500,"D",'LANÇAMENTOS DIÁRIOS'!$C$5:$C$500,$A30,'LANÇAMENTOS DIÁRIOS'!$O$5:$O$500,"&lt;=100599",'LANÇAMENTOS DIÁRIOS'!$P$5:$P$500,"&gt;=100500")&gt;0,"X","")</f>
      </c>
      <c r="C30" s="56" t="str">
        <f>IF(COUNTIFS('LANÇAMENTOS DIÁRIOS'!$G$5:$G$500,"D",'LANÇAMENTOS DIÁRIOS'!$C$5:$C$500,$A30,'LANÇAMENTOS DIÁRIOS'!$O$5:$O$500,"&lt;=100699",'LANÇAMENTOS DIÁRIOS'!$P$5:$P$500,"&gt;=100600")&gt;0,"X","")</f>
      </c>
      <c r="D30" s="56" t="str">
        <f>IF(COUNTIFS('LANÇAMENTOS DIÁRIOS'!$G$5:$G$500,"D",'LANÇAMENTOS DIÁRIOS'!$C$5:$C$500,$A30,'LANÇAMENTOS DIÁRIOS'!$O$5:$O$500,"&lt;=100799",'LANÇAMENTOS DIÁRIOS'!$P$5:$P$500,"&gt;=100700")&gt;0,"X","")</f>
      </c>
      <c r="E30" s="56" t="str">
        <f>IF(COUNTIFS('LANÇAMENTOS DIÁRIOS'!$G$5:$G$500,"D",'LANÇAMENTOS DIÁRIOS'!$C$5:$C$500,$A30,'LANÇAMENTOS DIÁRIOS'!$O$5:$O$500,"&lt;=100899",'LANÇAMENTOS DIÁRIOS'!$P$5:$P$500,"&gt;=100800")&gt;0,"X","")</f>
      </c>
      <c r="F30" s="56" t="str">
        <f>IF(COUNTIFS('LANÇAMENTOS DIÁRIOS'!$G$5:$G$500,"D",'LANÇAMENTOS DIÁRIOS'!$C$5:$C$500,$A30,'LANÇAMENTOS DIÁRIOS'!$O$5:$O$500,"&lt;=100999",'LANÇAMENTOS DIÁRIOS'!$P$5:$P$500,"&gt;=100900")&gt;0,"X","")</f>
      </c>
      <c r="G30" s="56" t="str">
        <f>IF(COUNTIFS('LANÇAMENTOS DIÁRIOS'!$G$5:$G$500,"D",'LANÇAMENTOS DIÁRIOS'!$C$5:$C$500,$A30,'LANÇAMENTOS DIÁRIOS'!$O$5:$O$500,"&lt;=101099",'LANÇAMENTOS DIÁRIOS'!$P$5:$P$500,"&gt;=101000")&gt;0,"X","")</f>
      </c>
      <c r="H30" s="56" t="str">
        <f>IF(COUNTIFS('LANÇAMENTOS DIÁRIOS'!$G$5:$G$500,"D",'LANÇAMENTOS DIÁRIOS'!$C$5:$C$500,$A30,'LANÇAMENTOS DIÁRIOS'!$O$5:$O$500,"&lt;=101199",'LANÇAMENTOS DIÁRIOS'!$P$5:$P$500,"&gt;=101100")&gt;0,"X","")</f>
      </c>
      <c r="I30" s="56" t="str">
        <f>IF(COUNTIFS('LANÇAMENTOS DIÁRIOS'!$G$5:$G$500,"D",'LANÇAMENTOS DIÁRIOS'!$C$5:$C$500,$A30,'LANÇAMENTOS DIÁRIOS'!$O$5:$O$500,"&lt;=101299",'LANÇAMENTOS DIÁRIOS'!$P$5:$P$500,"&gt;=101200")&gt;0,"X","")</f>
      </c>
      <c r="J30" s="56" t="str">
        <f>IF(COUNTIFS('LANÇAMENTOS DIÁRIOS'!$G$5:$G$500,"D",'LANÇAMENTOS DIÁRIOS'!$C$5:$C$500,$A30,'LANÇAMENTOS DIÁRIOS'!$O$5:$O$500,"&lt;=101399",'LANÇAMENTOS DIÁRIOS'!$P$5:$P$500,"&gt;=101300")&gt;0,"X","")</f>
      </c>
      <c r="K30" s="56" t="str">
        <f>IF(COUNTIFS('LANÇAMENTOS DIÁRIOS'!$G$5:$G$500,"D",'LANÇAMENTOS DIÁRIOS'!$C$5:$C$500,$A30,'LANÇAMENTOS DIÁRIOS'!$O$5:$O$500,"&lt;=101499",'LANÇAMENTOS DIÁRIOS'!$P$5:$P$500,"&gt;=101400")&gt;0,"X","")</f>
      </c>
      <c r="L30" s="56" t="str">
        <f>IF(COUNTIFS('LANÇAMENTOS DIÁRIOS'!$G$5:$G$500,"D",'LANÇAMENTOS DIÁRIOS'!$C$5:$C$500,$A30,'LANÇAMENTOS DIÁRIOS'!$O$5:$O$500,"&lt;=101599",'LANÇAMENTOS DIÁRIOS'!$P$5:$P$500,"&gt;=101500")&gt;0,"X","")</f>
      </c>
      <c r="M30" s="56" t="str">
        <f>IF(COUNTIFS('LANÇAMENTOS DIÁRIOS'!$G$5:$G$500,"D",'LANÇAMENTOS DIÁRIOS'!$C$5:$C$500,$A30,'LANÇAMENTOS DIÁRIOS'!$O$5:$O$500,"&lt;=101699",'LANÇAMENTOS DIÁRIOS'!$P$5:$P$500,"&gt;=101600")&gt;0,"X","")</f>
      </c>
      <c r="N30" s="56" t="str">
        <f>IF(COUNTIFS('LANÇAMENTOS DIÁRIOS'!$G$5:$G$500,"D",'LANÇAMENTOS DIÁRIOS'!$C$5:$C$500,$A30,'LANÇAMENTOS DIÁRIOS'!$O$5:$O$500,"&lt;=101799",'LANÇAMENTOS DIÁRIOS'!$P$5:$P$500,"&gt;=101700")&gt;0,"X","")</f>
      </c>
      <c r="O30" s="56" t="str">
        <f>IF(COUNTIFS('LANÇAMENTOS DIÁRIOS'!$G$5:$G$500,"D",'LANÇAMENTOS DIÁRIOS'!$C$5:$C$500,$A30,'LANÇAMENTOS DIÁRIOS'!$O$5:$O$500,"&lt;=101899",'LANÇAMENTOS DIÁRIOS'!$P$5:$P$500,"&gt;=101800")&gt;0,"X","")</f>
      </c>
      <c r="P30" s="56" t="str">
        <f>IF(COUNTIFS('LANÇAMENTOS DIÁRIOS'!$G$5:$G$500,"D",'LANÇAMENTOS DIÁRIOS'!$C$5:$C$500,$A30,'LANÇAMENTOS DIÁRIOS'!$O$5:$O$500,"&lt;=101999",'LANÇAMENTOS DIÁRIOS'!$P$5:$P$500,"&gt;=101900")&gt;0,"X","")</f>
      </c>
      <c r="Q30" s="56" t="str">
        <f>IF(COUNTIFS('LANÇAMENTOS DIÁRIOS'!$G$5:$G$500,"D",'LANÇAMENTOS DIÁRIOS'!$C$5:$C$500,$A30,'LANÇAMENTOS DIÁRIOS'!$O$5:$O$500,"&lt;=102099",'LANÇAMENTOS DIÁRIOS'!$P$5:$P$500,"&gt;=102000")&gt;0,"X","")</f>
      </c>
      <c r="R30" s="56" t="str">
        <f>IF(COUNTIFS('LANÇAMENTOS DIÁRIOS'!$G$5:$G$500,"D",'LANÇAMENTOS DIÁRIOS'!$C$5:$C$500,$A30,'LANÇAMENTOS DIÁRIOS'!$O$5:$O$500,"&lt;=102199",'LANÇAMENTOS DIÁRIOS'!$P$5:$P$500,"&gt;=102100")&gt;0,"X","")</f>
      </c>
      <c r="S30" s="56" t="str">
        <f>IF(COUNTIFS('LANÇAMENTOS DIÁRIOS'!$G$5:$G$500,"D",'LANÇAMENTOS DIÁRIOS'!$C$5:$C$500,$A30,'LANÇAMENTOS DIÁRIOS'!$O$5:$O$500,"&lt;=102299",'LANÇAMENTOS DIÁRIOS'!$P$5:$P$500,"&gt;=102200")&gt;0,"X","")</f>
      </c>
      <c r="T30" s="56" t="str">
        <f>IF(COUNTIFS('LANÇAMENTOS DIÁRIOS'!$G$5:$G$500,"D",'LANÇAMENTOS DIÁRIOS'!$C$5:$C$500,$A30,'LANÇAMENTOS DIÁRIOS'!$O$5:$O$500,"&lt;=102399",'LANÇAMENTOS DIÁRIOS'!$P$5:$P$500,"&gt;=102300")&gt;0,"X","")</f>
      </c>
      <c r="U30" s="56" t="str">
        <f>IF(COUNTIFS('LANÇAMENTOS DIÁRIOS'!$G$5:$G$500,"D",'LANÇAMENTOS DIÁRIOS'!$C$5:$C$500,$A30,'LANÇAMENTOS DIÁRIOS'!$O$5:$O$500,"&lt;=102499",'LANÇAMENTOS DIÁRIOS'!$P$5:$P$500,"&gt;=102400")&gt;0,"X","")</f>
      </c>
      <c r="V30" s="56" t="str">
        <f>IF(COUNTIFS('LANÇAMENTOS DIÁRIOS'!$G$5:$G$500,"D",'LANÇAMENTOS DIÁRIOS'!$C$5:$C$500,$A30,'LANÇAMENTOS DIÁRIOS'!$O$5:$O$500,"&lt;=102599",'LANÇAMENTOS DIÁRIOS'!$P$5:$P$500,"&gt;=102500")&gt;0,"X","")</f>
      </c>
      <c r="W30" s="56" t="str">
        <f>IF(COUNTIFS('LANÇAMENTOS DIÁRIOS'!$G$5:$G$500,"D",'LANÇAMENTOS DIÁRIOS'!$C$5:$C$500,$A30,'LANÇAMENTOS DIÁRIOS'!$O$5:$O$500,"&lt;=102699",'LANÇAMENTOS DIÁRIOS'!$P$5:$P$500,"&gt;=102600")&gt;0,"X","")</f>
      </c>
      <c r="X30" s="56" t="str">
        <f>IF(COUNTIFS('LANÇAMENTOS DIÁRIOS'!$G$5:$G$500,"D",'LANÇAMENTOS DIÁRIOS'!$C$5:$C$500,$A30,'LANÇAMENTOS DIÁRIOS'!$O$5:$O$500,"&lt;=102799",'LANÇAMENTOS DIÁRIOS'!$P$5:$P$500,"&gt;=102700")&gt;0,"X","")</f>
      </c>
      <c r="Y30" s="56" t="str">
        <f>IF(COUNTIFS('LANÇAMENTOS DIÁRIOS'!$G$5:$G$500,"D",'LANÇAMENTOS DIÁRIOS'!$C$5:$C$500,$A30,'LANÇAMENTOS DIÁRIOS'!$O$5:$O$500,"&lt;=102899",'LANÇAMENTOS DIÁRIOS'!$P$5:$P$500,"&gt;=102800")&gt;0,"X","")</f>
      </c>
      <c r="Z30" s="56" t="str">
        <f>IF(COUNTIFS('LANÇAMENTOS DIÁRIOS'!$G$5:$G$500,"D",'LANÇAMENTOS DIÁRIOS'!$C$5:$C$500,$A30,'LANÇAMENTOS DIÁRIOS'!$O$5:$O$500,"&lt;=102999",'LANÇAMENTOS DIÁRIOS'!$P$5:$P$500,"&gt;=102900")&gt;0,"X","")</f>
      </c>
      <c r="AA30" s="56" t="str">
        <f>IF(COUNTIFS('LANÇAMENTOS DIÁRIOS'!$G$5:$G$500,"D",'LANÇAMENTOS DIÁRIOS'!$C$5:$C$500,$A30,'LANÇAMENTOS DIÁRIOS'!$O$5:$O$500,"&lt;=103099",'LANÇAMENTOS DIÁRIOS'!$P$5:$P$500,"&gt;=103000")&gt;0,"X","")</f>
      </c>
      <c r="AB30" s="56" t="str">
        <f>IF(COUNTIFS('LANÇAMENTOS DIÁRIOS'!$G$5:$G$500,"D",'LANÇAMENTOS DIÁRIOS'!$C$5:$C$500,$A30,'LANÇAMENTOS DIÁRIOS'!$O$5:$O$500,"&lt;=103199",'LANÇAMENTOS DIÁRIOS'!$P$5:$P$500,"&gt;=103100")&gt;0,"X","")</f>
      </c>
      <c r="AC30" s="56" t="str">
        <f>IF(COUNTIFS('LANÇAMENTOS DIÁRIOS'!$G$5:$G$500,"D",'LANÇAMENTOS DIÁRIOS'!$C$5:$C$500,$A30,'LANÇAMENTOS DIÁRIOS'!$O$5:$O$500,"&lt;=103299",'LANÇAMENTOS DIÁRIOS'!$P$5:$P$500,"&gt;=103200")&gt;0,"X","")</f>
      </c>
      <c r="AD30" s="56" t="str">
        <f>IF(COUNTIFS('LANÇAMENTOS DIÁRIOS'!$G$5:$G$500,"D",'LANÇAMENTOS DIÁRIOS'!$C$5:$C$500,$A30,'LANÇAMENTOS DIÁRIOS'!$O$5:$O$500,"&lt;=103399",'LANÇAMENTOS DIÁRIOS'!$P$5:$P$500,"&gt;=103300")&gt;0,"X","")</f>
      </c>
      <c r="AE30" s="56" t="str">
        <f>IF(COUNTIFS('LANÇAMENTOS DIÁRIOS'!$G$5:$G$500,"D",'LANÇAMENTOS DIÁRIOS'!$C$5:$C$500,$A30,'LANÇAMENTOS DIÁRIOS'!$O$5:$O$500,"&lt;=103499",'LANÇAMENTOS DIÁRIOS'!$P$5:$P$500,"&gt;=103400")&gt;0,"X","")</f>
      </c>
      <c r="AF30" s="56" t="str">
        <f>IF(COUNTIFS('LANÇAMENTOS DIÁRIOS'!$G$5:$G$500,"D",'LANÇAMENTOS DIÁRIOS'!$C$5:$C$500,$A30,'LANÇAMENTOS DIÁRIOS'!$O$5:$O$500,"&lt;=103599",'LANÇAMENTOS DIÁRIOS'!$P$5:$P$500,"&gt;=103500")&gt;0,"X","")</f>
      </c>
      <c r="AG30" s="56" t="str">
        <f>IF(COUNTIFS('LANÇAMENTOS DIÁRIOS'!$G$5:$G$500,"D",'LANÇAMENTOS DIÁRIOS'!$C$5:$C$500,$A30,'LANÇAMENTOS DIÁRIOS'!$O$5:$O$500,"&lt;=103699",'LANÇAMENTOS DIÁRIOS'!$P$5:$P$500,"&gt;=103600")&gt;0,"X","")</f>
      </c>
      <c r="AH30" s="56" t="str">
        <f>IF(COUNTIFS('LANÇAMENTOS DIÁRIOS'!$G$5:$G$500,"D",'LANÇAMENTOS DIÁRIOS'!$C$5:$C$500,$A30,'LANÇAMENTOS DIÁRIOS'!$O$5:$O$500,"&lt;=103799",'LANÇAMENTOS DIÁRIOS'!$P$5:$P$500,"&gt;=103700")&gt;0,"X","")</f>
      </c>
      <c r="AI30" s="56" t="str">
        <f>IF(COUNTIFS('LANÇAMENTOS DIÁRIOS'!$G$5:$G$500,"D",'LANÇAMENTOS DIÁRIOS'!$C$5:$C$500,$A30,'LANÇAMENTOS DIÁRIOS'!$O$5:$O$500,"&lt;=103899",'LANÇAMENTOS DIÁRIOS'!$P$5:$P$500,"&gt;=103800")&gt;0,"X","")</f>
      </c>
      <c r="AJ30" s="56" t="str">
        <f>IF(COUNTIFS('LANÇAMENTOS DIÁRIOS'!$G$5:$G$500,"D",'LANÇAMENTOS DIÁRIOS'!$C$5:$C$500,$A30,'LANÇAMENTOS DIÁRIOS'!$O$5:$O$500,"&lt;=103999",'LANÇAMENTOS DIÁRIOS'!$P$5:$P$500,"&gt;=103900")&gt;0,"X","")</f>
      </c>
      <c r="AK30" s="56" t="str">
        <f>IF(COUNTIFS('LANÇAMENTOS DIÁRIOS'!$G$5:$G$500,"D",'LANÇAMENTOS DIÁRIOS'!$C$5:$C$500,$A30,'LANÇAMENTOS DIÁRIOS'!$O$5:$O$500,"&lt;=104099",'LANÇAMENTOS DIÁRIOS'!$P$5:$P$500,"&gt;=104000")&gt;0,"X","")</f>
      </c>
      <c r="AL30" s="56" t="str">
        <f>IF(COUNTIFS('LANÇAMENTOS DIÁRIOS'!$G$5:$G$500,"D",'LANÇAMENTOS DIÁRIOS'!$C$5:$C$500,$A30,'LANÇAMENTOS DIÁRIOS'!$O$5:$O$500,"&lt;=104199",'LANÇAMENTOS DIÁRIOS'!$P$5:$P$500,"&gt;=104100")&gt;0,"X","")</f>
      </c>
      <c r="AM30" s="56" t="str">
        <f>IF(COUNTIFS('LANÇAMENTOS DIÁRIOS'!$G$5:$G$500,"D",'LANÇAMENTOS DIÁRIOS'!$C$5:$C$500,$A30,'LANÇAMENTOS DIÁRIOS'!$O$5:$O$500,"&lt;=104299",'LANÇAMENTOS DIÁRIOS'!$P$5:$P$500,"&gt;=104200")&gt;0,"X","")</f>
      </c>
      <c r="AN30" s="56" t="str">
        <f>IF(COUNTIFS('LANÇAMENTOS DIÁRIOS'!$G$5:$G$500,"D",'LANÇAMENTOS DIÁRIOS'!$C$5:$C$500,$A30,'LANÇAMENTOS DIÁRIOS'!$O$5:$O$500,"&lt;=104399",'LANÇAMENTOS DIÁRIOS'!$P$5:$P$500,"&gt;=104300")&gt;0,"X","")</f>
      </c>
      <c r="AO30" s="56" t="str">
        <f>IF(COUNTIFS('LANÇAMENTOS DIÁRIOS'!$G$5:$G$500,"D",'LANÇAMENTOS DIÁRIOS'!$C$5:$C$500,$A30,'LANÇAMENTOS DIÁRIOS'!$O$5:$O$500,"&lt;=104499",'LANÇAMENTOS DIÁRIOS'!$P$5:$P$500,"&gt;=104400")&gt;0,"X","")</f>
      </c>
      <c r="AP30" s="56" t="str">
        <f>IF(COUNTIFS('LANÇAMENTOS DIÁRIOS'!$G$5:$G$500,"D",'LANÇAMENTOS DIÁRIOS'!$C$5:$C$500,$A30,'LANÇAMENTOS DIÁRIOS'!$O$5:$O$500,"&lt;=104599",'LANÇAMENTOS DIÁRIOS'!$P$5:$P$500,"&gt;=104500")&gt;0,"X","")</f>
      </c>
      <c r="AQ30" s="56" t="str">
        <f>IF(COUNTIFS('LANÇAMENTOS DIÁRIOS'!$G$5:$G$500,"D",'LANÇAMENTOS DIÁRIOS'!$C$5:$C$500,$A30,'LANÇAMENTOS DIÁRIOS'!$O$5:$O$500,"&lt;=104699",'LANÇAMENTOS DIÁRIOS'!$P$5:$P$500,"&gt;=104600")&gt;0,"X","")</f>
      </c>
      <c r="AR30" s="56" t="str">
        <f>IF(COUNTIFS('LANÇAMENTOS DIÁRIOS'!$G$5:$G$500,"D",'LANÇAMENTOS DIÁRIOS'!$C$5:$C$500,$A30,'LANÇAMENTOS DIÁRIOS'!$O$5:$O$500,"&lt;=104799",'LANÇAMENTOS DIÁRIOS'!$P$5:$P$500,"&gt;=104700")&gt;0,"X","")</f>
      </c>
      <c r="AS30" s="56" t="str">
        <f>IF(COUNTIFS('LANÇAMENTOS DIÁRIOS'!$G$5:$G$500,"D",'LANÇAMENTOS DIÁRIOS'!$C$5:$C$500,$A30,'LANÇAMENTOS DIÁRIOS'!$O$5:$O$500,"&lt;=104899",'LANÇAMENTOS DIÁRIOS'!$P$5:$P$500,"&gt;=104800")&gt;0,"X","")</f>
      </c>
      <c r="AT30" s="56" t="str">
        <f>IF(COUNTIFS('LANÇAMENTOS DIÁRIOS'!$G$5:$G$500,"D",'LANÇAMENTOS DIÁRIOS'!$C$5:$C$500,$A30,'LANÇAMENTOS DIÁRIOS'!$O$5:$O$500,"&lt;=104999",'LANÇAMENTOS DIÁRIOS'!$P$5:$P$500,"&gt;=104900")&gt;0,"X","")</f>
      </c>
      <c r="AU30" s="56" t="str">
        <f>IF(COUNTIFS('LANÇAMENTOS DIÁRIOS'!$G$5:$G$500,"D",'LANÇAMENTOS DIÁRIOS'!$C$5:$C$500,$A30,'LANÇAMENTOS DIÁRIOS'!$O$5:$O$500,"&lt;=105099",'LANÇAMENTOS DIÁRIOS'!$P$5:$P$500,"&gt;=105000")&gt;0,"X","")</f>
      </c>
      <c r="AV30" s="56" t="str">
        <f>IF(COUNTIFS('LANÇAMENTOS DIÁRIOS'!$G$5:$G$500,"D",'LANÇAMENTOS DIÁRIOS'!$C$5:$C$500,$A30,'LANÇAMENTOS DIÁRIOS'!$O$5:$O$500,"&lt;=105199",'LANÇAMENTOS DIÁRIOS'!$P$5:$P$500,"&gt;=105100")&gt;0,"X","")</f>
      </c>
      <c r="AW30" s="56" t="str">
        <f>IF(COUNTIFS('LANÇAMENTOS DIÁRIOS'!$G$5:$G$500,"D",'LANÇAMENTOS DIÁRIOS'!$C$5:$C$500,$A30,'LANÇAMENTOS DIÁRIOS'!$O$5:$O$500,"&lt;=105299",'LANÇAMENTOS DIÁRIOS'!$P$5:$P$500,"&gt;=105200")&gt;0,"X","")</f>
      </c>
      <c r="AX30" s="56" t="str">
        <f>IF(COUNTIFS('LANÇAMENTOS DIÁRIOS'!$G$5:$G$500,"D",'LANÇAMENTOS DIÁRIOS'!$C$5:$C$500,$A30,'LANÇAMENTOS DIÁRIOS'!$O$5:$O$500,"&lt;=105399",'LANÇAMENTOS DIÁRIOS'!$P$5:$P$500,"&gt;=105300")&gt;0,"X","")</f>
      </c>
      <c r="AY30" s="56" t="str">
        <f>IF(COUNTIFS('LANÇAMENTOS DIÁRIOS'!$G$5:$G$500,"D",'LANÇAMENTOS DIÁRIOS'!$C$5:$C$500,$A30,'LANÇAMENTOS DIÁRIOS'!$O$5:$O$500,"&lt;=105499",'LANÇAMENTOS DIÁRIOS'!$P$5:$P$500,"&gt;=105400")&gt;0,"X","")</f>
      </c>
      <c r="AZ30" s="56" t="str">
        <f>IF(COUNTIFS('LANÇAMENTOS DIÁRIOS'!$G$5:$G$500,"D",'LANÇAMENTOS DIÁRIOS'!$C$5:$C$500,$A30,'LANÇAMENTOS DIÁRIOS'!$O$5:$O$500,"&lt;=105500",'LANÇAMENTOS DIÁRIOS'!$P$5:$P$500,"&gt;=105500")&gt;0,"X","")</f>
      </c>
    </row>
    <row r="31">
      <c r="A31" s="51" t="str">
        <v>Derrubada e destocamento.arv. c/ diâmetro 30&lt;&gt;40cm, com limpeza da área</v>
      </c>
      <c r="B31" s="56" t="str">
        <f>IF(COUNTIFS('LANÇAMENTOS DIÁRIOS'!$G$5:$G$500,"D",'LANÇAMENTOS DIÁRIOS'!$C$5:$C$500,$A31,'LANÇAMENTOS DIÁRIOS'!$O$5:$O$500,"&lt;=100599",'LANÇAMENTOS DIÁRIOS'!$P$5:$P$500,"&gt;=100500")&gt;0,"X","")</f>
      </c>
      <c r="C31" s="56" t="str">
        <f>IF(COUNTIFS('LANÇAMENTOS DIÁRIOS'!$G$5:$G$500,"D",'LANÇAMENTOS DIÁRIOS'!$C$5:$C$500,$A31,'LANÇAMENTOS DIÁRIOS'!$O$5:$O$500,"&lt;=100699",'LANÇAMENTOS DIÁRIOS'!$P$5:$P$500,"&gt;=100600")&gt;0,"X","")</f>
      </c>
      <c r="D31" s="56" t="str">
        <f>IF(COUNTIFS('LANÇAMENTOS DIÁRIOS'!$G$5:$G$500,"D",'LANÇAMENTOS DIÁRIOS'!$C$5:$C$500,$A31,'LANÇAMENTOS DIÁRIOS'!$O$5:$O$500,"&lt;=100799",'LANÇAMENTOS DIÁRIOS'!$P$5:$P$500,"&gt;=100700")&gt;0,"X","")</f>
      </c>
      <c r="E31" s="56" t="str">
        <f>IF(COUNTIFS('LANÇAMENTOS DIÁRIOS'!$G$5:$G$500,"D",'LANÇAMENTOS DIÁRIOS'!$C$5:$C$500,$A31,'LANÇAMENTOS DIÁRIOS'!$O$5:$O$500,"&lt;=100899",'LANÇAMENTOS DIÁRIOS'!$P$5:$P$500,"&gt;=100800")&gt;0,"X","")</f>
      </c>
      <c r="F31" s="56" t="str">
        <f>IF(COUNTIFS('LANÇAMENTOS DIÁRIOS'!$G$5:$G$500,"D",'LANÇAMENTOS DIÁRIOS'!$C$5:$C$500,$A31,'LANÇAMENTOS DIÁRIOS'!$O$5:$O$500,"&lt;=100999",'LANÇAMENTOS DIÁRIOS'!$P$5:$P$500,"&gt;=100900")&gt;0,"X","")</f>
      </c>
      <c r="G31" s="56" t="str">
        <f>IF(COUNTIFS('LANÇAMENTOS DIÁRIOS'!$G$5:$G$500,"D",'LANÇAMENTOS DIÁRIOS'!$C$5:$C$500,$A31,'LANÇAMENTOS DIÁRIOS'!$O$5:$O$500,"&lt;=101099",'LANÇAMENTOS DIÁRIOS'!$P$5:$P$500,"&gt;=101000")&gt;0,"X","")</f>
      </c>
      <c r="H31" s="56" t="str">
        <f>IF(COUNTIFS('LANÇAMENTOS DIÁRIOS'!$G$5:$G$500,"D",'LANÇAMENTOS DIÁRIOS'!$C$5:$C$500,$A31,'LANÇAMENTOS DIÁRIOS'!$O$5:$O$500,"&lt;=101199",'LANÇAMENTOS DIÁRIOS'!$P$5:$P$500,"&gt;=101100")&gt;0,"X","")</f>
      </c>
      <c r="I31" s="56" t="str">
        <f>IF(COUNTIFS('LANÇAMENTOS DIÁRIOS'!$G$5:$G$500,"D",'LANÇAMENTOS DIÁRIOS'!$C$5:$C$500,$A31,'LANÇAMENTOS DIÁRIOS'!$O$5:$O$500,"&lt;=101299",'LANÇAMENTOS DIÁRIOS'!$P$5:$P$500,"&gt;=101200")&gt;0,"X","")</f>
      </c>
      <c r="J31" s="56" t="str">
        <f>IF(COUNTIFS('LANÇAMENTOS DIÁRIOS'!$G$5:$G$500,"D",'LANÇAMENTOS DIÁRIOS'!$C$5:$C$500,$A31,'LANÇAMENTOS DIÁRIOS'!$O$5:$O$500,"&lt;=101399",'LANÇAMENTOS DIÁRIOS'!$P$5:$P$500,"&gt;=101300")&gt;0,"X","")</f>
      </c>
      <c r="K31" s="56" t="str">
        <f>IF(COUNTIFS('LANÇAMENTOS DIÁRIOS'!$G$5:$G$500,"D",'LANÇAMENTOS DIÁRIOS'!$C$5:$C$500,$A31,'LANÇAMENTOS DIÁRIOS'!$O$5:$O$500,"&lt;=101499",'LANÇAMENTOS DIÁRIOS'!$P$5:$P$500,"&gt;=101400")&gt;0,"X","")</f>
      </c>
      <c r="L31" s="56" t="str">
        <f>IF(COUNTIFS('LANÇAMENTOS DIÁRIOS'!$G$5:$G$500,"D",'LANÇAMENTOS DIÁRIOS'!$C$5:$C$500,$A31,'LANÇAMENTOS DIÁRIOS'!$O$5:$O$500,"&lt;=101599",'LANÇAMENTOS DIÁRIOS'!$P$5:$P$500,"&gt;=101500")&gt;0,"X","")</f>
      </c>
      <c r="M31" s="56" t="str">
        <f>IF(COUNTIFS('LANÇAMENTOS DIÁRIOS'!$G$5:$G$500,"D",'LANÇAMENTOS DIÁRIOS'!$C$5:$C$500,$A31,'LANÇAMENTOS DIÁRIOS'!$O$5:$O$500,"&lt;=101699",'LANÇAMENTOS DIÁRIOS'!$P$5:$P$500,"&gt;=101600")&gt;0,"X","")</f>
      </c>
      <c r="N31" s="56" t="str">
        <f>IF(COUNTIFS('LANÇAMENTOS DIÁRIOS'!$G$5:$G$500,"D",'LANÇAMENTOS DIÁRIOS'!$C$5:$C$500,$A31,'LANÇAMENTOS DIÁRIOS'!$O$5:$O$500,"&lt;=101799",'LANÇAMENTOS DIÁRIOS'!$P$5:$P$500,"&gt;=101700")&gt;0,"X","")</f>
      </c>
      <c r="O31" s="56" t="str">
        <f>IF(COUNTIFS('LANÇAMENTOS DIÁRIOS'!$G$5:$G$500,"D",'LANÇAMENTOS DIÁRIOS'!$C$5:$C$500,$A31,'LANÇAMENTOS DIÁRIOS'!$O$5:$O$500,"&lt;=101899",'LANÇAMENTOS DIÁRIOS'!$P$5:$P$500,"&gt;=101800")&gt;0,"X","")</f>
      </c>
      <c r="P31" s="56" t="str">
        <f>IF(COUNTIFS('LANÇAMENTOS DIÁRIOS'!$G$5:$G$500,"D",'LANÇAMENTOS DIÁRIOS'!$C$5:$C$500,$A31,'LANÇAMENTOS DIÁRIOS'!$O$5:$O$500,"&lt;=101999",'LANÇAMENTOS DIÁRIOS'!$P$5:$P$500,"&gt;=101900")&gt;0,"X","")</f>
      </c>
      <c r="Q31" s="56" t="str">
        <f>IF(COUNTIFS('LANÇAMENTOS DIÁRIOS'!$G$5:$G$500,"D",'LANÇAMENTOS DIÁRIOS'!$C$5:$C$500,$A31,'LANÇAMENTOS DIÁRIOS'!$O$5:$O$500,"&lt;=102099",'LANÇAMENTOS DIÁRIOS'!$P$5:$P$500,"&gt;=102000")&gt;0,"X","")</f>
      </c>
      <c r="R31" s="56" t="str">
        <f>IF(COUNTIFS('LANÇAMENTOS DIÁRIOS'!$G$5:$G$500,"D",'LANÇAMENTOS DIÁRIOS'!$C$5:$C$500,$A31,'LANÇAMENTOS DIÁRIOS'!$O$5:$O$500,"&lt;=102199",'LANÇAMENTOS DIÁRIOS'!$P$5:$P$500,"&gt;=102100")&gt;0,"X","")</f>
      </c>
      <c r="S31" s="56" t="str">
        <f>IF(COUNTIFS('LANÇAMENTOS DIÁRIOS'!$G$5:$G$500,"D",'LANÇAMENTOS DIÁRIOS'!$C$5:$C$500,$A31,'LANÇAMENTOS DIÁRIOS'!$O$5:$O$500,"&lt;=102299",'LANÇAMENTOS DIÁRIOS'!$P$5:$P$500,"&gt;=102200")&gt;0,"X","")</f>
      </c>
      <c r="T31" s="56" t="str">
        <f>IF(COUNTIFS('LANÇAMENTOS DIÁRIOS'!$G$5:$G$500,"D",'LANÇAMENTOS DIÁRIOS'!$C$5:$C$500,$A31,'LANÇAMENTOS DIÁRIOS'!$O$5:$O$500,"&lt;=102399",'LANÇAMENTOS DIÁRIOS'!$P$5:$P$500,"&gt;=102300")&gt;0,"X","")</f>
      </c>
      <c r="U31" s="56" t="str">
        <f>IF(COUNTIFS('LANÇAMENTOS DIÁRIOS'!$G$5:$G$500,"D",'LANÇAMENTOS DIÁRIOS'!$C$5:$C$500,$A31,'LANÇAMENTOS DIÁRIOS'!$O$5:$O$500,"&lt;=102499",'LANÇAMENTOS DIÁRIOS'!$P$5:$P$500,"&gt;=102400")&gt;0,"X","")</f>
      </c>
      <c r="V31" s="56" t="str">
        <f>IF(COUNTIFS('LANÇAMENTOS DIÁRIOS'!$G$5:$G$500,"D",'LANÇAMENTOS DIÁRIOS'!$C$5:$C$500,$A31,'LANÇAMENTOS DIÁRIOS'!$O$5:$O$500,"&lt;=102599",'LANÇAMENTOS DIÁRIOS'!$P$5:$P$500,"&gt;=102500")&gt;0,"X","")</f>
      </c>
      <c r="W31" s="56" t="str">
        <f>IF(COUNTIFS('LANÇAMENTOS DIÁRIOS'!$G$5:$G$500,"D",'LANÇAMENTOS DIÁRIOS'!$C$5:$C$500,$A31,'LANÇAMENTOS DIÁRIOS'!$O$5:$O$500,"&lt;=102699",'LANÇAMENTOS DIÁRIOS'!$P$5:$P$500,"&gt;=102600")&gt;0,"X","")</f>
      </c>
      <c r="X31" s="56" t="str">
        <f>IF(COUNTIFS('LANÇAMENTOS DIÁRIOS'!$G$5:$G$500,"D",'LANÇAMENTOS DIÁRIOS'!$C$5:$C$500,$A31,'LANÇAMENTOS DIÁRIOS'!$O$5:$O$500,"&lt;=102799",'LANÇAMENTOS DIÁRIOS'!$P$5:$P$500,"&gt;=102700")&gt;0,"X","")</f>
      </c>
      <c r="Y31" s="56" t="str">
        <f>IF(COUNTIFS('LANÇAMENTOS DIÁRIOS'!$G$5:$G$500,"D",'LANÇAMENTOS DIÁRIOS'!$C$5:$C$500,$A31,'LANÇAMENTOS DIÁRIOS'!$O$5:$O$500,"&lt;=102899",'LANÇAMENTOS DIÁRIOS'!$P$5:$P$500,"&gt;=102800")&gt;0,"X","")</f>
      </c>
      <c r="Z31" s="56" t="str">
        <f>IF(COUNTIFS('LANÇAMENTOS DIÁRIOS'!$G$5:$G$500,"D",'LANÇAMENTOS DIÁRIOS'!$C$5:$C$500,$A31,'LANÇAMENTOS DIÁRIOS'!$O$5:$O$500,"&lt;=102999",'LANÇAMENTOS DIÁRIOS'!$P$5:$P$500,"&gt;=102900")&gt;0,"X","")</f>
      </c>
      <c r="AA31" s="56" t="str">
        <f>IF(COUNTIFS('LANÇAMENTOS DIÁRIOS'!$G$5:$G$500,"D",'LANÇAMENTOS DIÁRIOS'!$C$5:$C$500,$A31,'LANÇAMENTOS DIÁRIOS'!$O$5:$O$500,"&lt;=103099",'LANÇAMENTOS DIÁRIOS'!$P$5:$P$500,"&gt;=103000")&gt;0,"X","")</f>
      </c>
      <c r="AB31" s="56" t="str">
        <f>IF(COUNTIFS('LANÇAMENTOS DIÁRIOS'!$G$5:$G$500,"D",'LANÇAMENTOS DIÁRIOS'!$C$5:$C$500,$A31,'LANÇAMENTOS DIÁRIOS'!$O$5:$O$500,"&lt;=103199",'LANÇAMENTOS DIÁRIOS'!$P$5:$P$500,"&gt;=103100")&gt;0,"X","")</f>
      </c>
      <c r="AC31" s="56" t="str">
        <f>IF(COUNTIFS('LANÇAMENTOS DIÁRIOS'!$G$5:$G$500,"D",'LANÇAMENTOS DIÁRIOS'!$C$5:$C$500,$A31,'LANÇAMENTOS DIÁRIOS'!$O$5:$O$500,"&lt;=103299",'LANÇAMENTOS DIÁRIOS'!$P$5:$P$500,"&gt;=103200")&gt;0,"X","")</f>
      </c>
      <c r="AD31" s="56" t="str">
        <f>IF(COUNTIFS('LANÇAMENTOS DIÁRIOS'!$G$5:$G$500,"D",'LANÇAMENTOS DIÁRIOS'!$C$5:$C$500,$A31,'LANÇAMENTOS DIÁRIOS'!$O$5:$O$500,"&lt;=103399",'LANÇAMENTOS DIÁRIOS'!$P$5:$P$500,"&gt;=103300")&gt;0,"X","")</f>
      </c>
      <c r="AE31" s="56" t="str">
        <f>IF(COUNTIFS('LANÇAMENTOS DIÁRIOS'!$G$5:$G$500,"D",'LANÇAMENTOS DIÁRIOS'!$C$5:$C$500,$A31,'LANÇAMENTOS DIÁRIOS'!$O$5:$O$500,"&lt;=103499",'LANÇAMENTOS DIÁRIOS'!$P$5:$P$500,"&gt;=103400")&gt;0,"X","")</f>
      </c>
      <c r="AF31" s="56" t="str">
        <f>IF(COUNTIFS('LANÇAMENTOS DIÁRIOS'!$G$5:$G$500,"D",'LANÇAMENTOS DIÁRIOS'!$C$5:$C$500,$A31,'LANÇAMENTOS DIÁRIOS'!$O$5:$O$500,"&lt;=103599",'LANÇAMENTOS DIÁRIOS'!$P$5:$P$500,"&gt;=103500")&gt;0,"X","")</f>
      </c>
      <c r="AG31" s="56" t="str">
        <f>IF(COUNTIFS('LANÇAMENTOS DIÁRIOS'!$G$5:$G$500,"D",'LANÇAMENTOS DIÁRIOS'!$C$5:$C$500,$A31,'LANÇAMENTOS DIÁRIOS'!$O$5:$O$500,"&lt;=103699",'LANÇAMENTOS DIÁRIOS'!$P$5:$P$500,"&gt;=103600")&gt;0,"X","")</f>
      </c>
      <c r="AH31" s="56" t="str">
        <f>IF(COUNTIFS('LANÇAMENTOS DIÁRIOS'!$G$5:$G$500,"D",'LANÇAMENTOS DIÁRIOS'!$C$5:$C$500,$A31,'LANÇAMENTOS DIÁRIOS'!$O$5:$O$500,"&lt;=103799",'LANÇAMENTOS DIÁRIOS'!$P$5:$P$500,"&gt;=103700")&gt;0,"X","")</f>
      </c>
      <c r="AI31" s="56" t="str">
        <f>IF(COUNTIFS('LANÇAMENTOS DIÁRIOS'!$G$5:$G$500,"D",'LANÇAMENTOS DIÁRIOS'!$C$5:$C$500,$A31,'LANÇAMENTOS DIÁRIOS'!$O$5:$O$500,"&lt;=103899",'LANÇAMENTOS DIÁRIOS'!$P$5:$P$500,"&gt;=103800")&gt;0,"X","")</f>
      </c>
      <c r="AJ31" s="56" t="str">
        <f>IF(COUNTIFS('LANÇAMENTOS DIÁRIOS'!$G$5:$G$500,"D",'LANÇAMENTOS DIÁRIOS'!$C$5:$C$500,$A31,'LANÇAMENTOS DIÁRIOS'!$O$5:$O$500,"&lt;=103999",'LANÇAMENTOS DIÁRIOS'!$P$5:$P$500,"&gt;=103900")&gt;0,"X","")</f>
      </c>
      <c r="AK31" s="56" t="str">
        <f>IF(COUNTIFS('LANÇAMENTOS DIÁRIOS'!$G$5:$G$500,"D",'LANÇAMENTOS DIÁRIOS'!$C$5:$C$500,$A31,'LANÇAMENTOS DIÁRIOS'!$O$5:$O$500,"&lt;=104099",'LANÇAMENTOS DIÁRIOS'!$P$5:$P$500,"&gt;=104000")&gt;0,"X","")</f>
      </c>
      <c r="AL31" s="56" t="str">
        <f>IF(COUNTIFS('LANÇAMENTOS DIÁRIOS'!$G$5:$G$500,"D",'LANÇAMENTOS DIÁRIOS'!$C$5:$C$500,$A31,'LANÇAMENTOS DIÁRIOS'!$O$5:$O$500,"&lt;=104199",'LANÇAMENTOS DIÁRIOS'!$P$5:$P$500,"&gt;=104100")&gt;0,"X","")</f>
      </c>
      <c r="AM31" s="56" t="str">
        <f>IF(COUNTIFS('LANÇAMENTOS DIÁRIOS'!$G$5:$G$500,"D",'LANÇAMENTOS DIÁRIOS'!$C$5:$C$500,$A31,'LANÇAMENTOS DIÁRIOS'!$O$5:$O$500,"&lt;=104299",'LANÇAMENTOS DIÁRIOS'!$P$5:$P$500,"&gt;=104200")&gt;0,"X","")</f>
      </c>
      <c r="AN31" s="56" t="str">
        <f>IF(COUNTIFS('LANÇAMENTOS DIÁRIOS'!$G$5:$G$500,"D",'LANÇAMENTOS DIÁRIOS'!$C$5:$C$500,$A31,'LANÇAMENTOS DIÁRIOS'!$O$5:$O$500,"&lt;=104399",'LANÇAMENTOS DIÁRIOS'!$P$5:$P$500,"&gt;=104300")&gt;0,"X","")</f>
      </c>
      <c r="AO31" s="56" t="str">
        <f>IF(COUNTIFS('LANÇAMENTOS DIÁRIOS'!$G$5:$G$500,"D",'LANÇAMENTOS DIÁRIOS'!$C$5:$C$500,$A31,'LANÇAMENTOS DIÁRIOS'!$O$5:$O$500,"&lt;=104499",'LANÇAMENTOS DIÁRIOS'!$P$5:$P$500,"&gt;=104400")&gt;0,"X","")</f>
      </c>
      <c r="AP31" s="56" t="str">
        <f>IF(COUNTIFS('LANÇAMENTOS DIÁRIOS'!$G$5:$G$500,"D",'LANÇAMENTOS DIÁRIOS'!$C$5:$C$500,$A31,'LANÇAMENTOS DIÁRIOS'!$O$5:$O$500,"&lt;=104599",'LANÇAMENTOS DIÁRIOS'!$P$5:$P$500,"&gt;=104500")&gt;0,"X","")</f>
      </c>
      <c r="AQ31" s="56" t="str">
        <f>IF(COUNTIFS('LANÇAMENTOS DIÁRIOS'!$G$5:$G$500,"D",'LANÇAMENTOS DIÁRIOS'!$C$5:$C$500,$A31,'LANÇAMENTOS DIÁRIOS'!$O$5:$O$500,"&lt;=104699",'LANÇAMENTOS DIÁRIOS'!$P$5:$P$500,"&gt;=104600")&gt;0,"X","")</f>
      </c>
      <c r="AR31" s="56" t="str">
        <f>IF(COUNTIFS('LANÇAMENTOS DIÁRIOS'!$G$5:$G$500,"D",'LANÇAMENTOS DIÁRIOS'!$C$5:$C$500,$A31,'LANÇAMENTOS DIÁRIOS'!$O$5:$O$500,"&lt;=104799",'LANÇAMENTOS DIÁRIOS'!$P$5:$P$500,"&gt;=104700")&gt;0,"X","")</f>
      </c>
      <c r="AS31" s="56" t="str">
        <f>IF(COUNTIFS('LANÇAMENTOS DIÁRIOS'!$G$5:$G$500,"D",'LANÇAMENTOS DIÁRIOS'!$C$5:$C$500,$A31,'LANÇAMENTOS DIÁRIOS'!$O$5:$O$500,"&lt;=104899",'LANÇAMENTOS DIÁRIOS'!$P$5:$P$500,"&gt;=104800")&gt;0,"X","")</f>
      </c>
      <c r="AT31" s="56" t="str">
        <f>IF(COUNTIFS('LANÇAMENTOS DIÁRIOS'!$G$5:$G$500,"D",'LANÇAMENTOS DIÁRIOS'!$C$5:$C$500,$A31,'LANÇAMENTOS DIÁRIOS'!$O$5:$O$500,"&lt;=104999",'LANÇAMENTOS DIÁRIOS'!$P$5:$P$500,"&gt;=104900")&gt;0,"X","")</f>
      </c>
      <c r="AU31" s="56" t="str">
        <f>IF(COUNTIFS('LANÇAMENTOS DIÁRIOS'!$G$5:$G$500,"D",'LANÇAMENTOS DIÁRIOS'!$C$5:$C$500,$A31,'LANÇAMENTOS DIÁRIOS'!$O$5:$O$500,"&lt;=105099",'LANÇAMENTOS DIÁRIOS'!$P$5:$P$500,"&gt;=105000")&gt;0,"X","")</f>
      </c>
      <c r="AV31" s="56" t="str">
        <f>IF(COUNTIFS('LANÇAMENTOS DIÁRIOS'!$G$5:$G$500,"D",'LANÇAMENTOS DIÁRIOS'!$C$5:$C$500,$A31,'LANÇAMENTOS DIÁRIOS'!$O$5:$O$500,"&lt;=105199",'LANÇAMENTOS DIÁRIOS'!$P$5:$P$500,"&gt;=105100")&gt;0,"X","")</f>
      </c>
      <c r="AW31" s="56" t="str">
        <f>IF(COUNTIFS('LANÇAMENTOS DIÁRIOS'!$G$5:$G$500,"D",'LANÇAMENTOS DIÁRIOS'!$C$5:$C$500,$A31,'LANÇAMENTOS DIÁRIOS'!$O$5:$O$500,"&lt;=105299",'LANÇAMENTOS DIÁRIOS'!$P$5:$P$500,"&gt;=105200")&gt;0,"X","")</f>
      </c>
      <c r="AX31" s="56" t="str">
        <f>IF(COUNTIFS('LANÇAMENTOS DIÁRIOS'!$G$5:$G$500,"D",'LANÇAMENTOS DIÁRIOS'!$C$5:$C$500,$A31,'LANÇAMENTOS DIÁRIOS'!$O$5:$O$500,"&lt;=105399",'LANÇAMENTOS DIÁRIOS'!$P$5:$P$500,"&gt;=105300")&gt;0,"X","")</f>
      </c>
      <c r="AY31" s="56" t="str">
        <f>IF(COUNTIFS('LANÇAMENTOS DIÁRIOS'!$G$5:$G$500,"D",'LANÇAMENTOS DIÁRIOS'!$C$5:$C$500,$A31,'LANÇAMENTOS DIÁRIOS'!$O$5:$O$500,"&lt;=105499",'LANÇAMENTOS DIÁRIOS'!$P$5:$P$500,"&gt;=105400")&gt;0,"X","")</f>
      </c>
      <c r="AZ31" s="56" t="str">
        <f>IF(COUNTIFS('LANÇAMENTOS DIÁRIOS'!$G$5:$G$500,"D",'LANÇAMENTOS DIÁRIOS'!$C$5:$C$500,$A31,'LANÇAMENTOS DIÁRIOS'!$O$5:$O$500,"&lt;=105500",'LANÇAMENTOS DIÁRIOS'!$P$5:$P$500,"&gt;=105500")&gt;0,"X","")</f>
      </c>
    </row>
    <row r="32">
      <c r="A32" s="51" t="str">
        <v>Derrubada e destocamento.arv. c/ diâmetro 40&lt;&gt;50cm, com limpeza da área</v>
      </c>
      <c r="B32" s="56" t="str">
        <f>IF(COUNTIFS('LANÇAMENTOS DIÁRIOS'!$G$5:$G$500,"D",'LANÇAMENTOS DIÁRIOS'!$C$5:$C$500,$A32,'LANÇAMENTOS DIÁRIOS'!$O$5:$O$500,"&lt;=100599",'LANÇAMENTOS DIÁRIOS'!$P$5:$P$500,"&gt;=100500")&gt;0,"X","")</f>
      </c>
      <c r="C32" s="56" t="str">
        <f>IF(COUNTIFS('LANÇAMENTOS DIÁRIOS'!$G$5:$G$500,"D",'LANÇAMENTOS DIÁRIOS'!$C$5:$C$500,$A32,'LANÇAMENTOS DIÁRIOS'!$O$5:$O$500,"&lt;=100699",'LANÇAMENTOS DIÁRIOS'!$P$5:$P$500,"&gt;=100600")&gt;0,"X","")</f>
      </c>
      <c r="D32" s="56" t="str">
        <f>IF(COUNTIFS('LANÇAMENTOS DIÁRIOS'!$G$5:$G$500,"D",'LANÇAMENTOS DIÁRIOS'!$C$5:$C$500,$A32,'LANÇAMENTOS DIÁRIOS'!$O$5:$O$500,"&lt;=100799",'LANÇAMENTOS DIÁRIOS'!$P$5:$P$500,"&gt;=100700")&gt;0,"X","")</f>
      </c>
      <c r="E32" s="56" t="str">
        <f>IF(COUNTIFS('LANÇAMENTOS DIÁRIOS'!$G$5:$G$500,"D",'LANÇAMENTOS DIÁRIOS'!$C$5:$C$500,$A32,'LANÇAMENTOS DIÁRIOS'!$O$5:$O$500,"&lt;=100899",'LANÇAMENTOS DIÁRIOS'!$P$5:$P$500,"&gt;=100800")&gt;0,"X","")</f>
      </c>
      <c r="F32" s="56" t="str">
        <f>IF(COUNTIFS('LANÇAMENTOS DIÁRIOS'!$G$5:$G$500,"D",'LANÇAMENTOS DIÁRIOS'!$C$5:$C$500,$A32,'LANÇAMENTOS DIÁRIOS'!$O$5:$O$500,"&lt;=100999",'LANÇAMENTOS DIÁRIOS'!$P$5:$P$500,"&gt;=100900")&gt;0,"X","")</f>
      </c>
      <c r="G32" s="56" t="str">
        <f>IF(COUNTIFS('LANÇAMENTOS DIÁRIOS'!$G$5:$G$500,"D",'LANÇAMENTOS DIÁRIOS'!$C$5:$C$500,$A32,'LANÇAMENTOS DIÁRIOS'!$O$5:$O$500,"&lt;=101099",'LANÇAMENTOS DIÁRIOS'!$P$5:$P$500,"&gt;=101000")&gt;0,"X","")</f>
      </c>
      <c r="H32" s="56" t="str">
        <f>IF(COUNTIFS('LANÇAMENTOS DIÁRIOS'!$G$5:$G$500,"D",'LANÇAMENTOS DIÁRIOS'!$C$5:$C$500,$A32,'LANÇAMENTOS DIÁRIOS'!$O$5:$O$500,"&lt;=101199",'LANÇAMENTOS DIÁRIOS'!$P$5:$P$500,"&gt;=101100")&gt;0,"X","")</f>
      </c>
      <c r="I32" s="56" t="str">
        <f>IF(COUNTIFS('LANÇAMENTOS DIÁRIOS'!$G$5:$G$500,"D",'LANÇAMENTOS DIÁRIOS'!$C$5:$C$500,$A32,'LANÇAMENTOS DIÁRIOS'!$O$5:$O$500,"&lt;=101299",'LANÇAMENTOS DIÁRIOS'!$P$5:$P$500,"&gt;=101200")&gt;0,"X","")</f>
      </c>
      <c r="J32" s="56" t="str">
        <f>IF(COUNTIFS('LANÇAMENTOS DIÁRIOS'!$G$5:$G$500,"D",'LANÇAMENTOS DIÁRIOS'!$C$5:$C$500,$A32,'LANÇAMENTOS DIÁRIOS'!$O$5:$O$500,"&lt;=101399",'LANÇAMENTOS DIÁRIOS'!$P$5:$P$500,"&gt;=101300")&gt;0,"X","")</f>
      </c>
      <c r="K32" s="56" t="str">
        <f>IF(COUNTIFS('LANÇAMENTOS DIÁRIOS'!$G$5:$G$500,"D",'LANÇAMENTOS DIÁRIOS'!$C$5:$C$500,$A32,'LANÇAMENTOS DIÁRIOS'!$O$5:$O$500,"&lt;=101499",'LANÇAMENTOS DIÁRIOS'!$P$5:$P$500,"&gt;=101400")&gt;0,"X","")</f>
      </c>
      <c r="L32" s="56" t="str">
        <f>IF(COUNTIFS('LANÇAMENTOS DIÁRIOS'!$G$5:$G$500,"D",'LANÇAMENTOS DIÁRIOS'!$C$5:$C$500,$A32,'LANÇAMENTOS DIÁRIOS'!$O$5:$O$500,"&lt;=101599",'LANÇAMENTOS DIÁRIOS'!$P$5:$P$500,"&gt;=101500")&gt;0,"X","")</f>
      </c>
      <c r="M32" s="56" t="str">
        <f>IF(COUNTIFS('LANÇAMENTOS DIÁRIOS'!$G$5:$G$500,"D",'LANÇAMENTOS DIÁRIOS'!$C$5:$C$500,$A32,'LANÇAMENTOS DIÁRIOS'!$O$5:$O$500,"&lt;=101699",'LANÇAMENTOS DIÁRIOS'!$P$5:$P$500,"&gt;=101600")&gt;0,"X","")</f>
      </c>
      <c r="N32" s="56" t="str">
        <f>IF(COUNTIFS('LANÇAMENTOS DIÁRIOS'!$G$5:$G$500,"D",'LANÇAMENTOS DIÁRIOS'!$C$5:$C$500,$A32,'LANÇAMENTOS DIÁRIOS'!$O$5:$O$500,"&lt;=101799",'LANÇAMENTOS DIÁRIOS'!$P$5:$P$500,"&gt;=101700")&gt;0,"X","")</f>
      </c>
      <c r="O32" s="56" t="str">
        <f>IF(COUNTIFS('LANÇAMENTOS DIÁRIOS'!$G$5:$G$500,"D",'LANÇAMENTOS DIÁRIOS'!$C$5:$C$500,$A32,'LANÇAMENTOS DIÁRIOS'!$O$5:$O$500,"&lt;=101899",'LANÇAMENTOS DIÁRIOS'!$P$5:$P$500,"&gt;=101800")&gt;0,"X","")</f>
      </c>
      <c r="P32" s="56" t="str">
        <f>IF(COUNTIFS('LANÇAMENTOS DIÁRIOS'!$G$5:$G$500,"D",'LANÇAMENTOS DIÁRIOS'!$C$5:$C$500,$A32,'LANÇAMENTOS DIÁRIOS'!$O$5:$O$500,"&lt;=101999",'LANÇAMENTOS DIÁRIOS'!$P$5:$P$500,"&gt;=101900")&gt;0,"X","")</f>
      </c>
      <c r="Q32" s="56" t="str">
        <f>IF(COUNTIFS('LANÇAMENTOS DIÁRIOS'!$G$5:$G$500,"D",'LANÇAMENTOS DIÁRIOS'!$C$5:$C$500,$A32,'LANÇAMENTOS DIÁRIOS'!$O$5:$O$500,"&lt;=102099",'LANÇAMENTOS DIÁRIOS'!$P$5:$P$500,"&gt;=102000")&gt;0,"X","")</f>
      </c>
      <c r="R32" s="56" t="str">
        <f>IF(COUNTIFS('LANÇAMENTOS DIÁRIOS'!$G$5:$G$500,"D",'LANÇAMENTOS DIÁRIOS'!$C$5:$C$500,$A32,'LANÇAMENTOS DIÁRIOS'!$O$5:$O$500,"&lt;=102199",'LANÇAMENTOS DIÁRIOS'!$P$5:$P$500,"&gt;=102100")&gt;0,"X","")</f>
      </c>
      <c r="S32" s="56" t="str">
        <f>IF(COUNTIFS('LANÇAMENTOS DIÁRIOS'!$G$5:$G$500,"D",'LANÇAMENTOS DIÁRIOS'!$C$5:$C$500,$A32,'LANÇAMENTOS DIÁRIOS'!$O$5:$O$500,"&lt;=102299",'LANÇAMENTOS DIÁRIOS'!$P$5:$P$500,"&gt;=102200")&gt;0,"X","")</f>
      </c>
      <c r="T32" s="56" t="str">
        <f>IF(COUNTIFS('LANÇAMENTOS DIÁRIOS'!$G$5:$G$500,"D",'LANÇAMENTOS DIÁRIOS'!$C$5:$C$500,$A32,'LANÇAMENTOS DIÁRIOS'!$O$5:$O$500,"&lt;=102399",'LANÇAMENTOS DIÁRIOS'!$P$5:$P$500,"&gt;=102300")&gt;0,"X","")</f>
      </c>
      <c r="U32" s="56" t="str">
        <f>IF(COUNTIFS('LANÇAMENTOS DIÁRIOS'!$G$5:$G$500,"D",'LANÇAMENTOS DIÁRIOS'!$C$5:$C$500,$A32,'LANÇAMENTOS DIÁRIOS'!$O$5:$O$500,"&lt;=102499",'LANÇAMENTOS DIÁRIOS'!$P$5:$P$500,"&gt;=102400")&gt;0,"X","")</f>
      </c>
      <c r="V32" s="56" t="str">
        <f>IF(COUNTIFS('LANÇAMENTOS DIÁRIOS'!$G$5:$G$500,"D",'LANÇAMENTOS DIÁRIOS'!$C$5:$C$500,$A32,'LANÇAMENTOS DIÁRIOS'!$O$5:$O$500,"&lt;=102599",'LANÇAMENTOS DIÁRIOS'!$P$5:$P$500,"&gt;=102500")&gt;0,"X","")</f>
      </c>
      <c r="W32" s="56" t="str">
        <f>IF(COUNTIFS('LANÇAMENTOS DIÁRIOS'!$G$5:$G$500,"D",'LANÇAMENTOS DIÁRIOS'!$C$5:$C$500,$A32,'LANÇAMENTOS DIÁRIOS'!$O$5:$O$500,"&lt;=102699",'LANÇAMENTOS DIÁRIOS'!$P$5:$P$500,"&gt;=102600")&gt;0,"X","")</f>
      </c>
      <c r="X32" s="56" t="str">
        <f>IF(COUNTIFS('LANÇAMENTOS DIÁRIOS'!$G$5:$G$500,"D",'LANÇAMENTOS DIÁRIOS'!$C$5:$C$500,$A32,'LANÇAMENTOS DIÁRIOS'!$O$5:$O$500,"&lt;=102799",'LANÇAMENTOS DIÁRIOS'!$P$5:$P$500,"&gt;=102700")&gt;0,"X","")</f>
      </c>
      <c r="Y32" s="56" t="str">
        <f>IF(COUNTIFS('LANÇAMENTOS DIÁRIOS'!$G$5:$G$500,"D",'LANÇAMENTOS DIÁRIOS'!$C$5:$C$500,$A32,'LANÇAMENTOS DIÁRIOS'!$O$5:$O$500,"&lt;=102899",'LANÇAMENTOS DIÁRIOS'!$P$5:$P$500,"&gt;=102800")&gt;0,"X","")</f>
      </c>
      <c r="Z32" s="56" t="str">
        <f>IF(COUNTIFS('LANÇAMENTOS DIÁRIOS'!$G$5:$G$500,"D",'LANÇAMENTOS DIÁRIOS'!$C$5:$C$500,$A32,'LANÇAMENTOS DIÁRIOS'!$O$5:$O$500,"&lt;=102999",'LANÇAMENTOS DIÁRIOS'!$P$5:$P$500,"&gt;=102900")&gt;0,"X","")</f>
      </c>
      <c r="AA32" s="56" t="str">
        <f>IF(COUNTIFS('LANÇAMENTOS DIÁRIOS'!$G$5:$G$500,"D",'LANÇAMENTOS DIÁRIOS'!$C$5:$C$500,$A32,'LANÇAMENTOS DIÁRIOS'!$O$5:$O$500,"&lt;=103099",'LANÇAMENTOS DIÁRIOS'!$P$5:$P$500,"&gt;=103000")&gt;0,"X","")</f>
      </c>
      <c r="AB32" s="56" t="str">
        <f>IF(COUNTIFS('LANÇAMENTOS DIÁRIOS'!$G$5:$G$500,"D",'LANÇAMENTOS DIÁRIOS'!$C$5:$C$500,$A32,'LANÇAMENTOS DIÁRIOS'!$O$5:$O$500,"&lt;=103199",'LANÇAMENTOS DIÁRIOS'!$P$5:$P$500,"&gt;=103100")&gt;0,"X","")</f>
      </c>
      <c r="AC32" s="56" t="str">
        <f>IF(COUNTIFS('LANÇAMENTOS DIÁRIOS'!$G$5:$G$500,"D",'LANÇAMENTOS DIÁRIOS'!$C$5:$C$500,$A32,'LANÇAMENTOS DIÁRIOS'!$O$5:$O$500,"&lt;=103299",'LANÇAMENTOS DIÁRIOS'!$P$5:$P$500,"&gt;=103200")&gt;0,"X","")</f>
      </c>
      <c r="AD32" s="56" t="str">
        <f>IF(COUNTIFS('LANÇAMENTOS DIÁRIOS'!$G$5:$G$500,"D",'LANÇAMENTOS DIÁRIOS'!$C$5:$C$500,$A32,'LANÇAMENTOS DIÁRIOS'!$O$5:$O$500,"&lt;=103399",'LANÇAMENTOS DIÁRIOS'!$P$5:$P$500,"&gt;=103300")&gt;0,"X","")</f>
      </c>
      <c r="AE32" s="56" t="str">
        <f>IF(COUNTIFS('LANÇAMENTOS DIÁRIOS'!$G$5:$G$500,"D",'LANÇAMENTOS DIÁRIOS'!$C$5:$C$500,$A32,'LANÇAMENTOS DIÁRIOS'!$O$5:$O$500,"&lt;=103499",'LANÇAMENTOS DIÁRIOS'!$P$5:$P$500,"&gt;=103400")&gt;0,"X","")</f>
      </c>
      <c r="AF32" s="56" t="str">
        <f>IF(COUNTIFS('LANÇAMENTOS DIÁRIOS'!$G$5:$G$500,"D",'LANÇAMENTOS DIÁRIOS'!$C$5:$C$500,$A32,'LANÇAMENTOS DIÁRIOS'!$O$5:$O$500,"&lt;=103599",'LANÇAMENTOS DIÁRIOS'!$P$5:$P$500,"&gt;=103500")&gt;0,"X","")</f>
      </c>
      <c r="AG32" s="56" t="str">
        <f>IF(COUNTIFS('LANÇAMENTOS DIÁRIOS'!$G$5:$G$500,"D",'LANÇAMENTOS DIÁRIOS'!$C$5:$C$500,$A32,'LANÇAMENTOS DIÁRIOS'!$O$5:$O$500,"&lt;=103699",'LANÇAMENTOS DIÁRIOS'!$P$5:$P$500,"&gt;=103600")&gt;0,"X","")</f>
      </c>
      <c r="AH32" s="56" t="str">
        <f>IF(COUNTIFS('LANÇAMENTOS DIÁRIOS'!$G$5:$G$500,"D",'LANÇAMENTOS DIÁRIOS'!$C$5:$C$500,$A32,'LANÇAMENTOS DIÁRIOS'!$O$5:$O$500,"&lt;=103799",'LANÇAMENTOS DIÁRIOS'!$P$5:$P$500,"&gt;=103700")&gt;0,"X","")</f>
      </c>
      <c r="AI32" s="56" t="str">
        <f>IF(COUNTIFS('LANÇAMENTOS DIÁRIOS'!$G$5:$G$500,"D",'LANÇAMENTOS DIÁRIOS'!$C$5:$C$500,$A32,'LANÇAMENTOS DIÁRIOS'!$O$5:$O$500,"&lt;=103899",'LANÇAMENTOS DIÁRIOS'!$P$5:$P$500,"&gt;=103800")&gt;0,"X","")</f>
      </c>
      <c r="AJ32" s="56" t="str">
        <f>IF(COUNTIFS('LANÇAMENTOS DIÁRIOS'!$G$5:$G$500,"D",'LANÇAMENTOS DIÁRIOS'!$C$5:$C$500,$A32,'LANÇAMENTOS DIÁRIOS'!$O$5:$O$500,"&lt;=103999",'LANÇAMENTOS DIÁRIOS'!$P$5:$P$500,"&gt;=103900")&gt;0,"X","")</f>
      </c>
      <c r="AK32" s="56" t="str">
        <f>IF(COUNTIFS('LANÇAMENTOS DIÁRIOS'!$G$5:$G$500,"D",'LANÇAMENTOS DIÁRIOS'!$C$5:$C$500,$A32,'LANÇAMENTOS DIÁRIOS'!$O$5:$O$500,"&lt;=104099",'LANÇAMENTOS DIÁRIOS'!$P$5:$P$500,"&gt;=104000")&gt;0,"X","")</f>
      </c>
      <c r="AL32" s="56" t="str">
        <f>IF(COUNTIFS('LANÇAMENTOS DIÁRIOS'!$G$5:$G$500,"D",'LANÇAMENTOS DIÁRIOS'!$C$5:$C$500,$A32,'LANÇAMENTOS DIÁRIOS'!$O$5:$O$500,"&lt;=104199",'LANÇAMENTOS DIÁRIOS'!$P$5:$P$500,"&gt;=104100")&gt;0,"X","")</f>
      </c>
      <c r="AM32" s="56" t="str">
        <f>IF(COUNTIFS('LANÇAMENTOS DIÁRIOS'!$G$5:$G$500,"D",'LANÇAMENTOS DIÁRIOS'!$C$5:$C$500,$A32,'LANÇAMENTOS DIÁRIOS'!$O$5:$O$500,"&lt;=104299",'LANÇAMENTOS DIÁRIOS'!$P$5:$P$500,"&gt;=104200")&gt;0,"X","")</f>
      </c>
      <c r="AN32" s="56" t="str">
        <f>IF(COUNTIFS('LANÇAMENTOS DIÁRIOS'!$G$5:$G$500,"D",'LANÇAMENTOS DIÁRIOS'!$C$5:$C$500,$A32,'LANÇAMENTOS DIÁRIOS'!$O$5:$O$500,"&lt;=104399",'LANÇAMENTOS DIÁRIOS'!$P$5:$P$500,"&gt;=104300")&gt;0,"X","")</f>
      </c>
      <c r="AO32" s="56" t="str">
        <f>IF(COUNTIFS('LANÇAMENTOS DIÁRIOS'!$G$5:$G$500,"D",'LANÇAMENTOS DIÁRIOS'!$C$5:$C$500,$A32,'LANÇAMENTOS DIÁRIOS'!$O$5:$O$500,"&lt;=104499",'LANÇAMENTOS DIÁRIOS'!$P$5:$P$500,"&gt;=104400")&gt;0,"X","")</f>
      </c>
      <c r="AP32" s="56" t="str">
        <f>IF(COUNTIFS('LANÇAMENTOS DIÁRIOS'!$G$5:$G$500,"D",'LANÇAMENTOS DIÁRIOS'!$C$5:$C$500,$A32,'LANÇAMENTOS DIÁRIOS'!$O$5:$O$500,"&lt;=104599",'LANÇAMENTOS DIÁRIOS'!$P$5:$P$500,"&gt;=104500")&gt;0,"X","")</f>
      </c>
      <c r="AQ32" s="56" t="str">
        <f>IF(COUNTIFS('LANÇAMENTOS DIÁRIOS'!$G$5:$G$500,"D",'LANÇAMENTOS DIÁRIOS'!$C$5:$C$500,$A32,'LANÇAMENTOS DIÁRIOS'!$O$5:$O$500,"&lt;=104699",'LANÇAMENTOS DIÁRIOS'!$P$5:$P$500,"&gt;=104600")&gt;0,"X","")</f>
      </c>
      <c r="AR32" s="56" t="str">
        <f>IF(COUNTIFS('LANÇAMENTOS DIÁRIOS'!$G$5:$G$500,"D",'LANÇAMENTOS DIÁRIOS'!$C$5:$C$500,$A32,'LANÇAMENTOS DIÁRIOS'!$O$5:$O$500,"&lt;=104799",'LANÇAMENTOS DIÁRIOS'!$P$5:$P$500,"&gt;=104700")&gt;0,"X","")</f>
      </c>
      <c r="AS32" s="56" t="str">
        <f>IF(COUNTIFS('LANÇAMENTOS DIÁRIOS'!$G$5:$G$500,"D",'LANÇAMENTOS DIÁRIOS'!$C$5:$C$500,$A32,'LANÇAMENTOS DIÁRIOS'!$O$5:$O$500,"&lt;=104899",'LANÇAMENTOS DIÁRIOS'!$P$5:$P$500,"&gt;=104800")&gt;0,"X","")</f>
      </c>
      <c r="AT32" s="56" t="str">
        <f>IF(COUNTIFS('LANÇAMENTOS DIÁRIOS'!$G$5:$G$500,"D",'LANÇAMENTOS DIÁRIOS'!$C$5:$C$500,$A32,'LANÇAMENTOS DIÁRIOS'!$O$5:$O$500,"&lt;=104999",'LANÇAMENTOS DIÁRIOS'!$P$5:$P$500,"&gt;=104900")&gt;0,"X","")</f>
      </c>
      <c r="AU32" s="56" t="str">
        <f>IF(COUNTIFS('LANÇAMENTOS DIÁRIOS'!$G$5:$G$500,"D",'LANÇAMENTOS DIÁRIOS'!$C$5:$C$500,$A32,'LANÇAMENTOS DIÁRIOS'!$O$5:$O$500,"&lt;=105099",'LANÇAMENTOS DIÁRIOS'!$P$5:$P$500,"&gt;=105000")&gt;0,"X","")</f>
      </c>
      <c r="AV32" s="56" t="str">
        <f>IF(COUNTIFS('LANÇAMENTOS DIÁRIOS'!$G$5:$G$500,"D",'LANÇAMENTOS DIÁRIOS'!$C$5:$C$500,$A32,'LANÇAMENTOS DIÁRIOS'!$O$5:$O$500,"&lt;=105199",'LANÇAMENTOS DIÁRIOS'!$P$5:$P$500,"&gt;=105100")&gt;0,"X","")</f>
      </c>
      <c r="AW32" s="56" t="str">
        <f>IF(COUNTIFS('LANÇAMENTOS DIÁRIOS'!$G$5:$G$500,"D",'LANÇAMENTOS DIÁRIOS'!$C$5:$C$500,$A32,'LANÇAMENTOS DIÁRIOS'!$O$5:$O$500,"&lt;=105299",'LANÇAMENTOS DIÁRIOS'!$P$5:$P$500,"&gt;=105200")&gt;0,"X","")</f>
      </c>
      <c r="AX32" s="56" t="str">
        <f>IF(COUNTIFS('LANÇAMENTOS DIÁRIOS'!$G$5:$G$500,"D",'LANÇAMENTOS DIÁRIOS'!$C$5:$C$500,$A32,'LANÇAMENTOS DIÁRIOS'!$O$5:$O$500,"&lt;=105399",'LANÇAMENTOS DIÁRIOS'!$P$5:$P$500,"&gt;=105300")&gt;0,"X","")</f>
      </c>
      <c r="AY32" s="56" t="str">
        <f>IF(COUNTIFS('LANÇAMENTOS DIÁRIOS'!$G$5:$G$500,"D",'LANÇAMENTOS DIÁRIOS'!$C$5:$C$500,$A32,'LANÇAMENTOS DIÁRIOS'!$O$5:$O$500,"&lt;=105499",'LANÇAMENTOS DIÁRIOS'!$P$5:$P$500,"&gt;=105400")&gt;0,"X","")</f>
      </c>
      <c r="AZ32" s="56" t="str">
        <f>IF(COUNTIFS('LANÇAMENTOS DIÁRIOS'!$G$5:$G$500,"D",'LANÇAMENTOS DIÁRIOS'!$C$5:$C$500,$A32,'LANÇAMENTOS DIÁRIOS'!$O$5:$O$500,"&lt;=105500",'LANÇAMENTOS DIÁRIOS'!$P$5:$P$500,"&gt;=105500")&gt;0,"X","")</f>
      </c>
    </row>
    <row r="33">
      <c r="A33" s="51" t="str">
        <v>Derrubada e destocamento.arv. c/ diâmetro 50&lt;&gt;60cm, com limpeza da área</v>
      </c>
      <c r="B33" s="56" t="str">
        <f>IF(COUNTIFS('LANÇAMENTOS DIÁRIOS'!$G$5:$G$500,"D",'LANÇAMENTOS DIÁRIOS'!$C$5:$C$500,$A33,'LANÇAMENTOS DIÁRIOS'!$O$5:$O$500,"&lt;=100599",'LANÇAMENTOS DIÁRIOS'!$P$5:$P$500,"&gt;=100500")&gt;0,"X","")</f>
      </c>
      <c r="C33" s="56" t="str">
        <f>IF(COUNTIFS('LANÇAMENTOS DIÁRIOS'!$G$5:$G$500,"D",'LANÇAMENTOS DIÁRIOS'!$C$5:$C$500,$A33,'LANÇAMENTOS DIÁRIOS'!$O$5:$O$500,"&lt;=100699",'LANÇAMENTOS DIÁRIOS'!$P$5:$P$500,"&gt;=100600")&gt;0,"X","")</f>
      </c>
      <c r="D33" s="56" t="str">
        <f>IF(COUNTIFS('LANÇAMENTOS DIÁRIOS'!$G$5:$G$500,"D",'LANÇAMENTOS DIÁRIOS'!$C$5:$C$500,$A33,'LANÇAMENTOS DIÁRIOS'!$O$5:$O$500,"&lt;=100799",'LANÇAMENTOS DIÁRIOS'!$P$5:$P$500,"&gt;=100700")&gt;0,"X","")</f>
      </c>
      <c r="E33" s="56" t="str">
        <f>IF(COUNTIFS('LANÇAMENTOS DIÁRIOS'!$G$5:$G$500,"D",'LANÇAMENTOS DIÁRIOS'!$C$5:$C$500,$A33,'LANÇAMENTOS DIÁRIOS'!$O$5:$O$500,"&lt;=100899",'LANÇAMENTOS DIÁRIOS'!$P$5:$P$500,"&gt;=100800")&gt;0,"X","")</f>
      </c>
      <c r="F33" s="56" t="str">
        <f>IF(COUNTIFS('LANÇAMENTOS DIÁRIOS'!$G$5:$G$500,"D",'LANÇAMENTOS DIÁRIOS'!$C$5:$C$500,$A33,'LANÇAMENTOS DIÁRIOS'!$O$5:$O$500,"&lt;=100999",'LANÇAMENTOS DIÁRIOS'!$P$5:$P$500,"&gt;=100900")&gt;0,"X","")</f>
      </c>
      <c r="G33" s="56" t="str">
        <f>IF(COUNTIFS('LANÇAMENTOS DIÁRIOS'!$G$5:$G$500,"D",'LANÇAMENTOS DIÁRIOS'!$C$5:$C$500,$A33,'LANÇAMENTOS DIÁRIOS'!$O$5:$O$500,"&lt;=101099",'LANÇAMENTOS DIÁRIOS'!$P$5:$P$500,"&gt;=101000")&gt;0,"X","")</f>
      </c>
      <c r="H33" s="56" t="str">
        <f>IF(COUNTIFS('LANÇAMENTOS DIÁRIOS'!$G$5:$G$500,"D",'LANÇAMENTOS DIÁRIOS'!$C$5:$C$500,$A33,'LANÇAMENTOS DIÁRIOS'!$O$5:$O$500,"&lt;=101199",'LANÇAMENTOS DIÁRIOS'!$P$5:$P$500,"&gt;=101100")&gt;0,"X","")</f>
      </c>
      <c r="I33" s="56" t="str">
        <f>IF(COUNTIFS('LANÇAMENTOS DIÁRIOS'!$G$5:$G$500,"D",'LANÇAMENTOS DIÁRIOS'!$C$5:$C$500,$A33,'LANÇAMENTOS DIÁRIOS'!$O$5:$O$500,"&lt;=101299",'LANÇAMENTOS DIÁRIOS'!$P$5:$P$500,"&gt;=101200")&gt;0,"X","")</f>
      </c>
      <c r="J33" s="56" t="str">
        <f>IF(COUNTIFS('LANÇAMENTOS DIÁRIOS'!$G$5:$G$500,"D",'LANÇAMENTOS DIÁRIOS'!$C$5:$C$500,$A33,'LANÇAMENTOS DIÁRIOS'!$O$5:$O$500,"&lt;=101399",'LANÇAMENTOS DIÁRIOS'!$P$5:$P$500,"&gt;=101300")&gt;0,"X","")</f>
      </c>
      <c r="K33" s="56" t="str">
        <f>IF(COUNTIFS('LANÇAMENTOS DIÁRIOS'!$G$5:$G$500,"D",'LANÇAMENTOS DIÁRIOS'!$C$5:$C$500,$A33,'LANÇAMENTOS DIÁRIOS'!$O$5:$O$500,"&lt;=101499",'LANÇAMENTOS DIÁRIOS'!$P$5:$P$500,"&gt;=101400")&gt;0,"X","")</f>
      </c>
      <c r="L33" s="56" t="str">
        <f>IF(COUNTIFS('LANÇAMENTOS DIÁRIOS'!$G$5:$G$500,"D",'LANÇAMENTOS DIÁRIOS'!$C$5:$C$500,$A33,'LANÇAMENTOS DIÁRIOS'!$O$5:$O$500,"&lt;=101599",'LANÇAMENTOS DIÁRIOS'!$P$5:$P$500,"&gt;=101500")&gt;0,"X","")</f>
      </c>
      <c r="M33" s="56" t="str">
        <f>IF(COUNTIFS('LANÇAMENTOS DIÁRIOS'!$G$5:$G$500,"D",'LANÇAMENTOS DIÁRIOS'!$C$5:$C$500,$A33,'LANÇAMENTOS DIÁRIOS'!$O$5:$O$500,"&lt;=101699",'LANÇAMENTOS DIÁRIOS'!$P$5:$P$500,"&gt;=101600")&gt;0,"X","")</f>
      </c>
      <c r="N33" s="56" t="str">
        <f>IF(COUNTIFS('LANÇAMENTOS DIÁRIOS'!$G$5:$G$500,"D",'LANÇAMENTOS DIÁRIOS'!$C$5:$C$500,$A33,'LANÇAMENTOS DIÁRIOS'!$O$5:$O$500,"&lt;=101799",'LANÇAMENTOS DIÁRIOS'!$P$5:$P$500,"&gt;=101700")&gt;0,"X","")</f>
      </c>
      <c r="O33" s="56" t="str">
        <f>IF(COUNTIFS('LANÇAMENTOS DIÁRIOS'!$G$5:$G$500,"D",'LANÇAMENTOS DIÁRIOS'!$C$5:$C$500,$A33,'LANÇAMENTOS DIÁRIOS'!$O$5:$O$500,"&lt;=101899",'LANÇAMENTOS DIÁRIOS'!$P$5:$P$500,"&gt;=101800")&gt;0,"X","")</f>
      </c>
      <c r="P33" s="56" t="str">
        <f>IF(COUNTIFS('LANÇAMENTOS DIÁRIOS'!$G$5:$G$500,"D",'LANÇAMENTOS DIÁRIOS'!$C$5:$C$500,$A33,'LANÇAMENTOS DIÁRIOS'!$O$5:$O$500,"&lt;=101999",'LANÇAMENTOS DIÁRIOS'!$P$5:$P$500,"&gt;=101900")&gt;0,"X","")</f>
      </c>
      <c r="Q33" s="56" t="str">
        <f>IF(COUNTIFS('LANÇAMENTOS DIÁRIOS'!$G$5:$G$500,"D",'LANÇAMENTOS DIÁRIOS'!$C$5:$C$500,$A33,'LANÇAMENTOS DIÁRIOS'!$O$5:$O$500,"&lt;=102099",'LANÇAMENTOS DIÁRIOS'!$P$5:$P$500,"&gt;=102000")&gt;0,"X","")</f>
      </c>
      <c r="R33" s="56" t="str">
        <f>IF(COUNTIFS('LANÇAMENTOS DIÁRIOS'!$G$5:$G$500,"D",'LANÇAMENTOS DIÁRIOS'!$C$5:$C$500,$A33,'LANÇAMENTOS DIÁRIOS'!$O$5:$O$500,"&lt;=102199",'LANÇAMENTOS DIÁRIOS'!$P$5:$P$500,"&gt;=102100")&gt;0,"X","")</f>
      </c>
      <c r="S33" s="56" t="str">
        <f>IF(COUNTIFS('LANÇAMENTOS DIÁRIOS'!$G$5:$G$500,"D",'LANÇAMENTOS DIÁRIOS'!$C$5:$C$500,$A33,'LANÇAMENTOS DIÁRIOS'!$O$5:$O$500,"&lt;=102299",'LANÇAMENTOS DIÁRIOS'!$P$5:$P$500,"&gt;=102200")&gt;0,"X","")</f>
      </c>
      <c r="T33" s="56" t="str">
        <f>IF(COUNTIFS('LANÇAMENTOS DIÁRIOS'!$G$5:$G$500,"D",'LANÇAMENTOS DIÁRIOS'!$C$5:$C$500,$A33,'LANÇAMENTOS DIÁRIOS'!$O$5:$O$500,"&lt;=102399",'LANÇAMENTOS DIÁRIOS'!$P$5:$P$500,"&gt;=102300")&gt;0,"X","")</f>
      </c>
      <c r="U33" s="56" t="str">
        <f>IF(COUNTIFS('LANÇAMENTOS DIÁRIOS'!$G$5:$G$500,"D",'LANÇAMENTOS DIÁRIOS'!$C$5:$C$500,$A33,'LANÇAMENTOS DIÁRIOS'!$O$5:$O$500,"&lt;=102499",'LANÇAMENTOS DIÁRIOS'!$P$5:$P$500,"&gt;=102400")&gt;0,"X","")</f>
      </c>
      <c r="V33" s="56" t="str">
        <f>IF(COUNTIFS('LANÇAMENTOS DIÁRIOS'!$G$5:$G$500,"D",'LANÇAMENTOS DIÁRIOS'!$C$5:$C$500,$A33,'LANÇAMENTOS DIÁRIOS'!$O$5:$O$500,"&lt;=102599",'LANÇAMENTOS DIÁRIOS'!$P$5:$P$500,"&gt;=102500")&gt;0,"X","")</f>
      </c>
      <c r="W33" s="56" t="str">
        <f>IF(COUNTIFS('LANÇAMENTOS DIÁRIOS'!$G$5:$G$500,"D",'LANÇAMENTOS DIÁRIOS'!$C$5:$C$500,$A33,'LANÇAMENTOS DIÁRIOS'!$O$5:$O$500,"&lt;=102699",'LANÇAMENTOS DIÁRIOS'!$P$5:$P$500,"&gt;=102600")&gt;0,"X","")</f>
      </c>
      <c r="X33" s="56" t="str">
        <f>IF(COUNTIFS('LANÇAMENTOS DIÁRIOS'!$G$5:$G$500,"D",'LANÇAMENTOS DIÁRIOS'!$C$5:$C$500,$A33,'LANÇAMENTOS DIÁRIOS'!$O$5:$O$500,"&lt;=102799",'LANÇAMENTOS DIÁRIOS'!$P$5:$P$500,"&gt;=102700")&gt;0,"X","")</f>
      </c>
      <c r="Y33" s="56" t="str">
        <f>IF(COUNTIFS('LANÇAMENTOS DIÁRIOS'!$G$5:$G$500,"D",'LANÇAMENTOS DIÁRIOS'!$C$5:$C$500,$A33,'LANÇAMENTOS DIÁRIOS'!$O$5:$O$500,"&lt;=102899",'LANÇAMENTOS DIÁRIOS'!$P$5:$P$500,"&gt;=102800")&gt;0,"X","")</f>
      </c>
      <c r="Z33" s="56" t="str">
        <f>IF(COUNTIFS('LANÇAMENTOS DIÁRIOS'!$G$5:$G$500,"D",'LANÇAMENTOS DIÁRIOS'!$C$5:$C$500,$A33,'LANÇAMENTOS DIÁRIOS'!$O$5:$O$500,"&lt;=102999",'LANÇAMENTOS DIÁRIOS'!$P$5:$P$500,"&gt;=102900")&gt;0,"X","")</f>
      </c>
      <c r="AA33" s="56" t="str">
        <f>IF(COUNTIFS('LANÇAMENTOS DIÁRIOS'!$G$5:$G$500,"D",'LANÇAMENTOS DIÁRIOS'!$C$5:$C$500,$A33,'LANÇAMENTOS DIÁRIOS'!$O$5:$O$500,"&lt;=103099",'LANÇAMENTOS DIÁRIOS'!$P$5:$P$500,"&gt;=103000")&gt;0,"X","")</f>
      </c>
      <c r="AB33" s="56" t="str">
        <f>IF(COUNTIFS('LANÇAMENTOS DIÁRIOS'!$G$5:$G$500,"D",'LANÇAMENTOS DIÁRIOS'!$C$5:$C$500,$A33,'LANÇAMENTOS DIÁRIOS'!$O$5:$O$500,"&lt;=103199",'LANÇAMENTOS DIÁRIOS'!$P$5:$P$500,"&gt;=103100")&gt;0,"X","")</f>
      </c>
      <c r="AC33" s="56" t="str">
        <f>IF(COUNTIFS('LANÇAMENTOS DIÁRIOS'!$G$5:$G$500,"D",'LANÇAMENTOS DIÁRIOS'!$C$5:$C$500,$A33,'LANÇAMENTOS DIÁRIOS'!$O$5:$O$500,"&lt;=103299",'LANÇAMENTOS DIÁRIOS'!$P$5:$P$500,"&gt;=103200")&gt;0,"X","")</f>
      </c>
      <c r="AD33" s="56" t="str">
        <f>IF(COUNTIFS('LANÇAMENTOS DIÁRIOS'!$G$5:$G$500,"D",'LANÇAMENTOS DIÁRIOS'!$C$5:$C$500,$A33,'LANÇAMENTOS DIÁRIOS'!$O$5:$O$500,"&lt;=103399",'LANÇAMENTOS DIÁRIOS'!$P$5:$P$500,"&gt;=103300")&gt;0,"X","")</f>
      </c>
      <c r="AE33" s="56" t="str">
        <f>IF(COUNTIFS('LANÇAMENTOS DIÁRIOS'!$G$5:$G$500,"D",'LANÇAMENTOS DIÁRIOS'!$C$5:$C$500,$A33,'LANÇAMENTOS DIÁRIOS'!$O$5:$O$500,"&lt;=103499",'LANÇAMENTOS DIÁRIOS'!$P$5:$P$500,"&gt;=103400")&gt;0,"X","")</f>
      </c>
      <c r="AF33" s="56" t="str">
        <f>IF(COUNTIFS('LANÇAMENTOS DIÁRIOS'!$G$5:$G$500,"D",'LANÇAMENTOS DIÁRIOS'!$C$5:$C$500,$A33,'LANÇAMENTOS DIÁRIOS'!$O$5:$O$500,"&lt;=103599",'LANÇAMENTOS DIÁRIOS'!$P$5:$P$500,"&gt;=103500")&gt;0,"X","")</f>
      </c>
      <c r="AG33" s="56" t="str">
        <f>IF(COUNTIFS('LANÇAMENTOS DIÁRIOS'!$G$5:$G$500,"D",'LANÇAMENTOS DIÁRIOS'!$C$5:$C$500,$A33,'LANÇAMENTOS DIÁRIOS'!$O$5:$O$500,"&lt;=103699",'LANÇAMENTOS DIÁRIOS'!$P$5:$P$500,"&gt;=103600")&gt;0,"X","")</f>
      </c>
      <c r="AH33" s="56" t="str">
        <f>IF(COUNTIFS('LANÇAMENTOS DIÁRIOS'!$G$5:$G$500,"D",'LANÇAMENTOS DIÁRIOS'!$C$5:$C$500,$A33,'LANÇAMENTOS DIÁRIOS'!$O$5:$O$500,"&lt;=103799",'LANÇAMENTOS DIÁRIOS'!$P$5:$P$500,"&gt;=103700")&gt;0,"X","")</f>
      </c>
      <c r="AI33" s="56" t="str">
        <f>IF(COUNTIFS('LANÇAMENTOS DIÁRIOS'!$G$5:$G$500,"D",'LANÇAMENTOS DIÁRIOS'!$C$5:$C$500,$A33,'LANÇAMENTOS DIÁRIOS'!$O$5:$O$500,"&lt;=103899",'LANÇAMENTOS DIÁRIOS'!$P$5:$P$500,"&gt;=103800")&gt;0,"X","")</f>
      </c>
      <c r="AJ33" s="56" t="str">
        <f>IF(COUNTIFS('LANÇAMENTOS DIÁRIOS'!$G$5:$G$500,"D",'LANÇAMENTOS DIÁRIOS'!$C$5:$C$500,$A33,'LANÇAMENTOS DIÁRIOS'!$O$5:$O$500,"&lt;=103999",'LANÇAMENTOS DIÁRIOS'!$P$5:$P$500,"&gt;=103900")&gt;0,"X","")</f>
      </c>
      <c r="AK33" s="56" t="str">
        <f>IF(COUNTIFS('LANÇAMENTOS DIÁRIOS'!$G$5:$G$500,"D",'LANÇAMENTOS DIÁRIOS'!$C$5:$C$500,$A33,'LANÇAMENTOS DIÁRIOS'!$O$5:$O$500,"&lt;=104099",'LANÇAMENTOS DIÁRIOS'!$P$5:$P$500,"&gt;=104000")&gt;0,"X","")</f>
      </c>
      <c r="AL33" s="56" t="str">
        <f>IF(COUNTIFS('LANÇAMENTOS DIÁRIOS'!$G$5:$G$500,"D",'LANÇAMENTOS DIÁRIOS'!$C$5:$C$500,$A33,'LANÇAMENTOS DIÁRIOS'!$O$5:$O$500,"&lt;=104199",'LANÇAMENTOS DIÁRIOS'!$P$5:$P$500,"&gt;=104100")&gt;0,"X","")</f>
      </c>
      <c r="AM33" s="56" t="str">
        <f>IF(COUNTIFS('LANÇAMENTOS DIÁRIOS'!$G$5:$G$500,"D",'LANÇAMENTOS DIÁRIOS'!$C$5:$C$500,$A33,'LANÇAMENTOS DIÁRIOS'!$O$5:$O$500,"&lt;=104299",'LANÇAMENTOS DIÁRIOS'!$P$5:$P$500,"&gt;=104200")&gt;0,"X","")</f>
      </c>
      <c r="AN33" s="56" t="str">
        <f>IF(COUNTIFS('LANÇAMENTOS DIÁRIOS'!$G$5:$G$500,"D",'LANÇAMENTOS DIÁRIOS'!$C$5:$C$500,$A33,'LANÇAMENTOS DIÁRIOS'!$O$5:$O$500,"&lt;=104399",'LANÇAMENTOS DIÁRIOS'!$P$5:$P$500,"&gt;=104300")&gt;0,"X","")</f>
      </c>
      <c r="AO33" s="56" t="str">
        <f>IF(COUNTIFS('LANÇAMENTOS DIÁRIOS'!$G$5:$G$500,"D",'LANÇAMENTOS DIÁRIOS'!$C$5:$C$500,$A33,'LANÇAMENTOS DIÁRIOS'!$O$5:$O$500,"&lt;=104499",'LANÇAMENTOS DIÁRIOS'!$P$5:$P$500,"&gt;=104400")&gt;0,"X","")</f>
      </c>
      <c r="AP33" s="56" t="str">
        <f>IF(COUNTIFS('LANÇAMENTOS DIÁRIOS'!$G$5:$G$500,"D",'LANÇAMENTOS DIÁRIOS'!$C$5:$C$500,$A33,'LANÇAMENTOS DIÁRIOS'!$O$5:$O$500,"&lt;=104599",'LANÇAMENTOS DIÁRIOS'!$P$5:$P$500,"&gt;=104500")&gt;0,"X","")</f>
      </c>
      <c r="AQ33" s="56" t="str">
        <f>IF(COUNTIFS('LANÇAMENTOS DIÁRIOS'!$G$5:$G$500,"D",'LANÇAMENTOS DIÁRIOS'!$C$5:$C$500,$A33,'LANÇAMENTOS DIÁRIOS'!$O$5:$O$500,"&lt;=104699",'LANÇAMENTOS DIÁRIOS'!$P$5:$P$500,"&gt;=104600")&gt;0,"X","")</f>
      </c>
      <c r="AR33" s="56" t="str">
        <f>IF(COUNTIFS('LANÇAMENTOS DIÁRIOS'!$G$5:$G$500,"D",'LANÇAMENTOS DIÁRIOS'!$C$5:$C$500,$A33,'LANÇAMENTOS DIÁRIOS'!$O$5:$O$500,"&lt;=104799",'LANÇAMENTOS DIÁRIOS'!$P$5:$P$500,"&gt;=104700")&gt;0,"X","")</f>
      </c>
      <c r="AS33" s="56" t="str">
        <f>IF(COUNTIFS('LANÇAMENTOS DIÁRIOS'!$G$5:$G$500,"D",'LANÇAMENTOS DIÁRIOS'!$C$5:$C$500,$A33,'LANÇAMENTOS DIÁRIOS'!$O$5:$O$500,"&lt;=104899",'LANÇAMENTOS DIÁRIOS'!$P$5:$P$500,"&gt;=104800")&gt;0,"X","")</f>
      </c>
      <c r="AT33" s="56" t="str">
        <f>IF(COUNTIFS('LANÇAMENTOS DIÁRIOS'!$G$5:$G$500,"D",'LANÇAMENTOS DIÁRIOS'!$C$5:$C$500,$A33,'LANÇAMENTOS DIÁRIOS'!$O$5:$O$500,"&lt;=104999",'LANÇAMENTOS DIÁRIOS'!$P$5:$P$500,"&gt;=104900")&gt;0,"X","")</f>
      </c>
      <c r="AU33" s="56" t="str">
        <f>IF(COUNTIFS('LANÇAMENTOS DIÁRIOS'!$G$5:$G$500,"D",'LANÇAMENTOS DIÁRIOS'!$C$5:$C$500,$A33,'LANÇAMENTOS DIÁRIOS'!$O$5:$O$500,"&lt;=105099",'LANÇAMENTOS DIÁRIOS'!$P$5:$P$500,"&gt;=105000")&gt;0,"X","")</f>
      </c>
      <c r="AV33" s="56" t="str">
        <f>IF(COUNTIFS('LANÇAMENTOS DIÁRIOS'!$G$5:$G$500,"D",'LANÇAMENTOS DIÁRIOS'!$C$5:$C$500,$A33,'LANÇAMENTOS DIÁRIOS'!$O$5:$O$500,"&lt;=105199",'LANÇAMENTOS DIÁRIOS'!$P$5:$P$500,"&gt;=105100")&gt;0,"X","")</f>
      </c>
      <c r="AW33" s="56" t="str">
        <f>IF(COUNTIFS('LANÇAMENTOS DIÁRIOS'!$G$5:$G$500,"D",'LANÇAMENTOS DIÁRIOS'!$C$5:$C$500,$A33,'LANÇAMENTOS DIÁRIOS'!$O$5:$O$500,"&lt;=105299",'LANÇAMENTOS DIÁRIOS'!$P$5:$P$500,"&gt;=105200")&gt;0,"X","")</f>
      </c>
      <c r="AX33" s="56" t="str">
        <f>IF(COUNTIFS('LANÇAMENTOS DIÁRIOS'!$G$5:$G$500,"D",'LANÇAMENTOS DIÁRIOS'!$C$5:$C$500,$A33,'LANÇAMENTOS DIÁRIOS'!$O$5:$O$500,"&lt;=105399",'LANÇAMENTOS DIÁRIOS'!$P$5:$P$500,"&gt;=105300")&gt;0,"X","")</f>
      </c>
      <c r="AY33" s="56" t="str">
        <f>IF(COUNTIFS('LANÇAMENTOS DIÁRIOS'!$G$5:$G$500,"D",'LANÇAMENTOS DIÁRIOS'!$C$5:$C$500,$A33,'LANÇAMENTOS DIÁRIOS'!$O$5:$O$500,"&lt;=105499",'LANÇAMENTOS DIÁRIOS'!$P$5:$P$500,"&gt;=105400")&gt;0,"X","")</f>
      </c>
      <c r="AZ33" s="56" t="str">
        <f>IF(COUNTIFS('LANÇAMENTOS DIÁRIOS'!$G$5:$G$500,"D",'LANÇAMENTOS DIÁRIOS'!$C$5:$C$500,$A33,'LANÇAMENTOS DIÁRIOS'!$O$5:$O$500,"&lt;=105500",'LANÇAMENTOS DIÁRIOS'!$P$5:$P$500,"&gt;=105500")&gt;0,"X","")</f>
      </c>
    </row>
    <row r="34">
      <c r="A34" s="51" t="str">
        <v>Derrubada e destocamento.arv. c/ diâmetro 60&lt;&gt;70cm, com limpeza da área</v>
      </c>
      <c r="B34" s="56" t="str">
        <f>IF(COUNTIFS('LANÇAMENTOS DIÁRIOS'!$G$5:$G$500,"D",'LANÇAMENTOS DIÁRIOS'!$C$5:$C$500,$A34,'LANÇAMENTOS DIÁRIOS'!$O$5:$O$500,"&lt;=100599",'LANÇAMENTOS DIÁRIOS'!$P$5:$P$500,"&gt;=100500")&gt;0,"X","")</f>
      </c>
      <c r="C34" s="56" t="str">
        <f>IF(COUNTIFS('LANÇAMENTOS DIÁRIOS'!$G$5:$G$500,"D",'LANÇAMENTOS DIÁRIOS'!$C$5:$C$500,$A34,'LANÇAMENTOS DIÁRIOS'!$O$5:$O$500,"&lt;=100699",'LANÇAMENTOS DIÁRIOS'!$P$5:$P$500,"&gt;=100600")&gt;0,"X","")</f>
      </c>
      <c r="D34" s="56" t="str">
        <f>IF(COUNTIFS('LANÇAMENTOS DIÁRIOS'!$G$5:$G$500,"D",'LANÇAMENTOS DIÁRIOS'!$C$5:$C$500,$A34,'LANÇAMENTOS DIÁRIOS'!$O$5:$O$500,"&lt;=100799",'LANÇAMENTOS DIÁRIOS'!$P$5:$P$500,"&gt;=100700")&gt;0,"X","")</f>
      </c>
      <c r="E34" s="56" t="str">
        <f>IF(COUNTIFS('LANÇAMENTOS DIÁRIOS'!$G$5:$G$500,"D",'LANÇAMENTOS DIÁRIOS'!$C$5:$C$500,$A34,'LANÇAMENTOS DIÁRIOS'!$O$5:$O$500,"&lt;=100899",'LANÇAMENTOS DIÁRIOS'!$P$5:$P$500,"&gt;=100800")&gt;0,"X","")</f>
      </c>
      <c r="F34" s="56" t="str">
        <f>IF(COUNTIFS('LANÇAMENTOS DIÁRIOS'!$G$5:$G$500,"D",'LANÇAMENTOS DIÁRIOS'!$C$5:$C$500,$A34,'LANÇAMENTOS DIÁRIOS'!$O$5:$O$500,"&lt;=100999",'LANÇAMENTOS DIÁRIOS'!$P$5:$P$500,"&gt;=100900")&gt;0,"X","")</f>
      </c>
      <c r="G34" s="56" t="str">
        <f>IF(COUNTIFS('LANÇAMENTOS DIÁRIOS'!$G$5:$G$500,"D",'LANÇAMENTOS DIÁRIOS'!$C$5:$C$500,$A34,'LANÇAMENTOS DIÁRIOS'!$O$5:$O$500,"&lt;=101099",'LANÇAMENTOS DIÁRIOS'!$P$5:$P$500,"&gt;=101000")&gt;0,"X","")</f>
      </c>
      <c r="H34" s="56" t="str">
        <f>IF(COUNTIFS('LANÇAMENTOS DIÁRIOS'!$G$5:$G$500,"D",'LANÇAMENTOS DIÁRIOS'!$C$5:$C$500,$A34,'LANÇAMENTOS DIÁRIOS'!$O$5:$O$500,"&lt;=101199",'LANÇAMENTOS DIÁRIOS'!$P$5:$P$500,"&gt;=101100")&gt;0,"X","")</f>
      </c>
      <c r="I34" s="56" t="str">
        <f>IF(COUNTIFS('LANÇAMENTOS DIÁRIOS'!$G$5:$G$500,"D",'LANÇAMENTOS DIÁRIOS'!$C$5:$C$500,$A34,'LANÇAMENTOS DIÁRIOS'!$O$5:$O$500,"&lt;=101299",'LANÇAMENTOS DIÁRIOS'!$P$5:$P$500,"&gt;=101200")&gt;0,"X","")</f>
      </c>
      <c r="J34" s="56" t="str">
        <f>IF(COUNTIFS('LANÇAMENTOS DIÁRIOS'!$G$5:$G$500,"D",'LANÇAMENTOS DIÁRIOS'!$C$5:$C$500,$A34,'LANÇAMENTOS DIÁRIOS'!$O$5:$O$500,"&lt;=101399",'LANÇAMENTOS DIÁRIOS'!$P$5:$P$500,"&gt;=101300")&gt;0,"X","")</f>
      </c>
      <c r="K34" s="56" t="str">
        <f>IF(COUNTIFS('LANÇAMENTOS DIÁRIOS'!$G$5:$G$500,"D",'LANÇAMENTOS DIÁRIOS'!$C$5:$C$500,$A34,'LANÇAMENTOS DIÁRIOS'!$O$5:$O$500,"&lt;=101499",'LANÇAMENTOS DIÁRIOS'!$P$5:$P$500,"&gt;=101400")&gt;0,"X","")</f>
      </c>
      <c r="L34" s="56" t="str">
        <f>IF(COUNTIFS('LANÇAMENTOS DIÁRIOS'!$G$5:$G$500,"D",'LANÇAMENTOS DIÁRIOS'!$C$5:$C$500,$A34,'LANÇAMENTOS DIÁRIOS'!$O$5:$O$500,"&lt;=101599",'LANÇAMENTOS DIÁRIOS'!$P$5:$P$500,"&gt;=101500")&gt;0,"X","")</f>
      </c>
      <c r="M34" s="56" t="str">
        <f>IF(COUNTIFS('LANÇAMENTOS DIÁRIOS'!$G$5:$G$500,"D",'LANÇAMENTOS DIÁRIOS'!$C$5:$C$500,$A34,'LANÇAMENTOS DIÁRIOS'!$O$5:$O$500,"&lt;=101699",'LANÇAMENTOS DIÁRIOS'!$P$5:$P$500,"&gt;=101600")&gt;0,"X","")</f>
      </c>
      <c r="N34" s="56" t="str">
        <f>IF(COUNTIFS('LANÇAMENTOS DIÁRIOS'!$G$5:$G$500,"D",'LANÇAMENTOS DIÁRIOS'!$C$5:$C$500,$A34,'LANÇAMENTOS DIÁRIOS'!$O$5:$O$500,"&lt;=101799",'LANÇAMENTOS DIÁRIOS'!$P$5:$P$500,"&gt;=101700")&gt;0,"X","")</f>
      </c>
      <c r="O34" s="56" t="str">
        <f>IF(COUNTIFS('LANÇAMENTOS DIÁRIOS'!$G$5:$G$500,"D",'LANÇAMENTOS DIÁRIOS'!$C$5:$C$500,$A34,'LANÇAMENTOS DIÁRIOS'!$O$5:$O$500,"&lt;=101899",'LANÇAMENTOS DIÁRIOS'!$P$5:$P$500,"&gt;=101800")&gt;0,"X","")</f>
      </c>
      <c r="P34" s="56" t="str">
        <f>IF(COUNTIFS('LANÇAMENTOS DIÁRIOS'!$G$5:$G$500,"D",'LANÇAMENTOS DIÁRIOS'!$C$5:$C$500,$A34,'LANÇAMENTOS DIÁRIOS'!$O$5:$O$500,"&lt;=101999",'LANÇAMENTOS DIÁRIOS'!$P$5:$P$500,"&gt;=101900")&gt;0,"X","")</f>
      </c>
      <c r="Q34" s="56" t="str">
        <f>IF(COUNTIFS('LANÇAMENTOS DIÁRIOS'!$G$5:$G$500,"D",'LANÇAMENTOS DIÁRIOS'!$C$5:$C$500,$A34,'LANÇAMENTOS DIÁRIOS'!$O$5:$O$500,"&lt;=102099",'LANÇAMENTOS DIÁRIOS'!$P$5:$P$500,"&gt;=102000")&gt;0,"X","")</f>
      </c>
      <c r="R34" s="56" t="str">
        <f>IF(COUNTIFS('LANÇAMENTOS DIÁRIOS'!$G$5:$G$500,"D",'LANÇAMENTOS DIÁRIOS'!$C$5:$C$500,$A34,'LANÇAMENTOS DIÁRIOS'!$O$5:$O$500,"&lt;=102199",'LANÇAMENTOS DIÁRIOS'!$P$5:$P$500,"&gt;=102100")&gt;0,"X","")</f>
      </c>
      <c r="S34" s="56" t="str">
        <f>IF(COUNTIFS('LANÇAMENTOS DIÁRIOS'!$G$5:$G$500,"D",'LANÇAMENTOS DIÁRIOS'!$C$5:$C$500,$A34,'LANÇAMENTOS DIÁRIOS'!$O$5:$O$500,"&lt;=102299",'LANÇAMENTOS DIÁRIOS'!$P$5:$P$500,"&gt;=102200")&gt;0,"X","")</f>
      </c>
      <c r="T34" s="56" t="str">
        <f>IF(COUNTIFS('LANÇAMENTOS DIÁRIOS'!$G$5:$G$500,"D",'LANÇAMENTOS DIÁRIOS'!$C$5:$C$500,$A34,'LANÇAMENTOS DIÁRIOS'!$O$5:$O$500,"&lt;=102399",'LANÇAMENTOS DIÁRIOS'!$P$5:$P$500,"&gt;=102300")&gt;0,"X","")</f>
      </c>
      <c r="U34" s="56" t="str">
        <f>IF(COUNTIFS('LANÇAMENTOS DIÁRIOS'!$G$5:$G$500,"D",'LANÇAMENTOS DIÁRIOS'!$C$5:$C$500,$A34,'LANÇAMENTOS DIÁRIOS'!$O$5:$O$500,"&lt;=102499",'LANÇAMENTOS DIÁRIOS'!$P$5:$P$500,"&gt;=102400")&gt;0,"X","")</f>
      </c>
      <c r="V34" s="56" t="str">
        <f>IF(COUNTIFS('LANÇAMENTOS DIÁRIOS'!$G$5:$G$500,"D",'LANÇAMENTOS DIÁRIOS'!$C$5:$C$500,$A34,'LANÇAMENTOS DIÁRIOS'!$O$5:$O$500,"&lt;=102599",'LANÇAMENTOS DIÁRIOS'!$P$5:$P$500,"&gt;=102500")&gt;0,"X","")</f>
      </c>
      <c r="W34" s="56" t="str">
        <f>IF(COUNTIFS('LANÇAMENTOS DIÁRIOS'!$G$5:$G$500,"D",'LANÇAMENTOS DIÁRIOS'!$C$5:$C$500,$A34,'LANÇAMENTOS DIÁRIOS'!$O$5:$O$500,"&lt;=102699",'LANÇAMENTOS DIÁRIOS'!$P$5:$P$500,"&gt;=102600")&gt;0,"X","")</f>
      </c>
      <c r="X34" s="56" t="str">
        <f>IF(COUNTIFS('LANÇAMENTOS DIÁRIOS'!$G$5:$G$500,"D",'LANÇAMENTOS DIÁRIOS'!$C$5:$C$500,$A34,'LANÇAMENTOS DIÁRIOS'!$O$5:$O$500,"&lt;=102799",'LANÇAMENTOS DIÁRIOS'!$P$5:$P$500,"&gt;=102700")&gt;0,"X","")</f>
      </c>
      <c r="Y34" s="56" t="str">
        <f>IF(COUNTIFS('LANÇAMENTOS DIÁRIOS'!$G$5:$G$500,"D",'LANÇAMENTOS DIÁRIOS'!$C$5:$C$500,$A34,'LANÇAMENTOS DIÁRIOS'!$O$5:$O$500,"&lt;=102899",'LANÇAMENTOS DIÁRIOS'!$P$5:$P$500,"&gt;=102800")&gt;0,"X","")</f>
      </c>
      <c r="Z34" s="56" t="str">
        <f>IF(COUNTIFS('LANÇAMENTOS DIÁRIOS'!$G$5:$G$500,"D",'LANÇAMENTOS DIÁRIOS'!$C$5:$C$500,$A34,'LANÇAMENTOS DIÁRIOS'!$O$5:$O$500,"&lt;=102999",'LANÇAMENTOS DIÁRIOS'!$P$5:$P$500,"&gt;=102900")&gt;0,"X","")</f>
      </c>
      <c r="AA34" s="56" t="str">
        <f>IF(COUNTIFS('LANÇAMENTOS DIÁRIOS'!$G$5:$G$500,"D",'LANÇAMENTOS DIÁRIOS'!$C$5:$C$500,$A34,'LANÇAMENTOS DIÁRIOS'!$O$5:$O$500,"&lt;=103099",'LANÇAMENTOS DIÁRIOS'!$P$5:$P$500,"&gt;=103000")&gt;0,"X","")</f>
      </c>
      <c r="AB34" s="56" t="str">
        <f>IF(COUNTIFS('LANÇAMENTOS DIÁRIOS'!$G$5:$G$500,"D",'LANÇAMENTOS DIÁRIOS'!$C$5:$C$500,$A34,'LANÇAMENTOS DIÁRIOS'!$O$5:$O$500,"&lt;=103199",'LANÇAMENTOS DIÁRIOS'!$P$5:$P$500,"&gt;=103100")&gt;0,"X","")</f>
      </c>
      <c r="AC34" s="56" t="str">
        <f>IF(COUNTIFS('LANÇAMENTOS DIÁRIOS'!$G$5:$G$500,"D",'LANÇAMENTOS DIÁRIOS'!$C$5:$C$500,$A34,'LANÇAMENTOS DIÁRIOS'!$O$5:$O$500,"&lt;=103299",'LANÇAMENTOS DIÁRIOS'!$P$5:$P$500,"&gt;=103200")&gt;0,"X","")</f>
      </c>
      <c r="AD34" s="56" t="str">
        <f>IF(COUNTIFS('LANÇAMENTOS DIÁRIOS'!$G$5:$G$500,"D",'LANÇAMENTOS DIÁRIOS'!$C$5:$C$500,$A34,'LANÇAMENTOS DIÁRIOS'!$O$5:$O$500,"&lt;=103399",'LANÇAMENTOS DIÁRIOS'!$P$5:$P$500,"&gt;=103300")&gt;0,"X","")</f>
      </c>
      <c r="AE34" s="56" t="str">
        <f>IF(COUNTIFS('LANÇAMENTOS DIÁRIOS'!$G$5:$G$500,"D",'LANÇAMENTOS DIÁRIOS'!$C$5:$C$500,$A34,'LANÇAMENTOS DIÁRIOS'!$O$5:$O$500,"&lt;=103499",'LANÇAMENTOS DIÁRIOS'!$P$5:$P$500,"&gt;=103400")&gt;0,"X","")</f>
      </c>
      <c r="AF34" s="56" t="str">
        <f>IF(COUNTIFS('LANÇAMENTOS DIÁRIOS'!$G$5:$G$500,"D",'LANÇAMENTOS DIÁRIOS'!$C$5:$C$500,$A34,'LANÇAMENTOS DIÁRIOS'!$O$5:$O$500,"&lt;=103599",'LANÇAMENTOS DIÁRIOS'!$P$5:$P$500,"&gt;=103500")&gt;0,"X","")</f>
      </c>
      <c r="AG34" s="56" t="str">
        <f>IF(COUNTIFS('LANÇAMENTOS DIÁRIOS'!$G$5:$G$500,"D",'LANÇAMENTOS DIÁRIOS'!$C$5:$C$500,$A34,'LANÇAMENTOS DIÁRIOS'!$O$5:$O$500,"&lt;=103699",'LANÇAMENTOS DIÁRIOS'!$P$5:$P$500,"&gt;=103600")&gt;0,"X","")</f>
      </c>
      <c r="AH34" s="56" t="str">
        <f>IF(COUNTIFS('LANÇAMENTOS DIÁRIOS'!$G$5:$G$500,"D",'LANÇAMENTOS DIÁRIOS'!$C$5:$C$500,$A34,'LANÇAMENTOS DIÁRIOS'!$O$5:$O$500,"&lt;=103799",'LANÇAMENTOS DIÁRIOS'!$P$5:$P$500,"&gt;=103700")&gt;0,"X","")</f>
      </c>
      <c r="AI34" s="56" t="str">
        <f>IF(COUNTIFS('LANÇAMENTOS DIÁRIOS'!$G$5:$G$500,"D",'LANÇAMENTOS DIÁRIOS'!$C$5:$C$500,$A34,'LANÇAMENTOS DIÁRIOS'!$O$5:$O$500,"&lt;=103899",'LANÇAMENTOS DIÁRIOS'!$P$5:$P$500,"&gt;=103800")&gt;0,"X","")</f>
      </c>
      <c r="AJ34" s="56" t="str">
        <f>IF(COUNTIFS('LANÇAMENTOS DIÁRIOS'!$G$5:$G$500,"D",'LANÇAMENTOS DIÁRIOS'!$C$5:$C$500,$A34,'LANÇAMENTOS DIÁRIOS'!$O$5:$O$500,"&lt;=103999",'LANÇAMENTOS DIÁRIOS'!$P$5:$P$500,"&gt;=103900")&gt;0,"X","")</f>
      </c>
      <c r="AK34" s="56" t="str">
        <f>IF(COUNTIFS('LANÇAMENTOS DIÁRIOS'!$G$5:$G$500,"D",'LANÇAMENTOS DIÁRIOS'!$C$5:$C$500,$A34,'LANÇAMENTOS DIÁRIOS'!$O$5:$O$500,"&lt;=104099",'LANÇAMENTOS DIÁRIOS'!$P$5:$P$500,"&gt;=104000")&gt;0,"X","")</f>
      </c>
      <c r="AL34" s="56" t="str">
        <f>IF(COUNTIFS('LANÇAMENTOS DIÁRIOS'!$G$5:$G$500,"D",'LANÇAMENTOS DIÁRIOS'!$C$5:$C$500,$A34,'LANÇAMENTOS DIÁRIOS'!$O$5:$O$500,"&lt;=104199",'LANÇAMENTOS DIÁRIOS'!$P$5:$P$500,"&gt;=104100")&gt;0,"X","")</f>
      </c>
      <c r="AM34" s="56" t="str">
        <f>IF(COUNTIFS('LANÇAMENTOS DIÁRIOS'!$G$5:$G$500,"D",'LANÇAMENTOS DIÁRIOS'!$C$5:$C$500,$A34,'LANÇAMENTOS DIÁRIOS'!$O$5:$O$500,"&lt;=104299",'LANÇAMENTOS DIÁRIOS'!$P$5:$P$500,"&gt;=104200")&gt;0,"X","")</f>
      </c>
      <c r="AN34" s="56" t="str">
        <f>IF(COUNTIFS('LANÇAMENTOS DIÁRIOS'!$G$5:$G$500,"D",'LANÇAMENTOS DIÁRIOS'!$C$5:$C$500,$A34,'LANÇAMENTOS DIÁRIOS'!$O$5:$O$500,"&lt;=104399",'LANÇAMENTOS DIÁRIOS'!$P$5:$P$500,"&gt;=104300")&gt;0,"X","")</f>
      </c>
      <c r="AO34" s="56" t="str">
        <f>IF(COUNTIFS('LANÇAMENTOS DIÁRIOS'!$G$5:$G$500,"D",'LANÇAMENTOS DIÁRIOS'!$C$5:$C$500,$A34,'LANÇAMENTOS DIÁRIOS'!$O$5:$O$500,"&lt;=104499",'LANÇAMENTOS DIÁRIOS'!$P$5:$P$500,"&gt;=104400")&gt;0,"X","")</f>
      </c>
      <c r="AP34" s="56" t="str">
        <f>IF(COUNTIFS('LANÇAMENTOS DIÁRIOS'!$G$5:$G$500,"D",'LANÇAMENTOS DIÁRIOS'!$C$5:$C$500,$A34,'LANÇAMENTOS DIÁRIOS'!$O$5:$O$500,"&lt;=104599",'LANÇAMENTOS DIÁRIOS'!$P$5:$P$500,"&gt;=104500")&gt;0,"X","")</f>
      </c>
      <c r="AQ34" s="56" t="str">
        <f>IF(COUNTIFS('LANÇAMENTOS DIÁRIOS'!$G$5:$G$500,"D",'LANÇAMENTOS DIÁRIOS'!$C$5:$C$500,$A34,'LANÇAMENTOS DIÁRIOS'!$O$5:$O$500,"&lt;=104699",'LANÇAMENTOS DIÁRIOS'!$P$5:$P$500,"&gt;=104600")&gt;0,"X","")</f>
      </c>
      <c r="AR34" s="56" t="str">
        <f>IF(COUNTIFS('LANÇAMENTOS DIÁRIOS'!$G$5:$G$500,"D",'LANÇAMENTOS DIÁRIOS'!$C$5:$C$500,$A34,'LANÇAMENTOS DIÁRIOS'!$O$5:$O$500,"&lt;=104799",'LANÇAMENTOS DIÁRIOS'!$P$5:$P$500,"&gt;=104700")&gt;0,"X","")</f>
      </c>
      <c r="AS34" s="56" t="str">
        <f>IF(COUNTIFS('LANÇAMENTOS DIÁRIOS'!$G$5:$G$500,"D",'LANÇAMENTOS DIÁRIOS'!$C$5:$C$500,$A34,'LANÇAMENTOS DIÁRIOS'!$O$5:$O$500,"&lt;=104899",'LANÇAMENTOS DIÁRIOS'!$P$5:$P$500,"&gt;=104800")&gt;0,"X","")</f>
      </c>
      <c r="AT34" s="56" t="str">
        <f>IF(COUNTIFS('LANÇAMENTOS DIÁRIOS'!$G$5:$G$500,"D",'LANÇAMENTOS DIÁRIOS'!$C$5:$C$500,$A34,'LANÇAMENTOS DIÁRIOS'!$O$5:$O$500,"&lt;=104999",'LANÇAMENTOS DIÁRIOS'!$P$5:$P$500,"&gt;=104900")&gt;0,"X","")</f>
      </c>
      <c r="AU34" s="56" t="str">
        <f>IF(COUNTIFS('LANÇAMENTOS DIÁRIOS'!$G$5:$G$500,"D",'LANÇAMENTOS DIÁRIOS'!$C$5:$C$500,$A34,'LANÇAMENTOS DIÁRIOS'!$O$5:$O$500,"&lt;=105099",'LANÇAMENTOS DIÁRIOS'!$P$5:$P$500,"&gt;=105000")&gt;0,"X","")</f>
      </c>
      <c r="AV34" s="56" t="str">
        <f>IF(COUNTIFS('LANÇAMENTOS DIÁRIOS'!$G$5:$G$500,"D",'LANÇAMENTOS DIÁRIOS'!$C$5:$C$500,$A34,'LANÇAMENTOS DIÁRIOS'!$O$5:$O$500,"&lt;=105199",'LANÇAMENTOS DIÁRIOS'!$P$5:$P$500,"&gt;=105100")&gt;0,"X","")</f>
      </c>
      <c r="AW34" s="56" t="str">
        <f>IF(COUNTIFS('LANÇAMENTOS DIÁRIOS'!$G$5:$G$500,"D",'LANÇAMENTOS DIÁRIOS'!$C$5:$C$500,$A34,'LANÇAMENTOS DIÁRIOS'!$O$5:$O$500,"&lt;=105299",'LANÇAMENTOS DIÁRIOS'!$P$5:$P$500,"&gt;=105200")&gt;0,"X","")</f>
      </c>
      <c r="AX34" s="56" t="str">
        <f>IF(COUNTIFS('LANÇAMENTOS DIÁRIOS'!$G$5:$G$500,"D",'LANÇAMENTOS DIÁRIOS'!$C$5:$C$500,$A34,'LANÇAMENTOS DIÁRIOS'!$O$5:$O$500,"&lt;=105399",'LANÇAMENTOS DIÁRIOS'!$P$5:$P$500,"&gt;=105300")&gt;0,"X","")</f>
      </c>
      <c r="AY34" s="56" t="str">
        <f>IF(COUNTIFS('LANÇAMENTOS DIÁRIOS'!$G$5:$G$500,"D",'LANÇAMENTOS DIÁRIOS'!$C$5:$C$500,$A34,'LANÇAMENTOS DIÁRIOS'!$O$5:$O$500,"&lt;=105499",'LANÇAMENTOS DIÁRIOS'!$P$5:$P$500,"&gt;=105400")&gt;0,"X","")</f>
      </c>
      <c r="AZ34" s="56" t="str">
        <f>IF(COUNTIFS('LANÇAMENTOS DIÁRIOS'!$G$5:$G$500,"D",'LANÇAMENTOS DIÁRIOS'!$C$5:$C$500,$A34,'LANÇAMENTOS DIÁRIOS'!$O$5:$O$500,"&lt;=105500",'LANÇAMENTOS DIÁRIOS'!$P$5:$P$500,"&gt;=105500")&gt;0,"X","")</f>
      </c>
    </row>
    <row r="35">
      <c r="A35" s="51" t="str">
        <v>Derrubada e destocamento.arv. c/ diâmetro 70&lt;&gt; 80cm, com limpeza da área</v>
      </c>
      <c r="B35" s="56" t="str">
        <f>IF(COUNTIFS('LANÇAMENTOS DIÁRIOS'!$G$5:$G$500,"D",'LANÇAMENTOS DIÁRIOS'!$C$5:$C$500,$A35,'LANÇAMENTOS DIÁRIOS'!$O$5:$O$500,"&lt;=100599",'LANÇAMENTOS DIÁRIOS'!$P$5:$P$500,"&gt;=100500")&gt;0,"X","")</f>
      </c>
      <c r="C35" s="56" t="str">
        <f>IF(COUNTIFS('LANÇAMENTOS DIÁRIOS'!$G$5:$G$500,"D",'LANÇAMENTOS DIÁRIOS'!$C$5:$C$500,$A35,'LANÇAMENTOS DIÁRIOS'!$O$5:$O$500,"&lt;=100699",'LANÇAMENTOS DIÁRIOS'!$P$5:$P$500,"&gt;=100600")&gt;0,"X","")</f>
      </c>
      <c r="D35" s="56" t="str">
        <f>IF(COUNTIFS('LANÇAMENTOS DIÁRIOS'!$G$5:$G$500,"D",'LANÇAMENTOS DIÁRIOS'!$C$5:$C$500,$A35,'LANÇAMENTOS DIÁRIOS'!$O$5:$O$500,"&lt;=100799",'LANÇAMENTOS DIÁRIOS'!$P$5:$P$500,"&gt;=100700")&gt;0,"X","")</f>
      </c>
      <c r="E35" s="56" t="str">
        <f>IF(COUNTIFS('LANÇAMENTOS DIÁRIOS'!$G$5:$G$500,"D",'LANÇAMENTOS DIÁRIOS'!$C$5:$C$500,$A35,'LANÇAMENTOS DIÁRIOS'!$O$5:$O$500,"&lt;=100899",'LANÇAMENTOS DIÁRIOS'!$P$5:$P$500,"&gt;=100800")&gt;0,"X","")</f>
      </c>
      <c r="F35" s="56" t="str">
        <f>IF(COUNTIFS('LANÇAMENTOS DIÁRIOS'!$G$5:$G$500,"D",'LANÇAMENTOS DIÁRIOS'!$C$5:$C$500,$A35,'LANÇAMENTOS DIÁRIOS'!$O$5:$O$500,"&lt;=100999",'LANÇAMENTOS DIÁRIOS'!$P$5:$P$500,"&gt;=100900")&gt;0,"X","")</f>
      </c>
      <c r="G35" s="56" t="str">
        <f>IF(COUNTIFS('LANÇAMENTOS DIÁRIOS'!$G$5:$G$500,"D",'LANÇAMENTOS DIÁRIOS'!$C$5:$C$500,$A35,'LANÇAMENTOS DIÁRIOS'!$O$5:$O$500,"&lt;=101099",'LANÇAMENTOS DIÁRIOS'!$P$5:$P$500,"&gt;=101000")&gt;0,"X","")</f>
      </c>
      <c r="H35" s="56" t="str">
        <f>IF(COUNTIFS('LANÇAMENTOS DIÁRIOS'!$G$5:$G$500,"D",'LANÇAMENTOS DIÁRIOS'!$C$5:$C$500,$A35,'LANÇAMENTOS DIÁRIOS'!$O$5:$O$500,"&lt;=101199",'LANÇAMENTOS DIÁRIOS'!$P$5:$P$500,"&gt;=101100")&gt;0,"X","")</f>
      </c>
      <c r="I35" s="56" t="str">
        <f>IF(COUNTIFS('LANÇAMENTOS DIÁRIOS'!$G$5:$G$500,"D",'LANÇAMENTOS DIÁRIOS'!$C$5:$C$500,$A35,'LANÇAMENTOS DIÁRIOS'!$O$5:$O$500,"&lt;=101299",'LANÇAMENTOS DIÁRIOS'!$P$5:$P$500,"&gt;=101200")&gt;0,"X","")</f>
      </c>
      <c r="J35" s="56" t="str">
        <f>IF(COUNTIFS('LANÇAMENTOS DIÁRIOS'!$G$5:$G$500,"D",'LANÇAMENTOS DIÁRIOS'!$C$5:$C$500,$A35,'LANÇAMENTOS DIÁRIOS'!$O$5:$O$500,"&lt;=101399",'LANÇAMENTOS DIÁRIOS'!$P$5:$P$500,"&gt;=101300")&gt;0,"X","")</f>
      </c>
      <c r="K35" s="56" t="str">
        <f>IF(COUNTIFS('LANÇAMENTOS DIÁRIOS'!$G$5:$G$500,"D",'LANÇAMENTOS DIÁRIOS'!$C$5:$C$500,$A35,'LANÇAMENTOS DIÁRIOS'!$O$5:$O$500,"&lt;=101499",'LANÇAMENTOS DIÁRIOS'!$P$5:$P$500,"&gt;=101400")&gt;0,"X","")</f>
      </c>
      <c r="L35" s="56" t="str">
        <f>IF(COUNTIFS('LANÇAMENTOS DIÁRIOS'!$G$5:$G$500,"D",'LANÇAMENTOS DIÁRIOS'!$C$5:$C$500,$A35,'LANÇAMENTOS DIÁRIOS'!$O$5:$O$500,"&lt;=101599",'LANÇAMENTOS DIÁRIOS'!$P$5:$P$500,"&gt;=101500")&gt;0,"X","")</f>
      </c>
      <c r="M35" s="56" t="str">
        <f>IF(COUNTIFS('LANÇAMENTOS DIÁRIOS'!$G$5:$G$500,"D",'LANÇAMENTOS DIÁRIOS'!$C$5:$C$500,$A35,'LANÇAMENTOS DIÁRIOS'!$O$5:$O$500,"&lt;=101699",'LANÇAMENTOS DIÁRIOS'!$P$5:$P$500,"&gt;=101600")&gt;0,"X","")</f>
      </c>
      <c r="N35" s="56" t="str">
        <f>IF(COUNTIFS('LANÇAMENTOS DIÁRIOS'!$G$5:$G$500,"D",'LANÇAMENTOS DIÁRIOS'!$C$5:$C$500,$A35,'LANÇAMENTOS DIÁRIOS'!$O$5:$O$500,"&lt;=101799",'LANÇAMENTOS DIÁRIOS'!$P$5:$P$500,"&gt;=101700")&gt;0,"X","")</f>
      </c>
      <c r="O35" s="56" t="str">
        <f>IF(COUNTIFS('LANÇAMENTOS DIÁRIOS'!$G$5:$G$500,"D",'LANÇAMENTOS DIÁRIOS'!$C$5:$C$500,$A35,'LANÇAMENTOS DIÁRIOS'!$O$5:$O$500,"&lt;=101899",'LANÇAMENTOS DIÁRIOS'!$P$5:$P$500,"&gt;=101800")&gt;0,"X","")</f>
      </c>
      <c r="P35" s="56" t="str">
        <f>IF(COUNTIFS('LANÇAMENTOS DIÁRIOS'!$G$5:$G$500,"D",'LANÇAMENTOS DIÁRIOS'!$C$5:$C$500,$A35,'LANÇAMENTOS DIÁRIOS'!$O$5:$O$500,"&lt;=101999",'LANÇAMENTOS DIÁRIOS'!$P$5:$P$500,"&gt;=101900")&gt;0,"X","")</f>
      </c>
      <c r="Q35" s="56" t="str">
        <f>IF(COUNTIFS('LANÇAMENTOS DIÁRIOS'!$G$5:$G$500,"D",'LANÇAMENTOS DIÁRIOS'!$C$5:$C$500,$A35,'LANÇAMENTOS DIÁRIOS'!$O$5:$O$500,"&lt;=102099",'LANÇAMENTOS DIÁRIOS'!$P$5:$P$500,"&gt;=102000")&gt;0,"X","")</f>
      </c>
      <c r="R35" s="56" t="str">
        <f>IF(COUNTIFS('LANÇAMENTOS DIÁRIOS'!$G$5:$G$500,"D",'LANÇAMENTOS DIÁRIOS'!$C$5:$C$500,$A35,'LANÇAMENTOS DIÁRIOS'!$O$5:$O$500,"&lt;=102199",'LANÇAMENTOS DIÁRIOS'!$P$5:$P$500,"&gt;=102100")&gt;0,"X","")</f>
      </c>
      <c r="S35" s="56" t="str">
        <f>IF(COUNTIFS('LANÇAMENTOS DIÁRIOS'!$G$5:$G$500,"D",'LANÇAMENTOS DIÁRIOS'!$C$5:$C$500,$A35,'LANÇAMENTOS DIÁRIOS'!$O$5:$O$500,"&lt;=102299",'LANÇAMENTOS DIÁRIOS'!$P$5:$P$500,"&gt;=102200")&gt;0,"X","")</f>
      </c>
      <c r="T35" s="56" t="str">
        <f>IF(COUNTIFS('LANÇAMENTOS DIÁRIOS'!$G$5:$G$500,"D",'LANÇAMENTOS DIÁRIOS'!$C$5:$C$500,$A35,'LANÇAMENTOS DIÁRIOS'!$O$5:$O$500,"&lt;=102399",'LANÇAMENTOS DIÁRIOS'!$P$5:$P$500,"&gt;=102300")&gt;0,"X","")</f>
      </c>
      <c r="U35" s="56" t="str">
        <f>IF(COUNTIFS('LANÇAMENTOS DIÁRIOS'!$G$5:$G$500,"D",'LANÇAMENTOS DIÁRIOS'!$C$5:$C$500,$A35,'LANÇAMENTOS DIÁRIOS'!$O$5:$O$500,"&lt;=102499",'LANÇAMENTOS DIÁRIOS'!$P$5:$P$500,"&gt;=102400")&gt;0,"X","")</f>
      </c>
      <c r="V35" s="56" t="str">
        <f>IF(COUNTIFS('LANÇAMENTOS DIÁRIOS'!$G$5:$G$500,"D",'LANÇAMENTOS DIÁRIOS'!$C$5:$C$500,$A35,'LANÇAMENTOS DIÁRIOS'!$O$5:$O$500,"&lt;=102599",'LANÇAMENTOS DIÁRIOS'!$P$5:$P$500,"&gt;=102500")&gt;0,"X","")</f>
      </c>
      <c r="W35" s="56" t="str">
        <f>IF(COUNTIFS('LANÇAMENTOS DIÁRIOS'!$G$5:$G$500,"D",'LANÇAMENTOS DIÁRIOS'!$C$5:$C$500,$A35,'LANÇAMENTOS DIÁRIOS'!$O$5:$O$500,"&lt;=102699",'LANÇAMENTOS DIÁRIOS'!$P$5:$P$500,"&gt;=102600")&gt;0,"X","")</f>
      </c>
      <c r="X35" s="56" t="str">
        <f>IF(COUNTIFS('LANÇAMENTOS DIÁRIOS'!$G$5:$G$500,"D",'LANÇAMENTOS DIÁRIOS'!$C$5:$C$500,$A35,'LANÇAMENTOS DIÁRIOS'!$O$5:$O$500,"&lt;=102799",'LANÇAMENTOS DIÁRIOS'!$P$5:$P$500,"&gt;=102700")&gt;0,"X","")</f>
      </c>
      <c r="Y35" s="56" t="str">
        <f>IF(COUNTIFS('LANÇAMENTOS DIÁRIOS'!$G$5:$G$500,"D",'LANÇAMENTOS DIÁRIOS'!$C$5:$C$500,$A35,'LANÇAMENTOS DIÁRIOS'!$O$5:$O$500,"&lt;=102899",'LANÇAMENTOS DIÁRIOS'!$P$5:$P$500,"&gt;=102800")&gt;0,"X","")</f>
      </c>
      <c r="Z35" s="56" t="str">
        <f>IF(COUNTIFS('LANÇAMENTOS DIÁRIOS'!$G$5:$G$500,"D",'LANÇAMENTOS DIÁRIOS'!$C$5:$C$500,$A35,'LANÇAMENTOS DIÁRIOS'!$O$5:$O$500,"&lt;=102999",'LANÇAMENTOS DIÁRIOS'!$P$5:$P$500,"&gt;=102900")&gt;0,"X","")</f>
      </c>
      <c r="AA35" s="56" t="str">
        <f>IF(COUNTIFS('LANÇAMENTOS DIÁRIOS'!$G$5:$G$500,"D",'LANÇAMENTOS DIÁRIOS'!$C$5:$C$500,$A35,'LANÇAMENTOS DIÁRIOS'!$O$5:$O$500,"&lt;=103099",'LANÇAMENTOS DIÁRIOS'!$P$5:$P$500,"&gt;=103000")&gt;0,"X","")</f>
      </c>
      <c r="AB35" s="56" t="str">
        <f>IF(COUNTIFS('LANÇAMENTOS DIÁRIOS'!$G$5:$G$500,"D",'LANÇAMENTOS DIÁRIOS'!$C$5:$C$500,$A35,'LANÇAMENTOS DIÁRIOS'!$O$5:$O$500,"&lt;=103199",'LANÇAMENTOS DIÁRIOS'!$P$5:$P$500,"&gt;=103100")&gt;0,"X","")</f>
      </c>
      <c r="AC35" s="56" t="str">
        <f>IF(COUNTIFS('LANÇAMENTOS DIÁRIOS'!$G$5:$G$500,"D",'LANÇAMENTOS DIÁRIOS'!$C$5:$C$500,$A35,'LANÇAMENTOS DIÁRIOS'!$O$5:$O$500,"&lt;=103299",'LANÇAMENTOS DIÁRIOS'!$P$5:$P$500,"&gt;=103200")&gt;0,"X","")</f>
      </c>
      <c r="AD35" s="56" t="str">
        <f>IF(COUNTIFS('LANÇAMENTOS DIÁRIOS'!$G$5:$G$500,"D",'LANÇAMENTOS DIÁRIOS'!$C$5:$C$500,$A35,'LANÇAMENTOS DIÁRIOS'!$O$5:$O$500,"&lt;=103399",'LANÇAMENTOS DIÁRIOS'!$P$5:$P$500,"&gt;=103300")&gt;0,"X","")</f>
      </c>
      <c r="AE35" s="56" t="str">
        <f>IF(COUNTIFS('LANÇAMENTOS DIÁRIOS'!$G$5:$G$500,"D",'LANÇAMENTOS DIÁRIOS'!$C$5:$C$500,$A35,'LANÇAMENTOS DIÁRIOS'!$O$5:$O$500,"&lt;=103499",'LANÇAMENTOS DIÁRIOS'!$P$5:$P$500,"&gt;=103400")&gt;0,"X","")</f>
      </c>
      <c r="AF35" s="56" t="str">
        <f>IF(COUNTIFS('LANÇAMENTOS DIÁRIOS'!$G$5:$G$500,"D",'LANÇAMENTOS DIÁRIOS'!$C$5:$C$500,$A35,'LANÇAMENTOS DIÁRIOS'!$O$5:$O$500,"&lt;=103599",'LANÇAMENTOS DIÁRIOS'!$P$5:$P$500,"&gt;=103500")&gt;0,"X","")</f>
      </c>
      <c r="AG35" s="56" t="str">
        <f>IF(COUNTIFS('LANÇAMENTOS DIÁRIOS'!$G$5:$G$500,"D",'LANÇAMENTOS DIÁRIOS'!$C$5:$C$500,$A35,'LANÇAMENTOS DIÁRIOS'!$O$5:$O$500,"&lt;=103699",'LANÇAMENTOS DIÁRIOS'!$P$5:$P$500,"&gt;=103600")&gt;0,"X","")</f>
      </c>
      <c r="AH35" s="56" t="str">
        <f>IF(COUNTIFS('LANÇAMENTOS DIÁRIOS'!$G$5:$G$500,"D",'LANÇAMENTOS DIÁRIOS'!$C$5:$C$500,$A35,'LANÇAMENTOS DIÁRIOS'!$O$5:$O$500,"&lt;=103799",'LANÇAMENTOS DIÁRIOS'!$P$5:$P$500,"&gt;=103700")&gt;0,"X","")</f>
      </c>
      <c r="AI35" s="56" t="str">
        <f>IF(COUNTIFS('LANÇAMENTOS DIÁRIOS'!$G$5:$G$500,"D",'LANÇAMENTOS DIÁRIOS'!$C$5:$C$500,$A35,'LANÇAMENTOS DIÁRIOS'!$O$5:$O$500,"&lt;=103899",'LANÇAMENTOS DIÁRIOS'!$P$5:$P$500,"&gt;=103800")&gt;0,"X","")</f>
      </c>
      <c r="AJ35" s="56" t="str">
        <f>IF(COUNTIFS('LANÇAMENTOS DIÁRIOS'!$G$5:$G$500,"D",'LANÇAMENTOS DIÁRIOS'!$C$5:$C$500,$A35,'LANÇAMENTOS DIÁRIOS'!$O$5:$O$500,"&lt;=103999",'LANÇAMENTOS DIÁRIOS'!$P$5:$P$500,"&gt;=103900")&gt;0,"X","")</f>
      </c>
      <c r="AK35" s="56" t="str">
        <f>IF(COUNTIFS('LANÇAMENTOS DIÁRIOS'!$G$5:$G$500,"D",'LANÇAMENTOS DIÁRIOS'!$C$5:$C$500,$A35,'LANÇAMENTOS DIÁRIOS'!$O$5:$O$500,"&lt;=104099",'LANÇAMENTOS DIÁRIOS'!$P$5:$P$500,"&gt;=104000")&gt;0,"X","")</f>
      </c>
      <c r="AL35" s="56" t="str">
        <f>IF(COUNTIFS('LANÇAMENTOS DIÁRIOS'!$G$5:$G$500,"D",'LANÇAMENTOS DIÁRIOS'!$C$5:$C$500,$A35,'LANÇAMENTOS DIÁRIOS'!$O$5:$O$500,"&lt;=104199",'LANÇAMENTOS DIÁRIOS'!$P$5:$P$500,"&gt;=104100")&gt;0,"X","")</f>
      </c>
      <c r="AM35" s="56" t="str">
        <f>IF(COUNTIFS('LANÇAMENTOS DIÁRIOS'!$G$5:$G$500,"D",'LANÇAMENTOS DIÁRIOS'!$C$5:$C$500,$A35,'LANÇAMENTOS DIÁRIOS'!$O$5:$O$500,"&lt;=104299",'LANÇAMENTOS DIÁRIOS'!$P$5:$P$500,"&gt;=104200")&gt;0,"X","")</f>
      </c>
      <c r="AN35" s="56" t="str">
        <f>IF(COUNTIFS('LANÇAMENTOS DIÁRIOS'!$G$5:$G$500,"D",'LANÇAMENTOS DIÁRIOS'!$C$5:$C$500,$A35,'LANÇAMENTOS DIÁRIOS'!$O$5:$O$500,"&lt;=104399",'LANÇAMENTOS DIÁRIOS'!$P$5:$P$500,"&gt;=104300")&gt;0,"X","")</f>
      </c>
      <c r="AO35" s="56" t="str">
        <f>IF(COUNTIFS('LANÇAMENTOS DIÁRIOS'!$G$5:$G$500,"D",'LANÇAMENTOS DIÁRIOS'!$C$5:$C$500,$A35,'LANÇAMENTOS DIÁRIOS'!$O$5:$O$500,"&lt;=104499",'LANÇAMENTOS DIÁRIOS'!$P$5:$P$500,"&gt;=104400")&gt;0,"X","")</f>
      </c>
      <c r="AP35" s="56" t="str">
        <f>IF(COUNTIFS('LANÇAMENTOS DIÁRIOS'!$G$5:$G$500,"D",'LANÇAMENTOS DIÁRIOS'!$C$5:$C$500,$A35,'LANÇAMENTOS DIÁRIOS'!$O$5:$O$500,"&lt;=104599",'LANÇAMENTOS DIÁRIOS'!$P$5:$P$500,"&gt;=104500")&gt;0,"X","")</f>
      </c>
      <c r="AQ35" s="56" t="str">
        <f>IF(COUNTIFS('LANÇAMENTOS DIÁRIOS'!$G$5:$G$500,"D",'LANÇAMENTOS DIÁRIOS'!$C$5:$C$500,$A35,'LANÇAMENTOS DIÁRIOS'!$O$5:$O$500,"&lt;=104699",'LANÇAMENTOS DIÁRIOS'!$P$5:$P$500,"&gt;=104600")&gt;0,"X","")</f>
      </c>
      <c r="AR35" s="56" t="str">
        <f>IF(COUNTIFS('LANÇAMENTOS DIÁRIOS'!$G$5:$G$500,"D",'LANÇAMENTOS DIÁRIOS'!$C$5:$C$500,$A35,'LANÇAMENTOS DIÁRIOS'!$O$5:$O$500,"&lt;=104799",'LANÇAMENTOS DIÁRIOS'!$P$5:$P$500,"&gt;=104700")&gt;0,"X","")</f>
      </c>
      <c r="AS35" s="56" t="str">
        <f>IF(COUNTIFS('LANÇAMENTOS DIÁRIOS'!$G$5:$G$500,"D",'LANÇAMENTOS DIÁRIOS'!$C$5:$C$500,$A35,'LANÇAMENTOS DIÁRIOS'!$O$5:$O$500,"&lt;=104899",'LANÇAMENTOS DIÁRIOS'!$P$5:$P$500,"&gt;=104800")&gt;0,"X","")</f>
      </c>
      <c r="AT35" s="56" t="str">
        <f>IF(COUNTIFS('LANÇAMENTOS DIÁRIOS'!$G$5:$G$500,"D",'LANÇAMENTOS DIÁRIOS'!$C$5:$C$500,$A35,'LANÇAMENTOS DIÁRIOS'!$O$5:$O$500,"&lt;=104999",'LANÇAMENTOS DIÁRIOS'!$P$5:$P$500,"&gt;=104900")&gt;0,"X","")</f>
      </c>
      <c r="AU35" s="56" t="str">
        <f>IF(COUNTIFS('LANÇAMENTOS DIÁRIOS'!$G$5:$G$500,"D",'LANÇAMENTOS DIÁRIOS'!$C$5:$C$500,$A35,'LANÇAMENTOS DIÁRIOS'!$O$5:$O$500,"&lt;=105099",'LANÇAMENTOS DIÁRIOS'!$P$5:$P$500,"&gt;=105000")&gt;0,"X","")</f>
      </c>
      <c r="AV35" s="56" t="str">
        <f>IF(COUNTIFS('LANÇAMENTOS DIÁRIOS'!$G$5:$G$500,"D",'LANÇAMENTOS DIÁRIOS'!$C$5:$C$500,$A35,'LANÇAMENTOS DIÁRIOS'!$O$5:$O$500,"&lt;=105199",'LANÇAMENTOS DIÁRIOS'!$P$5:$P$500,"&gt;=105100")&gt;0,"X","")</f>
      </c>
      <c r="AW35" s="56" t="str">
        <f>IF(COUNTIFS('LANÇAMENTOS DIÁRIOS'!$G$5:$G$500,"D",'LANÇAMENTOS DIÁRIOS'!$C$5:$C$500,$A35,'LANÇAMENTOS DIÁRIOS'!$O$5:$O$500,"&lt;=105299",'LANÇAMENTOS DIÁRIOS'!$P$5:$P$500,"&gt;=105200")&gt;0,"X","")</f>
      </c>
      <c r="AX35" s="56" t="str">
        <f>IF(COUNTIFS('LANÇAMENTOS DIÁRIOS'!$G$5:$G$500,"D",'LANÇAMENTOS DIÁRIOS'!$C$5:$C$500,$A35,'LANÇAMENTOS DIÁRIOS'!$O$5:$O$500,"&lt;=105399",'LANÇAMENTOS DIÁRIOS'!$P$5:$P$500,"&gt;=105300")&gt;0,"X","")</f>
      </c>
      <c r="AY35" s="56" t="str">
        <f>IF(COUNTIFS('LANÇAMENTOS DIÁRIOS'!$G$5:$G$500,"D",'LANÇAMENTOS DIÁRIOS'!$C$5:$C$500,$A35,'LANÇAMENTOS DIÁRIOS'!$O$5:$O$500,"&lt;=105499",'LANÇAMENTOS DIÁRIOS'!$P$5:$P$500,"&gt;=105400")&gt;0,"X","")</f>
      </c>
      <c r="AZ35" s="56" t="str">
        <f>IF(COUNTIFS('LANÇAMENTOS DIÁRIOS'!$G$5:$G$500,"D",'LANÇAMENTOS DIÁRIOS'!$C$5:$C$500,$A35,'LANÇAMENTOS DIÁRIOS'!$O$5:$O$500,"&lt;=105500",'LANÇAMENTOS DIÁRIOS'!$P$5:$P$500,"&gt;=105500")&gt;0,"X","")</f>
      </c>
    </row>
    <row r="36">
      <c r="A36" s="51" t="str">
        <v>Derrubada e destocamento.arv. c/ diâmetro &gt; 80cm, com limpeza da área</v>
      </c>
      <c r="B36" s="56" t="str">
        <f>IF(COUNTIFS('LANÇAMENTOS DIÁRIOS'!$G$5:$G$500,"D",'LANÇAMENTOS DIÁRIOS'!$C$5:$C$500,$A36,'LANÇAMENTOS DIÁRIOS'!$O$5:$O$500,"&lt;=100599",'LANÇAMENTOS DIÁRIOS'!$P$5:$P$500,"&gt;=100500")&gt;0,"X","")</f>
      </c>
      <c r="C36" s="56" t="str">
        <f>IF(COUNTIFS('LANÇAMENTOS DIÁRIOS'!$G$5:$G$500,"D",'LANÇAMENTOS DIÁRIOS'!$C$5:$C$500,$A36,'LANÇAMENTOS DIÁRIOS'!$O$5:$O$500,"&lt;=100699",'LANÇAMENTOS DIÁRIOS'!$P$5:$P$500,"&gt;=100600")&gt;0,"X","")</f>
      </c>
      <c r="D36" s="56" t="str">
        <f>IF(COUNTIFS('LANÇAMENTOS DIÁRIOS'!$G$5:$G$500,"D",'LANÇAMENTOS DIÁRIOS'!$C$5:$C$500,$A36,'LANÇAMENTOS DIÁRIOS'!$O$5:$O$500,"&lt;=100799",'LANÇAMENTOS DIÁRIOS'!$P$5:$P$500,"&gt;=100700")&gt;0,"X","")</f>
      </c>
      <c r="E36" s="56" t="str">
        <f>IF(COUNTIFS('LANÇAMENTOS DIÁRIOS'!$G$5:$G$500,"D",'LANÇAMENTOS DIÁRIOS'!$C$5:$C$500,$A36,'LANÇAMENTOS DIÁRIOS'!$O$5:$O$500,"&lt;=100899",'LANÇAMENTOS DIÁRIOS'!$P$5:$P$500,"&gt;=100800")&gt;0,"X","")</f>
      </c>
      <c r="F36" s="56" t="str">
        <f>IF(COUNTIFS('LANÇAMENTOS DIÁRIOS'!$G$5:$G$500,"D",'LANÇAMENTOS DIÁRIOS'!$C$5:$C$500,$A36,'LANÇAMENTOS DIÁRIOS'!$O$5:$O$500,"&lt;=100999",'LANÇAMENTOS DIÁRIOS'!$P$5:$P$500,"&gt;=100900")&gt;0,"X","")</f>
      </c>
      <c r="G36" s="56" t="str">
        <f>IF(COUNTIFS('LANÇAMENTOS DIÁRIOS'!$G$5:$G$500,"D",'LANÇAMENTOS DIÁRIOS'!$C$5:$C$500,$A36,'LANÇAMENTOS DIÁRIOS'!$O$5:$O$500,"&lt;=101099",'LANÇAMENTOS DIÁRIOS'!$P$5:$P$500,"&gt;=101000")&gt;0,"X","")</f>
      </c>
      <c r="H36" s="56" t="str">
        <f>IF(COUNTIFS('LANÇAMENTOS DIÁRIOS'!$G$5:$G$500,"D",'LANÇAMENTOS DIÁRIOS'!$C$5:$C$500,$A36,'LANÇAMENTOS DIÁRIOS'!$O$5:$O$500,"&lt;=101199",'LANÇAMENTOS DIÁRIOS'!$P$5:$P$500,"&gt;=101100")&gt;0,"X","")</f>
      </c>
      <c r="I36" s="56" t="str">
        <f>IF(COUNTIFS('LANÇAMENTOS DIÁRIOS'!$G$5:$G$500,"D",'LANÇAMENTOS DIÁRIOS'!$C$5:$C$500,$A36,'LANÇAMENTOS DIÁRIOS'!$O$5:$O$500,"&lt;=101299",'LANÇAMENTOS DIÁRIOS'!$P$5:$P$500,"&gt;=101200")&gt;0,"X","")</f>
      </c>
      <c r="J36" s="56" t="str">
        <f>IF(COUNTIFS('LANÇAMENTOS DIÁRIOS'!$G$5:$G$500,"D",'LANÇAMENTOS DIÁRIOS'!$C$5:$C$500,$A36,'LANÇAMENTOS DIÁRIOS'!$O$5:$O$500,"&lt;=101399",'LANÇAMENTOS DIÁRIOS'!$P$5:$P$500,"&gt;=101300")&gt;0,"X","")</f>
      </c>
      <c r="K36" s="56" t="str">
        <f>IF(COUNTIFS('LANÇAMENTOS DIÁRIOS'!$G$5:$G$500,"D",'LANÇAMENTOS DIÁRIOS'!$C$5:$C$500,$A36,'LANÇAMENTOS DIÁRIOS'!$O$5:$O$500,"&lt;=101499",'LANÇAMENTOS DIÁRIOS'!$P$5:$P$500,"&gt;=101400")&gt;0,"X","")</f>
      </c>
      <c r="L36" s="56" t="str">
        <f>IF(COUNTIFS('LANÇAMENTOS DIÁRIOS'!$G$5:$G$500,"D",'LANÇAMENTOS DIÁRIOS'!$C$5:$C$500,$A36,'LANÇAMENTOS DIÁRIOS'!$O$5:$O$500,"&lt;=101599",'LANÇAMENTOS DIÁRIOS'!$P$5:$P$500,"&gt;=101500")&gt;0,"X","")</f>
      </c>
      <c r="M36" s="56" t="str">
        <f>IF(COUNTIFS('LANÇAMENTOS DIÁRIOS'!$G$5:$G$500,"D",'LANÇAMENTOS DIÁRIOS'!$C$5:$C$500,$A36,'LANÇAMENTOS DIÁRIOS'!$O$5:$O$500,"&lt;=101699",'LANÇAMENTOS DIÁRIOS'!$P$5:$P$500,"&gt;=101600")&gt;0,"X","")</f>
      </c>
      <c r="N36" s="56" t="str">
        <f>IF(COUNTIFS('LANÇAMENTOS DIÁRIOS'!$G$5:$G$500,"D",'LANÇAMENTOS DIÁRIOS'!$C$5:$C$500,$A36,'LANÇAMENTOS DIÁRIOS'!$O$5:$O$500,"&lt;=101799",'LANÇAMENTOS DIÁRIOS'!$P$5:$P$500,"&gt;=101700")&gt;0,"X","")</f>
      </c>
      <c r="O36" s="56" t="str">
        <f>IF(COUNTIFS('LANÇAMENTOS DIÁRIOS'!$G$5:$G$500,"D",'LANÇAMENTOS DIÁRIOS'!$C$5:$C$500,$A36,'LANÇAMENTOS DIÁRIOS'!$O$5:$O$500,"&lt;=101899",'LANÇAMENTOS DIÁRIOS'!$P$5:$P$500,"&gt;=101800")&gt;0,"X","")</f>
      </c>
      <c r="P36" s="56" t="str">
        <f>IF(COUNTIFS('LANÇAMENTOS DIÁRIOS'!$G$5:$G$500,"D",'LANÇAMENTOS DIÁRIOS'!$C$5:$C$500,$A36,'LANÇAMENTOS DIÁRIOS'!$O$5:$O$500,"&lt;=101999",'LANÇAMENTOS DIÁRIOS'!$P$5:$P$500,"&gt;=101900")&gt;0,"X","")</f>
      </c>
      <c r="Q36" s="56" t="str">
        <f>IF(COUNTIFS('LANÇAMENTOS DIÁRIOS'!$G$5:$G$500,"D",'LANÇAMENTOS DIÁRIOS'!$C$5:$C$500,$A36,'LANÇAMENTOS DIÁRIOS'!$O$5:$O$500,"&lt;=102099",'LANÇAMENTOS DIÁRIOS'!$P$5:$P$500,"&gt;=102000")&gt;0,"X","")</f>
      </c>
      <c r="R36" s="56" t="str">
        <f>IF(COUNTIFS('LANÇAMENTOS DIÁRIOS'!$G$5:$G$500,"D",'LANÇAMENTOS DIÁRIOS'!$C$5:$C$500,$A36,'LANÇAMENTOS DIÁRIOS'!$O$5:$O$500,"&lt;=102199",'LANÇAMENTOS DIÁRIOS'!$P$5:$P$500,"&gt;=102100")&gt;0,"X","")</f>
      </c>
      <c r="S36" s="56" t="str">
        <f>IF(COUNTIFS('LANÇAMENTOS DIÁRIOS'!$G$5:$G$500,"D",'LANÇAMENTOS DIÁRIOS'!$C$5:$C$500,$A36,'LANÇAMENTOS DIÁRIOS'!$O$5:$O$500,"&lt;=102299",'LANÇAMENTOS DIÁRIOS'!$P$5:$P$500,"&gt;=102200")&gt;0,"X","")</f>
      </c>
      <c r="T36" s="56" t="str">
        <f>IF(COUNTIFS('LANÇAMENTOS DIÁRIOS'!$G$5:$G$500,"D",'LANÇAMENTOS DIÁRIOS'!$C$5:$C$500,$A36,'LANÇAMENTOS DIÁRIOS'!$O$5:$O$500,"&lt;=102399",'LANÇAMENTOS DIÁRIOS'!$P$5:$P$500,"&gt;=102300")&gt;0,"X","")</f>
      </c>
      <c r="U36" s="56" t="str">
        <f>IF(COUNTIFS('LANÇAMENTOS DIÁRIOS'!$G$5:$G$500,"D",'LANÇAMENTOS DIÁRIOS'!$C$5:$C$500,$A36,'LANÇAMENTOS DIÁRIOS'!$O$5:$O$500,"&lt;=102499",'LANÇAMENTOS DIÁRIOS'!$P$5:$P$500,"&gt;=102400")&gt;0,"X","")</f>
      </c>
      <c r="V36" s="56" t="str">
        <f>IF(COUNTIFS('LANÇAMENTOS DIÁRIOS'!$G$5:$G$500,"D",'LANÇAMENTOS DIÁRIOS'!$C$5:$C$500,$A36,'LANÇAMENTOS DIÁRIOS'!$O$5:$O$500,"&lt;=102599",'LANÇAMENTOS DIÁRIOS'!$P$5:$P$500,"&gt;=102500")&gt;0,"X","")</f>
      </c>
      <c r="W36" s="56" t="str">
        <f>IF(COUNTIFS('LANÇAMENTOS DIÁRIOS'!$G$5:$G$500,"D",'LANÇAMENTOS DIÁRIOS'!$C$5:$C$500,$A36,'LANÇAMENTOS DIÁRIOS'!$O$5:$O$500,"&lt;=102699",'LANÇAMENTOS DIÁRIOS'!$P$5:$P$500,"&gt;=102600")&gt;0,"X","")</f>
      </c>
      <c r="X36" s="56" t="str">
        <f>IF(COUNTIFS('LANÇAMENTOS DIÁRIOS'!$G$5:$G$500,"D",'LANÇAMENTOS DIÁRIOS'!$C$5:$C$500,$A36,'LANÇAMENTOS DIÁRIOS'!$O$5:$O$500,"&lt;=102799",'LANÇAMENTOS DIÁRIOS'!$P$5:$P$500,"&gt;=102700")&gt;0,"X","")</f>
      </c>
      <c r="Y36" s="56" t="str">
        <f>IF(COUNTIFS('LANÇAMENTOS DIÁRIOS'!$G$5:$G$500,"D",'LANÇAMENTOS DIÁRIOS'!$C$5:$C$500,$A36,'LANÇAMENTOS DIÁRIOS'!$O$5:$O$500,"&lt;=102899",'LANÇAMENTOS DIÁRIOS'!$P$5:$P$500,"&gt;=102800")&gt;0,"X","")</f>
      </c>
      <c r="Z36" s="56" t="str">
        <f>IF(COUNTIFS('LANÇAMENTOS DIÁRIOS'!$G$5:$G$500,"D",'LANÇAMENTOS DIÁRIOS'!$C$5:$C$500,$A36,'LANÇAMENTOS DIÁRIOS'!$O$5:$O$500,"&lt;=102999",'LANÇAMENTOS DIÁRIOS'!$P$5:$P$500,"&gt;=102900")&gt;0,"X","")</f>
      </c>
      <c r="AA36" s="56" t="str">
        <f>IF(COUNTIFS('LANÇAMENTOS DIÁRIOS'!$G$5:$G$500,"D",'LANÇAMENTOS DIÁRIOS'!$C$5:$C$500,$A36,'LANÇAMENTOS DIÁRIOS'!$O$5:$O$500,"&lt;=103099",'LANÇAMENTOS DIÁRIOS'!$P$5:$P$500,"&gt;=103000")&gt;0,"X","")</f>
      </c>
      <c r="AB36" s="56" t="str">
        <f>IF(COUNTIFS('LANÇAMENTOS DIÁRIOS'!$G$5:$G$500,"D",'LANÇAMENTOS DIÁRIOS'!$C$5:$C$500,$A36,'LANÇAMENTOS DIÁRIOS'!$O$5:$O$500,"&lt;=103199",'LANÇAMENTOS DIÁRIOS'!$P$5:$P$500,"&gt;=103100")&gt;0,"X","")</f>
      </c>
      <c r="AC36" s="56" t="str">
        <f>IF(COUNTIFS('LANÇAMENTOS DIÁRIOS'!$G$5:$G$500,"D",'LANÇAMENTOS DIÁRIOS'!$C$5:$C$500,$A36,'LANÇAMENTOS DIÁRIOS'!$O$5:$O$500,"&lt;=103299",'LANÇAMENTOS DIÁRIOS'!$P$5:$P$500,"&gt;=103200")&gt;0,"X","")</f>
      </c>
      <c r="AD36" s="56" t="str">
        <f>IF(COUNTIFS('LANÇAMENTOS DIÁRIOS'!$G$5:$G$500,"D",'LANÇAMENTOS DIÁRIOS'!$C$5:$C$500,$A36,'LANÇAMENTOS DIÁRIOS'!$O$5:$O$500,"&lt;=103399",'LANÇAMENTOS DIÁRIOS'!$P$5:$P$500,"&gt;=103300")&gt;0,"X","")</f>
      </c>
      <c r="AE36" s="56" t="str">
        <f>IF(COUNTIFS('LANÇAMENTOS DIÁRIOS'!$G$5:$G$500,"D",'LANÇAMENTOS DIÁRIOS'!$C$5:$C$500,$A36,'LANÇAMENTOS DIÁRIOS'!$O$5:$O$500,"&lt;=103499",'LANÇAMENTOS DIÁRIOS'!$P$5:$P$500,"&gt;=103400")&gt;0,"X","")</f>
      </c>
      <c r="AF36" s="56" t="str">
        <f>IF(COUNTIFS('LANÇAMENTOS DIÁRIOS'!$G$5:$G$500,"D",'LANÇAMENTOS DIÁRIOS'!$C$5:$C$500,$A36,'LANÇAMENTOS DIÁRIOS'!$O$5:$O$500,"&lt;=103599",'LANÇAMENTOS DIÁRIOS'!$P$5:$P$500,"&gt;=103500")&gt;0,"X","")</f>
      </c>
      <c r="AG36" s="56" t="str">
        <f>IF(COUNTIFS('LANÇAMENTOS DIÁRIOS'!$G$5:$G$500,"D",'LANÇAMENTOS DIÁRIOS'!$C$5:$C$500,$A36,'LANÇAMENTOS DIÁRIOS'!$O$5:$O$500,"&lt;=103699",'LANÇAMENTOS DIÁRIOS'!$P$5:$P$500,"&gt;=103600")&gt;0,"X","")</f>
      </c>
      <c r="AH36" s="56" t="str">
        <f>IF(COUNTIFS('LANÇAMENTOS DIÁRIOS'!$G$5:$G$500,"D",'LANÇAMENTOS DIÁRIOS'!$C$5:$C$500,$A36,'LANÇAMENTOS DIÁRIOS'!$O$5:$O$500,"&lt;=103799",'LANÇAMENTOS DIÁRIOS'!$P$5:$P$500,"&gt;=103700")&gt;0,"X","")</f>
      </c>
      <c r="AI36" s="56" t="str">
        <f>IF(COUNTIFS('LANÇAMENTOS DIÁRIOS'!$G$5:$G$500,"D",'LANÇAMENTOS DIÁRIOS'!$C$5:$C$500,$A36,'LANÇAMENTOS DIÁRIOS'!$O$5:$O$500,"&lt;=103899",'LANÇAMENTOS DIÁRIOS'!$P$5:$P$500,"&gt;=103800")&gt;0,"X","")</f>
      </c>
      <c r="AJ36" s="56" t="str">
        <f>IF(COUNTIFS('LANÇAMENTOS DIÁRIOS'!$G$5:$G$500,"D",'LANÇAMENTOS DIÁRIOS'!$C$5:$C$500,$A36,'LANÇAMENTOS DIÁRIOS'!$O$5:$O$500,"&lt;=103999",'LANÇAMENTOS DIÁRIOS'!$P$5:$P$500,"&gt;=103900")&gt;0,"X","")</f>
      </c>
      <c r="AK36" s="56" t="str">
        <f>IF(COUNTIFS('LANÇAMENTOS DIÁRIOS'!$G$5:$G$500,"D",'LANÇAMENTOS DIÁRIOS'!$C$5:$C$500,$A36,'LANÇAMENTOS DIÁRIOS'!$O$5:$O$500,"&lt;=104099",'LANÇAMENTOS DIÁRIOS'!$P$5:$P$500,"&gt;=104000")&gt;0,"X","")</f>
      </c>
      <c r="AL36" s="56" t="str">
        <f>IF(COUNTIFS('LANÇAMENTOS DIÁRIOS'!$G$5:$G$500,"D",'LANÇAMENTOS DIÁRIOS'!$C$5:$C$500,$A36,'LANÇAMENTOS DIÁRIOS'!$O$5:$O$500,"&lt;=104199",'LANÇAMENTOS DIÁRIOS'!$P$5:$P$500,"&gt;=104100")&gt;0,"X","")</f>
      </c>
      <c r="AM36" s="56" t="str">
        <f>IF(COUNTIFS('LANÇAMENTOS DIÁRIOS'!$G$5:$G$500,"D",'LANÇAMENTOS DIÁRIOS'!$C$5:$C$500,$A36,'LANÇAMENTOS DIÁRIOS'!$O$5:$O$500,"&lt;=104299",'LANÇAMENTOS DIÁRIOS'!$P$5:$P$500,"&gt;=104200")&gt;0,"X","")</f>
      </c>
      <c r="AN36" s="56" t="str">
        <f>IF(COUNTIFS('LANÇAMENTOS DIÁRIOS'!$G$5:$G$500,"D",'LANÇAMENTOS DIÁRIOS'!$C$5:$C$500,$A36,'LANÇAMENTOS DIÁRIOS'!$O$5:$O$500,"&lt;=104399",'LANÇAMENTOS DIÁRIOS'!$P$5:$P$500,"&gt;=104300")&gt;0,"X","")</f>
      </c>
      <c r="AO36" s="56" t="str">
        <f>IF(COUNTIFS('LANÇAMENTOS DIÁRIOS'!$G$5:$G$500,"D",'LANÇAMENTOS DIÁRIOS'!$C$5:$C$500,$A36,'LANÇAMENTOS DIÁRIOS'!$O$5:$O$500,"&lt;=104499",'LANÇAMENTOS DIÁRIOS'!$P$5:$P$500,"&gt;=104400")&gt;0,"X","")</f>
      </c>
      <c r="AP36" s="56" t="str">
        <f>IF(COUNTIFS('LANÇAMENTOS DIÁRIOS'!$G$5:$G$500,"D",'LANÇAMENTOS DIÁRIOS'!$C$5:$C$500,$A36,'LANÇAMENTOS DIÁRIOS'!$O$5:$O$500,"&lt;=104599",'LANÇAMENTOS DIÁRIOS'!$P$5:$P$500,"&gt;=104500")&gt;0,"X","")</f>
      </c>
      <c r="AQ36" s="56" t="str">
        <f>IF(COUNTIFS('LANÇAMENTOS DIÁRIOS'!$G$5:$G$500,"D",'LANÇAMENTOS DIÁRIOS'!$C$5:$C$500,$A36,'LANÇAMENTOS DIÁRIOS'!$O$5:$O$500,"&lt;=104699",'LANÇAMENTOS DIÁRIOS'!$P$5:$P$500,"&gt;=104600")&gt;0,"X","")</f>
      </c>
      <c r="AR36" s="56" t="str">
        <f>IF(COUNTIFS('LANÇAMENTOS DIÁRIOS'!$G$5:$G$500,"D",'LANÇAMENTOS DIÁRIOS'!$C$5:$C$500,$A36,'LANÇAMENTOS DIÁRIOS'!$O$5:$O$500,"&lt;=104799",'LANÇAMENTOS DIÁRIOS'!$P$5:$P$500,"&gt;=104700")&gt;0,"X","")</f>
      </c>
      <c r="AS36" s="56" t="str">
        <f>IF(COUNTIFS('LANÇAMENTOS DIÁRIOS'!$G$5:$G$500,"D",'LANÇAMENTOS DIÁRIOS'!$C$5:$C$500,$A36,'LANÇAMENTOS DIÁRIOS'!$O$5:$O$500,"&lt;=104899",'LANÇAMENTOS DIÁRIOS'!$P$5:$P$500,"&gt;=104800")&gt;0,"X","")</f>
      </c>
      <c r="AT36" s="56" t="str">
        <f>IF(COUNTIFS('LANÇAMENTOS DIÁRIOS'!$G$5:$G$500,"D",'LANÇAMENTOS DIÁRIOS'!$C$5:$C$500,$A36,'LANÇAMENTOS DIÁRIOS'!$O$5:$O$500,"&lt;=104999",'LANÇAMENTOS DIÁRIOS'!$P$5:$P$500,"&gt;=104900")&gt;0,"X","")</f>
      </c>
      <c r="AU36" s="56" t="str">
        <f>IF(COUNTIFS('LANÇAMENTOS DIÁRIOS'!$G$5:$G$500,"D",'LANÇAMENTOS DIÁRIOS'!$C$5:$C$500,$A36,'LANÇAMENTOS DIÁRIOS'!$O$5:$O$500,"&lt;=105099",'LANÇAMENTOS DIÁRIOS'!$P$5:$P$500,"&gt;=105000")&gt;0,"X","")</f>
      </c>
      <c r="AV36" s="56" t="str">
        <f>IF(COUNTIFS('LANÇAMENTOS DIÁRIOS'!$G$5:$G$500,"D",'LANÇAMENTOS DIÁRIOS'!$C$5:$C$500,$A36,'LANÇAMENTOS DIÁRIOS'!$O$5:$O$500,"&lt;=105199",'LANÇAMENTOS DIÁRIOS'!$P$5:$P$500,"&gt;=105100")&gt;0,"X","")</f>
      </c>
      <c r="AW36" s="56" t="str">
        <f>IF(COUNTIFS('LANÇAMENTOS DIÁRIOS'!$G$5:$G$500,"D",'LANÇAMENTOS DIÁRIOS'!$C$5:$C$500,$A36,'LANÇAMENTOS DIÁRIOS'!$O$5:$O$500,"&lt;=105299",'LANÇAMENTOS DIÁRIOS'!$P$5:$P$500,"&gt;=105200")&gt;0,"X","")</f>
      </c>
      <c r="AX36" s="56" t="str">
        <f>IF(COUNTIFS('LANÇAMENTOS DIÁRIOS'!$G$5:$G$500,"D",'LANÇAMENTOS DIÁRIOS'!$C$5:$C$500,$A36,'LANÇAMENTOS DIÁRIOS'!$O$5:$O$500,"&lt;=105399",'LANÇAMENTOS DIÁRIOS'!$P$5:$P$500,"&gt;=105300")&gt;0,"X","")</f>
      </c>
      <c r="AY36" s="56" t="str">
        <f>IF(COUNTIFS('LANÇAMENTOS DIÁRIOS'!$G$5:$G$500,"D",'LANÇAMENTOS DIÁRIOS'!$C$5:$C$500,$A36,'LANÇAMENTOS DIÁRIOS'!$O$5:$O$500,"&lt;=105499",'LANÇAMENTOS DIÁRIOS'!$P$5:$P$500,"&gt;=105400")&gt;0,"X","")</f>
      </c>
      <c r="AZ36" s="56" t="str">
        <f>IF(COUNTIFS('LANÇAMENTOS DIÁRIOS'!$G$5:$G$500,"D",'LANÇAMENTOS DIÁRIOS'!$C$5:$C$500,$A36,'LANÇAMENTOS DIÁRIOS'!$O$5:$O$500,"&lt;=105500",'LANÇAMENTOS DIÁRIOS'!$P$5:$P$500,"&gt;=105500")&gt;0,"X","")</f>
      </c>
    </row>
    <row r="37" ht="19" customHeight="1">
      <c r="A37" s="68" t="str">
        <v>Corte em rocha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</row>
    <row r="38">
      <c r="A38" s="51" t="str">
        <v>Escavação de material de 3ª categoria a fogo-S/ Transporte</v>
      </c>
      <c r="B38" s="56" t="str">
        <f>IF(COUNTIFS('LANÇAMENTOS DIÁRIOS'!$G$5:$G$500,"D",'LANÇAMENTOS DIÁRIOS'!$C$5:$C$500,$A38,'LANÇAMENTOS DIÁRIOS'!$O$5:$O$500,"&lt;=100599",'LANÇAMENTOS DIÁRIOS'!$P$5:$P$500,"&gt;=100500")&gt;0,"X","")</f>
      </c>
      <c r="C38" s="56" t="str">
        <f>IF(COUNTIFS('LANÇAMENTOS DIÁRIOS'!$G$5:$G$500,"D",'LANÇAMENTOS DIÁRIOS'!$C$5:$C$500,$A38,'LANÇAMENTOS DIÁRIOS'!$O$5:$O$500,"&lt;=100699",'LANÇAMENTOS DIÁRIOS'!$P$5:$P$500,"&gt;=100600")&gt;0,"X","")</f>
      </c>
      <c r="D38" s="56" t="str">
        <f>IF(COUNTIFS('LANÇAMENTOS DIÁRIOS'!$G$5:$G$500,"D",'LANÇAMENTOS DIÁRIOS'!$C$5:$C$500,$A38,'LANÇAMENTOS DIÁRIOS'!$O$5:$O$500,"&lt;=100799",'LANÇAMENTOS DIÁRIOS'!$P$5:$P$500,"&gt;=100700")&gt;0,"X","")</f>
      </c>
      <c r="E38" s="56" t="str">
        <f>IF(COUNTIFS('LANÇAMENTOS DIÁRIOS'!$G$5:$G$500,"D",'LANÇAMENTOS DIÁRIOS'!$C$5:$C$500,$A38,'LANÇAMENTOS DIÁRIOS'!$O$5:$O$500,"&lt;=100899",'LANÇAMENTOS DIÁRIOS'!$P$5:$P$500,"&gt;=100800")&gt;0,"X","")</f>
      </c>
      <c r="F38" s="56" t="str">
        <f>IF(COUNTIFS('LANÇAMENTOS DIÁRIOS'!$G$5:$G$500,"D",'LANÇAMENTOS DIÁRIOS'!$C$5:$C$500,$A38,'LANÇAMENTOS DIÁRIOS'!$O$5:$O$500,"&lt;=100999",'LANÇAMENTOS DIÁRIOS'!$P$5:$P$500,"&gt;=100900")&gt;0,"X","")</f>
      </c>
      <c r="G38" s="56" t="str">
        <f>IF(COUNTIFS('LANÇAMENTOS DIÁRIOS'!$G$5:$G$500,"D",'LANÇAMENTOS DIÁRIOS'!$C$5:$C$500,$A38,'LANÇAMENTOS DIÁRIOS'!$O$5:$O$500,"&lt;=101099",'LANÇAMENTOS DIÁRIOS'!$P$5:$P$500,"&gt;=101000")&gt;0,"X","")</f>
      </c>
      <c r="H38" s="56" t="str">
        <f>IF(COUNTIFS('LANÇAMENTOS DIÁRIOS'!$G$5:$G$500,"D",'LANÇAMENTOS DIÁRIOS'!$C$5:$C$500,$A38,'LANÇAMENTOS DIÁRIOS'!$O$5:$O$500,"&lt;=101199",'LANÇAMENTOS DIÁRIOS'!$P$5:$P$500,"&gt;=101100")&gt;0,"X","")</f>
      </c>
      <c r="I38" s="56" t="str">
        <f>IF(COUNTIFS('LANÇAMENTOS DIÁRIOS'!$G$5:$G$500,"D",'LANÇAMENTOS DIÁRIOS'!$C$5:$C$500,$A38,'LANÇAMENTOS DIÁRIOS'!$O$5:$O$500,"&lt;=101299",'LANÇAMENTOS DIÁRIOS'!$P$5:$P$500,"&gt;=101200")&gt;0,"X","")</f>
      </c>
      <c r="J38" s="56" t="str">
        <f>IF(COUNTIFS('LANÇAMENTOS DIÁRIOS'!$G$5:$G$500,"D",'LANÇAMENTOS DIÁRIOS'!$C$5:$C$500,$A38,'LANÇAMENTOS DIÁRIOS'!$O$5:$O$500,"&lt;=101399",'LANÇAMENTOS DIÁRIOS'!$P$5:$P$500,"&gt;=101300")&gt;0,"X","")</f>
      </c>
      <c r="K38" s="56" t="str">
        <f>IF(COUNTIFS('LANÇAMENTOS DIÁRIOS'!$G$5:$G$500,"D",'LANÇAMENTOS DIÁRIOS'!$C$5:$C$500,$A38,'LANÇAMENTOS DIÁRIOS'!$O$5:$O$500,"&lt;=101499",'LANÇAMENTOS DIÁRIOS'!$P$5:$P$500,"&gt;=101400")&gt;0,"X","")</f>
      </c>
      <c r="L38" s="56" t="str">
        <f>IF(COUNTIFS('LANÇAMENTOS DIÁRIOS'!$G$5:$G$500,"D",'LANÇAMENTOS DIÁRIOS'!$C$5:$C$500,$A38,'LANÇAMENTOS DIÁRIOS'!$O$5:$O$500,"&lt;=101599",'LANÇAMENTOS DIÁRIOS'!$P$5:$P$500,"&gt;=101500")&gt;0,"X","")</f>
      </c>
      <c r="M38" s="56" t="str">
        <f>IF(COUNTIFS('LANÇAMENTOS DIÁRIOS'!$G$5:$G$500,"D",'LANÇAMENTOS DIÁRIOS'!$C$5:$C$500,$A38,'LANÇAMENTOS DIÁRIOS'!$O$5:$O$500,"&lt;=101699",'LANÇAMENTOS DIÁRIOS'!$P$5:$P$500,"&gt;=101600")&gt;0,"X","")</f>
      </c>
      <c r="N38" s="56" t="str">
        <f>IF(COUNTIFS('LANÇAMENTOS DIÁRIOS'!$G$5:$G$500,"D",'LANÇAMENTOS DIÁRIOS'!$C$5:$C$500,$A38,'LANÇAMENTOS DIÁRIOS'!$O$5:$O$500,"&lt;=101799",'LANÇAMENTOS DIÁRIOS'!$P$5:$P$500,"&gt;=101700")&gt;0,"X","")</f>
      </c>
      <c r="O38" s="56" t="str">
        <f>IF(COUNTIFS('LANÇAMENTOS DIÁRIOS'!$G$5:$G$500,"D",'LANÇAMENTOS DIÁRIOS'!$C$5:$C$500,$A38,'LANÇAMENTOS DIÁRIOS'!$O$5:$O$500,"&lt;=101899",'LANÇAMENTOS DIÁRIOS'!$P$5:$P$500,"&gt;=101800")&gt;0,"X","")</f>
      </c>
      <c r="P38" s="56" t="str">
        <f>IF(COUNTIFS('LANÇAMENTOS DIÁRIOS'!$G$5:$G$500,"D",'LANÇAMENTOS DIÁRIOS'!$C$5:$C$500,$A38,'LANÇAMENTOS DIÁRIOS'!$O$5:$O$500,"&lt;=101999",'LANÇAMENTOS DIÁRIOS'!$P$5:$P$500,"&gt;=101900")&gt;0,"X","")</f>
      </c>
      <c r="Q38" s="56" t="str">
        <f>IF(COUNTIFS('LANÇAMENTOS DIÁRIOS'!$G$5:$G$500,"D",'LANÇAMENTOS DIÁRIOS'!$C$5:$C$500,$A38,'LANÇAMENTOS DIÁRIOS'!$O$5:$O$500,"&lt;=102099",'LANÇAMENTOS DIÁRIOS'!$P$5:$P$500,"&gt;=102000")&gt;0,"X","")</f>
      </c>
      <c r="R38" s="56" t="str">
        <f>IF(COUNTIFS('LANÇAMENTOS DIÁRIOS'!$G$5:$G$500,"D",'LANÇAMENTOS DIÁRIOS'!$C$5:$C$500,$A38,'LANÇAMENTOS DIÁRIOS'!$O$5:$O$500,"&lt;=102199",'LANÇAMENTOS DIÁRIOS'!$P$5:$P$500,"&gt;=102100")&gt;0,"X","")</f>
      </c>
      <c r="S38" s="56" t="str">
        <f>IF(COUNTIFS('LANÇAMENTOS DIÁRIOS'!$G$5:$G$500,"D",'LANÇAMENTOS DIÁRIOS'!$C$5:$C$500,$A38,'LANÇAMENTOS DIÁRIOS'!$O$5:$O$500,"&lt;=102299",'LANÇAMENTOS DIÁRIOS'!$P$5:$P$500,"&gt;=102200")&gt;0,"X","")</f>
      </c>
      <c r="T38" s="56" t="str">
        <f>IF(COUNTIFS('LANÇAMENTOS DIÁRIOS'!$G$5:$G$500,"D",'LANÇAMENTOS DIÁRIOS'!$C$5:$C$500,$A38,'LANÇAMENTOS DIÁRIOS'!$O$5:$O$500,"&lt;=102399",'LANÇAMENTOS DIÁRIOS'!$P$5:$P$500,"&gt;=102300")&gt;0,"X","")</f>
      </c>
      <c r="U38" s="56" t="str">
        <f>IF(COUNTIFS('LANÇAMENTOS DIÁRIOS'!$G$5:$G$500,"D",'LANÇAMENTOS DIÁRIOS'!$C$5:$C$500,$A38,'LANÇAMENTOS DIÁRIOS'!$O$5:$O$500,"&lt;=102499",'LANÇAMENTOS DIÁRIOS'!$P$5:$P$500,"&gt;=102400")&gt;0,"X","")</f>
      </c>
      <c r="V38" s="56" t="str">
        <f>IF(COUNTIFS('LANÇAMENTOS DIÁRIOS'!$G$5:$G$500,"D",'LANÇAMENTOS DIÁRIOS'!$C$5:$C$500,$A38,'LANÇAMENTOS DIÁRIOS'!$O$5:$O$500,"&lt;=102599",'LANÇAMENTOS DIÁRIOS'!$P$5:$P$500,"&gt;=102500")&gt;0,"X","")</f>
      </c>
      <c r="W38" s="56" t="str">
        <f>IF(COUNTIFS('LANÇAMENTOS DIÁRIOS'!$G$5:$G$500,"D",'LANÇAMENTOS DIÁRIOS'!$C$5:$C$500,$A38,'LANÇAMENTOS DIÁRIOS'!$O$5:$O$500,"&lt;=102699",'LANÇAMENTOS DIÁRIOS'!$P$5:$P$500,"&gt;=102600")&gt;0,"X","")</f>
      </c>
      <c r="X38" s="56" t="str">
        <f>IF(COUNTIFS('LANÇAMENTOS DIÁRIOS'!$G$5:$G$500,"D",'LANÇAMENTOS DIÁRIOS'!$C$5:$C$500,$A38,'LANÇAMENTOS DIÁRIOS'!$O$5:$O$500,"&lt;=102799",'LANÇAMENTOS DIÁRIOS'!$P$5:$P$500,"&gt;=102700")&gt;0,"X","")</f>
      </c>
      <c r="Y38" s="56" t="str">
        <f>IF(COUNTIFS('LANÇAMENTOS DIÁRIOS'!$G$5:$G$500,"D",'LANÇAMENTOS DIÁRIOS'!$C$5:$C$500,$A38,'LANÇAMENTOS DIÁRIOS'!$O$5:$O$500,"&lt;=102899",'LANÇAMENTOS DIÁRIOS'!$P$5:$P$500,"&gt;=102800")&gt;0,"X","")</f>
      </c>
      <c r="Z38" s="56" t="str">
        <f>IF(COUNTIFS('LANÇAMENTOS DIÁRIOS'!$G$5:$G$500,"D",'LANÇAMENTOS DIÁRIOS'!$C$5:$C$500,$A38,'LANÇAMENTOS DIÁRIOS'!$O$5:$O$500,"&lt;=102999",'LANÇAMENTOS DIÁRIOS'!$P$5:$P$500,"&gt;=102900")&gt;0,"X","")</f>
      </c>
      <c r="AA38" s="56" t="str">
        <f>IF(COUNTIFS('LANÇAMENTOS DIÁRIOS'!$G$5:$G$500,"D",'LANÇAMENTOS DIÁRIOS'!$C$5:$C$500,$A38,'LANÇAMENTOS DIÁRIOS'!$O$5:$O$500,"&lt;=103099",'LANÇAMENTOS DIÁRIOS'!$P$5:$P$500,"&gt;=103000")&gt;0,"X","")</f>
      </c>
      <c r="AB38" s="56" t="str">
        <f>IF(COUNTIFS('LANÇAMENTOS DIÁRIOS'!$G$5:$G$500,"D",'LANÇAMENTOS DIÁRIOS'!$C$5:$C$500,$A38,'LANÇAMENTOS DIÁRIOS'!$O$5:$O$500,"&lt;=103199",'LANÇAMENTOS DIÁRIOS'!$P$5:$P$500,"&gt;=103100")&gt;0,"X","")</f>
      </c>
      <c r="AC38" s="56" t="str">
        <f>IF(COUNTIFS('LANÇAMENTOS DIÁRIOS'!$G$5:$G$500,"D",'LANÇAMENTOS DIÁRIOS'!$C$5:$C$500,$A38,'LANÇAMENTOS DIÁRIOS'!$O$5:$O$500,"&lt;=103299",'LANÇAMENTOS DIÁRIOS'!$P$5:$P$500,"&gt;=103200")&gt;0,"X","")</f>
      </c>
      <c r="AD38" s="56" t="str">
        <f>IF(COUNTIFS('LANÇAMENTOS DIÁRIOS'!$G$5:$G$500,"D",'LANÇAMENTOS DIÁRIOS'!$C$5:$C$500,$A38,'LANÇAMENTOS DIÁRIOS'!$O$5:$O$500,"&lt;=103399",'LANÇAMENTOS DIÁRIOS'!$P$5:$P$500,"&gt;=103300")&gt;0,"X","")</f>
      </c>
      <c r="AE38" s="56" t="str">
        <f>IF(COUNTIFS('LANÇAMENTOS DIÁRIOS'!$G$5:$G$500,"D",'LANÇAMENTOS DIÁRIOS'!$C$5:$C$500,$A38,'LANÇAMENTOS DIÁRIOS'!$O$5:$O$500,"&lt;=103499",'LANÇAMENTOS DIÁRIOS'!$P$5:$P$500,"&gt;=103400")&gt;0,"X","")</f>
      </c>
      <c r="AF38" s="56" t="str">
        <f>IF(COUNTIFS('LANÇAMENTOS DIÁRIOS'!$G$5:$G$500,"D",'LANÇAMENTOS DIÁRIOS'!$C$5:$C$500,$A38,'LANÇAMENTOS DIÁRIOS'!$O$5:$O$500,"&lt;=103599",'LANÇAMENTOS DIÁRIOS'!$P$5:$P$500,"&gt;=103500")&gt;0,"X","")</f>
      </c>
      <c r="AG38" s="56" t="str">
        <f>IF(COUNTIFS('LANÇAMENTOS DIÁRIOS'!$G$5:$G$500,"D",'LANÇAMENTOS DIÁRIOS'!$C$5:$C$500,$A38,'LANÇAMENTOS DIÁRIOS'!$O$5:$O$500,"&lt;=103699",'LANÇAMENTOS DIÁRIOS'!$P$5:$P$500,"&gt;=103600")&gt;0,"X","")</f>
      </c>
      <c r="AH38" s="56" t="str">
        <f>IF(COUNTIFS('LANÇAMENTOS DIÁRIOS'!$G$5:$G$500,"D",'LANÇAMENTOS DIÁRIOS'!$C$5:$C$500,$A38,'LANÇAMENTOS DIÁRIOS'!$O$5:$O$500,"&lt;=103799",'LANÇAMENTOS DIÁRIOS'!$P$5:$P$500,"&gt;=103700")&gt;0,"X","")</f>
      </c>
      <c r="AI38" s="56" t="str">
        <f>IF(COUNTIFS('LANÇAMENTOS DIÁRIOS'!$G$5:$G$500,"D",'LANÇAMENTOS DIÁRIOS'!$C$5:$C$500,$A38,'LANÇAMENTOS DIÁRIOS'!$O$5:$O$500,"&lt;=103899",'LANÇAMENTOS DIÁRIOS'!$P$5:$P$500,"&gt;=103800")&gt;0,"X","")</f>
      </c>
      <c r="AJ38" s="56" t="str">
        <f>IF(COUNTIFS('LANÇAMENTOS DIÁRIOS'!$G$5:$G$500,"D",'LANÇAMENTOS DIÁRIOS'!$C$5:$C$500,$A38,'LANÇAMENTOS DIÁRIOS'!$O$5:$O$500,"&lt;=103999",'LANÇAMENTOS DIÁRIOS'!$P$5:$P$500,"&gt;=103900")&gt;0,"X","")</f>
      </c>
      <c r="AK38" s="56" t="str">
        <f>IF(COUNTIFS('LANÇAMENTOS DIÁRIOS'!$G$5:$G$500,"D",'LANÇAMENTOS DIÁRIOS'!$C$5:$C$500,$A38,'LANÇAMENTOS DIÁRIOS'!$O$5:$O$500,"&lt;=104099",'LANÇAMENTOS DIÁRIOS'!$P$5:$P$500,"&gt;=104000")&gt;0,"X","")</f>
      </c>
      <c r="AL38" s="56" t="str">
        <f>IF(COUNTIFS('LANÇAMENTOS DIÁRIOS'!$G$5:$G$500,"D",'LANÇAMENTOS DIÁRIOS'!$C$5:$C$500,$A38,'LANÇAMENTOS DIÁRIOS'!$O$5:$O$500,"&lt;=104199",'LANÇAMENTOS DIÁRIOS'!$P$5:$P$500,"&gt;=104100")&gt;0,"X","")</f>
      </c>
      <c r="AM38" s="56" t="str">
        <f>IF(COUNTIFS('LANÇAMENTOS DIÁRIOS'!$G$5:$G$500,"D",'LANÇAMENTOS DIÁRIOS'!$C$5:$C$500,$A38,'LANÇAMENTOS DIÁRIOS'!$O$5:$O$500,"&lt;=104299",'LANÇAMENTOS DIÁRIOS'!$P$5:$P$500,"&gt;=104200")&gt;0,"X","")</f>
      </c>
      <c r="AN38" s="56" t="str">
        <f>IF(COUNTIFS('LANÇAMENTOS DIÁRIOS'!$G$5:$G$500,"D",'LANÇAMENTOS DIÁRIOS'!$C$5:$C$500,$A38,'LANÇAMENTOS DIÁRIOS'!$O$5:$O$500,"&lt;=104399",'LANÇAMENTOS DIÁRIOS'!$P$5:$P$500,"&gt;=104300")&gt;0,"X","")</f>
      </c>
      <c r="AO38" s="56" t="str">
        <f>IF(COUNTIFS('LANÇAMENTOS DIÁRIOS'!$G$5:$G$500,"D",'LANÇAMENTOS DIÁRIOS'!$C$5:$C$500,$A38,'LANÇAMENTOS DIÁRIOS'!$O$5:$O$500,"&lt;=104499",'LANÇAMENTOS DIÁRIOS'!$P$5:$P$500,"&gt;=104400")&gt;0,"X","")</f>
      </c>
      <c r="AP38" s="56" t="str">
        <f>IF(COUNTIFS('LANÇAMENTOS DIÁRIOS'!$G$5:$G$500,"D",'LANÇAMENTOS DIÁRIOS'!$C$5:$C$500,$A38,'LANÇAMENTOS DIÁRIOS'!$O$5:$O$500,"&lt;=104599",'LANÇAMENTOS DIÁRIOS'!$P$5:$P$500,"&gt;=104500")&gt;0,"X","")</f>
      </c>
      <c r="AQ38" s="56" t="str">
        <f>IF(COUNTIFS('LANÇAMENTOS DIÁRIOS'!$G$5:$G$500,"D",'LANÇAMENTOS DIÁRIOS'!$C$5:$C$500,$A38,'LANÇAMENTOS DIÁRIOS'!$O$5:$O$500,"&lt;=104699",'LANÇAMENTOS DIÁRIOS'!$P$5:$P$500,"&gt;=104600")&gt;0,"X","")</f>
      </c>
      <c r="AR38" s="56" t="str">
        <f>IF(COUNTIFS('LANÇAMENTOS DIÁRIOS'!$G$5:$G$500,"D",'LANÇAMENTOS DIÁRIOS'!$C$5:$C$500,$A38,'LANÇAMENTOS DIÁRIOS'!$O$5:$O$500,"&lt;=104799",'LANÇAMENTOS DIÁRIOS'!$P$5:$P$500,"&gt;=104700")&gt;0,"X","")</f>
      </c>
      <c r="AS38" s="56" t="str">
        <f>IF(COUNTIFS('LANÇAMENTOS DIÁRIOS'!$G$5:$G$500,"D",'LANÇAMENTOS DIÁRIOS'!$C$5:$C$500,$A38,'LANÇAMENTOS DIÁRIOS'!$O$5:$O$500,"&lt;=104899",'LANÇAMENTOS DIÁRIOS'!$P$5:$P$500,"&gt;=104800")&gt;0,"X","")</f>
      </c>
      <c r="AT38" s="56" t="str">
        <f>IF(COUNTIFS('LANÇAMENTOS DIÁRIOS'!$G$5:$G$500,"D",'LANÇAMENTOS DIÁRIOS'!$C$5:$C$500,$A38,'LANÇAMENTOS DIÁRIOS'!$O$5:$O$500,"&lt;=104999",'LANÇAMENTOS DIÁRIOS'!$P$5:$P$500,"&gt;=104900")&gt;0,"X","")</f>
      </c>
      <c r="AU38" s="56" t="str">
        <f>IF(COUNTIFS('LANÇAMENTOS DIÁRIOS'!$G$5:$G$500,"D",'LANÇAMENTOS DIÁRIOS'!$C$5:$C$500,$A38,'LANÇAMENTOS DIÁRIOS'!$O$5:$O$500,"&lt;=105099",'LANÇAMENTOS DIÁRIOS'!$P$5:$P$500,"&gt;=105000")&gt;0,"X","")</f>
      </c>
      <c r="AV38" s="56" t="str">
        <f>IF(COUNTIFS('LANÇAMENTOS DIÁRIOS'!$G$5:$G$500,"D",'LANÇAMENTOS DIÁRIOS'!$C$5:$C$500,$A38,'LANÇAMENTOS DIÁRIOS'!$O$5:$O$500,"&lt;=105199",'LANÇAMENTOS DIÁRIOS'!$P$5:$P$500,"&gt;=105100")&gt;0,"X","")</f>
      </c>
      <c r="AW38" s="56" t="str">
        <f>IF(COUNTIFS('LANÇAMENTOS DIÁRIOS'!$G$5:$G$500,"D",'LANÇAMENTOS DIÁRIOS'!$C$5:$C$500,$A38,'LANÇAMENTOS DIÁRIOS'!$O$5:$O$500,"&lt;=105299",'LANÇAMENTOS DIÁRIOS'!$P$5:$P$500,"&gt;=105200")&gt;0,"X","")</f>
      </c>
      <c r="AX38" s="56" t="str">
        <f>IF(COUNTIFS('LANÇAMENTOS DIÁRIOS'!$G$5:$G$500,"D",'LANÇAMENTOS DIÁRIOS'!$C$5:$C$500,$A38,'LANÇAMENTOS DIÁRIOS'!$O$5:$O$500,"&lt;=105399",'LANÇAMENTOS DIÁRIOS'!$P$5:$P$500,"&gt;=105300")&gt;0,"X","")</f>
      </c>
      <c r="AY38" s="56" t="str">
        <f>IF(COUNTIFS('LANÇAMENTOS DIÁRIOS'!$G$5:$G$500,"D",'LANÇAMENTOS DIÁRIOS'!$C$5:$C$500,$A38,'LANÇAMENTOS DIÁRIOS'!$O$5:$O$500,"&lt;=105499",'LANÇAMENTOS DIÁRIOS'!$P$5:$P$500,"&gt;=105400")&gt;0,"X","")</f>
      </c>
      <c r="AZ38" s="56" t="str">
        <f>IF(COUNTIFS('LANÇAMENTOS DIÁRIOS'!$G$5:$G$500,"D",'LANÇAMENTOS DIÁRIOS'!$C$5:$C$500,$A38,'LANÇAMENTOS DIÁRIOS'!$O$5:$O$500,"&lt;=105500",'LANÇAMENTOS DIÁRIOS'!$P$5:$P$500,"&gt;=105500")&gt;0,"X","")</f>
      </c>
    </row>
    <row r="39">
      <c r="A39" s="51" t="str">
        <v>Escavação e carga de material de 3ª categoria a, com a utilização de equipamento hidráulico (picão) - Sem Transporte</v>
      </c>
      <c r="B39" s="56" t="str">
        <f>IF(COUNTIFS('LANÇAMENTOS DIÁRIOS'!$G$5:$G$500,"D",'LANÇAMENTOS DIÁRIOS'!$C$5:$C$500,$A39,'LANÇAMENTOS DIÁRIOS'!$O$5:$O$500,"&lt;=100599",'LANÇAMENTOS DIÁRIOS'!$P$5:$P$500,"&gt;=100500")&gt;0,"X","")</f>
      </c>
      <c r="C39" s="56" t="str">
        <f>IF(COUNTIFS('LANÇAMENTOS DIÁRIOS'!$G$5:$G$500,"D",'LANÇAMENTOS DIÁRIOS'!$C$5:$C$500,$A39,'LANÇAMENTOS DIÁRIOS'!$O$5:$O$500,"&lt;=100699",'LANÇAMENTOS DIÁRIOS'!$P$5:$P$500,"&gt;=100600")&gt;0,"X","")</f>
      </c>
      <c r="D39" s="56" t="str">
        <f>IF(COUNTIFS('LANÇAMENTOS DIÁRIOS'!$G$5:$G$500,"D",'LANÇAMENTOS DIÁRIOS'!$C$5:$C$500,$A39,'LANÇAMENTOS DIÁRIOS'!$O$5:$O$500,"&lt;=100799",'LANÇAMENTOS DIÁRIOS'!$P$5:$P$500,"&gt;=100700")&gt;0,"X","")</f>
      </c>
      <c r="E39" s="56" t="str">
        <f>IF(COUNTIFS('LANÇAMENTOS DIÁRIOS'!$G$5:$G$500,"D",'LANÇAMENTOS DIÁRIOS'!$C$5:$C$500,$A39,'LANÇAMENTOS DIÁRIOS'!$O$5:$O$500,"&lt;=100899",'LANÇAMENTOS DIÁRIOS'!$P$5:$P$500,"&gt;=100800")&gt;0,"X","")</f>
      </c>
      <c r="F39" s="56" t="str">
        <f>IF(COUNTIFS('LANÇAMENTOS DIÁRIOS'!$G$5:$G$500,"D",'LANÇAMENTOS DIÁRIOS'!$C$5:$C$500,$A39,'LANÇAMENTOS DIÁRIOS'!$O$5:$O$500,"&lt;=100999",'LANÇAMENTOS DIÁRIOS'!$P$5:$P$500,"&gt;=100900")&gt;0,"X","")</f>
      </c>
      <c r="G39" s="56" t="str">
        <f>IF(COUNTIFS('LANÇAMENTOS DIÁRIOS'!$G$5:$G$500,"D",'LANÇAMENTOS DIÁRIOS'!$C$5:$C$500,$A39,'LANÇAMENTOS DIÁRIOS'!$O$5:$O$500,"&lt;=101099",'LANÇAMENTOS DIÁRIOS'!$P$5:$P$500,"&gt;=101000")&gt;0,"X","")</f>
      </c>
      <c r="H39" s="56" t="str">
        <f>IF(COUNTIFS('LANÇAMENTOS DIÁRIOS'!$G$5:$G$500,"D",'LANÇAMENTOS DIÁRIOS'!$C$5:$C$500,$A39,'LANÇAMENTOS DIÁRIOS'!$O$5:$O$500,"&lt;=101199",'LANÇAMENTOS DIÁRIOS'!$P$5:$P$500,"&gt;=101100")&gt;0,"X","")</f>
      </c>
      <c r="I39" s="56" t="str">
        <f>IF(COUNTIFS('LANÇAMENTOS DIÁRIOS'!$G$5:$G$500,"D",'LANÇAMENTOS DIÁRIOS'!$C$5:$C$500,$A39,'LANÇAMENTOS DIÁRIOS'!$O$5:$O$500,"&lt;=101299",'LANÇAMENTOS DIÁRIOS'!$P$5:$P$500,"&gt;=101200")&gt;0,"X","")</f>
      </c>
      <c r="J39" s="56" t="str">
        <f>IF(COUNTIFS('LANÇAMENTOS DIÁRIOS'!$G$5:$G$500,"D",'LANÇAMENTOS DIÁRIOS'!$C$5:$C$500,$A39,'LANÇAMENTOS DIÁRIOS'!$O$5:$O$500,"&lt;=101399",'LANÇAMENTOS DIÁRIOS'!$P$5:$P$500,"&gt;=101300")&gt;0,"X","")</f>
      </c>
      <c r="K39" s="56" t="str">
        <f>IF(COUNTIFS('LANÇAMENTOS DIÁRIOS'!$G$5:$G$500,"D",'LANÇAMENTOS DIÁRIOS'!$C$5:$C$500,$A39,'LANÇAMENTOS DIÁRIOS'!$O$5:$O$500,"&lt;=101499",'LANÇAMENTOS DIÁRIOS'!$P$5:$P$500,"&gt;=101400")&gt;0,"X","")</f>
      </c>
      <c r="L39" s="56" t="str">
        <f>IF(COUNTIFS('LANÇAMENTOS DIÁRIOS'!$G$5:$G$500,"D",'LANÇAMENTOS DIÁRIOS'!$C$5:$C$500,$A39,'LANÇAMENTOS DIÁRIOS'!$O$5:$O$500,"&lt;=101599",'LANÇAMENTOS DIÁRIOS'!$P$5:$P$500,"&gt;=101500")&gt;0,"X","")</f>
      </c>
      <c r="M39" s="56" t="str">
        <f>IF(COUNTIFS('LANÇAMENTOS DIÁRIOS'!$G$5:$G$500,"D",'LANÇAMENTOS DIÁRIOS'!$C$5:$C$500,$A39,'LANÇAMENTOS DIÁRIOS'!$O$5:$O$500,"&lt;=101699",'LANÇAMENTOS DIÁRIOS'!$P$5:$P$500,"&gt;=101600")&gt;0,"X","")</f>
      </c>
      <c r="N39" s="56" t="str">
        <f>IF(COUNTIFS('LANÇAMENTOS DIÁRIOS'!$G$5:$G$500,"D",'LANÇAMENTOS DIÁRIOS'!$C$5:$C$500,$A39,'LANÇAMENTOS DIÁRIOS'!$O$5:$O$500,"&lt;=101799",'LANÇAMENTOS DIÁRIOS'!$P$5:$P$500,"&gt;=101700")&gt;0,"X","")</f>
      </c>
      <c r="O39" s="56" t="str">
        <f>IF(COUNTIFS('LANÇAMENTOS DIÁRIOS'!$G$5:$G$500,"D",'LANÇAMENTOS DIÁRIOS'!$C$5:$C$500,$A39,'LANÇAMENTOS DIÁRIOS'!$O$5:$O$500,"&lt;=101899",'LANÇAMENTOS DIÁRIOS'!$P$5:$P$500,"&gt;=101800")&gt;0,"X","")</f>
      </c>
      <c r="P39" s="56" t="str">
        <f>IF(COUNTIFS('LANÇAMENTOS DIÁRIOS'!$G$5:$G$500,"D",'LANÇAMENTOS DIÁRIOS'!$C$5:$C$500,$A39,'LANÇAMENTOS DIÁRIOS'!$O$5:$O$500,"&lt;=101999",'LANÇAMENTOS DIÁRIOS'!$P$5:$P$500,"&gt;=101900")&gt;0,"X","")</f>
      </c>
      <c r="Q39" s="56" t="str">
        <f>IF(COUNTIFS('LANÇAMENTOS DIÁRIOS'!$G$5:$G$500,"D",'LANÇAMENTOS DIÁRIOS'!$C$5:$C$500,$A39,'LANÇAMENTOS DIÁRIOS'!$O$5:$O$500,"&lt;=102099",'LANÇAMENTOS DIÁRIOS'!$P$5:$P$500,"&gt;=102000")&gt;0,"X","")</f>
      </c>
      <c r="R39" s="56" t="str">
        <f>IF(COUNTIFS('LANÇAMENTOS DIÁRIOS'!$G$5:$G$500,"D",'LANÇAMENTOS DIÁRIOS'!$C$5:$C$500,$A39,'LANÇAMENTOS DIÁRIOS'!$O$5:$O$500,"&lt;=102199",'LANÇAMENTOS DIÁRIOS'!$P$5:$P$500,"&gt;=102100")&gt;0,"X","")</f>
      </c>
      <c r="S39" s="56" t="str">
        <f>IF(COUNTIFS('LANÇAMENTOS DIÁRIOS'!$G$5:$G$500,"D",'LANÇAMENTOS DIÁRIOS'!$C$5:$C$500,$A39,'LANÇAMENTOS DIÁRIOS'!$O$5:$O$500,"&lt;=102299",'LANÇAMENTOS DIÁRIOS'!$P$5:$P$500,"&gt;=102200")&gt;0,"X","")</f>
      </c>
      <c r="T39" s="56" t="str">
        <f>IF(COUNTIFS('LANÇAMENTOS DIÁRIOS'!$G$5:$G$500,"D",'LANÇAMENTOS DIÁRIOS'!$C$5:$C$500,$A39,'LANÇAMENTOS DIÁRIOS'!$O$5:$O$500,"&lt;=102399",'LANÇAMENTOS DIÁRIOS'!$P$5:$P$500,"&gt;=102300")&gt;0,"X","")</f>
      </c>
      <c r="U39" s="56" t="str">
        <f>IF(COUNTIFS('LANÇAMENTOS DIÁRIOS'!$G$5:$G$500,"D",'LANÇAMENTOS DIÁRIOS'!$C$5:$C$500,$A39,'LANÇAMENTOS DIÁRIOS'!$O$5:$O$500,"&lt;=102499",'LANÇAMENTOS DIÁRIOS'!$P$5:$P$500,"&gt;=102400")&gt;0,"X","")</f>
      </c>
      <c r="V39" s="56" t="str">
        <f>IF(COUNTIFS('LANÇAMENTOS DIÁRIOS'!$G$5:$G$500,"D",'LANÇAMENTOS DIÁRIOS'!$C$5:$C$500,$A39,'LANÇAMENTOS DIÁRIOS'!$O$5:$O$500,"&lt;=102599",'LANÇAMENTOS DIÁRIOS'!$P$5:$P$500,"&gt;=102500")&gt;0,"X","")</f>
      </c>
      <c r="W39" s="56" t="str">
        <f>IF(COUNTIFS('LANÇAMENTOS DIÁRIOS'!$G$5:$G$500,"D",'LANÇAMENTOS DIÁRIOS'!$C$5:$C$500,$A39,'LANÇAMENTOS DIÁRIOS'!$O$5:$O$500,"&lt;=102699",'LANÇAMENTOS DIÁRIOS'!$P$5:$P$500,"&gt;=102600")&gt;0,"X","")</f>
      </c>
      <c r="X39" s="56" t="str">
        <f>IF(COUNTIFS('LANÇAMENTOS DIÁRIOS'!$G$5:$G$500,"D",'LANÇAMENTOS DIÁRIOS'!$C$5:$C$500,$A39,'LANÇAMENTOS DIÁRIOS'!$O$5:$O$500,"&lt;=102799",'LANÇAMENTOS DIÁRIOS'!$P$5:$P$500,"&gt;=102700")&gt;0,"X","")</f>
      </c>
      <c r="Y39" s="56" t="str">
        <f>IF(COUNTIFS('LANÇAMENTOS DIÁRIOS'!$G$5:$G$500,"D",'LANÇAMENTOS DIÁRIOS'!$C$5:$C$500,$A39,'LANÇAMENTOS DIÁRIOS'!$O$5:$O$500,"&lt;=102899",'LANÇAMENTOS DIÁRIOS'!$P$5:$P$500,"&gt;=102800")&gt;0,"X","")</f>
      </c>
      <c r="Z39" s="56" t="str">
        <f>IF(COUNTIFS('LANÇAMENTOS DIÁRIOS'!$G$5:$G$500,"D",'LANÇAMENTOS DIÁRIOS'!$C$5:$C$500,$A39,'LANÇAMENTOS DIÁRIOS'!$O$5:$O$500,"&lt;=102999",'LANÇAMENTOS DIÁRIOS'!$P$5:$P$500,"&gt;=102900")&gt;0,"X","")</f>
      </c>
      <c r="AA39" s="56" t="str">
        <f>IF(COUNTIFS('LANÇAMENTOS DIÁRIOS'!$G$5:$G$500,"D",'LANÇAMENTOS DIÁRIOS'!$C$5:$C$500,$A39,'LANÇAMENTOS DIÁRIOS'!$O$5:$O$500,"&lt;=103099",'LANÇAMENTOS DIÁRIOS'!$P$5:$P$500,"&gt;=103000")&gt;0,"X","")</f>
      </c>
      <c r="AB39" s="56" t="str">
        <f>IF(COUNTIFS('LANÇAMENTOS DIÁRIOS'!$G$5:$G$500,"D",'LANÇAMENTOS DIÁRIOS'!$C$5:$C$500,$A39,'LANÇAMENTOS DIÁRIOS'!$O$5:$O$500,"&lt;=103199",'LANÇAMENTOS DIÁRIOS'!$P$5:$P$500,"&gt;=103100")&gt;0,"X","")</f>
      </c>
      <c r="AC39" s="56" t="str">
        <f>IF(COUNTIFS('LANÇAMENTOS DIÁRIOS'!$G$5:$G$500,"D",'LANÇAMENTOS DIÁRIOS'!$C$5:$C$500,$A39,'LANÇAMENTOS DIÁRIOS'!$O$5:$O$500,"&lt;=103299",'LANÇAMENTOS DIÁRIOS'!$P$5:$P$500,"&gt;=103200")&gt;0,"X","")</f>
      </c>
      <c r="AD39" s="56" t="str">
        <f>IF(COUNTIFS('LANÇAMENTOS DIÁRIOS'!$G$5:$G$500,"D",'LANÇAMENTOS DIÁRIOS'!$C$5:$C$500,$A39,'LANÇAMENTOS DIÁRIOS'!$O$5:$O$500,"&lt;=103399",'LANÇAMENTOS DIÁRIOS'!$P$5:$P$500,"&gt;=103300")&gt;0,"X","")</f>
      </c>
      <c r="AE39" s="56" t="str">
        <f>IF(COUNTIFS('LANÇAMENTOS DIÁRIOS'!$G$5:$G$500,"D",'LANÇAMENTOS DIÁRIOS'!$C$5:$C$500,$A39,'LANÇAMENTOS DIÁRIOS'!$O$5:$O$500,"&lt;=103499",'LANÇAMENTOS DIÁRIOS'!$P$5:$P$500,"&gt;=103400")&gt;0,"X","")</f>
      </c>
      <c r="AF39" s="56" t="str">
        <f>IF(COUNTIFS('LANÇAMENTOS DIÁRIOS'!$G$5:$G$500,"D",'LANÇAMENTOS DIÁRIOS'!$C$5:$C$500,$A39,'LANÇAMENTOS DIÁRIOS'!$O$5:$O$500,"&lt;=103599",'LANÇAMENTOS DIÁRIOS'!$P$5:$P$500,"&gt;=103500")&gt;0,"X","")</f>
      </c>
      <c r="AG39" s="56" t="str">
        <f>IF(COUNTIFS('LANÇAMENTOS DIÁRIOS'!$G$5:$G$500,"D",'LANÇAMENTOS DIÁRIOS'!$C$5:$C$500,$A39,'LANÇAMENTOS DIÁRIOS'!$O$5:$O$500,"&lt;=103699",'LANÇAMENTOS DIÁRIOS'!$P$5:$P$500,"&gt;=103600")&gt;0,"X","")</f>
      </c>
      <c r="AH39" s="56" t="str">
        <f>IF(COUNTIFS('LANÇAMENTOS DIÁRIOS'!$G$5:$G$500,"D",'LANÇAMENTOS DIÁRIOS'!$C$5:$C$500,$A39,'LANÇAMENTOS DIÁRIOS'!$O$5:$O$500,"&lt;=103799",'LANÇAMENTOS DIÁRIOS'!$P$5:$P$500,"&gt;=103700")&gt;0,"X","")</f>
      </c>
      <c r="AI39" s="56" t="str">
        <f>IF(COUNTIFS('LANÇAMENTOS DIÁRIOS'!$G$5:$G$500,"D",'LANÇAMENTOS DIÁRIOS'!$C$5:$C$500,$A39,'LANÇAMENTOS DIÁRIOS'!$O$5:$O$500,"&lt;=103899",'LANÇAMENTOS DIÁRIOS'!$P$5:$P$500,"&gt;=103800")&gt;0,"X","")</f>
      </c>
      <c r="AJ39" s="56" t="str">
        <f>IF(COUNTIFS('LANÇAMENTOS DIÁRIOS'!$G$5:$G$500,"D",'LANÇAMENTOS DIÁRIOS'!$C$5:$C$500,$A39,'LANÇAMENTOS DIÁRIOS'!$O$5:$O$500,"&lt;=103999",'LANÇAMENTOS DIÁRIOS'!$P$5:$P$500,"&gt;=103900")&gt;0,"X","")</f>
      </c>
      <c r="AK39" s="56" t="str">
        <f>IF(COUNTIFS('LANÇAMENTOS DIÁRIOS'!$G$5:$G$500,"D",'LANÇAMENTOS DIÁRIOS'!$C$5:$C$500,$A39,'LANÇAMENTOS DIÁRIOS'!$O$5:$O$500,"&lt;=104099",'LANÇAMENTOS DIÁRIOS'!$P$5:$P$500,"&gt;=104000")&gt;0,"X","")</f>
      </c>
      <c r="AL39" s="56" t="str">
        <f>IF(COUNTIFS('LANÇAMENTOS DIÁRIOS'!$G$5:$G$500,"D",'LANÇAMENTOS DIÁRIOS'!$C$5:$C$500,$A39,'LANÇAMENTOS DIÁRIOS'!$O$5:$O$500,"&lt;=104199",'LANÇAMENTOS DIÁRIOS'!$P$5:$P$500,"&gt;=104100")&gt;0,"X","")</f>
      </c>
      <c r="AM39" s="56" t="str">
        <f>IF(COUNTIFS('LANÇAMENTOS DIÁRIOS'!$G$5:$G$500,"D",'LANÇAMENTOS DIÁRIOS'!$C$5:$C$500,$A39,'LANÇAMENTOS DIÁRIOS'!$O$5:$O$500,"&lt;=104299",'LANÇAMENTOS DIÁRIOS'!$P$5:$P$500,"&gt;=104200")&gt;0,"X","")</f>
      </c>
      <c r="AN39" s="56" t="str">
        <f>IF(COUNTIFS('LANÇAMENTOS DIÁRIOS'!$G$5:$G$500,"D",'LANÇAMENTOS DIÁRIOS'!$C$5:$C$500,$A39,'LANÇAMENTOS DIÁRIOS'!$O$5:$O$500,"&lt;=104399",'LANÇAMENTOS DIÁRIOS'!$P$5:$P$500,"&gt;=104300")&gt;0,"X","")</f>
      </c>
      <c r="AO39" s="56" t="str">
        <f>IF(COUNTIFS('LANÇAMENTOS DIÁRIOS'!$G$5:$G$500,"D",'LANÇAMENTOS DIÁRIOS'!$C$5:$C$500,$A39,'LANÇAMENTOS DIÁRIOS'!$O$5:$O$500,"&lt;=104499",'LANÇAMENTOS DIÁRIOS'!$P$5:$P$500,"&gt;=104400")&gt;0,"X","")</f>
      </c>
      <c r="AP39" s="56" t="str">
        <f>IF(COUNTIFS('LANÇAMENTOS DIÁRIOS'!$G$5:$G$500,"D",'LANÇAMENTOS DIÁRIOS'!$C$5:$C$500,$A39,'LANÇAMENTOS DIÁRIOS'!$O$5:$O$500,"&lt;=104599",'LANÇAMENTOS DIÁRIOS'!$P$5:$P$500,"&gt;=104500")&gt;0,"X","")</f>
      </c>
      <c r="AQ39" s="56" t="str">
        <f>IF(COUNTIFS('LANÇAMENTOS DIÁRIOS'!$G$5:$G$500,"D",'LANÇAMENTOS DIÁRIOS'!$C$5:$C$500,$A39,'LANÇAMENTOS DIÁRIOS'!$O$5:$O$500,"&lt;=104699",'LANÇAMENTOS DIÁRIOS'!$P$5:$P$500,"&gt;=104600")&gt;0,"X","")</f>
      </c>
      <c r="AR39" s="56" t="str">
        <f>IF(COUNTIFS('LANÇAMENTOS DIÁRIOS'!$G$5:$G$500,"D",'LANÇAMENTOS DIÁRIOS'!$C$5:$C$500,$A39,'LANÇAMENTOS DIÁRIOS'!$O$5:$O$500,"&lt;=104799",'LANÇAMENTOS DIÁRIOS'!$P$5:$P$500,"&gt;=104700")&gt;0,"X","")</f>
      </c>
      <c r="AS39" s="56" t="str">
        <f>IF(COUNTIFS('LANÇAMENTOS DIÁRIOS'!$G$5:$G$500,"D",'LANÇAMENTOS DIÁRIOS'!$C$5:$C$500,$A39,'LANÇAMENTOS DIÁRIOS'!$O$5:$O$500,"&lt;=104899",'LANÇAMENTOS DIÁRIOS'!$P$5:$P$500,"&gt;=104800")&gt;0,"X","")</f>
      </c>
      <c r="AT39" s="56" t="str">
        <f>IF(COUNTIFS('LANÇAMENTOS DIÁRIOS'!$G$5:$G$500,"D",'LANÇAMENTOS DIÁRIOS'!$C$5:$C$500,$A39,'LANÇAMENTOS DIÁRIOS'!$O$5:$O$500,"&lt;=104999",'LANÇAMENTOS DIÁRIOS'!$P$5:$P$500,"&gt;=104900")&gt;0,"X","")</f>
      </c>
      <c r="AU39" s="56" t="str">
        <f>IF(COUNTIFS('LANÇAMENTOS DIÁRIOS'!$G$5:$G$500,"D",'LANÇAMENTOS DIÁRIOS'!$C$5:$C$500,$A39,'LANÇAMENTOS DIÁRIOS'!$O$5:$O$500,"&lt;=105099",'LANÇAMENTOS DIÁRIOS'!$P$5:$P$500,"&gt;=105000")&gt;0,"X","")</f>
      </c>
      <c r="AV39" s="56" t="str">
        <f>IF(COUNTIFS('LANÇAMENTOS DIÁRIOS'!$G$5:$G$500,"D",'LANÇAMENTOS DIÁRIOS'!$C$5:$C$500,$A39,'LANÇAMENTOS DIÁRIOS'!$O$5:$O$500,"&lt;=105199",'LANÇAMENTOS DIÁRIOS'!$P$5:$P$500,"&gt;=105100")&gt;0,"X","")</f>
      </c>
      <c r="AW39" s="56" t="str">
        <f>IF(COUNTIFS('LANÇAMENTOS DIÁRIOS'!$G$5:$G$500,"D",'LANÇAMENTOS DIÁRIOS'!$C$5:$C$500,$A39,'LANÇAMENTOS DIÁRIOS'!$O$5:$O$500,"&lt;=105299",'LANÇAMENTOS DIÁRIOS'!$P$5:$P$500,"&gt;=105200")&gt;0,"X","")</f>
      </c>
      <c r="AX39" s="56" t="str">
        <f>IF(COUNTIFS('LANÇAMENTOS DIÁRIOS'!$G$5:$G$500,"D",'LANÇAMENTOS DIÁRIOS'!$C$5:$C$500,$A39,'LANÇAMENTOS DIÁRIOS'!$O$5:$O$500,"&lt;=105399",'LANÇAMENTOS DIÁRIOS'!$P$5:$P$500,"&gt;=105300")&gt;0,"X","")</f>
      </c>
      <c r="AY39" s="56" t="str">
        <f>IF(COUNTIFS('LANÇAMENTOS DIÁRIOS'!$G$5:$G$500,"D",'LANÇAMENTOS DIÁRIOS'!$C$5:$C$500,$A39,'LANÇAMENTOS DIÁRIOS'!$O$5:$O$500,"&lt;=105499",'LANÇAMENTOS DIÁRIOS'!$P$5:$P$500,"&gt;=105400")&gt;0,"X","")</f>
      </c>
      <c r="AZ39" s="56" t="str">
        <f>IF(COUNTIFS('LANÇAMENTOS DIÁRIOS'!$G$5:$G$500,"D",'LANÇAMENTOS DIÁRIOS'!$C$5:$C$500,$A39,'LANÇAMENTOS DIÁRIOS'!$O$5:$O$500,"&lt;=105500",'LANÇAMENTOS DIÁRIOS'!$P$5:$P$500,"&gt;=105500")&gt;0,"X","")</f>
      </c>
    </row>
    <row r="40" ht="19" customHeight="1">
      <c r="A40" s="68" t="str">
        <v>Corte em solo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</row>
    <row r="41">
      <c r="A41" s="51" t="str">
        <v>Escavação de material de 1ª e 2ª categoria - Sem transporte</v>
      </c>
      <c r="B41" s="56" t="str">
        <f>IF(COUNTIFS('LANÇAMENTOS DIÁRIOS'!$G$5:$G$500,"D",'LANÇAMENTOS DIÁRIOS'!$C$5:$C$500,$A41,'LANÇAMENTOS DIÁRIOS'!$O$5:$O$500,"&lt;=100599",'LANÇAMENTOS DIÁRIOS'!$P$5:$P$500,"&gt;=100500")&gt;0,"X","")</f>
      </c>
      <c r="C41" s="56" t="str">
        <f>IF(COUNTIFS('LANÇAMENTOS DIÁRIOS'!$G$5:$G$500,"D",'LANÇAMENTOS DIÁRIOS'!$C$5:$C$500,$A41,'LANÇAMENTOS DIÁRIOS'!$O$5:$O$500,"&lt;=100699",'LANÇAMENTOS DIÁRIOS'!$P$5:$P$500,"&gt;=100600")&gt;0,"X","")</f>
      </c>
      <c r="D41" s="56" t="str">
        <f>IF(COUNTIFS('LANÇAMENTOS DIÁRIOS'!$G$5:$G$500,"D",'LANÇAMENTOS DIÁRIOS'!$C$5:$C$500,$A41,'LANÇAMENTOS DIÁRIOS'!$O$5:$O$500,"&lt;=100799",'LANÇAMENTOS DIÁRIOS'!$P$5:$P$500,"&gt;=100700")&gt;0,"X","")</f>
      </c>
      <c r="E41" s="56" t="str">
        <f>IF(COUNTIFS('LANÇAMENTOS DIÁRIOS'!$G$5:$G$500,"D",'LANÇAMENTOS DIÁRIOS'!$C$5:$C$500,$A41,'LANÇAMENTOS DIÁRIOS'!$O$5:$O$500,"&lt;=100899",'LANÇAMENTOS DIÁRIOS'!$P$5:$P$500,"&gt;=100800")&gt;0,"X","")</f>
      </c>
      <c r="F41" s="56" t="str">
        <f>IF(COUNTIFS('LANÇAMENTOS DIÁRIOS'!$G$5:$G$500,"D",'LANÇAMENTOS DIÁRIOS'!$C$5:$C$500,$A41,'LANÇAMENTOS DIÁRIOS'!$O$5:$O$500,"&lt;=100999",'LANÇAMENTOS DIÁRIOS'!$P$5:$P$500,"&gt;=100900")&gt;0,"X","")</f>
      </c>
      <c r="G41" s="56" t="str">
        <f>IF(COUNTIFS('LANÇAMENTOS DIÁRIOS'!$G$5:$G$500,"D",'LANÇAMENTOS DIÁRIOS'!$C$5:$C$500,$A41,'LANÇAMENTOS DIÁRIOS'!$O$5:$O$500,"&lt;=101099",'LANÇAMENTOS DIÁRIOS'!$P$5:$P$500,"&gt;=101000")&gt;0,"X","")</f>
      </c>
      <c r="H41" s="56" t="str">
        <f>IF(COUNTIFS('LANÇAMENTOS DIÁRIOS'!$G$5:$G$500,"D",'LANÇAMENTOS DIÁRIOS'!$C$5:$C$500,$A41,'LANÇAMENTOS DIÁRIOS'!$O$5:$O$500,"&lt;=101199",'LANÇAMENTOS DIÁRIOS'!$P$5:$P$500,"&gt;=101100")&gt;0,"X","")</f>
      </c>
      <c r="I41" s="56" t="str">
        <f>IF(COUNTIFS('LANÇAMENTOS DIÁRIOS'!$G$5:$G$500,"D",'LANÇAMENTOS DIÁRIOS'!$C$5:$C$500,$A41,'LANÇAMENTOS DIÁRIOS'!$O$5:$O$500,"&lt;=101299",'LANÇAMENTOS DIÁRIOS'!$P$5:$P$500,"&gt;=101200")&gt;0,"X","")</f>
      </c>
      <c r="J41" s="56" t="str">
        <f>IF(COUNTIFS('LANÇAMENTOS DIÁRIOS'!$G$5:$G$500,"D",'LANÇAMENTOS DIÁRIOS'!$C$5:$C$500,$A41,'LANÇAMENTOS DIÁRIOS'!$O$5:$O$500,"&lt;=101399",'LANÇAMENTOS DIÁRIOS'!$P$5:$P$500,"&gt;=101300")&gt;0,"X","")</f>
      </c>
      <c r="K41" s="56" t="str">
        <f>IF(COUNTIFS('LANÇAMENTOS DIÁRIOS'!$G$5:$G$500,"D",'LANÇAMENTOS DIÁRIOS'!$C$5:$C$500,$A41,'LANÇAMENTOS DIÁRIOS'!$O$5:$O$500,"&lt;=101499",'LANÇAMENTOS DIÁRIOS'!$P$5:$P$500,"&gt;=101400")&gt;0,"X","")</f>
      </c>
      <c r="L41" s="56" t="str">
        <f>IF(COUNTIFS('LANÇAMENTOS DIÁRIOS'!$G$5:$G$500,"D",'LANÇAMENTOS DIÁRIOS'!$C$5:$C$500,$A41,'LANÇAMENTOS DIÁRIOS'!$O$5:$O$500,"&lt;=101599",'LANÇAMENTOS DIÁRIOS'!$P$5:$P$500,"&gt;=101500")&gt;0,"X","")</f>
      </c>
      <c r="M41" s="56" t="str">
        <f>IF(COUNTIFS('LANÇAMENTOS DIÁRIOS'!$G$5:$G$500,"D",'LANÇAMENTOS DIÁRIOS'!$C$5:$C$500,$A41,'LANÇAMENTOS DIÁRIOS'!$O$5:$O$500,"&lt;=101699",'LANÇAMENTOS DIÁRIOS'!$P$5:$P$500,"&gt;=101600")&gt;0,"X","")</f>
      </c>
      <c r="N41" s="56" t="str">
        <f>IF(COUNTIFS('LANÇAMENTOS DIÁRIOS'!$G$5:$G$500,"D",'LANÇAMENTOS DIÁRIOS'!$C$5:$C$500,$A41,'LANÇAMENTOS DIÁRIOS'!$O$5:$O$500,"&lt;=101799",'LANÇAMENTOS DIÁRIOS'!$P$5:$P$500,"&gt;=101700")&gt;0,"X","")</f>
      </c>
      <c r="O41" s="56" t="str">
        <f>IF(COUNTIFS('LANÇAMENTOS DIÁRIOS'!$G$5:$G$500,"D",'LANÇAMENTOS DIÁRIOS'!$C$5:$C$500,$A41,'LANÇAMENTOS DIÁRIOS'!$O$5:$O$500,"&lt;=101899",'LANÇAMENTOS DIÁRIOS'!$P$5:$P$500,"&gt;=101800")&gt;0,"X","")</f>
      </c>
      <c r="P41" s="56" t="str">
        <f>IF(COUNTIFS('LANÇAMENTOS DIÁRIOS'!$G$5:$G$500,"D",'LANÇAMENTOS DIÁRIOS'!$C$5:$C$500,$A41,'LANÇAMENTOS DIÁRIOS'!$O$5:$O$500,"&lt;=101999",'LANÇAMENTOS DIÁRIOS'!$P$5:$P$500,"&gt;=101900")&gt;0,"X","")</f>
      </c>
      <c r="Q41" s="56" t="str">
        <f>IF(COUNTIFS('LANÇAMENTOS DIÁRIOS'!$G$5:$G$500,"D",'LANÇAMENTOS DIÁRIOS'!$C$5:$C$500,$A41,'LANÇAMENTOS DIÁRIOS'!$O$5:$O$500,"&lt;=102099",'LANÇAMENTOS DIÁRIOS'!$P$5:$P$500,"&gt;=102000")&gt;0,"X","")</f>
      </c>
      <c r="R41" s="56" t="str">
        <f>IF(COUNTIFS('LANÇAMENTOS DIÁRIOS'!$G$5:$G$500,"D",'LANÇAMENTOS DIÁRIOS'!$C$5:$C$500,$A41,'LANÇAMENTOS DIÁRIOS'!$O$5:$O$500,"&lt;=102199",'LANÇAMENTOS DIÁRIOS'!$P$5:$P$500,"&gt;=102100")&gt;0,"X","")</f>
      </c>
      <c r="S41" s="56" t="str">
        <f>IF(COUNTIFS('LANÇAMENTOS DIÁRIOS'!$G$5:$G$500,"D",'LANÇAMENTOS DIÁRIOS'!$C$5:$C$500,$A41,'LANÇAMENTOS DIÁRIOS'!$O$5:$O$500,"&lt;=102299",'LANÇAMENTOS DIÁRIOS'!$P$5:$P$500,"&gt;=102200")&gt;0,"X","")</f>
      </c>
      <c r="T41" s="56" t="str">
        <f>IF(COUNTIFS('LANÇAMENTOS DIÁRIOS'!$G$5:$G$500,"D",'LANÇAMENTOS DIÁRIOS'!$C$5:$C$500,$A41,'LANÇAMENTOS DIÁRIOS'!$O$5:$O$500,"&lt;=102399",'LANÇAMENTOS DIÁRIOS'!$P$5:$P$500,"&gt;=102300")&gt;0,"X","")</f>
      </c>
      <c r="U41" s="56" t="str">
        <f>IF(COUNTIFS('LANÇAMENTOS DIÁRIOS'!$G$5:$G$500,"D",'LANÇAMENTOS DIÁRIOS'!$C$5:$C$500,$A41,'LANÇAMENTOS DIÁRIOS'!$O$5:$O$500,"&lt;=102499",'LANÇAMENTOS DIÁRIOS'!$P$5:$P$500,"&gt;=102400")&gt;0,"X","")</f>
      </c>
      <c r="V41" s="56" t="str">
        <f>IF(COUNTIFS('LANÇAMENTOS DIÁRIOS'!$G$5:$G$500,"D",'LANÇAMENTOS DIÁRIOS'!$C$5:$C$500,$A41,'LANÇAMENTOS DIÁRIOS'!$O$5:$O$500,"&lt;=102599",'LANÇAMENTOS DIÁRIOS'!$P$5:$P$500,"&gt;=102500")&gt;0,"X","")</f>
      </c>
      <c r="W41" s="56" t="str">
        <f>IF(COUNTIFS('LANÇAMENTOS DIÁRIOS'!$G$5:$G$500,"D",'LANÇAMENTOS DIÁRIOS'!$C$5:$C$500,$A41,'LANÇAMENTOS DIÁRIOS'!$O$5:$O$500,"&lt;=102699",'LANÇAMENTOS DIÁRIOS'!$P$5:$P$500,"&gt;=102600")&gt;0,"X","")</f>
      </c>
      <c r="X41" s="56" t="str">
        <f>IF(COUNTIFS('LANÇAMENTOS DIÁRIOS'!$G$5:$G$500,"D",'LANÇAMENTOS DIÁRIOS'!$C$5:$C$500,$A41,'LANÇAMENTOS DIÁRIOS'!$O$5:$O$500,"&lt;=102799",'LANÇAMENTOS DIÁRIOS'!$P$5:$P$500,"&gt;=102700")&gt;0,"X","")</f>
      </c>
      <c r="Y41" s="56" t="str">
        <f>IF(COUNTIFS('LANÇAMENTOS DIÁRIOS'!$G$5:$G$500,"D",'LANÇAMENTOS DIÁRIOS'!$C$5:$C$500,$A41,'LANÇAMENTOS DIÁRIOS'!$O$5:$O$500,"&lt;=102899",'LANÇAMENTOS DIÁRIOS'!$P$5:$P$500,"&gt;=102800")&gt;0,"X","")</f>
      </c>
      <c r="Z41" s="56" t="str">
        <f>IF(COUNTIFS('LANÇAMENTOS DIÁRIOS'!$G$5:$G$500,"D",'LANÇAMENTOS DIÁRIOS'!$C$5:$C$500,$A41,'LANÇAMENTOS DIÁRIOS'!$O$5:$O$500,"&lt;=102999",'LANÇAMENTOS DIÁRIOS'!$P$5:$P$500,"&gt;=102900")&gt;0,"X","")</f>
      </c>
      <c r="AA41" s="56" t="str">
        <f>IF(COUNTIFS('LANÇAMENTOS DIÁRIOS'!$G$5:$G$500,"D",'LANÇAMENTOS DIÁRIOS'!$C$5:$C$500,$A41,'LANÇAMENTOS DIÁRIOS'!$O$5:$O$500,"&lt;=103099",'LANÇAMENTOS DIÁRIOS'!$P$5:$P$500,"&gt;=103000")&gt;0,"X","")</f>
      </c>
      <c r="AB41" s="56" t="str">
        <f>IF(COUNTIFS('LANÇAMENTOS DIÁRIOS'!$G$5:$G$500,"D",'LANÇAMENTOS DIÁRIOS'!$C$5:$C$500,$A41,'LANÇAMENTOS DIÁRIOS'!$O$5:$O$500,"&lt;=103199",'LANÇAMENTOS DIÁRIOS'!$P$5:$P$500,"&gt;=103100")&gt;0,"X","")</f>
      </c>
      <c r="AC41" s="56" t="str">
        <f>IF(COUNTIFS('LANÇAMENTOS DIÁRIOS'!$G$5:$G$500,"D",'LANÇAMENTOS DIÁRIOS'!$C$5:$C$500,$A41,'LANÇAMENTOS DIÁRIOS'!$O$5:$O$500,"&lt;=103299",'LANÇAMENTOS DIÁRIOS'!$P$5:$P$500,"&gt;=103200")&gt;0,"X","")</f>
      </c>
      <c r="AD41" s="56" t="str">
        <f>IF(COUNTIFS('LANÇAMENTOS DIÁRIOS'!$G$5:$G$500,"D",'LANÇAMENTOS DIÁRIOS'!$C$5:$C$500,$A41,'LANÇAMENTOS DIÁRIOS'!$O$5:$O$500,"&lt;=103399",'LANÇAMENTOS DIÁRIOS'!$P$5:$P$500,"&gt;=103300")&gt;0,"X","")</f>
      </c>
      <c r="AE41" s="56" t="str">
        <f>IF(COUNTIFS('LANÇAMENTOS DIÁRIOS'!$G$5:$G$500,"D",'LANÇAMENTOS DIÁRIOS'!$C$5:$C$500,$A41,'LANÇAMENTOS DIÁRIOS'!$O$5:$O$500,"&lt;=103499",'LANÇAMENTOS DIÁRIOS'!$P$5:$P$500,"&gt;=103400")&gt;0,"X","")</f>
      </c>
      <c r="AF41" s="56" t="str">
        <f>IF(COUNTIFS('LANÇAMENTOS DIÁRIOS'!$G$5:$G$500,"D",'LANÇAMENTOS DIÁRIOS'!$C$5:$C$500,$A41,'LANÇAMENTOS DIÁRIOS'!$O$5:$O$500,"&lt;=103599",'LANÇAMENTOS DIÁRIOS'!$P$5:$P$500,"&gt;=103500")&gt;0,"X","")</f>
      </c>
      <c r="AG41" s="56" t="str">
        <f>IF(COUNTIFS('LANÇAMENTOS DIÁRIOS'!$G$5:$G$500,"D",'LANÇAMENTOS DIÁRIOS'!$C$5:$C$500,$A41,'LANÇAMENTOS DIÁRIOS'!$O$5:$O$500,"&lt;=103699",'LANÇAMENTOS DIÁRIOS'!$P$5:$P$500,"&gt;=103600")&gt;0,"X","")</f>
      </c>
      <c r="AH41" s="56" t="str">
        <f>IF(COUNTIFS('LANÇAMENTOS DIÁRIOS'!$G$5:$G$500,"D",'LANÇAMENTOS DIÁRIOS'!$C$5:$C$500,$A41,'LANÇAMENTOS DIÁRIOS'!$O$5:$O$500,"&lt;=103799",'LANÇAMENTOS DIÁRIOS'!$P$5:$P$500,"&gt;=103700")&gt;0,"X","")</f>
      </c>
      <c r="AI41" s="56" t="str">
        <f>IF(COUNTIFS('LANÇAMENTOS DIÁRIOS'!$G$5:$G$500,"D",'LANÇAMENTOS DIÁRIOS'!$C$5:$C$500,$A41,'LANÇAMENTOS DIÁRIOS'!$O$5:$O$500,"&lt;=103899",'LANÇAMENTOS DIÁRIOS'!$P$5:$P$500,"&gt;=103800")&gt;0,"X","")</f>
      </c>
      <c r="AJ41" s="56" t="str">
        <f>IF(COUNTIFS('LANÇAMENTOS DIÁRIOS'!$G$5:$G$500,"D",'LANÇAMENTOS DIÁRIOS'!$C$5:$C$500,$A41,'LANÇAMENTOS DIÁRIOS'!$O$5:$O$500,"&lt;=103999",'LANÇAMENTOS DIÁRIOS'!$P$5:$P$500,"&gt;=103900")&gt;0,"X","")</f>
      </c>
      <c r="AK41" s="56" t="str">
        <f>IF(COUNTIFS('LANÇAMENTOS DIÁRIOS'!$G$5:$G$500,"D",'LANÇAMENTOS DIÁRIOS'!$C$5:$C$500,$A41,'LANÇAMENTOS DIÁRIOS'!$O$5:$O$500,"&lt;=104099",'LANÇAMENTOS DIÁRIOS'!$P$5:$P$500,"&gt;=104000")&gt;0,"X","")</f>
      </c>
      <c r="AL41" s="56" t="str">
        <f>IF(COUNTIFS('LANÇAMENTOS DIÁRIOS'!$G$5:$G$500,"D",'LANÇAMENTOS DIÁRIOS'!$C$5:$C$500,$A41,'LANÇAMENTOS DIÁRIOS'!$O$5:$O$500,"&lt;=104199",'LANÇAMENTOS DIÁRIOS'!$P$5:$P$500,"&gt;=104100")&gt;0,"X","")</f>
      </c>
      <c r="AM41" s="56" t="str">
        <f>IF(COUNTIFS('LANÇAMENTOS DIÁRIOS'!$G$5:$G$500,"D",'LANÇAMENTOS DIÁRIOS'!$C$5:$C$500,$A41,'LANÇAMENTOS DIÁRIOS'!$O$5:$O$500,"&lt;=104299",'LANÇAMENTOS DIÁRIOS'!$P$5:$P$500,"&gt;=104200")&gt;0,"X","")</f>
      </c>
      <c r="AN41" s="56" t="str">
        <f>IF(COUNTIFS('LANÇAMENTOS DIÁRIOS'!$G$5:$G$500,"D",'LANÇAMENTOS DIÁRIOS'!$C$5:$C$500,$A41,'LANÇAMENTOS DIÁRIOS'!$O$5:$O$500,"&lt;=104399",'LANÇAMENTOS DIÁRIOS'!$P$5:$P$500,"&gt;=104300")&gt;0,"X","")</f>
      </c>
      <c r="AO41" s="56" t="str">
        <f>IF(COUNTIFS('LANÇAMENTOS DIÁRIOS'!$G$5:$G$500,"D",'LANÇAMENTOS DIÁRIOS'!$C$5:$C$500,$A41,'LANÇAMENTOS DIÁRIOS'!$O$5:$O$500,"&lt;=104499",'LANÇAMENTOS DIÁRIOS'!$P$5:$P$500,"&gt;=104400")&gt;0,"X","")</f>
      </c>
      <c r="AP41" s="56" t="str">
        <f>IF(COUNTIFS('LANÇAMENTOS DIÁRIOS'!$G$5:$G$500,"D",'LANÇAMENTOS DIÁRIOS'!$C$5:$C$500,$A41,'LANÇAMENTOS DIÁRIOS'!$O$5:$O$500,"&lt;=104599",'LANÇAMENTOS DIÁRIOS'!$P$5:$P$500,"&gt;=104500")&gt;0,"X","")</f>
      </c>
      <c r="AQ41" s="56" t="str">
        <f>IF(COUNTIFS('LANÇAMENTOS DIÁRIOS'!$G$5:$G$500,"D",'LANÇAMENTOS DIÁRIOS'!$C$5:$C$500,$A41,'LANÇAMENTOS DIÁRIOS'!$O$5:$O$500,"&lt;=104699",'LANÇAMENTOS DIÁRIOS'!$P$5:$P$500,"&gt;=104600")&gt;0,"X","")</f>
      </c>
      <c r="AR41" s="56" t="str">
        <f>IF(COUNTIFS('LANÇAMENTOS DIÁRIOS'!$G$5:$G$500,"D",'LANÇAMENTOS DIÁRIOS'!$C$5:$C$500,$A41,'LANÇAMENTOS DIÁRIOS'!$O$5:$O$500,"&lt;=104799",'LANÇAMENTOS DIÁRIOS'!$P$5:$P$500,"&gt;=104700")&gt;0,"X","")</f>
      </c>
      <c r="AS41" s="56" t="str">
        <f>IF(COUNTIFS('LANÇAMENTOS DIÁRIOS'!$G$5:$G$500,"D",'LANÇAMENTOS DIÁRIOS'!$C$5:$C$500,$A41,'LANÇAMENTOS DIÁRIOS'!$O$5:$O$500,"&lt;=104899",'LANÇAMENTOS DIÁRIOS'!$P$5:$P$500,"&gt;=104800")&gt;0,"X","")</f>
      </c>
      <c r="AT41" s="56" t="str">
        <f>IF(COUNTIFS('LANÇAMENTOS DIÁRIOS'!$G$5:$G$500,"D",'LANÇAMENTOS DIÁRIOS'!$C$5:$C$500,$A41,'LANÇAMENTOS DIÁRIOS'!$O$5:$O$500,"&lt;=104999",'LANÇAMENTOS DIÁRIOS'!$P$5:$P$500,"&gt;=104900")&gt;0,"X","")</f>
      </c>
      <c r="AU41" s="56" t="str">
        <f>IF(COUNTIFS('LANÇAMENTOS DIÁRIOS'!$G$5:$G$500,"D",'LANÇAMENTOS DIÁRIOS'!$C$5:$C$500,$A41,'LANÇAMENTOS DIÁRIOS'!$O$5:$O$500,"&lt;=105099",'LANÇAMENTOS DIÁRIOS'!$P$5:$P$500,"&gt;=105000")&gt;0,"X","")</f>
      </c>
      <c r="AV41" s="56" t="str">
        <f>IF(COUNTIFS('LANÇAMENTOS DIÁRIOS'!$G$5:$G$500,"D",'LANÇAMENTOS DIÁRIOS'!$C$5:$C$500,$A41,'LANÇAMENTOS DIÁRIOS'!$O$5:$O$500,"&lt;=105199",'LANÇAMENTOS DIÁRIOS'!$P$5:$P$500,"&gt;=105100")&gt;0,"X","")</f>
      </c>
      <c r="AW41" s="56" t="str">
        <f>IF(COUNTIFS('LANÇAMENTOS DIÁRIOS'!$G$5:$G$500,"D",'LANÇAMENTOS DIÁRIOS'!$C$5:$C$500,$A41,'LANÇAMENTOS DIÁRIOS'!$O$5:$O$500,"&lt;=105299",'LANÇAMENTOS DIÁRIOS'!$P$5:$P$500,"&gt;=105200")&gt;0,"X","")</f>
      </c>
      <c r="AX41" s="56" t="str">
        <f>IF(COUNTIFS('LANÇAMENTOS DIÁRIOS'!$G$5:$G$500,"D",'LANÇAMENTOS DIÁRIOS'!$C$5:$C$500,$A41,'LANÇAMENTOS DIÁRIOS'!$O$5:$O$500,"&lt;=105399",'LANÇAMENTOS DIÁRIOS'!$P$5:$P$500,"&gt;=105300")&gt;0,"X","")</f>
      </c>
      <c r="AY41" s="56" t="str">
        <f>IF(COUNTIFS('LANÇAMENTOS DIÁRIOS'!$G$5:$G$500,"D",'LANÇAMENTOS DIÁRIOS'!$C$5:$C$500,$A41,'LANÇAMENTOS DIÁRIOS'!$O$5:$O$500,"&lt;=105499",'LANÇAMENTOS DIÁRIOS'!$P$5:$P$500,"&gt;=105400")&gt;0,"X","")</f>
      </c>
      <c r="AZ41" s="56" t="str">
        <f>IF(COUNTIFS('LANÇAMENTOS DIÁRIOS'!$G$5:$G$500,"D",'LANÇAMENTOS DIÁRIOS'!$C$5:$C$500,$A41,'LANÇAMENTOS DIÁRIOS'!$O$5:$O$500,"&lt;=105500",'LANÇAMENTOS DIÁRIOS'!$P$5:$P$500,"&gt;=105500")&gt;0,"X","")</f>
      </c>
    </row>
    <row r="42">
      <c r="A42" s="51" t="str">
        <v>Escavação de material de 1ª e 2ª categoria, sem transporte</v>
      </c>
      <c r="B42" s="56" t="str">
        <f>IF(COUNTIFS('LANÇAMENTOS DIÁRIOS'!$G$5:$G$500,"D",'LANÇAMENTOS DIÁRIOS'!$C$5:$C$500,$A42,'LANÇAMENTOS DIÁRIOS'!$O$5:$O$500,"&lt;=100599",'LANÇAMENTOS DIÁRIOS'!$P$5:$P$500,"&gt;=100500")&gt;0,"X","")</f>
      </c>
      <c r="C42" s="56" t="str">
        <f>IF(COUNTIFS('LANÇAMENTOS DIÁRIOS'!$G$5:$G$500,"D",'LANÇAMENTOS DIÁRIOS'!$C$5:$C$500,$A42,'LANÇAMENTOS DIÁRIOS'!$O$5:$O$500,"&lt;=100699",'LANÇAMENTOS DIÁRIOS'!$P$5:$P$500,"&gt;=100600")&gt;0,"X","")</f>
      </c>
      <c r="D42" s="56" t="str">
        <f>IF(COUNTIFS('LANÇAMENTOS DIÁRIOS'!$G$5:$G$500,"D",'LANÇAMENTOS DIÁRIOS'!$C$5:$C$500,$A42,'LANÇAMENTOS DIÁRIOS'!$O$5:$O$500,"&lt;=100799",'LANÇAMENTOS DIÁRIOS'!$P$5:$P$500,"&gt;=100700")&gt;0,"X","")</f>
      </c>
      <c r="E42" s="56" t="str">
        <f>IF(COUNTIFS('LANÇAMENTOS DIÁRIOS'!$G$5:$G$500,"D",'LANÇAMENTOS DIÁRIOS'!$C$5:$C$500,$A42,'LANÇAMENTOS DIÁRIOS'!$O$5:$O$500,"&lt;=100899",'LANÇAMENTOS DIÁRIOS'!$P$5:$P$500,"&gt;=100800")&gt;0,"X","")</f>
      </c>
      <c r="F42" s="56" t="str">
        <f>IF(COUNTIFS('LANÇAMENTOS DIÁRIOS'!$G$5:$G$500,"D",'LANÇAMENTOS DIÁRIOS'!$C$5:$C$500,$A42,'LANÇAMENTOS DIÁRIOS'!$O$5:$O$500,"&lt;=100999",'LANÇAMENTOS DIÁRIOS'!$P$5:$P$500,"&gt;=100900")&gt;0,"X","")</f>
      </c>
      <c r="G42" s="56" t="str">
        <f>IF(COUNTIFS('LANÇAMENTOS DIÁRIOS'!$G$5:$G$500,"D",'LANÇAMENTOS DIÁRIOS'!$C$5:$C$500,$A42,'LANÇAMENTOS DIÁRIOS'!$O$5:$O$500,"&lt;=101099",'LANÇAMENTOS DIÁRIOS'!$P$5:$P$500,"&gt;=101000")&gt;0,"X","")</f>
      </c>
      <c r="H42" s="56" t="str">
        <f>IF(COUNTIFS('LANÇAMENTOS DIÁRIOS'!$G$5:$G$500,"D",'LANÇAMENTOS DIÁRIOS'!$C$5:$C$500,$A42,'LANÇAMENTOS DIÁRIOS'!$O$5:$O$500,"&lt;=101199",'LANÇAMENTOS DIÁRIOS'!$P$5:$P$500,"&gt;=101100")&gt;0,"X","")</f>
      </c>
      <c r="I42" s="56" t="str">
        <f>IF(COUNTIFS('LANÇAMENTOS DIÁRIOS'!$G$5:$G$500,"D",'LANÇAMENTOS DIÁRIOS'!$C$5:$C$500,$A42,'LANÇAMENTOS DIÁRIOS'!$O$5:$O$500,"&lt;=101299",'LANÇAMENTOS DIÁRIOS'!$P$5:$P$500,"&gt;=101200")&gt;0,"X","")</f>
      </c>
      <c r="J42" s="56" t="str">
        <f>IF(COUNTIFS('LANÇAMENTOS DIÁRIOS'!$G$5:$G$500,"D",'LANÇAMENTOS DIÁRIOS'!$C$5:$C$500,$A42,'LANÇAMENTOS DIÁRIOS'!$O$5:$O$500,"&lt;=101399",'LANÇAMENTOS DIÁRIOS'!$P$5:$P$500,"&gt;=101300")&gt;0,"X","")</f>
      </c>
      <c r="K42" s="56" t="str">
        <f>IF(COUNTIFS('LANÇAMENTOS DIÁRIOS'!$G$5:$G$500,"D",'LANÇAMENTOS DIÁRIOS'!$C$5:$C$500,$A42,'LANÇAMENTOS DIÁRIOS'!$O$5:$O$500,"&lt;=101499",'LANÇAMENTOS DIÁRIOS'!$P$5:$P$500,"&gt;=101400")&gt;0,"X","")</f>
      </c>
      <c r="L42" s="56" t="str">
        <f>IF(COUNTIFS('LANÇAMENTOS DIÁRIOS'!$G$5:$G$500,"D",'LANÇAMENTOS DIÁRIOS'!$C$5:$C$500,$A42,'LANÇAMENTOS DIÁRIOS'!$O$5:$O$500,"&lt;=101599",'LANÇAMENTOS DIÁRIOS'!$P$5:$P$500,"&gt;=101500")&gt;0,"X","")</f>
      </c>
      <c r="M42" s="56" t="str">
        <f>IF(COUNTIFS('LANÇAMENTOS DIÁRIOS'!$G$5:$G$500,"D",'LANÇAMENTOS DIÁRIOS'!$C$5:$C$500,$A42,'LANÇAMENTOS DIÁRIOS'!$O$5:$O$500,"&lt;=101699",'LANÇAMENTOS DIÁRIOS'!$P$5:$P$500,"&gt;=101600")&gt;0,"X","")</f>
      </c>
      <c r="N42" s="56" t="str">
        <f>IF(COUNTIFS('LANÇAMENTOS DIÁRIOS'!$G$5:$G$500,"D",'LANÇAMENTOS DIÁRIOS'!$C$5:$C$500,$A42,'LANÇAMENTOS DIÁRIOS'!$O$5:$O$500,"&lt;=101799",'LANÇAMENTOS DIÁRIOS'!$P$5:$P$500,"&gt;=101700")&gt;0,"X","")</f>
      </c>
      <c r="O42" s="56" t="str">
        <f>IF(COUNTIFS('LANÇAMENTOS DIÁRIOS'!$G$5:$G$500,"D",'LANÇAMENTOS DIÁRIOS'!$C$5:$C$500,$A42,'LANÇAMENTOS DIÁRIOS'!$O$5:$O$500,"&lt;=101899",'LANÇAMENTOS DIÁRIOS'!$P$5:$P$500,"&gt;=101800")&gt;0,"X","")</f>
      </c>
      <c r="P42" s="56" t="str">
        <f>IF(COUNTIFS('LANÇAMENTOS DIÁRIOS'!$G$5:$G$500,"D",'LANÇAMENTOS DIÁRIOS'!$C$5:$C$500,$A42,'LANÇAMENTOS DIÁRIOS'!$O$5:$O$500,"&lt;=101999",'LANÇAMENTOS DIÁRIOS'!$P$5:$P$500,"&gt;=101900")&gt;0,"X","")</f>
      </c>
      <c r="Q42" s="56" t="str">
        <f>IF(COUNTIFS('LANÇAMENTOS DIÁRIOS'!$G$5:$G$500,"D",'LANÇAMENTOS DIÁRIOS'!$C$5:$C$500,$A42,'LANÇAMENTOS DIÁRIOS'!$O$5:$O$500,"&lt;=102099",'LANÇAMENTOS DIÁRIOS'!$P$5:$P$500,"&gt;=102000")&gt;0,"X","")</f>
      </c>
      <c r="R42" s="56" t="str">
        <f>IF(COUNTIFS('LANÇAMENTOS DIÁRIOS'!$G$5:$G$500,"D",'LANÇAMENTOS DIÁRIOS'!$C$5:$C$500,$A42,'LANÇAMENTOS DIÁRIOS'!$O$5:$O$500,"&lt;=102199",'LANÇAMENTOS DIÁRIOS'!$P$5:$P$500,"&gt;=102100")&gt;0,"X","")</f>
      </c>
      <c r="S42" s="56" t="str">
        <f>IF(COUNTIFS('LANÇAMENTOS DIÁRIOS'!$G$5:$G$500,"D",'LANÇAMENTOS DIÁRIOS'!$C$5:$C$500,$A42,'LANÇAMENTOS DIÁRIOS'!$O$5:$O$500,"&lt;=102299",'LANÇAMENTOS DIÁRIOS'!$P$5:$P$500,"&gt;=102200")&gt;0,"X","")</f>
      </c>
      <c r="T42" s="56" t="str">
        <f>IF(COUNTIFS('LANÇAMENTOS DIÁRIOS'!$G$5:$G$500,"D",'LANÇAMENTOS DIÁRIOS'!$C$5:$C$500,$A42,'LANÇAMENTOS DIÁRIOS'!$O$5:$O$500,"&lt;=102399",'LANÇAMENTOS DIÁRIOS'!$P$5:$P$500,"&gt;=102300")&gt;0,"X","")</f>
      </c>
      <c r="U42" s="56" t="str">
        <f>IF(COUNTIFS('LANÇAMENTOS DIÁRIOS'!$G$5:$G$500,"D",'LANÇAMENTOS DIÁRIOS'!$C$5:$C$500,$A42,'LANÇAMENTOS DIÁRIOS'!$O$5:$O$500,"&lt;=102499",'LANÇAMENTOS DIÁRIOS'!$P$5:$P$500,"&gt;=102400")&gt;0,"X","")</f>
      </c>
      <c r="V42" s="56" t="str">
        <f>IF(COUNTIFS('LANÇAMENTOS DIÁRIOS'!$G$5:$G$500,"D",'LANÇAMENTOS DIÁRIOS'!$C$5:$C$500,$A42,'LANÇAMENTOS DIÁRIOS'!$O$5:$O$500,"&lt;=102599",'LANÇAMENTOS DIÁRIOS'!$P$5:$P$500,"&gt;=102500")&gt;0,"X","")</f>
      </c>
      <c r="W42" s="56" t="str">
        <f>IF(COUNTIFS('LANÇAMENTOS DIÁRIOS'!$G$5:$G$500,"D",'LANÇAMENTOS DIÁRIOS'!$C$5:$C$500,$A42,'LANÇAMENTOS DIÁRIOS'!$O$5:$O$500,"&lt;=102699",'LANÇAMENTOS DIÁRIOS'!$P$5:$P$500,"&gt;=102600")&gt;0,"X","")</f>
      </c>
      <c r="X42" s="56" t="str">
        <f>IF(COUNTIFS('LANÇAMENTOS DIÁRIOS'!$G$5:$G$500,"D",'LANÇAMENTOS DIÁRIOS'!$C$5:$C$500,$A42,'LANÇAMENTOS DIÁRIOS'!$O$5:$O$500,"&lt;=102799",'LANÇAMENTOS DIÁRIOS'!$P$5:$P$500,"&gt;=102700")&gt;0,"X","")</f>
      </c>
      <c r="Y42" s="56" t="str">
        <f>IF(COUNTIFS('LANÇAMENTOS DIÁRIOS'!$G$5:$G$500,"D",'LANÇAMENTOS DIÁRIOS'!$C$5:$C$500,$A42,'LANÇAMENTOS DIÁRIOS'!$O$5:$O$500,"&lt;=102899",'LANÇAMENTOS DIÁRIOS'!$P$5:$P$500,"&gt;=102800")&gt;0,"X","")</f>
      </c>
      <c r="Z42" s="56" t="str">
        <f>IF(COUNTIFS('LANÇAMENTOS DIÁRIOS'!$G$5:$G$500,"D",'LANÇAMENTOS DIÁRIOS'!$C$5:$C$500,$A42,'LANÇAMENTOS DIÁRIOS'!$O$5:$O$500,"&lt;=102999",'LANÇAMENTOS DIÁRIOS'!$P$5:$P$500,"&gt;=102900")&gt;0,"X","")</f>
      </c>
      <c r="AA42" s="56" t="str">
        <f>IF(COUNTIFS('LANÇAMENTOS DIÁRIOS'!$G$5:$G$500,"D",'LANÇAMENTOS DIÁRIOS'!$C$5:$C$500,$A42,'LANÇAMENTOS DIÁRIOS'!$O$5:$O$500,"&lt;=103099",'LANÇAMENTOS DIÁRIOS'!$P$5:$P$500,"&gt;=103000")&gt;0,"X","")</f>
      </c>
      <c r="AB42" s="56" t="str">
        <f>IF(COUNTIFS('LANÇAMENTOS DIÁRIOS'!$G$5:$G$500,"D",'LANÇAMENTOS DIÁRIOS'!$C$5:$C$500,$A42,'LANÇAMENTOS DIÁRIOS'!$O$5:$O$500,"&lt;=103199",'LANÇAMENTOS DIÁRIOS'!$P$5:$P$500,"&gt;=103100")&gt;0,"X","")</f>
      </c>
      <c r="AC42" s="56" t="str">
        <f>IF(COUNTIFS('LANÇAMENTOS DIÁRIOS'!$G$5:$G$500,"D",'LANÇAMENTOS DIÁRIOS'!$C$5:$C$500,$A42,'LANÇAMENTOS DIÁRIOS'!$O$5:$O$500,"&lt;=103299",'LANÇAMENTOS DIÁRIOS'!$P$5:$P$500,"&gt;=103200")&gt;0,"X","")</f>
      </c>
      <c r="AD42" s="56" t="str">
        <f>IF(COUNTIFS('LANÇAMENTOS DIÁRIOS'!$G$5:$G$500,"D",'LANÇAMENTOS DIÁRIOS'!$C$5:$C$500,$A42,'LANÇAMENTOS DIÁRIOS'!$O$5:$O$500,"&lt;=103399",'LANÇAMENTOS DIÁRIOS'!$P$5:$P$500,"&gt;=103300")&gt;0,"X","")</f>
      </c>
      <c r="AE42" s="56" t="str">
        <f>IF(COUNTIFS('LANÇAMENTOS DIÁRIOS'!$G$5:$G$500,"D",'LANÇAMENTOS DIÁRIOS'!$C$5:$C$500,$A42,'LANÇAMENTOS DIÁRIOS'!$O$5:$O$500,"&lt;=103499",'LANÇAMENTOS DIÁRIOS'!$P$5:$P$500,"&gt;=103400")&gt;0,"X","")</f>
      </c>
      <c r="AF42" s="56" t="str">
        <f>IF(COUNTIFS('LANÇAMENTOS DIÁRIOS'!$G$5:$G$500,"D",'LANÇAMENTOS DIÁRIOS'!$C$5:$C$500,$A42,'LANÇAMENTOS DIÁRIOS'!$O$5:$O$500,"&lt;=103599",'LANÇAMENTOS DIÁRIOS'!$P$5:$P$500,"&gt;=103500")&gt;0,"X","")</f>
      </c>
      <c r="AG42" s="56" t="str">
        <f>IF(COUNTIFS('LANÇAMENTOS DIÁRIOS'!$G$5:$G$500,"D",'LANÇAMENTOS DIÁRIOS'!$C$5:$C$500,$A42,'LANÇAMENTOS DIÁRIOS'!$O$5:$O$500,"&lt;=103699",'LANÇAMENTOS DIÁRIOS'!$P$5:$P$500,"&gt;=103600")&gt;0,"X","")</f>
      </c>
      <c r="AH42" s="56" t="str">
        <f>IF(COUNTIFS('LANÇAMENTOS DIÁRIOS'!$G$5:$G$500,"D",'LANÇAMENTOS DIÁRIOS'!$C$5:$C$500,$A42,'LANÇAMENTOS DIÁRIOS'!$O$5:$O$500,"&lt;=103799",'LANÇAMENTOS DIÁRIOS'!$P$5:$P$500,"&gt;=103700")&gt;0,"X","")</f>
      </c>
      <c r="AI42" s="56" t="str">
        <f>IF(COUNTIFS('LANÇAMENTOS DIÁRIOS'!$G$5:$G$500,"D",'LANÇAMENTOS DIÁRIOS'!$C$5:$C$500,$A42,'LANÇAMENTOS DIÁRIOS'!$O$5:$O$500,"&lt;=103899",'LANÇAMENTOS DIÁRIOS'!$P$5:$P$500,"&gt;=103800")&gt;0,"X","")</f>
      </c>
      <c r="AJ42" s="56" t="str">
        <f>IF(COUNTIFS('LANÇAMENTOS DIÁRIOS'!$G$5:$G$500,"D",'LANÇAMENTOS DIÁRIOS'!$C$5:$C$500,$A42,'LANÇAMENTOS DIÁRIOS'!$O$5:$O$500,"&lt;=103999",'LANÇAMENTOS DIÁRIOS'!$P$5:$P$500,"&gt;=103900")&gt;0,"X","")</f>
      </c>
      <c r="AK42" s="56" t="str">
        <f>IF(COUNTIFS('LANÇAMENTOS DIÁRIOS'!$G$5:$G$500,"D",'LANÇAMENTOS DIÁRIOS'!$C$5:$C$500,$A42,'LANÇAMENTOS DIÁRIOS'!$O$5:$O$500,"&lt;=104099",'LANÇAMENTOS DIÁRIOS'!$P$5:$P$500,"&gt;=104000")&gt;0,"X","")</f>
      </c>
      <c r="AL42" s="56" t="str">
        <f>IF(COUNTIFS('LANÇAMENTOS DIÁRIOS'!$G$5:$G$500,"D",'LANÇAMENTOS DIÁRIOS'!$C$5:$C$500,$A42,'LANÇAMENTOS DIÁRIOS'!$O$5:$O$500,"&lt;=104199",'LANÇAMENTOS DIÁRIOS'!$P$5:$P$500,"&gt;=104100")&gt;0,"X","")</f>
      </c>
      <c r="AM42" s="56" t="str">
        <f>IF(COUNTIFS('LANÇAMENTOS DIÁRIOS'!$G$5:$G$500,"D",'LANÇAMENTOS DIÁRIOS'!$C$5:$C$500,$A42,'LANÇAMENTOS DIÁRIOS'!$O$5:$O$500,"&lt;=104299",'LANÇAMENTOS DIÁRIOS'!$P$5:$P$500,"&gt;=104200")&gt;0,"X","")</f>
      </c>
      <c r="AN42" s="56" t="str">
        <f>IF(COUNTIFS('LANÇAMENTOS DIÁRIOS'!$G$5:$G$500,"D",'LANÇAMENTOS DIÁRIOS'!$C$5:$C$500,$A42,'LANÇAMENTOS DIÁRIOS'!$O$5:$O$500,"&lt;=104399",'LANÇAMENTOS DIÁRIOS'!$P$5:$P$500,"&gt;=104300")&gt;0,"X","")</f>
      </c>
      <c r="AO42" s="56" t="str">
        <f>IF(COUNTIFS('LANÇAMENTOS DIÁRIOS'!$G$5:$G$500,"D",'LANÇAMENTOS DIÁRIOS'!$C$5:$C$500,$A42,'LANÇAMENTOS DIÁRIOS'!$O$5:$O$500,"&lt;=104499",'LANÇAMENTOS DIÁRIOS'!$P$5:$P$500,"&gt;=104400")&gt;0,"X","")</f>
      </c>
      <c r="AP42" s="56" t="str">
        <f>IF(COUNTIFS('LANÇAMENTOS DIÁRIOS'!$G$5:$G$500,"D",'LANÇAMENTOS DIÁRIOS'!$C$5:$C$500,$A42,'LANÇAMENTOS DIÁRIOS'!$O$5:$O$500,"&lt;=104599",'LANÇAMENTOS DIÁRIOS'!$P$5:$P$500,"&gt;=104500")&gt;0,"X","")</f>
      </c>
      <c r="AQ42" s="56" t="str">
        <f>IF(COUNTIFS('LANÇAMENTOS DIÁRIOS'!$G$5:$G$500,"D",'LANÇAMENTOS DIÁRIOS'!$C$5:$C$500,$A42,'LANÇAMENTOS DIÁRIOS'!$O$5:$O$500,"&lt;=104699",'LANÇAMENTOS DIÁRIOS'!$P$5:$P$500,"&gt;=104600")&gt;0,"X","")</f>
      </c>
      <c r="AR42" s="56" t="str">
        <f>IF(COUNTIFS('LANÇAMENTOS DIÁRIOS'!$G$5:$G$500,"D",'LANÇAMENTOS DIÁRIOS'!$C$5:$C$500,$A42,'LANÇAMENTOS DIÁRIOS'!$O$5:$O$500,"&lt;=104799",'LANÇAMENTOS DIÁRIOS'!$P$5:$P$500,"&gt;=104700")&gt;0,"X","")</f>
      </c>
      <c r="AS42" s="56" t="str">
        <f>IF(COUNTIFS('LANÇAMENTOS DIÁRIOS'!$G$5:$G$500,"D",'LANÇAMENTOS DIÁRIOS'!$C$5:$C$500,$A42,'LANÇAMENTOS DIÁRIOS'!$O$5:$O$500,"&lt;=104899",'LANÇAMENTOS DIÁRIOS'!$P$5:$P$500,"&gt;=104800")&gt;0,"X","")</f>
      </c>
      <c r="AT42" s="56" t="str">
        <f>IF(COUNTIFS('LANÇAMENTOS DIÁRIOS'!$G$5:$G$500,"D",'LANÇAMENTOS DIÁRIOS'!$C$5:$C$500,$A42,'LANÇAMENTOS DIÁRIOS'!$O$5:$O$500,"&lt;=104999",'LANÇAMENTOS DIÁRIOS'!$P$5:$P$500,"&gt;=104900")&gt;0,"X","")</f>
      </c>
      <c r="AU42" s="56" t="str">
        <f>IF(COUNTIFS('LANÇAMENTOS DIÁRIOS'!$G$5:$G$500,"D",'LANÇAMENTOS DIÁRIOS'!$C$5:$C$500,$A42,'LANÇAMENTOS DIÁRIOS'!$O$5:$O$500,"&lt;=105099",'LANÇAMENTOS DIÁRIOS'!$P$5:$P$500,"&gt;=105000")&gt;0,"X","")</f>
      </c>
      <c r="AV42" s="56" t="str">
        <f>IF(COUNTIFS('LANÇAMENTOS DIÁRIOS'!$G$5:$G$500,"D",'LANÇAMENTOS DIÁRIOS'!$C$5:$C$500,$A42,'LANÇAMENTOS DIÁRIOS'!$O$5:$O$500,"&lt;=105199",'LANÇAMENTOS DIÁRIOS'!$P$5:$P$500,"&gt;=105100")&gt;0,"X","")</f>
      </c>
      <c r="AW42" s="56" t="str">
        <f>IF(COUNTIFS('LANÇAMENTOS DIÁRIOS'!$G$5:$G$500,"D",'LANÇAMENTOS DIÁRIOS'!$C$5:$C$500,$A42,'LANÇAMENTOS DIÁRIOS'!$O$5:$O$500,"&lt;=105299",'LANÇAMENTOS DIÁRIOS'!$P$5:$P$500,"&gt;=105200")&gt;0,"X","")</f>
      </c>
      <c r="AX42" s="56" t="str">
        <f>IF(COUNTIFS('LANÇAMENTOS DIÁRIOS'!$G$5:$G$500,"D",'LANÇAMENTOS DIÁRIOS'!$C$5:$C$500,$A42,'LANÇAMENTOS DIÁRIOS'!$O$5:$O$500,"&lt;=105399",'LANÇAMENTOS DIÁRIOS'!$P$5:$P$500,"&gt;=105300")&gt;0,"X","")</f>
      </c>
      <c r="AY42" s="56" t="str">
        <f>IF(COUNTIFS('LANÇAMENTOS DIÁRIOS'!$G$5:$G$500,"D",'LANÇAMENTOS DIÁRIOS'!$C$5:$C$500,$A42,'LANÇAMENTOS DIÁRIOS'!$O$5:$O$500,"&lt;=105499",'LANÇAMENTOS DIÁRIOS'!$P$5:$P$500,"&gt;=105400")&gt;0,"X","")</f>
      </c>
      <c r="AZ42" s="56" t="str">
        <f>IF(COUNTIFS('LANÇAMENTOS DIÁRIOS'!$G$5:$G$500,"D",'LANÇAMENTOS DIÁRIOS'!$C$5:$C$500,$A42,'LANÇAMENTOS DIÁRIOS'!$O$5:$O$500,"&lt;=105500",'LANÇAMENTOS DIÁRIOS'!$P$5:$P$500,"&gt;=105500")&gt;0,"X","")</f>
      </c>
    </row>
    <row r="43">
      <c r="A43" s="51" t="str">
        <v>Escavação de material de 1ª e 2ª categoria</v>
      </c>
      <c r="B43" s="56" t="str">
        <f>IF(COUNTIFS('LANÇAMENTOS DIÁRIOS'!$G$5:$G$500,"D",'LANÇAMENTOS DIÁRIOS'!$C$5:$C$500,$A43,'LANÇAMENTOS DIÁRIOS'!$O$5:$O$500,"&lt;=100599",'LANÇAMENTOS DIÁRIOS'!$P$5:$P$500,"&gt;=100500")&gt;0,"X","")</f>
      </c>
      <c r="C43" s="56" t="str">
        <f>IF(COUNTIFS('LANÇAMENTOS DIÁRIOS'!$G$5:$G$500,"D",'LANÇAMENTOS DIÁRIOS'!$C$5:$C$500,$A43,'LANÇAMENTOS DIÁRIOS'!$O$5:$O$500,"&lt;=100699",'LANÇAMENTOS DIÁRIOS'!$P$5:$P$500,"&gt;=100600")&gt;0,"X","")</f>
      </c>
      <c r="D43" s="56" t="str">
        <f>IF(COUNTIFS('LANÇAMENTOS DIÁRIOS'!$G$5:$G$500,"D",'LANÇAMENTOS DIÁRIOS'!$C$5:$C$500,$A43,'LANÇAMENTOS DIÁRIOS'!$O$5:$O$500,"&lt;=100799",'LANÇAMENTOS DIÁRIOS'!$P$5:$P$500,"&gt;=100700")&gt;0,"X","")</f>
      </c>
      <c r="E43" s="56" t="str">
        <f>IF(COUNTIFS('LANÇAMENTOS DIÁRIOS'!$G$5:$G$500,"D",'LANÇAMENTOS DIÁRIOS'!$C$5:$C$500,$A43,'LANÇAMENTOS DIÁRIOS'!$O$5:$O$500,"&lt;=100899",'LANÇAMENTOS DIÁRIOS'!$P$5:$P$500,"&gt;=100800")&gt;0,"X","")</f>
      </c>
      <c r="F43" s="56" t="str">
        <f>IF(COUNTIFS('LANÇAMENTOS DIÁRIOS'!$G$5:$G$500,"D",'LANÇAMENTOS DIÁRIOS'!$C$5:$C$500,$A43,'LANÇAMENTOS DIÁRIOS'!$O$5:$O$500,"&lt;=100999",'LANÇAMENTOS DIÁRIOS'!$P$5:$P$500,"&gt;=100900")&gt;0,"X","")</f>
      </c>
      <c r="G43" s="56" t="str">
        <f>IF(COUNTIFS('LANÇAMENTOS DIÁRIOS'!$G$5:$G$500,"D",'LANÇAMENTOS DIÁRIOS'!$C$5:$C$500,$A43,'LANÇAMENTOS DIÁRIOS'!$O$5:$O$500,"&lt;=101099",'LANÇAMENTOS DIÁRIOS'!$P$5:$P$500,"&gt;=101000")&gt;0,"X","")</f>
      </c>
      <c r="H43" s="56" t="str">
        <f>IF(COUNTIFS('LANÇAMENTOS DIÁRIOS'!$G$5:$G$500,"D",'LANÇAMENTOS DIÁRIOS'!$C$5:$C$500,$A43,'LANÇAMENTOS DIÁRIOS'!$O$5:$O$500,"&lt;=101199",'LANÇAMENTOS DIÁRIOS'!$P$5:$P$500,"&gt;=101100")&gt;0,"X","")</f>
      </c>
      <c r="I43" s="56" t="str">
        <f>IF(COUNTIFS('LANÇAMENTOS DIÁRIOS'!$G$5:$G$500,"D",'LANÇAMENTOS DIÁRIOS'!$C$5:$C$500,$A43,'LANÇAMENTOS DIÁRIOS'!$O$5:$O$500,"&lt;=101299",'LANÇAMENTOS DIÁRIOS'!$P$5:$P$500,"&gt;=101200")&gt;0,"X","")</f>
      </c>
      <c r="J43" s="56" t="str">
        <f>IF(COUNTIFS('LANÇAMENTOS DIÁRIOS'!$G$5:$G$500,"D",'LANÇAMENTOS DIÁRIOS'!$C$5:$C$500,$A43,'LANÇAMENTOS DIÁRIOS'!$O$5:$O$500,"&lt;=101399",'LANÇAMENTOS DIÁRIOS'!$P$5:$P$500,"&gt;=101300")&gt;0,"X","")</f>
      </c>
      <c r="K43" s="56" t="str">
        <f>IF(COUNTIFS('LANÇAMENTOS DIÁRIOS'!$G$5:$G$500,"D",'LANÇAMENTOS DIÁRIOS'!$C$5:$C$500,$A43,'LANÇAMENTOS DIÁRIOS'!$O$5:$O$500,"&lt;=101499",'LANÇAMENTOS DIÁRIOS'!$P$5:$P$500,"&gt;=101400")&gt;0,"X","")</f>
      </c>
      <c r="L43" s="56" t="str">
        <f>IF(COUNTIFS('LANÇAMENTOS DIÁRIOS'!$G$5:$G$500,"D",'LANÇAMENTOS DIÁRIOS'!$C$5:$C$500,$A43,'LANÇAMENTOS DIÁRIOS'!$O$5:$O$500,"&lt;=101599",'LANÇAMENTOS DIÁRIOS'!$P$5:$P$500,"&gt;=101500")&gt;0,"X","")</f>
      </c>
      <c r="M43" s="56" t="str">
        <f>IF(COUNTIFS('LANÇAMENTOS DIÁRIOS'!$G$5:$G$500,"D",'LANÇAMENTOS DIÁRIOS'!$C$5:$C$500,$A43,'LANÇAMENTOS DIÁRIOS'!$O$5:$O$500,"&lt;=101699",'LANÇAMENTOS DIÁRIOS'!$P$5:$P$500,"&gt;=101600")&gt;0,"X","")</f>
      </c>
      <c r="N43" s="56" t="str">
        <f>IF(COUNTIFS('LANÇAMENTOS DIÁRIOS'!$G$5:$G$500,"D",'LANÇAMENTOS DIÁRIOS'!$C$5:$C$500,$A43,'LANÇAMENTOS DIÁRIOS'!$O$5:$O$500,"&lt;=101799",'LANÇAMENTOS DIÁRIOS'!$P$5:$P$500,"&gt;=101700")&gt;0,"X","")</f>
      </c>
      <c r="O43" s="56" t="str">
        <f>IF(COUNTIFS('LANÇAMENTOS DIÁRIOS'!$G$5:$G$500,"D",'LANÇAMENTOS DIÁRIOS'!$C$5:$C$500,$A43,'LANÇAMENTOS DIÁRIOS'!$O$5:$O$500,"&lt;=101899",'LANÇAMENTOS DIÁRIOS'!$P$5:$P$500,"&gt;=101800")&gt;0,"X","")</f>
      </c>
      <c r="P43" s="56" t="str">
        <f>IF(COUNTIFS('LANÇAMENTOS DIÁRIOS'!$G$5:$G$500,"D",'LANÇAMENTOS DIÁRIOS'!$C$5:$C$500,$A43,'LANÇAMENTOS DIÁRIOS'!$O$5:$O$500,"&lt;=101999",'LANÇAMENTOS DIÁRIOS'!$P$5:$P$500,"&gt;=101900")&gt;0,"X","")</f>
      </c>
      <c r="Q43" s="56" t="str">
        <f>IF(COUNTIFS('LANÇAMENTOS DIÁRIOS'!$G$5:$G$500,"D",'LANÇAMENTOS DIÁRIOS'!$C$5:$C$500,$A43,'LANÇAMENTOS DIÁRIOS'!$O$5:$O$500,"&lt;=102099",'LANÇAMENTOS DIÁRIOS'!$P$5:$P$500,"&gt;=102000")&gt;0,"X","")</f>
      </c>
      <c r="R43" s="56" t="str">
        <f>IF(COUNTIFS('LANÇAMENTOS DIÁRIOS'!$G$5:$G$500,"D",'LANÇAMENTOS DIÁRIOS'!$C$5:$C$500,$A43,'LANÇAMENTOS DIÁRIOS'!$O$5:$O$500,"&lt;=102199",'LANÇAMENTOS DIÁRIOS'!$P$5:$P$500,"&gt;=102100")&gt;0,"X","")</f>
      </c>
      <c r="S43" s="56" t="str">
        <f>IF(COUNTIFS('LANÇAMENTOS DIÁRIOS'!$G$5:$G$500,"D",'LANÇAMENTOS DIÁRIOS'!$C$5:$C$500,$A43,'LANÇAMENTOS DIÁRIOS'!$O$5:$O$500,"&lt;=102299",'LANÇAMENTOS DIÁRIOS'!$P$5:$P$500,"&gt;=102200")&gt;0,"X","")</f>
      </c>
      <c r="T43" s="56" t="str">
        <f>IF(COUNTIFS('LANÇAMENTOS DIÁRIOS'!$G$5:$G$500,"D",'LANÇAMENTOS DIÁRIOS'!$C$5:$C$500,$A43,'LANÇAMENTOS DIÁRIOS'!$O$5:$O$500,"&lt;=102399",'LANÇAMENTOS DIÁRIOS'!$P$5:$P$500,"&gt;=102300")&gt;0,"X","")</f>
      </c>
      <c r="U43" s="56" t="str">
        <f>IF(COUNTIFS('LANÇAMENTOS DIÁRIOS'!$G$5:$G$500,"D",'LANÇAMENTOS DIÁRIOS'!$C$5:$C$500,$A43,'LANÇAMENTOS DIÁRIOS'!$O$5:$O$500,"&lt;=102499",'LANÇAMENTOS DIÁRIOS'!$P$5:$P$500,"&gt;=102400")&gt;0,"X","")</f>
      </c>
      <c r="V43" s="56" t="str">
        <f>IF(COUNTIFS('LANÇAMENTOS DIÁRIOS'!$G$5:$G$500,"D",'LANÇAMENTOS DIÁRIOS'!$C$5:$C$500,$A43,'LANÇAMENTOS DIÁRIOS'!$O$5:$O$500,"&lt;=102599",'LANÇAMENTOS DIÁRIOS'!$P$5:$P$500,"&gt;=102500")&gt;0,"X","")</f>
      </c>
      <c r="W43" s="56" t="str">
        <f>IF(COUNTIFS('LANÇAMENTOS DIÁRIOS'!$G$5:$G$500,"D",'LANÇAMENTOS DIÁRIOS'!$C$5:$C$500,$A43,'LANÇAMENTOS DIÁRIOS'!$O$5:$O$500,"&lt;=102699",'LANÇAMENTOS DIÁRIOS'!$P$5:$P$500,"&gt;=102600")&gt;0,"X","")</f>
      </c>
      <c r="X43" s="56" t="str">
        <f>IF(COUNTIFS('LANÇAMENTOS DIÁRIOS'!$G$5:$G$500,"D",'LANÇAMENTOS DIÁRIOS'!$C$5:$C$500,$A43,'LANÇAMENTOS DIÁRIOS'!$O$5:$O$500,"&lt;=102799",'LANÇAMENTOS DIÁRIOS'!$P$5:$P$500,"&gt;=102700")&gt;0,"X","")</f>
      </c>
      <c r="Y43" s="56" t="str">
        <f>IF(COUNTIFS('LANÇAMENTOS DIÁRIOS'!$G$5:$G$500,"D",'LANÇAMENTOS DIÁRIOS'!$C$5:$C$500,$A43,'LANÇAMENTOS DIÁRIOS'!$O$5:$O$500,"&lt;=102899",'LANÇAMENTOS DIÁRIOS'!$P$5:$P$500,"&gt;=102800")&gt;0,"X","")</f>
      </c>
      <c r="Z43" s="56" t="str">
        <f>IF(COUNTIFS('LANÇAMENTOS DIÁRIOS'!$G$5:$G$500,"D",'LANÇAMENTOS DIÁRIOS'!$C$5:$C$500,$A43,'LANÇAMENTOS DIÁRIOS'!$O$5:$O$500,"&lt;=102999",'LANÇAMENTOS DIÁRIOS'!$P$5:$P$500,"&gt;=102900")&gt;0,"X","")</f>
      </c>
      <c r="AA43" s="56" t="str">
        <f>IF(COUNTIFS('LANÇAMENTOS DIÁRIOS'!$G$5:$G$500,"D",'LANÇAMENTOS DIÁRIOS'!$C$5:$C$500,$A43,'LANÇAMENTOS DIÁRIOS'!$O$5:$O$500,"&lt;=103099",'LANÇAMENTOS DIÁRIOS'!$P$5:$P$500,"&gt;=103000")&gt;0,"X","")</f>
      </c>
      <c r="AB43" s="56" t="str">
        <f>IF(COUNTIFS('LANÇAMENTOS DIÁRIOS'!$G$5:$G$500,"D",'LANÇAMENTOS DIÁRIOS'!$C$5:$C$500,$A43,'LANÇAMENTOS DIÁRIOS'!$O$5:$O$500,"&lt;=103199",'LANÇAMENTOS DIÁRIOS'!$P$5:$P$500,"&gt;=103100")&gt;0,"X","")</f>
      </c>
      <c r="AC43" s="56" t="str">
        <f>IF(COUNTIFS('LANÇAMENTOS DIÁRIOS'!$G$5:$G$500,"D",'LANÇAMENTOS DIÁRIOS'!$C$5:$C$500,$A43,'LANÇAMENTOS DIÁRIOS'!$O$5:$O$500,"&lt;=103299",'LANÇAMENTOS DIÁRIOS'!$P$5:$P$500,"&gt;=103200")&gt;0,"X","")</f>
      </c>
      <c r="AD43" s="56" t="str">
        <f>IF(COUNTIFS('LANÇAMENTOS DIÁRIOS'!$G$5:$G$500,"D",'LANÇAMENTOS DIÁRIOS'!$C$5:$C$500,$A43,'LANÇAMENTOS DIÁRIOS'!$O$5:$O$500,"&lt;=103399",'LANÇAMENTOS DIÁRIOS'!$P$5:$P$500,"&gt;=103300")&gt;0,"X","")</f>
      </c>
      <c r="AE43" s="56" t="str">
        <f>IF(COUNTIFS('LANÇAMENTOS DIÁRIOS'!$G$5:$G$500,"D",'LANÇAMENTOS DIÁRIOS'!$C$5:$C$500,$A43,'LANÇAMENTOS DIÁRIOS'!$O$5:$O$500,"&lt;=103499",'LANÇAMENTOS DIÁRIOS'!$P$5:$P$500,"&gt;=103400")&gt;0,"X","")</f>
      </c>
      <c r="AF43" s="56" t="str">
        <f>IF(COUNTIFS('LANÇAMENTOS DIÁRIOS'!$G$5:$G$500,"D",'LANÇAMENTOS DIÁRIOS'!$C$5:$C$500,$A43,'LANÇAMENTOS DIÁRIOS'!$O$5:$O$500,"&lt;=103599",'LANÇAMENTOS DIÁRIOS'!$P$5:$P$500,"&gt;=103500")&gt;0,"X","")</f>
      </c>
      <c r="AG43" s="56" t="str">
        <f>IF(COUNTIFS('LANÇAMENTOS DIÁRIOS'!$G$5:$G$500,"D",'LANÇAMENTOS DIÁRIOS'!$C$5:$C$500,$A43,'LANÇAMENTOS DIÁRIOS'!$O$5:$O$500,"&lt;=103699",'LANÇAMENTOS DIÁRIOS'!$P$5:$P$500,"&gt;=103600")&gt;0,"X","")</f>
      </c>
      <c r="AH43" s="56" t="str">
        <f>IF(COUNTIFS('LANÇAMENTOS DIÁRIOS'!$G$5:$G$500,"D",'LANÇAMENTOS DIÁRIOS'!$C$5:$C$500,$A43,'LANÇAMENTOS DIÁRIOS'!$O$5:$O$500,"&lt;=103799",'LANÇAMENTOS DIÁRIOS'!$P$5:$P$500,"&gt;=103700")&gt;0,"X","")</f>
      </c>
      <c r="AI43" s="56" t="str">
        <f>IF(COUNTIFS('LANÇAMENTOS DIÁRIOS'!$G$5:$G$500,"D",'LANÇAMENTOS DIÁRIOS'!$C$5:$C$500,$A43,'LANÇAMENTOS DIÁRIOS'!$O$5:$O$500,"&lt;=103899",'LANÇAMENTOS DIÁRIOS'!$P$5:$P$500,"&gt;=103800")&gt;0,"X","")</f>
      </c>
      <c r="AJ43" s="56" t="str">
        <f>IF(COUNTIFS('LANÇAMENTOS DIÁRIOS'!$G$5:$G$500,"D",'LANÇAMENTOS DIÁRIOS'!$C$5:$C$500,$A43,'LANÇAMENTOS DIÁRIOS'!$O$5:$O$500,"&lt;=103999",'LANÇAMENTOS DIÁRIOS'!$P$5:$P$500,"&gt;=103900")&gt;0,"X","")</f>
      </c>
      <c r="AK43" s="56" t="str">
        <f>IF(COUNTIFS('LANÇAMENTOS DIÁRIOS'!$G$5:$G$500,"D",'LANÇAMENTOS DIÁRIOS'!$C$5:$C$500,$A43,'LANÇAMENTOS DIÁRIOS'!$O$5:$O$500,"&lt;=104099",'LANÇAMENTOS DIÁRIOS'!$P$5:$P$500,"&gt;=104000")&gt;0,"X","")</f>
      </c>
      <c r="AL43" s="56" t="str">
        <f>IF(COUNTIFS('LANÇAMENTOS DIÁRIOS'!$G$5:$G$500,"D",'LANÇAMENTOS DIÁRIOS'!$C$5:$C$500,$A43,'LANÇAMENTOS DIÁRIOS'!$O$5:$O$500,"&lt;=104199",'LANÇAMENTOS DIÁRIOS'!$P$5:$P$500,"&gt;=104100")&gt;0,"X","")</f>
      </c>
      <c r="AM43" s="56" t="str">
        <f>IF(COUNTIFS('LANÇAMENTOS DIÁRIOS'!$G$5:$G$500,"D",'LANÇAMENTOS DIÁRIOS'!$C$5:$C$500,$A43,'LANÇAMENTOS DIÁRIOS'!$O$5:$O$500,"&lt;=104299",'LANÇAMENTOS DIÁRIOS'!$P$5:$P$500,"&gt;=104200")&gt;0,"X","")</f>
      </c>
      <c r="AN43" s="56" t="str">
        <f>IF(COUNTIFS('LANÇAMENTOS DIÁRIOS'!$G$5:$G$500,"D",'LANÇAMENTOS DIÁRIOS'!$C$5:$C$500,$A43,'LANÇAMENTOS DIÁRIOS'!$O$5:$O$500,"&lt;=104399",'LANÇAMENTOS DIÁRIOS'!$P$5:$P$500,"&gt;=104300")&gt;0,"X","")</f>
      </c>
      <c r="AO43" s="56" t="str">
        <f>IF(COUNTIFS('LANÇAMENTOS DIÁRIOS'!$G$5:$G$500,"D",'LANÇAMENTOS DIÁRIOS'!$C$5:$C$500,$A43,'LANÇAMENTOS DIÁRIOS'!$O$5:$O$500,"&lt;=104499",'LANÇAMENTOS DIÁRIOS'!$P$5:$P$500,"&gt;=104400")&gt;0,"X","")</f>
      </c>
      <c r="AP43" s="56" t="str">
        <f>IF(COUNTIFS('LANÇAMENTOS DIÁRIOS'!$G$5:$G$500,"D",'LANÇAMENTOS DIÁRIOS'!$C$5:$C$500,$A43,'LANÇAMENTOS DIÁRIOS'!$O$5:$O$500,"&lt;=104599",'LANÇAMENTOS DIÁRIOS'!$P$5:$P$500,"&gt;=104500")&gt;0,"X","")</f>
      </c>
      <c r="AQ43" s="56" t="str">
        <f>IF(COUNTIFS('LANÇAMENTOS DIÁRIOS'!$G$5:$G$500,"D",'LANÇAMENTOS DIÁRIOS'!$C$5:$C$500,$A43,'LANÇAMENTOS DIÁRIOS'!$O$5:$O$500,"&lt;=104699",'LANÇAMENTOS DIÁRIOS'!$P$5:$P$500,"&gt;=104600")&gt;0,"X","")</f>
      </c>
      <c r="AR43" s="56" t="str">
        <f>IF(COUNTIFS('LANÇAMENTOS DIÁRIOS'!$G$5:$G$500,"D",'LANÇAMENTOS DIÁRIOS'!$C$5:$C$500,$A43,'LANÇAMENTOS DIÁRIOS'!$O$5:$O$500,"&lt;=104799",'LANÇAMENTOS DIÁRIOS'!$P$5:$P$500,"&gt;=104700")&gt;0,"X","")</f>
      </c>
      <c r="AS43" s="56" t="str">
        <f>IF(COUNTIFS('LANÇAMENTOS DIÁRIOS'!$G$5:$G$500,"D",'LANÇAMENTOS DIÁRIOS'!$C$5:$C$500,$A43,'LANÇAMENTOS DIÁRIOS'!$O$5:$O$500,"&lt;=104899",'LANÇAMENTOS DIÁRIOS'!$P$5:$P$500,"&gt;=104800")&gt;0,"X","")</f>
      </c>
      <c r="AT43" s="56" t="str">
        <f>IF(COUNTIFS('LANÇAMENTOS DIÁRIOS'!$G$5:$G$500,"D",'LANÇAMENTOS DIÁRIOS'!$C$5:$C$500,$A43,'LANÇAMENTOS DIÁRIOS'!$O$5:$O$500,"&lt;=104999",'LANÇAMENTOS DIÁRIOS'!$P$5:$P$500,"&gt;=104900")&gt;0,"X","")</f>
      </c>
      <c r="AU43" s="56" t="str">
        <f>IF(COUNTIFS('LANÇAMENTOS DIÁRIOS'!$G$5:$G$500,"D",'LANÇAMENTOS DIÁRIOS'!$C$5:$C$500,$A43,'LANÇAMENTOS DIÁRIOS'!$O$5:$O$500,"&lt;=105099",'LANÇAMENTOS DIÁRIOS'!$P$5:$P$500,"&gt;=105000")&gt;0,"X","")</f>
      </c>
      <c r="AV43" s="56" t="str">
        <f>IF(COUNTIFS('LANÇAMENTOS DIÁRIOS'!$G$5:$G$500,"D",'LANÇAMENTOS DIÁRIOS'!$C$5:$C$500,$A43,'LANÇAMENTOS DIÁRIOS'!$O$5:$O$500,"&lt;=105199",'LANÇAMENTOS DIÁRIOS'!$P$5:$P$500,"&gt;=105100")&gt;0,"X","")</f>
      </c>
      <c r="AW43" s="56" t="str">
        <f>IF(COUNTIFS('LANÇAMENTOS DIÁRIOS'!$G$5:$G$500,"D",'LANÇAMENTOS DIÁRIOS'!$C$5:$C$500,$A43,'LANÇAMENTOS DIÁRIOS'!$O$5:$O$500,"&lt;=105299",'LANÇAMENTOS DIÁRIOS'!$P$5:$P$500,"&gt;=105200")&gt;0,"X","")</f>
      </c>
      <c r="AX43" s="56" t="str">
        <f>IF(COUNTIFS('LANÇAMENTOS DIÁRIOS'!$G$5:$G$500,"D",'LANÇAMENTOS DIÁRIOS'!$C$5:$C$500,$A43,'LANÇAMENTOS DIÁRIOS'!$O$5:$O$500,"&lt;=105399",'LANÇAMENTOS DIÁRIOS'!$P$5:$P$500,"&gt;=105300")&gt;0,"X","")</f>
      </c>
      <c r="AY43" s="56" t="str">
        <f>IF(COUNTIFS('LANÇAMENTOS DIÁRIOS'!$G$5:$G$500,"D",'LANÇAMENTOS DIÁRIOS'!$C$5:$C$500,$A43,'LANÇAMENTOS DIÁRIOS'!$O$5:$O$500,"&lt;=105499",'LANÇAMENTOS DIÁRIOS'!$P$5:$P$500,"&gt;=105400")&gt;0,"X","")</f>
      </c>
      <c r="AZ43" s="56" t="str">
        <f>IF(COUNTIFS('LANÇAMENTOS DIÁRIOS'!$G$5:$G$500,"D",'LANÇAMENTOS DIÁRIOS'!$C$5:$C$500,$A43,'LANÇAMENTOS DIÁRIOS'!$O$5:$O$500,"&lt;=105500",'LANÇAMENTOS DIÁRIOS'!$P$5:$P$500,"&gt;=105500")&gt;0,"X","")</f>
      </c>
    </row>
    <row r="44" ht="19" customHeight="1">
      <c r="A44" s="68" t="str">
        <v>Aterro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</row>
    <row r="45">
      <c r="A45" s="51" t="str">
        <v>Compactação de aterro a 95% do proctor normal</v>
      </c>
      <c r="B45" s="56" t="str">
        <f>IF(COUNTIFS('LANÇAMENTOS DIÁRIOS'!$G$5:$G$500,"D",'LANÇAMENTOS DIÁRIOS'!$C$5:$C$500,$A45,'LANÇAMENTOS DIÁRIOS'!$O$5:$O$500,"&lt;=100599",'LANÇAMENTOS DIÁRIOS'!$P$5:$P$500,"&gt;=100500")&gt;0,"X","")</f>
      </c>
      <c r="C45" s="56" t="str">
        <f>IF(COUNTIFS('LANÇAMENTOS DIÁRIOS'!$G$5:$G$500,"D",'LANÇAMENTOS DIÁRIOS'!$C$5:$C$500,$A45,'LANÇAMENTOS DIÁRIOS'!$O$5:$O$500,"&lt;=100699",'LANÇAMENTOS DIÁRIOS'!$P$5:$P$500,"&gt;=100600")&gt;0,"X","")</f>
      </c>
      <c r="D45" s="56" t="str">
        <f>IF(COUNTIFS('LANÇAMENTOS DIÁRIOS'!$G$5:$G$500,"D",'LANÇAMENTOS DIÁRIOS'!$C$5:$C$500,$A45,'LANÇAMENTOS DIÁRIOS'!$O$5:$O$500,"&lt;=100799",'LANÇAMENTOS DIÁRIOS'!$P$5:$P$500,"&gt;=100700")&gt;0,"X","")</f>
      </c>
      <c r="E45" s="56" t="str">
        <f>IF(COUNTIFS('LANÇAMENTOS DIÁRIOS'!$G$5:$G$500,"D",'LANÇAMENTOS DIÁRIOS'!$C$5:$C$500,$A45,'LANÇAMENTOS DIÁRIOS'!$O$5:$O$500,"&lt;=100899",'LANÇAMENTOS DIÁRIOS'!$P$5:$P$500,"&gt;=100800")&gt;0,"X","")</f>
      </c>
      <c r="F45" s="56" t="str">
        <f>IF(COUNTIFS('LANÇAMENTOS DIÁRIOS'!$G$5:$G$500,"D",'LANÇAMENTOS DIÁRIOS'!$C$5:$C$500,$A45,'LANÇAMENTOS DIÁRIOS'!$O$5:$O$500,"&lt;=100999",'LANÇAMENTOS DIÁRIOS'!$P$5:$P$500,"&gt;=100900")&gt;0,"X","")</f>
      </c>
      <c r="G45" s="56" t="str">
        <f>IF(COUNTIFS('LANÇAMENTOS DIÁRIOS'!$G$5:$G$500,"D",'LANÇAMENTOS DIÁRIOS'!$C$5:$C$500,$A45,'LANÇAMENTOS DIÁRIOS'!$O$5:$O$500,"&lt;=101099",'LANÇAMENTOS DIÁRIOS'!$P$5:$P$500,"&gt;=101000")&gt;0,"X","")</f>
      </c>
      <c r="H45" s="56" t="str">
        <f>IF(COUNTIFS('LANÇAMENTOS DIÁRIOS'!$G$5:$G$500,"D",'LANÇAMENTOS DIÁRIOS'!$C$5:$C$500,$A45,'LANÇAMENTOS DIÁRIOS'!$O$5:$O$500,"&lt;=101199",'LANÇAMENTOS DIÁRIOS'!$P$5:$P$500,"&gt;=101100")&gt;0,"X","")</f>
      </c>
      <c r="I45" s="56" t="str">
        <f>IF(COUNTIFS('LANÇAMENTOS DIÁRIOS'!$G$5:$G$500,"D",'LANÇAMENTOS DIÁRIOS'!$C$5:$C$500,$A45,'LANÇAMENTOS DIÁRIOS'!$O$5:$O$500,"&lt;=101299",'LANÇAMENTOS DIÁRIOS'!$P$5:$P$500,"&gt;=101200")&gt;0,"X","")</f>
      </c>
      <c r="J45" s="56" t="str">
        <f>IF(COUNTIFS('LANÇAMENTOS DIÁRIOS'!$G$5:$G$500,"D",'LANÇAMENTOS DIÁRIOS'!$C$5:$C$500,$A45,'LANÇAMENTOS DIÁRIOS'!$O$5:$O$500,"&lt;=101399",'LANÇAMENTOS DIÁRIOS'!$P$5:$P$500,"&gt;=101300")&gt;0,"X","")</f>
      </c>
      <c r="K45" s="56" t="str">
        <f>IF(COUNTIFS('LANÇAMENTOS DIÁRIOS'!$G$5:$G$500,"D",'LANÇAMENTOS DIÁRIOS'!$C$5:$C$500,$A45,'LANÇAMENTOS DIÁRIOS'!$O$5:$O$500,"&lt;=101499",'LANÇAMENTOS DIÁRIOS'!$P$5:$P$500,"&gt;=101400")&gt;0,"X","")</f>
      </c>
      <c r="L45" s="56" t="str">
        <f>IF(COUNTIFS('LANÇAMENTOS DIÁRIOS'!$G$5:$G$500,"D",'LANÇAMENTOS DIÁRIOS'!$C$5:$C$500,$A45,'LANÇAMENTOS DIÁRIOS'!$O$5:$O$500,"&lt;=101599",'LANÇAMENTOS DIÁRIOS'!$P$5:$P$500,"&gt;=101500")&gt;0,"X","")</f>
      </c>
      <c r="M45" s="56" t="str">
        <f>IF(COUNTIFS('LANÇAMENTOS DIÁRIOS'!$G$5:$G$500,"D",'LANÇAMENTOS DIÁRIOS'!$C$5:$C$500,$A45,'LANÇAMENTOS DIÁRIOS'!$O$5:$O$500,"&lt;=101699",'LANÇAMENTOS DIÁRIOS'!$P$5:$P$500,"&gt;=101600")&gt;0,"X","")</f>
      </c>
      <c r="N45" s="56" t="str">
        <f>IF(COUNTIFS('LANÇAMENTOS DIÁRIOS'!$G$5:$G$500,"D",'LANÇAMENTOS DIÁRIOS'!$C$5:$C$500,$A45,'LANÇAMENTOS DIÁRIOS'!$O$5:$O$500,"&lt;=101799",'LANÇAMENTOS DIÁRIOS'!$P$5:$P$500,"&gt;=101700")&gt;0,"X","")</f>
      </c>
      <c r="O45" s="56" t="str">
        <f>IF(COUNTIFS('LANÇAMENTOS DIÁRIOS'!$G$5:$G$500,"D",'LANÇAMENTOS DIÁRIOS'!$C$5:$C$500,$A45,'LANÇAMENTOS DIÁRIOS'!$O$5:$O$500,"&lt;=101899",'LANÇAMENTOS DIÁRIOS'!$P$5:$P$500,"&gt;=101800")&gt;0,"X","")</f>
      </c>
      <c r="P45" s="56" t="str">
        <f>IF(COUNTIFS('LANÇAMENTOS DIÁRIOS'!$G$5:$G$500,"D",'LANÇAMENTOS DIÁRIOS'!$C$5:$C$500,$A45,'LANÇAMENTOS DIÁRIOS'!$O$5:$O$500,"&lt;=101999",'LANÇAMENTOS DIÁRIOS'!$P$5:$P$500,"&gt;=101900")&gt;0,"X","")</f>
      </c>
      <c r="Q45" s="56" t="str">
        <f>IF(COUNTIFS('LANÇAMENTOS DIÁRIOS'!$G$5:$G$500,"D",'LANÇAMENTOS DIÁRIOS'!$C$5:$C$500,$A45,'LANÇAMENTOS DIÁRIOS'!$O$5:$O$500,"&lt;=102099",'LANÇAMENTOS DIÁRIOS'!$P$5:$P$500,"&gt;=102000")&gt;0,"X","")</f>
      </c>
      <c r="R45" s="56" t="str">
        <f>IF(COUNTIFS('LANÇAMENTOS DIÁRIOS'!$G$5:$G$500,"D",'LANÇAMENTOS DIÁRIOS'!$C$5:$C$500,$A45,'LANÇAMENTOS DIÁRIOS'!$O$5:$O$500,"&lt;=102199",'LANÇAMENTOS DIÁRIOS'!$P$5:$P$500,"&gt;=102100")&gt;0,"X","")</f>
      </c>
      <c r="S45" s="56" t="str">
        <f>IF(COUNTIFS('LANÇAMENTOS DIÁRIOS'!$G$5:$G$500,"D",'LANÇAMENTOS DIÁRIOS'!$C$5:$C$500,$A45,'LANÇAMENTOS DIÁRIOS'!$O$5:$O$500,"&lt;=102299",'LANÇAMENTOS DIÁRIOS'!$P$5:$P$500,"&gt;=102200")&gt;0,"X","")</f>
      </c>
      <c r="T45" s="56" t="str">
        <f>IF(COUNTIFS('LANÇAMENTOS DIÁRIOS'!$G$5:$G$500,"D",'LANÇAMENTOS DIÁRIOS'!$C$5:$C$500,$A45,'LANÇAMENTOS DIÁRIOS'!$O$5:$O$500,"&lt;=102399",'LANÇAMENTOS DIÁRIOS'!$P$5:$P$500,"&gt;=102300")&gt;0,"X","")</f>
      </c>
      <c r="U45" s="56" t="str">
        <f>IF(COUNTIFS('LANÇAMENTOS DIÁRIOS'!$G$5:$G$500,"D",'LANÇAMENTOS DIÁRIOS'!$C$5:$C$500,$A45,'LANÇAMENTOS DIÁRIOS'!$O$5:$O$500,"&lt;=102499",'LANÇAMENTOS DIÁRIOS'!$P$5:$P$500,"&gt;=102400")&gt;0,"X","")</f>
      </c>
      <c r="V45" s="56" t="str">
        <f>IF(COUNTIFS('LANÇAMENTOS DIÁRIOS'!$G$5:$G$500,"D",'LANÇAMENTOS DIÁRIOS'!$C$5:$C$500,$A45,'LANÇAMENTOS DIÁRIOS'!$O$5:$O$500,"&lt;=102599",'LANÇAMENTOS DIÁRIOS'!$P$5:$P$500,"&gt;=102500")&gt;0,"X","")</f>
      </c>
      <c r="W45" s="56" t="str">
        <f>IF(COUNTIFS('LANÇAMENTOS DIÁRIOS'!$G$5:$G$500,"D",'LANÇAMENTOS DIÁRIOS'!$C$5:$C$500,$A45,'LANÇAMENTOS DIÁRIOS'!$O$5:$O$500,"&lt;=102699",'LANÇAMENTOS DIÁRIOS'!$P$5:$P$500,"&gt;=102600")&gt;0,"X","")</f>
      </c>
      <c r="X45" s="56" t="str">
        <f>IF(COUNTIFS('LANÇAMENTOS DIÁRIOS'!$G$5:$G$500,"D",'LANÇAMENTOS DIÁRIOS'!$C$5:$C$500,$A45,'LANÇAMENTOS DIÁRIOS'!$O$5:$O$500,"&lt;=102799",'LANÇAMENTOS DIÁRIOS'!$P$5:$P$500,"&gt;=102700")&gt;0,"X","")</f>
      </c>
      <c r="Y45" s="56" t="str">
        <f>IF(COUNTIFS('LANÇAMENTOS DIÁRIOS'!$G$5:$G$500,"D",'LANÇAMENTOS DIÁRIOS'!$C$5:$C$500,$A45,'LANÇAMENTOS DIÁRIOS'!$O$5:$O$500,"&lt;=102899",'LANÇAMENTOS DIÁRIOS'!$P$5:$P$500,"&gt;=102800")&gt;0,"X","")</f>
      </c>
      <c r="Z45" s="56" t="str">
        <f>IF(COUNTIFS('LANÇAMENTOS DIÁRIOS'!$G$5:$G$500,"D",'LANÇAMENTOS DIÁRIOS'!$C$5:$C$500,$A45,'LANÇAMENTOS DIÁRIOS'!$O$5:$O$500,"&lt;=102999",'LANÇAMENTOS DIÁRIOS'!$P$5:$P$500,"&gt;=102900")&gt;0,"X","")</f>
      </c>
      <c r="AA45" s="56" t="str">
        <f>IF(COUNTIFS('LANÇAMENTOS DIÁRIOS'!$G$5:$G$500,"D",'LANÇAMENTOS DIÁRIOS'!$C$5:$C$500,$A45,'LANÇAMENTOS DIÁRIOS'!$O$5:$O$500,"&lt;=103099",'LANÇAMENTOS DIÁRIOS'!$P$5:$P$500,"&gt;=103000")&gt;0,"X","")</f>
      </c>
      <c r="AB45" s="56" t="str">
        <f>IF(COUNTIFS('LANÇAMENTOS DIÁRIOS'!$G$5:$G$500,"D",'LANÇAMENTOS DIÁRIOS'!$C$5:$C$500,$A45,'LANÇAMENTOS DIÁRIOS'!$O$5:$O$500,"&lt;=103199",'LANÇAMENTOS DIÁRIOS'!$P$5:$P$500,"&gt;=103100")&gt;0,"X","")</f>
      </c>
      <c r="AC45" s="56" t="str">
        <f>IF(COUNTIFS('LANÇAMENTOS DIÁRIOS'!$G$5:$G$500,"D",'LANÇAMENTOS DIÁRIOS'!$C$5:$C$500,$A45,'LANÇAMENTOS DIÁRIOS'!$O$5:$O$500,"&lt;=103299",'LANÇAMENTOS DIÁRIOS'!$P$5:$P$500,"&gt;=103200")&gt;0,"X","")</f>
      </c>
      <c r="AD45" s="56" t="str">
        <f>IF(COUNTIFS('LANÇAMENTOS DIÁRIOS'!$G$5:$G$500,"D",'LANÇAMENTOS DIÁRIOS'!$C$5:$C$500,$A45,'LANÇAMENTOS DIÁRIOS'!$O$5:$O$500,"&lt;=103399",'LANÇAMENTOS DIÁRIOS'!$P$5:$P$500,"&gt;=103300")&gt;0,"X","")</f>
      </c>
      <c r="AE45" s="56" t="str">
        <f>IF(COUNTIFS('LANÇAMENTOS DIÁRIOS'!$G$5:$G$500,"D",'LANÇAMENTOS DIÁRIOS'!$C$5:$C$500,$A45,'LANÇAMENTOS DIÁRIOS'!$O$5:$O$500,"&lt;=103499",'LANÇAMENTOS DIÁRIOS'!$P$5:$P$500,"&gt;=103400")&gt;0,"X","")</f>
      </c>
      <c r="AF45" s="56" t="str">
        <f>IF(COUNTIFS('LANÇAMENTOS DIÁRIOS'!$G$5:$G$500,"D",'LANÇAMENTOS DIÁRIOS'!$C$5:$C$500,$A45,'LANÇAMENTOS DIÁRIOS'!$O$5:$O$500,"&lt;=103599",'LANÇAMENTOS DIÁRIOS'!$P$5:$P$500,"&gt;=103500")&gt;0,"X","")</f>
      </c>
      <c r="AG45" s="56" t="str">
        <f>IF(COUNTIFS('LANÇAMENTOS DIÁRIOS'!$G$5:$G$500,"D",'LANÇAMENTOS DIÁRIOS'!$C$5:$C$500,$A45,'LANÇAMENTOS DIÁRIOS'!$O$5:$O$500,"&lt;=103699",'LANÇAMENTOS DIÁRIOS'!$P$5:$P$500,"&gt;=103600")&gt;0,"X","")</f>
      </c>
      <c r="AH45" s="56" t="str">
        <f>IF(COUNTIFS('LANÇAMENTOS DIÁRIOS'!$G$5:$G$500,"D",'LANÇAMENTOS DIÁRIOS'!$C$5:$C$500,$A45,'LANÇAMENTOS DIÁRIOS'!$O$5:$O$500,"&lt;=103799",'LANÇAMENTOS DIÁRIOS'!$P$5:$P$500,"&gt;=103700")&gt;0,"X","")</f>
      </c>
      <c r="AI45" s="56" t="str">
        <f>IF(COUNTIFS('LANÇAMENTOS DIÁRIOS'!$G$5:$G$500,"D",'LANÇAMENTOS DIÁRIOS'!$C$5:$C$500,$A45,'LANÇAMENTOS DIÁRIOS'!$O$5:$O$500,"&lt;=103899",'LANÇAMENTOS DIÁRIOS'!$P$5:$P$500,"&gt;=103800")&gt;0,"X","")</f>
      </c>
      <c r="AJ45" s="56" t="str">
        <f>IF(COUNTIFS('LANÇAMENTOS DIÁRIOS'!$G$5:$G$500,"D",'LANÇAMENTOS DIÁRIOS'!$C$5:$C$500,$A45,'LANÇAMENTOS DIÁRIOS'!$O$5:$O$500,"&lt;=103999",'LANÇAMENTOS DIÁRIOS'!$P$5:$P$500,"&gt;=103900")&gt;0,"X","")</f>
      </c>
      <c r="AK45" s="56" t="str">
        <f>IF(COUNTIFS('LANÇAMENTOS DIÁRIOS'!$G$5:$G$500,"D",'LANÇAMENTOS DIÁRIOS'!$C$5:$C$500,$A45,'LANÇAMENTOS DIÁRIOS'!$O$5:$O$500,"&lt;=104099",'LANÇAMENTOS DIÁRIOS'!$P$5:$P$500,"&gt;=104000")&gt;0,"X","")</f>
      </c>
      <c r="AL45" s="56" t="str">
        <f>IF(COUNTIFS('LANÇAMENTOS DIÁRIOS'!$G$5:$G$500,"D",'LANÇAMENTOS DIÁRIOS'!$C$5:$C$500,$A45,'LANÇAMENTOS DIÁRIOS'!$O$5:$O$500,"&lt;=104199",'LANÇAMENTOS DIÁRIOS'!$P$5:$P$500,"&gt;=104100")&gt;0,"X","")</f>
      </c>
      <c r="AM45" s="56" t="str">
        <f>IF(COUNTIFS('LANÇAMENTOS DIÁRIOS'!$G$5:$G$500,"D",'LANÇAMENTOS DIÁRIOS'!$C$5:$C$500,$A45,'LANÇAMENTOS DIÁRIOS'!$O$5:$O$500,"&lt;=104299",'LANÇAMENTOS DIÁRIOS'!$P$5:$P$500,"&gt;=104200")&gt;0,"X","")</f>
      </c>
      <c r="AN45" s="56" t="str">
        <f>IF(COUNTIFS('LANÇAMENTOS DIÁRIOS'!$G$5:$G$500,"D",'LANÇAMENTOS DIÁRIOS'!$C$5:$C$500,$A45,'LANÇAMENTOS DIÁRIOS'!$O$5:$O$500,"&lt;=104399",'LANÇAMENTOS DIÁRIOS'!$P$5:$P$500,"&gt;=104300")&gt;0,"X","")</f>
      </c>
      <c r="AO45" s="56" t="str">
        <f>IF(COUNTIFS('LANÇAMENTOS DIÁRIOS'!$G$5:$G$500,"D",'LANÇAMENTOS DIÁRIOS'!$C$5:$C$500,$A45,'LANÇAMENTOS DIÁRIOS'!$O$5:$O$500,"&lt;=104499",'LANÇAMENTOS DIÁRIOS'!$P$5:$P$500,"&gt;=104400")&gt;0,"X","")</f>
      </c>
      <c r="AP45" s="56" t="str">
        <f>IF(COUNTIFS('LANÇAMENTOS DIÁRIOS'!$G$5:$G$500,"D",'LANÇAMENTOS DIÁRIOS'!$C$5:$C$500,$A45,'LANÇAMENTOS DIÁRIOS'!$O$5:$O$500,"&lt;=104599",'LANÇAMENTOS DIÁRIOS'!$P$5:$P$500,"&gt;=104500")&gt;0,"X","")</f>
      </c>
      <c r="AQ45" s="56" t="str">
        <f>IF(COUNTIFS('LANÇAMENTOS DIÁRIOS'!$G$5:$G$500,"D",'LANÇAMENTOS DIÁRIOS'!$C$5:$C$500,$A45,'LANÇAMENTOS DIÁRIOS'!$O$5:$O$500,"&lt;=104699",'LANÇAMENTOS DIÁRIOS'!$P$5:$P$500,"&gt;=104600")&gt;0,"X","")</f>
      </c>
      <c r="AR45" s="56" t="str">
        <f>IF(COUNTIFS('LANÇAMENTOS DIÁRIOS'!$G$5:$G$500,"D",'LANÇAMENTOS DIÁRIOS'!$C$5:$C$500,$A45,'LANÇAMENTOS DIÁRIOS'!$O$5:$O$500,"&lt;=104799",'LANÇAMENTOS DIÁRIOS'!$P$5:$P$500,"&gt;=104700")&gt;0,"X","")</f>
      </c>
      <c r="AS45" s="56" t="str">
        <f>IF(COUNTIFS('LANÇAMENTOS DIÁRIOS'!$G$5:$G$500,"D",'LANÇAMENTOS DIÁRIOS'!$C$5:$C$500,$A45,'LANÇAMENTOS DIÁRIOS'!$O$5:$O$500,"&lt;=104899",'LANÇAMENTOS DIÁRIOS'!$P$5:$P$500,"&gt;=104800")&gt;0,"X","")</f>
      </c>
      <c r="AT45" s="56" t="str">
        <f>IF(COUNTIFS('LANÇAMENTOS DIÁRIOS'!$G$5:$G$500,"D",'LANÇAMENTOS DIÁRIOS'!$C$5:$C$500,$A45,'LANÇAMENTOS DIÁRIOS'!$O$5:$O$500,"&lt;=104999",'LANÇAMENTOS DIÁRIOS'!$P$5:$P$500,"&gt;=104900")&gt;0,"X","")</f>
      </c>
      <c r="AU45" s="56" t="str">
        <f>IF(COUNTIFS('LANÇAMENTOS DIÁRIOS'!$G$5:$G$500,"D",'LANÇAMENTOS DIÁRIOS'!$C$5:$C$500,$A45,'LANÇAMENTOS DIÁRIOS'!$O$5:$O$500,"&lt;=105099",'LANÇAMENTOS DIÁRIOS'!$P$5:$P$500,"&gt;=105000")&gt;0,"X","")</f>
      </c>
      <c r="AV45" s="56" t="str">
        <f>IF(COUNTIFS('LANÇAMENTOS DIÁRIOS'!$G$5:$G$500,"D",'LANÇAMENTOS DIÁRIOS'!$C$5:$C$500,$A45,'LANÇAMENTOS DIÁRIOS'!$O$5:$O$500,"&lt;=105199",'LANÇAMENTOS DIÁRIOS'!$P$5:$P$500,"&gt;=105100")&gt;0,"X","")</f>
      </c>
      <c r="AW45" s="56" t="str">
        <f>IF(COUNTIFS('LANÇAMENTOS DIÁRIOS'!$G$5:$G$500,"D",'LANÇAMENTOS DIÁRIOS'!$C$5:$C$500,$A45,'LANÇAMENTOS DIÁRIOS'!$O$5:$O$500,"&lt;=105299",'LANÇAMENTOS DIÁRIOS'!$P$5:$P$500,"&gt;=105200")&gt;0,"X","")</f>
      </c>
      <c r="AX45" s="56" t="str">
        <f>IF(COUNTIFS('LANÇAMENTOS DIÁRIOS'!$G$5:$G$500,"D",'LANÇAMENTOS DIÁRIOS'!$C$5:$C$500,$A45,'LANÇAMENTOS DIÁRIOS'!$O$5:$O$500,"&lt;=105399",'LANÇAMENTOS DIÁRIOS'!$P$5:$P$500,"&gt;=105300")&gt;0,"X","")</f>
      </c>
      <c r="AY45" s="56" t="str">
        <f>IF(COUNTIFS('LANÇAMENTOS DIÁRIOS'!$G$5:$G$500,"D",'LANÇAMENTOS DIÁRIOS'!$C$5:$C$500,$A45,'LANÇAMENTOS DIÁRIOS'!$O$5:$O$500,"&lt;=105499",'LANÇAMENTOS DIÁRIOS'!$P$5:$P$500,"&gt;=105400")&gt;0,"X","")</f>
      </c>
      <c r="AZ45" s="56" t="str">
        <f>IF(COUNTIFS('LANÇAMENTOS DIÁRIOS'!$G$5:$G$500,"D",'LANÇAMENTOS DIÁRIOS'!$C$5:$C$500,$A45,'LANÇAMENTOS DIÁRIOS'!$O$5:$O$500,"&lt;=105500",'LANÇAMENTOS DIÁRIOS'!$P$5:$P$500,"&gt;=105500")&gt;0,"X","")</f>
      </c>
    </row>
    <row r="46">
      <c r="A46" s="51" t="str">
        <v>Compactação de aterro a 100% do proctor intermediário</v>
      </c>
      <c r="B46" s="56" t="str">
        <f>IF(COUNTIFS('LANÇAMENTOS DIÁRIOS'!$G$5:$G$500,"D",'LANÇAMENTOS DIÁRIOS'!$C$5:$C$500,$A46,'LANÇAMENTOS DIÁRIOS'!$O$5:$O$500,"&lt;=100599",'LANÇAMENTOS DIÁRIOS'!$P$5:$P$500,"&gt;=100500")&gt;0,"X","")</f>
      </c>
      <c r="C46" s="56" t="str">
        <f>IF(COUNTIFS('LANÇAMENTOS DIÁRIOS'!$G$5:$G$500,"D",'LANÇAMENTOS DIÁRIOS'!$C$5:$C$500,$A46,'LANÇAMENTOS DIÁRIOS'!$O$5:$O$500,"&lt;=100699",'LANÇAMENTOS DIÁRIOS'!$P$5:$P$500,"&gt;=100600")&gt;0,"X","")</f>
      </c>
      <c r="D46" s="56" t="str">
        <f>IF(COUNTIFS('LANÇAMENTOS DIÁRIOS'!$G$5:$G$500,"D",'LANÇAMENTOS DIÁRIOS'!$C$5:$C$500,$A46,'LANÇAMENTOS DIÁRIOS'!$O$5:$O$500,"&lt;=100799",'LANÇAMENTOS DIÁRIOS'!$P$5:$P$500,"&gt;=100700")&gt;0,"X","")</f>
      </c>
      <c r="E46" s="56" t="str">
        <f>IF(COUNTIFS('LANÇAMENTOS DIÁRIOS'!$G$5:$G$500,"D",'LANÇAMENTOS DIÁRIOS'!$C$5:$C$500,$A46,'LANÇAMENTOS DIÁRIOS'!$O$5:$O$500,"&lt;=100899",'LANÇAMENTOS DIÁRIOS'!$P$5:$P$500,"&gt;=100800")&gt;0,"X","")</f>
      </c>
      <c r="F46" s="56" t="str">
        <f>IF(COUNTIFS('LANÇAMENTOS DIÁRIOS'!$G$5:$G$500,"D",'LANÇAMENTOS DIÁRIOS'!$C$5:$C$500,$A46,'LANÇAMENTOS DIÁRIOS'!$O$5:$O$500,"&lt;=100999",'LANÇAMENTOS DIÁRIOS'!$P$5:$P$500,"&gt;=100900")&gt;0,"X","")</f>
      </c>
      <c r="G46" s="56" t="str">
        <f>IF(COUNTIFS('LANÇAMENTOS DIÁRIOS'!$G$5:$G$500,"D",'LANÇAMENTOS DIÁRIOS'!$C$5:$C$500,$A46,'LANÇAMENTOS DIÁRIOS'!$O$5:$O$500,"&lt;=101099",'LANÇAMENTOS DIÁRIOS'!$P$5:$P$500,"&gt;=101000")&gt;0,"X","")</f>
      </c>
      <c r="H46" s="56" t="str">
        <f>IF(COUNTIFS('LANÇAMENTOS DIÁRIOS'!$G$5:$G$500,"D",'LANÇAMENTOS DIÁRIOS'!$C$5:$C$500,$A46,'LANÇAMENTOS DIÁRIOS'!$O$5:$O$500,"&lt;=101199",'LANÇAMENTOS DIÁRIOS'!$P$5:$P$500,"&gt;=101100")&gt;0,"X","")</f>
      </c>
      <c r="I46" s="56" t="str">
        <f>IF(COUNTIFS('LANÇAMENTOS DIÁRIOS'!$G$5:$G$500,"D",'LANÇAMENTOS DIÁRIOS'!$C$5:$C$500,$A46,'LANÇAMENTOS DIÁRIOS'!$O$5:$O$500,"&lt;=101299",'LANÇAMENTOS DIÁRIOS'!$P$5:$P$500,"&gt;=101200")&gt;0,"X","")</f>
      </c>
      <c r="J46" s="56" t="str">
        <f>IF(COUNTIFS('LANÇAMENTOS DIÁRIOS'!$G$5:$G$500,"D",'LANÇAMENTOS DIÁRIOS'!$C$5:$C$500,$A46,'LANÇAMENTOS DIÁRIOS'!$O$5:$O$500,"&lt;=101399",'LANÇAMENTOS DIÁRIOS'!$P$5:$P$500,"&gt;=101300")&gt;0,"X","")</f>
      </c>
      <c r="K46" s="56" t="str">
        <f>IF(COUNTIFS('LANÇAMENTOS DIÁRIOS'!$G$5:$G$500,"D",'LANÇAMENTOS DIÁRIOS'!$C$5:$C$500,$A46,'LANÇAMENTOS DIÁRIOS'!$O$5:$O$500,"&lt;=101499",'LANÇAMENTOS DIÁRIOS'!$P$5:$P$500,"&gt;=101400")&gt;0,"X","")</f>
      </c>
      <c r="L46" s="56" t="str">
        <f>IF(COUNTIFS('LANÇAMENTOS DIÁRIOS'!$G$5:$G$500,"D",'LANÇAMENTOS DIÁRIOS'!$C$5:$C$500,$A46,'LANÇAMENTOS DIÁRIOS'!$O$5:$O$500,"&lt;=101599",'LANÇAMENTOS DIÁRIOS'!$P$5:$P$500,"&gt;=101500")&gt;0,"X","")</f>
      </c>
      <c r="M46" s="56" t="str">
        <f>IF(COUNTIFS('LANÇAMENTOS DIÁRIOS'!$G$5:$G$500,"D",'LANÇAMENTOS DIÁRIOS'!$C$5:$C$500,$A46,'LANÇAMENTOS DIÁRIOS'!$O$5:$O$500,"&lt;=101699",'LANÇAMENTOS DIÁRIOS'!$P$5:$P$500,"&gt;=101600")&gt;0,"X","")</f>
      </c>
      <c r="N46" s="56" t="str">
        <f>IF(COUNTIFS('LANÇAMENTOS DIÁRIOS'!$G$5:$G$500,"D",'LANÇAMENTOS DIÁRIOS'!$C$5:$C$500,$A46,'LANÇAMENTOS DIÁRIOS'!$O$5:$O$500,"&lt;=101799",'LANÇAMENTOS DIÁRIOS'!$P$5:$P$500,"&gt;=101700")&gt;0,"X","")</f>
      </c>
      <c r="O46" s="56" t="str">
        <f>IF(COUNTIFS('LANÇAMENTOS DIÁRIOS'!$G$5:$G$500,"D",'LANÇAMENTOS DIÁRIOS'!$C$5:$C$500,$A46,'LANÇAMENTOS DIÁRIOS'!$O$5:$O$500,"&lt;=101899",'LANÇAMENTOS DIÁRIOS'!$P$5:$P$500,"&gt;=101800")&gt;0,"X","")</f>
      </c>
      <c r="P46" s="56" t="str">
        <f>IF(COUNTIFS('LANÇAMENTOS DIÁRIOS'!$G$5:$G$500,"D",'LANÇAMENTOS DIÁRIOS'!$C$5:$C$500,$A46,'LANÇAMENTOS DIÁRIOS'!$O$5:$O$500,"&lt;=101999",'LANÇAMENTOS DIÁRIOS'!$P$5:$P$500,"&gt;=101900")&gt;0,"X","")</f>
      </c>
      <c r="Q46" s="56" t="str">
        <f>IF(COUNTIFS('LANÇAMENTOS DIÁRIOS'!$G$5:$G$500,"D",'LANÇAMENTOS DIÁRIOS'!$C$5:$C$500,$A46,'LANÇAMENTOS DIÁRIOS'!$O$5:$O$500,"&lt;=102099",'LANÇAMENTOS DIÁRIOS'!$P$5:$P$500,"&gt;=102000")&gt;0,"X","")</f>
      </c>
      <c r="R46" s="56" t="str">
        <f>IF(COUNTIFS('LANÇAMENTOS DIÁRIOS'!$G$5:$G$500,"D",'LANÇAMENTOS DIÁRIOS'!$C$5:$C$500,$A46,'LANÇAMENTOS DIÁRIOS'!$O$5:$O$500,"&lt;=102199",'LANÇAMENTOS DIÁRIOS'!$P$5:$P$500,"&gt;=102100")&gt;0,"X","")</f>
      </c>
      <c r="S46" s="56" t="str">
        <f>IF(COUNTIFS('LANÇAMENTOS DIÁRIOS'!$G$5:$G$500,"D",'LANÇAMENTOS DIÁRIOS'!$C$5:$C$500,$A46,'LANÇAMENTOS DIÁRIOS'!$O$5:$O$500,"&lt;=102299",'LANÇAMENTOS DIÁRIOS'!$P$5:$P$500,"&gt;=102200")&gt;0,"X","")</f>
      </c>
      <c r="T46" s="56" t="str">
        <f>IF(COUNTIFS('LANÇAMENTOS DIÁRIOS'!$G$5:$G$500,"D",'LANÇAMENTOS DIÁRIOS'!$C$5:$C$500,$A46,'LANÇAMENTOS DIÁRIOS'!$O$5:$O$500,"&lt;=102399",'LANÇAMENTOS DIÁRIOS'!$P$5:$P$500,"&gt;=102300")&gt;0,"X","")</f>
      </c>
      <c r="U46" s="56" t="str">
        <f>IF(COUNTIFS('LANÇAMENTOS DIÁRIOS'!$G$5:$G$500,"D",'LANÇAMENTOS DIÁRIOS'!$C$5:$C$500,$A46,'LANÇAMENTOS DIÁRIOS'!$O$5:$O$500,"&lt;=102499",'LANÇAMENTOS DIÁRIOS'!$P$5:$P$500,"&gt;=102400")&gt;0,"X","")</f>
      </c>
      <c r="V46" s="56" t="str">
        <f>IF(COUNTIFS('LANÇAMENTOS DIÁRIOS'!$G$5:$G$500,"D",'LANÇAMENTOS DIÁRIOS'!$C$5:$C$500,$A46,'LANÇAMENTOS DIÁRIOS'!$O$5:$O$500,"&lt;=102599",'LANÇAMENTOS DIÁRIOS'!$P$5:$P$500,"&gt;=102500")&gt;0,"X","")</f>
      </c>
      <c r="W46" s="56" t="str">
        <f>IF(COUNTIFS('LANÇAMENTOS DIÁRIOS'!$G$5:$G$500,"D",'LANÇAMENTOS DIÁRIOS'!$C$5:$C$500,$A46,'LANÇAMENTOS DIÁRIOS'!$O$5:$O$500,"&lt;=102699",'LANÇAMENTOS DIÁRIOS'!$P$5:$P$500,"&gt;=102600")&gt;0,"X","")</f>
      </c>
      <c r="X46" s="56" t="str">
        <f>IF(COUNTIFS('LANÇAMENTOS DIÁRIOS'!$G$5:$G$500,"D",'LANÇAMENTOS DIÁRIOS'!$C$5:$C$500,$A46,'LANÇAMENTOS DIÁRIOS'!$O$5:$O$500,"&lt;=102799",'LANÇAMENTOS DIÁRIOS'!$P$5:$P$500,"&gt;=102700")&gt;0,"X","")</f>
      </c>
      <c r="Y46" s="56" t="str">
        <f>IF(COUNTIFS('LANÇAMENTOS DIÁRIOS'!$G$5:$G$500,"D",'LANÇAMENTOS DIÁRIOS'!$C$5:$C$500,$A46,'LANÇAMENTOS DIÁRIOS'!$O$5:$O$500,"&lt;=102899",'LANÇAMENTOS DIÁRIOS'!$P$5:$P$500,"&gt;=102800")&gt;0,"X","")</f>
      </c>
      <c r="Z46" s="56" t="str">
        <f>IF(COUNTIFS('LANÇAMENTOS DIÁRIOS'!$G$5:$G$500,"D",'LANÇAMENTOS DIÁRIOS'!$C$5:$C$500,$A46,'LANÇAMENTOS DIÁRIOS'!$O$5:$O$500,"&lt;=102999",'LANÇAMENTOS DIÁRIOS'!$P$5:$P$500,"&gt;=102900")&gt;0,"X","")</f>
      </c>
      <c r="AA46" s="56" t="str">
        <f>IF(COUNTIFS('LANÇAMENTOS DIÁRIOS'!$G$5:$G$500,"D",'LANÇAMENTOS DIÁRIOS'!$C$5:$C$500,$A46,'LANÇAMENTOS DIÁRIOS'!$O$5:$O$500,"&lt;=103099",'LANÇAMENTOS DIÁRIOS'!$P$5:$P$500,"&gt;=103000")&gt;0,"X","")</f>
      </c>
      <c r="AB46" s="56" t="str">
        <f>IF(COUNTIFS('LANÇAMENTOS DIÁRIOS'!$G$5:$G$500,"D",'LANÇAMENTOS DIÁRIOS'!$C$5:$C$500,$A46,'LANÇAMENTOS DIÁRIOS'!$O$5:$O$500,"&lt;=103199",'LANÇAMENTOS DIÁRIOS'!$P$5:$P$500,"&gt;=103100")&gt;0,"X","")</f>
      </c>
      <c r="AC46" s="56" t="str">
        <f>IF(COUNTIFS('LANÇAMENTOS DIÁRIOS'!$G$5:$G$500,"D",'LANÇAMENTOS DIÁRIOS'!$C$5:$C$500,$A46,'LANÇAMENTOS DIÁRIOS'!$O$5:$O$500,"&lt;=103299",'LANÇAMENTOS DIÁRIOS'!$P$5:$P$500,"&gt;=103200")&gt;0,"X","")</f>
      </c>
      <c r="AD46" s="56" t="str">
        <f>IF(COUNTIFS('LANÇAMENTOS DIÁRIOS'!$G$5:$G$500,"D",'LANÇAMENTOS DIÁRIOS'!$C$5:$C$500,$A46,'LANÇAMENTOS DIÁRIOS'!$O$5:$O$500,"&lt;=103399",'LANÇAMENTOS DIÁRIOS'!$P$5:$P$500,"&gt;=103300")&gt;0,"X","")</f>
      </c>
      <c r="AE46" s="56" t="str">
        <f>IF(COUNTIFS('LANÇAMENTOS DIÁRIOS'!$G$5:$G$500,"D",'LANÇAMENTOS DIÁRIOS'!$C$5:$C$500,$A46,'LANÇAMENTOS DIÁRIOS'!$O$5:$O$500,"&lt;=103499",'LANÇAMENTOS DIÁRIOS'!$P$5:$P$500,"&gt;=103400")&gt;0,"X","")</f>
      </c>
      <c r="AF46" s="56" t="str">
        <f>IF(COUNTIFS('LANÇAMENTOS DIÁRIOS'!$G$5:$G$500,"D",'LANÇAMENTOS DIÁRIOS'!$C$5:$C$500,$A46,'LANÇAMENTOS DIÁRIOS'!$O$5:$O$500,"&lt;=103599",'LANÇAMENTOS DIÁRIOS'!$P$5:$P$500,"&gt;=103500")&gt;0,"X","")</f>
      </c>
      <c r="AG46" s="56" t="str">
        <f>IF(COUNTIFS('LANÇAMENTOS DIÁRIOS'!$G$5:$G$500,"D",'LANÇAMENTOS DIÁRIOS'!$C$5:$C$500,$A46,'LANÇAMENTOS DIÁRIOS'!$O$5:$O$500,"&lt;=103699",'LANÇAMENTOS DIÁRIOS'!$P$5:$P$500,"&gt;=103600")&gt;0,"X","")</f>
      </c>
      <c r="AH46" s="56" t="str">
        <f>IF(COUNTIFS('LANÇAMENTOS DIÁRIOS'!$G$5:$G$500,"D",'LANÇAMENTOS DIÁRIOS'!$C$5:$C$500,$A46,'LANÇAMENTOS DIÁRIOS'!$O$5:$O$500,"&lt;=103799",'LANÇAMENTOS DIÁRIOS'!$P$5:$P$500,"&gt;=103700")&gt;0,"X","")</f>
      </c>
      <c r="AI46" s="56" t="str">
        <f>IF(COUNTIFS('LANÇAMENTOS DIÁRIOS'!$G$5:$G$500,"D",'LANÇAMENTOS DIÁRIOS'!$C$5:$C$500,$A46,'LANÇAMENTOS DIÁRIOS'!$O$5:$O$500,"&lt;=103899",'LANÇAMENTOS DIÁRIOS'!$P$5:$P$500,"&gt;=103800")&gt;0,"X","")</f>
      </c>
      <c r="AJ46" s="56" t="str">
        <f>IF(COUNTIFS('LANÇAMENTOS DIÁRIOS'!$G$5:$G$500,"D",'LANÇAMENTOS DIÁRIOS'!$C$5:$C$500,$A46,'LANÇAMENTOS DIÁRIOS'!$O$5:$O$500,"&lt;=103999",'LANÇAMENTOS DIÁRIOS'!$P$5:$P$500,"&gt;=103900")&gt;0,"X","")</f>
      </c>
      <c r="AK46" s="56" t="str">
        <f>IF(COUNTIFS('LANÇAMENTOS DIÁRIOS'!$G$5:$G$500,"D",'LANÇAMENTOS DIÁRIOS'!$C$5:$C$500,$A46,'LANÇAMENTOS DIÁRIOS'!$O$5:$O$500,"&lt;=104099",'LANÇAMENTOS DIÁRIOS'!$P$5:$P$500,"&gt;=104000")&gt;0,"X","")</f>
      </c>
      <c r="AL46" s="56" t="str">
        <f>IF(COUNTIFS('LANÇAMENTOS DIÁRIOS'!$G$5:$G$500,"D",'LANÇAMENTOS DIÁRIOS'!$C$5:$C$500,$A46,'LANÇAMENTOS DIÁRIOS'!$O$5:$O$500,"&lt;=104199",'LANÇAMENTOS DIÁRIOS'!$P$5:$P$500,"&gt;=104100")&gt;0,"X","")</f>
      </c>
      <c r="AM46" s="56" t="str">
        <f>IF(COUNTIFS('LANÇAMENTOS DIÁRIOS'!$G$5:$G$500,"D",'LANÇAMENTOS DIÁRIOS'!$C$5:$C$500,$A46,'LANÇAMENTOS DIÁRIOS'!$O$5:$O$500,"&lt;=104299",'LANÇAMENTOS DIÁRIOS'!$P$5:$P$500,"&gt;=104200")&gt;0,"X","")</f>
      </c>
      <c r="AN46" s="56" t="str">
        <f>IF(COUNTIFS('LANÇAMENTOS DIÁRIOS'!$G$5:$G$500,"D",'LANÇAMENTOS DIÁRIOS'!$C$5:$C$500,$A46,'LANÇAMENTOS DIÁRIOS'!$O$5:$O$500,"&lt;=104399",'LANÇAMENTOS DIÁRIOS'!$P$5:$P$500,"&gt;=104300")&gt;0,"X","")</f>
      </c>
      <c r="AO46" s="56" t="str">
        <f>IF(COUNTIFS('LANÇAMENTOS DIÁRIOS'!$G$5:$G$500,"D",'LANÇAMENTOS DIÁRIOS'!$C$5:$C$500,$A46,'LANÇAMENTOS DIÁRIOS'!$O$5:$O$500,"&lt;=104499",'LANÇAMENTOS DIÁRIOS'!$P$5:$P$500,"&gt;=104400")&gt;0,"X","")</f>
      </c>
      <c r="AP46" s="56" t="str">
        <f>IF(COUNTIFS('LANÇAMENTOS DIÁRIOS'!$G$5:$G$500,"D",'LANÇAMENTOS DIÁRIOS'!$C$5:$C$500,$A46,'LANÇAMENTOS DIÁRIOS'!$O$5:$O$500,"&lt;=104599",'LANÇAMENTOS DIÁRIOS'!$P$5:$P$500,"&gt;=104500")&gt;0,"X","")</f>
      </c>
      <c r="AQ46" s="56" t="str">
        <f>IF(COUNTIFS('LANÇAMENTOS DIÁRIOS'!$G$5:$G$500,"D",'LANÇAMENTOS DIÁRIOS'!$C$5:$C$500,$A46,'LANÇAMENTOS DIÁRIOS'!$O$5:$O$500,"&lt;=104699",'LANÇAMENTOS DIÁRIOS'!$P$5:$P$500,"&gt;=104600")&gt;0,"X","")</f>
      </c>
      <c r="AR46" s="56" t="str">
        <f>IF(COUNTIFS('LANÇAMENTOS DIÁRIOS'!$G$5:$G$500,"D",'LANÇAMENTOS DIÁRIOS'!$C$5:$C$500,$A46,'LANÇAMENTOS DIÁRIOS'!$O$5:$O$500,"&lt;=104799",'LANÇAMENTOS DIÁRIOS'!$P$5:$P$500,"&gt;=104700")&gt;0,"X","")</f>
      </c>
      <c r="AS46" s="56" t="str">
        <f>IF(COUNTIFS('LANÇAMENTOS DIÁRIOS'!$G$5:$G$500,"D",'LANÇAMENTOS DIÁRIOS'!$C$5:$C$500,$A46,'LANÇAMENTOS DIÁRIOS'!$O$5:$O$500,"&lt;=104899",'LANÇAMENTOS DIÁRIOS'!$P$5:$P$500,"&gt;=104800")&gt;0,"X","")</f>
      </c>
      <c r="AT46" s="56" t="str">
        <f>IF(COUNTIFS('LANÇAMENTOS DIÁRIOS'!$G$5:$G$500,"D",'LANÇAMENTOS DIÁRIOS'!$C$5:$C$500,$A46,'LANÇAMENTOS DIÁRIOS'!$O$5:$O$500,"&lt;=104999",'LANÇAMENTOS DIÁRIOS'!$P$5:$P$500,"&gt;=104900")&gt;0,"X","")</f>
      </c>
      <c r="AU46" s="56" t="str">
        <f>IF(COUNTIFS('LANÇAMENTOS DIÁRIOS'!$G$5:$G$500,"D",'LANÇAMENTOS DIÁRIOS'!$C$5:$C$500,$A46,'LANÇAMENTOS DIÁRIOS'!$O$5:$O$500,"&lt;=105099",'LANÇAMENTOS DIÁRIOS'!$P$5:$P$500,"&gt;=105000")&gt;0,"X","")</f>
      </c>
      <c r="AV46" s="56" t="str">
        <f>IF(COUNTIFS('LANÇAMENTOS DIÁRIOS'!$G$5:$G$500,"D",'LANÇAMENTOS DIÁRIOS'!$C$5:$C$500,$A46,'LANÇAMENTOS DIÁRIOS'!$O$5:$O$500,"&lt;=105199",'LANÇAMENTOS DIÁRIOS'!$P$5:$P$500,"&gt;=105100")&gt;0,"X","")</f>
      </c>
      <c r="AW46" s="56" t="str">
        <f>IF(COUNTIFS('LANÇAMENTOS DIÁRIOS'!$G$5:$G$500,"D",'LANÇAMENTOS DIÁRIOS'!$C$5:$C$500,$A46,'LANÇAMENTOS DIÁRIOS'!$O$5:$O$500,"&lt;=105299",'LANÇAMENTOS DIÁRIOS'!$P$5:$P$500,"&gt;=105200")&gt;0,"X","")</f>
      </c>
      <c r="AX46" s="56" t="str">
        <f>IF(COUNTIFS('LANÇAMENTOS DIÁRIOS'!$G$5:$G$500,"D",'LANÇAMENTOS DIÁRIOS'!$C$5:$C$500,$A46,'LANÇAMENTOS DIÁRIOS'!$O$5:$O$500,"&lt;=105399",'LANÇAMENTOS DIÁRIOS'!$P$5:$P$500,"&gt;=105300")&gt;0,"X","")</f>
      </c>
      <c r="AY46" s="56" t="str">
        <f>IF(COUNTIFS('LANÇAMENTOS DIÁRIOS'!$G$5:$G$500,"D",'LANÇAMENTOS DIÁRIOS'!$C$5:$C$500,$A46,'LANÇAMENTOS DIÁRIOS'!$O$5:$O$500,"&lt;=105499",'LANÇAMENTOS DIÁRIOS'!$P$5:$P$500,"&gt;=105400")&gt;0,"X","")</f>
      </c>
      <c r="AZ46" s="56" t="str">
        <f>IF(COUNTIFS('LANÇAMENTOS DIÁRIOS'!$G$5:$G$500,"D",'LANÇAMENTOS DIÁRIOS'!$C$5:$C$500,$A46,'LANÇAMENTOS DIÁRIOS'!$O$5:$O$500,"&lt;=105500",'LANÇAMENTOS DIÁRIOS'!$P$5:$P$500,"&gt;=105500")&gt;0,"X","")</f>
      </c>
    </row>
    <row r="47" ht="19" customHeight="1">
      <c r="A47" s="68" t="str">
        <v>Trocas e melhorias de solo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</row>
    <row r="48">
      <c r="A48" s="51" t="str">
        <v>Escavação de solo com baixa capacidade de suporte</v>
      </c>
      <c r="B48" s="56" t="str">
        <f>IF(COUNTIFS('LANÇAMENTOS DIÁRIOS'!$G$5:$G$500,"D",'LANÇAMENTOS DIÁRIOS'!$C$5:$C$500,$A48,'LANÇAMENTOS DIÁRIOS'!$O$5:$O$500,"&lt;=100599",'LANÇAMENTOS DIÁRIOS'!$P$5:$P$500,"&gt;=100500")&gt;0,"X","")</f>
      </c>
      <c r="C48" s="56" t="str">
        <f>IF(COUNTIFS('LANÇAMENTOS DIÁRIOS'!$G$5:$G$500,"D",'LANÇAMENTOS DIÁRIOS'!$C$5:$C$500,$A48,'LANÇAMENTOS DIÁRIOS'!$O$5:$O$500,"&lt;=100699",'LANÇAMENTOS DIÁRIOS'!$P$5:$P$500,"&gt;=100600")&gt;0,"X","")</f>
      </c>
      <c r="D48" s="56" t="str">
        <f>IF(COUNTIFS('LANÇAMENTOS DIÁRIOS'!$G$5:$G$500,"D",'LANÇAMENTOS DIÁRIOS'!$C$5:$C$500,$A48,'LANÇAMENTOS DIÁRIOS'!$O$5:$O$500,"&lt;=100799",'LANÇAMENTOS DIÁRIOS'!$P$5:$P$500,"&gt;=100700")&gt;0,"X","")</f>
      </c>
      <c r="E48" s="56" t="str">
        <f>IF(COUNTIFS('LANÇAMENTOS DIÁRIOS'!$G$5:$G$500,"D",'LANÇAMENTOS DIÁRIOS'!$C$5:$C$500,$A48,'LANÇAMENTOS DIÁRIOS'!$O$5:$O$500,"&lt;=100899",'LANÇAMENTOS DIÁRIOS'!$P$5:$P$500,"&gt;=100800")&gt;0,"X","")</f>
      </c>
      <c r="F48" s="56" t="str">
        <f>IF(COUNTIFS('LANÇAMENTOS DIÁRIOS'!$G$5:$G$500,"D",'LANÇAMENTOS DIÁRIOS'!$C$5:$C$500,$A48,'LANÇAMENTOS DIÁRIOS'!$O$5:$O$500,"&lt;=100999",'LANÇAMENTOS DIÁRIOS'!$P$5:$P$500,"&gt;=100900")&gt;0,"X","")</f>
      </c>
      <c r="G48" s="56" t="str">
        <f>IF(COUNTIFS('LANÇAMENTOS DIÁRIOS'!$G$5:$G$500,"D",'LANÇAMENTOS DIÁRIOS'!$C$5:$C$500,$A48,'LANÇAMENTOS DIÁRIOS'!$O$5:$O$500,"&lt;=101099",'LANÇAMENTOS DIÁRIOS'!$P$5:$P$500,"&gt;=101000")&gt;0,"X","")</f>
      </c>
      <c r="H48" s="56" t="str">
        <f>IF(COUNTIFS('LANÇAMENTOS DIÁRIOS'!$G$5:$G$500,"D",'LANÇAMENTOS DIÁRIOS'!$C$5:$C$500,$A48,'LANÇAMENTOS DIÁRIOS'!$O$5:$O$500,"&lt;=101199",'LANÇAMENTOS DIÁRIOS'!$P$5:$P$500,"&gt;=101100")&gt;0,"X","")</f>
      </c>
      <c r="I48" s="56" t="str">
        <f>IF(COUNTIFS('LANÇAMENTOS DIÁRIOS'!$G$5:$G$500,"D",'LANÇAMENTOS DIÁRIOS'!$C$5:$C$500,$A48,'LANÇAMENTOS DIÁRIOS'!$O$5:$O$500,"&lt;=101299",'LANÇAMENTOS DIÁRIOS'!$P$5:$P$500,"&gt;=101200")&gt;0,"X","")</f>
      </c>
      <c r="J48" s="56" t="str">
        <f>IF(COUNTIFS('LANÇAMENTOS DIÁRIOS'!$G$5:$G$500,"D",'LANÇAMENTOS DIÁRIOS'!$C$5:$C$500,$A48,'LANÇAMENTOS DIÁRIOS'!$O$5:$O$500,"&lt;=101399",'LANÇAMENTOS DIÁRIOS'!$P$5:$P$500,"&gt;=101300")&gt;0,"X","")</f>
      </c>
      <c r="K48" s="56" t="str">
        <f>IF(COUNTIFS('LANÇAMENTOS DIÁRIOS'!$G$5:$G$500,"D",'LANÇAMENTOS DIÁRIOS'!$C$5:$C$500,$A48,'LANÇAMENTOS DIÁRIOS'!$O$5:$O$500,"&lt;=101499",'LANÇAMENTOS DIÁRIOS'!$P$5:$P$500,"&gt;=101400")&gt;0,"X","")</f>
      </c>
      <c r="L48" s="56" t="str">
        <f>IF(COUNTIFS('LANÇAMENTOS DIÁRIOS'!$G$5:$G$500,"D",'LANÇAMENTOS DIÁRIOS'!$C$5:$C$500,$A48,'LANÇAMENTOS DIÁRIOS'!$O$5:$O$500,"&lt;=101599",'LANÇAMENTOS DIÁRIOS'!$P$5:$P$500,"&gt;=101500")&gt;0,"X","")</f>
      </c>
      <c r="M48" s="56" t="str">
        <f>IF(COUNTIFS('LANÇAMENTOS DIÁRIOS'!$G$5:$G$500,"D",'LANÇAMENTOS DIÁRIOS'!$C$5:$C$500,$A48,'LANÇAMENTOS DIÁRIOS'!$O$5:$O$500,"&lt;=101699",'LANÇAMENTOS DIÁRIOS'!$P$5:$P$500,"&gt;=101600")&gt;0,"X","")</f>
      </c>
      <c r="N48" s="56" t="str">
        <f>IF(COUNTIFS('LANÇAMENTOS DIÁRIOS'!$G$5:$G$500,"D",'LANÇAMENTOS DIÁRIOS'!$C$5:$C$500,$A48,'LANÇAMENTOS DIÁRIOS'!$O$5:$O$500,"&lt;=101799",'LANÇAMENTOS DIÁRIOS'!$P$5:$P$500,"&gt;=101700")&gt;0,"X","")</f>
      </c>
      <c r="O48" s="56" t="str">
        <f>IF(COUNTIFS('LANÇAMENTOS DIÁRIOS'!$G$5:$G$500,"D",'LANÇAMENTOS DIÁRIOS'!$C$5:$C$500,$A48,'LANÇAMENTOS DIÁRIOS'!$O$5:$O$500,"&lt;=101899",'LANÇAMENTOS DIÁRIOS'!$P$5:$P$500,"&gt;=101800")&gt;0,"X","")</f>
      </c>
      <c r="P48" s="56" t="str">
        <f>IF(COUNTIFS('LANÇAMENTOS DIÁRIOS'!$G$5:$G$500,"D",'LANÇAMENTOS DIÁRIOS'!$C$5:$C$500,$A48,'LANÇAMENTOS DIÁRIOS'!$O$5:$O$500,"&lt;=101999",'LANÇAMENTOS DIÁRIOS'!$P$5:$P$500,"&gt;=101900")&gt;0,"X","")</f>
      </c>
      <c r="Q48" s="56" t="str">
        <f>IF(COUNTIFS('LANÇAMENTOS DIÁRIOS'!$G$5:$G$500,"D",'LANÇAMENTOS DIÁRIOS'!$C$5:$C$500,$A48,'LANÇAMENTOS DIÁRIOS'!$O$5:$O$500,"&lt;=102099",'LANÇAMENTOS DIÁRIOS'!$P$5:$P$500,"&gt;=102000")&gt;0,"X","")</f>
      </c>
      <c r="R48" s="56" t="str">
        <f>IF(COUNTIFS('LANÇAMENTOS DIÁRIOS'!$G$5:$G$500,"D",'LANÇAMENTOS DIÁRIOS'!$C$5:$C$500,$A48,'LANÇAMENTOS DIÁRIOS'!$O$5:$O$500,"&lt;=102199",'LANÇAMENTOS DIÁRIOS'!$P$5:$P$500,"&gt;=102100")&gt;0,"X","")</f>
      </c>
      <c r="S48" s="56" t="str">
        <f>IF(COUNTIFS('LANÇAMENTOS DIÁRIOS'!$G$5:$G$500,"D",'LANÇAMENTOS DIÁRIOS'!$C$5:$C$500,$A48,'LANÇAMENTOS DIÁRIOS'!$O$5:$O$500,"&lt;=102299",'LANÇAMENTOS DIÁRIOS'!$P$5:$P$500,"&gt;=102200")&gt;0,"X","")</f>
      </c>
      <c r="T48" s="56" t="str">
        <f>IF(COUNTIFS('LANÇAMENTOS DIÁRIOS'!$G$5:$G$500,"D",'LANÇAMENTOS DIÁRIOS'!$C$5:$C$500,$A48,'LANÇAMENTOS DIÁRIOS'!$O$5:$O$500,"&lt;=102399",'LANÇAMENTOS DIÁRIOS'!$P$5:$P$500,"&gt;=102300")&gt;0,"X","")</f>
      </c>
      <c r="U48" s="56" t="str">
        <f>IF(COUNTIFS('LANÇAMENTOS DIÁRIOS'!$G$5:$G$500,"D",'LANÇAMENTOS DIÁRIOS'!$C$5:$C$500,$A48,'LANÇAMENTOS DIÁRIOS'!$O$5:$O$500,"&lt;=102499",'LANÇAMENTOS DIÁRIOS'!$P$5:$P$500,"&gt;=102400")&gt;0,"X","")</f>
      </c>
      <c r="V48" s="56" t="str">
        <f>IF(COUNTIFS('LANÇAMENTOS DIÁRIOS'!$G$5:$G$500,"D",'LANÇAMENTOS DIÁRIOS'!$C$5:$C$500,$A48,'LANÇAMENTOS DIÁRIOS'!$O$5:$O$500,"&lt;=102599",'LANÇAMENTOS DIÁRIOS'!$P$5:$P$500,"&gt;=102500")&gt;0,"X","")</f>
      </c>
      <c r="W48" s="56" t="str">
        <f>IF(COUNTIFS('LANÇAMENTOS DIÁRIOS'!$G$5:$G$500,"D",'LANÇAMENTOS DIÁRIOS'!$C$5:$C$500,$A48,'LANÇAMENTOS DIÁRIOS'!$O$5:$O$500,"&lt;=102699",'LANÇAMENTOS DIÁRIOS'!$P$5:$P$500,"&gt;=102600")&gt;0,"X","")</f>
      </c>
      <c r="X48" s="56" t="str">
        <f>IF(COUNTIFS('LANÇAMENTOS DIÁRIOS'!$G$5:$G$500,"D",'LANÇAMENTOS DIÁRIOS'!$C$5:$C$500,$A48,'LANÇAMENTOS DIÁRIOS'!$O$5:$O$500,"&lt;=102799",'LANÇAMENTOS DIÁRIOS'!$P$5:$P$500,"&gt;=102700")&gt;0,"X","")</f>
      </c>
      <c r="Y48" s="56" t="str">
        <f>IF(COUNTIFS('LANÇAMENTOS DIÁRIOS'!$G$5:$G$500,"D",'LANÇAMENTOS DIÁRIOS'!$C$5:$C$500,$A48,'LANÇAMENTOS DIÁRIOS'!$O$5:$O$500,"&lt;=102899",'LANÇAMENTOS DIÁRIOS'!$P$5:$P$500,"&gt;=102800")&gt;0,"X","")</f>
      </c>
      <c r="Z48" s="56" t="str">
        <f>IF(COUNTIFS('LANÇAMENTOS DIÁRIOS'!$G$5:$G$500,"D",'LANÇAMENTOS DIÁRIOS'!$C$5:$C$500,$A48,'LANÇAMENTOS DIÁRIOS'!$O$5:$O$500,"&lt;=102999",'LANÇAMENTOS DIÁRIOS'!$P$5:$P$500,"&gt;=102900")&gt;0,"X","")</f>
      </c>
      <c r="AA48" s="56" t="str">
        <f>IF(COUNTIFS('LANÇAMENTOS DIÁRIOS'!$G$5:$G$500,"D",'LANÇAMENTOS DIÁRIOS'!$C$5:$C$500,$A48,'LANÇAMENTOS DIÁRIOS'!$O$5:$O$500,"&lt;=103099",'LANÇAMENTOS DIÁRIOS'!$P$5:$P$500,"&gt;=103000")&gt;0,"X","")</f>
      </c>
      <c r="AB48" s="56" t="str">
        <f>IF(COUNTIFS('LANÇAMENTOS DIÁRIOS'!$G$5:$G$500,"D",'LANÇAMENTOS DIÁRIOS'!$C$5:$C$500,$A48,'LANÇAMENTOS DIÁRIOS'!$O$5:$O$500,"&lt;=103199",'LANÇAMENTOS DIÁRIOS'!$P$5:$P$500,"&gt;=103100")&gt;0,"X","")</f>
      </c>
      <c r="AC48" s="56" t="str">
        <f>IF(COUNTIFS('LANÇAMENTOS DIÁRIOS'!$G$5:$G$500,"D",'LANÇAMENTOS DIÁRIOS'!$C$5:$C$500,$A48,'LANÇAMENTOS DIÁRIOS'!$O$5:$O$500,"&lt;=103299",'LANÇAMENTOS DIÁRIOS'!$P$5:$P$500,"&gt;=103200")&gt;0,"X","")</f>
      </c>
      <c r="AD48" s="56" t="str">
        <f>IF(COUNTIFS('LANÇAMENTOS DIÁRIOS'!$G$5:$G$500,"D",'LANÇAMENTOS DIÁRIOS'!$C$5:$C$500,$A48,'LANÇAMENTOS DIÁRIOS'!$O$5:$O$500,"&lt;=103399",'LANÇAMENTOS DIÁRIOS'!$P$5:$P$500,"&gt;=103300")&gt;0,"X","")</f>
      </c>
      <c r="AE48" s="56" t="str">
        <f>IF(COUNTIFS('LANÇAMENTOS DIÁRIOS'!$G$5:$G$500,"D",'LANÇAMENTOS DIÁRIOS'!$C$5:$C$500,$A48,'LANÇAMENTOS DIÁRIOS'!$O$5:$O$500,"&lt;=103499",'LANÇAMENTOS DIÁRIOS'!$P$5:$P$500,"&gt;=103400")&gt;0,"X","")</f>
      </c>
      <c r="AF48" s="56" t="str">
        <f>IF(COUNTIFS('LANÇAMENTOS DIÁRIOS'!$G$5:$G$500,"D",'LANÇAMENTOS DIÁRIOS'!$C$5:$C$500,$A48,'LANÇAMENTOS DIÁRIOS'!$O$5:$O$500,"&lt;=103599",'LANÇAMENTOS DIÁRIOS'!$P$5:$P$500,"&gt;=103500")&gt;0,"X","")</f>
      </c>
      <c r="AG48" s="56" t="str">
        <f>IF(COUNTIFS('LANÇAMENTOS DIÁRIOS'!$G$5:$G$500,"D",'LANÇAMENTOS DIÁRIOS'!$C$5:$C$500,$A48,'LANÇAMENTOS DIÁRIOS'!$O$5:$O$500,"&lt;=103699",'LANÇAMENTOS DIÁRIOS'!$P$5:$P$500,"&gt;=103600")&gt;0,"X","")</f>
      </c>
      <c r="AH48" s="56" t="str">
        <f>IF(COUNTIFS('LANÇAMENTOS DIÁRIOS'!$G$5:$G$500,"D",'LANÇAMENTOS DIÁRIOS'!$C$5:$C$500,$A48,'LANÇAMENTOS DIÁRIOS'!$O$5:$O$500,"&lt;=103799",'LANÇAMENTOS DIÁRIOS'!$P$5:$P$500,"&gt;=103700")&gt;0,"X","")</f>
      </c>
      <c r="AI48" s="56" t="str">
        <f>IF(COUNTIFS('LANÇAMENTOS DIÁRIOS'!$G$5:$G$500,"D",'LANÇAMENTOS DIÁRIOS'!$C$5:$C$500,$A48,'LANÇAMENTOS DIÁRIOS'!$O$5:$O$500,"&lt;=103899",'LANÇAMENTOS DIÁRIOS'!$P$5:$P$500,"&gt;=103800")&gt;0,"X","")</f>
      </c>
      <c r="AJ48" s="56" t="str">
        <f>IF(COUNTIFS('LANÇAMENTOS DIÁRIOS'!$G$5:$G$500,"D",'LANÇAMENTOS DIÁRIOS'!$C$5:$C$500,$A48,'LANÇAMENTOS DIÁRIOS'!$O$5:$O$500,"&lt;=103999",'LANÇAMENTOS DIÁRIOS'!$P$5:$P$500,"&gt;=103900")&gt;0,"X","")</f>
      </c>
      <c r="AK48" s="56" t="str">
        <f>IF(COUNTIFS('LANÇAMENTOS DIÁRIOS'!$G$5:$G$500,"D",'LANÇAMENTOS DIÁRIOS'!$C$5:$C$500,$A48,'LANÇAMENTOS DIÁRIOS'!$O$5:$O$500,"&lt;=104099",'LANÇAMENTOS DIÁRIOS'!$P$5:$P$500,"&gt;=104000")&gt;0,"X","")</f>
      </c>
      <c r="AL48" s="56" t="str">
        <f>IF(COUNTIFS('LANÇAMENTOS DIÁRIOS'!$G$5:$G$500,"D",'LANÇAMENTOS DIÁRIOS'!$C$5:$C$500,$A48,'LANÇAMENTOS DIÁRIOS'!$O$5:$O$500,"&lt;=104199",'LANÇAMENTOS DIÁRIOS'!$P$5:$P$500,"&gt;=104100")&gt;0,"X","")</f>
      </c>
      <c r="AM48" s="56" t="str">
        <f>IF(COUNTIFS('LANÇAMENTOS DIÁRIOS'!$G$5:$G$500,"D",'LANÇAMENTOS DIÁRIOS'!$C$5:$C$500,$A48,'LANÇAMENTOS DIÁRIOS'!$O$5:$O$500,"&lt;=104299",'LANÇAMENTOS DIÁRIOS'!$P$5:$P$500,"&gt;=104200")&gt;0,"X","")</f>
      </c>
      <c r="AN48" s="56" t="str">
        <f>IF(COUNTIFS('LANÇAMENTOS DIÁRIOS'!$G$5:$G$500,"D",'LANÇAMENTOS DIÁRIOS'!$C$5:$C$500,$A48,'LANÇAMENTOS DIÁRIOS'!$O$5:$O$500,"&lt;=104399",'LANÇAMENTOS DIÁRIOS'!$P$5:$P$500,"&gt;=104300")&gt;0,"X","")</f>
      </c>
      <c r="AO48" s="56" t="str">
        <f>IF(COUNTIFS('LANÇAMENTOS DIÁRIOS'!$G$5:$G$500,"D",'LANÇAMENTOS DIÁRIOS'!$C$5:$C$500,$A48,'LANÇAMENTOS DIÁRIOS'!$O$5:$O$500,"&lt;=104499",'LANÇAMENTOS DIÁRIOS'!$P$5:$P$500,"&gt;=104400")&gt;0,"X","")</f>
      </c>
      <c r="AP48" s="56" t="str">
        <f>IF(COUNTIFS('LANÇAMENTOS DIÁRIOS'!$G$5:$G$500,"D",'LANÇAMENTOS DIÁRIOS'!$C$5:$C$500,$A48,'LANÇAMENTOS DIÁRIOS'!$O$5:$O$500,"&lt;=104599",'LANÇAMENTOS DIÁRIOS'!$P$5:$P$500,"&gt;=104500")&gt;0,"X","")</f>
      </c>
      <c r="AQ48" s="56" t="str">
        <f>IF(COUNTIFS('LANÇAMENTOS DIÁRIOS'!$G$5:$G$500,"D",'LANÇAMENTOS DIÁRIOS'!$C$5:$C$500,$A48,'LANÇAMENTOS DIÁRIOS'!$O$5:$O$500,"&lt;=104699",'LANÇAMENTOS DIÁRIOS'!$P$5:$P$500,"&gt;=104600")&gt;0,"X","")</f>
      </c>
      <c r="AR48" s="56" t="str">
        <f>IF(COUNTIFS('LANÇAMENTOS DIÁRIOS'!$G$5:$G$500,"D",'LANÇAMENTOS DIÁRIOS'!$C$5:$C$500,$A48,'LANÇAMENTOS DIÁRIOS'!$O$5:$O$500,"&lt;=104799",'LANÇAMENTOS DIÁRIOS'!$P$5:$P$500,"&gt;=104700")&gt;0,"X","")</f>
      </c>
      <c r="AS48" s="56" t="str">
        <f>IF(COUNTIFS('LANÇAMENTOS DIÁRIOS'!$G$5:$G$500,"D",'LANÇAMENTOS DIÁRIOS'!$C$5:$C$500,$A48,'LANÇAMENTOS DIÁRIOS'!$O$5:$O$500,"&lt;=104899",'LANÇAMENTOS DIÁRIOS'!$P$5:$P$500,"&gt;=104800")&gt;0,"X","")</f>
      </c>
      <c r="AT48" s="56" t="str">
        <f>IF(COUNTIFS('LANÇAMENTOS DIÁRIOS'!$G$5:$G$500,"D",'LANÇAMENTOS DIÁRIOS'!$C$5:$C$500,$A48,'LANÇAMENTOS DIÁRIOS'!$O$5:$O$500,"&lt;=104999",'LANÇAMENTOS DIÁRIOS'!$P$5:$P$500,"&gt;=104900")&gt;0,"X","")</f>
      </c>
      <c r="AU48" s="56" t="str">
        <f>IF(COUNTIFS('LANÇAMENTOS DIÁRIOS'!$G$5:$G$500,"D",'LANÇAMENTOS DIÁRIOS'!$C$5:$C$500,$A48,'LANÇAMENTOS DIÁRIOS'!$O$5:$O$500,"&lt;=105099",'LANÇAMENTOS DIÁRIOS'!$P$5:$P$500,"&gt;=105000")&gt;0,"X","")</f>
      </c>
      <c r="AV48" s="56" t="str">
        <f>IF(COUNTIFS('LANÇAMENTOS DIÁRIOS'!$G$5:$G$500,"D",'LANÇAMENTOS DIÁRIOS'!$C$5:$C$500,$A48,'LANÇAMENTOS DIÁRIOS'!$O$5:$O$500,"&lt;=105199",'LANÇAMENTOS DIÁRIOS'!$P$5:$P$500,"&gt;=105100")&gt;0,"X","")</f>
      </c>
      <c r="AW48" s="56" t="str">
        <f>IF(COUNTIFS('LANÇAMENTOS DIÁRIOS'!$G$5:$G$500,"D",'LANÇAMENTOS DIÁRIOS'!$C$5:$C$500,$A48,'LANÇAMENTOS DIÁRIOS'!$O$5:$O$500,"&lt;=105299",'LANÇAMENTOS DIÁRIOS'!$P$5:$P$500,"&gt;=105200")&gt;0,"X","")</f>
      </c>
      <c r="AX48" s="56" t="str">
        <f>IF(COUNTIFS('LANÇAMENTOS DIÁRIOS'!$G$5:$G$500,"D",'LANÇAMENTOS DIÁRIOS'!$C$5:$C$500,$A48,'LANÇAMENTOS DIÁRIOS'!$O$5:$O$500,"&lt;=105399",'LANÇAMENTOS DIÁRIOS'!$P$5:$P$500,"&gt;=105300")&gt;0,"X","")</f>
      </c>
      <c r="AY48" s="56" t="str">
        <f>IF(COUNTIFS('LANÇAMENTOS DIÁRIOS'!$G$5:$G$500,"D",'LANÇAMENTOS DIÁRIOS'!$C$5:$C$500,$A48,'LANÇAMENTOS DIÁRIOS'!$O$5:$O$500,"&lt;=105499",'LANÇAMENTOS DIÁRIOS'!$P$5:$P$500,"&gt;=105400")&gt;0,"X","")</f>
      </c>
      <c r="AZ48" s="56" t="str">
        <f>IF(COUNTIFS('LANÇAMENTOS DIÁRIOS'!$G$5:$G$500,"D",'LANÇAMENTOS DIÁRIOS'!$C$5:$C$500,$A48,'LANÇAMENTOS DIÁRIOS'!$O$5:$O$500,"&lt;=105500",'LANÇAMENTOS DIÁRIOS'!$P$5:$P$500,"&gt;=105500")&gt;0,"X","")</f>
      </c>
    </row>
    <row r="49">
      <c r="A49" s="51" t="str">
        <v>Fundação / reaterro com solo</v>
      </c>
      <c r="B49" s="56" t="str">
        <f>IF(COUNTIFS('LANÇAMENTOS DIÁRIOS'!$G$5:$G$500,"D",'LANÇAMENTOS DIÁRIOS'!$C$5:$C$500,$A49,'LANÇAMENTOS DIÁRIOS'!$O$5:$O$500,"&lt;=100599",'LANÇAMENTOS DIÁRIOS'!$P$5:$P$500,"&gt;=100500")&gt;0,"X","")</f>
      </c>
      <c r="C49" s="56" t="str">
        <f>IF(COUNTIFS('LANÇAMENTOS DIÁRIOS'!$G$5:$G$500,"D",'LANÇAMENTOS DIÁRIOS'!$C$5:$C$500,$A49,'LANÇAMENTOS DIÁRIOS'!$O$5:$O$500,"&lt;=100699",'LANÇAMENTOS DIÁRIOS'!$P$5:$P$500,"&gt;=100600")&gt;0,"X","")</f>
      </c>
      <c r="D49" s="56" t="str">
        <f>IF(COUNTIFS('LANÇAMENTOS DIÁRIOS'!$G$5:$G$500,"D",'LANÇAMENTOS DIÁRIOS'!$C$5:$C$500,$A49,'LANÇAMENTOS DIÁRIOS'!$O$5:$O$500,"&lt;=100799",'LANÇAMENTOS DIÁRIOS'!$P$5:$P$500,"&gt;=100700")&gt;0,"X","")</f>
      </c>
      <c r="E49" s="56" t="str">
        <f>IF(COUNTIFS('LANÇAMENTOS DIÁRIOS'!$G$5:$G$500,"D",'LANÇAMENTOS DIÁRIOS'!$C$5:$C$500,$A49,'LANÇAMENTOS DIÁRIOS'!$O$5:$O$500,"&lt;=100899",'LANÇAMENTOS DIÁRIOS'!$P$5:$P$500,"&gt;=100800")&gt;0,"X","")</f>
      </c>
      <c r="F49" s="56" t="str">
        <f>IF(COUNTIFS('LANÇAMENTOS DIÁRIOS'!$G$5:$G$500,"D",'LANÇAMENTOS DIÁRIOS'!$C$5:$C$500,$A49,'LANÇAMENTOS DIÁRIOS'!$O$5:$O$500,"&lt;=100999",'LANÇAMENTOS DIÁRIOS'!$P$5:$P$500,"&gt;=100900")&gt;0,"X","")</f>
      </c>
      <c r="G49" s="56" t="str">
        <f>IF(COUNTIFS('LANÇAMENTOS DIÁRIOS'!$G$5:$G$500,"D",'LANÇAMENTOS DIÁRIOS'!$C$5:$C$500,$A49,'LANÇAMENTOS DIÁRIOS'!$O$5:$O$500,"&lt;=101099",'LANÇAMENTOS DIÁRIOS'!$P$5:$P$500,"&gt;=101000")&gt;0,"X","")</f>
      </c>
      <c r="H49" s="56" t="str">
        <f>IF(COUNTIFS('LANÇAMENTOS DIÁRIOS'!$G$5:$G$500,"D",'LANÇAMENTOS DIÁRIOS'!$C$5:$C$500,$A49,'LANÇAMENTOS DIÁRIOS'!$O$5:$O$500,"&lt;=101199",'LANÇAMENTOS DIÁRIOS'!$P$5:$P$500,"&gt;=101100")&gt;0,"X","")</f>
      </c>
      <c r="I49" s="56" t="str">
        <f>IF(COUNTIFS('LANÇAMENTOS DIÁRIOS'!$G$5:$G$500,"D",'LANÇAMENTOS DIÁRIOS'!$C$5:$C$500,$A49,'LANÇAMENTOS DIÁRIOS'!$O$5:$O$500,"&lt;=101299",'LANÇAMENTOS DIÁRIOS'!$P$5:$P$500,"&gt;=101200")&gt;0,"X","")</f>
      </c>
      <c r="J49" s="56" t="str">
        <f>IF(COUNTIFS('LANÇAMENTOS DIÁRIOS'!$G$5:$G$500,"D",'LANÇAMENTOS DIÁRIOS'!$C$5:$C$500,$A49,'LANÇAMENTOS DIÁRIOS'!$O$5:$O$500,"&lt;=101399",'LANÇAMENTOS DIÁRIOS'!$P$5:$P$500,"&gt;=101300")&gt;0,"X","")</f>
      </c>
      <c r="K49" s="56" t="str">
        <f>IF(COUNTIFS('LANÇAMENTOS DIÁRIOS'!$G$5:$G$500,"D",'LANÇAMENTOS DIÁRIOS'!$C$5:$C$500,$A49,'LANÇAMENTOS DIÁRIOS'!$O$5:$O$500,"&lt;=101499",'LANÇAMENTOS DIÁRIOS'!$P$5:$P$500,"&gt;=101400")&gt;0,"X","")</f>
      </c>
      <c r="L49" s="56" t="str">
        <f>IF(COUNTIFS('LANÇAMENTOS DIÁRIOS'!$G$5:$G$500,"D",'LANÇAMENTOS DIÁRIOS'!$C$5:$C$500,$A49,'LANÇAMENTOS DIÁRIOS'!$O$5:$O$500,"&lt;=101599",'LANÇAMENTOS DIÁRIOS'!$P$5:$P$500,"&gt;=101500")&gt;0,"X","")</f>
      </c>
      <c r="M49" s="56" t="str">
        <f>IF(COUNTIFS('LANÇAMENTOS DIÁRIOS'!$G$5:$G$500,"D",'LANÇAMENTOS DIÁRIOS'!$C$5:$C$500,$A49,'LANÇAMENTOS DIÁRIOS'!$O$5:$O$500,"&lt;=101699",'LANÇAMENTOS DIÁRIOS'!$P$5:$P$500,"&gt;=101600")&gt;0,"X","")</f>
      </c>
      <c r="N49" s="56" t="str">
        <f>IF(COUNTIFS('LANÇAMENTOS DIÁRIOS'!$G$5:$G$500,"D",'LANÇAMENTOS DIÁRIOS'!$C$5:$C$500,$A49,'LANÇAMENTOS DIÁRIOS'!$O$5:$O$500,"&lt;=101799",'LANÇAMENTOS DIÁRIOS'!$P$5:$P$500,"&gt;=101700")&gt;0,"X","")</f>
      </c>
      <c r="O49" s="56" t="str">
        <f>IF(COUNTIFS('LANÇAMENTOS DIÁRIOS'!$G$5:$G$500,"D",'LANÇAMENTOS DIÁRIOS'!$C$5:$C$500,$A49,'LANÇAMENTOS DIÁRIOS'!$O$5:$O$500,"&lt;=101899",'LANÇAMENTOS DIÁRIOS'!$P$5:$P$500,"&gt;=101800")&gt;0,"X","")</f>
      </c>
      <c r="P49" s="56" t="str">
        <f>IF(COUNTIFS('LANÇAMENTOS DIÁRIOS'!$G$5:$G$500,"D",'LANÇAMENTOS DIÁRIOS'!$C$5:$C$500,$A49,'LANÇAMENTOS DIÁRIOS'!$O$5:$O$500,"&lt;=101999",'LANÇAMENTOS DIÁRIOS'!$P$5:$P$500,"&gt;=101900")&gt;0,"X","")</f>
      </c>
      <c r="Q49" s="56" t="str">
        <f>IF(COUNTIFS('LANÇAMENTOS DIÁRIOS'!$G$5:$G$500,"D",'LANÇAMENTOS DIÁRIOS'!$C$5:$C$500,$A49,'LANÇAMENTOS DIÁRIOS'!$O$5:$O$500,"&lt;=102099",'LANÇAMENTOS DIÁRIOS'!$P$5:$P$500,"&gt;=102000")&gt;0,"X","")</f>
      </c>
      <c r="R49" s="56" t="str">
        <f>IF(COUNTIFS('LANÇAMENTOS DIÁRIOS'!$G$5:$G$500,"D",'LANÇAMENTOS DIÁRIOS'!$C$5:$C$500,$A49,'LANÇAMENTOS DIÁRIOS'!$O$5:$O$500,"&lt;=102199",'LANÇAMENTOS DIÁRIOS'!$P$5:$P$500,"&gt;=102100")&gt;0,"X","")</f>
      </c>
      <c r="S49" s="56" t="str">
        <f>IF(COUNTIFS('LANÇAMENTOS DIÁRIOS'!$G$5:$G$500,"D",'LANÇAMENTOS DIÁRIOS'!$C$5:$C$500,$A49,'LANÇAMENTOS DIÁRIOS'!$O$5:$O$500,"&lt;=102299",'LANÇAMENTOS DIÁRIOS'!$P$5:$P$500,"&gt;=102200")&gt;0,"X","")</f>
      </c>
      <c r="T49" s="56" t="str">
        <f>IF(COUNTIFS('LANÇAMENTOS DIÁRIOS'!$G$5:$G$500,"D",'LANÇAMENTOS DIÁRIOS'!$C$5:$C$500,$A49,'LANÇAMENTOS DIÁRIOS'!$O$5:$O$500,"&lt;=102399",'LANÇAMENTOS DIÁRIOS'!$P$5:$P$500,"&gt;=102300")&gt;0,"X","")</f>
      </c>
      <c r="U49" s="56" t="str">
        <f>IF(COUNTIFS('LANÇAMENTOS DIÁRIOS'!$G$5:$G$500,"D",'LANÇAMENTOS DIÁRIOS'!$C$5:$C$500,$A49,'LANÇAMENTOS DIÁRIOS'!$O$5:$O$500,"&lt;=102499",'LANÇAMENTOS DIÁRIOS'!$P$5:$P$500,"&gt;=102400")&gt;0,"X","")</f>
      </c>
      <c r="V49" s="56" t="str">
        <f>IF(COUNTIFS('LANÇAMENTOS DIÁRIOS'!$G$5:$G$500,"D",'LANÇAMENTOS DIÁRIOS'!$C$5:$C$500,$A49,'LANÇAMENTOS DIÁRIOS'!$O$5:$O$500,"&lt;=102599",'LANÇAMENTOS DIÁRIOS'!$P$5:$P$500,"&gt;=102500")&gt;0,"X","")</f>
      </c>
      <c r="W49" s="56" t="str">
        <f>IF(COUNTIFS('LANÇAMENTOS DIÁRIOS'!$G$5:$G$500,"D",'LANÇAMENTOS DIÁRIOS'!$C$5:$C$500,$A49,'LANÇAMENTOS DIÁRIOS'!$O$5:$O$500,"&lt;=102699",'LANÇAMENTOS DIÁRIOS'!$P$5:$P$500,"&gt;=102600")&gt;0,"X","")</f>
      </c>
      <c r="X49" s="56" t="str">
        <f>IF(COUNTIFS('LANÇAMENTOS DIÁRIOS'!$G$5:$G$500,"D",'LANÇAMENTOS DIÁRIOS'!$C$5:$C$500,$A49,'LANÇAMENTOS DIÁRIOS'!$O$5:$O$500,"&lt;=102799",'LANÇAMENTOS DIÁRIOS'!$P$5:$P$500,"&gt;=102700")&gt;0,"X","")</f>
      </c>
      <c r="Y49" s="56" t="str">
        <f>IF(COUNTIFS('LANÇAMENTOS DIÁRIOS'!$G$5:$G$500,"D",'LANÇAMENTOS DIÁRIOS'!$C$5:$C$500,$A49,'LANÇAMENTOS DIÁRIOS'!$O$5:$O$500,"&lt;=102899",'LANÇAMENTOS DIÁRIOS'!$P$5:$P$500,"&gt;=102800")&gt;0,"X","")</f>
      </c>
      <c r="Z49" s="56" t="str">
        <f>IF(COUNTIFS('LANÇAMENTOS DIÁRIOS'!$G$5:$G$500,"D",'LANÇAMENTOS DIÁRIOS'!$C$5:$C$500,$A49,'LANÇAMENTOS DIÁRIOS'!$O$5:$O$500,"&lt;=102999",'LANÇAMENTOS DIÁRIOS'!$P$5:$P$500,"&gt;=102900")&gt;0,"X","")</f>
      </c>
      <c r="AA49" s="56" t="str">
        <f>IF(COUNTIFS('LANÇAMENTOS DIÁRIOS'!$G$5:$G$500,"D",'LANÇAMENTOS DIÁRIOS'!$C$5:$C$500,$A49,'LANÇAMENTOS DIÁRIOS'!$O$5:$O$500,"&lt;=103099",'LANÇAMENTOS DIÁRIOS'!$P$5:$P$500,"&gt;=103000")&gt;0,"X","")</f>
      </c>
      <c r="AB49" s="56" t="str">
        <f>IF(COUNTIFS('LANÇAMENTOS DIÁRIOS'!$G$5:$G$500,"D",'LANÇAMENTOS DIÁRIOS'!$C$5:$C$500,$A49,'LANÇAMENTOS DIÁRIOS'!$O$5:$O$500,"&lt;=103199",'LANÇAMENTOS DIÁRIOS'!$P$5:$P$500,"&gt;=103100")&gt;0,"X","")</f>
      </c>
      <c r="AC49" s="56" t="str">
        <f>IF(COUNTIFS('LANÇAMENTOS DIÁRIOS'!$G$5:$G$500,"D",'LANÇAMENTOS DIÁRIOS'!$C$5:$C$500,$A49,'LANÇAMENTOS DIÁRIOS'!$O$5:$O$500,"&lt;=103299",'LANÇAMENTOS DIÁRIOS'!$P$5:$P$500,"&gt;=103200")&gt;0,"X","")</f>
      </c>
      <c r="AD49" s="56" t="str">
        <f>IF(COUNTIFS('LANÇAMENTOS DIÁRIOS'!$G$5:$G$500,"D",'LANÇAMENTOS DIÁRIOS'!$C$5:$C$500,$A49,'LANÇAMENTOS DIÁRIOS'!$O$5:$O$500,"&lt;=103399",'LANÇAMENTOS DIÁRIOS'!$P$5:$P$500,"&gt;=103300")&gt;0,"X","")</f>
      </c>
      <c r="AE49" s="56" t="str">
        <f>IF(COUNTIFS('LANÇAMENTOS DIÁRIOS'!$G$5:$G$500,"D",'LANÇAMENTOS DIÁRIOS'!$C$5:$C$500,$A49,'LANÇAMENTOS DIÁRIOS'!$O$5:$O$500,"&lt;=103499",'LANÇAMENTOS DIÁRIOS'!$P$5:$P$500,"&gt;=103400")&gt;0,"X","")</f>
      </c>
      <c r="AF49" s="56" t="str">
        <f>IF(COUNTIFS('LANÇAMENTOS DIÁRIOS'!$G$5:$G$500,"D",'LANÇAMENTOS DIÁRIOS'!$C$5:$C$500,$A49,'LANÇAMENTOS DIÁRIOS'!$O$5:$O$500,"&lt;=103599",'LANÇAMENTOS DIÁRIOS'!$P$5:$P$500,"&gt;=103500")&gt;0,"X","")</f>
      </c>
      <c r="AG49" s="56" t="str">
        <f>IF(COUNTIFS('LANÇAMENTOS DIÁRIOS'!$G$5:$G$500,"D",'LANÇAMENTOS DIÁRIOS'!$C$5:$C$500,$A49,'LANÇAMENTOS DIÁRIOS'!$O$5:$O$500,"&lt;=103699",'LANÇAMENTOS DIÁRIOS'!$P$5:$P$500,"&gt;=103600")&gt;0,"X","")</f>
      </c>
      <c r="AH49" s="56" t="str">
        <f>IF(COUNTIFS('LANÇAMENTOS DIÁRIOS'!$G$5:$G$500,"D",'LANÇAMENTOS DIÁRIOS'!$C$5:$C$500,$A49,'LANÇAMENTOS DIÁRIOS'!$O$5:$O$500,"&lt;=103799",'LANÇAMENTOS DIÁRIOS'!$P$5:$P$500,"&gt;=103700")&gt;0,"X","")</f>
      </c>
      <c r="AI49" s="56" t="str">
        <f>IF(COUNTIFS('LANÇAMENTOS DIÁRIOS'!$G$5:$G$500,"D",'LANÇAMENTOS DIÁRIOS'!$C$5:$C$500,$A49,'LANÇAMENTOS DIÁRIOS'!$O$5:$O$500,"&lt;=103899",'LANÇAMENTOS DIÁRIOS'!$P$5:$P$500,"&gt;=103800")&gt;0,"X","")</f>
      </c>
      <c r="AJ49" s="56" t="str">
        <f>IF(COUNTIFS('LANÇAMENTOS DIÁRIOS'!$G$5:$G$500,"D",'LANÇAMENTOS DIÁRIOS'!$C$5:$C$500,$A49,'LANÇAMENTOS DIÁRIOS'!$O$5:$O$500,"&lt;=103999",'LANÇAMENTOS DIÁRIOS'!$P$5:$P$500,"&gt;=103900")&gt;0,"X","")</f>
      </c>
      <c r="AK49" s="56" t="str">
        <f>IF(COUNTIFS('LANÇAMENTOS DIÁRIOS'!$G$5:$G$500,"D",'LANÇAMENTOS DIÁRIOS'!$C$5:$C$500,$A49,'LANÇAMENTOS DIÁRIOS'!$O$5:$O$500,"&lt;=104099",'LANÇAMENTOS DIÁRIOS'!$P$5:$P$500,"&gt;=104000")&gt;0,"X","")</f>
      </c>
      <c r="AL49" s="56" t="str">
        <f>IF(COUNTIFS('LANÇAMENTOS DIÁRIOS'!$G$5:$G$500,"D",'LANÇAMENTOS DIÁRIOS'!$C$5:$C$500,$A49,'LANÇAMENTOS DIÁRIOS'!$O$5:$O$500,"&lt;=104199",'LANÇAMENTOS DIÁRIOS'!$P$5:$P$500,"&gt;=104100")&gt;0,"X","")</f>
      </c>
      <c r="AM49" s="56" t="str">
        <f>IF(COUNTIFS('LANÇAMENTOS DIÁRIOS'!$G$5:$G$500,"D",'LANÇAMENTOS DIÁRIOS'!$C$5:$C$500,$A49,'LANÇAMENTOS DIÁRIOS'!$O$5:$O$500,"&lt;=104299",'LANÇAMENTOS DIÁRIOS'!$P$5:$P$500,"&gt;=104200")&gt;0,"X","")</f>
      </c>
      <c r="AN49" s="56" t="str">
        <f>IF(COUNTIFS('LANÇAMENTOS DIÁRIOS'!$G$5:$G$500,"D",'LANÇAMENTOS DIÁRIOS'!$C$5:$C$500,$A49,'LANÇAMENTOS DIÁRIOS'!$O$5:$O$500,"&lt;=104399",'LANÇAMENTOS DIÁRIOS'!$P$5:$P$500,"&gt;=104300")&gt;0,"X","")</f>
      </c>
      <c r="AO49" s="56" t="str">
        <f>IF(COUNTIFS('LANÇAMENTOS DIÁRIOS'!$G$5:$G$500,"D",'LANÇAMENTOS DIÁRIOS'!$C$5:$C$500,$A49,'LANÇAMENTOS DIÁRIOS'!$O$5:$O$500,"&lt;=104499",'LANÇAMENTOS DIÁRIOS'!$P$5:$P$500,"&gt;=104400")&gt;0,"X","")</f>
      </c>
      <c r="AP49" s="56" t="str">
        <f>IF(COUNTIFS('LANÇAMENTOS DIÁRIOS'!$G$5:$G$500,"D",'LANÇAMENTOS DIÁRIOS'!$C$5:$C$500,$A49,'LANÇAMENTOS DIÁRIOS'!$O$5:$O$500,"&lt;=104599",'LANÇAMENTOS DIÁRIOS'!$P$5:$P$500,"&gt;=104500")&gt;0,"X","")</f>
      </c>
      <c r="AQ49" s="56" t="str">
        <f>IF(COUNTIFS('LANÇAMENTOS DIÁRIOS'!$G$5:$G$500,"D",'LANÇAMENTOS DIÁRIOS'!$C$5:$C$500,$A49,'LANÇAMENTOS DIÁRIOS'!$O$5:$O$500,"&lt;=104699",'LANÇAMENTOS DIÁRIOS'!$P$5:$P$500,"&gt;=104600")&gt;0,"X","")</f>
      </c>
      <c r="AR49" s="56" t="str">
        <f>IF(COUNTIFS('LANÇAMENTOS DIÁRIOS'!$G$5:$G$500,"D",'LANÇAMENTOS DIÁRIOS'!$C$5:$C$500,$A49,'LANÇAMENTOS DIÁRIOS'!$O$5:$O$500,"&lt;=104799",'LANÇAMENTOS DIÁRIOS'!$P$5:$P$500,"&gt;=104700")&gt;0,"X","")</f>
      </c>
      <c r="AS49" s="56" t="str">
        <f>IF(COUNTIFS('LANÇAMENTOS DIÁRIOS'!$G$5:$G$500,"D",'LANÇAMENTOS DIÁRIOS'!$C$5:$C$500,$A49,'LANÇAMENTOS DIÁRIOS'!$O$5:$O$500,"&lt;=104899",'LANÇAMENTOS DIÁRIOS'!$P$5:$P$500,"&gt;=104800")&gt;0,"X","")</f>
      </c>
      <c r="AT49" s="56" t="str">
        <f>IF(COUNTIFS('LANÇAMENTOS DIÁRIOS'!$G$5:$G$500,"D",'LANÇAMENTOS DIÁRIOS'!$C$5:$C$500,$A49,'LANÇAMENTOS DIÁRIOS'!$O$5:$O$500,"&lt;=104999",'LANÇAMENTOS DIÁRIOS'!$P$5:$P$500,"&gt;=104900")&gt;0,"X","")</f>
      </c>
      <c r="AU49" s="56" t="str">
        <f>IF(COUNTIFS('LANÇAMENTOS DIÁRIOS'!$G$5:$G$500,"D",'LANÇAMENTOS DIÁRIOS'!$C$5:$C$500,$A49,'LANÇAMENTOS DIÁRIOS'!$O$5:$O$500,"&lt;=105099",'LANÇAMENTOS DIÁRIOS'!$P$5:$P$500,"&gt;=105000")&gt;0,"X","")</f>
      </c>
      <c r="AV49" s="56" t="str">
        <f>IF(COUNTIFS('LANÇAMENTOS DIÁRIOS'!$G$5:$G$500,"D",'LANÇAMENTOS DIÁRIOS'!$C$5:$C$500,$A49,'LANÇAMENTOS DIÁRIOS'!$O$5:$O$500,"&lt;=105199",'LANÇAMENTOS DIÁRIOS'!$P$5:$P$500,"&gt;=105100")&gt;0,"X","")</f>
      </c>
      <c r="AW49" s="56" t="str">
        <f>IF(COUNTIFS('LANÇAMENTOS DIÁRIOS'!$G$5:$G$500,"D",'LANÇAMENTOS DIÁRIOS'!$C$5:$C$500,$A49,'LANÇAMENTOS DIÁRIOS'!$O$5:$O$500,"&lt;=105299",'LANÇAMENTOS DIÁRIOS'!$P$5:$P$500,"&gt;=105200")&gt;0,"X","")</f>
      </c>
      <c r="AX49" s="56" t="str">
        <f>IF(COUNTIFS('LANÇAMENTOS DIÁRIOS'!$G$5:$G$500,"D",'LANÇAMENTOS DIÁRIOS'!$C$5:$C$500,$A49,'LANÇAMENTOS DIÁRIOS'!$O$5:$O$500,"&lt;=105399",'LANÇAMENTOS DIÁRIOS'!$P$5:$P$500,"&gt;=105300")&gt;0,"X","")</f>
      </c>
      <c r="AY49" s="56" t="str">
        <f>IF(COUNTIFS('LANÇAMENTOS DIÁRIOS'!$G$5:$G$500,"D",'LANÇAMENTOS DIÁRIOS'!$C$5:$C$500,$A49,'LANÇAMENTOS DIÁRIOS'!$O$5:$O$500,"&lt;=105499",'LANÇAMENTOS DIÁRIOS'!$P$5:$P$500,"&gt;=105400")&gt;0,"X","")</f>
      </c>
      <c r="AZ49" s="56" t="str">
        <f>IF(COUNTIFS('LANÇAMENTOS DIÁRIOS'!$G$5:$G$500,"D",'LANÇAMENTOS DIÁRIOS'!$C$5:$C$500,$A49,'LANÇAMENTOS DIÁRIOS'!$O$5:$O$500,"&lt;=105500",'LANÇAMENTOS DIÁRIOS'!$P$5:$P$500,"&gt;=105500")&gt;0,"X","")</f>
      </c>
    </row>
    <row r="50">
      <c r="A50" s="51" t="str">
        <v>Escavação de solo mole</v>
      </c>
      <c r="B50" s="56" t="str">
        <f>IF(COUNTIFS('LANÇAMENTOS DIÁRIOS'!$G$5:$G$500,"D",'LANÇAMENTOS DIÁRIOS'!$C$5:$C$500,$A50,'LANÇAMENTOS DIÁRIOS'!$O$5:$O$500,"&lt;=100599",'LANÇAMENTOS DIÁRIOS'!$P$5:$P$500,"&gt;=100500")&gt;0,"X","")</f>
      </c>
      <c r="C50" s="56" t="str">
        <f>IF(COUNTIFS('LANÇAMENTOS DIÁRIOS'!$G$5:$G$500,"D",'LANÇAMENTOS DIÁRIOS'!$C$5:$C$500,$A50,'LANÇAMENTOS DIÁRIOS'!$O$5:$O$500,"&lt;=100699",'LANÇAMENTOS DIÁRIOS'!$P$5:$P$500,"&gt;=100600")&gt;0,"X","")</f>
      </c>
      <c r="D50" s="56" t="str">
        <f>IF(COUNTIFS('LANÇAMENTOS DIÁRIOS'!$G$5:$G$500,"D",'LANÇAMENTOS DIÁRIOS'!$C$5:$C$500,$A50,'LANÇAMENTOS DIÁRIOS'!$O$5:$O$500,"&lt;=100799",'LANÇAMENTOS DIÁRIOS'!$P$5:$P$500,"&gt;=100700")&gt;0,"X","")</f>
      </c>
      <c r="E50" s="56" t="str">
        <f>IF(COUNTIFS('LANÇAMENTOS DIÁRIOS'!$G$5:$G$500,"D",'LANÇAMENTOS DIÁRIOS'!$C$5:$C$500,$A50,'LANÇAMENTOS DIÁRIOS'!$O$5:$O$500,"&lt;=100899",'LANÇAMENTOS DIÁRIOS'!$P$5:$P$500,"&gt;=100800")&gt;0,"X","")</f>
      </c>
      <c r="F50" s="56" t="str">
        <f>IF(COUNTIFS('LANÇAMENTOS DIÁRIOS'!$G$5:$G$500,"D",'LANÇAMENTOS DIÁRIOS'!$C$5:$C$500,$A50,'LANÇAMENTOS DIÁRIOS'!$O$5:$O$500,"&lt;=100999",'LANÇAMENTOS DIÁRIOS'!$P$5:$P$500,"&gt;=100900")&gt;0,"X","")</f>
      </c>
      <c r="G50" s="56" t="str">
        <f>IF(COUNTIFS('LANÇAMENTOS DIÁRIOS'!$G$5:$G$500,"D",'LANÇAMENTOS DIÁRIOS'!$C$5:$C$500,$A50,'LANÇAMENTOS DIÁRIOS'!$O$5:$O$500,"&lt;=101099",'LANÇAMENTOS DIÁRIOS'!$P$5:$P$500,"&gt;=101000")&gt;0,"X","")</f>
      </c>
      <c r="H50" s="56" t="str">
        <f>IF(COUNTIFS('LANÇAMENTOS DIÁRIOS'!$G$5:$G$500,"D",'LANÇAMENTOS DIÁRIOS'!$C$5:$C$500,$A50,'LANÇAMENTOS DIÁRIOS'!$O$5:$O$500,"&lt;=101199",'LANÇAMENTOS DIÁRIOS'!$P$5:$P$500,"&gt;=101100")&gt;0,"X","")</f>
      </c>
      <c r="I50" s="56" t="str">
        <f>IF(COUNTIFS('LANÇAMENTOS DIÁRIOS'!$G$5:$G$500,"D",'LANÇAMENTOS DIÁRIOS'!$C$5:$C$500,$A50,'LANÇAMENTOS DIÁRIOS'!$O$5:$O$500,"&lt;=101299",'LANÇAMENTOS DIÁRIOS'!$P$5:$P$500,"&gt;=101200")&gt;0,"X","")</f>
      </c>
      <c r="J50" s="56" t="str">
        <f>IF(COUNTIFS('LANÇAMENTOS DIÁRIOS'!$G$5:$G$500,"D",'LANÇAMENTOS DIÁRIOS'!$C$5:$C$500,$A50,'LANÇAMENTOS DIÁRIOS'!$O$5:$O$500,"&lt;=101399",'LANÇAMENTOS DIÁRIOS'!$P$5:$P$500,"&gt;=101300")&gt;0,"X","")</f>
      </c>
      <c r="K50" s="56" t="str">
        <f>IF(COUNTIFS('LANÇAMENTOS DIÁRIOS'!$G$5:$G$500,"D",'LANÇAMENTOS DIÁRIOS'!$C$5:$C$500,$A50,'LANÇAMENTOS DIÁRIOS'!$O$5:$O$500,"&lt;=101499",'LANÇAMENTOS DIÁRIOS'!$P$5:$P$500,"&gt;=101400")&gt;0,"X","")</f>
      </c>
      <c r="L50" s="56" t="str">
        <f>IF(COUNTIFS('LANÇAMENTOS DIÁRIOS'!$G$5:$G$500,"D",'LANÇAMENTOS DIÁRIOS'!$C$5:$C$500,$A50,'LANÇAMENTOS DIÁRIOS'!$O$5:$O$500,"&lt;=101599",'LANÇAMENTOS DIÁRIOS'!$P$5:$P$500,"&gt;=101500")&gt;0,"X","")</f>
      </c>
      <c r="M50" s="56" t="str">
        <f>IF(COUNTIFS('LANÇAMENTOS DIÁRIOS'!$G$5:$G$500,"D",'LANÇAMENTOS DIÁRIOS'!$C$5:$C$500,$A50,'LANÇAMENTOS DIÁRIOS'!$O$5:$O$500,"&lt;=101699",'LANÇAMENTOS DIÁRIOS'!$P$5:$P$500,"&gt;=101600")&gt;0,"X","")</f>
      </c>
      <c r="N50" s="56" t="str">
        <f>IF(COUNTIFS('LANÇAMENTOS DIÁRIOS'!$G$5:$G$500,"D",'LANÇAMENTOS DIÁRIOS'!$C$5:$C$500,$A50,'LANÇAMENTOS DIÁRIOS'!$O$5:$O$500,"&lt;=101799",'LANÇAMENTOS DIÁRIOS'!$P$5:$P$500,"&gt;=101700")&gt;0,"X","")</f>
      </c>
      <c r="O50" s="56" t="str">
        <f>IF(COUNTIFS('LANÇAMENTOS DIÁRIOS'!$G$5:$G$500,"D",'LANÇAMENTOS DIÁRIOS'!$C$5:$C$500,$A50,'LANÇAMENTOS DIÁRIOS'!$O$5:$O$500,"&lt;=101899",'LANÇAMENTOS DIÁRIOS'!$P$5:$P$500,"&gt;=101800")&gt;0,"X","")</f>
      </c>
      <c r="P50" s="56" t="str">
        <f>IF(COUNTIFS('LANÇAMENTOS DIÁRIOS'!$G$5:$G$500,"D",'LANÇAMENTOS DIÁRIOS'!$C$5:$C$500,$A50,'LANÇAMENTOS DIÁRIOS'!$O$5:$O$500,"&lt;=101999",'LANÇAMENTOS DIÁRIOS'!$P$5:$P$500,"&gt;=101900")&gt;0,"X","")</f>
      </c>
      <c r="Q50" s="56" t="str">
        <f>IF(COUNTIFS('LANÇAMENTOS DIÁRIOS'!$G$5:$G$500,"D",'LANÇAMENTOS DIÁRIOS'!$C$5:$C$500,$A50,'LANÇAMENTOS DIÁRIOS'!$O$5:$O$500,"&lt;=102099",'LANÇAMENTOS DIÁRIOS'!$P$5:$P$500,"&gt;=102000")&gt;0,"X","")</f>
      </c>
      <c r="R50" s="56" t="str">
        <f>IF(COUNTIFS('LANÇAMENTOS DIÁRIOS'!$G$5:$G$500,"D",'LANÇAMENTOS DIÁRIOS'!$C$5:$C$500,$A50,'LANÇAMENTOS DIÁRIOS'!$O$5:$O$500,"&lt;=102199",'LANÇAMENTOS DIÁRIOS'!$P$5:$P$500,"&gt;=102100")&gt;0,"X","")</f>
      </c>
      <c r="S50" s="56" t="str">
        <f>IF(COUNTIFS('LANÇAMENTOS DIÁRIOS'!$G$5:$G$500,"D",'LANÇAMENTOS DIÁRIOS'!$C$5:$C$500,$A50,'LANÇAMENTOS DIÁRIOS'!$O$5:$O$500,"&lt;=102299",'LANÇAMENTOS DIÁRIOS'!$P$5:$P$500,"&gt;=102200")&gt;0,"X","")</f>
      </c>
      <c r="T50" s="56" t="str">
        <f>IF(COUNTIFS('LANÇAMENTOS DIÁRIOS'!$G$5:$G$500,"D",'LANÇAMENTOS DIÁRIOS'!$C$5:$C$500,$A50,'LANÇAMENTOS DIÁRIOS'!$O$5:$O$500,"&lt;=102399",'LANÇAMENTOS DIÁRIOS'!$P$5:$P$500,"&gt;=102300")&gt;0,"X","")</f>
      </c>
      <c r="U50" s="56" t="str">
        <f>IF(COUNTIFS('LANÇAMENTOS DIÁRIOS'!$G$5:$G$500,"D",'LANÇAMENTOS DIÁRIOS'!$C$5:$C$500,$A50,'LANÇAMENTOS DIÁRIOS'!$O$5:$O$500,"&lt;=102499",'LANÇAMENTOS DIÁRIOS'!$P$5:$P$500,"&gt;=102400")&gt;0,"X","")</f>
      </c>
      <c r="V50" s="56" t="str">
        <f>IF(COUNTIFS('LANÇAMENTOS DIÁRIOS'!$G$5:$G$500,"D",'LANÇAMENTOS DIÁRIOS'!$C$5:$C$500,$A50,'LANÇAMENTOS DIÁRIOS'!$O$5:$O$500,"&lt;=102599",'LANÇAMENTOS DIÁRIOS'!$P$5:$P$500,"&gt;=102500")&gt;0,"X","")</f>
      </c>
      <c r="W50" s="56" t="str">
        <f>IF(COUNTIFS('LANÇAMENTOS DIÁRIOS'!$G$5:$G$500,"D",'LANÇAMENTOS DIÁRIOS'!$C$5:$C$500,$A50,'LANÇAMENTOS DIÁRIOS'!$O$5:$O$500,"&lt;=102699",'LANÇAMENTOS DIÁRIOS'!$P$5:$P$500,"&gt;=102600")&gt;0,"X","")</f>
      </c>
      <c r="X50" s="56" t="str">
        <f>IF(COUNTIFS('LANÇAMENTOS DIÁRIOS'!$G$5:$G$500,"D",'LANÇAMENTOS DIÁRIOS'!$C$5:$C$500,$A50,'LANÇAMENTOS DIÁRIOS'!$O$5:$O$500,"&lt;=102799",'LANÇAMENTOS DIÁRIOS'!$P$5:$P$500,"&gt;=102700")&gt;0,"X","")</f>
      </c>
      <c r="Y50" s="56" t="str">
        <f>IF(COUNTIFS('LANÇAMENTOS DIÁRIOS'!$G$5:$G$500,"D",'LANÇAMENTOS DIÁRIOS'!$C$5:$C$500,$A50,'LANÇAMENTOS DIÁRIOS'!$O$5:$O$500,"&lt;=102899",'LANÇAMENTOS DIÁRIOS'!$P$5:$P$500,"&gt;=102800")&gt;0,"X","")</f>
      </c>
      <c r="Z50" s="56" t="str">
        <f>IF(COUNTIFS('LANÇAMENTOS DIÁRIOS'!$G$5:$G$500,"D",'LANÇAMENTOS DIÁRIOS'!$C$5:$C$500,$A50,'LANÇAMENTOS DIÁRIOS'!$O$5:$O$500,"&lt;=102999",'LANÇAMENTOS DIÁRIOS'!$P$5:$P$500,"&gt;=102900")&gt;0,"X","")</f>
      </c>
      <c r="AA50" s="56" t="str">
        <f>IF(COUNTIFS('LANÇAMENTOS DIÁRIOS'!$G$5:$G$500,"D",'LANÇAMENTOS DIÁRIOS'!$C$5:$C$500,$A50,'LANÇAMENTOS DIÁRIOS'!$O$5:$O$500,"&lt;=103099",'LANÇAMENTOS DIÁRIOS'!$P$5:$P$500,"&gt;=103000")&gt;0,"X","")</f>
      </c>
      <c r="AB50" s="56" t="str">
        <f>IF(COUNTIFS('LANÇAMENTOS DIÁRIOS'!$G$5:$G$500,"D",'LANÇAMENTOS DIÁRIOS'!$C$5:$C$500,$A50,'LANÇAMENTOS DIÁRIOS'!$O$5:$O$500,"&lt;=103199",'LANÇAMENTOS DIÁRIOS'!$P$5:$P$500,"&gt;=103100")&gt;0,"X","")</f>
      </c>
      <c r="AC50" s="56" t="str">
        <f>IF(COUNTIFS('LANÇAMENTOS DIÁRIOS'!$G$5:$G$500,"D",'LANÇAMENTOS DIÁRIOS'!$C$5:$C$500,$A50,'LANÇAMENTOS DIÁRIOS'!$O$5:$O$500,"&lt;=103299",'LANÇAMENTOS DIÁRIOS'!$P$5:$P$500,"&gt;=103200")&gt;0,"X","")</f>
      </c>
      <c r="AD50" s="56" t="str">
        <f>IF(COUNTIFS('LANÇAMENTOS DIÁRIOS'!$G$5:$G$500,"D",'LANÇAMENTOS DIÁRIOS'!$C$5:$C$500,$A50,'LANÇAMENTOS DIÁRIOS'!$O$5:$O$500,"&lt;=103399",'LANÇAMENTOS DIÁRIOS'!$P$5:$P$500,"&gt;=103300")&gt;0,"X","")</f>
      </c>
      <c r="AE50" s="56" t="str">
        <f>IF(COUNTIFS('LANÇAMENTOS DIÁRIOS'!$G$5:$G$500,"D",'LANÇAMENTOS DIÁRIOS'!$C$5:$C$500,$A50,'LANÇAMENTOS DIÁRIOS'!$O$5:$O$500,"&lt;=103499",'LANÇAMENTOS DIÁRIOS'!$P$5:$P$500,"&gt;=103400")&gt;0,"X","")</f>
      </c>
      <c r="AF50" s="56" t="str">
        <f>IF(COUNTIFS('LANÇAMENTOS DIÁRIOS'!$G$5:$G$500,"D",'LANÇAMENTOS DIÁRIOS'!$C$5:$C$500,$A50,'LANÇAMENTOS DIÁRIOS'!$O$5:$O$500,"&lt;=103599",'LANÇAMENTOS DIÁRIOS'!$P$5:$P$500,"&gt;=103500")&gt;0,"X","")</f>
      </c>
      <c r="AG50" s="56" t="str">
        <f>IF(COUNTIFS('LANÇAMENTOS DIÁRIOS'!$G$5:$G$500,"D",'LANÇAMENTOS DIÁRIOS'!$C$5:$C$500,$A50,'LANÇAMENTOS DIÁRIOS'!$O$5:$O$500,"&lt;=103699",'LANÇAMENTOS DIÁRIOS'!$P$5:$P$500,"&gt;=103600")&gt;0,"X","")</f>
      </c>
      <c r="AH50" s="56" t="str">
        <f>IF(COUNTIFS('LANÇAMENTOS DIÁRIOS'!$G$5:$G$500,"D",'LANÇAMENTOS DIÁRIOS'!$C$5:$C$500,$A50,'LANÇAMENTOS DIÁRIOS'!$O$5:$O$500,"&lt;=103799",'LANÇAMENTOS DIÁRIOS'!$P$5:$P$500,"&gt;=103700")&gt;0,"X","")</f>
      </c>
      <c r="AI50" s="56" t="str">
        <f>IF(COUNTIFS('LANÇAMENTOS DIÁRIOS'!$G$5:$G$500,"D",'LANÇAMENTOS DIÁRIOS'!$C$5:$C$500,$A50,'LANÇAMENTOS DIÁRIOS'!$O$5:$O$500,"&lt;=103899",'LANÇAMENTOS DIÁRIOS'!$P$5:$P$500,"&gt;=103800")&gt;0,"X","")</f>
      </c>
      <c r="AJ50" s="56" t="str">
        <f>IF(COUNTIFS('LANÇAMENTOS DIÁRIOS'!$G$5:$G$500,"D",'LANÇAMENTOS DIÁRIOS'!$C$5:$C$500,$A50,'LANÇAMENTOS DIÁRIOS'!$O$5:$O$500,"&lt;=103999",'LANÇAMENTOS DIÁRIOS'!$P$5:$P$500,"&gt;=103900")&gt;0,"X","")</f>
      </c>
      <c r="AK50" s="56" t="str">
        <f>IF(COUNTIFS('LANÇAMENTOS DIÁRIOS'!$G$5:$G$500,"D",'LANÇAMENTOS DIÁRIOS'!$C$5:$C$500,$A50,'LANÇAMENTOS DIÁRIOS'!$O$5:$O$500,"&lt;=104099",'LANÇAMENTOS DIÁRIOS'!$P$5:$P$500,"&gt;=104000")&gt;0,"X","")</f>
      </c>
      <c r="AL50" s="56" t="str">
        <f>IF(COUNTIFS('LANÇAMENTOS DIÁRIOS'!$G$5:$G$500,"D",'LANÇAMENTOS DIÁRIOS'!$C$5:$C$500,$A50,'LANÇAMENTOS DIÁRIOS'!$O$5:$O$500,"&lt;=104199",'LANÇAMENTOS DIÁRIOS'!$P$5:$P$500,"&gt;=104100")&gt;0,"X","")</f>
      </c>
      <c r="AM50" s="56" t="str">
        <f>IF(COUNTIFS('LANÇAMENTOS DIÁRIOS'!$G$5:$G$500,"D",'LANÇAMENTOS DIÁRIOS'!$C$5:$C$500,$A50,'LANÇAMENTOS DIÁRIOS'!$O$5:$O$500,"&lt;=104299",'LANÇAMENTOS DIÁRIOS'!$P$5:$P$500,"&gt;=104200")&gt;0,"X","")</f>
      </c>
      <c r="AN50" s="56" t="str">
        <f>IF(COUNTIFS('LANÇAMENTOS DIÁRIOS'!$G$5:$G$500,"D",'LANÇAMENTOS DIÁRIOS'!$C$5:$C$500,$A50,'LANÇAMENTOS DIÁRIOS'!$O$5:$O$500,"&lt;=104399",'LANÇAMENTOS DIÁRIOS'!$P$5:$P$500,"&gt;=104300")&gt;0,"X","")</f>
      </c>
      <c r="AO50" s="56" t="str">
        <f>IF(COUNTIFS('LANÇAMENTOS DIÁRIOS'!$G$5:$G$500,"D",'LANÇAMENTOS DIÁRIOS'!$C$5:$C$500,$A50,'LANÇAMENTOS DIÁRIOS'!$O$5:$O$500,"&lt;=104499",'LANÇAMENTOS DIÁRIOS'!$P$5:$P$500,"&gt;=104400")&gt;0,"X","")</f>
      </c>
      <c r="AP50" s="56" t="str">
        <f>IF(COUNTIFS('LANÇAMENTOS DIÁRIOS'!$G$5:$G$500,"D",'LANÇAMENTOS DIÁRIOS'!$C$5:$C$500,$A50,'LANÇAMENTOS DIÁRIOS'!$O$5:$O$500,"&lt;=104599",'LANÇAMENTOS DIÁRIOS'!$P$5:$P$500,"&gt;=104500")&gt;0,"X","")</f>
      </c>
      <c r="AQ50" s="56" t="str">
        <f>IF(COUNTIFS('LANÇAMENTOS DIÁRIOS'!$G$5:$G$500,"D",'LANÇAMENTOS DIÁRIOS'!$C$5:$C$500,$A50,'LANÇAMENTOS DIÁRIOS'!$O$5:$O$500,"&lt;=104699",'LANÇAMENTOS DIÁRIOS'!$P$5:$P$500,"&gt;=104600")&gt;0,"X","")</f>
      </c>
      <c r="AR50" s="56" t="str">
        <f>IF(COUNTIFS('LANÇAMENTOS DIÁRIOS'!$G$5:$G$500,"D",'LANÇAMENTOS DIÁRIOS'!$C$5:$C$500,$A50,'LANÇAMENTOS DIÁRIOS'!$O$5:$O$500,"&lt;=104799",'LANÇAMENTOS DIÁRIOS'!$P$5:$P$500,"&gt;=104700")&gt;0,"X","")</f>
      </c>
      <c r="AS50" s="56" t="str">
        <f>IF(COUNTIFS('LANÇAMENTOS DIÁRIOS'!$G$5:$G$500,"D",'LANÇAMENTOS DIÁRIOS'!$C$5:$C$500,$A50,'LANÇAMENTOS DIÁRIOS'!$O$5:$O$500,"&lt;=104899",'LANÇAMENTOS DIÁRIOS'!$P$5:$P$500,"&gt;=104800")&gt;0,"X","")</f>
      </c>
      <c r="AT50" s="56" t="str">
        <f>IF(COUNTIFS('LANÇAMENTOS DIÁRIOS'!$G$5:$G$500,"D",'LANÇAMENTOS DIÁRIOS'!$C$5:$C$500,$A50,'LANÇAMENTOS DIÁRIOS'!$O$5:$O$500,"&lt;=104999",'LANÇAMENTOS DIÁRIOS'!$P$5:$P$500,"&gt;=104900")&gt;0,"X","")</f>
      </c>
      <c r="AU50" s="56" t="str">
        <f>IF(COUNTIFS('LANÇAMENTOS DIÁRIOS'!$G$5:$G$500,"D",'LANÇAMENTOS DIÁRIOS'!$C$5:$C$500,$A50,'LANÇAMENTOS DIÁRIOS'!$O$5:$O$500,"&lt;=105099",'LANÇAMENTOS DIÁRIOS'!$P$5:$P$500,"&gt;=105000")&gt;0,"X","")</f>
      </c>
      <c r="AV50" s="56" t="str">
        <f>IF(COUNTIFS('LANÇAMENTOS DIÁRIOS'!$G$5:$G$500,"D",'LANÇAMENTOS DIÁRIOS'!$C$5:$C$500,$A50,'LANÇAMENTOS DIÁRIOS'!$O$5:$O$500,"&lt;=105199",'LANÇAMENTOS DIÁRIOS'!$P$5:$P$500,"&gt;=105100")&gt;0,"X","")</f>
      </c>
      <c r="AW50" s="56" t="str">
        <f>IF(COUNTIFS('LANÇAMENTOS DIÁRIOS'!$G$5:$G$500,"D",'LANÇAMENTOS DIÁRIOS'!$C$5:$C$500,$A50,'LANÇAMENTOS DIÁRIOS'!$O$5:$O$500,"&lt;=105299",'LANÇAMENTOS DIÁRIOS'!$P$5:$P$500,"&gt;=105200")&gt;0,"X","")</f>
      </c>
      <c r="AX50" s="56" t="str">
        <f>IF(COUNTIFS('LANÇAMENTOS DIÁRIOS'!$G$5:$G$500,"D",'LANÇAMENTOS DIÁRIOS'!$C$5:$C$500,$A50,'LANÇAMENTOS DIÁRIOS'!$O$5:$O$500,"&lt;=105399",'LANÇAMENTOS DIÁRIOS'!$P$5:$P$500,"&gt;=105300")&gt;0,"X","")</f>
      </c>
      <c r="AY50" s="56" t="str">
        <f>IF(COUNTIFS('LANÇAMENTOS DIÁRIOS'!$G$5:$G$500,"D",'LANÇAMENTOS DIÁRIOS'!$C$5:$C$500,$A50,'LANÇAMENTOS DIÁRIOS'!$O$5:$O$500,"&lt;=105499",'LANÇAMENTOS DIÁRIOS'!$P$5:$P$500,"&gt;=105400")&gt;0,"X","")</f>
      </c>
      <c r="AZ50" s="56" t="str">
        <f>IF(COUNTIFS('LANÇAMENTOS DIÁRIOS'!$G$5:$G$500,"D",'LANÇAMENTOS DIÁRIOS'!$C$5:$C$500,$A50,'LANÇAMENTOS DIÁRIOS'!$O$5:$O$500,"&lt;=105500",'LANÇAMENTOS DIÁRIOS'!$P$5:$P$500,"&gt;=105500")&gt;0,"X","")</f>
      </c>
    </row>
    <row r="51">
      <c r="A51" s="51" t="str">
        <v>Fundação / reaterro com pedra rachão</v>
      </c>
      <c r="B51" s="56" t="str">
        <f>IF(COUNTIFS('LANÇAMENTOS DIÁRIOS'!$G$5:$G$500,"D",'LANÇAMENTOS DIÁRIOS'!$C$5:$C$500,$A51,'LANÇAMENTOS DIÁRIOS'!$O$5:$O$500,"&lt;=100599",'LANÇAMENTOS DIÁRIOS'!$P$5:$P$500,"&gt;=100500")&gt;0,"X","")</f>
      </c>
      <c r="C51" s="56" t="str">
        <f>IF(COUNTIFS('LANÇAMENTOS DIÁRIOS'!$G$5:$G$500,"D",'LANÇAMENTOS DIÁRIOS'!$C$5:$C$500,$A51,'LANÇAMENTOS DIÁRIOS'!$O$5:$O$500,"&lt;=100699",'LANÇAMENTOS DIÁRIOS'!$P$5:$P$500,"&gt;=100600")&gt;0,"X","")</f>
      </c>
      <c r="D51" s="56" t="str">
        <f>IF(COUNTIFS('LANÇAMENTOS DIÁRIOS'!$G$5:$G$500,"D",'LANÇAMENTOS DIÁRIOS'!$C$5:$C$500,$A51,'LANÇAMENTOS DIÁRIOS'!$O$5:$O$500,"&lt;=100799",'LANÇAMENTOS DIÁRIOS'!$P$5:$P$500,"&gt;=100700")&gt;0,"X","")</f>
      </c>
      <c r="E51" s="56" t="str">
        <f>IF(COUNTIFS('LANÇAMENTOS DIÁRIOS'!$G$5:$G$500,"D",'LANÇAMENTOS DIÁRIOS'!$C$5:$C$500,$A51,'LANÇAMENTOS DIÁRIOS'!$O$5:$O$500,"&lt;=100899",'LANÇAMENTOS DIÁRIOS'!$P$5:$P$500,"&gt;=100800")&gt;0,"X","")</f>
      </c>
      <c r="F51" s="56" t="str">
        <f>IF(COUNTIFS('LANÇAMENTOS DIÁRIOS'!$G$5:$G$500,"D",'LANÇAMENTOS DIÁRIOS'!$C$5:$C$500,$A51,'LANÇAMENTOS DIÁRIOS'!$O$5:$O$500,"&lt;=100999",'LANÇAMENTOS DIÁRIOS'!$P$5:$P$500,"&gt;=100900")&gt;0,"X","")</f>
      </c>
      <c r="G51" s="56" t="str">
        <f>IF(COUNTIFS('LANÇAMENTOS DIÁRIOS'!$G$5:$G$500,"D",'LANÇAMENTOS DIÁRIOS'!$C$5:$C$500,$A51,'LANÇAMENTOS DIÁRIOS'!$O$5:$O$500,"&lt;=101099",'LANÇAMENTOS DIÁRIOS'!$P$5:$P$500,"&gt;=101000")&gt;0,"X","")</f>
      </c>
      <c r="H51" s="56" t="str">
        <f>IF(COUNTIFS('LANÇAMENTOS DIÁRIOS'!$G$5:$G$500,"D",'LANÇAMENTOS DIÁRIOS'!$C$5:$C$500,$A51,'LANÇAMENTOS DIÁRIOS'!$O$5:$O$500,"&lt;=101199",'LANÇAMENTOS DIÁRIOS'!$P$5:$P$500,"&gt;=101100")&gt;0,"X","")</f>
      </c>
      <c r="I51" s="56" t="str">
        <f>IF(COUNTIFS('LANÇAMENTOS DIÁRIOS'!$G$5:$G$500,"D",'LANÇAMENTOS DIÁRIOS'!$C$5:$C$500,$A51,'LANÇAMENTOS DIÁRIOS'!$O$5:$O$500,"&lt;=101299",'LANÇAMENTOS DIÁRIOS'!$P$5:$P$500,"&gt;=101200")&gt;0,"X","")</f>
      </c>
      <c r="J51" s="56" t="str">
        <f>IF(COUNTIFS('LANÇAMENTOS DIÁRIOS'!$G$5:$G$500,"D",'LANÇAMENTOS DIÁRIOS'!$C$5:$C$500,$A51,'LANÇAMENTOS DIÁRIOS'!$O$5:$O$500,"&lt;=101399",'LANÇAMENTOS DIÁRIOS'!$P$5:$P$500,"&gt;=101300")&gt;0,"X","")</f>
      </c>
      <c r="K51" s="56" t="str">
        <f>IF(COUNTIFS('LANÇAMENTOS DIÁRIOS'!$G$5:$G$500,"D",'LANÇAMENTOS DIÁRIOS'!$C$5:$C$500,$A51,'LANÇAMENTOS DIÁRIOS'!$O$5:$O$500,"&lt;=101499",'LANÇAMENTOS DIÁRIOS'!$P$5:$P$500,"&gt;=101400")&gt;0,"X","")</f>
      </c>
      <c r="L51" s="56" t="str">
        <f>IF(COUNTIFS('LANÇAMENTOS DIÁRIOS'!$G$5:$G$500,"D",'LANÇAMENTOS DIÁRIOS'!$C$5:$C$500,$A51,'LANÇAMENTOS DIÁRIOS'!$O$5:$O$500,"&lt;=101599",'LANÇAMENTOS DIÁRIOS'!$P$5:$P$500,"&gt;=101500")&gt;0,"X","")</f>
      </c>
      <c r="M51" s="56" t="str">
        <f>IF(COUNTIFS('LANÇAMENTOS DIÁRIOS'!$G$5:$G$500,"D",'LANÇAMENTOS DIÁRIOS'!$C$5:$C$500,$A51,'LANÇAMENTOS DIÁRIOS'!$O$5:$O$500,"&lt;=101699",'LANÇAMENTOS DIÁRIOS'!$P$5:$P$500,"&gt;=101600")&gt;0,"X","")</f>
      </c>
      <c r="N51" s="56" t="str">
        <f>IF(COUNTIFS('LANÇAMENTOS DIÁRIOS'!$G$5:$G$500,"D",'LANÇAMENTOS DIÁRIOS'!$C$5:$C$500,$A51,'LANÇAMENTOS DIÁRIOS'!$O$5:$O$500,"&lt;=101799",'LANÇAMENTOS DIÁRIOS'!$P$5:$P$500,"&gt;=101700")&gt;0,"X","")</f>
      </c>
      <c r="O51" s="56" t="str">
        <f>IF(COUNTIFS('LANÇAMENTOS DIÁRIOS'!$G$5:$G$500,"D",'LANÇAMENTOS DIÁRIOS'!$C$5:$C$500,$A51,'LANÇAMENTOS DIÁRIOS'!$O$5:$O$500,"&lt;=101899",'LANÇAMENTOS DIÁRIOS'!$P$5:$P$500,"&gt;=101800")&gt;0,"X","")</f>
      </c>
      <c r="P51" s="56" t="str">
        <f>IF(COUNTIFS('LANÇAMENTOS DIÁRIOS'!$G$5:$G$500,"D",'LANÇAMENTOS DIÁRIOS'!$C$5:$C$500,$A51,'LANÇAMENTOS DIÁRIOS'!$O$5:$O$500,"&lt;=101999",'LANÇAMENTOS DIÁRIOS'!$P$5:$P$500,"&gt;=101900")&gt;0,"X","")</f>
      </c>
      <c r="Q51" s="56" t="str">
        <f>IF(COUNTIFS('LANÇAMENTOS DIÁRIOS'!$G$5:$G$500,"D",'LANÇAMENTOS DIÁRIOS'!$C$5:$C$500,$A51,'LANÇAMENTOS DIÁRIOS'!$O$5:$O$500,"&lt;=102099",'LANÇAMENTOS DIÁRIOS'!$P$5:$P$500,"&gt;=102000")&gt;0,"X","")</f>
      </c>
      <c r="R51" s="56" t="str">
        <f>IF(COUNTIFS('LANÇAMENTOS DIÁRIOS'!$G$5:$G$500,"D",'LANÇAMENTOS DIÁRIOS'!$C$5:$C$500,$A51,'LANÇAMENTOS DIÁRIOS'!$O$5:$O$500,"&lt;=102199",'LANÇAMENTOS DIÁRIOS'!$P$5:$P$500,"&gt;=102100")&gt;0,"X","")</f>
      </c>
      <c r="S51" s="56" t="str">
        <f>IF(COUNTIFS('LANÇAMENTOS DIÁRIOS'!$G$5:$G$500,"D",'LANÇAMENTOS DIÁRIOS'!$C$5:$C$500,$A51,'LANÇAMENTOS DIÁRIOS'!$O$5:$O$500,"&lt;=102299",'LANÇAMENTOS DIÁRIOS'!$P$5:$P$500,"&gt;=102200")&gt;0,"X","")</f>
      </c>
      <c r="T51" s="56" t="str">
        <f>IF(COUNTIFS('LANÇAMENTOS DIÁRIOS'!$G$5:$G$500,"D",'LANÇAMENTOS DIÁRIOS'!$C$5:$C$500,$A51,'LANÇAMENTOS DIÁRIOS'!$O$5:$O$500,"&lt;=102399",'LANÇAMENTOS DIÁRIOS'!$P$5:$P$500,"&gt;=102300")&gt;0,"X","")</f>
      </c>
      <c r="U51" s="56" t="str">
        <f>IF(COUNTIFS('LANÇAMENTOS DIÁRIOS'!$G$5:$G$500,"D",'LANÇAMENTOS DIÁRIOS'!$C$5:$C$500,$A51,'LANÇAMENTOS DIÁRIOS'!$O$5:$O$500,"&lt;=102499",'LANÇAMENTOS DIÁRIOS'!$P$5:$P$500,"&gt;=102400")&gt;0,"X","")</f>
      </c>
      <c r="V51" s="56" t="str">
        <f>IF(COUNTIFS('LANÇAMENTOS DIÁRIOS'!$G$5:$G$500,"D",'LANÇAMENTOS DIÁRIOS'!$C$5:$C$500,$A51,'LANÇAMENTOS DIÁRIOS'!$O$5:$O$500,"&lt;=102599",'LANÇAMENTOS DIÁRIOS'!$P$5:$P$500,"&gt;=102500")&gt;0,"X","")</f>
      </c>
      <c r="W51" s="56" t="str">
        <f>IF(COUNTIFS('LANÇAMENTOS DIÁRIOS'!$G$5:$G$500,"D",'LANÇAMENTOS DIÁRIOS'!$C$5:$C$500,$A51,'LANÇAMENTOS DIÁRIOS'!$O$5:$O$500,"&lt;=102699",'LANÇAMENTOS DIÁRIOS'!$P$5:$P$500,"&gt;=102600")&gt;0,"X","")</f>
      </c>
      <c r="X51" s="56" t="str">
        <f>IF(COUNTIFS('LANÇAMENTOS DIÁRIOS'!$G$5:$G$500,"D",'LANÇAMENTOS DIÁRIOS'!$C$5:$C$500,$A51,'LANÇAMENTOS DIÁRIOS'!$O$5:$O$500,"&lt;=102799",'LANÇAMENTOS DIÁRIOS'!$P$5:$P$500,"&gt;=102700")&gt;0,"X","")</f>
      </c>
      <c r="Y51" s="56" t="str">
        <f>IF(COUNTIFS('LANÇAMENTOS DIÁRIOS'!$G$5:$G$500,"D",'LANÇAMENTOS DIÁRIOS'!$C$5:$C$500,$A51,'LANÇAMENTOS DIÁRIOS'!$O$5:$O$500,"&lt;=102899",'LANÇAMENTOS DIÁRIOS'!$P$5:$P$500,"&gt;=102800")&gt;0,"X","")</f>
      </c>
      <c r="Z51" s="56" t="str">
        <f>IF(COUNTIFS('LANÇAMENTOS DIÁRIOS'!$G$5:$G$500,"D",'LANÇAMENTOS DIÁRIOS'!$C$5:$C$500,$A51,'LANÇAMENTOS DIÁRIOS'!$O$5:$O$500,"&lt;=102999",'LANÇAMENTOS DIÁRIOS'!$P$5:$P$500,"&gt;=102900")&gt;0,"X","")</f>
      </c>
      <c r="AA51" s="56" t="str">
        <f>IF(COUNTIFS('LANÇAMENTOS DIÁRIOS'!$G$5:$G$500,"D",'LANÇAMENTOS DIÁRIOS'!$C$5:$C$500,$A51,'LANÇAMENTOS DIÁRIOS'!$O$5:$O$500,"&lt;=103099",'LANÇAMENTOS DIÁRIOS'!$P$5:$P$500,"&gt;=103000")&gt;0,"X","")</f>
      </c>
      <c r="AB51" s="56" t="str">
        <f>IF(COUNTIFS('LANÇAMENTOS DIÁRIOS'!$G$5:$G$500,"D",'LANÇAMENTOS DIÁRIOS'!$C$5:$C$500,$A51,'LANÇAMENTOS DIÁRIOS'!$O$5:$O$500,"&lt;=103199",'LANÇAMENTOS DIÁRIOS'!$P$5:$P$500,"&gt;=103100")&gt;0,"X","")</f>
      </c>
      <c r="AC51" s="56" t="str">
        <f>IF(COUNTIFS('LANÇAMENTOS DIÁRIOS'!$G$5:$G$500,"D",'LANÇAMENTOS DIÁRIOS'!$C$5:$C$500,$A51,'LANÇAMENTOS DIÁRIOS'!$O$5:$O$500,"&lt;=103299",'LANÇAMENTOS DIÁRIOS'!$P$5:$P$500,"&gt;=103200")&gt;0,"X","")</f>
      </c>
      <c r="AD51" s="56" t="str">
        <f>IF(COUNTIFS('LANÇAMENTOS DIÁRIOS'!$G$5:$G$500,"D",'LANÇAMENTOS DIÁRIOS'!$C$5:$C$500,$A51,'LANÇAMENTOS DIÁRIOS'!$O$5:$O$500,"&lt;=103399",'LANÇAMENTOS DIÁRIOS'!$P$5:$P$500,"&gt;=103300")&gt;0,"X","")</f>
      </c>
      <c r="AE51" s="56" t="str">
        <f>IF(COUNTIFS('LANÇAMENTOS DIÁRIOS'!$G$5:$G$500,"D",'LANÇAMENTOS DIÁRIOS'!$C$5:$C$500,$A51,'LANÇAMENTOS DIÁRIOS'!$O$5:$O$500,"&lt;=103499",'LANÇAMENTOS DIÁRIOS'!$P$5:$P$500,"&gt;=103400")&gt;0,"X","")</f>
      </c>
      <c r="AF51" s="56" t="str">
        <f>IF(COUNTIFS('LANÇAMENTOS DIÁRIOS'!$G$5:$G$500,"D",'LANÇAMENTOS DIÁRIOS'!$C$5:$C$500,$A51,'LANÇAMENTOS DIÁRIOS'!$O$5:$O$500,"&lt;=103599",'LANÇAMENTOS DIÁRIOS'!$P$5:$P$500,"&gt;=103500")&gt;0,"X","")</f>
      </c>
      <c r="AG51" s="56" t="str">
        <f>IF(COUNTIFS('LANÇAMENTOS DIÁRIOS'!$G$5:$G$500,"D",'LANÇAMENTOS DIÁRIOS'!$C$5:$C$500,$A51,'LANÇAMENTOS DIÁRIOS'!$O$5:$O$500,"&lt;=103699",'LANÇAMENTOS DIÁRIOS'!$P$5:$P$500,"&gt;=103600")&gt;0,"X","")</f>
      </c>
      <c r="AH51" s="56" t="str">
        <f>IF(COUNTIFS('LANÇAMENTOS DIÁRIOS'!$G$5:$G$500,"D",'LANÇAMENTOS DIÁRIOS'!$C$5:$C$500,$A51,'LANÇAMENTOS DIÁRIOS'!$O$5:$O$500,"&lt;=103799",'LANÇAMENTOS DIÁRIOS'!$P$5:$P$500,"&gt;=103700")&gt;0,"X","")</f>
      </c>
      <c r="AI51" s="56" t="str">
        <f>IF(COUNTIFS('LANÇAMENTOS DIÁRIOS'!$G$5:$G$500,"D",'LANÇAMENTOS DIÁRIOS'!$C$5:$C$500,$A51,'LANÇAMENTOS DIÁRIOS'!$O$5:$O$500,"&lt;=103899",'LANÇAMENTOS DIÁRIOS'!$P$5:$P$500,"&gt;=103800")&gt;0,"X","")</f>
      </c>
      <c r="AJ51" s="56" t="str">
        <f>IF(COUNTIFS('LANÇAMENTOS DIÁRIOS'!$G$5:$G$500,"D",'LANÇAMENTOS DIÁRIOS'!$C$5:$C$500,$A51,'LANÇAMENTOS DIÁRIOS'!$O$5:$O$500,"&lt;=103999",'LANÇAMENTOS DIÁRIOS'!$P$5:$P$500,"&gt;=103900")&gt;0,"X","")</f>
      </c>
      <c r="AK51" s="56" t="str">
        <f>IF(COUNTIFS('LANÇAMENTOS DIÁRIOS'!$G$5:$G$500,"D",'LANÇAMENTOS DIÁRIOS'!$C$5:$C$500,$A51,'LANÇAMENTOS DIÁRIOS'!$O$5:$O$500,"&lt;=104099",'LANÇAMENTOS DIÁRIOS'!$P$5:$P$500,"&gt;=104000")&gt;0,"X","")</f>
      </c>
      <c r="AL51" s="56" t="str">
        <f>IF(COUNTIFS('LANÇAMENTOS DIÁRIOS'!$G$5:$G$500,"D",'LANÇAMENTOS DIÁRIOS'!$C$5:$C$500,$A51,'LANÇAMENTOS DIÁRIOS'!$O$5:$O$500,"&lt;=104199",'LANÇAMENTOS DIÁRIOS'!$P$5:$P$500,"&gt;=104100")&gt;0,"X","")</f>
      </c>
      <c r="AM51" s="56" t="str">
        <f>IF(COUNTIFS('LANÇAMENTOS DIÁRIOS'!$G$5:$G$500,"D",'LANÇAMENTOS DIÁRIOS'!$C$5:$C$500,$A51,'LANÇAMENTOS DIÁRIOS'!$O$5:$O$500,"&lt;=104299",'LANÇAMENTOS DIÁRIOS'!$P$5:$P$500,"&gt;=104200")&gt;0,"X","")</f>
      </c>
      <c r="AN51" s="56" t="str">
        <f>IF(COUNTIFS('LANÇAMENTOS DIÁRIOS'!$G$5:$G$500,"D",'LANÇAMENTOS DIÁRIOS'!$C$5:$C$500,$A51,'LANÇAMENTOS DIÁRIOS'!$O$5:$O$500,"&lt;=104399",'LANÇAMENTOS DIÁRIOS'!$P$5:$P$500,"&gt;=104300")&gt;0,"X","")</f>
      </c>
      <c r="AO51" s="56" t="str">
        <f>IF(COUNTIFS('LANÇAMENTOS DIÁRIOS'!$G$5:$G$500,"D",'LANÇAMENTOS DIÁRIOS'!$C$5:$C$500,$A51,'LANÇAMENTOS DIÁRIOS'!$O$5:$O$500,"&lt;=104499",'LANÇAMENTOS DIÁRIOS'!$P$5:$P$500,"&gt;=104400")&gt;0,"X","")</f>
      </c>
      <c r="AP51" s="56" t="str">
        <f>IF(COUNTIFS('LANÇAMENTOS DIÁRIOS'!$G$5:$G$500,"D",'LANÇAMENTOS DIÁRIOS'!$C$5:$C$500,$A51,'LANÇAMENTOS DIÁRIOS'!$O$5:$O$500,"&lt;=104599",'LANÇAMENTOS DIÁRIOS'!$P$5:$P$500,"&gt;=104500")&gt;0,"X","")</f>
      </c>
      <c r="AQ51" s="56" t="str">
        <f>IF(COUNTIFS('LANÇAMENTOS DIÁRIOS'!$G$5:$G$500,"D",'LANÇAMENTOS DIÁRIOS'!$C$5:$C$500,$A51,'LANÇAMENTOS DIÁRIOS'!$O$5:$O$500,"&lt;=104699",'LANÇAMENTOS DIÁRIOS'!$P$5:$P$500,"&gt;=104600")&gt;0,"X","")</f>
      </c>
      <c r="AR51" s="56" t="str">
        <f>IF(COUNTIFS('LANÇAMENTOS DIÁRIOS'!$G$5:$G$500,"D",'LANÇAMENTOS DIÁRIOS'!$C$5:$C$500,$A51,'LANÇAMENTOS DIÁRIOS'!$O$5:$O$500,"&lt;=104799",'LANÇAMENTOS DIÁRIOS'!$P$5:$P$500,"&gt;=104700")&gt;0,"X","")</f>
      </c>
      <c r="AS51" s="56" t="str">
        <f>IF(COUNTIFS('LANÇAMENTOS DIÁRIOS'!$G$5:$G$500,"D",'LANÇAMENTOS DIÁRIOS'!$C$5:$C$500,$A51,'LANÇAMENTOS DIÁRIOS'!$O$5:$O$500,"&lt;=104899",'LANÇAMENTOS DIÁRIOS'!$P$5:$P$500,"&gt;=104800")&gt;0,"X","")</f>
      </c>
      <c r="AT51" s="56" t="str">
        <f>IF(COUNTIFS('LANÇAMENTOS DIÁRIOS'!$G$5:$G$500,"D",'LANÇAMENTOS DIÁRIOS'!$C$5:$C$500,$A51,'LANÇAMENTOS DIÁRIOS'!$O$5:$O$500,"&lt;=104999",'LANÇAMENTOS DIÁRIOS'!$P$5:$P$500,"&gt;=104900")&gt;0,"X","")</f>
      </c>
      <c r="AU51" s="56" t="str">
        <f>IF(COUNTIFS('LANÇAMENTOS DIÁRIOS'!$G$5:$G$500,"D",'LANÇAMENTOS DIÁRIOS'!$C$5:$C$500,$A51,'LANÇAMENTOS DIÁRIOS'!$O$5:$O$500,"&lt;=105099",'LANÇAMENTOS DIÁRIOS'!$P$5:$P$500,"&gt;=105000")&gt;0,"X","")</f>
      </c>
      <c r="AV51" s="56" t="str">
        <f>IF(COUNTIFS('LANÇAMENTOS DIÁRIOS'!$G$5:$G$500,"D",'LANÇAMENTOS DIÁRIOS'!$C$5:$C$500,$A51,'LANÇAMENTOS DIÁRIOS'!$O$5:$O$500,"&lt;=105199",'LANÇAMENTOS DIÁRIOS'!$P$5:$P$500,"&gt;=105100")&gt;0,"X","")</f>
      </c>
      <c r="AW51" s="56" t="str">
        <f>IF(COUNTIFS('LANÇAMENTOS DIÁRIOS'!$G$5:$G$500,"D",'LANÇAMENTOS DIÁRIOS'!$C$5:$C$500,$A51,'LANÇAMENTOS DIÁRIOS'!$O$5:$O$500,"&lt;=105299",'LANÇAMENTOS DIÁRIOS'!$P$5:$P$500,"&gt;=105200")&gt;0,"X","")</f>
      </c>
      <c r="AX51" s="56" t="str">
        <f>IF(COUNTIFS('LANÇAMENTOS DIÁRIOS'!$G$5:$G$500,"D",'LANÇAMENTOS DIÁRIOS'!$C$5:$C$500,$A51,'LANÇAMENTOS DIÁRIOS'!$O$5:$O$500,"&lt;=105399",'LANÇAMENTOS DIÁRIOS'!$P$5:$P$500,"&gt;=105300")&gt;0,"X","")</f>
      </c>
      <c r="AY51" s="56" t="str">
        <f>IF(COUNTIFS('LANÇAMENTOS DIÁRIOS'!$G$5:$G$500,"D",'LANÇAMENTOS DIÁRIOS'!$C$5:$C$500,$A51,'LANÇAMENTOS DIÁRIOS'!$O$5:$O$500,"&lt;=105499",'LANÇAMENTOS DIÁRIOS'!$P$5:$P$500,"&gt;=105400")&gt;0,"X","")</f>
      </c>
      <c r="AZ51" s="56" t="str">
        <f>IF(COUNTIFS('LANÇAMENTOS DIÁRIOS'!$G$5:$G$500,"D",'LANÇAMENTOS DIÁRIOS'!$C$5:$C$500,$A51,'LANÇAMENTOS DIÁRIOS'!$O$5:$O$500,"&lt;=105500",'LANÇAMENTOS DIÁRIOS'!$P$5:$P$500,"&gt;=105500")&gt;0,"X","")</f>
      </c>
    </row>
    <row r="52">
      <c r="A52" s="51" t="str">
        <v>Fundação / reaterro com areia média a grossa</v>
      </c>
      <c r="B52" s="56" t="str">
        <f>IF(COUNTIFS('LANÇAMENTOS DIÁRIOS'!$G$5:$G$500,"D",'LANÇAMENTOS DIÁRIOS'!$C$5:$C$500,$A52,'LANÇAMENTOS DIÁRIOS'!$O$5:$O$500,"&lt;=100599",'LANÇAMENTOS DIÁRIOS'!$P$5:$P$500,"&gt;=100500")&gt;0,"X","")</f>
      </c>
      <c r="C52" s="56" t="str">
        <f>IF(COUNTIFS('LANÇAMENTOS DIÁRIOS'!$G$5:$G$500,"D",'LANÇAMENTOS DIÁRIOS'!$C$5:$C$500,$A52,'LANÇAMENTOS DIÁRIOS'!$O$5:$O$500,"&lt;=100699",'LANÇAMENTOS DIÁRIOS'!$P$5:$P$500,"&gt;=100600")&gt;0,"X","")</f>
      </c>
      <c r="D52" s="56" t="str">
        <f>IF(COUNTIFS('LANÇAMENTOS DIÁRIOS'!$G$5:$G$500,"D",'LANÇAMENTOS DIÁRIOS'!$C$5:$C$500,$A52,'LANÇAMENTOS DIÁRIOS'!$O$5:$O$500,"&lt;=100799",'LANÇAMENTOS DIÁRIOS'!$P$5:$P$500,"&gt;=100700")&gt;0,"X","")</f>
      </c>
      <c r="E52" s="56" t="str">
        <f>IF(COUNTIFS('LANÇAMENTOS DIÁRIOS'!$G$5:$G$500,"D",'LANÇAMENTOS DIÁRIOS'!$C$5:$C$500,$A52,'LANÇAMENTOS DIÁRIOS'!$O$5:$O$500,"&lt;=100899",'LANÇAMENTOS DIÁRIOS'!$P$5:$P$500,"&gt;=100800")&gt;0,"X","")</f>
      </c>
      <c r="F52" s="56" t="str">
        <f>IF(COUNTIFS('LANÇAMENTOS DIÁRIOS'!$G$5:$G$500,"D",'LANÇAMENTOS DIÁRIOS'!$C$5:$C$500,$A52,'LANÇAMENTOS DIÁRIOS'!$O$5:$O$500,"&lt;=100999",'LANÇAMENTOS DIÁRIOS'!$P$5:$P$500,"&gt;=100900")&gt;0,"X","")</f>
      </c>
      <c r="G52" s="56" t="str">
        <f>IF(COUNTIFS('LANÇAMENTOS DIÁRIOS'!$G$5:$G$500,"D",'LANÇAMENTOS DIÁRIOS'!$C$5:$C$500,$A52,'LANÇAMENTOS DIÁRIOS'!$O$5:$O$500,"&lt;=101099",'LANÇAMENTOS DIÁRIOS'!$P$5:$P$500,"&gt;=101000")&gt;0,"X","")</f>
      </c>
      <c r="H52" s="56" t="str">
        <f>IF(COUNTIFS('LANÇAMENTOS DIÁRIOS'!$G$5:$G$500,"D",'LANÇAMENTOS DIÁRIOS'!$C$5:$C$500,$A52,'LANÇAMENTOS DIÁRIOS'!$O$5:$O$500,"&lt;=101199",'LANÇAMENTOS DIÁRIOS'!$P$5:$P$500,"&gt;=101100")&gt;0,"X","")</f>
      </c>
      <c r="I52" s="56" t="str">
        <f>IF(COUNTIFS('LANÇAMENTOS DIÁRIOS'!$G$5:$G$500,"D",'LANÇAMENTOS DIÁRIOS'!$C$5:$C$500,$A52,'LANÇAMENTOS DIÁRIOS'!$O$5:$O$500,"&lt;=101299",'LANÇAMENTOS DIÁRIOS'!$P$5:$P$500,"&gt;=101200")&gt;0,"X","")</f>
      </c>
      <c r="J52" s="56" t="str">
        <f>IF(COUNTIFS('LANÇAMENTOS DIÁRIOS'!$G$5:$G$500,"D",'LANÇAMENTOS DIÁRIOS'!$C$5:$C$500,$A52,'LANÇAMENTOS DIÁRIOS'!$O$5:$O$500,"&lt;=101399",'LANÇAMENTOS DIÁRIOS'!$P$5:$P$500,"&gt;=101300")&gt;0,"X","")</f>
      </c>
      <c r="K52" s="56" t="str">
        <f>IF(COUNTIFS('LANÇAMENTOS DIÁRIOS'!$G$5:$G$500,"D",'LANÇAMENTOS DIÁRIOS'!$C$5:$C$500,$A52,'LANÇAMENTOS DIÁRIOS'!$O$5:$O$500,"&lt;=101499",'LANÇAMENTOS DIÁRIOS'!$P$5:$P$500,"&gt;=101400")&gt;0,"X","")</f>
      </c>
      <c r="L52" s="56" t="str">
        <f>IF(COUNTIFS('LANÇAMENTOS DIÁRIOS'!$G$5:$G$500,"D",'LANÇAMENTOS DIÁRIOS'!$C$5:$C$500,$A52,'LANÇAMENTOS DIÁRIOS'!$O$5:$O$500,"&lt;=101599",'LANÇAMENTOS DIÁRIOS'!$P$5:$P$500,"&gt;=101500")&gt;0,"X","")</f>
      </c>
      <c r="M52" s="56" t="str">
        <f>IF(COUNTIFS('LANÇAMENTOS DIÁRIOS'!$G$5:$G$500,"D",'LANÇAMENTOS DIÁRIOS'!$C$5:$C$500,$A52,'LANÇAMENTOS DIÁRIOS'!$O$5:$O$500,"&lt;=101699",'LANÇAMENTOS DIÁRIOS'!$P$5:$P$500,"&gt;=101600")&gt;0,"X","")</f>
      </c>
      <c r="N52" s="56" t="str">
        <f>IF(COUNTIFS('LANÇAMENTOS DIÁRIOS'!$G$5:$G$500,"D",'LANÇAMENTOS DIÁRIOS'!$C$5:$C$500,$A52,'LANÇAMENTOS DIÁRIOS'!$O$5:$O$500,"&lt;=101799",'LANÇAMENTOS DIÁRIOS'!$P$5:$P$500,"&gt;=101700")&gt;0,"X","")</f>
      </c>
      <c r="O52" s="56" t="str">
        <f>IF(COUNTIFS('LANÇAMENTOS DIÁRIOS'!$G$5:$G$500,"D",'LANÇAMENTOS DIÁRIOS'!$C$5:$C$500,$A52,'LANÇAMENTOS DIÁRIOS'!$O$5:$O$500,"&lt;=101899",'LANÇAMENTOS DIÁRIOS'!$P$5:$P$500,"&gt;=101800")&gt;0,"X","")</f>
      </c>
      <c r="P52" s="56" t="str">
        <f>IF(COUNTIFS('LANÇAMENTOS DIÁRIOS'!$G$5:$G$500,"D",'LANÇAMENTOS DIÁRIOS'!$C$5:$C$500,$A52,'LANÇAMENTOS DIÁRIOS'!$O$5:$O$500,"&lt;=101999",'LANÇAMENTOS DIÁRIOS'!$P$5:$P$500,"&gt;=101900")&gt;0,"X","")</f>
      </c>
      <c r="Q52" s="56" t="str">
        <f>IF(COUNTIFS('LANÇAMENTOS DIÁRIOS'!$G$5:$G$500,"D",'LANÇAMENTOS DIÁRIOS'!$C$5:$C$500,$A52,'LANÇAMENTOS DIÁRIOS'!$O$5:$O$500,"&lt;=102099",'LANÇAMENTOS DIÁRIOS'!$P$5:$P$500,"&gt;=102000")&gt;0,"X","")</f>
      </c>
      <c r="R52" s="56" t="str">
        <f>IF(COUNTIFS('LANÇAMENTOS DIÁRIOS'!$G$5:$G$500,"D",'LANÇAMENTOS DIÁRIOS'!$C$5:$C$500,$A52,'LANÇAMENTOS DIÁRIOS'!$O$5:$O$500,"&lt;=102199",'LANÇAMENTOS DIÁRIOS'!$P$5:$P$500,"&gt;=102100")&gt;0,"X","")</f>
      </c>
      <c r="S52" s="56" t="str">
        <f>IF(COUNTIFS('LANÇAMENTOS DIÁRIOS'!$G$5:$G$500,"D",'LANÇAMENTOS DIÁRIOS'!$C$5:$C$500,$A52,'LANÇAMENTOS DIÁRIOS'!$O$5:$O$500,"&lt;=102299",'LANÇAMENTOS DIÁRIOS'!$P$5:$P$500,"&gt;=102200")&gt;0,"X","")</f>
      </c>
      <c r="T52" s="56" t="str">
        <f>IF(COUNTIFS('LANÇAMENTOS DIÁRIOS'!$G$5:$G$500,"D",'LANÇAMENTOS DIÁRIOS'!$C$5:$C$500,$A52,'LANÇAMENTOS DIÁRIOS'!$O$5:$O$500,"&lt;=102399",'LANÇAMENTOS DIÁRIOS'!$P$5:$P$500,"&gt;=102300")&gt;0,"X","")</f>
      </c>
      <c r="U52" s="56" t="str">
        <f>IF(COUNTIFS('LANÇAMENTOS DIÁRIOS'!$G$5:$G$500,"D",'LANÇAMENTOS DIÁRIOS'!$C$5:$C$500,$A52,'LANÇAMENTOS DIÁRIOS'!$O$5:$O$500,"&lt;=102499",'LANÇAMENTOS DIÁRIOS'!$P$5:$P$500,"&gt;=102400")&gt;0,"X","")</f>
      </c>
      <c r="V52" s="56" t="str">
        <f>IF(COUNTIFS('LANÇAMENTOS DIÁRIOS'!$G$5:$G$500,"D",'LANÇAMENTOS DIÁRIOS'!$C$5:$C$500,$A52,'LANÇAMENTOS DIÁRIOS'!$O$5:$O$500,"&lt;=102599",'LANÇAMENTOS DIÁRIOS'!$P$5:$P$500,"&gt;=102500")&gt;0,"X","")</f>
      </c>
      <c r="W52" s="56" t="str">
        <f>IF(COUNTIFS('LANÇAMENTOS DIÁRIOS'!$G$5:$G$500,"D",'LANÇAMENTOS DIÁRIOS'!$C$5:$C$500,$A52,'LANÇAMENTOS DIÁRIOS'!$O$5:$O$500,"&lt;=102699",'LANÇAMENTOS DIÁRIOS'!$P$5:$P$500,"&gt;=102600")&gt;0,"X","")</f>
      </c>
      <c r="X52" s="56" t="str">
        <f>IF(COUNTIFS('LANÇAMENTOS DIÁRIOS'!$G$5:$G$500,"D",'LANÇAMENTOS DIÁRIOS'!$C$5:$C$500,$A52,'LANÇAMENTOS DIÁRIOS'!$O$5:$O$500,"&lt;=102799",'LANÇAMENTOS DIÁRIOS'!$P$5:$P$500,"&gt;=102700")&gt;0,"X","")</f>
      </c>
      <c r="Y52" s="56" t="str">
        <f>IF(COUNTIFS('LANÇAMENTOS DIÁRIOS'!$G$5:$G$500,"D",'LANÇAMENTOS DIÁRIOS'!$C$5:$C$500,$A52,'LANÇAMENTOS DIÁRIOS'!$O$5:$O$500,"&lt;=102899",'LANÇAMENTOS DIÁRIOS'!$P$5:$P$500,"&gt;=102800")&gt;0,"X","")</f>
      </c>
      <c r="Z52" s="56" t="str">
        <f>IF(COUNTIFS('LANÇAMENTOS DIÁRIOS'!$G$5:$G$500,"D",'LANÇAMENTOS DIÁRIOS'!$C$5:$C$500,$A52,'LANÇAMENTOS DIÁRIOS'!$O$5:$O$500,"&lt;=102999",'LANÇAMENTOS DIÁRIOS'!$P$5:$P$500,"&gt;=102900")&gt;0,"X","")</f>
      </c>
      <c r="AA52" s="56" t="str">
        <f>IF(COUNTIFS('LANÇAMENTOS DIÁRIOS'!$G$5:$G$500,"D",'LANÇAMENTOS DIÁRIOS'!$C$5:$C$500,$A52,'LANÇAMENTOS DIÁRIOS'!$O$5:$O$500,"&lt;=103099",'LANÇAMENTOS DIÁRIOS'!$P$5:$P$500,"&gt;=103000")&gt;0,"X","")</f>
      </c>
      <c r="AB52" s="56" t="str">
        <f>IF(COUNTIFS('LANÇAMENTOS DIÁRIOS'!$G$5:$G$500,"D",'LANÇAMENTOS DIÁRIOS'!$C$5:$C$500,$A52,'LANÇAMENTOS DIÁRIOS'!$O$5:$O$500,"&lt;=103199",'LANÇAMENTOS DIÁRIOS'!$P$5:$P$500,"&gt;=103100")&gt;0,"X","")</f>
      </c>
      <c r="AC52" s="56" t="str">
        <f>IF(COUNTIFS('LANÇAMENTOS DIÁRIOS'!$G$5:$G$500,"D",'LANÇAMENTOS DIÁRIOS'!$C$5:$C$500,$A52,'LANÇAMENTOS DIÁRIOS'!$O$5:$O$500,"&lt;=103299",'LANÇAMENTOS DIÁRIOS'!$P$5:$P$500,"&gt;=103200")&gt;0,"X","")</f>
      </c>
      <c r="AD52" s="56" t="str">
        <f>IF(COUNTIFS('LANÇAMENTOS DIÁRIOS'!$G$5:$G$500,"D",'LANÇAMENTOS DIÁRIOS'!$C$5:$C$500,$A52,'LANÇAMENTOS DIÁRIOS'!$O$5:$O$500,"&lt;=103399",'LANÇAMENTOS DIÁRIOS'!$P$5:$P$500,"&gt;=103300")&gt;0,"X","")</f>
      </c>
      <c r="AE52" s="56" t="str">
        <f>IF(COUNTIFS('LANÇAMENTOS DIÁRIOS'!$G$5:$G$500,"D",'LANÇAMENTOS DIÁRIOS'!$C$5:$C$500,$A52,'LANÇAMENTOS DIÁRIOS'!$O$5:$O$500,"&lt;=103499",'LANÇAMENTOS DIÁRIOS'!$P$5:$P$500,"&gt;=103400")&gt;0,"X","")</f>
      </c>
      <c r="AF52" s="56" t="str">
        <f>IF(COUNTIFS('LANÇAMENTOS DIÁRIOS'!$G$5:$G$500,"D",'LANÇAMENTOS DIÁRIOS'!$C$5:$C$500,$A52,'LANÇAMENTOS DIÁRIOS'!$O$5:$O$500,"&lt;=103599",'LANÇAMENTOS DIÁRIOS'!$P$5:$P$500,"&gt;=103500")&gt;0,"X","")</f>
      </c>
      <c r="AG52" s="56" t="str">
        <f>IF(COUNTIFS('LANÇAMENTOS DIÁRIOS'!$G$5:$G$500,"D",'LANÇAMENTOS DIÁRIOS'!$C$5:$C$500,$A52,'LANÇAMENTOS DIÁRIOS'!$O$5:$O$500,"&lt;=103699",'LANÇAMENTOS DIÁRIOS'!$P$5:$P$500,"&gt;=103600")&gt;0,"X","")</f>
      </c>
      <c r="AH52" s="56" t="str">
        <f>IF(COUNTIFS('LANÇAMENTOS DIÁRIOS'!$G$5:$G$500,"D",'LANÇAMENTOS DIÁRIOS'!$C$5:$C$500,$A52,'LANÇAMENTOS DIÁRIOS'!$O$5:$O$500,"&lt;=103799",'LANÇAMENTOS DIÁRIOS'!$P$5:$P$500,"&gt;=103700")&gt;0,"X","")</f>
      </c>
      <c r="AI52" s="56" t="str">
        <f>IF(COUNTIFS('LANÇAMENTOS DIÁRIOS'!$G$5:$G$500,"D",'LANÇAMENTOS DIÁRIOS'!$C$5:$C$500,$A52,'LANÇAMENTOS DIÁRIOS'!$O$5:$O$500,"&lt;=103899",'LANÇAMENTOS DIÁRIOS'!$P$5:$P$500,"&gt;=103800")&gt;0,"X","")</f>
      </c>
      <c r="AJ52" s="56" t="str">
        <f>IF(COUNTIFS('LANÇAMENTOS DIÁRIOS'!$G$5:$G$500,"D",'LANÇAMENTOS DIÁRIOS'!$C$5:$C$500,$A52,'LANÇAMENTOS DIÁRIOS'!$O$5:$O$500,"&lt;=103999",'LANÇAMENTOS DIÁRIOS'!$P$5:$P$500,"&gt;=103900")&gt;0,"X","")</f>
      </c>
      <c r="AK52" s="56" t="str">
        <f>IF(COUNTIFS('LANÇAMENTOS DIÁRIOS'!$G$5:$G$500,"D",'LANÇAMENTOS DIÁRIOS'!$C$5:$C$500,$A52,'LANÇAMENTOS DIÁRIOS'!$O$5:$O$500,"&lt;=104099",'LANÇAMENTOS DIÁRIOS'!$P$5:$P$500,"&gt;=104000")&gt;0,"X","")</f>
      </c>
      <c r="AL52" s="56" t="str">
        <f>IF(COUNTIFS('LANÇAMENTOS DIÁRIOS'!$G$5:$G$500,"D",'LANÇAMENTOS DIÁRIOS'!$C$5:$C$500,$A52,'LANÇAMENTOS DIÁRIOS'!$O$5:$O$500,"&lt;=104199",'LANÇAMENTOS DIÁRIOS'!$P$5:$P$500,"&gt;=104100")&gt;0,"X","")</f>
      </c>
      <c r="AM52" s="56" t="str">
        <f>IF(COUNTIFS('LANÇAMENTOS DIÁRIOS'!$G$5:$G$500,"D",'LANÇAMENTOS DIÁRIOS'!$C$5:$C$500,$A52,'LANÇAMENTOS DIÁRIOS'!$O$5:$O$500,"&lt;=104299",'LANÇAMENTOS DIÁRIOS'!$P$5:$P$500,"&gt;=104200")&gt;0,"X","")</f>
      </c>
      <c r="AN52" s="56" t="str">
        <f>IF(COUNTIFS('LANÇAMENTOS DIÁRIOS'!$G$5:$G$500,"D",'LANÇAMENTOS DIÁRIOS'!$C$5:$C$500,$A52,'LANÇAMENTOS DIÁRIOS'!$O$5:$O$500,"&lt;=104399",'LANÇAMENTOS DIÁRIOS'!$P$5:$P$500,"&gt;=104300")&gt;0,"X","")</f>
      </c>
      <c r="AO52" s="56" t="str">
        <f>IF(COUNTIFS('LANÇAMENTOS DIÁRIOS'!$G$5:$G$500,"D",'LANÇAMENTOS DIÁRIOS'!$C$5:$C$500,$A52,'LANÇAMENTOS DIÁRIOS'!$O$5:$O$500,"&lt;=104499",'LANÇAMENTOS DIÁRIOS'!$P$5:$P$500,"&gt;=104400")&gt;0,"X","")</f>
      </c>
      <c r="AP52" s="56" t="str">
        <f>IF(COUNTIFS('LANÇAMENTOS DIÁRIOS'!$G$5:$G$500,"D",'LANÇAMENTOS DIÁRIOS'!$C$5:$C$500,$A52,'LANÇAMENTOS DIÁRIOS'!$O$5:$O$500,"&lt;=104599",'LANÇAMENTOS DIÁRIOS'!$P$5:$P$500,"&gt;=104500")&gt;0,"X","")</f>
      </c>
      <c r="AQ52" s="56" t="str">
        <f>IF(COUNTIFS('LANÇAMENTOS DIÁRIOS'!$G$5:$G$500,"D",'LANÇAMENTOS DIÁRIOS'!$C$5:$C$500,$A52,'LANÇAMENTOS DIÁRIOS'!$O$5:$O$500,"&lt;=104699",'LANÇAMENTOS DIÁRIOS'!$P$5:$P$500,"&gt;=104600")&gt;0,"X","")</f>
      </c>
      <c r="AR52" s="56" t="str">
        <f>IF(COUNTIFS('LANÇAMENTOS DIÁRIOS'!$G$5:$G$500,"D",'LANÇAMENTOS DIÁRIOS'!$C$5:$C$500,$A52,'LANÇAMENTOS DIÁRIOS'!$O$5:$O$500,"&lt;=104799",'LANÇAMENTOS DIÁRIOS'!$P$5:$P$500,"&gt;=104700")&gt;0,"X","")</f>
      </c>
      <c r="AS52" s="56" t="str">
        <f>IF(COUNTIFS('LANÇAMENTOS DIÁRIOS'!$G$5:$G$500,"D",'LANÇAMENTOS DIÁRIOS'!$C$5:$C$500,$A52,'LANÇAMENTOS DIÁRIOS'!$O$5:$O$500,"&lt;=104899",'LANÇAMENTOS DIÁRIOS'!$P$5:$P$500,"&gt;=104800")&gt;0,"X","")</f>
      </c>
      <c r="AT52" s="56" t="str">
        <f>IF(COUNTIFS('LANÇAMENTOS DIÁRIOS'!$G$5:$G$500,"D",'LANÇAMENTOS DIÁRIOS'!$C$5:$C$500,$A52,'LANÇAMENTOS DIÁRIOS'!$O$5:$O$500,"&lt;=104999",'LANÇAMENTOS DIÁRIOS'!$P$5:$P$500,"&gt;=104900")&gt;0,"X","")</f>
      </c>
      <c r="AU52" s="56" t="str">
        <f>IF(COUNTIFS('LANÇAMENTOS DIÁRIOS'!$G$5:$G$500,"D",'LANÇAMENTOS DIÁRIOS'!$C$5:$C$500,$A52,'LANÇAMENTOS DIÁRIOS'!$O$5:$O$500,"&lt;=105099",'LANÇAMENTOS DIÁRIOS'!$P$5:$P$500,"&gt;=105000")&gt;0,"X","")</f>
      </c>
      <c r="AV52" s="56" t="str">
        <f>IF(COUNTIFS('LANÇAMENTOS DIÁRIOS'!$G$5:$G$500,"D",'LANÇAMENTOS DIÁRIOS'!$C$5:$C$500,$A52,'LANÇAMENTOS DIÁRIOS'!$O$5:$O$500,"&lt;=105199",'LANÇAMENTOS DIÁRIOS'!$P$5:$P$500,"&gt;=105100")&gt;0,"X","")</f>
      </c>
      <c r="AW52" s="56" t="str">
        <f>IF(COUNTIFS('LANÇAMENTOS DIÁRIOS'!$G$5:$G$500,"D",'LANÇAMENTOS DIÁRIOS'!$C$5:$C$500,$A52,'LANÇAMENTOS DIÁRIOS'!$O$5:$O$500,"&lt;=105299",'LANÇAMENTOS DIÁRIOS'!$P$5:$P$500,"&gt;=105200")&gt;0,"X","")</f>
      </c>
      <c r="AX52" s="56" t="str">
        <f>IF(COUNTIFS('LANÇAMENTOS DIÁRIOS'!$G$5:$G$500,"D",'LANÇAMENTOS DIÁRIOS'!$C$5:$C$500,$A52,'LANÇAMENTOS DIÁRIOS'!$O$5:$O$500,"&lt;=105399",'LANÇAMENTOS DIÁRIOS'!$P$5:$P$500,"&gt;=105300")&gt;0,"X","")</f>
      </c>
      <c r="AY52" s="56" t="str">
        <f>IF(COUNTIFS('LANÇAMENTOS DIÁRIOS'!$G$5:$G$500,"D",'LANÇAMENTOS DIÁRIOS'!$C$5:$C$500,$A52,'LANÇAMENTOS DIÁRIOS'!$O$5:$O$500,"&lt;=105499",'LANÇAMENTOS DIÁRIOS'!$P$5:$P$500,"&gt;=105400")&gt;0,"X","")</f>
      </c>
      <c r="AZ52" s="56" t="str">
        <f>IF(COUNTIFS('LANÇAMENTOS DIÁRIOS'!$G$5:$G$500,"D",'LANÇAMENTOS DIÁRIOS'!$C$5:$C$500,$A52,'LANÇAMENTOS DIÁRIOS'!$O$5:$O$500,"&lt;=105500",'LANÇAMENTOS DIÁRIOS'!$P$5:$P$500,"&gt;=105500")&gt;0,"X","")</f>
      </c>
    </row>
    <row r="53">
      <c r="A53" s="51" t="str">
        <v>Fundação / reaterro com brita graduada simples/pedrisco</v>
      </c>
      <c r="B53" s="56" t="str">
        <f>IF(COUNTIFS('LANÇAMENTOS DIÁRIOS'!$G$5:$G$500,"D",'LANÇAMENTOS DIÁRIOS'!$C$5:$C$500,$A53,'LANÇAMENTOS DIÁRIOS'!$O$5:$O$500,"&lt;=100599",'LANÇAMENTOS DIÁRIOS'!$P$5:$P$500,"&gt;=100500")&gt;0,"X","")</f>
      </c>
      <c r="C53" s="56" t="str">
        <f>IF(COUNTIFS('LANÇAMENTOS DIÁRIOS'!$G$5:$G$500,"D",'LANÇAMENTOS DIÁRIOS'!$C$5:$C$500,$A53,'LANÇAMENTOS DIÁRIOS'!$O$5:$O$500,"&lt;=100699",'LANÇAMENTOS DIÁRIOS'!$P$5:$P$500,"&gt;=100600")&gt;0,"X","")</f>
      </c>
      <c r="D53" s="56" t="str">
        <f>IF(COUNTIFS('LANÇAMENTOS DIÁRIOS'!$G$5:$G$500,"D",'LANÇAMENTOS DIÁRIOS'!$C$5:$C$500,$A53,'LANÇAMENTOS DIÁRIOS'!$O$5:$O$500,"&lt;=100799",'LANÇAMENTOS DIÁRIOS'!$P$5:$P$500,"&gt;=100700")&gt;0,"X","")</f>
      </c>
      <c r="E53" s="56" t="str">
        <f>IF(COUNTIFS('LANÇAMENTOS DIÁRIOS'!$G$5:$G$500,"D",'LANÇAMENTOS DIÁRIOS'!$C$5:$C$500,$A53,'LANÇAMENTOS DIÁRIOS'!$O$5:$O$500,"&lt;=100899",'LANÇAMENTOS DIÁRIOS'!$P$5:$P$500,"&gt;=100800")&gt;0,"X","")</f>
      </c>
      <c r="F53" s="56" t="str">
        <f>IF(COUNTIFS('LANÇAMENTOS DIÁRIOS'!$G$5:$G$500,"D",'LANÇAMENTOS DIÁRIOS'!$C$5:$C$500,$A53,'LANÇAMENTOS DIÁRIOS'!$O$5:$O$500,"&lt;=100999",'LANÇAMENTOS DIÁRIOS'!$P$5:$P$500,"&gt;=100900")&gt;0,"X","")</f>
      </c>
      <c r="G53" s="56" t="str">
        <f>IF(COUNTIFS('LANÇAMENTOS DIÁRIOS'!$G$5:$G$500,"D",'LANÇAMENTOS DIÁRIOS'!$C$5:$C$500,$A53,'LANÇAMENTOS DIÁRIOS'!$O$5:$O$500,"&lt;=101099",'LANÇAMENTOS DIÁRIOS'!$P$5:$P$500,"&gt;=101000")&gt;0,"X","")</f>
      </c>
      <c r="H53" s="56" t="str">
        <f>IF(COUNTIFS('LANÇAMENTOS DIÁRIOS'!$G$5:$G$500,"D",'LANÇAMENTOS DIÁRIOS'!$C$5:$C$500,$A53,'LANÇAMENTOS DIÁRIOS'!$O$5:$O$500,"&lt;=101199",'LANÇAMENTOS DIÁRIOS'!$P$5:$P$500,"&gt;=101100")&gt;0,"X","")</f>
      </c>
      <c r="I53" s="56" t="str">
        <f>IF(COUNTIFS('LANÇAMENTOS DIÁRIOS'!$G$5:$G$500,"D",'LANÇAMENTOS DIÁRIOS'!$C$5:$C$500,$A53,'LANÇAMENTOS DIÁRIOS'!$O$5:$O$500,"&lt;=101299",'LANÇAMENTOS DIÁRIOS'!$P$5:$P$500,"&gt;=101200")&gt;0,"X","")</f>
      </c>
      <c r="J53" s="56" t="str">
        <f>IF(COUNTIFS('LANÇAMENTOS DIÁRIOS'!$G$5:$G$500,"D",'LANÇAMENTOS DIÁRIOS'!$C$5:$C$500,$A53,'LANÇAMENTOS DIÁRIOS'!$O$5:$O$500,"&lt;=101399",'LANÇAMENTOS DIÁRIOS'!$P$5:$P$500,"&gt;=101300")&gt;0,"X","")</f>
      </c>
      <c r="K53" s="56" t="str">
        <f>IF(COUNTIFS('LANÇAMENTOS DIÁRIOS'!$G$5:$G$500,"D",'LANÇAMENTOS DIÁRIOS'!$C$5:$C$500,$A53,'LANÇAMENTOS DIÁRIOS'!$O$5:$O$500,"&lt;=101499",'LANÇAMENTOS DIÁRIOS'!$P$5:$P$500,"&gt;=101400")&gt;0,"X","")</f>
      </c>
      <c r="L53" s="56" t="str">
        <f>IF(COUNTIFS('LANÇAMENTOS DIÁRIOS'!$G$5:$G$500,"D",'LANÇAMENTOS DIÁRIOS'!$C$5:$C$500,$A53,'LANÇAMENTOS DIÁRIOS'!$O$5:$O$500,"&lt;=101599",'LANÇAMENTOS DIÁRIOS'!$P$5:$P$500,"&gt;=101500")&gt;0,"X","")</f>
      </c>
      <c r="M53" s="56" t="str">
        <f>IF(COUNTIFS('LANÇAMENTOS DIÁRIOS'!$G$5:$G$500,"D",'LANÇAMENTOS DIÁRIOS'!$C$5:$C$500,$A53,'LANÇAMENTOS DIÁRIOS'!$O$5:$O$500,"&lt;=101699",'LANÇAMENTOS DIÁRIOS'!$P$5:$P$500,"&gt;=101600")&gt;0,"X","")</f>
      </c>
      <c r="N53" s="56" t="str">
        <f>IF(COUNTIFS('LANÇAMENTOS DIÁRIOS'!$G$5:$G$500,"D",'LANÇAMENTOS DIÁRIOS'!$C$5:$C$500,$A53,'LANÇAMENTOS DIÁRIOS'!$O$5:$O$500,"&lt;=101799",'LANÇAMENTOS DIÁRIOS'!$P$5:$P$500,"&gt;=101700")&gt;0,"X","")</f>
      </c>
      <c r="O53" s="56" t="str">
        <f>IF(COUNTIFS('LANÇAMENTOS DIÁRIOS'!$G$5:$G$500,"D",'LANÇAMENTOS DIÁRIOS'!$C$5:$C$500,$A53,'LANÇAMENTOS DIÁRIOS'!$O$5:$O$500,"&lt;=101899",'LANÇAMENTOS DIÁRIOS'!$P$5:$P$500,"&gt;=101800")&gt;0,"X","")</f>
      </c>
      <c r="P53" s="56" t="str">
        <f>IF(COUNTIFS('LANÇAMENTOS DIÁRIOS'!$G$5:$G$500,"D",'LANÇAMENTOS DIÁRIOS'!$C$5:$C$500,$A53,'LANÇAMENTOS DIÁRIOS'!$O$5:$O$500,"&lt;=101999",'LANÇAMENTOS DIÁRIOS'!$P$5:$P$500,"&gt;=101900")&gt;0,"X","")</f>
      </c>
      <c r="Q53" s="56" t="str">
        <f>IF(COUNTIFS('LANÇAMENTOS DIÁRIOS'!$G$5:$G$500,"D",'LANÇAMENTOS DIÁRIOS'!$C$5:$C$500,$A53,'LANÇAMENTOS DIÁRIOS'!$O$5:$O$500,"&lt;=102099",'LANÇAMENTOS DIÁRIOS'!$P$5:$P$500,"&gt;=102000")&gt;0,"X","")</f>
      </c>
      <c r="R53" s="56" t="str">
        <f>IF(COUNTIFS('LANÇAMENTOS DIÁRIOS'!$G$5:$G$500,"D",'LANÇAMENTOS DIÁRIOS'!$C$5:$C$500,$A53,'LANÇAMENTOS DIÁRIOS'!$O$5:$O$500,"&lt;=102199",'LANÇAMENTOS DIÁRIOS'!$P$5:$P$500,"&gt;=102100")&gt;0,"X","")</f>
      </c>
      <c r="S53" s="56" t="str">
        <f>IF(COUNTIFS('LANÇAMENTOS DIÁRIOS'!$G$5:$G$500,"D",'LANÇAMENTOS DIÁRIOS'!$C$5:$C$500,$A53,'LANÇAMENTOS DIÁRIOS'!$O$5:$O$500,"&lt;=102299",'LANÇAMENTOS DIÁRIOS'!$P$5:$P$500,"&gt;=102200")&gt;0,"X","")</f>
      </c>
      <c r="T53" s="56" t="str">
        <f>IF(COUNTIFS('LANÇAMENTOS DIÁRIOS'!$G$5:$G$500,"D",'LANÇAMENTOS DIÁRIOS'!$C$5:$C$500,$A53,'LANÇAMENTOS DIÁRIOS'!$O$5:$O$500,"&lt;=102399",'LANÇAMENTOS DIÁRIOS'!$P$5:$P$500,"&gt;=102300")&gt;0,"X","")</f>
      </c>
      <c r="U53" s="56" t="str">
        <f>IF(COUNTIFS('LANÇAMENTOS DIÁRIOS'!$G$5:$G$500,"D",'LANÇAMENTOS DIÁRIOS'!$C$5:$C$500,$A53,'LANÇAMENTOS DIÁRIOS'!$O$5:$O$500,"&lt;=102499",'LANÇAMENTOS DIÁRIOS'!$P$5:$P$500,"&gt;=102400")&gt;0,"X","")</f>
      </c>
      <c r="V53" s="56" t="str">
        <f>IF(COUNTIFS('LANÇAMENTOS DIÁRIOS'!$G$5:$G$500,"D",'LANÇAMENTOS DIÁRIOS'!$C$5:$C$500,$A53,'LANÇAMENTOS DIÁRIOS'!$O$5:$O$500,"&lt;=102599",'LANÇAMENTOS DIÁRIOS'!$P$5:$P$500,"&gt;=102500")&gt;0,"X","")</f>
      </c>
      <c r="W53" s="56" t="str">
        <f>IF(COUNTIFS('LANÇAMENTOS DIÁRIOS'!$G$5:$G$500,"D",'LANÇAMENTOS DIÁRIOS'!$C$5:$C$500,$A53,'LANÇAMENTOS DIÁRIOS'!$O$5:$O$500,"&lt;=102699",'LANÇAMENTOS DIÁRIOS'!$P$5:$P$500,"&gt;=102600")&gt;0,"X","")</f>
      </c>
      <c r="X53" s="56" t="str">
        <f>IF(COUNTIFS('LANÇAMENTOS DIÁRIOS'!$G$5:$G$500,"D",'LANÇAMENTOS DIÁRIOS'!$C$5:$C$500,$A53,'LANÇAMENTOS DIÁRIOS'!$O$5:$O$500,"&lt;=102799",'LANÇAMENTOS DIÁRIOS'!$P$5:$P$500,"&gt;=102700")&gt;0,"X","")</f>
      </c>
      <c r="Y53" s="56" t="str">
        <f>IF(COUNTIFS('LANÇAMENTOS DIÁRIOS'!$G$5:$G$500,"D",'LANÇAMENTOS DIÁRIOS'!$C$5:$C$500,$A53,'LANÇAMENTOS DIÁRIOS'!$O$5:$O$500,"&lt;=102899",'LANÇAMENTOS DIÁRIOS'!$P$5:$P$500,"&gt;=102800")&gt;0,"X","")</f>
      </c>
      <c r="Z53" s="56" t="str">
        <f>IF(COUNTIFS('LANÇAMENTOS DIÁRIOS'!$G$5:$G$500,"D",'LANÇAMENTOS DIÁRIOS'!$C$5:$C$500,$A53,'LANÇAMENTOS DIÁRIOS'!$O$5:$O$500,"&lt;=102999",'LANÇAMENTOS DIÁRIOS'!$P$5:$P$500,"&gt;=102900")&gt;0,"X","")</f>
      </c>
      <c r="AA53" s="56" t="str">
        <f>IF(COUNTIFS('LANÇAMENTOS DIÁRIOS'!$G$5:$G$500,"D",'LANÇAMENTOS DIÁRIOS'!$C$5:$C$500,$A53,'LANÇAMENTOS DIÁRIOS'!$O$5:$O$500,"&lt;=103099",'LANÇAMENTOS DIÁRIOS'!$P$5:$P$500,"&gt;=103000")&gt;0,"X","")</f>
      </c>
      <c r="AB53" s="56" t="str">
        <f>IF(COUNTIFS('LANÇAMENTOS DIÁRIOS'!$G$5:$G$500,"D",'LANÇAMENTOS DIÁRIOS'!$C$5:$C$500,$A53,'LANÇAMENTOS DIÁRIOS'!$O$5:$O$500,"&lt;=103199",'LANÇAMENTOS DIÁRIOS'!$P$5:$P$500,"&gt;=103100")&gt;0,"X","")</f>
      </c>
      <c r="AC53" s="56" t="str">
        <f>IF(COUNTIFS('LANÇAMENTOS DIÁRIOS'!$G$5:$G$500,"D",'LANÇAMENTOS DIÁRIOS'!$C$5:$C$500,$A53,'LANÇAMENTOS DIÁRIOS'!$O$5:$O$500,"&lt;=103299",'LANÇAMENTOS DIÁRIOS'!$P$5:$P$500,"&gt;=103200")&gt;0,"X","")</f>
      </c>
      <c r="AD53" s="56" t="str">
        <f>IF(COUNTIFS('LANÇAMENTOS DIÁRIOS'!$G$5:$G$500,"D",'LANÇAMENTOS DIÁRIOS'!$C$5:$C$500,$A53,'LANÇAMENTOS DIÁRIOS'!$O$5:$O$500,"&lt;=103399",'LANÇAMENTOS DIÁRIOS'!$P$5:$P$500,"&gt;=103300")&gt;0,"X","")</f>
      </c>
      <c r="AE53" s="56" t="str">
        <f>IF(COUNTIFS('LANÇAMENTOS DIÁRIOS'!$G$5:$G$500,"D",'LANÇAMENTOS DIÁRIOS'!$C$5:$C$500,$A53,'LANÇAMENTOS DIÁRIOS'!$O$5:$O$500,"&lt;=103499",'LANÇAMENTOS DIÁRIOS'!$P$5:$P$500,"&gt;=103400")&gt;0,"X","")</f>
      </c>
      <c r="AF53" s="56" t="str">
        <f>IF(COUNTIFS('LANÇAMENTOS DIÁRIOS'!$G$5:$G$500,"D",'LANÇAMENTOS DIÁRIOS'!$C$5:$C$500,$A53,'LANÇAMENTOS DIÁRIOS'!$O$5:$O$500,"&lt;=103599",'LANÇAMENTOS DIÁRIOS'!$P$5:$P$500,"&gt;=103500")&gt;0,"X","")</f>
      </c>
      <c r="AG53" s="56" t="str">
        <f>IF(COUNTIFS('LANÇAMENTOS DIÁRIOS'!$G$5:$G$500,"D",'LANÇAMENTOS DIÁRIOS'!$C$5:$C$500,$A53,'LANÇAMENTOS DIÁRIOS'!$O$5:$O$500,"&lt;=103699",'LANÇAMENTOS DIÁRIOS'!$P$5:$P$500,"&gt;=103600")&gt;0,"X","")</f>
      </c>
      <c r="AH53" s="56" t="str">
        <f>IF(COUNTIFS('LANÇAMENTOS DIÁRIOS'!$G$5:$G$500,"D",'LANÇAMENTOS DIÁRIOS'!$C$5:$C$500,$A53,'LANÇAMENTOS DIÁRIOS'!$O$5:$O$500,"&lt;=103799",'LANÇAMENTOS DIÁRIOS'!$P$5:$P$500,"&gt;=103700")&gt;0,"X","")</f>
      </c>
      <c r="AI53" s="56" t="str">
        <f>IF(COUNTIFS('LANÇAMENTOS DIÁRIOS'!$G$5:$G$500,"D",'LANÇAMENTOS DIÁRIOS'!$C$5:$C$500,$A53,'LANÇAMENTOS DIÁRIOS'!$O$5:$O$500,"&lt;=103899",'LANÇAMENTOS DIÁRIOS'!$P$5:$P$500,"&gt;=103800")&gt;0,"X","")</f>
      </c>
      <c r="AJ53" s="56" t="str">
        <f>IF(COUNTIFS('LANÇAMENTOS DIÁRIOS'!$G$5:$G$500,"D",'LANÇAMENTOS DIÁRIOS'!$C$5:$C$500,$A53,'LANÇAMENTOS DIÁRIOS'!$O$5:$O$500,"&lt;=103999",'LANÇAMENTOS DIÁRIOS'!$P$5:$P$500,"&gt;=103900")&gt;0,"X","")</f>
      </c>
      <c r="AK53" s="56" t="str">
        <f>IF(COUNTIFS('LANÇAMENTOS DIÁRIOS'!$G$5:$G$500,"D",'LANÇAMENTOS DIÁRIOS'!$C$5:$C$500,$A53,'LANÇAMENTOS DIÁRIOS'!$O$5:$O$500,"&lt;=104099",'LANÇAMENTOS DIÁRIOS'!$P$5:$P$500,"&gt;=104000")&gt;0,"X","")</f>
      </c>
      <c r="AL53" s="56" t="str">
        <f>IF(COUNTIFS('LANÇAMENTOS DIÁRIOS'!$G$5:$G$500,"D",'LANÇAMENTOS DIÁRIOS'!$C$5:$C$500,$A53,'LANÇAMENTOS DIÁRIOS'!$O$5:$O$500,"&lt;=104199",'LANÇAMENTOS DIÁRIOS'!$P$5:$P$500,"&gt;=104100")&gt;0,"X","")</f>
      </c>
      <c r="AM53" s="56" t="str">
        <f>IF(COUNTIFS('LANÇAMENTOS DIÁRIOS'!$G$5:$G$500,"D",'LANÇAMENTOS DIÁRIOS'!$C$5:$C$500,$A53,'LANÇAMENTOS DIÁRIOS'!$O$5:$O$500,"&lt;=104299",'LANÇAMENTOS DIÁRIOS'!$P$5:$P$500,"&gt;=104200")&gt;0,"X","")</f>
      </c>
      <c r="AN53" s="56" t="str">
        <f>IF(COUNTIFS('LANÇAMENTOS DIÁRIOS'!$G$5:$G$500,"D",'LANÇAMENTOS DIÁRIOS'!$C$5:$C$500,$A53,'LANÇAMENTOS DIÁRIOS'!$O$5:$O$500,"&lt;=104399",'LANÇAMENTOS DIÁRIOS'!$P$5:$P$500,"&gt;=104300")&gt;0,"X","")</f>
      </c>
      <c r="AO53" s="56" t="str">
        <f>IF(COUNTIFS('LANÇAMENTOS DIÁRIOS'!$G$5:$G$500,"D",'LANÇAMENTOS DIÁRIOS'!$C$5:$C$500,$A53,'LANÇAMENTOS DIÁRIOS'!$O$5:$O$500,"&lt;=104499",'LANÇAMENTOS DIÁRIOS'!$P$5:$P$500,"&gt;=104400")&gt;0,"X","")</f>
      </c>
      <c r="AP53" s="56" t="str">
        <f>IF(COUNTIFS('LANÇAMENTOS DIÁRIOS'!$G$5:$G$500,"D",'LANÇAMENTOS DIÁRIOS'!$C$5:$C$500,$A53,'LANÇAMENTOS DIÁRIOS'!$O$5:$O$500,"&lt;=104599",'LANÇAMENTOS DIÁRIOS'!$P$5:$P$500,"&gt;=104500")&gt;0,"X","")</f>
      </c>
      <c r="AQ53" s="56" t="str">
        <f>IF(COUNTIFS('LANÇAMENTOS DIÁRIOS'!$G$5:$G$500,"D",'LANÇAMENTOS DIÁRIOS'!$C$5:$C$500,$A53,'LANÇAMENTOS DIÁRIOS'!$O$5:$O$500,"&lt;=104699",'LANÇAMENTOS DIÁRIOS'!$P$5:$P$500,"&gt;=104600")&gt;0,"X","")</f>
      </c>
      <c r="AR53" s="56" t="str">
        <f>IF(COUNTIFS('LANÇAMENTOS DIÁRIOS'!$G$5:$G$500,"D",'LANÇAMENTOS DIÁRIOS'!$C$5:$C$500,$A53,'LANÇAMENTOS DIÁRIOS'!$O$5:$O$500,"&lt;=104799",'LANÇAMENTOS DIÁRIOS'!$P$5:$P$500,"&gt;=104700")&gt;0,"X","")</f>
      </c>
      <c r="AS53" s="56" t="str">
        <f>IF(COUNTIFS('LANÇAMENTOS DIÁRIOS'!$G$5:$G$500,"D",'LANÇAMENTOS DIÁRIOS'!$C$5:$C$500,$A53,'LANÇAMENTOS DIÁRIOS'!$O$5:$O$500,"&lt;=104899",'LANÇAMENTOS DIÁRIOS'!$P$5:$P$500,"&gt;=104800")&gt;0,"X","")</f>
      </c>
      <c r="AT53" s="56" t="str">
        <f>IF(COUNTIFS('LANÇAMENTOS DIÁRIOS'!$G$5:$G$500,"D",'LANÇAMENTOS DIÁRIOS'!$C$5:$C$500,$A53,'LANÇAMENTOS DIÁRIOS'!$O$5:$O$500,"&lt;=104999",'LANÇAMENTOS DIÁRIOS'!$P$5:$P$500,"&gt;=104900")&gt;0,"X","")</f>
      </c>
      <c r="AU53" s="56" t="str">
        <f>IF(COUNTIFS('LANÇAMENTOS DIÁRIOS'!$G$5:$G$500,"D",'LANÇAMENTOS DIÁRIOS'!$C$5:$C$500,$A53,'LANÇAMENTOS DIÁRIOS'!$O$5:$O$500,"&lt;=105099",'LANÇAMENTOS DIÁRIOS'!$P$5:$P$500,"&gt;=105000")&gt;0,"X","")</f>
      </c>
      <c r="AV53" s="56" t="str">
        <f>IF(COUNTIFS('LANÇAMENTOS DIÁRIOS'!$G$5:$G$500,"D",'LANÇAMENTOS DIÁRIOS'!$C$5:$C$500,$A53,'LANÇAMENTOS DIÁRIOS'!$O$5:$O$500,"&lt;=105199",'LANÇAMENTOS DIÁRIOS'!$P$5:$P$500,"&gt;=105100")&gt;0,"X","")</f>
      </c>
      <c r="AW53" s="56" t="str">
        <f>IF(COUNTIFS('LANÇAMENTOS DIÁRIOS'!$G$5:$G$500,"D",'LANÇAMENTOS DIÁRIOS'!$C$5:$C$500,$A53,'LANÇAMENTOS DIÁRIOS'!$O$5:$O$500,"&lt;=105299",'LANÇAMENTOS DIÁRIOS'!$P$5:$P$500,"&gt;=105200")&gt;0,"X","")</f>
      </c>
      <c r="AX53" s="56" t="str">
        <f>IF(COUNTIFS('LANÇAMENTOS DIÁRIOS'!$G$5:$G$500,"D",'LANÇAMENTOS DIÁRIOS'!$C$5:$C$500,$A53,'LANÇAMENTOS DIÁRIOS'!$O$5:$O$500,"&lt;=105399",'LANÇAMENTOS DIÁRIOS'!$P$5:$P$500,"&gt;=105300")&gt;0,"X","")</f>
      </c>
      <c r="AY53" s="56" t="str">
        <f>IF(COUNTIFS('LANÇAMENTOS DIÁRIOS'!$G$5:$G$500,"D",'LANÇAMENTOS DIÁRIOS'!$C$5:$C$500,$A53,'LANÇAMENTOS DIÁRIOS'!$O$5:$O$500,"&lt;=105499",'LANÇAMENTOS DIÁRIOS'!$P$5:$P$500,"&gt;=105400")&gt;0,"X","")</f>
      </c>
      <c r="AZ53" s="56" t="str">
        <f>IF(COUNTIFS('LANÇAMENTOS DIÁRIOS'!$G$5:$G$500,"D",'LANÇAMENTOS DIÁRIOS'!$C$5:$C$500,$A53,'LANÇAMENTOS DIÁRIOS'!$O$5:$O$500,"&lt;=105500",'LANÇAMENTOS DIÁRIOS'!$P$5:$P$500,"&gt;=105500")&gt;0,"X","")</f>
      </c>
    </row>
    <row r="54">
      <c r="A54" s="51" t="str">
        <v>Fundação / reaterro com bica corrida</v>
      </c>
      <c r="B54" s="56" t="str">
        <f>IF(COUNTIFS('LANÇAMENTOS DIÁRIOS'!$G$5:$G$500,"D",'LANÇAMENTOS DIÁRIOS'!$C$5:$C$500,$A54,'LANÇAMENTOS DIÁRIOS'!$O$5:$O$500,"&lt;=100599",'LANÇAMENTOS DIÁRIOS'!$P$5:$P$500,"&gt;=100500")&gt;0,"X","")</f>
      </c>
      <c r="C54" s="56" t="str">
        <f>IF(COUNTIFS('LANÇAMENTOS DIÁRIOS'!$G$5:$G$500,"D",'LANÇAMENTOS DIÁRIOS'!$C$5:$C$500,$A54,'LANÇAMENTOS DIÁRIOS'!$O$5:$O$500,"&lt;=100699",'LANÇAMENTOS DIÁRIOS'!$P$5:$P$500,"&gt;=100600")&gt;0,"X","")</f>
      </c>
      <c r="D54" s="56" t="str">
        <f>IF(COUNTIFS('LANÇAMENTOS DIÁRIOS'!$G$5:$G$500,"D",'LANÇAMENTOS DIÁRIOS'!$C$5:$C$500,$A54,'LANÇAMENTOS DIÁRIOS'!$O$5:$O$500,"&lt;=100799",'LANÇAMENTOS DIÁRIOS'!$P$5:$P$500,"&gt;=100700")&gt;0,"X","")</f>
      </c>
      <c r="E54" s="56" t="str">
        <f>IF(COUNTIFS('LANÇAMENTOS DIÁRIOS'!$G$5:$G$500,"D",'LANÇAMENTOS DIÁRIOS'!$C$5:$C$500,$A54,'LANÇAMENTOS DIÁRIOS'!$O$5:$O$500,"&lt;=100899",'LANÇAMENTOS DIÁRIOS'!$P$5:$P$500,"&gt;=100800")&gt;0,"X","")</f>
      </c>
      <c r="F54" s="56" t="str">
        <f>IF(COUNTIFS('LANÇAMENTOS DIÁRIOS'!$G$5:$G$500,"D",'LANÇAMENTOS DIÁRIOS'!$C$5:$C$500,$A54,'LANÇAMENTOS DIÁRIOS'!$O$5:$O$500,"&lt;=100999",'LANÇAMENTOS DIÁRIOS'!$P$5:$P$500,"&gt;=100900")&gt;0,"X","")</f>
      </c>
      <c r="G54" s="56" t="str">
        <f>IF(COUNTIFS('LANÇAMENTOS DIÁRIOS'!$G$5:$G$500,"D",'LANÇAMENTOS DIÁRIOS'!$C$5:$C$500,$A54,'LANÇAMENTOS DIÁRIOS'!$O$5:$O$500,"&lt;=101099",'LANÇAMENTOS DIÁRIOS'!$P$5:$P$500,"&gt;=101000")&gt;0,"X","")</f>
      </c>
      <c r="H54" s="56" t="str">
        <f>IF(COUNTIFS('LANÇAMENTOS DIÁRIOS'!$G$5:$G$500,"D",'LANÇAMENTOS DIÁRIOS'!$C$5:$C$500,$A54,'LANÇAMENTOS DIÁRIOS'!$O$5:$O$500,"&lt;=101199",'LANÇAMENTOS DIÁRIOS'!$P$5:$P$500,"&gt;=101100")&gt;0,"X","")</f>
      </c>
      <c r="I54" s="56" t="str">
        <f>IF(COUNTIFS('LANÇAMENTOS DIÁRIOS'!$G$5:$G$500,"D",'LANÇAMENTOS DIÁRIOS'!$C$5:$C$500,$A54,'LANÇAMENTOS DIÁRIOS'!$O$5:$O$500,"&lt;=101299",'LANÇAMENTOS DIÁRIOS'!$P$5:$P$500,"&gt;=101200")&gt;0,"X","")</f>
      </c>
      <c r="J54" s="56" t="str">
        <f>IF(COUNTIFS('LANÇAMENTOS DIÁRIOS'!$G$5:$G$500,"D",'LANÇAMENTOS DIÁRIOS'!$C$5:$C$500,$A54,'LANÇAMENTOS DIÁRIOS'!$O$5:$O$500,"&lt;=101399",'LANÇAMENTOS DIÁRIOS'!$P$5:$P$500,"&gt;=101300")&gt;0,"X","")</f>
      </c>
      <c r="K54" s="56" t="str">
        <f>IF(COUNTIFS('LANÇAMENTOS DIÁRIOS'!$G$5:$G$500,"D",'LANÇAMENTOS DIÁRIOS'!$C$5:$C$500,$A54,'LANÇAMENTOS DIÁRIOS'!$O$5:$O$500,"&lt;=101499",'LANÇAMENTOS DIÁRIOS'!$P$5:$P$500,"&gt;=101400")&gt;0,"X","")</f>
      </c>
      <c r="L54" s="56" t="str">
        <f>IF(COUNTIFS('LANÇAMENTOS DIÁRIOS'!$G$5:$G$500,"D",'LANÇAMENTOS DIÁRIOS'!$C$5:$C$500,$A54,'LANÇAMENTOS DIÁRIOS'!$O$5:$O$500,"&lt;=101599",'LANÇAMENTOS DIÁRIOS'!$P$5:$P$500,"&gt;=101500")&gt;0,"X","")</f>
      </c>
      <c r="M54" s="56" t="str">
        <f>IF(COUNTIFS('LANÇAMENTOS DIÁRIOS'!$G$5:$G$500,"D",'LANÇAMENTOS DIÁRIOS'!$C$5:$C$500,$A54,'LANÇAMENTOS DIÁRIOS'!$O$5:$O$500,"&lt;=101699",'LANÇAMENTOS DIÁRIOS'!$P$5:$P$500,"&gt;=101600")&gt;0,"X","")</f>
      </c>
      <c r="N54" s="56" t="str">
        <f>IF(COUNTIFS('LANÇAMENTOS DIÁRIOS'!$G$5:$G$500,"D",'LANÇAMENTOS DIÁRIOS'!$C$5:$C$500,$A54,'LANÇAMENTOS DIÁRIOS'!$O$5:$O$500,"&lt;=101799",'LANÇAMENTOS DIÁRIOS'!$P$5:$P$500,"&gt;=101700")&gt;0,"X","")</f>
      </c>
      <c r="O54" s="56" t="str">
        <f>IF(COUNTIFS('LANÇAMENTOS DIÁRIOS'!$G$5:$G$500,"D",'LANÇAMENTOS DIÁRIOS'!$C$5:$C$500,$A54,'LANÇAMENTOS DIÁRIOS'!$O$5:$O$500,"&lt;=101899",'LANÇAMENTOS DIÁRIOS'!$P$5:$P$500,"&gt;=101800")&gt;0,"X","")</f>
      </c>
      <c r="P54" s="56" t="str">
        <f>IF(COUNTIFS('LANÇAMENTOS DIÁRIOS'!$G$5:$G$500,"D",'LANÇAMENTOS DIÁRIOS'!$C$5:$C$500,$A54,'LANÇAMENTOS DIÁRIOS'!$O$5:$O$500,"&lt;=101999",'LANÇAMENTOS DIÁRIOS'!$P$5:$P$500,"&gt;=101900")&gt;0,"X","")</f>
      </c>
      <c r="Q54" s="56" t="str">
        <f>IF(COUNTIFS('LANÇAMENTOS DIÁRIOS'!$G$5:$G$500,"D",'LANÇAMENTOS DIÁRIOS'!$C$5:$C$500,$A54,'LANÇAMENTOS DIÁRIOS'!$O$5:$O$500,"&lt;=102099",'LANÇAMENTOS DIÁRIOS'!$P$5:$P$500,"&gt;=102000")&gt;0,"X","")</f>
      </c>
      <c r="R54" s="56" t="str">
        <f>IF(COUNTIFS('LANÇAMENTOS DIÁRIOS'!$G$5:$G$500,"D",'LANÇAMENTOS DIÁRIOS'!$C$5:$C$500,$A54,'LANÇAMENTOS DIÁRIOS'!$O$5:$O$500,"&lt;=102199",'LANÇAMENTOS DIÁRIOS'!$P$5:$P$500,"&gt;=102100")&gt;0,"X","")</f>
      </c>
      <c r="S54" s="56" t="str">
        <f>IF(COUNTIFS('LANÇAMENTOS DIÁRIOS'!$G$5:$G$500,"D",'LANÇAMENTOS DIÁRIOS'!$C$5:$C$500,$A54,'LANÇAMENTOS DIÁRIOS'!$O$5:$O$500,"&lt;=102299",'LANÇAMENTOS DIÁRIOS'!$P$5:$P$500,"&gt;=102200")&gt;0,"X","")</f>
      </c>
      <c r="T54" s="56" t="str">
        <f>IF(COUNTIFS('LANÇAMENTOS DIÁRIOS'!$G$5:$G$500,"D",'LANÇAMENTOS DIÁRIOS'!$C$5:$C$500,$A54,'LANÇAMENTOS DIÁRIOS'!$O$5:$O$500,"&lt;=102399",'LANÇAMENTOS DIÁRIOS'!$P$5:$P$500,"&gt;=102300")&gt;0,"X","")</f>
      </c>
      <c r="U54" s="56" t="str">
        <f>IF(COUNTIFS('LANÇAMENTOS DIÁRIOS'!$G$5:$G$500,"D",'LANÇAMENTOS DIÁRIOS'!$C$5:$C$500,$A54,'LANÇAMENTOS DIÁRIOS'!$O$5:$O$500,"&lt;=102499",'LANÇAMENTOS DIÁRIOS'!$P$5:$P$500,"&gt;=102400")&gt;0,"X","")</f>
      </c>
      <c r="V54" s="56" t="str">
        <f>IF(COUNTIFS('LANÇAMENTOS DIÁRIOS'!$G$5:$G$500,"D",'LANÇAMENTOS DIÁRIOS'!$C$5:$C$500,$A54,'LANÇAMENTOS DIÁRIOS'!$O$5:$O$500,"&lt;=102599",'LANÇAMENTOS DIÁRIOS'!$P$5:$P$500,"&gt;=102500")&gt;0,"X","")</f>
      </c>
      <c r="W54" s="56" t="str">
        <f>IF(COUNTIFS('LANÇAMENTOS DIÁRIOS'!$G$5:$G$500,"D",'LANÇAMENTOS DIÁRIOS'!$C$5:$C$500,$A54,'LANÇAMENTOS DIÁRIOS'!$O$5:$O$500,"&lt;=102699",'LANÇAMENTOS DIÁRIOS'!$P$5:$P$500,"&gt;=102600")&gt;0,"X","")</f>
      </c>
      <c r="X54" s="56" t="str">
        <f>IF(COUNTIFS('LANÇAMENTOS DIÁRIOS'!$G$5:$G$500,"D",'LANÇAMENTOS DIÁRIOS'!$C$5:$C$500,$A54,'LANÇAMENTOS DIÁRIOS'!$O$5:$O$500,"&lt;=102799",'LANÇAMENTOS DIÁRIOS'!$P$5:$P$500,"&gt;=102700")&gt;0,"X","")</f>
      </c>
      <c r="Y54" s="56" t="str">
        <f>IF(COUNTIFS('LANÇAMENTOS DIÁRIOS'!$G$5:$G$500,"D",'LANÇAMENTOS DIÁRIOS'!$C$5:$C$500,$A54,'LANÇAMENTOS DIÁRIOS'!$O$5:$O$500,"&lt;=102899",'LANÇAMENTOS DIÁRIOS'!$P$5:$P$500,"&gt;=102800")&gt;0,"X","")</f>
      </c>
      <c r="Z54" s="56" t="str">
        <f>IF(COUNTIFS('LANÇAMENTOS DIÁRIOS'!$G$5:$G$500,"D",'LANÇAMENTOS DIÁRIOS'!$C$5:$C$500,$A54,'LANÇAMENTOS DIÁRIOS'!$O$5:$O$500,"&lt;=102999",'LANÇAMENTOS DIÁRIOS'!$P$5:$P$500,"&gt;=102900")&gt;0,"X","")</f>
      </c>
      <c r="AA54" s="56" t="str">
        <f>IF(COUNTIFS('LANÇAMENTOS DIÁRIOS'!$G$5:$G$500,"D",'LANÇAMENTOS DIÁRIOS'!$C$5:$C$500,$A54,'LANÇAMENTOS DIÁRIOS'!$O$5:$O$500,"&lt;=103099",'LANÇAMENTOS DIÁRIOS'!$P$5:$P$500,"&gt;=103000")&gt;0,"X","")</f>
      </c>
      <c r="AB54" s="56" t="str">
        <f>IF(COUNTIFS('LANÇAMENTOS DIÁRIOS'!$G$5:$G$500,"D",'LANÇAMENTOS DIÁRIOS'!$C$5:$C$500,$A54,'LANÇAMENTOS DIÁRIOS'!$O$5:$O$500,"&lt;=103199",'LANÇAMENTOS DIÁRIOS'!$P$5:$P$500,"&gt;=103100")&gt;0,"X","")</f>
      </c>
      <c r="AC54" s="56" t="str">
        <f>IF(COUNTIFS('LANÇAMENTOS DIÁRIOS'!$G$5:$G$500,"D",'LANÇAMENTOS DIÁRIOS'!$C$5:$C$500,$A54,'LANÇAMENTOS DIÁRIOS'!$O$5:$O$500,"&lt;=103299",'LANÇAMENTOS DIÁRIOS'!$P$5:$P$500,"&gt;=103200")&gt;0,"X","")</f>
      </c>
      <c r="AD54" s="56" t="str">
        <f>IF(COUNTIFS('LANÇAMENTOS DIÁRIOS'!$G$5:$G$500,"D",'LANÇAMENTOS DIÁRIOS'!$C$5:$C$500,$A54,'LANÇAMENTOS DIÁRIOS'!$O$5:$O$500,"&lt;=103399",'LANÇAMENTOS DIÁRIOS'!$P$5:$P$500,"&gt;=103300")&gt;0,"X","")</f>
      </c>
      <c r="AE54" s="56" t="str">
        <f>IF(COUNTIFS('LANÇAMENTOS DIÁRIOS'!$G$5:$G$500,"D",'LANÇAMENTOS DIÁRIOS'!$C$5:$C$500,$A54,'LANÇAMENTOS DIÁRIOS'!$O$5:$O$500,"&lt;=103499",'LANÇAMENTOS DIÁRIOS'!$P$5:$P$500,"&gt;=103400")&gt;0,"X","")</f>
      </c>
      <c r="AF54" s="56" t="str">
        <f>IF(COUNTIFS('LANÇAMENTOS DIÁRIOS'!$G$5:$G$500,"D",'LANÇAMENTOS DIÁRIOS'!$C$5:$C$500,$A54,'LANÇAMENTOS DIÁRIOS'!$O$5:$O$500,"&lt;=103599",'LANÇAMENTOS DIÁRIOS'!$P$5:$P$500,"&gt;=103500")&gt;0,"X","")</f>
      </c>
      <c r="AG54" s="56" t="str">
        <f>IF(COUNTIFS('LANÇAMENTOS DIÁRIOS'!$G$5:$G$500,"D",'LANÇAMENTOS DIÁRIOS'!$C$5:$C$500,$A54,'LANÇAMENTOS DIÁRIOS'!$O$5:$O$500,"&lt;=103699",'LANÇAMENTOS DIÁRIOS'!$P$5:$P$500,"&gt;=103600")&gt;0,"X","")</f>
      </c>
      <c r="AH54" s="56" t="str">
        <f>IF(COUNTIFS('LANÇAMENTOS DIÁRIOS'!$G$5:$G$500,"D",'LANÇAMENTOS DIÁRIOS'!$C$5:$C$500,$A54,'LANÇAMENTOS DIÁRIOS'!$O$5:$O$500,"&lt;=103799",'LANÇAMENTOS DIÁRIOS'!$P$5:$P$500,"&gt;=103700")&gt;0,"X","")</f>
      </c>
      <c r="AI54" s="56" t="str">
        <f>IF(COUNTIFS('LANÇAMENTOS DIÁRIOS'!$G$5:$G$500,"D",'LANÇAMENTOS DIÁRIOS'!$C$5:$C$500,$A54,'LANÇAMENTOS DIÁRIOS'!$O$5:$O$500,"&lt;=103899",'LANÇAMENTOS DIÁRIOS'!$P$5:$P$500,"&gt;=103800")&gt;0,"X","")</f>
      </c>
      <c r="AJ54" s="56" t="str">
        <f>IF(COUNTIFS('LANÇAMENTOS DIÁRIOS'!$G$5:$G$500,"D",'LANÇAMENTOS DIÁRIOS'!$C$5:$C$500,$A54,'LANÇAMENTOS DIÁRIOS'!$O$5:$O$500,"&lt;=103999",'LANÇAMENTOS DIÁRIOS'!$P$5:$P$500,"&gt;=103900")&gt;0,"X","")</f>
      </c>
      <c r="AK54" s="56" t="str">
        <f>IF(COUNTIFS('LANÇAMENTOS DIÁRIOS'!$G$5:$G$500,"D",'LANÇAMENTOS DIÁRIOS'!$C$5:$C$500,$A54,'LANÇAMENTOS DIÁRIOS'!$O$5:$O$500,"&lt;=104099",'LANÇAMENTOS DIÁRIOS'!$P$5:$P$500,"&gt;=104000")&gt;0,"X","")</f>
      </c>
      <c r="AL54" s="56" t="str">
        <f>IF(COUNTIFS('LANÇAMENTOS DIÁRIOS'!$G$5:$G$500,"D",'LANÇAMENTOS DIÁRIOS'!$C$5:$C$500,$A54,'LANÇAMENTOS DIÁRIOS'!$O$5:$O$500,"&lt;=104199",'LANÇAMENTOS DIÁRIOS'!$P$5:$P$500,"&gt;=104100")&gt;0,"X","")</f>
      </c>
      <c r="AM54" s="56" t="str">
        <f>IF(COUNTIFS('LANÇAMENTOS DIÁRIOS'!$G$5:$G$500,"D",'LANÇAMENTOS DIÁRIOS'!$C$5:$C$500,$A54,'LANÇAMENTOS DIÁRIOS'!$O$5:$O$500,"&lt;=104299",'LANÇAMENTOS DIÁRIOS'!$P$5:$P$500,"&gt;=104200")&gt;0,"X","")</f>
      </c>
      <c r="AN54" s="56" t="str">
        <f>IF(COUNTIFS('LANÇAMENTOS DIÁRIOS'!$G$5:$G$500,"D",'LANÇAMENTOS DIÁRIOS'!$C$5:$C$500,$A54,'LANÇAMENTOS DIÁRIOS'!$O$5:$O$500,"&lt;=104399",'LANÇAMENTOS DIÁRIOS'!$P$5:$P$500,"&gt;=104300")&gt;0,"X","")</f>
      </c>
      <c r="AO54" s="56" t="str">
        <f>IF(COUNTIFS('LANÇAMENTOS DIÁRIOS'!$G$5:$G$500,"D",'LANÇAMENTOS DIÁRIOS'!$C$5:$C$500,$A54,'LANÇAMENTOS DIÁRIOS'!$O$5:$O$500,"&lt;=104499",'LANÇAMENTOS DIÁRIOS'!$P$5:$P$500,"&gt;=104400")&gt;0,"X","")</f>
      </c>
      <c r="AP54" s="56" t="str">
        <f>IF(COUNTIFS('LANÇAMENTOS DIÁRIOS'!$G$5:$G$500,"D",'LANÇAMENTOS DIÁRIOS'!$C$5:$C$500,$A54,'LANÇAMENTOS DIÁRIOS'!$O$5:$O$500,"&lt;=104599",'LANÇAMENTOS DIÁRIOS'!$P$5:$P$500,"&gt;=104500")&gt;0,"X","")</f>
      </c>
      <c r="AQ54" s="56" t="str">
        <f>IF(COUNTIFS('LANÇAMENTOS DIÁRIOS'!$G$5:$G$500,"D",'LANÇAMENTOS DIÁRIOS'!$C$5:$C$500,$A54,'LANÇAMENTOS DIÁRIOS'!$O$5:$O$500,"&lt;=104699",'LANÇAMENTOS DIÁRIOS'!$P$5:$P$500,"&gt;=104600")&gt;0,"X","")</f>
      </c>
      <c r="AR54" s="56" t="str">
        <f>IF(COUNTIFS('LANÇAMENTOS DIÁRIOS'!$G$5:$G$500,"D",'LANÇAMENTOS DIÁRIOS'!$C$5:$C$500,$A54,'LANÇAMENTOS DIÁRIOS'!$O$5:$O$500,"&lt;=104799",'LANÇAMENTOS DIÁRIOS'!$P$5:$P$500,"&gt;=104700")&gt;0,"X","")</f>
      </c>
      <c r="AS54" s="56" t="str">
        <f>IF(COUNTIFS('LANÇAMENTOS DIÁRIOS'!$G$5:$G$500,"D",'LANÇAMENTOS DIÁRIOS'!$C$5:$C$500,$A54,'LANÇAMENTOS DIÁRIOS'!$O$5:$O$500,"&lt;=104899",'LANÇAMENTOS DIÁRIOS'!$P$5:$P$500,"&gt;=104800")&gt;0,"X","")</f>
      </c>
      <c r="AT54" s="56" t="str">
        <f>IF(COUNTIFS('LANÇAMENTOS DIÁRIOS'!$G$5:$G$500,"D",'LANÇAMENTOS DIÁRIOS'!$C$5:$C$500,$A54,'LANÇAMENTOS DIÁRIOS'!$O$5:$O$500,"&lt;=104999",'LANÇAMENTOS DIÁRIOS'!$P$5:$P$500,"&gt;=104900")&gt;0,"X","")</f>
      </c>
      <c r="AU54" s="56" t="str">
        <f>IF(COUNTIFS('LANÇAMENTOS DIÁRIOS'!$G$5:$G$500,"D",'LANÇAMENTOS DIÁRIOS'!$C$5:$C$500,$A54,'LANÇAMENTOS DIÁRIOS'!$O$5:$O$500,"&lt;=105099",'LANÇAMENTOS DIÁRIOS'!$P$5:$P$500,"&gt;=105000")&gt;0,"X","")</f>
      </c>
      <c r="AV54" s="56" t="str">
        <f>IF(COUNTIFS('LANÇAMENTOS DIÁRIOS'!$G$5:$G$500,"D",'LANÇAMENTOS DIÁRIOS'!$C$5:$C$500,$A54,'LANÇAMENTOS DIÁRIOS'!$O$5:$O$500,"&lt;=105199",'LANÇAMENTOS DIÁRIOS'!$P$5:$P$500,"&gt;=105100")&gt;0,"X","")</f>
      </c>
      <c r="AW54" s="56" t="str">
        <f>IF(COUNTIFS('LANÇAMENTOS DIÁRIOS'!$G$5:$G$500,"D",'LANÇAMENTOS DIÁRIOS'!$C$5:$C$500,$A54,'LANÇAMENTOS DIÁRIOS'!$O$5:$O$500,"&lt;=105299",'LANÇAMENTOS DIÁRIOS'!$P$5:$P$500,"&gt;=105200")&gt;0,"X","")</f>
      </c>
      <c r="AX54" s="56" t="str">
        <f>IF(COUNTIFS('LANÇAMENTOS DIÁRIOS'!$G$5:$G$500,"D",'LANÇAMENTOS DIÁRIOS'!$C$5:$C$500,$A54,'LANÇAMENTOS DIÁRIOS'!$O$5:$O$500,"&lt;=105399",'LANÇAMENTOS DIÁRIOS'!$P$5:$P$500,"&gt;=105300")&gt;0,"X","")</f>
      </c>
      <c r="AY54" s="56" t="str">
        <f>IF(COUNTIFS('LANÇAMENTOS DIÁRIOS'!$G$5:$G$500,"D",'LANÇAMENTOS DIÁRIOS'!$C$5:$C$500,$A54,'LANÇAMENTOS DIÁRIOS'!$O$5:$O$500,"&lt;=105499",'LANÇAMENTOS DIÁRIOS'!$P$5:$P$500,"&gt;=105400")&gt;0,"X","")</f>
      </c>
      <c r="AZ54" s="56" t="str">
        <f>IF(COUNTIFS('LANÇAMENTOS DIÁRIOS'!$G$5:$G$500,"D",'LANÇAMENTOS DIÁRIOS'!$C$5:$C$500,$A54,'LANÇAMENTOS DIÁRIOS'!$O$5:$O$500,"&lt;=105500",'LANÇAMENTOS DIÁRIOS'!$P$5:$P$500,"&gt;=105500")&gt;0,"X","")</f>
      </c>
    </row>
    <row r="55">
      <c r="A55" s="51" t="str">
        <v>Camada drenante Brita 3/4" a 1 1/2"</v>
      </c>
      <c r="B55" s="56" t="str">
        <f>IF(COUNTIFS('LANÇAMENTOS DIÁRIOS'!$G$5:$G$500,"D",'LANÇAMENTOS DIÁRIOS'!$C$5:$C$500,$A55,'LANÇAMENTOS DIÁRIOS'!$O$5:$O$500,"&lt;=100599",'LANÇAMENTOS DIÁRIOS'!$P$5:$P$500,"&gt;=100500")&gt;0,"X","")</f>
      </c>
      <c r="C55" s="56" t="str">
        <f>IF(COUNTIFS('LANÇAMENTOS DIÁRIOS'!$G$5:$G$500,"D",'LANÇAMENTOS DIÁRIOS'!$C$5:$C$500,$A55,'LANÇAMENTOS DIÁRIOS'!$O$5:$O$500,"&lt;=100699",'LANÇAMENTOS DIÁRIOS'!$P$5:$P$500,"&gt;=100600")&gt;0,"X","")</f>
      </c>
      <c r="D55" s="56" t="str">
        <f>IF(COUNTIFS('LANÇAMENTOS DIÁRIOS'!$G$5:$G$500,"D",'LANÇAMENTOS DIÁRIOS'!$C$5:$C$500,$A55,'LANÇAMENTOS DIÁRIOS'!$O$5:$O$500,"&lt;=100799",'LANÇAMENTOS DIÁRIOS'!$P$5:$P$500,"&gt;=100700")&gt;0,"X","")</f>
      </c>
      <c r="E55" s="56" t="str">
        <f>IF(COUNTIFS('LANÇAMENTOS DIÁRIOS'!$G$5:$G$500,"D",'LANÇAMENTOS DIÁRIOS'!$C$5:$C$500,$A55,'LANÇAMENTOS DIÁRIOS'!$O$5:$O$500,"&lt;=100899",'LANÇAMENTOS DIÁRIOS'!$P$5:$P$500,"&gt;=100800")&gt;0,"X","")</f>
      </c>
      <c r="F55" s="56" t="str">
        <f>IF(COUNTIFS('LANÇAMENTOS DIÁRIOS'!$G$5:$G$500,"D",'LANÇAMENTOS DIÁRIOS'!$C$5:$C$500,$A55,'LANÇAMENTOS DIÁRIOS'!$O$5:$O$500,"&lt;=100999",'LANÇAMENTOS DIÁRIOS'!$P$5:$P$500,"&gt;=100900")&gt;0,"X","")</f>
      </c>
      <c r="G55" s="56" t="str">
        <f>IF(COUNTIFS('LANÇAMENTOS DIÁRIOS'!$G$5:$G$500,"D",'LANÇAMENTOS DIÁRIOS'!$C$5:$C$500,$A55,'LANÇAMENTOS DIÁRIOS'!$O$5:$O$500,"&lt;=101099",'LANÇAMENTOS DIÁRIOS'!$P$5:$P$500,"&gt;=101000")&gt;0,"X","")</f>
      </c>
      <c r="H55" s="56" t="str">
        <f>IF(COUNTIFS('LANÇAMENTOS DIÁRIOS'!$G$5:$G$500,"D",'LANÇAMENTOS DIÁRIOS'!$C$5:$C$500,$A55,'LANÇAMENTOS DIÁRIOS'!$O$5:$O$500,"&lt;=101199",'LANÇAMENTOS DIÁRIOS'!$P$5:$P$500,"&gt;=101100")&gt;0,"X","")</f>
      </c>
      <c r="I55" s="56" t="str">
        <f>IF(COUNTIFS('LANÇAMENTOS DIÁRIOS'!$G$5:$G$500,"D",'LANÇAMENTOS DIÁRIOS'!$C$5:$C$500,$A55,'LANÇAMENTOS DIÁRIOS'!$O$5:$O$500,"&lt;=101299",'LANÇAMENTOS DIÁRIOS'!$P$5:$P$500,"&gt;=101200")&gt;0,"X","")</f>
      </c>
      <c r="J55" s="56" t="str">
        <f>IF(COUNTIFS('LANÇAMENTOS DIÁRIOS'!$G$5:$G$500,"D",'LANÇAMENTOS DIÁRIOS'!$C$5:$C$500,$A55,'LANÇAMENTOS DIÁRIOS'!$O$5:$O$500,"&lt;=101399",'LANÇAMENTOS DIÁRIOS'!$P$5:$P$500,"&gt;=101300")&gt;0,"X","")</f>
      </c>
      <c r="K55" s="56" t="str">
        <f>IF(COUNTIFS('LANÇAMENTOS DIÁRIOS'!$G$5:$G$500,"D",'LANÇAMENTOS DIÁRIOS'!$C$5:$C$500,$A55,'LANÇAMENTOS DIÁRIOS'!$O$5:$O$500,"&lt;=101499",'LANÇAMENTOS DIÁRIOS'!$P$5:$P$500,"&gt;=101400")&gt;0,"X","")</f>
      </c>
      <c r="L55" s="56" t="str">
        <f>IF(COUNTIFS('LANÇAMENTOS DIÁRIOS'!$G$5:$G$500,"D",'LANÇAMENTOS DIÁRIOS'!$C$5:$C$500,$A55,'LANÇAMENTOS DIÁRIOS'!$O$5:$O$500,"&lt;=101599",'LANÇAMENTOS DIÁRIOS'!$P$5:$P$500,"&gt;=101500")&gt;0,"X","")</f>
      </c>
      <c r="M55" s="56" t="str">
        <f>IF(COUNTIFS('LANÇAMENTOS DIÁRIOS'!$G$5:$G$500,"D",'LANÇAMENTOS DIÁRIOS'!$C$5:$C$500,$A55,'LANÇAMENTOS DIÁRIOS'!$O$5:$O$500,"&lt;=101699",'LANÇAMENTOS DIÁRIOS'!$P$5:$P$500,"&gt;=101600")&gt;0,"X","")</f>
      </c>
      <c r="N55" s="56" t="str">
        <f>IF(COUNTIFS('LANÇAMENTOS DIÁRIOS'!$G$5:$G$500,"D",'LANÇAMENTOS DIÁRIOS'!$C$5:$C$500,$A55,'LANÇAMENTOS DIÁRIOS'!$O$5:$O$500,"&lt;=101799",'LANÇAMENTOS DIÁRIOS'!$P$5:$P$500,"&gt;=101700")&gt;0,"X","")</f>
      </c>
      <c r="O55" s="56" t="str">
        <f>IF(COUNTIFS('LANÇAMENTOS DIÁRIOS'!$G$5:$G$500,"D",'LANÇAMENTOS DIÁRIOS'!$C$5:$C$500,$A55,'LANÇAMENTOS DIÁRIOS'!$O$5:$O$500,"&lt;=101899",'LANÇAMENTOS DIÁRIOS'!$P$5:$P$500,"&gt;=101800")&gt;0,"X","")</f>
      </c>
      <c r="P55" s="56" t="str">
        <f>IF(COUNTIFS('LANÇAMENTOS DIÁRIOS'!$G$5:$G$500,"D",'LANÇAMENTOS DIÁRIOS'!$C$5:$C$500,$A55,'LANÇAMENTOS DIÁRIOS'!$O$5:$O$500,"&lt;=101999",'LANÇAMENTOS DIÁRIOS'!$P$5:$P$500,"&gt;=101900")&gt;0,"X","")</f>
      </c>
      <c r="Q55" s="56" t="str">
        <f>IF(COUNTIFS('LANÇAMENTOS DIÁRIOS'!$G$5:$G$500,"D",'LANÇAMENTOS DIÁRIOS'!$C$5:$C$500,$A55,'LANÇAMENTOS DIÁRIOS'!$O$5:$O$500,"&lt;=102099",'LANÇAMENTOS DIÁRIOS'!$P$5:$P$500,"&gt;=102000")&gt;0,"X","")</f>
      </c>
      <c r="R55" s="56" t="str">
        <f>IF(COUNTIFS('LANÇAMENTOS DIÁRIOS'!$G$5:$G$500,"D",'LANÇAMENTOS DIÁRIOS'!$C$5:$C$500,$A55,'LANÇAMENTOS DIÁRIOS'!$O$5:$O$500,"&lt;=102199",'LANÇAMENTOS DIÁRIOS'!$P$5:$P$500,"&gt;=102100")&gt;0,"X","")</f>
      </c>
      <c r="S55" s="56" t="str">
        <f>IF(COUNTIFS('LANÇAMENTOS DIÁRIOS'!$G$5:$G$500,"D",'LANÇAMENTOS DIÁRIOS'!$C$5:$C$500,$A55,'LANÇAMENTOS DIÁRIOS'!$O$5:$O$500,"&lt;=102299",'LANÇAMENTOS DIÁRIOS'!$P$5:$P$500,"&gt;=102200")&gt;0,"X","")</f>
      </c>
      <c r="T55" s="56" t="str">
        <f>IF(COUNTIFS('LANÇAMENTOS DIÁRIOS'!$G$5:$G$500,"D",'LANÇAMENTOS DIÁRIOS'!$C$5:$C$500,$A55,'LANÇAMENTOS DIÁRIOS'!$O$5:$O$500,"&lt;=102399",'LANÇAMENTOS DIÁRIOS'!$P$5:$P$500,"&gt;=102300")&gt;0,"X","")</f>
      </c>
      <c r="U55" s="56" t="str">
        <f>IF(COUNTIFS('LANÇAMENTOS DIÁRIOS'!$G$5:$G$500,"D",'LANÇAMENTOS DIÁRIOS'!$C$5:$C$500,$A55,'LANÇAMENTOS DIÁRIOS'!$O$5:$O$500,"&lt;=102499",'LANÇAMENTOS DIÁRIOS'!$P$5:$P$500,"&gt;=102400")&gt;0,"X","")</f>
      </c>
      <c r="V55" s="56" t="str">
        <f>IF(COUNTIFS('LANÇAMENTOS DIÁRIOS'!$G$5:$G$500,"D",'LANÇAMENTOS DIÁRIOS'!$C$5:$C$500,$A55,'LANÇAMENTOS DIÁRIOS'!$O$5:$O$500,"&lt;=102599",'LANÇAMENTOS DIÁRIOS'!$P$5:$P$500,"&gt;=102500")&gt;0,"X","")</f>
      </c>
      <c r="W55" s="56" t="str">
        <f>IF(COUNTIFS('LANÇAMENTOS DIÁRIOS'!$G$5:$G$500,"D",'LANÇAMENTOS DIÁRIOS'!$C$5:$C$500,$A55,'LANÇAMENTOS DIÁRIOS'!$O$5:$O$500,"&lt;=102699",'LANÇAMENTOS DIÁRIOS'!$P$5:$P$500,"&gt;=102600")&gt;0,"X","")</f>
      </c>
      <c r="X55" s="56" t="str">
        <f>IF(COUNTIFS('LANÇAMENTOS DIÁRIOS'!$G$5:$G$500,"D",'LANÇAMENTOS DIÁRIOS'!$C$5:$C$500,$A55,'LANÇAMENTOS DIÁRIOS'!$O$5:$O$500,"&lt;=102799",'LANÇAMENTOS DIÁRIOS'!$P$5:$P$500,"&gt;=102700")&gt;0,"X","")</f>
      </c>
      <c r="Y55" s="56" t="str">
        <f>IF(COUNTIFS('LANÇAMENTOS DIÁRIOS'!$G$5:$G$500,"D",'LANÇAMENTOS DIÁRIOS'!$C$5:$C$500,$A55,'LANÇAMENTOS DIÁRIOS'!$O$5:$O$500,"&lt;=102899",'LANÇAMENTOS DIÁRIOS'!$P$5:$P$500,"&gt;=102800")&gt;0,"X","")</f>
      </c>
      <c r="Z55" s="56" t="str">
        <f>IF(COUNTIFS('LANÇAMENTOS DIÁRIOS'!$G$5:$G$500,"D",'LANÇAMENTOS DIÁRIOS'!$C$5:$C$500,$A55,'LANÇAMENTOS DIÁRIOS'!$O$5:$O$500,"&lt;=102999",'LANÇAMENTOS DIÁRIOS'!$P$5:$P$500,"&gt;=102900")&gt;0,"X","")</f>
      </c>
      <c r="AA55" s="56" t="str">
        <f>IF(COUNTIFS('LANÇAMENTOS DIÁRIOS'!$G$5:$G$500,"D",'LANÇAMENTOS DIÁRIOS'!$C$5:$C$500,$A55,'LANÇAMENTOS DIÁRIOS'!$O$5:$O$500,"&lt;=103099",'LANÇAMENTOS DIÁRIOS'!$P$5:$P$500,"&gt;=103000")&gt;0,"X","")</f>
      </c>
      <c r="AB55" s="56" t="str">
        <f>IF(COUNTIFS('LANÇAMENTOS DIÁRIOS'!$G$5:$G$500,"D",'LANÇAMENTOS DIÁRIOS'!$C$5:$C$500,$A55,'LANÇAMENTOS DIÁRIOS'!$O$5:$O$500,"&lt;=103199",'LANÇAMENTOS DIÁRIOS'!$P$5:$P$500,"&gt;=103100")&gt;0,"X","")</f>
      </c>
      <c r="AC55" s="56" t="str">
        <f>IF(COUNTIFS('LANÇAMENTOS DIÁRIOS'!$G$5:$G$500,"D",'LANÇAMENTOS DIÁRIOS'!$C$5:$C$500,$A55,'LANÇAMENTOS DIÁRIOS'!$O$5:$O$500,"&lt;=103299",'LANÇAMENTOS DIÁRIOS'!$P$5:$P$500,"&gt;=103200")&gt;0,"X","")</f>
      </c>
      <c r="AD55" s="56" t="str">
        <f>IF(COUNTIFS('LANÇAMENTOS DIÁRIOS'!$G$5:$G$500,"D",'LANÇAMENTOS DIÁRIOS'!$C$5:$C$500,$A55,'LANÇAMENTOS DIÁRIOS'!$O$5:$O$500,"&lt;=103399",'LANÇAMENTOS DIÁRIOS'!$P$5:$P$500,"&gt;=103300")&gt;0,"X","")</f>
      </c>
      <c r="AE55" s="56" t="str">
        <f>IF(COUNTIFS('LANÇAMENTOS DIÁRIOS'!$G$5:$G$500,"D",'LANÇAMENTOS DIÁRIOS'!$C$5:$C$500,$A55,'LANÇAMENTOS DIÁRIOS'!$O$5:$O$500,"&lt;=103499",'LANÇAMENTOS DIÁRIOS'!$P$5:$P$500,"&gt;=103400")&gt;0,"X","")</f>
      </c>
      <c r="AF55" s="56" t="str">
        <f>IF(COUNTIFS('LANÇAMENTOS DIÁRIOS'!$G$5:$G$500,"D",'LANÇAMENTOS DIÁRIOS'!$C$5:$C$500,$A55,'LANÇAMENTOS DIÁRIOS'!$O$5:$O$500,"&lt;=103599",'LANÇAMENTOS DIÁRIOS'!$P$5:$P$500,"&gt;=103500")&gt;0,"X","")</f>
      </c>
      <c r="AG55" s="56" t="str">
        <f>IF(COUNTIFS('LANÇAMENTOS DIÁRIOS'!$G$5:$G$500,"D",'LANÇAMENTOS DIÁRIOS'!$C$5:$C$500,$A55,'LANÇAMENTOS DIÁRIOS'!$O$5:$O$500,"&lt;=103699",'LANÇAMENTOS DIÁRIOS'!$P$5:$P$500,"&gt;=103600")&gt;0,"X","")</f>
      </c>
      <c r="AH55" s="56" t="str">
        <f>IF(COUNTIFS('LANÇAMENTOS DIÁRIOS'!$G$5:$G$500,"D",'LANÇAMENTOS DIÁRIOS'!$C$5:$C$500,$A55,'LANÇAMENTOS DIÁRIOS'!$O$5:$O$500,"&lt;=103799",'LANÇAMENTOS DIÁRIOS'!$P$5:$P$500,"&gt;=103700")&gt;0,"X","")</f>
      </c>
      <c r="AI55" s="56" t="str">
        <f>IF(COUNTIFS('LANÇAMENTOS DIÁRIOS'!$G$5:$G$500,"D",'LANÇAMENTOS DIÁRIOS'!$C$5:$C$500,$A55,'LANÇAMENTOS DIÁRIOS'!$O$5:$O$500,"&lt;=103899",'LANÇAMENTOS DIÁRIOS'!$P$5:$P$500,"&gt;=103800")&gt;0,"X","")</f>
      </c>
      <c r="AJ55" s="56" t="str">
        <f>IF(COUNTIFS('LANÇAMENTOS DIÁRIOS'!$G$5:$G$500,"D",'LANÇAMENTOS DIÁRIOS'!$C$5:$C$500,$A55,'LANÇAMENTOS DIÁRIOS'!$O$5:$O$500,"&lt;=103999",'LANÇAMENTOS DIÁRIOS'!$P$5:$P$500,"&gt;=103900")&gt;0,"X","")</f>
      </c>
      <c r="AK55" s="56" t="str">
        <f>IF(COUNTIFS('LANÇAMENTOS DIÁRIOS'!$G$5:$G$500,"D",'LANÇAMENTOS DIÁRIOS'!$C$5:$C$500,$A55,'LANÇAMENTOS DIÁRIOS'!$O$5:$O$500,"&lt;=104099",'LANÇAMENTOS DIÁRIOS'!$P$5:$P$500,"&gt;=104000")&gt;0,"X","")</f>
      </c>
      <c r="AL55" s="56" t="str">
        <f>IF(COUNTIFS('LANÇAMENTOS DIÁRIOS'!$G$5:$G$500,"D",'LANÇAMENTOS DIÁRIOS'!$C$5:$C$500,$A55,'LANÇAMENTOS DIÁRIOS'!$O$5:$O$500,"&lt;=104199",'LANÇAMENTOS DIÁRIOS'!$P$5:$P$500,"&gt;=104100")&gt;0,"X","")</f>
      </c>
      <c r="AM55" s="56" t="str">
        <f>IF(COUNTIFS('LANÇAMENTOS DIÁRIOS'!$G$5:$G$500,"D",'LANÇAMENTOS DIÁRIOS'!$C$5:$C$500,$A55,'LANÇAMENTOS DIÁRIOS'!$O$5:$O$500,"&lt;=104299",'LANÇAMENTOS DIÁRIOS'!$P$5:$P$500,"&gt;=104200")&gt;0,"X","")</f>
      </c>
      <c r="AN55" s="56" t="str">
        <f>IF(COUNTIFS('LANÇAMENTOS DIÁRIOS'!$G$5:$G$500,"D",'LANÇAMENTOS DIÁRIOS'!$C$5:$C$500,$A55,'LANÇAMENTOS DIÁRIOS'!$O$5:$O$500,"&lt;=104399",'LANÇAMENTOS DIÁRIOS'!$P$5:$P$500,"&gt;=104300")&gt;0,"X","")</f>
      </c>
      <c r="AO55" s="56" t="str">
        <f>IF(COUNTIFS('LANÇAMENTOS DIÁRIOS'!$G$5:$G$500,"D",'LANÇAMENTOS DIÁRIOS'!$C$5:$C$500,$A55,'LANÇAMENTOS DIÁRIOS'!$O$5:$O$500,"&lt;=104499",'LANÇAMENTOS DIÁRIOS'!$P$5:$P$500,"&gt;=104400")&gt;0,"X","")</f>
      </c>
      <c r="AP55" s="56" t="str">
        <f>IF(COUNTIFS('LANÇAMENTOS DIÁRIOS'!$G$5:$G$500,"D",'LANÇAMENTOS DIÁRIOS'!$C$5:$C$500,$A55,'LANÇAMENTOS DIÁRIOS'!$O$5:$O$500,"&lt;=104599",'LANÇAMENTOS DIÁRIOS'!$P$5:$P$500,"&gt;=104500")&gt;0,"X","")</f>
      </c>
      <c r="AQ55" s="56" t="str">
        <f>IF(COUNTIFS('LANÇAMENTOS DIÁRIOS'!$G$5:$G$500,"D",'LANÇAMENTOS DIÁRIOS'!$C$5:$C$500,$A55,'LANÇAMENTOS DIÁRIOS'!$O$5:$O$500,"&lt;=104699",'LANÇAMENTOS DIÁRIOS'!$P$5:$P$500,"&gt;=104600")&gt;0,"X","")</f>
      </c>
      <c r="AR55" s="56" t="str">
        <f>IF(COUNTIFS('LANÇAMENTOS DIÁRIOS'!$G$5:$G$500,"D",'LANÇAMENTOS DIÁRIOS'!$C$5:$C$500,$A55,'LANÇAMENTOS DIÁRIOS'!$O$5:$O$500,"&lt;=104799",'LANÇAMENTOS DIÁRIOS'!$P$5:$P$500,"&gt;=104700")&gt;0,"X","")</f>
      </c>
      <c r="AS55" s="56" t="str">
        <f>IF(COUNTIFS('LANÇAMENTOS DIÁRIOS'!$G$5:$G$500,"D",'LANÇAMENTOS DIÁRIOS'!$C$5:$C$500,$A55,'LANÇAMENTOS DIÁRIOS'!$O$5:$O$500,"&lt;=104899",'LANÇAMENTOS DIÁRIOS'!$P$5:$P$500,"&gt;=104800")&gt;0,"X","")</f>
      </c>
      <c r="AT55" s="56" t="str">
        <f>IF(COUNTIFS('LANÇAMENTOS DIÁRIOS'!$G$5:$G$500,"D",'LANÇAMENTOS DIÁRIOS'!$C$5:$C$500,$A55,'LANÇAMENTOS DIÁRIOS'!$O$5:$O$500,"&lt;=104999",'LANÇAMENTOS DIÁRIOS'!$P$5:$P$500,"&gt;=104900")&gt;0,"X","")</f>
      </c>
      <c r="AU55" s="56" t="str">
        <f>IF(COUNTIFS('LANÇAMENTOS DIÁRIOS'!$G$5:$G$500,"D",'LANÇAMENTOS DIÁRIOS'!$C$5:$C$500,$A55,'LANÇAMENTOS DIÁRIOS'!$O$5:$O$500,"&lt;=105099",'LANÇAMENTOS DIÁRIOS'!$P$5:$P$500,"&gt;=105000")&gt;0,"X","")</f>
      </c>
      <c r="AV55" s="56" t="str">
        <f>IF(COUNTIFS('LANÇAMENTOS DIÁRIOS'!$G$5:$G$500,"D",'LANÇAMENTOS DIÁRIOS'!$C$5:$C$500,$A55,'LANÇAMENTOS DIÁRIOS'!$O$5:$O$500,"&lt;=105199",'LANÇAMENTOS DIÁRIOS'!$P$5:$P$500,"&gt;=105100")&gt;0,"X","")</f>
      </c>
      <c r="AW55" s="56" t="str">
        <f>IF(COUNTIFS('LANÇAMENTOS DIÁRIOS'!$G$5:$G$500,"D",'LANÇAMENTOS DIÁRIOS'!$C$5:$C$500,$A55,'LANÇAMENTOS DIÁRIOS'!$O$5:$O$500,"&lt;=105299",'LANÇAMENTOS DIÁRIOS'!$P$5:$P$500,"&gt;=105200")&gt;0,"X","")</f>
      </c>
      <c r="AX55" s="56" t="str">
        <f>IF(COUNTIFS('LANÇAMENTOS DIÁRIOS'!$G$5:$G$500,"D",'LANÇAMENTOS DIÁRIOS'!$C$5:$C$500,$A55,'LANÇAMENTOS DIÁRIOS'!$O$5:$O$500,"&lt;=105399",'LANÇAMENTOS DIÁRIOS'!$P$5:$P$500,"&gt;=105300")&gt;0,"X","")</f>
      </c>
      <c r="AY55" s="56" t="str">
        <f>IF(COUNTIFS('LANÇAMENTOS DIÁRIOS'!$G$5:$G$500,"D",'LANÇAMENTOS DIÁRIOS'!$C$5:$C$500,$A55,'LANÇAMENTOS DIÁRIOS'!$O$5:$O$500,"&lt;=105499",'LANÇAMENTOS DIÁRIOS'!$P$5:$P$500,"&gt;=105400")&gt;0,"X","")</f>
      </c>
      <c r="AZ55" s="56" t="str">
        <f>IF(COUNTIFS('LANÇAMENTOS DIÁRIOS'!$G$5:$G$500,"D",'LANÇAMENTOS DIÁRIOS'!$C$5:$C$500,$A55,'LANÇAMENTOS DIÁRIOS'!$O$5:$O$500,"&lt;=105500",'LANÇAMENTOS DIÁRIOS'!$P$5:$P$500,"&gt;=105500")&gt;0,"X","")</f>
      </c>
    </row>
    <row r="56">
      <c r="A56" s="51" t="str">
        <v>Estaca de brita ø 0,80 m</v>
      </c>
      <c r="B56" s="56" t="str">
        <f>IF(COUNTIFS('LANÇAMENTOS DIÁRIOS'!$G$5:$G$500,"D",'LANÇAMENTOS DIÁRIOS'!$C$5:$C$500,$A56,'LANÇAMENTOS DIÁRIOS'!$O$5:$O$500,"&lt;=100599",'LANÇAMENTOS DIÁRIOS'!$P$5:$P$500,"&gt;=100500")&gt;0,"X","")</f>
      </c>
      <c r="C56" s="56" t="str">
        <f>IF(COUNTIFS('LANÇAMENTOS DIÁRIOS'!$G$5:$G$500,"D",'LANÇAMENTOS DIÁRIOS'!$C$5:$C$500,$A56,'LANÇAMENTOS DIÁRIOS'!$O$5:$O$500,"&lt;=100699",'LANÇAMENTOS DIÁRIOS'!$P$5:$P$500,"&gt;=100600")&gt;0,"X","")</f>
      </c>
      <c r="D56" s="56" t="str">
        <f>IF(COUNTIFS('LANÇAMENTOS DIÁRIOS'!$G$5:$G$500,"D",'LANÇAMENTOS DIÁRIOS'!$C$5:$C$500,$A56,'LANÇAMENTOS DIÁRIOS'!$O$5:$O$500,"&lt;=100799",'LANÇAMENTOS DIÁRIOS'!$P$5:$P$500,"&gt;=100700")&gt;0,"X","")</f>
      </c>
      <c r="E56" s="56" t="str">
        <f>IF(COUNTIFS('LANÇAMENTOS DIÁRIOS'!$G$5:$G$500,"D",'LANÇAMENTOS DIÁRIOS'!$C$5:$C$500,$A56,'LANÇAMENTOS DIÁRIOS'!$O$5:$O$500,"&lt;=100899",'LANÇAMENTOS DIÁRIOS'!$P$5:$P$500,"&gt;=100800")&gt;0,"X","")</f>
      </c>
      <c r="F56" s="56" t="str">
        <f>IF(COUNTIFS('LANÇAMENTOS DIÁRIOS'!$G$5:$G$500,"D",'LANÇAMENTOS DIÁRIOS'!$C$5:$C$500,$A56,'LANÇAMENTOS DIÁRIOS'!$O$5:$O$500,"&lt;=100999",'LANÇAMENTOS DIÁRIOS'!$P$5:$P$500,"&gt;=100900")&gt;0,"X","")</f>
      </c>
      <c r="G56" s="56" t="str">
        <f>IF(COUNTIFS('LANÇAMENTOS DIÁRIOS'!$G$5:$G$500,"D",'LANÇAMENTOS DIÁRIOS'!$C$5:$C$500,$A56,'LANÇAMENTOS DIÁRIOS'!$O$5:$O$500,"&lt;=101099",'LANÇAMENTOS DIÁRIOS'!$P$5:$P$500,"&gt;=101000")&gt;0,"X","")</f>
      </c>
      <c r="H56" s="56" t="str">
        <f>IF(COUNTIFS('LANÇAMENTOS DIÁRIOS'!$G$5:$G$500,"D",'LANÇAMENTOS DIÁRIOS'!$C$5:$C$500,$A56,'LANÇAMENTOS DIÁRIOS'!$O$5:$O$500,"&lt;=101199",'LANÇAMENTOS DIÁRIOS'!$P$5:$P$500,"&gt;=101100")&gt;0,"X","")</f>
      </c>
      <c r="I56" s="56" t="str">
        <f>IF(COUNTIFS('LANÇAMENTOS DIÁRIOS'!$G$5:$G$500,"D",'LANÇAMENTOS DIÁRIOS'!$C$5:$C$500,$A56,'LANÇAMENTOS DIÁRIOS'!$O$5:$O$500,"&lt;=101299",'LANÇAMENTOS DIÁRIOS'!$P$5:$P$500,"&gt;=101200")&gt;0,"X","")</f>
      </c>
      <c r="J56" s="56" t="str">
        <f>IF(COUNTIFS('LANÇAMENTOS DIÁRIOS'!$G$5:$G$500,"D",'LANÇAMENTOS DIÁRIOS'!$C$5:$C$500,$A56,'LANÇAMENTOS DIÁRIOS'!$O$5:$O$500,"&lt;=101399",'LANÇAMENTOS DIÁRIOS'!$P$5:$P$500,"&gt;=101300")&gt;0,"X","")</f>
      </c>
      <c r="K56" s="56" t="str">
        <f>IF(COUNTIFS('LANÇAMENTOS DIÁRIOS'!$G$5:$G$500,"D",'LANÇAMENTOS DIÁRIOS'!$C$5:$C$500,$A56,'LANÇAMENTOS DIÁRIOS'!$O$5:$O$500,"&lt;=101499",'LANÇAMENTOS DIÁRIOS'!$P$5:$P$500,"&gt;=101400")&gt;0,"X","")</f>
      </c>
      <c r="L56" s="56" t="str">
        <f>IF(COUNTIFS('LANÇAMENTOS DIÁRIOS'!$G$5:$G$500,"D",'LANÇAMENTOS DIÁRIOS'!$C$5:$C$500,$A56,'LANÇAMENTOS DIÁRIOS'!$O$5:$O$500,"&lt;=101599",'LANÇAMENTOS DIÁRIOS'!$P$5:$P$500,"&gt;=101500")&gt;0,"X","")</f>
      </c>
      <c r="M56" s="56" t="str">
        <f>IF(COUNTIFS('LANÇAMENTOS DIÁRIOS'!$G$5:$G$500,"D",'LANÇAMENTOS DIÁRIOS'!$C$5:$C$500,$A56,'LANÇAMENTOS DIÁRIOS'!$O$5:$O$500,"&lt;=101699",'LANÇAMENTOS DIÁRIOS'!$P$5:$P$500,"&gt;=101600")&gt;0,"X","")</f>
      </c>
      <c r="N56" s="56" t="str">
        <f>IF(COUNTIFS('LANÇAMENTOS DIÁRIOS'!$G$5:$G$500,"D",'LANÇAMENTOS DIÁRIOS'!$C$5:$C$500,$A56,'LANÇAMENTOS DIÁRIOS'!$O$5:$O$500,"&lt;=101799",'LANÇAMENTOS DIÁRIOS'!$P$5:$P$500,"&gt;=101700")&gt;0,"X","")</f>
      </c>
      <c r="O56" s="56" t="str">
        <f>IF(COUNTIFS('LANÇAMENTOS DIÁRIOS'!$G$5:$G$500,"D",'LANÇAMENTOS DIÁRIOS'!$C$5:$C$500,$A56,'LANÇAMENTOS DIÁRIOS'!$O$5:$O$500,"&lt;=101899",'LANÇAMENTOS DIÁRIOS'!$P$5:$P$500,"&gt;=101800")&gt;0,"X","")</f>
      </c>
      <c r="P56" s="56" t="str">
        <f>IF(COUNTIFS('LANÇAMENTOS DIÁRIOS'!$G$5:$G$500,"D",'LANÇAMENTOS DIÁRIOS'!$C$5:$C$500,$A56,'LANÇAMENTOS DIÁRIOS'!$O$5:$O$500,"&lt;=101999",'LANÇAMENTOS DIÁRIOS'!$P$5:$P$500,"&gt;=101900")&gt;0,"X","")</f>
      </c>
      <c r="Q56" s="56" t="str">
        <f>IF(COUNTIFS('LANÇAMENTOS DIÁRIOS'!$G$5:$G$500,"D",'LANÇAMENTOS DIÁRIOS'!$C$5:$C$500,$A56,'LANÇAMENTOS DIÁRIOS'!$O$5:$O$500,"&lt;=102099",'LANÇAMENTOS DIÁRIOS'!$P$5:$P$500,"&gt;=102000")&gt;0,"X","")</f>
      </c>
      <c r="R56" s="56" t="str">
        <f>IF(COUNTIFS('LANÇAMENTOS DIÁRIOS'!$G$5:$G$500,"D",'LANÇAMENTOS DIÁRIOS'!$C$5:$C$500,$A56,'LANÇAMENTOS DIÁRIOS'!$O$5:$O$500,"&lt;=102199",'LANÇAMENTOS DIÁRIOS'!$P$5:$P$500,"&gt;=102100")&gt;0,"X","")</f>
      </c>
      <c r="S56" s="56" t="str">
        <f>IF(COUNTIFS('LANÇAMENTOS DIÁRIOS'!$G$5:$G$500,"D",'LANÇAMENTOS DIÁRIOS'!$C$5:$C$500,$A56,'LANÇAMENTOS DIÁRIOS'!$O$5:$O$500,"&lt;=102299",'LANÇAMENTOS DIÁRIOS'!$P$5:$P$500,"&gt;=102200")&gt;0,"X","")</f>
      </c>
      <c r="T56" s="56" t="str">
        <f>IF(COUNTIFS('LANÇAMENTOS DIÁRIOS'!$G$5:$G$500,"D",'LANÇAMENTOS DIÁRIOS'!$C$5:$C$500,$A56,'LANÇAMENTOS DIÁRIOS'!$O$5:$O$500,"&lt;=102399",'LANÇAMENTOS DIÁRIOS'!$P$5:$P$500,"&gt;=102300")&gt;0,"X","")</f>
      </c>
      <c r="U56" s="56" t="str">
        <f>IF(COUNTIFS('LANÇAMENTOS DIÁRIOS'!$G$5:$G$500,"D",'LANÇAMENTOS DIÁRIOS'!$C$5:$C$500,$A56,'LANÇAMENTOS DIÁRIOS'!$O$5:$O$500,"&lt;=102499",'LANÇAMENTOS DIÁRIOS'!$P$5:$P$500,"&gt;=102400")&gt;0,"X","")</f>
      </c>
      <c r="V56" s="56" t="str">
        <f>IF(COUNTIFS('LANÇAMENTOS DIÁRIOS'!$G$5:$G$500,"D",'LANÇAMENTOS DIÁRIOS'!$C$5:$C$500,$A56,'LANÇAMENTOS DIÁRIOS'!$O$5:$O$500,"&lt;=102599",'LANÇAMENTOS DIÁRIOS'!$P$5:$P$500,"&gt;=102500")&gt;0,"X","")</f>
      </c>
      <c r="W56" s="56" t="str">
        <f>IF(COUNTIFS('LANÇAMENTOS DIÁRIOS'!$G$5:$G$500,"D",'LANÇAMENTOS DIÁRIOS'!$C$5:$C$500,$A56,'LANÇAMENTOS DIÁRIOS'!$O$5:$O$500,"&lt;=102699",'LANÇAMENTOS DIÁRIOS'!$P$5:$P$500,"&gt;=102600")&gt;0,"X","")</f>
      </c>
      <c r="X56" s="56" t="str">
        <f>IF(COUNTIFS('LANÇAMENTOS DIÁRIOS'!$G$5:$G$500,"D",'LANÇAMENTOS DIÁRIOS'!$C$5:$C$500,$A56,'LANÇAMENTOS DIÁRIOS'!$O$5:$O$500,"&lt;=102799",'LANÇAMENTOS DIÁRIOS'!$P$5:$P$500,"&gt;=102700")&gt;0,"X","")</f>
      </c>
      <c r="Y56" s="56" t="str">
        <f>IF(COUNTIFS('LANÇAMENTOS DIÁRIOS'!$G$5:$G$500,"D",'LANÇAMENTOS DIÁRIOS'!$C$5:$C$500,$A56,'LANÇAMENTOS DIÁRIOS'!$O$5:$O$500,"&lt;=102899",'LANÇAMENTOS DIÁRIOS'!$P$5:$P$500,"&gt;=102800")&gt;0,"X","")</f>
      </c>
      <c r="Z56" s="56" t="str">
        <f>IF(COUNTIFS('LANÇAMENTOS DIÁRIOS'!$G$5:$G$500,"D",'LANÇAMENTOS DIÁRIOS'!$C$5:$C$500,$A56,'LANÇAMENTOS DIÁRIOS'!$O$5:$O$500,"&lt;=102999",'LANÇAMENTOS DIÁRIOS'!$P$5:$P$500,"&gt;=102900")&gt;0,"X","")</f>
      </c>
      <c r="AA56" s="56" t="str">
        <f>IF(COUNTIFS('LANÇAMENTOS DIÁRIOS'!$G$5:$G$500,"D",'LANÇAMENTOS DIÁRIOS'!$C$5:$C$500,$A56,'LANÇAMENTOS DIÁRIOS'!$O$5:$O$500,"&lt;=103099",'LANÇAMENTOS DIÁRIOS'!$P$5:$P$500,"&gt;=103000")&gt;0,"X","")</f>
      </c>
      <c r="AB56" s="56" t="str">
        <f>IF(COUNTIFS('LANÇAMENTOS DIÁRIOS'!$G$5:$G$500,"D",'LANÇAMENTOS DIÁRIOS'!$C$5:$C$500,$A56,'LANÇAMENTOS DIÁRIOS'!$O$5:$O$500,"&lt;=103199",'LANÇAMENTOS DIÁRIOS'!$P$5:$P$500,"&gt;=103100")&gt;0,"X","")</f>
      </c>
      <c r="AC56" s="56" t="str">
        <f>IF(COUNTIFS('LANÇAMENTOS DIÁRIOS'!$G$5:$G$500,"D",'LANÇAMENTOS DIÁRIOS'!$C$5:$C$500,$A56,'LANÇAMENTOS DIÁRIOS'!$O$5:$O$500,"&lt;=103299",'LANÇAMENTOS DIÁRIOS'!$P$5:$P$500,"&gt;=103200")&gt;0,"X","")</f>
      </c>
      <c r="AD56" s="56" t="str">
        <f>IF(COUNTIFS('LANÇAMENTOS DIÁRIOS'!$G$5:$G$500,"D",'LANÇAMENTOS DIÁRIOS'!$C$5:$C$500,$A56,'LANÇAMENTOS DIÁRIOS'!$O$5:$O$500,"&lt;=103399",'LANÇAMENTOS DIÁRIOS'!$P$5:$P$500,"&gt;=103300")&gt;0,"X","")</f>
      </c>
      <c r="AE56" s="56" t="str">
        <f>IF(COUNTIFS('LANÇAMENTOS DIÁRIOS'!$G$5:$G$500,"D",'LANÇAMENTOS DIÁRIOS'!$C$5:$C$500,$A56,'LANÇAMENTOS DIÁRIOS'!$O$5:$O$500,"&lt;=103499",'LANÇAMENTOS DIÁRIOS'!$P$5:$P$500,"&gt;=103400")&gt;0,"X","")</f>
      </c>
      <c r="AF56" s="56" t="str">
        <f>IF(COUNTIFS('LANÇAMENTOS DIÁRIOS'!$G$5:$G$500,"D",'LANÇAMENTOS DIÁRIOS'!$C$5:$C$500,$A56,'LANÇAMENTOS DIÁRIOS'!$O$5:$O$500,"&lt;=103599",'LANÇAMENTOS DIÁRIOS'!$P$5:$P$500,"&gt;=103500")&gt;0,"X","")</f>
      </c>
      <c r="AG56" s="56" t="str">
        <f>IF(COUNTIFS('LANÇAMENTOS DIÁRIOS'!$G$5:$G$500,"D",'LANÇAMENTOS DIÁRIOS'!$C$5:$C$500,$A56,'LANÇAMENTOS DIÁRIOS'!$O$5:$O$500,"&lt;=103699",'LANÇAMENTOS DIÁRIOS'!$P$5:$P$500,"&gt;=103600")&gt;0,"X","")</f>
      </c>
      <c r="AH56" s="56" t="str">
        <f>IF(COUNTIFS('LANÇAMENTOS DIÁRIOS'!$G$5:$G$500,"D",'LANÇAMENTOS DIÁRIOS'!$C$5:$C$500,$A56,'LANÇAMENTOS DIÁRIOS'!$O$5:$O$500,"&lt;=103799",'LANÇAMENTOS DIÁRIOS'!$P$5:$P$500,"&gt;=103700")&gt;0,"X","")</f>
      </c>
      <c r="AI56" s="56" t="str">
        <f>IF(COUNTIFS('LANÇAMENTOS DIÁRIOS'!$G$5:$G$500,"D",'LANÇAMENTOS DIÁRIOS'!$C$5:$C$500,$A56,'LANÇAMENTOS DIÁRIOS'!$O$5:$O$500,"&lt;=103899",'LANÇAMENTOS DIÁRIOS'!$P$5:$P$500,"&gt;=103800")&gt;0,"X","")</f>
      </c>
      <c r="AJ56" s="56" t="str">
        <f>IF(COUNTIFS('LANÇAMENTOS DIÁRIOS'!$G$5:$G$500,"D",'LANÇAMENTOS DIÁRIOS'!$C$5:$C$500,$A56,'LANÇAMENTOS DIÁRIOS'!$O$5:$O$500,"&lt;=103999",'LANÇAMENTOS DIÁRIOS'!$P$5:$P$500,"&gt;=103900")&gt;0,"X","")</f>
      </c>
      <c r="AK56" s="56" t="str">
        <f>IF(COUNTIFS('LANÇAMENTOS DIÁRIOS'!$G$5:$G$500,"D",'LANÇAMENTOS DIÁRIOS'!$C$5:$C$500,$A56,'LANÇAMENTOS DIÁRIOS'!$O$5:$O$500,"&lt;=104099",'LANÇAMENTOS DIÁRIOS'!$P$5:$P$500,"&gt;=104000")&gt;0,"X","")</f>
      </c>
      <c r="AL56" s="56" t="str">
        <f>IF(COUNTIFS('LANÇAMENTOS DIÁRIOS'!$G$5:$G$500,"D",'LANÇAMENTOS DIÁRIOS'!$C$5:$C$500,$A56,'LANÇAMENTOS DIÁRIOS'!$O$5:$O$500,"&lt;=104199",'LANÇAMENTOS DIÁRIOS'!$P$5:$P$500,"&gt;=104100")&gt;0,"X","")</f>
      </c>
      <c r="AM56" s="56" t="str">
        <f>IF(COUNTIFS('LANÇAMENTOS DIÁRIOS'!$G$5:$G$500,"D",'LANÇAMENTOS DIÁRIOS'!$C$5:$C$500,$A56,'LANÇAMENTOS DIÁRIOS'!$O$5:$O$500,"&lt;=104299",'LANÇAMENTOS DIÁRIOS'!$P$5:$P$500,"&gt;=104200")&gt;0,"X","")</f>
      </c>
      <c r="AN56" s="56" t="str">
        <f>IF(COUNTIFS('LANÇAMENTOS DIÁRIOS'!$G$5:$G$500,"D",'LANÇAMENTOS DIÁRIOS'!$C$5:$C$500,$A56,'LANÇAMENTOS DIÁRIOS'!$O$5:$O$500,"&lt;=104399",'LANÇAMENTOS DIÁRIOS'!$P$5:$P$500,"&gt;=104300")&gt;0,"X","")</f>
      </c>
      <c r="AO56" s="56" t="str">
        <f>IF(COUNTIFS('LANÇAMENTOS DIÁRIOS'!$G$5:$G$500,"D",'LANÇAMENTOS DIÁRIOS'!$C$5:$C$500,$A56,'LANÇAMENTOS DIÁRIOS'!$O$5:$O$500,"&lt;=104499",'LANÇAMENTOS DIÁRIOS'!$P$5:$P$500,"&gt;=104400")&gt;0,"X","")</f>
      </c>
      <c r="AP56" s="56" t="str">
        <f>IF(COUNTIFS('LANÇAMENTOS DIÁRIOS'!$G$5:$G$500,"D",'LANÇAMENTOS DIÁRIOS'!$C$5:$C$500,$A56,'LANÇAMENTOS DIÁRIOS'!$O$5:$O$500,"&lt;=104599",'LANÇAMENTOS DIÁRIOS'!$P$5:$P$500,"&gt;=104500")&gt;0,"X","")</f>
      </c>
      <c r="AQ56" s="56" t="str">
        <f>IF(COUNTIFS('LANÇAMENTOS DIÁRIOS'!$G$5:$G$500,"D",'LANÇAMENTOS DIÁRIOS'!$C$5:$C$500,$A56,'LANÇAMENTOS DIÁRIOS'!$O$5:$O$500,"&lt;=104699",'LANÇAMENTOS DIÁRIOS'!$P$5:$P$500,"&gt;=104600")&gt;0,"X","")</f>
      </c>
      <c r="AR56" s="56" t="str">
        <f>IF(COUNTIFS('LANÇAMENTOS DIÁRIOS'!$G$5:$G$500,"D",'LANÇAMENTOS DIÁRIOS'!$C$5:$C$500,$A56,'LANÇAMENTOS DIÁRIOS'!$O$5:$O$500,"&lt;=104799",'LANÇAMENTOS DIÁRIOS'!$P$5:$P$500,"&gt;=104700")&gt;0,"X","")</f>
      </c>
      <c r="AS56" s="56" t="str">
        <f>IF(COUNTIFS('LANÇAMENTOS DIÁRIOS'!$G$5:$G$500,"D",'LANÇAMENTOS DIÁRIOS'!$C$5:$C$500,$A56,'LANÇAMENTOS DIÁRIOS'!$O$5:$O$500,"&lt;=104899",'LANÇAMENTOS DIÁRIOS'!$P$5:$P$500,"&gt;=104800")&gt;0,"X","")</f>
      </c>
      <c r="AT56" s="56" t="str">
        <f>IF(COUNTIFS('LANÇAMENTOS DIÁRIOS'!$G$5:$G$500,"D",'LANÇAMENTOS DIÁRIOS'!$C$5:$C$500,$A56,'LANÇAMENTOS DIÁRIOS'!$O$5:$O$500,"&lt;=104999",'LANÇAMENTOS DIÁRIOS'!$P$5:$P$500,"&gt;=104900")&gt;0,"X","")</f>
      </c>
      <c r="AU56" s="56" t="str">
        <f>IF(COUNTIFS('LANÇAMENTOS DIÁRIOS'!$G$5:$G$500,"D",'LANÇAMENTOS DIÁRIOS'!$C$5:$C$500,$A56,'LANÇAMENTOS DIÁRIOS'!$O$5:$O$500,"&lt;=105099",'LANÇAMENTOS DIÁRIOS'!$P$5:$P$500,"&gt;=105000")&gt;0,"X","")</f>
      </c>
      <c r="AV56" s="56" t="str">
        <f>IF(COUNTIFS('LANÇAMENTOS DIÁRIOS'!$G$5:$G$500,"D",'LANÇAMENTOS DIÁRIOS'!$C$5:$C$500,$A56,'LANÇAMENTOS DIÁRIOS'!$O$5:$O$500,"&lt;=105199",'LANÇAMENTOS DIÁRIOS'!$P$5:$P$500,"&gt;=105100")&gt;0,"X","")</f>
      </c>
      <c r="AW56" s="56" t="str">
        <f>IF(COUNTIFS('LANÇAMENTOS DIÁRIOS'!$G$5:$G$500,"D",'LANÇAMENTOS DIÁRIOS'!$C$5:$C$500,$A56,'LANÇAMENTOS DIÁRIOS'!$O$5:$O$500,"&lt;=105299",'LANÇAMENTOS DIÁRIOS'!$P$5:$P$500,"&gt;=105200")&gt;0,"X","")</f>
      </c>
      <c r="AX56" s="56" t="str">
        <f>IF(COUNTIFS('LANÇAMENTOS DIÁRIOS'!$G$5:$G$500,"D",'LANÇAMENTOS DIÁRIOS'!$C$5:$C$500,$A56,'LANÇAMENTOS DIÁRIOS'!$O$5:$O$500,"&lt;=105399",'LANÇAMENTOS DIÁRIOS'!$P$5:$P$500,"&gt;=105300")&gt;0,"X","")</f>
      </c>
      <c r="AY56" s="56" t="str">
        <f>IF(COUNTIFS('LANÇAMENTOS DIÁRIOS'!$G$5:$G$500,"D",'LANÇAMENTOS DIÁRIOS'!$C$5:$C$500,$A56,'LANÇAMENTOS DIÁRIOS'!$O$5:$O$500,"&lt;=105499",'LANÇAMENTOS DIÁRIOS'!$P$5:$P$500,"&gt;=105400")&gt;0,"X","")</f>
      </c>
      <c r="AZ56" s="56" t="str">
        <f>IF(COUNTIFS('LANÇAMENTOS DIÁRIOS'!$G$5:$G$500,"D",'LANÇAMENTOS DIÁRIOS'!$C$5:$C$500,$A56,'LANÇAMENTOS DIÁRIOS'!$O$5:$O$500,"&lt;=105500",'LANÇAMENTOS DIÁRIOS'!$P$5:$P$500,"&gt;=105500")&gt;0,"X","")</f>
      </c>
    </row>
    <row r="57">
      <c r="A57" s="51" t="str">
        <v>Compactação de aterro a 100% do proctor normal (*)</v>
      </c>
      <c r="B57" s="56" t="str">
        <f>IF(COUNTIFS('LANÇAMENTOS DIÁRIOS'!$G$5:$G$500,"D",'LANÇAMENTOS DIÁRIOS'!$C$5:$C$500,$A57,'LANÇAMENTOS DIÁRIOS'!$O$5:$O$500,"&lt;=100599",'LANÇAMENTOS DIÁRIOS'!$P$5:$P$500,"&gt;=100500")&gt;0,"X","")</f>
      </c>
      <c r="C57" s="56" t="str">
        <f>IF(COUNTIFS('LANÇAMENTOS DIÁRIOS'!$G$5:$G$500,"D",'LANÇAMENTOS DIÁRIOS'!$C$5:$C$500,$A57,'LANÇAMENTOS DIÁRIOS'!$O$5:$O$500,"&lt;=100699",'LANÇAMENTOS DIÁRIOS'!$P$5:$P$500,"&gt;=100600")&gt;0,"X","")</f>
      </c>
      <c r="D57" s="56" t="str">
        <f>IF(COUNTIFS('LANÇAMENTOS DIÁRIOS'!$G$5:$G$500,"D",'LANÇAMENTOS DIÁRIOS'!$C$5:$C$500,$A57,'LANÇAMENTOS DIÁRIOS'!$O$5:$O$500,"&lt;=100799",'LANÇAMENTOS DIÁRIOS'!$P$5:$P$500,"&gt;=100700")&gt;0,"X","")</f>
      </c>
      <c r="E57" s="56" t="str">
        <f>IF(COUNTIFS('LANÇAMENTOS DIÁRIOS'!$G$5:$G$500,"D",'LANÇAMENTOS DIÁRIOS'!$C$5:$C$500,$A57,'LANÇAMENTOS DIÁRIOS'!$O$5:$O$500,"&lt;=100899",'LANÇAMENTOS DIÁRIOS'!$P$5:$P$500,"&gt;=100800")&gt;0,"X","")</f>
      </c>
      <c r="F57" s="56" t="str">
        <f>IF(COUNTIFS('LANÇAMENTOS DIÁRIOS'!$G$5:$G$500,"D",'LANÇAMENTOS DIÁRIOS'!$C$5:$C$500,$A57,'LANÇAMENTOS DIÁRIOS'!$O$5:$O$500,"&lt;=100999",'LANÇAMENTOS DIÁRIOS'!$P$5:$P$500,"&gt;=100900")&gt;0,"X","")</f>
      </c>
      <c r="G57" s="56" t="str">
        <f>IF(COUNTIFS('LANÇAMENTOS DIÁRIOS'!$G$5:$G$500,"D",'LANÇAMENTOS DIÁRIOS'!$C$5:$C$500,$A57,'LANÇAMENTOS DIÁRIOS'!$O$5:$O$500,"&lt;=101099",'LANÇAMENTOS DIÁRIOS'!$P$5:$P$500,"&gt;=101000")&gt;0,"X","")</f>
      </c>
      <c r="H57" s="56" t="str">
        <f>IF(COUNTIFS('LANÇAMENTOS DIÁRIOS'!$G$5:$G$500,"D",'LANÇAMENTOS DIÁRIOS'!$C$5:$C$500,$A57,'LANÇAMENTOS DIÁRIOS'!$O$5:$O$500,"&lt;=101199",'LANÇAMENTOS DIÁRIOS'!$P$5:$P$500,"&gt;=101100")&gt;0,"X","")</f>
      </c>
      <c r="I57" s="56" t="str">
        <f>IF(COUNTIFS('LANÇAMENTOS DIÁRIOS'!$G$5:$G$500,"D",'LANÇAMENTOS DIÁRIOS'!$C$5:$C$500,$A57,'LANÇAMENTOS DIÁRIOS'!$O$5:$O$500,"&lt;=101299",'LANÇAMENTOS DIÁRIOS'!$P$5:$P$500,"&gt;=101200")&gt;0,"X","")</f>
      </c>
      <c r="J57" s="56" t="str">
        <f>IF(COUNTIFS('LANÇAMENTOS DIÁRIOS'!$G$5:$G$500,"D",'LANÇAMENTOS DIÁRIOS'!$C$5:$C$500,$A57,'LANÇAMENTOS DIÁRIOS'!$O$5:$O$500,"&lt;=101399",'LANÇAMENTOS DIÁRIOS'!$P$5:$P$500,"&gt;=101300")&gt;0,"X","")</f>
      </c>
      <c r="K57" s="56" t="str">
        <f>IF(COUNTIFS('LANÇAMENTOS DIÁRIOS'!$G$5:$G$500,"D",'LANÇAMENTOS DIÁRIOS'!$C$5:$C$500,$A57,'LANÇAMENTOS DIÁRIOS'!$O$5:$O$500,"&lt;=101499",'LANÇAMENTOS DIÁRIOS'!$P$5:$P$500,"&gt;=101400")&gt;0,"X","")</f>
      </c>
      <c r="L57" s="56" t="str">
        <f>IF(COUNTIFS('LANÇAMENTOS DIÁRIOS'!$G$5:$G$500,"D",'LANÇAMENTOS DIÁRIOS'!$C$5:$C$500,$A57,'LANÇAMENTOS DIÁRIOS'!$O$5:$O$500,"&lt;=101599",'LANÇAMENTOS DIÁRIOS'!$P$5:$P$500,"&gt;=101500")&gt;0,"X","")</f>
      </c>
      <c r="M57" s="56" t="str">
        <f>IF(COUNTIFS('LANÇAMENTOS DIÁRIOS'!$G$5:$G$500,"D",'LANÇAMENTOS DIÁRIOS'!$C$5:$C$500,$A57,'LANÇAMENTOS DIÁRIOS'!$O$5:$O$500,"&lt;=101699",'LANÇAMENTOS DIÁRIOS'!$P$5:$P$500,"&gt;=101600")&gt;0,"X","")</f>
      </c>
      <c r="N57" s="56" t="str">
        <f>IF(COUNTIFS('LANÇAMENTOS DIÁRIOS'!$G$5:$G$500,"D",'LANÇAMENTOS DIÁRIOS'!$C$5:$C$500,$A57,'LANÇAMENTOS DIÁRIOS'!$O$5:$O$500,"&lt;=101799",'LANÇAMENTOS DIÁRIOS'!$P$5:$P$500,"&gt;=101700")&gt;0,"X","")</f>
      </c>
      <c r="O57" s="56" t="str">
        <f>IF(COUNTIFS('LANÇAMENTOS DIÁRIOS'!$G$5:$G$500,"D",'LANÇAMENTOS DIÁRIOS'!$C$5:$C$500,$A57,'LANÇAMENTOS DIÁRIOS'!$O$5:$O$500,"&lt;=101899",'LANÇAMENTOS DIÁRIOS'!$P$5:$P$500,"&gt;=101800")&gt;0,"X","")</f>
      </c>
      <c r="P57" s="56" t="str">
        <f>IF(COUNTIFS('LANÇAMENTOS DIÁRIOS'!$G$5:$G$500,"D",'LANÇAMENTOS DIÁRIOS'!$C$5:$C$500,$A57,'LANÇAMENTOS DIÁRIOS'!$O$5:$O$500,"&lt;=101999",'LANÇAMENTOS DIÁRIOS'!$P$5:$P$500,"&gt;=101900")&gt;0,"X","")</f>
      </c>
      <c r="Q57" s="56" t="str">
        <f>IF(COUNTIFS('LANÇAMENTOS DIÁRIOS'!$G$5:$G$500,"D",'LANÇAMENTOS DIÁRIOS'!$C$5:$C$500,$A57,'LANÇAMENTOS DIÁRIOS'!$O$5:$O$500,"&lt;=102099",'LANÇAMENTOS DIÁRIOS'!$P$5:$P$500,"&gt;=102000")&gt;0,"X","")</f>
      </c>
      <c r="R57" s="56" t="str">
        <f>IF(COUNTIFS('LANÇAMENTOS DIÁRIOS'!$G$5:$G$500,"D",'LANÇAMENTOS DIÁRIOS'!$C$5:$C$500,$A57,'LANÇAMENTOS DIÁRIOS'!$O$5:$O$500,"&lt;=102199",'LANÇAMENTOS DIÁRIOS'!$P$5:$P$500,"&gt;=102100")&gt;0,"X","")</f>
      </c>
      <c r="S57" s="56" t="str">
        <f>IF(COUNTIFS('LANÇAMENTOS DIÁRIOS'!$G$5:$G$500,"D",'LANÇAMENTOS DIÁRIOS'!$C$5:$C$500,$A57,'LANÇAMENTOS DIÁRIOS'!$O$5:$O$500,"&lt;=102299",'LANÇAMENTOS DIÁRIOS'!$P$5:$P$500,"&gt;=102200")&gt;0,"X","")</f>
      </c>
      <c r="T57" s="56" t="str">
        <f>IF(COUNTIFS('LANÇAMENTOS DIÁRIOS'!$G$5:$G$500,"D",'LANÇAMENTOS DIÁRIOS'!$C$5:$C$500,$A57,'LANÇAMENTOS DIÁRIOS'!$O$5:$O$500,"&lt;=102399",'LANÇAMENTOS DIÁRIOS'!$P$5:$P$500,"&gt;=102300")&gt;0,"X","")</f>
      </c>
      <c r="U57" s="56" t="str">
        <f>IF(COUNTIFS('LANÇAMENTOS DIÁRIOS'!$G$5:$G$500,"D",'LANÇAMENTOS DIÁRIOS'!$C$5:$C$500,$A57,'LANÇAMENTOS DIÁRIOS'!$O$5:$O$500,"&lt;=102499",'LANÇAMENTOS DIÁRIOS'!$P$5:$P$500,"&gt;=102400")&gt;0,"X","")</f>
      </c>
      <c r="V57" s="56" t="str">
        <f>IF(COUNTIFS('LANÇAMENTOS DIÁRIOS'!$G$5:$G$500,"D",'LANÇAMENTOS DIÁRIOS'!$C$5:$C$500,$A57,'LANÇAMENTOS DIÁRIOS'!$O$5:$O$500,"&lt;=102599",'LANÇAMENTOS DIÁRIOS'!$P$5:$P$500,"&gt;=102500")&gt;0,"X","")</f>
      </c>
      <c r="W57" s="56" t="str">
        <f>IF(COUNTIFS('LANÇAMENTOS DIÁRIOS'!$G$5:$G$500,"D",'LANÇAMENTOS DIÁRIOS'!$C$5:$C$500,$A57,'LANÇAMENTOS DIÁRIOS'!$O$5:$O$500,"&lt;=102699",'LANÇAMENTOS DIÁRIOS'!$P$5:$P$500,"&gt;=102600")&gt;0,"X","")</f>
      </c>
      <c r="X57" s="56" t="str">
        <f>IF(COUNTIFS('LANÇAMENTOS DIÁRIOS'!$G$5:$G$500,"D",'LANÇAMENTOS DIÁRIOS'!$C$5:$C$500,$A57,'LANÇAMENTOS DIÁRIOS'!$O$5:$O$500,"&lt;=102799",'LANÇAMENTOS DIÁRIOS'!$P$5:$P$500,"&gt;=102700")&gt;0,"X","")</f>
      </c>
      <c r="Y57" s="56" t="str">
        <f>IF(COUNTIFS('LANÇAMENTOS DIÁRIOS'!$G$5:$G$500,"D",'LANÇAMENTOS DIÁRIOS'!$C$5:$C$500,$A57,'LANÇAMENTOS DIÁRIOS'!$O$5:$O$500,"&lt;=102899",'LANÇAMENTOS DIÁRIOS'!$P$5:$P$500,"&gt;=102800")&gt;0,"X","")</f>
      </c>
      <c r="Z57" s="56" t="str">
        <f>IF(COUNTIFS('LANÇAMENTOS DIÁRIOS'!$G$5:$G$500,"D",'LANÇAMENTOS DIÁRIOS'!$C$5:$C$500,$A57,'LANÇAMENTOS DIÁRIOS'!$O$5:$O$500,"&lt;=102999",'LANÇAMENTOS DIÁRIOS'!$P$5:$P$500,"&gt;=102900")&gt;0,"X","")</f>
      </c>
      <c r="AA57" s="56" t="str">
        <f>IF(COUNTIFS('LANÇAMENTOS DIÁRIOS'!$G$5:$G$500,"D",'LANÇAMENTOS DIÁRIOS'!$C$5:$C$500,$A57,'LANÇAMENTOS DIÁRIOS'!$O$5:$O$500,"&lt;=103099",'LANÇAMENTOS DIÁRIOS'!$P$5:$P$500,"&gt;=103000")&gt;0,"X","")</f>
      </c>
      <c r="AB57" s="56" t="str">
        <f>IF(COUNTIFS('LANÇAMENTOS DIÁRIOS'!$G$5:$G$500,"D",'LANÇAMENTOS DIÁRIOS'!$C$5:$C$500,$A57,'LANÇAMENTOS DIÁRIOS'!$O$5:$O$500,"&lt;=103199",'LANÇAMENTOS DIÁRIOS'!$P$5:$P$500,"&gt;=103100")&gt;0,"X","")</f>
      </c>
      <c r="AC57" s="56" t="str">
        <f>IF(COUNTIFS('LANÇAMENTOS DIÁRIOS'!$G$5:$G$500,"D",'LANÇAMENTOS DIÁRIOS'!$C$5:$C$500,$A57,'LANÇAMENTOS DIÁRIOS'!$O$5:$O$500,"&lt;=103299",'LANÇAMENTOS DIÁRIOS'!$P$5:$P$500,"&gt;=103200")&gt;0,"X","")</f>
      </c>
      <c r="AD57" s="56" t="str">
        <f>IF(COUNTIFS('LANÇAMENTOS DIÁRIOS'!$G$5:$G$500,"D",'LANÇAMENTOS DIÁRIOS'!$C$5:$C$500,$A57,'LANÇAMENTOS DIÁRIOS'!$O$5:$O$500,"&lt;=103399",'LANÇAMENTOS DIÁRIOS'!$P$5:$P$500,"&gt;=103300")&gt;0,"X","")</f>
      </c>
      <c r="AE57" s="56" t="str">
        <f>IF(COUNTIFS('LANÇAMENTOS DIÁRIOS'!$G$5:$G$500,"D",'LANÇAMENTOS DIÁRIOS'!$C$5:$C$500,$A57,'LANÇAMENTOS DIÁRIOS'!$O$5:$O$500,"&lt;=103499",'LANÇAMENTOS DIÁRIOS'!$P$5:$P$500,"&gt;=103400")&gt;0,"X","")</f>
      </c>
      <c r="AF57" s="56" t="str">
        <f>IF(COUNTIFS('LANÇAMENTOS DIÁRIOS'!$G$5:$G$500,"D",'LANÇAMENTOS DIÁRIOS'!$C$5:$C$500,$A57,'LANÇAMENTOS DIÁRIOS'!$O$5:$O$500,"&lt;=103599",'LANÇAMENTOS DIÁRIOS'!$P$5:$P$500,"&gt;=103500")&gt;0,"X","")</f>
      </c>
      <c r="AG57" s="56" t="str">
        <f>IF(COUNTIFS('LANÇAMENTOS DIÁRIOS'!$G$5:$G$500,"D",'LANÇAMENTOS DIÁRIOS'!$C$5:$C$500,$A57,'LANÇAMENTOS DIÁRIOS'!$O$5:$O$500,"&lt;=103699",'LANÇAMENTOS DIÁRIOS'!$P$5:$P$500,"&gt;=103600")&gt;0,"X","")</f>
      </c>
      <c r="AH57" s="56" t="str">
        <f>IF(COUNTIFS('LANÇAMENTOS DIÁRIOS'!$G$5:$G$500,"D",'LANÇAMENTOS DIÁRIOS'!$C$5:$C$500,$A57,'LANÇAMENTOS DIÁRIOS'!$O$5:$O$500,"&lt;=103799",'LANÇAMENTOS DIÁRIOS'!$P$5:$P$500,"&gt;=103700")&gt;0,"X","")</f>
      </c>
      <c r="AI57" s="56" t="str">
        <f>IF(COUNTIFS('LANÇAMENTOS DIÁRIOS'!$G$5:$G$500,"D",'LANÇAMENTOS DIÁRIOS'!$C$5:$C$500,$A57,'LANÇAMENTOS DIÁRIOS'!$O$5:$O$500,"&lt;=103899",'LANÇAMENTOS DIÁRIOS'!$P$5:$P$500,"&gt;=103800")&gt;0,"X","")</f>
      </c>
      <c r="AJ57" s="56" t="str">
        <f>IF(COUNTIFS('LANÇAMENTOS DIÁRIOS'!$G$5:$G$500,"D",'LANÇAMENTOS DIÁRIOS'!$C$5:$C$500,$A57,'LANÇAMENTOS DIÁRIOS'!$O$5:$O$500,"&lt;=103999",'LANÇAMENTOS DIÁRIOS'!$P$5:$P$500,"&gt;=103900")&gt;0,"X","")</f>
      </c>
      <c r="AK57" s="56" t="str">
        <f>IF(COUNTIFS('LANÇAMENTOS DIÁRIOS'!$G$5:$G$500,"D",'LANÇAMENTOS DIÁRIOS'!$C$5:$C$500,$A57,'LANÇAMENTOS DIÁRIOS'!$O$5:$O$500,"&lt;=104099",'LANÇAMENTOS DIÁRIOS'!$P$5:$P$500,"&gt;=104000")&gt;0,"X","")</f>
      </c>
      <c r="AL57" s="56" t="str">
        <f>IF(COUNTIFS('LANÇAMENTOS DIÁRIOS'!$G$5:$G$500,"D",'LANÇAMENTOS DIÁRIOS'!$C$5:$C$500,$A57,'LANÇAMENTOS DIÁRIOS'!$O$5:$O$500,"&lt;=104199",'LANÇAMENTOS DIÁRIOS'!$P$5:$P$500,"&gt;=104100")&gt;0,"X","")</f>
      </c>
      <c r="AM57" s="56" t="str">
        <f>IF(COUNTIFS('LANÇAMENTOS DIÁRIOS'!$G$5:$G$500,"D",'LANÇAMENTOS DIÁRIOS'!$C$5:$C$500,$A57,'LANÇAMENTOS DIÁRIOS'!$O$5:$O$500,"&lt;=104299",'LANÇAMENTOS DIÁRIOS'!$P$5:$P$500,"&gt;=104200")&gt;0,"X","")</f>
      </c>
      <c r="AN57" s="56" t="str">
        <f>IF(COUNTIFS('LANÇAMENTOS DIÁRIOS'!$G$5:$G$500,"D",'LANÇAMENTOS DIÁRIOS'!$C$5:$C$500,$A57,'LANÇAMENTOS DIÁRIOS'!$O$5:$O$500,"&lt;=104399",'LANÇAMENTOS DIÁRIOS'!$P$5:$P$500,"&gt;=104300")&gt;0,"X","")</f>
      </c>
      <c r="AO57" s="56" t="str">
        <f>IF(COUNTIFS('LANÇAMENTOS DIÁRIOS'!$G$5:$G$500,"D",'LANÇAMENTOS DIÁRIOS'!$C$5:$C$500,$A57,'LANÇAMENTOS DIÁRIOS'!$O$5:$O$500,"&lt;=104499",'LANÇAMENTOS DIÁRIOS'!$P$5:$P$500,"&gt;=104400")&gt;0,"X","")</f>
      </c>
      <c r="AP57" s="56" t="str">
        <f>IF(COUNTIFS('LANÇAMENTOS DIÁRIOS'!$G$5:$G$500,"D",'LANÇAMENTOS DIÁRIOS'!$C$5:$C$500,$A57,'LANÇAMENTOS DIÁRIOS'!$O$5:$O$500,"&lt;=104599",'LANÇAMENTOS DIÁRIOS'!$P$5:$P$500,"&gt;=104500")&gt;0,"X","")</f>
      </c>
      <c r="AQ57" s="56" t="str">
        <f>IF(COUNTIFS('LANÇAMENTOS DIÁRIOS'!$G$5:$G$500,"D",'LANÇAMENTOS DIÁRIOS'!$C$5:$C$500,$A57,'LANÇAMENTOS DIÁRIOS'!$O$5:$O$500,"&lt;=104699",'LANÇAMENTOS DIÁRIOS'!$P$5:$P$500,"&gt;=104600")&gt;0,"X","")</f>
      </c>
      <c r="AR57" s="56" t="str">
        <f>IF(COUNTIFS('LANÇAMENTOS DIÁRIOS'!$G$5:$G$500,"D",'LANÇAMENTOS DIÁRIOS'!$C$5:$C$500,$A57,'LANÇAMENTOS DIÁRIOS'!$O$5:$O$500,"&lt;=104799",'LANÇAMENTOS DIÁRIOS'!$P$5:$P$500,"&gt;=104700")&gt;0,"X","")</f>
      </c>
      <c r="AS57" s="56" t="str">
        <f>IF(COUNTIFS('LANÇAMENTOS DIÁRIOS'!$G$5:$G$500,"D",'LANÇAMENTOS DIÁRIOS'!$C$5:$C$500,$A57,'LANÇAMENTOS DIÁRIOS'!$O$5:$O$500,"&lt;=104899",'LANÇAMENTOS DIÁRIOS'!$P$5:$P$500,"&gt;=104800")&gt;0,"X","")</f>
      </c>
      <c r="AT57" s="56" t="str">
        <f>IF(COUNTIFS('LANÇAMENTOS DIÁRIOS'!$G$5:$G$500,"D",'LANÇAMENTOS DIÁRIOS'!$C$5:$C$500,$A57,'LANÇAMENTOS DIÁRIOS'!$O$5:$O$500,"&lt;=104999",'LANÇAMENTOS DIÁRIOS'!$P$5:$P$500,"&gt;=104900")&gt;0,"X","")</f>
      </c>
      <c r="AU57" s="56" t="str">
        <f>IF(COUNTIFS('LANÇAMENTOS DIÁRIOS'!$G$5:$G$500,"D",'LANÇAMENTOS DIÁRIOS'!$C$5:$C$500,$A57,'LANÇAMENTOS DIÁRIOS'!$O$5:$O$500,"&lt;=105099",'LANÇAMENTOS DIÁRIOS'!$P$5:$P$500,"&gt;=105000")&gt;0,"X","")</f>
      </c>
      <c r="AV57" s="56" t="str">
        <f>IF(COUNTIFS('LANÇAMENTOS DIÁRIOS'!$G$5:$G$500,"D",'LANÇAMENTOS DIÁRIOS'!$C$5:$C$500,$A57,'LANÇAMENTOS DIÁRIOS'!$O$5:$O$500,"&lt;=105199",'LANÇAMENTOS DIÁRIOS'!$P$5:$P$500,"&gt;=105100")&gt;0,"X","")</f>
      </c>
      <c r="AW57" s="56" t="str">
        <f>IF(COUNTIFS('LANÇAMENTOS DIÁRIOS'!$G$5:$G$500,"D",'LANÇAMENTOS DIÁRIOS'!$C$5:$C$500,$A57,'LANÇAMENTOS DIÁRIOS'!$O$5:$O$500,"&lt;=105299",'LANÇAMENTOS DIÁRIOS'!$P$5:$P$500,"&gt;=105200")&gt;0,"X","")</f>
      </c>
      <c r="AX57" s="56" t="str">
        <f>IF(COUNTIFS('LANÇAMENTOS DIÁRIOS'!$G$5:$G$500,"D",'LANÇAMENTOS DIÁRIOS'!$C$5:$C$500,$A57,'LANÇAMENTOS DIÁRIOS'!$O$5:$O$500,"&lt;=105399",'LANÇAMENTOS DIÁRIOS'!$P$5:$P$500,"&gt;=105300")&gt;0,"X","")</f>
      </c>
      <c r="AY57" s="56" t="str">
        <f>IF(COUNTIFS('LANÇAMENTOS DIÁRIOS'!$G$5:$G$500,"D",'LANÇAMENTOS DIÁRIOS'!$C$5:$C$500,$A57,'LANÇAMENTOS DIÁRIOS'!$O$5:$O$500,"&lt;=105499",'LANÇAMENTOS DIÁRIOS'!$P$5:$P$500,"&gt;=105400")&gt;0,"X","")</f>
      </c>
      <c r="AZ57" s="56" t="str">
        <f>IF(COUNTIFS('LANÇAMENTOS DIÁRIOS'!$G$5:$G$500,"D",'LANÇAMENTOS DIÁRIOS'!$C$5:$C$500,$A57,'LANÇAMENTOS DIÁRIOS'!$O$5:$O$500,"&lt;=105500",'LANÇAMENTOS DIÁRIOS'!$P$5:$P$500,"&gt;=105500")&gt;0,"X","")</f>
      </c>
    </row>
    <row r="58">
      <c r="A58" s="51" t="str">
        <v>Rede metálica de alta resistência StellGrid HR 100 ou Similiar (Perfuração e instalação)</v>
      </c>
      <c r="B58" s="56" t="str">
        <f>IF(COUNTIFS('LANÇAMENTOS DIÁRIOS'!$G$5:$G$500,"D",'LANÇAMENTOS DIÁRIOS'!$C$5:$C$500,$A58,'LANÇAMENTOS DIÁRIOS'!$O$5:$O$500,"&lt;=100599",'LANÇAMENTOS DIÁRIOS'!$P$5:$P$500,"&gt;=100500")&gt;0,"X","")</f>
      </c>
      <c r="C58" s="56" t="str">
        <f>IF(COUNTIFS('LANÇAMENTOS DIÁRIOS'!$G$5:$G$500,"D",'LANÇAMENTOS DIÁRIOS'!$C$5:$C$500,$A58,'LANÇAMENTOS DIÁRIOS'!$O$5:$O$500,"&lt;=100699",'LANÇAMENTOS DIÁRIOS'!$P$5:$P$500,"&gt;=100600")&gt;0,"X","")</f>
      </c>
      <c r="D58" s="56" t="str">
        <f>IF(COUNTIFS('LANÇAMENTOS DIÁRIOS'!$G$5:$G$500,"D",'LANÇAMENTOS DIÁRIOS'!$C$5:$C$500,$A58,'LANÇAMENTOS DIÁRIOS'!$O$5:$O$500,"&lt;=100799",'LANÇAMENTOS DIÁRIOS'!$P$5:$P$500,"&gt;=100700")&gt;0,"X","")</f>
      </c>
      <c r="E58" s="56" t="str">
        <f>IF(COUNTIFS('LANÇAMENTOS DIÁRIOS'!$G$5:$G$500,"D",'LANÇAMENTOS DIÁRIOS'!$C$5:$C$500,$A58,'LANÇAMENTOS DIÁRIOS'!$O$5:$O$500,"&lt;=100899",'LANÇAMENTOS DIÁRIOS'!$P$5:$P$500,"&gt;=100800")&gt;0,"X","")</f>
      </c>
      <c r="F58" s="56" t="str">
        <f>IF(COUNTIFS('LANÇAMENTOS DIÁRIOS'!$G$5:$G$500,"D",'LANÇAMENTOS DIÁRIOS'!$C$5:$C$500,$A58,'LANÇAMENTOS DIÁRIOS'!$O$5:$O$500,"&lt;=100999",'LANÇAMENTOS DIÁRIOS'!$P$5:$P$500,"&gt;=100900")&gt;0,"X","")</f>
      </c>
      <c r="G58" s="56" t="str">
        <f>IF(COUNTIFS('LANÇAMENTOS DIÁRIOS'!$G$5:$G$500,"D",'LANÇAMENTOS DIÁRIOS'!$C$5:$C$500,$A58,'LANÇAMENTOS DIÁRIOS'!$O$5:$O$500,"&lt;=101099",'LANÇAMENTOS DIÁRIOS'!$P$5:$P$500,"&gt;=101000")&gt;0,"X","")</f>
      </c>
      <c r="H58" s="56" t="str">
        <f>IF(COUNTIFS('LANÇAMENTOS DIÁRIOS'!$G$5:$G$500,"D",'LANÇAMENTOS DIÁRIOS'!$C$5:$C$500,$A58,'LANÇAMENTOS DIÁRIOS'!$O$5:$O$500,"&lt;=101199",'LANÇAMENTOS DIÁRIOS'!$P$5:$P$500,"&gt;=101100")&gt;0,"X","")</f>
      </c>
      <c r="I58" s="56" t="str">
        <f>IF(COUNTIFS('LANÇAMENTOS DIÁRIOS'!$G$5:$G$500,"D",'LANÇAMENTOS DIÁRIOS'!$C$5:$C$500,$A58,'LANÇAMENTOS DIÁRIOS'!$O$5:$O$500,"&lt;=101299",'LANÇAMENTOS DIÁRIOS'!$P$5:$P$500,"&gt;=101200")&gt;0,"X","")</f>
      </c>
      <c r="J58" s="56" t="str">
        <f>IF(COUNTIFS('LANÇAMENTOS DIÁRIOS'!$G$5:$G$500,"D",'LANÇAMENTOS DIÁRIOS'!$C$5:$C$500,$A58,'LANÇAMENTOS DIÁRIOS'!$O$5:$O$500,"&lt;=101399",'LANÇAMENTOS DIÁRIOS'!$P$5:$P$500,"&gt;=101300")&gt;0,"X","")</f>
      </c>
      <c r="K58" s="56" t="str">
        <f>IF(COUNTIFS('LANÇAMENTOS DIÁRIOS'!$G$5:$G$500,"D",'LANÇAMENTOS DIÁRIOS'!$C$5:$C$500,$A58,'LANÇAMENTOS DIÁRIOS'!$O$5:$O$500,"&lt;=101499",'LANÇAMENTOS DIÁRIOS'!$P$5:$P$500,"&gt;=101400")&gt;0,"X","")</f>
      </c>
      <c r="L58" s="56" t="str">
        <f>IF(COUNTIFS('LANÇAMENTOS DIÁRIOS'!$G$5:$G$500,"D",'LANÇAMENTOS DIÁRIOS'!$C$5:$C$500,$A58,'LANÇAMENTOS DIÁRIOS'!$O$5:$O$500,"&lt;=101599",'LANÇAMENTOS DIÁRIOS'!$P$5:$P$500,"&gt;=101500")&gt;0,"X","")</f>
      </c>
      <c r="M58" s="56" t="str">
        <f>IF(COUNTIFS('LANÇAMENTOS DIÁRIOS'!$G$5:$G$500,"D",'LANÇAMENTOS DIÁRIOS'!$C$5:$C$500,$A58,'LANÇAMENTOS DIÁRIOS'!$O$5:$O$500,"&lt;=101699",'LANÇAMENTOS DIÁRIOS'!$P$5:$P$500,"&gt;=101600")&gt;0,"X","")</f>
      </c>
      <c r="N58" s="56" t="str">
        <f>IF(COUNTIFS('LANÇAMENTOS DIÁRIOS'!$G$5:$G$500,"D",'LANÇAMENTOS DIÁRIOS'!$C$5:$C$500,$A58,'LANÇAMENTOS DIÁRIOS'!$O$5:$O$500,"&lt;=101799",'LANÇAMENTOS DIÁRIOS'!$P$5:$P$500,"&gt;=101700")&gt;0,"X","")</f>
      </c>
      <c r="O58" s="56" t="str">
        <f>IF(COUNTIFS('LANÇAMENTOS DIÁRIOS'!$G$5:$G$500,"D",'LANÇAMENTOS DIÁRIOS'!$C$5:$C$500,$A58,'LANÇAMENTOS DIÁRIOS'!$O$5:$O$500,"&lt;=101899",'LANÇAMENTOS DIÁRIOS'!$P$5:$P$500,"&gt;=101800")&gt;0,"X","")</f>
      </c>
      <c r="P58" s="56" t="str">
        <f>IF(COUNTIFS('LANÇAMENTOS DIÁRIOS'!$G$5:$G$500,"D",'LANÇAMENTOS DIÁRIOS'!$C$5:$C$500,$A58,'LANÇAMENTOS DIÁRIOS'!$O$5:$O$500,"&lt;=101999",'LANÇAMENTOS DIÁRIOS'!$P$5:$P$500,"&gt;=101900")&gt;0,"X","")</f>
      </c>
      <c r="Q58" s="56" t="str">
        <f>IF(COUNTIFS('LANÇAMENTOS DIÁRIOS'!$G$5:$G$500,"D",'LANÇAMENTOS DIÁRIOS'!$C$5:$C$500,$A58,'LANÇAMENTOS DIÁRIOS'!$O$5:$O$500,"&lt;=102099",'LANÇAMENTOS DIÁRIOS'!$P$5:$P$500,"&gt;=102000")&gt;0,"X","")</f>
      </c>
      <c r="R58" s="56" t="str">
        <f>IF(COUNTIFS('LANÇAMENTOS DIÁRIOS'!$G$5:$G$500,"D",'LANÇAMENTOS DIÁRIOS'!$C$5:$C$500,$A58,'LANÇAMENTOS DIÁRIOS'!$O$5:$O$500,"&lt;=102199",'LANÇAMENTOS DIÁRIOS'!$P$5:$P$500,"&gt;=102100")&gt;0,"X","")</f>
      </c>
      <c r="S58" s="56" t="str">
        <f>IF(COUNTIFS('LANÇAMENTOS DIÁRIOS'!$G$5:$G$500,"D",'LANÇAMENTOS DIÁRIOS'!$C$5:$C$500,$A58,'LANÇAMENTOS DIÁRIOS'!$O$5:$O$500,"&lt;=102299",'LANÇAMENTOS DIÁRIOS'!$P$5:$P$500,"&gt;=102200")&gt;0,"X","")</f>
      </c>
      <c r="T58" s="56" t="str">
        <f>IF(COUNTIFS('LANÇAMENTOS DIÁRIOS'!$G$5:$G$500,"D",'LANÇAMENTOS DIÁRIOS'!$C$5:$C$500,$A58,'LANÇAMENTOS DIÁRIOS'!$O$5:$O$500,"&lt;=102399",'LANÇAMENTOS DIÁRIOS'!$P$5:$P$500,"&gt;=102300")&gt;0,"X","")</f>
      </c>
      <c r="U58" s="56" t="str">
        <f>IF(COUNTIFS('LANÇAMENTOS DIÁRIOS'!$G$5:$G$500,"D",'LANÇAMENTOS DIÁRIOS'!$C$5:$C$500,$A58,'LANÇAMENTOS DIÁRIOS'!$O$5:$O$500,"&lt;=102499",'LANÇAMENTOS DIÁRIOS'!$P$5:$P$500,"&gt;=102400")&gt;0,"X","")</f>
      </c>
      <c r="V58" s="56" t="str">
        <f>IF(COUNTIFS('LANÇAMENTOS DIÁRIOS'!$G$5:$G$500,"D",'LANÇAMENTOS DIÁRIOS'!$C$5:$C$500,$A58,'LANÇAMENTOS DIÁRIOS'!$O$5:$O$500,"&lt;=102599",'LANÇAMENTOS DIÁRIOS'!$P$5:$P$500,"&gt;=102500")&gt;0,"X","")</f>
      </c>
      <c r="W58" s="56" t="str">
        <f>IF(COUNTIFS('LANÇAMENTOS DIÁRIOS'!$G$5:$G$500,"D",'LANÇAMENTOS DIÁRIOS'!$C$5:$C$500,$A58,'LANÇAMENTOS DIÁRIOS'!$O$5:$O$500,"&lt;=102699",'LANÇAMENTOS DIÁRIOS'!$P$5:$P$500,"&gt;=102600")&gt;0,"X","")</f>
      </c>
      <c r="X58" s="56" t="str">
        <f>IF(COUNTIFS('LANÇAMENTOS DIÁRIOS'!$G$5:$G$500,"D",'LANÇAMENTOS DIÁRIOS'!$C$5:$C$500,$A58,'LANÇAMENTOS DIÁRIOS'!$O$5:$O$500,"&lt;=102799",'LANÇAMENTOS DIÁRIOS'!$P$5:$P$500,"&gt;=102700")&gt;0,"X","")</f>
      </c>
      <c r="Y58" s="56" t="str">
        <f>IF(COUNTIFS('LANÇAMENTOS DIÁRIOS'!$G$5:$G$500,"D",'LANÇAMENTOS DIÁRIOS'!$C$5:$C$500,$A58,'LANÇAMENTOS DIÁRIOS'!$O$5:$O$500,"&lt;=102899",'LANÇAMENTOS DIÁRIOS'!$P$5:$P$500,"&gt;=102800")&gt;0,"X","")</f>
      </c>
      <c r="Z58" s="56" t="str">
        <f>IF(COUNTIFS('LANÇAMENTOS DIÁRIOS'!$G$5:$G$500,"D",'LANÇAMENTOS DIÁRIOS'!$C$5:$C$500,$A58,'LANÇAMENTOS DIÁRIOS'!$O$5:$O$500,"&lt;=102999",'LANÇAMENTOS DIÁRIOS'!$P$5:$P$500,"&gt;=102900")&gt;0,"X","")</f>
      </c>
      <c r="AA58" s="56" t="str">
        <f>IF(COUNTIFS('LANÇAMENTOS DIÁRIOS'!$G$5:$G$500,"D",'LANÇAMENTOS DIÁRIOS'!$C$5:$C$500,$A58,'LANÇAMENTOS DIÁRIOS'!$O$5:$O$500,"&lt;=103099",'LANÇAMENTOS DIÁRIOS'!$P$5:$P$500,"&gt;=103000")&gt;0,"X","")</f>
      </c>
      <c r="AB58" s="56" t="str">
        <f>IF(COUNTIFS('LANÇAMENTOS DIÁRIOS'!$G$5:$G$500,"D",'LANÇAMENTOS DIÁRIOS'!$C$5:$C$500,$A58,'LANÇAMENTOS DIÁRIOS'!$O$5:$O$500,"&lt;=103199",'LANÇAMENTOS DIÁRIOS'!$P$5:$P$500,"&gt;=103100")&gt;0,"X","")</f>
      </c>
      <c r="AC58" s="56" t="str">
        <f>IF(COUNTIFS('LANÇAMENTOS DIÁRIOS'!$G$5:$G$500,"D",'LANÇAMENTOS DIÁRIOS'!$C$5:$C$500,$A58,'LANÇAMENTOS DIÁRIOS'!$O$5:$O$500,"&lt;=103299",'LANÇAMENTOS DIÁRIOS'!$P$5:$P$500,"&gt;=103200")&gt;0,"X","")</f>
      </c>
      <c r="AD58" s="56" t="str">
        <f>IF(COUNTIFS('LANÇAMENTOS DIÁRIOS'!$G$5:$G$500,"D",'LANÇAMENTOS DIÁRIOS'!$C$5:$C$500,$A58,'LANÇAMENTOS DIÁRIOS'!$O$5:$O$500,"&lt;=103399",'LANÇAMENTOS DIÁRIOS'!$P$5:$P$500,"&gt;=103300")&gt;0,"X","")</f>
      </c>
      <c r="AE58" s="56" t="str">
        <f>IF(COUNTIFS('LANÇAMENTOS DIÁRIOS'!$G$5:$G$500,"D",'LANÇAMENTOS DIÁRIOS'!$C$5:$C$500,$A58,'LANÇAMENTOS DIÁRIOS'!$O$5:$O$500,"&lt;=103499",'LANÇAMENTOS DIÁRIOS'!$P$5:$P$500,"&gt;=103400")&gt;0,"X","")</f>
      </c>
      <c r="AF58" s="56" t="str">
        <f>IF(COUNTIFS('LANÇAMENTOS DIÁRIOS'!$G$5:$G$500,"D",'LANÇAMENTOS DIÁRIOS'!$C$5:$C$500,$A58,'LANÇAMENTOS DIÁRIOS'!$O$5:$O$500,"&lt;=103599",'LANÇAMENTOS DIÁRIOS'!$P$5:$P$500,"&gt;=103500")&gt;0,"X","")</f>
      </c>
      <c r="AG58" s="56" t="str">
        <f>IF(COUNTIFS('LANÇAMENTOS DIÁRIOS'!$G$5:$G$500,"D",'LANÇAMENTOS DIÁRIOS'!$C$5:$C$500,$A58,'LANÇAMENTOS DIÁRIOS'!$O$5:$O$500,"&lt;=103699",'LANÇAMENTOS DIÁRIOS'!$P$5:$P$500,"&gt;=103600")&gt;0,"X","")</f>
      </c>
      <c r="AH58" s="56" t="str">
        <f>IF(COUNTIFS('LANÇAMENTOS DIÁRIOS'!$G$5:$G$500,"D",'LANÇAMENTOS DIÁRIOS'!$C$5:$C$500,$A58,'LANÇAMENTOS DIÁRIOS'!$O$5:$O$500,"&lt;=103799",'LANÇAMENTOS DIÁRIOS'!$P$5:$P$500,"&gt;=103700")&gt;0,"X","")</f>
      </c>
      <c r="AI58" s="56" t="str">
        <f>IF(COUNTIFS('LANÇAMENTOS DIÁRIOS'!$G$5:$G$500,"D",'LANÇAMENTOS DIÁRIOS'!$C$5:$C$500,$A58,'LANÇAMENTOS DIÁRIOS'!$O$5:$O$500,"&lt;=103899",'LANÇAMENTOS DIÁRIOS'!$P$5:$P$500,"&gt;=103800")&gt;0,"X","")</f>
      </c>
      <c r="AJ58" s="56" t="str">
        <f>IF(COUNTIFS('LANÇAMENTOS DIÁRIOS'!$G$5:$G$500,"D",'LANÇAMENTOS DIÁRIOS'!$C$5:$C$500,$A58,'LANÇAMENTOS DIÁRIOS'!$O$5:$O$500,"&lt;=103999",'LANÇAMENTOS DIÁRIOS'!$P$5:$P$500,"&gt;=103900")&gt;0,"X","")</f>
      </c>
      <c r="AK58" s="56" t="str">
        <f>IF(COUNTIFS('LANÇAMENTOS DIÁRIOS'!$G$5:$G$500,"D",'LANÇAMENTOS DIÁRIOS'!$C$5:$C$500,$A58,'LANÇAMENTOS DIÁRIOS'!$O$5:$O$500,"&lt;=104099",'LANÇAMENTOS DIÁRIOS'!$P$5:$P$500,"&gt;=104000")&gt;0,"X","")</f>
      </c>
      <c r="AL58" s="56" t="str">
        <f>IF(COUNTIFS('LANÇAMENTOS DIÁRIOS'!$G$5:$G$500,"D",'LANÇAMENTOS DIÁRIOS'!$C$5:$C$500,$A58,'LANÇAMENTOS DIÁRIOS'!$O$5:$O$500,"&lt;=104199",'LANÇAMENTOS DIÁRIOS'!$P$5:$P$500,"&gt;=104100")&gt;0,"X","")</f>
      </c>
      <c r="AM58" s="56" t="str">
        <f>IF(COUNTIFS('LANÇAMENTOS DIÁRIOS'!$G$5:$G$500,"D",'LANÇAMENTOS DIÁRIOS'!$C$5:$C$500,$A58,'LANÇAMENTOS DIÁRIOS'!$O$5:$O$500,"&lt;=104299",'LANÇAMENTOS DIÁRIOS'!$P$5:$P$500,"&gt;=104200")&gt;0,"X","")</f>
      </c>
      <c r="AN58" s="56" t="str">
        <f>IF(COUNTIFS('LANÇAMENTOS DIÁRIOS'!$G$5:$G$500,"D",'LANÇAMENTOS DIÁRIOS'!$C$5:$C$500,$A58,'LANÇAMENTOS DIÁRIOS'!$O$5:$O$500,"&lt;=104399",'LANÇAMENTOS DIÁRIOS'!$P$5:$P$500,"&gt;=104300")&gt;0,"X","")</f>
      </c>
      <c r="AO58" s="56" t="str">
        <f>IF(COUNTIFS('LANÇAMENTOS DIÁRIOS'!$G$5:$G$500,"D",'LANÇAMENTOS DIÁRIOS'!$C$5:$C$500,$A58,'LANÇAMENTOS DIÁRIOS'!$O$5:$O$500,"&lt;=104499",'LANÇAMENTOS DIÁRIOS'!$P$5:$P$500,"&gt;=104400")&gt;0,"X","")</f>
      </c>
      <c r="AP58" s="56" t="str">
        <f>IF(COUNTIFS('LANÇAMENTOS DIÁRIOS'!$G$5:$G$500,"D",'LANÇAMENTOS DIÁRIOS'!$C$5:$C$500,$A58,'LANÇAMENTOS DIÁRIOS'!$O$5:$O$500,"&lt;=104599",'LANÇAMENTOS DIÁRIOS'!$P$5:$P$500,"&gt;=104500")&gt;0,"X","")</f>
      </c>
      <c r="AQ58" s="56" t="str">
        <f>IF(COUNTIFS('LANÇAMENTOS DIÁRIOS'!$G$5:$G$500,"D",'LANÇAMENTOS DIÁRIOS'!$C$5:$C$500,$A58,'LANÇAMENTOS DIÁRIOS'!$O$5:$O$500,"&lt;=104699",'LANÇAMENTOS DIÁRIOS'!$P$5:$P$500,"&gt;=104600")&gt;0,"X","")</f>
      </c>
      <c r="AR58" s="56" t="str">
        <f>IF(COUNTIFS('LANÇAMENTOS DIÁRIOS'!$G$5:$G$500,"D",'LANÇAMENTOS DIÁRIOS'!$C$5:$C$500,$A58,'LANÇAMENTOS DIÁRIOS'!$O$5:$O$500,"&lt;=104799",'LANÇAMENTOS DIÁRIOS'!$P$5:$P$500,"&gt;=104700")&gt;0,"X","")</f>
      </c>
      <c r="AS58" s="56" t="str">
        <f>IF(COUNTIFS('LANÇAMENTOS DIÁRIOS'!$G$5:$G$500,"D",'LANÇAMENTOS DIÁRIOS'!$C$5:$C$500,$A58,'LANÇAMENTOS DIÁRIOS'!$O$5:$O$500,"&lt;=104899",'LANÇAMENTOS DIÁRIOS'!$P$5:$P$500,"&gt;=104800")&gt;0,"X","")</f>
      </c>
      <c r="AT58" s="56" t="str">
        <f>IF(COUNTIFS('LANÇAMENTOS DIÁRIOS'!$G$5:$G$500,"D",'LANÇAMENTOS DIÁRIOS'!$C$5:$C$500,$A58,'LANÇAMENTOS DIÁRIOS'!$O$5:$O$500,"&lt;=104999",'LANÇAMENTOS DIÁRIOS'!$P$5:$P$500,"&gt;=104900")&gt;0,"X","")</f>
      </c>
      <c r="AU58" s="56" t="str">
        <f>IF(COUNTIFS('LANÇAMENTOS DIÁRIOS'!$G$5:$G$500,"D",'LANÇAMENTOS DIÁRIOS'!$C$5:$C$500,$A58,'LANÇAMENTOS DIÁRIOS'!$O$5:$O$500,"&lt;=105099",'LANÇAMENTOS DIÁRIOS'!$P$5:$P$500,"&gt;=105000")&gt;0,"X","")</f>
      </c>
      <c r="AV58" s="56" t="str">
        <f>IF(COUNTIFS('LANÇAMENTOS DIÁRIOS'!$G$5:$G$500,"D",'LANÇAMENTOS DIÁRIOS'!$C$5:$C$500,$A58,'LANÇAMENTOS DIÁRIOS'!$O$5:$O$500,"&lt;=105199",'LANÇAMENTOS DIÁRIOS'!$P$5:$P$500,"&gt;=105100")&gt;0,"X","")</f>
      </c>
      <c r="AW58" s="56" t="str">
        <f>IF(COUNTIFS('LANÇAMENTOS DIÁRIOS'!$G$5:$G$500,"D",'LANÇAMENTOS DIÁRIOS'!$C$5:$C$500,$A58,'LANÇAMENTOS DIÁRIOS'!$O$5:$O$500,"&lt;=105299",'LANÇAMENTOS DIÁRIOS'!$P$5:$P$500,"&gt;=105200")&gt;0,"X","")</f>
      </c>
      <c r="AX58" s="56" t="str">
        <f>IF(COUNTIFS('LANÇAMENTOS DIÁRIOS'!$G$5:$G$500,"D",'LANÇAMENTOS DIÁRIOS'!$C$5:$C$500,$A58,'LANÇAMENTOS DIÁRIOS'!$O$5:$O$500,"&lt;=105399",'LANÇAMENTOS DIÁRIOS'!$P$5:$P$500,"&gt;=105300")&gt;0,"X","")</f>
      </c>
      <c r="AY58" s="56" t="str">
        <f>IF(COUNTIFS('LANÇAMENTOS DIÁRIOS'!$G$5:$G$500,"D",'LANÇAMENTOS DIÁRIOS'!$C$5:$C$500,$A58,'LANÇAMENTOS DIÁRIOS'!$O$5:$O$500,"&lt;=105499",'LANÇAMENTOS DIÁRIOS'!$P$5:$P$500,"&gt;=105400")&gt;0,"X","")</f>
      </c>
      <c r="AZ58" s="56" t="str">
        <f>IF(COUNTIFS('LANÇAMENTOS DIÁRIOS'!$G$5:$G$500,"D",'LANÇAMENTOS DIÁRIOS'!$C$5:$C$500,$A58,'LANÇAMENTOS DIÁRIOS'!$O$5:$O$500,"&lt;=105500",'LANÇAMENTOS DIÁRIOS'!$P$5:$P$500,"&gt;=105500")&gt;0,"X","")</f>
      </c>
    </row>
    <row r="59" ht="19" customHeight="1">
      <c r="A59" s="68" t="str">
        <v>Construção do subleito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</row>
    <row r="60">
      <c r="A60" s="51" t="str">
        <v>Regularização do subleito</v>
      </c>
      <c r="B60" s="56" t="str">
        <f>IF(COUNTIFS('LANÇAMENTOS DIÁRIOS'!$G$5:$G$500,"D",'LANÇAMENTOS DIÁRIOS'!$C$5:$C$500,$A60,'LANÇAMENTOS DIÁRIOS'!$O$5:$O$500,"&lt;=100599",'LANÇAMENTOS DIÁRIOS'!$P$5:$P$500,"&gt;=100500")&gt;0,"X","")</f>
      </c>
      <c r="C60" s="56" t="str">
        <f>IF(COUNTIFS('LANÇAMENTOS DIÁRIOS'!$G$5:$G$500,"D",'LANÇAMENTOS DIÁRIOS'!$C$5:$C$500,$A60,'LANÇAMENTOS DIÁRIOS'!$O$5:$O$500,"&lt;=100699",'LANÇAMENTOS DIÁRIOS'!$P$5:$P$500,"&gt;=100600")&gt;0,"X","")</f>
      </c>
      <c r="D60" s="56" t="str">
        <f>IF(COUNTIFS('LANÇAMENTOS DIÁRIOS'!$G$5:$G$500,"D",'LANÇAMENTOS DIÁRIOS'!$C$5:$C$500,$A60,'LANÇAMENTOS DIÁRIOS'!$O$5:$O$500,"&lt;=100799",'LANÇAMENTOS DIÁRIOS'!$P$5:$P$500,"&gt;=100700")&gt;0,"X","")</f>
      </c>
      <c r="E60" s="56" t="str">
        <f>IF(COUNTIFS('LANÇAMENTOS DIÁRIOS'!$G$5:$G$500,"D",'LANÇAMENTOS DIÁRIOS'!$C$5:$C$500,$A60,'LANÇAMENTOS DIÁRIOS'!$O$5:$O$500,"&lt;=100899",'LANÇAMENTOS DIÁRIOS'!$P$5:$P$500,"&gt;=100800")&gt;0,"X","")</f>
      </c>
      <c r="F60" s="56" t="str">
        <f>IF(COUNTIFS('LANÇAMENTOS DIÁRIOS'!$G$5:$G$500,"D",'LANÇAMENTOS DIÁRIOS'!$C$5:$C$500,$A60,'LANÇAMENTOS DIÁRIOS'!$O$5:$O$500,"&lt;=100999",'LANÇAMENTOS DIÁRIOS'!$P$5:$P$500,"&gt;=100900")&gt;0,"X","")</f>
      </c>
      <c r="G60" s="56" t="str">
        <f>IF(COUNTIFS('LANÇAMENTOS DIÁRIOS'!$G$5:$G$500,"D",'LANÇAMENTOS DIÁRIOS'!$C$5:$C$500,$A60,'LANÇAMENTOS DIÁRIOS'!$O$5:$O$500,"&lt;=101099",'LANÇAMENTOS DIÁRIOS'!$P$5:$P$500,"&gt;=101000")&gt;0,"X","")</f>
      </c>
      <c r="H60" s="56" t="str">
        <f>IF(COUNTIFS('LANÇAMENTOS DIÁRIOS'!$G$5:$G$500,"D",'LANÇAMENTOS DIÁRIOS'!$C$5:$C$500,$A60,'LANÇAMENTOS DIÁRIOS'!$O$5:$O$500,"&lt;=101199",'LANÇAMENTOS DIÁRIOS'!$P$5:$P$500,"&gt;=101100")&gt;0,"X","")</f>
      </c>
      <c r="I60" s="56" t="str">
        <f>IF(COUNTIFS('LANÇAMENTOS DIÁRIOS'!$G$5:$G$500,"D",'LANÇAMENTOS DIÁRIOS'!$C$5:$C$500,$A60,'LANÇAMENTOS DIÁRIOS'!$O$5:$O$500,"&lt;=101299",'LANÇAMENTOS DIÁRIOS'!$P$5:$P$500,"&gt;=101200")&gt;0,"X","")</f>
      </c>
      <c r="J60" s="56" t="str">
        <f>IF(COUNTIFS('LANÇAMENTOS DIÁRIOS'!$G$5:$G$500,"D",'LANÇAMENTOS DIÁRIOS'!$C$5:$C$500,$A60,'LANÇAMENTOS DIÁRIOS'!$O$5:$O$500,"&lt;=101399",'LANÇAMENTOS DIÁRIOS'!$P$5:$P$500,"&gt;=101300")&gt;0,"X","")</f>
      </c>
      <c r="K60" s="56" t="str">
        <f>IF(COUNTIFS('LANÇAMENTOS DIÁRIOS'!$G$5:$G$500,"D",'LANÇAMENTOS DIÁRIOS'!$C$5:$C$500,$A60,'LANÇAMENTOS DIÁRIOS'!$O$5:$O$500,"&lt;=101499",'LANÇAMENTOS DIÁRIOS'!$P$5:$P$500,"&gt;=101400")&gt;0,"X","")</f>
      </c>
      <c r="L60" s="56" t="str">
        <f>IF(COUNTIFS('LANÇAMENTOS DIÁRIOS'!$G$5:$G$500,"D",'LANÇAMENTOS DIÁRIOS'!$C$5:$C$500,$A60,'LANÇAMENTOS DIÁRIOS'!$O$5:$O$500,"&lt;=101599",'LANÇAMENTOS DIÁRIOS'!$P$5:$P$500,"&gt;=101500")&gt;0,"X","")</f>
      </c>
      <c r="M60" s="56" t="str">
        <f>IF(COUNTIFS('LANÇAMENTOS DIÁRIOS'!$G$5:$G$500,"D",'LANÇAMENTOS DIÁRIOS'!$C$5:$C$500,$A60,'LANÇAMENTOS DIÁRIOS'!$O$5:$O$500,"&lt;=101699",'LANÇAMENTOS DIÁRIOS'!$P$5:$P$500,"&gt;=101600")&gt;0,"X","")</f>
      </c>
      <c r="N60" s="56" t="str">
        <f>IF(COUNTIFS('LANÇAMENTOS DIÁRIOS'!$G$5:$G$500,"D",'LANÇAMENTOS DIÁRIOS'!$C$5:$C$500,$A60,'LANÇAMENTOS DIÁRIOS'!$O$5:$O$500,"&lt;=101799",'LANÇAMENTOS DIÁRIOS'!$P$5:$P$500,"&gt;=101700")&gt;0,"X","")</f>
      </c>
      <c r="O60" s="56" t="str">
        <f>IF(COUNTIFS('LANÇAMENTOS DIÁRIOS'!$G$5:$G$500,"D",'LANÇAMENTOS DIÁRIOS'!$C$5:$C$500,$A60,'LANÇAMENTOS DIÁRIOS'!$O$5:$O$500,"&lt;=101899",'LANÇAMENTOS DIÁRIOS'!$P$5:$P$500,"&gt;=101800")&gt;0,"X","")</f>
      </c>
      <c r="P60" s="56" t="str">
        <f>IF(COUNTIFS('LANÇAMENTOS DIÁRIOS'!$G$5:$G$500,"D",'LANÇAMENTOS DIÁRIOS'!$C$5:$C$500,$A60,'LANÇAMENTOS DIÁRIOS'!$O$5:$O$500,"&lt;=101999",'LANÇAMENTOS DIÁRIOS'!$P$5:$P$500,"&gt;=101900")&gt;0,"X","")</f>
      </c>
      <c r="Q60" s="56" t="str">
        <f>IF(COUNTIFS('LANÇAMENTOS DIÁRIOS'!$G$5:$G$500,"D",'LANÇAMENTOS DIÁRIOS'!$C$5:$C$500,$A60,'LANÇAMENTOS DIÁRIOS'!$O$5:$O$500,"&lt;=102099",'LANÇAMENTOS DIÁRIOS'!$P$5:$P$500,"&gt;=102000")&gt;0,"X","")</f>
      </c>
      <c r="R60" s="56" t="str">
        <f>IF(COUNTIFS('LANÇAMENTOS DIÁRIOS'!$G$5:$G$500,"D",'LANÇAMENTOS DIÁRIOS'!$C$5:$C$500,$A60,'LANÇAMENTOS DIÁRIOS'!$O$5:$O$500,"&lt;=102199",'LANÇAMENTOS DIÁRIOS'!$P$5:$P$500,"&gt;=102100")&gt;0,"X","")</f>
      </c>
      <c r="S60" s="56" t="str">
        <f>IF(COUNTIFS('LANÇAMENTOS DIÁRIOS'!$G$5:$G$500,"D",'LANÇAMENTOS DIÁRIOS'!$C$5:$C$500,$A60,'LANÇAMENTOS DIÁRIOS'!$O$5:$O$500,"&lt;=102299",'LANÇAMENTOS DIÁRIOS'!$P$5:$P$500,"&gt;=102200")&gt;0,"X","")</f>
      </c>
      <c r="T60" s="56" t="str">
        <f>IF(COUNTIFS('LANÇAMENTOS DIÁRIOS'!$G$5:$G$500,"D",'LANÇAMENTOS DIÁRIOS'!$C$5:$C$500,$A60,'LANÇAMENTOS DIÁRIOS'!$O$5:$O$500,"&lt;=102399",'LANÇAMENTOS DIÁRIOS'!$P$5:$P$500,"&gt;=102300")&gt;0,"X","")</f>
      </c>
      <c r="U60" s="56" t="str">
        <f>IF(COUNTIFS('LANÇAMENTOS DIÁRIOS'!$G$5:$G$500,"D",'LANÇAMENTOS DIÁRIOS'!$C$5:$C$500,$A60,'LANÇAMENTOS DIÁRIOS'!$O$5:$O$500,"&lt;=102499",'LANÇAMENTOS DIÁRIOS'!$P$5:$P$500,"&gt;=102400")&gt;0,"X","")</f>
      </c>
      <c r="V60" s="56" t="str">
        <f>IF(COUNTIFS('LANÇAMENTOS DIÁRIOS'!$G$5:$G$500,"D",'LANÇAMENTOS DIÁRIOS'!$C$5:$C$500,$A60,'LANÇAMENTOS DIÁRIOS'!$O$5:$O$500,"&lt;=102599",'LANÇAMENTOS DIÁRIOS'!$P$5:$P$500,"&gt;=102500")&gt;0,"X","")</f>
      </c>
      <c r="W60" s="56" t="str">
        <f>IF(COUNTIFS('LANÇAMENTOS DIÁRIOS'!$G$5:$G$500,"D",'LANÇAMENTOS DIÁRIOS'!$C$5:$C$500,$A60,'LANÇAMENTOS DIÁRIOS'!$O$5:$O$500,"&lt;=102699",'LANÇAMENTOS DIÁRIOS'!$P$5:$P$500,"&gt;=102600")&gt;0,"X","")</f>
      </c>
      <c r="X60" s="56" t="str">
        <f>IF(COUNTIFS('LANÇAMENTOS DIÁRIOS'!$G$5:$G$500,"D",'LANÇAMENTOS DIÁRIOS'!$C$5:$C$500,$A60,'LANÇAMENTOS DIÁRIOS'!$O$5:$O$500,"&lt;=102799",'LANÇAMENTOS DIÁRIOS'!$P$5:$P$500,"&gt;=102700")&gt;0,"X","")</f>
      </c>
      <c r="Y60" s="56" t="str">
        <f>IF(COUNTIFS('LANÇAMENTOS DIÁRIOS'!$G$5:$G$500,"D",'LANÇAMENTOS DIÁRIOS'!$C$5:$C$500,$A60,'LANÇAMENTOS DIÁRIOS'!$O$5:$O$500,"&lt;=102899",'LANÇAMENTOS DIÁRIOS'!$P$5:$P$500,"&gt;=102800")&gt;0,"X","")</f>
      </c>
      <c r="Z60" s="56" t="str">
        <f>IF(COUNTIFS('LANÇAMENTOS DIÁRIOS'!$G$5:$G$500,"D",'LANÇAMENTOS DIÁRIOS'!$C$5:$C$500,$A60,'LANÇAMENTOS DIÁRIOS'!$O$5:$O$500,"&lt;=102999",'LANÇAMENTOS DIÁRIOS'!$P$5:$P$500,"&gt;=102900")&gt;0,"X","")</f>
      </c>
      <c r="AA60" s="56" t="str">
        <f>IF(COUNTIFS('LANÇAMENTOS DIÁRIOS'!$G$5:$G$500,"D",'LANÇAMENTOS DIÁRIOS'!$C$5:$C$500,$A60,'LANÇAMENTOS DIÁRIOS'!$O$5:$O$500,"&lt;=103099",'LANÇAMENTOS DIÁRIOS'!$P$5:$P$500,"&gt;=103000")&gt;0,"X","")</f>
      </c>
      <c r="AB60" s="56" t="str">
        <f>IF(COUNTIFS('LANÇAMENTOS DIÁRIOS'!$G$5:$G$500,"D",'LANÇAMENTOS DIÁRIOS'!$C$5:$C$500,$A60,'LANÇAMENTOS DIÁRIOS'!$O$5:$O$500,"&lt;=103199",'LANÇAMENTOS DIÁRIOS'!$P$5:$P$500,"&gt;=103100")&gt;0,"X","")</f>
      </c>
      <c r="AC60" s="56" t="str">
        <f>IF(COUNTIFS('LANÇAMENTOS DIÁRIOS'!$G$5:$G$500,"D",'LANÇAMENTOS DIÁRIOS'!$C$5:$C$500,$A60,'LANÇAMENTOS DIÁRIOS'!$O$5:$O$500,"&lt;=103299",'LANÇAMENTOS DIÁRIOS'!$P$5:$P$500,"&gt;=103200")&gt;0,"X","")</f>
      </c>
      <c r="AD60" s="56" t="str">
        <f>IF(COUNTIFS('LANÇAMENTOS DIÁRIOS'!$G$5:$G$500,"D",'LANÇAMENTOS DIÁRIOS'!$C$5:$C$500,$A60,'LANÇAMENTOS DIÁRIOS'!$O$5:$O$500,"&lt;=103399",'LANÇAMENTOS DIÁRIOS'!$P$5:$P$500,"&gt;=103300")&gt;0,"X","")</f>
      </c>
      <c r="AE60" s="56" t="str">
        <f>IF(COUNTIFS('LANÇAMENTOS DIÁRIOS'!$G$5:$G$500,"D",'LANÇAMENTOS DIÁRIOS'!$C$5:$C$500,$A60,'LANÇAMENTOS DIÁRIOS'!$O$5:$O$500,"&lt;=103499",'LANÇAMENTOS DIÁRIOS'!$P$5:$P$500,"&gt;=103400")&gt;0,"X","")</f>
      </c>
      <c r="AF60" s="56" t="str">
        <f>IF(COUNTIFS('LANÇAMENTOS DIÁRIOS'!$G$5:$G$500,"D",'LANÇAMENTOS DIÁRIOS'!$C$5:$C$500,$A60,'LANÇAMENTOS DIÁRIOS'!$O$5:$O$500,"&lt;=103599",'LANÇAMENTOS DIÁRIOS'!$P$5:$P$500,"&gt;=103500")&gt;0,"X","")</f>
      </c>
      <c r="AG60" s="56" t="str">
        <f>IF(COUNTIFS('LANÇAMENTOS DIÁRIOS'!$G$5:$G$500,"D",'LANÇAMENTOS DIÁRIOS'!$C$5:$C$500,$A60,'LANÇAMENTOS DIÁRIOS'!$O$5:$O$500,"&lt;=103699",'LANÇAMENTOS DIÁRIOS'!$P$5:$P$500,"&gt;=103600")&gt;0,"X","")</f>
      </c>
      <c r="AH60" s="56" t="str">
        <f>IF(COUNTIFS('LANÇAMENTOS DIÁRIOS'!$G$5:$G$500,"D",'LANÇAMENTOS DIÁRIOS'!$C$5:$C$500,$A60,'LANÇAMENTOS DIÁRIOS'!$O$5:$O$500,"&lt;=103799",'LANÇAMENTOS DIÁRIOS'!$P$5:$P$500,"&gt;=103700")&gt;0,"X","")</f>
      </c>
      <c r="AI60" s="56" t="str">
        <f>IF(COUNTIFS('LANÇAMENTOS DIÁRIOS'!$G$5:$G$500,"D",'LANÇAMENTOS DIÁRIOS'!$C$5:$C$500,$A60,'LANÇAMENTOS DIÁRIOS'!$O$5:$O$500,"&lt;=103899",'LANÇAMENTOS DIÁRIOS'!$P$5:$P$500,"&gt;=103800")&gt;0,"X","")</f>
      </c>
      <c r="AJ60" s="56" t="str">
        <f>IF(COUNTIFS('LANÇAMENTOS DIÁRIOS'!$G$5:$G$500,"D",'LANÇAMENTOS DIÁRIOS'!$C$5:$C$500,$A60,'LANÇAMENTOS DIÁRIOS'!$O$5:$O$500,"&lt;=103999",'LANÇAMENTOS DIÁRIOS'!$P$5:$P$500,"&gt;=103900")&gt;0,"X","")</f>
      </c>
      <c r="AK60" s="56" t="str">
        <f>IF(COUNTIFS('LANÇAMENTOS DIÁRIOS'!$G$5:$G$500,"D",'LANÇAMENTOS DIÁRIOS'!$C$5:$C$500,$A60,'LANÇAMENTOS DIÁRIOS'!$O$5:$O$500,"&lt;=104099",'LANÇAMENTOS DIÁRIOS'!$P$5:$P$500,"&gt;=104000")&gt;0,"X","")</f>
      </c>
      <c r="AL60" s="56" t="str">
        <f>IF(COUNTIFS('LANÇAMENTOS DIÁRIOS'!$G$5:$G$500,"D",'LANÇAMENTOS DIÁRIOS'!$C$5:$C$500,$A60,'LANÇAMENTOS DIÁRIOS'!$O$5:$O$500,"&lt;=104199",'LANÇAMENTOS DIÁRIOS'!$P$5:$P$500,"&gt;=104100")&gt;0,"X","")</f>
      </c>
      <c r="AM60" s="56" t="str">
        <f>IF(COUNTIFS('LANÇAMENTOS DIÁRIOS'!$G$5:$G$500,"D",'LANÇAMENTOS DIÁRIOS'!$C$5:$C$500,$A60,'LANÇAMENTOS DIÁRIOS'!$O$5:$O$500,"&lt;=104299",'LANÇAMENTOS DIÁRIOS'!$P$5:$P$500,"&gt;=104200")&gt;0,"X","")</f>
      </c>
      <c r="AN60" s="56" t="str">
        <f>IF(COUNTIFS('LANÇAMENTOS DIÁRIOS'!$G$5:$G$500,"D",'LANÇAMENTOS DIÁRIOS'!$C$5:$C$500,$A60,'LANÇAMENTOS DIÁRIOS'!$O$5:$O$500,"&lt;=104399",'LANÇAMENTOS DIÁRIOS'!$P$5:$P$500,"&gt;=104300")&gt;0,"X","")</f>
      </c>
      <c r="AO60" s="56" t="str">
        <f>IF(COUNTIFS('LANÇAMENTOS DIÁRIOS'!$G$5:$G$500,"D",'LANÇAMENTOS DIÁRIOS'!$C$5:$C$500,$A60,'LANÇAMENTOS DIÁRIOS'!$O$5:$O$500,"&lt;=104499",'LANÇAMENTOS DIÁRIOS'!$P$5:$P$500,"&gt;=104400")&gt;0,"X","")</f>
      </c>
      <c r="AP60" s="56" t="str">
        <f>IF(COUNTIFS('LANÇAMENTOS DIÁRIOS'!$G$5:$G$500,"D",'LANÇAMENTOS DIÁRIOS'!$C$5:$C$500,$A60,'LANÇAMENTOS DIÁRIOS'!$O$5:$O$500,"&lt;=104599",'LANÇAMENTOS DIÁRIOS'!$P$5:$P$500,"&gt;=104500")&gt;0,"X","")</f>
      </c>
      <c r="AQ60" s="56" t="str">
        <f>IF(COUNTIFS('LANÇAMENTOS DIÁRIOS'!$G$5:$G$500,"D",'LANÇAMENTOS DIÁRIOS'!$C$5:$C$500,$A60,'LANÇAMENTOS DIÁRIOS'!$O$5:$O$500,"&lt;=104699",'LANÇAMENTOS DIÁRIOS'!$P$5:$P$500,"&gt;=104600")&gt;0,"X","")</f>
      </c>
      <c r="AR60" s="56" t="str">
        <f>IF(COUNTIFS('LANÇAMENTOS DIÁRIOS'!$G$5:$G$500,"D",'LANÇAMENTOS DIÁRIOS'!$C$5:$C$500,$A60,'LANÇAMENTOS DIÁRIOS'!$O$5:$O$500,"&lt;=104799",'LANÇAMENTOS DIÁRIOS'!$P$5:$P$500,"&gt;=104700")&gt;0,"X","")</f>
      </c>
      <c r="AS60" s="56" t="str">
        <f>IF(COUNTIFS('LANÇAMENTOS DIÁRIOS'!$G$5:$G$500,"D",'LANÇAMENTOS DIÁRIOS'!$C$5:$C$500,$A60,'LANÇAMENTOS DIÁRIOS'!$O$5:$O$500,"&lt;=104899",'LANÇAMENTOS DIÁRIOS'!$P$5:$P$500,"&gt;=104800")&gt;0,"X","")</f>
      </c>
      <c r="AT60" s="56" t="str">
        <f>IF(COUNTIFS('LANÇAMENTOS DIÁRIOS'!$G$5:$G$500,"D",'LANÇAMENTOS DIÁRIOS'!$C$5:$C$500,$A60,'LANÇAMENTOS DIÁRIOS'!$O$5:$O$500,"&lt;=104999",'LANÇAMENTOS DIÁRIOS'!$P$5:$P$500,"&gt;=104900")&gt;0,"X","")</f>
      </c>
      <c r="AU60" s="56" t="str">
        <f>IF(COUNTIFS('LANÇAMENTOS DIÁRIOS'!$G$5:$G$500,"D",'LANÇAMENTOS DIÁRIOS'!$C$5:$C$500,$A60,'LANÇAMENTOS DIÁRIOS'!$O$5:$O$500,"&lt;=105099",'LANÇAMENTOS DIÁRIOS'!$P$5:$P$500,"&gt;=105000")&gt;0,"X","")</f>
      </c>
      <c r="AV60" s="56" t="str">
        <f>IF(COUNTIFS('LANÇAMENTOS DIÁRIOS'!$G$5:$G$500,"D",'LANÇAMENTOS DIÁRIOS'!$C$5:$C$500,$A60,'LANÇAMENTOS DIÁRIOS'!$O$5:$O$500,"&lt;=105199",'LANÇAMENTOS DIÁRIOS'!$P$5:$P$500,"&gt;=105100")&gt;0,"X","")</f>
      </c>
      <c r="AW60" s="56" t="str">
        <f>IF(COUNTIFS('LANÇAMENTOS DIÁRIOS'!$G$5:$G$500,"D",'LANÇAMENTOS DIÁRIOS'!$C$5:$C$500,$A60,'LANÇAMENTOS DIÁRIOS'!$O$5:$O$500,"&lt;=105299",'LANÇAMENTOS DIÁRIOS'!$P$5:$P$500,"&gt;=105200")&gt;0,"X","")</f>
      </c>
      <c r="AX60" s="56" t="str">
        <f>IF(COUNTIFS('LANÇAMENTOS DIÁRIOS'!$G$5:$G$500,"D",'LANÇAMENTOS DIÁRIOS'!$C$5:$C$500,$A60,'LANÇAMENTOS DIÁRIOS'!$O$5:$O$500,"&lt;=105399",'LANÇAMENTOS DIÁRIOS'!$P$5:$P$500,"&gt;=105300")&gt;0,"X","")</f>
      </c>
      <c r="AY60" s="56" t="str">
        <f>IF(COUNTIFS('LANÇAMENTOS DIÁRIOS'!$G$5:$G$500,"D",'LANÇAMENTOS DIÁRIOS'!$C$5:$C$500,$A60,'LANÇAMENTOS DIÁRIOS'!$O$5:$O$500,"&lt;=105499",'LANÇAMENTOS DIÁRIOS'!$P$5:$P$500,"&gt;=105400")&gt;0,"X","")</f>
      </c>
      <c r="AZ60" s="56" t="str">
        <f>IF(COUNTIFS('LANÇAMENTOS DIÁRIOS'!$G$5:$G$500,"D",'LANÇAMENTOS DIÁRIOS'!$C$5:$C$500,$A60,'LANÇAMENTOS DIÁRIOS'!$O$5:$O$500,"&lt;=105500",'LANÇAMENTOS DIÁRIOS'!$P$5:$P$500,"&gt;=105500")&gt;0,"X","")</f>
      </c>
    </row>
    <row r="61">
      <c r="A61" s="51" t="str">
        <v>Escavação de material de 1ª e 2ª categoria (*)</v>
      </c>
      <c r="B61" s="56" t="str">
        <f>IF(COUNTIFS('LANÇAMENTOS DIÁRIOS'!$G$5:$G$500,"D",'LANÇAMENTOS DIÁRIOS'!$C$5:$C$500,$A61,'LANÇAMENTOS DIÁRIOS'!$O$5:$O$500,"&lt;=100599",'LANÇAMENTOS DIÁRIOS'!$P$5:$P$500,"&gt;=100500")&gt;0,"X","")</f>
      </c>
      <c r="C61" s="56" t="str">
        <f>IF(COUNTIFS('LANÇAMENTOS DIÁRIOS'!$G$5:$G$500,"D",'LANÇAMENTOS DIÁRIOS'!$C$5:$C$500,$A61,'LANÇAMENTOS DIÁRIOS'!$O$5:$O$500,"&lt;=100699",'LANÇAMENTOS DIÁRIOS'!$P$5:$P$500,"&gt;=100600")&gt;0,"X","")</f>
      </c>
      <c r="D61" s="56" t="str">
        <f>IF(COUNTIFS('LANÇAMENTOS DIÁRIOS'!$G$5:$G$500,"D",'LANÇAMENTOS DIÁRIOS'!$C$5:$C$500,$A61,'LANÇAMENTOS DIÁRIOS'!$O$5:$O$500,"&lt;=100799",'LANÇAMENTOS DIÁRIOS'!$P$5:$P$500,"&gt;=100700")&gt;0,"X","")</f>
      </c>
      <c r="E61" s="56" t="str">
        <f>IF(COUNTIFS('LANÇAMENTOS DIÁRIOS'!$G$5:$G$500,"D",'LANÇAMENTOS DIÁRIOS'!$C$5:$C$500,$A61,'LANÇAMENTOS DIÁRIOS'!$O$5:$O$500,"&lt;=100899",'LANÇAMENTOS DIÁRIOS'!$P$5:$P$500,"&gt;=100800")&gt;0,"X","")</f>
      </c>
      <c r="F61" s="56" t="str">
        <f>IF(COUNTIFS('LANÇAMENTOS DIÁRIOS'!$G$5:$G$500,"D",'LANÇAMENTOS DIÁRIOS'!$C$5:$C$500,$A61,'LANÇAMENTOS DIÁRIOS'!$O$5:$O$500,"&lt;=100999",'LANÇAMENTOS DIÁRIOS'!$P$5:$P$500,"&gt;=100900")&gt;0,"X","")</f>
      </c>
      <c r="G61" s="56" t="str">
        <f>IF(COUNTIFS('LANÇAMENTOS DIÁRIOS'!$G$5:$G$500,"D",'LANÇAMENTOS DIÁRIOS'!$C$5:$C$500,$A61,'LANÇAMENTOS DIÁRIOS'!$O$5:$O$500,"&lt;=101099",'LANÇAMENTOS DIÁRIOS'!$P$5:$P$500,"&gt;=101000")&gt;0,"X","")</f>
      </c>
      <c r="H61" s="56" t="str">
        <f>IF(COUNTIFS('LANÇAMENTOS DIÁRIOS'!$G$5:$G$500,"D",'LANÇAMENTOS DIÁRIOS'!$C$5:$C$500,$A61,'LANÇAMENTOS DIÁRIOS'!$O$5:$O$500,"&lt;=101199",'LANÇAMENTOS DIÁRIOS'!$P$5:$P$500,"&gt;=101100")&gt;0,"X","")</f>
      </c>
      <c r="I61" s="56" t="str">
        <f>IF(COUNTIFS('LANÇAMENTOS DIÁRIOS'!$G$5:$G$500,"D",'LANÇAMENTOS DIÁRIOS'!$C$5:$C$500,$A61,'LANÇAMENTOS DIÁRIOS'!$O$5:$O$500,"&lt;=101299",'LANÇAMENTOS DIÁRIOS'!$P$5:$P$500,"&gt;=101200")&gt;0,"X","")</f>
      </c>
      <c r="J61" s="56" t="str">
        <f>IF(COUNTIFS('LANÇAMENTOS DIÁRIOS'!$G$5:$G$500,"D",'LANÇAMENTOS DIÁRIOS'!$C$5:$C$500,$A61,'LANÇAMENTOS DIÁRIOS'!$O$5:$O$500,"&lt;=101399",'LANÇAMENTOS DIÁRIOS'!$P$5:$P$500,"&gt;=101300")&gt;0,"X","")</f>
      </c>
      <c r="K61" s="56" t="str">
        <f>IF(COUNTIFS('LANÇAMENTOS DIÁRIOS'!$G$5:$G$500,"D",'LANÇAMENTOS DIÁRIOS'!$C$5:$C$500,$A61,'LANÇAMENTOS DIÁRIOS'!$O$5:$O$500,"&lt;=101499",'LANÇAMENTOS DIÁRIOS'!$P$5:$P$500,"&gt;=101400")&gt;0,"X","")</f>
      </c>
      <c r="L61" s="56" t="str">
        <f>IF(COUNTIFS('LANÇAMENTOS DIÁRIOS'!$G$5:$G$500,"D",'LANÇAMENTOS DIÁRIOS'!$C$5:$C$500,$A61,'LANÇAMENTOS DIÁRIOS'!$O$5:$O$500,"&lt;=101599",'LANÇAMENTOS DIÁRIOS'!$P$5:$P$500,"&gt;=101500")&gt;0,"X","")</f>
      </c>
      <c r="M61" s="56" t="str">
        <f>IF(COUNTIFS('LANÇAMENTOS DIÁRIOS'!$G$5:$G$500,"D",'LANÇAMENTOS DIÁRIOS'!$C$5:$C$500,$A61,'LANÇAMENTOS DIÁRIOS'!$O$5:$O$500,"&lt;=101699",'LANÇAMENTOS DIÁRIOS'!$P$5:$P$500,"&gt;=101600")&gt;0,"X","")</f>
      </c>
      <c r="N61" s="56" t="str">
        <f>IF(COUNTIFS('LANÇAMENTOS DIÁRIOS'!$G$5:$G$500,"D",'LANÇAMENTOS DIÁRIOS'!$C$5:$C$500,$A61,'LANÇAMENTOS DIÁRIOS'!$O$5:$O$500,"&lt;=101799",'LANÇAMENTOS DIÁRIOS'!$P$5:$P$500,"&gt;=101700")&gt;0,"X","")</f>
      </c>
      <c r="O61" s="56" t="str">
        <f>IF(COUNTIFS('LANÇAMENTOS DIÁRIOS'!$G$5:$G$500,"D",'LANÇAMENTOS DIÁRIOS'!$C$5:$C$500,$A61,'LANÇAMENTOS DIÁRIOS'!$O$5:$O$500,"&lt;=101899",'LANÇAMENTOS DIÁRIOS'!$P$5:$P$500,"&gt;=101800")&gt;0,"X","")</f>
      </c>
      <c r="P61" s="56" t="str">
        <f>IF(COUNTIFS('LANÇAMENTOS DIÁRIOS'!$G$5:$G$500,"D",'LANÇAMENTOS DIÁRIOS'!$C$5:$C$500,$A61,'LANÇAMENTOS DIÁRIOS'!$O$5:$O$500,"&lt;=101999",'LANÇAMENTOS DIÁRIOS'!$P$5:$P$500,"&gt;=101900")&gt;0,"X","")</f>
      </c>
      <c r="Q61" s="56" t="str">
        <f>IF(COUNTIFS('LANÇAMENTOS DIÁRIOS'!$G$5:$G$500,"D",'LANÇAMENTOS DIÁRIOS'!$C$5:$C$500,$A61,'LANÇAMENTOS DIÁRIOS'!$O$5:$O$500,"&lt;=102099",'LANÇAMENTOS DIÁRIOS'!$P$5:$P$500,"&gt;=102000")&gt;0,"X","")</f>
      </c>
      <c r="R61" s="56" t="str">
        <f>IF(COUNTIFS('LANÇAMENTOS DIÁRIOS'!$G$5:$G$500,"D",'LANÇAMENTOS DIÁRIOS'!$C$5:$C$500,$A61,'LANÇAMENTOS DIÁRIOS'!$O$5:$O$500,"&lt;=102199",'LANÇAMENTOS DIÁRIOS'!$P$5:$P$500,"&gt;=102100")&gt;0,"X","")</f>
      </c>
      <c r="S61" s="56" t="str">
        <f>IF(COUNTIFS('LANÇAMENTOS DIÁRIOS'!$G$5:$G$500,"D",'LANÇAMENTOS DIÁRIOS'!$C$5:$C$500,$A61,'LANÇAMENTOS DIÁRIOS'!$O$5:$O$500,"&lt;=102299",'LANÇAMENTOS DIÁRIOS'!$P$5:$P$500,"&gt;=102200")&gt;0,"X","")</f>
      </c>
      <c r="T61" s="56" t="str">
        <f>IF(COUNTIFS('LANÇAMENTOS DIÁRIOS'!$G$5:$G$500,"D",'LANÇAMENTOS DIÁRIOS'!$C$5:$C$500,$A61,'LANÇAMENTOS DIÁRIOS'!$O$5:$O$500,"&lt;=102399",'LANÇAMENTOS DIÁRIOS'!$P$5:$P$500,"&gt;=102300")&gt;0,"X","")</f>
      </c>
      <c r="U61" s="56" t="str">
        <f>IF(COUNTIFS('LANÇAMENTOS DIÁRIOS'!$G$5:$G$500,"D",'LANÇAMENTOS DIÁRIOS'!$C$5:$C$500,$A61,'LANÇAMENTOS DIÁRIOS'!$O$5:$O$500,"&lt;=102499",'LANÇAMENTOS DIÁRIOS'!$P$5:$P$500,"&gt;=102400")&gt;0,"X","")</f>
      </c>
      <c r="V61" s="56" t="str">
        <f>IF(COUNTIFS('LANÇAMENTOS DIÁRIOS'!$G$5:$G$500,"D",'LANÇAMENTOS DIÁRIOS'!$C$5:$C$500,$A61,'LANÇAMENTOS DIÁRIOS'!$O$5:$O$500,"&lt;=102599",'LANÇAMENTOS DIÁRIOS'!$P$5:$P$500,"&gt;=102500")&gt;0,"X","")</f>
      </c>
      <c r="W61" s="56" t="str">
        <f>IF(COUNTIFS('LANÇAMENTOS DIÁRIOS'!$G$5:$G$500,"D",'LANÇAMENTOS DIÁRIOS'!$C$5:$C$500,$A61,'LANÇAMENTOS DIÁRIOS'!$O$5:$O$500,"&lt;=102699",'LANÇAMENTOS DIÁRIOS'!$P$5:$P$500,"&gt;=102600")&gt;0,"X","")</f>
      </c>
      <c r="X61" s="56" t="str">
        <f>IF(COUNTIFS('LANÇAMENTOS DIÁRIOS'!$G$5:$G$500,"D",'LANÇAMENTOS DIÁRIOS'!$C$5:$C$500,$A61,'LANÇAMENTOS DIÁRIOS'!$O$5:$O$500,"&lt;=102799",'LANÇAMENTOS DIÁRIOS'!$P$5:$P$500,"&gt;=102700")&gt;0,"X","")</f>
      </c>
      <c r="Y61" s="56" t="str">
        <f>IF(COUNTIFS('LANÇAMENTOS DIÁRIOS'!$G$5:$G$500,"D",'LANÇAMENTOS DIÁRIOS'!$C$5:$C$500,$A61,'LANÇAMENTOS DIÁRIOS'!$O$5:$O$500,"&lt;=102899",'LANÇAMENTOS DIÁRIOS'!$P$5:$P$500,"&gt;=102800")&gt;0,"X","")</f>
      </c>
      <c r="Z61" s="56" t="str">
        <f>IF(COUNTIFS('LANÇAMENTOS DIÁRIOS'!$G$5:$G$500,"D",'LANÇAMENTOS DIÁRIOS'!$C$5:$C$500,$A61,'LANÇAMENTOS DIÁRIOS'!$O$5:$O$500,"&lt;=102999",'LANÇAMENTOS DIÁRIOS'!$P$5:$P$500,"&gt;=102900")&gt;0,"X","")</f>
      </c>
      <c r="AA61" s="56" t="str">
        <f>IF(COUNTIFS('LANÇAMENTOS DIÁRIOS'!$G$5:$G$500,"D",'LANÇAMENTOS DIÁRIOS'!$C$5:$C$500,$A61,'LANÇAMENTOS DIÁRIOS'!$O$5:$O$500,"&lt;=103099",'LANÇAMENTOS DIÁRIOS'!$P$5:$P$500,"&gt;=103000")&gt;0,"X","")</f>
      </c>
      <c r="AB61" s="56" t="str">
        <f>IF(COUNTIFS('LANÇAMENTOS DIÁRIOS'!$G$5:$G$500,"D",'LANÇAMENTOS DIÁRIOS'!$C$5:$C$500,$A61,'LANÇAMENTOS DIÁRIOS'!$O$5:$O$500,"&lt;=103199",'LANÇAMENTOS DIÁRIOS'!$P$5:$P$500,"&gt;=103100")&gt;0,"X","")</f>
      </c>
      <c r="AC61" s="56" t="str">
        <f>IF(COUNTIFS('LANÇAMENTOS DIÁRIOS'!$G$5:$G$500,"D",'LANÇAMENTOS DIÁRIOS'!$C$5:$C$500,$A61,'LANÇAMENTOS DIÁRIOS'!$O$5:$O$500,"&lt;=103299",'LANÇAMENTOS DIÁRIOS'!$P$5:$P$500,"&gt;=103200")&gt;0,"X","")</f>
      </c>
      <c r="AD61" s="56" t="str">
        <f>IF(COUNTIFS('LANÇAMENTOS DIÁRIOS'!$G$5:$G$500,"D",'LANÇAMENTOS DIÁRIOS'!$C$5:$C$500,$A61,'LANÇAMENTOS DIÁRIOS'!$O$5:$O$500,"&lt;=103399",'LANÇAMENTOS DIÁRIOS'!$P$5:$P$500,"&gt;=103300")&gt;0,"X","")</f>
      </c>
      <c r="AE61" s="56" t="str">
        <f>IF(COUNTIFS('LANÇAMENTOS DIÁRIOS'!$G$5:$G$500,"D",'LANÇAMENTOS DIÁRIOS'!$C$5:$C$500,$A61,'LANÇAMENTOS DIÁRIOS'!$O$5:$O$500,"&lt;=103499",'LANÇAMENTOS DIÁRIOS'!$P$5:$P$500,"&gt;=103400")&gt;0,"X","")</f>
      </c>
      <c r="AF61" s="56" t="str">
        <f>IF(COUNTIFS('LANÇAMENTOS DIÁRIOS'!$G$5:$G$500,"D",'LANÇAMENTOS DIÁRIOS'!$C$5:$C$500,$A61,'LANÇAMENTOS DIÁRIOS'!$O$5:$O$500,"&lt;=103599",'LANÇAMENTOS DIÁRIOS'!$P$5:$P$500,"&gt;=103500")&gt;0,"X","")</f>
      </c>
      <c r="AG61" s="56" t="str">
        <f>IF(COUNTIFS('LANÇAMENTOS DIÁRIOS'!$G$5:$G$500,"D",'LANÇAMENTOS DIÁRIOS'!$C$5:$C$500,$A61,'LANÇAMENTOS DIÁRIOS'!$O$5:$O$500,"&lt;=103699",'LANÇAMENTOS DIÁRIOS'!$P$5:$P$500,"&gt;=103600")&gt;0,"X","")</f>
      </c>
      <c r="AH61" s="56" t="str">
        <f>IF(COUNTIFS('LANÇAMENTOS DIÁRIOS'!$G$5:$G$500,"D",'LANÇAMENTOS DIÁRIOS'!$C$5:$C$500,$A61,'LANÇAMENTOS DIÁRIOS'!$O$5:$O$500,"&lt;=103799",'LANÇAMENTOS DIÁRIOS'!$P$5:$P$500,"&gt;=103700")&gt;0,"X","")</f>
      </c>
      <c r="AI61" s="56" t="str">
        <f>IF(COUNTIFS('LANÇAMENTOS DIÁRIOS'!$G$5:$G$500,"D",'LANÇAMENTOS DIÁRIOS'!$C$5:$C$500,$A61,'LANÇAMENTOS DIÁRIOS'!$O$5:$O$500,"&lt;=103899",'LANÇAMENTOS DIÁRIOS'!$P$5:$P$500,"&gt;=103800")&gt;0,"X","")</f>
      </c>
      <c r="AJ61" s="56" t="str">
        <f>IF(COUNTIFS('LANÇAMENTOS DIÁRIOS'!$G$5:$G$500,"D",'LANÇAMENTOS DIÁRIOS'!$C$5:$C$500,$A61,'LANÇAMENTOS DIÁRIOS'!$O$5:$O$500,"&lt;=103999",'LANÇAMENTOS DIÁRIOS'!$P$5:$P$500,"&gt;=103900")&gt;0,"X","")</f>
      </c>
      <c r="AK61" s="56" t="str">
        <f>IF(COUNTIFS('LANÇAMENTOS DIÁRIOS'!$G$5:$G$500,"D",'LANÇAMENTOS DIÁRIOS'!$C$5:$C$500,$A61,'LANÇAMENTOS DIÁRIOS'!$O$5:$O$500,"&lt;=104099",'LANÇAMENTOS DIÁRIOS'!$P$5:$P$500,"&gt;=104000")&gt;0,"X","")</f>
      </c>
      <c r="AL61" s="56" t="str">
        <f>IF(COUNTIFS('LANÇAMENTOS DIÁRIOS'!$G$5:$G$500,"D",'LANÇAMENTOS DIÁRIOS'!$C$5:$C$500,$A61,'LANÇAMENTOS DIÁRIOS'!$O$5:$O$500,"&lt;=104199",'LANÇAMENTOS DIÁRIOS'!$P$5:$P$500,"&gt;=104100")&gt;0,"X","")</f>
      </c>
      <c r="AM61" s="56" t="str">
        <f>IF(COUNTIFS('LANÇAMENTOS DIÁRIOS'!$G$5:$G$500,"D",'LANÇAMENTOS DIÁRIOS'!$C$5:$C$500,$A61,'LANÇAMENTOS DIÁRIOS'!$O$5:$O$500,"&lt;=104299",'LANÇAMENTOS DIÁRIOS'!$P$5:$P$500,"&gt;=104200")&gt;0,"X","")</f>
      </c>
      <c r="AN61" s="56" t="str">
        <f>IF(COUNTIFS('LANÇAMENTOS DIÁRIOS'!$G$5:$G$500,"D",'LANÇAMENTOS DIÁRIOS'!$C$5:$C$500,$A61,'LANÇAMENTOS DIÁRIOS'!$O$5:$O$500,"&lt;=104399",'LANÇAMENTOS DIÁRIOS'!$P$5:$P$500,"&gt;=104300")&gt;0,"X","")</f>
      </c>
      <c r="AO61" s="56" t="str">
        <f>IF(COUNTIFS('LANÇAMENTOS DIÁRIOS'!$G$5:$G$500,"D",'LANÇAMENTOS DIÁRIOS'!$C$5:$C$500,$A61,'LANÇAMENTOS DIÁRIOS'!$O$5:$O$500,"&lt;=104499",'LANÇAMENTOS DIÁRIOS'!$P$5:$P$500,"&gt;=104400")&gt;0,"X","")</f>
      </c>
      <c r="AP61" s="56" t="str">
        <f>IF(COUNTIFS('LANÇAMENTOS DIÁRIOS'!$G$5:$G$500,"D",'LANÇAMENTOS DIÁRIOS'!$C$5:$C$500,$A61,'LANÇAMENTOS DIÁRIOS'!$O$5:$O$500,"&lt;=104599",'LANÇAMENTOS DIÁRIOS'!$P$5:$P$500,"&gt;=104500")&gt;0,"X","")</f>
      </c>
      <c r="AQ61" s="56" t="str">
        <f>IF(COUNTIFS('LANÇAMENTOS DIÁRIOS'!$G$5:$G$500,"D",'LANÇAMENTOS DIÁRIOS'!$C$5:$C$500,$A61,'LANÇAMENTOS DIÁRIOS'!$O$5:$O$500,"&lt;=104699",'LANÇAMENTOS DIÁRIOS'!$P$5:$P$500,"&gt;=104600")&gt;0,"X","")</f>
      </c>
      <c r="AR61" s="56" t="str">
        <f>IF(COUNTIFS('LANÇAMENTOS DIÁRIOS'!$G$5:$G$500,"D",'LANÇAMENTOS DIÁRIOS'!$C$5:$C$500,$A61,'LANÇAMENTOS DIÁRIOS'!$O$5:$O$500,"&lt;=104799",'LANÇAMENTOS DIÁRIOS'!$P$5:$P$500,"&gt;=104700")&gt;0,"X","")</f>
      </c>
      <c r="AS61" s="56" t="str">
        <f>IF(COUNTIFS('LANÇAMENTOS DIÁRIOS'!$G$5:$G$500,"D",'LANÇAMENTOS DIÁRIOS'!$C$5:$C$500,$A61,'LANÇAMENTOS DIÁRIOS'!$O$5:$O$500,"&lt;=104899",'LANÇAMENTOS DIÁRIOS'!$P$5:$P$500,"&gt;=104800")&gt;0,"X","")</f>
      </c>
      <c r="AT61" s="56" t="str">
        <f>IF(COUNTIFS('LANÇAMENTOS DIÁRIOS'!$G$5:$G$500,"D",'LANÇAMENTOS DIÁRIOS'!$C$5:$C$500,$A61,'LANÇAMENTOS DIÁRIOS'!$O$5:$O$500,"&lt;=104999",'LANÇAMENTOS DIÁRIOS'!$P$5:$P$500,"&gt;=104900")&gt;0,"X","")</f>
      </c>
      <c r="AU61" s="56" t="str">
        <f>IF(COUNTIFS('LANÇAMENTOS DIÁRIOS'!$G$5:$G$500,"D",'LANÇAMENTOS DIÁRIOS'!$C$5:$C$500,$A61,'LANÇAMENTOS DIÁRIOS'!$O$5:$O$500,"&lt;=105099",'LANÇAMENTOS DIÁRIOS'!$P$5:$P$500,"&gt;=105000")&gt;0,"X","")</f>
      </c>
      <c r="AV61" s="56" t="str">
        <f>IF(COUNTIFS('LANÇAMENTOS DIÁRIOS'!$G$5:$G$500,"D",'LANÇAMENTOS DIÁRIOS'!$C$5:$C$500,$A61,'LANÇAMENTOS DIÁRIOS'!$O$5:$O$500,"&lt;=105199",'LANÇAMENTOS DIÁRIOS'!$P$5:$P$500,"&gt;=105100")&gt;0,"X","")</f>
      </c>
      <c r="AW61" s="56" t="str">
        <f>IF(COUNTIFS('LANÇAMENTOS DIÁRIOS'!$G$5:$G$500,"D",'LANÇAMENTOS DIÁRIOS'!$C$5:$C$500,$A61,'LANÇAMENTOS DIÁRIOS'!$O$5:$O$500,"&lt;=105299",'LANÇAMENTOS DIÁRIOS'!$P$5:$P$500,"&gt;=105200")&gt;0,"X","")</f>
      </c>
      <c r="AX61" s="56" t="str">
        <f>IF(COUNTIFS('LANÇAMENTOS DIÁRIOS'!$G$5:$G$500,"D",'LANÇAMENTOS DIÁRIOS'!$C$5:$C$500,$A61,'LANÇAMENTOS DIÁRIOS'!$O$5:$O$500,"&lt;=105399",'LANÇAMENTOS DIÁRIOS'!$P$5:$P$500,"&gt;=105300")&gt;0,"X","")</f>
      </c>
      <c r="AY61" s="56" t="str">
        <f>IF(COUNTIFS('LANÇAMENTOS DIÁRIOS'!$G$5:$G$500,"D",'LANÇAMENTOS DIÁRIOS'!$C$5:$C$500,$A61,'LANÇAMENTOS DIÁRIOS'!$O$5:$O$500,"&lt;=105499",'LANÇAMENTOS DIÁRIOS'!$P$5:$P$500,"&gt;=105400")&gt;0,"X","")</f>
      </c>
      <c r="AZ61" s="56" t="str">
        <f>IF(COUNTIFS('LANÇAMENTOS DIÁRIOS'!$G$5:$G$500,"D",'LANÇAMENTOS DIÁRIOS'!$C$5:$C$500,$A61,'LANÇAMENTOS DIÁRIOS'!$O$5:$O$500,"&lt;=105500",'LANÇAMENTOS DIÁRIOS'!$P$5:$P$500,"&gt;=105500")&gt;0,"X","")</f>
      </c>
    </row>
    <row r="62">
      <c r="A62" s="51" t="str">
        <v>Regularização do subleito (*)</v>
      </c>
      <c r="B62" s="56" t="str">
        <f>IF(COUNTIFS('LANÇAMENTOS DIÁRIOS'!$G$5:$G$500,"D",'LANÇAMENTOS DIÁRIOS'!$C$5:$C$500,$A62,'LANÇAMENTOS DIÁRIOS'!$O$5:$O$500,"&lt;=100599",'LANÇAMENTOS DIÁRIOS'!$P$5:$P$500,"&gt;=100500")&gt;0,"X","")</f>
      </c>
      <c r="C62" s="56" t="str">
        <f>IF(COUNTIFS('LANÇAMENTOS DIÁRIOS'!$G$5:$G$500,"D",'LANÇAMENTOS DIÁRIOS'!$C$5:$C$500,$A62,'LANÇAMENTOS DIÁRIOS'!$O$5:$O$500,"&lt;=100699",'LANÇAMENTOS DIÁRIOS'!$P$5:$P$500,"&gt;=100600")&gt;0,"X","")</f>
      </c>
      <c r="D62" s="56" t="str">
        <f>IF(COUNTIFS('LANÇAMENTOS DIÁRIOS'!$G$5:$G$500,"D",'LANÇAMENTOS DIÁRIOS'!$C$5:$C$500,$A62,'LANÇAMENTOS DIÁRIOS'!$O$5:$O$500,"&lt;=100799",'LANÇAMENTOS DIÁRIOS'!$P$5:$P$500,"&gt;=100700")&gt;0,"X","")</f>
      </c>
      <c r="E62" s="56" t="str">
        <f>IF(COUNTIFS('LANÇAMENTOS DIÁRIOS'!$G$5:$G$500,"D",'LANÇAMENTOS DIÁRIOS'!$C$5:$C$500,$A62,'LANÇAMENTOS DIÁRIOS'!$O$5:$O$500,"&lt;=100899",'LANÇAMENTOS DIÁRIOS'!$P$5:$P$500,"&gt;=100800")&gt;0,"X","")</f>
      </c>
      <c r="F62" s="56" t="str">
        <f>IF(COUNTIFS('LANÇAMENTOS DIÁRIOS'!$G$5:$G$500,"D",'LANÇAMENTOS DIÁRIOS'!$C$5:$C$500,$A62,'LANÇAMENTOS DIÁRIOS'!$O$5:$O$500,"&lt;=100999",'LANÇAMENTOS DIÁRIOS'!$P$5:$P$500,"&gt;=100900")&gt;0,"X","")</f>
      </c>
      <c r="G62" s="56" t="str">
        <f>IF(COUNTIFS('LANÇAMENTOS DIÁRIOS'!$G$5:$G$500,"D",'LANÇAMENTOS DIÁRIOS'!$C$5:$C$500,$A62,'LANÇAMENTOS DIÁRIOS'!$O$5:$O$500,"&lt;=101099",'LANÇAMENTOS DIÁRIOS'!$P$5:$P$500,"&gt;=101000")&gt;0,"X","")</f>
      </c>
      <c r="H62" s="56" t="str">
        <f>IF(COUNTIFS('LANÇAMENTOS DIÁRIOS'!$G$5:$G$500,"D",'LANÇAMENTOS DIÁRIOS'!$C$5:$C$500,$A62,'LANÇAMENTOS DIÁRIOS'!$O$5:$O$500,"&lt;=101199",'LANÇAMENTOS DIÁRIOS'!$P$5:$P$500,"&gt;=101100")&gt;0,"X","")</f>
      </c>
      <c r="I62" s="56" t="str">
        <f>IF(COUNTIFS('LANÇAMENTOS DIÁRIOS'!$G$5:$G$500,"D",'LANÇAMENTOS DIÁRIOS'!$C$5:$C$500,$A62,'LANÇAMENTOS DIÁRIOS'!$O$5:$O$500,"&lt;=101299",'LANÇAMENTOS DIÁRIOS'!$P$5:$P$500,"&gt;=101200")&gt;0,"X","")</f>
      </c>
      <c r="J62" s="56" t="str">
        <f>IF(COUNTIFS('LANÇAMENTOS DIÁRIOS'!$G$5:$G$500,"D",'LANÇAMENTOS DIÁRIOS'!$C$5:$C$500,$A62,'LANÇAMENTOS DIÁRIOS'!$O$5:$O$500,"&lt;=101399",'LANÇAMENTOS DIÁRIOS'!$P$5:$P$500,"&gt;=101300")&gt;0,"X","")</f>
      </c>
      <c r="K62" s="56" t="str">
        <f>IF(COUNTIFS('LANÇAMENTOS DIÁRIOS'!$G$5:$G$500,"D",'LANÇAMENTOS DIÁRIOS'!$C$5:$C$500,$A62,'LANÇAMENTOS DIÁRIOS'!$O$5:$O$500,"&lt;=101499",'LANÇAMENTOS DIÁRIOS'!$P$5:$P$500,"&gt;=101400")&gt;0,"X","")</f>
      </c>
      <c r="L62" s="56" t="str">
        <f>IF(COUNTIFS('LANÇAMENTOS DIÁRIOS'!$G$5:$G$500,"D",'LANÇAMENTOS DIÁRIOS'!$C$5:$C$500,$A62,'LANÇAMENTOS DIÁRIOS'!$O$5:$O$500,"&lt;=101599",'LANÇAMENTOS DIÁRIOS'!$P$5:$P$500,"&gt;=101500")&gt;0,"X","")</f>
      </c>
      <c r="M62" s="56" t="str">
        <f>IF(COUNTIFS('LANÇAMENTOS DIÁRIOS'!$G$5:$G$500,"D",'LANÇAMENTOS DIÁRIOS'!$C$5:$C$500,$A62,'LANÇAMENTOS DIÁRIOS'!$O$5:$O$500,"&lt;=101699",'LANÇAMENTOS DIÁRIOS'!$P$5:$P$500,"&gt;=101600")&gt;0,"X","")</f>
      </c>
      <c r="N62" s="56" t="str">
        <f>IF(COUNTIFS('LANÇAMENTOS DIÁRIOS'!$G$5:$G$500,"D",'LANÇAMENTOS DIÁRIOS'!$C$5:$C$500,$A62,'LANÇAMENTOS DIÁRIOS'!$O$5:$O$500,"&lt;=101799",'LANÇAMENTOS DIÁRIOS'!$P$5:$P$500,"&gt;=101700")&gt;0,"X","")</f>
      </c>
      <c r="O62" s="56" t="str">
        <f>IF(COUNTIFS('LANÇAMENTOS DIÁRIOS'!$G$5:$G$500,"D",'LANÇAMENTOS DIÁRIOS'!$C$5:$C$500,$A62,'LANÇAMENTOS DIÁRIOS'!$O$5:$O$500,"&lt;=101899",'LANÇAMENTOS DIÁRIOS'!$P$5:$P$500,"&gt;=101800")&gt;0,"X","")</f>
      </c>
      <c r="P62" s="56" t="str">
        <f>IF(COUNTIFS('LANÇAMENTOS DIÁRIOS'!$G$5:$G$500,"D",'LANÇAMENTOS DIÁRIOS'!$C$5:$C$500,$A62,'LANÇAMENTOS DIÁRIOS'!$O$5:$O$500,"&lt;=101999",'LANÇAMENTOS DIÁRIOS'!$P$5:$P$500,"&gt;=101900")&gt;0,"X","")</f>
      </c>
      <c r="Q62" s="56" t="str">
        <f>IF(COUNTIFS('LANÇAMENTOS DIÁRIOS'!$G$5:$G$500,"D",'LANÇAMENTOS DIÁRIOS'!$C$5:$C$500,$A62,'LANÇAMENTOS DIÁRIOS'!$O$5:$O$500,"&lt;=102099",'LANÇAMENTOS DIÁRIOS'!$P$5:$P$500,"&gt;=102000")&gt;0,"X","")</f>
      </c>
      <c r="R62" s="56" t="str">
        <f>IF(COUNTIFS('LANÇAMENTOS DIÁRIOS'!$G$5:$G$500,"D",'LANÇAMENTOS DIÁRIOS'!$C$5:$C$500,$A62,'LANÇAMENTOS DIÁRIOS'!$O$5:$O$500,"&lt;=102199",'LANÇAMENTOS DIÁRIOS'!$P$5:$P$500,"&gt;=102100")&gt;0,"X","")</f>
      </c>
      <c r="S62" s="56" t="str">
        <f>IF(COUNTIFS('LANÇAMENTOS DIÁRIOS'!$G$5:$G$500,"D",'LANÇAMENTOS DIÁRIOS'!$C$5:$C$500,$A62,'LANÇAMENTOS DIÁRIOS'!$O$5:$O$500,"&lt;=102299",'LANÇAMENTOS DIÁRIOS'!$P$5:$P$500,"&gt;=102200")&gt;0,"X","")</f>
      </c>
      <c r="T62" s="56" t="str">
        <f>IF(COUNTIFS('LANÇAMENTOS DIÁRIOS'!$G$5:$G$500,"D",'LANÇAMENTOS DIÁRIOS'!$C$5:$C$500,$A62,'LANÇAMENTOS DIÁRIOS'!$O$5:$O$500,"&lt;=102399",'LANÇAMENTOS DIÁRIOS'!$P$5:$P$500,"&gt;=102300")&gt;0,"X","")</f>
      </c>
      <c r="U62" s="56" t="str">
        <f>IF(COUNTIFS('LANÇAMENTOS DIÁRIOS'!$G$5:$G$500,"D",'LANÇAMENTOS DIÁRIOS'!$C$5:$C$500,$A62,'LANÇAMENTOS DIÁRIOS'!$O$5:$O$500,"&lt;=102499",'LANÇAMENTOS DIÁRIOS'!$P$5:$P$500,"&gt;=102400")&gt;0,"X","")</f>
      </c>
      <c r="V62" s="56" t="str">
        <f>IF(COUNTIFS('LANÇAMENTOS DIÁRIOS'!$G$5:$G$500,"D",'LANÇAMENTOS DIÁRIOS'!$C$5:$C$500,$A62,'LANÇAMENTOS DIÁRIOS'!$O$5:$O$500,"&lt;=102599",'LANÇAMENTOS DIÁRIOS'!$P$5:$P$500,"&gt;=102500")&gt;0,"X","")</f>
      </c>
      <c r="W62" s="56" t="str">
        <f>IF(COUNTIFS('LANÇAMENTOS DIÁRIOS'!$G$5:$G$500,"D",'LANÇAMENTOS DIÁRIOS'!$C$5:$C$500,$A62,'LANÇAMENTOS DIÁRIOS'!$O$5:$O$500,"&lt;=102699",'LANÇAMENTOS DIÁRIOS'!$P$5:$P$500,"&gt;=102600")&gt;0,"X","")</f>
      </c>
      <c r="X62" s="56" t="str">
        <f>IF(COUNTIFS('LANÇAMENTOS DIÁRIOS'!$G$5:$G$500,"D",'LANÇAMENTOS DIÁRIOS'!$C$5:$C$500,$A62,'LANÇAMENTOS DIÁRIOS'!$O$5:$O$500,"&lt;=102799",'LANÇAMENTOS DIÁRIOS'!$P$5:$P$500,"&gt;=102700")&gt;0,"X","")</f>
      </c>
      <c r="Y62" s="56" t="str">
        <f>IF(COUNTIFS('LANÇAMENTOS DIÁRIOS'!$G$5:$G$500,"D",'LANÇAMENTOS DIÁRIOS'!$C$5:$C$500,$A62,'LANÇAMENTOS DIÁRIOS'!$O$5:$O$500,"&lt;=102899",'LANÇAMENTOS DIÁRIOS'!$P$5:$P$500,"&gt;=102800")&gt;0,"X","")</f>
      </c>
      <c r="Z62" s="56" t="str">
        <f>IF(COUNTIFS('LANÇAMENTOS DIÁRIOS'!$G$5:$G$500,"D",'LANÇAMENTOS DIÁRIOS'!$C$5:$C$500,$A62,'LANÇAMENTOS DIÁRIOS'!$O$5:$O$500,"&lt;=102999",'LANÇAMENTOS DIÁRIOS'!$P$5:$P$500,"&gt;=102900")&gt;0,"X","")</f>
      </c>
      <c r="AA62" s="56" t="str">
        <f>IF(COUNTIFS('LANÇAMENTOS DIÁRIOS'!$G$5:$G$500,"D",'LANÇAMENTOS DIÁRIOS'!$C$5:$C$500,$A62,'LANÇAMENTOS DIÁRIOS'!$O$5:$O$500,"&lt;=103099",'LANÇAMENTOS DIÁRIOS'!$P$5:$P$500,"&gt;=103000")&gt;0,"X","")</f>
      </c>
      <c r="AB62" s="56" t="str">
        <f>IF(COUNTIFS('LANÇAMENTOS DIÁRIOS'!$G$5:$G$500,"D",'LANÇAMENTOS DIÁRIOS'!$C$5:$C$500,$A62,'LANÇAMENTOS DIÁRIOS'!$O$5:$O$500,"&lt;=103199",'LANÇAMENTOS DIÁRIOS'!$P$5:$P$500,"&gt;=103100")&gt;0,"X","")</f>
      </c>
      <c r="AC62" s="56" t="str">
        <f>IF(COUNTIFS('LANÇAMENTOS DIÁRIOS'!$G$5:$G$500,"D",'LANÇAMENTOS DIÁRIOS'!$C$5:$C$500,$A62,'LANÇAMENTOS DIÁRIOS'!$O$5:$O$500,"&lt;=103299",'LANÇAMENTOS DIÁRIOS'!$P$5:$P$500,"&gt;=103200")&gt;0,"X","")</f>
      </c>
      <c r="AD62" s="56" t="str">
        <f>IF(COUNTIFS('LANÇAMENTOS DIÁRIOS'!$G$5:$G$500,"D",'LANÇAMENTOS DIÁRIOS'!$C$5:$C$500,$A62,'LANÇAMENTOS DIÁRIOS'!$O$5:$O$500,"&lt;=103399",'LANÇAMENTOS DIÁRIOS'!$P$5:$P$500,"&gt;=103300")&gt;0,"X","")</f>
      </c>
      <c r="AE62" s="56" t="str">
        <f>IF(COUNTIFS('LANÇAMENTOS DIÁRIOS'!$G$5:$G$500,"D",'LANÇAMENTOS DIÁRIOS'!$C$5:$C$500,$A62,'LANÇAMENTOS DIÁRIOS'!$O$5:$O$500,"&lt;=103499",'LANÇAMENTOS DIÁRIOS'!$P$5:$P$500,"&gt;=103400")&gt;0,"X","")</f>
      </c>
      <c r="AF62" s="56" t="str">
        <f>IF(COUNTIFS('LANÇAMENTOS DIÁRIOS'!$G$5:$G$500,"D",'LANÇAMENTOS DIÁRIOS'!$C$5:$C$500,$A62,'LANÇAMENTOS DIÁRIOS'!$O$5:$O$500,"&lt;=103599",'LANÇAMENTOS DIÁRIOS'!$P$5:$P$500,"&gt;=103500")&gt;0,"X","")</f>
      </c>
      <c r="AG62" s="56" t="str">
        <f>IF(COUNTIFS('LANÇAMENTOS DIÁRIOS'!$G$5:$G$500,"D",'LANÇAMENTOS DIÁRIOS'!$C$5:$C$500,$A62,'LANÇAMENTOS DIÁRIOS'!$O$5:$O$500,"&lt;=103699",'LANÇAMENTOS DIÁRIOS'!$P$5:$P$500,"&gt;=103600")&gt;0,"X","")</f>
      </c>
      <c r="AH62" s="56" t="str">
        <f>IF(COUNTIFS('LANÇAMENTOS DIÁRIOS'!$G$5:$G$500,"D",'LANÇAMENTOS DIÁRIOS'!$C$5:$C$500,$A62,'LANÇAMENTOS DIÁRIOS'!$O$5:$O$500,"&lt;=103799",'LANÇAMENTOS DIÁRIOS'!$P$5:$P$500,"&gt;=103700")&gt;0,"X","")</f>
      </c>
      <c r="AI62" s="56" t="str">
        <f>IF(COUNTIFS('LANÇAMENTOS DIÁRIOS'!$G$5:$G$500,"D",'LANÇAMENTOS DIÁRIOS'!$C$5:$C$500,$A62,'LANÇAMENTOS DIÁRIOS'!$O$5:$O$500,"&lt;=103899",'LANÇAMENTOS DIÁRIOS'!$P$5:$P$500,"&gt;=103800")&gt;0,"X","")</f>
      </c>
      <c r="AJ62" s="56" t="str">
        <f>IF(COUNTIFS('LANÇAMENTOS DIÁRIOS'!$G$5:$G$500,"D",'LANÇAMENTOS DIÁRIOS'!$C$5:$C$500,$A62,'LANÇAMENTOS DIÁRIOS'!$O$5:$O$500,"&lt;=103999",'LANÇAMENTOS DIÁRIOS'!$P$5:$P$500,"&gt;=103900")&gt;0,"X","")</f>
      </c>
      <c r="AK62" s="56" t="str">
        <f>IF(COUNTIFS('LANÇAMENTOS DIÁRIOS'!$G$5:$G$500,"D",'LANÇAMENTOS DIÁRIOS'!$C$5:$C$500,$A62,'LANÇAMENTOS DIÁRIOS'!$O$5:$O$500,"&lt;=104099",'LANÇAMENTOS DIÁRIOS'!$P$5:$P$500,"&gt;=104000")&gt;0,"X","")</f>
      </c>
      <c r="AL62" s="56" t="str">
        <f>IF(COUNTIFS('LANÇAMENTOS DIÁRIOS'!$G$5:$G$500,"D",'LANÇAMENTOS DIÁRIOS'!$C$5:$C$500,$A62,'LANÇAMENTOS DIÁRIOS'!$O$5:$O$500,"&lt;=104199",'LANÇAMENTOS DIÁRIOS'!$P$5:$P$500,"&gt;=104100")&gt;0,"X","")</f>
      </c>
      <c r="AM62" s="56" t="str">
        <f>IF(COUNTIFS('LANÇAMENTOS DIÁRIOS'!$G$5:$G$500,"D",'LANÇAMENTOS DIÁRIOS'!$C$5:$C$500,$A62,'LANÇAMENTOS DIÁRIOS'!$O$5:$O$500,"&lt;=104299",'LANÇAMENTOS DIÁRIOS'!$P$5:$P$500,"&gt;=104200")&gt;0,"X","")</f>
      </c>
      <c r="AN62" s="56" t="str">
        <f>IF(COUNTIFS('LANÇAMENTOS DIÁRIOS'!$G$5:$G$500,"D",'LANÇAMENTOS DIÁRIOS'!$C$5:$C$500,$A62,'LANÇAMENTOS DIÁRIOS'!$O$5:$O$500,"&lt;=104399",'LANÇAMENTOS DIÁRIOS'!$P$5:$P$500,"&gt;=104300")&gt;0,"X","")</f>
      </c>
      <c r="AO62" s="56" t="str">
        <f>IF(COUNTIFS('LANÇAMENTOS DIÁRIOS'!$G$5:$G$500,"D",'LANÇAMENTOS DIÁRIOS'!$C$5:$C$500,$A62,'LANÇAMENTOS DIÁRIOS'!$O$5:$O$500,"&lt;=104499",'LANÇAMENTOS DIÁRIOS'!$P$5:$P$500,"&gt;=104400")&gt;0,"X","")</f>
      </c>
      <c r="AP62" s="56" t="str">
        <f>IF(COUNTIFS('LANÇAMENTOS DIÁRIOS'!$G$5:$G$500,"D",'LANÇAMENTOS DIÁRIOS'!$C$5:$C$500,$A62,'LANÇAMENTOS DIÁRIOS'!$O$5:$O$500,"&lt;=104599",'LANÇAMENTOS DIÁRIOS'!$P$5:$P$500,"&gt;=104500")&gt;0,"X","")</f>
      </c>
      <c r="AQ62" s="56" t="str">
        <f>IF(COUNTIFS('LANÇAMENTOS DIÁRIOS'!$G$5:$G$500,"D",'LANÇAMENTOS DIÁRIOS'!$C$5:$C$500,$A62,'LANÇAMENTOS DIÁRIOS'!$O$5:$O$500,"&lt;=104699",'LANÇAMENTOS DIÁRIOS'!$P$5:$P$500,"&gt;=104600")&gt;0,"X","")</f>
      </c>
      <c r="AR62" s="56" t="str">
        <f>IF(COUNTIFS('LANÇAMENTOS DIÁRIOS'!$G$5:$G$500,"D",'LANÇAMENTOS DIÁRIOS'!$C$5:$C$500,$A62,'LANÇAMENTOS DIÁRIOS'!$O$5:$O$500,"&lt;=104799",'LANÇAMENTOS DIÁRIOS'!$P$5:$P$500,"&gt;=104700")&gt;0,"X","")</f>
      </c>
      <c r="AS62" s="56" t="str">
        <f>IF(COUNTIFS('LANÇAMENTOS DIÁRIOS'!$G$5:$G$500,"D",'LANÇAMENTOS DIÁRIOS'!$C$5:$C$500,$A62,'LANÇAMENTOS DIÁRIOS'!$O$5:$O$500,"&lt;=104899",'LANÇAMENTOS DIÁRIOS'!$P$5:$P$500,"&gt;=104800")&gt;0,"X","")</f>
      </c>
      <c r="AT62" s="56" t="str">
        <f>IF(COUNTIFS('LANÇAMENTOS DIÁRIOS'!$G$5:$G$500,"D",'LANÇAMENTOS DIÁRIOS'!$C$5:$C$500,$A62,'LANÇAMENTOS DIÁRIOS'!$O$5:$O$500,"&lt;=104999",'LANÇAMENTOS DIÁRIOS'!$P$5:$P$500,"&gt;=104900")&gt;0,"X","")</f>
      </c>
      <c r="AU62" s="56" t="str">
        <f>IF(COUNTIFS('LANÇAMENTOS DIÁRIOS'!$G$5:$G$500,"D",'LANÇAMENTOS DIÁRIOS'!$C$5:$C$500,$A62,'LANÇAMENTOS DIÁRIOS'!$O$5:$O$500,"&lt;=105099",'LANÇAMENTOS DIÁRIOS'!$P$5:$P$500,"&gt;=105000")&gt;0,"X","")</f>
      </c>
      <c r="AV62" s="56" t="str">
        <f>IF(COUNTIFS('LANÇAMENTOS DIÁRIOS'!$G$5:$G$500,"D",'LANÇAMENTOS DIÁRIOS'!$C$5:$C$500,$A62,'LANÇAMENTOS DIÁRIOS'!$O$5:$O$500,"&lt;=105199",'LANÇAMENTOS DIÁRIOS'!$P$5:$P$500,"&gt;=105100")&gt;0,"X","")</f>
      </c>
      <c r="AW62" s="56" t="str">
        <f>IF(COUNTIFS('LANÇAMENTOS DIÁRIOS'!$G$5:$G$500,"D",'LANÇAMENTOS DIÁRIOS'!$C$5:$C$500,$A62,'LANÇAMENTOS DIÁRIOS'!$O$5:$O$500,"&lt;=105299",'LANÇAMENTOS DIÁRIOS'!$P$5:$P$500,"&gt;=105200")&gt;0,"X","")</f>
      </c>
      <c r="AX62" s="56" t="str">
        <f>IF(COUNTIFS('LANÇAMENTOS DIÁRIOS'!$G$5:$G$500,"D",'LANÇAMENTOS DIÁRIOS'!$C$5:$C$500,$A62,'LANÇAMENTOS DIÁRIOS'!$O$5:$O$500,"&lt;=105399",'LANÇAMENTOS DIÁRIOS'!$P$5:$P$500,"&gt;=105300")&gt;0,"X","")</f>
      </c>
      <c r="AY62" s="56" t="str">
        <f>IF(COUNTIFS('LANÇAMENTOS DIÁRIOS'!$G$5:$G$500,"D",'LANÇAMENTOS DIÁRIOS'!$C$5:$C$500,$A62,'LANÇAMENTOS DIÁRIOS'!$O$5:$O$500,"&lt;=105499",'LANÇAMENTOS DIÁRIOS'!$P$5:$P$500,"&gt;=105400")&gt;0,"X","")</f>
      </c>
      <c r="AZ62" s="56" t="str">
        <f>IF(COUNTIFS('LANÇAMENTOS DIÁRIOS'!$G$5:$G$500,"D",'LANÇAMENTOS DIÁRIOS'!$C$5:$C$500,$A62,'LANÇAMENTOS DIÁRIOS'!$O$5:$O$500,"&lt;=105500",'LANÇAMENTOS DIÁRIOS'!$P$5:$P$500,"&gt;=105500")&gt;0,"X","")</f>
      </c>
    </row>
    <row r="63">
      <c r="A63" s="51" t="str">
        <v>Compactação de aterro a 100% do proctor intermediário (*)</v>
      </c>
      <c r="B63" s="56" t="str">
        <f>IF(COUNTIFS('LANÇAMENTOS DIÁRIOS'!$G$5:$G$500,"D",'LANÇAMENTOS DIÁRIOS'!$C$5:$C$500,$A63,'LANÇAMENTOS DIÁRIOS'!$O$5:$O$500,"&lt;=100599",'LANÇAMENTOS DIÁRIOS'!$P$5:$P$500,"&gt;=100500")&gt;0,"X","")</f>
      </c>
      <c r="C63" s="56" t="str">
        <f>IF(COUNTIFS('LANÇAMENTOS DIÁRIOS'!$G$5:$G$500,"D",'LANÇAMENTOS DIÁRIOS'!$C$5:$C$500,$A63,'LANÇAMENTOS DIÁRIOS'!$O$5:$O$500,"&lt;=100699",'LANÇAMENTOS DIÁRIOS'!$P$5:$P$500,"&gt;=100600")&gt;0,"X","")</f>
      </c>
      <c r="D63" s="56" t="str">
        <f>IF(COUNTIFS('LANÇAMENTOS DIÁRIOS'!$G$5:$G$500,"D",'LANÇAMENTOS DIÁRIOS'!$C$5:$C$500,$A63,'LANÇAMENTOS DIÁRIOS'!$O$5:$O$500,"&lt;=100799",'LANÇAMENTOS DIÁRIOS'!$P$5:$P$500,"&gt;=100700")&gt;0,"X","")</f>
      </c>
      <c r="E63" s="56" t="str">
        <f>IF(COUNTIFS('LANÇAMENTOS DIÁRIOS'!$G$5:$G$500,"D",'LANÇAMENTOS DIÁRIOS'!$C$5:$C$500,$A63,'LANÇAMENTOS DIÁRIOS'!$O$5:$O$500,"&lt;=100899",'LANÇAMENTOS DIÁRIOS'!$P$5:$P$500,"&gt;=100800")&gt;0,"X","")</f>
      </c>
      <c r="F63" s="56" t="str">
        <f>IF(COUNTIFS('LANÇAMENTOS DIÁRIOS'!$G$5:$G$500,"D",'LANÇAMENTOS DIÁRIOS'!$C$5:$C$500,$A63,'LANÇAMENTOS DIÁRIOS'!$O$5:$O$500,"&lt;=100999",'LANÇAMENTOS DIÁRIOS'!$P$5:$P$500,"&gt;=100900")&gt;0,"X","")</f>
      </c>
      <c r="G63" s="56" t="str">
        <f>IF(COUNTIFS('LANÇAMENTOS DIÁRIOS'!$G$5:$G$500,"D",'LANÇAMENTOS DIÁRIOS'!$C$5:$C$500,$A63,'LANÇAMENTOS DIÁRIOS'!$O$5:$O$500,"&lt;=101099",'LANÇAMENTOS DIÁRIOS'!$P$5:$P$500,"&gt;=101000")&gt;0,"X","")</f>
      </c>
      <c r="H63" s="56" t="str">
        <f>IF(COUNTIFS('LANÇAMENTOS DIÁRIOS'!$G$5:$G$500,"D",'LANÇAMENTOS DIÁRIOS'!$C$5:$C$500,$A63,'LANÇAMENTOS DIÁRIOS'!$O$5:$O$500,"&lt;=101199",'LANÇAMENTOS DIÁRIOS'!$P$5:$P$500,"&gt;=101100")&gt;0,"X","")</f>
      </c>
      <c r="I63" s="56" t="str">
        <f>IF(COUNTIFS('LANÇAMENTOS DIÁRIOS'!$G$5:$G$500,"D",'LANÇAMENTOS DIÁRIOS'!$C$5:$C$500,$A63,'LANÇAMENTOS DIÁRIOS'!$O$5:$O$500,"&lt;=101299",'LANÇAMENTOS DIÁRIOS'!$P$5:$P$500,"&gt;=101200")&gt;0,"X","")</f>
      </c>
      <c r="J63" s="56" t="str">
        <f>IF(COUNTIFS('LANÇAMENTOS DIÁRIOS'!$G$5:$G$500,"D",'LANÇAMENTOS DIÁRIOS'!$C$5:$C$500,$A63,'LANÇAMENTOS DIÁRIOS'!$O$5:$O$500,"&lt;=101399",'LANÇAMENTOS DIÁRIOS'!$P$5:$P$500,"&gt;=101300")&gt;0,"X","")</f>
      </c>
      <c r="K63" s="56" t="str">
        <f>IF(COUNTIFS('LANÇAMENTOS DIÁRIOS'!$G$5:$G$500,"D",'LANÇAMENTOS DIÁRIOS'!$C$5:$C$500,$A63,'LANÇAMENTOS DIÁRIOS'!$O$5:$O$500,"&lt;=101499",'LANÇAMENTOS DIÁRIOS'!$P$5:$P$500,"&gt;=101400")&gt;0,"X","")</f>
      </c>
      <c r="L63" s="56" t="str">
        <f>IF(COUNTIFS('LANÇAMENTOS DIÁRIOS'!$G$5:$G$500,"D",'LANÇAMENTOS DIÁRIOS'!$C$5:$C$500,$A63,'LANÇAMENTOS DIÁRIOS'!$O$5:$O$500,"&lt;=101599",'LANÇAMENTOS DIÁRIOS'!$P$5:$P$500,"&gt;=101500")&gt;0,"X","")</f>
      </c>
      <c r="M63" s="56" t="str">
        <f>IF(COUNTIFS('LANÇAMENTOS DIÁRIOS'!$G$5:$G$500,"D",'LANÇAMENTOS DIÁRIOS'!$C$5:$C$500,$A63,'LANÇAMENTOS DIÁRIOS'!$O$5:$O$500,"&lt;=101699",'LANÇAMENTOS DIÁRIOS'!$P$5:$P$500,"&gt;=101600")&gt;0,"X","")</f>
      </c>
      <c r="N63" s="56" t="str">
        <f>IF(COUNTIFS('LANÇAMENTOS DIÁRIOS'!$G$5:$G$500,"D",'LANÇAMENTOS DIÁRIOS'!$C$5:$C$500,$A63,'LANÇAMENTOS DIÁRIOS'!$O$5:$O$500,"&lt;=101799",'LANÇAMENTOS DIÁRIOS'!$P$5:$P$500,"&gt;=101700")&gt;0,"X","")</f>
      </c>
      <c r="O63" s="56" t="str">
        <f>IF(COUNTIFS('LANÇAMENTOS DIÁRIOS'!$G$5:$G$500,"D",'LANÇAMENTOS DIÁRIOS'!$C$5:$C$500,$A63,'LANÇAMENTOS DIÁRIOS'!$O$5:$O$500,"&lt;=101899",'LANÇAMENTOS DIÁRIOS'!$P$5:$P$500,"&gt;=101800")&gt;0,"X","")</f>
      </c>
      <c r="P63" s="56" t="str">
        <f>IF(COUNTIFS('LANÇAMENTOS DIÁRIOS'!$G$5:$G$500,"D",'LANÇAMENTOS DIÁRIOS'!$C$5:$C$500,$A63,'LANÇAMENTOS DIÁRIOS'!$O$5:$O$500,"&lt;=101999",'LANÇAMENTOS DIÁRIOS'!$P$5:$P$500,"&gt;=101900")&gt;0,"X","")</f>
      </c>
      <c r="Q63" s="56" t="str">
        <f>IF(COUNTIFS('LANÇAMENTOS DIÁRIOS'!$G$5:$G$500,"D",'LANÇAMENTOS DIÁRIOS'!$C$5:$C$500,$A63,'LANÇAMENTOS DIÁRIOS'!$O$5:$O$500,"&lt;=102099",'LANÇAMENTOS DIÁRIOS'!$P$5:$P$500,"&gt;=102000")&gt;0,"X","")</f>
      </c>
      <c r="R63" s="56" t="str">
        <f>IF(COUNTIFS('LANÇAMENTOS DIÁRIOS'!$G$5:$G$500,"D",'LANÇAMENTOS DIÁRIOS'!$C$5:$C$500,$A63,'LANÇAMENTOS DIÁRIOS'!$O$5:$O$500,"&lt;=102199",'LANÇAMENTOS DIÁRIOS'!$P$5:$P$500,"&gt;=102100")&gt;0,"X","")</f>
      </c>
      <c r="S63" s="56" t="str">
        <f>IF(COUNTIFS('LANÇAMENTOS DIÁRIOS'!$G$5:$G$500,"D",'LANÇAMENTOS DIÁRIOS'!$C$5:$C$500,$A63,'LANÇAMENTOS DIÁRIOS'!$O$5:$O$500,"&lt;=102299",'LANÇAMENTOS DIÁRIOS'!$P$5:$P$500,"&gt;=102200")&gt;0,"X","")</f>
      </c>
      <c r="T63" s="56" t="str">
        <f>IF(COUNTIFS('LANÇAMENTOS DIÁRIOS'!$G$5:$G$500,"D",'LANÇAMENTOS DIÁRIOS'!$C$5:$C$500,$A63,'LANÇAMENTOS DIÁRIOS'!$O$5:$O$500,"&lt;=102399",'LANÇAMENTOS DIÁRIOS'!$P$5:$P$500,"&gt;=102300")&gt;0,"X","")</f>
      </c>
      <c r="U63" s="56" t="str">
        <f>IF(COUNTIFS('LANÇAMENTOS DIÁRIOS'!$G$5:$G$500,"D",'LANÇAMENTOS DIÁRIOS'!$C$5:$C$500,$A63,'LANÇAMENTOS DIÁRIOS'!$O$5:$O$500,"&lt;=102499",'LANÇAMENTOS DIÁRIOS'!$P$5:$P$500,"&gt;=102400")&gt;0,"X","")</f>
      </c>
      <c r="V63" s="56" t="str">
        <f>IF(COUNTIFS('LANÇAMENTOS DIÁRIOS'!$G$5:$G$500,"D",'LANÇAMENTOS DIÁRIOS'!$C$5:$C$500,$A63,'LANÇAMENTOS DIÁRIOS'!$O$5:$O$500,"&lt;=102599",'LANÇAMENTOS DIÁRIOS'!$P$5:$P$500,"&gt;=102500")&gt;0,"X","")</f>
      </c>
      <c r="W63" s="56" t="str">
        <f>IF(COUNTIFS('LANÇAMENTOS DIÁRIOS'!$G$5:$G$500,"D",'LANÇAMENTOS DIÁRIOS'!$C$5:$C$500,$A63,'LANÇAMENTOS DIÁRIOS'!$O$5:$O$500,"&lt;=102699",'LANÇAMENTOS DIÁRIOS'!$P$5:$P$500,"&gt;=102600")&gt;0,"X","")</f>
      </c>
      <c r="X63" s="56" t="str">
        <f>IF(COUNTIFS('LANÇAMENTOS DIÁRIOS'!$G$5:$G$500,"D",'LANÇAMENTOS DIÁRIOS'!$C$5:$C$500,$A63,'LANÇAMENTOS DIÁRIOS'!$O$5:$O$500,"&lt;=102799",'LANÇAMENTOS DIÁRIOS'!$P$5:$P$500,"&gt;=102700")&gt;0,"X","")</f>
      </c>
      <c r="Y63" s="56" t="str">
        <f>IF(COUNTIFS('LANÇAMENTOS DIÁRIOS'!$G$5:$G$500,"D",'LANÇAMENTOS DIÁRIOS'!$C$5:$C$500,$A63,'LANÇAMENTOS DIÁRIOS'!$O$5:$O$500,"&lt;=102899",'LANÇAMENTOS DIÁRIOS'!$P$5:$P$500,"&gt;=102800")&gt;0,"X","")</f>
      </c>
      <c r="Z63" s="56" t="str">
        <f>IF(COUNTIFS('LANÇAMENTOS DIÁRIOS'!$G$5:$G$500,"D",'LANÇAMENTOS DIÁRIOS'!$C$5:$C$500,$A63,'LANÇAMENTOS DIÁRIOS'!$O$5:$O$500,"&lt;=102999",'LANÇAMENTOS DIÁRIOS'!$P$5:$P$500,"&gt;=102900")&gt;0,"X","")</f>
      </c>
      <c r="AA63" s="56" t="str">
        <f>IF(COUNTIFS('LANÇAMENTOS DIÁRIOS'!$G$5:$G$500,"D",'LANÇAMENTOS DIÁRIOS'!$C$5:$C$500,$A63,'LANÇAMENTOS DIÁRIOS'!$O$5:$O$500,"&lt;=103099",'LANÇAMENTOS DIÁRIOS'!$P$5:$P$500,"&gt;=103000")&gt;0,"X","")</f>
      </c>
      <c r="AB63" s="56" t="str">
        <f>IF(COUNTIFS('LANÇAMENTOS DIÁRIOS'!$G$5:$G$500,"D",'LANÇAMENTOS DIÁRIOS'!$C$5:$C$500,$A63,'LANÇAMENTOS DIÁRIOS'!$O$5:$O$500,"&lt;=103199",'LANÇAMENTOS DIÁRIOS'!$P$5:$P$500,"&gt;=103100")&gt;0,"X","")</f>
      </c>
      <c r="AC63" s="56" t="str">
        <f>IF(COUNTIFS('LANÇAMENTOS DIÁRIOS'!$G$5:$G$500,"D",'LANÇAMENTOS DIÁRIOS'!$C$5:$C$500,$A63,'LANÇAMENTOS DIÁRIOS'!$O$5:$O$500,"&lt;=103299",'LANÇAMENTOS DIÁRIOS'!$P$5:$P$500,"&gt;=103200")&gt;0,"X","")</f>
      </c>
      <c r="AD63" s="56" t="str">
        <f>IF(COUNTIFS('LANÇAMENTOS DIÁRIOS'!$G$5:$G$500,"D",'LANÇAMENTOS DIÁRIOS'!$C$5:$C$500,$A63,'LANÇAMENTOS DIÁRIOS'!$O$5:$O$500,"&lt;=103399",'LANÇAMENTOS DIÁRIOS'!$P$5:$P$500,"&gt;=103300")&gt;0,"X","")</f>
      </c>
      <c r="AE63" s="56" t="str">
        <f>IF(COUNTIFS('LANÇAMENTOS DIÁRIOS'!$G$5:$G$500,"D",'LANÇAMENTOS DIÁRIOS'!$C$5:$C$500,$A63,'LANÇAMENTOS DIÁRIOS'!$O$5:$O$500,"&lt;=103499",'LANÇAMENTOS DIÁRIOS'!$P$5:$P$500,"&gt;=103400")&gt;0,"X","")</f>
      </c>
      <c r="AF63" s="56" t="str">
        <f>IF(COUNTIFS('LANÇAMENTOS DIÁRIOS'!$G$5:$G$500,"D",'LANÇAMENTOS DIÁRIOS'!$C$5:$C$500,$A63,'LANÇAMENTOS DIÁRIOS'!$O$5:$O$500,"&lt;=103599",'LANÇAMENTOS DIÁRIOS'!$P$5:$P$500,"&gt;=103500")&gt;0,"X","")</f>
      </c>
      <c r="AG63" s="56" t="str">
        <f>IF(COUNTIFS('LANÇAMENTOS DIÁRIOS'!$G$5:$G$500,"D",'LANÇAMENTOS DIÁRIOS'!$C$5:$C$500,$A63,'LANÇAMENTOS DIÁRIOS'!$O$5:$O$500,"&lt;=103699",'LANÇAMENTOS DIÁRIOS'!$P$5:$P$500,"&gt;=103600")&gt;0,"X","")</f>
      </c>
      <c r="AH63" s="56" t="str">
        <f>IF(COUNTIFS('LANÇAMENTOS DIÁRIOS'!$G$5:$G$500,"D",'LANÇAMENTOS DIÁRIOS'!$C$5:$C$500,$A63,'LANÇAMENTOS DIÁRIOS'!$O$5:$O$500,"&lt;=103799",'LANÇAMENTOS DIÁRIOS'!$P$5:$P$500,"&gt;=103700")&gt;0,"X","")</f>
      </c>
      <c r="AI63" s="56" t="str">
        <f>IF(COUNTIFS('LANÇAMENTOS DIÁRIOS'!$G$5:$G$500,"D",'LANÇAMENTOS DIÁRIOS'!$C$5:$C$500,$A63,'LANÇAMENTOS DIÁRIOS'!$O$5:$O$500,"&lt;=103899",'LANÇAMENTOS DIÁRIOS'!$P$5:$P$500,"&gt;=103800")&gt;0,"X","")</f>
      </c>
      <c r="AJ63" s="56" t="str">
        <f>IF(COUNTIFS('LANÇAMENTOS DIÁRIOS'!$G$5:$G$500,"D",'LANÇAMENTOS DIÁRIOS'!$C$5:$C$500,$A63,'LANÇAMENTOS DIÁRIOS'!$O$5:$O$500,"&lt;=103999",'LANÇAMENTOS DIÁRIOS'!$P$5:$P$500,"&gt;=103900")&gt;0,"X","")</f>
      </c>
      <c r="AK63" s="56" t="str">
        <f>IF(COUNTIFS('LANÇAMENTOS DIÁRIOS'!$G$5:$G$500,"D",'LANÇAMENTOS DIÁRIOS'!$C$5:$C$500,$A63,'LANÇAMENTOS DIÁRIOS'!$O$5:$O$500,"&lt;=104099",'LANÇAMENTOS DIÁRIOS'!$P$5:$P$500,"&gt;=104000")&gt;0,"X","")</f>
      </c>
      <c r="AL63" s="56" t="str">
        <f>IF(COUNTIFS('LANÇAMENTOS DIÁRIOS'!$G$5:$G$500,"D",'LANÇAMENTOS DIÁRIOS'!$C$5:$C$500,$A63,'LANÇAMENTOS DIÁRIOS'!$O$5:$O$500,"&lt;=104199",'LANÇAMENTOS DIÁRIOS'!$P$5:$P$500,"&gt;=104100")&gt;0,"X","")</f>
      </c>
      <c r="AM63" s="56" t="str">
        <f>IF(COUNTIFS('LANÇAMENTOS DIÁRIOS'!$G$5:$G$500,"D",'LANÇAMENTOS DIÁRIOS'!$C$5:$C$500,$A63,'LANÇAMENTOS DIÁRIOS'!$O$5:$O$500,"&lt;=104299",'LANÇAMENTOS DIÁRIOS'!$P$5:$P$500,"&gt;=104200")&gt;0,"X","")</f>
      </c>
      <c r="AN63" s="56" t="str">
        <f>IF(COUNTIFS('LANÇAMENTOS DIÁRIOS'!$G$5:$G$500,"D",'LANÇAMENTOS DIÁRIOS'!$C$5:$C$500,$A63,'LANÇAMENTOS DIÁRIOS'!$O$5:$O$500,"&lt;=104399",'LANÇAMENTOS DIÁRIOS'!$P$5:$P$500,"&gt;=104300")&gt;0,"X","")</f>
      </c>
      <c r="AO63" s="56" t="str">
        <f>IF(COUNTIFS('LANÇAMENTOS DIÁRIOS'!$G$5:$G$500,"D",'LANÇAMENTOS DIÁRIOS'!$C$5:$C$500,$A63,'LANÇAMENTOS DIÁRIOS'!$O$5:$O$500,"&lt;=104499",'LANÇAMENTOS DIÁRIOS'!$P$5:$P$500,"&gt;=104400")&gt;0,"X","")</f>
      </c>
      <c r="AP63" s="56" t="str">
        <f>IF(COUNTIFS('LANÇAMENTOS DIÁRIOS'!$G$5:$G$500,"D",'LANÇAMENTOS DIÁRIOS'!$C$5:$C$500,$A63,'LANÇAMENTOS DIÁRIOS'!$O$5:$O$500,"&lt;=104599",'LANÇAMENTOS DIÁRIOS'!$P$5:$P$500,"&gt;=104500")&gt;0,"X","")</f>
      </c>
      <c r="AQ63" s="56" t="str">
        <f>IF(COUNTIFS('LANÇAMENTOS DIÁRIOS'!$G$5:$G$500,"D",'LANÇAMENTOS DIÁRIOS'!$C$5:$C$500,$A63,'LANÇAMENTOS DIÁRIOS'!$O$5:$O$500,"&lt;=104699",'LANÇAMENTOS DIÁRIOS'!$P$5:$P$500,"&gt;=104600")&gt;0,"X","")</f>
      </c>
      <c r="AR63" s="56" t="str">
        <f>IF(COUNTIFS('LANÇAMENTOS DIÁRIOS'!$G$5:$G$500,"D",'LANÇAMENTOS DIÁRIOS'!$C$5:$C$500,$A63,'LANÇAMENTOS DIÁRIOS'!$O$5:$O$500,"&lt;=104799",'LANÇAMENTOS DIÁRIOS'!$P$5:$P$500,"&gt;=104700")&gt;0,"X","")</f>
      </c>
      <c r="AS63" s="56" t="str">
        <f>IF(COUNTIFS('LANÇAMENTOS DIÁRIOS'!$G$5:$G$500,"D",'LANÇAMENTOS DIÁRIOS'!$C$5:$C$500,$A63,'LANÇAMENTOS DIÁRIOS'!$O$5:$O$500,"&lt;=104899",'LANÇAMENTOS DIÁRIOS'!$P$5:$P$500,"&gt;=104800")&gt;0,"X","")</f>
      </c>
      <c r="AT63" s="56" t="str">
        <f>IF(COUNTIFS('LANÇAMENTOS DIÁRIOS'!$G$5:$G$500,"D",'LANÇAMENTOS DIÁRIOS'!$C$5:$C$500,$A63,'LANÇAMENTOS DIÁRIOS'!$O$5:$O$500,"&lt;=104999",'LANÇAMENTOS DIÁRIOS'!$P$5:$P$500,"&gt;=104900")&gt;0,"X","")</f>
      </c>
      <c r="AU63" s="56" t="str">
        <f>IF(COUNTIFS('LANÇAMENTOS DIÁRIOS'!$G$5:$G$500,"D",'LANÇAMENTOS DIÁRIOS'!$C$5:$C$500,$A63,'LANÇAMENTOS DIÁRIOS'!$O$5:$O$500,"&lt;=105099",'LANÇAMENTOS DIÁRIOS'!$P$5:$P$500,"&gt;=105000")&gt;0,"X","")</f>
      </c>
      <c r="AV63" s="56" t="str">
        <f>IF(COUNTIFS('LANÇAMENTOS DIÁRIOS'!$G$5:$G$500,"D",'LANÇAMENTOS DIÁRIOS'!$C$5:$C$500,$A63,'LANÇAMENTOS DIÁRIOS'!$O$5:$O$500,"&lt;=105199",'LANÇAMENTOS DIÁRIOS'!$P$5:$P$500,"&gt;=105100")&gt;0,"X","")</f>
      </c>
      <c r="AW63" s="56" t="str">
        <f>IF(COUNTIFS('LANÇAMENTOS DIÁRIOS'!$G$5:$G$500,"D",'LANÇAMENTOS DIÁRIOS'!$C$5:$C$500,$A63,'LANÇAMENTOS DIÁRIOS'!$O$5:$O$500,"&lt;=105299",'LANÇAMENTOS DIÁRIOS'!$P$5:$P$500,"&gt;=105200")&gt;0,"X","")</f>
      </c>
      <c r="AX63" s="56" t="str">
        <f>IF(COUNTIFS('LANÇAMENTOS DIÁRIOS'!$G$5:$G$500,"D",'LANÇAMENTOS DIÁRIOS'!$C$5:$C$500,$A63,'LANÇAMENTOS DIÁRIOS'!$O$5:$O$500,"&lt;=105399",'LANÇAMENTOS DIÁRIOS'!$P$5:$P$500,"&gt;=105300")&gt;0,"X","")</f>
      </c>
      <c r="AY63" s="56" t="str">
        <f>IF(COUNTIFS('LANÇAMENTOS DIÁRIOS'!$G$5:$G$500,"D",'LANÇAMENTOS DIÁRIOS'!$C$5:$C$500,$A63,'LANÇAMENTOS DIÁRIOS'!$O$5:$O$500,"&lt;=105499",'LANÇAMENTOS DIÁRIOS'!$P$5:$P$500,"&gt;=105400")&gt;0,"X","")</f>
      </c>
      <c r="AZ63" s="56" t="str">
        <f>IF(COUNTIFS('LANÇAMENTOS DIÁRIOS'!$G$5:$G$500,"D",'LANÇAMENTOS DIÁRIOS'!$C$5:$C$500,$A63,'LANÇAMENTOS DIÁRIOS'!$O$5:$O$500,"&lt;=105500",'LANÇAMENTOS DIÁRIOS'!$P$5:$P$500,"&gt;=105500")&gt;0,"X","")</f>
      </c>
    </row>
    <row r="64" ht="19" customHeight="1">
      <c r="A64" s="68" t="str">
        <v>Aplicação de geomanta e geogrelha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</row>
    <row r="65">
      <c r="A65" s="51" t="str">
        <v>Geogrelha uniaxial com deformação máxima de 10% e resistência nominal de 100kN/m - Sem o fronecimento de materiais</v>
      </c>
      <c r="B65" s="56" t="str">
        <f>IF(COUNTIFS('LANÇAMENTOS DIÁRIOS'!$G$5:$G$500,"D",'LANÇAMENTOS DIÁRIOS'!$C$5:$C$500,$A65,'LANÇAMENTOS DIÁRIOS'!$O$5:$O$500,"&lt;=100599",'LANÇAMENTOS DIÁRIOS'!$P$5:$P$500,"&gt;=100500")&gt;0,"X","")</f>
      </c>
      <c r="C65" s="56" t="str">
        <f>IF(COUNTIFS('LANÇAMENTOS DIÁRIOS'!$G$5:$G$500,"D",'LANÇAMENTOS DIÁRIOS'!$C$5:$C$500,$A65,'LANÇAMENTOS DIÁRIOS'!$O$5:$O$500,"&lt;=100699",'LANÇAMENTOS DIÁRIOS'!$P$5:$P$500,"&gt;=100600")&gt;0,"X","")</f>
      </c>
      <c r="D65" s="56" t="str">
        <f>IF(COUNTIFS('LANÇAMENTOS DIÁRIOS'!$G$5:$G$500,"D",'LANÇAMENTOS DIÁRIOS'!$C$5:$C$500,$A65,'LANÇAMENTOS DIÁRIOS'!$O$5:$O$500,"&lt;=100799",'LANÇAMENTOS DIÁRIOS'!$P$5:$P$500,"&gt;=100700")&gt;0,"X","")</f>
      </c>
      <c r="E65" s="56" t="str">
        <f>IF(COUNTIFS('LANÇAMENTOS DIÁRIOS'!$G$5:$G$500,"D",'LANÇAMENTOS DIÁRIOS'!$C$5:$C$500,$A65,'LANÇAMENTOS DIÁRIOS'!$O$5:$O$500,"&lt;=100899",'LANÇAMENTOS DIÁRIOS'!$P$5:$P$500,"&gt;=100800")&gt;0,"X","")</f>
      </c>
      <c r="F65" s="56" t="str">
        <f>IF(COUNTIFS('LANÇAMENTOS DIÁRIOS'!$G$5:$G$500,"D",'LANÇAMENTOS DIÁRIOS'!$C$5:$C$500,$A65,'LANÇAMENTOS DIÁRIOS'!$O$5:$O$500,"&lt;=100999",'LANÇAMENTOS DIÁRIOS'!$P$5:$P$500,"&gt;=100900")&gt;0,"X","")</f>
      </c>
      <c r="G65" s="56" t="str">
        <f>IF(COUNTIFS('LANÇAMENTOS DIÁRIOS'!$G$5:$G$500,"D",'LANÇAMENTOS DIÁRIOS'!$C$5:$C$500,$A65,'LANÇAMENTOS DIÁRIOS'!$O$5:$O$500,"&lt;=101099",'LANÇAMENTOS DIÁRIOS'!$P$5:$P$500,"&gt;=101000")&gt;0,"X","")</f>
      </c>
      <c r="H65" s="56" t="str">
        <f>IF(COUNTIFS('LANÇAMENTOS DIÁRIOS'!$G$5:$G$500,"D",'LANÇAMENTOS DIÁRIOS'!$C$5:$C$500,$A65,'LANÇAMENTOS DIÁRIOS'!$O$5:$O$500,"&lt;=101199",'LANÇAMENTOS DIÁRIOS'!$P$5:$P$500,"&gt;=101100")&gt;0,"X","")</f>
      </c>
      <c r="I65" s="56" t="str">
        <f>IF(COUNTIFS('LANÇAMENTOS DIÁRIOS'!$G$5:$G$500,"D",'LANÇAMENTOS DIÁRIOS'!$C$5:$C$500,$A65,'LANÇAMENTOS DIÁRIOS'!$O$5:$O$500,"&lt;=101299",'LANÇAMENTOS DIÁRIOS'!$P$5:$P$500,"&gt;=101200")&gt;0,"X","")</f>
      </c>
      <c r="J65" s="56" t="str">
        <f>IF(COUNTIFS('LANÇAMENTOS DIÁRIOS'!$G$5:$G$500,"D",'LANÇAMENTOS DIÁRIOS'!$C$5:$C$500,$A65,'LANÇAMENTOS DIÁRIOS'!$O$5:$O$500,"&lt;=101399",'LANÇAMENTOS DIÁRIOS'!$P$5:$P$500,"&gt;=101300")&gt;0,"X","")</f>
      </c>
      <c r="K65" s="56" t="str">
        <f>IF(COUNTIFS('LANÇAMENTOS DIÁRIOS'!$G$5:$G$500,"D",'LANÇAMENTOS DIÁRIOS'!$C$5:$C$500,$A65,'LANÇAMENTOS DIÁRIOS'!$O$5:$O$500,"&lt;=101499",'LANÇAMENTOS DIÁRIOS'!$P$5:$P$500,"&gt;=101400")&gt;0,"X","")</f>
      </c>
      <c r="L65" s="56" t="str">
        <f>IF(COUNTIFS('LANÇAMENTOS DIÁRIOS'!$G$5:$G$500,"D",'LANÇAMENTOS DIÁRIOS'!$C$5:$C$500,$A65,'LANÇAMENTOS DIÁRIOS'!$O$5:$O$500,"&lt;=101599",'LANÇAMENTOS DIÁRIOS'!$P$5:$P$500,"&gt;=101500")&gt;0,"X","")</f>
      </c>
      <c r="M65" s="56" t="str">
        <f>IF(COUNTIFS('LANÇAMENTOS DIÁRIOS'!$G$5:$G$500,"D",'LANÇAMENTOS DIÁRIOS'!$C$5:$C$500,$A65,'LANÇAMENTOS DIÁRIOS'!$O$5:$O$500,"&lt;=101699",'LANÇAMENTOS DIÁRIOS'!$P$5:$P$500,"&gt;=101600")&gt;0,"X","")</f>
      </c>
      <c r="N65" s="56" t="str">
        <f>IF(COUNTIFS('LANÇAMENTOS DIÁRIOS'!$G$5:$G$500,"D",'LANÇAMENTOS DIÁRIOS'!$C$5:$C$500,$A65,'LANÇAMENTOS DIÁRIOS'!$O$5:$O$500,"&lt;=101799",'LANÇAMENTOS DIÁRIOS'!$P$5:$P$500,"&gt;=101700")&gt;0,"X","")</f>
      </c>
      <c r="O65" s="56" t="str">
        <f>IF(COUNTIFS('LANÇAMENTOS DIÁRIOS'!$G$5:$G$500,"D",'LANÇAMENTOS DIÁRIOS'!$C$5:$C$500,$A65,'LANÇAMENTOS DIÁRIOS'!$O$5:$O$500,"&lt;=101899",'LANÇAMENTOS DIÁRIOS'!$P$5:$P$500,"&gt;=101800")&gt;0,"X","")</f>
      </c>
      <c r="P65" s="56" t="str">
        <f>IF(COUNTIFS('LANÇAMENTOS DIÁRIOS'!$G$5:$G$500,"D",'LANÇAMENTOS DIÁRIOS'!$C$5:$C$500,$A65,'LANÇAMENTOS DIÁRIOS'!$O$5:$O$500,"&lt;=101999",'LANÇAMENTOS DIÁRIOS'!$P$5:$P$500,"&gt;=101900")&gt;0,"X","")</f>
      </c>
      <c r="Q65" s="56" t="str">
        <f>IF(COUNTIFS('LANÇAMENTOS DIÁRIOS'!$G$5:$G$500,"D",'LANÇAMENTOS DIÁRIOS'!$C$5:$C$500,$A65,'LANÇAMENTOS DIÁRIOS'!$O$5:$O$500,"&lt;=102099",'LANÇAMENTOS DIÁRIOS'!$P$5:$P$500,"&gt;=102000")&gt;0,"X","")</f>
      </c>
      <c r="R65" s="56" t="str">
        <f>IF(COUNTIFS('LANÇAMENTOS DIÁRIOS'!$G$5:$G$500,"D",'LANÇAMENTOS DIÁRIOS'!$C$5:$C$500,$A65,'LANÇAMENTOS DIÁRIOS'!$O$5:$O$500,"&lt;=102199",'LANÇAMENTOS DIÁRIOS'!$P$5:$P$500,"&gt;=102100")&gt;0,"X","")</f>
      </c>
      <c r="S65" s="56" t="str">
        <f>IF(COUNTIFS('LANÇAMENTOS DIÁRIOS'!$G$5:$G$500,"D",'LANÇAMENTOS DIÁRIOS'!$C$5:$C$500,$A65,'LANÇAMENTOS DIÁRIOS'!$O$5:$O$500,"&lt;=102299",'LANÇAMENTOS DIÁRIOS'!$P$5:$P$500,"&gt;=102200")&gt;0,"X","")</f>
      </c>
      <c r="T65" s="56" t="str">
        <f>IF(COUNTIFS('LANÇAMENTOS DIÁRIOS'!$G$5:$G$500,"D",'LANÇAMENTOS DIÁRIOS'!$C$5:$C$500,$A65,'LANÇAMENTOS DIÁRIOS'!$O$5:$O$500,"&lt;=102399",'LANÇAMENTOS DIÁRIOS'!$P$5:$P$500,"&gt;=102300")&gt;0,"X","")</f>
      </c>
      <c r="U65" s="56" t="str">
        <f>IF(COUNTIFS('LANÇAMENTOS DIÁRIOS'!$G$5:$G$500,"D",'LANÇAMENTOS DIÁRIOS'!$C$5:$C$500,$A65,'LANÇAMENTOS DIÁRIOS'!$O$5:$O$500,"&lt;=102499",'LANÇAMENTOS DIÁRIOS'!$P$5:$P$500,"&gt;=102400")&gt;0,"X","")</f>
      </c>
      <c r="V65" s="56" t="str">
        <f>IF(COUNTIFS('LANÇAMENTOS DIÁRIOS'!$G$5:$G$500,"D",'LANÇAMENTOS DIÁRIOS'!$C$5:$C$500,$A65,'LANÇAMENTOS DIÁRIOS'!$O$5:$O$500,"&lt;=102599",'LANÇAMENTOS DIÁRIOS'!$P$5:$P$500,"&gt;=102500")&gt;0,"X","")</f>
      </c>
      <c r="W65" s="56" t="str">
        <f>IF(COUNTIFS('LANÇAMENTOS DIÁRIOS'!$G$5:$G$500,"D",'LANÇAMENTOS DIÁRIOS'!$C$5:$C$500,$A65,'LANÇAMENTOS DIÁRIOS'!$O$5:$O$500,"&lt;=102699",'LANÇAMENTOS DIÁRIOS'!$P$5:$P$500,"&gt;=102600")&gt;0,"X","")</f>
      </c>
      <c r="X65" s="56" t="str">
        <f>IF(COUNTIFS('LANÇAMENTOS DIÁRIOS'!$G$5:$G$500,"D",'LANÇAMENTOS DIÁRIOS'!$C$5:$C$500,$A65,'LANÇAMENTOS DIÁRIOS'!$O$5:$O$500,"&lt;=102799",'LANÇAMENTOS DIÁRIOS'!$P$5:$P$500,"&gt;=102700")&gt;0,"X","")</f>
      </c>
      <c r="Y65" s="56" t="str">
        <f>IF(COUNTIFS('LANÇAMENTOS DIÁRIOS'!$G$5:$G$500,"D",'LANÇAMENTOS DIÁRIOS'!$C$5:$C$500,$A65,'LANÇAMENTOS DIÁRIOS'!$O$5:$O$500,"&lt;=102899",'LANÇAMENTOS DIÁRIOS'!$P$5:$P$500,"&gt;=102800")&gt;0,"X","")</f>
      </c>
      <c r="Z65" s="56" t="str">
        <f>IF(COUNTIFS('LANÇAMENTOS DIÁRIOS'!$G$5:$G$500,"D",'LANÇAMENTOS DIÁRIOS'!$C$5:$C$500,$A65,'LANÇAMENTOS DIÁRIOS'!$O$5:$O$500,"&lt;=102999",'LANÇAMENTOS DIÁRIOS'!$P$5:$P$500,"&gt;=102900")&gt;0,"X","")</f>
      </c>
      <c r="AA65" s="56" t="str">
        <f>IF(COUNTIFS('LANÇAMENTOS DIÁRIOS'!$G$5:$G$500,"D",'LANÇAMENTOS DIÁRIOS'!$C$5:$C$500,$A65,'LANÇAMENTOS DIÁRIOS'!$O$5:$O$500,"&lt;=103099",'LANÇAMENTOS DIÁRIOS'!$P$5:$P$500,"&gt;=103000")&gt;0,"X","")</f>
      </c>
      <c r="AB65" s="56" t="str">
        <f>IF(COUNTIFS('LANÇAMENTOS DIÁRIOS'!$G$5:$G$500,"D",'LANÇAMENTOS DIÁRIOS'!$C$5:$C$500,$A65,'LANÇAMENTOS DIÁRIOS'!$O$5:$O$500,"&lt;=103199",'LANÇAMENTOS DIÁRIOS'!$P$5:$P$500,"&gt;=103100")&gt;0,"X","")</f>
      </c>
      <c r="AC65" s="56" t="str">
        <f>IF(COUNTIFS('LANÇAMENTOS DIÁRIOS'!$G$5:$G$500,"D",'LANÇAMENTOS DIÁRIOS'!$C$5:$C$500,$A65,'LANÇAMENTOS DIÁRIOS'!$O$5:$O$500,"&lt;=103299",'LANÇAMENTOS DIÁRIOS'!$P$5:$P$500,"&gt;=103200")&gt;0,"X","")</f>
      </c>
      <c r="AD65" s="56" t="str">
        <f>IF(COUNTIFS('LANÇAMENTOS DIÁRIOS'!$G$5:$G$500,"D",'LANÇAMENTOS DIÁRIOS'!$C$5:$C$500,$A65,'LANÇAMENTOS DIÁRIOS'!$O$5:$O$500,"&lt;=103399",'LANÇAMENTOS DIÁRIOS'!$P$5:$P$500,"&gt;=103300")&gt;0,"X","")</f>
      </c>
      <c r="AE65" s="56" t="str">
        <f>IF(COUNTIFS('LANÇAMENTOS DIÁRIOS'!$G$5:$G$500,"D",'LANÇAMENTOS DIÁRIOS'!$C$5:$C$500,$A65,'LANÇAMENTOS DIÁRIOS'!$O$5:$O$500,"&lt;=103499",'LANÇAMENTOS DIÁRIOS'!$P$5:$P$500,"&gt;=103400")&gt;0,"X","")</f>
      </c>
      <c r="AF65" s="56" t="str">
        <f>IF(COUNTIFS('LANÇAMENTOS DIÁRIOS'!$G$5:$G$500,"D",'LANÇAMENTOS DIÁRIOS'!$C$5:$C$500,$A65,'LANÇAMENTOS DIÁRIOS'!$O$5:$O$500,"&lt;=103599",'LANÇAMENTOS DIÁRIOS'!$P$5:$P$500,"&gt;=103500")&gt;0,"X","")</f>
      </c>
      <c r="AG65" s="56" t="str">
        <f>IF(COUNTIFS('LANÇAMENTOS DIÁRIOS'!$G$5:$G$500,"D",'LANÇAMENTOS DIÁRIOS'!$C$5:$C$500,$A65,'LANÇAMENTOS DIÁRIOS'!$O$5:$O$500,"&lt;=103699",'LANÇAMENTOS DIÁRIOS'!$P$5:$P$500,"&gt;=103600")&gt;0,"X","")</f>
      </c>
      <c r="AH65" s="56" t="str">
        <f>IF(COUNTIFS('LANÇAMENTOS DIÁRIOS'!$G$5:$G$500,"D",'LANÇAMENTOS DIÁRIOS'!$C$5:$C$500,$A65,'LANÇAMENTOS DIÁRIOS'!$O$5:$O$500,"&lt;=103799",'LANÇAMENTOS DIÁRIOS'!$P$5:$P$500,"&gt;=103700")&gt;0,"X","")</f>
      </c>
      <c r="AI65" s="56" t="str">
        <f>IF(COUNTIFS('LANÇAMENTOS DIÁRIOS'!$G$5:$G$500,"D",'LANÇAMENTOS DIÁRIOS'!$C$5:$C$500,$A65,'LANÇAMENTOS DIÁRIOS'!$O$5:$O$500,"&lt;=103899",'LANÇAMENTOS DIÁRIOS'!$P$5:$P$500,"&gt;=103800")&gt;0,"X","")</f>
      </c>
      <c r="AJ65" s="56" t="str">
        <f>IF(COUNTIFS('LANÇAMENTOS DIÁRIOS'!$G$5:$G$500,"D",'LANÇAMENTOS DIÁRIOS'!$C$5:$C$500,$A65,'LANÇAMENTOS DIÁRIOS'!$O$5:$O$500,"&lt;=103999",'LANÇAMENTOS DIÁRIOS'!$P$5:$P$500,"&gt;=103900")&gt;0,"X","")</f>
      </c>
      <c r="AK65" s="56" t="str">
        <f>IF(COUNTIFS('LANÇAMENTOS DIÁRIOS'!$G$5:$G$500,"D",'LANÇAMENTOS DIÁRIOS'!$C$5:$C$500,$A65,'LANÇAMENTOS DIÁRIOS'!$O$5:$O$500,"&lt;=104099",'LANÇAMENTOS DIÁRIOS'!$P$5:$P$500,"&gt;=104000")&gt;0,"X","")</f>
      </c>
      <c r="AL65" s="56" t="str">
        <f>IF(COUNTIFS('LANÇAMENTOS DIÁRIOS'!$G$5:$G$500,"D",'LANÇAMENTOS DIÁRIOS'!$C$5:$C$500,$A65,'LANÇAMENTOS DIÁRIOS'!$O$5:$O$500,"&lt;=104199",'LANÇAMENTOS DIÁRIOS'!$P$5:$P$500,"&gt;=104100")&gt;0,"X","")</f>
      </c>
      <c r="AM65" s="56" t="str">
        <f>IF(COUNTIFS('LANÇAMENTOS DIÁRIOS'!$G$5:$G$500,"D",'LANÇAMENTOS DIÁRIOS'!$C$5:$C$500,$A65,'LANÇAMENTOS DIÁRIOS'!$O$5:$O$500,"&lt;=104299",'LANÇAMENTOS DIÁRIOS'!$P$5:$P$500,"&gt;=104200")&gt;0,"X","")</f>
      </c>
      <c r="AN65" s="56" t="str">
        <f>IF(COUNTIFS('LANÇAMENTOS DIÁRIOS'!$G$5:$G$500,"D",'LANÇAMENTOS DIÁRIOS'!$C$5:$C$500,$A65,'LANÇAMENTOS DIÁRIOS'!$O$5:$O$500,"&lt;=104399",'LANÇAMENTOS DIÁRIOS'!$P$5:$P$500,"&gt;=104300")&gt;0,"X","")</f>
      </c>
      <c r="AO65" s="56" t="str">
        <f>IF(COUNTIFS('LANÇAMENTOS DIÁRIOS'!$G$5:$G$500,"D",'LANÇAMENTOS DIÁRIOS'!$C$5:$C$500,$A65,'LANÇAMENTOS DIÁRIOS'!$O$5:$O$500,"&lt;=104499",'LANÇAMENTOS DIÁRIOS'!$P$5:$P$500,"&gt;=104400")&gt;0,"X","")</f>
      </c>
      <c r="AP65" s="56" t="str">
        <f>IF(COUNTIFS('LANÇAMENTOS DIÁRIOS'!$G$5:$G$500,"D",'LANÇAMENTOS DIÁRIOS'!$C$5:$C$500,$A65,'LANÇAMENTOS DIÁRIOS'!$O$5:$O$500,"&lt;=104599",'LANÇAMENTOS DIÁRIOS'!$P$5:$P$500,"&gt;=104500")&gt;0,"X","")</f>
      </c>
      <c r="AQ65" s="56" t="str">
        <f>IF(COUNTIFS('LANÇAMENTOS DIÁRIOS'!$G$5:$G$500,"D",'LANÇAMENTOS DIÁRIOS'!$C$5:$C$500,$A65,'LANÇAMENTOS DIÁRIOS'!$O$5:$O$500,"&lt;=104699",'LANÇAMENTOS DIÁRIOS'!$P$5:$P$500,"&gt;=104600")&gt;0,"X","")</f>
      </c>
      <c r="AR65" s="56" t="str">
        <f>IF(COUNTIFS('LANÇAMENTOS DIÁRIOS'!$G$5:$G$500,"D",'LANÇAMENTOS DIÁRIOS'!$C$5:$C$500,$A65,'LANÇAMENTOS DIÁRIOS'!$O$5:$O$500,"&lt;=104799",'LANÇAMENTOS DIÁRIOS'!$P$5:$P$500,"&gt;=104700")&gt;0,"X","")</f>
      </c>
      <c r="AS65" s="56" t="str">
        <f>IF(COUNTIFS('LANÇAMENTOS DIÁRIOS'!$G$5:$G$500,"D",'LANÇAMENTOS DIÁRIOS'!$C$5:$C$500,$A65,'LANÇAMENTOS DIÁRIOS'!$O$5:$O$500,"&lt;=104899",'LANÇAMENTOS DIÁRIOS'!$P$5:$P$500,"&gt;=104800")&gt;0,"X","")</f>
      </c>
      <c r="AT65" s="56" t="str">
        <f>IF(COUNTIFS('LANÇAMENTOS DIÁRIOS'!$G$5:$G$500,"D",'LANÇAMENTOS DIÁRIOS'!$C$5:$C$500,$A65,'LANÇAMENTOS DIÁRIOS'!$O$5:$O$500,"&lt;=104999",'LANÇAMENTOS DIÁRIOS'!$P$5:$P$500,"&gt;=104900")&gt;0,"X","")</f>
      </c>
      <c r="AU65" s="56" t="str">
        <f>IF(COUNTIFS('LANÇAMENTOS DIÁRIOS'!$G$5:$G$500,"D",'LANÇAMENTOS DIÁRIOS'!$C$5:$C$500,$A65,'LANÇAMENTOS DIÁRIOS'!$O$5:$O$500,"&lt;=105099",'LANÇAMENTOS DIÁRIOS'!$P$5:$P$500,"&gt;=105000")&gt;0,"X","")</f>
      </c>
      <c r="AV65" s="56" t="str">
        <f>IF(COUNTIFS('LANÇAMENTOS DIÁRIOS'!$G$5:$G$500,"D",'LANÇAMENTOS DIÁRIOS'!$C$5:$C$500,$A65,'LANÇAMENTOS DIÁRIOS'!$O$5:$O$500,"&lt;=105199",'LANÇAMENTOS DIÁRIOS'!$P$5:$P$500,"&gt;=105100")&gt;0,"X","")</f>
      </c>
      <c r="AW65" s="56" t="str">
        <f>IF(COUNTIFS('LANÇAMENTOS DIÁRIOS'!$G$5:$G$500,"D",'LANÇAMENTOS DIÁRIOS'!$C$5:$C$500,$A65,'LANÇAMENTOS DIÁRIOS'!$O$5:$O$500,"&lt;=105299",'LANÇAMENTOS DIÁRIOS'!$P$5:$P$500,"&gt;=105200")&gt;0,"X","")</f>
      </c>
      <c r="AX65" s="56" t="str">
        <f>IF(COUNTIFS('LANÇAMENTOS DIÁRIOS'!$G$5:$G$500,"D",'LANÇAMENTOS DIÁRIOS'!$C$5:$C$500,$A65,'LANÇAMENTOS DIÁRIOS'!$O$5:$O$500,"&lt;=105399",'LANÇAMENTOS DIÁRIOS'!$P$5:$P$500,"&gt;=105300")&gt;0,"X","")</f>
      </c>
      <c r="AY65" s="56" t="str">
        <f>IF(COUNTIFS('LANÇAMENTOS DIÁRIOS'!$G$5:$G$500,"D",'LANÇAMENTOS DIÁRIOS'!$C$5:$C$500,$A65,'LANÇAMENTOS DIÁRIOS'!$O$5:$O$500,"&lt;=105499",'LANÇAMENTOS DIÁRIOS'!$P$5:$P$500,"&gt;=105400")&gt;0,"X","")</f>
      </c>
      <c r="AZ65" s="56" t="str">
        <f>IF(COUNTIFS('LANÇAMENTOS DIÁRIOS'!$G$5:$G$500,"D",'LANÇAMENTOS DIÁRIOS'!$C$5:$C$500,$A65,'LANÇAMENTOS DIÁRIOS'!$O$5:$O$500,"&lt;=105500",'LANÇAMENTOS DIÁRIOS'!$P$5:$P$500,"&gt;=105500")&gt;0,"X","")</f>
      </c>
    </row>
    <row r="66">
      <c r="A66" s="51" t="str">
        <v>Geogrelha uniaxial com deformação máxima de 5% e resistência nominal de 225kN/m - Sem o fornecimento dos materias</v>
      </c>
      <c r="B66" s="56" t="str">
        <f>IF(COUNTIFS('LANÇAMENTOS DIÁRIOS'!$G$5:$G$500,"D",'LANÇAMENTOS DIÁRIOS'!$C$5:$C$500,$A66,'LANÇAMENTOS DIÁRIOS'!$O$5:$O$500,"&lt;=100599",'LANÇAMENTOS DIÁRIOS'!$P$5:$P$500,"&gt;=100500")&gt;0,"X","")</f>
      </c>
      <c r="C66" s="56" t="str">
        <f>IF(COUNTIFS('LANÇAMENTOS DIÁRIOS'!$G$5:$G$500,"D",'LANÇAMENTOS DIÁRIOS'!$C$5:$C$500,$A66,'LANÇAMENTOS DIÁRIOS'!$O$5:$O$500,"&lt;=100699",'LANÇAMENTOS DIÁRIOS'!$P$5:$P$500,"&gt;=100600")&gt;0,"X","")</f>
      </c>
      <c r="D66" s="56" t="str">
        <f>IF(COUNTIFS('LANÇAMENTOS DIÁRIOS'!$G$5:$G$500,"D",'LANÇAMENTOS DIÁRIOS'!$C$5:$C$500,$A66,'LANÇAMENTOS DIÁRIOS'!$O$5:$O$500,"&lt;=100799",'LANÇAMENTOS DIÁRIOS'!$P$5:$P$500,"&gt;=100700")&gt;0,"X","")</f>
      </c>
      <c r="E66" s="56" t="str">
        <f>IF(COUNTIFS('LANÇAMENTOS DIÁRIOS'!$G$5:$G$500,"D",'LANÇAMENTOS DIÁRIOS'!$C$5:$C$500,$A66,'LANÇAMENTOS DIÁRIOS'!$O$5:$O$500,"&lt;=100899",'LANÇAMENTOS DIÁRIOS'!$P$5:$P$500,"&gt;=100800")&gt;0,"X","")</f>
      </c>
      <c r="F66" s="56" t="str">
        <f>IF(COUNTIFS('LANÇAMENTOS DIÁRIOS'!$G$5:$G$500,"D",'LANÇAMENTOS DIÁRIOS'!$C$5:$C$500,$A66,'LANÇAMENTOS DIÁRIOS'!$O$5:$O$500,"&lt;=100999",'LANÇAMENTOS DIÁRIOS'!$P$5:$P$500,"&gt;=100900")&gt;0,"X","")</f>
      </c>
      <c r="G66" s="56" t="str">
        <f>IF(COUNTIFS('LANÇAMENTOS DIÁRIOS'!$G$5:$G$500,"D",'LANÇAMENTOS DIÁRIOS'!$C$5:$C$500,$A66,'LANÇAMENTOS DIÁRIOS'!$O$5:$O$500,"&lt;=101099",'LANÇAMENTOS DIÁRIOS'!$P$5:$P$500,"&gt;=101000")&gt;0,"X","")</f>
      </c>
      <c r="H66" s="56" t="str">
        <f>IF(COUNTIFS('LANÇAMENTOS DIÁRIOS'!$G$5:$G$500,"D",'LANÇAMENTOS DIÁRIOS'!$C$5:$C$500,$A66,'LANÇAMENTOS DIÁRIOS'!$O$5:$O$500,"&lt;=101199",'LANÇAMENTOS DIÁRIOS'!$P$5:$P$500,"&gt;=101100")&gt;0,"X","")</f>
      </c>
      <c r="I66" s="56" t="str">
        <f>IF(COUNTIFS('LANÇAMENTOS DIÁRIOS'!$G$5:$G$500,"D",'LANÇAMENTOS DIÁRIOS'!$C$5:$C$500,$A66,'LANÇAMENTOS DIÁRIOS'!$O$5:$O$500,"&lt;=101299",'LANÇAMENTOS DIÁRIOS'!$P$5:$P$500,"&gt;=101200")&gt;0,"X","")</f>
      </c>
      <c r="J66" s="56" t="str">
        <f>IF(COUNTIFS('LANÇAMENTOS DIÁRIOS'!$G$5:$G$500,"D",'LANÇAMENTOS DIÁRIOS'!$C$5:$C$500,$A66,'LANÇAMENTOS DIÁRIOS'!$O$5:$O$500,"&lt;=101399",'LANÇAMENTOS DIÁRIOS'!$P$5:$P$500,"&gt;=101300")&gt;0,"X","")</f>
      </c>
      <c r="K66" s="56" t="str">
        <f>IF(COUNTIFS('LANÇAMENTOS DIÁRIOS'!$G$5:$G$500,"D",'LANÇAMENTOS DIÁRIOS'!$C$5:$C$500,$A66,'LANÇAMENTOS DIÁRIOS'!$O$5:$O$500,"&lt;=101499",'LANÇAMENTOS DIÁRIOS'!$P$5:$P$500,"&gt;=101400")&gt;0,"X","")</f>
      </c>
      <c r="L66" s="56" t="str">
        <f>IF(COUNTIFS('LANÇAMENTOS DIÁRIOS'!$G$5:$G$500,"D",'LANÇAMENTOS DIÁRIOS'!$C$5:$C$500,$A66,'LANÇAMENTOS DIÁRIOS'!$O$5:$O$500,"&lt;=101599",'LANÇAMENTOS DIÁRIOS'!$P$5:$P$500,"&gt;=101500")&gt;0,"X","")</f>
      </c>
      <c r="M66" s="56" t="str">
        <f>IF(COUNTIFS('LANÇAMENTOS DIÁRIOS'!$G$5:$G$500,"D",'LANÇAMENTOS DIÁRIOS'!$C$5:$C$500,$A66,'LANÇAMENTOS DIÁRIOS'!$O$5:$O$500,"&lt;=101699",'LANÇAMENTOS DIÁRIOS'!$P$5:$P$500,"&gt;=101600")&gt;0,"X","")</f>
      </c>
      <c r="N66" s="56" t="str">
        <f>IF(COUNTIFS('LANÇAMENTOS DIÁRIOS'!$G$5:$G$500,"D",'LANÇAMENTOS DIÁRIOS'!$C$5:$C$500,$A66,'LANÇAMENTOS DIÁRIOS'!$O$5:$O$500,"&lt;=101799",'LANÇAMENTOS DIÁRIOS'!$P$5:$P$500,"&gt;=101700")&gt;0,"X","")</f>
      </c>
      <c r="O66" s="56" t="str">
        <f>IF(COUNTIFS('LANÇAMENTOS DIÁRIOS'!$G$5:$G$500,"D",'LANÇAMENTOS DIÁRIOS'!$C$5:$C$500,$A66,'LANÇAMENTOS DIÁRIOS'!$O$5:$O$500,"&lt;=101899",'LANÇAMENTOS DIÁRIOS'!$P$5:$P$500,"&gt;=101800")&gt;0,"X","")</f>
      </c>
      <c r="P66" s="56" t="str">
        <f>IF(COUNTIFS('LANÇAMENTOS DIÁRIOS'!$G$5:$G$500,"D",'LANÇAMENTOS DIÁRIOS'!$C$5:$C$500,$A66,'LANÇAMENTOS DIÁRIOS'!$O$5:$O$500,"&lt;=101999",'LANÇAMENTOS DIÁRIOS'!$P$5:$P$500,"&gt;=101900")&gt;0,"X","")</f>
      </c>
      <c r="Q66" s="56" t="str">
        <f>IF(COUNTIFS('LANÇAMENTOS DIÁRIOS'!$G$5:$G$500,"D",'LANÇAMENTOS DIÁRIOS'!$C$5:$C$500,$A66,'LANÇAMENTOS DIÁRIOS'!$O$5:$O$500,"&lt;=102099",'LANÇAMENTOS DIÁRIOS'!$P$5:$P$500,"&gt;=102000")&gt;0,"X","")</f>
      </c>
      <c r="R66" s="56" t="str">
        <f>IF(COUNTIFS('LANÇAMENTOS DIÁRIOS'!$G$5:$G$500,"D",'LANÇAMENTOS DIÁRIOS'!$C$5:$C$500,$A66,'LANÇAMENTOS DIÁRIOS'!$O$5:$O$500,"&lt;=102199",'LANÇAMENTOS DIÁRIOS'!$P$5:$P$500,"&gt;=102100")&gt;0,"X","")</f>
      </c>
      <c r="S66" s="56" t="str">
        <f>IF(COUNTIFS('LANÇAMENTOS DIÁRIOS'!$G$5:$G$500,"D",'LANÇAMENTOS DIÁRIOS'!$C$5:$C$500,$A66,'LANÇAMENTOS DIÁRIOS'!$O$5:$O$500,"&lt;=102299",'LANÇAMENTOS DIÁRIOS'!$P$5:$P$500,"&gt;=102200")&gt;0,"X","")</f>
      </c>
      <c r="T66" s="56" t="str">
        <f>IF(COUNTIFS('LANÇAMENTOS DIÁRIOS'!$G$5:$G$500,"D",'LANÇAMENTOS DIÁRIOS'!$C$5:$C$500,$A66,'LANÇAMENTOS DIÁRIOS'!$O$5:$O$500,"&lt;=102399",'LANÇAMENTOS DIÁRIOS'!$P$5:$P$500,"&gt;=102300")&gt;0,"X","")</f>
      </c>
      <c r="U66" s="56" t="str">
        <f>IF(COUNTIFS('LANÇAMENTOS DIÁRIOS'!$G$5:$G$500,"D",'LANÇAMENTOS DIÁRIOS'!$C$5:$C$500,$A66,'LANÇAMENTOS DIÁRIOS'!$O$5:$O$500,"&lt;=102499",'LANÇAMENTOS DIÁRIOS'!$P$5:$P$500,"&gt;=102400")&gt;0,"X","")</f>
      </c>
      <c r="V66" s="56" t="str">
        <f>IF(COUNTIFS('LANÇAMENTOS DIÁRIOS'!$G$5:$G$500,"D",'LANÇAMENTOS DIÁRIOS'!$C$5:$C$500,$A66,'LANÇAMENTOS DIÁRIOS'!$O$5:$O$500,"&lt;=102599",'LANÇAMENTOS DIÁRIOS'!$P$5:$P$500,"&gt;=102500")&gt;0,"X","")</f>
      </c>
      <c r="W66" s="56" t="str">
        <f>IF(COUNTIFS('LANÇAMENTOS DIÁRIOS'!$G$5:$G$500,"D",'LANÇAMENTOS DIÁRIOS'!$C$5:$C$500,$A66,'LANÇAMENTOS DIÁRIOS'!$O$5:$O$500,"&lt;=102699",'LANÇAMENTOS DIÁRIOS'!$P$5:$P$500,"&gt;=102600")&gt;0,"X","")</f>
      </c>
      <c r="X66" s="56" t="str">
        <f>IF(COUNTIFS('LANÇAMENTOS DIÁRIOS'!$G$5:$G$500,"D",'LANÇAMENTOS DIÁRIOS'!$C$5:$C$500,$A66,'LANÇAMENTOS DIÁRIOS'!$O$5:$O$500,"&lt;=102799",'LANÇAMENTOS DIÁRIOS'!$P$5:$P$500,"&gt;=102700")&gt;0,"X","")</f>
      </c>
      <c r="Y66" s="56" t="str">
        <f>IF(COUNTIFS('LANÇAMENTOS DIÁRIOS'!$G$5:$G$500,"D",'LANÇAMENTOS DIÁRIOS'!$C$5:$C$500,$A66,'LANÇAMENTOS DIÁRIOS'!$O$5:$O$500,"&lt;=102899",'LANÇAMENTOS DIÁRIOS'!$P$5:$P$500,"&gt;=102800")&gt;0,"X","")</f>
      </c>
      <c r="Z66" s="56" t="str">
        <f>IF(COUNTIFS('LANÇAMENTOS DIÁRIOS'!$G$5:$G$500,"D",'LANÇAMENTOS DIÁRIOS'!$C$5:$C$500,$A66,'LANÇAMENTOS DIÁRIOS'!$O$5:$O$500,"&lt;=102999",'LANÇAMENTOS DIÁRIOS'!$P$5:$P$500,"&gt;=102900")&gt;0,"X","")</f>
      </c>
      <c r="AA66" s="56" t="str">
        <f>IF(COUNTIFS('LANÇAMENTOS DIÁRIOS'!$G$5:$G$500,"D",'LANÇAMENTOS DIÁRIOS'!$C$5:$C$500,$A66,'LANÇAMENTOS DIÁRIOS'!$O$5:$O$500,"&lt;=103099",'LANÇAMENTOS DIÁRIOS'!$P$5:$P$500,"&gt;=103000")&gt;0,"X","")</f>
      </c>
      <c r="AB66" s="56" t="str">
        <f>IF(COUNTIFS('LANÇAMENTOS DIÁRIOS'!$G$5:$G$500,"D",'LANÇAMENTOS DIÁRIOS'!$C$5:$C$500,$A66,'LANÇAMENTOS DIÁRIOS'!$O$5:$O$500,"&lt;=103199",'LANÇAMENTOS DIÁRIOS'!$P$5:$P$500,"&gt;=103100")&gt;0,"X","")</f>
      </c>
      <c r="AC66" s="56" t="str">
        <f>IF(COUNTIFS('LANÇAMENTOS DIÁRIOS'!$G$5:$G$500,"D",'LANÇAMENTOS DIÁRIOS'!$C$5:$C$500,$A66,'LANÇAMENTOS DIÁRIOS'!$O$5:$O$500,"&lt;=103299",'LANÇAMENTOS DIÁRIOS'!$P$5:$P$500,"&gt;=103200")&gt;0,"X","")</f>
      </c>
      <c r="AD66" s="56" t="str">
        <f>IF(COUNTIFS('LANÇAMENTOS DIÁRIOS'!$G$5:$G$500,"D",'LANÇAMENTOS DIÁRIOS'!$C$5:$C$500,$A66,'LANÇAMENTOS DIÁRIOS'!$O$5:$O$500,"&lt;=103399",'LANÇAMENTOS DIÁRIOS'!$P$5:$P$500,"&gt;=103300")&gt;0,"X","")</f>
      </c>
      <c r="AE66" s="56" t="str">
        <f>IF(COUNTIFS('LANÇAMENTOS DIÁRIOS'!$G$5:$G$500,"D",'LANÇAMENTOS DIÁRIOS'!$C$5:$C$500,$A66,'LANÇAMENTOS DIÁRIOS'!$O$5:$O$500,"&lt;=103499",'LANÇAMENTOS DIÁRIOS'!$P$5:$P$500,"&gt;=103400")&gt;0,"X","")</f>
      </c>
      <c r="AF66" s="56" t="str">
        <f>IF(COUNTIFS('LANÇAMENTOS DIÁRIOS'!$G$5:$G$500,"D",'LANÇAMENTOS DIÁRIOS'!$C$5:$C$500,$A66,'LANÇAMENTOS DIÁRIOS'!$O$5:$O$500,"&lt;=103599",'LANÇAMENTOS DIÁRIOS'!$P$5:$P$500,"&gt;=103500")&gt;0,"X","")</f>
      </c>
      <c r="AG66" s="56" t="str">
        <f>IF(COUNTIFS('LANÇAMENTOS DIÁRIOS'!$G$5:$G$500,"D",'LANÇAMENTOS DIÁRIOS'!$C$5:$C$500,$A66,'LANÇAMENTOS DIÁRIOS'!$O$5:$O$500,"&lt;=103699",'LANÇAMENTOS DIÁRIOS'!$P$5:$P$500,"&gt;=103600")&gt;0,"X","")</f>
      </c>
      <c r="AH66" s="56" t="str">
        <f>IF(COUNTIFS('LANÇAMENTOS DIÁRIOS'!$G$5:$G$500,"D",'LANÇAMENTOS DIÁRIOS'!$C$5:$C$500,$A66,'LANÇAMENTOS DIÁRIOS'!$O$5:$O$500,"&lt;=103799",'LANÇAMENTOS DIÁRIOS'!$P$5:$P$500,"&gt;=103700")&gt;0,"X","")</f>
      </c>
      <c r="AI66" s="56" t="str">
        <f>IF(COUNTIFS('LANÇAMENTOS DIÁRIOS'!$G$5:$G$500,"D",'LANÇAMENTOS DIÁRIOS'!$C$5:$C$500,$A66,'LANÇAMENTOS DIÁRIOS'!$O$5:$O$500,"&lt;=103899",'LANÇAMENTOS DIÁRIOS'!$P$5:$P$500,"&gt;=103800")&gt;0,"X","")</f>
      </c>
      <c r="AJ66" s="56" t="str">
        <f>IF(COUNTIFS('LANÇAMENTOS DIÁRIOS'!$G$5:$G$500,"D",'LANÇAMENTOS DIÁRIOS'!$C$5:$C$500,$A66,'LANÇAMENTOS DIÁRIOS'!$O$5:$O$500,"&lt;=103999",'LANÇAMENTOS DIÁRIOS'!$P$5:$P$500,"&gt;=103900")&gt;0,"X","")</f>
      </c>
      <c r="AK66" s="56" t="str">
        <f>IF(COUNTIFS('LANÇAMENTOS DIÁRIOS'!$G$5:$G$500,"D",'LANÇAMENTOS DIÁRIOS'!$C$5:$C$500,$A66,'LANÇAMENTOS DIÁRIOS'!$O$5:$O$500,"&lt;=104099",'LANÇAMENTOS DIÁRIOS'!$P$5:$P$500,"&gt;=104000")&gt;0,"X","")</f>
      </c>
      <c r="AL66" s="56" t="str">
        <f>IF(COUNTIFS('LANÇAMENTOS DIÁRIOS'!$G$5:$G$500,"D",'LANÇAMENTOS DIÁRIOS'!$C$5:$C$500,$A66,'LANÇAMENTOS DIÁRIOS'!$O$5:$O$500,"&lt;=104199",'LANÇAMENTOS DIÁRIOS'!$P$5:$P$500,"&gt;=104100")&gt;0,"X","")</f>
      </c>
      <c r="AM66" s="56" t="str">
        <f>IF(COUNTIFS('LANÇAMENTOS DIÁRIOS'!$G$5:$G$500,"D",'LANÇAMENTOS DIÁRIOS'!$C$5:$C$500,$A66,'LANÇAMENTOS DIÁRIOS'!$O$5:$O$500,"&lt;=104299",'LANÇAMENTOS DIÁRIOS'!$P$5:$P$500,"&gt;=104200")&gt;0,"X","")</f>
      </c>
      <c r="AN66" s="56" t="str">
        <f>IF(COUNTIFS('LANÇAMENTOS DIÁRIOS'!$G$5:$G$500,"D",'LANÇAMENTOS DIÁRIOS'!$C$5:$C$500,$A66,'LANÇAMENTOS DIÁRIOS'!$O$5:$O$500,"&lt;=104399",'LANÇAMENTOS DIÁRIOS'!$P$5:$P$500,"&gt;=104300")&gt;0,"X","")</f>
      </c>
      <c r="AO66" s="56" t="str">
        <f>IF(COUNTIFS('LANÇAMENTOS DIÁRIOS'!$G$5:$G$500,"D",'LANÇAMENTOS DIÁRIOS'!$C$5:$C$500,$A66,'LANÇAMENTOS DIÁRIOS'!$O$5:$O$500,"&lt;=104499",'LANÇAMENTOS DIÁRIOS'!$P$5:$P$500,"&gt;=104400")&gt;0,"X","")</f>
      </c>
      <c r="AP66" s="56" t="str">
        <f>IF(COUNTIFS('LANÇAMENTOS DIÁRIOS'!$G$5:$G$500,"D",'LANÇAMENTOS DIÁRIOS'!$C$5:$C$500,$A66,'LANÇAMENTOS DIÁRIOS'!$O$5:$O$500,"&lt;=104599",'LANÇAMENTOS DIÁRIOS'!$P$5:$P$500,"&gt;=104500")&gt;0,"X","")</f>
      </c>
      <c r="AQ66" s="56" t="str">
        <f>IF(COUNTIFS('LANÇAMENTOS DIÁRIOS'!$G$5:$G$500,"D",'LANÇAMENTOS DIÁRIOS'!$C$5:$C$500,$A66,'LANÇAMENTOS DIÁRIOS'!$O$5:$O$500,"&lt;=104699",'LANÇAMENTOS DIÁRIOS'!$P$5:$P$500,"&gt;=104600")&gt;0,"X","")</f>
      </c>
      <c r="AR66" s="56" t="str">
        <f>IF(COUNTIFS('LANÇAMENTOS DIÁRIOS'!$G$5:$G$500,"D",'LANÇAMENTOS DIÁRIOS'!$C$5:$C$500,$A66,'LANÇAMENTOS DIÁRIOS'!$O$5:$O$500,"&lt;=104799",'LANÇAMENTOS DIÁRIOS'!$P$5:$P$500,"&gt;=104700")&gt;0,"X","")</f>
      </c>
      <c r="AS66" s="56" t="str">
        <f>IF(COUNTIFS('LANÇAMENTOS DIÁRIOS'!$G$5:$G$500,"D",'LANÇAMENTOS DIÁRIOS'!$C$5:$C$500,$A66,'LANÇAMENTOS DIÁRIOS'!$O$5:$O$500,"&lt;=104899",'LANÇAMENTOS DIÁRIOS'!$P$5:$P$500,"&gt;=104800")&gt;0,"X","")</f>
      </c>
      <c r="AT66" s="56" t="str">
        <f>IF(COUNTIFS('LANÇAMENTOS DIÁRIOS'!$G$5:$G$500,"D",'LANÇAMENTOS DIÁRIOS'!$C$5:$C$500,$A66,'LANÇAMENTOS DIÁRIOS'!$O$5:$O$500,"&lt;=104999",'LANÇAMENTOS DIÁRIOS'!$P$5:$P$500,"&gt;=104900")&gt;0,"X","")</f>
      </c>
      <c r="AU66" s="56" t="str">
        <f>IF(COUNTIFS('LANÇAMENTOS DIÁRIOS'!$G$5:$G$500,"D",'LANÇAMENTOS DIÁRIOS'!$C$5:$C$500,$A66,'LANÇAMENTOS DIÁRIOS'!$O$5:$O$500,"&lt;=105099",'LANÇAMENTOS DIÁRIOS'!$P$5:$P$500,"&gt;=105000")&gt;0,"X","")</f>
      </c>
      <c r="AV66" s="56" t="str">
        <f>IF(COUNTIFS('LANÇAMENTOS DIÁRIOS'!$G$5:$G$500,"D",'LANÇAMENTOS DIÁRIOS'!$C$5:$C$500,$A66,'LANÇAMENTOS DIÁRIOS'!$O$5:$O$500,"&lt;=105199",'LANÇAMENTOS DIÁRIOS'!$P$5:$P$500,"&gt;=105100")&gt;0,"X","")</f>
      </c>
      <c r="AW66" s="56" t="str">
        <f>IF(COUNTIFS('LANÇAMENTOS DIÁRIOS'!$G$5:$G$500,"D",'LANÇAMENTOS DIÁRIOS'!$C$5:$C$500,$A66,'LANÇAMENTOS DIÁRIOS'!$O$5:$O$500,"&lt;=105299",'LANÇAMENTOS DIÁRIOS'!$P$5:$P$500,"&gt;=105200")&gt;0,"X","")</f>
      </c>
      <c r="AX66" s="56" t="str">
        <f>IF(COUNTIFS('LANÇAMENTOS DIÁRIOS'!$G$5:$G$500,"D",'LANÇAMENTOS DIÁRIOS'!$C$5:$C$500,$A66,'LANÇAMENTOS DIÁRIOS'!$O$5:$O$500,"&lt;=105399",'LANÇAMENTOS DIÁRIOS'!$P$5:$P$500,"&gt;=105300")&gt;0,"X","")</f>
      </c>
      <c r="AY66" s="56" t="str">
        <f>IF(COUNTIFS('LANÇAMENTOS DIÁRIOS'!$G$5:$G$500,"D",'LANÇAMENTOS DIÁRIOS'!$C$5:$C$500,$A66,'LANÇAMENTOS DIÁRIOS'!$O$5:$O$500,"&lt;=105499",'LANÇAMENTOS DIÁRIOS'!$P$5:$P$500,"&gt;=105400")&gt;0,"X","")</f>
      </c>
      <c r="AZ66" s="56" t="str">
        <f>IF(COUNTIFS('LANÇAMENTOS DIÁRIOS'!$G$5:$G$500,"D",'LANÇAMENTOS DIÁRIOS'!$C$5:$C$500,$A66,'LANÇAMENTOS DIÁRIOS'!$O$5:$O$500,"&lt;=105500",'LANÇAMENTOS DIÁRIOS'!$P$5:$P$500,"&gt;=105500")&gt;0,"X","")</f>
      </c>
    </row>
    <row r="67">
      <c r="A67" s="51" t="str">
        <v>Geogrelha uniaxial com deformação máxima de 5% e resistência nominal de 300kN/m (*) - Sem o fornecimento de materiais</v>
      </c>
      <c r="B67" s="56" t="str">
        <f>IF(COUNTIFS('LANÇAMENTOS DIÁRIOS'!$G$5:$G$500,"D",'LANÇAMENTOS DIÁRIOS'!$C$5:$C$500,$A67,'LANÇAMENTOS DIÁRIOS'!$O$5:$O$500,"&lt;=100599",'LANÇAMENTOS DIÁRIOS'!$P$5:$P$500,"&gt;=100500")&gt;0,"X","")</f>
      </c>
      <c r="C67" s="56" t="str">
        <f>IF(COUNTIFS('LANÇAMENTOS DIÁRIOS'!$G$5:$G$500,"D",'LANÇAMENTOS DIÁRIOS'!$C$5:$C$500,$A67,'LANÇAMENTOS DIÁRIOS'!$O$5:$O$500,"&lt;=100699",'LANÇAMENTOS DIÁRIOS'!$P$5:$P$500,"&gt;=100600")&gt;0,"X","")</f>
      </c>
      <c r="D67" s="56" t="str">
        <f>IF(COUNTIFS('LANÇAMENTOS DIÁRIOS'!$G$5:$G$500,"D",'LANÇAMENTOS DIÁRIOS'!$C$5:$C$500,$A67,'LANÇAMENTOS DIÁRIOS'!$O$5:$O$500,"&lt;=100799",'LANÇAMENTOS DIÁRIOS'!$P$5:$P$500,"&gt;=100700")&gt;0,"X","")</f>
      </c>
      <c r="E67" s="56" t="str">
        <f>IF(COUNTIFS('LANÇAMENTOS DIÁRIOS'!$G$5:$G$500,"D",'LANÇAMENTOS DIÁRIOS'!$C$5:$C$500,$A67,'LANÇAMENTOS DIÁRIOS'!$O$5:$O$500,"&lt;=100899",'LANÇAMENTOS DIÁRIOS'!$P$5:$P$500,"&gt;=100800")&gt;0,"X","")</f>
      </c>
      <c r="F67" s="56" t="str">
        <f>IF(COUNTIFS('LANÇAMENTOS DIÁRIOS'!$G$5:$G$500,"D",'LANÇAMENTOS DIÁRIOS'!$C$5:$C$500,$A67,'LANÇAMENTOS DIÁRIOS'!$O$5:$O$500,"&lt;=100999",'LANÇAMENTOS DIÁRIOS'!$P$5:$P$500,"&gt;=100900")&gt;0,"X","")</f>
      </c>
      <c r="G67" s="56" t="str">
        <f>IF(COUNTIFS('LANÇAMENTOS DIÁRIOS'!$G$5:$G$500,"D",'LANÇAMENTOS DIÁRIOS'!$C$5:$C$500,$A67,'LANÇAMENTOS DIÁRIOS'!$O$5:$O$500,"&lt;=101099",'LANÇAMENTOS DIÁRIOS'!$P$5:$P$500,"&gt;=101000")&gt;0,"X","")</f>
      </c>
      <c r="H67" s="56" t="str">
        <f>IF(COUNTIFS('LANÇAMENTOS DIÁRIOS'!$G$5:$G$500,"D",'LANÇAMENTOS DIÁRIOS'!$C$5:$C$500,$A67,'LANÇAMENTOS DIÁRIOS'!$O$5:$O$500,"&lt;=101199",'LANÇAMENTOS DIÁRIOS'!$P$5:$P$500,"&gt;=101100")&gt;0,"X","")</f>
      </c>
      <c r="I67" s="56" t="str">
        <f>IF(COUNTIFS('LANÇAMENTOS DIÁRIOS'!$G$5:$G$500,"D",'LANÇAMENTOS DIÁRIOS'!$C$5:$C$500,$A67,'LANÇAMENTOS DIÁRIOS'!$O$5:$O$500,"&lt;=101299",'LANÇAMENTOS DIÁRIOS'!$P$5:$P$500,"&gt;=101200")&gt;0,"X","")</f>
      </c>
      <c r="J67" s="56" t="str">
        <f>IF(COUNTIFS('LANÇAMENTOS DIÁRIOS'!$G$5:$G$500,"D",'LANÇAMENTOS DIÁRIOS'!$C$5:$C$500,$A67,'LANÇAMENTOS DIÁRIOS'!$O$5:$O$500,"&lt;=101399",'LANÇAMENTOS DIÁRIOS'!$P$5:$P$500,"&gt;=101300")&gt;0,"X","")</f>
      </c>
      <c r="K67" s="56" t="str">
        <f>IF(COUNTIFS('LANÇAMENTOS DIÁRIOS'!$G$5:$G$500,"D",'LANÇAMENTOS DIÁRIOS'!$C$5:$C$500,$A67,'LANÇAMENTOS DIÁRIOS'!$O$5:$O$500,"&lt;=101499",'LANÇAMENTOS DIÁRIOS'!$P$5:$P$500,"&gt;=101400")&gt;0,"X","")</f>
      </c>
      <c r="L67" s="56" t="str">
        <f>IF(COUNTIFS('LANÇAMENTOS DIÁRIOS'!$G$5:$G$500,"D",'LANÇAMENTOS DIÁRIOS'!$C$5:$C$500,$A67,'LANÇAMENTOS DIÁRIOS'!$O$5:$O$500,"&lt;=101599",'LANÇAMENTOS DIÁRIOS'!$P$5:$P$500,"&gt;=101500")&gt;0,"X","")</f>
      </c>
      <c r="M67" s="56" t="str">
        <f>IF(COUNTIFS('LANÇAMENTOS DIÁRIOS'!$G$5:$G$500,"D",'LANÇAMENTOS DIÁRIOS'!$C$5:$C$500,$A67,'LANÇAMENTOS DIÁRIOS'!$O$5:$O$500,"&lt;=101699",'LANÇAMENTOS DIÁRIOS'!$P$5:$P$500,"&gt;=101600")&gt;0,"X","")</f>
      </c>
      <c r="N67" s="56" t="str">
        <f>IF(COUNTIFS('LANÇAMENTOS DIÁRIOS'!$G$5:$G$500,"D",'LANÇAMENTOS DIÁRIOS'!$C$5:$C$500,$A67,'LANÇAMENTOS DIÁRIOS'!$O$5:$O$500,"&lt;=101799",'LANÇAMENTOS DIÁRIOS'!$P$5:$P$500,"&gt;=101700")&gt;0,"X","")</f>
      </c>
      <c r="O67" s="56" t="str">
        <f>IF(COUNTIFS('LANÇAMENTOS DIÁRIOS'!$G$5:$G$500,"D",'LANÇAMENTOS DIÁRIOS'!$C$5:$C$500,$A67,'LANÇAMENTOS DIÁRIOS'!$O$5:$O$500,"&lt;=101899",'LANÇAMENTOS DIÁRIOS'!$P$5:$P$500,"&gt;=101800")&gt;0,"X","")</f>
      </c>
      <c r="P67" s="56" t="str">
        <f>IF(COUNTIFS('LANÇAMENTOS DIÁRIOS'!$G$5:$G$500,"D",'LANÇAMENTOS DIÁRIOS'!$C$5:$C$500,$A67,'LANÇAMENTOS DIÁRIOS'!$O$5:$O$500,"&lt;=101999",'LANÇAMENTOS DIÁRIOS'!$P$5:$P$500,"&gt;=101900")&gt;0,"X","")</f>
      </c>
      <c r="Q67" s="56" t="str">
        <f>IF(COUNTIFS('LANÇAMENTOS DIÁRIOS'!$G$5:$G$500,"D",'LANÇAMENTOS DIÁRIOS'!$C$5:$C$500,$A67,'LANÇAMENTOS DIÁRIOS'!$O$5:$O$500,"&lt;=102099",'LANÇAMENTOS DIÁRIOS'!$P$5:$P$500,"&gt;=102000")&gt;0,"X","")</f>
      </c>
      <c r="R67" s="56" t="str">
        <f>IF(COUNTIFS('LANÇAMENTOS DIÁRIOS'!$G$5:$G$500,"D",'LANÇAMENTOS DIÁRIOS'!$C$5:$C$500,$A67,'LANÇAMENTOS DIÁRIOS'!$O$5:$O$500,"&lt;=102199",'LANÇAMENTOS DIÁRIOS'!$P$5:$P$500,"&gt;=102100")&gt;0,"X","")</f>
      </c>
      <c r="S67" s="56" t="str">
        <f>IF(COUNTIFS('LANÇAMENTOS DIÁRIOS'!$G$5:$G$500,"D",'LANÇAMENTOS DIÁRIOS'!$C$5:$C$500,$A67,'LANÇAMENTOS DIÁRIOS'!$O$5:$O$500,"&lt;=102299",'LANÇAMENTOS DIÁRIOS'!$P$5:$P$500,"&gt;=102200")&gt;0,"X","")</f>
      </c>
      <c r="T67" s="56" t="str">
        <f>IF(COUNTIFS('LANÇAMENTOS DIÁRIOS'!$G$5:$G$500,"D",'LANÇAMENTOS DIÁRIOS'!$C$5:$C$500,$A67,'LANÇAMENTOS DIÁRIOS'!$O$5:$O$500,"&lt;=102399",'LANÇAMENTOS DIÁRIOS'!$P$5:$P$500,"&gt;=102300")&gt;0,"X","")</f>
      </c>
      <c r="U67" s="56" t="str">
        <f>IF(COUNTIFS('LANÇAMENTOS DIÁRIOS'!$G$5:$G$500,"D",'LANÇAMENTOS DIÁRIOS'!$C$5:$C$500,$A67,'LANÇAMENTOS DIÁRIOS'!$O$5:$O$500,"&lt;=102499",'LANÇAMENTOS DIÁRIOS'!$P$5:$P$500,"&gt;=102400")&gt;0,"X","")</f>
      </c>
      <c r="V67" s="56" t="str">
        <f>IF(COUNTIFS('LANÇAMENTOS DIÁRIOS'!$G$5:$G$500,"D",'LANÇAMENTOS DIÁRIOS'!$C$5:$C$500,$A67,'LANÇAMENTOS DIÁRIOS'!$O$5:$O$500,"&lt;=102599",'LANÇAMENTOS DIÁRIOS'!$P$5:$P$500,"&gt;=102500")&gt;0,"X","")</f>
      </c>
      <c r="W67" s="56" t="str">
        <f>IF(COUNTIFS('LANÇAMENTOS DIÁRIOS'!$G$5:$G$500,"D",'LANÇAMENTOS DIÁRIOS'!$C$5:$C$500,$A67,'LANÇAMENTOS DIÁRIOS'!$O$5:$O$500,"&lt;=102699",'LANÇAMENTOS DIÁRIOS'!$P$5:$P$500,"&gt;=102600")&gt;0,"X","")</f>
      </c>
      <c r="X67" s="56" t="str">
        <f>IF(COUNTIFS('LANÇAMENTOS DIÁRIOS'!$G$5:$G$500,"D",'LANÇAMENTOS DIÁRIOS'!$C$5:$C$500,$A67,'LANÇAMENTOS DIÁRIOS'!$O$5:$O$500,"&lt;=102799",'LANÇAMENTOS DIÁRIOS'!$P$5:$P$500,"&gt;=102700")&gt;0,"X","")</f>
      </c>
      <c r="Y67" s="56" t="str">
        <f>IF(COUNTIFS('LANÇAMENTOS DIÁRIOS'!$G$5:$G$500,"D",'LANÇAMENTOS DIÁRIOS'!$C$5:$C$500,$A67,'LANÇAMENTOS DIÁRIOS'!$O$5:$O$500,"&lt;=102899",'LANÇAMENTOS DIÁRIOS'!$P$5:$P$500,"&gt;=102800")&gt;0,"X","")</f>
      </c>
      <c r="Z67" s="56" t="str">
        <f>IF(COUNTIFS('LANÇAMENTOS DIÁRIOS'!$G$5:$G$500,"D",'LANÇAMENTOS DIÁRIOS'!$C$5:$C$500,$A67,'LANÇAMENTOS DIÁRIOS'!$O$5:$O$500,"&lt;=102999",'LANÇAMENTOS DIÁRIOS'!$P$5:$P$500,"&gt;=102900")&gt;0,"X","")</f>
      </c>
      <c r="AA67" s="56" t="str">
        <f>IF(COUNTIFS('LANÇAMENTOS DIÁRIOS'!$G$5:$G$500,"D",'LANÇAMENTOS DIÁRIOS'!$C$5:$C$500,$A67,'LANÇAMENTOS DIÁRIOS'!$O$5:$O$500,"&lt;=103099",'LANÇAMENTOS DIÁRIOS'!$P$5:$P$500,"&gt;=103000")&gt;0,"X","")</f>
      </c>
      <c r="AB67" s="56" t="str">
        <f>IF(COUNTIFS('LANÇAMENTOS DIÁRIOS'!$G$5:$G$500,"D",'LANÇAMENTOS DIÁRIOS'!$C$5:$C$500,$A67,'LANÇAMENTOS DIÁRIOS'!$O$5:$O$500,"&lt;=103199",'LANÇAMENTOS DIÁRIOS'!$P$5:$P$500,"&gt;=103100")&gt;0,"X","")</f>
      </c>
      <c r="AC67" s="56" t="str">
        <f>IF(COUNTIFS('LANÇAMENTOS DIÁRIOS'!$G$5:$G$500,"D",'LANÇAMENTOS DIÁRIOS'!$C$5:$C$500,$A67,'LANÇAMENTOS DIÁRIOS'!$O$5:$O$500,"&lt;=103299",'LANÇAMENTOS DIÁRIOS'!$P$5:$P$500,"&gt;=103200")&gt;0,"X","")</f>
      </c>
      <c r="AD67" s="56" t="str">
        <f>IF(COUNTIFS('LANÇAMENTOS DIÁRIOS'!$G$5:$G$500,"D",'LANÇAMENTOS DIÁRIOS'!$C$5:$C$500,$A67,'LANÇAMENTOS DIÁRIOS'!$O$5:$O$500,"&lt;=103399",'LANÇAMENTOS DIÁRIOS'!$P$5:$P$500,"&gt;=103300")&gt;0,"X","")</f>
      </c>
      <c r="AE67" s="56" t="str">
        <f>IF(COUNTIFS('LANÇAMENTOS DIÁRIOS'!$G$5:$G$500,"D",'LANÇAMENTOS DIÁRIOS'!$C$5:$C$500,$A67,'LANÇAMENTOS DIÁRIOS'!$O$5:$O$500,"&lt;=103499",'LANÇAMENTOS DIÁRIOS'!$P$5:$P$500,"&gt;=103400")&gt;0,"X","")</f>
      </c>
      <c r="AF67" s="56" t="str">
        <f>IF(COUNTIFS('LANÇAMENTOS DIÁRIOS'!$G$5:$G$500,"D",'LANÇAMENTOS DIÁRIOS'!$C$5:$C$500,$A67,'LANÇAMENTOS DIÁRIOS'!$O$5:$O$500,"&lt;=103599",'LANÇAMENTOS DIÁRIOS'!$P$5:$P$500,"&gt;=103500")&gt;0,"X","")</f>
      </c>
      <c r="AG67" s="56" t="str">
        <f>IF(COUNTIFS('LANÇAMENTOS DIÁRIOS'!$G$5:$G$500,"D",'LANÇAMENTOS DIÁRIOS'!$C$5:$C$500,$A67,'LANÇAMENTOS DIÁRIOS'!$O$5:$O$500,"&lt;=103699",'LANÇAMENTOS DIÁRIOS'!$P$5:$P$500,"&gt;=103600")&gt;0,"X","")</f>
      </c>
      <c r="AH67" s="56" t="str">
        <f>IF(COUNTIFS('LANÇAMENTOS DIÁRIOS'!$G$5:$G$500,"D",'LANÇAMENTOS DIÁRIOS'!$C$5:$C$500,$A67,'LANÇAMENTOS DIÁRIOS'!$O$5:$O$500,"&lt;=103799",'LANÇAMENTOS DIÁRIOS'!$P$5:$P$500,"&gt;=103700")&gt;0,"X","")</f>
      </c>
      <c r="AI67" s="56" t="str">
        <f>IF(COUNTIFS('LANÇAMENTOS DIÁRIOS'!$G$5:$G$500,"D",'LANÇAMENTOS DIÁRIOS'!$C$5:$C$500,$A67,'LANÇAMENTOS DIÁRIOS'!$O$5:$O$500,"&lt;=103899",'LANÇAMENTOS DIÁRIOS'!$P$5:$P$500,"&gt;=103800")&gt;0,"X","")</f>
      </c>
      <c r="AJ67" s="56" t="str">
        <f>IF(COUNTIFS('LANÇAMENTOS DIÁRIOS'!$G$5:$G$500,"D",'LANÇAMENTOS DIÁRIOS'!$C$5:$C$500,$A67,'LANÇAMENTOS DIÁRIOS'!$O$5:$O$500,"&lt;=103999",'LANÇAMENTOS DIÁRIOS'!$P$5:$P$500,"&gt;=103900")&gt;0,"X","")</f>
      </c>
      <c r="AK67" s="56" t="str">
        <f>IF(COUNTIFS('LANÇAMENTOS DIÁRIOS'!$G$5:$G$500,"D",'LANÇAMENTOS DIÁRIOS'!$C$5:$C$500,$A67,'LANÇAMENTOS DIÁRIOS'!$O$5:$O$500,"&lt;=104099",'LANÇAMENTOS DIÁRIOS'!$P$5:$P$500,"&gt;=104000")&gt;0,"X","")</f>
      </c>
      <c r="AL67" s="56" t="str">
        <f>IF(COUNTIFS('LANÇAMENTOS DIÁRIOS'!$G$5:$G$500,"D",'LANÇAMENTOS DIÁRIOS'!$C$5:$C$500,$A67,'LANÇAMENTOS DIÁRIOS'!$O$5:$O$500,"&lt;=104199",'LANÇAMENTOS DIÁRIOS'!$P$5:$P$500,"&gt;=104100")&gt;0,"X","")</f>
      </c>
      <c r="AM67" s="56" t="str">
        <f>IF(COUNTIFS('LANÇAMENTOS DIÁRIOS'!$G$5:$G$500,"D",'LANÇAMENTOS DIÁRIOS'!$C$5:$C$500,$A67,'LANÇAMENTOS DIÁRIOS'!$O$5:$O$500,"&lt;=104299",'LANÇAMENTOS DIÁRIOS'!$P$5:$P$500,"&gt;=104200")&gt;0,"X","")</f>
      </c>
      <c r="AN67" s="56" t="str">
        <f>IF(COUNTIFS('LANÇAMENTOS DIÁRIOS'!$G$5:$G$500,"D",'LANÇAMENTOS DIÁRIOS'!$C$5:$C$500,$A67,'LANÇAMENTOS DIÁRIOS'!$O$5:$O$500,"&lt;=104399",'LANÇAMENTOS DIÁRIOS'!$P$5:$P$500,"&gt;=104300")&gt;0,"X","")</f>
      </c>
      <c r="AO67" s="56" t="str">
        <f>IF(COUNTIFS('LANÇAMENTOS DIÁRIOS'!$G$5:$G$500,"D",'LANÇAMENTOS DIÁRIOS'!$C$5:$C$500,$A67,'LANÇAMENTOS DIÁRIOS'!$O$5:$O$500,"&lt;=104499",'LANÇAMENTOS DIÁRIOS'!$P$5:$P$500,"&gt;=104400")&gt;0,"X","")</f>
      </c>
      <c r="AP67" s="56" t="str">
        <f>IF(COUNTIFS('LANÇAMENTOS DIÁRIOS'!$G$5:$G$500,"D",'LANÇAMENTOS DIÁRIOS'!$C$5:$C$500,$A67,'LANÇAMENTOS DIÁRIOS'!$O$5:$O$500,"&lt;=104599",'LANÇAMENTOS DIÁRIOS'!$P$5:$P$500,"&gt;=104500")&gt;0,"X","")</f>
      </c>
      <c r="AQ67" s="56" t="str">
        <f>IF(COUNTIFS('LANÇAMENTOS DIÁRIOS'!$G$5:$G$500,"D",'LANÇAMENTOS DIÁRIOS'!$C$5:$C$500,$A67,'LANÇAMENTOS DIÁRIOS'!$O$5:$O$500,"&lt;=104699",'LANÇAMENTOS DIÁRIOS'!$P$5:$P$500,"&gt;=104600")&gt;0,"X","")</f>
      </c>
      <c r="AR67" s="56" t="str">
        <f>IF(COUNTIFS('LANÇAMENTOS DIÁRIOS'!$G$5:$G$500,"D",'LANÇAMENTOS DIÁRIOS'!$C$5:$C$500,$A67,'LANÇAMENTOS DIÁRIOS'!$O$5:$O$500,"&lt;=104799",'LANÇAMENTOS DIÁRIOS'!$P$5:$P$500,"&gt;=104700")&gt;0,"X","")</f>
      </c>
      <c r="AS67" s="56" t="str">
        <f>IF(COUNTIFS('LANÇAMENTOS DIÁRIOS'!$G$5:$G$500,"D",'LANÇAMENTOS DIÁRIOS'!$C$5:$C$500,$A67,'LANÇAMENTOS DIÁRIOS'!$O$5:$O$500,"&lt;=104899",'LANÇAMENTOS DIÁRIOS'!$P$5:$P$500,"&gt;=104800")&gt;0,"X","")</f>
      </c>
      <c r="AT67" s="56" t="str">
        <f>IF(COUNTIFS('LANÇAMENTOS DIÁRIOS'!$G$5:$G$500,"D",'LANÇAMENTOS DIÁRIOS'!$C$5:$C$500,$A67,'LANÇAMENTOS DIÁRIOS'!$O$5:$O$500,"&lt;=104999",'LANÇAMENTOS DIÁRIOS'!$P$5:$P$500,"&gt;=104900")&gt;0,"X","")</f>
      </c>
      <c r="AU67" s="56" t="str">
        <f>IF(COUNTIFS('LANÇAMENTOS DIÁRIOS'!$G$5:$G$500,"D",'LANÇAMENTOS DIÁRIOS'!$C$5:$C$500,$A67,'LANÇAMENTOS DIÁRIOS'!$O$5:$O$500,"&lt;=105099",'LANÇAMENTOS DIÁRIOS'!$P$5:$P$500,"&gt;=105000")&gt;0,"X","")</f>
      </c>
      <c r="AV67" s="56" t="str">
        <f>IF(COUNTIFS('LANÇAMENTOS DIÁRIOS'!$G$5:$G$500,"D",'LANÇAMENTOS DIÁRIOS'!$C$5:$C$500,$A67,'LANÇAMENTOS DIÁRIOS'!$O$5:$O$500,"&lt;=105199",'LANÇAMENTOS DIÁRIOS'!$P$5:$P$500,"&gt;=105100")&gt;0,"X","")</f>
      </c>
      <c r="AW67" s="56" t="str">
        <f>IF(COUNTIFS('LANÇAMENTOS DIÁRIOS'!$G$5:$G$500,"D",'LANÇAMENTOS DIÁRIOS'!$C$5:$C$500,$A67,'LANÇAMENTOS DIÁRIOS'!$O$5:$O$500,"&lt;=105299",'LANÇAMENTOS DIÁRIOS'!$P$5:$P$500,"&gt;=105200")&gt;0,"X","")</f>
      </c>
      <c r="AX67" s="56" t="str">
        <f>IF(COUNTIFS('LANÇAMENTOS DIÁRIOS'!$G$5:$G$500,"D",'LANÇAMENTOS DIÁRIOS'!$C$5:$C$500,$A67,'LANÇAMENTOS DIÁRIOS'!$O$5:$O$500,"&lt;=105399",'LANÇAMENTOS DIÁRIOS'!$P$5:$P$500,"&gt;=105300")&gt;0,"X","")</f>
      </c>
      <c r="AY67" s="56" t="str">
        <f>IF(COUNTIFS('LANÇAMENTOS DIÁRIOS'!$G$5:$G$500,"D",'LANÇAMENTOS DIÁRIOS'!$C$5:$C$500,$A67,'LANÇAMENTOS DIÁRIOS'!$O$5:$O$500,"&lt;=105499",'LANÇAMENTOS DIÁRIOS'!$P$5:$P$500,"&gt;=105400")&gt;0,"X","")</f>
      </c>
      <c r="AZ67" s="56" t="str">
        <f>IF(COUNTIFS('LANÇAMENTOS DIÁRIOS'!$G$5:$G$500,"D",'LANÇAMENTOS DIÁRIOS'!$C$5:$C$500,$A67,'LANÇAMENTOS DIÁRIOS'!$O$5:$O$500,"&lt;=105500",'LANÇAMENTOS DIÁRIOS'!$P$5:$P$500,"&gt;=105500")&gt;0,"X","")</f>
      </c>
    </row>
    <row r="68" ht="19" customHeight="1">
      <c r="A68" s="68" t="str">
        <v>Instrumentação geotécnica para Terraplenagem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</row>
    <row r="69">
      <c r="A69" s="51" t="str">
        <v>Placa de recalque</v>
      </c>
      <c r="B69" s="56" t="str">
        <f>IF(COUNTIFS('LANÇAMENTOS DIÁRIOS'!$G$5:$G$500,"D",'LANÇAMENTOS DIÁRIOS'!$C$5:$C$500,$A69,'LANÇAMENTOS DIÁRIOS'!$O$5:$O$500,"&lt;=100599",'LANÇAMENTOS DIÁRIOS'!$P$5:$P$500,"&gt;=100500")&gt;0,"X","")</f>
      </c>
      <c r="C69" s="56" t="str">
        <f>IF(COUNTIFS('LANÇAMENTOS DIÁRIOS'!$G$5:$G$500,"D",'LANÇAMENTOS DIÁRIOS'!$C$5:$C$500,$A69,'LANÇAMENTOS DIÁRIOS'!$O$5:$O$500,"&lt;=100699",'LANÇAMENTOS DIÁRIOS'!$P$5:$P$500,"&gt;=100600")&gt;0,"X","")</f>
      </c>
      <c r="D69" s="56" t="str">
        <f>IF(COUNTIFS('LANÇAMENTOS DIÁRIOS'!$G$5:$G$500,"D",'LANÇAMENTOS DIÁRIOS'!$C$5:$C$500,$A69,'LANÇAMENTOS DIÁRIOS'!$O$5:$O$500,"&lt;=100799",'LANÇAMENTOS DIÁRIOS'!$P$5:$P$500,"&gt;=100700")&gt;0,"X","")</f>
      </c>
      <c r="E69" s="56" t="str">
        <f>IF(COUNTIFS('LANÇAMENTOS DIÁRIOS'!$G$5:$G$500,"D",'LANÇAMENTOS DIÁRIOS'!$C$5:$C$500,$A69,'LANÇAMENTOS DIÁRIOS'!$O$5:$O$500,"&lt;=100899",'LANÇAMENTOS DIÁRIOS'!$P$5:$P$500,"&gt;=100800")&gt;0,"X","")</f>
      </c>
      <c r="F69" s="56" t="str">
        <f>IF(COUNTIFS('LANÇAMENTOS DIÁRIOS'!$G$5:$G$500,"D",'LANÇAMENTOS DIÁRIOS'!$C$5:$C$500,$A69,'LANÇAMENTOS DIÁRIOS'!$O$5:$O$500,"&lt;=100999",'LANÇAMENTOS DIÁRIOS'!$P$5:$P$500,"&gt;=100900")&gt;0,"X","")</f>
      </c>
      <c r="G69" s="56" t="str">
        <f>IF(COUNTIFS('LANÇAMENTOS DIÁRIOS'!$G$5:$G$500,"D",'LANÇAMENTOS DIÁRIOS'!$C$5:$C$500,$A69,'LANÇAMENTOS DIÁRIOS'!$O$5:$O$500,"&lt;=101099",'LANÇAMENTOS DIÁRIOS'!$P$5:$P$500,"&gt;=101000")&gt;0,"X","")</f>
      </c>
      <c r="H69" s="56" t="str">
        <f>IF(COUNTIFS('LANÇAMENTOS DIÁRIOS'!$G$5:$G$500,"D",'LANÇAMENTOS DIÁRIOS'!$C$5:$C$500,$A69,'LANÇAMENTOS DIÁRIOS'!$O$5:$O$500,"&lt;=101199",'LANÇAMENTOS DIÁRIOS'!$P$5:$P$500,"&gt;=101100")&gt;0,"X","")</f>
      </c>
      <c r="I69" s="56" t="str">
        <f>IF(COUNTIFS('LANÇAMENTOS DIÁRIOS'!$G$5:$G$500,"D",'LANÇAMENTOS DIÁRIOS'!$C$5:$C$500,$A69,'LANÇAMENTOS DIÁRIOS'!$O$5:$O$500,"&lt;=101299",'LANÇAMENTOS DIÁRIOS'!$P$5:$P$500,"&gt;=101200")&gt;0,"X","")</f>
      </c>
      <c r="J69" s="56" t="str">
        <f>IF(COUNTIFS('LANÇAMENTOS DIÁRIOS'!$G$5:$G$500,"D",'LANÇAMENTOS DIÁRIOS'!$C$5:$C$500,$A69,'LANÇAMENTOS DIÁRIOS'!$O$5:$O$500,"&lt;=101399",'LANÇAMENTOS DIÁRIOS'!$P$5:$P$500,"&gt;=101300")&gt;0,"X","")</f>
      </c>
      <c r="K69" s="56" t="str">
        <f>IF(COUNTIFS('LANÇAMENTOS DIÁRIOS'!$G$5:$G$500,"D",'LANÇAMENTOS DIÁRIOS'!$C$5:$C$500,$A69,'LANÇAMENTOS DIÁRIOS'!$O$5:$O$500,"&lt;=101499",'LANÇAMENTOS DIÁRIOS'!$P$5:$P$500,"&gt;=101400")&gt;0,"X","")</f>
      </c>
      <c r="L69" s="56" t="str">
        <f>IF(COUNTIFS('LANÇAMENTOS DIÁRIOS'!$G$5:$G$500,"D",'LANÇAMENTOS DIÁRIOS'!$C$5:$C$500,$A69,'LANÇAMENTOS DIÁRIOS'!$O$5:$O$500,"&lt;=101599",'LANÇAMENTOS DIÁRIOS'!$P$5:$P$500,"&gt;=101500")&gt;0,"X","")</f>
      </c>
      <c r="M69" s="56" t="str">
        <f>IF(COUNTIFS('LANÇAMENTOS DIÁRIOS'!$G$5:$G$500,"D",'LANÇAMENTOS DIÁRIOS'!$C$5:$C$500,$A69,'LANÇAMENTOS DIÁRIOS'!$O$5:$O$500,"&lt;=101699",'LANÇAMENTOS DIÁRIOS'!$P$5:$P$500,"&gt;=101600")&gt;0,"X","")</f>
      </c>
      <c r="N69" s="56" t="str">
        <f>IF(COUNTIFS('LANÇAMENTOS DIÁRIOS'!$G$5:$G$500,"D",'LANÇAMENTOS DIÁRIOS'!$C$5:$C$500,$A69,'LANÇAMENTOS DIÁRIOS'!$O$5:$O$500,"&lt;=101799",'LANÇAMENTOS DIÁRIOS'!$P$5:$P$500,"&gt;=101700")&gt;0,"X","")</f>
      </c>
      <c r="O69" s="56" t="str">
        <f>IF(COUNTIFS('LANÇAMENTOS DIÁRIOS'!$G$5:$G$500,"D",'LANÇAMENTOS DIÁRIOS'!$C$5:$C$500,$A69,'LANÇAMENTOS DIÁRIOS'!$O$5:$O$500,"&lt;=101899",'LANÇAMENTOS DIÁRIOS'!$P$5:$P$500,"&gt;=101800")&gt;0,"X","")</f>
      </c>
      <c r="P69" s="56" t="str">
        <f>IF(COUNTIFS('LANÇAMENTOS DIÁRIOS'!$G$5:$G$500,"D",'LANÇAMENTOS DIÁRIOS'!$C$5:$C$500,$A69,'LANÇAMENTOS DIÁRIOS'!$O$5:$O$500,"&lt;=101999",'LANÇAMENTOS DIÁRIOS'!$P$5:$P$500,"&gt;=101900")&gt;0,"X","")</f>
      </c>
      <c r="Q69" s="56" t="str">
        <f>IF(COUNTIFS('LANÇAMENTOS DIÁRIOS'!$G$5:$G$500,"D",'LANÇAMENTOS DIÁRIOS'!$C$5:$C$500,$A69,'LANÇAMENTOS DIÁRIOS'!$O$5:$O$500,"&lt;=102099",'LANÇAMENTOS DIÁRIOS'!$P$5:$P$500,"&gt;=102000")&gt;0,"X","")</f>
      </c>
      <c r="R69" s="56" t="str">
        <f>IF(COUNTIFS('LANÇAMENTOS DIÁRIOS'!$G$5:$G$500,"D",'LANÇAMENTOS DIÁRIOS'!$C$5:$C$500,$A69,'LANÇAMENTOS DIÁRIOS'!$O$5:$O$500,"&lt;=102199",'LANÇAMENTOS DIÁRIOS'!$P$5:$P$500,"&gt;=102100")&gt;0,"X","")</f>
      </c>
      <c r="S69" s="56" t="str">
        <f>IF(COUNTIFS('LANÇAMENTOS DIÁRIOS'!$G$5:$G$500,"D",'LANÇAMENTOS DIÁRIOS'!$C$5:$C$500,$A69,'LANÇAMENTOS DIÁRIOS'!$O$5:$O$500,"&lt;=102299",'LANÇAMENTOS DIÁRIOS'!$P$5:$P$500,"&gt;=102200")&gt;0,"X","")</f>
      </c>
      <c r="T69" s="56" t="str">
        <f>IF(COUNTIFS('LANÇAMENTOS DIÁRIOS'!$G$5:$G$500,"D",'LANÇAMENTOS DIÁRIOS'!$C$5:$C$500,$A69,'LANÇAMENTOS DIÁRIOS'!$O$5:$O$500,"&lt;=102399",'LANÇAMENTOS DIÁRIOS'!$P$5:$P$500,"&gt;=102300")&gt;0,"X","")</f>
      </c>
      <c r="U69" s="56" t="str">
        <f>IF(COUNTIFS('LANÇAMENTOS DIÁRIOS'!$G$5:$G$500,"D",'LANÇAMENTOS DIÁRIOS'!$C$5:$C$500,$A69,'LANÇAMENTOS DIÁRIOS'!$O$5:$O$500,"&lt;=102499",'LANÇAMENTOS DIÁRIOS'!$P$5:$P$500,"&gt;=102400")&gt;0,"X","")</f>
      </c>
      <c r="V69" s="56" t="str">
        <f>IF(COUNTIFS('LANÇAMENTOS DIÁRIOS'!$G$5:$G$500,"D",'LANÇAMENTOS DIÁRIOS'!$C$5:$C$500,$A69,'LANÇAMENTOS DIÁRIOS'!$O$5:$O$500,"&lt;=102599",'LANÇAMENTOS DIÁRIOS'!$P$5:$P$500,"&gt;=102500")&gt;0,"X","")</f>
      </c>
      <c r="W69" s="56" t="str">
        <f>IF(COUNTIFS('LANÇAMENTOS DIÁRIOS'!$G$5:$G$500,"D",'LANÇAMENTOS DIÁRIOS'!$C$5:$C$500,$A69,'LANÇAMENTOS DIÁRIOS'!$O$5:$O$500,"&lt;=102699",'LANÇAMENTOS DIÁRIOS'!$P$5:$P$500,"&gt;=102600")&gt;0,"X","")</f>
      </c>
      <c r="X69" s="56" t="str">
        <f>IF(COUNTIFS('LANÇAMENTOS DIÁRIOS'!$G$5:$G$500,"D",'LANÇAMENTOS DIÁRIOS'!$C$5:$C$500,$A69,'LANÇAMENTOS DIÁRIOS'!$O$5:$O$500,"&lt;=102799",'LANÇAMENTOS DIÁRIOS'!$P$5:$P$500,"&gt;=102700")&gt;0,"X","")</f>
      </c>
      <c r="Y69" s="56" t="str">
        <f>IF(COUNTIFS('LANÇAMENTOS DIÁRIOS'!$G$5:$G$500,"D",'LANÇAMENTOS DIÁRIOS'!$C$5:$C$500,$A69,'LANÇAMENTOS DIÁRIOS'!$O$5:$O$500,"&lt;=102899",'LANÇAMENTOS DIÁRIOS'!$P$5:$P$500,"&gt;=102800")&gt;0,"X","")</f>
      </c>
      <c r="Z69" s="56" t="str">
        <f>IF(COUNTIFS('LANÇAMENTOS DIÁRIOS'!$G$5:$G$500,"D",'LANÇAMENTOS DIÁRIOS'!$C$5:$C$500,$A69,'LANÇAMENTOS DIÁRIOS'!$O$5:$O$500,"&lt;=102999",'LANÇAMENTOS DIÁRIOS'!$P$5:$P$500,"&gt;=102900")&gt;0,"X","")</f>
      </c>
      <c r="AA69" s="56" t="str">
        <f>IF(COUNTIFS('LANÇAMENTOS DIÁRIOS'!$G$5:$G$500,"D",'LANÇAMENTOS DIÁRIOS'!$C$5:$C$500,$A69,'LANÇAMENTOS DIÁRIOS'!$O$5:$O$500,"&lt;=103099",'LANÇAMENTOS DIÁRIOS'!$P$5:$P$500,"&gt;=103000")&gt;0,"X","")</f>
      </c>
      <c r="AB69" s="56" t="str">
        <f>IF(COUNTIFS('LANÇAMENTOS DIÁRIOS'!$G$5:$G$500,"D",'LANÇAMENTOS DIÁRIOS'!$C$5:$C$500,$A69,'LANÇAMENTOS DIÁRIOS'!$O$5:$O$500,"&lt;=103199",'LANÇAMENTOS DIÁRIOS'!$P$5:$P$500,"&gt;=103100")&gt;0,"X","")</f>
      </c>
      <c r="AC69" s="56" t="str">
        <f>IF(COUNTIFS('LANÇAMENTOS DIÁRIOS'!$G$5:$G$500,"D",'LANÇAMENTOS DIÁRIOS'!$C$5:$C$500,$A69,'LANÇAMENTOS DIÁRIOS'!$O$5:$O$500,"&lt;=103299",'LANÇAMENTOS DIÁRIOS'!$P$5:$P$500,"&gt;=103200")&gt;0,"X","")</f>
      </c>
      <c r="AD69" s="56" t="str">
        <f>IF(COUNTIFS('LANÇAMENTOS DIÁRIOS'!$G$5:$G$500,"D",'LANÇAMENTOS DIÁRIOS'!$C$5:$C$500,$A69,'LANÇAMENTOS DIÁRIOS'!$O$5:$O$500,"&lt;=103399",'LANÇAMENTOS DIÁRIOS'!$P$5:$P$500,"&gt;=103300")&gt;0,"X","")</f>
      </c>
      <c r="AE69" s="56" t="str">
        <f>IF(COUNTIFS('LANÇAMENTOS DIÁRIOS'!$G$5:$G$500,"D",'LANÇAMENTOS DIÁRIOS'!$C$5:$C$500,$A69,'LANÇAMENTOS DIÁRIOS'!$O$5:$O$500,"&lt;=103499",'LANÇAMENTOS DIÁRIOS'!$P$5:$P$500,"&gt;=103400")&gt;0,"X","")</f>
      </c>
      <c r="AF69" s="56" t="str">
        <f>IF(COUNTIFS('LANÇAMENTOS DIÁRIOS'!$G$5:$G$500,"D",'LANÇAMENTOS DIÁRIOS'!$C$5:$C$500,$A69,'LANÇAMENTOS DIÁRIOS'!$O$5:$O$500,"&lt;=103599",'LANÇAMENTOS DIÁRIOS'!$P$5:$P$500,"&gt;=103500")&gt;0,"X","")</f>
      </c>
      <c r="AG69" s="56" t="str">
        <f>IF(COUNTIFS('LANÇAMENTOS DIÁRIOS'!$G$5:$G$500,"D",'LANÇAMENTOS DIÁRIOS'!$C$5:$C$500,$A69,'LANÇAMENTOS DIÁRIOS'!$O$5:$O$500,"&lt;=103699",'LANÇAMENTOS DIÁRIOS'!$P$5:$P$500,"&gt;=103600")&gt;0,"X","")</f>
      </c>
      <c r="AH69" s="56" t="str">
        <f>IF(COUNTIFS('LANÇAMENTOS DIÁRIOS'!$G$5:$G$500,"D",'LANÇAMENTOS DIÁRIOS'!$C$5:$C$500,$A69,'LANÇAMENTOS DIÁRIOS'!$O$5:$O$500,"&lt;=103799",'LANÇAMENTOS DIÁRIOS'!$P$5:$P$500,"&gt;=103700")&gt;0,"X","")</f>
      </c>
      <c r="AI69" s="56" t="str">
        <f>IF(COUNTIFS('LANÇAMENTOS DIÁRIOS'!$G$5:$G$500,"D",'LANÇAMENTOS DIÁRIOS'!$C$5:$C$500,$A69,'LANÇAMENTOS DIÁRIOS'!$O$5:$O$500,"&lt;=103899",'LANÇAMENTOS DIÁRIOS'!$P$5:$P$500,"&gt;=103800")&gt;0,"X","")</f>
      </c>
      <c r="AJ69" s="56" t="str">
        <f>IF(COUNTIFS('LANÇAMENTOS DIÁRIOS'!$G$5:$G$500,"D",'LANÇAMENTOS DIÁRIOS'!$C$5:$C$500,$A69,'LANÇAMENTOS DIÁRIOS'!$O$5:$O$500,"&lt;=103999",'LANÇAMENTOS DIÁRIOS'!$P$5:$P$500,"&gt;=103900")&gt;0,"X","")</f>
      </c>
      <c r="AK69" s="56" t="str">
        <f>IF(COUNTIFS('LANÇAMENTOS DIÁRIOS'!$G$5:$G$500,"D",'LANÇAMENTOS DIÁRIOS'!$C$5:$C$500,$A69,'LANÇAMENTOS DIÁRIOS'!$O$5:$O$500,"&lt;=104099",'LANÇAMENTOS DIÁRIOS'!$P$5:$P$500,"&gt;=104000")&gt;0,"X","")</f>
      </c>
      <c r="AL69" s="56" t="str">
        <f>IF(COUNTIFS('LANÇAMENTOS DIÁRIOS'!$G$5:$G$500,"D",'LANÇAMENTOS DIÁRIOS'!$C$5:$C$500,$A69,'LANÇAMENTOS DIÁRIOS'!$O$5:$O$500,"&lt;=104199",'LANÇAMENTOS DIÁRIOS'!$P$5:$P$500,"&gt;=104100")&gt;0,"X","")</f>
      </c>
      <c r="AM69" s="56" t="str">
        <f>IF(COUNTIFS('LANÇAMENTOS DIÁRIOS'!$G$5:$G$500,"D",'LANÇAMENTOS DIÁRIOS'!$C$5:$C$500,$A69,'LANÇAMENTOS DIÁRIOS'!$O$5:$O$500,"&lt;=104299",'LANÇAMENTOS DIÁRIOS'!$P$5:$P$500,"&gt;=104200")&gt;0,"X","")</f>
      </c>
      <c r="AN69" s="56" t="str">
        <f>IF(COUNTIFS('LANÇAMENTOS DIÁRIOS'!$G$5:$G$500,"D",'LANÇAMENTOS DIÁRIOS'!$C$5:$C$500,$A69,'LANÇAMENTOS DIÁRIOS'!$O$5:$O$500,"&lt;=104399",'LANÇAMENTOS DIÁRIOS'!$P$5:$P$500,"&gt;=104300")&gt;0,"X","")</f>
      </c>
      <c r="AO69" s="56" t="str">
        <f>IF(COUNTIFS('LANÇAMENTOS DIÁRIOS'!$G$5:$G$500,"D",'LANÇAMENTOS DIÁRIOS'!$C$5:$C$500,$A69,'LANÇAMENTOS DIÁRIOS'!$O$5:$O$500,"&lt;=104499",'LANÇAMENTOS DIÁRIOS'!$P$5:$P$500,"&gt;=104400")&gt;0,"X","")</f>
      </c>
      <c r="AP69" s="56" t="str">
        <f>IF(COUNTIFS('LANÇAMENTOS DIÁRIOS'!$G$5:$G$500,"D",'LANÇAMENTOS DIÁRIOS'!$C$5:$C$500,$A69,'LANÇAMENTOS DIÁRIOS'!$O$5:$O$500,"&lt;=104599",'LANÇAMENTOS DIÁRIOS'!$P$5:$P$500,"&gt;=104500")&gt;0,"X","")</f>
      </c>
      <c r="AQ69" s="56" t="str">
        <f>IF(COUNTIFS('LANÇAMENTOS DIÁRIOS'!$G$5:$G$500,"D",'LANÇAMENTOS DIÁRIOS'!$C$5:$C$500,$A69,'LANÇAMENTOS DIÁRIOS'!$O$5:$O$500,"&lt;=104699",'LANÇAMENTOS DIÁRIOS'!$P$5:$P$500,"&gt;=104600")&gt;0,"X","")</f>
      </c>
      <c r="AR69" s="56" t="str">
        <f>IF(COUNTIFS('LANÇAMENTOS DIÁRIOS'!$G$5:$G$500,"D",'LANÇAMENTOS DIÁRIOS'!$C$5:$C$500,$A69,'LANÇAMENTOS DIÁRIOS'!$O$5:$O$500,"&lt;=104799",'LANÇAMENTOS DIÁRIOS'!$P$5:$P$500,"&gt;=104700")&gt;0,"X","")</f>
      </c>
      <c r="AS69" s="56" t="str">
        <f>IF(COUNTIFS('LANÇAMENTOS DIÁRIOS'!$G$5:$G$500,"D",'LANÇAMENTOS DIÁRIOS'!$C$5:$C$500,$A69,'LANÇAMENTOS DIÁRIOS'!$O$5:$O$500,"&lt;=104899",'LANÇAMENTOS DIÁRIOS'!$P$5:$P$500,"&gt;=104800")&gt;0,"X","")</f>
      </c>
      <c r="AT69" s="56" t="str">
        <f>IF(COUNTIFS('LANÇAMENTOS DIÁRIOS'!$G$5:$G$500,"D",'LANÇAMENTOS DIÁRIOS'!$C$5:$C$500,$A69,'LANÇAMENTOS DIÁRIOS'!$O$5:$O$500,"&lt;=104999",'LANÇAMENTOS DIÁRIOS'!$P$5:$P$500,"&gt;=104900")&gt;0,"X","")</f>
      </c>
      <c r="AU69" s="56" t="str">
        <f>IF(COUNTIFS('LANÇAMENTOS DIÁRIOS'!$G$5:$G$500,"D",'LANÇAMENTOS DIÁRIOS'!$C$5:$C$500,$A69,'LANÇAMENTOS DIÁRIOS'!$O$5:$O$500,"&lt;=105099",'LANÇAMENTOS DIÁRIOS'!$P$5:$P$500,"&gt;=105000")&gt;0,"X","")</f>
      </c>
      <c r="AV69" s="56" t="str">
        <f>IF(COUNTIFS('LANÇAMENTOS DIÁRIOS'!$G$5:$G$500,"D",'LANÇAMENTOS DIÁRIOS'!$C$5:$C$500,$A69,'LANÇAMENTOS DIÁRIOS'!$O$5:$O$500,"&lt;=105199",'LANÇAMENTOS DIÁRIOS'!$P$5:$P$500,"&gt;=105100")&gt;0,"X","")</f>
      </c>
      <c r="AW69" s="56" t="str">
        <f>IF(COUNTIFS('LANÇAMENTOS DIÁRIOS'!$G$5:$G$500,"D",'LANÇAMENTOS DIÁRIOS'!$C$5:$C$500,$A69,'LANÇAMENTOS DIÁRIOS'!$O$5:$O$500,"&lt;=105299",'LANÇAMENTOS DIÁRIOS'!$P$5:$P$500,"&gt;=105200")&gt;0,"X","")</f>
      </c>
      <c r="AX69" s="56" t="str">
        <f>IF(COUNTIFS('LANÇAMENTOS DIÁRIOS'!$G$5:$G$500,"D",'LANÇAMENTOS DIÁRIOS'!$C$5:$C$500,$A69,'LANÇAMENTOS DIÁRIOS'!$O$5:$O$500,"&lt;=105399",'LANÇAMENTOS DIÁRIOS'!$P$5:$P$500,"&gt;=105300")&gt;0,"X","")</f>
      </c>
      <c r="AY69" s="56" t="str">
        <f>IF(COUNTIFS('LANÇAMENTOS DIÁRIOS'!$G$5:$G$500,"D",'LANÇAMENTOS DIÁRIOS'!$C$5:$C$500,$A69,'LANÇAMENTOS DIÁRIOS'!$O$5:$O$500,"&lt;=105499",'LANÇAMENTOS DIÁRIOS'!$P$5:$P$500,"&gt;=105400")&gt;0,"X","")</f>
      </c>
      <c r="AZ69" s="56" t="str">
        <f>IF(COUNTIFS('LANÇAMENTOS DIÁRIOS'!$G$5:$G$500,"D",'LANÇAMENTOS DIÁRIOS'!$C$5:$C$500,$A69,'LANÇAMENTOS DIÁRIOS'!$O$5:$O$500,"&lt;=105500",'LANÇAMENTOS DIÁRIOS'!$P$5:$P$500,"&gt;=105500")&gt;0,"X","")</f>
      </c>
    </row>
    <row r="70">
      <c r="A70" s="51" t="str">
        <v>Marco Superficial</v>
      </c>
      <c r="B70" s="56" t="str">
        <f>IF(COUNTIFS('LANÇAMENTOS DIÁRIOS'!$G$5:$G$500,"D",'LANÇAMENTOS DIÁRIOS'!$C$5:$C$500,$A70,'LANÇAMENTOS DIÁRIOS'!$O$5:$O$500,"&lt;=100599",'LANÇAMENTOS DIÁRIOS'!$P$5:$P$500,"&gt;=100500")&gt;0,"X","")</f>
      </c>
      <c r="C70" s="56" t="str">
        <f>IF(COUNTIFS('LANÇAMENTOS DIÁRIOS'!$G$5:$G$500,"D",'LANÇAMENTOS DIÁRIOS'!$C$5:$C$500,$A70,'LANÇAMENTOS DIÁRIOS'!$O$5:$O$500,"&lt;=100699",'LANÇAMENTOS DIÁRIOS'!$P$5:$P$500,"&gt;=100600")&gt;0,"X","")</f>
      </c>
      <c r="D70" s="56" t="str">
        <f>IF(COUNTIFS('LANÇAMENTOS DIÁRIOS'!$G$5:$G$500,"D",'LANÇAMENTOS DIÁRIOS'!$C$5:$C$500,$A70,'LANÇAMENTOS DIÁRIOS'!$O$5:$O$500,"&lt;=100799",'LANÇAMENTOS DIÁRIOS'!$P$5:$P$500,"&gt;=100700")&gt;0,"X","")</f>
      </c>
      <c r="E70" s="56" t="str">
        <f>IF(COUNTIFS('LANÇAMENTOS DIÁRIOS'!$G$5:$G$500,"D",'LANÇAMENTOS DIÁRIOS'!$C$5:$C$500,$A70,'LANÇAMENTOS DIÁRIOS'!$O$5:$O$500,"&lt;=100899",'LANÇAMENTOS DIÁRIOS'!$P$5:$P$500,"&gt;=100800")&gt;0,"X","")</f>
      </c>
      <c r="F70" s="56" t="str">
        <f>IF(COUNTIFS('LANÇAMENTOS DIÁRIOS'!$G$5:$G$500,"D",'LANÇAMENTOS DIÁRIOS'!$C$5:$C$500,$A70,'LANÇAMENTOS DIÁRIOS'!$O$5:$O$500,"&lt;=100999",'LANÇAMENTOS DIÁRIOS'!$P$5:$P$500,"&gt;=100900")&gt;0,"X","")</f>
      </c>
      <c r="G70" s="56" t="str">
        <f>IF(COUNTIFS('LANÇAMENTOS DIÁRIOS'!$G$5:$G$500,"D",'LANÇAMENTOS DIÁRIOS'!$C$5:$C$500,$A70,'LANÇAMENTOS DIÁRIOS'!$O$5:$O$500,"&lt;=101099",'LANÇAMENTOS DIÁRIOS'!$P$5:$P$500,"&gt;=101000")&gt;0,"X","")</f>
      </c>
      <c r="H70" s="56" t="str">
        <f>IF(COUNTIFS('LANÇAMENTOS DIÁRIOS'!$G$5:$G$500,"D",'LANÇAMENTOS DIÁRIOS'!$C$5:$C$500,$A70,'LANÇAMENTOS DIÁRIOS'!$O$5:$O$500,"&lt;=101199",'LANÇAMENTOS DIÁRIOS'!$P$5:$P$500,"&gt;=101100")&gt;0,"X","")</f>
      </c>
      <c r="I70" s="56" t="str">
        <f>IF(COUNTIFS('LANÇAMENTOS DIÁRIOS'!$G$5:$G$500,"D",'LANÇAMENTOS DIÁRIOS'!$C$5:$C$500,$A70,'LANÇAMENTOS DIÁRIOS'!$O$5:$O$500,"&lt;=101299",'LANÇAMENTOS DIÁRIOS'!$P$5:$P$500,"&gt;=101200")&gt;0,"X","")</f>
      </c>
      <c r="J70" s="56" t="str">
        <f>IF(COUNTIFS('LANÇAMENTOS DIÁRIOS'!$G$5:$G$500,"D",'LANÇAMENTOS DIÁRIOS'!$C$5:$C$500,$A70,'LANÇAMENTOS DIÁRIOS'!$O$5:$O$500,"&lt;=101399",'LANÇAMENTOS DIÁRIOS'!$P$5:$P$500,"&gt;=101300")&gt;0,"X","")</f>
      </c>
      <c r="K70" s="56" t="str">
        <f>IF(COUNTIFS('LANÇAMENTOS DIÁRIOS'!$G$5:$G$500,"D",'LANÇAMENTOS DIÁRIOS'!$C$5:$C$500,$A70,'LANÇAMENTOS DIÁRIOS'!$O$5:$O$500,"&lt;=101499",'LANÇAMENTOS DIÁRIOS'!$P$5:$P$500,"&gt;=101400")&gt;0,"X","")</f>
      </c>
      <c r="L70" s="56" t="str">
        <f>IF(COUNTIFS('LANÇAMENTOS DIÁRIOS'!$G$5:$G$500,"D",'LANÇAMENTOS DIÁRIOS'!$C$5:$C$500,$A70,'LANÇAMENTOS DIÁRIOS'!$O$5:$O$500,"&lt;=101599",'LANÇAMENTOS DIÁRIOS'!$P$5:$P$500,"&gt;=101500")&gt;0,"X","")</f>
      </c>
      <c r="M70" s="56" t="str">
        <f>IF(COUNTIFS('LANÇAMENTOS DIÁRIOS'!$G$5:$G$500,"D",'LANÇAMENTOS DIÁRIOS'!$C$5:$C$500,$A70,'LANÇAMENTOS DIÁRIOS'!$O$5:$O$500,"&lt;=101699",'LANÇAMENTOS DIÁRIOS'!$P$5:$P$500,"&gt;=101600")&gt;0,"X","")</f>
      </c>
      <c r="N70" s="56" t="str">
        <f>IF(COUNTIFS('LANÇAMENTOS DIÁRIOS'!$G$5:$G$500,"D",'LANÇAMENTOS DIÁRIOS'!$C$5:$C$500,$A70,'LANÇAMENTOS DIÁRIOS'!$O$5:$O$500,"&lt;=101799",'LANÇAMENTOS DIÁRIOS'!$P$5:$P$500,"&gt;=101700")&gt;0,"X","")</f>
      </c>
      <c r="O70" s="56" t="str">
        <f>IF(COUNTIFS('LANÇAMENTOS DIÁRIOS'!$G$5:$G$500,"D",'LANÇAMENTOS DIÁRIOS'!$C$5:$C$500,$A70,'LANÇAMENTOS DIÁRIOS'!$O$5:$O$500,"&lt;=101899",'LANÇAMENTOS DIÁRIOS'!$P$5:$P$500,"&gt;=101800")&gt;0,"X","")</f>
      </c>
      <c r="P70" s="56" t="str">
        <f>IF(COUNTIFS('LANÇAMENTOS DIÁRIOS'!$G$5:$G$500,"D",'LANÇAMENTOS DIÁRIOS'!$C$5:$C$500,$A70,'LANÇAMENTOS DIÁRIOS'!$O$5:$O$500,"&lt;=101999",'LANÇAMENTOS DIÁRIOS'!$P$5:$P$500,"&gt;=101900")&gt;0,"X","")</f>
      </c>
      <c r="Q70" s="56" t="str">
        <f>IF(COUNTIFS('LANÇAMENTOS DIÁRIOS'!$G$5:$G$500,"D",'LANÇAMENTOS DIÁRIOS'!$C$5:$C$500,$A70,'LANÇAMENTOS DIÁRIOS'!$O$5:$O$500,"&lt;=102099",'LANÇAMENTOS DIÁRIOS'!$P$5:$P$500,"&gt;=102000")&gt;0,"X","")</f>
      </c>
      <c r="R70" s="56" t="str">
        <f>IF(COUNTIFS('LANÇAMENTOS DIÁRIOS'!$G$5:$G$500,"D",'LANÇAMENTOS DIÁRIOS'!$C$5:$C$500,$A70,'LANÇAMENTOS DIÁRIOS'!$O$5:$O$500,"&lt;=102199",'LANÇAMENTOS DIÁRIOS'!$P$5:$P$500,"&gt;=102100")&gt;0,"X","")</f>
      </c>
      <c r="S70" s="56" t="str">
        <f>IF(COUNTIFS('LANÇAMENTOS DIÁRIOS'!$G$5:$G$500,"D",'LANÇAMENTOS DIÁRIOS'!$C$5:$C$500,$A70,'LANÇAMENTOS DIÁRIOS'!$O$5:$O$500,"&lt;=102299",'LANÇAMENTOS DIÁRIOS'!$P$5:$P$500,"&gt;=102200")&gt;0,"X","")</f>
      </c>
      <c r="T70" s="56" t="str">
        <f>IF(COUNTIFS('LANÇAMENTOS DIÁRIOS'!$G$5:$G$500,"D",'LANÇAMENTOS DIÁRIOS'!$C$5:$C$500,$A70,'LANÇAMENTOS DIÁRIOS'!$O$5:$O$500,"&lt;=102399",'LANÇAMENTOS DIÁRIOS'!$P$5:$P$500,"&gt;=102300")&gt;0,"X","")</f>
      </c>
      <c r="U70" s="56" t="str">
        <f>IF(COUNTIFS('LANÇAMENTOS DIÁRIOS'!$G$5:$G$500,"D",'LANÇAMENTOS DIÁRIOS'!$C$5:$C$500,$A70,'LANÇAMENTOS DIÁRIOS'!$O$5:$O$500,"&lt;=102499",'LANÇAMENTOS DIÁRIOS'!$P$5:$P$500,"&gt;=102400")&gt;0,"X","")</f>
      </c>
      <c r="V70" s="56" t="str">
        <f>IF(COUNTIFS('LANÇAMENTOS DIÁRIOS'!$G$5:$G$500,"D",'LANÇAMENTOS DIÁRIOS'!$C$5:$C$500,$A70,'LANÇAMENTOS DIÁRIOS'!$O$5:$O$500,"&lt;=102599",'LANÇAMENTOS DIÁRIOS'!$P$5:$P$500,"&gt;=102500")&gt;0,"X","")</f>
      </c>
      <c r="W70" s="56" t="str">
        <f>IF(COUNTIFS('LANÇAMENTOS DIÁRIOS'!$G$5:$G$500,"D",'LANÇAMENTOS DIÁRIOS'!$C$5:$C$500,$A70,'LANÇAMENTOS DIÁRIOS'!$O$5:$O$500,"&lt;=102699",'LANÇAMENTOS DIÁRIOS'!$P$5:$P$500,"&gt;=102600")&gt;0,"X","")</f>
      </c>
      <c r="X70" s="56" t="str">
        <f>IF(COUNTIFS('LANÇAMENTOS DIÁRIOS'!$G$5:$G$500,"D",'LANÇAMENTOS DIÁRIOS'!$C$5:$C$500,$A70,'LANÇAMENTOS DIÁRIOS'!$O$5:$O$500,"&lt;=102799",'LANÇAMENTOS DIÁRIOS'!$P$5:$P$500,"&gt;=102700")&gt;0,"X","")</f>
      </c>
      <c r="Y70" s="56" t="str">
        <f>IF(COUNTIFS('LANÇAMENTOS DIÁRIOS'!$G$5:$G$500,"D",'LANÇAMENTOS DIÁRIOS'!$C$5:$C$500,$A70,'LANÇAMENTOS DIÁRIOS'!$O$5:$O$500,"&lt;=102899",'LANÇAMENTOS DIÁRIOS'!$P$5:$P$500,"&gt;=102800")&gt;0,"X","")</f>
      </c>
      <c r="Z70" s="56" t="str">
        <f>IF(COUNTIFS('LANÇAMENTOS DIÁRIOS'!$G$5:$G$500,"D",'LANÇAMENTOS DIÁRIOS'!$C$5:$C$500,$A70,'LANÇAMENTOS DIÁRIOS'!$O$5:$O$500,"&lt;=102999",'LANÇAMENTOS DIÁRIOS'!$P$5:$P$500,"&gt;=102900")&gt;0,"X","")</f>
      </c>
      <c r="AA70" s="56" t="str">
        <f>IF(COUNTIFS('LANÇAMENTOS DIÁRIOS'!$G$5:$G$500,"D",'LANÇAMENTOS DIÁRIOS'!$C$5:$C$500,$A70,'LANÇAMENTOS DIÁRIOS'!$O$5:$O$500,"&lt;=103099",'LANÇAMENTOS DIÁRIOS'!$P$5:$P$500,"&gt;=103000")&gt;0,"X","")</f>
      </c>
      <c r="AB70" s="56" t="str">
        <f>IF(COUNTIFS('LANÇAMENTOS DIÁRIOS'!$G$5:$G$500,"D",'LANÇAMENTOS DIÁRIOS'!$C$5:$C$500,$A70,'LANÇAMENTOS DIÁRIOS'!$O$5:$O$500,"&lt;=103199",'LANÇAMENTOS DIÁRIOS'!$P$5:$P$500,"&gt;=103100")&gt;0,"X","")</f>
      </c>
      <c r="AC70" s="56" t="str">
        <f>IF(COUNTIFS('LANÇAMENTOS DIÁRIOS'!$G$5:$G$500,"D",'LANÇAMENTOS DIÁRIOS'!$C$5:$C$500,$A70,'LANÇAMENTOS DIÁRIOS'!$O$5:$O$500,"&lt;=103299",'LANÇAMENTOS DIÁRIOS'!$P$5:$P$500,"&gt;=103200")&gt;0,"X","")</f>
      </c>
      <c r="AD70" s="56" t="str">
        <f>IF(COUNTIFS('LANÇAMENTOS DIÁRIOS'!$G$5:$G$500,"D",'LANÇAMENTOS DIÁRIOS'!$C$5:$C$500,$A70,'LANÇAMENTOS DIÁRIOS'!$O$5:$O$500,"&lt;=103399",'LANÇAMENTOS DIÁRIOS'!$P$5:$P$500,"&gt;=103300")&gt;0,"X","")</f>
      </c>
      <c r="AE70" s="56" t="str">
        <f>IF(COUNTIFS('LANÇAMENTOS DIÁRIOS'!$G$5:$G$500,"D",'LANÇAMENTOS DIÁRIOS'!$C$5:$C$500,$A70,'LANÇAMENTOS DIÁRIOS'!$O$5:$O$500,"&lt;=103499",'LANÇAMENTOS DIÁRIOS'!$P$5:$P$500,"&gt;=103400")&gt;0,"X","")</f>
      </c>
      <c r="AF70" s="56" t="str">
        <f>IF(COUNTIFS('LANÇAMENTOS DIÁRIOS'!$G$5:$G$500,"D",'LANÇAMENTOS DIÁRIOS'!$C$5:$C$500,$A70,'LANÇAMENTOS DIÁRIOS'!$O$5:$O$500,"&lt;=103599",'LANÇAMENTOS DIÁRIOS'!$P$5:$P$500,"&gt;=103500")&gt;0,"X","")</f>
      </c>
      <c r="AG70" s="56" t="str">
        <f>IF(COUNTIFS('LANÇAMENTOS DIÁRIOS'!$G$5:$G$500,"D",'LANÇAMENTOS DIÁRIOS'!$C$5:$C$500,$A70,'LANÇAMENTOS DIÁRIOS'!$O$5:$O$500,"&lt;=103699",'LANÇAMENTOS DIÁRIOS'!$P$5:$P$500,"&gt;=103600")&gt;0,"X","")</f>
      </c>
      <c r="AH70" s="56" t="str">
        <f>IF(COUNTIFS('LANÇAMENTOS DIÁRIOS'!$G$5:$G$500,"D",'LANÇAMENTOS DIÁRIOS'!$C$5:$C$500,$A70,'LANÇAMENTOS DIÁRIOS'!$O$5:$O$500,"&lt;=103799",'LANÇAMENTOS DIÁRIOS'!$P$5:$P$500,"&gt;=103700")&gt;0,"X","")</f>
      </c>
      <c r="AI70" s="56" t="str">
        <f>IF(COUNTIFS('LANÇAMENTOS DIÁRIOS'!$G$5:$G$500,"D",'LANÇAMENTOS DIÁRIOS'!$C$5:$C$500,$A70,'LANÇAMENTOS DIÁRIOS'!$O$5:$O$500,"&lt;=103899",'LANÇAMENTOS DIÁRIOS'!$P$5:$P$500,"&gt;=103800")&gt;0,"X","")</f>
      </c>
      <c r="AJ70" s="56" t="str">
        <f>IF(COUNTIFS('LANÇAMENTOS DIÁRIOS'!$G$5:$G$500,"D",'LANÇAMENTOS DIÁRIOS'!$C$5:$C$500,$A70,'LANÇAMENTOS DIÁRIOS'!$O$5:$O$500,"&lt;=103999",'LANÇAMENTOS DIÁRIOS'!$P$5:$P$500,"&gt;=103900")&gt;0,"X","")</f>
      </c>
      <c r="AK70" s="56" t="str">
        <f>IF(COUNTIFS('LANÇAMENTOS DIÁRIOS'!$G$5:$G$500,"D",'LANÇAMENTOS DIÁRIOS'!$C$5:$C$500,$A70,'LANÇAMENTOS DIÁRIOS'!$O$5:$O$500,"&lt;=104099",'LANÇAMENTOS DIÁRIOS'!$P$5:$P$500,"&gt;=104000")&gt;0,"X","")</f>
      </c>
      <c r="AL70" s="56" t="str">
        <f>IF(COUNTIFS('LANÇAMENTOS DIÁRIOS'!$G$5:$G$500,"D",'LANÇAMENTOS DIÁRIOS'!$C$5:$C$500,$A70,'LANÇAMENTOS DIÁRIOS'!$O$5:$O$500,"&lt;=104199",'LANÇAMENTOS DIÁRIOS'!$P$5:$P$500,"&gt;=104100")&gt;0,"X","")</f>
      </c>
      <c r="AM70" s="56" t="str">
        <f>IF(COUNTIFS('LANÇAMENTOS DIÁRIOS'!$G$5:$G$500,"D",'LANÇAMENTOS DIÁRIOS'!$C$5:$C$500,$A70,'LANÇAMENTOS DIÁRIOS'!$O$5:$O$500,"&lt;=104299",'LANÇAMENTOS DIÁRIOS'!$P$5:$P$500,"&gt;=104200")&gt;0,"X","")</f>
      </c>
      <c r="AN70" s="56" t="str">
        <f>IF(COUNTIFS('LANÇAMENTOS DIÁRIOS'!$G$5:$G$500,"D",'LANÇAMENTOS DIÁRIOS'!$C$5:$C$500,$A70,'LANÇAMENTOS DIÁRIOS'!$O$5:$O$500,"&lt;=104399",'LANÇAMENTOS DIÁRIOS'!$P$5:$P$500,"&gt;=104300")&gt;0,"X","")</f>
      </c>
      <c r="AO70" s="56" t="str">
        <f>IF(COUNTIFS('LANÇAMENTOS DIÁRIOS'!$G$5:$G$500,"D",'LANÇAMENTOS DIÁRIOS'!$C$5:$C$500,$A70,'LANÇAMENTOS DIÁRIOS'!$O$5:$O$500,"&lt;=104499",'LANÇAMENTOS DIÁRIOS'!$P$5:$P$500,"&gt;=104400")&gt;0,"X","")</f>
      </c>
      <c r="AP70" s="56" t="str">
        <f>IF(COUNTIFS('LANÇAMENTOS DIÁRIOS'!$G$5:$G$500,"D",'LANÇAMENTOS DIÁRIOS'!$C$5:$C$500,$A70,'LANÇAMENTOS DIÁRIOS'!$O$5:$O$500,"&lt;=104599",'LANÇAMENTOS DIÁRIOS'!$P$5:$P$500,"&gt;=104500")&gt;0,"X","")</f>
      </c>
      <c r="AQ70" s="56" t="str">
        <f>IF(COUNTIFS('LANÇAMENTOS DIÁRIOS'!$G$5:$G$500,"D",'LANÇAMENTOS DIÁRIOS'!$C$5:$C$500,$A70,'LANÇAMENTOS DIÁRIOS'!$O$5:$O$500,"&lt;=104699",'LANÇAMENTOS DIÁRIOS'!$P$5:$P$500,"&gt;=104600")&gt;0,"X","")</f>
      </c>
      <c r="AR70" s="56" t="str">
        <f>IF(COUNTIFS('LANÇAMENTOS DIÁRIOS'!$G$5:$G$500,"D",'LANÇAMENTOS DIÁRIOS'!$C$5:$C$500,$A70,'LANÇAMENTOS DIÁRIOS'!$O$5:$O$500,"&lt;=104799",'LANÇAMENTOS DIÁRIOS'!$P$5:$P$500,"&gt;=104700")&gt;0,"X","")</f>
      </c>
      <c r="AS70" s="56" t="str">
        <f>IF(COUNTIFS('LANÇAMENTOS DIÁRIOS'!$G$5:$G$500,"D",'LANÇAMENTOS DIÁRIOS'!$C$5:$C$500,$A70,'LANÇAMENTOS DIÁRIOS'!$O$5:$O$500,"&lt;=104899",'LANÇAMENTOS DIÁRIOS'!$P$5:$P$500,"&gt;=104800")&gt;0,"X","")</f>
      </c>
      <c r="AT70" s="56" t="str">
        <f>IF(COUNTIFS('LANÇAMENTOS DIÁRIOS'!$G$5:$G$500,"D",'LANÇAMENTOS DIÁRIOS'!$C$5:$C$500,$A70,'LANÇAMENTOS DIÁRIOS'!$O$5:$O$500,"&lt;=104999",'LANÇAMENTOS DIÁRIOS'!$P$5:$P$500,"&gt;=104900")&gt;0,"X","")</f>
      </c>
      <c r="AU70" s="56" t="str">
        <f>IF(COUNTIFS('LANÇAMENTOS DIÁRIOS'!$G$5:$G$500,"D",'LANÇAMENTOS DIÁRIOS'!$C$5:$C$500,$A70,'LANÇAMENTOS DIÁRIOS'!$O$5:$O$500,"&lt;=105099",'LANÇAMENTOS DIÁRIOS'!$P$5:$P$500,"&gt;=105000")&gt;0,"X","")</f>
      </c>
      <c r="AV70" s="56" t="str">
        <f>IF(COUNTIFS('LANÇAMENTOS DIÁRIOS'!$G$5:$G$500,"D",'LANÇAMENTOS DIÁRIOS'!$C$5:$C$500,$A70,'LANÇAMENTOS DIÁRIOS'!$O$5:$O$500,"&lt;=105199",'LANÇAMENTOS DIÁRIOS'!$P$5:$P$500,"&gt;=105100")&gt;0,"X","")</f>
      </c>
      <c r="AW70" s="56" t="str">
        <f>IF(COUNTIFS('LANÇAMENTOS DIÁRIOS'!$G$5:$G$500,"D",'LANÇAMENTOS DIÁRIOS'!$C$5:$C$500,$A70,'LANÇAMENTOS DIÁRIOS'!$O$5:$O$500,"&lt;=105299",'LANÇAMENTOS DIÁRIOS'!$P$5:$P$500,"&gt;=105200")&gt;0,"X","")</f>
      </c>
      <c r="AX70" s="56" t="str">
        <f>IF(COUNTIFS('LANÇAMENTOS DIÁRIOS'!$G$5:$G$500,"D",'LANÇAMENTOS DIÁRIOS'!$C$5:$C$500,$A70,'LANÇAMENTOS DIÁRIOS'!$O$5:$O$500,"&lt;=105399",'LANÇAMENTOS DIÁRIOS'!$P$5:$P$500,"&gt;=105300")&gt;0,"X","")</f>
      </c>
      <c r="AY70" s="56" t="str">
        <f>IF(COUNTIFS('LANÇAMENTOS DIÁRIOS'!$G$5:$G$500,"D",'LANÇAMENTOS DIÁRIOS'!$C$5:$C$500,$A70,'LANÇAMENTOS DIÁRIOS'!$O$5:$O$500,"&lt;=105499",'LANÇAMENTOS DIÁRIOS'!$P$5:$P$500,"&gt;=105400")&gt;0,"X","")</f>
      </c>
      <c r="AZ70" s="56" t="str">
        <f>IF(COUNTIFS('LANÇAMENTOS DIÁRIOS'!$G$5:$G$500,"D",'LANÇAMENTOS DIÁRIOS'!$C$5:$C$500,$A70,'LANÇAMENTOS DIÁRIOS'!$O$5:$O$500,"&lt;=105500",'LANÇAMENTOS DIÁRIOS'!$P$5:$P$500,"&gt;=105500")&gt;0,"X","")</f>
      </c>
    </row>
    <row r="71">
      <c r="A71" s="51" t="str">
        <v>Inclinômetro</v>
      </c>
      <c r="B71" s="56" t="str">
        <f>IF(COUNTIFS('LANÇAMENTOS DIÁRIOS'!$G$5:$G$500,"D",'LANÇAMENTOS DIÁRIOS'!$C$5:$C$500,$A71,'LANÇAMENTOS DIÁRIOS'!$O$5:$O$500,"&lt;=100599",'LANÇAMENTOS DIÁRIOS'!$P$5:$P$500,"&gt;=100500")&gt;0,"X","")</f>
      </c>
      <c r="C71" s="56" t="str">
        <f>IF(COUNTIFS('LANÇAMENTOS DIÁRIOS'!$G$5:$G$500,"D",'LANÇAMENTOS DIÁRIOS'!$C$5:$C$500,$A71,'LANÇAMENTOS DIÁRIOS'!$O$5:$O$500,"&lt;=100699",'LANÇAMENTOS DIÁRIOS'!$P$5:$P$500,"&gt;=100600")&gt;0,"X","")</f>
      </c>
      <c r="D71" s="56" t="str">
        <f>IF(COUNTIFS('LANÇAMENTOS DIÁRIOS'!$G$5:$G$500,"D",'LANÇAMENTOS DIÁRIOS'!$C$5:$C$500,$A71,'LANÇAMENTOS DIÁRIOS'!$O$5:$O$500,"&lt;=100799",'LANÇAMENTOS DIÁRIOS'!$P$5:$P$500,"&gt;=100700")&gt;0,"X","")</f>
      </c>
      <c r="E71" s="56" t="str">
        <f>IF(COUNTIFS('LANÇAMENTOS DIÁRIOS'!$G$5:$G$500,"D",'LANÇAMENTOS DIÁRIOS'!$C$5:$C$500,$A71,'LANÇAMENTOS DIÁRIOS'!$O$5:$O$500,"&lt;=100899",'LANÇAMENTOS DIÁRIOS'!$P$5:$P$500,"&gt;=100800")&gt;0,"X","")</f>
      </c>
      <c r="F71" s="56" t="str">
        <f>IF(COUNTIFS('LANÇAMENTOS DIÁRIOS'!$G$5:$G$500,"D",'LANÇAMENTOS DIÁRIOS'!$C$5:$C$500,$A71,'LANÇAMENTOS DIÁRIOS'!$O$5:$O$500,"&lt;=100999",'LANÇAMENTOS DIÁRIOS'!$P$5:$P$500,"&gt;=100900")&gt;0,"X","")</f>
      </c>
      <c r="G71" s="56" t="str">
        <f>IF(COUNTIFS('LANÇAMENTOS DIÁRIOS'!$G$5:$G$500,"D",'LANÇAMENTOS DIÁRIOS'!$C$5:$C$500,$A71,'LANÇAMENTOS DIÁRIOS'!$O$5:$O$500,"&lt;=101099",'LANÇAMENTOS DIÁRIOS'!$P$5:$P$500,"&gt;=101000")&gt;0,"X","")</f>
      </c>
      <c r="H71" s="56" t="str">
        <f>IF(COUNTIFS('LANÇAMENTOS DIÁRIOS'!$G$5:$G$500,"D",'LANÇAMENTOS DIÁRIOS'!$C$5:$C$500,$A71,'LANÇAMENTOS DIÁRIOS'!$O$5:$O$500,"&lt;=101199",'LANÇAMENTOS DIÁRIOS'!$P$5:$P$500,"&gt;=101100")&gt;0,"X","")</f>
      </c>
      <c r="I71" s="56" t="str">
        <f>IF(COUNTIFS('LANÇAMENTOS DIÁRIOS'!$G$5:$G$500,"D",'LANÇAMENTOS DIÁRIOS'!$C$5:$C$500,$A71,'LANÇAMENTOS DIÁRIOS'!$O$5:$O$500,"&lt;=101299",'LANÇAMENTOS DIÁRIOS'!$P$5:$P$500,"&gt;=101200")&gt;0,"X","")</f>
      </c>
      <c r="J71" s="56" t="str">
        <f>IF(COUNTIFS('LANÇAMENTOS DIÁRIOS'!$G$5:$G$500,"D",'LANÇAMENTOS DIÁRIOS'!$C$5:$C$500,$A71,'LANÇAMENTOS DIÁRIOS'!$O$5:$O$500,"&lt;=101399",'LANÇAMENTOS DIÁRIOS'!$P$5:$P$500,"&gt;=101300")&gt;0,"X","")</f>
      </c>
      <c r="K71" s="56" t="str">
        <f>IF(COUNTIFS('LANÇAMENTOS DIÁRIOS'!$G$5:$G$500,"D",'LANÇAMENTOS DIÁRIOS'!$C$5:$C$500,$A71,'LANÇAMENTOS DIÁRIOS'!$O$5:$O$500,"&lt;=101499",'LANÇAMENTOS DIÁRIOS'!$P$5:$P$500,"&gt;=101400")&gt;0,"X","")</f>
      </c>
      <c r="L71" s="56" t="str">
        <f>IF(COUNTIFS('LANÇAMENTOS DIÁRIOS'!$G$5:$G$500,"D",'LANÇAMENTOS DIÁRIOS'!$C$5:$C$500,$A71,'LANÇAMENTOS DIÁRIOS'!$O$5:$O$500,"&lt;=101599",'LANÇAMENTOS DIÁRIOS'!$P$5:$P$500,"&gt;=101500")&gt;0,"X","")</f>
      </c>
      <c r="M71" s="56" t="str">
        <f>IF(COUNTIFS('LANÇAMENTOS DIÁRIOS'!$G$5:$G$500,"D",'LANÇAMENTOS DIÁRIOS'!$C$5:$C$500,$A71,'LANÇAMENTOS DIÁRIOS'!$O$5:$O$500,"&lt;=101699",'LANÇAMENTOS DIÁRIOS'!$P$5:$P$500,"&gt;=101600")&gt;0,"X","")</f>
      </c>
      <c r="N71" s="56" t="str">
        <f>IF(COUNTIFS('LANÇAMENTOS DIÁRIOS'!$G$5:$G$500,"D",'LANÇAMENTOS DIÁRIOS'!$C$5:$C$500,$A71,'LANÇAMENTOS DIÁRIOS'!$O$5:$O$500,"&lt;=101799",'LANÇAMENTOS DIÁRIOS'!$P$5:$P$500,"&gt;=101700")&gt;0,"X","")</f>
      </c>
      <c r="O71" s="56" t="str">
        <f>IF(COUNTIFS('LANÇAMENTOS DIÁRIOS'!$G$5:$G$500,"D",'LANÇAMENTOS DIÁRIOS'!$C$5:$C$500,$A71,'LANÇAMENTOS DIÁRIOS'!$O$5:$O$500,"&lt;=101899",'LANÇAMENTOS DIÁRIOS'!$P$5:$P$500,"&gt;=101800")&gt;0,"X","")</f>
      </c>
      <c r="P71" s="56" t="str">
        <f>IF(COUNTIFS('LANÇAMENTOS DIÁRIOS'!$G$5:$G$500,"D",'LANÇAMENTOS DIÁRIOS'!$C$5:$C$500,$A71,'LANÇAMENTOS DIÁRIOS'!$O$5:$O$500,"&lt;=101999",'LANÇAMENTOS DIÁRIOS'!$P$5:$P$500,"&gt;=101900")&gt;0,"X","")</f>
      </c>
      <c r="Q71" s="56" t="str">
        <f>IF(COUNTIFS('LANÇAMENTOS DIÁRIOS'!$G$5:$G$500,"D",'LANÇAMENTOS DIÁRIOS'!$C$5:$C$500,$A71,'LANÇAMENTOS DIÁRIOS'!$O$5:$O$500,"&lt;=102099",'LANÇAMENTOS DIÁRIOS'!$P$5:$P$500,"&gt;=102000")&gt;0,"X","")</f>
      </c>
      <c r="R71" s="56" t="str">
        <f>IF(COUNTIFS('LANÇAMENTOS DIÁRIOS'!$G$5:$G$500,"D",'LANÇAMENTOS DIÁRIOS'!$C$5:$C$500,$A71,'LANÇAMENTOS DIÁRIOS'!$O$5:$O$500,"&lt;=102199",'LANÇAMENTOS DIÁRIOS'!$P$5:$P$500,"&gt;=102100")&gt;0,"X","")</f>
      </c>
      <c r="S71" s="56" t="str">
        <f>IF(COUNTIFS('LANÇAMENTOS DIÁRIOS'!$G$5:$G$500,"D",'LANÇAMENTOS DIÁRIOS'!$C$5:$C$500,$A71,'LANÇAMENTOS DIÁRIOS'!$O$5:$O$500,"&lt;=102299",'LANÇAMENTOS DIÁRIOS'!$P$5:$P$500,"&gt;=102200")&gt;0,"X","")</f>
      </c>
      <c r="T71" s="56" t="str">
        <f>IF(COUNTIFS('LANÇAMENTOS DIÁRIOS'!$G$5:$G$500,"D",'LANÇAMENTOS DIÁRIOS'!$C$5:$C$500,$A71,'LANÇAMENTOS DIÁRIOS'!$O$5:$O$500,"&lt;=102399",'LANÇAMENTOS DIÁRIOS'!$P$5:$P$500,"&gt;=102300")&gt;0,"X","")</f>
      </c>
      <c r="U71" s="56" t="str">
        <f>IF(COUNTIFS('LANÇAMENTOS DIÁRIOS'!$G$5:$G$500,"D",'LANÇAMENTOS DIÁRIOS'!$C$5:$C$500,$A71,'LANÇAMENTOS DIÁRIOS'!$O$5:$O$500,"&lt;=102499",'LANÇAMENTOS DIÁRIOS'!$P$5:$P$500,"&gt;=102400")&gt;0,"X","")</f>
      </c>
      <c r="V71" s="56" t="str">
        <f>IF(COUNTIFS('LANÇAMENTOS DIÁRIOS'!$G$5:$G$500,"D",'LANÇAMENTOS DIÁRIOS'!$C$5:$C$500,$A71,'LANÇAMENTOS DIÁRIOS'!$O$5:$O$500,"&lt;=102599",'LANÇAMENTOS DIÁRIOS'!$P$5:$P$500,"&gt;=102500")&gt;0,"X","")</f>
      </c>
      <c r="W71" s="56" t="str">
        <f>IF(COUNTIFS('LANÇAMENTOS DIÁRIOS'!$G$5:$G$500,"D",'LANÇAMENTOS DIÁRIOS'!$C$5:$C$500,$A71,'LANÇAMENTOS DIÁRIOS'!$O$5:$O$500,"&lt;=102699",'LANÇAMENTOS DIÁRIOS'!$P$5:$P$500,"&gt;=102600")&gt;0,"X","")</f>
      </c>
      <c r="X71" s="56" t="str">
        <f>IF(COUNTIFS('LANÇAMENTOS DIÁRIOS'!$G$5:$G$500,"D",'LANÇAMENTOS DIÁRIOS'!$C$5:$C$500,$A71,'LANÇAMENTOS DIÁRIOS'!$O$5:$O$500,"&lt;=102799",'LANÇAMENTOS DIÁRIOS'!$P$5:$P$500,"&gt;=102700")&gt;0,"X","")</f>
      </c>
      <c r="Y71" s="56" t="str">
        <f>IF(COUNTIFS('LANÇAMENTOS DIÁRIOS'!$G$5:$G$500,"D",'LANÇAMENTOS DIÁRIOS'!$C$5:$C$500,$A71,'LANÇAMENTOS DIÁRIOS'!$O$5:$O$500,"&lt;=102899",'LANÇAMENTOS DIÁRIOS'!$P$5:$P$500,"&gt;=102800")&gt;0,"X","")</f>
      </c>
      <c r="Z71" s="56" t="str">
        <f>IF(COUNTIFS('LANÇAMENTOS DIÁRIOS'!$G$5:$G$500,"D",'LANÇAMENTOS DIÁRIOS'!$C$5:$C$500,$A71,'LANÇAMENTOS DIÁRIOS'!$O$5:$O$500,"&lt;=102999",'LANÇAMENTOS DIÁRIOS'!$P$5:$P$500,"&gt;=102900")&gt;0,"X","")</f>
      </c>
      <c r="AA71" s="56" t="str">
        <f>IF(COUNTIFS('LANÇAMENTOS DIÁRIOS'!$G$5:$G$500,"D",'LANÇAMENTOS DIÁRIOS'!$C$5:$C$500,$A71,'LANÇAMENTOS DIÁRIOS'!$O$5:$O$500,"&lt;=103099",'LANÇAMENTOS DIÁRIOS'!$P$5:$P$500,"&gt;=103000")&gt;0,"X","")</f>
      </c>
      <c r="AB71" s="56" t="str">
        <f>IF(COUNTIFS('LANÇAMENTOS DIÁRIOS'!$G$5:$G$500,"D",'LANÇAMENTOS DIÁRIOS'!$C$5:$C$500,$A71,'LANÇAMENTOS DIÁRIOS'!$O$5:$O$500,"&lt;=103199",'LANÇAMENTOS DIÁRIOS'!$P$5:$P$500,"&gt;=103100")&gt;0,"X","")</f>
      </c>
      <c r="AC71" s="56" t="str">
        <f>IF(COUNTIFS('LANÇAMENTOS DIÁRIOS'!$G$5:$G$500,"D",'LANÇAMENTOS DIÁRIOS'!$C$5:$C$500,$A71,'LANÇAMENTOS DIÁRIOS'!$O$5:$O$500,"&lt;=103299",'LANÇAMENTOS DIÁRIOS'!$P$5:$P$500,"&gt;=103200")&gt;0,"X","")</f>
      </c>
      <c r="AD71" s="56" t="str">
        <f>IF(COUNTIFS('LANÇAMENTOS DIÁRIOS'!$G$5:$G$500,"D",'LANÇAMENTOS DIÁRIOS'!$C$5:$C$500,$A71,'LANÇAMENTOS DIÁRIOS'!$O$5:$O$500,"&lt;=103399",'LANÇAMENTOS DIÁRIOS'!$P$5:$P$500,"&gt;=103300")&gt;0,"X","")</f>
      </c>
      <c r="AE71" s="56" t="str">
        <f>IF(COUNTIFS('LANÇAMENTOS DIÁRIOS'!$G$5:$G$500,"D",'LANÇAMENTOS DIÁRIOS'!$C$5:$C$500,$A71,'LANÇAMENTOS DIÁRIOS'!$O$5:$O$500,"&lt;=103499",'LANÇAMENTOS DIÁRIOS'!$P$5:$P$500,"&gt;=103400")&gt;0,"X","")</f>
      </c>
      <c r="AF71" s="56" t="str">
        <f>IF(COUNTIFS('LANÇAMENTOS DIÁRIOS'!$G$5:$G$500,"D",'LANÇAMENTOS DIÁRIOS'!$C$5:$C$500,$A71,'LANÇAMENTOS DIÁRIOS'!$O$5:$O$500,"&lt;=103599",'LANÇAMENTOS DIÁRIOS'!$P$5:$P$500,"&gt;=103500")&gt;0,"X","")</f>
      </c>
      <c r="AG71" s="56" t="str">
        <f>IF(COUNTIFS('LANÇAMENTOS DIÁRIOS'!$G$5:$G$500,"D",'LANÇAMENTOS DIÁRIOS'!$C$5:$C$500,$A71,'LANÇAMENTOS DIÁRIOS'!$O$5:$O$500,"&lt;=103699",'LANÇAMENTOS DIÁRIOS'!$P$5:$P$500,"&gt;=103600")&gt;0,"X","")</f>
      </c>
      <c r="AH71" s="56" t="str">
        <f>IF(COUNTIFS('LANÇAMENTOS DIÁRIOS'!$G$5:$G$500,"D",'LANÇAMENTOS DIÁRIOS'!$C$5:$C$500,$A71,'LANÇAMENTOS DIÁRIOS'!$O$5:$O$500,"&lt;=103799",'LANÇAMENTOS DIÁRIOS'!$P$5:$P$500,"&gt;=103700")&gt;0,"X","")</f>
      </c>
      <c r="AI71" s="56" t="str">
        <f>IF(COUNTIFS('LANÇAMENTOS DIÁRIOS'!$G$5:$G$500,"D",'LANÇAMENTOS DIÁRIOS'!$C$5:$C$500,$A71,'LANÇAMENTOS DIÁRIOS'!$O$5:$O$500,"&lt;=103899",'LANÇAMENTOS DIÁRIOS'!$P$5:$P$500,"&gt;=103800")&gt;0,"X","")</f>
      </c>
      <c r="AJ71" s="56" t="str">
        <f>IF(COUNTIFS('LANÇAMENTOS DIÁRIOS'!$G$5:$G$500,"D",'LANÇAMENTOS DIÁRIOS'!$C$5:$C$500,$A71,'LANÇAMENTOS DIÁRIOS'!$O$5:$O$500,"&lt;=103999",'LANÇAMENTOS DIÁRIOS'!$P$5:$P$500,"&gt;=103900")&gt;0,"X","")</f>
      </c>
      <c r="AK71" s="56" t="str">
        <f>IF(COUNTIFS('LANÇAMENTOS DIÁRIOS'!$G$5:$G$500,"D",'LANÇAMENTOS DIÁRIOS'!$C$5:$C$500,$A71,'LANÇAMENTOS DIÁRIOS'!$O$5:$O$500,"&lt;=104099",'LANÇAMENTOS DIÁRIOS'!$P$5:$P$500,"&gt;=104000")&gt;0,"X","")</f>
      </c>
      <c r="AL71" s="56" t="str">
        <f>IF(COUNTIFS('LANÇAMENTOS DIÁRIOS'!$G$5:$G$500,"D",'LANÇAMENTOS DIÁRIOS'!$C$5:$C$500,$A71,'LANÇAMENTOS DIÁRIOS'!$O$5:$O$500,"&lt;=104199",'LANÇAMENTOS DIÁRIOS'!$P$5:$P$500,"&gt;=104100")&gt;0,"X","")</f>
      </c>
      <c r="AM71" s="56" t="str">
        <f>IF(COUNTIFS('LANÇAMENTOS DIÁRIOS'!$G$5:$G$500,"D",'LANÇAMENTOS DIÁRIOS'!$C$5:$C$500,$A71,'LANÇAMENTOS DIÁRIOS'!$O$5:$O$500,"&lt;=104299",'LANÇAMENTOS DIÁRIOS'!$P$5:$P$500,"&gt;=104200")&gt;0,"X","")</f>
      </c>
      <c r="AN71" s="56" t="str">
        <f>IF(COUNTIFS('LANÇAMENTOS DIÁRIOS'!$G$5:$G$500,"D",'LANÇAMENTOS DIÁRIOS'!$C$5:$C$500,$A71,'LANÇAMENTOS DIÁRIOS'!$O$5:$O$500,"&lt;=104399",'LANÇAMENTOS DIÁRIOS'!$P$5:$P$500,"&gt;=104300")&gt;0,"X","")</f>
      </c>
      <c r="AO71" s="56" t="str">
        <f>IF(COUNTIFS('LANÇAMENTOS DIÁRIOS'!$G$5:$G$500,"D",'LANÇAMENTOS DIÁRIOS'!$C$5:$C$500,$A71,'LANÇAMENTOS DIÁRIOS'!$O$5:$O$500,"&lt;=104499",'LANÇAMENTOS DIÁRIOS'!$P$5:$P$500,"&gt;=104400")&gt;0,"X","")</f>
      </c>
      <c r="AP71" s="56" t="str">
        <f>IF(COUNTIFS('LANÇAMENTOS DIÁRIOS'!$G$5:$G$500,"D",'LANÇAMENTOS DIÁRIOS'!$C$5:$C$500,$A71,'LANÇAMENTOS DIÁRIOS'!$O$5:$O$500,"&lt;=104599",'LANÇAMENTOS DIÁRIOS'!$P$5:$P$500,"&gt;=104500")&gt;0,"X","")</f>
      </c>
      <c r="AQ71" s="56" t="str">
        <f>IF(COUNTIFS('LANÇAMENTOS DIÁRIOS'!$G$5:$G$500,"D",'LANÇAMENTOS DIÁRIOS'!$C$5:$C$500,$A71,'LANÇAMENTOS DIÁRIOS'!$O$5:$O$500,"&lt;=104699",'LANÇAMENTOS DIÁRIOS'!$P$5:$P$500,"&gt;=104600")&gt;0,"X","")</f>
      </c>
      <c r="AR71" s="56" t="str">
        <f>IF(COUNTIFS('LANÇAMENTOS DIÁRIOS'!$G$5:$G$500,"D",'LANÇAMENTOS DIÁRIOS'!$C$5:$C$500,$A71,'LANÇAMENTOS DIÁRIOS'!$O$5:$O$500,"&lt;=104799",'LANÇAMENTOS DIÁRIOS'!$P$5:$P$500,"&gt;=104700")&gt;0,"X","")</f>
      </c>
      <c r="AS71" s="56" t="str">
        <f>IF(COUNTIFS('LANÇAMENTOS DIÁRIOS'!$G$5:$G$500,"D",'LANÇAMENTOS DIÁRIOS'!$C$5:$C$500,$A71,'LANÇAMENTOS DIÁRIOS'!$O$5:$O$500,"&lt;=104899",'LANÇAMENTOS DIÁRIOS'!$P$5:$P$500,"&gt;=104800")&gt;0,"X","")</f>
      </c>
      <c r="AT71" s="56" t="str">
        <f>IF(COUNTIFS('LANÇAMENTOS DIÁRIOS'!$G$5:$G$500,"D",'LANÇAMENTOS DIÁRIOS'!$C$5:$C$500,$A71,'LANÇAMENTOS DIÁRIOS'!$O$5:$O$500,"&lt;=104999",'LANÇAMENTOS DIÁRIOS'!$P$5:$P$500,"&gt;=104900")&gt;0,"X","")</f>
      </c>
      <c r="AU71" s="56" t="str">
        <f>IF(COUNTIFS('LANÇAMENTOS DIÁRIOS'!$G$5:$G$500,"D",'LANÇAMENTOS DIÁRIOS'!$C$5:$C$500,$A71,'LANÇAMENTOS DIÁRIOS'!$O$5:$O$500,"&lt;=105099",'LANÇAMENTOS DIÁRIOS'!$P$5:$P$500,"&gt;=105000")&gt;0,"X","")</f>
      </c>
      <c r="AV71" s="56" t="str">
        <f>IF(COUNTIFS('LANÇAMENTOS DIÁRIOS'!$G$5:$G$500,"D",'LANÇAMENTOS DIÁRIOS'!$C$5:$C$500,$A71,'LANÇAMENTOS DIÁRIOS'!$O$5:$O$500,"&lt;=105199",'LANÇAMENTOS DIÁRIOS'!$P$5:$P$500,"&gt;=105100")&gt;0,"X","")</f>
      </c>
      <c r="AW71" s="56" t="str">
        <f>IF(COUNTIFS('LANÇAMENTOS DIÁRIOS'!$G$5:$G$500,"D",'LANÇAMENTOS DIÁRIOS'!$C$5:$C$500,$A71,'LANÇAMENTOS DIÁRIOS'!$O$5:$O$500,"&lt;=105299",'LANÇAMENTOS DIÁRIOS'!$P$5:$P$500,"&gt;=105200")&gt;0,"X","")</f>
      </c>
      <c r="AX71" s="56" t="str">
        <f>IF(COUNTIFS('LANÇAMENTOS DIÁRIOS'!$G$5:$G$500,"D",'LANÇAMENTOS DIÁRIOS'!$C$5:$C$500,$A71,'LANÇAMENTOS DIÁRIOS'!$O$5:$O$500,"&lt;=105399",'LANÇAMENTOS DIÁRIOS'!$P$5:$P$500,"&gt;=105300")&gt;0,"X","")</f>
      </c>
      <c r="AY71" s="56" t="str">
        <f>IF(COUNTIFS('LANÇAMENTOS DIÁRIOS'!$G$5:$G$500,"D",'LANÇAMENTOS DIÁRIOS'!$C$5:$C$500,$A71,'LANÇAMENTOS DIÁRIOS'!$O$5:$O$500,"&lt;=105499",'LANÇAMENTOS DIÁRIOS'!$P$5:$P$500,"&gt;=105400")&gt;0,"X","")</f>
      </c>
      <c r="AZ71" s="56" t="str">
        <f>IF(COUNTIFS('LANÇAMENTOS DIÁRIOS'!$G$5:$G$500,"D",'LANÇAMENTOS DIÁRIOS'!$C$5:$C$500,$A71,'LANÇAMENTOS DIÁRIOS'!$O$5:$O$500,"&lt;=105500",'LANÇAMENTOS DIÁRIOS'!$P$5:$P$500,"&gt;=105500")&gt;0,"X","")</f>
      </c>
    </row>
    <row r="72">
      <c r="A72" s="51" t="str">
        <v>Monitoramento de Instrumentação</v>
      </c>
      <c r="B72" s="56" t="str">
        <f>IF(COUNTIFS('LANÇAMENTOS DIÁRIOS'!$G$5:$G$500,"D",'LANÇAMENTOS DIÁRIOS'!$C$5:$C$500,$A72,'LANÇAMENTOS DIÁRIOS'!$O$5:$O$500,"&lt;=100599",'LANÇAMENTOS DIÁRIOS'!$P$5:$P$500,"&gt;=100500")&gt;0,"X","")</f>
      </c>
      <c r="C72" s="56" t="str">
        <f>IF(COUNTIFS('LANÇAMENTOS DIÁRIOS'!$G$5:$G$500,"D",'LANÇAMENTOS DIÁRIOS'!$C$5:$C$500,$A72,'LANÇAMENTOS DIÁRIOS'!$O$5:$O$500,"&lt;=100699",'LANÇAMENTOS DIÁRIOS'!$P$5:$P$500,"&gt;=100600")&gt;0,"X","")</f>
      </c>
      <c r="D72" s="56" t="str">
        <f>IF(COUNTIFS('LANÇAMENTOS DIÁRIOS'!$G$5:$G$500,"D",'LANÇAMENTOS DIÁRIOS'!$C$5:$C$500,$A72,'LANÇAMENTOS DIÁRIOS'!$O$5:$O$500,"&lt;=100799",'LANÇAMENTOS DIÁRIOS'!$P$5:$P$500,"&gt;=100700")&gt;0,"X","")</f>
      </c>
      <c r="E72" s="56" t="str">
        <f>IF(COUNTIFS('LANÇAMENTOS DIÁRIOS'!$G$5:$G$500,"D",'LANÇAMENTOS DIÁRIOS'!$C$5:$C$500,$A72,'LANÇAMENTOS DIÁRIOS'!$O$5:$O$500,"&lt;=100899",'LANÇAMENTOS DIÁRIOS'!$P$5:$P$500,"&gt;=100800")&gt;0,"X","")</f>
      </c>
      <c r="F72" s="56" t="str">
        <f>IF(COUNTIFS('LANÇAMENTOS DIÁRIOS'!$G$5:$G$500,"D",'LANÇAMENTOS DIÁRIOS'!$C$5:$C$500,$A72,'LANÇAMENTOS DIÁRIOS'!$O$5:$O$500,"&lt;=100999",'LANÇAMENTOS DIÁRIOS'!$P$5:$P$500,"&gt;=100900")&gt;0,"X","")</f>
      </c>
      <c r="G72" s="56" t="str">
        <f>IF(COUNTIFS('LANÇAMENTOS DIÁRIOS'!$G$5:$G$500,"D",'LANÇAMENTOS DIÁRIOS'!$C$5:$C$500,$A72,'LANÇAMENTOS DIÁRIOS'!$O$5:$O$500,"&lt;=101099",'LANÇAMENTOS DIÁRIOS'!$P$5:$P$500,"&gt;=101000")&gt;0,"X","")</f>
      </c>
      <c r="H72" s="56" t="str">
        <f>IF(COUNTIFS('LANÇAMENTOS DIÁRIOS'!$G$5:$G$500,"D",'LANÇAMENTOS DIÁRIOS'!$C$5:$C$500,$A72,'LANÇAMENTOS DIÁRIOS'!$O$5:$O$500,"&lt;=101199",'LANÇAMENTOS DIÁRIOS'!$P$5:$P$500,"&gt;=101100")&gt;0,"X","")</f>
      </c>
      <c r="I72" s="56" t="str">
        <f>IF(COUNTIFS('LANÇAMENTOS DIÁRIOS'!$G$5:$G$500,"D",'LANÇAMENTOS DIÁRIOS'!$C$5:$C$500,$A72,'LANÇAMENTOS DIÁRIOS'!$O$5:$O$500,"&lt;=101299",'LANÇAMENTOS DIÁRIOS'!$P$5:$P$500,"&gt;=101200")&gt;0,"X","")</f>
      </c>
      <c r="J72" s="56" t="str">
        <f>IF(COUNTIFS('LANÇAMENTOS DIÁRIOS'!$G$5:$G$500,"D",'LANÇAMENTOS DIÁRIOS'!$C$5:$C$500,$A72,'LANÇAMENTOS DIÁRIOS'!$O$5:$O$500,"&lt;=101399",'LANÇAMENTOS DIÁRIOS'!$P$5:$P$500,"&gt;=101300")&gt;0,"X","")</f>
      </c>
      <c r="K72" s="56" t="str">
        <f>IF(COUNTIFS('LANÇAMENTOS DIÁRIOS'!$G$5:$G$500,"D",'LANÇAMENTOS DIÁRIOS'!$C$5:$C$500,$A72,'LANÇAMENTOS DIÁRIOS'!$O$5:$O$500,"&lt;=101499",'LANÇAMENTOS DIÁRIOS'!$P$5:$P$500,"&gt;=101400")&gt;0,"X","")</f>
      </c>
      <c r="L72" s="56" t="str">
        <f>IF(COUNTIFS('LANÇAMENTOS DIÁRIOS'!$G$5:$G$500,"D",'LANÇAMENTOS DIÁRIOS'!$C$5:$C$500,$A72,'LANÇAMENTOS DIÁRIOS'!$O$5:$O$500,"&lt;=101599",'LANÇAMENTOS DIÁRIOS'!$P$5:$P$500,"&gt;=101500")&gt;0,"X","")</f>
      </c>
      <c r="M72" s="56" t="str">
        <f>IF(COUNTIFS('LANÇAMENTOS DIÁRIOS'!$G$5:$G$500,"D",'LANÇAMENTOS DIÁRIOS'!$C$5:$C$500,$A72,'LANÇAMENTOS DIÁRIOS'!$O$5:$O$500,"&lt;=101699",'LANÇAMENTOS DIÁRIOS'!$P$5:$P$500,"&gt;=101600")&gt;0,"X","")</f>
      </c>
      <c r="N72" s="56" t="str">
        <f>IF(COUNTIFS('LANÇAMENTOS DIÁRIOS'!$G$5:$G$500,"D",'LANÇAMENTOS DIÁRIOS'!$C$5:$C$500,$A72,'LANÇAMENTOS DIÁRIOS'!$O$5:$O$500,"&lt;=101799",'LANÇAMENTOS DIÁRIOS'!$P$5:$P$500,"&gt;=101700")&gt;0,"X","")</f>
      </c>
      <c r="O72" s="56" t="str">
        <f>IF(COUNTIFS('LANÇAMENTOS DIÁRIOS'!$G$5:$G$500,"D",'LANÇAMENTOS DIÁRIOS'!$C$5:$C$500,$A72,'LANÇAMENTOS DIÁRIOS'!$O$5:$O$500,"&lt;=101899",'LANÇAMENTOS DIÁRIOS'!$P$5:$P$500,"&gt;=101800")&gt;0,"X","")</f>
      </c>
      <c r="P72" s="56" t="str">
        <f>IF(COUNTIFS('LANÇAMENTOS DIÁRIOS'!$G$5:$G$500,"D",'LANÇAMENTOS DIÁRIOS'!$C$5:$C$500,$A72,'LANÇAMENTOS DIÁRIOS'!$O$5:$O$500,"&lt;=101999",'LANÇAMENTOS DIÁRIOS'!$P$5:$P$500,"&gt;=101900")&gt;0,"X","")</f>
      </c>
      <c r="Q72" s="56" t="str">
        <f>IF(COUNTIFS('LANÇAMENTOS DIÁRIOS'!$G$5:$G$500,"D",'LANÇAMENTOS DIÁRIOS'!$C$5:$C$500,$A72,'LANÇAMENTOS DIÁRIOS'!$O$5:$O$500,"&lt;=102099",'LANÇAMENTOS DIÁRIOS'!$P$5:$P$500,"&gt;=102000")&gt;0,"X","")</f>
      </c>
      <c r="R72" s="56" t="str">
        <f>IF(COUNTIFS('LANÇAMENTOS DIÁRIOS'!$G$5:$G$500,"D",'LANÇAMENTOS DIÁRIOS'!$C$5:$C$500,$A72,'LANÇAMENTOS DIÁRIOS'!$O$5:$O$500,"&lt;=102199",'LANÇAMENTOS DIÁRIOS'!$P$5:$P$500,"&gt;=102100")&gt;0,"X","")</f>
      </c>
      <c r="S72" s="56" t="str">
        <f>IF(COUNTIFS('LANÇAMENTOS DIÁRIOS'!$G$5:$G$500,"D",'LANÇAMENTOS DIÁRIOS'!$C$5:$C$500,$A72,'LANÇAMENTOS DIÁRIOS'!$O$5:$O$500,"&lt;=102299",'LANÇAMENTOS DIÁRIOS'!$P$5:$P$500,"&gt;=102200")&gt;0,"X","")</f>
      </c>
      <c r="T72" s="56" t="str">
        <f>IF(COUNTIFS('LANÇAMENTOS DIÁRIOS'!$G$5:$G$500,"D",'LANÇAMENTOS DIÁRIOS'!$C$5:$C$500,$A72,'LANÇAMENTOS DIÁRIOS'!$O$5:$O$500,"&lt;=102399",'LANÇAMENTOS DIÁRIOS'!$P$5:$P$500,"&gt;=102300")&gt;0,"X","")</f>
      </c>
      <c r="U72" s="56" t="str">
        <f>IF(COUNTIFS('LANÇAMENTOS DIÁRIOS'!$G$5:$G$500,"D",'LANÇAMENTOS DIÁRIOS'!$C$5:$C$500,$A72,'LANÇAMENTOS DIÁRIOS'!$O$5:$O$500,"&lt;=102499",'LANÇAMENTOS DIÁRIOS'!$P$5:$P$500,"&gt;=102400")&gt;0,"X","")</f>
      </c>
      <c r="V72" s="56" t="str">
        <f>IF(COUNTIFS('LANÇAMENTOS DIÁRIOS'!$G$5:$G$500,"D",'LANÇAMENTOS DIÁRIOS'!$C$5:$C$500,$A72,'LANÇAMENTOS DIÁRIOS'!$O$5:$O$500,"&lt;=102599",'LANÇAMENTOS DIÁRIOS'!$P$5:$P$500,"&gt;=102500")&gt;0,"X","")</f>
      </c>
      <c r="W72" s="56" t="str">
        <f>IF(COUNTIFS('LANÇAMENTOS DIÁRIOS'!$G$5:$G$500,"D",'LANÇAMENTOS DIÁRIOS'!$C$5:$C$500,$A72,'LANÇAMENTOS DIÁRIOS'!$O$5:$O$500,"&lt;=102699",'LANÇAMENTOS DIÁRIOS'!$P$5:$P$500,"&gt;=102600")&gt;0,"X","")</f>
      </c>
      <c r="X72" s="56" t="str">
        <f>IF(COUNTIFS('LANÇAMENTOS DIÁRIOS'!$G$5:$G$500,"D",'LANÇAMENTOS DIÁRIOS'!$C$5:$C$500,$A72,'LANÇAMENTOS DIÁRIOS'!$O$5:$O$500,"&lt;=102799",'LANÇAMENTOS DIÁRIOS'!$P$5:$P$500,"&gt;=102700")&gt;0,"X","")</f>
      </c>
      <c r="Y72" s="56" t="str">
        <f>IF(COUNTIFS('LANÇAMENTOS DIÁRIOS'!$G$5:$G$500,"D",'LANÇAMENTOS DIÁRIOS'!$C$5:$C$500,$A72,'LANÇAMENTOS DIÁRIOS'!$O$5:$O$500,"&lt;=102899",'LANÇAMENTOS DIÁRIOS'!$P$5:$P$500,"&gt;=102800")&gt;0,"X","")</f>
      </c>
      <c r="Z72" s="56" t="str">
        <f>IF(COUNTIFS('LANÇAMENTOS DIÁRIOS'!$G$5:$G$500,"D",'LANÇAMENTOS DIÁRIOS'!$C$5:$C$500,$A72,'LANÇAMENTOS DIÁRIOS'!$O$5:$O$500,"&lt;=102999",'LANÇAMENTOS DIÁRIOS'!$P$5:$P$500,"&gt;=102900")&gt;0,"X","")</f>
      </c>
      <c r="AA72" s="56" t="str">
        <f>IF(COUNTIFS('LANÇAMENTOS DIÁRIOS'!$G$5:$G$500,"D",'LANÇAMENTOS DIÁRIOS'!$C$5:$C$500,$A72,'LANÇAMENTOS DIÁRIOS'!$O$5:$O$500,"&lt;=103099",'LANÇAMENTOS DIÁRIOS'!$P$5:$P$500,"&gt;=103000")&gt;0,"X","")</f>
      </c>
      <c r="AB72" s="56" t="str">
        <f>IF(COUNTIFS('LANÇAMENTOS DIÁRIOS'!$G$5:$G$500,"D",'LANÇAMENTOS DIÁRIOS'!$C$5:$C$500,$A72,'LANÇAMENTOS DIÁRIOS'!$O$5:$O$500,"&lt;=103199",'LANÇAMENTOS DIÁRIOS'!$P$5:$P$500,"&gt;=103100")&gt;0,"X","")</f>
      </c>
      <c r="AC72" s="56" t="str">
        <f>IF(COUNTIFS('LANÇAMENTOS DIÁRIOS'!$G$5:$G$500,"D",'LANÇAMENTOS DIÁRIOS'!$C$5:$C$500,$A72,'LANÇAMENTOS DIÁRIOS'!$O$5:$O$500,"&lt;=103299",'LANÇAMENTOS DIÁRIOS'!$P$5:$P$500,"&gt;=103200")&gt;0,"X","")</f>
      </c>
      <c r="AD72" s="56" t="str">
        <f>IF(COUNTIFS('LANÇAMENTOS DIÁRIOS'!$G$5:$G$500,"D",'LANÇAMENTOS DIÁRIOS'!$C$5:$C$500,$A72,'LANÇAMENTOS DIÁRIOS'!$O$5:$O$500,"&lt;=103399",'LANÇAMENTOS DIÁRIOS'!$P$5:$P$500,"&gt;=103300")&gt;0,"X","")</f>
      </c>
      <c r="AE72" s="56" t="str">
        <f>IF(COUNTIFS('LANÇAMENTOS DIÁRIOS'!$G$5:$G$500,"D",'LANÇAMENTOS DIÁRIOS'!$C$5:$C$500,$A72,'LANÇAMENTOS DIÁRIOS'!$O$5:$O$500,"&lt;=103499",'LANÇAMENTOS DIÁRIOS'!$P$5:$P$500,"&gt;=103400")&gt;0,"X","")</f>
      </c>
      <c r="AF72" s="56" t="str">
        <f>IF(COUNTIFS('LANÇAMENTOS DIÁRIOS'!$G$5:$G$500,"D",'LANÇAMENTOS DIÁRIOS'!$C$5:$C$500,$A72,'LANÇAMENTOS DIÁRIOS'!$O$5:$O$500,"&lt;=103599",'LANÇAMENTOS DIÁRIOS'!$P$5:$P$500,"&gt;=103500")&gt;0,"X","")</f>
      </c>
      <c r="AG72" s="56" t="str">
        <f>IF(COUNTIFS('LANÇAMENTOS DIÁRIOS'!$G$5:$G$500,"D",'LANÇAMENTOS DIÁRIOS'!$C$5:$C$500,$A72,'LANÇAMENTOS DIÁRIOS'!$O$5:$O$500,"&lt;=103699",'LANÇAMENTOS DIÁRIOS'!$P$5:$P$500,"&gt;=103600")&gt;0,"X","")</f>
      </c>
      <c r="AH72" s="56" t="str">
        <f>IF(COUNTIFS('LANÇAMENTOS DIÁRIOS'!$G$5:$G$500,"D",'LANÇAMENTOS DIÁRIOS'!$C$5:$C$500,$A72,'LANÇAMENTOS DIÁRIOS'!$O$5:$O$500,"&lt;=103799",'LANÇAMENTOS DIÁRIOS'!$P$5:$P$500,"&gt;=103700")&gt;0,"X","")</f>
      </c>
      <c r="AI72" s="56" t="str">
        <f>IF(COUNTIFS('LANÇAMENTOS DIÁRIOS'!$G$5:$G$500,"D",'LANÇAMENTOS DIÁRIOS'!$C$5:$C$500,$A72,'LANÇAMENTOS DIÁRIOS'!$O$5:$O$500,"&lt;=103899",'LANÇAMENTOS DIÁRIOS'!$P$5:$P$500,"&gt;=103800")&gt;0,"X","")</f>
      </c>
      <c r="AJ72" s="56" t="str">
        <f>IF(COUNTIFS('LANÇAMENTOS DIÁRIOS'!$G$5:$G$500,"D",'LANÇAMENTOS DIÁRIOS'!$C$5:$C$500,$A72,'LANÇAMENTOS DIÁRIOS'!$O$5:$O$500,"&lt;=103999",'LANÇAMENTOS DIÁRIOS'!$P$5:$P$500,"&gt;=103900")&gt;0,"X","")</f>
      </c>
      <c r="AK72" s="56" t="str">
        <f>IF(COUNTIFS('LANÇAMENTOS DIÁRIOS'!$G$5:$G$500,"D",'LANÇAMENTOS DIÁRIOS'!$C$5:$C$500,$A72,'LANÇAMENTOS DIÁRIOS'!$O$5:$O$500,"&lt;=104099",'LANÇAMENTOS DIÁRIOS'!$P$5:$P$500,"&gt;=104000")&gt;0,"X","")</f>
      </c>
      <c r="AL72" s="56" t="str">
        <f>IF(COUNTIFS('LANÇAMENTOS DIÁRIOS'!$G$5:$G$500,"D",'LANÇAMENTOS DIÁRIOS'!$C$5:$C$500,$A72,'LANÇAMENTOS DIÁRIOS'!$O$5:$O$500,"&lt;=104199",'LANÇAMENTOS DIÁRIOS'!$P$5:$P$500,"&gt;=104100")&gt;0,"X","")</f>
      </c>
      <c r="AM72" s="56" t="str">
        <f>IF(COUNTIFS('LANÇAMENTOS DIÁRIOS'!$G$5:$G$500,"D",'LANÇAMENTOS DIÁRIOS'!$C$5:$C$500,$A72,'LANÇAMENTOS DIÁRIOS'!$O$5:$O$500,"&lt;=104299",'LANÇAMENTOS DIÁRIOS'!$P$5:$P$500,"&gt;=104200")&gt;0,"X","")</f>
      </c>
      <c r="AN72" s="56" t="str">
        <f>IF(COUNTIFS('LANÇAMENTOS DIÁRIOS'!$G$5:$G$500,"D",'LANÇAMENTOS DIÁRIOS'!$C$5:$C$500,$A72,'LANÇAMENTOS DIÁRIOS'!$O$5:$O$500,"&lt;=104399",'LANÇAMENTOS DIÁRIOS'!$P$5:$P$500,"&gt;=104300")&gt;0,"X","")</f>
      </c>
      <c r="AO72" s="56" t="str">
        <f>IF(COUNTIFS('LANÇAMENTOS DIÁRIOS'!$G$5:$G$500,"D",'LANÇAMENTOS DIÁRIOS'!$C$5:$C$500,$A72,'LANÇAMENTOS DIÁRIOS'!$O$5:$O$500,"&lt;=104499",'LANÇAMENTOS DIÁRIOS'!$P$5:$P$500,"&gt;=104400")&gt;0,"X","")</f>
      </c>
      <c r="AP72" s="56" t="str">
        <f>IF(COUNTIFS('LANÇAMENTOS DIÁRIOS'!$G$5:$G$500,"D",'LANÇAMENTOS DIÁRIOS'!$C$5:$C$500,$A72,'LANÇAMENTOS DIÁRIOS'!$O$5:$O$500,"&lt;=104599",'LANÇAMENTOS DIÁRIOS'!$P$5:$P$500,"&gt;=104500")&gt;0,"X","")</f>
      </c>
      <c r="AQ72" s="56" t="str">
        <f>IF(COUNTIFS('LANÇAMENTOS DIÁRIOS'!$G$5:$G$500,"D",'LANÇAMENTOS DIÁRIOS'!$C$5:$C$500,$A72,'LANÇAMENTOS DIÁRIOS'!$O$5:$O$500,"&lt;=104699",'LANÇAMENTOS DIÁRIOS'!$P$5:$P$500,"&gt;=104600")&gt;0,"X","")</f>
      </c>
      <c r="AR72" s="56" t="str">
        <f>IF(COUNTIFS('LANÇAMENTOS DIÁRIOS'!$G$5:$G$500,"D",'LANÇAMENTOS DIÁRIOS'!$C$5:$C$500,$A72,'LANÇAMENTOS DIÁRIOS'!$O$5:$O$500,"&lt;=104799",'LANÇAMENTOS DIÁRIOS'!$P$5:$P$500,"&gt;=104700")&gt;0,"X","")</f>
      </c>
      <c r="AS72" s="56" t="str">
        <f>IF(COUNTIFS('LANÇAMENTOS DIÁRIOS'!$G$5:$G$500,"D",'LANÇAMENTOS DIÁRIOS'!$C$5:$C$500,$A72,'LANÇAMENTOS DIÁRIOS'!$O$5:$O$500,"&lt;=104899",'LANÇAMENTOS DIÁRIOS'!$P$5:$P$500,"&gt;=104800")&gt;0,"X","")</f>
      </c>
      <c r="AT72" s="56" t="str">
        <f>IF(COUNTIFS('LANÇAMENTOS DIÁRIOS'!$G$5:$G$500,"D",'LANÇAMENTOS DIÁRIOS'!$C$5:$C$500,$A72,'LANÇAMENTOS DIÁRIOS'!$O$5:$O$500,"&lt;=104999",'LANÇAMENTOS DIÁRIOS'!$P$5:$P$500,"&gt;=104900")&gt;0,"X","")</f>
      </c>
      <c r="AU72" s="56" t="str">
        <f>IF(COUNTIFS('LANÇAMENTOS DIÁRIOS'!$G$5:$G$500,"D",'LANÇAMENTOS DIÁRIOS'!$C$5:$C$500,$A72,'LANÇAMENTOS DIÁRIOS'!$O$5:$O$500,"&lt;=105099",'LANÇAMENTOS DIÁRIOS'!$P$5:$P$500,"&gt;=105000")&gt;0,"X","")</f>
      </c>
      <c r="AV72" s="56" t="str">
        <f>IF(COUNTIFS('LANÇAMENTOS DIÁRIOS'!$G$5:$G$500,"D",'LANÇAMENTOS DIÁRIOS'!$C$5:$C$500,$A72,'LANÇAMENTOS DIÁRIOS'!$O$5:$O$500,"&lt;=105199",'LANÇAMENTOS DIÁRIOS'!$P$5:$P$500,"&gt;=105100")&gt;0,"X","")</f>
      </c>
      <c r="AW72" s="56" t="str">
        <f>IF(COUNTIFS('LANÇAMENTOS DIÁRIOS'!$G$5:$G$500,"D",'LANÇAMENTOS DIÁRIOS'!$C$5:$C$500,$A72,'LANÇAMENTOS DIÁRIOS'!$O$5:$O$500,"&lt;=105299",'LANÇAMENTOS DIÁRIOS'!$P$5:$P$500,"&gt;=105200")&gt;0,"X","")</f>
      </c>
      <c r="AX72" s="56" t="str">
        <f>IF(COUNTIFS('LANÇAMENTOS DIÁRIOS'!$G$5:$G$500,"D",'LANÇAMENTOS DIÁRIOS'!$C$5:$C$500,$A72,'LANÇAMENTOS DIÁRIOS'!$O$5:$O$500,"&lt;=105399",'LANÇAMENTOS DIÁRIOS'!$P$5:$P$500,"&gt;=105300")&gt;0,"X","")</f>
      </c>
      <c r="AY72" s="56" t="str">
        <f>IF(COUNTIFS('LANÇAMENTOS DIÁRIOS'!$G$5:$G$500,"D",'LANÇAMENTOS DIÁRIOS'!$C$5:$C$500,$A72,'LANÇAMENTOS DIÁRIOS'!$O$5:$O$500,"&lt;=105499",'LANÇAMENTOS DIÁRIOS'!$P$5:$P$500,"&gt;=105400")&gt;0,"X","")</f>
      </c>
      <c r="AZ72" s="56" t="str">
        <f>IF(COUNTIFS('LANÇAMENTOS DIÁRIOS'!$G$5:$G$500,"D",'LANÇAMENTOS DIÁRIOS'!$C$5:$C$500,$A72,'LANÇAMENTOS DIÁRIOS'!$O$5:$O$500,"&lt;=105500",'LANÇAMENTOS DIÁRIOS'!$P$5:$P$500,"&gt;=105500")&gt;0,"X","")</f>
      </c>
    </row>
    <row r="73" ht="21" customHeight="1">
      <c r="A73" s="60" t="str">
        <v>Pavimentação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</row>
    <row r="74" ht="19" customHeight="1">
      <c r="A74" s="68" t="str">
        <v>Demolição do pavimento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</row>
    <row r="75">
      <c r="A75" s="51" t="str">
        <v>Demolição de pavimento, revestimento betuminoso</v>
      </c>
      <c r="B75" s="56" t="str">
        <f>IF(COUNTIFS('LANÇAMENTOS DIÁRIOS'!$G$5:$G$500,"D",'LANÇAMENTOS DIÁRIOS'!$C$5:$C$500,$A75,'LANÇAMENTOS DIÁRIOS'!$O$5:$O$500,"&lt;=100599",'LANÇAMENTOS DIÁRIOS'!$P$5:$P$500,"&gt;=100500")&gt;0,"X","")</f>
      </c>
      <c r="C75" s="56" t="str">
        <f>IF(COUNTIFS('LANÇAMENTOS DIÁRIOS'!$G$5:$G$500,"D",'LANÇAMENTOS DIÁRIOS'!$C$5:$C$500,$A75,'LANÇAMENTOS DIÁRIOS'!$O$5:$O$500,"&lt;=100699",'LANÇAMENTOS DIÁRIOS'!$P$5:$P$500,"&gt;=100600")&gt;0,"X","")</f>
      </c>
      <c r="D75" s="56" t="str">
        <f>IF(COUNTIFS('LANÇAMENTOS DIÁRIOS'!$G$5:$G$500,"D",'LANÇAMENTOS DIÁRIOS'!$C$5:$C$500,$A75,'LANÇAMENTOS DIÁRIOS'!$O$5:$O$500,"&lt;=100799",'LANÇAMENTOS DIÁRIOS'!$P$5:$P$500,"&gt;=100700")&gt;0,"X","")</f>
      </c>
      <c r="E75" s="56" t="str">
        <f>IF(COUNTIFS('LANÇAMENTOS DIÁRIOS'!$G$5:$G$500,"D",'LANÇAMENTOS DIÁRIOS'!$C$5:$C$500,$A75,'LANÇAMENTOS DIÁRIOS'!$O$5:$O$500,"&lt;=100899",'LANÇAMENTOS DIÁRIOS'!$P$5:$P$500,"&gt;=100800")&gt;0,"X","")</f>
      </c>
      <c r="F75" s="56" t="str">
        <f>IF(COUNTIFS('LANÇAMENTOS DIÁRIOS'!$G$5:$G$500,"D",'LANÇAMENTOS DIÁRIOS'!$C$5:$C$500,$A75,'LANÇAMENTOS DIÁRIOS'!$O$5:$O$500,"&lt;=100999",'LANÇAMENTOS DIÁRIOS'!$P$5:$P$500,"&gt;=100900")&gt;0,"X","")</f>
      </c>
      <c r="G75" s="56" t="str">
        <f>IF(COUNTIFS('LANÇAMENTOS DIÁRIOS'!$G$5:$G$500,"D",'LANÇAMENTOS DIÁRIOS'!$C$5:$C$500,$A75,'LANÇAMENTOS DIÁRIOS'!$O$5:$O$500,"&lt;=101099",'LANÇAMENTOS DIÁRIOS'!$P$5:$P$500,"&gt;=101000")&gt;0,"X","")</f>
      </c>
      <c r="H75" s="56" t="str">
        <f>IF(COUNTIFS('LANÇAMENTOS DIÁRIOS'!$G$5:$G$500,"D",'LANÇAMENTOS DIÁRIOS'!$C$5:$C$500,$A75,'LANÇAMENTOS DIÁRIOS'!$O$5:$O$500,"&lt;=101199",'LANÇAMENTOS DIÁRIOS'!$P$5:$P$500,"&gt;=101100")&gt;0,"X","")</f>
      </c>
      <c r="I75" s="56" t="str">
        <f>IF(COUNTIFS('LANÇAMENTOS DIÁRIOS'!$G$5:$G$500,"D",'LANÇAMENTOS DIÁRIOS'!$C$5:$C$500,$A75,'LANÇAMENTOS DIÁRIOS'!$O$5:$O$500,"&lt;=101299",'LANÇAMENTOS DIÁRIOS'!$P$5:$P$500,"&gt;=101200")&gt;0,"X","")</f>
      </c>
      <c r="J75" s="56" t="str">
        <f>IF(COUNTIFS('LANÇAMENTOS DIÁRIOS'!$G$5:$G$500,"D",'LANÇAMENTOS DIÁRIOS'!$C$5:$C$500,$A75,'LANÇAMENTOS DIÁRIOS'!$O$5:$O$500,"&lt;=101399",'LANÇAMENTOS DIÁRIOS'!$P$5:$P$500,"&gt;=101300")&gt;0,"X","")</f>
      </c>
      <c r="K75" s="56" t="str">
        <f>IF(COUNTIFS('LANÇAMENTOS DIÁRIOS'!$G$5:$G$500,"D",'LANÇAMENTOS DIÁRIOS'!$C$5:$C$500,$A75,'LANÇAMENTOS DIÁRIOS'!$O$5:$O$500,"&lt;=101499",'LANÇAMENTOS DIÁRIOS'!$P$5:$P$500,"&gt;=101400")&gt;0,"X","")</f>
      </c>
      <c r="L75" s="56" t="str">
        <f>IF(COUNTIFS('LANÇAMENTOS DIÁRIOS'!$G$5:$G$500,"D",'LANÇAMENTOS DIÁRIOS'!$C$5:$C$500,$A75,'LANÇAMENTOS DIÁRIOS'!$O$5:$O$500,"&lt;=101599",'LANÇAMENTOS DIÁRIOS'!$P$5:$P$500,"&gt;=101500")&gt;0,"X","")</f>
      </c>
      <c r="M75" s="56" t="str">
        <f>IF(COUNTIFS('LANÇAMENTOS DIÁRIOS'!$G$5:$G$500,"D",'LANÇAMENTOS DIÁRIOS'!$C$5:$C$500,$A75,'LANÇAMENTOS DIÁRIOS'!$O$5:$O$500,"&lt;=101699",'LANÇAMENTOS DIÁRIOS'!$P$5:$P$500,"&gt;=101600")&gt;0,"X","")</f>
      </c>
      <c r="N75" s="56" t="str">
        <f>IF(COUNTIFS('LANÇAMENTOS DIÁRIOS'!$G$5:$G$500,"D",'LANÇAMENTOS DIÁRIOS'!$C$5:$C$500,$A75,'LANÇAMENTOS DIÁRIOS'!$O$5:$O$500,"&lt;=101799",'LANÇAMENTOS DIÁRIOS'!$P$5:$P$500,"&gt;=101700")&gt;0,"X","")</f>
      </c>
      <c r="O75" s="56" t="str">
        <f>IF(COUNTIFS('LANÇAMENTOS DIÁRIOS'!$G$5:$G$500,"D",'LANÇAMENTOS DIÁRIOS'!$C$5:$C$500,$A75,'LANÇAMENTOS DIÁRIOS'!$O$5:$O$500,"&lt;=101899",'LANÇAMENTOS DIÁRIOS'!$P$5:$P$500,"&gt;=101800")&gt;0,"X","")</f>
      </c>
      <c r="P75" s="56" t="str">
        <f>IF(COUNTIFS('LANÇAMENTOS DIÁRIOS'!$G$5:$G$500,"D",'LANÇAMENTOS DIÁRIOS'!$C$5:$C$500,$A75,'LANÇAMENTOS DIÁRIOS'!$O$5:$O$500,"&lt;=101999",'LANÇAMENTOS DIÁRIOS'!$P$5:$P$500,"&gt;=101900")&gt;0,"X","")</f>
      </c>
      <c r="Q75" s="56" t="str">
        <f>IF(COUNTIFS('LANÇAMENTOS DIÁRIOS'!$G$5:$G$500,"D",'LANÇAMENTOS DIÁRIOS'!$C$5:$C$500,$A75,'LANÇAMENTOS DIÁRIOS'!$O$5:$O$500,"&lt;=102099",'LANÇAMENTOS DIÁRIOS'!$P$5:$P$500,"&gt;=102000")&gt;0,"X","")</f>
      </c>
      <c r="R75" s="56" t="str">
        <f>IF(COUNTIFS('LANÇAMENTOS DIÁRIOS'!$G$5:$G$500,"D",'LANÇAMENTOS DIÁRIOS'!$C$5:$C$500,$A75,'LANÇAMENTOS DIÁRIOS'!$O$5:$O$500,"&lt;=102199",'LANÇAMENTOS DIÁRIOS'!$P$5:$P$500,"&gt;=102100")&gt;0,"X","")</f>
      </c>
      <c r="S75" s="56" t="str">
        <f>IF(COUNTIFS('LANÇAMENTOS DIÁRIOS'!$G$5:$G$500,"D",'LANÇAMENTOS DIÁRIOS'!$C$5:$C$500,$A75,'LANÇAMENTOS DIÁRIOS'!$O$5:$O$500,"&lt;=102299",'LANÇAMENTOS DIÁRIOS'!$P$5:$P$500,"&gt;=102200")&gt;0,"X","")</f>
      </c>
      <c r="T75" s="56" t="str">
        <f>IF(COUNTIFS('LANÇAMENTOS DIÁRIOS'!$G$5:$G$500,"D",'LANÇAMENTOS DIÁRIOS'!$C$5:$C$500,$A75,'LANÇAMENTOS DIÁRIOS'!$O$5:$O$500,"&lt;=102399",'LANÇAMENTOS DIÁRIOS'!$P$5:$P$500,"&gt;=102300")&gt;0,"X","")</f>
      </c>
      <c r="U75" s="56" t="str">
        <f>IF(COUNTIFS('LANÇAMENTOS DIÁRIOS'!$G$5:$G$500,"D",'LANÇAMENTOS DIÁRIOS'!$C$5:$C$500,$A75,'LANÇAMENTOS DIÁRIOS'!$O$5:$O$500,"&lt;=102499",'LANÇAMENTOS DIÁRIOS'!$P$5:$P$500,"&gt;=102400")&gt;0,"X","")</f>
      </c>
      <c r="V75" s="56" t="str">
        <f>IF(COUNTIFS('LANÇAMENTOS DIÁRIOS'!$G$5:$G$500,"D",'LANÇAMENTOS DIÁRIOS'!$C$5:$C$500,$A75,'LANÇAMENTOS DIÁRIOS'!$O$5:$O$500,"&lt;=102599",'LANÇAMENTOS DIÁRIOS'!$P$5:$P$500,"&gt;=102500")&gt;0,"X","")</f>
      </c>
      <c r="W75" s="56" t="str">
        <f>IF(COUNTIFS('LANÇAMENTOS DIÁRIOS'!$G$5:$G$500,"D",'LANÇAMENTOS DIÁRIOS'!$C$5:$C$500,$A75,'LANÇAMENTOS DIÁRIOS'!$O$5:$O$500,"&lt;=102699",'LANÇAMENTOS DIÁRIOS'!$P$5:$P$500,"&gt;=102600")&gt;0,"X","")</f>
      </c>
      <c r="X75" s="56" t="str">
        <f>IF(COUNTIFS('LANÇAMENTOS DIÁRIOS'!$G$5:$G$500,"D",'LANÇAMENTOS DIÁRIOS'!$C$5:$C$500,$A75,'LANÇAMENTOS DIÁRIOS'!$O$5:$O$500,"&lt;=102799",'LANÇAMENTOS DIÁRIOS'!$P$5:$P$500,"&gt;=102700")&gt;0,"X","")</f>
      </c>
      <c r="Y75" s="56" t="str">
        <f>IF(COUNTIFS('LANÇAMENTOS DIÁRIOS'!$G$5:$G$500,"D",'LANÇAMENTOS DIÁRIOS'!$C$5:$C$500,$A75,'LANÇAMENTOS DIÁRIOS'!$O$5:$O$500,"&lt;=102899",'LANÇAMENTOS DIÁRIOS'!$P$5:$P$500,"&gt;=102800")&gt;0,"X","")</f>
      </c>
      <c r="Z75" s="56" t="str">
        <f>IF(COUNTIFS('LANÇAMENTOS DIÁRIOS'!$G$5:$G$500,"D",'LANÇAMENTOS DIÁRIOS'!$C$5:$C$500,$A75,'LANÇAMENTOS DIÁRIOS'!$O$5:$O$500,"&lt;=102999",'LANÇAMENTOS DIÁRIOS'!$P$5:$P$500,"&gt;=102900")&gt;0,"X","")</f>
      </c>
      <c r="AA75" s="56" t="str">
        <f>IF(COUNTIFS('LANÇAMENTOS DIÁRIOS'!$G$5:$G$500,"D",'LANÇAMENTOS DIÁRIOS'!$C$5:$C$500,$A75,'LANÇAMENTOS DIÁRIOS'!$O$5:$O$500,"&lt;=103099",'LANÇAMENTOS DIÁRIOS'!$P$5:$P$500,"&gt;=103000")&gt;0,"X","")</f>
      </c>
      <c r="AB75" s="56" t="str">
        <f>IF(COUNTIFS('LANÇAMENTOS DIÁRIOS'!$G$5:$G$500,"D",'LANÇAMENTOS DIÁRIOS'!$C$5:$C$500,$A75,'LANÇAMENTOS DIÁRIOS'!$O$5:$O$500,"&lt;=103199",'LANÇAMENTOS DIÁRIOS'!$P$5:$P$500,"&gt;=103100")&gt;0,"X","")</f>
      </c>
      <c r="AC75" s="56" t="str">
        <f>IF(COUNTIFS('LANÇAMENTOS DIÁRIOS'!$G$5:$G$500,"D",'LANÇAMENTOS DIÁRIOS'!$C$5:$C$500,$A75,'LANÇAMENTOS DIÁRIOS'!$O$5:$O$500,"&lt;=103299",'LANÇAMENTOS DIÁRIOS'!$P$5:$P$500,"&gt;=103200")&gt;0,"X","")</f>
      </c>
      <c r="AD75" s="56" t="str">
        <f>IF(COUNTIFS('LANÇAMENTOS DIÁRIOS'!$G$5:$G$500,"D",'LANÇAMENTOS DIÁRIOS'!$C$5:$C$500,$A75,'LANÇAMENTOS DIÁRIOS'!$O$5:$O$500,"&lt;=103399",'LANÇAMENTOS DIÁRIOS'!$P$5:$P$500,"&gt;=103300")&gt;0,"X","")</f>
      </c>
      <c r="AE75" s="56" t="str">
        <f>IF(COUNTIFS('LANÇAMENTOS DIÁRIOS'!$G$5:$G$500,"D",'LANÇAMENTOS DIÁRIOS'!$C$5:$C$500,$A75,'LANÇAMENTOS DIÁRIOS'!$O$5:$O$500,"&lt;=103499",'LANÇAMENTOS DIÁRIOS'!$P$5:$P$500,"&gt;=103400")&gt;0,"X","")</f>
      </c>
      <c r="AF75" s="56" t="str">
        <f>IF(COUNTIFS('LANÇAMENTOS DIÁRIOS'!$G$5:$G$500,"D",'LANÇAMENTOS DIÁRIOS'!$C$5:$C$500,$A75,'LANÇAMENTOS DIÁRIOS'!$O$5:$O$500,"&lt;=103599",'LANÇAMENTOS DIÁRIOS'!$P$5:$P$500,"&gt;=103500")&gt;0,"X","")</f>
      </c>
      <c r="AG75" s="56" t="str">
        <f>IF(COUNTIFS('LANÇAMENTOS DIÁRIOS'!$G$5:$G$500,"D",'LANÇAMENTOS DIÁRIOS'!$C$5:$C$500,$A75,'LANÇAMENTOS DIÁRIOS'!$O$5:$O$500,"&lt;=103699",'LANÇAMENTOS DIÁRIOS'!$P$5:$P$500,"&gt;=103600")&gt;0,"X","")</f>
      </c>
      <c r="AH75" s="56" t="str">
        <f>IF(COUNTIFS('LANÇAMENTOS DIÁRIOS'!$G$5:$G$500,"D",'LANÇAMENTOS DIÁRIOS'!$C$5:$C$500,$A75,'LANÇAMENTOS DIÁRIOS'!$O$5:$O$500,"&lt;=103799",'LANÇAMENTOS DIÁRIOS'!$P$5:$P$500,"&gt;=103700")&gt;0,"X","")</f>
      </c>
      <c r="AI75" s="56" t="str">
        <f>IF(COUNTIFS('LANÇAMENTOS DIÁRIOS'!$G$5:$G$500,"D",'LANÇAMENTOS DIÁRIOS'!$C$5:$C$500,$A75,'LANÇAMENTOS DIÁRIOS'!$O$5:$O$500,"&lt;=103899",'LANÇAMENTOS DIÁRIOS'!$P$5:$P$500,"&gt;=103800")&gt;0,"X","")</f>
      </c>
      <c r="AJ75" s="56" t="str">
        <f>IF(COUNTIFS('LANÇAMENTOS DIÁRIOS'!$G$5:$G$500,"D",'LANÇAMENTOS DIÁRIOS'!$C$5:$C$500,$A75,'LANÇAMENTOS DIÁRIOS'!$O$5:$O$500,"&lt;=103999",'LANÇAMENTOS DIÁRIOS'!$P$5:$P$500,"&gt;=103900")&gt;0,"X","")</f>
      </c>
      <c r="AK75" s="56" t="str">
        <f>IF(COUNTIFS('LANÇAMENTOS DIÁRIOS'!$G$5:$G$500,"D",'LANÇAMENTOS DIÁRIOS'!$C$5:$C$500,$A75,'LANÇAMENTOS DIÁRIOS'!$O$5:$O$500,"&lt;=104099",'LANÇAMENTOS DIÁRIOS'!$P$5:$P$500,"&gt;=104000")&gt;0,"X","")</f>
      </c>
      <c r="AL75" s="56" t="str">
        <f>IF(COUNTIFS('LANÇAMENTOS DIÁRIOS'!$G$5:$G$500,"D",'LANÇAMENTOS DIÁRIOS'!$C$5:$C$500,$A75,'LANÇAMENTOS DIÁRIOS'!$O$5:$O$500,"&lt;=104199",'LANÇAMENTOS DIÁRIOS'!$P$5:$P$500,"&gt;=104100")&gt;0,"X","")</f>
      </c>
      <c r="AM75" s="56" t="str">
        <f>IF(COUNTIFS('LANÇAMENTOS DIÁRIOS'!$G$5:$G$500,"D",'LANÇAMENTOS DIÁRIOS'!$C$5:$C$500,$A75,'LANÇAMENTOS DIÁRIOS'!$O$5:$O$500,"&lt;=104299",'LANÇAMENTOS DIÁRIOS'!$P$5:$P$500,"&gt;=104200")&gt;0,"X","")</f>
      </c>
      <c r="AN75" s="56" t="str">
        <f>IF(COUNTIFS('LANÇAMENTOS DIÁRIOS'!$G$5:$G$500,"D",'LANÇAMENTOS DIÁRIOS'!$C$5:$C$500,$A75,'LANÇAMENTOS DIÁRIOS'!$O$5:$O$500,"&lt;=104399",'LANÇAMENTOS DIÁRIOS'!$P$5:$P$500,"&gt;=104300")&gt;0,"X","")</f>
      </c>
      <c r="AO75" s="56" t="str">
        <f>IF(COUNTIFS('LANÇAMENTOS DIÁRIOS'!$G$5:$G$500,"D",'LANÇAMENTOS DIÁRIOS'!$C$5:$C$500,$A75,'LANÇAMENTOS DIÁRIOS'!$O$5:$O$500,"&lt;=104499",'LANÇAMENTOS DIÁRIOS'!$P$5:$P$500,"&gt;=104400")&gt;0,"X","")</f>
      </c>
      <c r="AP75" s="56" t="str">
        <f>IF(COUNTIFS('LANÇAMENTOS DIÁRIOS'!$G$5:$G$500,"D",'LANÇAMENTOS DIÁRIOS'!$C$5:$C$500,$A75,'LANÇAMENTOS DIÁRIOS'!$O$5:$O$500,"&lt;=104599",'LANÇAMENTOS DIÁRIOS'!$P$5:$P$500,"&gt;=104500")&gt;0,"X","")</f>
      </c>
      <c r="AQ75" s="56" t="str">
        <f>IF(COUNTIFS('LANÇAMENTOS DIÁRIOS'!$G$5:$G$500,"D",'LANÇAMENTOS DIÁRIOS'!$C$5:$C$500,$A75,'LANÇAMENTOS DIÁRIOS'!$O$5:$O$500,"&lt;=104699",'LANÇAMENTOS DIÁRIOS'!$P$5:$P$500,"&gt;=104600")&gt;0,"X","")</f>
      </c>
      <c r="AR75" s="56" t="str">
        <f>IF(COUNTIFS('LANÇAMENTOS DIÁRIOS'!$G$5:$G$500,"D",'LANÇAMENTOS DIÁRIOS'!$C$5:$C$500,$A75,'LANÇAMENTOS DIÁRIOS'!$O$5:$O$500,"&lt;=104799",'LANÇAMENTOS DIÁRIOS'!$P$5:$P$500,"&gt;=104700")&gt;0,"X","")</f>
      </c>
      <c r="AS75" s="56" t="str">
        <f>IF(COUNTIFS('LANÇAMENTOS DIÁRIOS'!$G$5:$G$500,"D",'LANÇAMENTOS DIÁRIOS'!$C$5:$C$500,$A75,'LANÇAMENTOS DIÁRIOS'!$O$5:$O$500,"&lt;=104899",'LANÇAMENTOS DIÁRIOS'!$P$5:$P$500,"&gt;=104800")&gt;0,"X","")</f>
      </c>
      <c r="AT75" s="56" t="str">
        <f>IF(COUNTIFS('LANÇAMENTOS DIÁRIOS'!$G$5:$G$500,"D",'LANÇAMENTOS DIÁRIOS'!$C$5:$C$500,$A75,'LANÇAMENTOS DIÁRIOS'!$O$5:$O$500,"&lt;=104999",'LANÇAMENTOS DIÁRIOS'!$P$5:$P$500,"&gt;=104900")&gt;0,"X","")</f>
      </c>
      <c r="AU75" s="56" t="str">
        <f>IF(COUNTIFS('LANÇAMENTOS DIÁRIOS'!$G$5:$G$500,"D",'LANÇAMENTOS DIÁRIOS'!$C$5:$C$500,$A75,'LANÇAMENTOS DIÁRIOS'!$O$5:$O$500,"&lt;=105099",'LANÇAMENTOS DIÁRIOS'!$P$5:$P$500,"&gt;=105000")&gt;0,"X","")</f>
      </c>
      <c r="AV75" s="56" t="str">
        <f>IF(COUNTIFS('LANÇAMENTOS DIÁRIOS'!$G$5:$G$500,"D",'LANÇAMENTOS DIÁRIOS'!$C$5:$C$500,$A75,'LANÇAMENTOS DIÁRIOS'!$O$5:$O$500,"&lt;=105199",'LANÇAMENTOS DIÁRIOS'!$P$5:$P$500,"&gt;=105100")&gt;0,"X","")</f>
      </c>
      <c r="AW75" s="56" t="str">
        <f>IF(COUNTIFS('LANÇAMENTOS DIÁRIOS'!$G$5:$G$500,"D",'LANÇAMENTOS DIÁRIOS'!$C$5:$C$500,$A75,'LANÇAMENTOS DIÁRIOS'!$O$5:$O$500,"&lt;=105299",'LANÇAMENTOS DIÁRIOS'!$P$5:$P$500,"&gt;=105200")&gt;0,"X","")</f>
      </c>
      <c r="AX75" s="56" t="str">
        <f>IF(COUNTIFS('LANÇAMENTOS DIÁRIOS'!$G$5:$G$500,"D",'LANÇAMENTOS DIÁRIOS'!$C$5:$C$500,$A75,'LANÇAMENTOS DIÁRIOS'!$O$5:$O$500,"&lt;=105399",'LANÇAMENTOS DIÁRIOS'!$P$5:$P$500,"&gt;=105300")&gt;0,"X","")</f>
      </c>
      <c r="AY75" s="56" t="str">
        <f>IF(COUNTIFS('LANÇAMENTOS DIÁRIOS'!$G$5:$G$500,"D",'LANÇAMENTOS DIÁRIOS'!$C$5:$C$500,$A75,'LANÇAMENTOS DIÁRIOS'!$O$5:$O$500,"&lt;=105499",'LANÇAMENTOS DIÁRIOS'!$P$5:$P$500,"&gt;=105400")&gt;0,"X","")</f>
      </c>
      <c r="AZ75" s="56" t="str">
        <f>IF(COUNTIFS('LANÇAMENTOS DIÁRIOS'!$G$5:$G$500,"D",'LANÇAMENTOS DIÁRIOS'!$C$5:$C$500,$A75,'LANÇAMENTOS DIÁRIOS'!$O$5:$O$500,"&lt;=105500",'LANÇAMENTOS DIÁRIOS'!$P$5:$P$500,"&gt;=105500")&gt;0,"X","")</f>
      </c>
    </row>
    <row r="76">
      <c r="A76" s="51" t="str">
        <v>Demolição de pavimento, camada granular</v>
      </c>
      <c r="B76" s="56" t="str">
        <f>IF(COUNTIFS('LANÇAMENTOS DIÁRIOS'!$G$5:$G$500,"D",'LANÇAMENTOS DIÁRIOS'!$C$5:$C$500,$A76,'LANÇAMENTOS DIÁRIOS'!$O$5:$O$500,"&lt;=100599",'LANÇAMENTOS DIÁRIOS'!$P$5:$P$500,"&gt;=100500")&gt;0,"X","")</f>
      </c>
      <c r="C76" s="56" t="str">
        <f>IF(COUNTIFS('LANÇAMENTOS DIÁRIOS'!$G$5:$G$500,"D",'LANÇAMENTOS DIÁRIOS'!$C$5:$C$500,$A76,'LANÇAMENTOS DIÁRIOS'!$O$5:$O$500,"&lt;=100699",'LANÇAMENTOS DIÁRIOS'!$P$5:$P$500,"&gt;=100600")&gt;0,"X","")</f>
      </c>
      <c r="D76" s="56" t="str">
        <f>IF(COUNTIFS('LANÇAMENTOS DIÁRIOS'!$G$5:$G$500,"D",'LANÇAMENTOS DIÁRIOS'!$C$5:$C$500,$A76,'LANÇAMENTOS DIÁRIOS'!$O$5:$O$500,"&lt;=100799",'LANÇAMENTOS DIÁRIOS'!$P$5:$P$500,"&gt;=100700")&gt;0,"X","")</f>
      </c>
      <c r="E76" s="56" t="str">
        <f>IF(COUNTIFS('LANÇAMENTOS DIÁRIOS'!$G$5:$G$500,"D",'LANÇAMENTOS DIÁRIOS'!$C$5:$C$500,$A76,'LANÇAMENTOS DIÁRIOS'!$O$5:$O$500,"&lt;=100899",'LANÇAMENTOS DIÁRIOS'!$P$5:$P$500,"&gt;=100800")&gt;0,"X","")</f>
      </c>
      <c r="F76" s="56" t="str">
        <f>IF(COUNTIFS('LANÇAMENTOS DIÁRIOS'!$G$5:$G$500,"D",'LANÇAMENTOS DIÁRIOS'!$C$5:$C$500,$A76,'LANÇAMENTOS DIÁRIOS'!$O$5:$O$500,"&lt;=100999",'LANÇAMENTOS DIÁRIOS'!$P$5:$P$500,"&gt;=100900")&gt;0,"X","")</f>
      </c>
      <c r="G76" s="56" t="str">
        <f>IF(COUNTIFS('LANÇAMENTOS DIÁRIOS'!$G$5:$G$500,"D",'LANÇAMENTOS DIÁRIOS'!$C$5:$C$500,$A76,'LANÇAMENTOS DIÁRIOS'!$O$5:$O$500,"&lt;=101099",'LANÇAMENTOS DIÁRIOS'!$P$5:$P$500,"&gt;=101000")&gt;0,"X","")</f>
      </c>
      <c r="H76" s="56" t="str">
        <f>IF(COUNTIFS('LANÇAMENTOS DIÁRIOS'!$G$5:$G$500,"D",'LANÇAMENTOS DIÁRIOS'!$C$5:$C$500,$A76,'LANÇAMENTOS DIÁRIOS'!$O$5:$O$500,"&lt;=101199",'LANÇAMENTOS DIÁRIOS'!$P$5:$P$500,"&gt;=101100")&gt;0,"X","")</f>
      </c>
      <c r="I76" s="56" t="str">
        <f>IF(COUNTIFS('LANÇAMENTOS DIÁRIOS'!$G$5:$G$500,"D",'LANÇAMENTOS DIÁRIOS'!$C$5:$C$500,$A76,'LANÇAMENTOS DIÁRIOS'!$O$5:$O$500,"&lt;=101299",'LANÇAMENTOS DIÁRIOS'!$P$5:$P$500,"&gt;=101200")&gt;0,"X","")</f>
      </c>
      <c r="J76" s="56" t="str">
        <f>IF(COUNTIFS('LANÇAMENTOS DIÁRIOS'!$G$5:$G$500,"D",'LANÇAMENTOS DIÁRIOS'!$C$5:$C$500,$A76,'LANÇAMENTOS DIÁRIOS'!$O$5:$O$500,"&lt;=101399",'LANÇAMENTOS DIÁRIOS'!$P$5:$P$500,"&gt;=101300")&gt;0,"X","")</f>
      </c>
      <c r="K76" s="56" t="str">
        <f>IF(COUNTIFS('LANÇAMENTOS DIÁRIOS'!$G$5:$G$500,"D",'LANÇAMENTOS DIÁRIOS'!$C$5:$C$500,$A76,'LANÇAMENTOS DIÁRIOS'!$O$5:$O$500,"&lt;=101499",'LANÇAMENTOS DIÁRIOS'!$P$5:$P$500,"&gt;=101400")&gt;0,"X","")</f>
      </c>
      <c r="L76" s="56" t="str">
        <f>IF(COUNTIFS('LANÇAMENTOS DIÁRIOS'!$G$5:$G$500,"D",'LANÇAMENTOS DIÁRIOS'!$C$5:$C$500,$A76,'LANÇAMENTOS DIÁRIOS'!$O$5:$O$500,"&lt;=101599",'LANÇAMENTOS DIÁRIOS'!$P$5:$P$500,"&gt;=101500")&gt;0,"X","")</f>
      </c>
      <c r="M76" s="56" t="str">
        <f>IF(COUNTIFS('LANÇAMENTOS DIÁRIOS'!$G$5:$G$500,"D",'LANÇAMENTOS DIÁRIOS'!$C$5:$C$500,$A76,'LANÇAMENTOS DIÁRIOS'!$O$5:$O$500,"&lt;=101699",'LANÇAMENTOS DIÁRIOS'!$P$5:$P$500,"&gt;=101600")&gt;0,"X","")</f>
      </c>
      <c r="N76" s="56" t="str">
        <f>IF(COUNTIFS('LANÇAMENTOS DIÁRIOS'!$G$5:$G$500,"D",'LANÇAMENTOS DIÁRIOS'!$C$5:$C$500,$A76,'LANÇAMENTOS DIÁRIOS'!$O$5:$O$500,"&lt;=101799",'LANÇAMENTOS DIÁRIOS'!$P$5:$P$500,"&gt;=101700")&gt;0,"X","")</f>
      </c>
      <c r="O76" s="56" t="str">
        <f>IF(COUNTIFS('LANÇAMENTOS DIÁRIOS'!$G$5:$G$500,"D",'LANÇAMENTOS DIÁRIOS'!$C$5:$C$500,$A76,'LANÇAMENTOS DIÁRIOS'!$O$5:$O$500,"&lt;=101899",'LANÇAMENTOS DIÁRIOS'!$P$5:$P$500,"&gt;=101800")&gt;0,"X","")</f>
      </c>
      <c r="P76" s="56" t="str">
        <f>IF(COUNTIFS('LANÇAMENTOS DIÁRIOS'!$G$5:$G$500,"D",'LANÇAMENTOS DIÁRIOS'!$C$5:$C$500,$A76,'LANÇAMENTOS DIÁRIOS'!$O$5:$O$500,"&lt;=101999",'LANÇAMENTOS DIÁRIOS'!$P$5:$P$500,"&gt;=101900")&gt;0,"X","")</f>
      </c>
      <c r="Q76" s="56" t="str">
        <f>IF(COUNTIFS('LANÇAMENTOS DIÁRIOS'!$G$5:$G$500,"D",'LANÇAMENTOS DIÁRIOS'!$C$5:$C$500,$A76,'LANÇAMENTOS DIÁRIOS'!$O$5:$O$500,"&lt;=102099",'LANÇAMENTOS DIÁRIOS'!$P$5:$P$500,"&gt;=102000")&gt;0,"X","")</f>
      </c>
      <c r="R76" s="56" t="str">
        <f>IF(COUNTIFS('LANÇAMENTOS DIÁRIOS'!$G$5:$G$500,"D",'LANÇAMENTOS DIÁRIOS'!$C$5:$C$500,$A76,'LANÇAMENTOS DIÁRIOS'!$O$5:$O$500,"&lt;=102199",'LANÇAMENTOS DIÁRIOS'!$P$5:$P$500,"&gt;=102100")&gt;0,"X","")</f>
      </c>
      <c r="S76" s="56" t="str">
        <f>IF(COUNTIFS('LANÇAMENTOS DIÁRIOS'!$G$5:$G$500,"D",'LANÇAMENTOS DIÁRIOS'!$C$5:$C$500,$A76,'LANÇAMENTOS DIÁRIOS'!$O$5:$O$500,"&lt;=102299",'LANÇAMENTOS DIÁRIOS'!$P$5:$P$500,"&gt;=102200")&gt;0,"X","")</f>
      </c>
      <c r="T76" s="56" t="str">
        <f>IF(COUNTIFS('LANÇAMENTOS DIÁRIOS'!$G$5:$G$500,"D",'LANÇAMENTOS DIÁRIOS'!$C$5:$C$500,$A76,'LANÇAMENTOS DIÁRIOS'!$O$5:$O$500,"&lt;=102399",'LANÇAMENTOS DIÁRIOS'!$P$5:$P$500,"&gt;=102300")&gt;0,"X","")</f>
      </c>
      <c r="U76" s="56" t="str">
        <f>IF(COUNTIFS('LANÇAMENTOS DIÁRIOS'!$G$5:$G$500,"D",'LANÇAMENTOS DIÁRIOS'!$C$5:$C$500,$A76,'LANÇAMENTOS DIÁRIOS'!$O$5:$O$500,"&lt;=102499",'LANÇAMENTOS DIÁRIOS'!$P$5:$P$500,"&gt;=102400")&gt;0,"X","")</f>
      </c>
      <c r="V76" s="56" t="str">
        <f>IF(COUNTIFS('LANÇAMENTOS DIÁRIOS'!$G$5:$G$500,"D",'LANÇAMENTOS DIÁRIOS'!$C$5:$C$500,$A76,'LANÇAMENTOS DIÁRIOS'!$O$5:$O$500,"&lt;=102599",'LANÇAMENTOS DIÁRIOS'!$P$5:$P$500,"&gt;=102500")&gt;0,"X","")</f>
      </c>
      <c r="W76" s="56" t="str">
        <f>IF(COUNTIFS('LANÇAMENTOS DIÁRIOS'!$G$5:$G$500,"D",'LANÇAMENTOS DIÁRIOS'!$C$5:$C$500,$A76,'LANÇAMENTOS DIÁRIOS'!$O$5:$O$500,"&lt;=102699",'LANÇAMENTOS DIÁRIOS'!$P$5:$P$500,"&gt;=102600")&gt;0,"X","")</f>
      </c>
      <c r="X76" s="56" t="str">
        <f>IF(COUNTIFS('LANÇAMENTOS DIÁRIOS'!$G$5:$G$500,"D",'LANÇAMENTOS DIÁRIOS'!$C$5:$C$500,$A76,'LANÇAMENTOS DIÁRIOS'!$O$5:$O$500,"&lt;=102799",'LANÇAMENTOS DIÁRIOS'!$P$5:$P$500,"&gt;=102700")&gt;0,"X","")</f>
      </c>
      <c r="Y76" s="56" t="str">
        <f>IF(COUNTIFS('LANÇAMENTOS DIÁRIOS'!$G$5:$G$500,"D",'LANÇAMENTOS DIÁRIOS'!$C$5:$C$500,$A76,'LANÇAMENTOS DIÁRIOS'!$O$5:$O$500,"&lt;=102899",'LANÇAMENTOS DIÁRIOS'!$P$5:$P$500,"&gt;=102800")&gt;0,"X","")</f>
      </c>
      <c r="Z76" s="56" t="str">
        <f>IF(COUNTIFS('LANÇAMENTOS DIÁRIOS'!$G$5:$G$500,"D",'LANÇAMENTOS DIÁRIOS'!$C$5:$C$500,$A76,'LANÇAMENTOS DIÁRIOS'!$O$5:$O$500,"&lt;=102999",'LANÇAMENTOS DIÁRIOS'!$P$5:$P$500,"&gt;=102900")&gt;0,"X","")</f>
      </c>
      <c r="AA76" s="56" t="str">
        <f>IF(COUNTIFS('LANÇAMENTOS DIÁRIOS'!$G$5:$G$500,"D",'LANÇAMENTOS DIÁRIOS'!$C$5:$C$500,$A76,'LANÇAMENTOS DIÁRIOS'!$O$5:$O$500,"&lt;=103099",'LANÇAMENTOS DIÁRIOS'!$P$5:$P$500,"&gt;=103000")&gt;0,"X","")</f>
      </c>
      <c r="AB76" s="56" t="str">
        <f>IF(COUNTIFS('LANÇAMENTOS DIÁRIOS'!$G$5:$G$500,"D",'LANÇAMENTOS DIÁRIOS'!$C$5:$C$500,$A76,'LANÇAMENTOS DIÁRIOS'!$O$5:$O$500,"&lt;=103199",'LANÇAMENTOS DIÁRIOS'!$P$5:$P$500,"&gt;=103100")&gt;0,"X","")</f>
      </c>
      <c r="AC76" s="56" t="str">
        <f>IF(COUNTIFS('LANÇAMENTOS DIÁRIOS'!$G$5:$G$500,"D",'LANÇAMENTOS DIÁRIOS'!$C$5:$C$500,$A76,'LANÇAMENTOS DIÁRIOS'!$O$5:$O$500,"&lt;=103299",'LANÇAMENTOS DIÁRIOS'!$P$5:$P$500,"&gt;=103200")&gt;0,"X","")</f>
      </c>
      <c r="AD76" s="56" t="str">
        <f>IF(COUNTIFS('LANÇAMENTOS DIÁRIOS'!$G$5:$G$500,"D",'LANÇAMENTOS DIÁRIOS'!$C$5:$C$500,$A76,'LANÇAMENTOS DIÁRIOS'!$O$5:$O$500,"&lt;=103399",'LANÇAMENTOS DIÁRIOS'!$P$5:$P$500,"&gt;=103300")&gt;0,"X","")</f>
      </c>
      <c r="AE76" s="56" t="str">
        <f>IF(COUNTIFS('LANÇAMENTOS DIÁRIOS'!$G$5:$G$500,"D",'LANÇAMENTOS DIÁRIOS'!$C$5:$C$500,$A76,'LANÇAMENTOS DIÁRIOS'!$O$5:$O$500,"&lt;=103499",'LANÇAMENTOS DIÁRIOS'!$P$5:$P$500,"&gt;=103400")&gt;0,"X","")</f>
      </c>
      <c r="AF76" s="56" t="str">
        <f>IF(COUNTIFS('LANÇAMENTOS DIÁRIOS'!$G$5:$G$500,"D",'LANÇAMENTOS DIÁRIOS'!$C$5:$C$500,$A76,'LANÇAMENTOS DIÁRIOS'!$O$5:$O$500,"&lt;=103599",'LANÇAMENTOS DIÁRIOS'!$P$5:$P$500,"&gt;=103500")&gt;0,"X","")</f>
      </c>
      <c r="AG76" s="56" t="str">
        <f>IF(COUNTIFS('LANÇAMENTOS DIÁRIOS'!$G$5:$G$500,"D",'LANÇAMENTOS DIÁRIOS'!$C$5:$C$500,$A76,'LANÇAMENTOS DIÁRIOS'!$O$5:$O$500,"&lt;=103699",'LANÇAMENTOS DIÁRIOS'!$P$5:$P$500,"&gt;=103600")&gt;0,"X","")</f>
      </c>
      <c r="AH76" s="56" t="str">
        <f>IF(COUNTIFS('LANÇAMENTOS DIÁRIOS'!$G$5:$G$500,"D",'LANÇAMENTOS DIÁRIOS'!$C$5:$C$500,$A76,'LANÇAMENTOS DIÁRIOS'!$O$5:$O$500,"&lt;=103799",'LANÇAMENTOS DIÁRIOS'!$P$5:$P$500,"&gt;=103700")&gt;0,"X","")</f>
      </c>
      <c r="AI76" s="56" t="str">
        <f>IF(COUNTIFS('LANÇAMENTOS DIÁRIOS'!$G$5:$G$500,"D",'LANÇAMENTOS DIÁRIOS'!$C$5:$C$500,$A76,'LANÇAMENTOS DIÁRIOS'!$O$5:$O$500,"&lt;=103899",'LANÇAMENTOS DIÁRIOS'!$P$5:$P$500,"&gt;=103800")&gt;0,"X","")</f>
      </c>
      <c r="AJ76" s="56" t="str">
        <f>IF(COUNTIFS('LANÇAMENTOS DIÁRIOS'!$G$5:$G$500,"D",'LANÇAMENTOS DIÁRIOS'!$C$5:$C$500,$A76,'LANÇAMENTOS DIÁRIOS'!$O$5:$O$500,"&lt;=103999",'LANÇAMENTOS DIÁRIOS'!$P$5:$P$500,"&gt;=103900")&gt;0,"X","")</f>
      </c>
      <c r="AK76" s="56" t="str">
        <f>IF(COUNTIFS('LANÇAMENTOS DIÁRIOS'!$G$5:$G$500,"D",'LANÇAMENTOS DIÁRIOS'!$C$5:$C$500,$A76,'LANÇAMENTOS DIÁRIOS'!$O$5:$O$500,"&lt;=104099",'LANÇAMENTOS DIÁRIOS'!$P$5:$P$500,"&gt;=104000")&gt;0,"X","")</f>
      </c>
      <c r="AL76" s="56" t="str">
        <f>IF(COUNTIFS('LANÇAMENTOS DIÁRIOS'!$G$5:$G$500,"D",'LANÇAMENTOS DIÁRIOS'!$C$5:$C$500,$A76,'LANÇAMENTOS DIÁRIOS'!$O$5:$O$500,"&lt;=104199",'LANÇAMENTOS DIÁRIOS'!$P$5:$P$500,"&gt;=104100")&gt;0,"X","")</f>
      </c>
      <c r="AM76" s="56" t="str">
        <f>IF(COUNTIFS('LANÇAMENTOS DIÁRIOS'!$G$5:$G$500,"D",'LANÇAMENTOS DIÁRIOS'!$C$5:$C$500,$A76,'LANÇAMENTOS DIÁRIOS'!$O$5:$O$500,"&lt;=104299",'LANÇAMENTOS DIÁRIOS'!$P$5:$P$500,"&gt;=104200")&gt;0,"X","")</f>
      </c>
      <c r="AN76" s="56" t="str">
        <f>IF(COUNTIFS('LANÇAMENTOS DIÁRIOS'!$G$5:$G$500,"D",'LANÇAMENTOS DIÁRIOS'!$C$5:$C$500,$A76,'LANÇAMENTOS DIÁRIOS'!$O$5:$O$500,"&lt;=104399",'LANÇAMENTOS DIÁRIOS'!$P$5:$P$500,"&gt;=104300")&gt;0,"X","")</f>
      </c>
      <c r="AO76" s="56" t="str">
        <f>IF(COUNTIFS('LANÇAMENTOS DIÁRIOS'!$G$5:$G$500,"D",'LANÇAMENTOS DIÁRIOS'!$C$5:$C$500,$A76,'LANÇAMENTOS DIÁRIOS'!$O$5:$O$500,"&lt;=104499",'LANÇAMENTOS DIÁRIOS'!$P$5:$P$500,"&gt;=104400")&gt;0,"X","")</f>
      </c>
      <c r="AP76" s="56" t="str">
        <f>IF(COUNTIFS('LANÇAMENTOS DIÁRIOS'!$G$5:$G$500,"D",'LANÇAMENTOS DIÁRIOS'!$C$5:$C$500,$A76,'LANÇAMENTOS DIÁRIOS'!$O$5:$O$500,"&lt;=104599",'LANÇAMENTOS DIÁRIOS'!$P$5:$P$500,"&gt;=104500")&gt;0,"X","")</f>
      </c>
      <c r="AQ76" s="56" t="str">
        <f>IF(COUNTIFS('LANÇAMENTOS DIÁRIOS'!$G$5:$G$500,"D",'LANÇAMENTOS DIÁRIOS'!$C$5:$C$500,$A76,'LANÇAMENTOS DIÁRIOS'!$O$5:$O$500,"&lt;=104699",'LANÇAMENTOS DIÁRIOS'!$P$5:$P$500,"&gt;=104600")&gt;0,"X","")</f>
      </c>
      <c r="AR76" s="56" t="str">
        <f>IF(COUNTIFS('LANÇAMENTOS DIÁRIOS'!$G$5:$G$500,"D",'LANÇAMENTOS DIÁRIOS'!$C$5:$C$500,$A76,'LANÇAMENTOS DIÁRIOS'!$O$5:$O$500,"&lt;=104799",'LANÇAMENTOS DIÁRIOS'!$P$5:$P$500,"&gt;=104700")&gt;0,"X","")</f>
      </c>
      <c r="AS76" s="56" t="str">
        <f>IF(COUNTIFS('LANÇAMENTOS DIÁRIOS'!$G$5:$G$500,"D",'LANÇAMENTOS DIÁRIOS'!$C$5:$C$500,$A76,'LANÇAMENTOS DIÁRIOS'!$O$5:$O$500,"&lt;=104899",'LANÇAMENTOS DIÁRIOS'!$P$5:$P$500,"&gt;=104800")&gt;0,"X","")</f>
      </c>
      <c r="AT76" s="56" t="str">
        <f>IF(COUNTIFS('LANÇAMENTOS DIÁRIOS'!$G$5:$G$500,"D",'LANÇAMENTOS DIÁRIOS'!$C$5:$C$500,$A76,'LANÇAMENTOS DIÁRIOS'!$O$5:$O$500,"&lt;=104999",'LANÇAMENTOS DIÁRIOS'!$P$5:$P$500,"&gt;=104900")&gt;0,"X","")</f>
      </c>
      <c r="AU76" s="56" t="str">
        <f>IF(COUNTIFS('LANÇAMENTOS DIÁRIOS'!$G$5:$G$500,"D",'LANÇAMENTOS DIÁRIOS'!$C$5:$C$500,$A76,'LANÇAMENTOS DIÁRIOS'!$O$5:$O$500,"&lt;=105099",'LANÇAMENTOS DIÁRIOS'!$P$5:$P$500,"&gt;=105000")&gt;0,"X","")</f>
      </c>
      <c r="AV76" s="56" t="str">
        <f>IF(COUNTIFS('LANÇAMENTOS DIÁRIOS'!$G$5:$G$500,"D",'LANÇAMENTOS DIÁRIOS'!$C$5:$C$500,$A76,'LANÇAMENTOS DIÁRIOS'!$O$5:$O$500,"&lt;=105199",'LANÇAMENTOS DIÁRIOS'!$P$5:$P$500,"&gt;=105100")&gt;0,"X","")</f>
      </c>
      <c r="AW76" s="56" t="str">
        <f>IF(COUNTIFS('LANÇAMENTOS DIÁRIOS'!$G$5:$G$500,"D",'LANÇAMENTOS DIÁRIOS'!$C$5:$C$500,$A76,'LANÇAMENTOS DIÁRIOS'!$O$5:$O$500,"&lt;=105299",'LANÇAMENTOS DIÁRIOS'!$P$5:$P$500,"&gt;=105200")&gt;0,"X","")</f>
      </c>
      <c r="AX76" s="56" t="str">
        <f>IF(COUNTIFS('LANÇAMENTOS DIÁRIOS'!$G$5:$G$500,"D",'LANÇAMENTOS DIÁRIOS'!$C$5:$C$500,$A76,'LANÇAMENTOS DIÁRIOS'!$O$5:$O$500,"&lt;=105399",'LANÇAMENTOS DIÁRIOS'!$P$5:$P$500,"&gt;=105300")&gt;0,"X","")</f>
      </c>
      <c r="AY76" s="56" t="str">
        <f>IF(COUNTIFS('LANÇAMENTOS DIÁRIOS'!$G$5:$G$500,"D",'LANÇAMENTOS DIÁRIOS'!$C$5:$C$500,$A76,'LANÇAMENTOS DIÁRIOS'!$O$5:$O$500,"&lt;=105499",'LANÇAMENTOS DIÁRIOS'!$P$5:$P$500,"&gt;=105400")&gt;0,"X","")</f>
      </c>
      <c r="AZ76" s="56" t="str">
        <f>IF(COUNTIFS('LANÇAMENTOS DIÁRIOS'!$G$5:$G$500,"D",'LANÇAMENTOS DIÁRIOS'!$C$5:$C$500,$A76,'LANÇAMENTOS DIÁRIOS'!$O$5:$O$500,"&lt;=105500",'LANÇAMENTOS DIÁRIOS'!$P$5:$P$500,"&gt;=105500")&gt;0,"X","")</f>
      </c>
    </row>
    <row r="77">
      <c r="A77" s="51" t="str">
        <v>Fresagem contínua do pavimento</v>
      </c>
      <c r="B77" s="56" t="str">
        <f>IF(COUNTIFS('LANÇAMENTOS DIÁRIOS'!$G$5:$G$500,"D",'LANÇAMENTOS DIÁRIOS'!$C$5:$C$500,$A77,'LANÇAMENTOS DIÁRIOS'!$O$5:$O$500,"&lt;=100599",'LANÇAMENTOS DIÁRIOS'!$P$5:$P$500,"&gt;=100500")&gt;0,"X","")</f>
      </c>
      <c r="C77" s="56" t="str">
        <f>IF(COUNTIFS('LANÇAMENTOS DIÁRIOS'!$G$5:$G$500,"D",'LANÇAMENTOS DIÁRIOS'!$C$5:$C$500,$A77,'LANÇAMENTOS DIÁRIOS'!$O$5:$O$500,"&lt;=100699",'LANÇAMENTOS DIÁRIOS'!$P$5:$P$500,"&gt;=100600")&gt;0,"X","")</f>
      </c>
      <c r="D77" s="56" t="str">
        <f>IF(COUNTIFS('LANÇAMENTOS DIÁRIOS'!$G$5:$G$500,"D",'LANÇAMENTOS DIÁRIOS'!$C$5:$C$500,$A77,'LANÇAMENTOS DIÁRIOS'!$O$5:$O$500,"&lt;=100799",'LANÇAMENTOS DIÁRIOS'!$P$5:$P$500,"&gt;=100700")&gt;0,"X","")</f>
      </c>
      <c r="E77" s="56" t="str">
        <f>IF(COUNTIFS('LANÇAMENTOS DIÁRIOS'!$G$5:$G$500,"D",'LANÇAMENTOS DIÁRIOS'!$C$5:$C$500,$A77,'LANÇAMENTOS DIÁRIOS'!$O$5:$O$500,"&lt;=100899",'LANÇAMENTOS DIÁRIOS'!$P$5:$P$500,"&gt;=100800")&gt;0,"X","")</f>
      </c>
      <c r="F77" s="56" t="str">
        <f>IF(COUNTIFS('LANÇAMENTOS DIÁRIOS'!$G$5:$G$500,"D",'LANÇAMENTOS DIÁRIOS'!$C$5:$C$500,$A77,'LANÇAMENTOS DIÁRIOS'!$O$5:$O$500,"&lt;=100999",'LANÇAMENTOS DIÁRIOS'!$P$5:$P$500,"&gt;=100900")&gt;0,"X","")</f>
      </c>
      <c r="G77" s="56" t="str">
        <f>IF(COUNTIFS('LANÇAMENTOS DIÁRIOS'!$G$5:$G$500,"D",'LANÇAMENTOS DIÁRIOS'!$C$5:$C$500,$A77,'LANÇAMENTOS DIÁRIOS'!$O$5:$O$500,"&lt;=101099",'LANÇAMENTOS DIÁRIOS'!$P$5:$P$500,"&gt;=101000")&gt;0,"X","")</f>
      </c>
      <c r="H77" s="56" t="str">
        <f>IF(COUNTIFS('LANÇAMENTOS DIÁRIOS'!$G$5:$G$500,"D",'LANÇAMENTOS DIÁRIOS'!$C$5:$C$500,$A77,'LANÇAMENTOS DIÁRIOS'!$O$5:$O$500,"&lt;=101199",'LANÇAMENTOS DIÁRIOS'!$P$5:$P$500,"&gt;=101100")&gt;0,"X","")</f>
      </c>
      <c r="I77" s="56" t="str">
        <f>IF(COUNTIFS('LANÇAMENTOS DIÁRIOS'!$G$5:$G$500,"D",'LANÇAMENTOS DIÁRIOS'!$C$5:$C$500,$A77,'LANÇAMENTOS DIÁRIOS'!$O$5:$O$500,"&lt;=101299",'LANÇAMENTOS DIÁRIOS'!$P$5:$P$500,"&gt;=101200")&gt;0,"X","")</f>
      </c>
      <c r="J77" s="56" t="str">
        <f>IF(COUNTIFS('LANÇAMENTOS DIÁRIOS'!$G$5:$G$500,"D",'LANÇAMENTOS DIÁRIOS'!$C$5:$C$500,$A77,'LANÇAMENTOS DIÁRIOS'!$O$5:$O$500,"&lt;=101399",'LANÇAMENTOS DIÁRIOS'!$P$5:$P$500,"&gt;=101300")&gt;0,"X","")</f>
      </c>
      <c r="K77" s="56" t="str">
        <f>IF(COUNTIFS('LANÇAMENTOS DIÁRIOS'!$G$5:$G$500,"D",'LANÇAMENTOS DIÁRIOS'!$C$5:$C$500,$A77,'LANÇAMENTOS DIÁRIOS'!$O$5:$O$500,"&lt;=101499",'LANÇAMENTOS DIÁRIOS'!$P$5:$P$500,"&gt;=101400")&gt;0,"X","")</f>
      </c>
      <c r="L77" s="56" t="str">
        <f>IF(COUNTIFS('LANÇAMENTOS DIÁRIOS'!$G$5:$G$500,"D",'LANÇAMENTOS DIÁRIOS'!$C$5:$C$500,$A77,'LANÇAMENTOS DIÁRIOS'!$O$5:$O$500,"&lt;=101599",'LANÇAMENTOS DIÁRIOS'!$P$5:$P$500,"&gt;=101500")&gt;0,"X","")</f>
      </c>
      <c r="M77" s="56" t="str">
        <f>IF(COUNTIFS('LANÇAMENTOS DIÁRIOS'!$G$5:$G$500,"D",'LANÇAMENTOS DIÁRIOS'!$C$5:$C$500,$A77,'LANÇAMENTOS DIÁRIOS'!$O$5:$O$500,"&lt;=101699",'LANÇAMENTOS DIÁRIOS'!$P$5:$P$500,"&gt;=101600")&gt;0,"X","")</f>
      </c>
      <c r="N77" s="56" t="str">
        <f>IF(COUNTIFS('LANÇAMENTOS DIÁRIOS'!$G$5:$G$500,"D",'LANÇAMENTOS DIÁRIOS'!$C$5:$C$500,$A77,'LANÇAMENTOS DIÁRIOS'!$O$5:$O$500,"&lt;=101799",'LANÇAMENTOS DIÁRIOS'!$P$5:$P$500,"&gt;=101700")&gt;0,"X","")</f>
      </c>
      <c r="O77" s="56" t="str">
        <f>IF(COUNTIFS('LANÇAMENTOS DIÁRIOS'!$G$5:$G$500,"D",'LANÇAMENTOS DIÁRIOS'!$C$5:$C$500,$A77,'LANÇAMENTOS DIÁRIOS'!$O$5:$O$500,"&lt;=101899",'LANÇAMENTOS DIÁRIOS'!$P$5:$P$500,"&gt;=101800")&gt;0,"X","")</f>
      </c>
      <c r="P77" s="56" t="str">
        <f>IF(COUNTIFS('LANÇAMENTOS DIÁRIOS'!$G$5:$G$500,"D",'LANÇAMENTOS DIÁRIOS'!$C$5:$C$500,$A77,'LANÇAMENTOS DIÁRIOS'!$O$5:$O$500,"&lt;=101999",'LANÇAMENTOS DIÁRIOS'!$P$5:$P$500,"&gt;=101900")&gt;0,"X","")</f>
      </c>
      <c r="Q77" s="56" t="str">
        <f>IF(COUNTIFS('LANÇAMENTOS DIÁRIOS'!$G$5:$G$500,"D",'LANÇAMENTOS DIÁRIOS'!$C$5:$C$500,$A77,'LANÇAMENTOS DIÁRIOS'!$O$5:$O$500,"&lt;=102099",'LANÇAMENTOS DIÁRIOS'!$P$5:$P$500,"&gt;=102000")&gt;0,"X","")</f>
      </c>
      <c r="R77" s="56" t="str">
        <f>IF(COUNTIFS('LANÇAMENTOS DIÁRIOS'!$G$5:$G$500,"D",'LANÇAMENTOS DIÁRIOS'!$C$5:$C$500,$A77,'LANÇAMENTOS DIÁRIOS'!$O$5:$O$500,"&lt;=102199",'LANÇAMENTOS DIÁRIOS'!$P$5:$P$500,"&gt;=102100")&gt;0,"X","")</f>
      </c>
      <c r="S77" s="56" t="str">
        <f>IF(COUNTIFS('LANÇAMENTOS DIÁRIOS'!$G$5:$G$500,"D",'LANÇAMENTOS DIÁRIOS'!$C$5:$C$500,$A77,'LANÇAMENTOS DIÁRIOS'!$O$5:$O$500,"&lt;=102299",'LANÇAMENTOS DIÁRIOS'!$P$5:$P$500,"&gt;=102200")&gt;0,"X","")</f>
      </c>
      <c r="T77" s="56" t="str">
        <f>IF(COUNTIFS('LANÇAMENTOS DIÁRIOS'!$G$5:$G$500,"D",'LANÇAMENTOS DIÁRIOS'!$C$5:$C$500,$A77,'LANÇAMENTOS DIÁRIOS'!$O$5:$O$500,"&lt;=102399",'LANÇAMENTOS DIÁRIOS'!$P$5:$P$500,"&gt;=102300")&gt;0,"X","")</f>
      </c>
      <c r="U77" s="56" t="str">
        <f>IF(COUNTIFS('LANÇAMENTOS DIÁRIOS'!$G$5:$G$500,"D",'LANÇAMENTOS DIÁRIOS'!$C$5:$C$500,$A77,'LANÇAMENTOS DIÁRIOS'!$O$5:$O$500,"&lt;=102499",'LANÇAMENTOS DIÁRIOS'!$P$5:$P$500,"&gt;=102400")&gt;0,"X","")</f>
      </c>
      <c r="V77" s="56" t="str">
        <f>IF(COUNTIFS('LANÇAMENTOS DIÁRIOS'!$G$5:$G$500,"D",'LANÇAMENTOS DIÁRIOS'!$C$5:$C$500,$A77,'LANÇAMENTOS DIÁRIOS'!$O$5:$O$500,"&lt;=102599",'LANÇAMENTOS DIÁRIOS'!$P$5:$P$500,"&gt;=102500")&gt;0,"X","")</f>
      </c>
      <c r="W77" s="56" t="str">
        <f>IF(COUNTIFS('LANÇAMENTOS DIÁRIOS'!$G$5:$G$500,"D",'LANÇAMENTOS DIÁRIOS'!$C$5:$C$500,$A77,'LANÇAMENTOS DIÁRIOS'!$O$5:$O$500,"&lt;=102699",'LANÇAMENTOS DIÁRIOS'!$P$5:$P$500,"&gt;=102600")&gt;0,"X","")</f>
      </c>
      <c r="X77" s="56" t="str">
        <f>IF(COUNTIFS('LANÇAMENTOS DIÁRIOS'!$G$5:$G$500,"D",'LANÇAMENTOS DIÁRIOS'!$C$5:$C$500,$A77,'LANÇAMENTOS DIÁRIOS'!$O$5:$O$500,"&lt;=102799",'LANÇAMENTOS DIÁRIOS'!$P$5:$P$500,"&gt;=102700")&gt;0,"X","")</f>
      </c>
      <c r="Y77" s="56" t="str">
        <f>IF(COUNTIFS('LANÇAMENTOS DIÁRIOS'!$G$5:$G$500,"D",'LANÇAMENTOS DIÁRIOS'!$C$5:$C$500,$A77,'LANÇAMENTOS DIÁRIOS'!$O$5:$O$500,"&lt;=102899",'LANÇAMENTOS DIÁRIOS'!$P$5:$P$500,"&gt;=102800")&gt;0,"X","")</f>
      </c>
      <c r="Z77" s="56" t="str">
        <f>IF(COUNTIFS('LANÇAMENTOS DIÁRIOS'!$G$5:$G$500,"D",'LANÇAMENTOS DIÁRIOS'!$C$5:$C$500,$A77,'LANÇAMENTOS DIÁRIOS'!$O$5:$O$500,"&lt;=102999",'LANÇAMENTOS DIÁRIOS'!$P$5:$P$500,"&gt;=102900")&gt;0,"X","")</f>
      </c>
      <c r="AA77" s="56" t="str">
        <f>IF(COUNTIFS('LANÇAMENTOS DIÁRIOS'!$G$5:$G$500,"D",'LANÇAMENTOS DIÁRIOS'!$C$5:$C$500,$A77,'LANÇAMENTOS DIÁRIOS'!$O$5:$O$500,"&lt;=103099",'LANÇAMENTOS DIÁRIOS'!$P$5:$P$500,"&gt;=103000")&gt;0,"X","")</f>
      </c>
      <c r="AB77" s="56" t="str">
        <f>IF(COUNTIFS('LANÇAMENTOS DIÁRIOS'!$G$5:$G$500,"D",'LANÇAMENTOS DIÁRIOS'!$C$5:$C$500,$A77,'LANÇAMENTOS DIÁRIOS'!$O$5:$O$500,"&lt;=103199",'LANÇAMENTOS DIÁRIOS'!$P$5:$P$500,"&gt;=103100")&gt;0,"X","")</f>
      </c>
      <c r="AC77" s="56" t="str">
        <f>IF(COUNTIFS('LANÇAMENTOS DIÁRIOS'!$G$5:$G$500,"D",'LANÇAMENTOS DIÁRIOS'!$C$5:$C$500,$A77,'LANÇAMENTOS DIÁRIOS'!$O$5:$O$500,"&lt;=103299",'LANÇAMENTOS DIÁRIOS'!$P$5:$P$500,"&gt;=103200")&gt;0,"X","")</f>
      </c>
      <c r="AD77" s="56" t="str">
        <f>IF(COUNTIFS('LANÇAMENTOS DIÁRIOS'!$G$5:$G$500,"D",'LANÇAMENTOS DIÁRIOS'!$C$5:$C$500,$A77,'LANÇAMENTOS DIÁRIOS'!$O$5:$O$500,"&lt;=103399",'LANÇAMENTOS DIÁRIOS'!$P$5:$P$500,"&gt;=103300")&gt;0,"X","")</f>
      </c>
      <c r="AE77" s="56" t="str">
        <f>IF(COUNTIFS('LANÇAMENTOS DIÁRIOS'!$G$5:$G$500,"D",'LANÇAMENTOS DIÁRIOS'!$C$5:$C$500,$A77,'LANÇAMENTOS DIÁRIOS'!$O$5:$O$500,"&lt;=103499",'LANÇAMENTOS DIÁRIOS'!$P$5:$P$500,"&gt;=103400")&gt;0,"X","")</f>
      </c>
      <c r="AF77" s="56" t="str">
        <f>IF(COUNTIFS('LANÇAMENTOS DIÁRIOS'!$G$5:$G$500,"D",'LANÇAMENTOS DIÁRIOS'!$C$5:$C$500,$A77,'LANÇAMENTOS DIÁRIOS'!$O$5:$O$500,"&lt;=103599",'LANÇAMENTOS DIÁRIOS'!$P$5:$P$500,"&gt;=103500")&gt;0,"X","")</f>
      </c>
      <c r="AG77" s="56" t="str">
        <f>IF(COUNTIFS('LANÇAMENTOS DIÁRIOS'!$G$5:$G$500,"D",'LANÇAMENTOS DIÁRIOS'!$C$5:$C$500,$A77,'LANÇAMENTOS DIÁRIOS'!$O$5:$O$500,"&lt;=103699",'LANÇAMENTOS DIÁRIOS'!$P$5:$P$500,"&gt;=103600")&gt;0,"X","")</f>
      </c>
      <c r="AH77" s="56" t="str">
        <f>IF(COUNTIFS('LANÇAMENTOS DIÁRIOS'!$G$5:$G$500,"D",'LANÇAMENTOS DIÁRIOS'!$C$5:$C$500,$A77,'LANÇAMENTOS DIÁRIOS'!$O$5:$O$500,"&lt;=103799",'LANÇAMENTOS DIÁRIOS'!$P$5:$P$500,"&gt;=103700")&gt;0,"X","")</f>
      </c>
      <c r="AI77" s="56" t="str">
        <f>IF(COUNTIFS('LANÇAMENTOS DIÁRIOS'!$G$5:$G$500,"D",'LANÇAMENTOS DIÁRIOS'!$C$5:$C$500,$A77,'LANÇAMENTOS DIÁRIOS'!$O$5:$O$500,"&lt;=103899",'LANÇAMENTOS DIÁRIOS'!$P$5:$P$500,"&gt;=103800")&gt;0,"X","")</f>
      </c>
      <c r="AJ77" s="56" t="str">
        <f>IF(COUNTIFS('LANÇAMENTOS DIÁRIOS'!$G$5:$G$500,"D",'LANÇAMENTOS DIÁRIOS'!$C$5:$C$500,$A77,'LANÇAMENTOS DIÁRIOS'!$O$5:$O$500,"&lt;=103999",'LANÇAMENTOS DIÁRIOS'!$P$5:$P$500,"&gt;=103900")&gt;0,"X","")</f>
      </c>
      <c r="AK77" s="56" t="str">
        <f>IF(COUNTIFS('LANÇAMENTOS DIÁRIOS'!$G$5:$G$500,"D",'LANÇAMENTOS DIÁRIOS'!$C$5:$C$500,$A77,'LANÇAMENTOS DIÁRIOS'!$O$5:$O$500,"&lt;=104099",'LANÇAMENTOS DIÁRIOS'!$P$5:$P$500,"&gt;=104000")&gt;0,"X","")</f>
      </c>
      <c r="AL77" s="56" t="str">
        <f>IF(COUNTIFS('LANÇAMENTOS DIÁRIOS'!$G$5:$G$500,"D",'LANÇAMENTOS DIÁRIOS'!$C$5:$C$500,$A77,'LANÇAMENTOS DIÁRIOS'!$O$5:$O$500,"&lt;=104199",'LANÇAMENTOS DIÁRIOS'!$P$5:$P$500,"&gt;=104100")&gt;0,"X","")</f>
      </c>
      <c r="AM77" s="56" t="str">
        <f>IF(COUNTIFS('LANÇAMENTOS DIÁRIOS'!$G$5:$G$500,"D",'LANÇAMENTOS DIÁRIOS'!$C$5:$C$500,$A77,'LANÇAMENTOS DIÁRIOS'!$O$5:$O$500,"&lt;=104299",'LANÇAMENTOS DIÁRIOS'!$P$5:$P$500,"&gt;=104200")&gt;0,"X","")</f>
      </c>
      <c r="AN77" s="56" t="str">
        <f>IF(COUNTIFS('LANÇAMENTOS DIÁRIOS'!$G$5:$G$500,"D",'LANÇAMENTOS DIÁRIOS'!$C$5:$C$500,$A77,'LANÇAMENTOS DIÁRIOS'!$O$5:$O$500,"&lt;=104399",'LANÇAMENTOS DIÁRIOS'!$P$5:$P$500,"&gt;=104300")&gt;0,"X","")</f>
      </c>
      <c r="AO77" s="56" t="str">
        <f>IF(COUNTIFS('LANÇAMENTOS DIÁRIOS'!$G$5:$G$500,"D",'LANÇAMENTOS DIÁRIOS'!$C$5:$C$500,$A77,'LANÇAMENTOS DIÁRIOS'!$O$5:$O$500,"&lt;=104499",'LANÇAMENTOS DIÁRIOS'!$P$5:$P$500,"&gt;=104400")&gt;0,"X","")</f>
      </c>
      <c r="AP77" s="56" t="str">
        <f>IF(COUNTIFS('LANÇAMENTOS DIÁRIOS'!$G$5:$G$500,"D",'LANÇAMENTOS DIÁRIOS'!$C$5:$C$500,$A77,'LANÇAMENTOS DIÁRIOS'!$O$5:$O$500,"&lt;=104599",'LANÇAMENTOS DIÁRIOS'!$P$5:$P$500,"&gt;=104500")&gt;0,"X","")</f>
      </c>
      <c r="AQ77" s="56" t="str">
        <f>IF(COUNTIFS('LANÇAMENTOS DIÁRIOS'!$G$5:$G$500,"D",'LANÇAMENTOS DIÁRIOS'!$C$5:$C$500,$A77,'LANÇAMENTOS DIÁRIOS'!$O$5:$O$500,"&lt;=104699",'LANÇAMENTOS DIÁRIOS'!$P$5:$P$500,"&gt;=104600")&gt;0,"X","")</f>
      </c>
      <c r="AR77" s="56" t="str">
        <f>IF(COUNTIFS('LANÇAMENTOS DIÁRIOS'!$G$5:$G$500,"D",'LANÇAMENTOS DIÁRIOS'!$C$5:$C$500,$A77,'LANÇAMENTOS DIÁRIOS'!$O$5:$O$500,"&lt;=104799",'LANÇAMENTOS DIÁRIOS'!$P$5:$P$500,"&gt;=104700")&gt;0,"X","")</f>
      </c>
      <c r="AS77" s="56" t="str">
        <f>IF(COUNTIFS('LANÇAMENTOS DIÁRIOS'!$G$5:$G$500,"D",'LANÇAMENTOS DIÁRIOS'!$C$5:$C$500,$A77,'LANÇAMENTOS DIÁRIOS'!$O$5:$O$500,"&lt;=104899",'LANÇAMENTOS DIÁRIOS'!$P$5:$P$500,"&gt;=104800")&gt;0,"X","")</f>
      </c>
      <c r="AT77" s="56" t="str">
        <f>IF(COUNTIFS('LANÇAMENTOS DIÁRIOS'!$G$5:$G$500,"D",'LANÇAMENTOS DIÁRIOS'!$C$5:$C$500,$A77,'LANÇAMENTOS DIÁRIOS'!$O$5:$O$500,"&lt;=104999",'LANÇAMENTOS DIÁRIOS'!$P$5:$P$500,"&gt;=104900")&gt;0,"X","")</f>
      </c>
      <c r="AU77" s="56" t="str">
        <f>IF(COUNTIFS('LANÇAMENTOS DIÁRIOS'!$G$5:$G$500,"D",'LANÇAMENTOS DIÁRIOS'!$C$5:$C$500,$A77,'LANÇAMENTOS DIÁRIOS'!$O$5:$O$500,"&lt;=105099",'LANÇAMENTOS DIÁRIOS'!$P$5:$P$500,"&gt;=105000")&gt;0,"X","")</f>
      </c>
      <c r="AV77" s="56" t="str">
        <f>IF(COUNTIFS('LANÇAMENTOS DIÁRIOS'!$G$5:$G$500,"D",'LANÇAMENTOS DIÁRIOS'!$C$5:$C$500,$A77,'LANÇAMENTOS DIÁRIOS'!$O$5:$O$500,"&lt;=105199",'LANÇAMENTOS DIÁRIOS'!$P$5:$P$500,"&gt;=105100")&gt;0,"X","")</f>
      </c>
      <c r="AW77" s="56" t="str">
        <f>IF(COUNTIFS('LANÇAMENTOS DIÁRIOS'!$G$5:$G$500,"D",'LANÇAMENTOS DIÁRIOS'!$C$5:$C$500,$A77,'LANÇAMENTOS DIÁRIOS'!$O$5:$O$500,"&lt;=105299",'LANÇAMENTOS DIÁRIOS'!$P$5:$P$500,"&gt;=105200")&gt;0,"X","")</f>
      </c>
      <c r="AX77" s="56" t="str">
        <f>IF(COUNTIFS('LANÇAMENTOS DIÁRIOS'!$G$5:$G$500,"D",'LANÇAMENTOS DIÁRIOS'!$C$5:$C$500,$A77,'LANÇAMENTOS DIÁRIOS'!$O$5:$O$500,"&lt;=105399",'LANÇAMENTOS DIÁRIOS'!$P$5:$P$500,"&gt;=105300")&gt;0,"X","")</f>
      </c>
      <c r="AY77" s="56" t="str">
        <f>IF(COUNTIFS('LANÇAMENTOS DIÁRIOS'!$G$5:$G$500,"D",'LANÇAMENTOS DIÁRIOS'!$C$5:$C$500,$A77,'LANÇAMENTOS DIÁRIOS'!$O$5:$O$500,"&lt;=105499",'LANÇAMENTOS DIÁRIOS'!$P$5:$P$500,"&gt;=105400")&gt;0,"X","")</f>
      </c>
      <c r="AZ77" s="56" t="str">
        <f>IF(COUNTIFS('LANÇAMENTOS DIÁRIOS'!$G$5:$G$500,"D",'LANÇAMENTOS DIÁRIOS'!$C$5:$C$500,$A77,'LANÇAMENTOS DIÁRIOS'!$O$5:$O$500,"&lt;=105500",'LANÇAMENTOS DIÁRIOS'!$P$5:$P$500,"&gt;=105500")&gt;0,"X","")</f>
      </c>
    </row>
    <row r="78" ht="19" customHeight="1">
      <c r="A78" s="68" t="str">
        <v>Construção da sub-base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</row>
    <row r="79">
      <c r="A79" s="51" t="str">
        <v>Solo cimento com adição de 3% cimento,mistura in situ- Recicladora</v>
      </c>
      <c r="B79" s="56" t="str">
        <f>IF(COUNTIFS('LANÇAMENTOS DIÁRIOS'!$G$5:$G$500,"D",'LANÇAMENTOS DIÁRIOS'!$C$5:$C$500,$A79,'LANÇAMENTOS DIÁRIOS'!$O$5:$O$500,"&lt;=100599",'LANÇAMENTOS DIÁRIOS'!$P$5:$P$500,"&gt;=100500")&gt;0,"X","")</f>
      </c>
      <c r="C79" s="56" t="str">
        <f>IF(COUNTIFS('LANÇAMENTOS DIÁRIOS'!$G$5:$G$500,"D",'LANÇAMENTOS DIÁRIOS'!$C$5:$C$500,$A79,'LANÇAMENTOS DIÁRIOS'!$O$5:$O$500,"&lt;=100699",'LANÇAMENTOS DIÁRIOS'!$P$5:$P$500,"&gt;=100600")&gt;0,"X","")</f>
      </c>
      <c r="D79" s="56" t="str">
        <f>IF(COUNTIFS('LANÇAMENTOS DIÁRIOS'!$G$5:$G$500,"D",'LANÇAMENTOS DIÁRIOS'!$C$5:$C$500,$A79,'LANÇAMENTOS DIÁRIOS'!$O$5:$O$500,"&lt;=100799",'LANÇAMENTOS DIÁRIOS'!$P$5:$P$500,"&gt;=100700")&gt;0,"X","")</f>
      </c>
      <c r="E79" s="56" t="str">
        <f>IF(COUNTIFS('LANÇAMENTOS DIÁRIOS'!$G$5:$G$500,"D",'LANÇAMENTOS DIÁRIOS'!$C$5:$C$500,$A79,'LANÇAMENTOS DIÁRIOS'!$O$5:$O$500,"&lt;=100899",'LANÇAMENTOS DIÁRIOS'!$P$5:$P$500,"&gt;=100800")&gt;0,"X","")</f>
      </c>
      <c r="F79" s="56" t="str">
        <f>IF(COUNTIFS('LANÇAMENTOS DIÁRIOS'!$G$5:$G$500,"D",'LANÇAMENTOS DIÁRIOS'!$C$5:$C$500,$A79,'LANÇAMENTOS DIÁRIOS'!$O$5:$O$500,"&lt;=100999",'LANÇAMENTOS DIÁRIOS'!$P$5:$P$500,"&gt;=100900")&gt;0,"X","")</f>
      </c>
      <c r="G79" s="56" t="str">
        <f>IF(COUNTIFS('LANÇAMENTOS DIÁRIOS'!$G$5:$G$500,"D",'LANÇAMENTOS DIÁRIOS'!$C$5:$C$500,$A79,'LANÇAMENTOS DIÁRIOS'!$O$5:$O$500,"&lt;=101099",'LANÇAMENTOS DIÁRIOS'!$P$5:$P$500,"&gt;=101000")&gt;0,"X","")</f>
      </c>
      <c r="H79" s="56" t="str">
        <f>IF(COUNTIFS('LANÇAMENTOS DIÁRIOS'!$G$5:$G$500,"D",'LANÇAMENTOS DIÁRIOS'!$C$5:$C$500,$A79,'LANÇAMENTOS DIÁRIOS'!$O$5:$O$500,"&lt;=101199",'LANÇAMENTOS DIÁRIOS'!$P$5:$P$500,"&gt;=101100")&gt;0,"X","")</f>
      </c>
      <c r="I79" s="56" t="str">
        <f>IF(COUNTIFS('LANÇAMENTOS DIÁRIOS'!$G$5:$G$500,"D",'LANÇAMENTOS DIÁRIOS'!$C$5:$C$500,$A79,'LANÇAMENTOS DIÁRIOS'!$O$5:$O$500,"&lt;=101299",'LANÇAMENTOS DIÁRIOS'!$P$5:$P$500,"&gt;=101200")&gt;0,"X","")</f>
      </c>
      <c r="J79" s="56" t="str">
        <f>IF(COUNTIFS('LANÇAMENTOS DIÁRIOS'!$G$5:$G$500,"D",'LANÇAMENTOS DIÁRIOS'!$C$5:$C$500,$A79,'LANÇAMENTOS DIÁRIOS'!$O$5:$O$500,"&lt;=101399",'LANÇAMENTOS DIÁRIOS'!$P$5:$P$500,"&gt;=101300")&gt;0,"X","")</f>
      </c>
      <c r="K79" s="56" t="str">
        <f>IF(COUNTIFS('LANÇAMENTOS DIÁRIOS'!$G$5:$G$500,"D",'LANÇAMENTOS DIÁRIOS'!$C$5:$C$500,$A79,'LANÇAMENTOS DIÁRIOS'!$O$5:$O$500,"&lt;=101499",'LANÇAMENTOS DIÁRIOS'!$P$5:$P$500,"&gt;=101400")&gt;0,"X","")</f>
      </c>
      <c r="L79" s="56" t="str">
        <f>IF(COUNTIFS('LANÇAMENTOS DIÁRIOS'!$G$5:$G$500,"D",'LANÇAMENTOS DIÁRIOS'!$C$5:$C$500,$A79,'LANÇAMENTOS DIÁRIOS'!$O$5:$O$500,"&lt;=101599",'LANÇAMENTOS DIÁRIOS'!$P$5:$P$500,"&gt;=101500")&gt;0,"X","")</f>
      </c>
      <c r="M79" s="56" t="str">
        <f>IF(COUNTIFS('LANÇAMENTOS DIÁRIOS'!$G$5:$G$500,"D",'LANÇAMENTOS DIÁRIOS'!$C$5:$C$500,$A79,'LANÇAMENTOS DIÁRIOS'!$O$5:$O$500,"&lt;=101699",'LANÇAMENTOS DIÁRIOS'!$P$5:$P$500,"&gt;=101600")&gt;0,"X","")</f>
      </c>
      <c r="N79" s="56" t="str">
        <f>IF(COUNTIFS('LANÇAMENTOS DIÁRIOS'!$G$5:$G$500,"D",'LANÇAMENTOS DIÁRIOS'!$C$5:$C$500,$A79,'LANÇAMENTOS DIÁRIOS'!$O$5:$O$500,"&lt;=101799",'LANÇAMENTOS DIÁRIOS'!$P$5:$P$500,"&gt;=101700")&gt;0,"X","")</f>
      </c>
      <c r="O79" s="56" t="str">
        <f>IF(COUNTIFS('LANÇAMENTOS DIÁRIOS'!$G$5:$G$500,"D",'LANÇAMENTOS DIÁRIOS'!$C$5:$C$500,$A79,'LANÇAMENTOS DIÁRIOS'!$O$5:$O$500,"&lt;=101899",'LANÇAMENTOS DIÁRIOS'!$P$5:$P$500,"&gt;=101800")&gt;0,"X","")</f>
      </c>
      <c r="P79" s="56" t="str">
        <f>IF(COUNTIFS('LANÇAMENTOS DIÁRIOS'!$G$5:$G$500,"D",'LANÇAMENTOS DIÁRIOS'!$C$5:$C$500,$A79,'LANÇAMENTOS DIÁRIOS'!$O$5:$O$500,"&lt;=101999",'LANÇAMENTOS DIÁRIOS'!$P$5:$P$500,"&gt;=101900")&gt;0,"X","")</f>
      </c>
      <c r="Q79" s="56" t="str">
        <f>IF(COUNTIFS('LANÇAMENTOS DIÁRIOS'!$G$5:$G$500,"D",'LANÇAMENTOS DIÁRIOS'!$C$5:$C$500,$A79,'LANÇAMENTOS DIÁRIOS'!$O$5:$O$500,"&lt;=102099",'LANÇAMENTOS DIÁRIOS'!$P$5:$P$500,"&gt;=102000")&gt;0,"X","")</f>
      </c>
      <c r="R79" s="56" t="str">
        <f>IF(COUNTIFS('LANÇAMENTOS DIÁRIOS'!$G$5:$G$500,"D",'LANÇAMENTOS DIÁRIOS'!$C$5:$C$500,$A79,'LANÇAMENTOS DIÁRIOS'!$O$5:$O$500,"&lt;=102199",'LANÇAMENTOS DIÁRIOS'!$P$5:$P$500,"&gt;=102100")&gt;0,"X","")</f>
      </c>
      <c r="S79" s="56" t="str">
        <f>IF(COUNTIFS('LANÇAMENTOS DIÁRIOS'!$G$5:$G$500,"D",'LANÇAMENTOS DIÁRIOS'!$C$5:$C$500,$A79,'LANÇAMENTOS DIÁRIOS'!$O$5:$O$500,"&lt;=102299",'LANÇAMENTOS DIÁRIOS'!$P$5:$P$500,"&gt;=102200")&gt;0,"X","")</f>
      </c>
      <c r="T79" s="56" t="str">
        <f>IF(COUNTIFS('LANÇAMENTOS DIÁRIOS'!$G$5:$G$500,"D",'LANÇAMENTOS DIÁRIOS'!$C$5:$C$500,$A79,'LANÇAMENTOS DIÁRIOS'!$O$5:$O$500,"&lt;=102399",'LANÇAMENTOS DIÁRIOS'!$P$5:$P$500,"&gt;=102300")&gt;0,"X","")</f>
      </c>
      <c r="U79" s="56" t="str">
        <f>IF(COUNTIFS('LANÇAMENTOS DIÁRIOS'!$G$5:$G$500,"D",'LANÇAMENTOS DIÁRIOS'!$C$5:$C$500,$A79,'LANÇAMENTOS DIÁRIOS'!$O$5:$O$500,"&lt;=102499",'LANÇAMENTOS DIÁRIOS'!$P$5:$P$500,"&gt;=102400")&gt;0,"X","")</f>
      </c>
      <c r="V79" s="56" t="str">
        <f>IF(COUNTIFS('LANÇAMENTOS DIÁRIOS'!$G$5:$G$500,"D",'LANÇAMENTOS DIÁRIOS'!$C$5:$C$500,$A79,'LANÇAMENTOS DIÁRIOS'!$O$5:$O$500,"&lt;=102599",'LANÇAMENTOS DIÁRIOS'!$P$5:$P$500,"&gt;=102500")&gt;0,"X","")</f>
      </c>
      <c r="W79" s="56" t="str">
        <f>IF(COUNTIFS('LANÇAMENTOS DIÁRIOS'!$G$5:$G$500,"D",'LANÇAMENTOS DIÁRIOS'!$C$5:$C$500,$A79,'LANÇAMENTOS DIÁRIOS'!$O$5:$O$500,"&lt;=102699",'LANÇAMENTOS DIÁRIOS'!$P$5:$P$500,"&gt;=102600")&gt;0,"X","")</f>
      </c>
      <c r="X79" s="56" t="str">
        <f>IF(COUNTIFS('LANÇAMENTOS DIÁRIOS'!$G$5:$G$500,"D",'LANÇAMENTOS DIÁRIOS'!$C$5:$C$500,$A79,'LANÇAMENTOS DIÁRIOS'!$O$5:$O$500,"&lt;=102799",'LANÇAMENTOS DIÁRIOS'!$P$5:$P$500,"&gt;=102700")&gt;0,"X","")</f>
      </c>
      <c r="Y79" s="56" t="str">
        <f>IF(COUNTIFS('LANÇAMENTOS DIÁRIOS'!$G$5:$G$500,"D",'LANÇAMENTOS DIÁRIOS'!$C$5:$C$500,$A79,'LANÇAMENTOS DIÁRIOS'!$O$5:$O$500,"&lt;=102899",'LANÇAMENTOS DIÁRIOS'!$P$5:$P$500,"&gt;=102800")&gt;0,"X","")</f>
      </c>
      <c r="Z79" s="56" t="str">
        <f>IF(COUNTIFS('LANÇAMENTOS DIÁRIOS'!$G$5:$G$500,"D",'LANÇAMENTOS DIÁRIOS'!$C$5:$C$500,$A79,'LANÇAMENTOS DIÁRIOS'!$O$5:$O$500,"&lt;=102999",'LANÇAMENTOS DIÁRIOS'!$P$5:$P$500,"&gt;=102900")&gt;0,"X","")</f>
      </c>
      <c r="AA79" s="56" t="str">
        <f>IF(COUNTIFS('LANÇAMENTOS DIÁRIOS'!$G$5:$G$500,"D",'LANÇAMENTOS DIÁRIOS'!$C$5:$C$500,$A79,'LANÇAMENTOS DIÁRIOS'!$O$5:$O$500,"&lt;=103099",'LANÇAMENTOS DIÁRIOS'!$P$5:$P$500,"&gt;=103000")&gt;0,"X","")</f>
      </c>
      <c r="AB79" s="56" t="str">
        <f>IF(COUNTIFS('LANÇAMENTOS DIÁRIOS'!$G$5:$G$500,"D",'LANÇAMENTOS DIÁRIOS'!$C$5:$C$500,$A79,'LANÇAMENTOS DIÁRIOS'!$O$5:$O$500,"&lt;=103199",'LANÇAMENTOS DIÁRIOS'!$P$5:$P$500,"&gt;=103100")&gt;0,"X","")</f>
      </c>
      <c r="AC79" s="56" t="str">
        <f>IF(COUNTIFS('LANÇAMENTOS DIÁRIOS'!$G$5:$G$500,"D",'LANÇAMENTOS DIÁRIOS'!$C$5:$C$500,$A79,'LANÇAMENTOS DIÁRIOS'!$O$5:$O$500,"&lt;=103299",'LANÇAMENTOS DIÁRIOS'!$P$5:$P$500,"&gt;=103200")&gt;0,"X","")</f>
      </c>
      <c r="AD79" s="56" t="str">
        <f>IF(COUNTIFS('LANÇAMENTOS DIÁRIOS'!$G$5:$G$500,"D",'LANÇAMENTOS DIÁRIOS'!$C$5:$C$500,$A79,'LANÇAMENTOS DIÁRIOS'!$O$5:$O$500,"&lt;=103399",'LANÇAMENTOS DIÁRIOS'!$P$5:$P$500,"&gt;=103300")&gt;0,"X","")</f>
      </c>
      <c r="AE79" s="56" t="str">
        <f>IF(COUNTIFS('LANÇAMENTOS DIÁRIOS'!$G$5:$G$500,"D",'LANÇAMENTOS DIÁRIOS'!$C$5:$C$500,$A79,'LANÇAMENTOS DIÁRIOS'!$O$5:$O$500,"&lt;=103499",'LANÇAMENTOS DIÁRIOS'!$P$5:$P$500,"&gt;=103400")&gt;0,"X","")</f>
      </c>
      <c r="AF79" s="56" t="str">
        <f>IF(COUNTIFS('LANÇAMENTOS DIÁRIOS'!$G$5:$G$500,"D",'LANÇAMENTOS DIÁRIOS'!$C$5:$C$500,$A79,'LANÇAMENTOS DIÁRIOS'!$O$5:$O$500,"&lt;=103599",'LANÇAMENTOS DIÁRIOS'!$P$5:$P$500,"&gt;=103500")&gt;0,"X","")</f>
      </c>
      <c r="AG79" s="56" t="str">
        <f>IF(COUNTIFS('LANÇAMENTOS DIÁRIOS'!$G$5:$G$500,"D",'LANÇAMENTOS DIÁRIOS'!$C$5:$C$500,$A79,'LANÇAMENTOS DIÁRIOS'!$O$5:$O$500,"&lt;=103699",'LANÇAMENTOS DIÁRIOS'!$P$5:$P$500,"&gt;=103600")&gt;0,"X","")</f>
      </c>
      <c r="AH79" s="56" t="str">
        <f>IF(COUNTIFS('LANÇAMENTOS DIÁRIOS'!$G$5:$G$500,"D",'LANÇAMENTOS DIÁRIOS'!$C$5:$C$500,$A79,'LANÇAMENTOS DIÁRIOS'!$O$5:$O$500,"&lt;=103799",'LANÇAMENTOS DIÁRIOS'!$P$5:$P$500,"&gt;=103700")&gt;0,"X","")</f>
      </c>
      <c r="AI79" s="56" t="str">
        <f>IF(COUNTIFS('LANÇAMENTOS DIÁRIOS'!$G$5:$G$500,"D",'LANÇAMENTOS DIÁRIOS'!$C$5:$C$500,$A79,'LANÇAMENTOS DIÁRIOS'!$O$5:$O$500,"&lt;=103899",'LANÇAMENTOS DIÁRIOS'!$P$5:$P$500,"&gt;=103800")&gt;0,"X","")</f>
      </c>
      <c r="AJ79" s="56" t="str">
        <f>IF(COUNTIFS('LANÇAMENTOS DIÁRIOS'!$G$5:$G$500,"D",'LANÇAMENTOS DIÁRIOS'!$C$5:$C$500,$A79,'LANÇAMENTOS DIÁRIOS'!$O$5:$O$500,"&lt;=103999",'LANÇAMENTOS DIÁRIOS'!$P$5:$P$500,"&gt;=103900")&gt;0,"X","")</f>
      </c>
      <c r="AK79" s="56" t="str">
        <f>IF(COUNTIFS('LANÇAMENTOS DIÁRIOS'!$G$5:$G$500,"D",'LANÇAMENTOS DIÁRIOS'!$C$5:$C$500,$A79,'LANÇAMENTOS DIÁRIOS'!$O$5:$O$500,"&lt;=104099",'LANÇAMENTOS DIÁRIOS'!$P$5:$P$500,"&gt;=104000")&gt;0,"X","")</f>
      </c>
      <c r="AL79" s="56" t="str">
        <f>IF(COUNTIFS('LANÇAMENTOS DIÁRIOS'!$G$5:$G$500,"D",'LANÇAMENTOS DIÁRIOS'!$C$5:$C$500,$A79,'LANÇAMENTOS DIÁRIOS'!$O$5:$O$500,"&lt;=104199",'LANÇAMENTOS DIÁRIOS'!$P$5:$P$500,"&gt;=104100")&gt;0,"X","")</f>
      </c>
      <c r="AM79" s="56" t="str">
        <f>IF(COUNTIFS('LANÇAMENTOS DIÁRIOS'!$G$5:$G$500,"D",'LANÇAMENTOS DIÁRIOS'!$C$5:$C$500,$A79,'LANÇAMENTOS DIÁRIOS'!$O$5:$O$500,"&lt;=104299",'LANÇAMENTOS DIÁRIOS'!$P$5:$P$500,"&gt;=104200")&gt;0,"X","")</f>
      </c>
      <c r="AN79" s="56" t="str">
        <f>IF(COUNTIFS('LANÇAMENTOS DIÁRIOS'!$G$5:$G$500,"D",'LANÇAMENTOS DIÁRIOS'!$C$5:$C$500,$A79,'LANÇAMENTOS DIÁRIOS'!$O$5:$O$500,"&lt;=104399",'LANÇAMENTOS DIÁRIOS'!$P$5:$P$500,"&gt;=104300")&gt;0,"X","")</f>
      </c>
      <c r="AO79" s="56" t="str">
        <f>IF(COUNTIFS('LANÇAMENTOS DIÁRIOS'!$G$5:$G$500,"D",'LANÇAMENTOS DIÁRIOS'!$C$5:$C$500,$A79,'LANÇAMENTOS DIÁRIOS'!$O$5:$O$500,"&lt;=104499",'LANÇAMENTOS DIÁRIOS'!$P$5:$P$500,"&gt;=104400")&gt;0,"X","")</f>
      </c>
      <c r="AP79" s="56" t="str">
        <f>IF(COUNTIFS('LANÇAMENTOS DIÁRIOS'!$G$5:$G$500,"D",'LANÇAMENTOS DIÁRIOS'!$C$5:$C$500,$A79,'LANÇAMENTOS DIÁRIOS'!$O$5:$O$500,"&lt;=104599",'LANÇAMENTOS DIÁRIOS'!$P$5:$P$500,"&gt;=104500")&gt;0,"X","")</f>
      </c>
      <c r="AQ79" s="56" t="str">
        <f>IF(COUNTIFS('LANÇAMENTOS DIÁRIOS'!$G$5:$G$500,"D",'LANÇAMENTOS DIÁRIOS'!$C$5:$C$500,$A79,'LANÇAMENTOS DIÁRIOS'!$O$5:$O$500,"&lt;=104699",'LANÇAMENTOS DIÁRIOS'!$P$5:$P$500,"&gt;=104600")&gt;0,"X","")</f>
      </c>
      <c r="AR79" s="56" t="str">
        <f>IF(COUNTIFS('LANÇAMENTOS DIÁRIOS'!$G$5:$G$500,"D",'LANÇAMENTOS DIÁRIOS'!$C$5:$C$500,$A79,'LANÇAMENTOS DIÁRIOS'!$O$5:$O$500,"&lt;=104799",'LANÇAMENTOS DIÁRIOS'!$P$5:$P$500,"&gt;=104700")&gt;0,"X","")</f>
      </c>
      <c r="AS79" s="56" t="str">
        <f>IF(COUNTIFS('LANÇAMENTOS DIÁRIOS'!$G$5:$G$500,"D",'LANÇAMENTOS DIÁRIOS'!$C$5:$C$500,$A79,'LANÇAMENTOS DIÁRIOS'!$O$5:$O$500,"&lt;=104899",'LANÇAMENTOS DIÁRIOS'!$P$5:$P$500,"&gt;=104800")&gt;0,"X","")</f>
      </c>
      <c r="AT79" s="56" t="str">
        <f>IF(COUNTIFS('LANÇAMENTOS DIÁRIOS'!$G$5:$G$500,"D",'LANÇAMENTOS DIÁRIOS'!$C$5:$C$500,$A79,'LANÇAMENTOS DIÁRIOS'!$O$5:$O$500,"&lt;=104999",'LANÇAMENTOS DIÁRIOS'!$P$5:$P$500,"&gt;=104900")&gt;0,"X","")</f>
      </c>
      <c r="AU79" s="56" t="str">
        <f>IF(COUNTIFS('LANÇAMENTOS DIÁRIOS'!$G$5:$G$500,"D",'LANÇAMENTOS DIÁRIOS'!$C$5:$C$500,$A79,'LANÇAMENTOS DIÁRIOS'!$O$5:$O$500,"&lt;=105099",'LANÇAMENTOS DIÁRIOS'!$P$5:$P$500,"&gt;=105000")&gt;0,"X","")</f>
      </c>
      <c r="AV79" s="56" t="str">
        <f>IF(COUNTIFS('LANÇAMENTOS DIÁRIOS'!$G$5:$G$500,"D",'LANÇAMENTOS DIÁRIOS'!$C$5:$C$500,$A79,'LANÇAMENTOS DIÁRIOS'!$O$5:$O$500,"&lt;=105199",'LANÇAMENTOS DIÁRIOS'!$P$5:$P$500,"&gt;=105100")&gt;0,"X","")</f>
      </c>
      <c r="AW79" s="56" t="str">
        <f>IF(COUNTIFS('LANÇAMENTOS DIÁRIOS'!$G$5:$G$500,"D",'LANÇAMENTOS DIÁRIOS'!$C$5:$C$500,$A79,'LANÇAMENTOS DIÁRIOS'!$O$5:$O$500,"&lt;=105299",'LANÇAMENTOS DIÁRIOS'!$P$5:$P$500,"&gt;=105200")&gt;0,"X","")</f>
      </c>
      <c r="AX79" s="56" t="str">
        <f>IF(COUNTIFS('LANÇAMENTOS DIÁRIOS'!$G$5:$G$500,"D",'LANÇAMENTOS DIÁRIOS'!$C$5:$C$500,$A79,'LANÇAMENTOS DIÁRIOS'!$O$5:$O$500,"&lt;=105399",'LANÇAMENTOS DIÁRIOS'!$P$5:$P$500,"&gt;=105300")&gt;0,"X","")</f>
      </c>
      <c r="AY79" s="56" t="str">
        <f>IF(COUNTIFS('LANÇAMENTOS DIÁRIOS'!$G$5:$G$500,"D",'LANÇAMENTOS DIÁRIOS'!$C$5:$C$500,$A79,'LANÇAMENTOS DIÁRIOS'!$O$5:$O$500,"&lt;=105499",'LANÇAMENTOS DIÁRIOS'!$P$5:$P$500,"&gt;=105400")&gt;0,"X","")</f>
      </c>
      <c r="AZ79" s="56" t="str">
        <f>IF(COUNTIFS('LANÇAMENTOS DIÁRIOS'!$G$5:$G$500,"D",'LANÇAMENTOS DIÁRIOS'!$C$5:$C$500,$A79,'LANÇAMENTOS DIÁRIOS'!$O$5:$O$500,"&lt;=105500",'LANÇAMENTOS DIÁRIOS'!$P$5:$P$500,"&gt;=105500")&gt;0,"X","")</f>
      </c>
    </row>
    <row r="80" ht="19" customHeight="1">
      <c r="A80" s="68" t="str">
        <v>Construção da base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</row>
    <row r="81">
      <c r="A81" s="51" t="str">
        <v>Solo brita 30/70 cimento 4%</v>
      </c>
      <c r="B81" s="56" t="str">
        <f>IF(COUNTIFS('LANÇAMENTOS DIÁRIOS'!$G$5:$G$500,"D",'LANÇAMENTOS DIÁRIOS'!$C$5:$C$500,$A81,'LANÇAMENTOS DIÁRIOS'!$O$5:$O$500,"&lt;=100599",'LANÇAMENTOS DIÁRIOS'!$P$5:$P$500,"&gt;=100500")&gt;0,"X","")</f>
      </c>
      <c r="C81" s="56" t="str">
        <f>IF(COUNTIFS('LANÇAMENTOS DIÁRIOS'!$G$5:$G$500,"D",'LANÇAMENTOS DIÁRIOS'!$C$5:$C$500,$A81,'LANÇAMENTOS DIÁRIOS'!$O$5:$O$500,"&lt;=100699",'LANÇAMENTOS DIÁRIOS'!$P$5:$P$500,"&gt;=100600")&gt;0,"X","")</f>
      </c>
      <c r="D81" s="56" t="str">
        <f>IF(COUNTIFS('LANÇAMENTOS DIÁRIOS'!$G$5:$G$500,"D",'LANÇAMENTOS DIÁRIOS'!$C$5:$C$500,$A81,'LANÇAMENTOS DIÁRIOS'!$O$5:$O$500,"&lt;=100799",'LANÇAMENTOS DIÁRIOS'!$P$5:$P$500,"&gt;=100700")&gt;0,"X","")</f>
      </c>
      <c r="E81" s="56" t="str">
        <f>IF(COUNTIFS('LANÇAMENTOS DIÁRIOS'!$G$5:$G$500,"D",'LANÇAMENTOS DIÁRIOS'!$C$5:$C$500,$A81,'LANÇAMENTOS DIÁRIOS'!$O$5:$O$500,"&lt;=100899",'LANÇAMENTOS DIÁRIOS'!$P$5:$P$500,"&gt;=100800")&gt;0,"X","")</f>
      </c>
      <c r="F81" s="56" t="str">
        <f>IF(COUNTIFS('LANÇAMENTOS DIÁRIOS'!$G$5:$G$500,"D",'LANÇAMENTOS DIÁRIOS'!$C$5:$C$500,$A81,'LANÇAMENTOS DIÁRIOS'!$O$5:$O$500,"&lt;=100999",'LANÇAMENTOS DIÁRIOS'!$P$5:$P$500,"&gt;=100900")&gt;0,"X","")</f>
      </c>
      <c r="G81" s="56" t="str">
        <f>IF(COUNTIFS('LANÇAMENTOS DIÁRIOS'!$G$5:$G$500,"D",'LANÇAMENTOS DIÁRIOS'!$C$5:$C$500,$A81,'LANÇAMENTOS DIÁRIOS'!$O$5:$O$500,"&lt;=101099",'LANÇAMENTOS DIÁRIOS'!$P$5:$P$500,"&gt;=101000")&gt;0,"X","")</f>
      </c>
      <c r="H81" s="56" t="str">
        <f>IF(COUNTIFS('LANÇAMENTOS DIÁRIOS'!$G$5:$G$500,"D",'LANÇAMENTOS DIÁRIOS'!$C$5:$C$500,$A81,'LANÇAMENTOS DIÁRIOS'!$O$5:$O$500,"&lt;=101199",'LANÇAMENTOS DIÁRIOS'!$P$5:$P$500,"&gt;=101100")&gt;0,"X","")</f>
      </c>
      <c r="I81" s="56" t="str">
        <f>IF(COUNTIFS('LANÇAMENTOS DIÁRIOS'!$G$5:$G$500,"D",'LANÇAMENTOS DIÁRIOS'!$C$5:$C$500,$A81,'LANÇAMENTOS DIÁRIOS'!$O$5:$O$500,"&lt;=101299",'LANÇAMENTOS DIÁRIOS'!$P$5:$P$500,"&gt;=101200")&gt;0,"X","")</f>
      </c>
      <c r="J81" s="56" t="str">
        <f>IF(COUNTIFS('LANÇAMENTOS DIÁRIOS'!$G$5:$G$500,"D",'LANÇAMENTOS DIÁRIOS'!$C$5:$C$500,$A81,'LANÇAMENTOS DIÁRIOS'!$O$5:$O$500,"&lt;=101399",'LANÇAMENTOS DIÁRIOS'!$P$5:$P$500,"&gt;=101300")&gt;0,"X","")</f>
      </c>
      <c r="K81" s="56" t="str">
        <f>IF(COUNTIFS('LANÇAMENTOS DIÁRIOS'!$G$5:$G$500,"D",'LANÇAMENTOS DIÁRIOS'!$C$5:$C$500,$A81,'LANÇAMENTOS DIÁRIOS'!$O$5:$O$500,"&lt;=101499",'LANÇAMENTOS DIÁRIOS'!$P$5:$P$500,"&gt;=101400")&gt;0,"X","")</f>
      </c>
      <c r="L81" s="56" t="str">
        <f>IF(COUNTIFS('LANÇAMENTOS DIÁRIOS'!$G$5:$G$500,"D",'LANÇAMENTOS DIÁRIOS'!$C$5:$C$500,$A81,'LANÇAMENTOS DIÁRIOS'!$O$5:$O$500,"&lt;=101599",'LANÇAMENTOS DIÁRIOS'!$P$5:$P$500,"&gt;=101500")&gt;0,"X","")</f>
      </c>
      <c r="M81" s="56" t="str">
        <f>IF(COUNTIFS('LANÇAMENTOS DIÁRIOS'!$G$5:$G$500,"D",'LANÇAMENTOS DIÁRIOS'!$C$5:$C$500,$A81,'LANÇAMENTOS DIÁRIOS'!$O$5:$O$500,"&lt;=101699",'LANÇAMENTOS DIÁRIOS'!$P$5:$P$500,"&gt;=101600")&gt;0,"X","")</f>
      </c>
      <c r="N81" s="56" t="str">
        <f>IF(COUNTIFS('LANÇAMENTOS DIÁRIOS'!$G$5:$G$500,"D",'LANÇAMENTOS DIÁRIOS'!$C$5:$C$500,$A81,'LANÇAMENTOS DIÁRIOS'!$O$5:$O$500,"&lt;=101799",'LANÇAMENTOS DIÁRIOS'!$P$5:$P$500,"&gt;=101700")&gt;0,"X","")</f>
      </c>
      <c r="O81" s="56" t="str">
        <f>IF(COUNTIFS('LANÇAMENTOS DIÁRIOS'!$G$5:$G$500,"D",'LANÇAMENTOS DIÁRIOS'!$C$5:$C$500,$A81,'LANÇAMENTOS DIÁRIOS'!$O$5:$O$500,"&lt;=101899",'LANÇAMENTOS DIÁRIOS'!$P$5:$P$500,"&gt;=101800")&gt;0,"X","")</f>
      </c>
      <c r="P81" s="56" t="str">
        <f>IF(COUNTIFS('LANÇAMENTOS DIÁRIOS'!$G$5:$G$500,"D",'LANÇAMENTOS DIÁRIOS'!$C$5:$C$500,$A81,'LANÇAMENTOS DIÁRIOS'!$O$5:$O$500,"&lt;=101999",'LANÇAMENTOS DIÁRIOS'!$P$5:$P$500,"&gt;=101900")&gt;0,"X","")</f>
      </c>
      <c r="Q81" s="56" t="str">
        <f>IF(COUNTIFS('LANÇAMENTOS DIÁRIOS'!$G$5:$G$500,"D",'LANÇAMENTOS DIÁRIOS'!$C$5:$C$500,$A81,'LANÇAMENTOS DIÁRIOS'!$O$5:$O$500,"&lt;=102099",'LANÇAMENTOS DIÁRIOS'!$P$5:$P$500,"&gt;=102000")&gt;0,"X","")</f>
      </c>
      <c r="R81" s="56" t="str">
        <f>IF(COUNTIFS('LANÇAMENTOS DIÁRIOS'!$G$5:$G$500,"D",'LANÇAMENTOS DIÁRIOS'!$C$5:$C$500,$A81,'LANÇAMENTOS DIÁRIOS'!$O$5:$O$500,"&lt;=102199",'LANÇAMENTOS DIÁRIOS'!$P$5:$P$500,"&gt;=102100")&gt;0,"X","")</f>
      </c>
      <c r="S81" s="56" t="str">
        <f>IF(COUNTIFS('LANÇAMENTOS DIÁRIOS'!$G$5:$G$500,"D",'LANÇAMENTOS DIÁRIOS'!$C$5:$C$500,$A81,'LANÇAMENTOS DIÁRIOS'!$O$5:$O$500,"&lt;=102299",'LANÇAMENTOS DIÁRIOS'!$P$5:$P$500,"&gt;=102200")&gt;0,"X","")</f>
      </c>
      <c r="T81" s="56" t="str">
        <f>IF(COUNTIFS('LANÇAMENTOS DIÁRIOS'!$G$5:$G$500,"D",'LANÇAMENTOS DIÁRIOS'!$C$5:$C$500,$A81,'LANÇAMENTOS DIÁRIOS'!$O$5:$O$500,"&lt;=102399",'LANÇAMENTOS DIÁRIOS'!$P$5:$P$500,"&gt;=102300")&gt;0,"X","")</f>
      </c>
      <c r="U81" s="56" t="str">
        <f>IF(COUNTIFS('LANÇAMENTOS DIÁRIOS'!$G$5:$G$500,"D",'LANÇAMENTOS DIÁRIOS'!$C$5:$C$500,$A81,'LANÇAMENTOS DIÁRIOS'!$O$5:$O$500,"&lt;=102499",'LANÇAMENTOS DIÁRIOS'!$P$5:$P$500,"&gt;=102400")&gt;0,"X","")</f>
      </c>
      <c r="V81" s="56" t="str">
        <f>IF(COUNTIFS('LANÇAMENTOS DIÁRIOS'!$G$5:$G$500,"D",'LANÇAMENTOS DIÁRIOS'!$C$5:$C$500,$A81,'LANÇAMENTOS DIÁRIOS'!$O$5:$O$500,"&lt;=102599",'LANÇAMENTOS DIÁRIOS'!$P$5:$P$500,"&gt;=102500")&gt;0,"X","")</f>
      </c>
      <c r="W81" s="56" t="str">
        <f>IF(COUNTIFS('LANÇAMENTOS DIÁRIOS'!$G$5:$G$500,"D",'LANÇAMENTOS DIÁRIOS'!$C$5:$C$500,$A81,'LANÇAMENTOS DIÁRIOS'!$O$5:$O$500,"&lt;=102699",'LANÇAMENTOS DIÁRIOS'!$P$5:$P$500,"&gt;=102600")&gt;0,"X","")</f>
      </c>
      <c r="X81" s="56" t="str">
        <f>IF(COUNTIFS('LANÇAMENTOS DIÁRIOS'!$G$5:$G$500,"D",'LANÇAMENTOS DIÁRIOS'!$C$5:$C$500,$A81,'LANÇAMENTOS DIÁRIOS'!$O$5:$O$500,"&lt;=102799",'LANÇAMENTOS DIÁRIOS'!$P$5:$P$500,"&gt;=102700")&gt;0,"X","")</f>
      </c>
      <c r="Y81" s="56" t="str">
        <f>IF(COUNTIFS('LANÇAMENTOS DIÁRIOS'!$G$5:$G$500,"D",'LANÇAMENTOS DIÁRIOS'!$C$5:$C$500,$A81,'LANÇAMENTOS DIÁRIOS'!$O$5:$O$500,"&lt;=102899",'LANÇAMENTOS DIÁRIOS'!$P$5:$P$500,"&gt;=102800")&gt;0,"X","")</f>
      </c>
      <c r="Z81" s="56" t="str">
        <f>IF(COUNTIFS('LANÇAMENTOS DIÁRIOS'!$G$5:$G$500,"D",'LANÇAMENTOS DIÁRIOS'!$C$5:$C$500,$A81,'LANÇAMENTOS DIÁRIOS'!$O$5:$O$500,"&lt;=102999",'LANÇAMENTOS DIÁRIOS'!$P$5:$P$500,"&gt;=102900")&gt;0,"X","")</f>
      </c>
      <c r="AA81" s="56" t="str">
        <f>IF(COUNTIFS('LANÇAMENTOS DIÁRIOS'!$G$5:$G$500,"D",'LANÇAMENTOS DIÁRIOS'!$C$5:$C$500,$A81,'LANÇAMENTOS DIÁRIOS'!$O$5:$O$500,"&lt;=103099",'LANÇAMENTOS DIÁRIOS'!$P$5:$P$500,"&gt;=103000")&gt;0,"X","")</f>
      </c>
      <c r="AB81" s="56" t="str">
        <f>IF(COUNTIFS('LANÇAMENTOS DIÁRIOS'!$G$5:$G$500,"D",'LANÇAMENTOS DIÁRIOS'!$C$5:$C$500,$A81,'LANÇAMENTOS DIÁRIOS'!$O$5:$O$500,"&lt;=103199",'LANÇAMENTOS DIÁRIOS'!$P$5:$P$500,"&gt;=103100")&gt;0,"X","")</f>
      </c>
      <c r="AC81" s="56" t="str">
        <f>IF(COUNTIFS('LANÇAMENTOS DIÁRIOS'!$G$5:$G$500,"D",'LANÇAMENTOS DIÁRIOS'!$C$5:$C$500,$A81,'LANÇAMENTOS DIÁRIOS'!$O$5:$O$500,"&lt;=103299",'LANÇAMENTOS DIÁRIOS'!$P$5:$P$500,"&gt;=103200")&gt;0,"X","")</f>
      </c>
      <c r="AD81" s="56" t="str">
        <f>IF(COUNTIFS('LANÇAMENTOS DIÁRIOS'!$G$5:$G$500,"D",'LANÇAMENTOS DIÁRIOS'!$C$5:$C$500,$A81,'LANÇAMENTOS DIÁRIOS'!$O$5:$O$500,"&lt;=103399",'LANÇAMENTOS DIÁRIOS'!$P$5:$P$500,"&gt;=103300")&gt;0,"X","")</f>
      </c>
      <c r="AE81" s="56" t="str">
        <f>IF(COUNTIFS('LANÇAMENTOS DIÁRIOS'!$G$5:$G$500,"D",'LANÇAMENTOS DIÁRIOS'!$C$5:$C$500,$A81,'LANÇAMENTOS DIÁRIOS'!$O$5:$O$500,"&lt;=103499",'LANÇAMENTOS DIÁRIOS'!$P$5:$P$500,"&gt;=103400")&gt;0,"X","")</f>
      </c>
      <c r="AF81" s="56" t="str">
        <f>IF(COUNTIFS('LANÇAMENTOS DIÁRIOS'!$G$5:$G$500,"D",'LANÇAMENTOS DIÁRIOS'!$C$5:$C$500,$A81,'LANÇAMENTOS DIÁRIOS'!$O$5:$O$500,"&lt;=103599",'LANÇAMENTOS DIÁRIOS'!$P$5:$P$500,"&gt;=103500")&gt;0,"X","")</f>
      </c>
      <c r="AG81" s="56" t="str">
        <f>IF(COUNTIFS('LANÇAMENTOS DIÁRIOS'!$G$5:$G$500,"D",'LANÇAMENTOS DIÁRIOS'!$C$5:$C$500,$A81,'LANÇAMENTOS DIÁRIOS'!$O$5:$O$500,"&lt;=103699",'LANÇAMENTOS DIÁRIOS'!$P$5:$P$500,"&gt;=103600")&gt;0,"X","")</f>
      </c>
      <c r="AH81" s="56" t="str">
        <f>IF(COUNTIFS('LANÇAMENTOS DIÁRIOS'!$G$5:$G$500,"D",'LANÇAMENTOS DIÁRIOS'!$C$5:$C$500,$A81,'LANÇAMENTOS DIÁRIOS'!$O$5:$O$500,"&lt;=103799",'LANÇAMENTOS DIÁRIOS'!$P$5:$P$500,"&gt;=103700")&gt;0,"X","")</f>
      </c>
      <c r="AI81" s="56" t="str">
        <f>IF(COUNTIFS('LANÇAMENTOS DIÁRIOS'!$G$5:$G$500,"D",'LANÇAMENTOS DIÁRIOS'!$C$5:$C$500,$A81,'LANÇAMENTOS DIÁRIOS'!$O$5:$O$500,"&lt;=103899",'LANÇAMENTOS DIÁRIOS'!$P$5:$P$500,"&gt;=103800")&gt;0,"X","")</f>
      </c>
      <c r="AJ81" s="56" t="str">
        <f>IF(COUNTIFS('LANÇAMENTOS DIÁRIOS'!$G$5:$G$500,"D",'LANÇAMENTOS DIÁRIOS'!$C$5:$C$500,$A81,'LANÇAMENTOS DIÁRIOS'!$O$5:$O$500,"&lt;=103999",'LANÇAMENTOS DIÁRIOS'!$P$5:$P$500,"&gt;=103900")&gt;0,"X","")</f>
      </c>
      <c r="AK81" s="56" t="str">
        <f>IF(COUNTIFS('LANÇAMENTOS DIÁRIOS'!$G$5:$G$500,"D",'LANÇAMENTOS DIÁRIOS'!$C$5:$C$500,$A81,'LANÇAMENTOS DIÁRIOS'!$O$5:$O$500,"&lt;=104099",'LANÇAMENTOS DIÁRIOS'!$P$5:$P$500,"&gt;=104000")&gt;0,"X","")</f>
      </c>
      <c r="AL81" s="56" t="str">
        <f>IF(COUNTIFS('LANÇAMENTOS DIÁRIOS'!$G$5:$G$500,"D",'LANÇAMENTOS DIÁRIOS'!$C$5:$C$500,$A81,'LANÇAMENTOS DIÁRIOS'!$O$5:$O$500,"&lt;=104199",'LANÇAMENTOS DIÁRIOS'!$P$5:$P$500,"&gt;=104100")&gt;0,"X","")</f>
      </c>
      <c r="AM81" s="56" t="str">
        <f>IF(COUNTIFS('LANÇAMENTOS DIÁRIOS'!$G$5:$G$500,"D",'LANÇAMENTOS DIÁRIOS'!$C$5:$C$500,$A81,'LANÇAMENTOS DIÁRIOS'!$O$5:$O$500,"&lt;=104299",'LANÇAMENTOS DIÁRIOS'!$P$5:$P$500,"&gt;=104200")&gt;0,"X","")</f>
      </c>
      <c r="AN81" s="56" t="str">
        <f>IF(COUNTIFS('LANÇAMENTOS DIÁRIOS'!$G$5:$G$500,"D",'LANÇAMENTOS DIÁRIOS'!$C$5:$C$500,$A81,'LANÇAMENTOS DIÁRIOS'!$O$5:$O$500,"&lt;=104399",'LANÇAMENTOS DIÁRIOS'!$P$5:$P$500,"&gt;=104300")&gt;0,"X","")</f>
      </c>
      <c r="AO81" s="56" t="str">
        <f>IF(COUNTIFS('LANÇAMENTOS DIÁRIOS'!$G$5:$G$500,"D",'LANÇAMENTOS DIÁRIOS'!$C$5:$C$500,$A81,'LANÇAMENTOS DIÁRIOS'!$O$5:$O$500,"&lt;=104499",'LANÇAMENTOS DIÁRIOS'!$P$5:$P$500,"&gt;=104400")&gt;0,"X","")</f>
      </c>
      <c r="AP81" s="56" t="str">
        <f>IF(COUNTIFS('LANÇAMENTOS DIÁRIOS'!$G$5:$G$500,"D",'LANÇAMENTOS DIÁRIOS'!$C$5:$C$500,$A81,'LANÇAMENTOS DIÁRIOS'!$O$5:$O$500,"&lt;=104599",'LANÇAMENTOS DIÁRIOS'!$P$5:$P$500,"&gt;=104500")&gt;0,"X","")</f>
      </c>
      <c r="AQ81" s="56" t="str">
        <f>IF(COUNTIFS('LANÇAMENTOS DIÁRIOS'!$G$5:$G$500,"D",'LANÇAMENTOS DIÁRIOS'!$C$5:$C$500,$A81,'LANÇAMENTOS DIÁRIOS'!$O$5:$O$500,"&lt;=104699",'LANÇAMENTOS DIÁRIOS'!$P$5:$P$500,"&gt;=104600")&gt;0,"X","")</f>
      </c>
      <c r="AR81" s="56" t="str">
        <f>IF(COUNTIFS('LANÇAMENTOS DIÁRIOS'!$G$5:$G$500,"D",'LANÇAMENTOS DIÁRIOS'!$C$5:$C$500,$A81,'LANÇAMENTOS DIÁRIOS'!$O$5:$O$500,"&lt;=104799",'LANÇAMENTOS DIÁRIOS'!$P$5:$P$500,"&gt;=104700")&gt;0,"X","")</f>
      </c>
      <c r="AS81" s="56" t="str">
        <f>IF(COUNTIFS('LANÇAMENTOS DIÁRIOS'!$G$5:$G$500,"D",'LANÇAMENTOS DIÁRIOS'!$C$5:$C$500,$A81,'LANÇAMENTOS DIÁRIOS'!$O$5:$O$500,"&lt;=104899",'LANÇAMENTOS DIÁRIOS'!$P$5:$P$500,"&gt;=104800")&gt;0,"X","")</f>
      </c>
      <c r="AT81" s="56" t="str">
        <f>IF(COUNTIFS('LANÇAMENTOS DIÁRIOS'!$G$5:$G$500,"D",'LANÇAMENTOS DIÁRIOS'!$C$5:$C$500,$A81,'LANÇAMENTOS DIÁRIOS'!$O$5:$O$500,"&lt;=104999",'LANÇAMENTOS DIÁRIOS'!$P$5:$P$500,"&gt;=104900")&gt;0,"X","")</f>
      </c>
      <c r="AU81" s="56" t="str">
        <f>IF(COUNTIFS('LANÇAMENTOS DIÁRIOS'!$G$5:$G$500,"D",'LANÇAMENTOS DIÁRIOS'!$C$5:$C$500,$A81,'LANÇAMENTOS DIÁRIOS'!$O$5:$O$500,"&lt;=105099",'LANÇAMENTOS DIÁRIOS'!$P$5:$P$500,"&gt;=105000")&gt;0,"X","")</f>
      </c>
      <c r="AV81" s="56" t="str">
        <f>IF(COUNTIFS('LANÇAMENTOS DIÁRIOS'!$G$5:$G$500,"D",'LANÇAMENTOS DIÁRIOS'!$C$5:$C$500,$A81,'LANÇAMENTOS DIÁRIOS'!$O$5:$O$500,"&lt;=105199",'LANÇAMENTOS DIÁRIOS'!$P$5:$P$500,"&gt;=105100")&gt;0,"X","")</f>
      </c>
      <c r="AW81" s="56" t="str">
        <f>IF(COUNTIFS('LANÇAMENTOS DIÁRIOS'!$G$5:$G$500,"D",'LANÇAMENTOS DIÁRIOS'!$C$5:$C$500,$A81,'LANÇAMENTOS DIÁRIOS'!$O$5:$O$500,"&lt;=105299",'LANÇAMENTOS DIÁRIOS'!$P$5:$P$500,"&gt;=105200")&gt;0,"X","")</f>
      </c>
      <c r="AX81" s="56" t="str">
        <f>IF(COUNTIFS('LANÇAMENTOS DIÁRIOS'!$G$5:$G$500,"D",'LANÇAMENTOS DIÁRIOS'!$C$5:$C$500,$A81,'LANÇAMENTOS DIÁRIOS'!$O$5:$O$500,"&lt;=105399",'LANÇAMENTOS DIÁRIOS'!$P$5:$P$500,"&gt;=105300")&gt;0,"X","")</f>
      </c>
      <c r="AY81" s="56" t="str">
        <f>IF(COUNTIFS('LANÇAMENTOS DIÁRIOS'!$G$5:$G$500,"D",'LANÇAMENTOS DIÁRIOS'!$C$5:$C$500,$A81,'LANÇAMENTOS DIÁRIOS'!$O$5:$O$500,"&lt;=105499",'LANÇAMENTOS DIÁRIOS'!$P$5:$P$500,"&gt;=105400")&gt;0,"X","")</f>
      </c>
      <c r="AZ81" s="56" t="str">
        <f>IF(COUNTIFS('LANÇAMENTOS DIÁRIOS'!$G$5:$G$500,"D",'LANÇAMENTOS DIÁRIOS'!$C$5:$C$500,$A81,'LANÇAMENTOS DIÁRIOS'!$O$5:$O$500,"&lt;=105500",'LANÇAMENTOS DIÁRIOS'!$P$5:$P$500,"&gt;=105500")&gt;0,"X","")</f>
      </c>
    </row>
    <row r="82">
      <c r="A82" s="51" t="str">
        <v>Solo brita 30/70</v>
      </c>
      <c r="B82" s="56" t="str">
        <f>IF(COUNTIFS('LANÇAMENTOS DIÁRIOS'!$G$5:$G$500,"D",'LANÇAMENTOS DIÁRIOS'!$C$5:$C$500,$A82,'LANÇAMENTOS DIÁRIOS'!$O$5:$O$500,"&lt;=100599",'LANÇAMENTOS DIÁRIOS'!$P$5:$P$500,"&gt;=100500")&gt;0,"X","")</f>
      </c>
      <c r="C82" s="56" t="str">
        <f>IF(COUNTIFS('LANÇAMENTOS DIÁRIOS'!$G$5:$G$500,"D",'LANÇAMENTOS DIÁRIOS'!$C$5:$C$500,$A82,'LANÇAMENTOS DIÁRIOS'!$O$5:$O$500,"&lt;=100699",'LANÇAMENTOS DIÁRIOS'!$P$5:$P$500,"&gt;=100600")&gt;0,"X","")</f>
      </c>
      <c r="D82" s="56" t="str">
        <f>IF(COUNTIFS('LANÇAMENTOS DIÁRIOS'!$G$5:$G$500,"D",'LANÇAMENTOS DIÁRIOS'!$C$5:$C$500,$A82,'LANÇAMENTOS DIÁRIOS'!$O$5:$O$500,"&lt;=100799",'LANÇAMENTOS DIÁRIOS'!$P$5:$P$500,"&gt;=100700")&gt;0,"X","")</f>
      </c>
      <c r="E82" s="56" t="str">
        <f>IF(COUNTIFS('LANÇAMENTOS DIÁRIOS'!$G$5:$G$500,"D",'LANÇAMENTOS DIÁRIOS'!$C$5:$C$500,$A82,'LANÇAMENTOS DIÁRIOS'!$O$5:$O$500,"&lt;=100899",'LANÇAMENTOS DIÁRIOS'!$P$5:$P$500,"&gt;=100800")&gt;0,"X","")</f>
      </c>
      <c r="F82" s="56" t="str">
        <f>IF(COUNTIFS('LANÇAMENTOS DIÁRIOS'!$G$5:$G$500,"D",'LANÇAMENTOS DIÁRIOS'!$C$5:$C$500,$A82,'LANÇAMENTOS DIÁRIOS'!$O$5:$O$500,"&lt;=100999",'LANÇAMENTOS DIÁRIOS'!$P$5:$P$500,"&gt;=100900")&gt;0,"X","")</f>
      </c>
      <c r="G82" s="56" t="str">
        <f>IF(COUNTIFS('LANÇAMENTOS DIÁRIOS'!$G$5:$G$500,"D",'LANÇAMENTOS DIÁRIOS'!$C$5:$C$500,$A82,'LANÇAMENTOS DIÁRIOS'!$O$5:$O$500,"&lt;=101099",'LANÇAMENTOS DIÁRIOS'!$P$5:$P$500,"&gt;=101000")&gt;0,"X","")</f>
      </c>
      <c r="H82" s="56" t="str">
        <f>IF(COUNTIFS('LANÇAMENTOS DIÁRIOS'!$G$5:$G$500,"D",'LANÇAMENTOS DIÁRIOS'!$C$5:$C$500,$A82,'LANÇAMENTOS DIÁRIOS'!$O$5:$O$500,"&lt;=101199",'LANÇAMENTOS DIÁRIOS'!$P$5:$P$500,"&gt;=101100")&gt;0,"X","")</f>
      </c>
      <c r="I82" s="56" t="str">
        <f>IF(COUNTIFS('LANÇAMENTOS DIÁRIOS'!$G$5:$G$500,"D",'LANÇAMENTOS DIÁRIOS'!$C$5:$C$500,$A82,'LANÇAMENTOS DIÁRIOS'!$O$5:$O$500,"&lt;=101299",'LANÇAMENTOS DIÁRIOS'!$P$5:$P$500,"&gt;=101200")&gt;0,"X","")</f>
      </c>
      <c r="J82" s="56" t="str">
        <f>IF(COUNTIFS('LANÇAMENTOS DIÁRIOS'!$G$5:$G$500,"D",'LANÇAMENTOS DIÁRIOS'!$C$5:$C$500,$A82,'LANÇAMENTOS DIÁRIOS'!$O$5:$O$500,"&lt;=101399",'LANÇAMENTOS DIÁRIOS'!$P$5:$P$500,"&gt;=101300")&gt;0,"X","")</f>
      </c>
      <c r="K82" s="56" t="str">
        <f>IF(COUNTIFS('LANÇAMENTOS DIÁRIOS'!$G$5:$G$500,"D",'LANÇAMENTOS DIÁRIOS'!$C$5:$C$500,$A82,'LANÇAMENTOS DIÁRIOS'!$O$5:$O$500,"&lt;=101499",'LANÇAMENTOS DIÁRIOS'!$P$5:$P$500,"&gt;=101400")&gt;0,"X","")</f>
      </c>
      <c r="L82" s="56" t="str">
        <f>IF(COUNTIFS('LANÇAMENTOS DIÁRIOS'!$G$5:$G$500,"D",'LANÇAMENTOS DIÁRIOS'!$C$5:$C$500,$A82,'LANÇAMENTOS DIÁRIOS'!$O$5:$O$500,"&lt;=101599",'LANÇAMENTOS DIÁRIOS'!$P$5:$P$500,"&gt;=101500")&gt;0,"X","")</f>
      </c>
      <c r="M82" s="56" t="str">
        <f>IF(COUNTIFS('LANÇAMENTOS DIÁRIOS'!$G$5:$G$500,"D",'LANÇAMENTOS DIÁRIOS'!$C$5:$C$500,$A82,'LANÇAMENTOS DIÁRIOS'!$O$5:$O$500,"&lt;=101699",'LANÇAMENTOS DIÁRIOS'!$P$5:$P$500,"&gt;=101600")&gt;0,"X","")</f>
      </c>
      <c r="N82" s="56" t="str">
        <f>IF(COUNTIFS('LANÇAMENTOS DIÁRIOS'!$G$5:$G$500,"D",'LANÇAMENTOS DIÁRIOS'!$C$5:$C$500,$A82,'LANÇAMENTOS DIÁRIOS'!$O$5:$O$500,"&lt;=101799",'LANÇAMENTOS DIÁRIOS'!$P$5:$P$500,"&gt;=101700")&gt;0,"X","")</f>
      </c>
      <c r="O82" s="56" t="str">
        <f>IF(COUNTIFS('LANÇAMENTOS DIÁRIOS'!$G$5:$G$500,"D",'LANÇAMENTOS DIÁRIOS'!$C$5:$C$500,$A82,'LANÇAMENTOS DIÁRIOS'!$O$5:$O$500,"&lt;=101899",'LANÇAMENTOS DIÁRIOS'!$P$5:$P$500,"&gt;=101800")&gt;0,"X","")</f>
      </c>
      <c r="P82" s="56" t="str">
        <f>IF(COUNTIFS('LANÇAMENTOS DIÁRIOS'!$G$5:$G$500,"D",'LANÇAMENTOS DIÁRIOS'!$C$5:$C$500,$A82,'LANÇAMENTOS DIÁRIOS'!$O$5:$O$500,"&lt;=101999",'LANÇAMENTOS DIÁRIOS'!$P$5:$P$500,"&gt;=101900")&gt;0,"X","")</f>
      </c>
      <c r="Q82" s="56" t="str">
        <f>IF(COUNTIFS('LANÇAMENTOS DIÁRIOS'!$G$5:$G$500,"D",'LANÇAMENTOS DIÁRIOS'!$C$5:$C$500,$A82,'LANÇAMENTOS DIÁRIOS'!$O$5:$O$500,"&lt;=102099",'LANÇAMENTOS DIÁRIOS'!$P$5:$P$500,"&gt;=102000")&gt;0,"X","")</f>
      </c>
      <c r="R82" s="56" t="str">
        <f>IF(COUNTIFS('LANÇAMENTOS DIÁRIOS'!$G$5:$G$500,"D",'LANÇAMENTOS DIÁRIOS'!$C$5:$C$500,$A82,'LANÇAMENTOS DIÁRIOS'!$O$5:$O$500,"&lt;=102199",'LANÇAMENTOS DIÁRIOS'!$P$5:$P$500,"&gt;=102100")&gt;0,"X","")</f>
      </c>
      <c r="S82" s="56" t="str">
        <f>IF(COUNTIFS('LANÇAMENTOS DIÁRIOS'!$G$5:$G$500,"D",'LANÇAMENTOS DIÁRIOS'!$C$5:$C$500,$A82,'LANÇAMENTOS DIÁRIOS'!$O$5:$O$500,"&lt;=102299",'LANÇAMENTOS DIÁRIOS'!$P$5:$P$500,"&gt;=102200")&gt;0,"X","")</f>
      </c>
      <c r="T82" s="56" t="str">
        <f>IF(COUNTIFS('LANÇAMENTOS DIÁRIOS'!$G$5:$G$500,"D",'LANÇAMENTOS DIÁRIOS'!$C$5:$C$500,$A82,'LANÇAMENTOS DIÁRIOS'!$O$5:$O$500,"&lt;=102399",'LANÇAMENTOS DIÁRIOS'!$P$5:$P$500,"&gt;=102300")&gt;0,"X","")</f>
      </c>
      <c r="U82" s="56" t="str">
        <f>IF(COUNTIFS('LANÇAMENTOS DIÁRIOS'!$G$5:$G$500,"D",'LANÇAMENTOS DIÁRIOS'!$C$5:$C$500,$A82,'LANÇAMENTOS DIÁRIOS'!$O$5:$O$500,"&lt;=102499",'LANÇAMENTOS DIÁRIOS'!$P$5:$P$500,"&gt;=102400")&gt;0,"X","")</f>
      </c>
      <c r="V82" s="56" t="str">
        <f>IF(COUNTIFS('LANÇAMENTOS DIÁRIOS'!$G$5:$G$500,"D",'LANÇAMENTOS DIÁRIOS'!$C$5:$C$500,$A82,'LANÇAMENTOS DIÁRIOS'!$O$5:$O$500,"&lt;=102599",'LANÇAMENTOS DIÁRIOS'!$P$5:$P$500,"&gt;=102500")&gt;0,"X","")</f>
      </c>
      <c r="W82" s="56" t="str">
        <f>IF(COUNTIFS('LANÇAMENTOS DIÁRIOS'!$G$5:$G$500,"D",'LANÇAMENTOS DIÁRIOS'!$C$5:$C$500,$A82,'LANÇAMENTOS DIÁRIOS'!$O$5:$O$500,"&lt;=102699",'LANÇAMENTOS DIÁRIOS'!$P$5:$P$500,"&gt;=102600")&gt;0,"X","")</f>
      </c>
      <c r="X82" s="56" t="str">
        <f>IF(COUNTIFS('LANÇAMENTOS DIÁRIOS'!$G$5:$G$500,"D",'LANÇAMENTOS DIÁRIOS'!$C$5:$C$500,$A82,'LANÇAMENTOS DIÁRIOS'!$O$5:$O$500,"&lt;=102799",'LANÇAMENTOS DIÁRIOS'!$P$5:$P$500,"&gt;=102700")&gt;0,"X","")</f>
      </c>
      <c r="Y82" s="56" t="str">
        <f>IF(COUNTIFS('LANÇAMENTOS DIÁRIOS'!$G$5:$G$500,"D",'LANÇAMENTOS DIÁRIOS'!$C$5:$C$500,$A82,'LANÇAMENTOS DIÁRIOS'!$O$5:$O$500,"&lt;=102899",'LANÇAMENTOS DIÁRIOS'!$P$5:$P$500,"&gt;=102800")&gt;0,"X","")</f>
      </c>
      <c r="Z82" s="56" t="str">
        <f>IF(COUNTIFS('LANÇAMENTOS DIÁRIOS'!$G$5:$G$500,"D",'LANÇAMENTOS DIÁRIOS'!$C$5:$C$500,$A82,'LANÇAMENTOS DIÁRIOS'!$O$5:$O$500,"&lt;=102999",'LANÇAMENTOS DIÁRIOS'!$P$5:$P$500,"&gt;=102900")&gt;0,"X","")</f>
      </c>
      <c r="AA82" s="56" t="str">
        <f>IF(COUNTIFS('LANÇAMENTOS DIÁRIOS'!$G$5:$G$500,"D",'LANÇAMENTOS DIÁRIOS'!$C$5:$C$500,$A82,'LANÇAMENTOS DIÁRIOS'!$O$5:$O$500,"&lt;=103099",'LANÇAMENTOS DIÁRIOS'!$P$5:$P$500,"&gt;=103000")&gt;0,"X","")</f>
      </c>
      <c r="AB82" s="56" t="str">
        <f>IF(COUNTIFS('LANÇAMENTOS DIÁRIOS'!$G$5:$G$500,"D",'LANÇAMENTOS DIÁRIOS'!$C$5:$C$500,$A82,'LANÇAMENTOS DIÁRIOS'!$O$5:$O$500,"&lt;=103199",'LANÇAMENTOS DIÁRIOS'!$P$5:$P$500,"&gt;=103100")&gt;0,"X","")</f>
      </c>
      <c r="AC82" s="56" t="str">
        <f>IF(COUNTIFS('LANÇAMENTOS DIÁRIOS'!$G$5:$G$500,"D",'LANÇAMENTOS DIÁRIOS'!$C$5:$C$500,$A82,'LANÇAMENTOS DIÁRIOS'!$O$5:$O$500,"&lt;=103299",'LANÇAMENTOS DIÁRIOS'!$P$5:$P$500,"&gt;=103200")&gt;0,"X","")</f>
      </c>
      <c r="AD82" s="56" t="str">
        <f>IF(COUNTIFS('LANÇAMENTOS DIÁRIOS'!$G$5:$G$500,"D",'LANÇAMENTOS DIÁRIOS'!$C$5:$C$500,$A82,'LANÇAMENTOS DIÁRIOS'!$O$5:$O$500,"&lt;=103399",'LANÇAMENTOS DIÁRIOS'!$P$5:$P$500,"&gt;=103300")&gt;0,"X","")</f>
      </c>
      <c r="AE82" s="56" t="str">
        <f>IF(COUNTIFS('LANÇAMENTOS DIÁRIOS'!$G$5:$G$500,"D",'LANÇAMENTOS DIÁRIOS'!$C$5:$C$500,$A82,'LANÇAMENTOS DIÁRIOS'!$O$5:$O$500,"&lt;=103499",'LANÇAMENTOS DIÁRIOS'!$P$5:$P$500,"&gt;=103400")&gt;0,"X","")</f>
      </c>
      <c r="AF82" s="56" t="str">
        <f>IF(COUNTIFS('LANÇAMENTOS DIÁRIOS'!$G$5:$G$500,"D",'LANÇAMENTOS DIÁRIOS'!$C$5:$C$500,$A82,'LANÇAMENTOS DIÁRIOS'!$O$5:$O$500,"&lt;=103599",'LANÇAMENTOS DIÁRIOS'!$P$5:$P$500,"&gt;=103500")&gt;0,"X","")</f>
      </c>
      <c r="AG82" s="56" t="str">
        <f>IF(COUNTIFS('LANÇAMENTOS DIÁRIOS'!$G$5:$G$500,"D",'LANÇAMENTOS DIÁRIOS'!$C$5:$C$500,$A82,'LANÇAMENTOS DIÁRIOS'!$O$5:$O$500,"&lt;=103699",'LANÇAMENTOS DIÁRIOS'!$P$5:$P$500,"&gt;=103600")&gt;0,"X","")</f>
      </c>
      <c r="AH82" s="56" t="str">
        <f>IF(COUNTIFS('LANÇAMENTOS DIÁRIOS'!$G$5:$G$500,"D",'LANÇAMENTOS DIÁRIOS'!$C$5:$C$500,$A82,'LANÇAMENTOS DIÁRIOS'!$O$5:$O$500,"&lt;=103799",'LANÇAMENTOS DIÁRIOS'!$P$5:$P$500,"&gt;=103700")&gt;0,"X","")</f>
      </c>
      <c r="AI82" s="56" t="str">
        <f>IF(COUNTIFS('LANÇAMENTOS DIÁRIOS'!$G$5:$G$500,"D",'LANÇAMENTOS DIÁRIOS'!$C$5:$C$500,$A82,'LANÇAMENTOS DIÁRIOS'!$O$5:$O$500,"&lt;=103899",'LANÇAMENTOS DIÁRIOS'!$P$5:$P$500,"&gt;=103800")&gt;0,"X","")</f>
      </c>
      <c r="AJ82" s="56" t="str">
        <f>IF(COUNTIFS('LANÇAMENTOS DIÁRIOS'!$G$5:$G$500,"D",'LANÇAMENTOS DIÁRIOS'!$C$5:$C$500,$A82,'LANÇAMENTOS DIÁRIOS'!$O$5:$O$500,"&lt;=103999",'LANÇAMENTOS DIÁRIOS'!$P$5:$P$500,"&gt;=103900")&gt;0,"X","")</f>
      </c>
      <c r="AK82" s="56" t="str">
        <f>IF(COUNTIFS('LANÇAMENTOS DIÁRIOS'!$G$5:$G$500,"D",'LANÇAMENTOS DIÁRIOS'!$C$5:$C$500,$A82,'LANÇAMENTOS DIÁRIOS'!$O$5:$O$500,"&lt;=104099",'LANÇAMENTOS DIÁRIOS'!$P$5:$P$500,"&gt;=104000")&gt;0,"X","")</f>
      </c>
      <c r="AL82" s="56" t="str">
        <f>IF(COUNTIFS('LANÇAMENTOS DIÁRIOS'!$G$5:$G$500,"D",'LANÇAMENTOS DIÁRIOS'!$C$5:$C$500,$A82,'LANÇAMENTOS DIÁRIOS'!$O$5:$O$500,"&lt;=104199",'LANÇAMENTOS DIÁRIOS'!$P$5:$P$500,"&gt;=104100")&gt;0,"X","")</f>
      </c>
      <c r="AM82" s="56" t="str">
        <f>IF(COUNTIFS('LANÇAMENTOS DIÁRIOS'!$G$5:$G$500,"D",'LANÇAMENTOS DIÁRIOS'!$C$5:$C$500,$A82,'LANÇAMENTOS DIÁRIOS'!$O$5:$O$500,"&lt;=104299",'LANÇAMENTOS DIÁRIOS'!$P$5:$P$500,"&gt;=104200")&gt;0,"X","")</f>
      </c>
      <c r="AN82" s="56" t="str">
        <f>IF(COUNTIFS('LANÇAMENTOS DIÁRIOS'!$G$5:$G$500,"D",'LANÇAMENTOS DIÁRIOS'!$C$5:$C$500,$A82,'LANÇAMENTOS DIÁRIOS'!$O$5:$O$500,"&lt;=104399",'LANÇAMENTOS DIÁRIOS'!$P$5:$P$500,"&gt;=104300")&gt;0,"X","")</f>
      </c>
      <c r="AO82" s="56" t="str">
        <f>IF(COUNTIFS('LANÇAMENTOS DIÁRIOS'!$G$5:$G$500,"D",'LANÇAMENTOS DIÁRIOS'!$C$5:$C$500,$A82,'LANÇAMENTOS DIÁRIOS'!$O$5:$O$500,"&lt;=104499",'LANÇAMENTOS DIÁRIOS'!$P$5:$P$500,"&gt;=104400")&gt;0,"X","")</f>
      </c>
      <c r="AP82" s="56" t="str">
        <f>IF(COUNTIFS('LANÇAMENTOS DIÁRIOS'!$G$5:$G$500,"D",'LANÇAMENTOS DIÁRIOS'!$C$5:$C$500,$A82,'LANÇAMENTOS DIÁRIOS'!$O$5:$O$500,"&lt;=104599",'LANÇAMENTOS DIÁRIOS'!$P$5:$P$500,"&gt;=104500")&gt;0,"X","")</f>
      </c>
      <c r="AQ82" s="56" t="str">
        <f>IF(COUNTIFS('LANÇAMENTOS DIÁRIOS'!$G$5:$G$500,"D",'LANÇAMENTOS DIÁRIOS'!$C$5:$C$500,$A82,'LANÇAMENTOS DIÁRIOS'!$O$5:$O$500,"&lt;=104699",'LANÇAMENTOS DIÁRIOS'!$P$5:$P$500,"&gt;=104600")&gt;0,"X","")</f>
      </c>
      <c r="AR82" s="56" t="str">
        <f>IF(COUNTIFS('LANÇAMENTOS DIÁRIOS'!$G$5:$G$500,"D",'LANÇAMENTOS DIÁRIOS'!$C$5:$C$500,$A82,'LANÇAMENTOS DIÁRIOS'!$O$5:$O$500,"&lt;=104799",'LANÇAMENTOS DIÁRIOS'!$P$5:$P$500,"&gt;=104700")&gt;0,"X","")</f>
      </c>
      <c r="AS82" s="56" t="str">
        <f>IF(COUNTIFS('LANÇAMENTOS DIÁRIOS'!$G$5:$G$500,"D",'LANÇAMENTOS DIÁRIOS'!$C$5:$C$500,$A82,'LANÇAMENTOS DIÁRIOS'!$O$5:$O$500,"&lt;=104899",'LANÇAMENTOS DIÁRIOS'!$P$5:$P$500,"&gt;=104800")&gt;0,"X","")</f>
      </c>
      <c r="AT82" s="56" t="str">
        <f>IF(COUNTIFS('LANÇAMENTOS DIÁRIOS'!$G$5:$G$500,"D",'LANÇAMENTOS DIÁRIOS'!$C$5:$C$500,$A82,'LANÇAMENTOS DIÁRIOS'!$O$5:$O$500,"&lt;=104999",'LANÇAMENTOS DIÁRIOS'!$P$5:$P$500,"&gt;=104900")&gt;0,"X","")</f>
      </c>
      <c r="AU82" s="56" t="str">
        <f>IF(COUNTIFS('LANÇAMENTOS DIÁRIOS'!$G$5:$G$500,"D",'LANÇAMENTOS DIÁRIOS'!$C$5:$C$500,$A82,'LANÇAMENTOS DIÁRIOS'!$O$5:$O$500,"&lt;=105099",'LANÇAMENTOS DIÁRIOS'!$P$5:$P$500,"&gt;=105000")&gt;0,"X","")</f>
      </c>
      <c r="AV82" s="56" t="str">
        <f>IF(COUNTIFS('LANÇAMENTOS DIÁRIOS'!$G$5:$G$500,"D",'LANÇAMENTOS DIÁRIOS'!$C$5:$C$500,$A82,'LANÇAMENTOS DIÁRIOS'!$O$5:$O$500,"&lt;=105199",'LANÇAMENTOS DIÁRIOS'!$P$5:$P$500,"&gt;=105100")&gt;0,"X","")</f>
      </c>
      <c r="AW82" s="56" t="str">
        <f>IF(COUNTIFS('LANÇAMENTOS DIÁRIOS'!$G$5:$G$500,"D",'LANÇAMENTOS DIÁRIOS'!$C$5:$C$500,$A82,'LANÇAMENTOS DIÁRIOS'!$O$5:$O$500,"&lt;=105299",'LANÇAMENTOS DIÁRIOS'!$P$5:$P$500,"&gt;=105200")&gt;0,"X","")</f>
      </c>
      <c r="AX82" s="56" t="str">
        <f>IF(COUNTIFS('LANÇAMENTOS DIÁRIOS'!$G$5:$G$500,"D",'LANÇAMENTOS DIÁRIOS'!$C$5:$C$500,$A82,'LANÇAMENTOS DIÁRIOS'!$O$5:$O$500,"&lt;=105399",'LANÇAMENTOS DIÁRIOS'!$P$5:$P$500,"&gt;=105300")&gt;0,"X","")</f>
      </c>
      <c r="AY82" s="56" t="str">
        <f>IF(COUNTIFS('LANÇAMENTOS DIÁRIOS'!$G$5:$G$500,"D",'LANÇAMENTOS DIÁRIOS'!$C$5:$C$500,$A82,'LANÇAMENTOS DIÁRIOS'!$O$5:$O$500,"&lt;=105499",'LANÇAMENTOS DIÁRIOS'!$P$5:$P$500,"&gt;=105400")&gt;0,"X","")</f>
      </c>
      <c r="AZ82" s="56" t="str">
        <f>IF(COUNTIFS('LANÇAMENTOS DIÁRIOS'!$G$5:$G$500,"D",'LANÇAMENTOS DIÁRIOS'!$C$5:$C$500,$A82,'LANÇAMENTOS DIÁRIOS'!$O$5:$O$500,"&lt;=105500",'LANÇAMENTOS DIÁRIOS'!$P$5:$P$500,"&gt;=105500")&gt;0,"X","")</f>
      </c>
    </row>
    <row r="83" ht="19" customHeight="1">
      <c r="A83" s="68" t="str">
        <v>Construção da camada de revestimento</v>
      </c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</row>
    <row r="84">
      <c r="A84" s="51" t="str">
        <v>Imprimadura impermeabilizante com EAI - Sem o fornecimento dos materias</v>
      </c>
      <c r="B84" s="56" t="str">
        <f>IF(COUNTIFS('LANÇAMENTOS DIÁRIOS'!$G$5:$G$500,"D",'LANÇAMENTOS DIÁRIOS'!$C$5:$C$500,$A84,'LANÇAMENTOS DIÁRIOS'!$O$5:$O$500,"&lt;=100599",'LANÇAMENTOS DIÁRIOS'!$P$5:$P$500,"&gt;=100500")&gt;0,"X","")</f>
      </c>
      <c r="C84" s="56" t="str">
        <f>IF(COUNTIFS('LANÇAMENTOS DIÁRIOS'!$G$5:$G$500,"D",'LANÇAMENTOS DIÁRIOS'!$C$5:$C$500,$A84,'LANÇAMENTOS DIÁRIOS'!$O$5:$O$500,"&lt;=100699",'LANÇAMENTOS DIÁRIOS'!$P$5:$P$500,"&gt;=100600")&gt;0,"X","")</f>
      </c>
      <c r="D84" s="56" t="str">
        <f>IF(COUNTIFS('LANÇAMENTOS DIÁRIOS'!$G$5:$G$500,"D",'LANÇAMENTOS DIÁRIOS'!$C$5:$C$500,$A84,'LANÇAMENTOS DIÁRIOS'!$O$5:$O$500,"&lt;=100799",'LANÇAMENTOS DIÁRIOS'!$P$5:$P$500,"&gt;=100700")&gt;0,"X","")</f>
      </c>
      <c r="E84" s="56" t="str">
        <f>IF(COUNTIFS('LANÇAMENTOS DIÁRIOS'!$G$5:$G$500,"D",'LANÇAMENTOS DIÁRIOS'!$C$5:$C$500,$A84,'LANÇAMENTOS DIÁRIOS'!$O$5:$O$500,"&lt;=100899",'LANÇAMENTOS DIÁRIOS'!$P$5:$P$500,"&gt;=100800")&gt;0,"X","")</f>
      </c>
      <c r="F84" s="56" t="str">
        <f>IF(COUNTIFS('LANÇAMENTOS DIÁRIOS'!$G$5:$G$500,"D",'LANÇAMENTOS DIÁRIOS'!$C$5:$C$500,$A84,'LANÇAMENTOS DIÁRIOS'!$O$5:$O$500,"&lt;=100999",'LANÇAMENTOS DIÁRIOS'!$P$5:$P$500,"&gt;=100900")&gt;0,"X","")</f>
      </c>
      <c r="G84" s="56" t="str">
        <f>IF(COUNTIFS('LANÇAMENTOS DIÁRIOS'!$G$5:$G$500,"D",'LANÇAMENTOS DIÁRIOS'!$C$5:$C$500,$A84,'LANÇAMENTOS DIÁRIOS'!$O$5:$O$500,"&lt;=101099",'LANÇAMENTOS DIÁRIOS'!$P$5:$P$500,"&gt;=101000")&gt;0,"X","")</f>
      </c>
      <c r="H84" s="56" t="str">
        <f>IF(COUNTIFS('LANÇAMENTOS DIÁRIOS'!$G$5:$G$500,"D",'LANÇAMENTOS DIÁRIOS'!$C$5:$C$500,$A84,'LANÇAMENTOS DIÁRIOS'!$O$5:$O$500,"&lt;=101199",'LANÇAMENTOS DIÁRIOS'!$P$5:$P$500,"&gt;=101100")&gt;0,"X","")</f>
      </c>
      <c r="I84" s="56" t="str">
        <f>IF(COUNTIFS('LANÇAMENTOS DIÁRIOS'!$G$5:$G$500,"D",'LANÇAMENTOS DIÁRIOS'!$C$5:$C$500,$A84,'LANÇAMENTOS DIÁRIOS'!$O$5:$O$500,"&lt;=101299",'LANÇAMENTOS DIÁRIOS'!$P$5:$P$500,"&gt;=101200")&gt;0,"X","")</f>
      </c>
      <c r="J84" s="56" t="str">
        <f>IF(COUNTIFS('LANÇAMENTOS DIÁRIOS'!$G$5:$G$500,"D",'LANÇAMENTOS DIÁRIOS'!$C$5:$C$500,$A84,'LANÇAMENTOS DIÁRIOS'!$O$5:$O$500,"&lt;=101399",'LANÇAMENTOS DIÁRIOS'!$P$5:$P$500,"&gt;=101300")&gt;0,"X","")</f>
      </c>
      <c r="K84" s="56" t="str">
        <f>IF(COUNTIFS('LANÇAMENTOS DIÁRIOS'!$G$5:$G$500,"D",'LANÇAMENTOS DIÁRIOS'!$C$5:$C$500,$A84,'LANÇAMENTOS DIÁRIOS'!$O$5:$O$500,"&lt;=101499",'LANÇAMENTOS DIÁRIOS'!$P$5:$P$500,"&gt;=101400")&gt;0,"X","")</f>
      </c>
      <c r="L84" s="56" t="str">
        <f>IF(COUNTIFS('LANÇAMENTOS DIÁRIOS'!$G$5:$G$500,"D",'LANÇAMENTOS DIÁRIOS'!$C$5:$C$500,$A84,'LANÇAMENTOS DIÁRIOS'!$O$5:$O$500,"&lt;=101599",'LANÇAMENTOS DIÁRIOS'!$P$5:$P$500,"&gt;=101500")&gt;0,"X","")</f>
      </c>
      <c r="M84" s="56" t="str">
        <f>IF(COUNTIFS('LANÇAMENTOS DIÁRIOS'!$G$5:$G$500,"D",'LANÇAMENTOS DIÁRIOS'!$C$5:$C$500,$A84,'LANÇAMENTOS DIÁRIOS'!$O$5:$O$500,"&lt;=101699",'LANÇAMENTOS DIÁRIOS'!$P$5:$P$500,"&gt;=101600")&gt;0,"X","")</f>
      </c>
      <c r="N84" s="56" t="str">
        <f>IF(COUNTIFS('LANÇAMENTOS DIÁRIOS'!$G$5:$G$500,"D",'LANÇAMENTOS DIÁRIOS'!$C$5:$C$500,$A84,'LANÇAMENTOS DIÁRIOS'!$O$5:$O$500,"&lt;=101799",'LANÇAMENTOS DIÁRIOS'!$P$5:$P$500,"&gt;=101700")&gt;0,"X","")</f>
      </c>
      <c r="O84" s="56" t="str">
        <f>IF(COUNTIFS('LANÇAMENTOS DIÁRIOS'!$G$5:$G$500,"D",'LANÇAMENTOS DIÁRIOS'!$C$5:$C$500,$A84,'LANÇAMENTOS DIÁRIOS'!$O$5:$O$500,"&lt;=101899",'LANÇAMENTOS DIÁRIOS'!$P$5:$P$500,"&gt;=101800")&gt;0,"X","")</f>
      </c>
      <c r="P84" s="56" t="str">
        <f>IF(COUNTIFS('LANÇAMENTOS DIÁRIOS'!$G$5:$G$500,"D",'LANÇAMENTOS DIÁRIOS'!$C$5:$C$500,$A84,'LANÇAMENTOS DIÁRIOS'!$O$5:$O$500,"&lt;=101999",'LANÇAMENTOS DIÁRIOS'!$P$5:$P$500,"&gt;=101900")&gt;0,"X","")</f>
      </c>
      <c r="Q84" s="56" t="str">
        <f>IF(COUNTIFS('LANÇAMENTOS DIÁRIOS'!$G$5:$G$500,"D",'LANÇAMENTOS DIÁRIOS'!$C$5:$C$500,$A84,'LANÇAMENTOS DIÁRIOS'!$O$5:$O$500,"&lt;=102099",'LANÇAMENTOS DIÁRIOS'!$P$5:$P$500,"&gt;=102000")&gt;0,"X","")</f>
      </c>
      <c r="R84" s="56" t="str">
        <f>IF(COUNTIFS('LANÇAMENTOS DIÁRIOS'!$G$5:$G$500,"D",'LANÇAMENTOS DIÁRIOS'!$C$5:$C$500,$A84,'LANÇAMENTOS DIÁRIOS'!$O$5:$O$500,"&lt;=102199",'LANÇAMENTOS DIÁRIOS'!$P$5:$P$500,"&gt;=102100")&gt;0,"X","")</f>
      </c>
      <c r="S84" s="56" t="str">
        <f>IF(COUNTIFS('LANÇAMENTOS DIÁRIOS'!$G$5:$G$500,"D",'LANÇAMENTOS DIÁRIOS'!$C$5:$C$500,$A84,'LANÇAMENTOS DIÁRIOS'!$O$5:$O$500,"&lt;=102299",'LANÇAMENTOS DIÁRIOS'!$P$5:$P$500,"&gt;=102200")&gt;0,"X","")</f>
      </c>
      <c r="T84" s="56" t="str">
        <f>IF(COUNTIFS('LANÇAMENTOS DIÁRIOS'!$G$5:$G$500,"D",'LANÇAMENTOS DIÁRIOS'!$C$5:$C$500,$A84,'LANÇAMENTOS DIÁRIOS'!$O$5:$O$500,"&lt;=102399",'LANÇAMENTOS DIÁRIOS'!$P$5:$P$500,"&gt;=102300")&gt;0,"X","")</f>
      </c>
      <c r="U84" s="56" t="str">
        <f>IF(COUNTIFS('LANÇAMENTOS DIÁRIOS'!$G$5:$G$500,"D",'LANÇAMENTOS DIÁRIOS'!$C$5:$C$500,$A84,'LANÇAMENTOS DIÁRIOS'!$O$5:$O$500,"&lt;=102499",'LANÇAMENTOS DIÁRIOS'!$P$5:$P$500,"&gt;=102400")&gt;0,"X","")</f>
      </c>
      <c r="V84" s="56" t="str">
        <f>IF(COUNTIFS('LANÇAMENTOS DIÁRIOS'!$G$5:$G$500,"D",'LANÇAMENTOS DIÁRIOS'!$C$5:$C$500,$A84,'LANÇAMENTOS DIÁRIOS'!$O$5:$O$500,"&lt;=102599",'LANÇAMENTOS DIÁRIOS'!$P$5:$P$500,"&gt;=102500")&gt;0,"X","")</f>
      </c>
      <c r="W84" s="56" t="str">
        <f>IF(COUNTIFS('LANÇAMENTOS DIÁRIOS'!$G$5:$G$500,"D",'LANÇAMENTOS DIÁRIOS'!$C$5:$C$500,$A84,'LANÇAMENTOS DIÁRIOS'!$O$5:$O$500,"&lt;=102699",'LANÇAMENTOS DIÁRIOS'!$P$5:$P$500,"&gt;=102600")&gt;0,"X","")</f>
      </c>
      <c r="X84" s="56" t="str">
        <f>IF(COUNTIFS('LANÇAMENTOS DIÁRIOS'!$G$5:$G$500,"D",'LANÇAMENTOS DIÁRIOS'!$C$5:$C$500,$A84,'LANÇAMENTOS DIÁRIOS'!$O$5:$O$500,"&lt;=102799",'LANÇAMENTOS DIÁRIOS'!$P$5:$P$500,"&gt;=102700")&gt;0,"X","")</f>
      </c>
      <c r="Y84" s="56" t="str">
        <f>IF(COUNTIFS('LANÇAMENTOS DIÁRIOS'!$G$5:$G$500,"D",'LANÇAMENTOS DIÁRIOS'!$C$5:$C$500,$A84,'LANÇAMENTOS DIÁRIOS'!$O$5:$O$500,"&lt;=102899",'LANÇAMENTOS DIÁRIOS'!$P$5:$P$500,"&gt;=102800")&gt;0,"X","")</f>
      </c>
      <c r="Z84" s="56" t="str">
        <f>IF(COUNTIFS('LANÇAMENTOS DIÁRIOS'!$G$5:$G$500,"D",'LANÇAMENTOS DIÁRIOS'!$C$5:$C$500,$A84,'LANÇAMENTOS DIÁRIOS'!$O$5:$O$500,"&lt;=102999",'LANÇAMENTOS DIÁRIOS'!$P$5:$P$500,"&gt;=102900")&gt;0,"X","")</f>
      </c>
      <c r="AA84" s="56" t="str">
        <f>IF(COUNTIFS('LANÇAMENTOS DIÁRIOS'!$G$5:$G$500,"D",'LANÇAMENTOS DIÁRIOS'!$C$5:$C$500,$A84,'LANÇAMENTOS DIÁRIOS'!$O$5:$O$500,"&lt;=103099",'LANÇAMENTOS DIÁRIOS'!$P$5:$P$500,"&gt;=103000")&gt;0,"X","")</f>
      </c>
      <c r="AB84" s="56" t="str">
        <f>IF(COUNTIFS('LANÇAMENTOS DIÁRIOS'!$G$5:$G$500,"D",'LANÇAMENTOS DIÁRIOS'!$C$5:$C$500,$A84,'LANÇAMENTOS DIÁRIOS'!$O$5:$O$500,"&lt;=103199",'LANÇAMENTOS DIÁRIOS'!$P$5:$P$500,"&gt;=103100")&gt;0,"X","")</f>
      </c>
      <c r="AC84" s="56" t="str">
        <f>IF(COUNTIFS('LANÇAMENTOS DIÁRIOS'!$G$5:$G$500,"D",'LANÇAMENTOS DIÁRIOS'!$C$5:$C$500,$A84,'LANÇAMENTOS DIÁRIOS'!$O$5:$O$500,"&lt;=103299",'LANÇAMENTOS DIÁRIOS'!$P$5:$P$500,"&gt;=103200")&gt;0,"X","")</f>
      </c>
      <c r="AD84" s="56" t="str">
        <f>IF(COUNTIFS('LANÇAMENTOS DIÁRIOS'!$G$5:$G$500,"D",'LANÇAMENTOS DIÁRIOS'!$C$5:$C$500,$A84,'LANÇAMENTOS DIÁRIOS'!$O$5:$O$500,"&lt;=103399",'LANÇAMENTOS DIÁRIOS'!$P$5:$P$500,"&gt;=103300")&gt;0,"X","")</f>
      </c>
      <c r="AE84" s="56" t="str">
        <f>IF(COUNTIFS('LANÇAMENTOS DIÁRIOS'!$G$5:$G$500,"D",'LANÇAMENTOS DIÁRIOS'!$C$5:$C$500,$A84,'LANÇAMENTOS DIÁRIOS'!$O$5:$O$500,"&lt;=103499",'LANÇAMENTOS DIÁRIOS'!$P$5:$P$500,"&gt;=103400")&gt;0,"X","")</f>
      </c>
      <c r="AF84" s="56" t="str">
        <f>IF(COUNTIFS('LANÇAMENTOS DIÁRIOS'!$G$5:$G$500,"D",'LANÇAMENTOS DIÁRIOS'!$C$5:$C$500,$A84,'LANÇAMENTOS DIÁRIOS'!$O$5:$O$500,"&lt;=103599",'LANÇAMENTOS DIÁRIOS'!$P$5:$P$500,"&gt;=103500")&gt;0,"X","")</f>
      </c>
      <c r="AG84" s="56" t="str">
        <f>IF(COUNTIFS('LANÇAMENTOS DIÁRIOS'!$G$5:$G$500,"D",'LANÇAMENTOS DIÁRIOS'!$C$5:$C$500,$A84,'LANÇAMENTOS DIÁRIOS'!$O$5:$O$500,"&lt;=103699",'LANÇAMENTOS DIÁRIOS'!$P$5:$P$500,"&gt;=103600")&gt;0,"X","")</f>
      </c>
      <c r="AH84" s="56" t="str">
        <f>IF(COUNTIFS('LANÇAMENTOS DIÁRIOS'!$G$5:$G$500,"D",'LANÇAMENTOS DIÁRIOS'!$C$5:$C$500,$A84,'LANÇAMENTOS DIÁRIOS'!$O$5:$O$500,"&lt;=103799",'LANÇAMENTOS DIÁRIOS'!$P$5:$P$500,"&gt;=103700")&gt;0,"X","")</f>
      </c>
      <c r="AI84" s="56" t="str">
        <f>IF(COUNTIFS('LANÇAMENTOS DIÁRIOS'!$G$5:$G$500,"D",'LANÇAMENTOS DIÁRIOS'!$C$5:$C$500,$A84,'LANÇAMENTOS DIÁRIOS'!$O$5:$O$500,"&lt;=103899",'LANÇAMENTOS DIÁRIOS'!$P$5:$P$500,"&gt;=103800")&gt;0,"X","")</f>
      </c>
      <c r="AJ84" s="56" t="str">
        <f>IF(COUNTIFS('LANÇAMENTOS DIÁRIOS'!$G$5:$G$500,"D",'LANÇAMENTOS DIÁRIOS'!$C$5:$C$500,$A84,'LANÇAMENTOS DIÁRIOS'!$O$5:$O$500,"&lt;=103999",'LANÇAMENTOS DIÁRIOS'!$P$5:$P$500,"&gt;=103900")&gt;0,"X","")</f>
      </c>
      <c r="AK84" s="56" t="str">
        <f>IF(COUNTIFS('LANÇAMENTOS DIÁRIOS'!$G$5:$G$500,"D",'LANÇAMENTOS DIÁRIOS'!$C$5:$C$500,$A84,'LANÇAMENTOS DIÁRIOS'!$O$5:$O$500,"&lt;=104099",'LANÇAMENTOS DIÁRIOS'!$P$5:$P$500,"&gt;=104000")&gt;0,"X","")</f>
      </c>
      <c r="AL84" s="56" t="str">
        <f>IF(COUNTIFS('LANÇAMENTOS DIÁRIOS'!$G$5:$G$500,"D",'LANÇAMENTOS DIÁRIOS'!$C$5:$C$500,$A84,'LANÇAMENTOS DIÁRIOS'!$O$5:$O$500,"&lt;=104199",'LANÇAMENTOS DIÁRIOS'!$P$5:$P$500,"&gt;=104100")&gt;0,"X","")</f>
      </c>
      <c r="AM84" s="56" t="str">
        <f>IF(COUNTIFS('LANÇAMENTOS DIÁRIOS'!$G$5:$G$500,"D",'LANÇAMENTOS DIÁRIOS'!$C$5:$C$500,$A84,'LANÇAMENTOS DIÁRIOS'!$O$5:$O$500,"&lt;=104299",'LANÇAMENTOS DIÁRIOS'!$P$5:$P$500,"&gt;=104200")&gt;0,"X","")</f>
      </c>
      <c r="AN84" s="56" t="str">
        <f>IF(COUNTIFS('LANÇAMENTOS DIÁRIOS'!$G$5:$G$500,"D",'LANÇAMENTOS DIÁRIOS'!$C$5:$C$500,$A84,'LANÇAMENTOS DIÁRIOS'!$O$5:$O$500,"&lt;=104399",'LANÇAMENTOS DIÁRIOS'!$P$5:$P$500,"&gt;=104300")&gt;0,"X","")</f>
      </c>
      <c r="AO84" s="56" t="str">
        <f>IF(COUNTIFS('LANÇAMENTOS DIÁRIOS'!$G$5:$G$500,"D",'LANÇAMENTOS DIÁRIOS'!$C$5:$C$500,$A84,'LANÇAMENTOS DIÁRIOS'!$O$5:$O$500,"&lt;=104499",'LANÇAMENTOS DIÁRIOS'!$P$5:$P$500,"&gt;=104400")&gt;0,"X","")</f>
      </c>
      <c r="AP84" s="56" t="str">
        <f>IF(COUNTIFS('LANÇAMENTOS DIÁRIOS'!$G$5:$G$500,"D",'LANÇAMENTOS DIÁRIOS'!$C$5:$C$500,$A84,'LANÇAMENTOS DIÁRIOS'!$O$5:$O$500,"&lt;=104599",'LANÇAMENTOS DIÁRIOS'!$P$5:$P$500,"&gt;=104500")&gt;0,"X","")</f>
      </c>
      <c r="AQ84" s="56" t="str">
        <f>IF(COUNTIFS('LANÇAMENTOS DIÁRIOS'!$G$5:$G$500,"D",'LANÇAMENTOS DIÁRIOS'!$C$5:$C$500,$A84,'LANÇAMENTOS DIÁRIOS'!$O$5:$O$500,"&lt;=104699",'LANÇAMENTOS DIÁRIOS'!$P$5:$P$500,"&gt;=104600")&gt;0,"X","")</f>
      </c>
      <c r="AR84" s="56" t="str">
        <f>IF(COUNTIFS('LANÇAMENTOS DIÁRIOS'!$G$5:$G$500,"D",'LANÇAMENTOS DIÁRIOS'!$C$5:$C$500,$A84,'LANÇAMENTOS DIÁRIOS'!$O$5:$O$500,"&lt;=104799",'LANÇAMENTOS DIÁRIOS'!$P$5:$P$500,"&gt;=104700")&gt;0,"X","")</f>
      </c>
      <c r="AS84" s="56" t="str">
        <f>IF(COUNTIFS('LANÇAMENTOS DIÁRIOS'!$G$5:$G$500,"D",'LANÇAMENTOS DIÁRIOS'!$C$5:$C$500,$A84,'LANÇAMENTOS DIÁRIOS'!$O$5:$O$500,"&lt;=104899",'LANÇAMENTOS DIÁRIOS'!$P$5:$P$500,"&gt;=104800")&gt;0,"X","")</f>
      </c>
      <c r="AT84" s="56" t="str">
        <f>IF(COUNTIFS('LANÇAMENTOS DIÁRIOS'!$G$5:$G$500,"D",'LANÇAMENTOS DIÁRIOS'!$C$5:$C$500,$A84,'LANÇAMENTOS DIÁRIOS'!$O$5:$O$500,"&lt;=104999",'LANÇAMENTOS DIÁRIOS'!$P$5:$P$500,"&gt;=104900")&gt;0,"X","")</f>
      </c>
      <c r="AU84" s="56" t="str">
        <f>IF(COUNTIFS('LANÇAMENTOS DIÁRIOS'!$G$5:$G$500,"D",'LANÇAMENTOS DIÁRIOS'!$C$5:$C$500,$A84,'LANÇAMENTOS DIÁRIOS'!$O$5:$O$500,"&lt;=105099",'LANÇAMENTOS DIÁRIOS'!$P$5:$P$500,"&gt;=105000")&gt;0,"X","")</f>
      </c>
      <c r="AV84" s="56" t="str">
        <f>IF(COUNTIFS('LANÇAMENTOS DIÁRIOS'!$G$5:$G$500,"D",'LANÇAMENTOS DIÁRIOS'!$C$5:$C$500,$A84,'LANÇAMENTOS DIÁRIOS'!$O$5:$O$500,"&lt;=105199",'LANÇAMENTOS DIÁRIOS'!$P$5:$P$500,"&gt;=105100")&gt;0,"X","")</f>
      </c>
      <c r="AW84" s="56" t="str">
        <f>IF(COUNTIFS('LANÇAMENTOS DIÁRIOS'!$G$5:$G$500,"D",'LANÇAMENTOS DIÁRIOS'!$C$5:$C$500,$A84,'LANÇAMENTOS DIÁRIOS'!$O$5:$O$500,"&lt;=105299",'LANÇAMENTOS DIÁRIOS'!$P$5:$P$500,"&gt;=105200")&gt;0,"X","")</f>
      </c>
      <c r="AX84" s="56" t="str">
        <f>IF(COUNTIFS('LANÇAMENTOS DIÁRIOS'!$G$5:$G$500,"D",'LANÇAMENTOS DIÁRIOS'!$C$5:$C$500,$A84,'LANÇAMENTOS DIÁRIOS'!$O$5:$O$500,"&lt;=105399",'LANÇAMENTOS DIÁRIOS'!$P$5:$P$500,"&gt;=105300")&gt;0,"X","")</f>
      </c>
      <c r="AY84" s="56" t="str">
        <f>IF(COUNTIFS('LANÇAMENTOS DIÁRIOS'!$G$5:$G$500,"D",'LANÇAMENTOS DIÁRIOS'!$C$5:$C$500,$A84,'LANÇAMENTOS DIÁRIOS'!$O$5:$O$500,"&lt;=105499",'LANÇAMENTOS DIÁRIOS'!$P$5:$P$500,"&gt;=105400")&gt;0,"X","")</f>
      </c>
      <c r="AZ84" s="56" t="str">
        <f>IF(COUNTIFS('LANÇAMENTOS DIÁRIOS'!$G$5:$G$500,"D",'LANÇAMENTOS DIÁRIOS'!$C$5:$C$500,$A84,'LANÇAMENTOS DIÁRIOS'!$O$5:$O$500,"&lt;=105500",'LANÇAMENTOS DIÁRIOS'!$P$5:$P$500,"&gt;=105500")&gt;0,"X","")</f>
      </c>
    </row>
    <row r="85">
      <c r="A85" s="51" t="str">
        <v>Imprimadura ligante (Cura) - sem o fornecimento dos materiais</v>
      </c>
      <c r="B85" s="56" t="str">
        <f>IF(COUNTIFS('LANÇAMENTOS DIÁRIOS'!$G$5:$G$500,"D",'LANÇAMENTOS DIÁRIOS'!$C$5:$C$500,$A85,'LANÇAMENTOS DIÁRIOS'!$O$5:$O$500,"&lt;=100599",'LANÇAMENTOS DIÁRIOS'!$P$5:$P$500,"&gt;=100500")&gt;0,"X","")</f>
      </c>
      <c r="C85" s="56" t="str">
        <f>IF(COUNTIFS('LANÇAMENTOS DIÁRIOS'!$G$5:$G$500,"D",'LANÇAMENTOS DIÁRIOS'!$C$5:$C$500,$A85,'LANÇAMENTOS DIÁRIOS'!$O$5:$O$500,"&lt;=100699",'LANÇAMENTOS DIÁRIOS'!$P$5:$P$500,"&gt;=100600")&gt;0,"X","")</f>
      </c>
      <c r="D85" s="56" t="str">
        <f>IF(COUNTIFS('LANÇAMENTOS DIÁRIOS'!$G$5:$G$500,"D",'LANÇAMENTOS DIÁRIOS'!$C$5:$C$500,$A85,'LANÇAMENTOS DIÁRIOS'!$O$5:$O$500,"&lt;=100799",'LANÇAMENTOS DIÁRIOS'!$P$5:$P$500,"&gt;=100700")&gt;0,"X","")</f>
      </c>
      <c r="E85" s="56" t="str">
        <f>IF(COUNTIFS('LANÇAMENTOS DIÁRIOS'!$G$5:$G$500,"D",'LANÇAMENTOS DIÁRIOS'!$C$5:$C$500,$A85,'LANÇAMENTOS DIÁRIOS'!$O$5:$O$500,"&lt;=100899",'LANÇAMENTOS DIÁRIOS'!$P$5:$P$500,"&gt;=100800")&gt;0,"X","")</f>
      </c>
      <c r="F85" s="56" t="str">
        <f>IF(COUNTIFS('LANÇAMENTOS DIÁRIOS'!$G$5:$G$500,"D",'LANÇAMENTOS DIÁRIOS'!$C$5:$C$500,$A85,'LANÇAMENTOS DIÁRIOS'!$O$5:$O$500,"&lt;=100999",'LANÇAMENTOS DIÁRIOS'!$P$5:$P$500,"&gt;=100900")&gt;0,"X","")</f>
      </c>
      <c r="G85" s="56" t="str">
        <f>IF(COUNTIFS('LANÇAMENTOS DIÁRIOS'!$G$5:$G$500,"D",'LANÇAMENTOS DIÁRIOS'!$C$5:$C$500,$A85,'LANÇAMENTOS DIÁRIOS'!$O$5:$O$500,"&lt;=101099",'LANÇAMENTOS DIÁRIOS'!$P$5:$P$500,"&gt;=101000")&gt;0,"X","")</f>
      </c>
      <c r="H85" s="56" t="str">
        <f>IF(COUNTIFS('LANÇAMENTOS DIÁRIOS'!$G$5:$G$500,"D",'LANÇAMENTOS DIÁRIOS'!$C$5:$C$500,$A85,'LANÇAMENTOS DIÁRIOS'!$O$5:$O$500,"&lt;=101199",'LANÇAMENTOS DIÁRIOS'!$P$5:$P$500,"&gt;=101100")&gt;0,"X","")</f>
      </c>
      <c r="I85" s="56" t="str">
        <f>IF(COUNTIFS('LANÇAMENTOS DIÁRIOS'!$G$5:$G$500,"D",'LANÇAMENTOS DIÁRIOS'!$C$5:$C$500,$A85,'LANÇAMENTOS DIÁRIOS'!$O$5:$O$500,"&lt;=101299",'LANÇAMENTOS DIÁRIOS'!$P$5:$P$500,"&gt;=101200")&gt;0,"X","")</f>
      </c>
      <c r="J85" s="56" t="str">
        <f>IF(COUNTIFS('LANÇAMENTOS DIÁRIOS'!$G$5:$G$500,"D",'LANÇAMENTOS DIÁRIOS'!$C$5:$C$500,$A85,'LANÇAMENTOS DIÁRIOS'!$O$5:$O$500,"&lt;=101399",'LANÇAMENTOS DIÁRIOS'!$P$5:$P$500,"&gt;=101300")&gt;0,"X","")</f>
      </c>
      <c r="K85" s="56" t="str">
        <f>IF(COUNTIFS('LANÇAMENTOS DIÁRIOS'!$G$5:$G$500,"D",'LANÇAMENTOS DIÁRIOS'!$C$5:$C$500,$A85,'LANÇAMENTOS DIÁRIOS'!$O$5:$O$500,"&lt;=101499",'LANÇAMENTOS DIÁRIOS'!$P$5:$P$500,"&gt;=101400")&gt;0,"X","")</f>
      </c>
      <c r="L85" s="56" t="str">
        <f>IF(COUNTIFS('LANÇAMENTOS DIÁRIOS'!$G$5:$G$500,"D",'LANÇAMENTOS DIÁRIOS'!$C$5:$C$500,$A85,'LANÇAMENTOS DIÁRIOS'!$O$5:$O$500,"&lt;=101599",'LANÇAMENTOS DIÁRIOS'!$P$5:$P$500,"&gt;=101500")&gt;0,"X","")</f>
      </c>
      <c r="M85" s="56" t="str">
        <f>IF(COUNTIFS('LANÇAMENTOS DIÁRIOS'!$G$5:$G$500,"D",'LANÇAMENTOS DIÁRIOS'!$C$5:$C$500,$A85,'LANÇAMENTOS DIÁRIOS'!$O$5:$O$500,"&lt;=101699",'LANÇAMENTOS DIÁRIOS'!$P$5:$P$500,"&gt;=101600")&gt;0,"X","")</f>
      </c>
      <c r="N85" s="56" t="str">
        <f>IF(COUNTIFS('LANÇAMENTOS DIÁRIOS'!$G$5:$G$500,"D",'LANÇAMENTOS DIÁRIOS'!$C$5:$C$500,$A85,'LANÇAMENTOS DIÁRIOS'!$O$5:$O$500,"&lt;=101799",'LANÇAMENTOS DIÁRIOS'!$P$5:$P$500,"&gt;=101700")&gt;0,"X","")</f>
      </c>
      <c r="O85" s="56" t="str">
        <f>IF(COUNTIFS('LANÇAMENTOS DIÁRIOS'!$G$5:$G$500,"D",'LANÇAMENTOS DIÁRIOS'!$C$5:$C$500,$A85,'LANÇAMENTOS DIÁRIOS'!$O$5:$O$500,"&lt;=101899",'LANÇAMENTOS DIÁRIOS'!$P$5:$P$500,"&gt;=101800")&gt;0,"X","")</f>
      </c>
      <c r="P85" s="56" t="str">
        <f>IF(COUNTIFS('LANÇAMENTOS DIÁRIOS'!$G$5:$G$500,"D",'LANÇAMENTOS DIÁRIOS'!$C$5:$C$500,$A85,'LANÇAMENTOS DIÁRIOS'!$O$5:$O$500,"&lt;=101999",'LANÇAMENTOS DIÁRIOS'!$P$5:$P$500,"&gt;=101900")&gt;0,"X","")</f>
      </c>
      <c r="Q85" s="56" t="str">
        <f>IF(COUNTIFS('LANÇAMENTOS DIÁRIOS'!$G$5:$G$500,"D",'LANÇAMENTOS DIÁRIOS'!$C$5:$C$500,$A85,'LANÇAMENTOS DIÁRIOS'!$O$5:$O$500,"&lt;=102099",'LANÇAMENTOS DIÁRIOS'!$P$5:$P$500,"&gt;=102000")&gt;0,"X","")</f>
      </c>
      <c r="R85" s="56" t="str">
        <f>IF(COUNTIFS('LANÇAMENTOS DIÁRIOS'!$G$5:$G$500,"D",'LANÇAMENTOS DIÁRIOS'!$C$5:$C$500,$A85,'LANÇAMENTOS DIÁRIOS'!$O$5:$O$500,"&lt;=102199",'LANÇAMENTOS DIÁRIOS'!$P$5:$P$500,"&gt;=102100")&gt;0,"X","")</f>
      </c>
      <c r="S85" s="56" t="str">
        <f>IF(COUNTIFS('LANÇAMENTOS DIÁRIOS'!$G$5:$G$500,"D",'LANÇAMENTOS DIÁRIOS'!$C$5:$C$500,$A85,'LANÇAMENTOS DIÁRIOS'!$O$5:$O$500,"&lt;=102299",'LANÇAMENTOS DIÁRIOS'!$P$5:$P$500,"&gt;=102200")&gt;0,"X","")</f>
      </c>
      <c r="T85" s="56" t="str">
        <f>IF(COUNTIFS('LANÇAMENTOS DIÁRIOS'!$G$5:$G$500,"D",'LANÇAMENTOS DIÁRIOS'!$C$5:$C$500,$A85,'LANÇAMENTOS DIÁRIOS'!$O$5:$O$500,"&lt;=102399",'LANÇAMENTOS DIÁRIOS'!$P$5:$P$500,"&gt;=102300")&gt;0,"X","")</f>
      </c>
      <c r="U85" s="56" t="str">
        <f>IF(COUNTIFS('LANÇAMENTOS DIÁRIOS'!$G$5:$G$500,"D",'LANÇAMENTOS DIÁRIOS'!$C$5:$C$500,$A85,'LANÇAMENTOS DIÁRIOS'!$O$5:$O$500,"&lt;=102499",'LANÇAMENTOS DIÁRIOS'!$P$5:$P$500,"&gt;=102400")&gt;0,"X","")</f>
      </c>
      <c r="V85" s="56" t="str">
        <f>IF(COUNTIFS('LANÇAMENTOS DIÁRIOS'!$G$5:$G$500,"D",'LANÇAMENTOS DIÁRIOS'!$C$5:$C$500,$A85,'LANÇAMENTOS DIÁRIOS'!$O$5:$O$500,"&lt;=102599",'LANÇAMENTOS DIÁRIOS'!$P$5:$P$500,"&gt;=102500")&gt;0,"X","")</f>
      </c>
      <c r="W85" s="56" t="str">
        <f>IF(COUNTIFS('LANÇAMENTOS DIÁRIOS'!$G$5:$G$500,"D",'LANÇAMENTOS DIÁRIOS'!$C$5:$C$500,$A85,'LANÇAMENTOS DIÁRIOS'!$O$5:$O$500,"&lt;=102699",'LANÇAMENTOS DIÁRIOS'!$P$5:$P$500,"&gt;=102600")&gt;0,"X","")</f>
      </c>
      <c r="X85" s="56" t="str">
        <f>IF(COUNTIFS('LANÇAMENTOS DIÁRIOS'!$G$5:$G$500,"D",'LANÇAMENTOS DIÁRIOS'!$C$5:$C$500,$A85,'LANÇAMENTOS DIÁRIOS'!$O$5:$O$500,"&lt;=102799",'LANÇAMENTOS DIÁRIOS'!$P$5:$P$500,"&gt;=102700")&gt;0,"X","")</f>
      </c>
      <c r="Y85" s="56" t="str">
        <f>IF(COUNTIFS('LANÇAMENTOS DIÁRIOS'!$G$5:$G$500,"D",'LANÇAMENTOS DIÁRIOS'!$C$5:$C$500,$A85,'LANÇAMENTOS DIÁRIOS'!$O$5:$O$500,"&lt;=102899",'LANÇAMENTOS DIÁRIOS'!$P$5:$P$500,"&gt;=102800")&gt;0,"X","")</f>
      </c>
      <c r="Z85" s="56" t="str">
        <f>IF(COUNTIFS('LANÇAMENTOS DIÁRIOS'!$G$5:$G$500,"D",'LANÇAMENTOS DIÁRIOS'!$C$5:$C$500,$A85,'LANÇAMENTOS DIÁRIOS'!$O$5:$O$500,"&lt;=102999",'LANÇAMENTOS DIÁRIOS'!$P$5:$P$500,"&gt;=102900")&gt;0,"X","")</f>
      </c>
      <c r="AA85" s="56" t="str">
        <f>IF(COUNTIFS('LANÇAMENTOS DIÁRIOS'!$G$5:$G$500,"D",'LANÇAMENTOS DIÁRIOS'!$C$5:$C$500,$A85,'LANÇAMENTOS DIÁRIOS'!$O$5:$O$500,"&lt;=103099",'LANÇAMENTOS DIÁRIOS'!$P$5:$P$500,"&gt;=103000")&gt;0,"X","")</f>
      </c>
      <c r="AB85" s="56" t="str">
        <f>IF(COUNTIFS('LANÇAMENTOS DIÁRIOS'!$G$5:$G$500,"D",'LANÇAMENTOS DIÁRIOS'!$C$5:$C$500,$A85,'LANÇAMENTOS DIÁRIOS'!$O$5:$O$500,"&lt;=103199",'LANÇAMENTOS DIÁRIOS'!$P$5:$P$500,"&gt;=103100")&gt;0,"X","")</f>
      </c>
      <c r="AC85" s="56" t="str">
        <f>IF(COUNTIFS('LANÇAMENTOS DIÁRIOS'!$G$5:$G$500,"D",'LANÇAMENTOS DIÁRIOS'!$C$5:$C$500,$A85,'LANÇAMENTOS DIÁRIOS'!$O$5:$O$500,"&lt;=103299",'LANÇAMENTOS DIÁRIOS'!$P$5:$P$500,"&gt;=103200")&gt;0,"X","")</f>
      </c>
      <c r="AD85" s="56" t="str">
        <f>IF(COUNTIFS('LANÇAMENTOS DIÁRIOS'!$G$5:$G$500,"D",'LANÇAMENTOS DIÁRIOS'!$C$5:$C$500,$A85,'LANÇAMENTOS DIÁRIOS'!$O$5:$O$500,"&lt;=103399",'LANÇAMENTOS DIÁRIOS'!$P$5:$P$500,"&gt;=103300")&gt;0,"X","")</f>
      </c>
      <c r="AE85" s="56" t="str">
        <f>IF(COUNTIFS('LANÇAMENTOS DIÁRIOS'!$G$5:$G$500,"D",'LANÇAMENTOS DIÁRIOS'!$C$5:$C$500,$A85,'LANÇAMENTOS DIÁRIOS'!$O$5:$O$500,"&lt;=103499",'LANÇAMENTOS DIÁRIOS'!$P$5:$P$500,"&gt;=103400")&gt;0,"X","")</f>
      </c>
      <c r="AF85" s="56" t="str">
        <f>IF(COUNTIFS('LANÇAMENTOS DIÁRIOS'!$G$5:$G$500,"D",'LANÇAMENTOS DIÁRIOS'!$C$5:$C$500,$A85,'LANÇAMENTOS DIÁRIOS'!$O$5:$O$500,"&lt;=103599",'LANÇAMENTOS DIÁRIOS'!$P$5:$P$500,"&gt;=103500")&gt;0,"X","")</f>
      </c>
      <c r="AG85" s="56" t="str">
        <f>IF(COUNTIFS('LANÇAMENTOS DIÁRIOS'!$G$5:$G$500,"D",'LANÇAMENTOS DIÁRIOS'!$C$5:$C$500,$A85,'LANÇAMENTOS DIÁRIOS'!$O$5:$O$500,"&lt;=103699",'LANÇAMENTOS DIÁRIOS'!$P$5:$P$500,"&gt;=103600")&gt;0,"X","")</f>
      </c>
      <c r="AH85" s="56" t="str">
        <f>IF(COUNTIFS('LANÇAMENTOS DIÁRIOS'!$G$5:$G$500,"D",'LANÇAMENTOS DIÁRIOS'!$C$5:$C$500,$A85,'LANÇAMENTOS DIÁRIOS'!$O$5:$O$500,"&lt;=103799",'LANÇAMENTOS DIÁRIOS'!$P$5:$P$500,"&gt;=103700")&gt;0,"X","")</f>
      </c>
      <c r="AI85" s="56" t="str">
        <f>IF(COUNTIFS('LANÇAMENTOS DIÁRIOS'!$G$5:$G$500,"D",'LANÇAMENTOS DIÁRIOS'!$C$5:$C$500,$A85,'LANÇAMENTOS DIÁRIOS'!$O$5:$O$500,"&lt;=103899",'LANÇAMENTOS DIÁRIOS'!$P$5:$P$500,"&gt;=103800")&gt;0,"X","")</f>
      </c>
      <c r="AJ85" s="56" t="str">
        <f>IF(COUNTIFS('LANÇAMENTOS DIÁRIOS'!$G$5:$G$500,"D",'LANÇAMENTOS DIÁRIOS'!$C$5:$C$500,$A85,'LANÇAMENTOS DIÁRIOS'!$O$5:$O$500,"&lt;=103999",'LANÇAMENTOS DIÁRIOS'!$P$5:$P$500,"&gt;=103900")&gt;0,"X","")</f>
      </c>
      <c r="AK85" s="56" t="str">
        <f>IF(COUNTIFS('LANÇAMENTOS DIÁRIOS'!$G$5:$G$500,"D",'LANÇAMENTOS DIÁRIOS'!$C$5:$C$500,$A85,'LANÇAMENTOS DIÁRIOS'!$O$5:$O$500,"&lt;=104099",'LANÇAMENTOS DIÁRIOS'!$P$5:$P$500,"&gt;=104000")&gt;0,"X","")</f>
      </c>
      <c r="AL85" s="56" t="str">
        <f>IF(COUNTIFS('LANÇAMENTOS DIÁRIOS'!$G$5:$G$500,"D",'LANÇAMENTOS DIÁRIOS'!$C$5:$C$500,$A85,'LANÇAMENTOS DIÁRIOS'!$O$5:$O$500,"&lt;=104199",'LANÇAMENTOS DIÁRIOS'!$P$5:$P$500,"&gt;=104100")&gt;0,"X","")</f>
      </c>
      <c r="AM85" s="56" t="str">
        <f>IF(COUNTIFS('LANÇAMENTOS DIÁRIOS'!$G$5:$G$500,"D",'LANÇAMENTOS DIÁRIOS'!$C$5:$C$500,$A85,'LANÇAMENTOS DIÁRIOS'!$O$5:$O$500,"&lt;=104299",'LANÇAMENTOS DIÁRIOS'!$P$5:$P$500,"&gt;=104200")&gt;0,"X","")</f>
      </c>
      <c r="AN85" s="56" t="str">
        <f>IF(COUNTIFS('LANÇAMENTOS DIÁRIOS'!$G$5:$G$500,"D",'LANÇAMENTOS DIÁRIOS'!$C$5:$C$500,$A85,'LANÇAMENTOS DIÁRIOS'!$O$5:$O$500,"&lt;=104399",'LANÇAMENTOS DIÁRIOS'!$P$5:$P$500,"&gt;=104300")&gt;0,"X","")</f>
      </c>
      <c r="AO85" s="56" t="str">
        <f>IF(COUNTIFS('LANÇAMENTOS DIÁRIOS'!$G$5:$G$500,"D",'LANÇAMENTOS DIÁRIOS'!$C$5:$C$500,$A85,'LANÇAMENTOS DIÁRIOS'!$O$5:$O$500,"&lt;=104499",'LANÇAMENTOS DIÁRIOS'!$P$5:$P$500,"&gt;=104400")&gt;0,"X","")</f>
      </c>
      <c r="AP85" s="56" t="str">
        <f>IF(COUNTIFS('LANÇAMENTOS DIÁRIOS'!$G$5:$G$500,"D",'LANÇAMENTOS DIÁRIOS'!$C$5:$C$500,$A85,'LANÇAMENTOS DIÁRIOS'!$O$5:$O$500,"&lt;=104599",'LANÇAMENTOS DIÁRIOS'!$P$5:$P$500,"&gt;=104500")&gt;0,"X","")</f>
      </c>
      <c r="AQ85" s="56" t="str">
        <f>IF(COUNTIFS('LANÇAMENTOS DIÁRIOS'!$G$5:$G$500,"D",'LANÇAMENTOS DIÁRIOS'!$C$5:$C$500,$A85,'LANÇAMENTOS DIÁRIOS'!$O$5:$O$500,"&lt;=104699",'LANÇAMENTOS DIÁRIOS'!$P$5:$P$500,"&gt;=104600")&gt;0,"X","")</f>
      </c>
      <c r="AR85" s="56" t="str">
        <f>IF(COUNTIFS('LANÇAMENTOS DIÁRIOS'!$G$5:$G$500,"D",'LANÇAMENTOS DIÁRIOS'!$C$5:$C$500,$A85,'LANÇAMENTOS DIÁRIOS'!$O$5:$O$500,"&lt;=104799",'LANÇAMENTOS DIÁRIOS'!$P$5:$P$500,"&gt;=104700")&gt;0,"X","")</f>
      </c>
      <c r="AS85" s="56" t="str">
        <f>IF(COUNTIFS('LANÇAMENTOS DIÁRIOS'!$G$5:$G$500,"D",'LANÇAMENTOS DIÁRIOS'!$C$5:$C$500,$A85,'LANÇAMENTOS DIÁRIOS'!$O$5:$O$500,"&lt;=104899",'LANÇAMENTOS DIÁRIOS'!$P$5:$P$500,"&gt;=104800")&gt;0,"X","")</f>
      </c>
      <c r="AT85" s="56" t="str">
        <f>IF(COUNTIFS('LANÇAMENTOS DIÁRIOS'!$G$5:$G$500,"D",'LANÇAMENTOS DIÁRIOS'!$C$5:$C$500,$A85,'LANÇAMENTOS DIÁRIOS'!$O$5:$O$500,"&lt;=104999",'LANÇAMENTOS DIÁRIOS'!$P$5:$P$500,"&gt;=104900")&gt;0,"X","")</f>
      </c>
      <c r="AU85" s="56" t="str">
        <f>IF(COUNTIFS('LANÇAMENTOS DIÁRIOS'!$G$5:$G$500,"D",'LANÇAMENTOS DIÁRIOS'!$C$5:$C$500,$A85,'LANÇAMENTOS DIÁRIOS'!$O$5:$O$500,"&lt;=105099",'LANÇAMENTOS DIÁRIOS'!$P$5:$P$500,"&gt;=105000")&gt;0,"X","")</f>
      </c>
      <c r="AV85" s="56" t="str">
        <f>IF(COUNTIFS('LANÇAMENTOS DIÁRIOS'!$G$5:$G$500,"D",'LANÇAMENTOS DIÁRIOS'!$C$5:$C$500,$A85,'LANÇAMENTOS DIÁRIOS'!$O$5:$O$500,"&lt;=105199",'LANÇAMENTOS DIÁRIOS'!$P$5:$P$500,"&gt;=105100")&gt;0,"X","")</f>
      </c>
      <c r="AW85" s="56" t="str">
        <f>IF(COUNTIFS('LANÇAMENTOS DIÁRIOS'!$G$5:$G$500,"D",'LANÇAMENTOS DIÁRIOS'!$C$5:$C$500,$A85,'LANÇAMENTOS DIÁRIOS'!$O$5:$O$500,"&lt;=105299",'LANÇAMENTOS DIÁRIOS'!$P$5:$P$500,"&gt;=105200")&gt;0,"X","")</f>
      </c>
      <c r="AX85" s="56" t="str">
        <f>IF(COUNTIFS('LANÇAMENTOS DIÁRIOS'!$G$5:$G$500,"D",'LANÇAMENTOS DIÁRIOS'!$C$5:$C$500,$A85,'LANÇAMENTOS DIÁRIOS'!$O$5:$O$500,"&lt;=105399",'LANÇAMENTOS DIÁRIOS'!$P$5:$P$500,"&gt;=105300")&gt;0,"X","")</f>
      </c>
      <c r="AY85" s="56" t="str">
        <f>IF(COUNTIFS('LANÇAMENTOS DIÁRIOS'!$G$5:$G$500,"D",'LANÇAMENTOS DIÁRIOS'!$C$5:$C$500,$A85,'LANÇAMENTOS DIÁRIOS'!$O$5:$O$500,"&lt;=105499",'LANÇAMENTOS DIÁRIOS'!$P$5:$P$500,"&gt;=105400")&gt;0,"X","")</f>
      </c>
      <c r="AZ85" s="56" t="str">
        <f>IF(COUNTIFS('LANÇAMENTOS DIÁRIOS'!$G$5:$G$500,"D",'LANÇAMENTOS DIÁRIOS'!$C$5:$C$500,$A85,'LANÇAMENTOS DIÁRIOS'!$O$5:$O$500,"&lt;=105500",'LANÇAMENTOS DIÁRIOS'!$P$5:$P$500,"&gt;=105500")&gt;0,"X","")</f>
      </c>
    </row>
    <row r="86">
      <c r="A86" s="51" t="str">
        <v>Imprimadura ligante, sem fornecimento de materiais</v>
      </c>
      <c r="B86" s="56" t="str">
        <f>IF(COUNTIFS('LANÇAMENTOS DIÁRIOS'!$G$5:$G$500,"D",'LANÇAMENTOS DIÁRIOS'!$C$5:$C$500,$A86,'LANÇAMENTOS DIÁRIOS'!$O$5:$O$500,"&lt;=100599",'LANÇAMENTOS DIÁRIOS'!$P$5:$P$500,"&gt;=100500")&gt;0,"X","")</f>
      </c>
      <c r="C86" s="56" t="str">
        <f>IF(COUNTIFS('LANÇAMENTOS DIÁRIOS'!$G$5:$G$500,"D",'LANÇAMENTOS DIÁRIOS'!$C$5:$C$500,$A86,'LANÇAMENTOS DIÁRIOS'!$O$5:$O$500,"&lt;=100699",'LANÇAMENTOS DIÁRIOS'!$P$5:$P$500,"&gt;=100600")&gt;0,"X","")</f>
      </c>
      <c r="D86" s="56" t="str">
        <f>IF(COUNTIFS('LANÇAMENTOS DIÁRIOS'!$G$5:$G$500,"D",'LANÇAMENTOS DIÁRIOS'!$C$5:$C$500,$A86,'LANÇAMENTOS DIÁRIOS'!$O$5:$O$500,"&lt;=100799",'LANÇAMENTOS DIÁRIOS'!$P$5:$P$500,"&gt;=100700")&gt;0,"X","")</f>
      </c>
      <c r="E86" s="56" t="str">
        <f>IF(COUNTIFS('LANÇAMENTOS DIÁRIOS'!$G$5:$G$500,"D",'LANÇAMENTOS DIÁRIOS'!$C$5:$C$500,$A86,'LANÇAMENTOS DIÁRIOS'!$O$5:$O$500,"&lt;=100899",'LANÇAMENTOS DIÁRIOS'!$P$5:$P$500,"&gt;=100800")&gt;0,"X","")</f>
      </c>
      <c r="F86" s="56" t="str">
        <f>IF(COUNTIFS('LANÇAMENTOS DIÁRIOS'!$G$5:$G$500,"D",'LANÇAMENTOS DIÁRIOS'!$C$5:$C$500,$A86,'LANÇAMENTOS DIÁRIOS'!$O$5:$O$500,"&lt;=100999",'LANÇAMENTOS DIÁRIOS'!$P$5:$P$500,"&gt;=100900")&gt;0,"X","")</f>
      </c>
      <c r="G86" s="56" t="str">
        <f>IF(COUNTIFS('LANÇAMENTOS DIÁRIOS'!$G$5:$G$500,"D",'LANÇAMENTOS DIÁRIOS'!$C$5:$C$500,$A86,'LANÇAMENTOS DIÁRIOS'!$O$5:$O$500,"&lt;=101099",'LANÇAMENTOS DIÁRIOS'!$P$5:$P$500,"&gt;=101000")&gt;0,"X","")</f>
      </c>
      <c r="H86" s="56" t="str">
        <f>IF(COUNTIFS('LANÇAMENTOS DIÁRIOS'!$G$5:$G$500,"D",'LANÇAMENTOS DIÁRIOS'!$C$5:$C$500,$A86,'LANÇAMENTOS DIÁRIOS'!$O$5:$O$500,"&lt;=101199",'LANÇAMENTOS DIÁRIOS'!$P$5:$P$500,"&gt;=101100")&gt;0,"X","")</f>
      </c>
      <c r="I86" s="56" t="str">
        <f>IF(COUNTIFS('LANÇAMENTOS DIÁRIOS'!$G$5:$G$500,"D",'LANÇAMENTOS DIÁRIOS'!$C$5:$C$500,$A86,'LANÇAMENTOS DIÁRIOS'!$O$5:$O$500,"&lt;=101299",'LANÇAMENTOS DIÁRIOS'!$P$5:$P$500,"&gt;=101200")&gt;0,"X","")</f>
      </c>
      <c r="J86" s="56" t="str">
        <f>IF(COUNTIFS('LANÇAMENTOS DIÁRIOS'!$G$5:$G$500,"D",'LANÇAMENTOS DIÁRIOS'!$C$5:$C$500,$A86,'LANÇAMENTOS DIÁRIOS'!$O$5:$O$500,"&lt;=101399",'LANÇAMENTOS DIÁRIOS'!$P$5:$P$500,"&gt;=101300")&gt;0,"X","")</f>
      </c>
      <c r="K86" s="56" t="str">
        <f>IF(COUNTIFS('LANÇAMENTOS DIÁRIOS'!$G$5:$G$500,"D",'LANÇAMENTOS DIÁRIOS'!$C$5:$C$500,$A86,'LANÇAMENTOS DIÁRIOS'!$O$5:$O$500,"&lt;=101499",'LANÇAMENTOS DIÁRIOS'!$P$5:$P$500,"&gt;=101400")&gt;0,"X","")</f>
      </c>
      <c r="L86" s="56" t="str">
        <f>IF(COUNTIFS('LANÇAMENTOS DIÁRIOS'!$G$5:$G$500,"D",'LANÇAMENTOS DIÁRIOS'!$C$5:$C$500,$A86,'LANÇAMENTOS DIÁRIOS'!$O$5:$O$500,"&lt;=101599",'LANÇAMENTOS DIÁRIOS'!$P$5:$P$500,"&gt;=101500")&gt;0,"X","")</f>
      </c>
      <c r="M86" s="56" t="str">
        <f>IF(COUNTIFS('LANÇAMENTOS DIÁRIOS'!$G$5:$G$500,"D",'LANÇAMENTOS DIÁRIOS'!$C$5:$C$500,$A86,'LANÇAMENTOS DIÁRIOS'!$O$5:$O$500,"&lt;=101699",'LANÇAMENTOS DIÁRIOS'!$P$5:$P$500,"&gt;=101600")&gt;0,"X","")</f>
      </c>
      <c r="N86" s="56" t="str">
        <f>IF(COUNTIFS('LANÇAMENTOS DIÁRIOS'!$G$5:$G$500,"D",'LANÇAMENTOS DIÁRIOS'!$C$5:$C$500,$A86,'LANÇAMENTOS DIÁRIOS'!$O$5:$O$500,"&lt;=101799",'LANÇAMENTOS DIÁRIOS'!$P$5:$P$500,"&gt;=101700")&gt;0,"X","")</f>
      </c>
      <c r="O86" s="56" t="str">
        <f>IF(COUNTIFS('LANÇAMENTOS DIÁRIOS'!$G$5:$G$500,"D",'LANÇAMENTOS DIÁRIOS'!$C$5:$C$500,$A86,'LANÇAMENTOS DIÁRIOS'!$O$5:$O$500,"&lt;=101899",'LANÇAMENTOS DIÁRIOS'!$P$5:$P$500,"&gt;=101800")&gt;0,"X","")</f>
      </c>
      <c r="P86" s="56" t="str">
        <f>IF(COUNTIFS('LANÇAMENTOS DIÁRIOS'!$G$5:$G$500,"D",'LANÇAMENTOS DIÁRIOS'!$C$5:$C$500,$A86,'LANÇAMENTOS DIÁRIOS'!$O$5:$O$500,"&lt;=101999",'LANÇAMENTOS DIÁRIOS'!$P$5:$P$500,"&gt;=101900")&gt;0,"X","")</f>
      </c>
      <c r="Q86" s="56" t="str">
        <f>IF(COUNTIFS('LANÇAMENTOS DIÁRIOS'!$G$5:$G$500,"D",'LANÇAMENTOS DIÁRIOS'!$C$5:$C$500,$A86,'LANÇAMENTOS DIÁRIOS'!$O$5:$O$500,"&lt;=102099",'LANÇAMENTOS DIÁRIOS'!$P$5:$P$500,"&gt;=102000")&gt;0,"X","")</f>
      </c>
      <c r="R86" s="56" t="str">
        <f>IF(COUNTIFS('LANÇAMENTOS DIÁRIOS'!$G$5:$G$500,"D",'LANÇAMENTOS DIÁRIOS'!$C$5:$C$500,$A86,'LANÇAMENTOS DIÁRIOS'!$O$5:$O$500,"&lt;=102199",'LANÇAMENTOS DIÁRIOS'!$P$5:$P$500,"&gt;=102100")&gt;0,"X","")</f>
      </c>
      <c r="S86" s="56" t="str">
        <f>IF(COUNTIFS('LANÇAMENTOS DIÁRIOS'!$G$5:$G$500,"D",'LANÇAMENTOS DIÁRIOS'!$C$5:$C$500,$A86,'LANÇAMENTOS DIÁRIOS'!$O$5:$O$500,"&lt;=102299",'LANÇAMENTOS DIÁRIOS'!$P$5:$P$500,"&gt;=102200")&gt;0,"X","")</f>
      </c>
      <c r="T86" s="56" t="str">
        <f>IF(COUNTIFS('LANÇAMENTOS DIÁRIOS'!$G$5:$G$500,"D",'LANÇAMENTOS DIÁRIOS'!$C$5:$C$500,$A86,'LANÇAMENTOS DIÁRIOS'!$O$5:$O$500,"&lt;=102399",'LANÇAMENTOS DIÁRIOS'!$P$5:$P$500,"&gt;=102300")&gt;0,"X","")</f>
      </c>
      <c r="U86" s="56" t="str">
        <f>IF(COUNTIFS('LANÇAMENTOS DIÁRIOS'!$G$5:$G$500,"D",'LANÇAMENTOS DIÁRIOS'!$C$5:$C$500,$A86,'LANÇAMENTOS DIÁRIOS'!$O$5:$O$500,"&lt;=102499",'LANÇAMENTOS DIÁRIOS'!$P$5:$P$500,"&gt;=102400")&gt;0,"X","")</f>
      </c>
      <c r="V86" s="56" t="str">
        <f>IF(COUNTIFS('LANÇAMENTOS DIÁRIOS'!$G$5:$G$500,"D",'LANÇAMENTOS DIÁRIOS'!$C$5:$C$500,$A86,'LANÇAMENTOS DIÁRIOS'!$O$5:$O$500,"&lt;=102599",'LANÇAMENTOS DIÁRIOS'!$P$5:$P$500,"&gt;=102500")&gt;0,"X","")</f>
      </c>
      <c r="W86" s="56" t="str">
        <f>IF(COUNTIFS('LANÇAMENTOS DIÁRIOS'!$G$5:$G$500,"D",'LANÇAMENTOS DIÁRIOS'!$C$5:$C$500,$A86,'LANÇAMENTOS DIÁRIOS'!$O$5:$O$500,"&lt;=102699",'LANÇAMENTOS DIÁRIOS'!$P$5:$P$500,"&gt;=102600")&gt;0,"X","")</f>
      </c>
      <c r="X86" s="56" t="str">
        <f>IF(COUNTIFS('LANÇAMENTOS DIÁRIOS'!$G$5:$G$500,"D",'LANÇAMENTOS DIÁRIOS'!$C$5:$C$500,$A86,'LANÇAMENTOS DIÁRIOS'!$O$5:$O$500,"&lt;=102799",'LANÇAMENTOS DIÁRIOS'!$P$5:$P$500,"&gt;=102700")&gt;0,"X","")</f>
      </c>
      <c r="Y86" s="56" t="str">
        <f>IF(COUNTIFS('LANÇAMENTOS DIÁRIOS'!$G$5:$G$500,"D",'LANÇAMENTOS DIÁRIOS'!$C$5:$C$500,$A86,'LANÇAMENTOS DIÁRIOS'!$O$5:$O$500,"&lt;=102899",'LANÇAMENTOS DIÁRIOS'!$P$5:$P$500,"&gt;=102800")&gt;0,"X","")</f>
      </c>
      <c r="Z86" s="56" t="str">
        <f>IF(COUNTIFS('LANÇAMENTOS DIÁRIOS'!$G$5:$G$500,"D",'LANÇAMENTOS DIÁRIOS'!$C$5:$C$500,$A86,'LANÇAMENTOS DIÁRIOS'!$O$5:$O$500,"&lt;=102999",'LANÇAMENTOS DIÁRIOS'!$P$5:$P$500,"&gt;=102900")&gt;0,"X","")</f>
      </c>
      <c r="AA86" s="56" t="str">
        <f>IF(COUNTIFS('LANÇAMENTOS DIÁRIOS'!$G$5:$G$500,"D",'LANÇAMENTOS DIÁRIOS'!$C$5:$C$500,$A86,'LANÇAMENTOS DIÁRIOS'!$O$5:$O$500,"&lt;=103099",'LANÇAMENTOS DIÁRIOS'!$P$5:$P$500,"&gt;=103000")&gt;0,"X","")</f>
      </c>
      <c r="AB86" s="56" t="str">
        <f>IF(COUNTIFS('LANÇAMENTOS DIÁRIOS'!$G$5:$G$500,"D",'LANÇAMENTOS DIÁRIOS'!$C$5:$C$500,$A86,'LANÇAMENTOS DIÁRIOS'!$O$5:$O$500,"&lt;=103199",'LANÇAMENTOS DIÁRIOS'!$P$5:$P$500,"&gt;=103100")&gt;0,"X","")</f>
      </c>
      <c r="AC86" s="56" t="str">
        <f>IF(COUNTIFS('LANÇAMENTOS DIÁRIOS'!$G$5:$G$500,"D",'LANÇAMENTOS DIÁRIOS'!$C$5:$C$500,$A86,'LANÇAMENTOS DIÁRIOS'!$O$5:$O$500,"&lt;=103299",'LANÇAMENTOS DIÁRIOS'!$P$5:$P$500,"&gt;=103200")&gt;0,"X","")</f>
      </c>
      <c r="AD86" s="56" t="str">
        <f>IF(COUNTIFS('LANÇAMENTOS DIÁRIOS'!$G$5:$G$500,"D",'LANÇAMENTOS DIÁRIOS'!$C$5:$C$500,$A86,'LANÇAMENTOS DIÁRIOS'!$O$5:$O$500,"&lt;=103399",'LANÇAMENTOS DIÁRIOS'!$P$5:$P$500,"&gt;=103300")&gt;0,"X","")</f>
      </c>
      <c r="AE86" s="56" t="str">
        <f>IF(COUNTIFS('LANÇAMENTOS DIÁRIOS'!$G$5:$G$500,"D",'LANÇAMENTOS DIÁRIOS'!$C$5:$C$500,$A86,'LANÇAMENTOS DIÁRIOS'!$O$5:$O$500,"&lt;=103499",'LANÇAMENTOS DIÁRIOS'!$P$5:$P$500,"&gt;=103400")&gt;0,"X","")</f>
      </c>
      <c r="AF86" s="56" t="str">
        <f>IF(COUNTIFS('LANÇAMENTOS DIÁRIOS'!$G$5:$G$500,"D",'LANÇAMENTOS DIÁRIOS'!$C$5:$C$500,$A86,'LANÇAMENTOS DIÁRIOS'!$O$5:$O$500,"&lt;=103599",'LANÇAMENTOS DIÁRIOS'!$P$5:$P$500,"&gt;=103500")&gt;0,"X","")</f>
      </c>
      <c r="AG86" s="56" t="str">
        <f>IF(COUNTIFS('LANÇAMENTOS DIÁRIOS'!$G$5:$G$500,"D",'LANÇAMENTOS DIÁRIOS'!$C$5:$C$500,$A86,'LANÇAMENTOS DIÁRIOS'!$O$5:$O$500,"&lt;=103699",'LANÇAMENTOS DIÁRIOS'!$P$5:$P$500,"&gt;=103600")&gt;0,"X","")</f>
      </c>
      <c r="AH86" s="56" t="str">
        <f>IF(COUNTIFS('LANÇAMENTOS DIÁRIOS'!$G$5:$G$500,"D",'LANÇAMENTOS DIÁRIOS'!$C$5:$C$500,$A86,'LANÇAMENTOS DIÁRIOS'!$O$5:$O$500,"&lt;=103799",'LANÇAMENTOS DIÁRIOS'!$P$5:$P$500,"&gt;=103700")&gt;0,"X","")</f>
      </c>
      <c r="AI86" s="56" t="str">
        <f>IF(COUNTIFS('LANÇAMENTOS DIÁRIOS'!$G$5:$G$500,"D",'LANÇAMENTOS DIÁRIOS'!$C$5:$C$500,$A86,'LANÇAMENTOS DIÁRIOS'!$O$5:$O$500,"&lt;=103899",'LANÇAMENTOS DIÁRIOS'!$P$5:$P$500,"&gt;=103800")&gt;0,"X","")</f>
      </c>
      <c r="AJ86" s="56" t="str">
        <f>IF(COUNTIFS('LANÇAMENTOS DIÁRIOS'!$G$5:$G$500,"D",'LANÇAMENTOS DIÁRIOS'!$C$5:$C$500,$A86,'LANÇAMENTOS DIÁRIOS'!$O$5:$O$500,"&lt;=103999",'LANÇAMENTOS DIÁRIOS'!$P$5:$P$500,"&gt;=103900")&gt;0,"X","")</f>
      </c>
      <c r="AK86" s="56" t="str">
        <f>IF(COUNTIFS('LANÇAMENTOS DIÁRIOS'!$G$5:$G$500,"D",'LANÇAMENTOS DIÁRIOS'!$C$5:$C$500,$A86,'LANÇAMENTOS DIÁRIOS'!$O$5:$O$500,"&lt;=104099",'LANÇAMENTOS DIÁRIOS'!$P$5:$P$500,"&gt;=104000")&gt;0,"X","")</f>
      </c>
      <c r="AL86" s="56" t="str">
        <f>IF(COUNTIFS('LANÇAMENTOS DIÁRIOS'!$G$5:$G$500,"D",'LANÇAMENTOS DIÁRIOS'!$C$5:$C$500,$A86,'LANÇAMENTOS DIÁRIOS'!$O$5:$O$500,"&lt;=104199",'LANÇAMENTOS DIÁRIOS'!$P$5:$P$500,"&gt;=104100")&gt;0,"X","")</f>
      </c>
      <c r="AM86" s="56" t="str">
        <f>IF(COUNTIFS('LANÇAMENTOS DIÁRIOS'!$G$5:$G$500,"D",'LANÇAMENTOS DIÁRIOS'!$C$5:$C$500,$A86,'LANÇAMENTOS DIÁRIOS'!$O$5:$O$500,"&lt;=104299",'LANÇAMENTOS DIÁRIOS'!$P$5:$P$500,"&gt;=104200")&gt;0,"X","")</f>
      </c>
      <c r="AN86" s="56" t="str">
        <f>IF(COUNTIFS('LANÇAMENTOS DIÁRIOS'!$G$5:$G$500,"D",'LANÇAMENTOS DIÁRIOS'!$C$5:$C$500,$A86,'LANÇAMENTOS DIÁRIOS'!$O$5:$O$500,"&lt;=104399",'LANÇAMENTOS DIÁRIOS'!$P$5:$P$500,"&gt;=104300")&gt;0,"X","")</f>
      </c>
      <c r="AO86" s="56" t="str">
        <f>IF(COUNTIFS('LANÇAMENTOS DIÁRIOS'!$G$5:$G$500,"D",'LANÇAMENTOS DIÁRIOS'!$C$5:$C$500,$A86,'LANÇAMENTOS DIÁRIOS'!$O$5:$O$500,"&lt;=104499",'LANÇAMENTOS DIÁRIOS'!$P$5:$P$500,"&gt;=104400")&gt;0,"X","")</f>
      </c>
      <c r="AP86" s="56" t="str">
        <f>IF(COUNTIFS('LANÇAMENTOS DIÁRIOS'!$G$5:$G$500,"D",'LANÇAMENTOS DIÁRIOS'!$C$5:$C$500,$A86,'LANÇAMENTOS DIÁRIOS'!$O$5:$O$500,"&lt;=104599",'LANÇAMENTOS DIÁRIOS'!$P$5:$P$500,"&gt;=104500")&gt;0,"X","")</f>
      </c>
      <c r="AQ86" s="56" t="str">
        <f>IF(COUNTIFS('LANÇAMENTOS DIÁRIOS'!$G$5:$G$500,"D",'LANÇAMENTOS DIÁRIOS'!$C$5:$C$500,$A86,'LANÇAMENTOS DIÁRIOS'!$O$5:$O$500,"&lt;=104699",'LANÇAMENTOS DIÁRIOS'!$P$5:$P$500,"&gt;=104600")&gt;0,"X","")</f>
      </c>
      <c r="AR86" s="56" t="str">
        <f>IF(COUNTIFS('LANÇAMENTOS DIÁRIOS'!$G$5:$G$500,"D",'LANÇAMENTOS DIÁRIOS'!$C$5:$C$500,$A86,'LANÇAMENTOS DIÁRIOS'!$O$5:$O$500,"&lt;=104799",'LANÇAMENTOS DIÁRIOS'!$P$5:$P$500,"&gt;=104700")&gt;0,"X","")</f>
      </c>
      <c r="AS86" s="56" t="str">
        <f>IF(COUNTIFS('LANÇAMENTOS DIÁRIOS'!$G$5:$G$500,"D",'LANÇAMENTOS DIÁRIOS'!$C$5:$C$500,$A86,'LANÇAMENTOS DIÁRIOS'!$O$5:$O$500,"&lt;=104899",'LANÇAMENTOS DIÁRIOS'!$P$5:$P$500,"&gt;=104800")&gt;0,"X","")</f>
      </c>
      <c r="AT86" s="56" t="str">
        <f>IF(COUNTIFS('LANÇAMENTOS DIÁRIOS'!$G$5:$G$500,"D",'LANÇAMENTOS DIÁRIOS'!$C$5:$C$500,$A86,'LANÇAMENTOS DIÁRIOS'!$O$5:$O$500,"&lt;=104999",'LANÇAMENTOS DIÁRIOS'!$P$5:$P$500,"&gt;=104900")&gt;0,"X","")</f>
      </c>
      <c r="AU86" s="56" t="str">
        <f>IF(COUNTIFS('LANÇAMENTOS DIÁRIOS'!$G$5:$G$500,"D",'LANÇAMENTOS DIÁRIOS'!$C$5:$C$500,$A86,'LANÇAMENTOS DIÁRIOS'!$O$5:$O$500,"&lt;=105099",'LANÇAMENTOS DIÁRIOS'!$P$5:$P$500,"&gt;=105000")&gt;0,"X","")</f>
      </c>
      <c r="AV86" s="56" t="str">
        <f>IF(COUNTIFS('LANÇAMENTOS DIÁRIOS'!$G$5:$G$500,"D",'LANÇAMENTOS DIÁRIOS'!$C$5:$C$500,$A86,'LANÇAMENTOS DIÁRIOS'!$O$5:$O$500,"&lt;=105199",'LANÇAMENTOS DIÁRIOS'!$P$5:$P$500,"&gt;=105100")&gt;0,"X","")</f>
      </c>
      <c r="AW86" s="56" t="str">
        <f>IF(COUNTIFS('LANÇAMENTOS DIÁRIOS'!$G$5:$G$500,"D",'LANÇAMENTOS DIÁRIOS'!$C$5:$C$500,$A86,'LANÇAMENTOS DIÁRIOS'!$O$5:$O$500,"&lt;=105299",'LANÇAMENTOS DIÁRIOS'!$P$5:$P$500,"&gt;=105200")&gt;0,"X","")</f>
      </c>
      <c r="AX86" s="56" t="str">
        <f>IF(COUNTIFS('LANÇAMENTOS DIÁRIOS'!$G$5:$G$500,"D",'LANÇAMENTOS DIÁRIOS'!$C$5:$C$500,$A86,'LANÇAMENTOS DIÁRIOS'!$O$5:$O$500,"&lt;=105399",'LANÇAMENTOS DIÁRIOS'!$P$5:$P$500,"&gt;=105300")&gt;0,"X","")</f>
      </c>
      <c r="AY86" s="56" t="str">
        <f>IF(COUNTIFS('LANÇAMENTOS DIÁRIOS'!$G$5:$G$500,"D",'LANÇAMENTOS DIÁRIOS'!$C$5:$C$500,$A86,'LANÇAMENTOS DIÁRIOS'!$O$5:$O$500,"&lt;=105499",'LANÇAMENTOS DIÁRIOS'!$P$5:$P$500,"&gt;=105400")&gt;0,"X","")</f>
      </c>
      <c r="AZ86" s="56" t="str">
        <f>IF(COUNTIFS('LANÇAMENTOS DIÁRIOS'!$G$5:$G$500,"D",'LANÇAMENTOS DIÁRIOS'!$C$5:$C$500,$A86,'LANÇAMENTOS DIÁRIOS'!$O$5:$O$500,"&lt;=105500",'LANÇAMENTOS DIÁRIOS'!$P$5:$P$500,"&gt;=105500")&gt;0,"X","")</f>
      </c>
    </row>
    <row r="87">
      <c r="A87" s="51" t="str">
        <v>Concreto betuminoso usinado a quente SPV 16 mm, modificado por borracha, sem o fornecimento de CAP</v>
      </c>
      <c r="B87" s="56" t="str">
        <f>IF(COUNTIFS('LANÇAMENTOS DIÁRIOS'!$G$5:$G$500,"D",'LANÇAMENTOS DIÁRIOS'!$C$5:$C$500,$A87,'LANÇAMENTOS DIÁRIOS'!$O$5:$O$500,"&lt;=100599",'LANÇAMENTOS DIÁRIOS'!$P$5:$P$500,"&gt;=100500")&gt;0,"X","")</f>
      </c>
      <c r="C87" s="56" t="str">
        <f>IF(COUNTIFS('LANÇAMENTOS DIÁRIOS'!$G$5:$G$500,"D",'LANÇAMENTOS DIÁRIOS'!$C$5:$C$500,$A87,'LANÇAMENTOS DIÁRIOS'!$O$5:$O$500,"&lt;=100699",'LANÇAMENTOS DIÁRIOS'!$P$5:$P$500,"&gt;=100600")&gt;0,"X","")</f>
      </c>
      <c r="D87" s="56" t="str">
        <f>IF(COUNTIFS('LANÇAMENTOS DIÁRIOS'!$G$5:$G$500,"D",'LANÇAMENTOS DIÁRIOS'!$C$5:$C$500,$A87,'LANÇAMENTOS DIÁRIOS'!$O$5:$O$500,"&lt;=100799",'LANÇAMENTOS DIÁRIOS'!$P$5:$P$500,"&gt;=100700")&gt;0,"X","")</f>
      </c>
      <c r="E87" s="56" t="str">
        <f>IF(COUNTIFS('LANÇAMENTOS DIÁRIOS'!$G$5:$G$500,"D",'LANÇAMENTOS DIÁRIOS'!$C$5:$C$500,$A87,'LANÇAMENTOS DIÁRIOS'!$O$5:$O$500,"&lt;=100899",'LANÇAMENTOS DIÁRIOS'!$P$5:$P$500,"&gt;=100800")&gt;0,"X","")</f>
      </c>
      <c r="F87" s="56" t="str">
        <f>IF(COUNTIFS('LANÇAMENTOS DIÁRIOS'!$G$5:$G$500,"D",'LANÇAMENTOS DIÁRIOS'!$C$5:$C$500,$A87,'LANÇAMENTOS DIÁRIOS'!$O$5:$O$500,"&lt;=100999",'LANÇAMENTOS DIÁRIOS'!$P$5:$P$500,"&gt;=100900")&gt;0,"X","")</f>
      </c>
      <c r="G87" s="56" t="str">
        <f>IF(COUNTIFS('LANÇAMENTOS DIÁRIOS'!$G$5:$G$500,"D",'LANÇAMENTOS DIÁRIOS'!$C$5:$C$500,$A87,'LANÇAMENTOS DIÁRIOS'!$O$5:$O$500,"&lt;=101099",'LANÇAMENTOS DIÁRIOS'!$P$5:$P$500,"&gt;=101000")&gt;0,"X","")</f>
      </c>
      <c r="H87" s="56" t="str">
        <f>IF(COUNTIFS('LANÇAMENTOS DIÁRIOS'!$G$5:$G$500,"D",'LANÇAMENTOS DIÁRIOS'!$C$5:$C$500,$A87,'LANÇAMENTOS DIÁRIOS'!$O$5:$O$500,"&lt;=101199",'LANÇAMENTOS DIÁRIOS'!$P$5:$P$500,"&gt;=101100")&gt;0,"X","")</f>
      </c>
      <c r="I87" s="56" t="str">
        <f>IF(COUNTIFS('LANÇAMENTOS DIÁRIOS'!$G$5:$G$500,"D",'LANÇAMENTOS DIÁRIOS'!$C$5:$C$500,$A87,'LANÇAMENTOS DIÁRIOS'!$O$5:$O$500,"&lt;=101299",'LANÇAMENTOS DIÁRIOS'!$P$5:$P$500,"&gt;=101200")&gt;0,"X","")</f>
      </c>
      <c r="J87" s="56" t="str">
        <f>IF(COUNTIFS('LANÇAMENTOS DIÁRIOS'!$G$5:$G$500,"D",'LANÇAMENTOS DIÁRIOS'!$C$5:$C$500,$A87,'LANÇAMENTOS DIÁRIOS'!$O$5:$O$500,"&lt;=101399",'LANÇAMENTOS DIÁRIOS'!$P$5:$P$500,"&gt;=101300")&gt;0,"X","")</f>
      </c>
      <c r="K87" s="56" t="str">
        <f>IF(COUNTIFS('LANÇAMENTOS DIÁRIOS'!$G$5:$G$500,"D",'LANÇAMENTOS DIÁRIOS'!$C$5:$C$500,$A87,'LANÇAMENTOS DIÁRIOS'!$O$5:$O$500,"&lt;=101499",'LANÇAMENTOS DIÁRIOS'!$P$5:$P$500,"&gt;=101400")&gt;0,"X","")</f>
      </c>
      <c r="L87" s="56" t="str">
        <f>IF(COUNTIFS('LANÇAMENTOS DIÁRIOS'!$G$5:$G$500,"D",'LANÇAMENTOS DIÁRIOS'!$C$5:$C$500,$A87,'LANÇAMENTOS DIÁRIOS'!$O$5:$O$500,"&lt;=101599",'LANÇAMENTOS DIÁRIOS'!$P$5:$P$500,"&gt;=101500")&gt;0,"X","")</f>
      </c>
      <c r="M87" s="56" t="str">
        <f>IF(COUNTIFS('LANÇAMENTOS DIÁRIOS'!$G$5:$G$500,"D",'LANÇAMENTOS DIÁRIOS'!$C$5:$C$500,$A87,'LANÇAMENTOS DIÁRIOS'!$O$5:$O$500,"&lt;=101699",'LANÇAMENTOS DIÁRIOS'!$P$5:$P$500,"&gt;=101600")&gt;0,"X","")</f>
      </c>
      <c r="N87" s="56" t="str">
        <f>IF(COUNTIFS('LANÇAMENTOS DIÁRIOS'!$G$5:$G$500,"D",'LANÇAMENTOS DIÁRIOS'!$C$5:$C$500,$A87,'LANÇAMENTOS DIÁRIOS'!$O$5:$O$500,"&lt;=101799",'LANÇAMENTOS DIÁRIOS'!$P$5:$P$500,"&gt;=101700")&gt;0,"X","")</f>
      </c>
      <c r="O87" s="56" t="str">
        <f>IF(COUNTIFS('LANÇAMENTOS DIÁRIOS'!$G$5:$G$500,"D",'LANÇAMENTOS DIÁRIOS'!$C$5:$C$500,$A87,'LANÇAMENTOS DIÁRIOS'!$O$5:$O$500,"&lt;=101899",'LANÇAMENTOS DIÁRIOS'!$P$5:$P$500,"&gt;=101800")&gt;0,"X","")</f>
      </c>
      <c r="P87" s="56" t="str">
        <f>IF(COUNTIFS('LANÇAMENTOS DIÁRIOS'!$G$5:$G$500,"D",'LANÇAMENTOS DIÁRIOS'!$C$5:$C$500,$A87,'LANÇAMENTOS DIÁRIOS'!$O$5:$O$500,"&lt;=101999",'LANÇAMENTOS DIÁRIOS'!$P$5:$P$500,"&gt;=101900")&gt;0,"X","")</f>
      </c>
      <c r="Q87" s="56" t="str">
        <f>IF(COUNTIFS('LANÇAMENTOS DIÁRIOS'!$G$5:$G$500,"D",'LANÇAMENTOS DIÁRIOS'!$C$5:$C$500,$A87,'LANÇAMENTOS DIÁRIOS'!$O$5:$O$500,"&lt;=102099",'LANÇAMENTOS DIÁRIOS'!$P$5:$P$500,"&gt;=102000")&gt;0,"X","")</f>
      </c>
      <c r="R87" s="56" t="str">
        <f>IF(COUNTIFS('LANÇAMENTOS DIÁRIOS'!$G$5:$G$500,"D",'LANÇAMENTOS DIÁRIOS'!$C$5:$C$500,$A87,'LANÇAMENTOS DIÁRIOS'!$O$5:$O$500,"&lt;=102199",'LANÇAMENTOS DIÁRIOS'!$P$5:$P$500,"&gt;=102100")&gt;0,"X","")</f>
      </c>
      <c r="S87" s="56" t="str">
        <f>IF(COUNTIFS('LANÇAMENTOS DIÁRIOS'!$G$5:$G$500,"D",'LANÇAMENTOS DIÁRIOS'!$C$5:$C$500,$A87,'LANÇAMENTOS DIÁRIOS'!$O$5:$O$500,"&lt;=102299",'LANÇAMENTOS DIÁRIOS'!$P$5:$P$500,"&gt;=102200")&gt;0,"X","")</f>
      </c>
      <c r="T87" s="56" t="str">
        <f>IF(COUNTIFS('LANÇAMENTOS DIÁRIOS'!$G$5:$G$500,"D",'LANÇAMENTOS DIÁRIOS'!$C$5:$C$500,$A87,'LANÇAMENTOS DIÁRIOS'!$O$5:$O$500,"&lt;=102399",'LANÇAMENTOS DIÁRIOS'!$P$5:$P$500,"&gt;=102300")&gt;0,"X","")</f>
      </c>
      <c r="U87" s="56" t="str">
        <f>IF(COUNTIFS('LANÇAMENTOS DIÁRIOS'!$G$5:$G$500,"D",'LANÇAMENTOS DIÁRIOS'!$C$5:$C$500,$A87,'LANÇAMENTOS DIÁRIOS'!$O$5:$O$500,"&lt;=102499",'LANÇAMENTOS DIÁRIOS'!$P$5:$P$500,"&gt;=102400")&gt;0,"X","")</f>
      </c>
      <c r="V87" s="56" t="str">
        <f>IF(COUNTIFS('LANÇAMENTOS DIÁRIOS'!$G$5:$G$500,"D",'LANÇAMENTOS DIÁRIOS'!$C$5:$C$500,$A87,'LANÇAMENTOS DIÁRIOS'!$O$5:$O$500,"&lt;=102599",'LANÇAMENTOS DIÁRIOS'!$P$5:$P$500,"&gt;=102500")&gt;0,"X","")</f>
      </c>
      <c r="W87" s="56" t="str">
        <f>IF(COUNTIFS('LANÇAMENTOS DIÁRIOS'!$G$5:$G$500,"D",'LANÇAMENTOS DIÁRIOS'!$C$5:$C$500,$A87,'LANÇAMENTOS DIÁRIOS'!$O$5:$O$500,"&lt;=102699",'LANÇAMENTOS DIÁRIOS'!$P$5:$P$500,"&gt;=102600")&gt;0,"X","")</f>
      </c>
      <c r="X87" s="56" t="str">
        <f>IF(COUNTIFS('LANÇAMENTOS DIÁRIOS'!$G$5:$G$500,"D",'LANÇAMENTOS DIÁRIOS'!$C$5:$C$500,$A87,'LANÇAMENTOS DIÁRIOS'!$O$5:$O$500,"&lt;=102799",'LANÇAMENTOS DIÁRIOS'!$P$5:$P$500,"&gt;=102700")&gt;0,"X","")</f>
      </c>
      <c r="Y87" s="56" t="str">
        <f>IF(COUNTIFS('LANÇAMENTOS DIÁRIOS'!$G$5:$G$500,"D",'LANÇAMENTOS DIÁRIOS'!$C$5:$C$500,$A87,'LANÇAMENTOS DIÁRIOS'!$O$5:$O$500,"&lt;=102899",'LANÇAMENTOS DIÁRIOS'!$P$5:$P$500,"&gt;=102800")&gt;0,"X","")</f>
      </c>
      <c r="Z87" s="56" t="str">
        <f>IF(COUNTIFS('LANÇAMENTOS DIÁRIOS'!$G$5:$G$500,"D",'LANÇAMENTOS DIÁRIOS'!$C$5:$C$500,$A87,'LANÇAMENTOS DIÁRIOS'!$O$5:$O$500,"&lt;=102999",'LANÇAMENTOS DIÁRIOS'!$P$5:$P$500,"&gt;=102900")&gt;0,"X","")</f>
      </c>
      <c r="AA87" s="56" t="str">
        <f>IF(COUNTIFS('LANÇAMENTOS DIÁRIOS'!$G$5:$G$500,"D",'LANÇAMENTOS DIÁRIOS'!$C$5:$C$500,$A87,'LANÇAMENTOS DIÁRIOS'!$O$5:$O$500,"&lt;=103099",'LANÇAMENTOS DIÁRIOS'!$P$5:$P$500,"&gt;=103000")&gt;0,"X","")</f>
      </c>
      <c r="AB87" s="56" t="str">
        <f>IF(COUNTIFS('LANÇAMENTOS DIÁRIOS'!$G$5:$G$500,"D",'LANÇAMENTOS DIÁRIOS'!$C$5:$C$500,$A87,'LANÇAMENTOS DIÁRIOS'!$O$5:$O$500,"&lt;=103199",'LANÇAMENTOS DIÁRIOS'!$P$5:$P$500,"&gt;=103100")&gt;0,"X","")</f>
      </c>
      <c r="AC87" s="56" t="str">
        <f>IF(COUNTIFS('LANÇAMENTOS DIÁRIOS'!$G$5:$G$500,"D",'LANÇAMENTOS DIÁRIOS'!$C$5:$C$500,$A87,'LANÇAMENTOS DIÁRIOS'!$O$5:$O$500,"&lt;=103299",'LANÇAMENTOS DIÁRIOS'!$P$5:$P$500,"&gt;=103200")&gt;0,"X","")</f>
      </c>
      <c r="AD87" s="56" t="str">
        <f>IF(COUNTIFS('LANÇAMENTOS DIÁRIOS'!$G$5:$G$500,"D",'LANÇAMENTOS DIÁRIOS'!$C$5:$C$500,$A87,'LANÇAMENTOS DIÁRIOS'!$O$5:$O$500,"&lt;=103399",'LANÇAMENTOS DIÁRIOS'!$P$5:$P$500,"&gt;=103300")&gt;0,"X","")</f>
      </c>
      <c r="AE87" s="56" t="str">
        <f>IF(COUNTIFS('LANÇAMENTOS DIÁRIOS'!$G$5:$G$500,"D",'LANÇAMENTOS DIÁRIOS'!$C$5:$C$500,$A87,'LANÇAMENTOS DIÁRIOS'!$O$5:$O$500,"&lt;=103499",'LANÇAMENTOS DIÁRIOS'!$P$5:$P$500,"&gt;=103400")&gt;0,"X","")</f>
      </c>
      <c r="AF87" s="56" t="str">
        <f>IF(COUNTIFS('LANÇAMENTOS DIÁRIOS'!$G$5:$G$500,"D",'LANÇAMENTOS DIÁRIOS'!$C$5:$C$500,$A87,'LANÇAMENTOS DIÁRIOS'!$O$5:$O$500,"&lt;=103599",'LANÇAMENTOS DIÁRIOS'!$P$5:$P$500,"&gt;=103500")&gt;0,"X","")</f>
      </c>
      <c r="AG87" s="56" t="str">
        <f>IF(COUNTIFS('LANÇAMENTOS DIÁRIOS'!$G$5:$G$500,"D",'LANÇAMENTOS DIÁRIOS'!$C$5:$C$500,$A87,'LANÇAMENTOS DIÁRIOS'!$O$5:$O$500,"&lt;=103699",'LANÇAMENTOS DIÁRIOS'!$P$5:$P$500,"&gt;=103600")&gt;0,"X","")</f>
      </c>
      <c r="AH87" s="56" t="str">
        <f>IF(COUNTIFS('LANÇAMENTOS DIÁRIOS'!$G$5:$G$500,"D",'LANÇAMENTOS DIÁRIOS'!$C$5:$C$500,$A87,'LANÇAMENTOS DIÁRIOS'!$O$5:$O$500,"&lt;=103799",'LANÇAMENTOS DIÁRIOS'!$P$5:$P$500,"&gt;=103700")&gt;0,"X","")</f>
      </c>
      <c r="AI87" s="56" t="str">
        <f>IF(COUNTIFS('LANÇAMENTOS DIÁRIOS'!$G$5:$G$500,"D",'LANÇAMENTOS DIÁRIOS'!$C$5:$C$500,$A87,'LANÇAMENTOS DIÁRIOS'!$O$5:$O$500,"&lt;=103899",'LANÇAMENTOS DIÁRIOS'!$P$5:$P$500,"&gt;=103800")&gt;0,"X","")</f>
      </c>
      <c r="AJ87" s="56" t="str">
        <f>IF(COUNTIFS('LANÇAMENTOS DIÁRIOS'!$G$5:$G$500,"D",'LANÇAMENTOS DIÁRIOS'!$C$5:$C$500,$A87,'LANÇAMENTOS DIÁRIOS'!$O$5:$O$500,"&lt;=103999",'LANÇAMENTOS DIÁRIOS'!$P$5:$P$500,"&gt;=103900")&gt;0,"X","")</f>
      </c>
      <c r="AK87" s="56" t="str">
        <f>IF(COUNTIFS('LANÇAMENTOS DIÁRIOS'!$G$5:$G$500,"D",'LANÇAMENTOS DIÁRIOS'!$C$5:$C$500,$A87,'LANÇAMENTOS DIÁRIOS'!$O$5:$O$500,"&lt;=104099",'LANÇAMENTOS DIÁRIOS'!$P$5:$P$500,"&gt;=104000")&gt;0,"X","")</f>
      </c>
      <c r="AL87" s="56" t="str">
        <f>IF(COUNTIFS('LANÇAMENTOS DIÁRIOS'!$G$5:$G$500,"D",'LANÇAMENTOS DIÁRIOS'!$C$5:$C$500,$A87,'LANÇAMENTOS DIÁRIOS'!$O$5:$O$500,"&lt;=104199",'LANÇAMENTOS DIÁRIOS'!$P$5:$P$500,"&gt;=104100")&gt;0,"X","")</f>
      </c>
      <c r="AM87" s="56" t="str">
        <f>IF(COUNTIFS('LANÇAMENTOS DIÁRIOS'!$G$5:$G$500,"D",'LANÇAMENTOS DIÁRIOS'!$C$5:$C$500,$A87,'LANÇAMENTOS DIÁRIOS'!$O$5:$O$500,"&lt;=104299",'LANÇAMENTOS DIÁRIOS'!$P$5:$P$500,"&gt;=104200")&gt;0,"X","")</f>
      </c>
      <c r="AN87" s="56" t="str">
        <f>IF(COUNTIFS('LANÇAMENTOS DIÁRIOS'!$G$5:$G$500,"D",'LANÇAMENTOS DIÁRIOS'!$C$5:$C$500,$A87,'LANÇAMENTOS DIÁRIOS'!$O$5:$O$500,"&lt;=104399",'LANÇAMENTOS DIÁRIOS'!$P$5:$P$500,"&gt;=104300")&gt;0,"X","")</f>
      </c>
      <c r="AO87" s="56" t="str">
        <f>IF(COUNTIFS('LANÇAMENTOS DIÁRIOS'!$G$5:$G$500,"D",'LANÇAMENTOS DIÁRIOS'!$C$5:$C$500,$A87,'LANÇAMENTOS DIÁRIOS'!$O$5:$O$500,"&lt;=104499",'LANÇAMENTOS DIÁRIOS'!$P$5:$P$500,"&gt;=104400")&gt;0,"X","")</f>
      </c>
      <c r="AP87" s="56" t="str">
        <f>IF(COUNTIFS('LANÇAMENTOS DIÁRIOS'!$G$5:$G$500,"D",'LANÇAMENTOS DIÁRIOS'!$C$5:$C$500,$A87,'LANÇAMENTOS DIÁRIOS'!$O$5:$O$500,"&lt;=104599",'LANÇAMENTOS DIÁRIOS'!$P$5:$P$500,"&gt;=104500")&gt;0,"X","")</f>
      </c>
      <c r="AQ87" s="56" t="str">
        <f>IF(COUNTIFS('LANÇAMENTOS DIÁRIOS'!$G$5:$G$500,"D",'LANÇAMENTOS DIÁRIOS'!$C$5:$C$500,$A87,'LANÇAMENTOS DIÁRIOS'!$O$5:$O$500,"&lt;=104699",'LANÇAMENTOS DIÁRIOS'!$P$5:$P$500,"&gt;=104600")&gt;0,"X","")</f>
      </c>
      <c r="AR87" s="56" t="str">
        <f>IF(COUNTIFS('LANÇAMENTOS DIÁRIOS'!$G$5:$G$500,"D",'LANÇAMENTOS DIÁRIOS'!$C$5:$C$500,$A87,'LANÇAMENTOS DIÁRIOS'!$O$5:$O$500,"&lt;=104799",'LANÇAMENTOS DIÁRIOS'!$P$5:$P$500,"&gt;=104700")&gt;0,"X","")</f>
      </c>
      <c r="AS87" s="56" t="str">
        <f>IF(COUNTIFS('LANÇAMENTOS DIÁRIOS'!$G$5:$G$500,"D",'LANÇAMENTOS DIÁRIOS'!$C$5:$C$500,$A87,'LANÇAMENTOS DIÁRIOS'!$O$5:$O$500,"&lt;=104899",'LANÇAMENTOS DIÁRIOS'!$P$5:$P$500,"&gt;=104800")&gt;0,"X","")</f>
      </c>
      <c r="AT87" s="56" t="str">
        <f>IF(COUNTIFS('LANÇAMENTOS DIÁRIOS'!$G$5:$G$500,"D",'LANÇAMENTOS DIÁRIOS'!$C$5:$C$500,$A87,'LANÇAMENTOS DIÁRIOS'!$O$5:$O$500,"&lt;=104999",'LANÇAMENTOS DIÁRIOS'!$P$5:$P$500,"&gt;=104900")&gt;0,"X","")</f>
      </c>
      <c r="AU87" s="56" t="str">
        <f>IF(COUNTIFS('LANÇAMENTOS DIÁRIOS'!$G$5:$G$500,"D",'LANÇAMENTOS DIÁRIOS'!$C$5:$C$500,$A87,'LANÇAMENTOS DIÁRIOS'!$O$5:$O$500,"&lt;=105099",'LANÇAMENTOS DIÁRIOS'!$P$5:$P$500,"&gt;=105000")&gt;0,"X","")</f>
      </c>
      <c r="AV87" s="56" t="str">
        <f>IF(COUNTIFS('LANÇAMENTOS DIÁRIOS'!$G$5:$G$500,"D",'LANÇAMENTOS DIÁRIOS'!$C$5:$C$500,$A87,'LANÇAMENTOS DIÁRIOS'!$O$5:$O$500,"&lt;=105199",'LANÇAMENTOS DIÁRIOS'!$P$5:$P$500,"&gt;=105100")&gt;0,"X","")</f>
      </c>
      <c r="AW87" s="56" t="str">
        <f>IF(COUNTIFS('LANÇAMENTOS DIÁRIOS'!$G$5:$G$500,"D",'LANÇAMENTOS DIÁRIOS'!$C$5:$C$500,$A87,'LANÇAMENTOS DIÁRIOS'!$O$5:$O$500,"&lt;=105299",'LANÇAMENTOS DIÁRIOS'!$P$5:$P$500,"&gt;=105200")&gt;0,"X","")</f>
      </c>
      <c r="AX87" s="56" t="str">
        <f>IF(COUNTIFS('LANÇAMENTOS DIÁRIOS'!$G$5:$G$500,"D",'LANÇAMENTOS DIÁRIOS'!$C$5:$C$500,$A87,'LANÇAMENTOS DIÁRIOS'!$O$5:$O$500,"&lt;=105399",'LANÇAMENTOS DIÁRIOS'!$P$5:$P$500,"&gt;=105300")&gt;0,"X","")</f>
      </c>
      <c r="AY87" s="56" t="str">
        <f>IF(COUNTIFS('LANÇAMENTOS DIÁRIOS'!$G$5:$G$500,"D",'LANÇAMENTOS DIÁRIOS'!$C$5:$C$500,$A87,'LANÇAMENTOS DIÁRIOS'!$O$5:$O$500,"&lt;=105499",'LANÇAMENTOS DIÁRIOS'!$P$5:$P$500,"&gt;=105400")&gt;0,"X","")</f>
      </c>
      <c r="AZ87" s="56" t="str">
        <f>IF(COUNTIFS('LANÇAMENTOS DIÁRIOS'!$G$5:$G$500,"D",'LANÇAMENTOS DIÁRIOS'!$C$5:$C$500,$A87,'LANÇAMENTOS DIÁRIOS'!$O$5:$O$500,"&lt;=105500",'LANÇAMENTOS DIÁRIOS'!$P$5:$P$500,"&gt;=105500")&gt;0,"X","")</f>
      </c>
    </row>
    <row r="88">
      <c r="A88" s="51" t="str">
        <v>Microrrevestimento asfáltico a frio adaptado para acostamentos - Espessura de 25 mm - sem fornecimento de emulsão</v>
      </c>
      <c r="B88" s="56" t="str">
        <f>IF(COUNTIFS('LANÇAMENTOS DIÁRIOS'!$G$5:$G$500,"D",'LANÇAMENTOS DIÁRIOS'!$C$5:$C$500,$A88,'LANÇAMENTOS DIÁRIOS'!$O$5:$O$500,"&lt;=100599",'LANÇAMENTOS DIÁRIOS'!$P$5:$P$500,"&gt;=100500")&gt;0,"X","")</f>
      </c>
      <c r="C88" s="56" t="str">
        <f>IF(COUNTIFS('LANÇAMENTOS DIÁRIOS'!$G$5:$G$500,"D",'LANÇAMENTOS DIÁRIOS'!$C$5:$C$500,$A88,'LANÇAMENTOS DIÁRIOS'!$O$5:$O$500,"&lt;=100699",'LANÇAMENTOS DIÁRIOS'!$P$5:$P$500,"&gt;=100600")&gt;0,"X","")</f>
      </c>
      <c r="D88" s="56" t="str">
        <f>IF(COUNTIFS('LANÇAMENTOS DIÁRIOS'!$G$5:$G$500,"D",'LANÇAMENTOS DIÁRIOS'!$C$5:$C$500,$A88,'LANÇAMENTOS DIÁRIOS'!$O$5:$O$500,"&lt;=100799",'LANÇAMENTOS DIÁRIOS'!$P$5:$P$500,"&gt;=100700")&gt;0,"X","")</f>
      </c>
      <c r="E88" s="56" t="str">
        <f>IF(COUNTIFS('LANÇAMENTOS DIÁRIOS'!$G$5:$G$500,"D",'LANÇAMENTOS DIÁRIOS'!$C$5:$C$500,$A88,'LANÇAMENTOS DIÁRIOS'!$O$5:$O$500,"&lt;=100899",'LANÇAMENTOS DIÁRIOS'!$P$5:$P$500,"&gt;=100800")&gt;0,"X","")</f>
      </c>
      <c r="F88" s="56" t="str">
        <f>IF(COUNTIFS('LANÇAMENTOS DIÁRIOS'!$G$5:$G$500,"D",'LANÇAMENTOS DIÁRIOS'!$C$5:$C$500,$A88,'LANÇAMENTOS DIÁRIOS'!$O$5:$O$500,"&lt;=100999",'LANÇAMENTOS DIÁRIOS'!$P$5:$P$500,"&gt;=100900")&gt;0,"X","")</f>
      </c>
      <c r="G88" s="56" t="str">
        <f>IF(COUNTIFS('LANÇAMENTOS DIÁRIOS'!$G$5:$G$500,"D",'LANÇAMENTOS DIÁRIOS'!$C$5:$C$500,$A88,'LANÇAMENTOS DIÁRIOS'!$O$5:$O$500,"&lt;=101099",'LANÇAMENTOS DIÁRIOS'!$P$5:$P$500,"&gt;=101000")&gt;0,"X","")</f>
      </c>
      <c r="H88" s="56" t="str">
        <f>IF(COUNTIFS('LANÇAMENTOS DIÁRIOS'!$G$5:$G$500,"D",'LANÇAMENTOS DIÁRIOS'!$C$5:$C$500,$A88,'LANÇAMENTOS DIÁRIOS'!$O$5:$O$500,"&lt;=101199",'LANÇAMENTOS DIÁRIOS'!$P$5:$P$500,"&gt;=101100")&gt;0,"X","")</f>
      </c>
      <c r="I88" s="56" t="str">
        <f>IF(COUNTIFS('LANÇAMENTOS DIÁRIOS'!$G$5:$G$500,"D",'LANÇAMENTOS DIÁRIOS'!$C$5:$C$500,$A88,'LANÇAMENTOS DIÁRIOS'!$O$5:$O$500,"&lt;=101299",'LANÇAMENTOS DIÁRIOS'!$P$5:$P$500,"&gt;=101200")&gt;0,"X","")</f>
      </c>
      <c r="J88" s="56" t="str">
        <f>IF(COUNTIFS('LANÇAMENTOS DIÁRIOS'!$G$5:$G$500,"D",'LANÇAMENTOS DIÁRIOS'!$C$5:$C$500,$A88,'LANÇAMENTOS DIÁRIOS'!$O$5:$O$500,"&lt;=101399",'LANÇAMENTOS DIÁRIOS'!$P$5:$P$500,"&gt;=101300")&gt;0,"X","")</f>
      </c>
      <c r="K88" s="56" t="str">
        <f>IF(COUNTIFS('LANÇAMENTOS DIÁRIOS'!$G$5:$G$500,"D",'LANÇAMENTOS DIÁRIOS'!$C$5:$C$500,$A88,'LANÇAMENTOS DIÁRIOS'!$O$5:$O$500,"&lt;=101499",'LANÇAMENTOS DIÁRIOS'!$P$5:$P$500,"&gt;=101400")&gt;0,"X","")</f>
      </c>
      <c r="L88" s="56" t="str">
        <f>IF(COUNTIFS('LANÇAMENTOS DIÁRIOS'!$G$5:$G$500,"D",'LANÇAMENTOS DIÁRIOS'!$C$5:$C$500,$A88,'LANÇAMENTOS DIÁRIOS'!$O$5:$O$500,"&lt;=101599",'LANÇAMENTOS DIÁRIOS'!$P$5:$P$500,"&gt;=101500")&gt;0,"X","")</f>
      </c>
      <c r="M88" s="56" t="str">
        <f>IF(COUNTIFS('LANÇAMENTOS DIÁRIOS'!$G$5:$G$500,"D",'LANÇAMENTOS DIÁRIOS'!$C$5:$C$500,$A88,'LANÇAMENTOS DIÁRIOS'!$O$5:$O$500,"&lt;=101699",'LANÇAMENTOS DIÁRIOS'!$P$5:$P$500,"&gt;=101600")&gt;0,"X","")</f>
      </c>
      <c r="N88" s="56" t="str">
        <f>IF(COUNTIFS('LANÇAMENTOS DIÁRIOS'!$G$5:$G$500,"D",'LANÇAMENTOS DIÁRIOS'!$C$5:$C$500,$A88,'LANÇAMENTOS DIÁRIOS'!$O$5:$O$500,"&lt;=101799",'LANÇAMENTOS DIÁRIOS'!$P$5:$P$500,"&gt;=101700")&gt;0,"X","")</f>
      </c>
      <c r="O88" s="56" t="str">
        <f>IF(COUNTIFS('LANÇAMENTOS DIÁRIOS'!$G$5:$G$500,"D",'LANÇAMENTOS DIÁRIOS'!$C$5:$C$500,$A88,'LANÇAMENTOS DIÁRIOS'!$O$5:$O$500,"&lt;=101899",'LANÇAMENTOS DIÁRIOS'!$P$5:$P$500,"&gt;=101800")&gt;0,"X","")</f>
      </c>
      <c r="P88" s="56" t="str">
        <f>IF(COUNTIFS('LANÇAMENTOS DIÁRIOS'!$G$5:$G$500,"D",'LANÇAMENTOS DIÁRIOS'!$C$5:$C$500,$A88,'LANÇAMENTOS DIÁRIOS'!$O$5:$O$500,"&lt;=101999",'LANÇAMENTOS DIÁRIOS'!$P$5:$P$500,"&gt;=101900")&gt;0,"X","")</f>
      </c>
      <c r="Q88" s="56" t="str">
        <f>IF(COUNTIFS('LANÇAMENTOS DIÁRIOS'!$G$5:$G$500,"D",'LANÇAMENTOS DIÁRIOS'!$C$5:$C$500,$A88,'LANÇAMENTOS DIÁRIOS'!$O$5:$O$500,"&lt;=102099",'LANÇAMENTOS DIÁRIOS'!$P$5:$P$500,"&gt;=102000")&gt;0,"X","")</f>
      </c>
      <c r="R88" s="56" t="str">
        <f>IF(COUNTIFS('LANÇAMENTOS DIÁRIOS'!$G$5:$G$500,"D",'LANÇAMENTOS DIÁRIOS'!$C$5:$C$500,$A88,'LANÇAMENTOS DIÁRIOS'!$O$5:$O$500,"&lt;=102199",'LANÇAMENTOS DIÁRIOS'!$P$5:$P$500,"&gt;=102100")&gt;0,"X","")</f>
      </c>
      <c r="S88" s="56" t="str">
        <f>IF(COUNTIFS('LANÇAMENTOS DIÁRIOS'!$G$5:$G$500,"D",'LANÇAMENTOS DIÁRIOS'!$C$5:$C$500,$A88,'LANÇAMENTOS DIÁRIOS'!$O$5:$O$500,"&lt;=102299",'LANÇAMENTOS DIÁRIOS'!$P$5:$P$500,"&gt;=102200")&gt;0,"X","")</f>
      </c>
      <c r="T88" s="56" t="str">
        <f>IF(COUNTIFS('LANÇAMENTOS DIÁRIOS'!$G$5:$G$500,"D",'LANÇAMENTOS DIÁRIOS'!$C$5:$C$500,$A88,'LANÇAMENTOS DIÁRIOS'!$O$5:$O$500,"&lt;=102399",'LANÇAMENTOS DIÁRIOS'!$P$5:$P$500,"&gt;=102300")&gt;0,"X","")</f>
      </c>
      <c r="U88" s="56" t="str">
        <f>IF(COUNTIFS('LANÇAMENTOS DIÁRIOS'!$G$5:$G$500,"D",'LANÇAMENTOS DIÁRIOS'!$C$5:$C$500,$A88,'LANÇAMENTOS DIÁRIOS'!$O$5:$O$500,"&lt;=102499",'LANÇAMENTOS DIÁRIOS'!$P$5:$P$500,"&gt;=102400")&gt;0,"X","")</f>
      </c>
      <c r="V88" s="56" t="str">
        <f>IF(COUNTIFS('LANÇAMENTOS DIÁRIOS'!$G$5:$G$500,"D",'LANÇAMENTOS DIÁRIOS'!$C$5:$C$500,$A88,'LANÇAMENTOS DIÁRIOS'!$O$5:$O$500,"&lt;=102599",'LANÇAMENTOS DIÁRIOS'!$P$5:$P$500,"&gt;=102500")&gt;0,"X","")</f>
      </c>
      <c r="W88" s="56" t="str">
        <f>IF(COUNTIFS('LANÇAMENTOS DIÁRIOS'!$G$5:$G$500,"D",'LANÇAMENTOS DIÁRIOS'!$C$5:$C$500,$A88,'LANÇAMENTOS DIÁRIOS'!$O$5:$O$500,"&lt;=102699",'LANÇAMENTOS DIÁRIOS'!$P$5:$P$500,"&gt;=102600")&gt;0,"X","")</f>
      </c>
      <c r="X88" s="56" t="str">
        <f>IF(COUNTIFS('LANÇAMENTOS DIÁRIOS'!$G$5:$G$500,"D",'LANÇAMENTOS DIÁRIOS'!$C$5:$C$500,$A88,'LANÇAMENTOS DIÁRIOS'!$O$5:$O$500,"&lt;=102799",'LANÇAMENTOS DIÁRIOS'!$P$5:$P$500,"&gt;=102700")&gt;0,"X","")</f>
      </c>
      <c r="Y88" s="56" t="str">
        <f>IF(COUNTIFS('LANÇAMENTOS DIÁRIOS'!$G$5:$G$500,"D",'LANÇAMENTOS DIÁRIOS'!$C$5:$C$500,$A88,'LANÇAMENTOS DIÁRIOS'!$O$5:$O$500,"&lt;=102899",'LANÇAMENTOS DIÁRIOS'!$P$5:$P$500,"&gt;=102800")&gt;0,"X","")</f>
      </c>
      <c r="Z88" s="56" t="str">
        <f>IF(COUNTIFS('LANÇAMENTOS DIÁRIOS'!$G$5:$G$500,"D",'LANÇAMENTOS DIÁRIOS'!$C$5:$C$500,$A88,'LANÇAMENTOS DIÁRIOS'!$O$5:$O$500,"&lt;=102999",'LANÇAMENTOS DIÁRIOS'!$P$5:$P$500,"&gt;=102900")&gt;0,"X","")</f>
      </c>
      <c r="AA88" s="56" t="str">
        <f>IF(COUNTIFS('LANÇAMENTOS DIÁRIOS'!$G$5:$G$500,"D",'LANÇAMENTOS DIÁRIOS'!$C$5:$C$500,$A88,'LANÇAMENTOS DIÁRIOS'!$O$5:$O$500,"&lt;=103099",'LANÇAMENTOS DIÁRIOS'!$P$5:$P$500,"&gt;=103000")&gt;0,"X","")</f>
      </c>
      <c r="AB88" s="56" t="str">
        <f>IF(COUNTIFS('LANÇAMENTOS DIÁRIOS'!$G$5:$G$500,"D",'LANÇAMENTOS DIÁRIOS'!$C$5:$C$500,$A88,'LANÇAMENTOS DIÁRIOS'!$O$5:$O$500,"&lt;=103199",'LANÇAMENTOS DIÁRIOS'!$P$5:$P$500,"&gt;=103100")&gt;0,"X","")</f>
      </c>
      <c r="AC88" s="56" t="str">
        <f>IF(COUNTIFS('LANÇAMENTOS DIÁRIOS'!$G$5:$G$500,"D",'LANÇAMENTOS DIÁRIOS'!$C$5:$C$500,$A88,'LANÇAMENTOS DIÁRIOS'!$O$5:$O$500,"&lt;=103299",'LANÇAMENTOS DIÁRIOS'!$P$5:$P$500,"&gt;=103200")&gt;0,"X","")</f>
      </c>
      <c r="AD88" s="56" t="str">
        <f>IF(COUNTIFS('LANÇAMENTOS DIÁRIOS'!$G$5:$G$500,"D",'LANÇAMENTOS DIÁRIOS'!$C$5:$C$500,$A88,'LANÇAMENTOS DIÁRIOS'!$O$5:$O$500,"&lt;=103399",'LANÇAMENTOS DIÁRIOS'!$P$5:$P$500,"&gt;=103300")&gt;0,"X","")</f>
      </c>
      <c r="AE88" s="56" t="str">
        <f>IF(COUNTIFS('LANÇAMENTOS DIÁRIOS'!$G$5:$G$500,"D",'LANÇAMENTOS DIÁRIOS'!$C$5:$C$500,$A88,'LANÇAMENTOS DIÁRIOS'!$O$5:$O$500,"&lt;=103499",'LANÇAMENTOS DIÁRIOS'!$P$5:$P$500,"&gt;=103400")&gt;0,"X","")</f>
      </c>
      <c r="AF88" s="56" t="str">
        <f>IF(COUNTIFS('LANÇAMENTOS DIÁRIOS'!$G$5:$G$500,"D",'LANÇAMENTOS DIÁRIOS'!$C$5:$C$500,$A88,'LANÇAMENTOS DIÁRIOS'!$O$5:$O$500,"&lt;=103599",'LANÇAMENTOS DIÁRIOS'!$P$5:$P$500,"&gt;=103500")&gt;0,"X","")</f>
      </c>
      <c r="AG88" s="56" t="str">
        <f>IF(COUNTIFS('LANÇAMENTOS DIÁRIOS'!$G$5:$G$500,"D",'LANÇAMENTOS DIÁRIOS'!$C$5:$C$500,$A88,'LANÇAMENTOS DIÁRIOS'!$O$5:$O$500,"&lt;=103699",'LANÇAMENTOS DIÁRIOS'!$P$5:$P$500,"&gt;=103600")&gt;0,"X","")</f>
      </c>
      <c r="AH88" s="56" t="str">
        <f>IF(COUNTIFS('LANÇAMENTOS DIÁRIOS'!$G$5:$G$500,"D",'LANÇAMENTOS DIÁRIOS'!$C$5:$C$500,$A88,'LANÇAMENTOS DIÁRIOS'!$O$5:$O$500,"&lt;=103799",'LANÇAMENTOS DIÁRIOS'!$P$5:$P$500,"&gt;=103700")&gt;0,"X","")</f>
      </c>
      <c r="AI88" s="56" t="str">
        <f>IF(COUNTIFS('LANÇAMENTOS DIÁRIOS'!$G$5:$G$500,"D",'LANÇAMENTOS DIÁRIOS'!$C$5:$C$500,$A88,'LANÇAMENTOS DIÁRIOS'!$O$5:$O$500,"&lt;=103899",'LANÇAMENTOS DIÁRIOS'!$P$5:$P$500,"&gt;=103800")&gt;0,"X","")</f>
      </c>
      <c r="AJ88" s="56" t="str">
        <f>IF(COUNTIFS('LANÇAMENTOS DIÁRIOS'!$G$5:$G$500,"D",'LANÇAMENTOS DIÁRIOS'!$C$5:$C$500,$A88,'LANÇAMENTOS DIÁRIOS'!$O$5:$O$500,"&lt;=103999",'LANÇAMENTOS DIÁRIOS'!$P$5:$P$500,"&gt;=103900")&gt;0,"X","")</f>
      </c>
      <c r="AK88" s="56" t="str">
        <f>IF(COUNTIFS('LANÇAMENTOS DIÁRIOS'!$G$5:$G$500,"D",'LANÇAMENTOS DIÁRIOS'!$C$5:$C$500,$A88,'LANÇAMENTOS DIÁRIOS'!$O$5:$O$500,"&lt;=104099",'LANÇAMENTOS DIÁRIOS'!$P$5:$P$500,"&gt;=104000")&gt;0,"X","")</f>
      </c>
      <c r="AL88" s="56" t="str">
        <f>IF(COUNTIFS('LANÇAMENTOS DIÁRIOS'!$G$5:$G$500,"D",'LANÇAMENTOS DIÁRIOS'!$C$5:$C$500,$A88,'LANÇAMENTOS DIÁRIOS'!$O$5:$O$500,"&lt;=104199",'LANÇAMENTOS DIÁRIOS'!$P$5:$P$500,"&gt;=104100")&gt;0,"X","")</f>
      </c>
      <c r="AM88" s="56" t="str">
        <f>IF(COUNTIFS('LANÇAMENTOS DIÁRIOS'!$G$5:$G$500,"D",'LANÇAMENTOS DIÁRIOS'!$C$5:$C$500,$A88,'LANÇAMENTOS DIÁRIOS'!$O$5:$O$500,"&lt;=104299",'LANÇAMENTOS DIÁRIOS'!$P$5:$P$500,"&gt;=104200")&gt;0,"X","")</f>
      </c>
      <c r="AN88" s="56" t="str">
        <f>IF(COUNTIFS('LANÇAMENTOS DIÁRIOS'!$G$5:$G$500,"D",'LANÇAMENTOS DIÁRIOS'!$C$5:$C$500,$A88,'LANÇAMENTOS DIÁRIOS'!$O$5:$O$500,"&lt;=104399",'LANÇAMENTOS DIÁRIOS'!$P$5:$P$500,"&gt;=104300")&gt;0,"X","")</f>
      </c>
      <c r="AO88" s="56" t="str">
        <f>IF(COUNTIFS('LANÇAMENTOS DIÁRIOS'!$G$5:$G$500,"D",'LANÇAMENTOS DIÁRIOS'!$C$5:$C$500,$A88,'LANÇAMENTOS DIÁRIOS'!$O$5:$O$500,"&lt;=104499",'LANÇAMENTOS DIÁRIOS'!$P$5:$P$500,"&gt;=104400")&gt;0,"X","")</f>
      </c>
      <c r="AP88" s="56" t="str">
        <f>IF(COUNTIFS('LANÇAMENTOS DIÁRIOS'!$G$5:$G$500,"D",'LANÇAMENTOS DIÁRIOS'!$C$5:$C$500,$A88,'LANÇAMENTOS DIÁRIOS'!$O$5:$O$500,"&lt;=104599",'LANÇAMENTOS DIÁRIOS'!$P$5:$P$500,"&gt;=104500")&gt;0,"X","")</f>
      </c>
      <c r="AQ88" s="56" t="str">
        <f>IF(COUNTIFS('LANÇAMENTOS DIÁRIOS'!$G$5:$G$500,"D",'LANÇAMENTOS DIÁRIOS'!$C$5:$C$500,$A88,'LANÇAMENTOS DIÁRIOS'!$O$5:$O$500,"&lt;=104699",'LANÇAMENTOS DIÁRIOS'!$P$5:$P$500,"&gt;=104600")&gt;0,"X","")</f>
      </c>
      <c r="AR88" s="56" t="str">
        <f>IF(COUNTIFS('LANÇAMENTOS DIÁRIOS'!$G$5:$G$500,"D",'LANÇAMENTOS DIÁRIOS'!$C$5:$C$500,$A88,'LANÇAMENTOS DIÁRIOS'!$O$5:$O$500,"&lt;=104799",'LANÇAMENTOS DIÁRIOS'!$P$5:$P$500,"&gt;=104700")&gt;0,"X","")</f>
      </c>
      <c r="AS88" s="56" t="str">
        <f>IF(COUNTIFS('LANÇAMENTOS DIÁRIOS'!$G$5:$G$500,"D",'LANÇAMENTOS DIÁRIOS'!$C$5:$C$500,$A88,'LANÇAMENTOS DIÁRIOS'!$O$5:$O$500,"&lt;=104899",'LANÇAMENTOS DIÁRIOS'!$P$5:$P$500,"&gt;=104800")&gt;0,"X","")</f>
      </c>
      <c r="AT88" s="56" t="str">
        <f>IF(COUNTIFS('LANÇAMENTOS DIÁRIOS'!$G$5:$G$500,"D",'LANÇAMENTOS DIÁRIOS'!$C$5:$C$500,$A88,'LANÇAMENTOS DIÁRIOS'!$O$5:$O$500,"&lt;=104999",'LANÇAMENTOS DIÁRIOS'!$P$5:$P$500,"&gt;=104900")&gt;0,"X","")</f>
      </c>
      <c r="AU88" s="56" t="str">
        <f>IF(COUNTIFS('LANÇAMENTOS DIÁRIOS'!$G$5:$G$500,"D",'LANÇAMENTOS DIÁRIOS'!$C$5:$C$500,$A88,'LANÇAMENTOS DIÁRIOS'!$O$5:$O$500,"&lt;=105099",'LANÇAMENTOS DIÁRIOS'!$P$5:$P$500,"&gt;=105000")&gt;0,"X","")</f>
      </c>
      <c r="AV88" s="56" t="str">
        <f>IF(COUNTIFS('LANÇAMENTOS DIÁRIOS'!$G$5:$G$500,"D",'LANÇAMENTOS DIÁRIOS'!$C$5:$C$500,$A88,'LANÇAMENTOS DIÁRIOS'!$O$5:$O$500,"&lt;=105199",'LANÇAMENTOS DIÁRIOS'!$P$5:$P$500,"&gt;=105100")&gt;0,"X","")</f>
      </c>
      <c r="AW88" s="56" t="str">
        <f>IF(COUNTIFS('LANÇAMENTOS DIÁRIOS'!$G$5:$G$500,"D",'LANÇAMENTOS DIÁRIOS'!$C$5:$C$500,$A88,'LANÇAMENTOS DIÁRIOS'!$O$5:$O$500,"&lt;=105299",'LANÇAMENTOS DIÁRIOS'!$P$5:$P$500,"&gt;=105200")&gt;0,"X","")</f>
      </c>
      <c r="AX88" s="56" t="str">
        <f>IF(COUNTIFS('LANÇAMENTOS DIÁRIOS'!$G$5:$G$500,"D",'LANÇAMENTOS DIÁRIOS'!$C$5:$C$500,$A88,'LANÇAMENTOS DIÁRIOS'!$O$5:$O$500,"&lt;=105399",'LANÇAMENTOS DIÁRIOS'!$P$5:$P$500,"&gt;=105300")&gt;0,"X","")</f>
      </c>
      <c r="AY88" s="56" t="str">
        <f>IF(COUNTIFS('LANÇAMENTOS DIÁRIOS'!$G$5:$G$500,"D",'LANÇAMENTOS DIÁRIOS'!$C$5:$C$500,$A88,'LANÇAMENTOS DIÁRIOS'!$O$5:$O$500,"&lt;=105499",'LANÇAMENTOS DIÁRIOS'!$P$5:$P$500,"&gt;=105400")&gt;0,"X","")</f>
      </c>
      <c r="AZ88" s="56" t="str">
        <f>IF(COUNTIFS('LANÇAMENTOS DIÁRIOS'!$G$5:$G$500,"D",'LANÇAMENTOS DIÁRIOS'!$C$5:$C$500,$A88,'LANÇAMENTOS DIÁRIOS'!$O$5:$O$500,"&lt;=105500",'LANÇAMENTOS DIÁRIOS'!$P$5:$P$500,"&gt;=105500")&gt;0,"X","")</f>
      </c>
    </row>
    <row r="89">
      <c r="A89" s="51" t="str">
        <v>Reciclagem de pavimento com adicao de 30% de brita</v>
      </c>
      <c r="B89" s="56" t="str">
        <f>IF(COUNTIFS('LANÇAMENTOS DIÁRIOS'!$G$5:$G$500,"D",'LANÇAMENTOS DIÁRIOS'!$C$5:$C$500,$A89,'LANÇAMENTOS DIÁRIOS'!$O$5:$O$500,"&lt;=100599",'LANÇAMENTOS DIÁRIOS'!$P$5:$P$500,"&gt;=100500")&gt;0,"X","")</f>
      </c>
      <c r="C89" s="56" t="str">
        <f>IF(COUNTIFS('LANÇAMENTOS DIÁRIOS'!$G$5:$G$500,"D",'LANÇAMENTOS DIÁRIOS'!$C$5:$C$500,$A89,'LANÇAMENTOS DIÁRIOS'!$O$5:$O$500,"&lt;=100699",'LANÇAMENTOS DIÁRIOS'!$P$5:$P$500,"&gt;=100600")&gt;0,"X","")</f>
      </c>
      <c r="D89" s="56" t="str">
        <f>IF(COUNTIFS('LANÇAMENTOS DIÁRIOS'!$G$5:$G$500,"D",'LANÇAMENTOS DIÁRIOS'!$C$5:$C$500,$A89,'LANÇAMENTOS DIÁRIOS'!$O$5:$O$500,"&lt;=100799",'LANÇAMENTOS DIÁRIOS'!$P$5:$P$500,"&gt;=100700")&gt;0,"X","")</f>
      </c>
      <c r="E89" s="56" t="str">
        <f>IF(COUNTIFS('LANÇAMENTOS DIÁRIOS'!$G$5:$G$500,"D",'LANÇAMENTOS DIÁRIOS'!$C$5:$C$500,$A89,'LANÇAMENTOS DIÁRIOS'!$O$5:$O$500,"&lt;=100899",'LANÇAMENTOS DIÁRIOS'!$P$5:$P$500,"&gt;=100800")&gt;0,"X","")</f>
      </c>
      <c r="F89" s="56" t="str">
        <f>IF(COUNTIFS('LANÇAMENTOS DIÁRIOS'!$G$5:$G$500,"D",'LANÇAMENTOS DIÁRIOS'!$C$5:$C$500,$A89,'LANÇAMENTOS DIÁRIOS'!$O$5:$O$500,"&lt;=100999",'LANÇAMENTOS DIÁRIOS'!$P$5:$P$500,"&gt;=100900")&gt;0,"X","")</f>
      </c>
      <c r="G89" s="56" t="str">
        <f>IF(COUNTIFS('LANÇAMENTOS DIÁRIOS'!$G$5:$G$500,"D",'LANÇAMENTOS DIÁRIOS'!$C$5:$C$500,$A89,'LANÇAMENTOS DIÁRIOS'!$O$5:$O$500,"&lt;=101099",'LANÇAMENTOS DIÁRIOS'!$P$5:$P$500,"&gt;=101000")&gt;0,"X","")</f>
      </c>
      <c r="H89" s="56" t="str">
        <f>IF(COUNTIFS('LANÇAMENTOS DIÁRIOS'!$G$5:$G$500,"D",'LANÇAMENTOS DIÁRIOS'!$C$5:$C$500,$A89,'LANÇAMENTOS DIÁRIOS'!$O$5:$O$500,"&lt;=101199",'LANÇAMENTOS DIÁRIOS'!$P$5:$P$500,"&gt;=101100")&gt;0,"X","")</f>
      </c>
      <c r="I89" s="56" t="str">
        <f>IF(COUNTIFS('LANÇAMENTOS DIÁRIOS'!$G$5:$G$500,"D",'LANÇAMENTOS DIÁRIOS'!$C$5:$C$500,$A89,'LANÇAMENTOS DIÁRIOS'!$O$5:$O$500,"&lt;=101299",'LANÇAMENTOS DIÁRIOS'!$P$5:$P$500,"&gt;=101200")&gt;0,"X","")</f>
      </c>
      <c r="J89" s="56" t="str">
        <f>IF(COUNTIFS('LANÇAMENTOS DIÁRIOS'!$G$5:$G$500,"D",'LANÇAMENTOS DIÁRIOS'!$C$5:$C$500,$A89,'LANÇAMENTOS DIÁRIOS'!$O$5:$O$500,"&lt;=101399",'LANÇAMENTOS DIÁRIOS'!$P$5:$P$500,"&gt;=101300")&gt;0,"X","")</f>
      </c>
      <c r="K89" s="56" t="str">
        <f>IF(COUNTIFS('LANÇAMENTOS DIÁRIOS'!$G$5:$G$500,"D",'LANÇAMENTOS DIÁRIOS'!$C$5:$C$500,$A89,'LANÇAMENTOS DIÁRIOS'!$O$5:$O$500,"&lt;=101499",'LANÇAMENTOS DIÁRIOS'!$P$5:$P$500,"&gt;=101400")&gt;0,"X","")</f>
      </c>
      <c r="L89" s="56" t="str">
        <f>IF(COUNTIFS('LANÇAMENTOS DIÁRIOS'!$G$5:$G$500,"D",'LANÇAMENTOS DIÁRIOS'!$C$5:$C$500,$A89,'LANÇAMENTOS DIÁRIOS'!$O$5:$O$500,"&lt;=101599",'LANÇAMENTOS DIÁRIOS'!$P$5:$P$500,"&gt;=101500")&gt;0,"X","")</f>
      </c>
      <c r="M89" s="56" t="str">
        <f>IF(COUNTIFS('LANÇAMENTOS DIÁRIOS'!$G$5:$G$500,"D",'LANÇAMENTOS DIÁRIOS'!$C$5:$C$500,$A89,'LANÇAMENTOS DIÁRIOS'!$O$5:$O$500,"&lt;=101699",'LANÇAMENTOS DIÁRIOS'!$P$5:$P$500,"&gt;=101600")&gt;0,"X","")</f>
      </c>
      <c r="N89" s="56" t="str">
        <f>IF(COUNTIFS('LANÇAMENTOS DIÁRIOS'!$G$5:$G$500,"D",'LANÇAMENTOS DIÁRIOS'!$C$5:$C$500,$A89,'LANÇAMENTOS DIÁRIOS'!$O$5:$O$500,"&lt;=101799",'LANÇAMENTOS DIÁRIOS'!$P$5:$P$500,"&gt;=101700")&gt;0,"X","")</f>
      </c>
      <c r="O89" s="56" t="str">
        <f>IF(COUNTIFS('LANÇAMENTOS DIÁRIOS'!$G$5:$G$500,"D",'LANÇAMENTOS DIÁRIOS'!$C$5:$C$500,$A89,'LANÇAMENTOS DIÁRIOS'!$O$5:$O$500,"&lt;=101899",'LANÇAMENTOS DIÁRIOS'!$P$5:$P$500,"&gt;=101800")&gt;0,"X","")</f>
      </c>
      <c r="P89" s="56" t="str">
        <f>IF(COUNTIFS('LANÇAMENTOS DIÁRIOS'!$G$5:$G$500,"D",'LANÇAMENTOS DIÁRIOS'!$C$5:$C$500,$A89,'LANÇAMENTOS DIÁRIOS'!$O$5:$O$500,"&lt;=101999",'LANÇAMENTOS DIÁRIOS'!$P$5:$P$500,"&gt;=101900")&gt;0,"X","")</f>
      </c>
      <c r="Q89" s="56" t="str">
        <f>IF(COUNTIFS('LANÇAMENTOS DIÁRIOS'!$G$5:$G$500,"D",'LANÇAMENTOS DIÁRIOS'!$C$5:$C$500,$A89,'LANÇAMENTOS DIÁRIOS'!$O$5:$O$500,"&lt;=102099",'LANÇAMENTOS DIÁRIOS'!$P$5:$P$500,"&gt;=102000")&gt;0,"X","")</f>
      </c>
      <c r="R89" s="56" t="str">
        <f>IF(COUNTIFS('LANÇAMENTOS DIÁRIOS'!$G$5:$G$500,"D",'LANÇAMENTOS DIÁRIOS'!$C$5:$C$500,$A89,'LANÇAMENTOS DIÁRIOS'!$O$5:$O$500,"&lt;=102199",'LANÇAMENTOS DIÁRIOS'!$P$5:$P$500,"&gt;=102100")&gt;0,"X","")</f>
      </c>
      <c r="S89" s="56" t="str">
        <f>IF(COUNTIFS('LANÇAMENTOS DIÁRIOS'!$G$5:$G$500,"D",'LANÇAMENTOS DIÁRIOS'!$C$5:$C$500,$A89,'LANÇAMENTOS DIÁRIOS'!$O$5:$O$500,"&lt;=102299",'LANÇAMENTOS DIÁRIOS'!$P$5:$P$500,"&gt;=102200")&gt;0,"X","")</f>
      </c>
      <c r="T89" s="56" t="str">
        <f>IF(COUNTIFS('LANÇAMENTOS DIÁRIOS'!$G$5:$G$500,"D",'LANÇAMENTOS DIÁRIOS'!$C$5:$C$500,$A89,'LANÇAMENTOS DIÁRIOS'!$O$5:$O$500,"&lt;=102399",'LANÇAMENTOS DIÁRIOS'!$P$5:$P$500,"&gt;=102300")&gt;0,"X","")</f>
      </c>
      <c r="U89" s="56" t="str">
        <f>IF(COUNTIFS('LANÇAMENTOS DIÁRIOS'!$G$5:$G$500,"D",'LANÇAMENTOS DIÁRIOS'!$C$5:$C$500,$A89,'LANÇAMENTOS DIÁRIOS'!$O$5:$O$500,"&lt;=102499",'LANÇAMENTOS DIÁRIOS'!$P$5:$P$500,"&gt;=102400")&gt;0,"X","")</f>
      </c>
      <c r="V89" s="56" t="str">
        <f>IF(COUNTIFS('LANÇAMENTOS DIÁRIOS'!$G$5:$G$500,"D",'LANÇAMENTOS DIÁRIOS'!$C$5:$C$500,$A89,'LANÇAMENTOS DIÁRIOS'!$O$5:$O$500,"&lt;=102599",'LANÇAMENTOS DIÁRIOS'!$P$5:$P$500,"&gt;=102500")&gt;0,"X","")</f>
      </c>
      <c r="W89" s="56" t="str">
        <f>IF(COUNTIFS('LANÇAMENTOS DIÁRIOS'!$G$5:$G$500,"D",'LANÇAMENTOS DIÁRIOS'!$C$5:$C$500,$A89,'LANÇAMENTOS DIÁRIOS'!$O$5:$O$500,"&lt;=102699",'LANÇAMENTOS DIÁRIOS'!$P$5:$P$500,"&gt;=102600")&gt;0,"X","")</f>
      </c>
      <c r="X89" s="56" t="str">
        <f>IF(COUNTIFS('LANÇAMENTOS DIÁRIOS'!$G$5:$G$500,"D",'LANÇAMENTOS DIÁRIOS'!$C$5:$C$500,$A89,'LANÇAMENTOS DIÁRIOS'!$O$5:$O$500,"&lt;=102799",'LANÇAMENTOS DIÁRIOS'!$P$5:$P$500,"&gt;=102700")&gt;0,"X","")</f>
      </c>
      <c r="Y89" s="56" t="str">
        <f>IF(COUNTIFS('LANÇAMENTOS DIÁRIOS'!$G$5:$G$500,"D",'LANÇAMENTOS DIÁRIOS'!$C$5:$C$500,$A89,'LANÇAMENTOS DIÁRIOS'!$O$5:$O$500,"&lt;=102899",'LANÇAMENTOS DIÁRIOS'!$P$5:$P$500,"&gt;=102800")&gt;0,"X","")</f>
      </c>
      <c r="Z89" s="56" t="str">
        <f>IF(COUNTIFS('LANÇAMENTOS DIÁRIOS'!$G$5:$G$500,"D",'LANÇAMENTOS DIÁRIOS'!$C$5:$C$500,$A89,'LANÇAMENTOS DIÁRIOS'!$O$5:$O$500,"&lt;=102999",'LANÇAMENTOS DIÁRIOS'!$P$5:$P$500,"&gt;=102900")&gt;0,"X","")</f>
      </c>
      <c r="AA89" s="56" t="str">
        <f>IF(COUNTIFS('LANÇAMENTOS DIÁRIOS'!$G$5:$G$500,"D",'LANÇAMENTOS DIÁRIOS'!$C$5:$C$500,$A89,'LANÇAMENTOS DIÁRIOS'!$O$5:$O$500,"&lt;=103099",'LANÇAMENTOS DIÁRIOS'!$P$5:$P$500,"&gt;=103000")&gt;0,"X","")</f>
      </c>
      <c r="AB89" s="56" t="str">
        <f>IF(COUNTIFS('LANÇAMENTOS DIÁRIOS'!$G$5:$G$500,"D",'LANÇAMENTOS DIÁRIOS'!$C$5:$C$500,$A89,'LANÇAMENTOS DIÁRIOS'!$O$5:$O$500,"&lt;=103199",'LANÇAMENTOS DIÁRIOS'!$P$5:$P$500,"&gt;=103100")&gt;0,"X","")</f>
      </c>
      <c r="AC89" s="56" t="str">
        <f>IF(COUNTIFS('LANÇAMENTOS DIÁRIOS'!$G$5:$G$500,"D",'LANÇAMENTOS DIÁRIOS'!$C$5:$C$500,$A89,'LANÇAMENTOS DIÁRIOS'!$O$5:$O$500,"&lt;=103299",'LANÇAMENTOS DIÁRIOS'!$P$5:$P$500,"&gt;=103200")&gt;0,"X","")</f>
      </c>
      <c r="AD89" s="56" t="str">
        <f>IF(COUNTIFS('LANÇAMENTOS DIÁRIOS'!$G$5:$G$500,"D",'LANÇAMENTOS DIÁRIOS'!$C$5:$C$500,$A89,'LANÇAMENTOS DIÁRIOS'!$O$5:$O$500,"&lt;=103399",'LANÇAMENTOS DIÁRIOS'!$P$5:$P$500,"&gt;=103300")&gt;0,"X","")</f>
      </c>
      <c r="AE89" s="56" t="str">
        <f>IF(COUNTIFS('LANÇAMENTOS DIÁRIOS'!$G$5:$G$500,"D",'LANÇAMENTOS DIÁRIOS'!$C$5:$C$500,$A89,'LANÇAMENTOS DIÁRIOS'!$O$5:$O$500,"&lt;=103499",'LANÇAMENTOS DIÁRIOS'!$P$5:$P$500,"&gt;=103400")&gt;0,"X","")</f>
      </c>
      <c r="AF89" s="56" t="str">
        <f>IF(COUNTIFS('LANÇAMENTOS DIÁRIOS'!$G$5:$G$500,"D",'LANÇAMENTOS DIÁRIOS'!$C$5:$C$500,$A89,'LANÇAMENTOS DIÁRIOS'!$O$5:$O$500,"&lt;=103599",'LANÇAMENTOS DIÁRIOS'!$P$5:$P$500,"&gt;=103500")&gt;0,"X","")</f>
      </c>
      <c r="AG89" s="56" t="str">
        <f>IF(COUNTIFS('LANÇAMENTOS DIÁRIOS'!$G$5:$G$500,"D",'LANÇAMENTOS DIÁRIOS'!$C$5:$C$500,$A89,'LANÇAMENTOS DIÁRIOS'!$O$5:$O$500,"&lt;=103699",'LANÇAMENTOS DIÁRIOS'!$P$5:$P$500,"&gt;=103600")&gt;0,"X","")</f>
      </c>
      <c r="AH89" s="56" t="str">
        <f>IF(COUNTIFS('LANÇAMENTOS DIÁRIOS'!$G$5:$G$500,"D",'LANÇAMENTOS DIÁRIOS'!$C$5:$C$500,$A89,'LANÇAMENTOS DIÁRIOS'!$O$5:$O$500,"&lt;=103799",'LANÇAMENTOS DIÁRIOS'!$P$5:$P$500,"&gt;=103700")&gt;0,"X","")</f>
      </c>
      <c r="AI89" s="56" t="str">
        <f>IF(COUNTIFS('LANÇAMENTOS DIÁRIOS'!$G$5:$G$500,"D",'LANÇAMENTOS DIÁRIOS'!$C$5:$C$500,$A89,'LANÇAMENTOS DIÁRIOS'!$O$5:$O$500,"&lt;=103899",'LANÇAMENTOS DIÁRIOS'!$P$5:$P$500,"&gt;=103800")&gt;0,"X","")</f>
      </c>
      <c r="AJ89" s="56" t="str">
        <f>IF(COUNTIFS('LANÇAMENTOS DIÁRIOS'!$G$5:$G$500,"D",'LANÇAMENTOS DIÁRIOS'!$C$5:$C$500,$A89,'LANÇAMENTOS DIÁRIOS'!$O$5:$O$500,"&lt;=103999",'LANÇAMENTOS DIÁRIOS'!$P$5:$P$500,"&gt;=103900")&gt;0,"X","")</f>
      </c>
      <c r="AK89" s="56" t="str">
        <f>IF(COUNTIFS('LANÇAMENTOS DIÁRIOS'!$G$5:$G$500,"D",'LANÇAMENTOS DIÁRIOS'!$C$5:$C$500,$A89,'LANÇAMENTOS DIÁRIOS'!$O$5:$O$500,"&lt;=104099",'LANÇAMENTOS DIÁRIOS'!$P$5:$P$500,"&gt;=104000")&gt;0,"X","")</f>
      </c>
      <c r="AL89" s="56" t="str">
        <f>IF(COUNTIFS('LANÇAMENTOS DIÁRIOS'!$G$5:$G$500,"D",'LANÇAMENTOS DIÁRIOS'!$C$5:$C$500,$A89,'LANÇAMENTOS DIÁRIOS'!$O$5:$O$500,"&lt;=104199",'LANÇAMENTOS DIÁRIOS'!$P$5:$P$500,"&gt;=104100")&gt;0,"X","")</f>
      </c>
      <c r="AM89" s="56" t="str">
        <f>IF(COUNTIFS('LANÇAMENTOS DIÁRIOS'!$G$5:$G$500,"D",'LANÇAMENTOS DIÁRIOS'!$C$5:$C$500,$A89,'LANÇAMENTOS DIÁRIOS'!$O$5:$O$500,"&lt;=104299",'LANÇAMENTOS DIÁRIOS'!$P$5:$P$500,"&gt;=104200")&gt;0,"X","")</f>
      </c>
      <c r="AN89" s="56" t="str">
        <f>IF(COUNTIFS('LANÇAMENTOS DIÁRIOS'!$G$5:$G$500,"D",'LANÇAMENTOS DIÁRIOS'!$C$5:$C$500,$A89,'LANÇAMENTOS DIÁRIOS'!$O$5:$O$500,"&lt;=104399",'LANÇAMENTOS DIÁRIOS'!$P$5:$P$500,"&gt;=104300")&gt;0,"X","")</f>
      </c>
      <c r="AO89" s="56" t="str">
        <f>IF(COUNTIFS('LANÇAMENTOS DIÁRIOS'!$G$5:$G$500,"D",'LANÇAMENTOS DIÁRIOS'!$C$5:$C$500,$A89,'LANÇAMENTOS DIÁRIOS'!$O$5:$O$500,"&lt;=104499",'LANÇAMENTOS DIÁRIOS'!$P$5:$P$500,"&gt;=104400")&gt;0,"X","")</f>
      </c>
      <c r="AP89" s="56" t="str">
        <f>IF(COUNTIFS('LANÇAMENTOS DIÁRIOS'!$G$5:$G$500,"D",'LANÇAMENTOS DIÁRIOS'!$C$5:$C$500,$A89,'LANÇAMENTOS DIÁRIOS'!$O$5:$O$500,"&lt;=104599",'LANÇAMENTOS DIÁRIOS'!$P$5:$P$500,"&gt;=104500")&gt;0,"X","")</f>
      </c>
      <c r="AQ89" s="56" t="str">
        <f>IF(COUNTIFS('LANÇAMENTOS DIÁRIOS'!$G$5:$G$500,"D",'LANÇAMENTOS DIÁRIOS'!$C$5:$C$500,$A89,'LANÇAMENTOS DIÁRIOS'!$O$5:$O$500,"&lt;=104699",'LANÇAMENTOS DIÁRIOS'!$P$5:$P$500,"&gt;=104600")&gt;0,"X","")</f>
      </c>
      <c r="AR89" s="56" t="str">
        <f>IF(COUNTIFS('LANÇAMENTOS DIÁRIOS'!$G$5:$G$500,"D",'LANÇAMENTOS DIÁRIOS'!$C$5:$C$500,$A89,'LANÇAMENTOS DIÁRIOS'!$O$5:$O$500,"&lt;=104799",'LANÇAMENTOS DIÁRIOS'!$P$5:$P$500,"&gt;=104700")&gt;0,"X","")</f>
      </c>
      <c r="AS89" s="56" t="str">
        <f>IF(COUNTIFS('LANÇAMENTOS DIÁRIOS'!$G$5:$G$500,"D",'LANÇAMENTOS DIÁRIOS'!$C$5:$C$500,$A89,'LANÇAMENTOS DIÁRIOS'!$O$5:$O$500,"&lt;=104899",'LANÇAMENTOS DIÁRIOS'!$P$5:$P$500,"&gt;=104800")&gt;0,"X","")</f>
      </c>
      <c r="AT89" s="56" t="str">
        <f>IF(COUNTIFS('LANÇAMENTOS DIÁRIOS'!$G$5:$G$500,"D",'LANÇAMENTOS DIÁRIOS'!$C$5:$C$500,$A89,'LANÇAMENTOS DIÁRIOS'!$O$5:$O$500,"&lt;=104999",'LANÇAMENTOS DIÁRIOS'!$P$5:$P$500,"&gt;=104900")&gt;0,"X","")</f>
      </c>
      <c r="AU89" s="56" t="str">
        <f>IF(COUNTIFS('LANÇAMENTOS DIÁRIOS'!$G$5:$G$500,"D",'LANÇAMENTOS DIÁRIOS'!$C$5:$C$500,$A89,'LANÇAMENTOS DIÁRIOS'!$O$5:$O$500,"&lt;=105099",'LANÇAMENTOS DIÁRIOS'!$P$5:$P$500,"&gt;=105000")&gt;0,"X","")</f>
      </c>
      <c r="AV89" s="56" t="str">
        <f>IF(COUNTIFS('LANÇAMENTOS DIÁRIOS'!$G$5:$G$500,"D",'LANÇAMENTOS DIÁRIOS'!$C$5:$C$500,$A89,'LANÇAMENTOS DIÁRIOS'!$O$5:$O$500,"&lt;=105199",'LANÇAMENTOS DIÁRIOS'!$P$5:$P$500,"&gt;=105100")&gt;0,"X","")</f>
      </c>
      <c r="AW89" s="56" t="str">
        <f>IF(COUNTIFS('LANÇAMENTOS DIÁRIOS'!$G$5:$G$500,"D",'LANÇAMENTOS DIÁRIOS'!$C$5:$C$500,$A89,'LANÇAMENTOS DIÁRIOS'!$O$5:$O$500,"&lt;=105299",'LANÇAMENTOS DIÁRIOS'!$P$5:$P$500,"&gt;=105200")&gt;0,"X","")</f>
      </c>
      <c r="AX89" s="56" t="str">
        <f>IF(COUNTIFS('LANÇAMENTOS DIÁRIOS'!$G$5:$G$500,"D",'LANÇAMENTOS DIÁRIOS'!$C$5:$C$500,$A89,'LANÇAMENTOS DIÁRIOS'!$O$5:$O$500,"&lt;=105399",'LANÇAMENTOS DIÁRIOS'!$P$5:$P$500,"&gt;=105300")&gt;0,"X","")</f>
      </c>
      <c r="AY89" s="56" t="str">
        <f>IF(COUNTIFS('LANÇAMENTOS DIÁRIOS'!$G$5:$G$500,"D",'LANÇAMENTOS DIÁRIOS'!$C$5:$C$500,$A89,'LANÇAMENTOS DIÁRIOS'!$O$5:$O$500,"&lt;=105499",'LANÇAMENTOS DIÁRIOS'!$P$5:$P$500,"&gt;=105400")&gt;0,"X","")</f>
      </c>
      <c r="AZ89" s="56" t="str">
        <f>IF(COUNTIFS('LANÇAMENTOS DIÁRIOS'!$G$5:$G$500,"D",'LANÇAMENTOS DIÁRIOS'!$C$5:$C$500,$A89,'LANÇAMENTOS DIÁRIOS'!$O$5:$O$500,"&lt;=105500",'LANÇAMENTOS DIÁRIOS'!$P$5:$P$500,"&gt;=105500")&gt;0,"X","")</f>
      </c>
    </row>
    <row r="90">
      <c r="A90" s="51" t="str">
        <v>Geogrelha Hatelit - Sem o fornecimento de materiais</v>
      </c>
      <c r="B90" s="56" t="str">
        <f>IF(COUNTIFS('LANÇAMENTOS DIÁRIOS'!$G$5:$G$500,"D",'LANÇAMENTOS DIÁRIOS'!$C$5:$C$500,$A90,'LANÇAMENTOS DIÁRIOS'!$O$5:$O$500,"&lt;=100599",'LANÇAMENTOS DIÁRIOS'!$P$5:$P$500,"&gt;=100500")&gt;0,"X","")</f>
      </c>
      <c r="C90" s="56" t="str">
        <f>IF(COUNTIFS('LANÇAMENTOS DIÁRIOS'!$G$5:$G$500,"D",'LANÇAMENTOS DIÁRIOS'!$C$5:$C$500,$A90,'LANÇAMENTOS DIÁRIOS'!$O$5:$O$500,"&lt;=100699",'LANÇAMENTOS DIÁRIOS'!$P$5:$P$500,"&gt;=100600")&gt;0,"X","")</f>
      </c>
      <c r="D90" s="56" t="str">
        <f>IF(COUNTIFS('LANÇAMENTOS DIÁRIOS'!$G$5:$G$500,"D",'LANÇAMENTOS DIÁRIOS'!$C$5:$C$500,$A90,'LANÇAMENTOS DIÁRIOS'!$O$5:$O$500,"&lt;=100799",'LANÇAMENTOS DIÁRIOS'!$P$5:$P$500,"&gt;=100700")&gt;0,"X","")</f>
      </c>
      <c r="E90" s="56" t="str">
        <f>IF(COUNTIFS('LANÇAMENTOS DIÁRIOS'!$G$5:$G$500,"D",'LANÇAMENTOS DIÁRIOS'!$C$5:$C$500,$A90,'LANÇAMENTOS DIÁRIOS'!$O$5:$O$500,"&lt;=100899",'LANÇAMENTOS DIÁRIOS'!$P$5:$P$500,"&gt;=100800")&gt;0,"X","")</f>
      </c>
      <c r="F90" s="56" t="str">
        <f>IF(COUNTIFS('LANÇAMENTOS DIÁRIOS'!$G$5:$G$500,"D",'LANÇAMENTOS DIÁRIOS'!$C$5:$C$500,$A90,'LANÇAMENTOS DIÁRIOS'!$O$5:$O$500,"&lt;=100999",'LANÇAMENTOS DIÁRIOS'!$P$5:$P$500,"&gt;=100900")&gt;0,"X","")</f>
      </c>
      <c r="G90" s="56" t="str">
        <f>IF(COUNTIFS('LANÇAMENTOS DIÁRIOS'!$G$5:$G$500,"D",'LANÇAMENTOS DIÁRIOS'!$C$5:$C$500,$A90,'LANÇAMENTOS DIÁRIOS'!$O$5:$O$500,"&lt;=101099",'LANÇAMENTOS DIÁRIOS'!$P$5:$P$500,"&gt;=101000")&gt;0,"X","")</f>
      </c>
      <c r="H90" s="56" t="str">
        <f>IF(COUNTIFS('LANÇAMENTOS DIÁRIOS'!$G$5:$G$500,"D",'LANÇAMENTOS DIÁRIOS'!$C$5:$C$500,$A90,'LANÇAMENTOS DIÁRIOS'!$O$5:$O$500,"&lt;=101199",'LANÇAMENTOS DIÁRIOS'!$P$5:$P$500,"&gt;=101100")&gt;0,"X","")</f>
      </c>
      <c r="I90" s="56" t="str">
        <f>IF(COUNTIFS('LANÇAMENTOS DIÁRIOS'!$G$5:$G$500,"D",'LANÇAMENTOS DIÁRIOS'!$C$5:$C$500,$A90,'LANÇAMENTOS DIÁRIOS'!$O$5:$O$500,"&lt;=101299",'LANÇAMENTOS DIÁRIOS'!$P$5:$P$500,"&gt;=101200")&gt;0,"X","")</f>
      </c>
      <c r="J90" s="56" t="str">
        <f>IF(COUNTIFS('LANÇAMENTOS DIÁRIOS'!$G$5:$G$500,"D",'LANÇAMENTOS DIÁRIOS'!$C$5:$C$500,$A90,'LANÇAMENTOS DIÁRIOS'!$O$5:$O$500,"&lt;=101399",'LANÇAMENTOS DIÁRIOS'!$P$5:$P$500,"&gt;=101300")&gt;0,"X","")</f>
      </c>
      <c r="K90" s="56" t="str">
        <f>IF(COUNTIFS('LANÇAMENTOS DIÁRIOS'!$G$5:$G$500,"D",'LANÇAMENTOS DIÁRIOS'!$C$5:$C$500,$A90,'LANÇAMENTOS DIÁRIOS'!$O$5:$O$500,"&lt;=101499",'LANÇAMENTOS DIÁRIOS'!$P$5:$P$500,"&gt;=101400")&gt;0,"X","")</f>
      </c>
      <c r="L90" s="56" t="str">
        <f>IF(COUNTIFS('LANÇAMENTOS DIÁRIOS'!$G$5:$G$500,"D",'LANÇAMENTOS DIÁRIOS'!$C$5:$C$500,$A90,'LANÇAMENTOS DIÁRIOS'!$O$5:$O$500,"&lt;=101599",'LANÇAMENTOS DIÁRIOS'!$P$5:$P$500,"&gt;=101500")&gt;0,"X","")</f>
      </c>
      <c r="M90" s="56" t="str">
        <f>IF(COUNTIFS('LANÇAMENTOS DIÁRIOS'!$G$5:$G$500,"D",'LANÇAMENTOS DIÁRIOS'!$C$5:$C$500,$A90,'LANÇAMENTOS DIÁRIOS'!$O$5:$O$500,"&lt;=101699",'LANÇAMENTOS DIÁRIOS'!$P$5:$P$500,"&gt;=101600")&gt;0,"X","")</f>
      </c>
      <c r="N90" s="56" t="str">
        <f>IF(COUNTIFS('LANÇAMENTOS DIÁRIOS'!$G$5:$G$500,"D",'LANÇAMENTOS DIÁRIOS'!$C$5:$C$500,$A90,'LANÇAMENTOS DIÁRIOS'!$O$5:$O$500,"&lt;=101799",'LANÇAMENTOS DIÁRIOS'!$P$5:$P$500,"&gt;=101700")&gt;0,"X","")</f>
      </c>
      <c r="O90" s="56" t="str">
        <f>IF(COUNTIFS('LANÇAMENTOS DIÁRIOS'!$G$5:$G$500,"D",'LANÇAMENTOS DIÁRIOS'!$C$5:$C$500,$A90,'LANÇAMENTOS DIÁRIOS'!$O$5:$O$500,"&lt;=101899",'LANÇAMENTOS DIÁRIOS'!$P$5:$P$500,"&gt;=101800")&gt;0,"X","")</f>
      </c>
      <c r="P90" s="56" t="str">
        <f>IF(COUNTIFS('LANÇAMENTOS DIÁRIOS'!$G$5:$G$500,"D",'LANÇAMENTOS DIÁRIOS'!$C$5:$C$500,$A90,'LANÇAMENTOS DIÁRIOS'!$O$5:$O$500,"&lt;=101999",'LANÇAMENTOS DIÁRIOS'!$P$5:$P$500,"&gt;=101900")&gt;0,"X","")</f>
      </c>
      <c r="Q90" s="56" t="str">
        <f>IF(COUNTIFS('LANÇAMENTOS DIÁRIOS'!$G$5:$G$500,"D",'LANÇAMENTOS DIÁRIOS'!$C$5:$C$500,$A90,'LANÇAMENTOS DIÁRIOS'!$O$5:$O$500,"&lt;=102099",'LANÇAMENTOS DIÁRIOS'!$P$5:$P$500,"&gt;=102000")&gt;0,"X","")</f>
      </c>
      <c r="R90" s="56" t="str">
        <f>IF(COUNTIFS('LANÇAMENTOS DIÁRIOS'!$G$5:$G$500,"D",'LANÇAMENTOS DIÁRIOS'!$C$5:$C$500,$A90,'LANÇAMENTOS DIÁRIOS'!$O$5:$O$500,"&lt;=102199",'LANÇAMENTOS DIÁRIOS'!$P$5:$P$500,"&gt;=102100")&gt;0,"X","")</f>
      </c>
      <c r="S90" s="56" t="str">
        <f>IF(COUNTIFS('LANÇAMENTOS DIÁRIOS'!$G$5:$G$500,"D",'LANÇAMENTOS DIÁRIOS'!$C$5:$C$500,$A90,'LANÇAMENTOS DIÁRIOS'!$O$5:$O$500,"&lt;=102299",'LANÇAMENTOS DIÁRIOS'!$P$5:$P$500,"&gt;=102200")&gt;0,"X","")</f>
      </c>
      <c r="T90" s="56" t="str">
        <f>IF(COUNTIFS('LANÇAMENTOS DIÁRIOS'!$G$5:$G$500,"D",'LANÇAMENTOS DIÁRIOS'!$C$5:$C$500,$A90,'LANÇAMENTOS DIÁRIOS'!$O$5:$O$500,"&lt;=102399",'LANÇAMENTOS DIÁRIOS'!$P$5:$P$500,"&gt;=102300")&gt;0,"X","")</f>
      </c>
      <c r="U90" s="56" t="str">
        <f>IF(COUNTIFS('LANÇAMENTOS DIÁRIOS'!$G$5:$G$500,"D",'LANÇAMENTOS DIÁRIOS'!$C$5:$C$500,$A90,'LANÇAMENTOS DIÁRIOS'!$O$5:$O$500,"&lt;=102499",'LANÇAMENTOS DIÁRIOS'!$P$5:$P$500,"&gt;=102400")&gt;0,"X","")</f>
      </c>
      <c r="V90" s="56" t="str">
        <f>IF(COUNTIFS('LANÇAMENTOS DIÁRIOS'!$G$5:$G$500,"D",'LANÇAMENTOS DIÁRIOS'!$C$5:$C$500,$A90,'LANÇAMENTOS DIÁRIOS'!$O$5:$O$500,"&lt;=102599",'LANÇAMENTOS DIÁRIOS'!$P$5:$P$500,"&gt;=102500")&gt;0,"X","")</f>
      </c>
      <c r="W90" s="56" t="str">
        <f>IF(COUNTIFS('LANÇAMENTOS DIÁRIOS'!$G$5:$G$500,"D",'LANÇAMENTOS DIÁRIOS'!$C$5:$C$500,$A90,'LANÇAMENTOS DIÁRIOS'!$O$5:$O$500,"&lt;=102699",'LANÇAMENTOS DIÁRIOS'!$P$5:$P$500,"&gt;=102600")&gt;0,"X","")</f>
      </c>
      <c r="X90" s="56" t="str">
        <f>IF(COUNTIFS('LANÇAMENTOS DIÁRIOS'!$G$5:$G$500,"D",'LANÇAMENTOS DIÁRIOS'!$C$5:$C$500,$A90,'LANÇAMENTOS DIÁRIOS'!$O$5:$O$500,"&lt;=102799",'LANÇAMENTOS DIÁRIOS'!$P$5:$P$500,"&gt;=102700")&gt;0,"X","")</f>
      </c>
      <c r="Y90" s="56" t="str">
        <f>IF(COUNTIFS('LANÇAMENTOS DIÁRIOS'!$G$5:$G$500,"D",'LANÇAMENTOS DIÁRIOS'!$C$5:$C$500,$A90,'LANÇAMENTOS DIÁRIOS'!$O$5:$O$500,"&lt;=102899",'LANÇAMENTOS DIÁRIOS'!$P$5:$P$500,"&gt;=102800")&gt;0,"X","")</f>
      </c>
      <c r="Z90" s="56" t="str">
        <f>IF(COUNTIFS('LANÇAMENTOS DIÁRIOS'!$G$5:$G$500,"D",'LANÇAMENTOS DIÁRIOS'!$C$5:$C$500,$A90,'LANÇAMENTOS DIÁRIOS'!$O$5:$O$500,"&lt;=102999",'LANÇAMENTOS DIÁRIOS'!$P$5:$P$500,"&gt;=102900")&gt;0,"X","")</f>
      </c>
      <c r="AA90" s="56" t="str">
        <f>IF(COUNTIFS('LANÇAMENTOS DIÁRIOS'!$G$5:$G$500,"D",'LANÇAMENTOS DIÁRIOS'!$C$5:$C$500,$A90,'LANÇAMENTOS DIÁRIOS'!$O$5:$O$500,"&lt;=103099",'LANÇAMENTOS DIÁRIOS'!$P$5:$P$500,"&gt;=103000")&gt;0,"X","")</f>
      </c>
      <c r="AB90" s="56" t="str">
        <f>IF(COUNTIFS('LANÇAMENTOS DIÁRIOS'!$G$5:$G$500,"D",'LANÇAMENTOS DIÁRIOS'!$C$5:$C$500,$A90,'LANÇAMENTOS DIÁRIOS'!$O$5:$O$500,"&lt;=103199",'LANÇAMENTOS DIÁRIOS'!$P$5:$P$500,"&gt;=103100")&gt;0,"X","")</f>
      </c>
      <c r="AC90" s="56" t="str">
        <f>IF(COUNTIFS('LANÇAMENTOS DIÁRIOS'!$G$5:$G$500,"D",'LANÇAMENTOS DIÁRIOS'!$C$5:$C$500,$A90,'LANÇAMENTOS DIÁRIOS'!$O$5:$O$500,"&lt;=103299",'LANÇAMENTOS DIÁRIOS'!$P$5:$P$500,"&gt;=103200")&gt;0,"X","")</f>
      </c>
      <c r="AD90" s="56" t="str">
        <f>IF(COUNTIFS('LANÇAMENTOS DIÁRIOS'!$G$5:$G$500,"D",'LANÇAMENTOS DIÁRIOS'!$C$5:$C$500,$A90,'LANÇAMENTOS DIÁRIOS'!$O$5:$O$500,"&lt;=103399",'LANÇAMENTOS DIÁRIOS'!$P$5:$P$500,"&gt;=103300")&gt;0,"X","")</f>
      </c>
      <c r="AE90" s="56" t="str">
        <f>IF(COUNTIFS('LANÇAMENTOS DIÁRIOS'!$G$5:$G$500,"D",'LANÇAMENTOS DIÁRIOS'!$C$5:$C$500,$A90,'LANÇAMENTOS DIÁRIOS'!$O$5:$O$500,"&lt;=103499",'LANÇAMENTOS DIÁRIOS'!$P$5:$P$500,"&gt;=103400")&gt;0,"X","")</f>
      </c>
      <c r="AF90" s="56" t="str">
        <f>IF(COUNTIFS('LANÇAMENTOS DIÁRIOS'!$G$5:$G$500,"D",'LANÇAMENTOS DIÁRIOS'!$C$5:$C$500,$A90,'LANÇAMENTOS DIÁRIOS'!$O$5:$O$500,"&lt;=103599",'LANÇAMENTOS DIÁRIOS'!$P$5:$P$500,"&gt;=103500")&gt;0,"X","")</f>
      </c>
      <c r="AG90" s="56" t="str">
        <f>IF(COUNTIFS('LANÇAMENTOS DIÁRIOS'!$G$5:$G$500,"D",'LANÇAMENTOS DIÁRIOS'!$C$5:$C$500,$A90,'LANÇAMENTOS DIÁRIOS'!$O$5:$O$500,"&lt;=103699",'LANÇAMENTOS DIÁRIOS'!$P$5:$P$500,"&gt;=103600")&gt;0,"X","")</f>
      </c>
      <c r="AH90" s="56" t="str">
        <f>IF(COUNTIFS('LANÇAMENTOS DIÁRIOS'!$G$5:$G$500,"D",'LANÇAMENTOS DIÁRIOS'!$C$5:$C$500,$A90,'LANÇAMENTOS DIÁRIOS'!$O$5:$O$500,"&lt;=103799",'LANÇAMENTOS DIÁRIOS'!$P$5:$P$500,"&gt;=103700")&gt;0,"X","")</f>
      </c>
      <c r="AI90" s="56" t="str">
        <f>IF(COUNTIFS('LANÇAMENTOS DIÁRIOS'!$G$5:$G$500,"D",'LANÇAMENTOS DIÁRIOS'!$C$5:$C$500,$A90,'LANÇAMENTOS DIÁRIOS'!$O$5:$O$500,"&lt;=103899",'LANÇAMENTOS DIÁRIOS'!$P$5:$P$500,"&gt;=103800")&gt;0,"X","")</f>
      </c>
      <c r="AJ90" s="56" t="str">
        <f>IF(COUNTIFS('LANÇAMENTOS DIÁRIOS'!$G$5:$G$500,"D",'LANÇAMENTOS DIÁRIOS'!$C$5:$C$500,$A90,'LANÇAMENTOS DIÁRIOS'!$O$5:$O$500,"&lt;=103999",'LANÇAMENTOS DIÁRIOS'!$P$5:$P$500,"&gt;=103900")&gt;0,"X","")</f>
      </c>
      <c r="AK90" s="56" t="str">
        <f>IF(COUNTIFS('LANÇAMENTOS DIÁRIOS'!$G$5:$G$500,"D",'LANÇAMENTOS DIÁRIOS'!$C$5:$C$500,$A90,'LANÇAMENTOS DIÁRIOS'!$O$5:$O$500,"&lt;=104099",'LANÇAMENTOS DIÁRIOS'!$P$5:$P$500,"&gt;=104000")&gt;0,"X","")</f>
      </c>
      <c r="AL90" s="56" t="str">
        <f>IF(COUNTIFS('LANÇAMENTOS DIÁRIOS'!$G$5:$G$500,"D",'LANÇAMENTOS DIÁRIOS'!$C$5:$C$500,$A90,'LANÇAMENTOS DIÁRIOS'!$O$5:$O$500,"&lt;=104199",'LANÇAMENTOS DIÁRIOS'!$P$5:$P$500,"&gt;=104100")&gt;0,"X","")</f>
      </c>
      <c r="AM90" s="56" t="str">
        <f>IF(COUNTIFS('LANÇAMENTOS DIÁRIOS'!$G$5:$G$500,"D",'LANÇAMENTOS DIÁRIOS'!$C$5:$C$500,$A90,'LANÇAMENTOS DIÁRIOS'!$O$5:$O$500,"&lt;=104299",'LANÇAMENTOS DIÁRIOS'!$P$5:$P$500,"&gt;=104200")&gt;0,"X","")</f>
      </c>
      <c r="AN90" s="56" t="str">
        <f>IF(COUNTIFS('LANÇAMENTOS DIÁRIOS'!$G$5:$G$500,"D",'LANÇAMENTOS DIÁRIOS'!$C$5:$C$500,$A90,'LANÇAMENTOS DIÁRIOS'!$O$5:$O$500,"&lt;=104399",'LANÇAMENTOS DIÁRIOS'!$P$5:$P$500,"&gt;=104300")&gt;0,"X","")</f>
      </c>
      <c r="AO90" s="56" t="str">
        <f>IF(COUNTIFS('LANÇAMENTOS DIÁRIOS'!$G$5:$G$500,"D",'LANÇAMENTOS DIÁRIOS'!$C$5:$C$500,$A90,'LANÇAMENTOS DIÁRIOS'!$O$5:$O$500,"&lt;=104499",'LANÇAMENTOS DIÁRIOS'!$P$5:$P$500,"&gt;=104400")&gt;0,"X","")</f>
      </c>
      <c r="AP90" s="56" t="str">
        <f>IF(COUNTIFS('LANÇAMENTOS DIÁRIOS'!$G$5:$G$500,"D",'LANÇAMENTOS DIÁRIOS'!$C$5:$C$500,$A90,'LANÇAMENTOS DIÁRIOS'!$O$5:$O$500,"&lt;=104599",'LANÇAMENTOS DIÁRIOS'!$P$5:$P$500,"&gt;=104500")&gt;0,"X","")</f>
      </c>
      <c r="AQ90" s="56" t="str">
        <f>IF(COUNTIFS('LANÇAMENTOS DIÁRIOS'!$G$5:$G$500,"D",'LANÇAMENTOS DIÁRIOS'!$C$5:$C$500,$A90,'LANÇAMENTOS DIÁRIOS'!$O$5:$O$500,"&lt;=104699",'LANÇAMENTOS DIÁRIOS'!$P$5:$P$500,"&gt;=104600")&gt;0,"X","")</f>
      </c>
      <c r="AR90" s="56" t="str">
        <f>IF(COUNTIFS('LANÇAMENTOS DIÁRIOS'!$G$5:$G$500,"D",'LANÇAMENTOS DIÁRIOS'!$C$5:$C$500,$A90,'LANÇAMENTOS DIÁRIOS'!$O$5:$O$500,"&lt;=104799",'LANÇAMENTOS DIÁRIOS'!$P$5:$P$500,"&gt;=104700")&gt;0,"X","")</f>
      </c>
      <c r="AS90" s="56" t="str">
        <f>IF(COUNTIFS('LANÇAMENTOS DIÁRIOS'!$G$5:$G$500,"D",'LANÇAMENTOS DIÁRIOS'!$C$5:$C$500,$A90,'LANÇAMENTOS DIÁRIOS'!$O$5:$O$500,"&lt;=104899",'LANÇAMENTOS DIÁRIOS'!$P$5:$P$500,"&gt;=104800")&gt;0,"X","")</f>
      </c>
      <c r="AT90" s="56" t="str">
        <f>IF(COUNTIFS('LANÇAMENTOS DIÁRIOS'!$G$5:$G$500,"D",'LANÇAMENTOS DIÁRIOS'!$C$5:$C$500,$A90,'LANÇAMENTOS DIÁRIOS'!$O$5:$O$500,"&lt;=104999",'LANÇAMENTOS DIÁRIOS'!$P$5:$P$500,"&gt;=104900")&gt;0,"X","")</f>
      </c>
      <c r="AU90" s="56" t="str">
        <f>IF(COUNTIFS('LANÇAMENTOS DIÁRIOS'!$G$5:$G$500,"D",'LANÇAMENTOS DIÁRIOS'!$C$5:$C$500,$A90,'LANÇAMENTOS DIÁRIOS'!$O$5:$O$500,"&lt;=105099",'LANÇAMENTOS DIÁRIOS'!$P$5:$P$500,"&gt;=105000")&gt;0,"X","")</f>
      </c>
      <c r="AV90" s="56" t="str">
        <f>IF(COUNTIFS('LANÇAMENTOS DIÁRIOS'!$G$5:$G$500,"D",'LANÇAMENTOS DIÁRIOS'!$C$5:$C$500,$A90,'LANÇAMENTOS DIÁRIOS'!$O$5:$O$500,"&lt;=105199",'LANÇAMENTOS DIÁRIOS'!$P$5:$P$500,"&gt;=105100")&gt;0,"X","")</f>
      </c>
      <c r="AW90" s="56" t="str">
        <f>IF(COUNTIFS('LANÇAMENTOS DIÁRIOS'!$G$5:$G$500,"D",'LANÇAMENTOS DIÁRIOS'!$C$5:$C$500,$A90,'LANÇAMENTOS DIÁRIOS'!$O$5:$O$500,"&lt;=105299",'LANÇAMENTOS DIÁRIOS'!$P$5:$P$500,"&gt;=105200")&gt;0,"X","")</f>
      </c>
      <c r="AX90" s="56" t="str">
        <f>IF(COUNTIFS('LANÇAMENTOS DIÁRIOS'!$G$5:$G$500,"D",'LANÇAMENTOS DIÁRIOS'!$C$5:$C$500,$A90,'LANÇAMENTOS DIÁRIOS'!$O$5:$O$500,"&lt;=105399",'LANÇAMENTOS DIÁRIOS'!$P$5:$P$500,"&gt;=105300")&gt;0,"X","")</f>
      </c>
      <c r="AY90" s="56" t="str">
        <f>IF(COUNTIFS('LANÇAMENTOS DIÁRIOS'!$G$5:$G$500,"D",'LANÇAMENTOS DIÁRIOS'!$C$5:$C$500,$A90,'LANÇAMENTOS DIÁRIOS'!$O$5:$O$500,"&lt;=105499",'LANÇAMENTOS DIÁRIOS'!$P$5:$P$500,"&gt;=105400")&gt;0,"X","")</f>
      </c>
      <c r="AZ90" s="56" t="str">
        <f>IF(COUNTIFS('LANÇAMENTOS DIÁRIOS'!$G$5:$G$500,"D",'LANÇAMENTOS DIÁRIOS'!$C$5:$C$500,$A90,'LANÇAMENTOS DIÁRIOS'!$O$5:$O$500,"&lt;=105500",'LANÇAMENTOS DIÁRIOS'!$P$5:$P$500,"&gt;=105500")&gt;0,"X","")</f>
      </c>
    </row>
    <row r="91">
      <c r="A91" s="51" t="str">
        <v>Imprimadura impermeabilizante, sem fornecimento de material</v>
      </c>
      <c r="B91" s="56" t="str">
        <f>IF(COUNTIFS('LANÇAMENTOS DIÁRIOS'!$G$5:$G$500,"D",'LANÇAMENTOS DIÁRIOS'!$C$5:$C$500,$A91,'LANÇAMENTOS DIÁRIOS'!$O$5:$O$500,"&lt;=100599",'LANÇAMENTOS DIÁRIOS'!$P$5:$P$500,"&gt;=100500")&gt;0,"X","")</f>
      </c>
      <c r="C91" s="56" t="str">
        <f>IF(COUNTIFS('LANÇAMENTOS DIÁRIOS'!$G$5:$G$500,"D",'LANÇAMENTOS DIÁRIOS'!$C$5:$C$500,$A91,'LANÇAMENTOS DIÁRIOS'!$O$5:$O$500,"&lt;=100699",'LANÇAMENTOS DIÁRIOS'!$P$5:$P$500,"&gt;=100600")&gt;0,"X","")</f>
      </c>
      <c r="D91" s="56" t="str">
        <f>IF(COUNTIFS('LANÇAMENTOS DIÁRIOS'!$G$5:$G$500,"D",'LANÇAMENTOS DIÁRIOS'!$C$5:$C$500,$A91,'LANÇAMENTOS DIÁRIOS'!$O$5:$O$500,"&lt;=100799",'LANÇAMENTOS DIÁRIOS'!$P$5:$P$500,"&gt;=100700")&gt;0,"X","")</f>
      </c>
      <c r="E91" s="56" t="str">
        <f>IF(COUNTIFS('LANÇAMENTOS DIÁRIOS'!$G$5:$G$500,"D",'LANÇAMENTOS DIÁRIOS'!$C$5:$C$500,$A91,'LANÇAMENTOS DIÁRIOS'!$O$5:$O$500,"&lt;=100899",'LANÇAMENTOS DIÁRIOS'!$P$5:$P$500,"&gt;=100800")&gt;0,"X","")</f>
      </c>
      <c r="F91" s="56" t="str">
        <f>IF(COUNTIFS('LANÇAMENTOS DIÁRIOS'!$G$5:$G$500,"D",'LANÇAMENTOS DIÁRIOS'!$C$5:$C$500,$A91,'LANÇAMENTOS DIÁRIOS'!$O$5:$O$500,"&lt;=100999",'LANÇAMENTOS DIÁRIOS'!$P$5:$P$500,"&gt;=100900")&gt;0,"X","")</f>
      </c>
      <c r="G91" s="56" t="str">
        <f>IF(COUNTIFS('LANÇAMENTOS DIÁRIOS'!$G$5:$G$500,"D",'LANÇAMENTOS DIÁRIOS'!$C$5:$C$500,$A91,'LANÇAMENTOS DIÁRIOS'!$O$5:$O$500,"&lt;=101099",'LANÇAMENTOS DIÁRIOS'!$P$5:$P$500,"&gt;=101000")&gt;0,"X","")</f>
      </c>
      <c r="H91" s="56" t="str">
        <f>IF(COUNTIFS('LANÇAMENTOS DIÁRIOS'!$G$5:$G$500,"D",'LANÇAMENTOS DIÁRIOS'!$C$5:$C$500,$A91,'LANÇAMENTOS DIÁRIOS'!$O$5:$O$500,"&lt;=101199",'LANÇAMENTOS DIÁRIOS'!$P$5:$P$500,"&gt;=101100")&gt;0,"X","")</f>
      </c>
      <c r="I91" s="56" t="str">
        <f>IF(COUNTIFS('LANÇAMENTOS DIÁRIOS'!$G$5:$G$500,"D",'LANÇAMENTOS DIÁRIOS'!$C$5:$C$500,$A91,'LANÇAMENTOS DIÁRIOS'!$O$5:$O$500,"&lt;=101299",'LANÇAMENTOS DIÁRIOS'!$P$5:$P$500,"&gt;=101200")&gt;0,"X","")</f>
      </c>
      <c r="J91" s="56" t="str">
        <f>IF(COUNTIFS('LANÇAMENTOS DIÁRIOS'!$G$5:$G$500,"D",'LANÇAMENTOS DIÁRIOS'!$C$5:$C$500,$A91,'LANÇAMENTOS DIÁRIOS'!$O$5:$O$500,"&lt;=101399",'LANÇAMENTOS DIÁRIOS'!$P$5:$P$500,"&gt;=101300")&gt;0,"X","")</f>
      </c>
      <c r="K91" s="56" t="str">
        <f>IF(COUNTIFS('LANÇAMENTOS DIÁRIOS'!$G$5:$G$500,"D",'LANÇAMENTOS DIÁRIOS'!$C$5:$C$500,$A91,'LANÇAMENTOS DIÁRIOS'!$O$5:$O$500,"&lt;=101499",'LANÇAMENTOS DIÁRIOS'!$P$5:$P$500,"&gt;=101400")&gt;0,"X","")</f>
      </c>
      <c r="L91" s="56" t="str">
        <f>IF(COUNTIFS('LANÇAMENTOS DIÁRIOS'!$G$5:$G$500,"D",'LANÇAMENTOS DIÁRIOS'!$C$5:$C$500,$A91,'LANÇAMENTOS DIÁRIOS'!$O$5:$O$500,"&lt;=101599",'LANÇAMENTOS DIÁRIOS'!$P$5:$P$500,"&gt;=101500")&gt;0,"X","")</f>
      </c>
      <c r="M91" s="56" t="str">
        <f>IF(COUNTIFS('LANÇAMENTOS DIÁRIOS'!$G$5:$G$500,"D",'LANÇAMENTOS DIÁRIOS'!$C$5:$C$500,$A91,'LANÇAMENTOS DIÁRIOS'!$O$5:$O$500,"&lt;=101699",'LANÇAMENTOS DIÁRIOS'!$P$5:$P$500,"&gt;=101600")&gt;0,"X","")</f>
      </c>
      <c r="N91" s="56" t="str">
        <f>IF(COUNTIFS('LANÇAMENTOS DIÁRIOS'!$G$5:$G$500,"D",'LANÇAMENTOS DIÁRIOS'!$C$5:$C$500,$A91,'LANÇAMENTOS DIÁRIOS'!$O$5:$O$500,"&lt;=101799",'LANÇAMENTOS DIÁRIOS'!$P$5:$P$500,"&gt;=101700")&gt;0,"X","")</f>
      </c>
      <c r="O91" s="56" t="str">
        <f>IF(COUNTIFS('LANÇAMENTOS DIÁRIOS'!$G$5:$G$500,"D",'LANÇAMENTOS DIÁRIOS'!$C$5:$C$500,$A91,'LANÇAMENTOS DIÁRIOS'!$O$5:$O$500,"&lt;=101899",'LANÇAMENTOS DIÁRIOS'!$P$5:$P$500,"&gt;=101800")&gt;0,"X","")</f>
      </c>
      <c r="P91" s="56" t="str">
        <f>IF(COUNTIFS('LANÇAMENTOS DIÁRIOS'!$G$5:$G$500,"D",'LANÇAMENTOS DIÁRIOS'!$C$5:$C$500,$A91,'LANÇAMENTOS DIÁRIOS'!$O$5:$O$500,"&lt;=101999",'LANÇAMENTOS DIÁRIOS'!$P$5:$P$500,"&gt;=101900")&gt;0,"X","")</f>
      </c>
      <c r="Q91" s="56" t="str">
        <f>IF(COUNTIFS('LANÇAMENTOS DIÁRIOS'!$G$5:$G$500,"D",'LANÇAMENTOS DIÁRIOS'!$C$5:$C$500,$A91,'LANÇAMENTOS DIÁRIOS'!$O$5:$O$500,"&lt;=102099",'LANÇAMENTOS DIÁRIOS'!$P$5:$P$500,"&gt;=102000")&gt;0,"X","")</f>
      </c>
      <c r="R91" s="56" t="str">
        <f>IF(COUNTIFS('LANÇAMENTOS DIÁRIOS'!$G$5:$G$500,"D",'LANÇAMENTOS DIÁRIOS'!$C$5:$C$500,$A91,'LANÇAMENTOS DIÁRIOS'!$O$5:$O$500,"&lt;=102199",'LANÇAMENTOS DIÁRIOS'!$P$5:$P$500,"&gt;=102100")&gt;0,"X","")</f>
      </c>
      <c r="S91" s="56" t="str">
        <f>IF(COUNTIFS('LANÇAMENTOS DIÁRIOS'!$G$5:$G$500,"D",'LANÇAMENTOS DIÁRIOS'!$C$5:$C$500,$A91,'LANÇAMENTOS DIÁRIOS'!$O$5:$O$500,"&lt;=102299",'LANÇAMENTOS DIÁRIOS'!$P$5:$P$500,"&gt;=102200")&gt;0,"X","")</f>
      </c>
      <c r="T91" s="56" t="str">
        <f>IF(COUNTIFS('LANÇAMENTOS DIÁRIOS'!$G$5:$G$500,"D",'LANÇAMENTOS DIÁRIOS'!$C$5:$C$500,$A91,'LANÇAMENTOS DIÁRIOS'!$O$5:$O$500,"&lt;=102399",'LANÇAMENTOS DIÁRIOS'!$P$5:$P$500,"&gt;=102300")&gt;0,"X","")</f>
      </c>
      <c r="U91" s="56" t="str">
        <f>IF(COUNTIFS('LANÇAMENTOS DIÁRIOS'!$G$5:$G$500,"D",'LANÇAMENTOS DIÁRIOS'!$C$5:$C$500,$A91,'LANÇAMENTOS DIÁRIOS'!$O$5:$O$500,"&lt;=102499",'LANÇAMENTOS DIÁRIOS'!$P$5:$P$500,"&gt;=102400")&gt;0,"X","")</f>
      </c>
      <c r="V91" s="56" t="str">
        <f>IF(COUNTIFS('LANÇAMENTOS DIÁRIOS'!$G$5:$G$500,"D",'LANÇAMENTOS DIÁRIOS'!$C$5:$C$500,$A91,'LANÇAMENTOS DIÁRIOS'!$O$5:$O$500,"&lt;=102599",'LANÇAMENTOS DIÁRIOS'!$P$5:$P$500,"&gt;=102500")&gt;0,"X","")</f>
      </c>
      <c r="W91" s="56" t="str">
        <f>IF(COUNTIFS('LANÇAMENTOS DIÁRIOS'!$G$5:$G$500,"D",'LANÇAMENTOS DIÁRIOS'!$C$5:$C$500,$A91,'LANÇAMENTOS DIÁRIOS'!$O$5:$O$500,"&lt;=102699",'LANÇAMENTOS DIÁRIOS'!$P$5:$P$500,"&gt;=102600")&gt;0,"X","")</f>
      </c>
      <c r="X91" s="56" t="str">
        <f>IF(COUNTIFS('LANÇAMENTOS DIÁRIOS'!$G$5:$G$500,"D",'LANÇAMENTOS DIÁRIOS'!$C$5:$C$500,$A91,'LANÇAMENTOS DIÁRIOS'!$O$5:$O$500,"&lt;=102799",'LANÇAMENTOS DIÁRIOS'!$P$5:$P$500,"&gt;=102700")&gt;0,"X","")</f>
      </c>
      <c r="Y91" s="56" t="str">
        <f>IF(COUNTIFS('LANÇAMENTOS DIÁRIOS'!$G$5:$G$500,"D",'LANÇAMENTOS DIÁRIOS'!$C$5:$C$500,$A91,'LANÇAMENTOS DIÁRIOS'!$O$5:$O$500,"&lt;=102899",'LANÇAMENTOS DIÁRIOS'!$P$5:$P$500,"&gt;=102800")&gt;0,"X","")</f>
      </c>
      <c r="Z91" s="56" t="str">
        <f>IF(COUNTIFS('LANÇAMENTOS DIÁRIOS'!$G$5:$G$500,"D",'LANÇAMENTOS DIÁRIOS'!$C$5:$C$500,$A91,'LANÇAMENTOS DIÁRIOS'!$O$5:$O$500,"&lt;=102999",'LANÇAMENTOS DIÁRIOS'!$P$5:$P$500,"&gt;=102900")&gt;0,"X","")</f>
      </c>
      <c r="AA91" s="56" t="str">
        <f>IF(COUNTIFS('LANÇAMENTOS DIÁRIOS'!$G$5:$G$500,"D",'LANÇAMENTOS DIÁRIOS'!$C$5:$C$500,$A91,'LANÇAMENTOS DIÁRIOS'!$O$5:$O$500,"&lt;=103099",'LANÇAMENTOS DIÁRIOS'!$P$5:$P$500,"&gt;=103000")&gt;0,"X","")</f>
      </c>
      <c r="AB91" s="56" t="str">
        <f>IF(COUNTIFS('LANÇAMENTOS DIÁRIOS'!$G$5:$G$500,"D",'LANÇAMENTOS DIÁRIOS'!$C$5:$C$500,$A91,'LANÇAMENTOS DIÁRIOS'!$O$5:$O$500,"&lt;=103199",'LANÇAMENTOS DIÁRIOS'!$P$5:$P$500,"&gt;=103100")&gt;0,"X","")</f>
      </c>
      <c r="AC91" s="56" t="str">
        <f>IF(COUNTIFS('LANÇAMENTOS DIÁRIOS'!$G$5:$G$500,"D",'LANÇAMENTOS DIÁRIOS'!$C$5:$C$500,$A91,'LANÇAMENTOS DIÁRIOS'!$O$5:$O$500,"&lt;=103299",'LANÇAMENTOS DIÁRIOS'!$P$5:$P$500,"&gt;=103200")&gt;0,"X","")</f>
      </c>
      <c r="AD91" s="56" t="str">
        <f>IF(COUNTIFS('LANÇAMENTOS DIÁRIOS'!$G$5:$G$500,"D",'LANÇAMENTOS DIÁRIOS'!$C$5:$C$500,$A91,'LANÇAMENTOS DIÁRIOS'!$O$5:$O$500,"&lt;=103399",'LANÇAMENTOS DIÁRIOS'!$P$5:$P$500,"&gt;=103300")&gt;0,"X","")</f>
      </c>
      <c r="AE91" s="56" t="str">
        <f>IF(COUNTIFS('LANÇAMENTOS DIÁRIOS'!$G$5:$G$500,"D",'LANÇAMENTOS DIÁRIOS'!$C$5:$C$500,$A91,'LANÇAMENTOS DIÁRIOS'!$O$5:$O$500,"&lt;=103499",'LANÇAMENTOS DIÁRIOS'!$P$5:$P$500,"&gt;=103400")&gt;0,"X","")</f>
      </c>
      <c r="AF91" s="56" t="str">
        <f>IF(COUNTIFS('LANÇAMENTOS DIÁRIOS'!$G$5:$G$500,"D",'LANÇAMENTOS DIÁRIOS'!$C$5:$C$500,$A91,'LANÇAMENTOS DIÁRIOS'!$O$5:$O$500,"&lt;=103599",'LANÇAMENTOS DIÁRIOS'!$P$5:$P$500,"&gt;=103500")&gt;0,"X","")</f>
      </c>
      <c r="AG91" s="56" t="str">
        <f>IF(COUNTIFS('LANÇAMENTOS DIÁRIOS'!$G$5:$G$500,"D",'LANÇAMENTOS DIÁRIOS'!$C$5:$C$500,$A91,'LANÇAMENTOS DIÁRIOS'!$O$5:$O$500,"&lt;=103699",'LANÇAMENTOS DIÁRIOS'!$P$5:$P$500,"&gt;=103600")&gt;0,"X","")</f>
      </c>
      <c r="AH91" s="56" t="str">
        <f>IF(COUNTIFS('LANÇAMENTOS DIÁRIOS'!$G$5:$G$500,"D",'LANÇAMENTOS DIÁRIOS'!$C$5:$C$500,$A91,'LANÇAMENTOS DIÁRIOS'!$O$5:$O$500,"&lt;=103799",'LANÇAMENTOS DIÁRIOS'!$P$5:$P$500,"&gt;=103700")&gt;0,"X","")</f>
      </c>
      <c r="AI91" s="56" t="str">
        <f>IF(COUNTIFS('LANÇAMENTOS DIÁRIOS'!$G$5:$G$500,"D",'LANÇAMENTOS DIÁRIOS'!$C$5:$C$500,$A91,'LANÇAMENTOS DIÁRIOS'!$O$5:$O$500,"&lt;=103899",'LANÇAMENTOS DIÁRIOS'!$P$5:$P$500,"&gt;=103800")&gt;0,"X","")</f>
      </c>
      <c r="AJ91" s="56" t="str">
        <f>IF(COUNTIFS('LANÇAMENTOS DIÁRIOS'!$G$5:$G$500,"D",'LANÇAMENTOS DIÁRIOS'!$C$5:$C$500,$A91,'LANÇAMENTOS DIÁRIOS'!$O$5:$O$500,"&lt;=103999",'LANÇAMENTOS DIÁRIOS'!$P$5:$P$500,"&gt;=103900")&gt;0,"X","")</f>
      </c>
      <c r="AK91" s="56" t="str">
        <f>IF(COUNTIFS('LANÇAMENTOS DIÁRIOS'!$G$5:$G$500,"D",'LANÇAMENTOS DIÁRIOS'!$C$5:$C$500,$A91,'LANÇAMENTOS DIÁRIOS'!$O$5:$O$500,"&lt;=104099",'LANÇAMENTOS DIÁRIOS'!$P$5:$P$500,"&gt;=104000")&gt;0,"X","")</f>
      </c>
      <c r="AL91" s="56" t="str">
        <f>IF(COUNTIFS('LANÇAMENTOS DIÁRIOS'!$G$5:$G$500,"D",'LANÇAMENTOS DIÁRIOS'!$C$5:$C$500,$A91,'LANÇAMENTOS DIÁRIOS'!$O$5:$O$500,"&lt;=104199",'LANÇAMENTOS DIÁRIOS'!$P$5:$P$500,"&gt;=104100")&gt;0,"X","")</f>
      </c>
      <c r="AM91" s="56" t="str">
        <f>IF(COUNTIFS('LANÇAMENTOS DIÁRIOS'!$G$5:$G$500,"D",'LANÇAMENTOS DIÁRIOS'!$C$5:$C$500,$A91,'LANÇAMENTOS DIÁRIOS'!$O$5:$O$500,"&lt;=104299",'LANÇAMENTOS DIÁRIOS'!$P$5:$P$500,"&gt;=104200")&gt;0,"X","")</f>
      </c>
      <c r="AN91" s="56" t="str">
        <f>IF(COUNTIFS('LANÇAMENTOS DIÁRIOS'!$G$5:$G$500,"D",'LANÇAMENTOS DIÁRIOS'!$C$5:$C$500,$A91,'LANÇAMENTOS DIÁRIOS'!$O$5:$O$500,"&lt;=104399",'LANÇAMENTOS DIÁRIOS'!$P$5:$P$500,"&gt;=104300")&gt;0,"X","")</f>
      </c>
      <c r="AO91" s="56" t="str">
        <f>IF(COUNTIFS('LANÇAMENTOS DIÁRIOS'!$G$5:$G$500,"D",'LANÇAMENTOS DIÁRIOS'!$C$5:$C$500,$A91,'LANÇAMENTOS DIÁRIOS'!$O$5:$O$500,"&lt;=104499",'LANÇAMENTOS DIÁRIOS'!$P$5:$P$500,"&gt;=104400")&gt;0,"X","")</f>
      </c>
      <c r="AP91" s="56" t="str">
        <f>IF(COUNTIFS('LANÇAMENTOS DIÁRIOS'!$G$5:$G$500,"D",'LANÇAMENTOS DIÁRIOS'!$C$5:$C$500,$A91,'LANÇAMENTOS DIÁRIOS'!$O$5:$O$500,"&lt;=104599",'LANÇAMENTOS DIÁRIOS'!$P$5:$P$500,"&gt;=104500")&gt;0,"X","")</f>
      </c>
      <c r="AQ91" s="56" t="str">
        <f>IF(COUNTIFS('LANÇAMENTOS DIÁRIOS'!$G$5:$G$500,"D",'LANÇAMENTOS DIÁRIOS'!$C$5:$C$500,$A91,'LANÇAMENTOS DIÁRIOS'!$O$5:$O$500,"&lt;=104699",'LANÇAMENTOS DIÁRIOS'!$P$5:$P$500,"&gt;=104600")&gt;0,"X","")</f>
      </c>
      <c r="AR91" s="56" t="str">
        <f>IF(COUNTIFS('LANÇAMENTOS DIÁRIOS'!$G$5:$G$500,"D",'LANÇAMENTOS DIÁRIOS'!$C$5:$C$500,$A91,'LANÇAMENTOS DIÁRIOS'!$O$5:$O$500,"&lt;=104799",'LANÇAMENTOS DIÁRIOS'!$P$5:$P$500,"&gt;=104700")&gt;0,"X","")</f>
      </c>
      <c r="AS91" s="56" t="str">
        <f>IF(COUNTIFS('LANÇAMENTOS DIÁRIOS'!$G$5:$G$500,"D",'LANÇAMENTOS DIÁRIOS'!$C$5:$C$500,$A91,'LANÇAMENTOS DIÁRIOS'!$O$5:$O$500,"&lt;=104899",'LANÇAMENTOS DIÁRIOS'!$P$5:$P$500,"&gt;=104800")&gt;0,"X","")</f>
      </c>
      <c r="AT91" s="56" t="str">
        <f>IF(COUNTIFS('LANÇAMENTOS DIÁRIOS'!$G$5:$G$500,"D",'LANÇAMENTOS DIÁRIOS'!$C$5:$C$500,$A91,'LANÇAMENTOS DIÁRIOS'!$O$5:$O$500,"&lt;=104999",'LANÇAMENTOS DIÁRIOS'!$P$5:$P$500,"&gt;=104900")&gt;0,"X","")</f>
      </c>
      <c r="AU91" s="56" t="str">
        <f>IF(COUNTIFS('LANÇAMENTOS DIÁRIOS'!$G$5:$G$500,"D",'LANÇAMENTOS DIÁRIOS'!$C$5:$C$500,$A91,'LANÇAMENTOS DIÁRIOS'!$O$5:$O$500,"&lt;=105099",'LANÇAMENTOS DIÁRIOS'!$P$5:$P$500,"&gt;=105000")&gt;0,"X","")</f>
      </c>
      <c r="AV91" s="56" t="str">
        <f>IF(COUNTIFS('LANÇAMENTOS DIÁRIOS'!$G$5:$G$500,"D",'LANÇAMENTOS DIÁRIOS'!$C$5:$C$500,$A91,'LANÇAMENTOS DIÁRIOS'!$O$5:$O$500,"&lt;=105199",'LANÇAMENTOS DIÁRIOS'!$P$5:$P$500,"&gt;=105100")&gt;0,"X","")</f>
      </c>
      <c r="AW91" s="56" t="str">
        <f>IF(COUNTIFS('LANÇAMENTOS DIÁRIOS'!$G$5:$G$500,"D",'LANÇAMENTOS DIÁRIOS'!$C$5:$C$500,$A91,'LANÇAMENTOS DIÁRIOS'!$O$5:$O$500,"&lt;=105299",'LANÇAMENTOS DIÁRIOS'!$P$5:$P$500,"&gt;=105200")&gt;0,"X","")</f>
      </c>
      <c r="AX91" s="56" t="str">
        <f>IF(COUNTIFS('LANÇAMENTOS DIÁRIOS'!$G$5:$G$500,"D",'LANÇAMENTOS DIÁRIOS'!$C$5:$C$500,$A91,'LANÇAMENTOS DIÁRIOS'!$O$5:$O$500,"&lt;=105399",'LANÇAMENTOS DIÁRIOS'!$P$5:$P$500,"&gt;=105300")&gt;0,"X","")</f>
      </c>
      <c r="AY91" s="56" t="str">
        <f>IF(COUNTIFS('LANÇAMENTOS DIÁRIOS'!$G$5:$G$500,"D",'LANÇAMENTOS DIÁRIOS'!$C$5:$C$500,$A91,'LANÇAMENTOS DIÁRIOS'!$O$5:$O$500,"&lt;=105499",'LANÇAMENTOS DIÁRIOS'!$P$5:$P$500,"&gt;=105400")&gt;0,"X","")</f>
      </c>
      <c r="AZ91" s="56" t="str">
        <f>IF(COUNTIFS('LANÇAMENTOS DIÁRIOS'!$G$5:$G$500,"D",'LANÇAMENTOS DIÁRIOS'!$C$5:$C$500,$A91,'LANÇAMENTOS DIÁRIOS'!$O$5:$O$500,"&lt;=105500",'LANÇAMENTOS DIÁRIOS'!$P$5:$P$500,"&gt;=105500")&gt;0,"X","")</f>
      </c>
    </row>
    <row r="92" ht="21" customHeight="1">
      <c r="A92" s="60" t="str">
        <v>Drenagem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</row>
    <row r="93" ht="19" customHeight="1">
      <c r="A93" s="68" t="str">
        <v>Obras de drenagem profunda. Galerias e Bueiros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</row>
    <row r="94">
      <c r="A94" s="51" t="str">
        <v>Obras de drenagem profunda. Galerias e Bueiros</v>
      </c>
      <c r="B94" s="56" t="str">
        <f>IF(COUNTIFS('LANÇAMENTOS DIÁRIOS'!$G$5:$G$500,"D",'LANÇAMENTOS DIÁRIOS'!$C$5:$C$500,$A94,'LANÇAMENTOS DIÁRIOS'!$O$5:$O$500,"&lt;=100599",'LANÇAMENTOS DIÁRIOS'!$P$5:$P$500,"&gt;=100500")&gt;0,"X","")</f>
      </c>
      <c r="C94" s="56" t="str">
        <f>IF(COUNTIFS('LANÇAMENTOS DIÁRIOS'!$G$5:$G$500,"D",'LANÇAMENTOS DIÁRIOS'!$C$5:$C$500,$A94,'LANÇAMENTOS DIÁRIOS'!$O$5:$O$500,"&lt;=100699",'LANÇAMENTOS DIÁRIOS'!$P$5:$P$500,"&gt;=100600")&gt;0,"X","")</f>
      </c>
      <c r="D94" s="56" t="str">
        <f>IF(COUNTIFS('LANÇAMENTOS DIÁRIOS'!$G$5:$G$500,"D",'LANÇAMENTOS DIÁRIOS'!$C$5:$C$500,$A94,'LANÇAMENTOS DIÁRIOS'!$O$5:$O$500,"&lt;=100799",'LANÇAMENTOS DIÁRIOS'!$P$5:$P$500,"&gt;=100700")&gt;0,"X","")</f>
      </c>
      <c r="E94" s="56" t="str">
        <f>IF(COUNTIFS('LANÇAMENTOS DIÁRIOS'!$G$5:$G$500,"D",'LANÇAMENTOS DIÁRIOS'!$C$5:$C$500,$A94,'LANÇAMENTOS DIÁRIOS'!$O$5:$O$500,"&lt;=100899",'LANÇAMENTOS DIÁRIOS'!$P$5:$P$500,"&gt;=100800")&gt;0,"X","")</f>
      </c>
      <c r="F94" s="56" t="str">
        <f>IF(COUNTIFS('LANÇAMENTOS DIÁRIOS'!$G$5:$G$500,"D",'LANÇAMENTOS DIÁRIOS'!$C$5:$C$500,$A94,'LANÇAMENTOS DIÁRIOS'!$O$5:$O$500,"&lt;=100999",'LANÇAMENTOS DIÁRIOS'!$P$5:$P$500,"&gt;=100900")&gt;0,"X","")</f>
      </c>
      <c r="G94" s="56" t="str">
        <f>IF(COUNTIFS('LANÇAMENTOS DIÁRIOS'!$G$5:$G$500,"D",'LANÇAMENTOS DIÁRIOS'!$C$5:$C$500,$A94,'LANÇAMENTOS DIÁRIOS'!$O$5:$O$500,"&lt;=101099",'LANÇAMENTOS DIÁRIOS'!$P$5:$P$500,"&gt;=101000")&gt;0,"X","")</f>
      </c>
      <c r="H94" s="56" t="str">
        <f>IF(COUNTIFS('LANÇAMENTOS DIÁRIOS'!$G$5:$G$500,"D",'LANÇAMENTOS DIÁRIOS'!$C$5:$C$500,$A94,'LANÇAMENTOS DIÁRIOS'!$O$5:$O$500,"&lt;=101199",'LANÇAMENTOS DIÁRIOS'!$P$5:$P$500,"&gt;=101100")&gt;0,"X","")</f>
      </c>
      <c r="I94" s="56" t="str">
        <f>IF(COUNTIFS('LANÇAMENTOS DIÁRIOS'!$G$5:$G$500,"D",'LANÇAMENTOS DIÁRIOS'!$C$5:$C$500,$A94,'LANÇAMENTOS DIÁRIOS'!$O$5:$O$500,"&lt;=101299",'LANÇAMENTOS DIÁRIOS'!$P$5:$P$500,"&gt;=101200")&gt;0,"X","")</f>
      </c>
      <c r="J94" s="56" t="str">
        <f>IF(COUNTIFS('LANÇAMENTOS DIÁRIOS'!$G$5:$G$500,"D",'LANÇAMENTOS DIÁRIOS'!$C$5:$C$500,$A94,'LANÇAMENTOS DIÁRIOS'!$O$5:$O$500,"&lt;=101399",'LANÇAMENTOS DIÁRIOS'!$P$5:$P$500,"&gt;=101300")&gt;0,"X","")</f>
      </c>
      <c r="K94" s="56" t="str">
        <f>IF(COUNTIFS('LANÇAMENTOS DIÁRIOS'!$G$5:$G$500,"D",'LANÇAMENTOS DIÁRIOS'!$C$5:$C$500,$A94,'LANÇAMENTOS DIÁRIOS'!$O$5:$O$500,"&lt;=101499",'LANÇAMENTOS DIÁRIOS'!$P$5:$P$500,"&gt;=101400")&gt;0,"X","")</f>
      </c>
      <c r="L94" s="56" t="str">
        <f>IF(COUNTIFS('LANÇAMENTOS DIÁRIOS'!$G$5:$G$500,"D",'LANÇAMENTOS DIÁRIOS'!$C$5:$C$500,$A94,'LANÇAMENTOS DIÁRIOS'!$O$5:$O$500,"&lt;=101599",'LANÇAMENTOS DIÁRIOS'!$P$5:$P$500,"&gt;=101500")&gt;0,"X","")</f>
      </c>
      <c r="M94" s="56" t="str">
        <f>IF(COUNTIFS('LANÇAMENTOS DIÁRIOS'!$G$5:$G$500,"D",'LANÇAMENTOS DIÁRIOS'!$C$5:$C$500,$A94,'LANÇAMENTOS DIÁRIOS'!$O$5:$O$500,"&lt;=101699",'LANÇAMENTOS DIÁRIOS'!$P$5:$P$500,"&gt;=101600")&gt;0,"X","")</f>
      </c>
      <c r="N94" s="56" t="str">
        <f>IF(COUNTIFS('LANÇAMENTOS DIÁRIOS'!$G$5:$G$500,"D",'LANÇAMENTOS DIÁRIOS'!$C$5:$C$500,$A94,'LANÇAMENTOS DIÁRIOS'!$O$5:$O$500,"&lt;=101799",'LANÇAMENTOS DIÁRIOS'!$P$5:$P$500,"&gt;=101700")&gt;0,"X","")</f>
      </c>
      <c r="O94" s="56" t="str">
        <f>IF(COUNTIFS('LANÇAMENTOS DIÁRIOS'!$G$5:$G$500,"D",'LANÇAMENTOS DIÁRIOS'!$C$5:$C$500,$A94,'LANÇAMENTOS DIÁRIOS'!$O$5:$O$500,"&lt;=101899",'LANÇAMENTOS DIÁRIOS'!$P$5:$P$500,"&gt;=101800")&gt;0,"X","")</f>
      </c>
      <c r="P94" s="56" t="str">
        <f>IF(COUNTIFS('LANÇAMENTOS DIÁRIOS'!$G$5:$G$500,"D",'LANÇAMENTOS DIÁRIOS'!$C$5:$C$500,$A94,'LANÇAMENTOS DIÁRIOS'!$O$5:$O$500,"&lt;=101999",'LANÇAMENTOS DIÁRIOS'!$P$5:$P$500,"&gt;=101900")&gt;0,"X","")</f>
      </c>
      <c r="Q94" s="56" t="str">
        <f>IF(COUNTIFS('LANÇAMENTOS DIÁRIOS'!$G$5:$G$500,"D",'LANÇAMENTOS DIÁRIOS'!$C$5:$C$500,$A94,'LANÇAMENTOS DIÁRIOS'!$O$5:$O$500,"&lt;=102099",'LANÇAMENTOS DIÁRIOS'!$P$5:$P$500,"&gt;=102000")&gt;0,"X","")</f>
      </c>
      <c r="R94" s="56" t="str">
        <f>IF(COUNTIFS('LANÇAMENTOS DIÁRIOS'!$G$5:$G$500,"D",'LANÇAMENTOS DIÁRIOS'!$C$5:$C$500,$A94,'LANÇAMENTOS DIÁRIOS'!$O$5:$O$500,"&lt;=102199",'LANÇAMENTOS DIÁRIOS'!$P$5:$P$500,"&gt;=102100")&gt;0,"X","")</f>
      </c>
      <c r="S94" s="56" t="str">
        <f>IF(COUNTIFS('LANÇAMENTOS DIÁRIOS'!$G$5:$G$500,"D",'LANÇAMENTOS DIÁRIOS'!$C$5:$C$500,$A94,'LANÇAMENTOS DIÁRIOS'!$O$5:$O$500,"&lt;=102299",'LANÇAMENTOS DIÁRIOS'!$P$5:$P$500,"&gt;=102200")&gt;0,"X","")</f>
      </c>
      <c r="T94" s="56" t="str">
        <f>IF(COUNTIFS('LANÇAMENTOS DIÁRIOS'!$G$5:$G$500,"D",'LANÇAMENTOS DIÁRIOS'!$C$5:$C$500,$A94,'LANÇAMENTOS DIÁRIOS'!$O$5:$O$500,"&lt;=102399",'LANÇAMENTOS DIÁRIOS'!$P$5:$P$500,"&gt;=102300")&gt;0,"X","")</f>
      </c>
      <c r="U94" s="56" t="str">
        <f>IF(COUNTIFS('LANÇAMENTOS DIÁRIOS'!$G$5:$G$500,"D",'LANÇAMENTOS DIÁRIOS'!$C$5:$C$500,$A94,'LANÇAMENTOS DIÁRIOS'!$O$5:$O$500,"&lt;=102499",'LANÇAMENTOS DIÁRIOS'!$P$5:$P$500,"&gt;=102400")&gt;0,"X","")</f>
      </c>
      <c r="V94" s="56" t="str">
        <f>IF(COUNTIFS('LANÇAMENTOS DIÁRIOS'!$G$5:$G$500,"D",'LANÇAMENTOS DIÁRIOS'!$C$5:$C$500,$A94,'LANÇAMENTOS DIÁRIOS'!$O$5:$O$500,"&lt;=102599",'LANÇAMENTOS DIÁRIOS'!$P$5:$P$500,"&gt;=102500")&gt;0,"X","")</f>
      </c>
      <c r="W94" s="56" t="str">
        <f>IF(COUNTIFS('LANÇAMENTOS DIÁRIOS'!$G$5:$G$500,"D",'LANÇAMENTOS DIÁRIOS'!$C$5:$C$500,$A94,'LANÇAMENTOS DIÁRIOS'!$O$5:$O$500,"&lt;=102699",'LANÇAMENTOS DIÁRIOS'!$P$5:$P$500,"&gt;=102600")&gt;0,"X","")</f>
      </c>
      <c r="X94" s="56" t="str">
        <f>IF(COUNTIFS('LANÇAMENTOS DIÁRIOS'!$G$5:$G$500,"D",'LANÇAMENTOS DIÁRIOS'!$C$5:$C$500,$A94,'LANÇAMENTOS DIÁRIOS'!$O$5:$O$500,"&lt;=102799",'LANÇAMENTOS DIÁRIOS'!$P$5:$P$500,"&gt;=102700")&gt;0,"X","")</f>
      </c>
      <c r="Y94" s="56" t="str">
        <f>IF(COUNTIFS('LANÇAMENTOS DIÁRIOS'!$G$5:$G$500,"D",'LANÇAMENTOS DIÁRIOS'!$C$5:$C$500,$A94,'LANÇAMENTOS DIÁRIOS'!$O$5:$O$500,"&lt;=102899",'LANÇAMENTOS DIÁRIOS'!$P$5:$P$500,"&gt;=102800")&gt;0,"X","")</f>
      </c>
      <c r="Z94" s="56" t="str">
        <f>IF(COUNTIFS('LANÇAMENTOS DIÁRIOS'!$G$5:$G$500,"D",'LANÇAMENTOS DIÁRIOS'!$C$5:$C$500,$A94,'LANÇAMENTOS DIÁRIOS'!$O$5:$O$500,"&lt;=102999",'LANÇAMENTOS DIÁRIOS'!$P$5:$P$500,"&gt;=102900")&gt;0,"X","")</f>
      </c>
      <c r="AA94" s="56" t="str">
        <f>IF(COUNTIFS('LANÇAMENTOS DIÁRIOS'!$G$5:$G$500,"D",'LANÇAMENTOS DIÁRIOS'!$C$5:$C$500,$A94,'LANÇAMENTOS DIÁRIOS'!$O$5:$O$500,"&lt;=103099",'LANÇAMENTOS DIÁRIOS'!$P$5:$P$500,"&gt;=103000")&gt;0,"X","")</f>
      </c>
      <c r="AB94" s="56" t="str">
        <f>IF(COUNTIFS('LANÇAMENTOS DIÁRIOS'!$G$5:$G$500,"D",'LANÇAMENTOS DIÁRIOS'!$C$5:$C$500,$A94,'LANÇAMENTOS DIÁRIOS'!$O$5:$O$500,"&lt;=103199",'LANÇAMENTOS DIÁRIOS'!$P$5:$P$500,"&gt;=103100")&gt;0,"X","")</f>
      </c>
      <c r="AC94" s="56" t="str">
        <f>IF(COUNTIFS('LANÇAMENTOS DIÁRIOS'!$G$5:$G$500,"D",'LANÇAMENTOS DIÁRIOS'!$C$5:$C$500,$A94,'LANÇAMENTOS DIÁRIOS'!$O$5:$O$500,"&lt;=103299",'LANÇAMENTOS DIÁRIOS'!$P$5:$P$500,"&gt;=103200")&gt;0,"X","")</f>
      </c>
      <c r="AD94" s="56" t="str">
        <f>IF(COUNTIFS('LANÇAMENTOS DIÁRIOS'!$G$5:$G$500,"D",'LANÇAMENTOS DIÁRIOS'!$C$5:$C$500,$A94,'LANÇAMENTOS DIÁRIOS'!$O$5:$O$500,"&lt;=103399",'LANÇAMENTOS DIÁRIOS'!$P$5:$P$500,"&gt;=103300")&gt;0,"X","")</f>
      </c>
      <c r="AE94" s="56" t="str">
        <f>IF(COUNTIFS('LANÇAMENTOS DIÁRIOS'!$G$5:$G$500,"D",'LANÇAMENTOS DIÁRIOS'!$C$5:$C$500,$A94,'LANÇAMENTOS DIÁRIOS'!$O$5:$O$500,"&lt;=103499",'LANÇAMENTOS DIÁRIOS'!$P$5:$P$500,"&gt;=103400")&gt;0,"X","")</f>
      </c>
      <c r="AF94" s="56" t="str">
        <f>IF(COUNTIFS('LANÇAMENTOS DIÁRIOS'!$G$5:$G$500,"D",'LANÇAMENTOS DIÁRIOS'!$C$5:$C$500,$A94,'LANÇAMENTOS DIÁRIOS'!$O$5:$O$500,"&lt;=103599",'LANÇAMENTOS DIÁRIOS'!$P$5:$P$500,"&gt;=103500")&gt;0,"X","")</f>
      </c>
      <c r="AG94" s="56" t="str">
        <f>IF(COUNTIFS('LANÇAMENTOS DIÁRIOS'!$G$5:$G$500,"D",'LANÇAMENTOS DIÁRIOS'!$C$5:$C$500,$A94,'LANÇAMENTOS DIÁRIOS'!$O$5:$O$500,"&lt;=103699",'LANÇAMENTOS DIÁRIOS'!$P$5:$P$500,"&gt;=103600")&gt;0,"X","")</f>
      </c>
      <c r="AH94" s="56" t="str">
        <f>IF(COUNTIFS('LANÇAMENTOS DIÁRIOS'!$G$5:$G$500,"D",'LANÇAMENTOS DIÁRIOS'!$C$5:$C$500,$A94,'LANÇAMENTOS DIÁRIOS'!$O$5:$O$500,"&lt;=103799",'LANÇAMENTOS DIÁRIOS'!$P$5:$P$500,"&gt;=103700")&gt;0,"X","")</f>
      </c>
      <c r="AI94" s="56" t="str">
        <f>IF(COUNTIFS('LANÇAMENTOS DIÁRIOS'!$G$5:$G$500,"D",'LANÇAMENTOS DIÁRIOS'!$C$5:$C$500,$A94,'LANÇAMENTOS DIÁRIOS'!$O$5:$O$500,"&lt;=103899",'LANÇAMENTOS DIÁRIOS'!$P$5:$P$500,"&gt;=103800")&gt;0,"X","")</f>
      </c>
      <c r="AJ94" s="56" t="str">
        <f>IF(COUNTIFS('LANÇAMENTOS DIÁRIOS'!$G$5:$G$500,"D",'LANÇAMENTOS DIÁRIOS'!$C$5:$C$500,$A94,'LANÇAMENTOS DIÁRIOS'!$O$5:$O$500,"&lt;=103999",'LANÇAMENTOS DIÁRIOS'!$P$5:$P$500,"&gt;=103900")&gt;0,"X","")</f>
      </c>
      <c r="AK94" s="56" t="str">
        <f>IF(COUNTIFS('LANÇAMENTOS DIÁRIOS'!$G$5:$G$500,"D",'LANÇAMENTOS DIÁRIOS'!$C$5:$C$500,$A94,'LANÇAMENTOS DIÁRIOS'!$O$5:$O$500,"&lt;=104099",'LANÇAMENTOS DIÁRIOS'!$P$5:$P$500,"&gt;=104000")&gt;0,"X","")</f>
      </c>
      <c r="AL94" s="56" t="str">
        <f>IF(COUNTIFS('LANÇAMENTOS DIÁRIOS'!$G$5:$G$500,"D",'LANÇAMENTOS DIÁRIOS'!$C$5:$C$500,$A94,'LANÇAMENTOS DIÁRIOS'!$O$5:$O$500,"&lt;=104199",'LANÇAMENTOS DIÁRIOS'!$P$5:$P$500,"&gt;=104100")&gt;0,"X","")</f>
      </c>
      <c r="AM94" s="56" t="str">
        <f>IF(COUNTIFS('LANÇAMENTOS DIÁRIOS'!$G$5:$G$500,"D",'LANÇAMENTOS DIÁRIOS'!$C$5:$C$500,$A94,'LANÇAMENTOS DIÁRIOS'!$O$5:$O$500,"&lt;=104299",'LANÇAMENTOS DIÁRIOS'!$P$5:$P$500,"&gt;=104200")&gt;0,"X","")</f>
      </c>
      <c r="AN94" s="56" t="str">
        <f>IF(COUNTIFS('LANÇAMENTOS DIÁRIOS'!$G$5:$G$500,"D",'LANÇAMENTOS DIÁRIOS'!$C$5:$C$500,$A94,'LANÇAMENTOS DIÁRIOS'!$O$5:$O$500,"&lt;=104399",'LANÇAMENTOS DIÁRIOS'!$P$5:$P$500,"&gt;=104300")&gt;0,"X","")</f>
      </c>
      <c r="AO94" s="56" t="str">
        <f>IF(COUNTIFS('LANÇAMENTOS DIÁRIOS'!$G$5:$G$500,"D",'LANÇAMENTOS DIÁRIOS'!$C$5:$C$500,$A94,'LANÇAMENTOS DIÁRIOS'!$O$5:$O$500,"&lt;=104499",'LANÇAMENTOS DIÁRIOS'!$P$5:$P$500,"&gt;=104400")&gt;0,"X","")</f>
      </c>
      <c r="AP94" s="56" t="str">
        <f>IF(COUNTIFS('LANÇAMENTOS DIÁRIOS'!$G$5:$G$500,"D",'LANÇAMENTOS DIÁRIOS'!$C$5:$C$500,$A94,'LANÇAMENTOS DIÁRIOS'!$O$5:$O$500,"&lt;=104599",'LANÇAMENTOS DIÁRIOS'!$P$5:$P$500,"&gt;=104500")&gt;0,"X","")</f>
      </c>
      <c r="AQ94" s="56" t="str">
        <f>IF(COUNTIFS('LANÇAMENTOS DIÁRIOS'!$G$5:$G$500,"D",'LANÇAMENTOS DIÁRIOS'!$C$5:$C$500,$A94,'LANÇAMENTOS DIÁRIOS'!$O$5:$O$500,"&lt;=104699",'LANÇAMENTOS DIÁRIOS'!$P$5:$P$500,"&gt;=104600")&gt;0,"X","")</f>
      </c>
      <c r="AR94" s="56" t="str">
        <f>IF(COUNTIFS('LANÇAMENTOS DIÁRIOS'!$G$5:$G$500,"D",'LANÇAMENTOS DIÁRIOS'!$C$5:$C$500,$A94,'LANÇAMENTOS DIÁRIOS'!$O$5:$O$500,"&lt;=104799",'LANÇAMENTOS DIÁRIOS'!$P$5:$P$500,"&gt;=104700")&gt;0,"X","")</f>
      </c>
      <c r="AS94" s="56" t="str">
        <f>IF(COUNTIFS('LANÇAMENTOS DIÁRIOS'!$G$5:$G$500,"D",'LANÇAMENTOS DIÁRIOS'!$C$5:$C$500,$A94,'LANÇAMENTOS DIÁRIOS'!$O$5:$O$500,"&lt;=104899",'LANÇAMENTOS DIÁRIOS'!$P$5:$P$500,"&gt;=104800")&gt;0,"X","")</f>
      </c>
      <c r="AT94" s="56" t="str">
        <f>IF(COUNTIFS('LANÇAMENTOS DIÁRIOS'!$G$5:$G$500,"D",'LANÇAMENTOS DIÁRIOS'!$C$5:$C$500,$A94,'LANÇAMENTOS DIÁRIOS'!$O$5:$O$500,"&lt;=104999",'LANÇAMENTOS DIÁRIOS'!$P$5:$P$500,"&gt;=104900")&gt;0,"X","")</f>
      </c>
      <c r="AU94" s="56" t="str">
        <f>IF(COUNTIFS('LANÇAMENTOS DIÁRIOS'!$G$5:$G$500,"D",'LANÇAMENTOS DIÁRIOS'!$C$5:$C$500,$A94,'LANÇAMENTOS DIÁRIOS'!$O$5:$O$500,"&lt;=105099",'LANÇAMENTOS DIÁRIOS'!$P$5:$P$500,"&gt;=105000")&gt;0,"X","")</f>
      </c>
      <c r="AV94" s="56" t="str">
        <f>IF(COUNTIFS('LANÇAMENTOS DIÁRIOS'!$G$5:$G$500,"D",'LANÇAMENTOS DIÁRIOS'!$C$5:$C$500,$A94,'LANÇAMENTOS DIÁRIOS'!$O$5:$O$500,"&lt;=105199",'LANÇAMENTOS DIÁRIOS'!$P$5:$P$500,"&gt;=105100")&gt;0,"X","")</f>
      </c>
      <c r="AW94" s="56" t="str">
        <f>IF(COUNTIFS('LANÇAMENTOS DIÁRIOS'!$G$5:$G$500,"D",'LANÇAMENTOS DIÁRIOS'!$C$5:$C$500,$A94,'LANÇAMENTOS DIÁRIOS'!$O$5:$O$500,"&lt;=105299",'LANÇAMENTOS DIÁRIOS'!$P$5:$P$500,"&gt;=105200")&gt;0,"X","")</f>
      </c>
      <c r="AX94" s="56" t="str">
        <f>IF(COUNTIFS('LANÇAMENTOS DIÁRIOS'!$G$5:$G$500,"D",'LANÇAMENTOS DIÁRIOS'!$C$5:$C$500,$A94,'LANÇAMENTOS DIÁRIOS'!$O$5:$O$500,"&lt;=105399",'LANÇAMENTOS DIÁRIOS'!$P$5:$P$500,"&gt;=105300")&gt;0,"X","")</f>
      </c>
      <c r="AY94" s="56" t="str">
        <f>IF(COUNTIFS('LANÇAMENTOS DIÁRIOS'!$G$5:$G$500,"D",'LANÇAMENTOS DIÁRIOS'!$C$5:$C$500,$A94,'LANÇAMENTOS DIÁRIOS'!$O$5:$O$500,"&lt;=105499",'LANÇAMENTOS DIÁRIOS'!$P$5:$P$500,"&gt;=105400")&gt;0,"X","")</f>
      </c>
      <c r="AZ94" s="56" t="str">
        <f>IF(COUNTIFS('LANÇAMENTOS DIÁRIOS'!$G$5:$G$500,"D",'LANÇAMENTOS DIÁRIOS'!$C$5:$C$500,$A94,'LANÇAMENTOS DIÁRIOS'!$O$5:$O$500,"&lt;=105500",'LANÇAMENTOS DIÁRIOS'!$P$5:$P$500,"&gt;=105500")&gt;0,"X","")</f>
      </c>
    </row>
    <row r="95" ht="19" customHeight="1">
      <c r="A95" s="68" t="str">
        <v>Obras de drenagem superficiais. Sarjetas e Valetas</v>
      </c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</row>
    <row r="96">
      <c r="A96" s="51" t="str">
        <v>Obras de drenagem superficiais. Sarjetas e Valetas</v>
      </c>
      <c r="B96" s="56" t="str">
        <f>IF(COUNTIFS('LANÇAMENTOS DIÁRIOS'!$G$5:$G$500,"D",'LANÇAMENTOS DIÁRIOS'!$C$5:$C$500,$A96,'LANÇAMENTOS DIÁRIOS'!$O$5:$O$500,"&lt;=100599",'LANÇAMENTOS DIÁRIOS'!$P$5:$P$500,"&gt;=100500")&gt;0,"X","")</f>
      </c>
      <c r="C96" s="56" t="str">
        <f>IF(COUNTIFS('LANÇAMENTOS DIÁRIOS'!$G$5:$G$500,"D",'LANÇAMENTOS DIÁRIOS'!$C$5:$C$500,$A96,'LANÇAMENTOS DIÁRIOS'!$O$5:$O$500,"&lt;=100699",'LANÇAMENTOS DIÁRIOS'!$P$5:$P$500,"&gt;=100600")&gt;0,"X","")</f>
      </c>
      <c r="D96" s="56" t="str">
        <f>IF(COUNTIFS('LANÇAMENTOS DIÁRIOS'!$G$5:$G$500,"D",'LANÇAMENTOS DIÁRIOS'!$C$5:$C$500,$A96,'LANÇAMENTOS DIÁRIOS'!$O$5:$O$500,"&lt;=100799",'LANÇAMENTOS DIÁRIOS'!$P$5:$P$500,"&gt;=100700")&gt;0,"X","")</f>
      </c>
      <c r="E96" s="56" t="str">
        <f>IF(COUNTIFS('LANÇAMENTOS DIÁRIOS'!$G$5:$G$500,"D",'LANÇAMENTOS DIÁRIOS'!$C$5:$C$500,$A96,'LANÇAMENTOS DIÁRIOS'!$O$5:$O$500,"&lt;=100899",'LANÇAMENTOS DIÁRIOS'!$P$5:$P$500,"&gt;=100800")&gt;0,"X","")</f>
      </c>
      <c r="F96" s="56" t="str">
        <f>IF(COUNTIFS('LANÇAMENTOS DIÁRIOS'!$G$5:$G$500,"D",'LANÇAMENTOS DIÁRIOS'!$C$5:$C$500,$A96,'LANÇAMENTOS DIÁRIOS'!$O$5:$O$500,"&lt;=100999",'LANÇAMENTOS DIÁRIOS'!$P$5:$P$500,"&gt;=100900")&gt;0,"X","")</f>
      </c>
      <c r="G96" s="56" t="str">
        <f>IF(COUNTIFS('LANÇAMENTOS DIÁRIOS'!$G$5:$G$500,"D",'LANÇAMENTOS DIÁRIOS'!$C$5:$C$500,$A96,'LANÇAMENTOS DIÁRIOS'!$O$5:$O$500,"&lt;=101099",'LANÇAMENTOS DIÁRIOS'!$P$5:$P$500,"&gt;=101000")&gt;0,"X","")</f>
      </c>
      <c r="H96" s="56" t="str">
        <f>IF(COUNTIFS('LANÇAMENTOS DIÁRIOS'!$G$5:$G$500,"D",'LANÇAMENTOS DIÁRIOS'!$C$5:$C$500,$A96,'LANÇAMENTOS DIÁRIOS'!$O$5:$O$500,"&lt;=101199",'LANÇAMENTOS DIÁRIOS'!$P$5:$P$500,"&gt;=101100")&gt;0,"X","")</f>
      </c>
      <c r="I96" s="56" t="str">
        <f>IF(COUNTIFS('LANÇAMENTOS DIÁRIOS'!$G$5:$G$500,"D",'LANÇAMENTOS DIÁRIOS'!$C$5:$C$500,$A96,'LANÇAMENTOS DIÁRIOS'!$O$5:$O$500,"&lt;=101299",'LANÇAMENTOS DIÁRIOS'!$P$5:$P$500,"&gt;=101200")&gt;0,"X","")</f>
      </c>
      <c r="J96" s="56" t="str">
        <f>IF(COUNTIFS('LANÇAMENTOS DIÁRIOS'!$G$5:$G$500,"D",'LANÇAMENTOS DIÁRIOS'!$C$5:$C$500,$A96,'LANÇAMENTOS DIÁRIOS'!$O$5:$O$500,"&lt;=101399",'LANÇAMENTOS DIÁRIOS'!$P$5:$P$500,"&gt;=101300")&gt;0,"X","")</f>
      </c>
      <c r="K96" s="56" t="str">
        <f>IF(COUNTIFS('LANÇAMENTOS DIÁRIOS'!$G$5:$G$500,"D",'LANÇAMENTOS DIÁRIOS'!$C$5:$C$500,$A96,'LANÇAMENTOS DIÁRIOS'!$O$5:$O$500,"&lt;=101499",'LANÇAMENTOS DIÁRIOS'!$P$5:$P$500,"&gt;=101400")&gt;0,"X","")</f>
      </c>
      <c r="L96" s="56" t="str">
        <f>IF(COUNTIFS('LANÇAMENTOS DIÁRIOS'!$G$5:$G$500,"D",'LANÇAMENTOS DIÁRIOS'!$C$5:$C$500,$A96,'LANÇAMENTOS DIÁRIOS'!$O$5:$O$500,"&lt;=101599",'LANÇAMENTOS DIÁRIOS'!$P$5:$P$500,"&gt;=101500")&gt;0,"X","")</f>
      </c>
      <c r="M96" s="56" t="str">
        <f>IF(COUNTIFS('LANÇAMENTOS DIÁRIOS'!$G$5:$G$500,"D",'LANÇAMENTOS DIÁRIOS'!$C$5:$C$500,$A96,'LANÇAMENTOS DIÁRIOS'!$O$5:$O$500,"&lt;=101699",'LANÇAMENTOS DIÁRIOS'!$P$5:$P$500,"&gt;=101600")&gt;0,"X","")</f>
      </c>
      <c r="N96" s="56" t="str">
        <f>IF(COUNTIFS('LANÇAMENTOS DIÁRIOS'!$G$5:$G$500,"D",'LANÇAMENTOS DIÁRIOS'!$C$5:$C$500,$A96,'LANÇAMENTOS DIÁRIOS'!$O$5:$O$500,"&lt;=101799",'LANÇAMENTOS DIÁRIOS'!$P$5:$P$500,"&gt;=101700")&gt;0,"X","")</f>
      </c>
      <c r="O96" s="56" t="str">
        <f>IF(COUNTIFS('LANÇAMENTOS DIÁRIOS'!$G$5:$G$500,"D",'LANÇAMENTOS DIÁRIOS'!$C$5:$C$500,$A96,'LANÇAMENTOS DIÁRIOS'!$O$5:$O$500,"&lt;=101899",'LANÇAMENTOS DIÁRIOS'!$P$5:$P$500,"&gt;=101800")&gt;0,"X","")</f>
      </c>
      <c r="P96" s="56" t="str">
        <f>IF(COUNTIFS('LANÇAMENTOS DIÁRIOS'!$G$5:$G$500,"D",'LANÇAMENTOS DIÁRIOS'!$C$5:$C$500,$A96,'LANÇAMENTOS DIÁRIOS'!$O$5:$O$500,"&lt;=101999",'LANÇAMENTOS DIÁRIOS'!$P$5:$P$500,"&gt;=101900")&gt;0,"X","")</f>
      </c>
      <c r="Q96" s="56" t="str">
        <f>IF(COUNTIFS('LANÇAMENTOS DIÁRIOS'!$G$5:$G$500,"D",'LANÇAMENTOS DIÁRIOS'!$C$5:$C$500,$A96,'LANÇAMENTOS DIÁRIOS'!$O$5:$O$500,"&lt;=102099",'LANÇAMENTOS DIÁRIOS'!$P$5:$P$500,"&gt;=102000")&gt;0,"X","")</f>
      </c>
      <c r="R96" s="56" t="str">
        <f>IF(COUNTIFS('LANÇAMENTOS DIÁRIOS'!$G$5:$G$500,"D",'LANÇAMENTOS DIÁRIOS'!$C$5:$C$500,$A96,'LANÇAMENTOS DIÁRIOS'!$O$5:$O$500,"&lt;=102199",'LANÇAMENTOS DIÁRIOS'!$P$5:$P$500,"&gt;=102100")&gt;0,"X","")</f>
      </c>
      <c r="S96" s="56" t="str">
        <f>IF(COUNTIFS('LANÇAMENTOS DIÁRIOS'!$G$5:$G$500,"D",'LANÇAMENTOS DIÁRIOS'!$C$5:$C$500,$A96,'LANÇAMENTOS DIÁRIOS'!$O$5:$O$500,"&lt;=102299",'LANÇAMENTOS DIÁRIOS'!$P$5:$P$500,"&gt;=102200")&gt;0,"X","")</f>
      </c>
      <c r="T96" s="56" t="str">
        <f>IF(COUNTIFS('LANÇAMENTOS DIÁRIOS'!$G$5:$G$500,"D",'LANÇAMENTOS DIÁRIOS'!$C$5:$C$500,$A96,'LANÇAMENTOS DIÁRIOS'!$O$5:$O$500,"&lt;=102399",'LANÇAMENTOS DIÁRIOS'!$P$5:$P$500,"&gt;=102300")&gt;0,"X","")</f>
      </c>
      <c r="U96" s="56" t="str">
        <f>IF(COUNTIFS('LANÇAMENTOS DIÁRIOS'!$G$5:$G$500,"D",'LANÇAMENTOS DIÁRIOS'!$C$5:$C$500,$A96,'LANÇAMENTOS DIÁRIOS'!$O$5:$O$500,"&lt;=102499",'LANÇAMENTOS DIÁRIOS'!$P$5:$P$500,"&gt;=102400")&gt;0,"X","")</f>
      </c>
      <c r="V96" s="56" t="str">
        <f>IF(COUNTIFS('LANÇAMENTOS DIÁRIOS'!$G$5:$G$500,"D",'LANÇAMENTOS DIÁRIOS'!$C$5:$C$500,$A96,'LANÇAMENTOS DIÁRIOS'!$O$5:$O$500,"&lt;=102599",'LANÇAMENTOS DIÁRIOS'!$P$5:$P$500,"&gt;=102500")&gt;0,"X","")</f>
      </c>
      <c r="W96" s="56" t="str">
        <f>IF(COUNTIFS('LANÇAMENTOS DIÁRIOS'!$G$5:$G$500,"D",'LANÇAMENTOS DIÁRIOS'!$C$5:$C$500,$A96,'LANÇAMENTOS DIÁRIOS'!$O$5:$O$500,"&lt;=102699",'LANÇAMENTOS DIÁRIOS'!$P$5:$P$500,"&gt;=102600")&gt;0,"X","")</f>
      </c>
      <c r="X96" s="56" t="str">
        <f>IF(COUNTIFS('LANÇAMENTOS DIÁRIOS'!$G$5:$G$500,"D",'LANÇAMENTOS DIÁRIOS'!$C$5:$C$500,$A96,'LANÇAMENTOS DIÁRIOS'!$O$5:$O$500,"&lt;=102799",'LANÇAMENTOS DIÁRIOS'!$P$5:$P$500,"&gt;=102700")&gt;0,"X","")</f>
      </c>
      <c r="Y96" s="56" t="str">
        <f>IF(COUNTIFS('LANÇAMENTOS DIÁRIOS'!$G$5:$G$500,"D",'LANÇAMENTOS DIÁRIOS'!$C$5:$C$500,$A96,'LANÇAMENTOS DIÁRIOS'!$O$5:$O$500,"&lt;=102899",'LANÇAMENTOS DIÁRIOS'!$P$5:$P$500,"&gt;=102800")&gt;0,"X","")</f>
      </c>
      <c r="Z96" s="56" t="str">
        <f>IF(COUNTIFS('LANÇAMENTOS DIÁRIOS'!$G$5:$G$500,"D",'LANÇAMENTOS DIÁRIOS'!$C$5:$C$500,$A96,'LANÇAMENTOS DIÁRIOS'!$O$5:$O$500,"&lt;=102999",'LANÇAMENTOS DIÁRIOS'!$P$5:$P$500,"&gt;=102900")&gt;0,"X","")</f>
      </c>
      <c r="AA96" s="56" t="str">
        <f>IF(COUNTIFS('LANÇAMENTOS DIÁRIOS'!$G$5:$G$500,"D",'LANÇAMENTOS DIÁRIOS'!$C$5:$C$500,$A96,'LANÇAMENTOS DIÁRIOS'!$O$5:$O$500,"&lt;=103099",'LANÇAMENTOS DIÁRIOS'!$P$5:$P$500,"&gt;=103000")&gt;0,"X","")</f>
      </c>
      <c r="AB96" s="56" t="str">
        <f>IF(COUNTIFS('LANÇAMENTOS DIÁRIOS'!$G$5:$G$500,"D",'LANÇAMENTOS DIÁRIOS'!$C$5:$C$500,$A96,'LANÇAMENTOS DIÁRIOS'!$O$5:$O$500,"&lt;=103199",'LANÇAMENTOS DIÁRIOS'!$P$5:$P$500,"&gt;=103100")&gt;0,"X","")</f>
      </c>
      <c r="AC96" s="56" t="str">
        <f>IF(COUNTIFS('LANÇAMENTOS DIÁRIOS'!$G$5:$G$500,"D",'LANÇAMENTOS DIÁRIOS'!$C$5:$C$500,$A96,'LANÇAMENTOS DIÁRIOS'!$O$5:$O$500,"&lt;=103299",'LANÇAMENTOS DIÁRIOS'!$P$5:$P$500,"&gt;=103200")&gt;0,"X","")</f>
      </c>
      <c r="AD96" s="56" t="str">
        <f>IF(COUNTIFS('LANÇAMENTOS DIÁRIOS'!$G$5:$G$500,"D",'LANÇAMENTOS DIÁRIOS'!$C$5:$C$500,$A96,'LANÇAMENTOS DIÁRIOS'!$O$5:$O$500,"&lt;=103399",'LANÇAMENTOS DIÁRIOS'!$P$5:$P$500,"&gt;=103300")&gt;0,"X","")</f>
      </c>
      <c r="AE96" s="56" t="str">
        <f>IF(COUNTIFS('LANÇAMENTOS DIÁRIOS'!$G$5:$G$500,"D",'LANÇAMENTOS DIÁRIOS'!$C$5:$C$500,$A96,'LANÇAMENTOS DIÁRIOS'!$O$5:$O$500,"&lt;=103499",'LANÇAMENTOS DIÁRIOS'!$P$5:$P$500,"&gt;=103400")&gt;0,"X","")</f>
      </c>
      <c r="AF96" s="56" t="str">
        <f>IF(COUNTIFS('LANÇAMENTOS DIÁRIOS'!$G$5:$G$500,"D",'LANÇAMENTOS DIÁRIOS'!$C$5:$C$500,$A96,'LANÇAMENTOS DIÁRIOS'!$O$5:$O$500,"&lt;=103599",'LANÇAMENTOS DIÁRIOS'!$P$5:$P$500,"&gt;=103500")&gt;0,"X","")</f>
      </c>
      <c r="AG96" s="56" t="str">
        <f>IF(COUNTIFS('LANÇAMENTOS DIÁRIOS'!$G$5:$G$500,"D",'LANÇAMENTOS DIÁRIOS'!$C$5:$C$500,$A96,'LANÇAMENTOS DIÁRIOS'!$O$5:$O$500,"&lt;=103699",'LANÇAMENTOS DIÁRIOS'!$P$5:$P$500,"&gt;=103600")&gt;0,"X","")</f>
      </c>
      <c r="AH96" s="56" t="str">
        <f>IF(COUNTIFS('LANÇAMENTOS DIÁRIOS'!$G$5:$G$500,"D",'LANÇAMENTOS DIÁRIOS'!$C$5:$C$500,$A96,'LANÇAMENTOS DIÁRIOS'!$O$5:$O$500,"&lt;=103799",'LANÇAMENTOS DIÁRIOS'!$P$5:$P$500,"&gt;=103700")&gt;0,"X","")</f>
      </c>
      <c r="AI96" s="56" t="str">
        <f>IF(COUNTIFS('LANÇAMENTOS DIÁRIOS'!$G$5:$G$500,"D",'LANÇAMENTOS DIÁRIOS'!$C$5:$C$500,$A96,'LANÇAMENTOS DIÁRIOS'!$O$5:$O$500,"&lt;=103899",'LANÇAMENTOS DIÁRIOS'!$P$5:$P$500,"&gt;=103800")&gt;0,"X","")</f>
      </c>
      <c r="AJ96" s="56" t="str">
        <f>IF(COUNTIFS('LANÇAMENTOS DIÁRIOS'!$G$5:$G$500,"D",'LANÇAMENTOS DIÁRIOS'!$C$5:$C$500,$A96,'LANÇAMENTOS DIÁRIOS'!$O$5:$O$500,"&lt;=103999",'LANÇAMENTOS DIÁRIOS'!$P$5:$P$500,"&gt;=103900")&gt;0,"X","")</f>
      </c>
      <c r="AK96" s="56" t="str">
        <f>IF(COUNTIFS('LANÇAMENTOS DIÁRIOS'!$G$5:$G$500,"D",'LANÇAMENTOS DIÁRIOS'!$C$5:$C$500,$A96,'LANÇAMENTOS DIÁRIOS'!$O$5:$O$500,"&lt;=104099",'LANÇAMENTOS DIÁRIOS'!$P$5:$P$500,"&gt;=104000")&gt;0,"X","")</f>
      </c>
      <c r="AL96" s="56" t="str">
        <f>IF(COUNTIFS('LANÇAMENTOS DIÁRIOS'!$G$5:$G$500,"D",'LANÇAMENTOS DIÁRIOS'!$C$5:$C$500,$A96,'LANÇAMENTOS DIÁRIOS'!$O$5:$O$500,"&lt;=104199",'LANÇAMENTOS DIÁRIOS'!$P$5:$P$500,"&gt;=104100")&gt;0,"X","")</f>
      </c>
      <c r="AM96" s="56" t="str">
        <f>IF(COUNTIFS('LANÇAMENTOS DIÁRIOS'!$G$5:$G$500,"D",'LANÇAMENTOS DIÁRIOS'!$C$5:$C$500,$A96,'LANÇAMENTOS DIÁRIOS'!$O$5:$O$500,"&lt;=104299",'LANÇAMENTOS DIÁRIOS'!$P$5:$P$500,"&gt;=104200")&gt;0,"X","")</f>
      </c>
      <c r="AN96" s="56" t="str">
        <f>IF(COUNTIFS('LANÇAMENTOS DIÁRIOS'!$G$5:$G$500,"D",'LANÇAMENTOS DIÁRIOS'!$C$5:$C$500,$A96,'LANÇAMENTOS DIÁRIOS'!$O$5:$O$500,"&lt;=104399",'LANÇAMENTOS DIÁRIOS'!$P$5:$P$500,"&gt;=104300")&gt;0,"X","")</f>
      </c>
      <c r="AO96" s="56" t="str">
        <f>IF(COUNTIFS('LANÇAMENTOS DIÁRIOS'!$G$5:$G$500,"D",'LANÇAMENTOS DIÁRIOS'!$C$5:$C$500,$A96,'LANÇAMENTOS DIÁRIOS'!$O$5:$O$500,"&lt;=104499",'LANÇAMENTOS DIÁRIOS'!$P$5:$P$500,"&gt;=104400")&gt;0,"X","")</f>
      </c>
      <c r="AP96" s="56" t="str">
        <f>IF(COUNTIFS('LANÇAMENTOS DIÁRIOS'!$G$5:$G$500,"D",'LANÇAMENTOS DIÁRIOS'!$C$5:$C$500,$A96,'LANÇAMENTOS DIÁRIOS'!$O$5:$O$500,"&lt;=104599",'LANÇAMENTOS DIÁRIOS'!$P$5:$P$500,"&gt;=104500")&gt;0,"X","")</f>
      </c>
      <c r="AQ96" s="56" t="str">
        <f>IF(COUNTIFS('LANÇAMENTOS DIÁRIOS'!$G$5:$G$500,"D",'LANÇAMENTOS DIÁRIOS'!$C$5:$C$500,$A96,'LANÇAMENTOS DIÁRIOS'!$O$5:$O$500,"&lt;=104699",'LANÇAMENTOS DIÁRIOS'!$P$5:$P$500,"&gt;=104600")&gt;0,"X","")</f>
      </c>
      <c r="AR96" s="56" t="str">
        <f>IF(COUNTIFS('LANÇAMENTOS DIÁRIOS'!$G$5:$G$500,"D",'LANÇAMENTOS DIÁRIOS'!$C$5:$C$500,$A96,'LANÇAMENTOS DIÁRIOS'!$O$5:$O$500,"&lt;=104799",'LANÇAMENTOS DIÁRIOS'!$P$5:$P$500,"&gt;=104700")&gt;0,"X","")</f>
      </c>
      <c r="AS96" s="56" t="str">
        <f>IF(COUNTIFS('LANÇAMENTOS DIÁRIOS'!$G$5:$G$500,"D",'LANÇAMENTOS DIÁRIOS'!$C$5:$C$500,$A96,'LANÇAMENTOS DIÁRIOS'!$O$5:$O$500,"&lt;=104899",'LANÇAMENTOS DIÁRIOS'!$P$5:$P$500,"&gt;=104800")&gt;0,"X","")</f>
      </c>
      <c r="AT96" s="56" t="str">
        <f>IF(COUNTIFS('LANÇAMENTOS DIÁRIOS'!$G$5:$G$500,"D",'LANÇAMENTOS DIÁRIOS'!$C$5:$C$500,$A96,'LANÇAMENTOS DIÁRIOS'!$O$5:$O$500,"&lt;=104999",'LANÇAMENTOS DIÁRIOS'!$P$5:$P$500,"&gt;=104900")&gt;0,"X","")</f>
      </c>
      <c r="AU96" s="56" t="str">
        <f>IF(COUNTIFS('LANÇAMENTOS DIÁRIOS'!$G$5:$G$500,"D",'LANÇAMENTOS DIÁRIOS'!$C$5:$C$500,$A96,'LANÇAMENTOS DIÁRIOS'!$O$5:$O$500,"&lt;=105099",'LANÇAMENTOS DIÁRIOS'!$P$5:$P$500,"&gt;=105000")&gt;0,"X","")</f>
      </c>
      <c r="AV96" s="56" t="str">
        <f>IF(COUNTIFS('LANÇAMENTOS DIÁRIOS'!$G$5:$G$500,"D",'LANÇAMENTOS DIÁRIOS'!$C$5:$C$500,$A96,'LANÇAMENTOS DIÁRIOS'!$O$5:$O$500,"&lt;=105199",'LANÇAMENTOS DIÁRIOS'!$P$5:$P$500,"&gt;=105100")&gt;0,"X","")</f>
      </c>
      <c r="AW96" s="56" t="str">
        <f>IF(COUNTIFS('LANÇAMENTOS DIÁRIOS'!$G$5:$G$500,"D",'LANÇAMENTOS DIÁRIOS'!$C$5:$C$500,$A96,'LANÇAMENTOS DIÁRIOS'!$O$5:$O$500,"&lt;=105299",'LANÇAMENTOS DIÁRIOS'!$P$5:$P$500,"&gt;=105200")&gt;0,"X","")</f>
      </c>
      <c r="AX96" s="56" t="str">
        <f>IF(COUNTIFS('LANÇAMENTOS DIÁRIOS'!$G$5:$G$500,"D",'LANÇAMENTOS DIÁRIOS'!$C$5:$C$500,$A96,'LANÇAMENTOS DIÁRIOS'!$O$5:$O$500,"&lt;=105399",'LANÇAMENTOS DIÁRIOS'!$P$5:$P$500,"&gt;=105300")&gt;0,"X","")</f>
      </c>
      <c r="AY96" s="56" t="str">
        <f>IF(COUNTIFS('LANÇAMENTOS DIÁRIOS'!$G$5:$G$500,"D",'LANÇAMENTOS DIÁRIOS'!$C$5:$C$500,$A96,'LANÇAMENTOS DIÁRIOS'!$O$5:$O$500,"&lt;=105499",'LANÇAMENTOS DIÁRIOS'!$P$5:$P$500,"&gt;=105400")&gt;0,"X","")</f>
      </c>
      <c r="AZ96" s="56" t="str">
        <f>IF(COUNTIFS('LANÇAMENTOS DIÁRIOS'!$G$5:$G$500,"D",'LANÇAMENTOS DIÁRIOS'!$C$5:$C$500,$A96,'LANÇAMENTOS DIÁRIOS'!$O$5:$O$500,"&lt;=105500",'LANÇAMENTOS DIÁRIOS'!$P$5:$P$500,"&gt;=105500")&gt;0,"X","")</f>
      </c>
    </row>
    <row r="97" ht="19" customHeight="1">
      <c r="A97" s="68" t="str">
        <v>Execução de dreno de pavimento e de plataforma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</row>
    <row r="98">
      <c r="A98" s="51" t="str">
        <v>Execução de dreno de pavimento e de plataforma</v>
      </c>
      <c r="B98" s="56" t="str">
        <f>IF(COUNTIFS('LANÇAMENTOS DIÁRIOS'!$G$5:$G$500,"D",'LANÇAMENTOS DIÁRIOS'!$C$5:$C$500,$A98,'LANÇAMENTOS DIÁRIOS'!$O$5:$O$500,"&lt;=100599",'LANÇAMENTOS DIÁRIOS'!$P$5:$P$500,"&gt;=100500")&gt;0,"X","")</f>
      </c>
      <c r="C98" s="56" t="str">
        <f>IF(COUNTIFS('LANÇAMENTOS DIÁRIOS'!$G$5:$G$500,"D",'LANÇAMENTOS DIÁRIOS'!$C$5:$C$500,$A98,'LANÇAMENTOS DIÁRIOS'!$O$5:$O$500,"&lt;=100699",'LANÇAMENTOS DIÁRIOS'!$P$5:$P$500,"&gt;=100600")&gt;0,"X","")</f>
      </c>
      <c r="D98" s="56" t="str">
        <f>IF(COUNTIFS('LANÇAMENTOS DIÁRIOS'!$G$5:$G$500,"D",'LANÇAMENTOS DIÁRIOS'!$C$5:$C$500,$A98,'LANÇAMENTOS DIÁRIOS'!$O$5:$O$500,"&lt;=100799",'LANÇAMENTOS DIÁRIOS'!$P$5:$P$500,"&gt;=100700")&gt;0,"X","")</f>
      </c>
      <c r="E98" s="56" t="str">
        <f>IF(COUNTIFS('LANÇAMENTOS DIÁRIOS'!$G$5:$G$500,"D",'LANÇAMENTOS DIÁRIOS'!$C$5:$C$500,$A98,'LANÇAMENTOS DIÁRIOS'!$O$5:$O$500,"&lt;=100899",'LANÇAMENTOS DIÁRIOS'!$P$5:$P$500,"&gt;=100800")&gt;0,"X","")</f>
      </c>
      <c r="F98" s="56" t="str">
        <f>IF(COUNTIFS('LANÇAMENTOS DIÁRIOS'!$G$5:$G$500,"D",'LANÇAMENTOS DIÁRIOS'!$C$5:$C$500,$A98,'LANÇAMENTOS DIÁRIOS'!$O$5:$O$500,"&lt;=100999",'LANÇAMENTOS DIÁRIOS'!$P$5:$P$500,"&gt;=100900")&gt;0,"X","")</f>
      </c>
      <c r="G98" s="56" t="str">
        <f>IF(COUNTIFS('LANÇAMENTOS DIÁRIOS'!$G$5:$G$500,"D",'LANÇAMENTOS DIÁRIOS'!$C$5:$C$500,$A98,'LANÇAMENTOS DIÁRIOS'!$O$5:$O$500,"&lt;=101099",'LANÇAMENTOS DIÁRIOS'!$P$5:$P$500,"&gt;=101000")&gt;0,"X","")</f>
      </c>
      <c r="H98" s="56" t="str">
        <f>IF(COUNTIFS('LANÇAMENTOS DIÁRIOS'!$G$5:$G$500,"D",'LANÇAMENTOS DIÁRIOS'!$C$5:$C$500,$A98,'LANÇAMENTOS DIÁRIOS'!$O$5:$O$500,"&lt;=101199",'LANÇAMENTOS DIÁRIOS'!$P$5:$P$500,"&gt;=101100")&gt;0,"X","")</f>
      </c>
      <c r="I98" s="56" t="str">
        <f>IF(COUNTIFS('LANÇAMENTOS DIÁRIOS'!$G$5:$G$500,"D",'LANÇAMENTOS DIÁRIOS'!$C$5:$C$500,$A98,'LANÇAMENTOS DIÁRIOS'!$O$5:$O$500,"&lt;=101299",'LANÇAMENTOS DIÁRIOS'!$P$5:$P$500,"&gt;=101200")&gt;0,"X","")</f>
      </c>
      <c r="J98" s="56" t="str">
        <f>IF(COUNTIFS('LANÇAMENTOS DIÁRIOS'!$G$5:$G$500,"D",'LANÇAMENTOS DIÁRIOS'!$C$5:$C$500,$A98,'LANÇAMENTOS DIÁRIOS'!$O$5:$O$500,"&lt;=101399",'LANÇAMENTOS DIÁRIOS'!$P$5:$P$500,"&gt;=101300")&gt;0,"X","")</f>
      </c>
      <c r="K98" s="56" t="str">
        <f>IF(COUNTIFS('LANÇAMENTOS DIÁRIOS'!$G$5:$G$500,"D",'LANÇAMENTOS DIÁRIOS'!$C$5:$C$500,$A98,'LANÇAMENTOS DIÁRIOS'!$O$5:$O$500,"&lt;=101499",'LANÇAMENTOS DIÁRIOS'!$P$5:$P$500,"&gt;=101400")&gt;0,"X","")</f>
      </c>
      <c r="L98" s="56" t="str">
        <f>IF(COUNTIFS('LANÇAMENTOS DIÁRIOS'!$G$5:$G$500,"D",'LANÇAMENTOS DIÁRIOS'!$C$5:$C$500,$A98,'LANÇAMENTOS DIÁRIOS'!$O$5:$O$500,"&lt;=101599",'LANÇAMENTOS DIÁRIOS'!$P$5:$P$500,"&gt;=101500")&gt;0,"X","")</f>
      </c>
      <c r="M98" s="56" t="str">
        <f>IF(COUNTIFS('LANÇAMENTOS DIÁRIOS'!$G$5:$G$500,"D",'LANÇAMENTOS DIÁRIOS'!$C$5:$C$500,$A98,'LANÇAMENTOS DIÁRIOS'!$O$5:$O$500,"&lt;=101699",'LANÇAMENTOS DIÁRIOS'!$P$5:$P$500,"&gt;=101600")&gt;0,"X","")</f>
      </c>
      <c r="N98" s="56" t="str">
        <f>IF(COUNTIFS('LANÇAMENTOS DIÁRIOS'!$G$5:$G$500,"D",'LANÇAMENTOS DIÁRIOS'!$C$5:$C$500,$A98,'LANÇAMENTOS DIÁRIOS'!$O$5:$O$500,"&lt;=101799",'LANÇAMENTOS DIÁRIOS'!$P$5:$P$500,"&gt;=101700")&gt;0,"X","")</f>
      </c>
      <c r="O98" s="56" t="str">
        <f>IF(COUNTIFS('LANÇAMENTOS DIÁRIOS'!$G$5:$G$500,"D",'LANÇAMENTOS DIÁRIOS'!$C$5:$C$500,$A98,'LANÇAMENTOS DIÁRIOS'!$O$5:$O$500,"&lt;=101899",'LANÇAMENTOS DIÁRIOS'!$P$5:$P$500,"&gt;=101800")&gt;0,"X","")</f>
      </c>
      <c r="P98" s="56" t="str">
        <f>IF(COUNTIFS('LANÇAMENTOS DIÁRIOS'!$G$5:$G$500,"D",'LANÇAMENTOS DIÁRIOS'!$C$5:$C$500,$A98,'LANÇAMENTOS DIÁRIOS'!$O$5:$O$500,"&lt;=101999",'LANÇAMENTOS DIÁRIOS'!$P$5:$P$500,"&gt;=101900")&gt;0,"X","")</f>
      </c>
      <c r="Q98" s="56" t="str">
        <f>IF(COUNTIFS('LANÇAMENTOS DIÁRIOS'!$G$5:$G$500,"D",'LANÇAMENTOS DIÁRIOS'!$C$5:$C$500,$A98,'LANÇAMENTOS DIÁRIOS'!$O$5:$O$500,"&lt;=102099",'LANÇAMENTOS DIÁRIOS'!$P$5:$P$500,"&gt;=102000")&gt;0,"X","")</f>
      </c>
      <c r="R98" s="56" t="str">
        <f>IF(COUNTIFS('LANÇAMENTOS DIÁRIOS'!$G$5:$G$500,"D",'LANÇAMENTOS DIÁRIOS'!$C$5:$C$500,$A98,'LANÇAMENTOS DIÁRIOS'!$O$5:$O$500,"&lt;=102199",'LANÇAMENTOS DIÁRIOS'!$P$5:$P$500,"&gt;=102100")&gt;0,"X","")</f>
      </c>
      <c r="S98" s="56" t="str">
        <f>IF(COUNTIFS('LANÇAMENTOS DIÁRIOS'!$G$5:$G$500,"D",'LANÇAMENTOS DIÁRIOS'!$C$5:$C$500,$A98,'LANÇAMENTOS DIÁRIOS'!$O$5:$O$500,"&lt;=102299",'LANÇAMENTOS DIÁRIOS'!$P$5:$P$500,"&gt;=102200")&gt;0,"X","")</f>
      </c>
      <c r="T98" s="56" t="str">
        <f>IF(COUNTIFS('LANÇAMENTOS DIÁRIOS'!$G$5:$G$500,"D",'LANÇAMENTOS DIÁRIOS'!$C$5:$C$500,$A98,'LANÇAMENTOS DIÁRIOS'!$O$5:$O$500,"&lt;=102399",'LANÇAMENTOS DIÁRIOS'!$P$5:$P$500,"&gt;=102300")&gt;0,"X","")</f>
      </c>
      <c r="U98" s="56" t="str">
        <f>IF(COUNTIFS('LANÇAMENTOS DIÁRIOS'!$G$5:$G$500,"D",'LANÇAMENTOS DIÁRIOS'!$C$5:$C$500,$A98,'LANÇAMENTOS DIÁRIOS'!$O$5:$O$500,"&lt;=102499",'LANÇAMENTOS DIÁRIOS'!$P$5:$P$500,"&gt;=102400")&gt;0,"X","")</f>
      </c>
      <c r="V98" s="56" t="str">
        <f>IF(COUNTIFS('LANÇAMENTOS DIÁRIOS'!$G$5:$G$500,"D",'LANÇAMENTOS DIÁRIOS'!$C$5:$C$500,$A98,'LANÇAMENTOS DIÁRIOS'!$O$5:$O$500,"&lt;=102599",'LANÇAMENTOS DIÁRIOS'!$P$5:$P$500,"&gt;=102500")&gt;0,"X","")</f>
      </c>
      <c r="W98" s="56" t="str">
        <f>IF(COUNTIFS('LANÇAMENTOS DIÁRIOS'!$G$5:$G$500,"D",'LANÇAMENTOS DIÁRIOS'!$C$5:$C$500,$A98,'LANÇAMENTOS DIÁRIOS'!$O$5:$O$500,"&lt;=102699",'LANÇAMENTOS DIÁRIOS'!$P$5:$P$500,"&gt;=102600")&gt;0,"X","")</f>
      </c>
      <c r="X98" s="56" t="str">
        <f>IF(COUNTIFS('LANÇAMENTOS DIÁRIOS'!$G$5:$G$500,"D",'LANÇAMENTOS DIÁRIOS'!$C$5:$C$500,$A98,'LANÇAMENTOS DIÁRIOS'!$O$5:$O$500,"&lt;=102799",'LANÇAMENTOS DIÁRIOS'!$P$5:$P$500,"&gt;=102700")&gt;0,"X","")</f>
      </c>
      <c r="Y98" s="56" t="str">
        <f>IF(COUNTIFS('LANÇAMENTOS DIÁRIOS'!$G$5:$G$500,"D",'LANÇAMENTOS DIÁRIOS'!$C$5:$C$500,$A98,'LANÇAMENTOS DIÁRIOS'!$O$5:$O$500,"&lt;=102899",'LANÇAMENTOS DIÁRIOS'!$P$5:$P$500,"&gt;=102800")&gt;0,"X","")</f>
      </c>
      <c r="Z98" s="56" t="str">
        <f>IF(COUNTIFS('LANÇAMENTOS DIÁRIOS'!$G$5:$G$500,"D",'LANÇAMENTOS DIÁRIOS'!$C$5:$C$500,$A98,'LANÇAMENTOS DIÁRIOS'!$O$5:$O$500,"&lt;=102999",'LANÇAMENTOS DIÁRIOS'!$P$5:$P$500,"&gt;=102900")&gt;0,"X","")</f>
      </c>
      <c r="AA98" s="56" t="str">
        <f>IF(COUNTIFS('LANÇAMENTOS DIÁRIOS'!$G$5:$G$500,"D",'LANÇAMENTOS DIÁRIOS'!$C$5:$C$500,$A98,'LANÇAMENTOS DIÁRIOS'!$O$5:$O$500,"&lt;=103099",'LANÇAMENTOS DIÁRIOS'!$P$5:$P$500,"&gt;=103000")&gt;0,"X","")</f>
      </c>
      <c r="AB98" s="56" t="str">
        <f>IF(COUNTIFS('LANÇAMENTOS DIÁRIOS'!$G$5:$G$500,"D",'LANÇAMENTOS DIÁRIOS'!$C$5:$C$500,$A98,'LANÇAMENTOS DIÁRIOS'!$O$5:$O$500,"&lt;=103199",'LANÇAMENTOS DIÁRIOS'!$P$5:$P$500,"&gt;=103100")&gt;0,"X","")</f>
      </c>
      <c r="AC98" s="56" t="str">
        <f>IF(COUNTIFS('LANÇAMENTOS DIÁRIOS'!$G$5:$G$500,"D",'LANÇAMENTOS DIÁRIOS'!$C$5:$C$500,$A98,'LANÇAMENTOS DIÁRIOS'!$O$5:$O$500,"&lt;=103299",'LANÇAMENTOS DIÁRIOS'!$P$5:$P$500,"&gt;=103200")&gt;0,"X","")</f>
      </c>
      <c r="AD98" s="56" t="str">
        <f>IF(COUNTIFS('LANÇAMENTOS DIÁRIOS'!$G$5:$G$500,"D",'LANÇAMENTOS DIÁRIOS'!$C$5:$C$500,$A98,'LANÇAMENTOS DIÁRIOS'!$O$5:$O$500,"&lt;=103399",'LANÇAMENTOS DIÁRIOS'!$P$5:$P$500,"&gt;=103300")&gt;0,"X","")</f>
      </c>
      <c r="AE98" s="56" t="str">
        <f>IF(COUNTIFS('LANÇAMENTOS DIÁRIOS'!$G$5:$G$500,"D",'LANÇAMENTOS DIÁRIOS'!$C$5:$C$500,$A98,'LANÇAMENTOS DIÁRIOS'!$O$5:$O$500,"&lt;=103499",'LANÇAMENTOS DIÁRIOS'!$P$5:$P$500,"&gt;=103400")&gt;0,"X","")</f>
      </c>
      <c r="AF98" s="56" t="str">
        <f>IF(COUNTIFS('LANÇAMENTOS DIÁRIOS'!$G$5:$G$500,"D",'LANÇAMENTOS DIÁRIOS'!$C$5:$C$500,$A98,'LANÇAMENTOS DIÁRIOS'!$O$5:$O$500,"&lt;=103599",'LANÇAMENTOS DIÁRIOS'!$P$5:$P$500,"&gt;=103500")&gt;0,"X","")</f>
      </c>
      <c r="AG98" s="56" t="str">
        <f>IF(COUNTIFS('LANÇAMENTOS DIÁRIOS'!$G$5:$G$500,"D",'LANÇAMENTOS DIÁRIOS'!$C$5:$C$500,$A98,'LANÇAMENTOS DIÁRIOS'!$O$5:$O$500,"&lt;=103699",'LANÇAMENTOS DIÁRIOS'!$P$5:$P$500,"&gt;=103600")&gt;0,"X","")</f>
      </c>
      <c r="AH98" s="56" t="str">
        <f>IF(COUNTIFS('LANÇAMENTOS DIÁRIOS'!$G$5:$G$500,"D",'LANÇAMENTOS DIÁRIOS'!$C$5:$C$500,$A98,'LANÇAMENTOS DIÁRIOS'!$O$5:$O$500,"&lt;=103799",'LANÇAMENTOS DIÁRIOS'!$P$5:$P$500,"&gt;=103700")&gt;0,"X","")</f>
      </c>
      <c r="AI98" s="56" t="str">
        <f>IF(COUNTIFS('LANÇAMENTOS DIÁRIOS'!$G$5:$G$500,"D",'LANÇAMENTOS DIÁRIOS'!$C$5:$C$500,$A98,'LANÇAMENTOS DIÁRIOS'!$O$5:$O$500,"&lt;=103899",'LANÇAMENTOS DIÁRIOS'!$P$5:$P$500,"&gt;=103800")&gt;0,"X","")</f>
      </c>
      <c r="AJ98" s="56" t="str">
        <f>IF(COUNTIFS('LANÇAMENTOS DIÁRIOS'!$G$5:$G$500,"D",'LANÇAMENTOS DIÁRIOS'!$C$5:$C$500,$A98,'LANÇAMENTOS DIÁRIOS'!$O$5:$O$500,"&lt;=103999",'LANÇAMENTOS DIÁRIOS'!$P$5:$P$500,"&gt;=103900")&gt;0,"X","")</f>
      </c>
      <c r="AK98" s="56" t="str">
        <f>IF(COUNTIFS('LANÇAMENTOS DIÁRIOS'!$G$5:$G$500,"D",'LANÇAMENTOS DIÁRIOS'!$C$5:$C$500,$A98,'LANÇAMENTOS DIÁRIOS'!$O$5:$O$500,"&lt;=104099",'LANÇAMENTOS DIÁRIOS'!$P$5:$P$500,"&gt;=104000")&gt;0,"X","")</f>
      </c>
      <c r="AL98" s="56" t="str">
        <f>IF(COUNTIFS('LANÇAMENTOS DIÁRIOS'!$G$5:$G$500,"D",'LANÇAMENTOS DIÁRIOS'!$C$5:$C$500,$A98,'LANÇAMENTOS DIÁRIOS'!$O$5:$O$500,"&lt;=104199",'LANÇAMENTOS DIÁRIOS'!$P$5:$P$500,"&gt;=104100")&gt;0,"X","")</f>
      </c>
      <c r="AM98" s="56" t="str">
        <f>IF(COUNTIFS('LANÇAMENTOS DIÁRIOS'!$G$5:$G$500,"D",'LANÇAMENTOS DIÁRIOS'!$C$5:$C$500,$A98,'LANÇAMENTOS DIÁRIOS'!$O$5:$O$500,"&lt;=104299",'LANÇAMENTOS DIÁRIOS'!$P$5:$P$500,"&gt;=104200")&gt;0,"X","")</f>
      </c>
      <c r="AN98" s="56" t="str">
        <f>IF(COUNTIFS('LANÇAMENTOS DIÁRIOS'!$G$5:$G$500,"D",'LANÇAMENTOS DIÁRIOS'!$C$5:$C$500,$A98,'LANÇAMENTOS DIÁRIOS'!$O$5:$O$500,"&lt;=104399",'LANÇAMENTOS DIÁRIOS'!$P$5:$P$500,"&gt;=104300")&gt;0,"X","")</f>
      </c>
      <c r="AO98" s="56" t="str">
        <f>IF(COUNTIFS('LANÇAMENTOS DIÁRIOS'!$G$5:$G$500,"D",'LANÇAMENTOS DIÁRIOS'!$C$5:$C$500,$A98,'LANÇAMENTOS DIÁRIOS'!$O$5:$O$500,"&lt;=104499",'LANÇAMENTOS DIÁRIOS'!$P$5:$P$500,"&gt;=104400")&gt;0,"X","")</f>
      </c>
      <c r="AP98" s="56" t="str">
        <f>IF(COUNTIFS('LANÇAMENTOS DIÁRIOS'!$G$5:$G$500,"D",'LANÇAMENTOS DIÁRIOS'!$C$5:$C$500,$A98,'LANÇAMENTOS DIÁRIOS'!$O$5:$O$500,"&lt;=104599",'LANÇAMENTOS DIÁRIOS'!$P$5:$P$500,"&gt;=104500")&gt;0,"X","")</f>
      </c>
      <c r="AQ98" s="56" t="str">
        <f>IF(COUNTIFS('LANÇAMENTOS DIÁRIOS'!$G$5:$G$500,"D",'LANÇAMENTOS DIÁRIOS'!$C$5:$C$500,$A98,'LANÇAMENTOS DIÁRIOS'!$O$5:$O$500,"&lt;=104699",'LANÇAMENTOS DIÁRIOS'!$P$5:$P$500,"&gt;=104600")&gt;0,"X","")</f>
      </c>
      <c r="AR98" s="56" t="str">
        <f>IF(COUNTIFS('LANÇAMENTOS DIÁRIOS'!$G$5:$G$500,"D",'LANÇAMENTOS DIÁRIOS'!$C$5:$C$500,$A98,'LANÇAMENTOS DIÁRIOS'!$O$5:$O$500,"&lt;=104799",'LANÇAMENTOS DIÁRIOS'!$P$5:$P$500,"&gt;=104700")&gt;0,"X","")</f>
      </c>
      <c r="AS98" s="56" t="str">
        <f>IF(COUNTIFS('LANÇAMENTOS DIÁRIOS'!$G$5:$G$500,"D",'LANÇAMENTOS DIÁRIOS'!$C$5:$C$500,$A98,'LANÇAMENTOS DIÁRIOS'!$O$5:$O$500,"&lt;=104899",'LANÇAMENTOS DIÁRIOS'!$P$5:$P$500,"&gt;=104800")&gt;0,"X","")</f>
      </c>
      <c r="AT98" s="56" t="str">
        <f>IF(COUNTIFS('LANÇAMENTOS DIÁRIOS'!$G$5:$G$500,"D",'LANÇAMENTOS DIÁRIOS'!$C$5:$C$500,$A98,'LANÇAMENTOS DIÁRIOS'!$O$5:$O$500,"&lt;=104999",'LANÇAMENTOS DIÁRIOS'!$P$5:$P$500,"&gt;=104900")&gt;0,"X","")</f>
      </c>
      <c r="AU98" s="56" t="str">
        <f>IF(COUNTIFS('LANÇAMENTOS DIÁRIOS'!$G$5:$G$500,"D",'LANÇAMENTOS DIÁRIOS'!$C$5:$C$500,$A98,'LANÇAMENTOS DIÁRIOS'!$O$5:$O$500,"&lt;=105099",'LANÇAMENTOS DIÁRIOS'!$P$5:$P$500,"&gt;=105000")&gt;0,"X","")</f>
      </c>
      <c r="AV98" s="56" t="str">
        <f>IF(COUNTIFS('LANÇAMENTOS DIÁRIOS'!$G$5:$G$500,"D",'LANÇAMENTOS DIÁRIOS'!$C$5:$C$500,$A98,'LANÇAMENTOS DIÁRIOS'!$O$5:$O$500,"&lt;=105199",'LANÇAMENTOS DIÁRIOS'!$P$5:$P$500,"&gt;=105100")&gt;0,"X","")</f>
      </c>
      <c r="AW98" s="56" t="str">
        <f>IF(COUNTIFS('LANÇAMENTOS DIÁRIOS'!$G$5:$G$500,"D",'LANÇAMENTOS DIÁRIOS'!$C$5:$C$500,$A98,'LANÇAMENTOS DIÁRIOS'!$O$5:$O$500,"&lt;=105299",'LANÇAMENTOS DIÁRIOS'!$P$5:$P$500,"&gt;=105200")&gt;0,"X","")</f>
      </c>
      <c r="AX98" s="56" t="str">
        <f>IF(COUNTIFS('LANÇAMENTOS DIÁRIOS'!$G$5:$G$500,"D",'LANÇAMENTOS DIÁRIOS'!$C$5:$C$500,$A98,'LANÇAMENTOS DIÁRIOS'!$O$5:$O$500,"&lt;=105399",'LANÇAMENTOS DIÁRIOS'!$P$5:$P$500,"&gt;=105300")&gt;0,"X","")</f>
      </c>
      <c r="AY98" s="56" t="str">
        <f>IF(COUNTIFS('LANÇAMENTOS DIÁRIOS'!$G$5:$G$500,"D",'LANÇAMENTOS DIÁRIOS'!$C$5:$C$500,$A98,'LANÇAMENTOS DIÁRIOS'!$O$5:$O$500,"&lt;=105499",'LANÇAMENTOS DIÁRIOS'!$P$5:$P$500,"&gt;=105400")&gt;0,"X","")</f>
      </c>
      <c r="AZ98" s="56" t="str">
        <f>IF(COUNTIFS('LANÇAMENTOS DIÁRIOS'!$G$5:$G$500,"D",'LANÇAMENTOS DIÁRIOS'!$C$5:$C$500,$A98,'LANÇAMENTOS DIÁRIOS'!$O$5:$O$500,"&lt;=105500",'LANÇAMENTOS DIÁRIOS'!$P$5:$P$500,"&gt;=105500")&gt;0,"X","")</f>
      </c>
    </row>
    <row r="99" ht="21" customHeight="1">
      <c r="A99" s="60" t="str">
        <v>Obras complementares exigidas</v>
      </c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</row>
    <row r="100" ht="19" customHeight="1">
      <c r="A100" s="68" t="str">
        <v>Passagens de fauna e melhorias no habitat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</row>
    <row r="101">
      <c r="A101" s="51" t="str">
        <v>Passagem de fauna adaptada em bueiro</v>
      </c>
      <c r="B101" s="56" t="str">
        <f>IF(COUNTIFS('LANÇAMENTOS DIÁRIOS'!$G$5:$G$500,"D",'LANÇAMENTOS DIÁRIOS'!$C$5:$C$500,$A101,'LANÇAMENTOS DIÁRIOS'!$O$5:$O$500,"&lt;=100599",'LANÇAMENTOS DIÁRIOS'!$P$5:$P$500,"&gt;=100500")&gt;0,"X","")</f>
      </c>
      <c r="C101" s="56" t="str">
        <f>IF(COUNTIFS('LANÇAMENTOS DIÁRIOS'!$G$5:$G$500,"D",'LANÇAMENTOS DIÁRIOS'!$C$5:$C$500,$A101,'LANÇAMENTOS DIÁRIOS'!$O$5:$O$500,"&lt;=100699",'LANÇAMENTOS DIÁRIOS'!$P$5:$P$500,"&gt;=100600")&gt;0,"X","")</f>
      </c>
      <c r="D101" s="56" t="str">
        <f>IF(COUNTIFS('LANÇAMENTOS DIÁRIOS'!$G$5:$G$500,"D",'LANÇAMENTOS DIÁRIOS'!$C$5:$C$500,$A101,'LANÇAMENTOS DIÁRIOS'!$O$5:$O$500,"&lt;=100799",'LANÇAMENTOS DIÁRIOS'!$P$5:$P$500,"&gt;=100700")&gt;0,"X","")</f>
      </c>
      <c r="E101" s="56" t="str">
        <f>IF(COUNTIFS('LANÇAMENTOS DIÁRIOS'!$G$5:$G$500,"D",'LANÇAMENTOS DIÁRIOS'!$C$5:$C$500,$A101,'LANÇAMENTOS DIÁRIOS'!$O$5:$O$500,"&lt;=100899",'LANÇAMENTOS DIÁRIOS'!$P$5:$P$500,"&gt;=100800")&gt;0,"X","")</f>
      </c>
      <c r="F101" s="56" t="str">
        <f>IF(COUNTIFS('LANÇAMENTOS DIÁRIOS'!$G$5:$G$500,"D",'LANÇAMENTOS DIÁRIOS'!$C$5:$C$500,$A101,'LANÇAMENTOS DIÁRIOS'!$O$5:$O$500,"&lt;=100999",'LANÇAMENTOS DIÁRIOS'!$P$5:$P$500,"&gt;=100900")&gt;0,"X","")</f>
      </c>
      <c r="G101" s="56" t="str">
        <f>IF(COUNTIFS('LANÇAMENTOS DIÁRIOS'!$G$5:$G$500,"D",'LANÇAMENTOS DIÁRIOS'!$C$5:$C$500,$A101,'LANÇAMENTOS DIÁRIOS'!$O$5:$O$500,"&lt;=101099",'LANÇAMENTOS DIÁRIOS'!$P$5:$P$500,"&gt;=101000")&gt;0,"X","")</f>
      </c>
      <c r="H101" s="56" t="str">
        <f>IF(COUNTIFS('LANÇAMENTOS DIÁRIOS'!$G$5:$G$500,"D",'LANÇAMENTOS DIÁRIOS'!$C$5:$C$500,$A101,'LANÇAMENTOS DIÁRIOS'!$O$5:$O$500,"&lt;=101199",'LANÇAMENTOS DIÁRIOS'!$P$5:$P$500,"&gt;=101100")&gt;0,"X","")</f>
      </c>
      <c r="I101" s="56" t="str">
        <f>IF(COUNTIFS('LANÇAMENTOS DIÁRIOS'!$G$5:$G$500,"D",'LANÇAMENTOS DIÁRIOS'!$C$5:$C$500,$A101,'LANÇAMENTOS DIÁRIOS'!$O$5:$O$500,"&lt;=101299",'LANÇAMENTOS DIÁRIOS'!$P$5:$P$500,"&gt;=101200")&gt;0,"X","")</f>
      </c>
      <c r="J101" s="56" t="str">
        <f>IF(COUNTIFS('LANÇAMENTOS DIÁRIOS'!$G$5:$G$500,"D",'LANÇAMENTOS DIÁRIOS'!$C$5:$C$500,$A101,'LANÇAMENTOS DIÁRIOS'!$O$5:$O$500,"&lt;=101399",'LANÇAMENTOS DIÁRIOS'!$P$5:$P$500,"&gt;=101300")&gt;0,"X","")</f>
      </c>
      <c r="K101" s="56" t="str">
        <f>IF(COUNTIFS('LANÇAMENTOS DIÁRIOS'!$G$5:$G$500,"D",'LANÇAMENTOS DIÁRIOS'!$C$5:$C$500,$A101,'LANÇAMENTOS DIÁRIOS'!$O$5:$O$500,"&lt;=101499",'LANÇAMENTOS DIÁRIOS'!$P$5:$P$500,"&gt;=101400")&gt;0,"X","")</f>
      </c>
      <c r="L101" s="56" t="str">
        <f>IF(COUNTIFS('LANÇAMENTOS DIÁRIOS'!$G$5:$G$500,"D",'LANÇAMENTOS DIÁRIOS'!$C$5:$C$500,$A101,'LANÇAMENTOS DIÁRIOS'!$O$5:$O$500,"&lt;=101599",'LANÇAMENTOS DIÁRIOS'!$P$5:$P$500,"&gt;=101500")&gt;0,"X","")</f>
      </c>
      <c r="M101" s="56" t="str">
        <f>IF(COUNTIFS('LANÇAMENTOS DIÁRIOS'!$G$5:$G$500,"D",'LANÇAMENTOS DIÁRIOS'!$C$5:$C$500,$A101,'LANÇAMENTOS DIÁRIOS'!$O$5:$O$500,"&lt;=101699",'LANÇAMENTOS DIÁRIOS'!$P$5:$P$500,"&gt;=101600")&gt;0,"X","")</f>
      </c>
      <c r="N101" s="56" t="str">
        <f>IF(COUNTIFS('LANÇAMENTOS DIÁRIOS'!$G$5:$G$500,"D",'LANÇAMENTOS DIÁRIOS'!$C$5:$C$500,$A101,'LANÇAMENTOS DIÁRIOS'!$O$5:$O$500,"&lt;=101799",'LANÇAMENTOS DIÁRIOS'!$P$5:$P$500,"&gt;=101700")&gt;0,"X","")</f>
      </c>
      <c r="O101" s="56" t="str">
        <f>IF(COUNTIFS('LANÇAMENTOS DIÁRIOS'!$G$5:$G$500,"D",'LANÇAMENTOS DIÁRIOS'!$C$5:$C$500,$A101,'LANÇAMENTOS DIÁRIOS'!$O$5:$O$500,"&lt;=101899",'LANÇAMENTOS DIÁRIOS'!$P$5:$P$500,"&gt;=101800")&gt;0,"X","")</f>
      </c>
      <c r="P101" s="56" t="str">
        <f>IF(COUNTIFS('LANÇAMENTOS DIÁRIOS'!$G$5:$G$500,"D",'LANÇAMENTOS DIÁRIOS'!$C$5:$C$500,$A101,'LANÇAMENTOS DIÁRIOS'!$O$5:$O$500,"&lt;=101999",'LANÇAMENTOS DIÁRIOS'!$P$5:$P$500,"&gt;=101900")&gt;0,"X","")</f>
      </c>
      <c r="Q101" s="56" t="str">
        <f>IF(COUNTIFS('LANÇAMENTOS DIÁRIOS'!$G$5:$G$500,"D",'LANÇAMENTOS DIÁRIOS'!$C$5:$C$500,$A101,'LANÇAMENTOS DIÁRIOS'!$O$5:$O$500,"&lt;=102099",'LANÇAMENTOS DIÁRIOS'!$P$5:$P$500,"&gt;=102000")&gt;0,"X","")</f>
      </c>
      <c r="R101" s="56" t="str">
        <f>IF(COUNTIFS('LANÇAMENTOS DIÁRIOS'!$G$5:$G$500,"D",'LANÇAMENTOS DIÁRIOS'!$C$5:$C$500,$A101,'LANÇAMENTOS DIÁRIOS'!$O$5:$O$500,"&lt;=102199",'LANÇAMENTOS DIÁRIOS'!$P$5:$P$500,"&gt;=102100")&gt;0,"X","")</f>
      </c>
      <c r="S101" s="56" t="str">
        <f>IF(COUNTIFS('LANÇAMENTOS DIÁRIOS'!$G$5:$G$500,"D",'LANÇAMENTOS DIÁRIOS'!$C$5:$C$500,$A101,'LANÇAMENTOS DIÁRIOS'!$O$5:$O$500,"&lt;=102299",'LANÇAMENTOS DIÁRIOS'!$P$5:$P$500,"&gt;=102200")&gt;0,"X","")</f>
      </c>
      <c r="T101" s="56" t="str">
        <f>IF(COUNTIFS('LANÇAMENTOS DIÁRIOS'!$G$5:$G$500,"D",'LANÇAMENTOS DIÁRIOS'!$C$5:$C$500,$A101,'LANÇAMENTOS DIÁRIOS'!$O$5:$O$500,"&lt;=102399",'LANÇAMENTOS DIÁRIOS'!$P$5:$P$500,"&gt;=102300")&gt;0,"X","")</f>
      </c>
      <c r="U101" s="56" t="str">
        <f>IF(COUNTIFS('LANÇAMENTOS DIÁRIOS'!$G$5:$G$500,"D",'LANÇAMENTOS DIÁRIOS'!$C$5:$C$500,$A101,'LANÇAMENTOS DIÁRIOS'!$O$5:$O$500,"&lt;=102499",'LANÇAMENTOS DIÁRIOS'!$P$5:$P$500,"&gt;=102400")&gt;0,"X","")</f>
      </c>
      <c r="V101" s="56" t="str">
        <f>IF(COUNTIFS('LANÇAMENTOS DIÁRIOS'!$G$5:$G$500,"D",'LANÇAMENTOS DIÁRIOS'!$C$5:$C$500,$A101,'LANÇAMENTOS DIÁRIOS'!$O$5:$O$500,"&lt;=102599",'LANÇAMENTOS DIÁRIOS'!$P$5:$P$500,"&gt;=102500")&gt;0,"X","")</f>
      </c>
      <c r="W101" s="56" t="str">
        <f>IF(COUNTIFS('LANÇAMENTOS DIÁRIOS'!$G$5:$G$500,"D",'LANÇAMENTOS DIÁRIOS'!$C$5:$C$500,$A101,'LANÇAMENTOS DIÁRIOS'!$O$5:$O$500,"&lt;=102699",'LANÇAMENTOS DIÁRIOS'!$P$5:$P$500,"&gt;=102600")&gt;0,"X","")</f>
      </c>
      <c r="X101" s="56" t="str">
        <f>IF(COUNTIFS('LANÇAMENTOS DIÁRIOS'!$G$5:$G$500,"D",'LANÇAMENTOS DIÁRIOS'!$C$5:$C$500,$A101,'LANÇAMENTOS DIÁRIOS'!$O$5:$O$500,"&lt;=102799",'LANÇAMENTOS DIÁRIOS'!$P$5:$P$500,"&gt;=102700")&gt;0,"X","")</f>
      </c>
      <c r="Y101" s="56" t="str">
        <f>IF(COUNTIFS('LANÇAMENTOS DIÁRIOS'!$G$5:$G$500,"D",'LANÇAMENTOS DIÁRIOS'!$C$5:$C$500,$A101,'LANÇAMENTOS DIÁRIOS'!$O$5:$O$500,"&lt;=102899",'LANÇAMENTOS DIÁRIOS'!$P$5:$P$500,"&gt;=102800")&gt;0,"X","")</f>
      </c>
      <c r="Z101" s="56" t="str">
        <f>IF(COUNTIFS('LANÇAMENTOS DIÁRIOS'!$G$5:$G$500,"D",'LANÇAMENTOS DIÁRIOS'!$C$5:$C$500,$A101,'LANÇAMENTOS DIÁRIOS'!$O$5:$O$500,"&lt;=102999",'LANÇAMENTOS DIÁRIOS'!$P$5:$P$500,"&gt;=102900")&gt;0,"X","")</f>
      </c>
      <c r="AA101" s="56" t="str">
        <f>IF(COUNTIFS('LANÇAMENTOS DIÁRIOS'!$G$5:$G$500,"D",'LANÇAMENTOS DIÁRIOS'!$C$5:$C$500,$A101,'LANÇAMENTOS DIÁRIOS'!$O$5:$O$500,"&lt;=103099",'LANÇAMENTOS DIÁRIOS'!$P$5:$P$500,"&gt;=103000")&gt;0,"X","")</f>
      </c>
      <c r="AB101" s="56" t="str">
        <f>IF(COUNTIFS('LANÇAMENTOS DIÁRIOS'!$G$5:$G$500,"D",'LANÇAMENTOS DIÁRIOS'!$C$5:$C$500,$A101,'LANÇAMENTOS DIÁRIOS'!$O$5:$O$500,"&lt;=103199",'LANÇAMENTOS DIÁRIOS'!$P$5:$P$500,"&gt;=103100")&gt;0,"X","")</f>
      </c>
      <c r="AC101" s="56" t="str">
        <f>IF(COUNTIFS('LANÇAMENTOS DIÁRIOS'!$G$5:$G$500,"D",'LANÇAMENTOS DIÁRIOS'!$C$5:$C$500,$A101,'LANÇAMENTOS DIÁRIOS'!$O$5:$O$500,"&lt;=103299",'LANÇAMENTOS DIÁRIOS'!$P$5:$P$500,"&gt;=103200")&gt;0,"X","")</f>
      </c>
      <c r="AD101" s="56" t="str">
        <f>IF(COUNTIFS('LANÇAMENTOS DIÁRIOS'!$G$5:$G$500,"D",'LANÇAMENTOS DIÁRIOS'!$C$5:$C$500,$A101,'LANÇAMENTOS DIÁRIOS'!$O$5:$O$500,"&lt;=103399",'LANÇAMENTOS DIÁRIOS'!$P$5:$P$500,"&gt;=103300")&gt;0,"X","")</f>
      </c>
      <c r="AE101" s="56" t="str">
        <f>IF(COUNTIFS('LANÇAMENTOS DIÁRIOS'!$G$5:$G$500,"D",'LANÇAMENTOS DIÁRIOS'!$C$5:$C$500,$A101,'LANÇAMENTOS DIÁRIOS'!$O$5:$O$500,"&lt;=103499",'LANÇAMENTOS DIÁRIOS'!$P$5:$P$500,"&gt;=103400")&gt;0,"X","")</f>
      </c>
      <c r="AF101" s="56" t="str">
        <f>IF(COUNTIFS('LANÇAMENTOS DIÁRIOS'!$G$5:$G$500,"D",'LANÇAMENTOS DIÁRIOS'!$C$5:$C$500,$A101,'LANÇAMENTOS DIÁRIOS'!$O$5:$O$500,"&lt;=103599",'LANÇAMENTOS DIÁRIOS'!$P$5:$P$500,"&gt;=103500")&gt;0,"X","")</f>
      </c>
      <c r="AG101" s="56" t="str">
        <f>IF(COUNTIFS('LANÇAMENTOS DIÁRIOS'!$G$5:$G$500,"D",'LANÇAMENTOS DIÁRIOS'!$C$5:$C$500,$A101,'LANÇAMENTOS DIÁRIOS'!$O$5:$O$500,"&lt;=103699",'LANÇAMENTOS DIÁRIOS'!$P$5:$P$500,"&gt;=103600")&gt;0,"X","")</f>
      </c>
      <c r="AH101" s="56" t="str">
        <f>IF(COUNTIFS('LANÇAMENTOS DIÁRIOS'!$G$5:$G$500,"D",'LANÇAMENTOS DIÁRIOS'!$C$5:$C$500,$A101,'LANÇAMENTOS DIÁRIOS'!$O$5:$O$500,"&lt;=103799",'LANÇAMENTOS DIÁRIOS'!$P$5:$P$500,"&gt;=103700")&gt;0,"X","")</f>
      </c>
      <c r="AI101" s="56" t="str">
        <f>IF(COUNTIFS('LANÇAMENTOS DIÁRIOS'!$G$5:$G$500,"D",'LANÇAMENTOS DIÁRIOS'!$C$5:$C$500,$A101,'LANÇAMENTOS DIÁRIOS'!$O$5:$O$500,"&lt;=103899",'LANÇAMENTOS DIÁRIOS'!$P$5:$P$500,"&gt;=103800")&gt;0,"X","")</f>
      </c>
      <c r="AJ101" s="56" t="str">
        <f>IF(COUNTIFS('LANÇAMENTOS DIÁRIOS'!$G$5:$G$500,"D",'LANÇAMENTOS DIÁRIOS'!$C$5:$C$500,$A101,'LANÇAMENTOS DIÁRIOS'!$O$5:$O$500,"&lt;=103999",'LANÇAMENTOS DIÁRIOS'!$P$5:$P$500,"&gt;=103900")&gt;0,"X","")</f>
      </c>
      <c r="AK101" s="56" t="str">
        <f>IF(COUNTIFS('LANÇAMENTOS DIÁRIOS'!$G$5:$G$500,"D",'LANÇAMENTOS DIÁRIOS'!$C$5:$C$500,$A101,'LANÇAMENTOS DIÁRIOS'!$O$5:$O$500,"&lt;=104099",'LANÇAMENTOS DIÁRIOS'!$P$5:$P$500,"&gt;=104000")&gt;0,"X","")</f>
      </c>
      <c r="AL101" s="56" t="str">
        <f>IF(COUNTIFS('LANÇAMENTOS DIÁRIOS'!$G$5:$G$500,"D",'LANÇAMENTOS DIÁRIOS'!$C$5:$C$500,$A101,'LANÇAMENTOS DIÁRIOS'!$O$5:$O$500,"&lt;=104199",'LANÇAMENTOS DIÁRIOS'!$P$5:$P$500,"&gt;=104100")&gt;0,"X","")</f>
      </c>
      <c r="AM101" s="56" t="str">
        <f>IF(COUNTIFS('LANÇAMENTOS DIÁRIOS'!$G$5:$G$500,"D",'LANÇAMENTOS DIÁRIOS'!$C$5:$C$500,$A101,'LANÇAMENTOS DIÁRIOS'!$O$5:$O$500,"&lt;=104299",'LANÇAMENTOS DIÁRIOS'!$P$5:$P$500,"&gt;=104200")&gt;0,"X","")</f>
      </c>
      <c r="AN101" s="56" t="str">
        <f>IF(COUNTIFS('LANÇAMENTOS DIÁRIOS'!$G$5:$G$500,"D",'LANÇAMENTOS DIÁRIOS'!$C$5:$C$500,$A101,'LANÇAMENTOS DIÁRIOS'!$O$5:$O$500,"&lt;=104399",'LANÇAMENTOS DIÁRIOS'!$P$5:$P$500,"&gt;=104300")&gt;0,"X","")</f>
      </c>
      <c r="AO101" s="56" t="str">
        <f>IF(COUNTIFS('LANÇAMENTOS DIÁRIOS'!$G$5:$G$500,"D",'LANÇAMENTOS DIÁRIOS'!$C$5:$C$500,$A101,'LANÇAMENTOS DIÁRIOS'!$O$5:$O$500,"&lt;=104499",'LANÇAMENTOS DIÁRIOS'!$P$5:$P$500,"&gt;=104400")&gt;0,"X","")</f>
      </c>
      <c r="AP101" s="56" t="str">
        <f>IF(COUNTIFS('LANÇAMENTOS DIÁRIOS'!$G$5:$G$500,"D",'LANÇAMENTOS DIÁRIOS'!$C$5:$C$500,$A101,'LANÇAMENTOS DIÁRIOS'!$O$5:$O$500,"&lt;=104599",'LANÇAMENTOS DIÁRIOS'!$P$5:$P$500,"&gt;=104500")&gt;0,"X","")</f>
      </c>
      <c r="AQ101" s="56" t="str">
        <f>IF(COUNTIFS('LANÇAMENTOS DIÁRIOS'!$G$5:$G$500,"D",'LANÇAMENTOS DIÁRIOS'!$C$5:$C$500,$A101,'LANÇAMENTOS DIÁRIOS'!$O$5:$O$500,"&lt;=104699",'LANÇAMENTOS DIÁRIOS'!$P$5:$P$500,"&gt;=104600")&gt;0,"X","")</f>
      </c>
      <c r="AR101" s="56" t="str">
        <f>IF(COUNTIFS('LANÇAMENTOS DIÁRIOS'!$G$5:$G$500,"D",'LANÇAMENTOS DIÁRIOS'!$C$5:$C$500,$A101,'LANÇAMENTOS DIÁRIOS'!$O$5:$O$500,"&lt;=104799",'LANÇAMENTOS DIÁRIOS'!$P$5:$P$500,"&gt;=104700")&gt;0,"X","")</f>
      </c>
      <c r="AS101" s="56" t="str">
        <f>IF(COUNTIFS('LANÇAMENTOS DIÁRIOS'!$G$5:$G$500,"D",'LANÇAMENTOS DIÁRIOS'!$C$5:$C$500,$A101,'LANÇAMENTOS DIÁRIOS'!$O$5:$O$500,"&lt;=104899",'LANÇAMENTOS DIÁRIOS'!$P$5:$P$500,"&gt;=104800")&gt;0,"X","")</f>
      </c>
      <c r="AT101" s="56" t="str">
        <f>IF(COUNTIFS('LANÇAMENTOS DIÁRIOS'!$G$5:$G$500,"D",'LANÇAMENTOS DIÁRIOS'!$C$5:$C$500,$A101,'LANÇAMENTOS DIÁRIOS'!$O$5:$O$500,"&lt;=104999",'LANÇAMENTOS DIÁRIOS'!$P$5:$P$500,"&gt;=104900")&gt;0,"X","")</f>
      </c>
      <c r="AU101" s="56" t="str">
        <f>IF(COUNTIFS('LANÇAMENTOS DIÁRIOS'!$G$5:$G$500,"D",'LANÇAMENTOS DIÁRIOS'!$C$5:$C$500,$A101,'LANÇAMENTOS DIÁRIOS'!$O$5:$O$500,"&lt;=105099",'LANÇAMENTOS DIÁRIOS'!$P$5:$P$500,"&gt;=105000")&gt;0,"X","")</f>
      </c>
      <c r="AV101" s="56" t="str">
        <f>IF(COUNTIFS('LANÇAMENTOS DIÁRIOS'!$G$5:$G$500,"D",'LANÇAMENTOS DIÁRIOS'!$C$5:$C$500,$A101,'LANÇAMENTOS DIÁRIOS'!$O$5:$O$500,"&lt;=105199",'LANÇAMENTOS DIÁRIOS'!$P$5:$P$500,"&gt;=105100")&gt;0,"X","")</f>
      </c>
      <c r="AW101" s="56" t="str">
        <f>IF(COUNTIFS('LANÇAMENTOS DIÁRIOS'!$G$5:$G$500,"D",'LANÇAMENTOS DIÁRIOS'!$C$5:$C$500,$A101,'LANÇAMENTOS DIÁRIOS'!$O$5:$O$500,"&lt;=105299",'LANÇAMENTOS DIÁRIOS'!$P$5:$P$500,"&gt;=105200")&gt;0,"X","")</f>
      </c>
      <c r="AX101" s="56" t="str">
        <f>IF(COUNTIFS('LANÇAMENTOS DIÁRIOS'!$G$5:$G$500,"D",'LANÇAMENTOS DIÁRIOS'!$C$5:$C$500,$A101,'LANÇAMENTOS DIÁRIOS'!$O$5:$O$500,"&lt;=105399",'LANÇAMENTOS DIÁRIOS'!$P$5:$P$500,"&gt;=105300")&gt;0,"X","")</f>
      </c>
      <c r="AY101" s="56" t="str">
        <f>IF(COUNTIFS('LANÇAMENTOS DIÁRIOS'!$G$5:$G$500,"D",'LANÇAMENTOS DIÁRIOS'!$C$5:$C$500,$A101,'LANÇAMENTOS DIÁRIOS'!$O$5:$O$500,"&lt;=105499",'LANÇAMENTOS DIÁRIOS'!$P$5:$P$500,"&gt;=105400")&gt;0,"X","")</f>
      </c>
      <c r="AZ101" s="56" t="str">
        <f>IF(COUNTIFS('LANÇAMENTOS DIÁRIOS'!$G$5:$G$500,"D",'LANÇAMENTOS DIÁRIOS'!$C$5:$C$500,$A101,'LANÇAMENTOS DIÁRIOS'!$O$5:$O$500,"&lt;=105500",'LANÇAMENTOS DIÁRIOS'!$P$5:$P$500,"&gt;=105500")&gt;0,"X","")</f>
      </c>
    </row>
    <row r="102" ht="21" customHeight="1">
      <c r="A102" s="60" t="str">
        <v>Segurança viária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</row>
    <row r="103" ht="19" customHeight="1">
      <c r="A103" s="68" t="str">
        <v>Instalação de barreira de concreto</v>
      </c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</row>
    <row r="104">
      <c r="A104" s="51" t="str">
        <v>Barreira rígida dupla baixa</v>
      </c>
      <c r="B104" s="56" t="str">
        <f>IF(COUNTIFS('LANÇAMENTOS DIÁRIOS'!$G$5:$G$500,"D",'LANÇAMENTOS DIÁRIOS'!$C$5:$C$500,$A104,'LANÇAMENTOS DIÁRIOS'!$O$5:$O$500,"&lt;=100599",'LANÇAMENTOS DIÁRIOS'!$P$5:$P$500,"&gt;=100500")&gt;0,"X","")</f>
      </c>
      <c r="C104" s="56" t="str">
        <f>IF(COUNTIFS('LANÇAMENTOS DIÁRIOS'!$G$5:$G$500,"D",'LANÇAMENTOS DIÁRIOS'!$C$5:$C$500,$A104,'LANÇAMENTOS DIÁRIOS'!$O$5:$O$500,"&lt;=100699",'LANÇAMENTOS DIÁRIOS'!$P$5:$P$500,"&gt;=100600")&gt;0,"X","")</f>
      </c>
      <c r="D104" s="56" t="str">
        <f>IF(COUNTIFS('LANÇAMENTOS DIÁRIOS'!$G$5:$G$500,"D",'LANÇAMENTOS DIÁRIOS'!$C$5:$C$500,$A104,'LANÇAMENTOS DIÁRIOS'!$O$5:$O$500,"&lt;=100799",'LANÇAMENTOS DIÁRIOS'!$P$5:$P$500,"&gt;=100700")&gt;0,"X","")</f>
      </c>
      <c r="E104" s="56" t="str">
        <f>IF(COUNTIFS('LANÇAMENTOS DIÁRIOS'!$G$5:$G$500,"D",'LANÇAMENTOS DIÁRIOS'!$C$5:$C$500,$A104,'LANÇAMENTOS DIÁRIOS'!$O$5:$O$500,"&lt;=100899",'LANÇAMENTOS DIÁRIOS'!$P$5:$P$500,"&gt;=100800")&gt;0,"X","")</f>
      </c>
      <c r="F104" s="56" t="str">
        <f>IF(COUNTIFS('LANÇAMENTOS DIÁRIOS'!$G$5:$G$500,"D",'LANÇAMENTOS DIÁRIOS'!$C$5:$C$500,$A104,'LANÇAMENTOS DIÁRIOS'!$O$5:$O$500,"&lt;=100999",'LANÇAMENTOS DIÁRIOS'!$P$5:$P$500,"&gt;=100900")&gt;0,"X","")</f>
      </c>
      <c r="G104" s="56" t="str">
        <f>IF(COUNTIFS('LANÇAMENTOS DIÁRIOS'!$G$5:$G$500,"D",'LANÇAMENTOS DIÁRIOS'!$C$5:$C$500,$A104,'LANÇAMENTOS DIÁRIOS'!$O$5:$O$500,"&lt;=101099",'LANÇAMENTOS DIÁRIOS'!$P$5:$P$500,"&gt;=101000")&gt;0,"X","")</f>
      </c>
      <c r="H104" s="56" t="str">
        <f>IF(COUNTIFS('LANÇAMENTOS DIÁRIOS'!$G$5:$G$500,"D",'LANÇAMENTOS DIÁRIOS'!$C$5:$C$500,$A104,'LANÇAMENTOS DIÁRIOS'!$O$5:$O$500,"&lt;=101199",'LANÇAMENTOS DIÁRIOS'!$P$5:$P$500,"&gt;=101100")&gt;0,"X","")</f>
      </c>
      <c r="I104" s="56" t="str">
        <f>IF(COUNTIFS('LANÇAMENTOS DIÁRIOS'!$G$5:$G$500,"D",'LANÇAMENTOS DIÁRIOS'!$C$5:$C$500,$A104,'LANÇAMENTOS DIÁRIOS'!$O$5:$O$500,"&lt;=101299",'LANÇAMENTOS DIÁRIOS'!$P$5:$P$500,"&gt;=101200")&gt;0,"X","")</f>
      </c>
      <c r="J104" s="56" t="str">
        <f>IF(COUNTIFS('LANÇAMENTOS DIÁRIOS'!$G$5:$G$500,"D",'LANÇAMENTOS DIÁRIOS'!$C$5:$C$500,$A104,'LANÇAMENTOS DIÁRIOS'!$O$5:$O$500,"&lt;=101399",'LANÇAMENTOS DIÁRIOS'!$P$5:$P$500,"&gt;=101300")&gt;0,"X","")</f>
      </c>
      <c r="K104" s="56" t="str">
        <f>IF(COUNTIFS('LANÇAMENTOS DIÁRIOS'!$G$5:$G$500,"D",'LANÇAMENTOS DIÁRIOS'!$C$5:$C$500,$A104,'LANÇAMENTOS DIÁRIOS'!$O$5:$O$500,"&lt;=101499",'LANÇAMENTOS DIÁRIOS'!$P$5:$P$500,"&gt;=101400")&gt;0,"X","")</f>
      </c>
      <c r="L104" s="56" t="str">
        <f>IF(COUNTIFS('LANÇAMENTOS DIÁRIOS'!$G$5:$G$500,"D",'LANÇAMENTOS DIÁRIOS'!$C$5:$C$500,$A104,'LANÇAMENTOS DIÁRIOS'!$O$5:$O$500,"&lt;=101599",'LANÇAMENTOS DIÁRIOS'!$P$5:$P$500,"&gt;=101500")&gt;0,"X","")</f>
      </c>
      <c r="M104" s="56" t="str">
        <f>IF(COUNTIFS('LANÇAMENTOS DIÁRIOS'!$G$5:$G$500,"D",'LANÇAMENTOS DIÁRIOS'!$C$5:$C$500,$A104,'LANÇAMENTOS DIÁRIOS'!$O$5:$O$500,"&lt;=101699",'LANÇAMENTOS DIÁRIOS'!$P$5:$P$500,"&gt;=101600")&gt;0,"X","")</f>
      </c>
      <c r="N104" s="56" t="str">
        <f>IF(COUNTIFS('LANÇAMENTOS DIÁRIOS'!$G$5:$G$500,"D",'LANÇAMENTOS DIÁRIOS'!$C$5:$C$500,$A104,'LANÇAMENTOS DIÁRIOS'!$O$5:$O$500,"&lt;=101799",'LANÇAMENTOS DIÁRIOS'!$P$5:$P$500,"&gt;=101700")&gt;0,"X","")</f>
      </c>
      <c r="O104" s="56" t="str">
        <f>IF(COUNTIFS('LANÇAMENTOS DIÁRIOS'!$G$5:$G$500,"D",'LANÇAMENTOS DIÁRIOS'!$C$5:$C$500,$A104,'LANÇAMENTOS DIÁRIOS'!$O$5:$O$500,"&lt;=101899",'LANÇAMENTOS DIÁRIOS'!$P$5:$P$500,"&gt;=101800")&gt;0,"X","")</f>
      </c>
      <c r="P104" s="56" t="str">
        <f>IF(COUNTIFS('LANÇAMENTOS DIÁRIOS'!$G$5:$G$500,"D",'LANÇAMENTOS DIÁRIOS'!$C$5:$C$500,$A104,'LANÇAMENTOS DIÁRIOS'!$O$5:$O$500,"&lt;=101999",'LANÇAMENTOS DIÁRIOS'!$P$5:$P$500,"&gt;=101900")&gt;0,"X","")</f>
      </c>
      <c r="Q104" s="56" t="str">
        <f>IF(COUNTIFS('LANÇAMENTOS DIÁRIOS'!$G$5:$G$500,"D",'LANÇAMENTOS DIÁRIOS'!$C$5:$C$500,$A104,'LANÇAMENTOS DIÁRIOS'!$O$5:$O$500,"&lt;=102099",'LANÇAMENTOS DIÁRIOS'!$P$5:$P$500,"&gt;=102000")&gt;0,"X","")</f>
      </c>
      <c r="R104" s="56" t="str">
        <f>IF(COUNTIFS('LANÇAMENTOS DIÁRIOS'!$G$5:$G$500,"D",'LANÇAMENTOS DIÁRIOS'!$C$5:$C$500,$A104,'LANÇAMENTOS DIÁRIOS'!$O$5:$O$500,"&lt;=102199",'LANÇAMENTOS DIÁRIOS'!$P$5:$P$500,"&gt;=102100")&gt;0,"X","")</f>
      </c>
      <c r="S104" s="56" t="str">
        <f>IF(COUNTIFS('LANÇAMENTOS DIÁRIOS'!$G$5:$G$500,"D",'LANÇAMENTOS DIÁRIOS'!$C$5:$C$500,$A104,'LANÇAMENTOS DIÁRIOS'!$O$5:$O$500,"&lt;=102299",'LANÇAMENTOS DIÁRIOS'!$P$5:$P$500,"&gt;=102200")&gt;0,"X","")</f>
      </c>
      <c r="T104" s="56" t="str">
        <f>IF(COUNTIFS('LANÇAMENTOS DIÁRIOS'!$G$5:$G$500,"D",'LANÇAMENTOS DIÁRIOS'!$C$5:$C$500,$A104,'LANÇAMENTOS DIÁRIOS'!$O$5:$O$500,"&lt;=102399",'LANÇAMENTOS DIÁRIOS'!$P$5:$P$500,"&gt;=102300")&gt;0,"X","")</f>
      </c>
      <c r="U104" s="56" t="str">
        <f>IF(COUNTIFS('LANÇAMENTOS DIÁRIOS'!$G$5:$G$500,"D",'LANÇAMENTOS DIÁRIOS'!$C$5:$C$500,$A104,'LANÇAMENTOS DIÁRIOS'!$O$5:$O$500,"&lt;=102499",'LANÇAMENTOS DIÁRIOS'!$P$5:$P$500,"&gt;=102400")&gt;0,"X","")</f>
      </c>
      <c r="V104" s="56" t="str">
        <f>IF(COUNTIFS('LANÇAMENTOS DIÁRIOS'!$G$5:$G$500,"D",'LANÇAMENTOS DIÁRIOS'!$C$5:$C$500,$A104,'LANÇAMENTOS DIÁRIOS'!$O$5:$O$500,"&lt;=102599",'LANÇAMENTOS DIÁRIOS'!$P$5:$P$500,"&gt;=102500")&gt;0,"X","")</f>
      </c>
      <c r="W104" s="56" t="str">
        <f>IF(COUNTIFS('LANÇAMENTOS DIÁRIOS'!$G$5:$G$500,"D",'LANÇAMENTOS DIÁRIOS'!$C$5:$C$500,$A104,'LANÇAMENTOS DIÁRIOS'!$O$5:$O$500,"&lt;=102699",'LANÇAMENTOS DIÁRIOS'!$P$5:$P$500,"&gt;=102600")&gt;0,"X","")</f>
      </c>
      <c r="X104" s="56" t="str">
        <f>IF(COUNTIFS('LANÇAMENTOS DIÁRIOS'!$G$5:$G$500,"D",'LANÇAMENTOS DIÁRIOS'!$C$5:$C$500,$A104,'LANÇAMENTOS DIÁRIOS'!$O$5:$O$500,"&lt;=102799",'LANÇAMENTOS DIÁRIOS'!$P$5:$P$500,"&gt;=102700")&gt;0,"X","")</f>
      </c>
      <c r="Y104" s="56" t="str">
        <f>IF(COUNTIFS('LANÇAMENTOS DIÁRIOS'!$G$5:$G$500,"D",'LANÇAMENTOS DIÁRIOS'!$C$5:$C$500,$A104,'LANÇAMENTOS DIÁRIOS'!$O$5:$O$500,"&lt;=102899",'LANÇAMENTOS DIÁRIOS'!$P$5:$P$500,"&gt;=102800")&gt;0,"X","")</f>
      </c>
      <c r="Z104" s="56" t="str">
        <f>IF(COUNTIFS('LANÇAMENTOS DIÁRIOS'!$G$5:$G$500,"D",'LANÇAMENTOS DIÁRIOS'!$C$5:$C$500,$A104,'LANÇAMENTOS DIÁRIOS'!$O$5:$O$500,"&lt;=102999",'LANÇAMENTOS DIÁRIOS'!$P$5:$P$500,"&gt;=102900")&gt;0,"X","")</f>
      </c>
      <c r="AA104" s="56" t="str">
        <f>IF(COUNTIFS('LANÇAMENTOS DIÁRIOS'!$G$5:$G$500,"D",'LANÇAMENTOS DIÁRIOS'!$C$5:$C$500,$A104,'LANÇAMENTOS DIÁRIOS'!$O$5:$O$500,"&lt;=103099",'LANÇAMENTOS DIÁRIOS'!$P$5:$P$500,"&gt;=103000")&gt;0,"X","")</f>
      </c>
      <c r="AB104" s="56" t="str">
        <f>IF(COUNTIFS('LANÇAMENTOS DIÁRIOS'!$G$5:$G$500,"D",'LANÇAMENTOS DIÁRIOS'!$C$5:$C$500,$A104,'LANÇAMENTOS DIÁRIOS'!$O$5:$O$500,"&lt;=103199",'LANÇAMENTOS DIÁRIOS'!$P$5:$P$500,"&gt;=103100")&gt;0,"X","")</f>
      </c>
      <c r="AC104" s="56" t="str">
        <f>IF(COUNTIFS('LANÇAMENTOS DIÁRIOS'!$G$5:$G$500,"D",'LANÇAMENTOS DIÁRIOS'!$C$5:$C$500,$A104,'LANÇAMENTOS DIÁRIOS'!$O$5:$O$500,"&lt;=103299",'LANÇAMENTOS DIÁRIOS'!$P$5:$P$500,"&gt;=103200")&gt;0,"X","")</f>
      </c>
      <c r="AD104" s="56" t="str">
        <f>IF(COUNTIFS('LANÇAMENTOS DIÁRIOS'!$G$5:$G$500,"D",'LANÇAMENTOS DIÁRIOS'!$C$5:$C$500,$A104,'LANÇAMENTOS DIÁRIOS'!$O$5:$O$500,"&lt;=103399",'LANÇAMENTOS DIÁRIOS'!$P$5:$P$500,"&gt;=103300")&gt;0,"X","")</f>
      </c>
      <c r="AE104" s="56" t="str">
        <f>IF(COUNTIFS('LANÇAMENTOS DIÁRIOS'!$G$5:$G$500,"D",'LANÇAMENTOS DIÁRIOS'!$C$5:$C$500,$A104,'LANÇAMENTOS DIÁRIOS'!$O$5:$O$500,"&lt;=103499",'LANÇAMENTOS DIÁRIOS'!$P$5:$P$500,"&gt;=103400")&gt;0,"X","")</f>
      </c>
      <c r="AF104" s="56" t="str">
        <f>IF(COUNTIFS('LANÇAMENTOS DIÁRIOS'!$G$5:$G$500,"D",'LANÇAMENTOS DIÁRIOS'!$C$5:$C$500,$A104,'LANÇAMENTOS DIÁRIOS'!$O$5:$O$500,"&lt;=103599",'LANÇAMENTOS DIÁRIOS'!$P$5:$P$500,"&gt;=103500")&gt;0,"X","")</f>
      </c>
      <c r="AG104" s="56" t="str">
        <f>IF(COUNTIFS('LANÇAMENTOS DIÁRIOS'!$G$5:$G$500,"D",'LANÇAMENTOS DIÁRIOS'!$C$5:$C$500,$A104,'LANÇAMENTOS DIÁRIOS'!$O$5:$O$500,"&lt;=103699",'LANÇAMENTOS DIÁRIOS'!$P$5:$P$500,"&gt;=103600")&gt;0,"X","")</f>
      </c>
      <c r="AH104" s="56" t="str">
        <f>IF(COUNTIFS('LANÇAMENTOS DIÁRIOS'!$G$5:$G$500,"D",'LANÇAMENTOS DIÁRIOS'!$C$5:$C$500,$A104,'LANÇAMENTOS DIÁRIOS'!$O$5:$O$500,"&lt;=103799",'LANÇAMENTOS DIÁRIOS'!$P$5:$P$500,"&gt;=103700")&gt;0,"X","")</f>
      </c>
      <c r="AI104" s="56" t="str">
        <f>IF(COUNTIFS('LANÇAMENTOS DIÁRIOS'!$G$5:$G$500,"D",'LANÇAMENTOS DIÁRIOS'!$C$5:$C$500,$A104,'LANÇAMENTOS DIÁRIOS'!$O$5:$O$500,"&lt;=103899",'LANÇAMENTOS DIÁRIOS'!$P$5:$P$500,"&gt;=103800")&gt;0,"X","")</f>
      </c>
      <c r="AJ104" s="56" t="str">
        <f>IF(COUNTIFS('LANÇAMENTOS DIÁRIOS'!$G$5:$G$500,"D",'LANÇAMENTOS DIÁRIOS'!$C$5:$C$500,$A104,'LANÇAMENTOS DIÁRIOS'!$O$5:$O$500,"&lt;=103999",'LANÇAMENTOS DIÁRIOS'!$P$5:$P$500,"&gt;=103900")&gt;0,"X","")</f>
      </c>
      <c r="AK104" s="56" t="str">
        <f>IF(COUNTIFS('LANÇAMENTOS DIÁRIOS'!$G$5:$G$500,"D",'LANÇAMENTOS DIÁRIOS'!$C$5:$C$500,$A104,'LANÇAMENTOS DIÁRIOS'!$O$5:$O$500,"&lt;=104099",'LANÇAMENTOS DIÁRIOS'!$P$5:$P$500,"&gt;=104000")&gt;0,"X","")</f>
      </c>
      <c r="AL104" s="56" t="str">
        <f>IF(COUNTIFS('LANÇAMENTOS DIÁRIOS'!$G$5:$G$500,"D",'LANÇAMENTOS DIÁRIOS'!$C$5:$C$500,$A104,'LANÇAMENTOS DIÁRIOS'!$O$5:$O$500,"&lt;=104199",'LANÇAMENTOS DIÁRIOS'!$P$5:$P$500,"&gt;=104100")&gt;0,"X","")</f>
      </c>
      <c r="AM104" s="56" t="str">
        <f>IF(COUNTIFS('LANÇAMENTOS DIÁRIOS'!$G$5:$G$500,"D",'LANÇAMENTOS DIÁRIOS'!$C$5:$C$500,$A104,'LANÇAMENTOS DIÁRIOS'!$O$5:$O$500,"&lt;=104299",'LANÇAMENTOS DIÁRIOS'!$P$5:$P$500,"&gt;=104200")&gt;0,"X","")</f>
      </c>
      <c r="AN104" s="56" t="str">
        <f>IF(COUNTIFS('LANÇAMENTOS DIÁRIOS'!$G$5:$G$500,"D",'LANÇAMENTOS DIÁRIOS'!$C$5:$C$500,$A104,'LANÇAMENTOS DIÁRIOS'!$O$5:$O$500,"&lt;=104399",'LANÇAMENTOS DIÁRIOS'!$P$5:$P$500,"&gt;=104300")&gt;0,"X","")</f>
      </c>
      <c r="AO104" s="56" t="str">
        <f>IF(COUNTIFS('LANÇAMENTOS DIÁRIOS'!$G$5:$G$500,"D",'LANÇAMENTOS DIÁRIOS'!$C$5:$C$500,$A104,'LANÇAMENTOS DIÁRIOS'!$O$5:$O$500,"&lt;=104499",'LANÇAMENTOS DIÁRIOS'!$P$5:$P$500,"&gt;=104400")&gt;0,"X","")</f>
      </c>
      <c r="AP104" s="56" t="str">
        <f>IF(COUNTIFS('LANÇAMENTOS DIÁRIOS'!$G$5:$G$500,"D",'LANÇAMENTOS DIÁRIOS'!$C$5:$C$500,$A104,'LANÇAMENTOS DIÁRIOS'!$O$5:$O$500,"&lt;=104599",'LANÇAMENTOS DIÁRIOS'!$P$5:$P$500,"&gt;=104500")&gt;0,"X","")</f>
      </c>
      <c r="AQ104" s="56" t="str">
        <f>IF(COUNTIFS('LANÇAMENTOS DIÁRIOS'!$G$5:$G$500,"D",'LANÇAMENTOS DIÁRIOS'!$C$5:$C$500,$A104,'LANÇAMENTOS DIÁRIOS'!$O$5:$O$500,"&lt;=104699",'LANÇAMENTOS DIÁRIOS'!$P$5:$P$500,"&gt;=104600")&gt;0,"X","")</f>
      </c>
      <c r="AR104" s="56" t="str">
        <f>IF(COUNTIFS('LANÇAMENTOS DIÁRIOS'!$G$5:$G$500,"D",'LANÇAMENTOS DIÁRIOS'!$C$5:$C$500,$A104,'LANÇAMENTOS DIÁRIOS'!$O$5:$O$500,"&lt;=104799",'LANÇAMENTOS DIÁRIOS'!$P$5:$P$500,"&gt;=104700")&gt;0,"X","")</f>
      </c>
      <c r="AS104" s="56" t="str">
        <f>IF(COUNTIFS('LANÇAMENTOS DIÁRIOS'!$G$5:$G$500,"D",'LANÇAMENTOS DIÁRIOS'!$C$5:$C$500,$A104,'LANÇAMENTOS DIÁRIOS'!$O$5:$O$500,"&lt;=104899",'LANÇAMENTOS DIÁRIOS'!$P$5:$P$500,"&gt;=104800")&gt;0,"X","")</f>
      </c>
      <c r="AT104" s="56" t="str">
        <f>IF(COUNTIFS('LANÇAMENTOS DIÁRIOS'!$G$5:$G$500,"D",'LANÇAMENTOS DIÁRIOS'!$C$5:$C$500,$A104,'LANÇAMENTOS DIÁRIOS'!$O$5:$O$500,"&lt;=104999",'LANÇAMENTOS DIÁRIOS'!$P$5:$P$500,"&gt;=104900")&gt;0,"X","")</f>
      </c>
      <c r="AU104" s="56" t="str">
        <f>IF(COUNTIFS('LANÇAMENTOS DIÁRIOS'!$G$5:$G$500,"D",'LANÇAMENTOS DIÁRIOS'!$C$5:$C$500,$A104,'LANÇAMENTOS DIÁRIOS'!$O$5:$O$500,"&lt;=105099",'LANÇAMENTOS DIÁRIOS'!$P$5:$P$500,"&gt;=105000")&gt;0,"X","")</f>
      </c>
      <c r="AV104" s="56" t="str">
        <f>IF(COUNTIFS('LANÇAMENTOS DIÁRIOS'!$G$5:$G$500,"D",'LANÇAMENTOS DIÁRIOS'!$C$5:$C$500,$A104,'LANÇAMENTOS DIÁRIOS'!$O$5:$O$500,"&lt;=105199",'LANÇAMENTOS DIÁRIOS'!$P$5:$P$500,"&gt;=105100")&gt;0,"X","")</f>
      </c>
      <c r="AW104" s="56" t="str">
        <f>IF(COUNTIFS('LANÇAMENTOS DIÁRIOS'!$G$5:$G$500,"D",'LANÇAMENTOS DIÁRIOS'!$C$5:$C$500,$A104,'LANÇAMENTOS DIÁRIOS'!$O$5:$O$500,"&lt;=105299",'LANÇAMENTOS DIÁRIOS'!$P$5:$P$500,"&gt;=105200")&gt;0,"X","")</f>
      </c>
      <c r="AX104" s="56" t="str">
        <f>IF(COUNTIFS('LANÇAMENTOS DIÁRIOS'!$G$5:$G$500,"D",'LANÇAMENTOS DIÁRIOS'!$C$5:$C$500,$A104,'LANÇAMENTOS DIÁRIOS'!$O$5:$O$500,"&lt;=105399",'LANÇAMENTOS DIÁRIOS'!$P$5:$P$500,"&gt;=105300")&gt;0,"X","")</f>
      </c>
      <c r="AY104" s="56" t="str">
        <f>IF(COUNTIFS('LANÇAMENTOS DIÁRIOS'!$G$5:$G$500,"D",'LANÇAMENTOS DIÁRIOS'!$C$5:$C$500,$A104,'LANÇAMENTOS DIÁRIOS'!$O$5:$O$500,"&lt;=105499",'LANÇAMENTOS DIÁRIOS'!$P$5:$P$500,"&gt;=105400")&gt;0,"X","")</f>
      </c>
      <c r="AZ104" s="56" t="str">
        <f>IF(COUNTIFS('LANÇAMENTOS DIÁRIOS'!$G$5:$G$500,"D",'LANÇAMENTOS DIÁRIOS'!$C$5:$C$500,$A104,'LANÇAMENTOS DIÁRIOS'!$O$5:$O$500,"&lt;=105500",'LANÇAMENTOS DIÁRIOS'!$P$5:$P$500,"&gt;=105500")&gt;0,"X","")</f>
      </c>
    </row>
    <row r="105">
      <c r="A105" s="51" t="str">
        <v>Barreira rígida simples baixa</v>
      </c>
      <c r="B105" s="56" t="str">
        <f>IF(COUNTIFS('LANÇAMENTOS DIÁRIOS'!$G$5:$G$500,"D",'LANÇAMENTOS DIÁRIOS'!$C$5:$C$500,$A105,'LANÇAMENTOS DIÁRIOS'!$O$5:$O$500,"&lt;=100599",'LANÇAMENTOS DIÁRIOS'!$P$5:$P$500,"&gt;=100500")&gt;0,"X","")</f>
      </c>
      <c r="C105" s="56" t="str">
        <f>IF(COUNTIFS('LANÇAMENTOS DIÁRIOS'!$G$5:$G$500,"D",'LANÇAMENTOS DIÁRIOS'!$C$5:$C$500,$A105,'LANÇAMENTOS DIÁRIOS'!$O$5:$O$500,"&lt;=100699",'LANÇAMENTOS DIÁRIOS'!$P$5:$P$500,"&gt;=100600")&gt;0,"X","")</f>
      </c>
      <c r="D105" s="56" t="str">
        <f>IF(COUNTIFS('LANÇAMENTOS DIÁRIOS'!$G$5:$G$500,"D",'LANÇAMENTOS DIÁRIOS'!$C$5:$C$500,$A105,'LANÇAMENTOS DIÁRIOS'!$O$5:$O$500,"&lt;=100799",'LANÇAMENTOS DIÁRIOS'!$P$5:$P$500,"&gt;=100700")&gt;0,"X","")</f>
      </c>
      <c r="E105" s="56" t="str">
        <f>IF(COUNTIFS('LANÇAMENTOS DIÁRIOS'!$G$5:$G$500,"D",'LANÇAMENTOS DIÁRIOS'!$C$5:$C$500,$A105,'LANÇAMENTOS DIÁRIOS'!$O$5:$O$500,"&lt;=100899",'LANÇAMENTOS DIÁRIOS'!$P$5:$P$500,"&gt;=100800")&gt;0,"X","")</f>
      </c>
      <c r="F105" s="56" t="str">
        <f>IF(COUNTIFS('LANÇAMENTOS DIÁRIOS'!$G$5:$G$500,"D",'LANÇAMENTOS DIÁRIOS'!$C$5:$C$500,$A105,'LANÇAMENTOS DIÁRIOS'!$O$5:$O$500,"&lt;=100999",'LANÇAMENTOS DIÁRIOS'!$P$5:$P$500,"&gt;=100900")&gt;0,"X","")</f>
      </c>
      <c r="G105" s="56" t="str">
        <f>IF(COUNTIFS('LANÇAMENTOS DIÁRIOS'!$G$5:$G$500,"D",'LANÇAMENTOS DIÁRIOS'!$C$5:$C$500,$A105,'LANÇAMENTOS DIÁRIOS'!$O$5:$O$500,"&lt;=101099",'LANÇAMENTOS DIÁRIOS'!$P$5:$P$500,"&gt;=101000")&gt;0,"X","")</f>
      </c>
      <c r="H105" s="56" t="str">
        <f>IF(COUNTIFS('LANÇAMENTOS DIÁRIOS'!$G$5:$G$500,"D",'LANÇAMENTOS DIÁRIOS'!$C$5:$C$500,$A105,'LANÇAMENTOS DIÁRIOS'!$O$5:$O$500,"&lt;=101199",'LANÇAMENTOS DIÁRIOS'!$P$5:$P$500,"&gt;=101100")&gt;0,"X","")</f>
      </c>
      <c r="I105" s="56" t="str">
        <f>IF(COUNTIFS('LANÇAMENTOS DIÁRIOS'!$G$5:$G$500,"D",'LANÇAMENTOS DIÁRIOS'!$C$5:$C$500,$A105,'LANÇAMENTOS DIÁRIOS'!$O$5:$O$500,"&lt;=101299",'LANÇAMENTOS DIÁRIOS'!$P$5:$P$500,"&gt;=101200")&gt;0,"X","")</f>
      </c>
      <c r="J105" s="56" t="str">
        <f>IF(COUNTIFS('LANÇAMENTOS DIÁRIOS'!$G$5:$G$500,"D",'LANÇAMENTOS DIÁRIOS'!$C$5:$C$500,$A105,'LANÇAMENTOS DIÁRIOS'!$O$5:$O$500,"&lt;=101399",'LANÇAMENTOS DIÁRIOS'!$P$5:$P$500,"&gt;=101300")&gt;0,"X","")</f>
      </c>
      <c r="K105" s="56" t="str">
        <f>IF(COUNTIFS('LANÇAMENTOS DIÁRIOS'!$G$5:$G$500,"D",'LANÇAMENTOS DIÁRIOS'!$C$5:$C$500,$A105,'LANÇAMENTOS DIÁRIOS'!$O$5:$O$500,"&lt;=101499",'LANÇAMENTOS DIÁRIOS'!$P$5:$P$500,"&gt;=101400")&gt;0,"X","")</f>
      </c>
      <c r="L105" s="56" t="str">
        <f>IF(COUNTIFS('LANÇAMENTOS DIÁRIOS'!$G$5:$G$500,"D",'LANÇAMENTOS DIÁRIOS'!$C$5:$C$500,$A105,'LANÇAMENTOS DIÁRIOS'!$O$5:$O$500,"&lt;=101599",'LANÇAMENTOS DIÁRIOS'!$P$5:$P$500,"&gt;=101500")&gt;0,"X","")</f>
      </c>
      <c r="M105" s="56" t="str">
        <f>IF(COUNTIFS('LANÇAMENTOS DIÁRIOS'!$G$5:$G$500,"D",'LANÇAMENTOS DIÁRIOS'!$C$5:$C$500,$A105,'LANÇAMENTOS DIÁRIOS'!$O$5:$O$500,"&lt;=101699",'LANÇAMENTOS DIÁRIOS'!$P$5:$P$500,"&gt;=101600")&gt;0,"X","")</f>
      </c>
      <c r="N105" s="56" t="str">
        <f>IF(COUNTIFS('LANÇAMENTOS DIÁRIOS'!$G$5:$G$500,"D",'LANÇAMENTOS DIÁRIOS'!$C$5:$C$500,$A105,'LANÇAMENTOS DIÁRIOS'!$O$5:$O$500,"&lt;=101799",'LANÇAMENTOS DIÁRIOS'!$P$5:$P$500,"&gt;=101700")&gt;0,"X","")</f>
      </c>
      <c r="O105" s="56" t="str">
        <f>IF(COUNTIFS('LANÇAMENTOS DIÁRIOS'!$G$5:$G$500,"D",'LANÇAMENTOS DIÁRIOS'!$C$5:$C$500,$A105,'LANÇAMENTOS DIÁRIOS'!$O$5:$O$500,"&lt;=101899",'LANÇAMENTOS DIÁRIOS'!$P$5:$P$500,"&gt;=101800")&gt;0,"X","")</f>
      </c>
      <c r="P105" s="56" t="str">
        <f>IF(COUNTIFS('LANÇAMENTOS DIÁRIOS'!$G$5:$G$500,"D",'LANÇAMENTOS DIÁRIOS'!$C$5:$C$500,$A105,'LANÇAMENTOS DIÁRIOS'!$O$5:$O$500,"&lt;=101999",'LANÇAMENTOS DIÁRIOS'!$P$5:$P$500,"&gt;=101900")&gt;0,"X","")</f>
      </c>
      <c r="Q105" s="56" t="str">
        <f>IF(COUNTIFS('LANÇAMENTOS DIÁRIOS'!$G$5:$G$500,"D",'LANÇAMENTOS DIÁRIOS'!$C$5:$C$500,$A105,'LANÇAMENTOS DIÁRIOS'!$O$5:$O$500,"&lt;=102099",'LANÇAMENTOS DIÁRIOS'!$P$5:$P$500,"&gt;=102000")&gt;0,"X","")</f>
      </c>
      <c r="R105" s="56" t="str">
        <f>IF(COUNTIFS('LANÇAMENTOS DIÁRIOS'!$G$5:$G$500,"D",'LANÇAMENTOS DIÁRIOS'!$C$5:$C$500,$A105,'LANÇAMENTOS DIÁRIOS'!$O$5:$O$500,"&lt;=102199",'LANÇAMENTOS DIÁRIOS'!$P$5:$P$500,"&gt;=102100")&gt;0,"X","")</f>
      </c>
      <c r="S105" s="56" t="str">
        <f>IF(COUNTIFS('LANÇAMENTOS DIÁRIOS'!$G$5:$G$500,"D",'LANÇAMENTOS DIÁRIOS'!$C$5:$C$500,$A105,'LANÇAMENTOS DIÁRIOS'!$O$5:$O$500,"&lt;=102299",'LANÇAMENTOS DIÁRIOS'!$P$5:$P$500,"&gt;=102200")&gt;0,"X","")</f>
      </c>
      <c r="T105" s="56" t="str">
        <f>IF(COUNTIFS('LANÇAMENTOS DIÁRIOS'!$G$5:$G$500,"D",'LANÇAMENTOS DIÁRIOS'!$C$5:$C$500,$A105,'LANÇAMENTOS DIÁRIOS'!$O$5:$O$500,"&lt;=102399",'LANÇAMENTOS DIÁRIOS'!$P$5:$P$500,"&gt;=102300")&gt;0,"X","")</f>
      </c>
      <c r="U105" s="56" t="str">
        <f>IF(COUNTIFS('LANÇAMENTOS DIÁRIOS'!$G$5:$G$500,"D",'LANÇAMENTOS DIÁRIOS'!$C$5:$C$500,$A105,'LANÇAMENTOS DIÁRIOS'!$O$5:$O$500,"&lt;=102499",'LANÇAMENTOS DIÁRIOS'!$P$5:$P$500,"&gt;=102400")&gt;0,"X","")</f>
      </c>
      <c r="V105" s="56" t="str">
        <f>IF(COUNTIFS('LANÇAMENTOS DIÁRIOS'!$G$5:$G$500,"D",'LANÇAMENTOS DIÁRIOS'!$C$5:$C$500,$A105,'LANÇAMENTOS DIÁRIOS'!$O$5:$O$500,"&lt;=102599",'LANÇAMENTOS DIÁRIOS'!$P$5:$P$500,"&gt;=102500")&gt;0,"X","")</f>
      </c>
      <c r="W105" s="56" t="str">
        <f>IF(COUNTIFS('LANÇAMENTOS DIÁRIOS'!$G$5:$G$500,"D",'LANÇAMENTOS DIÁRIOS'!$C$5:$C$500,$A105,'LANÇAMENTOS DIÁRIOS'!$O$5:$O$500,"&lt;=102699",'LANÇAMENTOS DIÁRIOS'!$P$5:$P$500,"&gt;=102600")&gt;0,"X","")</f>
      </c>
      <c r="X105" s="56" t="str">
        <f>IF(COUNTIFS('LANÇAMENTOS DIÁRIOS'!$G$5:$G$500,"D",'LANÇAMENTOS DIÁRIOS'!$C$5:$C$500,$A105,'LANÇAMENTOS DIÁRIOS'!$O$5:$O$500,"&lt;=102799",'LANÇAMENTOS DIÁRIOS'!$P$5:$P$500,"&gt;=102700")&gt;0,"X","")</f>
      </c>
      <c r="Y105" s="56" t="str">
        <f>IF(COUNTIFS('LANÇAMENTOS DIÁRIOS'!$G$5:$G$500,"D",'LANÇAMENTOS DIÁRIOS'!$C$5:$C$500,$A105,'LANÇAMENTOS DIÁRIOS'!$O$5:$O$500,"&lt;=102899",'LANÇAMENTOS DIÁRIOS'!$P$5:$P$500,"&gt;=102800")&gt;0,"X","")</f>
      </c>
      <c r="Z105" s="56" t="str">
        <f>IF(COUNTIFS('LANÇAMENTOS DIÁRIOS'!$G$5:$G$500,"D",'LANÇAMENTOS DIÁRIOS'!$C$5:$C$500,$A105,'LANÇAMENTOS DIÁRIOS'!$O$5:$O$500,"&lt;=102999",'LANÇAMENTOS DIÁRIOS'!$P$5:$P$500,"&gt;=102900")&gt;0,"X","")</f>
      </c>
      <c r="AA105" s="56" t="str">
        <f>IF(COUNTIFS('LANÇAMENTOS DIÁRIOS'!$G$5:$G$500,"D",'LANÇAMENTOS DIÁRIOS'!$C$5:$C$500,$A105,'LANÇAMENTOS DIÁRIOS'!$O$5:$O$500,"&lt;=103099",'LANÇAMENTOS DIÁRIOS'!$P$5:$P$500,"&gt;=103000")&gt;0,"X","")</f>
      </c>
      <c r="AB105" s="56" t="str">
        <f>IF(COUNTIFS('LANÇAMENTOS DIÁRIOS'!$G$5:$G$500,"D",'LANÇAMENTOS DIÁRIOS'!$C$5:$C$500,$A105,'LANÇAMENTOS DIÁRIOS'!$O$5:$O$500,"&lt;=103199",'LANÇAMENTOS DIÁRIOS'!$P$5:$P$500,"&gt;=103100")&gt;0,"X","")</f>
      </c>
      <c r="AC105" s="56" t="str">
        <f>IF(COUNTIFS('LANÇAMENTOS DIÁRIOS'!$G$5:$G$500,"D",'LANÇAMENTOS DIÁRIOS'!$C$5:$C$500,$A105,'LANÇAMENTOS DIÁRIOS'!$O$5:$O$500,"&lt;=103299",'LANÇAMENTOS DIÁRIOS'!$P$5:$P$500,"&gt;=103200")&gt;0,"X","")</f>
      </c>
      <c r="AD105" s="56" t="str">
        <f>IF(COUNTIFS('LANÇAMENTOS DIÁRIOS'!$G$5:$G$500,"D",'LANÇAMENTOS DIÁRIOS'!$C$5:$C$500,$A105,'LANÇAMENTOS DIÁRIOS'!$O$5:$O$500,"&lt;=103399",'LANÇAMENTOS DIÁRIOS'!$P$5:$P$500,"&gt;=103300")&gt;0,"X","")</f>
      </c>
      <c r="AE105" s="56" t="str">
        <f>IF(COUNTIFS('LANÇAMENTOS DIÁRIOS'!$G$5:$G$500,"D",'LANÇAMENTOS DIÁRIOS'!$C$5:$C$500,$A105,'LANÇAMENTOS DIÁRIOS'!$O$5:$O$500,"&lt;=103499",'LANÇAMENTOS DIÁRIOS'!$P$5:$P$500,"&gt;=103400")&gt;0,"X","")</f>
      </c>
      <c r="AF105" s="56" t="str">
        <f>IF(COUNTIFS('LANÇAMENTOS DIÁRIOS'!$G$5:$G$500,"D",'LANÇAMENTOS DIÁRIOS'!$C$5:$C$500,$A105,'LANÇAMENTOS DIÁRIOS'!$O$5:$O$500,"&lt;=103599",'LANÇAMENTOS DIÁRIOS'!$P$5:$P$500,"&gt;=103500")&gt;0,"X","")</f>
      </c>
      <c r="AG105" s="56" t="str">
        <f>IF(COUNTIFS('LANÇAMENTOS DIÁRIOS'!$G$5:$G$500,"D",'LANÇAMENTOS DIÁRIOS'!$C$5:$C$500,$A105,'LANÇAMENTOS DIÁRIOS'!$O$5:$O$500,"&lt;=103699",'LANÇAMENTOS DIÁRIOS'!$P$5:$P$500,"&gt;=103600")&gt;0,"X","")</f>
      </c>
      <c r="AH105" s="56" t="str">
        <f>IF(COUNTIFS('LANÇAMENTOS DIÁRIOS'!$G$5:$G$500,"D",'LANÇAMENTOS DIÁRIOS'!$C$5:$C$500,$A105,'LANÇAMENTOS DIÁRIOS'!$O$5:$O$500,"&lt;=103799",'LANÇAMENTOS DIÁRIOS'!$P$5:$P$500,"&gt;=103700")&gt;0,"X","")</f>
      </c>
      <c r="AI105" s="56" t="str">
        <f>IF(COUNTIFS('LANÇAMENTOS DIÁRIOS'!$G$5:$G$500,"D",'LANÇAMENTOS DIÁRIOS'!$C$5:$C$500,$A105,'LANÇAMENTOS DIÁRIOS'!$O$5:$O$500,"&lt;=103899",'LANÇAMENTOS DIÁRIOS'!$P$5:$P$500,"&gt;=103800")&gt;0,"X","")</f>
      </c>
      <c r="AJ105" s="56" t="str">
        <f>IF(COUNTIFS('LANÇAMENTOS DIÁRIOS'!$G$5:$G$500,"D",'LANÇAMENTOS DIÁRIOS'!$C$5:$C$500,$A105,'LANÇAMENTOS DIÁRIOS'!$O$5:$O$500,"&lt;=103999",'LANÇAMENTOS DIÁRIOS'!$P$5:$P$500,"&gt;=103900")&gt;0,"X","")</f>
      </c>
      <c r="AK105" s="56" t="str">
        <f>IF(COUNTIFS('LANÇAMENTOS DIÁRIOS'!$G$5:$G$500,"D",'LANÇAMENTOS DIÁRIOS'!$C$5:$C$500,$A105,'LANÇAMENTOS DIÁRIOS'!$O$5:$O$500,"&lt;=104099",'LANÇAMENTOS DIÁRIOS'!$P$5:$P$500,"&gt;=104000")&gt;0,"X","")</f>
      </c>
      <c r="AL105" s="56" t="str">
        <f>IF(COUNTIFS('LANÇAMENTOS DIÁRIOS'!$G$5:$G$500,"D",'LANÇAMENTOS DIÁRIOS'!$C$5:$C$500,$A105,'LANÇAMENTOS DIÁRIOS'!$O$5:$O$500,"&lt;=104199",'LANÇAMENTOS DIÁRIOS'!$P$5:$P$500,"&gt;=104100")&gt;0,"X","")</f>
      </c>
      <c r="AM105" s="56" t="str">
        <f>IF(COUNTIFS('LANÇAMENTOS DIÁRIOS'!$G$5:$G$500,"D",'LANÇAMENTOS DIÁRIOS'!$C$5:$C$500,$A105,'LANÇAMENTOS DIÁRIOS'!$O$5:$O$500,"&lt;=104299",'LANÇAMENTOS DIÁRIOS'!$P$5:$P$500,"&gt;=104200")&gt;0,"X","")</f>
      </c>
      <c r="AN105" s="56" t="str">
        <f>IF(COUNTIFS('LANÇAMENTOS DIÁRIOS'!$G$5:$G$500,"D",'LANÇAMENTOS DIÁRIOS'!$C$5:$C$500,$A105,'LANÇAMENTOS DIÁRIOS'!$O$5:$O$500,"&lt;=104399",'LANÇAMENTOS DIÁRIOS'!$P$5:$P$500,"&gt;=104300")&gt;0,"X","")</f>
      </c>
      <c r="AO105" s="56" t="str">
        <f>IF(COUNTIFS('LANÇAMENTOS DIÁRIOS'!$G$5:$G$500,"D",'LANÇAMENTOS DIÁRIOS'!$C$5:$C$500,$A105,'LANÇAMENTOS DIÁRIOS'!$O$5:$O$500,"&lt;=104499",'LANÇAMENTOS DIÁRIOS'!$P$5:$P$500,"&gt;=104400")&gt;0,"X","")</f>
      </c>
      <c r="AP105" s="56" t="str">
        <f>IF(COUNTIFS('LANÇAMENTOS DIÁRIOS'!$G$5:$G$500,"D",'LANÇAMENTOS DIÁRIOS'!$C$5:$C$500,$A105,'LANÇAMENTOS DIÁRIOS'!$O$5:$O$500,"&lt;=104599",'LANÇAMENTOS DIÁRIOS'!$P$5:$P$500,"&gt;=104500")&gt;0,"X","")</f>
      </c>
      <c r="AQ105" s="56" t="str">
        <f>IF(COUNTIFS('LANÇAMENTOS DIÁRIOS'!$G$5:$G$500,"D",'LANÇAMENTOS DIÁRIOS'!$C$5:$C$500,$A105,'LANÇAMENTOS DIÁRIOS'!$O$5:$O$500,"&lt;=104699",'LANÇAMENTOS DIÁRIOS'!$P$5:$P$500,"&gt;=104600")&gt;0,"X","")</f>
      </c>
      <c r="AR105" s="56" t="str">
        <f>IF(COUNTIFS('LANÇAMENTOS DIÁRIOS'!$G$5:$G$500,"D",'LANÇAMENTOS DIÁRIOS'!$C$5:$C$500,$A105,'LANÇAMENTOS DIÁRIOS'!$O$5:$O$500,"&lt;=104799",'LANÇAMENTOS DIÁRIOS'!$P$5:$P$500,"&gt;=104700")&gt;0,"X","")</f>
      </c>
      <c r="AS105" s="56" t="str">
        <f>IF(COUNTIFS('LANÇAMENTOS DIÁRIOS'!$G$5:$G$500,"D",'LANÇAMENTOS DIÁRIOS'!$C$5:$C$500,$A105,'LANÇAMENTOS DIÁRIOS'!$O$5:$O$500,"&lt;=104899",'LANÇAMENTOS DIÁRIOS'!$P$5:$P$500,"&gt;=104800")&gt;0,"X","")</f>
      </c>
      <c r="AT105" s="56" t="str">
        <f>IF(COUNTIFS('LANÇAMENTOS DIÁRIOS'!$G$5:$G$500,"D",'LANÇAMENTOS DIÁRIOS'!$C$5:$C$500,$A105,'LANÇAMENTOS DIÁRIOS'!$O$5:$O$500,"&lt;=104999",'LANÇAMENTOS DIÁRIOS'!$P$5:$P$500,"&gt;=104900")&gt;0,"X","")</f>
      </c>
      <c r="AU105" s="56" t="str">
        <f>IF(COUNTIFS('LANÇAMENTOS DIÁRIOS'!$G$5:$G$500,"D",'LANÇAMENTOS DIÁRIOS'!$C$5:$C$500,$A105,'LANÇAMENTOS DIÁRIOS'!$O$5:$O$500,"&lt;=105099",'LANÇAMENTOS DIÁRIOS'!$P$5:$P$500,"&gt;=105000")&gt;0,"X","")</f>
      </c>
      <c r="AV105" s="56" t="str">
        <f>IF(COUNTIFS('LANÇAMENTOS DIÁRIOS'!$G$5:$G$500,"D",'LANÇAMENTOS DIÁRIOS'!$C$5:$C$500,$A105,'LANÇAMENTOS DIÁRIOS'!$O$5:$O$500,"&lt;=105199",'LANÇAMENTOS DIÁRIOS'!$P$5:$P$500,"&gt;=105100")&gt;0,"X","")</f>
      </c>
      <c r="AW105" s="56" t="str">
        <f>IF(COUNTIFS('LANÇAMENTOS DIÁRIOS'!$G$5:$G$500,"D",'LANÇAMENTOS DIÁRIOS'!$C$5:$C$500,$A105,'LANÇAMENTOS DIÁRIOS'!$O$5:$O$500,"&lt;=105299",'LANÇAMENTOS DIÁRIOS'!$P$5:$P$500,"&gt;=105200")&gt;0,"X","")</f>
      </c>
      <c r="AX105" s="56" t="str">
        <f>IF(COUNTIFS('LANÇAMENTOS DIÁRIOS'!$G$5:$G$500,"D",'LANÇAMENTOS DIÁRIOS'!$C$5:$C$500,$A105,'LANÇAMENTOS DIÁRIOS'!$O$5:$O$500,"&lt;=105399",'LANÇAMENTOS DIÁRIOS'!$P$5:$P$500,"&gt;=105300")&gt;0,"X","")</f>
      </c>
      <c r="AY105" s="56" t="str">
        <f>IF(COUNTIFS('LANÇAMENTOS DIÁRIOS'!$G$5:$G$500,"D",'LANÇAMENTOS DIÁRIOS'!$C$5:$C$500,$A105,'LANÇAMENTOS DIÁRIOS'!$O$5:$O$500,"&lt;=105499",'LANÇAMENTOS DIÁRIOS'!$P$5:$P$500,"&gt;=105400")&gt;0,"X","")</f>
      </c>
      <c r="AZ105" s="56" t="str">
        <f>IF(COUNTIFS('LANÇAMENTOS DIÁRIOS'!$G$5:$G$500,"D",'LANÇAMENTOS DIÁRIOS'!$C$5:$C$500,$A105,'LANÇAMENTOS DIÁRIOS'!$O$5:$O$500,"&lt;=105500",'LANÇAMENTOS DIÁRIOS'!$P$5:$P$500,"&gt;=105500")&gt;0,"X","")</f>
      </c>
    </row>
  </sheetData>
  <conditionalFormatting sqref="B3:AZ105">
    <cfRule type="expression" dxfId="1" priority="1">
      <formula>B3="X"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5"/>
  <cols>
    <col min="1" max="1" width="54" hidden="0" customWidth="1"/>
    <col min="2" max="2" width="10" hidden="0" customWidth="1"/>
    <col min="3" max="3" width="10" hidden="0" customWidth="1"/>
    <col min="4" max="4" width="10" hidden="0" customWidth="1"/>
    <col min="5" max="5" width="10" hidden="0" customWidth="1"/>
    <col min="6" max="6" width="10" hidden="0" customWidth="1"/>
    <col min="7" max="7" width="10" hidden="0" customWidth="1"/>
    <col min="8" max="8" width="10" hidden="0" customWidth="1"/>
    <col min="9" max="9" width="10" hidden="0" customWidth="1"/>
    <col min="10" max="10" width="10" hidden="0" customWidth="1"/>
    <col min="11" max="11" width="10" hidden="0" customWidth="1"/>
    <col min="12" max="12" width="10" hidden="0" customWidth="1"/>
    <col min="13" max="13" width="10" hidden="0" customWidth="1"/>
    <col min="14" max="14" width="10" hidden="0" customWidth="1"/>
    <col min="15" max="15" width="10" hidden="0" customWidth="1"/>
    <col min="16" max="16" width="10" hidden="0" customWidth="1"/>
    <col min="17" max="17" width="10" hidden="0" customWidth="1"/>
    <col min="18" max="18" width="10" hidden="0" customWidth="1"/>
    <col min="19" max="19" width="10" hidden="0" customWidth="1"/>
    <col min="20" max="20" width="10" hidden="0" customWidth="1"/>
    <col min="21" max="21" width="10" hidden="0" customWidth="1"/>
    <col min="22" max="22" width="10" hidden="0" customWidth="1"/>
    <col min="23" max="23" width="10" hidden="0" customWidth="1"/>
    <col min="24" max="24" width="10" hidden="0" customWidth="1"/>
    <col min="25" max="25" width="10" hidden="0" customWidth="1"/>
    <col min="26" max="26" width="10" hidden="0" customWidth="1"/>
    <col min="27" max="27" width="10" hidden="0" customWidth="1"/>
    <col min="28" max="28" width="10" hidden="0" customWidth="1"/>
    <col min="29" max="29" width="10" hidden="0" customWidth="1"/>
    <col min="30" max="30" width="10" hidden="0" customWidth="1"/>
    <col min="31" max="31" width="10" hidden="0" customWidth="1"/>
    <col min="32" max="32" width="10" hidden="0" customWidth="1"/>
    <col min="33" max="33" width="10" hidden="0" customWidth="1"/>
    <col min="34" max="34" width="10" hidden="0" customWidth="1"/>
    <col min="35" max="35" width="10" hidden="0" customWidth="1"/>
    <col min="36" max="36" width="10" hidden="0" customWidth="1"/>
    <col min="37" max="37" width="10" hidden="0" customWidth="1"/>
    <col min="38" max="38" width="10" hidden="0" customWidth="1"/>
    <col min="39" max="39" width="10" hidden="0" customWidth="1"/>
    <col min="40" max="40" width="10" hidden="0" customWidth="1"/>
    <col min="41" max="41" width="10" hidden="0" customWidth="1"/>
    <col min="42" max="42" width="10" hidden="0" customWidth="1"/>
    <col min="43" max="43" width="10" hidden="0" customWidth="1"/>
    <col min="44" max="44" width="10" hidden="0" customWidth="1"/>
    <col min="45" max="45" width="10" hidden="0" customWidth="1"/>
    <col min="46" max="46" width="10" hidden="0" customWidth="1"/>
    <col min="47" max="47" width="10" hidden="0" customWidth="1"/>
    <col min="48" max="48" width="10" hidden="0" customWidth="1"/>
    <col min="49" max="49" width="10" hidden="0" customWidth="1"/>
    <col min="50" max="50" width="10" hidden="0" customWidth="1"/>
    <col min="51" max="51" width="10" hidden="0" customWidth="1"/>
    <col min="52" max="52" width="10" hidden="0" customWidth="1"/>
    <col min="53" max="53" width="10" hidden="0" customWidth="1"/>
    <col min="54" max="54" width="10" hidden="0" customWidth="1"/>
    <col min="55" max="55" width="10" hidden="0" customWidth="1"/>
    <col min="56" max="56" width="10" hidden="0" customWidth="1"/>
    <col min="57" max="57" width="10" hidden="0" customWidth="1"/>
    <col min="58" max="58" width="10" hidden="0" customWidth="1"/>
    <col min="59" max="59" width="10" hidden="0" customWidth="1"/>
    <col min="60" max="60" width="10" hidden="0" customWidth="1"/>
    <col min="61" max="61" width="10" hidden="0" customWidth="1"/>
    <col min="62" max="62" width="10" hidden="0" customWidth="1"/>
  </cols>
  <sheetData>
    <row r="1" ht="26" customHeight="1">
      <c r="A1" s="38" t="str">
        <v>RETIGRÁFICO — FRENTE E | KM 105+500 A 111+500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</row>
    <row r="2" ht="26" customHeight="1">
      <c r="A2" s="43" t="str">
        <v>ATIVIDADE / ITEM</v>
      </c>
      <c r="B2" s="43" t="str">
        <v>105+500</v>
      </c>
      <c r="C2" s="43" t="str">
        <v>105+600</v>
      </c>
      <c r="D2" s="43" t="str">
        <v>105+700</v>
      </c>
      <c r="E2" s="43" t="str">
        <v>105+800</v>
      </c>
      <c r="F2" s="43" t="str">
        <v>105+900</v>
      </c>
      <c r="G2" s="43" t="str">
        <v>106+000</v>
      </c>
      <c r="H2" s="43" t="str">
        <v>106+100</v>
      </c>
      <c r="I2" s="43" t="str">
        <v>106+200</v>
      </c>
      <c r="J2" s="43" t="str">
        <v>106+300</v>
      </c>
      <c r="K2" s="43" t="str">
        <v>106+400</v>
      </c>
      <c r="L2" s="43" t="str">
        <v>106+500</v>
      </c>
      <c r="M2" s="43" t="str">
        <v>106+600</v>
      </c>
      <c r="N2" s="43" t="str">
        <v>106+700</v>
      </c>
      <c r="O2" s="43" t="str">
        <v>106+800</v>
      </c>
      <c r="P2" s="43" t="str">
        <v>106+900</v>
      </c>
      <c r="Q2" s="43" t="str">
        <v>107+000</v>
      </c>
      <c r="R2" s="43" t="str">
        <v>107+100</v>
      </c>
      <c r="S2" s="43" t="str">
        <v>107+200</v>
      </c>
      <c r="T2" s="43" t="str">
        <v>107+300</v>
      </c>
      <c r="U2" s="43" t="str">
        <v>107+400</v>
      </c>
      <c r="V2" s="43" t="str">
        <v>107+500</v>
      </c>
      <c r="W2" s="43" t="str">
        <v>107+600</v>
      </c>
      <c r="X2" s="43" t="str">
        <v>107+700</v>
      </c>
      <c r="Y2" s="43" t="str">
        <v>107+800</v>
      </c>
      <c r="Z2" s="43" t="str">
        <v>107+900</v>
      </c>
      <c r="AA2" s="43" t="str">
        <v>108+000</v>
      </c>
      <c r="AB2" s="43" t="str">
        <v>108+100</v>
      </c>
      <c r="AC2" s="43" t="str">
        <v>108+200</v>
      </c>
      <c r="AD2" s="43" t="str">
        <v>108+300</v>
      </c>
      <c r="AE2" s="43" t="str">
        <v>108+400</v>
      </c>
      <c r="AF2" s="43" t="str">
        <v>108+500</v>
      </c>
      <c r="AG2" s="43" t="str">
        <v>108+600</v>
      </c>
      <c r="AH2" s="43" t="str">
        <v>108+700</v>
      </c>
      <c r="AI2" s="43" t="str">
        <v>108+800</v>
      </c>
      <c r="AJ2" s="43" t="str">
        <v>108+900</v>
      </c>
      <c r="AK2" s="43" t="str">
        <v>109+000</v>
      </c>
      <c r="AL2" s="43" t="str">
        <v>109+100</v>
      </c>
      <c r="AM2" s="43" t="str">
        <v>109+200</v>
      </c>
      <c r="AN2" s="43" t="str">
        <v>109+300</v>
      </c>
      <c r="AO2" s="43" t="str">
        <v>109+400</v>
      </c>
      <c r="AP2" s="43" t="str">
        <v>109+500</v>
      </c>
      <c r="AQ2" s="43" t="str">
        <v>109+600</v>
      </c>
      <c r="AR2" s="43" t="str">
        <v>109+700</v>
      </c>
      <c r="AS2" s="43" t="str">
        <v>109+800</v>
      </c>
      <c r="AT2" s="43" t="str">
        <v>109+900</v>
      </c>
      <c r="AU2" s="43" t="str">
        <v>110+000</v>
      </c>
      <c r="AV2" s="43" t="str">
        <v>110+100</v>
      </c>
      <c r="AW2" s="43" t="str">
        <v>110+200</v>
      </c>
      <c r="AX2" s="43" t="str">
        <v>110+300</v>
      </c>
      <c r="AY2" s="43" t="str">
        <v>110+400</v>
      </c>
      <c r="AZ2" s="43" t="str">
        <v>110+500</v>
      </c>
      <c r="BA2" s="43" t="str">
        <v>110+600</v>
      </c>
      <c r="BB2" s="43" t="str">
        <v>110+700</v>
      </c>
      <c r="BC2" s="43" t="str">
        <v>110+800</v>
      </c>
      <c r="BD2" s="43" t="str">
        <v>110+900</v>
      </c>
      <c r="BE2" s="43" t="str">
        <v>111+000</v>
      </c>
      <c r="BF2" s="43" t="str">
        <v>111+100</v>
      </c>
      <c r="BG2" s="43" t="str">
        <v>111+200</v>
      </c>
      <c r="BH2" s="43" t="str">
        <v>111+300</v>
      </c>
      <c r="BI2" s="43" t="str">
        <v>111+400</v>
      </c>
      <c r="BJ2" s="43" t="str">
        <v>111+500</v>
      </c>
    </row>
    <row r="3" ht="21" customHeight="1">
      <c r="A3" s="60" t="str">
        <v>Serviços preliminares e conclusivos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</row>
    <row r="4" ht="19" customHeight="1">
      <c r="A4" s="68" t="str">
        <v>Demolições e remoções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</row>
    <row r="5">
      <c r="A5" s="51" t="str">
        <v>Remoção de cerca</v>
      </c>
      <c r="B5" s="56" t="str">
        <f>IF(COUNTIFS('LANÇAMENTOS DIÁRIOS'!$G$5:$G$500,"E",'LANÇAMENTOS DIÁRIOS'!$C$5:$C$500,$A5,'LANÇAMENTOS DIÁRIOS'!$O$5:$O$500,"&lt;=105599",'LANÇAMENTOS DIÁRIOS'!$P$5:$P$500,"&gt;=105500")&gt;0,"X","")</f>
      </c>
      <c r="C5" s="56" t="str">
        <f>IF(COUNTIFS('LANÇAMENTOS DIÁRIOS'!$G$5:$G$500,"E",'LANÇAMENTOS DIÁRIOS'!$C$5:$C$500,$A5,'LANÇAMENTOS DIÁRIOS'!$O$5:$O$500,"&lt;=105699",'LANÇAMENTOS DIÁRIOS'!$P$5:$P$500,"&gt;=105600")&gt;0,"X","")</f>
      </c>
      <c r="D5" s="56" t="str">
        <f>IF(COUNTIFS('LANÇAMENTOS DIÁRIOS'!$G$5:$G$500,"E",'LANÇAMENTOS DIÁRIOS'!$C$5:$C$500,$A5,'LANÇAMENTOS DIÁRIOS'!$O$5:$O$500,"&lt;=105799",'LANÇAMENTOS DIÁRIOS'!$P$5:$P$500,"&gt;=105700")&gt;0,"X","")</f>
      </c>
      <c r="E5" s="56" t="str">
        <f>IF(COUNTIFS('LANÇAMENTOS DIÁRIOS'!$G$5:$G$500,"E",'LANÇAMENTOS DIÁRIOS'!$C$5:$C$500,$A5,'LANÇAMENTOS DIÁRIOS'!$O$5:$O$500,"&lt;=105899",'LANÇAMENTOS DIÁRIOS'!$P$5:$P$500,"&gt;=105800")&gt;0,"X","")</f>
      </c>
      <c r="F5" s="56" t="str">
        <f>IF(COUNTIFS('LANÇAMENTOS DIÁRIOS'!$G$5:$G$500,"E",'LANÇAMENTOS DIÁRIOS'!$C$5:$C$500,$A5,'LANÇAMENTOS DIÁRIOS'!$O$5:$O$500,"&lt;=105999",'LANÇAMENTOS DIÁRIOS'!$P$5:$P$500,"&gt;=105900")&gt;0,"X","")</f>
      </c>
      <c r="G5" s="56" t="str">
        <f>IF(COUNTIFS('LANÇAMENTOS DIÁRIOS'!$G$5:$G$500,"E",'LANÇAMENTOS DIÁRIOS'!$C$5:$C$500,$A5,'LANÇAMENTOS DIÁRIOS'!$O$5:$O$500,"&lt;=106099",'LANÇAMENTOS DIÁRIOS'!$P$5:$P$500,"&gt;=106000")&gt;0,"X","")</f>
      </c>
      <c r="H5" s="56" t="str">
        <f>IF(COUNTIFS('LANÇAMENTOS DIÁRIOS'!$G$5:$G$500,"E",'LANÇAMENTOS DIÁRIOS'!$C$5:$C$500,$A5,'LANÇAMENTOS DIÁRIOS'!$O$5:$O$500,"&lt;=106199",'LANÇAMENTOS DIÁRIOS'!$P$5:$P$500,"&gt;=106100")&gt;0,"X","")</f>
      </c>
      <c r="I5" s="56" t="str">
        <f>IF(COUNTIFS('LANÇAMENTOS DIÁRIOS'!$G$5:$G$500,"E",'LANÇAMENTOS DIÁRIOS'!$C$5:$C$500,$A5,'LANÇAMENTOS DIÁRIOS'!$O$5:$O$500,"&lt;=106299",'LANÇAMENTOS DIÁRIOS'!$P$5:$P$500,"&gt;=106200")&gt;0,"X","")</f>
      </c>
      <c r="J5" s="56" t="str">
        <f>IF(COUNTIFS('LANÇAMENTOS DIÁRIOS'!$G$5:$G$500,"E",'LANÇAMENTOS DIÁRIOS'!$C$5:$C$500,$A5,'LANÇAMENTOS DIÁRIOS'!$O$5:$O$500,"&lt;=106399",'LANÇAMENTOS DIÁRIOS'!$P$5:$P$500,"&gt;=106300")&gt;0,"X","")</f>
      </c>
      <c r="K5" s="56" t="str">
        <f>IF(COUNTIFS('LANÇAMENTOS DIÁRIOS'!$G$5:$G$500,"E",'LANÇAMENTOS DIÁRIOS'!$C$5:$C$500,$A5,'LANÇAMENTOS DIÁRIOS'!$O$5:$O$500,"&lt;=106499",'LANÇAMENTOS DIÁRIOS'!$P$5:$P$500,"&gt;=106400")&gt;0,"X","")</f>
      </c>
      <c r="L5" s="56" t="str">
        <f>IF(COUNTIFS('LANÇAMENTOS DIÁRIOS'!$G$5:$G$500,"E",'LANÇAMENTOS DIÁRIOS'!$C$5:$C$500,$A5,'LANÇAMENTOS DIÁRIOS'!$O$5:$O$500,"&lt;=106599",'LANÇAMENTOS DIÁRIOS'!$P$5:$P$500,"&gt;=106500")&gt;0,"X","")</f>
      </c>
      <c r="M5" s="56" t="str">
        <f>IF(COUNTIFS('LANÇAMENTOS DIÁRIOS'!$G$5:$G$500,"E",'LANÇAMENTOS DIÁRIOS'!$C$5:$C$500,$A5,'LANÇAMENTOS DIÁRIOS'!$O$5:$O$500,"&lt;=106699",'LANÇAMENTOS DIÁRIOS'!$P$5:$P$500,"&gt;=106600")&gt;0,"X","")</f>
      </c>
      <c r="N5" s="56" t="str">
        <f>IF(COUNTIFS('LANÇAMENTOS DIÁRIOS'!$G$5:$G$500,"E",'LANÇAMENTOS DIÁRIOS'!$C$5:$C$500,$A5,'LANÇAMENTOS DIÁRIOS'!$O$5:$O$500,"&lt;=106799",'LANÇAMENTOS DIÁRIOS'!$P$5:$P$500,"&gt;=106700")&gt;0,"X","")</f>
      </c>
      <c r="O5" s="56" t="str">
        <f>IF(COUNTIFS('LANÇAMENTOS DIÁRIOS'!$G$5:$G$500,"E",'LANÇAMENTOS DIÁRIOS'!$C$5:$C$500,$A5,'LANÇAMENTOS DIÁRIOS'!$O$5:$O$500,"&lt;=106899",'LANÇAMENTOS DIÁRIOS'!$P$5:$P$500,"&gt;=106800")&gt;0,"X","")</f>
      </c>
      <c r="P5" s="56" t="str">
        <f>IF(COUNTIFS('LANÇAMENTOS DIÁRIOS'!$G$5:$G$500,"E",'LANÇAMENTOS DIÁRIOS'!$C$5:$C$500,$A5,'LANÇAMENTOS DIÁRIOS'!$O$5:$O$500,"&lt;=106999",'LANÇAMENTOS DIÁRIOS'!$P$5:$P$500,"&gt;=106900")&gt;0,"X","")</f>
      </c>
      <c r="Q5" s="56" t="str">
        <f>IF(COUNTIFS('LANÇAMENTOS DIÁRIOS'!$G$5:$G$500,"E",'LANÇAMENTOS DIÁRIOS'!$C$5:$C$500,$A5,'LANÇAMENTOS DIÁRIOS'!$O$5:$O$500,"&lt;=107099",'LANÇAMENTOS DIÁRIOS'!$P$5:$P$500,"&gt;=107000")&gt;0,"X","")</f>
      </c>
      <c r="R5" s="56" t="str">
        <f>IF(COUNTIFS('LANÇAMENTOS DIÁRIOS'!$G$5:$G$500,"E",'LANÇAMENTOS DIÁRIOS'!$C$5:$C$500,$A5,'LANÇAMENTOS DIÁRIOS'!$O$5:$O$500,"&lt;=107199",'LANÇAMENTOS DIÁRIOS'!$P$5:$P$500,"&gt;=107100")&gt;0,"X","")</f>
      </c>
      <c r="S5" s="56" t="str">
        <f>IF(COUNTIFS('LANÇAMENTOS DIÁRIOS'!$G$5:$G$500,"E",'LANÇAMENTOS DIÁRIOS'!$C$5:$C$500,$A5,'LANÇAMENTOS DIÁRIOS'!$O$5:$O$500,"&lt;=107299",'LANÇAMENTOS DIÁRIOS'!$P$5:$P$500,"&gt;=107200")&gt;0,"X","")</f>
      </c>
      <c r="T5" s="56" t="str">
        <f>IF(COUNTIFS('LANÇAMENTOS DIÁRIOS'!$G$5:$G$500,"E",'LANÇAMENTOS DIÁRIOS'!$C$5:$C$500,$A5,'LANÇAMENTOS DIÁRIOS'!$O$5:$O$500,"&lt;=107399",'LANÇAMENTOS DIÁRIOS'!$P$5:$P$500,"&gt;=107300")&gt;0,"X","")</f>
      </c>
      <c r="U5" s="56" t="str">
        <f>IF(COUNTIFS('LANÇAMENTOS DIÁRIOS'!$G$5:$G$500,"E",'LANÇAMENTOS DIÁRIOS'!$C$5:$C$500,$A5,'LANÇAMENTOS DIÁRIOS'!$O$5:$O$500,"&lt;=107499",'LANÇAMENTOS DIÁRIOS'!$P$5:$P$500,"&gt;=107400")&gt;0,"X","")</f>
      </c>
      <c r="V5" s="56" t="str">
        <f>IF(COUNTIFS('LANÇAMENTOS DIÁRIOS'!$G$5:$G$500,"E",'LANÇAMENTOS DIÁRIOS'!$C$5:$C$500,$A5,'LANÇAMENTOS DIÁRIOS'!$O$5:$O$500,"&lt;=107599",'LANÇAMENTOS DIÁRIOS'!$P$5:$P$500,"&gt;=107500")&gt;0,"X","")</f>
      </c>
      <c r="W5" s="56" t="str">
        <f>IF(COUNTIFS('LANÇAMENTOS DIÁRIOS'!$G$5:$G$500,"E",'LANÇAMENTOS DIÁRIOS'!$C$5:$C$500,$A5,'LANÇAMENTOS DIÁRIOS'!$O$5:$O$500,"&lt;=107699",'LANÇAMENTOS DIÁRIOS'!$P$5:$P$500,"&gt;=107600")&gt;0,"X","")</f>
      </c>
      <c r="X5" s="56" t="str">
        <f>IF(COUNTIFS('LANÇAMENTOS DIÁRIOS'!$G$5:$G$500,"E",'LANÇAMENTOS DIÁRIOS'!$C$5:$C$500,$A5,'LANÇAMENTOS DIÁRIOS'!$O$5:$O$500,"&lt;=107799",'LANÇAMENTOS DIÁRIOS'!$P$5:$P$500,"&gt;=107700")&gt;0,"X","")</f>
      </c>
      <c r="Y5" s="56" t="str">
        <f>IF(COUNTIFS('LANÇAMENTOS DIÁRIOS'!$G$5:$G$500,"E",'LANÇAMENTOS DIÁRIOS'!$C$5:$C$500,$A5,'LANÇAMENTOS DIÁRIOS'!$O$5:$O$500,"&lt;=107899",'LANÇAMENTOS DIÁRIOS'!$P$5:$P$500,"&gt;=107800")&gt;0,"X","")</f>
      </c>
      <c r="Z5" s="56" t="str">
        <f>IF(COUNTIFS('LANÇAMENTOS DIÁRIOS'!$G$5:$G$500,"E",'LANÇAMENTOS DIÁRIOS'!$C$5:$C$500,$A5,'LANÇAMENTOS DIÁRIOS'!$O$5:$O$500,"&lt;=107999",'LANÇAMENTOS DIÁRIOS'!$P$5:$P$500,"&gt;=107900")&gt;0,"X","")</f>
      </c>
      <c r="AA5" s="56" t="str">
        <f>IF(COUNTIFS('LANÇAMENTOS DIÁRIOS'!$G$5:$G$500,"E",'LANÇAMENTOS DIÁRIOS'!$C$5:$C$500,$A5,'LANÇAMENTOS DIÁRIOS'!$O$5:$O$500,"&lt;=108099",'LANÇAMENTOS DIÁRIOS'!$P$5:$P$500,"&gt;=108000")&gt;0,"X","")</f>
      </c>
      <c r="AB5" s="56" t="str">
        <f>IF(COUNTIFS('LANÇAMENTOS DIÁRIOS'!$G$5:$G$500,"E",'LANÇAMENTOS DIÁRIOS'!$C$5:$C$500,$A5,'LANÇAMENTOS DIÁRIOS'!$O$5:$O$500,"&lt;=108199",'LANÇAMENTOS DIÁRIOS'!$P$5:$P$500,"&gt;=108100")&gt;0,"X","")</f>
      </c>
      <c r="AC5" s="56" t="str">
        <f>IF(COUNTIFS('LANÇAMENTOS DIÁRIOS'!$G$5:$G$500,"E",'LANÇAMENTOS DIÁRIOS'!$C$5:$C$500,$A5,'LANÇAMENTOS DIÁRIOS'!$O$5:$O$500,"&lt;=108299",'LANÇAMENTOS DIÁRIOS'!$P$5:$P$500,"&gt;=108200")&gt;0,"X","")</f>
      </c>
      <c r="AD5" s="56" t="str">
        <f>IF(COUNTIFS('LANÇAMENTOS DIÁRIOS'!$G$5:$G$500,"E",'LANÇAMENTOS DIÁRIOS'!$C$5:$C$500,$A5,'LANÇAMENTOS DIÁRIOS'!$O$5:$O$500,"&lt;=108399",'LANÇAMENTOS DIÁRIOS'!$P$5:$P$500,"&gt;=108300")&gt;0,"X","")</f>
      </c>
      <c r="AE5" s="56" t="str">
        <f>IF(COUNTIFS('LANÇAMENTOS DIÁRIOS'!$G$5:$G$500,"E",'LANÇAMENTOS DIÁRIOS'!$C$5:$C$500,$A5,'LANÇAMENTOS DIÁRIOS'!$O$5:$O$500,"&lt;=108499",'LANÇAMENTOS DIÁRIOS'!$P$5:$P$500,"&gt;=108400")&gt;0,"X","")</f>
      </c>
      <c r="AF5" s="56" t="str">
        <f>IF(COUNTIFS('LANÇAMENTOS DIÁRIOS'!$G$5:$G$500,"E",'LANÇAMENTOS DIÁRIOS'!$C$5:$C$500,$A5,'LANÇAMENTOS DIÁRIOS'!$O$5:$O$500,"&lt;=108599",'LANÇAMENTOS DIÁRIOS'!$P$5:$P$500,"&gt;=108500")&gt;0,"X","")</f>
      </c>
      <c r="AG5" s="56" t="str">
        <f>IF(COUNTIFS('LANÇAMENTOS DIÁRIOS'!$G$5:$G$500,"E",'LANÇAMENTOS DIÁRIOS'!$C$5:$C$500,$A5,'LANÇAMENTOS DIÁRIOS'!$O$5:$O$500,"&lt;=108699",'LANÇAMENTOS DIÁRIOS'!$P$5:$P$500,"&gt;=108600")&gt;0,"X","")</f>
      </c>
      <c r="AH5" s="56" t="str">
        <f>IF(COUNTIFS('LANÇAMENTOS DIÁRIOS'!$G$5:$G$500,"E",'LANÇAMENTOS DIÁRIOS'!$C$5:$C$500,$A5,'LANÇAMENTOS DIÁRIOS'!$O$5:$O$500,"&lt;=108799",'LANÇAMENTOS DIÁRIOS'!$P$5:$P$500,"&gt;=108700")&gt;0,"X","")</f>
      </c>
      <c r="AI5" s="56" t="str">
        <f>IF(COUNTIFS('LANÇAMENTOS DIÁRIOS'!$G$5:$G$500,"E",'LANÇAMENTOS DIÁRIOS'!$C$5:$C$500,$A5,'LANÇAMENTOS DIÁRIOS'!$O$5:$O$500,"&lt;=108899",'LANÇAMENTOS DIÁRIOS'!$P$5:$P$500,"&gt;=108800")&gt;0,"X","")</f>
      </c>
      <c r="AJ5" s="56" t="str">
        <f>IF(COUNTIFS('LANÇAMENTOS DIÁRIOS'!$G$5:$G$500,"E",'LANÇAMENTOS DIÁRIOS'!$C$5:$C$500,$A5,'LANÇAMENTOS DIÁRIOS'!$O$5:$O$500,"&lt;=108999",'LANÇAMENTOS DIÁRIOS'!$P$5:$P$500,"&gt;=108900")&gt;0,"X","")</f>
      </c>
      <c r="AK5" s="56" t="str">
        <f>IF(COUNTIFS('LANÇAMENTOS DIÁRIOS'!$G$5:$G$500,"E",'LANÇAMENTOS DIÁRIOS'!$C$5:$C$500,$A5,'LANÇAMENTOS DIÁRIOS'!$O$5:$O$500,"&lt;=109099",'LANÇAMENTOS DIÁRIOS'!$P$5:$P$500,"&gt;=109000")&gt;0,"X","")</f>
      </c>
      <c r="AL5" s="56" t="str">
        <f>IF(COUNTIFS('LANÇAMENTOS DIÁRIOS'!$G$5:$G$500,"E",'LANÇAMENTOS DIÁRIOS'!$C$5:$C$500,$A5,'LANÇAMENTOS DIÁRIOS'!$O$5:$O$500,"&lt;=109199",'LANÇAMENTOS DIÁRIOS'!$P$5:$P$500,"&gt;=109100")&gt;0,"X","")</f>
      </c>
      <c r="AM5" s="56" t="str">
        <f>IF(COUNTIFS('LANÇAMENTOS DIÁRIOS'!$G$5:$G$500,"E",'LANÇAMENTOS DIÁRIOS'!$C$5:$C$500,$A5,'LANÇAMENTOS DIÁRIOS'!$O$5:$O$500,"&lt;=109299",'LANÇAMENTOS DIÁRIOS'!$P$5:$P$500,"&gt;=109200")&gt;0,"X","")</f>
      </c>
      <c r="AN5" s="56" t="str">
        <f>IF(COUNTIFS('LANÇAMENTOS DIÁRIOS'!$G$5:$G$500,"E",'LANÇAMENTOS DIÁRIOS'!$C$5:$C$500,$A5,'LANÇAMENTOS DIÁRIOS'!$O$5:$O$500,"&lt;=109399",'LANÇAMENTOS DIÁRIOS'!$P$5:$P$500,"&gt;=109300")&gt;0,"X","")</f>
      </c>
      <c r="AO5" s="56" t="str">
        <f>IF(COUNTIFS('LANÇAMENTOS DIÁRIOS'!$G$5:$G$500,"E",'LANÇAMENTOS DIÁRIOS'!$C$5:$C$500,$A5,'LANÇAMENTOS DIÁRIOS'!$O$5:$O$500,"&lt;=109499",'LANÇAMENTOS DIÁRIOS'!$P$5:$P$500,"&gt;=109400")&gt;0,"X","")</f>
      </c>
      <c r="AP5" s="56" t="str">
        <f>IF(COUNTIFS('LANÇAMENTOS DIÁRIOS'!$G$5:$G$500,"E",'LANÇAMENTOS DIÁRIOS'!$C$5:$C$500,$A5,'LANÇAMENTOS DIÁRIOS'!$O$5:$O$500,"&lt;=109599",'LANÇAMENTOS DIÁRIOS'!$P$5:$P$500,"&gt;=109500")&gt;0,"X","")</f>
      </c>
      <c r="AQ5" s="56" t="str">
        <f>IF(COUNTIFS('LANÇAMENTOS DIÁRIOS'!$G$5:$G$500,"E",'LANÇAMENTOS DIÁRIOS'!$C$5:$C$500,$A5,'LANÇAMENTOS DIÁRIOS'!$O$5:$O$500,"&lt;=109699",'LANÇAMENTOS DIÁRIOS'!$P$5:$P$500,"&gt;=109600")&gt;0,"X","")</f>
      </c>
      <c r="AR5" s="56" t="str">
        <f>IF(COUNTIFS('LANÇAMENTOS DIÁRIOS'!$G$5:$G$500,"E",'LANÇAMENTOS DIÁRIOS'!$C$5:$C$500,$A5,'LANÇAMENTOS DIÁRIOS'!$O$5:$O$500,"&lt;=109799",'LANÇAMENTOS DIÁRIOS'!$P$5:$P$500,"&gt;=109700")&gt;0,"X","")</f>
      </c>
      <c r="AS5" s="56" t="str">
        <f>IF(COUNTIFS('LANÇAMENTOS DIÁRIOS'!$G$5:$G$500,"E",'LANÇAMENTOS DIÁRIOS'!$C$5:$C$500,$A5,'LANÇAMENTOS DIÁRIOS'!$O$5:$O$500,"&lt;=109899",'LANÇAMENTOS DIÁRIOS'!$P$5:$P$500,"&gt;=109800")&gt;0,"X","")</f>
      </c>
      <c r="AT5" s="56" t="str">
        <f>IF(COUNTIFS('LANÇAMENTOS DIÁRIOS'!$G$5:$G$500,"E",'LANÇAMENTOS DIÁRIOS'!$C$5:$C$500,$A5,'LANÇAMENTOS DIÁRIOS'!$O$5:$O$500,"&lt;=109999",'LANÇAMENTOS DIÁRIOS'!$P$5:$P$500,"&gt;=109900")&gt;0,"X","")</f>
      </c>
      <c r="AU5" s="56" t="str">
        <f>IF(COUNTIFS('LANÇAMENTOS DIÁRIOS'!$G$5:$G$500,"E",'LANÇAMENTOS DIÁRIOS'!$C$5:$C$500,$A5,'LANÇAMENTOS DIÁRIOS'!$O$5:$O$500,"&lt;=110099",'LANÇAMENTOS DIÁRIOS'!$P$5:$P$500,"&gt;=110000")&gt;0,"X","")</f>
      </c>
      <c r="AV5" s="56" t="str">
        <f>IF(COUNTIFS('LANÇAMENTOS DIÁRIOS'!$G$5:$G$500,"E",'LANÇAMENTOS DIÁRIOS'!$C$5:$C$500,$A5,'LANÇAMENTOS DIÁRIOS'!$O$5:$O$500,"&lt;=110199",'LANÇAMENTOS DIÁRIOS'!$P$5:$P$500,"&gt;=110100")&gt;0,"X","")</f>
      </c>
      <c r="AW5" s="56" t="str">
        <f>IF(COUNTIFS('LANÇAMENTOS DIÁRIOS'!$G$5:$G$500,"E",'LANÇAMENTOS DIÁRIOS'!$C$5:$C$500,$A5,'LANÇAMENTOS DIÁRIOS'!$O$5:$O$500,"&lt;=110299",'LANÇAMENTOS DIÁRIOS'!$P$5:$P$500,"&gt;=110200")&gt;0,"X","")</f>
      </c>
      <c r="AX5" s="56" t="str">
        <f>IF(COUNTIFS('LANÇAMENTOS DIÁRIOS'!$G$5:$G$500,"E",'LANÇAMENTOS DIÁRIOS'!$C$5:$C$500,$A5,'LANÇAMENTOS DIÁRIOS'!$O$5:$O$500,"&lt;=110399",'LANÇAMENTOS DIÁRIOS'!$P$5:$P$500,"&gt;=110300")&gt;0,"X","")</f>
      </c>
      <c r="AY5" s="56" t="str">
        <f>IF(COUNTIFS('LANÇAMENTOS DIÁRIOS'!$G$5:$G$500,"E",'LANÇAMENTOS DIÁRIOS'!$C$5:$C$500,$A5,'LANÇAMENTOS DIÁRIOS'!$O$5:$O$500,"&lt;=110499",'LANÇAMENTOS DIÁRIOS'!$P$5:$P$500,"&gt;=110400")&gt;0,"X","")</f>
      </c>
      <c r="AZ5" s="56" t="str">
        <f>IF(COUNTIFS('LANÇAMENTOS DIÁRIOS'!$G$5:$G$500,"E",'LANÇAMENTOS DIÁRIOS'!$C$5:$C$500,$A5,'LANÇAMENTOS DIÁRIOS'!$O$5:$O$500,"&lt;=110599",'LANÇAMENTOS DIÁRIOS'!$P$5:$P$500,"&gt;=110500")&gt;0,"X","")</f>
      </c>
      <c r="BA5" s="56" t="str">
        <f>IF(COUNTIFS('LANÇAMENTOS DIÁRIOS'!$G$5:$G$500,"E",'LANÇAMENTOS DIÁRIOS'!$C$5:$C$500,$A5,'LANÇAMENTOS DIÁRIOS'!$O$5:$O$500,"&lt;=110699",'LANÇAMENTOS DIÁRIOS'!$P$5:$P$500,"&gt;=110600")&gt;0,"X","")</f>
      </c>
      <c r="BB5" s="56" t="str">
        <f>IF(COUNTIFS('LANÇAMENTOS DIÁRIOS'!$G$5:$G$500,"E",'LANÇAMENTOS DIÁRIOS'!$C$5:$C$500,$A5,'LANÇAMENTOS DIÁRIOS'!$O$5:$O$500,"&lt;=110799",'LANÇAMENTOS DIÁRIOS'!$P$5:$P$500,"&gt;=110700")&gt;0,"X","")</f>
      </c>
      <c r="BC5" s="56" t="str">
        <f>IF(COUNTIFS('LANÇAMENTOS DIÁRIOS'!$G$5:$G$500,"E",'LANÇAMENTOS DIÁRIOS'!$C$5:$C$500,$A5,'LANÇAMENTOS DIÁRIOS'!$O$5:$O$500,"&lt;=110899",'LANÇAMENTOS DIÁRIOS'!$P$5:$P$500,"&gt;=110800")&gt;0,"X","")</f>
      </c>
      <c r="BD5" s="56" t="str">
        <f>IF(COUNTIFS('LANÇAMENTOS DIÁRIOS'!$G$5:$G$500,"E",'LANÇAMENTOS DIÁRIOS'!$C$5:$C$500,$A5,'LANÇAMENTOS DIÁRIOS'!$O$5:$O$500,"&lt;=110999",'LANÇAMENTOS DIÁRIOS'!$P$5:$P$500,"&gt;=110900")&gt;0,"X","")</f>
      </c>
      <c r="BE5" s="56" t="str">
        <f>IF(COUNTIFS('LANÇAMENTOS DIÁRIOS'!$G$5:$G$500,"E",'LANÇAMENTOS DIÁRIOS'!$C$5:$C$500,$A5,'LANÇAMENTOS DIÁRIOS'!$O$5:$O$500,"&lt;=111099",'LANÇAMENTOS DIÁRIOS'!$P$5:$P$500,"&gt;=111000")&gt;0,"X","")</f>
      </c>
      <c r="BF5" s="56" t="str">
        <f>IF(COUNTIFS('LANÇAMENTOS DIÁRIOS'!$G$5:$G$500,"E",'LANÇAMENTOS DIÁRIOS'!$C$5:$C$500,$A5,'LANÇAMENTOS DIÁRIOS'!$O$5:$O$500,"&lt;=111199",'LANÇAMENTOS DIÁRIOS'!$P$5:$P$500,"&gt;=111100")&gt;0,"X","")</f>
      </c>
      <c r="BG5" s="56" t="str">
        <f>IF(COUNTIFS('LANÇAMENTOS DIÁRIOS'!$G$5:$G$500,"E",'LANÇAMENTOS DIÁRIOS'!$C$5:$C$500,$A5,'LANÇAMENTOS DIÁRIOS'!$O$5:$O$500,"&lt;=111299",'LANÇAMENTOS DIÁRIOS'!$P$5:$P$500,"&gt;=111200")&gt;0,"X","")</f>
      </c>
      <c r="BH5" s="56" t="str">
        <f>IF(COUNTIFS('LANÇAMENTOS DIÁRIOS'!$G$5:$G$500,"E",'LANÇAMENTOS DIÁRIOS'!$C$5:$C$500,$A5,'LANÇAMENTOS DIÁRIOS'!$O$5:$O$500,"&lt;=111399",'LANÇAMENTOS DIÁRIOS'!$P$5:$P$500,"&gt;=111300")&gt;0,"X","")</f>
      </c>
      <c r="BI5" s="56" t="str">
        <f>IF(COUNTIFS('LANÇAMENTOS DIÁRIOS'!$G$5:$G$500,"E",'LANÇAMENTOS DIÁRIOS'!$C$5:$C$500,$A5,'LANÇAMENTOS DIÁRIOS'!$O$5:$O$500,"&lt;=111499",'LANÇAMENTOS DIÁRIOS'!$P$5:$P$500,"&gt;=111400")&gt;0,"X","")</f>
      </c>
      <c r="BJ5" s="56" t="str">
        <f>IF(COUNTIFS('LANÇAMENTOS DIÁRIOS'!$G$5:$G$500,"E",'LANÇAMENTOS DIÁRIOS'!$C$5:$C$500,$A5,'LANÇAMENTOS DIÁRIOS'!$O$5:$O$500,"&lt;=111500",'LANÇAMENTOS DIÁRIOS'!$P$5:$P$500,"&gt;=111500")&gt;0,"X","")</f>
      </c>
    </row>
    <row r="6">
      <c r="A6" s="51" t="str">
        <v>Remoção de defensa metálica</v>
      </c>
      <c r="B6" s="56" t="str">
        <f>IF(COUNTIFS('LANÇAMENTOS DIÁRIOS'!$G$5:$G$500,"E",'LANÇAMENTOS DIÁRIOS'!$C$5:$C$500,$A6,'LANÇAMENTOS DIÁRIOS'!$O$5:$O$500,"&lt;=105599",'LANÇAMENTOS DIÁRIOS'!$P$5:$P$500,"&gt;=105500")&gt;0,"X","")</f>
      </c>
      <c r="C6" s="56" t="str">
        <f>IF(COUNTIFS('LANÇAMENTOS DIÁRIOS'!$G$5:$G$500,"E",'LANÇAMENTOS DIÁRIOS'!$C$5:$C$500,$A6,'LANÇAMENTOS DIÁRIOS'!$O$5:$O$500,"&lt;=105699",'LANÇAMENTOS DIÁRIOS'!$P$5:$P$500,"&gt;=105600")&gt;0,"X","")</f>
      </c>
      <c r="D6" s="56" t="str">
        <f>IF(COUNTIFS('LANÇAMENTOS DIÁRIOS'!$G$5:$G$500,"E",'LANÇAMENTOS DIÁRIOS'!$C$5:$C$500,$A6,'LANÇAMENTOS DIÁRIOS'!$O$5:$O$500,"&lt;=105799",'LANÇAMENTOS DIÁRIOS'!$P$5:$P$500,"&gt;=105700")&gt;0,"X","")</f>
      </c>
      <c r="E6" s="56" t="str">
        <f>IF(COUNTIFS('LANÇAMENTOS DIÁRIOS'!$G$5:$G$500,"E",'LANÇAMENTOS DIÁRIOS'!$C$5:$C$500,$A6,'LANÇAMENTOS DIÁRIOS'!$O$5:$O$500,"&lt;=105899",'LANÇAMENTOS DIÁRIOS'!$P$5:$P$500,"&gt;=105800")&gt;0,"X","")</f>
      </c>
      <c r="F6" s="56" t="str">
        <f>IF(COUNTIFS('LANÇAMENTOS DIÁRIOS'!$G$5:$G$500,"E",'LANÇAMENTOS DIÁRIOS'!$C$5:$C$500,$A6,'LANÇAMENTOS DIÁRIOS'!$O$5:$O$500,"&lt;=105999",'LANÇAMENTOS DIÁRIOS'!$P$5:$P$500,"&gt;=105900")&gt;0,"X","")</f>
      </c>
      <c r="G6" s="56" t="str">
        <f>IF(COUNTIFS('LANÇAMENTOS DIÁRIOS'!$G$5:$G$500,"E",'LANÇAMENTOS DIÁRIOS'!$C$5:$C$500,$A6,'LANÇAMENTOS DIÁRIOS'!$O$5:$O$500,"&lt;=106099",'LANÇAMENTOS DIÁRIOS'!$P$5:$P$500,"&gt;=106000")&gt;0,"X","")</f>
      </c>
      <c r="H6" s="56" t="str">
        <f>IF(COUNTIFS('LANÇAMENTOS DIÁRIOS'!$G$5:$G$500,"E",'LANÇAMENTOS DIÁRIOS'!$C$5:$C$500,$A6,'LANÇAMENTOS DIÁRIOS'!$O$5:$O$500,"&lt;=106199",'LANÇAMENTOS DIÁRIOS'!$P$5:$P$500,"&gt;=106100")&gt;0,"X","")</f>
      </c>
      <c r="I6" s="56" t="str">
        <f>IF(COUNTIFS('LANÇAMENTOS DIÁRIOS'!$G$5:$G$500,"E",'LANÇAMENTOS DIÁRIOS'!$C$5:$C$500,$A6,'LANÇAMENTOS DIÁRIOS'!$O$5:$O$500,"&lt;=106299",'LANÇAMENTOS DIÁRIOS'!$P$5:$P$500,"&gt;=106200")&gt;0,"X","")</f>
      </c>
      <c r="J6" s="56" t="str">
        <f>IF(COUNTIFS('LANÇAMENTOS DIÁRIOS'!$G$5:$G$500,"E",'LANÇAMENTOS DIÁRIOS'!$C$5:$C$500,$A6,'LANÇAMENTOS DIÁRIOS'!$O$5:$O$500,"&lt;=106399",'LANÇAMENTOS DIÁRIOS'!$P$5:$P$500,"&gt;=106300")&gt;0,"X","")</f>
      </c>
      <c r="K6" s="56" t="str">
        <f>IF(COUNTIFS('LANÇAMENTOS DIÁRIOS'!$G$5:$G$500,"E",'LANÇAMENTOS DIÁRIOS'!$C$5:$C$500,$A6,'LANÇAMENTOS DIÁRIOS'!$O$5:$O$500,"&lt;=106499",'LANÇAMENTOS DIÁRIOS'!$P$5:$P$500,"&gt;=106400")&gt;0,"X","")</f>
      </c>
      <c r="L6" s="56" t="str">
        <f>IF(COUNTIFS('LANÇAMENTOS DIÁRIOS'!$G$5:$G$500,"E",'LANÇAMENTOS DIÁRIOS'!$C$5:$C$500,$A6,'LANÇAMENTOS DIÁRIOS'!$O$5:$O$500,"&lt;=106599",'LANÇAMENTOS DIÁRIOS'!$P$5:$P$500,"&gt;=106500")&gt;0,"X","")</f>
      </c>
      <c r="M6" s="56" t="str">
        <f>IF(COUNTIFS('LANÇAMENTOS DIÁRIOS'!$G$5:$G$500,"E",'LANÇAMENTOS DIÁRIOS'!$C$5:$C$500,$A6,'LANÇAMENTOS DIÁRIOS'!$O$5:$O$500,"&lt;=106699",'LANÇAMENTOS DIÁRIOS'!$P$5:$P$500,"&gt;=106600")&gt;0,"X","")</f>
      </c>
      <c r="N6" s="56" t="str">
        <f>IF(COUNTIFS('LANÇAMENTOS DIÁRIOS'!$G$5:$G$500,"E",'LANÇAMENTOS DIÁRIOS'!$C$5:$C$500,$A6,'LANÇAMENTOS DIÁRIOS'!$O$5:$O$500,"&lt;=106799",'LANÇAMENTOS DIÁRIOS'!$P$5:$P$500,"&gt;=106700")&gt;0,"X","")</f>
      </c>
      <c r="O6" s="56" t="str">
        <f>IF(COUNTIFS('LANÇAMENTOS DIÁRIOS'!$G$5:$G$500,"E",'LANÇAMENTOS DIÁRIOS'!$C$5:$C$500,$A6,'LANÇAMENTOS DIÁRIOS'!$O$5:$O$500,"&lt;=106899",'LANÇAMENTOS DIÁRIOS'!$P$5:$P$500,"&gt;=106800")&gt;0,"X","")</f>
      </c>
      <c r="P6" s="56" t="str">
        <f>IF(COUNTIFS('LANÇAMENTOS DIÁRIOS'!$G$5:$G$500,"E",'LANÇAMENTOS DIÁRIOS'!$C$5:$C$500,$A6,'LANÇAMENTOS DIÁRIOS'!$O$5:$O$500,"&lt;=106999",'LANÇAMENTOS DIÁRIOS'!$P$5:$P$500,"&gt;=106900")&gt;0,"X","")</f>
      </c>
      <c r="Q6" s="56" t="str">
        <f>IF(COUNTIFS('LANÇAMENTOS DIÁRIOS'!$G$5:$G$500,"E",'LANÇAMENTOS DIÁRIOS'!$C$5:$C$500,$A6,'LANÇAMENTOS DIÁRIOS'!$O$5:$O$500,"&lt;=107099",'LANÇAMENTOS DIÁRIOS'!$P$5:$P$500,"&gt;=107000")&gt;0,"X","")</f>
      </c>
      <c r="R6" s="56" t="str">
        <f>IF(COUNTIFS('LANÇAMENTOS DIÁRIOS'!$G$5:$G$500,"E",'LANÇAMENTOS DIÁRIOS'!$C$5:$C$500,$A6,'LANÇAMENTOS DIÁRIOS'!$O$5:$O$500,"&lt;=107199",'LANÇAMENTOS DIÁRIOS'!$P$5:$P$500,"&gt;=107100")&gt;0,"X","")</f>
      </c>
      <c r="S6" s="56" t="str">
        <f>IF(COUNTIFS('LANÇAMENTOS DIÁRIOS'!$G$5:$G$500,"E",'LANÇAMENTOS DIÁRIOS'!$C$5:$C$500,$A6,'LANÇAMENTOS DIÁRIOS'!$O$5:$O$500,"&lt;=107299",'LANÇAMENTOS DIÁRIOS'!$P$5:$P$500,"&gt;=107200")&gt;0,"X","")</f>
      </c>
      <c r="T6" s="56" t="str">
        <f>IF(COUNTIFS('LANÇAMENTOS DIÁRIOS'!$G$5:$G$500,"E",'LANÇAMENTOS DIÁRIOS'!$C$5:$C$500,$A6,'LANÇAMENTOS DIÁRIOS'!$O$5:$O$500,"&lt;=107399",'LANÇAMENTOS DIÁRIOS'!$P$5:$P$500,"&gt;=107300")&gt;0,"X","")</f>
      </c>
      <c r="U6" s="56" t="str">
        <f>IF(COUNTIFS('LANÇAMENTOS DIÁRIOS'!$G$5:$G$500,"E",'LANÇAMENTOS DIÁRIOS'!$C$5:$C$500,$A6,'LANÇAMENTOS DIÁRIOS'!$O$5:$O$500,"&lt;=107499",'LANÇAMENTOS DIÁRIOS'!$P$5:$P$500,"&gt;=107400")&gt;0,"X","")</f>
      </c>
      <c r="V6" s="56" t="str">
        <f>IF(COUNTIFS('LANÇAMENTOS DIÁRIOS'!$G$5:$G$500,"E",'LANÇAMENTOS DIÁRIOS'!$C$5:$C$500,$A6,'LANÇAMENTOS DIÁRIOS'!$O$5:$O$500,"&lt;=107599",'LANÇAMENTOS DIÁRIOS'!$P$5:$P$500,"&gt;=107500")&gt;0,"X","")</f>
      </c>
      <c r="W6" s="56" t="str">
        <f>IF(COUNTIFS('LANÇAMENTOS DIÁRIOS'!$G$5:$G$500,"E",'LANÇAMENTOS DIÁRIOS'!$C$5:$C$500,$A6,'LANÇAMENTOS DIÁRIOS'!$O$5:$O$500,"&lt;=107699",'LANÇAMENTOS DIÁRIOS'!$P$5:$P$500,"&gt;=107600")&gt;0,"X","")</f>
      </c>
      <c r="X6" s="56" t="str">
        <f>IF(COUNTIFS('LANÇAMENTOS DIÁRIOS'!$G$5:$G$500,"E",'LANÇAMENTOS DIÁRIOS'!$C$5:$C$500,$A6,'LANÇAMENTOS DIÁRIOS'!$O$5:$O$500,"&lt;=107799",'LANÇAMENTOS DIÁRIOS'!$P$5:$P$500,"&gt;=107700")&gt;0,"X","")</f>
      </c>
      <c r="Y6" s="56" t="str">
        <f>IF(COUNTIFS('LANÇAMENTOS DIÁRIOS'!$G$5:$G$500,"E",'LANÇAMENTOS DIÁRIOS'!$C$5:$C$500,$A6,'LANÇAMENTOS DIÁRIOS'!$O$5:$O$500,"&lt;=107899",'LANÇAMENTOS DIÁRIOS'!$P$5:$P$500,"&gt;=107800")&gt;0,"X","")</f>
      </c>
      <c r="Z6" s="56" t="str">
        <f>IF(COUNTIFS('LANÇAMENTOS DIÁRIOS'!$G$5:$G$500,"E",'LANÇAMENTOS DIÁRIOS'!$C$5:$C$500,$A6,'LANÇAMENTOS DIÁRIOS'!$O$5:$O$500,"&lt;=107999",'LANÇAMENTOS DIÁRIOS'!$P$5:$P$500,"&gt;=107900")&gt;0,"X","")</f>
      </c>
      <c r="AA6" s="56" t="str">
        <f>IF(COUNTIFS('LANÇAMENTOS DIÁRIOS'!$G$5:$G$500,"E",'LANÇAMENTOS DIÁRIOS'!$C$5:$C$500,$A6,'LANÇAMENTOS DIÁRIOS'!$O$5:$O$500,"&lt;=108099",'LANÇAMENTOS DIÁRIOS'!$P$5:$P$500,"&gt;=108000")&gt;0,"X","")</f>
      </c>
      <c r="AB6" s="56" t="str">
        <f>IF(COUNTIFS('LANÇAMENTOS DIÁRIOS'!$G$5:$G$500,"E",'LANÇAMENTOS DIÁRIOS'!$C$5:$C$500,$A6,'LANÇAMENTOS DIÁRIOS'!$O$5:$O$500,"&lt;=108199",'LANÇAMENTOS DIÁRIOS'!$P$5:$P$500,"&gt;=108100")&gt;0,"X","")</f>
      </c>
      <c r="AC6" s="56" t="str">
        <f>IF(COUNTIFS('LANÇAMENTOS DIÁRIOS'!$G$5:$G$500,"E",'LANÇAMENTOS DIÁRIOS'!$C$5:$C$500,$A6,'LANÇAMENTOS DIÁRIOS'!$O$5:$O$500,"&lt;=108299",'LANÇAMENTOS DIÁRIOS'!$P$5:$P$500,"&gt;=108200")&gt;0,"X","")</f>
      </c>
      <c r="AD6" s="56" t="str">
        <f>IF(COUNTIFS('LANÇAMENTOS DIÁRIOS'!$G$5:$G$500,"E",'LANÇAMENTOS DIÁRIOS'!$C$5:$C$500,$A6,'LANÇAMENTOS DIÁRIOS'!$O$5:$O$500,"&lt;=108399",'LANÇAMENTOS DIÁRIOS'!$P$5:$P$500,"&gt;=108300")&gt;0,"X","")</f>
      </c>
      <c r="AE6" s="56" t="str">
        <f>IF(COUNTIFS('LANÇAMENTOS DIÁRIOS'!$G$5:$G$500,"E",'LANÇAMENTOS DIÁRIOS'!$C$5:$C$500,$A6,'LANÇAMENTOS DIÁRIOS'!$O$5:$O$500,"&lt;=108499",'LANÇAMENTOS DIÁRIOS'!$P$5:$P$500,"&gt;=108400")&gt;0,"X","")</f>
      </c>
      <c r="AF6" s="56" t="str">
        <f>IF(COUNTIFS('LANÇAMENTOS DIÁRIOS'!$G$5:$G$500,"E",'LANÇAMENTOS DIÁRIOS'!$C$5:$C$500,$A6,'LANÇAMENTOS DIÁRIOS'!$O$5:$O$500,"&lt;=108599",'LANÇAMENTOS DIÁRIOS'!$P$5:$P$500,"&gt;=108500")&gt;0,"X","")</f>
      </c>
      <c r="AG6" s="56" t="str">
        <f>IF(COUNTIFS('LANÇAMENTOS DIÁRIOS'!$G$5:$G$500,"E",'LANÇAMENTOS DIÁRIOS'!$C$5:$C$500,$A6,'LANÇAMENTOS DIÁRIOS'!$O$5:$O$500,"&lt;=108699",'LANÇAMENTOS DIÁRIOS'!$P$5:$P$500,"&gt;=108600")&gt;0,"X","")</f>
      </c>
      <c r="AH6" s="56" t="str">
        <f>IF(COUNTIFS('LANÇAMENTOS DIÁRIOS'!$G$5:$G$500,"E",'LANÇAMENTOS DIÁRIOS'!$C$5:$C$500,$A6,'LANÇAMENTOS DIÁRIOS'!$O$5:$O$500,"&lt;=108799",'LANÇAMENTOS DIÁRIOS'!$P$5:$P$500,"&gt;=108700")&gt;0,"X","")</f>
      </c>
      <c r="AI6" s="56" t="str">
        <f>IF(COUNTIFS('LANÇAMENTOS DIÁRIOS'!$G$5:$G$500,"E",'LANÇAMENTOS DIÁRIOS'!$C$5:$C$500,$A6,'LANÇAMENTOS DIÁRIOS'!$O$5:$O$500,"&lt;=108899",'LANÇAMENTOS DIÁRIOS'!$P$5:$P$500,"&gt;=108800")&gt;0,"X","")</f>
      </c>
      <c r="AJ6" s="56" t="str">
        <f>IF(COUNTIFS('LANÇAMENTOS DIÁRIOS'!$G$5:$G$500,"E",'LANÇAMENTOS DIÁRIOS'!$C$5:$C$500,$A6,'LANÇAMENTOS DIÁRIOS'!$O$5:$O$500,"&lt;=108999",'LANÇAMENTOS DIÁRIOS'!$P$5:$P$500,"&gt;=108900")&gt;0,"X","")</f>
      </c>
      <c r="AK6" s="56" t="str">
        <f>IF(COUNTIFS('LANÇAMENTOS DIÁRIOS'!$G$5:$G$500,"E",'LANÇAMENTOS DIÁRIOS'!$C$5:$C$500,$A6,'LANÇAMENTOS DIÁRIOS'!$O$5:$O$500,"&lt;=109099",'LANÇAMENTOS DIÁRIOS'!$P$5:$P$500,"&gt;=109000")&gt;0,"X","")</f>
      </c>
      <c r="AL6" s="56" t="str">
        <f>IF(COUNTIFS('LANÇAMENTOS DIÁRIOS'!$G$5:$G$500,"E",'LANÇAMENTOS DIÁRIOS'!$C$5:$C$500,$A6,'LANÇAMENTOS DIÁRIOS'!$O$5:$O$500,"&lt;=109199",'LANÇAMENTOS DIÁRIOS'!$P$5:$P$500,"&gt;=109100")&gt;0,"X","")</f>
      </c>
      <c r="AM6" s="56" t="str">
        <f>IF(COUNTIFS('LANÇAMENTOS DIÁRIOS'!$G$5:$G$500,"E",'LANÇAMENTOS DIÁRIOS'!$C$5:$C$500,$A6,'LANÇAMENTOS DIÁRIOS'!$O$5:$O$500,"&lt;=109299",'LANÇAMENTOS DIÁRIOS'!$P$5:$P$500,"&gt;=109200")&gt;0,"X","")</f>
      </c>
      <c r="AN6" s="56" t="str">
        <f>IF(COUNTIFS('LANÇAMENTOS DIÁRIOS'!$G$5:$G$500,"E",'LANÇAMENTOS DIÁRIOS'!$C$5:$C$500,$A6,'LANÇAMENTOS DIÁRIOS'!$O$5:$O$500,"&lt;=109399",'LANÇAMENTOS DIÁRIOS'!$P$5:$P$500,"&gt;=109300")&gt;0,"X","")</f>
      </c>
      <c r="AO6" s="56" t="str">
        <f>IF(COUNTIFS('LANÇAMENTOS DIÁRIOS'!$G$5:$G$500,"E",'LANÇAMENTOS DIÁRIOS'!$C$5:$C$500,$A6,'LANÇAMENTOS DIÁRIOS'!$O$5:$O$500,"&lt;=109499",'LANÇAMENTOS DIÁRIOS'!$P$5:$P$500,"&gt;=109400")&gt;0,"X","")</f>
      </c>
      <c r="AP6" s="56" t="str">
        <f>IF(COUNTIFS('LANÇAMENTOS DIÁRIOS'!$G$5:$G$500,"E",'LANÇAMENTOS DIÁRIOS'!$C$5:$C$500,$A6,'LANÇAMENTOS DIÁRIOS'!$O$5:$O$500,"&lt;=109599",'LANÇAMENTOS DIÁRIOS'!$P$5:$P$500,"&gt;=109500")&gt;0,"X","")</f>
      </c>
      <c r="AQ6" s="56" t="str">
        <f>IF(COUNTIFS('LANÇAMENTOS DIÁRIOS'!$G$5:$G$500,"E",'LANÇAMENTOS DIÁRIOS'!$C$5:$C$500,$A6,'LANÇAMENTOS DIÁRIOS'!$O$5:$O$500,"&lt;=109699",'LANÇAMENTOS DIÁRIOS'!$P$5:$P$500,"&gt;=109600")&gt;0,"X","")</f>
      </c>
      <c r="AR6" s="56" t="str">
        <f>IF(COUNTIFS('LANÇAMENTOS DIÁRIOS'!$G$5:$G$500,"E",'LANÇAMENTOS DIÁRIOS'!$C$5:$C$500,$A6,'LANÇAMENTOS DIÁRIOS'!$O$5:$O$500,"&lt;=109799",'LANÇAMENTOS DIÁRIOS'!$P$5:$P$500,"&gt;=109700")&gt;0,"X","")</f>
      </c>
      <c r="AS6" s="56" t="str">
        <f>IF(COUNTIFS('LANÇAMENTOS DIÁRIOS'!$G$5:$G$500,"E",'LANÇAMENTOS DIÁRIOS'!$C$5:$C$500,$A6,'LANÇAMENTOS DIÁRIOS'!$O$5:$O$500,"&lt;=109899",'LANÇAMENTOS DIÁRIOS'!$P$5:$P$500,"&gt;=109800")&gt;0,"X","")</f>
      </c>
      <c r="AT6" s="56" t="str">
        <f>IF(COUNTIFS('LANÇAMENTOS DIÁRIOS'!$G$5:$G$500,"E",'LANÇAMENTOS DIÁRIOS'!$C$5:$C$500,$A6,'LANÇAMENTOS DIÁRIOS'!$O$5:$O$500,"&lt;=109999",'LANÇAMENTOS DIÁRIOS'!$P$5:$P$500,"&gt;=109900")&gt;0,"X","")</f>
      </c>
      <c r="AU6" s="56" t="str">
        <f>IF(COUNTIFS('LANÇAMENTOS DIÁRIOS'!$G$5:$G$500,"E",'LANÇAMENTOS DIÁRIOS'!$C$5:$C$500,$A6,'LANÇAMENTOS DIÁRIOS'!$O$5:$O$500,"&lt;=110099",'LANÇAMENTOS DIÁRIOS'!$P$5:$P$500,"&gt;=110000")&gt;0,"X","")</f>
      </c>
      <c r="AV6" s="56" t="str">
        <f>IF(COUNTIFS('LANÇAMENTOS DIÁRIOS'!$G$5:$G$500,"E",'LANÇAMENTOS DIÁRIOS'!$C$5:$C$500,$A6,'LANÇAMENTOS DIÁRIOS'!$O$5:$O$500,"&lt;=110199",'LANÇAMENTOS DIÁRIOS'!$P$5:$P$500,"&gt;=110100")&gt;0,"X","")</f>
      </c>
      <c r="AW6" s="56" t="str">
        <f>IF(COUNTIFS('LANÇAMENTOS DIÁRIOS'!$G$5:$G$500,"E",'LANÇAMENTOS DIÁRIOS'!$C$5:$C$500,$A6,'LANÇAMENTOS DIÁRIOS'!$O$5:$O$500,"&lt;=110299",'LANÇAMENTOS DIÁRIOS'!$P$5:$P$500,"&gt;=110200")&gt;0,"X","")</f>
      </c>
      <c r="AX6" s="56" t="str">
        <f>IF(COUNTIFS('LANÇAMENTOS DIÁRIOS'!$G$5:$G$500,"E",'LANÇAMENTOS DIÁRIOS'!$C$5:$C$500,$A6,'LANÇAMENTOS DIÁRIOS'!$O$5:$O$500,"&lt;=110399",'LANÇAMENTOS DIÁRIOS'!$P$5:$P$500,"&gt;=110300")&gt;0,"X","")</f>
      </c>
      <c r="AY6" s="56" t="str">
        <f>IF(COUNTIFS('LANÇAMENTOS DIÁRIOS'!$G$5:$G$500,"E",'LANÇAMENTOS DIÁRIOS'!$C$5:$C$500,$A6,'LANÇAMENTOS DIÁRIOS'!$O$5:$O$500,"&lt;=110499",'LANÇAMENTOS DIÁRIOS'!$P$5:$P$500,"&gt;=110400")&gt;0,"X","")</f>
      </c>
      <c r="AZ6" s="56" t="str">
        <f>IF(COUNTIFS('LANÇAMENTOS DIÁRIOS'!$G$5:$G$500,"E",'LANÇAMENTOS DIÁRIOS'!$C$5:$C$500,$A6,'LANÇAMENTOS DIÁRIOS'!$O$5:$O$500,"&lt;=110599",'LANÇAMENTOS DIÁRIOS'!$P$5:$P$500,"&gt;=110500")&gt;0,"X","")</f>
      </c>
      <c r="BA6" s="56" t="str">
        <f>IF(COUNTIFS('LANÇAMENTOS DIÁRIOS'!$G$5:$G$500,"E",'LANÇAMENTOS DIÁRIOS'!$C$5:$C$500,$A6,'LANÇAMENTOS DIÁRIOS'!$O$5:$O$500,"&lt;=110699",'LANÇAMENTOS DIÁRIOS'!$P$5:$P$500,"&gt;=110600")&gt;0,"X","")</f>
      </c>
      <c r="BB6" s="56" t="str">
        <f>IF(COUNTIFS('LANÇAMENTOS DIÁRIOS'!$G$5:$G$500,"E",'LANÇAMENTOS DIÁRIOS'!$C$5:$C$500,$A6,'LANÇAMENTOS DIÁRIOS'!$O$5:$O$500,"&lt;=110799",'LANÇAMENTOS DIÁRIOS'!$P$5:$P$500,"&gt;=110700")&gt;0,"X","")</f>
      </c>
      <c r="BC6" s="56" t="str">
        <f>IF(COUNTIFS('LANÇAMENTOS DIÁRIOS'!$G$5:$G$500,"E",'LANÇAMENTOS DIÁRIOS'!$C$5:$C$500,$A6,'LANÇAMENTOS DIÁRIOS'!$O$5:$O$500,"&lt;=110899",'LANÇAMENTOS DIÁRIOS'!$P$5:$P$500,"&gt;=110800")&gt;0,"X","")</f>
      </c>
      <c r="BD6" s="56" t="str">
        <f>IF(COUNTIFS('LANÇAMENTOS DIÁRIOS'!$G$5:$G$500,"E",'LANÇAMENTOS DIÁRIOS'!$C$5:$C$500,$A6,'LANÇAMENTOS DIÁRIOS'!$O$5:$O$500,"&lt;=110999",'LANÇAMENTOS DIÁRIOS'!$P$5:$P$500,"&gt;=110900")&gt;0,"X","")</f>
      </c>
      <c r="BE6" s="56" t="str">
        <f>IF(COUNTIFS('LANÇAMENTOS DIÁRIOS'!$G$5:$G$500,"E",'LANÇAMENTOS DIÁRIOS'!$C$5:$C$500,$A6,'LANÇAMENTOS DIÁRIOS'!$O$5:$O$500,"&lt;=111099",'LANÇAMENTOS DIÁRIOS'!$P$5:$P$500,"&gt;=111000")&gt;0,"X","")</f>
      </c>
      <c r="BF6" s="56" t="str">
        <f>IF(COUNTIFS('LANÇAMENTOS DIÁRIOS'!$G$5:$G$500,"E",'LANÇAMENTOS DIÁRIOS'!$C$5:$C$500,$A6,'LANÇAMENTOS DIÁRIOS'!$O$5:$O$500,"&lt;=111199",'LANÇAMENTOS DIÁRIOS'!$P$5:$P$500,"&gt;=111100")&gt;0,"X","")</f>
      </c>
      <c r="BG6" s="56" t="str">
        <f>IF(COUNTIFS('LANÇAMENTOS DIÁRIOS'!$G$5:$G$500,"E",'LANÇAMENTOS DIÁRIOS'!$C$5:$C$500,$A6,'LANÇAMENTOS DIÁRIOS'!$O$5:$O$500,"&lt;=111299",'LANÇAMENTOS DIÁRIOS'!$P$5:$P$500,"&gt;=111200")&gt;0,"X","")</f>
      </c>
      <c r="BH6" s="56" t="str">
        <f>IF(COUNTIFS('LANÇAMENTOS DIÁRIOS'!$G$5:$G$500,"E",'LANÇAMENTOS DIÁRIOS'!$C$5:$C$500,$A6,'LANÇAMENTOS DIÁRIOS'!$O$5:$O$500,"&lt;=111399",'LANÇAMENTOS DIÁRIOS'!$P$5:$P$500,"&gt;=111300")&gt;0,"X","")</f>
      </c>
      <c r="BI6" s="56" t="str">
        <f>IF(COUNTIFS('LANÇAMENTOS DIÁRIOS'!$G$5:$G$500,"E",'LANÇAMENTOS DIÁRIOS'!$C$5:$C$500,$A6,'LANÇAMENTOS DIÁRIOS'!$O$5:$O$500,"&lt;=111499",'LANÇAMENTOS DIÁRIOS'!$P$5:$P$500,"&gt;=111400")&gt;0,"X","")</f>
      </c>
      <c r="BJ6" s="56" t="str">
        <f>IF(COUNTIFS('LANÇAMENTOS DIÁRIOS'!$G$5:$G$500,"E",'LANÇAMENTOS DIÁRIOS'!$C$5:$C$500,$A6,'LANÇAMENTOS DIÁRIOS'!$O$5:$O$500,"&lt;=111500",'LANÇAMENTOS DIÁRIOS'!$P$5:$P$500,"&gt;=111500")&gt;0,"X","")</f>
      </c>
    </row>
    <row r="7">
      <c r="A7" s="51" t="str">
        <v>Remoção de placa de sinalização vertical instalada no solo</v>
      </c>
      <c r="B7" s="56" t="str">
        <f>IF(COUNTIFS('LANÇAMENTOS DIÁRIOS'!$G$5:$G$500,"E",'LANÇAMENTOS DIÁRIOS'!$C$5:$C$500,$A7,'LANÇAMENTOS DIÁRIOS'!$O$5:$O$500,"&lt;=105599",'LANÇAMENTOS DIÁRIOS'!$P$5:$P$500,"&gt;=105500")&gt;0,"X","")</f>
      </c>
      <c r="C7" s="56" t="str">
        <f>IF(COUNTIFS('LANÇAMENTOS DIÁRIOS'!$G$5:$G$500,"E",'LANÇAMENTOS DIÁRIOS'!$C$5:$C$500,$A7,'LANÇAMENTOS DIÁRIOS'!$O$5:$O$500,"&lt;=105699",'LANÇAMENTOS DIÁRIOS'!$P$5:$P$500,"&gt;=105600")&gt;0,"X","")</f>
      </c>
      <c r="D7" s="56" t="str">
        <f>IF(COUNTIFS('LANÇAMENTOS DIÁRIOS'!$G$5:$G$500,"E",'LANÇAMENTOS DIÁRIOS'!$C$5:$C$500,$A7,'LANÇAMENTOS DIÁRIOS'!$O$5:$O$500,"&lt;=105799",'LANÇAMENTOS DIÁRIOS'!$P$5:$P$500,"&gt;=105700")&gt;0,"X","")</f>
      </c>
      <c r="E7" s="56" t="str">
        <f>IF(COUNTIFS('LANÇAMENTOS DIÁRIOS'!$G$5:$G$500,"E",'LANÇAMENTOS DIÁRIOS'!$C$5:$C$500,$A7,'LANÇAMENTOS DIÁRIOS'!$O$5:$O$500,"&lt;=105899",'LANÇAMENTOS DIÁRIOS'!$P$5:$P$500,"&gt;=105800")&gt;0,"X","")</f>
      </c>
      <c r="F7" s="56" t="str">
        <f>IF(COUNTIFS('LANÇAMENTOS DIÁRIOS'!$G$5:$G$500,"E",'LANÇAMENTOS DIÁRIOS'!$C$5:$C$500,$A7,'LANÇAMENTOS DIÁRIOS'!$O$5:$O$500,"&lt;=105999",'LANÇAMENTOS DIÁRIOS'!$P$5:$P$500,"&gt;=105900")&gt;0,"X","")</f>
      </c>
      <c r="G7" s="56" t="str">
        <f>IF(COUNTIFS('LANÇAMENTOS DIÁRIOS'!$G$5:$G$500,"E",'LANÇAMENTOS DIÁRIOS'!$C$5:$C$500,$A7,'LANÇAMENTOS DIÁRIOS'!$O$5:$O$500,"&lt;=106099",'LANÇAMENTOS DIÁRIOS'!$P$5:$P$500,"&gt;=106000")&gt;0,"X","")</f>
      </c>
      <c r="H7" s="56" t="str">
        <f>IF(COUNTIFS('LANÇAMENTOS DIÁRIOS'!$G$5:$G$500,"E",'LANÇAMENTOS DIÁRIOS'!$C$5:$C$500,$A7,'LANÇAMENTOS DIÁRIOS'!$O$5:$O$500,"&lt;=106199",'LANÇAMENTOS DIÁRIOS'!$P$5:$P$500,"&gt;=106100")&gt;0,"X","")</f>
      </c>
      <c r="I7" s="56" t="str">
        <f>IF(COUNTIFS('LANÇAMENTOS DIÁRIOS'!$G$5:$G$500,"E",'LANÇAMENTOS DIÁRIOS'!$C$5:$C$500,$A7,'LANÇAMENTOS DIÁRIOS'!$O$5:$O$500,"&lt;=106299",'LANÇAMENTOS DIÁRIOS'!$P$5:$P$500,"&gt;=106200")&gt;0,"X","")</f>
      </c>
      <c r="J7" s="56" t="str">
        <f>IF(COUNTIFS('LANÇAMENTOS DIÁRIOS'!$G$5:$G$500,"E",'LANÇAMENTOS DIÁRIOS'!$C$5:$C$500,$A7,'LANÇAMENTOS DIÁRIOS'!$O$5:$O$500,"&lt;=106399",'LANÇAMENTOS DIÁRIOS'!$P$5:$P$500,"&gt;=106300")&gt;0,"X","")</f>
      </c>
      <c r="K7" s="56" t="str">
        <f>IF(COUNTIFS('LANÇAMENTOS DIÁRIOS'!$G$5:$G$500,"E",'LANÇAMENTOS DIÁRIOS'!$C$5:$C$500,$A7,'LANÇAMENTOS DIÁRIOS'!$O$5:$O$500,"&lt;=106499",'LANÇAMENTOS DIÁRIOS'!$P$5:$P$500,"&gt;=106400")&gt;0,"X","")</f>
      </c>
      <c r="L7" s="56" t="str">
        <f>IF(COUNTIFS('LANÇAMENTOS DIÁRIOS'!$G$5:$G$500,"E",'LANÇAMENTOS DIÁRIOS'!$C$5:$C$500,$A7,'LANÇAMENTOS DIÁRIOS'!$O$5:$O$500,"&lt;=106599",'LANÇAMENTOS DIÁRIOS'!$P$5:$P$500,"&gt;=106500")&gt;0,"X","")</f>
      </c>
      <c r="M7" s="56" t="str">
        <f>IF(COUNTIFS('LANÇAMENTOS DIÁRIOS'!$G$5:$G$500,"E",'LANÇAMENTOS DIÁRIOS'!$C$5:$C$500,$A7,'LANÇAMENTOS DIÁRIOS'!$O$5:$O$500,"&lt;=106699",'LANÇAMENTOS DIÁRIOS'!$P$5:$P$500,"&gt;=106600")&gt;0,"X","")</f>
      </c>
      <c r="N7" s="56" t="str">
        <f>IF(COUNTIFS('LANÇAMENTOS DIÁRIOS'!$G$5:$G$500,"E",'LANÇAMENTOS DIÁRIOS'!$C$5:$C$500,$A7,'LANÇAMENTOS DIÁRIOS'!$O$5:$O$500,"&lt;=106799",'LANÇAMENTOS DIÁRIOS'!$P$5:$P$500,"&gt;=106700")&gt;0,"X","")</f>
      </c>
      <c r="O7" s="56" t="str">
        <f>IF(COUNTIFS('LANÇAMENTOS DIÁRIOS'!$G$5:$G$500,"E",'LANÇAMENTOS DIÁRIOS'!$C$5:$C$500,$A7,'LANÇAMENTOS DIÁRIOS'!$O$5:$O$500,"&lt;=106899",'LANÇAMENTOS DIÁRIOS'!$P$5:$P$500,"&gt;=106800")&gt;0,"X","")</f>
      </c>
      <c r="P7" s="56" t="str">
        <f>IF(COUNTIFS('LANÇAMENTOS DIÁRIOS'!$G$5:$G$500,"E",'LANÇAMENTOS DIÁRIOS'!$C$5:$C$500,$A7,'LANÇAMENTOS DIÁRIOS'!$O$5:$O$500,"&lt;=106999",'LANÇAMENTOS DIÁRIOS'!$P$5:$P$500,"&gt;=106900")&gt;0,"X","")</f>
      </c>
      <c r="Q7" s="56" t="str">
        <f>IF(COUNTIFS('LANÇAMENTOS DIÁRIOS'!$G$5:$G$500,"E",'LANÇAMENTOS DIÁRIOS'!$C$5:$C$500,$A7,'LANÇAMENTOS DIÁRIOS'!$O$5:$O$500,"&lt;=107099",'LANÇAMENTOS DIÁRIOS'!$P$5:$P$500,"&gt;=107000")&gt;0,"X","")</f>
      </c>
      <c r="R7" s="56" t="str">
        <f>IF(COUNTIFS('LANÇAMENTOS DIÁRIOS'!$G$5:$G$500,"E",'LANÇAMENTOS DIÁRIOS'!$C$5:$C$500,$A7,'LANÇAMENTOS DIÁRIOS'!$O$5:$O$500,"&lt;=107199",'LANÇAMENTOS DIÁRIOS'!$P$5:$P$500,"&gt;=107100")&gt;0,"X","")</f>
      </c>
      <c r="S7" s="56" t="str">
        <f>IF(COUNTIFS('LANÇAMENTOS DIÁRIOS'!$G$5:$G$500,"E",'LANÇAMENTOS DIÁRIOS'!$C$5:$C$500,$A7,'LANÇAMENTOS DIÁRIOS'!$O$5:$O$500,"&lt;=107299",'LANÇAMENTOS DIÁRIOS'!$P$5:$P$500,"&gt;=107200")&gt;0,"X","")</f>
      </c>
      <c r="T7" s="56" t="str">
        <f>IF(COUNTIFS('LANÇAMENTOS DIÁRIOS'!$G$5:$G$500,"E",'LANÇAMENTOS DIÁRIOS'!$C$5:$C$500,$A7,'LANÇAMENTOS DIÁRIOS'!$O$5:$O$500,"&lt;=107399",'LANÇAMENTOS DIÁRIOS'!$P$5:$P$500,"&gt;=107300")&gt;0,"X","")</f>
      </c>
      <c r="U7" s="56" t="str">
        <f>IF(COUNTIFS('LANÇAMENTOS DIÁRIOS'!$G$5:$G$500,"E",'LANÇAMENTOS DIÁRIOS'!$C$5:$C$500,$A7,'LANÇAMENTOS DIÁRIOS'!$O$5:$O$500,"&lt;=107499",'LANÇAMENTOS DIÁRIOS'!$P$5:$P$500,"&gt;=107400")&gt;0,"X","")</f>
      </c>
      <c r="V7" s="56" t="str">
        <f>IF(COUNTIFS('LANÇAMENTOS DIÁRIOS'!$G$5:$G$500,"E",'LANÇAMENTOS DIÁRIOS'!$C$5:$C$500,$A7,'LANÇAMENTOS DIÁRIOS'!$O$5:$O$500,"&lt;=107599",'LANÇAMENTOS DIÁRIOS'!$P$5:$P$500,"&gt;=107500")&gt;0,"X","")</f>
      </c>
      <c r="W7" s="56" t="str">
        <f>IF(COUNTIFS('LANÇAMENTOS DIÁRIOS'!$G$5:$G$500,"E",'LANÇAMENTOS DIÁRIOS'!$C$5:$C$500,$A7,'LANÇAMENTOS DIÁRIOS'!$O$5:$O$500,"&lt;=107699",'LANÇAMENTOS DIÁRIOS'!$P$5:$P$500,"&gt;=107600")&gt;0,"X","")</f>
      </c>
      <c r="X7" s="56" t="str">
        <f>IF(COUNTIFS('LANÇAMENTOS DIÁRIOS'!$G$5:$G$500,"E",'LANÇAMENTOS DIÁRIOS'!$C$5:$C$500,$A7,'LANÇAMENTOS DIÁRIOS'!$O$5:$O$500,"&lt;=107799",'LANÇAMENTOS DIÁRIOS'!$P$5:$P$500,"&gt;=107700")&gt;0,"X","")</f>
      </c>
      <c r="Y7" s="56" t="str">
        <f>IF(COUNTIFS('LANÇAMENTOS DIÁRIOS'!$G$5:$G$500,"E",'LANÇAMENTOS DIÁRIOS'!$C$5:$C$500,$A7,'LANÇAMENTOS DIÁRIOS'!$O$5:$O$500,"&lt;=107899",'LANÇAMENTOS DIÁRIOS'!$P$5:$P$500,"&gt;=107800")&gt;0,"X","")</f>
      </c>
      <c r="Z7" s="56" t="str">
        <f>IF(COUNTIFS('LANÇAMENTOS DIÁRIOS'!$G$5:$G$500,"E",'LANÇAMENTOS DIÁRIOS'!$C$5:$C$500,$A7,'LANÇAMENTOS DIÁRIOS'!$O$5:$O$500,"&lt;=107999",'LANÇAMENTOS DIÁRIOS'!$P$5:$P$500,"&gt;=107900")&gt;0,"X","")</f>
      </c>
      <c r="AA7" s="56" t="str">
        <f>IF(COUNTIFS('LANÇAMENTOS DIÁRIOS'!$G$5:$G$500,"E",'LANÇAMENTOS DIÁRIOS'!$C$5:$C$500,$A7,'LANÇAMENTOS DIÁRIOS'!$O$5:$O$500,"&lt;=108099",'LANÇAMENTOS DIÁRIOS'!$P$5:$P$500,"&gt;=108000")&gt;0,"X","")</f>
      </c>
      <c r="AB7" s="56" t="str">
        <f>IF(COUNTIFS('LANÇAMENTOS DIÁRIOS'!$G$5:$G$500,"E",'LANÇAMENTOS DIÁRIOS'!$C$5:$C$500,$A7,'LANÇAMENTOS DIÁRIOS'!$O$5:$O$500,"&lt;=108199",'LANÇAMENTOS DIÁRIOS'!$P$5:$P$500,"&gt;=108100")&gt;0,"X","")</f>
      </c>
      <c r="AC7" s="56" t="str">
        <f>IF(COUNTIFS('LANÇAMENTOS DIÁRIOS'!$G$5:$G$500,"E",'LANÇAMENTOS DIÁRIOS'!$C$5:$C$500,$A7,'LANÇAMENTOS DIÁRIOS'!$O$5:$O$500,"&lt;=108299",'LANÇAMENTOS DIÁRIOS'!$P$5:$P$500,"&gt;=108200")&gt;0,"X","")</f>
      </c>
      <c r="AD7" s="56" t="str">
        <f>IF(COUNTIFS('LANÇAMENTOS DIÁRIOS'!$G$5:$G$500,"E",'LANÇAMENTOS DIÁRIOS'!$C$5:$C$500,$A7,'LANÇAMENTOS DIÁRIOS'!$O$5:$O$500,"&lt;=108399",'LANÇAMENTOS DIÁRIOS'!$P$5:$P$500,"&gt;=108300")&gt;0,"X","")</f>
      </c>
      <c r="AE7" s="56" t="str">
        <f>IF(COUNTIFS('LANÇAMENTOS DIÁRIOS'!$G$5:$G$500,"E",'LANÇAMENTOS DIÁRIOS'!$C$5:$C$500,$A7,'LANÇAMENTOS DIÁRIOS'!$O$5:$O$500,"&lt;=108499",'LANÇAMENTOS DIÁRIOS'!$P$5:$P$500,"&gt;=108400")&gt;0,"X","")</f>
      </c>
      <c r="AF7" s="56" t="str">
        <f>IF(COUNTIFS('LANÇAMENTOS DIÁRIOS'!$G$5:$G$500,"E",'LANÇAMENTOS DIÁRIOS'!$C$5:$C$500,$A7,'LANÇAMENTOS DIÁRIOS'!$O$5:$O$500,"&lt;=108599",'LANÇAMENTOS DIÁRIOS'!$P$5:$P$500,"&gt;=108500")&gt;0,"X","")</f>
      </c>
      <c r="AG7" s="56" t="str">
        <f>IF(COUNTIFS('LANÇAMENTOS DIÁRIOS'!$G$5:$G$500,"E",'LANÇAMENTOS DIÁRIOS'!$C$5:$C$500,$A7,'LANÇAMENTOS DIÁRIOS'!$O$5:$O$500,"&lt;=108699",'LANÇAMENTOS DIÁRIOS'!$P$5:$P$500,"&gt;=108600")&gt;0,"X","")</f>
      </c>
      <c r="AH7" s="56" t="str">
        <f>IF(COUNTIFS('LANÇAMENTOS DIÁRIOS'!$G$5:$G$500,"E",'LANÇAMENTOS DIÁRIOS'!$C$5:$C$500,$A7,'LANÇAMENTOS DIÁRIOS'!$O$5:$O$500,"&lt;=108799",'LANÇAMENTOS DIÁRIOS'!$P$5:$P$500,"&gt;=108700")&gt;0,"X","")</f>
      </c>
      <c r="AI7" s="56" t="str">
        <f>IF(COUNTIFS('LANÇAMENTOS DIÁRIOS'!$G$5:$G$500,"E",'LANÇAMENTOS DIÁRIOS'!$C$5:$C$500,$A7,'LANÇAMENTOS DIÁRIOS'!$O$5:$O$500,"&lt;=108899",'LANÇAMENTOS DIÁRIOS'!$P$5:$P$500,"&gt;=108800")&gt;0,"X","")</f>
      </c>
      <c r="AJ7" s="56" t="str">
        <f>IF(COUNTIFS('LANÇAMENTOS DIÁRIOS'!$G$5:$G$500,"E",'LANÇAMENTOS DIÁRIOS'!$C$5:$C$500,$A7,'LANÇAMENTOS DIÁRIOS'!$O$5:$O$500,"&lt;=108999",'LANÇAMENTOS DIÁRIOS'!$P$5:$P$500,"&gt;=108900")&gt;0,"X","")</f>
      </c>
      <c r="AK7" s="56" t="str">
        <f>IF(COUNTIFS('LANÇAMENTOS DIÁRIOS'!$G$5:$G$500,"E",'LANÇAMENTOS DIÁRIOS'!$C$5:$C$500,$A7,'LANÇAMENTOS DIÁRIOS'!$O$5:$O$500,"&lt;=109099",'LANÇAMENTOS DIÁRIOS'!$P$5:$P$500,"&gt;=109000")&gt;0,"X","")</f>
      </c>
      <c r="AL7" s="56" t="str">
        <f>IF(COUNTIFS('LANÇAMENTOS DIÁRIOS'!$G$5:$G$500,"E",'LANÇAMENTOS DIÁRIOS'!$C$5:$C$500,$A7,'LANÇAMENTOS DIÁRIOS'!$O$5:$O$500,"&lt;=109199",'LANÇAMENTOS DIÁRIOS'!$P$5:$P$500,"&gt;=109100")&gt;0,"X","")</f>
      </c>
      <c r="AM7" s="56" t="str">
        <f>IF(COUNTIFS('LANÇAMENTOS DIÁRIOS'!$G$5:$G$500,"E",'LANÇAMENTOS DIÁRIOS'!$C$5:$C$500,$A7,'LANÇAMENTOS DIÁRIOS'!$O$5:$O$500,"&lt;=109299",'LANÇAMENTOS DIÁRIOS'!$P$5:$P$500,"&gt;=109200")&gt;0,"X","")</f>
      </c>
      <c r="AN7" s="56" t="str">
        <f>IF(COUNTIFS('LANÇAMENTOS DIÁRIOS'!$G$5:$G$500,"E",'LANÇAMENTOS DIÁRIOS'!$C$5:$C$500,$A7,'LANÇAMENTOS DIÁRIOS'!$O$5:$O$500,"&lt;=109399",'LANÇAMENTOS DIÁRIOS'!$P$5:$P$500,"&gt;=109300")&gt;0,"X","")</f>
      </c>
      <c r="AO7" s="56" t="str">
        <f>IF(COUNTIFS('LANÇAMENTOS DIÁRIOS'!$G$5:$G$500,"E",'LANÇAMENTOS DIÁRIOS'!$C$5:$C$500,$A7,'LANÇAMENTOS DIÁRIOS'!$O$5:$O$500,"&lt;=109499",'LANÇAMENTOS DIÁRIOS'!$P$5:$P$500,"&gt;=109400")&gt;0,"X","")</f>
      </c>
      <c r="AP7" s="56" t="str">
        <f>IF(COUNTIFS('LANÇAMENTOS DIÁRIOS'!$G$5:$G$500,"E",'LANÇAMENTOS DIÁRIOS'!$C$5:$C$500,$A7,'LANÇAMENTOS DIÁRIOS'!$O$5:$O$500,"&lt;=109599",'LANÇAMENTOS DIÁRIOS'!$P$5:$P$500,"&gt;=109500")&gt;0,"X","")</f>
      </c>
      <c r="AQ7" s="56" t="str">
        <f>IF(COUNTIFS('LANÇAMENTOS DIÁRIOS'!$G$5:$G$500,"E",'LANÇAMENTOS DIÁRIOS'!$C$5:$C$500,$A7,'LANÇAMENTOS DIÁRIOS'!$O$5:$O$500,"&lt;=109699",'LANÇAMENTOS DIÁRIOS'!$P$5:$P$500,"&gt;=109600")&gt;0,"X","")</f>
      </c>
      <c r="AR7" s="56" t="str">
        <f>IF(COUNTIFS('LANÇAMENTOS DIÁRIOS'!$G$5:$G$500,"E",'LANÇAMENTOS DIÁRIOS'!$C$5:$C$500,$A7,'LANÇAMENTOS DIÁRIOS'!$O$5:$O$500,"&lt;=109799",'LANÇAMENTOS DIÁRIOS'!$P$5:$P$500,"&gt;=109700")&gt;0,"X","")</f>
      </c>
      <c r="AS7" s="56" t="str">
        <f>IF(COUNTIFS('LANÇAMENTOS DIÁRIOS'!$G$5:$G$500,"E",'LANÇAMENTOS DIÁRIOS'!$C$5:$C$500,$A7,'LANÇAMENTOS DIÁRIOS'!$O$5:$O$500,"&lt;=109899",'LANÇAMENTOS DIÁRIOS'!$P$5:$P$500,"&gt;=109800")&gt;0,"X","")</f>
      </c>
      <c r="AT7" s="56" t="str">
        <f>IF(COUNTIFS('LANÇAMENTOS DIÁRIOS'!$G$5:$G$500,"E",'LANÇAMENTOS DIÁRIOS'!$C$5:$C$500,$A7,'LANÇAMENTOS DIÁRIOS'!$O$5:$O$500,"&lt;=109999",'LANÇAMENTOS DIÁRIOS'!$P$5:$P$500,"&gt;=109900")&gt;0,"X","")</f>
      </c>
      <c r="AU7" s="56" t="str">
        <f>IF(COUNTIFS('LANÇAMENTOS DIÁRIOS'!$G$5:$G$500,"E",'LANÇAMENTOS DIÁRIOS'!$C$5:$C$500,$A7,'LANÇAMENTOS DIÁRIOS'!$O$5:$O$500,"&lt;=110099",'LANÇAMENTOS DIÁRIOS'!$P$5:$P$500,"&gt;=110000")&gt;0,"X","")</f>
      </c>
      <c r="AV7" s="56" t="str">
        <f>IF(COUNTIFS('LANÇAMENTOS DIÁRIOS'!$G$5:$G$500,"E",'LANÇAMENTOS DIÁRIOS'!$C$5:$C$500,$A7,'LANÇAMENTOS DIÁRIOS'!$O$5:$O$500,"&lt;=110199",'LANÇAMENTOS DIÁRIOS'!$P$5:$P$500,"&gt;=110100")&gt;0,"X","")</f>
      </c>
      <c r="AW7" s="56" t="str">
        <f>IF(COUNTIFS('LANÇAMENTOS DIÁRIOS'!$G$5:$G$500,"E",'LANÇAMENTOS DIÁRIOS'!$C$5:$C$500,$A7,'LANÇAMENTOS DIÁRIOS'!$O$5:$O$500,"&lt;=110299",'LANÇAMENTOS DIÁRIOS'!$P$5:$P$500,"&gt;=110200")&gt;0,"X","")</f>
      </c>
      <c r="AX7" s="56" t="str">
        <f>IF(COUNTIFS('LANÇAMENTOS DIÁRIOS'!$G$5:$G$500,"E",'LANÇAMENTOS DIÁRIOS'!$C$5:$C$500,$A7,'LANÇAMENTOS DIÁRIOS'!$O$5:$O$500,"&lt;=110399",'LANÇAMENTOS DIÁRIOS'!$P$5:$P$500,"&gt;=110300")&gt;0,"X","")</f>
      </c>
      <c r="AY7" s="56" t="str">
        <f>IF(COUNTIFS('LANÇAMENTOS DIÁRIOS'!$G$5:$G$500,"E",'LANÇAMENTOS DIÁRIOS'!$C$5:$C$500,$A7,'LANÇAMENTOS DIÁRIOS'!$O$5:$O$500,"&lt;=110499",'LANÇAMENTOS DIÁRIOS'!$P$5:$P$500,"&gt;=110400")&gt;0,"X","")</f>
      </c>
      <c r="AZ7" s="56" t="str">
        <f>IF(COUNTIFS('LANÇAMENTOS DIÁRIOS'!$G$5:$G$500,"E",'LANÇAMENTOS DIÁRIOS'!$C$5:$C$500,$A7,'LANÇAMENTOS DIÁRIOS'!$O$5:$O$500,"&lt;=110599",'LANÇAMENTOS DIÁRIOS'!$P$5:$P$500,"&gt;=110500")&gt;0,"X","")</f>
      </c>
      <c r="BA7" s="56" t="str">
        <f>IF(COUNTIFS('LANÇAMENTOS DIÁRIOS'!$G$5:$G$500,"E",'LANÇAMENTOS DIÁRIOS'!$C$5:$C$500,$A7,'LANÇAMENTOS DIÁRIOS'!$O$5:$O$500,"&lt;=110699",'LANÇAMENTOS DIÁRIOS'!$P$5:$P$500,"&gt;=110600")&gt;0,"X","")</f>
      </c>
      <c r="BB7" s="56" t="str">
        <f>IF(COUNTIFS('LANÇAMENTOS DIÁRIOS'!$G$5:$G$500,"E",'LANÇAMENTOS DIÁRIOS'!$C$5:$C$500,$A7,'LANÇAMENTOS DIÁRIOS'!$O$5:$O$500,"&lt;=110799",'LANÇAMENTOS DIÁRIOS'!$P$5:$P$500,"&gt;=110700")&gt;0,"X","")</f>
      </c>
      <c r="BC7" s="56" t="str">
        <f>IF(COUNTIFS('LANÇAMENTOS DIÁRIOS'!$G$5:$G$500,"E",'LANÇAMENTOS DIÁRIOS'!$C$5:$C$500,$A7,'LANÇAMENTOS DIÁRIOS'!$O$5:$O$500,"&lt;=110899",'LANÇAMENTOS DIÁRIOS'!$P$5:$P$500,"&gt;=110800")&gt;0,"X","")</f>
      </c>
      <c r="BD7" s="56" t="str">
        <f>IF(COUNTIFS('LANÇAMENTOS DIÁRIOS'!$G$5:$G$500,"E",'LANÇAMENTOS DIÁRIOS'!$C$5:$C$500,$A7,'LANÇAMENTOS DIÁRIOS'!$O$5:$O$500,"&lt;=110999",'LANÇAMENTOS DIÁRIOS'!$P$5:$P$500,"&gt;=110900")&gt;0,"X","")</f>
      </c>
      <c r="BE7" s="56" t="str">
        <f>IF(COUNTIFS('LANÇAMENTOS DIÁRIOS'!$G$5:$G$500,"E",'LANÇAMENTOS DIÁRIOS'!$C$5:$C$500,$A7,'LANÇAMENTOS DIÁRIOS'!$O$5:$O$500,"&lt;=111099",'LANÇAMENTOS DIÁRIOS'!$P$5:$P$500,"&gt;=111000")&gt;0,"X","")</f>
      </c>
      <c r="BF7" s="56" t="str">
        <f>IF(COUNTIFS('LANÇAMENTOS DIÁRIOS'!$G$5:$G$500,"E",'LANÇAMENTOS DIÁRIOS'!$C$5:$C$500,$A7,'LANÇAMENTOS DIÁRIOS'!$O$5:$O$500,"&lt;=111199",'LANÇAMENTOS DIÁRIOS'!$P$5:$P$500,"&gt;=111100")&gt;0,"X","")</f>
      </c>
      <c r="BG7" s="56" t="str">
        <f>IF(COUNTIFS('LANÇAMENTOS DIÁRIOS'!$G$5:$G$500,"E",'LANÇAMENTOS DIÁRIOS'!$C$5:$C$500,$A7,'LANÇAMENTOS DIÁRIOS'!$O$5:$O$500,"&lt;=111299",'LANÇAMENTOS DIÁRIOS'!$P$5:$P$500,"&gt;=111200")&gt;0,"X","")</f>
      </c>
      <c r="BH7" s="56" t="str">
        <f>IF(COUNTIFS('LANÇAMENTOS DIÁRIOS'!$G$5:$G$500,"E",'LANÇAMENTOS DIÁRIOS'!$C$5:$C$500,$A7,'LANÇAMENTOS DIÁRIOS'!$O$5:$O$500,"&lt;=111399",'LANÇAMENTOS DIÁRIOS'!$P$5:$P$500,"&gt;=111300")&gt;0,"X","")</f>
      </c>
      <c r="BI7" s="56" t="str">
        <f>IF(COUNTIFS('LANÇAMENTOS DIÁRIOS'!$G$5:$G$500,"E",'LANÇAMENTOS DIÁRIOS'!$C$5:$C$500,$A7,'LANÇAMENTOS DIÁRIOS'!$O$5:$O$500,"&lt;=111499",'LANÇAMENTOS DIÁRIOS'!$P$5:$P$500,"&gt;=111400")&gt;0,"X","")</f>
      </c>
      <c r="BJ7" s="56" t="str">
        <f>IF(COUNTIFS('LANÇAMENTOS DIÁRIOS'!$G$5:$G$500,"E",'LANÇAMENTOS DIÁRIOS'!$C$5:$C$500,$A7,'LANÇAMENTOS DIÁRIOS'!$O$5:$O$500,"&lt;=111500",'LANÇAMENTOS DIÁRIOS'!$P$5:$P$500,"&gt;=111500")&gt;0,"X","")</f>
      </c>
    </row>
    <row r="8">
      <c r="A8" s="51" t="str">
        <v>Demolição de OAE (Km 84+100)</v>
      </c>
      <c r="B8" s="56" t="str">
        <f>IF(COUNTIFS('LANÇAMENTOS DIÁRIOS'!$G$5:$G$500,"E",'LANÇAMENTOS DIÁRIOS'!$C$5:$C$500,$A8,'LANÇAMENTOS DIÁRIOS'!$O$5:$O$500,"&lt;=105599",'LANÇAMENTOS DIÁRIOS'!$P$5:$P$500,"&gt;=105500")&gt;0,"X","")</f>
      </c>
      <c r="C8" s="56" t="str">
        <f>IF(COUNTIFS('LANÇAMENTOS DIÁRIOS'!$G$5:$G$500,"E",'LANÇAMENTOS DIÁRIOS'!$C$5:$C$500,$A8,'LANÇAMENTOS DIÁRIOS'!$O$5:$O$500,"&lt;=105699",'LANÇAMENTOS DIÁRIOS'!$P$5:$P$500,"&gt;=105600")&gt;0,"X","")</f>
      </c>
      <c r="D8" s="56" t="str">
        <f>IF(COUNTIFS('LANÇAMENTOS DIÁRIOS'!$G$5:$G$500,"E",'LANÇAMENTOS DIÁRIOS'!$C$5:$C$500,$A8,'LANÇAMENTOS DIÁRIOS'!$O$5:$O$500,"&lt;=105799",'LANÇAMENTOS DIÁRIOS'!$P$5:$P$500,"&gt;=105700")&gt;0,"X","")</f>
      </c>
      <c r="E8" s="56" t="str">
        <f>IF(COUNTIFS('LANÇAMENTOS DIÁRIOS'!$G$5:$G$500,"E",'LANÇAMENTOS DIÁRIOS'!$C$5:$C$500,$A8,'LANÇAMENTOS DIÁRIOS'!$O$5:$O$500,"&lt;=105899",'LANÇAMENTOS DIÁRIOS'!$P$5:$P$500,"&gt;=105800")&gt;0,"X","")</f>
      </c>
      <c r="F8" s="56" t="str">
        <f>IF(COUNTIFS('LANÇAMENTOS DIÁRIOS'!$G$5:$G$500,"E",'LANÇAMENTOS DIÁRIOS'!$C$5:$C$500,$A8,'LANÇAMENTOS DIÁRIOS'!$O$5:$O$500,"&lt;=105999",'LANÇAMENTOS DIÁRIOS'!$P$5:$P$500,"&gt;=105900")&gt;0,"X","")</f>
      </c>
      <c r="G8" s="56" t="str">
        <f>IF(COUNTIFS('LANÇAMENTOS DIÁRIOS'!$G$5:$G$500,"E",'LANÇAMENTOS DIÁRIOS'!$C$5:$C$500,$A8,'LANÇAMENTOS DIÁRIOS'!$O$5:$O$500,"&lt;=106099",'LANÇAMENTOS DIÁRIOS'!$P$5:$P$500,"&gt;=106000")&gt;0,"X","")</f>
      </c>
      <c r="H8" s="56" t="str">
        <f>IF(COUNTIFS('LANÇAMENTOS DIÁRIOS'!$G$5:$G$500,"E",'LANÇAMENTOS DIÁRIOS'!$C$5:$C$500,$A8,'LANÇAMENTOS DIÁRIOS'!$O$5:$O$500,"&lt;=106199",'LANÇAMENTOS DIÁRIOS'!$P$5:$P$500,"&gt;=106100")&gt;0,"X","")</f>
      </c>
      <c r="I8" s="56" t="str">
        <f>IF(COUNTIFS('LANÇAMENTOS DIÁRIOS'!$G$5:$G$500,"E",'LANÇAMENTOS DIÁRIOS'!$C$5:$C$500,$A8,'LANÇAMENTOS DIÁRIOS'!$O$5:$O$500,"&lt;=106299",'LANÇAMENTOS DIÁRIOS'!$P$5:$P$500,"&gt;=106200")&gt;0,"X","")</f>
      </c>
      <c r="J8" s="56" t="str">
        <f>IF(COUNTIFS('LANÇAMENTOS DIÁRIOS'!$G$5:$G$500,"E",'LANÇAMENTOS DIÁRIOS'!$C$5:$C$500,$A8,'LANÇAMENTOS DIÁRIOS'!$O$5:$O$500,"&lt;=106399",'LANÇAMENTOS DIÁRIOS'!$P$5:$P$500,"&gt;=106300")&gt;0,"X","")</f>
      </c>
      <c r="K8" s="56" t="str">
        <f>IF(COUNTIFS('LANÇAMENTOS DIÁRIOS'!$G$5:$G$500,"E",'LANÇAMENTOS DIÁRIOS'!$C$5:$C$500,$A8,'LANÇAMENTOS DIÁRIOS'!$O$5:$O$500,"&lt;=106499",'LANÇAMENTOS DIÁRIOS'!$P$5:$P$500,"&gt;=106400")&gt;0,"X","")</f>
      </c>
      <c r="L8" s="56" t="str">
        <f>IF(COUNTIFS('LANÇAMENTOS DIÁRIOS'!$G$5:$G$500,"E",'LANÇAMENTOS DIÁRIOS'!$C$5:$C$500,$A8,'LANÇAMENTOS DIÁRIOS'!$O$5:$O$500,"&lt;=106599",'LANÇAMENTOS DIÁRIOS'!$P$5:$P$500,"&gt;=106500")&gt;0,"X","")</f>
      </c>
      <c r="M8" s="56" t="str">
        <f>IF(COUNTIFS('LANÇAMENTOS DIÁRIOS'!$G$5:$G$500,"E",'LANÇAMENTOS DIÁRIOS'!$C$5:$C$500,$A8,'LANÇAMENTOS DIÁRIOS'!$O$5:$O$500,"&lt;=106699",'LANÇAMENTOS DIÁRIOS'!$P$5:$P$500,"&gt;=106600")&gt;0,"X","")</f>
      </c>
      <c r="N8" s="56" t="str">
        <f>IF(COUNTIFS('LANÇAMENTOS DIÁRIOS'!$G$5:$G$500,"E",'LANÇAMENTOS DIÁRIOS'!$C$5:$C$500,$A8,'LANÇAMENTOS DIÁRIOS'!$O$5:$O$500,"&lt;=106799",'LANÇAMENTOS DIÁRIOS'!$P$5:$P$500,"&gt;=106700")&gt;0,"X","")</f>
      </c>
      <c r="O8" s="56" t="str">
        <f>IF(COUNTIFS('LANÇAMENTOS DIÁRIOS'!$G$5:$G$500,"E",'LANÇAMENTOS DIÁRIOS'!$C$5:$C$500,$A8,'LANÇAMENTOS DIÁRIOS'!$O$5:$O$500,"&lt;=106899",'LANÇAMENTOS DIÁRIOS'!$P$5:$P$500,"&gt;=106800")&gt;0,"X","")</f>
      </c>
      <c r="P8" s="56" t="str">
        <f>IF(COUNTIFS('LANÇAMENTOS DIÁRIOS'!$G$5:$G$500,"E",'LANÇAMENTOS DIÁRIOS'!$C$5:$C$500,$A8,'LANÇAMENTOS DIÁRIOS'!$O$5:$O$500,"&lt;=106999",'LANÇAMENTOS DIÁRIOS'!$P$5:$P$500,"&gt;=106900")&gt;0,"X","")</f>
      </c>
      <c r="Q8" s="56" t="str">
        <f>IF(COUNTIFS('LANÇAMENTOS DIÁRIOS'!$G$5:$G$500,"E",'LANÇAMENTOS DIÁRIOS'!$C$5:$C$500,$A8,'LANÇAMENTOS DIÁRIOS'!$O$5:$O$500,"&lt;=107099",'LANÇAMENTOS DIÁRIOS'!$P$5:$P$500,"&gt;=107000")&gt;0,"X","")</f>
      </c>
      <c r="R8" s="56" t="str">
        <f>IF(COUNTIFS('LANÇAMENTOS DIÁRIOS'!$G$5:$G$500,"E",'LANÇAMENTOS DIÁRIOS'!$C$5:$C$500,$A8,'LANÇAMENTOS DIÁRIOS'!$O$5:$O$500,"&lt;=107199",'LANÇAMENTOS DIÁRIOS'!$P$5:$P$500,"&gt;=107100")&gt;0,"X","")</f>
      </c>
      <c r="S8" s="56" t="str">
        <f>IF(COUNTIFS('LANÇAMENTOS DIÁRIOS'!$G$5:$G$500,"E",'LANÇAMENTOS DIÁRIOS'!$C$5:$C$500,$A8,'LANÇAMENTOS DIÁRIOS'!$O$5:$O$500,"&lt;=107299",'LANÇAMENTOS DIÁRIOS'!$P$5:$P$500,"&gt;=107200")&gt;0,"X","")</f>
      </c>
      <c r="T8" s="56" t="str">
        <f>IF(COUNTIFS('LANÇAMENTOS DIÁRIOS'!$G$5:$G$500,"E",'LANÇAMENTOS DIÁRIOS'!$C$5:$C$500,$A8,'LANÇAMENTOS DIÁRIOS'!$O$5:$O$500,"&lt;=107399",'LANÇAMENTOS DIÁRIOS'!$P$5:$P$500,"&gt;=107300")&gt;0,"X","")</f>
      </c>
      <c r="U8" s="56" t="str">
        <f>IF(COUNTIFS('LANÇAMENTOS DIÁRIOS'!$G$5:$G$500,"E",'LANÇAMENTOS DIÁRIOS'!$C$5:$C$500,$A8,'LANÇAMENTOS DIÁRIOS'!$O$5:$O$500,"&lt;=107499",'LANÇAMENTOS DIÁRIOS'!$P$5:$P$500,"&gt;=107400")&gt;0,"X","")</f>
      </c>
      <c r="V8" s="56" t="str">
        <f>IF(COUNTIFS('LANÇAMENTOS DIÁRIOS'!$G$5:$G$500,"E",'LANÇAMENTOS DIÁRIOS'!$C$5:$C$500,$A8,'LANÇAMENTOS DIÁRIOS'!$O$5:$O$500,"&lt;=107599",'LANÇAMENTOS DIÁRIOS'!$P$5:$P$500,"&gt;=107500")&gt;0,"X","")</f>
      </c>
      <c r="W8" s="56" t="str">
        <f>IF(COUNTIFS('LANÇAMENTOS DIÁRIOS'!$G$5:$G$500,"E",'LANÇAMENTOS DIÁRIOS'!$C$5:$C$500,$A8,'LANÇAMENTOS DIÁRIOS'!$O$5:$O$500,"&lt;=107699",'LANÇAMENTOS DIÁRIOS'!$P$5:$P$500,"&gt;=107600")&gt;0,"X","")</f>
      </c>
      <c r="X8" s="56" t="str">
        <f>IF(COUNTIFS('LANÇAMENTOS DIÁRIOS'!$G$5:$G$500,"E",'LANÇAMENTOS DIÁRIOS'!$C$5:$C$500,$A8,'LANÇAMENTOS DIÁRIOS'!$O$5:$O$500,"&lt;=107799",'LANÇAMENTOS DIÁRIOS'!$P$5:$P$500,"&gt;=107700")&gt;0,"X","")</f>
      </c>
      <c r="Y8" s="56" t="str">
        <f>IF(COUNTIFS('LANÇAMENTOS DIÁRIOS'!$G$5:$G$500,"E",'LANÇAMENTOS DIÁRIOS'!$C$5:$C$500,$A8,'LANÇAMENTOS DIÁRIOS'!$O$5:$O$500,"&lt;=107899",'LANÇAMENTOS DIÁRIOS'!$P$5:$P$500,"&gt;=107800")&gt;0,"X","")</f>
      </c>
      <c r="Z8" s="56" t="str">
        <f>IF(COUNTIFS('LANÇAMENTOS DIÁRIOS'!$G$5:$G$500,"E",'LANÇAMENTOS DIÁRIOS'!$C$5:$C$500,$A8,'LANÇAMENTOS DIÁRIOS'!$O$5:$O$500,"&lt;=107999",'LANÇAMENTOS DIÁRIOS'!$P$5:$P$500,"&gt;=107900")&gt;0,"X","")</f>
      </c>
      <c r="AA8" s="56" t="str">
        <f>IF(COUNTIFS('LANÇAMENTOS DIÁRIOS'!$G$5:$G$500,"E",'LANÇAMENTOS DIÁRIOS'!$C$5:$C$500,$A8,'LANÇAMENTOS DIÁRIOS'!$O$5:$O$500,"&lt;=108099",'LANÇAMENTOS DIÁRIOS'!$P$5:$P$500,"&gt;=108000")&gt;0,"X","")</f>
      </c>
      <c r="AB8" s="56" t="str">
        <f>IF(COUNTIFS('LANÇAMENTOS DIÁRIOS'!$G$5:$G$500,"E",'LANÇAMENTOS DIÁRIOS'!$C$5:$C$500,$A8,'LANÇAMENTOS DIÁRIOS'!$O$5:$O$500,"&lt;=108199",'LANÇAMENTOS DIÁRIOS'!$P$5:$P$500,"&gt;=108100")&gt;0,"X","")</f>
      </c>
      <c r="AC8" s="56" t="str">
        <f>IF(COUNTIFS('LANÇAMENTOS DIÁRIOS'!$G$5:$G$500,"E",'LANÇAMENTOS DIÁRIOS'!$C$5:$C$500,$A8,'LANÇAMENTOS DIÁRIOS'!$O$5:$O$500,"&lt;=108299",'LANÇAMENTOS DIÁRIOS'!$P$5:$P$500,"&gt;=108200")&gt;0,"X","")</f>
      </c>
      <c r="AD8" s="56" t="str">
        <f>IF(COUNTIFS('LANÇAMENTOS DIÁRIOS'!$G$5:$G$500,"E",'LANÇAMENTOS DIÁRIOS'!$C$5:$C$500,$A8,'LANÇAMENTOS DIÁRIOS'!$O$5:$O$500,"&lt;=108399",'LANÇAMENTOS DIÁRIOS'!$P$5:$P$500,"&gt;=108300")&gt;0,"X","")</f>
      </c>
      <c r="AE8" s="56" t="str">
        <f>IF(COUNTIFS('LANÇAMENTOS DIÁRIOS'!$G$5:$G$500,"E",'LANÇAMENTOS DIÁRIOS'!$C$5:$C$500,$A8,'LANÇAMENTOS DIÁRIOS'!$O$5:$O$500,"&lt;=108499",'LANÇAMENTOS DIÁRIOS'!$P$5:$P$500,"&gt;=108400")&gt;0,"X","")</f>
      </c>
      <c r="AF8" s="56" t="str">
        <f>IF(COUNTIFS('LANÇAMENTOS DIÁRIOS'!$G$5:$G$500,"E",'LANÇAMENTOS DIÁRIOS'!$C$5:$C$500,$A8,'LANÇAMENTOS DIÁRIOS'!$O$5:$O$500,"&lt;=108599",'LANÇAMENTOS DIÁRIOS'!$P$5:$P$500,"&gt;=108500")&gt;0,"X","")</f>
      </c>
      <c r="AG8" s="56" t="str">
        <f>IF(COUNTIFS('LANÇAMENTOS DIÁRIOS'!$G$5:$G$500,"E",'LANÇAMENTOS DIÁRIOS'!$C$5:$C$500,$A8,'LANÇAMENTOS DIÁRIOS'!$O$5:$O$500,"&lt;=108699",'LANÇAMENTOS DIÁRIOS'!$P$5:$P$500,"&gt;=108600")&gt;0,"X","")</f>
      </c>
      <c r="AH8" s="56" t="str">
        <f>IF(COUNTIFS('LANÇAMENTOS DIÁRIOS'!$G$5:$G$500,"E",'LANÇAMENTOS DIÁRIOS'!$C$5:$C$500,$A8,'LANÇAMENTOS DIÁRIOS'!$O$5:$O$500,"&lt;=108799",'LANÇAMENTOS DIÁRIOS'!$P$5:$P$500,"&gt;=108700")&gt;0,"X","")</f>
      </c>
      <c r="AI8" s="56" t="str">
        <f>IF(COUNTIFS('LANÇAMENTOS DIÁRIOS'!$G$5:$G$500,"E",'LANÇAMENTOS DIÁRIOS'!$C$5:$C$500,$A8,'LANÇAMENTOS DIÁRIOS'!$O$5:$O$500,"&lt;=108899",'LANÇAMENTOS DIÁRIOS'!$P$5:$P$500,"&gt;=108800")&gt;0,"X","")</f>
      </c>
      <c r="AJ8" s="56" t="str">
        <f>IF(COUNTIFS('LANÇAMENTOS DIÁRIOS'!$G$5:$G$500,"E",'LANÇAMENTOS DIÁRIOS'!$C$5:$C$500,$A8,'LANÇAMENTOS DIÁRIOS'!$O$5:$O$500,"&lt;=108999",'LANÇAMENTOS DIÁRIOS'!$P$5:$P$500,"&gt;=108900")&gt;0,"X","")</f>
      </c>
      <c r="AK8" s="56" t="str">
        <f>IF(COUNTIFS('LANÇAMENTOS DIÁRIOS'!$G$5:$G$500,"E",'LANÇAMENTOS DIÁRIOS'!$C$5:$C$500,$A8,'LANÇAMENTOS DIÁRIOS'!$O$5:$O$500,"&lt;=109099",'LANÇAMENTOS DIÁRIOS'!$P$5:$P$500,"&gt;=109000")&gt;0,"X","")</f>
      </c>
      <c r="AL8" s="56" t="str">
        <f>IF(COUNTIFS('LANÇAMENTOS DIÁRIOS'!$G$5:$G$500,"E",'LANÇAMENTOS DIÁRIOS'!$C$5:$C$500,$A8,'LANÇAMENTOS DIÁRIOS'!$O$5:$O$500,"&lt;=109199",'LANÇAMENTOS DIÁRIOS'!$P$5:$P$500,"&gt;=109100")&gt;0,"X","")</f>
      </c>
      <c r="AM8" s="56" t="str">
        <f>IF(COUNTIFS('LANÇAMENTOS DIÁRIOS'!$G$5:$G$500,"E",'LANÇAMENTOS DIÁRIOS'!$C$5:$C$500,$A8,'LANÇAMENTOS DIÁRIOS'!$O$5:$O$500,"&lt;=109299",'LANÇAMENTOS DIÁRIOS'!$P$5:$P$500,"&gt;=109200")&gt;0,"X","")</f>
      </c>
      <c r="AN8" s="56" t="str">
        <f>IF(COUNTIFS('LANÇAMENTOS DIÁRIOS'!$G$5:$G$500,"E",'LANÇAMENTOS DIÁRIOS'!$C$5:$C$500,$A8,'LANÇAMENTOS DIÁRIOS'!$O$5:$O$500,"&lt;=109399",'LANÇAMENTOS DIÁRIOS'!$P$5:$P$500,"&gt;=109300")&gt;0,"X","")</f>
      </c>
      <c r="AO8" s="56" t="str">
        <f>IF(COUNTIFS('LANÇAMENTOS DIÁRIOS'!$G$5:$G$500,"E",'LANÇAMENTOS DIÁRIOS'!$C$5:$C$500,$A8,'LANÇAMENTOS DIÁRIOS'!$O$5:$O$500,"&lt;=109499",'LANÇAMENTOS DIÁRIOS'!$P$5:$P$500,"&gt;=109400")&gt;0,"X","")</f>
      </c>
      <c r="AP8" s="56" t="str">
        <f>IF(COUNTIFS('LANÇAMENTOS DIÁRIOS'!$G$5:$G$500,"E",'LANÇAMENTOS DIÁRIOS'!$C$5:$C$500,$A8,'LANÇAMENTOS DIÁRIOS'!$O$5:$O$500,"&lt;=109599",'LANÇAMENTOS DIÁRIOS'!$P$5:$P$500,"&gt;=109500")&gt;0,"X","")</f>
      </c>
      <c r="AQ8" s="56" t="str">
        <f>IF(COUNTIFS('LANÇAMENTOS DIÁRIOS'!$G$5:$G$500,"E",'LANÇAMENTOS DIÁRIOS'!$C$5:$C$500,$A8,'LANÇAMENTOS DIÁRIOS'!$O$5:$O$500,"&lt;=109699",'LANÇAMENTOS DIÁRIOS'!$P$5:$P$500,"&gt;=109600")&gt;0,"X","")</f>
      </c>
      <c r="AR8" s="56" t="str">
        <f>IF(COUNTIFS('LANÇAMENTOS DIÁRIOS'!$G$5:$G$500,"E",'LANÇAMENTOS DIÁRIOS'!$C$5:$C$500,$A8,'LANÇAMENTOS DIÁRIOS'!$O$5:$O$500,"&lt;=109799",'LANÇAMENTOS DIÁRIOS'!$P$5:$P$500,"&gt;=109700")&gt;0,"X","")</f>
      </c>
      <c r="AS8" s="56" t="str">
        <f>IF(COUNTIFS('LANÇAMENTOS DIÁRIOS'!$G$5:$G$500,"E",'LANÇAMENTOS DIÁRIOS'!$C$5:$C$500,$A8,'LANÇAMENTOS DIÁRIOS'!$O$5:$O$500,"&lt;=109899",'LANÇAMENTOS DIÁRIOS'!$P$5:$P$500,"&gt;=109800")&gt;0,"X","")</f>
      </c>
      <c r="AT8" s="56" t="str">
        <f>IF(COUNTIFS('LANÇAMENTOS DIÁRIOS'!$G$5:$G$500,"E",'LANÇAMENTOS DIÁRIOS'!$C$5:$C$500,$A8,'LANÇAMENTOS DIÁRIOS'!$O$5:$O$500,"&lt;=109999",'LANÇAMENTOS DIÁRIOS'!$P$5:$P$500,"&gt;=109900")&gt;0,"X","")</f>
      </c>
      <c r="AU8" s="56" t="str">
        <f>IF(COUNTIFS('LANÇAMENTOS DIÁRIOS'!$G$5:$G$500,"E",'LANÇAMENTOS DIÁRIOS'!$C$5:$C$500,$A8,'LANÇAMENTOS DIÁRIOS'!$O$5:$O$500,"&lt;=110099",'LANÇAMENTOS DIÁRIOS'!$P$5:$P$500,"&gt;=110000")&gt;0,"X","")</f>
      </c>
      <c r="AV8" s="56" t="str">
        <f>IF(COUNTIFS('LANÇAMENTOS DIÁRIOS'!$G$5:$G$500,"E",'LANÇAMENTOS DIÁRIOS'!$C$5:$C$500,$A8,'LANÇAMENTOS DIÁRIOS'!$O$5:$O$500,"&lt;=110199",'LANÇAMENTOS DIÁRIOS'!$P$5:$P$500,"&gt;=110100")&gt;0,"X","")</f>
      </c>
      <c r="AW8" s="56" t="str">
        <f>IF(COUNTIFS('LANÇAMENTOS DIÁRIOS'!$G$5:$G$500,"E",'LANÇAMENTOS DIÁRIOS'!$C$5:$C$500,$A8,'LANÇAMENTOS DIÁRIOS'!$O$5:$O$500,"&lt;=110299",'LANÇAMENTOS DIÁRIOS'!$P$5:$P$500,"&gt;=110200")&gt;0,"X","")</f>
      </c>
      <c r="AX8" s="56" t="str">
        <f>IF(COUNTIFS('LANÇAMENTOS DIÁRIOS'!$G$5:$G$500,"E",'LANÇAMENTOS DIÁRIOS'!$C$5:$C$500,$A8,'LANÇAMENTOS DIÁRIOS'!$O$5:$O$500,"&lt;=110399",'LANÇAMENTOS DIÁRIOS'!$P$5:$P$500,"&gt;=110300")&gt;0,"X","")</f>
      </c>
      <c r="AY8" s="56" t="str">
        <f>IF(COUNTIFS('LANÇAMENTOS DIÁRIOS'!$G$5:$G$500,"E",'LANÇAMENTOS DIÁRIOS'!$C$5:$C$500,$A8,'LANÇAMENTOS DIÁRIOS'!$O$5:$O$500,"&lt;=110499",'LANÇAMENTOS DIÁRIOS'!$P$5:$P$500,"&gt;=110400")&gt;0,"X","")</f>
      </c>
      <c r="AZ8" s="56" t="str">
        <f>IF(COUNTIFS('LANÇAMENTOS DIÁRIOS'!$G$5:$G$500,"E",'LANÇAMENTOS DIÁRIOS'!$C$5:$C$500,$A8,'LANÇAMENTOS DIÁRIOS'!$O$5:$O$500,"&lt;=110599",'LANÇAMENTOS DIÁRIOS'!$P$5:$P$500,"&gt;=110500")&gt;0,"X","")</f>
      </c>
      <c r="BA8" s="56" t="str">
        <f>IF(COUNTIFS('LANÇAMENTOS DIÁRIOS'!$G$5:$G$500,"E",'LANÇAMENTOS DIÁRIOS'!$C$5:$C$500,$A8,'LANÇAMENTOS DIÁRIOS'!$O$5:$O$500,"&lt;=110699",'LANÇAMENTOS DIÁRIOS'!$P$5:$P$500,"&gt;=110600")&gt;0,"X","")</f>
      </c>
      <c r="BB8" s="56" t="str">
        <f>IF(COUNTIFS('LANÇAMENTOS DIÁRIOS'!$G$5:$G$500,"E",'LANÇAMENTOS DIÁRIOS'!$C$5:$C$500,$A8,'LANÇAMENTOS DIÁRIOS'!$O$5:$O$500,"&lt;=110799",'LANÇAMENTOS DIÁRIOS'!$P$5:$P$500,"&gt;=110700")&gt;0,"X","")</f>
      </c>
      <c r="BC8" s="56" t="str">
        <f>IF(COUNTIFS('LANÇAMENTOS DIÁRIOS'!$G$5:$G$500,"E",'LANÇAMENTOS DIÁRIOS'!$C$5:$C$500,$A8,'LANÇAMENTOS DIÁRIOS'!$O$5:$O$500,"&lt;=110899",'LANÇAMENTOS DIÁRIOS'!$P$5:$P$500,"&gt;=110800")&gt;0,"X","")</f>
      </c>
      <c r="BD8" s="56" t="str">
        <f>IF(COUNTIFS('LANÇAMENTOS DIÁRIOS'!$G$5:$G$500,"E",'LANÇAMENTOS DIÁRIOS'!$C$5:$C$500,$A8,'LANÇAMENTOS DIÁRIOS'!$O$5:$O$500,"&lt;=110999",'LANÇAMENTOS DIÁRIOS'!$P$5:$P$500,"&gt;=110900")&gt;0,"X","")</f>
      </c>
      <c r="BE8" s="56" t="str">
        <f>IF(COUNTIFS('LANÇAMENTOS DIÁRIOS'!$G$5:$G$500,"E",'LANÇAMENTOS DIÁRIOS'!$C$5:$C$500,$A8,'LANÇAMENTOS DIÁRIOS'!$O$5:$O$500,"&lt;=111099",'LANÇAMENTOS DIÁRIOS'!$P$5:$P$500,"&gt;=111000")&gt;0,"X","")</f>
      </c>
      <c r="BF8" s="56" t="str">
        <f>IF(COUNTIFS('LANÇAMENTOS DIÁRIOS'!$G$5:$G$500,"E",'LANÇAMENTOS DIÁRIOS'!$C$5:$C$500,$A8,'LANÇAMENTOS DIÁRIOS'!$O$5:$O$500,"&lt;=111199",'LANÇAMENTOS DIÁRIOS'!$P$5:$P$500,"&gt;=111100")&gt;0,"X","")</f>
      </c>
      <c r="BG8" s="56" t="str">
        <f>IF(COUNTIFS('LANÇAMENTOS DIÁRIOS'!$G$5:$G$500,"E",'LANÇAMENTOS DIÁRIOS'!$C$5:$C$500,$A8,'LANÇAMENTOS DIÁRIOS'!$O$5:$O$500,"&lt;=111299",'LANÇAMENTOS DIÁRIOS'!$P$5:$P$500,"&gt;=111200")&gt;0,"X","")</f>
      </c>
      <c r="BH8" s="56" t="str">
        <f>IF(COUNTIFS('LANÇAMENTOS DIÁRIOS'!$G$5:$G$500,"E",'LANÇAMENTOS DIÁRIOS'!$C$5:$C$500,$A8,'LANÇAMENTOS DIÁRIOS'!$O$5:$O$500,"&lt;=111399",'LANÇAMENTOS DIÁRIOS'!$P$5:$P$500,"&gt;=111300")&gt;0,"X","")</f>
      </c>
      <c r="BI8" s="56" t="str">
        <f>IF(COUNTIFS('LANÇAMENTOS DIÁRIOS'!$G$5:$G$500,"E",'LANÇAMENTOS DIÁRIOS'!$C$5:$C$500,$A8,'LANÇAMENTOS DIÁRIOS'!$O$5:$O$500,"&lt;=111499",'LANÇAMENTOS DIÁRIOS'!$P$5:$P$500,"&gt;=111400")&gt;0,"X","")</f>
      </c>
      <c r="BJ8" s="56" t="str">
        <f>IF(COUNTIFS('LANÇAMENTOS DIÁRIOS'!$G$5:$G$500,"E",'LANÇAMENTOS DIÁRIOS'!$C$5:$C$500,$A8,'LANÇAMENTOS DIÁRIOS'!$O$5:$O$500,"&lt;=111500",'LANÇAMENTOS DIÁRIOS'!$P$5:$P$500,"&gt;=111500")&gt;0,"X","")</f>
      </c>
    </row>
    <row r="9">
      <c r="A9" s="51" t="str">
        <v>Remoção de postes com luminárias</v>
      </c>
      <c r="B9" s="56" t="str">
        <f>IF(COUNTIFS('LANÇAMENTOS DIÁRIOS'!$G$5:$G$500,"E",'LANÇAMENTOS DIÁRIOS'!$C$5:$C$500,$A9,'LANÇAMENTOS DIÁRIOS'!$O$5:$O$500,"&lt;=105599",'LANÇAMENTOS DIÁRIOS'!$P$5:$P$500,"&gt;=105500")&gt;0,"X","")</f>
      </c>
      <c r="C9" s="56" t="str">
        <f>IF(COUNTIFS('LANÇAMENTOS DIÁRIOS'!$G$5:$G$500,"E",'LANÇAMENTOS DIÁRIOS'!$C$5:$C$500,$A9,'LANÇAMENTOS DIÁRIOS'!$O$5:$O$500,"&lt;=105699",'LANÇAMENTOS DIÁRIOS'!$P$5:$P$500,"&gt;=105600")&gt;0,"X","")</f>
      </c>
      <c r="D9" s="56" t="str">
        <f>IF(COUNTIFS('LANÇAMENTOS DIÁRIOS'!$G$5:$G$500,"E",'LANÇAMENTOS DIÁRIOS'!$C$5:$C$500,$A9,'LANÇAMENTOS DIÁRIOS'!$O$5:$O$500,"&lt;=105799",'LANÇAMENTOS DIÁRIOS'!$P$5:$P$500,"&gt;=105700")&gt;0,"X","")</f>
      </c>
      <c r="E9" s="56" t="str">
        <f>IF(COUNTIFS('LANÇAMENTOS DIÁRIOS'!$G$5:$G$500,"E",'LANÇAMENTOS DIÁRIOS'!$C$5:$C$500,$A9,'LANÇAMENTOS DIÁRIOS'!$O$5:$O$500,"&lt;=105899",'LANÇAMENTOS DIÁRIOS'!$P$5:$P$500,"&gt;=105800")&gt;0,"X","")</f>
      </c>
      <c r="F9" s="56" t="str">
        <f>IF(COUNTIFS('LANÇAMENTOS DIÁRIOS'!$G$5:$G$500,"E",'LANÇAMENTOS DIÁRIOS'!$C$5:$C$500,$A9,'LANÇAMENTOS DIÁRIOS'!$O$5:$O$500,"&lt;=105999",'LANÇAMENTOS DIÁRIOS'!$P$5:$P$500,"&gt;=105900")&gt;0,"X","")</f>
      </c>
      <c r="G9" s="56" t="str">
        <f>IF(COUNTIFS('LANÇAMENTOS DIÁRIOS'!$G$5:$G$500,"E",'LANÇAMENTOS DIÁRIOS'!$C$5:$C$500,$A9,'LANÇAMENTOS DIÁRIOS'!$O$5:$O$500,"&lt;=106099",'LANÇAMENTOS DIÁRIOS'!$P$5:$P$500,"&gt;=106000")&gt;0,"X","")</f>
      </c>
      <c r="H9" s="56" t="str">
        <f>IF(COUNTIFS('LANÇAMENTOS DIÁRIOS'!$G$5:$G$500,"E",'LANÇAMENTOS DIÁRIOS'!$C$5:$C$500,$A9,'LANÇAMENTOS DIÁRIOS'!$O$5:$O$500,"&lt;=106199",'LANÇAMENTOS DIÁRIOS'!$P$5:$P$500,"&gt;=106100")&gt;0,"X","")</f>
      </c>
      <c r="I9" s="56" t="str">
        <f>IF(COUNTIFS('LANÇAMENTOS DIÁRIOS'!$G$5:$G$500,"E",'LANÇAMENTOS DIÁRIOS'!$C$5:$C$500,$A9,'LANÇAMENTOS DIÁRIOS'!$O$5:$O$500,"&lt;=106299",'LANÇAMENTOS DIÁRIOS'!$P$5:$P$500,"&gt;=106200")&gt;0,"X","")</f>
      </c>
      <c r="J9" s="56" t="str">
        <f>IF(COUNTIFS('LANÇAMENTOS DIÁRIOS'!$G$5:$G$500,"E",'LANÇAMENTOS DIÁRIOS'!$C$5:$C$500,$A9,'LANÇAMENTOS DIÁRIOS'!$O$5:$O$500,"&lt;=106399",'LANÇAMENTOS DIÁRIOS'!$P$5:$P$500,"&gt;=106300")&gt;0,"X","")</f>
      </c>
      <c r="K9" s="56" t="str">
        <f>IF(COUNTIFS('LANÇAMENTOS DIÁRIOS'!$G$5:$G$500,"E",'LANÇAMENTOS DIÁRIOS'!$C$5:$C$500,$A9,'LANÇAMENTOS DIÁRIOS'!$O$5:$O$500,"&lt;=106499",'LANÇAMENTOS DIÁRIOS'!$P$5:$P$500,"&gt;=106400")&gt;0,"X","")</f>
      </c>
      <c r="L9" s="56" t="str">
        <f>IF(COUNTIFS('LANÇAMENTOS DIÁRIOS'!$G$5:$G$500,"E",'LANÇAMENTOS DIÁRIOS'!$C$5:$C$500,$A9,'LANÇAMENTOS DIÁRIOS'!$O$5:$O$500,"&lt;=106599",'LANÇAMENTOS DIÁRIOS'!$P$5:$P$500,"&gt;=106500")&gt;0,"X","")</f>
      </c>
      <c r="M9" s="56" t="str">
        <f>IF(COUNTIFS('LANÇAMENTOS DIÁRIOS'!$G$5:$G$500,"E",'LANÇAMENTOS DIÁRIOS'!$C$5:$C$500,$A9,'LANÇAMENTOS DIÁRIOS'!$O$5:$O$500,"&lt;=106699",'LANÇAMENTOS DIÁRIOS'!$P$5:$P$500,"&gt;=106600")&gt;0,"X","")</f>
      </c>
      <c r="N9" s="56" t="str">
        <f>IF(COUNTIFS('LANÇAMENTOS DIÁRIOS'!$G$5:$G$500,"E",'LANÇAMENTOS DIÁRIOS'!$C$5:$C$500,$A9,'LANÇAMENTOS DIÁRIOS'!$O$5:$O$500,"&lt;=106799",'LANÇAMENTOS DIÁRIOS'!$P$5:$P$500,"&gt;=106700")&gt;0,"X","")</f>
      </c>
      <c r="O9" s="56" t="str">
        <f>IF(COUNTIFS('LANÇAMENTOS DIÁRIOS'!$G$5:$G$500,"E",'LANÇAMENTOS DIÁRIOS'!$C$5:$C$500,$A9,'LANÇAMENTOS DIÁRIOS'!$O$5:$O$500,"&lt;=106899",'LANÇAMENTOS DIÁRIOS'!$P$5:$P$500,"&gt;=106800")&gt;0,"X","")</f>
      </c>
      <c r="P9" s="56" t="str">
        <f>IF(COUNTIFS('LANÇAMENTOS DIÁRIOS'!$G$5:$G$500,"E",'LANÇAMENTOS DIÁRIOS'!$C$5:$C$500,$A9,'LANÇAMENTOS DIÁRIOS'!$O$5:$O$500,"&lt;=106999",'LANÇAMENTOS DIÁRIOS'!$P$5:$P$500,"&gt;=106900")&gt;0,"X","")</f>
      </c>
      <c r="Q9" s="56" t="str">
        <f>IF(COUNTIFS('LANÇAMENTOS DIÁRIOS'!$G$5:$G$500,"E",'LANÇAMENTOS DIÁRIOS'!$C$5:$C$500,$A9,'LANÇAMENTOS DIÁRIOS'!$O$5:$O$500,"&lt;=107099",'LANÇAMENTOS DIÁRIOS'!$P$5:$P$500,"&gt;=107000")&gt;0,"X","")</f>
      </c>
      <c r="R9" s="56" t="str">
        <f>IF(COUNTIFS('LANÇAMENTOS DIÁRIOS'!$G$5:$G$500,"E",'LANÇAMENTOS DIÁRIOS'!$C$5:$C$500,$A9,'LANÇAMENTOS DIÁRIOS'!$O$5:$O$500,"&lt;=107199",'LANÇAMENTOS DIÁRIOS'!$P$5:$P$500,"&gt;=107100")&gt;0,"X","")</f>
      </c>
      <c r="S9" s="56" t="str">
        <f>IF(COUNTIFS('LANÇAMENTOS DIÁRIOS'!$G$5:$G$500,"E",'LANÇAMENTOS DIÁRIOS'!$C$5:$C$500,$A9,'LANÇAMENTOS DIÁRIOS'!$O$5:$O$500,"&lt;=107299",'LANÇAMENTOS DIÁRIOS'!$P$5:$P$500,"&gt;=107200")&gt;0,"X","")</f>
      </c>
      <c r="T9" s="56" t="str">
        <f>IF(COUNTIFS('LANÇAMENTOS DIÁRIOS'!$G$5:$G$500,"E",'LANÇAMENTOS DIÁRIOS'!$C$5:$C$500,$A9,'LANÇAMENTOS DIÁRIOS'!$O$5:$O$500,"&lt;=107399",'LANÇAMENTOS DIÁRIOS'!$P$5:$P$500,"&gt;=107300")&gt;0,"X","")</f>
      </c>
      <c r="U9" s="56" t="str">
        <f>IF(COUNTIFS('LANÇAMENTOS DIÁRIOS'!$G$5:$G$500,"E",'LANÇAMENTOS DIÁRIOS'!$C$5:$C$500,$A9,'LANÇAMENTOS DIÁRIOS'!$O$5:$O$500,"&lt;=107499",'LANÇAMENTOS DIÁRIOS'!$P$5:$P$500,"&gt;=107400")&gt;0,"X","")</f>
      </c>
      <c r="V9" s="56" t="str">
        <f>IF(COUNTIFS('LANÇAMENTOS DIÁRIOS'!$G$5:$G$500,"E",'LANÇAMENTOS DIÁRIOS'!$C$5:$C$500,$A9,'LANÇAMENTOS DIÁRIOS'!$O$5:$O$500,"&lt;=107599",'LANÇAMENTOS DIÁRIOS'!$P$5:$P$500,"&gt;=107500")&gt;0,"X","")</f>
      </c>
      <c r="W9" s="56" t="str">
        <f>IF(COUNTIFS('LANÇAMENTOS DIÁRIOS'!$G$5:$G$500,"E",'LANÇAMENTOS DIÁRIOS'!$C$5:$C$500,$A9,'LANÇAMENTOS DIÁRIOS'!$O$5:$O$500,"&lt;=107699",'LANÇAMENTOS DIÁRIOS'!$P$5:$P$500,"&gt;=107600")&gt;0,"X","")</f>
      </c>
      <c r="X9" s="56" t="str">
        <f>IF(COUNTIFS('LANÇAMENTOS DIÁRIOS'!$G$5:$G$500,"E",'LANÇAMENTOS DIÁRIOS'!$C$5:$C$500,$A9,'LANÇAMENTOS DIÁRIOS'!$O$5:$O$500,"&lt;=107799",'LANÇAMENTOS DIÁRIOS'!$P$5:$P$500,"&gt;=107700")&gt;0,"X","")</f>
      </c>
      <c r="Y9" s="56" t="str">
        <f>IF(COUNTIFS('LANÇAMENTOS DIÁRIOS'!$G$5:$G$500,"E",'LANÇAMENTOS DIÁRIOS'!$C$5:$C$500,$A9,'LANÇAMENTOS DIÁRIOS'!$O$5:$O$500,"&lt;=107899",'LANÇAMENTOS DIÁRIOS'!$P$5:$P$500,"&gt;=107800")&gt;0,"X","")</f>
      </c>
      <c r="Z9" s="56" t="str">
        <f>IF(COUNTIFS('LANÇAMENTOS DIÁRIOS'!$G$5:$G$500,"E",'LANÇAMENTOS DIÁRIOS'!$C$5:$C$500,$A9,'LANÇAMENTOS DIÁRIOS'!$O$5:$O$500,"&lt;=107999",'LANÇAMENTOS DIÁRIOS'!$P$5:$P$500,"&gt;=107900")&gt;0,"X","")</f>
      </c>
      <c r="AA9" s="56" t="str">
        <f>IF(COUNTIFS('LANÇAMENTOS DIÁRIOS'!$G$5:$G$500,"E",'LANÇAMENTOS DIÁRIOS'!$C$5:$C$500,$A9,'LANÇAMENTOS DIÁRIOS'!$O$5:$O$500,"&lt;=108099",'LANÇAMENTOS DIÁRIOS'!$P$5:$P$500,"&gt;=108000")&gt;0,"X","")</f>
      </c>
      <c r="AB9" s="56" t="str">
        <f>IF(COUNTIFS('LANÇAMENTOS DIÁRIOS'!$G$5:$G$500,"E",'LANÇAMENTOS DIÁRIOS'!$C$5:$C$500,$A9,'LANÇAMENTOS DIÁRIOS'!$O$5:$O$500,"&lt;=108199",'LANÇAMENTOS DIÁRIOS'!$P$5:$P$500,"&gt;=108100")&gt;0,"X","")</f>
      </c>
      <c r="AC9" s="56" t="str">
        <f>IF(COUNTIFS('LANÇAMENTOS DIÁRIOS'!$G$5:$G$500,"E",'LANÇAMENTOS DIÁRIOS'!$C$5:$C$500,$A9,'LANÇAMENTOS DIÁRIOS'!$O$5:$O$500,"&lt;=108299",'LANÇAMENTOS DIÁRIOS'!$P$5:$P$500,"&gt;=108200")&gt;0,"X","")</f>
      </c>
      <c r="AD9" s="56" t="str">
        <f>IF(COUNTIFS('LANÇAMENTOS DIÁRIOS'!$G$5:$G$500,"E",'LANÇAMENTOS DIÁRIOS'!$C$5:$C$500,$A9,'LANÇAMENTOS DIÁRIOS'!$O$5:$O$500,"&lt;=108399",'LANÇAMENTOS DIÁRIOS'!$P$5:$P$500,"&gt;=108300")&gt;0,"X","")</f>
      </c>
      <c r="AE9" s="56" t="str">
        <f>IF(COUNTIFS('LANÇAMENTOS DIÁRIOS'!$G$5:$G$500,"E",'LANÇAMENTOS DIÁRIOS'!$C$5:$C$500,$A9,'LANÇAMENTOS DIÁRIOS'!$O$5:$O$500,"&lt;=108499",'LANÇAMENTOS DIÁRIOS'!$P$5:$P$500,"&gt;=108400")&gt;0,"X","")</f>
      </c>
      <c r="AF9" s="56" t="str">
        <f>IF(COUNTIFS('LANÇAMENTOS DIÁRIOS'!$G$5:$G$500,"E",'LANÇAMENTOS DIÁRIOS'!$C$5:$C$500,$A9,'LANÇAMENTOS DIÁRIOS'!$O$5:$O$500,"&lt;=108599",'LANÇAMENTOS DIÁRIOS'!$P$5:$P$500,"&gt;=108500")&gt;0,"X","")</f>
      </c>
      <c r="AG9" s="56" t="str">
        <f>IF(COUNTIFS('LANÇAMENTOS DIÁRIOS'!$G$5:$G$500,"E",'LANÇAMENTOS DIÁRIOS'!$C$5:$C$500,$A9,'LANÇAMENTOS DIÁRIOS'!$O$5:$O$500,"&lt;=108699",'LANÇAMENTOS DIÁRIOS'!$P$5:$P$500,"&gt;=108600")&gt;0,"X","")</f>
      </c>
      <c r="AH9" s="56" t="str">
        <f>IF(COUNTIFS('LANÇAMENTOS DIÁRIOS'!$G$5:$G$500,"E",'LANÇAMENTOS DIÁRIOS'!$C$5:$C$500,$A9,'LANÇAMENTOS DIÁRIOS'!$O$5:$O$500,"&lt;=108799",'LANÇAMENTOS DIÁRIOS'!$P$5:$P$500,"&gt;=108700")&gt;0,"X","")</f>
      </c>
      <c r="AI9" s="56" t="str">
        <f>IF(COUNTIFS('LANÇAMENTOS DIÁRIOS'!$G$5:$G$500,"E",'LANÇAMENTOS DIÁRIOS'!$C$5:$C$500,$A9,'LANÇAMENTOS DIÁRIOS'!$O$5:$O$500,"&lt;=108899",'LANÇAMENTOS DIÁRIOS'!$P$5:$P$500,"&gt;=108800")&gt;0,"X","")</f>
      </c>
      <c r="AJ9" s="56" t="str">
        <f>IF(COUNTIFS('LANÇAMENTOS DIÁRIOS'!$G$5:$G$500,"E",'LANÇAMENTOS DIÁRIOS'!$C$5:$C$500,$A9,'LANÇAMENTOS DIÁRIOS'!$O$5:$O$500,"&lt;=108999",'LANÇAMENTOS DIÁRIOS'!$P$5:$P$500,"&gt;=108900")&gt;0,"X","")</f>
      </c>
      <c r="AK9" s="56" t="str">
        <f>IF(COUNTIFS('LANÇAMENTOS DIÁRIOS'!$G$5:$G$500,"E",'LANÇAMENTOS DIÁRIOS'!$C$5:$C$500,$A9,'LANÇAMENTOS DIÁRIOS'!$O$5:$O$500,"&lt;=109099",'LANÇAMENTOS DIÁRIOS'!$P$5:$P$500,"&gt;=109000")&gt;0,"X","")</f>
      </c>
      <c r="AL9" s="56" t="str">
        <f>IF(COUNTIFS('LANÇAMENTOS DIÁRIOS'!$G$5:$G$500,"E",'LANÇAMENTOS DIÁRIOS'!$C$5:$C$500,$A9,'LANÇAMENTOS DIÁRIOS'!$O$5:$O$500,"&lt;=109199",'LANÇAMENTOS DIÁRIOS'!$P$5:$P$500,"&gt;=109100")&gt;0,"X","")</f>
      </c>
      <c r="AM9" s="56" t="str">
        <f>IF(COUNTIFS('LANÇAMENTOS DIÁRIOS'!$G$5:$G$500,"E",'LANÇAMENTOS DIÁRIOS'!$C$5:$C$500,$A9,'LANÇAMENTOS DIÁRIOS'!$O$5:$O$500,"&lt;=109299",'LANÇAMENTOS DIÁRIOS'!$P$5:$P$500,"&gt;=109200")&gt;0,"X","")</f>
      </c>
      <c r="AN9" s="56" t="str">
        <f>IF(COUNTIFS('LANÇAMENTOS DIÁRIOS'!$G$5:$G$500,"E",'LANÇAMENTOS DIÁRIOS'!$C$5:$C$500,$A9,'LANÇAMENTOS DIÁRIOS'!$O$5:$O$500,"&lt;=109399",'LANÇAMENTOS DIÁRIOS'!$P$5:$P$500,"&gt;=109300")&gt;0,"X","")</f>
      </c>
      <c r="AO9" s="56" t="str">
        <f>IF(COUNTIFS('LANÇAMENTOS DIÁRIOS'!$G$5:$G$500,"E",'LANÇAMENTOS DIÁRIOS'!$C$5:$C$500,$A9,'LANÇAMENTOS DIÁRIOS'!$O$5:$O$500,"&lt;=109499",'LANÇAMENTOS DIÁRIOS'!$P$5:$P$500,"&gt;=109400")&gt;0,"X","")</f>
      </c>
      <c r="AP9" s="56" t="str">
        <f>IF(COUNTIFS('LANÇAMENTOS DIÁRIOS'!$G$5:$G$500,"E",'LANÇAMENTOS DIÁRIOS'!$C$5:$C$500,$A9,'LANÇAMENTOS DIÁRIOS'!$O$5:$O$500,"&lt;=109599",'LANÇAMENTOS DIÁRIOS'!$P$5:$P$500,"&gt;=109500")&gt;0,"X","")</f>
      </c>
      <c r="AQ9" s="56" t="str">
        <f>IF(COUNTIFS('LANÇAMENTOS DIÁRIOS'!$G$5:$G$500,"E",'LANÇAMENTOS DIÁRIOS'!$C$5:$C$500,$A9,'LANÇAMENTOS DIÁRIOS'!$O$5:$O$500,"&lt;=109699",'LANÇAMENTOS DIÁRIOS'!$P$5:$P$500,"&gt;=109600")&gt;0,"X","")</f>
      </c>
      <c r="AR9" s="56" t="str">
        <f>IF(COUNTIFS('LANÇAMENTOS DIÁRIOS'!$G$5:$G$500,"E",'LANÇAMENTOS DIÁRIOS'!$C$5:$C$500,$A9,'LANÇAMENTOS DIÁRIOS'!$O$5:$O$500,"&lt;=109799",'LANÇAMENTOS DIÁRIOS'!$P$5:$P$500,"&gt;=109700")&gt;0,"X","")</f>
      </c>
      <c r="AS9" s="56" t="str">
        <f>IF(COUNTIFS('LANÇAMENTOS DIÁRIOS'!$G$5:$G$500,"E",'LANÇAMENTOS DIÁRIOS'!$C$5:$C$500,$A9,'LANÇAMENTOS DIÁRIOS'!$O$5:$O$500,"&lt;=109899",'LANÇAMENTOS DIÁRIOS'!$P$5:$P$500,"&gt;=109800")&gt;0,"X","")</f>
      </c>
      <c r="AT9" s="56" t="str">
        <f>IF(COUNTIFS('LANÇAMENTOS DIÁRIOS'!$G$5:$G$500,"E",'LANÇAMENTOS DIÁRIOS'!$C$5:$C$500,$A9,'LANÇAMENTOS DIÁRIOS'!$O$5:$O$500,"&lt;=109999",'LANÇAMENTOS DIÁRIOS'!$P$5:$P$500,"&gt;=109900")&gt;0,"X","")</f>
      </c>
      <c r="AU9" s="56" t="str">
        <f>IF(COUNTIFS('LANÇAMENTOS DIÁRIOS'!$G$5:$G$500,"E",'LANÇAMENTOS DIÁRIOS'!$C$5:$C$500,$A9,'LANÇAMENTOS DIÁRIOS'!$O$5:$O$500,"&lt;=110099",'LANÇAMENTOS DIÁRIOS'!$P$5:$P$500,"&gt;=110000")&gt;0,"X","")</f>
      </c>
      <c r="AV9" s="56" t="str">
        <f>IF(COUNTIFS('LANÇAMENTOS DIÁRIOS'!$G$5:$G$500,"E",'LANÇAMENTOS DIÁRIOS'!$C$5:$C$500,$A9,'LANÇAMENTOS DIÁRIOS'!$O$5:$O$500,"&lt;=110199",'LANÇAMENTOS DIÁRIOS'!$P$5:$P$500,"&gt;=110100")&gt;0,"X","")</f>
      </c>
      <c r="AW9" s="56" t="str">
        <f>IF(COUNTIFS('LANÇAMENTOS DIÁRIOS'!$G$5:$G$500,"E",'LANÇAMENTOS DIÁRIOS'!$C$5:$C$500,$A9,'LANÇAMENTOS DIÁRIOS'!$O$5:$O$500,"&lt;=110299",'LANÇAMENTOS DIÁRIOS'!$P$5:$P$500,"&gt;=110200")&gt;0,"X","")</f>
      </c>
      <c r="AX9" s="56" t="str">
        <f>IF(COUNTIFS('LANÇAMENTOS DIÁRIOS'!$G$5:$G$500,"E",'LANÇAMENTOS DIÁRIOS'!$C$5:$C$500,$A9,'LANÇAMENTOS DIÁRIOS'!$O$5:$O$500,"&lt;=110399",'LANÇAMENTOS DIÁRIOS'!$P$5:$P$500,"&gt;=110300")&gt;0,"X","")</f>
      </c>
      <c r="AY9" s="56" t="str">
        <f>IF(COUNTIFS('LANÇAMENTOS DIÁRIOS'!$G$5:$G$500,"E",'LANÇAMENTOS DIÁRIOS'!$C$5:$C$500,$A9,'LANÇAMENTOS DIÁRIOS'!$O$5:$O$500,"&lt;=110499",'LANÇAMENTOS DIÁRIOS'!$P$5:$P$500,"&gt;=110400")&gt;0,"X","")</f>
      </c>
      <c r="AZ9" s="56" t="str">
        <f>IF(COUNTIFS('LANÇAMENTOS DIÁRIOS'!$G$5:$G$500,"E",'LANÇAMENTOS DIÁRIOS'!$C$5:$C$500,$A9,'LANÇAMENTOS DIÁRIOS'!$O$5:$O$500,"&lt;=110599",'LANÇAMENTOS DIÁRIOS'!$P$5:$P$500,"&gt;=110500")&gt;0,"X","")</f>
      </c>
      <c r="BA9" s="56" t="str">
        <f>IF(COUNTIFS('LANÇAMENTOS DIÁRIOS'!$G$5:$G$500,"E",'LANÇAMENTOS DIÁRIOS'!$C$5:$C$500,$A9,'LANÇAMENTOS DIÁRIOS'!$O$5:$O$500,"&lt;=110699",'LANÇAMENTOS DIÁRIOS'!$P$5:$P$500,"&gt;=110600")&gt;0,"X","")</f>
      </c>
      <c r="BB9" s="56" t="str">
        <f>IF(COUNTIFS('LANÇAMENTOS DIÁRIOS'!$G$5:$G$500,"E",'LANÇAMENTOS DIÁRIOS'!$C$5:$C$500,$A9,'LANÇAMENTOS DIÁRIOS'!$O$5:$O$500,"&lt;=110799",'LANÇAMENTOS DIÁRIOS'!$P$5:$P$500,"&gt;=110700")&gt;0,"X","")</f>
      </c>
      <c r="BC9" s="56" t="str">
        <f>IF(COUNTIFS('LANÇAMENTOS DIÁRIOS'!$G$5:$G$500,"E",'LANÇAMENTOS DIÁRIOS'!$C$5:$C$500,$A9,'LANÇAMENTOS DIÁRIOS'!$O$5:$O$500,"&lt;=110899",'LANÇAMENTOS DIÁRIOS'!$P$5:$P$500,"&gt;=110800")&gt;0,"X","")</f>
      </c>
      <c r="BD9" s="56" t="str">
        <f>IF(COUNTIFS('LANÇAMENTOS DIÁRIOS'!$G$5:$G$500,"E",'LANÇAMENTOS DIÁRIOS'!$C$5:$C$500,$A9,'LANÇAMENTOS DIÁRIOS'!$O$5:$O$500,"&lt;=110999",'LANÇAMENTOS DIÁRIOS'!$P$5:$P$500,"&gt;=110900")&gt;0,"X","")</f>
      </c>
      <c r="BE9" s="56" t="str">
        <f>IF(COUNTIFS('LANÇAMENTOS DIÁRIOS'!$G$5:$G$500,"E",'LANÇAMENTOS DIÁRIOS'!$C$5:$C$500,$A9,'LANÇAMENTOS DIÁRIOS'!$O$5:$O$500,"&lt;=111099",'LANÇAMENTOS DIÁRIOS'!$P$5:$P$500,"&gt;=111000")&gt;0,"X","")</f>
      </c>
      <c r="BF9" s="56" t="str">
        <f>IF(COUNTIFS('LANÇAMENTOS DIÁRIOS'!$G$5:$G$500,"E",'LANÇAMENTOS DIÁRIOS'!$C$5:$C$500,$A9,'LANÇAMENTOS DIÁRIOS'!$O$5:$O$500,"&lt;=111199",'LANÇAMENTOS DIÁRIOS'!$P$5:$P$500,"&gt;=111100")&gt;0,"X","")</f>
      </c>
      <c r="BG9" s="56" t="str">
        <f>IF(COUNTIFS('LANÇAMENTOS DIÁRIOS'!$G$5:$G$500,"E",'LANÇAMENTOS DIÁRIOS'!$C$5:$C$500,$A9,'LANÇAMENTOS DIÁRIOS'!$O$5:$O$500,"&lt;=111299",'LANÇAMENTOS DIÁRIOS'!$P$5:$P$500,"&gt;=111200")&gt;0,"X","")</f>
      </c>
      <c r="BH9" s="56" t="str">
        <f>IF(COUNTIFS('LANÇAMENTOS DIÁRIOS'!$G$5:$G$500,"E",'LANÇAMENTOS DIÁRIOS'!$C$5:$C$500,$A9,'LANÇAMENTOS DIÁRIOS'!$O$5:$O$500,"&lt;=111399",'LANÇAMENTOS DIÁRIOS'!$P$5:$P$500,"&gt;=111300")&gt;0,"X","")</f>
      </c>
      <c r="BI9" s="56" t="str">
        <f>IF(COUNTIFS('LANÇAMENTOS DIÁRIOS'!$G$5:$G$500,"E",'LANÇAMENTOS DIÁRIOS'!$C$5:$C$500,$A9,'LANÇAMENTOS DIÁRIOS'!$O$5:$O$500,"&lt;=111499",'LANÇAMENTOS DIÁRIOS'!$P$5:$P$500,"&gt;=111400")&gt;0,"X","")</f>
      </c>
      <c r="BJ9" s="56" t="str">
        <f>IF(COUNTIFS('LANÇAMENTOS DIÁRIOS'!$G$5:$G$500,"E",'LANÇAMENTOS DIÁRIOS'!$C$5:$C$500,$A9,'LANÇAMENTOS DIÁRIOS'!$O$5:$O$500,"&lt;=111500",'LANÇAMENTOS DIÁRIOS'!$P$5:$P$500,"&gt;=111500")&gt;0,"X","")</f>
      </c>
    </row>
    <row r="10">
      <c r="A10" s="51" t="str">
        <v>Remoção de bueiro</v>
      </c>
      <c r="B10" s="56" t="str">
        <f>IF(COUNTIFS('LANÇAMENTOS DIÁRIOS'!$G$5:$G$500,"E",'LANÇAMENTOS DIÁRIOS'!$C$5:$C$500,$A10,'LANÇAMENTOS DIÁRIOS'!$O$5:$O$500,"&lt;=105599",'LANÇAMENTOS DIÁRIOS'!$P$5:$P$500,"&gt;=105500")&gt;0,"X","")</f>
      </c>
      <c r="C10" s="56" t="str">
        <f>IF(COUNTIFS('LANÇAMENTOS DIÁRIOS'!$G$5:$G$500,"E",'LANÇAMENTOS DIÁRIOS'!$C$5:$C$500,$A10,'LANÇAMENTOS DIÁRIOS'!$O$5:$O$500,"&lt;=105699",'LANÇAMENTOS DIÁRIOS'!$P$5:$P$500,"&gt;=105600")&gt;0,"X","")</f>
      </c>
      <c r="D10" s="56" t="str">
        <f>IF(COUNTIFS('LANÇAMENTOS DIÁRIOS'!$G$5:$G$500,"E",'LANÇAMENTOS DIÁRIOS'!$C$5:$C$500,$A10,'LANÇAMENTOS DIÁRIOS'!$O$5:$O$500,"&lt;=105799",'LANÇAMENTOS DIÁRIOS'!$P$5:$P$500,"&gt;=105700")&gt;0,"X","")</f>
      </c>
      <c r="E10" s="56" t="str">
        <f>IF(COUNTIFS('LANÇAMENTOS DIÁRIOS'!$G$5:$G$500,"E",'LANÇAMENTOS DIÁRIOS'!$C$5:$C$500,$A10,'LANÇAMENTOS DIÁRIOS'!$O$5:$O$500,"&lt;=105899",'LANÇAMENTOS DIÁRIOS'!$P$5:$P$500,"&gt;=105800")&gt;0,"X","")</f>
      </c>
      <c r="F10" s="56" t="str">
        <f>IF(COUNTIFS('LANÇAMENTOS DIÁRIOS'!$G$5:$G$500,"E",'LANÇAMENTOS DIÁRIOS'!$C$5:$C$500,$A10,'LANÇAMENTOS DIÁRIOS'!$O$5:$O$500,"&lt;=105999",'LANÇAMENTOS DIÁRIOS'!$P$5:$P$500,"&gt;=105900")&gt;0,"X","")</f>
      </c>
      <c r="G10" s="56" t="str">
        <f>IF(COUNTIFS('LANÇAMENTOS DIÁRIOS'!$G$5:$G$500,"E",'LANÇAMENTOS DIÁRIOS'!$C$5:$C$500,$A10,'LANÇAMENTOS DIÁRIOS'!$O$5:$O$500,"&lt;=106099",'LANÇAMENTOS DIÁRIOS'!$P$5:$P$500,"&gt;=106000")&gt;0,"X","")</f>
      </c>
      <c r="H10" s="56" t="str">
        <f>IF(COUNTIFS('LANÇAMENTOS DIÁRIOS'!$G$5:$G$500,"E",'LANÇAMENTOS DIÁRIOS'!$C$5:$C$500,$A10,'LANÇAMENTOS DIÁRIOS'!$O$5:$O$500,"&lt;=106199",'LANÇAMENTOS DIÁRIOS'!$P$5:$P$500,"&gt;=106100")&gt;0,"X","")</f>
      </c>
      <c r="I10" s="56" t="str">
        <f>IF(COUNTIFS('LANÇAMENTOS DIÁRIOS'!$G$5:$G$500,"E",'LANÇAMENTOS DIÁRIOS'!$C$5:$C$500,$A10,'LANÇAMENTOS DIÁRIOS'!$O$5:$O$500,"&lt;=106299",'LANÇAMENTOS DIÁRIOS'!$P$5:$P$500,"&gt;=106200")&gt;0,"X","")</f>
      </c>
      <c r="J10" s="56" t="str">
        <f>IF(COUNTIFS('LANÇAMENTOS DIÁRIOS'!$G$5:$G$500,"E",'LANÇAMENTOS DIÁRIOS'!$C$5:$C$500,$A10,'LANÇAMENTOS DIÁRIOS'!$O$5:$O$500,"&lt;=106399",'LANÇAMENTOS DIÁRIOS'!$P$5:$P$500,"&gt;=106300")&gt;0,"X","")</f>
      </c>
      <c r="K10" s="56" t="str">
        <f>IF(COUNTIFS('LANÇAMENTOS DIÁRIOS'!$G$5:$G$500,"E",'LANÇAMENTOS DIÁRIOS'!$C$5:$C$500,$A10,'LANÇAMENTOS DIÁRIOS'!$O$5:$O$500,"&lt;=106499",'LANÇAMENTOS DIÁRIOS'!$P$5:$P$500,"&gt;=106400")&gt;0,"X","")</f>
      </c>
      <c r="L10" s="56" t="str">
        <f>IF(COUNTIFS('LANÇAMENTOS DIÁRIOS'!$G$5:$G$500,"E",'LANÇAMENTOS DIÁRIOS'!$C$5:$C$500,$A10,'LANÇAMENTOS DIÁRIOS'!$O$5:$O$500,"&lt;=106599",'LANÇAMENTOS DIÁRIOS'!$P$5:$P$500,"&gt;=106500")&gt;0,"X","")</f>
      </c>
      <c r="M10" s="56" t="str">
        <f>IF(COUNTIFS('LANÇAMENTOS DIÁRIOS'!$G$5:$G$500,"E",'LANÇAMENTOS DIÁRIOS'!$C$5:$C$500,$A10,'LANÇAMENTOS DIÁRIOS'!$O$5:$O$500,"&lt;=106699",'LANÇAMENTOS DIÁRIOS'!$P$5:$P$500,"&gt;=106600")&gt;0,"X","")</f>
      </c>
      <c r="N10" s="56" t="str">
        <f>IF(COUNTIFS('LANÇAMENTOS DIÁRIOS'!$G$5:$G$500,"E",'LANÇAMENTOS DIÁRIOS'!$C$5:$C$500,$A10,'LANÇAMENTOS DIÁRIOS'!$O$5:$O$500,"&lt;=106799",'LANÇAMENTOS DIÁRIOS'!$P$5:$P$500,"&gt;=106700")&gt;0,"X","")</f>
      </c>
      <c r="O10" s="56" t="str">
        <f>IF(COUNTIFS('LANÇAMENTOS DIÁRIOS'!$G$5:$G$500,"E",'LANÇAMENTOS DIÁRIOS'!$C$5:$C$500,$A10,'LANÇAMENTOS DIÁRIOS'!$O$5:$O$500,"&lt;=106899",'LANÇAMENTOS DIÁRIOS'!$P$5:$P$500,"&gt;=106800")&gt;0,"X","")</f>
      </c>
      <c r="P10" s="56" t="str">
        <f>IF(COUNTIFS('LANÇAMENTOS DIÁRIOS'!$G$5:$G$500,"E",'LANÇAMENTOS DIÁRIOS'!$C$5:$C$500,$A10,'LANÇAMENTOS DIÁRIOS'!$O$5:$O$500,"&lt;=106999",'LANÇAMENTOS DIÁRIOS'!$P$5:$P$500,"&gt;=106900")&gt;0,"X","")</f>
      </c>
      <c r="Q10" s="56" t="str">
        <f>IF(COUNTIFS('LANÇAMENTOS DIÁRIOS'!$G$5:$G$500,"E",'LANÇAMENTOS DIÁRIOS'!$C$5:$C$500,$A10,'LANÇAMENTOS DIÁRIOS'!$O$5:$O$500,"&lt;=107099",'LANÇAMENTOS DIÁRIOS'!$P$5:$P$500,"&gt;=107000")&gt;0,"X","")</f>
      </c>
      <c r="R10" s="56" t="str">
        <f>IF(COUNTIFS('LANÇAMENTOS DIÁRIOS'!$G$5:$G$500,"E",'LANÇAMENTOS DIÁRIOS'!$C$5:$C$500,$A10,'LANÇAMENTOS DIÁRIOS'!$O$5:$O$500,"&lt;=107199",'LANÇAMENTOS DIÁRIOS'!$P$5:$P$500,"&gt;=107100")&gt;0,"X","")</f>
      </c>
      <c r="S10" s="56" t="str">
        <f>IF(COUNTIFS('LANÇAMENTOS DIÁRIOS'!$G$5:$G$500,"E",'LANÇAMENTOS DIÁRIOS'!$C$5:$C$500,$A10,'LANÇAMENTOS DIÁRIOS'!$O$5:$O$500,"&lt;=107299",'LANÇAMENTOS DIÁRIOS'!$P$5:$P$500,"&gt;=107200")&gt;0,"X","")</f>
      </c>
      <c r="T10" s="56" t="str">
        <f>IF(COUNTIFS('LANÇAMENTOS DIÁRIOS'!$G$5:$G$500,"E",'LANÇAMENTOS DIÁRIOS'!$C$5:$C$500,$A10,'LANÇAMENTOS DIÁRIOS'!$O$5:$O$500,"&lt;=107399",'LANÇAMENTOS DIÁRIOS'!$P$5:$P$500,"&gt;=107300")&gt;0,"X","")</f>
      </c>
      <c r="U10" s="56" t="str">
        <f>IF(COUNTIFS('LANÇAMENTOS DIÁRIOS'!$G$5:$G$500,"E",'LANÇAMENTOS DIÁRIOS'!$C$5:$C$500,$A10,'LANÇAMENTOS DIÁRIOS'!$O$5:$O$500,"&lt;=107499",'LANÇAMENTOS DIÁRIOS'!$P$5:$P$500,"&gt;=107400")&gt;0,"X","")</f>
      </c>
      <c r="V10" s="56" t="str">
        <f>IF(COUNTIFS('LANÇAMENTOS DIÁRIOS'!$G$5:$G$500,"E",'LANÇAMENTOS DIÁRIOS'!$C$5:$C$500,$A10,'LANÇAMENTOS DIÁRIOS'!$O$5:$O$500,"&lt;=107599",'LANÇAMENTOS DIÁRIOS'!$P$5:$P$500,"&gt;=107500")&gt;0,"X","")</f>
      </c>
      <c r="W10" s="56" t="str">
        <f>IF(COUNTIFS('LANÇAMENTOS DIÁRIOS'!$G$5:$G$500,"E",'LANÇAMENTOS DIÁRIOS'!$C$5:$C$500,$A10,'LANÇAMENTOS DIÁRIOS'!$O$5:$O$500,"&lt;=107699",'LANÇAMENTOS DIÁRIOS'!$P$5:$P$500,"&gt;=107600")&gt;0,"X","")</f>
      </c>
      <c r="X10" s="56" t="str">
        <f>IF(COUNTIFS('LANÇAMENTOS DIÁRIOS'!$G$5:$G$500,"E",'LANÇAMENTOS DIÁRIOS'!$C$5:$C$500,$A10,'LANÇAMENTOS DIÁRIOS'!$O$5:$O$500,"&lt;=107799",'LANÇAMENTOS DIÁRIOS'!$P$5:$P$500,"&gt;=107700")&gt;0,"X","")</f>
      </c>
      <c r="Y10" s="56" t="str">
        <f>IF(COUNTIFS('LANÇAMENTOS DIÁRIOS'!$G$5:$G$500,"E",'LANÇAMENTOS DIÁRIOS'!$C$5:$C$500,$A10,'LANÇAMENTOS DIÁRIOS'!$O$5:$O$500,"&lt;=107899",'LANÇAMENTOS DIÁRIOS'!$P$5:$P$500,"&gt;=107800")&gt;0,"X","")</f>
      </c>
      <c r="Z10" s="56" t="str">
        <f>IF(COUNTIFS('LANÇAMENTOS DIÁRIOS'!$G$5:$G$500,"E",'LANÇAMENTOS DIÁRIOS'!$C$5:$C$500,$A10,'LANÇAMENTOS DIÁRIOS'!$O$5:$O$500,"&lt;=107999",'LANÇAMENTOS DIÁRIOS'!$P$5:$P$500,"&gt;=107900")&gt;0,"X","")</f>
      </c>
      <c r="AA10" s="56" t="str">
        <f>IF(COUNTIFS('LANÇAMENTOS DIÁRIOS'!$G$5:$G$500,"E",'LANÇAMENTOS DIÁRIOS'!$C$5:$C$500,$A10,'LANÇAMENTOS DIÁRIOS'!$O$5:$O$500,"&lt;=108099",'LANÇAMENTOS DIÁRIOS'!$P$5:$P$500,"&gt;=108000")&gt;0,"X","")</f>
      </c>
      <c r="AB10" s="56" t="str">
        <f>IF(COUNTIFS('LANÇAMENTOS DIÁRIOS'!$G$5:$G$500,"E",'LANÇAMENTOS DIÁRIOS'!$C$5:$C$500,$A10,'LANÇAMENTOS DIÁRIOS'!$O$5:$O$500,"&lt;=108199",'LANÇAMENTOS DIÁRIOS'!$P$5:$P$500,"&gt;=108100")&gt;0,"X","")</f>
      </c>
      <c r="AC10" s="56" t="str">
        <f>IF(COUNTIFS('LANÇAMENTOS DIÁRIOS'!$G$5:$G$500,"E",'LANÇAMENTOS DIÁRIOS'!$C$5:$C$500,$A10,'LANÇAMENTOS DIÁRIOS'!$O$5:$O$500,"&lt;=108299",'LANÇAMENTOS DIÁRIOS'!$P$5:$P$500,"&gt;=108200")&gt;0,"X","")</f>
      </c>
      <c r="AD10" s="56" t="str">
        <f>IF(COUNTIFS('LANÇAMENTOS DIÁRIOS'!$G$5:$G$500,"E",'LANÇAMENTOS DIÁRIOS'!$C$5:$C$500,$A10,'LANÇAMENTOS DIÁRIOS'!$O$5:$O$500,"&lt;=108399",'LANÇAMENTOS DIÁRIOS'!$P$5:$P$500,"&gt;=108300")&gt;0,"X","")</f>
      </c>
      <c r="AE10" s="56" t="str">
        <f>IF(COUNTIFS('LANÇAMENTOS DIÁRIOS'!$G$5:$G$500,"E",'LANÇAMENTOS DIÁRIOS'!$C$5:$C$500,$A10,'LANÇAMENTOS DIÁRIOS'!$O$5:$O$500,"&lt;=108499",'LANÇAMENTOS DIÁRIOS'!$P$5:$P$500,"&gt;=108400")&gt;0,"X","")</f>
      </c>
      <c r="AF10" s="56" t="str">
        <f>IF(COUNTIFS('LANÇAMENTOS DIÁRIOS'!$G$5:$G$500,"E",'LANÇAMENTOS DIÁRIOS'!$C$5:$C$500,$A10,'LANÇAMENTOS DIÁRIOS'!$O$5:$O$500,"&lt;=108599",'LANÇAMENTOS DIÁRIOS'!$P$5:$P$500,"&gt;=108500")&gt;0,"X","")</f>
      </c>
      <c r="AG10" s="56" t="str">
        <f>IF(COUNTIFS('LANÇAMENTOS DIÁRIOS'!$G$5:$G$500,"E",'LANÇAMENTOS DIÁRIOS'!$C$5:$C$500,$A10,'LANÇAMENTOS DIÁRIOS'!$O$5:$O$500,"&lt;=108699",'LANÇAMENTOS DIÁRIOS'!$P$5:$P$500,"&gt;=108600")&gt;0,"X","")</f>
      </c>
      <c r="AH10" s="56" t="str">
        <f>IF(COUNTIFS('LANÇAMENTOS DIÁRIOS'!$G$5:$G$500,"E",'LANÇAMENTOS DIÁRIOS'!$C$5:$C$500,$A10,'LANÇAMENTOS DIÁRIOS'!$O$5:$O$500,"&lt;=108799",'LANÇAMENTOS DIÁRIOS'!$P$5:$P$500,"&gt;=108700")&gt;0,"X","")</f>
      </c>
      <c r="AI10" s="56" t="str">
        <f>IF(COUNTIFS('LANÇAMENTOS DIÁRIOS'!$G$5:$G$500,"E",'LANÇAMENTOS DIÁRIOS'!$C$5:$C$500,$A10,'LANÇAMENTOS DIÁRIOS'!$O$5:$O$500,"&lt;=108899",'LANÇAMENTOS DIÁRIOS'!$P$5:$P$500,"&gt;=108800")&gt;0,"X","")</f>
      </c>
      <c r="AJ10" s="56" t="str">
        <f>IF(COUNTIFS('LANÇAMENTOS DIÁRIOS'!$G$5:$G$500,"E",'LANÇAMENTOS DIÁRIOS'!$C$5:$C$500,$A10,'LANÇAMENTOS DIÁRIOS'!$O$5:$O$500,"&lt;=108999",'LANÇAMENTOS DIÁRIOS'!$P$5:$P$500,"&gt;=108900")&gt;0,"X","")</f>
      </c>
      <c r="AK10" s="56" t="str">
        <f>IF(COUNTIFS('LANÇAMENTOS DIÁRIOS'!$G$5:$G$500,"E",'LANÇAMENTOS DIÁRIOS'!$C$5:$C$500,$A10,'LANÇAMENTOS DIÁRIOS'!$O$5:$O$500,"&lt;=109099",'LANÇAMENTOS DIÁRIOS'!$P$5:$P$500,"&gt;=109000")&gt;0,"X","")</f>
      </c>
      <c r="AL10" s="56" t="str">
        <f>IF(COUNTIFS('LANÇAMENTOS DIÁRIOS'!$G$5:$G$500,"E",'LANÇAMENTOS DIÁRIOS'!$C$5:$C$500,$A10,'LANÇAMENTOS DIÁRIOS'!$O$5:$O$500,"&lt;=109199",'LANÇAMENTOS DIÁRIOS'!$P$5:$P$500,"&gt;=109100")&gt;0,"X","")</f>
      </c>
      <c r="AM10" s="56" t="str">
        <f>IF(COUNTIFS('LANÇAMENTOS DIÁRIOS'!$G$5:$G$500,"E",'LANÇAMENTOS DIÁRIOS'!$C$5:$C$500,$A10,'LANÇAMENTOS DIÁRIOS'!$O$5:$O$500,"&lt;=109299",'LANÇAMENTOS DIÁRIOS'!$P$5:$P$500,"&gt;=109200")&gt;0,"X","")</f>
      </c>
      <c r="AN10" s="56" t="str">
        <f>IF(COUNTIFS('LANÇAMENTOS DIÁRIOS'!$G$5:$G$500,"E",'LANÇAMENTOS DIÁRIOS'!$C$5:$C$500,$A10,'LANÇAMENTOS DIÁRIOS'!$O$5:$O$500,"&lt;=109399",'LANÇAMENTOS DIÁRIOS'!$P$5:$P$500,"&gt;=109300")&gt;0,"X","")</f>
      </c>
      <c r="AO10" s="56" t="str">
        <f>IF(COUNTIFS('LANÇAMENTOS DIÁRIOS'!$G$5:$G$500,"E",'LANÇAMENTOS DIÁRIOS'!$C$5:$C$500,$A10,'LANÇAMENTOS DIÁRIOS'!$O$5:$O$500,"&lt;=109499",'LANÇAMENTOS DIÁRIOS'!$P$5:$P$500,"&gt;=109400")&gt;0,"X","")</f>
      </c>
      <c r="AP10" s="56" t="str">
        <f>IF(COUNTIFS('LANÇAMENTOS DIÁRIOS'!$G$5:$G$500,"E",'LANÇAMENTOS DIÁRIOS'!$C$5:$C$500,$A10,'LANÇAMENTOS DIÁRIOS'!$O$5:$O$500,"&lt;=109599",'LANÇAMENTOS DIÁRIOS'!$P$5:$P$500,"&gt;=109500")&gt;0,"X","")</f>
      </c>
      <c r="AQ10" s="56" t="str">
        <f>IF(COUNTIFS('LANÇAMENTOS DIÁRIOS'!$G$5:$G$500,"E",'LANÇAMENTOS DIÁRIOS'!$C$5:$C$500,$A10,'LANÇAMENTOS DIÁRIOS'!$O$5:$O$500,"&lt;=109699",'LANÇAMENTOS DIÁRIOS'!$P$5:$P$500,"&gt;=109600")&gt;0,"X","")</f>
      </c>
      <c r="AR10" s="56" t="str">
        <f>IF(COUNTIFS('LANÇAMENTOS DIÁRIOS'!$G$5:$G$500,"E",'LANÇAMENTOS DIÁRIOS'!$C$5:$C$500,$A10,'LANÇAMENTOS DIÁRIOS'!$O$5:$O$500,"&lt;=109799",'LANÇAMENTOS DIÁRIOS'!$P$5:$P$500,"&gt;=109700")&gt;0,"X","")</f>
      </c>
      <c r="AS10" s="56" t="str">
        <f>IF(COUNTIFS('LANÇAMENTOS DIÁRIOS'!$G$5:$G$500,"E",'LANÇAMENTOS DIÁRIOS'!$C$5:$C$500,$A10,'LANÇAMENTOS DIÁRIOS'!$O$5:$O$500,"&lt;=109899",'LANÇAMENTOS DIÁRIOS'!$P$5:$P$500,"&gt;=109800")&gt;0,"X","")</f>
      </c>
      <c r="AT10" s="56" t="str">
        <f>IF(COUNTIFS('LANÇAMENTOS DIÁRIOS'!$G$5:$G$500,"E",'LANÇAMENTOS DIÁRIOS'!$C$5:$C$500,$A10,'LANÇAMENTOS DIÁRIOS'!$O$5:$O$500,"&lt;=109999",'LANÇAMENTOS DIÁRIOS'!$P$5:$P$500,"&gt;=109900")&gt;0,"X","")</f>
      </c>
      <c r="AU10" s="56" t="str">
        <f>IF(COUNTIFS('LANÇAMENTOS DIÁRIOS'!$G$5:$G$500,"E",'LANÇAMENTOS DIÁRIOS'!$C$5:$C$500,$A10,'LANÇAMENTOS DIÁRIOS'!$O$5:$O$500,"&lt;=110099",'LANÇAMENTOS DIÁRIOS'!$P$5:$P$500,"&gt;=110000")&gt;0,"X","")</f>
      </c>
      <c r="AV10" s="56" t="str">
        <f>IF(COUNTIFS('LANÇAMENTOS DIÁRIOS'!$G$5:$G$500,"E",'LANÇAMENTOS DIÁRIOS'!$C$5:$C$500,$A10,'LANÇAMENTOS DIÁRIOS'!$O$5:$O$500,"&lt;=110199",'LANÇAMENTOS DIÁRIOS'!$P$5:$P$500,"&gt;=110100")&gt;0,"X","")</f>
      </c>
      <c r="AW10" s="56" t="str">
        <f>IF(COUNTIFS('LANÇAMENTOS DIÁRIOS'!$G$5:$G$500,"E",'LANÇAMENTOS DIÁRIOS'!$C$5:$C$500,$A10,'LANÇAMENTOS DIÁRIOS'!$O$5:$O$500,"&lt;=110299",'LANÇAMENTOS DIÁRIOS'!$P$5:$P$500,"&gt;=110200")&gt;0,"X","")</f>
      </c>
      <c r="AX10" s="56" t="str">
        <f>IF(COUNTIFS('LANÇAMENTOS DIÁRIOS'!$G$5:$G$500,"E",'LANÇAMENTOS DIÁRIOS'!$C$5:$C$500,$A10,'LANÇAMENTOS DIÁRIOS'!$O$5:$O$500,"&lt;=110399",'LANÇAMENTOS DIÁRIOS'!$P$5:$P$500,"&gt;=110300")&gt;0,"X","")</f>
      </c>
      <c r="AY10" s="56" t="str">
        <f>IF(COUNTIFS('LANÇAMENTOS DIÁRIOS'!$G$5:$G$500,"E",'LANÇAMENTOS DIÁRIOS'!$C$5:$C$500,$A10,'LANÇAMENTOS DIÁRIOS'!$O$5:$O$500,"&lt;=110499",'LANÇAMENTOS DIÁRIOS'!$P$5:$P$500,"&gt;=110400")&gt;0,"X","")</f>
      </c>
      <c r="AZ10" s="56" t="str">
        <f>IF(COUNTIFS('LANÇAMENTOS DIÁRIOS'!$G$5:$G$500,"E",'LANÇAMENTOS DIÁRIOS'!$C$5:$C$500,$A10,'LANÇAMENTOS DIÁRIOS'!$O$5:$O$500,"&lt;=110599",'LANÇAMENTOS DIÁRIOS'!$P$5:$P$500,"&gt;=110500")&gt;0,"X","")</f>
      </c>
      <c r="BA10" s="56" t="str">
        <f>IF(COUNTIFS('LANÇAMENTOS DIÁRIOS'!$G$5:$G$500,"E",'LANÇAMENTOS DIÁRIOS'!$C$5:$C$500,$A10,'LANÇAMENTOS DIÁRIOS'!$O$5:$O$500,"&lt;=110699",'LANÇAMENTOS DIÁRIOS'!$P$5:$P$500,"&gt;=110600")&gt;0,"X","")</f>
      </c>
      <c r="BB10" s="56" t="str">
        <f>IF(COUNTIFS('LANÇAMENTOS DIÁRIOS'!$G$5:$G$500,"E",'LANÇAMENTOS DIÁRIOS'!$C$5:$C$500,$A10,'LANÇAMENTOS DIÁRIOS'!$O$5:$O$500,"&lt;=110799",'LANÇAMENTOS DIÁRIOS'!$P$5:$P$500,"&gt;=110700")&gt;0,"X","")</f>
      </c>
      <c r="BC10" s="56" t="str">
        <f>IF(COUNTIFS('LANÇAMENTOS DIÁRIOS'!$G$5:$G$500,"E",'LANÇAMENTOS DIÁRIOS'!$C$5:$C$500,$A10,'LANÇAMENTOS DIÁRIOS'!$O$5:$O$500,"&lt;=110899",'LANÇAMENTOS DIÁRIOS'!$P$5:$P$500,"&gt;=110800")&gt;0,"X","")</f>
      </c>
      <c r="BD10" s="56" t="str">
        <f>IF(COUNTIFS('LANÇAMENTOS DIÁRIOS'!$G$5:$G$500,"E",'LANÇAMENTOS DIÁRIOS'!$C$5:$C$500,$A10,'LANÇAMENTOS DIÁRIOS'!$O$5:$O$500,"&lt;=110999",'LANÇAMENTOS DIÁRIOS'!$P$5:$P$500,"&gt;=110900")&gt;0,"X","")</f>
      </c>
      <c r="BE10" s="56" t="str">
        <f>IF(COUNTIFS('LANÇAMENTOS DIÁRIOS'!$G$5:$G$500,"E",'LANÇAMENTOS DIÁRIOS'!$C$5:$C$500,$A10,'LANÇAMENTOS DIÁRIOS'!$O$5:$O$500,"&lt;=111099",'LANÇAMENTOS DIÁRIOS'!$P$5:$P$500,"&gt;=111000")&gt;0,"X","")</f>
      </c>
      <c r="BF10" s="56" t="str">
        <f>IF(COUNTIFS('LANÇAMENTOS DIÁRIOS'!$G$5:$G$500,"E",'LANÇAMENTOS DIÁRIOS'!$C$5:$C$500,$A10,'LANÇAMENTOS DIÁRIOS'!$O$5:$O$500,"&lt;=111199",'LANÇAMENTOS DIÁRIOS'!$P$5:$P$500,"&gt;=111100")&gt;0,"X","")</f>
      </c>
      <c r="BG10" s="56" t="str">
        <f>IF(COUNTIFS('LANÇAMENTOS DIÁRIOS'!$G$5:$G$500,"E",'LANÇAMENTOS DIÁRIOS'!$C$5:$C$500,$A10,'LANÇAMENTOS DIÁRIOS'!$O$5:$O$500,"&lt;=111299",'LANÇAMENTOS DIÁRIOS'!$P$5:$P$500,"&gt;=111200")&gt;0,"X","")</f>
      </c>
      <c r="BH10" s="56" t="str">
        <f>IF(COUNTIFS('LANÇAMENTOS DIÁRIOS'!$G$5:$G$500,"E",'LANÇAMENTOS DIÁRIOS'!$C$5:$C$500,$A10,'LANÇAMENTOS DIÁRIOS'!$O$5:$O$500,"&lt;=111399",'LANÇAMENTOS DIÁRIOS'!$P$5:$P$500,"&gt;=111300")&gt;0,"X","")</f>
      </c>
      <c r="BI10" s="56" t="str">
        <f>IF(COUNTIFS('LANÇAMENTOS DIÁRIOS'!$G$5:$G$500,"E",'LANÇAMENTOS DIÁRIOS'!$C$5:$C$500,$A10,'LANÇAMENTOS DIÁRIOS'!$O$5:$O$500,"&lt;=111499",'LANÇAMENTOS DIÁRIOS'!$P$5:$P$500,"&gt;=111400")&gt;0,"X","")</f>
      </c>
      <c r="BJ10" s="56" t="str">
        <f>IF(COUNTIFS('LANÇAMENTOS DIÁRIOS'!$G$5:$G$500,"E",'LANÇAMENTOS DIÁRIOS'!$C$5:$C$500,$A10,'LANÇAMENTOS DIÁRIOS'!$O$5:$O$500,"&lt;=111500",'LANÇAMENTOS DIÁRIOS'!$P$5:$P$500,"&gt;=111500")&gt;0,"X","")</f>
      </c>
    </row>
    <row r="11">
      <c r="A11" s="51" t="str">
        <v>Demolição de dispositivos de concreto armado</v>
      </c>
      <c r="B11" s="56" t="str">
        <f>IF(COUNTIFS('LANÇAMENTOS DIÁRIOS'!$G$5:$G$500,"E",'LANÇAMENTOS DIÁRIOS'!$C$5:$C$500,$A11,'LANÇAMENTOS DIÁRIOS'!$O$5:$O$500,"&lt;=105599",'LANÇAMENTOS DIÁRIOS'!$P$5:$P$500,"&gt;=105500")&gt;0,"X","")</f>
      </c>
      <c r="C11" s="56" t="str">
        <f>IF(COUNTIFS('LANÇAMENTOS DIÁRIOS'!$G$5:$G$500,"E",'LANÇAMENTOS DIÁRIOS'!$C$5:$C$500,$A11,'LANÇAMENTOS DIÁRIOS'!$O$5:$O$500,"&lt;=105699",'LANÇAMENTOS DIÁRIOS'!$P$5:$P$500,"&gt;=105600")&gt;0,"X","")</f>
      </c>
      <c r="D11" s="56" t="str">
        <f>IF(COUNTIFS('LANÇAMENTOS DIÁRIOS'!$G$5:$G$500,"E",'LANÇAMENTOS DIÁRIOS'!$C$5:$C$500,$A11,'LANÇAMENTOS DIÁRIOS'!$O$5:$O$500,"&lt;=105799",'LANÇAMENTOS DIÁRIOS'!$P$5:$P$500,"&gt;=105700")&gt;0,"X","")</f>
      </c>
      <c r="E11" s="56" t="str">
        <f>IF(COUNTIFS('LANÇAMENTOS DIÁRIOS'!$G$5:$G$500,"E",'LANÇAMENTOS DIÁRIOS'!$C$5:$C$500,$A11,'LANÇAMENTOS DIÁRIOS'!$O$5:$O$500,"&lt;=105899",'LANÇAMENTOS DIÁRIOS'!$P$5:$P$500,"&gt;=105800")&gt;0,"X","")</f>
      </c>
      <c r="F11" s="56" t="str">
        <f>IF(COUNTIFS('LANÇAMENTOS DIÁRIOS'!$G$5:$G$500,"E",'LANÇAMENTOS DIÁRIOS'!$C$5:$C$500,$A11,'LANÇAMENTOS DIÁRIOS'!$O$5:$O$500,"&lt;=105999",'LANÇAMENTOS DIÁRIOS'!$P$5:$P$500,"&gt;=105900")&gt;0,"X","")</f>
      </c>
      <c r="G11" s="56" t="str">
        <f>IF(COUNTIFS('LANÇAMENTOS DIÁRIOS'!$G$5:$G$500,"E",'LANÇAMENTOS DIÁRIOS'!$C$5:$C$500,$A11,'LANÇAMENTOS DIÁRIOS'!$O$5:$O$500,"&lt;=106099",'LANÇAMENTOS DIÁRIOS'!$P$5:$P$500,"&gt;=106000")&gt;0,"X","")</f>
      </c>
      <c r="H11" s="56" t="str">
        <f>IF(COUNTIFS('LANÇAMENTOS DIÁRIOS'!$G$5:$G$500,"E",'LANÇAMENTOS DIÁRIOS'!$C$5:$C$500,$A11,'LANÇAMENTOS DIÁRIOS'!$O$5:$O$500,"&lt;=106199",'LANÇAMENTOS DIÁRIOS'!$P$5:$P$500,"&gt;=106100")&gt;0,"X","")</f>
      </c>
      <c r="I11" s="56" t="str">
        <f>IF(COUNTIFS('LANÇAMENTOS DIÁRIOS'!$G$5:$G$500,"E",'LANÇAMENTOS DIÁRIOS'!$C$5:$C$500,$A11,'LANÇAMENTOS DIÁRIOS'!$O$5:$O$500,"&lt;=106299",'LANÇAMENTOS DIÁRIOS'!$P$5:$P$500,"&gt;=106200")&gt;0,"X","")</f>
      </c>
      <c r="J11" s="56" t="str">
        <f>IF(COUNTIFS('LANÇAMENTOS DIÁRIOS'!$G$5:$G$500,"E",'LANÇAMENTOS DIÁRIOS'!$C$5:$C$500,$A11,'LANÇAMENTOS DIÁRIOS'!$O$5:$O$500,"&lt;=106399",'LANÇAMENTOS DIÁRIOS'!$P$5:$P$500,"&gt;=106300")&gt;0,"X","")</f>
      </c>
      <c r="K11" s="56" t="str">
        <f>IF(COUNTIFS('LANÇAMENTOS DIÁRIOS'!$G$5:$G$500,"E",'LANÇAMENTOS DIÁRIOS'!$C$5:$C$500,$A11,'LANÇAMENTOS DIÁRIOS'!$O$5:$O$500,"&lt;=106499",'LANÇAMENTOS DIÁRIOS'!$P$5:$P$500,"&gt;=106400")&gt;0,"X","")</f>
      </c>
      <c r="L11" s="56" t="str">
        <f>IF(COUNTIFS('LANÇAMENTOS DIÁRIOS'!$G$5:$G$500,"E",'LANÇAMENTOS DIÁRIOS'!$C$5:$C$500,$A11,'LANÇAMENTOS DIÁRIOS'!$O$5:$O$500,"&lt;=106599",'LANÇAMENTOS DIÁRIOS'!$P$5:$P$500,"&gt;=106500")&gt;0,"X","")</f>
      </c>
      <c r="M11" s="56" t="str">
        <f>IF(COUNTIFS('LANÇAMENTOS DIÁRIOS'!$G$5:$G$500,"E",'LANÇAMENTOS DIÁRIOS'!$C$5:$C$500,$A11,'LANÇAMENTOS DIÁRIOS'!$O$5:$O$500,"&lt;=106699",'LANÇAMENTOS DIÁRIOS'!$P$5:$P$500,"&gt;=106600")&gt;0,"X","")</f>
      </c>
      <c r="N11" s="56" t="str">
        <f>IF(COUNTIFS('LANÇAMENTOS DIÁRIOS'!$G$5:$G$500,"E",'LANÇAMENTOS DIÁRIOS'!$C$5:$C$500,$A11,'LANÇAMENTOS DIÁRIOS'!$O$5:$O$500,"&lt;=106799",'LANÇAMENTOS DIÁRIOS'!$P$5:$P$500,"&gt;=106700")&gt;0,"X","")</f>
      </c>
      <c r="O11" s="56" t="str">
        <f>IF(COUNTIFS('LANÇAMENTOS DIÁRIOS'!$G$5:$G$500,"E",'LANÇAMENTOS DIÁRIOS'!$C$5:$C$500,$A11,'LANÇAMENTOS DIÁRIOS'!$O$5:$O$500,"&lt;=106899",'LANÇAMENTOS DIÁRIOS'!$P$5:$P$500,"&gt;=106800")&gt;0,"X","")</f>
      </c>
      <c r="P11" s="56" t="str">
        <f>IF(COUNTIFS('LANÇAMENTOS DIÁRIOS'!$G$5:$G$500,"E",'LANÇAMENTOS DIÁRIOS'!$C$5:$C$500,$A11,'LANÇAMENTOS DIÁRIOS'!$O$5:$O$500,"&lt;=106999",'LANÇAMENTOS DIÁRIOS'!$P$5:$P$500,"&gt;=106900")&gt;0,"X","")</f>
      </c>
      <c r="Q11" s="56" t="str">
        <f>IF(COUNTIFS('LANÇAMENTOS DIÁRIOS'!$G$5:$G$500,"E",'LANÇAMENTOS DIÁRIOS'!$C$5:$C$500,$A11,'LANÇAMENTOS DIÁRIOS'!$O$5:$O$500,"&lt;=107099",'LANÇAMENTOS DIÁRIOS'!$P$5:$P$500,"&gt;=107000")&gt;0,"X","")</f>
      </c>
      <c r="R11" s="56" t="str">
        <f>IF(COUNTIFS('LANÇAMENTOS DIÁRIOS'!$G$5:$G$500,"E",'LANÇAMENTOS DIÁRIOS'!$C$5:$C$500,$A11,'LANÇAMENTOS DIÁRIOS'!$O$5:$O$500,"&lt;=107199",'LANÇAMENTOS DIÁRIOS'!$P$5:$P$500,"&gt;=107100")&gt;0,"X","")</f>
      </c>
      <c r="S11" s="56" t="str">
        <f>IF(COUNTIFS('LANÇAMENTOS DIÁRIOS'!$G$5:$G$500,"E",'LANÇAMENTOS DIÁRIOS'!$C$5:$C$500,$A11,'LANÇAMENTOS DIÁRIOS'!$O$5:$O$500,"&lt;=107299",'LANÇAMENTOS DIÁRIOS'!$P$5:$P$500,"&gt;=107200")&gt;0,"X","")</f>
      </c>
      <c r="T11" s="56" t="str">
        <f>IF(COUNTIFS('LANÇAMENTOS DIÁRIOS'!$G$5:$G$500,"E",'LANÇAMENTOS DIÁRIOS'!$C$5:$C$500,$A11,'LANÇAMENTOS DIÁRIOS'!$O$5:$O$500,"&lt;=107399",'LANÇAMENTOS DIÁRIOS'!$P$5:$P$500,"&gt;=107300")&gt;0,"X","")</f>
      </c>
      <c r="U11" s="56" t="str">
        <f>IF(COUNTIFS('LANÇAMENTOS DIÁRIOS'!$G$5:$G$500,"E",'LANÇAMENTOS DIÁRIOS'!$C$5:$C$500,$A11,'LANÇAMENTOS DIÁRIOS'!$O$5:$O$500,"&lt;=107499",'LANÇAMENTOS DIÁRIOS'!$P$5:$P$500,"&gt;=107400")&gt;0,"X","")</f>
      </c>
      <c r="V11" s="56" t="str">
        <f>IF(COUNTIFS('LANÇAMENTOS DIÁRIOS'!$G$5:$G$500,"E",'LANÇAMENTOS DIÁRIOS'!$C$5:$C$500,$A11,'LANÇAMENTOS DIÁRIOS'!$O$5:$O$500,"&lt;=107599",'LANÇAMENTOS DIÁRIOS'!$P$5:$P$500,"&gt;=107500")&gt;0,"X","")</f>
      </c>
      <c r="W11" s="56" t="str">
        <f>IF(COUNTIFS('LANÇAMENTOS DIÁRIOS'!$G$5:$G$500,"E",'LANÇAMENTOS DIÁRIOS'!$C$5:$C$500,$A11,'LANÇAMENTOS DIÁRIOS'!$O$5:$O$500,"&lt;=107699",'LANÇAMENTOS DIÁRIOS'!$P$5:$P$500,"&gt;=107600")&gt;0,"X","")</f>
      </c>
      <c r="X11" s="56" t="str">
        <f>IF(COUNTIFS('LANÇAMENTOS DIÁRIOS'!$G$5:$G$500,"E",'LANÇAMENTOS DIÁRIOS'!$C$5:$C$500,$A11,'LANÇAMENTOS DIÁRIOS'!$O$5:$O$500,"&lt;=107799",'LANÇAMENTOS DIÁRIOS'!$P$5:$P$500,"&gt;=107700")&gt;0,"X","")</f>
      </c>
      <c r="Y11" s="56" t="str">
        <f>IF(COUNTIFS('LANÇAMENTOS DIÁRIOS'!$G$5:$G$500,"E",'LANÇAMENTOS DIÁRIOS'!$C$5:$C$500,$A11,'LANÇAMENTOS DIÁRIOS'!$O$5:$O$500,"&lt;=107899",'LANÇAMENTOS DIÁRIOS'!$P$5:$P$500,"&gt;=107800")&gt;0,"X","")</f>
      </c>
      <c r="Z11" s="56" t="str">
        <f>IF(COUNTIFS('LANÇAMENTOS DIÁRIOS'!$G$5:$G$500,"E",'LANÇAMENTOS DIÁRIOS'!$C$5:$C$500,$A11,'LANÇAMENTOS DIÁRIOS'!$O$5:$O$500,"&lt;=107999",'LANÇAMENTOS DIÁRIOS'!$P$5:$P$500,"&gt;=107900")&gt;0,"X","")</f>
      </c>
      <c r="AA11" s="56" t="str">
        <f>IF(COUNTIFS('LANÇAMENTOS DIÁRIOS'!$G$5:$G$500,"E",'LANÇAMENTOS DIÁRIOS'!$C$5:$C$500,$A11,'LANÇAMENTOS DIÁRIOS'!$O$5:$O$500,"&lt;=108099",'LANÇAMENTOS DIÁRIOS'!$P$5:$P$500,"&gt;=108000")&gt;0,"X","")</f>
      </c>
      <c r="AB11" s="56" t="str">
        <f>IF(COUNTIFS('LANÇAMENTOS DIÁRIOS'!$G$5:$G$500,"E",'LANÇAMENTOS DIÁRIOS'!$C$5:$C$500,$A11,'LANÇAMENTOS DIÁRIOS'!$O$5:$O$500,"&lt;=108199",'LANÇAMENTOS DIÁRIOS'!$P$5:$P$500,"&gt;=108100")&gt;0,"X","")</f>
      </c>
      <c r="AC11" s="56" t="str">
        <f>IF(COUNTIFS('LANÇAMENTOS DIÁRIOS'!$G$5:$G$500,"E",'LANÇAMENTOS DIÁRIOS'!$C$5:$C$500,$A11,'LANÇAMENTOS DIÁRIOS'!$O$5:$O$500,"&lt;=108299",'LANÇAMENTOS DIÁRIOS'!$P$5:$P$500,"&gt;=108200")&gt;0,"X","")</f>
      </c>
      <c r="AD11" s="56" t="str">
        <f>IF(COUNTIFS('LANÇAMENTOS DIÁRIOS'!$G$5:$G$500,"E",'LANÇAMENTOS DIÁRIOS'!$C$5:$C$500,$A11,'LANÇAMENTOS DIÁRIOS'!$O$5:$O$500,"&lt;=108399",'LANÇAMENTOS DIÁRIOS'!$P$5:$P$500,"&gt;=108300")&gt;0,"X","")</f>
      </c>
      <c r="AE11" s="56" t="str">
        <f>IF(COUNTIFS('LANÇAMENTOS DIÁRIOS'!$G$5:$G$500,"E",'LANÇAMENTOS DIÁRIOS'!$C$5:$C$500,$A11,'LANÇAMENTOS DIÁRIOS'!$O$5:$O$500,"&lt;=108499",'LANÇAMENTOS DIÁRIOS'!$P$5:$P$500,"&gt;=108400")&gt;0,"X","")</f>
      </c>
      <c r="AF11" s="56" t="str">
        <f>IF(COUNTIFS('LANÇAMENTOS DIÁRIOS'!$G$5:$G$500,"E",'LANÇAMENTOS DIÁRIOS'!$C$5:$C$500,$A11,'LANÇAMENTOS DIÁRIOS'!$O$5:$O$500,"&lt;=108599",'LANÇAMENTOS DIÁRIOS'!$P$5:$P$500,"&gt;=108500")&gt;0,"X","")</f>
      </c>
      <c r="AG11" s="56" t="str">
        <f>IF(COUNTIFS('LANÇAMENTOS DIÁRIOS'!$G$5:$G$500,"E",'LANÇAMENTOS DIÁRIOS'!$C$5:$C$500,$A11,'LANÇAMENTOS DIÁRIOS'!$O$5:$O$500,"&lt;=108699",'LANÇAMENTOS DIÁRIOS'!$P$5:$P$500,"&gt;=108600")&gt;0,"X","")</f>
      </c>
      <c r="AH11" s="56" t="str">
        <f>IF(COUNTIFS('LANÇAMENTOS DIÁRIOS'!$G$5:$G$500,"E",'LANÇAMENTOS DIÁRIOS'!$C$5:$C$500,$A11,'LANÇAMENTOS DIÁRIOS'!$O$5:$O$500,"&lt;=108799",'LANÇAMENTOS DIÁRIOS'!$P$5:$P$500,"&gt;=108700")&gt;0,"X","")</f>
      </c>
      <c r="AI11" s="56" t="str">
        <f>IF(COUNTIFS('LANÇAMENTOS DIÁRIOS'!$G$5:$G$500,"E",'LANÇAMENTOS DIÁRIOS'!$C$5:$C$500,$A11,'LANÇAMENTOS DIÁRIOS'!$O$5:$O$500,"&lt;=108899",'LANÇAMENTOS DIÁRIOS'!$P$5:$P$500,"&gt;=108800")&gt;0,"X","")</f>
      </c>
      <c r="AJ11" s="56" t="str">
        <f>IF(COUNTIFS('LANÇAMENTOS DIÁRIOS'!$G$5:$G$500,"E",'LANÇAMENTOS DIÁRIOS'!$C$5:$C$500,$A11,'LANÇAMENTOS DIÁRIOS'!$O$5:$O$500,"&lt;=108999",'LANÇAMENTOS DIÁRIOS'!$P$5:$P$500,"&gt;=108900")&gt;0,"X","")</f>
      </c>
      <c r="AK11" s="56" t="str">
        <f>IF(COUNTIFS('LANÇAMENTOS DIÁRIOS'!$G$5:$G$500,"E",'LANÇAMENTOS DIÁRIOS'!$C$5:$C$500,$A11,'LANÇAMENTOS DIÁRIOS'!$O$5:$O$500,"&lt;=109099",'LANÇAMENTOS DIÁRIOS'!$P$5:$P$500,"&gt;=109000")&gt;0,"X","")</f>
      </c>
      <c r="AL11" s="56" t="str">
        <f>IF(COUNTIFS('LANÇAMENTOS DIÁRIOS'!$G$5:$G$500,"E",'LANÇAMENTOS DIÁRIOS'!$C$5:$C$500,$A11,'LANÇAMENTOS DIÁRIOS'!$O$5:$O$500,"&lt;=109199",'LANÇAMENTOS DIÁRIOS'!$P$5:$P$500,"&gt;=109100")&gt;0,"X","")</f>
      </c>
      <c r="AM11" s="56" t="str">
        <f>IF(COUNTIFS('LANÇAMENTOS DIÁRIOS'!$G$5:$G$500,"E",'LANÇAMENTOS DIÁRIOS'!$C$5:$C$500,$A11,'LANÇAMENTOS DIÁRIOS'!$O$5:$O$500,"&lt;=109299",'LANÇAMENTOS DIÁRIOS'!$P$5:$P$500,"&gt;=109200")&gt;0,"X","")</f>
      </c>
      <c r="AN11" s="56" t="str">
        <f>IF(COUNTIFS('LANÇAMENTOS DIÁRIOS'!$G$5:$G$500,"E",'LANÇAMENTOS DIÁRIOS'!$C$5:$C$500,$A11,'LANÇAMENTOS DIÁRIOS'!$O$5:$O$500,"&lt;=109399",'LANÇAMENTOS DIÁRIOS'!$P$5:$P$500,"&gt;=109300")&gt;0,"X","")</f>
      </c>
      <c r="AO11" s="56" t="str">
        <f>IF(COUNTIFS('LANÇAMENTOS DIÁRIOS'!$G$5:$G$500,"E",'LANÇAMENTOS DIÁRIOS'!$C$5:$C$500,$A11,'LANÇAMENTOS DIÁRIOS'!$O$5:$O$500,"&lt;=109499",'LANÇAMENTOS DIÁRIOS'!$P$5:$P$500,"&gt;=109400")&gt;0,"X","")</f>
      </c>
      <c r="AP11" s="56" t="str">
        <f>IF(COUNTIFS('LANÇAMENTOS DIÁRIOS'!$G$5:$G$500,"E",'LANÇAMENTOS DIÁRIOS'!$C$5:$C$500,$A11,'LANÇAMENTOS DIÁRIOS'!$O$5:$O$500,"&lt;=109599",'LANÇAMENTOS DIÁRIOS'!$P$5:$P$500,"&gt;=109500")&gt;0,"X","")</f>
      </c>
      <c r="AQ11" s="56" t="str">
        <f>IF(COUNTIFS('LANÇAMENTOS DIÁRIOS'!$G$5:$G$500,"E",'LANÇAMENTOS DIÁRIOS'!$C$5:$C$500,$A11,'LANÇAMENTOS DIÁRIOS'!$O$5:$O$500,"&lt;=109699",'LANÇAMENTOS DIÁRIOS'!$P$5:$P$500,"&gt;=109600")&gt;0,"X","")</f>
      </c>
      <c r="AR11" s="56" t="str">
        <f>IF(COUNTIFS('LANÇAMENTOS DIÁRIOS'!$G$5:$G$500,"E",'LANÇAMENTOS DIÁRIOS'!$C$5:$C$500,$A11,'LANÇAMENTOS DIÁRIOS'!$O$5:$O$500,"&lt;=109799",'LANÇAMENTOS DIÁRIOS'!$P$5:$P$500,"&gt;=109700")&gt;0,"X","")</f>
      </c>
      <c r="AS11" s="56" t="str">
        <f>IF(COUNTIFS('LANÇAMENTOS DIÁRIOS'!$G$5:$G$500,"E",'LANÇAMENTOS DIÁRIOS'!$C$5:$C$500,$A11,'LANÇAMENTOS DIÁRIOS'!$O$5:$O$500,"&lt;=109899",'LANÇAMENTOS DIÁRIOS'!$P$5:$P$500,"&gt;=109800")&gt;0,"X","")</f>
      </c>
      <c r="AT11" s="56" t="str">
        <f>IF(COUNTIFS('LANÇAMENTOS DIÁRIOS'!$G$5:$G$500,"E",'LANÇAMENTOS DIÁRIOS'!$C$5:$C$500,$A11,'LANÇAMENTOS DIÁRIOS'!$O$5:$O$500,"&lt;=109999",'LANÇAMENTOS DIÁRIOS'!$P$5:$P$500,"&gt;=109900")&gt;0,"X","")</f>
      </c>
      <c r="AU11" s="56" t="str">
        <f>IF(COUNTIFS('LANÇAMENTOS DIÁRIOS'!$G$5:$G$500,"E",'LANÇAMENTOS DIÁRIOS'!$C$5:$C$500,$A11,'LANÇAMENTOS DIÁRIOS'!$O$5:$O$500,"&lt;=110099",'LANÇAMENTOS DIÁRIOS'!$P$5:$P$500,"&gt;=110000")&gt;0,"X","")</f>
      </c>
      <c r="AV11" s="56" t="str">
        <f>IF(COUNTIFS('LANÇAMENTOS DIÁRIOS'!$G$5:$G$500,"E",'LANÇAMENTOS DIÁRIOS'!$C$5:$C$500,$A11,'LANÇAMENTOS DIÁRIOS'!$O$5:$O$500,"&lt;=110199",'LANÇAMENTOS DIÁRIOS'!$P$5:$P$500,"&gt;=110100")&gt;0,"X","")</f>
      </c>
      <c r="AW11" s="56" t="str">
        <f>IF(COUNTIFS('LANÇAMENTOS DIÁRIOS'!$G$5:$G$500,"E",'LANÇAMENTOS DIÁRIOS'!$C$5:$C$500,$A11,'LANÇAMENTOS DIÁRIOS'!$O$5:$O$500,"&lt;=110299",'LANÇAMENTOS DIÁRIOS'!$P$5:$P$500,"&gt;=110200")&gt;0,"X","")</f>
      </c>
      <c r="AX11" s="56" t="str">
        <f>IF(COUNTIFS('LANÇAMENTOS DIÁRIOS'!$G$5:$G$500,"E",'LANÇAMENTOS DIÁRIOS'!$C$5:$C$500,$A11,'LANÇAMENTOS DIÁRIOS'!$O$5:$O$500,"&lt;=110399",'LANÇAMENTOS DIÁRIOS'!$P$5:$P$500,"&gt;=110300")&gt;0,"X","")</f>
      </c>
      <c r="AY11" s="56" t="str">
        <f>IF(COUNTIFS('LANÇAMENTOS DIÁRIOS'!$G$5:$G$500,"E",'LANÇAMENTOS DIÁRIOS'!$C$5:$C$500,$A11,'LANÇAMENTOS DIÁRIOS'!$O$5:$O$500,"&lt;=110499",'LANÇAMENTOS DIÁRIOS'!$P$5:$P$500,"&gt;=110400")&gt;0,"X","")</f>
      </c>
      <c r="AZ11" s="56" t="str">
        <f>IF(COUNTIFS('LANÇAMENTOS DIÁRIOS'!$G$5:$G$500,"E",'LANÇAMENTOS DIÁRIOS'!$C$5:$C$500,$A11,'LANÇAMENTOS DIÁRIOS'!$O$5:$O$500,"&lt;=110599",'LANÇAMENTOS DIÁRIOS'!$P$5:$P$500,"&gt;=110500")&gt;0,"X","")</f>
      </c>
      <c r="BA11" s="56" t="str">
        <f>IF(COUNTIFS('LANÇAMENTOS DIÁRIOS'!$G$5:$G$500,"E",'LANÇAMENTOS DIÁRIOS'!$C$5:$C$500,$A11,'LANÇAMENTOS DIÁRIOS'!$O$5:$O$500,"&lt;=110699",'LANÇAMENTOS DIÁRIOS'!$P$5:$P$500,"&gt;=110600")&gt;0,"X","")</f>
      </c>
      <c r="BB11" s="56" t="str">
        <f>IF(COUNTIFS('LANÇAMENTOS DIÁRIOS'!$G$5:$G$500,"E",'LANÇAMENTOS DIÁRIOS'!$C$5:$C$500,$A11,'LANÇAMENTOS DIÁRIOS'!$O$5:$O$500,"&lt;=110799",'LANÇAMENTOS DIÁRIOS'!$P$5:$P$500,"&gt;=110700")&gt;0,"X","")</f>
      </c>
      <c r="BC11" s="56" t="str">
        <f>IF(COUNTIFS('LANÇAMENTOS DIÁRIOS'!$G$5:$G$500,"E",'LANÇAMENTOS DIÁRIOS'!$C$5:$C$500,$A11,'LANÇAMENTOS DIÁRIOS'!$O$5:$O$500,"&lt;=110899",'LANÇAMENTOS DIÁRIOS'!$P$5:$P$500,"&gt;=110800")&gt;0,"X","")</f>
      </c>
      <c r="BD11" s="56" t="str">
        <f>IF(COUNTIFS('LANÇAMENTOS DIÁRIOS'!$G$5:$G$500,"E",'LANÇAMENTOS DIÁRIOS'!$C$5:$C$500,$A11,'LANÇAMENTOS DIÁRIOS'!$O$5:$O$500,"&lt;=110999",'LANÇAMENTOS DIÁRIOS'!$P$5:$P$500,"&gt;=110900")&gt;0,"X","")</f>
      </c>
      <c r="BE11" s="56" t="str">
        <f>IF(COUNTIFS('LANÇAMENTOS DIÁRIOS'!$G$5:$G$500,"E",'LANÇAMENTOS DIÁRIOS'!$C$5:$C$500,$A11,'LANÇAMENTOS DIÁRIOS'!$O$5:$O$500,"&lt;=111099",'LANÇAMENTOS DIÁRIOS'!$P$5:$P$500,"&gt;=111000")&gt;0,"X","")</f>
      </c>
      <c r="BF11" s="56" t="str">
        <f>IF(COUNTIFS('LANÇAMENTOS DIÁRIOS'!$G$5:$G$500,"E",'LANÇAMENTOS DIÁRIOS'!$C$5:$C$500,$A11,'LANÇAMENTOS DIÁRIOS'!$O$5:$O$500,"&lt;=111199",'LANÇAMENTOS DIÁRIOS'!$P$5:$P$500,"&gt;=111100")&gt;0,"X","")</f>
      </c>
      <c r="BG11" s="56" t="str">
        <f>IF(COUNTIFS('LANÇAMENTOS DIÁRIOS'!$G$5:$G$500,"E",'LANÇAMENTOS DIÁRIOS'!$C$5:$C$500,$A11,'LANÇAMENTOS DIÁRIOS'!$O$5:$O$500,"&lt;=111299",'LANÇAMENTOS DIÁRIOS'!$P$5:$P$500,"&gt;=111200")&gt;0,"X","")</f>
      </c>
      <c r="BH11" s="56" t="str">
        <f>IF(COUNTIFS('LANÇAMENTOS DIÁRIOS'!$G$5:$G$500,"E",'LANÇAMENTOS DIÁRIOS'!$C$5:$C$500,$A11,'LANÇAMENTOS DIÁRIOS'!$O$5:$O$500,"&lt;=111399",'LANÇAMENTOS DIÁRIOS'!$P$5:$P$500,"&gt;=111300")&gt;0,"X","")</f>
      </c>
      <c r="BI11" s="56" t="str">
        <f>IF(COUNTIFS('LANÇAMENTOS DIÁRIOS'!$G$5:$G$500,"E",'LANÇAMENTOS DIÁRIOS'!$C$5:$C$500,$A11,'LANÇAMENTOS DIÁRIOS'!$O$5:$O$500,"&lt;=111499",'LANÇAMENTOS DIÁRIOS'!$P$5:$P$500,"&gt;=111400")&gt;0,"X","")</f>
      </c>
      <c r="BJ11" s="56" t="str">
        <f>IF(COUNTIFS('LANÇAMENTOS DIÁRIOS'!$G$5:$G$500,"E",'LANÇAMENTOS DIÁRIOS'!$C$5:$C$500,$A11,'LANÇAMENTOS DIÁRIOS'!$O$5:$O$500,"&lt;=111500",'LANÇAMENTOS DIÁRIOS'!$P$5:$P$500,"&gt;=111500")&gt;0,"X","")</f>
      </c>
    </row>
    <row r="12">
      <c r="A12" s="51" t="str">
        <v>Demolição de dispositivos de concreto simples</v>
      </c>
      <c r="B12" s="56" t="str">
        <f>IF(COUNTIFS('LANÇAMENTOS DIÁRIOS'!$G$5:$G$500,"E",'LANÇAMENTOS DIÁRIOS'!$C$5:$C$500,$A12,'LANÇAMENTOS DIÁRIOS'!$O$5:$O$500,"&lt;=105599",'LANÇAMENTOS DIÁRIOS'!$P$5:$P$500,"&gt;=105500")&gt;0,"X","")</f>
      </c>
      <c r="C12" s="56" t="str">
        <f>IF(COUNTIFS('LANÇAMENTOS DIÁRIOS'!$G$5:$G$500,"E",'LANÇAMENTOS DIÁRIOS'!$C$5:$C$500,$A12,'LANÇAMENTOS DIÁRIOS'!$O$5:$O$500,"&lt;=105699",'LANÇAMENTOS DIÁRIOS'!$P$5:$P$500,"&gt;=105600")&gt;0,"X","")</f>
      </c>
      <c r="D12" s="56" t="str">
        <f>IF(COUNTIFS('LANÇAMENTOS DIÁRIOS'!$G$5:$G$500,"E",'LANÇAMENTOS DIÁRIOS'!$C$5:$C$500,$A12,'LANÇAMENTOS DIÁRIOS'!$O$5:$O$500,"&lt;=105799",'LANÇAMENTOS DIÁRIOS'!$P$5:$P$500,"&gt;=105700")&gt;0,"X","")</f>
      </c>
      <c r="E12" s="56" t="str">
        <f>IF(COUNTIFS('LANÇAMENTOS DIÁRIOS'!$G$5:$G$500,"E",'LANÇAMENTOS DIÁRIOS'!$C$5:$C$500,$A12,'LANÇAMENTOS DIÁRIOS'!$O$5:$O$500,"&lt;=105899",'LANÇAMENTOS DIÁRIOS'!$P$5:$P$500,"&gt;=105800")&gt;0,"X","")</f>
      </c>
      <c r="F12" s="56" t="str">
        <f>IF(COUNTIFS('LANÇAMENTOS DIÁRIOS'!$G$5:$G$500,"E",'LANÇAMENTOS DIÁRIOS'!$C$5:$C$500,$A12,'LANÇAMENTOS DIÁRIOS'!$O$5:$O$500,"&lt;=105999",'LANÇAMENTOS DIÁRIOS'!$P$5:$P$500,"&gt;=105900")&gt;0,"X","")</f>
      </c>
      <c r="G12" s="56" t="str">
        <f>IF(COUNTIFS('LANÇAMENTOS DIÁRIOS'!$G$5:$G$500,"E",'LANÇAMENTOS DIÁRIOS'!$C$5:$C$500,$A12,'LANÇAMENTOS DIÁRIOS'!$O$5:$O$500,"&lt;=106099",'LANÇAMENTOS DIÁRIOS'!$P$5:$P$500,"&gt;=106000")&gt;0,"X","")</f>
      </c>
      <c r="H12" s="56" t="str">
        <f>IF(COUNTIFS('LANÇAMENTOS DIÁRIOS'!$G$5:$G$500,"E",'LANÇAMENTOS DIÁRIOS'!$C$5:$C$500,$A12,'LANÇAMENTOS DIÁRIOS'!$O$5:$O$500,"&lt;=106199",'LANÇAMENTOS DIÁRIOS'!$P$5:$P$500,"&gt;=106100")&gt;0,"X","")</f>
      </c>
      <c r="I12" s="56" t="str">
        <f>IF(COUNTIFS('LANÇAMENTOS DIÁRIOS'!$G$5:$G$500,"E",'LANÇAMENTOS DIÁRIOS'!$C$5:$C$500,$A12,'LANÇAMENTOS DIÁRIOS'!$O$5:$O$500,"&lt;=106299",'LANÇAMENTOS DIÁRIOS'!$P$5:$P$500,"&gt;=106200")&gt;0,"X","")</f>
      </c>
      <c r="J12" s="56" t="str">
        <f>IF(COUNTIFS('LANÇAMENTOS DIÁRIOS'!$G$5:$G$500,"E",'LANÇAMENTOS DIÁRIOS'!$C$5:$C$500,$A12,'LANÇAMENTOS DIÁRIOS'!$O$5:$O$500,"&lt;=106399",'LANÇAMENTOS DIÁRIOS'!$P$5:$P$500,"&gt;=106300")&gt;0,"X","")</f>
      </c>
      <c r="K12" s="56" t="str">
        <f>IF(COUNTIFS('LANÇAMENTOS DIÁRIOS'!$G$5:$G$500,"E",'LANÇAMENTOS DIÁRIOS'!$C$5:$C$500,$A12,'LANÇAMENTOS DIÁRIOS'!$O$5:$O$500,"&lt;=106499",'LANÇAMENTOS DIÁRIOS'!$P$5:$P$500,"&gt;=106400")&gt;0,"X","")</f>
      </c>
      <c r="L12" s="56" t="str">
        <f>IF(COUNTIFS('LANÇAMENTOS DIÁRIOS'!$G$5:$G$500,"E",'LANÇAMENTOS DIÁRIOS'!$C$5:$C$500,$A12,'LANÇAMENTOS DIÁRIOS'!$O$5:$O$500,"&lt;=106599",'LANÇAMENTOS DIÁRIOS'!$P$5:$P$500,"&gt;=106500")&gt;0,"X","")</f>
      </c>
      <c r="M12" s="56" t="str">
        <f>IF(COUNTIFS('LANÇAMENTOS DIÁRIOS'!$G$5:$G$500,"E",'LANÇAMENTOS DIÁRIOS'!$C$5:$C$500,$A12,'LANÇAMENTOS DIÁRIOS'!$O$5:$O$500,"&lt;=106699",'LANÇAMENTOS DIÁRIOS'!$P$5:$P$500,"&gt;=106600")&gt;0,"X","")</f>
      </c>
      <c r="N12" s="56" t="str">
        <f>IF(COUNTIFS('LANÇAMENTOS DIÁRIOS'!$G$5:$G$500,"E",'LANÇAMENTOS DIÁRIOS'!$C$5:$C$500,$A12,'LANÇAMENTOS DIÁRIOS'!$O$5:$O$500,"&lt;=106799",'LANÇAMENTOS DIÁRIOS'!$P$5:$P$500,"&gt;=106700")&gt;0,"X","")</f>
      </c>
      <c r="O12" s="56" t="str">
        <f>IF(COUNTIFS('LANÇAMENTOS DIÁRIOS'!$G$5:$G$500,"E",'LANÇAMENTOS DIÁRIOS'!$C$5:$C$500,$A12,'LANÇAMENTOS DIÁRIOS'!$O$5:$O$500,"&lt;=106899",'LANÇAMENTOS DIÁRIOS'!$P$5:$P$500,"&gt;=106800")&gt;0,"X","")</f>
      </c>
      <c r="P12" s="56" t="str">
        <f>IF(COUNTIFS('LANÇAMENTOS DIÁRIOS'!$G$5:$G$500,"E",'LANÇAMENTOS DIÁRIOS'!$C$5:$C$500,$A12,'LANÇAMENTOS DIÁRIOS'!$O$5:$O$500,"&lt;=106999",'LANÇAMENTOS DIÁRIOS'!$P$5:$P$500,"&gt;=106900")&gt;0,"X","")</f>
      </c>
      <c r="Q12" s="56" t="str">
        <f>IF(COUNTIFS('LANÇAMENTOS DIÁRIOS'!$G$5:$G$500,"E",'LANÇAMENTOS DIÁRIOS'!$C$5:$C$500,$A12,'LANÇAMENTOS DIÁRIOS'!$O$5:$O$500,"&lt;=107099",'LANÇAMENTOS DIÁRIOS'!$P$5:$P$500,"&gt;=107000")&gt;0,"X","")</f>
      </c>
      <c r="R12" s="56" t="str">
        <f>IF(COUNTIFS('LANÇAMENTOS DIÁRIOS'!$G$5:$G$500,"E",'LANÇAMENTOS DIÁRIOS'!$C$5:$C$500,$A12,'LANÇAMENTOS DIÁRIOS'!$O$5:$O$500,"&lt;=107199",'LANÇAMENTOS DIÁRIOS'!$P$5:$P$500,"&gt;=107100")&gt;0,"X","")</f>
      </c>
      <c r="S12" s="56" t="str">
        <f>IF(COUNTIFS('LANÇAMENTOS DIÁRIOS'!$G$5:$G$500,"E",'LANÇAMENTOS DIÁRIOS'!$C$5:$C$500,$A12,'LANÇAMENTOS DIÁRIOS'!$O$5:$O$500,"&lt;=107299",'LANÇAMENTOS DIÁRIOS'!$P$5:$P$500,"&gt;=107200")&gt;0,"X","")</f>
      </c>
      <c r="T12" s="56" t="str">
        <f>IF(COUNTIFS('LANÇAMENTOS DIÁRIOS'!$G$5:$G$500,"E",'LANÇAMENTOS DIÁRIOS'!$C$5:$C$500,$A12,'LANÇAMENTOS DIÁRIOS'!$O$5:$O$500,"&lt;=107399",'LANÇAMENTOS DIÁRIOS'!$P$5:$P$500,"&gt;=107300")&gt;0,"X","")</f>
      </c>
      <c r="U12" s="56" t="str">
        <f>IF(COUNTIFS('LANÇAMENTOS DIÁRIOS'!$G$5:$G$500,"E",'LANÇAMENTOS DIÁRIOS'!$C$5:$C$500,$A12,'LANÇAMENTOS DIÁRIOS'!$O$5:$O$500,"&lt;=107499",'LANÇAMENTOS DIÁRIOS'!$P$5:$P$500,"&gt;=107400")&gt;0,"X","")</f>
      </c>
      <c r="V12" s="56" t="str">
        <f>IF(COUNTIFS('LANÇAMENTOS DIÁRIOS'!$G$5:$G$500,"E",'LANÇAMENTOS DIÁRIOS'!$C$5:$C$500,$A12,'LANÇAMENTOS DIÁRIOS'!$O$5:$O$500,"&lt;=107599",'LANÇAMENTOS DIÁRIOS'!$P$5:$P$500,"&gt;=107500")&gt;0,"X","")</f>
      </c>
      <c r="W12" s="56" t="str">
        <f>IF(COUNTIFS('LANÇAMENTOS DIÁRIOS'!$G$5:$G$500,"E",'LANÇAMENTOS DIÁRIOS'!$C$5:$C$500,$A12,'LANÇAMENTOS DIÁRIOS'!$O$5:$O$500,"&lt;=107699",'LANÇAMENTOS DIÁRIOS'!$P$5:$P$500,"&gt;=107600")&gt;0,"X","")</f>
      </c>
      <c r="X12" s="56" t="str">
        <f>IF(COUNTIFS('LANÇAMENTOS DIÁRIOS'!$G$5:$G$500,"E",'LANÇAMENTOS DIÁRIOS'!$C$5:$C$500,$A12,'LANÇAMENTOS DIÁRIOS'!$O$5:$O$500,"&lt;=107799",'LANÇAMENTOS DIÁRIOS'!$P$5:$P$500,"&gt;=107700")&gt;0,"X","")</f>
      </c>
      <c r="Y12" s="56" t="str">
        <f>IF(COUNTIFS('LANÇAMENTOS DIÁRIOS'!$G$5:$G$500,"E",'LANÇAMENTOS DIÁRIOS'!$C$5:$C$500,$A12,'LANÇAMENTOS DIÁRIOS'!$O$5:$O$500,"&lt;=107899",'LANÇAMENTOS DIÁRIOS'!$P$5:$P$500,"&gt;=107800")&gt;0,"X","")</f>
      </c>
      <c r="Z12" s="56" t="str">
        <f>IF(COUNTIFS('LANÇAMENTOS DIÁRIOS'!$G$5:$G$500,"E",'LANÇAMENTOS DIÁRIOS'!$C$5:$C$500,$A12,'LANÇAMENTOS DIÁRIOS'!$O$5:$O$500,"&lt;=107999",'LANÇAMENTOS DIÁRIOS'!$P$5:$P$500,"&gt;=107900")&gt;0,"X","")</f>
      </c>
      <c r="AA12" s="56" t="str">
        <f>IF(COUNTIFS('LANÇAMENTOS DIÁRIOS'!$G$5:$G$500,"E",'LANÇAMENTOS DIÁRIOS'!$C$5:$C$500,$A12,'LANÇAMENTOS DIÁRIOS'!$O$5:$O$500,"&lt;=108099",'LANÇAMENTOS DIÁRIOS'!$P$5:$P$500,"&gt;=108000")&gt;0,"X","")</f>
      </c>
      <c r="AB12" s="56" t="str">
        <f>IF(COUNTIFS('LANÇAMENTOS DIÁRIOS'!$G$5:$G$500,"E",'LANÇAMENTOS DIÁRIOS'!$C$5:$C$500,$A12,'LANÇAMENTOS DIÁRIOS'!$O$5:$O$500,"&lt;=108199",'LANÇAMENTOS DIÁRIOS'!$P$5:$P$500,"&gt;=108100")&gt;0,"X","")</f>
      </c>
      <c r="AC12" s="56" t="str">
        <f>IF(COUNTIFS('LANÇAMENTOS DIÁRIOS'!$G$5:$G$500,"E",'LANÇAMENTOS DIÁRIOS'!$C$5:$C$500,$A12,'LANÇAMENTOS DIÁRIOS'!$O$5:$O$500,"&lt;=108299",'LANÇAMENTOS DIÁRIOS'!$P$5:$P$500,"&gt;=108200")&gt;0,"X","")</f>
      </c>
      <c r="AD12" s="56" t="str">
        <f>IF(COUNTIFS('LANÇAMENTOS DIÁRIOS'!$G$5:$G$500,"E",'LANÇAMENTOS DIÁRIOS'!$C$5:$C$500,$A12,'LANÇAMENTOS DIÁRIOS'!$O$5:$O$500,"&lt;=108399",'LANÇAMENTOS DIÁRIOS'!$P$5:$P$500,"&gt;=108300")&gt;0,"X","")</f>
      </c>
      <c r="AE12" s="56" t="str">
        <f>IF(COUNTIFS('LANÇAMENTOS DIÁRIOS'!$G$5:$G$500,"E",'LANÇAMENTOS DIÁRIOS'!$C$5:$C$500,$A12,'LANÇAMENTOS DIÁRIOS'!$O$5:$O$500,"&lt;=108499",'LANÇAMENTOS DIÁRIOS'!$P$5:$P$500,"&gt;=108400")&gt;0,"X","")</f>
      </c>
      <c r="AF12" s="56" t="str">
        <f>IF(COUNTIFS('LANÇAMENTOS DIÁRIOS'!$G$5:$G$500,"E",'LANÇAMENTOS DIÁRIOS'!$C$5:$C$500,$A12,'LANÇAMENTOS DIÁRIOS'!$O$5:$O$500,"&lt;=108599",'LANÇAMENTOS DIÁRIOS'!$P$5:$P$500,"&gt;=108500")&gt;0,"X","")</f>
      </c>
      <c r="AG12" s="56" t="str">
        <f>IF(COUNTIFS('LANÇAMENTOS DIÁRIOS'!$G$5:$G$500,"E",'LANÇAMENTOS DIÁRIOS'!$C$5:$C$500,$A12,'LANÇAMENTOS DIÁRIOS'!$O$5:$O$500,"&lt;=108699",'LANÇAMENTOS DIÁRIOS'!$P$5:$P$500,"&gt;=108600")&gt;0,"X","")</f>
      </c>
      <c r="AH12" s="56" t="str">
        <f>IF(COUNTIFS('LANÇAMENTOS DIÁRIOS'!$G$5:$G$500,"E",'LANÇAMENTOS DIÁRIOS'!$C$5:$C$500,$A12,'LANÇAMENTOS DIÁRIOS'!$O$5:$O$500,"&lt;=108799",'LANÇAMENTOS DIÁRIOS'!$P$5:$P$500,"&gt;=108700")&gt;0,"X","")</f>
      </c>
      <c r="AI12" s="56" t="str">
        <f>IF(COUNTIFS('LANÇAMENTOS DIÁRIOS'!$G$5:$G$500,"E",'LANÇAMENTOS DIÁRIOS'!$C$5:$C$500,$A12,'LANÇAMENTOS DIÁRIOS'!$O$5:$O$500,"&lt;=108899",'LANÇAMENTOS DIÁRIOS'!$P$5:$P$500,"&gt;=108800")&gt;0,"X","")</f>
      </c>
      <c r="AJ12" s="56" t="str">
        <f>IF(COUNTIFS('LANÇAMENTOS DIÁRIOS'!$G$5:$G$500,"E",'LANÇAMENTOS DIÁRIOS'!$C$5:$C$500,$A12,'LANÇAMENTOS DIÁRIOS'!$O$5:$O$500,"&lt;=108999",'LANÇAMENTOS DIÁRIOS'!$P$5:$P$500,"&gt;=108900")&gt;0,"X","")</f>
      </c>
      <c r="AK12" s="56" t="str">
        <f>IF(COUNTIFS('LANÇAMENTOS DIÁRIOS'!$G$5:$G$500,"E",'LANÇAMENTOS DIÁRIOS'!$C$5:$C$500,$A12,'LANÇAMENTOS DIÁRIOS'!$O$5:$O$500,"&lt;=109099",'LANÇAMENTOS DIÁRIOS'!$P$5:$P$500,"&gt;=109000")&gt;0,"X","")</f>
      </c>
      <c r="AL12" s="56" t="str">
        <f>IF(COUNTIFS('LANÇAMENTOS DIÁRIOS'!$G$5:$G$500,"E",'LANÇAMENTOS DIÁRIOS'!$C$5:$C$500,$A12,'LANÇAMENTOS DIÁRIOS'!$O$5:$O$500,"&lt;=109199",'LANÇAMENTOS DIÁRIOS'!$P$5:$P$500,"&gt;=109100")&gt;0,"X","")</f>
      </c>
      <c r="AM12" s="56" t="str">
        <f>IF(COUNTIFS('LANÇAMENTOS DIÁRIOS'!$G$5:$G$500,"E",'LANÇAMENTOS DIÁRIOS'!$C$5:$C$500,$A12,'LANÇAMENTOS DIÁRIOS'!$O$5:$O$500,"&lt;=109299",'LANÇAMENTOS DIÁRIOS'!$P$5:$P$500,"&gt;=109200")&gt;0,"X","")</f>
      </c>
      <c r="AN12" s="56" t="str">
        <f>IF(COUNTIFS('LANÇAMENTOS DIÁRIOS'!$G$5:$G$500,"E",'LANÇAMENTOS DIÁRIOS'!$C$5:$C$500,$A12,'LANÇAMENTOS DIÁRIOS'!$O$5:$O$500,"&lt;=109399",'LANÇAMENTOS DIÁRIOS'!$P$5:$P$500,"&gt;=109300")&gt;0,"X","")</f>
      </c>
      <c r="AO12" s="56" t="str">
        <f>IF(COUNTIFS('LANÇAMENTOS DIÁRIOS'!$G$5:$G$500,"E",'LANÇAMENTOS DIÁRIOS'!$C$5:$C$500,$A12,'LANÇAMENTOS DIÁRIOS'!$O$5:$O$500,"&lt;=109499",'LANÇAMENTOS DIÁRIOS'!$P$5:$P$500,"&gt;=109400")&gt;0,"X","")</f>
      </c>
      <c r="AP12" s="56" t="str">
        <f>IF(COUNTIFS('LANÇAMENTOS DIÁRIOS'!$G$5:$G$500,"E",'LANÇAMENTOS DIÁRIOS'!$C$5:$C$500,$A12,'LANÇAMENTOS DIÁRIOS'!$O$5:$O$500,"&lt;=109599",'LANÇAMENTOS DIÁRIOS'!$P$5:$P$500,"&gt;=109500")&gt;0,"X","")</f>
      </c>
      <c r="AQ12" s="56" t="str">
        <f>IF(COUNTIFS('LANÇAMENTOS DIÁRIOS'!$G$5:$G$500,"E",'LANÇAMENTOS DIÁRIOS'!$C$5:$C$500,$A12,'LANÇAMENTOS DIÁRIOS'!$O$5:$O$500,"&lt;=109699",'LANÇAMENTOS DIÁRIOS'!$P$5:$P$500,"&gt;=109600")&gt;0,"X","")</f>
      </c>
      <c r="AR12" s="56" t="str">
        <f>IF(COUNTIFS('LANÇAMENTOS DIÁRIOS'!$G$5:$G$500,"E",'LANÇAMENTOS DIÁRIOS'!$C$5:$C$500,$A12,'LANÇAMENTOS DIÁRIOS'!$O$5:$O$500,"&lt;=109799",'LANÇAMENTOS DIÁRIOS'!$P$5:$P$500,"&gt;=109700")&gt;0,"X","")</f>
      </c>
      <c r="AS12" s="56" t="str">
        <f>IF(COUNTIFS('LANÇAMENTOS DIÁRIOS'!$G$5:$G$500,"E",'LANÇAMENTOS DIÁRIOS'!$C$5:$C$500,$A12,'LANÇAMENTOS DIÁRIOS'!$O$5:$O$500,"&lt;=109899",'LANÇAMENTOS DIÁRIOS'!$P$5:$P$500,"&gt;=109800")&gt;0,"X","")</f>
      </c>
      <c r="AT12" s="56" t="str">
        <f>IF(COUNTIFS('LANÇAMENTOS DIÁRIOS'!$G$5:$G$500,"E",'LANÇAMENTOS DIÁRIOS'!$C$5:$C$500,$A12,'LANÇAMENTOS DIÁRIOS'!$O$5:$O$500,"&lt;=109999",'LANÇAMENTOS DIÁRIOS'!$P$5:$P$500,"&gt;=109900")&gt;0,"X","")</f>
      </c>
      <c r="AU12" s="56" t="str">
        <f>IF(COUNTIFS('LANÇAMENTOS DIÁRIOS'!$G$5:$G$500,"E",'LANÇAMENTOS DIÁRIOS'!$C$5:$C$500,$A12,'LANÇAMENTOS DIÁRIOS'!$O$5:$O$500,"&lt;=110099",'LANÇAMENTOS DIÁRIOS'!$P$5:$P$500,"&gt;=110000")&gt;0,"X","")</f>
      </c>
      <c r="AV12" s="56" t="str">
        <f>IF(COUNTIFS('LANÇAMENTOS DIÁRIOS'!$G$5:$G$500,"E",'LANÇAMENTOS DIÁRIOS'!$C$5:$C$500,$A12,'LANÇAMENTOS DIÁRIOS'!$O$5:$O$500,"&lt;=110199",'LANÇAMENTOS DIÁRIOS'!$P$5:$P$500,"&gt;=110100")&gt;0,"X","")</f>
      </c>
      <c r="AW12" s="56" t="str">
        <f>IF(COUNTIFS('LANÇAMENTOS DIÁRIOS'!$G$5:$G$500,"E",'LANÇAMENTOS DIÁRIOS'!$C$5:$C$500,$A12,'LANÇAMENTOS DIÁRIOS'!$O$5:$O$500,"&lt;=110299",'LANÇAMENTOS DIÁRIOS'!$P$5:$P$500,"&gt;=110200")&gt;0,"X","")</f>
      </c>
      <c r="AX12" s="56" t="str">
        <f>IF(COUNTIFS('LANÇAMENTOS DIÁRIOS'!$G$5:$G$500,"E",'LANÇAMENTOS DIÁRIOS'!$C$5:$C$500,$A12,'LANÇAMENTOS DIÁRIOS'!$O$5:$O$500,"&lt;=110399",'LANÇAMENTOS DIÁRIOS'!$P$5:$P$500,"&gt;=110300")&gt;0,"X","")</f>
      </c>
      <c r="AY12" s="56" t="str">
        <f>IF(COUNTIFS('LANÇAMENTOS DIÁRIOS'!$G$5:$G$500,"E",'LANÇAMENTOS DIÁRIOS'!$C$5:$C$500,$A12,'LANÇAMENTOS DIÁRIOS'!$O$5:$O$500,"&lt;=110499",'LANÇAMENTOS DIÁRIOS'!$P$5:$P$500,"&gt;=110400")&gt;0,"X","")</f>
      </c>
      <c r="AZ12" s="56" t="str">
        <f>IF(COUNTIFS('LANÇAMENTOS DIÁRIOS'!$G$5:$G$500,"E",'LANÇAMENTOS DIÁRIOS'!$C$5:$C$500,$A12,'LANÇAMENTOS DIÁRIOS'!$O$5:$O$500,"&lt;=110599",'LANÇAMENTOS DIÁRIOS'!$P$5:$P$500,"&gt;=110500")&gt;0,"X","")</f>
      </c>
      <c r="BA12" s="56" t="str">
        <f>IF(COUNTIFS('LANÇAMENTOS DIÁRIOS'!$G$5:$G$500,"E",'LANÇAMENTOS DIÁRIOS'!$C$5:$C$500,$A12,'LANÇAMENTOS DIÁRIOS'!$O$5:$O$500,"&lt;=110699",'LANÇAMENTOS DIÁRIOS'!$P$5:$P$500,"&gt;=110600")&gt;0,"X","")</f>
      </c>
      <c r="BB12" s="56" t="str">
        <f>IF(COUNTIFS('LANÇAMENTOS DIÁRIOS'!$G$5:$G$500,"E",'LANÇAMENTOS DIÁRIOS'!$C$5:$C$500,$A12,'LANÇAMENTOS DIÁRIOS'!$O$5:$O$500,"&lt;=110799",'LANÇAMENTOS DIÁRIOS'!$P$5:$P$500,"&gt;=110700")&gt;0,"X","")</f>
      </c>
      <c r="BC12" s="56" t="str">
        <f>IF(COUNTIFS('LANÇAMENTOS DIÁRIOS'!$G$5:$G$500,"E",'LANÇAMENTOS DIÁRIOS'!$C$5:$C$500,$A12,'LANÇAMENTOS DIÁRIOS'!$O$5:$O$500,"&lt;=110899",'LANÇAMENTOS DIÁRIOS'!$P$5:$P$500,"&gt;=110800")&gt;0,"X","")</f>
      </c>
      <c r="BD12" s="56" t="str">
        <f>IF(COUNTIFS('LANÇAMENTOS DIÁRIOS'!$G$5:$G$500,"E",'LANÇAMENTOS DIÁRIOS'!$C$5:$C$500,$A12,'LANÇAMENTOS DIÁRIOS'!$O$5:$O$500,"&lt;=110999",'LANÇAMENTOS DIÁRIOS'!$P$5:$P$500,"&gt;=110900")&gt;0,"X","")</f>
      </c>
      <c r="BE12" s="56" t="str">
        <f>IF(COUNTIFS('LANÇAMENTOS DIÁRIOS'!$G$5:$G$500,"E",'LANÇAMENTOS DIÁRIOS'!$C$5:$C$500,$A12,'LANÇAMENTOS DIÁRIOS'!$O$5:$O$500,"&lt;=111099",'LANÇAMENTOS DIÁRIOS'!$P$5:$P$500,"&gt;=111000")&gt;0,"X","")</f>
      </c>
      <c r="BF12" s="56" t="str">
        <f>IF(COUNTIFS('LANÇAMENTOS DIÁRIOS'!$G$5:$G$500,"E",'LANÇAMENTOS DIÁRIOS'!$C$5:$C$500,$A12,'LANÇAMENTOS DIÁRIOS'!$O$5:$O$500,"&lt;=111199",'LANÇAMENTOS DIÁRIOS'!$P$5:$P$500,"&gt;=111100")&gt;0,"X","")</f>
      </c>
      <c r="BG12" s="56" t="str">
        <f>IF(COUNTIFS('LANÇAMENTOS DIÁRIOS'!$G$5:$G$500,"E",'LANÇAMENTOS DIÁRIOS'!$C$5:$C$500,$A12,'LANÇAMENTOS DIÁRIOS'!$O$5:$O$500,"&lt;=111299",'LANÇAMENTOS DIÁRIOS'!$P$5:$P$500,"&gt;=111200")&gt;0,"X","")</f>
      </c>
      <c r="BH12" s="56" t="str">
        <f>IF(COUNTIFS('LANÇAMENTOS DIÁRIOS'!$G$5:$G$500,"E",'LANÇAMENTOS DIÁRIOS'!$C$5:$C$500,$A12,'LANÇAMENTOS DIÁRIOS'!$O$5:$O$500,"&lt;=111399",'LANÇAMENTOS DIÁRIOS'!$P$5:$P$500,"&gt;=111300")&gt;0,"X","")</f>
      </c>
      <c r="BI12" s="56" t="str">
        <f>IF(COUNTIFS('LANÇAMENTOS DIÁRIOS'!$G$5:$G$500,"E",'LANÇAMENTOS DIÁRIOS'!$C$5:$C$500,$A12,'LANÇAMENTOS DIÁRIOS'!$O$5:$O$500,"&lt;=111499",'LANÇAMENTOS DIÁRIOS'!$P$5:$P$500,"&gt;=111400")&gt;0,"X","")</f>
      </c>
      <c r="BJ12" s="56" t="str">
        <f>IF(COUNTIFS('LANÇAMENTOS DIÁRIOS'!$G$5:$G$500,"E",'LANÇAMENTOS DIÁRIOS'!$C$5:$C$500,$A12,'LANÇAMENTOS DIÁRIOS'!$O$5:$O$500,"&lt;=111500",'LANÇAMENTOS DIÁRIOS'!$P$5:$P$500,"&gt;=111500")&gt;0,"X","")</f>
      </c>
    </row>
    <row r="13">
      <c r="A13" s="51" t="str">
        <v>Remoção de barreira rígida de concreto</v>
      </c>
      <c r="B13" s="56" t="str">
        <f>IF(COUNTIFS('LANÇAMENTOS DIÁRIOS'!$G$5:$G$500,"E",'LANÇAMENTOS DIÁRIOS'!$C$5:$C$500,$A13,'LANÇAMENTOS DIÁRIOS'!$O$5:$O$500,"&lt;=105599",'LANÇAMENTOS DIÁRIOS'!$P$5:$P$500,"&gt;=105500")&gt;0,"X","")</f>
      </c>
      <c r="C13" s="56" t="str">
        <f>IF(COUNTIFS('LANÇAMENTOS DIÁRIOS'!$G$5:$G$500,"E",'LANÇAMENTOS DIÁRIOS'!$C$5:$C$500,$A13,'LANÇAMENTOS DIÁRIOS'!$O$5:$O$500,"&lt;=105699",'LANÇAMENTOS DIÁRIOS'!$P$5:$P$500,"&gt;=105600")&gt;0,"X","")</f>
      </c>
      <c r="D13" s="56" t="str">
        <f>IF(COUNTIFS('LANÇAMENTOS DIÁRIOS'!$G$5:$G$500,"E",'LANÇAMENTOS DIÁRIOS'!$C$5:$C$500,$A13,'LANÇAMENTOS DIÁRIOS'!$O$5:$O$500,"&lt;=105799",'LANÇAMENTOS DIÁRIOS'!$P$5:$P$500,"&gt;=105700")&gt;0,"X","")</f>
      </c>
      <c r="E13" s="56" t="str">
        <f>IF(COUNTIFS('LANÇAMENTOS DIÁRIOS'!$G$5:$G$500,"E",'LANÇAMENTOS DIÁRIOS'!$C$5:$C$500,$A13,'LANÇAMENTOS DIÁRIOS'!$O$5:$O$500,"&lt;=105899",'LANÇAMENTOS DIÁRIOS'!$P$5:$P$500,"&gt;=105800")&gt;0,"X","")</f>
      </c>
      <c r="F13" s="56" t="str">
        <f>IF(COUNTIFS('LANÇAMENTOS DIÁRIOS'!$G$5:$G$500,"E",'LANÇAMENTOS DIÁRIOS'!$C$5:$C$500,$A13,'LANÇAMENTOS DIÁRIOS'!$O$5:$O$500,"&lt;=105999",'LANÇAMENTOS DIÁRIOS'!$P$5:$P$500,"&gt;=105900")&gt;0,"X","")</f>
      </c>
      <c r="G13" s="56" t="str">
        <f>IF(COUNTIFS('LANÇAMENTOS DIÁRIOS'!$G$5:$G$500,"E",'LANÇAMENTOS DIÁRIOS'!$C$5:$C$500,$A13,'LANÇAMENTOS DIÁRIOS'!$O$5:$O$500,"&lt;=106099",'LANÇAMENTOS DIÁRIOS'!$P$5:$P$500,"&gt;=106000")&gt;0,"X","")</f>
      </c>
      <c r="H13" s="56" t="str">
        <f>IF(COUNTIFS('LANÇAMENTOS DIÁRIOS'!$G$5:$G$500,"E",'LANÇAMENTOS DIÁRIOS'!$C$5:$C$500,$A13,'LANÇAMENTOS DIÁRIOS'!$O$5:$O$500,"&lt;=106199",'LANÇAMENTOS DIÁRIOS'!$P$5:$P$500,"&gt;=106100")&gt;0,"X","")</f>
      </c>
      <c r="I13" s="56" t="str">
        <f>IF(COUNTIFS('LANÇAMENTOS DIÁRIOS'!$G$5:$G$500,"E",'LANÇAMENTOS DIÁRIOS'!$C$5:$C$500,$A13,'LANÇAMENTOS DIÁRIOS'!$O$5:$O$500,"&lt;=106299",'LANÇAMENTOS DIÁRIOS'!$P$5:$P$500,"&gt;=106200")&gt;0,"X","")</f>
      </c>
      <c r="J13" s="56" t="str">
        <f>IF(COUNTIFS('LANÇAMENTOS DIÁRIOS'!$G$5:$G$500,"E",'LANÇAMENTOS DIÁRIOS'!$C$5:$C$500,$A13,'LANÇAMENTOS DIÁRIOS'!$O$5:$O$500,"&lt;=106399",'LANÇAMENTOS DIÁRIOS'!$P$5:$P$500,"&gt;=106300")&gt;0,"X","")</f>
      </c>
      <c r="K13" s="56" t="str">
        <f>IF(COUNTIFS('LANÇAMENTOS DIÁRIOS'!$G$5:$G$500,"E",'LANÇAMENTOS DIÁRIOS'!$C$5:$C$500,$A13,'LANÇAMENTOS DIÁRIOS'!$O$5:$O$500,"&lt;=106499",'LANÇAMENTOS DIÁRIOS'!$P$5:$P$500,"&gt;=106400")&gt;0,"X","")</f>
      </c>
      <c r="L13" s="56" t="str">
        <f>IF(COUNTIFS('LANÇAMENTOS DIÁRIOS'!$G$5:$G$500,"E",'LANÇAMENTOS DIÁRIOS'!$C$5:$C$500,$A13,'LANÇAMENTOS DIÁRIOS'!$O$5:$O$500,"&lt;=106599",'LANÇAMENTOS DIÁRIOS'!$P$5:$P$500,"&gt;=106500")&gt;0,"X","")</f>
      </c>
      <c r="M13" s="56" t="str">
        <f>IF(COUNTIFS('LANÇAMENTOS DIÁRIOS'!$G$5:$G$500,"E",'LANÇAMENTOS DIÁRIOS'!$C$5:$C$500,$A13,'LANÇAMENTOS DIÁRIOS'!$O$5:$O$500,"&lt;=106699",'LANÇAMENTOS DIÁRIOS'!$P$5:$P$500,"&gt;=106600")&gt;0,"X","")</f>
      </c>
      <c r="N13" s="56" t="str">
        <f>IF(COUNTIFS('LANÇAMENTOS DIÁRIOS'!$G$5:$G$500,"E",'LANÇAMENTOS DIÁRIOS'!$C$5:$C$500,$A13,'LANÇAMENTOS DIÁRIOS'!$O$5:$O$500,"&lt;=106799",'LANÇAMENTOS DIÁRIOS'!$P$5:$P$500,"&gt;=106700")&gt;0,"X","")</f>
      </c>
      <c r="O13" s="56" t="str">
        <f>IF(COUNTIFS('LANÇAMENTOS DIÁRIOS'!$G$5:$G$500,"E",'LANÇAMENTOS DIÁRIOS'!$C$5:$C$500,$A13,'LANÇAMENTOS DIÁRIOS'!$O$5:$O$500,"&lt;=106899",'LANÇAMENTOS DIÁRIOS'!$P$5:$P$500,"&gt;=106800")&gt;0,"X","")</f>
      </c>
      <c r="P13" s="56" t="str">
        <f>IF(COUNTIFS('LANÇAMENTOS DIÁRIOS'!$G$5:$G$500,"E",'LANÇAMENTOS DIÁRIOS'!$C$5:$C$500,$A13,'LANÇAMENTOS DIÁRIOS'!$O$5:$O$500,"&lt;=106999",'LANÇAMENTOS DIÁRIOS'!$P$5:$P$500,"&gt;=106900")&gt;0,"X","")</f>
      </c>
      <c r="Q13" s="56" t="str">
        <f>IF(COUNTIFS('LANÇAMENTOS DIÁRIOS'!$G$5:$G$500,"E",'LANÇAMENTOS DIÁRIOS'!$C$5:$C$500,$A13,'LANÇAMENTOS DIÁRIOS'!$O$5:$O$500,"&lt;=107099",'LANÇAMENTOS DIÁRIOS'!$P$5:$P$500,"&gt;=107000")&gt;0,"X","")</f>
      </c>
      <c r="R13" s="56" t="str">
        <f>IF(COUNTIFS('LANÇAMENTOS DIÁRIOS'!$G$5:$G$500,"E",'LANÇAMENTOS DIÁRIOS'!$C$5:$C$500,$A13,'LANÇAMENTOS DIÁRIOS'!$O$5:$O$500,"&lt;=107199",'LANÇAMENTOS DIÁRIOS'!$P$5:$P$500,"&gt;=107100")&gt;0,"X","")</f>
      </c>
      <c r="S13" s="56" t="str">
        <f>IF(COUNTIFS('LANÇAMENTOS DIÁRIOS'!$G$5:$G$500,"E",'LANÇAMENTOS DIÁRIOS'!$C$5:$C$500,$A13,'LANÇAMENTOS DIÁRIOS'!$O$5:$O$500,"&lt;=107299",'LANÇAMENTOS DIÁRIOS'!$P$5:$P$500,"&gt;=107200")&gt;0,"X","")</f>
      </c>
      <c r="T13" s="56" t="str">
        <f>IF(COUNTIFS('LANÇAMENTOS DIÁRIOS'!$G$5:$G$500,"E",'LANÇAMENTOS DIÁRIOS'!$C$5:$C$500,$A13,'LANÇAMENTOS DIÁRIOS'!$O$5:$O$500,"&lt;=107399",'LANÇAMENTOS DIÁRIOS'!$P$5:$P$500,"&gt;=107300")&gt;0,"X","")</f>
      </c>
      <c r="U13" s="56" t="str">
        <f>IF(COUNTIFS('LANÇAMENTOS DIÁRIOS'!$G$5:$G$500,"E",'LANÇAMENTOS DIÁRIOS'!$C$5:$C$500,$A13,'LANÇAMENTOS DIÁRIOS'!$O$5:$O$500,"&lt;=107499",'LANÇAMENTOS DIÁRIOS'!$P$5:$P$500,"&gt;=107400")&gt;0,"X","")</f>
      </c>
      <c r="V13" s="56" t="str">
        <f>IF(COUNTIFS('LANÇAMENTOS DIÁRIOS'!$G$5:$G$500,"E",'LANÇAMENTOS DIÁRIOS'!$C$5:$C$500,$A13,'LANÇAMENTOS DIÁRIOS'!$O$5:$O$500,"&lt;=107599",'LANÇAMENTOS DIÁRIOS'!$P$5:$P$500,"&gt;=107500")&gt;0,"X","")</f>
      </c>
      <c r="W13" s="56" t="str">
        <f>IF(COUNTIFS('LANÇAMENTOS DIÁRIOS'!$G$5:$G$500,"E",'LANÇAMENTOS DIÁRIOS'!$C$5:$C$500,$A13,'LANÇAMENTOS DIÁRIOS'!$O$5:$O$500,"&lt;=107699",'LANÇAMENTOS DIÁRIOS'!$P$5:$P$500,"&gt;=107600")&gt;0,"X","")</f>
      </c>
      <c r="X13" s="56" t="str">
        <f>IF(COUNTIFS('LANÇAMENTOS DIÁRIOS'!$G$5:$G$500,"E",'LANÇAMENTOS DIÁRIOS'!$C$5:$C$500,$A13,'LANÇAMENTOS DIÁRIOS'!$O$5:$O$500,"&lt;=107799",'LANÇAMENTOS DIÁRIOS'!$P$5:$P$500,"&gt;=107700")&gt;0,"X","")</f>
      </c>
      <c r="Y13" s="56" t="str">
        <f>IF(COUNTIFS('LANÇAMENTOS DIÁRIOS'!$G$5:$G$500,"E",'LANÇAMENTOS DIÁRIOS'!$C$5:$C$500,$A13,'LANÇAMENTOS DIÁRIOS'!$O$5:$O$500,"&lt;=107899",'LANÇAMENTOS DIÁRIOS'!$P$5:$P$500,"&gt;=107800")&gt;0,"X","")</f>
      </c>
      <c r="Z13" s="56" t="str">
        <f>IF(COUNTIFS('LANÇAMENTOS DIÁRIOS'!$G$5:$G$500,"E",'LANÇAMENTOS DIÁRIOS'!$C$5:$C$500,$A13,'LANÇAMENTOS DIÁRIOS'!$O$5:$O$500,"&lt;=107999",'LANÇAMENTOS DIÁRIOS'!$P$5:$P$500,"&gt;=107900")&gt;0,"X","")</f>
      </c>
      <c r="AA13" s="56" t="str">
        <f>IF(COUNTIFS('LANÇAMENTOS DIÁRIOS'!$G$5:$G$500,"E",'LANÇAMENTOS DIÁRIOS'!$C$5:$C$500,$A13,'LANÇAMENTOS DIÁRIOS'!$O$5:$O$500,"&lt;=108099",'LANÇAMENTOS DIÁRIOS'!$P$5:$P$500,"&gt;=108000")&gt;0,"X","")</f>
      </c>
      <c r="AB13" s="56" t="str">
        <f>IF(COUNTIFS('LANÇAMENTOS DIÁRIOS'!$G$5:$G$500,"E",'LANÇAMENTOS DIÁRIOS'!$C$5:$C$500,$A13,'LANÇAMENTOS DIÁRIOS'!$O$5:$O$500,"&lt;=108199",'LANÇAMENTOS DIÁRIOS'!$P$5:$P$500,"&gt;=108100")&gt;0,"X","")</f>
      </c>
      <c r="AC13" s="56" t="str">
        <f>IF(COUNTIFS('LANÇAMENTOS DIÁRIOS'!$G$5:$G$500,"E",'LANÇAMENTOS DIÁRIOS'!$C$5:$C$500,$A13,'LANÇAMENTOS DIÁRIOS'!$O$5:$O$500,"&lt;=108299",'LANÇAMENTOS DIÁRIOS'!$P$5:$P$500,"&gt;=108200")&gt;0,"X","")</f>
      </c>
      <c r="AD13" s="56" t="str">
        <f>IF(COUNTIFS('LANÇAMENTOS DIÁRIOS'!$G$5:$G$500,"E",'LANÇAMENTOS DIÁRIOS'!$C$5:$C$500,$A13,'LANÇAMENTOS DIÁRIOS'!$O$5:$O$500,"&lt;=108399",'LANÇAMENTOS DIÁRIOS'!$P$5:$P$500,"&gt;=108300")&gt;0,"X","")</f>
      </c>
      <c r="AE13" s="56" t="str">
        <f>IF(COUNTIFS('LANÇAMENTOS DIÁRIOS'!$G$5:$G$500,"E",'LANÇAMENTOS DIÁRIOS'!$C$5:$C$500,$A13,'LANÇAMENTOS DIÁRIOS'!$O$5:$O$500,"&lt;=108499",'LANÇAMENTOS DIÁRIOS'!$P$5:$P$500,"&gt;=108400")&gt;0,"X","")</f>
      </c>
      <c r="AF13" s="56" t="str">
        <f>IF(COUNTIFS('LANÇAMENTOS DIÁRIOS'!$G$5:$G$500,"E",'LANÇAMENTOS DIÁRIOS'!$C$5:$C$500,$A13,'LANÇAMENTOS DIÁRIOS'!$O$5:$O$500,"&lt;=108599",'LANÇAMENTOS DIÁRIOS'!$P$5:$P$500,"&gt;=108500")&gt;0,"X","")</f>
      </c>
      <c r="AG13" s="56" t="str">
        <f>IF(COUNTIFS('LANÇAMENTOS DIÁRIOS'!$G$5:$G$500,"E",'LANÇAMENTOS DIÁRIOS'!$C$5:$C$500,$A13,'LANÇAMENTOS DIÁRIOS'!$O$5:$O$500,"&lt;=108699",'LANÇAMENTOS DIÁRIOS'!$P$5:$P$500,"&gt;=108600")&gt;0,"X","")</f>
      </c>
      <c r="AH13" s="56" t="str">
        <f>IF(COUNTIFS('LANÇAMENTOS DIÁRIOS'!$G$5:$G$500,"E",'LANÇAMENTOS DIÁRIOS'!$C$5:$C$500,$A13,'LANÇAMENTOS DIÁRIOS'!$O$5:$O$500,"&lt;=108799",'LANÇAMENTOS DIÁRIOS'!$P$5:$P$500,"&gt;=108700")&gt;0,"X","")</f>
      </c>
      <c r="AI13" s="56" t="str">
        <f>IF(COUNTIFS('LANÇAMENTOS DIÁRIOS'!$G$5:$G$500,"E",'LANÇAMENTOS DIÁRIOS'!$C$5:$C$500,$A13,'LANÇAMENTOS DIÁRIOS'!$O$5:$O$500,"&lt;=108899",'LANÇAMENTOS DIÁRIOS'!$P$5:$P$500,"&gt;=108800")&gt;0,"X","")</f>
      </c>
      <c r="AJ13" s="56" t="str">
        <f>IF(COUNTIFS('LANÇAMENTOS DIÁRIOS'!$G$5:$G$500,"E",'LANÇAMENTOS DIÁRIOS'!$C$5:$C$500,$A13,'LANÇAMENTOS DIÁRIOS'!$O$5:$O$500,"&lt;=108999",'LANÇAMENTOS DIÁRIOS'!$P$5:$P$500,"&gt;=108900")&gt;0,"X","")</f>
      </c>
      <c r="AK13" s="56" t="str">
        <f>IF(COUNTIFS('LANÇAMENTOS DIÁRIOS'!$G$5:$G$500,"E",'LANÇAMENTOS DIÁRIOS'!$C$5:$C$500,$A13,'LANÇAMENTOS DIÁRIOS'!$O$5:$O$500,"&lt;=109099",'LANÇAMENTOS DIÁRIOS'!$P$5:$P$500,"&gt;=109000")&gt;0,"X","")</f>
      </c>
      <c r="AL13" s="56" t="str">
        <f>IF(COUNTIFS('LANÇAMENTOS DIÁRIOS'!$G$5:$G$500,"E",'LANÇAMENTOS DIÁRIOS'!$C$5:$C$500,$A13,'LANÇAMENTOS DIÁRIOS'!$O$5:$O$500,"&lt;=109199",'LANÇAMENTOS DIÁRIOS'!$P$5:$P$500,"&gt;=109100")&gt;0,"X","")</f>
      </c>
      <c r="AM13" s="56" t="str">
        <f>IF(COUNTIFS('LANÇAMENTOS DIÁRIOS'!$G$5:$G$500,"E",'LANÇAMENTOS DIÁRIOS'!$C$5:$C$500,$A13,'LANÇAMENTOS DIÁRIOS'!$O$5:$O$500,"&lt;=109299",'LANÇAMENTOS DIÁRIOS'!$P$5:$P$500,"&gt;=109200")&gt;0,"X","")</f>
      </c>
      <c r="AN13" s="56" t="str">
        <f>IF(COUNTIFS('LANÇAMENTOS DIÁRIOS'!$G$5:$G$500,"E",'LANÇAMENTOS DIÁRIOS'!$C$5:$C$500,$A13,'LANÇAMENTOS DIÁRIOS'!$O$5:$O$500,"&lt;=109399",'LANÇAMENTOS DIÁRIOS'!$P$5:$P$500,"&gt;=109300")&gt;0,"X","")</f>
      </c>
      <c r="AO13" s="56" t="str">
        <f>IF(COUNTIFS('LANÇAMENTOS DIÁRIOS'!$G$5:$G$500,"E",'LANÇAMENTOS DIÁRIOS'!$C$5:$C$500,$A13,'LANÇAMENTOS DIÁRIOS'!$O$5:$O$500,"&lt;=109499",'LANÇAMENTOS DIÁRIOS'!$P$5:$P$500,"&gt;=109400")&gt;0,"X","")</f>
      </c>
      <c r="AP13" s="56" t="str">
        <f>IF(COUNTIFS('LANÇAMENTOS DIÁRIOS'!$G$5:$G$500,"E",'LANÇAMENTOS DIÁRIOS'!$C$5:$C$500,$A13,'LANÇAMENTOS DIÁRIOS'!$O$5:$O$500,"&lt;=109599",'LANÇAMENTOS DIÁRIOS'!$P$5:$P$500,"&gt;=109500")&gt;0,"X","")</f>
      </c>
      <c r="AQ13" s="56" t="str">
        <f>IF(COUNTIFS('LANÇAMENTOS DIÁRIOS'!$G$5:$G$500,"E",'LANÇAMENTOS DIÁRIOS'!$C$5:$C$500,$A13,'LANÇAMENTOS DIÁRIOS'!$O$5:$O$500,"&lt;=109699",'LANÇAMENTOS DIÁRIOS'!$P$5:$P$500,"&gt;=109600")&gt;0,"X","")</f>
      </c>
      <c r="AR13" s="56" t="str">
        <f>IF(COUNTIFS('LANÇAMENTOS DIÁRIOS'!$G$5:$G$500,"E",'LANÇAMENTOS DIÁRIOS'!$C$5:$C$500,$A13,'LANÇAMENTOS DIÁRIOS'!$O$5:$O$500,"&lt;=109799",'LANÇAMENTOS DIÁRIOS'!$P$5:$P$500,"&gt;=109700")&gt;0,"X","")</f>
      </c>
      <c r="AS13" s="56" t="str">
        <f>IF(COUNTIFS('LANÇAMENTOS DIÁRIOS'!$G$5:$G$500,"E",'LANÇAMENTOS DIÁRIOS'!$C$5:$C$500,$A13,'LANÇAMENTOS DIÁRIOS'!$O$5:$O$500,"&lt;=109899",'LANÇAMENTOS DIÁRIOS'!$P$5:$P$500,"&gt;=109800")&gt;0,"X","")</f>
      </c>
      <c r="AT13" s="56" t="str">
        <f>IF(COUNTIFS('LANÇAMENTOS DIÁRIOS'!$G$5:$G$500,"E",'LANÇAMENTOS DIÁRIOS'!$C$5:$C$500,$A13,'LANÇAMENTOS DIÁRIOS'!$O$5:$O$500,"&lt;=109999",'LANÇAMENTOS DIÁRIOS'!$P$5:$P$500,"&gt;=109900")&gt;0,"X","")</f>
      </c>
      <c r="AU13" s="56" t="str">
        <f>IF(COUNTIFS('LANÇAMENTOS DIÁRIOS'!$G$5:$G$500,"E",'LANÇAMENTOS DIÁRIOS'!$C$5:$C$500,$A13,'LANÇAMENTOS DIÁRIOS'!$O$5:$O$500,"&lt;=110099",'LANÇAMENTOS DIÁRIOS'!$P$5:$P$500,"&gt;=110000")&gt;0,"X","")</f>
      </c>
      <c r="AV13" s="56" t="str">
        <f>IF(COUNTIFS('LANÇAMENTOS DIÁRIOS'!$G$5:$G$500,"E",'LANÇAMENTOS DIÁRIOS'!$C$5:$C$500,$A13,'LANÇAMENTOS DIÁRIOS'!$O$5:$O$500,"&lt;=110199",'LANÇAMENTOS DIÁRIOS'!$P$5:$P$500,"&gt;=110100")&gt;0,"X","")</f>
      </c>
      <c r="AW13" s="56" t="str">
        <f>IF(COUNTIFS('LANÇAMENTOS DIÁRIOS'!$G$5:$G$500,"E",'LANÇAMENTOS DIÁRIOS'!$C$5:$C$500,$A13,'LANÇAMENTOS DIÁRIOS'!$O$5:$O$500,"&lt;=110299",'LANÇAMENTOS DIÁRIOS'!$P$5:$P$500,"&gt;=110200")&gt;0,"X","")</f>
      </c>
      <c r="AX13" s="56" t="str">
        <f>IF(COUNTIFS('LANÇAMENTOS DIÁRIOS'!$G$5:$G$500,"E",'LANÇAMENTOS DIÁRIOS'!$C$5:$C$500,$A13,'LANÇAMENTOS DIÁRIOS'!$O$5:$O$500,"&lt;=110399",'LANÇAMENTOS DIÁRIOS'!$P$5:$P$500,"&gt;=110300")&gt;0,"X","")</f>
      </c>
      <c r="AY13" s="56" t="str">
        <f>IF(COUNTIFS('LANÇAMENTOS DIÁRIOS'!$G$5:$G$500,"E",'LANÇAMENTOS DIÁRIOS'!$C$5:$C$500,$A13,'LANÇAMENTOS DIÁRIOS'!$O$5:$O$500,"&lt;=110499",'LANÇAMENTOS DIÁRIOS'!$P$5:$P$500,"&gt;=110400")&gt;0,"X","")</f>
      </c>
      <c r="AZ13" s="56" t="str">
        <f>IF(COUNTIFS('LANÇAMENTOS DIÁRIOS'!$G$5:$G$500,"E",'LANÇAMENTOS DIÁRIOS'!$C$5:$C$500,$A13,'LANÇAMENTOS DIÁRIOS'!$O$5:$O$500,"&lt;=110599",'LANÇAMENTOS DIÁRIOS'!$P$5:$P$500,"&gt;=110500")&gt;0,"X","")</f>
      </c>
      <c r="BA13" s="56" t="str">
        <f>IF(COUNTIFS('LANÇAMENTOS DIÁRIOS'!$G$5:$G$500,"E",'LANÇAMENTOS DIÁRIOS'!$C$5:$C$500,$A13,'LANÇAMENTOS DIÁRIOS'!$O$5:$O$500,"&lt;=110699",'LANÇAMENTOS DIÁRIOS'!$P$5:$P$500,"&gt;=110600")&gt;0,"X","")</f>
      </c>
      <c r="BB13" s="56" t="str">
        <f>IF(COUNTIFS('LANÇAMENTOS DIÁRIOS'!$G$5:$G$500,"E",'LANÇAMENTOS DIÁRIOS'!$C$5:$C$500,$A13,'LANÇAMENTOS DIÁRIOS'!$O$5:$O$500,"&lt;=110799",'LANÇAMENTOS DIÁRIOS'!$P$5:$P$500,"&gt;=110700")&gt;0,"X","")</f>
      </c>
      <c r="BC13" s="56" t="str">
        <f>IF(COUNTIFS('LANÇAMENTOS DIÁRIOS'!$G$5:$G$500,"E",'LANÇAMENTOS DIÁRIOS'!$C$5:$C$500,$A13,'LANÇAMENTOS DIÁRIOS'!$O$5:$O$500,"&lt;=110899",'LANÇAMENTOS DIÁRIOS'!$P$5:$P$500,"&gt;=110800")&gt;0,"X","")</f>
      </c>
      <c r="BD13" s="56" t="str">
        <f>IF(COUNTIFS('LANÇAMENTOS DIÁRIOS'!$G$5:$G$500,"E",'LANÇAMENTOS DIÁRIOS'!$C$5:$C$500,$A13,'LANÇAMENTOS DIÁRIOS'!$O$5:$O$500,"&lt;=110999",'LANÇAMENTOS DIÁRIOS'!$P$5:$P$500,"&gt;=110900")&gt;0,"X","")</f>
      </c>
      <c r="BE13" s="56" t="str">
        <f>IF(COUNTIFS('LANÇAMENTOS DIÁRIOS'!$G$5:$G$500,"E",'LANÇAMENTOS DIÁRIOS'!$C$5:$C$500,$A13,'LANÇAMENTOS DIÁRIOS'!$O$5:$O$500,"&lt;=111099",'LANÇAMENTOS DIÁRIOS'!$P$5:$P$500,"&gt;=111000")&gt;0,"X","")</f>
      </c>
      <c r="BF13" s="56" t="str">
        <f>IF(COUNTIFS('LANÇAMENTOS DIÁRIOS'!$G$5:$G$500,"E",'LANÇAMENTOS DIÁRIOS'!$C$5:$C$500,$A13,'LANÇAMENTOS DIÁRIOS'!$O$5:$O$500,"&lt;=111199",'LANÇAMENTOS DIÁRIOS'!$P$5:$P$500,"&gt;=111100")&gt;0,"X","")</f>
      </c>
      <c r="BG13" s="56" t="str">
        <f>IF(COUNTIFS('LANÇAMENTOS DIÁRIOS'!$G$5:$G$500,"E",'LANÇAMENTOS DIÁRIOS'!$C$5:$C$500,$A13,'LANÇAMENTOS DIÁRIOS'!$O$5:$O$500,"&lt;=111299",'LANÇAMENTOS DIÁRIOS'!$P$5:$P$500,"&gt;=111200")&gt;0,"X","")</f>
      </c>
      <c r="BH13" s="56" t="str">
        <f>IF(COUNTIFS('LANÇAMENTOS DIÁRIOS'!$G$5:$G$500,"E",'LANÇAMENTOS DIÁRIOS'!$C$5:$C$500,$A13,'LANÇAMENTOS DIÁRIOS'!$O$5:$O$500,"&lt;=111399",'LANÇAMENTOS DIÁRIOS'!$P$5:$P$500,"&gt;=111300")&gt;0,"X","")</f>
      </c>
      <c r="BI13" s="56" t="str">
        <f>IF(COUNTIFS('LANÇAMENTOS DIÁRIOS'!$G$5:$G$500,"E",'LANÇAMENTOS DIÁRIOS'!$C$5:$C$500,$A13,'LANÇAMENTOS DIÁRIOS'!$O$5:$O$500,"&lt;=111499",'LANÇAMENTOS DIÁRIOS'!$P$5:$P$500,"&gt;=111400")&gt;0,"X","")</f>
      </c>
      <c r="BJ13" s="56" t="str">
        <f>IF(COUNTIFS('LANÇAMENTOS DIÁRIOS'!$G$5:$G$500,"E",'LANÇAMENTOS DIÁRIOS'!$C$5:$C$500,$A13,'LANÇAMENTOS DIÁRIOS'!$O$5:$O$500,"&lt;=111500",'LANÇAMENTOS DIÁRIOS'!$P$5:$P$500,"&gt;=111500")&gt;0,"X","")</f>
      </c>
    </row>
    <row r="14">
      <c r="A14" s="51" t="str">
        <v>Remoção de terminal absorvedor de energia</v>
      </c>
      <c r="B14" s="56" t="str">
        <f>IF(COUNTIFS('LANÇAMENTOS DIÁRIOS'!$G$5:$G$500,"E",'LANÇAMENTOS DIÁRIOS'!$C$5:$C$500,$A14,'LANÇAMENTOS DIÁRIOS'!$O$5:$O$500,"&lt;=105599",'LANÇAMENTOS DIÁRIOS'!$P$5:$P$500,"&gt;=105500")&gt;0,"X","")</f>
      </c>
      <c r="C14" s="56" t="str">
        <f>IF(COUNTIFS('LANÇAMENTOS DIÁRIOS'!$G$5:$G$500,"E",'LANÇAMENTOS DIÁRIOS'!$C$5:$C$500,$A14,'LANÇAMENTOS DIÁRIOS'!$O$5:$O$500,"&lt;=105699",'LANÇAMENTOS DIÁRIOS'!$P$5:$P$500,"&gt;=105600")&gt;0,"X","")</f>
      </c>
      <c r="D14" s="56" t="str">
        <f>IF(COUNTIFS('LANÇAMENTOS DIÁRIOS'!$G$5:$G$500,"E",'LANÇAMENTOS DIÁRIOS'!$C$5:$C$500,$A14,'LANÇAMENTOS DIÁRIOS'!$O$5:$O$500,"&lt;=105799",'LANÇAMENTOS DIÁRIOS'!$P$5:$P$500,"&gt;=105700")&gt;0,"X","")</f>
      </c>
      <c r="E14" s="56" t="str">
        <f>IF(COUNTIFS('LANÇAMENTOS DIÁRIOS'!$G$5:$G$500,"E",'LANÇAMENTOS DIÁRIOS'!$C$5:$C$500,$A14,'LANÇAMENTOS DIÁRIOS'!$O$5:$O$500,"&lt;=105899",'LANÇAMENTOS DIÁRIOS'!$P$5:$P$500,"&gt;=105800")&gt;0,"X","")</f>
      </c>
      <c r="F14" s="56" t="str">
        <f>IF(COUNTIFS('LANÇAMENTOS DIÁRIOS'!$G$5:$G$500,"E",'LANÇAMENTOS DIÁRIOS'!$C$5:$C$500,$A14,'LANÇAMENTOS DIÁRIOS'!$O$5:$O$500,"&lt;=105999",'LANÇAMENTOS DIÁRIOS'!$P$5:$P$500,"&gt;=105900")&gt;0,"X","")</f>
      </c>
      <c r="G14" s="56" t="str">
        <f>IF(COUNTIFS('LANÇAMENTOS DIÁRIOS'!$G$5:$G$500,"E",'LANÇAMENTOS DIÁRIOS'!$C$5:$C$500,$A14,'LANÇAMENTOS DIÁRIOS'!$O$5:$O$500,"&lt;=106099",'LANÇAMENTOS DIÁRIOS'!$P$5:$P$500,"&gt;=106000")&gt;0,"X","")</f>
      </c>
      <c r="H14" s="56" t="str">
        <f>IF(COUNTIFS('LANÇAMENTOS DIÁRIOS'!$G$5:$G$500,"E",'LANÇAMENTOS DIÁRIOS'!$C$5:$C$500,$A14,'LANÇAMENTOS DIÁRIOS'!$O$5:$O$500,"&lt;=106199",'LANÇAMENTOS DIÁRIOS'!$P$5:$P$500,"&gt;=106100")&gt;0,"X","")</f>
      </c>
      <c r="I14" s="56" t="str">
        <f>IF(COUNTIFS('LANÇAMENTOS DIÁRIOS'!$G$5:$G$500,"E",'LANÇAMENTOS DIÁRIOS'!$C$5:$C$500,$A14,'LANÇAMENTOS DIÁRIOS'!$O$5:$O$500,"&lt;=106299",'LANÇAMENTOS DIÁRIOS'!$P$5:$P$500,"&gt;=106200")&gt;0,"X","")</f>
      </c>
      <c r="J14" s="56" t="str">
        <f>IF(COUNTIFS('LANÇAMENTOS DIÁRIOS'!$G$5:$G$500,"E",'LANÇAMENTOS DIÁRIOS'!$C$5:$C$500,$A14,'LANÇAMENTOS DIÁRIOS'!$O$5:$O$500,"&lt;=106399",'LANÇAMENTOS DIÁRIOS'!$P$5:$P$500,"&gt;=106300")&gt;0,"X","")</f>
      </c>
      <c r="K14" s="56" t="str">
        <f>IF(COUNTIFS('LANÇAMENTOS DIÁRIOS'!$G$5:$G$500,"E",'LANÇAMENTOS DIÁRIOS'!$C$5:$C$500,$A14,'LANÇAMENTOS DIÁRIOS'!$O$5:$O$500,"&lt;=106499",'LANÇAMENTOS DIÁRIOS'!$P$5:$P$500,"&gt;=106400")&gt;0,"X","")</f>
      </c>
      <c r="L14" s="56" t="str">
        <f>IF(COUNTIFS('LANÇAMENTOS DIÁRIOS'!$G$5:$G$500,"E",'LANÇAMENTOS DIÁRIOS'!$C$5:$C$500,$A14,'LANÇAMENTOS DIÁRIOS'!$O$5:$O$500,"&lt;=106599",'LANÇAMENTOS DIÁRIOS'!$P$5:$P$500,"&gt;=106500")&gt;0,"X","")</f>
      </c>
      <c r="M14" s="56" t="str">
        <f>IF(COUNTIFS('LANÇAMENTOS DIÁRIOS'!$G$5:$G$500,"E",'LANÇAMENTOS DIÁRIOS'!$C$5:$C$500,$A14,'LANÇAMENTOS DIÁRIOS'!$O$5:$O$500,"&lt;=106699",'LANÇAMENTOS DIÁRIOS'!$P$5:$P$500,"&gt;=106600")&gt;0,"X","")</f>
      </c>
      <c r="N14" s="56" t="str">
        <f>IF(COUNTIFS('LANÇAMENTOS DIÁRIOS'!$G$5:$G$500,"E",'LANÇAMENTOS DIÁRIOS'!$C$5:$C$500,$A14,'LANÇAMENTOS DIÁRIOS'!$O$5:$O$500,"&lt;=106799",'LANÇAMENTOS DIÁRIOS'!$P$5:$P$500,"&gt;=106700")&gt;0,"X","")</f>
      </c>
      <c r="O14" s="56" t="str">
        <f>IF(COUNTIFS('LANÇAMENTOS DIÁRIOS'!$G$5:$G$500,"E",'LANÇAMENTOS DIÁRIOS'!$C$5:$C$500,$A14,'LANÇAMENTOS DIÁRIOS'!$O$5:$O$500,"&lt;=106899",'LANÇAMENTOS DIÁRIOS'!$P$5:$P$500,"&gt;=106800")&gt;0,"X","")</f>
      </c>
      <c r="P14" s="56" t="str">
        <f>IF(COUNTIFS('LANÇAMENTOS DIÁRIOS'!$G$5:$G$500,"E",'LANÇAMENTOS DIÁRIOS'!$C$5:$C$500,$A14,'LANÇAMENTOS DIÁRIOS'!$O$5:$O$500,"&lt;=106999",'LANÇAMENTOS DIÁRIOS'!$P$5:$P$500,"&gt;=106900")&gt;0,"X","")</f>
      </c>
      <c r="Q14" s="56" t="str">
        <f>IF(COUNTIFS('LANÇAMENTOS DIÁRIOS'!$G$5:$G$500,"E",'LANÇAMENTOS DIÁRIOS'!$C$5:$C$500,$A14,'LANÇAMENTOS DIÁRIOS'!$O$5:$O$500,"&lt;=107099",'LANÇAMENTOS DIÁRIOS'!$P$5:$P$500,"&gt;=107000")&gt;0,"X","")</f>
      </c>
      <c r="R14" s="56" t="str">
        <f>IF(COUNTIFS('LANÇAMENTOS DIÁRIOS'!$G$5:$G$500,"E",'LANÇAMENTOS DIÁRIOS'!$C$5:$C$500,$A14,'LANÇAMENTOS DIÁRIOS'!$O$5:$O$500,"&lt;=107199",'LANÇAMENTOS DIÁRIOS'!$P$5:$P$500,"&gt;=107100")&gt;0,"X","")</f>
      </c>
      <c r="S14" s="56" t="str">
        <f>IF(COUNTIFS('LANÇAMENTOS DIÁRIOS'!$G$5:$G$500,"E",'LANÇAMENTOS DIÁRIOS'!$C$5:$C$500,$A14,'LANÇAMENTOS DIÁRIOS'!$O$5:$O$500,"&lt;=107299",'LANÇAMENTOS DIÁRIOS'!$P$5:$P$500,"&gt;=107200")&gt;0,"X","")</f>
      </c>
      <c r="T14" s="56" t="str">
        <f>IF(COUNTIFS('LANÇAMENTOS DIÁRIOS'!$G$5:$G$500,"E",'LANÇAMENTOS DIÁRIOS'!$C$5:$C$500,$A14,'LANÇAMENTOS DIÁRIOS'!$O$5:$O$500,"&lt;=107399",'LANÇAMENTOS DIÁRIOS'!$P$5:$P$500,"&gt;=107300")&gt;0,"X","")</f>
      </c>
      <c r="U14" s="56" t="str">
        <f>IF(COUNTIFS('LANÇAMENTOS DIÁRIOS'!$G$5:$G$500,"E",'LANÇAMENTOS DIÁRIOS'!$C$5:$C$500,$A14,'LANÇAMENTOS DIÁRIOS'!$O$5:$O$500,"&lt;=107499",'LANÇAMENTOS DIÁRIOS'!$P$5:$P$500,"&gt;=107400")&gt;0,"X","")</f>
      </c>
      <c r="V14" s="56" t="str">
        <f>IF(COUNTIFS('LANÇAMENTOS DIÁRIOS'!$G$5:$G$500,"E",'LANÇAMENTOS DIÁRIOS'!$C$5:$C$500,$A14,'LANÇAMENTOS DIÁRIOS'!$O$5:$O$500,"&lt;=107599",'LANÇAMENTOS DIÁRIOS'!$P$5:$P$500,"&gt;=107500")&gt;0,"X","")</f>
      </c>
      <c r="W14" s="56" t="str">
        <f>IF(COUNTIFS('LANÇAMENTOS DIÁRIOS'!$G$5:$G$500,"E",'LANÇAMENTOS DIÁRIOS'!$C$5:$C$500,$A14,'LANÇAMENTOS DIÁRIOS'!$O$5:$O$500,"&lt;=107699",'LANÇAMENTOS DIÁRIOS'!$P$5:$P$500,"&gt;=107600")&gt;0,"X","")</f>
      </c>
      <c r="X14" s="56" t="str">
        <f>IF(COUNTIFS('LANÇAMENTOS DIÁRIOS'!$G$5:$G$500,"E",'LANÇAMENTOS DIÁRIOS'!$C$5:$C$500,$A14,'LANÇAMENTOS DIÁRIOS'!$O$5:$O$500,"&lt;=107799",'LANÇAMENTOS DIÁRIOS'!$P$5:$P$500,"&gt;=107700")&gt;0,"X","")</f>
      </c>
      <c r="Y14" s="56" t="str">
        <f>IF(COUNTIFS('LANÇAMENTOS DIÁRIOS'!$G$5:$G$500,"E",'LANÇAMENTOS DIÁRIOS'!$C$5:$C$500,$A14,'LANÇAMENTOS DIÁRIOS'!$O$5:$O$500,"&lt;=107899",'LANÇAMENTOS DIÁRIOS'!$P$5:$P$500,"&gt;=107800")&gt;0,"X","")</f>
      </c>
      <c r="Z14" s="56" t="str">
        <f>IF(COUNTIFS('LANÇAMENTOS DIÁRIOS'!$G$5:$G$500,"E",'LANÇAMENTOS DIÁRIOS'!$C$5:$C$500,$A14,'LANÇAMENTOS DIÁRIOS'!$O$5:$O$500,"&lt;=107999",'LANÇAMENTOS DIÁRIOS'!$P$5:$P$500,"&gt;=107900")&gt;0,"X","")</f>
      </c>
      <c r="AA14" s="56" t="str">
        <f>IF(COUNTIFS('LANÇAMENTOS DIÁRIOS'!$G$5:$G$500,"E",'LANÇAMENTOS DIÁRIOS'!$C$5:$C$500,$A14,'LANÇAMENTOS DIÁRIOS'!$O$5:$O$500,"&lt;=108099",'LANÇAMENTOS DIÁRIOS'!$P$5:$P$500,"&gt;=108000")&gt;0,"X","")</f>
      </c>
      <c r="AB14" s="56" t="str">
        <f>IF(COUNTIFS('LANÇAMENTOS DIÁRIOS'!$G$5:$G$500,"E",'LANÇAMENTOS DIÁRIOS'!$C$5:$C$500,$A14,'LANÇAMENTOS DIÁRIOS'!$O$5:$O$500,"&lt;=108199",'LANÇAMENTOS DIÁRIOS'!$P$5:$P$500,"&gt;=108100")&gt;0,"X","")</f>
      </c>
      <c r="AC14" s="56" t="str">
        <f>IF(COUNTIFS('LANÇAMENTOS DIÁRIOS'!$G$5:$G$500,"E",'LANÇAMENTOS DIÁRIOS'!$C$5:$C$500,$A14,'LANÇAMENTOS DIÁRIOS'!$O$5:$O$500,"&lt;=108299",'LANÇAMENTOS DIÁRIOS'!$P$5:$P$500,"&gt;=108200")&gt;0,"X","")</f>
      </c>
      <c r="AD14" s="56" t="str">
        <f>IF(COUNTIFS('LANÇAMENTOS DIÁRIOS'!$G$5:$G$500,"E",'LANÇAMENTOS DIÁRIOS'!$C$5:$C$500,$A14,'LANÇAMENTOS DIÁRIOS'!$O$5:$O$500,"&lt;=108399",'LANÇAMENTOS DIÁRIOS'!$P$5:$P$500,"&gt;=108300")&gt;0,"X","")</f>
      </c>
      <c r="AE14" s="56" t="str">
        <f>IF(COUNTIFS('LANÇAMENTOS DIÁRIOS'!$G$5:$G$500,"E",'LANÇAMENTOS DIÁRIOS'!$C$5:$C$500,$A14,'LANÇAMENTOS DIÁRIOS'!$O$5:$O$500,"&lt;=108499",'LANÇAMENTOS DIÁRIOS'!$P$5:$P$500,"&gt;=108400")&gt;0,"X","")</f>
      </c>
      <c r="AF14" s="56" t="str">
        <f>IF(COUNTIFS('LANÇAMENTOS DIÁRIOS'!$G$5:$G$500,"E",'LANÇAMENTOS DIÁRIOS'!$C$5:$C$500,$A14,'LANÇAMENTOS DIÁRIOS'!$O$5:$O$500,"&lt;=108599",'LANÇAMENTOS DIÁRIOS'!$P$5:$P$500,"&gt;=108500")&gt;0,"X","")</f>
      </c>
      <c r="AG14" s="56" t="str">
        <f>IF(COUNTIFS('LANÇAMENTOS DIÁRIOS'!$G$5:$G$500,"E",'LANÇAMENTOS DIÁRIOS'!$C$5:$C$500,$A14,'LANÇAMENTOS DIÁRIOS'!$O$5:$O$500,"&lt;=108699",'LANÇAMENTOS DIÁRIOS'!$P$5:$P$500,"&gt;=108600")&gt;0,"X","")</f>
      </c>
      <c r="AH14" s="56" t="str">
        <f>IF(COUNTIFS('LANÇAMENTOS DIÁRIOS'!$G$5:$G$500,"E",'LANÇAMENTOS DIÁRIOS'!$C$5:$C$500,$A14,'LANÇAMENTOS DIÁRIOS'!$O$5:$O$500,"&lt;=108799",'LANÇAMENTOS DIÁRIOS'!$P$5:$P$500,"&gt;=108700")&gt;0,"X","")</f>
      </c>
      <c r="AI14" s="56" t="str">
        <f>IF(COUNTIFS('LANÇAMENTOS DIÁRIOS'!$G$5:$G$500,"E",'LANÇAMENTOS DIÁRIOS'!$C$5:$C$500,$A14,'LANÇAMENTOS DIÁRIOS'!$O$5:$O$500,"&lt;=108899",'LANÇAMENTOS DIÁRIOS'!$P$5:$P$500,"&gt;=108800")&gt;0,"X","")</f>
      </c>
      <c r="AJ14" s="56" t="str">
        <f>IF(COUNTIFS('LANÇAMENTOS DIÁRIOS'!$G$5:$G$500,"E",'LANÇAMENTOS DIÁRIOS'!$C$5:$C$500,$A14,'LANÇAMENTOS DIÁRIOS'!$O$5:$O$500,"&lt;=108999",'LANÇAMENTOS DIÁRIOS'!$P$5:$P$500,"&gt;=108900")&gt;0,"X","")</f>
      </c>
      <c r="AK14" s="56" t="str">
        <f>IF(COUNTIFS('LANÇAMENTOS DIÁRIOS'!$G$5:$G$500,"E",'LANÇAMENTOS DIÁRIOS'!$C$5:$C$500,$A14,'LANÇAMENTOS DIÁRIOS'!$O$5:$O$500,"&lt;=109099",'LANÇAMENTOS DIÁRIOS'!$P$5:$P$500,"&gt;=109000")&gt;0,"X","")</f>
      </c>
      <c r="AL14" s="56" t="str">
        <f>IF(COUNTIFS('LANÇAMENTOS DIÁRIOS'!$G$5:$G$500,"E",'LANÇAMENTOS DIÁRIOS'!$C$5:$C$500,$A14,'LANÇAMENTOS DIÁRIOS'!$O$5:$O$500,"&lt;=109199",'LANÇAMENTOS DIÁRIOS'!$P$5:$P$500,"&gt;=109100")&gt;0,"X","")</f>
      </c>
      <c r="AM14" s="56" t="str">
        <f>IF(COUNTIFS('LANÇAMENTOS DIÁRIOS'!$G$5:$G$500,"E",'LANÇAMENTOS DIÁRIOS'!$C$5:$C$500,$A14,'LANÇAMENTOS DIÁRIOS'!$O$5:$O$500,"&lt;=109299",'LANÇAMENTOS DIÁRIOS'!$P$5:$P$500,"&gt;=109200")&gt;0,"X","")</f>
      </c>
      <c r="AN14" s="56" t="str">
        <f>IF(COUNTIFS('LANÇAMENTOS DIÁRIOS'!$G$5:$G$500,"E",'LANÇAMENTOS DIÁRIOS'!$C$5:$C$500,$A14,'LANÇAMENTOS DIÁRIOS'!$O$5:$O$500,"&lt;=109399",'LANÇAMENTOS DIÁRIOS'!$P$5:$P$500,"&gt;=109300")&gt;0,"X","")</f>
      </c>
      <c r="AO14" s="56" t="str">
        <f>IF(COUNTIFS('LANÇAMENTOS DIÁRIOS'!$G$5:$G$500,"E",'LANÇAMENTOS DIÁRIOS'!$C$5:$C$500,$A14,'LANÇAMENTOS DIÁRIOS'!$O$5:$O$500,"&lt;=109499",'LANÇAMENTOS DIÁRIOS'!$P$5:$P$500,"&gt;=109400")&gt;0,"X","")</f>
      </c>
      <c r="AP14" s="56" t="str">
        <f>IF(COUNTIFS('LANÇAMENTOS DIÁRIOS'!$G$5:$G$500,"E",'LANÇAMENTOS DIÁRIOS'!$C$5:$C$500,$A14,'LANÇAMENTOS DIÁRIOS'!$O$5:$O$500,"&lt;=109599",'LANÇAMENTOS DIÁRIOS'!$P$5:$P$500,"&gt;=109500")&gt;0,"X","")</f>
      </c>
      <c r="AQ14" s="56" t="str">
        <f>IF(COUNTIFS('LANÇAMENTOS DIÁRIOS'!$G$5:$G$500,"E",'LANÇAMENTOS DIÁRIOS'!$C$5:$C$500,$A14,'LANÇAMENTOS DIÁRIOS'!$O$5:$O$500,"&lt;=109699",'LANÇAMENTOS DIÁRIOS'!$P$5:$P$500,"&gt;=109600")&gt;0,"X","")</f>
      </c>
      <c r="AR14" s="56" t="str">
        <f>IF(COUNTIFS('LANÇAMENTOS DIÁRIOS'!$G$5:$G$500,"E",'LANÇAMENTOS DIÁRIOS'!$C$5:$C$500,$A14,'LANÇAMENTOS DIÁRIOS'!$O$5:$O$500,"&lt;=109799",'LANÇAMENTOS DIÁRIOS'!$P$5:$P$500,"&gt;=109700")&gt;0,"X","")</f>
      </c>
      <c r="AS14" s="56" t="str">
        <f>IF(COUNTIFS('LANÇAMENTOS DIÁRIOS'!$G$5:$G$500,"E",'LANÇAMENTOS DIÁRIOS'!$C$5:$C$500,$A14,'LANÇAMENTOS DIÁRIOS'!$O$5:$O$500,"&lt;=109899",'LANÇAMENTOS DIÁRIOS'!$P$5:$P$500,"&gt;=109800")&gt;0,"X","")</f>
      </c>
      <c r="AT14" s="56" t="str">
        <f>IF(COUNTIFS('LANÇAMENTOS DIÁRIOS'!$G$5:$G$500,"E",'LANÇAMENTOS DIÁRIOS'!$C$5:$C$500,$A14,'LANÇAMENTOS DIÁRIOS'!$O$5:$O$500,"&lt;=109999",'LANÇAMENTOS DIÁRIOS'!$P$5:$P$500,"&gt;=109900")&gt;0,"X","")</f>
      </c>
      <c r="AU14" s="56" t="str">
        <f>IF(COUNTIFS('LANÇAMENTOS DIÁRIOS'!$G$5:$G$500,"E",'LANÇAMENTOS DIÁRIOS'!$C$5:$C$500,$A14,'LANÇAMENTOS DIÁRIOS'!$O$5:$O$500,"&lt;=110099",'LANÇAMENTOS DIÁRIOS'!$P$5:$P$500,"&gt;=110000")&gt;0,"X","")</f>
      </c>
      <c r="AV14" s="56" t="str">
        <f>IF(COUNTIFS('LANÇAMENTOS DIÁRIOS'!$G$5:$G$500,"E",'LANÇAMENTOS DIÁRIOS'!$C$5:$C$500,$A14,'LANÇAMENTOS DIÁRIOS'!$O$5:$O$500,"&lt;=110199",'LANÇAMENTOS DIÁRIOS'!$P$5:$P$500,"&gt;=110100")&gt;0,"X","")</f>
      </c>
      <c r="AW14" s="56" t="str">
        <f>IF(COUNTIFS('LANÇAMENTOS DIÁRIOS'!$G$5:$G$500,"E",'LANÇAMENTOS DIÁRIOS'!$C$5:$C$500,$A14,'LANÇAMENTOS DIÁRIOS'!$O$5:$O$500,"&lt;=110299",'LANÇAMENTOS DIÁRIOS'!$P$5:$P$500,"&gt;=110200")&gt;0,"X","")</f>
      </c>
      <c r="AX14" s="56" t="str">
        <f>IF(COUNTIFS('LANÇAMENTOS DIÁRIOS'!$G$5:$G$500,"E",'LANÇAMENTOS DIÁRIOS'!$C$5:$C$500,$A14,'LANÇAMENTOS DIÁRIOS'!$O$5:$O$500,"&lt;=110399",'LANÇAMENTOS DIÁRIOS'!$P$5:$P$500,"&gt;=110300")&gt;0,"X","")</f>
      </c>
      <c r="AY14" s="56" t="str">
        <f>IF(COUNTIFS('LANÇAMENTOS DIÁRIOS'!$G$5:$G$500,"E",'LANÇAMENTOS DIÁRIOS'!$C$5:$C$500,$A14,'LANÇAMENTOS DIÁRIOS'!$O$5:$O$500,"&lt;=110499",'LANÇAMENTOS DIÁRIOS'!$P$5:$P$500,"&gt;=110400")&gt;0,"X","")</f>
      </c>
      <c r="AZ14" s="56" t="str">
        <f>IF(COUNTIFS('LANÇAMENTOS DIÁRIOS'!$G$5:$G$500,"E",'LANÇAMENTOS DIÁRIOS'!$C$5:$C$500,$A14,'LANÇAMENTOS DIÁRIOS'!$O$5:$O$500,"&lt;=110599",'LANÇAMENTOS DIÁRIOS'!$P$5:$P$500,"&gt;=110500")&gt;0,"X","")</f>
      </c>
      <c r="BA14" s="56" t="str">
        <f>IF(COUNTIFS('LANÇAMENTOS DIÁRIOS'!$G$5:$G$500,"E",'LANÇAMENTOS DIÁRIOS'!$C$5:$C$500,$A14,'LANÇAMENTOS DIÁRIOS'!$O$5:$O$500,"&lt;=110699",'LANÇAMENTOS DIÁRIOS'!$P$5:$P$500,"&gt;=110600")&gt;0,"X","")</f>
      </c>
      <c r="BB14" s="56" t="str">
        <f>IF(COUNTIFS('LANÇAMENTOS DIÁRIOS'!$G$5:$G$500,"E",'LANÇAMENTOS DIÁRIOS'!$C$5:$C$500,$A14,'LANÇAMENTOS DIÁRIOS'!$O$5:$O$500,"&lt;=110799",'LANÇAMENTOS DIÁRIOS'!$P$5:$P$500,"&gt;=110700")&gt;0,"X","")</f>
      </c>
      <c r="BC14" s="56" t="str">
        <f>IF(COUNTIFS('LANÇAMENTOS DIÁRIOS'!$G$5:$G$500,"E",'LANÇAMENTOS DIÁRIOS'!$C$5:$C$500,$A14,'LANÇAMENTOS DIÁRIOS'!$O$5:$O$500,"&lt;=110899",'LANÇAMENTOS DIÁRIOS'!$P$5:$P$500,"&gt;=110800")&gt;0,"X","")</f>
      </c>
      <c r="BD14" s="56" t="str">
        <f>IF(COUNTIFS('LANÇAMENTOS DIÁRIOS'!$G$5:$G$500,"E",'LANÇAMENTOS DIÁRIOS'!$C$5:$C$500,$A14,'LANÇAMENTOS DIÁRIOS'!$O$5:$O$500,"&lt;=110999",'LANÇAMENTOS DIÁRIOS'!$P$5:$P$500,"&gt;=110900")&gt;0,"X","")</f>
      </c>
      <c r="BE14" s="56" t="str">
        <f>IF(COUNTIFS('LANÇAMENTOS DIÁRIOS'!$G$5:$G$500,"E",'LANÇAMENTOS DIÁRIOS'!$C$5:$C$500,$A14,'LANÇAMENTOS DIÁRIOS'!$O$5:$O$500,"&lt;=111099",'LANÇAMENTOS DIÁRIOS'!$P$5:$P$500,"&gt;=111000")&gt;0,"X","")</f>
      </c>
      <c r="BF14" s="56" t="str">
        <f>IF(COUNTIFS('LANÇAMENTOS DIÁRIOS'!$G$5:$G$500,"E",'LANÇAMENTOS DIÁRIOS'!$C$5:$C$500,$A14,'LANÇAMENTOS DIÁRIOS'!$O$5:$O$500,"&lt;=111199",'LANÇAMENTOS DIÁRIOS'!$P$5:$P$500,"&gt;=111100")&gt;0,"X","")</f>
      </c>
      <c r="BG14" s="56" t="str">
        <f>IF(COUNTIFS('LANÇAMENTOS DIÁRIOS'!$G$5:$G$500,"E",'LANÇAMENTOS DIÁRIOS'!$C$5:$C$500,$A14,'LANÇAMENTOS DIÁRIOS'!$O$5:$O$500,"&lt;=111299",'LANÇAMENTOS DIÁRIOS'!$P$5:$P$500,"&gt;=111200")&gt;0,"X","")</f>
      </c>
      <c r="BH14" s="56" t="str">
        <f>IF(COUNTIFS('LANÇAMENTOS DIÁRIOS'!$G$5:$G$500,"E",'LANÇAMENTOS DIÁRIOS'!$C$5:$C$500,$A14,'LANÇAMENTOS DIÁRIOS'!$O$5:$O$500,"&lt;=111399",'LANÇAMENTOS DIÁRIOS'!$P$5:$P$500,"&gt;=111300")&gt;0,"X","")</f>
      </c>
      <c r="BI14" s="56" t="str">
        <f>IF(COUNTIFS('LANÇAMENTOS DIÁRIOS'!$G$5:$G$500,"E",'LANÇAMENTOS DIÁRIOS'!$C$5:$C$500,$A14,'LANÇAMENTOS DIÁRIOS'!$O$5:$O$500,"&lt;=111499",'LANÇAMENTOS DIÁRIOS'!$P$5:$P$500,"&gt;=111400")&gt;0,"X","")</f>
      </c>
      <c r="BJ14" s="56" t="str">
        <f>IF(COUNTIFS('LANÇAMENTOS DIÁRIOS'!$G$5:$G$500,"E",'LANÇAMENTOS DIÁRIOS'!$C$5:$C$500,$A14,'LANÇAMENTOS DIÁRIOS'!$O$5:$O$500,"&lt;=111500",'LANÇAMENTOS DIÁRIOS'!$P$5:$P$500,"&gt;=111500")&gt;0,"X","")</f>
      </c>
    </row>
    <row r="15">
      <c r="A15" s="51" t="str">
        <v>Remoção de terminal absorvedor de energia.m</v>
      </c>
      <c r="B15" s="56" t="str">
        <f>IF(COUNTIFS('LANÇAMENTOS DIÁRIOS'!$G$5:$G$500,"E",'LANÇAMENTOS DIÁRIOS'!$C$5:$C$500,$A15,'LANÇAMENTOS DIÁRIOS'!$O$5:$O$500,"&lt;=105599",'LANÇAMENTOS DIÁRIOS'!$P$5:$P$500,"&gt;=105500")&gt;0,"X","")</f>
      </c>
      <c r="C15" s="56" t="str">
        <f>IF(COUNTIFS('LANÇAMENTOS DIÁRIOS'!$G$5:$G$500,"E",'LANÇAMENTOS DIÁRIOS'!$C$5:$C$500,$A15,'LANÇAMENTOS DIÁRIOS'!$O$5:$O$500,"&lt;=105699",'LANÇAMENTOS DIÁRIOS'!$P$5:$P$500,"&gt;=105600")&gt;0,"X","")</f>
      </c>
      <c r="D15" s="56" t="str">
        <f>IF(COUNTIFS('LANÇAMENTOS DIÁRIOS'!$G$5:$G$500,"E",'LANÇAMENTOS DIÁRIOS'!$C$5:$C$500,$A15,'LANÇAMENTOS DIÁRIOS'!$O$5:$O$500,"&lt;=105799",'LANÇAMENTOS DIÁRIOS'!$P$5:$P$500,"&gt;=105700")&gt;0,"X","")</f>
      </c>
      <c r="E15" s="56" t="str">
        <f>IF(COUNTIFS('LANÇAMENTOS DIÁRIOS'!$G$5:$G$500,"E",'LANÇAMENTOS DIÁRIOS'!$C$5:$C$500,$A15,'LANÇAMENTOS DIÁRIOS'!$O$5:$O$500,"&lt;=105899",'LANÇAMENTOS DIÁRIOS'!$P$5:$P$500,"&gt;=105800")&gt;0,"X","")</f>
      </c>
      <c r="F15" s="56" t="str">
        <f>IF(COUNTIFS('LANÇAMENTOS DIÁRIOS'!$G$5:$G$500,"E",'LANÇAMENTOS DIÁRIOS'!$C$5:$C$500,$A15,'LANÇAMENTOS DIÁRIOS'!$O$5:$O$500,"&lt;=105999",'LANÇAMENTOS DIÁRIOS'!$P$5:$P$500,"&gt;=105900")&gt;0,"X","")</f>
      </c>
      <c r="G15" s="56" t="str">
        <f>IF(COUNTIFS('LANÇAMENTOS DIÁRIOS'!$G$5:$G$500,"E",'LANÇAMENTOS DIÁRIOS'!$C$5:$C$500,$A15,'LANÇAMENTOS DIÁRIOS'!$O$5:$O$500,"&lt;=106099",'LANÇAMENTOS DIÁRIOS'!$P$5:$P$500,"&gt;=106000")&gt;0,"X","")</f>
      </c>
      <c r="H15" s="56" t="str">
        <f>IF(COUNTIFS('LANÇAMENTOS DIÁRIOS'!$G$5:$G$500,"E",'LANÇAMENTOS DIÁRIOS'!$C$5:$C$500,$A15,'LANÇAMENTOS DIÁRIOS'!$O$5:$O$500,"&lt;=106199",'LANÇAMENTOS DIÁRIOS'!$P$5:$P$500,"&gt;=106100")&gt;0,"X","")</f>
      </c>
      <c r="I15" s="56" t="str">
        <f>IF(COUNTIFS('LANÇAMENTOS DIÁRIOS'!$G$5:$G$500,"E",'LANÇAMENTOS DIÁRIOS'!$C$5:$C$500,$A15,'LANÇAMENTOS DIÁRIOS'!$O$5:$O$500,"&lt;=106299",'LANÇAMENTOS DIÁRIOS'!$P$5:$P$500,"&gt;=106200")&gt;0,"X","")</f>
      </c>
      <c r="J15" s="56" t="str">
        <f>IF(COUNTIFS('LANÇAMENTOS DIÁRIOS'!$G$5:$G$500,"E",'LANÇAMENTOS DIÁRIOS'!$C$5:$C$500,$A15,'LANÇAMENTOS DIÁRIOS'!$O$5:$O$500,"&lt;=106399",'LANÇAMENTOS DIÁRIOS'!$P$5:$P$500,"&gt;=106300")&gt;0,"X","")</f>
      </c>
      <c r="K15" s="56" t="str">
        <f>IF(COUNTIFS('LANÇAMENTOS DIÁRIOS'!$G$5:$G$500,"E",'LANÇAMENTOS DIÁRIOS'!$C$5:$C$500,$A15,'LANÇAMENTOS DIÁRIOS'!$O$5:$O$500,"&lt;=106499",'LANÇAMENTOS DIÁRIOS'!$P$5:$P$500,"&gt;=106400")&gt;0,"X","")</f>
      </c>
      <c r="L15" s="56" t="str">
        <f>IF(COUNTIFS('LANÇAMENTOS DIÁRIOS'!$G$5:$G$500,"E",'LANÇAMENTOS DIÁRIOS'!$C$5:$C$500,$A15,'LANÇAMENTOS DIÁRIOS'!$O$5:$O$500,"&lt;=106599",'LANÇAMENTOS DIÁRIOS'!$P$5:$P$500,"&gt;=106500")&gt;0,"X","")</f>
      </c>
      <c r="M15" s="56" t="str">
        <f>IF(COUNTIFS('LANÇAMENTOS DIÁRIOS'!$G$5:$G$500,"E",'LANÇAMENTOS DIÁRIOS'!$C$5:$C$500,$A15,'LANÇAMENTOS DIÁRIOS'!$O$5:$O$500,"&lt;=106699",'LANÇAMENTOS DIÁRIOS'!$P$5:$P$500,"&gt;=106600")&gt;0,"X","")</f>
      </c>
      <c r="N15" s="56" t="str">
        <f>IF(COUNTIFS('LANÇAMENTOS DIÁRIOS'!$G$5:$G$500,"E",'LANÇAMENTOS DIÁRIOS'!$C$5:$C$500,$A15,'LANÇAMENTOS DIÁRIOS'!$O$5:$O$500,"&lt;=106799",'LANÇAMENTOS DIÁRIOS'!$P$5:$P$500,"&gt;=106700")&gt;0,"X","")</f>
      </c>
      <c r="O15" s="56" t="str">
        <f>IF(COUNTIFS('LANÇAMENTOS DIÁRIOS'!$G$5:$G$500,"E",'LANÇAMENTOS DIÁRIOS'!$C$5:$C$500,$A15,'LANÇAMENTOS DIÁRIOS'!$O$5:$O$500,"&lt;=106899",'LANÇAMENTOS DIÁRIOS'!$P$5:$P$500,"&gt;=106800")&gt;0,"X","")</f>
      </c>
      <c r="P15" s="56" t="str">
        <f>IF(COUNTIFS('LANÇAMENTOS DIÁRIOS'!$G$5:$G$500,"E",'LANÇAMENTOS DIÁRIOS'!$C$5:$C$500,$A15,'LANÇAMENTOS DIÁRIOS'!$O$5:$O$500,"&lt;=106999",'LANÇAMENTOS DIÁRIOS'!$P$5:$P$500,"&gt;=106900")&gt;0,"X","")</f>
      </c>
      <c r="Q15" s="56" t="str">
        <f>IF(COUNTIFS('LANÇAMENTOS DIÁRIOS'!$G$5:$G$500,"E",'LANÇAMENTOS DIÁRIOS'!$C$5:$C$500,$A15,'LANÇAMENTOS DIÁRIOS'!$O$5:$O$500,"&lt;=107099",'LANÇAMENTOS DIÁRIOS'!$P$5:$P$500,"&gt;=107000")&gt;0,"X","")</f>
      </c>
      <c r="R15" s="56" t="str">
        <f>IF(COUNTIFS('LANÇAMENTOS DIÁRIOS'!$G$5:$G$500,"E",'LANÇAMENTOS DIÁRIOS'!$C$5:$C$500,$A15,'LANÇAMENTOS DIÁRIOS'!$O$5:$O$500,"&lt;=107199",'LANÇAMENTOS DIÁRIOS'!$P$5:$P$500,"&gt;=107100")&gt;0,"X","")</f>
      </c>
      <c r="S15" s="56" t="str">
        <f>IF(COUNTIFS('LANÇAMENTOS DIÁRIOS'!$G$5:$G$500,"E",'LANÇAMENTOS DIÁRIOS'!$C$5:$C$500,$A15,'LANÇAMENTOS DIÁRIOS'!$O$5:$O$500,"&lt;=107299",'LANÇAMENTOS DIÁRIOS'!$P$5:$P$500,"&gt;=107200")&gt;0,"X","")</f>
      </c>
      <c r="T15" s="56" t="str">
        <f>IF(COUNTIFS('LANÇAMENTOS DIÁRIOS'!$G$5:$G$500,"E",'LANÇAMENTOS DIÁRIOS'!$C$5:$C$500,$A15,'LANÇAMENTOS DIÁRIOS'!$O$5:$O$500,"&lt;=107399",'LANÇAMENTOS DIÁRIOS'!$P$5:$P$500,"&gt;=107300")&gt;0,"X","")</f>
      </c>
      <c r="U15" s="56" t="str">
        <f>IF(COUNTIFS('LANÇAMENTOS DIÁRIOS'!$G$5:$G$500,"E",'LANÇAMENTOS DIÁRIOS'!$C$5:$C$500,$A15,'LANÇAMENTOS DIÁRIOS'!$O$5:$O$500,"&lt;=107499",'LANÇAMENTOS DIÁRIOS'!$P$5:$P$500,"&gt;=107400")&gt;0,"X","")</f>
      </c>
      <c r="V15" s="56" t="str">
        <f>IF(COUNTIFS('LANÇAMENTOS DIÁRIOS'!$G$5:$G$500,"E",'LANÇAMENTOS DIÁRIOS'!$C$5:$C$500,$A15,'LANÇAMENTOS DIÁRIOS'!$O$5:$O$500,"&lt;=107599",'LANÇAMENTOS DIÁRIOS'!$P$5:$P$500,"&gt;=107500")&gt;0,"X","")</f>
      </c>
      <c r="W15" s="56" t="str">
        <f>IF(COUNTIFS('LANÇAMENTOS DIÁRIOS'!$G$5:$G$500,"E",'LANÇAMENTOS DIÁRIOS'!$C$5:$C$500,$A15,'LANÇAMENTOS DIÁRIOS'!$O$5:$O$500,"&lt;=107699",'LANÇAMENTOS DIÁRIOS'!$P$5:$P$500,"&gt;=107600")&gt;0,"X","")</f>
      </c>
      <c r="X15" s="56" t="str">
        <f>IF(COUNTIFS('LANÇAMENTOS DIÁRIOS'!$G$5:$G$500,"E",'LANÇAMENTOS DIÁRIOS'!$C$5:$C$500,$A15,'LANÇAMENTOS DIÁRIOS'!$O$5:$O$500,"&lt;=107799",'LANÇAMENTOS DIÁRIOS'!$P$5:$P$500,"&gt;=107700")&gt;0,"X","")</f>
      </c>
      <c r="Y15" s="56" t="str">
        <f>IF(COUNTIFS('LANÇAMENTOS DIÁRIOS'!$G$5:$G$500,"E",'LANÇAMENTOS DIÁRIOS'!$C$5:$C$500,$A15,'LANÇAMENTOS DIÁRIOS'!$O$5:$O$500,"&lt;=107899",'LANÇAMENTOS DIÁRIOS'!$P$5:$P$500,"&gt;=107800")&gt;0,"X","")</f>
      </c>
      <c r="Z15" s="56" t="str">
        <f>IF(COUNTIFS('LANÇAMENTOS DIÁRIOS'!$G$5:$G$500,"E",'LANÇAMENTOS DIÁRIOS'!$C$5:$C$500,$A15,'LANÇAMENTOS DIÁRIOS'!$O$5:$O$500,"&lt;=107999",'LANÇAMENTOS DIÁRIOS'!$P$5:$P$500,"&gt;=107900")&gt;0,"X","")</f>
      </c>
      <c r="AA15" s="56" t="str">
        <f>IF(COUNTIFS('LANÇAMENTOS DIÁRIOS'!$G$5:$G$500,"E",'LANÇAMENTOS DIÁRIOS'!$C$5:$C$500,$A15,'LANÇAMENTOS DIÁRIOS'!$O$5:$O$500,"&lt;=108099",'LANÇAMENTOS DIÁRIOS'!$P$5:$P$500,"&gt;=108000")&gt;0,"X","")</f>
      </c>
      <c r="AB15" s="56" t="str">
        <f>IF(COUNTIFS('LANÇAMENTOS DIÁRIOS'!$G$5:$G$500,"E",'LANÇAMENTOS DIÁRIOS'!$C$5:$C$500,$A15,'LANÇAMENTOS DIÁRIOS'!$O$5:$O$500,"&lt;=108199",'LANÇAMENTOS DIÁRIOS'!$P$5:$P$500,"&gt;=108100")&gt;0,"X","")</f>
      </c>
      <c r="AC15" s="56" t="str">
        <f>IF(COUNTIFS('LANÇAMENTOS DIÁRIOS'!$G$5:$G$500,"E",'LANÇAMENTOS DIÁRIOS'!$C$5:$C$500,$A15,'LANÇAMENTOS DIÁRIOS'!$O$5:$O$500,"&lt;=108299",'LANÇAMENTOS DIÁRIOS'!$P$5:$P$500,"&gt;=108200")&gt;0,"X","")</f>
      </c>
      <c r="AD15" s="56" t="str">
        <f>IF(COUNTIFS('LANÇAMENTOS DIÁRIOS'!$G$5:$G$500,"E",'LANÇAMENTOS DIÁRIOS'!$C$5:$C$500,$A15,'LANÇAMENTOS DIÁRIOS'!$O$5:$O$500,"&lt;=108399",'LANÇAMENTOS DIÁRIOS'!$P$5:$P$500,"&gt;=108300")&gt;0,"X","")</f>
      </c>
      <c r="AE15" s="56" t="str">
        <f>IF(COUNTIFS('LANÇAMENTOS DIÁRIOS'!$G$5:$G$500,"E",'LANÇAMENTOS DIÁRIOS'!$C$5:$C$500,$A15,'LANÇAMENTOS DIÁRIOS'!$O$5:$O$500,"&lt;=108499",'LANÇAMENTOS DIÁRIOS'!$P$5:$P$500,"&gt;=108400")&gt;0,"X","")</f>
      </c>
      <c r="AF15" s="56" t="str">
        <f>IF(COUNTIFS('LANÇAMENTOS DIÁRIOS'!$G$5:$G$500,"E",'LANÇAMENTOS DIÁRIOS'!$C$5:$C$500,$A15,'LANÇAMENTOS DIÁRIOS'!$O$5:$O$500,"&lt;=108599",'LANÇAMENTOS DIÁRIOS'!$P$5:$P$500,"&gt;=108500")&gt;0,"X","")</f>
      </c>
      <c r="AG15" s="56" t="str">
        <f>IF(COUNTIFS('LANÇAMENTOS DIÁRIOS'!$G$5:$G$500,"E",'LANÇAMENTOS DIÁRIOS'!$C$5:$C$500,$A15,'LANÇAMENTOS DIÁRIOS'!$O$5:$O$500,"&lt;=108699",'LANÇAMENTOS DIÁRIOS'!$P$5:$P$500,"&gt;=108600")&gt;0,"X","")</f>
      </c>
      <c r="AH15" s="56" t="str">
        <f>IF(COUNTIFS('LANÇAMENTOS DIÁRIOS'!$G$5:$G$500,"E",'LANÇAMENTOS DIÁRIOS'!$C$5:$C$500,$A15,'LANÇAMENTOS DIÁRIOS'!$O$5:$O$500,"&lt;=108799",'LANÇAMENTOS DIÁRIOS'!$P$5:$P$500,"&gt;=108700")&gt;0,"X","")</f>
      </c>
      <c r="AI15" s="56" t="str">
        <f>IF(COUNTIFS('LANÇAMENTOS DIÁRIOS'!$G$5:$G$500,"E",'LANÇAMENTOS DIÁRIOS'!$C$5:$C$500,$A15,'LANÇAMENTOS DIÁRIOS'!$O$5:$O$500,"&lt;=108899",'LANÇAMENTOS DIÁRIOS'!$P$5:$P$500,"&gt;=108800")&gt;0,"X","")</f>
      </c>
      <c r="AJ15" s="56" t="str">
        <f>IF(COUNTIFS('LANÇAMENTOS DIÁRIOS'!$G$5:$G$500,"E",'LANÇAMENTOS DIÁRIOS'!$C$5:$C$500,$A15,'LANÇAMENTOS DIÁRIOS'!$O$5:$O$500,"&lt;=108999",'LANÇAMENTOS DIÁRIOS'!$P$5:$P$500,"&gt;=108900")&gt;0,"X","")</f>
      </c>
      <c r="AK15" s="56" t="str">
        <f>IF(COUNTIFS('LANÇAMENTOS DIÁRIOS'!$G$5:$G$500,"E",'LANÇAMENTOS DIÁRIOS'!$C$5:$C$500,$A15,'LANÇAMENTOS DIÁRIOS'!$O$5:$O$500,"&lt;=109099",'LANÇAMENTOS DIÁRIOS'!$P$5:$P$500,"&gt;=109000")&gt;0,"X","")</f>
      </c>
      <c r="AL15" s="56" t="str">
        <f>IF(COUNTIFS('LANÇAMENTOS DIÁRIOS'!$G$5:$G$500,"E",'LANÇAMENTOS DIÁRIOS'!$C$5:$C$500,$A15,'LANÇAMENTOS DIÁRIOS'!$O$5:$O$500,"&lt;=109199",'LANÇAMENTOS DIÁRIOS'!$P$5:$P$500,"&gt;=109100")&gt;0,"X","")</f>
      </c>
      <c r="AM15" s="56" t="str">
        <f>IF(COUNTIFS('LANÇAMENTOS DIÁRIOS'!$G$5:$G$500,"E",'LANÇAMENTOS DIÁRIOS'!$C$5:$C$500,$A15,'LANÇAMENTOS DIÁRIOS'!$O$5:$O$500,"&lt;=109299",'LANÇAMENTOS DIÁRIOS'!$P$5:$P$500,"&gt;=109200")&gt;0,"X","")</f>
      </c>
      <c r="AN15" s="56" t="str">
        <f>IF(COUNTIFS('LANÇAMENTOS DIÁRIOS'!$G$5:$G$500,"E",'LANÇAMENTOS DIÁRIOS'!$C$5:$C$500,$A15,'LANÇAMENTOS DIÁRIOS'!$O$5:$O$500,"&lt;=109399",'LANÇAMENTOS DIÁRIOS'!$P$5:$P$500,"&gt;=109300")&gt;0,"X","")</f>
      </c>
      <c r="AO15" s="56" t="str">
        <f>IF(COUNTIFS('LANÇAMENTOS DIÁRIOS'!$G$5:$G$500,"E",'LANÇAMENTOS DIÁRIOS'!$C$5:$C$500,$A15,'LANÇAMENTOS DIÁRIOS'!$O$5:$O$500,"&lt;=109499",'LANÇAMENTOS DIÁRIOS'!$P$5:$P$500,"&gt;=109400")&gt;0,"X","")</f>
      </c>
      <c r="AP15" s="56" t="str">
        <f>IF(COUNTIFS('LANÇAMENTOS DIÁRIOS'!$G$5:$G$500,"E",'LANÇAMENTOS DIÁRIOS'!$C$5:$C$500,$A15,'LANÇAMENTOS DIÁRIOS'!$O$5:$O$500,"&lt;=109599",'LANÇAMENTOS DIÁRIOS'!$P$5:$P$500,"&gt;=109500")&gt;0,"X","")</f>
      </c>
      <c r="AQ15" s="56" t="str">
        <f>IF(COUNTIFS('LANÇAMENTOS DIÁRIOS'!$G$5:$G$500,"E",'LANÇAMENTOS DIÁRIOS'!$C$5:$C$500,$A15,'LANÇAMENTOS DIÁRIOS'!$O$5:$O$500,"&lt;=109699",'LANÇAMENTOS DIÁRIOS'!$P$5:$P$500,"&gt;=109600")&gt;0,"X","")</f>
      </c>
      <c r="AR15" s="56" t="str">
        <f>IF(COUNTIFS('LANÇAMENTOS DIÁRIOS'!$G$5:$G$500,"E",'LANÇAMENTOS DIÁRIOS'!$C$5:$C$500,$A15,'LANÇAMENTOS DIÁRIOS'!$O$5:$O$500,"&lt;=109799",'LANÇAMENTOS DIÁRIOS'!$P$5:$P$500,"&gt;=109700")&gt;0,"X","")</f>
      </c>
      <c r="AS15" s="56" t="str">
        <f>IF(COUNTIFS('LANÇAMENTOS DIÁRIOS'!$G$5:$G$500,"E",'LANÇAMENTOS DIÁRIOS'!$C$5:$C$500,$A15,'LANÇAMENTOS DIÁRIOS'!$O$5:$O$500,"&lt;=109899",'LANÇAMENTOS DIÁRIOS'!$P$5:$P$500,"&gt;=109800")&gt;0,"X","")</f>
      </c>
      <c r="AT15" s="56" t="str">
        <f>IF(COUNTIFS('LANÇAMENTOS DIÁRIOS'!$G$5:$G$500,"E",'LANÇAMENTOS DIÁRIOS'!$C$5:$C$500,$A15,'LANÇAMENTOS DIÁRIOS'!$O$5:$O$500,"&lt;=109999",'LANÇAMENTOS DIÁRIOS'!$P$5:$P$500,"&gt;=109900")&gt;0,"X","")</f>
      </c>
      <c r="AU15" s="56" t="str">
        <f>IF(COUNTIFS('LANÇAMENTOS DIÁRIOS'!$G$5:$G$500,"E",'LANÇAMENTOS DIÁRIOS'!$C$5:$C$500,$A15,'LANÇAMENTOS DIÁRIOS'!$O$5:$O$500,"&lt;=110099",'LANÇAMENTOS DIÁRIOS'!$P$5:$P$500,"&gt;=110000")&gt;0,"X","")</f>
      </c>
      <c r="AV15" s="56" t="str">
        <f>IF(COUNTIFS('LANÇAMENTOS DIÁRIOS'!$G$5:$G$500,"E",'LANÇAMENTOS DIÁRIOS'!$C$5:$C$500,$A15,'LANÇAMENTOS DIÁRIOS'!$O$5:$O$500,"&lt;=110199",'LANÇAMENTOS DIÁRIOS'!$P$5:$P$500,"&gt;=110100")&gt;0,"X","")</f>
      </c>
      <c r="AW15" s="56" t="str">
        <f>IF(COUNTIFS('LANÇAMENTOS DIÁRIOS'!$G$5:$G$500,"E",'LANÇAMENTOS DIÁRIOS'!$C$5:$C$500,$A15,'LANÇAMENTOS DIÁRIOS'!$O$5:$O$500,"&lt;=110299",'LANÇAMENTOS DIÁRIOS'!$P$5:$P$500,"&gt;=110200")&gt;0,"X","")</f>
      </c>
      <c r="AX15" s="56" t="str">
        <f>IF(COUNTIFS('LANÇAMENTOS DIÁRIOS'!$G$5:$G$500,"E",'LANÇAMENTOS DIÁRIOS'!$C$5:$C$500,$A15,'LANÇAMENTOS DIÁRIOS'!$O$5:$O$500,"&lt;=110399",'LANÇAMENTOS DIÁRIOS'!$P$5:$P$500,"&gt;=110300")&gt;0,"X","")</f>
      </c>
      <c r="AY15" s="56" t="str">
        <f>IF(COUNTIFS('LANÇAMENTOS DIÁRIOS'!$G$5:$G$500,"E",'LANÇAMENTOS DIÁRIOS'!$C$5:$C$500,$A15,'LANÇAMENTOS DIÁRIOS'!$O$5:$O$500,"&lt;=110499",'LANÇAMENTOS DIÁRIOS'!$P$5:$P$500,"&gt;=110400")&gt;0,"X","")</f>
      </c>
      <c r="AZ15" s="56" t="str">
        <f>IF(COUNTIFS('LANÇAMENTOS DIÁRIOS'!$G$5:$G$500,"E",'LANÇAMENTOS DIÁRIOS'!$C$5:$C$500,$A15,'LANÇAMENTOS DIÁRIOS'!$O$5:$O$500,"&lt;=110599",'LANÇAMENTOS DIÁRIOS'!$P$5:$P$500,"&gt;=110500")&gt;0,"X","")</f>
      </c>
      <c r="BA15" s="56" t="str">
        <f>IF(COUNTIFS('LANÇAMENTOS DIÁRIOS'!$G$5:$G$500,"E",'LANÇAMENTOS DIÁRIOS'!$C$5:$C$500,$A15,'LANÇAMENTOS DIÁRIOS'!$O$5:$O$500,"&lt;=110699",'LANÇAMENTOS DIÁRIOS'!$P$5:$P$500,"&gt;=110600")&gt;0,"X","")</f>
      </c>
      <c r="BB15" s="56" t="str">
        <f>IF(COUNTIFS('LANÇAMENTOS DIÁRIOS'!$G$5:$G$500,"E",'LANÇAMENTOS DIÁRIOS'!$C$5:$C$500,$A15,'LANÇAMENTOS DIÁRIOS'!$O$5:$O$500,"&lt;=110799",'LANÇAMENTOS DIÁRIOS'!$P$5:$P$500,"&gt;=110700")&gt;0,"X","")</f>
      </c>
      <c r="BC15" s="56" t="str">
        <f>IF(COUNTIFS('LANÇAMENTOS DIÁRIOS'!$G$5:$G$500,"E",'LANÇAMENTOS DIÁRIOS'!$C$5:$C$500,$A15,'LANÇAMENTOS DIÁRIOS'!$O$5:$O$500,"&lt;=110899",'LANÇAMENTOS DIÁRIOS'!$P$5:$P$500,"&gt;=110800")&gt;0,"X","")</f>
      </c>
      <c r="BD15" s="56" t="str">
        <f>IF(COUNTIFS('LANÇAMENTOS DIÁRIOS'!$G$5:$G$500,"E",'LANÇAMENTOS DIÁRIOS'!$C$5:$C$500,$A15,'LANÇAMENTOS DIÁRIOS'!$O$5:$O$500,"&lt;=110999",'LANÇAMENTOS DIÁRIOS'!$P$5:$P$500,"&gt;=110900")&gt;0,"X","")</f>
      </c>
      <c r="BE15" s="56" t="str">
        <f>IF(COUNTIFS('LANÇAMENTOS DIÁRIOS'!$G$5:$G$500,"E",'LANÇAMENTOS DIÁRIOS'!$C$5:$C$500,$A15,'LANÇAMENTOS DIÁRIOS'!$O$5:$O$500,"&lt;=111099",'LANÇAMENTOS DIÁRIOS'!$P$5:$P$500,"&gt;=111000")&gt;0,"X","")</f>
      </c>
      <c r="BF15" s="56" t="str">
        <f>IF(COUNTIFS('LANÇAMENTOS DIÁRIOS'!$G$5:$G$500,"E",'LANÇAMENTOS DIÁRIOS'!$C$5:$C$500,$A15,'LANÇAMENTOS DIÁRIOS'!$O$5:$O$500,"&lt;=111199",'LANÇAMENTOS DIÁRIOS'!$P$5:$P$500,"&gt;=111100")&gt;0,"X","")</f>
      </c>
      <c r="BG15" s="56" t="str">
        <f>IF(COUNTIFS('LANÇAMENTOS DIÁRIOS'!$G$5:$G$500,"E",'LANÇAMENTOS DIÁRIOS'!$C$5:$C$500,$A15,'LANÇAMENTOS DIÁRIOS'!$O$5:$O$500,"&lt;=111299",'LANÇAMENTOS DIÁRIOS'!$P$5:$P$500,"&gt;=111200")&gt;0,"X","")</f>
      </c>
      <c r="BH15" s="56" t="str">
        <f>IF(COUNTIFS('LANÇAMENTOS DIÁRIOS'!$G$5:$G$500,"E",'LANÇAMENTOS DIÁRIOS'!$C$5:$C$500,$A15,'LANÇAMENTOS DIÁRIOS'!$O$5:$O$500,"&lt;=111399",'LANÇAMENTOS DIÁRIOS'!$P$5:$P$500,"&gt;=111300")&gt;0,"X","")</f>
      </c>
      <c r="BI15" s="56" t="str">
        <f>IF(COUNTIFS('LANÇAMENTOS DIÁRIOS'!$G$5:$G$500,"E",'LANÇAMENTOS DIÁRIOS'!$C$5:$C$500,$A15,'LANÇAMENTOS DIÁRIOS'!$O$5:$O$500,"&lt;=111499",'LANÇAMENTOS DIÁRIOS'!$P$5:$P$500,"&gt;=111400")&gt;0,"X","")</f>
      </c>
      <c r="BJ15" s="56" t="str">
        <f>IF(COUNTIFS('LANÇAMENTOS DIÁRIOS'!$G$5:$G$500,"E",'LANÇAMENTOS DIÁRIOS'!$C$5:$C$500,$A15,'LANÇAMENTOS DIÁRIOS'!$O$5:$O$500,"&lt;=111500",'LANÇAMENTOS DIÁRIOS'!$P$5:$P$500,"&gt;=111500")&gt;0,"X","")</f>
      </c>
    </row>
    <row r="16" ht="19" customHeight="1">
      <c r="A16" s="68" t="str">
        <v>Desvio de tráfego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</row>
    <row r="17">
      <c r="A17" s="51" t="str">
        <v>Desvio de tráfego</v>
      </c>
      <c r="B17" s="56" t="str">
        <f>IF(COUNTIFS('LANÇAMENTOS DIÁRIOS'!$G$5:$G$500,"E",'LANÇAMENTOS DIÁRIOS'!$C$5:$C$500,$A17,'LANÇAMENTOS DIÁRIOS'!$O$5:$O$500,"&lt;=105599",'LANÇAMENTOS DIÁRIOS'!$P$5:$P$500,"&gt;=105500")&gt;0,"X","")</f>
      </c>
      <c r="C17" s="56" t="str">
        <f>IF(COUNTIFS('LANÇAMENTOS DIÁRIOS'!$G$5:$G$500,"E",'LANÇAMENTOS DIÁRIOS'!$C$5:$C$500,$A17,'LANÇAMENTOS DIÁRIOS'!$O$5:$O$500,"&lt;=105699",'LANÇAMENTOS DIÁRIOS'!$P$5:$P$500,"&gt;=105600")&gt;0,"X","")</f>
      </c>
      <c r="D17" s="56" t="str">
        <f>IF(COUNTIFS('LANÇAMENTOS DIÁRIOS'!$G$5:$G$500,"E",'LANÇAMENTOS DIÁRIOS'!$C$5:$C$500,$A17,'LANÇAMENTOS DIÁRIOS'!$O$5:$O$500,"&lt;=105799",'LANÇAMENTOS DIÁRIOS'!$P$5:$P$500,"&gt;=105700")&gt;0,"X","")</f>
      </c>
      <c r="E17" s="56" t="str">
        <f>IF(COUNTIFS('LANÇAMENTOS DIÁRIOS'!$G$5:$G$500,"E",'LANÇAMENTOS DIÁRIOS'!$C$5:$C$500,$A17,'LANÇAMENTOS DIÁRIOS'!$O$5:$O$500,"&lt;=105899",'LANÇAMENTOS DIÁRIOS'!$P$5:$P$500,"&gt;=105800")&gt;0,"X","")</f>
      </c>
      <c r="F17" s="56" t="str">
        <f>IF(COUNTIFS('LANÇAMENTOS DIÁRIOS'!$G$5:$G$500,"E",'LANÇAMENTOS DIÁRIOS'!$C$5:$C$500,$A17,'LANÇAMENTOS DIÁRIOS'!$O$5:$O$500,"&lt;=105999",'LANÇAMENTOS DIÁRIOS'!$P$5:$P$500,"&gt;=105900")&gt;0,"X","")</f>
      </c>
      <c r="G17" s="56" t="str">
        <f>IF(COUNTIFS('LANÇAMENTOS DIÁRIOS'!$G$5:$G$500,"E",'LANÇAMENTOS DIÁRIOS'!$C$5:$C$500,$A17,'LANÇAMENTOS DIÁRIOS'!$O$5:$O$500,"&lt;=106099",'LANÇAMENTOS DIÁRIOS'!$P$5:$P$500,"&gt;=106000")&gt;0,"X","")</f>
      </c>
      <c r="H17" s="56" t="str">
        <f>IF(COUNTIFS('LANÇAMENTOS DIÁRIOS'!$G$5:$G$500,"E",'LANÇAMENTOS DIÁRIOS'!$C$5:$C$500,$A17,'LANÇAMENTOS DIÁRIOS'!$O$5:$O$500,"&lt;=106199",'LANÇAMENTOS DIÁRIOS'!$P$5:$P$500,"&gt;=106100")&gt;0,"X","")</f>
      </c>
      <c r="I17" s="56" t="str">
        <f>IF(COUNTIFS('LANÇAMENTOS DIÁRIOS'!$G$5:$G$500,"E",'LANÇAMENTOS DIÁRIOS'!$C$5:$C$500,$A17,'LANÇAMENTOS DIÁRIOS'!$O$5:$O$500,"&lt;=106299",'LANÇAMENTOS DIÁRIOS'!$P$5:$P$500,"&gt;=106200")&gt;0,"X","")</f>
      </c>
      <c r="J17" s="56" t="str">
        <f>IF(COUNTIFS('LANÇAMENTOS DIÁRIOS'!$G$5:$G$500,"E",'LANÇAMENTOS DIÁRIOS'!$C$5:$C$500,$A17,'LANÇAMENTOS DIÁRIOS'!$O$5:$O$500,"&lt;=106399",'LANÇAMENTOS DIÁRIOS'!$P$5:$P$500,"&gt;=106300")&gt;0,"X","")</f>
      </c>
      <c r="K17" s="56" t="str">
        <f>IF(COUNTIFS('LANÇAMENTOS DIÁRIOS'!$G$5:$G$500,"E",'LANÇAMENTOS DIÁRIOS'!$C$5:$C$500,$A17,'LANÇAMENTOS DIÁRIOS'!$O$5:$O$500,"&lt;=106499",'LANÇAMENTOS DIÁRIOS'!$P$5:$P$500,"&gt;=106400")&gt;0,"X","")</f>
      </c>
      <c r="L17" s="56" t="str">
        <f>IF(COUNTIFS('LANÇAMENTOS DIÁRIOS'!$G$5:$G$500,"E",'LANÇAMENTOS DIÁRIOS'!$C$5:$C$500,$A17,'LANÇAMENTOS DIÁRIOS'!$O$5:$O$500,"&lt;=106599",'LANÇAMENTOS DIÁRIOS'!$P$5:$P$500,"&gt;=106500")&gt;0,"X","")</f>
      </c>
      <c r="M17" s="56" t="str">
        <f>IF(COUNTIFS('LANÇAMENTOS DIÁRIOS'!$G$5:$G$500,"E",'LANÇAMENTOS DIÁRIOS'!$C$5:$C$500,$A17,'LANÇAMENTOS DIÁRIOS'!$O$5:$O$500,"&lt;=106699",'LANÇAMENTOS DIÁRIOS'!$P$5:$P$500,"&gt;=106600")&gt;0,"X","")</f>
      </c>
      <c r="N17" s="56" t="str">
        <f>IF(COUNTIFS('LANÇAMENTOS DIÁRIOS'!$G$5:$G$500,"E",'LANÇAMENTOS DIÁRIOS'!$C$5:$C$500,$A17,'LANÇAMENTOS DIÁRIOS'!$O$5:$O$500,"&lt;=106799",'LANÇAMENTOS DIÁRIOS'!$P$5:$P$500,"&gt;=106700")&gt;0,"X","")</f>
      </c>
      <c r="O17" s="56" t="str">
        <f>IF(COUNTIFS('LANÇAMENTOS DIÁRIOS'!$G$5:$G$500,"E",'LANÇAMENTOS DIÁRIOS'!$C$5:$C$500,$A17,'LANÇAMENTOS DIÁRIOS'!$O$5:$O$500,"&lt;=106899",'LANÇAMENTOS DIÁRIOS'!$P$5:$P$500,"&gt;=106800")&gt;0,"X","")</f>
      </c>
      <c r="P17" s="56" t="str">
        <f>IF(COUNTIFS('LANÇAMENTOS DIÁRIOS'!$G$5:$G$500,"E",'LANÇAMENTOS DIÁRIOS'!$C$5:$C$500,$A17,'LANÇAMENTOS DIÁRIOS'!$O$5:$O$500,"&lt;=106999",'LANÇAMENTOS DIÁRIOS'!$P$5:$P$500,"&gt;=106900")&gt;0,"X","")</f>
      </c>
      <c r="Q17" s="56" t="str">
        <f>IF(COUNTIFS('LANÇAMENTOS DIÁRIOS'!$G$5:$G$500,"E",'LANÇAMENTOS DIÁRIOS'!$C$5:$C$500,$A17,'LANÇAMENTOS DIÁRIOS'!$O$5:$O$500,"&lt;=107099",'LANÇAMENTOS DIÁRIOS'!$P$5:$P$500,"&gt;=107000")&gt;0,"X","")</f>
      </c>
      <c r="R17" s="56" t="str">
        <f>IF(COUNTIFS('LANÇAMENTOS DIÁRIOS'!$G$5:$G$500,"E",'LANÇAMENTOS DIÁRIOS'!$C$5:$C$500,$A17,'LANÇAMENTOS DIÁRIOS'!$O$5:$O$500,"&lt;=107199",'LANÇAMENTOS DIÁRIOS'!$P$5:$P$500,"&gt;=107100")&gt;0,"X","")</f>
      </c>
      <c r="S17" s="56" t="str">
        <f>IF(COUNTIFS('LANÇAMENTOS DIÁRIOS'!$G$5:$G$500,"E",'LANÇAMENTOS DIÁRIOS'!$C$5:$C$500,$A17,'LANÇAMENTOS DIÁRIOS'!$O$5:$O$500,"&lt;=107299",'LANÇAMENTOS DIÁRIOS'!$P$5:$P$500,"&gt;=107200")&gt;0,"X","")</f>
      </c>
      <c r="T17" s="56" t="str">
        <f>IF(COUNTIFS('LANÇAMENTOS DIÁRIOS'!$G$5:$G$500,"E",'LANÇAMENTOS DIÁRIOS'!$C$5:$C$500,$A17,'LANÇAMENTOS DIÁRIOS'!$O$5:$O$500,"&lt;=107399",'LANÇAMENTOS DIÁRIOS'!$P$5:$P$500,"&gt;=107300")&gt;0,"X","")</f>
      </c>
      <c r="U17" s="56" t="str">
        <f>IF(COUNTIFS('LANÇAMENTOS DIÁRIOS'!$G$5:$G$500,"E",'LANÇAMENTOS DIÁRIOS'!$C$5:$C$500,$A17,'LANÇAMENTOS DIÁRIOS'!$O$5:$O$500,"&lt;=107499",'LANÇAMENTOS DIÁRIOS'!$P$5:$P$500,"&gt;=107400")&gt;0,"X","")</f>
      </c>
      <c r="V17" s="56" t="str">
        <f>IF(COUNTIFS('LANÇAMENTOS DIÁRIOS'!$G$5:$G$500,"E",'LANÇAMENTOS DIÁRIOS'!$C$5:$C$500,$A17,'LANÇAMENTOS DIÁRIOS'!$O$5:$O$500,"&lt;=107599",'LANÇAMENTOS DIÁRIOS'!$P$5:$P$500,"&gt;=107500")&gt;0,"X","")</f>
      </c>
      <c r="W17" s="56" t="str">
        <f>IF(COUNTIFS('LANÇAMENTOS DIÁRIOS'!$G$5:$G$500,"E",'LANÇAMENTOS DIÁRIOS'!$C$5:$C$500,$A17,'LANÇAMENTOS DIÁRIOS'!$O$5:$O$500,"&lt;=107699",'LANÇAMENTOS DIÁRIOS'!$P$5:$P$500,"&gt;=107600")&gt;0,"X","")</f>
      </c>
      <c r="X17" s="56" t="str">
        <f>IF(COUNTIFS('LANÇAMENTOS DIÁRIOS'!$G$5:$G$500,"E",'LANÇAMENTOS DIÁRIOS'!$C$5:$C$500,$A17,'LANÇAMENTOS DIÁRIOS'!$O$5:$O$500,"&lt;=107799",'LANÇAMENTOS DIÁRIOS'!$P$5:$P$500,"&gt;=107700")&gt;0,"X","")</f>
      </c>
      <c r="Y17" s="56" t="str">
        <f>IF(COUNTIFS('LANÇAMENTOS DIÁRIOS'!$G$5:$G$500,"E",'LANÇAMENTOS DIÁRIOS'!$C$5:$C$500,$A17,'LANÇAMENTOS DIÁRIOS'!$O$5:$O$500,"&lt;=107899",'LANÇAMENTOS DIÁRIOS'!$P$5:$P$500,"&gt;=107800")&gt;0,"X","")</f>
      </c>
      <c r="Z17" s="56" t="str">
        <f>IF(COUNTIFS('LANÇAMENTOS DIÁRIOS'!$G$5:$G$500,"E",'LANÇAMENTOS DIÁRIOS'!$C$5:$C$500,$A17,'LANÇAMENTOS DIÁRIOS'!$O$5:$O$500,"&lt;=107999",'LANÇAMENTOS DIÁRIOS'!$P$5:$P$500,"&gt;=107900")&gt;0,"X","")</f>
      </c>
      <c r="AA17" s="56" t="str">
        <f>IF(COUNTIFS('LANÇAMENTOS DIÁRIOS'!$G$5:$G$500,"E",'LANÇAMENTOS DIÁRIOS'!$C$5:$C$500,$A17,'LANÇAMENTOS DIÁRIOS'!$O$5:$O$500,"&lt;=108099",'LANÇAMENTOS DIÁRIOS'!$P$5:$P$500,"&gt;=108000")&gt;0,"X","")</f>
      </c>
      <c r="AB17" s="56" t="str">
        <f>IF(COUNTIFS('LANÇAMENTOS DIÁRIOS'!$G$5:$G$500,"E",'LANÇAMENTOS DIÁRIOS'!$C$5:$C$500,$A17,'LANÇAMENTOS DIÁRIOS'!$O$5:$O$500,"&lt;=108199",'LANÇAMENTOS DIÁRIOS'!$P$5:$P$500,"&gt;=108100")&gt;0,"X","")</f>
      </c>
      <c r="AC17" s="56" t="str">
        <f>IF(COUNTIFS('LANÇAMENTOS DIÁRIOS'!$G$5:$G$500,"E",'LANÇAMENTOS DIÁRIOS'!$C$5:$C$500,$A17,'LANÇAMENTOS DIÁRIOS'!$O$5:$O$500,"&lt;=108299",'LANÇAMENTOS DIÁRIOS'!$P$5:$P$500,"&gt;=108200")&gt;0,"X","")</f>
      </c>
      <c r="AD17" s="56" t="str">
        <f>IF(COUNTIFS('LANÇAMENTOS DIÁRIOS'!$G$5:$G$500,"E",'LANÇAMENTOS DIÁRIOS'!$C$5:$C$500,$A17,'LANÇAMENTOS DIÁRIOS'!$O$5:$O$500,"&lt;=108399",'LANÇAMENTOS DIÁRIOS'!$P$5:$P$500,"&gt;=108300")&gt;0,"X","")</f>
      </c>
      <c r="AE17" s="56" t="str">
        <f>IF(COUNTIFS('LANÇAMENTOS DIÁRIOS'!$G$5:$G$500,"E",'LANÇAMENTOS DIÁRIOS'!$C$5:$C$500,$A17,'LANÇAMENTOS DIÁRIOS'!$O$5:$O$500,"&lt;=108499",'LANÇAMENTOS DIÁRIOS'!$P$5:$P$500,"&gt;=108400")&gt;0,"X","")</f>
      </c>
      <c r="AF17" s="56" t="str">
        <f>IF(COUNTIFS('LANÇAMENTOS DIÁRIOS'!$G$5:$G$500,"E",'LANÇAMENTOS DIÁRIOS'!$C$5:$C$500,$A17,'LANÇAMENTOS DIÁRIOS'!$O$5:$O$500,"&lt;=108599",'LANÇAMENTOS DIÁRIOS'!$P$5:$P$500,"&gt;=108500")&gt;0,"X","")</f>
      </c>
      <c r="AG17" s="56" t="str">
        <f>IF(COUNTIFS('LANÇAMENTOS DIÁRIOS'!$G$5:$G$500,"E",'LANÇAMENTOS DIÁRIOS'!$C$5:$C$500,$A17,'LANÇAMENTOS DIÁRIOS'!$O$5:$O$500,"&lt;=108699",'LANÇAMENTOS DIÁRIOS'!$P$5:$P$500,"&gt;=108600")&gt;0,"X","")</f>
      </c>
      <c r="AH17" s="56" t="str">
        <f>IF(COUNTIFS('LANÇAMENTOS DIÁRIOS'!$G$5:$G$500,"E",'LANÇAMENTOS DIÁRIOS'!$C$5:$C$500,$A17,'LANÇAMENTOS DIÁRIOS'!$O$5:$O$500,"&lt;=108799",'LANÇAMENTOS DIÁRIOS'!$P$5:$P$500,"&gt;=108700")&gt;0,"X","")</f>
      </c>
      <c r="AI17" s="56" t="str">
        <f>IF(COUNTIFS('LANÇAMENTOS DIÁRIOS'!$G$5:$G$500,"E",'LANÇAMENTOS DIÁRIOS'!$C$5:$C$500,$A17,'LANÇAMENTOS DIÁRIOS'!$O$5:$O$500,"&lt;=108899",'LANÇAMENTOS DIÁRIOS'!$P$5:$P$500,"&gt;=108800")&gt;0,"X","")</f>
      </c>
      <c r="AJ17" s="56" t="str">
        <f>IF(COUNTIFS('LANÇAMENTOS DIÁRIOS'!$G$5:$G$500,"E",'LANÇAMENTOS DIÁRIOS'!$C$5:$C$500,$A17,'LANÇAMENTOS DIÁRIOS'!$O$5:$O$500,"&lt;=108999",'LANÇAMENTOS DIÁRIOS'!$P$5:$P$500,"&gt;=108900")&gt;0,"X","")</f>
      </c>
      <c r="AK17" s="56" t="str">
        <f>IF(COUNTIFS('LANÇAMENTOS DIÁRIOS'!$G$5:$G$500,"E",'LANÇAMENTOS DIÁRIOS'!$C$5:$C$500,$A17,'LANÇAMENTOS DIÁRIOS'!$O$5:$O$500,"&lt;=109099",'LANÇAMENTOS DIÁRIOS'!$P$5:$P$500,"&gt;=109000")&gt;0,"X","")</f>
      </c>
      <c r="AL17" s="56" t="str">
        <f>IF(COUNTIFS('LANÇAMENTOS DIÁRIOS'!$G$5:$G$500,"E",'LANÇAMENTOS DIÁRIOS'!$C$5:$C$500,$A17,'LANÇAMENTOS DIÁRIOS'!$O$5:$O$500,"&lt;=109199",'LANÇAMENTOS DIÁRIOS'!$P$5:$P$500,"&gt;=109100")&gt;0,"X","")</f>
      </c>
      <c r="AM17" s="56" t="str">
        <f>IF(COUNTIFS('LANÇAMENTOS DIÁRIOS'!$G$5:$G$500,"E",'LANÇAMENTOS DIÁRIOS'!$C$5:$C$500,$A17,'LANÇAMENTOS DIÁRIOS'!$O$5:$O$500,"&lt;=109299",'LANÇAMENTOS DIÁRIOS'!$P$5:$P$500,"&gt;=109200")&gt;0,"X","")</f>
      </c>
      <c r="AN17" s="56" t="str">
        <f>IF(COUNTIFS('LANÇAMENTOS DIÁRIOS'!$G$5:$G$500,"E",'LANÇAMENTOS DIÁRIOS'!$C$5:$C$500,$A17,'LANÇAMENTOS DIÁRIOS'!$O$5:$O$500,"&lt;=109399",'LANÇAMENTOS DIÁRIOS'!$P$5:$P$500,"&gt;=109300")&gt;0,"X","")</f>
      </c>
      <c r="AO17" s="56" t="str">
        <f>IF(COUNTIFS('LANÇAMENTOS DIÁRIOS'!$G$5:$G$500,"E",'LANÇAMENTOS DIÁRIOS'!$C$5:$C$500,$A17,'LANÇAMENTOS DIÁRIOS'!$O$5:$O$500,"&lt;=109499",'LANÇAMENTOS DIÁRIOS'!$P$5:$P$500,"&gt;=109400")&gt;0,"X","")</f>
      </c>
      <c r="AP17" s="56" t="str">
        <f>IF(COUNTIFS('LANÇAMENTOS DIÁRIOS'!$G$5:$G$500,"E",'LANÇAMENTOS DIÁRIOS'!$C$5:$C$500,$A17,'LANÇAMENTOS DIÁRIOS'!$O$5:$O$500,"&lt;=109599",'LANÇAMENTOS DIÁRIOS'!$P$5:$P$500,"&gt;=109500")&gt;0,"X","")</f>
      </c>
      <c r="AQ17" s="56" t="str">
        <f>IF(COUNTIFS('LANÇAMENTOS DIÁRIOS'!$G$5:$G$500,"E",'LANÇAMENTOS DIÁRIOS'!$C$5:$C$500,$A17,'LANÇAMENTOS DIÁRIOS'!$O$5:$O$500,"&lt;=109699",'LANÇAMENTOS DIÁRIOS'!$P$5:$P$500,"&gt;=109600")&gt;0,"X","")</f>
      </c>
      <c r="AR17" s="56" t="str">
        <f>IF(COUNTIFS('LANÇAMENTOS DIÁRIOS'!$G$5:$G$500,"E",'LANÇAMENTOS DIÁRIOS'!$C$5:$C$500,$A17,'LANÇAMENTOS DIÁRIOS'!$O$5:$O$500,"&lt;=109799",'LANÇAMENTOS DIÁRIOS'!$P$5:$P$500,"&gt;=109700")&gt;0,"X","")</f>
      </c>
      <c r="AS17" s="56" t="str">
        <f>IF(COUNTIFS('LANÇAMENTOS DIÁRIOS'!$G$5:$G$500,"E",'LANÇAMENTOS DIÁRIOS'!$C$5:$C$500,$A17,'LANÇAMENTOS DIÁRIOS'!$O$5:$O$500,"&lt;=109899",'LANÇAMENTOS DIÁRIOS'!$P$5:$P$500,"&gt;=109800")&gt;0,"X","")</f>
      </c>
      <c r="AT17" s="56" t="str">
        <f>IF(COUNTIFS('LANÇAMENTOS DIÁRIOS'!$G$5:$G$500,"E",'LANÇAMENTOS DIÁRIOS'!$C$5:$C$500,$A17,'LANÇAMENTOS DIÁRIOS'!$O$5:$O$500,"&lt;=109999",'LANÇAMENTOS DIÁRIOS'!$P$5:$P$500,"&gt;=109900")&gt;0,"X","")</f>
      </c>
      <c r="AU17" s="56" t="str">
        <f>IF(COUNTIFS('LANÇAMENTOS DIÁRIOS'!$G$5:$G$500,"E",'LANÇAMENTOS DIÁRIOS'!$C$5:$C$500,$A17,'LANÇAMENTOS DIÁRIOS'!$O$5:$O$500,"&lt;=110099",'LANÇAMENTOS DIÁRIOS'!$P$5:$P$500,"&gt;=110000")&gt;0,"X","")</f>
      </c>
      <c r="AV17" s="56" t="str">
        <f>IF(COUNTIFS('LANÇAMENTOS DIÁRIOS'!$G$5:$G$500,"E",'LANÇAMENTOS DIÁRIOS'!$C$5:$C$500,$A17,'LANÇAMENTOS DIÁRIOS'!$O$5:$O$500,"&lt;=110199",'LANÇAMENTOS DIÁRIOS'!$P$5:$P$500,"&gt;=110100")&gt;0,"X","")</f>
      </c>
      <c r="AW17" s="56" t="str">
        <f>IF(COUNTIFS('LANÇAMENTOS DIÁRIOS'!$G$5:$G$500,"E",'LANÇAMENTOS DIÁRIOS'!$C$5:$C$500,$A17,'LANÇAMENTOS DIÁRIOS'!$O$5:$O$500,"&lt;=110299",'LANÇAMENTOS DIÁRIOS'!$P$5:$P$500,"&gt;=110200")&gt;0,"X","")</f>
      </c>
      <c r="AX17" s="56" t="str">
        <f>IF(COUNTIFS('LANÇAMENTOS DIÁRIOS'!$G$5:$G$500,"E",'LANÇAMENTOS DIÁRIOS'!$C$5:$C$500,$A17,'LANÇAMENTOS DIÁRIOS'!$O$5:$O$500,"&lt;=110399",'LANÇAMENTOS DIÁRIOS'!$P$5:$P$500,"&gt;=110300")&gt;0,"X","")</f>
      </c>
      <c r="AY17" s="56" t="str">
        <f>IF(COUNTIFS('LANÇAMENTOS DIÁRIOS'!$G$5:$G$500,"E",'LANÇAMENTOS DIÁRIOS'!$C$5:$C$500,$A17,'LANÇAMENTOS DIÁRIOS'!$O$5:$O$500,"&lt;=110499",'LANÇAMENTOS DIÁRIOS'!$P$5:$P$500,"&gt;=110400")&gt;0,"X","")</f>
      </c>
      <c r="AZ17" s="56" t="str">
        <f>IF(COUNTIFS('LANÇAMENTOS DIÁRIOS'!$G$5:$G$500,"E",'LANÇAMENTOS DIÁRIOS'!$C$5:$C$500,$A17,'LANÇAMENTOS DIÁRIOS'!$O$5:$O$500,"&lt;=110599",'LANÇAMENTOS DIÁRIOS'!$P$5:$P$500,"&gt;=110500")&gt;0,"X","")</f>
      </c>
      <c r="BA17" s="56" t="str">
        <f>IF(COUNTIFS('LANÇAMENTOS DIÁRIOS'!$G$5:$G$500,"E",'LANÇAMENTOS DIÁRIOS'!$C$5:$C$500,$A17,'LANÇAMENTOS DIÁRIOS'!$O$5:$O$500,"&lt;=110699",'LANÇAMENTOS DIÁRIOS'!$P$5:$P$500,"&gt;=110600")&gt;0,"X","")</f>
      </c>
      <c r="BB17" s="56" t="str">
        <f>IF(COUNTIFS('LANÇAMENTOS DIÁRIOS'!$G$5:$G$500,"E",'LANÇAMENTOS DIÁRIOS'!$C$5:$C$500,$A17,'LANÇAMENTOS DIÁRIOS'!$O$5:$O$500,"&lt;=110799",'LANÇAMENTOS DIÁRIOS'!$P$5:$P$500,"&gt;=110700")&gt;0,"X","")</f>
      </c>
      <c r="BC17" s="56" t="str">
        <f>IF(COUNTIFS('LANÇAMENTOS DIÁRIOS'!$G$5:$G$500,"E",'LANÇAMENTOS DIÁRIOS'!$C$5:$C$500,$A17,'LANÇAMENTOS DIÁRIOS'!$O$5:$O$500,"&lt;=110899",'LANÇAMENTOS DIÁRIOS'!$P$5:$P$500,"&gt;=110800")&gt;0,"X","")</f>
      </c>
      <c r="BD17" s="56" t="str">
        <f>IF(COUNTIFS('LANÇAMENTOS DIÁRIOS'!$G$5:$G$500,"E",'LANÇAMENTOS DIÁRIOS'!$C$5:$C$500,$A17,'LANÇAMENTOS DIÁRIOS'!$O$5:$O$500,"&lt;=110999",'LANÇAMENTOS DIÁRIOS'!$P$5:$P$500,"&gt;=110900")&gt;0,"X","")</f>
      </c>
      <c r="BE17" s="56" t="str">
        <f>IF(COUNTIFS('LANÇAMENTOS DIÁRIOS'!$G$5:$G$500,"E",'LANÇAMENTOS DIÁRIOS'!$C$5:$C$500,$A17,'LANÇAMENTOS DIÁRIOS'!$O$5:$O$500,"&lt;=111099",'LANÇAMENTOS DIÁRIOS'!$P$5:$P$500,"&gt;=111000")&gt;0,"X","")</f>
      </c>
      <c r="BF17" s="56" t="str">
        <f>IF(COUNTIFS('LANÇAMENTOS DIÁRIOS'!$G$5:$G$500,"E",'LANÇAMENTOS DIÁRIOS'!$C$5:$C$500,$A17,'LANÇAMENTOS DIÁRIOS'!$O$5:$O$500,"&lt;=111199",'LANÇAMENTOS DIÁRIOS'!$P$5:$P$500,"&gt;=111100")&gt;0,"X","")</f>
      </c>
      <c r="BG17" s="56" t="str">
        <f>IF(COUNTIFS('LANÇAMENTOS DIÁRIOS'!$G$5:$G$500,"E",'LANÇAMENTOS DIÁRIOS'!$C$5:$C$500,$A17,'LANÇAMENTOS DIÁRIOS'!$O$5:$O$500,"&lt;=111299",'LANÇAMENTOS DIÁRIOS'!$P$5:$P$500,"&gt;=111200")&gt;0,"X","")</f>
      </c>
      <c r="BH17" s="56" t="str">
        <f>IF(COUNTIFS('LANÇAMENTOS DIÁRIOS'!$G$5:$G$500,"E",'LANÇAMENTOS DIÁRIOS'!$C$5:$C$500,$A17,'LANÇAMENTOS DIÁRIOS'!$O$5:$O$500,"&lt;=111399",'LANÇAMENTOS DIÁRIOS'!$P$5:$P$500,"&gt;=111300")&gt;0,"X","")</f>
      </c>
      <c r="BI17" s="56" t="str">
        <f>IF(COUNTIFS('LANÇAMENTOS DIÁRIOS'!$G$5:$G$500,"E",'LANÇAMENTOS DIÁRIOS'!$C$5:$C$500,$A17,'LANÇAMENTOS DIÁRIOS'!$O$5:$O$500,"&lt;=111499",'LANÇAMENTOS DIÁRIOS'!$P$5:$P$500,"&gt;=111400")&gt;0,"X","")</f>
      </c>
      <c r="BJ17" s="56" t="str">
        <f>IF(COUNTIFS('LANÇAMENTOS DIÁRIOS'!$G$5:$G$500,"E",'LANÇAMENTOS DIÁRIOS'!$C$5:$C$500,$A17,'LANÇAMENTOS DIÁRIOS'!$O$5:$O$500,"&lt;=111500",'LANÇAMENTOS DIÁRIOS'!$P$5:$P$500,"&gt;=111500")&gt;0,"X","")</f>
      </c>
    </row>
    <row r="18" ht="19" customHeight="1">
      <c r="A18" s="68" t="str">
        <v>Acondicionamento da faixa de domínio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</row>
    <row r="19">
      <c r="A19" s="51" t="str">
        <v>Remanejamento de placa de sinalização instalada no solo, suporte de madeira</v>
      </c>
      <c r="B19" s="56" t="str">
        <f>IF(COUNTIFS('LANÇAMENTOS DIÁRIOS'!$G$5:$G$500,"E",'LANÇAMENTOS DIÁRIOS'!$C$5:$C$500,$A19,'LANÇAMENTOS DIÁRIOS'!$O$5:$O$500,"&lt;=105599",'LANÇAMENTOS DIÁRIOS'!$P$5:$P$500,"&gt;=105500")&gt;0,"X","")</f>
      </c>
      <c r="C19" s="56" t="str">
        <f>IF(COUNTIFS('LANÇAMENTOS DIÁRIOS'!$G$5:$G$500,"E",'LANÇAMENTOS DIÁRIOS'!$C$5:$C$500,$A19,'LANÇAMENTOS DIÁRIOS'!$O$5:$O$500,"&lt;=105699",'LANÇAMENTOS DIÁRIOS'!$P$5:$P$500,"&gt;=105600")&gt;0,"X","")</f>
      </c>
      <c r="D19" s="56" t="str">
        <f>IF(COUNTIFS('LANÇAMENTOS DIÁRIOS'!$G$5:$G$500,"E",'LANÇAMENTOS DIÁRIOS'!$C$5:$C$500,$A19,'LANÇAMENTOS DIÁRIOS'!$O$5:$O$500,"&lt;=105799",'LANÇAMENTOS DIÁRIOS'!$P$5:$P$500,"&gt;=105700")&gt;0,"X","")</f>
      </c>
      <c r="E19" s="56" t="str">
        <f>IF(COUNTIFS('LANÇAMENTOS DIÁRIOS'!$G$5:$G$500,"E",'LANÇAMENTOS DIÁRIOS'!$C$5:$C$500,$A19,'LANÇAMENTOS DIÁRIOS'!$O$5:$O$500,"&lt;=105899",'LANÇAMENTOS DIÁRIOS'!$P$5:$P$500,"&gt;=105800")&gt;0,"X","")</f>
      </c>
      <c r="F19" s="56" t="str">
        <f>IF(COUNTIFS('LANÇAMENTOS DIÁRIOS'!$G$5:$G$500,"E",'LANÇAMENTOS DIÁRIOS'!$C$5:$C$500,$A19,'LANÇAMENTOS DIÁRIOS'!$O$5:$O$500,"&lt;=105999",'LANÇAMENTOS DIÁRIOS'!$P$5:$P$500,"&gt;=105900")&gt;0,"X","")</f>
      </c>
      <c r="G19" s="56" t="str">
        <f>IF(COUNTIFS('LANÇAMENTOS DIÁRIOS'!$G$5:$G$500,"E",'LANÇAMENTOS DIÁRIOS'!$C$5:$C$500,$A19,'LANÇAMENTOS DIÁRIOS'!$O$5:$O$500,"&lt;=106099",'LANÇAMENTOS DIÁRIOS'!$P$5:$P$500,"&gt;=106000")&gt;0,"X","")</f>
      </c>
      <c r="H19" s="56" t="str">
        <f>IF(COUNTIFS('LANÇAMENTOS DIÁRIOS'!$G$5:$G$500,"E",'LANÇAMENTOS DIÁRIOS'!$C$5:$C$500,$A19,'LANÇAMENTOS DIÁRIOS'!$O$5:$O$500,"&lt;=106199",'LANÇAMENTOS DIÁRIOS'!$P$5:$P$500,"&gt;=106100")&gt;0,"X","")</f>
      </c>
      <c r="I19" s="56" t="str">
        <f>IF(COUNTIFS('LANÇAMENTOS DIÁRIOS'!$G$5:$G$500,"E",'LANÇAMENTOS DIÁRIOS'!$C$5:$C$500,$A19,'LANÇAMENTOS DIÁRIOS'!$O$5:$O$500,"&lt;=106299",'LANÇAMENTOS DIÁRIOS'!$P$5:$P$500,"&gt;=106200")&gt;0,"X","")</f>
      </c>
      <c r="J19" s="56" t="str">
        <f>IF(COUNTIFS('LANÇAMENTOS DIÁRIOS'!$G$5:$G$500,"E",'LANÇAMENTOS DIÁRIOS'!$C$5:$C$500,$A19,'LANÇAMENTOS DIÁRIOS'!$O$5:$O$500,"&lt;=106399",'LANÇAMENTOS DIÁRIOS'!$P$5:$P$500,"&gt;=106300")&gt;0,"X","")</f>
      </c>
      <c r="K19" s="56" t="str">
        <f>IF(COUNTIFS('LANÇAMENTOS DIÁRIOS'!$G$5:$G$500,"E",'LANÇAMENTOS DIÁRIOS'!$C$5:$C$500,$A19,'LANÇAMENTOS DIÁRIOS'!$O$5:$O$500,"&lt;=106499",'LANÇAMENTOS DIÁRIOS'!$P$5:$P$500,"&gt;=106400")&gt;0,"X","")</f>
      </c>
      <c r="L19" s="56" t="str">
        <f>IF(COUNTIFS('LANÇAMENTOS DIÁRIOS'!$G$5:$G$500,"E",'LANÇAMENTOS DIÁRIOS'!$C$5:$C$500,$A19,'LANÇAMENTOS DIÁRIOS'!$O$5:$O$500,"&lt;=106599",'LANÇAMENTOS DIÁRIOS'!$P$5:$P$500,"&gt;=106500")&gt;0,"X","")</f>
      </c>
      <c r="M19" s="56" t="str">
        <f>IF(COUNTIFS('LANÇAMENTOS DIÁRIOS'!$G$5:$G$500,"E",'LANÇAMENTOS DIÁRIOS'!$C$5:$C$500,$A19,'LANÇAMENTOS DIÁRIOS'!$O$5:$O$500,"&lt;=106699",'LANÇAMENTOS DIÁRIOS'!$P$5:$P$500,"&gt;=106600")&gt;0,"X","")</f>
      </c>
      <c r="N19" s="56" t="str">
        <f>IF(COUNTIFS('LANÇAMENTOS DIÁRIOS'!$G$5:$G$500,"E",'LANÇAMENTOS DIÁRIOS'!$C$5:$C$500,$A19,'LANÇAMENTOS DIÁRIOS'!$O$5:$O$500,"&lt;=106799",'LANÇAMENTOS DIÁRIOS'!$P$5:$P$500,"&gt;=106700")&gt;0,"X","")</f>
      </c>
      <c r="O19" s="56" t="str">
        <f>IF(COUNTIFS('LANÇAMENTOS DIÁRIOS'!$G$5:$G$500,"E",'LANÇAMENTOS DIÁRIOS'!$C$5:$C$500,$A19,'LANÇAMENTOS DIÁRIOS'!$O$5:$O$500,"&lt;=106899",'LANÇAMENTOS DIÁRIOS'!$P$5:$P$500,"&gt;=106800")&gt;0,"X","")</f>
      </c>
      <c r="P19" s="56" t="str">
        <f>IF(COUNTIFS('LANÇAMENTOS DIÁRIOS'!$G$5:$G$500,"E",'LANÇAMENTOS DIÁRIOS'!$C$5:$C$500,$A19,'LANÇAMENTOS DIÁRIOS'!$O$5:$O$500,"&lt;=106999",'LANÇAMENTOS DIÁRIOS'!$P$5:$P$500,"&gt;=106900")&gt;0,"X","")</f>
      </c>
      <c r="Q19" s="56" t="str">
        <f>IF(COUNTIFS('LANÇAMENTOS DIÁRIOS'!$G$5:$G$500,"E",'LANÇAMENTOS DIÁRIOS'!$C$5:$C$500,$A19,'LANÇAMENTOS DIÁRIOS'!$O$5:$O$500,"&lt;=107099",'LANÇAMENTOS DIÁRIOS'!$P$5:$P$500,"&gt;=107000")&gt;0,"X","")</f>
      </c>
      <c r="R19" s="56" t="str">
        <f>IF(COUNTIFS('LANÇAMENTOS DIÁRIOS'!$G$5:$G$500,"E",'LANÇAMENTOS DIÁRIOS'!$C$5:$C$500,$A19,'LANÇAMENTOS DIÁRIOS'!$O$5:$O$500,"&lt;=107199",'LANÇAMENTOS DIÁRIOS'!$P$5:$P$500,"&gt;=107100")&gt;0,"X","")</f>
      </c>
      <c r="S19" s="56" t="str">
        <f>IF(COUNTIFS('LANÇAMENTOS DIÁRIOS'!$G$5:$G$500,"E",'LANÇAMENTOS DIÁRIOS'!$C$5:$C$500,$A19,'LANÇAMENTOS DIÁRIOS'!$O$5:$O$500,"&lt;=107299",'LANÇAMENTOS DIÁRIOS'!$P$5:$P$500,"&gt;=107200")&gt;0,"X","")</f>
      </c>
      <c r="T19" s="56" t="str">
        <f>IF(COUNTIFS('LANÇAMENTOS DIÁRIOS'!$G$5:$G$500,"E",'LANÇAMENTOS DIÁRIOS'!$C$5:$C$500,$A19,'LANÇAMENTOS DIÁRIOS'!$O$5:$O$500,"&lt;=107399",'LANÇAMENTOS DIÁRIOS'!$P$5:$P$500,"&gt;=107300")&gt;0,"X","")</f>
      </c>
      <c r="U19" s="56" t="str">
        <f>IF(COUNTIFS('LANÇAMENTOS DIÁRIOS'!$G$5:$G$500,"E",'LANÇAMENTOS DIÁRIOS'!$C$5:$C$500,$A19,'LANÇAMENTOS DIÁRIOS'!$O$5:$O$500,"&lt;=107499",'LANÇAMENTOS DIÁRIOS'!$P$5:$P$500,"&gt;=107400")&gt;0,"X","")</f>
      </c>
      <c r="V19" s="56" t="str">
        <f>IF(COUNTIFS('LANÇAMENTOS DIÁRIOS'!$G$5:$G$500,"E",'LANÇAMENTOS DIÁRIOS'!$C$5:$C$500,$A19,'LANÇAMENTOS DIÁRIOS'!$O$5:$O$500,"&lt;=107599",'LANÇAMENTOS DIÁRIOS'!$P$5:$P$500,"&gt;=107500")&gt;0,"X","")</f>
      </c>
      <c r="W19" s="56" t="str">
        <f>IF(COUNTIFS('LANÇAMENTOS DIÁRIOS'!$G$5:$G$500,"E",'LANÇAMENTOS DIÁRIOS'!$C$5:$C$500,$A19,'LANÇAMENTOS DIÁRIOS'!$O$5:$O$500,"&lt;=107699",'LANÇAMENTOS DIÁRIOS'!$P$5:$P$500,"&gt;=107600")&gt;0,"X","")</f>
      </c>
      <c r="X19" s="56" t="str">
        <f>IF(COUNTIFS('LANÇAMENTOS DIÁRIOS'!$G$5:$G$500,"E",'LANÇAMENTOS DIÁRIOS'!$C$5:$C$500,$A19,'LANÇAMENTOS DIÁRIOS'!$O$5:$O$500,"&lt;=107799",'LANÇAMENTOS DIÁRIOS'!$P$5:$P$500,"&gt;=107700")&gt;0,"X","")</f>
      </c>
      <c r="Y19" s="56" t="str">
        <f>IF(COUNTIFS('LANÇAMENTOS DIÁRIOS'!$G$5:$G$500,"E",'LANÇAMENTOS DIÁRIOS'!$C$5:$C$500,$A19,'LANÇAMENTOS DIÁRIOS'!$O$5:$O$500,"&lt;=107899",'LANÇAMENTOS DIÁRIOS'!$P$5:$P$500,"&gt;=107800")&gt;0,"X","")</f>
      </c>
      <c r="Z19" s="56" t="str">
        <f>IF(COUNTIFS('LANÇAMENTOS DIÁRIOS'!$G$5:$G$500,"E",'LANÇAMENTOS DIÁRIOS'!$C$5:$C$500,$A19,'LANÇAMENTOS DIÁRIOS'!$O$5:$O$500,"&lt;=107999",'LANÇAMENTOS DIÁRIOS'!$P$5:$P$500,"&gt;=107900")&gt;0,"X","")</f>
      </c>
      <c r="AA19" s="56" t="str">
        <f>IF(COUNTIFS('LANÇAMENTOS DIÁRIOS'!$G$5:$G$500,"E",'LANÇAMENTOS DIÁRIOS'!$C$5:$C$500,$A19,'LANÇAMENTOS DIÁRIOS'!$O$5:$O$500,"&lt;=108099",'LANÇAMENTOS DIÁRIOS'!$P$5:$P$500,"&gt;=108000")&gt;0,"X","")</f>
      </c>
      <c r="AB19" s="56" t="str">
        <f>IF(COUNTIFS('LANÇAMENTOS DIÁRIOS'!$G$5:$G$500,"E",'LANÇAMENTOS DIÁRIOS'!$C$5:$C$500,$A19,'LANÇAMENTOS DIÁRIOS'!$O$5:$O$500,"&lt;=108199",'LANÇAMENTOS DIÁRIOS'!$P$5:$P$500,"&gt;=108100")&gt;0,"X","")</f>
      </c>
      <c r="AC19" s="56" t="str">
        <f>IF(COUNTIFS('LANÇAMENTOS DIÁRIOS'!$G$5:$G$500,"E",'LANÇAMENTOS DIÁRIOS'!$C$5:$C$500,$A19,'LANÇAMENTOS DIÁRIOS'!$O$5:$O$500,"&lt;=108299",'LANÇAMENTOS DIÁRIOS'!$P$5:$P$500,"&gt;=108200")&gt;0,"X","")</f>
      </c>
      <c r="AD19" s="56" t="str">
        <f>IF(COUNTIFS('LANÇAMENTOS DIÁRIOS'!$G$5:$G$500,"E",'LANÇAMENTOS DIÁRIOS'!$C$5:$C$500,$A19,'LANÇAMENTOS DIÁRIOS'!$O$5:$O$500,"&lt;=108399",'LANÇAMENTOS DIÁRIOS'!$P$5:$P$500,"&gt;=108300")&gt;0,"X","")</f>
      </c>
      <c r="AE19" s="56" t="str">
        <f>IF(COUNTIFS('LANÇAMENTOS DIÁRIOS'!$G$5:$G$500,"E",'LANÇAMENTOS DIÁRIOS'!$C$5:$C$500,$A19,'LANÇAMENTOS DIÁRIOS'!$O$5:$O$500,"&lt;=108499",'LANÇAMENTOS DIÁRIOS'!$P$5:$P$500,"&gt;=108400")&gt;0,"X","")</f>
      </c>
      <c r="AF19" s="56" t="str">
        <f>IF(COUNTIFS('LANÇAMENTOS DIÁRIOS'!$G$5:$G$500,"E",'LANÇAMENTOS DIÁRIOS'!$C$5:$C$500,$A19,'LANÇAMENTOS DIÁRIOS'!$O$5:$O$500,"&lt;=108599",'LANÇAMENTOS DIÁRIOS'!$P$5:$P$500,"&gt;=108500")&gt;0,"X","")</f>
      </c>
      <c r="AG19" s="56" t="str">
        <f>IF(COUNTIFS('LANÇAMENTOS DIÁRIOS'!$G$5:$G$500,"E",'LANÇAMENTOS DIÁRIOS'!$C$5:$C$500,$A19,'LANÇAMENTOS DIÁRIOS'!$O$5:$O$500,"&lt;=108699",'LANÇAMENTOS DIÁRIOS'!$P$5:$P$500,"&gt;=108600")&gt;0,"X","")</f>
      </c>
      <c r="AH19" s="56" t="str">
        <f>IF(COUNTIFS('LANÇAMENTOS DIÁRIOS'!$G$5:$G$500,"E",'LANÇAMENTOS DIÁRIOS'!$C$5:$C$500,$A19,'LANÇAMENTOS DIÁRIOS'!$O$5:$O$500,"&lt;=108799",'LANÇAMENTOS DIÁRIOS'!$P$5:$P$500,"&gt;=108700")&gt;0,"X","")</f>
      </c>
      <c r="AI19" s="56" t="str">
        <f>IF(COUNTIFS('LANÇAMENTOS DIÁRIOS'!$G$5:$G$500,"E",'LANÇAMENTOS DIÁRIOS'!$C$5:$C$500,$A19,'LANÇAMENTOS DIÁRIOS'!$O$5:$O$500,"&lt;=108899",'LANÇAMENTOS DIÁRIOS'!$P$5:$P$500,"&gt;=108800")&gt;0,"X","")</f>
      </c>
      <c r="AJ19" s="56" t="str">
        <f>IF(COUNTIFS('LANÇAMENTOS DIÁRIOS'!$G$5:$G$500,"E",'LANÇAMENTOS DIÁRIOS'!$C$5:$C$500,$A19,'LANÇAMENTOS DIÁRIOS'!$O$5:$O$500,"&lt;=108999",'LANÇAMENTOS DIÁRIOS'!$P$5:$P$500,"&gt;=108900")&gt;0,"X","")</f>
      </c>
      <c r="AK19" s="56" t="str">
        <f>IF(COUNTIFS('LANÇAMENTOS DIÁRIOS'!$G$5:$G$500,"E",'LANÇAMENTOS DIÁRIOS'!$C$5:$C$500,$A19,'LANÇAMENTOS DIÁRIOS'!$O$5:$O$500,"&lt;=109099",'LANÇAMENTOS DIÁRIOS'!$P$5:$P$500,"&gt;=109000")&gt;0,"X","")</f>
      </c>
      <c r="AL19" s="56" t="str">
        <f>IF(COUNTIFS('LANÇAMENTOS DIÁRIOS'!$G$5:$G$500,"E",'LANÇAMENTOS DIÁRIOS'!$C$5:$C$500,$A19,'LANÇAMENTOS DIÁRIOS'!$O$5:$O$500,"&lt;=109199",'LANÇAMENTOS DIÁRIOS'!$P$5:$P$500,"&gt;=109100")&gt;0,"X","")</f>
      </c>
      <c r="AM19" s="56" t="str">
        <f>IF(COUNTIFS('LANÇAMENTOS DIÁRIOS'!$G$5:$G$500,"E",'LANÇAMENTOS DIÁRIOS'!$C$5:$C$500,$A19,'LANÇAMENTOS DIÁRIOS'!$O$5:$O$500,"&lt;=109299",'LANÇAMENTOS DIÁRIOS'!$P$5:$P$500,"&gt;=109200")&gt;0,"X","")</f>
      </c>
      <c r="AN19" s="56" t="str">
        <f>IF(COUNTIFS('LANÇAMENTOS DIÁRIOS'!$G$5:$G$500,"E",'LANÇAMENTOS DIÁRIOS'!$C$5:$C$500,$A19,'LANÇAMENTOS DIÁRIOS'!$O$5:$O$500,"&lt;=109399",'LANÇAMENTOS DIÁRIOS'!$P$5:$P$500,"&gt;=109300")&gt;0,"X","")</f>
      </c>
      <c r="AO19" s="56" t="str">
        <f>IF(COUNTIFS('LANÇAMENTOS DIÁRIOS'!$G$5:$G$500,"E",'LANÇAMENTOS DIÁRIOS'!$C$5:$C$500,$A19,'LANÇAMENTOS DIÁRIOS'!$O$5:$O$500,"&lt;=109499",'LANÇAMENTOS DIÁRIOS'!$P$5:$P$500,"&gt;=109400")&gt;0,"X","")</f>
      </c>
      <c r="AP19" s="56" t="str">
        <f>IF(COUNTIFS('LANÇAMENTOS DIÁRIOS'!$G$5:$G$500,"E",'LANÇAMENTOS DIÁRIOS'!$C$5:$C$500,$A19,'LANÇAMENTOS DIÁRIOS'!$O$5:$O$500,"&lt;=109599",'LANÇAMENTOS DIÁRIOS'!$P$5:$P$500,"&gt;=109500")&gt;0,"X","")</f>
      </c>
      <c r="AQ19" s="56" t="str">
        <f>IF(COUNTIFS('LANÇAMENTOS DIÁRIOS'!$G$5:$G$500,"E",'LANÇAMENTOS DIÁRIOS'!$C$5:$C$500,$A19,'LANÇAMENTOS DIÁRIOS'!$O$5:$O$500,"&lt;=109699",'LANÇAMENTOS DIÁRIOS'!$P$5:$P$500,"&gt;=109600")&gt;0,"X","")</f>
      </c>
      <c r="AR19" s="56" t="str">
        <f>IF(COUNTIFS('LANÇAMENTOS DIÁRIOS'!$G$5:$G$500,"E",'LANÇAMENTOS DIÁRIOS'!$C$5:$C$500,$A19,'LANÇAMENTOS DIÁRIOS'!$O$5:$O$500,"&lt;=109799",'LANÇAMENTOS DIÁRIOS'!$P$5:$P$500,"&gt;=109700")&gt;0,"X","")</f>
      </c>
      <c r="AS19" s="56" t="str">
        <f>IF(COUNTIFS('LANÇAMENTOS DIÁRIOS'!$G$5:$G$500,"E",'LANÇAMENTOS DIÁRIOS'!$C$5:$C$500,$A19,'LANÇAMENTOS DIÁRIOS'!$O$5:$O$500,"&lt;=109899",'LANÇAMENTOS DIÁRIOS'!$P$5:$P$500,"&gt;=109800")&gt;0,"X","")</f>
      </c>
      <c r="AT19" s="56" t="str">
        <f>IF(COUNTIFS('LANÇAMENTOS DIÁRIOS'!$G$5:$G$500,"E",'LANÇAMENTOS DIÁRIOS'!$C$5:$C$500,$A19,'LANÇAMENTOS DIÁRIOS'!$O$5:$O$500,"&lt;=109999",'LANÇAMENTOS DIÁRIOS'!$P$5:$P$500,"&gt;=109900")&gt;0,"X","")</f>
      </c>
      <c r="AU19" s="56" t="str">
        <f>IF(COUNTIFS('LANÇAMENTOS DIÁRIOS'!$G$5:$G$500,"E",'LANÇAMENTOS DIÁRIOS'!$C$5:$C$500,$A19,'LANÇAMENTOS DIÁRIOS'!$O$5:$O$500,"&lt;=110099",'LANÇAMENTOS DIÁRIOS'!$P$5:$P$500,"&gt;=110000")&gt;0,"X","")</f>
      </c>
      <c r="AV19" s="56" t="str">
        <f>IF(COUNTIFS('LANÇAMENTOS DIÁRIOS'!$G$5:$G$500,"E",'LANÇAMENTOS DIÁRIOS'!$C$5:$C$500,$A19,'LANÇAMENTOS DIÁRIOS'!$O$5:$O$500,"&lt;=110199",'LANÇAMENTOS DIÁRIOS'!$P$5:$P$500,"&gt;=110100")&gt;0,"X","")</f>
      </c>
      <c r="AW19" s="56" t="str">
        <f>IF(COUNTIFS('LANÇAMENTOS DIÁRIOS'!$G$5:$G$500,"E",'LANÇAMENTOS DIÁRIOS'!$C$5:$C$500,$A19,'LANÇAMENTOS DIÁRIOS'!$O$5:$O$500,"&lt;=110299",'LANÇAMENTOS DIÁRIOS'!$P$5:$P$500,"&gt;=110200")&gt;0,"X","")</f>
      </c>
      <c r="AX19" s="56" t="str">
        <f>IF(COUNTIFS('LANÇAMENTOS DIÁRIOS'!$G$5:$G$500,"E",'LANÇAMENTOS DIÁRIOS'!$C$5:$C$500,$A19,'LANÇAMENTOS DIÁRIOS'!$O$5:$O$500,"&lt;=110399",'LANÇAMENTOS DIÁRIOS'!$P$5:$P$500,"&gt;=110300")&gt;0,"X","")</f>
      </c>
      <c r="AY19" s="56" t="str">
        <f>IF(COUNTIFS('LANÇAMENTOS DIÁRIOS'!$G$5:$G$500,"E",'LANÇAMENTOS DIÁRIOS'!$C$5:$C$500,$A19,'LANÇAMENTOS DIÁRIOS'!$O$5:$O$500,"&lt;=110499",'LANÇAMENTOS DIÁRIOS'!$P$5:$P$500,"&gt;=110400")&gt;0,"X","")</f>
      </c>
      <c r="AZ19" s="56" t="str">
        <f>IF(COUNTIFS('LANÇAMENTOS DIÁRIOS'!$G$5:$G$500,"E",'LANÇAMENTOS DIÁRIOS'!$C$5:$C$500,$A19,'LANÇAMENTOS DIÁRIOS'!$O$5:$O$500,"&lt;=110599",'LANÇAMENTOS DIÁRIOS'!$P$5:$P$500,"&gt;=110500")&gt;0,"X","")</f>
      </c>
      <c r="BA19" s="56" t="str">
        <f>IF(COUNTIFS('LANÇAMENTOS DIÁRIOS'!$G$5:$G$500,"E",'LANÇAMENTOS DIÁRIOS'!$C$5:$C$500,$A19,'LANÇAMENTOS DIÁRIOS'!$O$5:$O$500,"&lt;=110699",'LANÇAMENTOS DIÁRIOS'!$P$5:$P$500,"&gt;=110600")&gt;0,"X","")</f>
      </c>
      <c r="BB19" s="56" t="str">
        <f>IF(COUNTIFS('LANÇAMENTOS DIÁRIOS'!$G$5:$G$500,"E",'LANÇAMENTOS DIÁRIOS'!$C$5:$C$500,$A19,'LANÇAMENTOS DIÁRIOS'!$O$5:$O$500,"&lt;=110799",'LANÇAMENTOS DIÁRIOS'!$P$5:$P$500,"&gt;=110700")&gt;0,"X","")</f>
      </c>
      <c r="BC19" s="56" t="str">
        <f>IF(COUNTIFS('LANÇAMENTOS DIÁRIOS'!$G$5:$G$500,"E",'LANÇAMENTOS DIÁRIOS'!$C$5:$C$500,$A19,'LANÇAMENTOS DIÁRIOS'!$O$5:$O$500,"&lt;=110899",'LANÇAMENTOS DIÁRIOS'!$P$5:$P$500,"&gt;=110800")&gt;0,"X","")</f>
      </c>
      <c r="BD19" s="56" t="str">
        <f>IF(COUNTIFS('LANÇAMENTOS DIÁRIOS'!$G$5:$G$500,"E",'LANÇAMENTOS DIÁRIOS'!$C$5:$C$500,$A19,'LANÇAMENTOS DIÁRIOS'!$O$5:$O$500,"&lt;=110999",'LANÇAMENTOS DIÁRIOS'!$P$5:$P$500,"&gt;=110900")&gt;0,"X","")</f>
      </c>
      <c r="BE19" s="56" t="str">
        <f>IF(COUNTIFS('LANÇAMENTOS DIÁRIOS'!$G$5:$G$500,"E",'LANÇAMENTOS DIÁRIOS'!$C$5:$C$500,$A19,'LANÇAMENTOS DIÁRIOS'!$O$5:$O$500,"&lt;=111099",'LANÇAMENTOS DIÁRIOS'!$P$5:$P$500,"&gt;=111000")&gt;0,"X","")</f>
      </c>
      <c r="BF19" s="56" t="str">
        <f>IF(COUNTIFS('LANÇAMENTOS DIÁRIOS'!$G$5:$G$500,"E",'LANÇAMENTOS DIÁRIOS'!$C$5:$C$500,$A19,'LANÇAMENTOS DIÁRIOS'!$O$5:$O$500,"&lt;=111199",'LANÇAMENTOS DIÁRIOS'!$P$5:$P$500,"&gt;=111100")&gt;0,"X","")</f>
      </c>
      <c r="BG19" s="56" t="str">
        <f>IF(COUNTIFS('LANÇAMENTOS DIÁRIOS'!$G$5:$G$500,"E",'LANÇAMENTOS DIÁRIOS'!$C$5:$C$500,$A19,'LANÇAMENTOS DIÁRIOS'!$O$5:$O$500,"&lt;=111299",'LANÇAMENTOS DIÁRIOS'!$P$5:$P$500,"&gt;=111200")&gt;0,"X","")</f>
      </c>
      <c r="BH19" s="56" t="str">
        <f>IF(COUNTIFS('LANÇAMENTOS DIÁRIOS'!$G$5:$G$500,"E",'LANÇAMENTOS DIÁRIOS'!$C$5:$C$500,$A19,'LANÇAMENTOS DIÁRIOS'!$O$5:$O$500,"&lt;=111399",'LANÇAMENTOS DIÁRIOS'!$P$5:$P$500,"&gt;=111300")&gt;0,"X","")</f>
      </c>
      <c r="BI19" s="56" t="str">
        <f>IF(COUNTIFS('LANÇAMENTOS DIÁRIOS'!$G$5:$G$500,"E",'LANÇAMENTOS DIÁRIOS'!$C$5:$C$500,$A19,'LANÇAMENTOS DIÁRIOS'!$O$5:$O$500,"&lt;=111499",'LANÇAMENTOS DIÁRIOS'!$P$5:$P$500,"&gt;=111400")&gt;0,"X","")</f>
      </c>
      <c r="BJ19" s="56" t="str">
        <f>IF(COUNTIFS('LANÇAMENTOS DIÁRIOS'!$G$5:$G$500,"E",'LANÇAMENTOS DIÁRIOS'!$C$5:$C$500,$A19,'LANÇAMENTOS DIÁRIOS'!$O$5:$O$500,"&lt;=111500",'LANÇAMENTOS DIÁRIOS'!$P$5:$P$500,"&gt;=111500")&gt;0,"X","")</f>
      </c>
    </row>
    <row r="20">
      <c r="A20" s="51" t="str">
        <v>Remanejamento de semi-pórtico</v>
      </c>
      <c r="B20" s="56" t="str">
        <f>IF(COUNTIFS('LANÇAMENTOS DIÁRIOS'!$G$5:$G$500,"E",'LANÇAMENTOS DIÁRIOS'!$C$5:$C$500,$A20,'LANÇAMENTOS DIÁRIOS'!$O$5:$O$500,"&lt;=105599",'LANÇAMENTOS DIÁRIOS'!$P$5:$P$500,"&gt;=105500")&gt;0,"X","")</f>
      </c>
      <c r="C20" s="56" t="str">
        <f>IF(COUNTIFS('LANÇAMENTOS DIÁRIOS'!$G$5:$G$500,"E",'LANÇAMENTOS DIÁRIOS'!$C$5:$C$500,$A20,'LANÇAMENTOS DIÁRIOS'!$O$5:$O$500,"&lt;=105699",'LANÇAMENTOS DIÁRIOS'!$P$5:$P$500,"&gt;=105600")&gt;0,"X","")</f>
      </c>
      <c r="D20" s="56" t="str">
        <f>IF(COUNTIFS('LANÇAMENTOS DIÁRIOS'!$G$5:$G$500,"E",'LANÇAMENTOS DIÁRIOS'!$C$5:$C$500,$A20,'LANÇAMENTOS DIÁRIOS'!$O$5:$O$500,"&lt;=105799",'LANÇAMENTOS DIÁRIOS'!$P$5:$P$500,"&gt;=105700")&gt;0,"X","")</f>
      </c>
      <c r="E20" s="56" t="str">
        <f>IF(COUNTIFS('LANÇAMENTOS DIÁRIOS'!$G$5:$G$500,"E",'LANÇAMENTOS DIÁRIOS'!$C$5:$C$500,$A20,'LANÇAMENTOS DIÁRIOS'!$O$5:$O$500,"&lt;=105899",'LANÇAMENTOS DIÁRIOS'!$P$5:$P$500,"&gt;=105800")&gt;0,"X","")</f>
      </c>
      <c r="F20" s="56" t="str">
        <f>IF(COUNTIFS('LANÇAMENTOS DIÁRIOS'!$G$5:$G$500,"E",'LANÇAMENTOS DIÁRIOS'!$C$5:$C$500,$A20,'LANÇAMENTOS DIÁRIOS'!$O$5:$O$500,"&lt;=105999",'LANÇAMENTOS DIÁRIOS'!$P$5:$P$500,"&gt;=105900")&gt;0,"X","")</f>
      </c>
      <c r="G20" s="56" t="str">
        <f>IF(COUNTIFS('LANÇAMENTOS DIÁRIOS'!$G$5:$G$500,"E",'LANÇAMENTOS DIÁRIOS'!$C$5:$C$500,$A20,'LANÇAMENTOS DIÁRIOS'!$O$5:$O$500,"&lt;=106099",'LANÇAMENTOS DIÁRIOS'!$P$5:$P$500,"&gt;=106000")&gt;0,"X","")</f>
      </c>
      <c r="H20" s="56" t="str">
        <f>IF(COUNTIFS('LANÇAMENTOS DIÁRIOS'!$G$5:$G$500,"E",'LANÇAMENTOS DIÁRIOS'!$C$5:$C$500,$A20,'LANÇAMENTOS DIÁRIOS'!$O$5:$O$500,"&lt;=106199",'LANÇAMENTOS DIÁRIOS'!$P$5:$P$500,"&gt;=106100")&gt;0,"X","")</f>
      </c>
      <c r="I20" s="56" t="str">
        <f>IF(COUNTIFS('LANÇAMENTOS DIÁRIOS'!$G$5:$G$500,"E",'LANÇAMENTOS DIÁRIOS'!$C$5:$C$500,$A20,'LANÇAMENTOS DIÁRIOS'!$O$5:$O$500,"&lt;=106299",'LANÇAMENTOS DIÁRIOS'!$P$5:$P$500,"&gt;=106200")&gt;0,"X","")</f>
      </c>
      <c r="J20" s="56" t="str">
        <f>IF(COUNTIFS('LANÇAMENTOS DIÁRIOS'!$G$5:$G$500,"E",'LANÇAMENTOS DIÁRIOS'!$C$5:$C$500,$A20,'LANÇAMENTOS DIÁRIOS'!$O$5:$O$500,"&lt;=106399",'LANÇAMENTOS DIÁRIOS'!$P$5:$P$500,"&gt;=106300")&gt;0,"X","")</f>
      </c>
      <c r="K20" s="56" t="str">
        <f>IF(COUNTIFS('LANÇAMENTOS DIÁRIOS'!$G$5:$G$500,"E",'LANÇAMENTOS DIÁRIOS'!$C$5:$C$500,$A20,'LANÇAMENTOS DIÁRIOS'!$O$5:$O$500,"&lt;=106499",'LANÇAMENTOS DIÁRIOS'!$P$5:$P$500,"&gt;=106400")&gt;0,"X","")</f>
      </c>
      <c r="L20" s="56" t="str">
        <f>IF(COUNTIFS('LANÇAMENTOS DIÁRIOS'!$G$5:$G$500,"E",'LANÇAMENTOS DIÁRIOS'!$C$5:$C$500,$A20,'LANÇAMENTOS DIÁRIOS'!$O$5:$O$500,"&lt;=106599",'LANÇAMENTOS DIÁRIOS'!$P$5:$P$500,"&gt;=106500")&gt;0,"X","")</f>
      </c>
      <c r="M20" s="56" t="str">
        <f>IF(COUNTIFS('LANÇAMENTOS DIÁRIOS'!$G$5:$G$500,"E",'LANÇAMENTOS DIÁRIOS'!$C$5:$C$500,$A20,'LANÇAMENTOS DIÁRIOS'!$O$5:$O$500,"&lt;=106699",'LANÇAMENTOS DIÁRIOS'!$P$5:$P$500,"&gt;=106600")&gt;0,"X","")</f>
      </c>
      <c r="N20" s="56" t="str">
        <f>IF(COUNTIFS('LANÇAMENTOS DIÁRIOS'!$G$5:$G$500,"E",'LANÇAMENTOS DIÁRIOS'!$C$5:$C$500,$A20,'LANÇAMENTOS DIÁRIOS'!$O$5:$O$500,"&lt;=106799",'LANÇAMENTOS DIÁRIOS'!$P$5:$P$500,"&gt;=106700")&gt;0,"X","")</f>
      </c>
      <c r="O20" s="56" t="str">
        <f>IF(COUNTIFS('LANÇAMENTOS DIÁRIOS'!$G$5:$G$500,"E",'LANÇAMENTOS DIÁRIOS'!$C$5:$C$500,$A20,'LANÇAMENTOS DIÁRIOS'!$O$5:$O$500,"&lt;=106899",'LANÇAMENTOS DIÁRIOS'!$P$5:$P$500,"&gt;=106800")&gt;0,"X","")</f>
      </c>
      <c r="P20" s="56" t="str">
        <f>IF(COUNTIFS('LANÇAMENTOS DIÁRIOS'!$G$5:$G$500,"E",'LANÇAMENTOS DIÁRIOS'!$C$5:$C$500,$A20,'LANÇAMENTOS DIÁRIOS'!$O$5:$O$500,"&lt;=106999",'LANÇAMENTOS DIÁRIOS'!$P$5:$P$500,"&gt;=106900")&gt;0,"X","")</f>
      </c>
      <c r="Q20" s="56" t="str">
        <f>IF(COUNTIFS('LANÇAMENTOS DIÁRIOS'!$G$5:$G$500,"E",'LANÇAMENTOS DIÁRIOS'!$C$5:$C$500,$A20,'LANÇAMENTOS DIÁRIOS'!$O$5:$O$500,"&lt;=107099",'LANÇAMENTOS DIÁRIOS'!$P$5:$P$500,"&gt;=107000")&gt;0,"X","")</f>
      </c>
      <c r="R20" s="56" t="str">
        <f>IF(COUNTIFS('LANÇAMENTOS DIÁRIOS'!$G$5:$G$500,"E",'LANÇAMENTOS DIÁRIOS'!$C$5:$C$500,$A20,'LANÇAMENTOS DIÁRIOS'!$O$5:$O$500,"&lt;=107199",'LANÇAMENTOS DIÁRIOS'!$P$5:$P$500,"&gt;=107100")&gt;0,"X","")</f>
      </c>
      <c r="S20" s="56" t="str">
        <f>IF(COUNTIFS('LANÇAMENTOS DIÁRIOS'!$G$5:$G$500,"E",'LANÇAMENTOS DIÁRIOS'!$C$5:$C$500,$A20,'LANÇAMENTOS DIÁRIOS'!$O$5:$O$500,"&lt;=107299",'LANÇAMENTOS DIÁRIOS'!$P$5:$P$500,"&gt;=107200")&gt;0,"X","")</f>
      </c>
      <c r="T20" s="56" t="str">
        <f>IF(COUNTIFS('LANÇAMENTOS DIÁRIOS'!$G$5:$G$500,"E",'LANÇAMENTOS DIÁRIOS'!$C$5:$C$500,$A20,'LANÇAMENTOS DIÁRIOS'!$O$5:$O$500,"&lt;=107399",'LANÇAMENTOS DIÁRIOS'!$P$5:$P$500,"&gt;=107300")&gt;0,"X","")</f>
      </c>
      <c r="U20" s="56" t="str">
        <f>IF(COUNTIFS('LANÇAMENTOS DIÁRIOS'!$G$5:$G$500,"E",'LANÇAMENTOS DIÁRIOS'!$C$5:$C$500,$A20,'LANÇAMENTOS DIÁRIOS'!$O$5:$O$500,"&lt;=107499",'LANÇAMENTOS DIÁRIOS'!$P$5:$P$500,"&gt;=107400")&gt;0,"X","")</f>
      </c>
      <c r="V20" s="56" t="str">
        <f>IF(COUNTIFS('LANÇAMENTOS DIÁRIOS'!$G$5:$G$500,"E",'LANÇAMENTOS DIÁRIOS'!$C$5:$C$500,$A20,'LANÇAMENTOS DIÁRIOS'!$O$5:$O$500,"&lt;=107599",'LANÇAMENTOS DIÁRIOS'!$P$5:$P$500,"&gt;=107500")&gt;0,"X","")</f>
      </c>
      <c r="W20" s="56" t="str">
        <f>IF(COUNTIFS('LANÇAMENTOS DIÁRIOS'!$G$5:$G$500,"E",'LANÇAMENTOS DIÁRIOS'!$C$5:$C$500,$A20,'LANÇAMENTOS DIÁRIOS'!$O$5:$O$500,"&lt;=107699",'LANÇAMENTOS DIÁRIOS'!$P$5:$P$500,"&gt;=107600")&gt;0,"X","")</f>
      </c>
      <c r="X20" s="56" t="str">
        <f>IF(COUNTIFS('LANÇAMENTOS DIÁRIOS'!$G$5:$G$500,"E",'LANÇAMENTOS DIÁRIOS'!$C$5:$C$500,$A20,'LANÇAMENTOS DIÁRIOS'!$O$5:$O$500,"&lt;=107799",'LANÇAMENTOS DIÁRIOS'!$P$5:$P$500,"&gt;=107700")&gt;0,"X","")</f>
      </c>
      <c r="Y20" s="56" t="str">
        <f>IF(COUNTIFS('LANÇAMENTOS DIÁRIOS'!$G$5:$G$500,"E",'LANÇAMENTOS DIÁRIOS'!$C$5:$C$500,$A20,'LANÇAMENTOS DIÁRIOS'!$O$5:$O$500,"&lt;=107899",'LANÇAMENTOS DIÁRIOS'!$P$5:$P$500,"&gt;=107800")&gt;0,"X","")</f>
      </c>
      <c r="Z20" s="56" t="str">
        <f>IF(COUNTIFS('LANÇAMENTOS DIÁRIOS'!$G$5:$G$500,"E",'LANÇAMENTOS DIÁRIOS'!$C$5:$C$500,$A20,'LANÇAMENTOS DIÁRIOS'!$O$5:$O$500,"&lt;=107999",'LANÇAMENTOS DIÁRIOS'!$P$5:$P$500,"&gt;=107900")&gt;0,"X","")</f>
      </c>
      <c r="AA20" s="56" t="str">
        <f>IF(COUNTIFS('LANÇAMENTOS DIÁRIOS'!$G$5:$G$500,"E",'LANÇAMENTOS DIÁRIOS'!$C$5:$C$500,$A20,'LANÇAMENTOS DIÁRIOS'!$O$5:$O$500,"&lt;=108099",'LANÇAMENTOS DIÁRIOS'!$P$5:$P$500,"&gt;=108000")&gt;0,"X","")</f>
      </c>
      <c r="AB20" s="56" t="str">
        <f>IF(COUNTIFS('LANÇAMENTOS DIÁRIOS'!$G$5:$G$500,"E",'LANÇAMENTOS DIÁRIOS'!$C$5:$C$500,$A20,'LANÇAMENTOS DIÁRIOS'!$O$5:$O$500,"&lt;=108199",'LANÇAMENTOS DIÁRIOS'!$P$5:$P$500,"&gt;=108100")&gt;0,"X","")</f>
      </c>
      <c r="AC20" s="56" t="str">
        <f>IF(COUNTIFS('LANÇAMENTOS DIÁRIOS'!$G$5:$G$500,"E",'LANÇAMENTOS DIÁRIOS'!$C$5:$C$500,$A20,'LANÇAMENTOS DIÁRIOS'!$O$5:$O$500,"&lt;=108299",'LANÇAMENTOS DIÁRIOS'!$P$5:$P$500,"&gt;=108200")&gt;0,"X","")</f>
      </c>
      <c r="AD20" s="56" t="str">
        <f>IF(COUNTIFS('LANÇAMENTOS DIÁRIOS'!$G$5:$G$500,"E",'LANÇAMENTOS DIÁRIOS'!$C$5:$C$500,$A20,'LANÇAMENTOS DIÁRIOS'!$O$5:$O$500,"&lt;=108399",'LANÇAMENTOS DIÁRIOS'!$P$5:$P$500,"&gt;=108300")&gt;0,"X","")</f>
      </c>
      <c r="AE20" s="56" t="str">
        <f>IF(COUNTIFS('LANÇAMENTOS DIÁRIOS'!$G$5:$G$500,"E",'LANÇAMENTOS DIÁRIOS'!$C$5:$C$500,$A20,'LANÇAMENTOS DIÁRIOS'!$O$5:$O$500,"&lt;=108499",'LANÇAMENTOS DIÁRIOS'!$P$5:$P$500,"&gt;=108400")&gt;0,"X","")</f>
      </c>
      <c r="AF20" s="56" t="str">
        <f>IF(COUNTIFS('LANÇAMENTOS DIÁRIOS'!$G$5:$G$500,"E",'LANÇAMENTOS DIÁRIOS'!$C$5:$C$500,$A20,'LANÇAMENTOS DIÁRIOS'!$O$5:$O$500,"&lt;=108599",'LANÇAMENTOS DIÁRIOS'!$P$5:$P$500,"&gt;=108500")&gt;0,"X","")</f>
      </c>
      <c r="AG20" s="56" t="str">
        <f>IF(COUNTIFS('LANÇAMENTOS DIÁRIOS'!$G$5:$G$500,"E",'LANÇAMENTOS DIÁRIOS'!$C$5:$C$500,$A20,'LANÇAMENTOS DIÁRIOS'!$O$5:$O$500,"&lt;=108699",'LANÇAMENTOS DIÁRIOS'!$P$5:$P$500,"&gt;=108600")&gt;0,"X","")</f>
      </c>
      <c r="AH20" s="56" t="str">
        <f>IF(COUNTIFS('LANÇAMENTOS DIÁRIOS'!$G$5:$G$500,"E",'LANÇAMENTOS DIÁRIOS'!$C$5:$C$500,$A20,'LANÇAMENTOS DIÁRIOS'!$O$5:$O$500,"&lt;=108799",'LANÇAMENTOS DIÁRIOS'!$P$5:$P$500,"&gt;=108700")&gt;0,"X","")</f>
      </c>
      <c r="AI20" s="56" t="str">
        <f>IF(COUNTIFS('LANÇAMENTOS DIÁRIOS'!$G$5:$G$500,"E",'LANÇAMENTOS DIÁRIOS'!$C$5:$C$500,$A20,'LANÇAMENTOS DIÁRIOS'!$O$5:$O$500,"&lt;=108899",'LANÇAMENTOS DIÁRIOS'!$P$5:$P$500,"&gt;=108800")&gt;0,"X","")</f>
      </c>
      <c r="AJ20" s="56" t="str">
        <f>IF(COUNTIFS('LANÇAMENTOS DIÁRIOS'!$G$5:$G$500,"E",'LANÇAMENTOS DIÁRIOS'!$C$5:$C$500,$A20,'LANÇAMENTOS DIÁRIOS'!$O$5:$O$500,"&lt;=108999",'LANÇAMENTOS DIÁRIOS'!$P$5:$P$500,"&gt;=108900")&gt;0,"X","")</f>
      </c>
      <c r="AK20" s="56" t="str">
        <f>IF(COUNTIFS('LANÇAMENTOS DIÁRIOS'!$G$5:$G$500,"E",'LANÇAMENTOS DIÁRIOS'!$C$5:$C$500,$A20,'LANÇAMENTOS DIÁRIOS'!$O$5:$O$500,"&lt;=109099",'LANÇAMENTOS DIÁRIOS'!$P$5:$P$500,"&gt;=109000")&gt;0,"X","")</f>
      </c>
      <c r="AL20" s="56" t="str">
        <f>IF(COUNTIFS('LANÇAMENTOS DIÁRIOS'!$G$5:$G$500,"E",'LANÇAMENTOS DIÁRIOS'!$C$5:$C$500,$A20,'LANÇAMENTOS DIÁRIOS'!$O$5:$O$500,"&lt;=109199",'LANÇAMENTOS DIÁRIOS'!$P$5:$P$500,"&gt;=109100")&gt;0,"X","")</f>
      </c>
      <c r="AM20" s="56" t="str">
        <f>IF(COUNTIFS('LANÇAMENTOS DIÁRIOS'!$G$5:$G$500,"E",'LANÇAMENTOS DIÁRIOS'!$C$5:$C$500,$A20,'LANÇAMENTOS DIÁRIOS'!$O$5:$O$500,"&lt;=109299",'LANÇAMENTOS DIÁRIOS'!$P$5:$P$500,"&gt;=109200")&gt;0,"X","")</f>
      </c>
      <c r="AN20" s="56" t="str">
        <f>IF(COUNTIFS('LANÇAMENTOS DIÁRIOS'!$G$5:$G$500,"E",'LANÇAMENTOS DIÁRIOS'!$C$5:$C$500,$A20,'LANÇAMENTOS DIÁRIOS'!$O$5:$O$500,"&lt;=109399",'LANÇAMENTOS DIÁRIOS'!$P$5:$P$500,"&gt;=109300")&gt;0,"X","")</f>
      </c>
      <c r="AO20" s="56" t="str">
        <f>IF(COUNTIFS('LANÇAMENTOS DIÁRIOS'!$G$5:$G$500,"E",'LANÇAMENTOS DIÁRIOS'!$C$5:$C$500,$A20,'LANÇAMENTOS DIÁRIOS'!$O$5:$O$500,"&lt;=109499",'LANÇAMENTOS DIÁRIOS'!$P$5:$P$500,"&gt;=109400")&gt;0,"X","")</f>
      </c>
      <c r="AP20" s="56" t="str">
        <f>IF(COUNTIFS('LANÇAMENTOS DIÁRIOS'!$G$5:$G$500,"E",'LANÇAMENTOS DIÁRIOS'!$C$5:$C$500,$A20,'LANÇAMENTOS DIÁRIOS'!$O$5:$O$500,"&lt;=109599",'LANÇAMENTOS DIÁRIOS'!$P$5:$P$500,"&gt;=109500")&gt;0,"X","")</f>
      </c>
      <c r="AQ20" s="56" t="str">
        <f>IF(COUNTIFS('LANÇAMENTOS DIÁRIOS'!$G$5:$G$500,"E",'LANÇAMENTOS DIÁRIOS'!$C$5:$C$500,$A20,'LANÇAMENTOS DIÁRIOS'!$O$5:$O$500,"&lt;=109699",'LANÇAMENTOS DIÁRIOS'!$P$5:$P$500,"&gt;=109600")&gt;0,"X","")</f>
      </c>
      <c r="AR20" s="56" t="str">
        <f>IF(COUNTIFS('LANÇAMENTOS DIÁRIOS'!$G$5:$G$500,"E",'LANÇAMENTOS DIÁRIOS'!$C$5:$C$500,$A20,'LANÇAMENTOS DIÁRIOS'!$O$5:$O$500,"&lt;=109799",'LANÇAMENTOS DIÁRIOS'!$P$5:$P$500,"&gt;=109700")&gt;0,"X","")</f>
      </c>
      <c r="AS20" s="56" t="str">
        <f>IF(COUNTIFS('LANÇAMENTOS DIÁRIOS'!$G$5:$G$500,"E",'LANÇAMENTOS DIÁRIOS'!$C$5:$C$500,$A20,'LANÇAMENTOS DIÁRIOS'!$O$5:$O$500,"&lt;=109899",'LANÇAMENTOS DIÁRIOS'!$P$5:$P$500,"&gt;=109800")&gt;0,"X","")</f>
      </c>
      <c r="AT20" s="56" t="str">
        <f>IF(COUNTIFS('LANÇAMENTOS DIÁRIOS'!$G$5:$G$500,"E",'LANÇAMENTOS DIÁRIOS'!$C$5:$C$500,$A20,'LANÇAMENTOS DIÁRIOS'!$O$5:$O$500,"&lt;=109999",'LANÇAMENTOS DIÁRIOS'!$P$5:$P$500,"&gt;=109900")&gt;0,"X","")</f>
      </c>
      <c r="AU20" s="56" t="str">
        <f>IF(COUNTIFS('LANÇAMENTOS DIÁRIOS'!$G$5:$G$500,"E",'LANÇAMENTOS DIÁRIOS'!$C$5:$C$500,$A20,'LANÇAMENTOS DIÁRIOS'!$O$5:$O$500,"&lt;=110099",'LANÇAMENTOS DIÁRIOS'!$P$5:$P$500,"&gt;=110000")&gt;0,"X","")</f>
      </c>
      <c r="AV20" s="56" t="str">
        <f>IF(COUNTIFS('LANÇAMENTOS DIÁRIOS'!$G$5:$G$500,"E",'LANÇAMENTOS DIÁRIOS'!$C$5:$C$500,$A20,'LANÇAMENTOS DIÁRIOS'!$O$5:$O$500,"&lt;=110199",'LANÇAMENTOS DIÁRIOS'!$P$5:$P$500,"&gt;=110100")&gt;0,"X","")</f>
      </c>
      <c r="AW20" s="56" t="str">
        <f>IF(COUNTIFS('LANÇAMENTOS DIÁRIOS'!$G$5:$G$500,"E",'LANÇAMENTOS DIÁRIOS'!$C$5:$C$500,$A20,'LANÇAMENTOS DIÁRIOS'!$O$5:$O$500,"&lt;=110299",'LANÇAMENTOS DIÁRIOS'!$P$5:$P$500,"&gt;=110200")&gt;0,"X","")</f>
      </c>
      <c r="AX20" s="56" t="str">
        <f>IF(COUNTIFS('LANÇAMENTOS DIÁRIOS'!$G$5:$G$500,"E",'LANÇAMENTOS DIÁRIOS'!$C$5:$C$500,$A20,'LANÇAMENTOS DIÁRIOS'!$O$5:$O$500,"&lt;=110399",'LANÇAMENTOS DIÁRIOS'!$P$5:$P$500,"&gt;=110300")&gt;0,"X","")</f>
      </c>
      <c r="AY20" s="56" t="str">
        <f>IF(COUNTIFS('LANÇAMENTOS DIÁRIOS'!$G$5:$G$500,"E",'LANÇAMENTOS DIÁRIOS'!$C$5:$C$500,$A20,'LANÇAMENTOS DIÁRIOS'!$O$5:$O$500,"&lt;=110499",'LANÇAMENTOS DIÁRIOS'!$P$5:$P$500,"&gt;=110400")&gt;0,"X","")</f>
      </c>
      <c r="AZ20" s="56" t="str">
        <f>IF(COUNTIFS('LANÇAMENTOS DIÁRIOS'!$G$5:$G$500,"E",'LANÇAMENTOS DIÁRIOS'!$C$5:$C$500,$A20,'LANÇAMENTOS DIÁRIOS'!$O$5:$O$500,"&lt;=110599",'LANÇAMENTOS DIÁRIOS'!$P$5:$P$500,"&gt;=110500")&gt;0,"X","")</f>
      </c>
      <c r="BA20" s="56" t="str">
        <f>IF(COUNTIFS('LANÇAMENTOS DIÁRIOS'!$G$5:$G$500,"E",'LANÇAMENTOS DIÁRIOS'!$C$5:$C$500,$A20,'LANÇAMENTOS DIÁRIOS'!$O$5:$O$500,"&lt;=110699",'LANÇAMENTOS DIÁRIOS'!$P$5:$P$500,"&gt;=110600")&gt;0,"X","")</f>
      </c>
      <c r="BB20" s="56" t="str">
        <f>IF(COUNTIFS('LANÇAMENTOS DIÁRIOS'!$G$5:$G$500,"E",'LANÇAMENTOS DIÁRIOS'!$C$5:$C$500,$A20,'LANÇAMENTOS DIÁRIOS'!$O$5:$O$500,"&lt;=110799",'LANÇAMENTOS DIÁRIOS'!$P$5:$P$500,"&gt;=110700")&gt;0,"X","")</f>
      </c>
      <c r="BC20" s="56" t="str">
        <f>IF(COUNTIFS('LANÇAMENTOS DIÁRIOS'!$G$5:$G$500,"E",'LANÇAMENTOS DIÁRIOS'!$C$5:$C$500,$A20,'LANÇAMENTOS DIÁRIOS'!$O$5:$O$500,"&lt;=110899",'LANÇAMENTOS DIÁRIOS'!$P$5:$P$500,"&gt;=110800")&gt;0,"X","")</f>
      </c>
      <c r="BD20" s="56" t="str">
        <f>IF(COUNTIFS('LANÇAMENTOS DIÁRIOS'!$G$5:$G$500,"E",'LANÇAMENTOS DIÁRIOS'!$C$5:$C$500,$A20,'LANÇAMENTOS DIÁRIOS'!$O$5:$O$500,"&lt;=110999",'LANÇAMENTOS DIÁRIOS'!$P$5:$P$500,"&gt;=110900")&gt;0,"X","")</f>
      </c>
      <c r="BE20" s="56" t="str">
        <f>IF(COUNTIFS('LANÇAMENTOS DIÁRIOS'!$G$5:$G$500,"E",'LANÇAMENTOS DIÁRIOS'!$C$5:$C$500,$A20,'LANÇAMENTOS DIÁRIOS'!$O$5:$O$500,"&lt;=111099",'LANÇAMENTOS DIÁRIOS'!$P$5:$P$500,"&gt;=111000")&gt;0,"X","")</f>
      </c>
      <c r="BF20" s="56" t="str">
        <f>IF(COUNTIFS('LANÇAMENTOS DIÁRIOS'!$G$5:$G$500,"E",'LANÇAMENTOS DIÁRIOS'!$C$5:$C$500,$A20,'LANÇAMENTOS DIÁRIOS'!$O$5:$O$500,"&lt;=111199",'LANÇAMENTOS DIÁRIOS'!$P$5:$P$500,"&gt;=111100")&gt;0,"X","")</f>
      </c>
      <c r="BG20" s="56" t="str">
        <f>IF(COUNTIFS('LANÇAMENTOS DIÁRIOS'!$G$5:$G$500,"E",'LANÇAMENTOS DIÁRIOS'!$C$5:$C$500,$A20,'LANÇAMENTOS DIÁRIOS'!$O$5:$O$500,"&lt;=111299",'LANÇAMENTOS DIÁRIOS'!$P$5:$P$500,"&gt;=111200")&gt;0,"X","")</f>
      </c>
      <c r="BH20" s="56" t="str">
        <f>IF(COUNTIFS('LANÇAMENTOS DIÁRIOS'!$G$5:$G$500,"E",'LANÇAMENTOS DIÁRIOS'!$C$5:$C$500,$A20,'LANÇAMENTOS DIÁRIOS'!$O$5:$O$500,"&lt;=111399",'LANÇAMENTOS DIÁRIOS'!$P$5:$P$500,"&gt;=111300")&gt;0,"X","")</f>
      </c>
      <c r="BI20" s="56" t="str">
        <f>IF(COUNTIFS('LANÇAMENTOS DIÁRIOS'!$G$5:$G$500,"E",'LANÇAMENTOS DIÁRIOS'!$C$5:$C$500,$A20,'LANÇAMENTOS DIÁRIOS'!$O$5:$O$500,"&lt;=111499",'LANÇAMENTOS DIÁRIOS'!$P$5:$P$500,"&gt;=111400")&gt;0,"X","")</f>
      </c>
      <c r="BJ20" s="56" t="str">
        <f>IF(COUNTIFS('LANÇAMENTOS DIÁRIOS'!$G$5:$G$500,"E",'LANÇAMENTOS DIÁRIOS'!$C$5:$C$500,$A20,'LANÇAMENTOS DIÁRIOS'!$O$5:$O$500,"&lt;=111500",'LANÇAMENTOS DIÁRIOS'!$P$5:$P$500,"&gt;=111500")&gt;0,"X","")</f>
      </c>
    </row>
    <row r="21">
      <c r="A21" s="51" t="str">
        <v>Remanejamento de placa de sinalização instalada no solo, suporte metálico</v>
      </c>
      <c r="B21" s="56" t="str">
        <f>IF(COUNTIFS('LANÇAMENTOS DIÁRIOS'!$G$5:$G$500,"E",'LANÇAMENTOS DIÁRIOS'!$C$5:$C$500,$A21,'LANÇAMENTOS DIÁRIOS'!$O$5:$O$500,"&lt;=105599",'LANÇAMENTOS DIÁRIOS'!$P$5:$P$500,"&gt;=105500")&gt;0,"X","")</f>
      </c>
      <c r="C21" s="56" t="str">
        <f>IF(COUNTIFS('LANÇAMENTOS DIÁRIOS'!$G$5:$G$500,"E",'LANÇAMENTOS DIÁRIOS'!$C$5:$C$500,$A21,'LANÇAMENTOS DIÁRIOS'!$O$5:$O$500,"&lt;=105699",'LANÇAMENTOS DIÁRIOS'!$P$5:$P$500,"&gt;=105600")&gt;0,"X","")</f>
      </c>
      <c r="D21" s="56" t="str">
        <f>IF(COUNTIFS('LANÇAMENTOS DIÁRIOS'!$G$5:$G$500,"E",'LANÇAMENTOS DIÁRIOS'!$C$5:$C$500,$A21,'LANÇAMENTOS DIÁRIOS'!$O$5:$O$500,"&lt;=105799",'LANÇAMENTOS DIÁRIOS'!$P$5:$P$500,"&gt;=105700")&gt;0,"X","")</f>
      </c>
      <c r="E21" s="56" t="str">
        <f>IF(COUNTIFS('LANÇAMENTOS DIÁRIOS'!$G$5:$G$500,"E",'LANÇAMENTOS DIÁRIOS'!$C$5:$C$500,$A21,'LANÇAMENTOS DIÁRIOS'!$O$5:$O$500,"&lt;=105899",'LANÇAMENTOS DIÁRIOS'!$P$5:$P$500,"&gt;=105800")&gt;0,"X","")</f>
      </c>
      <c r="F21" s="56" t="str">
        <f>IF(COUNTIFS('LANÇAMENTOS DIÁRIOS'!$G$5:$G$500,"E",'LANÇAMENTOS DIÁRIOS'!$C$5:$C$500,$A21,'LANÇAMENTOS DIÁRIOS'!$O$5:$O$500,"&lt;=105999",'LANÇAMENTOS DIÁRIOS'!$P$5:$P$500,"&gt;=105900")&gt;0,"X","")</f>
      </c>
      <c r="G21" s="56" t="str">
        <f>IF(COUNTIFS('LANÇAMENTOS DIÁRIOS'!$G$5:$G$500,"E",'LANÇAMENTOS DIÁRIOS'!$C$5:$C$500,$A21,'LANÇAMENTOS DIÁRIOS'!$O$5:$O$500,"&lt;=106099",'LANÇAMENTOS DIÁRIOS'!$P$5:$P$500,"&gt;=106000")&gt;0,"X","")</f>
      </c>
      <c r="H21" s="56" t="str">
        <f>IF(COUNTIFS('LANÇAMENTOS DIÁRIOS'!$G$5:$G$500,"E",'LANÇAMENTOS DIÁRIOS'!$C$5:$C$500,$A21,'LANÇAMENTOS DIÁRIOS'!$O$5:$O$500,"&lt;=106199",'LANÇAMENTOS DIÁRIOS'!$P$5:$P$500,"&gt;=106100")&gt;0,"X","")</f>
      </c>
      <c r="I21" s="56" t="str">
        <f>IF(COUNTIFS('LANÇAMENTOS DIÁRIOS'!$G$5:$G$500,"E",'LANÇAMENTOS DIÁRIOS'!$C$5:$C$500,$A21,'LANÇAMENTOS DIÁRIOS'!$O$5:$O$500,"&lt;=106299",'LANÇAMENTOS DIÁRIOS'!$P$5:$P$500,"&gt;=106200")&gt;0,"X","")</f>
      </c>
      <c r="J21" s="56" t="str">
        <f>IF(COUNTIFS('LANÇAMENTOS DIÁRIOS'!$G$5:$G$500,"E",'LANÇAMENTOS DIÁRIOS'!$C$5:$C$500,$A21,'LANÇAMENTOS DIÁRIOS'!$O$5:$O$500,"&lt;=106399",'LANÇAMENTOS DIÁRIOS'!$P$5:$P$500,"&gt;=106300")&gt;0,"X","")</f>
      </c>
      <c r="K21" s="56" t="str">
        <f>IF(COUNTIFS('LANÇAMENTOS DIÁRIOS'!$G$5:$G$500,"E",'LANÇAMENTOS DIÁRIOS'!$C$5:$C$500,$A21,'LANÇAMENTOS DIÁRIOS'!$O$5:$O$500,"&lt;=106499",'LANÇAMENTOS DIÁRIOS'!$P$5:$P$500,"&gt;=106400")&gt;0,"X","")</f>
      </c>
      <c r="L21" s="56" t="str">
        <f>IF(COUNTIFS('LANÇAMENTOS DIÁRIOS'!$G$5:$G$500,"E",'LANÇAMENTOS DIÁRIOS'!$C$5:$C$500,$A21,'LANÇAMENTOS DIÁRIOS'!$O$5:$O$500,"&lt;=106599",'LANÇAMENTOS DIÁRIOS'!$P$5:$P$500,"&gt;=106500")&gt;0,"X","")</f>
      </c>
      <c r="M21" s="56" t="str">
        <f>IF(COUNTIFS('LANÇAMENTOS DIÁRIOS'!$G$5:$G$500,"E",'LANÇAMENTOS DIÁRIOS'!$C$5:$C$500,$A21,'LANÇAMENTOS DIÁRIOS'!$O$5:$O$500,"&lt;=106699",'LANÇAMENTOS DIÁRIOS'!$P$5:$P$500,"&gt;=106600")&gt;0,"X","")</f>
      </c>
      <c r="N21" s="56" t="str">
        <f>IF(COUNTIFS('LANÇAMENTOS DIÁRIOS'!$G$5:$G$500,"E",'LANÇAMENTOS DIÁRIOS'!$C$5:$C$500,$A21,'LANÇAMENTOS DIÁRIOS'!$O$5:$O$500,"&lt;=106799",'LANÇAMENTOS DIÁRIOS'!$P$5:$P$500,"&gt;=106700")&gt;0,"X","")</f>
      </c>
      <c r="O21" s="56" t="str">
        <f>IF(COUNTIFS('LANÇAMENTOS DIÁRIOS'!$G$5:$G$500,"E",'LANÇAMENTOS DIÁRIOS'!$C$5:$C$500,$A21,'LANÇAMENTOS DIÁRIOS'!$O$5:$O$500,"&lt;=106899",'LANÇAMENTOS DIÁRIOS'!$P$5:$P$500,"&gt;=106800")&gt;0,"X","")</f>
      </c>
      <c r="P21" s="56" t="str">
        <f>IF(COUNTIFS('LANÇAMENTOS DIÁRIOS'!$G$5:$G$500,"E",'LANÇAMENTOS DIÁRIOS'!$C$5:$C$500,$A21,'LANÇAMENTOS DIÁRIOS'!$O$5:$O$500,"&lt;=106999",'LANÇAMENTOS DIÁRIOS'!$P$5:$P$500,"&gt;=106900")&gt;0,"X","")</f>
      </c>
      <c r="Q21" s="56" t="str">
        <f>IF(COUNTIFS('LANÇAMENTOS DIÁRIOS'!$G$5:$G$500,"E",'LANÇAMENTOS DIÁRIOS'!$C$5:$C$500,$A21,'LANÇAMENTOS DIÁRIOS'!$O$5:$O$500,"&lt;=107099",'LANÇAMENTOS DIÁRIOS'!$P$5:$P$500,"&gt;=107000")&gt;0,"X","")</f>
      </c>
      <c r="R21" s="56" t="str">
        <f>IF(COUNTIFS('LANÇAMENTOS DIÁRIOS'!$G$5:$G$500,"E",'LANÇAMENTOS DIÁRIOS'!$C$5:$C$500,$A21,'LANÇAMENTOS DIÁRIOS'!$O$5:$O$500,"&lt;=107199",'LANÇAMENTOS DIÁRIOS'!$P$5:$P$500,"&gt;=107100")&gt;0,"X","")</f>
      </c>
      <c r="S21" s="56" t="str">
        <f>IF(COUNTIFS('LANÇAMENTOS DIÁRIOS'!$G$5:$G$500,"E",'LANÇAMENTOS DIÁRIOS'!$C$5:$C$500,$A21,'LANÇAMENTOS DIÁRIOS'!$O$5:$O$500,"&lt;=107299",'LANÇAMENTOS DIÁRIOS'!$P$5:$P$500,"&gt;=107200")&gt;0,"X","")</f>
      </c>
      <c r="T21" s="56" t="str">
        <f>IF(COUNTIFS('LANÇAMENTOS DIÁRIOS'!$G$5:$G$500,"E",'LANÇAMENTOS DIÁRIOS'!$C$5:$C$500,$A21,'LANÇAMENTOS DIÁRIOS'!$O$5:$O$500,"&lt;=107399",'LANÇAMENTOS DIÁRIOS'!$P$5:$P$500,"&gt;=107300")&gt;0,"X","")</f>
      </c>
      <c r="U21" s="56" t="str">
        <f>IF(COUNTIFS('LANÇAMENTOS DIÁRIOS'!$G$5:$G$500,"E",'LANÇAMENTOS DIÁRIOS'!$C$5:$C$500,$A21,'LANÇAMENTOS DIÁRIOS'!$O$5:$O$500,"&lt;=107499",'LANÇAMENTOS DIÁRIOS'!$P$5:$P$500,"&gt;=107400")&gt;0,"X","")</f>
      </c>
      <c r="V21" s="56" t="str">
        <f>IF(COUNTIFS('LANÇAMENTOS DIÁRIOS'!$G$5:$G$500,"E",'LANÇAMENTOS DIÁRIOS'!$C$5:$C$500,$A21,'LANÇAMENTOS DIÁRIOS'!$O$5:$O$500,"&lt;=107599",'LANÇAMENTOS DIÁRIOS'!$P$5:$P$500,"&gt;=107500")&gt;0,"X","")</f>
      </c>
      <c r="W21" s="56" t="str">
        <f>IF(COUNTIFS('LANÇAMENTOS DIÁRIOS'!$G$5:$G$500,"E",'LANÇAMENTOS DIÁRIOS'!$C$5:$C$500,$A21,'LANÇAMENTOS DIÁRIOS'!$O$5:$O$500,"&lt;=107699",'LANÇAMENTOS DIÁRIOS'!$P$5:$P$500,"&gt;=107600")&gt;0,"X","")</f>
      </c>
      <c r="X21" s="56" t="str">
        <f>IF(COUNTIFS('LANÇAMENTOS DIÁRIOS'!$G$5:$G$500,"E",'LANÇAMENTOS DIÁRIOS'!$C$5:$C$500,$A21,'LANÇAMENTOS DIÁRIOS'!$O$5:$O$500,"&lt;=107799",'LANÇAMENTOS DIÁRIOS'!$P$5:$P$500,"&gt;=107700")&gt;0,"X","")</f>
      </c>
      <c r="Y21" s="56" t="str">
        <f>IF(COUNTIFS('LANÇAMENTOS DIÁRIOS'!$G$5:$G$500,"E",'LANÇAMENTOS DIÁRIOS'!$C$5:$C$500,$A21,'LANÇAMENTOS DIÁRIOS'!$O$5:$O$500,"&lt;=107899",'LANÇAMENTOS DIÁRIOS'!$P$5:$P$500,"&gt;=107800")&gt;0,"X","")</f>
      </c>
      <c r="Z21" s="56" t="str">
        <f>IF(COUNTIFS('LANÇAMENTOS DIÁRIOS'!$G$5:$G$500,"E",'LANÇAMENTOS DIÁRIOS'!$C$5:$C$500,$A21,'LANÇAMENTOS DIÁRIOS'!$O$5:$O$500,"&lt;=107999",'LANÇAMENTOS DIÁRIOS'!$P$5:$P$500,"&gt;=107900")&gt;0,"X","")</f>
      </c>
      <c r="AA21" s="56" t="str">
        <f>IF(COUNTIFS('LANÇAMENTOS DIÁRIOS'!$G$5:$G$500,"E",'LANÇAMENTOS DIÁRIOS'!$C$5:$C$500,$A21,'LANÇAMENTOS DIÁRIOS'!$O$5:$O$500,"&lt;=108099",'LANÇAMENTOS DIÁRIOS'!$P$5:$P$500,"&gt;=108000")&gt;0,"X","")</f>
      </c>
      <c r="AB21" s="56" t="str">
        <f>IF(COUNTIFS('LANÇAMENTOS DIÁRIOS'!$G$5:$G$500,"E",'LANÇAMENTOS DIÁRIOS'!$C$5:$C$500,$A21,'LANÇAMENTOS DIÁRIOS'!$O$5:$O$500,"&lt;=108199",'LANÇAMENTOS DIÁRIOS'!$P$5:$P$500,"&gt;=108100")&gt;0,"X","")</f>
      </c>
      <c r="AC21" s="56" t="str">
        <f>IF(COUNTIFS('LANÇAMENTOS DIÁRIOS'!$G$5:$G$500,"E",'LANÇAMENTOS DIÁRIOS'!$C$5:$C$500,$A21,'LANÇAMENTOS DIÁRIOS'!$O$5:$O$500,"&lt;=108299",'LANÇAMENTOS DIÁRIOS'!$P$5:$P$500,"&gt;=108200")&gt;0,"X","")</f>
      </c>
      <c r="AD21" s="56" t="str">
        <f>IF(COUNTIFS('LANÇAMENTOS DIÁRIOS'!$G$5:$G$500,"E",'LANÇAMENTOS DIÁRIOS'!$C$5:$C$500,$A21,'LANÇAMENTOS DIÁRIOS'!$O$5:$O$500,"&lt;=108399",'LANÇAMENTOS DIÁRIOS'!$P$5:$P$500,"&gt;=108300")&gt;0,"X","")</f>
      </c>
      <c r="AE21" s="56" t="str">
        <f>IF(COUNTIFS('LANÇAMENTOS DIÁRIOS'!$G$5:$G$500,"E",'LANÇAMENTOS DIÁRIOS'!$C$5:$C$500,$A21,'LANÇAMENTOS DIÁRIOS'!$O$5:$O$500,"&lt;=108499",'LANÇAMENTOS DIÁRIOS'!$P$5:$P$500,"&gt;=108400")&gt;0,"X","")</f>
      </c>
      <c r="AF21" s="56" t="str">
        <f>IF(COUNTIFS('LANÇAMENTOS DIÁRIOS'!$G$5:$G$500,"E",'LANÇAMENTOS DIÁRIOS'!$C$5:$C$500,$A21,'LANÇAMENTOS DIÁRIOS'!$O$5:$O$500,"&lt;=108599",'LANÇAMENTOS DIÁRIOS'!$P$5:$P$500,"&gt;=108500")&gt;0,"X","")</f>
      </c>
      <c r="AG21" s="56" t="str">
        <f>IF(COUNTIFS('LANÇAMENTOS DIÁRIOS'!$G$5:$G$500,"E",'LANÇAMENTOS DIÁRIOS'!$C$5:$C$500,$A21,'LANÇAMENTOS DIÁRIOS'!$O$5:$O$500,"&lt;=108699",'LANÇAMENTOS DIÁRIOS'!$P$5:$P$500,"&gt;=108600")&gt;0,"X","")</f>
      </c>
      <c r="AH21" s="56" t="str">
        <f>IF(COUNTIFS('LANÇAMENTOS DIÁRIOS'!$G$5:$G$500,"E",'LANÇAMENTOS DIÁRIOS'!$C$5:$C$500,$A21,'LANÇAMENTOS DIÁRIOS'!$O$5:$O$500,"&lt;=108799",'LANÇAMENTOS DIÁRIOS'!$P$5:$P$500,"&gt;=108700")&gt;0,"X","")</f>
      </c>
      <c r="AI21" s="56" t="str">
        <f>IF(COUNTIFS('LANÇAMENTOS DIÁRIOS'!$G$5:$G$500,"E",'LANÇAMENTOS DIÁRIOS'!$C$5:$C$500,$A21,'LANÇAMENTOS DIÁRIOS'!$O$5:$O$500,"&lt;=108899",'LANÇAMENTOS DIÁRIOS'!$P$5:$P$500,"&gt;=108800")&gt;0,"X","")</f>
      </c>
      <c r="AJ21" s="56" t="str">
        <f>IF(COUNTIFS('LANÇAMENTOS DIÁRIOS'!$G$5:$G$500,"E",'LANÇAMENTOS DIÁRIOS'!$C$5:$C$500,$A21,'LANÇAMENTOS DIÁRIOS'!$O$5:$O$500,"&lt;=108999",'LANÇAMENTOS DIÁRIOS'!$P$5:$P$500,"&gt;=108900")&gt;0,"X","")</f>
      </c>
      <c r="AK21" s="56" t="str">
        <f>IF(COUNTIFS('LANÇAMENTOS DIÁRIOS'!$G$5:$G$500,"E",'LANÇAMENTOS DIÁRIOS'!$C$5:$C$500,$A21,'LANÇAMENTOS DIÁRIOS'!$O$5:$O$500,"&lt;=109099",'LANÇAMENTOS DIÁRIOS'!$P$5:$P$500,"&gt;=109000")&gt;0,"X","")</f>
      </c>
      <c r="AL21" s="56" t="str">
        <f>IF(COUNTIFS('LANÇAMENTOS DIÁRIOS'!$G$5:$G$500,"E",'LANÇAMENTOS DIÁRIOS'!$C$5:$C$500,$A21,'LANÇAMENTOS DIÁRIOS'!$O$5:$O$500,"&lt;=109199",'LANÇAMENTOS DIÁRIOS'!$P$5:$P$500,"&gt;=109100")&gt;0,"X","")</f>
      </c>
      <c r="AM21" s="56" t="str">
        <f>IF(COUNTIFS('LANÇAMENTOS DIÁRIOS'!$G$5:$G$500,"E",'LANÇAMENTOS DIÁRIOS'!$C$5:$C$500,$A21,'LANÇAMENTOS DIÁRIOS'!$O$5:$O$500,"&lt;=109299",'LANÇAMENTOS DIÁRIOS'!$P$5:$P$500,"&gt;=109200")&gt;0,"X","")</f>
      </c>
      <c r="AN21" s="56" t="str">
        <f>IF(COUNTIFS('LANÇAMENTOS DIÁRIOS'!$G$5:$G$500,"E",'LANÇAMENTOS DIÁRIOS'!$C$5:$C$500,$A21,'LANÇAMENTOS DIÁRIOS'!$O$5:$O$500,"&lt;=109399",'LANÇAMENTOS DIÁRIOS'!$P$5:$P$500,"&gt;=109300")&gt;0,"X","")</f>
      </c>
      <c r="AO21" s="56" t="str">
        <f>IF(COUNTIFS('LANÇAMENTOS DIÁRIOS'!$G$5:$G$500,"E",'LANÇAMENTOS DIÁRIOS'!$C$5:$C$500,$A21,'LANÇAMENTOS DIÁRIOS'!$O$5:$O$500,"&lt;=109499",'LANÇAMENTOS DIÁRIOS'!$P$5:$P$500,"&gt;=109400")&gt;0,"X","")</f>
      </c>
      <c r="AP21" s="56" t="str">
        <f>IF(COUNTIFS('LANÇAMENTOS DIÁRIOS'!$G$5:$G$500,"E",'LANÇAMENTOS DIÁRIOS'!$C$5:$C$500,$A21,'LANÇAMENTOS DIÁRIOS'!$O$5:$O$500,"&lt;=109599",'LANÇAMENTOS DIÁRIOS'!$P$5:$P$500,"&gt;=109500")&gt;0,"X","")</f>
      </c>
      <c r="AQ21" s="56" t="str">
        <f>IF(COUNTIFS('LANÇAMENTOS DIÁRIOS'!$G$5:$G$500,"E",'LANÇAMENTOS DIÁRIOS'!$C$5:$C$500,$A21,'LANÇAMENTOS DIÁRIOS'!$O$5:$O$500,"&lt;=109699",'LANÇAMENTOS DIÁRIOS'!$P$5:$P$500,"&gt;=109600")&gt;0,"X","")</f>
      </c>
      <c r="AR21" s="56" t="str">
        <f>IF(COUNTIFS('LANÇAMENTOS DIÁRIOS'!$G$5:$G$500,"E",'LANÇAMENTOS DIÁRIOS'!$C$5:$C$500,$A21,'LANÇAMENTOS DIÁRIOS'!$O$5:$O$500,"&lt;=109799",'LANÇAMENTOS DIÁRIOS'!$P$5:$P$500,"&gt;=109700")&gt;0,"X","")</f>
      </c>
      <c r="AS21" s="56" t="str">
        <f>IF(COUNTIFS('LANÇAMENTOS DIÁRIOS'!$G$5:$G$500,"E",'LANÇAMENTOS DIÁRIOS'!$C$5:$C$500,$A21,'LANÇAMENTOS DIÁRIOS'!$O$5:$O$500,"&lt;=109899",'LANÇAMENTOS DIÁRIOS'!$P$5:$P$500,"&gt;=109800")&gt;0,"X","")</f>
      </c>
      <c r="AT21" s="56" t="str">
        <f>IF(COUNTIFS('LANÇAMENTOS DIÁRIOS'!$G$5:$G$500,"E",'LANÇAMENTOS DIÁRIOS'!$C$5:$C$500,$A21,'LANÇAMENTOS DIÁRIOS'!$O$5:$O$500,"&lt;=109999",'LANÇAMENTOS DIÁRIOS'!$P$5:$P$500,"&gt;=109900")&gt;0,"X","")</f>
      </c>
      <c r="AU21" s="56" t="str">
        <f>IF(COUNTIFS('LANÇAMENTOS DIÁRIOS'!$G$5:$G$500,"E",'LANÇAMENTOS DIÁRIOS'!$C$5:$C$500,$A21,'LANÇAMENTOS DIÁRIOS'!$O$5:$O$500,"&lt;=110099",'LANÇAMENTOS DIÁRIOS'!$P$5:$P$500,"&gt;=110000")&gt;0,"X","")</f>
      </c>
      <c r="AV21" s="56" t="str">
        <f>IF(COUNTIFS('LANÇAMENTOS DIÁRIOS'!$G$5:$G$500,"E",'LANÇAMENTOS DIÁRIOS'!$C$5:$C$500,$A21,'LANÇAMENTOS DIÁRIOS'!$O$5:$O$500,"&lt;=110199",'LANÇAMENTOS DIÁRIOS'!$P$5:$P$500,"&gt;=110100")&gt;0,"X","")</f>
      </c>
      <c r="AW21" s="56" t="str">
        <f>IF(COUNTIFS('LANÇAMENTOS DIÁRIOS'!$G$5:$G$500,"E",'LANÇAMENTOS DIÁRIOS'!$C$5:$C$500,$A21,'LANÇAMENTOS DIÁRIOS'!$O$5:$O$500,"&lt;=110299",'LANÇAMENTOS DIÁRIOS'!$P$5:$P$500,"&gt;=110200")&gt;0,"X","")</f>
      </c>
      <c r="AX21" s="56" t="str">
        <f>IF(COUNTIFS('LANÇAMENTOS DIÁRIOS'!$G$5:$G$500,"E",'LANÇAMENTOS DIÁRIOS'!$C$5:$C$500,$A21,'LANÇAMENTOS DIÁRIOS'!$O$5:$O$500,"&lt;=110399",'LANÇAMENTOS DIÁRIOS'!$P$5:$P$500,"&gt;=110300")&gt;0,"X","")</f>
      </c>
      <c r="AY21" s="56" t="str">
        <f>IF(COUNTIFS('LANÇAMENTOS DIÁRIOS'!$G$5:$G$500,"E",'LANÇAMENTOS DIÁRIOS'!$C$5:$C$500,$A21,'LANÇAMENTOS DIÁRIOS'!$O$5:$O$500,"&lt;=110499",'LANÇAMENTOS DIÁRIOS'!$P$5:$P$500,"&gt;=110400")&gt;0,"X","")</f>
      </c>
      <c r="AZ21" s="56" t="str">
        <f>IF(COUNTIFS('LANÇAMENTOS DIÁRIOS'!$G$5:$G$500,"E",'LANÇAMENTOS DIÁRIOS'!$C$5:$C$500,$A21,'LANÇAMENTOS DIÁRIOS'!$O$5:$O$500,"&lt;=110599",'LANÇAMENTOS DIÁRIOS'!$P$5:$P$500,"&gt;=110500")&gt;0,"X","")</f>
      </c>
      <c r="BA21" s="56" t="str">
        <f>IF(COUNTIFS('LANÇAMENTOS DIÁRIOS'!$G$5:$G$500,"E",'LANÇAMENTOS DIÁRIOS'!$C$5:$C$500,$A21,'LANÇAMENTOS DIÁRIOS'!$O$5:$O$500,"&lt;=110699",'LANÇAMENTOS DIÁRIOS'!$P$5:$P$500,"&gt;=110600")&gt;0,"X","")</f>
      </c>
      <c r="BB21" s="56" t="str">
        <f>IF(COUNTIFS('LANÇAMENTOS DIÁRIOS'!$G$5:$G$500,"E",'LANÇAMENTOS DIÁRIOS'!$C$5:$C$500,$A21,'LANÇAMENTOS DIÁRIOS'!$O$5:$O$500,"&lt;=110799",'LANÇAMENTOS DIÁRIOS'!$P$5:$P$500,"&gt;=110700")&gt;0,"X","")</f>
      </c>
      <c r="BC21" s="56" t="str">
        <f>IF(COUNTIFS('LANÇAMENTOS DIÁRIOS'!$G$5:$G$500,"E",'LANÇAMENTOS DIÁRIOS'!$C$5:$C$500,$A21,'LANÇAMENTOS DIÁRIOS'!$O$5:$O$500,"&lt;=110899",'LANÇAMENTOS DIÁRIOS'!$P$5:$P$500,"&gt;=110800")&gt;0,"X","")</f>
      </c>
      <c r="BD21" s="56" t="str">
        <f>IF(COUNTIFS('LANÇAMENTOS DIÁRIOS'!$G$5:$G$500,"E",'LANÇAMENTOS DIÁRIOS'!$C$5:$C$500,$A21,'LANÇAMENTOS DIÁRIOS'!$O$5:$O$500,"&lt;=110999",'LANÇAMENTOS DIÁRIOS'!$P$5:$P$500,"&gt;=110900")&gt;0,"X","")</f>
      </c>
      <c r="BE21" s="56" t="str">
        <f>IF(COUNTIFS('LANÇAMENTOS DIÁRIOS'!$G$5:$G$500,"E",'LANÇAMENTOS DIÁRIOS'!$C$5:$C$500,$A21,'LANÇAMENTOS DIÁRIOS'!$O$5:$O$500,"&lt;=111099",'LANÇAMENTOS DIÁRIOS'!$P$5:$P$500,"&gt;=111000")&gt;0,"X","")</f>
      </c>
      <c r="BF21" s="56" t="str">
        <f>IF(COUNTIFS('LANÇAMENTOS DIÁRIOS'!$G$5:$G$500,"E",'LANÇAMENTOS DIÁRIOS'!$C$5:$C$500,$A21,'LANÇAMENTOS DIÁRIOS'!$O$5:$O$500,"&lt;=111199",'LANÇAMENTOS DIÁRIOS'!$P$5:$P$500,"&gt;=111100")&gt;0,"X","")</f>
      </c>
      <c r="BG21" s="56" t="str">
        <f>IF(COUNTIFS('LANÇAMENTOS DIÁRIOS'!$G$5:$G$500,"E",'LANÇAMENTOS DIÁRIOS'!$C$5:$C$500,$A21,'LANÇAMENTOS DIÁRIOS'!$O$5:$O$500,"&lt;=111299",'LANÇAMENTOS DIÁRIOS'!$P$5:$P$500,"&gt;=111200")&gt;0,"X","")</f>
      </c>
      <c r="BH21" s="56" t="str">
        <f>IF(COUNTIFS('LANÇAMENTOS DIÁRIOS'!$G$5:$G$500,"E",'LANÇAMENTOS DIÁRIOS'!$C$5:$C$500,$A21,'LANÇAMENTOS DIÁRIOS'!$O$5:$O$500,"&lt;=111399",'LANÇAMENTOS DIÁRIOS'!$P$5:$P$500,"&gt;=111300")&gt;0,"X","")</f>
      </c>
      <c r="BI21" s="56" t="str">
        <f>IF(COUNTIFS('LANÇAMENTOS DIÁRIOS'!$G$5:$G$500,"E",'LANÇAMENTOS DIÁRIOS'!$C$5:$C$500,$A21,'LANÇAMENTOS DIÁRIOS'!$O$5:$O$500,"&lt;=111499",'LANÇAMENTOS DIÁRIOS'!$P$5:$P$500,"&gt;=111400")&gt;0,"X","")</f>
      </c>
      <c r="BJ21" s="56" t="str">
        <f>IF(COUNTIFS('LANÇAMENTOS DIÁRIOS'!$G$5:$G$500,"E",'LANÇAMENTOS DIÁRIOS'!$C$5:$C$500,$A21,'LANÇAMENTOS DIÁRIOS'!$O$5:$O$500,"&lt;=111500",'LANÇAMENTOS DIÁRIOS'!$P$5:$P$500,"&gt;=111500")&gt;0,"X","")</f>
      </c>
    </row>
    <row r="22">
      <c r="A22" s="51" t="str">
        <v>Remanejamento de placa de sinalização, solo</v>
      </c>
      <c r="B22" s="56" t="str">
        <f>IF(COUNTIFS('LANÇAMENTOS DIÁRIOS'!$G$5:$G$500,"E",'LANÇAMENTOS DIÁRIOS'!$C$5:$C$500,$A22,'LANÇAMENTOS DIÁRIOS'!$O$5:$O$500,"&lt;=105599",'LANÇAMENTOS DIÁRIOS'!$P$5:$P$500,"&gt;=105500")&gt;0,"X","")</f>
      </c>
      <c r="C22" s="56" t="str">
        <f>IF(COUNTIFS('LANÇAMENTOS DIÁRIOS'!$G$5:$G$500,"E",'LANÇAMENTOS DIÁRIOS'!$C$5:$C$500,$A22,'LANÇAMENTOS DIÁRIOS'!$O$5:$O$500,"&lt;=105699",'LANÇAMENTOS DIÁRIOS'!$P$5:$P$500,"&gt;=105600")&gt;0,"X","")</f>
      </c>
      <c r="D22" s="56" t="str">
        <f>IF(COUNTIFS('LANÇAMENTOS DIÁRIOS'!$G$5:$G$500,"E",'LANÇAMENTOS DIÁRIOS'!$C$5:$C$500,$A22,'LANÇAMENTOS DIÁRIOS'!$O$5:$O$500,"&lt;=105799",'LANÇAMENTOS DIÁRIOS'!$P$5:$P$500,"&gt;=105700")&gt;0,"X","")</f>
      </c>
      <c r="E22" s="56" t="str">
        <f>IF(COUNTIFS('LANÇAMENTOS DIÁRIOS'!$G$5:$G$500,"E",'LANÇAMENTOS DIÁRIOS'!$C$5:$C$500,$A22,'LANÇAMENTOS DIÁRIOS'!$O$5:$O$500,"&lt;=105899",'LANÇAMENTOS DIÁRIOS'!$P$5:$P$500,"&gt;=105800")&gt;0,"X","")</f>
      </c>
      <c r="F22" s="56" t="str">
        <f>IF(COUNTIFS('LANÇAMENTOS DIÁRIOS'!$G$5:$G$500,"E",'LANÇAMENTOS DIÁRIOS'!$C$5:$C$500,$A22,'LANÇAMENTOS DIÁRIOS'!$O$5:$O$500,"&lt;=105999",'LANÇAMENTOS DIÁRIOS'!$P$5:$P$500,"&gt;=105900")&gt;0,"X","")</f>
      </c>
      <c r="G22" s="56" t="str">
        <f>IF(COUNTIFS('LANÇAMENTOS DIÁRIOS'!$G$5:$G$500,"E",'LANÇAMENTOS DIÁRIOS'!$C$5:$C$500,$A22,'LANÇAMENTOS DIÁRIOS'!$O$5:$O$500,"&lt;=106099",'LANÇAMENTOS DIÁRIOS'!$P$5:$P$500,"&gt;=106000")&gt;0,"X","")</f>
      </c>
      <c r="H22" s="56" t="str">
        <f>IF(COUNTIFS('LANÇAMENTOS DIÁRIOS'!$G$5:$G$500,"E",'LANÇAMENTOS DIÁRIOS'!$C$5:$C$500,$A22,'LANÇAMENTOS DIÁRIOS'!$O$5:$O$500,"&lt;=106199",'LANÇAMENTOS DIÁRIOS'!$P$5:$P$500,"&gt;=106100")&gt;0,"X","")</f>
      </c>
      <c r="I22" s="56" t="str">
        <f>IF(COUNTIFS('LANÇAMENTOS DIÁRIOS'!$G$5:$G$500,"E",'LANÇAMENTOS DIÁRIOS'!$C$5:$C$500,$A22,'LANÇAMENTOS DIÁRIOS'!$O$5:$O$500,"&lt;=106299",'LANÇAMENTOS DIÁRIOS'!$P$5:$P$500,"&gt;=106200")&gt;0,"X","")</f>
      </c>
      <c r="J22" s="56" t="str">
        <f>IF(COUNTIFS('LANÇAMENTOS DIÁRIOS'!$G$5:$G$500,"E",'LANÇAMENTOS DIÁRIOS'!$C$5:$C$500,$A22,'LANÇAMENTOS DIÁRIOS'!$O$5:$O$500,"&lt;=106399",'LANÇAMENTOS DIÁRIOS'!$P$5:$P$500,"&gt;=106300")&gt;0,"X","")</f>
      </c>
      <c r="K22" s="56" t="str">
        <f>IF(COUNTIFS('LANÇAMENTOS DIÁRIOS'!$G$5:$G$500,"E",'LANÇAMENTOS DIÁRIOS'!$C$5:$C$500,$A22,'LANÇAMENTOS DIÁRIOS'!$O$5:$O$500,"&lt;=106499",'LANÇAMENTOS DIÁRIOS'!$P$5:$P$500,"&gt;=106400")&gt;0,"X","")</f>
      </c>
      <c r="L22" s="56" t="str">
        <f>IF(COUNTIFS('LANÇAMENTOS DIÁRIOS'!$G$5:$G$500,"E",'LANÇAMENTOS DIÁRIOS'!$C$5:$C$500,$A22,'LANÇAMENTOS DIÁRIOS'!$O$5:$O$500,"&lt;=106599",'LANÇAMENTOS DIÁRIOS'!$P$5:$P$500,"&gt;=106500")&gt;0,"X","")</f>
      </c>
      <c r="M22" s="56" t="str">
        <f>IF(COUNTIFS('LANÇAMENTOS DIÁRIOS'!$G$5:$G$500,"E",'LANÇAMENTOS DIÁRIOS'!$C$5:$C$500,$A22,'LANÇAMENTOS DIÁRIOS'!$O$5:$O$500,"&lt;=106699",'LANÇAMENTOS DIÁRIOS'!$P$5:$P$500,"&gt;=106600")&gt;0,"X","")</f>
      </c>
      <c r="N22" s="56" t="str">
        <f>IF(COUNTIFS('LANÇAMENTOS DIÁRIOS'!$G$5:$G$500,"E",'LANÇAMENTOS DIÁRIOS'!$C$5:$C$500,$A22,'LANÇAMENTOS DIÁRIOS'!$O$5:$O$500,"&lt;=106799",'LANÇAMENTOS DIÁRIOS'!$P$5:$P$500,"&gt;=106700")&gt;0,"X","")</f>
      </c>
      <c r="O22" s="56" t="str">
        <f>IF(COUNTIFS('LANÇAMENTOS DIÁRIOS'!$G$5:$G$500,"E",'LANÇAMENTOS DIÁRIOS'!$C$5:$C$500,$A22,'LANÇAMENTOS DIÁRIOS'!$O$5:$O$500,"&lt;=106899",'LANÇAMENTOS DIÁRIOS'!$P$5:$P$500,"&gt;=106800")&gt;0,"X","")</f>
      </c>
      <c r="P22" s="56" t="str">
        <f>IF(COUNTIFS('LANÇAMENTOS DIÁRIOS'!$G$5:$G$500,"E",'LANÇAMENTOS DIÁRIOS'!$C$5:$C$500,$A22,'LANÇAMENTOS DIÁRIOS'!$O$5:$O$500,"&lt;=106999",'LANÇAMENTOS DIÁRIOS'!$P$5:$P$500,"&gt;=106900")&gt;0,"X","")</f>
      </c>
      <c r="Q22" s="56" t="str">
        <f>IF(COUNTIFS('LANÇAMENTOS DIÁRIOS'!$G$5:$G$500,"E",'LANÇAMENTOS DIÁRIOS'!$C$5:$C$500,$A22,'LANÇAMENTOS DIÁRIOS'!$O$5:$O$500,"&lt;=107099",'LANÇAMENTOS DIÁRIOS'!$P$5:$P$500,"&gt;=107000")&gt;0,"X","")</f>
      </c>
      <c r="R22" s="56" t="str">
        <f>IF(COUNTIFS('LANÇAMENTOS DIÁRIOS'!$G$5:$G$500,"E",'LANÇAMENTOS DIÁRIOS'!$C$5:$C$500,$A22,'LANÇAMENTOS DIÁRIOS'!$O$5:$O$500,"&lt;=107199",'LANÇAMENTOS DIÁRIOS'!$P$5:$P$500,"&gt;=107100")&gt;0,"X","")</f>
      </c>
      <c r="S22" s="56" t="str">
        <f>IF(COUNTIFS('LANÇAMENTOS DIÁRIOS'!$G$5:$G$500,"E",'LANÇAMENTOS DIÁRIOS'!$C$5:$C$500,$A22,'LANÇAMENTOS DIÁRIOS'!$O$5:$O$500,"&lt;=107299",'LANÇAMENTOS DIÁRIOS'!$P$5:$P$500,"&gt;=107200")&gt;0,"X","")</f>
      </c>
      <c r="T22" s="56" t="str">
        <f>IF(COUNTIFS('LANÇAMENTOS DIÁRIOS'!$G$5:$G$500,"E",'LANÇAMENTOS DIÁRIOS'!$C$5:$C$500,$A22,'LANÇAMENTOS DIÁRIOS'!$O$5:$O$500,"&lt;=107399",'LANÇAMENTOS DIÁRIOS'!$P$5:$P$500,"&gt;=107300")&gt;0,"X","")</f>
      </c>
      <c r="U22" s="56" t="str">
        <f>IF(COUNTIFS('LANÇAMENTOS DIÁRIOS'!$G$5:$G$500,"E",'LANÇAMENTOS DIÁRIOS'!$C$5:$C$500,$A22,'LANÇAMENTOS DIÁRIOS'!$O$5:$O$500,"&lt;=107499",'LANÇAMENTOS DIÁRIOS'!$P$5:$P$500,"&gt;=107400")&gt;0,"X","")</f>
      </c>
      <c r="V22" s="56" t="str">
        <f>IF(COUNTIFS('LANÇAMENTOS DIÁRIOS'!$G$5:$G$500,"E",'LANÇAMENTOS DIÁRIOS'!$C$5:$C$500,$A22,'LANÇAMENTOS DIÁRIOS'!$O$5:$O$500,"&lt;=107599",'LANÇAMENTOS DIÁRIOS'!$P$5:$P$500,"&gt;=107500")&gt;0,"X","")</f>
      </c>
      <c r="W22" s="56" t="str">
        <f>IF(COUNTIFS('LANÇAMENTOS DIÁRIOS'!$G$5:$G$500,"E",'LANÇAMENTOS DIÁRIOS'!$C$5:$C$500,$A22,'LANÇAMENTOS DIÁRIOS'!$O$5:$O$500,"&lt;=107699",'LANÇAMENTOS DIÁRIOS'!$P$5:$P$500,"&gt;=107600")&gt;0,"X","")</f>
      </c>
      <c r="X22" s="56" t="str">
        <f>IF(COUNTIFS('LANÇAMENTOS DIÁRIOS'!$G$5:$G$500,"E",'LANÇAMENTOS DIÁRIOS'!$C$5:$C$500,$A22,'LANÇAMENTOS DIÁRIOS'!$O$5:$O$500,"&lt;=107799",'LANÇAMENTOS DIÁRIOS'!$P$5:$P$500,"&gt;=107700")&gt;0,"X","")</f>
      </c>
      <c r="Y22" s="56" t="str">
        <f>IF(COUNTIFS('LANÇAMENTOS DIÁRIOS'!$G$5:$G$500,"E",'LANÇAMENTOS DIÁRIOS'!$C$5:$C$500,$A22,'LANÇAMENTOS DIÁRIOS'!$O$5:$O$500,"&lt;=107899",'LANÇAMENTOS DIÁRIOS'!$P$5:$P$500,"&gt;=107800")&gt;0,"X","")</f>
      </c>
      <c r="Z22" s="56" t="str">
        <f>IF(COUNTIFS('LANÇAMENTOS DIÁRIOS'!$G$5:$G$500,"E",'LANÇAMENTOS DIÁRIOS'!$C$5:$C$500,$A22,'LANÇAMENTOS DIÁRIOS'!$O$5:$O$500,"&lt;=107999",'LANÇAMENTOS DIÁRIOS'!$P$5:$P$500,"&gt;=107900")&gt;0,"X","")</f>
      </c>
      <c r="AA22" s="56" t="str">
        <f>IF(COUNTIFS('LANÇAMENTOS DIÁRIOS'!$G$5:$G$500,"E",'LANÇAMENTOS DIÁRIOS'!$C$5:$C$500,$A22,'LANÇAMENTOS DIÁRIOS'!$O$5:$O$500,"&lt;=108099",'LANÇAMENTOS DIÁRIOS'!$P$5:$P$500,"&gt;=108000")&gt;0,"X","")</f>
      </c>
      <c r="AB22" s="56" t="str">
        <f>IF(COUNTIFS('LANÇAMENTOS DIÁRIOS'!$G$5:$G$500,"E",'LANÇAMENTOS DIÁRIOS'!$C$5:$C$500,$A22,'LANÇAMENTOS DIÁRIOS'!$O$5:$O$500,"&lt;=108199",'LANÇAMENTOS DIÁRIOS'!$P$5:$P$500,"&gt;=108100")&gt;0,"X","")</f>
      </c>
      <c r="AC22" s="56" t="str">
        <f>IF(COUNTIFS('LANÇAMENTOS DIÁRIOS'!$G$5:$G$500,"E",'LANÇAMENTOS DIÁRIOS'!$C$5:$C$500,$A22,'LANÇAMENTOS DIÁRIOS'!$O$5:$O$500,"&lt;=108299",'LANÇAMENTOS DIÁRIOS'!$P$5:$P$500,"&gt;=108200")&gt;0,"X","")</f>
      </c>
      <c r="AD22" s="56" t="str">
        <f>IF(COUNTIFS('LANÇAMENTOS DIÁRIOS'!$G$5:$G$500,"E",'LANÇAMENTOS DIÁRIOS'!$C$5:$C$500,$A22,'LANÇAMENTOS DIÁRIOS'!$O$5:$O$500,"&lt;=108399",'LANÇAMENTOS DIÁRIOS'!$P$5:$P$500,"&gt;=108300")&gt;0,"X","")</f>
      </c>
      <c r="AE22" s="56" t="str">
        <f>IF(COUNTIFS('LANÇAMENTOS DIÁRIOS'!$G$5:$G$500,"E",'LANÇAMENTOS DIÁRIOS'!$C$5:$C$500,$A22,'LANÇAMENTOS DIÁRIOS'!$O$5:$O$500,"&lt;=108499",'LANÇAMENTOS DIÁRIOS'!$P$5:$P$500,"&gt;=108400")&gt;0,"X","")</f>
      </c>
      <c r="AF22" s="56" t="str">
        <f>IF(COUNTIFS('LANÇAMENTOS DIÁRIOS'!$G$5:$G$500,"E",'LANÇAMENTOS DIÁRIOS'!$C$5:$C$500,$A22,'LANÇAMENTOS DIÁRIOS'!$O$5:$O$500,"&lt;=108599",'LANÇAMENTOS DIÁRIOS'!$P$5:$P$500,"&gt;=108500")&gt;0,"X","")</f>
      </c>
      <c r="AG22" s="56" t="str">
        <f>IF(COUNTIFS('LANÇAMENTOS DIÁRIOS'!$G$5:$G$500,"E",'LANÇAMENTOS DIÁRIOS'!$C$5:$C$500,$A22,'LANÇAMENTOS DIÁRIOS'!$O$5:$O$500,"&lt;=108699",'LANÇAMENTOS DIÁRIOS'!$P$5:$P$500,"&gt;=108600")&gt;0,"X","")</f>
      </c>
      <c r="AH22" s="56" t="str">
        <f>IF(COUNTIFS('LANÇAMENTOS DIÁRIOS'!$G$5:$G$500,"E",'LANÇAMENTOS DIÁRIOS'!$C$5:$C$500,$A22,'LANÇAMENTOS DIÁRIOS'!$O$5:$O$500,"&lt;=108799",'LANÇAMENTOS DIÁRIOS'!$P$5:$P$500,"&gt;=108700")&gt;0,"X","")</f>
      </c>
      <c r="AI22" s="56" t="str">
        <f>IF(COUNTIFS('LANÇAMENTOS DIÁRIOS'!$G$5:$G$500,"E",'LANÇAMENTOS DIÁRIOS'!$C$5:$C$500,$A22,'LANÇAMENTOS DIÁRIOS'!$O$5:$O$500,"&lt;=108899",'LANÇAMENTOS DIÁRIOS'!$P$5:$P$500,"&gt;=108800")&gt;0,"X","")</f>
      </c>
      <c r="AJ22" s="56" t="str">
        <f>IF(COUNTIFS('LANÇAMENTOS DIÁRIOS'!$G$5:$G$500,"E",'LANÇAMENTOS DIÁRIOS'!$C$5:$C$500,$A22,'LANÇAMENTOS DIÁRIOS'!$O$5:$O$500,"&lt;=108999",'LANÇAMENTOS DIÁRIOS'!$P$5:$P$500,"&gt;=108900")&gt;0,"X","")</f>
      </c>
      <c r="AK22" s="56" t="str">
        <f>IF(COUNTIFS('LANÇAMENTOS DIÁRIOS'!$G$5:$G$500,"E",'LANÇAMENTOS DIÁRIOS'!$C$5:$C$500,$A22,'LANÇAMENTOS DIÁRIOS'!$O$5:$O$500,"&lt;=109099",'LANÇAMENTOS DIÁRIOS'!$P$5:$P$500,"&gt;=109000")&gt;0,"X","")</f>
      </c>
      <c r="AL22" s="56" t="str">
        <f>IF(COUNTIFS('LANÇAMENTOS DIÁRIOS'!$G$5:$G$500,"E",'LANÇAMENTOS DIÁRIOS'!$C$5:$C$500,$A22,'LANÇAMENTOS DIÁRIOS'!$O$5:$O$500,"&lt;=109199",'LANÇAMENTOS DIÁRIOS'!$P$5:$P$500,"&gt;=109100")&gt;0,"X","")</f>
      </c>
      <c r="AM22" s="56" t="str">
        <f>IF(COUNTIFS('LANÇAMENTOS DIÁRIOS'!$G$5:$G$500,"E",'LANÇAMENTOS DIÁRIOS'!$C$5:$C$500,$A22,'LANÇAMENTOS DIÁRIOS'!$O$5:$O$500,"&lt;=109299",'LANÇAMENTOS DIÁRIOS'!$P$5:$P$500,"&gt;=109200")&gt;0,"X","")</f>
      </c>
      <c r="AN22" s="56" t="str">
        <f>IF(COUNTIFS('LANÇAMENTOS DIÁRIOS'!$G$5:$G$500,"E",'LANÇAMENTOS DIÁRIOS'!$C$5:$C$500,$A22,'LANÇAMENTOS DIÁRIOS'!$O$5:$O$500,"&lt;=109399",'LANÇAMENTOS DIÁRIOS'!$P$5:$P$500,"&gt;=109300")&gt;0,"X","")</f>
      </c>
      <c r="AO22" s="56" t="str">
        <f>IF(COUNTIFS('LANÇAMENTOS DIÁRIOS'!$G$5:$G$500,"E",'LANÇAMENTOS DIÁRIOS'!$C$5:$C$500,$A22,'LANÇAMENTOS DIÁRIOS'!$O$5:$O$500,"&lt;=109499",'LANÇAMENTOS DIÁRIOS'!$P$5:$P$500,"&gt;=109400")&gt;0,"X","")</f>
      </c>
      <c r="AP22" s="56" t="str">
        <f>IF(COUNTIFS('LANÇAMENTOS DIÁRIOS'!$G$5:$G$500,"E",'LANÇAMENTOS DIÁRIOS'!$C$5:$C$500,$A22,'LANÇAMENTOS DIÁRIOS'!$O$5:$O$500,"&lt;=109599",'LANÇAMENTOS DIÁRIOS'!$P$5:$P$500,"&gt;=109500")&gt;0,"X","")</f>
      </c>
      <c r="AQ22" s="56" t="str">
        <f>IF(COUNTIFS('LANÇAMENTOS DIÁRIOS'!$G$5:$G$500,"E",'LANÇAMENTOS DIÁRIOS'!$C$5:$C$500,$A22,'LANÇAMENTOS DIÁRIOS'!$O$5:$O$500,"&lt;=109699",'LANÇAMENTOS DIÁRIOS'!$P$5:$P$500,"&gt;=109600")&gt;0,"X","")</f>
      </c>
      <c r="AR22" s="56" t="str">
        <f>IF(COUNTIFS('LANÇAMENTOS DIÁRIOS'!$G$5:$G$500,"E",'LANÇAMENTOS DIÁRIOS'!$C$5:$C$500,$A22,'LANÇAMENTOS DIÁRIOS'!$O$5:$O$500,"&lt;=109799",'LANÇAMENTOS DIÁRIOS'!$P$5:$P$500,"&gt;=109700")&gt;0,"X","")</f>
      </c>
      <c r="AS22" s="56" t="str">
        <f>IF(COUNTIFS('LANÇAMENTOS DIÁRIOS'!$G$5:$G$500,"E",'LANÇAMENTOS DIÁRIOS'!$C$5:$C$500,$A22,'LANÇAMENTOS DIÁRIOS'!$O$5:$O$500,"&lt;=109899",'LANÇAMENTOS DIÁRIOS'!$P$5:$P$500,"&gt;=109800")&gt;0,"X","")</f>
      </c>
      <c r="AT22" s="56" t="str">
        <f>IF(COUNTIFS('LANÇAMENTOS DIÁRIOS'!$G$5:$G$500,"E",'LANÇAMENTOS DIÁRIOS'!$C$5:$C$500,$A22,'LANÇAMENTOS DIÁRIOS'!$O$5:$O$500,"&lt;=109999",'LANÇAMENTOS DIÁRIOS'!$P$5:$P$500,"&gt;=109900")&gt;0,"X","")</f>
      </c>
      <c r="AU22" s="56" t="str">
        <f>IF(COUNTIFS('LANÇAMENTOS DIÁRIOS'!$G$5:$G$500,"E",'LANÇAMENTOS DIÁRIOS'!$C$5:$C$500,$A22,'LANÇAMENTOS DIÁRIOS'!$O$5:$O$500,"&lt;=110099",'LANÇAMENTOS DIÁRIOS'!$P$5:$P$500,"&gt;=110000")&gt;0,"X","")</f>
      </c>
      <c r="AV22" s="56" t="str">
        <f>IF(COUNTIFS('LANÇAMENTOS DIÁRIOS'!$G$5:$G$500,"E",'LANÇAMENTOS DIÁRIOS'!$C$5:$C$500,$A22,'LANÇAMENTOS DIÁRIOS'!$O$5:$O$500,"&lt;=110199",'LANÇAMENTOS DIÁRIOS'!$P$5:$P$500,"&gt;=110100")&gt;0,"X","")</f>
      </c>
      <c r="AW22" s="56" t="str">
        <f>IF(COUNTIFS('LANÇAMENTOS DIÁRIOS'!$G$5:$G$500,"E",'LANÇAMENTOS DIÁRIOS'!$C$5:$C$500,$A22,'LANÇAMENTOS DIÁRIOS'!$O$5:$O$500,"&lt;=110299",'LANÇAMENTOS DIÁRIOS'!$P$5:$P$500,"&gt;=110200")&gt;0,"X","")</f>
      </c>
      <c r="AX22" s="56" t="str">
        <f>IF(COUNTIFS('LANÇAMENTOS DIÁRIOS'!$G$5:$G$500,"E",'LANÇAMENTOS DIÁRIOS'!$C$5:$C$500,$A22,'LANÇAMENTOS DIÁRIOS'!$O$5:$O$500,"&lt;=110399",'LANÇAMENTOS DIÁRIOS'!$P$5:$P$500,"&gt;=110300")&gt;0,"X","")</f>
      </c>
      <c r="AY22" s="56" t="str">
        <f>IF(COUNTIFS('LANÇAMENTOS DIÁRIOS'!$G$5:$G$500,"E",'LANÇAMENTOS DIÁRIOS'!$C$5:$C$500,$A22,'LANÇAMENTOS DIÁRIOS'!$O$5:$O$500,"&lt;=110499",'LANÇAMENTOS DIÁRIOS'!$P$5:$P$500,"&gt;=110400")&gt;0,"X","")</f>
      </c>
      <c r="AZ22" s="56" t="str">
        <f>IF(COUNTIFS('LANÇAMENTOS DIÁRIOS'!$G$5:$G$500,"E",'LANÇAMENTOS DIÁRIOS'!$C$5:$C$500,$A22,'LANÇAMENTOS DIÁRIOS'!$O$5:$O$500,"&lt;=110599",'LANÇAMENTOS DIÁRIOS'!$P$5:$P$500,"&gt;=110500")&gt;0,"X","")</f>
      </c>
      <c r="BA22" s="56" t="str">
        <f>IF(COUNTIFS('LANÇAMENTOS DIÁRIOS'!$G$5:$G$500,"E",'LANÇAMENTOS DIÁRIOS'!$C$5:$C$500,$A22,'LANÇAMENTOS DIÁRIOS'!$O$5:$O$500,"&lt;=110699",'LANÇAMENTOS DIÁRIOS'!$P$5:$P$500,"&gt;=110600")&gt;0,"X","")</f>
      </c>
      <c r="BB22" s="56" t="str">
        <f>IF(COUNTIFS('LANÇAMENTOS DIÁRIOS'!$G$5:$G$500,"E",'LANÇAMENTOS DIÁRIOS'!$C$5:$C$500,$A22,'LANÇAMENTOS DIÁRIOS'!$O$5:$O$500,"&lt;=110799",'LANÇAMENTOS DIÁRIOS'!$P$5:$P$500,"&gt;=110700")&gt;0,"X","")</f>
      </c>
      <c r="BC22" s="56" t="str">
        <f>IF(COUNTIFS('LANÇAMENTOS DIÁRIOS'!$G$5:$G$500,"E",'LANÇAMENTOS DIÁRIOS'!$C$5:$C$500,$A22,'LANÇAMENTOS DIÁRIOS'!$O$5:$O$500,"&lt;=110899",'LANÇAMENTOS DIÁRIOS'!$P$5:$P$500,"&gt;=110800")&gt;0,"X","")</f>
      </c>
      <c r="BD22" s="56" t="str">
        <f>IF(COUNTIFS('LANÇAMENTOS DIÁRIOS'!$G$5:$G$500,"E",'LANÇAMENTOS DIÁRIOS'!$C$5:$C$500,$A22,'LANÇAMENTOS DIÁRIOS'!$O$5:$O$500,"&lt;=110999",'LANÇAMENTOS DIÁRIOS'!$P$5:$P$500,"&gt;=110900")&gt;0,"X","")</f>
      </c>
      <c r="BE22" s="56" t="str">
        <f>IF(COUNTIFS('LANÇAMENTOS DIÁRIOS'!$G$5:$G$500,"E",'LANÇAMENTOS DIÁRIOS'!$C$5:$C$500,$A22,'LANÇAMENTOS DIÁRIOS'!$O$5:$O$500,"&lt;=111099",'LANÇAMENTOS DIÁRIOS'!$P$5:$P$500,"&gt;=111000")&gt;0,"X","")</f>
      </c>
      <c r="BF22" s="56" t="str">
        <f>IF(COUNTIFS('LANÇAMENTOS DIÁRIOS'!$G$5:$G$500,"E",'LANÇAMENTOS DIÁRIOS'!$C$5:$C$500,$A22,'LANÇAMENTOS DIÁRIOS'!$O$5:$O$500,"&lt;=111199",'LANÇAMENTOS DIÁRIOS'!$P$5:$P$500,"&gt;=111100")&gt;0,"X","")</f>
      </c>
      <c r="BG22" s="56" t="str">
        <f>IF(COUNTIFS('LANÇAMENTOS DIÁRIOS'!$G$5:$G$500,"E",'LANÇAMENTOS DIÁRIOS'!$C$5:$C$500,$A22,'LANÇAMENTOS DIÁRIOS'!$O$5:$O$500,"&lt;=111299",'LANÇAMENTOS DIÁRIOS'!$P$5:$P$500,"&gt;=111200")&gt;0,"X","")</f>
      </c>
      <c r="BH22" s="56" t="str">
        <f>IF(COUNTIFS('LANÇAMENTOS DIÁRIOS'!$G$5:$G$500,"E",'LANÇAMENTOS DIÁRIOS'!$C$5:$C$500,$A22,'LANÇAMENTOS DIÁRIOS'!$O$5:$O$500,"&lt;=111399",'LANÇAMENTOS DIÁRIOS'!$P$5:$P$500,"&gt;=111300")&gt;0,"X","")</f>
      </c>
      <c r="BI22" s="56" t="str">
        <f>IF(COUNTIFS('LANÇAMENTOS DIÁRIOS'!$G$5:$G$500,"E",'LANÇAMENTOS DIÁRIOS'!$C$5:$C$500,$A22,'LANÇAMENTOS DIÁRIOS'!$O$5:$O$500,"&lt;=111499",'LANÇAMENTOS DIÁRIOS'!$P$5:$P$500,"&gt;=111400")&gt;0,"X","")</f>
      </c>
      <c r="BJ22" s="56" t="str">
        <f>IF(COUNTIFS('LANÇAMENTOS DIÁRIOS'!$G$5:$G$500,"E",'LANÇAMENTOS DIÁRIOS'!$C$5:$C$500,$A22,'LANÇAMENTOS DIÁRIOS'!$O$5:$O$500,"&lt;=111500",'LANÇAMENTOS DIÁRIOS'!$P$5:$P$500,"&gt;=111500")&gt;0,"X","")</f>
      </c>
    </row>
    <row r="23">
      <c r="A23" s="51" t="str">
        <v>Remoção de placa de sinalização vertical instalada no solo</v>
      </c>
      <c r="B23" s="56" t="str">
        <f>IF(COUNTIFS('LANÇAMENTOS DIÁRIOS'!$G$5:$G$500,"E",'LANÇAMENTOS DIÁRIOS'!$C$5:$C$500,$A23,'LANÇAMENTOS DIÁRIOS'!$O$5:$O$500,"&lt;=105599",'LANÇAMENTOS DIÁRIOS'!$P$5:$P$500,"&gt;=105500")&gt;0,"X","")</f>
      </c>
      <c r="C23" s="56" t="str">
        <f>IF(COUNTIFS('LANÇAMENTOS DIÁRIOS'!$G$5:$G$500,"E",'LANÇAMENTOS DIÁRIOS'!$C$5:$C$500,$A23,'LANÇAMENTOS DIÁRIOS'!$O$5:$O$500,"&lt;=105699",'LANÇAMENTOS DIÁRIOS'!$P$5:$P$500,"&gt;=105600")&gt;0,"X","")</f>
      </c>
      <c r="D23" s="56" t="str">
        <f>IF(COUNTIFS('LANÇAMENTOS DIÁRIOS'!$G$5:$G$500,"E",'LANÇAMENTOS DIÁRIOS'!$C$5:$C$500,$A23,'LANÇAMENTOS DIÁRIOS'!$O$5:$O$500,"&lt;=105799",'LANÇAMENTOS DIÁRIOS'!$P$5:$P$500,"&gt;=105700")&gt;0,"X","")</f>
      </c>
      <c r="E23" s="56" t="str">
        <f>IF(COUNTIFS('LANÇAMENTOS DIÁRIOS'!$G$5:$G$500,"E",'LANÇAMENTOS DIÁRIOS'!$C$5:$C$500,$A23,'LANÇAMENTOS DIÁRIOS'!$O$5:$O$500,"&lt;=105899",'LANÇAMENTOS DIÁRIOS'!$P$5:$P$500,"&gt;=105800")&gt;0,"X","")</f>
      </c>
      <c r="F23" s="56" t="str">
        <f>IF(COUNTIFS('LANÇAMENTOS DIÁRIOS'!$G$5:$G$500,"E",'LANÇAMENTOS DIÁRIOS'!$C$5:$C$500,$A23,'LANÇAMENTOS DIÁRIOS'!$O$5:$O$500,"&lt;=105999",'LANÇAMENTOS DIÁRIOS'!$P$5:$P$500,"&gt;=105900")&gt;0,"X","")</f>
      </c>
      <c r="G23" s="56" t="str">
        <f>IF(COUNTIFS('LANÇAMENTOS DIÁRIOS'!$G$5:$G$500,"E",'LANÇAMENTOS DIÁRIOS'!$C$5:$C$500,$A23,'LANÇAMENTOS DIÁRIOS'!$O$5:$O$500,"&lt;=106099",'LANÇAMENTOS DIÁRIOS'!$P$5:$P$500,"&gt;=106000")&gt;0,"X","")</f>
      </c>
      <c r="H23" s="56" t="str">
        <f>IF(COUNTIFS('LANÇAMENTOS DIÁRIOS'!$G$5:$G$500,"E",'LANÇAMENTOS DIÁRIOS'!$C$5:$C$500,$A23,'LANÇAMENTOS DIÁRIOS'!$O$5:$O$500,"&lt;=106199",'LANÇAMENTOS DIÁRIOS'!$P$5:$P$500,"&gt;=106100")&gt;0,"X","")</f>
      </c>
      <c r="I23" s="56" t="str">
        <f>IF(COUNTIFS('LANÇAMENTOS DIÁRIOS'!$G$5:$G$500,"E",'LANÇAMENTOS DIÁRIOS'!$C$5:$C$500,$A23,'LANÇAMENTOS DIÁRIOS'!$O$5:$O$500,"&lt;=106299",'LANÇAMENTOS DIÁRIOS'!$P$5:$P$500,"&gt;=106200")&gt;0,"X","")</f>
      </c>
      <c r="J23" s="56" t="str">
        <f>IF(COUNTIFS('LANÇAMENTOS DIÁRIOS'!$G$5:$G$500,"E",'LANÇAMENTOS DIÁRIOS'!$C$5:$C$500,$A23,'LANÇAMENTOS DIÁRIOS'!$O$5:$O$500,"&lt;=106399",'LANÇAMENTOS DIÁRIOS'!$P$5:$P$500,"&gt;=106300")&gt;0,"X","")</f>
      </c>
      <c r="K23" s="56" t="str">
        <f>IF(COUNTIFS('LANÇAMENTOS DIÁRIOS'!$G$5:$G$500,"E",'LANÇAMENTOS DIÁRIOS'!$C$5:$C$500,$A23,'LANÇAMENTOS DIÁRIOS'!$O$5:$O$500,"&lt;=106499",'LANÇAMENTOS DIÁRIOS'!$P$5:$P$500,"&gt;=106400")&gt;0,"X","")</f>
      </c>
      <c r="L23" s="56" t="str">
        <f>IF(COUNTIFS('LANÇAMENTOS DIÁRIOS'!$G$5:$G$500,"E",'LANÇAMENTOS DIÁRIOS'!$C$5:$C$500,$A23,'LANÇAMENTOS DIÁRIOS'!$O$5:$O$500,"&lt;=106599",'LANÇAMENTOS DIÁRIOS'!$P$5:$P$500,"&gt;=106500")&gt;0,"X","")</f>
      </c>
      <c r="M23" s="56" t="str">
        <f>IF(COUNTIFS('LANÇAMENTOS DIÁRIOS'!$G$5:$G$500,"E",'LANÇAMENTOS DIÁRIOS'!$C$5:$C$500,$A23,'LANÇAMENTOS DIÁRIOS'!$O$5:$O$500,"&lt;=106699",'LANÇAMENTOS DIÁRIOS'!$P$5:$P$500,"&gt;=106600")&gt;0,"X","")</f>
      </c>
      <c r="N23" s="56" t="str">
        <f>IF(COUNTIFS('LANÇAMENTOS DIÁRIOS'!$G$5:$G$500,"E",'LANÇAMENTOS DIÁRIOS'!$C$5:$C$500,$A23,'LANÇAMENTOS DIÁRIOS'!$O$5:$O$500,"&lt;=106799",'LANÇAMENTOS DIÁRIOS'!$P$5:$P$500,"&gt;=106700")&gt;0,"X","")</f>
      </c>
      <c r="O23" s="56" t="str">
        <f>IF(COUNTIFS('LANÇAMENTOS DIÁRIOS'!$G$5:$G$500,"E",'LANÇAMENTOS DIÁRIOS'!$C$5:$C$500,$A23,'LANÇAMENTOS DIÁRIOS'!$O$5:$O$500,"&lt;=106899",'LANÇAMENTOS DIÁRIOS'!$P$5:$P$500,"&gt;=106800")&gt;0,"X","")</f>
      </c>
      <c r="P23" s="56" t="str">
        <f>IF(COUNTIFS('LANÇAMENTOS DIÁRIOS'!$G$5:$G$500,"E",'LANÇAMENTOS DIÁRIOS'!$C$5:$C$500,$A23,'LANÇAMENTOS DIÁRIOS'!$O$5:$O$500,"&lt;=106999",'LANÇAMENTOS DIÁRIOS'!$P$5:$P$500,"&gt;=106900")&gt;0,"X","")</f>
      </c>
      <c r="Q23" s="56" t="str">
        <f>IF(COUNTIFS('LANÇAMENTOS DIÁRIOS'!$G$5:$G$500,"E",'LANÇAMENTOS DIÁRIOS'!$C$5:$C$500,$A23,'LANÇAMENTOS DIÁRIOS'!$O$5:$O$500,"&lt;=107099",'LANÇAMENTOS DIÁRIOS'!$P$5:$P$500,"&gt;=107000")&gt;0,"X","")</f>
      </c>
      <c r="R23" s="56" t="str">
        <f>IF(COUNTIFS('LANÇAMENTOS DIÁRIOS'!$G$5:$G$500,"E",'LANÇAMENTOS DIÁRIOS'!$C$5:$C$500,$A23,'LANÇAMENTOS DIÁRIOS'!$O$5:$O$500,"&lt;=107199",'LANÇAMENTOS DIÁRIOS'!$P$5:$P$500,"&gt;=107100")&gt;0,"X","")</f>
      </c>
      <c r="S23" s="56" t="str">
        <f>IF(COUNTIFS('LANÇAMENTOS DIÁRIOS'!$G$5:$G$500,"E",'LANÇAMENTOS DIÁRIOS'!$C$5:$C$500,$A23,'LANÇAMENTOS DIÁRIOS'!$O$5:$O$500,"&lt;=107299",'LANÇAMENTOS DIÁRIOS'!$P$5:$P$500,"&gt;=107200")&gt;0,"X","")</f>
      </c>
      <c r="T23" s="56" t="str">
        <f>IF(COUNTIFS('LANÇAMENTOS DIÁRIOS'!$G$5:$G$500,"E",'LANÇAMENTOS DIÁRIOS'!$C$5:$C$500,$A23,'LANÇAMENTOS DIÁRIOS'!$O$5:$O$500,"&lt;=107399",'LANÇAMENTOS DIÁRIOS'!$P$5:$P$500,"&gt;=107300")&gt;0,"X","")</f>
      </c>
      <c r="U23" s="56" t="str">
        <f>IF(COUNTIFS('LANÇAMENTOS DIÁRIOS'!$G$5:$G$500,"E",'LANÇAMENTOS DIÁRIOS'!$C$5:$C$500,$A23,'LANÇAMENTOS DIÁRIOS'!$O$5:$O$500,"&lt;=107499",'LANÇAMENTOS DIÁRIOS'!$P$5:$P$500,"&gt;=107400")&gt;0,"X","")</f>
      </c>
      <c r="V23" s="56" t="str">
        <f>IF(COUNTIFS('LANÇAMENTOS DIÁRIOS'!$G$5:$G$500,"E",'LANÇAMENTOS DIÁRIOS'!$C$5:$C$500,$A23,'LANÇAMENTOS DIÁRIOS'!$O$5:$O$500,"&lt;=107599",'LANÇAMENTOS DIÁRIOS'!$P$5:$P$500,"&gt;=107500")&gt;0,"X","")</f>
      </c>
      <c r="W23" s="56" t="str">
        <f>IF(COUNTIFS('LANÇAMENTOS DIÁRIOS'!$G$5:$G$500,"E",'LANÇAMENTOS DIÁRIOS'!$C$5:$C$500,$A23,'LANÇAMENTOS DIÁRIOS'!$O$5:$O$500,"&lt;=107699",'LANÇAMENTOS DIÁRIOS'!$P$5:$P$500,"&gt;=107600")&gt;0,"X","")</f>
      </c>
      <c r="X23" s="56" t="str">
        <f>IF(COUNTIFS('LANÇAMENTOS DIÁRIOS'!$G$5:$G$500,"E",'LANÇAMENTOS DIÁRIOS'!$C$5:$C$500,$A23,'LANÇAMENTOS DIÁRIOS'!$O$5:$O$500,"&lt;=107799",'LANÇAMENTOS DIÁRIOS'!$P$5:$P$500,"&gt;=107700")&gt;0,"X","")</f>
      </c>
      <c r="Y23" s="56" t="str">
        <f>IF(COUNTIFS('LANÇAMENTOS DIÁRIOS'!$G$5:$G$500,"E",'LANÇAMENTOS DIÁRIOS'!$C$5:$C$500,$A23,'LANÇAMENTOS DIÁRIOS'!$O$5:$O$500,"&lt;=107899",'LANÇAMENTOS DIÁRIOS'!$P$5:$P$500,"&gt;=107800")&gt;0,"X","")</f>
      </c>
      <c r="Z23" s="56" t="str">
        <f>IF(COUNTIFS('LANÇAMENTOS DIÁRIOS'!$G$5:$G$500,"E",'LANÇAMENTOS DIÁRIOS'!$C$5:$C$500,$A23,'LANÇAMENTOS DIÁRIOS'!$O$5:$O$500,"&lt;=107999",'LANÇAMENTOS DIÁRIOS'!$P$5:$P$500,"&gt;=107900")&gt;0,"X","")</f>
      </c>
      <c r="AA23" s="56" t="str">
        <f>IF(COUNTIFS('LANÇAMENTOS DIÁRIOS'!$G$5:$G$500,"E",'LANÇAMENTOS DIÁRIOS'!$C$5:$C$500,$A23,'LANÇAMENTOS DIÁRIOS'!$O$5:$O$500,"&lt;=108099",'LANÇAMENTOS DIÁRIOS'!$P$5:$P$500,"&gt;=108000")&gt;0,"X","")</f>
      </c>
      <c r="AB23" s="56" t="str">
        <f>IF(COUNTIFS('LANÇAMENTOS DIÁRIOS'!$G$5:$G$500,"E",'LANÇAMENTOS DIÁRIOS'!$C$5:$C$500,$A23,'LANÇAMENTOS DIÁRIOS'!$O$5:$O$500,"&lt;=108199",'LANÇAMENTOS DIÁRIOS'!$P$5:$P$500,"&gt;=108100")&gt;0,"X","")</f>
      </c>
      <c r="AC23" s="56" t="str">
        <f>IF(COUNTIFS('LANÇAMENTOS DIÁRIOS'!$G$5:$G$500,"E",'LANÇAMENTOS DIÁRIOS'!$C$5:$C$500,$A23,'LANÇAMENTOS DIÁRIOS'!$O$5:$O$500,"&lt;=108299",'LANÇAMENTOS DIÁRIOS'!$P$5:$P$500,"&gt;=108200")&gt;0,"X","")</f>
      </c>
      <c r="AD23" s="56" t="str">
        <f>IF(COUNTIFS('LANÇAMENTOS DIÁRIOS'!$G$5:$G$500,"E",'LANÇAMENTOS DIÁRIOS'!$C$5:$C$500,$A23,'LANÇAMENTOS DIÁRIOS'!$O$5:$O$500,"&lt;=108399",'LANÇAMENTOS DIÁRIOS'!$P$5:$P$500,"&gt;=108300")&gt;0,"X","")</f>
      </c>
      <c r="AE23" s="56" t="str">
        <f>IF(COUNTIFS('LANÇAMENTOS DIÁRIOS'!$G$5:$G$500,"E",'LANÇAMENTOS DIÁRIOS'!$C$5:$C$500,$A23,'LANÇAMENTOS DIÁRIOS'!$O$5:$O$500,"&lt;=108499",'LANÇAMENTOS DIÁRIOS'!$P$5:$P$500,"&gt;=108400")&gt;0,"X","")</f>
      </c>
      <c r="AF23" s="56" t="str">
        <f>IF(COUNTIFS('LANÇAMENTOS DIÁRIOS'!$G$5:$G$500,"E",'LANÇAMENTOS DIÁRIOS'!$C$5:$C$500,$A23,'LANÇAMENTOS DIÁRIOS'!$O$5:$O$500,"&lt;=108599",'LANÇAMENTOS DIÁRIOS'!$P$5:$P$500,"&gt;=108500")&gt;0,"X","")</f>
      </c>
      <c r="AG23" s="56" t="str">
        <f>IF(COUNTIFS('LANÇAMENTOS DIÁRIOS'!$G$5:$G$500,"E",'LANÇAMENTOS DIÁRIOS'!$C$5:$C$500,$A23,'LANÇAMENTOS DIÁRIOS'!$O$5:$O$500,"&lt;=108699",'LANÇAMENTOS DIÁRIOS'!$P$5:$P$500,"&gt;=108600")&gt;0,"X","")</f>
      </c>
      <c r="AH23" s="56" t="str">
        <f>IF(COUNTIFS('LANÇAMENTOS DIÁRIOS'!$G$5:$G$500,"E",'LANÇAMENTOS DIÁRIOS'!$C$5:$C$500,$A23,'LANÇAMENTOS DIÁRIOS'!$O$5:$O$500,"&lt;=108799",'LANÇAMENTOS DIÁRIOS'!$P$5:$P$500,"&gt;=108700")&gt;0,"X","")</f>
      </c>
      <c r="AI23" s="56" t="str">
        <f>IF(COUNTIFS('LANÇAMENTOS DIÁRIOS'!$G$5:$G$500,"E",'LANÇAMENTOS DIÁRIOS'!$C$5:$C$500,$A23,'LANÇAMENTOS DIÁRIOS'!$O$5:$O$500,"&lt;=108899",'LANÇAMENTOS DIÁRIOS'!$P$5:$P$500,"&gt;=108800")&gt;0,"X","")</f>
      </c>
      <c r="AJ23" s="56" t="str">
        <f>IF(COUNTIFS('LANÇAMENTOS DIÁRIOS'!$G$5:$G$500,"E",'LANÇAMENTOS DIÁRIOS'!$C$5:$C$500,$A23,'LANÇAMENTOS DIÁRIOS'!$O$5:$O$500,"&lt;=108999",'LANÇAMENTOS DIÁRIOS'!$P$5:$P$500,"&gt;=108900")&gt;0,"X","")</f>
      </c>
      <c r="AK23" s="56" t="str">
        <f>IF(COUNTIFS('LANÇAMENTOS DIÁRIOS'!$G$5:$G$500,"E",'LANÇAMENTOS DIÁRIOS'!$C$5:$C$500,$A23,'LANÇAMENTOS DIÁRIOS'!$O$5:$O$500,"&lt;=109099",'LANÇAMENTOS DIÁRIOS'!$P$5:$P$500,"&gt;=109000")&gt;0,"X","")</f>
      </c>
      <c r="AL23" s="56" t="str">
        <f>IF(COUNTIFS('LANÇAMENTOS DIÁRIOS'!$G$5:$G$500,"E",'LANÇAMENTOS DIÁRIOS'!$C$5:$C$500,$A23,'LANÇAMENTOS DIÁRIOS'!$O$5:$O$500,"&lt;=109199",'LANÇAMENTOS DIÁRIOS'!$P$5:$P$500,"&gt;=109100")&gt;0,"X","")</f>
      </c>
      <c r="AM23" s="56" t="str">
        <f>IF(COUNTIFS('LANÇAMENTOS DIÁRIOS'!$G$5:$G$500,"E",'LANÇAMENTOS DIÁRIOS'!$C$5:$C$500,$A23,'LANÇAMENTOS DIÁRIOS'!$O$5:$O$500,"&lt;=109299",'LANÇAMENTOS DIÁRIOS'!$P$5:$P$500,"&gt;=109200")&gt;0,"X","")</f>
      </c>
      <c r="AN23" s="56" t="str">
        <f>IF(COUNTIFS('LANÇAMENTOS DIÁRIOS'!$G$5:$G$500,"E",'LANÇAMENTOS DIÁRIOS'!$C$5:$C$500,$A23,'LANÇAMENTOS DIÁRIOS'!$O$5:$O$500,"&lt;=109399",'LANÇAMENTOS DIÁRIOS'!$P$5:$P$500,"&gt;=109300")&gt;0,"X","")</f>
      </c>
      <c r="AO23" s="56" t="str">
        <f>IF(COUNTIFS('LANÇAMENTOS DIÁRIOS'!$G$5:$G$500,"E",'LANÇAMENTOS DIÁRIOS'!$C$5:$C$500,$A23,'LANÇAMENTOS DIÁRIOS'!$O$5:$O$500,"&lt;=109499",'LANÇAMENTOS DIÁRIOS'!$P$5:$P$500,"&gt;=109400")&gt;0,"X","")</f>
      </c>
      <c r="AP23" s="56" t="str">
        <f>IF(COUNTIFS('LANÇAMENTOS DIÁRIOS'!$G$5:$G$500,"E",'LANÇAMENTOS DIÁRIOS'!$C$5:$C$500,$A23,'LANÇAMENTOS DIÁRIOS'!$O$5:$O$500,"&lt;=109599",'LANÇAMENTOS DIÁRIOS'!$P$5:$P$500,"&gt;=109500")&gt;0,"X","")</f>
      </c>
      <c r="AQ23" s="56" t="str">
        <f>IF(COUNTIFS('LANÇAMENTOS DIÁRIOS'!$G$5:$G$500,"E",'LANÇAMENTOS DIÁRIOS'!$C$5:$C$500,$A23,'LANÇAMENTOS DIÁRIOS'!$O$5:$O$500,"&lt;=109699",'LANÇAMENTOS DIÁRIOS'!$P$5:$P$500,"&gt;=109600")&gt;0,"X","")</f>
      </c>
      <c r="AR23" s="56" t="str">
        <f>IF(COUNTIFS('LANÇAMENTOS DIÁRIOS'!$G$5:$G$500,"E",'LANÇAMENTOS DIÁRIOS'!$C$5:$C$500,$A23,'LANÇAMENTOS DIÁRIOS'!$O$5:$O$500,"&lt;=109799",'LANÇAMENTOS DIÁRIOS'!$P$5:$P$500,"&gt;=109700")&gt;0,"X","")</f>
      </c>
      <c r="AS23" s="56" t="str">
        <f>IF(COUNTIFS('LANÇAMENTOS DIÁRIOS'!$G$5:$G$500,"E",'LANÇAMENTOS DIÁRIOS'!$C$5:$C$500,$A23,'LANÇAMENTOS DIÁRIOS'!$O$5:$O$500,"&lt;=109899",'LANÇAMENTOS DIÁRIOS'!$P$5:$P$500,"&gt;=109800")&gt;0,"X","")</f>
      </c>
      <c r="AT23" s="56" t="str">
        <f>IF(COUNTIFS('LANÇAMENTOS DIÁRIOS'!$G$5:$G$500,"E",'LANÇAMENTOS DIÁRIOS'!$C$5:$C$500,$A23,'LANÇAMENTOS DIÁRIOS'!$O$5:$O$500,"&lt;=109999",'LANÇAMENTOS DIÁRIOS'!$P$5:$P$500,"&gt;=109900")&gt;0,"X","")</f>
      </c>
      <c r="AU23" s="56" t="str">
        <f>IF(COUNTIFS('LANÇAMENTOS DIÁRIOS'!$G$5:$G$500,"E",'LANÇAMENTOS DIÁRIOS'!$C$5:$C$500,$A23,'LANÇAMENTOS DIÁRIOS'!$O$5:$O$500,"&lt;=110099",'LANÇAMENTOS DIÁRIOS'!$P$5:$P$500,"&gt;=110000")&gt;0,"X","")</f>
      </c>
      <c r="AV23" s="56" t="str">
        <f>IF(COUNTIFS('LANÇAMENTOS DIÁRIOS'!$G$5:$G$500,"E",'LANÇAMENTOS DIÁRIOS'!$C$5:$C$500,$A23,'LANÇAMENTOS DIÁRIOS'!$O$5:$O$500,"&lt;=110199",'LANÇAMENTOS DIÁRIOS'!$P$5:$P$500,"&gt;=110100")&gt;0,"X","")</f>
      </c>
      <c r="AW23" s="56" t="str">
        <f>IF(COUNTIFS('LANÇAMENTOS DIÁRIOS'!$G$5:$G$500,"E",'LANÇAMENTOS DIÁRIOS'!$C$5:$C$500,$A23,'LANÇAMENTOS DIÁRIOS'!$O$5:$O$500,"&lt;=110299",'LANÇAMENTOS DIÁRIOS'!$P$5:$P$500,"&gt;=110200")&gt;0,"X","")</f>
      </c>
      <c r="AX23" s="56" t="str">
        <f>IF(COUNTIFS('LANÇAMENTOS DIÁRIOS'!$G$5:$G$500,"E",'LANÇAMENTOS DIÁRIOS'!$C$5:$C$500,$A23,'LANÇAMENTOS DIÁRIOS'!$O$5:$O$500,"&lt;=110399",'LANÇAMENTOS DIÁRIOS'!$P$5:$P$500,"&gt;=110300")&gt;0,"X","")</f>
      </c>
      <c r="AY23" s="56" t="str">
        <f>IF(COUNTIFS('LANÇAMENTOS DIÁRIOS'!$G$5:$G$500,"E",'LANÇAMENTOS DIÁRIOS'!$C$5:$C$500,$A23,'LANÇAMENTOS DIÁRIOS'!$O$5:$O$500,"&lt;=110499",'LANÇAMENTOS DIÁRIOS'!$P$5:$P$500,"&gt;=110400")&gt;0,"X","")</f>
      </c>
      <c r="AZ23" s="56" t="str">
        <f>IF(COUNTIFS('LANÇAMENTOS DIÁRIOS'!$G$5:$G$500,"E",'LANÇAMENTOS DIÁRIOS'!$C$5:$C$500,$A23,'LANÇAMENTOS DIÁRIOS'!$O$5:$O$500,"&lt;=110599",'LANÇAMENTOS DIÁRIOS'!$P$5:$P$500,"&gt;=110500")&gt;0,"X","")</f>
      </c>
      <c r="BA23" s="56" t="str">
        <f>IF(COUNTIFS('LANÇAMENTOS DIÁRIOS'!$G$5:$G$500,"E",'LANÇAMENTOS DIÁRIOS'!$C$5:$C$500,$A23,'LANÇAMENTOS DIÁRIOS'!$O$5:$O$500,"&lt;=110699",'LANÇAMENTOS DIÁRIOS'!$P$5:$P$500,"&gt;=110600")&gt;0,"X","")</f>
      </c>
      <c r="BB23" s="56" t="str">
        <f>IF(COUNTIFS('LANÇAMENTOS DIÁRIOS'!$G$5:$G$500,"E",'LANÇAMENTOS DIÁRIOS'!$C$5:$C$500,$A23,'LANÇAMENTOS DIÁRIOS'!$O$5:$O$500,"&lt;=110799",'LANÇAMENTOS DIÁRIOS'!$P$5:$P$500,"&gt;=110700")&gt;0,"X","")</f>
      </c>
      <c r="BC23" s="56" t="str">
        <f>IF(COUNTIFS('LANÇAMENTOS DIÁRIOS'!$G$5:$G$500,"E",'LANÇAMENTOS DIÁRIOS'!$C$5:$C$500,$A23,'LANÇAMENTOS DIÁRIOS'!$O$5:$O$500,"&lt;=110899",'LANÇAMENTOS DIÁRIOS'!$P$5:$P$500,"&gt;=110800")&gt;0,"X","")</f>
      </c>
      <c r="BD23" s="56" t="str">
        <f>IF(COUNTIFS('LANÇAMENTOS DIÁRIOS'!$G$5:$G$500,"E",'LANÇAMENTOS DIÁRIOS'!$C$5:$C$500,$A23,'LANÇAMENTOS DIÁRIOS'!$O$5:$O$500,"&lt;=110999",'LANÇAMENTOS DIÁRIOS'!$P$5:$P$500,"&gt;=110900")&gt;0,"X","")</f>
      </c>
      <c r="BE23" s="56" t="str">
        <f>IF(COUNTIFS('LANÇAMENTOS DIÁRIOS'!$G$5:$G$500,"E",'LANÇAMENTOS DIÁRIOS'!$C$5:$C$500,$A23,'LANÇAMENTOS DIÁRIOS'!$O$5:$O$500,"&lt;=111099",'LANÇAMENTOS DIÁRIOS'!$P$5:$P$500,"&gt;=111000")&gt;0,"X","")</f>
      </c>
      <c r="BF23" s="56" t="str">
        <f>IF(COUNTIFS('LANÇAMENTOS DIÁRIOS'!$G$5:$G$500,"E",'LANÇAMENTOS DIÁRIOS'!$C$5:$C$500,$A23,'LANÇAMENTOS DIÁRIOS'!$O$5:$O$500,"&lt;=111199",'LANÇAMENTOS DIÁRIOS'!$P$5:$P$500,"&gt;=111100")&gt;0,"X","")</f>
      </c>
      <c r="BG23" s="56" t="str">
        <f>IF(COUNTIFS('LANÇAMENTOS DIÁRIOS'!$G$5:$G$500,"E",'LANÇAMENTOS DIÁRIOS'!$C$5:$C$500,$A23,'LANÇAMENTOS DIÁRIOS'!$O$5:$O$500,"&lt;=111299",'LANÇAMENTOS DIÁRIOS'!$P$5:$P$500,"&gt;=111200")&gt;0,"X","")</f>
      </c>
      <c r="BH23" s="56" t="str">
        <f>IF(COUNTIFS('LANÇAMENTOS DIÁRIOS'!$G$5:$G$500,"E",'LANÇAMENTOS DIÁRIOS'!$C$5:$C$500,$A23,'LANÇAMENTOS DIÁRIOS'!$O$5:$O$500,"&lt;=111399",'LANÇAMENTOS DIÁRIOS'!$P$5:$P$500,"&gt;=111300")&gt;0,"X","")</f>
      </c>
      <c r="BI23" s="56" t="str">
        <f>IF(COUNTIFS('LANÇAMENTOS DIÁRIOS'!$G$5:$G$500,"E",'LANÇAMENTOS DIÁRIOS'!$C$5:$C$500,$A23,'LANÇAMENTOS DIÁRIOS'!$O$5:$O$500,"&lt;=111499",'LANÇAMENTOS DIÁRIOS'!$P$5:$P$500,"&gt;=111400")&gt;0,"X","")</f>
      </c>
      <c r="BJ23" s="56" t="str">
        <f>IF(COUNTIFS('LANÇAMENTOS DIÁRIOS'!$G$5:$G$500,"E",'LANÇAMENTOS DIÁRIOS'!$C$5:$C$500,$A23,'LANÇAMENTOS DIÁRIOS'!$O$5:$O$500,"&lt;=111500",'LANÇAMENTOS DIÁRIOS'!$P$5:$P$500,"&gt;=111500")&gt;0,"X","")</f>
      </c>
    </row>
    <row r="24" ht="21" customHeight="1">
      <c r="A24" s="60" t="str">
        <v>Terraplenagem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</row>
    <row r="25" ht="19" customHeight="1">
      <c r="A25" s="68" t="str">
        <v>Desmatamento e limpeza do terreno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</row>
    <row r="26">
      <c r="A26" s="51" t="str">
        <v>Limpeza do terreno com destocamento de árvore d=&lt;0,15m</v>
      </c>
      <c r="B26" s="56" t="str">
        <f>IF(COUNTIFS('LANÇAMENTOS DIÁRIOS'!$G$5:$G$500,"E",'LANÇAMENTOS DIÁRIOS'!$C$5:$C$500,$A26,'LANÇAMENTOS DIÁRIOS'!$O$5:$O$500,"&lt;=105599",'LANÇAMENTOS DIÁRIOS'!$P$5:$P$500,"&gt;=105500")&gt;0,"X","")</f>
      </c>
      <c r="C26" s="56" t="str">
        <f>IF(COUNTIFS('LANÇAMENTOS DIÁRIOS'!$G$5:$G$500,"E",'LANÇAMENTOS DIÁRIOS'!$C$5:$C$500,$A26,'LANÇAMENTOS DIÁRIOS'!$O$5:$O$500,"&lt;=105699",'LANÇAMENTOS DIÁRIOS'!$P$5:$P$500,"&gt;=105600")&gt;0,"X","")</f>
      </c>
      <c r="D26" s="56" t="str">
        <f>IF(COUNTIFS('LANÇAMENTOS DIÁRIOS'!$G$5:$G$500,"E",'LANÇAMENTOS DIÁRIOS'!$C$5:$C$500,$A26,'LANÇAMENTOS DIÁRIOS'!$O$5:$O$500,"&lt;=105799",'LANÇAMENTOS DIÁRIOS'!$P$5:$P$500,"&gt;=105700")&gt;0,"X","")</f>
      </c>
      <c r="E26" s="56" t="str">
        <f>IF(COUNTIFS('LANÇAMENTOS DIÁRIOS'!$G$5:$G$500,"E",'LANÇAMENTOS DIÁRIOS'!$C$5:$C$500,$A26,'LANÇAMENTOS DIÁRIOS'!$O$5:$O$500,"&lt;=105899",'LANÇAMENTOS DIÁRIOS'!$P$5:$P$500,"&gt;=105800")&gt;0,"X","")</f>
      </c>
      <c r="F26" s="56" t="str">
        <f>IF(COUNTIFS('LANÇAMENTOS DIÁRIOS'!$G$5:$G$500,"E",'LANÇAMENTOS DIÁRIOS'!$C$5:$C$500,$A26,'LANÇAMENTOS DIÁRIOS'!$O$5:$O$500,"&lt;=105999",'LANÇAMENTOS DIÁRIOS'!$P$5:$P$500,"&gt;=105900")&gt;0,"X","")</f>
      </c>
      <c r="G26" s="56" t="str">
        <f>IF(COUNTIFS('LANÇAMENTOS DIÁRIOS'!$G$5:$G$500,"E",'LANÇAMENTOS DIÁRIOS'!$C$5:$C$500,$A26,'LANÇAMENTOS DIÁRIOS'!$O$5:$O$500,"&lt;=106099",'LANÇAMENTOS DIÁRIOS'!$P$5:$P$500,"&gt;=106000")&gt;0,"X","")</f>
      </c>
      <c r="H26" s="56" t="str">
        <f>IF(COUNTIFS('LANÇAMENTOS DIÁRIOS'!$G$5:$G$500,"E",'LANÇAMENTOS DIÁRIOS'!$C$5:$C$500,$A26,'LANÇAMENTOS DIÁRIOS'!$O$5:$O$500,"&lt;=106199",'LANÇAMENTOS DIÁRIOS'!$P$5:$P$500,"&gt;=106100")&gt;0,"X","")</f>
      </c>
      <c r="I26" s="56" t="str">
        <f>IF(COUNTIFS('LANÇAMENTOS DIÁRIOS'!$G$5:$G$500,"E",'LANÇAMENTOS DIÁRIOS'!$C$5:$C$500,$A26,'LANÇAMENTOS DIÁRIOS'!$O$5:$O$500,"&lt;=106299",'LANÇAMENTOS DIÁRIOS'!$P$5:$P$500,"&gt;=106200")&gt;0,"X","")</f>
      </c>
      <c r="J26" s="56" t="str">
        <f>IF(COUNTIFS('LANÇAMENTOS DIÁRIOS'!$G$5:$G$500,"E",'LANÇAMENTOS DIÁRIOS'!$C$5:$C$500,$A26,'LANÇAMENTOS DIÁRIOS'!$O$5:$O$500,"&lt;=106399",'LANÇAMENTOS DIÁRIOS'!$P$5:$P$500,"&gt;=106300")&gt;0,"X","")</f>
      </c>
      <c r="K26" s="56" t="str">
        <f>IF(COUNTIFS('LANÇAMENTOS DIÁRIOS'!$G$5:$G$500,"E",'LANÇAMENTOS DIÁRIOS'!$C$5:$C$500,$A26,'LANÇAMENTOS DIÁRIOS'!$O$5:$O$500,"&lt;=106499",'LANÇAMENTOS DIÁRIOS'!$P$5:$P$500,"&gt;=106400")&gt;0,"X","")</f>
      </c>
      <c r="L26" s="56" t="str">
        <f>IF(COUNTIFS('LANÇAMENTOS DIÁRIOS'!$G$5:$G$500,"E",'LANÇAMENTOS DIÁRIOS'!$C$5:$C$500,$A26,'LANÇAMENTOS DIÁRIOS'!$O$5:$O$500,"&lt;=106599",'LANÇAMENTOS DIÁRIOS'!$P$5:$P$500,"&gt;=106500")&gt;0,"X","")</f>
      </c>
      <c r="M26" s="56" t="str">
        <f>IF(COUNTIFS('LANÇAMENTOS DIÁRIOS'!$G$5:$G$500,"E",'LANÇAMENTOS DIÁRIOS'!$C$5:$C$500,$A26,'LANÇAMENTOS DIÁRIOS'!$O$5:$O$500,"&lt;=106699",'LANÇAMENTOS DIÁRIOS'!$P$5:$P$500,"&gt;=106600")&gt;0,"X","")</f>
      </c>
      <c r="N26" s="56" t="str">
        <f>IF(COUNTIFS('LANÇAMENTOS DIÁRIOS'!$G$5:$G$500,"E",'LANÇAMENTOS DIÁRIOS'!$C$5:$C$500,$A26,'LANÇAMENTOS DIÁRIOS'!$O$5:$O$500,"&lt;=106799",'LANÇAMENTOS DIÁRIOS'!$P$5:$P$500,"&gt;=106700")&gt;0,"X","")</f>
      </c>
      <c r="O26" s="56" t="str">
        <f>IF(COUNTIFS('LANÇAMENTOS DIÁRIOS'!$G$5:$G$500,"E",'LANÇAMENTOS DIÁRIOS'!$C$5:$C$500,$A26,'LANÇAMENTOS DIÁRIOS'!$O$5:$O$500,"&lt;=106899",'LANÇAMENTOS DIÁRIOS'!$P$5:$P$500,"&gt;=106800")&gt;0,"X","")</f>
      </c>
      <c r="P26" s="56" t="str">
        <f>IF(COUNTIFS('LANÇAMENTOS DIÁRIOS'!$G$5:$G$500,"E",'LANÇAMENTOS DIÁRIOS'!$C$5:$C$500,$A26,'LANÇAMENTOS DIÁRIOS'!$O$5:$O$500,"&lt;=106999",'LANÇAMENTOS DIÁRIOS'!$P$5:$P$500,"&gt;=106900")&gt;0,"X","")</f>
      </c>
      <c r="Q26" s="56" t="str">
        <f>IF(COUNTIFS('LANÇAMENTOS DIÁRIOS'!$G$5:$G$500,"E",'LANÇAMENTOS DIÁRIOS'!$C$5:$C$500,$A26,'LANÇAMENTOS DIÁRIOS'!$O$5:$O$500,"&lt;=107099",'LANÇAMENTOS DIÁRIOS'!$P$5:$P$500,"&gt;=107000")&gt;0,"X","")</f>
      </c>
      <c r="R26" s="56" t="str">
        <f>IF(COUNTIFS('LANÇAMENTOS DIÁRIOS'!$G$5:$G$500,"E",'LANÇAMENTOS DIÁRIOS'!$C$5:$C$500,$A26,'LANÇAMENTOS DIÁRIOS'!$O$5:$O$500,"&lt;=107199",'LANÇAMENTOS DIÁRIOS'!$P$5:$P$500,"&gt;=107100")&gt;0,"X","")</f>
      </c>
      <c r="S26" s="56" t="str">
        <f>IF(COUNTIFS('LANÇAMENTOS DIÁRIOS'!$G$5:$G$500,"E",'LANÇAMENTOS DIÁRIOS'!$C$5:$C$500,$A26,'LANÇAMENTOS DIÁRIOS'!$O$5:$O$500,"&lt;=107299",'LANÇAMENTOS DIÁRIOS'!$P$5:$P$500,"&gt;=107200")&gt;0,"X","")</f>
      </c>
      <c r="T26" s="56" t="str">
        <f>IF(COUNTIFS('LANÇAMENTOS DIÁRIOS'!$G$5:$G$500,"E",'LANÇAMENTOS DIÁRIOS'!$C$5:$C$500,$A26,'LANÇAMENTOS DIÁRIOS'!$O$5:$O$500,"&lt;=107399",'LANÇAMENTOS DIÁRIOS'!$P$5:$P$500,"&gt;=107300")&gt;0,"X","")</f>
      </c>
      <c r="U26" s="56" t="str">
        <f>IF(COUNTIFS('LANÇAMENTOS DIÁRIOS'!$G$5:$G$500,"E",'LANÇAMENTOS DIÁRIOS'!$C$5:$C$500,$A26,'LANÇAMENTOS DIÁRIOS'!$O$5:$O$500,"&lt;=107499",'LANÇAMENTOS DIÁRIOS'!$P$5:$P$500,"&gt;=107400")&gt;0,"X","")</f>
      </c>
      <c r="V26" s="56" t="str">
        <f>IF(COUNTIFS('LANÇAMENTOS DIÁRIOS'!$G$5:$G$500,"E",'LANÇAMENTOS DIÁRIOS'!$C$5:$C$500,$A26,'LANÇAMENTOS DIÁRIOS'!$O$5:$O$500,"&lt;=107599",'LANÇAMENTOS DIÁRIOS'!$P$5:$P$500,"&gt;=107500")&gt;0,"X","")</f>
      </c>
      <c r="W26" s="56" t="str">
        <f>IF(COUNTIFS('LANÇAMENTOS DIÁRIOS'!$G$5:$G$500,"E",'LANÇAMENTOS DIÁRIOS'!$C$5:$C$500,$A26,'LANÇAMENTOS DIÁRIOS'!$O$5:$O$500,"&lt;=107699",'LANÇAMENTOS DIÁRIOS'!$P$5:$P$500,"&gt;=107600")&gt;0,"X","")</f>
      </c>
      <c r="X26" s="56" t="str">
        <f>IF(COUNTIFS('LANÇAMENTOS DIÁRIOS'!$G$5:$G$500,"E",'LANÇAMENTOS DIÁRIOS'!$C$5:$C$500,$A26,'LANÇAMENTOS DIÁRIOS'!$O$5:$O$500,"&lt;=107799",'LANÇAMENTOS DIÁRIOS'!$P$5:$P$500,"&gt;=107700")&gt;0,"X","")</f>
      </c>
      <c r="Y26" s="56" t="str">
        <f>IF(COUNTIFS('LANÇAMENTOS DIÁRIOS'!$G$5:$G$500,"E",'LANÇAMENTOS DIÁRIOS'!$C$5:$C$500,$A26,'LANÇAMENTOS DIÁRIOS'!$O$5:$O$500,"&lt;=107899",'LANÇAMENTOS DIÁRIOS'!$P$5:$P$500,"&gt;=107800")&gt;0,"X","")</f>
      </c>
      <c r="Z26" s="56" t="str">
        <f>IF(COUNTIFS('LANÇAMENTOS DIÁRIOS'!$G$5:$G$500,"E",'LANÇAMENTOS DIÁRIOS'!$C$5:$C$500,$A26,'LANÇAMENTOS DIÁRIOS'!$O$5:$O$500,"&lt;=107999",'LANÇAMENTOS DIÁRIOS'!$P$5:$P$500,"&gt;=107900")&gt;0,"X","")</f>
      </c>
      <c r="AA26" s="56" t="str">
        <f>IF(COUNTIFS('LANÇAMENTOS DIÁRIOS'!$G$5:$G$500,"E",'LANÇAMENTOS DIÁRIOS'!$C$5:$C$500,$A26,'LANÇAMENTOS DIÁRIOS'!$O$5:$O$500,"&lt;=108099",'LANÇAMENTOS DIÁRIOS'!$P$5:$P$500,"&gt;=108000")&gt;0,"X","")</f>
      </c>
      <c r="AB26" s="56" t="str">
        <f>IF(COUNTIFS('LANÇAMENTOS DIÁRIOS'!$G$5:$G$500,"E",'LANÇAMENTOS DIÁRIOS'!$C$5:$C$500,$A26,'LANÇAMENTOS DIÁRIOS'!$O$5:$O$500,"&lt;=108199",'LANÇAMENTOS DIÁRIOS'!$P$5:$P$500,"&gt;=108100")&gt;0,"X","")</f>
      </c>
      <c r="AC26" s="56" t="str">
        <f>IF(COUNTIFS('LANÇAMENTOS DIÁRIOS'!$G$5:$G$500,"E",'LANÇAMENTOS DIÁRIOS'!$C$5:$C$500,$A26,'LANÇAMENTOS DIÁRIOS'!$O$5:$O$500,"&lt;=108299",'LANÇAMENTOS DIÁRIOS'!$P$5:$P$500,"&gt;=108200")&gt;0,"X","")</f>
      </c>
      <c r="AD26" s="56" t="str">
        <f>IF(COUNTIFS('LANÇAMENTOS DIÁRIOS'!$G$5:$G$500,"E",'LANÇAMENTOS DIÁRIOS'!$C$5:$C$500,$A26,'LANÇAMENTOS DIÁRIOS'!$O$5:$O$500,"&lt;=108399",'LANÇAMENTOS DIÁRIOS'!$P$5:$P$500,"&gt;=108300")&gt;0,"X","")</f>
      </c>
      <c r="AE26" s="56" t="str">
        <f>IF(COUNTIFS('LANÇAMENTOS DIÁRIOS'!$G$5:$G$500,"E",'LANÇAMENTOS DIÁRIOS'!$C$5:$C$500,$A26,'LANÇAMENTOS DIÁRIOS'!$O$5:$O$500,"&lt;=108499",'LANÇAMENTOS DIÁRIOS'!$P$5:$P$500,"&gt;=108400")&gt;0,"X","")</f>
        <v>X</v>
      </c>
      <c r="AF26" s="56" t="str">
        <f>IF(COUNTIFS('LANÇAMENTOS DIÁRIOS'!$G$5:$G$500,"E",'LANÇAMENTOS DIÁRIOS'!$C$5:$C$500,$A26,'LANÇAMENTOS DIÁRIOS'!$O$5:$O$500,"&lt;=108599",'LANÇAMENTOS DIÁRIOS'!$P$5:$P$500,"&gt;=108500")&gt;0,"X","")</f>
      </c>
      <c r="AG26" s="56" t="str">
        <f>IF(COUNTIFS('LANÇAMENTOS DIÁRIOS'!$G$5:$G$500,"E",'LANÇAMENTOS DIÁRIOS'!$C$5:$C$500,$A26,'LANÇAMENTOS DIÁRIOS'!$O$5:$O$500,"&lt;=108699",'LANÇAMENTOS DIÁRIOS'!$P$5:$P$500,"&gt;=108600")&gt;0,"X","")</f>
      </c>
      <c r="AH26" s="56" t="str">
        <f>IF(COUNTIFS('LANÇAMENTOS DIÁRIOS'!$G$5:$G$500,"E",'LANÇAMENTOS DIÁRIOS'!$C$5:$C$500,$A26,'LANÇAMENTOS DIÁRIOS'!$O$5:$O$500,"&lt;=108799",'LANÇAMENTOS DIÁRIOS'!$P$5:$P$500,"&gt;=108700")&gt;0,"X","")</f>
      </c>
      <c r="AI26" s="56" t="str">
        <f>IF(COUNTIFS('LANÇAMENTOS DIÁRIOS'!$G$5:$G$500,"E",'LANÇAMENTOS DIÁRIOS'!$C$5:$C$500,$A26,'LANÇAMENTOS DIÁRIOS'!$O$5:$O$500,"&lt;=108899",'LANÇAMENTOS DIÁRIOS'!$P$5:$P$500,"&gt;=108800")&gt;0,"X","")</f>
      </c>
      <c r="AJ26" s="56" t="str">
        <f>IF(COUNTIFS('LANÇAMENTOS DIÁRIOS'!$G$5:$G$500,"E",'LANÇAMENTOS DIÁRIOS'!$C$5:$C$500,$A26,'LANÇAMENTOS DIÁRIOS'!$O$5:$O$500,"&lt;=108999",'LANÇAMENTOS DIÁRIOS'!$P$5:$P$500,"&gt;=108900")&gt;0,"X","")</f>
      </c>
      <c r="AK26" s="56" t="str">
        <f>IF(COUNTIFS('LANÇAMENTOS DIÁRIOS'!$G$5:$G$500,"E",'LANÇAMENTOS DIÁRIOS'!$C$5:$C$500,$A26,'LANÇAMENTOS DIÁRIOS'!$O$5:$O$500,"&lt;=109099",'LANÇAMENTOS DIÁRIOS'!$P$5:$P$500,"&gt;=109000")&gt;0,"X","")</f>
      </c>
      <c r="AL26" s="56" t="str">
        <f>IF(COUNTIFS('LANÇAMENTOS DIÁRIOS'!$G$5:$G$500,"E",'LANÇAMENTOS DIÁRIOS'!$C$5:$C$500,$A26,'LANÇAMENTOS DIÁRIOS'!$O$5:$O$500,"&lt;=109199",'LANÇAMENTOS DIÁRIOS'!$P$5:$P$500,"&gt;=109100")&gt;0,"X","")</f>
      </c>
      <c r="AM26" s="56" t="str">
        <f>IF(COUNTIFS('LANÇAMENTOS DIÁRIOS'!$G$5:$G$500,"E",'LANÇAMENTOS DIÁRIOS'!$C$5:$C$500,$A26,'LANÇAMENTOS DIÁRIOS'!$O$5:$O$500,"&lt;=109299",'LANÇAMENTOS DIÁRIOS'!$P$5:$P$500,"&gt;=109200")&gt;0,"X","")</f>
      </c>
      <c r="AN26" s="56" t="str">
        <f>IF(COUNTIFS('LANÇAMENTOS DIÁRIOS'!$G$5:$G$500,"E",'LANÇAMENTOS DIÁRIOS'!$C$5:$C$500,$A26,'LANÇAMENTOS DIÁRIOS'!$O$5:$O$500,"&lt;=109399",'LANÇAMENTOS DIÁRIOS'!$P$5:$P$500,"&gt;=109300")&gt;0,"X","")</f>
      </c>
      <c r="AO26" s="56" t="str">
        <f>IF(COUNTIFS('LANÇAMENTOS DIÁRIOS'!$G$5:$G$500,"E",'LANÇAMENTOS DIÁRIOS'!$C$5:$C$500,$A26,'LANÇAMENTOS DIÁRIOS'!$O$5:$O$500,"&lt;=109499",'LANÇAMENTOS DIÁRIOS'!$P$5:$P$500,"&gt;=109400")&gt;0,"X","")</f>
      </c>
      <c r="AP26" s="56" t="str">
        <f>IF(COUNTIFS('LANÇAMENTOS DIÁRIOS'!$G$5:$G$500,"E",'LANÇAMENTOS DIÁRIOS'!$C$5:$C$500,$A26,'LANÇAMENTOS DIÁRIOS'!$O$5:$O$500,"&lt;=109599",'LANÇAMENTOS DIÁRIOS'!$P$5:$P$500,"&gt;=109500")&gt;0,"X","")</f>
      </c>
      <c r="AQ26" s="56" t="str">
        <f>IF(COUNTIFS('LANÇAMENTOS DIÁRIOS'!$G$5:$G$500,"E",'LANÇAMENTOS DIÁRIOS'!$C$5:$C$500,$A26,'LANÇAMENTOS DIÁRIOS'!$O$5:$O$500,"&lt;=109699",'LANÇAMENTOS DIÁRIOS'!$P$5:$P$500,"&gt;=109600")&gt;0,"X","")</f>
      </c>
      <c r="AR26" s="56" t="str">
        <f>IF(COUNTIFS('LANÇAMENTOS DIÁRIOS'!$G$5:$G$500,"E",'LANÇAMENTOS DIÁRIOS'!$C$5:$C$500,$A26,'LANÇAMENTOS DIÁRIOS'!$O$5:$O$500,"&lt;=109799",'LANÇAMENTOS DIÁRIOS'!$P$5:$P$500,"&gt;=109700")&gt;0,"X","")</f>
      </c>
      <c r="AS26" s="56" t="str">
        <f>IF(COUNTIFS('LANÇAMENTOS DIÁRIOS'!$G$5:$G$500,"E",'LANÇAMENTOS DIÁRIOS'!$C$5:$C$500,$A26,'LANÇAMENTOS DIÁRIOS'!$O$5:$O$500,"&lt;=109899",'LANÇAMENTOS DIÁRIOS'!$P$5:$P$500,"&gt;=109800")&gt;0,"X","")</f>
      </c>
      <c r="AT26" s="56" t="str">
        <f>IF(COUNTIFS('LANÇAMENTOS DIÁRIOS'!$G$5:$G$500,"E",'LANÇAMENTOS DIÁRIOS'!$C$5:$C$500,$A26,'LANÇAMENTOS DIÁRIOS'!$O$5:$O$500,"&lt;=109999",'LANÇAMENTOS DIÁRIOS'!$P$5:$P$500,"&gt;=109900")&gt;0,"X","")</f>
      </c>
      <c r="AU26" s="56" t="str">
        <f>IF(COUNTIFS('LANÇAMENTOS DIÁRIOS'!$G$5:$G$500,"E",'LANÇAMENTOS DIÁRIOS'!$C$5:$C$500,$A26,'LANÇAMENTOS DIÁRIOS'!$O$5:$O$500,"&lt;=110099",'LANÇAMENTOS DIÁRIOS'!$P$5:$P$500,"&gt;=110000")&gt;0,"X","")</f>
      </c>
      <c r="AV26" s="56" t="str">
        <f>IF(COUNTIFS('LANÇAMENTOS DIÁRIOS'!$G$5:$G$500,"E",'LANÇAMENTOS DIÁRIOS'!$C$5:$C$500,$A26,'LANÇAMENTOS DIÁRIOS'!$O$5:$O$500,"&lt;=110199",'LANÇAMENTOS DIÁRIOS'!$P$5:$P$500,"&gt;=110100")&gt;0,"X","")</f>
      </c>
      <c r="AW26" s="56" t="str">
        <f>IF(COUNTIFS('LANÇAMENTOS DIÁRIOS'!$G$5:$G$500,"E",'LANÇAMENTOS DIÁRIOS'!$C$5:$C$500,$A26,'LANÇAMENTOS DIÁRIOS'!$O$5:$O$500,"&lt;=110299",'LANÇAMENTOS DIÁRIOS'!$P$5:$P$500,"&gt;=110200")&gt;0,"X","")</f>
      </c>
      <c r="AX26" s="56" t="str">
        <f>IF(COUNTIFS('LANÇAMENTOS DIÁRIOS'!$G$5:$G$500,"E",'LANÇAMENTOS DIÁRIOS'!$C$5:$C$500,$A26,'LANÇAMENTOS DIÁRIOS'!$O$5:$O$500,"&lt;=110399",'LANÇAMENTOS DIÁRIOS'!$P$5:$P$500,"&gt;=110300")&gt;0,"X","")</f>
      </c>
      <c r="AY26" s="56" t="str">
        <f>IF(COUNTIFS('LANÇAMENTOS DIÁRIOS'!$G$5:$G$500,"E",'LANÇAMENTOS DIÁRIOS'!$C$5:$C$500,$A26,'LANÇAMENTOS DIÁRIOS'!$O$5:$O$500,"&lt;=110499",'LANÇAMENTOS DIÁRIOS'!$P$5:$P$500,"&gt;=110400")&gt;0,"X","")</f>
      </c>
      <c r="AZ26" s="56" t="str">
        <f>IF(COUNTIFS('LANÇAMENTOS DIÁRIOS'!$G$5:$G$500,"E",'LANÇAMENTOS DIÁRIOS'!$C$5:$C$500,$A26,'LANÇAMENTOS DIÁRIOS'!$O$5:$O$500,"&lt;=110599",'LANÇAMENTOS DIÁRIOS'!$P$5:$P$500,"&gt;=110500")&gt;0,"X","")</f>
      </c>
      <c r="BA26" s="56" t="str">
        <f>IF(COUNTIFS('LANÇAMENTOS DIÁRIOS'!$G$5:$G$500,"E",'LANÇAMENTOS DIÁRIOS'!$C$5:$C$500,$A26,'LANÇAMENTOS DIÁRIOS'!$O$5:$O$500,"&lt;=110699",'LANÇAMENTOS DIÁRIOS'!$P$5:$P$500,"&gt;=110600")&gt;0,"X","")</f>
      </c>
      <c r="BB26" s="56" t="str">
        <f>IF(COUNTIFS('LANÇAMENTOS DIÁRIOS'!$G$5:$G$500,"E",'LANÇAMENTOS DIÁRIOS'!$C$5:$C$500,$A26,'LANÇAMENTOS DIÁRIOS'!$O$5:$O$500,"&lt;=110799",'LANÇAMENTOS DIÁRIOS'!$P$5:$P$500,"&gt;=110700")&gt;0,"X","")</f>
      </c>
      <c r="BC26" s="56" t="str">
        <f>IF(COUNTIFS('LANÇAMENTOS DIÁRIOS'!$G$5:$G$500,"E",'LANÇAMENTOS DIÁRIOS'!$C$5:$C$500,$A26,'LANÇAMENTOS DIÁRIOS'!$O$5:$O$500,"&lt;=110899",'LANÇAMENTOS DIÁRIOS'!$P$5:$P$500,"&gt;=110800")&gt;0,"X","")</f>
      </c>
      <c r="BD26" s="56" t="str">
        <f>IF(COUNTIFS('LANÇAMENTOS DIÁRIOS'!$G$5:$G$500,"E",'LANÇAMENTOS DIÁRIOS'!$C$5:$C$500,$A26,'LANÇAMENTOS DIÁRIOS'!$O$5:$O$500,"&lt;=110999",'LANÇAMENTOS DIÁRIOS'!$P$5:$P$500,"&gt;=110900")&gt;0,"X","")</f>
      </c>
      <c r="BE26" s="56" t="str">
        <f>IF(COUNTIFS('LANÇAMENTOS DIÁRIOS'!$G$5:$G$500,"E",'LANÇAMENTOS DIÁRIOS'!$C$5:$C$500,$A26,'LANÇAMENTOS DIÁRIOS'!$O$5:$O$500,"&lt;=111099",'LANÇAMENTOS DIÁRIOS'!$P$5:$P$500,"&gt;=111000")&gt;0,"X","")</f>
      </c>
      <c r="BF26" s="56" t="str">
        <f>IF(COUNTIFS('LANÇAMENTOS DIÁRIOS'!$G$5:$G$500,"E",'LANÇAMENTOS DIÁRIOS'!$C$5:$C$500,$A26,'LANÇAMENTOS DIÁRIOS'!$O$5:$O$500,"&lt;=111199",'LANÇAMENTOS DIÁRIOS'!$P$5:$P$500,"&gt;=111100")&gt;0,"X","")</f>
      </c>
      <c r="BG26" s="56" t="str">
        <f>IF(COUNTIFS('LANÇAMENTOS DIÁRIOS'!$G$5:$G$500,"E",'LANÇAMENTOS DIÁRIOS'!$C$5:$C$500,$A26,'LANÇAMENTOS DIÁRIOS'!$O$5:$O$500,"&lt;=111299",'LANÇAMENTOS DIÁRIOS'!$P$5:$P$500,"&gt;=111200")&gt;0,"X","")</f>
      </c>
      <c r="BH26" s="56" t="str">
        <f>IF(COUNTIFS('LANÇAMENTOS DIÁRIOS'!$G$5:$G$500,"E",'LANÇAMENTOS DIÁRIOS'!$C$5:$C$500,$A26,'LANÇAMENTOS DIÁRIOS'!$O$5:$O$500,"&lt;=111399",'LANÇAMENTOS DIÁRIOS'!$P$5:$P$500,"&gt;=111300")&gt;0,"X","")</f>
      </c>
      <c r="BI26" s="56" t="str">
        <f>IF(COUNTIFS('LANÇAMENTOS DIÁRIOS'!$G$5:$G$500,"E",'LANÇAMENTOS DIÁRIOS'!$C$5:$C$500,$A26,'LANÇAMENTOS DIÁRIOS'!$O$5:$O$500,"&lt;=111499",'LANÇAMENTOS DIÁRIOS'!$P$5:$P$500,"&gt;=111400")&gt;0,"X","")</f>
      </c>
      <c r="BJ26" s="56" t="str">
        <f>IF(COUNTIFS('LANÇAMENTOS DIÁRIOS'!$G$5:$G$500,"E",'LANÇAMENTOS DIÁRIOS'!$C$5:$C$500,$A26,'LANÇAMENTOS DIÁRIOS'!$O$5:$O$500,"&lt;=111500",'LANÇAMENTOS DIÁRIOS'!$P$5:$P$500,"&gt;=111500")&gt;0,"X","")</f>
      </c>
    </row>
    <row r="27">
      <c r="A27" s="51" t="str">
        <v>Destocamento de árvore 0,10m&lt;d&lt;0,30m</v>
      </c>
      <c r="B27" s="56" t="str">
        <f>IF(COUNTIFS('LANÇAMENTOS DIÁRIOS'!$G$5:$G$500,"E",'LANÇAMENTOS DIÁRIOS'!$C$5:$C$500,$A27,'LANÇAMENTOS DIÁRIOS'!$O$5:$O$500,"&lt;=105599",'LANÇAMENTOS DIÁRIOS'!$P$5:$P$500,"&gt;=105500")&gt;0,"X","")</f>
      </c>
      <c r="C27" s="56" t="str">
        <f>IF(COUNTIFS('LANÇAMENTOS DIÁRIOS'!$G$5:$G$500,"E",'LANÇAMENTOS DIÁRIOS'!$C$5:$C$500,$A27,'LANÇAMENTOS DIÁRIOS'!$O$5:$O$500,"&lt;=105699",'LANÇAMENTOS DIÁRIOS'!$P$5:$P$500,"&gt;=105600")&gt;0,"X","")</f>
      </c>
      <c r="D27" s="56" t="str">
        <f>IF(COUNTIFS('LANÇAMENTOS DIÁRIOS'!$G$5:$G$500,"E",'LANÇAMENTOS DIÁRIOS'!$C$5:$C$500,$A27,'LANÇAMENTOS DIÁRIOS'!$O$5:$O$500,"&lt;=105799",'LANÇAMENTOS DIÁRIOS'!$P$5:$P$500,"&gt;=105700")&gt;0,"X","")</f>
      </c>
      <c r="E27" s="56" t="str">
        <f>IF(COUNTIFS('LANÇAMENTOS DIÁRIOS'!$G$5:$G$500,"E",'LANÇAMENTOS DIÁRIOS'!$C$5:$C$500,$A27,'LANÇAMENTOS DIÁRIOS'!$O$5:$O$500,"&lt;=105899",'LANÇAMENTOS DIÁRIOS'!$P$5:$P$500,"&gt;=105800")&gt;0,"X","")</f>
      </c>
      <c r="F27" s="56" t="str">
        <f>IF(COUNTIFS('LANÇAMENTOS DIÁRIOS'!$G$5:$G$500,"E",'LANÇAMENTOS DIÁRIOS'!$C$5:$C$500,$A27,'LANÇAMENTOS DIÁRIOS'!$O$5:$O$500,"&lt;=105999",'LANÇAMENTOS DIÁRIOS'!$P$5:$P$500,"&gt;=105900")&gt;0,"X","")</f>
      </c>
      <c r="G27" s="56" t="str">
        <f>IF(COUNTIFS('LANÇAMENTOS DIÁRIOS'!$G$5:$G$500,"E",'LANÇAMENTOS DIÁRIOS'!$C$5:$C$500,$A27,'LANÇAMENTOS DIÁRIOS'!$O$5:$O$500,"&lt;=106099",'LANÇAMENTOS DIÁRIOS'!$P$5:$P$500,"&gt;=106000")&gt;0,"X","")</f>
      </c>
      <c r="H27" s="56" t="str">
        <f>IF(COUNTIFS('LANÇAMENTOS DIÁRIOS'!$G$5:$G$500,"E",'LANÇAMENTOS DIÁRIOS'!$C$5:$C$500,$A27,'LANÇAMENTOS DIÁRIOS'!$O$5:$O$500,"&lt;=106199",'LANÇAMENTOS DIÁRIOS'!$P$5:$P$500,"&gt;=106100")&gt;0,"X","")</f>
      </c>
      <c r="I27" s="56" t="str">
        <f>IF(COUNTIFS('LANÇAMENTOS DIÁRIOS'!$G$5:$G$500,"E",'LANÇAMENTOS DIÁRIOS'!$C$5:$C$500,$A27,'LANÇAMENTOS DIÁRIOS'!$O$5:$O$500,"&lt;=106299",'LANÇAMENTOS DIÁRIOS'!$P$5:$P$500,"&gt;=106200")&gt;0,"X","")</f>
      </c>
      <c r="J27" s="56" t="str">
        <f>IF(COUNTIFS('LANÇAMENTOS DIÁRIOS'!$G$5:$G$500,"E",'LANÇAMENTOS DIÁRIOS'!$C$5:$C$500,$A27,'LANÇAMENTOS DIÁRIOS'!$O$5:$O$500,"&lt;=106399",'LANÇAMENTOS DIÁRIOS'!$P$5:$P$500,"&gt;=106300")&gt;0,"X","")</f>
      </c>
      <c r="K27" s="56" t="str">
        <f>IF(COUNTIFS('LANÇAMENTOS DIÁRIOS'!$G$5:$G$500,"E",'LANÇAMENTOS DIÁRIOS'!$C$5:$C$500,$A27,'LANÇAMENTOS DIÁRIOS'!$O$5:$O$500,"&lt;=106499",'LANÇAMENTOS DIÁRIOS'!$P$5:$P$500,"&gt;=106400")&gt;0,"X","")</f>
      </c>
      <c r="L27" s="56" t="str">
        <f>IF(COUNTIFS('LANÇAMENTOS DIÁRIOS'!$G$5:$G$500,"E",'LANÇAMENTOS DIÁRIOS'!$C$5:$C$500,$A27,'LANÇAMENTOS DIÁRIOS'!$O$5:$O$500,"&lt;=106599",'LANÇAMENTOS DIÁRIOS'!$P$5:$P$500,"&gt;=106500")&gt;0,"X","")</f>
      </c>
      <c r="M27" s="56" t="str">
        <f>IF(COUNTIFS('LANÇAMENTOS DIÁRIOS'!$G$5:$G$500,"E",'LANÇAMENTOS DIÁRIOS'!$C$5:$C$500,$A27,'LANÇAMENTOS DIÁRIOS'!$O$5:$O$500,"&lt;=106699",'LANÇAMENTOS DIÁRIOS'!$P$5:$P$500,"&gt;=106600")&gt;0,"X","")</f>
      </c>
      <c r="N27" s="56" t="str">
        <f>IF(COUNTIFS('LANÇAMENTOS DIÁRIOS'!$G$5:$G$500,"E",'LANÇAMENTOS DIÁRIOS'!$C$5:$C$500,$A27,'LANÇAMENTOS DIÁRIOS'!$O$5:$O$500,"&lt;=106799",'LANÇAMENTOS DIÁRIOS'!$P$5:$P$500,"&gt;=106700")&gt;0,"X","")</f>
      </c>
      <c r="O27" s="56" t="str">
        <f>IF(COUNTIFS('LANÇAMENTOS DIÁRIOS'!$G$5:$G$500,"E",'LANÇAMENTOS DIÁRIOS'!$C$5:$C$500,$A27,'LANÇAMENTOS DIÁRIOS'!$O$5:$O$500,"&lt;=106899",'LANÇAMENTOS DIÁRIOS'!$P$5:$P$500,"&gt;=106800")&gt;0,"X","")</f>
      </c>
      <c r="P27" s="56" t="str">
        <f>IF(COUNTIFS('LANÇAMENTOS DIÁRIOS'!$G$5:$G$500,"E",'LANÇAMENTOS DIÁRIOS'!$C$5:$C$500,$A27,'LANÇAMENTOS DIÁRIOS'!$O$5:$O$500,"&lt;=106999",'LANÇAMENTOS DIÁRIOS'!$P$5:$P$500,"&gt;=106900")&gt;0,"X","")</f>
      </c>
      <c r="Q27" s="56" t="str">
        <f>IF(COUNTIFS('LANÇAMENTOS DIÁRIOS'!$G$5:$G$500,"E",'LANÇAMENTOS DIÁRIOS'!$C$5:$C$500,$A27,'LANÇAMENTOS DIÁRIOS'!$O$5:$O$500,"&lt;=107099",'LANÇAMENTOS DIÁRIOS'!$P$5:$P$500,"&gt;=107000")&gt;0,"X","")</f>
      </c>
      <c r="R27" s="56" t="str">
        <f>IF(COUNTIFS('LANÇAMENTOS DIÁRIOS'!$G$5:$G$500,"E",'LANÇAMENTOS DIÁRIOS'!$C$5:$C$500,$A27,'LANÇAMENTOS DIÁRIOS'!$O$5:$O$500,"&lt;=107199",'LANÇAMENTOS DIÁRIOS'!$P$5:$P$500,"&gt;=107100")&gt;0,"X","")</f>
      </c>
      <c r="S27" s="56" t="str">
        <f>IF(COUNTIFS('LANÇAMENTOS DIÁRIOS'!$G$5:$G$500,"E",'LANÇAMENTOS DIÁRIOS'!$C$5:$C$500,$A27,'LANÇAMENTOS DIÁRIOS'!$O$5:$O$500,"&lt;=107299",'LANÇAMENTOS DIÁRIOS'!$P$5:$P$500,"&gt;=107200")&gt;0,"X","")</f>
      </c>
      <c r="T27" s="56" t="str">
        <f>IF(COUNTIFS('LANÇAMENTOS DIÁRIOS'!$G$5:$G$500,"E",'LANÇAMENTOS DIÁRIOS'!$C$5:$C$500,$A27,'LANÇAMENTOS DIÁRIOS'!$O$5:$O$500,"&lt;=107399",'LANÇAMENTOS DIÁRIOS'!$P$5:$P$500,"&gt;=107300")&gt;0,"X","")</f>
      </c>
      <c r="U27" s="56" t="str">
        <f>IF(COUNTIFS('LANÇAMENTOS DIÁRIOS'!$G$5:$G$500,"E",'LANÇAMENTOS DIÁRIOS'!$C$5:$C$500,$A27,'LANÇAMENTOS DIÁRIOS'!$O$5:$O$500,"&lt;=107499",'LANÇAMENTOS DIÁRIOS'!$P$5:$P$500,"&gt;=107400")&gt;0,"X","")</f>
      </c>
      <c r="V27" s="56" t="str">
        <f>IF(COUNTIFS('LANÇAMENTOS DIÁRIOS'!$G$5:$G$500,"E",'LANÇAMENTOS DIÁRIOS'!$C$5:$C$500,$A27,'LANÇAMENTOS DIÁRIOS'!$O$5:$O$500,"&lt;=107599",'LANÇAMENTOS DIÁRIOS'!$P$5:$P$500,"&gt;=107500")&gt;0,"X","")</f>
      </c>
      <c r="W27" s="56" t="str">
        <f>IF(COUNTIFS('LANÇAMENTOS DIÁRIOS'!$G$5:$G$500,"E",'LANÇAMENTOS DIÁRIOS'!$C$5:$C$500,$A27,'LANÇAMENTOS DIÁRIOS'!$O$5:$O$500,"&lt;=107699",'LANÇAMENTOS DIÁRIOS'!$P$5:$P$500,"&gt;=107600")&gt;0,"X","")</f>
      </c>
      <c r="X27" s="56" t="str">
        <f>IF(COUNTIFS('LANÇAMENTOS DIÁRIOS'!$G$5:$G$500,"E",'LANÇAMENTOS DIÁRIOS'!$C$5:$C$500,$A27,'LANÇAMENTOS DIÁRIOS'!$O$5:$O$500,"&lt;=107799",'LANÇAMENTOS DIÁRIOS'!$P$5:$P$500,"&gt;=107700")&gt;0,"X","")</f>
      </c>
      <c r="Y27" s="56" t="str">
        <f>IF(COUNTIFS('LANÇAMENTOS DIÁRIOS'!$G$5:$G$500,"E",'LANÇAMENTOS DIÁRIOS'!$C$5:$C$500,$A27,'LANÇAMENTOS DIÁRIOS'!$O$5:$O$500,"&lt;=107899",'LANÇAMENTOS DIÁRIOS'!$P$5:$P$500,"&gt;=107800")&gt;0,"X","")</f>
      </c>
      <c r="Z27" s="56" t="str">
        <f>IF(COUNTIFS('LANÇAMENTOS DIÁRIOS'!$G$5:$G$500,"E",'LANÇAMENTOS DIÁRIOS'!$C$5:$C$500,$A27,'LANÇAMENTOS DIÁRIOS'!$O$5:$O$500,"&lt;=107999",'LANÇAMENTOS DIÁRIOS'!$P$5:$P$500,"&gt;=107900")&gt;0,"X","")</f>
      </c>
      <c r="AA27" s="56" t="str">
        <f>IF(COUNTIFS('LANÇAMENTOS DIÁRIOS'!$G$5:$G$500,"E",'LANÇAMENTOS DIÁRIOS'!$C$5:$C$500,$A27,'LANÇAMENTOS DIÁRIOS'!$O$5:$O$500,"&lt;=108099",'LANÇAMENTOS DIÁRIOS'!$P$5:$P$500,"&gt;=108000")&gt;0,"X","")</f>
      </c>
      <c r="AB27" s="56" t="str">
        <f>IF(COUNTIFS('LANÇAMENTOS DIÁRIOS'!$G$5:$G$500,"E",'LANÇAMENTOS DIÁRIOS'!$C$5:$C$500,$A27,'LANÇAMENTOS DIÁRIOS'!$O$5:$O$500,"&lt;=108199",'LANÇAMENTOS DIÁRIOS'!$P$5:$P$500,"&gt;=108100")&gt;0,"X","")</f>
      </c>
      <c r="AC27" s="56" t="str">
        <f>IF(COUNTIFS('LANÇAMENTOS DIÁRIOS'!$G$5:$G$500,"E",'LANÇAMENTOS DIÁRIOS'!$C$5:$C$500,$A27,'LANÇAMENTOS DIÁRIOS'!$O$5:$O$500,"&lt;=108299",'LANÇAMENTOS DIÁRIOS'!$P$5:$P$500,"&gt;=108200")&gt;0,"X","")</f>
      </c>
      <c r="AD27" s="56" t="str">
        <f>IF(COUNTIFS('LANÇAMENTOS DIÁRIOS'!$G$5:$G$500,"E",'LANÇAMENTOS DIÁRIOS'!$C$5:$C$500,$A27,'LANÇAMENTOS DIÁRIOS'!$O$5:$O$500,"&lt;=108399",'LANÇAMENTOS DIÁRIOS'!$P$5:$P$500,"&gt;=108300")&gt;0,"X","")</f>
      </c>
      <c r="AE27" s="56" t="str">
        <f>IF(COUNTIFS('LANÇAMENTOS DIÁRIOS'!$G$5:$G$500,"E",'LANÇAMENTOS DIÁRIOS'!$C$5:$C$500,$A27,'LANÇAMENTOS DIÁRIOS'!$O$5:$O$500,"&lt;=108499",'LANÇAMENTOS DIÁRIOS'!$P$5:$P$500,"&gt;=108400")&gt;0,"X","")</f>
      </c>
      <c r="AF27" s="56" t="str">
        <f>IF(COUNTIFS('LANÇAMENTOS DIÁRIOS'!$G$5:$G$500,"E",'LANÇAMENTOS DIÁRIOS'!$C$5:$C$500,$A27,'LANÇAMENTOS DIÁRIOS'!$O$5:$O$500,"&lt;=108599",'LANÇAMENTOS DIÁRIOS'!$P$5:$P$500,"&gt;=108500")&gt;0,"X","")</f>
      </c>
      <c r="AG27" s="56" t="str">
        <f>IF(COUNTIFS('LANÇAMENTOS DIÁRIOS'!$G$5:$G$500,"E",'LANÇAMENTOS DIÁRIOS'!$C$5:$C$500,$A27,'LANÇAMENTOS DIÁRIOS'!$O$5:$O$500,"&lt;=108699",'LANÇAMENTOS DIÁRIOS'!$P$5:$P$500,"&gt;=108600")&gt;0,"X","")</f>
      </c>
      <c r="AH27" s="56" t="str">
        <f>IF(COUNTIFS('LANÇAMENTOS DIÁRIOS'!$G$5:$G$500,"E",'LANÇAMENTOS DIÁRIOS'!$C$5:$C$500,$A27,'LANÇAMENTOS DIÁRIOS'!$O$5:$O$500,"&lt;=108799",'LANÇAMENTOS DIÁRIOS'!$P$5:$P$500,"&gt;=108700")&gt;0,"X","")</f>
      </c>
      <c r="AI27" s="56" t="str">
        <f>IF(COUNTIFS('LANÇAMENTOS DIÁRIOS'!$G$5:$G$500,"E",'LANÇAMENTOS DIÁRIOS'!$C$5:$C$500,$A27,'LANÇAMENTOS DIÁRIOS'!$O$5:$O$500,"&lt;=108899",'LANÇAMENTOS DIÁRIOS'!$P$5:$P$500,"&gt;=108800")&gt;0,"X","")</f>
      </c>
      <c r="AJ27" s="56" t="str">
        <f>IF(COUNTIFS('LANÇAMENTOS DIÁRIOS'!$G$5:$G$500,"E",'LANÇAMENTOS DIÁRIOS'!$C$5:$C$500,$A27,'LANÇAMENTOS DIÁRIOS'!$O$5:$O$500,"&lt;=108999",'LANÇAMENTOS DIÁRIOS'!$P$5:$P$500,"&gt;=108900")&gt;0,"X","")</f>
      </c>
      <c r="AK27" s="56" t="str">
        <f>IF(COUNTIFS('LANÇAMENTOS DIÁRIOS'!$G$5:$G$500,"E",'LANÇAMENTOS DIÁRIOS'!$C$5:$C$500,$A27,'LANÇAMENTOS DIÁRIOS'!$O$5:$O$500,"&lt;=109099",'LANÇAMENTOS DIÁRIOS'!$P$5:$P$500,"&gt;=109000")&gt;0,"X","")</f>
      </c>
      <c r="AL27" s="56" t="str">
        <f>IF(COUNTIFS('LANÇAMENTOS DIÁRIOS'!$G$5:$G$500,"E",'LANÇAMENTOS DIÁRIOS'!$C$5:$C$500,$A27,'LANÇAMENTOS DIÁRIOS'!$O$5:$O$500,"&lt;=109199",'LANÇAMENTOS DIÁRIOS'!$P$5:$P$500,"&gt;=109100")&gt;0,"X","")</f>
      </c>
      <c r="AM27" s="56" t="str">
        <f>IF(COUNTIFS('LANÇAMENTOS DIÁRIOS'!$G$5:$G$500,"E",'LANÇAMENTOS DIÁRIOS'!$C$5:$C$500,$A27,'LANÇAMENTOS DIÁRIOS'!$O$5:$O$500,"&lt;=109299",'LANÇAMENTOS DIÁRIOS'!$P$5:$P$500,"&gt;=109200")&gt;0,"X","")</f>
      </c>
      <c r="AN27" s="56" t="str">
        <f>IF(COUNTIFS('LANÇAMENTOS DIÁRIOS'!$G$5:$G$500,"E",'LANÇAMENTOS DIÁRIOS'!$C$5:$C$500,$A27,'LANÇAMENTOS DIÁRIOS'!$O$5:$O$500,"&lt;=109399",'LANÇAMENTOS DIÁRIOS'!$P$5:$P$500,"&gt;=109300")&gt;0,"X","")</f>
      </c>
      <c r="AO27" s="56" t="str">
        <f>IF(COUNTIFS('LANÇAMENTOS DIÁRIOS'!$G$5:$G$500,"E",'LANÇAMENTOS DIÁRIOS'!$C$5:$C$500,$A27,'LANÇAMENTOS DIÁRIOS'!$O$5:$O$500,"&lt;=109499",'LANÇAMENTOS DIÁRIOS'!$P$5:$P$500,"&gt;=109400")&gt;0,"X","")</f>
      </c>
      <c r="AP27" s="56" t="str">
        <f>IF(COUNTIFS('LANÇAMENTOS DIÁRIOS'!$G$5:$G$500,"E",'LANÇAMENTOS DIÁRIOS'!$C$5:$C$500,$A27,'LANÇAMENTOS DIÁRIOS'!$O$5:$O$500,"&lt;=109599",'LANÇAMENTOS DIÁRIOS'!$P$5:$P$500,"&gt;=109500")&gt;0,"X","")</f>
      </c>
      <c r="AQ27" s="56" t="str">
        <f>IF(COUNTIFS('LANÇAMENTOS DIÁRIOS'!$G$5:$G$500,"E",'LANÇAMENTOS DIÁRIOS'!$C$5:$C$500,$A27,'LANÇAMENTOS DIÁRIOS'!$O$5:$O$500,"&lt;=109699",'LANÇAMENTOS DIÁRIOS'!$P$5:$P$500,"&gt;=109600")&gt;0,"X","")</f>
      </c>
      <c r="AR27" s="56" t="str">
        <f>IF(COUNTIFS('LANÇAMENTOS DIÁRIOS'!$G$5:$G$500,"E",'LANÇAMENTOS DIÁRIOS'!$C$5:$C$500,$A27,'LANÇAMENTOS DIÁRIOS'!$O$5:$O$500,"&lt;=109799",'LANÇAMENTOS DIÁRIOS'!$P$5:$P$500,"&gt;=109700")&gt;0,"X","")</f>
      </c>
      <c r="AS27" s="56" t="str">
        <f>IF(COUNTIFS('LANÇAMENTOS DIÁRIOS'!$G$5:$G$500,"E",'LANÇAMENTOS DIÁRIOS'!$C$5:$C$500,$A27,'LANÇAMENTOS DIÁRIOS'!$O$5:$O$500,"&lt;=109899",'LANÇAMENTOS DIÁRIOS'!$P$5:$P$500,"&gt;=109800")&gt;0,"X","")</f>
      </c>
      <c r="AT27" s="56" t="str">
        <f>IF(COUNTIFS('LANÇAMENTOS DIÁRIOS'!$G$5:$G$500,"E",'LANÇAMENTOS DIÁRIOS'!$C$5:$C$500,$A27,'LANÇAMENTOS DIÁRIOS'!$O$5:$O$500,"&lt;=109999",'LANÇAMENTOS DIÁRIOS'!$P$5:$P$500,"&gt;=109900")&gt;0,"X","")</f>
      </c>
      <c r="AU27" s="56" t="str">
        <f>IF(COUNTIFS('LANÇAMENTOS DIÁRIOS'!$G$5:$G$500,"E",'LANÇAMENTOS DIÁRIOS'!$C$5:$C$500,$A27,'LANÇAMENTOS DIÁRIOS'!$O$5:$O$500,"&lt;=110099",'LANÇAMENTOS DIÁRIOS'!$P$5:$P$500,"&gt;=110000")&gt;0,"X","")</f>
      </c>
      <c r="AV27" s="56" t="str">
        <f>IF(COUNTIFS('LANÇAMENTOS DIÁRIOS'!$G$5:$G$500,"E",'LANÇAMENTOS DIÁRIOS'!$C$5:$C$500,$A27,'LANÇAMENTOS DIÁRIOS'!$O$5:$O$500,"&lt;=110199",'LANÇAMENTOS DIÁRIOS'!$P$5:$P$500,"&gt;=110100")&gt;0,"X","")</f>
      </c>
      <c r="AW27" s="56" t="str">
        <f>IF(COUNTIFS('LANÇAMENTOS DIÁRIOS'!$G$5:$G$500,"E",'LANÇAMENTOS DIÁRIOS'!$C$5:$C$500,$A27,'LANÇAMENTOS DIÁRIOS'!$O$5:$O$500,"&lt;=110299",'LANÇAMENTOS DIÁRIOS'!$P$5:$P$500,"&gt;=110200")&gt;0,"X","")</f>
      </c>
      <c r="AX27" s="56" t="str">
        <f>IF(COUNTIFS('LANÇAMENTOS DIÁRIOS'!$G$5:$G$500,"E",'LANÇAMENTOS DIÁRIOS'!$C$5:$C$500,$A27,'LANÇAMENTOS DIÁRIOS'!$O$5:$O$500,"&lt;=110399",'LANÇAMENTOS DIÁRIOS'!$P$5:$P$500,"&gt;=110300")&gt;0,"X","")</f>
      </c>
      <c r="AY27" s="56" t="str">
        <f>IF(COUNTIFS('LANÇAMENTOS DIÁRIOS'!$G$5:$G$500,"E",'LANÇAMENTOS DIÁRIOS'!$C$5:$C$500,$A27,'LANÇAMENTOS DIÁRIOS'!$O$5:$O$500,"&lt;=110499",'LANÇAMENTOS DIÁRIOS'!$P$5:$P$500,"&gt;=110400")&gt;0,"X","")</f>
      </c>
      <c r="AZ27" s="56" t="str">
        <f>IF(COUNTIFS('LANÇAMENTOS DIÁRIOS'!$G$5:$G$500,"E",'LANÇAMENTOS DIÁRIOS'!$C$5:$C$500,$A27,'LANÇAMENTOS DIÁRIOS'!$O$5:$O$500,"&lt;=110599",'LANÇAMENTOS DIÁRIOS'!$P$5:$P$500,"&gt;=110500")&gt;0,"X","")</f>
      </c>
      <c r="BA27" s="56" t="str">
        <f>IF(COUNTIFS('LANÇAMENTOS DIÁRIOS'!$G$5:$G$500,"E",'LANÇAMENTOS DIÁRIOS'!$C$5:$C$500,$A27,'LANÇAMENTOS DIÁRIOS'!$O$5:$O$500,"&lt;=110699",'LANÇAMENTOS DIÁRIOS'!$P$5:$P$500,"&gt;=110600")&gt;0,"X","")</f>
      </c>
      <c r="BB27" s="56" t="str">
        <f>IF(COUNTIFS('LANÇAMENTOS DIÁRIOS'!$G$5:$G$500,"E",'LANÇAMENTOS DIÁRIOS'!$C$5:$C$500,$A27,'LANÇAMENTOS DIÁRIOS'!$O$5:$O$500,"&lt;=110799",'LANÇAMENTOS DIÁRIOS'!$P$5:$P$500,"&gt;=110700")&gt;0,"X","")</f>
      </c>
      <c r="BC27" s="56" t="str">
        <f>IF(COUNTIFS('LANÇAMENTOS DIÁRIOS'!$G$5:$G$500,"E",'LANÇAMENTOS DIÁRIOS'!$C$5:$C$500,$A27,'LANÇAMENTOS DIÁRIOS'!$O$5:$O$500,"&lt;=110899",'LANÇAMENTOS DIÁRIOS'!$P$5:$P$500,"&gt;=110800")&gt;0,"X","")</f>
      </c>
      <c r="BD27" s="56" t="str">
        <f>IF(COUNTIFS('LANÇAMENTOS DIÁRIOS'!$G$5:$G$500,"E",'LANÇAMENTOS DIÁRIOS'!$C$5:$C$500,$A27,'LANÇAMENTOS DIÁRIOS'!$O$5:$O$500,"&lt;=110999",'LANÇAMENTOS DIÁRIOS'!$P$5:$P$500,"&gt;=110900")&gt;0,"X","")</f>
      </c>
      <c r="BE27" s="56" t="str">
        <f>IF(COUNTIFS('LANÇAMENTOS DIÁRIOS'!$G$5:$G$500,"E",'LANÇAMENTOS DIÁRIOS'!$C$5:$C$500,$A27,'LANÇAMENTOS DIÁRIOS'!$O$5:$O$500,"&lt;=111099",'LANÇAMENTOS DIÁRIOS'!$P$5:$P$500,"&gt;=111000")&gt;0,"X","")</f>
      </c>
      <c r="BF27" s="56" t="str">
        <f>IF(COUNTIFS('LANÇAMENTOS DIÁRIOS'!$G$5:$G$500,"E",'LANÇAMENTOS DIÁRIOS'!$C$5:$C$500,$A27,'LANÇAMENTOS DIÁRIOS'!$O$5:$O$500,"&lt;=111199",'LANÇAMENTOS DIÁRIOS'!$P$5:$P$500,"&gt;=111100")&gt;0,"X","")</f>
      </c>
      <c r="BG27" s="56" t="str">
        <f>IF(COUNTIFS('LANÇAMENTOS DIÁRIOS'!$G$5:$G$500,"E",'LANÇAMENTOS DIÁRIOS'!$C$5:$C$500,$A27,'LANÇAMENTOS DIÁRIOS'!$O$5:$O$500,"&lt;=111299",'LANÇAMENTOS DIÁRIOS'!$P$5:$P$500,"&gt;=111200")&gt;0,"X","")</f>
      </c>
      <c r="BH27" s="56" t="str">
        <f>IF(COUNTIFS('LANÇAMENTOS DIÁRIOS'!$G$5:$G$500,"E",'LANÇAMENTOS DIÁRIOS'!$C$5:$C$500,$A27,'LANÇAMENTOS DIÁRIOS'!$O$5:$O$500,"&lt;=111399",'LANÇAMENTOS DIÁRIOS'!$P$5:$P$500,"&gt;=111300")&gt;0,"X","")</f>
      </c>
      <c r="BI27" s="56" t="str">
        <f>IF(COUNTIFS('LANÇAMENTOS DIÁRIOS'!$G$5:$G$500,"E",'LANÇAMENTOS DIÁRIOS'!$C$5:$C$500,$A27,'LANÇAMENTOS DIÁRIOS'!$O$5:$O$500,"&lt;=111499",'LANÇAMENTOS DIÁRIOS'!$P$5:$P$500,"&gt;=111400")&gt;0,"X","")</f>
      </c>
      <c r="BJ27" s="56" t="str">
        <f>IF(COUNTIFS('LANÇAMENTOS DIÁRIOS'!$G$5:$G$500,"E",'LANÇAMENTOS DIÁRIOS'!$C$5:$C$500,$A27,'LANÇAMENTOS DIÁRIOS'!$O$5:$O$500,"&lt;=111500",'LANÇAMENTOS DIÁRIOS'!$P$5:$P$500,"&gt;=111500")&gt;0,"X","")</f>
      </c>
    </row>
    <row r="28">
      <c r="A28" s="51" t="str">
        <v>Destocamento de árvore d&gt;0,30m</v>
      </c>
      <c r="B28" s="56" t="str">
        <f>IF(COUNTIFS('LANÇAMENTOS DIÁRIOS'!$G$5:$G$500,"E",'LANÇAMENTOS DIÁRIOS'!$C$5:$C$500,$A28,'LANÇAMENTOS DIÁRIOS'!$O$5:$O$500,"&lt;=105599",'LANÇAMENTOS DIÁRIOS'!$P$5:$P$500,"&gt;=105500")&gt;0,"X","")</f>
      </c>
      <c r="C28" s="56" t="str">
        <f>IF(COUNTIFS('LANÇAMENTOS DIÁRIOS'!$G$5:$G$500,"E",'LANÇAMENTOS DIÁRIOS'!$C$5:$C$500,$A28,'LANÇAMENTOS DIÁRIOS'!$O$5:$O$500,"&lt;=105699",'LANÇAMENTOS DIÁRIOS'!$P$5:$P$500,"&gt;=105600")&gt;0,"X","")</f>
      </c>
      <c r="D28" s="56" t="str">
        <f>IF(COUNTIFS('LANÇAMENTOS DIÁRIOS'!$G$5:$G$500,"E",'LANÇAMENTOS DIÁRIOS'!$C$5:$C$500,$A28,'LANÇAMENTOS DIÁRIOS'!$O$5:$O$500,"&lt;=105799",'LANÇAMENTOS DIÁRIOS'!$P$5:$P$500,"&gt;=105700")&gt;0,"X","")</f>
      </c>
      <c r="E28" s="56" t="str">
        <f>IF(COUNTIFS('LANÇAMENTOS DIÁRIOS'!$G$5:$G$500,"E",'LANÇAMENTOS DIÁRIOS'!$C$5:$C$500,$A28,'LANÇAMENTOS DIÁRIOS'!$O$5:$O$500,"&lt;=105899",'LANÇAMENTOS DIÁRIOS'!$P$5:$P$500,"&gt;=105800")&gt;0,"X","")</f>
      </c>
      <c r="F28" s="56" t="str">
        <f>IF(COUNTIFS('LANÇAMENTOS DIÁRIOS'!$G$5:$G$500,"E",'LANÇAMENTOS DIÁRIOS'!$C$5:$C$500,$A28,'LANÇAMENTOS DIÁRIOS'!$O$5:$O$500,"&lt;=105999",'LANÇAMENTOS DIÁRIOS'!$P$5:$P$500,"&gt;=105900")&gt;0,"X","")</f>
      </c>
      <c r="G28" s="56" t="str">
        <f>IF(COUNTIFS('LANÇAMENTOS DIÁRIOS'!$G$5:$G$500,"E",'LANÇAMENTOS DIÁRIOS'!$C$5:$C$500,$A28,'LANÇAMENTOS DIÁRIOS'!$O$5:$O$500,"&lt;=106099",'LANÇAMENTOS DIÁRIOS'!$P$5:$P$500,"&gt;=106000")&gt;0,"X","")</f>
      </c>
      <c r="H28" s="56" t="str">
        <f>IF(COUNTIFS('LANÇAMENTOS DIÁRIOS'!$G$5:$G$500,"E",'LANÇAMENTOS DIÁRIOS'!$C$5:$C$500,$A28,'LANÇAMENTOS DIÁRIOS'!$O$5:$O$500,"&lt;=106199",'LANÇAMENTOS DIÁRIOS'!$P$5:$P$500,"&gt;=106100")&gt;0,"X","")</f>
      </c>
      <c r="I28" s="56" t="str">
        <f>IF(COUNTIFS('LANÇAMENTOS DIÁRIOS'!$G$5:$G$500,"E",'LANÇAMENTOS DIÁRIOS'!$C$5:$C$500,$A28,'LANÇAMENTOS DIÁRIOS'!$O$5:$O$500,"&lt;=106299",'LANÇAMENTOS DIÁRIOS'!$P$5:$P$500,"&gt;=106200")&gt;0,"X","")</f>
      </c>
      <c r="J28" s="56" t="str">
        <f>IF(COUNTIFS('LANÇAMENTOS DIÁRIOS'!$G$5:$G$500,"E",'LANÇAMENTOS DIÁRIOS'!$C$5:$C$500,$A28,'LANÇAMENTOS DIÁRIOS'!$O$5:$O$500,"&lt;=106399",'LANÇAMENTOS DIÁRIOS'!$P$5:$P$500,"&gt;=106300")&gt;0,"X","")</f>
      </c>
      <c r="K28" s="56" t="str">
        <f>IF(COUNTIFS('LANÇAMENTOS DIÁRIOS'!$G$5:$G$500,"E",'LANÇAMENTOS DIÁRIOS'!$C$5:$C$500,$A28,'LANÇAMENTOS DIÁRIOS'!$O$5:$O$500,"&lt;=106499",'LANÇAMENTOS DIÁRIOS'!$P$5:$P$500,"&gt;=106400")&gt;0,"X","")</f>
      </c>
      <c r="L28" s="56" t="str">
        <f>IF(COUNTIFS('LANÇAMENTOS DIÁRIOS'!$G$5:$G$500,"E",'LANÇAMENTOS DIÁRIOS'!$C$5:$C$500,$A28,'LANÇAMENTOS DIÁRIOS'!$O$5:$O$500,"&lt;=106599",'LANÇAMENTOS DIÁRIOS'!$P$5:$P$500,"&gt;=106500")&gt;0,"X","")</f>
      </c>
      <c r="M28" s="56" t="str">
        <f>IF(COUNTIFS('LANÇAMENTOS DIÁRIOS'!$G$5:$G$500,"E",'LANÇAMENTOS DIÁRIOS'!$C$5:$C$500,$A28,'LANÇAMENTOS DIÁRIOS'!$O$5:$O$500,"&lt;=106699",'LANÇAMENTOS DIÁRIOS'!$P$5:$P$500,"&gt;=106600")&gt;0,"X","")</f>
      </c>
      <c r="N28" s="56" t="str">
        <f>IF(COUNTIFS('LANÇAMENTOS DIÁRIOS'!$G$5:$G$500,"E",'LANÇAMENTOS DIÁRIOS'!$C$5:$C$500,$A28,'LANÇAMENTOS DIÁRIOS'!$O$5:$O$500,"&lt;=106799",'LANÇAMENTOS DIÁRIOS'!$P$5:$P$500,"&gt;=106700")&gt;0,"X","")</f>
      </c>
      <c r="O28" s="56" t="str">
        <f>IF(COUNTIFS('LANÇAMENTOS DIÁRIOS'!$G$5:$G$500,"E",'LANÇAMENTOS DIÁRIOS'!$C$5:$C$500,$A28,'LANÇAMENTOS DIÁRIOS'!$O$5:$O$500,"&lt;=106899",'LANÇAMENTOS DIÁRIOS'!$P$5:$P$500,"&gt;=106800")&gt;0,"X","")</f>
      </c>
      <c r="P28" s="56" t="str">
        <f>IF(COUNTIFS('LANÇAMENTOS DIÁRIOS'!$G$5:$G$500,"E",'LANÇAMENTOS DIÁRIOS'!$C$5:$C$500,$A28,'LANÇAMENTOS DIÁRIOS'!$O$5:$O$500,"&lt;=106999",'LANÇAMENTOS DIÁRIOS'!$P$5:$P$500,"&gt;=106900")&gt;0,"X","")</f>
      </c>
      <c r="Q28" s="56" t="str">
        <f>IF(COUNTIFS('LANÇAMENTOS DIÁRIOS'!$G$5:$G$500,"E",'LANÇAMENTOS DIÁRIOS'!$C$5:$C$500,$A28,'LANÇAMENTOS DIÁRIOS'!$O$5:$O$500,"&lt;=107099",'LANÇAMENTOS DIÁRIOS'!$P$5:$P$500,"&gt;=107000")&gt;0,"X","")</f>
      </c>
      <c r="R28" s="56" t="str">
        <f>IF(COUNTIFS('LANÇAMENTOS DIÁRIOS'!$G$5:$G$500,"E",'LANÇAMENTOS DIÁRIOS'!$C$5:$C$500,$A28,'LANÇAMENTOS DIÁRIOS'!$O$5:$O$500,"&lt;=107199",'LANÇAMENTOS DIÁRIOS'!$P$5:$P$500,"&gt;=107100")&gt;0,"X","")</f>
      </c>
      <c r="S28" s="56" t="str">
        <f>IF(COUNTIFS('LANÇAMENTOS DIÁRIOS'!$G$5:$G$500,"E",'LANÇAMENTOS DIÁRIOS'!$C$5:$C$500,$A28,'LANÇAMENTOS DIÁRIOS'!$O$5:$O$500,"&lt;=107299",'LANÇAMENTOS DIÁRIOS'!$P$5:$P$500,"&gt;=107200")&gt;0,"X","")</f>
      </c>
      <c r="T28" s="56" t="str">
        <f>IF(COUNTIFS('LANÇAMENTOS DIÁRIOS'!$G$5:$G$500,"E",'LANÇAMENTOS DIÁRIOS'!$C$5:$C$500,$A28,'LANÇAMENTOS DIÁRIOS'!$O$5:$O$500,"&lt;=107399",'LANÇAMENTOS DIÁRIOS'!$P$5:$P$500,"&gt;=107300")&gt;0,"X","")</f>
      </c>
      <c r="U28" s="56" t="str">
        <f>IF(COUNTIFS('LANÇAMENTOS DIÁRIOS'!$G$5:$G$500,"E",'LANÇAMENTOS DIÁRIOS'!$C$5:$C$500,$A28,'LANÇAMENTOS DIÁRIOS'!$O$5:$O$500,"&lt;=107499",'LANÇAMENTOS DIÁRIOS'!$P$5:$P$500,"&gt;=107400")&gt;0,"X","")</f>
      </c>
      <c r="V28" s="56" t="str">
        <f>IF(COUNTIFS('LANÇAMENTOS DIÁRIOS'!$G$5:$G$500,"E",'LANÇAMENTOS DIÁRIOS'!$C$5:$C$500,$A28,'LANÇAMENTOS DIÁRIOS'!$O$5:$O$500,"&lt;=107599",'LANÇAMENTOS DIÁRIOS'!$P$5:$P$500,"&gt;=107500")&gt;0,"X","")</f>
      </c>
      <c r="W28" s="56" t="str">
        <f>IF(COUNTIFS('LANÇAMENTOS DIÁRIOS'!$G$5:$G$500,"E",'LANÇAMENTOS DIÁRIOS'!$C$5:$C$500,$A28,'LANÇAMENTOS DIÁRIOS'!$O$5:$O$500,"&lt;=107699",'LANÇAMENTOS DIÁRIOS'!$P$5:$P$500,"&gt;=107600")&gt;0,"X","")</f>
      </c>
      <c r="X28" s="56" t="str">
        <f>IF(COUNTIFS('LANÇAMENTOS DIÁRIOS'!$G$5:$G$500,"E",'LANÇAMENTOS DIÁRIOS'!$C$5:$C$500,$A28,'LANÇAMENTOS DIÁRIOS'!$O$5:$O$500,"&lt;=107799",'LANÇAMENTOS DIÁRIOS'!$P$5:$P$500,"&gt;=107700")&gt;0,"X","")</f>
      </c>
      <c r="Y28" s="56" t="str">
        <f>IF(COUNTIFS('LANÇAMENTOS DIÁRIOS'!$G$5:$G$500,"E",'LANÇAMENTOS DIÁRIOS'!$C$5:$C$500,$A28,'LANÇAMENTOS DIÁRIOS'!$O$5:$O$500,"&lt;=107899",'LANÇAMENTOS DIÁRIOS'!$P$5:$P$500,"&gt;=107800")&gt;0,"X","")</f>
      </c>
      <c r="Z28" s="56" t="str">
        <f>IF(COUNTIFS('LANÇAMENTOS DIÁRIOS'!$G$5:$G$500,"E",'LANÇAMENTOS DIÁRIOS'!$C$5:$C$500,$A28,'LANÇAMENTOS DIÁRIOS'!$O$5:$O$500,"&lt;=107999",'LANÇAMENTOS DIÁRIOS'!$P$5:$P$500,"&gt;=107900")&gt;0,"X","")</f>
      </c>
      <c r="AA28" s="56" t="str">
        <f>IF(COUNTIFS('LANÇAMENTOS DIÁRIOS'!$G$5:$G$500,"E",'LANÇAMENTOS DIÁRIOS'!$C$5:$C$500,$A28,'LANÇAMENTOS DIÁRIOS'!$O$5:$O$500,"&lt;=108099",'LANÇAMENTOS DIÁRIOS'!$P$5:$P$500,"&gt;=108000")&gt;0,"X","")</f>
      </c>
      <c r="AB28" s="56" t="str">
        <f>IF(COUNTIFS('LANÇAMENTOS DIÁRIOS'!$G$5:$G$500,"E",'LANÇAMENTOS DIÁRIOS'!$C$5:$C$500,$A28,'LANÇAMENTOS DIÁRIOS'!$O$5:$O$500,"&lt;=108199",'LANÇAMENTOS DIÁRIOS'!$P$5:$P$500,"&gt;=108100")&gt;0,"X","")</f>
      </c>
      <c r="AC28" s="56" t="str">
        <f>IF(COUNTIFS('LANÇAMENTOS DIÁRIOS'!$G$5:$G$500,"E",'LANÇAMENTOS DIÁRIOS'!$C$5:$C$500,$A28,'LANÇAMENTOS DIÁRIOS'!$O$5:$O$500,"&lt;=108299",'LANÇAMENTOS DIÁRIOS'!$P$5:$P$500,"&gt;=108200")&gt;0,"X","")</f>
      </c>
      <c r="AD28" s="56" t="str">
        <f>IF(COUNTIFS('LANÇAMENTOS DIÁRIOS'!$G$5:$G$500,"E",'LANÇAMENTOS DIÁRIOS'!$C$5:$C$500,$A28,'LANÇAMENTOS DIÁRIOS'!$O$5:$O$500,"&lt;=108399",'LANÇAMENTOS DIÁRIOS'!$P$5:$P$500,"&gt;=108300")&gt;0,"X","")</f>
      </c>
      <c r="AE28" s="56" t="str">
        <f>IF(COUNTIFS('LANÇAMENTOS DIÁRIOS'!$G$5:$G$500,"E",'LANÇAMENTOS DIÁRIOS'!$C$5:$C$500,$A28,'LANÇAMENTOS DIÁRIOS'!$O$5:$O$500,"&lt;=108499",'LANÇAMENTOS DIÁRIOS'!$P$5:$P$500,"&gt;=108400")&gt;0,"X","")</f>
      </c>
      <c r="AF28" s="56" t="str">
        <f>IF(COUNTIFS('LANÇAMENTOS DIÁRIOS'!$G$5:$G$500,"E",'LANÇAMENTOS DIÁRIOS'!$C$5:$C$500,$A28,'LANÇAMENTOS DIÁRIOS'!$O$5:$O$500,"&lt;=108599",'LANÇAMENTOS DIÁRIOS'!$P$5:$P$500,"&gt;=108500")&gt;0,"X","")</f>
      </c>
      <c r="AG28" s="56" t="str">
        <f>IF(COUNTIFS('LANÇAMENTOS DIÁRIOS'!$G$5:$G$500,"E",'LANÇAMENTOS DIÁRIOS'!$C$5:$C$500,$A28,'LANÇAMENTOS DIÁRIOS'!$O$5:$O$500,"&lt;=108699",'LANÇAMENTOS DIÁRIOS'!$P$5:$P$500,"&gt;=108600")&gt;0,"X","")</f>
      </c>
      <c r="AH28" s="56" t="str">
        <f>IF(COUNTIFS('LANÇAMENTOS DIÁRIOS'!$G$5:$G$500,"E",'LANÇAMENTOS DIÁRIOS'!$C$5:$C$500,$A28,'LANÇAMENTOS DIÁRIOS'!$O$5:$O$500,"&lt;=108799",'LANÇAMENTOS DIÁRIOS'!$P$5:$P$500,"&gt;=108700")&gt;0,"X","")</f>
      </c>
      <c r="AI28" s="56" t="str">
        <f>IF(COUNTIFS('LANÇAMENTOS DIÁRIOS'!$G$5:$G$500,"E",'LANÇAMENTOS DIÁRIOS'!$C$5:$C$500,$A28,'LANÇAMENTOS DIÁRIOS'!$O$5:$O$500,"&lt;=108899",'LANÇAMENTOS DIÁRIOS'!$P$5:$P$500,"&gt;=108800")&gt;0,"X","")</f>
      </c>
      <c r="AJ28" s="56" t="str">
        <f>IF(COUNTIFS('LANÇAMENTOS DIÁRIOS'!$G$5:$G$500,"E",'LANÇAMENTOS DIÁRIOS'!$C$5:$C$500,$A28,'LANÇAMENTOS DIÁRIOS'!$O$5:$O$500,"&lt;=108999",'LANÇAMENTOS DIÁRIOS'!$P$5:$P$500,"&gt;=108900")&gt;0,"X","")</f>
      </c>
      <c r="AK28" s="56" t="str">
        <f>IF(COUNTIFS('LANÇAMENTOS DIÁRIOS'!$G$5:$G$500,"E",'LANÇAMENTOS DIÁRIOS'!$C$5:$C$500,$A28,'LANÇAMENTOS DIÁRIOS'!$O$5:$O$500,"&lt;=109099",'LANÇAMENTOS DIÁRIOS'!$P$5:$P$500,"&gt;=109000")&gt;0,"X","")</f>
      </c>
      <c r="AL28" s="56" t="str">
        <f>IF(COUNTIFS('LANÇAMENTOS DIÁRIOS'!$G$5:$G$500,"E",'LANÇAMENTOS DIÁRIOS'!$C$5:$C$500,$A28,'LANÇAMENTOS DIÁRIOS'!$O$5:$O$500,"&lt;=109199",'LANÇAMENTOS DIÁRIOS'!$P$5:$P$500,"&gt;=109100")&gt;0,"X","")</f>
      </c>
      <c r="AM28" s="56" t="str">
        <f>IF(COUNTIFS('LANÇAMENTOS DIÁRIOS'!$G$5:$G$500,"E",'LANÇAMENTOS DIÁRIOS'!$C$5:$C$500,$A28,'LANÇAMENTOS DIÁRIOS'!$O$5:$O$500,"&lt;=109299",'LANÇAMENTOS DIÁRIOS'!$P$5:$P$500,"&gt;=109200")&gt;0,"X","")</f>
      </c>
      <c r="AN28" s="56" t="str">
        <f>IF(COUNTIFS('LANÇAMENTOS DIÁRIOS'!$G$5:$G$500,"E",'LANÇAMENTOS DIÁRIOS'!$C$5:$C$500,$A28,'LANÇAMENTOS DIÁRIOS'!$O$5:$O$500,"&lt;=109399",'LANÇAMENTOS DIÁRIOS'!$P$5:$P$500,"&gt;=109300")&gt;0,"X","")</f>
      </c>
      <c r="AO28" s="56" t="str">
        <f>IF(COUNTIFS('LANÇAMENTOS DIÁRIOS'!$G$5:$G$500,"E",'LANÇAMENTOS DIÁRIOS'!$C$5:$C$500,$A28,'LANÇAMENTOS DIÁRIOS'!$O$5:$O$500,"&lt;=109499",'LANÇAMENTOS DIÁRIOS'!$P$5:$P$500,"&gt;=109400")&gt;0,"X","")</f>
      </c>
      <c r="AP28" s="56" t="str">
        <f>IF(COUNTIFS('LANÇAMENTOS DIÁRIOS'!$G$5:$G$500,"E",'LANÇAMENTOS DIÁRIOS'!$C$5:$C$500,$A28,'LANÇAMENTOS DIÁRIOS'!$O$5:$O$500,"&lt;=109599",'LANÇAMENTOS DIÁRIOS'!$P$5:$P$500,"&gt;=109500")&gt;0,"X","")</f>
      </c>
      <c r="AQ28" s="56" t="str">
        <f>IF(COUNTIFS('LANÇAMENTOS DIÁRIOS'!$G$5:$G$500,"E",'LANÇAMENTOS DIÁRIOS'!$C$5:$C$500,$A28,'LANÇAMENTOS DIÁRIOS'!$O$5:$O$500,"&lt;=109699",'LANÇAMENTOS DIÁRIOS'!$P$5:$P$500,"&gt;=109600")&gt;0,"X","")</f>
      </c>
      <c r="AR28" s="56" t="str">
        <f>IF(COUNTIFS('LANÇAMENTOS DIÁRIOS'!$G$5:$G$500,"E",'LANÇAMENTOS DIÁRIOS'!$C$5:$C$500,$A28,'LANÇAMENTOS DIÁRIOS'!$O$5:$O$500,"&lt;=109799",'LANÇAMENTOS DIÁRIOS'!$P$5:$P$500,"&gt;=109700")&gt;0,"X","")</f>
      </c>
      <c r="AS28" s="56" t="str">
        <f>IF(COUNTIFS('LANÇAMENTOS DIÁRIOS'!$G$5:$G$500,"E",'LANÇAMENTOS DIÁRIOS'!$C$5:$C$500,$A28,'LANÇAMENTOS DIÁRIOS'!$O$5:$O$500,"&lt;=109899",'LANÇAMENTOS DIÁRIOS'!$P$5:$P$500,"&gt;=109800")&gt;0,"X","")</f>
      </c>
      <c r="AT28" s="56" t="str">
        <f>IF(COUNTIFS('LANÇAMENTOS DIÁRIOS'!$G$5:$G$500,"E",'LANÇAMENTOS DIÁRIOS'!$C$5:$C$500,$A28,'LANÇAMENTOS DIÁRIOS'!$O$5:$O$500,"&lt;=109999",'LANÇAMENTOS DIÁRIOS'!$P$5:$P$500,"&gt;=109900")&gt;0,"X","")</f>
      </c>
      <c r="AU28" s="56" t="str">
        <f>IF(COUNTIFS('LANÇAMENTOS DIÁRIOS'!$G$5:$G$500,"E",'LANÇAMENTOS DIÁRIOS'!$C$5:$C$500,$A28,'LANÇAMENTOS DIÁRIOS'!$O$5:$O$500,"&lt;=110099",'LANÇAMENTOS DIÁRIOS'!$P$5:$P$500,"&gt;=110000")&gt;0,"X","")</f>
      </c>
      <c r="AV28" s="56" t="str">
        <f>IF(COUNTIFS('LANÇAMENTOS DIÁRIOS'!$G$5:$G$500,"E",'LANÇAMENTOS DIÁRIOS'!$C$5:$C$500,$A28,'LANÇAMENTOS DIÁRIOS'!$O$5:$O$500,"&lt;=110199",'LANÇAMENTOS DIÁRIOS'!$P$5:$P$500,"&gt;=110100")&gt;0,"X","")</f>
      </c>
      <c r="AW28" s="56" t="str">
        <f>IF(COUNTIFS('LANÇAMENTOS DIÁRIOS'!$G$5:$G$500,"E",'LANÇAMENTOS DIÁRIOS'!$C$5:$C$500,$A28,'LANÇAMENTOS DIÁRIOS'!$O$5:$O$500,"&lt;=110299",'LANÇAMENTOS DIÁRIOS'!$P$5:$P$500,"&gt;=110200")&gt;0,"X","")</f>
      </c>
      <c r="AX28" s="56" t="str">
        <f>IF(COUNTIFS('LANÇAMENTOS DIÁRIOS'!$G$5:$G$500,"E",'LANÇAMENTOS DIÁRIOS'!$C$5:$C$500,$A28,'LANÇAMENTOS DIÁRIOS'!$O$5:$O$500,"&lt;=110399",'LANÇAMENTOS DIÁRIOS'!$P$5:$P$500,"&gt;=110300")&gt;0,"X","")</f>
      </c>
      <c r="AY28" s="56" t="str">
        <f>IF(COUNTIFS('LANÇAMENTOS DIÁRIOS'!$G$5:$G$500,"E",'LANÇAMENTOS DIÁRIOS'!$C$5:$C$500,$A28,'LANÇAMENTOS DIÁRIOS'!$O$5:$O$500,"&lt;=110499",'LANÇAMENTOS DIÁRIOS'!$P$5:$P$500,"&gt;=110400")&gt;0,"X","")</f>
      </c>
      <c r="AZ28" s="56" t="str">
        <f>IF(COUNTIFS('LANÇAMENTOS DIÁRIOS'!$G$5:$G$500,"E",'LANÇAMENTOS DIÁRIOS'!$C$5:$C$500,$A28,'LANÇAMENTOS DIÁRIOS'!$O$5:$O$500,"&lt;=110599",'LANÇAMENTOS DIÁRIOS'!$P$5:$P$500,"&gt;=110500")&gt;0,"X","")</f>
      </c>
      <c r="BA28" s="56" t="str">
        <f>IF(COUNTIFS('LANÇAMENTOS DIÁRIOS'!$G$5:$G$500,"E",'LANÇAMENTOS DIÁRIOS'!$C$5:$C$500,$A28,'LANÇAMENTOS DIÁRIOS'!$O$5:$O$500,"&lt;=110699",'LANÇAMENTOS DIÁRIOS'!$P$5:$P$500,"&gt;=110600")&gt;0,"X","")</f>
      </c>
      <c r="BB28" s="56" t="str">
        <f>IF(COUNTIFS('LANÇAMENTOS DIÁRIOS'!$G$5:$G$500,"E",'LANÇAMENTOS DIÁRIOS'!$C$5:$C$500,$A28,'LANÇAMENTOS DIÁRIOS'!$O$5:$O$500,"&lt;=110799",'LANÇAMENTOS DIÁRIOS'!$P$5:$P$500,"&gt;=110700")&gt;0,"X","")</f>
      </c>
      <c r="BC28" s="56" t="str">
        <f>IF(COUNTIFS('LANÇAMENTOS DIÁRIOS'!$G$5:$G$500,"E",'LANÇAMENTOS DIÁRIOS'!$C$5:$C$500,$A28,'LANÇAMENTOS DIÁRIOS'!$O$5:$O$500,"&lt;=110899",'LANÇAMENTOS DIÁRIOS'!$P$5:$P$500,"&gt;=110800")&gt;0,"X","")</f>
      </c>
      <c r="BD28" s="56" t="str">
        <f>IF(COUNTIFS('LANÇAMENTOS DIÁRIOS'!$G$5:$G$500,"E",'LANÇAMENTOS DIÁRIOS'!$C$5:$C$500,$A28,'LANÇAMENTOS DIÁRIOS'!$O$5:$O$500,"&lt;=110999",'LANÇAMENTOS DIÁRIOS'!$P$5:$P$500,"&gt;=110900")&gt;0,"X","")</f>
      </c>
      <c r="BE28" s="56" t="str">
        <f>IF(COUNTIFS('LANÇAMENTOS DIÁRIOS'!$G$5:$G$500,"E",'LANÇAMENTOS DIÁRIOS'!$C$5:$C$500,$A28,'LANÇAMENTOS DIÁRIOS'!$O$5:$O$500,"&lt;=111099",'LANÇAMENTOS DIÁRIOS'!$P$5:$P$500,"&gt;=111000")&gt;0,"X","")</f>
      </c>
      <c r="BF28" s="56" t="str">
        <f>IF(COUNTIFS('LANÇAMENTOS DIÁRIOS'!$G$5:$G$500,"E",'LANÇAMENTOS DIÁRIOS'!$C$5:$C$500,$A28,'LANÇAMENTOS DIÁRIOS'!$O$5:$O$500,"&lt;=111199",'LANÇAMENTOS DIÁRIOS'!$P$5:$P$500,"&gt;=111100")&gt;0,"X","")</f>
      </c>
      <c r="BG28" s="56" t="str">
        <f>IF(COUNTIFS('LANÇAMENTOS DIÁRIOS'!$G$5:$G$500,"E",'LANÇAMENTOS DIÁRIOS'!$C$5:$C$500,$A28,'LANÇAMENTOS DIÁRIOS'!$O$5:$O$500,"&lt;=111299",'LANÇAMENTOS DIÁRIOS'!$P$5:$P$500,"&gt;=111200")&gt;0,"X","")</f>
      </c>
      <c r="BH28" s="56" t="str">
        <f>IF(COUNTIFS('LANÇAMENTOS DIÁRIOS'!$G$5:$G$500,"E",'LANÇAMENTOS DIÁRIOS'!$C$5:$C$500,$A28,'LANÇAMENTOS DIÁRIOS'!$O$5:$O$500,"&lt;=111399",'LANÇAMENTOS DIÁRIOS'!$P$5:$P$500,"&gt;=111300")&gt;0,"X","")</f>
      </c>
      <c r="BI28" s="56" t="str">
        <f>IF(COUNTIFS('LANÇAMENTOS DIÁRIOS'!$G$5:$G$500,"E",'LANÇAMENTOS DIÁRIOS'!$C$5:$C$500,$A28,'LANÇAMENTOS DIÁRIOS'!$O$5:$O$500,"&lt;=111499",'LANÇAMENTOS DIÁRIOS'!$P$5:$P$500,"&gt;=111400")&gt;0,"X","")</f>
      </c>
      <c r="BJ28" s="56" t="str">
        <f>IF(COUNTIFS('LANÇAMENTOS DIÁRIOS'!$G$5:$G$500,"E",'LANÇAMENTOS DIÁRIOS'!$C$5:$C$500,$A28,'LANÇAMENTOS DIÁRIOS'!$O$5:$O$500,"&lt;=111500",'LANÇAMENTOS DIÁRIOS'!$P$5:$P$500,"&gt;=111500")&gt;0,"X","")</f>
      </c>
    </row>
    <row r="29">
      <c r="A29" s="51" t="str">
        <v>Derrubada e destocamento arv. c/ diâmetro &gt; 0,15 m</v>
      </c>
      <c r="B29" s="56" t="str">
        <f>IF(COUNTIFS('LANÇAMENTOS DIÁRIOS'!$G$5:$G$500,"E",'LANÇAMENTOS DIÁRIOS'!$C$5:$C$500,$A29,'LANÇAMENTOS DIÁRIOS'!$O$5:$O$500,"&lt;=105599",'LANÇAMENTOS DIÁRIOS'!$P$5:$P$500,"&gt;=105500")&gt;0,"X","")</f>
      </c>
      <c r="C29" s="56" t="str">
        <f>IF(COUNTIFS('LANÇAMENTOS DIÁRIOS'!$G$5:$G$500,"E",'LANÇAMENTOS DIÁRIOS'!$C$5:$C$500,$A29,'LANÇAMENTOS DIÁRIOS'!$O$5:$O$500,"&lt;=105699",'LANÇAMENTOS DIÁRIOS'!$P$5:$P$500,"&gt;=105600")&gt;0,"X","")</f>
      </c>
      <c r="D29" s="56" t="str">
        <f>IF(COUNTIFS('LANÇAMENTOS DIÁRIOS'!$G$5:$G$500,"E",'LANÇAMENTOS DIÁRIOS'!$C$5:$C$500,$A29,'LANÇAMENTOS DIÁRIOS'!$O$5:$O$500,"&lt;=105799",'LANÇAMENTOS DIÁRIOS'!$P$5:$P$500,"&gt;=105700")&gt;0,"X","")</f>
      </c>
      <c r="E29" s="56" t="str">
        <f>IF(COUNTIFS('LANÇAMENTOS DIÁRIOS'!$G$5:$G$500,"E",'LANÇAMENTOS DIÁRIOS'!$C$5:$C$500,$A29,'LANÇAMENTOS DIÁRIOS'!$O$5:$O$500,"&lt;=105899",'LANÇAMENTOS DIÁRIOS'!$P$5:$P$500,"&gt;=105800")&gt;0,"X","")</f>
      </c>
      <c r="F29" s="56" t="str">
        <f>IF(COUNTIFS('LANÇAMENTOS DIÁRIOS'!$G$5:$G$500,"E",'LANÇAMENTOS DIÁRIOS'!$C$5:$C$500,$A29,'LANÇAMENTOS DIÁRIOS'!$O$5:$O$500,"&lt;=105999",'LANÇAMENTOS DIÁRIOS'!$P$5:$P$500,"&gt;=105900")&gt;0,"X","")</f>
      </c>
      <c r="G29" s="56" t="str">
        <f>IF(COUNTIFS('LANÇAMENTOS DIÁRIOS'!$G$5:$G$500,"E",'LANÇAMENTOS DIÁRIOS'!$C$5:$C$500,$A29,'LANÇAMENTOS DIÁRIOS'!$O$5:$O$500,"&lt;=106099",'LANÇAMENTOS DIÁRIOS'!$P$5:$P$500,"&gt;=106000")&gt;0,"X","")</f>
      </c>
      <c r="H29" s="56" t="str">
        <f>IF(COUNTIFS('LANÇAMENTOS DIÁRIOS'!$G$5:$G$500,"E",'LANÇAMENTOS DIÁRIOS'!$C$5:$C$500,$A29,'LANÇAMENTOS DIÁRIOS'!$O$5:$O$500,"&lt;=106199",'LANÇAMENTOS DIÁRIOS'!$P$5:$P$500,"&gt;=106100")&gt;0,"X","")</f>
      </c>
      <c r="I29" s="56" t="str">
        <f>IF(COUNTIFS('LANÇAMENTOS DIÁRIOS'!$G$5:$G$500,"E",'LANÇAMENTOS DIÁRIOS'!$C$5:$C$500,$A29,'LANÇAMENTOS DIÁRIOS'!$O$5:$O$500,"&lt;=106299",'LANÇAMENTOS DIÁRIOS'!$P$5:$P$500,"&gt;=106200")&gt;0,"X","")</f>
      </c>
      <c r="J29" s="56" t="str">
        <f>IF(COUNTIFS('LANÇAMENTOS DIÁRIOS'!$G$5:$G$500,"E",'LANÇAMENTOS DIÁRIOS'!$C$5:$C$500,$A29,'LANÇAMENTOS DIÁRIOS'!$O$5:$O$500,"&lt;=106399",'LANÇAMENTOS DIÁRIOS'!$P$5:$P$500,"&gt;=106300")&gt;0,"X","")</f>
      </c>
      <c r="K29" s="56" t="str">
        <f>IF(COUNTIFS('LANÇAMENTOS DIÁRIOS'!$G$5:$G$500,"E",'LANÇAMENTOS DIÁRIOS'!$C$5:$C$500,$A29,'LANÇAMENTOS DIÁRIOS'!$O$5:$O$500,"&lt;=106499",'LANÇAMENTOS DIÁRIOS'!$P$5:$P$500,"&gt;=106400")&gt;0,"X","")</f>
      </c>
      <c r="L29" s="56" t="str">
        <f>IF(COUNTIFS('LANÇAMENTOS DIÁRIOS'!$G$5:$G$500,"E",'LANÇAMENTOS DIÁRIOS'!$C$5:$C$500,$A29,'LANÇAMENTOS DIÁRIOS'!$O$5:$O$500,"&lt;=106599",'LANÇAMENTOS DIÁRIOS'!$P$5:$P$500,"&gt;=106500")&gt;0,"X","")</f>
      </c>
      <c r="M29" s="56" t="str">
        <f>IF(COUNTIFS('LANÇAMENTOS DIÁRIOS'!$G$5:$G$500,"E",'LANÇAMENTOS DIÁRIOS'!$C$5:$C$500,$A29,'LANÇAMENTOS DIÁRIOS'!$O$5:$O$500,"&lt;=106699",'LANÇAMENTOS DIÁRIOS'!$P$5:$P$500,"&gt;=106600")&gt;0,"X","")</f>
      </c>
      <c r="N29" s="56" t="str">
        <f>IF(COUNTIFS('LANÇAMENTOS DIÁRIOS'!$G$5:$G$500,"E",'LANÇAMENTOS DIÁRIOS'!$C$5:$C$500,$A29,'LANÇAMENTOS DIÁRIOS'!$O$5:$O$500,"&lt;=106799",'LANÇAMENTOS DIÁRIOS'!$P$5:$P$500,"&gt;=106700")&gt;0,"X","")</f>
      </c>
      <c r="O29" s="56" t="str">
        <f>IF(COUNTIFS('LANÇAMENTOS DIÁRIOS'!$G$5:$G$500,"E",'LANÇAMENTOS DIÁRIOS'!$C$5:$C$500,$A29,'LANÇAMENTOS DIÁRIOS'!$O$5:$O$500,"&lt;=106899",'LANÇAMENTOS DIÁRIOS'!$P$5:$P$500,"&gt;=106800")&gt;0,"X","")</f>
      </c>
      <c r="P29" s="56" t="str">
        <f>IF(COUNTIFS('LANÇAMENTOS DIÁRIOS'!$G$5:$G$500,"E",'LANÇAMENTOS DIÁRIOS'!$C$5:$C$500,$A29,'LANÇAMENTOS DIÁRIOS'!$O$5:$O$500,"&lt;=106999",'LANÇAMENTOS DIÁRIOS'!$P$5:$P$500,"&gt;=106900")&gt;0,"X","")</f>
      </c>
      <c r="Q29" s="56" t="str">
        <f>IF(COUNTIFS('LANÇAMENTOS DIÁRIOS'!$G$5:$G$500,"E",'LANÇAMENTOS DIÁRIOS'!$C$5:$C$500,$A29,'LANÇAMENTOS DIÁRIOS'!$O$5:$O$500,"&lt;=107099",'LANÇAMENTOS DIÁRIOS'!$P$5:$P$500,"&gt;=107000")&gt;0,"X","")</f>
      </c>
      <c r="R29" s="56" t="str">
        <f>IF(COUNTIFS('LANÇAMENTOS DIÁRIOS'!$G$5:$G$500,"E",'LANÇAMENTOS DIÁRIOS'!$C$5:$C$500,$A29,'LANÇAMENTOS DIÁRIOS'!$O$5:$O$500,"&lt;=107199",'LANÇAMENTOS DIÁRIOS'!$P$5:$P$500,"&gt;=107100")&gt;0,"X","")</f>
      </c>
      <c r="S29" s="56" t="str">
        <f>IF(COUNTIFS('LANÇAMENTOS DIÁRIOS'!$G$5:$G$500,"E",'LANÇAMENTOS DIÁRIOS'!$C$5:$C$500,$A29,'LANÇAMENTOS DIÁRIOS'!$O$5:$O$500,"&lt;=107299",'LANÇAMENTOS DIÁRIOS'!$P$5:$P$500,"&gt;=107200")&gt;0,"X","")</f>
      </c>
      <c r="T29" s="56" t="str">
        <f>IF(COUNTIFS('LANÇAMENTOS DIÁRIOS'!$G$5:$G$500,"E",'LANÇAMENTOS DIÁRIOS'!$C$5:$C$500,$A29,'LANÇAMENTOS DIÁRIOS'!$O$5:$O$500,"&lt;=107399",'LANÇAMENTOS DIÁRIOS'!$P$5:$P$500,"&gt;=107300")&gt;0,"X","")</f>
      </c>
      <c r="U29" s="56" t="str">
        <f>IF(COUNTIFS('LANÇAMENTOS DIÁRIOS'!$G$5:$G$500,"E",'LANÇAMENTOS DIÁRIOS'!$C$5:$C$500,$A29,'LANÇAMENTOS DIÁRIOS'!$O$5:$O$500,"&lt;=107499",'LANÇAMENTOS DIÁRIOS'!$P$5:$P$500,"&gt;=107400")&gt;0,"X","")</f>
      </c>
      <c r="V29" s="56" t="str">
        <f>IF(COUNTIFS('LANÇAMENTOS DIÁRIOS'!$G$5:$G$500,"E",'LANÇAMENTOS DIÁRIOS'!$C$5:$C$500,$A29,'LANÇAMENTOS DIÁRIOS'!$O$5:$O$500,"&lt;=107599",'LANÇAMENTOS DIÁRIOS'!$P$5:$P$500,"&gt;=107500")&gt;0,"X","")</f>
      </c>
      <c r="W29" s="56" t="str">
        <f>IF(COUNTIFS('LANÇAMENTOS DIÁRIOS'!$G$5:$G$500,"E",'LANÇAMENTOS DIÁRIOS'!$C$5:$C$500,$A29,'LANÇAMENTOS DIÁRIOS'!$O$5:$O$500,"&lt;=107699",'LANÇAMENTOS DIÁRIOS'!$P$5:$P$500,"&gt;=107600")&gt;0,"X","")</f>
      </c>
      <c r="X29" s="56" t="str">
        <f>IF(COUNTIFS('LANÇAMENTOS DIÁRIOS'!$G$5:$G$500,"E",'LANÇAMENTOS DIÁRIOS'!$C$5:$C$500,$A29,'LANÇAMENTOS DIÁRIOS'!$O$5:$O$500,"&lt;=107799",'LANÇAMENTOS DIÁRIOS'!$P$5:$P$500,"&gt;=107700")&gt;0,"X","")</f>
      </c>
      <c r="Y29" s="56" t="str">
        <f>IF(COUNTIFS('LANÇAMENTOS DIÁRIOS'!$G$5:$G$500,"E",'LANÇAMENTOS DIÁRIOS'!$C$5:$C$500,$A29,'LANÇAMENTOS DIÁRIOS'!$O$5:$O$500,"&lt;=107899",'LANÇAMENTOS DIÁRIOS'!$P$5:$P$500,"&gt;=107800")&gt;0,"X","")</f>
      </c>
      <c r="Z29" s="56" t="str">
        <f>IF(COUNTIFS('LANÇAMENTOS DIÁRIOS'!$G$5:$G$500,"E",'LANÇAMENTOS DIÁRIOS'!$C$5:$C$500,$A29,'LANÇAMENTOS DIÁRIOS'!$O$5:$O$500,"&lt;=107999",'LANÇAMENTOS DIÁRIOS'!$P$5:$P$500,"&gt;=107900")&gt;0,"X","")</f>
      </c>
      <c r="AA29" s="56" t="str">
        <f>IF(COUNTIFS('LANÇAMENTOS DIÁRIOS'!$G$5:$G$500,"E",'LANÇAMENTOS DIÁRIOS'!$C$5:$C$500,$A29,'LANÇAMENTOS DIÁRIOS'!$O$5:$O$500,"&lt;=108099",'LANÇAMENTOS DIÁRIOS'!$P$5:$P$500,"&gt;=108000")&gt;0,"X","")</f>
      </c>
      <c r="AB29" s="56" t="str">
        <f>IF(COUNTIFS('LANÇAMENTOS DIÁRIOS'!$G$5:$G$500,"E",'LANÇAMENTOS DIÁRIOS'!$C$5:$C$500,$A29,'LANÇAMENTOS DIÁRIOS'!$O$5:$O$500,"&lt;=108199",'LANÇAMENTOS DIÁRIOS'!$P$5:$P$500,"&gt;=108100")&gt;0,"X","")</f>
      </c>
      <c r="AC29" s="56" t="str">
        <f>IF(COUNTIFS('LANÇAMENTOS DIÁRIOS'!$G$5:$G$500,"E",'LANÇAMENTOS DIÁRIOS'!$C$5:$C$500,$A29,'LANÇAMENTOS DIÁRIOS'!$O$5:$O$500,"&lt;=108299",'LANÇAMENTOS DIÁRIOS'!$P$5:$P$500,"&gt;=108200")&gt;0,"X","")</f>
      </c>
      <c r="AD29" s="56" t="str">
        <f>IF(COUNTIFS('LANÇAMENTOS DIÁRIOS'!$G$5:$G$500,"E",'LANÇAMENTOS DIÁRIOS'!$C$5:$C$500,$A29,'LANÇAMENTOS DIÁRIOS'!$O$5:$O$500,"&lt;=108399",'LANÇAMENTOS DIÁRIOS'!$P$5:$P$500,"&gt;=108300")&gt;0,"X","")</f>
      </c>
      <c r="AE29" s="56" t="str">
        <f>IF(COUNTIFS('LANÇAMENTOS DIÁRIOS'!$G$5:$G$500,"E",'LANÇAMENTOS DIÁRIOS'!$C$5:$C$500,$A29,'LANÇAMENTOS DIÁRIOS'!$O$5:$O$500,"&lt;=108499",'LANÇAMENTOS DIÁRIOS'!$P$5:$P$500,"&gt;=108400")&gt;0,"X","")</f>
      </c>
      <c r="AF29" s="56" t="str">
        <f>IF(COUNTIFS('LANÇAMENTOS DIÁRIOS'!$G$5:$G$500,"E",'LANÇAMENTOS DIÁRIOS'!$C$5:$C$500,$A29,'LANÇAMENTOS DIÁRIOS'!$O$5:$O$500,"&lt;=108599",'LANÇAMENTOS DIÁRIOS'!$P$5:$P$500,"&gt;=108500")&gt;0,"X","")</f>
      </c>
      <c r="AG29" s="56" t="str">
        <f>IF(COUNTIFS('LANÇAMENTOS DIÁRIOS'!$G$5:$G$500,"E",'LANÇAMENTOS DIÁRIOS'!$C$5:$C$500,$A29,'LANÇAMENTOS DIÁRIOS'!$O$5:$O$500,"&lt;=108699",'LANÇAMENTOS DIÁRIOS'!$P$5:$P$500,"&gt;=108600")&gt;0,"X","")</f>
      </c>
      <c r="AH29" s="56" t="str">
        <f>IF(COUNTIFS('LANÇAMENTOS DIÁRIOS'!$G$5:$G$500,"E",'LANÇAMENTOS DIÁRIOS'!$C$5:$C$500,$A29,'LANÇAMENTOS DIÁRIOS'!$O$5:$O$500,"&lt;=108799",'LANÇAMENTOS DIÁRIOS'!$P$5:$P$500,"&gt;=108700")&gt;0,"X","")</f>
      </c>
      <c r="AI29" s="56" t="str">
        <f>IF(COUNTIFS('LANÇAMENTOS DIÁRIOS'!$G$5:$G$500,"E",'LANÇAMENTOS DIÁRIOS'!$C$5:$C$500,$A29,'LANÇAMENTOS DIÁRIOS'!$O$5:$O$500,"&lt;=108899",'LANÇAMENTOS DIÁRIOS'!$P$5:$P$500,"&gt;=108800")&gt;0,"X","")</f>
      </c>
      <c r="AJ29" s="56" t="str">
        <f>IF(COUNTIFS('LANÇAMENTOS DIÁRIOS'!$G$5:$G$500,"E",'LANÇAMENTOS DIÁRIOS'!$C$5:$C$500,$A29,'LANÇAMENTOS DIÁRIOS'!$O$5:$O$500,"&lt;=108999",'LANÇAMENTOS DIÁRIOS'!$P$5:$P$500,"&gt;=108900")&gt;0,"X","")</f>
      </c>
      <c r="AK29" s="56" t="str">
        <f>IF(COUNTIFS('LANÇAMENTOS DIÁRIOS'!$G$5:$G$500,"E",'LANÇAMENTOS DIÁRIOS'!$C$5:$C$500,$A29,'LANÇAMENTOS DIÁRIOS'!$O$5:$O$500,"&lt;=109099",'LANÇAMENTOS DIÁRIOS'!$P$5:$P$500,"&gt;=109000")&gt;0,"X","")</f>
      </c>
      <c r="AL29" s="56" t="str">
        <f>IF(COUNTIFS('LANÇAMENTOS DIÁRIOS'!$G$5:$G$500,"E",'LANÇAMENTOS DIÁRIOS'!$C$5:$C$500,$A29,'LANÇAMENTOS DIÁRIOS'!$O$5:$O$500,"&lt;=109199",'LANÇAMENTOS DIÁRIOS'!$P$5:$P$500,"&gt;=109100")&gt;0,"X","")</f>
      </c>
      <c r="AM29" s="56" t="str">
        <f>IF(COUNTIFS('LANÇAMENTOS DIÁRIOS'!$G$5:$G$500,"E",'LANÇAMENTOS DIÁRIOS'!$C$5:$C$500,$A29,'LANÇAMENTOS DIÁRIOS'!$O$5:$O$500,"&lt;=109299",'LANÇAMENTOS DIÁRIOS'!$P$5:$P$500,"&gt;=109200")&gt;0,"X","")</f>
      </c>
      <c r="AN29" s="56" t="str">
        <f>IF(COUNTIFS('LANÇAMENTOS DIÁRIOS'!$G$5:$G$500,"E",'LANÇAMENTOS DIÁRIOS'!$C$5:$C$500,$A29,'LANÇAMENTOS DIÁRIOS'!$O$5:$O$500,"&lt;=109399",'LANÇAMENTOS DIÁRIOS'!$P$5:$P$500,"&gt;=109300")&gt;0,"X","")</f>
      </c>
      <c r="AO29" s="56" t="str">
        <f>IF(COUNTIFS('LANÇAMENTOS DIÁRIOS'!$G$5:$G$500,"E",'LANÇAMENTOS DIÁRIOS'!$C$5:$C$500,$A29,'LANÇAMENTOS DIÁRIOS'!$O$5:$O$500,"&lt;=109499",'LANÇAMENTOS DIÁRIOS'!$P$5:$P$500,"&gt;=109400")&gt;0,"X","")</f>
      </c>
      <c r="AP29" s="56" t="str">
        <f>IF(COUNTIFS('LANÇAMENTOS DIÁRIOS'!$G$5:$G$500,"E",'LANÇAMENTOS DIÁRIOS'!$C$5:$C$500,$A29,'LANÇAMENTOS DIÁRIOS'!$O$5:$O$500,"&lt;=109599",'LANÇAMENTOS DIÁRIOS'!$P$5:$P$500,"&gt;=109500")&gt;0,"X","")</f>
      </c>
      <c r="AQ29" s="56" t="str">
        <f>IF(COUNTIFS('LANÇAMENTOS DIÁRIOS'!$G$5:$G$500,"E",'LANÇAMENTOS DIÁRIOS'!$C$5:$C$500,$A29,'LANÇAMENTOS DIÁRIOS'!$O$5:$O$500,"&lt;=109699",'LANÇAMENTOS DIÁRIOS'!$P$5:$P$500,"&gt;=109600")&gt;0,"X","")</f>
      </c>
      <c r="AR29" s="56" t="str">
        <f>IF(COUNTIFS('LANÇAMENTOS DIÁRIOS'!$G$5:$G$500,"E",'LANÇAMENTOS DIÁRIOS'!$C$5:$C$500,$A29,'LANÇAMENTOS DIÁRIOS'!$O$5:$O$500,"&lt;=109799",'LANÇAMENTOS DIÁRIOS'!$P$5:$P$500,"&gt;=109700")&gt;0,"X","")</f>
      </c>
      <c r="AS29" s="56" t="str">
        <f>IF(COUNTIFS('LANÇAMENTOS DIÁRIOS'!$G$5:$G$500,"E",'LANÇAMENTOS DIÁRIOS'!$C$5:$C$500,$A29,'LANÇAMENTOS DIÁRIOS'!$O$5:$O$500,"&lt;=109899",'LANÇAMENTOS DIÁRIOS'!$P$5:$P$500,"&gt;=109800")&gt;0,"X","")</f>
      </c>
      <c r="AT29" s="56" t="str">
        <f>IF(COUNTIFS('LANÇAMENTOS DIÁRIOS'!$G$5:$G$500,"E",'LANÇAMENTOS DIÁRIOS'!$C$5:$C$500,$A29,'LANÇAMENTOS DIÁRIOS'!$O$5:$O$500,"&lt;=109999",'LANÇAMENTOS DIÁRIOS'!$P$5:$P$500,"&gt;=109900")&gt;0,"X","")</f>
      </c>
      <c r="AU29" s="56" t="str">
        <f>IF(COUNTIFS('LANÇAMENTOS DIÁRIOS'!$G$5:$G$500,"E",'LANÇAMENTOS DIÁRIOS'!$C$5:$C$500,$A29,'LANÇAMENTOS DIÁRIOS'!$O$5:$O$500,"&lt;=110099",'LANÇAMENTOS DIÁRIOS'!$P$5:$P$500,"&gt;=110000")&gt;0,"X","")</f>
      </c>
      <c r="AV29" s="56" t="str">
        <f>IF(COUNTIFS('LANÇAMENTOS DIÁRIOS'!$G$5:$G$500,"E",'LANÇAMENTOS DIÁRIOS'!$C$5:$C$500,$A29,'LANÇAMENTOS DIÁRIOS'!$O$5:$O$500,"&lt;=110199",'LANÇAMENTOS DIÁRIOS'!$P$5:$P$500,"&gt;=110100")&gt;0,"X","")</f>
      </c>
      <c r="AW29" s="56" t="str">
        <f>IF(COUNTIFS('LANÇAMENTOS DIÁRIOS'!$G$5:$G$500,"E",'LANÇAMENTOS DIÁRIOS'!$C$5:$C$500,$A29,'LANÇAMENTOS DIÁRIOS'!$O$5:$O$500,"&lt;=110299",'LANÇAMENTOS DIÁRIOS'!$P$5:$P$500,"&gt;=110200")&gt;0,"X","")</f>
      </c>
      <c r="AX29" s="56" t="str">
        <f>IF(COUNTIFS('LANÇAMENTOS DIÁRIOS'!$G$5:$G$500,"E",'LANÇAMENTOS DIÁRIOS'!$C$5:$C$500,$A29,'LANÇAMENTOS DIÁRIOS'!$O$5:$O$500,"&lt;=110399",'LANÇAMENTOS DIÁRIOS'!$P$5:$P$500,"&gt;=110300")&gt;0,"X","")</f>
      </c>
      <c r="AY29" s="56" t="str">
        <f>IF(COUNTIFS('LANÇAMENTOS DIÁRIOS'!$G$5:$G$500,"E",'LANÇAMENTOS DIÁRIOS'!$C$5:$C$500,$A29,'LANÇAMENTOS DIÁRIOS'!$O$5:$O$500,"&lt;=110499",'LANÇAMENTOS DIÁRIOS'!$P$5:$P$500,"&gt;=110400")&gt;0,"X","")</f>
      </c>
      <c r="AZ29" s="56" t="str">
        <f>IF(COUNTIFS('LANÇAMENTOS DIÁRIOS'!$G$5:$G$500,"E",'LANÇAMENTOS DIÁRIOS'!$C$5:$C$500,$A29,'LANÇAMENTOS DIÁRIOS'!$O$5:$O$500,"&lt;=110599",'LANÇAMENTOS DIÁRIOS'!$P$5:$P$500,"&gt;=110500")&gt;0,"X","")</f>
      </c>
      <c r="BA29" s="56" t="str">
        <f>IF(COUNTIFS('LANÇAMENTOS DIÁRIOS'!$G$5:$G$500,"E",'LANÇAMENTOS DIÁRIOS'!$C$5:$C$500,$A29,'LANÇAMENTOS DIÁRIOS'!$O$5:$O$500,"&lt;=110699",'LANÇAMENTOS DIÁRIOS'!$P$5:$P$500,"&gt;=110600")&gt;0,"X","")</f>
      </c>
      <c r="BB29" s="56" t="str">
        <f>IF(COUNTIFS('LANÇAMENTOS DIÁRIOS'!$G$5:$G$500,"E",'LANÇAMENTOS DIÁRIOS'!$C$5:$C$500,$A29,'LANÇAMENTOS DIÁRIOS'!$O$5:$O$500,"&lt;=110799",'LANÇAMENTOS DIÁRIOS'!$P$5:$P$500,"&gt;=110700")&gt;0,"X","")</f>
      </c>
      <c r="BC29" s="56" t="str">
        <f>IF(COUNTIFS('LANÇAMENTOS DIÁRIOS'!$G$5:$G$500,"E",'LANÇAMENTOS DIÁRIOS'!$C$5:$C$500,$A29,'LANÇAMENTOS DIÁRIOS'!$O$5:$O$500,"&lt;=110899",'LANÇAMENTOS DIÁRIOS'!$P$5:$P$500,"&gt;=110800")&gt;0,"X","")</f>
      </c>
      <c r="BD29" s="56" t="str">
        <f>IF(COUNTIFS('LANÇAMENTOS DIÁRIOS'!$G$5:$G$500,"E",'LANÇAMENTOS DIÁRIOS'!$C$5:$C$500,$A29,'LANÇAMENTOS DIÁRIOS'!$O$5:$O$500,"&lt;=110999",'LANÇAMENTOS DIÁRIOS'!$P$5:$P$500,"&gt;=110900")&gt;0,"X","")</f>
      </c>
      <c r="BE29" s="56" t="str">
        <f>IF(COUNTIFS('LANÇAMENTOS DIÁRIOS'!$G$5:$G$500,"E",'LANÇAMENTOS DIÁRIOS'!$C$5:$C$500,$A29,'LANÇAMENTOS DIÁRIOS'!$O$5:$O$500,"&lt;=111099",'LANÇAMENTOS DIÁRIOS'!$P$5:$P$500,"&gt;=111000")&gt;0,"X","")</f>
      </c>
      <c r="BF29" s="56" t="str">
        <f>IF(COUNTIFS('LANÇAMENTOS DIÁRIOS'!$G$5:$G$500,"E",'LANÇAMENTOS DIÁRIOS'!$C$5:$C$500,$A29,'LANÇAMENTOS DIÁRIOS'!$O$5:$O$500,"&lt;=111199",'LANÇAMENTOS DIÁRIOS'!$P$5:$P$500,"&gt;=111100")&gt;0,"X","")</f>
      </c>
      <c r="BG29" s="56" t="str">
        <f>IF(COUNTIFS('LANÇAMENTOS DIÁRIOS'!$G$5:$G$500,"E",'LANÇAMENTOS DIÁRIOS'!$C$5:$C$500,$A29,'LANÇAMENTOS DIÁRIOS'!$O$5:$O$500,"&lt;=111299",'LANÇAMENTOS DIÁRIOS'!$P$5:$P$500,"&gt;=111200")&gt;0,"X","")</f>
      </c>
      <c r="BH29" s="56" t="str">
        <f>IF(COUNTIFS('LANÇAMENTOS DIÁRIOS'!$G$5:$G$500,"E",'LANÇAMENTOS DIÁRIOS'!$C$5:$C$500,$A29,'LANÇAMENTOS DIÁRIOS'!$O$5:$O$500,"&lt;=111399",'LANÇAMENTOS DIÁRIOS'!$P$5:$P$500,"&gt;=111300")&gt;0,"X","")</f>
      </c>
      <c r="BI29" s="56" t="str">
        <f>IF(COUNTIFS('LANÇAMENTOS DIÁRIOS'!$G$5:$G$500,"E",'LANÇAMENTOS DIÁRIOS'!$C$5:$C$500,$A29,'LANÇAMENTOS DIÁRIOS'!$O$5:$O$500,"&lt;=111499",'LANÇAMENTOS DIÁRIOS'!$P$5:$P$500,"&gt;=111400")&gt;0,"X","")</f>
      </c>
      <c r="BJ29" s="56" t="str">
        <f>IF(COUNTIFS('LANÇAMENTOS DIÁRIOS'!$G$5:$G$500,"E",'LANÇAMENTOS DIÁRIOS'!$C$5:$C$500,$A29,'LANÇAMENTOS DIÁRIOS'!$O$5:$O$500,"&lt;=111500",'LANÇAMENTOS DIÁRIOS'!$P$5:$P$500,"&gt;=111500")&gt;0,"X","")</f>
      </c>
    </row>
    <row r="30">
      <c r="A30" s="51" t="str">
        <v>Derrubada e destocamento.arv. c/ diâmetro 20&lt;&gt;30cm, com limpeza da área</v>
      </c>
      <c r="B30" s="56" t="str">
        <f>IF(COUNTIFS('LANÇAMENTOS DIÁRIOS'!$G$5:$G$500,"E",'LANÇAMENTOS DIÁRIOS'!$C$5:$C$500,$A30,'LANÇAMENTOS DIÁRIOS'!$O$5:$O$500,"&lt;=105599",'LANÇAMENTOS DIÁRIOS'!$P$5:$P$500,"&gt;=105500")&gt;0,"X","")</f>
      </c>
      <c r="C30" s="56" t="str">
        <f>IF(COUNTIFS('LANÇAMENTOS DIÁRIOS'!$G$5:$G$500,"E",'LANÇAMENTOS DIÁRIOS'!$C$5:$C$500,$A30,'LANÇAMENTOS DIÁRIOS'!$O$5:$O$500,"&lt;=105699",'LANÇAMENTOS DIÁRIOS'!$P$5:$P$500,"&gt;=105600")&gt;0,"X","")</f>
      </c>
      <c r="D30" s="56" t="str">
        <f>IF(COUNTIFS('LANÇAMENTOS DIÁRIOS'!$G$5:$G$500,"E",'LANÇAMENTOS DIÁRIOS'!$C$5:$C$500,$A30,'LANÇAMENTOS DIÁRIOS'!$O$5:$O$500,"&lt;=105799",'LANÇAMENTOS DIÁRIOS'!$P$5:$P$500,"&gt;=105700")&gt;0,"X","")</f>
      </c>
      <c r="E30" s="56" t="str">
        <f>IF(COUNTIFS('LANÇAMENTOS DIÁRIOS'!$G$5:$G$500,"E",'LANÇAMENTOS DIÁRIOS'!$C$5:$C$500,$A30,'LANÇAMENTOS DIÁRIOS'!$O$5:$O$500,"&lt;=105899",'LANÇAMENTOS DIÁRIOS'!$P$5:$P$500,"&gt;=105800")&gt;0,"X","")</f>
      </c>
      <c r="F30" s="56" t="str">
        <f>IF(COUNTIFS('LANÇAMENTOS DIÁRIOS'!$G$5:$G$500,"E",'LANÇAMENTOS DIÁRIOS'!$C$5:$C$500,$A30,'LANÇAMENTOS DIÁRIOS'!$O$5:$O$500,"&lt;=105999",'LANÇAMENTOS DIÁRIOS'!$P$5:$P$500,"&gt;=105900")&gt;0,"X","")</f>
      </c>
      <c r="G30" s="56" t="str">
        <f>IF(COUNTIFS('LANÇAMENTOS DIÁRIOS'!$G$5:$G$500,"E",'LANÇAMENTOS DIÁRIOS'!$C$5:$C$500,$A30,'LANÇAMENTOS DIÁRIOS'!$O$5:$O$500,"&lt;=106099",'LANÇAMENTOS DIÁRIOS'!$P$5:$P$500,"&gt;=106000")&gt;0,"X","")</f>
      </c>
      <c r="H30" s="56" t="str">
        <f>IF(COUNTIFS('LANÇAMENTOS DIÁRIOS'!$G$5:$G$500,"E",'LANÇAMENTOS DIÁRIOS'!$C$5:$C$500,$A30,'LANÇAMENTOS DIÁRIOS'!$O$5:$O$500,"&lt;=106199",'LANÇAMENTOS DIÁRIOS'!$P$5:$P$500,"&gt;=106100")&gt;0,"X","")</f>
      </c>
      <c r="I30" s="56" t="str">
        <f>IF(COUNTIFS('LANÇAMENTOS DIÁRIOS'!$G$5:$G$500,"E",'LANÇAMENTOS DIÁRIOS'!$C$5:$C$500,$A30,'LANÇAMENTOS DIÁRIOS'!$O$5:$O$500,"&lt;=106299",'LANÇAMENTOS DIÁRIOS'!$P$5:$P$500,"&gt;=106200")&gt;0,"X","")</f>
      </c>
      <c r="J30" s="56" t="str">
        <f>IF(COUNTIFS('LANÇAMENTOS DIÁRIOS'!$G$5:$G$500,"E",'LANÇAMENTOS DIÁRIOS'!$C$5:$C$500,$A30,'LANÇAMENTOS DIÁRIOS'!$O$5:$O$500,"&lt;=106399",'LANÇAMENTOS DIÁRIOS'!$P$5:$P$500,"&gt;=106300")&gt;0,"X","")</f>
      </c>
      <c r="K30" s="56" t="str">
        <f>IF(COUNTIFS('LANÇAMENTOS DIÁRIOS'!$G$5:$G$500,"E",'LANÇAMENTOS DIÁRIOS'!$C$5:$C$500,$A30,'LANÇAMENTOS DIÁRIOS'!$O$5:$O$500,"&lt;=106499",'LANÇAMENTOS DIÁRIOS'!$P$5:$P$500,"&gt;=106400")&gt;0,"X","")</f>
      </c>
      <c r="L30" s="56" t="str">
        <f>IF(COUNTIFS('LANÇAMENTOS DIÁRIOS'!$G$5:$G$500,"E",'LANÇAMENTOS DIÁRIOS'!$C$5:$C$500,$A30,'LANÇAMENTOS DIÁRIOS'!$O$5:$O$500,"&lt;=106599",'LANÇAMENTOS DIÁRIOS'!$P$5:$P$500,"&gt;=106500")&gt;0,"X","")</f>
      </c>
      <c r="M30" s="56" t="str">
        <f>IF(COUNTIFS('LANÇAMENTOS DIÁRIOS'!$G$5:$G$500,"E",'LANÇAMENTOS DIÁRIOS'!$C$5:$C$500,$A30,'LANÇAMENTOS DIÁRIOS'!$O$5:$O$500,"&lt;=106699",'LANÇAMENTOS DIÁRIOS'!$P$5:$P$500,"&gt;=106600")&gt;0,"X","")</f>
      </c>
      <c r="N30" s="56" t="str">
        <f>IF(COUNTIFS('LANÇAMENTOS DIÁRIOS'!$G$5:$G$500,"E",'LANÇAMENTOS DIÁRIOS'!$C$5:$C$500,$A30,'LANÇAMENTOS DIÁRIOS'!$O$5:$O$500,"&lt;=106799",'LANÇAMENTOS DIÁRIOS'!$P$5:$P$500,"&gt;=106700")&gt;0,"X","")</f>
      </c>
      <c r="O30" s="56" t="str">
        <f>IF(COUNTIFS('LANÇAMENTOS DIÁRIOS'!$G$5:$G$500,"E",'LANÇAMENTOS DIÁRIOS'!$C$5:$C$500,$A30,'LANÇAMENTOS DIÁRIOS'!$O$5:$O$500,"&lt;=106899",'LANÇAMENTOS DIÁRIOS'!$P$5:$P$500,"&gt;=106800")&gt;0,"X","")</f>
      </c>
      <c r="P30" s="56" t="str">
        <f>IF(COUNTIFS('LANÇAMENTOS DIÁRIOS'!$G$5:$G$500,"E",'LANÇAMENTOS DIÁRIOS'!$C$5:$C$500,$A30,'LANÇAMENTOS DIÁRIOS'!$O$5:$O$500,"&lt;=106999",'LANÇAMENTOS DIÁRIOS'!$P$5:$P$500,"&gt;=106900")&gt;0,"X","")</f>
      </c>
      <c r="Q30" s="56" t="str">
        <f>IF(COUNTIFS('LANÇAMENTOS DIÁRIOS'!$G$5:$G$500,"E",'LANÇAMENTOS DIÁRIOS'!$C$5:$C$500,$A30,'LANÇAMENTOS DIÁRIOS'!$O$5:$O$500,"&lt;=107099",'LANÇAMENTOS DIÁRIOS'!$P$5:$P$500,"&gt;=107000")&gt;0,"X","")</f>
      </c>
      <c r="R30" s="56" t="str">
        <f>IF(COUNTIFS('LANÇAMENTOS DIÁRIOS'!$G$5:$G$500,"E",'LANÇAMENTOS DIÁRIOS'!$C$5:$C$500,$A30,'LANÇAMENTOS DIÁRIOS'!$O$5:$O$500,"&lt;=107199",'LANÇAMENTOS DIÁRIOS'!$P$5:$P$500,"&gt;=107100")&gt;0,"X","")</f>
      </c>
      <c r="S30" s="56" t="str">
        <f>IF(COUNTIFS('LANÇAMENTOS DIÁRIOS'!$G$5:$G$500,"E",'LANÇAMENTOS DIÁRIOS'!$C$5:$C$500,$A30,'LANÇAMENTOS DIÁRIOS'!$O$5:$O$500,"&lt;=107299",'LANÇAMENTOS DIÁRIOS'!$P$5:$P$500,"&gt;=107200")&gt;0,"X","")</f>
      </c>
      <c r="T30" s="56" t="str">
        <f>IF(COUNTIFS('LANÇAMENTOS DIÁRIOS'!$G$5:$G$500,"E",'LANÇAMENTOS DIÁRIOS'!$C$5:$C$500,$A30,'LANÇAMENTOS DIÁRIOS'!$O$5:$O$500,"&lt;=107399",'LANÇAMENTOS DIÁRIOS'!$P$5:$P$500,"&gt;=107300")&gt;0,"X","")</f>
      </c>
      <c r="U30" s="56" t="str">
        <f>IF(COUNTIFS('LANÇAMENTOS DIÁRIOS'!$G$5:$G$500,"E",'LANÇAMENTOS DIÁRIOS'!$C$5:$C$500,$A30,'LANÇAMENTOS DIÁRIOS'!$O$5:$O$500,"&lt;=107499",'LANÇAMENTOS DIÁRIOS'!$P$5:$P$500,"&gt;=107400")&gt;0,"X","")</f>
      </c>
      <c r="V30" s="56" t="str">
        <f>IF(COUNTIFS('LANÇAMENTOS DIÁRIOS'!$G$5:$G$500,"E",'LANÇAMENTOS DIÁRIOS'!$C$5:$C$500,$A30,'LANÇAMENTOS DIÁRIOS'!$O$5:$O$500,"&lt;=107599",'LANÇAMENTOS DIÁRIOS'!$P$5:$P$500,"&gt;=107500")&gt;0,"X","")</f>
      </c>
      <c r="W30" s="56" t="str">
        <f>IF(COUNTIFS('LANÇAMENTOS DIÁRIOS'!$G$5:$G$500,"E",'LANÇAMENTOS DIÁRIOS'!$C$5:$C$500,$A30,'LANÇAMENTOS DIÁRIOS'!$O$5:$O$500,"&lt;=107699",'LANÇAMENTOS DIÁRIOS'!$P$5:$P$500,"&gt;=107600")&gt;0,"X","")</f>
      </c>
      <c r="X30" s="56" t="str">
        <f>IF(COUNTIFS('LANÇAMENTOS DIÁRIOS'!$G$5:$G$500,"E",'LANÇAMENTOS DIÁRIOS'!$C$5:$C$500,$A30,'LANÇAMENTOS DIÁRIOS'!$O$5:$O$500,"&lt;=107799",'LANÇAMENTOS DIÁRIOS'!$P$5:$P$500,"&gt;=107700")&gt;0,"X","")</f>
      </c>
      <c r="Y30" s="56" t="str">
        <f>IF(COUNTIFS('LANÇAMENTOS DIÁRIOS'!$G$5:$G$500,"E",'LANÇAMENTOS DIÁRIOS'!$C$5:$C$500,$A30,'LANÇAMENTOS DIÁRIOS'!$O$5:$O$500,"&lt;=107899",'LANÇAMENTOS DIÁRIOS'!$P$5:$P$500,"&gt;=107800")&gt;0,"X","")</f>
      </c>
      <c r="Z30" s="56" t="str">
        <f>IF(COUNTIFS('LANÇAMENTOS DIÁRIOS'!$G$5:$G$500,"E",'LANÇAMENTOS DIÁRIOS'!$C$5:$C$500,$A30,'LANÇAMENTOS DIÁRIOS'!$O$5:$O$500,"&lt;=107999",'LANÇAMENTOS DIÁRIOS'!$P$5:$P$500,"&gt;=107900")&gt;0,"X","")</f>
      </c>
      <c r="AA30" s="56" t="str">
        <f>IF(COUNTIFS('LANÇAMENTOS DIÁRIOS'!$G$5:$G$500,"E",'LANÇAMENTOS DIÁRIOS'!$C$5:$C$500,$A30,'LANÇAMENTOS DIÁRIOS'!$O$5:$O$500,"&lt;=108099",'LANÇAMENTOS DIÁRIOS'!$P$5:$P$500,"&gt;=108000")&gt;0,"X","")</f>
      </c>
      <c r="AB30" s="56" t="str">
        <f>IF(COUNTIFS('LANÇAMENTOS DIÁRIOS'!$G$5:$G$500,"E",'LANÇAMENTOS DIÁRIOS'!$C$5:$C$500,$A30,'LANÇAMENTOS DIÁRIOS'!$O$5:$O$500,"&lt;=108199",'LANÇAMENTOS DIÁRIOS'!$P$5:$P$500,"&gt;=108100")&gt;0,"X","")</f>
      </c>
      <c r="AC30" s="56" t="str">
        <f>IF(COUNTIFS('LANÇAMENTOS DIÁRIOS'!$G$5:$G$500,"E",'LANÇAMENTOS DIÁRIOS'!$C$5:$C$500,$A30,'LANÇAMENTOS DIÁRIOS'!$O$5:$O$500,"&lt;=108299",'LANÇAMENTOS DIÁRIOS'!$P$5:$P$500,"&gt;=108200")&gt;0,"X","")</f>
      </c>
      <c r="AD30" s="56" t="str">
        <f>IF(COUNTIFS('LANÇAMENTOS DIÁRIOS'!$G$5:$G$500,"E",'LANÇAMENTOS DIÁRIOS'!$C$5:$C$500,$A30,'LANÇAMENTOS DIÁRIOS'!$O$5:$O$500,"&lt;=108399",'LANÇAMENTOS DIÁRIOS'!$P$5:$P$500,"&gt;=108300")&gt;0,"X","")</f>
      </c>
      <c r="AE30" s="56" t="str">
        <f>IF(COUNTIFS('LANÇAMENTOS DIÁRIOS'!$G$5:$G$500,"E",'LANÇAMENTOS DIÁRIOS'!$C$5:$C$500,$A30,'LANÇAMENTOS DIÁRIOS'!$O$5:$O$500,"&lt;=108499",'LANÇAMENTOS DIÁRIOS'!$P$5:$P$500,"&gt;=108400")&gt;0,"X","")</f>
      </c>
      <c r="AF30" s="56" t="str">
        <f>IF(COUNTIFS('LANÇAMENTOS DIÁRIOS'!$G$5:$G$500,"E",'LANÇAMENTOS DIÁRIOS'!$C$5:$C$500,$A30,'LANÇAMENTOS DIÁRIOS'!$O$5:$O$500,"&lt;=108599",'LANÇAMENTOS DIÁRIOS'!$P$5:$P$500,"&gt;=108500")&gt;0,"X","")</f>
      </c>
      <c r="AG30" s="56" t="str">
        <f>IF(COUNTIFS('LANÇAMENTOS DIÁRIOS'!$G$5:$G$500,"E",'LANÇAMENTOS DIÁRIOS'!$C$5:$C$500,$A30,'LANÇAMENTOS DIÁRIOS'!$O$5:$O$500,"&lt;=108699",'LANÇAMENTOS DIÁRIOS'!$P$5:$P$500,"&gt;=108600")&gt;0,"X","")</f>
      </c>
      <c r="AH30" s="56" t="str">
        <f>IF(COUNTIFS('LANÇAMENTOS DIÁRIOS'!$G$5:$G$500,"E",'LANÇAMENTOS DIÁRIOS'!$C$5:$C$500,$A30,'LANÇAMENTOS DIÁRIOS'!$O$5:$O$500,"&lt;=108799",'LANÇAMENTOS DIÁRIOS'!$P$5:$P$500,"&gt;=108700")&gt;0,"X","")</f>
      </c>
      <c r="AI30" s="56" t="str">
        <f>IF(COUNTIFS('LANÇAMENTOS DIÁRIOS'!$G$5:$G$500,"E",'LANÇAMENTOS DIÁRIOS'!$C$5:$C$500,$A30,'LANÇAMENTOS DIÁRIOS'!$O$5:$O$500,"&lt;=108899",'LANÇAMENTOS DIÁRIOS'!$P$5:$P$500,"&gt;=108800")&gt;0,"X","")</f>
      </c>
      <c r="AJ30" s="56" t="str">
        <f>IF(COUNTIFS('LANÇAMENTOS DIÁRIOS'!$G$5:$G$500,"E",'LANÇAMENTOS DIÁRIOS'!$C$5:$C$500,$A30,'LANÇAMENTOS DIÁRIOS'!$O$5:$O$500,"&lt;=108999",'LANÇAMENTOS DIÁRIOS'!$P$5:$P$500,"&gt;=108900")&gt;0,"X","")</f>
      </c>
      <c r="AK30" s="56" t="str">
        <f>IF(COUNTIFS('LANÇAMENTOS DIÁRIOS'!$G$5:$G$500,"E",'LANÇAMENTOS DIÁRIOS'!$C$5:$C$500,$A30,'LANÇAMENTOS DIÁRIOS'!$O$5:$O$500,"&lt;=109099",'LANÇAMENTOS DIÁRIOS'!$P$5:$P$500,"&gt;=109000")&gt;0,"X","")</f>
      </c>
      <c r="AL30" s="56" t="str">
        <f>IF(COUNTIFS('LANÇAMENTOS DIÁRIOS'!$G$5:$G$500,"E",'LANÇAMENTOS DIÁRIOS'!$C$5:$C$500,$A30,'LANÇAMENTOS DIÁRIOS'!$O$5:$O$500,"&lt;=109199",'LANÇAMENTOS DIÁRIOS'!$P$5:$P$500,"&gt;=109100")&gt;0,"X","")</f>
      </c>
      <c r="AM30" s="56" t="str">
        <f>IF(COUNTIFS('LANÇAMENTOS DIÁRIOS'!$G$5:$G$500,"E",'LANÇAMENTOS DIÁRIOS'!$C$5:$C$500,$A30,'LANÇAMENTOS DIÁRIOS'!$O$5:$O$500,"&lt;=109299",'LANÇAMENTOS DIÁRIOS'!$P$5:$P$500,"&gt;=109200")&gt;0,"X","")</f>
      </c>
      <c r="AN30" s="56" t="str">
        <f>IF(COUNTIFS('LANÇAMENTOS DIÁRIOS'!$G$5:$G$500,"E",'LANÇAMENTOS DIÁRIOS'!$C$5:$C$500,$A30,'LANÇAMENTOS DIÁRIOS'!$O$5:$O$500,"&lt;=109399",'LANÇAMENTOS DIÁRIOS'!$P$5:$P$500,"&gt;=109300")&gt;0,"X","")</f>
      </c>
      <c r="AO30" s="56" t="str">
        <f>IF(COUNTIFS('LANÇAMENTOS DIÁRIOS'!$G$5:$G$500,"E",'LANÇAMENTOS DIÁRIOS'!$C$5:$C$500,$A30,'LANÇAMENTOS DIÁRIOS'!$O$5:$O$500,"&lt;=109499",'LANÇAMENTOS DIÁRIOS'!$P$5:$P$500,"&gt;=109400")&gt;0,"X","")</f>
      </c>
      <c r="AP30" s="56" t="str">
        <f>IF(COUNTIFS('LANÇAMENTOS DIÁRIOS'!$G$5:$G$500,"E",'LANÇAMENTOS DIÁRIOS'!$C$5:$C$500,$A30,'LANÇAMENTOS DIÁRIOS'!$O$5:$O$500,"&lt;=109599",'LANÇAMENTOS DIÁRIOS'!$P$5:$P$500,"&gt;=109500")&gt;0,"X","")</f>
      </c>
      <c r="AQ30" s="56" t="str">
        <f>IF(COUNTIFS('LANÇAMENTOS DIÁRIOS'!$G$5:$G$500,"E",'LANÇAMENTOS DIÁRIOS'!$C$5:$C$500,$A30,'LANÇAMENTOS DIÁRIOS'!$O$5:$O$500,"&lt;=109699",'LANÇAMENTOS DIÁRIOS'!$P$5:$P$500,"&gt;=109600")&gt;0,"X","")</f>
      </c>
      <c r="AR30" s="56" t="str">
        <f>IF(COUNTIFS('LANÇAMENTOS DIÁRIOS'!$G$5:$G$500,"E",'LANÇAMENTOS DIÁRIOS'!$C$5:$C$500,$A30,'LANÇAMENTOS DIÁRIOS'!$O$5:$O$500,"&lt;=109799",'LANÇAMENTOS DIÁRIOS'!$P$5:$P$500,"&gt;=109700")&gt;0,"X","")</f>
      </c>
      <c r="AS30" s="56" t="str">
        <f>IF(COUNTIFS('LANÇAMENTOS DIÁRIOS'!$G$5:$G$500,"E",'LANÇAMENTOS DIÁRIOS'!$C$5:$C$500,$A30,'LANÇAMENTOS DIÁRIOS'!$O$5:$O$500,"&lt;=109899",'LANÇAMENTOS DIÁRIOS'!$P$5:$P$500,"&gt;=109800")&gt;0,"X","")</f>
      </c>
      <c r="AT30" s="56" t="str">
        <f>IF(COUNTIFS('LANÇAMENTOS DIÁRIOS'!$G$5:$G$500,"E",'LANÇAMENTOS DIÁRIOS'!$C$5:$C$500,$A30,'LANÇAMENTOS DIÁRIOS'!$O$5:$O$500,"&lt;=109999",'LANÇAMENTOS DIÁRIOS'!$P$5:$P$500,"&gt;=109900")&gt;0,"X","")</f>
      </c>
      <c r="AU30" s="56" t="str">
        <f>IF(COUNTIFS('LANÇAMENTOS DIÁRIOS'!$G$5:$G$500,"E",'LANÇAMENTOS DIÁRIOS'!$C$5:$C$500,$A30,'LANÇAMENTOS DIÁRIOS'!$O$5:$O$500,"&lt;=110099",'LANÇAMENTOS DIÁRIOS'!$P$5:$P$500,"&gt;=110000")&gt;0,"X","")</f>
      </c>
      <c r="AV30" s="56" t="str">
        <f>IF(COUNTIFS('LANÇAMENTOS DIÁRIOS'!$G$5:$G$500,"E",'LANÇAMENTOS DIÁRIOS'!$C$5:$C$500,$A30,'LANÇAMENTOS DIÁRIOS'!$O$5:$O$500,"&lt;=110199",'LANÇAMENTOS DIÁRIOS'!$P$5:$P$500,"&gt;=110100")&gt;0,"X","")</f>
      </c>
      <c r="AW30" s="56" t="str">
        <f>IF(COUNTIFS('LANÇAMENTOS DIÁRIOS'!$G$5:$G$500,"E",'LANÇAMENTOS DIÁRIOS'!$C$5:$C$500,$A30,'LANÇAMENTOS DIÁRIOS'!$O$5:$O$500,"&lt;=110299",'LANÇAMENTOS DIÁRIOS'!$P$5:$P$500,"&gt;=110200")&gt;0,"X","")</f>
      </c>
      <c r="AX30" s="56" t="str">
        <f>IF(COUNTIFS('LANÇAMENTOS DIÁRIOS'!$G$5:$G$500,"E",'LANÇAMENTOS DIÁRIOS'!$C$5:$C$500,$A30,'LANÇAMENTOS DIÁRIOS'!$O$5:$O$500,"&lt;=110399",'LANÇAMENTOS DIÁRIOS'!$P$5:$P$500,"&gt;=110300")&gt;0,"X","")</f>
      </c>
      <c r="AY30" s="56" t="str">
        <f>IF(COUNTIFS('LANÇAMENTOS DIÁRIOS'!$G$5:$G$500,"E",'LANÇAMENTOS DIÁRIOS'!$C$5:$C$500,$A30,'LANÇAMENTOS DIÁRIOS'!$O$5:$O$500,"&lt;=110499",'LANÇAMENTOS DIÁRIOS'!$P$5:$P$500,"&gt;=110400")&gt;0,"X","")</f>
      </c>
      <c r="AZ30" s="56" t="str">
        <f>IF(COUNTIFS('LANÇAMENTOS DIÁRIOS'!$G$5:$G$500,"E",'LANÇAMENTOS DIÁRIOS'!$C$5:$C$500,$A30,'LANÇAMENTOS DIÁRIOS'!$O$5:$O$500,"&lt;=110599",'LANÇAMENTOS DIÁRIOS'!$P$5:$P$500,"&gt;=110500")&gt;0,"X","")</f>
      </c>
      <c r="BA30" s="56" t="str">
        <f>IF(COUNTIFS('LANÇAMENTOS DIÁRIOS'!$G$5:$G$500,"E",'LANÇAMENTOS DIÁRIOS'!$C$5:$C$500,$A30,'LANÇAMENTOS DIÁRIOS'!$O$5:$O$500,"&lt;=110699",'LANÇAMENTOS DIÁRIOS'!$P$5:$P$500,"&gt;=110600")&gt;0,"X","")</f>
      </c>
      <c r="BB30" s="56" t="str">
        <f>IF(COUNTIFS('LANÇAMENTOS DIÁRIOS'!$G$5:$G$500,"E",'LANÇAMENTOS DIÁRIOS'!$C$5:$C$500,$A30,'LANÇAMENTOS DIÁRIOS'!$O$5:$O$500,"&lt;=110799",'LANÇAMENTOS DIÁRIOS'!$P$5:$P$500,"&gt;=110700")&gt;0,"X","")</f>
      </c>
      <c r="BC30" s="56" t="str">
        <f>IF(COUNTIFS('LANÇAMENTOS DIÁRIOS'!$G$5:$G$500,"E",'LANÇAMENTOS DIÁRIOS'!$C$5:$C$500,$A30,'LANÇAMENTOS DIÁRIOS'!$O$5:$O$500,"&lt;=110899",'LANÇAMENTOS DIÁRIOS'!$P$5:$P$500,"&gt;=110800")&gt;0,"X","")</f>
      </c>
      <c r="BD30" s="56" t="str">
        <f>IF(COUNTIFS('LANÇAMENTOS DIÁRIOS'!$G$5:$G$500,"E",'LANÇAMENTOS DIÁRIOS'!$C$5:$C$500,$A30,'LANÇAMENTOS DIÁRIOS'!$O$5:$O$500,"&lt;=110999",'LANÇAMENTOS DIÁRIOS'!$P$5:$P$500,"&gt;=110900")&gt;0,"X","")</f>
      </c>
      <c r="BE30" s="56" t="str">
        <f>IF(COUNTIFS('LANÇAMENTOS DIÁRIOS'!$G$5:$G$500,"E",'LANÇAMENTOS DIÁRIOS'!$C$5:$C$500,$A30,'LANÇAMENTOS DIÁRIOS'!$O$5:$O$500,"&lt;=111099",'LANÇAMENTOS DIÁRIOS'!$P$5:$P$500,"&gt;=111000")&gt;0,"X","")</f>
      </c>
      <c r="BF30" s="56" t="str">
        <f>IF(COUNTIFS('LANÇAMENTOS DIÁRIOS'!$G$5:$G$500,"E",'LANÇAMENTOS DIÁRIOS'!$C$5:$C$500,$A30,'LANÇAMENTOS DIÁRIOS'!$O$5:$O$500,"&lt;=111199",'LANÇAMENTOS DIÁRIOS'!$P$5:$P$500,"&gt;=111100")&gt;0,"X","")</f>
      </c>
      <c r="BG30" s="56" t="str">
        <f>IF(COUNTIFS('LANÇAMENTOS DIÁRIOS'!$G$5:$G$500,"E",'LANÇAMENTOS DIÁRIOS'!$C$5:$C$500,$A30,'LANÇAMENTOS DIÁRIOS'!$O$5:$O$500,"&lt;=111299",'LANÇAMENTOS DIÁRIOS'!$P$5:$P$500,"&gt;=111200")&gt;0,"X","")</f>
      </c>
      <c r="BH30" s="56" t="str">
        <f>IF(COUNTIFS('LANÇAMENTOS DIÁRIOS'!$G$5:$G$500,"E",'LANÇAMENTOS DIÁRIOS'!$C$5:$C$500,$A30,'LANÇAMENTOS DIÁRIOS'!$O$5:$O$500,"&lt;=111399",'LANÇAMENTOS DIÁRIOS'!$P$5:$P$500,"&gt;=111300")&gt;0,"X","")</f>
      </c>
      <c r="BI30" s="56" t="str">
        <f>IF(COUNTIFS('LANÇAMENTOS DIÁRIOS'!$G$5:$G$500,"E",'LANÇAMENTOS DIÁRIOS'!$C$5:$C$500,$A30,'LANÇAMENTOS DIÁRIOS'!$O$5:$O$500,"&lt;=111499",'LANÇAMENTOS DIÁRIOS'!$P$5:$P$500,"&gt;=111400")&gt;0,"X","")</f>
      </c>
      <c r="BJ30" s="56" t="str">
        <f>IF(COUNTIFS('LANÇAMENTOS DIÁRIOS'!$G$5:$G$500,"E",'LANÇAMENTOS DIÁRIOS'!$C$5:$C$500,$A30,'LANÇAMENTOS DIÁRIOS'!$O$5:$O$500,"&lt;=111500",'LANÇAMENTOS DIÁRIOS'!$P$5:$P$500,"&gt;=111500")&gt;0,"X","")</f>
      </c>
    </row>
    <row r="31">
      <c r="A31" s="51" t="str">
        <v>Derrubada e destocamento.arv. c/ diâmetro 30&lt;&gt;40cm, com limpeza da área</v>
      </c>
      <c r="B31" s="56" t="str">
        <f>IF(COUNTIFS('LANÇAMENTOS DIÁRIOS'!$G$5:$G$500,"E",'LANÇAMENTOS DIÁRIOS'!$C$5:$C$500,$A31,'LANÇAMENTOS DIÁRIOS'!$O$5:$O$500,"&lt;=105599",'LANÇAMENTOS DIÁRIOS'!$P$5:$P$500,"&gt;=105500")&gt;0,"X","")</f>
      </c>
      <c r="C31" s="56" t="str">
        <f>IF(COUNTIFS('LANÇAMENTOS DIÁRIOS'!$G$5:$G$500,"E",'LANÇAMENTOS DIÁRIOS'!$C$5:$C$500,$A31,'LANÇAMENTOS DIÁRIOS'!$O$5:$O$500,"&lt;=105699",'LANÇAMENTOS DIÁRIOS'!$P$5:$P$500,"&gt;=105600")&gt;0,"X","")</f>
      </c>
      <c r="D31" s="56" t="str">
        <f>IF(COUNTIFS('LANÇAMENTOS DIÁRIOS'!$G$5:$G$500,"E",'LANÇAMENTOS DIÁRIOS'!$C$5:$C$500,$A31,'LANÇAMENTOS DIÁRIOS'!$O$5:$O$500,"&lt;=105799",'LANÇAMENTOS DIÁRIOS'!$P$5:$P$500,"&gt;=105700")&gt;0,"X","")</f>
      </c>
      <c r="E31" s="56" t="str">
        <f>IF(COUNTIFS('LANÇAMENTOS DIÁRIOS'!$G$5:$G$500,"E",'LANÇAMENTOS DIÁRIOS'!$C$5:$C$500,$A31,'LANÇAMENTOS DIÁRIOS'!$O$5:$O$500,"&lt;=105899",'LANÇAMENTOS DIÁRIOS'!$P$5:$P$500,"&gt;=105800")&gt;0,"X","")</f>
      </c>
      <c r="F31" s="56" t="str">
        <f>IF(COUNTIFS('LANÇAMENTOS DIÁRIOS'!$G$5:$G$500,"E",'LANÇAMENTOS DIÁRIOS'!$C$5:$C$500,$A31,'LANÇAMENTOS DIÁRIOS'!$O$5:$O$500,"&lt;=105999",'LANÇAMENTOS DIÁRIOS'!$P$5:$P$500,"&gt;=105900")&gt;0,"X","")</f>
      </c>
      <c r="G31" s="56" t="str">
        <f>IF(COUNTIFS('LANÇAMENTOS DIÁRIOS'!$G$5:$G$500,"E",'LANÇAMENTOS DIÁRIOS'!$C$5:$C$500,$A31,'LANÇAMENTOS DIÁRIOS'!$O$5:$O$500,"&lt;=106099",'LANÇAMENTOS DIÁRIOS'!$P$5:$P$500,"&gt;=106000")&gt;0,"X","")</f>
      </c>
      <c r="H31" s="56" t="str">
        <f>IF(COUNTIFS('LANÇAMENTOS DIÁRIOS'!$G$5:$G$500,"E",'LANÇAMENTOS DIÁRIOS'!$C$5:$C$500,$A31,'LANÇAMENTOS DIÁRIOS'!$O$5:$O$500,"&lt;=106199",'LANÇAMENTOS DIÁRIOS'!$P$5:$P$500,"&gt;=106100")&gt;0,"X","")</f>
      </c>
      <c r="I31" s="56" t="str">
        <f>IF(COUNTIFS('LANÇAMENTOS DIÁRIOS'!$G$5:$G$500,"E",'LANÇAMENTOS DIÁRIOS'!$C$5:$C$500,$A31,'LANÇAMENTOS DIÁRIOS'!$O$5:$O$500,"&lt;=106299",'LANÇAMENTOS DIÁRIOS'!$P$5:$P$500,"&gt;=106200")&gt;0,"X","")</f>
      </c>
      <c r="J31" s="56" t="str">
        <f>IF(COUNTIFS('LANÇAMENTOS DIÁRIOS'!$G$5:$G$500,"E",'LANÇAMENTOS DIÁRIOS'!$C$5:$C$500,$A31,'LANÇAMENTOS DIÁRIOS'!$O$5:$O$500,"&lt;=106399",'LANÇAMENTOS DIÁRIOS'!$P$5:$P$500,"&gt;=106300")&gt;0,"X","")</f>
      </c>
      <c r="K31" s="56" t="str">
        <f>IF(COUNTIFS('LANÇAMENTOS DIÁRIOS'!$G$5:$G$500,"E",'LANÇAMENTOS DIÁRIOS'!$C$5:$C$500,$A31,'LANÇAMENTOS DIÁRIOS'!$O$5:$O$500,"&lt;=106499",'LANÇAMENTOS DIÁRIOS'!$P$5:$P$500,"&gt;=106400")&gt;0,"X","")</f>
      </c>
      <c r="L31" s="56" t="str">
        <f>IF(COUNTIFS('LANÇAMENTOS DIÁRIOS'!$G$5:$G$500,"E",'LANÇAMENTOS DIÁRIOS'!$C$5:$C$500,$A31,'LANÇAMENTOS DIÁRIOS'!$O$5:$O$500,"&lt;=106599",'LANÇAMENTOS DIÁRIOS'!$P$5:$P$500,"&gt;=106500")&gt;0,"X","")</f>
      </c>
      <c r="M31" s="56" t="str">
        <f>IF(COUNTIFS('LANÇAMENTOS DIÁRIOS'!$G$5:$G$500,"E",'LANÇAMENTOS DIÁRIOS'!$C$5:$C$500,$A31,'LANÇAMENTOS DIÁRIOS'!$O$5:$O$500,"&lt;=106699",'LANÇAMENTOS DIÁRIOS'!$P$5:$P$500,"&gt;=106600")&gt;0,"X","")</f>
      </c>
      <c r="N31" s="56" t="str">
        <f>IF(COUNTIFS('LANÇAMENTOS DIÁRIOS'!$G$5:$G$500,"E",'LANÇAMENTOS DIÁRIOS'!$C$5:$C$500,$A31,'LANÇAMENTOS DIÁRIOS'!$O$5:$O$500,"&lt;=106799",'LANÇAMENTOS DIÁRIOS'!$P$5:$P$500,"&gt;=106700")&gt;0,"X","")</f>
      </c>
      <c r="O31" s="56" t="str">
        <f>IF(COUNTIFS('LANÇAMENTOS DIÁRIOS'!$G$5:$G$500,"E",'LANÇAMENTOS DIÁRIOS'!$C$5:$C$500,$A31,'LANÇAMENTOS DIÁRIOS'!$O$5:$O$500,"&lt;=106899",'LANÇAMENTOS DIÁRIOS'!$P$5:$P$500,"&gt;=106800")&gt;0,"X","")</f>
      </c>
      <c r="P31" s="56" t="str">
        <f>IF(COUNTIFS('LANÇAMENTOS DIÁRIOS'!$G$5:$G$500,"E",'LANÇAMENTOS DIÁRIOS'!$C$5:$C$500,$A31,'LANÇAMENTOS DIÁRIOS'!$O$5:$O$500,"&lt;=106999",'LANÇAMENTOS DIÁRIOS'!$P$5:$P$500,"&gt;=106900")&gt;0,"X","")</f>
      </c>
      <c r="Q31" s="56" t="str">
        <f>IF(COUNTIFS('LANÇAMENTOS DIÁRIOS'!$G$5:$G$500,"E",'LANÇAMENTOS DIÁRIOS'!$C$5:$C$500,$A31,'LANÇAMENTOS DIÁRIOS'!$O$5:$O$500,"&lt;=107099",'LANÇAMENTOS DIÁRIOS'!$P$5:$P$500,"&gt;=107000")&gt;0,"X","")</f>
      </c>
      <c r="R31" s="56" t="str">
        <f>IF(COUNTIFS('LANÇAMENTOS DIÁRIOS'!$G$5:$G$500,"E",'LANÇAMENTOS DIÁRIOS'!$C$5:$C$500,$A31,'LANÇAMENTOS DIÁRIOS'!$O$5:$O$500,"&lt;=107199",'LANÇAMENTOS DIÁRIOS'!$P$5:$P$500,"&gt;=107100")&gt;0,"X","")</f>
      </c>
      <c r="S31" s="56" t="str">
        <f>IF(COUNTIFS('LANÇAMENTOS DIÁRIOS'!$G$5:$G$500,"E",'LANÇAMENTOS DIÁRIOS'!$C$5:$C$500,$A31,'LANÇAMENTOS DIÁRIOS'!$O$5:$O$500,"&lt;=107299",'LANÇAMENTOS DIÁRIOS'!$P$5:$P$500,"&gt;=107200")&gt;0,"X","")</f>
      </c>
      <c r="T31" s="56" t="str">
        <f>IF(COUNTIFS('LANÇAMENTOS DIÁRIOS'!$G$5:$G$500,"E",'LANÇAMENTOS DIÁRIOS'!$C$5:$C$500,$A31,'LANÇAMENTOS DIÁRIOS'!$O$5:$O$500,"&lt;=107399",'LANÇAMENTOS DIÁRIOS'!$P$5:$P$500,"&gt;=107300")&gt;0,"X","")</f>
      </c>
      <c r="U31" s="56" t="str">
        <f>IF(COUNTIFS('LANÇAMENTOS DIÁRIOS'!$G$5:$G$500,"E",'LANÇAMENTOS DIÁRIOS'!$C$5:$C$500,$A31,'LANÇAMENTOS DIÁRIOS'!$O$5:$O$500,"&lt;=107499",'LANÇAMENTOS DIÁRIOS'!$P$5:$P$500,"&gt;=107400")&gt;0,"X","")</f>
      </c>
      <c r="V31" s="56" t="str">
        <f>IF(COUNTIFS('LANÇAMENTOS DIÁRIOS'!$G$5:$G$500,"E",'LANÇAMENTOS DIÁRIOS'!$C$5:$C$500,$A31,'LANÇAMENTOS DIÁRIOS'!$O$5:$O$500,"&lt;=107599",'LANÇAMENTOS DIÁRIOS'!$P$5:$P$500,"&gt;=107500")&gt;0,"X","")</f>
      </c>
      <c r="W31" s="56" t="str">
        <f>IF(COUNTIFS('LANÇAMENTOS DIÁRIOS'!$G$5:$G$500,"E",'LANÇAMENTOS DIÁRIOS'!$C$5:$C$500,$A31,'LANÇAMENTOS DIÁRIOS'!$O$5:$O$500,"&lt;=107699",'LANÇAMENTOS DIÁRIOS'!$P$5:$P$500,"&gt;=107600")&gt;0,"X","")</f>
      </c>
      <c r="X31" s="56" t="str">
        <f>IF(COUNTIFS('LANÇAMENTOS DIÁRIOS'!$G$5:$G$500,"E",'LANÇAMENTOS DIÁRIOS'!$C$5:$C$500,$A31,'LANÇAMENTOS DIÁRIOS'!$O$5:$O$500,"&lt;=107799",'LANÇAMENTOS DIÁRIOS'!$P$5:$P$500,"&gt;=107700")&gt;0,"X","")</f>
      </c>
      <c r="Y31" s="56" t="str">
        <f>IF(COUNTIFS('LANÇAMENTOS DIÁRIOS'!$G$5:$G$500,"E",'LANÇAMENTOS DIÁRIOS'!$C$5:$C$500,$A31,'LANÇAMENTOS DIÁRIOS'!$O$5:$O$500,"&lt;=107899",'LANÇAMENTOS DIÁRIOS'!$P$5:$P$500,"&gt;=107800")&gt;0,"X","")</f>
      </c>
      <c r="Z31" s="56" t="str">
        <f>IF(COUNTIFS('LANÇAMENTOS DIÁRIOS'!$G$5:$G$500,"E",'LANÇAMENTOS DIÁRIOS'!$C$5:$C$500,$A31,'LANÇAMENTOS DIÁRIOS'!$O$5:$O$500,"&lt;=107999",'LANÇAMENTOS DIÁRIOS'!$P$5:$P$500,"&gt;=107900")&gt;0,"X","")</f>
      </c>
      <c r="AA31" s="56" t="str">
        <f>IF(COUNTIFS('LANÇAMENTOS DIÁRIOS'!$G$5:$G$500,"E",'LANÇAMENTOS DIÁRIOS'!$C$5:$C$500,$A31,'LANÇAMENTOS DIÁRIOS'!$O$5:$O$500,"&lt;=108099",'LANÇAMENTOS DIÁRIOS'!$P$5:$P$500,"&gt;=108000")&gt;0,"X","")</f>
      </c>
      <c r="AB31" s="56" t="str">
        <f>IF(COUNTIFS('LANÇAMENTOS DIÁRIOS'!$G$5:$G$500,"E",'LANÇAMENTOS DIÁRIOS'!$C$5:$C$500,$A31,'LANÇAMENTOS DIÁRIOS'!$O$5:$O$500,"&lt;=108199",'LANÇAMENTOS DIÁRIOS'!$P$5:$P$500,"&gt;=108100")&gt;0,"X","")</f>
      </c>
      <c r="AC31" s="56" t="str">
        <f>IF(COUNTIFS('LANÇAMENTOS DIÁRIOS'!$G$5:$G$500,"E",'LANÇAMENTOS DIÁRIOS'!$C$5:$C$500,$A31,'LANÇAMENTOS DIÁRIOS'!$O$5:$O$500,"&lt;=108299",'LANÇAMENTOS DIÁRIOS'!$P$5:$P$500,"&gt;=108200")&gt;0,"X","")</f>
      </c>
      <c r="AD31" s="56" t="str">
        <f>IF(COUNTIFS('LANÇAMENTOS DIÁRIOS'!$G$5:$G$500,"E",'LANÇAMENTOS DIÁRIOS'!$C$5:$C$500,$A31,'LANÇAMENTOS DIÁRIOS'!$O$5:$O$500,"&lt;=108399",'LANÇAMENTOS DIÁRIOS'!$P$5:$P$500,"&gt;=108300")&gt;0,"X","")</f>
      </c>
      <c r="AE31" s="56" t="str">
        <f>IF(COUNTIFS('LANÇAMENTOS DIÁRIOS'!$G$5:$G$500,"E",'LANÇAMENTOS DIÁRIOS'!$C$5:$C$500,$A31,'LANÇAMENTOS DIÁRIOS'!$O$5:$O$500,"&lt;=108499",'LANÇAMENTOS DIÁRIOS'!$P$5:$P$500,"&gt;=108400")&gt;0,"X","")</f>
      </c>
      <c r="AF31" s="56" t="str">
        <f>IF(COUNTIFS('LANÇAMENTOS DIÁRIOS'!$G$5:$G$500,"E",'LANÇAMENTOS DIÁRIOS'!$C$5:$C$500,$A31,'LANÇAMENTOS DIÁRIOS'!$O$5:$O$500,"&lt;=108599",'LANÇAMENTOS DIÁRIOS'!$P$5:$P$500,"&gt;=108500")&gt;0,"X","")</f>
      </c>
      <c r="AG31" s="56" t="str">
        <f>IF(COUNTIFS('LANÇAMENTOS DIÁRIOS'!$G$5:$G$500,"E",'LANÇAMENTOS DIÁRIOS'!$C$5:$C$500,$A31,'LANÇAMENTOS DIÁRIOS'!$O$5:$O$500,"&lt;=108699",'LANÇAMENTOS DIÁRIOS'!$P$5:$P$500,"&gt;=108600")&gt;0,"X","")</f>
      </c>
      <c r="AH31" s="56" t="str">
        <f>IF(COUNTIFS('LANÇAMENTOS DIÁRIOS'!$G$5:$G$500,"E",'LANÇAMENTOS DIÁRIOS'!$C$5:$C$500,$A31,'LANÇAMENTOS DIÁRIOS'!$O$5:$O$500,"&lt;=108799",'LANÇAMENTOS DIÁRIOS'!$P$5:$P$500,"&gt;=108700")&gt;0,"X","")</f>
      </c>
      <c r="AI31" s="56" t="str">
        <f>IF(COUNTIFS('LANÇAMENTOS DIÁRIOS'!$G$5:$G$500,"E",'LANÇAMENTOS DIÁRIOS'!$C$5:$C$500,$A31,'LANÇAMENTOS DIÁRIOS'!$O$5:$O$500,"&lt;=108899",'LANÇAMENTOS DIÁRIOS'!$P$5:$P$500,"&gt;=108800")&gt;0,"X","")</f>
      </c>
      <c r="AJ31" s="56" t="str">
        <f>IF(COUNTIFS('LANÇAMENTOS DIÁRIOS'!$G$5:$G$500,"E",'LANÇAMENTOS DIÁRIOS'!$C$5:$C$500,$A31,'LANÇAMENTOS DIÁRIOS'!$O$5:$O$500,"&lt;=108999",'LANÇAMENTOS DIÁRIOS'!$P$5:$P$500,"&gt;=108900")&gt;0,"X","")</f>
      </c>
      <c r="AK31" s="56" t="str">
        <f>IF(COUNTIFS('LANÇAMENTOS DIÁRIOS'!$G$5:$G$500,"E",'LANÇAMENTOS DIÁRIOS'!$C$5:$C$500,$A31,'LANÇAMENTOS DIÁRIOS'!$O$5:$O$500,"&lt;=109099",'LANÇAMENTOS DIÁRIOS'!$P$5:$P$500,"&gt;=109000")&gt;0,"X","")</f>
      </c>
      <c r="AL31" s="56" t="str">
        <f>IF(COUNTIFS('LANÇAMENTOS DIÁRIOS'!$G$5:$G$500,"E",'LANÇAMENTOS DIÁRIOS'!$C$5:$C$500,$A31,'LANÇAMENTOS DIÁRIOS'!$O$5:$O$500,"&lt;=109199",'LANÇAMENTOS DIÁRIOS'!$P$5:$P$500,"&gt;=109100")&gt;0,"X","")</f>
      </c>
      <c r="AM31" s="56" t="str">
        <f>IF(COUNTIFS('LANÇAMENTOS DIÁRIOS'!$G$5:$G$500,"E",'LANÇAMENTOS DIÁRIOS'!$C$5:$C$500,$A31,'LANÇAMENTOS DIÁRIOS'!$O$5:$O$500,"&lt;=109299",'LANÇAMENTOS DIÁRIOS'!$P$5:$P$500,"&gt;=109200")&gt;0,"X","")</f>
      </c>
      <c r="AN31" s="56" t="str">
        <f>IF(COUNTIFS('LANÇAMENTOS DIÁRIOS'!$G$5:$G$500,"E",'LANÇAMENTOS DIÁRIOS'!$C$5:$C$500,$A31,'LANÇAMENTOS DIÁRIOS'!$O$5:$O$500,"&lt;=109399",'LANÇAMENTOS DIÁRIOS'!$P$5:$P$500,"&gt;=109300")&gt;0,"X","")</f>
      </c>
      <c r="AO31" s="56" t="str">
        <f>IF(COUNTIFS('LANÇAMENTOS DIÁRIOS'!$G$5:$G$500,"E",'LANÇAMENTOS DIÁRIOS'!$C$5:$C$500,$A31,'LANÇAMENTOS DIÁRIOS'!$O$5:$O$500,"&lt;=109499",'LANÇAMENTOS DIÁRIOS'!$P$5:$P$500,"&gt;=109400")&gt;0,"X","")</f>
      </c>
      <c r="AP31" s="56" t="str">
        <f>IF(COUNTIFS('LANÇAMENTOS DIÁRIOS'!$G$5:$G$500,"E",'LANÇAMENTOS DIÁRIOS'!$C$5:$C$500,$A31,'LANÇAMENTOS DIÁRIOS'!$O$5:$O$500,"&lt;=109599",'LANÇAMENTOS DIÁRIOS'!$P$5:$P$500,"&gt;=109500")&gt;0,"X","")</f>
      </c>
      <c r="AQ31" s="56" t="str">
        <f>IF(COUNTIFS('LANÇAMENTOS DIÁRIOS'!$G$5:$G$500,"E",'LANÇAMENTOS DIÁRIOS'!$C$5:$C$500,$A31,'LANÇAMENTOS DIÁRIOS'!$O$5:$O$500,"&lt;=109699",'LANÇAMENTOS DIÁRIOS'!$P$5:$P$500,"&gt;=109600")&gt;0,"X","")</f>
      </c>
      <c r="AR31" s="56" t="str">
        <f>IF(COUNTIFS('LANÇAMENTOS DIÁRIOS'!$G$5:$G$500,"E",'LANÇAMENTOS DIÁRIOS'!$C$5:$C$500,$A31,'LANÇAMENTOS DIÁRIOS'!$O$5:$O$500,"&lt;=109799",'LANÇAMENTOS DIÁRIOS'!$P$5:$P$500,"&gt;=109700")&gt;0,"X","")</f>
      </c>
      <c r="AS31" s="56" t="str">
        <f>IF(COUNTIFS('LANÇAMENTOS DIÁRIOS'!$G$5:$G$500,"E",'LANÇAMENTOS DIÁRIOS'!$C$5:$C$500,$A31,'LANÇAMENTOS DIÁRIOS'!$O$5:$O$500,"&lt;=109899",'LANÇAMENTOS DIÁRIOS'!$P$5:$P$500,"&gt;=109800")&gt;0,"X","")</f>
      </c>
      <c r="AT31" s="56" t="str">
        <f>IF(COUNTIFS('LANÇAMENTOS DIÁRIOS'!$G$5:$G$500,"E",'LANÇAMENTOS DIÁRIOS'!$C$5:$C$500,$A31,'LANÇAMENTOS DIÁRIOS'!$O$5:$O$500,"&lt;=109999",'LANÇAMENTOS DIÁRIOS'!$P$5:$P$500,"&gt;=109900")&gt;0,"X","")</f>
      </c>
      <c r="AU31" s="56" t="str">
        <f>IF(COUNTIFS('LANÇAMENTOS DIÁRIOS'!$G$5:$G$500,"E",'LANÇAMENTOS DIÁRIOS'!$C$5:$C$500,$A31,'LANÇAMENTOS DIÁRIOS'!$O$5:$O$500,"&lt;=110099",'LANÇAMENTOS DIÁRIOS'!$P$5:$P$500,"&gt;=110000")&gt;0,"X","")</f>
      </c>
      <c r="AV31" s="56" t="str">
        <f>IF(COUNTIFS('LANÇAMENTOS DIÁRIOS'!$G$5:$G$500,"E",'LANÇAMENTOS DIÁRIOS'!$C$5:$C$500,$A31,'LANÇAMENTOS DIÁRIOS'!$O$5:$O$500,"&lt;=110199",'LANÇAMENTOS DIÁRIOS'!$P$5:$P$500,"&gt;=110100")&gt;0,"X","")</f>
      </c>
      <c r="AW31" s="56" t="str">
        <f>IF(COUNTIFS('LANÇAMENTOS DIÁRIOS'!$G$5:$G$500,"E",'LANÇAMENTOS DIÁRIOS'!$C$5:$C$500,$A31,'LANÇAMENTOS DIÁRIOS'!$O$5:$O$500,"&lt;=110299",'LANÇAMENTOS DIÁRIOS'!$P$5:$P$500,"&gt;=110200")&gt;0,"X","")</f>
      </c>
      <c r="AX31" s="56" t="str">
        <f>IF(COUNTIFS('LANÇAMENTOS DIÁRIOS'!$G$5:$G$500,"E",'LANÇAMENTOS DIÁRIOS'!$C$5:$C$500,$A31,'LANÇAMENTOS DIÁRIOS'!$O$5:$O$500,"&lt;=110399",'LANÇAMENTOS DIÁRIOS'!$P$5:$P$500,"&gt;=110300")&gt;0,"X","")</f>
      </c>
      <c r="AY31" s="56" t="str">
        <f>IF(COUNTIFS('LANÇAMENTOS DIÁRIOS'!$G$5:$G$500,"E",'LANÇAMENTOS DIÁRIOS'!$C$5:$C$500,$A31,'LANÇAMENTOS DIÁRIOS'!$O$5:$O$500,"&lt;=110499",'LANÇAMENTOS DIÁRIOS'!$P$5:$P$500,"&gt;=110400")&gt;0,"X","")</f>
      </c>
      <c r="AZ31" s="56" t="str">
        <f>IF(COUNTIFS('LANÇAMENTOS DIÁRIOS'!$G$5:$G$500,"E",'LANÇAMENTOS DIÁRIOS'!$C$5:$C$500,$A31,'LANÇAMENTOS DIÁRIOS'!$O$5:$O$500,"&lt;=110599",'LANÇAMENTOS DIÁRIOS'!$P$5:$P$500,"&gt;=110500")&gt;0,"X","")</f>
      </c>
      <c r="BA31" s="56" t="str">
        <f>IF(COUNTIFS('LANÇAMENTOS DIÁRIOS'!$G$5:$G$500,"E",'LANÇAMENTOS DIÁRIOS'!$C$5:$C$500,$A31,'LANÇAMENTOS DIÁRIOS'!$O$5:$O$500,"&lt;=110699",'LANÇAMENTOS DIÁRIOS'!$P$5:$P$500,"&gt;=110600")&gt;0,"X","")</f>
      </c>
      <c r="BB31" s="56" t="str">
        <f>IF(COUNTIFS('LANÇAMENTOS DIÁRIOS'!$G$5:$G$500,"E",'LANÇAMENTOS DIÁRIOS'!$C$5:$C$500,$A31,'LANÇAMENTOS DIÁRIOS'!$O$5:$O$500,"&lt;=110799",'LANÇAMENTOS DIÁRIOS'!$P$5:$P$500,"&gt;=110700")&gt;0,"X","")</f>
      </c>
      <c r="BC31" s="56" t="str">
        <f>IF(COUNTIFS('LANÇAMENTOS DIÁRIOS'!$G$5:$G$500,"E",'LANÇAMENTOS DIÁRIOS'!$C$5:$C$500,$A31,'LANÇAMENTOS DIÁRIOS'!$O$5:$O$500,"&lt;=110899",'LANÇAMENTOS DIÁRIOS'!$P$5:$P$500,"&gt;=110800")&gt;0,"X","")</f>
      </c>
      <c r="BD31" s="56" t="str">
        <f>IF(COUNTIFS('LANÇAMENTOS DIÁRIOS'!$G$5:$G$500,"E",'LANÇAMENTOS DIÁRIOS'!$C$5:$C$500,$A31,'LANÇAMENTOS DIÁRIOS'!$O$5:$O$500,"&lt;=110999",'LANÇAMENTOS DIÁRIOS'!$P$5:$P$500,"&gt;=110900")&gt;0,"X","")</f>
      </c>
      <c r="BE31" s="56" t="str">
        <f>IF(COUNTIFS('LANÇAMENTOS DIÁRIOS'!$G$5:$G$500,"E",'LANÇAMENTOS DIÁRIOS'!$C$5:$C$500,$A31,'LANÇAMENTOS DIÁRIOS'!$O$5:$O$500,"&lt;=111099",'LANÇAMENTOS DIÁRIOS'!$P$5:$P$500,"&gt;=111000")&gt;0,"X","")</f>
      </c>
      <c r="BF31" s="56" t="str">
        <f>IF(COUNTIFS('LANÇAMENTOS DIÁRIOS'!$G$5:$G$500,"E",'LANÇAMENTOS DIÁRIOS'!$C$5:$C$500,$A31,'LANÇAMENTOS DIÁRIOS'!$O$5:$O$500,"&lt;=111199",'LANÇAMENTOS DIÁRIOS'!$P$5:$P$500,"&gt;=111100")&gt;0,"X","")</f>
      </c>
      <c r="BG31" s="56" t="str">
        <f>IF(COUNTIFS('LANÇAMENTOS DIÁRIOS'!$G$5:$G$500,"E",'LANÇAMENTOS DIÁRIOS'!$C$5:$C$500,$A31,'LANÇAMENTOS DIÁRIOS'!$O$5:$O$500,"&lt;=111299",'LANÇAMENTOS DIÁRIOS'!$P$5:$P$500,"&gt;=111200")&gt;0,"X","")</f>
      </c>
      <c r="BH31" s="56" t="str">
        <f>IF(COUNTIFS('LANÇAMENTOS DIÁRIOS'!$G$5:$G$500,"E",'LANÇAMENTOS DIÁRIOS'!$C$5:$C$500,$A31,'LANÇAMENTOS DIÁRIOS'!$O$5:$O$500,"&lt;=111399",'LANÇAMENTOS DIÁRIOS'!$P$5:$P$500,"&gt;=111300")&gt;0,"X","")</f>
      </c>
      <c r="BI31" s="56" t="str">
        <f>IF(COUNTIFS('LANÇAMENTOS DIÁRIOS'!$G$5:$G$500,"E",'LANÇAMENTOS DIÁRIOS'!$C$5:$C$500,$A31,'LANÇAMENTOS DIÁRIOS'!$O$5:$O$500,"&lt;=111499",'LANÇAMENTOS DIÁRIOS'!$P$5:$P$500,"&gt;=111400")&gt;0,"X","")</f>
      </c>
      <c r="BJ31" s="56" t="str">
        <f>IF(COUNTIFS('LANÇAMENTOS DIÁRIOS'!$G$5:$G$500,"E",'LANÇAMENTOS DIÁRIOS'!$C$5:$C$500,$A31,'LANÇAMENTOS DIÁRIOS'!$O$5:$O$500,"&lt;=111500",'LANÇAMENTOS DIÁRIOS'!$P$5:$P$500,"&gt;=111500")&gt;0,"X","")</f>
      </c>
    </row>
    <row r="32">
      <c r="A32" s="51" t="str">
        <v>Derrubada e destocamento.arv. c/ diâmetro 40&lt;&gt;50cm, com limpeza da área</v>
      </c>
      <c r="B32" s="56" t="str">
        <f>IF(COUNTIFS('LANÇAMENTOS DIÁRIOS'!$G$5:$G$500,"E",'LANÇAMENTOS DIÁRIOS'!$C$5:$C$500,$A32,'LANÇAMENTOS DIÁRIOS'!$O$5:$O$500,"&lt;=105599",'LANÇAMENTOS DIÁRIOS'!$P$5:$P$500,"&gt;=105500")&gt;0,"X","")</f>
      </c>
      <c r="C32" s="56" t="str">
        <f>IF(COUNTIFS('LANÇAMENTOS DIÁRIOS'!$G$5:$G$500,"E",'LANÇAMENTOS DIÁRIOS'!$C$5:$C$500,$A32,'LANÇAMENTOS DIÁRIOS'!$O$5:$O$500,"&lt;=105699",'LANÇAMENTOS DIÁRIOS'!$P$5:$P$500,"&gt;=105600")&gt;0,"X","")</f>
      </c>
      <c r="D32" s="56" t="str">
        <f>IF(COUNTIFS('LANÇAMENTOS DIÁRIOS'!$G$5:$G$500,"E",'LANÇAMENTOS DIÁRIOS'!$C$5:$C$500,$A32,'LANÇAMENTOS DIÁRIOS'!$O$5:$O$500,"&lt;=105799",'LANÇAMENTOS DIÁRIOS'!$P$5:$P$500,"&gt;=105700")&gt;0,"X","")</f>
      </c>
      <c r="E32" s="56" t="str">
        <f>IF(COUNTIFS('LANÇAMENTOS DIÁRIOS'!$G$5:$G$500,"E",'LANÇAMENTOS DIÁRIOS'!$C$5:$C$500,$A32,'LANÇAMENTOS DIÁRIOS'!$O$5:$O$500,"&lt;=105899",'LANÇAMENTOS DIÁRIOS'!$P$5:$P$500,"&gt;=105800")&gt;0,"X","")</f>
      </c>
      <c r="F32" s="56" t="str">
        <f>IF(COUNTIFS('LANÇAMENTOS DIÁRIOS'!$G$5:$G$500,"E",'LANÇAMENTOS DIÁRIOS'!$C$5:$C$500,$A32,'LANÇAMENTOS DIÁRIOS'!$O$5:$O$500,"&lt;=105999",'LANÇAMENTOS DIÁRIOS'!$P$5:$P$500,"&gt;=105900")&gt;0,"X","")</f>
      </c>
      <c r="G32" s="56" t="str">
        <f>IF(COUNTIFS('LANÇAMENTOS DIÁRIOS'!$G$5:$G$500,"E",'LANÇAMENTOS DIÁRIOS'!$C$5:$C$500,$A32,'LANÇAMENTOS DIÁRIOS'!$O$5:$O$500,"&lt;=106099",'LANÇAMENTOS DIÁRIOS'!$P$5:$P$500,"&gt;=106000")&gt;0,"X","")</f>
      </c>
      <c r="H32" s="56" t="str">
        <f>IF(COUNTIFS('LANÇAMENTOS DIÁRIOS'!$G$5:$G$500,"E",'LANÇAMENTOS DIÁRIOS'!$C$5:$C$500,$A32,'LANÇAMENTOS DIÁRIOS'!$O$5:$O$500,"&lt;=106199",'LANÇAMENTOS DIÁRIOS'!$P$5:$P$500,"&gt;=106100")&gt;0,"X","")</f>
      </c>
      <c r="I32" s="56" t="str">
        <f>IF(COUNTIFS('LANÇAMENTOS DIÁRIOS'!$G$5:$G$500,"E",'LANÇAMENTOS DIÁRIOS'!$C$5:$C$500,$A32,'LANÇAMENTOS DIÁRIOS'!$O$5:$O$500,"&lt;=106299",'LANÇAMENTOS DIÁRIOS'!$P$5:$P$500,"&gt;=106200")&gt;0,"X","")</f>
      </c>
      <c r="J32" s="56" t="str">
        <f>IF(COUNTIFS('LANÇAMENTOS DIÁRIOS'!$G$5:$G$500,"E",'LANÇAMENTOS DIÁRIOS'!$C$5:$C$500,$A32,'LANÇAMENTOS DIÁRIOS'!$O$5:$O$500,"&lt;=106399",'LANÇAMENTOS DIÁRIOS'!$P$5:$P$500,"&gt;=106300")&gt;0,"X","")</f>
      </c>
      <c r="K32" s="56" t="str">
        <f>IF(COUNTIFS('LANÇAMENTOS DIÁRIOS'!$G$5:$G$500,"E",'LANÇAMENTOS DIÁRIOS'!$C$5:$C$500,$A32,'LANÇAMENTOS DIÁRIOS'!$O$5:$O$500,"&lt;=106499",'LANÇAMENTOS DIÁRIOS'!$P$5:$P$500,"&gt;=106400")&gt;0,"X","")</f>
      </c>
      <c r="L32" s="56" t="str">
        <f>IF(COUNTIFS('LANÇAMENTOS DIÁRIOS'!$G$5:$G$500,"E",'LANÇAMENTOS DIÁRIOS'!$C$5:$C$500,$A32,'LANÇAMENTOS DIÁRIOS'!$O$5:$O$500,"&lt;=106599",'LANÇAMENTOS DIÁRIOS'!$P$5:$P$500,"&gt;=106500")&gt;0,"X","")</f>
      </c>
      <c r="M32" s="56" t="str">
        <f>IF(COUNTIFS('LANÇAMENTOS DIÁRIOS'!$G$5:$G$500,"E",'LANÇAMENTOS DIÁRIOS'!$C$5:$C$500,$A32,'LANÇAMENTOS DIÁRIOS'!$O$5:$O$500,"&lt;=106699",'LANÇAMENTOS DIÁRIOS'!$P$5:$P$500,"&gt;=106600")&gt;0,"X","")</f>
      </c>
      <c r="N32" s="56" t="str">
        <f>IF(COUNTIFS('LANÇAMENTOS DIÁRIOS'!$G$5:$G$500,"E",'LANÇAMENTOS DIÁRIOS'!$C$5:$C$500,$A32,'LANÇAMENTOS DIÁRIOS'!$O$5:$O$500,"&lt;=106799",'LANÇAMENTOS DIÁRIOS'!$P$5:$P$500,"&gt;=106700")&gt;0,"X","")</f>
      </c>
      <c r="O32" s="56" t="str">
        <f>IF(COUNTIFS('LANÇAMENTOS DIÁRIOS'!$G$5:$G$500,"E",'LANÇAMENTOS DIÁRIOS'!$C$5:$C$500,$A32,'LANÇAMENTOS DIÁRIOS'!$O$5:$O$500,"&lt;=106899",'LANÇAMENTOS DIÁRIOS'!$P$5:$P$500,"&gt;=106800")&gt;0,"X","")</f>
      </c>
      <c r="P32" s="56" t="str">
        <f>IF(COUNTIFS('LANÇAMENTOS DIÁRIOS'!$G$5:$G$500,"E",'LANÇAMENTOS DIÁRIOS'!$C$5:$C$500,$A32,'LANÇAMENTOS DIÁRIOS'!$O$5:$O$500,"&lt;=106999",'LANÇAMENTOS DIÁRIOS'!$P$5:$P$500,"&gt;=106900")&gt;0,"X","")</f>
      </c>
      <c r="Q32" s="56" t="str">
        <f>IF(COUNTIFS('LANÇAMENTOS DIÁRIOS'!$G$5:$G$500,"E",'LANÇAMENTOS DIÁRIOS'!$C$5:$C$500,$A32,'LANÇAMENTOS DIÁRIOS'!$O$5:$O$500,"&lt;=107099",'LANÇAMENTOS DIÁRIOS'!$P$5:$P$500,"&gt;=107000")&gt;0,"X","")</f>
      </c>
      <c r="R32" s="56" t="str">
        <f>IF(COUNTIFS('LANÇAMENTOS DIÁRIOS'!$G$5:$G$500,"E",'LANÇAMENTOS DIÁRIOS'!$C$5:$C$500,$A32,'LANÇAMENTOS DIÁRIOS'!$O$5:$O$500,"&lt;=107199",'LANÇAMENTOS DIÁRIOS'!$P$5:$P$500,"&gt;=107100")&gt;0,"X","")</f>
      </c>
      <c r="S32" s="56" t="str">
        <f>IF(COUNTIFS('LANÇAMENTOS DIÁRIOS'!$G$5:$G$500,"E",'LANÇAMENTOS DIÁRIOS'!$C$5:$C$500,$A32,'LANÇAMENTOS DIÁRIOS'!$O$5:$O$500,"&lt;=107299",'LANÇAMENTOS DIÁRIOS'!$P$5:$P$500,"&gt;=107200")&gt;0,"X","")</f>
      </c>
      <c r="T32" s="56" t="str">
        <f>IF(COUNTIFS('LANÇAMENTOS DIÁRIOS'!$G$5:$G$500,"E",'LANÇAMENTOS DIÁRIOS'!$C$5:$C$500,$A32,'LANÇAMENTOS DIÁRIOS'!$O$5:$O$500,"&lt;=107399",'LANÇAMENTOS DIÁRIOS'!$P$5:$P$500,"&gt;=107300")&gt;0,"X","")</f>
      </c>
      <c r="U32" s="56" t="str">
        <f>IF(COUNTIFS('LANÇAMENTOS DIÁRIOS'!$G$5:$G$500,"E",'LANÇAMENTOS DIÁRIOS'!$C$5:$C$500,$A32,'LANÇAMENTOS DIÁRIOS'!$O$5:$O$500,"&lt;=107499",'LANÇAMENTOS DIÁRIOS'!$P$5:$P$500,"&gt;=107400")&gt;0,"X","")</f>
      </c>
      <c r="V32" s="56" t="str">
        <f>IF(COUNTIFS('LANÇAMENTOS DIÁRIOS'!$G$5:$G$500,"E",'LANÇAMENTOS DIÁRIOS'!$C$5:$C$500,$A32,'LANÇAMENTOS DIÁRIOS'!$O$5:$O$500,"&lt;=107599",'LANÇAMENTOS DIÁRIOS'!$P$5:$P$500,"&gt;=107500")&gt;0,"X","")</f>
      </c>
      <c r="W32" s="56" t="str">
        <f>IF(COUNTIFS('LANÇAMENTOS DIÁRIOS'!$G$5:$G$500,"E",'LANÇAMENTOS DIÁRIOS'!$C$5:$C$500,$A32,'LANÇAMENTOS DIÁRIOS'!$O$5:$O$500,"&lt;=107699",'LANÇAMENTOS DIÁRIOS'!$P$5:$P$500,"&gt;=107600")&gt;0,"X","")</f>
      </c>
      <c r="X32" s="56" t="str">
        <f>IF(COUNTIFS('LANÇAMENTOS DIÁRIOS'!$G$5:$G$500,"E",'LANÇAMENTOS DIÁRIOS'!$C$5:$C$500,$A32,'LANÇAMENTOS DIÁRIOS'!$O$5:$O$500,"&lt;=107799",'LANÇAMENTOS DIÁRIOS'!$P$5:$P$500,"&gt;=107700")&gt;0,"X","")</f>
      </c>
      <c r="Y32" s="56" t="str">
        <f>IF(COUNTIFS('LANÇAMENTOS DIÁRIOS'!$G$5:$G$500,"E",'LANÇAMENTOS DIÁRIOS'!$C$5:$C$500,$A32,'LANÇAMENTOS DIÁRIOS'!$O$5:$O$500,"&lt;=107899",'LANÇAMENTOS DIÁRIOS'!$P$5:$P$500,"&gt;=107800")&gt;0,"X","")</f>
      </c>
      <c r="Z32" s="56" t="str">
        <f>IF(COUNTIFS('LANÇAMENTOS DIÁRIOS'!$G$5:$G$500,"E",'LANÇAMENTOS DIÁRIOS'!$C$5:$C$500,$A32,'LANÇAMENTOS DIÁRIOS'!$O$5:$O$500,"&lt;=107999",'LANÇAMENTOS DIÁRIOS'!$P$5:$P$500,"&gt;=107900")&gt;0,"X","")</f>
      </c>
      <c r="AA32" s="56" t="str">
        <f>IF(COUNTIFS('LANÇAMENTOS DIÁRIOS'!$G$5:$G$500,"E",'LANÇAMENTOS DIÁRIOS'!$C$5:$C$500,$A32,'LANÇAMENTOS DIÁRIOS'!$O$5:$O$500,"&lt;=108099",'LANÇAMENTOS DIÁRIOS'!$P$5:$P$500,"&gt;=108000")&gt;0,"X","")</f>
      </c>
      <c r="AB32" s="56" t="str">
        <f>IF(COUNTIFS('LANÇAMENTOS DIÁRIOS'!$G$5:$G$500,"E",'LANÇAMENTOS DIÁRIOS'!$C$5:$C$500,$A32,'LANÇAMENTOS DIÁRIOS'!$O$5:$O$500,"&lt;=108199",'LANÇAMENTOS DIÁRIOS'!$P$5:$P$500,"&gt;=108100")&gt;0,"X","")</f>
      </c>
      <c r="AC32" s="56" t="str">
        <f>IF(COUNTIFS('LANÇAMENTOS DIÁRIOS'!$G$5:$G$500,"E",'LANÇAMENTOS DIÁRIOS'!$C$5:$C$500,$A32,'LANÇAMENTOS DIÁRIOS'!$O$5:$O$500,"&lt;=108299",'LANÇAMENTOS DIÁRIOS'!$P$5:$P$500,"&gt;=108200")&gt;0,"X","")</f>
      </c>
      <c r="AD32" s="56" t="str">
        <f>IF(COUNTIFS('LANÇAMENTOS DIÁRIOS'!$G$5:$G$500,"E",'LANÇAMENTOS DIÁRIOS'!$C$5:$C$500,$A32,'LANÇAMENTOS DIÁRIOS'!$O$5:$O$500,"&lt;=108399",'LANÇAMENTOS DIÁRIOS'!$P$5:$P$500,"&gt;=108300")&gt;0,"X","")</f>
      </c>
      <c r="AE32" s="56" t="str">
        <f>IF(COUNTIFS('LANÇAMENTOS DIÁRIOS'!$G$5:$G$500,"E",'LANÇAMENTOS DIÁRIOS'!$C$5:$C$500,$A32,'LANÇAMENTOS DIÁRIOS'!$O$5:$O$500,"&lt;=108499",'LANÇAMENTOS DIÁRIOS'!$P$5:$P$500,"&gt;=108400")&gt;0,"X","")</f>
      </c>
      <c r="AF32" s="56" t="str">
        <f>IF(COUNTIFS('LANÇAMENTOS DIÁRIOS'!$G$5:$G$500,"E",'LANÇAMENTOS DIÁRIOS'!$C$5:$C$500,$A32,'LANÇAMENTOS DIÁRIOS'!$O$5:$O$500,"&lt;=108599",'LANÇAMENTOS DIÁRIOS'!$P$5:$P$500,"&gt;=108500")&gt;0,"X","")</f>
      </c>
      <c r="AG32" s="56" t="str">
        <f>IF(COUNTIFS('LANÇAMENTOS DIÁRIOS'!$G$5:$G$500,"E",'LANÇAMENTOS DIÁRIOS'!$C$5:$C$500,$A32,'LANÇAMENTOS DIÁRIOS'!$O$5:$O$500,"&lt;=108699",'LANÇAMENTOS DIÁRIOS'!$P$5:$P$500,"&gt;=108600")&gt;0,"X","")</f>
      </c>
      <c r="AH32" s="56" t="str">
        <f>IF(COUNTIFS('LANÇAMENTOS DIÁRIOS'!$G$5:$G$500,"E",'LANÇAMENTOS DIÁRIOS'!$C$5:$C$500,$A32,'LANÇAMENTOS DIÁRIOS'!$O$5:$O$500,"&lt;=108799",'LANÇAMENTOS DIÁRIOS'!$P$5:$P$500,"&gt;=108700")&gt;0,"X","")</f>
      </c>
      <c r="AI32" s="56" t="str">
        <f>IF(COUNTIFS('LANÇAMENTOS DIÁRIOS'!$G$5:$G$500,"E",'LANÇAMENTOS DIÁRIOS'!$C$5:$C$500,$A32,'LANÇAMENTOS DIÁRIOS'!$O$5:$O$500,"&lt;=108899",'LANÇAMENTOS DIÁRIOS'!$P$5:$P$500,"&gt;=108800")&gt;0,"X","")</f>
      </c>
      <c r="AJ32" s="56" t="str">
        <f>IF(COUNTIFS('LANÇAMENTOS DIÁRIOS'!$G$5:$G$500,"E",'LANÇAMENTOS DIÁRIOS'!$C$5:$C$500,$A32,'LANÇAMENTOS DIÁRIOS'!$O$5:$O$500,"&lt;=108999",'LANÇAMENTOS DIÁRIOS'!$P$5:$P$500,"&gt;=108900")&gt;0,"X","")</f>
      </c>
      <c r="AK32" s="56" t="str">
        <f>IF(COUNTIFS('LANÇAMENTOS DIÁRIOS'!$G$5:$G$500,"E",'LANÇAMENTOS DIÁRIOS'!$C$5:$C$500,$A32,'LANÇAMENTOS DIÁRIOS'!$O$5:$O$500,"&lt;=109099",'LANÇAMENTOS DIÁRIOS'!$P$5:$P$500,"&gt;=109000")&gt;0,"X","")</f>
      </c>
      <c r="AL32" s="56" t="str">
        <f>IF(COUNTIFS('LANÇAMENTOS DIÁRIOS'!$G$5:$G$500,"E",'LANÇAMENTOS DIÁRIOS'!$C$5:$C$500,$A32,'LANÇAMENTOS DIÁRIOS'!$O$5:$O$500,"&lt;=109199",'LANÇAMENTOS DIÁRIOS'!$P$5:$P$500,"&gt;=109100")&gt;0,"X","")</f>
      </c>
      <c r="AM32" s="56" t="str">
        <f>IF(COUNTIFS('LANÇAMENTOS DIÁRIOS'!$G$5:$G$500,"E",'LANÇAMENTOS DIÁRIOS'!$C$5:$C$500,$A32,'LANÇAMENTOS DIÁRIOS'!$O$5:$O$500,"&lt;=109299",'LANÇAMENTOS DIÁRIOS'!$P$5:$P$500,"&gt;=109200")&gt;0,"X","")</f>
      </c>
      <c r="AN32" s="56" t="str">
        <f>IF(COUNTIFS('LANÇAMENTOS DIÁRIOS'!$G$5:$G$500,"E",'LANÇAMENTOS DIÁRIOS'!$C$5:$C$500,$A32,'LANÇAMENTOS DIÁRIOS'!$O$5:$O$500,"&lt;=109399",'LANÇAMENTOS DIÁRIOS'!$P$5:$P$500,"&gt;=109300")&gt;0,"X","")</f>
      </c>
      <c r="AO32" s="56" t="str">
        <f>IF(COUNTIFS('LANÇAMENTOS DIÁRIOS'!$G$5:$G$500,"E",'LANÇAMENTOS DIÁRIOS'!$C$5:$C$500,$A32,'LANÇAMENTOS DIÁRIOS'!$O$5:$O$500,"&lt;=109499",'LANÇAMENTOS DIÁRIOS'!$P$5:$P$500,"&gt;=109400")&gt;0,"X","")</f>
      </c>
      <c r="AP32" s="56" t="str">
        <f>IF(COUNTIFS('LANÇAMENTOS DIÁRIOS'!$G$5:$G$500,"E",'LANÇAMENTOS DIÁRIOS'!$C$5:$C$500,$A32,'LANÇAMENTOS DIÁRIOS'!$O$5:$O$500,"&lt;=109599",'LANÇAMENTOS DIÁRIOS'!$P$5:$P$500,"&gt;=109500")&gt;0,"X","")</f>
      </c>
      <c r="AQ32" s="56" t="str">
        <f>IF(COUNTIFS('LANÇAMENTOS DIÁRIOS'!$G$5:$G$500,"E",'LANÇAMENTOS DIÁRIOS'!$C$5:$C$500,$A32,'LANÇAMENTOS DIÁRIOS'!$O$5:$O$500,"&lt;=109699",'LANÇAMENTOS DIÁRIOS'!$P$5:$P$500,"&gt;=109600")&gt;0,"X","")</f>
      </c>
      <c r="AR32" s="56" t="str">
        <f>IF(COUNTIFS('LANÇAMENTOS DIÁRIOS'!$G$5:$G$500,"E",'LANÇAMENTOS DIÁRIOS'!$C$5:$C$500,$A32,'LANÇAMENTOS DIÁRIOS'!$O$5:$O$500,"&lt;=109799",'LANÇAMENTOS DIÁRIOS'!$P$5:$P$500,"&gt;=109700")&gt;0,"X","")</f>
      </c>
      <c r="AS32" s="56" t="str">
        <f>IF(COUNTIFS('LANÇAMENTOS DIÁRIOS'!$G$5:$G$500,"E",'LANÇAMENTOS DIÁRIOS'!$C$5:$C$500,$A32,'LANÇAMENTOS DIÁRIOS'!$O$5:$O$500,"&lt;=109899",'LANÇAMENTOS DIÁRIOS'!$P$5:$P$500,"&gt;=109800")&gt;0,"X","")</f>
      </c>
      <c r="AT32" s="56" t="str">
        <f>IF(COUNTIFS('LANÇAMENTOS DIÁRIOS'!$G$5:$G$500,"E",'LANÇAMENTOS DIÁRIOS'!$C$5:$C$500,$A32,'LANÇAMENTOS DIÁRIOS'!$O$5:$O$500,"&lt;=109999",'LANÇAMENTOS DIÁRIOS'!$P$5:$P$500,"&gt;=109900")&gt;0,"X","")</f>
      </c>
      <c r="AU32" s="56" t="str">
        <f>IF(COUNTIFS('LANÇAMENTOS DIÁRIOS'!$G$5:$G$500,"E",'LANÇAMENTOS DIÁRIOS'!$C$5:$C$500,$A32,'LANÇAMENTOS DIÁRIOS'!$O$5:$O$500,"&lt;=110099",'LANÇAMENTOS DIÁRIOS'!$P$5:$P$500,"&gt;=110000")&gt;0,"X","")</f>
      </c>
      <c r="AV32" s="56" t="str">
        <f>IF(COUNTIFS('LANÇAMENTOS DIÁRIOS'!$G$5:$G$500,"E",'LANÇAMENTOS DIÁRIOS'!$C$5:$C$500,$A32,'LANÇAMENTOS DIÁRIOS'!$O$5:$O$500,"&lt;=110199",'LANÇAMENTOS DIÁRIOS'!$P$5:$P$500,"&gt;=110100")&gt;0,"X","")</f>
      </c>
      <c r="AW32" s="56" t="str">
        <f>IF(COUNTIFS('LANÇAMENTOS DIÁRIOS'!$G$5:$G$500,"E",'LANÇAMENTOS DIÁRIOS'!$C$5:$C$500,$A32,'LANÇAMENTOS DIÁRIOS'!$O$5:$O$500,"&lt;=110299",'LANÇAMENTOS DIÁRIOS'!$P$5:$P$500,"&gt;=110200")&gt;0,"X","")</f>
      </c>
      <c r="AX32" s="56" t="str">
        <f>IF(COUNTIFS('LANÇAMENTOS DIÁRIOS'!$G$5:$G$500,"E",'LANÇAMENTOS DIÁRIOS'!$C$5:$C$500,$A32,'LANÇAMENTOS DIÁRIOS'!$O$5:$O$500,"&lt;=110399",'LANÇAMENTOS DIÁRIOS'!$P$5:$P$500,"&gt;=110300")&gt;0,"X","")</f>
      </c>
      <c r="AY32" s="56" t="str">
        <f>IF(COUNTIFS('LANÇAMENTOS DIÁRIOS'!$G$5:$G$500,"E",'LANÇAMENTOS DIÁRIOS'!$C$5:$C$500,$A32,'LANÇAMENTOS DIÁRIOS'!$O$5:$O$500,"&lt;=110499",'LANÇAMENTOS DIÁRIOS'!$P$5:$P$500,"&gt;=110400")&gt;0,"X","")</f>
      </c>
      <c r="AZ32" s="56" t="str">
        <f>IF(COUNTIFS('LANÇAMENTOS DIÁRIOS'!$G$5:$G$500,"E",'LANÇAMENTOS DIÁRIOS'!$C$5:$C$500,$A32,'LANÇAMENTOS DIÁRIOS'!$O$5:$O$500,"&lt;=110599",'LANÇAMENTOS DIÁRIOS'!$P$5:$P$500,"&gt;=110500")&gt;0,"X","")</f>
      </c>
      <c r="BA32" s="56" t="str">
        <f>IF(COUNTIFS('LANÇAMENTOS DIÁRIOS'!$G$5:$G$500,"E",'LANÇAMENTOS DIÁRIOS'!$C$5:$C$500,$A32,'LANÇAMENTOS DIÁRIOS'!$O$5:$O$500,"&lt;=110699",'LANÇAMENTOS DIÁRIOS'!$P$5:$P$500,"&gt;=110600")&gt;0,"X","")</f>
      </c>
      <c r="BB32" s="56" t="str">
        <f>IF(COUNTIFS('LANÇAMENTOS DIÁRIOS'!$G$5:$G$500,"E",'LANÇAMENTOS DIÁRIOS'!$C$5:$C$500,$A32,'LANÇAMENTOS DIÁRIOS'!$O$5:$O$500,"&lt;=110799",'LANÇAMENTOS DIÁRIOS'!$P$5:$P$500,"&gt;=110700")&gt;0,"X","")</f>
      </c>
      <c r="BC32" s="56" t="str">
        <f>IF(COUNTIFS('LANÇAMENTOS DIÁRIOS'!$G$5:$G$500,"E",'LANÇAMENTOS DIÁRIOS'!$C$5:$C$500,$A32,'LANÇAMENTOS DIÁRIOS'!$O$5:$O$500,"&lt;=110899",'LANÇAMENTOS DIÁRIOS'!$P$5:$P$500,"&gt;=110800")&gt;0,"X","")</f>
      </c>
      <c r="BD32" s="56" t="str">
        <f>IF(COUNTIFS('LANÇAMENTOS DIÁRIOS'!$G$5:$G$500,"E",'LANÇAMENTOS DIÁRIOS'!$C$5:$C$500,$A32,'LANÇAMENTOS DIÁRIOS'!$O$5:$O$500,"&lt;=110999",'LANÇAMENTOS DIÁRIOS'!$P$5:$P$500,"&gt;=110900")&gt;0,"X","")</f>
      </c>
      <c r="BE32" s="56" t="str">
        <f>IF(COUNTIFS('LANÇAMENTOS DIÁRIOS'!$G$5:$G$500,"E",'LANÇAMENTOS DIÁRIOS'!$C$5:$C$500,$A32,'LANÇAMENTOS DIÁRIOS'!$O$5:$O$500,"&lt;=111099",'LANÇAMENTOS DIÁRIOS'!$P$5:$P$500,"&gt;=111000")&gt;0,"X","")</f>
      </c>
      <c r="BF32" s="56" t="str">
        <f>IF(COUNTIFS('LANÇAMENTOS DIÁRIOS'!$G$5:$G$500,"E",'LANÇAMENTOS DIÁRIOS'!$C$5:$C$500,$A32,'LANÇAMENTOS DIÁRIOS'!$O$5:$O$500,"&lt;=111199",'LANÇAMENTOS DIÁRIOS'!$P$5:$P$500,"&gt;=111100")&gt;0,"X","")</f>
      </c>
      <c r="BG32" s="56" t="str">
        <f>IF(COUNTIFS('LANÇAMENTOS DIÁRIOS'!$G$5:$G$500,"E",'LANÇAMENTOS DIÁRIOS'!$C$5:$C$500,$A32,'LANÇAMENTOS DIÁRIOS'!$O$5:$O$500,"&lt;=111299",'LANÇAMENTOS DIÁRIOS'!$P$5:$P$500,"&gt;=111200")&gt;0,"X","")</f>
      </c>
      <c r="BH32" s="56" t="str">
        <f>IF(COUNTIFS('LANÇAMENTOS DIÁRIOS'!$G$5:$G$500,"E",'LANÇAMENTOS DIÁRIOS'!$C$5:$C$500,$A32,'LANÇAMENTOS DIÁRIOS'!$O$5:$O$500,"&lt;=111399",'LANÇAMENTOS DIÁRIOS'!$P$5:$P$500,"&gt;=111300")&gt;0,"X","")</f>
      </c>
      <c r="BI32" s="56" t="str">
        <f>IF(COUNTIFS('LANÇAMENTOS DIÁRIOS'!$G$5:$G$500,"E",'LANÇAMENTOS DIÁRIOS'!$C$5:$C$500,$A32,'LANÇAMENTOS DIÁRIOS'!$O$5:$O$500,"&lt;=111499",'LANÇAMENTOS DIÁRIOS'!$P$5:$P$500,"&gt;=111400")&gt;0,"X","")</f>
      </c>
      <c r="BJ32" s="56" t="str">
        <f>IF(COUNTIFS('LANÇAMENTOS DIÁRIOS'!$G$5:$G$500,"E",'LANÇAMENTOS DIÁRIOS'!$C$5:$C$500,$A32,'LANÇAMENTOS DIÁRIOS'!$O$5:$O$500,"&lt;=111500",'LANÇAMENTOS DIÁRIOS'!$P$5:$P$500,"&gt;=111500")&gt;0,"X","")</f>
      </c>
    </row>
    <row r="33">
      <c r="A33" s="51" t="str">
        <v>Derrubada e destocamento.arv. c/ diâmetro 50&lt;&gt;60cm, com limpeza da área</v>
      </c>
      <c r="B33" s="56" t="str">
        <f>IF(COUNTIFS('LANÇAMENTOS DIÁRIOS'!$G$5:$G$500,"E",'LANÇAMENTOS DIÁRIOS'!$C$5:$C$500,$A33,'LANÇAMENTOS DIÁRIOS'!$O$5:$O$500,"&lt;=105599",'LANÇAMENTOS DIÁRIOS'!$P$5:$P$500,"&gt;=105500")&gt;0,"X","")</f>
      </c>
      <c r="C33" s="56" t="str">
        <f>IF(COUNTIFS('LANÇAMENTOS DIÁRIOS'!$G$5:$G$500,"E",'LANÇAMENTOS DIÁRIOS'!$C$5:$C$500,$A33,'LANÇAMENTOS DIÁRIOS'!$O$5:$O$500,"&lt;=105699",'LANÇAMENTOS DIÁRIOS'!$P$5:$P$500,"&gt;=105600")&gt;0,"X","")</f>
      </c>
      <c r="D33" s="56" t="str">
        <f>IF(COUNTIFS('LANÇAMENTOS DIÁRIOS'!$G$5:$G$500,"E",'LANÇAMENTOS DIÁRIOS'!$C$5:$C$500,$A33,'LANÇAMENTOS DIÁRIOS'!$O$5:$O$500,"&lt;=105799",'LANÇAMENTOS DIÁRIOS'!$P$5:$P$500,"&gt;=105700")&gt;0,"X","")</f>
      </c>
      <c r="E33" s="56" t="str">
        <f>IF(COUNTIFS('LANÇAMENTOS DIÁRIOS'!$G$5:$G$500,"E",'LANÇAMENTOS DIÁRIOS'!$C$5:$C$500,$A33,'LANÇAMENTOS DIÁRIOS'!$O$5:$O$500,"&lt;=105899",'LANÇAMENTOS DIÁRIOS'!$P$5:$P$500,"&gt;=105800")&gt;0,"X","")</f>
      </c>
      <c r="F33" s="56" t="str">
        <f>IF(COUNTIFS('LANÇAMENTOS DIÁRIOS'!$G$5:$G$500,"E",'LANÇAMENTOS DIÁRIOS'!$C$5:$C$500,$A33,'LANÇAMENTOS DIÁRIOS'!$O$5:$O$500,"&lt;=105999",'LANÇAMENTOS DIÁRIOS'!$P$5:$P$500,"&gt;=105900")&gt;0,"X","")</f>
      </c>
      <c r="G33" s="56" t="str">
        <f>IF(COUNTIFS('LANÇAMENTOS DIÁRIOS'!$G$5:$G$500,"E",'LANÇAMENTOS DIÁRIOS'!$C$5:$C$500,$A33,'LANÇAMENTOS DIÁRIOS'!$O$5:$O$500,"&lt;=106099",'LANÇAMENTOS DIÁRIOS'!$P$5:$P$500,"&gt;=106000")&gt;0,"X","")</f>
      </c>
      <c r="H33" s="56" t="str">
        <f>IF(COUNTIFS('LANÇAMENTOS DIÁRIOS'!$G$5:$G$500,"E",'LANÇAMENTOS DIÁRIOS'!$C$5:$C$500,$A33,'LANÇAMENTOS DIÁRIOS'!$O$5:$O$500,"&lt;=106199",'LANÇAMENTOS DIÁRIOS'!$P$5:$P$500,"&gt;=106100")&gt;0,"X","")</f>
      </c>
      <c r="I33" s="56" t="str">
        <f>IF(COUNTIFS('LANÇAMENTOS DIÁRIOS'!$G$5:$G$500,"E",'LANÇAMENTOS DIÁRIOS'!$C$5:$C$500,$A33,'LANÇAMENTOS DIÁRIOS'!$O$5:$O$500,"&lt;=106299",'LANÇAMENTOS DIÁRIOS'!$P$5:$P$500,"&gt;=106200")&gt;0,"X","")</f>
      </c>
      <c r="J33" s="56" t="str">
        <f>IF(COUNTIFS('LANÇAMENTOS DIÁRIOS'!$G$5:$G$500,"E",'LANÇAMENTOS DIÁRIOS'!$C$5:$C$500,$A33,'LANÇAMENTOS DIÁRIOS'!$O$5:$O$500,"&lt;=106399",'LANÇAMENTOS DIÁRIOS'!$P$5:$P$500,"&gt;=106300")&gt;0,"X","")</f>
      </c>
      <c r="K33" s="56" t="str">
        <f>IF(COUNTIFS('LANÇAMENTOS DIÁRIOS'!$G$5:$G$500,"E",'LANÇAMENTOS DIÁRIOS'!$C$5:$C$500,$A33,'LANÇAMENTOS DIÁRIOS'!$O$5:$O$500,"&lt;=106499",'LANÇAMENTOS DIÁRIOS'!$P$5:$P$500,"&gt;=106400")&gt;0,"X","")</f>
      </c>
      <c r="L33" s="56" t="str">
        <f>IF(COUNTIFS('LANÇAMENTOS DIÁRIOS'!$G$5:$G$500,"E",'LANÇAMENTOS DIÁRIOS'!$C$5:$C$500,$A33,'LANÇAMENTOS DIÁRIOS'!$O$5:$O$500,"&lt;=106599",'LANÇAMENTOS DIÁRIOS'!$P$5:$P$500,"&gt;=106500")&gt;0,"X","")</f>
      </c>
      <c r="M33" s="56" t="str">
        <f>IF(COUNTIFS('LANÇAMENTOS DIÁRIOS'!$G$5:$G$500,"E",'LANÇAMENTOS DIÁRIOS'!$C$5:$C$500,$A33,'LANÇAMENTOS DIÁRIOS'!$O$5:$O$500,"&lt;=106699",'LANÇAMENTOS DIÁRIOS'!$P$5:$P$500,"&gt;=106600")&gt;0,"X","")</f>
      </c>
      <c r="N33" s="56" t="str">
        <f>IF(COUNTIFS('LANÇAMENTOS DIÁRIOS'!$G$5:$G$500,"E",'LANÇAMENTOS DIÁRIOS'!$C$5:$C$500,$A33,'LANÇAMENTOS DIÁRIOS'!$O$5:$O$500,"&lt;=106799",'LANÇAMENTOS DIÁRIOS'!$P$5:$P$500,"&gt;=106700")&gt;0,"X","")</f>
      </c>
      <c r="O33" s="56" t="str">
        <f>IF(COUNTIFS('LANÇAMENTOS DIÁRIOS'!$G$5:$G$500,"E",'LANÇAMENTOS DIÁRIOS'!$C$5:$C$500,$A33,'LANÇAMENTOS DIÁRIOS'!$O$5:$O$500,"&lt;=106899",'LANÇAMENTOS DIÁRIOS'!$P$5:$P$500,"&gt;=106800")&gt;0,"X","")</f>
      </c>
      <c r="P33" s="56" t="str">
        <f>IF(COUNTIFS('LANÇAMENTOS DIÁRIOS'!$G$5:$G$500,"E",'LANÇAMENTOS DIÁRIOS'!$C$5:$C$500,$A33,'LANÇAMENTOS DIÁRIOS'!$O$5:$O$500,"&lt;=106999",'LANÇAMENTOS DIÁRIOS'!$P$5:$P$500,"&gt;=106900")&gt;0,"X","")</f>
      </c>
      <c r="Q33" s="56" t="str">
        <f>IF(COUNTIFS('LANÇAMENTOS DIÁRIOS'!$G$5:$G$500,"E",'LANÇAMENTOS DIÁRIOS'!$C$5:$C$500,$A33,'LANÇAMENTOS DIÁRIOS'!$O$5:$O$500,"&lt;=107099",'LANÇAMENTOS DIÁRIOS'!$P$5:$P$500,"&gt;=107000")&gt;0,"X","")</f>
      </c>
      <c r="R33" s="56" t="str">
        <f>IF(COUNTIFS('LANÇAMENTOS DIÁRIOS'!$G$5:$G$500,"E",'LANÇAMENTOS DIÁRIOS'!$C$5:$C$500,$A33,'LANÇAMENTOS DIÁRIOS'!$O$5:$O$500,"&lt;=107199",'LANÇAMENTOS DIÁRIOS'!$P$5:$P$500,"&gt;=107100")&gt;0,"X","")</f>
      </c>
      <c r="S33" s="56" t="str">
        <f>IF(COUNTIFS('LANÇAMENTOS DIÁRIOS'!$G$5:$G$500,"E",'LANÇAMENTOS DIÁRIOS'!$C$5:$C$500,$A33,'LANÇAMENTOS DIÁRIOS'!$O$5:$O$500,"&lt;=107299",'LANÇAMENTOS DIÁRIOS'!$P$5:$P$500,"&gt;=107200")&gt;0,"X","")</f>
      </c>
      <c r="T33" s="56" t="str">
        <f>IF(COUNTIFS('LANÇAMENTOS DIÁRIOS'!$G$5:$G$500,"E",'LANÇAMENTOS DIÁRIOS'!$C$5:$C$500,$A33,'LANÇAMENTOS DIÁRIOS'!$O$5:$O$500,"&lt;=107399",'LANÇAMENTOS DIÁRIOS'!$P$5:$P$500,"&gt;=107300")&gt;0,"X","")</f>
      </c>
      <c r="U33" s="56" t="str">
        <f>IF(COUNTIFS('LANÇAMENTOS DIÁRIOS'!$G$5:$G$500,"E",'LANÇAMENTOS DIÁRIOS'!$C$5:$C$500,$A33,'LANÇAMENTOS DIÁRIOS'!$O$5:$O$500,"&lt;=107499",'LANÇAMENTOS DIÁRIOS'!$P$5:$P$500,"&gt;=107400")&gt;0,"X","")</f>
      </c>
      <c r="V33" s="56" t="str">
        <f>IF(COUNTIFS('LANÇAMENTOS DIÁRIOS'!$G$5:$G$500,"E",'LANÇAMENTOS DIÁRIOS'!$C$5:$C$500,$A33,'LANÇAMENTOS DIÁRIOS'!$O$5:$O$500,"&lt;=107599",'LANÇAMENTOS DIÁRIOS'!$P$5:$P$500,"&gt;=107500")&gt;0,"X","")</f>
      </c>
      <c r="W33" s="56" t="str">
        <f>IF(COUNTIFS('LANÇAMENTOS DIÁRIOS'!$G$5:$G$500,"E",'LANÇAMENTOS DIÁRIOS'!$C$5:$C$500,$A33,'LANÇAMENTOS DIÁRIOS'!$O$5:$O$500,"&lt;=107699",'LANÇAMENTOS DIÁRIOS'!$P$5:$P$500,"&gt;=107600")&gt;0,"X","")</f>
      </c>
      <c r="X33" s="56" t="str">
        <f>IF(COUNTIFS('LANÇAMENTOS DIÁRIOS'!$G$5:$G$500,"E",'LANÇAMENTOS DIÁRIOS'!$C$5:$C$500,$A33,'LANÇAMENTOS DIÁRIOS'!$O$5:$O$500,"&lt;=107799",'LANÇAMENTOS DIÁRIOS'!$P$5:$P$500,"&gt;=107700")&gt;0,"X","")</f>
      </c>
      <c r="Y33" s="56" t="str">
        <f>IF(COUNTIFS('LANÇAMENTOS DIÁRIOS'!$G$5:$G$500,"E",'LANÇAMENTOS DIÁRIOS'!$C$5:$C$500,$A33,'LANÇAMENTOS DIÁRIOS'!$O$5:$O$500,"&lt;=107899",'LANÇAMENTOS DIÁRIOS'!$P$5:$P$500,"&gt;=107800")&gt;0,"X","")</f>
      </c>
      <c r="Z33" s="56" t="str">
        <f>IF(COUNTIFS('LANÇAMENTOS DIÁRIOS'!$G$5:$G$500,"E",'LANÇAMENTOS DIÁRIOS'!$C$5:$C$500,$A33,'LANÇAMENTOS DIÁRIOS'!$O$5:$O$500,"&lt;=107999",'LANÇAMENTOS DIÁRIOS'!$P$5:$P$500,"&gt;=107900")&gt;0,"X","")</f>
      </c>
      <c r="AA33" s="56" t="str">
        <f>IF(COUNTIFS('LANÇAMENTOS DIÁRIOS'!$G$5:$G$500,"E",'LANÇAMENTOS DIÁRIOS'!$C$5:$C$500,$A33,'LANÇAMENTOS DIÁRIOS'!$O$5:$O$500,"&lt;=108099",'LANÇAMENTOS DIÁRIOS'!$P$5:$P$500,"&gt;=108000")&gt;0,"X","")</f>
      </c>
      <c r="AB33" s="56" t="str">
        <f>IF(COUNTIFS('LANÇAMENTOS DIÁRIOS'!$G$5:$G$500,"E",'LANÇAMENTOS DIÁRIOS'!$C$5:$C$500,$A33,'LANÇAMENTOS DIÁRIOS'!$O$5:$O$500,"&lt;=108199",'LANÇAMENTOS DIÁRIOS'!$P$5:$P$500,"&gt;=108100")&gt;0,"X","")</f>
      </c>
      <c r="AC33" s="56" t="str">
        <f>IF(COUNTIFS('LANÇAMENTOS DIÁRIOS'!$G$5:$G$500,"E",'LANÇAMENTOS DIÁRIOS'!$C$5:$C$500,$A33,'LANÇAMENTOS DIÁRIOS'!$O$5:$O$500,"&lt;=108299",'LANÇAMENTOS DIÁRIOS'!$P$5:$P$500,"&gt;=108200")&gt;0,"X","")</f>
      </c>
      <c r="AD33" s="56" t="str">
        <f>IF(COUNTIFS('LANÇAMENTOS DIÁRIOS'!$G$5:$G$500,"E",'LANÇAMENTOS DIÁRIOS'!$C$5:$C$500,$A33,'LANÇAMENTOS DIÁRIOS'!$O$5:$O$500,"&lt;=108399",'LANÇAMENTOS DIÁRIOS'!$P$5:$P$500,"&gt;=108300")&gt;0,"X","")</f>
      </c>
      <c r="AE33" s="56" t="str">
        <f>IF(COUNTIFS('LANÇAMENTOS DIÁRIOS'!$G$5:$G$500,"E",'LANÇAMENTOS DIÁRIOS'!$C$5:$C$500,$A33,'LANÇAMENTOS DIÁRIOS'!$O$5:$O$500,"&lt;=108499",'LANÇAMENTOS DIÁRIOS'!$P$5:$P$500,"&gt;=108400")&gt;0,"X","")</f>
      </c>
      <c r="AF33" s="56" t="str">
        <f>IF(COUNTIFS('LANÇAMENTOS DIÁRIOS'!$G$5:$G$500,"E",'LANÇAMENTOS DIÁRIOS'!$C$5:$C$500,$A33,'LANÇAMENTOS DIÁRIOS'!$O$5:$O$500,"&lt;=108599",'LANÇAMENTOS DIÁRIOS'!$P$5:$P$500,"&gt;=108500")&gt;0,"X","")</f>
      </c>
      <c r="AG33" s="56" t="str">
        <f>IF(COUNTIFS('LANÇAMENTOS DIÁRIOS'!$G$5:$G$500,"E",'LANÇAMENTOS DIÁRIOS'!$C$5:$C$500,$A33,'LANÇAMENTOS DIÁRIOS'!$O$5:$O$500,"&lt;=108699",'LANÇAMENTOS DIÁRIOS'!$P$5:$P$500,"&gt;=108600")&gt;0,"X","")</f>
      </c>
      <c r="AH33" s="56" t="str">
        <f>IF(COUNTIFS('LANÇAMENTOS DIÁRIOS'!$G$5:$G$500,"E",'LANÇAMENTOS DIÁRIOS'!$C$5:$C$500,$A33,'LANÇAMENTOS DIÁRIOS'!$O$5:$O$500,"&lt;=108799",'LANÇAMENTOS DIÁRIOS'!$P$5:$P$500,"&gt;=108700")&gt;0,"X","")</f>
      </c>
      <c r="AI33" s="56" t="str">
        <f>IF(COUNTIFS('LANÇAMENTOS DIÁRIOS'!$G$5:$G$500,"E",'LANÇAMENTOS DIÁRIOS'!$C$5:$C$500,$A33,'LANÇAMENTOS DIÁRIOS'!$O$5:$O$500,"&lt;=108899",'LANÇAMENTOS DIÁRIOS'!$P$5:$P$500,"&gt;=108800")&gt;0,"X","")</f>
      </c>
      <c r="AJ33" s="56" t="str">
        <f>IF(COUNTIFS('LANÇAMENTOS DIÁRIOS'!$G$5:$G$500,"E",'LANÇAMENTOS DIÁRIOS'!$C$5:$C$500,$A33,'LANÇAMENTOS DIÁRIOS'!$O$5:$O$500,"&lt;=108999",'LANÇAMENTOS DIÁRIOS'!$P$5:$P$500,"&gt;=108900")&gt;0,"X","")</f>
      </c>
      <c r="AK33" s="56" t="str">
        <f>IF(COUNTIFS('LANÇAMENTOS DIÁRIOS'!$G$5:$G$500,"E",'LANÇAMENTOS DIÁRIOS'!$C$5:$C$500,$A33,'LANÇAMENTOS DIÁRIOS'!$O$5:$O$500,"&lt;=109099",'LANÇAMENTOS DIÁRIOS'!$P$5:$P$500,"&gt;=109000")&gt;0,"X","")</f>
      </c>
      <c r="AL33" s="56" t="str">
        <f>IF(COUNTIFS('LANÇAMENTOS DIÁRIOS'!$G$5:$G$500,"E",'LANÇAMENTOS DIÁRIOS'!$C$5:$C$500,$A33,'LANÇAMENTOS DIÁRIOS'!$O$5:$O$500,"&lt;=109199",'LANÇAMENTOS DIÁRIOS'!$P$5:$P$500,"&gt;=109100")&gt;0,"X","")</f>
      </c>
      <c r="AM33" s="56" t="str">
        <f>IF(COUNTIFS('LANÇAMENTOS DIÁRIOS'!$G$5:$G$500,"E",'LANÇAMENTOS DIÁRIOS'!$C$5:$C$500,$A33,'LANÇAMENTOS DIÁRIOS'!$O$5:$O$500,"&lt;=109299",'LANÇAMENTOS DIÁRIOS'!$P$5:$P$500,"&gt;=109200")&gt;0,"X","")</f>
      </c>
      <c r="AN33" s="56" t="str">
        <f>IF(COUNTIFS('LANÇAMENTOS DIÁRIOS'!$G$5:$G$500,"E",'LANÇAMENTOS DIÁRIOS'!$C$5:$C$500,$A33,'LANÇAMENTOS DIÁRIOS'!$O$5:$O$500,"&lt;=109399",'LANÇAMENTOS DIÁRIOS'!$P$5:$P$500,"&gt;=109300")&gt;0,"X","")</f>
      </c>
      <c r="AO33" s="56" t="str">
        <f>IF(COUNTIFS('LANÇAMENTOS DIÁRIOS'!$G$5:$G$500,"E",'LANÇAMENTOS DIÁRIOS'!$C$5:$C$500,$A33,'LANÇAMENTOS DIÁRIOS'!$O$5:$O$500,"&lt;=109499",'LANÇAMENTOS DIÁRIOS'!$P$5:$P$500,"&gt;=109400")&gt;0,"X","")</f>
      </c>
      <c r="AP33" s="56" t="str">
        <f>IF(COUNTIFS('LANÇAMENTOS DIÁRIOS'!$G$5:$G$500,"E",'LANÇAMENTOS DIÁRIOS'!$C$5:$C$500,$A33,'LANÇAMENTOS DIÁRIOS'!$O$5:$O$500,"&lt;=109599",'LANÇAMENTOS DIÁRIOS'!$P$5:$P$500,"&gt;=109500")&gt;0,"X","")</f>
      </c>
      <c r="AQ33" s="56" t="str">
        <f>IF(COUNTIFS('LANÇAMENTOS DIÁRIOS'!$G$5:$G$500,"E",'LANÇAMENTOS DIÁRIOS'!$C$5:$C$500,$A33,'LANÇAMENTOS DIÁRIOS'!$O$5:$O$500,"&lt;=109699",'LANÇAMENTOS DIÁRIOS'!$P$5:$P$500,"&gt;=109600")&gt;0,"X","")</f>
      </c>
      <c r="AR33" s="56" t="str">
        <f>IF(COUNTIFS('LANÇAMENTOS DIÁRIOS'!$G$5:$G$500,"E",'LANÇAMENTOS DIÁRIOS'!$C$5:$C$500,$A33,'LANÇAMENTOS DIÁRIOS'!$O$5:$O$500,"&lt;=109799",'LANÇAMENTOS DIÁRIOS'!$P$5:$P$500,"&gt;=109700")&gt;0,"X","")</f>
      </c>
      <c r="AS33" s="56" t="str">
        <f>IF(COUNTIFS('LANÇAMENTOS DIÁRIOS'!$G$5:$G$500,"E",'LANÇAMENTOS DIÁRIOS'!$C$5:$C$500,$A33,'LANÇAMENTOS DIÁRIOS'!$O$5:$O$500,"&lt;=109899",'LANÇAMENTOS DIÁRIOS'!$P$5:$P$500,"&gt;=109800")&gt;0,"X","")</f>
      </c>
      <c r="AT33" s="56" t="str">
        <f>IF(COUNTIFS('LANÇAMENTOS DIÁRIOS'!$G$5:$G$500,"E",'LANÇAMENTOS DIÁRIOS'!$C$5:$C$500,$A33,'LANÇAMENTOS DIÁRIOS'!$O$5:$O$500,"&lt;=109999",'LANÇAMENTOS DIÁRIOS'!$P$5:$P$500,"&gt;=109900")&gt;0,"X","")</f>
      </c>
      <c r="AU33" s="56" t="str">
        <f>IF(COUNTIFS('LANÇAMENTOS DIÁRIOS'!$G$5:$G$500,"E",'LANÇAMENTOS DIÁRIOS'!$C$5:$C$500,$A33,'LANÇAMENTOS DIÁRIOS'!$O$5:$O$500,"&lt;=110099",'LANÇAMENTOS DIÁRIOS'!$P$5:$P$500,"&gt;=110000")&gt;0,"X","")</f>
      </c>
      <c r="AV33" s="56" t="str">
        <f>IF(COUNTIFS('LANÇAMENTOS DIÁRIOS'!$G$5:$G$500,"E",'LANÇAMENTOS DIÁRIOS'!$C$5:$C$500,$A33,'LANÇAMENTOS DIÁRIOS'!$O$5:$O$500,"&lt;=110199",'LANÇAMENTOS DIÁRIOS'!$P$5:$P$500,"&gt;=110100")&gt;0,"X","")</f>
      </c>
      <c r="AW33" s="56" t="str">
        <f>IF(COUNTIFS('LANÇAMENTOS DIÁRIOS'!$G$5:$G$500,"E",'LANÇAMENTOS DIÁRIOS'!$C$5:$C$500,$A33,'LANÇAMENTOS DIÁRIOS'!$O$5:$O$500,"&lt;=110299",'LANÇAMENTOS DIÁRIOS'!$P$5:$P$500,"&gt;=110200")&gt;0,"X","")</f>
      </c>
      <c r="AX33" s="56" t="str">
        <f>IF(COUNTIFS('LANÇAMENTOS DIÁRIOS'!$G$5:$G$500,"E",'LANÇAMENTOS DIÁRIOS'!$C$5:$C$500,$A33,'LANÇAMENTOS DIÁRIOS'!$O$5:$O$500,"&lt;=110399",'LANÇAMENTOS DIÁRIOS'!$P$5:$P$500,"&gt;=110300")&gt;0,"X","")</f>
      </c>
      <c r="AY33" s="56" t="str">
        <f>IF(COUNTIFS('LANÇAMENTOS DIÁRIOS'!$G$5:$G$500,"E",'LANÇAMENTOS DIÁRIOS'!$C$5:$C$500,$A33,'LANÇAMENTOS DIÁRIOS'!$O$5:$O$500,"&lt;=110499",'LANÇAMENTOS DIÁRIOS'!$P$5:$P$500,"&gt;=110400")&gt;0,"X","")</f>
      </c>
      <c r="AZ33" s="56" t="str">
        <f>IF(COUNTIFS('LANÇAMENTOS DIÁRIOS'!$G$5:$G$500,"E",'LANÇAMENTOS DIÁRIOS'!$C$5:$C$500,$A33,'LANÇAMENTOS DIÁRIOS'!$O$5:$O$500,"&lt;=110599",'LANÇAMENTOS DIÁRIOS'!$P$5:$P$500,"&gt;=110500")&gt;0,"X","")</f>
      </c>
      <c r="BA33" s="56" t="str">
        <f>IF(COUNTIFS('LANÇAMENTOS DIÁRIOS'!$G$5:$G$500,"E",'LANÇAMENTOS DIÁRIOS'!$C$5:$C$500,$A33,'LANÇAMENTOS DIÁRIOS'!$O$5:$O$500,"&lt;=110699",'LANÇAMENTOS DIÁRIOS'!$P$5:$P$500,"&gt;=110600")&gt;0,"X","")</f>
      </c>
      <c r="BB33" s="56" t="str">
        <f>IF(COUNTIFS('LANÇAMENTOS DIÁRIOS'!$G$5:$G$500,"E",'LANÇAMENTOS DIÁRIOS'!$C$5:$C$500,$A33,'LANÇAMENTOS DIÁRIOS'!$O$5:$O$500,"&lt;=110799",'LANÇAMENTOS DIÁRIOS'!$P$5:$P$500,"&gt;=110700")&gt;0,"X","")</f>
      </c>
      <c r="BC33" s="56" t="str">
        <f>IF(COUNTIFS('LANÇAMENTOS DIÁRIOS'!$G$5:$G$500,"E",'LANÇAMENTOS DIÁRIOS'!$C$5:$C$500,$A33,'LANÇAMENTOS DIÁRIOS'!$O$5:$O$500,"&lt;=110899",'LANÇAMENTOS DIÁRIOS'!$P$5:$P$500,"&gt;=110800")&gt;0,"X","")</f>
      </c>
      <c r="BD33" s="56" t="str">
        <f>IF(COUNTIFS('LANÇAMENTOS DIÁRIOS'!$G$5:$G$500,"E",'LANÇAMENTOS DIÁRIOS'!$C$5:$C$500,$A33,'LANÇAMENTOS DIÁRIOS'!$O$5:$O$500,"&lt;=110999",'LANÇAMENTOS DIÁRIOS'!$P$5:$P$500,"&gt;=110900")&gt;0,"X","")</f>
      </c>
      <c r="BE33" s="56" t="str">
        <f>IF(COUNTIFS('LANÇAMENTOS DIÁRIOS'!$G$5:$G$500,"E",'LANÇAMENTOS DIÁRIOS'!$C$5:$C$500,$A33,'LANÇAMENTOS DIÁRIOS'!$O$5:$O$500,"&lt;=111099",'LANÇAMENTOS DIÁRIOS'!$P$5:$P$500,"&gt;=111000")&gt;0,"X","")</f>
      </c>
      <c r="BF33" s="56" t="str">
        <f>IF(COUNTIFS('LANÇAMENTOS DIÁRIOS'!$G$5:$G$500,"E",'LANÇAMENTOS DIÁRIOS'!$C$5:$C$500,$A33,'LANÇAMENTOS DIÁRIOS'!$O$5:$O$500,"&lt;=111199",'LANÇAMENTOS DIÁRIOS'!$P$5:$P$500,"&gt;=111100")&gt;0,"X","")</f>
      </c>
      <c r="BG33" s="56" t="str">
        <f>IF(COUNTIFS('LANÇAMENTOS DIÁRIOS'!$G$5:$G$500,"E",'LANÇAMENTOS DIÁRIOS'!$C$5:$C$500,$A33,'LANÇAMENTOS DIÁRIOS'!$O$5:$O$500,"&lt;=111299",'LANÇAMENTOS DIÁRIOS'!$P$5:$P$500,"&gt;=111200")&gt;0,"X","")</f>
      </c>
      <c r="BH33" s="56" t="str">
        <f>IF(COUNTIFS('LANÇAMENTOS DIÁRIOS'!$G$5:$G$500,"E",'LANÇAMENTOS DIÁRIOS'!$C$5:$C$500,$A33,'LANÇAMENTOS DIÁRIOS'!$O$5:$O$500,"&lt;=111399",'LANÇAMENTOS DIÁRIOS'!$P$5:$P$500,"&gt;=111300")&gt;0,"X","")</f>
      </c>
      <c r="BI33" s="56" t="str">
        <f>IF(COUNTIFS('LANÇAMENTOS DIÁRIOS'!$G$5:$G$500,"E",'LANÇAMENTOS DIÁRIOS'!$C$5:$C$500,$A33,'LANÇAMENTOS DIÁRIOS'!$O$5:$O$500,"&lt;=111499",'LANÇAMENTOS DIÁRIOS'!$P$5:$P$500,"&gt;=111400")&gt;0,"X","")</f>
      </c>
      <c r="BJ33" s="56" t="str">
        <f>IF(COUNTIFS('LANÇAMENTOS DIÁRIOS'!$G$5:$G$500,"E",'LANÇAMENTOS DIÁRIOS'!$C$5:$C$500,$A33,'LANÇAMENTOS DIÁRIOS'!$O$5:$O$500,"&lt;=111500",'LANÇAMENTOS DIÁRIOS'!$P$5:$P$500,"&gt;=111500")&gt;0,"X","")</f>
      </c>
    </row>
    <row r="34">
      <c r="A34" s="51" t="str">
        <v>Derrubada e destocamento.arv. c/ diâmetro 60&lt;&gt;70cm, com limpeza da área</v>
      </c>
      <c r="B34" s="56" t="str">
        <f>IF(COUNTIFS('LANÇAMENTOS DIÁRIOS'!$G$5:$G$500,"E",'LANÇAMENTOS DIÁRIOS'!$C$5:$C$500,$A34,'LANÇAMENTOS DIÁRIOS'!$O$5:$O$500,"&lt;=105599",'LANÇAMENTOS DIÁRIOS'!$P$5:$P$500,"&gt;=105500")&gt;0,"X","")</f>
      </c>
      <c r="C34" s="56" t="str">
        <f>IF(COUNTIFS('LANÇAMENTOS DIÁRIOS'!$G$5:$G$500,"E",'LANÇAMENTOS DIÁRIOS'!$C$5:$C$500,$A34,'LANÇAMENTOS DIÁRIOS'!$O$5:$O$500,"&lt;=105699",'LANÇAMENTOS DIÁRIOS'!$P$5:$P$500,"&gt;=105600")&gt;0,"X","")</f>
      </c>
      <c r="D34" s="56" t="str">
        <f>IF(COUNTIFS('LANÇAMENTOS DIÁRIOS'!$G$5:$G$500,"E",'LANÇAMENTOS DIÁRIOS'!$C$5:$C$500,$A34,'LANÇAMENTOS DIÁRIOS'!$O$5:$O$500,"&lt;=105799",'LANÇAMENTOS DIÁRIOS'!$P$5:$P$500,"&gt;=105700")&gt;0,"X","")</f>
      </c>
      <c r="E34" s="56" t="str">
        <f>IF(COUNTIFS('LANÇAMENTOS DIÁRIOS'!$G$5:$G$500,"E",'LANÇAMENTOS DIÁRIOS'!$C$5:$C$500,$A34,'LANÇAMENTOS DIÁRIOS'!$O$5:$O$500,"&lt;=105899",'LANÇAMENTOS DIÁRIOS'!$P$5:$P$500,"&gt;=105800")&gt;0,"X","")</f>
      </c>
      <c r="F34" s="56" t="str">
        <f>IF(COUNTIFS('LANÇAMENTOS DIÁRIOS'!$G$5:$G$500,"E",'LANÇAMENTOS DIÁRIOS'!$C$5:$C$500,$A34,'LANÇAMENTOS DIÁRIOS'!$O$5:$O$500,"&lt;=105999",'LANÇAMENTOS DIÁRIOS'!$P$5:$P$500,"&gt;=105900")&gt;0,"X","")</f>
      </c>
      <c r="G34" s="56" t="str">
        <f>IF(COUNTIFS('LANÇAMENTOS DIÁRIOS'!$G$5:$G$500,"E",'LANÇAMENTOS DIÁRIOS'!$C$5:$C$500,$A34,'LANÇAMENTOS DIÁRIOS'!$O$5:$O$500,"&lt;=106099",'LANÇAMENTOS DIÁRIOS'!$P$5:$P$500,"&gt;=106000")&gt;0,"X","")</f>
      </c>
      <c r="H34" s="56" t="str">
        <f>IF(COUNTIFS('LANÇAMENTOS DIÁRIOS'!$G$5:$G$500,"E",'LANÇAMENTOS DIÁRIOS'!$C$5:$C$500,$A34,'LANÇAMENTOS DIÁRIOS'!$O$5:$O$500,"&lt;=106199",'LANÇAMENTOS DIÁRIOS'!$P$5:$P$500,"&gt;=106100")&gt;0,"X","")</f>
      </c>
      <c r="I34" s="56" t="str">
        <f>IF(COUNTIFS('LANÇAMENTOS DIÁRIOS'!$G$5:$G$500,"E",'LANÇAMENTOS DIÁRIOS'!$C$5:$C$500,$A34,'LANÇAMENTOS DIÁRIOS'!$O$5:$O$500,"&lt;=106299",'LANÇAMENTOS DIÁRIOS'!$P$5:$P$500,"&gt;=106200")&gt;0,"X","")</f>
      </c>
      <c r="J34" s="56" t="str">
        <f>IF(COUNTIFS('LANÇAMENTOS DIÁRIOS'!$G$5:$G$500,"E",'LANÇAMENTOS DIÁRIOS'!$C$5:$C$500,$A34,'LANÇAMENTOS DIÁRIOS'!$O$5:$O$500,"&lt;=106399",'LANÇAMENTOS DIÁRIOS'!$P$5:$P$500,"&gt;=106300")&gt;0,"X","")</f>
      </c>
      <c r="K34" s="56" t="str">
        <f>IF(COUNTIFS('LANÇAMENTOS DIÁRIOS'!$G$5:$G$500,"E",'LANÇAMENTOS DIÁRIOS'!$C$5:$C$500,$A34,'LANÇAMENTOS DIÁRIOS'!$O$5:$O$500,"&lt;=106499",'LANÇAMENTOS DIÁRIOS'!$P$5:$P$500,"&gt;=106400")&gt;0,"X","")</f>
      </c>
      <c r="L34" s="56" t="str">
        <f>IF(COUNTIFS('LANÇAMENTOS DIÁRIOS'!$G$5:$G$500,"E",'LANÇAMENTOS DIÁRIOS'!$C$5:$C$500,$A34,'LANÇAMENTOS DIÁRIOS'!$O$5:$O$500,"&lt;=106599",'LANÇAMENTOS DIÁRIOS'!$P$5:$P$500,"&gt;=106500")&gt;0,"X","")</f>
      </c>
      <c r="M34" s="56" t="str">
        <f>IF(COUNTIFS('LANÇAMENTOS DIÁRIOS'!$G$5:$G$500,"E",'LANÇAMENTOS DIÁRIOS'!$C$5:$C$500,$A34,'LANÇAMENTOS DIÁRIOS'!$O$5:$O$500,"&lt;=106699",'LANÇAMENTOS DIÁRIOS'!$P$5:$P$500,"&gt;=106600")&gt;0,"X","")</f>
      </c>
      <c r="N34" s="56" t="str">
        <f>IF(COUNTIFS('LANÇAMENTOS DIÁRIOS'!$G$5:$G$500,"E",'LANÇAMENTOS DIÁRIOS'!$C$5:$C$500,$A34,'LANÇAMENTOS DIÁRIOS'!$O$5:$O$500,"&lt;=106799",'LANÇAMENTOS DIÁRIOS'!$P$5:$P$500,"&gt;=106700")&gt;0,"X","")</f>
      </c>
      <c r="O34" s="56" t="str">
        <f>IF(COUNTIFS('LANÇAMENTOS DIÁRIOS'!$G$5:$G$500,"E",'LANÇAMENTOS DIÁRIOS'!$C$5:$C$500,$A34,'LANÇAMENTOS DIÁRIOS'!$O$5:$O$500,"&lt;=106899",'LANÇAMENTOS DIÁRIOS'!$P$5:$P$500,"&gt;=106800")&gt;0,"X","")</f>
      </c>
      <c r="P34" s="56" t="str">
        <f>IF(COUNTIFS('LANÇAMENTOS DIÁRIOS'!$G$5:$G$500,"E",'LANÇAMENTOS DIÁRIOS'!$C$5:$C$500,$A34,'LANÇAMENTOS DIÁRIOS'!$O$5:$O$500,"&lt;=106999",'LANÇAMENTOS DIÁRIOS'!$P$5:$P$500,"&gt;=106900")&gt;0,"X","")</f>
      </c>
      <c r="Q34" s="56" t="str">
        <f>IF(COUNTIFS('LANÇAMENTOS DIÁRIOS'!$G$5:$G$500,"E",'LANÇAMENTOS DIÁRIOS'!$C$5:$C$500,$A34,'LANÇAMENTOS DIÁRIOS'!$O$5:$O$500,"&lt;=107099",'LANÇAMENTOS DIÁRIOS'!$P$5:$P$500,"&gt;=107000")&gt;0,"X","")</f>
      </c>
      <c r="R34" s="56" t="str">
        <f>IF(COUNTIFS('LANÇAMENTOS DIÁRIOS'!$G$5:$G$500,"E",'LANÇAMENTOS DIÁRIOS'!$C$5:$C$500,$A34,'LANÇAMENTOS DIÁRIOS'!$O$5:$O$500,"&lt;=107199",'LANÇAMENTOS DIÁRIOS'!$P$5:$P$500,"&gt;=107100")&gt;0,"X","")</f>
      </c>
      <c r="S34" s="56" t="str">
        <f>IF(COUNTIFS('LANÇAMENTOS DIÁRIOS'!$G$5:$G$500,"E",'LANÇAMENTOS DIÁRIOS'!$C$5:$C$500,$A34,'LANÇAMENTOS DIÁRIOS'!$O$5:$O$500,"&lt;=107299",'LANÇAMENTOS DIÁRIOS'!$P$5:$P$500,"&gt;=107200")&gt;0,"X","")</f>
      </c>
      <c r="T34" s="56" t="str">
        <f>IF(COUNTIFS('LANÇAMENTOS DIÁRIOS'!$G$5:$G$500,"E",'LANÇAMENTOS DIÁRIOS'!$C$5:$C$500,$A34,'LANÇAMENTOS DIÁRIOS'!$O$5:$O$500,"&lt;=107399",'LANÇAMENTOS DIÁRIOS'!$P$5:$P$500,"&gt;=107300")&gt;0,"X","")</f>
      </c>
      <c r="U34" s="56" t="str">
        <f>IF(COUNTIFS('LANÇAMENTOS DIÁRIOS'!$G$5:$G$500,"E",'LANÇAMENTOS DIÁRIOS'!$C$5:$C$500,$A34,'LANÇAMENTOS DIÁRIOS'!$O$5:$O$500,"&lt;=107499",'LANÇAMENTOS DIÁRIOS'!$P$5:$P$500,"&gt;=107400")&gt;0,"X","")</f>
      </c>
      <c r="V34" s="56" t="str">
        <f>IF(COUNTIFS('LANÇAMENTOS DIÁRIOS'!$G$5:$G$500,"E",'LANÇAMENTOS DIÁRIOS'!$C$5:$C$500,$A34,'LANÇAMENTOS DIÁRIOS'!$O$5:$O$500,"&lt;=107599",'LANÇAMENTOS DIÁRIOS'!$P$5:$P$500,"&gt;=107500")&gt;0,"X","")</f>
      </c>
      <c r="W34" s="56" t="str">
        <f>IF(COUNTIFS('LANÇAMENTOS DIÁRIOS'!$G$5:$G$500,"E",'LANÇAMENTOS DIÁRIOS'!$C$5:$C$500,$A34,'LANÇAMENTOS DIÁRIOS'!$O$5:$O$500,"&lt;=107699",'LANÇAMENTOS DIÁRIOS'!$P$5:$P$500,"&gt;=107600")&gt;0,"X","")</f>
      </c>
      <c r="X34" s="56" t="str">
        <f>IF(COUNTIFS('LANÇAMENTOS DIÁRIOS'!$G$5:$G$500,"E",'LANÇAMENTOS DIÁRIOS'!$C$5:$C$500,$A34,'LANÇAMENTOS DIÁRIOS'!$O$5:$O$500,"&lt;=107799",'LANÇAMENTOS DIÁRIOS'!$P$5:$P$500,"&gt;=107700")&gt;0,"X","")</f>
      </c>
      <c r="Y34" s="56" t="str">
        <f>IF(COUNTIFS('LANÇAMENTOS DIÁRIOS'!$G$5:$G$500,"E",'LANÇAMENTOS DIÁRIOS'!$C$5:$C$500,$A34,'LANÇAMENTOS DIÁRIOS'!$O$5:$O$500,"&lt;=107899",'LANÇAMENTOS DIÁRIOS'!$P$5:$P$500,"&gt;=107800")&gt;0,"X","")</f>
      </c>
      <c r="Z34" s="56" t="str">
        <f>IF(COUNTIFS('LANÇAMENTOS DIÁRIOS'!$G$5:$G$500,"E",'LANÇAMENTOS DIÁRIOS'!$C$5:$C$500,$A34,'LANÇAMENTOS DIÁRIOS'!$O$5:$O$500,"&lt;=107999",'LANÇAMENTOS DIÁRIOS'!$P$5:$P$500,"&gt;=107900")&gt;0,"X","")</f>
      </c>
      <c r="AA34" s="56" t="str">
        <f>IF(COUNTIFS('LANÇAMENTOS DIÁRIOS'!$G$5:$G$500,"E",'LANÇAMENTOS DIÁRIOS'!$C$5:$C$500,$A34,'LANÇAMENTOS DIÁRIOS'!$O$5:$O$500,"&lt;=108099",'LANÇAMENTOS DIÁRIOS'!$P$5:$P$500,"&gt;=108000")&gt;0,"X","")</f>
      </c>
      <c r="AB34" s="56" t="str">
        <f>IF(COUNTIFS('LANÇAMENTOS DIÁRIOS'!$G$5:$G$500,"E",'LANÇAMENTOS DIÁRIOS'!$C$5:$C$500,$A34,'LANÇAMENTOS DIÁRIOS'!$O$5:$O$500,"&lt;=108199",'LANÇAMENTOS DIÁRIOS'!$P$5:$P$500,"&gt;=108100")&gt;0,"X","")</f>
      </c>
      <c r="AC34" s="56" t="str">
        <f>IF(COUNTIFS('LANÇAMENTOS DIÁRIOS'!$G$5:$G$500,"E",'LANÇAMENTOS DIÁRIOS'!$C$5:$C$500,$A34,'LANÇAMENTOS DIÁRIOS'!$O$5:$O$500,"&lt;=108299",'LANÇAMENTOS DIÁRIOS'!$P$5:$P$500,"&gt;=108200")&gt;0,"X","")</f>
      </c>
      <c r="AD34" s="56" t="str">
        <f>IF(COUNTIFS('LANÇAMENTOS DIÁRIOS'!$G$5:$G$500,"E",'LANÇAMENTOS DIÁRIOS'!$C$5:$C$500,$A34,'LANÇAMENTOS DIÁRIOS'!$O$5:$O$500,"&lt;=108399",'LANÇAMENTOS DIÁRIOS'!$P$5:$P$500,"&gt;=108300")&gt;0,"X","")</f>
      </c>
      <c r="AE34" s="56" t="str">
        <f>IF(COUNTIFS('LANÇAMENTOS DIÁRIOS'!$G$5:$G$500,"E",'LANÇAMENTOS DIÁRIOS'!$C$5:$C$500,$A34,'LANÇAMENTOS DIÁRIOS'!$O$5:$O$500,"&lt;=108499",'LANÇAMENTOS DIÁRIOS'!$P$5:$P$500,"&gt;=108400")&gt;0,"X","")</f>
      </c>
      <c r="AF34" s="56" t="str">
        <f>IF(COUNTIFS('LANÇAMENTOS DIÁRIOS'!$G$5:$G$500,"E",'LANÇAMENTOS DIÁRIOS'!$C$5:$C$500,$A34,'LANÇAMENTOS DIÁRIOS'!$O$5:$O$500,"&lt;=108599",'LANÇAMENTOS DIÁRIOS'!$P$5:$P$500,"&gt;=108500")&gt;0,"X","")</f>
      </c>
      <c r="AG34" s="56" t="str">
        <f>IF(COUNTIFS('LANÇAMENTOS DIÁRIOS'!$G$5:$G$500,"E",'LANÇAMENTOS DIÁRIOS'!$C$5:$C$500,$A34,'LANÇAMENTOS DIÁRIOS'!$O$5:$O$500,"&lt;=108699",'LANÇAMENTOS DIÁRIOS'!$P$5:$P$500,"&gt;=108600")&gt;0,"X","")</f>
      </c>
      <c r="AH34" s="56" t="str">
        <f>IF(COUNTIFS('LANÇAMENTOS DIÁRIOS'!$G$5:$G$500,"E",'LANÇAMENTOS DIÁRIOS'!$C$5:$C$500,$A34,'LANÇAMENTOS DIÁRIOS'!$O$5:$O$500,"&lt;=108799",'LANÇAMENTOS DIÁRIOS'!$P$5:$P$500,"&gt;=108700")&gt;0,"X","")</f>
      </c>
      <c r="AI34" s="56" t="str">
        <f>IF(COUNTIFS('LANÇAMENTOS DIÁRIOS'!$G$5:$G$500,"E",'LANÇAMENTOS DIÁRIOS'!$C$5:$C$500,$A34,'LANÇAMENTOS DIÁRIOS'!$O$5:$O$500,"&lt;=108899",'LANÇAMENTOS DIÁRIOS'!$P$5:$P$500,"&gt;=108800")&gt;0,"X","")</f>
      </c>
      <c r="AJ34" s="56" t="str">
        <f>IF(COUNTIFS('LANÇAMENTOS DIÁRIOS'!$G$5:$G$500,"E",'LANÇAMENTOS DIÁRIOS'!$C$5:$C$500,$A34,'LANÇAMENTOS DIÁRIOS'!$O$5:$O$500,"&lt;=108999",'LANÇAMENTOS DIÁRIOS'!$P$5:$P$500,"&gt;=108900")&gt;0,"X","")</f>
      </c>
      <c r="AK34" s="56" t="str">
        <f>IF(COUNTIFS('LANÇAMENTOS DIÁRIOS'!$G$5:$G$500,"E",'LANÇAMENTOS DIÁRIOS'!$C$5:$C$500,$A34,'LANÇAMENTOS DIÁRIOS'!$O$5:$O$500,"&lt;=109099",'LANÇAMENTOS DIÁRIOS'!$P$5:$P$500,"&gt;=109000")&gt;0,"X","")</f>
      </c>
      <c r="AL34" s="56" t="str">
        <f>IF(COUNTIFS('LANÇAMENTOS DIÁRIOS'!$G$5:$G$500,"E",'LANÇAMENTOS DIÁRIOS'!$C$5:$C$500,$A34,'LANÇAMENTOS DIÁRIOS'!$O$5:$O$500,"&lt;=109199",'LANÇAMENTOS DIÁRIOS'!$P$5:$P$500,"&gt;=109100")&gt;0,"X","")</f>
      </c>
      <c r="AM34" s="56" t="str">
        <f>IF(COUNTIFS('LANÇAMENTOS DIÁRIOS'!$G$5:$G$500,"E",'LANÇAMENTOS DIÁRIOS'!$C$5:$C$500,$A34,'LANÇAMENTOS DIÁRIOS'!$O$5:$O$500,"&lt;=109299",'LANÇAMENTOS DIÁRIOS'!$P$5:$P$500,"&gt;=109200")&gt;0,"X","")</f>
      </c>
      <c r="AN34" s="56" t="str">
        <f>IF(COUNTIFS('LANÇAMENTOS DIÁRIOS'!$G$5:$G$500,"E",'LANÇAMENTOS DIÁRIOS'!$C$5:$C$500,$A34,'LANÇAMENTOS DIÁRIOS'!$O$5:$O$500,"&lt;=109399",'LANÇAMENTOS DIÁRIOS'!$P$5:$P$500,"&gt;=109300")&gt;0,"X","")</f>
      </c>
      <c r="AO34" s="56" t="str">
        <f>IF(COUNTIFS('LANÇAMENTOS DIÁRIOS'!$G$5:$G$500,"E",'LANÇAMENTOS DIÁRIOS'!$C$5:$C$500,$A34,'LANÇAMENTOS DIÁRIOS'!$O$5:$O$500,"&lt;=109499",'LANÇAMENTOS DIÁRIOS'!$P$5:$P$500,"&gt;=109400")&gt;0,"X","")</f>
      </c>
      <c r="AP34" s="56" t="str">
        <f>IF(COUNTIFS('LANÇAMENTOS DIÁRIOS'!$G$5:$G$500,"E",'LANÇAMENTOS DIÁRIOS'!$C$5:$C$500,$A34,'LANÇAMENTOS DIÁRIOS'!$O$5:$O$500,"&lt;=109599",'LANÇAMENTOS DIÁRIOS'!$P$5:$P$500,"&gt;=109500")&gt;0,"X","")</f>
      </c>
      <c r="AQ34" s="56" t="str">
        <f>IF(COUNTIFS('LANÇAMENTOS DIÁRIOS'!$G$5:$G$500,"E",'LANÇAMENTOS DIÁRIOS'!$C$5:$C$500,$A34,'LANÇAMENTOS DIÁRIOS'!$O$5:$O$500,"&lt;=109699",'LANÇAMENTOS DIÁRIOS'!$P$5:$P$500,"&gt;=109600")&gt;0,"X","")</f>
      </c>
      <c r="AR34" s="56" t="str">
        <f>IF(COUNTIFS('LANÇAMENTOS DIÁRIOS'!$G$5:$G$500,"E",'LANÇAMENTOS DIÁRIOS'!$C$5:$C$500,$A34,'LANÇAMENTOS DIÁRIOS'!$O$5:$O$500,"&lt;=109799",'LANÇAMENTOS DIÁRIOS'!$P$5:$P$500,"&gt;=109700")&gt;0,"X","")</f>
      </c>
      <c r="AS34" s="56" t="str">
        <f>IF(COUNTIFS('LANÇAMENTOS DIÁRIOS'!$G$5:$G$500,"E",'LANÇAMENTOS DIÁRIOS'!$C$5:$C$500,$A34,'LANÇAMENTOS DIÁRIOS'!$O$5:$O$500,"&lt;=109899",'LANÇAMENTOS DIÁRIOS'!$P$5:$P$500,"&gt;=109800")&gt;0,"X","")</f>
      </c>
      <c r="AT34" s="56" t="str">
        <f>IF(COUNTIFS('LANÇAMENTOS DIÁRIOS'!$G$5:$G$500,"E",'LANÇAMENTOS DIÁRIOS'!$C$5:$C$500,$A34,'LANÇAMENTOS DIÁRIOS'!$O$5:$O$500,"&lt;=109999",'LANÇAMENTOS DIÁRIOS'!$P$5:$P$500,"&gt;=109900")&gt;0,"X","")</f>
      </c>
      <c r="AU34" s="56" t="str">
        <f>IF(COUNTIFS('LANÇAMENTOS DIÁRIOS'!$G$5:$G$500,"E",'LANÇAMENTOS DIÁRIOS'!$C$5:$C$500,$A34,'LANÇAMENTOS DIÁRIOS'!$O$5:$O$500,"&lt;=110099",'LANÇAMENTOS DIÁRIOS'!$P$5:$P$500,"&gt;=110000")&gt;0,"X","")</f>
      </c>
      <c r="AV34" s="56" t="str">
        <f>IF(COUNTIFS('LANÇAMENTOS DIÁRIOS'!$G$5:$G$500,"E",'LANÇAMENTOS DIÁRIOS'!$C$5:$C$500,$A34,'LANÇAMENTOS DIÁRIOS'!$O$5:$O$500,"&lt;=110199",'LANÇAMENTOS DIÁRIOS'!$P$5:$P$500,"&gt;=110100")&gt;0,"X","")</f>
      </c>
      <c r="AW34" s="56" t="str">
        <f>IF(COUNTIFS('LANÇAMENTOS DIÁRIOS'!$G$5:$G$500,"E",'LANÇAMENTOS DIÁRIOS'!$C$5:$C$500,$A34,'LANÇAMENTOS DIÁRIOS'!$O$5:$O$500,"&lt;=110299",'LANÇAMENTOS DIÁRIOS'!$P$5:$P$500,"&gt;=110200")&gt;0,"X","")</f>
      </c>
      <c r="AX34" s="56" t="str">
        <f>IF(COUNTIFS('LANÇAMENTOS DIÁRIOS'!$G$5:$G$500,"E",'LANÇAMENTOS DIÁRIOS'!$C$5:$C$500,$A34,'LANÇAMENTOS DIÁRIOS'!$O$5:$O$500,"&lt;=110399",'LANÇAMENTOS DIÁRIOS'!$P$5:$P$500,"&gt;=110300")&gt;0,"X","")</f>
      </c>
      <c r="AY34" s="56" t="str">
        <f>IF(COUNTIFS('LANÇAMENTOS DIÁRIOS'!$G$5:$G$500,"E",'LANÇAMENTOS DIÁRIOS'!$C$5:$C$500,$A34,'LANÇAMENTOS DIÁRIOS'!$O$5:$O$500,"&lt;=110499",'LANÇAMENTOS DIÁRIOS'!$P$5:$P$500,"&gt;=110400")&gt;0,"X","")</f>
      </c>
      <c r="AZ34" s="56" t="str">
        <f>IF(COUNTIFS('LANÇAMENTOS DIÁRIOS'!$G$5:$G$500,"E",'LANÇAMENTOS DIÁRIOS'!$C$5:$C$500,$A34,'LANÇAMENTOS DIÁRIOS'!$O$5:$O$500,"&lt;=110599",'LANÇAMENTOS DIÁRIOS'!$P$5:$P$500,"&gt;=110500")&gt;0,"X","")</f>
      </c>
      <c r="BA34" s="56" t="str">
        <f>IF(COUNTIFS('LANÇAMENTOS DIÁRIOS'!$G$5:$G$500,"E",'LANÇAMENTOS DIÁRIOS'!$C$5:$C$500,$A34,'LANÇAMENTOS DIÁRIOS'!$O$5:$O$500,"&lt;=110699",'LANÇAMENTOS DIÁRIOS'!$P$5:$P$500,"&gt;=110600")&gt;0,"X","")</f>
      </c>
      <c r="BB34" s="56" t="str">
        <f>IF(COUNTIFS('LANÇAMENTOS DIÁRIOS'!$G$5:$G$500,"E",'LANÇAMENTOS DIÁRIOS'!$C$5:$C$500,$A34,'LANÇAMENTOS DIÁRIOS'!$O$5:$O$500,"&lt;=110799",'LANÇAMENTOS DIÁRIOS'!$P$5:$P$500,"&gt;=110700")&gt;0,"X","")</f>
      </c>
      <c r="BC34" s="56" t="str">
        <f>IF(COUNTIFS('LANÇAMENTOS DIÁRIOS'!$G$5:$G$500,"E",'LANÇAMENTOS DIÁRIOS'!$C$5:$C$500,$A34,'LANÇAMENTOS DIÁRIOS'!$O$5:$O$500,"&lt;=110899",'LANÇAMENTOS DIÁRIOS'!$P$5:$P$500,"&gt;=110800")&gt;0,"X","")</f>
      </c>
      <c r="BD34" s="56" t="str">
        <f>IF(COUNTIFS('LANÇAMENTOS DIÁRIOS'!$G$5:$G$500,"E",'LANÇAMENTOS DIÁRIOS'!$C$5:$C$500,$A34,'LANÇAMENTOS DIÁRIOS'!$O$5:$O$500,"&lt;=110999",'LANÇAMENTOS DIÁRIOS'!$P$5:$P$500,"&gt;=110900")&gt;0,"X","")</f>
      </c>
      <c r="BE34" s="56" t="str">
        <f>IF(COUNTIFS('LANÇAMENTOS DIÁRIOS'!$G$5:$G$500,"E",'LANÇAMENTOS DIÁRIOS'!$C$5:$C$500,$A34,'LANÇAMENTOS DIÁRIOS'!$O$5:$O$500,"&lt;=111099",'LANÇAMENTOS DIÁRIOS'!$P$5:$P$500,"&gt;=111000")&gt;0,"X","")</f>
      </c>
      <c r="BF34" s="56" t="str">
        <f>IF(COUNTIFS('LANÇAMENTOS DIÁRIOS'!$G$5:$G$500,"E",'LANÇAMENTOS DIÁRIOS'!$C$5:$C$500,$A34,'LANÇAMENTOS DIÁRIOS'!$O$5:$O$500,"&lt;=111199",'LANÇAMENTOS DIÁRIOS'!$P$5:$P$500,"&gt;=111100")&gt;0,"X","")</f>
      </c>
      <c r="BG34" s="56" t="str">
        <f>IF(COUNTIFS('LANÇAMENTOS DIÁRIOS'!$G$5:$G$500,"E",'LANÇAMENTOS DIÁRIOS'!$C$5:$C$500,$A34,'LANÇAMENTOS DIÁRIOS'!$O$5:$O$500,"&lt;=111299",'LANÇAMENTOS DIÁRIOS'!$P$5:$P$500,"&gt;=111200")&gt;0,"X","")</f>
      </c>
      <c r="BH34" s="56" t="str">
        <f>IF(COUNTIFS('LANÇAMENTOS DIÁRIOS'!$G$5:$G$500,"E",'LANÇAMENTOS DIÁRIOS'!$C$5:$C$500,$A34,'LANÇAMENTOS DIÁRIOS'!$O$5:$O$500,"&lt;=111399",'LANÇAMENTOS DIÁRIOS'!$P$5:$P$500,"&gt;=111300")&gt;0,"X","")</f>
      </c>
      <c r="BI34" s="56" t="str">
        <f>IF(COUNTIFS('LANÇAMENTOS DIÁRIOS'!$G$5:$G$500,"E",'LANÇAMENTOS DIÁRIOS'!$C$5:$C$500,$A34,'LANÇAMENTOS DIÁRIOS'!$O$5:$O$500,"&lt;=111499",'LANÇAMENTOS DIÁRIOS'!$P$5:$P$500,"&gt;=111400")&gt;0,"X","")</f>
      </c>
      <c r="BJ34" s="56" t="str">
        <f>IF(COUNTIFS('LANÇAMENTOS DIÁRIOS'!$G$5:$G$500,"E",'LANÇAMENTOS DIÁRIOS'!$C$5:$C$500,$A34,'LANÇAMENTOS DIÁRIOS'!$O$5:$O$500,"&lt;=111500",'LANÇAMENTOS DIÁRIOS'!$P$5:$P$500,"&gt;=111500")&gt;0,"X","")</f>
      </c>
    </row>
    <row r="35">
      <c r="A35" s="51" t="str">
        <v>Derrubada e destocamento.arv. c/ diâmetro 70&lt;&gt; 80cm, com limpeza da área</v>
      </c>
      <c r="B35" s="56" t="str">
        <f>IF(COUNTIFS('LANÇAMENTOS DIÁRIOS'!$G$5:$G$500,"E",'LANÇAMENTOS DIÁRIOS'!$C$5:$C$500,$A35,'LANÇAMENTOS DIÁRIOS'!$O$5:$O$500,"&lt;=105599",'LANÇAMENTOS DIÁRIOS'!$P$5:$P$500,"&gt;=105500")&gt;0,"X","")</f>
      </c>
      <c r="C35" s="56" t="str">
        <f>IF(COUNTIFS('LANÇAMENTOS DIÁRIOS'!$G$5:$G$500,"E",'LANÇAMENTOS DIÁRIOS'!$C$5:$C$500,$A35,'LANÇAMENTOS DIÁRIOS'!$O$5:$O$500,"&lt;=105699",'LANÇAMENTOS DIÁRIOS'!$P$5:$P$500,"&gt;=105600")&gt;0,"X","")</f>
      </c>
      <c r="D35" s="56" t="str">
        <f>IF(COUNTIFS('LANÇAMENTOS DIÁRIOS'!$G$5:$G$500,"E",'LANÇAMENTOS DIÁRIOS'!$C$5:$C$500,$A35,'LANÇAMENTOS DIÁRIOS'!$O$5:$O$500,"&lt;=105799",'LANÇAMENTOS DIÁRIOS'!$P$5:$P$500,"&gt;=105700")&gt;0,"X","")</f>
      </c>
      <c r="E35" s="56" t="str">
        <f>IF(COUNTIFS('LANÇAMENTOS DIÁRIOS'!$G$5:$G$500,"E",'LANÇAMENTOS DIÁRIOS'!$C$5:$C$500,$A35,'LANÇAMENTOS DIÁRIOS'!$O$5:$O$500,"&lt;=105899",'LANÇAMENTOS DIÁRIOS'!$P$5:$P$500,"&gt;=105800")&gt;0,"X","")</f>
      </c>
      <c r="F35" s="56" t="str">
        <f>IF(COUNTIFS('LANÇAMENTOS DIÁRIOS'!$G$5:$G$500,"E",'LANÇAMENTOS DIÁRIOS'!$C$5:$C$500,$A35,'LANÇAMENTOS DIÁRIOS'!$O$5:$O$500,"&lt;=105999",'LANÇAMENTOS DIÁRIOS'!$P$5:$P$500,"&gt;=105900")&gt;0,"X","")</f>
      </c>
      <c r="G35" s="56" t="str">
        <f>IF(COUNTIFS('LANÇAMENTOS DIÁRIOS'!$G$5:$G$500,"E",'LANÇAMENTOS DIÁRIOS'!$C$5:$C$500,$A35,'LANÇAMENTOS DIÁRIOS'!$O$5:$O$500,"&lt;=106099",'LANÇAMENTOS DIÁRIOS'!$P$5:$P$500,"&gt;=106000")&gt;0,"X","")</f>
      </c>
      <c r="H35" s="56" t="str">
        <f>IF(COUNTIFS('LANÇAMENTOS DIÁRIOS'!$G$5:$G$500,"E",'LANÇAMENTOS DIÁRIOS'!$C$5:$C$500,$A35,'LANÇAMENTOS DIÁRIOS'!$O$5:$O$500,"&lt;=106199",'LANÇAMENTOS DIÁRIOS'!$P$5:$P$500,"&gt;=106100")&gt;0,"X","")</f>
      </c>
      <c r="I35" s="56" t="str">
        <f>IF(COUNTIFS('LANÇAMENTOS DIÁRIOS'!$G$5:$G$500,"E",'LANÇAMENTOS DIÁRIOS'!$C$5:$C$500,$A35,'LANÇAMENTOS DIÁRIOS'!$O$5:$O$500,"&lt;=106299",'LANÇAMENTOS DIÁRIOS'!$P$5:$P$500,"&gt;=106200")&gt;0,"X","")</f>
      </c>
      <c r="J35" s="56" t="str">
        <f>IF(COUNTIFS('LANÇAMENTOS DIÁRIOS'!$G$5:$G$500,"E",'LANÇAMENTOS DIÁRIOS'!$C$5:$C$500,$A35,'LANÇAMENTOS DIÁRIOS'!$O$5:$O$500,"&lt;=106399",'LANÇAMENTOS DIÁRIOS'!$P$5:$P$500,"&gt;=106300")&gt;0,"X","")</f>
      </c>
      <c r="K35" s="56" t="str">
        <f>IF(COUNTIFS('LANÇAMENTOS DIÁRIOS'!$G$5:$G$500,"E",'LANÇAMENTOS DIÁRIOS'!$C$5:$C$500,$A35,'LANÇAMENTOS DIÁRIOS'!$O$5:$O$500,"&lt;=106499",'LANÇAMENTOS DIÁRIOS'!$P$5:$P$500,"&gt;=106400")&gt;0,"X","")</f>
      </c>
      <c r="L35" s="56" t="str">
        <f>IF(COUNTIFS('LANÇAMENTOS DIÁRIOS'!$G$5:$G$500,"E",'LANÇAMENTOS DIÁRIOS'!$C$5:$C$500,$A35,'LANÇAMENTOS DIÁRIOS'!$O$5:$O$500,"&lt;=106599",'LANÇAMENTOS DIÁRIOS'!$P$5:$P$500,"&gt;=106500")&gt;0,"X","")</f>
      </c>
      <c r="M35" s="56" t="str">
        <f>IF(COUNTIFS('LANÇAMENTOS DIÁRIOS'!$G$5:$G$500,"E",'LANÇAMENTOS DIÁRIOS'!$C$5:$C$500,$A35,'LANÇAMENTOS DIÁRIOS'!$O$5:$O$500,"&lt;=106699",'LANÇAMENTOS DIÁRIOS'!$P$5:$P$500,"&gt;=106600")&gt;0,"X","")</f>
      </c>
      <c r="N35" s="56" t="str">
        <f>IF(COUNTIFS('LANÇAMENTOS DIÁRIOS'!$G$5:$G$500,"E",'LANÇAMENTOS DIÁRIOS'!$C$5:$C$500,$A35,'LANÇAMENTOS DIÁRIOS'!$O$5:$O$500,"&lt;=106799",'LANÇAMENTOS DIÁRIOS'!$P$5:$P$500,"&gt;=106700")&gt;0,"X","")</f>
      </c>
      <c r="O35" s="56" t="str">
        <f>IF(COUNTIFS('LANÇAMENTOS DIÁRIOS'!$G$5:$G$500,"E",'LANÇAMENTOS DIÁRIOS'!$C$5:$C$500,$A35,'LANÇAMENTOS DIÁRIOS'!$O$5:$O$500,"&lt;=106899",'LANÇAMENTOS DIÁRIOS'!$P$5:$P$500,"&gt;=106800")&gt;0,"X","")</f>
      </c>
      <c r="P35" s="56" t="str">
        <f>IF(COUNTIFS('LANÇAMENTOS DIÁRIOS'!$G$5:$G$500,"E",'LANÇAMENTOS DIÁRIOS'!$C$5:$C$500,$A35,'LANÇAMENTOS DIÁRIOS'!$O$5:$O$500,"&lt;=106999",'LANÇAMENTOS DIÁRIOS'!$P$5:$P$500,"&gt;=106900")&gt;0,"X","")</f>
      </c>
      <c r="Q35" s="56" t="str">
        <f>IF(COUNTIFS('LANÇAMENTOS DIÁRIOS'!$G$5:$G$500,"E",'LANÇAMENTOS DIÁRIOS'!$C$5:$C$500,$A35,'LANÇAMENTOS DIÁRIOS'!$O$5:$O$500,"&lt;=107099",'LANÇAMENTOS DIÁRIOS'!$P$5:$P$500,"&gt;=107000")&gt;0,"X","")</f>
      </c>
      <c r="R35" s="56" t="str">
        <f>IF(COUNTIFS('LANÇAMENTOS DIÁRIOS'!$G$5:$G$500,"E",'LANÇAMENTOS DIÁRIOS'!$C$5:$C$500,$A35,'LANÇAMENTOS DIÁRIOS'!$O$5:$O$500,"&lt;=107199",'LANÇAMENTOS DIÁRIOS'!$P$5:$P$500,"&gt;=107100")&gt;0,"X","")</f>
      </c>
      <c r="S35" s="56" t="str">
        <f>IF(COUNTIFS('LANÇAMENTOS DIÁRIOS'!$G$5:$G$500,"E",'LANÇAMENTOS DIÁRIOS'!$C$5:$C$500,$A35,'LANÇAMENTOS DIÁRIOS'!$O$5:$O$500,"&lt;=107299",'LANÇAMENTOS DIÁRIOS'!$P$5:$P$500,"&gt;=107200")&gt;0,"X","")</f>
      </c>
      <c r="T35" s="56" t="str">
        <f>IF(COUNTIFS('LANÇAMENTOS DIÁRIOS'!$G$5:$G$500,"E",'LANÇAMENTOS DIÁRIOS'!$C$5:$C$500,$A35,'LANÇAMENTOS DIÁRIOS'!$O$5:$O$500,"&lt;=107399",'LANÇAMENTOS DIÁRIOS'!$P$5:$P$500,"&gt;=107300")&gt;0,"X","")</f>
      </c>
      <c r="U35" s="56" t="str">
        <f>IF(COUNTIFS('LANÇAMENTOS DIÁRIOS'!$G$5:$G$500,"E",'LANÇAMENTOS DIÁRIOS'!$C$5:$C$500,$A35,'LANÇAMENTOS DIÁRIOS'!$O$5:$O$500,"&lt;=107499",'LANÇAMENTOS DIÁRIOS'!$P$5:$P$500,"&gt;=107400")&gt;0,"X","")</f>
      </c>
      <c r="V35" s="56" t="str">
        <f>IF(COUNTIFS('LANÇAMENTOS DIÁRIOS'!$G$5:$G$500,"E",'LANÇAMENTOS DIÁRIOS'!$C$5:$C$500,$A35,'LANÇAMENTOS DIÁRIOS'!$O$5:$O$500,"&lt;=107599",'LANÇAMENTOS DIÁRIOS'!$P$5:$P$500,"&gt;=107500")&gt;0,"X","")</f>
      </c>
      <c r="W35" s="56" t="str">
        <f>IF(COUNTIFS('LANÇAMENTOS DIÁRIOS'!$G$5:$G$500,"E",'LANÇAMENTOS DIÁRIOS'!$C$5:$C$500,$A35,'LANÇAMENTOS DIÁRIOS'!$O$5:$O$500,"&lt;=107699",'LANÇAMENTOS DIÁRIOS'!$P$5:$P$500,"&gt;=107600")&gt;0,"X","")</f>
      </c>
      <c r="X35" s="56" t="str">
        <f>IF(COUNTIFS('LANÇAMENTOS DIÁRIOS'!$G$5:$G$500,"E",'LANÇAMENTOS DIÁRIOS'!$C$5:$C$500,$A35,'LANÇAMENTOS DIÁRIOS'!$O$5:$O$500,"&lt;=107799",'LANÇAMENTOS DIÁRIOS'!$P$5:$P$500,"&gt;=107700")&gt;0,"X","")</f>
      </c>
      <c r="Y35" s="56" t="str">
        <f>IF(COUNTIFS('LANÇAMENTOS DIÁRIOS'!$G$5:$G$500,"E",'LANÇAMENTOS DIÁRIOS'!$C$5:$C$500,$A35,'LANÇAMENTOS DIÁRIOS'!$O$5:$O$500,"&lt;=107899",'LANÇAMENTOS DIÁRIOS'!$P$5:$P$500,"&gt;=107800")&gt;0,"X","")</f>
      </c>
      <c r="Z35" s="56" t="str">
        <f>IF(COUNTIFS('LANÇAMENTOS DIÁRIOS'!$G$5:$G$500,"E",'LANÇAMENTOS DIÁRIOS'!$C$5:$C$500,$A35,'LANÇAMENTOS DIÁRIOS'!$O$5:$O$500,"&lt;=107999",'LANÇAMENTOS DIÁRIOS'!$P$5:$P$500,"&gt;=107900")&gt;0,"X","")</f>
      </c>
      <c r="AA35" s="56" t="str">
        <f>IF(COUNTIFS('LANÇAMENTOS DIÁRIOS'!$G$5:$G$500,"E",'LANÇAMENTOS DIÁRIOS'!$C$5:$C$500,$A35,'LANÇAMENTOS DIÁRIOS'!$O$5:$O$500,"&lt;=108099",'LANÇAMENTOS DIÁRIOS'!$P$5:$P$500,"&gt;=108000")&gt;0,"X","")</f>
      </c>
      <c r="AB35" s="56" t="str">
        <f>IF(COUNTIFS('LANÇAMENTOS DIÁRIOS'!$G$5:$G$500,"E",'LANÇAMENTOS DIÁRIOS'!$C$5:$C$500,$A35,'LANÇAMENTOS DIÁRIOS'!$O$5:$O$500,"&lt;=108199",'LANÇAMENTOS DIÁRIOS'!$P$5:$P$500,"&gt;=108100")&gt;0,"X","")</f>
      </c>
      <c r="AC35" s="56" t="str">
        <f>IF(COUNTIFS('LANÇAMENTOS DIÁRIOS'!$G$5:$G$500,"E",'LANÇAMENTOS DIÁRIOS'!$C$5:$C$500,$A35,'LANÇAMENTOS DIÁRIOS'!$O$5:$O$500,"&lt;=108299",'LANÇAMENTOS DIÁRIOS'!$P$5:$P$500,"&gt;=108200")&gt;0,"X","")</f>
      </c>
      <c r="AD35" s="56" t="str">
        <f>IF(COUNTIFS('LANÇAMENTOS DIÁRIOS'!$G$5:$G$500,"E",'LANÇAMENTOS DIÁRIOS'!$C$5:$C$500,$A35,'LANÇAMENTOS DIÁRIOS'!$O$5:$O$500,"&lt;=108399",'LANÇAMENTOS DIÁRIOS'!$P$5:$P$500,"&gt;=108300")&gt;0,"X","")</f>
      </c>
      <c r="AE35" s="56" t="str">
        <f>IF(COUNTIFS('LANÇAMENTOS DIÁRIOS'!$G$5:$G$500,"E",'LANÇAMENTOS DIÁRIOS'!$C$5:$C$500,$A35,'LANÇAMENTOS DIÁRIOS'!$O$5:$O$500,"&lt;=108499",'LANÇAMENTOS DIÁRIOS'!$P$5:$P$500,"&gt;=108400")&gt;0,"X","")</f>
      </c>
      <c r="AF35" s="56" t="str">
        <f>IF(COUNTIFS('LANÇAMENTOS DIÁRIOS'!$G$5:$G$500,"E",'LANÇAMENTOS DIÁRIOS'!$C$5:$C$500,$A35,'LANÇAMENTOS DIÁRIOS'!$O$5:$O$500,"&lt;=108599",'LANÇAMENTOS DIÁRIOS'!$P$5:$P$500,"&gt;=108500")&gt;0,"X","")</f>
      </c>
      <c r="AG35" s="56" t="str">
        <f>IF(COUNTIFS('LANÇAMENTOS DIÁRIOS'!$G$5:$G$500,"E",'LANÇAMENTOS DIÁRIOS'!$C$5:$C$500,$A35,'LANÇAMENTOS DIÁRIOS'!$O$5:$O$500,"&lt;=108699",'LANÇAMENTOS DIÁRIOS'!$P$5:$P$500,"&gt;=108600")&gt;0,"X","")</f>
      </c>
      <c r="AH35" s="56" t="str">
        <f>IF(COUNTIFS('LANÇAMENTOS DIÁRIOS'!$G$5:$G$500,"E",'LANÇAMENTOS DIÁRIOS'!$C$5:$C$500,$A35,'LANÇAMENTOS DIÁRIOS'!$O$5:$O$500,"&lt;=108799",'LANÇAMENTOS DIÁRIOS'!$P$5:$P$500,"&gt;=108700")&gt;0,"X","")</f>
      </c>
      <c r="AI35" s="56" t="str">
        <f>IF(COUNTIFS('LANÇAMENTOS DIÁRIOS'!$G$5:$G$500,"E",'LANÇAMENTOS DIÁRIOS'!$C$5:$C$500,$A35,'LANÇAMENTOS DIÁRIOS'!$O$5:$O$500,"&lt;=108899",'LANÇAMENTOS DIÁRIOS'!$P$5:$P$500,"&gt;=108800")&gt;0,"X","")</f>
      </c>
      <c r="AJ35" s="56" t="str">
        <f>IF(COUNTIFS('LANÇAMENTOS DIÁRIOS'!$G$5:$G$500,"E",'LANÇAMENTOS DIÁRIOS'!$C$5:$C$500,$A35,'LANÇAMENTOS DIÁRIOS'!$O$5:$O$500,"&lt;=108999",'LANÇAMENTOS DIÁRIOS'!$P$5:$P$500,"&gt;=108900")&gt;0,"X","")</f>
      </c>
      <c r="AK35" s="56" t="str">
        <f>IF(COUNTIFS('LANÇAMENTOS DIÁRIOS'!$G$5:$G$500,"E",'LANÇAMENTOS DIÁRIOS'!$C$5:$C$500,$A35,'LANÇAMENTOS DIÁRIOS'!$O$5:$O$500,"&lt;=109099",'LANÇAMENTOS DIÁRIOS'!$P$5:$P$500,"&gt;=109000")&gt;0,"X","")</f>
      </c>
      <c r="AL35" s="56" t="str">
        <f>IF(COUNTIFS('LANÇAMENTOS DIÁRIOS'!$G$5:$G$500,"E",'LANÇAMENTOS DIÁRIOS'!$C$5:$C$500,$A35,'LANÇAMENTOS DIÁRIOS'!$O$5:$O$500,"&lt;=109199",'LANÇAMENTOS DIÁRIOS'!$P$5:$P$500,"&gt;=109100")&gt;0,"X","")</f>
      </c>
      <c r="AM35" s="56" t="str">
        <f>IF(COUNTIFS('LANÇAMENTOS DIÁRIOS'!$G$5:$G$500,"E",'LANÇAMENTOS DIÁRIOS'!$C$5:$C$500,$A35,'LANÇAMENTOS DIÁRIOS'!$O$5:$O$500,"&lt;=109299",'LANÇAMENTOS DIÁRIOS'!$P$5:$P$500,"&gt;=109200")&gt;0,"X","")</f>
      </c>
      <c r="AN35" s="56" t="str">
        <f>IF(COUNTIFS('LANÇAMENTOS DIÁRIOS'!$G$5:$G$500,"E",'LANÇAMENTOS DIÁRIOS'!$C$5:$C$500,$A35,'LANÇAMENTOS DIÁRIOS'!$O$5:$O$500,"&lt;=109399",'LANÇAMENTOS DIÁRIOS'!$P$5:$P$500,"&gt;=109300")&gt;0,"X","")</f>
      </c>
      <c r="AO35" s="56" t="str">
        <f>IF(COUNTIFS('LANÇAMENTOS DIÁRIOS'!$G$5:$G$500,"E",'LANÇAMENTOS DIÁRIOS'!$C$5:$C$500,$A35,'LANÇAMENTOS DIÁRIOS'!$O$5:$O$500,"&lt;=109499",'LANÇAMENTOS DIÁRIOS'!$P$5:$P$500,"&gt;=109400")&gt;0,"X","")</f>
      </c>
      <c r="AP35" s="56" t="str">
        <f>IF(COUNTIFS('LANÇAMENTOS DIÁRIOS'!$G$5:$G$500,"E",'LANÇAMENTOS DIÁRIOS'!$C$5:$C$500,$A35,'LANÇAMENTOS DIÁRIOS'!$O$5:$O$500,"&lt;=109599",'LANÇAMENTOS DIÁRIOS'!$P$5:$P$500,"&gt;=109500")&gt;0,"X","")</f>
      </c>
      <c r="AQ35" s="56" t="str">
        <f>IF(COUNTIFS('LANÇAMENTOS DIÁRIOS'!$G$5:$G$500,"E",'LANÇAMENTOS DIÁRIOS'!$C$5:$C$500,$A35,'LANÇAMENTOS DIÁRIOS'!$O$5:$O$500,"&lt;=109699",'LANÇAMENTOS DIÁRIOS'!$P$5:$P$500,"&gt;=109600")&gt;0,"X","")</f>
      </c>
      <c r="AR35" s="56" t="str">
        <f>IF(COUNTIFS('LANÇAMENTOS DIÁRIOS'!$G$5:$G$500,"E",'LANÇAMENTOS DIÁRIOS'!$C$5:$C$500,$A35,'LANÇAMENTOS DIÁRIOS'!$O$5:$O$500,"&lt;=109799",'LANÇAMENTOS DIÁRIOS'!$P$5:$P$500,"&gt;=109700")&gt;0,"X","")</f>
      </c>
      <c r="AS35" s="56" t="str">
        <f>IF(COUNTIFS('LANÇAMENTOS DIÁRIOS'!$G$5:$G$500,"E",'LANÇAMENTOS DIÁRIOS'!$C$5:$C$500,$A35,'LANÇAMENTOS DIÁRIOS'!$O$5:$O$500,"&lt;=109899",'LANÇAMENTOS DIÁRIOS'!$P$5:$P$500,"&gt;=109800")&gt;0,"X","")</f>
      </c>
      <c r="AT35" s="56" t="str">
        <f>IF(COUNTIFS('LANÇAMENTOS DIÁRIOS'!$G$5:$G$500,"E",'LANÇAMENTOS DIÁRIOS'!$C$5:$C$500,$A35,'LANÇAMENTOS DIÁRIOS'!$O$5:$O$500,"&lt;=109999",'LANÇAMENTOS DIÁRIOS'!$P$5:$P$500,"&gt;=109900")&gt;0,"X","")</f>
      </c>
      <c r="AU35" s="56" t="str">
        <f>IF(COUNTIFS('LANÇAMENTOS DIÁRIOS'!$G$5:$G$500,"E",'LANÇAMENTOS DIÁRIOS'!$C$5:$C$500,$A35,'LANÇAMENTOS DIÁRIOS'!$O$5:$O$500,"&lt;=110099",'LANÇAMENTOS DIÁRIOS'!$P$5:$P$500,"&gt;=110000")&gt;0,"X","")</f>
      </c>
      <c r="AV35" s="56" t="str">
        <f>IF(COUNTIFS('LANÇAMENTOS DIÁRIOS'!$G$5:$G$500,"E",'LANÇAMENTOS DIÁRIOS'!$C$5:$C$500,$A35,'LANÇAMENTOS DIÁRIOS'!$O$5:$O$500,"&lt;=110199",'LANÇAMENTOS DIÁRIOS'!$P$5:$P$500,"&gt;=110100")&gt;0,"X","")</f>
      </c>
      <c r="AW35" s="56" t="str">
        <f>IF(COUNTIFS('LANÇAMENTOS DIÁRIOS'!$G$5:$G$500,"E",'LANÇAMENTOS DIÁRIOS'!$C$5:$C$500,$A35,'LANÇAMENTOS DIÁRIOS'!$O$5:$O$500,"&lt;=110299",'LANÇAMENTOS DIÁRIOS'!$P$5:$P$500,"&gt;=110200")&gt;0,"X","")</f>
      </c>
      <c r="AX35" s="56" t="str">
        <f>IF(COUNTIFS('LANÇAMENTOS DIÁRIOS'!$G$5:$G$500,"E",'LANÇAMENTOS DIÁRIOS'!$C$5:$C$500,$A35,'LANÇAMENTOS DIÁRIOS'!$O$5:$O$500,"&lt;=110399",'LANÇAMENTOS DIÁRIOS'!$P$5:$P$500,"&gt;=110300")&gt;0,"X","")</f>
      </c>
      <c r="AY35" s="56" t="str">
        <f>IF(COUNTIFS('LANÇAMENTOS DIÁRIOS'!$G$5:$G$500,"E",'LANÇAMENTOS DIÁRIOS'!$C$5:$C$500,$A35,'LANÇAMENTOS DIÁRIOS'!$O$5:$O$500,"&lt;=110499",'LANÇAMENTOS DIÁRIOS'!$P$5:$P$500,"&gt;=110400")&gt;0,"X","")</f>
      </c>
      <c r="AZ35" s="56" t="str">
        <f>IF(COUNTIFS('LANÇAMENTOS DIÁRIOS'!$G$5:$G$500,"E",'LANÇAMENTOS DIÁRIOS'!$C$5:$C$500,$A35,'LANÇAMENTOS DIÁRIOS'!$O$5:$O$500,"&lt;=110599",'LANÇAMENTOS DIÁRIOS'!$P$5:$P$500,"&gt;=110500")&gt;0,"X","")</f>
      </c>
      <c r="BA35" s="56" t="str">
        <f>IF(COUNTIFS('LANÇAMENTOS DIÁRIOS'!$G$5:$G$500,"E",'LANÇAMENTOS DIÁRIOS'!$C$5:$C$500,$A35,'LANÇAMENTOS DIÁRIOS'!$O$5:$O$500,"&lt;=110699",'LANÇAMENTOS DIÁRIOS'!$P$5:$P$500,"&gt;=110600")&gt;0,"X","")</f>
      </c>
      <c r="BB35" s="56" t="str">
        <f>IF(COUNTIFS('LANÇAMENTOS DIÁRIOS'!$G$5:$G$500,"E",'LANÇAMENTOS DIÁRIOS'!$C$5:$C$500,$A35,'LANÇAMENTOS DIÁRIOS'!$O$5:$O$500,"&lt;=110799",'LANÇAMENTOS DIÁRIOS'!$P$5:$P$500,"&gt;=110700")&gt;0,"X","")</f>
      </c>
      <c r="BC35" s="56" t="str">
        <f>IF(COUNTIFS('LANÇAMENTOS DIÁRIOS'!$G$5:$G$500,"E",'LANÇAMENTOS DIÁRIOS'!$C$5:$C$500,$A35,'LANÇAMENTOS DIÁRIOS'!$O$5:$O$500,"&lt;=110899",'LANÇAMENTOS DIÁRIOS'!$P$5:$P$500,"&gt;=110800")&gt;0,"X","")</f>
      </c>
      <c r="BD35" s="56" t="str">
        <f>IF(COUNTIFS('LANÇAMENTOS DIÁRIOS'!$G$5:$G$500,"E",'LANÇAMENTOS DIÁRIOS'!$C$5:$C$500,$A35,'LANÇAMENTOS DIÁRIOS'!$O$5:$O$500,"&lt;=110999",'LANÇAMENTOS DIÁRIOS'!$P$5:$P$500,"&gt;=110900")&gt;0,"X","")</f>
      </c>
      <c r="BE35" s="56" t="str">
        <f>IF(COUNTIFS('LANÇAMENTOS DIÁRIOS'!$G$5:$G$500,"E",'LANÇAMENTOS DIÁRIOS'!$C$5:$C$500,$A35,'LANÇAMENTOS DIÁRIOS'!$O$5:$O$500,"&lt;=111099",'LANÇAMENTOS DIÁRIOS'!$P$5:$P$500,"&gt;=111000")&gt;0,"X","")</f>
      </c>
      <c r="BF35" s="56" t="str">
        <f>IF(COUNTIFS('LANÇAMENTOS DIÁRIOS'!$G$5:$G$500,"E",'LANÇAMENTOS DIÁRIOS'!$C$5:$C$500,$A35,'LANÇAMENTOS DIÁRIOS'!$O$5:$O$500,"&lt;=111199",'LANÇAMENTOS DIÁRIOS'!$P$5:$P$500,"&gt;=111100")&gt;0,"X","")</f>
      </c>
      <c r="BG35" s="56" t="str">
        <f>IF(COUNTIFS('LANÇAMENTOS DIÁRIOS'!$G$5:$G$500,"E",'LANÇAMENTOS DIÁRIOS'!$C$5:$C$500,$A35,'LANÇAMENTOS DIÁRIOS'!$O$5:$O$500,"&lt;=111299",'LANÇAMENTOS DIÁRIOS'!$P$5:$P$500,"&gt;=111200")&gt;0,"X","")</f>
      </c>
      <c r="BH35" s="56" t="str">
        <f>IF(COUNTIFS('LANÇAMENTOS DIÁRIOS'!$G$5:$G$500,"E",'LANÇAMENTOS DIÁRIOS'!$C$5:$C$500,$A35,'LANÇAMENTOS DIÁRIOS'!$O$5:$O$500,"&lt;=111399",'LANÇAMENTOS DIÁRIOS'!$P$5:$P$500,"&gt;=111300")&gt;0,"X","")</f>
      </c>
      <c r="BI35" s="56" t="str">
        <f>IF(COUNTIFS('LANÇAMENTOS DIÁRIOS'!$G$5:$G$500,"E",'LANÇAMENTOS DIÁRIOS'!$C$5:$C$500,$A35,'LANÇAMENTOS DIÁRIOS'!$O$5:$O$500,"&lt;=111499",'LANÇAMENTOS DIÁRIOS'!$P$5:$P$500,"&gt;=111400")&gt;0,"X","")</f>
      </c>
      <c r="BJ35" s="56" t="str">
        <f>IF(COUNTIFS('LANÇAMENTOS DIÁRIOS'!$G$5:$G$500,"E",'LANÇAMENTOS DIÁRIOS'!$C$5:$C$500,$A35,'LANÇAMENTOS DIÁRIOS'!$O$5:$O$500,"&lt;=111500",'LANÇAMENTOS DIÁRIOS'!$P$5:$P$500,"&gt;=111500")&gt;0,"X","")</f>
      </c>
    </row>
    <row r="36">
      <c r="A36" s="51" t="str">
        <v>Derrubada e destocamento.arv. c/ diâmetro &gt; 80cm, com limpeza da área</v>
      </c>
      <c r="B36" s="56" t="str">
        <f>IF(COUNTIFS('LANÇAMENTOS DIÁRIOS'!$G$5:$G$500,"E",'LANÇAMENTOS DIÁRIOS'!$C$5:$C$500,$A36,'LANÇAMENTOS DIÁRIOS'!$O$5:$O$500,"&lt;=105599",'LANÇAMENTOS DIÁRIOS'!$P$5:$P$500,"&gt;=105500")&gt;0,"X","")</f>
      </c>
      <c r="C36" s="56" t="str">
        <f>IF(COUNTIFS('LANÇAMENTOS DIÁRIOS'!$G$5:$G$500,"E",'LANÇAMENTOS DIÁRIOS'!$C$5:$C$500,$A36,'LANÇAMENTOS DIÁRIOS'!$O$5:$O$500,"&lt;=105699",'LANÇAMENTOS DIÁRIOS'!$P$5:$P$500,"&gt;=105600")&gt;0,"X","")</f>
      </c>
      <c r="D36" s="56" t="str">
        <f>IF(COUNTIFS('LANÇAMENTOS DIÁRIOS'!$G$5:$G$500,"E",'LANÇAMENTOS DIÁRIOS'!$C$5:$C$500,$A36,'LANÇAMENTOS DIÁRIOS'!$O$5:$O$500,"&lt;=105799",'LANÇAMENTOS DIÁRIOS'!$P$5:$P$500,"&gt;=105700")&gt;0,"X","")</f>
      </c>
      <c r="E36" s="56" t="str">
        <f>IF(COUNTIFS('LANÇAMENTOS DIÁRIOS'!$G$5:$G$500,"E",'LANÇAMENTOS DIÁRIOS'!$C$5:$C$500,$A36,'LANÇAMENTOS DIÁRIOS'!$O$5:$O$500,"&lt;=105899",'LANÇAMENTOS DIÁRIOS'!$P$5:$P$500,"&gt;=105800")&gt;0,"X","")</f>
      </c>
      <c r="F36" s="56" t="str">
        <f>IF(COUNTIFS('LANÇAMENTOS DIÁRIOS'!$G$5:$G$500,"E",'LANÇAMENTOS DIÁRIOS'!$C$5:$C$500,$A36,'LANÇAMENTOS DIÁRIOS'!$O$5:$O$500,"&lt;=105999",'LANÇAMENTOS DIÁRIOS'!$P$5:$P$500,"&gt;=105900")&gt;0,"X","")</f>
      </c>
      <c r="G36" s="56" t="str">
        <f>IF(COUNTIFS('LANÇAMENTOS DIÁRIOS'!$G$5:$G$500,"E",'LANÇAMENTOS DIÁRIOS'!$C$5:$C$500,$A36,'LANÇAMENTOS DIÁRIOS'!$O$5:$O$500,"&lt;=106099",'LANÇAMENTOS DIÁRIOS'!$P$5:$P$500,"&gt;=106000")&gt;0,"X","")</f>
      </c>
      <c r="H36" s="56" t="str">
        <f>IF(COUNTIFS('LANÇAMENTOS DIÁRIOS'!$G$5:$G$500,"E",'LANÇAMENTOS DIÁRIOS'!$C$5:$C$500,$A36,'LANÇAMENTOS DIÁRIOS'!$O$5:$O$500,"&lt;=106199",'LANÇAMENTOS DIÁRIOS'!$P$5:$P$500,"&gt;=106100")&gt;0,"X","")</f>
      </c>
      <c r="I36" s="56" t="str">
        <f>IF(COUNTIFS('LANÇAMENTOS DIÁRIOS'!$G$5:$G$500,"E",'LANÇAMENTOS DIÁRIOS'!$C$5:$C$500,$A36,'LANÇAMENTOS DIÁRIOS'!$O$5:$O$500,"&lt;=106299",'LANÇAMENTOS DIÁRIOS'!$P$5:$P$500,"&gt;=106200")&gt;0,"X","")</f>
      </c>
      <c r="J36" s="56" t="str">
        <f>IF(COUNTIFS('LANÇAMENTOS DIÁRIOS'!$G$5:$G$500,"E",'LANÇAMENTOS DIÁRIOS'!$C$5:$C$500,$A36,'LANÇAMENTOS DIÁRIOS'!$O$5:$O$500,"&lt;=106399",'LANÇAMENTOS DIÁRIOS'!$P$5:$P$500,"&gt;=106300")&gt;0,"X","")</f>
      </c>
      <c r="K36" s="56" t="str">
        <f>IF(COUNTIFS('LANÇAMENTOS DIÁRIOS'!$G$5:$G$500,"E",'LANÇAMENTOS DIÁRIOS'!$C$5:$C$500,$A36,'LANÇAMENTOS DIÁRIOS'!$O$5:$O$500,"&lt;=106499",'LANÇAMENTOS DIÁRIOS'!$P$5:$P$500,"&gt;=106400")&gt;0,"X","")</f>
      </c>
      <c r="L36" s="56" t="str">
        <f>IF(COUNTIFS('LANÇAMENTOS DIÁRIOS'!$G$5:$G$500,"E",'LANÇAMENTOS DIÁRIOS'!$C$5:$C$500,$A36,'LANÇAMENTOS DIÁRIOS'!$O$5:$O$500,"&lt;=106599",'LANÇAMENTOS DIÁRIOS'!$P$5:$P$500,"&gt;=106500")&gt;0,"X","")</f>
      </c>
      <c r="M36" s="56" t="str">
        <f>IF(COUNTIFS('LANÇAMENTOS DIÁRIOS'!$G$5:$G$500,"E",'LANÇAMENTOS DIÁRIOS'!$C$5:$C$500,$A36,'LANÇAMENTOS DIÁRIOS'!$O$5:$O$500,"&lt;=106699",'LANÇAMENTOS DIÁRIOS'!$P$5:$P$500,"&gt;=106600")&gt;0,"X","")</f>
      </c>
      <c r="N36" s="56" t="str">
        <f>IF(COUNTIFS('LANÇAMENTOS DIÁRIOS'!$G$5:$G$500,"E",'LANÇAMENTOS DIÁRIOS'!$C$5:$C$500,$A36,'LANÇAMENTOS DIÁRIOS'!$O$5:$O$500,"&lt;=106799",'LANÇAMENTOS DIÁRIOS'!$P$5:$P$500,"&gt;=106700")&gt;0,"X","")</f>
      </c>
      <c r="O36" s="56" t="str">
        <f>IF(COUNTIFS('LANÇAMENTOS DIÁRIOS'!$G$5:$G$500,"E",'LANÇAMENTOS DIÁRIOS'!$C$5:$C$500,$A36,'LANÇAMENTOS DIÁRIOS'!$O$5:$O$500,"&lt;=106899",'LANÇAMENTOS DIÁRIOS'!$P$5:$P$500,"&gt;=106800")&gt;0,"X","")</f>
      </c>
      <c r="P36" s="56" t="str">
        <f>IF(COUNTIFS('LANÇAMENTOS DIÁRIOS'!$G$5:$G$500,"E",'LANÇAMENTOS DIÁRIOS'!$C$5:$C$500,$A36,'LANÇAMENTOS DIÁRIOS'!$O$5:$O$500,"&lt;=106999",'LANÇAMENTOS DIÁRIOS'!$P$5:$P$500,"&gt;=106900")&gt;0,"X","")</f>
      </c>
      <c r="Q36" s="56" t="str">
        <f>IF(COUNTIFS('LANÇAMENTOS DIÁRIOS'!$G$5:$G$500,"E",'LANÇAMENTOS DIÁRIOS'!$C$5:$C$500,$A36,'LANÇAMENTOS DIÁRIOS'!$O$5:$O$500,"&lt;=107099",'LANÇAMENTOS DIÁRIOS'!$P$5:$P$500,"&gt;=107000")&gt;0,"X","")</f>
      </c>
      <c r="R36" s="56" t="str">
        <f>IF(COUNTIFS('LANÇAMENTOS DIÁRIOS'!$G$5:$G$500,"E",'LANÇAMENTOS DIÁRIOS'!$C$5:$C$500,$A36,'LANÇAMENTOS DIÁRIOS'!$O$5:$O$500,"&lt;=107199",'LANÇAMENTOS DIÁRIOS'!$P$5:$P$500,"&gt;=107100")&gt;0,"X","")</f>
      </c>
      <c r="S36" s="56" t="str">
        <f>IF(COUNTIFS('LANÇAMENTOS DIÁRIOS'!$G$5:$G$500,"E",'LANÇAMENTOS DIÁRIOS'!$C$5:$C$500,$A36,'LANÇAMENTOS DIÁRIOS'!$O$5:$O$500,"&lt;=107299",'LANÇAMENTOS DIÁRIOS'!$P$5:$P$500,"&gt;=107200")&gt;0,"X","")</f>
      </c>
      <c r="T36" s="56" t="str">
        <f>IF(COUNTIFS('LANÇAMENTOS DIÁRIOS'!$G$5:$G$500,"E",'LANÇAMENTOS DIÁRIOS'!$C$5:$C$500,$A36,'LANÇAMENTOS DIÁRIOS'!$O$5:$O$500,"&lt;=107399",'LANÇAMENTOS DIÁRIOS'!$P$5:$P$500,"&gt;=107300")&gt;0,"X","")</f>
      </c>
      <c r="U36" s="56" t="str">
        <f>IF(COUNTIFS('LANÇAMENTOS DIÁRIOS'!$G$5:$G$500,"E",'LANÇAMENTOS DIÁRIOS'!$C$5:$C$500,$A36,'LANÇAMENTOS DIÁRIOS'!$O$5:$O$500,"&lt;=107499",'LANÇAMENTOS DIÁRIOS'!$P$5:$P$500,"&gt;=107400")&gt;0,"X","")</f>
      </c>
      <c r="V36" s="56" t="str">
        <f>IF(COUNTIFS('LANÇAMENTOS DIÁRIOS'!$G$5:$G$500,"E",'LANÇAMENTOS DIÁRIOS'!$C$5:$C$500,$A36,'LANÇAMENTOS DIÁRIOS'!$O$5:$O$500,"&lt;=107599",'LANÇAMENTOS DIÁRIOS'!$P$5:$P$500,"&gt;=107500")&gt;0,"X","")</f>
      </c>
      <c r="W36" s="56" t="str">
        <f>IF(COUNTIFS('LANÇAMENTOS DIÁRIOS'!$G$5:$G$500,"E",'LANÇAMENTOS DIÁRIOS'!$C$5:$C$500,$A36,'LANÇAMENTOS DIÁRIOS'!$O$5:$O$500,"&lt;=107699",'LANÇAMENTOS DIÁRIOS'!$P$5:$P$500,"&gt;=107600")&gt;0,"X","")</f>
      </c>
      <c r="X36" s="56" t="str">
        <f>IF(COUNTIFS('LANÇAMENTOS DIÁRIOS'!$G$5:$G$500,"E",'LANÇAMENTOS DIÁRIOS'!$C$5:$C$500,$A36,'LANÇAMENTOS DIÁRIOS'!$O$5:$O$500,"&lt;=107799",'LANÇAMENTOS DIÁRIOS'!$P$5:$P$500,"&gt;=107700")&gt;0,"X","")</f>
      </c>
      <c r="Y36" s="56" t="str">
        <f>IF(COUNTIFS('LANÇAMENTOS DIÁRIOS'!$G$5:$G$500,"E",'LANÇAMENTOS DIÁRIOS'!$C$5:$C$500,$A36,'LANÇAMENTOS DIÁRIOS'!$O$5:$O$500,"&lt;=107899",'LANÇAMENTOS DIÁRIOS'!$P$5:$P$500,"&gt;=107800")&gt;0,"X","")</f>
      </c>
      <c r="Z36" s="56" t="str">
        <f>IF(COUNTIFS('LANÇAMENTOS DIÁRIOS'!$G$5:$G$500,"E",'LANÇAMENTOS DIÁRIOS'!$C$5:$C$500,$A36,'LANÇAMENTOS DIÁRIOS'!$O$5:$O$500,"&lt;=107999",'LANÇAMENTOS DIÁRIOS'!$P$5:$P$500,"&gt;=107900")&gt;0,"X","")</f>
      </c>
      <c r="AA36" s="56" t="str">
        <f>IF(COUNTIFS('LANÇAMENTOS DIÁRIOS'!$G$5:$G$500,"E",'LANÇAMENTOS DIÁRIOS'!$C$5:$C$500,$A36,'LANÇAMENTOS DIÁRIOS'!$O$5:$O$500,"&lt;=108099",'LANÇAMENTOS DIÁRIOS'!$P$5:$P$500,"&gt;=108000")&gt;0,"X","")</f>
      </c>
      <c r="AB36" s="56" t="str">
        <f>IF(COUNTIFS('LANÇAMENTOS DIÁRIOS'!$G$5:$G$500,"E",'LANÇAMENTOS DIÁRIOS'!$C$5:$C$500,$A36,'LANÇAMENTOS DIÁRIOS'!$O$5:$O$500,"&lt;=108199",'LANÇAMENTOS DIÁRIOS'!$P$5:$P$500,"&gt;=108100")&gt;0,"X","")</f>
      </c>
      <c r="AC36" s="56" t="str">
        <f>IF(COUNTIFS('LANÇAMENTOS DIÁRIOS'!$G$5:$G$500,"E",'LANÇAMENTOS DIÁRIOS'!$C$5:$C$500,$A36,'LANÇAMENTOS DIÁRIOS'!$O$5:$O$500,"&lt;=108299",'LANÇAMENTOS DIÁRIOS'!$P$5:$P$500,"&gt;=108200")&gt;0,"X","")</f>
      </c>
      <c r="AD36" s="56" t="str">
        <f>IF(COUNTIFS('LANÇAMENTOS DIÁRIOS'!$G$5:$G$500,"E",'LANÇAMENTOS DIÁRIOS'!$C$5:$C$500,$A36,'LANÇAMENTOS DIÁRIOS'!$O$5:$O$500,"&lt;=108399",'LANÇAMENTOS DIÁRIOS'!$P$5:$P$500,"&gt;=108300")&gt;0,"X","")</f>
      </c>
      <c r="AE36" s="56" t="str">
        <f>IF(COUNTIFS('LANÇAMENTOS DIÁRIOS'!$G$5:$G$500,"E",'LANÇAMENTOS DIÁRIOS'!$C$5:$C$500,$A36,'LANÇAMENTOS DIÁRIOS'!$O$5:$O$500,"&lt;=108499",'LANÇAMENTOS DIÁRIOS'!$P$5:$P$500,"&gt;=108400")&gt;0,"X","")</f>
      </c>
      <c r="AF36" s="56" t="str">
        <f>IF(COUNTIFS('LANÇAMENTOS DIÁRIOS'!$G$5:$G$500,"E",'LANÇAMENTOS DIÁRIOS'!$C$5:$C$500,$A36,'LANÇAMENTOS DIÁRIOS'!$O$5:$O$500,"&lt;=108599",'LANÇAMENTOS DIÁRIOS'!$P$5:$P$500,"&gt;=108500")&gt;0,"X","")</f>
      </c>
      <c r="AG36" s="56" t="str">
        <f>IF(COUNTIFS('LANÇAMENTOS DIÁRIOS'!$G$5:$G$500,"E",'LANÇAMENTOS DIÁRIOS'!$C$5:$C$500,$A36,'LANÇAMENTOS DIÁRIOS'!$O$5:$O$500,"&lt;=108699",'LANÇAMENTOS DIÁRIOS'!$P$5:$P$500,"&gt;=108600")&gt;0,"X","")</f>
      </c>
      <c r="AH36" s="56" t="str">
        <f>IF(COUNTIFS('LANÇAMENTOS DIÁRIOS'!$G$5:$G$500,"E",'LANÇAMENTOS DIÁRIOS'!$C$5:$C$500,$A36,'LANÇAMENTOS DIÁRIOS'!$O$5:$O$500,"&lt;=108799",'LANÇAMENTOS DIÁRIOS'!$P$5:$P$500,"&gt;=108700")&gt;0,"X","")</f>
      </c>
      <c r="AI36" s="56" t="str">
        <f>IF(COUNTIFS('LANÇAMENTOS DIÁRIOS'!$G$5:$G$500,"E",'LANÇAMENTOS DIÁRIOS'!$C$5:$C$500,$A36,'LANÇAMENTOS DIÁRIOS'!$O$5:$O$500,"&lt;=108899",'LANÇAMENTOS DIÁRIOS'!$P$5:$P$500,"&gt;=108800")&gt;0,"X","")</f>
      </c>
      <c r="AJ36" s="56" t="str">
        <f>IF(COUNTIFS('LANÇAMENTOS DIÁRIOS'!$G$5:$G$500,"E",'LANÇAMENTOS DIÁRIOS'!$C$5:$C$500,$A36,'LANÇAMENTOS DIÁRIOS'!$O$5:$O$500,"&lt;=108999",'LANÇAMENTOS DIÁRIOS'!$P$5:$P$500,"&gt;=108900")&gt;0,"X","")</f>
      </c>
      <c r="AK36" s="56" t="str">
        <f>IF(COUNTIFS('LANÇAMENTOS DIÁRIOS'!$G$5:$G$500,"E",'LANÇAMENTOS DIÁRIOS'!$C$5:$C$500,$A36,'LANÇAMENTOS DIÁRIOS'!$O$5:$O$500,"&lt;=109099",'LANÇAMENTOS DIÁRIOS'!$P$5:$P$500,"&gt;=109000")&gt;0,"X","")</f>
      </c>
      <c r="AL36" s="56" t="str">
        <f>IF(COUNTIFS('LANÇAMENTOS DIÁRIOS'!$G$5:$G$500,"E",'LANÇAMENTOS DIÁRIOS'!$C$5:$C$500,$A36,'LANÇAMENTOS DIÁRIOS'!$O$5:$O$500,"&lt;=109199",'LANÇAMENTOS DIÁRIOS'!$P$5:$P$500,"&gt;=109100")&gt;0,"X","")</f>
      </c>
      <c r="AM36" s="56" t="str">
        <f>IF(COUNTIFS('LANÇAMENTOS DIÁRIOS'!$G$5:$G$500,"E",'LANÇAMENTOS DIÁRIOS'!$C$5:$C$500,$A36,'LANÇAMENTOS DIÁRIOS'!$O$5:$O$500,"&lt;=109299",'LANÇAMENTOS DIÁRIOS'!$P$5:$P$500,"&gt;=109200")&gt;0,"X","")</f>
      </c>
      <c r="AN36" s="56" t="str">
        <f>IF(COUNTIFS('LANÇAMENTOS DIÁRIOS'!$G$5:$G$500,"E",'LANÇAMENTOS DIÁRIOS'!$C$5:$C$500,$A36,'LANÇAMENTOS DIÁRIOS'!$O$5:$O$500,"&lt;=109399",'LANÇAMENTOS DIÁRIOS'!$P$5:$P$500,"&gt;=109300")&gt;0,"X","")</f>
      </c>
      <c r="AO36" s="56" t="str">
        <f>IF(COUNTIFS('LANÇAMENTOS DIÁRIOS'!$G$5:$G$500,"E",'LANÇAMENTOS DIÁRIOS'!$C$5:$C$500,$A36,'LANÇAMENTOS DIÁRIOS'!$O$5:$O$500,"&lt;=109499",'LANÇAMENTOS DIÁRIOS'!$P$5:$P$500,"&gt;=109400")&gt;0,"X","")</f>
      </c>
      <c r="AP36" s="56" t="str">
        <f>IF(COUNTIFS('LANÇAMENTOS DIÁRIOS'!$G$5:$G$500,"E",'LANÇAMENTOS DIÁRIOS'!$C$5:$C$500,$A36,'LANÇAMENTOS DIÁRIOS'!$O$5:$O$500,"&lt;=109599",'LANÇAMENTOS DIÁRIOS'!$P$5:$P$500,"&gt;=109500")&gt;0,"X","")</f>
      </c>
      <c r="AQ36" s="56" t="str">
        <f>IF(COUNTIFS('LANÇAMENTOS DIÁRIOS'!$G$5:$G$500,"E",'LANÇAMENTOS DIÁRIOS'!$C$5:$C$500,$A36,'LANÇAMENTOS DIÁRIOS'!$O$5:$O$500,"&lt;=109699",'LANÇAMENTOS DIÁRIOS'!$P$5:$P$500,"&gt;=109600")&gt;0,"X","")</f>
      </c>
      <c r="AR36" s="56" t="str">
        <f>IF(COUNTIFS('LANÇAMENTOS DIÁRIOS'!$G$5:$G$500,"E",'LANÇAMENTOS DIÁRIOS'!$C$5:$C$500,$A36,'LANÇAMENTOS DIÁRIOS'!$O$5:$O$500,"&lt;=109799",'LANÇAMENTOS DIÁRIOS'!$P$5:$P$500,"&gt;=109700")&gt;0,"X","")</f>
      </c>
      <c r="AS36" s="56" t="str">
        <f>IF(COUNTIFS('LANÇAMENTOS DIÁRIOS'!$G$5:$G$500,"E",'LANÇAMENTOS DIÁRIOS'!$C$5:$C$500,$A36,'LANÇAMENTOS DIÁRIOS'!$O$5:$O$500,"&lt;=109899",'LANÇAMENTOS DIÁRIOS'!$P$5:$P$500,"&gt;=109800")&gt;0,"X","")</f>
      </c>
      <c r="AT36" s="56" t="str">
        <f>IF(COUNTIFS('LANÇAMENTOS DIÁRIOS'!$G$5:$G$500,"E",'LANÇAMENTOS DIÁRIOS'!$C$5:$C$500,$A36,'LANÇAMENTOS DIÁRIOS'!$O$5:$O$500,"&lt;=109999",'LANÇAMENTOS DIÁRIOS'!$P$5:$P$500,"&gt;=109900")&gt;0,"X","")</f>
      </c>
      <c r="AU36" s="56" t="str">
        <f>IF(COUNTIFS('LANÇAMENTOS DIÁRIOS'!$G$5:$G$500,"E",'LANÇAMENTOS DIÁRIOS'!$C$5:$C$500,$A36,'LANÇAMENTOS DIÁRIOS'!$O$5:$O$500,"&lt;=110099",'LANÇAMENTOS DIÁRIOS'!$P$5:$P$500,"&gt;=110000")&gt;0,"X","")</f>
      </c>
      <c r="AV36" s="56" t="str">
        <f>IF(COUNTIFS('LANÇAMENTOS DIÁRIOS'!$G$5:$G$500,"E",'LANÇAMENTOS DIÁRIOS'!$C$5:$C$500,$A36,'LANÇAMENTOS DIÁRIOS'!$O$5:$O$500,"&lt;=110199",'LANÇAMENTOS DIÁRIOS'!$P$5:$P$500,"&gt;=110100")&gt;0,"X","")</f>
      </c>
      <c r="AW36" s="56" t="str">
        <f>IF(COUNTIFS('LANÇAMENTOS DIÁRIOS'!$G$5:$G$500,"E",'LANÇAMENTOS DIÁRIOS'!$C$5:$C$500,$A36,'LANÇAMENTOS DIÁRIOS'!$O$5:$O$500,"&lt;=110299",'LANÇAMENTOS DIÁRIOS'!$P$5:$P$500,"&gt;=110200")&gt;0,"X","")</f>
      </c>
      <c r="AX36" s="56" t="str">
        <f>IF(COUNTIFS('LANÇAMENTOS DIÁRIOS'!$G$5:$G$500,"E",'LANÇAMENTOS DIÁRIOS'!$C$5:$C$500,$A36,'LANÇAMENTOS DIÁRIOS'!$O$5:$O$500,"&lt;=110399",'LANÇAMENTOS DIÁRIOS'!$P$5:$P$500,"&gt;=110300")&gt;0,"X","")</f>
      </c>
      <c r="AY36" s="56" t="str">
        <f>IF(COUNTIFS('LANÇAMENTOS DIÁRIOS'!$G$5:$G$500,"E",'LANÇAMENTOS DIÁRIOS'!$C$5:$C$500,$A36,'LANÇAMENTOS DIÁRIOS'!$O$5:$O$500,"&lt;=110499",'LANÇAMENTOS DIÁRIOS'!$P$5:$P$500,"&gt;=110400")&gt;0,"X","")</f>
      </c>
      <c r="AZ36" s="56" t="str">
        <f>IF(COUNTIFS('LANÇAMENTOS DIÁRIOS'!$G$5:$G$500,"E",'LANÇAMENTOS DIÁRIOS'!$C$5:$C$500,$A36,'LANÇAMENTOS DIÁRIOS'!$O$5:$O$500,"&lt;=110599",'LANÇAMENTOS DIÁRIOS'!$P$5:$P$500,"&gt;=110500")&gt;0,"X","")</f>
      </c>
      <c r="BA36" s="56" t="str">
        <f>IF(COUNTIFS('LANÇAMENTOS DIÁRIOS'!$G$5:$G$500,"E",'LANÇAMENTOS DIÁRIOS'!$C$5:$C$500,$A36,'LANÇAMENTOS DIÁRIOS'!$O$5:$O$500,"&lt;=110699",'LANÇAMENTOS DIÁRIOS'!$P$5:$P$500,"&gt;=110600")&gt;0,"X","")</f>
      </c>
      <c r="BB36" s="56" t="str">
        <f>IF(COUNTIFS('LANÇAMENTOS DIÁRIOS'!$G$5:$G$500,"E",'LANÇAMENTOS DIÁRIOS'!$C$5:$C$500,$A36,'LANÇAMENTOS DIÁRIOS'!$O$5:$O$500,"&lt;=110799",'LANÇAMENTOS DIÁRIOS'!$P$5:$P$500,"&gt;=110700")&gt;0,"X","")</f>
      </c>
      <c r="BC36" s="56" t="str">
        <f>IF(COUNTIFS('LANÇAMENTOS DIÁRIOS'!$G$5:$G$500,"E",'LANÇAMENTOS DIÁRIOS'!$C$5:$C$500,$A36,'LANÇAMENTOS DIÁRIOS'!$O$5:$O$500,"&lt;=110899",'LANÇAMENTOS DIÁRIOS'!$P$5:$P$500,"&gt;=110800")&gt;0,"X","")</f>
      </c>
      <c r="BD36" s="56" t="str">
        <f>IF(COUNTIFS('LANÇAMENTOS DIÁRIOS'!$G$5:$G$500,"E",'LANÇAMENTOS DIÁRIOS'!$C$5:$C$500,$A36,'LANÇAMENTOS DIÁRIOS'!$O$5:$O$500,"&lt;=110999",'LANÇAMENTOS DIÁRIOS'!$P$5:$P$500,"&gt;=110900")&gt;0,"X","")</f>
      </c>
      <c r="BE36" s="56" t="str">
        <f>IF(COUNTIFS('LANÇAMENTOS DIÁRIOS'!$G$5:$G$500,"E",'LANÇAMENTOS DIÁRIOS'!$C$5:$C$500,$A36,'LANÇAMENTOS DIÁRIOS'!$O$5:$O$500,"&lt;=111099",'LANÇAMENTOS DIÁRIOS'!$P$5:$P$500,"&gt;=111000")&gt;0,"X","")</f>
      </c>
      <c r="BF36" s="56" t="str">
        <f>IF(COUNTIFS('LANÇAMENTOS DIÁRIOS'!$G$5:$G$500,"E",'LANÇAMENTOS DIÁRIOS'!$C$5:$C$500,$A36,'LANÇAMENTOS DIÁRIOS'!$O$5:$O$500,"&lt;=111199",'LANÇAMENTOS DIÁRIOS'!$P$5:$P$500,"&gt;=111100")&gt;0,"X","")</f>
      </c>
      <c r="BG36" s="56" t="str">
        <f>IF(COUNTIFS('LANÇAMENTOS DIÁRIOS'!$G$5:$G$500,"E",'LANÇAMENTOS DIÁRIOS'!$C$5:$C$500,$A36,'LANÇAMENTOS DIÁRIOS'!$O$5:$O$500,"&lt;=111299",'LANÇAMENTOS DIÁRIOS'!$P$5:$P$500,"&gt;=111200")&gt;0,"X","")</f>
      </c>
      <c r="BH36" s="56" t="str">
        <f>IF(COUNTIFS('LANÇAMENTOS DIÁRIOS'!$G$5:$G$500,"E",'LANÇAMENTOS DIÁRIOS'!$C$5:$C$500,$A36,'LANÇAMENTOS DIÁRIOS'!$O$5:$O$500,"&lt;=111399",'LANÇAMENTOS DIÁRIOS'!$P$5:$P$500,"&gt;=111300")&gt;0,"X","")</f>
      </c>
      <c r="BI36" s="56" t="str">
        <f>IF(COUNTIFS('LANÇAMENTOS DIÁRIOS'!$G$5:$G$500,"E",'LANÇAMENTOS DIÁRIOS'!$C$5:$C$500,$A36,'LANÇAMENTOS DIÁRIOS'!$O$5:$O$500,"&lt;=111499",'LANÇAMENTOS DIÁRIOS'!$P$5:$P$500,"&gt;=111400")&gt;0,"X","")</f>
      </c>
      <c r="BJ36" s="56" t="str">
        <f>IF(COUNTIFS('LANÇAMENTOS DIÁRIOS'!$G$5:$G$500,"E",'LANÇAMENTOS DIÁRIOS'!$C$5:$C$500,$A36,'LANÇAMENTOS DIÁRIOS'!$O$5:$O$500,"&lt;=111500",'LANÇAMENTOS DIÁRIOS'!$P$5:$P$500,"&gt;=111500")&gt;0,"X","")</f>
      </c>
    </row>
    <row r="37" ht="19" customHeight="1">
      <c r="A37" s="68" t="str">
        <v>Corte em rocha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</row>
    <row r="38">
      <c r="A38" s="51" t="str">
        <v>Escavação de material de 3ª categoria a fogo-S/ Transporte</v>
      </c>
      <c r="B38" s="56" t="str">
        <f>IF(COUNTIFS('LANÇAMENTOS DIÁRIOS'!$G$5:$G$500,"E",'LANÇAMENTOS DIÁRIOS'!$C$5:$C$500,$A38,'LANÇAMENTOS DIÁRIOS'!$O$5:$O$500,"&lt;=105599",'LANÇAMENTOS DIÁRIOS'!$P$5:$P$500,"&gt;=105500")&gt;0,"X","")</f>
      </c>
      <c r="C38" s="56" t="str">
        <f>IF(COUNTIFS('LANÇAMENTOS DIÁRIOS'!$G$5:$G$500,"E",'LANÇAMENTOS DIÁRIOS'!$C$5:$C$500,$A38,'LANÇAMENTOS DIÁRIOS'!$O$5:$O$500,"&lt;=105699",'LANÇAMENTOS DIÁRIOS'!$P$5:$P$500,"&gt;=105600")&gt;0,"X","")</f>
      </c>
      <c r="D38" s="56" t="str">
        <f>IF(COUNTIFS('LANÇAMENTOS DIÁRIOS'!$G$5:$G$500,"E",'LANÇAMENTOS DIÁRIOS'!$C$5:$C$500,$A38,'LANÇAMENTOS DIÁRIOS'!$O$5:$O$500,"&lt;=105799",'LANÇAMENTOS DIÁRIOS'!$P$5:$P$500,"&gt;=105700")&gt;0,"X","")</f>
      </c>
      <c r="E38" s="56" t="str">
        <f>IF(COUNTIFS('LANÇAMENTOS DIÁRIOS'!$G$5:$G$500,"E",'LANÇAMENTOS DIÁRIOS'!$C$5:$C$500,$A38,'LANÇAMENTOS DIÁRIOS'!$O$5:$O$500,"&lt;=105899",'LANÇAMENTOS DIÁRIOS'!$P$5:$P$500,"&gt;=105800")&gt;0,"X","")</f>
      </c>
      <c r="F38" s="56" t="str">
        <f>IF(COUNTIFS('LANÇAMENTOS DIÁRIOS'!$G$5:$G$500,"E",'LANÇAMENTOS DIÁRIOS'!$C$5:$C$500,$A38,'LANÇAMENTOS DIÁRIOS'!$O$5:$O$500,"&lt;=105999",'LANÇAMENTOS DIÁRIOS'!$P$5:$P$500,"&gt;=105900")&gt;0,"X","")</f>
      </c>
      <c r="G38" s="56" t="str">
        <f>IF(COUNTIFS('LANÇAMENTOS DIÁRIOS'!$G$5:$G$500,"E",'LANÇAMENTOS DIÁRIOS'!$C$5:$C$500,$A38,'LANÇAMENTOS DIÁRIOS'!$O$5:$O$500,"&lt;=106099",'LANÇAMENTOS DIÁRIOS'!$P$5:$P$500,"&gt;=106000")&gt;0,"X","")</f>
      </c>
      <c r="H38" s="56" t="str">
        <f>IF(COUNTIFS('LANÇAMENTOS DIÁRIOS'!$G$5:$G$500,"E",'LANÇAMENTOS DIÁRIOS'!$C$5:$C$500,$A38,'LANÇAMENTOS DIÁRIOS'!$O$5:$O$500,"&lt;=106199",'LANÇAMENTOS DIÁRIOS'!$P$5:$P$500,"&gt;=106100")&gt;0,"X","")</f>
      </c>
      <c r="I38" s="56" t="str">
        <f>IF(COUNTIFS('LANÇAMENTOS DIÁRIOS'!$G$5:$G$500,"E",'LANÇAMENTOS DIÁRIOS'!$C$5:$C$500,$A38,'LANÇAMENTOS DIÁRIOS'!$O$5:$O$500,"&lt;=106299",'LANÇAMENTOS DIÁRIOS'!$P$5:$P$500,"&gt;=106200")&gt;0,"X","")</f>
      </c>
      <c r="J38" s="56" t="str">
        <f>IF(COUNTIFS('LANÇAMENTOS DIÁRIOS'!$G$5:$G$500,"E",'LANÇAMENTOS DIÁRIOS'!$C$5:$C$500,$A38,'LANÇAMENTOS DIÁRIOS'!$O$5:$O$500,"&lt;=106399",'LANÇAMENTOS DIÁRIOS'!$P$5:$P$500,"&gt;=106300")&gt;0,"X","")</f>
      </c>
      <c r="K38" s="56" t="str">
        <f>IF(COUNTIFS('LANÇAMENTOS DIÁRIOS'!$G$5:$G$500,"E",'LANÇAMENTOS DIÁRIOS'!$C$5:$C$500,$A38,'LANÇAMENTOS DIÁRIOS'!$O$5:$O$500,"&lt;=106499",'LANÇAMENTOS DIÁRIOS'!$P$5:$P$500,"&gt;=106400")&gt;0,"X","")</f>
      </c>
      <c r="L38" s="56" t="str">
        <f>IF(COUNTIFS('LANÇAMENTOS DIÁRIOS'!$G$5:$G$500,"E",'LANÇAMENTOS DIÁRIOS'!$C$5:$C$500,$A38,'LANÇAMENTOS DIÁRIOS'!$O$5:$O$500,"&lt;=106599",'LANÇAMENTOS DIÁRIOS'!$P$5:$P$500,"&gt;=106500")&gt;0,"X","")</f>
      </c>
      <c r="M38" s="56" t="str">
        <f>IF(COUNTIFS('LANÇAMENTOS DIÁRIOS'!$G$5:$G$500,"E",'LANÇAMENTOS DIÁRIOS'!$C$5:$C$500,$A38,'LANÇAMENTOS DIÁRIOS'!$O$5:$O$500,"&lt;=106699",'LANÇAMENTOS DIÁRIOS'!$P$5:$P$500,"&gt;=106600")&gt;0,"X","")</f>
      </c>
      <c r="N38" s="56" t="str">
        <f>IF(COUNTIFS('LANÇAMENTOS DIÁRIOS'!$G$5:$G$500,"E",'LANÇAMENTOS DIÁRIOS'!$C$5:$C$500,$A38,'LANÇAMENTOS DIÁRIOS'!$O$5:$O$500,"&lt;=106799",'LANÇAMENTOS DIÁRIOS'!$P$5:$P$500,"&gt;=106700")&gt;0,"X","")</f>
      </c>
      <c r="O38" s="56" t="str">
        <f>IF(COUNTIFS('LANÇAMENTOS DIÁRIOS'!$G$5:$G$500,"E",'LANÇAMENTOS DIÁRIOS'!$C$5:$C$500,$A38,'LANÇAMENTOS DIÁRIOS'!$O$5:$O$500,"&lt;=106899",'LANÇAMENTOS DIÁRIOS'!$P$5:$P$500,"&gt;=106800")&gt;0,"X","")</f>
      </c>
      <c r="P38" s="56" t="str">
        <f>IF(COUNTIFS('LANÇAMENTOS DIÁRIOS'!$G$5:$G$500,"E",'LANÇAMENTOS DIÁRIOS'!$C$5:$C$500,$A38,'LANÇAMENTOS DIÁRIOS'!$O$5:$O$500,"&lt;=106999",'LANÇAMENTOS DIÁRIOS'!$P$5:$P$500,"&gt;=106900")&gt;0,"X","")</f>
      </c>
      <c r="Q38" s="56" t="str">
        <f>IF(COUNTIFS('LANÇAMENTOS DIÁRIOS'!$G$5:$G$500,"E",'LANÇAMENTOS DIÁRIOS'!$C$5:$C$500,$A38,'LANÇAMENTOS DIÁRIOS'!$O$5:$O$500,"&lt;=107099",'LANÇAMENTOS DIÁRIOS'!$P$5:$P$500,"&gt;=107000")&gt;0,"X","")</f>
      </c>
      <c r="R38" s="56" t="str">
        <f>IF(COUNTIFS('LANÇAMENTOS DIÁRIOS'!$G$5:$G$500,"E",'LANÇAMENTOS DIÁRIOS'!$C$5:$C$500,$A38,'LANÇAMENTOS DIÁRIOS'!$O$5:$O$500,"&lt;=107199",'LANÇAMENTOS DIÁRIOS'!$P$5:$P$500,"&gt;=107100")&gt;0,"X","")</f>
      </c>
      <c r="S38" s="56" t="str">
        <f>IF(COUNTIFS('LANÇAMENTOS DIÁRIOS'!$G$5:$G$500,"E",'LANÇAMENTOS DIÁRIOS'!$C$5:$C$500,$A38,'LANÇAMENTOS DIÁRIOS'!$O$5:$O$500,"&lt;=107299",'LANÇAMENTOS DIÁRIOS'!$P$5:$P$500,"&gt;=107200")&gt;0,"X","")</f>
      </c>
      <c r="T38" s="56" t="str">
        <f>IF(COUNTIFS('LANÇAMENTOS DIÁRIOS'!$G$5:$G$500,"E",'LANÇAMENTOS DIÁRIOS'!$C$5:$C$500,$A38,'LANÇAMENTOS DIÁRIOS'!$O$5:$O$500,"&lt;=107399",'LANÇAMENTOS DIÁRIOS'!$P$5:$P$500,"&gt;=107300")&gt;0,"X","")</f>
      </c>
      <c r="U38" s="56" t="str">
        <f>IF(COUNTIFS('LANÇAMENTOS DIÁRIOS'!$G$5:$G$500,"E",'LANÇAMENTOS DIÁRIOS'!$C$5:$C$500,$A38,'LANÇAMENTOS DIÁRIOS'!$O$5:$O$500,"&lt;=107499",'LANÇAMENTOS DIÁRIOS'!$P$5:$P$500,"&gt;=107400")&gt;0,"X","")</f>
      </c>
      <c r="V38" s="56" t="str">
        <f>IF(COUNTIFS('LANÇAMENTOS DIÁRIOS'!$G$5:$G$500,"E",'LANÇAMENTOS DIÁRIOS'!$C$5:$C$500,$A38,'LANÇAMENTOS DIÁRIOS'!$O$5:$O$500,"&lt;=107599",'LANÇAMENTOS DIÁRIOS'!$P$5:$P$500,"&gt;=107500")&gt;0,"X","")</f>
      </c>
      <c r="W38" s="56" t="str">
        <f>IF(COUNTIFS('LANÇAMENTOS DIÁRIOS'!$G$5:$G$500,"E",'LANÇAMENTOS DIÁRIOS'!$C$5:$C$500,$A38,'LANÇAMENTOS DIÁRIOS'!$O$5:$O$500,"&lt;=107699",'LANÇAMENTOS DIÁRIOS'!$P$5:$P$500,"&gt;=107600")&gt;0,"X","")</f>
      </c>
      <c r="X38" s="56" t="str">
        <f>IF(COUNTIFS('LANÇAMENTOS DIÁRIOS'!$G$5:$G$500,"E",'LANÇAMENTOS DIÁRIOS'!$C$5:$C$500,$A38,'LANÇAMENTOS DIÁRIOS'!$O$5:$O$500,"&lt;=107799",'LANÇAMENTOS DIÁRIOS'!$P$5:$P$500,"&gt;=107700")&gt;0,"X","")</f>
      </c>
      <c r="Y38" s="56" t="str">
        <f>IF(COUNTIFS('LANÇAMENTOS DIÁRIOS'!$G$5:$G$500,"E",'LANÇAMENTOS DIÁRIOS'!$C$5:$C$500,$A38,'LANÇAMENTOS DIÁRIOS'!$O$5:$O$500,"&lt;=107899",'LANÇAMENTOS DIÁRIOS'!$P$5:$P$500,"&gt;=107800")&gt;0,"X","")</f>
      </c>
      <c r="Z38" s="56" t="str">
        <f>IF(COUNTIFS('LANÇAMENTOS DIÁRIOS'!$G$5:$G$500,"E",'LANÇAMENTOS DIÁRIOS'!$C$5:$C$500,$A38,'LANÇAMENTOS DIÁRIOS'!$O$5:$O$500,"&lt;=107999",'LANÇAMENTOS DIÁRIOS'!$P$5:$P$500,"&gt;=107900")&gt;0,"X","")</f>
      </c>
      <c r="AA38" s="56" t="str">
        <f>IF(COUNTIFS('LANÇAMENTOS DIÁRIOS'!$G$5:$G$500,"E",'LANÇAMENTOS DIÁRIOS'!$C$5:$C$500,$A38,'LANÇAMENTOS DIÁRIOS'!$O$5:$O$500,"&lt;=108099",'LANÇAMENTOS DIÁRIOS'!$P$5:$P$500,"&gt;=108000")&gt;0,"X","")</f>
      </c>
      <c r="AB38" s="56" t="str">
        <f>IF(COUNTIFS('LANÇAMENTOS DIÁRIOS'!$G$5:$G$500,"E",'LANÇAMENTOS DIÁRIOS'!$C$5:$C$500,$A38,'LANÇAMENTOS DIÁRIOS'!$O$5:$O$500,"&lt;=108199",'LANÇAMENTOS DIÁRIOS'!$P$5:$P$500,"&gt;=108100")&gt;0,"X","")</f>
      </c>
      <c r="AC38" s="56" t="str">
        <f>IF(COUNTIFS('LANÇAMENTOS DIÁRIOS'!$G$5:$G$500,"E",'LANÇAMENTOS DIÁRIOS'!$C$5:$C$500,$A38,'LANÇAMENTOS DIÁRIOS'!$O$5:$O$500,"&lt;=108299",'LANÇAMENTOS DIÁRIOS'!$P$5:$P$500,"&gt;=108200")&gt;0,"X","")</f>
      </c>
      <c r="AD38" s="56" t="str">
        <f>IF(COUNTIFS('LANÇAMENTOS DIÁRIOS'!$G$5:$G$500,"E",'LANÇAMENTOS DIÁRIOS'!$C$5:$C$500,$A38,'LANÇAMENTOS DIÁRIOS'!$O$5:$O$500,"&lt;=108399",'LANÇAMENTOS DIÁRIOS'!$P$5:$P$500,"&gt;=108300")&gt;0,"X","")</f>
      </c>
      <c r="AE38" s="56" t="str">
        <f>IF(COUNTIFS('LANÇAMENTOS DIÁRIOS'!$G$5:$G$500,"E",'LANÇAMENTOS DIÁRIOS'!$C$5:$C$500,$A38,'LANÇAMENTOS DIÁRIOS'!$O$5:$O$500,"&lt;=108499",'LANÇAMENTOS DIÁRIOS'!$P$5:$P$500,"&gt;=108400")&gt;0,"X","")</f>
      </c>
      <c r="AF38" s="56" t="str">
        <f>IF(COUNTIFS('LANÇAMENTOS DIÁRIOS'!$G$5:$G$500,"E",'LANÇAMENTOS DIÁRIOS'!$C$5:$C$500,$A38,'LANÇAMENTOS DIÁRIOS'!$O$5:$O$500,"&lt;=108599",'LANÇAMENTOS DIÁRIOS'!$P$5:$P$500,"&gt;=108500")&gt;0,"X","")</f>
      </c>
      <c r="AG38" s="56" t="str">
        <f>IF(COUNTIFS('LANÇAMENTOS DIÁRIOS'!$G$5:$G$500,"E",'LANÇAMENTOS DIÁRIOS'!$C$5:$C$500,$A38,'LANÇAMENTOS DIÁRIOS'!$O$5:$O$500,"&lt;=108699",'LANÇAMENTOS DIÁRIOS'!$P$5:$P$500,"&gt;=108600")&gt;0,"X","")</f>
      </c>
      <c r="AH38" s="56" t="str">
        <f>IF(COUNTIFS('LANÇAMENTOS DIÁRIOS'!$G$5:$G$500,"E",'LANÇAMENTOS DIÁRIOS'!$C$5:$C$500,$A38,'LANÇAMENTOS DIÁRIOS'!$O$5:$O$500,"&lt;=108799",'LANÇAMENTOS DIÁRIOS'!$P$5:$P$500,"&gt;=108700")&gt;0,"X","")</f>
      </c>
      <c r="AI38" s="56" t="str">
        <f>IF(COUNTIFS('LANÇAMENTOS DIÁRIOS'!$G$5:$G$500,"E",'LANÇAMENTOS DIÁRIOS'!$C$5:$C$500,$A38,'LANÇAMENTOS DIÁRIOS'!$O$5:$O$500,"&lt;=108899",'LANÇAMENTOS DIÁRIOS'!$P$5:$P$500,"&gt;=108800")&gt;0,"X","")</f>
      </c>
      <c r="AJ38" s="56" t="str">
        <f>IF(COUNTIFS('LANÇAMENTOS DIÁRIOS'!$G$5:$G$500,"E",'LANÇAMENTOS DIÁRIOS'!$C$5:$C$500,$A38,'LANÇAMENTOS DIÁRIOS'!$O$5:$O$500,"&lt;=108999",'LANÇAMENTOS DIÁRIOS'!$P$5:$P$500,"&gt;=108900")&gt;0,"X","")</f>
      </c>
      <c r="AK38" s="56" t="str">
        <f>IF(COUNTIFS('LANÇAMENTOS DIÁRIOS'!$G$5:$G$500,"E",'LANÇAMENTOS DIÁRIOS'!$C$5:$C$500,$A38,'LANÇAMENTOS DIÁRIOS'!$O$5:$O$500,"&lt;=109099",'LANÇAMENTOS DIÁRIOS'!$P$5:$P$500,"&gt;=109000")&gt;0,"X","")</f>
      </c>
      <c r="AL38" s="56" t="str">
        <f>IF(COUNTIFS('LANÇAMENTOS DIÁRIOS'!$G$5:$G$500,"E",'LANÇAMENTOS DIÁRIOS'!$C$5:$C$500,$A38,'LANÇAMENTOS DIÁRIOS'!$O$5:$O$500,"&lt;=109199",'LANÇAMENTOS DIÁRIOS'!$P$5:$P$500,"&gt;=109100")&gt;0,"X","")</f>
      </c>
      <c r="AM38" s="56" t="str">
        <f>IF(COUNTIFS('LANÇAMENTOS DIÁRIOS'!$G$5:$G$500,"E",'LANÇAMENTOS DIÁRIOS'!$C$5:$C$500,$A38,'LANÇAMENTOS DIÁRIOS'!$O$5:$O$500,"&lt;=109299",'LANÇAMENTOS DIÁRIOS'!$P$5:$P$500,"&gt;=109200")&gt;0,"X","")</f>
      </c>
      <c r="AN38" s="56" t="str">
        <f>IF(COUNTIFS('LANÇAMENTOS DIÁRIOS'!$G$5:$G$500,"E",'LANÇAMENTOS DIÁRIOS'!$C$5:$C$500,$A38,'LANÇAMENTOS DIÁRIOS'!$O$5:$O$500,"&lt;=109399",'LANÇAMENTOS DIÁRIOS'!$P$5:$P$500,"&gt;=109300")&gt;0,"X","")</f>
      </c>
      <c r="AO38" s="56" t="str">
        <f>IF(COUNTIFS('LANÇAMENTOS DIÁRIOS'!$G$5:$G$500,"E",'LANÇAMENTOS DIÁRIOS'!$C$5:$C$500,$A38,'LANÇAMENTOS DIÁRIOS'!$O$5:$O$500,"&lt;=109499",'LANÇAMENTOS DIÁRIOS'!$P$5:$P$500,"&gt;=109400")&gt;0,"X","")</f>
      </c>
      <c r="AP38" s="56" t="str">
        <f>IF(COUNTIFS('LANÇAMENTOS DIÁRIOS'!$G$5:$G$500,"E",'LANÇAMENTOS DIÁRIOS'!$C$5:$C$500,$A38,'LANÇAMENTOS DIÁRIOS'!$O$5:$O$500,"&lt;=109599",'LANÇAMENTOS DIÁRIOS'!$P$5:$P$500,"&gt;=109500")&gt;0,"X","")</f>
      </c>
      <c r="AQ38" s="56" t="str">
        <f>IF(COUNTIFS('LANÇAMENTOS DIÁRIOS'!$G$5:$G$500,"E",'LANÇAMENTOS DIÁRIOS'!$C$5:$C$500,$A38,'LANÇAMENTOS DIÁRIOS'!$O$5:$O$500,"&lt;=109699",'LANÇAMENTOS DIÁRIOS'!$P$5:$P$500,"&gt;=109600")&gt;0,"X","")</f>
      </c>
      <c r="AR38" s="56" t="str">
        <f>IF(COUNTIFS('LANÇAMENTOS DIÁRIOS'!$G$5:$G$500,"E",'LANÇAMENTOS DIÁRIOS'!$C$5:$C$500,$A38,'LANÇAMENTOS DIÁRIOS'!$O$5:$O$500,"&lt;=109799",'LANÇAMENTOS DIÁRIOS'!$P$5:$P$500,"&gt;=109700")&gt;0,"X","")</f>
      </c>
      <c r="AS38" s="56" t="str">
        <f>IF(COUNTIFS('LANÇAMENTOS DIÁRIOS'!$G$5:$G$500,"E",'LANÇAMENTOS DIÁRIOS'!$C$5:$C$500,$A38,'LANÇAMENTOS DIÁRIOS'!$O$5:$O$500,"&lt;=109899",'LANÇAMENTOS DIÁRIOS'!$P$5:$P$500,"&gt;=109800")&gt;0,"X","")</f>
      </c>
      <c r="AT38" s="56" t="str">
        <f>IF(COUNTIFS('LANÇAMENTOS DIÁRIOS'!$G$5:$G$500,"E",'LANÇAMENTOS DIÁRIOS'!$C$5:$C$500,$A38,'LANÇAMENTOS DIÁRIOS'!$O$5:$O$500,"&lt;=109999",'LANÇAMENTOS DIÁRIOS'!$P$5:$P$500,"&gt;=109900")&gt;0,"X","")</f>
      </c>
      <c r="AU38" s="56" t="str">
        <f>IF(COUNTIFS('LANÇAMENTOS DIÁRIOS'!$G$5:$G$500,"E",'LANÇAMENTOS DIÁRIOS'!$C$5:$C$500,$A38,'LANÇAMENTOS DIÁRIOS'!$O$5:$O$500,"&lt;=110099",'LANÇAMENTOS DIÁRIOS'!$P$5:$P$500,"&gt;=110000")&gt;0,"X","")</f>
      </c>
      <c r="AV38" s="56" t="str">
        <f>IF(COUNTIFS('LANÇAMENTOS DIÁRIOS'!$G$5:$G$500,"E",'LANÇAMENTOS DIÁRIOS'!$C$5:$C$500,$A38,'LANÇAMENTOS DIÁRIOS'!$O$5:$O$500,"&lt;=110199",'LANÇAMENTOS DIÁRIOS'!$P$5:$P$500,"&gt;=110100")&gt;0,"X","")</f>
      </c>
      <c r="AW38" s="56" t="str">
        <f>IF(COUNTIFS('LANÇAMENTOS DIÁRIOS'!$G$5:$G$500,"E",'LANÇAMENTOS DIÁRIOS'!$C$5:$C$500,$A38,'LANÇAMENTOS DIÁRIOS'!$O$5:$O$500,"&lt;=110299",'LANÇAMENTOS DIÁRIOS'!$P$5:$P$500,"&gt;=110200")&gt;0,"X","")</f>
      </c>
      <c r="AX38" s="56" t="str">
        <f>IF(COUNTIFS('LANÇAMENTOS DIÁRIOS'!$G$5:$G$500,"E",'LANÇAMENTOS DIÁRIOS'!$C$5:$C$500,$A38,'LANÇAMENTOS DIÁRIOS'!$O$5:$O$500,"&lt;=110399",'LANÇAMENTOS DIÁRIOS'!$P$5:$P$500,"&gt;=110300")&gt;0,"X","")</f>
      </c>
      <c r="AY38" s="56" t="str">
        <f>IF(COUNTIFS('LANÇAMENTOS DIÁRIOS'!$G$5:$G$500,"E",'LANÇAMENTOS DIÁRIOS'!$C$5:$C$500,$A38,'LANÇAMENTOS DIÁRIOS'!$O$5:$O$500,"&lt;=110499",'LANÇAMENTOS DIÁRIOS'!$P$5:$P$500,"&gt;=110400")&gt;0,"X","")</f>
      </c>
      <c r="AZ38" s="56" t="str">
        <f>IF(COUNTIFS('LANÇAMENTOS DIÁRIOS'!$G$5:$G$500,"E",'LANÇAMENTOS DIÁRIOS'!$C$5:$C$500,$A38,'LANÇAMENTOS DIÁRIOS'!$O$5:$O$500,"&lt;=110599",'LANÇAMENTOS DIÁRIOS'!$P$5:$P$500,"&gt;=110500")&gt;0,"X","")</f>
      </c>
      <c r="BA38" s="56" t="str">
        <f>IF(COUNTIFS('LANÇAMENTOS DIÁRIOS'!$G$5:$G$500,"E",'LANÇAMENTOS DIÁRIOS'!$C$5:$C$500,$A38,'LANÇAMENTOS DIÁRIOS'!$O$5:$O$500,"&lt;=110699",'LANÇAMENTOS DIÁRIOS'!$P$5:$P$500,"&gt;=110600")&gt;0,"X","")</f>
      </c>
      <c r="BB38" s="56" t="str">
        <f>IF(COUNTIFS('LANÇAMENTOS DIÁRIOS'!$G$5:$G$500,"E",'LANÇAMENTOS DIÁRIOS'!$C$5:$C$500,$A38,'LANÇAMENTOS DIÁRIOS'!$O$5:$O$500,"&lt;=110799",'LANÇAMENTOS DIÁRIOS'!$P$5:$P$500,"&gt;=110700")&gt;0,"X","")</f>
      </c>
      <c r="BC38" s="56" t="str">
        <f>IF(COUNTIFS('LANÇAMENTOS DIÁRIOS'!$G$5:$G$500,"E",'LANÇAMENTOS DIÁRIOS'!$C$5:$C$500,$A38,'LANÇAMENTOS DIÁRIOS'!$O$5:$O$500,"&lt;=110899",'LANÇAMENTOS DIÁRIOS'!$P$5:$P$500,"&gt;=110800")&gt;0,"X","")</f>
      </c>
      <c r="BD38" s="56" t="str">
        <f>IF(COUNTIFS('LANÇAMENTOS DIÁRIOS'!$G$5:$G$500,"E",'LANÇAMENTOS DIÁRIOS'!$C$5:$C$500,$A38,'LANÇAMENTOS DIÁRIOS'!$O$5:$O$500,"&lt;=110999",'LANÇAMENTOS DIÁRIOS'!$P$5:$P$500,"&gt;=110900")&gt;0,"X","")</f>
      </c>
      <c r="BE38" s="56" t="str">
        <f>IF(COUNTIFS('LANÇAMENTOS DIÁRIOS'!$G$5:$G$500,"E",'LANÇAMENTOS DIÁRIOS'!$C$5:$C$500,$A38,'LANÇAMENTOS DIÁRIOS'!$O$5:$O$500,"&lt;=111099",'LANÇAMENTOS DIÁRIOS'!$P$5:$P$500,"&gt;=111000")&gt;0,"X","")</f>
      </c>
      <c r="BF38" s="56" t="str">
        <f>IF(COUNTIFS('LANÇAMENTOS DIÁRIOS'!$G$5:$G$500,"E",'LANÇAMENTOS DIÁRIOS'!$C$5:$C$500,$A38,'LANÇAMENTOS DIÁRIOS'!$O$5:$O$500,"&lt;=111199",'LANÇAMENTOS DIÁRIOS'!$P$5:$P$500,"&gt;=111100")&gt;0,"X","")</f>
      </c>
      <c r="BG38" s="56" t="str">
        <f>IF(COUNTIFS('LANÇAMENTOS DIÁRIOS'!$G$5:$G$500,"E",'LANÇAMENTOS DIÁRIOS'!$C$5:$C$500,$A38,'LANÇAMENTOS DIÁRIOS'!$O$5:$O$500,"&lt;=111299",'LANÇAMENTOS DIÁRIOS'!$P$5:$P$500,"&gt;=111200")&gt;0,"X","")</f>
      </c>
      <c r="BH38" s="56" t="str">
        <f>IF(COUNTIFS('LANÇAMENTOS DIÁRIOS'!$G$5:$G$500,"E",'LANÇAMENTOS DIÁRIOS'!$C$5:$C$500,$A38,'LANÇAMENTOS DIÁRIOS'!$O$5:$O$500,"&lt;=111399",'LANÇAMENTOS DIÁRIOS'!$P$5:$P$500,"&gt;=111300")&gt;0,"X","")</f>
      </c>
      <c r="BI38" s="56" t="str">
        <f>IF(COUNTIFS('LANÇAMENTOS DIÁRIOS'!$G$5:$G$500,"E",'LANÇAMENTOS DIÁRIOS'!$C$5:$C$500,$A38,'LANÇAMENTOS DIÁRIOS'!$O$5:$O$500,"&lt;=111499",'LANÇAMENTOS DIÁRIOS'!$P$5:$P$500,"&gt;=111400")&gt;0,"X","")</f>
      </c>
      <c r="BJ38" s="56" t="str">
        <f>IF(COUNTIFS('LANÇAMENTOS DIÁRIOS'!$G$5:$G$500,"E",'LANÇAMENTOS DIÁRIOS'!$C$5:$C$500,$A38,'LANÇAMENTOS DIÁRIOS'!$O$5:$O$500,"&lt;=111500",'LANÇAMENTOS DIÁRIOS'!$P$5:$P$500,"&gt;=111500")&gt;0,"X","")</f>
      </c>
    </row>
    <row r="39">
      <c r="A39" s="51" t="str">
        <v>Escavação e carga de material de 3ª categoria a, com a utilização de equipamento hidráulico (picão) - Sem Transporte</v>
      </c>
      <c r="B39" s="56" t="str">
        <f>IF(COUNTIFS('LANÇAMENTOS DIÁRIOS'!$G$5:$G$500,"E",'LANÇAMENTOS DIÁRIOS'!$C$5:$C$500,$A39,'LANÇAMENTOS DIÁRIOS'!$O$5:$O$500,"&lt;=105599",'LANÇAMENTOS DIÁRIOS'!$P$5:$P$500,"&gt;=105500")&gt;0,"X","")</f>
      </c>
      <c r="C39" s="56" t="str">
        <f>IF(COUNTIFS('LANÇAMENTOS DIÁRIOS'!$G$5:$G$500,"E",'LANÇAMENTOS DIÁRIOS'!$C$5:$C$500,$A39,'LANÇAMENTOS DIÁRIOS'!$O$5:$O$500,"&lt;=105699",'LANÇAMENTOS DIÁRIOS'!$P$5:$P$500,"&gt;=105600")&gt;0,"X","")</f>
      </c>
      <c r="D39" s="56" t="str">
        <f>IF(COUNTIFS('LANÇAMENTOS DIÁRIOS'!$G$5:$G$500,"E",'LANÇAMENTOS DIÁRIOS'!$C$5:$C$500,$A39,'LANÇAMENTOS DIÁRIOS'!$O$5:$O$500,"&lt;=105799",'LANÇAMENTOS DIÁRIOS'!$P$5:$P$500,"&gt;=105700")&gt;0,"X","")</f>
      </c>
      <c r="E39" s="56" t="str">
        <f>IF(COUNTIFS('LANÇAMENTOS DIÁRIOS'!$G$5:$G$500,"E",'LANÇAMENTOS DIÁRIOS'!$C$5:$C$500,$A39,'LANÇAMENTOS DIÁRIOS'!$O$5:$O$500,"&lt;=105899",'LANÇAMENTOS DIÁRIOS'!$P$5:$P$500,"&gt;=105800")&gt;0,"X","")</f>
      </c>
      <c r="F39" s="56" t="str">
        <f>IF(COUNTIFS('LANÇAMENTOS DIÁRIOS'!$G$5:$G$500,"E",'LANÇAMENTOS DIÁRIOS'!$C$5:$C$500,$A39,'LANÇAMENTOS DIÁRIOS'!$O$5:$O$500,"&lt;=105999",'LANÇAMENTOS DIÁRIOS'!$P$5:$P$500,"&gt;=105900")&gt;0,"X","")</f>
      </c>
      <c r="G39" s="56" t="str">
        <f>IF(COUNTIFS('LANÇAMENTOS DIÁRIOS'!$G$5:$G$500,"E",'LANÇAMENTOS DIÁRIOS'!$C$5:$C$500,$A39,'LANÇAMENTOS DIÁRIOS'!$O$5:$O$500,"&lt;=106099",'LANÇAMENTOS DIÁRIOS'!$P$5:$P$500,"&gt;=106000")&gt;0,"X","")</f>
      </c>
      <c r="H39" s="56" t="str">
        <f>IF(COUNTIFS('LANÇAMENTOS DIÁRIOS'!$G$5:$G$500,"E",'LANÇAMENTOS DIÁRIOS'!$C$5:$C$500,$A39,'LANÇAMENTOS DIÁRIOS'!$O$5:$O$500,"&lt;=106199",'LANÇAMENTOS DIÁRIOS'!$P$5:$P$500,"&gt;=106100")&gt;0,"X","")</f>
      </c>
      <c r="I39" s="56" t="str">
        <f>IF(COUNTIFS('LANÇAMENTOS DIÁRIOS'!$G$5:$G$500,"E",'LANÇAMENTOS DIÁRIOS'!$C$5:$C$500,$A39,'LANÇAMENTOS DIÁRIOS'!$O$5:$O$500,"&lt;=106299",'LANÇAMENTOS DIÁRIOS'!$P$5:$P$500,"&gt;=106200")&gt;0,"X","")</f>
      </c>
      <c r="J39" s="56" t="str">
        <f>IF(COUNTIFS('LANÇAMENTOS DIÁRIOS'!$G$5:$G$500,"E",'LANÇAMENTOS DIÁRIOS'!$C$5:$C$500,$A39,'LANÇAMENTOS DIÁRIOS'!$O$5:$O$500,"&lt;=106399",'LANÇAMENTOS DIÁRIOS'!$P$5:$P$500,"&gt;=106300")&gt;0,"X","")</f>
      </c>
      <c r="K39" s="56" t="str">
        <f>IF(COUNTIFS('LANÇAMENTOS DIÁRIOS'!$G$5:$G$500,"E",'LANÇAMENTOS DIÁRIOS'!$C$5:$C$500,$A39,'LANÇAMENTOS DIÁRIOS'!$O$5:$O$500,"&lt;=106499",'LANÇAMENTOS DIÁRIOS'!$P$5:$P$500,"&gt;=106400")&gt;0,"X","")</f>
      </c>
      <c r="L39" s="56" t="str">
        <f>IF(COUNTIFS('LANÇAMENTOS DIÁRIOS'!$G$5:$G$500,"E",'LANÇAMENTOS DIÁRIOS'!$C$5:$C$500,$A39,'LANÇAMENTOS DIÁRIOS'!$O$5:$O$500,"&lt;=106599",'LANÇAMENTOS DIÁRIOS'!$P$5:$P$500,"&gt;=106500")&gt;0,"X","")</f>
      </c>
      <c r="M39" s="56" t="str">
        <f>IF(COUNTIFS('LANÇAMENTOS DIÁRIOS'!$G$5:$G$500,"E",'LANÇAMENTOS DIÁRIOS'!$C$5:$C$500,$A39,'LANÇAMENTOS DIÁRIOS'!$O$5:$O$500,"&lt;=106699",'LANÇAMENTOS DIÁRIOS'!$P$5:$P$500,"&gt;=106600")&gt;0,"X","")</f>
      </c>
      <c r="N39" s="56" t="str">
        <f>IF(COUNTIFS('LANÇAMENTOS DIÁRIOS'!$G$5:$G$500,"E",'LANÇAMENTOS DIÁRIOS'!$C$5:$C$500,$A39,'LANÇAMENTOS DIÁRIOS'!$O$5:$O$500,"&lt;=106799",'LANÇAMENTOS DIÁRIOS'!$P$5:$P$500,"&gt;=106700")&gt;0,"X","")</f>
      </c>
      <c r="O39" s="56" t="str">
        <f>IF(COUNTIFS('LANÇAMENTOS DIÁRIOS'!$G$5:$G$500,"E",'LANÇAMENTOS DIÁRIOS'!$C$5:$C$500,$A39,'LANÇAMENTOS DIÁRIOS'!$O$5:$O$500,"&lt;=106899",'LANÇAMENTOS DIÁRIOS'!$P$5:$P$500,"&gt;=106800")&gt;0,"X","")</f>
      </c>
      <c r="P39" s="56" t="str">
        <f>IF(COUNTIFS('LANÇAMENTOS DIÁRIOS'!$G$5:$G$500,"E",'LANÇAMENTOS DIÁRIOS'!$C$5:$C$500,$A39,'LANÇAMENTOS DIÁRIOS'!$O$5:$O$500,"&lt;=106999",'LANÇAMENTOS DIÁRIOS'!$P$5:$P$500,"&gt;=106900")&gt;0,"X","")</f>
      </c>
      <c r="Q39" s="56" t="str">
        <f>IF(COUNTIFS('LANÇAMENTOS DIÁRIOS'!$G$5:$G$500,"E",'LANÇAMENTOS DIÁRIOS'!$C$5:$C$500,$A39,'LANÇAMENTOS DIÁRIOS'!$O$5:$O$500,"&lt;=107099",'LANÇAMENTOS DIÁRIOS'!$P$5:$P$500,"&gt;=107000")&gt;0,"X","")</f>
      </c>
      <c r="R39" s="56" t="str">
        <f>IF(COUNTIFS('LANÇAMENTOS DIÁRIOS'!$G$5:$G$500,"E",'LANÇAMENTOS DIÁRIOS'!$C$5:$C$500,$A39,'LANÇAMENTOS DIÁRIOS'!$O$5:$O$500,"&lt;=107199",'LANÇAMENTOS DIÁRIOS'!$P$5:$P$500,"&gt;=107100")&gt;0,"X","")</f>
      </c>
      <c r="S39" s="56" t="str">
        <f>IF(COUNTIFS('LANÇAMENTOS DIÁRIOS'!$G$5:$G$500,"E",'LANÇAMENTOS DIÁRIOS'!$C$5:$C$500,$A39,'LANÇAMENTOS DIÁRIOS'!$O$5:$O$500,"&lt;=107299",'LANÇAMENTOS DIÁRIOS'!$P$5:$P$500,"&gt;=107200")&gt;0,"X","")</f>
      </c>
      <c r="T39" s="56" t="str">
        <f>IF(COUNTIFS('LANÇAMENTOS DIÁRIOS'!$G$5:$G$500,"E",'LANÇAMENTOS DIÁRIOS'!$C$5:$C$500,$A39,'LANÇAMENTOS DIÁRIOS'!$O$5:$O$500,"&lt;=107399",'LANÇAMENTOS DIÁRIOS'!$P$5:$P$500,"&gt;=107300")&gt;0,"X","")</f>
      </c>
      <c r="U39" s="56" t="str">
        <f>IF(COUNTIFS('LANÇAMENTOS DIÁRIOS'!$G$5:$G$500,"E",'LANÇAMENTOS DIÁRIOS'!$C$5:$C$500,$A39,'LANÇAMENTOS DIÁRIOS'!$O$5:$O$500,"&lt;=107499",'LANÇAMENTOS DIÁRIOS'!$P$5:$P$500,"&gt;=107400")&gt;0,"X","")</f>
      </c>
      <c r="V39" s="56" t="str">
        <f>IF(COUNTIFS('LANÇAMENTOS DIÁRIOS'!$G$5:$G$500,"E",'LANÇAMENTOS DIÁRIOS'!$C$5:$C$500,$A39,'LANÇAMENTOS DIÁRIOS'!$O$5:$O$500,"&lt;=107599",'LANÇAMENTOS DIÁRIOS'!$P$5:$P$500,"&gt;=107500")&gt;0,"X","")</f>
      </c>
      <c r="W39" s="56" t="str">
        <f>IF(COUNTIFS('LANÇAMENTOS DIÁRIOS'!$G$5:$G$500,"E",'LANÇAMENTOS DIÁRIOS'!$C$5:$C$500,$A39,'LANÇAMENTOS DIÁRIOS'!$O$5:$O$500,"&lt;=107699",'LANÇAMENTOS DIÁRIOS'!$P$5:$P$500,"&gt;=107600")&gt;0,"X","")</f>
      </c>
      <c r="X39" s="56" t="str">
        <f>IF(COUNTIFS('LANÇAMENTOS DIÁRIOS'!$G$5:$G$500,"E",'LANÇAMENTOS DIÁRIOS'!$C$5:$C$500,$A39,'LANÇAMENTOS DIÁRIOS'!$O$5:$O$500,"&lt;=107799",'LANÇAMENTOS DIÁRIOS'!$P$5:$P$500,"&gt;=107700")&gt;0,"X","")</f>
      </c>
      <c r="Y39" s="56" t="str">
        <f>IF(COUNTIFS('LANÇAMENTOS DIÁRIOS'!$G$5:$G$500,"E",'LANÇAMENTOS DIÁRIOS'!$C$5:$C$500,$A39,'LANÇAMENTOS DIÁRIOS'!$O$5:$O$500,"&lt;=107899",'LANÇAMENTOS DIÁRIOS'!$P$5:$P$500,"&gt;=107800")&gt;0,"X","")</f>
      </c>
      <c r="Z39" s="56" t="str">
        <f>IF(COUNTIFS('LANÇAMENTOS DIÁRIOS'!$G$5:$G$500,"E",'LANÇAMENTOS DIÁRIOS'!$C$5:$C$500,$A39,'LANÇAMENTOS DIÁRIOS'!$O$5:$O$500,"&lt;=107999",'LANÇAMENTOS DIÁRIOS'!$P$5:$P$500,"&gt;=107900")&gt;0,"X","")</f>
      </c>
      <c r="AA39" s="56" t="str">
        <f>IF(COUNTIFS('LANÇAMENTOS DIÁRIOS'!$G$5:$G$500,"E",'LANÇAMENTOS DIÁRIOS'!$C$5:$C$500,$A39,'LANÇAMENTOS DIÁRIOS'!$O$5:$O$500,"&lt;=108099",'LANÇAMENTOS DIÁRIOS'!$P$5:$P$500,"&gt;=108000")&gt;0,"X","")</f>
      </c>
      <c r="AB39" s="56" t="str">
        <f>IF(COUNTIFS('LANÇAMENTOS DIÁRIOS'!$G$5:$G$500,"E",'LANÇAMENTOS DIÁRIOS'!$C$5:$C$500,$A39,'LANÇAMENTOS DIÁRIOS'!$O$5:$O$500,"&lt;=108199",'LANÇAMENTOS DIÁRIOS'!$P$5:$P$500,"&gt;=108100")&gt;0,"X","")</f>
      </c>
      <c r="AC39" s="56" t="str">
        <f>IF(COUNTIFS('LANÇAMENTOS DIÁRIOS'!$G$5:$G$500,"E",'LANÇAMENTOS DIÁRIOS'!$C$5:$C$500,$A39,'LANÇAMENTOS DIÁRIOS'!$O$5:$O$500,"&lt;=108299",'LANÇAMENTOS DIÁRIOS'!$P$5:$P$500,"&gt;=108200")&gt;0,"X","")</f>
      </c>
      <c r="AD39" s="56" t="str">
        <f>IF(COUNTIFS('LANÇAMENTOS DIÁRIOS'!$G$5:$G$500,"E",'LANÇAMENTOS DIÁRIOS'!$C$5:$C$500,$A39,'LANÇAMENTOS DIÁRIOS'!$O$5:$O$500,"&lt;=108399",'LANÇAMENTOS DIÁRIOS'!$P$5:$P$500,"&gt;=108300")&gt;0,"X","")</f>
      </c>
      <c r="AE39" s="56" t="str">
        <f>IF(COUNTIFS('LANÇAMENTOS DIÁRIOS'!$G$5:$G$500,"E",'LANÇAMENTOS DIÁRIOS'!$C$5:$C$500,$A39,'LANÇAMENTOS DIÁRIOS'!$O$5:$O$500,"&lt;=108499",'LANÇAMENTOS DIÁRIOS'!$P$5:$P$500,"&gt;=108400")&gt;0,"X","")</f>
      </c>
      <c r="AF39" s="56" t="str">
        <f>IF(COUNTIFS('LANÇAMENTOS DIÁRIOS'!$G$5:$G$500,"E",'LANÇAMENTOS DIÁRIOS'!$C$5:$C$500,$A39,'LANÇAMENTOS DIÁRIOS'!$O$5:$O$500,"&lt;=108599",'LANÇAMENTOS DIÁRIOS'!$P$5:$P$500,"&gt;=108500")&gt;0,"X","")</f>
      </c>
      <c r="AG39" s="56" t="str">
        <f>IF(COUNTIFS('LANÇAMENTOS DIÁRIOS'!$G$5:$G$500,"E",'LANÇAMENTOS DIÁRIOS'!$C$5:$C$500,$A39,'LANÇAMENTOS DIÁRIOS'!$O$5:$O$500,"&lt;=108699",'LANÇAMENTOS DIÁRIOS'!$P$5:$P$500,"&gt;=108600")&gt;0,"X","")</f>
      </c>
      <c r="AH39" s="56" t="str">
        <f>IF(COUNTIFS('LANÇAMENTOS DIÁRIOS'!$G$5:$G$500,"E",'LANÇAMENTOS DIÁRIOS'!$C$5:$C$500,$A39,'LANÇAMENTOS DIÁRIOS'!$O$5:$O$500,"&lt;=108799",'LANÇAMENTOS DIÁRIOS'!$P$5:$P$500,"&gt;=108700")&gt;0,"X","")</f>
      </c>
      <c r="AI39" s="56" t="str">
        <f>IF(COUNTIFS('LANÇAMENTOS DIÁRIOS'!$G$5:$G$500,"E",'LANÇAMENTOS DIÁRIOS'!$C$5:$C$500,$A39,'LANÇAMENTOS DIÁRIOS'!$O$5:$O$500,"&lt;=108899",'LANÇAMENTOS DIÁRIOS'!$P$5:$P$500,"&gt;=108800")&gt;0,"X","")</f>
      </c>
      <c r="AJ39" s="56" t="str">
        <f>IF(COUNTIFS('LANÇAMENTOS DIÁRIOS'!$G$5:$G$500,"E",'LANÇAMENTOS DIÁRIOS'!$C$5:$C$500,$A39,'LANÇAMENTOS DIÁRIOS'!$O$5:$O$500,"&lt;=108999",'LANÇAMENTOS DIÁRIOS'!$P$5:$P$500,"&gt;=108900")&gt;0,"X","")</f>
      </c>
      <c r="AK39" s="56" t="str">
        <f>IF(COUNTIFS('LANÇAMENTOS DIÁRIOS'!$G$5:$G$500,"E",'LANÇAMENTOS DIÁRIOS'!$C$5:$C$500,$A39,'LANÇAMENTOS DIÁRIOS'!$O$5:$O$500,"&lt;=109099",'LANÇAMENTOS DIÁRIOS'!$P$5:$P$500,"&gt;=109000")&gt;0,"X","")</f>
      </c>
      <c r="AL39" s="56" t="str">
        <f>IF(COUNTIFS('LANÇAMENTOS DIÁRIOS'!$G$5:$G$500,"E",'LANÇAMENTOS DIÁRIOS'!$C$5:$C$500,$A39,'LANÇAMENTOS DIÁRIOS'!$O$5:$O$500,"&lt;=109199",'LANÇAMENTOS DIÁRIOS'!$P$5:$P$500,"&gt;=109100")&gt;0,"X","")</f>
      </c>
      <c r="AM39" s="56" t="str">
        <f>IF(COUNTIFS('LANÇAMENTOS DIÁRIOS'!$G$5:$G$500,"E",'LANÇAMENTOS DIÁRIOS'!$C$5:$C$500,$A39,'LANÇAMENTOS DIÁRIOS'!$O$5:$O$500,"&lt;=109299",'LANÇAMENTOS DIÁRIOS'!$P$5:$P$500,"&gt;=109200")&gt;0,"X","")</f>
      </c>
      <c r="AN39" s="56" t="str">
        <f>IF(COUNTIFS('LANÇAMENTOS DIÁRIOS'!$G$5:$G$500,"E",'LANÇAMENTOS DIÁRIOS'!$C$5:$C$500,$A39,'LANÇAMENTOS DIÁRIOS'!$O$5:$O$500,"&lt;=109399",'LANÇAMENTOS DIÁRIOS'!$P$5:$P$500,"&gt;=109300")&gt;0,"X","")</f>
      </c>
      <c r="AO39" s="56" t="str">
        <f>IF(COUNTIFS('LANÇAMENTOS DIÁRIOS'!$G$5:$G$500,"E",'LANÇAMENTOS DIÁRIOS'!$C$5:$C$500,$A39,'LANÇAMENTOS DIÁRIOS'!$O$5:$O$500,"&lt;=109499",'LANÇAMENTOS DIÁRIOS'!$P$5:$P$500,"&gt;=109400")&gt;0,"X","")</f>
      </c>
      <c r="AP39" s="56" t="str">
        <f>IF(COUNTIFS('LANÇAMENTOS DIÁRIOS'!$G$5:$G$500,"E",'LANÇAMENTOS DIÁRIOS'!$C$5:$C$500,$A39,'LANÇAMENTOS DIÁRIOS'!$O$5:$O$500,"&lt;=109599",'LANÇAMENTOS DIÁRIOS'!$P$5:$P$500,"&gt;=109500")&gt;0,"X","")</f>
      </c>
      <c r="AQ39" s="56" t="str">
        <f>IF(COUNTIFS('LANÇAMENTOS DIÁRIOS'!$G$5:$G$500,"E",'LANÇAMENTOS DIÁRIOS'!$C$5:$C$500,$A39,'LANÇAMENTOS DIÁRIOS'!$O$5:$O$500,"&lt;=109699",'LANÇAMENTOS DIÁRIOS'!$P$5:$P$500,"&gt;=109600")&gt;0,"X","")</f>
      </c>
      <c r="AR39" s="56" t="str">
        <f>IF(COUNTIFS('LANÇAMENTOS DIÁRIOS'!$G$5:$G$500,"E",'LANÇAMENTOS DIÁRIOS'!$C$5:$C$500,$A39,'LANÇAMENTOS DIÁRIOS'!$O$5:$O$500,"&lt;=109799",'LANÇAMENTOS DIÁRIOS'!$P$5:$P$500,"&gt;=109700")&gt;0,"X","")</f>
      </c>
      <c r="AS39" s="56" t="str">
        <f>IF(COUNTIFS('LANÇAMENTOS DIÁRIOS'!$G$5:$G$500,"E",'LANÇAMENTOS DIÁRIOS'!$C$5:$C$500,$A39,'LANÇAMENTOS DIÁRIOS'!$O$5:$O$500,"&lt;=109899",'LANÇAMENTOS DIÁRIOS'!$P$5:$P$500,"&gt;=109800")&gt;0,"X","")</f>
      </c>
      <c r="AT39" s="56" t="str">
        <f>IF(COUNTIFS('LANÇAMENTOS DIÁRIOS'!$G$5:$G$500,"E",'LANÇAMENTOS DIÁRIOS'!$C$5:$C$500,$A39,'LANÇAMENTOS DIÁRIOS'!$O$5:$O$500,"&lt;=109999",'LANÇAMENTOS DIÁRIOS'!$P$5:$P$500,"&gt;=109900")&gt;0,"X","")</f>
      </c>
      <c r="AU39" s="56" t="str">
        <f>IF(COUNTIFS('LANÇAMENTOS DIÁRIOS'!$G$5:$G$500,"E",'LANÇAMENTOS DIÁRIOS'!$C$5:$C$500,$A39,'LANÇAMENTOS DIÁRIOS'!$O$5:$O$500,"&lt;=110099",'LANÇAMENTOS DIÁRIOS'!$P$5:$P$500,"&gt;=110000")&gt;0,"X","")</f>
      </c>
      <c r="AV39" s="56" t="str">
        <f>IF(COUNTIFS('LANÇAMENTOS DIÁRIOS'!$G$5:$G$500,"E",'LANÇAMENTOS DIÁRIOS'!$C$5:$C$500,$A39,'LANÇAMENTOS DIÁRIOS'!$O$5:$O$500,"&lt;=110199",'LANÇAMENTOS DIÁRIOS'!$P$5:$P$500,"&gt;=110100")&gt;0,"X","")</f>
      </c>
      <c r="AW39" s="56" t="str">
        <f>IF(COUNTIFS('LANÇAMENTOS DIÁRIOS'!$G$5:$G$500,"E",'LANÇAMENTOS DIÁRIOS'!$C$5:$C$500,$A39,'LANÇAMENTOS DIÁRIOS'!$O$5:$O$500,"&lt;=110299",'LANÇAMENTOS DIÁRIOS'!$P$5:$P$500,"&gt;=110200")&gt;0,"X","")</f>
      </c>
      <c r="AX39" s="56" t="str">
        <f>IF(COUNTIFS('LANÇAMENTOS DIÁRIOS'!$G$5:$G$500,"E",'LANÇAMENTOS DIÁRIOS'!$C$5:$C$500,$A39,'LANÇAMENTOS DIÁRIOS'!$O$5:$O$500,"&lt;=110399",'LANÇAMENTOS DIÁRIOS'!$P$5:$P$500,"&gt;=110300")&gt;0,"X","")</f>
      </c>
      <c r="AY39" s="56" t="str">
        <f>IF(COUNTIFS('LANÇAMENTOS DIÁRIOS'!$G$5:$G$500,"E",'LANÇAMENTOS DIÁRIOS'!$C$5:$C$500,$A39,'LANÇAMENTOS DIÁRIOS'!$O$5:$O$500,"&lt;=110499",'LANÇAMENTOS DIÁRIOS'!$P$5:$P$500,"&gt;=110400")&gt;0,"X","")</f>
      </c>
      <c r="AZ39" s="56" t="str">
        <f>IF(COUNTIFS('LANÇAMENTOS DIÁRIOS'!$G$5:$G$500,"E",'LANÇAMENTOS DIÁRIOS'!$C$5:$C$500,$A39,'LANÇAMENTOS DIÁRIOS'!$O$5:$O$500,"&lt;=110599",'LANÇAMENTOS DIÁRIOS'!$P$5:$P$500,"&gt;=110500")&gt;0,"X","")</f>
      </c>
      <c r="BA39" s="56" t="str">
        <f>IF(COUNTIFS('LANÇAMENTOS DIÁRIOS'!$G$5:$G$500,"E",'LANÇAMENTOS DIÁRIOS'!$C$5:$C$500,$A39,'LANÇAMENTOS DIÁRIOS'!$O$5:$O$500,"&lt;=110699",'LANÇAMENTOS DIÁRIOS'!$P$5:$P$500,"&gt;=110600")&gt;0,"X","")</f>
      </c>
      <c r="BB39" s="56" t="str">
        <f>IF(COUNTIFS('LANÇAMENTOS DIÁRIOS'!$G$5:$G$500,"E",'LANÇAMENTOS DIÁRIOS'!$C$5:$C$500,$A39,'LANÇAMENTOS DIÁRIOS'!$O$5:$O$500,"&lt;=110799",'LANÇAMENTOS DIÁRIOS'!$P$5:$P$500,"&gt;=110700")&gt;0,"X","")</f>
      </c>
      <c r="BC39" s="56" t="str">
        <f>IF(COUNTIFS('LANÇAMENTOS DIÁRIOS'!$G$5:$G$500,"E",'LANÇAMENTOS DIÁRIOS'!$C$5:$C$500,$A39,'LANÇAMENTOS DIÁRIOS'!$O$5:$O$500,"&lt;=110899",'LANÇAMENTOS DIÁRIOS'!$P$5:$P$500,"&gt;=110800")&gt;0,"X","")</f>
      </c>
      <c r="BD39" s="56" t="str">
        <f>IF(COUNTIFS('LANÇAMENTOS DIÁRIOS'!$G$5:$G$500,"E",'LANÇAMENTOS DIÁRIOS'!$C$5:$C$500,$A39,'LANÇAMENTOS DIÁRIOS'!$O$5:$O$500,"&lt;=110999",'LANÇAMENTOS DIÁRIOS'!$P$5:$P$500,"&gt;=110900")&gt;0,"X","")</f>
      </c>
      <c r="BE39" s="56" t="str">
        <f>IF(COUNTIFS('LANÇAMENTOS DIÁRIOS'!$G$5:$G$500,"E",'LANÇAMENTOS DIÁRIOS'!$C$5:$C$500,$A39,'LANÇAMENTOS DIÁRIOS'!$O$5:$O$500,"&lt;=111099",'LANÇAMENTOS DIÁRIOS'!$P$5:$P$500,"&gt;=111000")&gt;0,"X","")</f>
      </c>
      <c r="BF39" s="56" t="str">
        <f>IF(COUNTIFS('LANÇAMENTOS DIÁRIOS'!$G$5:$G$500,"E",'LANÇAMENTOS DIÁRIOS'!$C$5:$C$500,$A39,'LANÇAMENTOS DIÁRIOS'!$O$5:$O$500,"&lt;=111199",'LANÇAMENTOS DIÁRIOS'!$P$5:$P$500,"&gt;=111100")&gt;0,"X","")</f>
      </c>
      <c r="BG39" s="56" t="str">
        <f>IF(COUNTIFS('LANÇAMENTOS DIÁRIOS'!$G$5:$G$500,"E",'LANÇAMENTOS DIÁRIOS'!$C$5:$C$500,$A39,'LANÇAMENTOS DIÁRIOS'!$O$5:$O$500,"&lt;=111299",'LANÇAMENTOS DIÁRIOS'!$P$5:$P$500,"&gt;=111200")&gt;0,"X","")</f>
      </c>
      <c r="BH39" s="56" t="str">
        <f>IF(COUNTIFS('LANÇAMENTOS DIÁRIOS'!$G$5:$G$500,"E",'LANÇAMENTOS DIÁRIOS'!$C$5:$C$500,$A39,'LANÇAMENTOS DIÁRIOS'!$O$5:$O$500,"&lt;=111399",'LANÇAMENTOS DIÁRIOS'!$P$5:$P$500,"&gt;=111300")&gt;0,"X","")</f>
      </c>
      <c r="BI39" s="56" t="str">
        <f>IF(COUNTIFS('LANÇAMENTOS DIÁRIOS'!$G$5:$G$500,"E",'LANÇAMENTOS DIÁRIOS'!$C$5:$C$500,$A39,'LANÇAMENTOS DIÁRIOS'!$O$5:$O$500,"&lt;=111499",'LANÇAMENTOS DIÁRIOS'!$P$5:$P$500,"&gt;=111400")&gt;0,"X","")</f>
      </c>
      <c r="BJ39" s="56" t="str">
        <f>IF(COUNTIFS('LANÇAMENTOS DIÁRIOS'!$G$5:$G$500,"E",'LANÇAMENTOS DIÁRIOS'!$C$5:$C$500,$A39,'LANÇAMENTOS DIÁRIOS'!$O$5:$O$500,"&lt;=111500",'LANÇAMENTOS DIÁRIOS'!$P$5:$P$500,"&gt;=111500")&gt;0,"X","")</f>
      </c>
    </row>
    <row r="40" ht="19" customHeight="1">
      <c r="A40" s="68" t="str">
        <v>Corte em solo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</row>
    <row r="41">
      <c r="A41" s="51" t="str">
        <v>Escavação de material de 1ª e 2ª categoria - Sem transporte</v>
      </c>
      <c r="B41" s="56" t="str">
        <f>IF(COUNTIFS('LANÇAMENTOS DIÁRIOS'!$G$5:$G$500,"E",'LANÇAMENTOS DIÁRIOS'!$C$5:$C$500,$A41,'LANÇAMENTOS DIÁRIOS'!$O$5:$O$500,"&lt;=105599",'LANÇAMENTOS DIÁRIOS'!$P$5:$P$500,"&gt;=105500")&gt;0,"X","")</f>
      </c>
      <c r="C41" s="56" t="str">
        <f>IF(COUNTIFS('LANÇAMENTOS DIÁRIOS'!$G$5:$G$500,"E",'LANÇAMENTOS DIÁRIOS'!$C$5:$C$500,$A41,'LANÇAMENTOS DIÁRIOS'!$O$5:$O$500,"&lt;=105699",'LANÇAMENTOS DIÁRIOS'!$P$5:$P$500,"&gt;=105600")&gt;0,"X","")</f>
      </c>
      <c r="D41" s="56" t="str">
        <f>IF(COUNTIFS('LANÇAMENTOS DIÁRIOS'!$G$5:$G$500,"E",'LANÇAMENTOS DIÁRIOS'!$C$5:$C$500,$A41,'LANÇAMENTOS DIÁRIOS'!$O$5:$O$500,"&lt;=105799",'LANÇAMENTOS DIÁRIOS'!$P$5:$P$500,"&gt;=105700")&gt;0,"X","")</f>
      </c>
      <c r="E41" s="56" t="str">
        <f>IF(COUNTIFS('LANÇAMENTOS DIÁRIOS'!$G$5:$G$500,"E",'LANÇAMENTOS DIÁRIOS'!$C$5:$C$500,$A41,'LANÇAMENTOS DIÁRIOS'!$O$5:$O$500,"&lt;=105899",'LANÇAMENTOS DIÁRIOS'!$P$5:$P$500,"&gt;=105800")&gt;0,"X","")</f>
      </c>
      <c r="F41" s="56" t="str">
        <f>IF(COUNTIFS('LANÇAMENTOS DIÁRIOS'!$G$5:$G$500,"E",'LANÇAMENTOS DIÁRIOS'!$C$5:$C$500,$A41,'LANÇAMENTOS DIÁRIOS'!$O$5:$O$500,"&lt;=105999",'LANÇAMENTOS DIÁRIOS'!$P$5:$P$500,"&gt;=105900")&gt;0,"X","")</f>
      </c>
      <c r="G41" s="56" t="str">
        <f>IF(COUNTIFS('LANÇAMENTOS DIÁRIOS'!$G$5:$G$500,"E",'LANÇAMENTOS DIÁRIOS'!$C$5:$C$500,$A41,'LANÇAMENTOS DIÁRIOS'!$O$5:$O$500,"&lt;=106099",'LANÇAMENTOS DIÁRIOS'!$P$5:$P$500,"&gt;=106000")&gt;0,"X","")</f>
      </c>
      <c r="H41" s="56" t="str">
        <f>IF(COUNTIFS('LANÇAMENTOS DIÁRIOS'!$G$5:$G$500,"E",'LANÇAMENTOS DIÁRIOS'!$C$5:$C$500,$A41,'LANÇAMENTOS DIÁRIOS'!$O$5:$O$500,"&lt;=106199",'LANÇAMENTOS DIÁRIOS'!$P$5:$P$500,"&gt;=106100")&gt;0,"X","")</f>
      </c>
      <c r="I41" s="56" t="str">
        <f>IF(COUNTIFS('LANÇAMENTOS DIÁRIOS'!$G$5:$G$500,"E",'LANÇAMENTOS DIÁRIOS'!$C$5:$C$500,$A41,'LANÇAMENTOS DIÁRIOS'!$O$5:$O$500,"&lt;=106299",'LANÇAMENTOS DIÁRIOS'!$P$5:$P$500,"&gt;=106200")&gt;0,"X","")</f>
      </c>
      <c r="J41" s="56" t="str">
        <f>IF(COUNTIFS('LANÇAMENTOS DIÁRIOS'!$G$5:$G$500,"E",'LANÇAMENTOS DIÁRIOS'!$C$5:$C$500,$A41,'LANÇAMENTOS DIÁRIOS'!$O$5:$O$500,"&lt;=106399",'LANÇAMENTOS DIÁRIOS'!$P$5:$P$500,"&gt;=106300")&gt;0,"X","")</f>
      </c>
      <c r="K41" s="56" t="str">
        <f>IF(COUNTIFS('LANÇAMENTOS DIÁRIOS'!$G$5:$G$500,"E",'LANÇAMENTOS DIÁRIOS'!$C$5:$C$500,$A41,'LANÇAMENTOS DIÁRIOS'!$O$5:$O$500,"&lt;=106499",'LANÇAMENTOS DIÁRIOS'!$P$5:$P$500,"&gt;=106400")&gt;0,"X","")</f>
      </c>
      <c r="L41" s="56" t="str">
        <f>IF(COUNTIFS('LANÇAMENTOS DIÁRIOS'!$G$5:$G$500,"E",'LANÇAMENTOS DIÁRIOS'!$C$5:$C$500,$A41,'LANÇAMENTOS DIÁRIOS'!$O$5:$O$500,"&lt;=106599",'LANÇAMENTOS DIÁRIOS'!$P$5:$P$500,"&gt;=106500")&gt;0,"X","")</f>
      </c>
      <c r="M41" s="56" t="str">
        <f>IF(COUNTIFS('LANÇAMENTOS DIÁRIOS'!$G$5:$G$500,"E",'LANÇAMENTOS DIÁRIOS'!$C$5:$C$500,$A41,'LANÇAMENTOS DIÁRIOS'!$O$5:$O$500,"&lt;=106699",'LANÇAMENTOS DIÁRIOS'!$P$5:$P$500,"&gt;=106600")&gt;0,"X","")</f>
      </c>
      <c r="N41" s="56" t="str">
        <f>IF(COUNTIFS('LANÇAMENTOS DIÁRIOS'!$G$5:$G$500,"E",'LANÇAMENTOS DIÁRIOS'!$C$5:$C$500,$A41,'LANÇAMENTOS DIÁRIOS'!$O$5:$O$500,"&lt;=106799",'LANÇAMENTOS DIÁRIOS'!$P$5:$P$500,"&gt;=106700")&gt;0,"X","")</f>
      </c>
      <c r="O41" s="56" t="str">
        <f>IF(COUNTIFS('LANÇAMENTOS DIÁRIOS'!$G$5:$G$500,"E",'LANÇAMENTOS DIÁRIOS'!$C$5:$C$500,$A41,'LANÇAMENTOS DIÁRIOS'!$O$5:$O$500,"&lt;=106899",'LANÇAMENTOS DIÁRIOS'!$P$5:$P$500,"&gt;=106800")&gt;0,"X","")</f>
      </c>
      <c r="P41" s="56" t="str">
        <f>IF(COUNTIFS('LANÇAMENTOS DIÁRIOS'!$G$5:$G$500,"E",'LANÇAMENTOS DIÁRIOS'!$C$5:$C$500,$A41,'LANÇAMENTOS DIÁRIOS'!$O$5:$O$500,"&lt;=106999",'LANÇAMENTOS DIÁRIOS'!$P$5:$P$500,"&gt;=106900")&gt;0,"X","")</f>
      </c>
      <c r="Q41" s="56" t="str">
        <f>IF(COUNTIFS('LANÇAMENTOS DIÁRIOS'!$G$5:$G$500,"E",'LANÇAMENTOS DIÁRIOS'!$C$5:$C$500,$A41,'LANÇAMENTOS DIÁRIOS'!$O$5:$O$500,"&lt;=107099",'LANÇAMENTOS DIÁRIOS'!$P$5:$P$500,"&gt;=107000")&gt;0,"X","")</f>
      </c>
      <c r="R41" s="56" t="str">
        <f>IF(COUNTIFS('LANÇAMENTOS DIÁRIOS'!$G$5:$G$500,"E",'LANÇAMENTOS DIÁRIOS'!$C$5:$C$500,$A41,'LANÇAMENTOS DIÁRIOS'!$O$5:$O$500,"&lt;=107199",'LANÇAMENTOS DIÁRIOS'!$P$5:$P$500,"&gt;=107100")&gt;0,"X","")</f>
      </c>
      <c r="S41" s="56" t="str">
        <f>IF(COUNTIFS('LANÇAMENTOS DIÁRIOS'!$G$5:$G$500,"E",'LANÇAMENTOS DIÁRIOS'!$C$5:$C$500,$A41,'LANÇAMENTOS DIÁRIOS'!$O$5:$O$500,"&lt;=107299",'LANÇAMENTOS DIÁRIOS'!$P$5:$P$500,"&gt;=107200")&gt;0,"X","")</f>
      </c>
      <c r="T41" s="56" t="str">
        <f>IF(COUNTIFS('LANÇAMENTOS DIÁRIOS'!$G$5:$G$500,"E",'LANÇAMENTOS DIÁRIOS'!$C$5:$C$500,$A41,'LANÇAMENTOS DIÁRIOS'!$O$5:$O$500,"&lt;=107399",'LANÇAMENTOS DIÁRIOS'!$P$5:$P$500,"&gt;=107300")&gt;0,"X","")</f>
      </c>
      <c r="U41" s="56" t="str">
        <f>IF(COUNTIFS('LANÇAMENTOS DIÁRIOS'!$G$5:$G$500,"E",'LANÇAMENTOS DIÁRIOS'!$C$5:$C$500,$A41,'LANÇAMENTOS DIÁRIOS'!$O$5:$O$500,"&lt;=107499",'LANÇAMENTOS DIÁRIOS'!$P$5:$P$500,"&gt;=107400")&gt;0,"X","")</f>
      </c>
      <c r="V41" s="56" t="str">
        <f>IF(COUNTIFS('LANÇAMENTOS DIÁRIOS'!$G$5:$G$500,"E",'LANÇAMENTOS DIÁRIOS'!$C$5:$C$500,$A41,'LANÇAMENTOS DIÁRIOS'!$O$5:$O$500,"&lt;=107599",'LANÇAMENTOS DIÁRIOS'!$P$5:$P$500,"&gt;=107500")&gt;0,"X","")</f>
      </c>
      <c r="W41" s="56" t="str">
        <f>IF(COUNTIFS('LANÇAMENTOS DIÁRIOS'!$G$5:$G$500,"E",'LANÇAMENTOS DIÁRIOS'!$C$5:$C$500,$A41,'LANÇAMENTOS DIÁRIOS'!$O$5:$O$500,"&lt;=107699",'LANÇAMENTOS DIÁRIOS'!$P$5:$P$500,"&gt;=107600")&gt;0,"X","")</f>
      </c>
      <c r="X41" s="56" t="str">
        <f>IF(COUNTIFS('LANÇAMENTOS DIÁRIOS'!$G$5:$G$500,"E",'LANÇAMENTOS DIÁRIOS'!$C$5:$C$500,$A41,'LANÇAMENTOS DIÁRIOS'!$O$5:$O$500,"&lt;=107799",'LANÇAMENTOS DIÁRIOS'!$P$5:$P$500,"&gt;=107700")&gt;0,"X","")</f>
      </c>
      <c r="Y41" s="56" t="str">
        <f>IF(COUNTIFS('LANÇAMENTOS DIÁRIOS'!$G$5:$G$500,"E",'LANÇAMENTOS DIÁRIOS'!$C$5:$C$500,$A41,'LANÇAMENTOS DIÁRIOS'!$O$5:$O$500,"&lt;=107899",'LANÇAMENTOS DIÁRIOS'!$P$5:$P$500,"&gt;=107800")&gt;0,"X","")</f>
      </c>
      <c r="Z41" s="56" t="str">
        <f>IF(COUNTIFS('LANÇAMENTOS DIÁRIOS'!$G$5:$G$500,"E",'LANÇAMENTOS DIÁRIOS'!$C$5:$C$500,$A41,'LANÇAMENTOS DIÁRIOS'!$O$5:$O$500,"&lt;=107999",'LANÇAMENTOS DIÁRIOS'!$P$5:$P$500,"&gt;=107900")&gt;0,"X","")</f>
      </c>
      <c r="AA41" s="56" t="str">
        <f>IF(COUNTIFS('LANÇAMENTOS DIÁRIOS'!$G$5:$G$500,"E",'LANÇAMENTOS DIÁRIOS'!$C$5:$C$500,$A41,'LANÇAMENTOS DIÁRIOS'!$O$5:$O$500,"&lt;=108099",'LANÇAMENTOS DIÁRIOS'!$P$5:$P$500,"&gt;=108000")&gt;0,"X","")</f>
      </c>
      <c r="AB41" s="56" t="str">
        <f>IF(COUNTIFS('LANÇAMENTOS DIÁRIOS'!$G$5:$G$500,"E",'LANÇAMENTOS DIÁRIOS'!$C$5:$C$500,$A41,'LANÇAMENTOS DIÁRIOS'!$O$5:$O$500,"&lt;=108199",'LANÇAMENTOS DIÁRIOS'!$P$5:$P$500,"&gt;=108100")&gt;0,"X","")</f>
      </c>
      <c r="AC41" s="56" t="str">
        <f>IF(COUNTIFS('LANÇAMENTOS DIÁRIOS'!$G$5:$G$500,"E",'LANÇAMENTOS DIÁRIOS'!$C$5:$C$500,$A41,'LANÇAMENTOS DIÁRIOS'!$O$5:$O$500,"&lt;=108299",'LANÇAMENTOS DIÁRIOS'!$P$5:$P$500,"&gt;=108200")&gt;0,"X","")</f>
      </c>
      <c r="AD41" s="56" t="str">
        <f>IF(COUNTIFS('LANÇAMENTOS DIÁRIOS'!$G$5:$G$500,"E",'LANÇAMENTOS DIÁRIOS'!$C$5:$C$500,$A41,'LANÇAMENTOS DIÁRIOS'!$O$5:$O$500,"&lt;=108399",'LANÇAMENTOS DIÁRIOS'!$P$5:$P$500,"&gt;=108300")&gt;0,"X","")</f>
      </c>
      <c r="AE41" s="56" t="str">
        <f>IF(COUNTIFS('LANÇAMENTOS DIÁRIOS'!$G$5:$G$500,"E",'LANÇAMENTOS DIÁRIOS'!$C$5:$C$500,$A41,'LANÇAMENTOS DIÁRIOS'!$O$5:$O$500,"&lt;=108499",'LANÇAMENTOS DIÁRIOS'!$P$5:$P$500,"&gt;=108400")&gt;0,"X","")</f>
      </c>
      <c r="AF41" s="56" t="str">
        <f>IF(COUNTIFS('LANÇAMENTOS DIÁRIOS'!$G$5:$G$500,"E",'LANÇAMENTOS DIÁRIOS'!$C$5:$C$500,$A41,'LANÇAMENTOS DIÁRIOS'!$O$5:$O$500,"&lt;=108599",'LANÇAMENTOS DIÁRIOS'!$P$5:$P$500,"&gt;=108500")&gt;0,"X","")</f>
      </c>
      <c r="AG41" s="56" t="str">
        <f>IF(COUNTIFS('LANÇAMENTOS DIÁRIOS'!$G$5:$G$500,"E",'LANÇAMENTOS DIÁRIOS'!$C$5:$C$500,$A41,'LANÇAMENTOS DIÁRIOS'!$O$5:$O$500,"&lt;=108699",'LANÇAMENTOS DIÁRIOS'!$P$5:$P$500,"&gt;=108600")&gt;0,"X","")</f>
      </c>
      <c r="AH41" s="56" t="str">
        <f>IF(COUNTIFS('LANÇAMENTOS DIÁRIOS'!$G$5:$G$500,"E",'LANÇAMENTOS DIÁRIOS'!$C$5:$C$500,$A41,'LANÇAMENTOS DIÁRIOS'!$O$5:$O$500,"&lt;=108799",'LANÇAMENTOS DIÁRIOS'!$P$5:$P$500,"&gt;=108700")&gt;0,"X","")</f>
      </c>
      <c r="AI41" s="56" t="str">
        <f>IF(COUNTIFS('LANÇAMENTOS DIÁRIOS'!$G$5:$G$500,"E",'LANÇAMENTOS DIÁRIOS'!$C$5:$C$500,$A41,'LANÇAMENTOS DIÁRIOS'!$O$5:$O$500,"&lt;=108899",'LANÇAMENTOS DIÁRIOS'!$P$5:$P$500,"&gt;=108800")&gt;0,"X","")</f>
      </c>
      <c r="AJ41" s="56" t="str">
        <f>IF(COUNTIFS('LANÇAMENTOS DIÁRIOS'!$G$5:$G$500,"E",'LANÇAMENTOS DIÁRIOS'!$C$5:$C$500,$A41,'LANÇAMENTOS DIÁRIOS'!$O$5:$O$500,"&lt;=108999",'LANÇAMENTOS DIÁRIOS'!$P$5:$P$500,"&gt;=108900")&gt;0,"X","")</f>
      </c>
      <c r="AK41" s="56" t="str">
        <f>IF(COUNTIFS('LANÇAMENTOS DIÁRIOS'!$G$5:$G$500,"E",'LANÇAMENTOS DIÁRIOS'!$C$5:$C$500,$A41,'LANÇAMENTOS DIÁRIOS'!$O$5:$O$500,"&lt;=109099",'LANÇAMENTOS DIÁRIOS'!$P$5:$P$500,"&gt;=109000")&gt;0,"X","")</f>
      </c>
      <c r="AL41" s="56" t="str">
        <f>IF(COUNTIFS('LANÇAMENTOS DIÁRIOS'!$G$5:$G$500,"E",'LANÇAMENTOS DIÁRIOS'!$C$5:$C$500,$A41,'LANÇAMENTOS DIÁRIOS'!$O$5:$O$500,"&lt;=109199",'LANÇAMENTOS DIÁRIOS'!$P$5:$P$500,"&gt;=109100")&gt;0,"X","")</f>
      </c>
      <c r="AM41" s="56" t="str">
        <f>IF(COUNTIFS('LANÇAMENTOS DIÁRIOS'!$G$5:$G$500,"E",'LANÇAMENTOS DIÁRIOS'!$C$5:$C$500,$A41,'LANÇAMENTOS DIÁRIOS'!$O$5:$O$500,"&lt;=109299",'LANÇAMENTOS DIÁRIOS'!$P$5:$P$500,"&gt;=109200")&gt;0,"X","")</f>
      </c>
      <c r="AN41" s="56" t="str">
        <f>IF(COUNTIFS('LANÇAMENTOS DIÁRIOS'!$G$5:$G$500,"E",'LANÇAMENTOS DIÁRIOS'!$C$5:$C$500,$A41,'LANÇAMENTOS DIÁRIOS'!$O$5:$O$500,"&lt;=109399",'LANÇAMENTOS DIÁRIOS'!$P$5:$P$500,"&gt;=109300")&gt;0,"X","")</f>
      </c>
      <c r="AO41" s="56" t="str">
        <f>IF(COUNTIFS('LANÇAMENTOS DIÁRIOS'!$G$5:$G$500,"E",'LANÇAMENTOS DIÁRIOS'!$C$5:$C$500,$A41,'LANÇAMENTOS DIÁRIOS'!$O$5:$O$500,"&lt;=109499",'LANÇAMENTOS DIÁRIOS'!$P$5:$P$500,"&gt;=109400")&gt;0,"X","")</f>
      </c>
      <c r="AP41" s="56" t="str">
        <f>IF(COUNTIFS('LANÇAMENTOS DIÁRIOS'!$G$5:$G$500,"E",'LANÇAMENTOS DIÁRIOS'!$C$5:$C$500,$A41,'LANÇAMENTOS DIÁRIOS'!$O$5:$O$500,"&lt;=109599",'LANÇAMENTOS DIÁRIOS'!$P$5:$P$500,"&gt;=109500")&gt;0,"X","")</f>
      </c>
      <c r="AQ41" s="56" t="str">
        <f>IF(COUNTIFS('LANÇAMENTOS DIÁRIOS'!$G$5:$G$500,"E",'LANÇAMENTOS DIÁRIOS'!$C$5:$C$500,$A41,'LANÇAMENTOS DIÁRIOS'!$O$5:$O$500,"&lt;=109699",'LANÇAMENTOS DIÁRIOS'!$P$5:$P$500,"&gt;=109600")&gt;0,"X","")</f>
      </c>
      <c r="AR41" s="56" t="str">
        <f>IF(COUNTIFS('LANÇAMENTOS DIÁRIOS'!$G$5:$G$500,"E",'LANÇAMENTOS DIÁRIOS'!$C$5:$C$500,$A41,'LANÇAMENTOS DIÁRIOS'!$O$5:$O$500,"&lt;=109799",'LANÇAMENTOS DIÁRIOS'!$P$5:$P$500,"&gt;=109700")&gt;0,"X","")</f>
      </c>
      <c r="AS41" s="56" t="str">
        <f>IF(COUNTIFS('LANÇAMENTOS DIÁRIOS'!$G$5:$G$500,"E",'LANÇAMENTOS DIÁRIOS'!$C$5:$C$500,$A41,'LANÇAMENTOS DIÁRIOS'!$O$5:$O$500,"&lt;=109899",'LANÇAMENTOS DIÁRIOS'!$P$5:$P$500,"&gt;=109800")&gt;0,"X","")</f>
      </c>
      <c r="AT41" s="56" t="str">
        <f>IF(COUNTIFS('LANÇAMENTOS DIÁRIOS'!$G$5:$G$500,"E",'LANÇAMENTOS DIÁRIOS'!$C$5:$C$500,$A41,'LANÇAMENTOS DIÁRIOS'!$O$5:$O$500,"&lt;=109999",'LANÇAMENTOS DIÁRIOS'!$P$5:$P$500,"&gt;=109900")&gt;0,"X","")</f>
      </c>
      <c r="AU41" s="56" t="str">
        <f>IF(COUNTIFS('LANÇAMENTOS DIÁRIOS'!$G$5:$G$500,"E",'LANÇAMENTOS DIÁRIOS'!$C$5:$C$500,$A41,'LANÇAMENTOS DIÁRIOS'!$O$5:$O$500,"&lt;=110099",'LANÇAMENTOS DIÁRIOS'!$P$5:$P$500,"&gt;=110000")&gt;0,"X","")</f>
      </c>
      <c r="AV41" s="56" t="str">
        <f>IF(COUNTIFS('LANÇAMENTOS DIÁRIOS'!$G$5:$G$500,"E",'LANÇAMENTOS DIÁRIOS'!$C$5:$C$500,$A41,'LANÇAMENTOS DIÁRIOS'!$O$5:$O$500,"&lt;=110199",'LANÇAMENTOS DIÁRIOS'!$P$5:$P$500,"&gt;=110100")&gt;0,"X","")</f>
      </c>
      <c r="AW41" s="56" t="str">
        <f>IF(COUNTIFS('LANÇAMENTOS DIÁRIOS'!$G$5:$G$500,"E",'LANÇAMENTOS DIÁRIOS'!$C$5:$C$500,$A41,'LANÇAMENTOS DIÁRIOS'!$O$5:$O$500,"&lt;=110299",'LANÇAMENTOS DIÁRIOS'!$P$5:$P$500,"&gt;=110200")&gt;0,"X","")</f>
      </c>
      <c r="AX41" s="56" t="str">
        <f>IF(COUNTIFS('LANÇAMENTOS DIÁRIOS'!$G$5:$G$500,"E",'LANÇAMENTOS DIÁRIOS'!$C$5:$C$500,$A41,'LANÇAMENTOS DIÁRIOS'!$O$5:$O$500,"&lt;=110399",'LANÇAMENTOS DIÁRIOS'!$P$5:$P$500,"&gt;=110300")&gt;0,"X","")</f>
      </c>
      <c r="AY41" s="56" t="str">
        <f>IF(COUNTIFS('LANÇAMENTOS DIÁRIOS'!$G$5:$G$500,"E",'LANÇAMENTOS DIÁRIOS'!$C$5:$C$500,$A41,'LANÇAMENTOS DIÁRIOS'!$O$5:$O$500,"&lt;=110499",'LANÇAMENTOS DIÁRIOS'!$P$5:$P$500,"&gt;=110400")&gt;0,"X","")</f>
      </c>
      <c r="AZ41" s="56" t="str">
        <f>IF(COUNTIFS('LANÇAMENTOS DIÁRIOS'!$G$5:$G$500,"E",'LANÇAMENTOS DIÁRIOS'!$C$5:$C$500,$A41,'LANÇAMENTOS DIÁRIOS'!$O$5:$O$500,"&lt;=110599",'LANÇAMENTOS DIÁRIOS'!$P$5:$P$500,"&gt;=110500")&gt;0,"X","")</f>
      </c>
      <c r="BA41" s="56" t="str">
        <f>IF(COUNTIFS('LANÇAMENTOS DIÁRIOS'!$G$5:$G$500,"E",'LANÇAMENTOS DIÁRIOS'!$C$5:$C$500,$A41,'LANÇAMENTOS DIÁRIOS'!$O$5:$O$500,"&lt;=110699",'LANÇAMENTOS DIÁRIOS'!$P$5:$P$500,"&gt;=110600")&gt;0,"X","")</f>
      </c>
      <c r="BB41" s="56" t="str">
        <f>IF(COUNTIFS('LANÇAMENTOS DIÁRIOS'!$G$5:$G$500,"E",'LANÇAMENTOS DIÁRIOS'!$C$5:$C$500,$A41,'LANÇAMENTOS DIÁRIOS'!$O$5:$O$500,"&lt;=110799",'LANÇAMENTOS DIÁRIOS'!$P$5:$P$500,"&gt;=110700")&gt;0,"X","")</f>
      </c>
      <c r="BC41" s="56" t="str">
        <f>IF(COUNTIFS('LANÇAMENTOS DIÁRIOS'!$G$5:$G$500,"E",'LANÇAMENTOS DIÁRIOS'!$C$5:$C$500,$A41,'LANÇAMENTOS DIÁRIOS'!$O$5:$O$500,"&lt;=110899",'LANÇAMENTOS DIÁRIOS'!$P$5:$P$500,"&gt;=110800")&gt;0,"X","")</f>
      </c>
      <c r="BD41" s="56" t="str">
        <f>IF(COUNTIFS('LANÇAMENTOS DIÁRIOS'!$G$5:$G$500,"E",'LANÇAMENTOS DIÁRIOS'!$C$5:$C$500,$A41,'LANÇAMENTOS DIÁRIOS'!$O$5:$O$500,"&lt;=110999",'LANÇAMENTOS DIÁRIOS'!$P$5:$P$500,"&gt;=110900")&gt;0,"X","")</f>
      </c>
      <c r="BE41" s="56" t="str">
        <f>IF(COUNTIFS('LANÇAMENTOS DIÁRIOS'!$G$5:$G$500,"E",'LANÇAMENTOS DIÁRIOS'!$C$5:$C$500,$A41,'LANÇAMENTOS DIÁRIOS'!$O$5:$O$500,"&lt;=111099",'LANÇAMENTOS DIÁRIOS'!$P$5:$P$500,"&gt;=111000")&gt;0,"X","")</f>
      </c>
      <c r="BF41" s="56" t="str">
        <f>IF(COUNTIFS('LANÇAMENTOS DIÁRIOS'!$G$5:$G$500,"E",'LANÇAMENTOS DIÁRIOS'!$C$5:$C$500,$A41,'LANÇAMENTOS DIÁRIOS'!$O$5:$O$500,"&lt;=111199",'LANÇAMENTOS DIÁRIOS'!$P$5:$P$500,"&gt;=111100")&gt;0,"X","")</f>
      </c>
      <c r="BG41" s="56" t="str">
        <f>IF(COUNTIFS('LANÇAMENTOS DIÁRIOS'!$G$5:$G$500,"E",'LANÇAMENTOS DIÁRIOS'!$C$5:$C$500,$A41,'LANÇAMENTOS DIÁRIOS'!$O$5:$O$500,"&lt;=111299",'LANÇAMENTOS DIÁRIOS'!$P$5:$P$500,"&gt;=111200")&gt;0,"X","")</f>
      </c>
      <c r="BH41" s="56" t="str">
        <f>IF(COUNTIFS('LANÇAMENTOS DIÁRIOS'!$G$5:$G$500,"E",'LANÇAMENTOS DIÁRIOS'!$C$5:$C$500,$A41,'LANÇAMENTOS DIÁRIOS'!$O$5:$O$500,"&lt;=111399",'LANÇAMENTOS DIÁRIOS'!$P$5:$P$500,"&gt;=111300")&gt;0,"X","")</f>
      </c>
      <c r="BI41" s="56" t="str">
        <f>IF(COUNTIFS('LANÇAMENTOS DIÁRIOS'!$G$5:$G$500,"E",'LANÇAMENTOS DIÁRIOS'!$C$5:$C$500,$A41,'LANÇAMENTOS DIÁRIOS'!$O$5:$O$500,"&lt;=111499",'LANÇAMENTOS DIÁRIOS'!$P$5:$P$500,"&gt;=111400")&gt;0,"X","")</f>
      </c>
      <c r="BJ41" s="56" t="str">
        <f>IF(COUNTIFS('LANÇAMENTOS DIÁRIOS'!$G$5:$G$500,"E",'LANÇAMENTOS DIÁRIOS'!$C$5:$C$500,$A41,'LANÇAMENTOS DIÁRIOS'!$O$5:$O$500,"&lt;=111500",'LANÇAMENTOS DIÁRIOS'!$P$5:$P$500,"&gt;=111500")&gt;0,"X","")</f>
      </c>
    </row>
    <row r="42">
      <c r="A42" s="51" t="str">
        <v>Escavação de material de 1ª e 2ª categoria, sem transporte</v>
      </c>
      <c r="B42" s="56" t="str">
        <f>IF(COUNTIFS('LANÇAMENTOS DIÁRIOS'!$G$5:$G$500,"E",'LANÇAMENTOS DIÁRIOS'!$C$5:$C$500,$A42,'LANÇAMENTOS DIÁRIOS'!$O$5:$O$500,"&lt;=105599",'LANÇAMENTOS DIÁRIOS'!$P$5:$P$500,"&gt;=105500")&gt;0,"X","")</f>
      </c>
      <c r="C42" s="56" t="str">
        <f>IF(COUNTIFS('LANÇAMENTOS DIÁRIOS'!$G$5:$G$500,"E",'LANÇAMENTOS DIÁRIOS'!$C$5:$C$500,$A42,'LANÇAMENTOS DIÁRIOS'!$O$5:$O$500,"&lt;=105699",'LANÇAMENTOS DIÁRIOS'!$P$5:$P$500,"&gt;=105600")&gt;0,"X","")</f>
      </c>
      <c r="D42" s="56" t="str">
        <f>IF(COUNTIFS('LANÇAMENTOS DIÁRIOS'!$G$5:$G$500,"E",'LANÇAMENTOS DIÁRIOS'!$C$5:$C$500,$A42,'LANÇAMENTOS DIÁRIOS'!$O$5:$O$500,"&lt;=105799",'LANÇAMENTOS DIÁRIOS'!$P$5:$P$500,"&gt;=105700")&gt;0,"X","")</f>
      </c>
      <c r="E42" s="56" t="str">
        <f>IF(COUNTIFS('LANÇAMENTOS DIÁRIOS'!$G$5:$G$500,"E",'LANÇAMENTOS DIÁRIOS'!$C$5:$C$500,$A42,'LANÇAMENTOS DIÁRIOS'!$O$5:$O$500,"&lt;=105899",'LANÇAMENTOS DIÁRIOS'!$P$5:$P$500,"&gt;=105800")&gt;0,"X","")</f>
      </c>
      <c r="F42" s="56" t="str">
        <f>IF(COUNTIFS('LANÇAMENTOS DIÁRIOS'!$G$5:$G$500,"E",'LANÇAMENTOS DIÁRIOS'!$C$5:$C$500,$A42,'LANÇAMENTOS DIÁRIOS'!$O$5:$O$500,"&lt;=105999",'LANÇAMENTOS DIÁRIOS'!$P$5:$P$500,"&gt;=105900")&gt;0,"X","")</f>
      </c>
      <c r="G42" s="56" t="str">
        <f>IF(COUNTIFS('LANÇAMENTOS DIÁRIOS'!$G$5:$G$500,"E",'LANÇAMENTOS DIÁRIOS'!$C$5:$C$500,$A42,'LANÇAMENTOS DIÁRIOS'!$O$5:$O$500,"&lt;=106099",'LANÇAMENTOS DIÁRIOS'!$P$5:$P$500,"&gt;=106000")&gt;0,"X","")</f>
      </c>
      <c r="H42" s="56" t="str">
        <f>IF(COUNTIFS('LANÇAMENTOS DIÁRIOS'!$G$5:$G$500,"E",'LANÇAMENTOS DIÁRIOS'!$C$5:$C$500,$A42,'LANÇAMENTOS DIÁRIOS'!$O$5:$O$500,"&lt;=106199",'LANÇAMENTOS DIÁRIOS'!$P$5:$P$500,"&gt;=106100")&gt;0,"X","")</f>
      </c>
      <c r="I42" s="56" t="str">
        <f>IF(COUNTIFS('LANÇAMENTOS DIÁRIOS'!$G$5:$G$500,"E",'LANÇAMENTOS DIÁRIOS'!$C$5:$C$500,$A42,'LANÇAMENTOS DIÁRIOS'!$O$5:$O$500,"&lt;=106299",'LANÇAMENTOS DIÁRIOS'!$P$5:$P$500,"&gt;=106200")&gt;0,"X","")</f>
      </c>
      <c r="J42" s="56" t="str">
        <f>IF(COUNTIFS('LANÇAMENTOS DIÁRIOS'!$G$5:$G$500,"E",'LANÇAMENTOS DIÁRIOS'!$C$5:$C$500,$A42,'LANÇAMENTOS DIÁRIOS'!$O$5:$O$500,"&lt;=106399",'LANÇAMENTOS DIÁRIOS'!$P$5:$P$500,"&gt;=106300")&gt;0,"X","")</f>
      </c>
      <c r="K42" s="56" t="str">
        <f>IF(COUNTIFS('LANÇAMENTOS DIÁRIOS'!$G$5:$G$500,"E",'LANÇAMENTOS DIÁRIOS'!$C$5:$C$500,$A42,'LANÇAMENTOS DIÁRIOS'!$O$5:$O$500,"&lt;=106499",'LANÇAMENTOS DIÁRIOS'!$P$5:$P$500,"&gt;=106400")&gt;0,"X","")</f>
      </c>
      <c r="L42" s="56" t="str">
        <f>IF(COUNTIFS('LANÇAMENTOS DIÁRIOS'!$G$5:$G$500,"E",'LANÇAMENTOS DIÁRIOS'!$C$5:$C$500,$A42,'LANÇAMENTOS DIÁRIOS'!$O$5:$O$500,"&lt;=106599",'LANÇAMENTOS DIÁRIOS'!$P$5:$P$500,"&gt;=106500")&gt;0,"X","")</f>
      </c>
      <c r="M42" s="56" t="str">
        <f>IF(COUNTIFS('LANÇAMENTOS DIÁRIOS'!$G$5:$G$500,"E",'LANÇAMENTOS DIÁRIOS'!$C$5:$C$500,$A42,'LANÇAMENTOS DIÁRIOS'!$O$5:$O$500,"&lt;=106699",'LANÇAMENTOS DIÁRIOS'!$P$5:$P$500,"&gt;=106600")&gt;0,"X","")</f>
      </c>
      <c r="N42" s="56" t="str">
        <f>IF(COUNTIFS('LANÇAMENTOS DIÁRIOS'!$G$5:$G$500,"E",'LANÇAMENTOS DIÁRIOS'!$C$5:$C$500,$A42,'LANÇAMENTOS DIÁRIOS'!$O$5:$O$500,"&lt;=106799",'LANÇAMENTOS DIÁRIOS'!$P$5:$P$500,"&gt;=106700")&gt;0,"X","")</f>
      </c>
      <c r="O42" s="56" t="str">
        <f>IF(COUNTIFS('LANÇAMENTOS DIÁRIOS'!$G$5:$G$500,"E",'LANÇAMENTOS DIÁRIOS'!$C$5:$C$500,$A42,'LANÇAMENTOS DIÁRIOS'!$O$5:$O$500,"&lt;=106899",'LANÇAMENTOS DIÁRIOS'!$P$5:$P$500,"&gt;=106800")&gt;0,"X","")</f>
      </c>
      <c r="P42" s="56" t="str">
        <f>IF(COUNTIFS('LANÇAMENTOS DIÁRIOS'!$G$5:$G$500,"E",'LANÇAMENTOS DIÁRIOS'!$C$5:$C$500,$A42,'LANÇAMENTOS DIÁRIOS'!$O$5:$O$500,"&lt;=106999",'LANÇAMENTOS DIÁRIOS'!$P$5:$P$500,"&gt;=106900")&gt;0,"X","")</f>
      </c>
      <c r="Q42" s="56" t="str">
        <f>IF(COUNTIFS('LANÇAMENTOS DIÁRIOS'!$G$5:$G$500,"E",'LANÇAMENTOS DIÁRIOS'!$C$5:$C$500,$A42,'LANÇAMENTOS DIÁRIOS'!$O$5:$O$500,"&lt;=107099",'LANÇAMENTOS DIÁRIOS'!$P$5:$P$500,"&gt;=107000")&gt;0,"X","")</f>
      </c>
      <c r="R42" s="56" t="str">
        <f>IF(COUNTIFS('LANÇAMENTOS DIÁRIOS'!$G$5:$G$500,"E",'LANÇAMENTOS DIÁRIOS'!$C$5:$C$500,$A42,'LANÇAMENTOS DIÁRIOS'!$O$5:$O$500,"&lt;=107199",'LANÇAMENTOS DIÁRIOS'!$P$5:$P$500,"&gt;=107100")&gt;0,"X","")</f>
      </c>
      <c r="S42" s="56" t="str">
        <f>IF(COUNTIFS('LANÇAMENTOS DIÁRIOS'!$G$5:$G$500,"E",'LANÇAMENTOS DIÁRIOS'!$C$5:$C$500,$A42,'LANÇAMENTOS DIÁRIOS'!$O$5:$O$500,"&lt;=107299",'LANÇAMENTOS DIÁRIOS'!$P$5:$P$500,"&gt;=107200")&gt;0,"X","")</f>
      </c>
      <c r="T42" s="56" t="str">
        <f>IF(COUNTIFS('LANÇAMENTOS DIÁRIOS'!$G$5:$G$500,"E",'LANÇAMENTOS DIÁRIOS'!$C$5:$C$500,$A42,'LANÇAMENTOS DIÁRIOS'!$O$5:$O$500,"&lt;=107399",'LANÇAMENTOS DIÁRIOS'!$P$5:$P$500,"&gt;=107300")&gt;0,"X","")</f>
      </c>
      <c r="U42" s="56" t="str">
        <f>IF(COUNTIFS('LANÇAMENTOS DIÁRIOS'!$G$5:$G$500,"E",'LANÇAMENTOS DIÁRIOS'!$C$5:$C$500,$A42,'LANÇAMENTOS DIÁRIOS'!$O$5:$O$500,"&lt;=107499",'LANÇAMENTOS DIÁRIOS'!$P$5:$P$500,"&gt;=107400")&gt;0,"X","")</f>
      </c>
      <c r="V42" s="56" t="str">
        <f>IF(COUNTIFS('LANÇAMENTOS DIÁRIOS'!$G$5:$G$500,"E",'LANÇAMENTOS DIÁRIOS'!$C$5:$C$500,$A42,'LANÇAMENTOS DIÁRIOS'!$O$5:$O$500,"&lt;=107599",'LANÇAMENTOS DIÁRIOS'!$P$5:$P$500,"&gt;=107500")&gt;0,"X","")</f>
      </c>
      <c r="W42" s="56" t="str">
        <f>IF(COUNTIFS('LANÇAMENTOS DIÁRIOS'!$G$5:$G$500,"E",'LANÇAMENTOS DIÁRIOS'!$C$5:$C$500,$A42,'LANÇAMENTOS DIÁRIOS'!$O$5:$O$500,"&lt;=107699",'LANÇAMENTOS DIÁRIOS'!$P$5:$P$500,"&gt;=107600")&gt;0,"X","")</f>
      </c>
      <c r="X42" s="56" t="str">
        <f>IF(COUNTIFS('LANÇAMENTOS DIÁRIOS'!$G$5:$G$500,"E",'LANÇAMENTOS DIÁRIOS'!$C$5:$C$500,$A42,'LANÇAMENTOS DIÁRIOS'!$O$5:$O$500,"&lt;=107799",'LANÇAMENTOS DIÁRIOS'!$P$5:$P$500,"&gt;=107700")&gt;0,"X","")</f>
      </c>
      <c r="Y42" s="56" t="str">
        <f>IF(COUNTIFS('LANÇAMENTOS DIÁRIOS'!$G$5:$G$500,"E",'LANÇAMENTOS DIÁRIOS'!$C$5:$C$500,$A42,'LANÇAMENTOS DIÁRIOS'!$O$5:$O$500,"&lt;=107899",'LANÇAMENTOS DIÁRIOS'!$P$5:$P$500,"&gt;=107800")&gt;0,"X","")</f>
      </c>
      <c r="Z42" s="56" t="str">
        <f>IF(COUNTIFS('LANÇAMENTOS DIÁRIOS'!$G$5:$G$500,"E",'LANÇAMENTOS DIÁRIOS'!$C$5:$C$500,$A42,'LANÇAMENTOS DIÁRIOS'!$O$5:$O$500,"&lt;=107999",'LANÇAMENTOS DIÁRIOS'!$P$5:$P$500,"&gt;=107900")&gt;0,"X","")</f>
      </c>
      <c r="AA42" s="56" t="str">
        <f>IF(COUNTIFS('LANÇAMENTOS DIÁRIOS'!$G$5:$G$500,"E",'LANÇAMENTOS DIÁRIOS'!$C$5:$C$500,$A42,'LANÇAMENTOS DIÁRIOS'!$O$5:$O$500,"&lt;=108099",'LANÇAMENTOS DIÁRIOS'!$P$5:$P$500,"&gt;=108000")&gt;0,"X","")</f>
      </c>
      <c r="AB42" s="56" t="str">
        <f>IF(COUNTIFS('LANÇAMENTOS DIÁRIOS'!$G$5:$G$500,"E",'LANÇAMENTOS DIÁRIOS'!$C$5:$C$500,$A42,'LANÇAMENTOS DIÁRIOS'!$O$5:$O$500,"&lt;=108199",'LANÇAMENTOS DIÁRIOS'!$P$5:$P$500,"&gt;=108100")&gt;0,"X","")</f>
      </c>
      <c r="AC42" s="56" t="str">
        <f>IF(COUNTIFS('LANÇAMENTOS DIÁRIOS'!$G$5:$G$500,"E",'LANÇAMENTOS DIÁRIOS'!$C$5:$C$500,$A42,'LANÇAMENTOS DIÁRIOS'!$O$5:$O$500,"&lt;=108299",'LANÇAMENTOS DIÁRIOS'!$P$5:$P$500,"&gt;=108200")&gt;0,"X","")</f>
      </c>
      <c r="AD42" s="56" t="str">
        <f>IF(COUNTIFS('LANÇAMENTOS DIÁRIOS'!$G$5:$G$500,"E",'LANÇAMENTOS DIÁRIOS'!$C$5:$C$500,$A42,'LANÇAMENTOS DIÁRIOS'!$O$5:$O$500,"&lt;=108399",'LANÇAMENTOS DIÁRIOS'!$P$5:$P$500,"&gt;=108300")&gt;0,"X","")</f>
      </c>
      <c r="AE42" s="56" t="str">
        <f>IF(COUNTIFS('LANÇAMENTOS DIÁRIOS'!$G$5:$G$500,"E",'LANÇAMENTOS DIÁRIOS'!$C$5:$C$500,$A42,'LANÇAMENTOS DIÁRIOS'!$O$5:$O$500,"&lt;=108499",'LANÇAMENTOS DIÁRIOS'!$P$5:$P$500,"&gt;=108400")&gt;0,"X","")</f>
      </c>
      <c r="AF42" s="56" t="str">
        <f>IF(COUNTIFS('LANÇAMENTOS DIÁRIOS'!$G$5:$G$500,"E",'LANÇAMENTOS DIÁRIOS'!$C$5:$C$500,$A42,'LANÇAMENTOS DIÁRIOS'!$O$5:$O$500,"&lt;=108599",'LANÇAMENTOS DIÁRIOS'!$P$5:$P$500,"&gt;=108500")&gt;0,"X","")</f>
      </c>
      <c r="AG42" s="56" t="str">
        <f>IF(COUNTIFS('LANÇAMENTOS DIÁRIOS'!$G$5:$G$500,"E",'LANÇAMENTOS DIÁRIOS'!$C$5:$C$500,$A42,'LANÇAMENTOS DIÁRIOS'!$O$5:$O$500,"&lt;=108699",'LANÇAMENTOS DIÁRIOS'!$P$5:$P$500,"&gt;=108600")&gt;0,"X","")</f>
      </c>
      <c r="AH42" s="56" t="str">
        <f>IF(COUNTIFS('LANÇAMENTOS DIÁRIOS'!$G$5:$G$500,"E",'LANÇAMENTOS DIÁRIOS'!$C$5:$C$500,$A42,'LANÇAMENTOS DIÁRIOS'!$O$5:$O$500,"&lt;=108799",'LANÇAMENTOS DIÁRIOS'!$P$5:$P$500,"&gt;=108700")&gt;0,"X","")</f>
      </c>
      <c r="AI42" s="56" t="str">
        <f>IF(COUNTIFS('LANÇAMENTOS DIÁRIOS'!$G$5:$G$500,"E",'LANÇAMENTOS DIÁRIOS'!$C$5:$C$500,$A42,'LANÇAMENTOS DIÁRIOS'!$O$5:$O$500,"&lt;=108899",'LANÇAMENTOS DIÁRIOS'!$P$5:$P$500,"&gt;=108800")&gt;0,"X","")</f>
      </c>
      <c r="AJ42" s="56" t="str">
        <f>IF(COUNTIFS('LANÇAMENTOS DIÁRIOS'!$G$5:$G$500,"E",'LANÇAMENTOS DIÁRIOS'!$C$5:$C$500,$A42,'LANÇAMENTOS DIÁRIOS'!$O$5:$O$500,"&lt;=108999",'LANÇAMENTOS DIÁRIOS'!$P$5:$P$500,"&gt;=108900")&gt;0,"X","")</f>
      </c>
      <c r="AK42" s="56" t="str">
        <f>IF(COUNTIFS('LANÇAMENTOS DIÁRIOS'!$G$5:$G$500,"E",'LANÇAMENTOS DIÁRIOS'!$C$5:$C$500,$A42,'LANÇAMENTOS DIÁRIOS'!$O$5:$O$500,"&lt;=109099",'LANÇAMENTOS DIÁRIOS'!$P$5:$P$500,"&gt;=109000")&gt;0,"X","")</f>
      </c>
      <c r="AL42" s="56" t="str">
        <f>IF(COUNTIFS('LANÇAMENTOS DIÁRIOS'!$G$5:$G$500,"E",'LANÇAMENTOS DIÁRIOS'!$C$5:$C$500,$A42,'LANÇAMENTOS DIÁRIOS'!$O$5:$O$500,"&lt;=109199",'LANÇAMENTOS DIÁRIOS'!$P$5:$P$500,"&gt;=109100")&gt;0,"X","")</f>
      </c>
      <c r="AM42" s="56" t="str">
        <f>IF(COUNTIFS('LANÇAMENTOS DIÁRIOS'!$G$5:$G$500,"E",'LANÇAMENTOS DIÁRIOS'!$C$5:$C$500,$A42,'LANÇAMENTOS DIÁRIOS'!$O$5:$O$500,"&lt;=109299",'LANÇAMENTOS DIÁRIOS'!$P$5:$P$500,"&gt;=109200")&gt;0,"X","")</f>
      </c>
      <c r="AN42" s="56" t="str">
        <f>IF(COUNTIFS('LANÇAMENTOS DIÁRIOS'!$G$5:$G$500,"E",'LANÇAMENTOS DIÁRIOS'!$C$5:$C$500,$A42,'LANÇAMENTOS DIÁRIOS'!$O$5:$O$500,"&lt;=109399",'LANÇAMENTOS DIÁRIOS'!$P$5:$P$500,"&gt;=109300")&gt;0,"X","")</f>
      </c>
      <c r="AO42" s="56" t="str">
        <f>IF(COUNTIFS('LANÇAMENTOS DIÁRIOS'!$G$5:$G$500,"E",'LANÇAMENTOS DIÁRIOS'!$C$5:$C$500,$A42,'LANÇAMENTOS DIÁRIOS'!$O$5:$O$500,"&lt;=109499",'LANÇAMENTOS DIÁRIOS'!$P$5:$P$500,"&gt;=109400")&gt;0,"X","")</f>
      </c>
      <c r="AP42" s="56" t="str">
        <f>IF(COUNTIFS('LANÇAMENTOS DIÁRIOS'!$G$5:$G$500,"E",'LANÇAMENTOS DIÁRIOS'!$C$5:$C$500,$A42,'LANÇAMENTOS DIÁRIOS'!$O$5:$O$500,"&lt;=109599",'LANÇAMENTOS DIÁRIOS'!$P$5:$P$500,"&gt;=109500")&gt;0,"X","")</f>
      </c>
      <c r="AQ42" s="56" t="str">
        <f>IF(COUNTIFS('LANÇAMENTOS DIÁRIOS'!$G$5:$G$500,"E",'LANÇAMENTOS DIÁRIOS'!$C$5:$C$500,$A42,'LANÇAMENTOS DIÁRIOS'!$O$5:$O$500,"&lt;=109699",'LANÇAMENTOS DIÁRIOS'!$P$5:$P$500,"&gt;=109600")&gt;0,"X","")</f>
      </c>
      <c r="AR42" s="56" t="str">
        <f>IF(COUNTIFS('LANÇAMENTOS DIÁRIOS'!$G$5:$G$500,"E",'LANÇAMENTOS DIÁRIOS'!$C$5:$C$500,$A42,'LANÇAMENTOS DIÁRIOS'!$O$5:$O$500,"&lt;=109799",'LANÇAMENTOS DIÁRIOS'!$P$5:$P$500,"&gt;=109700")&gt;0,"X","")</f>
      </c>
      <c r="AS42" s="56" t="str">
        <f>IF(COUNTIFS('LANÇAMENTOS DIÁRIOS'!$G$5:$G$500,"E",'LANÇAMENTOS DIÁRIOS'!$C$5:$C$500,$A42,'LANÇAMENTOS DIÁRIOS'!$O$5:$O$500,"&lt;=109899",'LANÇAMENTOS DIÁRIOS'!$P$5:$P$500,"&gt;=109800")&gt;0,"X","")</f>
      </c>
      <c r="AT42" s="56" t="str">
        <f>IF(COUNTIFS('LANÇAMENTOS DIÁRIOS'!$G$5:$G$500,"E",'LANÇAMENTOS DIÁRIOS'!$C$5:$C$500,$A42,'LANÇAMENTOS DIÁRIOS'!$O$5:$O$500,"&lt;=109999",'LANÇAMENTOS DIÁRIOS'!$P$5:$P$500,"&gt;=109900")&gt;0,"X","")</f>
      </c>
      <c r="AU42" s="56" t="str">
        <f>IF(COUNTIFS('LANÇAMENTOS DIÁRIOS'!$G$5:$G$500,"E",'LANÇAMENTOS DIÁRIOS'!$C$5:$C$500,$A42,'LANÇAMENTOS DIÁRIOS'!$O$5:$O$500,"&lt;=110099",'LANÇAMENTOS DIÁRIOS'!$P$5:$P$500,"&gt;=110000")&gt;0,"X","")</f>
      </c>
      <c r="AV42" s="56" t="str">
        <f>IF(COUNTIFS('LANÇAMENTOS DIÁRIOS'!$G$5:$G$500,"E",'LANÇAMENTOS DIÁRIOS'!$C$5:$C$500,$A42,'LANÇAMENTOS DIÁRIOS'!$O$5:$O$500,"&lt;=110199",'LANÇAMENTOS DIÁRIOS'!$P$5:$P$500,"&gt;=110100")&gt;0,"X","")</f>
      </c>
      <c r="AW42" s="56" t="str">
        <f>IF(COUNTIFS('LANÇAMENTOS DIÁRIOS'!$G$5:$G$500,"E",'LANÇAMENTOS DIÁRIOS'!$C$5:$C$500,$A42,'LANÇAMENTOS DIÁRIOS'!$O$5:$O$500,"&lt;=110299",'LANÇAMENTOS DIÁRIOS'!$P$5:$P$500,"&gt;=110200")&gt;0,"X","")</f>
      </c>
      <c r="AX42" s="56" t="str">
        <f>IF(COUNTIFS('LANÇAMENTOS DIÁRIOS'!$G$5:$G$500,"E",'LANÇAMENTOS DIÁRIOS'!$C$5:$C$500,$A42,'LANÇAMENTOS DIÁRIOS'!$O$5:$O$500,"&lt;=110399",'LANÇAMENTOS DIÁRIOS'!$P$5:$P$500,"&gt;=110300")&gt;0,"X","")</f>
      </c>
      <c r="AY42" s="56" t="str">
        <f>IF(COUNTIFS('LANÇAMENTOS DIÁRIOS'!$G$5:$G$500,"E",'LANÇAMENTOS DIÁRIOS'!$C$5:$C$500,$A42,'LANÇAMENTOS DIÁRIOS'!$O$5:$O$500,"&lt;=110499",'LANÇAMENTOS DIÁRIOS'!$P$5:$P$500,"&gt;=110400")&gt;0,"X","")</f>
      </c>
      <c r="AZ42" s="56" t="str">
        <f>IF(COUNTIFS('LANÇAMENTOS DIÁRIOS'!$G$5:$G$500,"E",'LANÇAMENTOS DIÁRIOS'!$C$5:$C$500,$A42,'LANÇAMENTOS DIÁRIOS'!$O$5:$O$500,"&lt;=110599",'LANÇAMENTOS DIÁRIOS'!$P$5:$P$500,"&gt;=110500")&gt;0,"X","")</f>
      </c>
      <c r="BA42" s="56" t="str">
        <f>IF(COUNTIFS('LANÇAMENTOS DIÁRIOS'!$G$5:$G$500,"E",'LANÇAMENTOS DIÁRIOS'!$C$5:$C$500,$A42,'LANÇAMENTOS DIÁRIOS'!$O$5:$O$500,"&lt;=110699",'LANÇAMENTOS DIÁRIOS'!$P$5:$P$500,"&gt;=110600")&gt;0,"X","")</f>
      </c>
      <c r="BB42" s="56" t="str">
        <f>IF(COUNTIFS('LANÇAMENTOS DIÁRIOS'!$G$5:$G$500,"E",'LANÇAMENTOS DIÁRIOS'!$C$5:$C$500,$A42,'LANÇAMENTOS DIÁRIOS'!$O$5:$O$500,"&lt;=110799",'LANÇAMENTOS DIÁRIOS'!$P$5:$P$500,"&gt;=110700")&gt;0,"X","")</f>
      </c>
      <c r="BC42" s="56" t="str">
        <f>IF(COUNTIFS('LANÇAMENTOS DIÁRIOS'!$G$5:$G$500,"E",'LANÇAMENTOS DIÁRIOS'!$C$5:$C$500,$A42,'LANÇAMENTOS DIÁRIOS'!$O$5:$O$500,"&lt;=110899",'LANÇAMENTOS DIÁRIOS'!$P$5:$P$500,"&gt;=110800")&gt;0,"X","")</f>
      </c>
      <c r="BD42" s="56" t="str">
        <f>IF(COUNTIFS('LANÇAMENTOS DIÁRIOS'!$G$5:$G$500,"E",'LANÇAMENTOS DIÁRIOS'!$C$5:$C$500,$A42,'LANÇAMENTOS DIÁRIOS'!$O$5:$O$500,"&lt;=110999",'LANÇAMENTOS DIÁRIOS'!$P$5:$P$500,"&gt;=110900")&gt;0,"X","")</f>
      </c>
      <c r="BE42" s="56" t="str">
        <f>IF(COUNTIFS('LANÇAMENTOS DIÁRIOS'!$G$5:$G$500,"E",'LANÇAMENTOS DIÁRIOS'!$C$5:$C$500,$A42,'LANÇAMENTOS DIÁRIOS'!$O$5:$O$500,"&lt;=111099",'LANÇAMENTOS DIÁRIOS'!$P$5:$P$500,"&gt;=111000")&gt;0,"X","")</f>
      </c>
      <c r="BF42" s="56" t="str">
        <f>IF(COUNTIFS('LANÇAMENTOS DIÁRIOS'!$G$5:$G$500,"E",'LANÇAMENTOS DIÁRIOS'!$C$5:$C$500,$A42,'LANÇAMENTOS DIÁRIOS'!$O$5:$O$500,"&lt;=111199",'LANÇAMENTOS DIÁRIOS'!$P$5:$P$500,"&gt;=111100")&gt;0,"X","")</f>
      </c>
      <c r="BG42" s="56" t="str">
        <f>IF(COUNTIFS('LANÇAMENTOS DIÁRIOS'!$G$5:$G$500,"E",'LANÇAMENTOS DIÁRIOS'!$C$5:$C$500,$A42,'LANÇAMENTOS DIÁRIOS'!$O$5:$O$500,"&lt;=111299",'LANÇAMENTOS DIÁRIOS'!$P$5:$P$500,"&gt;=111200")&gt;0,"X","")</f>
      </c>
      <c r="BH42" s="56" t="str">
        <f>IF(COUNTIFS('LANÇAMENTOS DIÁRIOS'!$G$5:$G$500,"E",'LANÇAMENTOS DIÁRIOS'!$C$5:$C$500,$A42,'LANÇAMENTOS DIÁRIOS'!$O$5:$O$500,"&lt;=111399",'LANÇAMENTOS DIÁRIOS'!$P$5:$P$500,"&gt;=111300")&gt;0,"X","")</f>
      </c>
      <c r="BI42" s="56" t="str">
        <f>IF(COUNTIFS('LANÇAMENTOS DIÁRIOS'!$G$5:$G$500,"E",'LANÇAMENTOS DIÁRIOS'!$C$5:$C$500,$A42,'LANÇAMENTOS DIÁRIOS'!$O$5:$O$500,"&lt;=111499",'LANÇAMENTOS DIÁRIOS'!$P$5:$P$500,"&gt;=111400")&gt;0,"X","")</f>
      </c>
      <c r="BJ42" s="56" t="str">
        <f>IF(COUNTIFS('LANÇAMENTOS DIÁRIOS'!$G$5:$G$500,"E",'LANÇAMENTOS DIÁRIOS'!$C$5:$C$500,$A42,'LANÇAMENTOS DIÁRIOS'!$O$5:$O$500,"&lt;=111500",'LANÇAMENTOS DIÁRIOS'!$P$5:$P$500,"&gt;=111500")&gt;0,"X","")</f>
      </c>
    </row>
    <row r="43">
      <c r="A43" s="51" t="str">
        <v>Escavação de material de 1ª e 2ª categoria</v>
      </c>
      <c r="B43" s="56" t="str">
        <f>IF(COUNTIFS('LANÇAMENTOS DIÁRIOS'!$G$5:$G$500,"E",'LANÇAMENTOS DIÁRIOS'!$C$5:$C$500,$A43,'LANÇAMENTOS DIÁRIOS'!$O$5:$O$500,"&lt;=105599",'LANÇAMENTOS DIÁRIOS'!$P$5:$P$500,"&gt;=105500")&gt;0,"X","")</f>
      </c>
      <c r="C43" s="56" t="str">
        <f>IF(COUNTIFS('LANÇAMENTOS DIÁRIOS'!$G$5:$G$500,"E",'LANÇAMENTOS DIÁRIOS'!$C$5:$C$500,$A43,'LANÇAMENTOS DIÁRIOS'!$O$5:$O$500,"&lt;=105699",'LANÇAMENTOS DIÁRIOS'!$P$5:$P$500,"&gt;=105600")&gt;0,"X","")</f>
      </c>
      <c r="D43" s="56" t="str">
        <f>IF(COUNTIFS('LANÇAMENTOS DIÁRIOS'!$G$5:$G$500,"E",'LANÇAMENTOS DIÁRIOS'!$C$5:$C$500,$A43,'LANÇAMENTOS DIÁRIOS'!$O$5:$O$500,"&lt;=105799",'LANÇAMENTOS DIÁRIOS'!$P$5:$P$500,"&gt;=105700")&gt;0,"X","")</f>
      </c>
      <c r="E43" s="56" t="str">
        <f>IF(COUNTIFS('LANÇAMENTOS DIÁRIOS'!$G$5:$G$500,"E",'LANÇAMENTOS DIÁRIOS'!$C$5:$C$500,$A43,'LANÇAMENTOS DIÁRIOS'!$O$5:$O$500,"&lt;=105899",'LANÇAMENTOS DIÁRIOS'!$P$5:$P$500,"&gt;=105800")&gt;0,"X","")</f>
      </c>
      <c r="F43" s="56" t="str">
        <f>IF(COUNTIFS('LANÇAMENTOS DIÁRIOS'!$G$5:$G$500,"E",'LANÇAMENTOS DIÁRIOS'!$C$5:$C$500,$A43,'LANÇAMENTOS DIÁRIOS'!$O$5:$O$500,"&lt;=105999",'LANÇAMENTOS DIÁRIOS'!$P$5:$P$500,"&gt;=105900")&gt;0,"X","")</f>
      </c>
      <c r="G43" s="56" t="str">
        <f>IF(COUNTIFS('LANÇAMENTOS DIÁRIOS'!$G$5:$G$500,"E",'LANÇAMENTOS DIÁRIOS'!$C$5:$C$500,$A43,'LANÇAMENTOS DIÁRIOS'!$O$5:$O$500,"&lt;=106099",'LANÇAMENTOS DIÁRIOS'!$P$5:$P$500,"&gt;=106000")&gt;0,"X","")</f>
      </c>
      <c r="H43" s="56" t="str">
        <f>IF(COUNTIFS('LANÇAMENTOS DIÁRIOS'!$G$5:$G$500,"E",'LANÇAMENTOS DIÁRIOS'!$C$5:$C$500,$A43,'LANÇAMENTOS DIÁRIOS'!$O$5:$O$500,"&lt;=106199",'LANÇAMENTOS DIÁRIOS'!$P$5:$P$500,"&gt;=106100")&gt;0,"X","")</f>
      </c>
      <c r="I43" s="56" t="str">
        <f>IF(COUNTIFS('LANÇAMENTOS DIÁRIOS'!$G$5:$G$500,"E",'LANÇAMENTOS DIÁRIOS'!$C$5:$C$500,$A43,'LANÇAMENTOS DIÁRIOS'!$O$5:$O$500,"&lt;=106299",'LANÇAMENTOS DIÁRIOS'!$P$5:$P$500,"&gt;=106200")&gt;0,"X","")</f>
      </c>
      <c r="J43" s="56" t="str">
        <f>IF(COUNTIFS('LANÇAMENTOS DIÁRIOS'!$G$5:$G$500,"E",'LANÇAMENTOS DIÁRIOS'!$C$5:$C$500,$A43,'LANÇAMENTOS DIÁRIOS'!$O$5:$O$500,"&lt;=106399",'LANÇAMENTOS DIÁRIOS'!$P$5:$P$500,"&gt;=106300")&gt;0,"X","")</f>
      </c>
      <c r="K43" s="56" t="str">
        <f>IF(COUNTIFS('LANÇAMENTOS DIÁRIOS'!$G$5:$G$500,"E",'LANÇAMENTOS DIÁRIOS'!$C$5:$C$500,$A43,'LANÇAMENTOS DIÁRIOS'!$O$5:$O$500,"&lt;=106499",'LANÇAMENTOS DIÁRIOS'!$P$5:$P$500,"&gt;=106400")&gt;0,"X","")</f>
      </c>
      <c r="L43" s="56" t="str">
        <f>IF(COUNTIFS('LANÇAMENTOS DIÁRIOS'!$G$5:$G$500,"E",'LANÇAMENTOS DIÁRIOS'!$C$5:$C$500,$A43,'LANÇAMENTOS DIÁRIOS'!$O$5:$O$500,"&lt;=106599",'LANÇAMENTOS DIÁRIOS'!$P$5:$P$500,"&gt;=106500")&gt;0,"X","")</f>
      </c>
      <c r="M43" s="56" t="str">
        <f>IF(COUNTIFS('LANÇAMENTOS DIÁRIOS'!$G$5:$G$500,"E",'LANÇAMENTOS DIÁRIOS'!$C$5:$C$500,$A43,'LANÇAMENTOS DIÁRIOS'!$O$5:$O$500,"&lt;=106699",'LANÇAMENTOS DIÁRIOS'!$P$5:$P$500,"&gt;=106600")&gt;0,"X","")</f>
      </c>
      <c r="N43" s="56" t="str">
        <f>IF(COUNTIFS('LANÇAMENTOS DIÁRIOS'!$G$5:$G$500,"E",'LANÇAMENTOS DIÁRIOS'!$C$5:$C$500,$A43,'LANÇAMENTOS DIÁRIOS'!$O$5:$O$500,"&lt;=106799",'LANÇAMENTOS DIÁRIOS'!$P$5:$P$500,"&gt;=106700")&gt;0,"X","")</f>
      </c>
      <c r="O43" s="56" t="str">
        <f>IF(COUNTIFS('LANÇAMENTOS DIÁRIOS'!$G$5:$G$500,"E",'LANÇAMENTOS DIÁRIOS'!$C$5:$C$500,$A43,'LANÇAMENTOS DIÁRIOS'!$O$5:$O$500,"&lt;=106899",'LANÇAMENTOS DIÁRIOS'!$P$5:$P$500,"&gt;=106800")&gt;0,"X","")</f>
      </c>
      <c r="P43" s="56" t="str">
        <f>IF(COUNTIFS('LANÇAMENTOS DIÁRIOS'!$G$5:$G$500,"E",'LANÇAMENTOS DIÁRIOS'!$C$5:$C$500,$A43,'LANÇAMENTOS DIÁRIOS'!$O$5:$O$500,"&lt;=106999",'LANÇAMENTOS DIÁRIOS'!$P$5:$P$500,"&gt;=106900")&gt;0,"X","")</f>
      </c>
      <c r="Q43" s="56" t="str">
        <f>IF(COUNTIFS('LANÇAMENTOS DIÁRIOS'!$G$5:$G$500,"E",'LANÇAMENTOS DIÁRIOS'!$C$5:$C$500,$A43,'LANÇAMENTOS DIÁRIOS'!$O$5:$O$500,"&lt;=107099",'LANÇAMENTOS DIÁRIOS'!$P$5:$P$500,"&gt;=107000")&gt;0,"X","")</f>
      </c>
      <c r="R43" s="56" t="str">
        <f>IF(COUNTIFS('LANÇAMENTOS DIÁRIOS'!$G$5:$G$500,"E",'LANÇAMENTOS DIÁRIOS'!$C$5:$C$500,$A43,'LANÇAMENTOS DIÁRIOS'!$O$5:$O$500,"&lt;=107199",'LANÇAMENTOS DIÁRIOS'!$P$5:$P$500,"&gt;=107100")&gt;0,"X","")</f>
      </c>
      <c r="S43" s="56" t="str">
        <f>IF(COUNTIFS('LANÇAMENTOS DIÁRIOS'!$G$5:$G$500,"E",'LANÇAMENTOS DIÁRIOS'!$C$5:$C$500,$A43,'LANÇAMENTOS DIÁRIOS'!$O$5:$O$500,"&lt;=107299",'LANÇAMENTOS DIÁRIOS'!$P$5:$P$500,"&gt;=107200")&gt;0,"X","")</f>
      </c>
      <c r="T43" s="56" t="str">
        <f>IF(COUNTIFS('LANÇAMENTOS DIÁRIOS'!$G$5:$G$500,"E",'LANÇAMENTOS DIÁRIOS'!$C$5:$C$500,$A43,'LANÇAMENTOS DIÁRIOS'!$O$5:$O$500,"&lt;=107399",'LANÇAMENTOS DIÁRIOS'!$P$5:$P$500,"&gt;=107300")&gt;0,"X","")</f>
      </c>
      <c r="U43" s="56" t="str">
        <f>IF(COUNTIFS('LANÇAMENTOS DIÁRIOS'!$G$5:$G$500,"E",'LANÇAMENTOS DIÁRIOS'!$C$5:$C$500,$A43,'LANÇAMENTOS DIÁRIOS'!$O$5:$O$500,"&lt;=107499",'LANÇAMENTOS DIÁRIOS'!$P$5:$P$500,"&gt;=107400")&gt;0,"X","")</f>
      </c>
      <c r="V43" s="56" t="str">
        <f>IF(COUNTIFS('LANÇAMENTOS DIÁRIOS'!$G$5:$G$500,"E",'LANÇAMENTOS DIÁRIOS'!$C$5:$C$500,$A43,'LANÇAMENTOS DIÁRIOS'!$O$5:$O$500,"&lt;=107599",'LANÇAMENTOS DIÁRIOS'!$P$5:$P$500,"&gt;=107500")&gt;0,"X","")</f>
      </c>
      <c r="W43" s="56" t="str">
        <f>IF(COUNTIFS('LANÇAMENTOS DIÁRIOS'!$G$5:$G$500,"E",'LANÇAMENTOS DIÁRIOS'!$C$5:$C$500,$A43,'LANÇAMENTOS DIÁRIOS'!$O$5:$O$500,"&lt;=107699",'LANÇAMENTOS DIÁRIOS'!$P$5:$P$500,"&gt;=107600")&gt;0,"X","")</f>
      </c>
      <c r="X43" s="56" t="str">
        <f>IF(COUNTIFS('LANÇAMENTOS DIÁRIOS'!$G$5:$G$500,"E",'LANÇAMENTOS DIÁRIOS'!$C$5:$C$500,$A43,'LANÇAMENTOS DIÁRIOS'!$O$5:$O$500,"&lt;=107799",'LANÇAMENTOS DIÁRIOS'!$P$5:$P$500,"&gt;=107700")&gt;0,"X","")</f>
      </c>
      <c r="Y43" s="56" t="str">
        <f>IF(COUNTIFS('LANÇAMENTOS DIÁRIOS'!$G$5:$G$500,"E",'LANÇAMENTOS DIÁRIOS'!$C$5:$C$500,$A43,'LANÇAMENTOS DIÁRIOS'!$O$5:$O$500,"&lt;=107899",'LANÇAMENTOS DIÁRIOS'!$P$5:$P$500,"&gt;=107800")&gt;0,"X","")</f>
      </c>
      <c r="Z43" s="56" t="str">
        <f>IF(COUNTIFS('LANÇAMENTOS DIÁRIOS'!$G$5:$G$500,"E",'LANÇAMENTOS DIÁRIOS'!$C$5:$C$500,$A43,'LANÇAMENTOS DIÁRIOS'!$O$5:$O$500,"&lt;=107999",'LANÇAMENTOS DIÁRIOS'!$P$5:$P$500,"&gt;=107900")&gt;0,"X","")</f>
      </c>
      <c r="AA43" s="56" t="str">
        <f>IF(COUNTIFS('LANÇAMENTOS DIÁRIOS'!$G$5:$G$500,"E",'LANÇAMENTOS DIÁRIOS'!$C$5:$C$500,$A43,'LANÇAMENTOS DIÁRIOS'!$O$5:$O$500,"&lt;=108099",'LANÇAMENTOS DIÁRIOS'!$P$5:$P$500,"&gt;=108000")&gt;0,"X","")</f>
      </c>
      <c r="AB43" s="56" t="str">
        <f>IF(COUNTIFS('LANÇAMENTOS DIÁRIOS'!$G$5:$G$500,"E",'LANÇAMENTOS DIÁRIOS'!$C$5:$C$500,$A43,'LANÇAMENTOS DIÁRIOS'!$O$5:$O$500,"&lt;=108199",'LANÇAMENTOS DIÁRIOS'!$P$5:$P$500,"&gt;=108100")&gt;0,"X","")</f>
      </c>
      <c r="AC43" s="56" t="str">
        <f>IF(COUNTIFS('LANÇAMENTOS DIÁRIOS'!$G$5:$G$500,"E",'LANÇAMENTOS DIÁRIOS'!$C$5:$C$500,$A43,'LANÇAMENTOS DIÁRIOS'!$O$5:$O$500,"&lt;=108299",'LANÇAMENTOS DIÁRIOS'!$P$5:$P$500,"&gt;=108200")&gt;0,"X","")</f>
      </c>
      <c r="AD43" s="56" t="str">
        <f>IF(COUNTIFS('LANÇAMENTOS DIÁRIOS'!$G$5:$G$500,"E",'LANÇAMENTOS DIÁRIOS'!$C$5:$C$500,$A43,'LANÇAMENTOS DIÁRIOS'!$O$5:$O$500,"&lt;=108399",'LANÇAMENTOS DIÁRIOS'!$P$5:$P$500,"&gt;=108300")&gt;0,"X","")</f>
      </c>
      <c r="AE43" s="56" t="str">
        <f>IF(COUNTIFS('LANÇAMENTOS DIÁRIOS'!$G$5:$G$500,"E",'LANÇAMENTOS DIÁRIOS'!$C$5:$C$500,$A43,'LANÇAMENTOS DIÁRIOS'!$O$5:$O$500,"&lt;=108499",'LANÇAMENTOS DIÁRIOS'!$P$5:$P$500,"&gt;=108400")&gt;0,"X","")</f>
      </c>
      <c r="AF43" s="56" t="str">
        <f>IF(COUNTIFS('LANÇAMENTOS DIÁRIOS'!$G$5:$G$500,"E",'LANÇAMENTOS DIÁRIOS'!$C$5:$C$500,$A43,'LANÇAMENTOS DIÁRIOS'!$O$5:$O$500,"&lt;=108599",'LANÇAMENTOS DIÁRIOS'!$P$5:$P$500,"&gt;=108500")&gt;0,"X","")</f>
      </c>
      <c r="AG43" s="56" t="str">
        <f>IF(COUNTIFS('LANÇAMENTOS DIÁRIOS'!$G$5:$G$500,"E",'LANÇAMENTOS DIÁRIOS'!$C$5:$C$500,$A43,'LANÇAMENTOS DIÁRIOS'!$O$5:$O$500,"&lt;=108699",'LANÇAMENTOS DIÁRIOS'!$P$5:$P$500,"&gt;=108600")&gt;0,"X","")</f>
      </c>
      <c r="AH43" s="56" t="str">
        <f>IF(COUNTIFS('LANÇAMENTOS DIÁRIOS'!$G$5:$G$500,"E",'LANÇAMENTOS DIÁRIOS'!$C$5:$C$500,$A43,'LANÇAMENTOS DIÁRIOS'!$O$5:$O$500,"&lt;=108799",'LANÇAMENTOS DIÁRIOS'!$P$5:$P$500,"&gt;=108700")&gt;0,"X","")</f>
      </c>
      <c r="AI43" s="56" t="str">
        <f>IF(COUNTIFS('LANÇAMENTOS DIÁRIOS'!$G$5:$G$500,"E",'LANÇAMENTOS DIÁRIOS'!$C$5:$C$500,$A43,'LANÇAMENTOS DIÁRIOS'!$O$5:$O$500,"&lt;=108899",'LANÇAMENTOS DIÁRIOS'!$P$5:$P$500,"&gt;=108800")&gt;0,"X","")</f>
      </c>
      <c r="AJ43" s="56" t="str">
        <f>IF(COUNTIFS('LANÇAMENTOS DIÁRIOS'!$G$5:$G$500,"E",'LANÇAMENTOS DIÁRIOS'!$C$5:$C$500,$A43,'LANÇAMENTOS DIÁRIOS'!$O$5:$O$500,"&lt;=108999",'LANÇAMENTOS DIÁRIOS'!$P$5:$P$500,"&gt;=108900")&gt;0,"X","")</f>
      </c>
      <c r="AK43" s="56" t="str">
        <f>IF(COUNTIFS('LANÇAMENTOS DIÁRIOS'!$G$5:$G$500,"E",'LANÇAMENTOS DIÁRIOS'!$C$5:$C$500,$A43,'LANÇAMENTOS DIÁRIOS'!$O$5:$O$500,"&lt;=109099",'LANÇAMENTOS DIÁRIOS'!$P$5:$P$500,"&gt;=109000")&gt;0,"X","")</f>
      </c>
      <c r="AL43" s="56" t="str">
        <f>IF(COUNTIFS('LANÇAMENTOS DIÁRIOS'!$G$5:$G$500,"E",'LANÇAMENTOS DIÁRIOS'!$C$5:$C$500,$A43,'LANÇAMENTOS DIÁRIOS'!$O$5:$O$500,"&lt;=109199",'LANÇAMENTOS DIÁRIOS'!$P$5:$P$500,"&gt;=109100")&gt;0,"X","")</f>
      </c>
      <c r="AM43" s="56" t="str">
        <f>IF(COUNTIFS('LANÇAMENTOS DIÁRIOS'!$G$5:$G$500,"E",'LANÇAMENTOS DIÁRIOS'!$C$5:$C$500,$A43,'LANÇAMENTOS DIÁRIOS'!$O$5:$O$500,"&lt;=109299",'LANÇAMENTOS DIÁRIOS'!$P$5:$P$500,"&gt;=109200")&gt;0,"X","")</f>
      </c>
      <c r="AN43" s="56" t="str">
        <f>IF(COUNTIFS('LANÇAMENTOS DIÁRIOS'!$G$5:$G$500,"E",'LANÇAMENTOS DIÁRIOS'!$C$5:$C$500,$A43,'LANÇAMENTOS DIÁRIOS'!$O$5:$O$500,"&lt;=109399",'LANÇAMENTOS DIÁRIOS'!$P$5:$P$500,"&gt;=109300")&gt;0,"X","")</f>
      </c>
      <c r="AO43" s="56" t="str">
        <f>IF(COUNTIFS('LANÇAMENTOS DIÁRIOS'!$G$5:$G$500,"E",'LANÇAMENTOS DIÁRIOS'!$C$5:$C$500,$A43,'LANÇAMENTOS DIÁRIOS'!$O$5:$O$500,"&lt;=109499",'LANÇAMENTOS DIÁRIOS'!$P$5:$P$500,"&gt;=109400")&gt;0,"X","")</f>
      </c>
      <c r="AP43" s="56" t="str">
        <f>IF(COUNTIFS('LANÇAMENTOS DIÁRIOS'!$G$5:$G$500,"E",'LANÇAMENTOS DIÁRIOS'!$C$5:$C$500,$A43,'LANÇAMENTOS DIÁRIOS'!$O$5:$O$500,"&lt;=109599",'LANÇAMENTOS DIÁRIOS'!$P$5:$P$500,"&gt;=109500")&gt;0,"X","")</f>
      </c>
      <c r="AQ43" s="56" t="str">
        <f>IF(COUNTIFS('LANÇAMENTOS DIÁRIOS'!$G$5:$G$500,"E",'LANÇAMENTOS DIÁRIOS'!$C$5:$C$500,$A43,'LANÇAMENTOS DIÁRIOS'!$O$5:$O$500,"&lt;=109699",'LANÇAMENTOS DIÁRIOS'!$P$5:$P$500,"&gt;=109600")&gt;0,"X","")</f>
      </c>
      <c r="AR43" s="56" t="str">
        <f>IF(COUNTIFS('LANÇAMENTOS DIÁRIOS'!$G$5:$G$500,"E",'LANÇAMENTOS DIÁRIOS'!$C$5:$C$500,$A43,'LANÇAMENTOS DIÁRIOS'!$O$5:$O$500,"&lt;=109799",'LANÇAMENTOS DIÁRIOS'!$P$5:$P$500,"&gt;=109700")&gt;0,"X","")</f>
      </c>
      <c r="AS43" s="56" t="str">
        <f>IF(COUNTIFS('LANÇAMENTOS DIÁRIOS'!$G$5:$G$500,"E",'LANÇAMENTOS DIÁRIOS'!$C$5:$C$500,$A43,'LANÇAMENTOS DIÁRIOS'!$O$5:$O$500,"&lt;=109899",'LANÇAMENTOS DIÁRIOS'!$P$5:$P$500,"&gt;=109800")&gt;0,"X","")</f>
      </c>
      <c r="AT43" s="56" t="str">
        <f>IF(COUNTIFS('LANÇAMENTOS DIÁRIOS'!$G$5:$G$500,"E",'LANÇAMENTOS DIÁRIOS'!$C$5:$C$500,$A43,'LANÇAMENTOS DIÁRIOS'!$O$5:$O$500,"&lt;=109999",'LANÇAMENTOS DIÁRIOS'!$P$5:$P$500,"&gt;=109900")&gt;0,"X","")</f>
      </c>
      <c r="AU43" s="56" t="str">
        <f>IF(COUNTIFS('LANÇAMENTOS DIÁRIOS'!$G$5:$G$500,"E",'LANÇAMENTOS DIÁRIOS'!$C$5:$C$500,$A43,'LANÇAMENTOS DIÁRIOS'!$O$5:$O$500,"&lt;=110099",'LANÇAMENTOS DIÁRIOS'!$P$5:$P$500,"&gt;=110000")&gt;0,"X","")</f>
      </c>
      <c r="AV43" s="56" t="str">
        <f>IF(COUNTIFS('LANÇAMENTOS DIÁRIOS'!$G$5:$G$500,"E",'LANÇAMENTOS DIÁRIOS'!$C$5:$C$500,$A43,'LANÇAMENTOS DIÁRIOS'!$O$5:$O$500,"&lt;=110199",'LANÇAMENTOS DIÁRIOS'!$P$5:$P$500,"&gt;=110100")&gt;0,"X","")</f>
      </c>
      <c r="AW43" s="56" t="str">
        <f>IF(COUNTIFS('LANÇAMENTOS DIÁRIOS'!$G$5:$G$500,"E",'LANÇAMENTOS DIÁRIOS'!$C$5:$C$500,$A43,'LANÇAMENTOS DIÁRIOS'!$O$5:$O$500,"&lt;=110299",'LANÇAMENTOS DIÁRIOS'!$P$5:$P$500,"&gt;=110200")&gt;0,"X","")</f>
      </c>
      <c r="AX43" s="56" t="str">
        <f>IF(COUNTIFS('LANÇAMENTOS DIÁRIOS'!$G$5:$G$500,"E",'LANÇAMENTOS DIÁRIOS'!$C$5:$C$500,$A43,'LANÇAMENTOS DIÁRIOS'!$O$5:$O$500,"&lt;=110399",'LANÇAMENTOS DIÁRIOS'!$P$5:$P$500,"&gt;=110300")&gt;0,"X","")</f>
      </c>
      <c r="AY43" s="56" t="str">
        <f>IF(COUNTIFS('LANÇAMENTOS DIÁRIOS'!$G$5:$G$500,"E",'LANÇAMENTOS DIÁRIOS'!$C$5:$C$500,$A43,'LANÇAMENTOS DIÁRIOS'!$O$5:$O$500,"&lt;=110499",'LANÇAMENTOS DIÁRIOS'!$P$5:$P$500,"&gt;=110400")&gt;0,"X","")</f>
      </c>
      <c r="AZ43" s="56" t="str">
        <f>IF(COUNTIFS('LANÇAMENTOS DIÁRIOS'!$G$5:$G$500,"E",'LANÇAMENTOS DIÁRIOS'!$C$5:$C$500,$A43,'LANÇAMENTOS DIÁRIOS'!$O$5:$O$500,"&lt;=110599",'LANÇAMENTOS DIÁRIOS'!$P$5:$P$500,"&gt;=110500")&gt;0,"X","")</f>
      </c>
      <c r="BA43" s="56" t="str">
        <f>IF(COUNTIFS('LANÇAMENTOS DIÁRIOS'!$G$5:$G$500,"E",'LANÇAMENTOS DIÁRIOS'!$C$5:$C$500,$A43,'LANÇAMENTOS DIÁRIOS'!$O$5:$O$500,"&lt;=110699",'LANÇAMENTOS DIÁRIOS'!$P$5:$P$500,"&gt;=110600")&gt;0,"X","")</f>
      </c>
      <c r="BB43" s="56" t="str">
        <f>IF(COUNTIFS('LANÇAMENTOS DIÁRIOS'!$G$5:$G$500,"E",'LANÇAMENTOS DIÁRIOS'!$C$5:$C$500,$A43,'LANÇAMENTOS DIÁRIOS'!$O$5:$O$500,"&lt;=110799",'LANÇAMENTOS DIÁRIOS'!$P$5:$P$500,"&gt;=110700")&gt;0,"X","")</f>
      </c>
      <c r="BC43" s="56" t="str">
        <f>IF(COUNTIFS('LANÇAMENTOS DIÁRIOS'!$G$5:$G$500,"E",'LANÇAMENTOS DIÁRIOS'!$C$5:$C$500,$A43,'LANÇAMENTOS DIÁRIOS'!$O$5:$O$500,"&lt;=110899",'LANÇAMENTOS DIÁRIOS'!$P$5:$P$500,"&gt;=110800")&gt;0,"X","")</f>
      </c>
      <c r="BD43" s="56" t="str">
        <f>IF(COUNTIFS('LANÇAMENTOS DIÁRIOS'!$G$5:$G$500,"E",'LANÇAMENTOS DIÁRIOS'!$C$5:$C$500,$A43,'LANÇAMENTOS DIÁRIOS'!$O$5:$O$500,"&lt;=110999",'LANÇAMENTOS DIÁRIOS'!$P$5:$P$500,"&gt;=110900")&gt;0,"X","")</f>
      </c>
      <c r="BE43" s="56" t="str">
        <f>IF(COUNTIFS('LANÇAMENTOS DIÁRIOS'!$G$5:$G$500,"E",'LANÇAMENTOS DIÁRIOS'!$C$5:$C$500,$A43,'LANÇAMENTOS DIÁRIOS'!$O$5:$O$500,"&lt;=111099",'LANÇAMENTOS DIÁRIOS'!$P$5:$P$500,"&gt;=111000")&gt;0,"X","")</f>
      </c>
      <c r="BF43" s="56" t="str">
        <f>IF(COUNTIFS('LANÇAMENTOS DIÁRIOS'!$G$5:$G$500,"E",'LANÇAMENTOS DIÁRIOS'!$C$5:$C$500,$A43,'LANÇAMENTOS DIÁRIOS'!$O$5:$O$500,"&lt;=111199",'LANÇAMENTOS DIÁRIOS'!$P$5:$P$500,"&gt;=111100")&gt;0,"X","")</f>
      </c>
      <c r="BG43" s="56" t="str">
        <f>IF(COUNTIFS('LANÇAMENTOS DIÁRIOS'!$G$5:$G$500,"E",'LANÇAMENTOS DIÁRIOS'!$C$5:$C$500,$A43,'LANÇAMENTOS DIÁRIOS'!$O$5:$O$500,"&lt;=111299",'LANÇAMENTOS DIÁRIOS'!$P$5:$P$500,"&gt;=111200")&gt;0,"X","")</f>
      </c>
      <c r="BH43" s="56" t="str">
        <f>IF(COUNTIFS('LANÇAMENTOS DIÁRIOS'!$G$5:$G$500,"E",'LANÇAMENTOS DIÁRIOS'!$C$5:$C$500,$A43,'LANÇAMENTOS DIÁRIOS'!$O$5:$O$500,"&lt;=111399",'LANÇAMENTOS DIÁRIOS'!$P$5:$P$500,"&gt;=111300")&gt;0,"X","")</f>
      </c>
      <c r="BI43" s="56" t="str">
        <f>IF(COUNTIFS('LANÇAMENTOS DIÁRIOS'!$G$5:$G$500,"E",'LANÇAMENTOS DIÁRIOS'!$C$5:$C$500,$A43,'LANÇAMENTOS DIÁRIOS'!$O$5:$O$500,"&lt;=111499",'LANÇAMENTOS DIÁRIOS'!$P$5:$P$500,"&gt;=111400")&gt;0,"X","")</f>
      </c>
      <c r="BJ43" s="56" t="str">
        <f>IF(COUNTIFS('LANÇAMENTOS DIÁRIOS'!$G$5:$G$500,"E",'LANÇAMENTOS DIÁRIOS'!$C$5:$C$500,$A43,'LANÇAMENTOS DIÁRIOS'!$O$5:$O$500,"&lt;=111500",'LANÇAMENTOS DIÁRIOS'!$P$5:$P$500,"&gt;=111500")&gt;0,"X","")</f>
      </c>
    </row>
    <row r="44" ht="19" customHeight="1">
      <c r="A44" s="68" t="str">
        <v>Aterro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</row>
    <row r="45">
      <c r="A45" s="51" t="str">
        <v>Compactação de aterro a 95% do proctor normal</v>
      </c>
      <c r="B45" s="56" t="str">
        <f>IF(COUNTIFS('LANÇAMENTOS DIÁRIOS'!$G$5:$G$500,"E",'LANÇAMENTOS DIÁRIOS'!$C$5:$C$500,$A45,'LANÇAMENTOS DIÁRIOS'!$O$5:$O$500,"&lt;=105599",'LANÇAMENTOS DIÁRIOS'!$P$5:$P$500,"&gt;=105500")&gt;0,"X","")</f>
      </c>
      <c r="C45" s="56" t="str">
        <f>IF(COUNTIFS('LANÇAMENTOS DIÁRIOS'!$G$5:$G$500,"E",'LANÇAMENTOS DIÁRIOS'!$C$5:$C$500,$A45,'LANÇAMENTOS DIÁRIOS'!$O$5:$O$500,"&lt;=105699",'LANÇAMENTOS DIÁRIOS'!$P$5:$P$500,"&gt;=105600")&gt;0,"X","")</f>
      </c>
      <c r="D45" s="56" t="str">
        <f>IF(COUNTIFS('LANÇAMENTOS DIÁRIOS'!$G$5:$G$500,"E",'LANÇAMENTOS DIÁRIOS'!$C$5:$C$500,$A45,'LANÇAMENTOS DIÁRIOS'!$O$5:$O$500,"&lt;=105799",'LANÇAMENTOS DIÁRIOS'!$P$5:$P$500,"&gt;=105700")&gt;0,"X","")</f>
      </c>
      <c r="E45" s="56" t="str">
        <f>IF(COUNTIFS('LANÇAMENTOS DIÁRIOS'!$G$5:$G$500,"E",'LANÇAMENTOS DIÁRIOS'!$C$5:$C$500,$A45,'LANÇAMENTOS DIÁRIOS'!$O$5:$O$500,"&lt;=105899",'LANÇAMENTOS DIÁRIOS'!$P$5:$P$500,"&gt;=105800")&gt;0,"X","")</f>
      </c>
      <c r="F45" s="56" t="str">
        <f>IF(COUNTIFS('LANÇAMENTOS DIÁRIOS'!$G$5:$G$500,"E",'LANÇAMENTOS DIÁRIOS'!$C$5:$C$500,$A45,'LANÇAMENTOS DIÁRIOS'!$O$5:$O$500,"&lt;=105999",'LANÇAMENTOS DIÁRIOS'!$P$5:$P$500,"&gt;=105900")&gt;0,"X","")</f>
      </c>
      <c r="G45" s="56" t="str">
        <f>IF(COUNTIFS('LANÇAMENTOS DIÁRIOS'!$G$5:$G$500,"E",'LANÇAMENTOS DIÁRIOS'!$C$5:$C$500,$A45,'LANÇAMENTOS DIÁRIOS'!$O$5:$O$500,"&lt;=106099",'LANÇAMENTOS DIÁRIOS'!$P$5:$P$500,"&gt;=106000")&gt;0,"X","")</f>
      </c>
      <c r="H45" s="56" t="str">
        <f>IF(COUNTIFS('LANÇAMENTOS DIÁRIOS'!$G$5:$G$500,"E",'LANÇAMENTOS DIÁRIOS'!$C$5:$C$500,$A45,'LANÇAMENTOS DIÁRIOS'!$O$5:$O$500,"&lt;=106199",'LANÇAMENTOS DIÁRIOS'!$P$5:$P$500,"&gt;=106100")&gt;0,"X","")</f>
      </c>
      <c r="I45" s="56" t="str">
        <f>IF(COUNTIFS('LANÇAMENTOS DIÁRIOS'!$G$5:$G$500,"E",'LANÇAMENTOS DIÁRIOS'!$C$5:$C$500,$A45,'LANÇAMENTOS DIÁRIOS'!$O$5:$O$500,"&lt;=106299",'LANÇAMENTOS DIÁRIOS'!$P$5:$P$500,"&gt;=106200")&gt;0,"X","")</f>
      </c>
      <c r="J45" s="56" t="str">
        <f>IF(COUNTIFS('LANÇAMENTOS DIÁRIOS'!$G$5:$G$500,"E",'LANÇAMENTOS DIÁRIOS'!$C$5:$C$500,$A45,'LANÇAMENTOS DIÁRIOS'!$O$5:$O$500,"&lt;=106399",'LANÇAMENTOS DIÁRIOS'!$P$5:$P$500,"&gt;=106300")&gt;0,"X","")</f>
      </c>
      <c r="K45" s="56" t="str">
        <f>IF(COUNTIFS('LANÇAMENTOS DIÁRIOS'!$G$5:$G$500,"E",'LANÇAMENTOS DIÁRIOS'!$C$5:$C$500,$A45,'LANÇAMENTOS DIÁRIOS'!$O$5:$O$500,"&lt;=106499",'LANÇAMENTOS DIÁRIOS'!$P$5:$P$500,"&gt;=106400")&gt;0,"X","")</f>
      </c>
      <c r="L45" s="56" t="str">
        <f>IF(COUNTIFS('LANÇAMENTOS DIÁRIOS'!$G$5:$G$500,"E",'LANÇAMENTOS DIÁRIOS'!$C$5:$C$500,$A45,'LANÇAMENTOS DIÁRIOS'!$O$5:$O$500,"&lt;=106599",'LANÇAMENTOS DIÁRIOS'!$P$5:$P$500,"&gt;=106500")&gt;0,"X","")</f>
      </c>
      <c r="M45" s="56" t="str">
        <f>IF(COUNTIFS('LANÇAMENTOS DIÁRIOS'!$G$5:$G$500,"E",'LANÇAMENTOS DIÁRIOS'!$C$5:$C$500,$A45,'LANÇAMENTOS DIÁRIOS'!$O$5:$O$500,"&lt;=106699",'LANÇAMENTOS DIÁRIOS'!$P$5:$P$500,"&gt;=106600")&gt;0,"X","")</f>
      </c>
      <c r="N45" s="56" t="str">
        <f>IF(COUNTIFS('LANÇAMENTOS DIÁRIOS'!$G$5:$G$500,"E",'LANÇAMENTOS DIÁRIOS'!$C$5:$C$500,$A45,'LANÇAMENTOS DIÁRIOS'!$O$5:$O$500,"&lt;=106799",'LANÇAMENTOS DIÁRIOS'!$P$5:$P$500,"&gt;=106700")&gt;0,"X","")</f>
      </c>
      <c r="O45" s="56" t="str">
        <f>IF(COUNTIFS('LANÇAMENTOS DIÁRIOS'!$G$5:$G$500,"E",'LANÇAMENTOS DIÁRIOS'!$C$5:$C$500,$A45,'LANÇAMENTOS DIÁRIOS'!$O$5:$O$500,"&lt;=106899",'LANÇAMENTOS DIÁRIOS'!$P$5:$P$500,"&gt;=106800")&gt;0,"X","")</f>
      </c>
      <c r="P45" s="56" t="str">
        <f>IF(COUNTIFS('LANÇAMENTOS DIÁRIOS'!$G$5:$G$500,"E",'LANÇAMENTOS DIÁRIOS'!$C$5:$C$500,$A45,'LANÇAMENTOS DIÁRIOS'!$O$5:$O$500,"&lt;=106999",'LANÇAMENTOS DIÁRIOS'!$P$5:$P$500,"&gt;=106900")&gt;0,"X","")</f>
      </c>
      <c r="Q45" s="56" t="str">
        <f>IF(COUNTIFS('LANÇAMENTOS DIÁRIOS'!$G$5:$G$500,"E",'LANÇAMENTOS DIÁRIOS'!$C$5:$C$500,$A45,'LANÇAMENTOS DIÁRIOS'!$O$5:$O$500,"&lt;=107099",'LANÇAMENTOS DIÁRIOS'!$P$5:$P$500,"&gt;=107000")&gt;0,"X","")</f>
      </c>
      <c r="R45" s="56" t="str">
        <f>IF(COUNTIFS('LANÇAMENTOS DIÁRIOS'!$G$5:$G$500,"E",'LANÇAMENTOS DIÁRIOS'!$C$5:$C$500,$A45,'LANÇAMENTOS DIÁRIOS'!$O$5:$O$500,"&lt;=107199",'LANÇAMENTOS DIÁRIOS'!$P$5:$P$500,"&gt;=107100")&gt;0,"X","")</f>
      </c>
      <c r="S45" s="56" t="str">
        <f>IF(COUNTIFS('LANÇAMENTOS DIÁRIOS'!$G$5:$G$500,"E",'LANÇAMENTOS DIÁRIOS'!$C$5:$C$500,$A45,'LANÇAMENTOS DIÁRIOS'!$O$5:$O$500,"&lt;=107299",'LANÇAMENTOS DIÁRIOS'!$P$5:$P$500,"&gt;=107200")&gt;0,"X","")</f>
      </c>
      <c r="T45" s="56" t="str">
        <f>IF(COUNTIFS('LANÇAMENTOS DIÁRIOS'!$G$5:$G$500,"E",'LANÇAMENTOS DIÁRIOS'!$C$5:$C$500,$A45,'LANÇAMENTOS DIÁRIOS'!$O$5:$O$500,"&lt;=107399",'LANÇAMENTOS DIÁRIOS'!$P$5:$P$500,"&gt;=107300")&gt;0,"X","")</f>
      </c>
      <c r="U45" s="56" t="str">
        <f>IF(COUNTIFS('LANÇAMENTOS DIÁRIOS'!$G$5:$G$500,"E",'LANÇAMENTOS DIÁRIOS'!$C$5:$C$500,$A45,'LANÇAMENTOS DIÁRIOS'!$O$5:$O$500,"&lt;=107499",'LANÇAMENTOS DIÁRIOS'!$P$5:$P$500,"&gt;=107400")&gt;0,"X","")</f>
      </c>
      <c r="V45" s="56" t="str">
        <f>IF(COUNTIFS('LANÇAMENTOS DIÁRIOS'!$G$5:$G$500,"E",'LANÇAMENTOS DIÁRIOS'!$C$5:$C$500,$A45,'LANÇAMENTOS DIÁRIOS'!$O$5:$O$500,"&lt;=107599",'LANÇAMENTOS DIÁRIOS'!$P$5:$P$500,"&gt;=107500")&gt;0,"X","")</f>
      </c>
      <c r="W45" s="56" t="str">
        <f>IF(COUNTIFS('LANÇAMENTOS DIÁRIOS'!$G$5:$G$500,"E",'LANÇAMENTOS DIÁRIOS'!$C$5:$C$500,$A45,'LANÇAMENTOS DIÁRIOS'!$O$5:$O$500,"&lt;=107699",'LANÇAMENTOS DIÁRIOS'!$P$5:$P$500,"&gt;=107600")&gt;0,"X","")</f>
      </c>
      <c r="X45" s="56" t="str">
        <f>IF(COUNTIFS('LANÇAMENTOS DIÁRIOS'!$G$5:$G$500,"E",'LANÇAMENTOS DIÁRIOS'!$C$5:$C$500,$A45,'LANÇAMENTOS DIÁRIOS'!$O$5:$O$500,"&lt;=107799",'LANÇAMENTOS DIÁRIOS'!$P$5:$P$500,"&gt;=107700")&gt;0,"X","")</f>
      </c>
      <c r="Y45" s="56" t="str">
        <f>IF(COUNTIFS('LANÇAMENTOS DIÁRIOS'!$G$5:$G$500,"E",'LANÇAMENTOS DIÁRIOS'!$C$5:$C$500,$A45,'LANÇAMENTOS DIÁRIOS'!$O$5:$O$500,"&lt;=107899",'LANÇAMENTOS DIÁRIOS'!$P$5:$P$500,"&gt;=107800")&gt;0,"X","")</f>
      </c>
      <c r="Z45" s="56" t="str">
        <f>IF(COUNTIFS('LANÇAMENTOS DIÁRIOS'!$G$5:$G$500,"E",'LANÇAMENTOS DIÁRIOS'!$C$5:$C$500,$A45,'LANÇAMENTOS DIÁRIOS'!$O$5:$O$500,"&lt;=107999",'LANÇAMENTOS DIÁRIOS'!$P$5:$P$500,"&gt;=107900")&gt;0,"X","")</f>
      </c>
      <c r="AA45" s="56" t="str">
        <f>IF(COUNTIFS('LANÇAMENTOS DIÁRIOS'!$G$5:$G$500,"E",'LANÇAMENTOS DIÁRIOS'!$C$5:$C$500,$A45,'LANÇAMENTOS DIÁRIOS'!$O$5:$O$500,"&lt;=108099",'LANÇAMENTOS DIÁRIOS'!$P$5:$P$500,"&gt;=108000")&gt;0,"X","")</f>
      </c>
      <c r="AB45" s="56" t="str">
        <f>IF(COUNTIFS('LANÇAMENTOS DIÁRIOS'!$G$5:$G$500,"E",'LANÇAMENTOS DIÁRIOS'!$C$5:$C$500,$A45,'LANÇAMENTOS DIÁRIOS'!$O$5:$O$500,"&lt;=108199",'LANÇAMENTOS DIÁRIOS'!$P$5:$P$500,"&gt;=108100")&gt;0,"X","")</f>
      </c>
      <c r="AC45" s="56" t="str">
        <f>IF(COUNTIFS('LANÇAMENTOS DIÁRIOS'!$G$5:$G$500,"E",'LANÇAMENTOS DIÁRIOS'!$C$5:$C$500,$A45,'LANÇAMENTOS DIÁRIOS'!$O$5:$O$500,"&lt;=108299",'LANÇAMENTOS DIÁRIOS'!$P$5:$P$500,"&gt;=108200")&gt;0,"X","")</f>
      </c>
      <c r="AD45" s="56" t="str">
        <f>IF(COUNTIFS('LANÇAMENTOS DIÁRIOS'!$G$5:$G$500,"E",'LANÇAMENTOS DIÁRIOS'!$C$5:$C$500,$A45,'LANÇAMENTOS DIÁRIOS'!$O$5:$O$500,"&lt;=108399",'LANÇAMENTOS DIÁRIOS'!$P$5:$P$500,"&gt;=108300")&gt;0,"X","")</f>
      </c>
      <c r="AE45" s="56" t="str">
        <f>IF(COUNTIFS('LANÇAMENTOS DIÁRIOS'!$G$5:$G$500,"E",'LANÇAMENTOS DIÁRIOS'!$C$5:$C$500,$A45,'LANÇAMENTOS DIÁRIOS'!$O$5:$O$500,"&lt;=108499",'LANÇAMENTOS DIÁRIOS'!$P$5:$P$500,"&gt;=108400")&gt;0,"X","")</f>
      </c>
      <c r="AF45" s="56" t="str">
        <f>IF(COUNTIFS('LANÇAMENTOS DIÁRIOS'!$G$5:$G$500,"E",'LANÇAMENTOS DIÁRIOS'!$C$5:$C$500,$A45,'LANÇAMENTOS DIÁRIOS'!$O$5:$O$500,"&lt;=108599",'LANÇAMENTOS DIÁRIOS'!$P$5:$P$500,"&gt;=108500")&gt;0,"X","")</f>
      </c>
      <c r="AG45" s="56" t="str">
        <f>IF(COUNTIFS('LANÇAMENTOS DIÁRIOS'!$G$5:$G$500,"E",'LANÇAMENTOS DIÁRIOS'!$C$5:$C$500,$A45,'LANÇAMENTOS DIÁRIOS'!$O$5:$O$500,"&lt;=108699",'LANÇAMENTOS DIÁRIOS'!$P$5:$P$500,"&gt;=108600")&gt;0,"X","")</f>
      </c>
      <c r="AH45" s="56" t="str">
        <f>IF(COUNTIFS('LANÇAMENTOS DIÁRIOS'!$G$5:$G$500,"E",'LANÇAMENTOS DIÁRIOS'!$C$5:$C$500,$A45,'LANÇAMENTOS DIÁRIOS'!$O$5:$O$500,"&lt;=108799",'LANÇAMENTOS DIÁRIOS'!$P$5:$P$500,"&gt;=108700")&gt;0,"X","")</f>
      </c>
      <c r="AI45" s="56" t="str">
        <f>IF(COUNTIFS('LANÇAMENTOS DIÁRIOS'!$G$5:$G$500,"E",'LANÇAMENTOS DIÁRIOS'!$C$5:$C$500,$A45,'LANÇAMENTOS DIÁRIOS'!$O$5:$O$500,"&lt;=108899",'LANÇAMENTOS DIÁRIOS'!$P$5:$P$500,"&gt;=108800")&gt;0,"X","")</f>
      </c>
      <c r="AJ45" s="56" t="str">
        <f>IF(COUNTIFS('LANÇAMENTOS DIÁRIOS'!$G$5:$G$500,"E",'LANÇAMENTOS DIÁRIOS'!$C$5:$C$500,$A45,'LANÇAMENTOS DIÁRIOS'!$O$5:$O$500,"&lt;=108999",'LANÇAMENTOS DIÁRIOS'!$P$5:$P$500,"&gt;=108900")&gt;0,"X","")</f>
      </c>
      <c r="AK45" s="56" t="str">
        <f>IF(COUNTIFS('LANÇAMENTOS DIÁRIOS'!$G$5:$G$500,"E",'LANÇAMENTOS DIÁRIOS'!$C$5:$C$500,$A45,'LANÇAMENTOS DIÁRIOS'!$O$5:$O$500,"&lt;=109099",'LANÇAMENTOS DIÁRIOS'!$P$5:$P$500,"&gt;=109000")&gt;0,"X","")</f>
      </c>
      <c r="AL45" s="56" t="str">
        <f>IF(COUNTIFS('LANÇAMENTOS DIÁRIOS'!$G$5:$G$500,"E",'LANÇAMENTOS DIÁRIOS'!$C$5:$C$500,$A45,'LANÇAMENTOS DIÁRIOS'!$O$5:$O$500,"&lt;=109199",'LANÇAMENTOS DIÁRIOS'!$P$5:$P$500,"&gt;=109100")&gt;0,"X","")</f>
      </c>
      <c r="AM45" s="56" t="str">
        <f>IF(COUNTIFS('LANÇAMENTOS DIÁRIOS'!$G$5:$G$500,"E",'LANÇAMENTOS DIÁRIOS'!$C$5:$C$500,$A45,'LANÇAMENTOS DIÁRIOS'!$O$5:$O$500,"&lt;=109299",'LANÇAMENTOS DIÁRIOS'!$P$5:$P$500,"&gt;=109200")&gt;0,"X","")</f>
      </c>
      <c r="AN45" s="56" t="str">
        <f>IF(COUNTIFS('LANÇAMENTOS DIÁRIOS'!$G$5:$G$500,"E",'LANÇAMENTOS DIÁRIOS'!$C$5:$C$500,$A45,'LANÇAMENTOS DIÁRIOS'!$O$5:$O$500,"&lt;=109399",'LANÇAMENTOS DIÁRIOS'!$P$5:$P$500,"&gt;=109300")&gt;0,"X","")</f>
      </c>
      <c r="AO45" s="56" t="str">
        <f>IF(COUNTIFS('LANÇAMENTOS DIÁRIOS'!$G$5:$G$500,"E",'LANÇAMENTOS DIÁRIOS'!$C$5:$C$500,$A45,'LANÇAMENTOS DIÁRIOS'!$O$5:$O$500,"&lt;=109499",'LANÇAMENTOS DIÁRIOS'!$P$5:$P$500,"&gt;=109400")&gt;0,"X","")</f>
      </c>
      <c r="AP45" s="56" t="str">
        <f>IF(COUNTIFS('LANÇAMENTOS DIÁRIOS'!$G$5:$G$500,"E",'LANÇAMENTOS DIÁRIOS'!$C$5:$C$500,$A45,'LANÇAMENTOS DIÁRIOS'!$O$5:$O$500,"&lt;=109599",'LANÇAMENTOS DIÁRIOS'!$P$5:$P$500,"&gt;=109500")&gt;0,"X","")</f>
      </c>
      <c r="AQ45" s="56" t="str">
        <f>IF(COUNTIFS('LANÇAMENTOS DIÁRIOS'!$G$5:$G$500,"E",'LANÇAMENTOS DIÁRIOS'!$C$5:$C$500,$A45,'LANÇAMENTOS DIÁRIOS'!$O$5:$O$500,"&lt;=109699",'LANÇAMENTOS DIÁRIOS'!$P$5:$P$500,"&gt;=109600")&gt;0,"X","")</f>
      </c>
      <c r="AR45" s="56" t="str">
        <f>IF(COUNTIFS('LANÇAMENTOS DIÁRIOS'!$G$5:$G$500,"E",'LANÇAMENTOS DIÁRIOS'!$C$5:$C$500,$A45,'LANÇAMENTOS DIÁRIOS'!$O$5:$O$500,"&lt;=109799",'LANÇAMENTOS DIÁRIOS'!$P$5:$P$500,"&gt;=109700")&gt;0,"X","")</f>
      </c>
      <c r="AS45" s="56" t="str">
        <f>IF(COUNTIFS('LANÇAMENTOS DIÁRIOS'!$G$5:$G$500,"E",'LANÇAMENTOS DIÁRIOS'!$C$5:$C$500,$A45,'LANÇAMENTOS DIÁRIOS'!$O$5:$O$500,"&lt;=109899",'LANÇAMENTOS DIÁRIOS'!$P$5:$P$500,"&gt;=109800")&gt;0,"X","")</f>
      </c>
      <c r="AT45" s="56" t="str">
        <f>IF(COUNTIFS('LANÇAMENTOS DIÁRIOS'!$G$5:$G$500,"E",'LANÇAMENTOS DIÁRIOS'!$C$5:$C$500,$A45,'LANÇAMENTOS DIÁRIOS'!$O$5:$O$500,"&lt;=109999",'LANÇAMENTOS DIÁRIOS'!$P$5:$P$500,"&gt;=109900")&gt;0,"X","")</f>
      </c>
      <c r="AU45" s="56" t="str">
        <f>IF(COUNTIFS('LANÇAMENTOS DIÁRIOS'!$G$5:$G$500,"E",'LANÇAMENTOS DIÁRIOS'!$C$5:$C$500,$A45,'LANÇAMENTOS DIÁRIOS'!$O$5:$O$500,"&lt;=110099",'LANÇAMENTOS DIÁRIOS'!$P$5:$P$500,"&gt;=110000")&gt;0,"X","")</f>
      </c>
      <c r="AV45" s="56" t="str">
        <f>IF(COUNTIFS('LANÇAMENTOS DIÁRIOS'!$G$5:$G$500,"E",'LANÇAMENTOS DIÁRIOS'!$C$5:$C$500,$A45,'LANÇAMENTOS DIÁRIOS'!$O$5:$O$500,"&lt;=110199",'LANÇAMENTOS DIÁRIOS'!$P$5:$P$500,"&gt;=110100")&gt;0,"X","")</f>
      </c>
      <c r="AW45" s="56" t="str">
        <f>IF(COUNTIFS('LANÇAMENTOS DIÁRIOS'!$G$5:$G$500,"E",'LANÇAMENTOS DIÁRIOS'!$C$5:$C$500,$A45,'LANÇAMENTOS DIÁRIOS'!$O$5:$O$500,"&lt;=110299",'LANÇAMENTOS DIÁRIOS'!$P$5:$P$500,"&gt;=110200")&gt;0,"X","")</f>
      </c>
      <c r="AX45" s="56" t="str">
        <f>IF(COUNTIFS('LANÇAMENTOS DIÁRIOS'!$G$5:$G$500,"E",'LANÇAMENTOS DIÁRIOS'!$C$5:$C$500,$A45,'LANÇAMENTOS DIÁRIOS'!$O$5:$O$500,"&lt;=110399",'LANÇAMENTOS DIÁRIOS'!$P$5:$P$500,"&gt;=110300")&gt;0,"X","")</f>
      </c>
      <c r="AY45" s="56" t="str">
        <f>IF(COUNTIFS('LANÇAMENTOS DIÁRIOS'!$G$5:$G$500,"E",'LANÇAMENTOS DIÁRIOS'!$C$5:$C$500,$A45,'LANÇAMENTOS DIÁRIOS'!$O$5:$O$500,"&lt;=110499",'LANÇAMENTOS DIÁRIOS'!$P$5:$P$500,"&gt;=110400")&gt;0,"X","")</f>
      </c>
      <c r="AZ45" s="56" t="str">
        <f>IF(COUNTIFS('LANÇAMENTOS DIÁRIOS'!$G$5:$G$500,"E",'LANÇAMENTOS DIÁRIOS'!$C$5:$C$500,$A45,'LANÇAMENTOS DIÁRIOS'!$O$5:$O$500,"&lt;=110599",'LANÇAMENTOS DIÁRIOS'!$P$5:$P$500,"&gt;=110500")&gt;0,"X","")</f>
      </c>
      <c r="BA45" s="56" t="str">
        <f>IF(COUNTIFS('LANÇAMENTOS DIÁRIOS'!$G$5:$G$500,"E",'LANÇAMENTOS DIÁRIOS'!$C$5:$C$500,$A45,'LANÇAMENTOS DIÁRIOS'!$O$5:$O$500,"&lt;=110699",'LANÇAMENTOS DIÁRIOS'!$P$5:$P$500,"&gt;=110600")&gt;0,"X","")</f>
      </c>
      <c r="BB45" s="56" t="str">
        <f>IF(COUNTIFS('LANÇAMENTOS DIÁRIOS'!$G$5:$G$500,"E",'LANÇAMENTOS DIÁRIOS'!$C$5:$C$500,$A45,'LANÇAMENTOS DIÁRIOS'!$O$5:$O$500,"&lt;=110799",'LANÇAMENTOS DIÁRIOS'!$P$5:$P$500,"&gt;=110700")&gt;0,"X","")</f>
      </c>
      <c r="BC45" s="56" t="str">
        <f>IF(COUNTIFS('LANÇAMENTOS DIÁRIOS'!$G$5:$G$500,"E",'LANÇAMENTOS DIÁRIOS'!$C$5:$C$500,$A45,'LANÇAMENTOS DIÁRIOS'!$O$5:$O$500,"&lt;=110899",'LANÇAMENTOS DIÁRIOS'!$P$5:$P$500,"&gt;=110800")&gt;0,"X","")</f>
      </c>
      <c r="BD45" s="56" t="str">
        <f>IF(COUNTIFS('LANÇAMENTOS DIÁRIOS'!$G$5:$G$500,"E",'LANÇAMENTOS DIÁRIOS'!$C$5:$C$500,$A45,'LANÇAMENTOS DIÁRIOS'!$O$5:$O$500,"&lt;=110999",'LANÇAMENTOS DIÁRIOS'!$P$5:$P$500,"&gt;=110900")&gt;0,"X","")</f>
      </c>
      <c r="BE45" s="56" t="str">
        <f>IF(COUNTIFS('LANÇAMENTOS DIÁRIOS'!$G$5:$G$500,"E",'LANÇAMENTOS DIÁRIOS'!$C$5:$C$500,$A45,'LANÇAMENTOS DIÁRIOS'!$O$5:$O$500,"&lt;=111099",'LANÇAMENTOS DIÁRIOS'!$P$5:$P$500,"&gt;=111000")&gt;0,"X","")</f>
      </c>
      <c r="BF45" s="56" t="str">
        <f>IF(COUNTIFS('LANÇAMENTOS DIÁRIOS'!$G$5:$G$500,"E",'LANÇAMENTOS DIÁRIOS'!$C$5:$C$500,$A45,'LANÇAMENTOS DIÁRIOS'!$O$5:$O$500,"&lt;=111199",'LANÇAMENTOS DIÁRIOS'!$P$5:$P$500,"&gt;=111100")&gt;0,"X","")</f>
      </c>
      <c r="BG45" s="56" t="str">
        <f>IF(COUNTIFS('LANÇAMENTOS DIÁRIOS'!$G$5:$G$500,"E",'LANÇAMENTOS DIÁRIOS'!$C$5:$C$500,$A45,'LANÇAMENTOS DIÁRIOS'!$O$5:$O$500,"&lt;=111299",'LANÇAMENTOS DIÁRIOS'!$P$5:$P$500,"&gt;=111200")&gt;0,"X","")</f>
      </c>
      <c r="BH45" s="56" t="str">
        <f>IF(COUNTIFS('LANÇAMENTOS DIÁRIOS'!$G$5:$G$500,"E",'LANÇAMENTOS DIÁRIOS'!$C$5:$C$500,$A45,'LANÇAMENTOS DIÁRIOS'!$O$5:$O$500,"&lt;=111399",'LANÇAMENTOS DIÁRIOS'!$P$5:$P$500,"&gt;=111300")&gt;0,"X","")</f>
      </c>
      <c r="BI45" s="56" t="str">
        <f>IF(COUNTIFS('LANÇAMENTOS DIÁRIOS'!$G$5:$G$500,"E",'LANÇAMENTOS DIÁRIOS'!$C$5:$C$500,$A45,'LANÇAMENTOS DIÁRIOS'!$O$5:$O$500,"&lt;=111499",'LANÇAMENTOS DIÁRIOS'!$P$5:$P$500,"&gt;=111400")&gt;0,"X","")</f>
      </c>
      <c r="BJ45" s="56" t="str">
        <f>IF(COUNTIFS('LANÇAMENTOS DIÁRIOS'!$G$5:$G$500,"E",'LANÇAMENTOS DIÁRIOS'!$C$5:$C$500,$A45,'LANÇAMENTOS DIÁRIOS'!$O$5:$O$500,"&lt;=111500",'LANÇAMENTOS DIÁRIOS'!$P$5:$P$500,"&gt;=111500")&gt;0,"X","")</f>
      </c>
    </row>
    <row r="46">
      <c r="A46" s="51" t="str">
        <v>Compactação de aterro a 100% do proctor intermediário</v>
      </c>
      <c r="B46" s="56" t="str">
        <f>IF(COUNTIFS('LANÇAMENTOS DIÁRIOS'!$G$5:$G$500,"E",'LANÇAMENTOS DIÁRIOS'!$C$5:$C$500,$A46,'LANÇAMENTOS DIÁRIOS'!$O$5:$O$500,"&lt;=105599",'LANÇAMENTOS DIÁRIOS'!$P$5:$P$500,"&gt;=105500")&gt;0,"X","")</f>
      </c>
      <c r="C46" s="56" t="str">
        <f>IF(COUNTIFS('LANÇAMENTOS DIÁRIOS'!$G$5:$G$500,"E",'LANÇAMENTOS DIÁRIOS'!$C$5:$C$500,$A46,'LANÇAMENTOS DIÁRIOS'!$O$5:$O$500,"&lt;=105699",'LANÇAMENTOS DIÁRIOS'!$P$5:$P$500,"&gt;=105600")&gt;0,"X","")</f>
      </c>
      <c r="D46" s="56" t="str">
        <f>IF(COUNTIFS('LANÇAMENTOS DIÁRIOS'!$G$5:$G$500,"E",'LANÇAMENTOS DIÁRIOS'!$C$5:$C$500,$A46,'LANÇAMENTOS DIÁRIOS'!$O$5:$O$500,"&lt;=105799",'LANÇAMENTOS DIÁRIOS'!$P$5:$P$500,"&gt;=105700")&gt;0,"X","")</f>
      </c>
      <c r="E46" s="56" t="str">
        <f>IF(COUNTIFS('LANÇAMENTOS DIÁRIOS'!$G$5:$G$500,"E",'LANÇAMENTOS DIÁRIOS'!$C$5:$C$500,$A46,'LANÇAMENTOS DIÁRIOS'!$O$5:$O$500,"&lt;=105899",'LANÇAMENTOS DIÁRIOS'!$P$5:$P$500,"&gt;=105800")&gt;0,"X","")</f>
      </c>
      <c r="F46" s="56" t="str">
        <f>IF(COUNTIFS('LANÇAMENTOS DIÁRIOS'!$G$5:$G$500,"E",'LANÇAMENTOS DIÁRIOS'!$C$5:$C$500,$A46,'LANÇAMENTOS DIÁRIOS'!$O$5:$O$500,"&lt;=105999",'LANÇAMENTOS DIÁRIOS'!$P$5:$P$500,"&gt;=105900")&gt;0,"X","")</f>
      </c>
      <c r="G46" s="56" t="str">
        <f>IF(COUNTIFS('LANÇAMENTOS DIÁRIOS'!$G$5:$G$500,"E",'LANÇAMENTOS DIÁRIOS'!$C$5:$C$500,$A46,'LANÇAMENTOS DIÁRIOS'!$O$5:$O$500,"&lt;=106099",'LANÇAMENTOS DIÁRIOS'!$P$5:$P$500,"&gt;=106000")&gt;0,"X","")</f>
      </c>
      <c r="H46" s="56" t="str">
        <f>IF(COUNTIFS('LANÇAMENTOS DIÁRIOS'!$G$5:$G$500,"E",'LANÇAMENTOS DIÁRIOS'!$C$5:$C$500,$A46,'LANÇAMENTOS DIÁRIOS'!$O$5:$O$500,"&lt;=106199",'LANÇAMENTOS DIÁRIOS'!$P$5:$P$500,"&gt;=106100")&gt;0,"X","")</f>
      </c>
      <c r="I46" s="56" t="str">
        <f>IF(COUNTIFS('LANÇAMENTOS DIÁRIOS'!$G$5:$G$500,"E",'LANÇAMENTOS DIÁRIOS'!$C$5:$C$500,$A46,'LANÇAMENTOS DIÁRIOS'!$O$5:$O$500,"&lt;=106299",'LANÇAMENTOS DIÁRIOS'!$P$5:$P$500,"&gt;=106200")&gt;0,"X","")</f>
      </c>
      <c r="J46" s="56" t="str">
        <f>IF(COUNTIFS('LANÇAMENTOS DIÁRIOS'!$G$5:$G$500,"E",'LANÇAMENTOS DIÁRIOS'!$C$5:$C$500,$A46,'LANÇAMENTOS DIÁRIOS'!$O$5:$O$500,"&lt;=106399",'LANÇAMENTOS DIÁRIOS'!$P$5:$P$500,"&gt;=106300")&gt;0,"X","")</f>
      </c>
      <c r="K46" s="56" t="str">
        <f>IF(COUNTIFS('LANÇAMENTOS DIÁRIOS'!$G$5:$G$500,"E",'LANÇAMENTOS DIÁRIOS'!$C$5:$C$500,$A46,'LANÇAMENTOS DIÁRIOS'!$O$5:$O$500,"&lt;=106499",'LANÇAMENTOS DIÁRIOS'!$P$5:$P$500,"&gt;=106400")&gt;0,"X","")</f>
      </c>
      <c r="L46" s="56" t="str">
        <f>IF(COUNTIFS('LANÇAMENTOS DIÁRIOS'!$G$5:$G$500,"E",'LANÇAMENTOS DIÁRIOS'!$C$5:$C$500,$A46,'LANÇAMENTOS DIÁRIOS'!$O$5:$O$500,"&lt;=106599",'LANÇAMENTOS DIÁRIOS'!$P$5:$P$500,"&gt;=106500")&gt;0,"X","")</f>
      </c>
      <c r="M46" s="56" t="str">
        <f>IF(COUNTIFS('LANÇAMENTOS DIÁRIOS'!$G$5:$G$500,"E",'LANÇAMENTOS DIÁRIOS'!$C$5:$C$500,$A46,'LANÇAMENTOS DIÁRIOS'!$O$5:$O$500,"&lt;=106699",'LANÇAMENTOS DIÁRIOS'!$P$5:$P$500,"&gt;=106600")&gt;0,"X","")</f>
      </c>
      <c r="N46" s="56" t="str">
        <f>IF(COUNTIFS('LANÇAMENTOS DIÁRIOS'!$G$5:$G$500,"E",'LANÇAMENTOS DIÁRIOS'!$C$5:$C$500,$A46,'LANÇAMENTOS DIÁRIOS'!$O$5:$O$500,"&lt;=106799",'LANÇAMENTOS DIÁRIOS'!$P$5:$P$500,"&gt;=106700")&gt;0,"X","")</f>
      </c>
      <c r="O46" s="56" t="str">
        <f>IF(COUNTIFS('LANÇAMENTOS DIÁRIOS'!$G$5:$G$500,"E",'LANÇAMENTOS DIÁRIOS'!$C$5:$C$500,$A46,'LANÇAMENTOS DIÁRIOS'!$O$5:$O$500,"&lt;=106899",'LANÇAMENTOS DIÁRIOS'!$P$5:$P$500,"&gt;=106800")&gt;0,"X","")</f>
      </c>
      <c r="P46" s="56" t="str">
        <f>IF(COUNTIFS('LANÇAMENTOS DIÁRIOS'!$G$5:$G$500,"E",'LANÇAMENTOS DIÁRIOS'!$C$5:$C$500,$A46,'LANÇAMENTOS DIÁRIOS'!$O$5:$O$500,"&lt;=106999",'LANÇAMENTOS DIÁRIOS'!$P$5:$P$500,"&gt;=106900")&gt;0,"X","")</f>
      </c>
      <c r="Q46" s="56" t="str">
        <f>IF(COUNTIFS('LANÇAMENTOS DIÁRIOS'!$G$5:$G$500,"E",'LANÇAMENTOS DIÁRIOS'!$C$5:$C$500,$A46,'LANÇAMENTOS DIÁRIOS'!$O$5:$O$500,"&lt;=107099",'LANÇAMENTOS DIÁRIOS'!$P$5:$P$500,"&gt;=107000")&gt;0,"X","")</f>
      </c>
      <c r="R46" s="56" t="str">
        <f>IF(COUNTIFS('LANÇAMENTOS DIÁRIOS'!$G$5:$G$500,"E",'LANÇAMENTOS DIÁRIOS'!$C$5:$C$500,$A46,'LANÇAMENTOS DIÁRIOS'!$O$5:$O$500,"&lt;=107199",'LANÇAMENTOS DIÁRIOS'!$P$5:$P$500,"&gt;=107100")&gt;0,"X","")</f>
      </c>
      <c r="S46" s="56" t="str">
        <f>IF(COUNTIFS('LANÇAMENTOS DIÁRIOS'!$G$5:$G$500,"E",'LANÇAMENTOS DIÁRIOS'!$C$5:$C$500,$A46,'LANÇAMENTOS DIÁRIOS'!$O$5:$O$500,"&lt;=107299",'LANÇAMENTOS DIÁRIOS'!$P$5:$P$500,"&gt;=107200")&gt;0,"X","")</f>
      </c>
      <c r="T46" s="56" t="str">
        <f>IF(COUNTIFS('LANÇAMENTOS DIÁRIOS'!$G$5:$G$500,"E",'LANÇAMENTOS DIÁRIOS'!$C$5:$C$500,$A46,'LANÇAMENTOS DIÁRIOS'!$O$5:$O$500,"&lt;=107399",'LANÇAMENTOS DIÁRIOS'!$P$5:$P$500,"&gt;=107300")&gt;0,"X","")</f>
      </c>
      <c r="U46" s="56" t="str">
        <f>IF(COUNTIFS('LANÇAMENTOS DIÁRIOS'!$G$5:$G$500,"E",'LANÇAMENTOS DIÁRIOS'!$C$5:$C$500,$A46,'LANÇAMENTOS DIÁRIOS'!$O$5:$O$500,"&lt;=107499",'LANÇAMENTOS DIÁRIOS'!$P$5:$P$500,"&gt;=107400")&gt;0,"X","")</f>
      </c>
      <c r="V46" s="56" t="str">
        <f>IF(COUNTIFS('LANÇAMENTOS DIÁRIOS'!$G$5:$G$500,"E",'LANÇAMENTOS DIÁRIOS'!$C$5:$C$500,$A46,'LANÇAMENTOS DIÁRIOS'!$O$5:$O$500,"&lt;=107599",'LANÇAMENTOS DIÁRIOS'!$P$5:$P$500,"&gt;=107500")&gt;0,"X","")</f>
      </c>
      <c r="W46" s="56" t="str">
        <f>IF(COUNTIFS('LANÇAMENTOS DIÁRIOS'!$G$5:$G$500,"E",'LANÇAMENTOS DIÁRIOS'!$C$5:$C$500,$A46,'LANÇAMENTOS DIÁRIOS'!$O$5:$O$500,"&lt;=107699",'LANÇAMENTOS DIÁRIOS'!$P$5:$P$500,"&gt;=107600")&gt;0,"X","")</f>
      </c>
      <c r="X46" s="56" t="str">
        <f>IF(COUNTIFS('LANÇAMENTOS DIÁRIOS'!$G$5:$G$500,"E",'LANÇAMENTOS DIÁRIOS'!$C$5:$C$500,$A46,'LANÇAMENTOS DIÁRIOS'!$O$5:$O$500,"&lt;=107799",'LANÇAMENTOS DIÁRIOS'!$P$5:$P$500,"&gt;=107700")&gt;0,"X","")</f>
      </c>
      <c r="Y46" s="56" t="str">
        <f>IF(COUNTIFS('LANÇAMENTOS DIÁRIOS'!$G$5:$G$500,"E",'LANÇAMENTOS DIÁRIOS'!$C$5:$C$500,$A46,'LANÇAMENTOS DIÁRIOS'!$O$5:$O$500,"&lt;=107899",'LANÇAMENTOS DIÁRIOS'!$P$5:$P$500,"&gt;=107800")&gt;0,"X","")</f>
      </c>
      <c r="Z46" s="56" t="str">
        <f>IF(COUNTIFS('LANÇAMENTOS DIÁRIOS'!$G$5:$G$500,"E",'LANÇAMENTOS DIÁRIOS'!$C$5:$C$500,$A46,'LANÇAMENTOS DIÁRIOS'!$O$5:$O$500,"&lt;=107999",'LANÇAMENTOS DIÁRIOS'!$P$5:$P$500,"&gt;=107900")&gt;0,"X","")</f>
      </c>
      <c r="AA46" s="56" t="str">
        <f>IF(COUNTIFS('LANÇAMENTOS DIÁRIOS'!$G$5:$G$500,"E",'LANÇAMENTOS DIÁRIOS'!$C$5:$C$500,$A46,'LANÇAMENTOS DIÁRIOS'!$O$5:$O$500,"&lt;=108099",'LANÇAMENTOS DIÁRIOS'!$P$5:$P$500,"&gt;=108000")&gt;0,"X","")</f>
      </c>
      <c r="AB46" s="56" t="str">
        <f>IF(COUNTIFS('LANÇAMENTOS DIÁRIOS'!$G$5:$G$500,"E",'LANÇAMENTOS DIÁRIOS'!$C$5:$C$500,$A46,'LANÇAMENTOS DIÁRIOS'!$O$5:$O$500,"&lt;=108199",'LANÇAMENTOS DIÁRIOS'!$P$5:$P$500,"&gt;=108100")&gt;0,"X","")</f>
      </c>
      <c r="AC46" s="56" t="str">
        <f>IF(COUNTIFS('LANÇAMENTOS DIÁRIOS'!$G$5:$G$500,"E",'LANÇAMENTOS DIÁRIOS'!$C$5:$C$500,$A46,'LANÇAMENTOS DIÁRIOS'!$O$5:$O$500,"&lt;=108299",'LANÇAMENTOS DIÁRIOS'!$P$5:$P$500,"&gt;=108200")&gt;0,"X","")</f>
      </c>
      <c r="AD46" s="56" t="str">
        <f>IF(COUNTIFS('LANÇAMENTOS DIÁRIOS'!$G$5:$G$500,"E",'LANÇAMENTOS DIÁRIOS'!$C$5:$C$500,$A46,'LANÇAMENTOS DIÁRIOS'!$O$5:$O$500,"&lt;=108399",'LANÇAMENTOS DIÁRIOS'!$P$5:$P$500,"&gt;=108300")&gt;0,"X","")</f>
      </c>
      <c r="AE46" s="56" t="str">
        <f>IF(COUNTIFS('LANÇAMENTOS DIÁRIOS'!$G$5:$G$500,"E",'LANÇAMENTOS DIÁRIOS'!$C$5:$C$500,$A46,'LANÇAMENTOS DIÁRIOS'!$O$5:$O$500,"&lt;=108499",'LANÇAMENTOS DIÁRIOS'!$P$5:$P$500,"&gt;=108400")&gt;0,"X","")</f>
      </c>
      <c r="AF46" s="56" t="str">
        <f>IF(COUNTIFS('LANÇAMENTOS DIÁRIOS'!$G$5:$G$500,"E",'LANÇAMENTOS DIÁRIOS'!$C$5:$C$500,$A46,'LANÇAMENTOS DIÁRIOS'!$O$5:$O$500,"&lt;=108599",'LANÇAMENTOS DIÁRIOS'!$P$5:$P$500,"&gt;=108500")&gt;0,"X","")</f>
      </c>
      <c r="AG46" s="56" t="str">
        <f>IF(COUNTIFS('LANÇAMENTOS DIÁRIOS'!$G$5:$G$500,"E",'LANÇAMENTOS DIÁRIOS'!$C$5:$C$500,$A46,'LANÇAMENTOS DIÁRIOS'!$O$5:$O$500,"&lt;=108699",'LANÇAMENTOS DIÁRIOS'!$P$5:$P$500,"&gt;=108600")&gt;0,"X","")</f>
      </c>
      <c r="AH46" s="56" t="str">
        <f>IF(COUNTIFS('LANÇAMENTOS DIÁRIOS'!$G$5:$G$500,"E",'LANÇAMENTOS DIÁRIOS'!$C$5:$C$500,$A46,'LANÇAMENTOS DIÁRIOS'!$O$5:$O$500,"&lt;=108799",'LANÇAMENTOS DIÁRIOS'!$P$5:$P$500,"&gt;=108700")&gt;0,"X","")</f>
      </c>
      <c r="AI46" s="56" t="str">
        <f>IF(COUNTIFS('LANÇAMENTOS DIÁRIOS'!$G$5:$G$500,"E",'LANÇAMENTOS DIÁRIOS'!$C$5:$C$500,$A46,'LANÇAMENTOS DIÁRIOS'!$O$5:$O$500,"&lt;=108899",'LANÇAMENTOS DIÁRIOS'!$P$5:$P$500,"&gt;=108800")&gt;0,"X","")</f>
      </c>
      <c r="AJ46" s="56" t="str">
        <f>IF(COUNTIFS('LANÇAMENTOS DIÁRIOS'!$G$5:$G$500,"E",'LANÇAMENTOS DIÁRIOS'!$C$5:$C$500,$A46,'LANÇAMENTOS DIÁRIOS'!$O$5:$O$500,"&lt;=108999",'LANÇAMENTOS DIÁRIOS'!$P$5:$P$500,"&gt;=108900")&gt;0,"X","")</f>
      </c>
      <c r="AK46" s="56" t="str">
        <f>IF(COUNTIFS('LANÇAMENTOS DIÁRIOS'!$G$5:$G$500,"E",'LANÇAMENTOS DIÁRIOS'!$C$5:$C$500,$A46,'LANÇAMENTOS DIÁRIOS'!$O$5:$O$500,"&lt;=109099",'LANÇAMENTOS DIÁRIOS'!$P$5:$P$500,"&gt;=109000")&gt;0,"X","")</f>
      </c>
      <c r="AL46" s="56" t="str">
        <f>IF(COUNTIFS('LANÇAMENTOS DIÁRIOS'!$G$5:$G$500,"E",'LANÇAMENTOS DIÁRIOS'!$C$5:$C$500,$A46,'LANÇAMENTOS DIÁRIOS'!$O$5:$O$500,"&lt;=109199",'LANÇAMENTOS DIÁRIOS'!$P$5:$P$500,"&gt;=109100")&gt;0,"X","")</f>
      </c>
      <c r="AM46" s="56" t="str">
        <f>IF(COUNTIFS('LANÇAMENTOS DIÁRIOS'!$G$5:$G$500,"E",'LANÇAMENTOS DIÁRIOS'!$C$5:$C$500,$A46,'LANÇAMENTOS DIÁRIOS'!$O$5:$O$500,"&lt;=109299",'LANÇAMENTOS DIÁRIOS'!$P$5:$P$500,"&gt;=109200")&gt;0,"X","")</f>
      </c>
      <c r="AN46" s="56" t="str">
        <f>IF(COUNTIFS('LANÇAMENTOS DIÁRIOS'!$G$5:$G$500,"E",'LANÇAMENTOS DIÁRIOS'!$C$5:$C$500,$A46,'LANÇAMENTOS DIÁRIOS'!$O$5:$O$500,"&lt;=109399",'LANÇAMENTOS DIÁRIOS'!$P$5:$P$500,"&gt;=109300")&gt;0,"X","")</f>
      </c>
      <c r="AO46" s="56" t="str">
        <f>IF(COUNTIFS('LANÇAMENTOS DIÁRIOS'!$G$5:$G$500,"E",'LANÇAMENTOS DIÁRIOS'!$C$5:$C$500,$A46,'LANÇAMENTOS DIÁRIOS'!$O$5:$O$500,"&lt;=109499",'LANÇAMENTOS DIÁRIOS'!$P$5:$P$500,"&gt;=109400")&gt;0,"X","")</f>
      </c>
      <c r="AP46" s="56" t="str">
        <f>IF(COUNTIFS('LANÇAMENTOS DIÁRIOS'!$G$5:$G$500,"E",'LANÇAMENTOS DIÁRIOS'!$C$5:$C$500,$A46,'LANÇAMENTOS DIÁRIOS'!$O$5:$O$500,"&lt;=109599",'LANÇAMENTOS DIÁRIOS'!$P$5:$P$500,"&gt;=109500")&gt;0,"X","")</f>
      </c>
      <c r="AQ46" s="56" t="str">
        <f>IF(COUNTIFS('LANÇAMENTOS DIÁRIOS'!$G$5:$G$500,"E",'LANÇAMENTOS DIÁRIOS'!$C$5:$C$500,$A46,'LANÇAMENTOS DIÁRIOS'!$O$5:$O$500,"&lt;=109699",'LANÇAMENTOS DIÁRIOS'!$P$5:$P$500,"&gt;=109600")&gt;0,"X","")</f>
      </c>
      <c r="AR46" s="56" t="str">
        <f>IF(COUNTIFS('LANÇAMENTOS DIÁRIOS'!$G$5:$G$500,"E",'LANÇAMENTOS DIÁRIOS'!$C$5:$C$500,$A46,'LANÇAMENTOS DIÁRIOS'!$O$5:$O$500,"&lt;=109799",'LANÇAMENTOS DIÁRIOS'!$P$5:$P$500,"&gt;=109700")&gt;0,"X","")</f>
      </c>
      <c r="AS46" s="56" t="str">
        <f>IF(COUNTIFS('LANÇAMENTOS DIÁRIOS'!$G$5:$G$500,"E",'LANÇAMENTOS DIÁRIOS'!$C$5:$C$500,$A46,'LANÇAMENTOS DIÁRIOS'!$O$5:$O$500,"&lt;=109899",'LANÇAMENTOS DIÁRIOS'!$P$5:$P$500,"&gt;=109800")&gt;0,"X","")</f>
      </c>
      <c r="AT46" s="56" t="str">
        <f>IF(COUNTIFS('LANÇAMENTOS DIÁRIOS'!$G$5:$G$500,"E",'LANÇAMENTOS DIÁRIOS'!$C$5:$C$500,$A46,'LANÇAMENTOS DIÁRIOS'!$O$5:$O$500,"&lt;=109999",'LANÇAMENTOS DIÁRIOS'!$P$5:$P$500,"&gt;=109900")&gt;0,"X","")</f>
      </c>
      <c r="AU46" s="56" t="str">
        <f>IF(COUNTIFS('LANÇAMENTOS DIÁRIOS'!$G$5:$G$500,"E",'LANÇAMENTOS DIÁRIOS'!$C$5:$C$500,$A46,'LANÇAMENTOS DIÁRIOS'!$O$5:$O$500,"&lt;=110099",'LANÇAMENTOS DIÁRIOS'!$P$5:$P$500,"&gt;=110000")&gt;0,"X","")</f>
      </c>
      <c r="AV46" s="56" t="str">
        <f>IF(COUNTIFS('LANÇAMENTOS DIÁRIOS'!$G$5:$G$500,"E",'LANÇAMENTOS DIÁRIOS'!$C$5:$C$500,$A46,'LANÇAMENTOS DIÁRIOS'!$O$5:$O$500,"&lt;=110199",'LANÇAMENTOS DIÁRIOS'!$P$5:$P$500,"&gt;=110100")&gt;0,"X","")</f>
      </c>
      <c r="AW46" s="56" t="str">
        <f>IF(COUNTIFS('LANÇAMENTOS DIÁRIOS'!$G$5:$G$500,"E",'LANÇAMENTOS DIÁRIOS'!$C$5:$C$500,$A46,'LANÇAMENTOS DIÁRIOS'!$O$5:$O$500,"&lt;=110299",'LANÇAMENTOS DIÁRIOS'!$P$5:$P$500,"&gt;=110200")&gt;0,"X","")</f>
      </c>
      <c r="AX46" s="56" t="str">
        <f>IF(COUNTIFS('LANÇAMENTOS DIÁRIOS'!$G$5:$G$500,"E",'LANÇAMENTOS DIÁRIOS'!$C$5:$C$500,$A46,'LANÇAMENTOS DIÁRIOS'!$O$5:$O$500,"&lt;=110399",'LANÇAMENTOS DIÁRIOS'!$P$5:$P$500,"&gt;=110300")&gt;0,"X","")</f>
      </c>
      <c r="AY46" s="56" t="str">
        <f>IF(COUNTIFS('LANÇAMENTOS DIÁRIOS'!$G$5:$G$500,"E",'LANÇAMENTOS DIÁRIOS'!$C$5:$C$500,$A46,'LANÇAMENTOS DIÁRIOS'!$O$5:$O$500,"&lt;=110499",'LANÇAMENTOS DIÁRIOS'!$P$5:$P$500,"&gt;=110400")&gt;0,"X","")</f>
      </c>
      <c r="AZ46" s="56" t="str">
        <f>IF(COUNTIFS('LANÇAMENTOS DIÁRIOS'!$G$5:$G$500,"E",'LANÇAMENTOS DIÁRIOS'!$C$5:$C$500,$A46,'LANÇAMENTOS DIÁRIOS'!$O$5:$O$500,"&lt;=110599",'LANÇAMENTOS DIÁRIOS'!$P$5:$P$500,"&gt;=110500")&gt;0,"X","")</f>
      </c>
      <c r="BA46" s="56" t="str">
        <f>IF(COUNTIFS('LANÇAMENTOS DIÁRIOS'!$G$5:$G$500,"E",'LANÇAMENTOS DIÁRIOS'!$C$5:$C$500,$A46,'LANÇAMENTOS DIÁRIOS'!$O$5:$O$500,"&lt;=110699",'LANÇAMENTOS DIÁRIOS'!$P$5:$P$500,"&gt;=110600")&gt;0,"X","")</f>
      </c>
      <c r="BB46" s="56" t="str">
        <f>IF(COUNTIFS('LANÇAMENTOS DIÁRIOS'!$G$5:$G$500,"E",'LANÇAMENTOS DIÁRIOS'!$C$5:$C$500,$A46,'LANÇAMENTOS DIÁRIOS'!$O$5:$O$500,"&lt;=110799",'LANÇAMENTOS DIÁRIOS'!$P$5:$P$500,"&gt;=110700")&gt;0,"X","")</f>
      </c>
      <c r="BC46" s="56" t="str">
        <f>IF(COUNTIFS('LANÇAMENTOS DIÁRIOS'!$G$5:$G$500,"E",'LANÇAMENTOS DIÁRIOS'!$C$5:$C$500,$A46,'LANÇAMENTOS DIÁRIOS'!$O$5:$O$500,"&lt;=110899",'LANÇAMENTOS DIÁRIOS'!$P$5:$P$500,"&gt;=110800")&gt;0,"X","")</f>
      </c>
      <c r="BD46" s="56" t="str">
        <f>IF(COUNTIFS('LANÇAMENTOS DIÁRIOS'!$G$5:$G$500,"E",'LANÇAMENTOS DIÁRIOS'!$C$5:$C$500,$A46,'LANÇAMENTOS DIÁRIOS'!$O$5:$O$500,"&lt;=110999",'LANÇAMENTOS DIÁRIOS'!$P$5:$P$500,"&gt;=110900")&gt;0,"X","")</f>
      </c>
      <c r="BE46" s="56" t="str">
        <f>IF(COUNTIFS('LANÇAMENTOS DIÁRIOS'!$G$5:$G$500,"E",'LANÇAMENTOS DIÁRIOS'!$C$5:$C$500,$A46,'LANÇAMENTOS DIÁRIOS'!$O$5:$O$500,"&lt;=111099",'LANÇAMENTOS DIÁRIOS'!$P$5:$P$500,"&gt;=111000")&gt;0,"X","")</f>
      </c>
      <c r="BF46" s="56" t="str">
        <f>IF(COUNTIFS('LANÇAMENTOS DIÁRIOS'!$G$5:$G$500,"E",'LANÇAMENTOS DIÁRIOS'!$C$5:$C$500,$A46,'LANÇAMENTOS DIÁRIOS'!$O$5:$O$500,"&lt;=111199",'LANÇAMENTOS DIÁRIOS'!$P$5:$P$500,"&gt;=111100")&gt;0,"X","")</f>
      </c>
      <c r="BG46" s="56" t="str">
        <f>IF(COUNTIFS('LANÇAMENTOS DIÁRIOS'!$G$5:$G$500,"E",'LANÇAMENTOS DIÁRIOS'!$C$5:$C$500,$A46,'LANÇAMENTOS DIÁRIOS'!$O$5:$O$500,"&lt;=111299",'LANÇAMENTOS DIÁRIOS'!$P$5:$P$500,"&gt;=111200")&gt;0,"X","")</f>
      </c>
      <c r="BH46" s="56" t="str">
        <f>IF(COUNTIFS('LANÇAMENTOS DIÁRIOS'!$G$5:$G$500,"E",'LANÇAMENTOS DIÁRIOS'!$C$5:$C$500,$A46,'LANÇAMENTOS DIÁRIOS'!$O$5:$O$500,"&lt;=111399",'LANÇAMENTOS DIÁRIOS'!$P$5:$P$500,"&gt;=111300")&gt;0,"X","")</f>
      </c>
      <c r="BI46" s="56" t="str">
        <f>IF(COUNTIFS('LANÇAMENTOS DIÁRIOS'!$G$5:$G$500,"E",'LANÇAMENTOS DIÁRIOS'!$C$5:$C$500,$A46,'LANÇAMENTOS DIÁRIOS'!$O$5:$O$500,"&lt;=111499",'LANÇAMENTOS DIÁRIOS'!$P$5:$P$500,"&gt;=111400")&gt;0,"X","")</f>
      </c>
      <c r="BJ46" s="56" t="str">
        <f>IF(COUNTIFS('LANÇAMENTOS DIÁRIOS'!$G$5:$G$500,"E",'LANÇAMENTOS DIÁRIOS'!$C$5:$C$500,$A46,'LANÇAMENTOS DIÁRIOS'!$O$5:$O$500,"&lt;=111500",'LANÇAMENTOS DIÁRIOS'!$P$5:$P$500,"&gt;=111500")&gt;0,"X","")</f>
      </c>
    </row>
    <row r="47" ht="19" customHeight="1">
      <c r="A47" s="68" t="str">
        <v>Trocas e melhorias de solo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</row>
    <row r="48">
      <c r="A48" s="51" t="str">
        <v>Escavação de solo com baixa capacidade de suporte</v>
      </c>
      <c r="B48" s="56" t="str">
        <f>IF(COUNTIFS('LANÇAMENTOS DIÁRIOS'!$G$5:$G$500,"E",'LANÇAMENTOS DIÁRIOS'!$C$5:$C$500,$A48,'LANÇAMENTOS DIÁRIOS'!$O$5:$O$500,"&lt;=105599",'LANÇAMENTOS DIÁRIOS'!$P$5:$P$500,"&gt;=105500")&gt;0,"X","")</f>
      </c>
      <c r="C48" s="56" t="str">
        <f>IF(COUNTIFS('LANÇAMENTOS DIÁRIOS'!$G$5:$G$500,"E",'LANÇAMENTOS DIÁRIOS'!$C$5:$C$500,$A48,'LANÇAMENTOS DIÁRIOS'!$O$5:$O$500,"&lt;=105699",'LANÇAMENTOS DIÁRIOS'!$P$5:$P$500,"&gt;=105600")&gt;0,"X","")</f>
      </c>
      <c r="D48" s="56" t="str">
        <f>IF(COUNTIFS('LANÇAMENTOS DIÁRIOS'!$G$5:$G$500,"E",'LANÇAMENTOS DIÁRIOS'!$C$5:$C$500,$A48,'LANÇAMENTOS DIÁRIOS'!$O$5:$O$500,"&lt;=105799",'LANÇAMENTOS DIÁRIOS'!$P$5:$P$500,"&gt;=105700")&gt;0,"X","")</f>
      </c>
      <c r="E48" s="56" t="str">
        <f>IF(COUNTIFS('LANÇAMENTOS DIÁRIOS'!$G$5:$G$500,"E",'LANÇAMENTOS DIÁRIOS'!$C$5:$C$500,$A48,'LANÇAMENTOS DIÁRIOS'!$O$5:$O$500,"&lt;=105899",'LANÇAMENTOS DIÁRIOS'!$P$5:$P$500,"&gt;=105800")&gt;0,"X","")</f>
      </c>
      <c r="F48" s="56" t="str">
        <f>IF(COUNTIFS('LANÇAMENTOS DIÁRIOS'!$G$5:$G$500,"E",'LANÇAMENTOS DIÁRIOS'!$C$5:$C$500,$A48,'LANÇAMENTOS DIÁRIOS'!$O$5:$O$500,"&lt;=105999",'LANÇAMENTOS DIÁRIOS'!$P$5:$P$500,"&gt;=105900")&gt;0,"X","")</f>
      </c>
      <c r="G48" s="56" t="str">
        <f>IF(COUNTIFS('LANÇAMENTOS DIÁRIOS'!$G$5:$G$500,"E",'LANÇAMENTOS DIÁRIOS'!$C$5:$C$500,$A48,'LANÇAMENTOS DIÁRIOS'!$O$5:$O$500,"&lt;=106099",'LANÇAMENTOS DIÁRIOS'!$P$5:$P$500,"&gt;=106000")&gt;0,"X","")</f>
      </c>
      <c r="H48" s="56" t="str">
        <f>IF(COUNTIFS('LANÇAMENTOS DIÁRIOS'!$G$5:$G$500,"E",'LANÇAMENTOS DIÁRIOS'!$C$5:$C$500,$A48,'LANÇAMENTOS DIÁRIOS'!$O$5:$O$500,"&lt;=106199",'LANÇAMENTOS DIÁRIOS'!$P$5:$P$500,"&gt;=106100")&gt;0,"X","")</f>
      </c>
      <c r="I48" s="56" t="str">
        <f>IF(COUNTIFS('LANÇAMENTOS DIÁRIOS'!$G$5:$G$500,"E",'LANÇAMENTOS DIÁRIOS'!$C$5:$C$500,$A48,'LANÇAMENTOS DIÁRIOS'!$O$5:$O$500,"&lt;=106299",'LANÇAMENTOS DIÁRIOS'!$P$5:$P$500,"&gt;=106200")&gt;0,"X","")</f>
      </c>
      <c r="J48" s="56" t="str">
        <f>IF(COUNTIFS('LANÇAMENTOS DIÁRIOS'!$G$5:$G$500,"E",'LANÇAMENTOS DIÁRIOS'!$C$5:$C$500,$A48,'LANÇAMENTOS DIÁRIOS'!$O$5:$O$500,"&lt;=106399",'LANÇAMENTOS DIÁRIOS'!$P$5:$P$500,"&gt;=106300")&gt;0,"X","")</f>
      </c>
      <c r="K48" s="56" t="str">
        <f>IF(COUNTIFS('LANÇAMENTOS DIÁRIOS'!$G$5:$G$500,"E",'LANÇAMENTOS DIÁRIOS'!$C$5:$C$500,$A48,'LANÇAMENTOS DIÁRIOS'!$O$5:$O$500,"&lt;=106499",'LANÇAMENTOS DIÁRIOS'!$P$5:$P$500,"&gt;=106400")&gt;0,"X","")</f>
      </c>
      <c r="L48" s="56" t="str">
        <f>IF(COUNTIFS('LANÇAMENTOS DIÁRIOS'!$G$5:$G$500,"E",'LANÇAMENTOS DIÁRIOS'!$C$5:$C$500,$A48,'LANÇAMENTOS DIÁRIOS'!$O$5:$O$500,"&lt;=106599",'LANÇAMENTOS DIÁRIOS'!$P$5:$P$500,"&gt;=106500")&gt;0,"X","")</f>
      </c>
      <c r="M48" s="56" t="str">
        <f>IF(COUNTIFS('LANÇAMENTOS DIÁRIOS'!$G$5:$G$500,"E",'LANÇAMENTOS DIÁRIOS'!$C$5:$C$500,$A48,'LANÇAMENTOS DIÁRIOS'!$O$5:$O$500,"&lt;=106699",'LANÇAMENTOS DIÁRIOS'!$P$5:$P$500,"&gt;=106600")&gt;0,"X","")</f>
      </c>
      <c r="N48" s="56" t="str">
        <f>IF(COUNTIFS('LANÇAMENTOS DIÁRIOS'!$G$5:$G$500,"E",'LANÇAMENTOS DIÁRIOS'!$C$5:$C$500,$A48,'LANÇAMENTOS DIÁRIOS'!$O$5:$O$500,"&lt;=106799",'LANÇAMENTOS DIÁRIOS'!$P$5:$P$500,"&gt;=106700")&gt;0,"X","")</f>
      </c>
      <c r="O48" s="56" t="str">
        <f>IF(COUNTIFS('LANÇAMENTOS DIÁRIOS'!$G$5:$G$500,"E",'LANÇAMENTOS DIÁRIOS'!$C$5:$C$500,$A48,'LANÇAMENTOS DIÁRIOS'!$O$5:$O$500,"&lt;=106899",'LANÇAMENTOS DIÁRIOS'!$P$5:$P$500,"&gt;=106800")&gt;0,"X","")</f>
      </c>
      <c r="P48" s="56" t="str">
        <f>IF(COUNTIFS('LANÇAMENTOS DIÁRIOS'!$G$5:$G$500,"E",'LANÇAMENTOS DIÁRIOS'!$C$5:$C$500,$A48,'LANÇAMENTOS DIÁRIOS'!$O$5:$O$500,"&lt;=106999",'LANÇAMENTOS DIÁRIOS'!$P$5:$P$500,"&gt;=106900")&gt;0,"X","")</f>
      </c>
      <c r="Q48" s="56" t="str">
        <f>IF(COUNTIFS('LANÇAMENTOS DIÁRIOS'!$G$5:$G$500,"E",'LANÇAMENTOS DIÁRIOS'!$C$5:$C$500,$A48,'LANÇAMENTOS DIÁRIOS'!$O$5:$O$500,"&lt;=107099",'LANÇAMENTOS DIÁRIOS'!$P$5:$P$500,"&gt;=107000")&gt;0,"X","")</f>
      </c>
      <c r="R48" s="56" t="str">
        <f>IF(COUNTIFS('LANÇAMENTOS DIÁRIOS'!$G$5:$G$500,"E",'LANÇAMENTOS DIÁRIOS'!$C$5:$C$500,$A48,'LANÇAMENTOS DIÁRIOS'!$O$5:$O$500,"&lt;=107199",'LANÇAMENTOS DIÁRIOS'!$P$5:$P$500,"&gt;=107100")&gt;0,"X","")</f>
      </c>
      <c r="S48" s="56" t="str">
        <f>IF(COUNTIFS('LANÇAMENTOS DIÁRIOS'!$G$5:$G$500,"E",'LANÇAMENTOS DIÁRIOS'!$C$5:$C$500,$A48,'LANÇAMENTOS DIÁRIOS'!$O$5:$O$500,"&lt;=107299",'LANÇAMENTOS DIÁRIOS'!$P$5:$P$500,"&gt;=107200")&gt;0,"X","")</f>
      </c>
      <c r="T48" s="56" t="str">
        <f>IF(COUNTIFS('LANÇAMENTOS DIÁRIOS'!$G$5:$G$500,"E",'LANÇAMENTOS DIÁRIOS'!$C$5:$C$500,$A48,'LANÇAMENTOS DIÁRIOS'!$O$5:$O$500,"&lt;=107399",'LANÇAMENTOS DIÁRIOS'!$P$5:$P$500,"&gt;=107300")&gt;0,"X","")</f>
      </c>
      <c r="U48" s="56" t="str">
        <f>IF(COUNTIFS('LANÇAMENTOS DIÁRIOS'!$G$5:$G$500,"E",'LANÇAMENTOS DIÁRIOS'!$C$5:$C$500,$A48,'LANÇAMENTOS DIÁRIOS'!$O$5:$O$500,"&lt;=107499",'LANÇAMENTOS DIÁRIOS'!$P$5:$P$500,"&gt;=107400")&gt;0,"X","")</f>
      </c>
      <c r="V48" s="56" t="str">
        <f>IF(COUNTIFS('LANÇAMENTOS DIÁRIOS'!$G$5:$G$500,"E",'LANÇAMENTOS DIÁRIOS'!$C$5:$C$500,$A48,'LANÇAMENTOS DIÁRIOS'!$O$5:$O$500,"&lt;=107599",'LANÇAMENTOS DIÁRIOS'!$P$5:$P$500,"&gt;=107500")&gt;0,"X","")</f>
      </c>
      <c r="W48" s="56" t="str">
        <f>IF(COUNTIFS('LANÇAMENTOS DIÁRIOS'!$G$5:$G$500,"E",'LANÇAMENTOS DIÁRIOS'!$C$5:$C$500,$A48,'LANÇAMENTOS DIÁRIOS'!$O$5:$O$500,"&lt;=107699",'LANÇAMENTOS DIÁRIOS'!$P$5:$P$500,"&gt;=107600")&gt;0,"X","")</f>
      </c>
      <c r="X48" s="56" t="str">
        <f>IF(COUNTIFS('LANÇAMENTOS DIÁRIOS'!$G$5:$G$500,"E",'LANÇAMENTOS DIÁRIOS'!$C$5:$C$500,$A48,'LANÇAMENTOS DIÁRIOS'!$O$5:$O$500,"&lt;=107799",'LANÇAMENTOS DIÁRIOS'!$P$5:$P$500,"&gt;=107700")&gt;0,"X","")</f>
      </c>
      <c r="Y48" s="56" t="str">
        <f>IF(COUNTIFS('LANÇAMENTOS DIÁRIOS'!$G$5:$G$500,"E",'LANÇAMENTOS DIÁRIOS'!$C$5:$C$500,$A48,'LANÇAMENTOS DIÁRIOS'!$O$5:$O$500,"&lt;=107899",'LANÇAMENTOS DIÁRIOS'!$P$5:$P$500,"&gt;=107800")&gt;0,"X","")</f>
      </c>
      <c r="Z48" s="56" t="str">
        <f>IF(COUNTIFS('LANÇAMENTOS DIÁRIOS'!$G$5:$G$500,"E",'LANÇAMENTOS DIÁRIOS'!$C$5:$C$500,$A48,'LANÇAMENTOS DIÁRIOS'!$O$5:$O$500,"&lt;=107999",'LANÇAMENTOS DIÁRIOS'!$P$5:$P$500,"&gt;=107900")&gt;0,"X","")</f>
      </c>
      <c r="AA48" s="56" t="str">
        <f>IF(COUNTIFS('LANÇAMENTOS DIÁRIOS'!$G$5:$G$500,"E",'LANÇAMENTOS DIÁRIOS'!$C$5:$C$500,$A48,'LANÇAMENTOS DIÁRIOS'!$O$5:$O$500,"&lt;=108099",'LANÇAMENTOS DIÁRIOS'!$P$5:$P$500,"&gt;=108000")&gt;0,"X","")</f>
      </c>
      <c r="AB48" s="56" t="str">
        <f>IF(COUNTIFS('LANÇAMENTOS DIÁRIOS'!$G$5:$G$500,"E",'LANÇAMENTOS DIÁRIOS'!$C$5:$C$500,$A48,'LANÇAMENTOS DIÁRIOS'!$O$5:$O$500,"&lt;=108199",'LANÇAMENTOS DIÁRIOS'!$P$5:$P$500,"&gt;=108100")&gt;0,"X","")</f>
      </c>
      <c r="AC48" s="56" t="str">
        <f>IF(COUNTIFS('LANÇAMENTOS DIÁRIOS'!$G$5:$G$500,"E",'LANÇAMENTOS DIÁRIOS'!$C$5:$C$500,$A48,'LANÇAMENTOS DIÁRIOS'!$O$5:$O$500,"&lt;=108299",'LANÇAMENTOS DIÁRIOS'!$P$5:$P$500,"&gt;=108200")&gt;0,"X","")</f>
      </c>
      <c r="AD48" s="56" t="str">
        <f>IF(COUNTIFS('LANÇAMENTOS DIÁRIOS'!$G$5:$G$500,"E",'LANÇAMENTOS DIÁRIOS'!$C$5:$C$500,$A48,'LANÇAMENTOS DIÁRIOS'!$O$5:$O$500,"&lt;=108399",'LANÇAMENTOS DIÁRIOS'!$P$5:$P$500,"&gt;=108300")&gt;0,"X","")</f>
      </c>
      <c r="AE48" s="56" t="str">
        <f>IF(COUNTIFS('LANÇAMENTOS DIÁRIOS'!$G$5:$G$500,"E",'LANÇAMENTOS DIÁRIOS'!$C$5:$C$500,$A48,'LANÇAMENTOS DIÁRIOS'!$O$5:$O$500,"&lt;=108499",'LANÇAMENTOS DIÁRIOS'!$P$5:$P$500,"&gt;=108400")&gt;0,"X","")</f>
      </c>
      <c r="AF48" s="56" t="str">
        <f>IF(COUNTIFS('LANÇAMENTOS DIÁRIOS'!$G$5:$G$500,"E",'LANÇAMENTOS DIÁRIOS'!$C$5:$C$500,$A48,'LANÇAMENTOS DIÁRIOS'!$O$5:$O$500,"&lt;=108599",'LANÇAMENTOS DIÁRIOS'!$P$5:$P$500,"&gt;=108500")&gt;0,"X","")</f>
      </c>
      <c r="AG48" s="56" t="str">
        <f>IF(COUNTIFS('LANÇAMENTOS DIÁRIOS'!$G$5:$G$500,"E",'LANÇAMENTOS DIÁRIOS'!$C$5:$C$500,$A48,'LANÇAMENTOS DIÁRIOS'!$O$5:$O$500,"&lt;=108699",'LANÇAMENTOS DIÁRIOS'!$P$5:$P$500,"&gt;=108600")&gt;0,"X","")</f>
      </c>
      <c r="AH48" s="56" t="str">
        <f>IF(COUNTIFS('LANÇAMENTOS DIÁRIOS'!$G$5:$G$500,"E",'LANÇAMENTOS DIÁRIOS'!$C$5:$C$500,$A48,'LANÇAMENTOS DIÁRIOS'!$O$5:$O$500,"&lt;=108799",'LANÇAMENTOS DIÁRIOS'!$P$5:$P$500,"&gt;=108700")&gt;0,"X","")</f>
      </c>
      <c r="AI48" s="56" t="str">
        <f>IF(COUNTIFS('LANÇAMENTOS DIÁRIOS'!$G$5:$G$500,"E",'LANÇAMENTOS DIÁRIOS'!$C$5:$C$500,$A48,'LANÇAMENTOS DIÁRIOS'!$O$5:$O$500,"&lt;=108899",'LANÇAMENTOS DIÁRIOS'!$P$5:$P$500,"&gt;=108800")&gt;0,"X","")</f>
      </c>
      <c r="AJ48" s="56" t="str">
        <f>IF(COUNTIFS('LANÇAMENTOS DIÁRIOS'!$G$5:$G$500,"E",'LANÇAMENTOS DIÁRIOS'!$C$5:$C$500,$A48,'LANÇAMENTOS DIÁRIOS'!$O$5:$O$500,"&lt;=108999",'LANÇAMENTOS DIÁRIOS'!$P$5:$P$500,"&gt;=108900")&gt;0,"X","")</f>
      </c>
      <c r="AK48" s="56" t="str">
        <f>IF(COUNTIFS('LANÇAMENTOS DIÁRIOS'!$G$5:$G$500,"E",'LANÇAMENTOS DIÁRIOS'!$C$5:$C$500,$A48,'LANÇAMENTOS DIÁRIOS'!$O$5:$O$500,"&lt;=109099",'LANÇAMENTOS DIÁRIOS'!$P$5:$P$500,"&gt;=109000")&gt;0,"X","")</f>
      </c>
      <c r="AL48" s="56" t="str">
        <f>IF(COUNTIFS('LANÇAMENTOS DIÁRIOS'!$G$5:$G$500,"E",'LANÇAMENTOS DIÁRIOS'!$C$5:$C$500,$A48,'LANÇAMENTOS DIÁRIOS'!$O$5:$O$500,"&lt;=109199",'LANÇAMENTOS DIÁRIOS'!$P$5:$P$500,"&gt;=109100")&gt;0,"X","")</f>
      </c>
      <c r="AM48" s="56" t="str">
        <f>IF(COUNTIFS('LANÇAMENTOS DIÁRIOS'!$G$5:$G$500,"E",'LANÇAMENTOS DIÁRIOS'!$C$5:$C$500,$A48,'LANÇAMENTOS DIÁRIOS'!$O$5:$O$500,"&lt;=109299",'LANÇAMENTOS DIÁRIOS'!$P$5:$P$500,"&gt;=109200")&gt;0,"X","")</f>
      </c>
      <c r="AN48" s="56" t="str">
        <f>IF(COUNTIFS('LANÇAMENTOS DIÁRIOS'!$G$5:$G$500,"E",'LANÇAMENTOS DIÁRIOS'!$C$5:$C$500,$A48,'LANÇAMENTOS DIÁRIOS'!$O$5:$O$500,"&lt;=109399",'LANÇAMENTOS DIÁRIOS'!$P$5:$P$500,"&gt;=109300")&gt;0,"X","")</f>
      </c>
      <c r="AO48" s="56" t="str">
        <f>IF(COUNTIFS('LANÇAMENTOS DIÁRIOS'!$G$5:$G$500,"E",'LANÇAMENTOS DIÁRIOS'!$C$5:$C$500,$A48,'LANÇAMENTOS DIÁRIOS'!$O$5:$O$500,"&lt;=109499",'LANÇAMENTOS DIÁRIOS'!$P$5:$P$500,"&gt;=109400")&gt;0,"X","")</f>
      </c>
      <c r="AP48" s="56" t="str">
        <f>IF(COUNTIFS('LANÇAMENTOS DIÁRIOS'!$G$5:$G$500,"E",'LANÇAMENTOS DIÁRIOS'!$C$5:$C$500,$A48,'LANÇAMENTOS DIÁRIOS'!$O$5:$O$500,"&lt;=109599",'LANÇAMENTOS DIÁRIOS'!$P$5:$P$500,"&gt;=109500")&gt;0,"X","")</f>
      </c>
      <c r="AQ48" s="56" t="str">
        <f>IF(COUNTIFS('LANÇAMENTOS DIÁRIOS'!$G$5:$G$500,"E",'LANÇAMENTOS DIÁRIOS'!$C$5:$C$500,$A48,'LANÇAMENTOS DIÁRIOS'!$O$5:$O$500,"&lt;=109699",'LANÇAMENTOS DIÁRIOS'!$P$5:$P$500,"&gt;=109600")&gt;0,"X","")</f>
      </c>
      <c r="AR48" s="56" t="str">
        <f>IF(COUNTIFS('LANÇAMENTOS DIÁRIOS'!$G$5:$G$500,"E",'LANÇAMENTOS DIÁRIOS'!$C$5:$C$500,$A48,'LANÇAMENTOS DIÁRIOS'!$O$5:$O$500,"&lt;=109799",'LANÇAMENTOS DIÁRIOS'!$P$5:$P$500,"&gt;=109700")&gt;0,"X","")</f>
      </c>
      <c r="AS48" s="56" t="str">
        <f>IF(COUNTIFS('LANÇAMENTOS DIÁRIOS'!$G$5:$G$500,"E",'LANÇAMENTOS DIÁRIOS'!$C$5:$C$500,$A48,'LANÇAMENTOS DIÁRIOS'!$O$5:$O$500,"&lt;=109899",'LANÇAMENTOS DIÁRIOS'!$P$5:$P$500,"&gt;=109800")&gt;0,"X","")</f>
      </c>
      <c r="AT48" s="56" t="str">
        <f>IF(COUNTIFS('LANÇAMENTOS DIÁRIOS'!$G$5:$G$500,"E",'LANÇAMENTOS DIÁRIOS'!$C$5:$C$500,$A48,'LANÇAMENTOS DIÁRIOS'!$O$5:$O$500,"&lt;=109999",'LANÇAMENTOS DIÁRIOS'!$P$5:$P$500,"&gt;=109900")&gt;0,"X","")</f>
      </c>
      <c r="AU48" s="56" t="str">
        <f>IF(COUNTIFS('LANÇAMENTOS DIÁRIOS'!$G$5:$G$500,"E",'LANÇAMENTOS DIÁRIOS'!$C$5:$C$500,$A48,'LANÇAMENTOS DIÁRIOS'!$O$5:$O$500,"&lt;=110099",'LANÇAMENTOS DIÁRIOS'!$P$5:$P$500,"&gt;=110000")&gt;0,"X","")</f>
      </c>
      <c r="AV48" s="56" t="str">
        <f>IF(COUNTIFS('LANÇAMENTOS DIÁRIOS'!$G$5:$G$500,"E",'LANÇAMENTOS DIÁRIOS'!$C$5:$C$500,$A48,'LANÇAMENTOS DIÁRIOS'!$O$5:$O$500,"&lt;=110199",'LANÇAMENTOS DIÁRIOS'!$P$5:$P$500,"&gt;=110100")&gt;0,"X","")</f>
      </c>
      <c r="AW48" s="56" t="str">
        <f>IF(COUNTIFS('LANÇAMENTOS DIÁRIOS'!$G$5:$G$500,"E",'LANÇAMENTOS DIÁRIOS'!$C$5:$C$500,$A48,'LANÇAMENTOS DIÁRIOS'!$O$5:$O$500,"&lt;=110299",'LANÇAMENTOS DIÁRIOS'!$P$5:$P$500,"&gt;=110200")&gt;0,"X","")</f>
      </c>
      <c r="AX48" s="56" t="str">
        <f>IF(COUNTIFS('LANÇAMENTOS DIÁRIOS'!$G$5:$G$500,"E",'LANÇAMENTOS DIÁRIOS'!$C$5:$C$500,$A48,'LANÇAMENTOS DIÁRIOS'!$O$5:$O$500,"&lt;=110399",'LANÇAMENTOS DIÁRIOS'!$P$5:$P$500,"&gt;=110300")&gt;0,"X","")</f>
      </c>
      <c r="AY48" s="56" t="str">
        <f>IF(COUNTIFS('LANÇAMENTOS DIÁRIOS'!$G$5:$G$500,"E",'LANÇAMENTOS DIÁRIOS'!$C$5:$C$500,$A48,'LANÇAMENTOS DIÁRIOS'!$O$5:$O$500,"&lt;=110499",'LANÇAMENTOS DIÁRIOS'!$P$5:$P$500,"&gt;=110400")&gt;0,"X","")</f>
      </c>
      <c r="AZ48" s="56" t="str">
        <f>IF(COUNTIFS('LANÇAMENTOS DIÁRIOS'!$G$5:$G$500,"E",'LANÇAMENTOS DIÁRIOS'!$C$5:$C$500,$A48,'LANÇAMENTOS DIÁRIOS'!$O$5:$O$500,"&lt;=110599",'LANÇAMENTOS DIÁRIOS'!$P$5:$P$500,"&gt;=110500")&gt;0,"X","")</f>
      </c>
      <c r="BA48" s="56" t="str">
        <f>IF(COUNTIFS('LANÇAMENTOS DIÁRIOS'!$G$5:$G$500,"E",'LANÇAMENTOS DIÁRIOS'!$C$5:$C$500,$A48,'LANÇAMENTOS DIÁRIOS'!$O$5:$O$500,"&lt;=110699",'LANÇAMENTOS DIÁRIOS'!$P$5:$P$500,"&gt;=110600")&gt;0,"X","")</f>
      </c>
      <c r="BB48" s="56" t="str">
        <f>IF(COUNTIFS('LANÇAMENTOS DIÁRIOS'!$G$5:$G$500,"E",'LANÇAMENTOS DIÁRIOS'!$C$5:$C$500,$A48,'LANÇAMENTOS DIÁRIOS'!$O$5:$O$500,"&lt;=110799",'LANÇAMENTOS DIÁRIOS'!$P$5:$P$500,"&gt;=110700")&gt;0,"X","")</f>
      </c>
      <c r="BC48" s="56" t="str">
        <f>IF(COUNTIFS('LANÇAMENTOS DIÁRIOS'!$G$5:$G$500,"E",'LANÇAMENTOS DIÁRIOS'!$C$5:$C$500,$A48,'LANÇAMENTOS DIÁRIOS'!$O$5:$O$500,"&lt;=110899",'LANÇAMENTOS DIÁRIOS'!$P$5:$P$500,"&gt;=110800")&gt;0,"X","")</f>
      </c>
      <c r="BD48" s="56" t="str">
        <f>IF(COUNTIFS('LANÇAMENTOS DIÁRIOS'!$G$5:$G$500,"E",'LANÇAMENTOS DIÁRIOS'!$C$5:$C$500,$A48,'LANÇAMENTOS DIÁRIOS'!$O$5:$O$500,"&lt;=110999",'LANÇAMENTOS DIÁRIOS'!$P$5:$P$500,"&gt;=110900")&gt;0,"X","")</f>
      </c>
      <c r="BE48" s="56" t="str">
        <f>IF(COUNTIFS('LANÇAMENTOS DIÁRIOS'!$G$5:$G$500,"E",'LANÇAMENTOS DIÁRIOS'!$C$5:$C$500,$A48,'LANÇAMENTOS DIÁRIOS'!$O$5:$O$500,"&lt;=111099",'LANÇAMENTOS DIÁRIOS'!$P$5:$P$500,"&gt;=111000")&gt;0,"X","")</f>
      </c>
      <c r="BF48" s="56" t="str">
        <f>IF(COUNTIFS('LANÇAMENTOS DIÁRIOS'!$G$5:$G$500,"E",'LANÇAMENTOS DIÁRIOS'!$C$5:$C$500,$A48,'LANÇAMENTOS DIÁRIOS'!$O$5:$O$500,"&lt;=111199",'LANÇAMENTOS DIÁRIOS'!$P$5:$P$500,"&gt;=111100")&gt;0,"X","")</f>
      </c>
      <c r="BG48" s="56" t="str">
        <f>IF(COUNTIFS('LANÇAMENTOS DIÁRIOS'!$G$5:$G$500,"E",'LANÇAMENTOS DIÁRIOS'!$C$5:$C$500,$A48,'LANÇAMENTOS DIÁRIOS'!$O$5:$O$500,"&lt;=111299",'LANÇAMENTOS DIÁRIOS'!$P$5:$P$500,"&gt;=111200")&gt;0,"X","")</f>
      </c>
      <c r="BH48" s="56" t="str">
        <f>IF(COUNTIFS('LANÇAMENTOS DIÁRIOS'!$G$5:$G$500,"E",'LANÇAMENTOS DIÁRIOS'!$C$5:$C$500,$A48,'LANÇAMENTOS DIÁRIOS'!$O$5:$O$500,"&lt;=111399",'LANÇAMENTOS DIÁRIOS'!$P$5:$P$500,"&gt;=111300")&gt;0,"X","")</f>
      </c>
      <c r="BI48" s="56" t="str">
        <f>IF(COUNTIFS('LANÇAMENTOS DIÁRIOS'!$G$5:$G$500,"E",'LANÇAMENTOS DIÁRIOS'!$C$5:$C$500,$A48,'LANÇAMENTOS DIÁRIOS'!$O$5:$O$500,"&lt;=111499",'LANÇAMENTOS DIÁRIOS'!$P$5:$P$500,"&gt;=111400")&gt;0,"X","")</f>
      </c>
      <c r="BJ48" s="56" t="str">
        <f>IF(COUNTIFS('LANÇAMENTOS DIÁRIOS'!$G$5:$G$500,"E",'LANÇAMENTOS DIÁRIOS'!$C$5:$C$500,$A48,'LANÇAMENTOS DIÁRIOS'!$O$5:$O$500,"&lt;=111500",'LANÇAMENTOS DIÁRIOS'!$P$5:$P$500,"&gt;=111500")&gt;0,"X","")</f>
      </c>
    </row>
    <row r="49">
      <c r="A49" s="51" t="str">
        <v>Fundação / reaterro com solo</v>
      </c>
      <c r="B49" s="56" t="str">
        <f>IF(COUNTIFS('LANÇAMENTOS DIÁRIOS'!$G$5:$G$500,"E",'LANÇAMENTOS DIÁRIOS'!$C$5:$C$500,$A49,'LANÇAMENTOS DIÁRIOS'!$O$5:$O$500,"&lt;=105599",'LANÇAMENTOS DIÁRIOS'!$P$5:$P$500,"&gt;=105500")&gt;0,"X","")</f>
      </c>
      <c r="C49" s="56" t="str">
        <f>IF(COUNTIFS('LANÇAMENTOS DIÁRIOS'!$G$5:$G$500,"E",'LANÇAMENTOS DIÁRIOS'!$C$5:$C$500,$A49,'LANÇAMENTOS DIÁRIOS'!$O$5:$O$500,"&lt;=105699",'LANÇAMENTOS DIÁRIOS'!$P$5:$P$500,"&gt;=105600")&gt;0,"X","")</f>
      </c>
      <c r="D49" s="56" t="str">
        <f>IF(COUNTIFS('LANÇAMENTOS DIÁRIOS'!$G$5:$G$500,"E",'LANÇAMENTOS DIÁRIOS'!$C$5:$C$500,$A49,'LANÇAMENTOS DIÁRIOS'!$O$5:$O$500,"&lt;=105799",'LANÇAMENTOS DIÁRIOS'!$P$5:$P$500,"&gt;=105700")&gt;0,"X","")</f>
      </c>
      <c r="E49" s="56" t="str">
        <f>IF(COUNTIFS('LANÇAMENTOS DIÁRIOS'!$G$5:$G$500,"E",'LANÇAMENTOS DIÁRIOS'!$C$5:$C$500,$A49,'LANÇAMENTOS DIÁRIOS'!$O$5:$O$500,"&lt;=105899",'LANÇAMENTOS DIÁRIOS'!$P$5:$P$500,"&gt;=105800")&gt;0,"X","")</f>
      </c>
      <c r="F49" s="56" t="str">
        <f>IF(COUNTIFS('LANÇAMENTOS DIÁRIOS'!$G$5:$G$500,"E",'LANÇAMENTOS DIÁRIOS'!$C$5:$C$500,$A49,'LANÇAMENTOS DIÁRIOS'!$O$5:$O$500,"&lt;=105999",'LANÇAMENTOS DIÁRIOS'!$P$5:$P$500,"&gt;=105900")&gt;0,"X","")</f>
      </c>
      <c r="G49" s="56" t="str">
        <f>IF(COUNTIFS('LANÇAMENTOS DIÁRIOS'!$G$5:$G$500,"E",'LANÇAMENTOS DIÁRIOS'!$C$5:$C$500,$A49,'LANÇAMENTOS DIÁRIOS'!$O$5:$O$500,"&lt;=106099",'LANÇAMENTOS DIÁRIOS'!$P$5:$P$500,"&gt;=106000")&gt;0,"X","")</f>
      </c>
      <c r="H49" s="56" t="str">
        <f>IF(COUNTIFS('LANÇAMENTOS DIÁRIOS'!$G$5:$G$500,"E",'LANÇAMENTOS DIÁRIOS'!$C$5:$C$500,$A49,'LANÇAMENTOS DIÁRIOS'!$O$5:$O$500,"&lt;=106199",'LANÇAMENTOS DIÁRIOS'!$P$5:$P$500,"&gt;=106100")&gt;0,"X","")</f>
      </c>
      <c r="I49" s="56" t="str">
        <f>IF(COUNTIFS('LANÇAMENTOS DIÁRIOS'!$G$5:$G$500,"E",'LANÇAMENTOS DIÁRIOS'!$C$5:$C$500,$A49,'LANÇAMENTOS DIÁRIOS'!$O$5:$O$500,"&lt;=106299",'LANÇAMENTOS DIÁRIOS'!$P$5:$P$500,"&gt;=106200")&gt;0,"X","")</f>
      </c>
      <c r="J49" s="56" t="str">
        <f>IF(COUNTIFS('LANÇAMENTOS DIÁRIOS'!$G$5:$G$500,"E",'LANÇAMENTOS DIÁRIOS'!$C$5:$C$500,$A49,'LANÇAMENTOS DIÁRIOS'!$O$5:$O$500,"&lt;=106399",'LANÇAMENTOS DIÁRIOS'!$P$5:$P$500,"&gt;=106300")&gt;0,"X","")</f>
      </c>
      <c r="K49" s="56" t="str">
        <f>IF(COUNTIFS('LANÇAMENTOS DIÁRIOS'!$G$5:$G$500,"E",'LANÇAMENTOS DIÁRIOS'!$C$5:$C$500,$A49,'LANÇAMENTOS DIÁRIOS'!$O$5:$O$500,"&lt;=106499",'LANÇAMENTOS DIÁRIOS'!$P$5:$P$500,"&gt;=106400")&gt;0,"X","")</f>
      </c>
      <c r="L49" s="56" t="str">
        <f>IF(COUNTIFS('LANÇAMENTOS DIÁRIOS'!$G$5:$G$500,"E",'LANÇAMENTOS DIÁRIOS'!$C$5:$C$500,$A49,'LANÇAMENTOS DIÁRIOS'!$O$5:$O$500,"&lt;=106599",'LANÇAMENTOS DIÁRIOS'!$P$5:$P$500,"&gt;=106500")&gt;0,"X","")</f>
      </c>
      <c r="M49" s="56" t="str">
        <f>IF(COUNTIFS('LANÇAMENTOS DIÁRIOS'!$G$5:$G$500,"E",'LANÇAMENTOS DIÁRIOS'!$C$5:$C$500,$A49,'LANÇAMENTOS DIÁRIOS'!$O$5:$O$500,"&lt;=106699",'LANÇAMENTOS DIÁRIOS'!$P$5:$P$500,"&gt;=106600")&gt;0,"X","")</f>
      </c>
      <c r="N49" s="56" t="str">
        <f>IF(COUNTIFS('LANÇAMENTOS DIÁRIOS'!$G$5:$G$500,"E",'LANÇAMENTOS DIÁRIOS'!$C$5:$C$500,$A49,'LANÇAMENTOS DIÁRIOS'!$O$5:$O$500,"&lt;=106799",'LANÇAMENTOS DIÁRIOS'!$P$5:$P$500,"&gt;=106700")&gt;0,"X","")</f>
      </c>
      <c r="O49" s="56" t="str">
        <f>IF(COUNTIFS('LANÇAMENTOS DIÁRIOS'!$G$5:$G$500,"E",'LANÇAMENTOS DIÁRIOS'!$C$5:$C$500,$A49,'LANÇAMENTOS DIÁRIOS'!$O$5:$O$500,"&lt;=106899",'LANÇAMENTOS DIÁRIOS'!$P$5:$P$500,"&gt;=106800")&gt;0,"X","")</f>
      </c>
      <c r="P49" s="56" t="str">
        <f>IF(COUNTIFS('LANÇAMENTOS DIÁRIOS'!$G$5:$G$500,"E",'LANÇAMENTOS DIÁRIOS'!$C$5:$C$500,$A49,'LANÇAMENTOS DIÁRIOS'!$O$5:$O$500,"&lt;=106999",'LANÇAMENTOS DIÁRIOS'!$P$5:$P$500,"&gt;=106900")&gt;0,"X","")</f>
      </c>
      <c r="Q49" s="56" t="str">
        <f>IF(COUNTIFS('LANÇAMENTOS DIÁRIOS'!$G$5:$G$500,"E",'LANÇAMENTOS DIÁRIOS'!$C$5:$C$500,$A49,'LANÇAMENTOS DIÁRIOS'!$O$5:$O$500,"&lt;=107099",'LANÇAMENTOS DIÁRIOS'!$P$5:$P$500,"&gt;=107000")&gt;0,"X","")</f>
      </c>
      <c r="R49" s="56" t="str">
        <f>IF(COUNTIFS('LANÇAMENTOS DIÁRIOS'!$G$5:$G$500,"E",'LANÇAMENTOS DIÁRIOS'!$C$5:$C$500,$A49,'LANÇAMENTOS DIÁRIOS'!$O$5:$O$500,"&lt;=107199",'LANÇAMENTOS DIÁRIOS'!$P$5:$P$500,"&gt;=107100")&gt;0,"X","")</f>
      </c>
      <c r="S49" s="56" t="str">
        <f>IF(COUNTIFS('LANÇAMENTOS DIÁRIOS'!$G$5:$G$500,"E",'LANÇAMENTOS DIÁRIOS'!$C$5:$C$500,$A49,'LANÇAMENTOS DIÁRIOS'!$O$5:$O$500,"&lt;=107299",'LANÇAMENTOS DIÁRIOS'!$P$5:$P$500,"&gt;=107200")&gt;0,"X","")</f>
      </c>
      <c r="T49" s="56" t="str">
        <f>IF(COUNTIFS('LANÇAMENTOS DIÁRIOS'!$G$5:$G$500,"E",'LANÇAMENTOS DIÁRIOS'!$C$5:$C$500,$A49,'LANÇAMENTOS DIÁRIOS'!$O$5:$O$500,"&lt;=107399",'LANÇAMENTOS DIÁRIOS'!$P$5:$P$500,"&gt;=107300")&gt;0,"X","")</f>
      </c>
      <c r="U49" s="56" t="str">
        <f>IF(COUNTIFS('LANÇAMENTOS DIÁRIOS'!$G$5:$G$500,"E",'LANÇAMENTOS DIÁRIOS'!$C$5:$C$500,$A49,'LANÇAMENTOS DIÁRIOS'!$O$5:$O$500,"&lt;=107499",'LANÇAMENTOS DIÁRIOS'!$P$5:$P$500,"&gt;=107400")&gt;0,"X","")</f>
      </c>
      <c r="V49" s="56" t="str">
        <f>IF(COUNTIFS('LANÇAMENTOS DIÁRIOS'!$G$5:$G$500,"E",'LANÇAMENTOS DIÁRIOS'!$C$5:$C$500,$A49,'LANÇAMENTOS DIÁRIOS'!$O$5:$O$500,"&lt;=107599",'LANÇAMENTOS DIÁRIOS'!$P$5:$P$500,"&gt;=107500")&gt;0,"X","")</f>
      </c>
      <c r="W49" s="56" t="str">
        <f>IF(COUNTIFS('LANÇAMENTOS DIÁRIOS'!$G$5:$G$500,"E",'LANÇAMENTOS DIÁRIOS'!$C$5:$C$500,$A49,'LANÇAMENTOS DIÁRIOS'!$O$5:$O$500,"&lt;=107699",'LANÇAMENTOS DIÁRIOS'!$P$5:$P$500,"&gt;=107600")&gt;0,"X","")</f>
      </c>
      <c r="X49" s="56" t="str">
        <f>IF(COUNTIFS('LANÇAMENTOS DIÁRIOS'!$G$5:$G$500,"E",'LANÇAMENTOS DIÁRIOS'!$C$5:$C$500,$A49,'LANÇAMENTOS DIÁRIOS'!$O$5:$O$500,"&lt;=107799",'LANÇAMENTOS DIÁRIOS'!$P$5:$P$500,"&gt;=107700")&gt;0,"X","")</f>
      </c>
      <c r="Y49" s="56" t="str">
        <f>IF(COUNTIFS('LANÇAMENTOS DIÁRIOS'!$G$5:$G$500,"E",'LANÇAMENTOS DIÁRIOS'!$C$5:$C$500,$A49,'LANÇAMENTOS DIÁRIOS'!$O$5:$O$500,"&lt;=107899",'LANÇAMENTOS DIÁRIOS'!$P$5:$P$500,"&gt;=107800")&gt;0,"X","")</f>
      </c>
      <c r="Z49" s="56" t="str">
        <f>IF(COUNTIFS('LANÇAMENTOS DIÁRIOS'!$G$5:$G$500,"E",'LANÇAMENTOS DIÁRIOS'!$C$5:$C$500,$A49,'LANÇAMENTOS DIÁRIOS'!$O$5:$O$500,"&lt;=107999",'LANÇAMENTOS DIÁRIOS'!$P$5:$P$500,"&gt;=107900")&gt;0,"X","")</f>
      </c>
      <c r="AA49" s="56" t="str">
        <f>IF(COUNTIFS('LANÇAMENTOS DIÁRIOS'!$G$5:$G$500,"E",'LANÇAMENTOS DIÁRIOS'!$C$5:$C$500,$A49,'LANÇAMENTOS DIÁRIOS'!$O$5:$O$500,"&lt;=108099",'LANÇAMENTOS DIÁRIOS'!$P$5:$P$500,"&gt;=108000")&gt;0,"X","")</f>
      </c>
      <c r="AB49" s="56" t="str">
        <f>IF(COUNTIFS('LANÇAMENTOS DIÁRIOS'!$G$5:$G$500,"E",'LANÇAMENTOS DIÁRIOS'!$C$5:$C$500,$A49,'LANÇAMENTOS DIÁRIOS'!$O$5:$O$500,"&lt;=108199",'LANÇAMENTOS DIÁRIOS'!$P$5:$P$500,"&gt;=108100")&gt;0,"X","")</f>
      </c>
      <c r="AC49" s="56" t="str">
        <f>IF(COUNTIFS('LANÇAMENTOS DIÁRIOS'!$G$5:$G$500,"E",'LANÇAMENTOS DIÁRIOS'!$C$5:$C$500,$A49,'LANÇAMENTOS DIÁRIOS'!$O$5:$O$500,"&lt;=108299",'LANÇAMENTOS DIÁRIOS'!$P$5:$P$500,"&gt;=108200")&gt;0,"X","")</f>
      </c>
      <c r="AD49" s="56" t="str">
        <f>IF(COUNTIFS('LANÇAMENTOS DIÁRIOS'!$G$5:$G$500,"E",'LANÇAMENTOS DIÁRIOS'!$C$5:$C$500,$A49,'LANÇAMENTOS DIÁRIOS'!$O$5:$O$500,"&lt;=108399",'LANÇAMENTOS DIÁRIOS'!$P$5:$P$500,"&gt;=108300")&gt;0,"X","")</f>
      </c>
      <c r="AE49" s="56" t="str">
        <f>IF(COUNTIFS('LANÇAMENTOS DIÁRIOS'!$G$5:$G$500,"E",'LANÇAMENTOS DIÁRIOS'!$C$5:$C$500,$A49,'LANÇAMENTOS DIÁRIOS'!$O$5:$O$500,"&lt;=108499",'LANÇAMENTOS DIÁRIOS'!$P$5:$P$500,"&gt;=108400")&gt;0,"X","")</f>
      </c>
      <c r="AF49" s="56" t="str">
        <f>IF(COUNTIFS('LANÇAMENTOS DIÁRIOS'!$G$5:$G$500,"E",'LANÇAMENTOS DIÁRIOS'!$C$5:$C$500,$A49,'LANÇAMENTOS DIÁRIOS'!$O$5:$O$500,"&lt;=108599",'LANÇAMENTOS DIÁRIOS'!$P$5:$P$500,"&gt;=108500")&gt;0,"X","")</f>
      </c>
      <c r="AG49" s="56" t="str">
        <f>IF(COUNTIFS('LANÇAMENTOS DIÁRIOS'!$G$5:$G$500,"E",'LANÇAMENTOS DIÁRIOS'!$C$5:$C$500,$A49,'LANÇAMENTOS DIÁRIOS'!$O$5:$O$500,"&lt;=108699",'LANÇAMENTOS DIÁRIOS'!$P$5:$P$500,"&gt;=108600")&gt;0,"X","")</f>
      </c>
      <c r="AH49" s="56" t="str">
        <f>IF(COUNTIFS('LANÇAMENTOS DIÁRIOS'!$G$5:$G$500,"E",'LANÇAMENTOS DIÁRIOS'!$C$5:$C$500,$A49,'LANÇAMENTOS DIÁRIOS'!$O$5:$O$500,"&lt;=108799",'LANÇAMENTOS DIÁRIOS'!$P$5:$P$500,"&gt;=108700")&gt;0,"X","")</f>
      </c>
      <c r="AI49" s="56" t="str">
        <f>IF(COUNTIFS('LANÇAMENTOS DIÁRIOS'!$G$5:$G$500,"E",'LANÇAMENTOS DIÁRIOS'!$C$5:$C$500,$A49,'LANÇAMENTOS DIÁRIOS'!$O$5:$O$500,"&lt;=108899",'LANÇAMENTOS DIÁRIOS'!$P$5:$P$500,"&gt;=108800")&gt;0,"X","")</f>
      </c>
      <c r="AJ49" s="56" t="str">
        <f>IF(COUNTIFS('LANÇAMENTOS DIÁRIOS'!$G$5:$G$500,"E",'LANÇAMENTOS DIÁRIOS'!$C$5:$C$500,$A49,'LANÇAMENTOS DIÁRIOS'!$O$5:$O$500,"&lt;=108999",'LANÇAMENTOS DIÁRIOS'!$P$5:$P$500,"&gt;=108900")&gt;0,"X","")</f>
      </c>
      <c r="AK49" s="56" t="str">
        <f>IF(COUNTIFS('LANÇAMENTOS DIÁRIOS'!$G$5:$G$500,"E",'LANÇAMENTOS DIÁRIOS'!$C$5:$C$500,$A49,'LANÇAMENTOS DIÁRIOS'!$O$5:$O$500,"&lt;=109099",'LANÇAMENTOS DIÁRIOS'!$P$5:$P$500,"&gt;=109000")&gt;0,"X","")</f>
      </c>
      <c r="AL49" s="56" t="str">
        <f>IF(COUNTIFS('LANÇAMENTOS DIÁRIOS'!$G$5:$G$500,"E",'LANÇAMENTOS DIÁRIOS'!$C$5:$C$500,$A49,'LANÇAMENTOS DIÁRIOS'!$O$5:$O$500,"&lt;=109199",'LANÇAMENTOS DIÁRIOS'!$P$5:$P$500,"&gt;=109100")&gt;0,"X","")</f>
      </c>
      <c r="AM49" s="56" t="str">
        <f>IF(COUNTIFS('LANÇAMENTOS DIÁRIOS'!$G$5:$G$500,"E",'LANÇAMENTOS DIÁRIOS'!$C$5:$C$500,$A49,'LANÇAMENTOS DIÁRIOS'!$O$5:$O$500,"&lt;=109299",'LANÇAMENTOS DIÁRIOS'!$P$5:$P$500,"&gt;=109200")&gt;0,"X","")</f>
      </c>
      <c r="AN49" s="56" t="str">
        <f>IF(COUNTIFS('LANÇAMENTOS DIÁRIOS'!$G$5:$G$500,"E",'LANÇAMENTOS DIÁRIOS'!$C$5:$C$500,$A49,'LANÇAMENTOS DIÁRIOS'!$O$5:$O$500,"&lt;=109399",'LANÇAMENTOS DIÁRIOS'!$P$5:$P$500,"&gt;=109300")&gt;0,"X","")</f>
      </c>
      <c r="AO49" s="56" t="str">
        <f>IF(COUNTIFS('LANÇAMENTOS DIÁRIOS'!$G$5:$G$500,"E",'LANÇAMENTOS DIÁRIOS'!$C$5:$C$500,$A49,'LANÇAMENTOS DIÁRIOS'!$O$5:$O$500,"&lt;=109499",'LANÇAMENTOS DIÁRIOS'!$P$5:$P$500,"&gt;=109400")&gt;0,"X","")</f>
      </c>
      <c r="AP49" s="56" t="str">
        <f>IF(COUNTIFS('LANÇAMENTOS DIÁRIOS'!$G$5:$G$500,"E",'LANÇAMENTOS DIÁRIOS'!$C$5:$C$500,$A49,'LANÇAMENTOS DIÁRIOS'!$O$5:$O$500,"&lt;=109599",'LANÇAMENTOS DIÁRIOS'!$P$5:$P$500,"&gt;=109500")&gt;0,"X","")</f>
      </c>
      <c r="AQ49" s="56" t="str">
        <f>IF(COUNTIFS('LANÇAMENTOS DIÁRIOS'!$G$5:$G$500,"E",'LANÇAMENTOS DIÁRIOS'!$C$5:$C$500,$A49,'LANÇAMENTOS DIÁRIOS'!$O$5:$O$500,"&lt;=109699",'LANÇAMENTOS DIÁRIOS'!$P$5:$P$500,"&gt;=109600")&gt;0,"X","")</f>
      </c>
      <c r="AR49" s="56" t="str">
        <f>IF(COUNTIFS('LANÇAMENTOS DIÁRIOS'!$G$5:$G$500,"E",'LANÇAMENTOS DIÁRIOS'!$C$5:$C$500,$A49,'LANÇAMENTOS DIÁRIOS'!$O$5:$O$500,"&lt;=109799",'LANÇAMENTOS DIÁRIOS'!$P$5:$P$500,"&gt;=109700")&gt;0,"X","")</f>
      </c>
      <c r="AS49" s="56" t="str">
        <f>IF(COUNTIFS('LANÇAMENTOS DIÁRIOS'!$G$5:$G$500,"E",'LANÇAMENTOS DIÁRIOS'!$C$5:$C$500,$A49,'LANÇAMENTOS DIÁRIOS'!$O$5:$O$500,"&lt;=109899",'LANÇAMENTOS DIÁRIOS'!$P$5:$P$500,"&gt;=109800")&gt;0,"X","")</f>
      </c>
      <c r="AT49" s="56" t="str">
        <f>IF(COUNTIFS('LANÇAMENTOS DIÁRIOS'!$G$5:$G$500,"E",'LANÇAMENTOS DIÁRIOS'!$C$5:$C$500,$A49,'LANÇAMENTOS DIÁRIOS'!$O$5:$O$500,"&lt;=109999",'LANÇAMENTOS DIÁRIOS'!$P$5:$P$500,"&gt;=109900")&gt;0,"X","")</f>
      </c>
      <c r="AU49" s="56" t="str">
        <f>IF(COUNTIFS('LANÇAMENTOS DIÁRIOS'!$G$5:$G$500,"E",'LANÇAMENTOS DIÁRIOS'!$C$5:$C$500,$A49,'LANÇAMENTOS DIÁRIOS'!$O$5:$O$500,"&lt;=110099",'LANÇAMENTOS DIÁRIOS'!$P$5:$P$500,"&gt;=110000")&gt;0,"X","")</f>
      </c>
      <c r="AV49" s="56" t="str">
        <f>IF(COUNTIFS('LANÇAMENTOS DIÁRIOS'!$G$5:$G$500,"E",'LANÇAMENTOS DIÁRIOS'!$C$5:$C$500,$A49,'LANÇAMENTOS DIÁRIOS'!$O$5:$O$500,"&lt;=110199",'LANÇAMENTOS DIÁRIOS'!$P$5:$P$500,"&gt;=110100")&gt;0,"X","")</f>
      </c>
      <c r="AW49" s="56" t="str">
        <f>IF(COUNTIFS('LANÇAMENTOS DIÁRIOS'!$G$5:$G$500,"E",'LANÇAMENTOS DIÁRIOS'!$C$5:$C$500,$A49,'LANÇAMENTOS DIÁRIOS'!$O$5:$O$500,"&lt;=110299",'LANÇAMENTOS DIÁRIOS'!$P$5:$P$500,"&gt;=110200")&gt;0,"X","")</f>
      </c>
      <c r="AX49" s="56" t="str">
        <f>IF(COUNTIFS('LANÇAMENTOS DIÁRIOS'!$G$5:$G$500,"E",'LANÇAMENTOS DIÁRIOS'!$C$5:$C$500,$A49,'LANÇAMENTOS DIÁRIOS'!$O$5:$O$500,"&lt;=110399",'LANÇAMENTOS DIÁRIOS'!$P$5:$P$500,"&gt;=110300")&gt;0,"X","")</f>
      </c>
      <c r="AY49" s="56" t="str">
        <f>IF(COUNTIFS('LANÇAMENTOS DIÁRIOS'!$G$5:$G$500,"E",'LANÇAMENTOS DIÁRIOS'!$C$5:$C$500,$A49,'LANÇAMENTOS DIÁRIOS'!$O$5:$O$500,"&lt;=110499",'LANÇAMENTOS DIÁRIOS'!$P$5:$P$500,"&gt;=110400")&gt;0,"X","")</f>
      </c>
      <c r="AZ49" s="56" t="str">
        <f>IF(COUNTIFS('LANÇAMENTOS DIÁRIOS'!$G$5:$G$500,"E",'LANÇAMENTOS DIÁRIOS'!$C$5:$C$500,$A49,'LANÇAMENTOS DIÁRIOS'!$O$5:$O$500,"&lt;=110599",'LANÇAMENTOS DIÁRIOS'!$P$5:$P$500,"&gt;=110500")&gt;0,"X","")</f>
      </c>
      <c r="BA49" s="56" t="str">
        <f>IF(COUNTIFS('LANÇAMENTOS DIÁRIOS'!$G$5:$G$500,"E",'LANÇAMENTOS DIÁRIOS'!$C$5:$C$500,$A49,'LANÇAMENTOS DIÁRIOS'!$O$5:$O$500,"&lt;=110699",'LANÇAMENTOS DIÁRIOS'!$P$5:$P$500,"&gt;=110600")&gt;0,"X","")</f>
      </c>
      <c r="BB49" s="56" t="str">
        <f>IF(COUNTIFS('LANÇAMENTOS DIÁRIOS'!$G$5:$G$500,"E",'LANÇAMENTOS DIÁRIOS'!$C$5:$C$500,$A49,'LANÇAMENTOS DIÁRIOS'!$O$5:$O$500,"&lt;=110799",'LANÇAMENTOS DIÁRIOS'!$P$5:$P$500,"&gt;=110700")&gt;0,"X","")</f>
      </c>
      <c r="BC49" s="56" t="str">
        <f>IF(COUNTIFS('LANÇAMENTOS DIÁRIOS'!$G$5:$G$500,"E",'LANÇAMENTOS DIÁRIOS'!$C$5:$C$500,$A49,'LANÇAMENTOS DIÁRIOS'!$O$5:$O$500,"&lt;=110899",'LANÇAMENTOS DIÁRIOS'!$P$5:$P$500,"&gt;=110800")&gt;0,"X","")</f>
      </c>
      <c r="BD49" s="56" t="str">
        <f>IF(COUNTIFS('LANÇAMENTOS DIÁRIOS'!$G$5:$G$500,"E",'LANÇAMENTOS DIÁRIOS'!$C$5:$C$500,$A49,'LANÇAMENTOS DIÁRIOS'!$O$5:$O$500,"&lt;=110999",'LANÇAMENTOS DIÁRIOS'!$P$5:$P$500,"&gt;=110900")&gt;0,"X","")</f>
      </c>
      <c r="BE49" s="56" t="str">
        <f>IF(COUNTIFS('LANÇAMENTOS DIÁRIOS'!$G$5:$G$500,"E",'LANÇAMENTOS DIÁRIOS'!$C$5:$C$500,$A49,'LANÇAMENTOS DIÁRIOS'!$O$5:$O$500,"&lt;=111099",'LANÇAMENTOS DIÁRIOS'!$P$5:$P$500,"&gt;=111000")&gt;0,"X","")</f>
      </c>
      <c r="BF49" s="56" t="str">
        <f>IF(COUNTIFS('LANÇAMENTOS DIÁRIOS'!$G$5:$G$500,"E",'LANÇAMENTOS DIÁRIOS'!$C$5:$C$500,$A49,'LANÇAMENTOS DIÁRIOS'!$O$5:$O$500,"&lt;=111199",'LANÇAMENTOS DIÁRIOS'!$P$5:$P$500,"&gt;=111100")&gt;0,"X","")</f>
      </c>
      <c r="BG49" s="56" t="str">
        <f>IF(COUNTIFS('LANÇAMENTOS DIÁRIOS'!$G$5:$G$500,"E",'LANÇAMENTOS DIÁRIOS'!$C$5:$C$500,$A49,'LANÇAMENTOS DIÁRIOS'!$O$5:$O$500,"&lt;=111299",'LANÇAMENTOS DIÁRIOS'!$P$5:$P$500,"&gt;=111200")&gt;0,"X","")</f>
      </c>
      <c r="BH49" s="56" t="str">
        <f>IF(COUNTIFS('LANÇAMENTOS DIÁRIOS'!$G$5:$G$500,"E",'LANÇAMENTOS DIÁRIOS'!$C$5:$C$500,$A49,'LANÇAMENTOS DIÁRIOS'!$O$5:$O$500,"&lt;=111399",'LANÇAMENTOS DIÁRIOS'!$P$5:$P$500,"&gt;=111300")&gt;0,"X","")</f>
      </c>
      <c r="BI49" s="56" t="str">
        <f>IF(COUNTIFS('LANÇAMENTOS DIÁRIOS'!$G$5:$G$500,"E",'LANÇAMENTOS DIÁRIOS'!$C$5:$C$500,$A49,'LANÇAMENTOS DIÁRIOS'!$O$5:$O$500,"&lt;=111499",'LANÇAMENTOS DIÁRIOS'!$P$5:$P$500,"&gt;=111400")&gt;0,"X","")</f>
      </c>
      <c r="BJ49" s="56" t="str">
        <f>IF(COUNTIFS('LANÇAMENTOS DIÁRIOS'!$G$5:$G$500,"E",'LANÇAMENTOS DIÁRIOS'!$C$5:$C$500,$A49,'LANÇAMENTOS DIÁRIOS'!$O$5:$O$500,"&lt;=111500",'LANÇAMENTOS DIÁRIOS'!$P$5:$P$500,"&gt;=111500")&gt;0,"X","")</f>
      </c>
    </row>
    <row r="50">
      <c r="A50" s="51" t="str">
        <v>Escavação de solo mole</v>
      </c>
      <c r="B50" s="56" t="str">
        <f>IF(COUNTIFS('LANÇAMENTOS DIÁRIOS'!$G$5:$G$500,"E",'LANÇAMENTOS DIÁRIOS'!$C$5:$C$500,$A50,'LANÇAMENTOS DIÁRIOS'!$O$5:$O$500,"&lt;=105599",'LANÇAMENTOS DIÁRIOS'!$P$5:$P$500,"&gt;=105500")&gt;0,"X","")</f>
      </c>
      <c r="C50" s="56" t="str">
        <f>IF(COUNTIFS('LANÇAMENTOS DIÁRIOS'!$G$5:$G$500,"E",'LANÇAMENTOS DIÁRIOS'!$C$5:$C$500,$A50,'LANÇAMENTOS DIÁRIOS'!$O$5:$O$500,"&lt;=105699",'LANÇAMENTOS DIÁRIOS'!$P$5:$P$500,"&gt;=105600")&gt;0,"X","")</f>
      </c>
      <c r="D50" s="56" t="str">
        <f>IF(COUNTIFS('LANÇAMENTOS DIÁRIOS'!$G$5:$G$500,"E",'LANÇAMENTOS DIÁRIOS'!$C$5:$C$500,$A50,'LANÇAMENTOS DIÁRIOS'!$O$5:$O$500,"&lt;=105799",'LANÇAMENTOS DIÁRIOS'!$P$5:$P$500,"&gt;=105700")&gt;0,"X","")</f>
      </c>
      <c r="E50" s="56" t="str">
        <f>IF(COUNTIFS('LANÇAMENTOS DIÁRIOS'!$G$5:$G$500,"E",'LANÇAMENTOS DIÁRIOS'!$C$5:$C$500,$A50,'LANÇAMENTOS DIÁRIOS'!$O$5:$O$500,"&lt;=105899",'LANÇAMENTOS DIÁRIOS'!$P$5:$P$500,"&gt;=105800")&gt;0,"X","")</f>
      </c>
      <c r="F50" s="56" t="str">
        <f>IF(COUNTIFS('LANÇAMENTOS DIÁRIOS'!$G$5:$G$500,"E",'LANÇAMENTOS DIÁRIOS'!$C$5:$C$500,$A50,'LANÇAMENTOS DIÁRIOS'!$O$5:$O$500,"&lt;=105999",'LANÇAMENTOS DIÁRIOS'!$P$5:$P$500,"&gt;=105900")&gt;0,"X","")</f>
      </c>
      <c r="G50" s="56" t="str">
        <f>IF(COUNTIFS('LANÇAMENTOS DIÁRIOS'!$G$5:$G$500,"E",'LANÇAMENTOS DIÁRIOS'!$C$5:$C$500,$A50,'LANÇAMENTOS DIÁRIOS'!$O$5:$O$500,"&lt;=106099",'LANÇAMENTOS DIÁRIOS'!$P$5:$P$500,"&gt;=106000")&gt;0,"X","")</f>
      </c>
      <c r="H50" s="56" t="str">
        <f>IF(COUNTIFS('LANÇAMENTOS DIÁRIOS'!$G$5:$G$500,"E",'LANÇAMENTOS DIÁRIOS'!$C$5:$C$500,$A50,'LANÇAMENTOS DIÁRIOS'!$O$5:$O$500,"&lt;=106199",'LANÇAMENTOS DIÁRIOS'!$P$5:$P$500,"&gt;=106100")&gt;0,"X","")</f>
      </c>
      <c r="I50" s="56" t="str">
        <f>IF(COUNTIFS('LANÇAMENTOS DIÁRIOS'!$G$5:$G$500,"E",'LANÇAMENTOS DIÁRIOS'!$C$5:$C$500,$A50,'LANÇAMENTOS DIÁRIOS'!$O$5:$O$500,"&lt;=106299",'LANÇAMENTOS DIÁRIOS'!$P$5:$P$500,"&gt;=106200")&gt;0,"X","")</f>
      </c>
      <c r="J50" s="56" t="str">
        <f>IF(COUNTIFS('LANÇAMENTOS DIÁRIOS'!$G$5:$G$500,"E",'LANÇAMENTOS DIÁRIOS'!$C$5:$C$500,$A50,'LANÇAMENTOS DIÁRIOS'!$O$5:$O$500,"&lt;=106399",'LANÇAMENTOS DIÁRIOS'!$P$5:$P$500,"&gt;=106300")&gt;0,"X","")</f>
      </c>
      <c r="K50" s="56" t="str">
        <f>IF(COUNTIFS('LANÇAMENTOS DIÁRIOS'!$G$5:$G$500,"E",'LANÇAMENTOS DIÁRIOS'!$C$5:$C$500,$A50,'LANÇAMENTOS DIÁRIOS'!$O$5:$O$500,"&lt;=106499",'LANÇAMENTOS DIÁRIOS'!$P$5:$P$500,"&gt;=106400")&gt;0,"X","")</f>
      </c>
      <c r="L50" s="56" t="str">
        <f>IF(COUNTIFS('LANÇAMENTOS DIÁRIOS'!$G$5:$G$500,"E",'LANÇAMENTOS DIÁRIOS'!$C$5:$C$500,$A50,'LANÇAMENTOS DIÁRIOS'!$O$5:$O$500,"&lt;=106599",'LANÇAMENTOS DIÁRIOS'!$P$5:$P$500,"&gt;=106500")&gt;0,"X","")</f>
      </c>
      <c r="M50" s="56" t="str">
        <f>IF(COUNTIFS('LANÇAMENTOS DIÁRIOS'!$G$5:$G$500,"E",'LANÇAMENTOS DIÁRIOS'!$C$5:$C$500,$A50,'LANÇAMENTOS DIÁRIOS'!$O$5:$O$500,"&lt;=106699",'LANÇAMENTOS DIÁRIOS'!$P$5:$P$500,"&gt;=106600")&gt;0,"X","")</f>
      </c>
      <c r="N50" s="56" t="str">
        <f>IF(COUNTIFS('LANÇAMENTOS DIÁRIOS'!$G$5:$G$500,"E",'LANÇAMENTOS DIÁRIOS'!$C$5:$C$500,$A50,'LANÇAMENTOS DIÁRIOS'!$O$5:$O$500,"&lt;=106799",'LANÇAMENTOS DIÁRIOS'!$P$5:$P$500,"&gt;=106700")&gt;0,"X","")</f>
      </c>
      <c r="O50" s="56" t="str">
        <f>IF(COUNTIFS('LANÇAMENTOS DIÁRIOS'!$G$5:$G$500,"E",'LANÇAMENTOS DIÁRIOS'!$C$5:$C$500,$A50,'LANÇAMENTOS DIÁRIOS'!$O$5:$O$500,"&lt;=106899",'LANÇAMENTOS DIÁRIOS'!$P$5:$P$500,"&gt;=106800")&gt;0,"X","")</f>
      </c>
      <c r="P50" s="56" t="str">
        <f>IF(COUNTIFS('LANÇAMENTOS DIÁRIOS'!$G$5:$G$500,"E",'LANÇAMENTOS DIÁRIOS'!$C$5:$C$500,$A50,'LANÇAMENTOS DIÁRIOS'!$O$5:$O$500,"&lt;=106999",'LANÇAMENTOS DIÁRIOS'!$P$5:$P$500,"&gt;=106900")&gt;0,"X","")</f>
      </c>
      <c r="Q50" s="56" t="str">
        <f>IF(COUNTIFS('LANÇAMENTOS DIÁRIOS'!$G$5:$G$500,"E",'LANÇAMENTOS DIÁRIOS'!$C$5:$C$500,$A50,'LANÇAMENTOS DIÁRIOS'!$O$5:$O$500,"&lt;=107099",'LANÇAMENTOS DIÁRIOS'!$P$5:$P$500,"&gt;=107000")&gt;0,"X","")</f>
      </c>
      <c r="R50" s="56" t="str">
        <f>IF(COUNTIFS('LANÇAMENTOS DIÁRIOS'!$G$5:$G$500,"E",'LANÇAMENTOS DIÁRIOS'!$C$5:$C$500,$A50,'LANÇAMENTOS DIÁRIOS'!$O$5:$O$500,"&lt;=107199",'LANÇAMENTOS DIÁRIOS'!$P$5:$P$500,"&gt;=107100")&gt;0,"X","")</f>
      </c>
      <c r="S50" s="56" t="str">
        <f>IF(COUNTIFS('LANÇAMENTOS DIÁRIOS'!$G$5:$G$500,"E",'LANÇAMENTOS DIÁRIOS'!$C$5:$C$500,$A50,'LANÇAMENTOS DIÁRIOS'!$O$5:$O$500,"&lt;=107299",'LANÇAMENTOS DIÁRIOS'!$P$5:$P$500,"&gt;=107200")&gt;0,"X","")</f>
      </c>
      <c r="T50" s="56" t="str">
        <f>IF(COUNTIFS('LANÇAMENTOS DIÁRIOS'!$G$5:$G$500,"E",'LANÇAMENTOS DIÁRIOS'!$C$5:$C$500,$A50,'LANÇAMENTOS DIÁRIOS'!$O$5:$O$500,"&lt;=107399",'LANÇAMENTOS DIÁRIOS'!$P$5:$P$500,"&gt;=107300")&gt;0,"X","")</f>
      </c>
      <c r="U50" s="56" t="str">
        <f>IF(COUNTIFS('LANÇAMENTOS DIÁRIOS'!$G$5:$G$500,"E",'LANÇAMENTOS DIÁRIOS'!$C$5:$C$500,$A50,'LANÇAMENTOS DIÁRIOS'!$O$5:$O$500,"&lt;=107499",'LANÇAMENTOS DIÁRIOS'!$P$5:$P$500,"&gt;=107400")&gt;0,"X","")</f>
      </c>
      <c r="V50" s="56" t="str">
        <f>IF(COUNTIFS('LANÇAMENTOS DIÁRIOS'!$G$5:$G$500,"E",'LANÇAMENTOS DIÁRIOS'!$C$5:$C$500,$A50,'LANÇAMENTOS DIÁRIOS'!$O$5:$O$500,"&lt;=107599",'LANÇAMENTOS DIÁRIOS'!$P$5:$P$500,"&gt;=107500")&gt;0,"X","")</f>
      </c>
      <c r="W50" s="56" t="str">
        <f>IF(COUNTIFS('LANÇAMENTOS DIÁRIOS'!$G$5:$G$500,"E",'LANÇAMENTOS DIÁRIOS'!$C$5:$C$500,$A50,'LANÇAMENTOS DIÁRIOS'!$O$5:$O$500,"&lt;=107699",'LANÇAMENTOS DIÁRIOS'!$P$5:$P$500,"&gt;=107600")&gt;0,"X","")</f>
      </c>
      <c r="X50" s="56" t="str">
        <f>IF(COUNTIFS('LANÇAMENTOS DIÁRIOS'!$G$5:$G$500,"E",'LANÇAMENTOS DIÁRIOS'!$C$5:$C$500,$A50,'LANÇAMENTOS DIÁRIOS'!$O$5:$O$500,"&lt;=107799",'LANÇAMENTOS DIÁRIOS'!$P$5:$P$500,"&gt;=107700")&gt;0,"X","")</f>
      </c>
      <c r="Y50" s="56" t="str">
        <f>IF(COUNTIFS('LANÇAMENTOS DIÁRIOS'!$G$5:$G$500,"E",'LANÇAMENTOS DIÁRIOS'!$C$5:$C$500,$A50,'LANÇAMENTOS DIÁRIOS'!$O$5:$O$500,"&lt;=107899",'LANÇAMENTOS DIÁRIOS'!$P$5:$P$500,"&gt;=107800")&gt;0,"X","")</f>
      </c>
      <c r="Z50" s="56" t="str">
        <f>IF(COUNTIFS('LANÇAMENTOS DIÁRIOS'!$G$5:$G$500,"E",'LANÇAMENTOS DIÁRIOS'!$C$5:$C$500,$A50,'LANÇAMENTOS DIÁRIOS'!$O$5:$O$500,"&lt;=107999",'LANÇAMENTOS DIÁRIOS'!$P$5:$P$500,"&gt;=107900")&gt;0,"X","")</f>
      </c>
      <c r="AA50" s="56" t="str">
        <f>IF(COUNTIFS('LANÇAMENTOS DIÁRIOS'!$G$5:$G$500,"E",'LANÇAMENTOS DIÁRIOS'!$C$5:$C$500,$A50,'LANÇAMENTOS DIÁRIOS'!$O$5:$O$500,"&lt;=108099",'LANÇAMENTOS DIÁRIOS'!$P$5:$P$500,"&gt;=108000")&gt;0,"X","")</f>
      </c>
      <c r="AB50" s="56" t="str">
        <f>IF(COUNTIFS('LANÇAMENTOS DIÁRIOS'!$G$5:$G$500,"E",'LANÇAMENTOS DIÁRIOS'!$C$5:$C$500,$A50,'LANÇAMENTOS DIÁRIOS'!$O$5:$O$500,"&lt;=108199",'LANÇAMENTOS DIÁRIOS'!$P$5:$P$500,"&gt;=108100")&gt;0,"X","")</f>
      </c>
      <c r="AC50" s="56" t="str">
        <f>IF(COUNTIFS('LANÇAMENTOS DIÁRIOS'!$G$5:$G$500,"E",'LANÇAMENTOS DIÁRIOS'!$C$5:$C$500,$A50,'LANÇAMENTOS DIÁRIOS'!$O$5:$O$500,"&lt;=108299",'LANÇAMENTOS DIÁRIOS'!$P$5:$P$500,"&gt;=108200")&gt;0,"X","")</f>
      </c>
      <c r="AD50" s="56" t="str">
        <f>IF(COUNTIFS('LANÇAMENTOS DIÁRIOS'!$G$5:$G$500,"E",'LANÇAMENTOS DIÁRIOS'!$C$5:$C$500,$A50,'LANÇAMENTOS DIÁRIOS'!$O$5:$O$500,"&lt;=108399",'LANÇAMENTOS DIÁRIOS'!$P$5:$P$500,"&gt;=108300")&gt;0,"X","")</f>
      </c>
      <c r="AE50" s="56" t="str">
        <f>IF(COUNTIFS('LANÇAMENTOS DIÁRIOS'!$G$5:$G$500,"E",'LANÇAMENTOS DIÁRIOS'!$C$5:$C$500,$A50,'LANÇAMENTOS DIÁRIOS'!$O$5:$O$500,"&lt;=108499",'LANÇAMENTOS DIÁRIOS'!$P$5:$P$500,"&gt;=108400")&gt;0,"X","")</f>
      </c>
      <c r="AF50" s="56" t="str">
        <f>IF(COUNTIFS('LANÇAMENTOS DIÁRIOS'!$G$5:$G$500,"E",'LANÇAMENTOS DIÁRIOS'!$C$5:$C$500,$A50,'LANÇAMENTOS DIÁRIOS'!$O$5:$O$500,"&lt;=108599",'LANÇAMENTOS DIÁRIOS'!$P$5:$P$500,"&gt;=108500")&gt;0,"X","")</f>
      </c>
      <c r="AG50" s="56" t="str">
        <f>IF(COUNTIFS('LANÇAMENTOS DIÁRIOS'!$G$5:$G$500,"E",'LANÇAMENTOS DIÁRIOS'!$C$5:$C$500,$A50,'LANÇAMENTOS DIÁRIOS'!$O$5:$O$500,"&lt;=108699",'LANÇAMENTOS DIÁRIOS'!$P$5:$P$500,"&gt;=108600")&gt;0,"X","")</f>
      </c>
      <c r="AH50" s="56" t="str">
        <f>IF(COUNTIFS('LANÇAMENTOS DIÁRIOS'!$G$5:$G$500,"E",'LANÇAMENTOS DIÁRIOS'!$C$5:$C$500,$A50,'LANÇAMENTOS DIÁRIOS'!$O$5:$O$500,"&lt;=108799",'LANÇAMENTOS DIÁRIOS'!$P$5:$P$500,"&gt;=108700")&gt;0,"X","")</f>
      </c>
      <c r="AI50" s="56" t="str">
        <f>IF(COUNTIFS('LANÇAMENTOS DIÁRIOS'!$G$5:$G$500,"E",'LANÇAMENTOS DIÁRIOS'!$C$5:$C$500,$A50,'LANÇAMENTOS DIÁRIOS'!$O$5:$O$500,"&lt;=108899",'LANÇAMENTOS DIÁRIOS'!$P$5:$P$500,"&gt;=108800")&gt;0,"X","")</f>
      </c>
      <c r="AJ50" s="56" t="str">
        <f>IF(COUNTIFS('LANÇAMENTOS DIÁRIOS'!$G$5:$G$500,"E",'LANÇAMENTOS DIÁRIOS'!$C$5:$C$500,$A50,'LANÇAMENTOS DIÁRIOS'!$O$5:$O$500,"&lt;=108999",'LANÇAMENTOS DIÁRIOS'!$P$5:$P$500,"&gt;=108900")&gt;0,"X","")</f>
      </c>
      <c r="AK50" s="56" t="str">
        <f>IF(COUNTIFS('LANÇAMENTOS DIÁRIOS'!$G$5:$G$500,"E",'LANÇAMENTOS DIÁRIOS'!$C$5:$C$500,$A50,'LANÇAMENTOS DIÁRIOS'!$O$5:$O$500,"&lt;=109099",'LANÇAMENTOS DIÁRIOS'!$P$5:$P$500,"&gt;=109000")&gt;0,"X","")</f>
      </c>
      <c r="AL50" s="56" t="str">
        <f>IF(COUNTIFS('LANÇAMENTOS DIÁRIOS'!$G$5:$G$500,"E",'LANÇAMENTOS DIÁRIOS'!$C$5:$C$500,$A50,'LANÇAMENTOS DIÁRIOS'!$O$5:$O$500,"&lt;=109199",'LANÇAMENTOS DIÁRIOS'!$P$5:$P$500,"&gt;=109100")&gt;0,"X","")</f>
      </c>
      <c r="AM50" s="56" t="str">
        <f>IF(COUNTIFS('LANÇAMENTOS DIÁRIOS'!$G$5:$G$500,"E",'LANÇAMENTOS DIÁRIOS'!$C$5:$C$500,$A50,'LANÇAMENTOS DIÁRIOS'!$O$5:$O$500,"&lt;=109299",'LANÇAMENTOS DIÁRIOS'!$P$5:$P$500,"&gt;=109200")&gt;0,"X","")</f>
      </c>
      <c r="AN50" s="56" t="str">
        <f>IF(COUNTIFS('LANÇAMENTOS DIÁRIOS'!$G$5:$G$500,"E",'LANÇAMENTOS DIÁRIOS'!$C$5:$C$500,$A50,'LANÇAMENTOS DIÁRIOS'!$O$5:$O$500,"&lt;=109399",'LANÇAMENTOS DIÁRIOS'!$P$5:$P$500,"&gt;=109300")&gt;0,"X","")</f>
      </c>
      <c r="AO50" s="56" t="str">
        <f>IF(COUNTIFS('LANÇAMENTOS DIÁRIOS'!$G$5:$G$500,"E",'LANÇAMENTOS DIÁRIOS'!$C$5:$C$500,$A50,'LANÇAMENTOS DIÁRIOS'!$O$5:$O$500,"&lt;=109499",'LANÇAMENTOS DIÁRIOS'!$P$5:$P$500,"&gt;=109400")&gt;0,"X","")</f>
      </c>
      <c r="AP50" s="56" t="str">
        <f>IF(COUNTIFS('LANÇAMENTOS DIÁRIOS'!$G$5:$G$500,"E",'LANÇAMENTOS DIÁRIOS'!$C$5:$C$500,$A50,'LANÇAMENTOS DIÁRIOS'!$O$5:$O$500,"&lt;=109599",'LANÇAMENTOS DIÁRIOS'!$P$5:$P$500,"&gt;=109500")&gt;0,"X","")</f>
      </c>
      <c r="AQ50" s="56" t="str">
        <f>IF(COUNTIFS('LANÇAMENTOS DIÁRIOS'!$G$5:$G$500,"E",'LANÇAMENTOS DIÁRIOS'!$C$5:$C$500,$A50,'LANÇAMENTOS DIÁRIOS'!$O$5:$O$500,"&lt;=109699",'LANÇAMENTOS DIÁRIOS'!$P$5:$P$500,"&gt;=109600")&gt;0,"X","")</f>
      </c>
      <c r="AR50" s="56" t="str">
        <f>IF(COUNTIFS('LANÇAMENTOS DIÁRIOS'!$G$5:$G$500,"E",'LANÇAMENTOS DIÁRIOS'!$C$5:$C$500,$A50,'LANÇAMENTOS DIÁRIOS'!$O$5:$O$500,"&lt;=109799",'LANÇAMENTOS DIÁRIOS'!$P$5:$P$500,"&gt;=109700")&gt;0,"X","")</f>
      </c>
      <c r="AS50" s="56" t="str">
        <f>IF(COUNTIFS('LANÇAMENTOS DIÁRIOS'!$G$5:$G$500,"E",'LANÇAMENTOS DIÁRIOS'!$C$5:$C$500,$A50,'LANÇAMENTOS DIÁRIOS'!$O$5:$O$500,"&lt;=109899",'LANÇAMENTOS DIÁRIOS'!$P$5:$P$500,"&gt;=109800")&gt;0,"X","")</f>
      </c>
      <c r="AT50" s="56" t="str">
        <f>IF(COUNTIFS('LANÇAMENTOS DIÁRIOS'!$G$5:$G$500,"E",'LANÇAMENTOS DIÁRIOS'!$C$5:$C$500,$A50,'LANÇAMENTOS DIÁRIOS'!$O$5:$O$500,"&lt;=109999",'LANÇAMENTOS DIÁRIOS'!$P$5:$P$500,"&gt;=109900")&gt;0,"X","")</f>
      </c>
      <c r="AU50" s="56" t="str">
        <f>IF(COUNTIFS('LANÇAMENTOS DIÁRIOS'!$G$5:$G$500,"E",'LANÇAMENTOS DIÁRIOS'!$C$5:$C$500,$A50,'LANÇAMENTOS DIÁRIOS'!$O$5:$O$500,"&lt;=110099",'LANÇAMENTOS DIÁRIOS'!$P$5:$P$500,"&gt;=110000")&gt;0,"X","")</f>
      </c>
      <c r="AV50" s="56" t="str">
        <f>IF(COUNTIFS('LANÇAMENTOS DIÁRIOS'!$G$5:$G$500,"E",'LANÇAMENTOS DIÁRIOS'!$C$5:$C$500,$A50,'LANÇAMENTOS DIÁRIOS'!$O$5:$O$500,"&lt;=110199",'LANÇAMENTOS DIÁRIOS'!$P$5:$P$500,"&gt;=110100")&gt;0,"X","")</f>
      </c>
      <c r="AW50" s="56" t="str">
        <f>IF(COUNTIFS('LANÇAMENTOS DIÁRIOS'!$G$5:$G$500,"E",'LANÇAMENTOS DIÁRIOS'!$C$5:$C$500,$A50,'LANÇAMENTOS DIÁRIOS'!$O$5:$O$500,"&lt;=110299",'LANÇAMENTOS DIÁRIOS'!$P$5:$P$500,"&gt;=110200")&gt;0,"X","")</f>
      </c>
      <c r="AX50" s="56" t="str">
        <f>IF(COUNTIFS('LANÇAMENTOS DIÁRIOS'!$G$5:$G$500,"E",'LANÇAMENTOS DIÁRIOS'!$C$5:$C$500,$A50,'LANÇAMENTOS DIÁRIOS'!$O$5:$O$500,"&lt;=110399",'LANÇAMENTOS DIÁRIOS'!$P$5:$P$500,"&gt;=110300")&gt;0,"X","")</f>
      </c>
      <c r="AY50" s="56" t="str">
        <f>IF(COUNTIFS('LANÇAMENTOS DIÁRIOS'!$G$5:$G$500,"E",'LANÇAMENTOS DIÁRIOS'!$C$5:$C$500,$A50,'LANÇAMENTOS DIÁRIOS'!$O$5:$O$500,"&lt;=110499",'LANÇAMENTOS DIÁRIOS'!$P$5:$P$500,"&gt;=110400")&gt;0,"X","")</f>
      </c>
      <c r="AZ50" s="56" t="str">
        <f>IF(COUNTIFS('LANÇAMENTOS DIÁRIOS'!$G$5:$G$500,"E",'LANÇAMENTOS DIÁRIOS'!$C$5:$C$500,$A50,'LANÇAMENTOS DIÁRIOS'!$O$5:$O$500,"&lt;=110599",'LANÇAMENTOS DIÁRIOS'!$P$5:$P$500,"&gt;=110500")&gt;0,"X","")</f>
      </c>
      <c r="BA50" s="56" t="str">
        <f>IF(COUNTIFS('LANÇAMENTOS DIÁRIOS'!$G$5:$G$500,"E",'LANÇAMENTOS DIÁRIOS'!$C$5:$C$500,$A50,'LANÇAMENTOS DIÁRIOS'!$O$5:$O$500,"&lt;=110699",'LANÇAMENTOS DIÁRIOS'!$P$5:$P$500,"&gt;=110600")&gt;0,"X","")</f>
      </c>
      <c r="BB50" s="56" t="str">
        <f>IF(COUNTIFS('LANÇAMENTOS DIÁRIOS'!$G$5:$G$500,"E",'LANÇAMENTOS DIÁRIOS'!$C$5:$C$500,$A50,'LANÇAMENTOS DIÁRIOS'!$O$5:$O$500,"&lt;=110799",'LANÇAMENTOS DIÁRIOS'!$P$5:$P$500,"&gt;=110700")&gt;0,"X","")</f>
      </c>
      <c r="BC50" s="56" t="str">
        <f>IF(COUNTIFS('LANÇAMENTOS DIÁRIOS'!$G$5:$G$500,"E",'LANÇAMENTOS DIÁRIOS'!$C$5:$C$500,$A50,'LANÇAMENTOS DIÁRIOS'!$O$5:$O$500,"&lt;=110899",'LANÇAMENTOS DIÁRIOS'!$P$5:$P$500,"&gt;=110800")&gt;0,"X","")</f>
      </c>
      <c r="BD50" s="56" t="str">
        <f>IF(COUNTIFS('LANÇAMENTOS DIÁRIOS'!$G$5:$G$500,"E",'LANÇAMENTOS DIÁRIOS'!$C$5:$C$500,$A50,'LANÇAMENTOS DIÁRIOS'!$O$5:$O$500,"&lt;=110999",'LANÇAMENTOS DIÁRIOS'!$P$5:$P$500,"&gt;=110900")&gt;0,"X","")</f>
      </c>
      <c r="BE50" s="56" t="str">
        <f>IF(COUNTIFS('LANÇAMENTOS DIÁRIOS'!$G$5:$G$500,"E",'LANÇAMENTOS DIÁRIOS'!$C$5:$C$500,$A50,'LANÇAMENTOS DIÁRIOS'!$O$5:$O$500,"&lt;=111099",'LANÇAMENTOS DIÁRIOS'!$P$5:$P$500,"&gt;=111000")&gt;0,"X","")</f>
      </c>
      <c r="BF50" s="56" t="str">
        <f>IF(COUNTIFS('LANÇAMENTOS DIÁRIOS'!$G$5:$G$500,"E",'LANÇAMENTOS DIÁRIOS'!$C$5:$C$500,$A50,'LANÇAMENTOS DIÁRIOS'!$O$5:$O$500,"&lt;=111199",'LANÇAMENTOS DIÁRIOS'!$P$5:$P$500,"&gt;=111100")&gt;0,"X","")</f>
      </c>
      <c r="BG50" s="56" t="str">
        <f>IF(COUNTIFS('LANÇAMENTOS DIÁRIOS'!$G$5:$G$500,"E",'LANÇAMENTOS DIÁRIOS'!$C$5:$C$500,$A50,'LANÇAMENTOS DIÁRIOS'!$O$5:$O$500,"&lt;=111299",'LANÇAMENTOS DIÁRIOS'!$P$5:$P$500,"&gt;=111200")&gt;0,"X","")</f>
      </c>
      <c r="BH50" s="56" t="str">
        <f>IF(COUNTIFS('LANÇAMENTOS DIÁRIOS'!$G$5:$G$500,"E",'LANÇAMENTOS DIÁRIOS'!$C$5:$C$500,$A50,'LANÇAMENTOS DIÁRIOS'!$O$5:$O$500,"&lt;=111399",'LANÇAMENTOS DIÁRIOS'!$P$5:$P$500,"&gt;=111300")&gt;0,"X","")</f>
      </c>
      <c r="BI50" s="56" t="str">
        <f>IF(COUNTIFS('LANÇAMENTOS DIÁRIOS'!$G$5:$G$500,"E",'LANÇAMENTOS DIÁRIOS'!$C$5:$C$500,$A50,'LANÇAMENTOS DIÁRIOS'!$O$5:$O$500,"&lt;=111499",'LANÇAMENTOS DIÁRIOS'!$P$5:$P$500,"&gt;=111400")&gt;0,"X","")</f>
      </c>
      <c r="BJ50" s="56" t="str">
        <f>IF(COUNTIFS('LANÇAMENTOS DIÁRIOS'!$G$5:$G$500,"E",'LANÇAMENTOS DIÁRIOS'!$C$5:$C$500,$A50,'LANÇAMENTOS DIÁRIOS'!$O$5:$O$500,"&lt;=111500",'LANÇAMENTOS DIÁRIOS'!$P$5:$P$500,"&gt;=111500")&gt;0,"X","")</f>
      </c>
    </row>
    <row r="51">
      <c r="A51" s="51" t="str">
        <v>Fundação / reaterro com pedra rachão</v>
      </c>
      <c r="B51" s="56" t="str">
        <f>IF(COUNTIFS('LANÇAMENTOS DIÁRIOS'!$G$5:$G$500,"E",'LANÇAMENTOS DIÁRIOS'!$C$5:$C$500,$A51,'LANÇAMENTOS DIÁRIOS'!$O$5:$O$500,"&lt;=105599",'LANÇAMENTOS DIÁRIOS'!$P$5:$P$500,"&gt;=105500")&gt;0,"X","")</f>
      </c>
      <c r="C51" s="56" t="str">
        <f>IF(COUNTIFS('LANÇAMENTOS DIÁRIOS'!$G$5:$G$500,"E",'LANÇAMENTOS DIÁRIOS'!$C$5:$C$500,$A51,'LANÇAMENTOS DIÁRIOS'!$O$5:$O$500,"&lt;=105699",'LANÇAMENTOS DIÁRIOS'!$P$5:$P$500,"&gt;=105600")&gt;0,"X","")</f>
      </c>
      <c r="D51" s="56" t="str">
        <f>IF(COUNTIFS('LANÇAMENTOS DIÁRIOS'!$G$5:$G$500,"E",'LANÇAMENTOS DIÁRIOS'!$C$5:$C$500,$A51,'LANÇAMENTOS DIÁRIOS'!$O$5:$O$500,"&lt;=105799",'LANÇAMENTOS DIÁRIOS'!$P$5:$P$500,"&gt;=105700")&gt;0,"X","")</f>
      </c>
      <c r="E51" s="56" t="str">
        <f>IF(COUNTIFS('LANÇAMENTOS DIÁRIOS'!$G$5:$G$500,"E",'LANÇAMENTOS DIÁRIOS'!$C$5:$C$500,$A51,'LANÇAMENTOS DIÁRIOS'!$O$5:$O$500,"&lt;=105899",'LANÇAMENTOS DIÁRIOS'!$P$5:$P$500,"&gt;=105800")&gt;0,"X","")</f>
      </c>
      <c r="F51" s="56" t="str">
        <f>IF(COUNTIFS('LANÇAMENTOS DIÁRIOS'!$G$5:$G$500,"E",'LANÇAMENTOS DIÁRIOS'!$C$5:$C$500,$A51,'LANÇAMENTOS DIÁRIOS'!$O$5:$O$500,"&lt;=105999",'LANÇAMENTOS DIÁRIOS'!$P$5:$P$500,"&gt;=105900")&gt;0,"X","")</f>
      </c>
      <c r="G51" s="56" t="str">
        <f>IF(COUNTIFS('LANÇAMENTOS DIÁRIOS'!$G$5:$G$500,"E",'LANÇAMENTOS DIÁRIOS'!$C$5:$C$500,$A51,'LANÇAMENTOS DIÁRIOS'!$O$5:$O$500,"&lt;=106099",'LANÇAMENTOS DIÁRIOS'!$P$5:$P$500,"&gt;=106000")&gt;0,"X","")</f>
      </c>
      <c r="H51" s="56" t="str">
        <f>IF(COUNTIFS('LANÇAMENTOS DIÁRIOS'!$G$5:$G$500,"E",'LANÇAMENTOS DIÁRIOS'!$C$5:$C$500,$A51,'LANÇAMENTOS DIÁRIOS'!$O$5:$O$500,"&lt;=106199",'LANÇAMENTOS DIÁRIOS'!$P$5:$P$500,"&gt;=106100")&gt;0,"X","")</f>
      </c>
      <c r="I51" s="56" t="str">
        <f>IF(COUNTIFS('LANÇAMENTOS DIÁRIOS'!$G$5:$G$500,"E",'LANÇAMENTOS DIÁRIOS'!$C$5:$C$500,$A51,'LANÇAMENTOS DIÁRIOS'!$O$5:$O$500,"&lt;=106299",'LANÇAMENTOS DIÁRIOS'!$P$5:$P$500,"&gt;=106200")&gt;0,"X","")</f>
      </c>
      <c r="J51" s="56" t="str">
        <f>IF(COUNTIFS('LANÇAMENTOS DIÁRIOS'!$G$5:$G$500,"E",'LANÇAMENTOS DIÁRIOS'!$C$5:$C$500,$A51,'LANÇAMENTOS DIÁRIOS'!$O$5:$O$500,"&lt;=106399",'LANÇAMENTOS DIÁRIOS'!$P$5:$P$500,"&gt;=106300")&gt;0,"X","")</f>
      </c>
      <c r="K51" s="56" t="str">
        <f>IF(COUNTIFS('LANÇAMENTOS DIÁRIOS'!$G$5:$G$500,"E",'LANÇAMENTOS DIÁRIOS'!$C$5:$C$500,$A51,'LANÇAMENTOS DIÁRIOS'!$O$5:$O$500,"&lt;=106499",'LANÇAMENTOS DIÁRIOS'!$P$5:$P$500,"&gt;=106400")&gt;0,"X","")</f>
      </c>
      <c r="L51" s="56" t="str">
        <f>IF(COUNTIFS('LANÇAMENTOS DIÁRIOS'!$G$5:$G$500,"E",'LANÇAMENTOS DIÁRIOS'!$C$5:$C$500,$A51,'LANÇAMENTOS DIÁRIOS'!$O$5:$O$500,"&lt;=106599",'LANÇAMENTOS DIÁRIOS'!$P$5:$P$500,"&gt;=106500")&gt;0,"X","")</f>
      </c>
      <c r="M51" s="56" t="str">
        <f>IF(COUNTIFS('LANÇAMENTOS DIÁRIOS'!$G$5:$G$500,"E",'LANÇAMENTOS DIÁRIOS'!$C$5:$C$500,$A51,'LANÇAMENTOS DIÁRIOS'!$O$5:$O$500,"&lt;=106699",'LANÇAMENTOS DIÁRIOS'!$P$5:$P$500,"&gt;=106600")&gt;0,"X","")</f>
      </c>
      <c r="N51" s="56" t="str">
        <f>IF(COUNTIFS('LANÇAMENTOS DIÁRIOS'!$G$5:$G$500,"E",'LANÇAMENTOS DIÁRIOS'!$C$5:$C$500,$A51,'LANÇAMENTOS DIÁRIOS'!$O$5:$O$500,"&lt;=106799",'LANÇAMENTOS DIÁRIOS'!$P$5:$P$500,"&gt;=106700")&gt;0,"X","")</f>
      </c>
      <c r="O51" s="56" t="str">
        <f>IF(COUNTIFS('LANÇAMENTOS DIÁRIOS'!$G$5:$G$500,"E",'LANÇAMENTOS DIÁRIOS'!$C$5:$C$500,$A51,'LANÇAMENTOS DIÁRIOS'!$O$5:$O$500,"&lt;=106899",'LANÇAMENTOS DIÁRIOS'!$P$5:$P$500,"&gt;=106800")&gt;0,"X","")</f>
      </c>
      <c r="P51" s="56" t="str">
        <f>IF(COUNTIFS('LANÇAMENTOS DIÁRIOS'!$G$5:$G$500,"E",'LANÇAMENTOS DIÁRIOS'!$C$5:$C$500,$A51,'LANÇAMENTOS DIÁRIOS'!$O$5:$O$500,"&lt;=106999",'LANÇAMENTOS DIÁRIOS'!$P$5:$P$500,"&gt;=106900")&gt;0,"X","")</f>
      </c>
      <c r="Q51" s="56" t="str">
        <f>IF(COUNTIFS('LANÇAMENTOS DIÁRIOS'!$G$5:$G$500,"E",'LANÇAMENTOS DIÁRIOS'!$C$5:$C$500,$A51,'LANÇAMENTOS DIÁRIOS'!$O$5:$O$500,"&lt;=107099",'LANÇAMENTOS DIÁRIOS'!$P$5:$P$500,"&gt;=107000")&gt;0,"X","")</f>
      </c>
      <c r="R51" s="56" t="str">
        <f>IF(COUNTIFS('LANÇAMENTOS DIÁRIOS'!$G$5:$G$500,"E",'LANÇAMENTOS DIÁRIOS'!$C$5:$C$500,$A51,'LANÇAMENTOS DIÁRIOS'!$O$5:$O$500,"&lt;=107199",'LANÇAMENTOS DIÁRIOS'!$P$5:$P$500,"&gt;=107100")&gt;0,"X","")</f>
      </c>
      <c r="S51" s="56" t="str">
        <f>IF(COUNTIFS('LANÇAMENTOS DIÁRIOS'!$G$5:$G$500,"E",'LANÇAMENTOS DIÁRIOS'!$C$5:$C$500,$A51,'LANÇAMENTOS DIÁRIOS'!$O$5:$O$500,"&lt;=107299",'LANÇAMENTOS DIÁRIOS'!$P$5:$P$500,"&gt;=107200")&gt;0,"X","")</f>
      </c>
      <c r="T51" s="56" t="str">
        <f>IF(COUNTIFS('LANÇAMENTOS DIÁRIOS'!$G$5:$G$500,"E",'LANÇAMENTOS DIÁRIOS'!$C$5:$C$500,$A51,'LANÇAMENTOS DIÁRIOS'!$O$5:$O$500,"&lt;=107399",'LANÇAMENTOS DIÁRIOS'!$P$5:$P$500,"&gt;=107300")&gt;0,"X","")</f>
      </c>
      <c r="U51" s="56" t="str">
        <f>IF(COUNTIFS('LANÇAMENTOS DIÁRIOS'!$G$5:$G$500,"E",'LANÇAMENTOS DIÁRIOS'!$C$5:$C$500,$A51,'LANÇAMENTOS DIÁRIOS'!$O$5:$O$500,"&lt;=107499",'LANÇAMENTOS DIÁRIOS'!$P$5:$P$500,"&gt;=107400")&gt;0,"X","")</f>
      </c>
      <c r="V51" s="56" t="str">
        <f>IF(COUNTIFS('LANÇAMENTOS DIÁRIOS'!$G$5:$G$500,"E",'LANÇAMENTOS DIÁRIOS'!$C$5:$C$500,$A51,'LANÇAMENTOS DIÁRIOS'!$O$5:$O$500,"&lt;=107599",'LANÇAMENTOS DIÁRIOS'!$P$5:$P$500,"&gt;=107500")&gt;0,"X","")</f>
      </c>
      <c r="W51" s="56" t="str">
        <f>IF(COUNTIFS('LANÇAMENTOS DIÁRIOS'!$G$5:$G$500,"E",'LANÇAMENTOS DIÁRIOS'!$C$5:$C$500,$A51,'LANÇAMENTOS DIÁRIOS'!$O$5:$O$500,"&lt;=107699",'LANÇAMENTOS DIÁRIOS'!$P$5:$P$500,"&gt;=107600")&gt;0,"X","")</f>
      </c>
      <c r="X51" s="56" t="str">
        <f>IF(COUNTIFS('LANÇAMENTOS DIÁRIOS'!$G$5:$G$500,"E",'LANÇAMENTOS DIÁRIOS'!$C$5:$C$500,$A51,'LANÇAMENTOS DIÁRIOS'!$O$5:$O$500,"&lt;=107799",'LANÇAMENTOS DIÁRIOS'!$P$5:$P$500,"&gt;=107700")&gt;0,"X","")</f>
      </c>
      <c r="Y51" s="56" t="str">
        <f>IF(COUNTIFS('LANÇAMENTOS DIÁRIOS'!$G$5:$G$500,"E",'LANÇAMENTOS DIÁRIOS'!$C$5:$C$500,$A51,'LANÇAMENTOS DIÁRIOS'!$O$5:$O$500,"&lt;=107899",'LANÇAMENTOS DIÁRIOS'!$P$5:$P$500,"&gt;=107800")&gt;0,"X","")</f>
      </c>
      <c r="Z51" s="56" t="str">
        <f>IF(COUNTIFS('LANÇAMENTOS DIÁRIOS'!$G$5:$G$500,"E",'LANÇAMENTOS DIÁRIOS'!$C$5:$C$500,$A51,'LANÇAMENTOS DIÁRIOS'!$O$5:$O$500,"&lt;=107999",'LANÇAMENTOS DIÁRIOS'!$P$5:$P$500,"&gt;=107900")&gt;0,"X","")</f>
      </c>
      <c r="AA51" s="56" t="str">
        <f>IF(COUNTIFS('LANÇAMENTOS DIÁRIOS'!$G$5:$G$500,"E",'LANÇAMENTOS DIÁRIOS'!$C$5:$C$500,$A51,'LANÇAMENTOS DIÁRIOS'!$O$5:$O$500,"&lt;=108099",'LANÇAMENTOS DIÁRIOS'!$P$5:$P$500,"&gt;=108000")&gt;0,"X","")</f>
      </c>
      <c r="AB51" s="56" t="str">
        <f>IF(COUNTIFS('LANÇAMENTOS DIÁRIOS'!$G$5:$G$500,"E",'LANÇAMENTOS DIÁRIOS'!$C$5:$C$500,$A51,'LANÇAMENTOS DIÁRIOS'!$O$5:$O$500,"&lt;=108199",'LANÇAMENTOS DIÁRIOS'!$P$5:$P$500,"&gt;=108100")&gt;0,"X","")</f>
      </c>
      <c r="AC51" s="56" t="str">
        <f>IF(COUNTIFS('LANÇAMENTOS DIÁRIOS'!$G$5:$G$500,"E",'LANÇAMENTOS DIÁRIOS'!$C$5:$C$500,$A51,'LANÇAMENTOS DIÁRIOS'!$O$5:$O$500,"&lt;=108299",'LANÇAMENTOS DIÁRIOS'!$P$5:$P$500,"&gt;=108200")&gt;0,"X","")</f>
      </c>
      <c r="AD51" s="56" t="str">
        <f>IF(COUNTIFS('LANÇAMENTOS DIÁRIOS'!$G$5:$G$500,"E",'LANÇAMENTOS DIÁRIOS'!$C$5:$C$500,$A51,'LANÇAMENTOS DIÁRIOS'!$O$5:$O$500,"&lt;=108399",'LANÇAMENTOS DIÁRIOS'!$P$5:$P$500,"&gt;=108300")&gt;0,"X","")</f>
      </c>
      <c r="AE51" s="56" t="str">
        <f>IF(COUNTIFS('LANÇAMENTOS DIÁRIOS'!$G$5:$G$500,"E",'LANÇAMENTOS DIÁRIOS'!$C$5:$C$500,$A51,'LANÇAMENTOS DIÁRIOS'!$O$5:$O$500,"&lt;=108499",'LANÇAMENTOS DIÁRIOS'!$P$5:$P$500,"&gt;=108400")&gt;0,"X","")</f>
      </c>
      <c r="AF51" s="56" t="str">
        <f>IF(COUNTIFS('LANÇAMENTOS DIÁRIOS'!$G$5:$G$500,"E",'LANÇAMENTOS DIÁRIOS'!$C$5:$C$500,$A51,'LANÇAMENTOS DIÁRIOS'!$O$5:$O$500,"&lt;=108599",'LANÇAMENTOS DIÁRIOS'!$P$5:$P$500,"&gt;=108500")&gt;0,"X","")</f>
      </c>
      <c r="AG51" s="56" t="str">
        <f>IF(COUNTIFS('LANÇAMENTOS DIÁRIOS'!$G$5:$G$500,"E",'LANÇAMENTOS DIÁRIOS'!$C$5:$C$500,$A51,'LANÇAMENTOS DIÁRIOS'!$O$5:$O$500,"&lt;=108699",'LANÇAMENTOS DIÁRIOS'!$P$5:$P$500,"&gt;=108600")&gt;0,"X","")</f>
      </c>
      <c r="AH51" s="56" t="str">
        <f>IF(COUNTIFS('LANÇAMENTOS DIÁRIOS'!$G$5:$G$500,"E",'LANÇAMENTOS DIÁRIOS'!$C$5:$C$500,$A51,'LANÇAMENTOS DIÁRIOS'!$O$5:$O$500,"&lt;=108799",'LANÇAMENTOS DIÁRIOS'!$P$5:$P$500,"&gt;=108700")&gt;0,"X","")</f>
      </c>
      <c r="AI51" s="56" t="str">
        <f>IF(COUNTIFS('LANÇAMENTOS DIÁRIOS'!$G$5:$G$500,"E",'LANÇAMENTOS DIÁRIOS'!$C$5:$C$500,$A51,'LANÇAMENTOS DIÁRIOS'!$O$5:$O$500,"&lt;=108899",'LANÇAMENTOS DIÁRIOS'!$P$5:$P$500,"&gt;=108800")&gt;0,"X","")</f>
      </c>
      <c r="AJ51" s="56" t="str">
        <f>IF(COUNTIFS('LANÇAMENTOS DIÁRIOS'!$G$5:$G$500,"E",'LANÇAMENTOS DIÁRIOS'!$C$5:$C$500,$A51,'LANÇAMENTOS DIÁRIOS'!$O$5:$O$500,"&lt;=108999",'LANÇAMENTOS DIÁRIOS'!$P$5:$P$500,"&gt;=108900")&gt;0,"X","")</f>
      </c>
      <c r="AK51" s="56" t="str">
        <f>IF(COUNTIFS('LANÇAMENTOS DIÁRIOS'!$G$5:$G$500,"E",'LANÇAMENTOS DIÁRIOS'!$C$5:$C$500,$A51,'LANÇAMENTOS DIÁRIOS'!$O$5:$O$500,"&lt;=109099",'LANÇAMENTOS DIÁRIOS'!$P$5:$P$500,"&gt;=109000")&gt;0,"X","")</f>
      </c>
      <c r="AL51" s="56" t="str">
        <f>IF(COUNTIFS('LANÇAMENTOS DIÁRIOS'!$G$5:$G$500,"E",'LANÇAMENTOS DIÁRIOS'!$C$5:$C$500,$A51,'LANÇAMENTOS DIÁRIOS'!$O$5:$O$500,"&lt;=109199",'LANÇAMENTOS DIÁRIOS'!$P$5:$P$500,"&gt;=109100")&gt;0,"X","")</f>
      </c>
      <c r="AM51" s="56" t="str">
        <f>IF(COUNTIFS('LANÇAMENTOS DIÁRIOS'!$G$5:$G$500,"E",'LANÇAMENTOS DIÁRIOS'!$C$5:$C$500,$A51,'LANÇAMENTOS DIÁRIOS'!$O$5:$O$500,"&lt;=109299",'LANÇAMENTOS DIÁRIOS'!$P$5:$P$500,"&gt;=109200")&gt;0,"X","")</f>
      </c>
      <c r="AN51" s="56" t="str">
        <f>IF(COUNTIFS('LANÇAMENTOS DIÁRIOS'!$G$5:$G$500,"E",'LANÇAMENTOS DIÁRIOS'!$C$5:$C$500,$A51,'LANÇAMENTOS DIÁRIOS'!$O$5:$O$500,"&lt;=109399",'LANÇAMENTOS DIÁRIOS'!$P$5:$P$500,"&gt;=109300")&gt;0,"X","")</f>
      </c>
      <c r="AO51" s="56" t="str">
        <f>IF(COUNTIFS('LANÇAMENTOS DIÁRIOS'!$G$5:$G$500,"E",'LANÇAMENTOS DIÁRIOS'!$C$5:$C$500,$A51,'LANÇAMENTOS DIÁRIOS'!$O$5:$O$500,"&lt;=109499",'LANÇAMENTOS DIÁRIOS'!$P$5:$P$500,"&gt;=109400")&gt;0,"X","")</f>
      </c>
      <c r="AP51" s="56" t="str">
        <f>IF(COUNTIFS('LANÇAMENTOS DIÁRIOS'!$G$5:$G$500,"E",'LANÇAMENTOS DIÁRIOS'!$C$5:$C$500,$A51,'LANÇAMENTOS DIÁRIOS'!$O$5:$O$500,"&lt;=109599",'LANÇAMENTOS DIÁRIOS'!$P$5:$P$500,"&gt;=109500")&gt;0,"X","")</f>
      </c>
      <c r="AQ51" s="56" t="str">
        <f>IF(COUNTIFS('LANÇAMENTOS DIÁRIOS'!$G$5:$G$500,"E",'LANÇAMENTOS DIÁRIOS'!$C$5:$C$500,$A51,'LANÇAMENTOS DIÁRIOS'!$O$5:$O$500,"&lt;=109699",'LANÇAMENTOS DIÁRIOS'!$P$5:$P$500,"&gt;=109600")&gt;0,"X","")</f>
      </c>
      <c r="AR51" s="56" t="str">
        <f>IF(COUNTIFS('LANÇAMENTOS DIÁRIOS'!$G$5:$G$500,"E",'LANÇAMENTOS DIÁRIOS'!$C$5:$C$500,$A51,'LANÇAMENTOS DIÁRIOS'!$O$5:$O$500,"&lt;=109799",'LANÇAMENTOS DIÁRIOS'!$P$5:$P$500,"&gt;=109700")&gt;0,"X","")</f>
      </c>
      <c r="AS51" s="56" t="str">
        <f>IF(COUNTIFS('LANÇAMENTOS DIÁRIOS'!$G$5:$G$500,"E",'LANÇAMENTOS DIÁRIOS'!$C$5:$C$500,$A51,'LANÇAMENTOS DIÁRIOS'!$O$5:$O$500,"&lt;=109899",'LANÇAMENTOS DIÁRIOS'!$P$5:$P$500,"&gt;=109800")&gt;0,"X","")</f>
      </c>
      <c r="AT51" s="56" t="str">
        <f>IF(COUNTIFS('LANÇAMENTOS DIÁRIOS'!$G$5:$G$500,"E",'LANÇAMENTOS DIÁRIOS'!$C$5:$C$500,$A51,'LANÇAMENTOS DIÁRIOS'!$O$5:$O$500,"&lt;=109999",'LANÇAMENTOS DIÁRIOS'!$P$5:$P$500,"&gt;=109900")&gt;0,"X","")</f>
      </c>
      <c r="AU51" s="56" t="str">
        <f>IF(COUNTIFS('LANÇAMENTOS DIÁRIOS'!$G$5:$G$500,"E",'LANÇAMENTOS DIÁRIOS'!$C$5:$C$500,$A51,'LANÇAMENTOS DIÁRIOS'!$O$5:$O$500,"&lt;=110099",'LANÇAMENTOS DIÁRIOS'!$P$5:$P$500,"&gt;=110000")&gt;0,"X","")</f>
      </c>
      <c r="AV51" s="56" t="str">
        <f>IF(COUNTIFS('LANÇAMENTOS DIÁRIOS'!$G$5:$G$500,"E",'LANÇAMENTOS DIÁRIOS'!$C$5:$C$500,$A51,'LANÇAMENTOS DIÁRIOS'!$O$5:$O$500,"&lt;=110199",'LANÇAMENTOS DIÁRIOS'!$P$5:$P$500,"&gt;=110100")&gt;0,"X","")</f>
      </c>
      <c r="AW51" s="56" t="str">
        <f>IF(COUNTIFS('LANÇAMENTOS DIÁRIOS'!$G$5:$G$500,"E",'LANÇAMENTOS DIÁRIOS'!$C$5:$C$500,$A51,'LANÇAMENTOS DIÁRIOS'!$O$5:$O$500,"&lt;=110299",'LANÇAMENTOS DIÁRIOS'!$P$5:$P$500,"&gt;=110200")&gt;0,"X","")</f>
      </c>
      <c r="AX51" s="56" t="str">
        <f>IF(COUNTIFS('LANÇAMENTOS DIÁRIOS'!$G$5:$G$500,"E",'LANÇAMENTOS DIÁRIOS'!$C$5:$C$500,$A51,'LANÇAMENTOS DIÁRIOS'!$O$5:$O$500,"&lt;=110399",'LANÇAMENTOS DIÁRIOS'!$P$5:$P$500,"&gt;=110300")&gt;0,"X","")</f>
      </c>
      <c r="AY51" s="56" t="str">
        <f>IF(COUNTIFS('LANÇAMENTOS DIÁRIOS'!$G$5:$G$500,"E",'LANÇAMENTOS DIÁRIOS'!$C$5:$C$500,$A51,'LANÇAMENTOS DIÁRIOS'!$O$5:$O$500,"&lt;=110499",'LANÇAMENTOS DIÁRIOS'!$P$5:$P$500,"&gt;=110400")&gt;0,"X","")</f>
      </c>
      <c r="AZ51" s="56" t="str">
        <f>IF(COUNTIFS('LANÇAMENTOS DIÁRIOS'!$G$5:$G$500,"E",'LANÇAMENTOS DIÁRIOS'!$C$5:$C$500,$A51,'LANÇAMENTOS DIÁRIOS'!$O$5:$O$500,"&lt;=110599",'LANÇAMENTOS DIÁRIOS'!$P$5:$P$500,"&gt;=110500")&gt;0,"X","")</f>
      </c>
      <c r="BA51" s="56" t="str">
        <f>IF(COUNTIFS('LANÇAMENTOS DIÁRIOS'!$G$5:$G$500,"E",'LANÇAMENTOS DIÁRIOS'!$C$5:$C$500,$A51,'LANÇAMENTOS DIÁRIOS'!$O$5:$O$500,"&lt;=110699",'LANÇAMENTOS DIÁRIOS'!$P$5:$P$500,"&gt;=110600")&gt;0,"X","")</f>
      </c>
      <c r="BB51" s="56" t="str">
        <f>IF(COUNTIFS('LANÇAMENTOS DIÁRIOS'!$G$5:$G$500,"E",'LANÇAMENTOS DIÁRIOS'!$C$5:$C$500,$A51,'LANÇAMENTOS DIÁRIOS'!$O$5:$O$500,"&lt;=110799",'LANÇAMENTOS DIÁRIOS'!$P$5:$P$500,"&gt;=110700")&gt;0,"X","")</f>
      </c>
      <c r="BC51" s="56" t="str">
        <f>IF(COUNTIFS('LANÇAMENTOS DIÁRIOS'!$G$5:$G$500,"E",'LANÇAMENTOS DIÁRIOS'!$C$5:$C$500,$A51,'LANÇAMENTOS DIÁRIOS'!$O$5:$O$500,"&lt;=110899",'LANÇAMENTOS DIÁRIOS'!$P$5:$P$500,"&gt;=110800")&gt;0,"X","")</f>
      </c>
      <c r="BD51" s="56" t="str">
        <f>IF(COUNTIFS('LANÇAMENTOS DIÁRIOS'!$G$5:$G$500,"E",'LANÇAMENTOS DIÁRIOS'!$C$5:$C$500,$A51,'LANÇAMENTOS DIÁRIOS'!$O$5:$O$500,"&lt;=110999",'LANÇAMENTOS DIÁRIOS'!$P$5:$P$500,"&gt;=110900")&gt;0,"X","")</f>
      </c>
      <c r="BE51" s="56" t="str">
        <f>IF(COUNTIFS('LANÇAMENTOS DIÁRIOS'!$G$5:$G$500,"E",'LANÇAMENTOS DIÁRIOS'!$C$5:$C$500,$A51,'LANÇAMENTOS DIÁRIOS'!$O$5:$O$500,"&lt;=111099",'LANÇAMENTOS DIÁRIOS'!$P$5:$P$500,"&gt;=111000")&gt;0,"X","")</f>
      </c>
      <c r="BF51" s="56" t="str">
        <f>IF(COUNTIFS('LANÇAMENTOS DIÁRIOS'!$G$5:$G$500,"E",'LANÇAMENTOS DIÁRIOS'!$C$5:$C$500,$A51,'LANÇAMENTOS DIÁRIOS'!$O$5:$O$500,"&lt;=111199",'LANÇAMENTOS DIÁRIOS'!$P$5:$P$500,"&gt;=111100")&gt;0,"X","")</f>
      </c>
      <c r="BG51" s="56" t="str">
        <f>IF(COUNTIFS('LANÇAMENTOS DIÁRIOS'!$G$5:$G$500,"E",'LANÇAMENTOS DIÁRIOS'!$C$5:$C$500,$A51,'LANÇAMENTOS DIÁRIOS'!$O$5:$O$500,"&lt;=111299",'LANÇAMENTOS DIÁRIOS'!$P$5:$P$500,"&gt;=111200")&gt;0,"X","")</f>
      </c>
      <c r="BH51" s="56" t="str">
        <f>IF(COUNTIFS('LANÇAMENTOS DIÁRIOS'!$G$5:$G$500,"E",'LANÇAMENTOS DIÁRIOS'!$C$5:$C$500,$A51,'LANÇAMENTOS DIÁRIOS'!$O$5:$O$500,"&lt;=111399",'LANÇAMENTOS DIÁRIOS'!$P$5:$P$500,"&gt;=111300")&gt;0,"X","")</f>
      </c>
      <c r="BI51" s="56" t="str">
        <f>IF(COUNTIFS('LANÇAMENTOS DIÁRIOS'!$G$5:$G$500,"E",'LANÇAMENTOS DIÁRIOS'!$C$5:$C$500,$A51,'LANÇAMENTOS DIÁRIOS'!$O$5:$O$500,"&lt;=111499",'LANÇAMENTOS DIÁRIOS'!$P$5:$P$500,"&gt;=111400")&gt;0,"X","")</f>
      </c>
      <c r="BJ51" s="56" t="str">
        <f>IF(COUNTIFS('LANÇAMENTOS DIÁRIOS'!$G$5:$G$500,"E",'LANÇAMENTOS DIÁRIOS'!$C$5:$C$500,$A51,'LANÇAMENTOS DIÁRIOS'!$O$5:$O$500,"&lt;=111500",'LANÇAMENTOS DIÁRIOS'!$P$5:$P$500,"&gt;=111500")&gt;0,"X","")</f>
      </c>
    </row>
    <row r="52">
      <c r="A52" s="51" t="str">
        <v>Fundação / reaterro com areia média a grossa</v>
      </c>
      <c r="B52" s="56" t="str">
        <f>IF(COUNTIFS('LANÇAMENTOS DIÁRIOS'!$G$5:$G$500,"E",'LANÇAMENTOS DIÁRIOS'!$C$5:$C$500,$A52,'LANÇAMENTOS DIÁRIOS'!$O$5:$O$500,"&lt;=105599",'LANÇAMENTOS DIÁRIOS'!$P$5:$P$500,"&gt;=105500")&gt;0,"X","")</f>
      </c>
      <c r="C52" s="56" t="str">
        <f>IF(COUNTIFS('LANÇAMENTOS DIÁRIOS'!$G$5:$G$500,"E",'LANÇAMENTOS DIÁRIOS'!$C$5:$C$500,$A52,'LANÇAMENTOS DIÁRIOS'!$O$5:$O$500,"&lt;=105699",'LANÇAMENTOS DIÁRIOS'!$P$5:$P$500,"&gt;=105600")&gt;0,"X","")</f>
      </c>
      <c r="D52" s="56" t="str">
        <f>IF(COUNTIFS('LANÇAMENTOS DIÁRIOS'!$G$5:$G$500,"E",'LANÇAMENTOS DIÁRIOS'!$C$5:$C$500,$A52,'LANÇAMENTOS DIÁRIOS'!$O$5:$O$500,"&lt;=105799",'LANÇAMENTOS DIÁRIOS'!$P$5:$P$500,"&gt;=105700")&gt;0,"X","")</f>
      </c>
      <c r="E52" s="56" t="str">
        <f>IF(COUNTIFS('LANÇAMENTOS DIÁRIOS'!$G$5:$G$500,"E",'LANÇAMENTOS DIÁRIOS'!$C$5:$C$500,$A52,'LANÇAMENTOS DIÁRIOS'!$O$5:$O$500,"&lt;=105899",'LANÇAMENTOS DIÁRIOS'!$P$5:$P$500,"&gt;=105800")&gt;0,"X","")</f>
      </c>
      <c r="F52" s="56" t="str">
        <f>IF(COUNTIFS('LANÇAMENTOS DIÁRIOS'!$G$5:$G$500,"E",'LANÇAMENTOS DIÁRIOS'!$C$5:$C$500,$A52,'LANÇAMENTOS DIÁRIOS'!$O$5:$O$500,"&lt;=105999",'LANÇAMENTOS DIÁRIOS'!$P$5:$P$500,"&gt;=105900")&gt;0,"X","")</f>
      </c>
      <c r="G52" s="56" t="str">
        <f>IF(COUNTIFS('LANÇAMENTOS DIÁRIOS'!$G$5:$G$500,"E",'LANÇAMENTOS DIÁRIOS'!$C$5:$C$500,$A52,'LANÇAMENTOS DIÁRIOS'!$O$5:$O$500,"&lt;=106099",'LANÇAMENTOS DIÁRIOS'!$P$5:$P$500,"&gt;=106000")&gt;0,"X","")</f>
      </c>
      <c r="H52" s="56" t="str">
        <f>IF(COUNTIFS('LANÇAMENTOS DIÁRIOS'!$G$5:$G$500,"E",'LANÇAMENTOS DIÁRIOS'!$C$5:$C$500,$A52,'LANÇAMENTOS DIÁRIOS'!$O$5:$O$500,"&lt;=106199",'LANÇAMENTOS DIÁRIOS'!$P$5:$P$500,"&gt;=106100")&gt;0,"X","")</f>
      </c>
      <c r="I52" s="56" t="str">
        <f>IF(COUNTIFS('LANÇAMENTOS DIÁRIOS'!$G$5:$G$500,"E",'LANÇAMENTOS DIÁRIOS'!$C$5:$C$500,$A52,'LANÇAMENTOS DIÁRIOS'!$O$5:$O$500,"&lt;=106299",'LANÇAMENTOS DIÁRIOS'!$P$5:$P$500,"&gt;=106200")&gt;0,"X","")</f>
      </c>
      <c r="J52" s="56" t="str">
        <f>IF(COUNTIFS('LANÇAMENTOS DIÁRIOS'!$G$5:$G$500,"E",'LANÇAMENTOS DIÁRIOS'!$C$5:$C$500,$A52,'LANÇAMENTOS DIÁRIOS'!$O$5:$O$500,"&lt;=106399",'LANÇAMENTOS DIÁRIOS'!$P$5:$P$500,"&gt;=106300")&gt;0,"X","")</f>
      </c>
      <c r="K52" s="56" t="str">
        <f>IF(COUNTIFS('LANÇAMENTOS DIÁRIOS'!$G$5:$G$500,"E",'LANÇAMENTOS DIÁRIOS'!$C$5:$C$500,$A52,'LANÇAMENTOS DIÁRIOS'!$O$5:$O$500,"&lt;=106499",'LANÇAMENTOS DIÁRIOS'!$P$5:$P$500,"&gt;=106400")&gt;0,"X","")</f>
      </c>
      <c r="L52" s="56" t="str">
        <f>IF(COUNTIFS('LANÇAMENTOS DIÁRIOS'!$G$5:$G$500,"E",'LANÇAMENTOS DIÁRIOS'!$C$5:$C$500,$A52,'LANÇAMENTOS DIÁRIOS'!$O$5:$O$500,"&lt;=106599",'LANÇAMENTOS DIÁRIOS'!$P$5:$P$500,"&gt;=106500")&gt;0,"X","")</f>
      </c>
      <c r="M52" s="56" t="str">
        <f>IF(COUNTIFS('LANÇAMENTOS DIÁRIOS'!$G$5:$G$500,"E",'LANÇAMENTOS DIÁRIOS'!$C$5:$C$500,$A52,'LANÇAMENTOS DIÁRIOS'!$O$5:$O$500,"&lt;=106699",'LANÇAMENTOS DIÁRIOS'!$P$5:$P$500,"&gt;=106600")&gt;0,"X","")</f>
      </c>
      <c r="N52" s="56" t="str">
        <f>IF(COUNTIFS('LANÇAMENTOS DIÁRIOS'!$G$5:$G$500,"E",'LANÇAMENTOS DIÁRIOS'!$C$5:$C$500,$A52,'LANÇAMENTOS DIÁRIOS'!$O$5:$O$500,"&lt;=106799",'LANÇAMENTOS DIÁRIOS'!$P$5:$P$500,"&gt;=106700")&gt;0,"X","")</f>
      </c>
      <c r="O52" s="56" t="str">
        <f>IF(COUNTIFS('LANÇAMENTOS DIÁRIOS'!$G$5:$G$500,"E",'LANÇAMENTOS DIÁRIOS'!$C$5:$C$500,$A52,'LANÇAMENTOS DIÁRIOS'!$O$5:$O$500,"&lt;=106899",'LANÇAMENTOS DIÁRIOS'!$P$5:$P$500,"&gt;=106800")&gt;0,"X","")</f>
      </c>
      <c r="P52" s="56" t="str">
        <f>IF(COUNTIFS('LANÇAMENTOS DIÁRIOS'!$G$5:$G$500,"E",'LANÇAMENTOS DIÁRIOS'!$C$5:$C$500,$A52,'LANÇAMENTOS DIÁRIOS'!$O$5:$O$500,"&lt;=106999",'LANÇAMENTOS DIÁRIOS'!$P$5:$P$500,"&gt;=106900")&gt;0,"X","")</f>
      </c>
      <c r="Q52" s="56" t="str">
        <f>IF(COUNTIFS('LANÇAMENTOS DIÁRIOS'!$G$5:$G$500,"E",'LANÇAMENTOS DIÁRIOS'!$C$5:$C$500,$A52,'LANÇAMENTOS DIÁRIOS'!$O$5:$O$500,"&lt;=107099",'LANÇAMENTOS DIÁRIOS'!$P$5:$P$500,"&gt;=107000")&gt;0,"X","")</f>
      </c>
      <c r="R52" s="56" t="str">
        <f>IF(COUNTIFS('LANÇAMENTOS DIÁRIOS'!$G$5:$G$500,"E",'LANÇAMENTOS DIÁRIOS'!$C$5:$C$500,$A52,'LANÇAMENTOS DIÁRIOS'!$O$5:$O$500,"&lt;=107199",'LANÇAMENTOS DIÁRIOS'!$P$5:$P$500,"&gt;=107100")&gt;0,"X","")</f>
      </c>
      <c r="S52" s="56" t="str">
        <f>IF(COUNTIFS('LANÇAMENTOS DIÁRIOS'!$G$5:$G$500,"E",'LANÇAMENTOS DIÁRIOS'!$C$5:$C$500,$A52,'LANÇAMENTOS DIÁRIOS'!$O$5:$O$500,"&lt;=107299",'LANÇAMENTOS DIÁRIOS'!$P$5:$P$500,"&gt;=107200")&gt;0,"X","")</f>
      </c>
      <c r="T52" s="56" t="str">
        <f>IF(COUNTIFS('LANÇAMENTOS DIÁRIOS'!$G$5:$G$500,"E",'LANÇAMENTOS DIÁRIOS'!$C$5:$C$500,$A52,'LANÇAMENTOS DIÁRIOS'!$O$5:$O$500,"&lt;=107399",'LANÇAMENTOS DIÁRIOS'!$P$5:$P$500,"&gt;=107300")&gt;0,"X","")</f>
      </c>
      <c r="U52" s="56" t="str">
        <f>IF(COUNTIFS('LANÇAMENTOS DIÁRIOS'!$G$5:$G$500,"E",'LANÇAMENTOS DIÁRIOS'!$C$5:$C$500,$A52,'LANÇAMENTOS DIÁRIOS'!$O$5:$O$500,"&lt;=107499",'LANÇAMENTOS DIÁRIOS'!$P$5:$P$500,"&gt;=107400")&gt;0,"X","")</f>
      </c>
      <c r="V52" s="56" t="str">
        <f>IF(COUNTIFS('LANÇAMENTOS DIÁRIOS'!$G$5:$G$500,"E",'LANÇAMENTOS DIÁRIOS'!$C$5:$C$500,$A52,'LANÇAMENTOS DIÁRIOS'!$O$5:$O$500,"&lt;=107599",'LANÇAMENTOS DIÁRIOS'!$P$5:$P$500,"&gt;=107500")&gt;0,"X","")</f>
      </c>
      <c r="W52" s="56" t="str">
        <f>IF(COUNTIFS('LANÇAMENTOS DIÁRIOS'!$G$5:$G$500,"E",'LANÇAMENTOS DIÁRIOS'!$C$5:$C$500,$A52,'LANÇAMENTOS DIÁRIOS'!$O$5:$O$500,"&lt;=107699",'LANÇAMENTOS DIÁRIOS'!$P$5:$P$500,"&gt;=107600")&gt;0,"X","")</f>
      </c>
      <c r="X52" s="56" t="str">
        <f>IF(COUNTIFS('LANÇAMENTOS DIÁRIOS'!$G$5:$G$500,"E",'LANÇAMENTOS DIÁRIOS'!$C$5:$C$500,$A52,'LANÇAMENTOS DIÁRIOS'!$O$5:$O$500,"&lt;=107799",'LANÇAMENTOS DIÁRIOS'!$P$5:$P$500,"&gt;=107700")&gt;0,"X","")</f>
      </c>
      <c r="Y52" s="56" t="str">
        <f>IF(COUNTIFS('LANÇAMENTOS DIÁRIOS'!$G$5:$G$500,"E",'LANÇAMENTOS DIÁRIOS'!$C$5:$C$500,$A52,'LANÇAMENTOS DIÁRIOS'!$O$5:$O$500,"&lt;=107899",'LANÇAMENTOS DIÁRIOS'!$P$5:$P$500,"&gt;=107800")&gt;0,"X","")</f>
      </c>
      <c r="Z52" s="56" t="str">
        <f>IF(COUNTIFS('LANÇAMENTOS DIÁRIOS'!$G$5:$G$500,"E",'LANÇAMENTOS DIÁRIOS'!$C$5:$C$500,$A52,'LANÇAMENTOS DIÁRIOS'!$O$5:$O$500,"&lt;=107999",'LANÇAMENTOS DIÁRIOS'!$P$5:$P$500,"&gt;=107900")&gt;0,"X","")</f>
      </c>
      <c r="AA52" s="56" t="str">
        <f>IF(COUNTIFS('LANÇAMENTOS DIÁRIOS'!$G$5:$G$500,"E",'LANÇAMENTOS DIÁRIOS'!$C$5:$C$500,$A52,'LANÇAMENTOS DIÁRIOS'!$O$5:$O$500,"&lt;=108099",'LANÇAMENTOS DIÁRIOS'!$P$5:$P$500,"&gt;=108000")&gt;0,"X","")</f>
      </c>
      <c r="AB52" s="56" t="str">
        <f>IF(COUNTIFS('LANÇAMENTOS DIÁRIOS'!$G$5:$G$500,"E",'LANÇAMENTOS DIÁRIOS'!$C$5:$C$500,$A52,'LANÇAMENTOS DIÁRIOS'!$O$5:$O$500,"&lt;=108199",'LANÇAMENTOS DIÁRIOS'!$P$5:$P$500,"&gt;=108100")&gt;0,"X","")</f>
      </c>
      <c r="AC52" s="56" t="str">
        <f>IF(COUNTIFS('LANÇAMENTOS DIÁRIOS'!$G$5:$G$500,"E",'LANÇAMENTOS DIÁRIOS'!$C$5:$C$500,$A52,'LANÇAMENTOS DIÁRIOS'!$O$5:$O$500,"&lt;=108299",'LANÇAMENTOS DIÁRIOS'!$P$5:$P$500,"&gt;=108200")&gt;0,"X","")</f>
      </c>
      <c r="AD52" s="56" t="str">
        <f>IF(COUNTIFS('LANÇAMENTOS DIÁRIOS'!$G$5:$G$500,"E",'LANÇAMENTOS DIÁRIOS'!$C$5:$C$500,$A52,'LANÇAMENTOS DIÁRIOS'!$O$5:$O$500,"&lt;=108399",'LANÇAMENTOS DIÁRIOS'!$P$5:$P$500,"&gt;=108300")&gt;0,"X","")</f>
      </c>
      <c r="AE52" s="56" t="str">
        <f>IF(COUNTIFS('LANÇAMENTOS DIÁRIOS'!$G$5:$G$500,"E",'LANÇAMENTOS DIÁRIOS'!$C$5:$C$500,$A52,'LANÇAMENTOS DIÁRIOS'!$O$5:$O$500,"&lt;=108499",'LANÇAMENTOS DIÁRIOS'!$P$5:$P$500,"&gt;=108400")&gt;0,"X","")</f>
      </c>
      <c r="AF52" s="56" t="str">
        <f>IF(COUNTIFS('LANÇAMENTOS DIÁRIOS'!$G$5:$G$500,"E",'LANÇAMENTOS DIÁRIOS'!$C$5:$C$500,$A52,'LANÇAMENTOS DIÁRIOS'!$O$5:$O$500,"&lt;=108599",'LANÇAMENTOS DIÁRIOS'!$P$5:$P$500,"&gt;=108500")&gt;0,"X","")</f>
      </c>
      <c r="AG52" s="56" t="str">
        <f>IF(COUNTIFS('LANÇAMENTOS DIÁRIOS'!$G$5:$G$500,"E",'LANÇAMENTOS DIÁRIOS'!$C$5:$C$500,$A52,'LANÇAMENTOS DIÁRIOS'!$O$5:$O$500,"&lt;=108699",'LANÇAMENTOS DIÁRIOS'!$P$5:$P$500,"&gt;=108600")&gt;0,"X","")</f>
      </c>
      <c r="AH52" s="56" t="str">
        <f>IF(COUNTIFS('LANÇAMENTOS DIÁRIOS'!$G$5:$G$500,"E",'LANÇAMENTOS DIÁRIOS'!$C$5:$C$500,$A52,'LANÇAMENTOS DIÁRIOS'!$O$5:$O$500,"&lt;=108799",'LANÇAMENTOS DIÁRIOS'!$P$5:$P$500,"&gt;=108700")&gt;0,"X","")</f>
      </c>
      <c r="AI52" s="56" t="str">
        <f>IF(COUNTIFS('LANÇAMENTOS DIÁRIOS'!$G$5:$G$500,"E",'LANÇAMENTOS DIÁRIOS'!$C$5:$C$500,$A52,'LANÇAMENTOS DIÁRIOS'!$O$5:$O$500,"&lt;=108899",'LANÇAMENTOS DIÁRIOS'!$P$5:$P$500,"&gt;=108800")&gt;0,"X","")</f>
      </c>
      <c r="AJ52" s="56" t="str">
        <f>IF(COUNTIFS('LANÇAMENTOS DIÁRIOS'!$G$5:$G$500,"E",'LANÇAMENTOS DIÁRIOS'!$C$5:$C$500,$A52,'LANÇAMENTOS DIÁRIOS'!$O$5:$O$500,"&lt;=108999",'LANÇAMENTOS DIÁRIOS'!$P$5:$P$500,"&gt;=108900")&gt;0,"X","")</f>
      </c>
      <c r="AK52" s="56" t="str">
        <f>IF(COUNTIFS('LANÇAMENTOS DIÁRIOS'!$G$5:$G$500,"E",'LANÇAMENTOS DIÁRIOS'!$C$5:$C$500,$A52,'LANÇAMENTOS DIÁRIOS'!$O$5:$O$500,"&lt;=109099",'LANÇAMENTOS DIÁRIOS'!$P$5:$P$500,"&gt;=109000")&gt;0,"X","")</f>
      </c>
      <c r="AL52" s="56" t="str">
        <f>IF(COUNTIFS('LANÇAMENTOS DIÁRIOS'!$G$5:$G$500,"E",'LANÇAMENTOS DIÁRIOS'!$C$5:$C$500,$A52,'LANÇAMENTOS DIÁRIOS'!$O$5:$O$500,"&lt;=109199",'LANÇAMENTOS DIÁRIOS'!$P$5:$P$500,"&gt;=109100")&gt;0,"X","")</f>
      </c>
      <c r="AM52" s="56" t="str">
        <f>IF(COUNTIFS('LANÇAMENTOS DIÁRIOS'!$G$5:$G$500,"E",'LANÇAMENTOS DIÁRIOS'!$C$5:$C$500,$A52,'LANÇAMENTOS DIÁRIOS'!$O$5:$O$500,"&lt;=109299",'LANÇAMENTOS DIÁRIOS'!$P$5:$P$500,"&gt;=109200")&gt;0,"X","")</f>
      </c>
      <c r="AN52" s="56" t="str">
        <f>IF(COUNTIFS('LANÇAMENTOS DIÁRIOS'!$G$5:$G$500,"E",'LANÇAMENTOS DIÁRIOS'!$C$5:$C$500,$A52,'LANÇAMENTOS DIÁRIOS'!$O$5:$O$500,"&lt;=109399",'LANÇAMENTOS DIÁRIOS'!$P$5:$P$500,"&gt;=109300")&gt;0,"X","")</f>
      </c>
      <c r="AO52" s="56" t="str">
        <f>IF(COUNTIFS('LANÇAMENTOS DIÁRIOS'!$G$5:$G$500,"E",'LANÇAMENTOS DIÁRIOS'!$C$5:$C$500,$A52,'LANÇAMENTOS DIÁRIOS'!$O$5:$O$500,"&lt;=109499",'LANÇAMENTOS DIÁRIOS'!$P$5:$P$500,"&gt;=109400")&gt;0,"X","")</f>
      </c>
      <c r="AP52" s="56" t="str">
        <f>IF(COUNTIFS('LANÇAMENTOS DIÁRIOS'!$G$5:$G$500,"E",'LANÇAMENTOS DIÁRIOS'!$C$5:$C$500,$A52,'LANÇAMENTOS DIÁRIOS'!$O$5:$O$500,"&lt;=109599",'LANÇAMENTOS DIÁRIOS'!$P$5:$P$500,"&gt;=109500")&gt;0,"X","")</f>
      </c>
      <c r="AQ52" s="56" t="str">
        <f>IF(COUNTIFS('LANÇAMENTOS DIÁRIOS'!$G$5:$G$500,"E",'LANÇAMENTOS DIÁRIOS'!$C$5:$C$500,$A52,'LANÇAMENTOS DIÁRIOS'!$O$5:$O$500,"&lt;=109699",'LANÇAMENTOS DIÁRIOS'!$P$5:$P$500,"&gt;=109600")&gt;0,"X","")</f>
      </c>
      <c r="AR52" s="56" t="str">
        <f>IF(COUNTIFS('LANÇAMENTOS DIÁRIOS'!$G$5:$G$500,"E",'LANÇAMENTOS DIÁRIOS'!$C$5:$C$500,$A52,'LANÇAMENTOS DIÁRIOS'!$O$5:$O$500,"&lt;=109799",'LANÇAMENTOS DIÁRIOS'!$P$5:$P$500,"&gt;=109700")&gt;0,"X","")</f>
      </c>
      <c r="AS52" s="56" t="str">
        <f>IF(COUNTIFS('LANÇAMENTOS DIÁRIOS'!$G$5:$G$500,"E",'LANÇAMENTOS DIÁRIOS'!$C$5:$C$500,$A52,'LANÇAMENTOS DIÁRIOS'!$O$5:$O$500,"&lt;=109899",'LANÇAMENTOS DIÁRIOS'!$P$5:$P$500,"&gt;=109800")&gt;0,"X","")</f>
      </c>
      <c r="AT52" s="56" t="str">
        <f>IF(COUNTIFS('LANÇAMENTOS DIÁRIOS'!$G$5:$G$500,"E",'LANÇAMENTOS DIÁRIOS'!$C$5:$C$500,$A52,'LANÇAMENTOS DIÁRIOS'!$O$5:$O$500,"&lt;=109999",'LANÇAMENTOS DIÁRIOS'!$P$5:$P$500,"&gt;=109900")&gt;0,"X","")</f>
      </c>
      <c r="AU52" s="56" t="str">
        <f>IF(COUNTIFS('LANÇAMENTOS DIÁRIOS'!$G$5:$G$500,"E",'LANÇAMENTOS DIÁRIOS'!$C$5:$C$500,$A52,'LANÇAMENTOS DIÁRIOS'!$O$5:$O$500,"&lt;=110099",'LANÇAMENTOS DIÁRIOS'!$P$5:$P$500,"&gt;=110000")&gt;0,"X","")</f>
      </c>
      <c r="AV52" s="56" t="str">
        <f>IF(COUNTIFS('LANÇAMENTOS DIÁRIOS'!$G$5:$G$500,"E",'LANÇAMENTOS DIÁRIOS'!$C$5:$C$500,$A52,'LANÇAMENTOS DIÁRIOS'!$O$5:$O$500,"&lt;=110199",'LANÇAMENTOS DIÁRIOS'!$P$5:$P$500,"&gt;=110100")&gt;0,"X","")</f>
      </c>
      <c r="AW52" s="56" t="str">
        <f>IF(COUNTIFS('LANÇAMENTOS DIÁRIOS'!$G$5:$G$500,"E",'LANÇAMENTOS DIÁRIOS'!$C$5:$C$500,$A52,'LANÇAMENTOS DIÁRIOS'!$O$5:$O$500,"&lt;=110299",'LANÇAMENTOS DIÁRIOS'!$P$5:$P$500,"&gt;=110200")&gt;0,"X","")</f>
      </c>
      <c r="AX52" s="56" t="str">
        <f>IF(COUNTIFS('LANÇAMENTOS DIÁRIOS'!$G$5:$G$500,"E",'LANÇAMENTOS DIÁRIOS'!$C$5:$C$500,$A52,'LANÇAMENTOS DIÁRIOS'!$O$5:$O$500,"&lt;=110399",'LANÇAMENTOS DIÁRIOS'!$P$5:$P$500,"&gt;=110300")&gt;0,"X","")</f>
      </c>
      <c r="AY52" s="56" t="str">
        <f>IF(COUNTIFS('LANÇAMENTOS DIÁRIOS'!$G$5:$G$500,"E",'LANÇAMENTOS DIÁRIOS'!$C$5:$C$500,$A52,'LANÇAMENTOS DIÁRIOS'!$O$5:$O$500,"&lt;=110499",'LANÇAMENTOS DIÁRIOS'!$P$5:$P$500,"&gt;=110400")&gt;0,"X","")</f>
      </c>
      <c r="AZ52" s="56" t="str">
        <f>IF(COUNTIFS('LANÇAMENTOS DIÁRIOS'!$G$5:$G$500,"E",'LANÇAMENTOS DIÁRIOS'!$C$5:$C$500,$A52,'LANÇAMENTOS DIÁRIOS'!$O$5:$O$500,"&lt;=110599",'LANÇAMENTOS DIÁRIOS'!$P$5:$P$500,"&gt;=110500")&gt;0,"X","")</f>
      </c>
      <c r="BA52" s="56" t="str">
        <f>IF(COUNTIFS('LANÇAMENTOS DIÁRIOS'!$G$5:$G$500,"E",'LANÇAMENTOS DIÁRIOS'!$C$5:$C$500,$A52,'LANÇAMENTOS DIÁRIOS'!$O$5:$O$500,"&lt;=110699",'LANÇAMENTOS DIÁRIOS'!$P$5:$P$500,"&gt;=110600")&gt;0,"X","")</f>
      </c>
      <c r="BB52" s="56" t="str">
        <f>IF(COUNTIFS('LANÇAMENTOS DIÁRIOS'!$G$5:$G$500,"E",'LANÇAMENTOS DIÁRIOS'!$C$5:$C$500,$A52,'LANÇAMENTOS DIÁRIOS'!$O$5:$O$500,"&lt;=110799",'LANÇAMENTOS DIÁRIOS'!$P$5:$P$500,"&gt;=110700")&gt;0,"X","")</f>
      </c>
      <c r="BC52" s="56" t="str">
        <f>IF(COUNTIFS('LANÇAMENTOS DIÁRIOS'!$G$5:$G$500,"E",'LANÇAMENTOS DIÁRIOS'!$C$5:$C$500,$A52,'LANÇAMENTOS DIÁRIOS'!$O$5:$O$500,"&lt;=110899",'LANÇAMENTOS DIÁRIOS'!$P$5:$P$500,"&gt;=110800")&gt;0,"X","")</f>
      </c>
      <c r="BD52" s="56" t="str">
        <f>IF(COUNTIFS('LANÇAMENTOS DIÁRIOS'!$G$5:$G$500,"E",'LANÇAMENTOS DIÁRIOS'!$C$5:$C$500,$A52,'LANÇAMENTOS DIÁRIOS'!$O$5:$O$500,"&lt;=110999",'LANÇAMENTOS DIÁRIOS'!$P$5:$P$500,"&gt;=110900")&gt;0,"X","")</f>
      </c>
      <c r="BE52" s="56" t="str">
        <f>IF(COUNTIFS('LANÇAMENTOS DIÁRIOS'!$G$5:$G$500,"E",'LANÇAMENTOS DIÁRIOS'!$C$5:$C$500,$A52,'LANÇAMENTOS DIÁRIOS'!$O$5:$O$500,"&lt;=111099",'LANÇAMENTOS DIÁRIOS'!$P$5:$P$500,"&gt;=111000")&gt;0,"X","")</f>
      </c>
      <c r="BF52" s="56" t="str">
        <f>IF(COUNTIFS('LANÇAMENTOS DIÁRIOS'!$G$5:$G$500,"E",'LANÇAMENTOS DIÁRIOS'!$C$5:$C$500,$A52,'LANÇAMENTOS DIÁRIOS'!$O$5:$O$500,"&lt;=111199",'LANÇAMENTOS DIÁRIOS'!$P$5:$P$500,"&gt;=111100")&gt;0,"X","")</f>
      </c>
      <c r="BG52" s="56" t="str">
        <f>IF(COUNTIFS('LANÇAMENTOS DIÁRIOS'!$G$5:$G$500,"E",'LANÇAMENTOS DIÁRIOS'!$C$5:$C$500,$A52,'LANÇAMENTOS DIÁRIOS'!$O$5:$O$500,"&lt;=111299",'LANÇAMENTOS DIÁRIOS'!$P$5:$P$500,"&gt;=111200")&gt;0,"X","")</f>
      </c>
      <c r="BH52" s="56" t="str">
        <f>IF(COUNTIFS('LANÇAMENTOS DIÁRIOS'!$G$5:$G$500,"E",'LANÇAMENTOS DIÁRIOS'!$C$5:$C$500,$A52,'LANÇAMENTOS DIÁRIOS'!$O$5:$O$500,"&lt;=111399",'LANÇAMENTOS DIÁRIOS'!$P$5:$P$500,"&gt;=111300")&gt;0,"X","")</f>
      </c>
      <c r="BI52" s="56" t="str">
        <f>IF(COUNTIFS('LANÇAMENTOS DIÁRIOS'!$G$5:$G$500,"E",'LANÇAMENTOS DIÁRIOS'!$C$5:$C$500,$A52,'LANÇAMENTOS DIÁRIOS'!$O$5:$O$500,"&lt;=111499",'LANÇAMENTOS DIÁRIOS'!$P$5:$P$500,"&gt;=111400")&gt;0,"X","")</f>
      </c>
      <c r="BJ52" s="56" t="str">
        <f>IF(COUNTIFS('LANÇAMENTOS DIÁRIOS'!$G$5:$G$500,"E",'LANÇAMENTOS DIÁRIOS'!$C$5:$C$500,$A52,'LANÇAMENTOS DIÁRIOS'!$O$5:$O$500,"&lt;=111500",'LANÇAMENTOS DIÁRIOS'!$P$5:$P$500,"&gt;=111500")&gt;0,"X","")</f>
      </c>
    </row>
    <row r="53">
      <c r="A53" s="51" t="str">
        <v>Fundação / reaterro com brita graduada simples/pedrisco</v>
      </c>
      <c r="B53" s="56" t="str">
        <f>IF(COUNTIFS('LANÇAMENTOS DIÁRIOS'!$G$5:$G$500,"E",'LANÇAMENTOS DIÁRIOS'!$C$5:$C$500,$A53,'LANÇAMENTOS DIÁRIOS'!$O$5:$O$500,"&lt;=105599",'LANÇAMENTOS DIÁRIOS'!$P$5:$P$500,"&gt;=105500")&gt;0,"X","")</f>
      </c>
      <c r="C53" s="56" t="str">
        <f>IF(COUNTIFS('LANÇAMENTOS DIÁRIOS'!$G$5:$G$500,"E",'LANÇAMENTOS DIÁRIOS'!$C$5:$C$500,$A53,'LANÇAMENTOS DIÁRIOS'!$O$5:$O$500,"&lt;=105699",'LANÇAMENTOS DIÁRIOS'!$P$5:$P$500,"&gt;=105600")&gt;0,"X","")</f>
      </c>
      <c r="D53" s="56" t="str">
        <f>IF(COUNTIFS('LANÇAMENTOS DIÁRIOS'!$G$5:$G$500,"E",'LANÇAMENTOS DIÁRIOS'!$C$5:$C$500,$A53,'LANÇAMENTOS DIÁRIOS'!$O$5:$O$500,"&lt;=105799",'LANÇAMENTOS DIÁRIOS'!$P$5:$P$500,"&gt;=105700")&gt;0,"X","")</f>
      </c>
      <c r="E53" s="56" t="str">
        <f>IF(COUNTIFS('LANÇAMENTOS DIÁRIOS'!$G$5:$G$500,"E",'LANÇAMENTOS DIÁRIOS'!$C$5:$C$500,$A53,'LANÇAMENTOS DIÁRIOS'!$O$5:$O$500,"&lt;=105899",'LANÇAMENTOS DIÁRIOS'!$P$5:$P$500,"&gt;=105800")&gt;0,"X","")</f>
      </c>
      <c r="F53" s="56" t="str">
        <f>IF(COUNTIFS('LANÇAMENTOS DIÁRIOS'!$G$5:$G$500,"E",'LANÇAMENTOS DIÁRIOS'!$C$5:$C$500,$A53,'LANÇAMENTOS DIÁRIOS'!$O$5:$O$500,"&lt;=105999",'LANÇAMENTOS DIÁRIOS'!$P$5:$P$500,"&gt;=105900")&gt;0,"X","")</f>
      </c>
      <c r="G53" s="56" t="str">
        <f>IF(COUNTIFS('LANÇAMENTOS DIÁRIOS'!$G$5:$G$500,"E",'LANÇAMENTOS DIÁRIOS'!$C$5:$C$500,$A53,'LANÇAMENTOS DIÁRIOS'!$O$5:$O$500,"&lt;=106099",'LANÇAMENTOS DIÁRIOS'!$P$5:$P$500,"&gt;=106000")&gt;0,"X","")</f>
      </c>
      <c r="H53" s="56" t="str">
        <f>IF(COUNTIFS('LANÇAMENTOS DIÁRIOS'!$G$5:$G$500,"E",'LANÇAMENTOS DIÁRIOS'!$C$5:$C$500,$A53,'LANÇAMENTOS DIÁRIOS'!$O$5:$O$500,"&lt;=106199",'LANÇAMENTOS DIÁRIOS'!$P$5:$P$500,"&gt;=106100")&gt;0,"X","")</f>
      </c>
      <c r="I53" s="56" t="str">
        <f>IF(COUNTIFS('LANÇAMENTOS DIÁRIOS'!$G$5:$G$500,"E",'LANÇAMENTOS DIÁRIOS'!$C$5:$C$500,$A53,'LANÇAMENTOS DIÁRIOS'!$O$5:$O$500,"&lt;=106299",'LANÇAMENTOS DIÁRIOS'!$P$5:$P$500,"&gt;=106200")&gt;0,"X","")</f>
      </c>
      <c r="J53" s="56" t="str">
        <f>IF(COUNTIFS('LANÇAMENTOS DIÁRIOS'!$G$5:$G$500,"E",'LANÇAMENTOS DIÁRIOS'!$C$5:$C$500,$A53,'LANÇAMENTOS DIÁRIOS'!$O$5:$O$500,"&lt;=106399",'LANÇAMENTOS DIÁRIOS'!$P$5:$P$500,"&gt;=106300")&gt;0,"X","")</f>
      </c>
      <c r="K53" s="56" t="str">
        <f>IF(COUNTIFS('LANÇAMENTOS DIÁRIOS'!$G$5:$G$500,"E",'LANÇAMENTOS DIÁRIOS'!$C$5:$C$500,$A53,'LANÇAMENTOS DIÁRIOS'!$O$5:$O$500,"&lt;=106499",'LANÇAMENTOS DIÁRIOS'!$P$5:$P$500,"&gt;=106400")&gt;0,"X","")</f>
      </c>
      <c r="L53" s="56" t="str">
        <f>IF(COUNTIFS('LANÇAMENTOS DIÁRIOS'!$G$5:$G$500,"E",'LANÇAMENTOS DIÁRIOS'!$C$5:$C$500,$A53,'LANÇAMENTOS DIÁRIOS'!$O$5:$O$500,"&lt;=106599",'LANÇAMENTOS DIÁRIOS'!$P$5:$P$500,"&gt;=106500")&gt;0,"X","")</f>
      </c>
      <c r="M53" s="56" t="str">
        <f>IF(COUNTIFS('LANÇAMENTOS DIÁRIOS'!$G$5:$G$500,"E",'LANÇAMENTOS DIÁRIOS'!$C$5:$C$500,$A53,'LANÇAMENTOS DIÁRIOS'!$O$5:$O$500,"&lt;=106699",'LANÇAMENTOS DIÁRIOS'!$P$5:$P$500,"&gt;=106600")&gt;0,"X","")</f>
      </c>
      <c r="N53" s="56" t="str">
        <f>IF(COUNTIFS('LANÇAMENTOS DIÁRIOS'!$G$5:$G$500,"E",'LANÇAMENTOS DIÁRIOS'!$C$5:$C$500,$A53,'LANÇAMENTOS DIÁRIOS'!$O$5:$O$500,"&lt;=106799",'LANÇAMENTOS DIÁRIOS'!$P$5:$P$500,"&gt;=106700")&gt;0,"X","")</f>
      </c>
      <c r="O53" s="56" t="str">
        <f>IF(COUNTIFS('LANÇAMENTOS DIÁRIOS'!$G$5:$G$500,"E",'LANÇAMENTOS DIÁRIOS'!$C$5:$C$500,$A53,'LANÇAMENTOS DIÁRIOS'!$O$5:$O$500,"&lt;=106899",'LANÇAMENTOS DIÁRIOS'!$P$5:$P$500,"&gt;=106800")&gt;0,"X","")</f>
      </c>
      <c r="P53" s="56" t="str">
        <f>IF(COUNTIFS('LANÇAMENTOS DIÁRIOS'!$G$5:$G$500,"E",'LANÇAMENTOS DIÁRIOS'!$C$5:$C$500,$A53,'LANÇAMENTOS DIÁRIOS'!$O$5:$O$500,"&lt;=106999",'LANÇAMENTOS DIÁRIOS'!$P$5:$P$500,"&gt;=106900")&gt;0,"X","")</f>
      </c>
      <c r="Q53" s="56" t="str">
        <f>IF(COUNTIFS('LANÇAMENTOS DIÁRIOS'!$G$5:$G$500,"E",'LANÇAMENTOS DIÁRIOS'!$C$5:$C$500,$A53,'LANÇAMENTOS DIÁRIOS'!$O$5:$O$500,"&lt;=107099",'LANÇAMENTOS DIÁRIOS'!$P$5:$P$500,"&gt;=107000")&gt;0,"X","")</f>
      </c>
      <c r="R53" s="56" t="str">
        <f>IF(COUNTIFS('LANÇAMENTOS DIÁRIOS'!$G$5:$G$500,"E",'LANÇAMENTOS DIÁRIOS'!$C$5:$C$500,$A53,'LANÇAMENTOS DIÁRIOS'!$O$5:$O$500,"&lt;=107199",'LANÇAMENTOS DIÁRIOS'!$P$5:$P$500,"&gt;=107100")&gt;0,"X","")</f>
      </c>
      <c r="S53" s="56" t="str">
        <f>IF(COUNTIFS('LANÇAMENTOS DIÁRIOS'!$G$5:$G$500,"E",'LANÇAMENTOS DIÁRIOS'!$C$5:$C$500,$A53,'LANÇAMENTOS DIÁRIOS'!$O$5:$O$500,"&lt;=107299",'LANÇAMENTOS DIÁRIOS'!$P$5:$P$500,"&gt;=107200")&gt;0,"X","")</f>
      </c>
      <c r="T53" s="56" t="str">
        <f>IF(COUNTIFS('LANÇAMENTOS DIÁRIOS'!$G$5:$G$500,"E",'LANÇAMENTOS DIÁRIOS'!$C$5:$C$500,$A53,'LANÇAMENTOS DIÁRIOS'!$O$5:$O$500,"&lt;=107399",'LANÇAMENTOS DIÁRIOS'!$P$5:$P$500,"&gt;=107300")&gt;0,"X","")</f>
      </c>
      <c r="U53" s="56" t="str">
        <f>IF(COUNTIFS('LANÇAMENTOS DIÁRIOS'!$G$5:$G$500,"E",'LANÇAMENTOS DIÁRIOS'!$C$5:$C$500,$A53,'LANÇAMENTOS DIÁRIOS'!$O$5:$O$500,"&lt;=107499",'LANÇAMENTOS DIÁRIOS'!$P$5:$P$500,"&gt;=107400")&gt;0,"X","")</f>
      </c>
      <c r="V53" s="56" t="str">
        <f>IF(COUNTIFS('LANÇAMENTOS DIÁRIOS'!$G$5:$G$500,"E",'LANÇAMENTOS DIÁRIOS'!$C$5:$C$500,$A53,'LANÇAMENTOS DIÁRIOS'!$O$5:$O$500,"&lt;=107599",'LANÇAMENTOS DIÁRIOS'!$P$5:$P$500,"&gt;=107500")&gt;0,"X","")</f>
      </c>
      <c r="W53" s="56" t="str">
        <f>IF(COUNTIFS('LANÇAMENTOS DIÁRIOS'!$G$5:$G$500,"E",'LANÇAMENTOS DIÁRIOS'!$C$5:$C$500,$A53,'LANÇAMENTOS DIÁRIOS'!$O$5:$O$500,"&lt;=107699",'LANÇAMENTOS DIÁRIOS'!$P$5:$P$500,"&gt;=107600")&gt;0,"X","")</f>
      </c>
      <c r="X53" s="56" t="str">
        <f>IF(COUNTIFS('LANÇAMENTOS DIÁRIOS'!$G$5:$G$500,"E",'LANÇAMENTOS DIÁRIOS'!$C$5:$C$500,$A53,'LANÇAMENTOS DIÁRIOS'!$O$5:$O$500,"&lt;=107799",'LANÇAMENTOS DIÁRIOS'!$P$5:$P$500,"&gt;=107700")&gt;0,"X","")</f>
      </c>
      <c r="Y53" s="56" t="str">
        <f>IF(COUNTIFS('LANÇAMENTOS DIÁRIOS'!$G$5:$G$500,"E",'LANÇAMENTOS DIÁRIOS'!$C$5:$C$500,$A53,'LANÇAMENTOS DIÁRIOS'!$O$5:$O$500,"&lt;=107899",'LANÇAMENTOS DIÁRIOS'!$P$5:$P$500,"&gt;=107800")&gt;0,"X","")</f>
      </c>
      <c r="Z53" s="56" t="str">
        <f>IF(COUNTIFS('LANÇAMENTOS DIÁRIOS'!$G$5:$G$500,"E",'LANÇAMENTOS DIÁRIOS'!$C$5:$C$500,$A53,'LANÇAMENTOS DIÁRIOS'!$O$5:$O$500,"&lt;=107999",'LANÇAMENTOS DIÁRIOS'!$P$5:$P$500,"&gt;=107900")&gt;0,"X","")</f>
      </c>
      <c r="AA53" s="56" t="str">
        <f>IF(COUNTIFS('LANÇAMENTOS DIÁRIOS'!$G$5:$G$500,"E",'LANÇAMENTOS DIÁRIOS'!$C$5:$C$500,$A53,'LANÇAMENTOS DIÁRIOS'!$O$5:$O$500,"&lt;=108099",'LANÇAMENTOS DIÁRIOS'!$P$5:$P$500,"&gt;=108000")&gt;0,"X","")</f>
      </c>
      <c r="AB53" s="56" t="str">
        <f>IF(COUNTIFS('LANÇAMENTOS DIÁRIOS'!$G$5:$G$500,"E",'LANÇAMENTOS DIÁRIOS'!$C$5:$C$500,$A53,'LANÇAMENTOS DIÁRIOS'!$O$5:$O$500,"&lt;=108199",'LANÇAMENTOS DIÁRIOS'!$P$5:$P$500,"&gt;=108100")&gt;0,"X","")</f>
      </c>
      <c r="AC53" s="56" t="str">
        <f>IF(COUNTIFS('LANÇAMENTOS DIÁRIOS'!$G$5:$G$500,"E",'LANÇAMENTOS DIÁRIOS'!$C$5:$C$500,$A53,'LANÇAMENTOS DIÁRIOS'!$O$5:$O$500,"&lt;=108299",'LANÇAMENTOS DIÁRIOS'!$P$5:$P$500,"&gt;=108200")&gt;0,"X","")</f>
      </c>
      <c r="AD53" s="56" t="str">
        <f>IF(COUNTIFS('LANÇAMENTOS DIÁRIOS'!$G$5:$G$500,"E",'LANÇAMENTOS DIÁRIOS'!$C$5:$C$500,$A53,'LANÇAMENTOS DIÁRIOS'!$O$5:$O$500,"&lt;=108399",'LANÇAMENTOS DIÁRIOS'!$P$5:$P$500,"&gt;=108300")&gt;0,"X","")</f>
      </c>
      <c r="AE53" s="56" t="str">
        <f>IF(COUNTIFS('LANÇAMENTOS DIÁRIOS'!$G$5:$G$500,"E",'LANÇAMENTOS DIÁRIOS'!$C$5:$C$500,$A53,'LANÇAMENTOS DIÁRIOS'!$O$5:$O$500,"&lt;=108499",'LANÇAMENTOS DIÁRIOS'!$P$5:$P$500,"&gt;=108400")&gt;0,"X","")</f>
      </c>
      <c r="AF53" s="56" t="str">
        <f>IF(COUNTIFS('LANÇAMENTOS DIÁRIOS'!$G$5:$G$500,"E",'LANÇAMENTOS DIÁRIOS'!$C$5:$C$500,$A53,'LANÇAMENTOS DIÁRIOS'!$O$5:$O$500,"&lt;=108599",'LANÇAMENTOS DIÁRIOS'!$P$5:$P$500,"&gt;=108500")&gt;0,"X","")</f>
      </c>
      <c r="AG53" s="56" t="str">
        <f>IF(COUNTIFS('LANÇAMENTOS DIÁRIOS'!$G$5:$G$500,"E",'LANÇAMENTOS DIÁRIOS'!$C$5:$C$500,$A53,'LANÇAMENTOS DIÁRIOS'!$O$5:$O$500,"&lt;=108699",'LANÇAMENTOS DIÁRIOS'!$P$5:$P$500,"&gt;=108600")&gt;0,"X","")</f>
      </c>
      <c r="AH53" s="56" t="str">
        <f>IF(COUNTIFS('LANÇAMENTOS DIÁRIOS'!$G$5:$G$500,"E",'LANÇAMENTOS DIÁRIOS'!$C$5:$C$500,$A53,'LANÇAMENTOS DIÁRIOS'!$O$5:$O$500,"&lt;=108799",'LANÇAMENTOS DIÁRIOS'!$P$5:$P$500,"&gt;=108700")&gt;0,"X","")</f>
      </c>
      <c r="AI53" s="56" t="str">
        <f>IF(COUNTIFS('LANÇAMENTOS DIÁRIOS'!$G$5:$G$500,"E",'LANÇAMENTOS DIÁRIOS'!$C$5:$C$500,$A53,'LANÇAMENTOS DIÁRIOS'!$O$5:$O$500,"&lt;=108899",'LANÇAMENTOS DIÁRIOS'!$P$5:$P$500,"&gt;=108800")&gt;0,"X","")</f>
      </c>
      <c r="AJ53" s="56" t="str">
        <f>IF(COUNTIFS('LANÇAMENTOS DIÁRIOS'!$G$5:$G$500,"E",'LANÇAMENTOS DIÁRIOS'!$C$5:$C$500,$A53,'LANÇAMENTOS DIÁRIOS'!$O$5:$O$500,"&lt;=108999",'LANÇAMENTOS DIÁRIOS'!$P$5:$P$500,"&gt;=108900")&gt;0,"X","")</f>
      </c>
      <c r="AK53" s="56" t="str">
        <f>IF(COUNTIFS('LANÇAMENTOS DIÁRIOS'!$G$5:$G$500,"E",'LANÇAMENTOS DIÁRIOS'!$C$5:$C$500,$A53,'LANÇAMENTOS DIÁRIOS'!$O$5:$O$500,"&lt;=109099",'LANÇAMENTOS DIÁRIOS'!$P$5:$P$500,"&gt;=109000")&gt;0,"X","")</f>
      </c>
      <c r="AL53" s="56" t="str">
        <f>IF(COUNTIFS('LANÇAMENTOS DIÁRIOS'!$G$5:$G$500,"E",'LANÇAMENTOS DIÁRIOS'!$C$5:$C$500,$A53,'LANÇAMENTOS DIÁRIOS'!$O$5:$O$500,"&lt;=109199",'LANÇAMENTOS DIÁRIOS'!$P$5:$P$500,"&gt;=109100")&gt;0,"X","")</f>
      </c>
      <c r="AM53" s="56" t="str">
        <f>IF(COUNTIFS('LANÇAMENTOS DIÁRIOS'!$G$5:$G$500,"E",'LANÇAMENTOS DIÁRIOS'!$C$5:$C$500,$A53,'LANÇAMENTOS DIÁRIOS'!$O$5:$O$500,"&lt;=109299",'LANÇAMENTOS DIÁRIOS'!$P$5:$P$500,"&gt;=109200")&gt;0,"X","")</f>
      </c>
      <c r="AN53" s="56" t="str">
        <f>IF(COUNTIFS('LANÇAMENTOS DIÁRIOS'!$G$5:$G$500,"E",'LANÇAMENTOS DIÁRIOS'!$C$5:$C$500,$A53,'LANÇAMENTOS DIÁRIOS'!$O$5:$O$500,"&lt;=109399",'LANÇAMENTOS DIÁRIOS'!$P$5:$P$500,"&gt;=109300")&gt;0,"X","")</f>
      </c>
      <c r="AO53" s="56" t="str">
        <f>IF(COUNTIFS('LANÇAMENTOS DIÁRIOS'!$G$5:$G$500,"E",'LANÇAMENTOS DIÁRIOS'!$C$5:$C$500,$A53,'LANÇAMENTOS DIÁRIOS'!$O$5:$O$500,"&lt;=109499",'LANÇAMENTOS DIÁRIOS'!$P$5:$P$500,"&gt;=109400")&gt;0,"X","")</f>
      </c>
      <c r="AP53" s="56" t="str">
        <f>IF(COUNTIFS('LANÇAMENTOS DIÁRIOS'!$G$5:$G$500,"E",'LANÇAMENTOS DIÁRIOS'!$C$5:$C$500,$A53,'LANÇAMENTOS DIÁRIOS'!$O$5:$O$500,"&lt;=109599",'LANÇAMENTOS DIÁRIOS'!$P$5:$P$500,"&gt;=109500")&gt;0,"X","")</f>
      </c>
      <c r="AQ53" s="56" t="str">
        <f>IF(COUNTIFS('LANÇAMENTOS DIÁRIOS'!$G$5:$G$500,"E",'LANÇAMENTOS DIÁRIOS'!$C$5:$C$500,$A53,'LANÇAMENTOS DIÁRIOS'!$O$5:$O$500,"&lt;=109699",'LANÇAMENTOS DIÁRIOS'!$P$5:$P$500,"&gt;=109600")&gt;0,"X","")</f>
      </c>
      <c r="AR53" s="56" t="str">
        <f>IF(COUNTIFS('LANÇAMENTOS DIÁRIOS'!$G$5:$G$500,"E",'LANÇAMENTOS DIÁRIOS'!$C$5:$C$500,$A53,'LANÇAMENTOS DIÁRIOS'!$O$5:$O$500,"&lt;=109799",'LANÇAMENTOS DIÁRIOS'!$P$5:$P$500,"&gt;=109700")&gt;0,"X","")</f>
      </c>
      <c r="AS53" s="56" t="str">
        <f>IF(COUNTIFS('LANÇAMENTOS DIÁRIOS'!$G$5:$G$500,"E",'LANÇAMENTOS DIÁRIOS'!$C$5:$C$500,$A53,'LANÇAMENTOS DIÁRIOS'!$O$5:$O$500,"&lt;=109899",'LANÇAMENTOS DIÁRIOS'!$P$5:$P$500,"&gt;=109800")&gt;0,"X","")</f>
      </c>
      <c r="AT53" s="56" t="str">
        <f>IF(COUNTIFS('LANÇAMENTOS DIÁRIOS'!$G$5:$G$500,"E",'LANÇAMENTOS DIÁRIOS'!$C$5:$C$500,$A53,'LANÇAMENTOS DIÁRIOS'!$O$5:$O$500,"&lt;=109999",'LANÇAMENTOS DIÁRIOS'!$P$5:$P$500,"&gt;=109900")&gt;0,"X","")</f>
      </c>
      <c r="AU53" s="56" t="str">
        <f>IF(COUNTIFS('LANÇAMENTOS DIÁRIOS'!$G$5:$G$500,"E",'LANÇAMENTOS DIÁRIOS'!$C$5:$C$500,$A53,'LANÇAMENTOS DIÁRIOS'!$O$5:$O$500,"&lt;=110099",'LANÇAMENTOS DIÁRIOS'!$P$5:$P$500,"&gt;=110000")&gt;0,"X","")</f>
      </c>
      <c r="AV53" s="56" t="str">
        <f>IF(COUNTIFS('LANÇAMENTOS DIÁRIOS'!$G$5:$G$500,"E",'LANÇAMENTOS DIÁRIOS'!$C$5:$C$500,$A53,'LANÇAMENTOS DIÁRIOS'!$O$5:$O$500,"&lt;=110199",'LANÇAMENTOS DIÁRIOS'!$P$5:$P$500,"&gt;=110100")&gt;0,"X","")</f>
      </c>
      <c r="AW53" s="56" t="str">
        <f>IF(COUNTIFS('LANÇAMENTOS DIÁRIOS'!$G$5:$G$500,"E",'LANÇAMENTOS DIÁRIOS'!$C$5:$C$500,$A53,'LANÇAMENTOS DIÁRIOS'!$O$5:$O$500,"&lt;=110299",'LANÇAMENTOS DIÁRIOS'!$P$5:$P$500,"&gt;=110200")&gt;0,"X","")</f>
      </c>
      <c r="AX53" s="56" t="str">
        <f>IF(COUNTIFS('LANÇAMENTOS DIÁRIOS'!$G$5:$G$500,"E",'LANÇAMENTOS DIÁRIOS'!$C$5:$C$500,$A53,'LANÇAMENTOS DIÁRIOS'!$O$5:$O$500,"&lt;=110399",'LANÇAMENTOS DIÁRIOS'!$P$5:$P$500,"&gt;=110300")&gt;0,"X","")</f>
      </c>
      <c r="AY53" s="56" t="str">
        <f>IF(COUNTIFS('LANÇAMENTOS DIÁRIOS'!$G$5:$G$500,"E",'LANÇAMENTOS DIÁRIOS'!$C$5:$C$500,$A53,'LANÇAMENTOS DIÁRIOS'!$O$5:$O$500,"&lt;=110499",'LANÇAMENTOS DIÁRIOS'!$P$5:$P$500,"&gt;=110400")&gt;0,"X","")</f>
      </c>
      <c r="AZ53" s="56" t="str">
        <f>IF(COUNTIFS('LANÇAMENTOS DIÁRIOS'!$G$5:$G$500,"E",'LANÇAMENTOS DIÁRIOS'!$C$5:$C$500,$A53,'LANÇAMENTOS DIÁRIOS'!$O$5:$O$500,"&lt;=110599",'LANÇAMENTOS DIÁRIOS'!$P$5:$P$500,"&gt;=110500")&gt;0,"X","")</f>
      </c>
      <c r="BA53" s="56" t="str">
        <f>IF(COUNTIFS('LANÇAMENTOS DIÁRIOS'!$G$5:$G$500,"E",'LANÇAMENTOS DIÁRIOS'!$C$5:$C$500,$A53,'LANÇAMENTOS DIÁRIOS'!$O$5:$O$500,"&lt;=110699",'LANÇAMENTOS DIÁRIOS'!$P$5:$P$500,"&gt;=110600")&gt;0,"X","")</f>
      </c>
      <c r="BB53" s="56" t="str">
        <f>IF(COUNTIFS('LANÇAMENTOS DIÁRIOS'!$G$5:$G$500,"E",'LANÇAMENTOS DIÁRIOS'!$C$5:$C$500,$A53,'LANÇAMENTOS DIÁRIOS'!$O$5:$O$500,"&lt;=110799",'LANÇAMENTOS DIÁRIOS'!$P$5:$P$500,"&gt;=110700")&gt;0,"X","")</f>
      </c>
      <c r="BC53" s="56" t="str">
        <f>IF(COUNTIFS('LANÇAMENTOS DIÁRIOS'!$G$5:$G$500,"E",'LANÇAMENTOS DIÁRIOS'!$C$5:$C$500,$A53,'LANÇAMENTOS DIÁRIOS'!$O$5:$O$500,"&lt;=110899",'LANÇAMENTOS DIÁRIOS'!$P$5:$P$500,"&gt;=110800")&gt;0,"X","")</f>
      </c>
      <c r="BD53" s="56" t="str">
        <f>IF(COUNTIFS('LANÇAMENTOS DIÁRIOS'!$G$5:$G$500,"E",'LANÇAMENTOS DIÁRIOS'!$C$5:$C$500,$A53,'LANÇAMENTOS DIÁRIOS'!$O$5:$O$500,"&lt;=110999",'LANÇAMENTOS DIÁRIOS'!$P$5:$P$500,"&gt;=110900")&gt;0,"X","")</f>
      </c>
      <c r="BE53" s="56" t="str">
        <f>IF(COUNTIFS('LANÇAMENTOS DIÁRIOS'!$G$5:$G$500,"E",'LANÇAMENTOS DIÁRIOS'!$C$5:$C$500,$A53,'LANÇAMENTOS DIÁRIOS'!$O$5:$O$500,"&lt;=111099",'LANÇAMENTOS DIÁRIOS'!$P$5:$P$500,"&gt;=111000")&gt;0,"X","")</f>
      </c>
      <c r="BF53" s="56" t="str">
        <f>IF(COUNTIFS('LANÇAMENTOS DIÁRIOS'!$G$5:$G$500,"E",'LANÇAMENTOS DIÁRIOS'!$C$5:$C$500,$A53,'LANÇAMENTOS DIÁRIOS'!$O$5:$O$500,"&lt;=111199",'LANÇAMENTOS DIÁRIOS'!$P$5:$P$500,"&gt;=111100")&gt;0,"X","")</f>
      </c>
      <c r="BG53" s="56" t="str">
        <f>IF(COUNTIFS('LANÇAMENTOS DIÁRIOS'!$G$5:$G$500,"E",'LANÇAMENTOS DIÁRIOS'!$C$5:$C$500,$A53,'LANÇAMENTOS DIÁRIOS'!$O$5:$O$500,"&lt;=111299",'LANÇAMENTOS DIÁRIOS'!$P$5:$P$500,"&gt;=111200")&gt;0,"X","")</f>
      </c>
      <c r="BH53" s="56" t="str">
        <f>IF(COUNTIFS('LANÇAMENTOS DIÁRIOS'!$G$5:$G$500,"E",'LANÇAMENTOS DIÁRIOS'!$C$5:$C$500,$A53,'LANÇAMENTOS DIÁRIOS'!$O$5:$O$500,"&lt;=111399",'LANÇAMENTOS DIÁRIOS'!$P$5:$P$500,"&gt;=111300")&gt;0,"X","")</f>
      </c>
      <c r="BI53" s="56" t="str">
        <f>IF(COUNTIFS('LANÇAMENTOS DIÁRIOS'!$G$5:$G$500,"E",'LANÇAMENTOS DIÁRIOS'!$C$5:$C$500,$A53,'LANÇAMENTOS DIÁRIOS'!$O$5:$O$500,"&lt;=111499",'LANÇAMENTOS DIÁRIOS'!$P$5:$P$500,"&gt;=111400")&gt;0,"X","")</f>
      </c>
      <c r="BJ53" s="56" t="str">
        <f>IF(COUNTIFS('LANÇAMENTOS DIÁRIOS'!$G$5:$G$500,"E",'LANÇAMENTOS DIÁRIOS'!$C$5:$C$500,$A53,'LANÇAMENTOS DIÁRIOS'!$O$5:$O$500,"&lt;=111500",'LANÇAMENTOS DIÁRIOS'!$P$5:$P$500,"&gt;=111500")&gt;0,"X","")</f>
      </c>
    </row>
    <row r="54">
      <c r="A54" s="51" t="str">
        <v>Fundação / reaterro com bica corrida</v>
      </c>
      <c r="B54" s="56" t="str">
        <f>IF(COUNTIFS('LANÇAMENTOS DIÁRIOS'!$G$5:$G$500,"E",'LANÇAMENTOS DIÁRIOS'!$C$5:$C$500,$A54,'LANÇAMENTOS DIÁRIOS'!$O$5:$O$500,"&lt;=105599",'LANÇAMENTOS DIÁRIOS'!$P$5:$P$500,"&gt;=105500")&gt;0,"X","")</f>
      </c>
      <c r="C54" s="56" t="str">
        <f>IF(COUNTIFS('LANÇAMENTOS DIÁRIOS'!$G$5:$G$500,"E",'LANÇAMENTOS DIÁRIOS'!$C$5:$C$500,$A54,'LANÇAMENTOS DIÁRIOS'!$O$5:$O$500,"&lt;=105699",'LANÇAMENTOS DIÁRIOS'!$P$5:$P$500,"&gt;=105600")&gt;0,"X","")</f>
      </c>
      <c r="D54" s="56" t="str">
        <f>IF(COUNTIFS('LANÇAMENTOS DIÁRIOS'!$G$5:$G$500,"E",'LANÇAMENTOS DIÁRIOS'!$C$5:$C$500,$A54,'LANÇAMENTOS DIÁRIOS'!$O$5:$O$500,"&lt;=105799",'LANÇAMENTOS DIÁRIOS'!$P$5:$P$500,"&gt;=105700")&gt;0,"X","")</f>
      </c>
      <c r="E54" s="56" t="str">
        <f>IF(COUNTIFS('LANÇAMENTOS DIÁRIOS'!$G$5:$G$500,"E",'LANÇAMENTOS DIÁRIOS'!$C$5:$C$500,$A54,'LANÇAMENTOS DIÁRIOS'!$O$5:$O$500,"&lt;=105899",'LANÇAMENTOS DIÁRIOS'!$P$5:$P$500,"&gt;=105800")&gt;0,"X","")</f>
      </c>
      <c r="F54" s="56" t="str">
        <f>IF(COUNTIFS('LANÇAMENTOS DIÁRIOS'!$G$5:$G$500,"E",'LANÇAMENTOS DIÁRIOS'!$C$5:$C$500,$A54,'LANÇAMENTOS DIÁRIOS'!$O$5:$O$500,"&lt;=105999",'LANÇAMENTOS DIÁRIOS'!$P$5:$P$500,"&gt;=105900")&gt;0,"X","")</f>
      </c>
      <c r="G54" s="56" t="str">
        <f>IF(COUNTIFS('LANÇAMENTOS DIÁRIOS'!$G$5:$G$500,"E",'LANÇAMENTOS DIÁRIOS'!$C$5:$C$500,$A54,'LANÇAMENTOS DIÁRIOS'!$O$5:$O$500,"&lt;=106099",'LANÇAMENTOS DIÁRIOS'!$P$5:$P$500,"&gt;=106000")&gt;0,"X","")</f>
      </c>
      <c r="H54" s="56" t="str">
        <f>IF(COUNTIFS('LANÇAMENTOS DIÁRIOS'!$G$5:$G$500,"E",'LANÇAMENTOS DIÁRIOS'!$C$5:$C$500,$A54,'LANÇAMENTOS DIÁRIOS'!$O$5:$O$500,"&lt;=106199",'LANÇAMENTOS DIÁRIOS'!$P$5:$P$500,"&gt;=106100")&gt;0,"X","")</f>
      </c>
      <c r="I54" s="56" t="str">
        <f>IF(COUNTIFS('LANÇAMENTOS DIÁRIOS'!$G$5:$G$500,"E",'LANÇAMENTOS DIÁRIOS'!$C$5:$C$500,$A54,'LANÇAMENTOS DIÁRIOS'!$O$5:$O$500,"&lt;=106299",'LANÇAMENTOS DIÁRIOS'!$P$5:$P$500,"&gt;=106200")&gt;0,"X","")</f>
      </c>
      <c r="J54" s="56" t="str">
        <f>IF(COUNTIFS('LANÇAMENTOS DIÁRIOS'!$G$5:$G$500,"E",'LANÇAMENTOS DIÁRIOS'!$C$5:$C$500,$A54,'LANÇAMENTOS DIÁRIOS'!$O$5:$O$500,"&lt;=106399",'LANÇAMENTOS DIÁRIOS'!$P$5:$P$500,"&gt;=106300")&gt;0,"X","")</f>
      </c>
      <c r="K54" s="56" t="str">
        <f>IF(COUNTIFS('LANÇAMENTOS DIÁRIOS'!$G$5:$G$500,"E",'LANÇAMENTOS DIÁRIOS'!$C$5:$C$500,$A54,'LANÇAMENTOS DIÁRIOS'!$O$5:$O$500,"&lt;=106499",'LANÇAMENTOS DIÁRIOS'!$P$5:$P$500,"&gt;=106400")&gt;0,"X","")</f>
      </c>
      <c r="L54" s="56" t="str">
        <f>IF(COUNTIFS('LANÇAMENTOS DIÁRIOS'!$G$5:$G$500,"E",'LANÇAMENTOS DIÁRIOS'!$C$5:$C$500,$A54,'LANÇAMENTOS DIÁRIOS'!$O$5:$O$500,"&lt;=106599",'LANÇAMENTOS DIÁRIOS'!$P$5:$P$500,"&gt;=106500")&gt;0,"X","")</f>
      </c>
      <c r="M54" s="56" t="str">
        <f>IF(COUNTIFS('LANÇAMENTOS DIÁRIOS'!$G$5:$G$500,"E",'LANÇAMENTOS DIÁRIOS'!$C$5:$C$500,$A54,'LANÇAMENTOS DIÁRIOS'!$O$5:$O$500,"&lt;=106699",'LANÇAMENTOS DIÁRIOS'!$P$5:$P$500,"&gt;=106600")&gt;0,"X","")</f>
      </c>
      <c r="N54" s="56" t="str">
        <f>IF(COUNTIFS('LANÇAMENTOS DIÁRIOS'!$G$5:$G$500,"E",'LANÇAMENTOS DIÁRIOS'!$C$5:$C$500,$A54,'LANÇAMENTOS DIÁRIOS'!$O$5:$O$500,"&lt;=106799",'LANÇAMENTOS DIÁRIOS'!$P$5:$P$500,"&gt;=106700")&gt;0,"X","")</f>
      </c>
      <c r="O54" s="56" t="str">
        <f>IF(COUNTIFS('LANÇAMENTOS DIÁRIOS'!$G$5:$G$500,"E",'LANÇAMENTOS DIÁRIOS'!$C$5:$C$500,$A54,'LANÇAMENTOS DIÁRIOS'!$O$5:$O$500,"&lt;=106899",'LANÇAMENTOS DIÁRIOS'!$P$5:$P$500,"&gt;=106800")&gt;0,"X","")</f>
      </c>
      <c r="P54" s="56" t="str">
        <f>IF(COUNTIFS('LANÇAMENTOS DIÁRIOS'!$G$5:$G$500,"E",'LANÇAMENTOS DIÁRIOS'!$C$5:$C$500,$A54,'LANÇAMENTOS DIÁRIOS'!$O$5:$O$500,"&lt;=106999",'LANÇAMENTOS DIÁRIOS'!$P$5:$P$500,"&gt;=106900")&gt;0,"X","")</f>
      </c>
      <c r="Q54" s="56" t="str">
        <f>IF(COUNTIFS('LANÇAMENTOS DIÁRIOS'!$G$5:$G$500,"E",'LANÇAMENTOS DIÁRIOS'!$C$5:$C$500,$A54,'LANÇAMENTOS DIÁRIOS'!$O$5:$O$500,"&lt;=107099",'LANÇAMENTOS DIÁRIOS'!$P$5:$P$500,"&gt;=107000")&gt;0,"X","")</f>
      </c>
      <c r="R54" s="56" t="str">
        <f>IF(COUNTIFS('LANÇAMENTOS DIÁRIOS'!$G$5:$G$500,"E",'LANÇAMENTOS DIÁRIOS'!$C$5:$C$500,$A54,'LANÇAMENTOS DIÁRIOS'!$O$5:$O$500,"&lt;=107199",'LANÇAMENTOS DIÁRIOS'!$P$5:$P$500,"&gt;=107100")&gt;0,"X","")</f>
      </c>
      <c r="S54" s="56" t="str">
        <f>IF(COUNTIFS('LANÇAMENTOS DIÁRIOS'!$G$5:$G$500,"E",'LANÇAMENTOS DIÁRIOS'!$C$5:$C$500,$A54,'LANÇAMENTOS DIÁRIOS'!$O$5:$O$500,"&lt;=107299",'LANÇAMENTOS DIÁRIOS'!$P$5:$P$500,"&gt;=107200")&gt;0,"X","")</f>
      </c>
      <c r="T54" s="56" t="str">
        <f>IF(COUNTIFS('LANÇAMENTOS DIÁRIOS'!$G$5:$G$500,"E",'LANÇAMENTOS DIÁRIOS'!$C$5:$C$500,$A54,'LANÇAMENTOS DIÁRIOS'!$O$5:$O$500,"&lt;=107399",'LANÇAMENTOS DIÁRIOS'!$P$5:$P$500,"&gt;=107300")&gt;0,"X","")</f>
      </c>
      <c r="U54" s="56" t="str">
        <f>IF(COUNTIFS('LANÇAMENTOS DIÁRIOS'!$G$5:$G$500,"E",'LANÇAMENTOS DIÁRIOS'!$C$5:$C$500,$A54,'LANÇAMENTOS DIÁRIOS'!$O$5:$O$500,"&lt;=107499",'LANÇAMENTOS DIÁRIOS'!$P$5:$P$500,"&gt;=107400")&gt;0,"X","")</f>
      </c>
      <c r="V54" s="56" t="str">
        <f>IF(COUNTIFS('LANÇAMENTOS DIÁRIOS'!$G$5:$G$500,"E",'LANÇAMENTOS DIÁRIOS'!$C$5:$C$500,$A54,'LANÇAMENTOS DIÁRIOS'!$O$5:$O$500,"&lt;=107599",'LANÇAMENTOS DIÁRIOS'!$P$5:$P$500,"&gt;=107500")&gt;0,"X","")</f>
      </c>
      <c r="W54" s="56" t="str">
        <f>IF(COUNTIFS('LANÇAMENTOS DIÁRIOS'!$G$5:$G$500,"E",'LANÇAMENTOS DIÁRIOS'!$C$5:$C$500,$A54,'LANÇAMENTOS DIÁRIOS'!$O$5:$O$500,"&lt;=107699",'LANÇAMENTOS DIÁRIOS'!$P$5:$P$500,"&gt;=107600")&gt;0,"X","")</f>
      </c>
      <c r="X54" s="56" t="str">
        <f>IF(COUNTIFS('LANÇAMENTOS DIÁRIOS'!$G$5:$G$500,"E",'LANÇAMENTOS DIÁRIOS'!$C$5:$C$500,$A54,'LANÇAMENTOS DIÁRIOS'!$O$5:$O$500,"&lt;=107799",'LANÇAMENTOS DIÁRIOS'!$P$5:$P$500,"&gt;=107700")&gt;0,"X","")</f>
      </c>
      <c r="Y54" s="56" t="str">
        <f>IF(COUNTIFS('LANÇAMENTOS DIÁRIOS'!$G$5:$G$500,"E",'LANÇAMENTOS DIÁRIOS'!$C$5:$C$500,$A54,'LANÇAMENTOS DIÁRIOS'!$O$5:$O$500,"&lt;=107899",'LANÇAMENTOS DIÁRIOS'!$P$5:$P$500,"&gt;=107800")&gt;0,"X","")</f>
      </c>
      <c r="Z54" s="56" t="str">
        <f>IF(COUNTIFS('LANÇAMENTOS DIÁRIOS'!$G$5:$G$500,"E",'LANÇAMENTOS DIÁRIOS'!$C$5:$C$500,$A54,'LANÇAMENTOS DIÁRIOS'!$O$5:$O$500,"&lt;=107999",'LANÇAMENTOS DIÁRIOS'!$P$5:$P$500,"&gt;=107900")&gt;0,"X","")</f>
      </c>
      <c r="AA54" s="56" t="str">
        <f>IF(COUNTIFS('LANÇAMENTOS DIÁRIOS'!$G$5:$G$500,"E",'LANÇAMENTOS DIÁRIOS'!$C$5:$C$500,$A54,'LANÇAMENTOS DIÁRIOS'!$O$5:$O$500,"&lt;=108099",'LANÇAMENTOS DIÁRIOS'!$P$5:$P$500,"&gt;=108000")&gt;0,"X","")</f>
      </c>
      <c r="AB54" s="56" t="str">
        <f>IF(COUNTIFS('LANÇAMENTOS DIÁRIOS'!$G$5:$G$500,"E",'LANÇAMENTOS DIÁRIOS'!$C$5:$C$500,$A54,'LANÇAMENTOS DIÁRIOS'!$O$5:$O$500,"&lt;=108199",'LANÇAMENTOS DIÁRIOS'!$P$5:$P$500,"&gt;=108100")&gt;0,"X","")</f>
      </c>
      <c r="AC54" s="56" t="str">
        <f>IF(COUNTIFS('LANÇAMENTOS DIÁRIOS'!$G$5:$G$500,"E",'LANÇAMENTOS DIÁRIOS'!$C$5:$C$500,$A54,'LANÇAMENTOS DIÁRIOS'!$O$5:$O$500,"&lt;=108299",'LANÇAMENTOS DIÁRIOS'!$P$5:$P$500,"&gt;=108200")&gt;0,"X","")</f>
      </c>
      <c r="AD54" s="56" t="str">
        <f>IF(COUNTIFS('LANÇAMENTOS DIÁRIOS'!$G$5:$G$500,"E",'LANÇAMENTOS DIÁRIOS'!$C$5:$C$500,$A54,'LANÇAMENTOS DIÁRIOS'!$O$5:$O$500,"&lt;=108399",'LANÇAMENTOS DIÁRIOS'!$P$5:$P$500,"&gt;=108300")&gt;0,"X","")</f>
      </c>
      <c r="AE54" s="56" t="str">
        <f>IF(COUNTIFS('LANÇAMENTOS DIÁRIOS'!$G$5:$G$500,"E",'LANÇAMENTOS DIÁRIOS'!$C$5:$C$500,$A54,'LANÇAMENTOS DIÁRIOS'!$O$5:$O$500,"&lt;=108499",'LANÇAMENTOS DIÁRIOS'!$P$5:$P$500,"&gt;=108400")&gt;0,"X","")</f>
      </c>
      <c r="AF54" s="56" t="str">
        <f>IF(COUNTIFS('LANÇAMENTOS DIÁRIOS'!$G$5:$G$500,"E",'LANÇAMENTOS DIÁRIOS'!$C$5:$C$500,$A54,'LANÇAMENTOS DIÁRIOS'!$O$5:$O$500,"&lt;=108599",'LANÇAMENTOS DIÁRIOS'!$P$5:$P$500,"&gt;=108500")&gt;0,"X","")</f>
      </c>
      <c r="AG54" s="56" t="str">
        <f>IF(COUNTIFS('LANÇAMENTOS DIÁRIOS'!$G$5:$G$500,"E",'LANÇAMENTOS DIÁRIOS'!$C$5:$C$500,$A54,'LANÇAMENTOS DIÁRIOS'!$O$5:$O$500,"&lt;=108699",'LANÇAMENTOS DIÁRIOS'!$P$5:$P$500,"&gt;=108600")&gt;0,"X","")</f>
      </c>
      <c r="AH54" s="56" t="str">
        <f>IF(COUNTIFS('LANÇAMENTOS DIÁRIOS'!$G$5:$G$500,"E",'LANÇAMENTOS DIÁRIOS'!$C$5:$C$500,$A54,'LANÇAMENTOS DIÁRIOS'!$O$5:$O$500,"&lt;=108799",'LANÇAMENTOS DIÁRIOS'!$P$5:$P$500,"&gt;=108700")&gt;0,"X","")</f>
      </c>
      <c r="AI54" s="56" t="str">
        <f>IF(COUNTIFS('LANÇAMENTOS DIÁRIOS'!$G$5:$G$500,"E",'LANÇAMENTOS DIÁRIOS'!$C$5:$C$500,$A54,'LANÇAMENTOS DIÁRIOS'!$O$5:$O$500,"&lt;=108899",'LANÇAMENTOS DIÁRIOS'!$P$5:$P$500,"&gt;=108800")&gt;0,"X","")</f>
      </c>
      <c r="AJ54" s="56" t="str">
        <f>IF(COUNTIFS('LANÇAMENTOS DIÁRIOS'!$G$5:$G$500,"E",'LANÇAMENTOS DIÁRIOS'!$C$5:$C$500,$A54,'LANÇAMENTOS DIÁRIOS'!$O$5:$O$500,"&lt;=108999",'LANÇAMENTOS DIÁRIOS'!$P$5:$P$500,"&gt;=108900")&gt;0,"X","")</f>
      </c>
      <c r="AK54" s="56" t="str">
        <f>IF(COUNTIFS('LANÇAMENTOS DIÁRIOS'!$G$5:$G$500,"E",'LANÇAMENTOS DIÁRIOS'!$C$5:$C$500,$A54,'LANÇAMENTOS DIÁRIOS'!$O$5:$O$500,"&lt;=109099",'LANÇAMENTOS DIÁRIOS'!$P$5:$P$500,"&gt;=109000")&gt;0,"X","")</f>
      </c>
      <c r="AL54" s="56" t="str">
        <f>IF(COUNTIFS('LANÇAMENTOS DIÁRIOS'!$G$5:$G$500,"E",'LANÇAMENTOS DIÁRIOS'!$C$5:$C$500,$A54,'LANÇAMENTOS DIÁRIOS'!$O$5:$O$500,"&lt;=109199",'LANÇAMENTOS DIÁRIOS'!$P$5:$P$500,"&gt;=109100")&gt;0,"X","")</f>
      </c>
      <c r="AM54" s="56" t="str">
        <f>IF(COUNTIFS('LANÇAMENTOS DIÁRIOS'!$G$5:$G$500,"E",'LANÇAMENTOS DIÁRIOS'!$C$5:$C$500,$A54,'LANÇAMENTOS DIÁRIOS'!$O$5:$O$500,"&lt;=109299",'LANÇAMENTOS DIÁRIOS'!$P$5:$P$500,"&gt;=109200")&gt;0,"X","")</f>
      </c>
      <c r="AN54" s="56" t="str">
        <f>IF(COUNTIFS('LANÇAMENTOS DIÁRIOS'!$G$5:$G$500,"E",'LANÇAMENTOS DIÁRIOS'!$C$5:$C$500,$A54,'LANÇAMENTOS DIÁRIOS'!$O$5:$O$500,"&lt;=109399",'LANÇAMENTOS DIÁRIOS'!$P$5:$P$500,"&gt;=109300")&gt;0,"X","")</f>
      </c>
      <c r="AO54" s="56" t="str">
        <f>IF(COUNTIFS('LANÇAMENTOS DIÁRIOS'!$G$5:$G$500,"E",'LANÇAMENTOS DIÁRIOS'!$C$5:$C$500,$A54,'LANÇAMENTOS DIÁRIOS'!$O$5:$O$500,"&lt;=109499",'LANÇAMENTOS DIÁRIOS'!$P$5:$P$500,"&gt;=109400")&gt;0,"X","")</f>
      </c>
      <c r="AP54" s="56" t="str">
        <f>IF(COUNTIFS('LANÇAMENTOS DIÁRIOS'!$G$5:$G$500,"E",'LANÇAMENTOS DIÁRIOS'!$C$5:$C$500,$A54,'LANÇAMENTOS DIÁRIOS'!$O$5:$O$500,"&lt;=109599",'LANÇAMENTOS DIÁRIOS'!$P$5:$P$500,"&gt;=109500")&gt;0,"X","")</f>
      </c>
      <c r="AQ54" s="56" t="str">
        <f>IF(COUNTIFS('LANÇAMENTOS DIÁRIOS'!$G$5:$G$500,"E",'LANÇAMENTOS DIÁRIOS'!$C$5:$C$500,$A54,'LANÇAMENTOS DIÁRIOS'!$O$5:$O$500,"&lt;=109699",'LANÇAMENTOS DIÁRIOS'!$P$5:$P$500,"&gt;=109600")&gt;0,"X","")</f>
      </c>
      <c r="AR54" s="56" t="str">
        <f>IF(COUNTIFS('LANÇAMENTOS DIÁRIOS'!$G$5:$G$500,"E",'LANÇAMENTOS DIÁRIOS'!$C$5:$C$500,$A54,'LANÇAMENTOS DIÁRIOS'!$O$5:$O$500,"&lt;=109799",'LANÇAMENTOS DIÁRIOS'!$P$5:$P$500,"&gt;=109700")&gt;0,"X","")</f>
      </c>
      <c r="AS54" s="56" t="str">
        <f>IF(COUNTIFS('LANÇAMENTOS DIÁRIOS'!$G$5:$G$500,"E",'LANÇAMENTOS DIÁRIOS'!$C$5:$C$500,$A54,'LANÇAMENTOS DIÁRIOS'!$O$5:$O$500,"&lt;=109899",'LANÇAMENTOS DIÁRIOS'!$P$5:$P$500,"&gt;=109800")&gt;0,"X","")</f>
      </c>
      <c r="AT54" s="56" t="str">
        <f>IF(COUNTIFS('LANÇAMENTOS DIÁRIOS'!$G$5:$G$500,"E",'LANÇAMENTOS DIÁRIOS'!$C$5:$C$500,$A54,'LANÇAMENTOS DIÁRIOS'!$O$5:$O$500,"&lt;=109999",'LANÇAMENTOS DIÁRIOS'!$P$5:$P$500,"&gt;=109900")&gt;0,"X","")</f>
      </c>
      <c r="AU54" s="56" t="str">
        <f>IF(COUNTIFS('LANÇAMENTOS DIÁRIOS'!$G$5:$G$500,"E",'LANÇAMENTOS DIÁRIOS'!$C$5:$C$500,$A54,'LANÇAMENTOS DIÁRIOS'!$O$5:$O$500,"&lt;=110099",'LANÇAMENTOS DIÁRIOS'!$P$5:$P$500,"&gt;=110000")&gt;0,"X","")</f>
      </c>
      <c r="AV54" s="56" t="str">
        <f>IF(COUNTIFS('LANÇAMENTOS DIÁRIOS'!$G$5:$G$500,"E",'LANÇAMENTOS DIÁRIOS'!$C$5:$C$500,$A54,'LANÇAMENTOS DIÁRIOS'!$O$5:$O$500,"&lt;=110199",'LANÇAMENTOS DIÁRIOS'!$P$5:$P$500,"&gt;=110100")&gt;0,"X","")</f>
      </c>
      <c r="AW54" s="56" t="str">
        <f>IF(COUNTIFS('LANÇAMENTOS DIÁRIOS'!$G$5:$G$500,"E",'LANÇAMENTOS DIÁRIOS'!$C$5:$C$500,$A54,'LANÇAMENTOS DIÁRIOS'!$O$5:$O$500,"&lt;=110299",'LANÇAMENTOS DIÁRIOS'!$P$5:$P$500,"&gt;=110200")&gt;0,"X","")</f>
      </c>
      <c r="AX54" s="56" t="str">
        <f>IF(COUNTIFS('LANÇAMENTOS DIÁRIOS'!$G$5:$G$500,"E",'LANÇAMENTOS DIÁRIOS'!$C$5:$C$500,$A54,'LANÇAMENTOS DIÁRIOS'!$O$5:$O$500,"&lt;=110399",'LANÇAMENTOS DIÁRIOS'!$P$5:$P$500,"&gt;=110300")&gt;0,"X","")</f>
      </c>
      <c r="AY54" s="56" t="str">
        <f>IF(COUNTIFS('LANÇAMENTOS DIÁRIOS'!$G$5:$G$500,"E",'LANÇAMENTOS DIÁRIOS'!$C$5:$C$500,$A54,'LANÇAMENTOS DIÁRIOS'!$O$5:$O$500,"&lt;=110499",'LANÇAMENTOS DIÁRIOS'!$P$5:$P$500,"&gt;=110400")&gt;0,"X","")</f>
      </c>
      <c r="AZ54" s="56" t="str">
        <f>IF(COUNTIFS('LANÇAMENTOS DIÁRIOS'!$G$5:$G$500,"E",'LANÇAMENTOS DIÁRIOS'!$C$5:$C$500,$A54,'LANÇAMENTOS DIÁRIOS'!$O$5:$O$500,"&lt;=110599",'LANÇAMENTOS DIÁRIOS'!$P$5:$P$500,"&gt;=110500")&gt;0,"X","")</f>
      </c>
      <c r="BA54" s="56" t="str">
        <f>IF(COUNTIFS('LANÇAMENTOS DIÁRIOS'!$G$5:$G$500,"E",'LANÇAMENTOS DIÁRIOS'!$C$5:$C$500,$A54,'LANÇAMENTOS DIÁRIOS'!$O$5:$O$500,"&lt;=110699",'LANÇAMENTOS DIÁRIOS'!$P$5:$P$500,"&gt;=110600")&gt;0,"X","")</f>
      </c>
      <c r="BB54" s="56" t="str">
        <f>IF(COUNTIFS('LANÇAMENTOS DIÁRIOS'!$G$5:$G$500,"E",'LANÇAMENTOS DIÁRIOS'!$C$5:$C$500,$A54,'LANÇAMENTOS DIÁRIOS'!$O$5:$O$500,"&lt;=110799",'LANÇAMENTOS DIÁRIOS'!$P$5:$P$500,"&gt;=110700")&gt;0,"X","")</f>
      </c>
      <c r="BC54" s="56" t="str">
        <f>IF(COUNTIFS('LANÇAMENTOS DIÁRIOS'!$G$5:$G$500,"E",'LANÇAMENTOS DIÁRIOS'!$C$5:$C$500,$A54,'LANÇAMENTOS DIÁRIOS'!$O$5:$O$500,"&lt;=110899",'LANÇAMENTOS DIÁRIOS'!$P$5:$P$500,"&gt;=110800")&gt;0,"X","")</f>
      </c>
      <c r="BD54" s="56" t="str">
        <f>IF(COUNTIFS('LANÇAMENTOS DIÁRIOS'!$G$5:$G$500,"E",'LANÇAMENTOS DIÁRIOS'!$C$5:$C$500,$A54,'LANÇAMENTOS DIÁRIOS'!$O$5:$O$500,"&lt;=110999",'LANÇAMENTOS DIÁRIOS'!$P$5:$P$500,"&gt;=110900")&gt;0,"X","")</f>
      </c>
      <c r="BE54" s="56" t="str">
        <f>IF(COUNTIFS('LANÇAMENTOS DIÁRIOS'!$G$5:$G$500,"E",'LANÇAMENTOS DIÁRIOS'!$C$5:$C$500,$A54,'LANÇAMENTOS DIÁRIOS'!$O$5:$O$500,"&lt;=111099",'LANÇAMENTOS DIÁRIOS'!$P$5:$P$500,"&gt;=111000")&gt;0,"X","")</f>
      </c>
      <c r="BF54" s="56" t="str">
        <f>IF(COUNTIFS('LANÇAMENTOS DIÁRIOS'!$G$5:$G$500,"E",'LANÇAMENTOS DIÁRIOS'!$C$5:$C$500,$A54,'LANÇAMENTOS DIÁRIOS'!$O$5:$O$500,"&lt;=111199",'LANÇAMENTOS DIÁRIOS'!$P$5:$P$500,"&gt;=111100")&gt;0,"X","")</f>
      </c>
      <c r="BG54" s="56" t="str">
        <f>IF(COUNTIFS('LANÇAMENTOS DIÁRIOS'!$G$5:$G$500,"E",'LANÇAMENTOS DIÁRIOS'!$C$5:$C$500,$A54,'LANÇAMENTOS DIÁRIOS'!$O$5:$O$500,"&lt;=111299",'LANÇAMENTOS DIÁRIOS'!$P$5:$P$500,"&gt;=111200")&gt;0,"X","")</f>
      </c>
      <c r="BH54" s="56" t="str">
        <f>IF(COUNTIFS('LANÇAMENTOS DIÁRIOS'!$G$5:$G$500,"E",'LANÇAMENTOS DIÁRIOS'!$C$5:$C$500,$A54,'LANÇAMENTOS DIÁRIOS'!$O$5:$O$500,"&lt;=111399",'LANÇAMENTOS DIÁRIOS'!$P$5:$P$500,"&gt;=111300")&gt;0,"X","")</f>
      </c>
      <c r="BI54" s="56" t="str">
        <f>IF(COUNTIFS('LANÇAMENTOS DIÁRIOS'!$G$5:$G$500,"E",'LANÇAMENTOS DIÁRIOS'!$C$5:$C$500,$A54,'LANÇAMENTOS DIÁRIOS'!$O$5:$O$500,"&lt;=111499",'LANÇAMENTOS DIÁRIOS'!$P$5:$P$500,"&gt;=111400")&gt;0,"X","")</f>
      </c>
      <c r="BJ54" s="56" t="str">
        <f>IF(COUNTIFS('LANÇAMENTOS DIÁRIOS'!$G$5:$G$500,"E",'LANÇAMENTOS DIÁRIOS'!$C$5:$C$500,$A54,'LANÇAMENTOS DIÁRIOS'!$O$5:$O$500,"&lt;=111500",'LANÇAMENTOS DIÁRIOS'!$P$5:$P$500,"&gt;=111500")&gt;0,"X","")</f>
      </c>
    </row>
    <row r="55">
      <c r="A55" s="51" t="str">
        <v>Camada drenante Brita 3/4" a 1 1/2"</v>
      </c>
      <c r="B55" s="56" t="str">
        <f>IF(COUNTIFS('LANÇAMENTOS DIÁRIOS'!$G$5:$G$500,"E",'LANÇAMENTOS DIÁRIOS'!$C$5:$C$500,$A55,'LANÇAMENTOS DIÁRIOS'!$O$5:$O$500,"&lt;=105599",'LANÇAMENTOS DIÁRIOS'!$P$5:$P$500,"&gt;=105500")&gt;0,"X","")</f>
      </c>
      <c r="C55" s="56" t="str">
        <f>IF(COUNTIFS('LANÇAMENTOS DIÁRIOS'!$G$5:$G$500,"E",'LANÇAMENTOS DIÁRIOS'!$C$5:$C$500,$A55,'LANÇAMENTOS DIÁRIOS'!$O$5:$O$500,"&lt;=105699",'LANÇAMENTOS DIÁRIOS'!$P$5:$P$500,"&gt;=105600")&gt;0,"X","")</f>
      </c>
      <c r="D55" s="56" t="str">
        <f>IF(COUNTIFS('LANÇAMENTOS DIÁRIOS'!$G$5:$G$500,"E",'LANÇAMENTOS DIÁRIOS'!$C$5:$C$500,$A55,'LANÇAMENTOS DIÁRIOS'!$O$5:$O$500,"&lt;=105799",'LANÇAMENTOS DIÁRIOS'!$P$5:$P$500,"&gt;=105700")&gt;0,"X","")</f>
      </c>
      <c r="E55" s="56" t="str">
        <f>IF(COUNTIFS('LANÇAMENTOS DIÁRIOS'!$G$5:$G$500,"E",'LANÇAMENTOS DIÁRIOS'!$C$5:$C$500,$A55,'LANÇAMENTOS DIÁRIOS'!$O$5:$O$500,"&lt;=105899",'LANÇAMENTOS DIÁRIOS'!$P$5:$P$500,"&gt;=105800")&gt;0,"X","")</f>
      </c>
      <c r="F55" s="56" t="str">
        <f>IF(COUNTIFS('LANÇAMENTOS DIÁRIOS'!$G$5:$G$500,"E",'LANÇAMENTOS DIÁRIOS'!$C$5:$C$500,$A55,'LANÇAMENTOS DIÁRIOS'!$O$5:$O$500,"&lt;=105999",'LANÇAMENTOS DIÁRIOS'!$P$5:$P$500,"&gt;=105900")&gt;0,"X","")</f>
      </c>
      <c r="G55" s="56" t="str">
        <f>IF(COUNTIFS('LANÇAMENTOS DIÁRIOS'!$G$5:$G$500,"E",'LANÇAMENTOS DIÁRIOS'!$C$5:$C$500,$A55,'LANÇAMENTOS DIÁRIOS'!$O$5:$O$500,"&lt;=106099",'LANÇAMENTOS DIÁRIOS'!$P$5:$P$500,"&gt;=106000")&gt;0,"X","")</f>
      </c>
      <c r="H55" s="56" t="str">
        <f>IF(COUNTIFS('LANÇAMENTOS DIÁRIOS'!$G$5:$G$500,"E",'LANÇAMENTOS DIÁRIOS'!$C$5:$C$500,$A55,'LANÇAMENTOS DIÁRIOS'!$O$5:$O$500,"&lt;=106199",'LANÇAMENTOS DIÁRIOS'!$P$5:$P$500,"&gt;=106100")&gt;0,"X","")</f>
      </c>
      <c r="I55" s="56" t="str">
        <f>IF(COUNTIFS('LANÇAMENTOS DIÁRIOS'!$G$5:$G$500,"E",'LANÇAMENTOS DIÁRIOS'!$C$5:$C$500,$A55,'LANÇAMENTOS DIÁRIOS'!$O$5:$O$500,"&lt;=106299",'LANÇAMENTOS DIÁRIOS'!$P$5:$P$500,"&gt;=106200")&gt;0,"X","")</f>
      </c>
      <c r="J55" s="56" t="str">
        <f>IF(COUNTIFS('LANÇAMENTOS DIÁRIOS'!$G$5:$G$500,"E",'LANÇAMENTOS DIÁRIOS'!$C$5:$C$500,$A55,'LANÇAMENTOS DIÁRIOS'!$O$5:$O$500,"&lt;=106399",'LANÇAMENTOS DIÁRIOS'!$P$5:$P$500,"&gt;=106300")&gt;0,"X","")</f>
      </c>
      <c r="K55" s="56" t="str">
        <f>IF(COUNTIFS('LANÇAMENTOS DIÁRIOS'!$G$5:$G$500,"E",'LANÇAMENTOS DIÁRIOS'!$C$5:$C$500,$A55,'LANÇAMENTOS DIÁRIOS'!$O$5:$O$500,"&lt;=106499",'LANÇAMENTOS DIÁRIOS'!$P$5:$P$500,"&gt;=106400")&gt;0,"X","")</f>
      </c>
      <c r="L55" s="56" t="str">
        <f>IF(COUNTIFS('LANÇAMENTOS DIÁRIOS'!$G$5:$G$500,"E",'LANÇAMENTOS DIÁRIOS'!$C$5:$C$500,$A55,'LANÇAMENTOS DIÁRIOS'!$O$5:$O$500,"&lt;=106599",'LANÇAMENTOS DIÁRIOS'!$P$5:$P$500,"&gt;=106500")&gt;0,"X","")</f>
      </c>
      <c r="M55" s="56" t="str">
        <f>IF(COUNTIFS('LANÇAMENTOS DIÁRIOS'!$G$5:$G$500,"E",'LANÇAMENTOS DIÁRIOS'!$C$5:$C$500,$A55,'LANÇAMENTOS DIÁRIOS'!$O$5:$O$500,"&lt;=106699",'LANÇAMENTOS DIÁRIOS'!$P$5:$P$500,"&gt;=106600")&gt;0,"X","")</f>
      </c>
      <c r="N55" s="56" t="str">
        <f>IF(COUNTIFS('LANÇAMENTOS DIÁRIOS'!$G$5:$G$500,"E",'LANÇAMENTOS DIÁRIOS'!$C$5:$C$500,$A55,'LANÇAMENTOS DIÁRIOS'!$O$5:$O$500,"&lt;=106799",'LANÇAMENTOS DIÁRIOS'!$P$5:$P$500,"&gt;=106700")&gt;0,"X","")</f>
      </c>
      <c r="O55" s="56" t="str">
        <f>IF(COUNTIFS('LANÇAMENTOS DIÁRIOS'!$G$5:$G$500,"E",'LANÇAMENTOS DIÁRIOS'!$C$5:$C$500,$A55,'LANÇAMENTOS DIÁRIOS'!$O$5:$O$500,"&lt;=106899",'LANÇAMENTOS DIÁRIOS'!$P$5:$P$500,"&gt;=106800")&gt;0,"X","")</f>
      </c>
      <c r="P55" s="56" t="str">
        <f>IF(COUNTIFS('LANÇAMENTOS DIÁRIOS'!$G$5:$G$500,"E",'LANÇAMENTOS DIÁRIOS'!$C$5:$C$500,$A55,'LANÇAMENTOS DIÁRIOS'!$O$5:$O$500,"&lt;=106999",'LANÇAMENTOS DIÁRIOS'!$P$5:$P$500,"&gt;=106900")&gt;0,"X","")</f>
      </c>
      <c r="Q55" s="56" t="str">
        <f>IF(COUNTIFS('LANÇAMENTOS DIÁRIOS'!$G$5:$G$500,"E",'LANÇAMENTOS DIÁRIOS'!$C$5:$C$500,$A55,'LANÇAMENTOS DIÁRIOS'!$O$5:$O$500,"&lt;=107099",'LANÇAMENTOS DIÁRIOS'!$P$5:$P$500,"&gt;=107000")&gt;0,"X","")</f>
      </c>
      <c r="R55" s="56" t="str">
        <f>IF(COUNTIFS('LANÇAMENTOS DIÁRIOS'!$G$5:$G$500,"E",'LANÇAMENTOS DIÁRIOS'!$C$5:$C$500,$A55,'LANÇAMENTOS DIÁRIOS'!$O$5:$O$500,"&lt;=107199",'LANÇAMENTOS DIÁRIOS'!$P$5:$P$500,"&gt;=107100")&gt;0,"X","")</f>
      </c>
      <c r="S55" s="56" t="str">
        <f>IF(COUNTIFS('LANÇAMENTOS DIÁRIOS'!$G$5:$G$500,"E",'LANÇAMENTOS DIÁRIOS'!$C$5:$C$500,$A55,'LANÇAMENTOS DIÁRIOS'!$O$5:$O$500,"&lt;=107299",'LANÇAMENTOS DIÁRIOS'!$P$5:$P$500,"&gt;=107200")&gt;0,"X","")</f>
      </c>
      <c r="T55" s="56" t="str">
        <f>IF(COUNTIFS('LANÇAMENTOS DIÁRIOS'!$G$5:$G$500,"E",'LANÇAMENTOS DIÁRIOS'!$C$5:$C$500,$A55,'LANÇAMENTOS DIÁRIOS'!$O$5:$O$500,"&lt;=107399",'LANÇAMENTOS DIÁRIOS'!$P$5:$P$500,"&gt;=107300")&gt;0,"X","")</f>
      </c>
      <c r="U55" s="56" t="str">
        <f>IF(COUNTIFS('LANÇAMENTOS DIÁRIOS'!$G$5:$G$500,"E",'LANÇAMENTOS DIÁRIOS'!$C$5:$C$500,$A55,'LANÇAMENTOS DIÁRIOS'!$O$5:$O$500,"&lt;=107499",'LANÇAMENTOS DIÁRIOS'!$P$5:$P$500,"&gt;=107400")&gt;0,"X","")</f>
      </c>
      <c r="V55" s="56" t="str">
        <f>IF(COUNTIFS('LANÇAMENTOS DIÁRIOS'!$G$5:$G$500,"E",'LANÇAMENTOS DIÁRIOS'!$C$5:$C$500,$A55,'LANÇAMENTOS DIÁRIOS'!$O$5:$O$500,"&lt;=107599",'LANÇAMENTOS DIÁRIOS'!$P$5:$P$500,"&gt;=107500")&gt;0,"X","")</f>
      </c>
      <c r="W55" s="56" t="str">
        <f>IF(COUNTIFS('LANÇAMENTOS DIÁRIOS'!$G$5:$G$500,"E",'LANÇAMENTOS DIÁRIOS'!$C$5:$C$500,$A55,'LANÇAMENTOS DIÁRIOS'!$O$5:$O$500,"&lt;=107699",'LANÇAMENTOS DIÁRIOS'!$P$5:$P$500,"&gt;=107600")&gt;0,"X","")</f>
      </c>
      <c r="X55" s="56" t="str">
        <f>IF(COUNTIFS('LANÇAMENTOS DIÁRIOS'!$G$5:$G$500,"E",'LANÇAMENTOS DIÁRIOS'!$C$5:$C$500,$A55,'LANÇAMENTOS DIÁRIOS'!$O$5:$O$500,"&lt;=107799",'LANÇAMENTOS DIÁRIOS'!$P$5:$P$500,"&gt;=107700")&gt;0,"X","")</f>
      </c>
      <c r="Y55" s="56" t="str">
        <f>IF(COUNTIFS('LANÇAMENTOS DIÁRIOS'!$G$5:$G$500,"E",'LANÇAMENTOS DIÁRIOS'!$C$5:$C$500,$A55,'LANÇAMENTOS DIÁRIOS'!$O$5:$O$500,"&lt;=107899",'LANÇAMENTOS DIÁRIOS'!$P$5:$P$500,"&gt;=107800")&gt;0,"X","")</f>
      </c>
      <c r="Z55" s="56" t="str">
        <f>IF(COUNTIFS('LANÇAMENTOS DIÁRIOS'!$G$5:$G$500,"E",'LANÇAMENTOS DIÁRIOS'!$C$5:$C$500,$A55,'LANÇAMENTOS DIÁRIOS'!$O$5:$O$500,"&lt;=107999",'LANÇAMENTOS DIÁRIOS'!$P$5:$P$500,"&gt;=107900")&gt;0,"X","")</f>
      </c>
      <c r="AA55" s="56" t="str">
        <f>IF(COUNTIFS('LANÇAMENTOS DIÁRIOS'!$G$5:$G$500,"E",'LANÇAMENTOS DIÁRIOS'!$C$5:$C$500,$A55,'LANÇAMENTOS DIÁRIOS'!$O$5:$O$500,"&lt;=108099",'LANÇAMENTOS DIÁRIOS'!$P$5:$P$500,"&gt;=108000")&gt;0,"X","")</f>
      </c>
      <c r="AB55" s="56" t="str">
        <f>IF(COUNTIFS('LANÇAMENTOS DIÁRIOS'!$G$5:$G$500,"E",'LANÇAMENTOS DIÁRIOS'!$C$5:$C$500,$A55,'LANÇAMENTOS DIÁRIOS'!$O$5:$O$500,"&lt;=108199",'LANÇAMENTOS DIÁRIOS'!$P$5:$P$500,"&gt;=108100")&gt;0,"X","")</f>
      </c>
      <c r="AC55" s="56" t="str">
        <f>IF(COUNTIFS('LANÇAMENTOS DIÁRIOS'!$G$5:$G$500,"E",'LANÇAMENTOS DIÁRIOS'!$C$5:$C$500,$A55,'LANÇAMENTOS DIÁRIOS'!$O$5:$O$500,"&lt;=108299",'LANÇAMENTOS DIÁRIOS'!$P$5:$P$500,"&gt;=108200")&gt;0,"X","")</f>
      </c>
      <c r="AD55" s="56" t="str">
        <f>IF(COUNTIFS('LANÇAMENTOS DIÁRIOS'!$G$5:$G$500,"E",'LANÇAMENTOS DIÁRIOS'!$C$5:$C$500,$A55,'LANÇAMENTOS DIÁRIOS'!$O$5:$O$500,"&lt;=108399",'LANÇAMENTOS DIÁRIOS'!$P$5:$P$500,"&gt;=108300")&gt;0,"X","")</f>
      </c>
      <c r="AE55" s="56" t="str">
        <f>IF(COUNTIFS('LANÇAMENTOS DIÁRIOS'!$G$5:$G$500,"E",'LANÇAMENTOS DIÁRIOS'!$C$5:$C$500,$A55,'LANÇAMENTOS DIÁRIOS'!$O$5:$O$500,"&lt;=108499",'LANÇAMENTOS DIÁRIOS'!$P$5:$P$500,"&gt;=108400")&gt;0,"X","")</f>
      </c>
      <c r="AF55" s="56" t="str">
        <f>IF(COUNTIFS('LANÇAMENTOS DIÁRIOS'!$G$5:$G$500,"E",'LANÇAMENTOS DIÁRIOS'!$C$5:$C$500,$A55,'LANÇAMENTOS DIÁRIOS'!$O$5:$O$500,"&lt;=108599",'LANÇAMENTOS DIÁRIOS'!$P$5:$P$500,"&gt;=108500")&gt;0,"X","")</f>
      </c>
      <c r="AG55" s="56" t="str">
        <f>IF(COUNTIFS('LANÇAMENTOS DIÁRIOS'!$G$5:$G$500,"E",'LANÇAMENTOS DIÁRIOS'!$C$5:$C$500,$A55,'LANÇAMENTOS DIÁRIOS'!$O$5:$O$500,"&lt;=108699",'LANÇAMENTOS DIÁRIOS'!$P$5:$P$500,"&gt;=108600")&gt;0,"X","")</f>
      </c>
      <c r="AH55" s="56" t="str">
        <f>IF(COUNTIFS('LANÇAMENTOS DIÁRIOS'!$G$5:$G$500,"E",'LANÇAMENTOS DIÁRIOS'!$C$5:$C$500,$A55,'LANÇAMENTOS DIÁRIOS'!$O$5:$O$500,"&lt;=108799",'LANÇAMENTOS DIÁRIOS'!$P$5:$P$500,"&gt;=108700")&gt;0,"X","")</f>
      </c>
      <c r="AI55" s="56" t="str">
        <f>IF(COUNTIFS('LANÇAMENTOS DIÁRIOS'!$G$5:$G$500,"E",'LANÇAMENTOS DIÁRIOS'!$C$5:$C$500,$A55,'LANÇAMENTOS DIÁRIOS'!$O$5:$O$500,"&lt;=108899",'LANÇAMENTOS DIÁRIOS'!$P$5:$P$500,"&gt;=108800")&gt;0,"X","")</f>
      </c>
      <c r="AJ55" s="56" t="str">
        <f>IF(COUNTIFS('LANÇAMENTOS DIÁRIOS'!$G$5:$G$500,"E",'LANÇAMENTOS DIÁRIOS'!$C$5:$C$500,$A55,'LANÇAMENTOS DIÁRIOS'!$O$5:$O$500,"&lt;=108999",'LANÇAMENTOS DIÁRIOS'!$P$5:$P$500,"&gt;=108900")&gt;0,"X","")</f>
      </c>
      <c r="AK55" s="56" t="str">
        <f>IF(COUNTIFS('LANÇAMENTOS DIÁRIOS'!$G$5:$G$500,"E",'LANÇAMENTOS DIÁRIOS'!$C$5:$C$500,$A55,'LANÇAMENTOS DIÁRIOS'!$O$5:$O$500,"&lt;=109099",'LANÇAMENTOS DIÁRIOS'!$P$5:$P$500,"&gt;=109000")&gt;0,"X","")</f>
      </c>
      <c r="AL55" s="56" t="str">
        <f>IF(COUNTIFS('LANÇAMENTOS DIÁRIOS'!$G$5:$G$500,"E",'LANÇAMENTOS DIÁRIOS'!$C$5:$C$500,$A55,'LANÇAMENTOS DIÁRIOS'!$O$5:$O$500,"&lt;=109199",'LANÇAMENTOS DIÁRIOS'!$P$5:$P$500,"&gt;=109100")&gt;0,"X","")</f>
      </c>
      <c r="AM55" s="56" t="str">
        <f>IF(COUNTIFS('LANÇAMENTOS DIÁRIOS'!$G$5:$G$500,"E",'LANÇAMENTOS DIÁRIOS'!$C$5:$C$500,$A55,'LANÇAMENTOS DIÁRIOS'!$O$5:$O$500,"&lt;=109299",'LANÇAMENTOS DIÁRIOS'!$P$5:$P$500,"&gt;=109200")&gt;0,"X","")</f>
      </c>
      <c r="AN55" s="56" t="str">
        <f>IF(COUNTIFS('LANÇAMENTOS DIÁRIOS'!$G$5:$G$500,"E",'LANÇAMENTOS DIÁRIOS'!$C$5:$C$500,$A55,'LANÇAMENTOS DIÁRIOS'!$O$5:$O$500,"&lt;=109399",'LANÇAMENTOS DIÁRIOS'!$P$5:$P$500,"&gt;=109300")&gt;0,"X","")</f>
      </c>
      <c r="AO55" s="56" t="str">
        <f>IF(COUNTIFS('LANÇAMENTOS DIÁRIOS'!$G$5:$G$500,"E",'LANÇAMENTOS DIÁRIOS'!$C$5:$C$500,$A55,'LANÇAMENTOS DIÁRIOS'!$O$5:$O$500,"&lt;=109499",'LANÇAMENTOS DIÁRIOS'!$P$5:$P$500,"&gt;=109400")&gt;0,"X","")</f>
      </c>
      <c r="AP55" s="56" t="str">
        <f>IF(COUNTIFS('LANÇAMENTOS DIÁRIOS'!$G$5:$G$500,"E",'LANÇAMENTOS DIÁRIOS'!$C$5:$C$500,$A55,'LANÇAMENTOS DIÁRIOS'!$O$5:$O$500,"&lt;=109599",'LANÇAMENTOS DIÁRIOS'!$P$5:$P$500,"&gt;=109500")&gt;0,"X","")</f>
      </c>
      <c r="AQ55" s="56" t="str">
        <f>IF(COUNTIFS('LANÇAMENTOS DIÁRIOS'!$G$5:$G$500,"E",'LANÇAMENTOS DIÁRIOS'!$C$5:$C$500,$A55,'LANÇAMENTOS DIÁRIOS'!$O$5:$O$500,"&lt;=109699",'LANÇAMENTOS DIÁRIOS'!$P$5:$P$500,"&gt;=109600")&gt;0,"X","")</f>
      </c>
      <c r="AR55" s="56" t="str">
        <f>IF(COUNTIFS('LANÇAMENTOS DIÁRIOS'!$G$5:$G$500,"E",'LANÇAMENTOS DIÁRIOS'!$C$5:$C$500,$A55,'LANÇAMENTOS DIÁRIOS'!$O$5:$O$500,"&lt;=109799",'LANÇAMENTOS DIÁRIOS'!$P$5:$P$500,"&gt;=109700")&gt;0,"X","")</f>
      </c>
      <c r="AS55" s="56" t="str">
        <f>IF(COUNTIFS('LANÇAMENTOS DIÁRIOS'!$G$5:$G$500,"E",'LANÇAMENTOS DIÁRIOS'!$C$5:$C$500,$A55,'LANÇAMENTOS DIÁRIOS'!$O$5:$O$500,"&lt;=109899",'LANÇAMENTOS DIÁRIOS'!$P$5:$P$500,"&gt;=109800")&gt;0,"X","")</f>
      </c>
      <c r="AT55" s="56" t="str">
        <f>IF(COUNTIFS('LANÇAMENTOS DIÁRIOS'!$G$5:$G$500,"E",'LANÇAMENTOS DIÁRIOS'!$C$5:$C$500,$A55,'LANÇAMENTOS DIÁRIOS'!$O$5:$O$500,"&lt;=109999",'LANÇAMENTOS DIÁRIOS'!$P$5:$P$500,"&gt;=109900")&gt;0,"X","")</f>
      </c>
      <c r="AU55" s="56" t="str">
        <f>IF(COUNTIFS('LANÇAMENTOS DIÁRIOS'!$G$5:$G$500,"E",'LANÇAMENTOS DIÁRIOS'!$C$5:$C$500,$A55,'LANÇAMENTOS DIÁRIOS'!$O$5:$O$500,"&lt;=110099",'LANÇAMENTOS DIÁRIOS'!$P$5:$P$500,"&gt;=110000")&gt;0,"X","")</f>
      </c>
      <c r="AV55" s="56" t="str">
        <f>IF(COUNTIFS('LANÇAMENTOS DIÁRIOS'!$G$5:$G$500,"E",'LANÇAMENTOS DIÁRIOS'!$C$5:$C$500,$A55,'LANÇAMENTOS DIÁRIOS'!$O$5:$O$500,"&lt;=110199",'LANÇAMENTOS DIÁRIOS'!$P$5:$P$500,"&gt;=110100")&gt;0,"X","")</f>
      </c>
      <c r="AW55" s="56" t="str">
        <f>IF(COUNTIFS('LANÇAMENTOS DIÁRIOS'!$G$5:$G$500,"E",'LANÇAMENTOS DIÁRIOS'!$C$5:$C$500,$A55,'LANÇAMENTOS DIÁRIOS'!$O$5:$O$500,"&lt;=110299",'LANÇAMENTOS DIÁRIOS'!$P$5:$P$500,"&gt;=110200")&gt;0,"X","")</f>
      </c>
      <c r="AX55" s="56" t="str">
        <f>IF(COUNTIFS('LANÇAMENTOS DIÁRIOS'!$G$5:$G$500,"E",'LANÇAMENTOS DIÁRIOS'!$C$5:$C$500,$A55,'LANÇAMENTOS DIÁRIOS'!$O$5:$O$500,"&lt;=110399",'LANÇAMENTOS DIÁRIOS'!$P$5:$P$500,"&gt;=110300")&gt;0,"X","")</f>
      </c>
      <c r="AY55" s="56" t="str">
        <f>IF(COUNTIFS('LANÇAMENTOS DIÁRIOS'!$G$5:$G$500,"E",'LANÇAMENTOS DIÁRIOS'!$C$5:$C$500,$A55,'LANÇAMENTOS DIÁRIOS'!$O$5:$O$500,"&lt;=110499",'LANÇAMENTOS DIÁRIOS'!$P$5:$P$500,"&gt;=110400")&gt;0,"X","")</f>
      </c>
      <c r="AZ55" s="56" t="str">
        <f>IF(COUNTIFS('LANÇAMENTOS DIÁRIOS'!$G$5:$G$500,"E",'LANÇAMENTOS DIÁRIOS'!$C$5:$C$500,$A55,'LANÇAMENTOS DIÁRIOS'!$O$5:$O$500,"&lt;=110599",'LANÇAMENTOS DIÁRIOS'!$P$5:$P$500,"&gt;=110500")&gt;0,"X","")</f>
      </c>
      <c r="BA55" s="56" t="str">
        <f>IF(COUNTIFS('LANÇAMENTOS DIÁRIOS'!$G$5:$G$500,"E",'LANÇAMENTOS DIÁRIOS'!$C$5:$C$500,$A55,'LANÇAMENTOS DIÁRIOS'!$O$5:$O$500,"&lt;=110699",'LANÇAMENTOS DIÁRIOS'!$P$5:$P$500,"&gt;=110600")&gt;0,"X","")</f>
      </c>
      <c r="BB55" s="56" t="str">
        <f>IF(COUNTIFS('LANÇAMENTOS DIÁRIOS'!$G$5:$G$500,"E",'LANÇAMENTOS DIÁRIOS'!$C$5:$C$500,$A55,'LANÇAMENTOS DIÁRIOS'!$O$5:$O$500,"&lt;=110799",'LANÇAMENTOS DIÁRIOS'!$P$5:$P$500,"&gt;=110700")&gt;0,"X","")</f>
      </c>
      <c r="BC55" s="56" t="str">
        <f>IF(COUNTIFS('LANÇAMENTOS DIÁRIOS'!$G$5:$G$500,"E",'LANÇAMENTOS DIÁRIOS'!$C$5:$C$500,$A55,'LANÇAMENTOS DIÁRIOS'!$O$5:$O$500,"&lt;=110899",'LANÇAMENTOS DIÁRIOS'!$P$5:$P$500,"&gt;=110800")&gt;0,"X","")</f>
      </c>
      <c r="BD55" s="56" t="str">
        <f>IF(COUNTIFS('LANÇAMENTOS DIÁRIOS'!$G$5:$G$500,"E",'LANÇAMENTOS DIÁRIOS'!$C$5:$C$500,$A55,'LANÇAMENTOS DIÁRIOS'!$O$5:$O$500,"&lt;=110999",'LANÇAMENTOS DIÁRIOS'!$P$5:$P$500,"&gt;=110900")&gt;0,"X","")</f>
      </c>
      <c r="BE55" s="56" t="str">
        <f>IF(COUNTIFS('LANÇAMENTOS DIÁRIOS'!$G$5:$G$500,"E",'LANÇAMENTOS DIÁRIOS'!$C$5:$C$500,$A55,'LANÇAMENTOS DIÁRIOS'!$O$5:$O$500,"&lt;=111099",'LANÇAMENTOS DIÁRIOS'!$P$5:$P$500,"&gt;=111000")&gt;0,"X","")</f>
      </c>
      <c r="BF55" s="56" t="str">
        <f>IF(COUNTIFS('LANÇAMENTOS DIÁRIOS'!$G$5:$G$500,"E",'LANÇAMENTOS DIÁRIOS'!$C$5:$C$500,$A55,'LANÇAMENTOS DIÁRIOS'!$O$5:$O$500,"&lt;=111199",'LANÇAMENTOS DIÁRIOS'!$P$5:$P$500,"&gt;=111100")&gt;0,"X","")</f>
      </c>
      <c r="BG55" s="56" t="str">
        <f>IF(COUNTIFS('LANÇAMENTOS DIÁRIOS'!$G$5:$G$500,"E",'LANÇAMENTOS DIÁRIOS'!$C$5:$C$500,$A55,'LANÇAMENTOS DIÁRIOS'!$O$5:$O$500,"&lt;=111299",'LANÇAMENTOS DIÁRIOS'!$P$5:$P$500,"&gt;=111200")&gt;0,"X","")</f>
      </c>
      <c r="BH55" s="56" t="str">
        <f>IF(COUNTIFS('LANÇAMENTOS DIÁRIOS'!$G$5:$G$500,"E",'LANÇAMENTOS DIÁRIOS'!$C$5:$C$500,$A55,'LANÇAMENTOS DIÁRIOS'!$O$5:$O$500,"&lt;=111399",'LANÇAMENTOS DIÁRIOS'!$P$5:$P$500,"&gt;=111300")&gt;0,"X","")</f>
      </c>
      <c r="BI55" s="56" t="str">
        <f>IF(COUNTIFS('LANÇAMENTOS DIÁRIOS'!$G$5:$G$500,"E",'LANÇAMENTOS DIÁRIOS'!$C$5:$C$500,$A55,'LANÇAMENTOS DIÁRIOS'!$O$5:$O$500,"&lt;=111499",'LANÇAMENTOS DIÁRIOS'!$P$5:$P$500,"&gt;=111400")&gt;0,"X","")</f>
      </c>
      <c r="BJ55" s="56" t="str">
        <f>IF(COUNTIFS('LANÇAMENTOS DIÁRIOS'!$G$5:$G$500,"E",'LANÇAMENTOS DIÁRIOS'!$C$5:$C$500,$A55,'LANÇAMENTOS DIÁRIOS'!$O$5:$O$500,"&lt;=111500",'LANÇAMENTOS DIÁRIOS'!$P$5:$P$500,"&gt;=111500")&gt;0,"X","")</f>
      </c>
    </row>
    <row r="56">
      <c r="A56" s="51" t="str">
        <v>Estaca de brita ø 0,80 m</v>
      </c>
      <c r="B56" s="56" t="str">
        <f>IF(COUNTIFS('LANÇAMENTOS DIÁRIOS'!$G$5:$G$500,"E",'LANÇAMENTOS DIÁRIOS'!$C$5:$C$500,$A56,'LANÇAMENTOS DIÁRIOS'!$O$5:$O$500,"&lt;=105599",'LANÇAMENTOS DIÁRIOS'!$P$5:$P$500,"&gt;=105500")&gt;0,"X","")</f>
      </c>
      <c r="C56" s="56" t="str">
        <f>IF(COUNTIFS('LANÇAMENTOS DIÁRIOS'!$G$5:$G$500,"E",'LANÇAMENTOS DIÁRIOS'!$C$5:$C$500,$A56,'LANÇAMENTOS DIÁRIOS'!$O$5:$O$500,"&lt;=105699",'LANÇAMENTOS DIÁRIOS'!$P$5:$P$500,"&gt;=105600")&gt;0,"X","")</f>
      </c>
      <c r="D56" s="56" t="str">
        <f>IF(COUNTIFS('LANÇAMENTOS DIÁRIOS'!$G$5:$G$500,"E",'LANÇAMENTOS DIÁRIOS'!$C$5:$C$500,$A56,'LANÇAMENTOS DIÁRIOS'!$O$5:$O$500,"&lt;=105799",'LANÇAMENTOS DIÁRIOS'!$P$5:$P$500,"&gt;=105700")&gt;0,"X","")</f>
      </c>
      <c r="E56" s="56" t="str">
        <f>IF(COUNTIFS('LANÇAMENTOS DIÁRIOS'!$G$5:$G$500,"E",'LANÇAMENTOS DIÁRIOS'!$C$5:$C$500,$A56,'LANÇAMENTOS DIÁRIOS'!$O$5:$O$500,"&lt;=105899",'LANÇAMENTOS DIÁRIOS'!$P$5:$P$500,"&gt;=105800")&gt;0,"X","")</f>
      </c>
      <c r="F56" s="56" t="str">
        <f>IF(COUNTIFS('LANÇAMENTOS DIÁRIOS'!$G$5:$G$500,"E",'LANÇAMENTOS DIÁRIOS'!$C$5:$C$500,$A56,'LANÇAMENTOS DIÁRIOS'!$O$5:$O$500,"&lt;=105999",'LANÇAMENTOS DIÁRIOS'!$P$5:$P$500,"&gt;=105900")&gt;0,"X","")</f>
      </c>
      <c r="G56" s="56" t="str">
        <f>IF(COUNTIFS('LANÇAMENTOS DIÁRIOS'!$G$5:$G$500,"E",'LANÇAMENTOS DIÁRIOS'!$C$5:$C$500,$A56,'LANÇAMENTOS DIÁRIOS'!$O$5:$O$500,"&lt;=106099",'LANÇAMENTOS DIÁRIOS'!$P$5:$P$500,"&gt;=106000")&gt;0,"X","")</f>
      </c>
      <c r="H56" s="56" t="str">
        <f>IF(COUNTIFS('LANÇAMENTOS DIÁRIOS'!$G$5:$G$500,"E",'LANÇAMENTOS DIÁRIOS'!$C$5:$C$500,$A56,'LANÇAMENTOS DIÁRIOS'!$O$5:$O$500,"&lt;=106199",'LANÇAMENTOS DIÁRIOS'!$P$5:$P$500,"&gt;=106100")&gt;0,"X","")</f>
      </c>
      <c r="I56" s="56" t="str">
        <f>IF(COUNTIFS('LANÇAMENTOS DIÁRIOS'!$G$5:$G$500,"E",'LANÇAMENTOS DIÁRIOS'!$C$5:$C$500,$A56,'LANÇAMENTOS DIÁRIOS'!$O$5:$O$500,"&lt;=106299",'LANÇAMENTOS DIÁRIOS'!$P$5:$P$500,"&gt;=106200")&gt;0,"X","")</f>
      </c>
      <c r="J56" s="56" t="str">
        <f>IF(COUNTIFS('LANÇAMENTOS DIÁRIOS'!$G$5:$G$500,"E",'LANÇAMENTOS DIÁRIOS'!$C$5:$C$500,$A56,'LANÇAMENTOS DIÁRIOS'!$O$5:$O$500,"&lt;=106399",'LANÇAMENTOS DIÁRIOS'!$P$5:$P$500,"&gt;=106300")&gt;0,"X","")</f>
      </c>
      <c r="K56" s="56" t="str">
        <f>IF(COUNTIFS('LANÇAMENTOS DIÁRIOS'!$G$5:$G$500,"E",'LANÇAMENTOS DIÁRIOS'!$C$5:$C$500,$A56,'LANÇAMENTOS DIÁRIOS'!$O$5:$O$500,"&lt;=106499",'LANÇAMENTOS DIÁRIOS'!$P$5:$P$500,"&gt;=106400")&gt;0,"X","")</f>
      </c>
      <c r="L56" s="56" t="str">
        <f>IF(COUNTIFS('LANÇAMENTOS DIÁRIOS'!$G$5:$G$500,"E",'LANÇAMENTOS DIÁRIOS'!$C$5:$C$500,$A56,'LANÇAMENTOS DIÁRIOS'!$O$5:$O$500,"&lt;=106599",'LANÇAMENTOS DIÁRIOS'!$P$5:$P$500,"&gt;=106500")&gt;0,"X","")</f>
      </c>
      <c r="M56" s="56" t="str">
        <f>IF(COUNTIFS('LANÇAMENTOS DIÁRIOS'!$G$5:$G$500,"E",'LANÇAMENTOS DIÁRIOS'!$C$5:$C$500,$A56,'LANÇAMENTOS DIÁRIOS'!$O$5:$O$500,"&lt;=106699",'LANÇAMENTOS DIÁRIOS'!$P$5:$P$500,"&gt;=106600")&gt;0,"X","")</f>
      </c>
      <c r="N56" s="56" t="str">
        <f>IF(COUNTIFS('LANÇAMENTOS DIÁRIOS'!$G$5:$G$500,"E",'LANÇAMENTOS DIÁRIOS'!$C$5:$C$500,$A56,'LANÇAMENTOS DIÁRIOS'!$O$5:$O$500,"&lt;=106799",'LANÇAMENTOS DIÁRIOS'!$P$5:$P$500,"&gt;=106700")&gt;0,"X","")</f>
      </c>
      <c r="O56" s="56" t="str">
        <f>IF(COUNTIFS('LANÇAMENTOS DIÁRIOS'!$G$5:$G$500,"E",'LANÇAMENTOS DIÁRIOS'!$C$5:$C$500,$A56,'LANÇAMENTOS DIÁRIOS'!$O$5:$O$500,"&lt;=106899",'LANÇAMENTOS DIÁRIOS'!$P$5:$P$500,"&gt;=106800")&gt;0,"X","")</f>
      </c>
      <c r="P56" s="56" t="str">
        <f>IF(COUNTIFS('LANÇAMENTOS DIÁRIOS'!$G$5:$G$500,"E",'LANÇAMENTOS DIÁRIOS'!$C$5:$C$500,$A56,'LANÇAMENTOS DIÁRIOS'!$O$5:$O$500,"&lt;=106999",'LANÇAMENTOS DIÁRIOS'!$P$5:$P$500,"&gt;=106900")&gt;0,"X","")</f>
      </c>
      <c r="Q56" s="56" t="str">
        <f>IF(COUNTIFS('LANÇAMENTOS DIÁRIOS'!$G$5:$G$500,"E",'LANÇAMENTOS DIÁRIOS'!$C$5:$C$500,$A56,'LANÇAMENTOS DIÁRIOS'!$O$5:$O$500,"&lt;=107099",'LANÇAMENTOS DIÁRIOS'!$P$5:$P$500,"&gt;=107000")&gt;0,"X","")</f>
      </c>
      <c r="R56" s="56" t="str">
        <f>IF(COUNTIFS('LANÇAMENTOS DIÁRIOS'!$G$5:$G$500,"E",'LANÇAMENTOS DIÁRIOS'!$C$5:$C$500,$A56,'LANÇAMENTOS DIÁRIOS'!$O$5:$O$500,"&lt;=107199",'LANÇAMENTOS DIÁRIOS'!$P$5:$P$500,"&gt;=107100")&gt;0,"X","")</f>
      </c>
      <c r="S56" s="56" t="str">
        <f>IF(COUNTIFS('LANÇAMENTOS DIÁRIOS'!$G$5:$G$500,"E",'LANÇAMENTOS DIÁRIOS'!$C$5:$C$500,$A56,'LANÇAMENTOS DIÁRIOS'!$O$5:$O$500,"&lt;=107299",'LANÇAMENTOS DIÁRIOS'!$P$5:$P$500,"&gt;=107200")&gt;0,"X","")</f>
      </c>
      <c r="T56" s="56" t="str">
        <f>IF(COUNTIFS('LANÇAMENTOS DIÁRIOS'!$G$5:$G$500,"E",'LANÇAMENTOS DIÁRIOS'!$C$5:$C$500,$A56,'LANÇAMENTOS DIÁRIOS'!$O$5:$O$500,"&lt;=107399",'LANÇAMENTOS DIÁRIOS'!$P$5:$P$500,"&gt;=107300")&gt;0,"X","")</f>
      </c>
      <c r="U56" s="56" t="str">
        <f>IF(COUNTIFS('LANÇAMENTOS DIÁRIOS'!$G$5:$G$500,"E",'LANÇAMENTOS DIÁRIOS'!$C$5:$C$500,$A56,'LANÇAMENTOS DIÁRIOS'!$O$5:$O$500,"&lt;=107499",'LANÇAMENTOS DIÁRIOS'!$P$5:$P$500,"&gt;=107400")&gt;0,"X","")</f>
      </c>
      <c r="V56" s="56" t="str">
        <f>IF(COUNTIFS('LANÇAMENTOS DIÁRIOS'!$G$5:$G$500,"E",'LANÇAMENTOS DIÁRIOS'!$C$5:$C$500,$A56,'LANÇAMENTOS DIÁRIOS'!$O$5:$O$500,"&lt;=107599",'LANÇAMENTOS DIÁRIOS'!$P$5:$P$500,"&gt;=107500")&gt;0,"X","")</f>
      </c>
      <c r="W56" s="56" t="str">
        <f>IF(COUNTIFS('LANÇAMENTOS DIÁRIOS'!$G$5:$G$500,"E",'LANÇAMENTOS DIÁRIOS'!$C$5:$C$500,$A56,'LANÇAMENTOS DIÁRIOS'!$O$5:$O$500,"&lt;=107699",'LANÇAMENTOS DIÁRIOS'!$P$5:$P$500,"&gt;=107600")&gt;0,"X","")</f>
      </c>
      <c r="X56" s="56" t="str">
        <f>IF(COUNTIFS('LANÇAMENTOS DIÁRIOS'!$G$5:$G$500,"E",'LANÇAMENTOS DIÁRIOS'!$C$5:$C$500,$A56,'LANÇAMENTOS DIÁRIOS'!$O$5:$O$500,"&lt;=107799",'LANÇAMENTOS DIÁRIOS'!$P$5:$P$500,"&gt;=107700")&gt;0,"X","")</f>
      </c>
      <c r="Y56" s="56" t="str">
        <f>IF(COUNTIFS('LANÇAMENTOS DIÁRIOS'!$G$5:$G$500,"E",'LANÇAMENTOS DIÁRIOS'!$C$5:$C$500,$A56,'LANÇAMENTOS DIÁRIOS'!$O$5:$O$500,"&lt;=107899",'LANÇAMENTOS DIÁRIOS'!$P$5:$P$500,"&gt;=107800")&gt;0,"X","")</f>
      </c>
      <c r="Z56" s="56" t="str">
        <f>IF(COUNTIFS('LANÇAMENTOS DIÁRIOS'!$G$5:$G$500,"E",'LANÇAMENTOS DIÁRIOS'!$C$5:$C$500,$A56,'LANÇAMENTOS DIÁRIOS'!$O$5:$O$500,"&lt;=107999",'LANÇAMENTOS DIÁRIOS'!$P$5:$P$500,"&gt;=107900")&gt;0,"X","")</f>
      </c>
      <c r="AA56" s="56" t="str">
        <f>IF(COUNTIFS('LANÇAMENTOS DIÁRIOS'!$G$5:$G$500,"E",'LANÇAMENTOS DIÁRIOS'!$C$5:$C$500,$A56,'LANÇAMENTOS DIÁRIOS'!$O$5:$O$500,"&lt;=108099",'LANÇAMENTOS DIÁRIOS'!$P$5:$P$500,"&gt;=108000")&gt;0,"X","")</f>
      </c>
      <c r="AB56" s="56" t="str">
        <f>IF(COUNTIFS('LANÇAMENTOS DIÁRIOS'!$G$5:$G$500,"E",'LANÇAMENTOS DIÁRIOS'!$C$5:$C$500,$A56,'LANÇAMENTOS DIÁRIOS'!$O$5:$O$500,"&lt;=108199",'LANÇAMENTOS DIÁRIOS'!$P$5:$P$500,"&gt;=108100")&gt;0,"X","")</f>
      </c>
      <c r="AC56" s="56" t="str">
        <f>IF(COUNTIFS('LANÇAMENTOS DIÁRIOS'!$G$5:$G$500,"E",'LANÇAMENTOS DIÁRIOS'!$C$5:$C$500,$A56,'LANÇAMENTOS DIÁRIOS'!$O$5:$O$500,"&lt;=108299",'LANÇAMENTOS DIÁRIOS'!$P$5:$P$500,"&gt;=108200")&gt;0,"X","")</f>
      </c>
      <c r="AD56" s="56" t="str">
        <f>IF(COUNTIFS('LANÇAMENTOS DIÁRIOS'!$G$5:$G$500,"E",'LANÇAMENTOS DIÁRIOS'!$C$5:$C$500,$A56,'LANÇAMENTOS DIÁRIOS'!$O$5:$O$500,"&lt;=108399",'LANÇAMENTOS DIÁRIOS'!$P$5:$P$500,"&gt;=108300")&gt;0,"X","")</f>
      </c>
      <c r="AE56" s="56" t="str">
        <f>IF(COUNTIFS('LANÇAMENTOS DIÁRIOS'!$G$5:$G$500,"E",'LANÇAMENTOS DIÁRIOS'!$C$5:$C$500,$A56,'LANÇAMENTOS DIÁRIOS'!$O$5:$O$500,"&lt;=108499",'LANÇAMENTOS DIÁRIOS'!$P$5:$P$500,"&gt;=108400")&gt;0,"X","")</f>
      </c>
      <c r="AF56" s="56" t="str">
        <f>IF(COUNTIFS('LANÇAMENTOS DIÁRIOS'!$G$5:$G$500,"E",'LANÇAMENTOS DIÁRIOS'!$C$5:$C$500,$A56,'LANÇAMENTOS DIÁRIOS'!$O$5:$O$500,"&lt;=108599",'LANÇAMENTOS DIÁRIOS'!$P$5:$P$500,"&gt;=108500")&gt;0,"X","")</f>
      </c>
      <c r="AG56" s="56" t="str">
        <f>IF(COUNTIFS('LANÇAMENTOS DIÁRIOS'!$G$5:$G$500,"E",'LANÇAMENTOS DIÁRIOS'!$C$5:$C$500,$A56,'LANÇAMENTOS DIÁRIOS'!$O$5:$O$500,"&lt;=108699",'LANÇAMENTOS DIÁRIOS'!$P$5:$P$500,"&gt;=108600")&gt;0,"X","")</f>
      </c>
      <c r="AH56" s="56" t="str">
        <f>IF(COUNTIFS('LANÇAMENTOS DIÁRIOS'!$G$5:$G$500,"E",'LANÇAMENTOS DIÁRIOS'!$C$5:$C$500,$A56,'LANÇAMENTOS DIÁRIOS'!$O$5:$O$500,"&lt;=108799",'LANÇAMENTOS DIÁRIOS'!$P$5:$P$500,"&gt;=108700")&gt;0,"X","")</f>
      </c>
      <c r="AI56" s="56" t="str">
        <f>IF(COUNTIFS('LANÇAMENTOS DIÁRIOS'!$G$5:$G$500,"E",'LANÇAMENTOS DIÁRIOS'!$C$5:$C$500,$A56,'LANÇAMENTOS DIÁRIOS'!$O$5:$O$500,"&lt;=108899",'LANÇAMENTOS DIÁRIOS'!$P$5:$P$500,"&gt;=108800")&gt;0,"X","")</f>
      </c>
      <c r="AJ56" s="56" t="str">
        <f>IF(COUNTIFS('LANÇAMENTOS DIÁRIOS'!$G$5:$G$500,"E",'LANÇAMENTOS DIÁRIOS'!$C$5:$C$500,$A56,'LANÇAMENTOS DIÁRIOS'!$O$5:$O$500,"&lt;=108999",'LANÇAMENTOS DIÁRIOS'!$P$5:$P$500,"&gt;=108900")&gt;0,"X","")</f>
      </c>
      <c r="AK56" s="56" t="str">
        <f>IF(COUNTIFS('LANÇAMENTOS DIÁRIOS'!$G$5:$G$500,"E",'LANÇAMENTOS DIÁRIOS'!$C$5:$C$500,$A56,'LANÇAMENTOS DIÁRIOS'!$O$5:$O$500,"&lt;=109099",'LANÇAMENTOS DIÁRIOS'!$P$5:$P$500,"&gt;=109000")&gt;0,"X","")</f>
      </c>
      <c r="AL56" s="56" t="str">
        <f>IF(COUNTIFS('LANÇAMENTOS DIÁRIOS'!$G$5:$G$500,"E",'LANÇAMENTOS DIÁRIOS'!$C$5:$C$500,$A56,'LANÇAMENTOS DIÁRIOS'!$O$5:$O$500,"&lt;=109199",'LANÇAMENTOS DIÁRIOS'!$P$5:$P$500,"&gt;=109100")&gt;0,"X","")</f>
      </c>
      <c r="AM56" s="56" t="str">
        <f>IF(COUNTIFS('LANÇAMENTOS DIÁRIOS'!$G$5:$G$500,"E",'LANÇAMENTOS DIÁRIOS'!$C$5:$C$500,$A56,'LANÇAMENTOS DIÁRIOS'!$O$5:$O$500,"&lt;=109299",'LANÇAMENTOS DIÁRIOS'!$P$5:$P$500,"&gt;=109200")&gt;0,"X","")</f>
      </c>
      <c r="AN56" s="56" t="str">
        <f>IF(COUNTIFS('LANÇAMENTOS DIÁRIOS'!$G$5:$G$500,"E",'LANÇAMENTOS DIÁRIOS'!$C$5:$C$500,$A56,'LANÇAMENTOS DIÁRIOS'!$O$5:$O$500,"&lt;=109399",'LANÇAMENTOS DIÁRIOS'!$P$5:$P$500,"&gt;=109300")&gt;0,"X","")</f>
      </c>
      <c r="AO56" s="56" t="str">
        <f>IF(COUNTIFS('LANÇAMENTOS DIÁRIOS'!$G$5:$G$500,"E",'LANÇAMENTOS DIÁRIOS'!$C$5:$C$500,$A56,'LANÇAMENTOS DIÁRIOS'!$O$5:$O$500,"&lt;=109499",'LANÇAMENTOS DIÁRIOS'!$P$5:$P$500,"&gt;=109400")&gt;0,"X","")</f>
      </c>
      <c r="AP56" s="56" t="str">
        <f>IF(COUNTIFS('LANÇAMENTOS DIÁRIOS'!$G$5:$G$500,"E",'LANÇAMENTOS DIÁRIOS'!$C$5:$C$500,$A56,'LANÇAMENTOS DIÁRIOS'!$O$5:$O$500,"&lt;=109599",'LANÇAMENTOS DIÁRIOS'!$P$5:$P$500,"&gt;=109500")&gt;0,"X","")</f>
      </c>
      <c r="AQ56" s="56" t="str">
        <f>IF(COUNTIFS('LANÇAMENTOS DIÁRIOS'!$G$5:$G$500,"E",'LANÇAMENTOS DIÁRIOS'!$C$5:$C$500,$A56,'LANÇAMENTOS DIÁRIOS'!$O$5:$O$500,"&lt;=109699",'LANÇAMENTOS DIÁRIOS'!$P$5:$P$500,"&gt;=109600")&gt;0,"X","")</f>
      </c>
      <c r="AR56" s="56" t="str">
        <f>IF(COUNTIFS('LANÇAMENTOS DIÁRIOS'!$G$5:$G$500,"E",'LANÇAMENTOS DIÁRIOS'!$C$5:$C$500,$A56,'LANÇAMENTOS DIÁRIOS'!$O$5:$O$500,"&lt;=109799",'LANÇAMENTOS DIÁRIOS'!$P$5:$P$500,"&gt;=109700")&gt;0,"X","")</f>
      </c>
      <c r="AS56" s="56" t="str">
        <f>IF(COUNTIFS('LANÇAMENTOS DIÁRIOS'!$G$5:$G$500,"E",'LANÇAMENTOS DIÁRIOS'!$C$5:$C$500,$A56,'LANÇAMENTOS DIÁRIOS'!$O$5:$O$500,"&lt;=109899",'LANÇAMENTOS DIÁRIOS'!$P$5:$P$500,"&gt;=109800")&gt;0,"X","")</f>
      </c>
      <c r="AT56" s="56" t="str">
        <f>IF(COUNTIFS('LANÇAMENTOS DIÁRIOS'!$G$5:$G$500,"E",'LANÇAMENTOS DIÁRIOS'!$C$5:$C$500,$A56,'LANÇAMENTOS DIÁRIOS'!$O$5:$O$500,"&lt;=109999",'LANÇAMENTOS DIÁRIOS'!$P$5:$P$500,"&gt;=109900")&gt;0,"X","")</f>
      </c>
      <c r="AU56" s="56" t="str">
        <f>IF(COUNTIFS('LANÇAMENTOS DIÁRIOS'!$G$5:$G$500,"E",'LANÇAMENTOS DIÁRIOS'!$C$5:$C$500,$A56,'LANÇAMENTOS DIÁRIOS'!$O$5:$O$500,"&lt;=110099",'LANÇAMENTOS DIÁRIOS'!$P$5:$P$500,"&gt;=110000")&gt;0,"X","")</f>
      </c>
      <c r="AV56" s="56" t="str">
        <f>IF(COUNTIFS('LANÇAMENTOS DIÁRIOS'!$G$5:$G$500,"E",'LANÇAMENTOS DIÁRIOS'!$C$5:$C$500,$A56,'LANÇAMENTOS DIÁRIOS'!$O$5:$O$500,"&lt;=110199",'LANÇAMENTOS DIÁRIOS'!$P$5:$P$500,"&gt;=110100")&gt;0,"X","")</f>
      </c>
      <c r="AW56" s="56" t="str">
        <f>IF(COUNTIFS('LANÇAMENTOS DIÁRIOS'!$G$5:$G$500,"E",'LANÇAMENTOS DIÁRIOS'!$C$5:$C$500,$A56,'LANÇAMENTOS DIÁRIOS'!$O$5:$O$500,"&lt;=110299",'LANÇAMENTOS DIÁRIOS'!$P$5:$P$500,"&gt;=110200")&gt;0,"X","")</f>
      </c>
      <c r="AX56" s="56" t="str">
        <f>IF(COUNTIFS('LANÇAMENTOS DIÁRIOS'!$G$5:$G$500,"E",'LANÇAMENTOS DIÁRIOS'!$C$5:$C$500,$A56,'LANÇAMENTOS DIÁRIOS'!$O$5:$O$500,"&lt;=110399",'LANÇAMENTOS DIÁRIOS'!$P$5:$P$500,"&gt;=110300")&gt;0,"X","")</f>
      </c>
      <c r="AY56" s="56" t="str">
        <f>IF(COUNTIFS('LANÇAMENTOS DIÁRIOS'!$G$5:$G$500,"E",'LANÇAMENTOS DIÁRIOS'!$C$5:$C$500,$A56,'LANÇAMENTOS DIÁRIOS'!$O$5:$O$500,"&lt;=110499",'LANÇAMENTOS DIÁRIOS'!$P$5:$P$500,"&gt;=110400")&gt;0,"X","")</f>
      </c>
      <c r="AZ56" s="56" t="str">
        <f>IF(COUNTIFS('LANÇAMENTOS DIÁRIOS'!$G$5:$G$500,"E",'LANÇAMENTOS DIÁRIOS'!$C$5:$C$500,$A56,'LANÇAMENTOS DIÁRIOS'!$O$5:$O$500,"&lt;=110599",'LANÇAMENTOS DIÁRIOS'!$P$5:$P$500,"&gt;=110500")&gt;0,"X","")</f>
      </c>
      <c r="BA56" s="56" t="str">
        <f>IF(COUNTIFS('LANÇAMENTOS DIÁRIOS'!$G$5:$G$500,"E",'LANÇAMENTOS DIÁRIOS'!$C$5:$C$500,$A56,'LANÇAMENTOS DIÁRIOS'!$O$5:$O$500,"&lt;=110699",'LANÇAMENTOS DIÁRIOS'!$P$5:$P$500,"&gt;=110600")&gt;0,"X","")</f>
      </c>
      <c r="BB56" s="56" t="str">
        <f>IF(COUNTIFS('LANÇAMENTOS DIÁRIOS'!$G$5:$G$500,"E",'LANÇAMENTOS DIÁRIOS'!$C$5:$C$500,$A56,'LANÇAMENTOS DIÁRIOS'!$O$5:$O$500,"&lt;=110799",'LANÇAMENTOS DIÁRIOS'!$P$5:$P$500,"&gt;=110700")&gt;0,"X","")</f>
      </c>
      <c r="BC56" s="56" t="str">
        <f>IF(COUNTIFS('LANÇAMENTOS DIÁRIOS'!$G$5:$G$500,"E",'LANÇAMENTOS DIÁRIOS'!$C$5:$C$500,$A56,'LANÇAMENTOS DIÁRIOS'!$O$5:$O$500,"&lt;=110899",'LANÇAMENTOS DIÁRIOS'!$P$5:$P$500,"&gt;=110800")&gt;0,"X","")</f>
      </c>
      <c r="BD56" s="56" t="str">
        <f>IF(COUNTIFS('LANÇAMENTOS DIÁRIOS'!$G$5:$G$500,"E",'LANÇAMENTOS DIÁRIOS'!$C$5:$C$500,$A56,'LANÇAMENTOS DIÁRIOS'!$O$5:$O$500,"&lt;=110999",'LANÇAMENTOS DIÁRIOS'!$P$5:$P$500,"&gt;=110900")&gt;0,"X","")</f>
      </c>
      <c r="BE56" s="56" t="str">
        <f>IF(COUNTIFS('LANÇAMENTOS DIÁRIOS'!$G$5:$G$500,"E",'LANÇAMENTOS DIÁRIOS'!$C$5:$C$500,$A56,'LANÇAMENTOS DIÁRIOS'!$O$5:$O$500,"&lt;=111099",'LANÇAMENTOS DIÁRIOS'!$P$5:$P$500,"&gt;=111000")&gt;0,"X","")</f>
      </c>
      <c r="BF56" s="56" t="str">
        <f>IF(COUNTIFS('LANÇAMENTOS DIÁRIOS'!$G$5:$G$500,"E",'LANÇAMENTOS DIÁRIOS'!$C$5:$C$500,$A56,'LANÇAMENTOS DIÁRIOS'!$O$5:$O$500,"&lt;=111199",'LANÇAMENTOS DIÁRIOS'!$P$5:$P$500,"&gt;=111100")&gt;0,"X","")</f>
      </c>
      <c r="BG56" s="56" t="str">
        <f>IF(COUNTIFS('LANÇAMENTOS DIÁRIOS'!$G$5:$G$500,"E",'LANÇAMENTOS DIÁRIOS'!$C$5:$C$500,$A56,'LANÇAMENTOS DIÁRIOS'!$O$5:$O$500,"&lt;=111299",'LANÇAMENTOS DIÁRIOS'!$P$5:$P$500,"&gt;=111200")&gt;0,"X","")</f>
      </c>
      <c r="BH56" s="56" t="str">
        <f>IF(COUNTIFS('LANÇAMENTOS DIÁRIOS'!$G$5:$G$500,"E",'LANÇAMENTOS DIÁRIOS'!$C$5:$C$500,$A56,'LANÇAMENTOS DIÁRIOS'!$O$5:$O$500,"&lt;=111399",'LANÇAMENTOS DIÁRIOS'!$P$5:$P$500,"&gt;=111300")&gt;0,"X","")</f>
      </c>
      <c r="BI56" s="56" t="str">
        <f>IF(COUNTIFS('LANÇAMENTOS DIÁRIOS'!$G$5:$G$500,"E",'LANÇAMENTOS DIÁRIOS'!$C$5:$C$500,$A56,'LANÇAMENTOS DIÁRIOS'!$O$5:$O$500,"&lt;=111499",'LANÇAMENTOS DIÁRIOS'!$P$5:$P$500,"&gt;=111400")&gt;0,"X","")</f>
      </c>
      <c r="BJ56" s="56" t="str">
        <f>IF(COUNTIFS('LANÇAMENTOS DIÁRIOS'!$G$5:$G$500,"E",'LANÇAMENTOS DIÁRIOS'!$C$5:$C$500,$A56,'LANÇAMENTOS DIÁRIOS'!$O$5:$O$500,"&lt;=111500",'LANÇAMENTOS DIÁRIOS'!$P$5:$P$500,"&gt;=111500")&gt;0,"X","")</f>
      </c>
    </row>
    <row r="57">
      <c r="A57" s="51" t="str">
        <v>Compactação de aterro a 100% do proctor normal (*)</v>
      </c>
      <c r="B57" s="56" t="str">
        <f>IF(COUNTIFS('LANÇAMENTOS DIÁRIOS'!$G$5:$G$500,"E",'LANÇAMENTOS DIÁRIOS'!$C$5:$C$500,$A57,'LANÇAMENTOS DIÁRIOS'!$O$5:$O$500,"&lt;=105599",'LANÇAMENTOS DIÁRIOS'!$P$5:$P$500,"&gt;=105500")&gt;0,"X","")</f>
      </c>
      <c r="C57" s="56" t="str">
        <f>IF(COUNTIFS('LANÇAMENTOS DIÁRIOS'!$G$5:$G$500,"E",'LANÇAMENTOS DIÁRIOS'!$C$5:$C$500,$A57,'LANÇAMENTOS DIÁRIOS'!$O$5:$O$500,"&lt;=105699",'LANÇAMENTOS DIÁRIOS'!$P$5:$P$500,"&gt;=105600")&gt;0,"X","")</f>
      </c>
      <c r="D57" s="56" t="str">
        <f>IF(COUNTIFS('LANÇAMENTOS DIÁRIOS'!$G$5:$G$500,"E",'LANÇAMENTOS DIÁRIOS'!$C$5:$C$500,$A57,'LANÇAMENTOS DIÁRIOS'!$O$5:$O$500,"&lt;=105799",'LANÇAMENTOS DIÁRIOS'!$P$5:$P$500,"&gt;=105700")&gt;0,"X","")</f>
      </c>
      <c r="E57" s="56" t="str">
        <f>IF(COUNTIFS('LANÇAMENTOS DIÁRIOS'!$G$5:$G$500,"E",'LANÇAMENTOS DIÁRIOS'!$C$5:$C$500,$A57,'LANÇAMENTOS DIÁRIOS'!$O$5:$O$500,"&lt;=105899",'LANÇAMENTOS DIÁRIOS'!$P$5:$P$500,"&gt;=105800")&gt;0,"X","")</f>
      </c>
      <c r="F57" s="56" t="str">
        <f>IF(COUNTIFS('LANÇAMENTOS DIÁRIOS'!$G$5:$G$500,"E",'LANÇAMENTOS DIÁRIOS'!$C$5:$C$500,$A57,'LANÇAMENTOS DIÁRIOS'!$O$5:$O$500,"&lt;=105999",'LANÇAMENTOS DIÁRIOS'!$P$5:$P$500,"&gt;=105900")&gt;0,"X","")</f>
      </c>
      <c r="G57" s="56" t="str">
        <f>IF(COUNTIFS('LANÇAMENTOS DIÁRIOS'!$G$5:$G$500,"E",'LANÇAMENTOS DIÁRIOS'!$C$5:$C$500,$A57,'LANÇAMENTOS DIÁRIOS'!$O$5:$O$500,"&lt;=106099",'LANÇAMENTOS DIÁRIOS'!$P$5:$P$500,"&gt;=106000")&gt;0,"X","")</f>
      </c>
      <c r="H57" s="56" t="str">
        <f>IF(COUNTIFS('LANÇAMENTOS DIÁRIOS'!$G$5:$G$500,"E",'LANÇAMENTOS DIÁRIOS'!$C$5:$C$500,$A57,'LANÇAMENTOS DIÁRIOS'!$O$5:$O$500,"&lt;=106199",'LANÇAMENTOS DIÁRIOS'!$P$5:$P$500,"&gt;=106100")&gt;0,"X","")</f>
      </c>
      <c r="I57" s="56" t="str">
        <f>IF(COUNTIFS('LANÇAMENTOS DIÁRIOS'!$G$5:$G$500,"E",'LANÇAMENTOS DIÁRIOS'!$C$5:$C$500,$A57,'LANÇAMENTOS DIÁRIOS'!$O$5:$O$500,"&lt;=106299",'LANÇAMENTOS DIÁRIOS'!$P$5:$P$500,"&gt;=106200")&gt;0,"X","")</f>
      </c>
      <c r="J57" s="56" t="str">
        <f>IF(COUNTIFS('LANÇAMENTOS DIÁRIOS'!$G$5:$G$500,"E",'LANÇAMENTOS DIÁRIOS'!$C$5:$C$500,$A57,'LANÇAMENTOS DIÁRIOS'!$O$5:$O$500,"&lt;=106399",'LANÇAMENTOS DIÁRIOS'!$P$5:$P$500,"&gt;=106300")&gt;0,"X","")</f>
      </c>
      <c r="K57" s="56" t="str">
        <f>IF(COUNTIFS('LANÇAMENTOS DIÁRIOS'!$G$5:$G$500,"E",'LANÇAMENTOS DIÁRIOS'!$C$5:$C$500,$A57,'LANÇAMENTOS DIÁRIOS'!$O$5:$O$500,"&lt;=106499",'LANÇAMENTOS DIÁRIOS'!$P$5:$P$500,"&gt;=106400")&gt;0,"X","")</f>
      </c>
      <c r="L57" s="56" t="str">
        <f>IF(COUNTIFS('LANÇAMENTOS DIÁRIOS'!$G$5:$G$500,"E",'LANÇAMENTOS DIÁRIOS'!$C$5:$C$500,$A57,'LANÇAMENTOS DIÁRIOS'!$O$5:$O$500,"&lt;=106599",'LANÇAMENTOS DIÁRIOS'!$P$5:$P$500,"&gt;=106500")&gt;0,"X","")</f>
      </c>
      <c r="M57" s="56" t="str">
        <f>IF(COUNTIFS('LANÇAMENTOS DIÁRIOS'!$G$5:$G$500,"E",'LANÇAMENTOS DIÁRIOS'!$C$5:$C$500,$A57,'LANÇAMENTOS DIÁRIOS'!$O$5:$O$500,"&lt;=106699",'LANÇAMENTOS DIÁRIOS'!$P$5:$P$500,"&gt;=106600")&gt;0,"X","")</f>
      </c>
      <c r="N57" s="56" t="str">
        <f>IF(COUNTIFS('LANÇAMENTOS DIÁRIOS'!$G$5:$G$500,"E",'LANÇAMENTOS DIÁRIOS'!$C$5:$C$500,$A57,'LANÇAMENTOS DIÁRIOS'!$O$5:$O$500,"&lt;=106799",'LANÇAMENTOS DIÁRIOS'!$P$5:$P$500,"&gt;=106700")&gt;0,"X","")</f>
      </c>
      <c r="O57" s="56" t="str">
        <f>IF(COUNTIFS('LANÇAMENTOS DIÁRIOS'!$G$5:$G$500,"E",'LANÇAMENTOS DIÁRIOS'!$C$5:$C$500,$A57,'LANÇAMENTOS DIÁRIOS'!$O$5:$O$500,"&lt;=106899",'LANÇAMENTOS DIÁRIOS'!$P$5:$P$500,"&gt;=106800")&gt;0,"X","")</f>
      </c>
      <c r="P57" s="56" t="str">
        <f>IF(COUNTIFS('LANÇAMENTOS DIÁRIOS'!$G$5:$G$500,"E",'LANÇAMENTOS DIÁRIOS'!$C$5:$C$500,$A57,'LANÇAMENTOS DIÁRIOS'!$O$5:$O$500,"&lt;=106999",'LANÇAMENTOS DIÁRIOS'!$P$5:$P$500,"&gt;=106900")&gt;0,"X","")</f>
      </c>
      <c r="Q57" s="56" t="str">
        <f>IF(COUNTIFS('LANÇAMENTOS DIÁRIOS'!$G$5:$G$500,"E",'LANÇAMENTOS DIÁRIOS'!$C$5:$C$500,$A57,'LANÇAMENTOS DIÁRIOS'!$O$5:$O$500,"&lt;=107099",'LANÇAMENTOS DIÁRIOS'!$P$5:$P$500,"&gt;=107000")&gt;0,"X","")</f>
      </c>
      <c r="R57" s="56" t="str">
        <f>IF(COUNTIFS('LANÇAMENTOS DIÁRIOS'!$G$5:$G$500,"E",'LANÇAMENTOS DIÁRIOS'!$C$5:$C$500,$A57,'LANÇAMENTOS DIÁRIOS'!$O$5:$O$500,"&lt;=107199",'LANÇAMENTOS DIÁRIOS'!$P$5:$P$500,"&gt;=107100")&gt;0,"X","")</f>
      </c>
      <c r="S57" s="56" t="str">
        <f>IF(COUNTIFS('LANÇAMENTOS DIÁRIOS'!$G$5:$G$500,"E",'LANÇAMENTOS DIÁRIOS'!$C$5:$C$500,$A57,'LANÇAMENTOS DIÁRIOS'!$O$5:$O$500,"&lt;=107299",'LANÇAMENTOS DIÁRIOS'!$P$5:$P$500,"&gt;=107200")&gt;0,"X","")</f>
      </c>
      <c r="T57" s="56" t="str">
        <f>IF(COUNTIFS('LANÇAMENTOS DIÁRIOS'!$G$5:$G$500,"E",'LANÇAMENTOS DIÁRIOS'!$C$5:$C$500,$A57,'LANÇAMENTOS DIÁRIOS'!$O$5:$O$500,"&lt;=107399",'LANÇAMENTOS DIÁRIOS'!$P$5:$P$500,"&gt;=107300")&gt;0,"X","")</f>
      </c>
      <c r="U57" s="56" t="str">
        <f>IF(COUNTIFS('LANÇAMENTOS DIÁRIOS'!$G$5:$G$500,"E",'LANÇAMENTOS DIÁRIOS'!$C$5:$C$500,$A57,'LANÇAMENTOS DIÁRIOS'!$O$5:$O$500,"&lt;=107499",'LANÇAMENTOS DIÁRIOS'!$P$5:$P$500,"&gt;=107400")&gt;0,"X","")</f>
      </c>
      <c r="V57" s="56" t="str">
        <f>IF(COUNTIFS('LANÇAMENTOS DIÁRIOS'!$G$5:$G$500,"E",'LANÇAMENTOS DIÁRIOS'!$C$5:$C$500,$A57,'LANÇAMENTOS DIÁRIOS'!$O$5:$O$500,"&lt;=107599",'LANÇAMENTOS DIÁRIOS'!$P$5:$P$500,"&gt;=107500")&gt;0,"X","")</f>
      </c>
      <c r="W57" s="56" t="str">
        <f>IF(COUNTIFS('LANÇAMENTOS DIÁRIOS'!$G$5:$G$500,"E",'LANÇAMENTOS DIÁRIOS'!$C$5:$C$500,$A57,'LANÇAMENTOS DIÁRIOS'!$O$5:$O$500,"&lt;=107699",'LANÇAMENTOS DIÁRIOS'!$P$5:$P$500,"&gt;=107600")&gt;0,"X","")</f>
      </c>
      <c r="X57" s="56" t="str">
        <f>IF(COUNTIFS('LANÇAMENTOS DIÁRIOS'!$G$5:$G$500,"E",'LANÇAMENTOS DIÁRIOS'!$C$5:$C$500,$A57,'LANÇAMENTOS DIÁRIOS'!$O$5:$O$500,"&lt;=107799",'LANÇAMENTOS DIÁRIOS'!$P$5:$P$500,"&gt;=107700")&gt;0,"X","")</f>
      </c>
      <c r="Y57" s="56" t="str">
        <f>IF(COUNTIFS('LANÇAMENTOS DIÁRIOS'!$G$5:$G$500,"E",'LANÇAMENTOS DIÁRIOS'!$C$5:$C$500,$A57,'LANÇAMENTOS DIÁRIOS'!$O$5:$O$500,"&lt;=107899",'LANÇAMENTOS DIÁRIOS'!$P$5:$P$500,"&gt;=107800")&gt;0,"X","")</f>
      </c>
      <c r="Z57" s="56" t="str">
        <f>IF(COUNTIFS('LANÇAMENTOS DIÁRIOS'!$G$5:$G$500,"E",'LANÇAMENTOS DIÁRIOS'!$C$5:$C$500,$A57,'LANÇAMENTOS DIÁRIOS'!$O$5:$O$500,"&lt;=107999",'LANÇAMENTOS DIÁRIOS'!$P$5:$P$500,"&gt;=107900")&gt;0,"X","")</f>
      </c>
      <c r="AA57" s="56" t="str">
        <f>IF(COUNTIFS('LANÇAMENTOS DIÁRIOS'!$G$5:$G$500,"E",'LANÇAMENTOS DIÁRIOS'!$C$5:$C$500,$A57,'LANÇAMENTOS DIÁRIOS'!$O$5:$O$500,"&lt;=108099",'LANÇAMENTOS DIÁRIOS'!$P$5:$P$500,"&gt;=108000")&gt;0,"X","")</f>
      </c>
      <c r="AB57" s="56" t="str">
        <f>IF(COUNTIFS('LANÇAMENTOS DIÁRIOS'!$G$5:$G$500,"E",'LANÇAMENTOS DIÁRIOS'!$C$5:$C$500,$A57,'LANÇAMENTOS DIÁRIOS'!$O$5:$O$500,"&lt;=108199",'LANÇAMENTOS DIÁRIOS'!$P$5:$P$500,"&gt;=108100")&gt;0,"X","")</f>
      </c>
      <c r="AC57" s="56" t="str">
        <f>IF(COUNTIFS('LANÇAMENTOS DIÁRIOS'!$G$5:$G$500,"E",'LANÇAMENTOS DIÁRIOS'!$C$5:$C$500,$A57,'LANÇAMENTOS DIÁRIOS'!$O$5:$O$500,"&lt;=108299",'LANÇAMENTOS DIÁRIOS'!$P$5:$P$500,"&gt;=108200")&gt;0,"X","")</f>
      </c>
      <c r="AD57" s="56" t="str">
        <f>IF(COUNTIFS('LANÇAMENTOS DIÁRIOS'!$G$5:$G$500,"E",'LANÇAMENTOS DIÁRIOS'!$C$5:$C$500,$A57,'LANÇAMENTOS DIÁRIOS'!$O$5:$O$500,"&lt;=108399",'LANÇAMENTOS DIÁRIOS'!$P$5:$P$500,"&gt;=108300")&gt;0,"X","")</f>
      </c>
      <c r="AE57" s="56" t="str">
        <f>IF(COUNTIFS('LANÇAMENTOS DIÁRIOS'!$G$5:$G$500,"E",'LANÇAMENTOS DIÁRIOS'!$C$5:$C$500,$A57,'LANÇAMENTOS DIÁRIOS'!$O$5:$O$500,"&lt;=108499",'LANÇAMENTOS DIÁRIOS'!$P$5:$P$500,"&gt;=108400")&gt;0,"X","")</f>
      </c>
      <c r="AF57" s="56" t="str">
        <f>IF(COUNTIFS('LANÇAMENTOS DIÁRIOS'!$G$5:$G$500,"E",'LANÇAMENTOS DIÁRIOS'!$C$5:$C$500,$A57,'LANÇAMENTOS DIÁRIOS'!$O$5:$O$500,"&lt;=108599",'LANÇAMENTOS DIÁRIOS'!$P$5:$P$500,"&gt;=108500")&gt;0,"X","")</f>
      </c>
      <c r="AG57" s="56" t="str">
        <f>IF(COUNTIFS('LANÇAMENTOS DIÁRIOS'!$G$5:$G$500,"E",'LANÇAMENTOS DIÁRIOS'!$C$5:$C$500,$A57,'LANÇAMENTOS DIÁRIOS'!$O$5:$O$500,"&lt;=108699",'LANÇAMENTOS DIÁRIOS'!$P$5:$P$500,"&gt;=108600")&gt;0,"X","")</f>
      </c>
      <c r="AH57" s="56" t="str">
        <f>IF(COUNTIFS('LANÇAMENTOS DIÁRIOS'!$G$5:$G$500,"E",'LANÇAMENTOS DIÁRIOS'!$C$5:$C$500,$A57,'LANÇAMENTOS DIÁRIOS'!$O$5:$O$500,"&lt;=108799",'LANÇAMENTOS DIÁRIOS'!$P$5:$P$500,"&gt;=108700")&gt;0,"X","")</f>
      </c>
      <c r="AI57" s="56" t="str">
        <f>IF(COUNTIFS('LANÇAMENTOS DIÁRIOS'!$G$5:$G$500,"E",'LANÇAMENTOS DIÁRIOS'!$C$5:$C$500,$A57,'LANÇAMENTOS DIÁRIOS'!$O$5:$O$500,"&lt;=108899",'LANÇAMENTOS DIÁRIOS'!$P$5:$P$500,"&gt;=108800")&gt;0,"X","")</f>
      </c>
      <c r="AJ57" s="56" t="str">
        <f>IF(COUNTIFS('LANÇAMENTOS DIÁRIOS'!$G$5:$G$500,"E",'LANÇAMENTOS DIÁRIOS'!$C$5:$C$500,$A57,'LANÇAMENTOS DIÁRIOS'!$O$5:$O$500,"&lt;=108999",'LANÇAMENTOS DIÁRIOS'!$P$5:$P$500,"&gt;=108900")&gt;0,"X","")</f>
      </c>
      <c r="AK57" s="56" t="str">
        <f>IF(COUNTIFS('LANÇAMENTOS DIÁRIOS'!$G$5:$G$500,"E",'LANÇAMENTOS DIÁRIOS'!$C$5:$C$500,$A57,'LANÇAMENTOS DIÁRIOS'!$O$5:$O$500,"&lt;=109099",'LANÇAMENTOS DIÁRIOS'!$P$5:$P$500,"&gt;=109000")&gt;0,"X","")</f>
      </c>
      <c r="AL57" s="56" t="str">
        <f>IF(COUNTIFS('LANÇAMENTOS DIÁRIOS'!$G$5:$G$500,"E",'LANÇAMENTOS DIÁRIOS'!$C$5:$C$500,$A57,'LANÇAMENTOS DIÁRIOS'!$O$5:$O$500,"&lt;=109199",'LANÇAMENTOS DIÁRIOS'!$P$5:$P$500,"&gt;=109100")&gt;0,"X","")</f>
      </c>
      <c r="AM57" s="56" t="str">
        <f>IF(COUNTIFS('LANÇAMENTOS DIÁRIOS'!$G$5:$G$500,"E",'LANÇAMENTOS DIÁRIOS'!$C$5:$C$500,$A57,'LANÇAMENTOS DIÁRIOS'!$O$5:$O$500,"&lt;=109299",'LANÇAMENTOS DIÁRIOS'!$P$5:$P$500,"&gt;=109200")&gt;0,"X","")</f>
      </c>
      <c r="AN57" s="56" t="str">
        <f>IF(COUNTIFS('LANÇAMENTOS DIÁRIOS'!$G$5:$G$500,"E",'LANÇAMENTOS DIÁRIOS'!$C$5:$C$500,$A57,'LANÇAMENTOS DIÁRIOS'!$O$5:$O$500,"&lt;=109399",'LANÇAMENTOS DIÁRIOS'!$P$5:$P$500,"&gt;=109300")&gt;0,"X","")</f>
      </c>
      <c r="AO57" s="56" t="str">
        <f>IF(COUNTIFS('LANÇAMENTOS DIÁRIOS'!$G$5:$G$500,"E",'LANÇAMENTOS DIÁRIOS'!$C$5:$C$500,$A57,'LANÇAMENTOS DIÁRIOS'!$O$5:$O$500,"&lt;=109499",'LANÇAMENTOS DIÁRIOS'!$P$5:$P$500,"&gt;=109400")&gt;0,"X","")</f>
      </c>
      <c r="AP57" s="56" t="str">
        <f>IF(COUNTIFS('LANÇAMENTOS DIÁRIOS'!$G$5:$G$500,"E",'LANÇAMENTOS DIÁRIOS'!$C$5:$C$500,$A57,'LANÇAMENTOS DIÁRIOS'!$O$5:$O$500,"&lt;=109599",'LANÇAMENTOS DIÁRIOS'!$P$5:$P$500,"&gt;=109500")&gt;0,"X","")</f>
      </c>
      <c r="AQ57" s="56" t="str">
        <f>IF(COUNTIFS('LANÇAMENTOS DIÁRIOS'!$G$5:$G$500,"E",'LANÇAMENTOS DIÁRIOS'!$C$5:$C$500,$A57,'LANÇAMENTOS DIÁRIOS'!$O$5:$O$500,"&lt;=109699",'LANÇAMENTOS DIÁRIOS'!$P$5:$P$500,"&gt;=109600")&gt;0,"X","")</f>
      </c>
      <c r="AR57" s="56" t="str">
        <f>IF(COUNTIFS('LANÇAMENTOS DIÁRIOS'!$G$5:$G$500,"E",'LANÇAMENTOS DIÁRIOS'!$C$5:$C$500,$A57,'LANÇAMENTOS DIÁRIOS'!$O$5:$O$500,"&lt;=109799",'LANÇAMENTOS DIÁRIOS'!$P$5:$P$500,"&gt;=109700")&gt;0,"X","")</f>
      </c>
      <c r="AS57" s="56" t="str">
        <f>IF(COUNTIFS('LANÇAMENTOS DIÁRIOS'!$G$5:$G$500,"E",'LANÇAMENTOS DIÁRIOS'!$C$5:$C$500,$A57,'LANÇAMENTOS DIÁRIOS'!$O$5:$O$500,"&lt;=109899",'LANÇAMENTOS DIÁRIOS'!$P$5:$P$500,"&gt;=109800")&gt;0,"X","")</f>
      </c>
      <c r="AT57" s="56" t="str">
        <f>IF(COUNTIFS('LANÇAMENTOS DIÁRIOS'!$G$5:$G$500,"E",'LANÇAMENTOS DIÁRIOS'!$C$5:$C$500,$A57,'LANÇAMENTOS DIÁRIOS'!$O$5:$O$500,"&lt;=109999",'LANÇAMENTOS DIÁRIOS'!$P$5:$P$500,"&gt;=109900")&gt;0,"X","")</f>
      </c>
      <c r="AU57" s="56" t="str">
        <f>IF(COUNTIFS('LANÇAMENTOS DIÁRIOS'!$G$5:$G$500,"E",'LANÇAMENTOS DIÁRIOS'!$C$5:$C$500,$A57,'LANÇAMENTOS DIÁRIOS'!$O$5:$O$500,"&lt;=110099",'LANÇAMENTOS DIÁRIOS'!$P$5:$P$500,"&gt;=110000")&gt;0,"X","")</f>
      </c>
      <c r="AV57" s="56" t="str">
        <f>IF(COUNTIFS('LANÇAMENTOS DIÁRIOS'!$G$5:$G$500,"E",'LANÇAMENTOS DIÁRIOS'!$C$5:$C$500,$A57,'LANÇAMENTOS DIÁRIOS'!$O$5:$O$500,"&lt;=110199",'LANÇAMENTOS DIÁRIOS'!$P$5:$P$500,"&gt;=110100")&gt;0,"X","")</f>
      </c>
      <c r="AW57" s="56" t="str">
        <f>IF(COUNTIFS('LANÇAMENTOS DIÁRIOS'!$G$5:$G$500,"E",'LANÇAMENTOS DIÁRIOS'!$C$5:$C$500,$A57,'LANÇAMENTOS DIÁRIOS'!$O$5:$O$500,"&lt;=110299",'LANÇAMENTOS DIÁRIOS'!$P$5:$P$500,"&gt;=110200")&gt;0,"X","")</f>
      </c>
      <c r="AX57" s="56" t="str">
        <f>IF(COUNTIFS('LANÇAMENTOS DIÁRIOS'!$G$5:$G$500,"E",'LANÇAMENTOS DIÁRIOS'!$C$5:$C$500,$A57,'LANÇAMENTOS DIÁRIOS'!$O$5:$O$500,"&lt;=110399",'LANÇAMENTOS DIÁRIOS'!$P$5:$P$500,"&gt;=110300")&gt;0,"X","")</f>
      </c>
      <c r="AY57" s="56" t="str">
        <f>IF(COUNTIFS('LANÇAMENTOS DIÁRIOS'!$G$5:$G$500,"E",'LANÇAMENTOS DIÁRIOS'!$C$5:$C$500,$A57,'LANÇAMENTOS DIÁRIOS'!$O$5:$O$500,"&lt;=110499",'LANÇAMENTOS DIÁRIOS'!$P$5:$P$500,"&gt;=110400")&gt;0,"X","")</f>
      </c>
      <c r="AZ57" s="56" t="str">
        <f>IF(COUNTIFS('LANÇAMENTOS DIÁRIOS'!$G$5:$G$500,"E",'LANÇAMENTOS DIÁRIOS'!$C$5:$C$500,$A57,'LANÇAMENTOS DIÁRIOS'!$O$5:$O$500,"&lt;=110599",'LANÇAMENTOS DIÁRIOS'!$P$5:$P$500,"&gt;=110500")&gt;0,"X","")</f>
      </c>
      <c r="BA57" s="56" t="str">
        <f>IF(COUNTIFS('LANÇAMENTOS DIÁRIOS'!$G$5:$G$500,"E",'LANÇAMENTOS DIÁRIOS'!$C$5:$C$500,$A57,'LANÇAMENTOS DIÁRIOS'!$O$5:$O$500,"&lt;=110699",'LANÇAMENTOS DIÁRIOS'!$P$5:$P$500,"&gt;=110600")&gt;0,"X","")</f>
      </c>
      <c r="BB57" s="56" t="str">
        <f>IF(COUNTIFS('LANÇAMENTOS DIÁRIOS'!$G$5:$G$500,"E",'LANÇAMENTOS DIÁRIOS'!$C$5:$C$500,$A57,'LANÇAMENTOS DIÁRIOS'!$O$5:$O$500,"&lt;=110799",'LANÇAMENTOS DIÁRIOS'!$P$5:$P$500,"&gt;=110700")&gt;0,"X","")</f>
      </c>
      <c r="BC57" s="56" t="str">
        <f>IF(COUNTIFS('LANÇAMENTOS DIÁRIOS'!$G$5:$G$500,"E",'LANÇAMENTOS DIÁRIOS'!$C$5:$C$500,$A57,'LANÇAMENTOS DIÁRIOS'!$O$5:$O$500,"&lt;=110899",'LANÇAMENTOS DIÁRIOS'!$P$5:$P$500,"&gt;=110800")&gt;0,"X","")</f>
      </c>
      <c r="BD57" s="56" t="str">
        <f>IF(COUNTIFS('LANÇAMENTOS DIÁRIOS'!$G$5:$G$500,"E",'LANÇAMENTOS DIÁRIOS'!$C$5:$C$500,$A57,'LANÇAMENTOS DIÁRIOS'!$O$5:$O$500,"&lt;=110999",'LANÇAMENTOS DIÁRIOS'!$P$5:$P$500,"&gt;=110900")&gt;0,"X","")</f>
      </c>
      <c r="BE57" s="56" t="str">
        <f>IF(COUNTIFS('LANÇAMENTOS DIÁRIOS'!$G$5:$G$500,"E",'LANÇAMENTOS DIÁRIOS'!$C$5:$C$500,$A57,'LANÇAMENTOS DIÁRIOS'!$O$5:$O$500,"&lt;=111099",'LANÇAMENTOS DIÁRIOS'!$P$5:$P$500,"&gt;=111000")&gt;0,"X","")</f>
      </c>
      <c r="BF57" s="56" t="str">
        <f>IF(COUNTIFS('LANÇAMENTOS DIÁRIOS'!$G$5:$G$500,"E",'LANÇAMENTOS DIÁRIOS'!$C$5:$C$500,$A57,'LANÇAMENTOS DIÁRIOS'!$O$5:$O$500,"&lt;=111199",'LANÇAMENTOS DIÁRIOS'!$P$5:$P$500,"&gt;=111100")&gt;0,"X","")</f>
      </c>
      <c r="BG57" s="56" t="str">
        <f>IF(COUNTIFS('LANÇAMENTOS DIÁRIOS'!$G$5:$G$500,"E",'LANÇAMENTOS DIÁRIOS'!$C$5:$C$500,$A57,'LANÇAMENTOS DIÁRIOS'!$O$5:$O$500,"&lt;=111299",'LANÇAMENTOS DIÁRIOS'!$P$5:$P$500,"&gt;=111200")&gt;0,"X","")</f>
      </c>
      <c r="BH57" s="56" t="str">
        <f>IF(COUNTIFS('LANÇAMENTOS DIÁRIOS'!$G$5:$G$500,"E",'LANÇAMENTOS DIÁRIOS'!$C$5:$C$500,$A57,'LANÇAMENTOS DIÁRIOS'!$O$5:$O$500,"&lt;=111399",'LANÇAMENTOS DIÁRIOS'!$P$5:$P$500,"&gt;=111300")&gt;0,"X","")</f>
      </c>
      <c r="BI57" s="56" t="str">
        <f>IF(COUNTIFS('LANÇAMENTOS DIÁRIOS'!$G$5:$G$500,"E",'LANÇAMENTOS DIÁRIOS'!$C$5:$C$500,$A57,'LANÇAMENTOS DIÁRIOS'!$O$5:$O$500,"&lt;=111499",'LANÇAMENTOS DIÁRIOS'!$P$5:$P$500,"&gt;=111400")&gt;0,"X","")</f>
      </c>
      <c r="BJ57" s="56" t="str">
        <f>IF(COUNTIFS('LANÇAMENTOS DIÁRIOS'!$G$5:$G$500,"E",'LANÇAMENTOS DIÁRIOS'!$C$5:$C$500,$A57,'LANÇAMENTOS DIÁRIOS'!$O$5:$O$500,"&lt;=111500",'LANÇAMENTOS DIÁRIOS'!$P$5:$P$500,"&gt;=111500")&gt;0,"X","")</f>
      </c>
    </row>
    <row r="58">
      <c r="A58" s="51" t="str">
        <v>Rede metálica de alta resistência StellGrid HR 100 ou Similiar (Perfuração e instalação)</v>
      </c>
      <c r="B58" s="56" t="str">
        <f>IF(COUNTIFS('LANÇAMENTOS DIÁRIOS'!$G$5:$G$500,"E",'LANÇAMENTOS DIÁRIOS'!$C$5:$C$500,$A58,'LANÇAMENTOS DIÁRIOS'!$O$5:$O$500,"&lt;=105599",'LANÇAMENTOS DIÁRIOS'!$P$5:$P$500,"&gt;=105500")&gt;0,"X","")</f>
      </c>
      <c r="C58" s="56" t="str">
        <f>IF(COUNTIFS('LANÇAMENTOS DIÁRIOS'!$G$5:$G$500,"E",'LANÇAMENTOS DIÁRIOS'!$C$5:$C$500,$A58,'LANÇAMENTOS DIÁRIOS'!$O$5:$O$500,"&lt;=105699",'LANÇAMENTOS DIÁRIOS'!$P$5:$P$500,"&gt;=105600")&gt;0,"X","")</f>
      </c>
      <c r="D58" s="56" t="str">
        <f>IF(COUNTIFS('LANÇAMENTOS DIÁRIOS'!$G$5:$G$500,"E",'LANÇAMENTOS DIÁRIOS'!$C$5:$C$500,$A58,'LANÇAMENTOS DIÁRIOS'!$O$5:$O$500,"&lt;=105799",'LANÇAMENTOS DIÁRIOS'!$P$5:$P$500,"&gt;=105700")&gt;0,"X","")</f>
      </c>
      <c r="E58" s="56" t="str">
        <f>IF(COUNTIFS('LANÇAMENTOS DIÁRIOS'!$G$5:$G$500,"E",'LANÇAMENTOS DIÁRIOS'!$C$5:$C$500,$A58,'LANÇAMENTOS DIÁRIOS'!$O$5:$O$500,"&lt;=105899",'LANÇAMENTOS DIÁRIOS'!$P$5:$P$500,"&gt;=105800")&gt;0,"X","")</f>
      </c>
      <c r="F58" s="56" t="str">
        <f>IF(COUNTIFS('LANÇAMENTOS DIÁRIOS'!$G$5:$G$500,"E",'LANÇAMENTOS DIÁRIOS'!$C$5:$C$500,$A58,'LANÇAMENTOS DIÁRIOS'!$O$5:$O$500,"&lt;=105999",'LANÇAMENTOS DIÁRIOS'!$P$5:$P$500,"&gt;=105900")&gt;0,"X","")</f>
      </c>
      <c r="G58" s="56" t="str">
        <f>IF(COUNTIFS('LANÇAMENTOS DIÁRIOS'!$G$5:$G$500,"E",'LANÇAMENTOS DIÁRIOS'!$C$5:$C$500,$A58,'LANÇAMENTOS DIÁRIOS'!$O$5:$O$500,"&lt;=106099",'LANÇAMENTOS DIÁRIOS'!$P$5:$P$500,"&gt;=106000")&gt;0,"X","")</f>
      </c>
      <c r="H58" s="56" t="str">
        <f>IF(COUNTIFS('LANÇAMENTOS DIÁRIOS'!$G$5:$G$500,"E",'LANÇAMENTOS DIÁRIOS'!$C$5:$C$500,$A58,'LANÇAMENTOS DIÁRIOS'!$O$5:$O$500,"&lt;=106199",'LANÇAMENTOS DIÁRIOS'!$P$5:$P$500,"&gt;=106100")&gt;0,"X","")</f>
      </c>
      <c r="I58" s="56" t="str">
        <f>IF(COUNTIFS('LANÇAMENTOS DIÁRIOS'!$G$5:$G$500,"E",'LANÇAMENTOS DIÁRIOS'!$C$5:$C$500,$A58,'LANÇAMENTOS DIÁRIOS'!$O$5:$O$500,"&lt;=106299",'LANÇAMENTOS DIÁRIOS'!$P$5:$P$500,"&gt;=106200")&gt;0,"X","")</f>
      </c>
      <c r="J58" s="56" t="str">
        <f>IF(COUNTIFS('LANÇAMENTOS DIÁRIOS'!$G$5:$G$500,"E",'LANÇAMENTOS DIÁRIOS'!$C$5:$C$500,$A58,'LANÇAMENTOS DIÁRIOS'!$O$5:$O$500,"&lt;=106399",'LANÇAMENTOS DIÁRIOS'!$P$5:$P$500,"&gt;=106300")&gt;0,"X","")</f>
      </c>
      <c r="K58" s="56" t="str">
        <f>IF(COUNTIFS('LANÇAMENTOS DIÁRIOS'!$G$5:$G$500,"E",'LANÇAMENTOS DIÁRIOS'!$C$5:$C$500,$A58,'LANÇAMENTOS DIÁRIOS'!$O$5:$O$500,"&lt;=106499",'LANÇAMENTOS DIÁRIOS'!$P$5:$P$500,"&gt;=106400")&gt;0,"X","")</f>
      </c>
      <c r="L58" s="56" t="str">
        <f>IF(COUNTIFS('LANÇAMENTOS DIÁRIOS'!$G$5:$G$500,"E",'LANÇAMENTOS DIÁRIOS'!$C$5:$C$500,$A58,'LANÇAMENTOS DIÁRIOS'!$O$5:$O$500,"&lt;=106599",'LANÇAMENTOS DIÁRIOS'!$P$5:$P$500,"&gt;=106500")&gt;0,"X","")</f>
      </c>
      <c r="M58" s="56" t="str">
        <f>IF(COUNTIFS('LANÇAMENTOS DIÁRIOS'!$G$5:$G$500,"E",'LANÇAMENTOS DIÁRIOS'!$C$5:$C$500,$A58,'LANÇAMENTOS DIÁRIOS'!$O$5:$O$500,"&lt;=106699",'LANÇAMENTOS DIÁRIOS'!$P$5:$P$500,"&gt;=106600")&gt;0,"X","")</f>
      </c>
      <c r="N58" s="56" t="str">
        <f>IF(COUNTIFS('LANÇAMENTOS DIÁRIOS'!$G$5:$G$500,"E",'LANÇAMENTOS DIÁRIOS'!$C$5:$C$500,$A58,'LANÇAMENTOS DIÁRIOS'!$O$5:$O$500,"&lt;=106799",'LANÇAMENTOS DIÁRIOS'!$P$5:$P$500,"&gt;=106700")&gt;0,"X","")</f>
      </c>
      <c r="O58" s="56" t="str">
        <f>IF(COUNTIFS('LANÇAMENTOS DIÁRIOS'!$G$5:$G$500,"E",'LANÇAMENTOS DIÁRIOS'!$C$5:$C$500,$A58,'LANÇAMENTOS DIÁRIOS'!$O$5:$O$500,"&lt;=106899",'LANÇAMENTOS DIÁRIOS'!$P$5:$P$500,"&gt;=106800")&gt;0,"X","")</f>
      </c>
      <c r="P58" s="56" t="str">
        <f>IF(COUNTIFS('LANÇAMENTOS DIÁRIOS'!$G$5:$G$500,"E",'LANÇAMENTOS DIÁRIOS'!$C$5:$C$500,$A58,'LANÇAMENTOS DIÁRIOS'!$O$5:$O$500,"&lt;=106999",'LANÇAMENTOS DIÁRIOS'!$P$5:$P$500,"&gt;=106900")&gt;0,"X","")</f>
      </c>
      <c r="Q58" s="56" t="str">
        <f>IF(COUNTIFS('LANÇAMENTOS DIÁRIOS'!$G$5:$G$500,"E",'LANÇAMENTOS DIÁRIOS'!$C$5:$C$500,$A58,'LANÇAMENTOS DIÁRIOS'!$O$5:$O$500,"&lt;=107099",'LANÇAMENTOS DIÁRIOS'!$P$5:$P$500,"&gt;=107000")&gt;0,"X","")</f>
      </c>
      <c r="R58" s="56" t="str">
        <f>IF(COUNTIFS('LANÇAMENTOS DIÁRIOS'!$G$5:$G$500,"E",'LANÇAMENTOS DIÁRIOS'!$C$5:$C$500,$A58,'LANÇAMENTOS DIÁRIOS'!$O$5:$O$500,"&lt;=107199",'LANÇAMENTOS DIÁRIOS'!$P$5:$P$500,"&gt;=107100")&gt;0,"X","")</f>
      </c>
      <c r="S58" s="56" t="str">
        <f>IF(COUNTIFS('LANÇAMENTOS DIÁRIOS'!$G$5:$G$500,"E",'LANÇAMENTOS DIÁRIOS'!$C$5:$C$500,$A58,'LANÇAMENTOS DIÁRIOS'!$O$5:$O$500,"&lt;=107299",'LANÇAMENTOS DIÁRIOS'!$P$5:$P$500,"&gt;=107200")&gt;0,"X","")</f>
      </c>
      <c r="T58" s="56" t="str">
        <f>IF(COUNTIFS('LANÇAMENTOS DIÁRIOS'!$G$5:$G$500,"E",'LANÇAMENTOS DIÁRIOS'!$C$5:$C$500,$A58,'LANÇAMENTOS DIÁRIOS'!$O$5:$O$500,"&lt;=107399",'LANÇAMENTOS DIÁRIOS'!$P$5:$P$500,"&gt;=107300")&gt;0,"X","")</f>
      </c>
      <c r="U58" s="56" t="str">
        <f>IF(COUNTIFS('LANÇAMENTOS DIÁRIOS'!$G$5:$G$500,"E",'LANÇAMENTOS DIÁRIOS'!$C$5:$C$500,$A58,'LANÇAMENTOS DIÁRIOS'!$O$5:$O$500,"&lt;=107499",'LANÇAMENTOS DIÁRIOS'!$P$5:$P$500,"&gt;=107400")&gt;0,"X","")</f>
      </c>
      <c r="V58" s="56" t="str">
        <f>IF(COUNTIFS('LANÇAMENTOS DIÁRIOS'!$G$5:$G$500,"E",'LANÇAMENTOS DIÁRIOS'!$C$5:$C$500,$A58,'LANÇAMENTOS DIÁRIOS'!$O$5:$O$500,"&lt;=107599",'LANÇAMENTOS DIÁRIOS'!$P$5:$P$500,"&gt;=107500")&gt;0,"X","")</f>
      </c>
      <c r="W58" s="56" t="str">
        <f>IF(COUNTIFS('LANÇAMENTOS DIÁRIOS'!$G$5:$G$500,"E",'LANÇAMENTOS DIÁRIOS'!$C$5:$C$500,$A58,'LANÇAMENTOS DIÁRIOS'!$O$5:$O$500,"&lt;=107699",'LANÇAMENTOS DIÁRIOS'!$P$5:$P$500,"&gt;=107600")&gt;0,"X","")</f>
      </c>
      <c r="X58" s="56" t="str">
        <f>IF(COUNTIFS('LANÇAMENTOS DIÁRIOS'!$G$5:$G$500,"E",'LANÇAMENTOS DIÁRIOS'!$C$5:$C$500,$A58,'LANÇAMENTOS DIÁRIOS'!$O$5:$O$500,"&lt;=107799",'LANÇAMENTOS DIÁRIOS'!$P$5:$P$500,"&gt;=107700")&gt;0,"X","")</f>
      </c>
      <c r="Y58" s="56" t="str">
        <f>IF(COUNTIFS('LANÇAMENTOS DIÁRIOS'!$G$5:$G$500,"E",'LANÇAMENTOS DIÁRIOS'!$C$5:$C$500,$A58,'LANÇAMENTOS DIÁRIOS'!$O$5:$O$500,"&lt;=107899",'LANÇAMENTOS DIÁRIOS'!$P$5:$P$500,"&gt;=107800")&gt;0,"X","")</f>
      </c>
      <c r="Z58" s="56" t="str">
        <f>IF(COUNTIFS('LANÇAMENTOS DIÁRIOS'!$G$5:$G$500,"E",'LANÇAMENTOS DIÁRIOS'!$C$5:$C$500,$A58,'LANÇAMENTOS DIÁRIOS'!$O$5:$O$500,"&lt;=107999",'LANÇAMENTOS DIÁRIOS'!$P$5:$P$500,"&gt;=107900")&gt;0,"X","")</f>
      </c>
      <c r="AA58" s="56" t="str">
        <f>IF(COUNTIFS('LANÇAMENTOS DIÁRIOS'!$G$5:$G$500,"E",'LANÇAMENTOS DIÁRIOS'!$C$5:$C$500,$A58,'LANÇAMENTOS DIÁRIOS'!$O$5:$O$500,"&lt;=108099",'LANÇAMENTOS DIÁRIOS'!$P$5:$P$500,"&gt;=108000")&gt;0,"X","")</f>
      </c>
      <c r="AB58" s="56" t="str">
        <f>IF(COUNTIFS('LANÇAMENTOS DIÁRIOS'!$G$5:$G$500,"E",'LANÇAMENTOS DIÁRIOS'!$C$5:$C$500,$A58,'LANÇAMENTOS DIÁRIOS'!$O$5:$O$500,"&lt;=108199",'LANÇAMENTOS DIÁRIOS'!$P$5:$P$500,"&gt;=108100")&gt;0,"X","")</f>
      </c>
      <c r="AC58" s="56" t="str">
        <f>IF(COUNTIFS('LANÇAMENTOS DIÁRIOS'!$G$5:$G$500,"E",'LANÇAMENTOS DIÁRIOS'!$C$5:$C$500,$A58,'LANÇAMENTOS DIÁRIOS'!$O$5:$O$500,"&lt;=108299",'LANÇAMENTOS DIÁRIOS'!$P$5:$P$500,"&gt;=108200")&gt;0,"X","")</f>
      </c>
      <c r="AD58" s="56" t="str">
        <f>IF(COUNTIFS('LANÇAMENTOS DIÁRIOS'!$G$5:$G$500,"E",'LANÇAMENTOS DIÁRIOS'!$C$5:$C$500,$A58,'LANÇAMENTOS DIÁRIOS'!$O$5:$O$500,"&lt;=108399",'LANÇAMENTOS DIÁRIOS'!$P$5:$P$500,"&gt;=108300")&gt;0,"X","")</f>
      </c>
      <c r="AE58" s="56" t="str">
        <f>IF(COUNTIFS('LANÇAMENTOS DIÁRIOS'!$G$5:$G$500,"E",'LANÇAMENTOS DIÁRIOS'!$C$5:$C$500,$A58,'LANÇAMENTOS DIÁRIOS'!$O$5:$O$500,"&lt;=108499",'LANÇAMENTOS DIÁRIOS'!$P$5:$P$500,"&gt;=108400")&gt;0,"X","")</f>
      </c>
      <c r="AF58" s="56" t="str">
        <f>IF(COUNTIFS('LANÇAMENTOS DIÁRIOS'!$G$5:$G$500,"E",'LANÇAMENTOS DIÁRIOS'!$C$5:$C$500,$A58,'LANÇAMENTOS DIÁRIOS'!$O$5:$O$500,"&lt;=108599",'LANÇAMENTOS DIÁRIOS'!$P$5:$P$500,"&gt;=108500")&gt;0,"X","")</f>
      </c>
      <c r="AG58" s="56" t="str">
        <f>IF(COUNTIFS('LANÇAMENTOS DIÁRIOS'!$G$5:$G$500,"E",'LANÇAMENTOS DIÁRIOS'!$C$5:$C$500,$A58,'LANÇAMENTOS DIÁRIOS'!$O$5:$O$500,"&lt;=108699",'LANÇAMENTOS DIÁRIOS'!$P$5:$P$500,"&gt;=108600")&gt;0,"X","")</f>
      </c>
      <c r="AH58" s="56" t="str">
        <f>IF(COUNTIFS('LANÇAMENTOS DIÁRIOS'!$G$5:$G$500,"E",'LANÇAMENTOS DIÁRIOS'!$C$5:$C$500,$A58,'LANÇAMENTOS DIÁRIOS'!$O$5:$O$500,"&lt;=108799",'LANÇAMENTOS DIÁRIOS'!$P$5:$P$500,"&gt;=108700")&gt;0,"X","")</f>
      </c>
      <c r="AI58" s="56" t="str">
        <f>IF(COUNTIFS('LANÇAMENTOS DIÁRIOS'!$G$5:$G$500,"E",'LANÇAMENTOS DIÁRIOS'!$C$5:$C$500,$A58,'LANÇAMENTOS DIÁRIOS'!$O$5:$O$500,"&lt;=108899",'LANÇAMENTOS DIÁRIOS'!$P$5:$P$500,"&gt;=108800")&gt;0,"X","")</f>
      </c>
      <c r="AJ58" s="56" t="str">
        <f>IF(COUNTIFS('LANÇAMENTOS DIÁRIOS'!$G$5:$G$500,"E",'LANÇAMENTOS DIÁRIOS'!$C$5:$C$500,$A58,'LANÇAMENTOS DIÁRIOS'!$O$5:$O$500,"&lt;=108999",'LANÇAMENTOS DIÁRIOS'!$P$5:$P$500,"&gt;=108900")&gt;0,"X","")</f>
      </c>
      <c r="AK58" s="56" t="str">
        <f>IF(COUNTIFS('LANÇAMENTOS DIÁRIOS'!$G$5:$G$500,"E",'LANÇAMENTOS DIÁRIOS'!$C$5:$C$500,$A58,'LANÇAMENTOS DIÁRIOS'!$O$5:$O$500,"&lt;=109099",'LANÇAMENTOS DIÁRIOS'!$P$5:$P$500,"&gt;=109000")&gt;0,"X","")</f>
      </c>
      <c r="AL58" s="56" t="str">
        <f>IF(COUNTIFS('LANÇAMENTOS DIÁRIOS'!$G$5:$G$500,"E",'LANÇAMENTOS DIÁRIOS'!$C$5:$C$500,$A58,'LANÇAMENTOS DIÁRIOS'!$O$5:$O$500,"&lt;=109199",'LANÇAMENTOS DIÁRIOS'!$P$5:$P$500,"&gt;=109100")&gt;0,"X","")</f>
      </c>
      <c r="AM58" s="56" t="str">
        <f>IF(COUNTIFS('LANÇAMENTOS DIÁRIOS'!$G$5:$G$500,"E",'LANÇAMENTOS DIÁRIOS'!$C$5:$C$500,$A58,'LANÇAMENTOS DIÁRIOS'!$O$5:$O$500,"&lt;=109299",'LANÇAMENTOS DIÁRIOS'!$P$5:$P$500,"&gt;=109200")&gt;0,"X","")</f>
      </c>
      <c r="AN58" s="56" t="str">
        <f>IF(COUNTIFS('LANÇAMENTOS DIÁRIOS'!$G$5:$G$500,"E",'LANÇAMENTOS DIÁRIOS'!$C$5:$C$500,$A58,'LANÇAMENTOS DIÁRIOS'!$O$5:$O$500,"&lt;=109399",'LANÇAMENTOS DIÁRIOS'!$P$5:$P$500,"&gt;=109300")&gt;0,"X","")</f>
      </c>
      <c r="AO58" s="56" t="str">
        <f>IF(COUNTIFS('LANÇAMENTOS DIÁRIOS'!$G$5:$G$500,"E",'LANÇAMENTOS DIÁRIOS'!$C$5:$C$500,$A58,'LANÇAMENTOS DIÁRIOS'!$O$5:$O$500,"&lt;=109499",'LANÇAMENTOS DIÁRIOS'!$P$5:$P$500,"&gt;=109400")&gt;0,"X","")</f>
      </c>
      <c r="AP58" s="56" t="str">
        <f>IF(COUNTIFS('LANÇAMENTOS DIÁRIOS'!$G$5:$G$500,"E",'LANÇAMENTOS DIÁRIOS'!$C$5:$C$500,$A58,'LANÇAMENTOS DIÁRIOS'!$O$5:$O$500,"&lt;=109599",'LANÇAMENTOS DIÁRIOS'!$P$5:$P$500,"&gt;=109500")&gt;0,"X","")</f>
      </c>
      <c r="AQ58" s="56" t="str">
        <f>IF(COUNTIFS('LANÇAMENTOS DIÁRIOS'!$G$5:$G$500,"E",'LANÇAMENTOS DIÁRIOS'!$C$5:$C$500,$A58,'LANÇAMENTOS DIÁRIOS'!$O$5:$O$500,"&lt;=109699",'LANÇAMENTOS DIÁRIOS'!$P$5:$P$500,"&gt;=109600")&gt;0,"X","")</f>
      </c>
      <c r="AR58" s="56" t="str">
        <f>IF(COUNTIFS('LANÇAMENTOS DIÁRIOS'!$G$5:$G$500,"E",'LANÇAMENTOS DIÁRIOS'!$C$5:$C$500,$A58,'LANÇAMENTOS DIÁRIOS'!$O$5:$O$500,"&lt;=109799",'LANÇAMENTOS DIÁRIOS'!$P$5:$P$500,"&gt;=109700")&gt;0,"X","")</f>
      </c>
      <c r="AS58" s="56" t="str">
        <f>IF(COUNTIFS('LANÇAMENTOS DIÁRIOS'!$G$5:$G$500,"E",'LANÇAMENTOS DIÁRIOS'!$C$5:$C$500,$A58,'LANÇAMENTOS DIÁRIOS'!$O$5:$O$500,"&lt;=109899",'LANÇAMENTOS DIÁRIOS'!$P$5:$P$500,"&gt;=109800")&gt;0,"X","")</f>
      </c>
      <c r="AT58" s="56" t="str">
        <f>IF(COUNTIFS('LANÇAMENTOS DIÁRIOS'!$G$5:$G$500,"E",'LANÇAMENTOS DIÁRIOS'!$C$5:$C$500,$A58,'LANÇAMENTOS DIÁRIOS'!$O$5:$O$500,"&lt;=109999",'LANÇAMENTOS DIÁRIOS'!$P$5:$P$500,"&gt;=109900")&gt;0,"X","")</f>
      </c>
      <c r="AU58" s="56" t="str">
        <f>IF(COUNTIFS('LANÇAMENTOS DIÁRIOS'!$G$5:$G$500,"E",'LANÇAMENTOS DIÁRIOS'!$C$5:$C$500,$A58,'LANÇAMENTOS DIÁRIOS'!$O$5:$O$500,"&lt;=110099",'LANÇAMENTOS DIÁRIOS'!$P$5:$P$500,"&gt;=110000")&gt;0,"X","")</f>
      </c>
      <c r="AV58" s="56" t="str">
        <f>IF(COUNTIFS('LANÇAMENTOS DIÁRIOS'!$G$5:$G$500,"E",'LANÇAMENTOS DIÁRIOS'!$C$5:$C$500,$A58,'LANÇAMENTOS DIÁRIOS'!$O$5:$O$500,"&lt;=110199",'LANÇAMENTOS DIÁRIOS'!$P$5:$P$500,"&gt;=110100")&gt;0,"X","")</f>
      </c>
      <c r="AW58" s="56" t="str">
        <f>IF(COUNTIFS('LANÇAMENTOS DIÁRIOS'!$G$5:$G$500,"E",'LANÇAMENTOS DIÁRIOS'!$C$5:$C$500,$A58,'LANÇAMENTOS DIÁRIOS'!$O$5:$O$500,"&lt;=110299",'LANÇAMENTOS DIÁRIOS'!$P$5:$P$500,"&gt;=110200")&gt;0,"X","")</f>
      </c>
      <c r="AX58" s="56" t="str">
        <f>IF(COUNTIFS('LANÇAMENTOS DIÁRIOS'!$G$5:$G$500,"E",'LANÇAMENTOS DIÁRIOS'!$C$5:$C$500,$A58,'LANÇAMENTOS DIÁRIOS'!$O$5:$O$500,"&lt;=110399",'LANÇAMENTOS DIÁRIOS'!$P$5:$P$500,"&gt;=110300")&gt;0,"X","")</f>
      </c>
      <c r="AY58" s="56" t="str">
        <f>IF(COUNTIFS('LANÇAMENTOS DIÁRIOS'!$G$5:$G$500,"E",'LANÇAMENTOS DIÁRIOS'!$C$5:$C$500,$A58,'LANÇAMENTOS DIÁRIOS'!$O$5:$O$500,"&lt;=110499",'LANÇAMENTOS DIÁRIOS'!$P$5:$P$500,"&gt;=110400")&gt;0,"X","")</f>
      </c>
      <c r="AZ58" s="56" t="str">
        <f>IF(COUNTIFS('LANÇAMENTOS DIÁRIOS'!$G$5:$G$500,"E",'LANÇAMENTOS DIÁRIOS'!$C$5:$C$500,$A58,'LANÇAMENTOS DIÁRIOS'!$O$5:$O$500,"&lt;=110599",'LANÇAMENTOS DIÁRIOS'!$P$5:$P$500,"&gt;=110500")&gt;0,"X","")</f>
      </c>
      <c r="BA58" s="56" t="str">
        <f>IF(COUNTIFS('LANÇAMENTOS DIÁRIOS'!$G$5:$G$500,"E",'LANÇAMENTOS DIÁRIOS'!$C$5:$C$500,$A58,'LANÇAMENTOS DIÁRIOS'!$O$5:$O$500,"&lt;=110699",'LANÇAMENTOS DIÁRIOS'!$P$5:$P$500,"&gt;=110600")&gt;0,"X","")</f>
      </c>
      <c r="BB58" s="56" t="str">
        <f>IF(COUNTIFS('LANÇAMENTOS DIÁRIOS'!$G$5:$G$500,"E",'LANÇAMENTOS DIÁRIOS'!$C$5:$C$500,$A58,'LANÇAMENTOS DIÁRIOS'!$O$5:$O$500,"&lt;=110799",'LANÇAMENTOS DIÁRIOS'!$P$5:$P$500,"&gt;=110700")&gt;0,"X","")</f>
      </c>
      <c r="BC58" s="56" t="str">
        <f>IF(COUNTIFS('LANÇAMENTOS DIÁRIOS'!$G$5:$G$500,"E",'LANÇAMENTOS DIÁRIOS'!$C$5:$C$500,$A58,'LANÇAMENTOS DIÁRIOS'!$O$5:$O$500,"&lt;=110899",'LANÇAMENTOS DIÁRIOS'!$P$5:$P$500,"&gt;=110800")&gt;0,"X","")</f>
      </c>
      <c r="BD58" s="56" t="str">
        <f>IF(COUNTIFS('LANÇAMENTOS DIÁRIOS'!$G$5:$G$500,"E",'LANÇAMENTOS DIÁRIOS'!$C$5:$C$500,$A58,'LANÇAMENTOS DIÁRIOS'!$O$5:$O$500,"&lt;=110999",'LANÇAMENTOS DIÁRIOS'!$P$5:$P$500,"&gt;=110900")&gt;0,"X","")</f>
      </c>
      <c r="BE58" s="56" t="str">
        <f>IF(COUNTIFS('LANÇAMENTOS DIÁRIOS'!$G$5:$G$500,"E",'LANÇAMENTOS DIÁRIOS'!$C$5:$C$500,$A58,'LANÇAMENTOS DIÁRIOS'!$O$5:$O$500,"&lt;=111099",'LANÇAMENTOS DIÁRIOS'!$P$5:$P$500,"&gt;=111000")&gt;0,"X","")</f>
      </c>
      <c r="BF58" s="56" t="str">
        <f>IF(COUNTIFS('LANÇAMENTOS DIÁRIOS'!$G$5:$G$500,"E",'LANÇAMENTOS DIÁRIOS'!$C$5:$C$500,$A58,'LANÇAMENTOS DIÁRIOS'!$O$5:$O$500,"&lt;=111199",'LANÇAMENTOS DIÁRIOS'!$P$5:$P$500,"&gt;=111100")&gt;0,"X","")</f>
      </c>
      <c r="BG58" s="56" t="str">
        <f>IF(COUNTIFS('LANÇAMENTOS DIÁRIOS'!$G$5:$G$500,"E",'LANÇAMENTOS DIÁRIOS'!$C$5:$C$500,$A58,'LANÇAMENTOS DIÁRIOS'!$O$5:$O$500,"&lt;=111299",'LANÇAMENTOS DIÁRIOS'!$P$5:$P$500,"&gt;=111200")&gt;0,"X","")</f>
      </c>
      <c r="BH58" s="56" t="str">
        <f>IF(COUNTIFS('LANÇAMENTOS DIÁRIOS'!$G$5:$G$500,"E",'LANÇAMENTOS DIÁRIOS'!$C$5:$C$500,$A58,'LANÇAMENTOS DIÁRIOS'!$O$5:$O$500,"&lt;=111399",'LANÇAMENTOS DIÁRIOS'!$P$5:$P$500,"&gt;=111300")&gt;0,"X","")</f>
      </c>
      <c r="BI58" s="56" t="str">
        <f>IF(COUNTIFS('LANÇAMENTOS DIÁRIOS'!$G$5:$G$500,"E",'LANÇAMENTOS DIÁRIOS'!$C$5:$C$500,$A58,'LANÇAMENTOS DIÁRIOS'!$O$5:$O$500,"&lt;=111499",'LANÇAMENTOS DIÁRIOS'!$P$5:$P$500,"&gt;=111400")&gt;0,"X","")</f>
      </c>
      <c r="BJ58" s="56" t="str">
        <f>IF(COUNTIFS('LANÇAMENTOS DIÁRIOS'!$G$5:$G$500,"E",'LANÇAMENTOS DIÁRIOS'!$C$5:$C$500,$A58,'LANÇAMENTOS DIÁRIOS'!$O$5:$O$500,"&lt;=111500",'LANÇAMENTOS DIÁRIOS'!$P$5:$P$500,"&gt;=111500")&gt;0,"X","")</f>
      </c>
    </row>
    <row r="59" ht="19" customHeight="1">
      <c r="A59" s="68" t="str">
        <v>Construção do subleito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</row>
    <row r="60">
      <c r="A60" s="51" t="str">
        <v>Regularização do subleito</v>
      </c>
      <c r="B60" s="56" t="str">
        <f>IF(COUNTIFS('LANÇAMENTOS DIÁRIOS'!$G$5:$G$500,"E",'LANÇAMENTOS DIÁRIOS'!$C$5:$C$500,$A60,'LANÇAMENTOS DIÁRIOS'!$O$5:$O$500,"&lt;=105599",'LANÇAMENTOS DIÁRIOS'!$P$5:$P$500,"&gt;=105500")&gt;0,"X","")</f>
      </c>
      <c r="C60" s="56" t="str">
        <f>IF(COUNTIFS('LANÇAMENTOS DIÁRIOS'!$G$5:$G$500,"E",'LANÇAMENTOS DIÁRIOS'!$C$5:$C$500,$A60,'LANÇAMENTOS DIÁRIOS'!$O$5:$O$500,"&lt;=105699",'LANÇAMENTOS DIÁRIOS'!$P$5:$P$500,"&gt;=105600")&gt;0,"X","")</f>
      </c>
      <c r="D60" s="56" t="str">
        <f>IF(COUNTIFS('LANÇAMENTOS DIÁRIOS'!$G$5:$G$500,"E",'LANÇAMENTOS DIÁRIOS'!$C$5:$C$500,$A60,'LANÇAMENTOS DIÁRIOS'!$O$5:$O$500,"&lt;=105799",'LANÇAMENTOS DIÁRIOS'!$P$5:$P$500,"&gt;=105700")&gt;0,"X","")</f>
      </c>
      <c r="E60" s="56" t="str">
        <f>IF(COUNTIFS('LANÇAMENTOS DIÁRIOS'!$G$5:$G$500,"E",'LANÇAMENTOS DIÁRIOS'!$C$5:$C$500,$A60,'LANÇAMENTOS DIÁRIOS'!$O$5:$O$500,"&lt;=105899",'LANÇAMENTOS DIÁRIOS'!$P$5:$P$500,"&gt;=105800")&gt;0,"X","")</f>
      </c>
      <c r="F60" s="56" t="str">
        <f>IF(COUNTIFS('LANÇAMENTOS DIÁRIOS'!$G$5:$G$500,"E",'LANÇAMENTOS DIÁRIOS'!$C$5:$C$500,$A60,'LANÇAMENTOS DIÁRIOS'!$O$5:$O$500,"&lt;=105999",'LANÇAMENTOS DIÁRIOS'!$P$5:$P$500,"&gt;=105900")&gt;0,"X","")</f>
      </c>
      <c r="G60" s="56" t="str">
        <f>IF(COUNTIFS('LANÇAMENTOS DIÁRIOS'!$G$5:$G$500,"E",'LANÇAMENTOS DIÁRIOS'!$C$5:$C$500,$A60,'LANÇAMENTOS DIÁRIOS'!$O$5:$O$500,"&lt;=106099",'LANÇAMENTOS DIÁRIOS'!$P$5:$P$500,"&gt;=106000")&gt;0,"X","")</f>
      </c>
      <c r="H60" s="56" t="str">
        <f>IF(COUNTIFS('LANÇAMENTOS DIÁRIOS'!$G$5:$G$500,"E",'LANÇAMENTOS DIÁRIOS'!$C$5:$C$500,$A60,'LANÇAMENTOS DIÁRIOS'!$O$5:$O$500,"&lt;=106199",'LANÇAMENTOS DIÁRIOS'!$P$5:$P$500,"&gt;=106100")&gt;0,"X","")</f>
      </c>
      <c r="I60" s="56" t="str">
        <f>IF(COUNTIFS('LANÇAMENTOS DIÁRIOS'!$G$5:$G$500,"E",'LANÇAMENTOS DIÁRIOS'!$C$5:$C$500,$A60,'LANÇAMENTOS DIÁRIOS'!$O$5:$O$500,"&lt;=106299",'LANÇAMENTOS DIÁRIOS'!$P$5:$P$500,"&gt;=106200")&gt;0,"X","")</f>
      </c>
      <c r="J60" s="56" t="str">
        <f>IF(COUNTIFS('LANÇAMENTOS DIÁRIOS'!$G$5:$G$500,"E",'LANÇAMENTOS DIÁRIOS'!$C$5:$C$500,$A60,'LANÇAMENTOS DIÁRIOS'!$O$5:$O$500,"&lt;=106399",'LANÇAMENTOS DIÁRIOS'!$P$5:$P$500,"&gt;=106300")&gt;0,"X","")</f>
      </c>
      <c r="K60" s="56" t="str">
        <f>IF(COUNTIFS('LANÇAMENTOS DIÁRIOS'!$G$5:$G$500,"E",'LANÇAMENTOS DIÁRIOS'!$C$5:$C$500,$A60,'LANÇAMENTOS DIÁRIOS'!$O$5:$O$500,"&lt;=106499",'LANÇAMENTOS DIÁRIOS'!$P$5:$P$500,"&gt;=106400")&gt;0,"X","")</f>
      </c>
      <c r="L60" s="56" t="str">
        <f>IF(COUNTIFS('LANÇAMENTOS DIÁRIOS'!$G$5:$G$500,"E",'LANÇAMENTOS DIÁRIOS'!$C$5:$C$500,$A60,'LANÇAMENTOS DIÁRIOS'!$O$5:$O$500,"&lt;=106599",'LANÇAMENTOS DIÁRIOS'!$P$5:$P$500,"&gt;=106500")&gt;0,"X","")</f>
      </c>
      <c r="M60" s="56" t="str">
        <f>IF(COUNTIFS('LANÇAMENTOS DIÁRIOS'!$G$5:$G$500,"E",'LANÇAMENTOS DIÁRIOS'!$C$5:$C$500,$A60,'LANÇAMENTOS DIÁRIOS'!$O$5:$O$500,"&lt;=106699",'LANÇAMENTOS DIÁRIOS'!$P$5:$P$500,"&gt;=106600")&gt;0,"X","")</f>
      </c>
      <c r="N60" s="56" t="str">
        <f>IF(COUNTIFS('LANÇAMENTOS DIÁRIOS'!$G$5:$G$500,"E",'LANÇAMENTOS DIÁRIOS'!$C$5:$C$500,$A60,'LANÇAMENTOS DIÁRIOS'!$O$5:$O$500,"&lt;=106799",'LANÇAMENTOS DIÁRIOS'!$P$5:$P$500,"&gt;=106700")&gt;0,"X","")</f>
      </c>
      <c r="O60" s="56" t="str">
        <f>IF(COUNTIFS('LANÇAMENTOS DIÁRIOS'!$G$5:$G$500,"E",'LANÇAMENTOS DIÁRIOS'!$C$5:$C$500,$A60,'LANÇAMENTOS DIÁRIOS'!$O$5:$O$500,"&lt;=106899",'LANÇAMENTOS DIÁRIOS'!$P$5:$P$500,"&gt;=106800")&gt;0,"X","")</f>
      </c>
      <c r="P60" s="56" t="str">
        <f>IF(COUNTIFS('LANÇAMENTOS DIÁRIOS'!$G$5:$G$500,"E",'LANÇAMENTOS DIÁRIOS'!$C$5:$C$500,$A60,'LANÇAMENTOS DIÁRIOS'!$O$5:$O$500,"&lt;=106999",'LANÇAMENTOS DIÁRIOS'!$P$5:$P$500,"&gt;=106900")&gt;0,"X","")</f>
      </c>
      <c r="Q60" s="56" t="str">
        <f>IF(COUNTIFS('LANÇAMENTOS DIÁRIOS'!$G$5:$G$500,"E",'LANÇAMENTOS DIÁRIOS'!$C$5:$C$500,$A60,'LANÇAMENTOS DIÁRIOS'!$O$5:$O$500,"&lt;=107099",'LANÇAMENTOS DIÁRIOS'!$P$5:$P$500,"&gt;=107000")&gt;0,"X","")</f>
      </c>
      <c r="R60" s="56" t="str">
        <f>IF(COUNTIFS('LANÇAMENTOS DIÁRIOS'!$G$5:$G$500,"E",'LANÇAMENTOS DIÁRIOS'!$C$5:$C$500,$A60,'LANÇAMENTOS DIÁRIOS'!$O$5:$O$500,"&lt;=107199",'LANÇAMENTOS DIÁRIOS'!$P$5:$P$500,"&gt;=107100")&gt;0,"X","")</f>
      </c>
      <c r="S60" s="56" t="str">
        <f>IF(COUNTIFS('LANÇAMENTOS DIÁRIOS'!$G$5:$G$500,"E",'LANÇAMENTOS DIÁRIOS'!$C$5:$C$500,$A60,'LANÇAMENTOS DIÁRIOS'!$O$5:$O$500,"&lt;=107299",'LANÇAMENTOS DIÁRIOS'!$P$5:$P$500,"&gt;=107200")&gt;0,"X","")</f>
      </c>
      <c r="T60" s="56" t="str">
        <f>IF(COUNTIFS('LANÇAMENTOS DIÁRIOS'!$G$5:$G$500,"E",'LANÇAMENTOS DIÁRIOS'!$C$5:$C$500,$A60,'LANÇAMENTOS DIÁRIOS'!$O$5:$O$500,"&lt;=107399",'LANÇAMENTOS DIÁRIOS'!$P$5:$P$500,"&gt;=107300")&gt;0,"X","")</f>
      </c>
      <c r="U60" s="56" t="str">
        <f>IF(COUNTIFS('LANÇAMENTOS DIÁRIOS'!$G$5:$G$500,"E",'LANÇAMENTOS DIÁRIOS'!$C$5:$C$500,$A60,'LANÇAMENTOS DIÁRIOS'!$O$5:$O$500,"&lt;=107499",'LANÇAMENTOS DIÁRIOS'!$P$5:$P$500,"&gt;=107400")&gt;0,"X","")</f>
      </c>
      <c r="V60" s="56" t="str">
        <f>IF(COUNTIFS('LANÇAMENTOS DIÁRIOS'!$G$5:$G$500,"E",'LANÇAMENTOS DIÁRIOS'!$C$5:$C$500,$A60,'LANÇAMENTOS DIÁRIOS'!$O$5:$O$500,"&lt;=107599",'LANÇAMENTOS DIÁRIOS'!$P$5:$P$500,"&gt;=107500")&gt;0,"X","")</f>
      </c>
      <c r="W60" s="56" t="str">
        <f>IF(COUNTIFS('LANÇAMENTOS DIÁRIOS'!$G$5:$G$500,"E",'LANÇAMENTOS DIÁRIOS'!$C$5:$C$500,$A60,'LANÇAMENTOS DIÁRIOS'!$O$5:$O$500,"&lt;=107699",'LANÇAMENTOS DIÁRIOS'!$P$5:$P$500,"&gt;=107600")&gt;0,"X","")</f>
      </c>
      <c r="X60" s="56" t="str">
        <f>IF(COUNTIFS('LANÇAMENTOS DIÁRIOS'!$G$5:$G$500,"E",'LANÇAMENTOS DIÁRIOS'!$C$5:$C$500,$A60,'LANÇAMENTOS DIÁRIOS'!$O$5:$O$500,"&lt;=107799",'LANÇAMENTOS DIÁRIOS'!$P$5:$P$500,"&gt;=107700")&gt;0,"X","")</f>
      </c>
      <c r="Y60" s="56" t="str">
        <f>IF(COUNTIFS('LANÇAMENTOS DIÁRIOS'!$G$5:$G$500,"E",'LANÇAMENTOS DIÁRIOS'!$C$5:$C$500,$A60,'LANÇAMENTOS DIÁRIOS'!$O$5:$O$500,"&lt;=107899",'LANÇAMENTOS DIÁRIOS'!$P$5:$P$500,"&gt;=107800")&gt;0,"X","")</f>
      </c>
      <c r="Z60" s="56" t="str">
        <f>IF(COUNTIFS('LANÇAMENTOS DIÁRIOS'!$G$5:$G$500,"E",'LANÇAMENTOS DIÁRIOS'!$C$5:$C$500,$A60,'LANÇAMENTOS DIÁRIOS'!$O$5:$O$500,"&lt;=107999",'LANÇAMENTOS DIÁRIOS'!$P$5:$P$500,"&gt;=107900")&gt;0,"X","")</f>
      </c>
      <c r="AA60" s="56" t="str">
        <f>IF(COUNTIFS('LANÇAMENTOS DIÁRIOS'!$G$5:$G$500,"E",'LANÇAMENTOS DIÁRIOS'!$C$5:$C$500,$A60,'LANÇAMENTOS DIÁRIOS'!$O$5:$O$500,"&lt;=108099",'LANÇAMENTOS DIÁRIOS'!$P$5:$P$500,"&gt;=108000")&gt;0,"X","")</f>
      </c>
      <c r="AB60" s="56" t="str">
        <f>IF(COUNTIFS('LANÇAMENTOS DIÁRIOS'!$G$5:$G$500,"E",'LANÇAMENTOS DIÁRIOS'!$C$5:$C$500,$A60,'LANÇAMENTOS DIÁRIOS'!$O$5:$O$500,"&lt;=108199",'LANÇAMENTOS DIÁRIOS'!$P$5:$P$500,"&gt;=108100")&gt;0,"X","")</f>
      </c>
      <c r="AC60" s="56" t="str">
        <f>IF(COUNTIFS('LANÇAMENTOS DIÁRIOS'!$G$5:$G$500,"E",'LANÇAMENTOS DIÁRIOS'!$C$5:$C$500,$A60,'LANÇAMENTOS DIÁRIOS'!$O$5:$O$500,"&lt;=108299",'LANÇAMENTOS DIÁRIOS'!$P$5:$P$500,"&gt;=108200")&gt;0,"X","")</f>
      </c>
      <c r="AD60" s="56" t="str">
        <f>IF(COUNTIFS('LANÇAMENTOS DIÁRIOS'!$G$5:$G$500,"E",'LANÇAMENTOS DIÁRIOS'!$C$5:$C$500,$A60,'LANÇAMENTOS DIÁRIOS'!$O$5:$O$500,"&lt;=108399",'LANÇAMENTOS DIÁRIOS'!$P$5:$P$500,"&gt;=108300")&gt;0,"X","")</f>
      </c>
      <c r="AE60" s="56" t="str">
        <f>IF(COUNTIFS('LANÇAMENTOS DIÁRIOS'!$G$5:$G$500,"E",'LANÇAMENTOS DIÁRIOS'!$C$5:$C$500,$A60,'LANÇAMENTOS DIÁRIOS'!$O$5:$O$500,"&lt;=108499",'LANÇAMENTOS DIÁRIOS'!$P$5:$P$500,"&gt;=108400")&gt;0,"X","")</f>
      </c>
      <c r="AF60" s="56" t="str">
        <f>IF(COUNTIFS('LANÇAMENTOS DIÁRIOS'!$G$5:$G$500,"E",'LANÇAMENTOS DIÁRIOS'!$C$5:$C$500,$A60,'LANÇAMENTOS DIÁRIOS'!$O$5:$O$500,"&lt;=108599",'LANÇAMENTOS DIÁRIOS'!$P$5:$P$500,"&gt;=108500")&gt;0,"X","")</f>
      </c>
      <c r="AG60" s="56" t="str">
        <f>IF(COUNTIFS('LANÇAMENTOS DIÁRIOS'!$G$5:$G$500,"E",'LANÇAMENTOS DIÁRIOS'!$C$5:$C$500,$A60,'LANÇAMENTOS DIÁRIOS'!$O$5:$O$500,"&lt;=108699",'LANÇAMENTOS DIÁRIOS'!$P$5:$P$500,"&gt;=108600")&gt;0,"X","")</f>
      </c>
      <c r="AH60" s="56" t="str">
        <f>IF(COUNTIFS('LANÇAMENTOS DIÁRIOS'!$G$5:$G$500,"E",'LANÇAMENTOS DIÁRIOS'!$C$5:$C$500,$A60,'LANÇAMENTOS DIÁRIOS'!$O$5:$O$500,"&lt;=108799",'LANÇAMENTOS DIÁRIOS'!$P$5:$P$500,"&gt;=108700")&gt;0,"X","")</f>
      </c>
      <c r="AI60" s="56" t="str">
        <f>IF(COUNTIFS('LANÇAMENTOS DIÁRIOS'!$G$5:$G$500,"E",'LANÇAMENTOS DIÁRIOS'!$C$5:$C$500,$A60,'LANÇAMENTOS DIÁRIOS'!$O$5:$O$500,"&lt;=108899",'LANÇAMENTOS DIÁRIOS'!$P$5:$P$500,"&gt;=108800")&gt;0,"X","")</f>
      </c>
      <c r="AJ60" s="56" t="str">
        <f>IF(COUNTIFS('LANÇAMENTOS DIÁRIOS'!$G$5:$G$500,"E",'LANÇAMENTOS DIÁRIOS'!$C$5:$C$500,$A60,'LANÇAMENTOS DIÁRIOS'!$O$5:$O$500,"&lt;=108999",'LANÇAMENTOS DIÁRIOS'!$P$5:$P$500,"&gt;=108900")&gt;0,"X","")</f>
      </c>
      <c r="AK60" s="56" t="str">
        <f>IF(COUNTIFS('LANÇAMENTOS DIÁRIOS'!$G$5:$G$500,"E",'LANÇAMENTOS DIÁRIOS'!$C$5:$C$500,$A60,'LANÇAMENTOS DIÁRIOS'!$O$5:$O$500,"&lt;=109099",'LANÇAMENTOS DIÁRIOS'!$P$5:$P$500,"&gt;=109000")&gt;0,"X","")</f>
      </c>
      <c r="AL60" s="56" t="str">
        <f>IF(COUNTIFS('LANÇAMENTOS DIÁRIOS'!$G$5:$G$500,"E",'LANÇAMENTOS DIÁRIOS'!$C$5:$C$500,$A60,'LANÇAMENTOS DIÁRIOS'!$O$5:$O$500,"&lt;=109199",'LANÇAMENTOS DIÁRIOS'!$P$5:$P$500,"&gt;=109100")&gt;0,"X","")</f>
      </c>
      <c r="AM60" s="56" t="str">
        <f>IF(COUNTIFS('LANÇAMENTOS DIÁRIOS'!$G$5:$G$500,"E",'LANÇAMENTOS DIÁRIOS'!$C$5:$C$500,$A60,'LANÇAMENTOS DIÁRIOS'!$O$5:$O$500,"&lt;=109299",'LANÇAMENTOS DIÁRIOS'!$P$5:$P$500,"&gt;=109200")&gt;0,"X","")</f>
      </c>
      <c r="AN60" s="56" t="str">
        <f>IF(COUNTIFS('LANÇAMENTOS DIÁRIOS'!$G$5:$G$500,"E",'LANÇAMENTOS DIÁRIOS'!$C$5:$C$500,$A60,'LANÇAMENTOS DIÁRIOS'!$O$5:$O$500,"&lt;=109399",'LANÇAMENTOS DIÁRIOS'!$P$5:$P$500,"&gt;=109300")&gt;0,"X","")</f>
      </c>
      <c r="AO60" s="56" t="str">
        <f>IF(COUNTIFS('LANÇAMENTOS DIÁRIOS'!$G$5:$G$500,"E",'LANÇAMENTOS DIÁRIOS'!$C$5:$C$500,$A60,'LANÇAMENTOS DIÁRIOS'!$O$5:$O$500,"&lt;=109499",'LANÇAMENTOS DIÁRIOS'!$P$5:$P$500,"&gt;=109400")&gt;0,"X","")</f>
      </c>
      <c r="AP60" s="56" t="str">
        <f>IF(COUNTIFS('LANÇAMENTOS DIÁRIOS'!$G$5:$G$500,"E",'LANÇAMENTOS DIÁRIOS'!$C$5:$C$500,$A60,'LANÇAMENTOS DIÁRIOS'!$O$5:$O$500,"&lt;=109599",'LANÇAMENTOS DIÁRIOS'!$P$5:$P$500,"&gt;=109500")&gt;0,"X","")</f>
      </c>
      <c r="AQ60" s="56" t="str">
        <f>IF(COUNTIFS('LANÇAMENTOS DIÁRIOS'!$G$5:$G$500,"E",'LANÇAMENTOS DIÁRIOS'!$C$5:$C$500,$A60,'LANÇAMENTOS DIÁRIOS'!$O$5:$O$500,"&lt;=109699",'LANÇAMENTOS DIÁRIOS'!$P$5:$P$500,"&gt;=109600")&gt;0,"X","")</f>
      </c>
      <c r="AR60" s="56" t="str">
        <f>IF(COUNTIFS('LANÇAMENTOS DIÁRIOS'!$G$5:$G$500,"E",'LANÇAMENTOS DIÁRIOS'!$C$5:$C$500,$A60,'LANÇAMENTOS DIÁRIOS'!$O$5:$O$500,"&lt;=109799",'LANÇAMENTOS DIÁRIOS'!$P$5:$P$500,"&gt;=109700")&gt;0,"X","")</f>
      </c>
      <c r="AS60" s="56" t="str">
        <f>IF(COUNTIFS('LANÇAMENTOS DIÁRIOS'!$G$5:$G$500,"E",'LANÇAMENTOS DIÁRIOS'!$C$5:$C$500,$A60,'LANÇAMENTOS DIÁRIOS'!$O$5:$O$500,"&lt;=109899",'LANÇAMENTOS DIÁRIOS'!$P$5:$P$500,"&gt;=109800")&gt;0,"X","")</f>
      </c>
      <c r="AT60" s="56" t="str">
        <f>IF(COUNTIFS('LANÇAMENTOS DIÁRIOS'!$G$5:$G$500,"E",'LANÇAMENTOS DIÁRIOS'!$C$5:$C$500,$A60,'LANÇAMENTOS DIÁRIOS'!$O$5:$O$500,"&lt;=109999",'LANÇAMENTOS DIÁRIOS'!$P$5:$P$500,"&gt;=109900")&gt;0,"X","")</f>
      </c>
      <c r="AU60" s="56" t="str">
        <f>IF(COUNTIFS('LANÇAMENTOS DIÁRIOS'!$G$5:$G$500,"E",'LANÇAMENTOS DIÁRIOS'!$C$5:$C$500,$A60,'LANÇAMENTOS DIÁRIOS'!$O$5:$O$500,"&lt;=110099",'LANÇAMENTOS DIÁRIOS'!$P$5:$P$500,"&gt;=110000")&gt;0,"X","")</f>
      </c>
      <c r="AV60" s="56" t="str">
        <f>IF(COUNTIFS('LANÇAMENTOS DIÁRIOS'!$G$5:$G$500,"E",'LANÇAMENTOS DIÁRIOS'!$C$5:$C$500,$A60,'LANÇAMENTOS DIÁRIOS'!$O$5:$O$500,"&lt;=110199",'LANÇAMENTOS DIÁRIOS'!$P$5:$P$500,"&gt;=110100")&gt;0,"X","")</f>
      </c>
      <c r="AW60" s="56" t="str">
        <f>IF(COUNTIFS('LANÇAMENTOS DIÁRIOS'!$G$5:$G$500,"E",'LANÇAMENTOS DIÁRIOS'!$C$5:$C$500,$A60,'LANÇAMENTOS DIÁRIOS'!$O$5:$O$500,"&lt;=110299",'LANÇAMENTOS DIÁRIOS'!$P$5:$P$500,"&gt;=110200")&gt;0,"X","")</f>
      </c>
      <c r="AX60" s="56" t="str">
        <f>IF(COUNTIFS('LANÇAMENTOS DIÁRIOS'!$G$5:$G$500,"E",'LANÇAMENTOS DIÁRIOS'!$C$5:$C$500,$A60,'LANÇAMENTOS DIÁRIOS'!$O$5:$O$500,"&lt;=110399",'LANÇAMENTOS DIÁRIOS'!$P$5:$P$500,"&gt;=110300")&gt;0,"X","")</f>
      </c>
      <c r="AY60" s="56" t="str">
        <f>IF(COUNTIFS('LANÇAMENTOS DIÁRIOS'!$G$5:$G$500,"E",'LANÇAMENTOS DIÁRIOS'!$C$5:$C$500,$A60,'LANÇAMENTOS DIÁRIOS'!$O$5:$O$500,"&lt;=110499",'LANÇAMENTOS DIÁRIOS'!$P$5:$P$500,"&gt;=110400")&gt;0,"X","")</f>
      </c>
      <c r="AZ60" s="56" t="str">
        <f>IF(COUNTIFS('LANÇAMENTOS DIÁRIOS'!$G$5:$G$500,"E",'LANÇAMENTOS DIÁRIOS'!$C$5:$C$500,$A60,'LANÇAMENTOS DIÁRIOS'!$O$5:$O$500,"&lt;=110599",'LANÇAMENTOS DIÁRIOS'!$P$5:$P$500,"&gt;=110500")&gt;0,"X","")</f>
      </c>
      <c r="BA60" s="56" t="str">
        <f>IF(COUNTIFS('LANÇAMENTOS DIÁRIOS'!$G$5:$G$500,"E",'LANÇAMENTOS DIÁRIOS'!$C$5:$C$500,$A60,'LANÇAMENTOS DIÁRIOS'!$O$5:$O$500,"&lt;=110699",'LANÇAMENTOS DIÁRIOS'!$P$5:$P$500,"&gt;=110600")&gt;0,"X","")</f>
      </c>
      <c r="BB60" s="56" t="str">
        <f>IF(COUNTIFS('LANÇAMENTOS DIÁRIOS'!$G$5:$G$500,"E",'LANÇAMENTOS DIÁRIOS'!$C$5:$C$500,$A60,'LANÇAMENTOS DIÁRIOS'!$O$5:$O$500,"&lt;=110799",'LANÇAMENTOS DIÁRIOS'!$P$5:$P$500,"&gt;=110700")&gt;0,"X","")</f>
      </c>
      <c r="BC60" s="56" t="str">
        <f>IF(COUNTIFS('LANÇAMENTOS DIÁRIOS'!$G$5:$G$500,"E",'LANÇAMENTOS DIÁRIOS'!$C$5:$C$500,$A60,'LANÇAMENTOS DIÁRIOS'!$O$5:$O$500,"&lt;=110899",'LANÇAMENTOS DIÁRIOS'!$P$5:$P$500,"&gt;=110800")&gt;0,"X","")</f>
      </c>
      <c r="BD60" s="56" t="str">
        <f>IF(COUNTIFS('LANÇAMENTOS DIÁRIOS'!$G$5:$G$500,"E",'LANÇAMENTOS DIÁRIOS'!$C$5:$C$500,$A60,'LANÇAMENTOS DIÁRIOS'!$O$5:$O$500,"&lt;=110999",'LANÇAMENTOS DIÁRIOS'!$P$5:$P$500,"&gt;=110900")&gt;0,"X","")</f>
      </c>
      <c r="BE60" s="56" t="str">
        <f>IF(COUNTIFS('LANÇAMENTOS DIÁRIOS'!$G$5:$G$500,"E",'LANÇAMENTOS DIÁRIOS'!$C$5:$C$500,$A60,'LANÇAMENTOS DIÁRIOS'!$O$5:$O$500,"&lt;=111099",'LANÇAMENTOS DIÁRIOS'!$P$5:$P$500,"&gt;=111000")&gt;0,"X","")</f>
      </c>
      <c r="BF60" s="56" t="str">
        <f>IF(COUNTIFS('LANÇAMENTOS DIÁRIOS'!$G$5:$G$500,"E",'LANÇAMENTOS DIÁRIOS'!$C$5:$C$500,$A60,'LANÇAMENTOS DIÁRIOS'!$O$5:$O$500,"&lt;=111199",'LANÇAMENTOS DIÁRIOS'!$P$5:$P$500,"&gt;=111100")&gt;0,"X","")</f>
      </c>
      <c r="BG60" s="56" t="str">
        <f>IF(COUNTIFS('LANÇAMENTOS DIÁRIOS'!$G$5:$G$500,"E",'LANÇAMENTOS DIÁRIOS'!$C$5:$C$500,$A60,'LANÇAMENTOS DIÁRIOS'!$O$5:$O$500,"&lt;=111299",'LANÇAMENTOS DIÁRIOS'!$P$5:$P$500,"&gt;=111200")&gt;0,"X","")</f>
      </c>
      <c r="BH60" s="56" t="str">
        <f>IF(COUNTIFS('LANÇAMENTOS DIÁRIOS'!$G$5:$G$500,"E",'LANÇAMENTOS DIÁRIOS'!$C$5:$C$500,$A60,'LANÇAMENTOS DIÁRIOS'!$O$5:$O$500,"&lt;=111399",'LANÇAMENTOS DIÁRIOS'!$P$5:$P$500,"&gt;=111300")&gt;0,"X","")</f>
      </c>
      <c r="BI60" s="56" t="str">
        <f>IF(COUNTIFS('LANÇAMENTOS DIÁRIOS'!$G$5:$G$500,"E",'LANÇAMENTOS DIÁRIOS'!$C$5:$C$500,$A60,'LANÇAMENTOS DIÁRIOS'!$O$5:$O$500,"&lt;=111499",'LANÇAMENTOS DIÁRIOS'!$P$5:$P$500,"&gt;=111400")&gt;0,"X","")</f>
      </c>
      <c r="BJ60" s="56" t="str">
        <f>IF(COUNTIFS('LANÇAMENTOS DIÁRIOS'!$G$5:$G$500,"E",'LANÇAMENTOS DIÁRIOS'!$C$5:$C$500,$A60,'LANÇAMENTOS DIÁRIOS'!$O$5:$O$500,"&lt;=111500",'LANÇAMENTOS DIÁRIOS'!$P$5:$P$500,"&gt;=111500")&gt;0,"X","")</f>
      </c>
    </row>
    <row r="61">
      <c r="A61" s="51" t="str">
        <v>Escavação de material de 1ª e 2ª categoria (*)</v>
      </c>
      <c r="B61" s="56" t="str">
        <f>IF(COUNTIFS('LANÇAMENTOS DIÁRIOS'!$G$5:$G$500,"E",'LANÇAMENTOS DIÁRIOS'!$C$5:$C$500,$A61,'LANÇAMENTOS DIÁRIOS'!$O$5:$O$500,"&lt;=105599",'LANÇAMENTOS DIÁRIOS'!$P$5:$P$500,"&gt;=105500")&gt;0,"X","")</f>
      </c>
      <c r="C61" s="56" t="str">
        <f>IF(COUNTIFS('LANÇAMENTOS DIÁRIOS'!$G$5:$G$500,"E",'LANÇAMENTOS DIÁRIOS'!$C$5:$C$500,$A61,'LANÇAMENTOS DIÁRIOS'!$O$5:$O$500,"&lt;=105699",'LANÇAMENTOS DIÁRIOS'!$P$5:$P$500,"&gt;=105600")&gt;0,"X","")</f>
      </c>
      <c r="D61" s="56" t="str">
        <f>IF(COUNTIFS('LANÇAMENTOS DIÁRIOS'!$G$5:$G$500,"E",'LANÇAMENTOS DIÁRIOS'!$C$5:$C$500,$A61,'LANÇAMENTOS DIÁRIOS'!$O$5:$O$500,"&lt;=105799",'LANÇAMENTOS DIÁRIOS'!$P$5:$P$500,"&gt;=105700")&gt;0,"X","")</f>
      </c>
      <c r="E61" s="56" t="str">
        <f>IF(COUNTIFS('LANÇAMENTOS DIÁRIOS'!$G$5:$G$500,"E",'LANÇAMENTOS DIÁRIOS'!$C$5:$C$500,$A61,'LANÇAMENTOS DIÁRIOS'!$O$5:$O$500,"&lt;=105899",'LANÇAMENTOS DIÁRIOS'!$P$5:$P$500,"&gt;=105800")&gt;0,"X","")</f>
      </c>
      <c r="F61" s="56" t="str">
        <f>IF(COUNTIFS('LANÇAMENTOS DIÁRIOS'!$G$5:$G$500,"E",'LANÇAMENTOS DIÁRIOS'!$C$5:$C$500,$A61,'LANÇAMENTOS DIÁRIOS'!$O$5:$O$500,"&lt;=105999",'LANÇAMENTOS DIÁRIOS'!$P$5:$P$500,"&gt;=105900")&gt;0,"X","")</f>
      </c>
      <c r="G61" s="56" t="str">
        <f>IF(COUNTIFS('LANÇAMENTOS DIÁRIOS'!$G$5:$G$500,"E",'LANÇAMENTOS DIÁRIOS'!$C$5:$C$500,$A61,'LANÇAMENTOS DIÁRIOS'!$O$5:$O$500,"&lt;=106099",'LANÇAMENTOS DIÁRIOS'!$P$5:$P$500,"&gt;=106000")&gt;0,"X","")</f>
      </c>
      <c r="H61" s="56" t="str">
        <f>IF(COUNTIFS('LANÇAMENTOS DIÁRIOS'!$G$5:$G$500,"E",'LANÇAMENTOS DIÁRIOS'!$C$5:$C$500,$A61,'LANÇAMENTOS DIÁRIOS'!$O$5:$O$500,"&lt;=106199",'LANÇAMENTOS DIÁRIOS'!$P$5:$P$500,"&gt;=106100")&gt;0,"X","")</f>
      </c>
      <c r="I61" s="56" t="str">
        <f>IF(COUNTIFS('LANÇAMENTOS DIÁRIOS'!$G$5:$G$500,"E",'LANÇAMENTOS DIÁRIOS'!$C$5:$C$500,$A61,'LANÇAMENTOS DIÁRIOS'!$O$5:$O$500,"&lt;=106299",'LANÇAMENTOS DIÁRIOS'!$P$5:$P$500,"&gt;=106200")&gt;0,"X","")</f>
      </c>
      <c r="J61" s="56" t="str">
        <f>IF(COUNTIFS('LANÇAMENTOS DIÁRIOS'!$G$5:$G$500,"E",'LANÇAMENTOS DIÁRIOS'!$C$5:$C$500,$A61,'LANÇAMENTOS DIÁRIOS'!$O$5:$O$500,"&lt;=106399",'LANÇAMENTOS DIÁRIOS'!$P$5:$P$500,"&gt;=106300")&gt;0,"X","")</f>
      </c>
      <c r="K61" s="56" t="str">
        <f>IF(COUNTIFS('LANÇAMENTOS DIÁRIOS'!$G$5:$G$500,"E",'LANÇAMENTOS DIÁRIOS'!$C$5:$C$500,$A61,'LANÇAMENTOS DIÁRIOS'!$O$5:$O$500,"&lt;=106499",'LANÇAMENTOS DIÁRIOS'!$P$5:$P$500,"&gt;=106400")&gt;0,"X","")</f>
      </c>
      <c r="L61" s="56" t="str">
        <f>IF(COUNTIFS('LANÇAMENTOS DIÁRIOS'!$G$5:$G$500,"E",'LANÇAMENTOS DIÁRIOS'!$C$5:$C$500,$A61,'LANÇAMENTOS DIÁRIOS'!$O$5:$O$500,"&lt;=106599",'LANÇAMENTOS DIÁRIOS'!$P$5:$P$500,"&gt;=106500")&gt;0,"X","")</f>
      </c>
      <c r="M61" s="56" t="str">
        <f>IF(COUNTIFS('LANÇAMENTOS DIÁRIOS'!$G$5:$G$500,"E",'LANÇAMENTOS DIÁRIOS'!$C$5:$C$500,$A61,'LANÇAMENTOS DIÁRIOS'!$O$5:$O$500,"&lt;=106699",'LANÇAMENTOS DIÁRIOS'!$P$5:$P$500,"&gt;=106600")&gt;0,"X","")</f>
      </c>
      <c r="N61" s="56" t="str">
        <f>IF(COUNTIFS('LANÇAMENTOS DIÁRIOS'!$G$5:$G$500,"E",'LANÇAMENTOS DIÁRIOS'!$C$5:$C$500,$A61,'LANÇAMENTOS DIÁRIOS'!$O$5:$O$500,"&lt;=106799",'LANÇAMENTOS DIÁRIOS'!$P$5:$P$500,"&gt;=106700")&gt;0,"X","")</f>
      </c>
      <c r="O61" s="56" t="str">
        <f>IF(COUNTIFS('LANÇAMENTOS DIÁRIOS'!$G$5:$G$500,"E",'LANÇAMENTOS DIÁRIOS'!$C$5:$C$500,$A61,'LANÇAMENTOS DIÁRIOS'!$O$5:$O$500,"&lt;=106899",'LANÇAMENTOS DIÁRIOS'!$P$5:$P$500,"&gt;=106800")&gt;0,"X","")</f>
      </c>
      <c r="P61" s="56" t="str">
        <f>IF(COUNTIFS('LANÇAMENTOS DIÁRIOS'!$G$5:$G$500,"E",'LANÇAMENTOS DIÁRIOS'!$C$5:$C$500,$A61,'LANÇAMENTOS DIÁRIOS'!$O$5:$O$500,"&lt;=106999",'LANÇAMENTOS DIÁRIOS'!$P$5:$P$500,"&gt;=106900")&gt;0,"X","")</f>
      </c>
      <c r="Q61" s="56" t="str">
        <f>IF(COUNTIFS('LANÇAMENTOS DIÁRIOS'!$G$5:$G$500,"E",'LANÇAMENTOS DIÁRIOS'!$C$5:$C$500,$A61,'LANÇAMENTOS DIÁRIOS'!$O$5:$O$500,"&lt;=107099",'LANÇAMENTOS DIÁRIOS'!$P$5:$P$500,"&gt;=107000")&gt;0,"X","")</f>
      </c>
      <c r="R61" s="56" t="str">
        <f>IF(COUNTIFS('LANÇAMENTOS DIÁRIOS'!$G$5:$G$500,"E",'LANÇAMENTOS DIÁRIOS'!$C$5:$C$500,$A61,'LANÇAMENTOS DIÁRIOS'!$O$5:$O$500,"&lt;=107199",'LANÇAMENTOS DIÁRIOS'!$P$5:$P$500,"&gt;=107100")&gt;0,"X","")</f>
      </c>
      <c r="S61" s="56" t="str">
        <f>IF(COUNTIFS('LANÇAMENTOS DIÁRIOS'!$G$5:$G$500,"E",'LANÇAMENTOS DIÁRIOS'!$C$5:$C$500,$A61,'LANÇAMENTOS DIÁRIOS'!$O$5:$O$500,"&lt;=107299",'LANÇAMENTOS DIÁRIOS'!$P$5:$P$500,"&gt;=107200")&gt;0,"X","")</f>
      </c>
      <c r="T61" s="56" t="str">
        <f>IF(COUNTIFS('LANÇAMENTOS DIÁRIOS'!$G$5:$G$500,"E",'LANÇAMENTOS DIÁRIOS'!$C$5:$C$500,$A61,'LANÇAMENTOS DIÁRIOS'!$O$5:$O$500,"&lt;=107399",'LANÇAMENTOS DIÁRIOS'!$P$5:$P$500,"&gt;=107300")&gt;0,"X","")</f>
      </c>
      <c r="U61" s="56" t="str">
        <f>IF(COUNTIFS('LANÇAMENTOS DIÁRIOS'!$G$5:$G$500,"E",'LANÇAMENTOS DIÁRIOS'!$C$5:$C$500,$A61,'LANÇAMENTOS DIÁRIOS'!$O$5:$O$500,"&lt;=107499",'LANÇAMENTOS DIÁRIOS'!$P$5:$P$500,"&gt;=107400")&gt;0,"X","")</f>
      </c>
      <c r="V61" s="56" t="str">
        <f>IF(COUNTIFS('LANÇAMENTOS DIÁRIOS'!$G$5:$G$500,"E",'LANÇAMENTOS DIÁRIOS'!$C$5:$C$500,$A61,'LANÇAMENTOS DIÁRIOS'!$O$5:$O$500,"&lt;=107599",'LANÇAMENTOS DIÁRIOS'!$P$5:$P$500,"&gt;=107500")&gt;0,"X","")</f>
      </c>
      <c r="W61" s="56" t="str">
        <f>IF(COUNTIFS('LANÇAMENTOS DIÁRIOS'!$G$5:$G$500,"E",'LANÇAMENTOS DIÁRIOS'!$C$5:$C$500,$A61,'LANÇAMENTOS DIÁRIOS'!$O$5:$O$500,"&lt;=107699",'LANÇAMENTOS DIÁRIOS'!$P$5:$P$500,"&gt;=107600")&gt;0,"X","")</f>
      </c>
      <c r="X61" s="56" t="str">
        <f>IF(COUNTIFS('LANÇAMENTOS DIÁRIOS'!$G$5:$G$500,"E",'LANÇAMENTOS DIÁRIOS'!$C$5:$C$500,$A61,'LANÇAMENTOS DIÁRIOS'!$O$5:$O$500,"&lt;=107799",'LANÇAMENTOS DIÁRIOS'!$P$5:$P$500,"&gt;=107700")&gt;0,"X","")</f>
      </c>
      <c r="Y61" s="56" t="str">
        <f>IF(COUNTIFS('LANÇAMENTOS DIÁRIOS'!$G$5:$G$500,"E",'LANÇAMENTOS DIÁRIOS'!$C$5:$C$500,$A61,'LANÇAMENTOS DIÁRIOS'!$O$5:$O$500,"&lt;=107899",'LANÇAMENTOS DIÁRIOS'!$P$5:$P$500,"&gt;=107800")&gt;0,"X","")</f>
      </c>
      <c r="Z61" s="56" t="str">
        <f>IF(COUNTIFS('LANÇAMENTOS DIÁRIOS'!$G$5:$G$500,"E",'LANÇAMENTOS DIÁRIOS'!$C$5:$C$500,$A61,'LANÇAMENTOS DIÁRIOS'!$O$5:$O$500,"&lt;=107999",'LANÇAMENTOS DIÁRIOS'!$P$5:$P$500,"&gt;=107900")&gt;0,"X","")</f>
      </c>
      <c r="AA61" s="56" t="str">
        <f>IF(COUNTIFS('LANÇAMENTOS DIÁRIOS'!$G$5:$G$500,"E",'LANÇAMENTOS DIÁRIOS'!$C$5:$C$500,$A61,'LANÇAMENTOS DIÁRIOS'!$O$5:$O$500,"&lt;=108099",'LANÇAMENTOS DIÁRIOS'!$P$5:$P$500,"&gt;=108000")&gt;0,"X","")</f>
      </c>
      <c r="AB61" s="56" t="str">
        <f>IF(COUNTIFS('LANÇAMENTOS DIÁRIOS'!$G$5:$G$500,"E",'LANÇAMENTOS DIÁRIOS'!$C$5:$C$500,$A61,'LANÇAMENTOS DIÁRIOS'!$O$5:$O$500,"&lt;=108199",'LANÇAMENTOS DIÁRIOS'!$P$5:$P$500,"&gt;=108100")&gt;0,"X","")</f>
        <v>X</v>
      </c>
      <c r="AC61" s="56" t="str">
        <f>IF(COUNTIFS('LANÇAMENTOS DIÁRIOS'!$G$5:$G$500,"E",'LANÇAMENTOS DIÁRIOS'!$C$5:$C$500,$A61,'LANÇAMENTOS DIÁRIOS'!$O$5:$O$500,"&lt;=108299",'LANÇAMENTOS DIÁRIOS'!$P$5:$P$500,"&gt;=108200")&gt;0,"X","")</f>
        <v>X</v>
      </c>
      <c r="AD61" s="56" t="str">
        <f>IF(COUNTIFS('LANÇAMENTOS DIÁRIOS'!$G$5:$G$500,"E",'LANÇAMENTOS DIÁRIOS'!$C$5:$C$500,$A61,'LANÇAMENTOS DIÁRIOS'!$O$5:$O$500,"&lt;=108399",'LANÇAMENTOS DIÁRIOS'!$P$5:$P$500,"&gt;=108300")&gt;0,"X","")</f>
        <v>X</v>
      </c>
      <c r="AE61" s="56" t="str">
        <f>IF(COUNTIFS('LANÇAMENTOS DIÁRIOS'!$G$5:$G$500,"E",'LANÇAMENTOS DIÁRIOS'!$C$5:$C$500,$A61,'LANÇAMENTOS DIÁRIOS'!$O$5:$O$500,"&lt;=108499",'LANÇAMENTOS DIÁRIOS'!$P$5:$P$500,"&gt;=108400")&gt;0,"X","")</f>
        <v>X</v>
      </c>
      <c r="AF61" s="56" t="str">
        <f>IF(COUNTIFS('LANÇAMENTOS DIÁRIOS'!$G$5:$G$500,"E",'LANÇAMENTOS DIÁRIOS'!$C$5:$C$500,$A61,'LANÇAMENTOS DIÁRIOS'!$O$5:$O$500,"&lt;=108599",'LANÇAMENTOS DIÁRIOS'!$P$5:$P$500,"&gt;=108500")&gt;0,"X","")</f>
        <v>X</v>
      </c>
      <c r="AG61" s="56" t="str">
        <f>IF(COUNTIFS('LANÇAMENTOS DIÁRIOS'!$G$5:$G$500,"E",'LANÇAMENTOS DIÁRIOS'!$C$5:$C$500,$A61,'LANÇAMENTOS DIÁRIOS'!$O$5:$O$500,"&lt;=108699",'LANÇAMENTOS DIÁRIOS'!$P$5:$P$500,"&gt;=108600")&gt;0,"X","")</f>
        <v>X</v>
      </c>
      <c r="AH61" s="56" t="str">
        <f>IF(COUNTIFS('LANÇAMENTOS DIÁRIOS'!$G$5:$G$500,"E",'LANÇAMENTOS DIÁRIOS'!$C$5:$C$500,$A61,'LANÇAMENTOS DIÁRIOS'!$O$5:$O$500,"&lt;=108799",'LANÇAMENTOS DIÁRIOS'!$P$5:$P$500,"&gt;=108700")&gt;0,"X","")</f>
        <v>X</v>
      </c>
      <c r="AI61" s="56" t="str">
        <f>IF(COUNTIFS('LANÇAMENTOS DIÁRIOS'!$G$5:$G$500,"E",'LANÇAMENTOS DIÁRIOS'!$C$5:$C$500,$A61,'LANÇAMENTOS DIÁRIOS'!$O$5:$O$500,"&lt;=108899",'LANÇAMENTOS DIÁRIOS'!$P$5:$P$500,"&gt;=108800")&gt;0,"X","")</f>
        <v>X</v>
      </c>
      <c r="AJ61" s="56" t="str">
        <f>IF(COUNTIFS('LANÇAMENTOS DIÁRIOS'!$G$5:$G$500,"E",'LANÇAMENTOS DIÁRIOS'!$C$5:$C$500,$A61,'LANÇAMENTOS DIÁRIOS'!$O$5:$O$500,"&lt;=108999",'LANÇAMENTOS DIÁRIOS'!$P$5:$P$500,"&gt;=108900")&gt;0,"X","")</f>
        <v>X</v>
      </c>
      <c r="AK61" s="56" t="str">
        <f>IF(COUNTIFS('LANÇAMENTOS DIÁRIOS'!$G$5:$G$500,"E",'LANÇAMENTOS DIÁRIOS'!$C$5:$C$500,$A61,'LANÇAMENTOS DIÁRIOS'!$O$5:$O$500,"&lt;=109099",'LANÇAMENTOS DIÁRIOS'!$P$5:$P$500,"&gt;=109000")&gt;0,"X","")</f>
        <v>X</v>
      </c>
      <c r="AL61" s="56" t="str">
        <f>IF(COUNTIFS('LANÇAMENTOS DIÁRIOS'!$G$5:$G$500,"E",'LANÇAMENTOS DIÁRIOS'!$C$5:$C$500,$A61,'LANÇAMENTOS DIÁRIOS'!$O$5:$O$500,"&lt;=109199",'LANÇAMENTOS DIÁRIOS'!$P$5:$P$500,"&gt;=109100")&gt;0,"X","")</f>
      </c>
      <c r="AM61" s="56" t="str">
        <f>IF(COUNTIFS('LANÇAMENTOS DIÁRIOS'!$G$5:$G$500,"E",'LANÇAMENTOS DIÁRIOS'!$C$5:$C$500,$A61,'LANÇAMENTOS DIÁRIOS'!$O$5:$O$500,"&lt;=109299",'LANÇAMENTOS DIÁRIOS'!$P$5:$P$500,"&gt;=109200")&gt;0,"X","")</f>
      </c>
      <c r="AN61" s="56" t="str">
        <f>IF(COUNTIFS('LANÇAMENTOS DIÁRIOS'!$G$5:$G$500,"E",'LANÇAMENTOS DIÁRIOS'!$C$5:$C$500,$A61,'LANÇAMENTOS DIÁRIOS'!$O$5:$O$500,"&lt;=109399",'LANÇAMENTOS DIÁRIOS'!$P$5:$P$500,"&gt;=109300")&gt;0,"X","")</f>
      </c>
      <c r="AO61" s="56" t="str">
        <f>IF(COUNTIFS('LANÇAMENTOS DIÁRIOS'!$G$5:$G$500,"E",'LANÇAMENTOS DIÁRIOS'!$C$5:$C$500,$A61,'LANÇAMENTOS DIÁRIOS'!$O$5:$O$500,"&lt;=109499",'LANÇAMENTOS DIÁRIOS'!$P$5:$P$500,"&gt;=109400")&gt;0,"X","")</f>
      </c>
      <c r="AP61" s="56" t="str">
        <f>IF(COUNTIFS('LANÇAMENTOS DIÁRIOS'!$G$5:$G$500,"E",'LANÇAMENTOS DIÁRIOS'!$C$5:$C$500,$A61,'LANÇAMENTOS DIÁRIOS'!$O$5:$O$500,"&lt;=109599",'LANÇAMENTOS DIÁRIOS'!$P$5:$P$500,"&gt;=109500")&gt;0,"X","")</f>
      </c>
      <c r="AQ61" s="56" t="str">
        <f>IF(COUNTIFS('LANÇAMENTOS DIÁRIOS'!$G$5:$G$500,"E",'LANÇAMENTOS DIÁRIOS'!$C$5:$C$500,$A61,'LANÇAMENTOS DIÁRIOS'!$O$5:$O$500,"&lt;=109699",'LANÇAMENTOS DIÁRIOS'!$P$5:$P$500,"&gt;=109600")&gt;0,"X","")</f>
      </c>
      <c r="AR61" s="56" t="str">
        <f>IF(COUNTIFS('LANÇAMENTOS DIÁRIOS'!$G$5:$G$500,"E",'LANÇAMENTOS DIÁRIOS'!$C$5:$C$500,$A61,'LANÇAMENTOS DIÁRIOS'!$O$5:$O$500,"&lt;=109799",'LANÇAMENTOS DIÁRIOS'!$P$5:$P$500,"&gt;=109700")&gt;0,"X","")</f>
      </c>
      <c r="AS61" s="56" t="str">
        <f>IF(COUNTIFS('LANÇAMENTOS DIÁRIOS'!$G$5:$G$500,"E",'LANÇAMENTOS DIÁRIOS'!$C$5:$C$500,$A61,'LANÇAMENTOS DIÁRIOS'!$O$5:$O$500,"&lt;=109899",'LANÇAMENTOS DIÁRIOS'!$P$5:$P$500,"&gt;=109800")&gt;0,"X","")</f>
      </c>
      <c r="AT61" s="56" t="str">
        <f>IF(COUNTIFS('LANÇAMENTOS DIÁRIOS'!$G$5:$G$500,"E",'LANÇAMENTOS DIÁRIOS'!$C$5:$C$500,$A61,'LANÇAMENTOS DIÁRIOS'!$O$5:$O$500,"&lt;=109999",'LANÇAMENTOS DIÁRIOS'!$P$5:$P$500,"&gt;=109900")&gt;0,"X","")</f>
      </c>
      <c r="AU61" s="56" t="str">
        <f>IF(COUNTIFS('LANÇAMENTOS DIÁRIOS'!$G$5:$G$500,"E",'LANÇAMENTOS DIÁRIOS'!$C$5:$C$500,$A61,'LANÇAMENTOS DIÁRIOS'!$O$5:$O$500,"&lt;=110099",'LANÇAMENTOS DIÁRIOS'!$P$5:$P$500,"&gt;=110000")&gt;0,"X","")</f>
      </c>
      <c r="AV61" s="56" t="str">
        <f>IF(COUNTIFS('LANÇAMENTOS DIÁRIOS'!$G$5:$G$500,"E",'LANÇAMENTOS DIÁRIOS'!$C$5:$C$500,$A61,'LANÇAMENTOS DIÁRIOS'!$O$5:$O$500,"&lt;=110199",'LANÇAMENTOS DIÁRIOS'!$P$5:$P$500,"&gt;=110100")&gt;0,"X","")</f>
      </c>
      <c r="AW61" s="56" t="str">
        <f>IF(COUNTIFS('LANÇAMENTOS DIÁRIOS'!$G$5:$G$500,"E",'LANÇAMENTOS DIÁRIOS'!$C$5:$C$500,$A61,'LANÇAMENTOS DIÁRIOS'!$O$5:$O$500,"&lt;=110299",'LANÇAMENTOS DIÁRIOS'!$P$5:$P$500,"&gt;=110200")&gt;0,"X","")</f>
      </c>
      <c r="AX61" s="56" t="str">
        <f>IF(COUNTIFS('LANÇAMENTOS DIÁRIOS'!$G$5:$G$500,"E",'LANÇAMENTOS DIÁRIOS'!$C$5:$C$500,$A61,'LANÇAMENTOS DIÁRIOS'!$O$5:$O$500,"&lt;=110399",'LANÇAMENTOS DIÁRIOS'!$P$5:$P$500,"&gt;=110300")&gt;0,"X","")</f>
      </c>
      <c r="AY61" s="56" t="str">
        <f>IF(COUNTIFS('LANÇAMENTOS DIÁRIOS'!$G$5:$G$500,"E",'LANÇAMENTOS DIÁRIOS'!$C$5:$C$500,$A61,'LANÇAMENTOS DIÁRIOS'!$O$5:$O$500,"&lt;=110499",'LANÇAMENTOS DIÁRIOS'!$P$5:$P$500,"&gt;=110400")&gt;0,"X","")</f>
      </c>
      <c r="AZ61" s="56" t="str">
        <f>IF(COUNTIFS('LANÇAMENTOS DIÁRIOS'!$G$5:$G$500,"E",'LANÇAMENTOS DIÁRIOS'!$C$5:$C$500,$A61,'LANÇAMENTOS DIÁRIOS'!$O$5:$O$500,"&lt;=110599",'LANÇAMENTOS DIÁRIOS'!$P$5:$P$500,"&gt;=110500")&gt;0,"X","")</f>
      </c>
      <c r="BA61" s="56" t="str">
        <f>IF(COUNTIFS('LANÇAMENTOS DIÁRIOS'!$G$5:$G$500,"E",'LANÇAMENTOS DIÁRIOS'!$C$5:$C$500,$A61,'LANÇAMENTOS DIÁRIOS'!$O$5:$O$500,"&lt;=110699",'LANÇAMENTOS DIÁRIOS'!$P$5:$P$500,"&gt;=110600")&gt;0,"X","")</f>
      </c>
      <c r="BB61" s="56" t="str">
        <f>IF(COUNTIFS('LANÇAMENTOS DIÁRIOS'!$G$5:$G$500,"E",'LANÇAMENTOS DIÁRIOS'!$C$5:$C$500,$A61,'LANÇAMENTOS DIÁRIOS'!$O$5:$O$500,"&lt;=110799",'LANÇAMENTOS DIÁRIOS'!$P$5:$P$500,"&gt;=110700")&gt;0,"X","")</f>
      </c>
      <c r="BC61" s="56" t="str">
        <f>IF(COUNTIFS('LANÇAMENTOS DIÁRIOS'!$G$5:$G$500,"E",'LANÇAMENTOS DIÁRIOS'!$C$5:$C$500,$A61,'LANÇAMENTOS DIÁRIOS'!$O$5:$O$500,"&lt;=110899",'LANÇAMENTOS DIÁRIOS'!$P$5:$P$500,"&gt;=110800")&gt;0,"X","")</f>
      </c>
      <c r="BD61" s="56" t="str">
        <f>IF(COUNTIFS('LANÇAMENTOS DIÁRIOS'!$G$5:$G$500,"E",'LANÇAMENTOS DIÁRIOS'!$C$5:$C$500,$A61,'LANÇAMENTOS DIÁRIOS'!$O$5:$O$500,"&lt;=110999",'LANÇAMENTOS DIÁRIOS'!$P$5:$P$500,"&gt;=110900")&gt;0,"X","")</f>
      </c>
      <c r="BE61" s="56" t="str">
        <f>IF(COUNTIFS('LANÇAMENTOS DIÁRIOS'!$G$5:$G$500,"E",'LANÇAMENTOS DIÁRIOS'!$C$5:$C$500,$A61,'LANÇAMENTOS DIÁRIOS'!$O$5:$O$500,"&lt;=111099",'LANÇAMENTOS DIÁRIOS'!$P$5:$P$500,"&gt;=111000")&gt;0,"X","")</f>
      </c>
      <c r="BF61" s="56" t="str">
        <f>IF(COUNTIFS('LANÇAMENTOS DIÁRIOS'!$G$5:$G$500,"E",'LANÇAMENTOS DIÁRIOS'!$C$5:$C$500,$A61,'LANÇAMENTOS DIÁRIOS'!$O$5:$O$500,"&lt;=111199",'LANÇAMENTOS DIÁRIOS'!$P$5:$P$500,"&gt;=111100")&gt;0,"X","")</f>
      </c>
      <c r="BG61" s="56" t="str">
        <f>IF(COUNTIFS('LANÇAMENTOS DIÁRIOS'!$G$5:$G$500,"E",'LANÇAMENTOS DIÁRIOS'!$C$5:$C$500,$A61,'LANÇAMENTOS DIÁRIOS'!$O$5:$O$500,"&lt;=111299",'LANÇAMENTOS DIÁRIOS'!$P$5:$P$500,"&gt;=111200")&gt;0,"X","")</f>
      </c>
      <c r="BH61" s="56" t="str">
        <f>IF(COUNTIFS('LANÇAMENTOS DIÁRIOS'!$G$5:$G$500,"E",'LANÇAMENTOS DIÁRIOS'!$C$5:$C$500,$A61,'LANÇAMENTOS DIÁRIOS'!$O$5:$O$500,"&lt;=111399",'LANÇAMENTOS DIÁRIOS'!$P$5:$P$500,"&gt;=111300")&gt;0,"X","")</f>
      </c>
      <c r="BI61" s="56" t="str">
        <f>IF(COUNTIFS('LANÇAMENTOS DIÁRIOS'!$G$5:$G$500,"E",'LANÇAMENTOS DIÁRIOS'!$C$5:$C$500,$A61,'LANÇAMENTOS DIÁRIOS'!$O$5:$O$500,"&lt;=111499",'LANÇAMENTOS DIÁRIOS'!$P$5:$P$500,"&gt;=111400")&gt;0,"X","")</f>
      </c>
      <c r="BJ61" s="56" t="str">
        <f>IF(COUNTIFS('LANÇAMENTOS DIÁRIOS'!$G$5:$G$500,"E",'LANÇAMENTOS DIÁRIOS'!$C$5:$C$500,$A61,'LANÇAMENTOS DIÁRIOS'!$O$5:$O$500,"&lt;=111500",'LANÇAMENTOS DIÁRIOS'!$P$5:$P$500,"&gt;=111500")&gt;0,"X","")</f>
      </c>
    </row>
    <row r="62">
      <c r="A62" s="51" t="str">
        <v>Regularização do subleito (*)</v>
      </c>
      <c r="B62" s="56" t="str">
        <f>IF(COUNTIFS('LANÇAMENTOS DIÁRIOS'!$G$5:$G$500,"E",'LANÇAMENTOS DIÁRIOS'!$C$5:$C$500,$A62,'LANÇAMENTOS DIÁRIOS'!$O$5:$O$500,"&lt;=105599",'LANÇAMENTOS DIÁRIOS'!$P$5:$P$500,"&gt;=105500")&gt;0,"X","")</f>
      </c>
      <c r="C62" s="56" t="str">
        <f>IF(COUNTIFS('LANÇAMENTOS DIÁRIOS'!$G$5:$G$500,"E",'LANÇAMENTOS DIÁRIOS'!$C$5:$C$500,$A62,'LANÇAMENTOS DIÁRIOS'!$O$5:$O$500,"&lt;=105699",'LANÇAMENTOS DIÁRIOS'!$P$5:$P$500,"&gt;=105600")&gt;0,"X","")</f>
      </c>
      <c r="D62" s="56" t="str">
        <f>IF(COUNTIFS('LANÇAMENTOS DIÁRIOS'!$G$5:$G$500,"E",'LANÇAMENTOS DIÁRIOS'!$C$5:$C$500,$A62,'LANÇAMENTOS DIÁRIOS'!$O$5:$O$500,"&lt;=105799",'LANÇAMENTOS DIÁRIOS'!$P$5:$P$500,"&gt;=105700")&gt;0,"X","")</f>
      </c>
      <c r="E62" s="56" t="str">
        <f>IF(COUNTIFS('LANÇAMENTOS DIÁRIOS'!$G$5:$G$500,"E",'LANÇAMENTOS DIÁRIOS'!$C$5:$C$500,$A62,'LANÇAMENTOS DIÁRIOS'!$O$5:$O$500,"&lt;=105899",'LANÇAMENTOS DIÁRIOS'!$P$5:$P$500,"&gt;=105800")&gt;0,"X","")</f>
      </c>
      <c r="F62" s="56" t="str">
        <f>IF(COUNTIFS('LANÇAMENTOS DIÁRIOS'!$G$5:$G$500,"E",'LANÇAMENTOS DIÁRIOS'!$C$5:$C$500,$A62,'LANÇAMENTOS DIÁRIOS'!$O$5:$O$500,"&lt;=105999",'LANÇAMENTOS DIÁRIOS'!$P$5:$P$500,"&gt;=105900")&gt;0,"X","")</f>
      </c>
      <c r="G62" s="56" t="str">
        <f>IF(COUNTIFS('LANÇAMENTOS DIÁRIOS'!$G$5:$G$500,"E",'LANÇAMENTOS DIÁRIOS'!$C$5:$C$500,$A62,'LANÇAMENTOS DIÁRIOS'!$O$5:$O$500,"&lt;=106099",'LANÇAMENTOS DIÁRIOS'!$P$5:$P$500,"&gt;=106000")&gt;0,"X","")</f>
      </c>
      <c r="H62" s="56" t="str">
        <f>IF(COUNTIFS('LANÇAMENTOS DIÁRIOS'!$G$5:$G$500,"E",'LANÇAMENTOS DIÁRIOS'!$C$5:$C$500,$A62,'LANÇAMENTOS DIÁRIOS'!$O$5:$O$500,"&lt;=106199",'LANÇAMENTOS DIÁRIOS'!$P$5:$P$500,"&gt;=106100")&gt;0,"X","")</f>
      </c>
      <c r="I62" s="56" t="str">
        <f>IF(COUNTIFS('LANÇAMENTOS DIÁRIOS'!$G$5:$G$500,"E",'LANÇAMENTOS DIÁRIOS'!$C$5:$C$500,$A62,'LANÇAMENTOS DIÁRIOS'!$O$5:$O$500,"&lt;=106299",'LANÇAMENTOS DIÁRIOS'!$P$5:$P$500,"&gt;=106200")&gt;0,"X","")</f>
      </c>
      <c r="J62" s="56" t="str">
        <f>IF(COUNTIFS('LANÇAMENTOS DIÁRIOS'!$G$5:$G$500,"E",'LANÇAMENTOS DIÁRIOS'!$C$5:$C$500,$A62,'LANÇAMENTOS DIÁRIOS'!$O$5:$O$500,"&lt;=106399",'LANÇAMENTOS DIÁRIOS'!$P$5:$P$500,"&gt;=106300")&gt;0,"X","")</f>
      </c>
      <c r="K62" s="56" t="str">
        <f>IF(COUNTIFS('LANÇAMENTOS DIÁRIOS'!$G$5:$G$500,"E",'LANÇAMENTOS DIÁRIOS'!$C$5:$C$500,$A62,'LANÇAMENTOS DIÁRIOS'!$O$5:$O$500,"&lt;=106499",'LANÇAMENTOS DIÁRIOS'!$P$5:$P$500,"&gt;=106400")&gt;0,"X","")</f>
      </c>
      <c r="L62" s="56" t="str">
        <f>IF(COUNTIFS('LANÇAMENTOS DIÁRIOS'!$G$5:$G$500,"E",'LANÇAMENTOS DIÁRIOS'!$C$5:$C$500,$A62,'LANÇAMENTOS DIÁRIOS'!$O$5:$O$500,"&lt;=106599",'LANÇAMENTOS DIÁRIOS'!$P$5:$P$500,"&gt;=106500")&gt;0,"X","")</f>
      </c>
      <c r="M62" s="56" t="str">
        <f>IF(COUNTIFS('LANÇAMENTOS DIÁRIOS'!$G$5:$G$500,"E",'LANÇAMENTOS DIÁRIOS'!$C$5:$C$500,$A62,'LANÇAMENTOS DIÁRIOS'!$O$5:$O$500,"&lt;=106699",'LANÇAMENTOS DIÁRIOS'!$P$5:$P$500,"&gt;=106600")&gt;0,"X","")</f>
      </c>
      <c r="N62" s="56" t="str">
        <f>IF(COUNTIFS('LANÇAMENTOS DIÁRIOS'!$G$5:$G$500,"E",'LANÇAMENTOS DIÁRIOS'!$C$5:$C$500,$A62,'LANÇAMENTOS DIÁRIOS'!$O$5:$O$500,"&lt;=106799",'LANÇAMENTOS DIÁRIOS'!$P$5:$P$500,"&gt;=106700")&gt;0,"X","")</f>
      </c>
      <c r="O62" s="56" t="str">
        <f>IF(COUNTIFS('LANÇAMENTOS DIÁRIOS'!$G$5:$G$500,"E",'LANÇAMENTOS DIÁRIOS'!$C$5:$C$500,$A62,'LANÇAMENTOS DIÁRIOS'!$O$5:$O$500,"&lt;=106899",'LANÇAMENTOS DIÁRIOS'!$P$5:$P$500,"&gt;=106800")&gt;0,"X","")</f>
      </c>
      <c r="P62" s="56" t="str">
        <f>IF(COUNTIFS('LANÇAMENTOS DIÁRIOS'!$G$5:$G$500,"E",'LANÇAMENTOS DIÁRIOS'!$C$5:$C$500,$A62,'LANÇAMENTOS DIÁRIOS'!$O$5:$O$500,"&lt;=106999",'LANÇAMENTOS DIÁRIOS'!$P$5:$P$500,"&gt;=106900")&gt;0,"X","")</f>
      </c>
      <c r="Q62" s="56" t="str">
        <f>IF(COUNTIFS('LANÇAMENTOS DIÁRIOS'!$G$5:$G$500,"E",'LANÇAMENTOS DIÁRIOS'!$C$5:$C$500,$A62,'LANÇAMENTOS DIÁRIOS'!$O$5:$O$500,"&lt;=107099",'LANÇAMENTOS DIÁRIOS'!$P$5:$P$500,"&gt;=107000")&gt;0,"X","")</f>
      </c>
      <c r="R62" s="56" t="str">
        <f>IF(COUNTIFS('LANÇAMENTOS DIÁRIOS'!$G$5:$G$500,"E",'LANÇAMENTOS DIÁRIOS'!$C$5:$C$500,$A62,'LANÇAMENTOS DIÁRIOS'!$O$5:$O$500,"&lt;=107199",'LANÇAMENTOS DIÁRIOS'!$P$5:$P$500,"&gt;=107100")&gt;0,"X","")</f>
      </c>
      <c r="S62" s="56" t="str">
        <f>IF(COUNTIFS('LANÇAMENTOS DIÁRIOS'!$G$5:$G$500,"E",'LANÇAMENTOS DIÁRIOS'!$C$5:$C$500,$A62,'LANÇAMENTOS DIÁRIOS'!$O$5:$O$500,"&lt;=107299",'LANÇAMENTOS DIÁRIOS'!$P$5:$P$500,"&gt;=107200")&gt;0,"X","")</f>
      </c>
      <c r="T62" s="56" t="str">
        <f>IF(COUNTIFS('LANÇAMENTOS DIÁRIOS'!$G$5:$G$500,"E",'LANÇAMENTOS DIÁRIOS'!$C$5:$C$500,$A62,'LANÇAMENTOS DIÁRIOS'!$O$5:$O$500,"&lt;=107399",'LANÇAMENTOS DIÁRIOS'!$P$5:$P$500,"&gt;=107300")&gt;0,"X","")</f>
      </c>
      <c r="U62" s="56" t="str">
        <f>IF(COUNTIFS('LANÇAMENTOS DIÁRIOS'!$G$5:$G$500,"E",'LANÇAMENTOS DIÁRIOS'!$C$5:$C$500,$A62,'LANÇAMENTOS DIÁRIOS'!$O$5:$O$500,"&lt;=107499",'LANÇAMENTOS DIÁRIOS'!$P$5:$P$500,"&gt;=107400")&gt;0,"X","")</f>
      </c>
      <c r="V62" s="56" t="str">
        <f>IF(COUNTIFS('LANÇAMENTOS DIÁRIOS'!$G$5:$G$500,"E",'LANÇAMENTOS DIÁRIOS'!$C$5:$C$500,$A62,'LANÇAMENTOS DIÁRIOS'!$O$5:$O$500,"&lt;=107599",'LANÇAMENTOS DIÁRIOS'!$P$5:$P$500,"&gt;=107500")&gt;0,"X","")</f>
      </c>
      <c r="W62" s="56" t="str">
        <f>IF(COUNTIFS('LANÇAMENTOS DIÁRIOS'!$G$5:$G$500,"E",'LANÇAMENTOS DIÁRIOS'!$C$5:$C$500,$A62,'LANÇAMENTOS DIÁRIOS'!$O$5:$O$500,"&lt;=107699",'LANÇAMENTOS DIÁRIOS'!$P$5:$P$500,"&gt;=107600")&gt;0,"X","")</f>
      </c>
      <c r="X62" s="56" t="str">
        <f>IF(COUNTIFS('LANÇAMENTOS DIÁRIOS'!$G$5:$G$500,"E",'LANÇAMENTOS DIÁRIOS'!$C$5:$C$500,$A62,'LANÇAMENTOS DIÁRIOS'!$O$5:$O$500,"&lt;=107799",'LANÇAMENTOS DIÁRIOS'!$P$5:$P$500,"&gt;=107700")&gt;0,"X","")</f>
      </c>
      <c r="Y62" s="56" t="str">
        <f>IF(COUNTIFS('LANÇAMENTOS DIÁRIOS'!$G$5:$G$500,"E",'LANÇAMENTOS DIÁRIOS'!$C$5:$C$500,$A62,'LANÇAMENTOS DIÁRIOS'!$O$5:$O$500,"&lt;=107899",'LANÇAMENTOS DIÁRIOS'!$P$5:$P$500,"&gt;=107800")&gt;0,"X","")</f>
      </c>
      <c r="Z62" s="56" t="str">
        <f>IF(COUNTIFS('LANÇAMENTOS DIÁRIOS'!$G$5:$G$500,"E",'LANÇAMENTOS DIÁRIOS'!$C$5:$C$500,$A62,'LANÇAMENTOS DIÁRIOS'!$O$5:$O$500,"&lt;=107999",'LANÇAMENTOS DIÁRIOS'!$P$5:$P$500,"&gt;=107900")&gt;0,"X","")</f>
      </c>
      <c r="AA62" s="56" t="str">
        <f>IF(COUNTIFS('LANÇAMENTOS DIÁRIOS'!$G$5:$G$500,"E",'LANÇAMENTOS DIÁRIOS'!$C$5:$C$500,$A62,'LANÇAMENTOS DIÁRIOS'!$O$5:$O$500,"&lt;=108099",'LANÇAMENTOS DIÁRIOS'!$P$5:$P$500,"&gt;=108000")&gt;0,"X","")</f>
      </c>
      <c r="AB62" s="56" t="str">
        <f>IF(COUNTIFS('LANÇAMENTOS DIÁRIOS'!$G$5:$G$500,"E",'LANÇAMENTOS DIÁRIOS'!$C$5:$C$500,$A62,'LANÇAMENTOS DIÁRIOS'!$O$5:$O$500,"&lt;=108199",'LANÇAMENTOS DIÁRIOS'!$P$5:$P$500,"&gt;=108100")&gt;0,"X","")</f>
      </c>
      <c r="AC62" s="56" t="str">
        <f>IF(COUNTIFS('LANÇAMENTOS DIÁRIOS'!$G$5:$G$500,"E",'LANÇAMENTOS DIÁRIOS'!$C$5:$C$500,$A62,'LANÇAMENTOS DIÁRIOS'!$O$5:$O$500,"&lt;=108299",'LANÇAMENTOS DIÁRIOS'!$P$5:$P$500,"&gt;=108200")&gt;0,"X","")</f>
      </c>
      <c r="AD62" s="56" t="str">
        <f>IF(COUNTIFS('LANÇAMENTOS DIÁRIOS'!$G$5:$G$500,"E",'LANÇAMENTOS DIÁRIOS'!$C$5:$C$500,$A62,'LANÇAMENTOS DIÁRIOS'!$O$5:$O$500,"&lt;=108399",'LANÇAMENTOS DIÁRIOS'!$P$5:$P$500,"&gt;=108300")&gt;0,"X","")</f>
      </c>
      <c r="AE62" s="56" t="str">
        <f>IF(COUNTIFS('LANÇAMENTOS DIÁRIOS'!$G$5:$G$500,"E",'LANÇAMENTOS DIÁRIOS'!$C$5:$C$500,$A62,'LANÇAMENTOS DIÁRIOS'!$O$5:$O$500,"&lt;=108499",'LANÇAMENTOS DIÁRIOS'!$P$5:$P$500,"&gt;=108400")&gt;0,"X","")</f>
      </c>
      <c r="AF62" s="56" t="str">
        <f>IF(COUNTIFS('LANÇAMENTOS DIÁRIOS'!$G$5:$G$500,"E",'LANÇAMENTOS DIÁRIOS'!$C$5:$C$500,$A62,'LANÇAMENTOS DIÁRIOS'!$O$5:$O$500,"&lt;=108599",'LANÇAMENTOS DIÁRIOS'!$P$5:$P$500,"&gt;=108500")&gt;0,"X","")</f>
      </c>
      <c r="AG62" s="56" t="str">
        <f>IF(COUNTIFS('LANÇAMENTOS DIÁRIOS'!$G$5:$G$500,"E",'LANÇAMENTOS DIÁRIOS'!$C$5:$C$500,$A62,'LANÇAMENTOS DIÁRIOS'!$O$5:$O$500,"&lt;=108699",'LANÇAMENTOS DIÁRIOS'!$P$5:$P$500,"&gt;=108600")&gt;0,"X","")</f>
      </c>
      <c r="AH62" s="56" t="str">
        <f>IF(COUNTIFS('LANÇAMENTOS DIÁRIOS'!$G$5:$G$500,"E",'LANÇAMENTOS DIÁRIOS'!$C$5:$C$500,$A62,'LANÇAMENTOS DIÁRIOS'!$O$5:$O$500,"&lt;=108799",'LANÇAMENTOS DIÁRIOS'!$P$5:$P$500,"&gt;=108700")&gt;0,"X","")</f>
      </c>
      <c r="AI62" s="56" t="str">
        <f>IF(COUNTIFS('LANÇAMENTOS DIÁRIOS'!$G$5:$G$500,"E",'LANÇAMENTOS DIÁRIOS'!$C$5:$C$500,$A62,'LANÇAMENTOS DIÁRIOS'!$O$5:$O$500,"&lt;=108899",'LANÇAMENTOS DIÁRIOS'!$P$5:$P$500,"&gt;=108800")&gt;0,"X","")</f>
      </c>
      <c r="AJ62" s="56" t="str">
        <f>IF(COUNTIFS('LANÇAMENTOS DIÁRIOS'!$G$5:$G$500,"E",'LANÇAMENTOS DIÁRIOS'!$C$5:$C$500,$A62,'LANÇAMENTOS DIÁRIOS'!$O$5:$O$500,"&lt;=108999",'LANÇAMENTOS DIÁRIOS'!$P$5:$P$500,"&gt;=108900")&gt;0,"X","")</f>
      </c>
      <c r="AK62" s="56" t="str">
        <f>IF(COUNTIFS('LANÇAMENTOS DIÁRIOS'!$G$5:$G$500,"E",'LANÇAMENTOS DIÁRIOS'!$C$5:$C$500,$A62,'LANÇAMENTOS DIÁRIOS'!$O$5:$O$500,"&lt;=109099",'LANÇAMENTOS DIÁRIOS'!$P$5:$P$500,"&gt;=109000")&gt;0,"X","")</f>
      </c>
      <c r="AL62" s="56" t="str">
        <f>IF(COUNTIFS('LANÇAMENTOS DIÁRIOS'!$G$5:$G$500,"E",'LANÇAMENTOS DIÁRIOS'!$C$5:$C$500,$A62,'LANÇAMENTOS DIÁRIOS'!$O$5:$O$500,"&lt;=109199",'LANÇAMENTOS DIÁRIOS'!$P$5:$P$500,"&gt;=109100")&gt;0,"X","")</f>
      </c>
      <c r="AM62" s="56" t="str">
        <f>IF(COUNTIFS('LANÇAMENTOS DIÁRIOS'!$G$5:$G$500,"E",'LANÇAMENTOS DIÁRIOS'!$C$5:$C$500,$A62,'LANÇAMENTOS DIÁRIOS'!$O$5:$O$500,"&lt;=109299",'LANÇAMENTOS DIÁRIOS'!$P$5:$P$500,"&gt;=109200")&gt;0,"X","")</f>
      </c>
      <c r="AN62" s="56" t="str">
        <f>IF(COUNTIFS('LANÇAMENTOS DIÁRIOS'!$G$5:$G$500,"E",'LANÇAMENTOS DIÁRIOS'!$C$5:$C$500,$A62,'LANÇAMENTOS DIÁRIOS'!$O$5:$O$500,"&lt;=109399",'LANÇAMENTOS DIÁRIOS'!$P$5:$P$500,"&gt;=109300")&gt;0,"X","")</f>
      </c>
      <c r="AO62" s="56" t="str">
        <f>IF(COUNTIFS('LANÇAMENTOS DIÁRIOS'!$G$5:$G$500,"E",'LANÇAMENTOS DIÁRIOS'!$C$5:$C$500,$A62,'LANÇAMENTOS DIÁRIOS'!$O$5:$O$500,"&lt;=109499",'LANÇAMENTOS DIÁRIOS'!$P$5:$P$500,"&gt;=109400")&gt;0,"X","")</f>
      </c>
      <c r="AP62" s="56" t="str">
        <f>IF(COUNTIFS('LANÇAMENTOS DIÁRIOS'!$G$5:$G$500,"E",'LANÇAMENTOS DIÁRIOS'!$C$5:$C$500,$A62,'LANÇAMENTOS DIÁRIOS'!$O$5:$O$500,"&lt;=109599",'LANÇAMENTOS DIÁRIOS'!$P$5:$P$500,"&gt;=109500")&gt;0,"X","")</f>
      </c>
      <c r="AQ62" s="56" t="str">
        <f>IF(COUNTIFS('LANÇAMENTOS DIÁRIOS'!$G$5:$G$500,"E",'LANÇAMENTOS DIÁRIOS'!$C$5:$C$500,$A62,'LANÇAMENTOS DIÁRIOS'!$O$5:$O$500,"&lt;=109699",'LANÇAMENTOS DIÁRIOS'!$P$5:$P$500,"&gt;=109600")&gt;0,"X","")</f>
      </c>
      <c r="AR62" s="56" t="str">
        <f>IF(COUNTIFS('LANÇAMENTOS DIÁRIOS'!$G$5:$G$500,"E",'LANÇAMENTOS DIÁRIOS'!$C$5:$C$500,$A62,'LANÇAMENTOS DIÁRIOS'!$O$5:$O$500,"&lt;=109799",'LANÇAMENTOS DIÁRIOS'!$P$5:$P$500,"&gt;=109700")&gt;0,"X","")</f>
      </c>
      <c r="AS62" s="56" t="str">
        <f>IF(COUNTIFS('LANÇAMENTOS DIÁRIOS'!$G$5:$G$500,"E",'LANÇAMENTOS DIÁRIOS'!$C$5:$C$500,$A62,'LANÇAMENTOS DIÁRIOS'!$O$5:$O$500,"&lt;=109899",'LANÇAMENTOS DIÁRIOS'!$P$5:$P$500,"&gt;=109800")&gt;0,"X","")</f>
      </c>
      <c r="AT62" s="56" t="str">
        <f>IF(COUNTIFS('LANÇAMENTOS DIÁRIOS'!$G$5:$G$500,"E",'LANÇAMENTOS DIÁRIOS'!$C$5:$C$500,$A62,'LANÇAMENTOS DIÁRIOS'!$O$5:$O$500,"&lt;=109999",'LANÇAMENTOS DIÁRIOS'!$P$5:$P$500,"&gt;=109900")&gt;0,"X","")</f>
      </c>
      <c r="AU62" s="56" t="str">
        <f>IF(COUNTIFS('LANÇAMENTOS DIÁRIOS'!$G$5:$G$500,"E",'LANÇAMENTOS DIÁRIOS'!$C$5:$C$500,$A62,'LANÇAMENTOS DIÁRIOS'!$O$5:$O$500,"&lt;=110099",'LANÇAMENTOS DIÁRIOS'!$P$5:$P$500,"&gt;=110000")&gt;0,"X","")</f>
      </c>
      <c r="AV62" s="56" t="str">
        <f>IF(COUNTIFS('LANÇAMENTOS DIÁRIOS'!$G$5:$G$500,"E",'LANÇAMENTOS DIÁRIOS'!$C$5:$C$500,$A62,'LANÇAMENTOS DIÁRIOS'!$O$5:$O$500,"&lt;=110199",'LANÇAMENTOS DIÁRIOS'!$P$5:$P$500,"&gt;=110100")&gt;0,"X","")</f>
      </c>
      <c r="AW62" s="56" t="str">
        <f>IF(COUNTIFS('LANÇAMENTOS DIÁRIOS'!$G$5:$G$500,"E",'LANÇAMENTOS DIÁRIOS'!$C$5:$C$500,$A62,'LANÇAMENTOS DIÁRIOS'!$O$5:$O$500,"&lt;=110299",'LANÇAMENTOS DIÁRIOS'!$P$5:$P$500,"&gt;=110200")&gt;0,"X","")</f>
      </c>
      <c r="AX62" s="56" t="str">
        <f>IF(COUNTIFS('LANÇAMENTOS DIÁRIOS'!$G$5:$G$500,"E",'LANÇAMENTOS DIÁRIOS'!$C$5:$C$500,$A62,'LANÇAMENTOS DIÁRIOS'!$O$5:$O$500,"&lt;=110399",'LANÇAMENTOS DIÁRIOS'!$P$5:$P$500,"&gt;=110300")&gt;0,"X","")</f>
      </c>
      <c r="AY62" s="56" t="str">
        <f>IF(COUNTIFS('LANÇAMENTOS DIÁRIOS'!$G$5:$G$500,"E",'LANÇAMENTOS DIÁRIOS'!$C$5:$C$500,$A62,'LANÇAMENTOS DIÁRIOS'!$O$5:$O$500,"&lt;=110499",'LANÇAMENTOS DIÁRIOS'!$P$5:$P$500,"&gt;=110400")&gt;0,"X","")</f>
      </c>
      <c r="AZ62" s="56" t="str">
        <f>IF(COUNTIFS('LANÇAMENTOS DIÁRIOS'!$G$5:$G$500,"E",'LANÇAMENTOS DIÁRIOS'!$C$5:$C$500,$A62,'LANÇAMENTOS DIÁRIOS'!$O$5:$O$500,"&lt;=110599",'LANÇAMENTOS DIÁRIOS'!$P$5:$P$500,"&gt;=110500")&gt;0,"X","")</f>
      </c>
      <c r="BA62" s="56" t="str">
        <f>IF(COUNTIFS('LANÇAMENTOS DIÁRIOS'!$G$5:$G$500,"E",'LANÇAMENTOS DIÁRIOS'!$C$5:$C$500,$A62,'LANÇAMENTOS DIÁRIOS'!$O$5:$O$500,"&lt;=110699",'LANÇAMENTOS DIÁRIOS'!$P$5:$P$500,"&gt;=110600")&gt;0,"X","")</f>
      </c>
      <c r="BB62" s="56" t="str">
        <f>IF(COUNTIFS('LANÇAMENTOS DIÁRIOS'!$G$5:$G$500,"E",'LANÇAMENTOS DIÁRIOS'!$C$5:$C$500,$A62,'LANÇAMENTOS DIÁRIOS'!$O$5:$O$500,"&lt;=110799",'LANÇAMENTOS DIÁRIOS'!$P$5:$P$500,"&gt;=110700")&gt;0,"X","")</f>
      </c>
      <c r="BC62" s="56" t="str">
        <f>IF(COUNTIFS('LANÇAMENTOS DIÁRIOS'!$G$5:$G$500,"E",'LANÇAMENTOS DIÁRIOS'!$C$5:$C$500,$A62,'LANÇAMENTOS DIÁRIOS'!$O$5:$O$500,"&lt;=110899",'LANÇAMENTOS DIÁRIOS'!$P$5:$P$500,"&gt;=110800")&gt;0,"X","")</f>
      </c>
      <c r="BD62" s="56" t="str">
        <f>IF(COUNTIFS('LANÇAMENTOS DIÁRIOS'!$G$5:$G$500,"E",'LANÇAMENTOS DIÁRIOS'!$C$5:$C$500,$A62,'LANÇAMENTOS DIÁRIOS'!$O$5:$O$500,"&lt;=110999",'LANÇAMENTOS DIÁRIOS'!$P$5:$P$500,"&gt;=110900")&gt;0,"X","")</f>
      </c>
      <c r="BE62" s="56" t="str">
        <f>IF(COUNTIFS('LANÇAMENTOS DIÁRIOS'!$G$5:$G$500,"E",'LANÇAMENTOS DIÁRIOS'!$C$5:$C$500,$A62,'LANÇAMENTOS DIÁRIOS'!$O$5:$O$500,"&lt;=111099",'LANÇAMENTOS DIÁRIOS'!$P$5:$P$500,"&gt;=111000")&gt;0,"X","")</f>
      </c>
      <c r="BF62" s="56" t="str">
        <f>IF(COUNTIFS('LANÇAMENTOS DIÁRIOS'!$G$5:$G$500,"E",'LANÇAMENTOS DIÁRIOS'!$C$5:$C$500,$A62,'LANÇAMENTOS DIÁRIOS'!$O$5:$O$500,"&lt;=111199",'LANÇAMENTOS DIÁRIOS'!$P$5:$P$500,"&gt;=111100")&gt;0,"X","")</f>
      </c>
      <c r="BG62" s="56" t="str">
        <f>IF(COUNTIFS('LANÇAMENTOS DIÁRIOS'!$G$5:$G$500,"E",'LANÇAMENTOS DIÁRIOS'!$C$5:$C$500,$A62,'LANÇAMENTOS DIÁRIOS'!$O$5:$O$500,"&lt;=111299",'LANÇAMENTOS DIÁRIOS'!$P$5:$P$500,"&gt;=111200")&gt;0,"X","")</f>
      </c>
      <c r="BH62" s="56" t="str">
        <f>IF(COUNTIFS('LANÇAMENTOS DIÁRIOS'!$G$5:$G$500,"E",'LANÇAMENTOS DIÁRIOS'!$C$5:$C$500,$A62,'LANÇAMENTOS DIÁRIOS'!$O$5:$O$500,"&lt;=111399",'LANÇAMENTOS DIÁRIOS'!$P$5:$P$500,"&gt;=111300")&gt;0,"X","")</f>
      </c>
      <c r="BI62" s="56" t="str">
        <f>IF(COUNTIFS('LANÇAMENTOS DIÁRIOS'!$G$5:$G$500,"E",'LANÇAMENTOS DIÁRIOS'!$C$5:$C$500,$A62,'LANÇAMENTOS DIÁRIOS'!$O$5:$O$500,"&lt;=111499",'LANÇAMENTOS DIÁRIOS'!$P$5:$P$500,"&gt;=111400")&gt;0,"X","")</f>
      </c>
      <c r="BJ62" s="56" t="str">
        <f>IF(COUNTIFS('LANÇAMENTOS DIÁRIOS'!$G$5:$G$500,"E",'LANÇAMENTOS DIÁRIOS'!$C$5:$C$500,$A62,'LANÇAMENTOS DIÁRIOS'!$O$5:$O$500,"&lt;=111500",'LANÇAMENTOS DIÁRIOS'!$P$5:$P$500,"&gt;=111500")&gt;0,"X","")</f>
      </c>
    </row>
    <row r="63">
      <c r="A63" s="51" t="str">
        <v>Compactação de aterro a 100% do proctor intermediário (*)</v>
      </c>
      <c r="B63" s="56" t="str">
        <f>IF(COUNTIFS('LANÇAMENTOS DIÁRIOS'!$G$5:$G$500,"E",'LANÇAMENTOS DIÁRIOS'!$C$5:$C$500,$A63,'LANÇAMENTOS DIÁRIOS'!$O$5:$O$500,"&lt;=105599",'LANÇAMENTOS DIÁRIOS'!$P$5:$P$500,"&gt;=105500")&gt;0,"X","")</f>
      </c>
      <c r="C63" s="56" t="str">
        <f>IF(COUNTIFS('LANÇAMENTOS DIÁRIOS'!$G$5:$G$500,"E",'LANÇAMENTOS DIÁRIOS'!$C$5:$C$500,$A63,'LANÇAMENTOS DIÁRIOS'!$O$5:$O$500,"&lt;=105699",'LANÇAMENTOS DIÁRIOS'!$P$5:$P$500,"&gt;=105600")&gt;0,"X","")</f>
      </c>
      <c r="D63" s="56" t="str">
        <f>IF(COUNTIFS('LANÇAMENTOS DIÁRIOS'!$G$5:$G$500,"E",'LANÇAMENTOS DIÁRIOS'!$C$5:$C$500,$A63,'LANÇAMENTOS DIÁRIOS'!$O$5:$O$500,"&lt;=105799",'LANÇAMENTOS DIÁRIOS'!$P$5:$P$500,"&gt;=105700")&gt;0,"X","")</f>
      </c>
      <c r="E63" s="56" t="str">
        <f>IF(COUNTIFS('LANÇAMENTOS DIÁRIOS'!$G$5:$G$500,"E",'LANÇAMENTOS DIÁRIOS'!$C$5:$C$500,$A63,'LANÇAMENTOS DIÁRIOS'!$O$5:$O$500,"&lt;=105899",'LANÇAMENTOS DIÁRIOS'!$P$5:$P$500,"&gt;=105800")&gt;0,"X","")</f>
      </c>
      <c r="F63" s="56" t="str">
        <f>IF(COUNTIFS('LANÇAMENTOS DIÁRIOS'!$G$5:$G$500,"E",'LANÇAMENTOS DIÁRIOS'!$C$5:$C$500,$A63,'LANÇAMENTOS DIÁRIOS'!$O$5:$O$500,"&lt;=105999",'LANÇAMENTOS DIÁRIOS'!$P$5:$P$500,"&gt;=105900")&gt;0,"X","")</f>
      </c>
      <c r="G63" s="56" t="str">
        <f>IF(COUNTIFS('LANÇAMENTOS DIÁRIOS'!$G$5:$G$500,"E",'LANÇAMENTOS DIÁRIOS'!$C$5:$C$500,$A63,'LANÇAMENTOS DIÁRIOS'!$O$5:$O$500,"&lt;=106099",'LANÇAMENTOS DIÁRIOS'!$P$5:$P$500,"&gt;=106000")&gt;0,"X","")</f>
      </c>
      <c r="H63" s="56" t="str">
        <f>IF(COUNTIFS('LANÇAMENTOS DIÁRIOS'!$G$5:$G$500,"E",'LANÇAMENTOS DIÁRIOS'!$C$5:$C$500,$A63,'LANÇAMENTOS DIÁRIOS'!$O$5:$O$500,"&lt;=106199",'LANÇAMENTOS DIÁRIOS'!$P$5:$P$500,"&gt;=106100")&gt;0,"X","")</f>
      </c>
      <c r="I63" s="56" t="str">
        <f>IF(COUNTIFS('LANÇAMENTOS DIÁRIOS'!$G$5:$G$500,"E",'LANÇAMENTOS DIÁRIOS'!$C$5:$C$500,$A63,'LANÇAMENTOS DIÁRIOS'!$O$5:$O$500,"&lt;=106299",'LANÇAMENTOS DIÁRIOS'!$P$5:$P$500,"&gt;=106200")&gt;0,"X","")</f>
      </c>
      <c r="J63" s="56" t="str">
        <f>IF(COUNTIFS('LANÇAMENTOS DIÁRIOS'!$G$5:$G$500,"E",'LANÇAMENTOS DIÁRIOS'!$C$5:$C$500,$A63,'LANÇAMENTOS DIÁRIOS'!$O$5:$O$500,"&lt;=106399",'LANÇAMENTOS DIÁRIOS'!$P$5:$P$500,"&gt;=106300")&gt;0,"X","")</f>
      </c>
      <c r="K63" s="56" t="str">
        <f>IF(COUNTIFS('LANÇAMENTOS DIÁRIOS'!$G$5:$G$500,"E",'LANÇAMENTOS DIÁRIOS'!$C$5:$C$500,$A63,'LANÇAMENTOS DIÁRIOS'!$O$5:$O$500,"&lt;=106499",'LANÇAMENTOS DIÁRIOS'!$P$5:$P$500,"&gt;=106400")&gt;0,"X","")</f>
      </c>
      <c r="L63" s="56" t="str">
        <f>IF(COUNTIFS('LANÇAMENTOS DIÁRIOS'!$G$5:$G$500,"E",'LANÇAMENTOS DIÁRIOS'!$C$5:$C$500,$A63,'LANÇAMENTOS DIÁRIOS'!$O$5:$O$500,"&lt;=106599",'LANÇAMENTOS DIÁRIOS'!$P$5:$P$500,"&gt;=106500")&gt;0,"X","")</f>
      </c>
      <c r="M63" s="56" t="str">
        <f>IF(COUNTIFS('LANÇAMENTOS DIÁRIOS'!$G$5:$G$500,"E",'LANÇAMENTOS DIÁRIOS'!$C$5:$C$500,$A63,'LANÇAMENTOS DIÁRIOS'!$O$5:$O$500,"&lt;=106699",'LANÇAMENTOS DIÁRIOS'!$P$5:$P$500,"&gt;=106600")&gt;0,"X","")</f>
      </c>
      <c r="N63" s="56" t="str">
        <f>IF(COUNTIFS('LANÇAMENTOS DIÁRIOS'!$G$5:$G$500,"E",'LANÇAMENTOS DIÁRIOS'!$C$5:$C$500,$A63,'LANÇAMENTOS DIÁRIOS'!$O$5:$O$500,"&lt;=106799",'LANÇAMENTOS DIÁRIOS'!$P$5:$P$500,"&gt;=106700")&gt;0,"X","")</f>
      </c>
      <c r="O63" s="56" t="str">
        <f>IF(COUNTIFS('LANÇAMENTOS DIÁRIOS'!$G$5:$G$500,"E",'LANÇAMENTOS DIÁRIOS'!$C$5:$C$500,$A63,'LANÇAMENTOS DIÁRIOS'!$O$5:$O$500,"&lt;=106899",'LANÇAMENTOS DIÁRIOS'!$P$5:$P$500,"&gt;=106800")&gt;0,"X","")</f>
      </c>
      <c r="P63" s="56" t="str">
        <f>IF(COUNTIFS('LANÇAMENTOS DIÁRIOS'!$G$5:$G$500,"E",'LANÇAMENTOS DIÁRIOS'!$C$5:$C$500,$A63,'LANÇAMENTOS DIÁRIOS'!$O$5:$O$500,"&lt;=106999",'LANÇAMENTOS DIÁRIOS'!$P$5:$P$500,"&gt;=106900")&gt;0,"X","")</f>
      </c>
      <c r="Q63" s="56" t="str">
        <f>IF(COUNTIFS('LANÇAMENTOS DIÁRIOS'!$G$5:$G$500,"E",'LANÇAMENTOS DIÁRIOS'!$C$5:$C$500,$A63,'LANÇAMENTOS DIÁRIOS'!$O$5:$O$500,"&lt;=107099",'LANÇAMENTOS DIÁRIOS'!$P$5:$P$500,"&gt;=107000")&gt;0,"X","")</f>
      </c>
      <c r="R63" s="56" t="str">
        <f>IF(COUNTIFS('LANÇAMENTOS DIÁRIOS'!$G$5:$G$500,"E",'LANÇAMENTOS DIÁRIOS'!$C$5:$C$500,$A63,'LANÇAMENTOS DIÁRIOS'!$O$5:$O$500,"&lt;=107199",'LANÇAMENTOS DIÁRIOS'!$P$5:$P$500,"&gt;=107100")&gt;0,"X","")</f>
      </c>
      <c r="S63" s="56" t="str">
        <f>IF(COUNTIFS('LANÇAMENTOS DIÁRIOS'!$G$5:$G$500,"E",'LANÇAMENTOS DIÁRIOS'!$C$5:$C$500,$A63,'LANÇAMENTOS DIÁRIOS'!$O$5:$O$500,"&lt;=107299",'LANÇAMENTOS DIÁRIOS'!$P$5:$P$500,"&gt;=107200")&gt;0,"X","")</f>
      </c>
      <c r="T63" s="56" t="str">
        <f>IF(COUNTIFS('LANÇAMENTOS DIÁRIOS'!$G$5:$G$500,"E",'LANÇAMENTOS DIÁRIOS'!$C$5:$C$500,$A63,'LANÇAMENTOS DIÁRIOS'!$O$5:$O$500,"&lt;=107399",'LANÇAMENTOS DIÁRIOS'!$P$5:$P$500,"&gt;=107300")&gt;0,"X","")</f>
      </c>
      <c r="U63" s="56" t="str">
        <f>IF(COUNTIFS('LANÇAMENTOS DIÁRIOS'!$G$5:$G$500,"E",'LANÇAMENTOS DIÁRIOS'!$C$5:$C$500,$A63,'LANÇAMENTOS DIÁRIOS'!$O$5:$O$500,"&lt;=107499",'LANÇAMENTOS DIÁRIOS'!$P$5:$P$500,"&gt;=107400")&gt;0,"X","")</f>
      </c>
      <c r="V63" s="56" t="str">
        <f>IF(COUNTIFS('LANÇAMENTOS DIÁRIOS'!$G$5:$G$500,"E",'LANÇAMENTOS DIÁRIOS'!$C$5:$C$500,$A63,'LANÇAMENTOS DIÁRIOS'!$O$5:$O$500,"&lt;=107599",'LANÇAMENTOS DIÁRIOS'!$P$5:$P$500,"&gt;=107500")&gt;0,"X","")</f>
      </c>
      <c r="W63" s="56" t="str">
        <f>IF(COUNTIFS('LANÇAMENTOS DIÁRIOS'!$G$5:$G$500,"E",'LANÇAMENTOS DIÁRIOS'!$C$5:$C$500,$A63,'LANÇAMENTOS DIÁRIOS'!$O$5:$O$500,"&lt;=107699",'LANÇAMENTOS DIÁRIOS'!$P$5:$P$500,"&gt;=107600")&gt;0,"X","")</f>
      </c>
      <c r="X63" s="56" t="str">
        <f>IF(COUNTIFS('LANÇAMENTOS DIÁRIOS'!$G$5:$G$500,"E",'LANÇAMENTOS DIÁRIOS'!$C$5:$C$500,$A63,'LANÇAMENTOS DIÁRIOS'!$O$5:$O$500,"&lt;=107799",'LANÇAMENTOS DIÁRIOS'!$P$5:$P$500,"&gt;=107700")&gt;0,"X","")</f>
      </c>
      <c r="Y63" s="56" t="str">
        <f>IF(COUNTIFS('LANÇAMENTOS DIÁRIOS'!$G$5:$G$500,"E",'LANÇAMENTOS DIÁRIOS'!$C$5:$C$500,$A63,'LANÇAMENTOS DIÁRIOS'!$O$5:$O$500,"&lt;=107899",'LANÇAMENTOS DIÁRIOS'!$P$5:$P$500,"&gt;=107800")&gt;0,"X","")</f>
      </c>
      <c r="Z63" s="56" t="str">
        <f>IF(COUNTIFS('LANÇAMENTOS DIÁRIOS'!$G$5:$G$500,"E",'LANÇAMENTOS DIÁRIOS'!$C$5:$C$500,$A63,'LANÇAMENTOS DIÁRIOS'!$O$5:$O$500,"&lt;=107999",'LANÇAMENTOS DIÁRIOS'!$P$5:$P$500,"&gt;=107900")&gt;0,"X","")</f>
      </c>
      <c r="AA63" s="56" t="str">
        <f>IF(COUNTIFS('LANÇAMENTOS DIÁRIOS'!$G$5:$G$500,"E",'LANÇAMENTOS DIÁRIOS'!$C$5:$C$500,$A63,'LANÇAMENTOS DIÁRIOS'!$O$5:$O$500,"&lt;=108099",'LANÇAMENTOS DIÁRIOS'!$P$5:$P$500,"&gt;=108000")&gt;0,"X","")</f>
      </c>
      <c r="AB63" s="56" t="str">
        <f>IF(COUNTIFS('LANÇAMENTOS DIÁRIOS'!$G$5:$G$500,"E",'LANÇAMENTOS DIÁRIOS'!$C$5:$C$500,$A63,'LANÇAMENTOS DIÁRIOS'!$O$5:$O$500,"&lt;=108199",'LANÇAMENTOS DIÁRIOS'!$P$5:$P$500,"&gt;=108100")&gt;0,"X","")</f>
      </c>
      <c r="AC63" s="56" t="str">
        <f>IF(COUNTIFS('LANÇAMENTOS DIÁRIOS'!$G$5:$G$500,"E",'LANÇAMENTOS DIÁRIOS'!$C$5:$C$500,$A63,'LANÇAMENTOS DIÁRIOS'!$O$5:$O$500,"&lt;=108299",'LANÇAMENTOS DIÁRIOS'!$P$5:$P$500,"&gt;=108200")&gt;0,"X","")</f>
      </c>
      <c r="AD63" s="56" t="str">
        <f>IF(COUNTIFS('LANÇAMENTOS DIÁRIOS'!$G$5:$G$500,"E",'LANÇAMENTOS DIÁRIOS'!$C$5:$C$500,$A63,'LANÇAMENTOS DIÁRIOS'!$O$5:$O$500,"&lt;=108399",'LANÇAMENTOS DIÁRIOS'!$P$5:$P$500,"&gt;=108300")&gt;0,"X","")</f>
      </c>
      <c r="AE63" s="56" t="str">
        <f>IF(COUNTIFS('LANÇAMENTOS DIÁRIOS'!$G$5:$G$500,"E",'LANÇAMENTOS DIÁRIOS'!$C$5:$C$500,$A63,'LANÇAMENTOS DIÁRIOS'!$O$5:$O$500,"&lt;=108499",'LANÇAMENTOS DIÁRIOS'!$P$5:$P$500,"&gt;=108400")&gt;0,"X","")</f>
      </c>
      <c r="AF63" s="56" t="str">
        <f>IF(COUNTIFS('LANÇAMENTOS DIÁRIOS'!$G$5:$G$500,"E",'LANÇAMENTOS DIÁRIOS'!$C$5:$C$500,$A63,'LANÇAMENTOS DIÁRIOS'!$O$5:$O$500,"&lt;=108599",'LANÇAMENTOS DIÁRIOS'!$P$5:$P$500,"&gt;=108500")&gt;0,"X","")</f>
      </c>
      <c r="AG63" s="56" t="str">
        <f>IF(COUNTIFS('LANÇAMENTOS DIÁRIOS'!$G$5:$G$500,"E",'LANÇAMENTOS DIÁRIOS'!$C$5:$C$500,$A63,'LANÇAMENTOS DIÁRIOS'!$O$5:$O$500,"&lt;=108699",'LANÇAMENTOS DIÁRIOS'!$P$5:$P$500,"&gt;=108600")&gt;0,"X","")</f>
      </c>
      <c r="AH63" s="56" t="str">
        <f>IF(COUNTIFS('LANÇAMENTOS DIÁRIOS'!$G$5:$G$500,"E",'LANÇAMENTOS DIÁRIOS'!$C$5:$C$500,$A63,'LANÇAMENTOS DIÁRIOS'!$O$5:$O$500,"&lt;=108799",'LANÇAMENTOS DIÁRIOS'!$P$5:$P$500,"&gt;=108700")&gt;0,"X","")</f>
      </c>
      <c r="AI63" s="56" t="str">
        <f>IF(COUNTIFS('LANÇAMENTOS DIÁRIOS'!$G$5:$G$500,"E",'LANÇAMENTOS DIÁRIOS'!$C$5:$C$500,$A63,'LANÇAMENTOS DIÁRIOS'!$O$5:$O$500,"&lt;=108899",'LANÇAMENTOS DIÁRIOS'!$P$5:$P$500,"&gt;=108800")&gt;0,"X","")</f>
      </c>
      <c r="AJ63" s="56" t="str">
        <f>IF(COUNTIFS('LANÇAMENTOS DIÁRIOS'!$G$5:$G$500,"E",'LANÇAMENTOS DIÁRIOS'!$C$5:$C$500,$A63,'LANÇAMENTOS DIÁRIOS'!$O$5:$O$500,"&lt;=108999",'LANÇAMENTOS DIÁRIOS'!$P$5:$P$500,"&gt;=108900")&gt;0,"X","")</f>
      </c>
      <c r="AK63" s="56" t="str">
        <f>IF(COUNTIFS('LANÇAMENTOS DIÁRIOS'!$G$5:$G$500,"E",'LANÇAMENTOS DIÁRIOS'!$C$5:$C$500,$A63,'LANÇAMENTOS DIÁRIOS'!$O$5:$O$500,"&lt;=109099",'LANÇAMENTOS DIÁRIOS'!$P$5:$P$500,"&gt;=109000")&gt;0,"X","")</f>
      </c>
      <c r="AL63" s="56" t="str">
        <f>IF(COUNTIFS('LANÇAMENTOS DIÁRIOS'!$G$5:$G$500,"E",'LANÇAMENTOS DIÁRIOS'!$C$5:$C$500,$A63,'LANÇAMENTOS DIÁRIOS'!$O$5:$O$500,"&lt;=109199",'LANÇAMENTOS DIÁRIOS'!$P$5:$P$500,"&gt;=109100")&gt;0,"X","")</f>
      </c>
      <c r="AM63" s="56" t="str">
        <f>IF(COUNTIFS('LANÇAMENTOS DIÁRIOS'!$G$5:$G$500,"E",'LANÇAMENTOS DIÁRIOS'!$C$5:$C$500,$A63,'LANÇAMENTOS DIÁRIOS'!$O$5:$O$500,"&lt;=109299",'LANÇAMENTOS DIÁRIOS'!$P$5:$P$500,"&gt;=109200")&gt;0,"X","")</f>
      </c>
      <c r="AN63" s="56" t="str">
        <f>IF(COUNTIFS('LANÇAMENTOS DIÁRIOS'!$G$5:$G$500,"E",'LANÇAMENTOS DIÁRIOS'!$C$5:$C$500,$A63,'LANÇAMENTOS DIÁRIOS'!$O$5:$O$500,"&lt;=109399",'LANÇAMENTOS DIÁRIOS'!$P$5:$P$500,"&gt;=109300")&gt;0,"X","")</f>
      </c>
      <c r="AO63" s="56" t="str">
        <f>IF(COUNTIFS('LANÇAMENTOS DIÁRIOS'!$G$5:$G$500,"E",'LANÇAMENTOS DIÁRIOS'!$C$5:$C$500,$A63,'LANÇAMENTOS DIÁRIOS'!$O$5:$O$500,"&lt;=109499",'LANÇAMENTOS DIÁRIOS'!$P$5:$P$500,"&gt;=109400")&gt;0,"X","")</f>
      </c>
      <c r="AP63" s="56" t="str">
        <f>IF(COUNTIFS('LANÇAMENTOS DIÁRIOS'!$G$5:$G$500,"E",'LANÇAMENTOS DIÁRIOS'!$C$5:$C$500,$A63,'LANÇAMENTOS DIÁRIOS'!$O$5:$O$500,"&lt;=109599",'LANÇAMENTOS DIÁRIOS'!$P$5:$P$500,"&gt;=109500")&gt;0,"X","")</f>
      </c>
      <c r="AQ63" s="56" t="str">
        <f>IF(COUNTIFS('LANÇAMENTOS DIÁRIOS'!$G$5:$G$500,"E",'LANÇAMENTOS DIÁRIOS'!$C$5:$C$500,$A63,'LANÇAMENTOS DIÁRIOS'!$O$5:$O$500,"&lt;=109699",'LANÇAMENTOS DIÁRIOS'!$P$5:$P$500,"&gt;=109600")&gt;0,"X","")</f>
      </c>
      <c r="AR63" s="56" t="str">
        <f>IF(COUNTIFS('LANÇAMENTOS DIÁRIOS'!$G$5:$G$500,"E",'LANÇAMENTOS DIÁRIOS'!$C$5:$C$500,$A63,'LANÇAMENTOS DIÁRIOS'!$O$5:$O$500,"&lt;=109799",'LANÇAMENTOS DIÁRIOS'!$P$5:$P$500,"&gt;=109700")&gt;0,"X","")</f>
      </c>
      <c r="AS63" s="56" t="str">
        <f>IF(COUNTIFS('LANÇAMENTOS DIÁRIOS'!$G$5:$G$500,"E",'LANÇAMENTOS DIÁRIOS'!$C$5:$C$500,$A63,'LANÇAMENTOS DIÁRIOS'!$O$5:$O$500,"&lt;=109899",'LANÇAMENTOS DIÁRIOS'!$P$5:$P$500,"&gt;=109800")&gt;0,"X","")</f>
      </c>
      <c r="AT63" s="56" t="str">
        <f>IF(COUNTIFS('LANÇAMENTOS DIÁRIOS'!$G$5:$G$500,"E",'LANÇAMENTOS DIÁRIOS'!$C$5:$C$500,$A63,'LANÇAMENTOS DIÁRIOS'!$O$5:$O$500,"&lt;=109999",'LANÇAMENTOS DIÁRIOS'!$P$5:$P$500,"&gt;=109900")&gt;0,"X","")</f>
      </c>
      <c r="AU63" s="56" t="str">
        <f>IF(COUNTIFS('LANÇAMENTOS DIÁRIOS'!$G$5:$G$500,"E",'LANÇAMENTOS DIÁRIOS'!$C$5:$C$500,$A63,'LANÇAMENTOS DIÁRIOS'!$O$5:$O$500,"&lt;=110099",'LANÇAMENTOS DIÁRIOS'!$P$5:$P$500,"&gt;=110000")&gt;0,"X","")</f>
      </c>
      <c r="AV63" s="56" t="str">
        <f>IF(COUNTIFS('LANÇAMENTOS DIÁRIOS'!$G$5:$G$500,"E",'LANÇAMENTOS DIÁRIOS'!$C$5:$C$500,$A63,'LANÇAMENTOS DIÁRIOS'!$O$5:$O$500,"&lt;=110199",'LANÇAMENTOS DIÁRIOS'!$P$5:$P$500,"&gt;=110100")&gt;0,"X","")</f>
      </c>
      <c r="AW63" s="56" t="str">
        <f>IF(COUNTIFS('LANÇAMENTOS DIÁRIOS'!$G$5:$G$500,"E",'LANÇAMENTOS DIÁRIOS'!$C$5:$C$500,$A63,'LANÇAMENTOS DIÁRIOS'!$O$5:$O$500,"&lt;=110299",'LANÇAMENTOS DIÁRIOS'!$P$5:$P$500,"&gt;=110200")&gt;0,"X","")</f>
      </c>
      <c r="AX63" s="56" t="str">
        <f>IF(COUNTIFS('LANÇAMENTOS DIÁRIOS'!$G$5:$G$500,"E",'LANÇAMENTOS DIÁRIOS'!$C$5:$C$500,$A63,'LANÇAMENTOS DIÁRIOS'!$O$5:$O$500,"&lt;=110399",'LANÇAMENTOS DIÁRIOS'!$P$5:$P$500,"&gt;=110300")&gt;0,"X","")</f>
      </c>
      <c r="AY63" s="56" t="str">
        <f>IF(COUNTIFS('LANÇAMENTOS DIÁRIOS'!$G$5:$G$500,"E",'LANÇAMENTOS DIÁRIOS'!$C$5:$C$500,$A63,'LANÇAMENTOS DIÁRIOS'!$O$5:$O$500,"&lt;=110499",'LANÇAMENTOS DIÁRIOS'!$P$5:$P$500,"&gt;=110400")&gt;0,"X","")</f>
      </c>
      <c r="AZ63" s="56" t="str">
        <f>IF(COUNTIFS('LANÇAMENTOS DIÁRIOS'!$G$5:$G$500,"E",'LANÇAMENTOS DIÁRIOS'!$C$5:$C$500,$A63,'LANÇAMENTOS DIÁRIOS'!$O$5:$O$500,"&lt;=110599",'LANÇAMENTOS DIÁRIOS'!$P$5:$P$500,"&gt;=110500")&gt;0,"X","")</f>
      </c>
      <c r="BA63" s="56" t="str">
        <f>IF(COUNTIFS('LANÇAMENTOS DIÁRIOS'!$G$5:$G$500,"E",'LANÇAMENTOS DIÁRIOS'!$C$5:$C$500,$A63,'LANÇAMENTOS DIÁRIOS'!$O$5:$O$500,"&lt;=110699",'LANÇAMENTOS DIÁRIOS'!$P$5:$P$500,"&gt;=110600")&gt;0,"X","")</f>
      </c>
      <c r="BB63" s="56" t="str">
        <f>IF(COUNTIFS('LANÇAMENTOS DIÁRIOS'!$G$5:$G$500,"E",'LANÇAMENTOS DIÁRIOS'!$C$5:$C$500,$A63,'LANÇAMENTOS DIÁRIOS'!$O$5:$O$500,"&lt;=110799",'LANÇAMENTOS DIÁRIOS'!$P$5:$P$500,"&gt;=110700")&gt;0,"X","")</f>
      </c>
      <c r="BC63" s="56" t="str">
        <f>IF(COUNTIFS('LANÇAMENTOS DIÁRIOS'!$G$5:$G$500,"E",'LANÇAMENTOS DIÁRIOS'!$C$5:$C$500,$A63,'LANÇAMENTOS DIÁRIOS'!$O$5:$O$500,"&lt;=110899",'LANÇAMENTOS DIÁRIOS'!$P$5:$P$500,"&gt;=110800")&gt;0,"X","")</f>
      </c>
      <c r="BD63" s="56" t="str">
        <f>IF(COUNTIFS('LANÇAMENTOS DIÁRIOS'!$G$5:$G$500,"E",'LANÇAMENTOS DIÁRIOS'!$C$5:$C$500,$A63,'LANÇAMENTOS DIÁRIOS'!$O$5:$O$500,"&lt;=110999",'LANÇAMENTOS DIÁRIOS'!$P$5:$P$500,"&gt;=110900")&gt;0,"X","")</f>
      </c>
      <c r="BE63" s="56" t="str">
        <f>IF(COUNTIFS('LANÇAMENTOS DIÁRIOS'!$G$5:$G$500,"E",'LANÇAMENTOS DIÁRIOS'!$C$5:$C$500,$A63,'LANÇAMENTOS DIÁRIOS'!$O$5:$O$500,"&lt;=111099",'LANÇAMENTOS DIÁRIOS'!$P$5:$P$500,"&gt;=111000")&gt;0,"X","")</f>
      </c>
      <c r="BF63" s="56" t="str">
        <f>IF(COUNTIFS('LANÇAMENTOS DIÁRIOS'!$G$5:$G$500,"E",'LANÇAMENTOS DIÁRIOS'!$C$5:$C$500,$A63,'LANÇAMENTOS DIÁRIOS'!$O$5:$O$500,"&lt;=111199",'LANÇAMENTOS DIÁRIOS'!$P$5:$P$500,"&gt;=111100")&gt;0,"X","")</f>
      </c>
      <c r="BG63" s="56" t="str">
        <f>IF(COUNTIFS('LANÇAMENTOS DIÁRIOS'!$G$5:$G$500,"E",'LANÇAMENTOS DIÁRIOS'!$C$5:$C$500,$A63,'LANÇAMENTOS DIÁRIOS'!$O$5:$O$500,"&lt;=111299",'LANÇAMENTOS DIÁRIOS'!$P$5:$P$500,"&gt;=111200")&gt;0,"X","")</f>
      </c>
      <c r="BH63" s="56" t="str">
        <f>IF(COUNTIFS('LANÇAMENTOS DIÁRIOS'!$G$5:$G$500,"E",'LANÇAMENTOS DIÁRIOS'!$C$5:$C$500,$A63,'LANÇAMENTOS DIÁRIOS'!$O$5:$O$500,"&lt;=111399",'LANÇAMENTOS DIÁRIOS'!$P$5:$P$500,"&gt;=111300")&gt;0,"X","")</f>
      </c>
      <c r="BI63" s="56" t="str">
        <f>IF(COUNTIFS('LANÇAMENTOS DIÁRIOS'!$G$5:$G$500,"E",'LANÇAMENTOS DIÁRIOS'!$C$5:$C$500,$A63,'LANÇAMENTOS DIÁRIOS'!$O$5:$O$500,"&lt;=111499",'LANÇAMENTOS DIÁRIOS'!$P$5:$P$500,"&gt;=111400")&gt;0,"X","")</f>
      </c>
      <c r="BJ63" s="56" t="str">
        <f>IF(COUNTIFS('LANÇAMENTOS DIÁRIOS'!$G$5:$G$500,"E",'LANÇAMENTOS DIÁRIOS'!$C$5:$C$500,$A63,'LANÇAMENTOS DIÁRIOS'!$O$5:$O$500,"&lt;=111500",'LANÇAMENTOS DIÁRIOS'!$P$5:$P$500,"&gt;=111500")&gt;0,"X","")</f>
      </c>
    </row>
    <row r="64" ht="19" customHeight="1">
      <c r="A64" s="68" t="str">
        <v>Aplicação de geomanta e geogrelha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</row>
    <row r="65">
      <c r="A65" s="51" t="str">
        <v>Geogrelha uniaxial com deformação máxima de 10% e resistência nominal de 100kN/m - Sem o fronecimento de materiais</v>
      </c>
      <c r="B65" s="56" t="str">
        <f>IF(COUNTIFS('LANÇAMENTOS DIÁRIOS'!$G$5:$G$500,"E",'LANÇAMENTOS DIÁRIOS'!$C$5:$C$500,$A65,'LANÇAMENTOS DIÁRIOS'!$O$5:$O$500,"&lt;=105599",'LANÇAMENTOS DIÁRIOS'!$P$5:$P$500,"&gt;=105500")&gt;0,"X","")</f>
      </c>
      <c r="C65" s="56" t="str">
        <f>IF(COUNTIFS('LANÇAMENTOS DIÁRIOS'!$G$5:$G$500,"E",'LANÇAMENTOS DIÁRIOS'!$C$5:$C$500,$A65,'LANÇAMENTOS DIÁRIOS'!$O$5:$O$500,"&lt;=105699",'LANÇAMENTOS DIÁRIOS'!$P$5:$P$500,"&gt;=105600")&gt;0,"X","")</f>
      </c>
      <c r="D65" s="56" t="str">
        <f>IF(COUNTIFS('LANÇAMENTOS DIÁRIOS'!$G$5:$G$500,"E",'LANÇAMENTOS DIÁRIOS'!$C$5:$C$500,$A65,'LANÇAMENTOS DIÁRIOS'!$O$5:$O$500,"&lt;=105799",'LANÇAMENTOS DIÁRIOS'!$P$5:$P$500,"&gt;=105700")&gt;0,"X","")</f>
      </c>
      <c r="E65" s="56" t="str">
        <f>IF(COUNTIFS('LANÇAMENTOS DIÁRIOS'!$G$5:$G$500,"E",'LANÇAMENTOS DIÁRIOS'!$C$5:$C$500,$A65,'LANÇAMENTOS DIÁRIOS'!$O$5:$O$500,"&lt;=105899",'LANÇAMENTOS DIÁRIOS'!$P$5:$P$500,"&gt;=105800")&gt;0,"X","")</f>
      </c>
      <c r="F65" s="56" t="str">
        <f>IF(COUNTIFS('LANÇAMENTOS DIÁRIOS'!$G$5:$G$500,"E",'LANÇAMENTOS DIÁRIOS'!$C$5:$C$500,$A65,'LANÇAMENTOS DIÁRIOS'!$O$5:$O$500,"&lt;=105999",'LANÇAMENTOS DIÁRIOS'!$P$5:$P$500,"&gt;=105900")&gt;0,"X","")</f>
      </c>
      <c r="G65" s="56" t="str">
        <f>IF(COUNTIFS('LANÇAMENTOS DIÁRIOS'!$G$5:$G$500,"E",'LANÇAMENTOS DIÁRIOS'!$C$5:$C$500,$A65,'LANÇAMENTOS DIÁRIOS'!$O$5:$O$500,"&lt;=106099",'LANÇAMENTOS DIÁRIOS'!$P$5:$P$500,"&gt;=106000")&gt;0,"X","")</f>
      </c>
      <c r="H65" s="56" t="str">
        <f>IF(COUNTIFS('LANÇAMENTOS DIÁRIOS'!$G$5:$G$500,"E",'LANÇAMENTOS DIÁRIOS'!$C$5:$C$500,$A65,'LANÇAMENTOS DIÁRIOS'!$O$5:$O$500,"&lt;=106199",'LANÇAMENTOS DIÁRIOS'!$P$5:$P$500,"&gt;=106100")&gt;0,"X","")</f>
      </c>
      <c r="I65" s="56" t="str">
        <f>IF(COUNTIFS('LANÇAMENTOS DIÁRIOS'!$G$5:$G$500,"E",'LANÇAMENTOS DIÁRIOS'!$C$5:$C$500,$A65,'LANÇAMENTOS DIÁRIOS'!$O$5:$O$500,"&lt;=106299",'LANÇAMENTOS DIÁRIOS'!$P$5:$P$500,"&gt;=106200")&gt;0,"X","")</f>
      </c>
      <c r="J65" s="56" t="str">
        <f>IF(COUNTIFS('LANÇAMENTOS DIÁRIOS'!$G$5:$G$500,"E",'LANÇAMENTOS DIÁRIOS'!$C$5:$C$500,$A65,'LANÇAMENTOS DIÁRIOS'!$O$5:$O$500,"&lt;=106399",'LANÇAMENTOS DIÁRIOS'!$P$5:$P$500,"&gt;=106300")&gt;0,"X","")</f>
      </c>
      <c r="K65" s="56" t="str">
        <f>IF(COUNTIFS('LANÇAMENTOS DIÁRIOS'!$G$5:$G$500,"E",'LANÇAMENTOS DIÁRIOS'!$C$5:$C$500,$A65,'LANÇAMENTOS DIÁRIOS'!$O$5:$O$500,"&lt;=106499",'LANÇAMENTOS DIÁRIOS'!$P$5:$P$500,"&gt;=106400")&gt;0,"X","")</f>
      </c>
      <c r="L65" s="56" t="str">
        <f>IF(COUNTIFS('LANÇAMENTOS DIÁRIOS'!$G$5:$G$500,"E",'LANÇAMENTOS DIÁRIOS'!$C$5:$C$500,$A65,'LANÇAMENTOS DIÁRIOS'!$O$5:$O$500,"&lt;=106599",'LANÇAMENTOS DIÁRIOS'!$P$5:$P$500,"&gt;=106500")&gt;0,"X","")</f>
      </c>
      <c r="M65" s="56" t="str">
        <f>IF(COUNTIFS('LANÇAMENTOS DIÁRIOS'!$G$5:$G$500,"E",'LANÇAMENTOS DIÁRIOS'!$C$5:$C$500,$A65,'LANÇAMENTOS DIÁRIOS'!$O$5:$O$500,"&lt;=106699",'LANÇAMENTOS DIÁRIOS'!$P$5:$P$500,"&gt;=106600")&gt;0,"X","")</f>
      </c>
      <c r="N65" s="56" t="str">
        <f>IF(COUNTIFS('LANÇAMENTOS DIÁRIOS'!$G$5:$G$500,"E",'LANÇAMENTOS DIÁRIOS'!$C$5:$C$500,$A65,'LANÇAMENTOS DIÁRIOS'!$O$5:$O$500,"&lt;=106799",'LANÇAMENTOS DIÁRIOS'!$P$5:$P$500,"&gt;=106700")&gt;0,"X","")</f>
      </c>
      <c r="O65" s="56" t="str">
        <f>IF(COUNTIFS('LANÇAMENTOS DIÁRIOS'!$G$5:$G$500,"E",'LANÇAMENTOS DIÁRIOS'!$C$5:$C$500,$A65,'LANÇAMENTOS DIÁRIOS'!$O$5:$O$500,"&lt;=106899",'LANÇAMENTOS DIÁRIOS'!$P$5:$P$500,"&gt;=106800")&gt;0,"X","")</f>
      </c>
      <c r="P65" s="56" t="str">
        <f>IF(COUNTIFS('LANÇAMENTOS DIÁRIOS'!$G$5:$G$500,"E",'LANÇAMENTOS DIÁRIOS'!$C$5:$C$500,$A65,'LANÇAMENTOS DIÁRIOS'!$O$5:$O$500,"&lt;=106999",'LANÇAMENTOS DIÁRIOS'!$P$5:$P$500,"&gt;=106900")&gt;0,"X","")</f>
      </c>
      <c r="Q65" s="56" t="str">
        <f>IF(COUNTIFS('LANÇAMENTOS DIÁRIOS'!$G$5:$G$500,"E",'LANÇAMENTOS DIÁRIOS'!$C$5:$C$500,$A65,'LANÇAMENTOS DIÁRIOS'!$O$5:$O$500,"&lt;=107099",'LANÇAMENTOS DIÁRIOS'!$P$5:$P$500,"&gt;=107000")&gt;0,"X","")</f>
      </c>
      <c r="R65" s="56" t="str">
        <f>IF(COUNTIFS('LANÇAMENTOS DIÁRIOS'!$G$5:$G$500,"E",'LANÇAMENTOS DIÁRIOS'!$C$5:$C$500,$A65,'LANÇAMENTOS DIÁRIOS'!$O$5:$O$500,"&lt;=107199",'LANÇAMENTOS DIÁRIOS'!$P$5:$P$500,"&gt;=107100")&gt;0,"X","")</f>
      </c>
      <c r="S65" s="56" t="str">
        <f>IF(COUNTIFS('LANÇAMENTOS DIÁRIOS'!$G$5:$G$500,"E",'LANÇAMENTOS DIÁRIOS'!$C$5:$C$500,$A65,'LANÇAMENTOS DIÁRIOS'!$O$5:$O$500,"&lt;=107299",'LANÇAMENTOS DIÁRIOS'!$P$5:$P$500,"&gt;=107200")&gt;0,"X","")</f>
      </c>
      <c r="T65" s="56" t="str">
        <f>IF(COUNTIFS('LANÇAMENTOS DIÁRIOS'!$G$5:$G$500,"E",'LANÇAMENTOS DIÁRIOS'!$C$5:$C$500,$A65,'LANÇAMENTOS DIÁRIOS'!$O$5:$O$500,"&lt;=107399",'LANÇAMENTOS DIÁRIOS'!$P$5:$P$500,"&gt;=107300")&gt;0,"X","")</f>
      </c>
      <c r="U65" s="56" t="str">
        <f>IF(COUNTIFS('LANÇAMENTOS DIÁRIOS'!$G$5:$G$500,"E",'LANÇAMENTOS DIÁRIOS'!$C$5:$C$500,$A65,'LANÇAMENTOS DIÁRIOS'!$O$5:$O$500,"&lt;=107499",'LANÇAMENTOS DIÁRIOS'!$P$5:$P$500,"&gt;=107400")&gt;0,"X","")</f>
      </c>
      <c r="V65" s="56" t="str">
        <f>IF(COUNTIFS('LANÇAMENTOS DIÁRIOS'!$G$5:$G$500,"E",'LANÇAMENTOS DIÁRIOS'!$C$5:$C$500,$A65,'LANÇAMENTOS DIÁRIOS'!$O$5:$O$500,"&lt;=107599",'LANÇAMENTOS DIÁRIOS'!$P$5:$P$500,"&gt;=107500")&gt;0,"X","")</f>
      </c>
      <c r="W65" s="56" t="str">
        <f>IF(COUNTIFS('LANÇAMENTOS DIÁRIOS'!$G$5:$G$500,"E",'LANÇAMENTOS DIÁRIOS'!$C$5:$C$500,$A65,'LANÇAMENTOS DIÁRIOS'!$O$5:$O$500,"&lt;=107699",'LANÇAMENTOS DIÁRIOS'!$P$5:$P$500,"&gt;=107600")&gt;0,"X","")</f>
      </c>
      <c r="X65" s="56" t="str">
        <f>IF(COUNTIFS('LANÇAMENTOS DIÁRIOS'!$G$5:$G$500,"E",'LANÇAMENTOS DIÁRIOS'!$C$5:$C$500,$A65,'LANÇAMENTOS DIÁRIOS'!$O$5:$O$500,"&lt;=107799",'LANÇAMENTOS DIÁRIOS'!$P$5:$P$500,"&gt;=107700")&gt;0,"X","")</f>
      </c>
      <c r="Y65" s="56" t="str">
        <f>IF(COUNTIFS('LANÇAMENTOS DIÁRIOS'!$G$5:$G$500,"E",'LANÇAMENTOS DIÁRIOS'!$C$5:$C$500,$A65,'LANÇAMENTOS DIÁRIOS'!$O$5:$O$500,"&lt;=107899",'LANÇAMENTOS DIÁRIOS'!$P$5:$P$500,"&gt;=107800")&gt;0,"X","")</f>
      </c>
      <c r="Z65" s="56" t="str">
        <f>IF(COUNTIFS('LANÇAMENTOS DIÁRIOS'!$G$5:$G$500,"E",'LANÇAMENTOS DIÁRIOS'!$C$5:$C$500,$A65,'LANÇAMENTOS DIÁRIOS'!$O$5:$O$500,"&lt;=107999",'LANÇAMENTOS DIÁRIOS'!$P$5:$P$500,"&gt;=107900")&gt;0,"X","")</f>
      </c>
      <c r="AA65" s="56" t="str">
        <f>IF(COUNTIFS('LANÇAMENTOS DIÁRIOS'!$G$5:$G$500,"E",'LANÇAMENTOS DIÁRIOS'!$C$5:$C$500,$A65,'LANÇAMENTOS DIÁRIOS'!$O$5:$O$500,"&lt;=108099",'LANÇAMENTOS DIÁRIOS'!$P$5:$P$500,"&gt;=108000")&gt;0,"X","")</f>
      </c>
      <c r="AB65" s="56" t="str">
        <f>IF(COUNTIFS('LANÇAMENTOS DIÁRIOS'!$G$5:$G$500,"E",'LANÇAMENTOS DIÁRIOS'!$C$5:$C$500,$A65,'LANÇAMENTOS DIÁRIOS'!$O$5:$O$500,"&lt;=108199",'LANÇAMENTOS DIÁRIOS'!$P$5:$P$500,"&gt;=108100")&gt;0,"X","")</f>
      </c>
      <c r="AC65" s="56" t="str">
        <f>IF(COUNTIFS('LANÇAMENTOS DIÁRIOS'!$G$5:$G$500,"E",'LANÇAMENTOS DIÁRIOS'!$C$5:$C$500,$A65,'LANÇAMENTOS DIÁRIOS'!$O$5:$O$500,"&lt;=108299",'LANÇAMENTOS DIÁRIOS'!$P$5:$P$500,"&gt;=108200")&gt;0,"X","")</f>
      </c>
      <c r="AD65" s="56" t="str">
        <f>IF(COUNTIFS('LANÇAMENTOS DIÁRIOS'!$G$5:$G$500,"E",'LANÇAMENTOS DIÁRIOS'!$C$5:$C$500,$A65,'LANÇAMENTOS DIÁRIOS'!$O$5:$O$500,"&lt;=108399",'LANÇAMENTOS DIÁRIOS'!$P$5:$P$500,"&gt;=108300")&gt;0,"X","")</f>
      </c>
      <c r="AE65" s="56" t="str">
        <f>IF(COUNTIFS('LANÇAMENTOS DIÁRIOS'!$G$5:$G$500,"E",'LANÇAMENTOS DIÁRIOS'!$C$5:$C$500,$A65,'LANÇAMENTOS DIÁRIOS'!$O$5:$O$500,"&lt;=108499",'LANÇAMENTOS DIÁRIOS'!$P$5:$P$500,"&gt;=108400")&gt;0,"X","")</f>
      </c>
      <c r="AF65" s="56" t="str">
        <f>IF(COUNTIFS('LANÇAMENTOS DIÁRIOS'!$G$5:$G$500,"E",'LANÇAMENTOS DIÁRIOS'!$C$5:$C$500,$A65,'LANÇAMENTOS DIÁRIOS'!$O$5:$O$500,"&lt;=108599",'LANÇAMENTOS DIÁRIOS'!$P$5:$P$500,"&gt;=108500")&gt;0,"X","")</f>
      </c>
      <c r="AG65" s="56" t="str">
        <f>IF(COUNTIFS('LANÇAMENTOS DIÁRIOS'!$G$5:$G$500,"E",'LANÇAMENTOS DIÁRIOS'!$C$5:$C$500,$A65,'LANÇAMENTOS DIÁRIOS'!$O$5:$O$500,"&lt;=108699",'LANÇAMENTOS DIÁRIOS'!$P$5:$P$500,"&gt;=108600")&gt;0,"X","")</f>
      </c>
      <c r="AH65" s="56" t="str">
        <f>IF(COUNTIFS('LANÇAMENTOS DIÁRIOS'!$G$5:$G$500,"E",'LANÇAMENTOS DIÁRIOS'!$C$5:$C$500,$A65,'LANÇAMENTOS DIÁRIOS'!$O$5:$O$500,"&lt;=108799",'LANÇAMENTOS DIÁRIOS'!$P$5:$P$500,"&gt;=108700")&gt;0,"X","")</f>
      </c>
      <c r="AI65" s="56" t="str">
        <f>IF(COUNTIFS('LANÇAMENTOS DIÁRIOS'!$G$5:$G$500,"E",'LANÇAMENTOS DIÁRIOS'!$C$5:$C$500,$A65,'LANÇAMENTOS DIÁRIOS'!$O$5:$O$500,"&lt;=108899",'LANÇAMENTOS DIÁRIOS'!$P$5:$P$500,"&gt;=108800")&gt;0,"X","")</f>
      </c>
      <c r="AJ65" s="56" t="str">
        <f>IF(COUNTIFS('LANÇAMENTOS DIÁRIOS'!$G$5:$G$500,"E",'LANÇAMENTOS DIÁRIOS'!$C$5:$C$500,$A65,'LANÇAMENTOS DIÁRIOS'!$O$5:$O$500,"&lt;=108999",'LANÇAMENTOS DIÁRIOS'!$P$5:$P$500,"&gt;=108900")&gt;0,"X","")</f>
      </c>
      <c r="AK65" s="56" t="str">
        <f>IF(COUNTIFS('LANÇAMENTOS DIÁRIOS'!$G$5:$G$500,"E",'LANÇAMENTOS DIÁRIOS'!$C$5:$C$500,$A65,'LANÇAMENTOS DIÁRIOS'!$O$5:$O$500,"&lt;=109099",'LANÇAMENTOS DIÁRIOS'!$P$5:$P$500,"&gt;=109000")&gt;0,"X","")</f>
      </c>
      <c r="AL65" s="56" t="str">
        <f>IF(COUNTIFS('LANÇAMENTOS DIÁRIOS'!$G$5:$G$500,"E",'LANÇAMENTOS DIÁRIOS'!$C$5:$C$500,$A65,'LANÇAMENTOS DIÁRIOS'!$O$5:$O$500,"&lt;=109199",'LANÇAMENTOS DIÁRIOS'!$P$5:$P$500,"&gt;=109100")&gt;0,"X","")</f>
      </c>
      <c r="AM65" s="56" t="str">
        <f>IF(COUNTIFS('LANÇAMENTOS DIÁRIOS'!$G$5:$G$500,"E",'LANÇAMENTOS DIÁRIOS'!$C$5:$C$500,$A65,'LANÇAMENTOS DIÁRIOS'!$O$5:$O$500,"&lt;=109299",'LANÇAMENTOS DIÁRIOS'!$P$5:$P$500,"&gt;=109200")&gt;0,"X","")</f>
      </c>
      <c r="AN65" s="56" t="str">
        <f>IF(COUNTIFS('LANÇAMENTOS DIÁRIOS'!$G$5:$G$500,"E",'LANÇAMENTOS DIÁRIOS'!$C$5:$C$500,$A65,'LANÇAMENTOS DIÁRIOS'!$O$5:$O$500,"&lt;=109399",'LANÇAMENTOS DIÁRIOS'!$P$5:$P$500,"&gt;=109300")&gt;0,"X","")</f>
      </c>
      <c r="AO65" s="56" t="str">
        <f>IF(COUNTIFS('LANÇAMENTOS DIÁRIOS'!$G$5:$G$500,"E",'LANÇAMENTOS DIÁRIOS'!$C$5:$C$500,$A65,'LANÇAMENTOS DIÁRIOS'!$O$5:$O$500,"&lt;=109499",'LANÇAMENTOS DIÁRIOS'!$P$5:$P$500,"&gt;=109400")&gt;0,"X","")</f>
      </c>
      <c r="AP65" s="56" t="str">
        <f>IF(COUNTIFS('LANÇAMENTOS DIÁRIOS'!$G$5:$G$500,"E",'LANÇAMENTOS DIÁRIOS'!$C$5:$C$500,$A65,'LANÇAMENTOS DIÁRIOS'!$O$5:$O$500,"&lt;=109599",'LANÇAMENTOS DIÁRIOS'!$P$5:$P$500,"&gt;=109500")&gt;0,"X","")</f>
      </c>
      <c r="AQ65" s="56" t="str">
        <f>IF(COUNTIFS('LANÇAMENTOS DIÁRIOS'!$G$5:$G$500,"E",'LANÇAMENTOS DIÁRIOS'!$C$5:$C$500,$A65,'LANÇAMENTOS DIÁRIOS'!$O$5:$O$500,"&lt;=109699",'LANÇAMENTOS DIÁRIOS'!$P$5:$P$500,"&gt;=109600")&gt;0,"X","")</f>
      </c>
      <c r="AR65" s="56" t="str">
        <f>IF(COUNTIFS('LANÇAMENTOS DIÁRIOS'!$G$5:$G$500,"E",'LANÇAMENTOS DIÁRIOS'!$C$5:$C$500,$A65,'LANÇAMENTOS DIÁRIOS'!$O$5:$O$500,"&lt;=109799",'LANÇAMENTOS DIÁRIOS'!$P$5:$P$500,"&gt;=109700")&gt;0,"X","")</f>
      </c>
      <c r="AS65" s="56" t="str">
        <f>IF(COUNTIFS('LANÇAMENTOS DIÁRIOS'!$G$5:$G$500,"E",'LANÇAMENTOS DIÁRIOS'!$C$5:$C$500,$A65,'LANÇAMENTOS DIÁRIOS'!$O$5:$O$500,"&lt;=109899",'LANÇAMENTOS DIÁRIOS'!$P$5:$P$500,"&gt;=109800")&gt;0,"X","")</f>
      </c>
      <c r="AT65" s="56" t="str">
        <f>IF(COUNTIFS('LANÇAMENTOS DIÁRIOS'!$G$5:$G$500,"E",'LANÇAMENTOS DIÁRIOS'!$C$5:$C$500,$A65,'LANÇAMENTOS DIÁRIOS'!$O$5:$O$500,"&lt;=109999",'LANÇAMENTOS DIÁRIOS'!$P$5:$P$500,"&gt;=109900")&gt;0,"X","")</f>
      </c>
      <c r="AU65" s="56" t="str">
        <f>IF(COUNTIFS('LANÇAMENTOS DIÁRIOS'!$G$5:$G$500,"E",'LANÇAMENTOS DIÁRIOS'!$C$5:$C$500,$A65,'LANÇAMENTOS DIÁRIOS'!$O$5:$O$500,"&lt;=110099",'LANÇAMENTOS DIÁRIOS'!$P$5:$P$500,"&gt;=110000")&gt;0,"X","")</f>
      </c>
      <c r="AV65" s="56" t="str">
        <f>IF(COUNTIFS('LANÇAMENTOS DIÁRIOS'!$G$5:$G$500,"E",'LANÇAMENTOS DIÁRIOS'!$C$5:$C$500,$A65,'LANÇAMENTOS DIÁRIOS'!$O$5:$O$500,"&lt;=110199",'LANÇAMENTOS DIÁRIOS'!$P$5:$P$500,"&gt;=110100")&gt;0,"X","")</f>
      </c>
      <c r="AW65" s="56" t="str">
        <f>IF(COUNTIFS('LANÇAMENTOS DIÁRIOS'!$G$5:$G$500,"E",'LANÇAMENTOS DIÁRIOS'!$C$5:$C$500,$A65,'LANÇAMENTOS DIÁRIOS'!$O$5:$O$500,"&lt;=110299",'LANÇAMENTOS DIÁRIOS'!$P$5:$P$500,"&gt;=110200")&gt;0,"X","")</f>
      </c>
      <c r="AX65" s="56" t="str">
        <f>IF(COUNTIFS('LANÇAMENTOS DIÁRIOS'!$G$5:$G$500,"E",'LANÇAMENTOS DIÁRIOS'!$C$5:$C$500,$A65,'LANÇAMENTOS DIÁRIOS'!$O$5:$O$500,"&lt;=110399",'LANÇAMENTOS DIÁRIOS'!$P$5:$P$500,"&gt;=110300")&gt;0,"X","")</f>
      </c>
      <c r="AY65" s="56" t="str">
        <f>IF(COUNTIFS('LANÇAMENTOS DIÁRIOS'!$G$5:$G$500,"E",'LANÇAMENTOS DIÁRIOS'!$C$5:$C$500,$A65,'LANÇAMENTOS DIÁRIOS'!$O$5:$O$500,"&lt;=110499",'LANÇAMENTOS DIÁRIOS'!$P$5:$P$500,"&gt;=110400")&gt;0,"X","")</f>
      </c>
      <c r="AZ65" s="56" t="str">
        <f>IF(COUNTIFS('LANÇAMENTOS DIÁRIOS'!$G$5:$G$500,"E",'LANÇAMENTOS DIÁRIOS'!$C$5:$C$500,$A65,'LANÇAMENTOS DIÁRIOS'!$O$5:$O$500,"&lt;=110599",'LANÇAMENTOS DIÁRIOS'!$P$5:$P$500,"&gt;=110500")&gt;0,"X","")</f>
      </c>
      <c r="BA65" s="56" t="str">
        <f>IF(COUNTIFS('LANÇAMENTOS DIÁRIOS'!$G$5:$G$500,"E",'LANÇAMENTOS DIÁRIOS'!$C$5:$C$500,$A65,'LANÇAMENTOS DIÁRIOS'!$O$5:$O$500,"&lt;=110699",'LANÇAMENTOS DIÁRIOS'!$P$5:$P$500,"&gt;=110600")&gt;0,"X","")</f>
      </c>
      <c r="BB65" s="56" t="str">
        <f>IF(COUNTIFS('LANÇAMENTOS DIÁRIOS'!$G$5:$G$500,"E",'LANÇAMENTOS DIÁRIOS'!$C$5:$C$500,$A65,'LANÇAMENTOS DIÁRIOS'!$O$5:$O$500,"&lt;=110799",'LANÇAMENTOS DIÁRIOS'!$P$5:$P$500,"&gt;=110700")&gt;0,"X","")</f>
      </c>
      <c r="BC65" s="56" t="str">
        <f>IF(COUNTIFS('LANÇAMENTOS DIÁRIOS'!$G$5:$G$500,"E",'LANÇAMENTOS DIÁRIOS'!$C$5:$C$500,$A65,'LANÇAMENTOS DIÁRIOS'!$O$5:$O$500,"&lt;=110899",'LANÇAMENTOS DIÁRIOS'!$P$5:$P$500,"&gt;=110800")&gt;0,"X","")</f>
      </c>
      <c r="BD65" s="56" t="str">
        <f>IF(COUNTIFS('LANÇAMENTOS DIÁRIOS'!$G$5:$G$500,"E",'LANÇAMENTOS DIÁRIOS'!$C$5:$C$500,$A65,'LANÇAMENTOS DIÁRIOS'!$O$5:$O$500,"&lt;=110999",'LANÇAMENTOS DIÁRIOS'!$P$5:$P$500,"&gt;=110900")&gt;0,"X","")</f>
      </c>
      <c r="BE65" s="56" t="str">
        <f>IF(COUNTIFS('LANÇAMENTOS DIÁRIOS'!$G$5:$G$500,"E",'LANÇAMENTOS DIÁRIOS'!$C$5:$C$500,$A65,'LANÇAMENTOS DIÁRIOS'!$O$5:$O$500,"&lt;=111099",'LANÇAMENTOS DIÁRIOS'!$P$5:$P$500,"&gt;=111000")&gt;0,"X","")</f>
      </c>
      <c r="BF65" s="56" t="str">
        <f>IF(COUNTIFS('LANÇAMENTOS DIÁRIOS'!$G$5:$G$500,"E",'LANÇAMENTOS DIÁRIOS'!$C$5:$C$500,$A65,'LANÇAMENTOS DIÁRIOS'!$O$5:$O$500,"&lt;=111199",'LANÇAMENTOS DIÁRIOS'!$P$5:$P$500,"&gt;=111100")&gt;0,"X","")</f>
      </c>
      <c r="BG65" s="56" t="str">
        <f>IF(COUNTIFS('LANÇAMENTOS DIÁRIOS'!$G$5:$G$500,"E",'LANÇAMENTOS DIÁRIOS'!$C$5:$C$500,$A65,'LANÇAMENTOS DIÁRIOS'!$O$5:$O$500,"&lt;=111299",'LANÇAMENTOS DIÁRIOS'!$P$5:$P$500,"&gt;=111200")&gt;0,"X","")</f>
      </c>
      <c r="BH65" s="56" t="str">
        <f>IF(COUNTIFS('LANÇAMENTOS DIÁRIOS'!$G$5:$G$500,"E",'LANÇAMENTOS DIÁRIOS'!$C$5:$C$500,$A65,'LANÇAMENTOS DIÁRIOS'!$O$5:$O$500,"&lt;=111399",'LANÇAMENTOS DIÁRIOS'!$P$5:$P$500,"&gt;=111300")&gt;0,"X","")</f>
      </c>
      <c r="BI65" s="56" t="str">
        <f>IF(COUNTIFS('LANÇAMENTOS DIÁRIOS'!$G$5:$G$500,"E",'LANÇAMENTOS DIÁRIOS'!$C$5:$C$500,$A65,'LANÇAMENTOS DIÁRIOS'!$O$5:$O$500,"&lt;=111499",'LANÇAMENTOS DIÁRIOS'!$P$5:$P$500,"&gt;=111400")&gt;0,"X","")</f>
      </c>
      <c r="BJ65" s="56" t="str">
        <f>IF(COUNTIFS('LANÇAMENTOS DIÁRIOS'!$G$5:$G$500,"E",'LANÇAMENTOS DIÁRIOS'!$C$5:$C$500,$A65,'LANÇAMENTOS DIÁRIOS'!$O$5:$O$500,"&lt;=111500",'LANÇAMENTOS DIÁRIOS'!$P$5:$P$500,"&gt;=111500")&gt;0,"X","")</f>
      </c>
    </row>
    <row r="66">
      <c r="A66" s="51" t="str">
        <v>Geogrelha uniaxial com deformação máxima de 5% e resistência nominal de 225kN/m - Sem o fornecimento dos materias</v>
      </c>
      <c r="B66" s="56" t="str">
        <f>IF(COUNTIFS('LANÇAMENTOS DIÁRIOS'!$G$5:$G$500,"E",'LANÇAMENTOS DIÁRIOS'!$C$5:$C$500,$A66,'LANÇAMENTOS DIÁRIOS'!$O$5:$O$500,"&lt;=105599",'LANÇAMENTOS DIÁRIOS'!$P$5:$P$500,"&gt;=105500")&gt;0,"X","")</f>
      </c>
      <c r="C66" s="56" t="str">
        <f>IF(COUNTIFS('LANÇAMENTOS DIÁRIOS'!$G$5:$G$500,"E",'LANÇAMENTOS DIÁRIOS'!$C$5:$C$500,$A66,'LANÇAMENTOS DIÁRIOS'!$O$5:$O$500,"&lt;=105699",'LANÇAMENTOS DIÁRIOS'!$P$5:$P$500,"&gt;=105600")&gt;0,"X","")</f>
      </c>
      <c r="D66" s="56" t="str">
        <f>IF(COUNTIFS('LANÇAMENTOS DIÁRIOS'!$G$5:$G$500,"E",'LANÇAMENTOS DIÁRIOS'!$C$5:$C$500,$A66,'LANÇAMENTOS DIÁRIOS'!$O$5:$O$500,"&lt;=105799",'LANÇAMENTOS DIÁRIOS'!$P$5:$P$500,"&gt;=105700")&gt;0,"X","")</f>
      </c>
      <c r="E66" s="56" t="str">
        <f>IF(COUNTIFS('LANÇAMENTOS DIÁRIOS'!$G$5:$G$500,"E",'LANÇAMENTOS DIÁRIOS'!$C$5:$C$500,$A66,'LANÇAMENTOS DIÁRIOS'!$O$5:$O$500,"&lt;=105899",'LANÇAMENTOS DIÁRIOS'!$P$5:$P$500,"&gt;=105800")&gt;0,"X","")</f>
      </c>
      <c r="F66" s="56" t="str">
        <f>IF(COUNTIFS('LANÇAMENTOS DIÁRIOS'!$G$5:$G$500,"E",'LANÇAMENTOS DIÁRIOS'!$C$5:$C$500,$A66,'LANÇAMENTOS DIÁRIOS'!$O$5:$O$500,"&lt;=105999",'LANÇAMENTOS DIÁRIOS'!$P$5:$P$500,"&gt;=105900")&gt;0,"X","")</f>
      </c>
      <c r="G66" s="56" t="str">
        <f>IF(COUNTIFS('LANÇAMENTOS DIÁRIOS'!$G$5:$G$500,"E",'LANÇAMENTOS DIÁRIOS'!$C$5:$C$500,$A66,'LANÇAMENTOS DIÁRIOS'!$O$5:$O$500,"&lt;=106099",'LANÇAMENTOS DIÁRIOS'!$P$5:$P$500,"&gt;=106000")&gt;0,"X","")</f>
      </c>
      <c r="H66" s="56" t="str">
        <f>IF(COUNTIFS('LANÇAMENTOS DIÁRIOS'!$G$5:$G$500,"E",'LANÇAMENTOS DIÁRIOS'!$C$5:$C$500,$A66,'LANÇAMENTOS DIÁRIOS'!$O$5:$O$500,"&lt;=106199",'LANÇAMENTOS DIÁRIOS'!$P$5:$P$500,"&gt;=106100")&gt;0,"X","")</f>
      </c>
      <c r="I66" s="56" t="str">
        <f>IF(COUNTIFS('LANÇAMENTOS DIÁRIOS'!$G$5:$G$500,"E",'LANÇAMENTOS DIÁRIOS'!$C$5:$C$500,$A66,'LANÇAMENTOS DIÁRIOS'!$O$5:$O$500,"&lt;=106299",'LANÇAMENTOS DIÁRIOS'!$P$5:$P$500,"&gt;=106200")&gt;0,"X","")</f>
      </c>
      <c r="J66" s="56" t="str">
        <f>IF(COUNTIFS('LANÇAMENTOS DIÁRIOS'!$G$5:$G$500,"E",'LANÇAMENTOS DIÁRIOS'!$C$5:$C$500,$A66,'LANÇAMENTOS DIÁRIOS'!$O$5:$O$500,"&lt;=106399",'LANÇAMENTOS DIÁRIOS'!$P$5:$P$500,"&gt;=106300")&gt;0,"X","")</f>
      </c>
      <c r="K66" s="56" t="str">
        <f>IF(COUNTIFS('LANÇAMENTOS DIÁRIOS'!$G$5:$G$500,"E",'LANÇAMENTOS DIÁRIOS'!$C$5:$C$500,$A66,'LANÇAMENTOS DIÁRIOS'!$O$5:$O$500,"&lt;=106499",'LANÇAMENTOS DIÁRIOS'!$P$5:$P$500,"&gt;=106400")&gt;0,"X","")</f>
      </c>
      <c r="L66" s="56" t="str">
        <f>IF(COUNTIFS('LANÇAMENTOS DIÁRIOS'!$G$5:$G$500,"E",'LANÇAMENTOS DIÁRIOS'!$C$5:$C$500,$A66,'LANÇAMENTOS DIÁRIOS'!$O$5:$O$500,"&lt;=106599",'LANÇAMENTOS DIÁRIOS'!$P$5:$P$500,"&gt;=106500")&gt;0,"X","")</f>
      </c>
      <c r="M66" s="56" t="str">
        <f>IF(COUNTIFS('LANÇAMENTOS DIÁRIOS'!$G$5:$G$500,"E",'LANÇAMENTOS DIÁRIOS'!$C$5:$C$500,$A66,'LANÇAMENTOS DIÁRIOS'!$O$5:$O$500,"&lt;=106699",'LANÇAMENTOS DIÁRIOS'!$P$5:$P$500,"&gt;=106600")&gt;0,"X","")</f>
      </c>
      <c r="N66" s="56" t="str">
        <f>IF(COUNTIFS('LANÇAMENTOS DIÁRIOS'!$G$5:$G$500,"E",'LANÇAMENTOS DIÁRIOS'!$C$5:$C$500,$A66,'LANÇAMENTOS DIÁRIOS'!$O$5:$O$500,"&lt;=106799",'LANÇAMENTOS DIÁRIOS'!$P$5:$P$500,"&gt;=106700")&gt;0,"X","")</f>
      </c>
      <c r="O66" s="56" t="str">
        <f>IF(COUNTIFS('LANÇAMENTOS DIÁRIOS'!$G$5:$G$500,"E",'LANÇAMENTOS DIÁRIOS'!$C$5:$C$500,$A66,'LANÇAMENTOS DIÁRIOS'!$O$5:$O$500,"&lt;=106899",'LANÇAMENTOS DIÁRIOS'!$P$5:$P$500,"&gt;=106800")&gt;0,"X","")</f>
      </c>
      <c r="P66" s="56" t="str">
        <f>IF(COUNTIFS('LANÇAMENTOS DIÁRIOS'!$G$5:$G$500,"E",'LANÇAMENTOS DIÁRIOS'!$C$5:$C$500,$A66,'LANÇAMENTOS DIÁRIOS'!$O$5:$O$500,"&lt;=106999",'LANÇAMENTOS DIÁRIOS'!$P$5:$P$500,"&gt;=106900")&gt;0,"X","")</f>
      </c>
      <c r="Q66" s="56" t="str">
        <f>IF(COUNTIFS('LANÇAMENTOS DIÁRIOS'!$G$5:$G$500,"E",'LANÇAMENTOS DIÁRIOS'!$C$5:$C$500,$A66,'LANÇAMENTOS DIÁRIOS'!$O$5:$O$500,"&lt;=107099",'LANÇAMENTOS DIÁRIOS'!$P$5:$P$500,"&gt;=107000")&gt;0,"X","")</f>
      </c>
      <c r="R66" s="56" t="str">
        <f>IF(COUNTIFS('LANÇAMENTOS DIÁRIOS'!$G$5:$G$500,"E",'LANÇAMENTOS DIÁRIOS'!$C$5:$C$500,$A66,'LANÇAMENTOS DIÁRIOS'!$O$5:$O$500,"&lt;=107199",'LANÇAMENTOS DIÁRIOS'!$P$5:$P$500,"&gt;=107100")&gt;0,"X","")</f>
      </c>
      <c r="S66" s="56" t="str">
        <f>IF(COUNTIFS('LANÇAMENTOS DIÁRIOS'!$G$5:$G$500,"E",'LANÇAMENTOS DIÁRIOS'!$C$5:$C$500,$A66,'LANÇAMENTOS DIÁRIOS'!$O$5:$O$500,"&lt;=107299",'LANÇAMENTOS DIÁRIOS'!$P$5:$P$500,"&gt;=107200")&gt;0,"X","")</f>
      </c>
      <c r="T66" s="56" t="str">
        <f>IF(COUNTIFS('LANÇAMENTOS DIÁRIOS'!$G$5:$G$500,"E",'LANÇAMENTOS DIÁRIOS'!$C$5:$C$500,$A66,'LANÇAMENTOS DIÁRIOS'!$O$5:$O$500,"&lt;=107399",'LANÇAMENTOS DIÁRIOS'!$P$5:$P$500,"&gt;=107300")&gt;0,"X","")</f>
      </c>
      <c r="U66" s="56" t="str">
        <f>IF(COUNTIFS('LANÇAMENTOS DIÁRIOS'!$G$5:$G$500,"E",'LANÇAMENTOS DIÁRIOS'!$C$5:$C$500,$A66,'LANÇAMENTOS DIÁRIOS'!$O$5:$O$500,"&lt;=107499",'LANÇAMENTOS DIÁRIOS'!$P$5:$P$500,"&gt;=107400")&gt;0,"X","")</f>
      </c>
      <c r="V66" s="56" t="str">
        <f>IF(COUNTIFS('LANÇAMENTOS DIÁRIOS'!$G$5:$G$500,"E",'LANÇAMENTOS DIÁRIOS'!$C$5:$C$500,$A66,'LANÇAMENTOS DIÁRIOS'!$O$5:$O$500,"&lt;=107599",'LANÇAMENTOS DIÁRIOS'!$P$5:$P$500,"&gt;=107500")&gt;0,"X","")</f>
      </c>
      <c r="W66" s="56" t="str">
        <f>IF(COUNTIFS('LANÇAMENTOS DIÁRIOS'!$G$5:$G$500,"E",'LANÇAMENTOS DIÁRIOS'!$C$5:$C$500,$A66,'LANÇAMENTOS DIÁRIOS'!$O$5:$O$500,"&lt;=107699",'LANÇAMENTOS DIÁRIOS'!$P$5:$P$500,"&gt;=107600")&gt;0,"X","")</f>
      </c>
      <c r="X66" s="56" t="str">
        <f>IF(COUNTIFS('LANÇAMENTOS DIÁRIOS'!$G$5:$G$500,"E",'LANÇAMENTOS DIÁRIOS'!$C$5:$C$500,$A66,'LANÇAMENTOS DIÁRIOS'!$O$5:$O$500,"&lt;=107799",'LANÇAMENTOS DIÁRIOS'!$P$5:$P$500,"&gt;=107700")&gt;0,"X","")</f>
      </c>
      <c r="Y66" s="56" t="str">
        <f>IF(COUNTIFS('LANÇAMENTOS DIÁRIOS'!$G$5:$G$500,"E",'LANÇAMENTOS DIÁRIOS'!$C$5:$C$500,$A66,'LANÇAMENTOS DIÁRIOS'!$O$5:$O$500,"&lt;=107899",'LANÇAMENTOS DIÁRIOS'!$P$5:$P$500,"&gt;=107800")&gt;0,"X","")</f>
      </c>
      <c r="Z66" s="56" t="str">
        <f>IF(COUNTIFS('LANÇAMENTOS DIÁRIOS'!$G$5:$G$500,"E",'LANÇAMENTOS DIÁRIOS'!$C$5:$C$500,$A66,'LANÇAMENTOS DIÁRIOS'!$O$5:$O$500,"&lt;=107999",'LANÇAMENTOS DIÁRIOS'!$P$5:$P$500,"&gt;=107900")&gt;0,"X","")</f>
      </c>
      <c r="AA66" s="56" t="str">
        <f>IF(COUNTIFS('LANÇAMENTOS DIÁRIOS'!$G$5:$G$500,"E",'LANÇAMENTOS DIÁRIOS'!$C$5:$C$500,$A66,'LANÇAMENTOS DIÁRIOS'!$O$5:$O$500,"&lt;=108099",'LANÇAMENTOS DIÁRIOS'!$P$5:$P$500,"&gt;=108000")&gt;0,"X","")</f>
      </c>
      <c r="AB66" s="56" t="str">
        <f>IF(COUNTIFS('LANÇAMENTOS DIÁRIOS'!$G$5:$G$500,"E",'LANÇAMENTOS DIÁRIOS'!$C$5:$C$500,$A66,'LANÇAMENTOS DIÁRIOS'!$O$5:$O$500,"&lt;=108199",'LANÇAMENTOS DIÁRIOS'!$P$5:$P$500,"&gt;=108100")&gt;0,"X","")</f>
      </c>
      <c r="AC66" s="56" t="str">
        <f>IF(COUNTIFS('LANÇAMENTOS DIÁRIOS'!$G$5:$G$500,"E",'LANÇAMENTOS DIÁRIOS'!$C$5:$C$500,$A66,'LANÇAMENTOS DIÁRIOS'!$O$5:$O$500,"&lt;=108299",'LANÇAMENTOS DIÁRIOS'!$P$5:$P$500,"&gt;=108200")&gt;0,"X","")</f>
      </c>
      <c r="AD66" s="56" t="str">
        <f>IF(COUNTIFS('LANÇAMENTOS DIÁRIOS'!$G$5:$G$500,"E",'LANÇAMENTOS DIÁRIOS'!$C$5:$C$500,$A66,'LANÇAMENTOS DIÁRIOS'!$O$5:$O$500,"&lt;=108399",'LANÇAMENTOS DIÁRIOS'!$P$5:$P$500,"&gt;=108300")&gt;0,"X","")</f>
      </c>
      <c r="AE66" s="56" t="str">
        <f>IF(COUNTIFS('LANÇAMENTOS DIÁRIOS'!$G$5:$G$500,"E",'LANÇAMENTOS DIÁRIOS'!$C$5:$C$500,$A66,'LANÇAMENTOS DIÁRIOS'!$O$5:$O$500,"&lt;=108499",'LANÇAMENTOS DIÁRIOS'!$P$5:$P$500,"&gt;=108400")&gt;0,"X","")</f>
      </c>
      <c r="AF66" s="56" t="str">
        <f>IF(COUNTIFS('LANÇAMENTOS DIÁRIOS'!$G$5:$G$500,"E",'LANÇAMENTOS DIÁRIOS'!$C$5:$C$500,$A66,'LANÇAMENTOS DIÁRIOS'!$O$5:$O$500,"&lt;=108599",'LANÇAMENTOS DIÁRIOS'!$P$5:$P$500,"&gt;=108500")&gt;0,"X","")</f>
      </c>
      <c r="AG66" s="56" t="str">
        <f>IF(COUNTIFS('LANÇAMENTOS DIÁRIOS'!$G$5:$G$500,"E",'LANÇAMENTOS DIÁRIOS'!$C$5:$C$500,$A66,'LANÇAMENTOS DIÁRIOS'!$O$5:$O$500,"&lt;=108699",'LANÇAMENTOS DIÁRIOS'!$P$5:$P$500,"&gt;=108600")&gt;0,"X","")</f>
      </c>
      <c r="AH66" s="56" t="str">
        <f>IF(COUNTIFS('LANÇAMENTOS DIÁRIOS'!$G$5:$G$500,"E",'LANÇAMENTOS DIÁRIOS'!$C$5:$C$500,$A66,'LANÇAMENTOS DIÁRIOS'!$O$5:$O$500,"&lt;=108799",'LANÇAMENTOS DIÁRIOS'!$P$5:$P$500,"&gt;=108700")&gt;0,"X","")</f>
      </c>
      <c r="AI66" s="56" t="str">
        <f>IF(COUNTIFS('LANÇAMENTOS DIÁRIOS'!$G$5:$G$500,"E",'LANÇAMENTOS DIÁRIOS'!$C$5:$C$500,$A66,'LANÇAMENTOS DIÁRIOS'!$O$5:$O$500,"&lt;=108899",'LANÇAMENTOS DIÁRIOS'!$P$5:$P$500,"&gt;=108800")&gt;0,"X","")</f>
      </c>
      <c r="AJ66" s="56" t="str">
        <f>IF(COUNTIFS('LANÇAMENTOS DIÁRIOS'!$G$5:$G$500,"E",'LANÇAMENTOS DIÁRIOS'!$C$5:$C$500,$A66,'LANÇAMENTOS DIÁRIOS'!$O$5:$O$500,"&lt;=108999",'LANÇAMENTOS DIÁRIOS'!$P$5:$P$500,"&gt;=108900")&gt;0,"X","")</f>
      </c>
      <c r="AK66" s="56" t="str">
        <f>IF(COUNTIFS('LANÇAMENTOS DIÁRIOS'!$G$5:$G$500,"E",'LANÇAMENTOS DIÁRIOS'!$C$5:$C$500,$A66,'LANÇAMENTOS DIÁRIOS'!$O$5:$O$500,"&lt;=109099",'LANÇAMENTOS DIÁRIOS'!$P$5:$P$500,"&gt;=109000")&gt;0,"X","")</f>
      </c>
      <c r="AL66" s="56" t="str">
        <f>IF(COUNTIFS('LANÇAMENTOS DIÁRIOS'!$G$5:$G$500,"E",'LANÇAMENTOS DIÁRIOS'!$C$5:$C$500,$A66,'LANÇAMENTOS DIÁRIOS'!$O$5:$O$500,"&lt;=109199",'LANÇAMENTOS DIÁRIOS'!$P$5:$P$500,"&gt;=109100")&gt;0,"X","")</f>
      </c>
      <c r="AM66" s="56" t="str">
        <f>IF(COUNTIFS('LANÇAMENTOS DIÁRIOS'!$G$5:$G$500,"E",'LANÇAMENTOS DIÁRIOS'!$C$5:$C$500,$A66,'LANÇAMENTOS DIÁRIOS'!$O$5:$O$500,"&lt;=109299",'LANÇAMENTOS DIÁRIOS'!$P$5:$P$500,"&gt;=109200")&gt;0,"X","")</f>
      </c>
      <c r="AN66" s="56" t="str">
        <f>IF(COUNTIFS('LANÇAMENTOS DIÁRIOS'!$G$5:$G$500,"E",'LANÇAMENTOS DIÁRIOS'!$C$5:$C$500,$A66,'LANÇAMENTOS DIÁRIOS'!$O$5:$O$500,"&lt;=109399",'LANÇAMENTOS DIÁRIOS'!$P$5:$P$500,"&gt;=109300")&gt;0,"X","")</f>
      </c>
      <c r="AO66" s="56" t="str">
        <f>IF(COUNTIFS('LANÇAMENTOS DIÁRIOS'!$G$5:$G$500,"E",'LANÇAMENTOS DIÁRIOS'!$C$5:$C$500,$A66,'LANÇAMENTOS DIÁRIOS'!$O$5:$O$500,"&lt;=109499",'LANÇAMENTOS DIÁRIOS'!$P$5:$P$500,"&gt;=109400")&gt;0,"X","")</f>
      </c>
      <c r="AP66" s="56" t="str">
        <f>IF(COUNTIFS('LANÇAMENTOS DIÁRIOS'!$G$5:$G$500,"E",'LANÇAMENTOS DIÁRIOS'!$C$5:$C$500,$A66,'LANÇAMENTOS DIÁRIOS'!$O$5:$O$500,"&lt;=109599",'LANÇAMENTOS DIÁRIOS'!$P$5:$P$500,"&gt;=109500")&gt;0,"X","")</f>
      </c>
      <c r="AQ66" s="56" t="str">
        <f>IF(COUNTIFS('LANÇAMENTOS DIÁRIOS'!$G$5:$G$500,"E",'LANÇAMENTOS DIÁRIOS'!$C$5:$C$500,$A66,'LANÇAMENTOS DIÁRIOS'!$O$5:$O$500,"&lt;=109699",'LANÇAMENTOS DIÁRIOS'!$P$5:$P$500,"&gt;=109600")&gt;0,"X","")</f>
      </c>
      <c r="AR66" s="56" t="str">
        <f>IF(COUNTIFS('LANÇAMENTOS DIÁRIOS'!$G$5:$G$500,"E",'LANÇAMENTOS DIÁRIOS'!$C$5:$C$500,$A66,'LANÇAMENTOS DIÁRIOS'!$O$5:$O$500,"&lt;=109799",'LANÇAMENTOS DIÁRIOS'!$P$5:$P$500,"&gt;=109700")&gt;0,"X","")</f>
      </c>
      <c r="AS66" s="56" t="str">
        <f>IF(COUNTIFS('LANÇAMENTOS DIÁRIOS'!$G$5:$G$500,"E",'LANÇAMENTOS DIÁRIOS'!$C$5:$C$500,$A66,'LANÇAMENTOS DIÁRIOS'!$O$5:$O$500,"&lt;=109899",'LANÇAMENTOS DIÁRIOS'!$P$5:$P$500,"&gt;=109800")&gt;0,"X","")</f>
      </c>
      <c r="AT66" s="56" t="str">
        <f>IF(COUNTIFS('LANÇAMENTOS DIÁRIOS'!$G$5:$G$500,"E",'LANÇAMENTOS DIÁRIOS'!$C$5:$C$500,$A66,'LANÇAMENTOS DIÁRIOS'!$O$5:$O$500,"&lt;=109999",'LANÇAMENTOS DIÁRIOS'!$P$5:$P$500,"&gt;=109900")&gt;0,"X","")</f>
      </c>
      <c r="AU66" s="56" t="str">
        <f>IF(COUNTIFS('LANÇAMENTOS DIÁRIOS'!$G$5:$G$500,"E",'LANÇAMENTOS DIÁRIOS'!$C$5:$C$500,$A66,'LANÇAMENTOS DIÁRIOS'!$O$5:$O$500,"&lt;=110099",'LANÇAMENTOS DIÁRIOS'!$P$5:$P$500,"&gt;=110000")&gt;0,"X","")</f>
      </c>
      <c r="AV66" s="56" t="str">
        <f>IF(COUNTIFS('LANÇAMENTOS DIÁRIOS'!$G$5:$G$500,"E",'LANÇAMENTOS DIÁRIOS'!$C$5:$C$500,$A66,'LANÇAMENTOS DIÁRIOS'!$O$5:$O$500,"&lt;=110199",'LANÇAMENTOS DIÁRIOS'!$P$5:$P$500,"&gt;=110100")&gt;0,"X","")</f>
      </c>
      <c r="AW66" s="56" t="str">
        <f>IF(COUNTIFS('LANÇAMENTOS DIÁRIOS'!$G$5:$G$500,"E",'LANÇAMENTOS DIÁRIOS'!$C$5:$C$500,$A66,'LANÇAMENTOS DIÁRIOS'!$O$5:$O$500,"&lt;=110299",'LANÇAMENTOS DIÁRIOS'!$P$5:$P$500,"&gt;=110200")&gt;0,"X","")</f>
      </c>
      <c r="AX66" s="56" t="str">
        <f>IF(COUNTIFS('LANÇAMENTOS DIÁRIOS'!$G$5:$G$500,"E",'LANÇAMENTOS DIÁRIOS'!$C$5:$C$500,$A66,'LANÇAMENTOS DIÁRIOS'!$O$5:$O$500,"&lt;=110399",'LANÇAMENTOS DIÁRIOS'!$P$5:$P$500,"&gt;=110300")&gt;0,"X","")</f>
      </c>
      <c r="AY66" s="56" t="str">
        <f>IF(COUNTIFS('LANÇAMENTOS DIÁRIOS'!$G$5:$G$500,"E",'LANÇAMENTOS DIÁRIOS'!$C$5:$C$500,$A66,'LANÇAMENTOS DIÁRIOS'!$O$5:$O$500,"&lt;=110499",'LANÇAMENTOS DIÁRIOS'!$P$5:$P$500,"&gt;=110400")&gt;0,"X","")</f>
      </c>
      <c r="AZ66" s="56" t="str">
        <f>IF(COUNTIFS('LANÇAMENTOS DIÁRIOS'!$G$5:$G$500,"E",'LANÇAMENTOS DIÁRIOS'!$C$5:$C$500,$A66,'LANÇAMENTOS DIÁRIOS'!$O$5:$O$500,"&lt;=110599",'LANÇAMENTOS DIÁRIOS'!$P$5:$P$500,"&gt;=110500")&gt;0,"X","")</f>
      </c>
      <c r="BA66" s="56" t="str">
        <f>IF(COUNTIFS('LANÇAMENTOS DIÁRIOS'!$G$5:$G$500,"E",'LANÇAMENTOS DIÁRIOS'!$C$5:$C$500,$A66,'LANÇAMENTOS DIÁRIOS'!$O$5:$O$500,"&lt;=110699",'LANÇAMENTOS DIÁRIOS'!$P$5:$P$500,"&gt;=110600")&gt;0,"X","")</f>
      </c>
      <c r="BB66" s="56" t="str">
        <f>IF(COUNTIFS('LANÇAMENTOS DIÁRIOS'!$G$5:$G$500,"E",'LANÇAMENTOS DIÁRIOS'!$C$5:$C$500,$A66,'LANÇAMENTOS DIÁRIOS'!$O$5:$O$500,"&lt;=110799",'LANÇAMENTOS DIÁRIOS'!$P$5:$P$500,"&gt;=110700")&gt;0,"X","")</f>
      </c>
      <c r="BC66" s="56" t="str">
        <f>IF(COUNTIFS('LANÇAMENTOS DIÁRIOS'!$G$5:$G$500,"E",'LANÇAMENTOS DIÁRIOS'!$C$5:$C$500,$A66,'LANÇAMENTOS DIÁRIOS'!$O$5:$O$500,"&lt;=110899",'LANÇAMENTOS DIÁRIOS'!$P$5:$P$500,"&gt;=110800")&gt;0,"X","")</f>
      </c>
      <c r="BD66" s="56" t="str">
        <f>IF(COUNTIFS('LANÇAMENTOS DIÁRIOS'!$G$5:$G$500,"E",'LANÇAMENTOS DIÁRIOS'!$C$5:$C$500,$A66,'LANÇAMENTOS DIÁRIOS'!$O$5:$O$500,"&lt;=110999",'LANÇAMENTOS DIÁRIOS'!$P$5:$P$500,"&gt;=110900")&gt;0,"X","")</f>
      </c>
      <c r="BE66" s="56" t="str">
        <f>IF(COUNTIFS('LANÇAMENTOS DIÁRIOS'!$G$5:$G$500,"E",'LANÇAMENTOS DIÁRIOS'!$C$5:$C$500,$A66,'LANÇAMENTOS DIÁRIOS'!$O$5:$O$500,"&lt;=111099",'LANÇAMENTOS DIÁRIOS'!$P$5:$P$500,"&gt;=111000")&gt;0,"X","")</f>
      </c>
      <c r="BF66" s="56" t="str">
        <f>IF(COUNTIFS('LANÇAMENTOS DIÁRIOS'!$G$5:$G$500,"E",'LANÇAMENTOS DIÁRIOS'!$C$5:$C$500,$A66,'LANÇAMENTOS DIÁRIOS'!$O$5:$O$500,"&lt;=111199",'LANÇAMENTOS DIÁRIOS'!$P$5:$P$500,"&gt;=111100")&gt;0,"X","")</f>
      </c>
      <c r="BG66" s="56" t="str">
        <f>IF(COUNTIFS('LANÇAMENTOS DIÁRIOS'!$G$5:$G$500,"E",'LANÇAMENTOS DIÁRIOS'!$C$5:$C$500,$A66,'LANÇAMENTOS DIÁRIOS'!$O$5:$O$500,"&lt;=111299",'LANÇAMENTOS DIÁRIOS'!$P$5:$P$500,"&gt;=111200")&gt;0,"X","")</f>
      </c>
      <c r="BH66" s="56" t="str">
        <f>IF(COUNTIFS('LANÇAMENTOS DIÁRIOS'!$G$5:$G$500,"E",'LANÇAMENTOS DIÁRIOS'!$C$5:$C$500,$A66,'LANÇAMENTOS DIÁRIOS'!$O$5:$O$500,"&lt;=111399",'LANÇAMENTOS DIÁRIOS'!$P$5:$P$500,"&gt;=111300")&gt;0,"X","")</f>
      </c>
      <c r="BI66" s="56" t="str">
        <f>IF(COUNTIFS('LANÇAMENTOS DIÁRIOS'!$G$5:$G$500,"E",'LANÇAMENTOS DIÁRIOS'!$C$5:$C$500,$A66,'LANÇAMENTOS DIÁRIOS'!$O$5:$O$500,"&lt;=111499",'LANÇAMENTOS DIÁRIOS'!$P$5:$P$500,"&gt;=111400")&gt;0,"X","")</f>
      </c>
      <c r="BJ66" s="56" t="str">
        <f>IF(COUNTIFS('LANÇAMENTOS DIÁRIOS'!$G$5:$G$500,"E",'LANÇAMENTOS DIÁRIOS'!$C$5:$C$500,$A66,'LANÇAMENTOS DIÁRIOS'!$O$5:$O$500,"&lt;=111500",'LANÇAMENTOS DIÁRIOS'!$P$5:$P$500,"&gt;=111500")&gt;0,"X","")</f>
      </c>
    </row>
    <row r="67">
      <c r="A67" s="51" t="str">
        <v>Geogrelha uniaxial com deformação máxima de 5% e resistência nominal de 300kN/m (*) - Sem o fornecimento de materiais</v>
      </c>
      <c r="B67" s="56" t="str">
        <f>IF(COUNTIFS('LANÇAMENTOS DIÁRIOS'!$G$5:$G$500,"E",'LANÇAMENTOS DIÁRIOS'!$C$5:$C$500,$A67,'LANÇAMENTOS DIÁRIOS'!$O$5:$O$500,"&lt;=105599",'LANÇAMENTOS DIÁRIOS'!$P$5:$P$500,"&gt;=105500")&gt;0,"X","")</f>
      </c>
      <c r="C67" s="56" t="str">
        <f>IF(COUNTIFS('LANÇAMENTOS DIÁRIOS'!$G$5:$G$500,"E",'LANÇAMENTOS DIÁRIOS'!$C$5:$C$500,$A67,'LANÇAMENTOS DIÁRIOS'!$O$5:$O$500,"&lt;=105699",'LANÇAMENTOS DIÁRIOS'!$P$5:$P$500,"&gt;=105600")&gt;0,"X","")</f>
      </c>
      <c r="D67" s="56" t="str">
        <f>IF(COUNTIFS('LANÇAMENTOS DIÁRIOS'!$G$5:$G$500,"E",'LANÇAMENTOS DIÁRIOS'!$C$5:$C$500,$A67,'LANÇAMENTOS DIÁRIOS'!$O$5:$O$500,"&lt;=105799",'LANÇAMENTOS DIÁRIOS'!$P$5:$P$500,"&gt;=105700")&gt;0,"X","")</f>
      </c>
      <c r="E67" s="56" t="str">
        <f>IF(COUNTIFS('LANÇAMENTOS DIÁRIOS'!$G$5:$G$500,"E",'LANÇAMENTOS DIÁRIOS'!$C$5:$C$500,$A67,'LANÇAMENTOS DIÁRIOS'!$O$5:$O$500,"&lt;=105899",'LANÇAMENTOS DIÁRIOS'!$P$5:$P$500,"&gt;=105800")&gt;0,"X","")</f>
      </c>
      <c r="F67" s="56" t="str">
        <f>IF(COUNTIFS('LANÇAMENTOS DIÁRIOS'!$G$5:$G$500,"E",'LANÇAMENTOS DIÁRIOS'!$C$5:$C$500,$A67,'LANÇAMENTOS DIÁRIOS'!$O$5:$O$500,"&lt;=105999",'LANÇAMENTOS DIÁRIOS'!$P$5:$P$500,"&gt;=105900")&gt;0,"X","")</f>
      </c>
      <c r="G67" s="56" t="str">
        <f>IF(COUNTIFS('LANÇAMENTOS DIÁRIOS'!$G$5:$G$500,"E",'LANÇAMENTOS DIÁRIOS'!$C$5:$C$500,$A67,'LANÇAMENTOS DIÁRIOS'!$O$5:$O$500,"&lt;=106099",'LANÇAMENTOS DIÁRIOS'!$P$5:$P$500,"&gt;=106000")&gt;0,"X","")</f>
      </c>
      <c r="H67" s="56" t="str">
        <f>IF(COUNTIFS('LANÇAMENTOS DIÁRIOS'!$G$5:$G$500,"E",'LANÇAMENTOS DIÁRIOS'!$C$5:$C$500,$A67,'LANÇAMENTOS DIÁRIOS'!$O$5:$O$500,"&lt;=106199",'LANÇAMENTOS DIÁRIOS'!$P$5:$P$500,"&gt;=106100")&gt;0,"X","")</f>
      </c>
      <c r="I67" s="56" t="str">
        <f>IF(COUNTIFS('LANÇAMENTOS DIÁRIOS'!$G$5:$G$500,"E",'LANÇAMENTOS DIÁRIOS'!$C$5:$C$500,$A67,'LANÇAMENTOS DIÁRIOS'!$O$5:$O$500,"&lt;=106299",'LANÇAMENTOS DIÁRIOS'!$P$5:$P$500,"&gt;=106200")&gt;0,"X","")</f>
      </c>
      <c r="J67" s="56" t="str">
        <f>IF(COUNTIFS('LANÇAMENTOS DIÁRIOS'!$G$5:$G$500,"E",'LANÇAMENTOS DIÁRIOS'!$C$5:$C$500,$A67,'LANÇAMENTOS DIÁRIOS'!$O$5:$O$500,"&lt;=106399",'LANÇAMENTOS DIÁRIOS'!$P$5:$P$500,"&gt;=106300")&gt;0,"X","")</f>
      </c>
      <c r="K67" s="56" t="str">
        <f>IF(COUNTIFS('LANÇAMENTOS DIÁRIOS'!$G$5:$G$500,"E",'LANÇAMENTOS DIÁRIOS'!$C$5:$C$500,$A67,'LANÇAMENTOS DIÁRIOS'!$O$5:$O$500,"&lt;=106499",'LANÇAMENTOS DIÁRIOS'!$P$5:$P$500,"&gt;=106400")&gt;0,"X","")</f>
      </c>
      <c r="L67" s="56" t="str">
        <f>IF(COUNTIFS('LANÇAMENTOS DIÁRIOS'!$G$5:$G$500,"E",'LANÇAMENTOS DIÁRIOS'!$C$5:$C$500,$A67,'LANÇAMENTOS DIÁRIOS'!$O$5:$O$500,"&lt;=106599",'LANÇAMENTOS DIÁRIOS'!$P$5:$P$500,"&gt;=106500")&gt;0,"X","")</f>
      </c>
      <c r="M67" s="56" t="str">
        <f>IF(COUNTIFS('LANÇAMENTOS DIÁRIOS'!$G$5:$G$500,"E",'LANÇAMENTOS DIÁRIOS'!$C$5:$C$500,$A67,'LANÇAMENTOS DIÁRIOS'!$O$5:$O$500,"&lt;=106699",'LANÇAMENTOS DIÁRIOS'!$P$5:$P$500,"&gt;=106600")&gt;0,"X","")</f>
      </c>
      <c r="N67" s="56" t="str">
        <f>IF(COUNTIFS('LANÇAMENTOS DIÁRIOS'!$G$5:$G$500,"E",'LANÇAMENTOS DIÁRIOS'!$C$5:$C$500,$A67,'LANÇAMENTOS DIÁRIOS'!$O$5:$O$500,"&lt;=106799",'LANÇAMENTOS DIÁRIOS'!$P$5:$P$500,"&gt;=106700")&gt;0,"X","")</f>
      </c>
      <c r="O67" s="56" t="str">
        <f>IF(COUNTIFS('LANÇAMENTOS DIÁRIOS'!$G$5:$G$500,"E",'LANÇAMENTOS DIÁRIOS'!$C$5:$C$500,$A67,'LANÇAMENTOS DIÁRIOS'!$O$5:$O$500,"&lt;=106899",'LANÇAMENTOS DIÁRIOS'!$P$5:$P$500,"&gt;=106800")&gt;0,"X","")</f>
      </c>
      <c r="P67" s="56" t="str">
        <f>IF(COUNTIFS('LANÇAMENTOS DIÁRIOS'!$G$5:$G$500,"E",'LANÇAMENTOS DIÁRIOS'!$C$5:$C$500,$A67,'LANÇAMENTOS DIÁRIOS'!$O$5:$O$500,"&lt;=106999",'LANÇAMENTOS DIÁRIOS'!$P$5:$P$500,"&gt;=106900")&gt;0,"X","")</f>
      </c>
      <c r="Q67" s="56" t="str">
        <f>IF(COUNTIFS('LANÇAMENTOS DIÁRIOS'!$G$5:$G$500,"E",'LANÇAMENTOS DIÁRIOS'!$C$5:$C$500,$A67,'LANÇAMENTOS DIÁRIOS'!$O$5:$O$500,"&lt;=107099",'LANÇAMENTOS DIÁRIOS'!$P$5:$P$500,"&gt;=107000")&gt;0,"X","")</f>
      </c>
      <c r="R67" s="56" t="str">
        <f>IF(COUNTIFS('LANÇAMENTOS DIÁRIOS'!$G$5:$G$500,"E",'LANÇAMENTOS DIÁRIOS'!$C$5:$C$500,$A67,'LANÇAMENTOS DIÁRIOS'!$O$5:$O$500,"&lt;=107199",'LANÇAMENTOS DIÁRIOS'!$P$5:$P$500,"&gt;=107100")&gt;0,"X","")</f>
      </c>
      <c r="S67" s="56" t="str">
        <f>IF(COUNTIFS('LANÇAMENTOS DIÁRIOS'!$G$5:$G$500,"E",'LANÇAMENTOS DIÁRIOS'!$C$5:$C$500,$A67,'LANÇAMENTOS DIÁRIOS'!$O$5:$O$500,"&lt;=107299",'LANÇAMENTOS DIÁRIOS'!$P$5:$P$500,"&gt;=107200")&gt;0,"X","")</f>
      </c>
      <c r="T67" s="56" t="str">
        <f>IF(COUNTIFS('LANÇAMENTOS DIÁRIOS'!$G$5:$G$500,"E",'LANÇAMENTOS DIÁRIOS'!$C$5:$C$500,$A67,'LANÇAMENTOS DIÁRIOS'!$O$5:$O$500,"&lt;=107399",'LANÇAMENTOS DIÁRIOS'!$P$5:$P$500,"&gt;=107300")&gt;0,"X","")</f>
      </c>
      <c r="U67" s="56" t="str">
        <f>IF(COUNTIFS('LANÇAMENTOS DIÁRIOS'!$G$5:$G$500,"E",'LANÇAMENTOS DIÁRIOS'!$C$5:$C$500,$A67,'LANÇAMENTOS DIÁRIOS'!$O$5:$O$500,"&lt;=107499",'LANÇAMENTOS DIÁRIOS'!$P$5:$P$500,"&gt;=107400")&gt;0,"X","")</f>
      </c>
      <c r="V67" s="56" t="str">
        <f>IF(COUNTIFS('LANÇAMENTOS DIÁRIOS'!$G$5:$G$500,"E",'LANÇAMENTOS DIÁRIOS'!$C$5:$C$500,$A67,'LANÇAMENTOS DIÁRIOS'!$O$5:$O$500,"&lt;=107599",'LANÇAMENTOS DIÁRIOS'!$P$5:$P$500,"&gt;=107500")&gt;0,"X","")</f>
      </c>
      <c r="W67" s="56" t="str">
        <f>IF(COUNTIFS('LANÇAMENTOS DIÁRIOS'!$G$5:$G$500,"E",'LANÇAMENTOS DIÁRIOS'!$C$5:$C$500,$A67,'LANÇAMENTOS DIÁRIOS'!$O$5:$O$500,"&lt;=107699",'LANÇAMENTOS DIÁRIOS'!$P$5:$P$500,"&gt;=107600")&gt;0,"X","")</f>
      </c>
      <c r="X67" s="56" t="str">
        <f>IF(COUNTIFS('LANÇAMENTOS DIÁRIOS'!$G$5:$G$500,"E",'LANÇAMENTOS DIÁRIOS'!$C$5:$C$500,$A67,'LANÇAMENTOS DIÁRIOS'!$O$5:$O$500,"&lt;=107799",'LANÇAMENTOS DIÁRIOS'!$P$5:$P$500,"&gt;=107700")&gt;0,"X","")</f>
      </c>
      <c r="Y67" s="56" t="str">
        <f>IF(COUNTIFS('LANÇAMENTOS DIÁRIOS'!$G$5:$G$500,"E",'LANÇAMENTOS DIÁRIOS'!$C$5:$C$500,$A67,'LANÇAMENTOS DIÁRIOS'!$O$5:$O$500,"&lt;=107899",'LANÇAMENTOS DIÁRIOS'!$P$5:$P$500,"&gt;=107800")&gt;0,"X","")</f>
      </c>
      <c r="Z67" s="56" t="str">
        <f>IF(COUNTIFS('LANÇAMENTOS DIÁRIOS'!$G$5:$G$500,"E",'LANÇAMENTOS DIÁRIOS'!$C$5:$C$500,$A67,'LANÇAMENTOS DIÁRIOS'!$O$5:$O$500,"&lt;=107999",'LANÇAMENTOS DIÁRIOS'!$P$5:$P$500,"&gt;=107900")&gt;0,"X","")</f>
      </c>
      <c r="AA67" s="56" t="str">
        <f>IF(COUNTIFS('LANÇAMENTOS DIÁRIOS'!$G$5:$G$500,"E",'LANÇAMENTOS DIÁRIOS'!$C$5:$C$500,$A67,'LANÇAMENTOS DIÁRIOS'!$O$5:$O$500,"&lt;=108099",'LANÇAMENTOS DIÁRIOS'!$P$5:$P$500,"&gt;=108000")&gt;0,"X","")</f>
      </c>
      <c r="AB67" s="56" t="str">
        <f>IF(COUNTIFS('LANÇAMENTOS DIÁRIOS'!$G$5:$G$500,"E",'LANÇAMENTOS DIÁRIOS'!$C$5:$C$500,$A67,'LANÇAMENTOS DIÁRIOS'!$O$5:$O$500,"&lt;=108199",'LANÇAMENTOS DIÁRIOS'!$P$5:$P$500,"&gt;=108100")&gt;0,"X","")</f>
      </c>
      <c r="AC67" s="56" t="str">
        <f>IF(COUNTIFS('LANÇAMENTOS DIÁRIOS'!$G$5:$G$500,"E",'LANÇAMENTOS DIÁRIOS'!$C$5:$C$500,$A67,'LANÇAMENTOS DIÁRIOS'!$O$5:$O$500,"&lt;=108299",'LANÇAMENTOS DIÁRIOS'!$P$5:$P$500,"&gt;=108200")&gt;0,"X","")</f>
      </c>
      <c r="AD67" s="56" t="str">
        <f>IF(COUNTIFS('LANÇAMENTOS DIÁRIOS'!$G$5:$G$500,"E",'LANÇAMENTOS DIÁRIOS'!$C$5:$C$500,$A67,'LANÇAMENTOS DIÁRIOS'!$O$5:$O$500,"&lt;=108399",'LANÇAMENTOS DIÁRIOS'!$P$5:$P$500,"&gt;=108300")&gt;0,"X","")</f>
      </c>
      <c r="AE67" s="56" t="str">
        <f>IF(COUNTIFS('LANÇAMENTOS DIÁRIOS'!$G$5:$G$500,"E",'LANÇAMENTOS DIÁRIOS'!$C$5:$C$500,$A67,'LANÇAMENTOS DIÁRIOS'!$O$5:$O$500,"&lt;=108499",'LANÇAMENTOS DIÁRIOS'!$P$5:$P$500,"&gt;=108400")&gt;0,"X","")</f>
      </c>
      <c r="AF67" s="56" t="str">
        <f>IF(COUNTIFS('LANÇAMENTOS DIÁRIOS'!$G$5:$G$500,"E",'LANÇAMENTOS DIÁRIOS'!$C$5:$C$500,$A67,'LANÇAMENTOS DIÁRIOS'!$O$5:$O$500,"&lt;=108599",'LANÇAMENTOS DIÁRIOS'!$P$5:$P$500,"&gt;=108500")&gt;0,"X","")</f>
      </c>
      <c r="AG67" s="56" t="str">
        <f>IF(COUNTIFS('LANÇAMENTOS DIÁRIOS'!$G$5:$G$500,"E",'LANÇAMENTOS DIÁRIOS'!$C$5:$C$500,$A67,'LANÇAMENTOS DIÁRIOS'!$O$5:$O$500,"&lt;=108699",'LANÇAMENTOS DIÁRIOS'!$P$5:$P$500,"&gt;=108600")&gt;0,"X","")</f>
      </c>
      <c r="AH67" s="56" t="str">
        <f>IF(COUNTIFS('LANÇAMENTOS DIÁRIOS'!$G$5:$G$500,"E",'LANÇAMENTOS DIÁRIOS'!$C$5:$C$500,$A67,'LANÇAMENTOS DIÁRIOS'!$O$5:$O$500,"&lt;=108799",'LANÇAMENTOS DIÁRIOS'!$P$5:$P$500,"&gt;=108700")&gt;0,"X","")</f>
      </c>
      <c r="AI67" s="56" t="str">
        <f>IF(COUNTIFS('LANÇAMENTOS DIÁRIOS'!$G$5:$G$500,"E",'LANÇAMENTOS DIÁRIOS'!$C$5:$C$500,$A67,'LANÇAMENTOS DIÁRIOS'!$O$5:$O$500,"&lt;=108899",'LANÇAMENTOS DIÁRIOS'!$P$5:$P$500,"&gt;=108800")&gt;0,"X","")</f>
      </c>
      <c r="AJ67" s="56" t="str">
        <f>IF(COUNTIFS('LANÇAMENTOS DIÁRIOS'!$G$5:$G$500,"E",'LANÇAMENTOS DIÁRIOS'!$C$5:$C$500,$A67,'LANÇAMENTOS DIÁRIOS'!$O$5:$O$500,"&lt;=108999",'LANÇAMENTOS DIÁRIOS'!$P$5:$P$500,"&gt;=108900")&gt;0,"X","")</f>
      </c>
      <c r="AK67" s="56" t="str">
        <f>IF(COUNTIFS('LANÇAMENTOS DIÁRIOS'!$G$5:$G$500,"E",'LANÇAMENTOS DIÁRIOS'!$C$5:$C$500,$A67,'LANÇAMENTOS DIÁRIOS'!$O$5:$O$500,"&lt;=109099",'LANÇAMENTOS DIÁRIOS'!$P$5:$P$500,"&gt;=109000")&gt;0,"X","")</f>
      </c>
      <c r="AL67" s="56" t="str">
        <f>IF(COUNTIFS('LANÇAMENTOS DIÁRIOS'!$G$5:$G$500,"E",'LANÇAMENTOS DIÁRIOS'!$C$5:$C$500,$A67,'LANÇAMENTOS DIÁRIOS'!$O$5:$O$500,"&lt;=109199",'LANÇAMENTOS DIÁRIOS'!$P$5:$P$500,"&gt;=109100")&gt;0,"X","")</f>
      </c>
      <c r="AM67" s="56" t="str">
        <f>IF(COUNTIFS('LANÇAMENTOS DIÁRIOS'!$G$5:$G$500,"E",'LANÇAMENTOS DIÁRIOS'!$C$5:$C$500,$A67,'LANÇAMENTOS DIÁRIOS'!$O$5:$O$500,"&lt;=109299",'LANÇAMENTOS DIÁRIOS'!$P$5:$P$500,"&gt;=109200")&gt;0,"X","")</f>
      </c>
      <c r="AN67" s="56" t="str">
        <f>IF(COUNTIFS('LANÇAMENTOS DIÁRIOS'!$G$5:$G$500,"E",'LANÇAMENTOS DIÁRIOS'!$C$5:$C$500,$A67,'LANÇAMENTOS DIÁRIOS'!$O$5:$O$500,"&lt;=109399",'LANÇAMENTOS DIÁRIOS'!$P$5:$P$500,"&gt;=109300")&gt;0,"X","")</f>
      </c>
      <c r="AO67" s="56" t="str">
        <f>IF(COUNTIFS('LANÇAMENTOS DIÁRIOS'!$G$5:$G$500,"E",'LANÇAMENTOS DIÁRIOS'!$C$5:$C$500,$A67,'LANÇAMENTOS DIÁRIOS'!$O$5:$O$500,"&lt;=109499",'LANÇAMENTOS DIÁRIOS'!$P$5:$P$500,"&gt;=109400")&gt;0,"X","")</f>
      </c>
      <c r="AP67" s="56" t="str">
        <f>IF(COUNTIFS('LANÇAMENTOS DIÁRIOS'!$G$5:$G$500,"E",'LANÇAMENTOS DIÁRIOS'!$C$5:$C$500,$A67,'LANÇAMENTOS DIÁRIOS'!$O$5:$O$500,"&lt;=109599",'LANÇAMENTOS DIÁRIOS'!$P$5:$P$500,"&gt;=109500")&gt;0,"X","")</f>
      </c>
      <c r="AQ67" s="56" t="str">
        <f>IF(COUNTIFS('LANÇAMENTOS DIÁRIOS'!$G$5:$G$500,"E",'LANÇAMENTOS DIÁRIOS'!$C$5:$C$500,$A67,'LANÇAMENTOS DIÁRIOS'!$O$5:$O$500,"&lt;=109699",'LANÇAMENTOS DIÁRIOS'!$P$5:$P$500,"&gt;=109600")&gt;0,"X","")</f>
      </c>
      <c r="AR67" s="56" t="str">
        <f>IF(COUNTIFS('LANÇAMENTOS DIÁRIOS'!$G$5:$G$500,"E",'LANÇAMENTOS DIÁRIOS'!$C$5:$C$500,$A67,'LANÇAMENTOS DIÁRIOS'!$O$5:$O$500,"&lt;=109799",'LANÇAMENTOS DIÁRIOS'!$P$5:$P$500,"&gt;=109700")&gt;0,"X","")</f>
      </c>
      <c r="AS67" s="56" t="str">
        <f>IF(COUNTIFS('LANÇAMENTOS DIÁRIOS'!$G$5:$G$500,"E",'LANÇAMENTOS DIÁRIOS'!$C$5:$C$500,$A67,'LANÇAMENTOS DIÁRIOS'!$O$5:$O$500,"&lt;=109899",'LANÇAMENTOS DIÁRIOS'!$P$5:$P$500,"&gt;=109800")&gt;0,"X","")</f>
      </c>
      <c r="AT67" s="56" t="str">
        <f>IF(COUNTIFS('LANÇAMENTOS DIÁRIOS'!$G$5:$G$500,"E",'LANÇAMENTOS DIÁRIOS'!$C$5:$C$500,$A67,'LANÇAMENTOS DIÁRIOS'!$O$5:$O$500,"&lt;=109999",'LANÇAMENTOS DIÁRIOS'!$P$5:$P$500,"&gt;=109900")&gt;0,"X","")</f>
      </c>
      <c r="AU67" s="56" t="str">
        <f>IF(COUNTIFS('LANÇAMENTOS DIÁRIOS'!$G$5:$G$500,"E",'LANÇAMENTOS DIÁRIOS'!$C$5:$C$500,$A67,'LANÇAMENTOS DIÁRIOS'!$O$5:$O$500,"&lt;=110099",'LANÇAMENTOS DIÁRIOS'!$P$5:$P$500,"&gt;=110000")&gt;0,"X","")</f>
      </c>
      <c r="AV67" s="56" t="str">
        <f>IF(COUNTIFS('LANÇAMENTOS DIÁRIOS'!$G$5:$G$500,"E",'LANÇAMENTOS DIÁRIOS'!$C$5:$C$500,$A67,'LANÇAMENTOS DIÁRIOS'!$O$5:$O$500,"&lt;=110199",'LANÇAMENTOS DIÁRIOS'!$P$5:$P$500,"&gt;=110100")&gt;0,"X","")</f>
      </c>
      <c r="AW67" s="56" t="str">
        <f>IF(COUNTIFS('LANÇAMENTOS DIÁRIOS'!$G$5:$G$500,"E",'LANÇAMENTOS DIÁRIOS'!$C$5:$C$500,$A67,'LANÇAMENTOS DIÁRIOS'!$O$5:$O$500,"&lt;=110299",'LANÇAMENTOS DIÁRIOS'!$P$5:$P$500,"&gt;=110200")&gt;0,"X","")</f>
      </c>
      <c r="AX67" s="56" t="str">
        <f>IF(COUNTIFS('LANÇAMENTOS DIÁRIOS'!$G$5:$G$500,"E",'LANÇAMENTOS DIÁRIOS'!$C$5:$C$500,$A67,'LANÇAMENTOS DIÁRIOS'!$O$5:$O$500,"&lt;=110399",'LANÇAMENTOS DIÁRIOS'!$P$5:$P$500,"&gt;=110300")&gt;0,"X","")</f>
      </c>
      <c r="AY67" s="56" t="str">
        <f>IF(COUNTIFS('LANÇAMENTOS DIÁRIOS'!$G$5:$G$500,"E",'LANÇAMENTOS DIÁRIOS'!$C$5:$C$500,$A67,'LANÇAMENTOS DIÁRIOS'!$O$5:$O$500,"&lt;=110499",'LANÇAMENTOS DIÁRIOS'!$P$5:$P$500,"&gt;=110400")&gt;0,"X","")</f>
      </c>
      <c r="AZ67" s="56" t="str">
        <f>IF(COUNTIFS('LANÇAMENTOS DIÁRIOS'!$G$5:$G$500,"E",'LANÇAMENTOS DIÁRIOS'!$C$5:$C$500,$A67,'LANÇAMENTOS DIÁRIOS'!$O$5:$O$500,"&lt;=110599",'LANÇAMENTOS DIÁRIOS'!$P$5:$P$500,"&gt;=110500")&gt;0,"X","")</f>
      </c>
      <c r="BA67" s="56" t="str">
        <f>IF(COUNTIFS('LANÇAMENTOS DIÁRIOS'!$G$5:$G$500,"E",'LANÇAMENTOS DIÁRIOS'!$C$5:$C$500,$A67,'LANÇAMENTOS DIÁRIOS'!$O$5:$O$500,"&lt;=110699",'LANÇAMENTOS DIÁRIOS'!$P$5:$P$500,"&gt;=110600")&gt;0,"X","")</f>
      </c>
      <c r="BB67" s="56" t="str">
        <f>IF(COUNTIFS('LANÇAMENTOS DIÁRIOS'!$G$5:$G$500,"E",'LANÇAMENTOS DIÁRIOS'!$C$5:$C$500,$A67,'LANÇAMENTOS DIÁRIOS'!$O$5:$O$500,"&lt;=110799",'LANÇAMENTOS DIÁRIOS'!$P$5:$P$500,"&gt;=110700")&gt;0,"X","")</f>
      </c>
      <c r="BC67" s="56" t="str">
        <f>IF(COUNTIFS('LANÇAMENTOS DIÁRIOS'!$G$5:$G$500,"E",'LANÇAMENTOS DIÁRIOS'!$C$5:$C$500,$A67,'LANÇAMENTOS DIÁRIOS'!$O$5:$O$500,"&lt;=110899",'LANÇAMENTOS DIÁRIOS'!$P$5:$P$500,"&gt;=110800")&gt;0,"X","")</f>
      </c>
      <c r="BD67" s="56" t="str">
        <f>IF(COUNTIFS('LANÇAMENTOS DIÁRIOS'!$G$5:$G$500,"E",'LANÇAMENTOS DIÁRIOS'!$C$5:$C$500,$A67,'LANÇAMENTOS DIÁRIOS'!$O$5:$O$500,"&lt;=110999",'LANÇAMENTOS DIÁRIOS'!$P$5:$P$500,"&gt;=110900")&gt;0,"X","")</f>
      </c>
      <c r="BE67" s="56" t="str">
        <f>IF(COUNTIFS('LANÇAMENTOS DIÁRIOS'!$G$5:$G$500,"E",'LANÇAMENTOS DIÁRIOS'!$C$5:$C$500,$A67,'LANÇAMENTOS DIÁRIOS'!$O$5:$O$500,"&lt;=111099",'LANÇAMENTOS DIÁRIOS'!$P$5:$P$500,"&gt;=111000")&gt;0,"X","")</f>
      </c>
      <c r="BF67" s="56" t="str">
        <f>IF(COUNTIFS('LANÇAMENTOS DIÁRIOS'!$G$5:$G$500,"E",'LANÇAMENTOS DIÁRIOS'!$C$5:$C$500,$A67,'LANÇAMENTOS DIÁRIOS'!$O$5:$O$500,"&lt;=111199",'LANÇAMENTOS DIÁRIOS'!$P$5:$P$500,"&gt;=111100")&gt;0,"X","")</f>
      </c>
      <c r="BG67" s="56" t="str">
        <f>IF(COUNTIFS('LANÇAMENTOS DIÁRIOS'!$G$5:$G$500,"E",'LANÇAMENTOS DIÁRIOS'!$C$5:$C$500,$A67,'LANÇAMENTOS DIÁRIOS'!$O$5:$O$500,"&lt;=111299",'LANÇAMENTOS DIÁRIOS'!$P$5:$P$500,"&gt;=111200")&gt;0,"X","")</f>
      </c>
      <c r="BH67" s="56" t="str">
        <f>IF(COUNTIFS('LANÇAMENTOS DIÁRIOS'!$G$5:$G$500,"E",'LANÇAMENTOS DIÁRIOS'!$C$5:$C$500,$A67,'LANÇAMENTOS DIÁRIOS'!$O$5:$O$500,"&lt;=111399",'LANÇAMENTOS DIÁRIOS'!$P$5:$P$500,"&gt;=111300")&gt;0,"X","")</f>
      </c>
      <c r="BI67" s="56" t="str">
        <f>IF(COUNTIFS('LANÇAMENTOS DIÁRIOS'!$G$5:$G$500,"E",'LANÇAMENTOS DIÁRIOS'!$C$5:$C$500,$A67,'LANÇAMENTOS DIÁRIOS'!$O$5:$O$500,"&lt;=111499",'LANÇAMENTOS DIÁRIOS'!$P$5:$P$500,"&gt;=111400")&gt;0,"X","")</f>
      </c>
      <c r="BJ67" s="56" t="str">
        <f>IF(COUNTIFS('LANÇAMENTOS DIÁRIOS'!$G$5:$G$500,"E",'LANÇAMENTOS DIÁRIOS'!$C$5:$C$500,$A67,'LANÇAMENTOS DIÁRIOS'!$O$5:$O$500,"&lt;=111500",'LANÇAMENTOS DIÁRIOS'!$P$5:$P$500,"&gt;=111500")&gt;0,"X","")</f>
      </c>
    </row>
    <row r="68" ht="19" customHeight="1">
      <c r="A68" s="68" t="str">
        <v>Instrumentação geotécnica para Terraplenagem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</row>
    <row r="69">
      <c r="A69" s="51" t="str">
        <v>Placa de recalque</v>
      </c>
      <c r="B69" s="56" t="str">
        <f>IF(COUNTIFS('LANÇAMENTOS DIÁRIOS'!$G$5:$G$500,"E",'LANÇAMENTOS DIÁRIOS'!$C$5:$C$500,$A69,'LANÇAMENTOS DIÁRIOS'!$O$5:$O$500,"&lt;=105599",'LANÇAMENTOS DIÁRIOS'!$P$5:$P$500,"&gt;=105500")&gt;0,"X","")</f>
      </c>
      <c r="C69" s="56" t="str">
        <f>IF(COUNTIFS('LANÇAMENTOS DIÁRIOS'!$G$5:$G$500,"E",'LANÇAMENTOS DIÁRIOS'!$C$5:$C$500,$A69,'LANÇAMENTOS DIÁRIOS'!$O$5:$O$500,"&lt;=105699",'LANÇAMENTOS DIÁRIOS'!$P$5:$P$500,"&gt;=105600")&gt;0,"X","")</f>
      </c>
      <c r="D69" s="56" t="str">
        <f>IF(COUNTIFS('LANÇAMENTOS DIÁRIOS'!$G$5:$G$500,"E",'LANÇAMENTOS DIÁRIOS'!$C$5:$C$500,$A69,'LANÇAMENTOS DIÁRIOS'!$O$5:$O$500,"&lt;=105799",'LANÇAMENTOS DIÁRIOS'!$P$5:$P$500,"&gt;=105700")&gt;0,"X","")</f>
      </c>
      <c r="E69" s="56" t="str">
        <f>IF(COUNTIFS('LANÇAMENTOS DIÁRIOS'!$G$5:$G$500,"E",'LANÇAMENTOS DIÁRIOS'!$C$5:$C$500,$A69,'LANÇAMENTOS DIÁRIOS'!$O$5:$O$500,"&lt;=105899",'LANÇAMENTOS DIÁRIOS'!$P$5:$P$500,"&gt;=105800")&gt;0,"X","")</f>
      </c>
      <c r="F69" s="56" t="str">
        <f>IF(COUNTIFS('LANÇAMENTOS DIÁRIOS'!$G$5:$G$500,"E",'LANÇAMENTOS DIÁRIOS'!$C$5:$C$500,$A69,'LANÇAMENTOS DIÁRIOS'!$O$5:$O$500,"&lt;=105999",'LANÇAMENTOS DIÁRIOS'!$P$5:$P$500,"&gt;=105900")&gt;0,"X","")</f>
      </c>
      <c r="G69" s="56" t="str">
        <f>IF(COUNTIFS('LANÇAMENTOS DIÁRIOS'!$G$5:$G$500,"E",'LANÇAMENTOS DIÁRIOS'!$C$5:$C$500,$A69,'LANÇAMENTOS DIÁRIOS'!$O$5:$O$500,"&lt;=106099",'LANÇAMENTOS DIÁRIOS'!$P$5:$P$500,"&gt;=106000")&gt;0,"X","")</f>
      </c>
      <c r="H69" s="56" t="str">
        <f>IF(COUNTIFS('LANÇAMENTOS DIÁRIOS'!$G$5:$G$500,"E",'LANÇAMENTOS DIÁRIOS'!$C$5:$C$500,$A69,'LANÇAMENTOS DIÁRIOS'!$O$5:$O$500,"&lt;=106199",'LANÇAMENTOS DIÁRIOS'!$P$5:$P$500,"&gt;=106100")&gt;0,"X","")</f>
      </c>
      <c r="I69" s="56" t="str">
        <f>IF(COUNTIFS('LANÇAMENTOS DIÁRIOS'!$G$5:$G$500,"E",'LANÇAMENTOS DIÁRIOS'!$C$5:$C$500,$A69,'LANÇAMENTOS DIÁRIOS'!$O$5:$O$500,"&lt;=106299",'LANÇAMENTOS DIÁRIOS'!$P$5:$P$500,"&gt;=106200")&gt;0,"X","")</f>
      </c>
      <c r="J69" s="56" t="str">
        <f>IF(COUNTIFS('LANÇAMENTOS DIÁRIOS'!$G$5:$G$500,"E",'LANÇAMENTOS DIÁRIOS'!$C$5:$C$500,$A69,'LANÇAMENTOS DIÁRIOS'!$O$5:$O$500,"&lt;=106399",'LANÇAMENTOS DIÁRIOS'!$P$5:$P$500,"&gt;=106300")&gt;0,"X","")</f>
      </c>
      <c r="K69" s="56" t="str">
        <f>IF(COUNTIFS('LANÇAMENTOS DIÁRIOS'!$G$5:$G$500,"E",'LANÇAMENTOS DIÁRIOS'!$C$5:$C$500,$A69,'LANÇAMENTOS DIÁRIOS'!$O$5:$O$500,"&lt;=106499",'LANÇAMENTOS DIÁRIOS'!$P$5:$P$500,"&gt;=106400")&gt;0,"X","")</f>
      </c>
      <c r="L69" s="56" t="str">
        <f>IF(COUNTIFS('LANÇAMENTOS DIÁRIOS'!$G$5:$G$500,"E",'LANÇAMENTOS DIÁRIOS'!$C$5:$C$500,$A69,'LANÇAMENTOS DIÁRIOS'!$O$5:$O$500,"&lt;=106599",'LANÇAMENTOS DIÁRIOS'!$P$5:$P$500,"&gt;=106500")&gt;0,"X","")</f>
      </c>
      <c r="M69" s="56" t="str">
        <f>IF(COUNTIFS('LANÇAMENTOS DIÁRIOS'!$G$5:$G$500,"E",'LANÇAMENTOS DIÁRIOS'!$C$5:$C$500,$A69,'LANÇAMENTOS DIÁRIOS'!$O$5:$O$500,"&lt;=106699",'LANÇAMENTOS DIÁRIOS'!$P$5:$P$500,"&gt;=106600")&gt;0,"X","")</f>
      </c>
      <c r="N69" s="56" t="str">
        <f>IF(COUNTIFS('LANÇAMENTOS DIÁRIOS'!$G$5:$G$500,"E",'LANÇAMENTOS DIÁRIOS'!$C$5:$C$500,$A69,'LANÇAMENTOS DIÁRIOS'!$O$5:$O$500,"&lt;=106799",'LANÇAMENTOS DIÁRIOS'!$P$5:$P$500,"&gt;=106700")&gt;0,"X","")</f>
      </c>
      <c r="O69" s="56" t="str">
        <f>IF(COUNTIFS('LANÇAMENTOS DIÁRIOS'!$G$5:$G$500,"E",'LANÇAMENTOS DIÁRIOS'!$C$5:$C$500,$A69,'LANÇAMENTOS DIÁRIOS'!$O$5:$O$500,"&lt;=106899",'LANÇAMENTOS DIÁRIOS'!$P$5:$P$500,"&gt;=106800")&gt;0,"X","")</f>
      </c>
      <c r="P69" s="56" t="str">
        <f>IF(COUNTIFS('LANÇAMENTOS DIÁRIOS'!$G$5:$G$500,"E",'LANÇAMENTOS DIÁRIOS'!$C$5:$C$500,$A69,'LANÇAMENTOS DIÁRIOS'!$O$5:$O$500,"&lt;=106999",'LANÇAMENTOS DIÁRIOS'!$P$5:$P$500,"&gt;=106900")&gt;0,"X","")</f>
      </c>
      <c r="Q69" s="56" t="str">
        <f>IF(COUNTIFS('LANÇAMENTOS DIÁRIOS'!$G$5:$G$500,"E",'LANÇAMENTOS DIÁRIOS'!$C$5:$C$500,$A69,'LANÇAMENTOS DIÁRIOS'!$O$5:$O$500,"&lt;=107099",'LANÇAMENTOS DIÁRIOS'!$P$5:$P$500,"&gt;=107000")&gt;0,"X","")</f>
      </c>
      <c r="R69" s="56" t="str">
        <f>IF(COUNTIFS('LANÇAMENTOS DIÁRIOS'!$G$5:$G$500,"E",'LANÇAMENTOS DIÁRIOS'!$C$5:$C$500,$A69,'LANÇAMENTOS DIÁRIOS'!$O$5:$O$500,"&lt;=107199",'LANÇAMENTOS DIÁRIOS'!$P$5:$P$500,"&gt;=107100")&gt;0,"X","")</f>
      </c>
      <c r="S69" s="56" t="str">
        <f>IF(COUNTIFS('LANÇAMENTOS DIÁRIOS'!$G$5:$G$500,"E",'LANÇAMENTOS DIÁRIOS'!$C$5:$C$500,$A69,'LANÇAMENTOS DIÁRIOS'!$O$5:$O$500,"&lt;=107299",'LANÇAMENTOS DIÁRIOS'!$P$5:$P$500,"&gt;=107200")&gt;0,"X","")</f>
      </c>
      <c r="T69" s="56" t="str">
        <f>IF(COUNTIFS('LANÇAMENTOS DIÁRIOS'!$G$5:$G$500,"E",'LANÇAMENTOS DIÁRIOS'!$C$5:$C$500,$A69,'LANÇAMENTOS DIÁRIOS'!$O$5:$O$500,"&lt;=107399",'LANÇAMENTOS DIÁRIOS'!$P$5:$P$500,"&gt;=107300")&gt;0,"X","")</f>
      </c>
      <c r="U69" s="56" t="str">
        <f>IF(COUNTIFS('LANÇAMENTOS DIÁRIOS'!$G$5:$G$500,"E",'LANÇAMENTOS DIÁRIOS'!$C$5:$C$500,$A69,'LANÇAMENTOS DIÁRIOS'!$O$5:$O$500,"&lt;=107499",'LANÇAMENTOS DIÁRIOS'!$P$5:$P$500,"&gt;=107400")&gt;0,"X","")</f>
      </c>
      <c r="V69" s="56" t="str">
        <f>IF(COUNTIFS('LANÇAMENTOS DIÁRIOS'!$G$5:$G$500,"E",'LANÇAMENTOS DIÁRIOS'!$C$5:$C$500,$A69,'LANÇAMENTOS DIÁRIOS'!$O$5:$O$500,"&lt;=107599",'LANÇAMENTOS DIÁRIOS'!$P$5:$P$500,"&gt;=107500")&gt;0,"X","")</f>
      </c>
      <c r="W69" s="56" t="str">
        <f>IF(COUNTIFS('LANÇAMENTOS DIÁRIOS'!$G$5:$G$500,"E",'LANÇAMENTOS DIÁRIOS'!$C$5:$C$500,$A69,'LANÇAMENTOS DIÁRIOS'!$O$5:$O$500,"&lt;=107699",'LANÇAMENTOS DIÁRIOS'!$P$5:$P$500,"&gt;=107600")&gt;0,"X","")</f>
      </c>
      <c r="X69" s="56" t="str">
        <f>IF(COUNTIFS('LANÇAMENTOS DIÁRIOS'!$G$5:$G$500,"E",'LANÇAMENTOS DIÁRIOS'!$C$5:$C$500,$A69,'LANÇAMENTOS DIÁRIOS'!$O$5:$O$500,"&lt;=107799",'LANÇAMENTOS DIÁRIOS'!$P$5:$P$500,"&gt;=107700")&gt;0,"X","")</f>
      </c>
      <c r="Y69" s="56" t="str">
        <f>IF(COUNTIFS('LANÇAMENTOS DIÁRIOS'!$G$5:$G$500,"E",'LANÇAMENTOS DIÁRIOS'!$C$5:$C$500,$A69,'LANÇAMENTOS DIÁRIOS'!$O$5:$O$500,"&lt;=107899",'LANÇAMENTOS DIÁRIOS'!$P$5:$P$500,"&gt;=107800")&gt;0,"X","")</f>
      </c>
      <c r="Z69" s="56" t="str">
        <f>IF(COUNTIFS('LANÇAMENTOS DIÁRIOS'!$G$5:$G$500,"E",'LANÇAMENTOS DIÁRIOS'!$C$5:$C$500,$A69,'LANÇAMENTOS DIÁRIOS'!$O$5:$O$500,"&lt;=107999",'LANÇAMENTOS DIÁRIOS'!$P$5:$P$500,"&gt;=107900")&gt;0,"X","")</f>
      </c>
      <c r="AA69" s="56" t="str">
        <f>IF(COUNTIFS('LANÇAMENTOS DIÁRIOS'!$G$5:$G$500,"E",'LANÇAMENTOS DIÁRIOS'!$C$5:$C$500,$A69,'LANÇAMENTOS DIÁRIOS'!$O$5:$O$500,"&lt;=108099",'LANÇAMENTOS DIÁRIOS'!$P$5:$P$500,"&gt;=108000")&gt;0,"X","")</f>
      </c>
      <c r="AB69" s="56" t="str">
        <f>IF(COUNTIFS('LANÇAMENTOS DIÁRIOS'!$G$5:$G$500,"E",'LANÇAMENTOS DIÁRIOS'!$C$5:$C$500,$A69,'LANÇAMENTOS DIÁRIOS'!$O$5:$O$500,"&lt;=108199",'LANÇAMENTOS DIÁRIOS'!$P$5:$P$500,"&gt;=108100")&gt;0,"X","")</f>
      </c>
      <c r="AC69" s="56" t="str">
        <f>IF(COUNTIFS('LANÇAMENTOS DIÁRIOS'!$G$5:$G$500,"E",'LANÇAMENTOS DIÁRIOS'!$C$5:$C$500,$A69,'LANÇAMENTOS DIÁRIOS'!$O$5:$O$500,"&lt;=108299",'LANÇAMENTOS DIÁRIOS'!$P$5:$P$500,"&gt;=108200")&gt;0,"X","")</f>
      </c>
      <c r="AD69" s="56" t="str">
        <f>IF(COUNTIFS('LANÇAMENTOS DIÁRIOS'!$G$5:$G$500,"E",'LANÇAMENTOS DIÁRIOS'!$C$5:$C$500,$A69,'LANÇAMENTOS DIÁRIOS'!$O$5:$O$500,"&lt;=108399",'LANÇAMENTOS DIÁRIOS'!$P$5:$P$500,"&gt;=108300")&gt;0,"X","")</f>
      </c>
      <c r="AE69" s="56" t="str">
        <f>IF(COUNTIFS('LANÇAMENTOS DIÁRIOS'!$G$5:$G$500,"E",'LANÇAMENTOS DIÁRIOS'!$C$5:$C$500,$A69,'LANÇAMENTOS DIÁRIOS'!$O$5:$O$500,"&lt;=108499",'LANÇAMENTOS DIÁRIOS'!$P$5:$P$500,"&gt;=108400")&gt;0,"X","")</f>
      </c>
      <c r="AF69" s="56" t="str">
        <f>IF(COUNTIFS('LANÇAMENTOS DIÁRIOS'!$G$5:$G$500,"E",'LANÇAMENTOS DIÁRIOS'!$C$5:$C$500,$A69,'LANÇAMENTOS DIÁRIOS'!$O$5:$O$500,"&lt;=108599",'LANÇAMENTOS DIÁRIOS'!$P$5:$P$500,"&gt;=108500")&gt;0,"X","")</f>
      </c>
      <c r="AG69" s="56" t="str">
        <f>IF(COUNTIFS('LANÇAMENTOS DIÁRIOS'!$G$5:$G$500,"E",'LANÇAMENTOS DIÁRIOS'!$C$5:$C$500,$A69,'LANÇAMENTOS DIÁRIOS'!$O$5:$O$500,"&lt;=108699",'LANÇAMENTOS DIÁRIOS'!$P$5:$P$500,"&gt;=108600")&gt;0,"X","")</f>
      </c>
      <c r="AH69" s="56" t="str">
        <f>IF(COUNTIFS('LANÇAMENTOS DIÁRIOS'!$G$5:$G$500,"E",'LANÇAMENTOS DIÁRIOS'!$C$5:$C$500,$A69,'LANÇAMENTOS DIÁRIOS'!$O$5:$O$500,"&lt;=108799",'LANÇAMENTOS DIÁRIOS'!$P$5:$P$500,"&gt;=108700")&gt;0,"X","")</f>
      </c>
      <c r="AI69" s="56" t="str">
        <f>IF(COUNTIFS('LANÇAMENTOS DIÁRIOS'!$G$5:$G$500,"E",'LANÇAMENTOS DIÁRIOS'!$C$5:$C$500,$A69,'LANÇAMENTOS DIÁRIOS'!$O$5:$O$500,"&lt;=108899",'LANÇAMENTOS DIÁRIOS'!$P$5:$P$500,"&gt;=108800")&gt;0,"X","")</f>
      </c>
      <c r="AJ69" s="56" t="str">
        <f>IF(COUNTIFS('LANÇAMENTOS DIÁRIOS'!$G$5:$G$500,"E",'LANÇAMENTOS DIÁRIOS'!$C$5:$C$500,$A69,'LANÇAMENTOS DIÁRIOS'!$O$5:$O$500,"&lt;=108999",'LANÇAMENTOS DIÁRIOS'!$P$5:$P$500,"&gt;=108900")&gt;0,"X","")</f>
      </c>
      <c r="AK69" s="56" t="str">
        <f>IF(COUNTIFS('LANÇAMENTOS DIÁRIOS'!$G$5:$G$500,"E",'LANÇAMENTOS DIÁRIOS'!$C$5:$C$500,$A69,'LANÇAMENTOS DIÁRIOS'!$O$5:$O$500,"&lt;=109099",'LANÇAMENTOS DIÁRIOS'!$P$5:$P$500,"&gt;=109000")&gt;0,"X","")</f>
      </c>
      <c r="AL69" s="56" t="str">
        <f>IF(COUNTIFS('LANÇAMENTOS DIÁRIOS'!$G$5:$G$500,"E",'LANÇAMENTOS DIÁRIOS'!$C$5:$C$500,$A69,'LANÇAMENTOS DIÁRIOS'!$O$5:$O$500,"&lt;=109199",'LANÇAMENTOS DIÁRIOS'!$P$5:$P$500,"&gt;=109100")&gt;0,"X","")</f>
      </c>
      <c r="AM69" s="56" t="str">
        <f>IF(COUNTIFS('LANÇAMENTOS DIÁRIOS'!$G$5:$G$500,"E",'LANÇAMENTOS DIÁRIOS'!$C$5:$C$500,$A69,'LANÇAMENTOS DIÁRIOS'!$O$5:$O$500,"&lt;=109299",'LANÇAMENTOS DIÁRIOS'!$P$5:$P$500,"&gt;=109200")&gt;0,"X","")</f>
      </c>
      <c r="AN69" s="56" t="str">
        <f>IF(COUNTIFS('LANÇAMENTOS DIÁRIOS'!$G$5:$G$500,"E",'LANÇAMENTOS DIÁRIOS'!$C$5:$C$500,$A69,'LANÇAMENTOS DIÁRIOS'!$O$5:$O$500,"&lt;=109399",'LANÇAMENTOS DIÁRIOS'!$P$5:$P$500,"&gt;=109300")&gt;0,"X","")</f>
      </c>
      <c r="AO69" s="56" t="str">
        <f>IF(COUNTIFS('LANÇAMENTOS DIÁRIOS'!$G$5:$G$500,"E",'LANÇAMENTOS DIÁRIOS'!$C$5:$C$500,$A69,'LANÇAMENTOS DIÁRIOS'!$O$5:$O$500,"&lt;=109499",'LANÇAMENTOS DIÁRIOS'!$P$5:$P$500,"&gt;=109400")&gt;0,"X","")</f>
      </c>
      <c r="AP69" s="56" t="str">
        <f>IF(COUNTIFS('LANÇAMENTOS DIÁRIOS'!$G$5:$G$500,"E",'LANÇAMENTOS DIÁRIOS'!$C$5:$C$500,$A69,'LANÇAMENTOS DIÁRIOS'!$O$5:$O$500,"&lt;=109599",'LANÇAMENTOS DIÁRIOS'!$P$5:$P$500,"&gt;=109500")&gt;0,"X","")</f>
      </c>
      <c r="AQ69" s="56" t="str">
        <f>IF(COUNTIFS('LANÇAMENTOS DIÁRIOS'!$G$5:$G$500,"E",'LANÇAMENTOS DIÁRIOS'!$C$5:$C$500,$A69,'LANÇAMENTOS DIÁRIOS'!$O$5:$O$500,"&lt;=109699",'LANÇAMENTOS DIÁRIOS'!$P$5:$P$500,"&gt;=109600")&gt;0,"X","")</f>
      </c>
      <c r="AR69" s="56" t="str">
        <f>IF(COUNTIFS('LANÇAMENTOS DIÁRIOS'!$G$5:$G$500,"E",'LANÇAMENTOS DIÁRIOS'!$C$5:$C$500,$A69,'LANÇAMENTOS DIÁRIOS'!$O$5:$O$500,"&lt;=109799",'LANÇAMENTOS DIÁRIOS'!$P$5:$P$500,"&gt;=109700")&gt;0,"X","")</f>
      </c>
      <c r="AS69" s="56" t="str">
        <f>IF(COUNTIFS('LANÇAMENTOS DIÁRIOS'!$G$5:$G$500,"E",'LANÇAMENTOS DIÁRIOS'!$C$5:$C$500,$A69,'LANÇAMENTOS DIÁRIOS'!$O$5:$O$500,"&lt;=109899",'LANÇAMENTOS DIÁRIOS'!$P$5:$P$500,"&gt;=109800")&gt;0,"X","")</f>
      </c>
      <c r="AT69" s="56" t="str">
        <f>IF(COUNTIFS('LANÇAMENTOS DIÁRIOS'!$G$5:$G$500,"E",'LANÇAMENTOS DIÁRIOS'!$C$5:$C$500,$A69,'LANÇAMENTOS DIÁRIOS'!$O$5:$O$500,"&lt;=109999",'LANÇAMENTOS DIÁRIOS'!$P$5:$P$500,"&gt;=109900")&gt;0,"X","")</f>
      </c>
      <c r="AU69" s="56" t="str">
        <f>IF(COUNTIFS('LANÇAMENTOS DIÁRIOS'!$G$5:$G$500,"E",'LANÇAMENTOS DIÁRIOS'!$C$5:$C$500,$A69,'LANÇAMENTOS DIÁRIOS'!$O$5:$O$500,"&lt;=110099",'LANÇAMENTOS DIÁRIOS'!$P$5:$P$500,"&gt;=110000")&gt;0,"X","")</f>
      </c>
      <c r="AV69" s="56" t="str">
        <f>IF(COUNTIFS('LANÇAMENTOS DIÁRIOS'!$G$5:$G$500,"E",'LANÇAMENTOS DIÁRIOS'!$C$5:$C$500,$A69,'LANÇAMENTOS DIÁRIOS'!$O$5:$O$500,"&lt;=110199",'LANÇAMENTOS DIÁRIOS'!$P$5:$P$500,"&gt;=110100")&gt;0,"X","")</f>
      </c>
      <c r="AW69" s="56" t="str">
        <f>IF(COUNTIFS('LANÇAMENTOS DIÁRIOS'!$G$5:$G$500,"E",'LANÇAMENTOS DIÁRIOS'!$C$5:$C$500,$A69,'LANÇAMENTOS DIÁRIOS'!$O$5:$O$500,"&lt;=110299",'LANÇAMENTOS DIÁRIOS'!$P$5:$P$500,"&gt;=110200")&gt;0,"X","")</f>
      </c>
      <c r="AX69" s="56" t="str">
        <f>IF(COUNTIFS('LANÇAMENTOS DIÁRIOS'!$G$5:$G$500,"E",'LANÇAMENTOS DIÁRIOS'!$C$5:$C$500,$A69,'LANÇAMENTOS DIÁRIOS'!$O$5:$O$500,"&lt;=110399",'LANÇAMENTOS DIÁRIOS'!$P$5:$P$500,"&gt;=110300")&gt;0,"X","")</f>
      </c>
      <c r="AY69" s="56" t="str">
        <f>IF(COUNTIFS('LANÇAMENTOS DIÁRIOS'!$G$5:$G$500,"E",'LANÇAMENTOS DIÁRIOS'!$C$5:$C$500,$A69,'LANÇAMENTOS DIÁRIOS'!$O$5:$O$500,"&lt;=110499",'LANÇAMENTOS DIÁRIOS'!$P$5:$P$500,"&gt;=110400")&gt;0,"X","")</f>
      </c>
      <c r="AZ69" s="56" t="str">
        <f>IF(COUNTIFS('LANÇAMENTOS DIÁRIOS'!$G$5:$G$500,"E",'LANÇAMENTOS DIÁRIOS'!$C$5:$C$500,$A69,'LANÇAMENTOS DIÁRIOS'!$O$5:$O$500,"&lt;=110599",'LANÇAMENTOS DIÁRIOS'!$P$5:$P$500,"&gt;=110500")&gt;0,"X","")</f>
      </c>
      <c r="BA69" s="56" t="str">
        <f>IF(COUNTIFS('LANÇAMENTOS DIÁRIOS'!$G$5:$G$500,"E",'LANÇAMENTOS DIÁRIOS'!$C$5:$C$500,$A69,'LANÇAMENTOS DIÁRIOS'!$O$5:$O$500,"&lt;=110699",'LANÇAMENTOS DIÁRIOS'!$P$5:$P$500,"&gt;=110600")&gt;0,"X","")</f>
      </c>
      <c r="BB69" s="56" t="str">
        <f>IF(COUNTIFS('LANÇAMENTOS DIÁRIOS'!$G$5:$G$500,"E",'LANÇAMENTOS DIÁRIOS'!$C$5:$C$500,$A69,'LANÇAMENTOS DIÁRIOS'!$O$5:$O$500,"&lt;=110799",'LANÇAMENTOS DIÁRIOS'!$P$5:$P$500,"&gt;=110700")&gt;0,"X","")</f>
      </c>
      <c r="BC69" s="56" t="str">
        <f>IF(COUNTIFS('LANÇAMENTOS DIÁRIOS'!$G$5:$G$500,"E",'LANÇAMENTOS DIÁRIOS'!$C$5:$C$500,$A69,'LANÇAMENTOS DIÁRIOS'!$O$5:$O$500,"&lt;=110899",'LANÇAMENTOS DIÁRIOS'!$P$5:$P$500,"&gt;=110800")&gt;0,"X","")</f>
      </c>
      <c r="BD69" s="56" t="str">
        <f>IF(COUNTIFS('LANÇAMENTOS DIÁRIOS'!$G$5:$G$500,"E",'LANÇAMENTOS DIÁRIOS'!$C$5:$C$500,$A69,'LANÇAMENTOS DIÁRIOS'!$O$5:$O$500,"&lt;=110999",'LANÇAMENTOS DIÁRIOS'!$P$5:$P$500,"&gt;=110900")&gt;0,"X","")</f>
      </c>
      <c r="BE69" s="56" t="str">
        <f>IF(COUNTIFS('LANÇAMENTOS DIÁRIOS'!$G$5:$G$500,"E",'LANÇAMENTOS DIÁRIOS'!$C$5:$C$500,$A69,'LANÇAMENTOS DIÁRIOS'!$O$5:$O$500,"&lt;=111099",'LANÇAMENTOS DIÁRIOS'!$P$5:$P$500,"&gt;=111000")&gt;0,"X","")</f>
      </c>
      <c r="BF69" s="56" t="str">
        <f>IF(COUNTIFS('LANÇAMENTOS DIÁRIOS'!$G$5:$G$500,"E",'LANÇAMENTOS DIÁRIOS'!$C$5:$C$500,$A69,'LANÇAMENTOS DIÁRIOS'!$O$5:$O$500,"&lt;=111199",'LANÇAMENTOS DIÁRIOS'!$P$5:$P$500,"&gt;=111100")&gt;0,"X","")</f>
      </c>
      <c r="BG69" s="56" t="str">
        <f>IF(COUNTIFS('LANÇAMENTOS DIÁRIOS'!$G$5:$G$500,"E",'LANÇAMENTOS DIÁRIOS'!$C$5:$C$500,$A69,'LANÇAMENTOS DIÁRIOS'!$O$5:$O$500,"&lt;=111299",'LANÇAMENTOS DIÁRIOS'!$P$5:$P$500,"&gt;=111200")&gt;0,"X","")</f>
      </c>
      <c r="BH69" s="56" t="str">
        <f>IF(COUNTIFS('LANÇAMENTOS DIÁRIOS'!$G$5:$G$500,"E",'LANÇAMENTOS DIÁRIOS'!$C$5:$C$500,$A69,'LANÇAMENTOS DIÁRIOS'!$O$5:$O$500,"&lt;=111399",'LANÇAMENTOS DIÁRIOS'!$P$5:$P$500,"&gt;=111300")&gt;0,"X","")</f>
      </c>
      <c r="BI69" s="56" t="str">
        <f>IF(COUNTIFS('LANÇAMENTOS DIÁRIOS'!$G$5:$G$500,"E",'LANÇAMENTOS DIÁRIOS'!$C$5:$C$500,$A69,'LANÇAMENTOS DIÁRIOS'!$O$5:$O$500,"&lt;=111499",'LANÇAMENTOS DIÁRIOS'!$P$5:$P$500,"&gt;=111400")&gt;0,"X","")</f>
      </c>
      <c r="BJ69" s="56" t="str">
        <f>IF(COUNTIFS('LANÇAMENTOS DIÁRIOS'!$G$5:$G$500,"E",'LANÇAMENTOS DIÁRIOS'!$C$5:$C$500,$A69,'LANÇAMENTOS DIÁRIOS'!$O$5:$O$500,"&lt;=111500",'LANÇAMENTOS DIÁRIOS'!$P$5:$P$500,"&gt;=111500")&gt;0,"X","")</f>
      </c>
    </row>
    <row r="70">
      <c r="A70" s="51" t="str">
        <v>Marco Superficial</v>
      </c>
      <c r="B70" s="56" t="str">
        <f>IF(COUNTIFS('LANÇAMENTOS DIÁRIOS'!$G$5:$G$500,"E",'LANÇAMENTOS DIÁRIOS'!$C$5:$C$500,$A70,'LANÇAMENTOS DIÁRIOS'!$O$5:$O$500,"&lt;=105599",'LANÇAMENTOS DIÁRIOS'!$P$5:$P$500,"&gt;=105500")&gt;0,"X","")</f>
      </c>
      <c r="C70" s="56" t="str">
        <f>IF(COUNTIFS('LANÇAMENTOS DIÁRIOS'!$G$5:$G$500,"E",'LANÇAMENTOS DIÁRIOS'!$C$5:$C$500,$A70,'LANÇAMENTOS DIÁRIOS'!$O$5:$O$500,"&lt;=105699",'LANÇAMENTOS DIÁRIOS'!$P$5:$P$500,"&gt;=105600")&gt;0,"X","")</f>
      </c>
      <c r="D70" s="56" t="str">
        <f>IF(COUNTIFS('LANÇAMENTOS DIÁRIOS'!$G$5:$G$500,"E",'LANÇAMENTOS DIÁRIOS'!$C$5:$C$500,$A70,'LANÇAMENTOS DIÁRIOS'!$O$5:$O$500,"&lt;=105799",'LANÇAMENTOS DIÁRIOS'!$P$5:$P$500,"&gt;=105700")&gt;0,"X","")</f>
      </c>
      <c r="E70" s="56" t="str">
        <f>IF(COUNTIFS('LANÇAMENTOS DIÁRIOS'!$G$5:$G$500,"E",'LANÇAMENTOS DIÁRIOS'!$C$5:$C$500,$A70,'LANÇAMENTOS DIÁRIOS'!$O$5:$O$500,"&lt;=105899",'LANÇAMENTOS DIÁRIOS'!$P$5:$P$500,"&gt;=105800")&gt;0,"X","")</f>
      </c>
      <c r="F70" s="56" t="str">
        <f>IF(COUNTIFS('LANÇAMENTOS DIÁRIOS'!$G$5:$G$500,"E",'LANÇAMENTOS DIÁRIOS'!$C$5:$C$500,$A70,'LANÇAMENTOS DIÁRIOS'!$O$5:$O$500,"&lt;=105999",'LANÇAMENTOS DIÁRIOS'!$P$5:$P$500,"&gt;=105900")&gt;0,"X","")</f>
      </c>
      <c r="G70" s="56" t="str">
        <f>IF(COUNTIFS('LANÇAMENTOS DIÁRIOS'!$G$5:$G$500,"E",'LANÇAMENTOS DIÁRIOS'!$C$5:$C$500,$A70,'LANÇAMENTOS DIÁRIOS'!$O$5:$O$500,"&lt;=106099",'LANÇAMENTOS DIÁRIOS'!$P$5:$P$500,"&gt;=106000")&gt;0,"X","")</f>
      </c>
      <c r="H70" s="56" t="str">
        <f>IF(COUNTIFS('LANÇAMENTOS DIÁRIOS'!$G$5:$G$500,"E",'LANÇAMENTOS DIÁRIOS'!$C$5:$C$500,$A70,'LANÇAMENTOS DIÁRIOS'!$O$5:$O$500,"&lt;=106199",'LANÇAMENTOS DIÁRIOS'!$P$5:$P$500,"&gt;=106100")&gt;0,"X","")</f>
      </c>
      <c r="I70" s="56" t="str">
        <f>IF(COUNTIFS('LANÇAMENTOS DIÁRIOS'!$G$5:$G$500,"E",'LANÇAMENTOS DIÁRIOS'!$C$5:$C$500,$A70,'LANÇAMENTOS DIÁRIOS'!$O$5:$O$500,"&lt;=106299",'LANÇAMENTOS DIÁRIOS'!$P$5:$P$500,"&gt;=106200")&gt;0,"X","")</f>
      </c>
      <c r="J70" s="56" t="str">
        <f>IF(COUNTIFS('LANÇAMENTOS DIÁRIOS'!$G$5:$G$500,"E",'LANÇAMENTOS DIÁRIOS'!$C$5:$C$500,$A70,'LANÇAMENTOS DIÁRIOS'!$O$5:$O$500,"&lt;=106399",'LANÇAMENTOS DIÁRIOS'!$P$5:$P$500,"&gt;=106300")&gt;0,"X","")</f>
      </c>
      <c r="K70" s="56" t="str">
        <f>IF(COUNTIFS('LANÇAMENTOS DIÁRIOS'!$G$5:$G$500,"E",'LANÇAMENTOS DIÁRIOS'!$C$5:$C$500,$A70,'LANÇAMENTOS DIÁRIOS'!$O$5:$O$500,"&lt;=106499",'LANÇAMENTOS DIÁRIOS'!$P$5:$P$500,"&gt;=106400")&gt;0,"X","")</f>
      </c>
      <c r="L70" s="56" t="str">
        <f>IF(COUNTIFS('LANÇAMENTOS DIÁRIOS'!$G$5:$G$500,"E",'LANÇAMENTOS DIÁRIOS'!$C$5:$C$500,$A70,'LANÇAMENTOS DIÁRIOS'!$O$5:$O$500,"&lt;=106599",'LANÇAMENTOS DIÁRIOS'!$P$5:$P$500,"&gt;=106500")&gt;0,"X","")</f>
      </c>
      <c r="M70" s="56" t="str">
        <f>IF(COUNTIFS('LANÇAMENTOS DIÁRIOS'!$G$5:$G$500,"E",'LANÇAMENTOS DIÁRIOS'!$C$5:$C$500,$A70,'LANÇAMENTOS DIÁRIOS'!$O$5:$O$500,"&lt;=106699",'LANÇAMENTOS DIÁRIOS'!$P$5:$P$500,"&gt;=106600")&gt;0,"X","")</f>
      </c>
      <c r="N70" s="56" t="str">
        <f>IF(COUNTIFS('LANÇAMENTOS DIÁRIOS'!$G$5:$G$500,"E",'LANÇAMENTOS DIÁRIOS'!$C$5:$C$500,$A70,'LANÇAMENTOS DIÁRIOS'!$O$5:$O$500,"&lt;=106799",'LANÇAMENTOS DIÁRIOS'!$P$5:$P$500,"&gt;=106700")&gt;0,"X","")</f>
      </c>
      <c r="O70" s="56" t="str">
        <f>IF(COUNTIFS('LANÇAMENTOS DIÁRIOS'!$G$5:$G$500,"E",'LANÇAMENTOS DIÁRIOS'!$C$5:$C$500,$A70,'LANÇAMENTOS DIÁRIOS'!$O$5:$O$500,"&lt;=106899",'LANÇAMENTOS DIÁRIOS'!$P$5:$P$500,"&gt;=106800")&gt;0,"X","")</f>
      </c>
      <c r="P70" s="56" t="str">
        <f>IF(COUNTIFS('LANÇAMENTOS DIÁRIOS'!$G$5:$G$500,"E",'LANÇAMENTOS DIÁRIOS'!$C$5:$C$500,$A70,'LANÇAMENTOS DIÁRIOS'!$O$5:$O$500,"&lt;=106999",'LANÇAMENTOS DIÁRIOS'!$P$5:$P$500,"&gt;=106900")&gt;0,"X","")</f>
      </c>
      <c r="Q70" s="56" t="str">
        <f>IF(COUNTIFS('LANÇAMENTOS DIÁRIOS'!$G$5:$G$500,"E",'LANÇAMENTOS DIÁRIOS'!$C$5:$C$500,$A70,'LANÇAMENTOS DIÁRIOS'!$O$5:$O$500,"&lt;=107099",'LANÇAMENTOS DIÁRIOS'!$P$5:$P$500,"&gt;=107000")&gt;0,"X","")</f>
      </c>
      <c r="R70" s="56" t="str">
        <f>IF(COUNTIFS('LANÇAMENTOS DIÁRIOS'!$G$5:$G$500,"E",'LANÇAMENTOS DIÁRIOS'!$C$5:$C$500,$A70,'LANÇAMENTOS DIÁRIOS'!$O$5:$O$500,"&lt;=107199",'LANÇAMENTOS DIÁRIOS'!$P$5:$P$500,"&gt;=107100")&gt;0,"X","")</f>
      </c>
      <c r="S70" s="56" t="str">
        <f>IF(COUNTIFS('LANÇAMENTOS DIÁRIOS'!$G$5:$G$500,"E",'LANÇAMENTOS DIÁRIOS'!$C$5:$C$500,$A70,'LANÇAMENTOS DIÁRIOS'!$O$5:$O$500,"&lt;=107299",'LANÇAMENTOS DIÁRIOS'!$P$5:$P$500,"&gt;=107200")&gt;0,"X","")</f>
      </c>
      <c r="T70" s="56" t="str">
        <f>IF(COUNTIFS('LANÇAMENTOS DIÁRIOS'!$G$5:$G$500,"E",'LANÇAMENTOS DIÁRIOS'!$C$5:$C$500,$A70,'LANÇAMENTOS DIÁRIOS'!$O$5:$O$500,"&lt;=107399",'LANÇAMENTOS DIÁRIOS'!$P$5:$P$500,"&gt;=107300")&gt;0,"X","")</f>
      </c>
      <c r="U70" s="56" t="str">
        <f>IF(COUNTIFS('LANÇAMENTOS DIÁRIOS'!$G$5:$G$500,"E",'LANÇAMENTOS DIÁRIOS'!$C$5:$C$500,$A70,'LANÇAMENTOS DIÁRIOS'!$O$5:$O$500,"&lt;=107499",'LANÇAMENTOS DIÁRIOS'!$P$5:$P$500,"&gt;=107400")&gt;0,"X","")</f>
      </c>
      <c r="V70" s="56" t="str">
        <f>IF(COUNTIFS('LANÇAMENTOS DIÁRIOS'!$G$5:$G$500,"E",'LANÇAMENTOS DIÁRIOS'!$C$5:$C$500,$A70,'LANÇAMENTOS DIÁRIOS'!$O$5:$O$500,"&lt;=107599",'LANÇAMENTOS DIÁRIOS'!$P$5:$P$500,"&gt;=107500")&gt;0,"X","")</f>
      </c>
      <c r="W70" s="56" t="str">
        <f>IF(COUNTIFS('LANÇAMENTOS DIÁRIOS'!$G$5:$G$500,"E",'LANÇAMENTOS DIÁRIOS'!$C$5:$C$500,$A70,'LANÇAMENTOS DIÁRIOS'!$O$5:$O$500,"&lt;=107699",'LANÇAMENTOS DIÁRIOS'!$P$5:$P$500,"&gt;=107600")&gt;0,"X","")</f>
      </c>
      <c r="X70" s="56" t="str">
        <f>IF(COUNTIFS('LANÇAMENTOS DIÁRIOS'!$G$5:$G$500,"E",'LANÇAMENTOS DIÁRIOS'!$C$5:$C$500,$A70,'LANÇAMENTOS DIÁRIOS'!$O$5:$O$500,"&lt;=107799",'LANÇAMENTOS DIÁRIOS'!$P$5:$P$500,"&gt;=107700")&gt;0,"X","")</f>
      </c>
      <c r="Y70" s="56" t="str">
        <f>IF(COUNTIFS('LANÇAMENTOS DIÁRIOS'!$G$5:$G$500,"E",'LANÇAMENTOS DIÁRIOS'!$C$5:$C$500,$A70,'LANÇAMENTOS DIÁRIOS'!$O$5:$O$500,"&lt;=107899",'LANÇAMENTOS DIÁRIOS'!$P$5:$P$500,"&gt;=107800")&gt;0,"X","")</f>
      </c>
      <c r="Z70" s="56" t="str">
        <f>IF(COUNTIFS('LANÇAMENTOS DIÁRIOS'!$G$5:$G$500,"E",'LANÇAMENTOS DIÁRIOS'!$C$5:$C$500,$A70,'LANÇAMENTOS DIÁRIOS'!$O$5:$O$500,"&lt;=107999",'LANÇAMENTOS DIÁRIOS'!$P$5:$P$500,"&gt;=107900")&gt;0,"X","")</f>
      </c>
      <c r="AA70" s="56" t="str">
        <f>IF(COUNTIFS('LANÇAMENTOS DIÁRIOS'!$G$5:$G$500,"E",'LANÇAMENTOS DIÁRIOS'!$C$5:$C$500,$A70,'LANÇAMENTOS DIÁRIOS'!$O$5:$O$500,"&lt;=108099",'LANÇAMENTOS DIÁRIOS'!$P$5:$P$500,"&gt;=108000")&gt;0,"X","")</f>
      </c>
      <c r="AB70" s="56" t="str">
        <f>IF(COUNTIFS('LANÇAMENTOS DIÁRIOS'!$G$5:$G$500,"E",'LANÇAMENTOS DIÁRIOS'!$C$5:$C$500,$A70,'LANÇAMENTOS DIÁRIOS'!$O$5:$O$500,"&lt;=108199",'LANÇAMENTOS DIÁRIOS'!$P$5:$P$500,"&gt;=108100")&gt;0,"X","")</f>
      </c>
      <c r="AC70" s="56" t="str">
        <f>IF(COUNTIFS('LANÇAMENTOS DIÁRIOS'!$G$5:$G$500,"E",'LANÇAMENTOS DIÁRIOS'!$C$5:$C$500,$A70,'LANÇAMENTOS DIÁRIOS'!$O$5:$O$500,"&lt;=108299",'LANÇAMENTOS DIÁRIOS'!$P$5:$P$500,"&gt;=108200")&gt;0,"X","")</f>
      </c>
      <c r="AD70" s="56" t="str">
        <f>IF(COUNTIFS('LANÇAMENTOS DIÁRIOS'!$G$5:$G$500,"E",'LANÇAMENTOS DIÁRIOS'!$C$5:$C$500,$A70,'LANÇAMENTOS DIÁRIOS'!$O$5:$O$500,"&lt;=108399",'LANÇAMENTOS DIÁRIOS'!$P$5:$P$500,"&gt;=108300")&gt;0,"X","")</f>
      </c>
      <c r="AE70" s="56" t="str">
        <f>IF(COUNTIFS('LANÇAMENTOS DIÁRIOS'!$G$5:$G$500,"E",'LANÇAMENTOS DIÁRIOS'!$C$5:$C$500,$A70,'LANÇAMENTOS DIÁRIOS'!$O$5:$O$500,"&lt;=108499",'LANÇAMENTOS DIÁRIOS'!$P$5:$P$500,"&gt;=108400")&gt;0,"X","")</f>
      </c>
      <c r="AF70" s="56" t="str">
        <f>IF(COUNTIFS('LANÇAMENTOS DIÁRIOS'!$G$5:$G$500,"E",'LANÇAMENTOS DIÁRIOS'!$C$5:$C$500,$A70,'LANÇAMENTOS DIÁRIOS'!$O$5:$O$500,"&lt;=108599",'LANÇAMENTOS DIÁRIOS'!$P$5:$P$500,"&gt;=108500")&gt;0,"X","")</f>
      </c>
      <c r="AG70" s="56" t="str">
        <f>IF(COUNTIFS('LANÇAMENTOS DIÁRIOS'!$G$5:$G$500,"E",'LANÇAMENTOS DIÁRIOS'!$C$5:$C$500,$A70,'LANÇAMENTOS DIÁRIOS'!$O$5:$O$500,"&lt;=108699",'LANÇAMENTOS DIÁRIOS'!$P$5:$P$500,"&gt;=108600")&gt;0,"X","")</f>
      </c>
      <c r="AH70" s="56" t="str">
        <f>IF(COUNTIFS('LANÇAMENTOS DIÁRIOS'!$G$5:$G$500,"E",'LANÇAMENTOS DIÁRIOS'!$C$5:$C$500,$A70,'LANÇAMENTOS DIÁRIOS'!$O$5:$O$500,"&lt;=108799",'LANÇAMENTOS DIÁRIOS'!$P$5:$P$500,"&gt;=108700")&gt;0,"X","")</f>
      </c>
      <c r="AI70" s="56" t="str">
        <f>IF(COUNTIFS('LANÇAMENTOS DIÁRIOS'!$G$5:$G$500,"E",'LANÇAMENTOS DIÁRIOS'!$C$5:$C$500,$A70,'LANÇAMENTOS DIÁRIOS'!$O$5:$O$500,"&lt;=108899",'LANÇAMENTOS DIÁRIOS'!$P$5:$P$500,"&gt;=108800")&gt;0,"X","")</f>
      </c>
      <c r="AJ70" s="56" t="str">
        <f>IF(COUNTIFS('LANÇAMENTOS DIÁRIOS'!$G$5:$G$500,"E",'LANÇAMENTOS DIÁRIOS'!$C$5:$C$500,$A70,'LANÇAMENTOS DIÁRIOS'!$O$5:$O$500,"&lt;=108999",'LANÇAMENTOS DIÁRIOS'!$P$5:$P$500,"&gt;=108900")&gt;0,"X","")</f>
      </c>
      <c r="AK70" s="56" t="str">
        <f>IF(COUNTIFS('LANÇAMENTOS DIÁRIOS'!$G$5:$G$500,"E",'LANÇAMENTOS DIÁRIOS'!$C$5:$C$500,$A70,'LANÇAMENTOS DIÁRIOS'!$O$5:$O$500,"&lt;=109099",'LANÇAMENTOS DIÁRIOS'!$P$5:$P$500,"&gt;=109000")&gt;0,"X","")</f>
      </c>
      <c r="AL70" s="56" t="str">
        <f>IF(COUNTIFS('LANÇAMENTOS DIÁRIOS'!$G$5:$G$500,"E",'LANÇAMENTOS DIÁRIOS'!$C$5:$C$500,$A70,'LANÇAMENTOS DIÁRIOS'!$O$5:$O$500,"&lt;=109199",'LANÇAMENTOS DIÁRIOS'!$P$5:$P$500,"&gt;=109100")&gt;0,"X","")</f>
      </c>
      <c r="AM70" s="56" t="str">
        <f>IF(COUNTIFS('LANÇAMENTOS DIÁRIOS'!$G$5:$G$500,"E",'LANÇAMENTOS DIÁRIOS'!$C$5:$C$500,$A70,'LANÇAMENTOS DIÁRIOS'!$O$5:$O$500,"&lt;=109299",'LANÇAMENTOS DIÁRIOS'!$P$5:$P$500,"&gt;=109200")&gt;0,"X","")</f>
      </c>
      <c r="AN70" s="56" t="str">
        <f>IF(COUNTIFS('LANÇAMENTOS DIÁRIOS'!$G$5:$G$500,"E",'LANÇAMENTOS DIÁRIOS'!$C$5:$C$500,$A70,'LANÇAMENTOS DIÁRIOS'!$O$5:$O$500,"&lt;=109399",'LANÇAMENTOS DIÁRIOS'!$P$5:$P$500,"&gt;=109300")&gt;0,"X","")</f>
      </c>
      <c r="AO70" s="56" t="str">
        <f>IF(COUNTIFS('LANÇAMENTOS DIÁRIOS'!$G$5:$G$500,"E",'LANÇAMENTOS DIÁRIOS'!$C$5:$C$500,$A70,'LANÇAMENTOS DIÁRIOS'!$O$5:$O$500,"&lt;=109499",'LANÇAMENTOS DIÁRIOS'!$P$5:$P$500,"&gt;=109400")&gt;0,"X","")</f>
      </c>
      <c r="AP70" s="56" t="str">
        <f>IF(COUNTIFS('LANÇAMENTOS DIÁRIOS'!$G$5:$G$500,"E",'LANÇAMENTOS DIÁRIOS'!$C$5:$C$500,$A70,'LANÇAMENTOS DIÁRIOS'!$O$5:$O$500,"&lt;=109599",'LANÇAMENTOS DIÁRIOS'!$P$5:$P$500,"&gt;=109500")&gt;0,"X","")</f>
      </c>
      <c r="AQ70" s="56" t="str">
        <f>IF(COUNTIFS('LANÇAMENTOS DIÁRIOS'!$G$5:$G$500,"E",'LANÇAMENTOS DIÁRIOS'!$C$5:$C$500,$A70,'LANÇAMENTOS DIÁRIOS'!$O$5:$O$500,"&lt;=109699",'LANÇAMENTOS DIÁRIOS'!$P$5:$P$500,"&gt;=109600")&gt;0,"X","")</f>
      </c>
      <c r="AR70" s="56" t="str">
        <f>IF(COUNTIFS('LANÇAMENTOS DIÁRIOS'!$G$5:$G$500,"E",'LANÇAMENTOS DIÁRIOS'!$C$5:$C$500,$A70,'LANÇAMENTOS DIÁRIOS'!$O$5:$O$500,"&lt;=109799",'LANÇAMENTOS DIÁRIOS'!$P$5:$P$500,"&gt;=109700")&gt;0,"X","")</f>
      </c>
      <c r="AS70" s="56" t="str">
        <f>IF(COUNTIFS('LANÇAMENTOS DIÁRIOS'!$G$5:$G$500,"E",'LANÇAMENTOS DIÁRIOS'!$C$5:$C$500,$A70,'LANÇAMENTOS DIÁRIOS'!$O$5:$O$500,"&lt;=109899",'LANÇAMENTOS DIÁRIOS'!$P$5:$P$500,"&gt;=109800")&gt;0,"X","")</f>
      </c>
      <c r="AT70" s="56" t="str">
        <f>IF(COUNTIFS('LANÇAMENTOS DIÁRIOS'!$G$5:$G$500,"E",'LANÇAMENTOS DIÁRIOS'!$C$5:$C$500,$A70,'LANÇAMENTOS DIÁRIOS'!$O$5:$O$500,"&lt;=109999",'LANÇAMENTOS DIÁRIOS'!$P$5:$P$500,"&gt;=109900")&gt;0,"X","")</f>
      </c>
      <c r="AU70" s="56" t="str">
        <f>IF(COUNTIFS('LANÇAMENTOS DIÁRIOS'!$G$5:$G$500,"E",'LANÇAMENTOS DIÁRIOS'!$C$5:$C$500,$A70,'LANÇAMENTOS DIÁRIOS'!$O$5:$O$500,"&lt;=110099",'LANÇAMENTOS DIÁRIOS'!$P$5:$P$500,"&gt;=110000")&gt;0,"X","")</f>
      </c>
      <c r="AV70" s="56" t="str">
        <f>IF(COUNTIFS('LANÇAMENTOS DIÁRIOS'!$G$5:$G$500,"E",'LANÇAMENTOS DIÁRIOS'!$C$5:$C$500,$A70,'LANÇAMENTOS DIÁRIOS'!$O$5:$O$500,"&lt;=110199",'LANÇAMENTOS DIÁRIOS'!$P$5:$P$500,"&gt;=110100")&gt;0,"X","")</f>
      </c>
      <c r="AW70" s="56" t="str">
        <f>IF(COUNTIFS('LANÇAMENTOS DIÁRIOS'!$G$5:$G$500,"E",'LANÇAMENTOS DIÁRIOS'!$C$5:$C$500,$A70,'LANÇAMENTOS DIÁRIOS'!$O$5:$O$500,"&lt;=110299",'LANÇAMENTOS DIÁRIOS'!$P$5:$P$500,"&gt;=110200")&gt;0,"X","")</f>
      </c>
      <c r="AX70" s="56" t="str">
        <f>IF(COUNTIFS('LANÇAMENTOS DIÁRIOS'!$G$5:$G$500,"E",'LANÇAMENTOS DIÁRIOS'!$C$5:$C$500,$A70,'LANÇAMENTOS DIÁRIOS'!$O$5:$O$500,"&lt;=110399",'LANÇAMENTOS DIÁRIOS'!$P$5:$P$500,"&gt;=110300")&gt;0,"X","")</f>
      </c>
      <c r="AY70" s="56" t="str">
        <f>IF(COUNTIFS('LANÇAMENTOS DIÁRIOS'!$G$5:$G$500,"E",'LANÇAMENTOS DIÁRIOS'!$C$5:$C$500,$A70,'LANÇAMENTOS DIÁRIOS'!$O$5:$O$500,"&lt;=110499",'LANÇAMENTOS DIÁRIOS'!$P$5:$P$500,"&gt;=110400")&gt;0,"X","")</f>
      </c>
      <c r="AZ70" s="56" t="str">
        <f>IF(COUNTIFS('LANÇAMENTOS DIÁRIOS'!$G$5:$G$500,"E",'LANÇAMENTOS DIÁRIOS'!$C$5:$C$500,$A70,'LANÇAMENTOS DIÁRIOS'!$O$5:$O$500,"&lt;=110599",'LANÇAMENTOS DIÁRIOS'!$P$5:$P$500,"&gt;=110500")&gt;0,"X","")</f>
      </c>
      <c r="BA70" s="56" t="str">
        <f>IF(COUNTIFS('LANÇAMENTOS DIÁRIOS'!$G$5:$G$500,"E",'LANÇAMENTOS DIÁRIOS'!$C$5:$C$500,$A70,'LANÇAMENTOS DIÁRIOS'!$O$5:$O$500,"&lt;=110699",'LANÇAMENTOS DIÁRIOS'!$P$5:$P$500,"&gt;=110600")&gt;0,"X","")</f>
      </c>
      <c r="BB70" s="56" t="str">
        <f>IF(COUNTIFS('LANÇAMENTOS DIÁRIOS'!$G$5:$G$500,"E",'LANÇAMENTOS DIÁRIOS'!$C$5:$C$500,$A70,'LANÇAMENTOS DIÁRIOS'!$O$5:$O$500,"&lt;=110799",'LANÇAMENTOS DIÁRIOS'!$P$5:$P$500,"&gt;=110700")&gt;0,"X","")</f>
      </c>
      <c r="BC70" s="56" t="str">
        <f>IF(COUNTIFS('LANÇAMENTOS DIÁRIOS'!$G$5:$G$500,"E",'LANÇAMENTOS DIÁRIOS'!$C$5:$C$500,$A70,'LANÇAMENTOS DIÁRIOS'!$O$5:$O$500,"&lt;=110899",'LANÇAMENTOS DIÁRIOS'!$P$5:$P$500,"&gt;=110800")&gt;0,"X","")</f>
      </c>
      <c r="BD70" s="56" t="str">
        <f>IF(COUNTIFS('LANÇAMENTOS DIÁRIOS'!$G$5:$G$500,"E",'LANÇAMENTOS DIÁRIOS'!$C$5:$C$500,$A70,'LANÇAMENTOS DIÁRIOS'!$O$5:$O$500,"&lt;=110999",'LANÇAMENTOS DIÁRIOS'!$P$5:$P$500,"&gt;=110900")&gt;0,"X","")</f>
      </c>
      <c r="BE70" s="56" t="str">
        <f>IF(COUNTIFS('LANÇAMENTOS DIÁRIOS'!$G$5:$G$500,"E",'LANÇAMENTOS DIÁRIOS'!$C$5:$C$500,$A70,'LANÇAMENTOS DIÁRIOS'!$O$5:$O$500,"&lt;=111099",'LANÇAMENTOS DIÁRIOS'!$P$5:$P$500,"&gt;=111000")&gt;0,"X","")</f>
      </c>
      <c r="BF70" s="56" t="str">
        <f>IF(COUNTIFS('LANÇAMENTOS DIÁRIOS'!$G$5:$G$500,"E",'LANÇAMENTOS DIÁRIOS'!$C$5:$C$500,$A70,'LANÇAMENTOS DIÁRIOS'!$O$5:$O$500,"&lt;=111199",'LANÇAMENTOS DIÁRIOS'!$P$5:$P$500,"&gt;=111100")&gt;0,"X","")</f>
      </c>
      <c r="BG70" s="56" t="str">
        <f>IF(COUNTIFS('LANÇAMENTOS DIÁRIOS'!$G$5:$G$500,"E",'LANÇAMENTOS DIÁRIOS'!$C$5:$C$500,$A70,'LANÇAMENTOS DIÁRIOS'!$O$5:$O$500,"&lt;=111299",'LANÇAMENTOS DIÁRIOS'!$P$5:$P$500,"&gt;=111200")&gt;0,"X","")</f>
      </c>
      <c r="BH70" s="56" t="str">
        <f>IF(COUNTIFS('LANÇAMENTOS DIÁRIOS'!$G$5:$G$500,"E",'LANÇAMENTOS DIÁRIOS'!$C$5:$C$500,$A70,'LANÇAMENTOS DIÁRIOS'!$O$5:$O$500,"&lt;=111399",'LANÇAMENTOS DIÁRIOS'!$P$5:$P$500,"&gt;=111300")&gt;0,"X","")</f>
      </c>
      <c r="BI70" s="56" t="str">
        <f>IF(COUNTIFS('LANÇAMENTOS DIÁRIOS'!$G$5:$G$500,"E",'LANÇAMENTOS DIÁRIOS'!$C$5:$C$500,$A70,'LANÇAMENTOS DIÁRIOS'!$O$5:$O$500,"&lt;=111499",'LANÇAMENTOS DIÁRIOS'!$P$5:$P$500,"&gt;=111400")&gt;0,"X","")</f>
      </c>
      <c r="BJ70" s="56" t="str">
        <f>IF(COUNTIFS('LANÇAMENTOS DIÁRIOS'!$G$5:$G$500,"E",'LANÇAMENTOS DIÁRIOS'!$C$5:$C$500,$A70,'LANÇAMENTOS DIÁRIOS'!$O$5:$O$500,"&lt;=111500",'LANÇAMENTOS DIÁRIOS'!$P$5:$P$500,"&gt;=111500")&gt;0,"X","")</f>
      </c>
    </row>
    <row r="71">
      <c r="A71" s="51" t="str">
        <v>Inclinômetro</v>
      </c>
      <c r="B71" s="56" t="str">
        <f>IF(COUNTIFS('LANÇAMENTOS DIÁRIOS'!$G$5:$G$500,"E",'LANÇAMENTOS DIÁRIOS'!$C$5:$C$500,$A71,'LANÇAMENTOS DIÁRIOS'!$O$5:$O$500,"&lt;=105599",'LANÇAMENTOS DIÁRIOS'!$P$5:$P$500,"&gt;=105500")&gt;0,"X","")</f>
      </c>
      <c r="C71" s="56" t="str">
        <f>IF(COUNTIFS('LANÇAMENTOS DIÁRIOS'!$G$5:$G$500,"E",'LANÇAMENTOS DIÁRIOS'!$C$5:$C$500,$A71,'LANÇAMENTOS DIÁRIOS'!$O$5:$O$500,"&lt;=105699",'LANÇAMENTOS DIÁRIOS'!$P$5:$P$500,"&gt;=105600")&gt;0,"X","")</f>
      </c>
      <c r="D71" s="56" t="str">
        <f>IF(COUNTIFS('LANÇAMENTOS DIÁRIOS'!$G$5:$G$500,"E",'LANÇAMENTOS DIÁRIOS'!$C$5:$C$500,$A71,'LANÇAMENTOS DIÁRIOS'!$O$5:$O$500,"&lt;=105799",'LANÇAMENTOS DIÁRIOS'!$P$5:$P$500,"&gt;=105700")&gt;0,"X","")</f>
      </c>
      <c r="E71" s="56" t="str">
        <f>IF(COUNTIFS('LANÇAMENTOS DIÁRIOS'!$G$5:$G$500,"E",'LANÇAMENTOS DIÁRIOS'!$C$5:$C$500,$A71,'LANÇAMENTOS DIÁRIOS'!$O$5:$O$500,"&lt;=105899",'LANÇAMENTOS DIÁRIOS'!$P$5:$P$500,"&gt;=105800")&gt;0,"X","")</f>
      </c>
      <c r="F71" s="56" t="str">
        <f>IF(COUNTIFS('LANÇAMENTOS DIÁRIOS'!$G$5:$G$500,"E",'LANÇAMENTOS DIÁRIOS'!$C$5:$C$500,$A71,'LANÇAMENTOS DIÁRIOS'!$O$5:$O$500,"&lt;=105999",'LANÇAMENTOS DIÁRIOS'!$P$5:$P$500,"&gt;=105900")&gt;0,"X","")</f>
      </c>
      <c r="G71" s="56" t="str">
        <f>IF(COUNTIFS('LANÇAMENTOS DIÁRIOS'!$G$5:$G$500,"E",'LANÇAMENTOS DIÁRIOS'!$C$5:$C$500,$A71,'LANÇAMENTOS DIÁRIOS'!$O$5:$O$500,"&lt;=106099",'LANÇAMENTOS DIÁRIOS'!$P$5:$P$500,"&gt;=106000")&gt;0,"X","")</f>
      </c>
      <c r="H71" s="56" t="str">
        <f>IF(COUNTIFS('LANÇAMENTOS DIÁRIOS'!$G$5:$G$500,"E",'LANÇAMENTOS DIÁRIOS'!$C$5:$C$500,$A71,'LANÇAMENTOS DIÁRIOS'!$O$5:$O$500,"&lt;=106199",'LANÇAMENTOS DIÁRIOS'!$P$5:$P$500,"&gt;=106100")&gt;0,"X","")</f>
      </c>
      <c r="I71" s="56" t="str">
        <f>IF(COUNTIFS('LANÇAMENTOS DIÁRIOS'!$G$5:$G$500,"E",'LANÇAMENTOS DIÁRIOS'!$C$5:$C$500,$A71,'LANÇAMENTOS DIÁRIOS'!$O$5:$O$500,"&lt;=106299",'LANÇAMENTOS DIÁRIOS'!$P$5:$P$500,"&gt;=106200")&gt;0,"X","")</f>
      </c>
      <c r="J71" s="56" t="str">
        <f>IF(COUNTIFS('LANÇAMENTOS DIÁRIOS'!$G$5:$G$500,"E",'LANÇAMENTOS DIÁRIOS'!$C$5:$C$500,$A71,'LANÇAMENTOS DIÁRIOS'!$O$5:$O$500,"&lt;=106399",'LANÇAMENTOS DIÁRIOS'!$P$5:$P$500,"&gt;=106300")&gt;0,"X","")</f>
      </c>
      <c r="K71" s="56" t="str">
        <f>IF(COUNTIFS('LANÇAMENTOS DIÁRIOS'!$G$5:$G$500,"E",'LANÇAMENTOS DIÁRIOS'!$C$5:$C$500,$A71,'LANÇAMENTOS DIÁRIOS'!$O$5:$O$500,"&lt;=106499",'LANÇAMENTOS DIÁRIOS'!$P$5:$P$500,"&gt;=106400")&gt;0,"X","")</f>
      </c>
      <c r="L71" s="56" t="str">
        <f>IF(COUNTIFS('LANÇAMENTOS DIÁRIOS'!$G$5:$G$500,"E",'LANÇAMENTOS DIÁRIOS'!$C$5:$C$500,$A71,'LANÇAMENTOS DIÁRIOS'!$O$5:$O$500,"&lt;=106599",'LANÇAMENTOS DIÁRIOS'!$P$5:$P$500,"&gt;=106500")&gt;0,"X","")</f>
      </c>
      <c r="M71" s="56" t="str">
        <f>IF(COUNTIFS('LANÇAMENTOS DIÁRIOS'!$G$5:$G$500,"E",'LANÇAMENTOS DIÁRIOS'!$C$5:$C$500,$A71,'LANÇAMENTOS DIÁRIOS'!$O$5:$O$500,"&lt;=106699",'LANÇAMENTOS DIÁRIOS'!$P$5:$P$500,"&gt;=106600")&gt;0,"X","")</f>
      </c>
      <c r="N71" s="56" t="str">
        <f>IF(COUNTIFS('LANÇAMENTOS DIÁRIOS'!$G$5:$G$500,"E",'LANÇAMENTOS DIÁRIOS'!$C$5:$C$500,$A71,'LANÇAMENTOS DIÁRIOS'!$O$5:$O$500,"&lt;=106799",'LANÇAMENTOS DIÁRIOS'!$P$5:$P$500,"&gt;=106700")&gt;0,"X","")</f>
      </c>
      <c r="O71" s="56" t="str">
        <f>IF(COUNTIFS('LANÇAMENTOS DIÁRIOS'!$G$5:$G$500,"E",'LANÇAMENTOS DIÁRIOS'!$C$5:$C$500,$A71,'LANÇAMENTOS DIÁRIOS'!$O$5:$O$500,"&lt;=106899",'LANÇAMENTOS DIÁRIOS'!$P$5:$P$500,"&gt;=106800")&gt;0,"X","")</f>
      </c>
      <c r="P71" s="56" t="str">
        <f>IF(COUNTIFS('LANÇAMENTOS DIÁRIOS'!$G$5:$G$500,"E",'LANÇAMENTOS DIÁRIOS'!$C$5:$C$500,$A71,'LANÇAMENTOS DIÁRIOS'!$O$5:$O$500,"&lt;=106999",'LANÇAMENTOS DIÁRIOS'!$P$5:$P$500,"&gt;=106900")&gt;0,"X","")</f>
      </c>
      <c r="Q71" s="56" t="str">
        <f>IF(COUNTIFS('LANÇAMENTOS DIÁRIOS'!$G$5:$G$500,"E",'LANÇAMENTOS DIÁRIOS'!$C$5:$C$500,$A71,'LANÇAMENTOS DIÁRIOS'!$O$5:$O$500,"&lt;=107099",'LANÇAMENTOS DIÁRIOS'!$P$5:$P$500,"&gt;=107000")&gt;0,"X","")</f>
      </c>
      <c r="R71" s="56" t="str">
        <f>IF(COUNTIFS('LANÇAMENTOS DIÁRIOS'!$G$5:$G$500,"E",'LANÇAMENTOS DIÁRIOS'!$C$5:$C$500,$A71,'LANÇAMENTOS DIÁRIOS'!$O$5:$O$500,"&lt;=107199",'LANÇAMENTOS DIÁRIOS'!$P$5:$P$500,"&gt;=107100")&gt;0,"X","")</f>
      </c>
      <c r="S71" s="56" t="str">
        <f>IF(COUNTIFS('LANÇAMENTOS DIÁRIOS'!$G$5:$G$500,"E",'LANÇAMENTOS DIÁRIOS'!$C$5:$C$500,$A71,'LANÇAMENTOS DIÁRIOS'!$O$5:$O$500,"&lt;=107299",'LANÇAMENTOS DIÁRIOS'!$P$5:$P$500,"&gt;=107200")&gt;0,"X","")</f>
      </c>
      <c r="T71" s="56" t="str">
        <f>IF(COUNTIFS('LANÇAMENTOS DIÁRIOS'!$G$5:$G$500,"E",'LANÇAMENTOS DIÁRIOS'!$C$5:$C$500,$A71,'LANÇAMENTOS DIÁRIOS'!$O$5:$O$500,"&lt;=107399",'LANÇAMENTOS DIÁRIOS'!$P$5:$P$500,"&gt;=107300")&gt;0,"X","")</f>
      </c>
      <c r="U71" s="56" t="str">
        <f>IF(COUNTIFS('LANÇAMENTOS DIÁRIOS'!$G$5:$G$500,"E",'LANÇAMENTOS DIÁRIOS'!$C$5:$C$500,$A71,'LANÇAMENTOS DIÁRIOS'!$O$5:$O$500,"&lt;=107499",'LANÇAMENTOS DIÁRIOS'!$P$5:$P$500,"&gt;=107400")&gt;0,"X","")</f>
      </c>
      <c r="V71" s="56" t="str">
        <f>IF(COUNTIFS('LANÇAMENTOS DIÁRIOS'!$G$5:$G$500,"E",'LANÇAMENTOS DIÁRIOS'!$C$5:$C$500,$A71,'LANÇAMENTOS DIÁRIOS'!$O$5:$O$500,"&lt;=107599",'LANÇAMENTOS DIÁRIOS'!$P$5:$P$500,"&gt;=107500")&gt;0,"X","")</f>
      </c>
      <c r="W71" s="56" t="str">
        <f>IF(COUNTIFS('LANÇAMENTOS DIÁRIOS'!$G$5:$G$500,"E",'LANÇAMENTOS DIÁRIOS'!$C$5:$C$500,$A71,'LANÇAMENTOS DIÁRIOS'!$O$5:$O$500,"&lt;=107699",'LANÇAMENTOS DIÁRIOS'!$P$5:$P$500,"&gt;=107600")&gt;0,"X","")</f>
      </c>
      <c r="X71" s="56" t="str">
        <f>IF(COUNTIFS('LANÇAMENTOS DIÁRIOS'!$G$5:$G$500,"E",'LANÇAMENTOS DIÁRIOS'!$C$5:$C$500,$A71,'LANÇAMENTOS DIÁRIOS'!$O$5:$O$500,"&lt;=107799",'LANÇAMENTOS DIÁRIOS'!$P$5:$P$500,"&gt;=107700")&gt;0,"X","")</f>
      </c>
      <c r="Y71" s="56" t="str">
        <f>IF(COUNTIFS('LANÇAMENTOS DIÁRIOS'!$G$5:$G$500,"E",'LANÇAMENTOS DIÁRIOS'!$C$5:$C$500,$A71,'LANÇAMENTOS DIÁRIOS'!$O$5:$O$500,"&lt;=107899",'LANÇAMENTOS DIÁRIOS'!$P$5:$P$500,"&gt;=107800")&gt;0,"X","")</f>
      </c>
      <c r="Z71" s="56" t="str">
        <f>IF(COUNTIFS('LANÇAMENTOS DIÁRIOS'!$G$5:$G$500,"E",'LANÇAMENTOS DIÁRIOS'!$C$5:$C$500,$A71,'LANÇAMENTOS DIÁRIOS'!$O$5:$O$500,"&lt;=107999",'LANÇAMENTOS DIÁRIOS'!$P$5:$P$500,"&gt;=107900")&gt;0,"X","")</f>
      </c>
      <c r="AA71" s="56" t="str">
        <f>IF(COUNTIFS('LANÇAMENTOS DIÁRIOS'!$G$5:$G$500,"E",'LANÇAMENTOS DIÁRIOS'!$C$5:$C$500,$A71,'LANÇAMENTOS DIÁRIOS'!$O$5:$O$500,"&lt;=108099",'LANÇAMENTOS DIÁRIOS'!$P$5:$P$500,"&gt;=108000")&gt;0,"X","")</f>
      </c>
      <c r="AB71" s="56" t="str">
        <f>IF(COUNTIFS('LANÇAMENTOS DIÁRIOS'!$G$5:$G$500,"E",'LANÇAMENTOS DIÁRIOS'!$C$5:$C$500,$A71,'LANÇAMENTOS DIÁRIOS'!$O$5:$O$500,"&lt;=108199",'LANÇAMENTOS DIÁRIOS'!$P$5:$P$500,"&gt;=108100")&gt;0,"X","")</f>
      </c>
      <c r="AC71" s="56" t="str">
        <f>IF(COUNTIFS('LANÇAMENTOS DIÁRIOS'!$G$5:$G$500,"E",'LANÇAMENTOS DIÁRIOS'!$C$5:$C$500,$A71,'LANÇAMENTOS DIÁRIOS'!$O$5:$O$500,"&lt;=108299",'LANÇAMENTOS DIÁRIOS'!$P$5:$P$500,"&gt;=108200")&gt;0,"X","")</f>
      </c>
      <c r="AD71" s="56" t="str">
        <f>IF(COUNTIFS('LANÇAMENTOS DIÁRIOS'!$G$5:$G$500,"E",'LANÇAMENTOS DIÁRIOS'!$C$5:$C$500,$A71,'LANÇAMENTOS DIÁRIOS'!$O$5:$O$500,"&lt;=108399",'LANÇAMENTOS DIÁRIOS'!$P$5:$P$500,"&gt;=108300")&gt;0,"X","")</f>
      </c>
      <c r="AE71" s="56" t="str">
        <f>IF(COUNTIFS('LANÇAMENTOS DIÁRIOS'!$G$5:$G$500,"E",'LANÇAMENTOS DIÁRIOS'!$C$5:$C$500,$A71,'LANÇAMENTOS DIÁRIOS'!$O$5:$O$500,"&lt;=108499",'LANÇAMENTOS DIÁRIOS'!$P$5:$P$500,"&gt;=108400")&gt;0,"X","")</f>
      </c>
      <c r="AF71" s="56" t="str">
        <f>IF(COUNTIFS('LANÇAMENTOS DIÁRIOS'!$G$5:$G$500,"E",'LANÇAMENTOS DIÁRIOS'!$C$5:$C$500,$A71,'LANÇAMENTOS DIÁRIOS'!$O$5:$O$500,"&lt;=108599",'LANÇAMENTOS DIÁRIOS'!$P$5:$P$500,"&gt;=108500")&gt;0,"X","")</f>
      </c>
      <c r="AG71" s="56" t="str">
        <f>IF(COUNTIFS('LANÇAMENTOS DIÁRIOS'!$G$5:$G$500,"E",'LANÇAMENTOS DIÁRIOS'!$C$5:$C$500,$A71,'LANÇAMENTOS DIÁRIOS'!$O$5:$O$500,"&lt;=108699",'LANÇAMENTOS DIÁRIOS'!$P$5:$P$500,"&gt;=108600")&gt;0,"X","")</f>
      </c>
      <c r="AH71" s="56" t="str">
        <f>IF(COUNTIFS('LANÇAMENTOS DIÁRIOS'!$G$5:$G$500,"E",'LANÇAMENTOS DIÁRIOS'!$C$5:$C$500,$A71,'LANÇAMENTOS DIÁRIOS'!$O$5:$O$500,"&lt;=108799",'LANÇAMENTOS DIÁRIOS'!$P$5:$P$500,"&gt;=108700")&gt;0,"X","")</f>
      </c>
      <c r="AI71" s="56" t="str">
        <f>IF(COUNTIFS('LANÇAMENTOS DIÁRIOS'!$G$5:$G$500,"E",'LANÇAMENTOS DIÁRIOS'!$C$5:$C$500,$A71,'LANÇAMENTOS DIÁRIOS'!$O$5:$O$500,"&lt;=108899",'LANÇAMENTOS DIÁRIOS'!$P$5:$P$500,"&gt;=108800")&gt;0,"X","")</f>
      </c>
      <c r="AJ71" s="56" t="str">
        <f>IF(COUNTIFS('LANÇAMENTOS DIÁRIOS'!$G$5:$G$500,"E",'LANÇAMENTOS DIÁRIOS'!$C$5:$C$500,$A71,'LANÇAMENTOS DIÁRIOS'!$O$5:$O$500,"&lt;=108999",'LANÇAMENTOS DIÁRIOS'!$P$5:$P$500,"&gt;=108900")&gt;0,"X","")</f>
      </c>
      <c r="AK71" s="56" t="str">
        <f>IF(COUNTIFS('LANÇAMENTOS DIÁRIOS'!$G$5:$G$500,"E",'LANÇAMENTOS DIÁRIOS'!$C$5:$C$500,$A71,'LANÇAMENTOS DIÁRIOS'!$O$5:$O$500,"&lt;=109099",'LANÇAMENTOS DIÁRIOS'!$P$5:$P$500,"&gt;=109000")&gt;0,"X","")</f>
      </c>
      <c r="AL71" s="56" t="str">
        <f>IF(COUNTIFS('LANÇAMENTOS DIÁRIOS'!$G$5:$G$500,"E",'LANÇAMENTOS DIÁRIOS'!$C$5:$C$500,$A71,'LANÇAMENTOS DIÁRIOS'!$O$5:$O$500,"&lt;=109199",'LANÇAMENTOS DIÁRIOS'!$P$5:$P$500,"&gt;=109100")&gt;0,"X","")</f>
      </c>
      <c r="AM71" s="56" t="str">
        <f>IF(COUNTIFS('LANÇAMENTOS DIÁRIOS'!$G$5:$G$500,"E",'LANÇAMENTOS DIÁRIOS'!$C$5:$C$500,$A71,'LANÇAMENTOS DIÁRIOS'!$O$5:$O$500,"&lt;=109299",'LANÇAMENTOS DIÁRIOS'!$P$5:$P$500,"&gt;=109200")&gt;0,"X","")</f>
      </c>
      <c r="AN71" s="56" t="str">
        <f>IF(COUNTIFS('LANÇAMENTOS DIÁRIOS'!$G$5:$G$500,"E",'LANÇAMENTOS DIÁRIOS'!$C$5:$C$500,$A71,'LANÇAMENTOS DIÁRIOS'!$O$5:$O$500,"&lt;=109399",'LANÇAMENTOS DIÁRIOS'!$P$5:$P$500,"&gt;=109300")&gt;0,"X","")</f>
      </c>
      <c r="AO71" s="56" t="str">
        <f>IF(COUNTIFS('LANÇAMENTOS DIÁRIOS'!$G$5:$G$500,"E",'LANÇAMENTOS DIÁRIOS'!$C$5:$C$500,$A71,'LANÇAMENTOS DIÁRIOS'!$O$5:$O$500,"&lt;=109499",'LANÇAMENTOS DIÁRIOS'!$P$5:$P$500,"&gt;=109400")&gt;0,"X","")</f>
      </c>
      <c r="AP71" s="56" t="str">
        <f>IF(COUNTIFS('LANÇAMENTOS DIÁRIOS'!$G$5:$G$500,"E",'LANÇAMENTOS DIÁRIOS'!$C$5:$C$500,$A71,'LANÇAMENTOS DIÁRIOS'!$O$5:$O$500,"&lt;=109599",'LANÇAMENTOS DIÁRIOS'!$P$5:$P$500,"&gt;=109500")&gt;0,"X","")</f>
      </c>
      <c r="AQ71" s="56" t="str">
        <f>IF(COUNTIFS('LANÇAMENTOS DIÁRIOS'!$G$5:$G$500,"E",'LANÇAMENTOS DIÁRIOS'!$C$5:$C$500,$A71,'LANÇAMENTOS DIÁRIOS'!$O$5:$O$500,"&lt;=109699",'LANÇAMENTOS DIÁRIOS'!$P$5:$P$500,"&gt;=109600")&gt;0,"X","")</f>
      </c>
      <c r="AR71" s="56" t="str">
        <f>IF(COUNTIFS('LANÇAMENTOS DIÁRIOS'!$G$5:$G$500,"E",'LANÇAMENTOS DIÁRIOS'!$C$5:$C$500,$A71,'LANÇAMENTOS DIÁRIOS'!$O$5:$O$500,"&lt;=109799",'LANÇAMENTOS DIÁRIOS'!$P$5:$P$500,"&gt;=109700")&gt;0,"X","")</f>
      </c>
      <c r="AS71" s="56" t="str">
        <f>IF(COUNTIFS('LANÇAMENTOS DIÁRIOS'!$G$5:$G$500,"E",'LANÇAMENTOS DIÁRIOS'!$C$5:$C$500,$A71,'LANÇAMENTOS DIÁRIOS'!$O$5:$O$500,"&lt;=109899",'LANÇAMENTOS DIÁRIOS'!$P$5:$P$500,"&gt;=109800")&gt;0,"X","")</f>
      </c>
      <c r="AT71" s="56" t="str">
        <f>IF(COUNTIFS('LANÇAMENTOS DIÁRIOS'!$G$5:$G$500,"E",'LANÇAMENTOS DIÁRIOS'!$C$5:$C$500,$A71,'LANÇAMENTOS DIÁRIOS'!$O$5:$O$500,"&lt;=109999",'LANÇAMENTOS DIÁRIOS'!$P$5:$P$500,"&gt;=109900")&gt;0,"X","")</f>
      </c>
      <c r="AU71" s="56" t="str">
        <f>IF(COUNTIFS('LANÇAMENTOS DIÁRIOS'!$G$5:$G$500,"E",'LANÇAMENTOS DIÁRIOS'!$C$5:$C$500,$A71,'LANÇAMENTOS DIÁRIOS'!$O$5:$O$500,"&lt;=110099",'LANÇAMENTOS DIÁRIOS'!$P$5:$P$500,"&gt;=110000")&gt;0,"X","")</f>
      </c>
      <c r="AV71" s="56" t="str">
        <f>IF(COUNTIFS('LANÇAMENTOS DIÁRIOS'!$G$5:$G$500,"E",'LANÇAMENTOS DIÁRIOS'!$C$5:$C$500,$A71,'LANÇAMENTOS DIÁRIOS'!$O$5:$O$500,"&lt;=110199",'LANÇAMENTOS DIÁRIOS'!$P$5:$P$500,"&gt;=110100")&gt;0,"X","")</f>
      </c>
      <c r="AW71" s="56" t="str">
        <f>IF(COUNTIFS('LANÇAMENTOS DIÁRIOS'!$G$5:$G$500,"E",'LANÇAMENTOS DIÁRIOS'!$C$5:$C$500,$A71,'LANÇAMENTOS DIÁRIOS'!$O$5:$O$500,"&lt;=110299",'LANÇAMENTOS DIÁRIOS'!$P$5:$P$500,"&gt;=110200")&gt;0,"X","")</f>
      </c>
      <c r="AX71" s="56" t="str">
        <f>IF(COUNTIFS('LANÇAMENTOS DIÁRIOS'!$G$5:$G$500,"E",'LANÇAMENTOS DIÁRIOS'!$C$5:$C$500,$A71,'LANÇAMENTOS DIÁRIOS'!$O$5:$O$500,"&lt;=110399",'LANÇAMENTOS DIÁRIOS'!$P$5:$P$500,"&gt;=110300")&gt;0,"X","")</f>
      </c>
      <c r="AY71" s="56" t="str">
        <f>IF(COUNTIFS('LANÇAMENTOS DIÁRIOS'!$G$5:$G$500,"E",'LANÇAMENTOS DIÁRIOS'!$C$5:$C$500,$A71,'LANÇAMENTOS DIÁRIOS'!$O$5:$O$500,"&lt;=110499",'LANÇAMENTOS DIÁRIOS'!$P$5:$P$500,"&gt;=110400")&gt;0,"X","")</f>
      </c>
      <c r="AZ71" s="56" t="str">
        <f>IF(COUNTIFS('LANÇAMENTOS DIÁRIOS'!$G$5:$G$500,"E",'LANÇAMENTOS DIÁRIOS'!$C$5:$C$500,$A71,'LANÇAMENTOS DIÁRIOS'!$O$5:$O$500,"&lt;=110599",'LANÇAMENTOS DIÁRIOS'!$P$5:$P$500,"&gt;=110500")&gt;0,"X","")</f>
      </c>
      <c r="BA71" s="56" t="str">
        <f>IF(COUNTIFS('LANÇAMENTOS DIÁRIOS'!$G$5:$G$500,"E",'LANÇAMENTOS DIÁRIOS'!$C$5:$C$500,$A71,'LANÇAMENTOS DIÁRIOS'!$O$5:$O$500,"&lt;=110699",'LANÇAMENTOS DIÁRIOS'!$P$5:$P$500,"&gt;=110600")&gt;0,"X","")</f>
      </c>
      <c r="BB71" s="56" t="str">
        <f>IF(COUNTIFS('LANÇAMENTOS DIÁRIOS'!$G$5:$G$500,"E",'LANÇAMENTOS DIÁRIOS'!$C$5:$C$500,$A71,'LANÇAMENTOS DIÁRIOS'!$O$5:$O$500,"&lt;=110799",'LANÇAMENTOS DIÁRIOS'!$P$5:$P$500,"&gt;=110700")&gt;0,"X","")</f>
      </c>
      <c r="BC71" s="56" t="str">
        <f>IF(COUNTIFS('LANÇAMENTOS DIÁRIOS'!$G$5:$G$500,"E",'LANÇAMENTOS DIÁRIOS'!$C$5:$C$500,$A71,'LANÇAMENTOS DIÁRIOS'!$O$5:$O$500,"&lt;=110899",'LANÇAMENTOS DIÁRIOS'!$P$5:$P$500,"&gt;=110800")&gt;0,"X","")</f>
      </c>
      <c r="BD71" s="56" t="str">
        <f>IF(COUNTIFS('LANÇAMENTOS DIÁRIOS'!$G$5:$G$500,"E",'LANÇAMENTOS DIÁRIOS'!$C$5:$C$500,$A71,'LANÇAMENTOS DIÁRIOS'!$O$5:$O$500,"&lt;=110999",'LANÇAMENTOS DIÁRIOS'!$P$5:$P$500,"&gt;=110900")&gt;0,"X","")</f>
      </c>
      <c r="BE71" s="56" t="str">
        <f>IF(COUNTIFS('LANÇAMENTOS DIÁRIOS'!$G$5:$G$500,"E",'LANÇAMENTOS DIÁRIOS'!$C$5:$C$500,$A71,'LANÇAMENTOS DIÁRIOS'!$O$5:$O$500,"&lt;=111099",'LANÇAMENTOS DIÁRIOS'!$P$5:$P$500,"&gt;=111000")&gt;0,"X","")</f>
      </c>
      <c r="BF71" s="56" t="str">
        <f>IF(COUNTIFS('LANÇAMENTOS DIÁRIOS'!$G$5:$G$500,"E",'LANÇAMENTOS DIÁRIOS'!$C$5:$C$500,$A71,'LANÇAMENTOS DIÁRIOS'!$O$5:$O$500,"&lt;=111199",'LANÇAMENTOS DIÁRIOS'!$P$5:$P$500,"&gt;=111100")&gt;0,"X","")</f>
      </c>
      <c r="BG71" s="56" t="str">
        <f>IF(COUNTIFS('LANÇAMENTOS DIÁRIOS'!$G$5:$G$500,"E",'LANÇAMENTOS DIÁRIOS'!$C$5:$C$500,$A71,'LANÇAMENTOS DIÁRIOS'!$O$5:$O$500,"&lt;=111299",'LANÇAMENTOS DIÁRIOS'!$P$5:$P$500,"&gt;=111200")&gt;0,"X","")</f>
      </c>
      <c r="BH71" s="56" t="str">
        <f>IF(COUNTIFS('LANÇAMENTOS DIÁRIOS'!$G$5:$G$500,"E",'LANÇAMENTOS DIÁRIOS'!$C$5:$C$500,$A71,'LANÇAMENTOS DIÁRIOS'!$O$5:$O$500,"&lt;=111399",'LANÇAMENTOS DIÁRIOS'!$P$5:$P$500,"&gt;=111300")&gt;0,"X","")</f>
      </c>
      <c r="BI71" s="56" t="str">
        <f>IF(COUNTIFS('LANÇAMENTOS DIÁRIOS'!$G$5:$G$500,"E",'LANÇAMENTOS DIÁRIOS'!$C$5:$C$500,$A71,'LANÇAMENTOS DIÁRIOS'!$O$5:$O$500,"&lt;=111499",'LANÇAMENTOS DIÁRIOS'!$P$5:$P$500,"&gt;=111400")&gt;0,"X","")</f>
      </c>
      <c r="BJ71" s="56" t="str">
        <f>IF(COUNTIFS('LANÇAMENTOS DIÁRIOS'!$G$5:$G$500,"E",'LANÇAMENTOS DIÁRIOS'!$C$5:$C$500,$A71,'LANÇAMENTOS DIÁRIOS'!$O$5:$O$500,"&lt;=111500",'LANÇAMENTOS DIÁRIOS'!$P$5:$P$500,"&gt;=111500")&gt;0,"X","")</f>
      </c>
    </row>
    <row r="72">
      <c r="A72" s="51" t="str">
        <v>Monitoramento de Instrumentação</v>
      </c>
      <c r="B72" s="56" t="str">
        <f>IF(COUNTIFS('LANÇAMENTOS DIÁRIOS'!$G$5:$G$500,"E",'LANÇAMENTOS DIÁRIOS'!$C$5:$C$500,$A72,'LANÇAMENTOS DIÁRIOS'!$O$5:$O$500,"&lt;=105599",'LANÇAMENTOS DIÁRIOS'!$P$5:$P$500,"&gt;=105500")&gt;0,"X","")</f>
      </c>
      <c r="C72" s="56" t="str">
        <f>IF(COUNTIFS('LANÇAMENTOS DIÁRIOS'!$G$5:$G$500,"E",'LANÇAMENTOS DIÁRIOS'!$C$5:$C$500,$A72,'LANÇAMENTOS DIÁRIOS'!$O$5:$O$500,"&lt;=105699",'LANÇAMENTOS DIÁRIOS'!$P$5:$P$500,"&gt;=105600")&gt;0,"X","")</f>
      </c>
      <c r="D72" s="56" t="str">
        <f>IF(COUNTIFS('LANÇAMENTOS DIÁRIOS'!$G$5:$G$500,"E",'LANÇAMENTOS DIÁRIOS'!$C$5:$C$500,$A72,'LANÇAMENTOS DIÁRIOS'!$O$5:$O$500,"&lt;=105799",'LANÇAMENTOS DIÁRIOS'!$P$5:$P$500,"&gt;=105700")&gt;0,"X","")</f>
      </c>
      <c r="E72" s="56" t="str">
        <f>IF(COUNTIFS('LANÇAMENTOS DIÁRIOS'!$G$5:$G$500,"E",'LANÇAMENTOS DIÁRIOS'!$C$5:$C$500,$A72,'LANÇAMENTOS DIÁRIOS'!$O$5:$O$500,"&lt;=105899",'LANÇAMENTOS DIÁRIOS'!$P$5:$P$500,"&gt;=105800")&gt;0,"X","")</f>
      </c>
      <c r="F72" s="56" t="str">
        <f>IF(COUNTIFS('LANÇAMENTOS DIÁRIOS'!$G$5:$G$500,"E",'LANÇAMENTOS DIÁRIOS'!$C$5:$C$500,$A72,'LANÇAMENTOS DIÁRIOS'!$O$5:$O$500,"&lt;=105999",'LANÇAMENTOS DIÁRIOS'!$P$5:$P$500,"&gt;=105900")&gt;0,"X","")</f>
      </c>
      <c r="G72" s="56" t="str">
        <f>IF(COUNTIFS('LANÇAMENTOS DIÁRIOS'!$G$5:$G$500,"E",'LANÇAMENTOS DIÁRIOS'!$C$5:$C$500,$A72,'LANÇAMENTOS DIÁRIOS'!$O$5:$O$500,"&lt;=106099",'LANÇAMENTOS DIÁRIOS'!$P$5:$P$500,"&gt;=106000")&gt;0,"X","")</f>
      </c>
      <c r="H72" s="56" t="str">
        <f>IF(COUNTIFS('LANÇAMENTOS DIÁRIOS'!$G$5:$G$500,"E",'LANÇAMENTOS DIÁRIOS'!$C$5:$C$500,$A72,'LANÇAMENTOS DIÁRIOS'!$O$5:$O$500,"&lt;=106199",'LANÇAMENTOS DIÁRIOS'!$P$5:$P$500,"&gt;=106100")&gt;0,"X","")</f>
      </c>
      <c r="I72" s="56" t="str">
        <f>IF(COUNTIFS('LANÇAMENTOS DIÁRIOS'!$G$5:$G$500,"E",'LANÇAMENTOS DIÁRIOS'!$C$5:$C$500,$A72,'LANÇAMENTOS DIÁRIOS'!$O$5:$O$500,"&lt;=106299",'LANÇAMENTOS DIÁRIOS'!$P$5:$P$500,"&gt;=106200")&gt;0,"X","")</f>
      </c>
      <c r="J72" s="56" t="str">
        <f>IF(COUNTIFS('LANÇAMENTOS DIÁRIOS'!$G$5:$G$500,"E",'LANÇAMENTOS DIÁRIOS'!$C$5:$C$500,$A72,'LANÇAMENTOS DIÁRIOS'!$O$5:$O$500,"&lt;=106399",'LANÇAMENTOS DIÁRIOS'!$P$5:$P$500,"&gt;=106300")&gt;0,"X","")</f>
      </c>
      <c r="K72" s="56" t="str">
        <f>IF(COUNTIFS('LANÇAMENTOS DIÁRIOS'!$G$5:$G$500,"E",'LANÇAMENTOS DIÁRIOS'!$C$5:$C$500,$A72,'LANÇAMENTOS DIÁRIOS'!$O$5:$O$500,"&lt;=106499",'LANÇAMENTOS DIÁRIOS'!$P$5:$P$500,"&gt;=106400")&gt;0,"X","")</f>
      </c>
      <c r="L72" s="56" t="str">
        <f>IF(COUNTIFS('LANÇAMENTOS DIÁRIOS'!$G$5:$G$500,"E",'LANÇAMENTOS DIÁRIOS'!$C$5:$C$500,$A72,'LANÇAMENTOS DIÁRIOS'!$O$5:$O$500,"&lt;=106599",'LANÇAMENTOS DIÁRIOS'!$P$5:$P$500,"&gt;=106500")&gt;0,"X","")</f>
      </c>
      <c r="M72" s="56" t="str">
        <f>IF(COUNTIFS('LANÇAMENTOS DIÁRIOS'!$G$5:$G$500,"E",'LANÇAMENTOS DIÁRIOS'!$C$5:$C$500,$A72,'LANÇAMENTOS DIÁRIOS'!$O$5:$O$500,"&lt;=106699",'LANÇAMENTOS DIÁRIOS'!$P$5:$P$500,"&gt;=106600")&gt;0,"X","")</f>
      </c>
      <c r="N72" s="56" t="str">
        <f>IF(COUNTIFS('LANÇAMENTOS DIÁRIOS'!$G$5:$G$500,"E",'LANÇAMENTOS DIÁRIOS'!$C$5:$C$500,$A72,'LANÇAMENTOS DIÁRIOS'!$O$5:$O$500,"&lt;=106799",'LANÇAMENTOS DIÁRIOS'!$P$5:$P$500,"&gt;=106700")&gt;0,"X","")</f>
      </c>
      <c r="O72" s="56" t="str">
        <f>IF(COUNTIFS('LANÇAMENTOS DIÁRIOS'!$G$5:$G$500,"E",'LANÇAMENTOS DIÁRIOS'!$C$5:$C$500,$A72,'LANÇAMENTOS DIÁRIOS'!$O$5:$O$500,"&lt;=106899",'LANÇAMENTOS DIÁRIOS'!$P$5:$P$500,"&gt;=106800")&gt;0,"X","")</f>
      </c>
      <c r="P72" s="56" t="str">
        <f>IF(COUNTIFS('LANÇAMENTOS DIÁRIOS'!$G$5:$G$500,"E",'LANÇAMENTOS DIÁRIOS'!$C$5:$C$500,$A72,'LANÇAMENTOS DIÁRIOS'!$O$5:$O$500,"&lt;=106999",'LANÇAMENTOS DIÁRIOS'!$P$5:$P$500,"&gt;=106900")&gt;0,"X","")</f>
      </c>
      <c r="Q72" s="56" t="str">
        <f>IF(COUNTIFS('LANÇAMENTOS DIÁRIOS'!$G$5:$G$500,"E",'LANÇAMENTOS DIÁRIOS'!$C$5:$C$500,$A72,'LANÇAMENTOS DIÁRIOS'!$O$5:$O$500,"&lt;=107099",'LANÇAMENTOS DIÁRIOS'!$P$5:$P$500,"&gt;=107000")&gt;0,"X","")</f>
      </c>
      <c r="R72" s="56" t="str">
        <f>IF(COUNTIFS('LANÇAMENTOS DIÁRIOS'!$G$5:$G$500,"E",'LANÇAMENTOS DIÁRIOS'!$C$5:$C$500,$A72,'LANÇAMENTOS DIÁRIOS'!$O$5:$O$500,"&lt;=107199",'LANÇAMENTOS DIÁRIOS'!$P$5:$P$500,"&gt;=107100")&gt;0,"X","")</f>
      </c>
      <c r="S72" s="56" t="str">
        <f>IF(COUNTIFS('LANÇAMENTOS DIÁRIOS'!$G$5:$G$500,"E",'LANÇAMENTOS DIÁRIOS'!$C$5:$C$500,$A72,'LANÇAMENTOS DIÁRIOS'!$O$5:$O$500,"&lt;=107299",'LANÇAMENTOS DIÁRIOS'!$P$5:$P$500,"&gt;=107200")&gt;0,"X","")</f>
      </c>
      <c r="T72" s="56" t="str">
        <f>IF(COUNTIFS('LANÇAMENTOS DIÁRIOS'!$G$5:$G$500,"E",'LANÇAMENTOS DIÁRIOS'!$C$5:$C$500,$A72,'LANÇAMENTOS DIÁRIOS'!$O$5:$O$500,"&lt;=107399",'LANÇAMENTOS DIÁRIOS'!$P$5:$P$500,"&gt;=107300")&gt;0,"X","")</f>
      </c>
      <c r="U72" s="56" t="str">
        <f>IF(COUNTIFS('LANÇAMENTOS DIÁRIOS'!$G$5:$G$500,"E",'LANÇAMENTOS DIÁRIOS'!$C$5:$C$500,$A72,'LANÇAMENTOS DIÁRIOS'!$O$5:$O$500,"&lt;=107499",'LANÇAMENTOS DIÁRIOS'!$P$5:$P$500,"&gt;=107400")&gt;0,"X","")</f>
      </c>
      <c r="V72" s="56" t="str">
        <f>IF(COUNTIFS('LANÇAMENTOS DIÁRIOS'!$G$5:$G$500,"E",'LANÇAMENTOS DIÁRIOS'!$C$5:$C$500,$A72,'LANÇAMENTOS DIÁRIOS'!$O$5:$O$500,"&lt;=107599",'LANÇAMENTOS DIÁRIOS'!$P$5:$P$500,"&gt;=107500")&gt;0,"X","")</f>
      </c>
      <c r="W72" s="56" t="str">
        <f>IF(COUNTIFS('LANÇAMENTOS DIÁRIOS'!$G$5:$G$500,"E",'LANÇAMENTOS DIÁRIOS'!$C$5:$C$500,$A72,'LANÇAMENTOS DIÁRIOS'!$O$5:$O$500,"&lt;=107699",'LANÇAMENTOS DIÁRIOS'!$P$5:$P$500,"&gt;=107600")&gt;0,"X","")</f>
      </c>
      <c r="X72" s="56" t="str">
        <f>IF(COUNTIFS('LANÇAMENTOS DIÁRIOS'!$G$5:$G$500,"E",'LANÇAMENTOS DIÁRIOS'!$C$5:$C$500,$A72,'LANÇAMENTOS DIÁRIOS'!$O$5:$O$500,"&lt;=107799",'LANÇAMENTOS DIÁRIOS'!$P$5:$P$500,"&gt;=107700")&gt;0,"X","")</f>
      </c>
      <c r="Y72" s="56" t="str">
        <f>IF(COUNTIFS('LANÇAMENTOS DIÁRIOS'!$G$5:$G$500,"E",'LANÇAMENTOS DIÁRIOS'!$C$5:$C$500,$A72,'LANÇAMENTOS DIÁRIOS'!$O$5:$O$500,"&lt;=107899",'LANÇAMENTOS DIÁRIOS'!$P$5:$P$500,"&gt;=107800")&gt;0,"X","")</f>
      </c>
      <c r="Z72" s="56" t="str">
        <f>IF(COUNTIFS('LANÇAMENTOS DIÁRIOS'!$G$5:$G$500,"E",'LANÇAMENTOS DIÁRIOS'!$C$5:$C$500,$A72,'LANÇAMENTOS DIÁRIOS'!$O$5:$O$500,"&lt;=107999",'LANÇAMENTOS DIÁRIOS'!$P$5:$P$500,"&gt;=107900")&gt;0,"X","")</f>
      </c>
      <c r="AA72" s="56" t="str">
        <f>IF(COUNTIFS('LANÇAMENTOS DIÁRIOS'!$G$5:$G$500,"E",'LANÇAMENTOS DIÁRIOS'!$C$5:$C$500,$A72,'LANÇAMENTOS DIÁRIOS'!$O$5:$O$500,"&lt;=108099",'LANÇAMENTOS DIÁRIOS'!$P$5:$P$500,"&gt;=108000")&gt;0,"X","")</f>
      </c>
      <c r="AB72" s="56" t="str">
        <f>IF(COUNTIFS('LANÇAMENTOS DIÁRIOS'!$G$5:$G$500,"E",'LANÇAMENTOS DIÁRIOS'!$C$5:$C$500,$A72,'LANÇAMENTOS DIÁRIOS'!$O$5:$O$500,"&lt;=108199",'LANÇAMENTOS DIÁRIOS'!$P$5:$P$500,"&gt;=108100")&gt;0,"X","")</f>
      </c>
      <c r="AC72" s="56" t="str">
        <f>IF(COUNTIFS('LANÇAMENTOS DIÁRIOS'!$G$5:$G$500,"E",'LANÇAMENTOS DIÁRIOS'!$C$5:$C$500,$A72,'LANÇAMENTOS DIÁRIOS'!$O$5:$O$500,"&lt;=108299",'LANÇAMENTOS DIÁRIOS'!$P$5:$P$500,"&gt;=108200")&gt;0,"X","")</f>
      </c>
      <c r="AD72" s="56" t="str">
        <f>IF(COUNTIFS('LANÇAMENTOS DIÁRIOS'!$G$5:$G$500,"E",'LANÇAMENTOS DIÁRIOS'!$C$5:$C$500,$A72,'LANÇAMENTOS DIÁRIOS'!$O$5:$O$500,"&lt;=108399",'LANÇAMENTOS DIÁRIOS'!$P$5:$P$500,"&gt;=108300")&gt;0,"X","")</f>
      </c>
      <c r="AE72" s="56" t="str">
        <f>IF(COUNTIFS('LANÇAMENTOS DIÁRIOS'!$G$5:$G$500,"E",'LANÇAMENTOS DIÁRIOS'!$C$5:$C$500,$A72,'LANÇAMENTOS DIÁRIOS'!$O$5:$O$500,"&lt;=108499",'LANÇAMENTOS DIÁRIOS'!$P$5:$P$500,"&gt;=108400")&gt;0,"X","")</f>
      </c>
      <c r="AF72" s="56" t="str">
        <f>IF(COUNTIFS('LANÇAMENTOS DIÁRIOS'!$G$5:$G$500,"E",'LANÇAMENTOS DIÁRIOS'!$C$5:$C$500,$A72,'LANÇAMENTOS DIÁRIOS'!$O$5:$O$500,"&lt;=108599",'LANÇAMENTOS DIÁRIOS'!$P$5:$P$500,"&gt;=108500")&gt;0,"X","")</f>
      </c>
      <c r="AG72" s="56" t="str">
        <f>IF(COUNTIFS('LANÇAMENTOS DIÁRIOS'!$G$5:$G$500,"E",'LANÇAMENTOS DIÁRIOS'!$C$5:$C$500,$A72,'LANÇAMENTOS DIÁRIOS'!$O$5:$O$500,"&lt;=108699",'LANÇAMENTOS DIÁRIOS'!$P$5:$P$500,"&gt;=108600")&gt;0,"X","")</f>
      </c>
      <c r="AH72" s="56" t="str">
        <f>IF(COUNTIFS('LANÇAMENTOS DIÁRIOS'!$G$5:$G$500,"E",'LANÇAMENTOS DIÁRIOS'!$C$5:$C$500,$A72,'LANÇAMENTOS DIÁRIOS'!$O$5:$O$500,"&lt;=108799",'LANÇAMENTOS DIÁRIOS'!$P$5:$P$500,"&gt;=108700")&gt;0,"X","")</f>
      </c>
      <c r="AI72" s="56" t="str">
        <f>IF(COUNTIFS('LANÇAMENTOS DIÁRIOS'!$G$5:$G$500,"E",'LANÇAMENTOS DIÁRIOS'!$C$5:$C$500,$A72,'LANÇAMENTOS DIÁRIOS'!$O$5:$O$500,"&lt;=108899",'LANÇAMENTOS DIÁRIOS'!$P$5:$P$500,"&gt;=108800")&gt;0,"X","")</f>
      </c>
      <c r="AJ72" s="56" t="str">
        <f>IF(COUNTIFS('LANÇAMENTOS DIÁRIOS'!$G$5:$G$500,"E",'LANÇAMENTOS DIÁRIOS'!$C$5:$C$500,$A72,'LANÇAMENTOS DIÁRIOS'!$O$5:$O$500,"&lt;=108999",'LANÇAMENTOS DIÁRIOS'!$P$5:$P$500,"&gt;=108900")&gt;0,"X","")</f>
      </c>
      <c r="AK72" s="56" t="str">
        <f>IF(COUNTIFS('LANÇAMENTOS DIÁRIOS'!$G$5:$G$500,"E",'LANÇAMENTOS DIÁRIOS'!$C$5:$C$500,$A72,'LANÇAMENTOS DIÁRIOS'!$O$5:$O$500,"&lt;=109099",'LANÇAMENTOS DIÁRIOS'!$P$5:$P$500,"&gt;=109000")&gt;0,"X","")</f>
      </c>
      <c r="AL72" s="56" t="str">
        <f>IF(COUNTIFS('LANÇAMENTOS DIÁRIOS'!$G$5:$G$500,"E",'LANÇAMENTOS DIÁRIOS'!$C$5:$C$500,$A72,'LANÇAMENTOS DIÁRIOS'!$O$5:$O$500,"&lt;=109199",'LANÇAMENTOS DIÁRIOS'!$P$5:$P$500,"&gt;=109100")&gt;0,"X","")</f>
      </c>
      <c r="AM72" s="56" t="str">
        <f>IF(COUNTIFS('LANÇAMENTOS DIÁRIOS'!$G$5:$G$500,"E",'LANÇAMENTOS DIÁRIOS'!$C$5:$C$500,$A72,'LANÇAMENTOS DIÁRIOS'!$O$5:$O$500,"&lt;=109299",'LANÇAMENTOS DIÁRIOS'!$P$5:$P$500,"&gt;=109200")&gt;0,"X","")</f>
      </c>
      <c r="AN72" s="56" t="str">
        <f>IF(COUNTIFS('LANÇAMENTOS DIÁRIOS'!$G$5:$G$500,"E",'LANÇAMENTOS DIÁRIOS'!$C$5:$C$500,$A72,'LANÇAMENTOS DIÁRIOS'!$O$5:$O$500,"&lt;=109399",'LANÇAMENTOS DIÁRIOS'!$P$5:$P$500,"&gt;=109300")&gt;0,"X","")</f>
      </c>
      <c r="AO72" s="56" t="str">
        <f>IF(COUNTIFS('LANÇAMENTOS DIÁRIOS'!$G$5:$G$500,"E",'LANÇAMENTOS DIÁRIOS'!$C$5:$C$500,$A72,'LANÇAMENTOS DIÁRIOS'!$O$5:$O$500,"&lt;=109499",'LANÇAMENTOS DIÁRIOS'!$P$5:$P$500,"&gt;=109400")&gt;0,"X","")</f>
      </c>
      <c r="AP72" s="56" t="str">
        <f>IF(COUNTIFS('LANÇAMENTOS DIÁRIOS'!$G$5:$G$500,"E",'LANÇAMENTOS DIÁRIOS'!$C$5:$C$500,$A72,'LANÇAMENTOS DIÁRIOS'!$O$5:$O$500,"&lt;=109599",'LANÇAMENTOS DIÁRIOS'!$P$5:$P$500,"&gt;=109500")&gt;0,"X","")</f>
      </c>
      <c r="AQ72" s="56" t="str">
        <f>IF(COUNTIFS('LANÇAMENTOS DIÁRIOS'!$G$5:$G$500,"E",'LANÇAMENTOS DIÁRIOS'!$C$5:$C$500,$A72,'LANÇAMENTOS DIÁRIOS'!$O$5:$O$500,"&lt;=109699",'LANÇAMENTOS DIÁRIOS'!$P$5:$P$500,"&gt;=109600")&gt;0,"X","")</f>
      </c>
      <c r="AR72" s="56" t="str">
        <f>IF(COUNTIFS('LANÇAMENTOS DIÁRIOS'!$G$5:$G$500,"E",'LANÇAMENTOS DIÁRIOS'!$C$5:$C$500,$A72,'LANÇAMENTOS DIÁRIOS'!$O$5:$O$500,"&lt;=109799",'LANÇAMENTOS DIÁRIOS'!$P$5:$P$500,"&gt;=109700")&gt;0,"X","")</f>
      </c>
      <c r="AS72" s="56" t="str">
        <f>IF(COUNTIFS('LANÇAMENTOS DIÁRIOS'!$G$5:$G$500,"E",'LANÇAMENTOS DIÁRIOS'!$C$5:$C$500,$A72,'LANÇAMENTOS DIÁRIOS'!$O$5:$O$500,"&lt;=109899",'LANÇAMENTOS DIÁRIOS'!$P$5:$P$500,"&gt;=109800")&gt;0,"X","")</f>
      </c>
      <c r="AT72" s="56" t="str">
        <f>IF(COUNTIFS('LANÇAMENTOS DIÁRIOS'!$G$5:$G$500,"E",'LANÇAMENTOS DIÁRIOS'!$C$5:$C$500,$A72,'LANÇAMENTOS DIÁRIOS'!$O$5:$O$500,"&lt;=109999",'LANÇAMENTOS DIÁRIOS'!$P$5:$P$500,"&gt;=109900")&gt;0,"X","")</f>
      </c>
      <c r="AU72" s="56" t="str">
        <f>IF(COUNTIFS('LANÇAMENTOS DIÁRIOS'!$G$5:$G$500,"E",'LANÇAMENTOS DIÁRIOS'!$C$5:$C$500,$A72,'LANÇAMENTOS DIÁRIOS'!$O$5:$O$500,"&lt;=110099",'LANÇAMENTOS DIÁRIOS'!$P$5:$P$500,"&gt;=110000")&gt;0,"X","")</f>
      </c>
      <c r="AV72" s="56" t="str">
        <f>IF(COUNTIFS('LANÇAMENTOS DIÁRIOS'!$G$5:$G$500,"E",'LANÇAMENTOS DIÁRIOS'!$C$5:$C$500,$A72,'LANÇAMENTOS DIÁRIOS'!$O$5:$O$500,"&lt;=110199",'LANÇAMENTOS DIÁRIOS'!$P$5:$P$500,"&gt;=110100")&gt;0,"X","")</f>
      </c>
      <c r="AW72" s="56" t="str">
        <f>IF(COUNTIFS('LANÇAMENTOS DIÁRIOS'!$G$5:$G$500,"E",'LANÇAMENTOS DIÁRIOS'!$C$5:$C$500,$A72,'LANÇAMENTOS DIÁRIOS'!$O$5:$O$500,"&lt;=110299",'LANÇAMENTOS DIÁRIOS'!$P$5:$P$500,"&gt;=110200")&gt;0,"X","")</f>
      </c>
      <c r="AX72" s="56" t="str">
        <f>IF(COUNTIFS('LANÇAMENTOS DIÁRIOS'!$G$5:$G$500,"E",'LANÇAMENTOS DIÁRIOS'!$C$5:$C$500,$A72,'LANÇAMENTOS DIÁRIOS'!$O$5:$O$500,"&lt;=110399",'LANÇAMENTOS DIÁRIOS'!$P$5:$P$500,"&gt;=110300")&gt;0,"X","")</f>
      </c>
      <c r="AY72" s="56" t="str">
        <f>IF(COUNTIFS('LANÇAMENTOS DIÁRIOS'!$G$5:$G$500,"E",'LANÇAMENTOS DIÁRIOS'!$C$5:$C$500,$A72,'LANÇAMENTOS DIÁRIOS'!$O$5:$O$500,"&lt;=110499",'LANÇAMENTOS DIÁRIOS'!$P$5:$P$500,"&gt;=110400")&gt;0,"X","")</f>
      </c>
      <c r="AZ72" s="56" t="str">
        <f>IF(COUNTIFS('LANÇAMENTOS DIÁRIOS'!$G$5:$G$500,"E",'LANÇAMENTOS DIÁRIOS'!$C$5:$C$500,$A72,'LANÇAMENTOS DIÁRIOS'!$O$5:$O$500,"&lt;=110599",'LANÇAMENTOS DIÁRIOS'!$P$5:$P$500,"&gt;=110500")&gt;0,"X","")</f>
      </c>
      <c r="BA72" s="56" t="str">
        <f>IF(COUNTIFS('LANÇAMENTOS DIÁRIOS'!$G$5:$G$500,"E",'LANÇAMENTOS DIÁRIOS'!$C$5:$C$500,$A72,'LANÇAMENTOS DIÁRIOS'!$O$5:$O$500,"&lt;=110699",'LANÇAMENTOS DIÁRIOS'!$P$5:$P$500,"&gt;=110600")&gt;0,"X","")</f>
      </c>
      <c r="BB72" s="56" t="str">
        <f>IF(COUNTIFS('LANÇAMENTOS DIÁRIOS'!$G$5:$G$500,"E",'LANÇAMENTOS DIÁRIOS'!$C$5:$C$500,$A72,'LANÇAMENTOS DIÁRIOS'!$O$5:$O$500,"&lt;=110799",'LANÇAMENTOS DIÁRIOS'!$P$5:$P$500,"&gt;=110700")&gt;0,"X","")</f>
      </c>
      <c r="BC72" s="56" t="str">
        <f>IF(COUNTIFS('LANÇAMENTOS DIÁRIOS'!$G$5:$G$500,"E",'LANÇAMENTOS DIÁRIOS'!$C$5:$C$500,$A72,'LANÇAMENTOS DIÁRIOS'!$O$5:$O$500,"&lt;=110899",'LANÇAMENTOS DIÁRIOS'!$P$5:$P$500,"&gt;=110800")&gt;0,"X","")</f>
      </c>
      <c r="BD72" s="56" t="str">
        <f>IF(COUNTIFS('LANÇAMENTOS DIÁRIOS'!$G$5:$G$500,"E",'LANÇAMENTOS DIÁRIOS'!$C$5:$C$500,$A72,'LANÇAMENTOS DIÁRIOS'!$O$5:$O$500,"&lt;=110999",'LANÇAMENTOS DIÁRIOS'!$P$5:$P$500,"&gt;=110900")&gt;0,"X","")</f>
      </c>
      <c r="BE72" s="56" t="str">
        <f>IF(COUNTIFS('LANÇAMENTOS DIÁRIOS'!$G$5:$G$500,"E",'LANÇAMENTOS DIÁRIOS'!$C$5:$C$500,$A72,'LANÇAMENTOS DIÁRIOS'!$O$5:$O$500,"&lt;=111099",'LANÇAMENTOS DIÁRIOS'!$P$5:$P$500,"&gt;=111000")&gt;0,"X","")</f>
      </c>
      <c r="BF72" s="56" t="str">
        <f>IF(COUNTIFS('LANÇAMENTOS DIÁRIOS'!$G$5:$G$500,"E",'LANÇAMENTOS DIÁRIOS'!$C$5:$C$500,$A72,'LANÇAMENTOS DIÁRIOS'!$O$5:$O$500,"&lt;=111199",'LANÇAMENTOS DIÁRIOS'!$P$5:$P$500,"&gt;=111100")&gt;0,"X","")</f>
      </c>
      <c r="BG72" s="56" t="str">
        <f>IF(COUNTIFS('LANÇAMENTOS DIÁRIOS'!$G$5:$G$500,"E",'LANÇAMENTOS DIÁRIOS'!$C$5:$C$500,$A72,'LANÇAMENTOS DIÁRIOS'!$O$5:$O$500,"&lt;=111299",'LANÇAMENTOS DIÁRIOS'!$P$5:$P$500,"&gt;=111200")&gt;0,"X","")</f>
      </c>
      <c r="BH72" s="56" t="str">
        <f>IF(COUNTIFS('LANÇAMENTOS DIÁRIOS'!$G$5:$G$500,"E",'LANÇAMENTOS DIÁRIOS'!$C$5:$C$500,$A72,'LANÇAMENTOS DIÁRIOS'!$O$5:$O$500,"&lt;=111399",'LANÇAMENTOS DIÁRIOS'!$P$5:$P$500,"&gt;=111300")&gt;0,"X","")</f>
      </c>
      <c r="BI72" s="56" t="str">
        <f>IF(COUNTIFS('LANÇAMENTOS DIÁRIOS'!$G$5:$G$500,"E",'LANÇAMENTOS DIÁRIOS'!$C$5:$C$500,$A72,'LANÇAMENTOS DIÁRIOS'!$O$5:$O$500,"&lt;=111499",'LANÇAMENTOS DIÁRIOS'!$P$5:$P$500,"&gt;=111400")&gt;0,"X","")</f>
      </c>
      <c r="BJ72" s="56" t="str">
        <f>IF(COUNTIFS('LANÇAMENTOS DIÁRIOS'!$G$5:$G$500,"E",'LANÇAMENTOS DIÁRIOS'!$C$5:$C$500,$A72,'LANÇAMENTOS DIÁRIOS'!$O$5:$O$500,"&lt;=111500",'LANÇAMENTOS DIÁRIOS'!$P$5:$P$500,"&gt;=111500")&gt;0,"X","")</f>
      </c>
    </row>
    <row r="73" ht="21" customHeight="1">
      <c r="A73" s="60" t="str">
        <v>Pavimentação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</row>
    <row r="74" ht="19" customHeight="1">
      <c r="A74" s="68" t="str">
        <v>Demolição do pavimento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</row>
    <row r="75">
      <c r="A75" s="51" t="str">
        <v>Demolição de pavimento, revestimento betuminoso</v>
      </c>
      <c r="B75" s="56" t="str">
        <f>IF(COUNTIFS('LANÇAMENTOS DIÁRIOS'!$G$5:$G$500,"E",'LANÇAMENTOS DIÁRIOS'!$C$5:$C$500,$A75,'LANÇAMENTOS DIÁRIOS'!$O$5:$O$500,"&lt;=105599",'LANÇAMENTOS DIÁRIOS'!$P$5:$P$500,"&gt;=105500")&gt;0,"X","")</f>
      </c>
      <c r="C75" s="56" t="str">
        <f>IF(COUNTIFS('LANÇAMENTOS DIÁRIOS'!$G$5:$G$500,"E",'LANÇAMENTOS DIÁRIOS'!$C$5:$C$500,$A75,'LANÇAMENTOS DIÁRIOS'!$O$5:$O$500,"&lt;=105699",'LANÇAMENTOS DIÁRIOS'!$P$5:$P$500,"&gt;=105600")&gt;0,"X","")</f>
      </c>
      <c r="D75" s="56" t="str">
        <f>IF(COUNTIFS('LANÇAMENTOS DIÁRIOS'!$G$5:$G$500,"E",'LANÇAMENTOS DIÁRIOS'!$C$5:$C$500,$A75,'LANÇAMENTOS DIÁRIOS'!$O$5:$O$500,"&lt;=105799",'LANÇAMENTOS DIÁRIOS'!$P$5:$P$500,"&gt;=105700")&gt;0,"X","")</f>
      </c>
      <c r="E75" s="56" t="str">
        <f>IF(COUNTIFS('LANÇAMENTOS DIÁRIOS'!$G$5:$G$500,"E",'LANÇAMENTOS DIÁRIOS'!$C$5:$C$500,$A75,'LANÇAMENTOS DIÁRIOS'!$O$5:$O$500,"&lt;=105899",'LANÇAMENTOS DIÁRIOS'!$P$5:$P$500,"&gt;=105800")&gt;0,"X","")</f>
      </c>
      <c r="F75" s="56" t="str">
        <f>IF(COUNTIFS('LANÇAMENTOS DIÁRIOS'!$G$5:$G$500,"E",'LANÇAMENTOS DIÁRIOS'!$C$5:$C$500,$A75,'LANÇAMENTOS DIÁRIOS'!$O$5:$O$500,"&lt;=105999",'LANÇAMENTOS DIÁRIOS'!$P$5:$P$500,"&gt;=105900")&gt;0,"X","")</f>
      </c>
      <c r="G75" s="56" t="str">
        <f>IF(COUNTIFS('LANÇAMENTOS DIÁRIOS'!$G$5:$G$500,"E",'LANÇAMENTOS DIÁRIOS'!$C$5:$C$500,$A75,'LANÇAMENTOS DIÁRIOS'!$O$5:$O$500,"&lt;=106099",'LANÇAMENTOS DIÁRIOS'!$P$5:$P$500,"&gt;=106000")&gt;0,"X","")</f>
      </c>
      <c r="H75" s="56" t="str">
        <f>IF(COUNTIFS('LANÇAMENTOS DIÁRIOS'!$G$5:$G$500,"E",'LANÇAMENTOS DIÁRIOS'!$C$5:$C$500,$A75,'LANÇAMENTOS DIÁRIOS'!$O$5:$O$500,"&lt;=106199",'LANÇAMENTOS DIÁRIOS'!$P$5:$P$500,"&gt;=106100")&gt;0,"X","")</f>
      </c>
      <c r="I75" s="56" t="str">
        <f>IF(COUNTIFS('LANÇAMENTOS DIÁRIOS'!$G$5:$G$500,"E",'LANÇAMENTOS DIÁRIOS'!$C$5:$C$500,$A75,'LANÇAMENTOS DIÁRIOS'!$O$5:$O$500,"&lt;=106299",'LANÇAMENTOS DIÁRIOS'!$P$5:$P$500,"&gt;=106200")&gt;0,"X","")</f>
      </c>
      <c r="J75" s="56" t="str">
        <f>IF(COUNTIFS('LANÇAMENTOS DIÁRIOS'!$G$5:$G$500,"E",'LANÇAMENTOS DIÁRIOS'!$C$5:$C$500,$A75,'LANÇAMENTOS DIÁRIOS'!$O$5:$O$500,"&lt;=106399",'LANÇAMENTOS DIÁRIOS'!$P$5:$P$500,"&gt;=106300")&gt;0,"X","")</f>
      </c>
      <c r="K75" s="56" t="str">
        <f>IF(COUNTIFS('LANÇAMENTOS DIÁRIOS'!$G$5:$G$500,"E",'LANÇAMENTOS DIÁRIOS'!$C$5:$C$500,$A75,'LANÇAMENTOS DIÁRIOS'!$O$5:$O$500,"&lt;=106499",'LANÇAMENTOS DIÁRIOS'!$P$5:$P$500,"&gt;=106400")&gt;0,"X","")</f>
      </c>
      <c r="L75" s="56" t="str">
        <f>IF(COUNTIFS('LANÇAMENTOS DIÁRIOS'!$G$5:$G$500,"E",'LANÇAMENTOS DIÁRIOS'!$C$5:$C$500,$A75,'LANÇAMENTOS DIÁRIOS'!$O$5:$O$500,"&lt;=106599",'LANÇAMENTOS DIÁRIOS'!$P$5:$P$500,"&gt;=106500")&gt;0,"X","")</f>
      </c>
      <c r="M75" s="56" t="str">
        <f>IF(COUNTIFS('LANÇAMENTOS DIÁRIOS'!$G$5:$G$500,"E",'LANÇAMENTOS DIÁRIOS'!$C$5:$C$500,$A75,'LANÇAMENTOS DIÁRIOS'!$O$5:$O$500,"&lt;=106699",'LANÇAMENTOS DIÁRIOS'!$P$5:$P$500,"&gt;=106600")&gt;0,"X","")</f>
      </c>
      <c r="N75" s="56" t="str">
        <f>IF(COUNTIFS('LANÇAMENTOS DIÁRIOS'!$G$5:$G$500,"E",'LANÇAMENTOS DIÁRIOS'!$C$5:$C$500,$A75,'LANÇAMENTOS DIÁRIOS'!$O$5:$O$500,"&lt;=106799",'LANÇAMENTOS DIÁRIOS'!$P$5:$P$500,"&gt;=106700")&gt;0,"X","")</f>
      </c>
      <c r="O75" s="56" t="str">
        <f>IF(COUNTIFS('LANÇAMENTOS DIÁRIOS'!$G$5:$G$500,"E",'LANÇAMENTOS DIÁRIOS'!$C$5:$C$500,$A75,'LANÇAMENTOS DIÁRIOS'!$O$5:$O$500,"&lt;=106899",'LANÇAMENTOS DIÁRIOS'!$P$5:$P$500,"&gt;=106800")&gt;0,"X","")</f>
      </c>
      <c r="P75" s="56" t="str">
        <f>IF(COUNTIFS('LANÇAMENTOS DIÁRIOS'!$G$5:$G$500,"E",'LANÇAMENTOS DIÁRIOS'!$C$5:$C$500,$A75,'LANÇAMENTOS DIÁRIOS'!$O$5:$O$500,"&lt;=106999",'LANÇAMENTOS DIÁRIOS'!$P$5:$P$500,"&gt;=106900")&gt;0,"X","")</f>
      </c>
      <c r="Q75" s="56" t="str">
        <f>IF(COUNTIFS('LANÇAMENTOS DIÁRIOS'!$G$5:$G$500,"E",'LANÇAMENTOS DIÁRIOS'!$C$5:$C$500,$A75,'LANÇAMENTOS DIÁRIOS'!$O$5:$O$500,"&lt;=107099",'LANÇAMENTOS DIÁRIOS'!$P$5:$P$500,"&gt;=107000")&gt;0,"X","")</f>
      </c>
      <c r="R75" s="56" t="str">
        <f>IF(COUNTIFS('LANÇAMENTOS DIÁRIOS'!$G$5:$G$500,"E",'LANÇAMENTOS DIÁRIOS'!$C$5:$C$500,$A75,'LANÇAMENTOS DIÁRIOS'!$O$5:$O$500,"&lt;=107199",'LANÇAMENTOS DIÁRIOS'!$P$5:$P$500,"&gt;=107100")&gt;0,"X","")</f>
      </c>
      <c r="S75" s="56" t="str">
        <f>IF(COUNTIFS('LANÇAMENTOS DIÁRIOS'!$G$5:$G$500,"E",'LANÇAMENTOS DIÁRIOS'!$C$5:$C$500,$A75,'LANÇAMENTOS DIÁRIOS'!$O$5:$O$500,"&lt;=107299",'LANÇAMENTOS DIÁRIOS'!$P$5:$P$500,"&gt;=107200")&gt;0,"X","")</f>
      </c>
      <c r="T75" s="56" t="str">
        <f>IF(COUNTIFS('LANÇAMENTOS DIÁRIOS'!$G$5:$G$500,"E",'LANÇAMENTOS DIÁRIOS'!$C$5:$C$500,$A75,'LANÇAMENTOS DIÁRIOS'!$O$5:$O$500,"&lt;=107399",'LANÇAMENTOS DIÁRIOS'!$P$5:$P$500,"&gt;=107300")&gt;0,"X","")</f>
      </c>
      <c r="U75" s="56" t="str">
        <f>IF(COUNTIFS('LANÇAMENTOS DIÁRIOS'!$G$5:$G$500,"E",'LANÇAMENTOS DIÁRIOS'!$C$5:$C$500,$A75,'LANÇAMENTOS DIÁRIOS'!$O$5:$O$500,"&lt;=107499",'LANÇAMENTOS DIÁRIOS'!$P$5:$P$500,"&gt;=107400")&gt;0,"X","")</f>
      </c>
      <c r="V75" s="56" t="str">
        <f>IF(COUNTIFS('LANÇAMENTOS DIÁRIOS'!$G$5:$G$500,"E",'LANÇAMENTOS DIÁRIOS'!$C$5:$C$500,$A75,'LANÇAMENTOS DIÁRIOS'!$O$5:$O$500,"&lt;=107599",'LANÇAMENTOS DIÁRIOS'!$P$5:$P$500,"&gt;=107500")&gt;0,"X","")</f>
      </c>
      <c r="W75" s="56" t="str">
        <f>IF(COUNTIFS('LANÇAMENTOS DIÁRIOS'!$G$5:$G$500,"E",'LANÇAMENTOS DIÁRIOS'!$C$5:$C$500,$A75,'LANÇAMENTOS DIÁRIOS'!$O$5:$O$500,"&lt;=107699",'LANÇAMENTOS DIÁRIOS'!$P$5:$P$500,"&gt;=107600")&gt;0,"X","")</f>
      </c>
      <c r="X75" s="56" t="str">
        <f>IF(COUNTIFS('LANÇAMENTOS DIÁRIOS'!$G$5:$G$500,"E",'LANÇAMENTOS DIÁRIOS'!$C$5:$C$500,$A75,'LANÇAMENTOS DIÁRIOS'!$O$5:$O$500,"&lt;=107799",'LANÇAMENTOS DIÁRIOS'!$P$5:$P$500,"&gt;=107700")&gt;0,"X","")</f>
      </c>
      <c r="Y75" s="56" t="str">
        <f>IF(COUNTIFS('LANÇAMENTOS DIÁRIOS'!$G$5:$G$500,"E",'LANÇAMENTOS DIÁRIOS'!$C$5:$C$500,$A75,'LANÇAMENTOS DIÁRIOS'!$O$5:$O$500,"&lt;=107899",'LANÇAMENTOS DIÁRIOS'!$P$5:$P$500,"&gt;=107800")&gt;0,"X","")</f>
      </c>
      <c r="Z75" s="56" t="str">
        <f>IF(COUNTIFS('LANÇAMENTOS DIÁRIOS'!$G$5:$G$500,"E",'LANÇAMENTOS DIÁRIOS'!$C$5:$C$500,$A75,'LANÇAMENTOS DIÁRIOS'!$O$5:$O$500,"&lt;=107999",'LANÇAMENTOS DIÁRIOS'!$P$5:$P$500,"&gt;=107900")&gt;0,"X","")</f>
      </c>
      <c r="AA75" s="56" t="str">
        <f>IF(COUNTIFS('LANÇAMENTOS DIÁRIOS'!$G$5:$G$500,"E",'LANÇAMENTOS DIÁRIOS'!$C$5:$C$500,$A75,'LANÇAMENTOS DIÁRIOS'!$O$5:$O$500,"&lt;=108099",'LANÇAMENTOS DIÁRIOS'!$P$5:$P$500,"&gt;=108000")&gt;0,"X","")</f>
      </c>
      <c r="AB75" s="56" t="str">
        <f>IF(COUNTIFS('LANÇAMENTOS DIÁRIOS'!$G$5:$G$500,"E",'LANÇAMENTOS DIÁRIOS'!$C$5:$C$500,$A75,'LANÇAMENTOS DIÁRIOS'!$O$5:$O$500,"&lt;=108199",'LANÇAMENTOS DIÁRIOS'!$P$5:$P$500,"&gt;=108100")&gt;0,"X","")</f>
      </c>
      <c r="AC75" s="56" t="str">
        <f>IF(COUNTIFS('LANÇAMENTOS DIÁRIOS'!$G$5:$G$500,"E",'LANÇAMENTOS DIÁRIOS'!$C$5:$C$500,$A75,'LANÇAMENTOS DIÁRIOS'!$O$5:$O$500,"&lt;=108299",'LANÇAMENTOS DIÁRIOS'!$P$5:$P$500,"&gt;=108200")&gt;0,"X","")</f>
      </c>
      <c r="AD75" s="56" t="str">
        <f>IF(COUNTIFS('LANÇAMENTOS DIÁRIOS'!$G$5:$G$500,"E",'LANÇAMENTOS DIÁRIOS'!$C$5:$C$500,$A75,'LANÇAMENTOS DIÁRIOS'!$O$5:$O$500,"&lt;=108399",'LANÇAMENTOS DIÁRIOS'!$P$5:$P$500,"&gt;=108300")&gt;0,"X","")</f>
      </c>
      <c r="AE75" s="56" t="str">
        <f>IF(COUNTIFS('LANÇAMENTOS DIÁRIOS'!$G$5:$G$500,"E",'LANÇAMENTOS DIÁRIOS'!$C$5:$C$500,$A75,'LANÇAMENTOS DIÁRIOS'!$O$5:$O$500,"&lt;=108499",'LANÇAMENTOS DIÁRIOS'!$P$5:$P$500,"&gt;=108400")&gt;0,"X","")</f>
        <v>X</v>
      </c>
      <c r="AF75" s="56" t="str">
        <f>IF(COUNTIFS('LANÇAMENTOS DIÁRIOS'!$G$5:$G$500,"E",'LANÇAMENTOS DIÁRIOS'!$C$5:$C$500,$A75,'LANÇAMENTOS DIÁRIOS'!$O$5:$O$500,"&lt;=108599",'LANÇAMENTOS DIÁRIOS'!$P$5:$P$500,"&gt;=108500")&gt;0,"X","")</f>
        <v>X</v>
      </c>
      <c r="AG75" s="56" t="str">
        <f>IF(COUNTIFS('LANÇAMENTOS DIÁRIOS'!$G$5:$G$500,"E",'LANÇAMENTOS DIÁRIOS'!$C$5:$C$500,$A75,'LANÇAMENTOS DIÁRIOS'!$O$5:$O$500,"&lt;=108699",'LANÇAMENTOS DIÁRIOS'!$P$5:$P$500,"&gt;=108600")&gt;0,"X","")</f>
        <v>X</v>
      </c>
      <c r="AH75" s="56" t="str">
        <f>IF(COUNTIFS('LANÇAMENTOS DIÁRIOS'!$G$5:$G$500,"E",'LANÇAMENTOS DIÁRIOS'!$C$5:$C$500,$A75,'LANÇAMENTOS DIÁRIOS'!$O$5:$O$500,"&lt;=108799",'LANÇAMENTOS DIÁRIOS'!$P$5:$P$500,"&gt;=108700")&gt;0,"X","")</f>
        <v>X</v>
      </c>
      <c r="AI75" s="56" t="str">
        <f>IF(COUNTIFS('LANÇAMENTOS DIÁRIOS'!$G$5:$G$500,"E",'LANÇAMENTOS DIÁRIOS'!$C$5:$C$500,$A75,'LANÇAMENTOS DIÁRIOS'!$O$5:$O$500,"&lt;=108899",'LANÇAMENTOS DIÁRIOS'!$P$5:$P$500,"&gt;=108800")&gt;0,"X","")</f>
      </c>
      <c r="AJ75" s="56" t="str">
        <f>IF(COUNTIFS('LANÇAMENTOS DIÁRIOS'!$G$5:$G$500,"E",'LANÇAMENTOS DIÁRIOS'!$C$5:$C$500,$A75,'LANÇAMENTOS DIÁRIOS'!$O$5:$O$500,"&lt;=108999",'LANÇAMENTOS DIÁRIOS'!$P$5:$P$500,"&gt;=108900")&gt;0,"X","")</f>
      </c>
      <c r="AK75" s="56" t="str">
        <f>IF(COUNTIFS('LANÇAMENTOS DIÁRIOS'!$G$5:$G$500,"E",'LANÇAMENTOS DIÁRIOS'!$C$5:$C$500,$A75,'LANÇAMENTOS DIÁRIOS'!$O$5:$O$500,"&lt;=109099",'LANÇAMENTOS DIÁRIOS'!$P$5:$P$500,"&gt;=109000")&gt;0,"X","")</f>
      </c>
      <c r="AL75" s="56" t="str">
        <f>IF(COUNTIFS('LANÇAMENTOS DIÁRIOS'!$G$5:$G$500,"E",'LANÇAMENTOS DIÁRIOS'!$C$5:$C$500,$A75,'LANÇAMENTOS DIÁRIOS'!$O$5:$O$500,"&lt;=109199",'LANÇAMENTOS DIÁRIOS'!$P$5:$P$500,"&gt;=109100")&gt;0,"X","")</f>
      </c>
      <c r="AM75" s="56" t="str">
        <f>IF(COUNTIFS('LANÇAMENTOS DIÁRIOS'!$G$5:$G$500,"E",'LANÇAMENTOS DIÁRIOS'!$C$5:$C$500,$A75,'LANÇAMENTOS DIÁRIOS'!$O$5:$O$500,"&lt;=109299",'LANÇAMENTOS DIÁRIOS'!$P$5:$P$500,"&gt;=109200")&gt;0,"X","")</f>
      </c>
      <c r="AN75" s="56" t="str">
        <f>IF(COUNTIFS('LANÇAMENTOS DIÁRIOS'!$G$5:$G$500,"E",'LANÇAMENTOS DIÁRIOS'!$C$5:$C$500,$A75,'LANÇAMENTOS DIÁRIOS'!$O$5:$O$500,"&lt;=109399",'LANÇAMENTOS DIÁRIOS'!$P$5:$P$500,"&gt;=109300")&gt;0,"X","")</f>
      </c>
      <c r="AO75" s="56" t="str">
        <f>IF(COUNTIFS('LANÇAMENTOS DIÁRIOS'!$G$5:$G$500,"E",'LANÇAMENTOS DIÁRIOS'!$C$5:$C$500,$A75,'LANÇAMENTOS DIÁRIOS'!$O$5:$O$500,"&lt;=109499",'LANÇAMENTOS DIÁRIOS'!$P$5:$P$500,"&gt;=109400")&gt;0,"X","")</f>
      </c>
      <c r="AP75" s="56" t="str">
        <f>IF(COUNTIFS('LANÇAMENTOS DIÁRIOS'!$G$5:$G$500,"E",'LANÇAMENTOS DIÁRIOS'!$C$5:$C$500,$A75,'LANÇAMENTOS DIÁRIOS'!$O$5:$O$500,"&lt;=109599",'LANÇAMENTOS DIÁRIOS'!$P$5:$P$500,"&gt;=109500")&gt;0,"X","")</f>
      </c>
      <c r="AQ75" s="56" t="str">
        <f>IF(COUNTIFS('LANÇAMENTOS DIÁRIOS'!$G$5:$G$500,"E",'LANÇAMENTOS DIÁRIOS'!$C$5:$C$500,$A75,'LANÇAMENTOS DIÁRIOS'!$O$5:$O$500,"&lt;=109699",'LANÇAMENTOS DIÁRIOS'!$P$5:$P$500,"&gt;=109600")&gt;0,"X","")</f>
      </c>
      <c r="AR75" s="56" t="str">
        <f>IF(COUNTIFS('LANÇAMENTOS DIÁRIOS'!$G$5:$G$500,"E",'LANÇAMENTOS DIÁRIOS'!$C$5:$C$500,$A75,'LANÇAMENTOS DIÁRIOS'!$O$5:$O$500,"&lt;=109799",'LANÇAMENTOS DIÁRIOS'!$P$5:$P$500,"&gt;=109700")&gt;0,"X","")</f>
      </c>
      <c r="AS75" s="56" t="str">
        <f>IF(COUNTIFS('LANÇAMENTOS DIÁRIOS'!$G$5:$G$500,"E",'LANÇAMENTOS DIÁRIOS'!$C$5:$C$500,$A75,'LANÇAMENTOS DIÁRIOS'!$O$5:$O$500,"&lt;=109899",'LANÇAMENTOS DIÁRIOS'!$P$5:$P$500,"&gt;=109800")&gt;0,"X","")</f>
      </c>
      <c r="AT75" s="56" t="str">
        <f>IF(COUNTIFS('LANÇAMENTOS DIÁRIOS'!$G$5:$G$500,"E",'LANÇAMENTOS DIÁRIOS'!$C$5:$C$500,$A75,'LANÇAMENTOS DIÁRIOS'!$O$5:$O$500,"&lt;=109999",'LANÇAMENTOS DIÁRIOS'!$P$5:$P$500,"&gt;=109900")&gt;0,"X","")</f>
      </c>
      <c r="AU75" s="56" t="str">
        <f>IF(COUNTIFS('LANÇAMENTOS DIÁRIOS'!$G$5:$G$500,"E",'LANÇAMENTOS DIÁRIOS'!$C$5:$C$500,$A75,'LANÇAMENTOS DIÁRIOS'!$O$5:$O$500,"&lt;=110099",'LANÇAMENTOS DIÁRIOS'!$P$5:$P$500,"&gt;=110000")&gt;0,"X","")</f>
      </c>
      <c r="AV75" s="56" t="str">
        <f>IF(COUNTIFS('LANÇAMENTOS DIÁRIOS'!$G$5:$G$500,"E",'LANÇAMENTOS DIÁRIOS'!$C$5:$C$500,$A75,'LANÇAMENTOS DIÁRIOS'!$O$5:$O$500,"&lt;=110199",'LANÇAMENTOS DIÁRIOS'!$P$5:$P$500,"&gt;=110100")&gt;0,"X","")</f>
      </c>
      <c r="AW75" s="56" t="str">
        <f>IF(COUNTIFS('LANÇAMENTOS DIÁRIOS'!$G$5:$G$500,"E",'LANÇAMENTOS DIÁRIOS'!$C$5:$C$500,$A75,'LANÇAMENTOS DIÁRIOS'!$O$5:$O$500,"&lt;=110299",'LANÇAMENTOS DIÁRIOS'!$P$5:$P$500,"&gt;=110200")&gt;0,"X","")</f>
      </c>
      <c r="AX75" s="56" t="str">
        <f>IF(COUNTIFS('LANÇAMENTOS DIÁRIOS'!$G$5:$G$500,"E",'LANÇAMENTOS DIÁRIOS'!$C$5:$C$500,$A75,'LANÇAMENTOS DIÁRIOS'!$O$5:$O$500,"&lt;=110399",'LANÇAMENTOS DIÁRIOS'!$P$5:$P$500,"&gt;=110300")&gt;0,"X","")</f>
      </c>
      <c r="AY75" s="56" t="str">
        <f>IF(COUNTIFS('LANÇAMENTOS DIÁRIOS'!$G$5:$G$500,"E",'LANÇAMENTOS DIÁRIOS'!$C$5:$C$500,$A75,'LANÇAMENTOS DIÁRIOS'!$O$5:$O$500,"&lt;=110499",'LANÇAMENTOS DIÁRIOS'!$P$5:$P$500,"&gt;=110400")&gt;0,"X","")</f>
      </c>
      <c r="AZ75" s="56" t="str">
        <f>IF(COUNTIFS('LANÇAMENTOS DIÁRIOS'!$G$5:$G$500,"E",'LANÇAMENTOS DIÁRIOS'!$C$5:$C$500,$A75,'LANÇAMENTOS DIÁRIOS'!$O$5:$O$500,"&lt;=110599",'LANÇAMENTOS DIÁRIOS'!$P$5:$P$500,"&gt;=110500")&gt;0,"X","")</f>
      </c>
      <c r="BA75" s="56" t="str">
        <f>IF(COUNTIFS('LANÇAMENTOS DIÁRIOS'!$G$5:$G$500,"E",'LANÇAMENTOS DIÁRIOS'!$C$5:$C$500,$A75,'LANÇAMENTOS DIÁRIOS'!$O$5:$O$500,"&lt;=110699",'LANÇAMENTOS DIÁRIOS'!$P$5:$P$500,"&gt;=110600")&gt;0,"X","")</f>
      </c>
      <c r="BB75" s="56" t="str">
        <f>IF(COUNTIFS('LANÇAMENTOS DIÁRIOS'!$G$5:$G$500,"E",'LANÇAMENTOS DIÁRIOS'!$C$5:$C$500,$A75,'LANÇAMENTOS DIÁRIOS'!$O$5:$O$500,"&lt;=110799",'LANÇAMENTOS DIÁRIOS'!$P$5:$P$500,"&gt;=110700")&gt;0,"X","")</f>
      </c>
      <c r="BC75" s="56" t="str">
        <f>IF(COUNTIFS('LANÇAMENTOS DIÁRIOS'!$G$5:$G$500,"E",'LANÇAMENTOS DIÁRIOS'!$C$5:$C$500,$A75,'LANÇAMENTOS DIÁRIOS'!$O$5:$O$500,"&lt;=110899",'LANÇAMENTOS DIÁRIOS'!$P$5:$P$500,"&gt;=110800")&gt;0,"X","")</f>
      </c>
      <c r="BD75" s="56" t="str">
        <f>IF(COUNTIFS('LANÇAMENTOS DIÁRIOS'!$G$5:$G$500,"E",'LANÇAMENTOS DIÁRIOS'!$C$5:$C$500,$A75,'LANÇAMENTOS DIÁRIOS'!$O$5:$O$500,"&lt;=110999",'LANÇAMENTOS DIÁRIOS'!$P$5:$P$500,"&gt;=110900")&gt;0,"X","")</f>
      </c>
      <c r="BE75" s="56" t="str">
        <f>IF(COUNTIFS('LANÇAMENTOS DIÁRIOS'!$G$5:$G$500,"E",'LANÇAMENTOS DIÁRIOS'!$C$5:$C$500,$A75,'LANÇAMENTOS DIÁRIOS'!$O$5:$O$500,"&lt;=111099",'LANÇAMENTOS DIÁRIOS'!$P$5:$P$500,"&gt;=111000")&gt;0,"X","")</f>
      </c>
      <c r="BF75" s="56" t="str">
        <f>IF(COUNTIFS('LANÇAMENTOS DIÁRIOS'!$G$5:$G$500,"E",'LANÇAMENTOS DIÁRIOS'!$C$5:$C$500,$A75,'LANÇAMENTOS DIÁRIOS'!$O$5:$O$500,"&lt;=111199",'LANÇAMENTOS DIÁRIOS'!$P$5:$P$500,"&gt;=111100")&gt;0,"X","")</f>
      </c>
      <c r="BG75" s="56" t="str">
        <f>IF(COUNTIFS('LANÇAMENTOS DIÁRIOS'!$G$5:$G$500,"E",'LANÇAMENTOS DIÁRIOS'!$C$5:$C$500,$A75,'LANÇAMENTOS DIÁRIOS'!$O$5:$O$500,"&lt;=111299",'LANÇAMENTOS DIÁRIOS'!$P$5:$P$500,"&gt;=111200")&gt;0,"X","")</f>
      </c>
      <c r="BH75" s="56" t="str">
        <f>IF(COUNTIFS('LANÇAMENTOS DIÁRIOS'!$G$5:$G$500,"E",'LANÇAMENTOS DIÁRIOS'!$C$5:$C$500,$A75,'LANÇAMENTOS DIÁRIOS'!$O$5:$O$500,"&lt;=111399",'LANÇAMENTOS DIÁRIOS'!$P$5:$P$500,"&gt;=111300")&gt;0,"X","")</f>
      </c>
      <c r="BI75" s="56" t="str">
        <f>IF(COUNTIFS('LANÇAMENTOS DIÁRIOS'!$G$5:$G$500,"E",'LANÇAMENTOS DIÁRIOS'!$C$5:$C$500,$A75,'LANÇAMENTOS DIÁRIOS'!$O$5:$O$500,"&lt;=111499",'LANÇAMENTOS DIÁRIOS'!$P$5:$P$500,"&gt;=111400")&gt;0,"X","")</f>
      </c>
      <c r="BJ75" s="56" t="str">
        <f>IF(COUNTIFS('LANÇAMENTOS DIÁRIOS'!$G$5:$G$500,"E",'LANÇAMENTOS DIÁRIOS'!$C$5:$C$500,$A75,'LANÇAMENTOS DIÁRIOS'!$O$5:$O$500,"&lt;=111500",'LANÇAMENTOS DIÁRIOS'!$P$5:$P$500,"&gt;=111500")&gt;0,"X","")</f>
      </c>
    </row>
    <row r="76">
      <c r="A76" s="51" t="str">
        <v>Demolição de pavimento, camada granular</v>
      </c>
      <c r="B76" s="56" t="str">
        <f>IF(COUNTIFS('LANÇAMENTOS DIÁRIOS'!$G$5:$G$500,"E",'LANÇAMENTOS DIÁRIOS'!$C$5:$C$500,$A76,'LANÇAMENTOS DIÁRIOS'!$O$5:$O$500,"&lt;=105599",'LANÇAMENTOS DIÁRIOS'!$P$5:$P$500,"&gt;=105500")&gt;0,"X","")</f>
      </c>
      <c r="C76" s="56" t="str">
        <f>IF(COUNTIFS('LANÇAMENTOS DIÁRIOS'!$G$5:$G$500,"E",'LANÇAMENTOS DIÁRIOS'!$C$5:$C$500,$A76,'LANÇAMENTOS DIÁRIOS'!$O$5:$O$500,"&lt;=105699",'LANÇAMENTOS DIÁRIOS'!$P$5:$P$500,"&gt;=105600")&gt;0,"X","")</f>
      </c>
      <c r="D76" s="56" t="str">
        <f>IF(COUNTIFS('LANÇAMENTOS DIÁRIOS'!$G$5:$G$500,"E",'LANÇAMENTOS DIÁRIOS'!$C$5:$C$500,$A76,'LANÇAMENTOS DIÁRIOS'!$O$5:$O$500,"&lt;=105799",'LANÇAMENTOS DIÁRIOS'!$P$5:$P$500,"&gt;=105700")&gt;0,"X","")</f>
      </c>
      <c r="E76" s="56" t="str">
        <f>IF(COUNTIFS('LANÇAMENTOS DIÁRIOS'!$G$5:$G$500,"E",'LANÇAMENTOS DIÁRIOS'!$C$5:$C$500,$A76,'LANÇAMENTOS DIÁRIOS'!$O$5:$O$500,"&lt;=105899",'LANÇAMENTOS DIÁRIOS'!$P$5:$P$500,"&gt;=105800")&gt;0,"X","")</f>
      </c>
      <c r="F76" s="56" t="str">
        <f>IF(COUNTIFS('LANÇAMENTOS DIÁRIOS'!$G$5:$G$500,"E",'LANÇAMENTOS DIÁRIOS'!$C$5:$C$500,$A76,'LANÇAMENTOS DIÁRIOS'!$O$5:$O$500,"&lt;=105999",'LANÇAMENTOS DIÁRIOS'!$P$5:$P$500,"&gt;=105900")&gt;0,"X","")</f>
      </c>
      <c r="G76" s="56" t="str">
        <f>IF(COUNTIFS('LANÇAMENTOS DIÁRIOS'!$G$5:$G$500,"E",'LANÇAMENTOS DIÁRIOS'!$C$5:$C$500,$A76,'LANÇAMENTOS DIÁRIOS'!$O$5:$O$500,"&lt;=106099",'LANÇAMENTOS DIÁRIOS'!$P$5:$P$500,"&gt;=106000")&gt;0,"X","")</f>
      </c>
      <c r="H76" s="56" t="str">
        <f>IF(COUNTIFS('LANÇAMENTOS DIÁRIOS'!$G$5:$G$500,"E",'LANÇAMENTOS DIÁRIOS'!$C$5:$C$500,$A76,'LANÇAMENTOS DIÁRIOS'!$O$5:$O$500,"&lt;=106199",'LANÇAMENTOS DIÁRIOS'!$P$5:$P$500,"&gt;=106100")&gt;0,"X","")</f>
      </c>
      <c r="I76" s="56" t="str">
        <f>IF(COUNTIFS('LANÇAMENTOS DIÁRIOS'!$G$5:$G$500,"E",'LANÇAMENTOS DIÁRIOS'!$C$5:$C$500,$A76,'LANÇAMENTOS DIÁRIOS'!$O$5:$O$500,"&lt;=106299",'LANÇAMENTOS DIÁRIOS'!$P$5:$P$500,"&gt;=106200")&gt;0,"X","")</f>
      </c>
      <c r="J76" s="56" t="str">
        <f>IF(COUNTIFS('LANÇAMENTOS DIÁRIOS'!$G$5:$G$500,"E",'LANÇAMENTOS DIÁRIOS'!$C$5:$C$500,$A76,'LANÇAMENTOS DIÁRIOS'!$O$5:$O$500,"&lt;=106399",'LANÇAMENTOS DIÁRIOS'!$P$5:$P$500,"&gt;=106300")&gt;0,"X","")</f>
      </c>
      <c r="K76" s="56" t="str">
        <f>IF(COUNTIFS('LANÇAMENTOS DIÁRIOS'!$G$5:$G$500,"E",'LANÇAMENTOS DIÁRIOS'!$C$5:$C$500,$A76,'LANÇAMENTOS DIÁRIOS'!$O$5:$O$500,"&lt;=106499",'LANÇAMENTOS DIÁRIOS'!$P$5:$P$500,"&gt;=106400")&gt;0,"X","")</f>
      </c>
      <c r="L76" s="56" t="str">
        <f>IF(COUNTIFS('LANÇAMENTOS DIÁRIOS'!$G$5:$G$500,"E",'LANÇAMENTOS DIÁRIOS'!$C$5:$C$500,$A76,'LANÇAMENTOS DIÁRIOS'!$O$5:$O$500,"&lt;=106599",'LANÇAMENTOS DIÁRIOS'!$P$5:$P$500,"&gt;=106500")&gt;0,"X","")</f>
      </c>
      <c r="M76" s="56" t="str">
        <f>IF(COUNTIFS('LANÇAMENTOS DIÁRIOS'!$G$5:$G$500,"E",'LANÇAMENTOS DIÁRIOS'!$C$5:$C$500,$A76,'LANÇAMENTOS DIÁRIOS'!$O$5:$O$500,"&lt;=106699",'LANÇAMENTOS DIÁRIOS'!$P$5:$P$500,"&gt;=106600")&gt;0,"X","")</f>
      </c>
      <c r="N76" s="56" t="str">
        <f>IF(COUNTIFS('LANÇAMENTOS DIÁRIOS'!$G$5:$G$500,"E",'LANÇAMENTOS DIÁRIOS'!$C$5:$C$500,$A76,'LANÇAMENTOS DIÁRIOS'!$O$5:$O$500,"&lt;=106799",'LANÇAMENTOS DIÁRIOS'!$P$5:$P$500,"&gt;=106700")&gt;0,"X","")</f>
      </c>
      <c r="O76" s="56" t="str">
        <f>IF(COUNTIFS('LANÇAMENTOS DIÁRIOS'!$G$5:$G$500,"E",'LANÇAMENTOS DIÁRIOS'!$C$5:$C$500,$A76,'LANÇAMENTOS DIÁRIOS'!$O$5:$O$500,"&lt;=106899",'LANÇAMENTOS DIÁRIOS'!$P$5:$P$500,"&gt;=106800")&gt;0,"X","")</f>
      </c>
      <c r="P76" s="56" t="str">
        <f>IF(COUNTIFS('LANÇAMENTOS DIÁRIOS'!$G$5:$G$500,"E",'LANÇAMENTOS DIÁRIOS'!$C$5:$C$500,$A76,'LANÇAMENTOS DIÁRIOS'!$O$5:$O$500,"&lt;=106999",'LANÇAMENTOS DIÁRIOS'!$P$5:$P$500,"&gt;=106900")&gt;0,"X","")</f>
      </c>
      <c r="Q76" s="56" t="str">
        <f>IF(COUNTIFS('LANÇAMENTOS DIÁRIOS'!$G$5:$G$500,"E",'LANÇAMENTOS DIÁRIOS'!$C$5:$C$500,$A76,'LANÇAMENTOS DIÁRIOS'!$O$5:$O$500,"&lt;=107099",'LANÇAMENTOS DIÁRIOS'!$P$5:$P$500,"&gt;=107000")&gt;0,"X","")</f>
      </c>
      <c r="R76" s="56" t="str">
        <f>IF(COUNTIFS('LANÇAMENTOS DIÁRIOS'!$G$5:$G$500,"E",'LANÇAMENTOS DIÁRIOS'!$C$5:$C$500,$A76,'LANÇAMENTOS DIÁRIOS'!$O$5:$O$500,"&lt;=107199",'LANÇAMENTOS DIÁRIOS'!$P$5:$P$500,"&gt;=107100")&gt;0,"X","")</f>
      </c>
      <c r="S76" s="56" t="str">
        <f>IF(COUNTIFS('LANÇAMENTOS DIÁRIOS'!$G$5:$G$500,"E",'LANÇAMENTOS DIÁRIOS'!$C$5:$C$500,$A76,'LANÇAMENTOS DIÁRIOS'!$O$5:$O$500,"&lt;=107299",'LANÇAMENTOS DIÁRIOS'!$P$5:$P$500,"&gt;=107200")&gt;0,"X","")</f>
      </c>
      <c r="T76" s="56" t="str">
        <f>IF(COUNTIFS('LANÇAMENTOS DIÁRIOS'!$G$5:$G$500,"E",'LANÇAMENTOS DIÁRIOS'!$C$5:$C$500,$A76,'LANÇAMENTOS DIÁRIOS'!$O$5:$O$500,"&lt;=107399",'LANÇAMENTOS DIÁRIOS'!$P$5:$P$500,"&gt;=107300")&gt;0,"X","")</f>
      </c>
      <c r="U76" s="56" t="str">
        <f>IF(COUNTIFS('LANÇAMENTOS DIÁRIOS'!$G$5:$G$500,"E",'LANÇAMENTOS DIÁRIOS'!$C$5:$C$500,$A76,'LANÇAMENTOS DIÁRIOS'!$O$5:$O$500,"&lt;=107499",'LANÇAMENTOS DIÁRIOS'!$P$5:$P$500,"&gt;=107400")&gt;0,"X","")</f>
      </c>
      <c r="V76" s="56" t="str">
        <f>IF(COUNTIFS('LANÇAMENTOS DIÁRIOS'!$G$5:$G$500,"E",'LANÇAMENTOS DIÁRIOS'!$C$5:$C$500,$A76,'LANÇAMENTOS DIÁRIOS'!$O$5:$O$500,"&lt;=107599",'LANÇAMENTOS DIÁRIOS'!$P$5:$P$500,"&gt;=107500")&gt;0,"X","")</f>
      </c>
      <c r="W76" s="56" t="str">
        <f>IF(COUNTIFS('LANÇAMENTOS DIÁRIOS'!$G$5:$G$500,"E",'LANÇAMENTOS DIÁRIOS'!$C$5:$C$500,$A76,'LANÇAMENTOS DIÁRIOS'!$O$5:$O$500,"&lt;=107699",'LANÇAMENTOS DIÁRIOS'!$P$5:$P$500,"&gt;=107600")&gt;0,"X","")</f>
      </c>
      <c r="X76" s="56" t="str">
        <f>IF(COUNTIFS('LANÇAMENTOS DIÁRIOS'!$G$5:$G$500,"E",'LANÇAMENTOS DIÁRIOS'!$C$5:$C$500,$A76,'LANÇAMENTOS DIÁRIOS'!$O$5:$O$500,"&lt;=107799",'LANÇAMENTOS DIÁRIOS'!$P$5:$P$500,"&gt;=107700")&gt;0,"X","")</f>
      </c>
      <c r="Y76" s="56" t="str">
        <f>IF(COUNTIFS('LANÇAMENTOS DIÁRIOS'!$G$5:$G$500,"E",'LANÇAMENTOS DIÁRIOS'!$C$5:$C$500,$A76,'LANÇAMENTOS DIÁRIOS'!$O$5:$O$500,"&lt;=107899",'LANÇAMENTOS DIÁRIOS'!$P$5:$P$500,"&gt;=107800")&gt;0,"X","")</f>
      </c>
      <c r="Z76" s="56" t="str">
        <f>IF(COUNTIFS('LANÇAMENTOS DIÁRIOS'!$G$5:$G$500,"E",'LANÇAMENTOS DIÁRIOS'!$C$5:$C$500,$A76,'LANÇAMENTOS DIÁRIOS'!$O$5:$O$500,"&lt;=107999",'LANÇAMENTOS DIÁRIOS'!$P$5:$P$500,"&gt;=107900")&gt;0,"X","")</f>
      </c>
      <c r="AA76" s="56" t="str">
        <f>IF(COUNTIFS('LANÇAMENTOS DIÁRIOS'!$G$5:$G$500,"E",'LANÇAMENTOS DIÁRIOS'!$C$5:$C$500,$A76,'LANÇAMENTOS DIÁRIOS'!$O$5:$O$500,"&lt;=108099",'LANÇAMENTOS DIÁRIOS'!$P$5:$P$500,"&gt;=108000")&gt;0,"X","")</f>
      </c>
      <c r="AB76" s="56" t="str">
        <f>IF(COUNTIFS('LANÇAMENTOS DIÁRIOS'!$G$5:$G$500,"E",'LANÇAMENTOS DIÁRIOS'!$C$5:$C$500,$A76,'LANÇAMENTOS DIÁRIOS'!$O$5:$O$500,"&lt;=108199",'LANÇAMENTOS DIÁRIOS'!$P$5:$P$500,"&gt;=108100")&gt;0,"X","")</f>
      </c>
      <c r="AC76" s="56" t="str">
        <f>IF(COUNTIFS('LANÇAMENTOS DIÁRIOS'!$G$5:$G$500,"E",'LANÇAMENTOS DIÁRIOS'!$C$5:$C$500,$A76,'LANÇAMENTOS DIÁRIOS'!$O$5:$O$500,"&lt;=108299",'LANÇAMENTOS DIÁRIOS'!$P$5:$P$500,"&gt;=108200")&gt;0,"X","")</f>
      </c>
      <c r="AD76" s="56" t="str">
        <f>IF(COUNTIFS('LANÇAMENTOS DIÁRIOS'!$G$5:$G$500,"E",'LANÇAMENTOS DIÁRIOS'!$C$5:$C$500,$A76,'LANÇAMENTOS DIÁRIOS'!$O$5:$O$500,"&lt;=108399",'LANÇAMENTOS DIÁRIOS'!$P$5:$P$500,"&gt;=108300")&gt;0,"X","")</f>
      </c>
      <c r="AE76" s="56" t="str">
        <f>IF(COUNTIFS('LANÇAMENTOS DIÁRIOS'!$G$5:$G$500,"E",'LANÇAMENTOS DIÁRIOS'!$C$5:$C$500,$A76,'LANÇAMENTOS DIÁRIOS'!$O$5:$O$500,"&lt;=108499",'LANÇAMENTOS DIÁRIOS'!$P$5:$P$500,"&gt;=108400")&gt;0,"X","")</f>
      </c>
      <c r="AF76" s="56" t="str">
        <f>IF(COUNTIFS('LANÇAMENTOS DIÁRIOS'!$G$5:$G$500,"E",'LANÇAMENTOS DIÁRIOS'!$C$5:$C$500,$A76,'LANÇAMENTOS DIÁRIOS'!$O$5:$O$500,"&lt;=108599",'LANÇAMENTOS DIÁRIOS'!$P$5:$P$500,"&gt;=108500")&gt;0,"X","")</f>
      </c>
      <c r="AG76" s="56" t="str">
        <f>IF(COUNTIFS('LANÇAMENTOS DIÁRIOS'!$G$5:$G$500,"E",'LANÇAMENTOS DIÁRIOS'!$C$5:$C$500,$A76,'LANÇAMENTOS DIÁRIOS'!$O$5:$O$500,"&lt;=108699",'LANÇAMENTOS DIÁRIOS'!$P$5:$P$500,"&gt;=108600")&gt;0,"X","")</f>
      </c>
      <c r="AH76" s="56" t="str">
        <f>IF(COUNTIFS('LANÇAMENTOS DIÁRIOS'!$G$5:$G$500,"E",'LANÇAMENTOS DIÁRIOS'!$C$5:$C$500,$A76,'LANÇAMENTOS DIÁRIOS'!$O$5:$O$500,"&lt;=108799",'LANÇAMENTOS DIÁRIOS'!$P$5:$P$500,"&gt;=108700")&gt;0,"X","")</f>
      </c>
      <c r="AI76" s="56" t="str">
        <f>IF(COUNTIFS('LANÇAMENTOS DIÁRIOS'!$G$5:$G$500,"E",'LANÇAMENTOS DIÁRIOS'!$C$5:$C$500,$A76,'LANÇAMENTOS DIÁRIOS'!$O$5:$O$500,"&lt;=108899",'LANÇAMENTOS DIÁRIOS'!$P$5:$P$500,"&gt;=108800")&gt;0,"X","")</f>
      </c>
      <c r="AJ76" s="56" t="str">
        <f>IF(COUNTIFS('LANÇAMENTOS DIÁRIOS'!$G$5:$G$500,"E",'LANÇAMENTOS DIÁRIOS'!$C$5:$C$500,$A76,'LANÇAMENTOS DIÁRIOS'!$O$5:$O$500,"&lt;=108999",'LANÇAMENTOS DIÁRIOS'!$P$5:$P$500,"&gt;=108900")&gt;0,"X","")</f>
      </c>
      <c r="AK76" s="56" t="str">
        <f>IF(COUNTIFS('LANÇAMENTOS DIÁRIOS'!$G$5:$G$500,"E",'LANÇAMENTOS DIÁRIOS'!$C$5:$C$500,$A76,'LANÇAMENTOS DIÁRIOS'!$O$5:$O$500,"&lt;=109099",'LANÇAMENTOS DIÁRIOS'!$P$5:$P$500,"&gt;=109000")&gt;0,"X","")</f>
      </c>
      <c r="AL76" s="56" t="str">
        <f>IF(COUNTIFS('LANÇAMENTOS DIÁRIOS'!$G$5:$G$500,"E",'LANÇAMENTOS DIÁRIOS'!$C$5:$C$500,$A76,'LANÇAMENTOS DIÁRIOS'!$O$5:$O$500,"&lt;=109199",'LANÇAMENTOS DIÁRIOS'!$P$5:$P$500,"&gt;=109100")&gt;0,"X","")</f>
      </c>
      <c r="AM76" s="56" t="str">
        <f>IF(COUNTIFS('LANÇAMENTOS DIÁRIOS'!$G$5:$G$500,"E",'LANÇAMENTOS DIÁRIOS'!$C$5:$C$500,$A76,'LANÇAMENTOS DIÁRIOS'!$O$5:$O$500,"&lt;=109299",'LANÇAMENTOS DIÁRIOS'!$P$5:$P$500,"&gt;=109200")&gt;0,"X","")</f>
      </c>
      <c r="AN76" s="56" t="str">
        <f>IF(COUNTIFS('LANÇAMENTOS DIÁRIOS'!$G$5:$G$500,"E",'LANÇAMENTOS DIÁRIOS'!$C$5:$C$500,$A76,'LANÇAMENTOS DIÁRIOS'!$O$5:$O$500,"&lt;=109399",'LANÇAMENTOS DIÁRIOS'!$P$5:$P$500,"&gt;=109300")&gt;0,"X","")</f>
      </c>
      <c r="AO76" s="56" t="str">
        <f>IF(COUNTIFS('LANÇAMENTOS DIÁRIOS'!$G$5:$G$500,"E",'LANÇAMENTOS DIÁRIOS'!$C$5:$C$500,$A76,'LANÇAMENTOS DIÁRIOS'!$O$5:$O$500,"&lt;=109499",'LANÇAMENTOS DIÁRIOS'!$P$5:$P$500,"&gt;=109400")&gt;0,"X","")</f>
      </c>
      <c r="AP76" s="56" t="str">
        <f>IF(COUNTIFS('LANÇAMENTOS DIÁRIOS'!$G$5:$G$500,"E",'LANÇAMENTOS DIÁRIOS'!$C$5:$C$500,$A76,'LANÇAMENTOS DIÁRIOS'!$O$5:$O$500,"&lt;=109599",'LANÇAMENTOS DIÁRIOS'!$P$5:$P$500,"&gt;=109500")&gt;0,"X","")</f>
      </c>
      <c r="AQ76" s="56" t="str">
        <f>IF(COUNTIFS('LANÇAMENTOS DIÁRIOS'!$G$5:$G$500,"E",'LANÇAMENTOS DIÁRIOS'!$C$5:$C$500,$A76,'LANÇAMENTOS DIÁRIOS'!$O$5:$O$500,"&lt;=109699",'LANÇAMENTOS DIÁRIOS'!$P$5:$P$500,"&gt;=109600")&gt;0,"X","")</f>
      </c>
      <c r="AR76" s="56" t="str">
        <f>IF(COUNTIFS('LANÇAMENTOS DIÁRIOS'!$G$5:$G$500,"E",'LANÇAMENTOS DIÁRIOS'!$C$5:$C$500,$A76,'LANÇAMENTOS DIÁRIOS'!$O$5:$O$500,"&lt;=109799",'LANÇAMENTOS DIÁRIOS'!$P$5:$P$500,"&gt;=109700")&gt;0,"X","")</f>
      </c>
      <c r="AS76" s="56" t="str">
        <f>IF(COUNTIFS('LANÇAMENTOS DIÁRIOS'!$G$5:$G$500,"E",'LANÇAMENTOS DIÁRIOS'!$C$5:$C$500,$A76,'LANÇAMENTOS DIÁRIOS'!$O$5:$O$500,"&lt;=109899",'LANÇAMENTOS DIÁRIOS'!$P$5:$P$500,"&gt;=109800")&gt;0,"X","")</f>
      </c>
      <c r="AT76" s="56" t="str">
        <f>IF(COUNTIFS('LANÇAMENTOS DIÁRIOS'!$G$5:$G$500,"E",'LANÇAMENTOS DIÁRIOS'!$C$5:$C$500,$A76,'LANÇAMENTOS DIÁRIOS'!$O$5:$O$500,"&lt;=109999",'LANÇAMENTOS DIÁRIOS'!$P$5:$P$500,"&gt;=109900")&gt;0,"X","")</f>
      </c>
      <c r="AU76" s="56" t="str">
        <f>IF(COUNTIFS('LANÇAMENTOS DIÁRIOS'!$G$5:$G$500,"E",'LANÇAMENTOS DIÁRIOS'!$C$5:$C$500,$A76,'LANÇAMENTOS DIÁRIOS'!$O$5:$O$500,"&lt;=110099",'LANÇAMENTOS DIÁRIOS'!$P$5:$P$500,"&gt;=110000")&gt;0,"X","")</f>
      </c>
      <c r="AV76" s="56" t="str">
        <f>IF(COUNTIFS('LANÇAMENTOS DIÁRIOS'!$G$5:$G$500,"E",'LANÇAMENTOS DIÁRIOS'!$C$5:$C$500,$A76,'LANÇAMENTOS DIÁRIOS'!$O$5:$O$500,"&lt;=110199",'LANÇAMENTOS DIÁRIOS'!$P$5:$P$500,"&gt;=110100")&gt;0,"X","")</f>
      </c>
      <c r="AW76" s="56" t="str">
        <f>IF(COUNTIFS('LANÇAMENTOS DIÁRIOS'!$G$5:$G$500,"E",'LANÇAMENTOS DIÁRIOS'!$C$5:$C$500,$A76,'LANÇAMENTOS DIÁRIOS'!$O$5:$O$500,"&lt;=110299",'LANÇAMENTOS DIÁRIOS'!$P$5:$P$500,"&gt;=110200")&gt;0,"X","")</f>
      </c>
      <c r="AX76" s="56" t="str">
        <f>IF(COUNTIFS('LANÇAMENTOS DIÁRIOS'!$G$5:$G$500,"E",'LANÇAMENTOS DIÁRIOS'!$C$5:$C$500,$A76,'LANÇAMENTOS DIÁRIOS'!$O$5:$O$500,"&lt;=110399",'LANÇAMENTOS DIÁRIOS'!$P$5:$P$500,"&gt;=110300")&gt;0,"X","")</f>
      </c>
      <c r="AY76" s="56" t="str">
        <f>IF(COUNTIFS('LANÇAMENTOS DIÁRIOS'!$G$5:$G$500,"E",'LANÇAMENTOS DIÁRIOS'!$C$5:$C$500,$A76,'LANÇAMENTOS DIÁRIOS'!$O$5:$O$500,"&lt;=110499",'LANÇAMENTOS DIÁRIOS'!$P$5:$P$500,"&gt;=110400")&gt;0,"X","")</f>
      </c>
      <c r="AZ76" s="56" t="str">
        <f>IF(COUNTIFS('LANÇAMENTOS DIÁRIOS'!$G$5:$G$500,"E",'LANÇAMENTOS DIÁRIOS'!$C$5:$C$500,$A76,'LANÇAMENTOS DIÁRIOS'!$O$5:$O$500,"&lt;=110599",'LANÇAMENTOS DIÁRIOS'!$P$5:$P$500,"&gt;=110500")&gt;0,"X","")</f>
      </c>
      <c r="BA76" s="56" t="str">
        <f>IF(COUNTIFS('LANÇAMENTOS DIÁRIOS'!$G$5:$G$500,"E",'LANÇAMENTOS DIÁRIOS'!$C$5:$C$500,$A76,'LANÇAMENTOS DIÁRIOS'!$O$5:$O$500,"&lt;=110699",'LANÇAMENTOS DIÁRIOS'!$P$5:$P$500,"&gt;=110600")&gt;0,"X","")</f>
      </c>
      <c r="BB76" s="56" t="str">
        <f>IF(COUNTIFS('LANÇAMENTOS DIÁRIOS'!$G$5:$G$500,"E",'LANÇAMENTOS DIÁRIOS'!$C$5:$C$500,$A76,'LANÇAMENTOS DIÁRIOS'!$O$5:$O$500,"&lt;=110799",'LANÇAMENTOS DIÁRIOS'!$P$5:$P$500,"&gt;=110700")&gt;0,"X","")</f>
      </c>
      <c r="BC76" s="56" t="str">
        <f>IF(COUNTIFS('LANÇAMENTOS DIÁRIOS'!$G$5:$G$500,"E",'LANÇAMENTOS DIÁRIOS'!$C$5:$C$500,$A76,'LANÇAMENTOS DIÁRIOS'!$O$5:$O$500,"&lt;=110899",'LANÇAMENTOS DIÁRIOS'!$P$5:$P$500,"&gt;=110800")&gt;0,"X","")</f>
      </c>
      <c r="BD76" s="56" t="str">
        <f>IF(COUNTIFS('LANÇAMENTOS DIÁRIOS'!$G$5:$G$500,"E",'LANÇAMENTOS DIÁRIOS'!$C$5:$C$500,$A76,'LANÇAMENTOS DIÁRIOS'!$O$5:$O$500,"&lt;=110999",'LANÇAMENTOS DIÁRIOS'!$P$5:$P$500,"&gt;=110900")&gt;0,"X","")</f>
      </c>
      <c r="BE76" s="56" t="str">
        <f>IF(COUNTIFS('LANÇAMENTOS DIÁRIOS'!$G$5:$G$500,"E",'LANÇAMENTOS DIÁRIOS'!$C$5:$C$500,$A76,'LANÇAMENTOS DIÁRIOS'!$O$5:$O$500,"&lt;=111099",'LANÇAMENTOS DIÁRIOS'!$P$5:$P$500,"&gt;=111000")&gt;0,"X","")</f>
      </c>
      <c r="BF76" s="56" t="str">
        <f>IF(COUNTIFS('LANÇAMENTOS DIÁRIOS'!$G$5:$G$500,"E",'LANÇAMENTOS DIÁRIOS'!$C$5:$C$500,$A76,'LANÇAMENTOS DIÁRIOS'!$O$5:$O$500,"&lt;=111199",'LANÇAMENTOS DIÁRIOS'!$P$5:$P$500,"&gt;=111100")&gt;0,"X","")</f>
      </c>
      <c r="BG76" s="56" t="str">
        <f>IF(COUNTIFS('LANÇAMENTOS DIÁRIOS'!$G$5:$G$500,"E",'LANÇAMENTOS DIÁRIOS'!$C$5:$C$500,$A76,'LANÇAMENTOS DIÁRIOS'!$O$5:$O$500,"&lt;=111299",'LANÇAMENTOS DIÁRIOS'!$P$5:$P$500,"&gt;=111200")&gt;0,"X","")</f>
      </c>
      <c r="BH76" s="56" t="str">
        <f>IF(COUNTIFS('LANÇAMENTOS DIÁRIOS'!$G$5:$G$500,"E",'LANÇAMENTOS DIÁRIOS'!$C$5:$C$500,$A76,'LANÇAMENTOS DIÁRIOS'!$O$5:$O$500,"&lt;=111399",'LANÇAMENTOS DIÁRIOS'!$P$5:$P$500,"&gt;=111300")&gt;0,"X","")</f>
      </c>
      <c r="BI76" s="56" t="str">
        <f>IF(COUNTIFS('LANÇAMENTOS DIÁRIOS'!$G$5:$G$500,"E",'LANÇAMENTOS DIÁRIOS'!$C$5:$C$500,$A76,'LANÇAMENTOS DIÁRIOS'!$O$5:$O$500,"&lt;=111499",'LANÇAMENTOS DIÁRIOS'!$P$5:$P$500,"&gt;=111400")&gt;0,"X","")</f>
      </c>
      <c r="BJ76" s="56" t="str">
        <f>IF(COUNTIFS('LANÇAMENTOS DIÁRIOS'!$G$5:$G$500,"E",'LANÇAMENTOS DIÁRIOS'!$C$5:$C$500,$A76,'LANÇAMENTOS DIÁRIOS'!$O$5:$O$500,"&lt;=111500",'LANÇAMENTOS DIÁRIOS'!$P$5:$P$500,"&gt;=111500")&gt;0,"X","")</f>
      </c>
    </row>
    <row r="77">
      <c r="A77" s="51" t="str">
        <v>Fresagem contínua do pavimento</v>
      </c>
      <c r="B77" s="56" t="str">
        <f>IF(COUNTIFS('LANÇAMENTOS DIÁRIOS'!$G$5:$G$500,"E",'LANÇAMENTOS DIÁRIOS'!$C$5:$C$500,$A77,'LANÇAMENTOS DIÁRIOS'!$O$5:$O$500,"&lt;=105599",'LANÇAMENTOS DIÁRIOS'!$P$5:$P$500,"&gt;=105500")&gt;0,"X","")</f>
      </c>
      <c r="C77" s="56" t="str">
        <f>IF(COUNTIFS('LANÇAMENTOS DIÁRIOS'!$G$5:$G$500,"E",'LANÇAMENTOS DIÁRIOS'!$C$5:$C$500,$A77,'LANÇAMENTOS DIÁRIOS'!$O$5:$O$500,"&lt;=105699",'LANÇAMENTOS DIÁRIOS'!$P$5:$P$500,"&gt;=105600")&gt;0,"X","")</f>
      </c>
      <c r="D77" s="56" t="str">
        <f>IF(COUNTIFS('LANÇAMENTOS DIÁRIOS'!$G$5:$G$500,"E",'LANÇAMENTOS DIÁRIOS'!$C$5:$C$500,$A77,'LANÇAMENTOS DIÁRIOS'!$O$5:$O$500,"&lt;=105799",'LANÇAMENTOS DIÁRIOS'!$P$5:$P$500,"&gt;=105700")&gt;0,"X","")</f>
      </c>
      <c r="E77" s="56" t="str">
        <f>IF(COUNTIFS('LANÇAMENTOS DIÁRIOS'!$G$5:$G$500,"E",'LANÇAMENTOS DIÁRIOS'!$C$5:$C$500,$A77,'LANÇAMENTOS DIÁRIOS'!$O$5:$O$500,"&lt;=105899",'LANÇAMENTOS DIÁRIOS'!$P$5:$P$500,"&gt;=105800")&gt;0,"X","")</f>
      </c>
      <c r="F77" s="56" t="str">
        <f>IF(COUNTIFS('LANÇAMENTOS DIÁRIOS'!$G$5:$G$500,"E",'LANÇAMENTOS DIÁRIOS'!$C$5:$C$500,$A77,'LANÇAMENTOS DIÁRIOS'!$O$5:$O$500,"&lt;=105999",'LANÇAMENTOS DIÁRIOS'!$P$5:$P$500,"&gt;=105900")&gt;0,"X","")</f>
      </c>
      <c r="G77" s="56" t="str">
        <f>IF(COUNTIFS('LANÇAMENTOS DIÁRIOS'!$G$5:$G$500,"E",'LANÇAMENTOS DIÁRIOS'!$C$5:$C$500,$A77,'LANÇAMENTOS DIÁRIOS'!$O$5:$O$500,"&lt;=106099",'LANÇAMENTOS DIÁRIOS'!$P$5:$P$500,"&gt;=106000")&gt;0,"X","")</f>
      </c>
      <c r="H77" s="56" t="str">
        <f>IF(COUNTIFS('LANÇAMENTOS DIÁRIOS'!$G$5:$G$500,"E",'LANÇAMENTOS DIÁRIOS'!$C$5:$C$500,$A77,'LANÇAMENTOS DIÁRIOS'!$O$5:$O$500,"&lt;=106199",'LANÇAMENTOS DIÁRIOS'!$P$5:$P$500,"&gt;=106100")&gt;0,"X","")</f>
      </c>
      <c r="I77" s="56" t="str">
        <f>IF(COUNTIFS('LANÇAMENTOS DIÁRIOS'!$G$5:$G$500,"E",'LANÇAMENTOS DIÁRIOS'!$C$5:$C$500,$A77,'LANÇAMENTOS DIÁRIOS'!$O$5:$O$500,"&lt;=106299",'LANÇAMENTOS DIÁRIOS'!$P$5:$P$500,"&gt;=106200")&gt;0,"X","")</f>
      </c>
      <c r="J77" s="56" t="str">
        <f>IF(COUNTIFS('LANÇAMENTOS DIÁRIOS'!$G$5:$G$500,"E",'LANÇAMENTOS DIÁRIOS'!$C$5:$C$500,$A77,'LANÇAMENTOS DIÁRIOS'!$O$5:$O$500,"&lt;=106399",'LANÇAMENTOS DIÁRIOS'!$P$5:$P$500,"&gt;=106300")&gt;0,"X","")</f>
      </c>
      <c r="K77" s="56" t="str">
        <f>IF(COUNTIFS('LANÇAMENTOS DIÁRIOS'!$G$5:$G$500,"E",'LANÇAMENTOS DIÁRIOS'!$C$5:$C$500,$A77,'LANÇAMENTOS DIÁRIOS'!$O$5:$O$500,"&lt;=106499",'LANÇAMENTOS DIÁRIOS'!$P$5:$P$500,"&gt;=106400")&gt;0,"X","")</f>
      </c>
      <c r="L77" s="56" t="str">
        <f>IF(COUNTIFS('LANÇAMENTOS DIÁRIOS'!$G$5:$G$500,"E",'LANÇAMENTOS DIÁRIOS'!$C$5:$C$500,$A77,'LANÇAMENTOS DIÁRIOS'!$O$5:$O$500,"&lt;=106599",'LANÇAMENTOS DIÁRIOS'!$P$5:$P$500,"&gt;=106500")&gt;0,"X","")</f>
      </c>
      <c r="M77" s="56" t="str">
        <f>IF(COUNTIFS('LANÇAMENTOS DIÁRIOS'!$G$5:$G$500,"E",'LANÇAMENTOS DIÁRIOS'!$C$5:$C$500,$A77,'LANÇAMENTOS DIÁRIOS'!$O$5:$O$500,"&lt;=106699",'LANÇAMENTOS DIÁRIOS'!$P$5:$P$500,"&gt;=106600")&gt;0,"X","")</f>
      </c>
      <c r="N77" s="56" t="str">
        <f>IF(COUNTIFS('LANÇAMENTOS DIÁRIOS'!$G$5:$G$500,"E",'LANÇAMENTOS DIÁRIOS'!$C$5:$C$500,$A77,'LANÇAMENTOS DIÁRIOS'!$O$5:$O$500,"&lt;=106799",'LANÇAMENTOS DIÁRIOS'!$P$5:$P$500,"&gt;=106700")&gt;0,"X","")</f>
      </c>
      <c r="O77" s="56" t="str">
        <f>IF(COUNTIFS('LANÇAMENTOS DIÁRIOS'!$G$5:$G$500,"E",'LANÇAMENTOS DIÁRIOS'!$C$5:$C$500,$A77,'LANÇAMENTOS DIÁRIOS'!$O$5:$O$500,"&lt;=106899",'LANÇAMENTOS DIÁRIOS'!$P$5:$P$500,"&gt;=106800")&gt;0,"X","")</f>
      </c>
      <c r="P77" s="56" t="str">
        <f>IF(COUNTIFS('LANÇAMENTOS DIÁRIOS'!$G$5:$G$500,"E",'LANÇAMENTOS DIÁRIOS'!$C$5:$C$500,$A77,'LANÇAMENTOS DIÁRIOS'!$O$5:$O$500,"&lt;=106999",'LANÇAMENTOS DIÁRIOS'!$P$5:$P$500,"&gt;=106900")&gt;0,"X","")</f>
      </c>
      <c r="Q77" s="56" t="str">
        <f>IF(COUNTIFS('LANÇAMENTOS DIÁRIOS'!$G$5:$G$500,"E",'LANÇAMENTOS DIÁRIOS'!$C$5:$C$500,$A77,'LANÇAMENTOS DIÁRIOS'!$O$5:$O$500,"&lt;=107099",'LANÇAMENTOS DIÁRIOS'!$P$5:$P$500,"&gt;=107000")&gt;0,"X","")</f>
      </c>
      <c r="R77" s="56" t="str">
        <f>IF(COUNTIFS('LANÇAMENTOS DIÁRIOS'!$G$5:$G$500,"E",'LANÇAMENTOS DIÁRIOS'!$C$5:$C$500,$A77,'LANÇAMENTOS DIÁRIOS'!$O$5:$O$500,"&lt;=107199",'LANÇAMENTOS DIÁRIOS'!$P$5:$P$500,"&gt;=107100")&gt;0,"X","")</f>
      </c>
      <c r="S77" s="56" t="str">
        <f>IF(COUNTIFS('LANÇAMENTOS DIÁRIOS'!$G$5:$G$500,"E",'LANÇAMENTOS DIÁRIOS'!$C$5:$C$500,$A77,'LANÇAMENTOS DIÁRIOS'!$O$5:$O$500,"&lt;=107299",'LANÇAMENTOS DIÁRIOS'!$P$5:$P$500,"&gt;=107200")&gt;0,"X","")</f>
      </c>
      <c r="T77" s="56" t="str">
        <f>IF(COUNTIFS('LANÇAMENTOS DIÁRIOS'!$G$5:$G$500,"E",'LANÇAMENTOS DIÁRIOS'!$C$5:$C$500,$A77,'LANÇAMENTOS DIÁRIOS'!$O$5:$O$500,"&lt;=107399",'LANÇAMENTOS DIÁRIOS'!$P$5:$P$500,"&gt;=107300")&gt;0,"X","")</f>
      </c>
      <c r="U77" s="56" t="str">
        <f>IF(COUNTIFS('LANÇAMENTOS DIÁRIOS'!$G$5:$G$500,"E",'LANÇAMENTOS DIÁRIOS'!$C$5:$C$500,$A77,'LANÇAMENTOS DIÁRIOS'!$O$5:$O$500,"&lt;=107499",'LANÇAMENTOS DIÁRIOS'!$P$5:$P$500,"&gt;=107400")&gt;0,"X","")</f>
      </c>
      <c r="V77" s="56" t="str">
        <f>IF(COUNTIFS('LANÇAMENTOS DIÁRIOS'!$G$5:$G$500,"E",'LANÇAMENTOS DIÁRIOS'!$C$5:$C$500,$A77,'LANÇAMENTOS DIÁRIOS'!$O$5:$O$500,"&lt;=107599",'LANÇAMENTOS DIÁRIOS'!$P$5:$P$500,"&gt;=107500")&gt;0,"X","")</f>
      </c>
      <c r="W77" s="56" t="str">
        <f>IF(COUNTIFS('LANÇAMENTOS DIÁRIOS'!$G$5:$G$500,"E",'LANÇAMENTOS DIÁRIOS'!$C$5:$C$500,$A77,'LANÇAMENTOS DIÁRIOS'!$O$5:$O$500,"&lt;=107699",'LANÇAMENTOS DIÁRIOS'!$P$5:$P$500,"&gt;=107600")&gt;0,"X","")</f>
      </c>
      <c r="X77" s="56" t="str">
        <f>IF(COUNTIFS('LANÇAMENTOS DIÁRIOS'!$G$5:$G$500,"E",'LANÇAMENTOS DIÁRIOS'!$C$5:$C$500,$A77,'LANÇAMENTOS DIÁRIOS'!$O$5:$O$500,"&lt;=107799",'LANÇAMENTOS DIÁRIOS'!$P$5:$P$500,"&gt;=107700")&gt;0,"X","")</f>
      </c>
      <c r="Y77" s="56" t="str">
        <f>IF(COUNTIFS('LANÇAMENTOS DIÁRIOS'!$G$5:$G$500,"E",'LANÇAMENTOS DIÁRIOS'!$C$5:$C$500,$A77,'LANÇAMENTOS DIÁRIOS'!$O$5:$O$500,"&lt;=107899",'LANÇAMENTOS DIÁRIOS'!$P$5:$P$500,"&gt;=107800")&gt;0,"X","")</f>
      </c>
      <c r="Z77" s="56" t="str">
        <f>IF(COUNTIFS('LANÇAMENTOS DIÁRIOS'!$G$5:$G$500,"E",'LANÇAMENTOS DIÁRIOS'!$C$5:$C$500,$A77,'LANÇAMENTOS DIÁRIOS'!$O$5:$O$500,"&lt;=107999",'LANÇAMENTOS DIÁRIOS'!$P$5:$P$500,"&gt;=107900")&gt;0,"X","")</f>
      </c>
      <c r="AA77" s="56" t="str">
        <f>IF(COUNTIFS('LANÇAMENTOS DIÁRIOS'!$G$5:$G$500,"E",'LANÇAMENTOS DIÁRIOS'!$C$5:$C$500,$A77,'LANÇAMENTOS DIÁRIOS'!$O$5:$O$500,"&lt;=108099",'LANÇAMENTOS DIÁRIOS'!$P$5:$P$500,"&gt;=108000")&gt;0,"X","")</f>
      </c>
      <c r="AB77" s="56" t="str">
        <f>IF(COUNTIFS('LANÇAMENTOS DIÁRIOS'!$G$5:$G$500,"E",'LANÇAMENTOS DIÁRIOS'!$C$5:$C$500,$A77,'LANÇAMENTOS DIÁRIOS'!$O$5:$O$500,"&lt;=108199",'LANÇAMENTOS DIÁRIOS'!$P$5:$P$500,"&gt;=108100")&gt;0,"X","")</f>
      </c>
      <c r="AC77" s="56" t="str">
        <f>IF(COUNTIFS('LANÇAMENTOS DIÁRIOS'!$G$5:$G$500,"E",'LANÇAMENTOS DIÁRIOS'!$C$5:$C$500,$A77,'LANÇAMENTOS DIÁRIOS'!$O$5:$O$500,"&lt;=108299",'LANÇAMENTOS DIÁRIOS'!$P$5:$P$500,"&gt;=108200")&gt;0,"X","")</f>
      </c>
      <c r="AD77" s="56" t="str">
        <f>IF(COUNTIFS('LANÇAMENTOS DIÁRIOS'!$G$5:$G$500,"E",'LANÇAMENTOS DIÁRIOS'!$C$5:$C$500,$A77,'LANÇAMENTOS DIÁRIOS'!$O$5:$O$500,"&lt;=108399",'LANÇAMENTOS DIÁRIOS'!$P$5:$P$500,"&gt;=108300")&gt;0,"X","")</f>
      </c>
      <c r="AE77" s="56" t="str">
        <f>IF(COUNTIFS('LANÇAMENTOS DIÁRIOS'!$G$5:$G$500,"E",'LANÇAMENTOS DIÁRIOS'!$C$5:$C$500,$A77,'LANÇAMENTOS DIÁRIOS'!$O$5:$O$500,"&lt;=108499",'LANÇAMENTOS DIÁRIOS'!$P$5:$P$500,"&gt;=108400")&gt;0,"X","")</f>
      </c>
      <c r="AF77" s="56" t="str">
        <f>IF(COUNTIFS('LANÇAMENTOS DIÁRIOS'!$G$5:$G$500,"E",'LANÇAMENTOS DIÁRIOS'!$C$5:$C$500,$A77,'LANÇAMENTOS DIÁRIOS'!$O$5:$O$500,"&lt;=108599",'LANÇAMENTOS DIÁRIOS'!$P$5:$P$500,"&gt;=108500")&gt;0,"X","")</f>
      </c>
      <c r="AG77" s="56" t="str">
        <f>IF(COUNTIFS('LANÇAMENTOS DIÁRIOS'!$G$5:$G$500,"E",'LANÇAMENTOS DIÁRIOS'!$C$5:$C$500,$A77,'LANÇAMENTOS DIÁRIOS'!$O$5:$O$500,"&lt;=108699",'LANÇAMENTOS DIÁRIOS'!$P$5:$P$500,"&gt;=108600")&gt;0,"X","")</f>
      </c>
      <c r="AH77" s="56" t="str">
        <f>IF(COUNTIFS('LANÇAMENTOS DIÁRIOS'!$G$5:$G$500,"E",'LANÇAMENTOS DIÁRIOS'!$C$5:$C$500,$A77,'LANÇAMENTOS DIÁRIOS'!$O$5:$O$500,"&lt;=108799",'LANÇAMENTOS DIÁRIOS'!$P$5:$P$500,"&gt;=108700")&gt;0,"X","")</f>
      </c>
      <c r="AI77" s="56" t="str">
        <f>IF(COUNTIFS('LANÇAMENTOS DIÁRIOS'!$G$5:$G$500,"E",'LANÇAMENTOS DIÁRIOS'!$C$5:$C$500,$A77,'LANÇAMENTOS DIÁRIOS'!$O$5:$O$500,"&lt;=108899",'LANÇAMENTOS DIÁRIOS'!$P$5:$P$500,"&gt;=108800")&gt;0,"X","")</f>
      </c>
      <c r="AJ77" s="56" t="str">
        <f>IF(COUNTIFS('LANÇAMENTOS DIÁRIOS'!$G$5:$G$500,"E",'LANÇAMENTOS DIÁRIOS'!$C$5:$C$500,$A77,'LANÇAMENTOS DIÁRIOS'!$O$5:$O$500,"&lt;=108999",'LANÇAMENTOS DIÁRIOS'!$P$5:$P$500,"&gt;=108900")&gt;0,"X","")</f>
      </c>
      <c r="AK77" s="56" t="str">
        <f>IF(COUNTIFS('LANÇAMENTOS DIÁRIOS'!$G$5:$G$500,"E",'LANÇAMENTOS DIÁRIOS'!$C$5:$C$500,$A77,'LANÇAMENTOS DIÁRIOS'!$O$5:$O$500,"&lt;=109099",'LANÇAMENTOS DIÁRIOS'!$P$5:$P$500,"&gt;=109000")&gt;0,"X","")</f>
      </c>
      <c r="AL77" s="56" t="str">
        <f>IF(COUNTIFS('LANÇAMENTOS DIÁRIOS'!$G$5:$G$500,"E",'LANÇAMENTOS DIÁRIOS'!$C$5:$C$500,$A77,'LANÇAMENTOS DIÁRIOS'!$O$5:$O$500,"&lt;=109199",'LANÇAMENTOS DIÁRIOS'!$P$5:$P$500,"&gt;=109100")&gt;0,"X","")</f>
      </c>
      <c r="AM77" s="56" t="str">
        <f>IF(COUNTIFS('LANÇAMENTOS DIÁRIOS'!$G$5:$G$500,"E",'LANÇAMENTOS DIÁRIOS'!$C$5:$C$500,$A77,'LANÇAMENTOS DIÁRIOS'!$O$5:$O$500,"&lt;=109299",'LANÇAMENTOS DIÁRIOS'!$P$5:$P$500,"&gt;=109200")&gt;0,"X","")</f>
      </c>
      <c r="AN77" s="56" t="str">
        <f>IF(COUNTIFS('LANÇAMENTOS DIÁRIOS'!$G$5:$G$500,"E",'LANÇAMENTOS DIÁRIOS'!$C$5:$C$500,$A77,'LANÇAMENTOS DIÁRIOS'!$O$5:$O$500,"&lt;=109399",'LANÇAMENTOS DIÁRIOS'!$P$5:$P$500,"&gt;=109300")&gt;0,"X","")</f>
      </c>
      <c r="AO77" s="56" t="str">
        <f>IF(COUNTIFS('LANÇAMENTOS DIÁRIOS'!$G$5:$G$500,"E",'LANÇAMENTOS DIÁRIOS'!$C$5:$C$500,$A77,'LANÇAMENTOS DIÁRIOS'!$O$5:$O$500,"&lt;=109499",'LANÇAMENTOS DIÁRIOS'!$P$5:$P$500,"&gt;=109400")&gt;0,"X","")</f>
      </c>
      <c r="AP77" s="56" t="str">
        <f>IF(COUNTIFS('LANÇAMENTOS DIÁRIOS'!$G$5:$G$500,"E",'LANÇAMENTOS DIÁRIOS'!$C$5:$C$500,$A77,'LANÇAMENTOS DIÁRIOS'!$O$5:$O$500,"&lt;=109599",'LANÇAMENTOS DIÁRIOS'!$P$5:$P$500,"&gt;=109500")&gt;0,"X","")</f>
      </c>
      <c r="AQ77" s="56" t="str">
        <f>IF(COUNTIFS('LANÇAMENTOS DIÁRIOS'!$G$5:$G$500,"E",'LANÇAMENTOS DIÁRIOS'!$C$5:$C$500,$A77,'LANÇAMENTOS DIÁRIOS'!$O$5:$O$500,"&lt;=109699",'LANÇAMENTOS DIÁRIOS'!$P$5:$P$500,"&gt;=109600")&gt;0,"X","")</f>
      </c>
      <c r="AR77" s="56" t="str">
        <f>IF(COUNTIFS('LANÇAMENTOS DIÁRIOS'!$G$5:$G$500,"E",'LANÇAMENTOS DIÁRIOS'!$C$5:$C$500,$A77,'LANÇAMENTOS DIÁRIOS'!$O$5:$O$500,"&lt;=109799",'LANÇAMENTOS DIÁRIOS'!$P$5:$P$500,"&gt;=109700")&gt;0,"X","")</f>
      </c>
      <c r="AS77" s="56" t="str">
        <f>IF(COUNTIFS('LANÇAMENTOS DIÁRIOS'!$G$5:$G$500,"E",'LANÇAMENTOS DIÁRIOS'!$C$5:$C$500,$A77,'LANÇAMENTOS DIÁRIOS'!$O$5:$O$500,"&lt;=109899",'LANÇAMENTOS DIÁRIOS'!$P$5:$P$500,"&gt;=109800")&gt;0,"X","")</f>
      </c>
      <c r="AT77" s="56" t="str">
        <f>IF(COUNTIFS('LANÇAMENTOS DIÁRIOS'!$G$5:$G$500,"E",'LANÇAMENTOS DIÁRIOS'!$C$5:$C$500,$A77,'LANÇAMENTOS DIÁRIOS'!$O$5:$O$500,"&lt;=109999",'LANÇAMENTOS DIÁRIOS'!$P$5:$P$500,"&gt;=109900")&gt;0,"X","")</f>
      </c>
      <c r="AU77" s="56" t="str">
        <f>IF(COUNTIFS('LANÇAMENTOS DIÁRIOS'!$G$5:$G$500,"E",'LANÇAMENTOS DIÁRIOS'!$C$5:$C$500,$A77,'LANÇAMENTOS DIÁRIOS'!$O$5:$O$500,"&lt;=110099",'LANÇAMENTOS DIÁRIOS'!$P$5:$P$500,"&gt;=110000")&gt;0,"X","")</f>
      </c>
      <c r="AV77" s="56" t="str">
        <f>IF(COUNTIFS('LANÇAMENTOS DIÁRIOS'!$G$5:$G$500,"E",'LANÇAMENTOS DIÁRIOS'!$C$5:$C$500,$A77,'LANÇAMENTOS DIÁRIOS'!$O$5:$O$500,"&lt;=110199",'LANÇAMENTOS DIÁRIOS'!$P$5:$P$500,"&gt;=110100")&gt;0,"X","")</f>
      </c>
      <c r="AW77" s="56" t="str">
        <f>IF(COUNTIFS('LANÇAMENTOS DIÁRIOS'!$G$5:$G$500,"E",'LANÇAMENTOS DIÁRIOS'!$C$5:$C$500,$A77,'LANÇAMENTOS DIÁRIOS'!$O$5:$O$500,"&lt;=110299",'LANÇAMENTOS DIÁRIOS'!$P$5:$P$500,"&gt;=110200")&gt;0,"X","")</f>
      </c>
      <c r="AX77" s="56" t="str">
        <f>IF(COUNTIFS('LANÇAMENTOS DIÁRIOS'!$G$5:$G$500,"E",'LANÇAMENTOS DIÁRIOS'!$C$5:$C$500,$A77,'LANÇAMENTOS DIÁRIOS'!$O$5:$O$500,"&lt;=110399",'LANÇAMENTOS DIÁRIOS'!$P$5:$P$500,"&gt;=110300")&gt;0,"X","")</f>
      </c>
      <c r="AY77" s="56" t="str">
        <f>IF(COUNTIFS('LANÇAMENTOS DIÁRIOS'!$G$5:$G$500,"E",'LANÇAMENTOS DIÁRIOS'!$C$5:$C$500,$A77,'LANÇAMENTOS DIÁRIOS'!$O$5:$O$500,"&lt;=110499",'LANÇAMENTOS DIÁRIOS'!$P$5:$P$500,"&gt;=110400")&gt;0,"X","")</f>
      </c>
      <c r="AZ77" s="56" t="str">
        <f>IF(COUNTIFS('LANÇAMENTOS DIÁRIOS'!$G$5:$G$500,"E",'LANÇAMENTOS DIÁRIOS'!$C$5:$C$500,$A77,'LANÇAMENTOS DIÁRIOS'!$O$5:$O$500,"&lt;=110599",'LANÇAMENTOS DIÁRIOS'!$P$5:$P$500,"&gt;=110500")&gt;0,"X","")</f>
      </c>
      <c r="BA77" s="56" t="str">
        <f>IF(COUNTIFS('LANÇAMENTOS DIÁRIOS'!$G$5:$G$500,"E",'LANÇAMENTOS DIÁRIOS'!$C$5:$C$500,$A77,'LANÇAMENTOS DIÁRIOS'!$O$5:$O$500,"&lt;=110699",'LANÇAMENTOS DIÁRIOS'!$P$5:$P$500,"&gt;=110600")&gt;0,"X","")</f>
      </c>
      <c r="BB77" s="56" t="str">
        <f>IF(COUNTIFS('LANÇAMENTOS DIÁRIOS'!$G$5:$G$500,"E",'LANÇAMENTOS DIÁRIOS'!$C$5:$C$500,$A77,'LANÇAMENTOS DIÁRIOS'!$O$5:$O$500,"&lt;=110799",'LANÇAMENTOS DIÁRIOS'!$P$5:$P$500,"&gt;=110700")&gt;0,"X","")</f>
      </c>
      <c r="BC77" s="56" t="str">
        <f>IF(COUNTIFS('LANÇAMENTOS DIÁRIOS'!$G$5:$G$500,"E",'LANÇAMENTOS DIÁRIOS'!$C$5:$C$500,$A77,'LANÇAMENTOS DIÁRIOS'!$O$5:$O$500,"&lt;=110899",'LANÇAMENTOS DIÁRIOS'!$P$5:$P$500,"&gt;=110800")&gt;0,"X","")</f>
      </c>
      <c r="BD77" s="56" t="str">
        <f>IF(COUNTIFS('LANÇAMENTOS DIÁRIOS'!$G$5:$G$500,"E",'LANÇAMENTOS DIÁRIOS'!$C$5:$C$500,$A77,'LANÇAMENTOS DIÁRIOS'!$O$5:$O$500,"&lt;=110999",'LANÇAMENTOS DIÁRIOS'!$P$5:$P$500,"&gt;=110900")&gt;0,"X","")</f>
      </c>
      <c r="BE77" s="56" t="str">
        <f>IF(COUNTIFS('LANÇAMENTOS DIÁRIOS'!$G$5:$G$500,"E",'LANÇAMENTOS DIÁRIOS'!$C$5:$C$500,$A77,'LANÇAMENTOS DIÁRIOS'!$O$5:$O$500,"&lt;=111099",'LANÇAMENTOS DIÁRIOS'!$P$5:$P$500,"&gt;=111000")&gt;0,"X","")</f>
      </c>
      <c r="BF77" s="56" t="str">
        <f>IF(COUNTIFS('LANÇAMENTOS DIÁRIOS'!$G$5:$G$500,"E",'LANÇAMENTOS DIÁRIOS'!$C$5:$C$500,$A77,'LANÇAMENTOS DIÁRIOS'!$O$5:$O$500,"&lt;=111199",'LANÇAMENTOS DIÁRIOS'!$P$5:$P$500,"&gt;=111100")&gt;0,"X","")</f>
      </c>
      <c r="BG77" s="56" t="str">
        <f>IF(COUNTIFS('LANÇAMENTOS DIÁRIOS'!$G$5:$G$500,"E",'LANÇAMENTOS DIÁRIOS'!$C$5:$C$500,$A77,'LANÇAMENTOS DIÁRIOS'!$O$5:$O$500,"&lt;=111299",'LANÇAMENTOS DIÁRIOS'!$P$5:$P$500,"&gt;=111200")&gt;0,"X","")</f>
      </c>
      <c r="BH77" s="56" t="str">
        <f>IF(COUNTIFS('LANÇAMENTOS DIÁRIOS'!$G$5:$G$500,"E",'LANÇAMENTOS DIÁRIOS'!$C$5:$C$500,$A77,'LANÇAMENTOS DIÁRIOS'!$O$5:$O$500,"&lt;=111399",'LANÇAMENTOS DIÁRIOS'!$P$5:$P$500,"&gt;=111300")&gt;0,"X","")</f>
      </c>
      <c r="BI77" s="56" t="str">
        <f>IF(COUNTIFS('LANÇAMENTOS DIÁRIOS'!$G$5:$G$500,"E",'LANÇAMENTOS DIÁRIOS'!$C$5:$C$500,$A77,'LANÇAMENTOS DIÁRIOS'!$O$5:$O$500,"&lt;=111499",'LANÇAMENTOS DIÁRIOS'!$P$5:$P$500,"&gt;=111400")&gt;0,"X","")</f>
      </c>
      <c r="BJ77" s="56" t="str">
        <f>IF(COUNTIFS('LANÇAMENTOS DIÁRIOS'!$G$5:$G$500,"E",'LANÇAMENTOS DIÁRIOS'!$C$5:$C$500,$A77,'LANÇAMENTOS DIÁRIOS'!$O$5:$O$500,"&lt;=111500",'LANÇAMENTOS DIÁRIOS'!$P$5:$P$500,"&gt;=111500")&gt;0,"X","")</f>
      </c>
    </row>
    <row r="78" ht="19" customHeight="1">
      <c r="A78" s="68" t="str">
        <v>Construção da sub-base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</row>
    <row r="79">
      <c r="A79" s="51" t="str">
        <v>Solo cimento com adição de 3% cimento,mistura in situ- Recicladora</v>
      </c>
      <c r="B79" s="56" t="str">
        <f>IF(COUNTIFS('LANÇAMENTOS DIÁRIOS'!$G$5:$G$500,"E",'LANÇAMENTOS DIÁRIOS'!$C$5:$C$500,$A79,'LANÇAMENTOS DIÁRIOS'!$O$5:$O$500,"&lt;=105599",'LANÇAMENTOS DIÁRIOS'!$P$5:$P$500,"&gt;=105500")&gt;0,"X","")</f>
      </c>
      <c r="C79" s="56" t="str">
        <f>IF(COUNTIFS('LANÇAMENTOS DIÁRIOS'!$G$5:$G$500,"E",'LANÇAMENTOS DIÁRIOS'!$C$5:$C$500,$A79,'LANÇAMENTOS DIÁRIOS'!$O$5:$O$500,"&lt;=105699",'LANÇAMENTOS DIÁRIOS'!$P$5:$P$500,"&gt;=105600")&gt;0,"X","")</f>
      </c>
      <c r="D79" s="56" t="str">
        <f>IF(COUNTIFS('LANÇAMENTOS DIÁRIOS'!$G$5:$G$500,"E",'LANÇAMENTOS DIÁRIOS'!$C$5:$C$500,$A79,'LANÇAMENTOS DIÁRIOS'!$O$5:$O$500,"&lt;=105799",'LANÇAMENTOS DIÁRIOS'!$P$5:$P$500,"&gt;=105700")&gt;0,"X","")</f>
      </c>
      <c r="E79" s="56" t="str">
        <f>IF(COUNTIFS('LANÇAMENTOS DIÁRIOS'!$G$5:$G$500,"E",'LANÇAMENTOS DIÁRIOS'!$C$5:$C$500,$A79,'LANÇAMENTOS DIÁRIOS'!$O$5:$O$500,"&lt;=105899",'LANÇAMENTOS DIÁRIOS'!$P$5:$P$500,"&gt;=105800")&gt;0,"X","")</f>
      </c>
      <c r="F79" s="56" t="str">
        <f>IF(COUNTIFS('LANÇAMENTOS DIÁRIOS'!$G$5:$G$500,"E",'LANÇAMENTOS DIÁRIOS'!$C$5:$C$500,$A79,'LANÇAMENTOS DIÁRIOS'!$O$5:$O$500,"&lt;=105999",'LANÇAMENTOS DIÁRIOS'!$P$5:$P$500,"&gt;=105900")&gt;0,"X","")</f>
      </c>
      <c r="G79" s="56" t="str">
        <f>IF(COUNTIFS('LANÇAMENTOS DIÁRIOS'!$G$5:$G$500,"E",'LANÇAMENTOS DIÁRIOS'!$C$5:$C$500,$A79,'LANÇAMENTOS DIÁRIOS'!$O$5:$O$500,"&lt;=106099",'LANÇAMENTOS DIÁRIOS'!$P$5:$P$500,"&gt;=106000")&gt;0,"X","")</f>
      </c>
      <c r="H79" s="56" t="str">
        <f>IF(COUNTIFS('LANÇAMENTOS DIÁRIOS'!$G$5:$G$500,"E",'LANÇAMENTOS DIÁRIOS'!$C$5:$C$500,$A79,'LANÇAMENTOS DIÁRIOS'!$O$5:$O$500,"&lt;=106199",'LANÇAMENTOS DIÁRIOS'!$P$5:$P$500,"&gt;=106100")&gt;0,"X","")</f>
      </c>
      <c r="I79" s="56" t="str">
        <f>IF(COUNTIFS('LANÇAMENTOS DIÁRIOS'!$G$5:$G$500,"E",'LANÇAMENTOS DIÁRIOS'!$C$5:$C$500,$A79,'LANÇAMENTOS DIÁRIOS'!$O$5:$O$500,"&lt;=106299",'LANÇAMENTOS DIÁRIOS'!$P$5:$P$500,"&gt;=106200")&gt;0,"X","")</f>
      </c>
      <c r="J79" s="56" t="str">
        <f>IF(COUNTIFS('LANÇAMENTOS DIÁRIOS'!$G$5:$G$500,"E",'LANÇAMENTOS DIÁRIOS'!$C$5:$C$500,$A79,'LANÇAMENTOS DIÁRIOS'!$O$5:$O$500,"&lt;=106399",'LANÇAMENTOS DIÁRIOS'!$P$5:$P$500,"&gt;=106300")&gt;0,"X","")</f>
      </c>
      <c r="K79" s="56" t="str">
        <f>IF(COUNTIFS('LANÇAMENTOS DIÁRIOS'!$G$5:$G$500,"E",'LANÇAMENTOS DIÁRIOS'!$C$5:$C$500,$A79,'LANÇAMENTOS DIÁRIOS'!$O$5:$O$500,"&lt;=106499",'LANÇAMENTOS DIÁRIOS'!$P$5:$P$500,"&gt;=106400")&gt;0,"X","")</f>
      </c>
      <c r="L79" s="56" t="str">
        <f>IF(COUNTIFS('LANÇAMENTOS DIÁRIOS'!$G$5:$G$500,"E",'LANÇAMENTOS DIÁRIOS'!$C$5:$C$500,$A79,'LANÇAMENTOS DIÁRIOS'!$O$5:$O$500,"&lt;=106599",'LANÇAMENTOS DIÁRIOS'!$P$5:$P$500,"&gt;=106500")&gt;0,"X","")</f>
      </c>
      <c r="M79" s="56" t="str">
        <f>IF(COUNTIFS('LANÇAMENTOS DIÁRIOS'!$G$5:$G$500,"E",'LANÇAMENTOS DIÁRIOS'!$C$5:$C$500,$A79,'LANÇAMENTOS DIÁRIOS'!$O$5:$O$500,"&lt;=106699",'LANÇAMENTOS DIÁRIOS'!$P$5:$P$500,"&gt;=106600")&gt;0,"X","")</f>
      </c>
      <c r="N79" s="56" t="str">
        <f>IF(COUNTIFS('LANÇAMENTOS DIÁRIOS'!$G$5:$G$500,"E",'LANÇAMENTOS DIÁRIOS'!$C$5:$C$500,$A79,'LANÇAMENTOS DIÁRIOS'!$O$5:$O$500,"&lt;=106799",'LANÇAMENTOS DIÁRIOS'!$P$5:$P$500,"&gt;=106700")&gt;0,"X","")</f>
      </c>
      <c r="O79" s="56" t="str">
        <f>IF(COUNTIFS('LANÇAMENTOS DIÁRIOS'!$G$5:$G$500,"E",'LANÇAMENTOS DIÁRIOS'!$C$5:$C$500,$A79,'LANÇAMENTOS DIÁRIOS'!$O$5:$O$500,"&lt;=106899",'LANÇAMENTOS DIÁRIOS'!$P$5:$P$500,"&gt;=106800")&gt;0,"X","")</f>
      </c>
      <c r="P79" s="56" t="str">
        <f>IF(COUNTIFS('LANÇAMENTOS DIÁRIOS'!$G$5:$G$500,"E",'LANÇAMENTOS DIÁRIOS'!$C$5:$C$500,$A79,'LANÇAMENTOS DIÁRIOS'!$O$5:$O$500,"&lt;=106999",'LANÇAMENTOS DIÁRIOS'!$P$5:$P$500,"&gt;=106900")&gt;0,"X","")</f>
      </c>
      <c r="Q79" s="56" t="str">
        <f>IF(COUNTIFS('LANÇAMENTOS DIÁRIOS'!$G$5:$G$500,"E",'LANÇAMENTOS DIÁRIOS'!$C$5:$C$500,$A79,'LANÇAMENTOS DIÁRIOS'!$O$5:$O$500,"&lt;=107099",'LANÇAMENTOS DIÁRIOS'!$P$5:$P$500,"&gt;=107000")&gt;0,"X","")</f>
      </c>
      <c r="R79" s="56" t="str">
        <f>IF(COUNTIFS('LANÇAMENTOS DIÁRIOS'!$G$5:$G$500,"E",'LANÇAMENTOS DIÁRIOS'!$C$5:$C$500,$A79,'LANÇAMENTOS DIÁRIOS'!$O$5:$O$500,"&lt;=107199",'LANÇAMENTOS DIÁRIOS'!$P$5:$P$500,"&gt;=107100")&gt;0,"X","")</f>
      </c>
      <c r="S79" s="56" t="str">
        <f>IF(COUNTIFS('LANÇAMENTOS DIÁRIOS'!$G$5:$G$500,"E",'LANÇAMENTOS DIÁRIOS'!$C$5:$C$500,$A79,'LANÇAMENTOS DIÁRIOS'!$O$5:$O$500,"&lt;=107299",'LANÇAMENTOS DIÁRIOS'!$P$5:$P$500,"&gt;=107200")&gt;0,"X","")</f>
      </c>
      <c r="T79" s="56" t="str">
        <f>IF(COUNTIFS('LANÇAMENTOS DIÁRIOS'!$G$5:$G$500,"E",'LANÇAMENTOS DIÁRIOS'!$C$5:$C$500,$A79,'LANÇAMENTOS DIÁRIOS'!$O$5:$O$500,"&lt;=107399",'LANÇAMENTOS DIÁRIOS'!$P$5:$P$500,"&gt;=107300")&gt;0,"X","")</f>
      </c>
      <c r="U79" s="56" t="str">
        <f>IF(COUNTIFS('LANÇAMENTOS DIÁRIOS'!$G$5:$G$500,"E",'LANÇAMENTOS DIÁRIOS'!$C$5:$C$500,$A79,'LANÇAMENTOS DIÁRIOS'!$O$5:$O$500,"&lt;=107499",'LANÇAMENTOS DIÁRIOS'!$P$5:$P$500,"&gt;=107400")&gt;0,"X","")</f>
      </c>
      <c r="V79" s="56" t="str">
        <f>IF(COUNTIFS('LANÇAMENTOS DIÁRIOS'!$G$5:$G$500,"E",'LANÇAMENTOS DIÁRIOS'!$C$5:$C$500,$A79,'LANÇAMENTOS DIÁRIOS'!$O$5:$O$500,"&lt;=107599",'LANÇAMENTOS DIÁRIOS'!$P$5:$P$500,"&gt;=107500")&gt;0,"X","")</f>
      </c>
      <c r="W79" s="56" t="str">
        <f>IF(COUNTIFS('LANÇAMENTOS DIÁRIOS'!$G$5:$G$500,"E",'LANÇAMENTOS DIÁRIOS'!$C$5:$C$500,$A79,'LANÇAMENTOS DIÁRIOS'!$O$5:$O$500,"&lt;=107699",'LANÇAMENTOS DIÁRIOS'!$P$5:$P$500,"&gt;=107600")&gt;0,"X","")</f>
      </c>
      <c r="X79" s="56" t="str">
        <f>IF(COUNTIFS('LANÇAMENTOS DIÁRIOS'!$G$5:$G$500,"E",'LANÇAMENTOS DIÁRIOS'!$C$5:$C$500,$A79,'LANÇAMENTOS DIÁRIOS'!$O$5:$O$500,"&lt;=107799",'LANÇAMENTOS DIÁRIOS'!$P$5:$P$500,"&gt;=107700")&gt;0,"X","")</f>
      </c>
      <c r="Y79" s="56" t="str">
        <f>IF(COUNTIFS('LANÇAMENTOS DIÁRIOS'!$G$5:$G$500,"E",'LANÇAMENTOS DIÁRIOS'!$C$5:$C$500,$A79,'LANÇAMENTOS DIÁRIOS'!$O$5:$O$500,"&lt;=107899",'LANÇAMENTOS DIÁRIOS'!$P$5:$P$500,"&gt;=107800")&gt;0,"X","")</f>
      </c>
      <c r="Z79" s="56" t="str">
        <f>IF(COUNTIFS('LANÇAMENTOS DIÁRIOS'!$G$5:$G$500,"E",'LANÇAMENTOS DIÁRIOS'!$C$5:$C$500,$A79,'LANÇAMENTOS DIÁRIOS'!$O$5:$O$500,"&lt;=107999",'LANÇAMENTOS DIÁRIOS'!$P$5:$P$500,"&gt;=107900")&gt;0,"X","")</f>
      </c>
      <c r="AA79" s="56" t="str">
        <f>IF(COUNTIFS('LANÇAMENTOS DIÁRIOS'!$G$5:$G$500,"E",'LANÇAMENTOS DIÁRIOS'!$C$5:$C$500,$A79,'LANÇAMENTOS DIÁRIOS'!$O$5:$O$500,"&lt;=108099",'LANÇAMENTOS DIÁRIOS'!$P$5:$P$500,"&gt;=108000")&gt;0,"X","")</f>
      </c>
      <c r="AB79" s="56" t="str">
        <f>IF(COUNTIFS('LANÇAMENTOS DIÁRIOS'!$G$5:$G$500,"E",'LANÇAMENTOS DIÁRIOS'!$C$5:$C$500,$A79,'LANÇAMENTOS DIÁRIOS'!$O$5:$O$500,"&lt;=108199",'LANÇAMENTOS DIÁRIOS'!$P$5:$P$500,"&gt;=108100")&gt;0,"X","")</f>
      </c>
      <c r="AC79" s="56" t="str">
        <f>IF(COUNTIFS('LANÇAMENTOS DIÁRIOS'!$G$5:$G$500,"E",'LANÇAMENTOS DIÁRIOS'!$C$5:$C$500,$A79,'LANÇAMENTOS DIÁRIOS'!$O$5:$O$500,"&lt;=108299",'LANÇAMENTOS DIÁRIOS'!$P$5:$P$500,"&gt;=108200")&gt;0,"X","")</f>
      </c>
      <c r="AD79" s="56" t="str">
        <f>IF(COUNTIFS('LANÇAMENTOS DIÁRIOS'!$G$5:$G$500,"E",'LANÇAMENTOS DIÁRIOS'!$C$5:$C$500,$A79,'LANÇAMENTOS DIÁRIOS'!$O$5:$O$500,"&lt;=108399",'LANÇAMENTOS DIÁRIOS'!$P$5:$P$500,"&gt;=108300")&gt;0,"X","")</f>
      </c>
      <c r="AE79" s="56" t="str">
        <f>IF(COUNTIFS('LANÇAMENTOS DIÁRIOS'!$G$5:$G$500,"E",'LANÇAMENTOS DIÁRIOS'!$C$5:$C$500,$A79,'LANÇAMENTOS DIÁRIOS'!$O$5:$O$500,"&lt;=108499",'LANÇAMENTOS DIÁRIOS'!$P$5:$P$500,"&gt;=108400")&gt;0,"X","")</f>
      </c>
      <c r="AF79" s="56" t="str">
        <f>IF(COUNTIFS('LANÇAMENTOS DIÁRIOS'!$G$5:$G$500,"E",'LANÇAMENTOS DIÁRIOS'!$C$5:$C$500,$A79,'LANÇAMENTOS DIÁRIOS'!$O$5:$O$500,"&lt;=108599",'LANÇAMENTOS DIÁRIOS'!$P$5:$P$500,"&gt;=108500")&gt;0,"X","")</f>
      </c>
      <c r="AG79" s="56" t="str">
        <f>IF(COUNTIFS('LANÇAMENTOS DIÁRIOS'!$G$5:$G$500,"E",'LANÇAMENTOS DIÁRIOS'!$C$5:$C$500,$A79,'LANÇAMENTOS DIÁRIOS'!$O$5:$O$500,"&lt;=108699",'LANÇAMENTOS DIÁRIOS'!$P$5:$P$500,"&gt;=108600")&gt;0,"X","")</f>
      </c>
      <c r="AH79" s="56" t="str">
        <f>IF(COUNTIFS('LANÇAMENTOS DIÁRIOS'!$G$5:$G$500,"E",'LANÇAMENTOS DIÁRIOS'!$C$5:$C$500,$A79,'LANÇAMENTOS DIÁRIOS'!$O$5:$O$500,"&lt;=108799",'LANÇAMENTOS DIÁRIOS'!$P$5:$P$500,"&gt;=108700")&gt;0,"X","")</f>
      </c>
      <c r="AI79" s="56" t="str">
        <f>IF(COUNTIFS('LANÇAMENTOS DIÁRIOS'!$G$5:$G$500,"E",'LANÇAMENTOS DIÁRIOS'!$C$5:$C$500,$A79,'LANÇAMENTOS DIÁRIOS'!$O$5:$O$500,"&lt;=108899",'LANÇAMENTOS DIÁRIOS'!$P$5:$P$500,"&gt;=108800")&gt;0,"X","")</f>
      </c>
      <c r="AJ79" s="56" t="str">
        <f>IF(COUNTIFS('LANÇAMENTOS DIÁRIOS'!$G$5:$G$500,"E",'LANÇAMENTOS DIÁRIOS'!$C$5:$C$500,$A79,'LANÇAMENTOS DIÁRIOS'!$O$5:$O$500,"&lt;=108999",'LANÇAMENTOS DIÁRIOS'!$P$5:$P$500,"&gt;=108900")&gt;0,"X","")</f>
      </c>
      <c r="AK79" s="56" t="str">
        <f>IF(COUNTIFS('LANÇAMENTOS DIÁRIOS'!$G$5:$G$500,"E",'LANÇAMENTOS DIÁRIOS'!$C$5:$C$500,$A79,'LANÇAMENTOS DIÁRIOS'!$O$5:$O$500,"&lt;=109099",'LANÇAMENTOS DIÁRIOS'!$P$5:$P$500,"&gt;=109000")&gt;0,"X","")</f>
      </c>
      <c r="AL79" s="56" t="str">
        <f>IF(COUNTIFS('LANÇAMENTOS DIÁRIOS'!$G$5:$G$500,"E",'LANÇAMENTOS DIÁRIOS'!$C$5:$C$500,$A79,'LANÇAMENTOS DIÁRIOS'!$O$5:$O$500,"&lt;=109199",'LANÇAMENTOS DIÁRIOS'!$P$5:$P$500,"&gt;=109100")&gt;0,"X","")</f>
      </c>
      <c r="AM79" s="56" t="str">
        <f>IF(COUNTIFS('LANÇAMENTOS DIÁRIOS'!$G$5:$G$500,"E",'LANÇAMENTOS DIÁRIOS'!$C$5:$C$500,$A79,'LANÇAMENTOS DIÁRIOS'!$O$5:$O$500,"&lt;=109299",'LANÇAMENTOS DIÁRIOS'!$P$5:$P$500,"&gt;=109200")&gt;0,"X","")</f>
      </c>
      <c r="AN79" s="56" t="str">
        <f>IF(COUNTIFS('LANÇAMENTOS DIÁRIOS'!$G$5:$G$500,"E",'LANÇAMENTOS DIÁRIOS'!$C$5:$C$500,$A79,'LANÇAMENTOS DIÁRIOS'!$O$5:$O$500,"&lt;=109399",'LANÇAMENTOS DIÁRIOS'!$P$5:$P$500,"&gt;=109300")&gt;0,"X","")</f>
      </c>
      <c r="AO79" s="56" t="str">
        <f>IF(COUNTIFS('LANÇAMENTOS DIÁRIOS'!$G$5:$G$500,"E",'LANÇAMENTOS DIÁRIOS'!$C$5:$C$500,$A79,'LANÇAMENTOS DIÁRIOS'!$O$5:$O$500,"&lt;=109499",'LANÇAMENTOS DIÁRIOS'!$P$5:$P$500,"&gt;=109400")&gt;0,"X","")</f>
      </c>
      <c r="AP79" s="56" t="str">
        <f>IF(COUNTIFS('LANÇAMENTOS DIÁRIOS'!$G$5:$G$500,"E",'LANÇAMENTOS DIÁRIOS'!$C$5:$C$500,$A79,'LANÇAMENTOS DIÁRIOS'!$O$5:$O$500,"&lt;=109599",'LANÇAMENTOS DIÁRIOS'!$P$5:$P$500,"&gt;=109500")&gt;0,"X","")</f>
      </c>
      <c r="AQ79" s="56" t="str">
        <f>IF(COUNTIFS('LANÇAMENTOS DIÁRIOS'!$G$5:$G$500,"E",'LANÇAMENTOS DIÁRIOS'!$C$5:$C$500,$A79,'LANÇAMENTOS DIÁRIOS'!$O$5:$O$500,"&lt;=109699",'LANÇAMENTOS DIÁRIOS'!$P$5:$P$500,"&gt;=109600")&gt;0,"X","")</f>
      </c>
      <c r="AR79" s="56" t="str">
        <f>IF(COUNTIFS('LANÇAMENTOS DIÁRIOS'!$G$5:$G$500,"E",'LANÇAMENTOS DIÁRIOS'!$C$5:$C$500,$A79,'LANÇAMENTOS DIÁRIOS'!$O$5:$O$500,"&lt;=109799",'LANÇAMENTOS DIÁRIOS'!$P$5:$P$500,"&gt;=109700")&gt;0,"X","")</f>
      </c>
      <c r="AS79" s="56" t="str">
        <f>IF(COUNTIFS('LANÇAMENTOS DIÁRIOS'!$G$5:$G$500,"E",'LANÇAMENTOS DIÁRIOS'!$C$5:$C$500,$A79,'LANÇAMENTOS DIÁRIOS'!$O$5:$O$500,"&lt;=109899",'LANÇAMENTOS DIÁRIOS'!$P$5:$P$500,"&gt;=109800")&gt;0,"X","")</f>
      </c>
      <c r="AT79" s="56" t="str">
        <f>IF(COUNTIFS('LANÇAMENTOS DIÁRIOS'!$G$5:$G$500,"E",'LANÇAMENTOS DIÁRIOS'!$C$5:$C$500,$A79,'LANÇAMENTOS DIÁRIOS'!$O$5:$O$500,"&lt;=109999",'LANÇAMENTOS DIÁRIOS'!$P$5:$P$500,"&gt;=109900")&gt;0,"X","")</f>
      </c>
      <c r="AU79" s="56" t="str">
        <f>IF(COUNTIFS('LANÇAMENTOS DIÁRIOS'!$G$5:$G$500,"E",'LANÇAMENTOS DIÁRIOS'!$C$5:$C$500,$A79,'LANÇAMENTOS DIÁRIOS'!$O$5:$O$500,"&lt;=110099",'LANÇAMENTOS DIÁRIOS'!$P$5:$P$500,"&gt;=110000")&gt;0,"X","")</f>
      </c>
      <c r="AV79" s="56" t="str">
        <f>IF(COUNTIFS('LANÇAMENTOS DIÁRIOS'!$G$5:$G$500,"E",'LANÇAMENTOS DIÁRIOS'!$C$5:$C$500,$A79,'LANÇAMENTOS DIÁRIOS'!$O$5:$O$500,"&lt;=110199",'LANÇAMENTOS DIÁRIOS'!$P$5:$P$500,"&gt;=110100")&gt;0,"X","")</f>
      </c>
      <c r="AW79" s="56" t="str">
        <f>IF(COUNTIFS('LANÇAMENTOS DIÁRIOS'!$G$5:$G$500,"E",'LANÇAMENTOS DIÁRIOS'!$C$5:$C$500,$A79,'LANÇAMENTOS DIÁRIOS'!$O$5:$O$500,"&lt;=110299",'LANÇAMENTOS DIÁRIOS'!$P$5:$P$500,"&gt;=110200")&gt;0,"X","")</f>
      </c>
      <c r="AX79" s="56" t="str">
        <f>IF(COUNTIFS('LANÇAMENTOS DIÁRIOS'!$G$5:$G$500,"E",'LANÇAMENTOS DIÁRIOS'!$C$5:$C$500,$A79,'LANÇAMENTOS DIÁRIOS'!$O$5:$O$500,"&lt;=110399",'LANÇAMENTOS DIÁRIOS'!$P$5:$P$500,"&gt;=110300")&gt;0,"X","")</f>
      </c>
      <c r="AY79" s="56" t="str">
        <f>IF(COUNTIFS('LANÇAMENTOS DIÁRIOS'!$G$5:$G$500,"E",'LANÇAMENTOS DIÁRIOS'!$C$5:$C$500,$A79,'LANÇAMENTOS DIÁRIOS'!$O$5:$O$500,"&lt;=110499",'LANÇAMENTOS DIÁRIOS'!$P$5:$P$500,"&gt;=110400")&gt;0,"X","")</f>
      </c>
      <c r="AZ79" s="56" t="str">
        <f>IF(COUNTIFS('LANÇAMENTOS DIÁRIOS'!$G$5:$G$500,"E",'LANÇAMENTOS DIÁRIOS'!$C$5:$C$500,$A79,'LANÇAMENTOS DIÁRIOS'!$O$5:$O$500,"&lt;=110599",'LANÇAMENTOS DIÁRIOS'!$P$5:$P$500,"&gt;=110500")&gt;0,"X","")</f>
      </c>
      <c r="BA79" s="56" t="str">
        <f>IF(COUNTIFS('LANÇAMENTOS DIÁRIOS'!$G$5:$G$500,"E",'LANÇAMENTOS DIÁRIOS'!$C$5:$C$500,$A79,'LANÇAMENTOS DIÁRIOS'!$O$5:$O$500,"&lt;=110699",'LANÇAMENTOS DIÁRIOS'!$P$5:$P$500,"&gt;=110600")&gt;0,"X","")</f>
      </c>
      <c r="BB79" s="56" t="str">
        <f>IF(COUNTIFS('LANÇAMENTOS DIÁRIOS'!$G$5:$G$500,"E",'LANÇAMENTOS DIÁRIOS'!$C$5:$C$500,$A79,'LANÇAMENTOS DIÁRIOS'!$O$5:$O$500,"&lt;=110799",'LANÇAMENTOS DIÁRIOS'!$P$5:$P$500,"&gt;=110700")&gt;0,"X","")</f>
      </c>
      <c r="BC79" s="56" t="str">
        <f>IF(COUNTIFS('LANÇAMENTOS DIÁRIOS'!$G$5:$G$500,"E",'LANÇAMENTOS DIÁRIOS'!$C$5:$C$500,$A79,'LANÇAMENTOS DIÁRIOS'!$O$5:$O$500,"&lt;=110899",'LANÇAMENTOS DIÁRIOS'!$P$5:$P$500,"&gt;=110800")&gt;0,"X","")</f>
      </c>
      <c r="BD79" s="56" t="str">
        <f>IF(COUNTIFS('LANÇAMENTOS DIÁRIOS'!$G$5:$G$500,"E",'LANÇAMENTOS DIÁRIOS'!$C$5:$C$500,$A79,'LANÇAMENTOS DIÁRIOS'!$O$5:$O$500,"&lt;=110999",'LANÇAMENTOS DIÁRIOS'!$P$5:$P$500,"&gt;=110900")&gt;0,"X","")</f>
      </c>
      <c r="BE79" s="56" t="str">
        <f>IF(COUNTIFS('LANÇAMENTOS DIÁRIOS'!$G$5:$G$500,"E",'LANÇAMENTOS DIÁRIOS'!$C$5:$C$500,$A79,'LANÇAMENTOS DIÁRIOS'!$O$5:$O$500,"&lt;=111099",'LANÇAMENTOS DIÁRIOS'!$P$5:$P$500,"&gt;=111000")&gt;0,"X","")</f>
      </c>
      <c r="BF79" s="56" t="str">
        <f>IF(COUNTIFS('LANÇAMENTOS DIÁRIOS'!$G$5:$G$500,"E",'LANÇAMENTOS DIÁRIOS'!$C$5:$C$500,$A79,'LANÇAMENTOS DIÁRIOS'!$O$5:$O$500,"&lt;=111199",'LANÇAMENTOS DIÁRIOS'!$P$5:$P$500,"&gt;=111100")&gt;0,"X","")</f>
      </c>
      <c r="BG79" s="56" t="str">
        <f>IF(COUNTIFS('LANÇAMENTOS DIÁRIOS'!$G$5:$G$500,"E",'LANÇAMENTOS DIÁRIOS'!$C$5:$C$500,$A79,'LANÇAMENTOS DIÁRIOS'!$O$5:$O$500,"&lt;=111299",'LANÇAMENTOS DIÁRIOS'!$P$5:$P$500,"&gt;=111200")&gt;0,"X","")</f>
      </c>
      <c r="BH79" s="56" t="str">
        <f>IF(COUNTIFS('LANÇAMENTOS DIÁRIOS'!$G$5:$G$500,"E",'LANÇAMENTOS DIÁRIOS'!$C$5:$C$500,$A79,'LANÇAMENTOS DIÁRIOS'!$O$5:$O$500,"&lt;=111399",'LANÇAMENTOS DIÁRIOS'!$P$5:$P$500,"&gt;=111300")&gt;0,"X","")</f>
      </c>
      <c r="BI79" s="56" t="str">
        <f>IF(COUNTIFS('LANÇAMENTOS DIÁRIOS'!$G$5:$G$500,"E",'LANÇAMENTOS DIÁRIOS'!$C$5:$C$500,$A79,'LANÇAMENTOS DIÁRIOS'!$O$5:$O$500,"&lt;=111499",'LANÇAMENTOS DIÁRIOS'!$P$5:$P$500,"&gt;=111400")&gt;0,"X","")</f>
      </c>
      <c r="BJ79" s="56" t="str">
        <f>IF(COUNTIFS('LANÇAMENTOS DIÁRIOS'!$G$5:$G$500,"E",'LANÇAMENTOS DIÁRIOS'!$C$5:$C$500,$A79,'LANÇAMENTOS DIÁRIOS'!$O$5:$O$500,"&lt;=111500",'LANÇAMENTOS DIÁRIOS'!$P$5:$P$500,"&gt;=111500")&gt;0,"X","")</f>
      </c>
    </row>
    <row r="80" ht="19" customHeight="1">
      <c r="A80" s="68" t="str">
        <v>Construção da base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</row>
    <row r="81">
      <c r="A81" s="51" t="str">
        <v>Solo brita 30/70 cimento 4%</v>
      </c>
      <c r="B81" s="56" t="str">
        <f>IF(COUNTIFS('LANÇAMENTOS DIÁRIOS'!$G$5:$G$500,"E",'LANÇAMENTOS DIÁRIOS'!$C$5:$C$500,$A81,'LANÇAMENTOS DIÁRIOS'!$O$5:$O$500,"&lt;=105599",'LANÇAMENTOS DIÁRIOS'!$P$5:$P$500,"&gt;=105500")&gt;0,"X","")</f>
      </c>
      <c r="C81" s="56" t="str">
        <f>IF(COUNTIFS('LANÇAMENTOS DIÁRIOS'!$G$5:$G$500,"E",'LANÇAMENTOS DIÁRIOS'!$C$5:$C$500,$A81,'LANÇAMENTOS DIÁRIOS'!$O$5:$O$500,"&lt;=105699",'LANÇAMENTOS DIÁRIOS'!$P$5:$P$500,"&gt;=105600")&gt;0,"X","")</f>
      </c>
      <c r="D81" s="56" t="str">
        <f>IF(COUNTIFS('LANÇAMENTOS DIÁRIOS'!$G$5:$G$500,"E",'LANÇAMENTOS DIÁRIOS'!$C$5:$C$500,$A81,'LANÇAMENTOS DIÁRIOS'!$O$5:$O$500,"&lt;=105799",'LANÇAMENTOS DIÁRIOS'!$P$5:$P$500,"&gt;=105700")&gt;0,"X","")</f>
      </c>
      <c r="E81" s="56" t="str">
        <f>IF(COUNTIFS('LANÇAMENTOS DIÁRIOS'!$G$5:$G$500,"E",'LANÇAMENTOS DIÁRIOS'!$C$5:$C$500,$A81,'LANÇAMENTOS DIÁRIOS'!$O$5:$O$500,"&lt;=105899",'LANÇAMENTOS DIÁRIOS'!$P$5:$P$500,"&gt;=105800")&gt;0,"X","")</f>
      </c>
      <c r="F81" s="56" t="str">
        <f>IF(COUNTIFS('LANÇAMENTOS DIÁRIOS'!$G$5:$G$500,"E",'LANÇAMENTOS DIÁRIOS'!$C$5:$C$500,$A81,'LANÇAMENTOS DIÁRIOS'!$O$5:$O$500,"&lt;=105999",'LANÇAMENTOS DIÁRIOS'!$P$5:$P$500,"&gt;=105900")&gt;0,"X","")</f>
      </c>
      <c r="G81" s="56" t="str">
        <f>IF(COUNTIFS('LANÇAMENTOS DIÁRIOS'!$G$5:$G$500,"E",'LANÇAMENTOS DIÁRIOS'!$C$5:$C$500,$A81,'LANÇAMENTOS DIÁRIOS'!$O$5:$O$500,"&lt;=106099",'LANÇAMENTOS DIÁRIOS'!$P$5:$P$500,"&gt;=106000")&gt;0,"X","")</f>
      </c>
      <c r="H81" s="56" t="str">
        <f>IF(COUNTIFS('LANÇAMENTOS DIÁRIOS'!$G$5:$G$500,"E",'LANÇAMENTOS DIÁRIOS'!$C$5:$C$500,$A81,'LANÇAMENTOS DIÁRIOS'!$O$5:$O$500,"&lt;=106199",'LANÇAMENTOS DIÁRIOS'!$P$5:$P$500,"&gt;=106100")&gt;0,"X","")</f>
      </c>
      <c r="I81" s="56" t="str">
        <f>IF(COUNTIFS('LANÇAMENTOS DIÁRIOS'!$G$5:$G$500,"E",'LANÇAMENTOS DIÁRIOS'!$C$5:$C$500,$A81,'LANÇAMENTOS DIÁRIOS'!$O$5:$O$500,"&lt;=106299",'LANÇAMENTOS DIÁRIOS'!$P$5:$P$500,"&gt;=106200")&gt;0,"X","")</f>
      </c>
      <c r="J81" s="56" t="str">
        <f>IF(COUNTIFS('LANÇAMENTOS DIÁRIOS'!$G$5:$G$500,"E",'LANÇAMENTOS DIÁRIOS'!$C$5:$C$500,$A81,'LANÇAMENTOS DIÁRIOS'!$O$5:$O$500,"&lt;=106399",'LANÇAMENTOS DIÁRIOS'!$P$5:$P$500,"&gt;=106300")&gt;0,"X","")</f>
      </c>
      <c r="K81" s="56" t="str">
        <f>IF(COUNTIFS('LANÇAMENTOS DIÁRIOS'!$G$5:$G$500,"E",'LANÇAMENTOS DIÁRIOS'!$C$5:$C$500,$A81,'LANÇAMENTOS DIÁRIOS'!$O$5:$O$500,"&lt;=106499",'LANÇAMENTOS DIÁRIOS'!$P$5:$P$500,"&gt;=106400")&gt;0,"X","")</f>
      </c>
      <c r="L81" s="56" t="str">
        <f>IF(COUNTIFS('LANÇAMENTOS DIÁRIOS'!$G$5:$G$500,"E",'LANÇAMENTOS DIÁRIOS'!$C$5:$C$500,$A81,'LANÇAMENTOS DIÁRIOS'!$O$5:$O$500,"&lt;=106599",'LANÇAMENTOS DIÁRIOS'!$P$5:$P$500,"&gt;=106500")&gt;0,"X","")</f>
      </c>
      <c r="M81" s="56" t="str">
        <f>IF(COUNTIFS('LANÇAMENTOS DIÁRIOS'!$G$5:$G$500,"E",'LANÇAMENTOS DIÁRIOS'!$C$5:$C$500,$A81,'LANÇAMENTOS DIÁRIOS'!$O$5:$O$500,"&lt;=106699",'LANÇAMENTOS DIÁRIOS'!$P$5:$P$500,"&gt;=106600")&gt;0,"X","")</f>
      </c>
      <c r="N81" s="56" t="str">
        <f>IF(COUNTIFS('LANÇAMENTOS DIÁRIOS'!$G$5:$G$500,"E",'LANÇAMENTOS DIÁRIOS'!$C$5:$C$500,$A81,'LANÇAMENTOS DIÁRIOS'!$O$5:$O$500,"&lt;=106799",'LANÇAMENTOS DIÁRIOS'!$P$5:$P$500,"&gt;=106700")&gt;0,"X","")</f>
      </c>
      <c r="O81" s="56" t="str">
        <f>IF(COUNTIFS('LANÇAMENTOS DIÁRIOS'!$G$5:$G$500,"E",'LANÇAMENTOS DIÁRIOS'!$C$5:$C$500,$A81,'LANÇAMENTOS DIÁRIOS'!$O$5:$O$500,"&lt;=106899",'LANÇAMENTOS DIÁRIOS'!$P$5:$P$500,"&gt;=106800")&gt;0,"X","")</f>
      </c>
      <c r="P81" s="56" t="str">
        <f>IF(COUNTIFS('LANÇAMENTOS DIÁRIOS'!$G$5:$G$500,"E",'LANÇAMENTOS DIÁRIOS'!$C$5:$C$500,$A81,'LANÇAMENTOS DIÁRIOS'!$O$5:$O$500,"&lt;=106999",'LANÇAMENTOS DIÁRIOS'!$P$5:$P$500,"&gt;=106900")&gt;0,"X","")</f>
      </c>
      <c r="Q81" s="56" t="str">
        <f>IF(COUNTIFS('LANÇAMENTOS DIÁRIOS'!$G$5:$G$500,"E",'LANÇAMENTOS DIÁRIOS'!$C$5:$C$500,$A81,'LANÇAMENTOS DIÁRIOS'!$O$5:$O$500,"&lt;=107099",'LANÇAMENTOS DIÁRIOS'!$P$5:$P$500,"&gt;=107000")&gt;0,"X","")</f>
      </c>
      <c r="R81" s="56" t="str">
        <f>IF(COUNTIFS('LANÇAMENTOS DIÁRIOS'!$G$5:$G$500,"E",'LANÇAMENTOS DIÁRIOS'!$C$5:$C$500,$A81,'LANÇAMENTOS DIÁRIOS'!$O$5:$O$500,"&lt;=107199",'LANÇAMENTOS DIÁRIOS'!$P$5:$P$500,"&gt;=107100")&gt;0,"X","")</f>
      </c>
      <c r="S81" s="56" t="str">
        <f>IF(COUNTIFS('LANÇAMENTOS DIÁRIOS'!$G$5:$G$500,"E",'LANÇAMENTOS DIÁRIOS'!$C$5:$C$500,$A81,'LANÇAMENTOS DIÁRIOS'!$O$5:$O$500,"&lt;=107299",'LANÇAMENTOS DIÁRIOS'!$P$5:$P$500,"&gt;=107200")&gt;0,"X","")</f>
      </c>
      <c r="T81" s="56" t="str">
        <f>IF(COUNTIFS('LANÇAMENTOS DIÁRIOS'!$G$5:$G$500,"E",'LANÇAMENTOS DIÁRIOS'!$C$5:$C$500,$A81,'LANÇAMENTOS DIÁRIOS'!$O$5:$O$500,"&lt;=107399",'LANÇAMENTOS DIÁRIOS'!$P$5:$P$500,"&gt;=107300")&gt;0,"X","")</f>
      </c>
      <c r="U81" s="56" t="str">
        <f>IF(COUNTIFS('LANÇAMENTOS DIÁRIOS'!$G$5:$G$500,"E",'LANÇAMENTOS DIÁRIOS'!$C$5:$C$500,$A81,'LANÇAMENTOS DIÁRIOS'!$O$5:$O$500,"&lt;=107499",'LANÇAMENTOS DIÁRIOS'!$P$5:$P$500,"&gt;=107400")&gt;0,"X","")</f>
      </c>
      <c r="V81" s="56" t="str">
        <f>IF(COUNTIFS('LANÇAMENTOS DIÁRIOS'!$G$5:$G$500,"E",'LANÇAMENTOS DIÁRIOS'!$C$5:$C$500,$A81,'LANÇAMENTOS DIÁRIOS'!$O$5:$O$500,"&lt;=107599",'LANÇAMENTOS DIÁRIOS'!$P$5:$P$500,"&gt;=107500")&gt;0,"X","")</f>
      </c>
      <c r="W81" s="56" t="str">
        <f>IF(COUNTIFS('LANÇAMENTOS DIÁRIOS'!$G$5:$G$500,"E",'LANÇAMENTOS DIÁRIOS'!$C$5:$C$500,$A81,'LANÇAMENTOS DIÁRIOS'!$O$5:$O$500,"&lt;=107699",'LANÇAMENTOS DIÁRIOS'!$P$5:$P$500,"&gt;=107600")&gt;0,"X","")</f>
      </c>
      <c r="X81" s="56" t="str">
        <f>IF(COUNTIFS('LANÇAMENTOS DIÁRIOS'!$G$5:$G$500,"E",'LANÇAMENTOS DIÁRIOS'!$C$5:$C$500,$A81,'LANÇAMENTOS DIÁRIOS'!$O$5:$O$500,"&lt;=107799",'LANÇAMENTOS DIÁRIOS'!$P$5:$P$500,"&gt;=107700")&gt;0,"X","")</f>
      </c>
      <c r="Y81" s="56" t="str">
        <f>IF(COUNTIFS('LANÇAMENTOS DIÁRIOS'!$G$5:$G$500,"E",'LANÇAMENTOS DIÁRIOS'!$C$5:$C$500,$A81,'LANÇAMENTOS DIÁRIOS'!$O$5:$O$500,"&lt;=107899",'LANÇAMENTOS DIÁRIOS'!$P$5:$P$500,"&gt;=107800")&gt;0,"X","")</f>
      </c>
      <c r="Z81" s="56" t="str">
        <f>IF(COUNTIFS('LANÇAMENTOS DIÁRIOS'!$G$5:$G$500,"E",'LANÇAMENTOS DIÁRIOS'!$C$5:$C$500,$A81,'LANÇAMENTOS DIÁRIOS'!$O$5:$O$500,"&lt;=107999",'LANÇAMENTOS DIÁRIOS'!$P$5:$P$500,"&gt;=107900")&gt;0,"X","")</f>
      </c>
      <c r="AA81" s="56" t="str">
        <f>IF(COUNTIFS('LANÇAMENTOS DIÁRIOS'!$G$5:$G$500,"E",'LANÇAMENTOS DIÁRIOS'!$C$5:$C$500,$A81,'LANÇAMENTOS DIÁRIOS'!$O$5:$O$500,"&lt;=108099",'LANÇAMENTOS DIÁRIOS'!$P$5:$P$500,"&gt;=108000")&gt;0,"X","")</f>
      </c>
      <c r="AB81" s="56" t="str">
        <f>IF(COUNTIFS('LANÇAMENTOS DIÁRIOS'!$G$5:$G$500,"E",'LANÇAMENTOS DIÁRIOS'!$C$5:$C$500,$A81,'LANÇAMENTOS DIÁRIOS'!$O$5:$O$500,"&lt;=108199",'LANÇAMENTOS DIÁRIOS'!$P$5:$P$500,"&gt;=108100")&gt;0,"X","")</f>
      </c>
      <c r="AC81" s="56" t="str">
        <f>IF(COUNTIFS('LANÇAMENTOS DIÁRIOS'!$G$5:$G$500,"E",'LANÇAMENTOS DIÁRIOS'!$C$5:$C$500,$A81,'LANÇAMENTOS DIÁRIOS'!$O$5:$O$500,"&lt;=108299",'LANÇAMENTOS DIÁRIOS'!$P$5:$P$500,"&gt;=108200")&gt;0,"X","")</f>
      </c>
      <c r="AD81" s="56" t="str">
        <f>IF(COUNTIFS('LANÇAMENTOS DIÁRIOS'!$G$5:$G$500,"E",'LANÇAMENTOS DIÁRIOS'!$C$5:$C$500,$A81,'LANÇAMENTOS DIÁRIOS'!$O$5:$O$500,"&lt;=108399",'LANÇAMENTOS DIÁRIOS'!$P$5:$P$500,"&gt;=108300")&gt;0,"X","")</f>
      </c>
      <c r="AE81" s="56" t="str">
        <f>IF(COUNTIFS('LANÇAMENTOS DIÁRIOS'!$G$5:$G$500,"E",'LANÇAMENTOS DIÁRIOS'!$C$5:$C$500,$A81,'LANÇAMENTOS DIÁRIOS'!$O$5:$O$500,"&lt;=108499",'LANÇAMENTOS DIÁRIOS'!$P$5:$P$500,"&gt;=108400")&gt;0,"X","")</f>
      </c>
      <c r="AF81" s="56" t="str">
        <f>IF(COUNTIFS('LANÇAMENTOS DIÁRIOS'!$G$5:$G$500,"E",'LANÇAMENTOS DIÁRIOS'!$C$5:$C$500,$A81,'LANÇAMENTOS DIÁRIOS'!$O$5:$O$500,"&lt;=108599",'LANÇAMENTOS DIÁRIOS'!$P$5:$P$500,"&gt;=108500")&gt;0,"X","")</f>
      </c>
      <c r="AG81" s="56" t="str">
        <f>IF(COUNTIFS('LANÇAMENTOS DIÁRIOS'!$G$5:$G$500,"E",'LANÇAMENTOS DIÁRIOS'!$C$5:$C$500,$A81,'LANÇAMENTOS DIÁRIOS'!$O$5:$O$500,"&lt;=108699",'LANÇAMENTOS DIÁRIOS'!$P$5:$P$500,"&gt;=108600")&gt;0,"X","")</f>
      </c>
      <c r="AH81" s="56" t="str">
        <f>IF(COUNTIFS('LANÇAMENTOS DIÁRIOS'!$G$5:$G$500,"E",'LANÇAMENTOS DIÁRIOS'!$C$5:$C$500,$A81,'LANÇAMENTOS DIÁRIOS'!$O$5:$O$500,"&lt;=108799",'LANÇAMENTOS DIÁRIOS'!$P$5:$P$500,"&gt;=108700")&gt;0,"X","")</f>
      </c>
      <c r="AI81" s="56" t="str">
        <f>IF(COUNTIFS('LANÇAMENTOS DIÁRIOS'!$G$5:$G$500,"E",'LANÇAMENTOS DIÁRIOS'!$C$5:$C$500,$A81,'LANÇAMENTOS DIÁRIOS'!$O$5:$O$500,"&lt;=108899",'LANÇAMENTOS DIÁRIOS'!$P$5:$P$500,"&gt;=108800")&gt;0,"X","")</f>
      </c>
      <c r="AJ81" s="56" t="str">
        <f>IF(COUNTIFS('LANÇAMENTOS DIÁRIOS'!$G$5:$G$500,"E",'LANÇAMENTOS DIÁRIOS'!$C$5:$C$500,$A81,'LANÇAMENTOS DIÁRIOS'!$O$5:$O$500,"&lt;=108999",'LANÇAMENTOS DIÁRIOS'!$P$5:$P$500,"&gt;=108900")&gt;0,"X","")</f>
      </c>
      <c r="AK81" s="56" t="str">
        <f>IF(COUNTIFS('LANÇAMENTOS DIÁRIOS'!$G$5:$G$500,"E",'LANÇAMENTOS DIÁRIOS'!$C$5:$C$500,$A81,'LANÇAMENTOS DIÁRIOS'!$O$5:$O$500,"&lt;=109099",'LANÇAMENTOS DIÁRIOS'!$P$5:$P$500,"&gt;=109000")&gt;0,"X","")</f>
      </c>
      <c r="AL81" s="56" t="str">
        <f>IF(COUNTIFS('LANÇAMENTOS DIÁRIOS'!$G$5:$G$500,"E",'LANÇAMENTOS DIÁRIOS'!$C$5:$C$500,$A81,'LANÇAMENTOS DIÁRIOS'!$O$5:$O$500,"&lt;=109199",'LANÇAMENTOS DIÁRIOS'!$P$5:$P$500,"&gt;=109100")&gt;0,"X","")</f>
      </c>
      <c r="AM81" s="56" t="str">
        <f>IF(COUNTIFS('LANÇAMENTOS DIÁRIOS'!$G$5:$G$500,"E",'LANÇAMENTOS DIÁRIOS'!$C$5:$C$500,$A81,'LANÇAMENTOS DIÁRIOS'!$O$5:$O$500,"&lt;=109299",'LANÇAMENTOS DIÁRIOS'!$P$5:$P$500,"&gt;=109200")&gt;0,"X","")</f>
      </c>
      <c r="AN81" s="56" t="str">
        <f>IF(COUNTIFS('LANÇAMENTOS DIÁRIOS'!$G$5:$G$500,"E",'LANÇAMENTOS DIÁRIOS'!$C$5:$C$500,$A81,'LANÇAMENTOS DIÁRIOS'!$O$5:$O$500,"&lt;=109399",'LANÇAMENTOS DIÁRIOS'!$P$5:$P$500,"&gt;=109300")&gt;0,"X","")</f>
      </c>
      <c r="AO81" s="56" t="str">
        <f>IF(COUNTIFS('LANÇAMENTOS DIÁRIOS'!$G$5:$G$500,"E",'LANÇAMENTOS DIÁRIOS'!$C$5:$C$500,$A81,'LANÇAMENTOS DIÁRIOS'!$O$5:$O$500,"&lt;=109499",'LANÇAMENTOS DIÁRIOS'!$P$5:$P$500,"&gt;=109400")&gt;0,"X","")</f>
      </c>
      <c r="AP81" s="56" t="str">
        <f>IF(COUNTIFS('LANÇAMENTOS DIÁRIOS'!$G$5:$G$500,"E",'LANÇAMENTOS DIÁRIOS'!$C$5:$C$500,$A81,'LANÇAMENTOS DIÁRIOS'!$O$5:$O$500,"&lt;=109599",'LANÇAMENTOS DIÁRIOS'!$P$5:$P$500,"&gt;=109500")&gt;0,"X","")</f>
      </c>
      <c r="AQ81" s="56" t="str">
        <f>IF(COUNTIFS('LANÇAMENTOS DIÁRIOS'!$G$5:$G$500,"E",'LANÇAMENTOS DIÁRIOS'!$C$5:$C$500,$A81,'LANÇAMENTOS DIÁRIOS'!$O$5:$O$500,"&lt;=109699",'LANÇAMENTOS DIÁRIOS'!$P$5:$P$500,"&gt;=109600")&gt;0,"X","")</f>
      </c>
      <c r="AR81" s="56" t="str">
        <f>IF(COUNTIFS('LANÇAMENTOS DIÁRIOS'!$G$5:$G$500,"E",'LANÇAMENTOS DIÁRIOS'!$C$5:$C$500,$A81,'LANÇAMENTOS DIÁRIOS'!$O$5:$O$500,"&lt;=109799",'LANÇAMENTOS DIÁRIOS'!$P$5:$P$500,"&gt;=109700")&gt;0,"X","")</f>
      </c>
      <c r="AS81" s="56" t="str">
        <f>IF(COUNTIFS('LANÇAMENTOS DIÁRIOS'!$G$5:$G$500,"E",'LANÇAMENTOS DIÁRIOS'!$C$5:$C$500,$A81,'LANÇAMENTOS DIÁRIOS'!$O$5:$O$500,"&lt;=109899",'LANÇAMENTOS DIÁRIOS'!$P$5:$P$500,"&gt;=109800")&gt;0,"X","")</f>
      </c>
      <c r="AT81" s="56" t="str">
        <f>IF(COUNTIFS('LANÇAMENTOS DIÁRIOS'!$G$5:$G$500,"E",'LANÇAMENTOS DIÁRIOS'!$C$5:$C$500,$A81,'LANÇAMENTOS DIÁRIOS'!$O$5:$O$500,"&lt;=109999",'LANÇAMENTOS DIÁRIOS'!$P$5:$P$500,"&gt;=109900")&gt;0,"X","")</f>
      </c>
      <c r="AU81" s="56" t="str">
        <f>IF(COUNTIFS('LANÇAMENTOS DIÁRIOS'!$G$5:$G$500,"E",'LANÇAMENTOS DIÁRIOS'!$C$5:$C$500,$A81,'LANÇAMENTOS DIÁRIOS'!$O$5:$O$500,"&lt;=110099",'LANÇAMENTOS DIÁRIOS'!$P$5:$P$500,"&gt;=110000")&gt;0,"X","")</f>
      </c>
      <c r="AV81" s="56" t="str">
        <f>IF(COUNTIFS('LANÇAMENTOS DIÁRIOS'!$G$5:$G$500,"E",'LANÇAMENTOS DIÁRIOS'!$C$5:$C$500,$A81,'LANÇAMENTOS DIÁRIOS'!$O$5:$O$500,"&lt;=110199",'LANÇAMENTOS DIÁRIOS'!$P$5:$P$500,"&gt;=110100")&gt;0,"X","")</f>
      </c>
      <c r="AW81" s="56" t="str">
        <f>IF(COUNTIFS('LANÇAMENTOS DIÁRIOS'!$G$5:$G$500,"E",'LANÇAMENTOS DIÁRIOS'!$C$5:$C$500,$A81,'LANÇAMENTOS DIÁRIOS'!$O$5:$O$500,"&lt;=110299",'LANÇAMENTOS DIÁRIOS'!$P$5:$P$500,"&gt;=110200")&gt;0,"X","")</f>
      </c>
      <c r="AX81" s="56" t="str">
        <f>IF(COUNTIFS('LANÇAMENTOS DIÁRIOS'!$G$5:$G$500,"E",'LANÇAMENTOS DIÁRIOS'!$C$5:$C$500,$A81,'LANÇAMENTOS DIÁRIOS'!$O$5:$O$500,"&lt;=110399",'LANÇAMENTOS DIÁRIOS'!$P$5:$P$500,"&gt;=110300")&gt;0,"X","")</f>
      </c>
      <c r="AY81" s="56" t="str">
        <f>IF(COUNTIFS('LANÇAMENTOS DIÁRIOS'!$G$5:$G$500,"E",'LANÇAMENTOS DIÁRIOS'!$C$5:$C$500,$A81,'LANÇAMENTOS DIÁRIOS'!$O$5:$O$500,"&lt;=110499",'LANÇAMENTOS DIÁRIOS'!$P$5:$P$500,"&gt;=110400")&gt;0,"X","")</f>
      </c>
      <c r="AZ81" s="56" t="str">
        <f>IF(COUNTIFS('LANÇAMENTOS DIÁRIOS'!$G$5:$G$500,"E",'LANÇAMENTOS DIÁRIOS'!$C$5:$C$500,$A81,'LANÇAMENTOS DIÁRIOS'!$O$5:$O$500,"&lt;=110599",'LANÇAMENTOS DIÁRIOS'!$P$5:$P$500,"&gt;=110500")&gt;0,"X","")</f>
      </c>
      <c r="BA81" s="56" t="str">
        <f>IF(COUNTIFS('LANÇAMENTOS DIÁRIOS'!$G$5:$G$500,"E",'LANÇAMENTOS DIÁRIOS'!$C$5:$C$500,$A81,'LANÇAMENTOS DIÁRIOS'!$O$5:$O$500,"&lt;=110699",'LANÇAMENTOS DIÁRIOS'!$P$5:$P$500,"&gt;=110600")&gt;0,"X","")</f>
      </c>
      <c r="BB81" s="56" t="str">
        <f>IF(COUNTIFS('LANÇAMENTOS DIÁRIOS'!$G$5:$G$500,"E",'LANÇAMENTOS DIÁRIOS'!$C$5:$C$500,$A81,'LANÇAMENTOS DIÁRIOS'!$O$5:$O$500,"&lt;=110799",'LANÇAMENTOS DIÁRIOS'!$P$5:$P$500,"&gt;=110700")&gt;0,"X","")</f>
      </c>
      <c r="BC81" s="56" t="str">
        <f>IF(COUNTIFS('LANÇAMENTOS DIÁRIOS'!$G$5:$G$500,"E",'LANÇAMENTOS DIÁRIOS'!$C$5:$C$500,$A81,'LANÇAMENTOS DIÁRIOS'!$O$5:$O$500,"&lt;=110899",'LANÇAMENTOS DIÁRIOS'!$P$5:$P$500,"&gt;=110800")&gt;0,"X","")</f>
      </c>
      <c r="BD81" s="56" t="str">
        <f>IF(COUNTIFS('LANÇAMENTOS DIÁRIOS'!$G$5:$G$500,"E",'LANÇAMENTOS DIÁRIOS'!$C$5:$C$500,$A81,'LANÇAMENTOS DIÁRIOS'!$O$5:$O$500,"&lt;=110999",'LANÇAMENTOS DIÁRIOS'!$P$5:$P$500,"&gt;=110900")&gt;0,"X","")</f>
      </c>
      <c r="BE81" s="56" t="str">
        <f>IF(COUNTIFS('LANÇAMENTOS DIÁRIOS'!$G$5:$G$500,"E",'LANÇAMENTOS DIÁRIOS'!$C$5:$C$500,$A81,'LANÇAMENTOS DIÁRIOS'!$O$5:$O$500,"&lt;=111099",'LANÇAMENTOS DIÁRIOS'!$P$5:$P$500,"&gt;=111000")&gt;0,"X","")</f>
      </c>
      <c r="BF81" s="56" t="str">
        <f>IF(COUNTIFS('LANÇAMENTOS DIÁRIOS'!$G$5:$G$500,"E",'LANÇAMENTOS DIÁRIOS'!$C$5:$C$500,$A81,'LANÇAMENTOS DIÁRIOS'!$O$5:$O$500,"&lt;=111199",'LANÇAMENTOS DIÁRIOS'!$P$5:$P$500,"&gt;=111100")&gt;0,"X","")</f>
      </c>
      <c r="BG81" s="56" t="str">
        <f>IF(COUNTIFS('LANÇAMENTOS DIÁRIOS'!$G$5:$G$500,"E",'LANÇAMENTOS DIÁRIOS'!$C$5:$C$500,$A81,'LANÇAMENTOS DIÁRIOS'!$O$5:$O$500,"&lt;=111299",'LANÇAMENTOS DIÁRIOS'!$P$5:$P$500,"&gt;=111200")&gt;0,"X","")</f>
      </c>
      <c r="BH81" s="56" t="str">
        <f>IF(COUNTIFS('LANÇAMENTOS DIÁRIOS'!$G$5:$G$500,"E",'LANÇAMENTOS DIÁRIOS'!$C$5:$C$500,$A81,'LANÇAMENTOS DIÁRIOS'!$O$5:$O$500,"&lt;=111399",'LANÇAMENTOS DIÁRIOS'!$P$5:$P$500,"&gt;=111300")&gt;0,"X","")</f>
      </c>
      <c r="BI81" s="56" t="str">
        <f>IF(COUNTIFS('LANÇAMENTOS DIÁRIOS'!$G$5:$G$500,"E",'LANÇAMENTOS DIÁRIOS'!$C$5:$C$500,$A81,'LANÇAMENTOS DIÁRIOS'!$O$5:$O$500,"&lt;=111499",'LANÇAMENTOS DIÁRIOS'!$P$5:$P$500,"&gt;=111400")&gt;0,"X","")</f>
      </c>
      <c r="BJ81" s="56" t="str">
        <f>IF(COUNTIFS('LANÇAMENTOS DIÁRIOS'!$G$5:$G$500,"E",'LANÇAMENTOS DIÁRIOS'!$C$5:$C$500,$A81,'LANÇAMENTOS DIÁRIOS'!$O$5:$O$500,"&lt;=111500",'LANÇAMENTOS DIÁRIOS'!$P$5:$P$500,"&gt;=111500")&gt;0,"X","")</f>
      </c>
    </row>
    <row r="82">
      <c r="A82" s="51" t="str">
        <v>Solo brita 30/70</v>
      </c>
      <c r="B82" s="56" t="str">
        <f>IF(COUNTIFS('LANÇAMENTOS DIÁRIOS'!$G$5:$G$500,"E",'LANÇAMENTOS DIÁRIOS'!$C$5:$C$500,$A82,'LANÇAMENTOS DIÁRIOS'!$O$5:$O$500,"&lt;=105599",'LANÇAMENTOS DIÁRIOS'!$P$5:$P$500,"&gt;=105500")&gt;0,"X","")</f>
      </c>
      <c r="C82" s="56" t="str">
        <f>IF(COUNTIFS('LANÇAMENTOS DIÁRIOS'!$G$5:$G$500,"E",'LANÇAMENTOS DIÁRIOS'!$C$5:$C$500,$A82,'LANÇAMENTOS DIÁRIOS'!$O$5:$O$500,"&lt;=105699",'LANÇAMENTOS DIÁRIOS'!$P$5:$P$500,"&gt;=105600")&gt;0,"X","")</f>
      </c>
      <c r="D82" s="56" t="str">
        <f>IF(COUNTIFS('LANÇAMENTOS DIÁRIOS'!$G$5:$G$500,"E",'LANÇAMENTOS DIÁRIOS'!$C$5:$C$500,$A82,'LANÇAMENTOS DIÁRIOS'!$O$5:$O$500,"&lt;=105799",'LANÇAMENTOS DIÁRIOS'!$P$5:$P$500,"&gt;=105700")&gt;0,"X","")</f>
      </c>
      <c r="E82" s="56" t="str">
        <f>IF(COUNTIFS('LANÇAMENTOS DIÁRIOS'!$G$5:$G$500,"E",'LANÇAMENTOS DIÁRIOS'!$C$5:$C$500,$A82,'LANÇAMENTOS DIÁRIOS'!$O$5:$O$500,"&lt;=105899",'LANÇAMENTOS DIÁRIOS'!$P$5:$P$500,"&gt;=105800")&gt;0,"X","")</f>
      </c>
      <c r="F82" s="56" t="str">
        <f>IF(COUNTIFS('LANÇAMENTOS DIÁRIOS'!$G$5:$G$500,"E",'LANÇAMENTOS DIÁRIOS'!$C$5:$C$500,$A82,'LANÇAMENTOS DIÁRIOS'!$O$5:$O$500,"&lt;=105999",'LANÇAMENTOS DIÁRIOS'!$P$5:$P$500,"&gt;=105900")&gt;0,"X","")</f>
      </c>
      <c r="G82" s="56" t="str">
        <f>IF(COUNTIFS('LANÇAMENTOS DIÁRIOS'!$G$5:$G$500,"E",'LANÇAMENTOS DIÁRIOS'!$C$5:$C$500,$A82,'LANÇAMENTOS DIÁRIOS'!$O$5:$O$500,"&lt;=106099",'LANÇAMENTOS DIÁRIOS'!$P$5:$P$500,"&gt;=106000")&gt;0,"X","")</f>
      </c>
      <c r="H82" s="56" t="str">
        <f>IF(COUNTIFS('LANÇAMENTOS DIÁRIOS'!$G$5:$G$500,"E",'LANÇAMENTOS DIÁRIOS'!$C$5:$C$500,$A82,'LANÇAMENTOS DIÁRIOS'!$O$5:$O$500,"&lt;=106199",'LANÇAMENTOS DIÁRIOS'!$P$5:$P$500,"&gt;=106100")&gt;0,"X","")</f>
      </c>
      <c r="I82" s="56" t="str">
        <f>IF(COUNTIFS('LANÇAMENTOS DIÁRIOS'!$G$5:$G$500,"E",'LANÇAMENTOS DIÁRIOS'!$C$5:$C$500,$A82,'LANÇAMENTOS DIÁRIOS'!$O$5:$O$500,"&lt;=106299",'LANÇAMENTOS DIÁRIOS'!$P$5:$P$500,"&gt;=106200")&gt;0,"X","")</f>
      </c>
      <c r="J82" s="56" t="str">
        <f>IF(COUNTIFS('LANÇAMENTOS DIÁRIOS'!$G$5:$G$500,"E",'LANÇAMENTOS DIÁRIOS'!$C$5:$C$500,$A82,'LANÇAMENTOS DIÁRIOS'!$O$5:$O$500,"&lt;=106399",'LANÇAMENTOS DIÁRIOS'!$P$5:$P$500,"&gt;=106300")&gt;0,"X","")</f>
      </c>
      <c r="K82" s="56" t="str">
        <f>IF(COUNTIFS('LANÇAMENTOS DIÁRIOS'!$G$5:$G$500,"E",'LANÇAMENTOS DIÁRIOS'!$C$5:$C$500,$A82,'LANÇAMENTOS DIÁRIOS'!$O$5:$O$500,"&lt;=106499",'LANÇAMENTOS DIÁRIOS'!$P$5:$P$500,"&gt;=106400")&gt;0,"X","")</f>
      </c>
      <c r="L82" s="56" t="str">
        <f>IF(COUNTIFS('LANÇAMENTOS DIÁRIOS'!$G$5:$G$500,"E",'LANÇAMENTOS DIÁRIOS'!$C$5:$C$500,$A82,'LANÇAMENTOS DIÁRIOS'!$O$5:$O$500,"&lt;=106599",'LANÇAMENTOS DIÁRIOS'!$P$5:$P$500,"&gt;=106500")&gt;0,"X","")</f>
      </c>
      <c r="M82" s="56" t="str">
        <f>IF(COUNTIFS('LANÇAMENTOS DIÁRIOS'!$G$5:$G$500,"E",'LANÇAMENTOS DIÁRIOS'!$C$5:$C$500,$A82,'LANÇAMENTOS DIÁRIOS'!$O$5:$O$500,"&lt;=106699",'LANÇAMENTOS DIÁRIOS'!$P$5:$P$500,"&gt;=106600")&gt;0,"X","")</f>
      </c>
      <c r="N82" s="56" t="str">
        <f>IF(COUNTIFS('LANÇAMENTOS DIÁRIOS'!$G$5:$G$500,"E",'LANÇAMENTOS DIÁRIOS'!$C$5:$C$500,$A82,'LANÇAMENTOS DIÁRIOS'!$O$5:$O$500,"&lt;=106799",'LANÇAMENTOS DIÁRIOS'!$P$5:$P$500,"&gt;=106700")&gt;0,"X","")</f>
      </c>
      <c r="O82" s="56" t="str">
        <f>IF(COUNTIFS('LANÇAMENTOS DIÁRIOS'!$G$5:$G$500,"E",'LANÇAMENTOS DIÁRIOS'!$C$5:$C$500,$A82,'LANÇAMENTOS DIÁRIOS'!$O$5:$O$500,"&lt;=106899",'LANÇAMENTOS DIÁRIOS'!$P$5:$P$500,"&gt;=106800")&gt;0,"X","")</f>
      </c>
      <c r="P82" s="56" t="str">
        <f>IF(COUNTIFS('LANÇAMENTOS DIÁRIOS'!$G$5:$G$500,"E",'LANÇAMENTOS DIÁRIOS'!$C$5:$C$500,$A82,'LANÇAMENTOS DIÁRIOS'!$O$5:$O$500,"&lt;=106999",'LANÇAMENTOS DIÁRIOS'!$P$5:$P$500,"&gt;=106900")&gt;0,"X","")</f>
      </c>
      <c r="Q82" s="56" t="str">
        <f>IF(COUNTIFS('LANÇAMENTOS DIÁRIOS'!$G$5:$G$500,"E",'LANÇAMENTOS DIÁRIOS'!$C$5:$C$500,$A82,'LANÇAMENTOS DIÁRIOS'!$O$5:$O$500,"&lt;=107099",'LANÇAMENTOS DIÁRIOS'!$P$5:$P$500,"&gt;=107000")&gt;0,"X","")</f>
      </c>
      <c r="R82" s="56" t="str">
        <f>IF(COUNTIFS('LANÇAMENTOS DIÁRIOS'!$G$5:$G$500,"E",'LANÇAMENTOS DIÁRIOS'!$C$5:$C$500,$A82,'LANÇAMENTOS DIÁRIOS'!$O$5:$O$500,"&lt;=107199",'LANÇAMENTOS DIÁRIOS'!$P$5:$P$500,"&gt;=107100")&gt;0,"X","")</f>
      </c>
      <c r="S82" s="56" t="str">
        <f>IF(COUNTIFS('LANÇAMENTOS DIÁRIOS'!$G$5:$G$500,"E",'LANÇAMENTOS DIÁRIOS'!$C$5:$C$500,$A82,'LANÇAMENTOS DIÁRIOS'!$O$5:$O$500,"&lt;=107299",'LANÇAMENTOS DIÁRIOS'!$P$5:$P$500,"&gt;=107200")&gt;0,"X","")</f>
      </c>
      <c r="T82" s="56" t="str">
        <f>IF(COUNTIFS('LANÇAMENTOS DIÁRIOS'!$G$5:$G$500,"E",'LANÇAMENTOS DIÁRIOS'!$C$5:$C$500,$A82,'LANÇAMENTOS DIÁRIOS'!$O$5:$O$500,"&lt;=107399",'LANÇAMENTOS DIÁRIOS'!$P$5:$P$500,"&gt;=107300")&gt;0,"X","")</f>
      </c>
      <c r="U82" s="56" t="str">
        <f>IF(COUNTIFS('LANÇAMENTOS DIÁRIOS'!$G$5:$G$500,"E",'LANÇAMENTOS DIÁRIOS'!$C$5:$C$500,$A82,'LANÇAMENTOS DIÁRIOS'!$O$5:$O$500,"&lt;=107499",'LANÇAMENTOS DIÁRIOS'!$P$5:$P$500,"&gt;=107400")&gt;0,"X","")</f>
      </c>
      <c r="V82" s="56" t="str">
        <f>IF(COUNTIFS('LANÇAMENTOS DIÁRIOS'!$G$5:$G$500,"E",'LANÇAMENTOS DIÁRIOS'!$C$5:$C$500,$A82,'LANÇAMENTOS DIÁRIOS'!$O$5:$O$500,"&lt;=107599",'LANÇAMENTOS DIÁRIOS'!$P$5:$P$500,"&gt;=107500")&gt;0,"X","")</f>
      </c>
      <c r="W82" s="56" t="str">
        <f>IF(COUNTIFS('LANÇAMENTOS DIÁRIOS'!$G$5:$G$500,"E",'LANÇAMENTOS DIÁRIOS'!$C$5:$C$500,$A82,'LANÇAMENTOS DIÁRIOS'!$O$5:$O$500,"&lt;=107699",'LANÇAMENTOS DIÁRIOS'!$P$5:$P$500,"&gt;=107600")&gt;0,"X","")</f>
      </c>
      <c r="X82" s="56" t="str">
        <f>IF(COUNTIFS('LANÇAMENTOS DIÁRIOS'!$G$5:$G$500,"E",'LANÇAMENTOS DIÁRIOS'!$C$5:$C$500,$A82,'LANÇAMENTOS DIÁRIOS'!$O$5:$O$500,"&lt;=107799",'LANÇAMENTOS DIÁRIOS'!$P$5:$P$500,"&gt;=107700")&gt;0,"X","")</f>
      </c>
      <c r="Y82" s="56" t="str">
        <f>IF(COUNTIFS('LANÇAMENTOS DIÁRIOS'!$G$5:$G$500,"E",'LANÇAMENTOS DIÁRIOS'!$C$5:$C$500,$A82,'LANÇAMENTOS DIÁRIOS'!$O$5:$O$500,"&lt;=107899",'LANÇAMENTOS DIÁRIOS'!$P$5:$P$500,"&gt;=107800")&gt;0,"X","")</f>
      </c>
      <c r="Z82" s="56" t="str">
        <f>IF(COUNTIFS('LANÇAMENTOS DIÁRIOS'!$G$5:$G$500,"E",'LANÇAMENTOS DIÁRIOS'!$C$5:$C$500,$A82,'LANÇAMENTOS DIÁRIOS'!$O$5:$O$500,"&lt;=107999",'LANÇAMENTOS DIÁRIOS'!$P$5:$P$500,"&gt;=107900")&gt;0,"X","")</f>
      </c>
      <c r="AA82" s="56" t="str">
        <f>IF(COUNTIFS('LANÇAMENTOS DIÁRIOS'!$G$5:$G$500,"E",'LANÇAMENTOS DIÁRIOS'!$C$5:$C$500,$A82,'LANÇAMENTOS DIÁRIOS'!$O$5:$O$500,"&lt;=108099",'LANÇAMENTOS DIÁRIOS'!$P$5:$P$500,"&gt;=108000")&gt;0,"X","")</f>
      </c>
      <c r="AB82" s="56" t="str">
        <f>IF(COUNTIFS('LANÇAMENTOS DIÁRIOS'!$G$5:$G$500,"E",'LANÇAMENTOS DIÁRIOS'!$C$5:$C$500,$A82,'LANÇAMENTOS DIÁRIOS'!$O$5:$O$500,"&lt;=108199",'LANÇAMENTOS DIÁRIOS'!$P$5:$P$500,"&gt;=108100")&gt;0,"X","")</f>
      </c>
      <c r="AC82" s="56" t="str">
        <f>IF(COUNTIFS('LANÇAMENTOS DIÁRIOS'!$G$5:$G$500,"E",'LANÇAMENTOS DIÁRIOS'!$C$5:$C$500,$A82,'LANÇAMENTOS DIÁRIOS'!$O$5:$O$500,"&lt;=108299",'LANÇAMENTOS DIÁRIOS'!$P$5:$P$500,"&gt;=108200")&gt;0,"X","")</f>
      </c>
      <c r="AD82" s="56" t="str">
        <f>IF(COUNTIFS('LANÇAMENTOS DIÁRIOS'!$G$5:$G$500,"E",'LANÇAMENTOS DIÁRIOS'!$C$5:$C$500,$A82,'LANÇAMENTOS DIÁRIOS'!$O$5:$O$500,"&lt;=108399",'LANÇAMENTOS DIÁRIOS'!$P$5:$P$500,"&gt;=108300")&gt;0,"X","")</f>
      </c>
      <c r="AE82" s="56" t="str">
        <f>IF(COUNTIFS('LANÇAMENTOS DIÁRIOS'!$G$5:$G$500,"E",'LANÇAMENTOS DIÁRIOS'!$C$5:$C$500,$A82,'LANÇAMENTOS DIÁRIOS'!$O$5:$O$500,"&lt;=108499",'LANÇAMENTOS DIÁRIOS'!$P$5:$P$500,"&gt;=108400")&gt;0,"X","")</f>
      </c>
      <c r="AF82" s="56" t="str">
        <f>IF(COUNTIFS('LANÇAMENTOS DIÁRIOS'!$G$5:$G$500,"E",'LANÇAMENTOS DIÁRIOS'!$C$5:$C$500,$A82,'LANÇAMENTOS DIÁRIOS'!$O$5:$O$500,"&lt;=108599",'LANÇAMENTOS DIÁRIOS'!$P$5:$P$500,"&gt;=108500")&gt;0,"X","")</f>
      </c>
      <c r="AG82" s="56" t="str">
        <f>IF(COUNTIFS('LANÇAMENTOS DIÁRIOS'!$G$5:$G$500,"E",'LANÇAMENTOS DIÁRIOS'!$C$5:$C$500,$A82,'LANÇAMENTOS DIÁRIOS'!$O$5:$O$500,"&lt;=108699",'LANÇAMENTOS DIÁRIOS'!$P$5:$P$500,"&gt;=108600")&gt;0,"X","")</f>
      </c>
      <c r="AH82" s="56" t="str">
        <f>IF(COUNTIFS('LANÇAMENTOS DIÁRIOS'!$G$5:$G$500,"E",'LANÇAMENTOS DIÁRIOS'!$C$5:$C$500,$A82,'LANÇAMENTOS DIÁRIOS'!$O$5:$O$500,"&lt;=108799",'LANÇAMENTOS DIÁRIOS'!$P$5:$P$500,"&gt;=108700")&gt;0,"X","")</f>
      </c>
      <c r="AI82" s="56" t="str">
        <f>IF(COUNTIFS('LANÇAMENTOS DIÁRIOS'!$G$5:$G$500,"E",'LANÇAMENTOS DIÁRIOS'!$C$5:$C$500,$A82,'LANÇAMENTOS DIÁRIOS'!$O$5:$O$500,"&lt;=108899",'LANÇAMENTOS DIÁRIOS'!$P$5:$P$500,"&gt;=108800")&gt;0,"X","")</f>
      </c>
      <c r="AJ82" s="56" t="str">
        <f>IF(COUNTIFS('LANÇAMENTOS DIÁRIOS'!$G$5:$G$500,"E",'LANÇAMENTOS DIÁRIOS'!$C$5:$C$500,$A82,'LANÇAMENTOS DIÁRIOS'!$O$5:$O$500,"&lt;=108999",'LANÇAMENTOS DIÁRIOS'!$P$5:$P$500,"&gt;=108900")&gt;0,"X","")</f>
      </c>
      <c r="AK82" s="56" t="str">
        <f>IF(COUNTIFS('LANÇAMENTOS DIÁRIOS'!$G$5:$G$500,"E",'LANÇAMENTOS DIÁRIOS'!$C$5:$C$500,$A82,'LANÇAMENTOS DIÁRIOS'!$O$5:$O$500,"&lt;=109099",'LANÇAMENTOS DIÁRIOS'!$P$5:$P$500,"&gt;=109000")&gt;0,"X","")</f>
      </c>
      <c r="AL82" s="56" t="str">
        <f>IF(COUNTIFS('LANÇAMENTOS DIÁRIOS'!$G$5:$G$500,"E",'LANÇAMENTOS DIÁRIOS'!$C$5:$C$500,$A82,'LANÇAMENTOS DIÁRIOS'!$O$5:$O$500,"&lt;=109199",'LANÇAMENTOS DIÁRIOS'!$P$5:$P$500,"&gt;=109100")&gt;0,"X","")</f>
      </c>
      <c r="AM82" s="56" t="str">
        <f>IF(COUNTIFS('LANÇAMENTOS DIÁRIOS'!$G$5:$G$500,"E",'LANÇAMENTOS DIÁRIOS'!$C$5:$C$500,$A82,'LANÇAMENTOS DIÁRIOS'!$O$5:$O$500,"&lt;=109299",'LANÇAMENTOS DIÁRIOS'!$P$5:$P$500,"&gt;=109200")&gt;0,"X","")</f>
      </c>
      <c r="AN82" s="56" t="str">
        <f>IF(COUNTIFS('LANÇAMENTOS DIÁRIOS'!$G$5:$G$500,"E",'LANÇAMENTOS DIÁRIOS'!$C$5:$C$500,$A82,'LANÇAMENTOS DIÁRIOS'!$O$5:$O$500,"&lt;=109399",'LANÇAMENTOS DIÁRIOS'!$P$5:$P$500,"&gt;=109300")&gt;0,"X","")</f>
      </c>
      <c r="AO82" s="56" t="str">
        <f>IF(COUNTIFS('LANÇAMENTOS DIÁRIOS'!$G$5:$G$500,"E",'LANÇAMENTOS DIÁRIOS'!$C$5:$C$500,$A82,'LANÇAMENTOS DIÁRIOS'!$O$5:$O$500,"&lt;=109499",'LANÇAMENTOS DIÁRIOS'!$P$5:$P$500,"&gt;=109400")&gt;0,"X","")</f>
      </c>
      <c r="AP82" s="56" t="str">
        <f>IF(COUNTIFS('LANÇAMENTOS DIÁRIOS'!$G$5:$G$500,"E",'LANÇAMENTOS DIÁRIOS'!$C$5:$C$500,$A82,'LANÇAMENTOS DIÁRIOS'!$O$5:$O$500,"&lt;=109599",'LANÇAMENTOS DIÁRIOS'!$P$5:$P$500,"&gt;=109500")&gt;0,"X","")</f>
      </c>
      <c r="AQ82" s="56" t="str">
        <f>IF(COUNTIFS('LANÇAMENTOS DIÁRIOS'!$G$5:$G$500,"E",'LANÇAMENTOS DIÁRIOS'!$C$5:$C$500,$A82,'LANÇAMENTOS DIÁRIOS'!$O$5:$O$500,"&lt;=109699",'LANÇAMENTOS DIÁRIOS'!$P$5:$P$500,"&gt;=109600")&gt;0,"X","")</f>
      </c>
      <c r="AR82" s="56" t="str">
        <f>IF(COUNTIFS('LANÇAMENTOS DIÁRIOS'!$G$5:$G$500,"E",'LANÇAMENTOS DIÁRIOS'!$C$5:$C$500,$A82,'LANÇAMENTOS DIÁRIOS'!$O$5:$O$500,"&lt;=109799",'LANÇAMENTOS DIÁRIOS'!$P$5:$P$500,"&gt;=109700")&gt;0,"X","")</f>
      </c>
      <c r="AS82" s="56" t="str">
        <f>IF(COUNTIFS('LANÇAMENTOS DIÁRIOS'!$G$5:$G$500,"E",'LANÇAMENTOS DIÁRIOS'!$C$5:$C$500,$A82,'LANÇAMENTOS DIÁRIOS'!$O$5:$O$500,"&lt;=109899",'LANÇAMENTOS DIÁRIOS'!$P$5:$P$500,"&gt;=109800")&gt;0,"X","")</f>
      </c>
      <c r="AT82" s="56" t="str">
        <f>IF(COUNTIFS('LANÇAMENTOS DIÁRIOS'!$G$5:$G$500,"E",'LANÇAMENTOS DIÁRIOS'!$C$5:$C$500,$A82,'LANÇAMENTOS DIÁRIOS'!$O$5:$O$500,"&lt;=109999",'LANÇAMENTOS DIÁRIOS'!$P$5:$P$500,"&gt;=109900")&gt;0,"X","")</f>
      </c>
      <c r="AU82" s="56" t="str">
        <f>IF(COUNTIFS('LANÇAMENTOS DIÁRIOS'!$G$5:$G$500,"E",'LANÇAMENTOS DIÁRIOS'!$C$5:$C$500,$A82,'LANÇAMENTOS DIÁRIOS'!$O$5:$O$500,"&lt;=110099",'LANÇAMENTOS DIÁRIOS'!$P$5:$P$500,"&gt;=110000")&gt;0,"X","")</f>
      </c>
      <c r="AV82" s="56" t="str">
        <f>IF(COUNTIFS('LANÇAMENTOS DIÁRIOS'!$G$5:$G$500,"E",'LANÇAMENTOS DIÁRIOS'!$C$5:$C$500,$A82,'LANÇAMENTOS DIÁRIOS'!$O$5:$O$500,"&lt;=110199",'LANÇAMENTOS DIÁRIOS'!$P$5:$P$500,"&gt;=110100")&gt;0,"X","")</f>
      </c>
      <c r="AW82" s="56" t="str">
        <f>IF(COUNTIFS('LANÇAMENTOS DIÁRIOS'!$G$5:$G$500,"E",'LANÇAMENTOS DIÁRIOS'!$C$5:$C$500,$A82,'LANÇAMENTOS DIÁRIOS'!$O$5:$O$500,"&lt;=110299",'LANÇAMENTOS DIÁRIOS'!$P$5:$P$500,"&gt;=110200")&gt;0,"X","")</f>
      </c>
      <c r="AX82" s="56" t="str">
        <f>IF(COUNTIFS('LANÇAMENTOS DIÁRIOS'!$G$5:$G$500,"E",'LANÇAMENTOS DIÁRIOS'!$C$5:$C$500,$A82,'LANÇAMENTOS DIÁRIOS'!$O$5:$O$500,"&lt;=110399",'LANÇAMENTOS DIÁRIOS'!$P$5:$P$500,"&gt;=110300")&gt;0,"X","")</f>
      </c>
      <c r="AY82" s="56" t="str">
        <f>IF(COUNTIFS('LANÇAMENTOS DIÁRIOS'!$G$5:$G$500,"E",'LANÇAMENTOS DIÁRIOS'!$C$5:$C$500,$A82,'LANÇAMENTOS DIÁRIOS'!$O$5:$O$500,"&lt;=110499",'LANÇAMENTOS DIÁRIOS'!$P$5:$P$500,"&gt;=110400")&gt;0,"X","")</f>
      </c>
      <c r="AZ82" s="56" t="str">
        <f>IF(COUNTIFS('LANÇAMENTOS DIÁRIOS'!$G$5:$G$500,"E",'LANÇAMENTOS DIÁRIOS'!$C$5:$C$500,$A82,'LANÇAMENTOS DIÁRIOS'!$O$5:$O$500,"&lt;=110599",'LANÇAMENTOS DIÁRIOS'!$P$5:$P$500,"&gt;=110500")&gt;0,"X","")</f>
      </c>
      <c r="BA82" s="56" t="str">
        <f>IF(COUNTIFS('LANÇAMENTOS DIÁRIOS'!$G$5:$G$500,"E",'LANÇAMENTOS DIÁRIOS'!$C$5:$C$500,$A82,'LANÇAMENTOS DIÁRIOS'!$O$5:$O$500,"&lt;=110699",'LANÇAMENTOS DIÁRIOS'!$P$5:$P$500,"&gt;=110600")&gt;0,"X","")</f>
      </c>
      <c r="BB82" s="56" t="str">
        <f>IF(COUNTIFS('LANÇAMENTOS DIÁRIOS'!$G$5:$G$500,"E",'LANÇAMENTOS DIÁRIOS'!$C$5:$C$500,$A82,'LANÇAMENTOS DIÁRIOS'!$O$5:$O$500,"&lt;=110799",'LANÇAMENTOS DIÁRIOS'!$P$5:$P$500,"&gt;=110700")&gt;0,"X","")</f>
      </c>
      <c r="BC82" s="56" t="str">
        <f>IF(COUNTIFS('LANÇAMENTOS DIÁRIOS'!$G$5:$G$500,"E",'LANÇAMENTOS DIÁRIOS'!$C$5:$C$500,$A82,'LANÇAMENTOS DIÁRIOS'!$O$5:$O$500,"&lt;=110899",'LANÇAMENTOS DIÁRIOS'!$P$5:$P$500,"&gt;=110800")&gt;0,"X","")</f>
      </c>
      <c r="BD82" s="56" t="str">
        <f>IF(COUNTIFS('LANÇAMENTOS DIÁRIOS'!$G$5:$G$500,"E",'LANÇAMENTOS DIÁRIOS'!$C$5:$C$500,$A82,'LANÇAMENTOS DIÁRIOS'!$O$5:$O$500,"&lt;=110999",'LANÇAMENTOS DIÁRIOS'!$P$5:$P$500,"&gt;=110900")&gt;0,"X","")</f>
      </c>
      <c r="BE82" s="56" t="str">
        <f>IF(COUNTIFS('LANÇAMENTOS DIÁRIOS'!$G$5:$G$500,"E",'LANÇAMENTOS DIÁRIOS'!$C$5:$C$500,$A82,'LANÇAMENTOS DIÁRIOS'!$O$5:$O$500,"&lt;=111099",'LANÇAMENTOS DIÁRIOS'!$P$5:$P$500,"&gt;=111000")&gt;0,"X","")</f>
      </c>
      <c r="BF82" s="56" t="str">
        <f>IF(COUNTIFS('LANÇAMENTOS DIÁRIOS'!$G$5:$G$500,"E",'LANÇAMENTOS DIÁRIOS'!$C$5:$C$500,$A82,'LANÇAMENTOS DIÁRIOS'!$O$5:$O$500,"&lt;=111199",'LANÇAMENTOS DIÁRIOS'!$P$5:$P$500,"&gt;=111100")&gt;0,"X","")</f>
      </c>
      <c r="BG82" s="56" t="str">
        <f>IF(COUNTIFS('LANÇAMENTOS DIÁRIOS'!$G$5:$G$500,"E",'LANÇAMENTOS DIÁRIOS'!$C$5:$C$500,$A82,'LANÇAMENTOS DIÁRIOS'!$O$5:$O$500,"&lt;=111299",'LANÇAMENTOS DIÁRIOS'!$P$5:$P$500,"&gt;=111200")&gt;0,"X","")</f>
      </c>
      <c r="BH82" s="56" t="str">
        <f>IF(COUNTIFS('LANÇAMENTOS DIÁRIOS'!$G$5:$G$500,"E",'LANÇAMENTOS DIÁRIOS'!$C$5:$C$500,$A82,'LANÇAMENTOS DIÁRIOS'!$O$5:$O$500,"&lt;=111399",'LANÇAMENTOS DIÁRIOS'!$P$5:$P$500,"&gt;=111300")&gt;0,"X","")</f>
      </c>
      <c r="BI82" s="56" t="str">
        <f>IF(COUNTIFS('LANÇAMENTOS DIÁRIOS'!$G$5:$G$500,"E",'LANÇAMENTOS DIÁRIOS'!$C$5:$C$500,$A82,'LANÇAMENTOS DIÁRIOS'!$O$5:$O$500,"&lt;=111499",'LANÇAMENTOS DIÁRIOS'!$P$5:$P$500,"&gt;=111400")&gt;0,"X","")</f>
      </c>
      <c r="BJ82" s="56" t="str">
        <f>IF(COUNTIFS('LANÇAMENTOS DIÁRIOS'!$G$5:$G$500,"E",'LANÇAMENTOS DIÁRIOS'!$C$5:$C$500,$A82,'LANÇAMENTOS DIÁRIOS'!$O$5:$O$500,"&lt;=111500",'LANÇAMENTOS DIÁRIOS'!$P$5:$P$500,"&gt;=111500")&gt;0,"X","")</f>
      </c>
    </row>
    <row r="83" ht="19" customHeight="1">
      <c r="A83" s="68" t="str">
        <v>Construção da camada de revestimento</v>
      </c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</row>
    <row r="84">
      <c r="A84" s="51" t="str">
        <v>Imprimadura impermeabilizante com EAI - Sem o fornecimento dos materias</v>
      </c>
      <c r="B84" s="56" t="str">
        <f>IF(COUNTIFS('LANÇAMENTOS DIÁRIOS'!$G$5:$G$500,"E",'LANÇAMENTOS DIÁRIOS'!$C$5:$C$500,$A84,'LANÇAMENTOS DIÁRIOS'!$O$5:$O$500,"&lt;=105599",'LANÇAMENTOS DIÁRIOS'!$P$5:$P$500,"&gt;=105500")&gt;0,"X","")</f>
      </c>
      <c r="C84" s="56" t="str">
        <f>IF(COUNTIFS('LANÇAMENTOS DIÁRIOS'!$G$5:$G$500,"E",'LANÇAMENTOS DIÁRIOS'!$C$5:$C$500,$A84,'LANÇAMENTOS DIÁRIOS'!$O$5:$O$500,"&lt;=105699",'LANÇAMENTOS DIÁRIOS'!$P$5:$P$500,"&gt;=105600")&gt;0,"X","")</f>
      </c>
      <c r="D84" s="56" t="str">
        <f>IF(COUNTIFS('LANÇAMENTOS DIÁRIOS'!$G$5:$G$500,"E",'LANÇAMENTOS DIÁRIOS'!$C$5:$C$500,$A84,'LANÇAMENTOS DIÁRIOS'!$O$5:$O$500,"&lt;=105799",'LANÇAMENTOS DIÁRIOS'!$P$5:$P$500,"&gt;=105700")&gt;0,"X","")</f>
      </c>
      <c r="E84" s="56" t="str">
        <f>IF(COUNTIFS('LANÇAMENTOS DIÁRIOS'!$G$5:$G$500,"E",'LANÇAMENTOS DIÁRIOS'!$C$5:$C$500,$A84,'LANÇAMENTOS DIÁRIOS'!$O$5:$O$500,"&lt;=105899",'LANÇAMENTOS DIÁRIOS'!$P$5:$P$500,"&gt;=105800")&gt;0,"X","")</f>
      </c>
      <c r="F84" s="56" t="str">
        <f>IF(COUNTIFS('LANÇAMENTOS DIÁRIOS'!$G$5:$G$500,"E",'LANÇAMENTOS DIÁRIOS'!$C$5:$C$500,$A84,'LANÇAMENTOS DIÁRIOS'!$O$5:$O$500,"&lt;=105999",'LANÇAMENTOS DIÁRIOS'!$P$5:$P$500,"&gt;=105900")&gt;0,"X","")</f>
      </c>
      <c r="G84" s="56" t="str">
        <f>IF(COUNTIFS('LANÇAMENTOS DIÁRIOS'!$G$5:$G$500,"E",'LANÇAMENTOS DIÁRIOS'!$C$5:$C$500,$A84,'LANÇAMENTOS DIÁRIOS'!$O$5:$O$500,"&lt;=106099",'LANÇAMENTOS DIÁRIOS'!$P$5:$P$500,"&gt;=106000")&gt;0,"X","")</f>
      </c>
      <c r="H84" s="56" t="str">
        <f>IF(COUNTIFS('LANÇAMENTOS DIÁRIOS'!$G$5:$G$500,"E",'LANÇAMENTOS DIÁRIOS'!$C$5:$C$500,$A84,'LANÇAMENTOS DIÁRIOS'!$O$5:$O$500,"&lt;=106199",'LANÇAMENTOS DIÁRIOS'!$P$5:$P$500,"&gt;=106100")&gt;0,"X","")</f>
      </c>
      <c r="I84" s="56" t="str">
        <f>IF(COUNTIFS('LANÇAMENTOS DIÁRIOS'!$G$5:$G$500,"E",'LANÇAMENTOS DIÁRIOS'!$C$5:$C$500,$A84,'LANÇAMENTOS DIÁRIOS'!$O$5:$O$500,"&lt;=106299",'LANÇAMENTOS DIÁRIOS'!$P$5:$P$500,"&gt;=106200")&gt;0,"X","")</f>
      </c>
      <c r="J84" s="56" t="str">
        <f>IF(COUNTIFS('LANÇAMENTOS DIÁRIOS'!$G$5:$G$500,"E",'LANÇAMENTOS DIÁRIOS'!$C$5:$C$500,$A84,'LANÇAMENTOS DIÁRIOS'!$O$5:$O$500,"&lt;=106399",'LANÇAMENTOS DIÁRIOS'!$P$5:$P$500,"&gt;=106300")&gt;0,"X","")</f>
      </c>
      <c r="K84" s="56" t="str">
        <f>IF(COUNTIFS('LANÇAMENTOS DIÁRIOS'!$G$5:$G$500,"E",'LANÇAMENTOS DIÁRIOS'!$C$5:$C$500,$A84,'LANÇAMENTOS DIÁRIOS'!$O$5:$O$500,"&lt;=106499",'LANÇAMENTOS DIÁRIOS'!$P$5:$P$500,"&gt;=106400")&gt;0,"X","")</f>
      </c>
      <c r="L84" s="56" t="str">
        <f>IF(COUNTIFS('LANÇAMENTOS DIÁRIOS'!$G$5:$G$500,"E",'LANÇAMENTOS DIÁRIOS'!$C$5:$C$500,$A84,'LANÇAMENTOS DIÁRIOS'!$O$5:$O$500,"&lt;=106599",'LANÇAMENTOS DIÁRIOS'!$P$5:$P$500,"&gt;=106500")&gt;0,"X","")</f>
      </c>
      <c r="M84" s="56" t="str">
        <f>IF(COUNTIFS('LANÇAMENTOS DIÁRIOS'!$G$5:$G$500,"E",'LANÇAMENTOS DIÁRIOS'!$C$5:$C$500,$A84,'LANÇAMENTOS DIÁRIOS'!$O$5:$O$500,"&lt;=106699",'LANÇAMENTOS DIÁRIOS'!$P$5:$P$500,"&gt;=106600")&gt;0,"X","")</f>
      </c>
      <c r="N84" s="56" t="str">
        <f>IF(COUNTIFS('LANÇAMENTOS DIÁRIOS'!$G$5:$G$500,"E",'LANÇAMENTOS DIÁRIOS'!$C$5:$C$500,$A84,'LANÇAMENTOS DIÁRIOS'!$O$5:$O$500,"&lt;=106799",'LANÇAMENTOS DIÁRIOS'!$P$5:$P$500,"&gt;=106700")&gt;0,"X","")</f>
      </c>
      <c r="O84" s="56" t="str">
        <f>IF(COUNTIFS('LANÇAMENTOS DIÁRIOS'!$G$5:$G$500,"E",'LANÇAMENTOS DIÁRIOS'!$C$5:$C$500,$A84,'LANÇAMENTOS DIÁRIOS'!$O$5:$O$500,"&lt;=106899",'LANÇAMENTOS DIÁRIOS'!$P$5:$P$500,"&gt;=106800")&gt;0,"X","")</f>
      </c>
      <c r="P84" s="56" t="str">
        <f>IF(COUNTIFS('LANÇAMENTOS DIÁRIOS'!$G$5:$G$500,"E",'LANÇAMENTOS DIÁRIOS'!$C$5:$C$500,$A84,'LANÇAMENTOS DIÁRIOS'!$O$5:$O$500,"&lt;=106999",'LANÇAMENTOS DIÁRIOS'!$P$5:$P$500,"&gt;=106900")&gt;0,"X","")</f>
      </c>
      <c r="Q84" s="56" t="str">
        <f>IF(COUNTIFS('LANÇAMENTOS DIÁRIOS'!$G$5:$G$500,"E",'LANÇAMENTOS DIÁRIOS'!$C$5:$C$500,$A84,'LANÇAMENTOS DIÁRIOS'!$O$5:$O$500,"&lt;=107099",'LANÇAMENTOS DIÁRIOS'!$P$5:$P$500,"&gt;=107000")&gt;0,"X","")</f>
      </c>
      <c r="R84" s="56" t="str">
        <f>IF(COUNTIFS('LANÇAMENTOS DIÁRIOS'!$G$5:$G$500,"E",'LANÇAMENTOS DIÁRIOS'!$C$5:$C$500,$A84,'LANÇAMENTOS DIÁRIOS'!$O$5:$O$500,"&lt;=107199",'LANÇAMENTOS DIÁRIOS'!$P$5:$P$500,"&gt;=107100")&gt;0,"X","")</f>
      </c>
      <c r="S84" s="56" t="str">
        <f>IF(COUNTIFS('LANÇAMENTOS DIÁRIOS'!$G$5:$G$500,"E",'LANÇAMENTOS DIÁRIOS'!$C$5:$C$500,$A84,'LANÇAMENTOS DIÁRIOS'!$O$5:$O$500,"&lt;=107299",'LANÇAMENTOS DIÁRIOS'!$P$5:$P$500,"&gt;=107200")&gt;0,"X","")</f>
      </c>
      <c r="T84" s="56" t="str">
        <f>IF(COUNTIFS('LANÇAMENTOS DIÁRIOS'!$G$5:$G$500,"E",'LANÇAMENTOS DIÁRIOS'!$C$5:$C$500,$A84,'LANÇAMENTOS DIÁRIOS'!$O$5:$O$500,"&lt;=107399",'LANÇAMENTOS DIÁRIOS'!$P$5:$P$500,"&gt;=107300")&gt;0,"X","")</f>
      </c>
      <c r="U84" s="56" t="str">
        <f>IF(COUNTIFS('LANÇAMENTOS DIÁRIOS'!$G$5:$G$500,"E",'LANÇAMENTOS DIÁRIOS'!$C$5:$C$500,$A84,'LANÇAMENTOS DIÁRIOS'!$O$5:$O$500,"&lt;=107499",'LANÇAMENTOS DIÁRIOS'!$P$5:$P$500,"&gt;=107400")&gt;0,"X","")</f>
      </c>
      <c r="V84" s="56" t="str">
        <f>IF(COUNTIFS('LANÇAMENTOS DIÁRIOS'!$G$5:$G$500,"E",'LANÇAMENTOS DIÁRIOS'!$C$5:$C$500,$A84,'LANÇAMENTOS DIÁRIOS'!$O$5:$O$500,"&lt;=107599",'LANÇAMENTOS DIÁRIOS'!$P$5:$P$500,"&gt;=107500")&gt;0,"X","")</f>
      </c>
      <c r="W84" s="56" t="str">
        <f>IF(COUNTIFS('LANÇAMENTOS DIÁRIOS'!$G$5:$G$500,"E",'LANÇAMENTOS DIÁRIOS'!$C$5:$C$500,$A84,'LANÇAMENTOS DIÁRIOS'!$O$5:$O$500,"&lt;=107699",'LANÇAMENTOS DIÁRIOS'!$P$5:$P$500,"&gt;=107600")&gt;0,"X","")</f>
      </c>
      <c r="X84" s="56" t="str">
        <f>IF(COUNTIFS('LANÇAMENTOS DIÁRIOS'!$G$5:$G$500,"E",'LANÇAMENTOS DIÁRIOS'!$C$5:$C$500,$A84,'LANÇAMENTOS DIÁRIOS'!$O$5:$O$500,"&lt;=107799",'LANÇAMENTOS DIÁRIOS'!$P$5:$P$500,"&gt;=107700")&gt;0,"X","")</f>
      </c>
      <c r="Y84" s="56" t="str">
        <f>IF(COUNTIFS('LANÇAMENTOS DIÁRIOS'!$G$5:$G$500,"E",'LANÇAMENTOS DIÁRIOS'!$C$5:$C$500,$A84,'LANÇAMENTOS DIÁRIOS'!$O$5:$O$500,"&lt;=107899",'LANÇAMENTOS DIÁRIOS'!$P$5:$P$500,"&gt;=107800")&gt;0,"X","")</f>
      </c>
      <c r="Z84" s="56" t="str">
        <f>IF(COUNTIFS('LANÇAMENTOS DIÁRIOS'!$G$5:$G$500,"E",'LANÇAMENTOS DIÁRIOS'!$C$5:$C$500,$A84,'LANÇAMENTOS DIÁRIOS'!$O$5:$O$500,"&lt;=107999",'LANÇAMENTOS DIÁRIOS'!$P$5:$P$500,"&gt;=107900")&gt;0,"X","")</f>
      </c>
      <c r="AA84" s="56" t="str">
        <f>IF(COUNTIFS('LANÇAMENTOS DIÁRIOS'!$G$5:$G$500,"E",'LANÇAMENTOS DIÁRIOS'!$C$5:$C$500,$A84,'LANÇAMENTOS DIÁRIOS'!$O$5:$O$500,"&lt;=108099",'LANÇAMENTOS DIÁRIOS'!$P$5:$P$500,"&gt;=108000")&gt;0,"X","")</f>
      </c>
      <c r="AB84" s="56" t="str">
        <f>IF(COUNTIFS('LANÇAMENTOS DIÁRIOS'!$G$5:$G$500,"E",'LANÇAMENTOS DIÁRIOS'!$C$5:$C$500,$A84,'LANÇAMENTOS DIÁRIOS'!$O$5:$O$500,"&lt;=108199",'LANÇAMENTOS DIÁRIOS'!$P$5:$P$500,"&gt;=108100")&gt;0,"X","")</f>
      </c>
      <c r="AC84" s="56" t="str">
        <f>IF(COUNTIFS('LANÇAMENTOS DIÁRIOS'!$G$5:$G$500,"E",'LANÇAMENTOS DIÁRIOS'!$C$5:$C$500,$A84,'LANÇAMENTOS DIÁRIOS'!$O$5:$O$500,"&lt;=108299",'LANÇAMENTOS DIÁRIOS'!$P$5:$P$500,"&gt;=108200")&gt;0,"X","")</f>
      </c>
      <c r="AD84" s="56" t="str">
        <f>IF(COUNTIFS('LANÇAMENTOS DIÁRIOS'!$G$5:$G$500,"E",'LANÇAMENTOS DIÁRIOS'!$C$5:$C$500,$A84,'LANÇAMENTOS DIÁRIOS'!$O$5:$O$500,"&lt;=108399",'LANÇAMENTOS DIÁRIOS'!$P$5:$P$500,"&gt;=108300")&gt;0,"X","")</f>
      </c>
      <c r="AE84" s="56" t="str">
        <f>IF(COUNTIFS('LANÇAMENTOS DIÁRIOS'!$G$5:$G$500,"E",'LANÇAMENTOS DIÁRIOS'!$C$5:$C$500,$A84,'LANÇAMENTOS DIÁRIOS'!$O$5:$O$500,"&lt;=108499",'LANÇAMENTOS DIÁRIOS'!$P$5:$P$500,"&gt;=108400")&gt;0,"X","")</f>
      </c>
      <c r="AF84" s="56" t="str">
        <f>IF(COUNTIFS('LANÇAMENTOS DIÁRIOS'!$G$5:$G$500,"E",'LANÇAMENTOS DIÁRIOS'!$C$5:$C$500,$A84,'LANÇAMENTOS DIÁRIOS'!$O$5:$O$500,"&lt;=108599",'LANÇAMENTOS DIÁRIOS'!$P$5:$P$500,"&gt;=108500")&gt;0,"X","")</f>
      </c>
      <c r="AG84" s="56" t="str">
        <f>IF(COUNTIFS('LANÇAMENTOS DIÁRIOS'!$G$5:$G$500,"E",'LANÇAMENTOS DIÁRIOS'!$C$5:$C$500,$A84,'LANÇAMENTOS DIÁRIOS'!$O$5:$O$500,"&lt;=108699",'LANÇAMENTOS DIÁRIOS'!$P$5:$P$500,"&gt;=108600")&gt;0,"X","")</f>
      </c>
      <c r="AH84" s="56" t="str">
        <f>IF(COUNTIFS('LANÇAMENTOS DIÁRIOS'!$G$5:$G$500,"E",'LANÇAMENTOS DIÁRIOS'!$C$5:$C$500,$A84,'LANÇAMENTOS DIÁRIOS'!$O$5:$O$500,"&lt;=108799",'LANÇAMENTOS DIÁRIOS'!$P$5:$P$500,"&gt;=108700")&gt;0,"X","")</f>
      </c>
      <c r="AI84" s="56" t="str">
        <f>IF(COUNTIFS('LANÇAMENTOS DIÁRIOS'!$G$5:$G$500,"E",'LANÇAMENTOS DIÁRIOS'!$C$5:$C$500,$A84,'LANÇAMENTOS DIÁRIOS'!$O$5:$O$500,"&lt;=108899",'LANÇAMENTOS DIÁRIOS'!$P$5:$P$500,"&gt;=108800")&gt;0,"X","")</f>
      </c>
      <c r="AJ84" s="56" t="str">
        <f>IF(COUNTIFS('LANÇAMENTOS DIÁRIOS'!$G$5:$G$500,"E",'LANÇAMENTOS DIÁRIOS'!$C$5:$C$500,$A84,'LANÇAMENTOS DIÁRIOS'!$O$5:$O$500,"&lt;=108999",'LANÇAMENTOS DIÁRIOS'!$P$5:$P$500,"&gt;=108900")&gt;0,"X","")</f>
      </c>
      <c r="AK84" s="56" t="str">
        <f>IF(COUNTIFS('LANÇAMENTOS DIÁRIOS'!$G$5:$G$500,"E",'LANÇAMENTOS DIÁRIOS'!$C$5:$C$500,$A84,'LANÇAMENTOS DIÁRIOS'!$O$5:$O$500,"&lt;=109099",'LANÇAMENTOS DIÁRIOS'!$P$5:$P$500,"&gt;=109000")&gt;0,"X","")</f>
      </c>
      <c r="AL84" s="56" t="str">
        <f>IF(COUNTIFS('LANÇAMENTOS DIÁRIOS'!$G$5:$G$500,"E",'LANÇAMENTOS DIÁRIOS'!$C$5:$C$500,$A84,'LANÇAMENTOS DIÁRIOS'!$O$5:$O$500,"&lt;=109199",'LANÇAMENTOS DIÁRIOS'!$P$5:$P$500,"&gt;=109100")&gt;0,"X","")</f>
      </c>
      <c r="AM84" s="56" t="str">
        <f>IF(COUNTIFS('LANÇAMENTOS DIÁRIOS'!$G$5:$G$500,"E",'LANÇAMENTOS DIÁRIOS'!$C$5:$C$500,$A84,'LANÇAMENTOS DIÁRIOS'!$O$5:$O$500,"&lt;=109299",'LANÇAMENTOS DIÁRIOS'!$P$5:$P$500,"&gt;=109200")&gt;0,"X","")</f>
      </c>
      <c r="AN84" s="56" t="str">
        <f>IF(COUNTIFS('LANÇAMENTOS DIÁRIOS'!$G$5:$G$500,"E",'LANÇAMENTOS DIÁRIOS'!$C$5:$C$500,$A84,'LANÇAMENTOS DIÁRIOS'!$O$5:$O$500,"&lt;=109399",'LANÇAMENTOS DIÁRIOS'!$P$5:$P$500,"&gt;=109300")&gt;0,"X","")</f>
      </c>
      <c r="AO84" s="56" t="str">
        <f>IF(COUNTIFS('LANÇAMENTOS DIÁRIOS'!$G$5:$G$500,"E",'LANÇAMENTOS DIÁRIOS'!$C$5:$C$500,$A84,'LANÇAMENTOS DIÁRIOS'!$O$5:$O$500,"&lt;=109499",'LANÇAMENTOS DIÁRIOS'!$P$5:$P$500,"&gt;=109400")&gt;0,"X","")</f>
      </c>
      <c r="AP84" s="56" t="str">
        <f>IF(COUNTIFS('LANÇAMENTOS DIÁRIOS'!$G$5:$G$500,"E",'LANÇAMENTOS DIÁRIOS'!$C$5:$C$500,$A84,'LANÇAMENTOS DIÁRIOS'!$O$5:$O$500,"&lt;=109599",'LANÇAMENTOS DIÁRIOS'!$P$5:$P$500,"&gt;=109500")&gt;0,"X","")</f>
      </c>
      <c r="AQ84" s="56" t="str">
        <f>IF(COUNTIFS('LANÇAMENTOS DIÁRIOS'!$G$5:$G$500,"E",'LANÇAMENTOS DIÁRIOS'!$C$5:$C$500,$A84,'LANÇAMENTOS DIÁRIOS'!$O$5:$O$500,"&lt;=109699",'LANÇAMENTOS DIÁRIOS'!$P$5:$P$500,"&gt;=109600")&gt;0,"X","")</f>
      </c>
      <c r="AR84" s="56" t="str">
        <f>IF(COUNTIFS('LANÇAMENTOS DIÁRIOS'!$G$5:$G$500,"E",'LANÇAMENTOS DIÁRIOS'!$C$5:$C$500,$A84,'LANÇAMENTOS DIÁRIOS'!$O$5:$O$500,"&lt;=109799",'LANÇAMENTOS DIÁRIOS'!$P$5:$P$500,"&gt;=109700")&gt;0,"X","")</f>
      </c>
      <c r="AS84" s="56" t="str">
        <f>IF(COUNTIFS('LANÇAMENTOS DIÁRIOS'!$G$5:$G$500,"E",'LANÇAMENTOS DIÁRIOS'!$C$5:$C$500,$A84,'LANÇAMENTOS DIÁRIOS'!$O$5:$O$500,"&lt;=109899",'LANÇAMENTOS DIÁRIOS'!$P$5:$P$500,"&gt;=109800")&gt;0,"X","")</f>
      </c>
      <c r="AT84" s="56" t="str">
        <f>IF(COUNTIFS('LANÇAMENTOS DIÁRIOS'!$G$5:$G$500,"E",'LANÇAMENTOS DIÁRIOS'!$C$5:$C$500,$A84,'LANÇAMENTOS DIÁRIOS'!$O$5:$O$500,"&lt;=109999",'LANÇAMENTOS DIÁRIOS'!$P$5:$P$500,"&gt;=109900")&gt;0,"X","")</f>
      </c>
      <c r="AU84" s="56" t="str">
        <f>IF(COUNTIFS('LANÇAMENTOS DIÁRIOS'!$G$5:$G$500,"E",'LANÇAMENTOS DIÁRIOS'!$C$5:$C$500,$A84,'LANÇAMENTOS DIÁRIOS'!$O$5:$O$500,"&lt;=110099",'LANÇAMENTOS DIÁRIOS'!$P$5:$P$500,"&gt;=110000")&gt;0,"X","")</f>
      </c>
      <c r="AV84" s="56" t="str">
        <f>IF(COUNTIFS('LANÇAMENTOS DIÁRIOS'!$G$5:$G$500,"E",'LANÇAMENTOS DIÁRIOS'!$C$5:$C$500,$A84,'LANÇAMENTOS DIÁRIOS'!$O$5:$O$500,"&lt;=110199",'LANÇAMENTOS DIÁRIOS'!$P$5:$P$500,"&gt;=110100")&gt;0,"X","")</f>
      </c>
      <c r="AW84" s="56" t="str">
        <f>IF(COUNTIFS('LANÇAMENTOS DIÁRIOS'!$G$5:$G$500,"E",'LANÇAMENTOS DIÁRIOS'!$C$5:$C$500,$A84,'LANÇAMENTOS DIÁRIOS'!$O$5:$O$500,"&lt;=110299",'LANÇAMENTOS DIÁRIOS'!$P$5:$P$500,"&gt;=110200")&gt;0,"X","")</f>
      </c>
      <c r="AX84" s="56" t="str">
        <f>IF(COUNTIFS('LANÇAMENTOS DIÁRIOS'!$G$5:$G$500,"E",'LANÇAMENTOS DIÁRIOS'!$C$5:$C$500,$A84,'LANÇAMENTOS DIÁRIOS'!$O$5:$O$500,"&lt;=110399",'LANÇAMENTOS DIÁRIOS'!$P$5:$P$500,"&gt;=110300")&gt;0,"X","")</f>
      </c>
      <c r="AY84" s="56" t="str">
        <f>IF(COUNTIFS('LANÇAMENTOS DIÁRIOS'!$G$5:$G$500,"E",'LANÇAMENTOS DIÁRIOS'!$C$5:$C$500,$A84,'LANÇAMENTOS DIÁRIOS'!$O$5:$O$500,"&lt;=110499",'LANÇAMENTOS DIÁRIOS'!$P$5:$P$500,"&gt;=110400")&gt;0,"X","")</f>
      </c>
      <c r="AZ84" s="56" t="str">
        <f>IF(COUNTIFS('LANÇAMENTOS DIÁRIOS'!$G$5:$G$500,"E",'LANÇAMENTOS DIÁRIOS'!$C$5:$C$500,$A84,'LANÇAMENTOS DIÁRIOS'!$O$5:$O$500,"&lt;=110599",'LANÇAMENTOS DIÁRIOS'!$P$5:$P$500,"&gt;=110500")&gt;0,"X","")</f>
      </c>
      <c r="BA84" s="56" t="str">
        <f>IF(COUNTIFS('LANÇAMENTOS DIÁRIOS'!$G$5:$G$500,"E",'LANÇAMENTOS DIÁRIOS'!$C$5:$C$500,$A84,'LANÇAMENTOS DIÁRIOS'!$O$5:$O$500,"&lt;=110699",'LANÇAMENTOS DIÁRIOS'!$P$5:$P$500,"&gt;=110600")&gt;0,"X","")</f>
      </c>
      <c r="BB84" s="56" t="str">
        <f>IF(COUNTIFS('LANÇAMENTOS DIÁRIOS'!$G$5:$G$500,"E",'LANÇAMENTOS DIÁRIOS'!$C$5:$C$500,$A84,'LANÇAMENTOS DIÁRIOS'!$O$5:$O$500,"&lt;=110799",'LANÇAMENTOS DIÁRIOS'!$P$5:$P$500,"&gt;=110700")&gt;0,"X","")</f>
      </c>
      <c r="BC84" s="56" t="str">
        <f>IF(COUNTIFS('LANÇAMENTOS DIÁRIOS'!$G$5:$G$500,"E",'LANÇAMENTOS DIÁRIOS'!$C$5:$C$500,$A84,'LANÇAMENTOS DIÁRIOS'!$O$5:$O$500,"&lt;=110899",'LANÇAMENTOS DIÁRIOS'!$P$5:$P$500,"&gt;=110800")&gt;0,"X","")</f>
      </c>
      <c r="BD84" s="56" t="str">
        <f>IF(COUNTIFS('LANÇAMENTOS DIÁRIOS'!$G$5:$G$500,"E",'LANÇAMENTOS DIÁRIOS'!$C$5:$C$500,$A84,'LANÇAMENTOS DIÁRIOS'!$O$5:$O$500,"&lt;=110999",'LANÇAMENTOS DIÁRIOS'!$P$5:$P$500,"&gt;=110900")&gt;0,"X","")</f>
      </c>
      <c r="BE84" s="56" t="str">
        <f>IF(COUNTIFS('LANÇAMENTOS DIÁRIOS'!$G$5:$G$500,"E",'LANÇAMENTOS DIÁRIOS'!$C$5:$C$500,$A84,'LANÇAMENTOS DIÁRIOS'!$O$5:$O$500,"&lt;=111099",'LANÇAMENTOS DIÁRIOS'!$P$5:$P$500,"&gt;=111000")&gt;0,"X","")</f>
      </c>
      <c r="BF84" s="56" t="str">
        <f>IF(COUNTIFS('LANÇAMENTOS DIÁRIOS'!$G$5:$G$500,"E",'LANÇAMENTOS DIÁRIOS'!$C$5:$C$500,$A84,'LANÇAMENTOS DIÁRIOS'!$O$5:$O$500,"&lt;=111199",'LANÇAMENTOS DIÁRIOS'!$P$5:$P$500,"&gt;=111100")&gt;0,"X","")</f>
      </c>
      <c r="BG84" s="56" t="str">
        <f>IF(COUNTIFS('LANÇAMENTOS DIÁRIOS'!$G$5:$G$500,"E",'LANÇAMENTOS DIÁRIOS'!$C$5:$C$500,$A84,'LANÇAMENTOS DIÁRIOS'!$O$5:$O$500,"&lt;=111299",'LANÇAMENTOS DIÁRIOS'!$P$5:$P$500,"&gt;=111200")&gt;0,"X","")</f>
      </c>
      <c r="BH84" s="56" t="str">
        <f>IF(COUNTIFS('LANÇAMENTOS DIÁRIOS'!$G$5:$G$500,"E",'LANÇAMENTOS DIÁRIOS'!$C$5:$C$500,$A84,'LANÇAMENTOS DIÁRIOS'!$O$5:$O$500,"&lt;=111399",'LANÇAMENTOS DIÁRIOS'!$P$5:$P$500,"&gt;=111300")&gt;0,"X","")</f>
      </c>
      <c r="BI84" s="56" t="str">
        <f>IF(COUNTIFS('LANÇAMENTOS DIÁRIOS'!$G$5:$G$500,"E",'LANÇAMENTOS DIÁRIOS'!$C$5:$C$500,$A84,'LANÇAMENTOS DIÁRIOS'!$O$5:$O$500,"&lt;=111499",'LANÇAMENTOS DIÁRIOS'!$P$5:$P$500,"&gt;=111400")&gt;0,"X","")</f>
      </c>
      <c r="BJ84" s="56" t="str">
        <f>IF(COUNTIFS('LANÇAMENTOS DIÁRIOS'!$G$5:$G$500,"E",'LANÇAMENTOS DIÁRIOS'!$C$5:$C$500,$A84,'LANÇAMENTOS DIÁRIOS'!$O$5:$O$500,"&lt;=111500",'LANÇAMENTOS DIÁRIOS'!$P$5:$P$500,"&gt;=111500")&gt;0,"X","")</f>
      </c>
    </row>
    <row r="85">
      <c r="A85" s="51" t="str">
        <v>Imprimadura ligante (Cura) - sem o fornecimento dos materiais</v>
      </c>
      <c r="B85" s="56" t="str">
        <f>IF(COUNTIFS('LANÇAMENTOS DIÁRIOS'!$G$5:$G$500,"E",'LANÇAMENTOS DIÁRIOS'!$C$5:$C$500,$A85,'LANÇAMENTOS DIÁRIOS'!$O$5:$O$500,"&lt;=105599",'LANÇAMENTOS DIÁRIOS'!$P$5:$P$500,"&gt;=105500")&gt;0,"X","")</f>
      </c>
      <c r="C85" s="56" t="str">
        <f>IF(COUNTIFS('LANÇAMENTOS DIÁRIOS'!$G$5:$G$500,"E",'LANÇAMENTOS DIÁRIOS'!$C$5:$C$500,$A85,'LANÇAMENTOS DIÁRIOS'!$O$5:$O$500,"&lt;=105699",'LANÇAMENTOS DIÁRIOS'!$P$5:$P$500,"&gt;=105600")&gt;0,"X","")</f>
      </c>
      <c r="D85" s="56" t="str">
        <f>IF(COUNTIFS('LANÇAMENTOS DIÁRIOS'!$G$5:$G$500,"E",'LANÇAMENTOS DIÁRIOS'!$C$5:$C$500,$A85,'LANÇAMENTOS DIÁRIOS'!$O$5:$O$500,"&lt;=105799",'LANÇAMENTOS DIÁRIOS'!$P$5:$P$500,"&gt;=105700")&gt;0,"X","")</f>
      </c>
      <c r="E85" s="56" t="str">
        <f>IF(COUNTIFS('LANÇAMENTOS DIÁRIOS'!$G$5:$G$500,"E",'LANÇAMENTOS DIÁRIOS'!$C$5:$C$500,$A85,'LANÇAMENTOS DIÁRIOS'!$O$5:$O$500,"&lt;=105899",'LANÇAMENTOS DIÁRIOS'!$P$5:$P$500,"&gt;=105800")&gt;0,"X","")</f>
      </c>
      <c r="F85" s="56" t="str">
        <f>IF(COUNTIFS('LANÇAMENTOS DIÁRIOS'!$G$5:$G$500,"E",'LANÇAMENTOS DIÁRIOS'!$C$5:$C$500,$A85,'LANÇAMENTOS DIÁRIOS'!$O$5:$O$500,"&lt;=105999",'LANÇAMENTOS DIÁRIOS'!$P$5:$P$500,"&gt;=105900")&gt;0,"X","")</f>
      </c>
      <c r="G85" s="56" t="str">
        <f>IF(COUNTIFS('LANÇAMENTOS DIÁRIOS'!$G$5:$G$500,"E",'LANÇAMENTOS DIÁRIOS'!$C$5:$C$500,$A85,'LANÇAMENTOS DIÁRIOS'!$O$5:$O$500,"&lt;=106099",'LANÇAMENTOS DIÁRIOS'!$P$5:$P$500,"&gt;=106000")&gt;0,"X","")</f>
      </c>
      <c r="H85" s="56" t="str">
        <f>IF(COUNTIFS('LANÇAMENTOS DIÁRIOS'!$G$5:$G$500,"E",'LANÇAMENTOS DIÁRIOS'!$C$5:$C$500,$A85,'LANÇAMENTOS DIÁRIOS'!$O$5:$O$500,"&lt;=106199",'LANÇAMENTOS DIÁRIOS'!$P$5:$P$500,"&gt;=106100")&gt;0,"X","")</f>
      </c>
      <c r="I85" s="56" t="str">
        <f>IF(COUNTIFS('LANÇAMENTOS DIÁRIOS'!$G$5:$G$500,"E",'LANÇAMENTOS DIÁRIOS'!$C$5:$C$500,$A85,'LANÇAMENTOS DIÁRIOS'!$O$5:$O$500,"&lt;=106299",'LANÇAMENTOS DIÁRIOS'!$P$5:$P$500,"&gt;=106200")&gt;0,"X","")</f>
      </c>
      <c r="J85" s="56" t="str">
        <f>IF(COUNTIFS('LANÇAMENTOS DIÁRIOS'!$G$5:$G$500,"E",'LANÇAMENTOS DIÁRIOS'!$C$5:$C$500,$A85,'LANÇAMENTOS DIÁRIOS'!$O$5:$O$500,"&lt;=106399",'LANÇAMENTOS DIÁRIOS'!$P$5:$P$500,"&gt;=106300")&gt;0,"X","")</f>
      </c>
      <c r="K85" s="56" t="str">
        <f>IF(COUNTIFS('LANÇAMENTOS DIÁRIOS'!$G$5:$G$500,"E",'LANÇAMENTOS DIÁRIOS'!$C$5:$C$500,$A85,'LANÇAMENTOS DIÁRIOS'!$O$5:$O$500,"&lt;=106499",'LANÇAMENTOS DIÁRIOS'!$P$5:$P$500,"&gt;=106400")&gt;0,"X","")</f>
      </c>
      <c r="L85" s="56" t="str">
        <f>IF(COUNTIFS('LANÇAMENTOS DIÁRIOS'!$G$5:$G$500,"E",'LANÇAMENTOS DIÁRIOS'!$C$5:$C$500,$A85,'LANÇAMENTOS DIÁRIOS'!$O$5:$O$500,"&lt;=106599",'LANÇAMENTOS DIÁRIOS'!$P$5:$P$500,"&gt;=106500")&gt;0,"X","")</f>
      </c>
      <c r="M85" s="56" t="str">
        <f>IF(COUNTIFS('LANÇAMENTOS DIÁRIOS'!$G$5:$G$500,"E",'LANÇAMENTOS DIÁRIOS'!$C$5:$C$500,$A85,'LANÇAMENTOS DIÁRIOS'!$O$5:$O$500,"&lt;=106699",'LANÇAMENTOS DIÁRIOS'!$P$5:$P$500,"&gt;=106600")&gt;0,"X","")</f>
      </c>
      <c r="N85" s="56" t="str">
        <f>IF(COUNTIFS('LANÇAMENTOS DIÁRIOS'!$G$5:$G$500,"E",'LANÇAMENTOS DIÁRIOS'!$C$5:$C$500,$A85,'LANÇAMENTOS DIÁRIOS'!$O$5:$O$500,"&lt;=106799",'LANÇAMENTOS DIÁRIOS'!$P$5:$P$500,"&gt;=106700")&gt;0,"X","")</f>
      </c>
      <c r="O85" s="56" t="str">
        <f>IF(COUNTIFS('LANÇAMENTOS DIÁRIOS'!$G$5:$G$500,"E",'LANÇAMENTOS DIÁRIOS'!$C$5:$C$500,$A85,'LANÇAMENTOS DIÁRIOS'!$O$5:$O$500,"&lt;=106899",'LANÇAMENTOS DIÁRIOS'!$P$5:$P$500,"&gt;=106800")&gt;0,"X","")</f>
      </c>
      <c r="P85" s="56" t="str">
        <f>IF(COUNTIFS('LANÇAMENTOS DIÁRIOS'!$G$5:$G$500,"E",'LANÇAMENTOS DIÁRIOS'!$C$5:$C$500,$A85,'LANÇAMENTOS DIÁRIOS'!$O$5:$O$500,"&lt;=106999",'LANÇAMENTOS DIÁRIOS'!$P$5:$P$500,"&gt;=106900")&gt;0,"X","")</f>
      </c>
      <c r="Q85" s="56" t="str">
        <f>IF(COUNTIFS('LANÇAMENTOS DIÁRIOS'!$G$5:$G$500,"E",'LANÇAMENTOS DIÁRIOS'!$C$5:$C$500,$A85,'LANÇAMENTOS DIÁRIOS'!$O$5:$O$500,"&lt;=107099",'LANÇAMENTOS DIÁRIOS'!$P$5:$P$500,"&gt;=107000")&gt;0,"X","")</f>
      </c>
      <c r="R85" s="56" t="str">
        <f>IF(COUNTIFS('LANÇAMENTOS DIÁRIOS'!$G$5:$G$500,"E",'LANÇAMENTOS DIÁRIOS'!$C$5:$C$500,$A85,'LANÇAMENTOS DIÁRIOS'!$O$5:$O$500,"&lt;=107199",'LANÇAMENTOS DIÁRIOS'!$P$5:$P$500,"&gt;=107100")&gt;0,"X","")</f>
      </c>
      <c r="S85" s="56" t="str">
        <f>IF(COUNTIFS('LANÇAMENTOS DIÁRIOS'!$G$5:$G$500,"E",'LANÇAMENTOS DIÁRIOS'!$C$5:$C$500,$A85,'LANÇAMENTOS DIÁRIOS'!$O$5:$O$500,"&lt;=107299",'LANÇAMENTOS DIÁRIOS'!$P$5:$P$500,"&gt;=107200")&gt;0,"X","")</f>
      </c>
      <c r="T85" s="56" t="str">
        <f>IF(COUNTIFS('LANÇAMENTOS DIÁRIOS'!$G$5:$G$500,"E",'LANÇAMENTOS DIÁRIOS'!$C$5:$C$500,$A85,'LANÇAMENTOS DIÁRIOS'!$O$5:$O$500,"&lt;=107399",'LANÇAMENTOS DIÁRIOS'!$P$5:$P$500,"&gt;=107300")&gt;0,"X","")</f>
      </c>
      <c r="U85" s="56" t="str">
        <f>IF(COUNTIFS('LANÇAMENTOS DIÁRIOS'!$G$5:$G$500,"E",'LANÇAMENTOS DIÁRIOS'!$C$5:$C$500,$A85,'LANÇAMENTOS DIÁRIOS'!$O$5:$O$500,"&lt;=107499",'LANÇAMENTOS DIÁRIOS'!$P$5:$P$500,"&gt;=107400")&gt;0,"X","")</f>
      </c>
      <c r="V85" s="56" t="str">
        <f>IF(COUNTIFS('LANÇAMENTOS DIÁRIOS'!$G$5:$G$500,"E",'LANÇAMENTOS DIÁRIOS'!$C$5:$C$500,$A85,'LANÇAMENTOS DIÁRIOS'!$O$5:$O$500,"&lt;=107599",'LANÇAMENTOS DIÁRIOS'!$P$5:$P$500,"&gt;=107500")&gt;0,"X","")</f>
      </c>
      <c r="W85" s="56" t="str">
        <f>IF(COUNTIFS('LANÇAMENTOS DIÁRIOS'!$G$5:$G$500,"E",'LANÇAMENTOS DIÁRIOS'!$C$5:$C$500,$A85,'LANÇAMENTOS DIÁRIOS'!$O$5:$O$500,"&lt;=107699",'LANÇAMENTOS DIÁRIOS'!$P$5:$P$500,"&gt;=107600")&gt;0,"X","")</f>
      </c>
      <c r="X85" s="56" t="str">
        <f>IF(COUNTIFS('LANÇAMENTOS DIÁRIOS'!$G$5:$G$500,"E",'LANÇAMENTOS DIÁRIOS'!$C$5:$C$500,$A85,'LANÇAMENTOS DIÁRIOS'!$O$5:$O$500,"&lt;=107799",'LANÇAMENTOS DIÁRIOS'!$P$5:$P$500,"&gt;=107700")&gt;0,"X","")</f>
      </c>
      <c r="Y85" s="56" t="str">
        <f>IF(COUNTIFS('LANÇAMENTOS DIÁRIOS'!$G$5:$G$500,"E",'LANÇAMENTOS DIÁRIOS'!$C$5:$C$500,$A85,'LANÇAMENTOS DIÁRIOS'!$O$5:$O$500,"&lt;=107899",'LANÇAMENTOS DIÁRIOS'!$P$5:$P$500,"&gt;=107800")&gt;0,"X","")</f>
      </c>
      <c r="Z85" s="56" t="str">
        <f>IF(COUNTIFS('LANÇAMENTOS DIÁRIOS'!$G$5:$G$500,"E",'LANÇAMENTOS DIÁRIOS'!$C$5:$C$500,$A85,'LANÇAMENTOS DIÁRIOS'!$O$5:$O$500,"&lt;=107999",'LANÇAMENTOS DIÁRIOS'!$P$5:$P$500,"&gt;=107900")&gt;0,"X","")</f>
      </c>
      <c r="AA85" s="56" t="str">
        <f>IF(COUNTIFS('LANÇAMENTOS DIÁRIOS'!$G$5:$G$500,"E",'LANÇAMENTOS DIÁRIOS'!$C$5:$C$500,$A85,'LANÇAMENTOS DIÁRIOS'!$O$5:$O$500,"&lt;=108099",'LANÇAMENTOS DIÁRIOS'!$P$5:$P$500,"&gt;=108000")&gt;0,"X","")</f>
      </c>
      <c r="AB85" s="56" t="str">
        <f>IF(COUNTIFS('LANÇAMENTOS DIÁRIOS'!$G$5:$G$500,"E",'LANÇAMENTOS DIÁRIOS'!$C$5:$C$500,$A85,'LANÇAMENTOS DIÁRIOS'!$O$5:$O$500,"&lt;=108199",'LANÇAMENTOS DIÁRIOS'!$P$5:$P$500,"&gt;=108100")&gt;0,"X","")</f>
      </c>
      <c r="AC85" s="56" t="str">
        <f>IF(COUNTIFS('LANÇAMENTOS DIÁRIOS'!$G$5:$G$500,"E",'LANÇAMENTOS DIÁRIOS'!$C$5:$C$500,$A85,'LANÇAMENTOS DIÁRIOS'!$O$5:$O$500,"&lt;=108299",'LANÇAMENTOS DIÁRIOS'!$P$5:$P$500,"&gt;=108200")&gt;0,"X","")</f>
      </c>
      <c r="AD85" s="56" t="str">
        <f>IF(COUNTIFS('LANÇAMENTOS DIÁRIOS'!$G$5:$G$500,"E",'LANÇAMENTOS DIÁRIOS'!$C$5:$C$500,$A85,'LANÇAMENTOS DIÁRIOS'!$O$5:$O$500,"&lt;=108399",'LANÇAMENTOS DIÁRIOS'!$P$5:$P$500,"&gt;=108300")&gt;0,"X","")</f>
      </c>
      <c r="AE85" s="56" t="str">
        <f>IF(COUNTIFS('LANÇAMENTOS DIÁRIOS'!$G$5:$G$500,"E",'LANÇAMENTOS DIÁRIOS'!$C$5:$C$500,$A85,'LANÇAMENTOS DIÁRIOS'!$O$5:$O$500,"&lt;=108499",'LANÇAMENTOS DIÁRIOS'!$P$5:$P$500,"&gt;=108400")&gt;0,"X","")</f>
      </c>
      <c r="AF85" s="56" t="str">
        <f>IF(COUNTIFS('LANÇAMENTOS DIÁRIOS'!$G$5:$G$500,"E",'LANÇAMENTOS DIÁRIOS'!$C$5:$C$500,$A85,'LANÇAMENTOS DIÁRIOS'!$O$5:$O$500,"&lt;=108599",'LANÇAMENTOS DIÁRIOS'!$P$5:$P$500,"&gt;=108500")&gt;0,"X","")</f>
      </c>
      <c r="AG85" s="56" t="str">
        <f>IF(COUNTIFS('LANÇAMENTOS DIÁRIOS'!$G$5:$G$500,"E",'LANÇAMENTOS DIÁRIOS'!$C$5:$C$500,$A85,'LANÇAMENTOS DIÁRIOS'!$O$5:$O$500,"&lt;=108699",'LANÇAMENTOS DIÁRIOS'!$P$5:$P$500,"&gt;=108600")&gt;0,"X","")</f>
      </c>
      <c r="AH85" s="56" t="str">
        <f>IF(COUNTIFS('LANÇAMENTOS DIÁRIOS'!$G$5:$G$500,"E",'LANÇAMENTOS DIÁRIOS'!$C$5:$C$500,$A85,'LANÇAMENTOS DIÁRIOS'!$O$5:$O$500,"&lt;=108799",'LANÇAMENTOS DIÁRIOS'!$P$5:$P$500,"&gt;=108700")&gt;0,"X","")</f>
      </c>
      <c r="AI85" s="56" t="str">
        <f>IF(COUNTIFS('LANÇAMENTOS DIÁRIOS'!$G$5:$G$500,"E",'LANÇAMENTOS DIÁRIOS'!$C$5:$C$500,$A85,'LANÇAMENTOS DIÁRIOS'!$O$5:$O$500,"&lt;=108899",'LANÇAMENTOS DIÁRIOS'!$P$5:$P$500,"&gt;=108800")&gt;0,"X","")</f>
      </c>
      <c r="AJ85" s="56" t="str">
        <f>IF(COUNTIFS('LANÇAMENTOS DIÁRIOS'!$G$5:$G$500,"E",'LANÇAMENTOS DIÁRIOS'!$C$5:$C$500,$A85,'LANÇAMENTOS DIÁRIOS'!$O$5:$O$500,"&lt;=108999",'LANÇAMENTOS DIÁRIOS'!$P$5:$P$500,"&gt;=108900")&gt;0,"X","")</f>
      </c>
      <c r="AK85" s="56" t="str">
        <f>IF(COUNTIFS('LANÇAMENTOS DIÁRIOS'!$G$5:$G$500,"E",'LANÇAMENTOS DIÁRIOS'!$C$5:$C$500,$A85,'LANÇAMENTOS DIÁRIOS'!$O$5:$O$500,"&lt;=109099",'LANÇAMENTOS DIÁRIOS'!$P$5:$P$500,"&gt;=109000")&gt;0,"X","")</f>
      </c>
      <c r="AL85" s="56" t="str">
        <f>IF(COUNTIFS('LANÇAMENTOS DIÁRIOS'!$G$5:$G$500,"E",'LANÇAMENTOS DIÁRIOS'!$C$5:$C$500,$A85,'LANÇAMENTOS DIÁRIOS'!$O$5:$O$500,"&lt;=109199",'LANÇAMENTOS DIÁRIOS'!$P$5:$P$500,"&gt;=109100")&gt;0,"X","")</f>
      </c>
      <c r="AM85" s="56" t="str">
        <f>IF(COUNTIFS('LANÇAMENTOS DIÁRIOS'!$G$5:$G$500,"E",'LANÇAMENTOS DIÁRIOS'!$C$5:$C$500,$A85,'LANÇAMENTOS DIÁRIOS'!$O$5:$O$500,"&lt;=109299",'LANÇAMENTOS DIÁRIOS'!$P$5:$P$500,"&gt;=109200")&gt;0,"X","")</f>
      </c>
      <c r="AN85" s="56" t="str">
        <f>IF(COUNTIFS('LANÇAMENTOS DIÁRIOS'!$G$5:$G$500,"E",'LANÇAMENTOS DIÁRIOS'!$C$5:$C$500,$A85,'LANÇAMENTOS DIÁRIOS'!$O$5:$O$500,"&lt;=109399",'LANÇAMENTOS DIÁRIOS'!$P$5:$P$500,"&gt;=109300")&gt;0,"X","")</f>
      </c>
      <c r="AO85" s="56" t="str">
        <f>IF(COUNTIFS('LANÇAMENTOS DIÁRIOS'!$G$5:$G$500,"E",'LANÇAMENTOS DIÁRIOS'!$C$5:$C$500,$A85,'LANÇAMENTOS DIÁRIOS'!$O$5:$O$500,"&lt;=109499",'LANÇAMENTOS DIÁRIOS'!$P$5:$P$500,"&gt;=109400")&gt;0,"X","")</f>
      </c>
      <c r="AP85" s="56" t="str">
        <f>IF(COUNTIFS('LANÇAMENTOS DIÁRIOS'!$G$5:$G$500,"E",'LANÇAMENTOS DIÁRIOS'!$C$5:$C$500,$A85,'LANÇAMENTOS DIÁRIOS'!$O$5:$O$500,"&lt;=109599",'LANÇAMENTOS DIÁRIOS'!$P$5:$P$500,"&gt;=109500")&gt;0,"X","")</f>
      </c>
      <c r="AQ85" s="56" t="str">
        <f>IF(COUNTIFS('LANÇAMENTOS DIÁRIOS'!$G$5:$G$500,"E",'LANÇAMENTOS DIÁRIOS'!$C$5:$C$500,$A85,'LANÇAMENTOS DIÁRIOS'!$O$5:$O$500,"&lt;=109699",'LANÇAMENTOS DIÁRIOS'!$P$5:$P$500,"&gt;=109600")&gt;0,"X","")</f>
      </c>
      <c r="AR85" s="56" t="str">
        <f>IF(COUNTIFS('LANÇAMENTOS DIÁRIOS'!$G$5:$G$500,"E",'LANÇAMENTOS DIÁRIOS'!$C$5:$C$500,$A85,'LANÇAMENTOS DIÁRIOS'!$O$5:$O$500,"&lt;=109799",'LANÇAMENTOS DIÁRIOS'!$P$5:$P$500,"&gt;=109700")&gt;0,"X","")</f>
      </c>
      <c r="AS85" s="56" t="str">
        <f>IF(COUNTIFS('LANÇAMENTOS DIÁRIOS'!$G$5:$G$500,"E",'LANÇAMENTOS DIÁRIOS'!$C$5:$C$500,$A85,'LANÇAMENTOS DIÁRIOS'!$O$5:$O$500,"&lt;=109899",'LANÇAMENTOS DIÁRIOS'!$P$5:$P$500,"&gt;=109800")&gt;0,"X","")</f>
      </c>
      <c r="AT85" s="56" t="str">
        <f>IF(COUNTIFS('LANÇAMENTOS DIÁRIOS'!$G$5:$G$500,"E",'LANÇAMENTOS DIÁRIOS'!$C$5:$C$500,$A85,'LANÇAMENTOS DIÁRIOS'!$O$5:$O$500,"&lt;=109999",'LANÇAMENTOS DIÁRIOS'!$P$5:$P$500,"&gt;=109900")&gt;0,"X","")</f>
      </c>
      <c r="AU85" s="56" t="str">
        <f>IF(COUNTIFS('LANÇAMENTOS DIÁRIOS'!$G$5:$G$500,"E",'LANÇAMENTOS DIÁRIOS'!$C$5:$C$500,$A85,'LANÇAMENTOS DIÁRIOS'!$O$5:$O$500,"&lt;=110099",'LANÇAMENTOS DIÁRIOS'!$P$5:$P$500,"&gt;=110000")&gt;0,"X","")</f>
      </c>
      <c r="AV85" s="56" t="str">
        <f>IF(COUNTIFS('LANÇAMENTOS DIÁRIOS'!$G$5:$G$500,"E",'LANÇAMENTOS DIÁRIOS'!$C$5:$C$500,$A85,'LANÇAMENTOS DIÁRIOS'!$O$5:$O$500,"&lt;=110199",'LANÇAMENTOS DIÁRIOS'!$P$5:$P$500,"&gt;=110100")&gt;0,"X","")</f>
      </c>
      <c r="AW85" s="56" t="str">
        <f>IF(COUNTIFS('LANÇAMENTOS DIÁRIOS'!$G$5:$G$500,"E",'LANÇAMENTOS DIÁRIOS'!$C$5:$C$500,$A85,'LANÇAMENTOS DIÁRIOS'!$O$5:$O$500,"&lt;=110299",'LANÇAMENTOS DIÁRIOS'!$P$5:$P$500,"&gt;=110200")&gt;0,"X","")</f>
      </c>
      <c r="AX85" s="56" t="str">
        <f>IF(COUNTIFS('LANÇAMENTOS DIÁRIOS'!$G$5:$G$500,"E",'LANÇAMENTOS DIÁRIOS'!$C$5:$C$500,$A85,'LANÇAMENTOS DIÁRIOS'!$O$5:$O$500,"&lt;=110399",'LANÇAMENTOS DIÁRIOS'!$P$5:$P$500,"&gt;=110300")&gt;0,"X","")</f>
      </c>
      <c r="AY85" s="56" t="str">
        <f>IF(COUNTIFS('LANÇAMENTOS DIÁRIOS'!$G$5:$G$500,"E",'LANÇAMENTOS DIÁRIOS'!$C$5:$C$500,$A85,'LANÇAMENTOS DIÁRIOS'!$O$5:$O$500,"&lt;=110499",'LANÇAMENTOS DIÁRIOS'!$P$5:$P$500,"&gt;=110400")&gt;0,"X","")</f>
      </c>
      <c r="AZ85" s="56" t="str">
        <f>IF(COUNTIFS('LANÇAMENTOS DIÁRIOS'!$G$5:$G$500,"E",'LANÇAMENTOS DIÁRIOS'!$C$5:$C$500,$A85,'LANÇAMENTOS DIÁRIOS'!$O$5:$O$500,"&lt;=110599",'LANÇAMENTOS DIÁRIOS'!$P$5:$P$500,"&gt;=110500")&gt;0,"X","")</f>
      </c>
      <c r="BA85" s="56" t="str">
        <f>IF(COUNTIFS('LANÇAMENTOS DIÁRIOS'!$G$5:$G$500,"E",'LANÇAMENTOS DIÁRIOS'!$C$5:$C$500,$A85,'LANÇAMENTOS DIÁRIOS'!$O$5:$O$500,"&lt;=110699",'LANÇAMENTOS DIÁRIOS'!$P$5:$P$500,"&gt;=110600")&gt;0,"X","")</f>
      </c>
      <c r="BB85" s="56" t="str">
        <f>IF(COUNTIFS('LANÇAMENTOS DIÁRIOS'!$G$5:$G$500,"E",'LANÇAMENTOS DIÁRIOS'!$C$5:$C$500,$A85,'LANÇAMENTOS DIÁRIOS'!$O$5:$O$500,"&lt;=110799",'LANÇAMENTOS DIÁRIOS'!$P$5:$P$500,"&gt;=110700")&gt;0,"X","")</f>
      </c>
      <c r="BC85" s="56" t="str">
        <f>IF(COUNTIFS('LANÇAMENTOS DIÁRIOS'!$G$5:$G$500,"E",'LANÇAMENTOS DIÁRIOS'!$C$5:$C$500,$A85,'LANÇAMENTOS DIÁRIOS'!$O$5:$O$500,"&lt;=110899",'LANÇAMENTOS DIÁRIOS'!$P$5:$P$500,"&gt;=110800")&gt;0,"X","")</f>
      </c>
      <c r="BD85" s="56" t="str">
        <f>IF(COUNTIFS('LANÇAMENTOS DIÁRIOS'!$G$5:$G$500,"E",'LANÇAMENTOS DIÁRIOS'!$C$5:$C$500,$A85,'LANÇAMENTOS DIÁRIOS'!$O$5:$O$500,"&lt;=110999",'LANÇAMENTOS DIÁRIOS'!$P$5:$P$500,"&gt;=110900")&gt;0,"X","")</f>
      </c>
      <c r="BE85" s="56" t="str">
        <f>IF(COUNTIFS('LANÇAMENTOS DIÁRIOS'!$G$5:$G$500,"E",'LANÇAMENTOS DIÁRIOS'!$C$5:$C$500,$A85,'LANÇAMENTOS DIÁRIOS'!$O$5:$O$500,"&lt;=111099",'LANÇAMENTOS DIÁRIOS'!$P$5:$P$500,"&gt;=111000")&gt;0,"X","")</f>
      </c>
      <c r="BF85" s="56" t="str">
        <f>IF(COUNTIFS('LANÇAMENTOS DIÁRIOS'!$G$5:$G$500,"E",'LANÇAMENTOS DIÁRIOS'!$C$5:$C$500,$A85,'LANÇAMENTOS DIÁRIOS'!$O$5:$O$500,"&lt;=111199",'LANÇAMENTOS DIÁRIOS'!$P$5:$P$500,"&gt;=111100")&gt;0,"X","")</f>
      </c>
      <c r="BG85" s="56" t="str">
        <f>IF(COUNTIFS('LANÇAMENTOS DIÁRIOS'!$G$5:$G$500,"E",'LANÇAMENTOS DIÁRIOS'!$C$5:$C$500,$A85,'LANÇAMENTOS DIÁRIOS'!$O$5:$O$500,"&lt;=111299",'LANÇAMENTOS DIÁRIOS'!$P$5:$P$500,"&gt;=111200")&gt;0,"X","")</f>
      </c>
      <c r="BH85" s="56" t="str">
        <f>IF(COUNTIFS('LANÇAMENTOS DIÁRIOS'!$G$5:$G$500,"E",'LANÇAMENTOS DIÁRIOS'!$C$5:$C$500,$A85,'LANÇAMENTOS DIÁRIOS'!$O$5:$O$500,"&lt;=111399",'LANÇAMENTOS DIÁRIOS'!$P$5:$P$500,"&gt;=111300")&gt;0,"X","")</f>
      </c>
      <c r="BI85" s="56" t="str">
        <f>IF(COUNTIFS('LANÇAMENTOS DIÁRIOS'!$G$5:$G$500,"E",'LANÇAMENTOS DIÁRIOS'!$C$5:$C$500,$A85,'LANÇAMENTOS DIÁRIOS'!$O$5:$O$500,"&lt;=111499",'LANÇAMENTOS DIÁRIOS'!$P$5:$P$500,"&gt;=111400")&gt;0,"X","")</f>
      </c>
      <c r="BJ85" s="56" t="str">
        <f>IF(COUNTIFS('LANÇAMENTOS DIÁRIOS'!$G$5:$G$500,"E",'LANÇAMENTOS DIÁRIOS'!$C$5:$C$500,$A85,'LANÇAMENTOS DIÁRIOS'!$O$5:$O$500,"&lt;=111500",'LANÇAMENTOS DIÁRIOS'!$P$5:$P$500,"&gt;=111500")&gt;0,"X","")</f>
      </c>
    </row>
    <row r="86">
      <c r="A86" s="51" t="str">
        <v>Imprimadura ligante, sem fornecimento de materiais</v>
      </c>
      <c r="B86" s="56" t="str">
        <f>IF(COUNTIFS('LANÇAMENTOS DIÁRIOS'!$G$5:$G$500,"E",'LANÇAMENTOS DIÁRIOS'!$C$5:$C$500,$A86,'LANÇAMENTOS DIÁRIOS'!$O$5:$O$500,"&lt;=105599",'LANÇAMENTOS DIÁRIOS'!$P$5:$P$500,"&gt;=105500")&gt;0,"X","")</f>
      </c>
      <c r="C86" s="56" t="str">
        <f>IF(COUNTIFS('LANÇAMENTOS DIÁRIOS'!$G$5:$G$500,"E",'LANÇAMENTOS DIÁRIOS'!$C$5:$C$500,$A86,'LANÇAMENTOS DIÁRIOS'!$O$5:$O$500,"&lt;=105699",'LANÇAMENTOS DIÁRIOS'!$P$5:$P$500,"&gt;=105600")&gt;0,"X","")</f>
      </c>
      <c r="D86" s="56" t="str">
        <f>IF(COUNTIFS('LANÇAMENTOS DIÁRIOS'!$G$5:$G$500,"E",'LANÇAMENTOS DIÁRIOS'!$C$5:$C$500,$A86,'LANÇAMENTOS DIÁRIOS'!$O$5:$O$500,"&lt;=105799",'LANÇAMENTOS DIÁRIOS'!$P$5:$P$500,"&gt;=105700")&gt;0,"X","")</f>
      </c>
      <c r="E86" s="56" t="str">
        <f>IF(COUNTIFS('LANÇAMENTOS DIÁRIOS'!$G$5:$G$500,"E",'LANÇAMENTOS DIÁRIOS'!$C$5:$C$500,$A86,'LANÇAMENTOS DIÁRIOS'!$O$5:$O$500,"&lt;=105899",'LANÇAMENTOS DIÁRIOS'!$P$5:$P$500,"&gt;=105800")&gt;0,"X","")</f>
      </c>
      <c r="F86" s="56" t="str">
        <f>IF(COUNTIFS('LANÇAMENTOS DIÁRIOS'!$G$5:$G$500,"E",'LANÇAMENTOS DIÁRIOS'!$C$5:$C$500,$A86,'LANÇAMENTOS DIÁRIOS'!$O$5:$O$500,"&lt;=105999",'LANÇAMENTOS DIÁRIOS'!$P$5:$P$500,"&gt;=105900")&gt;0,"X","")</f>
      </c>
      <c r="G86" s="56" t="str">
        <f>IF(COUNTIFS('LANÇAMENTOS DIÁRIOS'!$G$5:$G$500,"E",'LANÇAMENTOS DIÁRIOS'!$C$5:$C$500,$A86,'LANÇAMENTOS DIÁRIOS'!$O$5:$O$500,"&lt;=106099",'LANÇAMENTOS DIÁRIOS'!$P$5:$P$500,"&gt;=106000")&gt;0,"X","")</f>
      </c>
      <c r="H86" s="56" t="str">
        <f>IF(COUNTIFS('LANÇAMENTOS DIÁRIOS'!$G$5:$G$500,"E",'LANÇAMENTOS DIÁRIOS'!$C$5:$C$500,$A86,'LANÇAMENTOS DIÁRIOS'!$O$5:$O$500,"&lt;=106199",'LANÇAMENTOS DIÁRIOS'!$P$5:$P$500,"&gt;=106100")&gt;0,"X","")</f>
      </c>
      <c r="I86" s="56" t="str">
        <f>IF(COUNTIFS('LANÇAMENTOS DIÁRIOS'!$G$5:$G$500,"E",'LANÇAMENTOS DIÁRIOS'!$C$5:$C$500,$A86,'LANÇAMENTOS DIÁRIOS'!$O$5:$O$500,"&lt;=106299",'LANÇAMENTOS DIÁRIOS'!$P$5:$P$500,"&gt;=106200")&gt;0,"X","")</f>
      </c>
      <c r="J86" s="56" t="str">
        <f>IF(COUNTIFS('LANÇAMENTOS DIÁRIOS'!$G$5:$G$500,"E",'LANÇAMENTOS DIÁRIOS'!$C$5:$C$500,$A86,'LANÇAMENTOS DIÁRIOS'!$O$5:$O$500,"&lt;=106399",'LANÇAMENTOS DIÁRIOS'!$P$5:$P$500,"&gt;=106300")&gt;0,"X","")</f>
      </c>
      <c r="K86" s="56" t="str">
        <f>IF(COUNTIFS('LANÇAMENTOS DIÁRIOS'!$G$5:$G$500,"E",'LANÇAMENTOS DIÁRIOS'!$C$5:$C$500,$A86,'LANÇAMENTOS DIÁRIOS'!$O$5:$O$500,"&lt;=106499",'LANÇAMENTOS DIÁRIOS'!$P$5:$P$500,"&gt;=106400")&gt;0,"X","")</f>
      </c>
      <c r="L86" s="56" t="str">
        <f>IF(COUNTIFS('LANÇAMENTOS DIÁRIOS'!$G$5:$G$500,"E",'LANÇAMENTOS DIÁRIOS'!$C$5:$C$500,$A86,'LANÇAMENTOS DIÁRIOS'!$O$5:$O$500,"&lt;=106599",'LANÇAMENTOS DIÁRIOS'!$P$5:$P$500,"&gt;=106500")&gt;0,"X","")</f>
      </c>
      <c r="M86" s="56" t="str">
        <f>IF(COUNTIFS('LANÇAMENTOS DIÁRIOS'!$G$5:$G$500,"E",'LANÇAMENTOS DIÁRIOS'!$C$5:$C$500,$A86,'LANÇAMENTOS DIÁRIOS'!$O$5:$O$500,"&lt;=106699",'LANÇAMENTOS DIÁRIOS'!$P$5:$P$500,"&gt;=106600")&gt;0,"X","")</f>
      </c>
      <c r="N86" s="56" t="str">
        <f>IF(COUNTIFS('LANÇAMENTOS DIÁRIOS'!$G$5:$G$500,"E",'LANÇAMENTOS DIÁRIOS'!$C$5:$C$500,$A86,'LANÇAMENTOS DIÁRIOS'!$O$5:$O$500,"&lt;=106799",'LANÇAMENTOS DIÁRIOS'!$P$5:$P$500,"&gt;=106700")&gt;0,"X","")</f>
      </c>
      <c r="O86" s="56" t="str">
        <f>IF(COUNTIFS('LANÇAMENTOS DIÁRIOS'!$G$5:$G$500,"E",'LANÇAMENTOS DIÁRIOS'!$C$5:$C$500,$A86,'LANÇAMENTOS DIÁRIOS'!$O$5:$O$500,"&lt;=106899",'LANÇAMENTOS DIÁRIOS'!$P$5:$P$500,"&gt;=106800")&gt;0,"X","")</f>
      </c>
      <c r="P86" s="56" t="str">
        <f>IF(COUNTIFS('LANÇAMENTOS DIÁRIOS'!$G$5:$G$500,"E",'LANÇAMENTOS DIÁRIOS'!$C$5:$C$500,$A86,'LANÇAMENTOS DIÁRIOS'!$O$5:$O$500,"&lt;=106999",'LANÇAMENTOS DIÁRIOS'!$P$5:$P$500,"&gt;=106900")&gt;0,"X","")</f>
      </c>
      <c r="Q86" s="56" t="str">
        <f>IF(COUNTIFS('LANÇAMENTOS DIÁRIOS'!$G$5:$G$500,"E",'LANÇAMENTOS DIÁRIOS'!$C$5:$C$500,$A86,'LANÇAMENTOS DIÁRIOS'!$O$5:$O$500,"&lt;=107099",'LANÇAMENTOS DIÁRIOS'!$P$5:$P$500,"&gt;=107000")&gt;0,"X","")</f>
      </c>
      <c r="R86" s="56" t="str">
        <f>IF(COUNTIFS('LANÇAMENTOS DIÁRIOS'!$G$5:$G$500,"E",'LANÇAMENTOS DIÁRIOS'!$C$5:$C$500,$A86,'LANÇAMENTOS DIÁRIOS'!$O$5:$O$500,"&lt;=107199",'LANÇAMENTOS DIÁRIOS'!$P$5:$P$500,"&gt;=107100")&gt;0,"X","")</f>
      </c>
      <c r="S86" s="56" t="str">
        <f>IF(COUNTIFS('LANÇAMENTOS DIÁRIOS'!$G$5:$G$500,"E",'LANÇAMENTOS DIÁRIOS'!$C$5:$C$500,$A86,'LANÇAMENTOS DIÁRIOS'!$O$5:$O$500,"&lt;=107299",'LANÇAMENTOS DIÁRIOS'!$P$5:$P$500,"&gt;=107200")&gt;0,"X","")</f>
      </c>
      <c r="T86" s="56" t="str">
        <f>IF(COUNTIFS('LANÇAMENTOS DIÁRIOS'!$G$5:$G$500,"E",'LANÇAMENTOS DIÁRIOS'!$C$5:$C$500,$A86,'LANÇAMENTOS DIÁRIOS'!$O$5:$O$500,"&lt;=107399",'LANÇAMENTOS DIÁRIOS'!$P$5:$P$500,"&gt;=107300")&gt;0,"X","")</f>
      </c>
      <c r="U86" s="56" t="str">
        <f>IF(COUNTIFS('LANÇAMENTOS DIÁRIOS'!$G$5:$G$500,"E",'LANÇAMENTOS DIÁRIOS'!$C$5:$C$500,$A86,'LANÇAMENTOS DIÁRIOS'!$O$5:$O$500,"&lt;=107499",'LANÇAMENTOS DIÁRIOS'!$P$5:$P$500,"&gt;=107400")&gt;0,"X","")</f>
      </c>
      <c r="V86" s="56" t="str">
        <f>IF(COUNTIFS('LANÇAMENTOS DIÁRIOS'!$G$5:$G$500,"E",'LANÇAMENTOS DIÁRIOS'!$C$5:$C$500,$A86,'LANÇAMENTOS DIÁRIOS'!$O$5:$O$500,"&lt;=107599",'LANÇAMENTOS DIÁRIOS'!$P$5:$P$500,"&gt;=107500")&gt;0,"X","")</f>
      </c>
      <c r="W86" s="56" t="str">
        <f>IF(COUNTIFS('LANÇAMENTOS DIÁRIOS'!$G$5:$G$500,"E",'LANÇAMENTOS DIÁRIOS'!$C$5:$C$500,$A86,'LANÇAMENTOS DIÁRIOS'!$O$5:$O$500,"&lt;=107699",'LANÇAMENTOS DIÁRIOS'!$P$5:$P$500,"&gt;=107600")&gt;0,"X","")</f>
      </c>
      <c r="X86" s="56" t="str">
        <f>IF(COUNTIFS('LANÇAMENTOS DIÁRIOS'!$G$5:$G$500,"E",'LANÇAMENTOS DIÁRIOS'!$C$5:$C$500,$A86,'LANÇAMENTOS DIÁRIOS'!$O$5:$O$500,"&lt;=107799",'LANÇAMENTOS DIÁRIOS'!$P$5:$P$500,"&gt;=107700")&gt;0,"X","")</f>
      </c>
      <c r="Y86" s="56" t="str">
        <f>IF(COUNTIFS('LANÇAMENTOS DIÁRIOS'!$G$5:$G$500,"E",'LANÇAMENTOS DIÁRIOS'!$C$5:$C$500,$A86,'LANÇAMENTOS DIÁRIOS'!$O$5:$O$500,"&lt;=107899",'LANÇAMENTOS DIÁRIOS'!$P$5:$P$500,"&gt;=107800")&gt;0,"X","")</f>
      </c>
      <c r="Z86" s="56" t="str">
        <f>IF(COUNTIFS('LANÇAMENTOS DIÁRIOS'!$G$5:$G$500,"E",'LANÇAMENTOS DIÁRIOS'!$C$5:$C$500,$A86,'LANÇAMENTOS DIÁRIOS'!$O$5:$O$500,"&lt;=107999",'LANÇAMENTOS DIÁRIOS'!$P$5:$P$500,"&gt;=107900")&gt;0,"X","")</f>
      </c>
      <c r="AA86" s="56" t="str">
        <f>IF(COUNTIFS('LANÇAMENTOS DIÁRIOS'!$G$5:$G$500,"E",'LANÇAMENTOS DIÁRIOS'!$C$5:$C$500,$A86,'LANÇAMENTOS DIÁRIOS'!$O$5:$O$500,"&lt;=108099",'LANÇAMENTOS DIÁRIOS'!$P$5:$P$500,"&gt;=108000")&gt;0,"X","")</f>
      </c>
      <c r="AB86" s="56" t="str">
        <f>IF(COUNTIFS('LANÇAMENTOS DIÁRIOS'!$G$5:$G$500,"E",'LANÇAMENTOS DIÁRIOS'!$C$5:$C$500,$A86,'LANÇAMENTOS DIÁRIOS'!$O$5:$O$500,"&lt;=108199",'LANÇAMENTOS DIÁRIOS'!$P$5:$P$500,"&gt;=108100")&gt;0,"X","")</f>
      </c>
      <c r="AC86" s="56" t="str">
        <f>IF(COUNTIFS('LANÇAMENTOS DIÁRIOS'!$G$5:$G$500,"E",'LANÇAMENTOS DIÁRIOS'!$C$5:$C$500,$A86,'LANÇAMENTOS DIÁRIOS'!$O$5:$O$500,"&lt;=108299",'LANÇAMENTOS DIÁRIOS'!$P$5:$P$500,"&gt;=108200")&gt;0,"X","")</f>
      </c>
      <c r="AD86" s="56" t="str">
        <f>IF(COUNTIFS('LANÇAMENTOS DIÁRIOS'!$G$5:$G$500,"E",'LANÇAMENTOS DIÁRIOS'!$C$5:$C$500,$A86,'LANÇAMENTOS DIÁRIOS'!$O$5:$O$500,"&lt;=108399",'LANÇAMENTOS DIÁRIOS'!$P$5:$P$500,"&gt;=108300")&gt;0,"X","")</f>
      </c>
      <c r="AE86" s="56" t="str">
        <f>IF(COUNTIFS('LANÇAMENTOS DIÁRIOS'!$G$5:$G$500,"E",'LANÇAMENTOS DIÁRIOS'!$C$5:$C$500,$A86,'LANÇAMENTOS DIÁRIOS'!$O$5:$O$500,"&lt;=108499",'LANÇAMENTOS DIÁRIOS'!$P$5:$P$500,"&gt;=108400")&gt;0,"X","")</f>
      </c>
      <c r="AF86" s="56" t="str">
        <f>IF(COUNTIFS('LANÇAMENTOS DIÁRIOS'!$G$5:$G$500,"E",'LANÇAMENTOS DIÁRIOS'!$C$5:$C$500,$A86,'LANÇAMENTOS DIÁRIOS'!$O$5:$O$500,"&lt;=108599",'LANÇAMENTOS DIÁRIOS'!$P$5:$P$500,"&gt;=108500")&gt;0,"X","")</f>
      </c>
      <c r="AG86" s="56" t="str">
        <f>IF(COUNTIFS('LANÇAMENTOS DIÁRIOS'!$G$5:$G$500,"E",'LANÇAMENTOS DIÁRIOS'!$C$5:$C$500,$A86,'LANÇAMENTOS DIÁRIOS'!$O$5:$O$500,"&lt;=108699",'LANÇAMENTOS DIÁRIOS'!$P$5:$P$500,"&gt;=108600")&gt;0,"X","")</f>
      </c>
      <c r="AH86" s="56" t="str">
        <f>IF(COUNTIFS('LANÇAMENTOS DIÁRIOS'!$G$5:$G$500,"E",'LANÇAMENTOS DIÁRIOS'!$C$5:$C$500,$A86,'LANÇAMENTOS DIÁRIOS'!$O$5:$O$500,"&lt;=108799",'LANÇAMENTOS DIÁRIOS'!$P$5:$P$500,"&gt;=108700")&gt;0,"X","")</f>
      </c>
      <c r="AI86" s="56" t="str">
        <f>IF(COUNTIFS('LANÇAMENTOS DIÁRIOS'!$G$5:$G$500,"E",'LANÇAMENTOS DIÁRIOS'!$C$5:$C$500,$A86,'LANÇAMENTOS DIÁRIOS'!$O$5:$O$500,"&lt;=108899",'LANÇAMENTOS DIÁRIOS'!$P$5:$P$500,"&gt;=108800")&gt;0,"X","")</f>
      </c>
      <c r="AJ86" s="56" t="str">
        <f>IF(COUNTIFS('LANÇAMENTOS DIÁRIOS'!$G$5:$G$500,"E",'LANÇAMENTOS DIÁRIOS'!$C$5:$C$500,$A86,'LANÇAMENTOS DIÁRIOS'!$O$5:$O$500,"&lt;=108999",'LANÇAMENTOS DIÁRIOS'!$P$5:$P$500,"&gt;=108900")&gt;0,"X","")</f>
      </c>
      <c r="AK86" s="56" t="str">
        <f>IF(COUNTIFS('LANÇAMENTOS DIÁRIOS'!$G$5:$G$500,"E",'LANÇAMENTOS DIÁRIOS'!$C$5:$C$500,$A86,'LANÇAMENTOS DIÁRIOS'!$O$5:$O$500,"&lt;=109099",'LANÇAMENTOS DIÁRIOS'!$P$5:$P$500,"&gt;=109000")&gt;0,"X","")</f>
      </c>
      <c r="AL86" s="56" t="str">
        <f>IF(COUNTIFS('LANÇAMENTOS DIÁRIOS'!$G$5:$G$500,"E",'LANÇAMENTOS DIÁRIOS'!$C$5:$C$500,$A86,'LANÇAMENTOS DIÁRIOS'!$O$5:$O$500,"&lt;=109199",'LANÇAMENTOS DIÁRIOS'!$P$5:$P$500,"&gt;=109100")&gt;0,"X","")</f>
      </c>
      <c r="AM86" s="56" t="str">
        <f>IF(COUNTIFS('LANÇAMENTOS DIÁRIOS'!$G$5:$G$500,"E",'LANÇAMENTOS DIÁRIOS'!$C$5:$C$500,$A86,'LANÇAMENTOS DIÁRIOS'!$O$5:$O$500,"&lt;=109299",'LANÇAMENTOS DIÁRIOS'!$P$5:$P$500,"&gt;=109200")&gt;0,"X","")</f>
      </c>
      <c r="AN86" s="56" t="str">
        <f>IF(COUNTIFS('LANÇAMENTOS DIÁRIOS'!$G$5:$G$500,"E",'LANÇAMENTOS DIÁRIOS'!$C$5:$C$500,$A86,'LANÇAMENTOS DIÁRIOS'!$O$5:$O$500,"&lt;=109399",'LANÇAMENTOS DIÁRIOS'!$P$5:$P$500,"&gt;=109300")&gt;0,"X","")</f>
      </c>
      <c r="AO86" s="56" t="str">
        <f>IF(COUNTIFS('LANÇAMENTOS DIÁRIOS'!$G$5:$G$500,"E",'LANÇAMENTOS DIÁRIOS'!$C$5:$C$500,$A86,'LANÇAMENTOS DIÁRIOS'!$O$5:$O$500,"&lt;=109499",'LANÇAMENTOS DIÁRIOS'!$P$5:$P$500,"&gt;=109400")&gt;0,"X","")</f>
      </c>
      <c r="AP86" s="56" t="str">
        <f>IF(COUNTIFS('LANÇAMENTOS DIÁRIOS'!$G$5:$G$500,"E",'LANÇAMENTOS DIÁRIOS'!$C$5:$C$500,$A86,'LANÇAMENTOS DIÁRIOS'!$O$5:$O$500,"&lt;=109599",'LANÇAMENTOS DIÁRIOS'!$P$5:$P$500,"&gt;=109500")&gt;0,"X","")</f>
      </c>
      <c r="AQ86" s="56" t="str">
        <f>IF(COUNTIFS('LANÇAMENTOS DIÁRIOS'!$G$5:$G$500,"E",'LANÇAMENTOS DIÁRIOS'!$C$5:$C$500,$A86,'LANÇAMENTOS DIÁRIOS'!$O$5:$O$500,"&lt;=109699",'LANÇAMENTOS DIÁRIOS'!$P$5:$P$500,"&gt;=109600")&gt;0,"X","")</f>
      </c>
      <c r="AR86" s="56" t="str">
        <f>IF(COUNTIFS('LANÇAMENTOS DIÁRIOS'!$G$5:$G$500,"E",'LANÇAMENTOS DIÁRIOS'!$C$5:$C$500,$A86,'LANÇAMENTOS DIÁRIOS'!$O$5:$O$500,"&lt;=109799",'LANÇAMENTOS DIÁRIOS'!$P$5:$P$500,"&gt;=109700")&gt;0,"X","")</f>
      </c>
      <c r="AS86" s="56" t="str">
        <f>IF(COUNTIFS('LANÇAMENTOS DIÁRIOS'!$G$5:$G$500,"E",'LANÇAMENTOS DIÁRIOS'!$C$5:$C$500,$A86,'LANÇAMENTOS DIÁRIOS'!$O$5:$O$500,"&lt;=109899",'LANÇAMENTOS DIÁRIOS'!$P$5:$P$500,"&gt;=109800")&gt;0,"X","")</f>
      </c>
      <c r="AT86" s="56" t="str">
        <f>IF(COUNTIFS('LANÇAMENTOS DIÁRIOS'!$G$5:$G$500,"E",'LANÇAMENTOS DIÁRIOS'!$C$5:$C$500,$A86,'LANÇAMENTOS DIÁRIOS'!$O$5:$O$500,"&lt;=109999",'LANÇAMENTOS DIÁRIOS'!$P$5:$P$500,"&gt;=109900")&gt;0,"X","")</f>
      </c>
      <c r="AU86" s="56" t="str">
        <f>IF(COUNTIFS('LANÇAMENTOS DIÁRIOS'!$G$5:$G$500,"E",'LANÇAMENTOS DIÁRIOS'!$C$5:$C$500,$A86,'LANÇAMENTOS DIÁRIOS'!$O$5:$O$500,"&lt;=110099",'LANÇAMENTOS DIÁRIOS'!$P$5:$P$500,"&gt;=110000")&gt;0,"X","")</f>
      </c>
      <c r="AV86" s="56" t="str">
        <f>IF(COUNTIFS('LANÇAMENTOS DIÁRIOS'!$G$5:$G$500,"E",'LANÇAMENTOS DIÁRIOS'!$C$5:$C$500,$A86,'LANÇAMENTOS DIÁRIOS'!$O$5:$O$500,"&lt;=110199",'LANÇAMENTOS DIÁRIOS'!$P$5:$P$500,"&gt;=110100")&gt;0,"X","")</f>
      </c>
      <c r="AW86" s="56" t="str">
        <f>IF(COUNTIFS('LANÇAMENTOS DIÁRIOS'!$G$5:$G$500,"E",'LANÇAMENTOS DIÁRIOS'!$C$5:$C$500,$A86,'LANÇAMENTOS DIÁRIOS'!$O$5:$O$500,"&lt;=110299",'LANÇAMENTOS DIÁRIOS'!$P$5:$P$500,"&gt;=110200")&gt;0,"X","")</f>
      </c>
      <c r="AX86" s="56" t="str">
        <f>IF(COUNTIFS('LANÇAMENTOS DIÁRIOS'!$G$5:$G$500,"E",'LANÇAMENTOS DIÁRIOS'!$C$5:$C$500,$A86,'LANÇAMENTOS DIÁRIOS'!$O$5:$O$500,"&lt;=110399",'LANÇAMENTOS DIÁRIOS'!$P$5:$P$500,"&gt;=110300")&gt;0,"X","")</f>
      </c>
      <c r="AY86" s="56" t="str">
        <f>IF(COUNTIFS('LANÇAMENTOS DIÁRIOS'!$G$5:$G$500,"E",'LANÇAMENTOS DIÁRIOS'!$C$5:$C$500,$A86,'LANÇAMENTOS DIÁRIOS'!$O$5:$O$500,"&lt;=110499",'LANÇAMENTOS DIÁRIOS'!$P$5:$P$500,"&gt;=110400")&gt;0,"X","")</f>
      </c>
      <c r="AZ86" s="56" t="str">
        <f>IF(COUNTIFS('LANÇAMENTOS DIÁRIOS'!$G$5:$G$500,"E",'LANÇAMENTOS DIÁRIOS'!$C$5:$C$500,$A86,'LANÇAMENTOS DIÁRIOS'!$O$5:$O$500,"&lt;=110599",'LANÇAMENTOS DIÁRIOS'!$P$5:$P$500,"&gt;=110500")&gt;0,"X","")</f>
      </c>
      <c r="BA86" s="56" t="str">
        <f>IF(COUNTIFS('LANÇAMENTOS DIÁRIOS'!$G$5:$G$500,"E",'LANÇAMENTOS DIÁRIOS'!$C$5:$C$500,$A86,'LANÇAMENTOS DIÁRIOS'!$O$5:$O$500,"&lt;=110699",'LANÇAMENTOS DIÁRIOS'!$P$5:$P$500,"&gt;=110600")&gt;0,"X","")</f>
      </c>
      <c r="BB86" s="56" t="str">
        <f>IF(COUNTIFS('LANÇAMENTOS DIÁRIOS'!$G$5:$G$500,"E",'LANÇAMENTOS DIÁRIOS'!$C$5:$C$500,$A86,'LANÇAMENTOS DIÁRIOS'!$O$5:$O$500,"&lt;=110799",'LANÇAMENTOS DIÁRIOS'!$P$5:$P$500,"&gt;=110700")&gt;0,"X","")</f>
      </c>
      <c r="BC86" s="56" t="str">
        <f>IF(COUNTIFS('LANÇAMENTOS DIÁRIOS'!$G$5:$G$500,"E",'LANÇAMENTOS DIÁRIOS'!$C$5:$C$500,$A86,'LANÇAMENTOS DIÁRIOS'!$O$5:$O$500,"&lt;=110899",'LANÇAMENTOS DIÁRIOS'!$P$5:$P$500,"&gt;=110800")&gt;0,"X","")</f>
      </c>
      <c r="BD86" s="56" t="str">
        <f>IF(COUNTIFS('LANÇAMENTOS DIÁRIOS'!$G$5:$G$500,"E",'LANÇAMENTOS DIÁRIOS'!$C$5:$C$500,$A86,'LANÇAMENTOS DIÁRIOS'!$O$5:$O$500,"&lt;=110999",'LANÇAMENTOS DIÁRIOS'!$P$5:$P$500,"&gt;=110900")&gt;0,"X","")</f>
      </c>
      <c r="BE86" s="56" t="str">
        <f>IF(COUNTIFS('LANÇAMENTOS DIÁRIOS'!$G$5:$G$500,"E",'LANÇAMENTOS DIÁRIOS'!$C$5:$C$500,$A86,'LANÇAMENTOS DIÁRIOS'!$O$5:$O$500,"&lt;=111099",'LANÇAMENTOS DIÁRIOS'!$P$5:$P$500,"&gt;=111000")&gt;0,"X","")</f>
      </c>
      <c r="BF86" s="56" t="str">
        <f>IF(COUNTIFS('LANÇAMENTOS DIÁRIOS'!$G$5:$G$500,"E",'LANÇAMENTOS DIÁRIOS'!$C$5:$C$500,$A86,'LANÇAMENTOS DIÁRIOS'!$O$5:$O$500,"&lt;=111199",'LANÇAMENTOS DIÁRIOS'!$P$5:$P$500,"&gt;=111100")&gt;0,"X","")</f>
      </c>
      <c r="BG86" s="56" t="str">
        <f>IF(COUNTIFS('LANÇAMENTOS DIÁRIOS'!$G$5:$G$500,"E",'LANÇAMENTOS DIÁRIOS'!$C$5:$C$500,$A86,'LANÇAMENTOS DIÁRIOS'!$O$5:$O$500,"&lt;=111299",'LANÇAMENTOS DIÁRIOS'!$P$5:$P$500,"&gt;=111200")&gt;0,"X","")</f>
      </c>
      <c r="BH86" s="56" t="str">
        <f>IF(COUNTIFS('LANÇAMENTOS DIÁRIOS'!$G$5:$G$500,"E",'LANÇAMENTOS DIÁRIOS'!$C$5:$C$500,$A86,'LANÇAMENTOS DIÁRIOS'!$O$5:$O$500,"&lt;=111399",'LANÇAMENTOS DIÁRIOS'!$P$5:$P$500,"&gt;=111300")&gt;0,"X","")</f>
      </c>
      <c r="BI86" s="56" t="str">
        <f>IF(COUNTIFS('LANÇAMENTOS DIÁRIOS'!$G$5:$G$500,"E",'LANÇAMENTOS DIÁRIOS'!$C$5:$C$500,$A86,'LANÇAMENTOS DIÁRIOS'!$O$5:$O$500,"&lt;=111499",'LANÇAMENTOS DIÁRIOS'!$P$5:$P$500,"&gt;=111400")&gt;0,"X","")</f>
      </c>
      <c r="BJ86" s="56" t="str">
        <f>IF(COUNTIFS('LANÇAMENTOS DIÁRIOS'!$G$5:$G$500,"E",'LANÇAMENTOS DIÁRIOS'!$C$5:$C$500,$A86,'LANÇAMENTOS DIÁRIOS'!$O$5:$O$500,"&lt;=111500",'LANÇAMENTOS DIÁRIOS'!$P$5:$P$500,"&gt;=111500")&gt;0,"X","")</f>
      </c>
    </row>
    <row r="87">
      <c r="A87" s="51" t="str">
        <v>Concreto betuminoso usinado a quente SPV 16 mm, modificado por borracha, sem o fornecimento de CAP</v>
      </c>
      <c r="B87" s="56" t="str">
        <f>IF(COUNTIFS('LANÇAMENTOS DIÁRIOS'!$G$5:$G$500,"E",'LANÇAMENTOS DIÁRIOS'!$C$5:$C$500,$A87,'LANÇAMENTOS DIÁRIOS'!$O$5:$O$500,"&lt;=105599",'LANÇAMENTOS DIÁRIOS'!$P$5:$P$500,"&gt;=105500")&gt;0,"X","")</f>
      </c>
      <c r="C87" s="56" t="str">
        <f>IF(COUNTIFS('LANÇAMENTOS DIÁRIOS'!$G$5:$G$500,"E",'LANÇAMENTOS DIÁRIOS'!$C$5:$C$500,$A87,'LANÇAMENTOS DIÁRIOS'!$O$5:$O$500,"&lt;=105699",'LANÇAMENTOS DIÁRIOS'!$P$5:$P$500,"&gt;=105600")&gt;0,"X","")</f>
      </c>
      <c r="D87" s="56" t="str">
        <f>IF(COUNTIFS('LANÇAMENTOS DIÁRIOS'!$G$5:$G$500,"E",'LANÇAMENTOS DIÁRIOS'!$C$5:$C$500,$A87,'LANÇAMENTOS DIÁRIOS'!$O$5:$O$500,"&lt;=105799",'LANÇAMENTOS DIÁRIOS'!$P$5:$P$500,"&gt;=105700")&gt;0,"X","")</f>
      </c>
      <c r="E87" s="56" t="str">
        <f>IF(COUNTIFS('LANÇAMENTOS DIÁRIOS'!$G$5:$G$500,"E",'LANÇAMENTOS DIÁRIOS'!$C$5:$C$500,$A87,'LANÇAMENTOS DIÁRIOS'!$O$5:$O$500,"&lt;=105899",'LANÇAMENTOS DIÁRIOS'!$P$5:$P$500,"&gt;=105800")&gt;0,"X","")</f>
      </c>
      <c r="F87" s="56" t="str">
        <f>IF(COUNTIFS('LANÇAMENTOS DIÁRIOS'!$G$5:$G$500,"E",'LANÇAMENTOS DIÁRIOS'!$C$5:$C$500,$A87,'LANÇAMENTOS DIÁRIOS'!$O$5:$O$500,"&lt;=105999",'LANÇAMENTOS DIÁRIOS'!$P$5:$P$500,"&gt;=105900")&gt;0,"X","")</f>
      </c>
      <c r="G87" s="56" t="str">
        <f>IF(COUNTIFS('LANÇAMENTOS DIÁRIOS'!$G$5:$G$500,"E",'LANÇAMENTOS DIÁRIOS'!$C$5:$C$500,$A87,'LANÇAMENTOS DIÁRIOS'!$O$5:$O$500,"&lt;=106099",'LANÇAMENTOS DIÁRIOS'!$P$5:$P$500,"&gt;=106000")&gt;0,"X","")</f>
      </c>
      <c r="H87" s="56" t="str">
        <f>IF(COUNTIFS('LANÇAMENTOS DIÁRIOS'!$G$5:$G$500,"E",'LANÇAMENTOS DIÁRIOS'!$C$5:$C$500,$A87,'LANÇAMENTOS DIÁRIOS'!$O$5:$O$500,"&lt;=106199",'LANÇAMENTOS DIÁRIOS'!$P$5:$P$500,"&gt;=106100")&gt;0,"X","")</f>
      </c>
      <c r="I87" s="56" t="str">
        <f>IF(COUNTIFS('LANÇAMENTOS DIÁRIOS'!$G$5:$G$500,"E",'LANÇAMENTOS DIÁRIOS'!$C$5:$C$500,$A87,'LANÇAMENTOS DIÁRIOS'!$O$5:$O$500,"&lt;=106299",'LANÇAMENTOS DIÁRIOS'!$P$5:$P$500,"&gt;=106200")&gt;0,"X","")</f>
      </c>
      <c r="J87" s="56" t="str">
        <f>IF(COUNTIFS('LANÇAMENTOS DIÁRIOS'!$G$5:$G$500,"E",'LANÇAMENTOS DIÁRIOS'!$C$5:$C$500,$A87,'LANÇAMENTOS DIÁRIOS'!$O$5:$O$500,"&lt;=106399",'LANÇAMENTOS DIÁRIOS'!$P$5:$P$500,"&gt;=106300")&gt;0,"X","")</f>
      </c>
      <c r="K87" s="56" t="str">
        <f>IF(COUNTIFS('LANÇAMENTOS DIÁRIOS'!$G$5:$G$500,"E",'LANÇAMENTOS DIÁRIOS'!$C$5:$C$500,$A87,'LANÇAMENTOS DIÁRIOS'!$O$5:$O$500,"&lt;=106499",'LANÇAMENTOS DIÁRIOS'!$P$5:$P$500,"&gt;=106400")&gt;0,"X","")</f>
      </c>
      <c r="L87" s="56" t="str">
        <f>IF(COUNTIFS('LANÇAMENTOS DIÁRIOS'!$G$5:$G$500,"E",'LANÇAMENTOS DIÁRIOS'!$C$5:$C$500,$A87,'LANÇAMENTOS DIÁRIOS'!$O$5:$O$500,"&lt;=106599",'LANÇAMENTOS DIÁRIOS'!$P$5:$P$500,"&gt;=106500")&gt;0,"X","")</f>
      </c>
      <c r="M87" s="56" t="str">
        <f>IF(COUNTIFS('LANÇAMENTOS DIÁRIOS'!$G$5:$G$500,"E",'LANÇAMENTOS DIÁRIOS'!$C$5:$C$500,$A87,'LANÇAMENTOS DIÁRIOS'!$O$5:$O$500,"&lt;=106699",'LANÇAMENTOS DIÁRIOS'!$P$5:$P$500,"&gt;=106600")&gt;0,"X","")</f>
      </c>
      <c r="N87" s="56" t="str">
        <f>IF(COUNTIFS('LANÇAMENTOS DIÁRIOS'!$G$5:$G$500,"E",'LANÇAMENTOS DIÁRIOS'!$C$5:$C$500,$A87,'LANÇAMENTOS DIÁRIOS'!$O$5:$O$500,"&lt;=106799",'LANÇAMENTOS DIÁRIOS'!$P$5:$P$500,"&gt;=106700")&gt;0,"X","")</f>
      </c>
      <c r="O87" s="56" t="str">
        <f>IF(COUNTIFS('LANÇAMENTOS DIÁRIOS'!$G$5:$G$500,"E",'LANÇAMENTOS DIÁRIOS'!$C$5:$C$500,$A87,'LANÇAMENTOS DIÁRIOS'!$O$5:$O$500,"&lt;=106899",'LANÇAMENTOS DIÁRIOS'!$P$5:$P$500,"&gt;=106800")&gt;0,"X","")</f>
      </c>
      <c r="P87" s="56" t="str">
        <f>IF(COUNTIFS('LANÇAMENTOS DIÁRIOS'!$G$5:$G$500,"E",'LANÇAMENTOS DIÁRIOS'!$C$5:$C$500,$A87,'LANÇAMENTOS DIÁRIOS'!$O$5:$O$500,"&lt;=106999",'LANÇAMENTOS DIÁRIOS'!$P$5:$P$500,"&gt;=106900")&gt;0,"X","")</f>
      </c>
      <c r="Q87" s="56" t="str">
        <f>IF(COUNTIFS('LANÇAMENTOS DIÁRIOS'!$G$5:$G$500,"E",'LANÇAMENTOS DIÁRIOS'!$C$5:$C$500,$A87,'LANÇAMENTOS DIÁRIOS'!$O$5:$O$500,"&lt;=107099",'LANÇAMENTOS DIÁRIOS'!$P$5:$P$500,"&gt;=107000")&gt;0,"X","")</f>
      </c>
      <c r="R87" s="56" t="str">
        <f>IF(COUNTIFS('LANÇAMENTOS DIÁRIOS'!$G$5:$G$500,"E",'LANÇAMENTOS DIÁRIOS'!$C$5:$C$500,$A87,'LANÇAMENTOS DIÁRIOS'!$O$5:$O$500,"&lt;=107199",'LANÇAMENTOS DIÁRIOS'!$P$5:$P$500,"&gt;=107100")&gt;0,"X","")</f>
      </c>
      <c r="S87" s="56" t="str">
        <f>IF(COUNTIFS('LANÇAMENTOS DIÁRIOS'!$G$5:$G$500,"E",'LANÇAMENTOS DIÁRIOS'!$C$5:$C$500,$A87,'LANÇAMENTOS DIÁRIOS'!$O$5:$O$500,"&lt;=107299",'LANÇAMENTOS DIÁRIOS'!$P$5:$P$500,"&gt;=107200")&gt;0,"X","")</f>
      </c>
      <c r="T87" s="56" t="str">
        <f>IF(COUNTIFS('LANÇAMENTOS DIÁRIOS'!$G$5:$G$500,"E",'LANÇAMENTOS DIÁRIOS'!$C$5:$C$500,$A87,'LANÇAMENTOS DIÁRIOS'!$O$5:$O$500,"&lt;=107399",'LANÇAMENTOS DIÁRIOS'!$P$5:$P$500,"&gt;=107300")&gt;0,"X","")</f>
      </c>
      <c r="U87" s="56" t="str">
        <f>IF(COUNTIFS('LANÇAMENTOS DIÁRIOS'!$G$5:$G$500,"E",'LANÇAMENTOS DIÁRIOS'!$C$5:$C$500,$A87,'LANÇAMENTOS DIÁRIOS'!$O$5:$O$500,"&lt;=107499",'LANÇAMENTOS DIÁRIOS'!$P$5:$P$500,"&gt;=107400")&gt;0,"X","")</f>
      </c>
      <c r="V87" s="56" t="str">
        <f>IF(COUNTIFS('LANÇAMENTOS DIÁRIOS'!$G$5:$G$500,"E",'LANÇAMENTOS DIÁRIOS'!$C$5:$C$500,$A87,'LANÇAMENTOS DIÁRIOS'!$O$5:$O$500,"&lt;=107599",'LANÇAMENTOS DIÁRIOS'!$P$5:$P$500,"&gt;=107500")&gt;0,"X","")</f>
      </c>
      <c r="W87" s="56" t="str">
        <f>IF(COUNTIFS('LANÇAMENTOS DIÁRIOS'!$G$5:$G$500,"E",'LANÇAMENTOS DIÁRIOS'!$C$5:$C$500,$A87,'LANÇAMENTOS DIÁRIOS'!$O$5:$O$500,"&lt;=107699",'LANÇAMENTOS DIÁRIOS'!$P$5:$P$500,"&gt;=107600")&gt;0,"X","")</f>
      </c>
      <c r="X87" s="56" t="str">
        <f>IF(COUNTIFS('LANÇAMENTOS DIÁRIOS'!$G$5:$G$500,"E",'LANÇAMENTOS DIÁRIOS'!$C$5:$C$500,$A87,'LANÇAMENTOS DIÁRIOS'!$O$5:$O$500,"&lt;=107799",'LANÇAMENTOS DIÁRIOS'!$P$5:$P$500,"&gt;=107700")&gt;0,"X","")</f>
      </c>
      <c r="Y87" s="56" t="str">
        <f>IF(COUNTIFS('LANÇAMENTOS DIÁRIOS'!$G$5:$G$500,"E",'LANÇAMENTOS DIÁRIOS'!$C$5:$C$500,$A87,'LANÇAMENTOS DIÁRIOS'!$O$5:$O$500,"&lt;=107899",'LANÇAMENTOS DIÁRIOS'!$P$5:$P$500,"&gt;=107800")&gt;0,"X","")</f>
      </c>
      <c r="Z87" s="56" t="str">
        <f>IF(COUNTIFS('LANÇAMENTOS DIÁRIOS'!$G$5:$G$500,"E",'LANÇAMENTOS DIÁRIOS'!$C$5:$C$500,$A87,'LANÇAMENTOS DIÁRIOS'!$O$5:$O$500,"&lt;=107999",'LANÇAMENTOS DIÁRIOS'!$P$5:$P$500,"&gt;=107900")&gt;0,"X","")</f>
      </c>
      <c r="AA87" s="56" t="str">
        <f>IF(COUNTIFS('LANÇAMENTOS DIÁRIOS'!$G$5:$G$500,"E",'LANÇAMENTOS DIÁRIOS'!$C$5:$C$500,$A87,'LANÇAMENTOS DIÁRIOS'!$O$5:$O$500,"&lt;=108099",'LANÇAMENTOS DIÁRIOS'!$P$5:$P$500,"&gt;=108000")&gt;0,"X","")</f>
      </c>
      <c r="AB87" s="56" t="str">
        <f>IF(COUNTIFS('LANÇAMENTOS DIÁRIOS'!$G$5:$G$500,"E",'LANÇAMENTOS DIÁRIOS'!$C$5:$C$500,$A87,'LANÇAMENTOS DIÁRIOS'!$O$5:$O$500,"&lt;=108199",'LANÇAMENTOS DIÁRIOS'!$P$5:$P$500,"&gt;=108100")&gt;0,"X","")</f>
      </c>
      <c r="AC87" s="56" t="str">
        <f>IF(COUNTIFS('LANÇAMENTOS DIÁRIOS'!$G$5:$G$500,"E",'LANÇAMENTOS DIÁRIOS'!$C$5:$C$500,$A87,'LANÇAMENTOS DIÁRIOS'!$O$5:$O$500,"&lt;=108299",'LANÇAMENTOS DIÁRIOS'!$P$5:$P$500,"&gt;=108200")&gt;0,"X","")</f>
      </c>
      <c r="AD87" s="56" t="str">
        <f>IF(COUNTIFS('LANÇAMENTOS DIÁRIOS'!$G$5:$G$500,"E",'LANÇAMENTOS DIÁRIOS'!$C$5:$C$500,$A87,'LANÇAMENTOS DIÁRIOS'!$O$5:$O$500,"&lt;=108399",'LANÇAMENTOS DIÁRIOS'!$P$5:$P$500,"&gt;=108300")&gt;0,"X","")</f>
      </c>
      <c r="AE87" s="56" t="str">
        <f>IF(COUNTIFS('LANÇAMENTOS DIÁRIOS'!$G$5:$G$500,"E",'LANÇAMENTOS DIÁRIOS'!$C$5:$C$500,$A87,'LANÇAMENTOS DIÁRIOS'!$O$5:$O$500,"&lt;=108499",'LANÇAMENTOS DIÁRIOS'!$P$5:$P$500,"&gt;=108400")&gt;0,"X","")</f>
      </c>
      <c r="AF87" s="56" t="str">
        <f>IF(COUNTIFS('LANÇAMENTOS DIÁRIOS'!$G$5:$G$500,"E",'LANÇAMENTOS DIÁRIOS'!$C$5:$C$500,$A87,'LANÇAMENTOS DIÁRIOS'!$O$5:$O$500,"&lt;=108599",'LANÇAMENTOS DIÁRIOS'!$P$5:$P$500,"&gt;=108500")&gt;0,"X","")</f>
      </c>
      <c r="AG87" s="56" t="str">
        <f>IF(COUNTIFS('LANÇAMENTOS DIÁRIOS'!$G$5:$G$500,"E",'LANÇAMENTOS DIÁRIOS'!$C$5:$C$500,$A87,'LANÇAMENTOS DIÁRIOS'!$O$5:$O$500,"&lt;=108699",'LANÇAMENTOS DIÁRIOS'!$P$5:$P$500,"&gt;=108600")&gt;0,"X","")</f>
      </c>
      <c r="AH87" s="56" t="str">
        <f>IF(COUNTIFS('LANÇAMENTOS DIÁRIOS'!$G$5:$G$500,"E",'LANÇAMENTOS DIÁRIOS'!$C$5:$C$500,$A87,'LANÇAMENTOS DIÁRIOS'!$O$5:$O$500,"&lt;=108799",'LANÇAMENTOS DIÁRIOS'!$P$5:$P$500,"&gt;=108700")&gt;0,"X","")</f>
      </c>
      <c r="AI87" s="56" t="str">
        <f>IF(COUNTIFS('LANÇAMENTOS DIÁRIOS'!$G$5:$G$500,"E",'LANÇAMENTOS DIÁRIOS'!$C$5:$C$500,$A87,'LANÇAMENTOS DIÁRIOS'!$O$5:$O$500,"&lt;=108899",'LANÇAMENTOS DIÁRIOS'!$P$5:$P$500,"&gt;=108800")&gt;0,"X","")</f>
      </c>
      <c r="AJ87" s="56" t="str">
        <f>IF(COUNTIFS('LANÇAMENTOS DIÁRIOS'!$G$5:$G$500,"E",'LANÇAMENTOS DIÁRIOS'!$C$5:$C$500,$A87,'LANÇAMENTOS DIÁRIOS'!$O$5:$O$500,"&lt;=108999",'LANÇAMENTOS DIÁRIOS'!$P$5:$P$500,"&gt;=108900")&gt;0,"X","")</f>
      </c>
      <c r="AK87" s="56" t="str">
        <f>IF(COUNTIFS('LANÇAMENTOS DIÁRIOS'!$G$5:$G$500,"E",'LANÇAMENTOS DIÁRIOS'!$C$5:$C$500,$A87,'LANÇAMENTOS DIÁRIOS'!$O$5:$O$500,"&lt;=109099",'LANÇAMENTOS DIÁRIOS'!$P$5:$P$500,"&gt;=109000")&gt;0,"X","")</f>
      </c>
      <c r="AL87" s="56" t="str">
        <f>IF(COUNTIFS('LANÇAMENTOS DIÁRIOS'!$G$5:$G$500,"E",'LANÇAMENTOS DIÁRIOS'!$C$5:$C$500,$A87,'LANÇAMENTOS DIÁRIOS'!$O$5:$O$500,"&lt;=109199",'LANÇAMENTOS DIÁRIOS'!$P$5:$P$500,"&gt;=109100")&gt;0,"X","")</f>
      </c>
      <c r="AM87" s="56" t="str">
        <f>IF(COUNTIFS('LANÇAMENTOS DIÁRIOS'!$G$5:$G$500,"E",'LANÇAMENTOS DIÁRIOS'!$C$5:$C$500,$A87,'LANÇAMENTOS DIÁRIOS'!$O$5:$O$500,"&lt;=109299",'LANÇAMENTOS DIÁRIOS'!$P$5:$P$500,"&gt;=109200")&gt;0,"X","")</f>
      </c>
      <c r="AN87" s="56" t="str">
        <f>IF(COUNTIFS('LANÇAMENTOS DIÁRIOS'!$G$5:$G$500,"E",'LANÇAMENTOS DIÁRIOS'!$C$5:$C$500,$A87,'LANÇAMENTOS DIÁRIOS'!$O$5:$O$500,"&lt;=109399",'LANÇAMENTOS DIÁRIOS'!$P$5:$P$500,"&gt;=109300")&gt;0,"X","")</f>
      </c>
      <c r="AO87" s="56" t="str">
        <f>IF(COUNTIFS('LANÇAMENTOS DIÁRIOS'!$G$5:$G$500,"E",'LANÇAMENTOS DIÁRIOS'!$C$5:$C$500,$A87,'LANÇAMENTOS DIÁRIOS'!$O$5:$O$500,"&lt;=109499",'LANÇAMENTOS DIÁRIOS'!$P$5:$P$500,"&gt;=109400")&gt;0,"X","")</f>
      </c>
      <c r="AP87" s="56" t="str">
        <f>IF(COUNTIFS('LANÇAMENTOS DIÁRIOS'!$G$5:$G$500,"E",'LANÇAMENTOS DIÁRIOS'!$C$5:$C$500,$A87,'LANÇAMENTOS DIÁRIOS'!$O$5:$O$500,"&lt;=109599",'LANÇAMENTOS DIÁRIOS'!$P$5:$P$500,"&gt;=109500")&gt;0,"X","")</f>
      </c>
      <c r="AQ87" s="56" t="str">
        <f>IF(COUNTIFS('LANÇAMENTOS DIÁRIOS'!$G$5:$G$500,"E",'LANÇAMENTOS DIÁRIOS'!$C$5:$C$500,$A87,'LANÇAMENTOS DIÁRIOS'!$O$5:$O$500,"&lt;=109699",'LANÇAMENTOS DIÁRIOS'!$P$5:$P$500,"&gt;=109600")&gt;0,"X","")</f>
      </c>
      <c r="AR87" s="56" t="str">
        <f>IF(COUNTIFS('LANÇAMENTOS DIÁRIOS'!$G$5:$G$500,"E",'LANÇAMENTOS DIÁRIOS'!$C$5:$C$500,$A87,'LANÇAMENTOS DIÁRIOS'!$O$5:$O$500,"&lt;=109799",'LANÇAMENTOS DIÁRIOS'!$P$5:$P$500,"&gt;=109700")&gt;0,"X","")</f>
      </c>
      <c r="AS87" s="56" t="str">
        <f>IF(COUNTIFS('LANÇAMENTOS DIÁRIOS'!$G$5:$G$500,"E",'LANÇAMENTOS DIÁRIOS'!$C$5:$C$500,$A87,'LANÇAMENTOS DIÁRIOS'!$O$5:$O$500,"&lt;=109899",'LANÇAMENTOS DIÁRIOS'!$P$5:$P$500,"&gt;=109800")&gt;0,"X","")</f>
      </c>
      <c r="AT87" s="56" t="str">
        <f>IF(COUNTIFS('LANÇAMENTOS DIÁRIOS'!$G$5:$G$500,"E",'LANÇAMENTOS DIÁRIOS'!$C$5:$C$500,$A87,'LANÇAMENTOS DIÁRIOS'!$O$5:$O$500,"&lt;=109999",'LANÇAMENTOS DIÁRIOS'!$P$5:$P$500,"&gt;=109900")&gt;0,"X","")</f>
      </c>
      <c r="AU87" s="56" t="str">
        <f>IF(COUNTIFS('LANÇAMENTOS DIÁRIOS'!$G$5:$G$500,"E",'LANÇAMENTOS DIÁRIOS'!$C$5:$C$500,$A87,'LANÇAMENTOS DIÁRIOS'!$O$5:$O$500,"&lt;=110099",'LANÇAMENTOS DIÁRIOS'!$P$5:$P$500,"&gt;=110000")&gt;0,"X","")</f>
      </c>
      <c r="AV87" s="56" t="str">
        <f>IF(COUNTIFS('LANÇAMENTOS DIÁRIOS'!$G$5:$G$500,"E",'LANÇAMENTOS DIÁRIOS'!$C$5:$C$500,$A87,'LANÇAMENTOS DIÁRIOS'!$O$5:$O$500,"&lt;=110199",'LANÇAMENTOS DIÁRIOS'!$P$5:$P$500,"&gt;=110100")&gt;0,"X","")</f>
      </c>
      <c r="AW87" s="56" t="str">
        <f>IF(COUNTIFS('LANÇAMENTOS DIÁRIOS'!$G$5:$G$500,"E",'LANÇAMENTOS DIÁRIOS'!$C$5:$C$500,$A87,'LANÇAMENTOS DIÁRIOS'!$O$5:$O$500,"&lt;=110299",'LANÇAMENTOS DIÁRIOS'!$P$5:$P$500,"&gt;=110200")&gt;0,"X","")</f>
      </c>
      <c r="AX87" s="56" t="str">
        <f>IF(COUNTIFS('LANÇAMENTOS DIÁRIOS'!$G$5:$G$500,"E",'LANÇAMENTOS DIÁRIOS'!$C$5:$C$500,$A87,'LANÇAMENTOS DIÁRIOS'!$O$5:$O$500,"&lt;=110399",'LANÇAMENTOS DIÁRIOS'!$P$5:$P$500,"&gt;=110300")&gt;0,"X","")</f>
      </c>
      <c r="AY87" s="56" t="str">
        <f>IF(COUNTIFS('LANÇAMENTOS DIÁRIOS'!$G$5:$G$500,"E",'LANÇAMENTOS DIÁRIOS'!$C$5:$C$500,$A87,'LANÇAMENTOS DIÁRIOS'!$O$5:$O$500,"&lt;=110499",'LANÇAMENTOS DIÁRIOS'!$P$5:$P$500,"&gt;=110400")&gt;0,"X","")</f>
      </c>
      <c r="AZ87" s="56" t="str">
        <f>IF(COUNTIFS('LANÇAMENTOS DIÁRIOS'!$G$5:$G$500,"E",'LANÇAMENTOS DIÁRIOS'!$C$5:$C$500,$A87,'LANÇAMENTOS DIÁRIOS'!$O$5:$O$500,"&lt;=110599",'LANÇAMENTOS DIÁRIOS'!$P$5:$P$500,"&gt;=110500")&gt;0,"X","")</f>
      </c>
      <c r="BA87" s="56" t="str">
        <f>IF(COUNTIFS('LANÇAMENTOS DIÁRIOS'!$G$5:$G$500,"E",'LANÇAMENTOS DIÁRIOS'!$C$5:$C$500,$A87,'LANÇAMENTOS DIÁRIOS'!$O$5:$O$500,"&lt;=110699",'LANÇAMENTOS DIÁRIOS'!$P$5:$P$500,"&gt;=110600")&gt;0,"X","")</f>
      </c>
      <c r="BB87" s="56" t="str">
        <f>IF(COUNTIFS('LANÇAMENTOS DIÁRIOS'!$G$5:$G$500,"E",'LANÇAMENTOS DIÁRIOS'!$C$5:$C$500,$A87,'LANÇAMENTOS DIÁRIOS'!$O$5:$O$500,"&lt;=110799",'LANÇAMENTOS DIÁRIOS'!$P$5:$P$500,"&gt;=110700")&gt;0,"X","")</f>
      </c>
      <c r="BC87" s="56" t="str">
        <f>IF(COUNTIFS('LANÇAMENTOS DIÁRIOS'!$G$5:$G$500,"E",'LANÇAMENTOS DIÁRIOS'!$C$5:$C$500,$A87,'LANÇAMENTOS DIÁRIOS'!$O$5:$O$500,"&lt;=110899",'LANÇAMENTOS DIÁRIOS'!$P$5:$P$500,"&gt;=110800")&gt;0,"X","")</f>
      </c>
      <c r="BD87" s="56" t="str">
        <f>IF(COUNTIFS('LANÇAMENTOS DIÁRIOS'!$G$5:$G$500,"E",'LANÇAMENTOS DIÁRIOS'!$C$5:$C$500,$A87,'LANÇAMENTOS DIÁRIOS'!$O$5:$O$500,"&lt;=110999",'LANÇAMENTOS DIÁRIOS'!$P$5:$P$500,"&gt;=110900")&gt;0,"X","")</f>
      </c>
      <c r="BE87" s="56" t="str">
        <f>IF(COUNTIFS('LANÇAMENTOS DIÁRIOS'!$G$5:$G$500,"E",'LANÇAMENTOS DIÁRIOS'!$C$5:$C$500,$A87,'LANÇAMENTOS DIÁRIOS'!$O$5:$O$500,"&lt;=111099",'LANÇAMENTOS DIÁRIOS'!$P$5:$P$500,"&gt;=111000")&gt;0,"X","")</f>
      </c>
      <c r="BF87" s="56" t="str">
        <f>IF(COUNTIFS('LANÇAMENTOS DIÁRIOS'!$G$5:$G$500,"E",'LANÇAMENTOS DIÁRIOS'!$C$5:$C$500,$A87,'LANÇAMENTOS DIÁRIOS'!$O$5:$O$500,"&lt;=111199",'LANÇAMENTOS DIÁRIOS'!$P$5:$P$500,"&gt;=111100")&gt;0,"X","")</f>
      </c>
      <c r="BG87" s="56" t="str">
        <f>IF(COUNTIFS('LANÇAMENTOS DIÁRIOS'!$G$5:$G$500,"E",'LANÇAMENTOS DIÁRIOS'!$C$5:$C$500,$A87,'LANÇAMENTOS DIÁRIOS'!$O$5:$O$500,"&lt;=111299",'LANÇAMENTOS DIÁRIOS'!$P$5:$P$500,"&gt;=111200")&gt;0,"X","")</f>
      </c>
      <c r="BH87" s="56" t="str">
        <f>IF(COUNTIFS('LANÇAMENTOS DIÁRIOS'!$G$5:$G$500,"E",'LANÇAMENTOS DIÁRIOS'!$C$5:$C$500,$A87,'LANÇAMENTOS DIÁRIOS'!$O$5:$O$500,"&lt;=111399",'LANÇAMENTOS DIÁRIOS'!$P$5:$P$500,"&gt;=111300")&gt;0,"X","")</f>
      </c>
      <c r="BI87" s="56" t="str">
        <f>IF(COUNTIFS('LANÇAMENTOS DIÁRIOS'!$G$5:$G$500,"E",'LANÇAMENTOS DIÁRIOS'!$C$5:$C$500,$A87,'LANÇAMENTOS DIÁRIOS'!$O$5:$O$500,"&lt;=111499",'LANÇAMENTOS DIÁRIOS'!$P$5:$P$500,"&gt;=111400")&gt;0,"X","")</f>
      </c>
      <c r="BJ87" s="56" t="str">
        <f>IF(COUNTIFS('LANÇAMENTOS DIÁRIOS'!$G$5:$G$500,"E",'LANÇAMENTOS DIÁRIOS'!$C$5:$C$500,$A87,'LANÇAMENTOS DIÁRIOS'!$O$5:$O$500,"&lt;=111500",'LANÇAMENTOS DIÁRIOS'!$P$5:$P$500,"&gt;=111500")&gt;0,"X","")</f>
      </c>
    </row>
    <row r="88">
      <c r="A88" s="51" t="str">
        <v>Microrrevestimento asfáltico a frio adaptado para acostamentos - Espessura de 25 mm - sem fornecimento de emulsão</v>
      </c>
      <c r="B88" s="56" t="str">
        <f>IF(COUNTIFS('LANÇAMENTOS DIÁRIOS'!$G$5:$G$500,"E",'LANÇAMENTOS DIÁRIOS'!$C$5:$C$500,$A88,'LANÇAMENTOS DIÁRIOS'!$O$5:$O$500,"&lt;=105599",'LANÇAMENTOS DIÁRIOS'!$P$5:$P$500,"&gt;=105500")&gt;0,"X","")</f>
      </c>
      <c r="C88" s="56" t="str">
        <f>IF(COUNTIFS('LANÇAMENTOS DIÁRIOS'!$G$5:$G$500,"E",'LANÇAMENTOS DIÁRIOS'!$C$5:$C$500,$A88,'LANÇAMENTOS DIÁRIOS'!$O$5:$O$500,"&lt;=105699",'LANÇAMENTOS DIÁRIOS'!$P$5:$P$500,"&gt;=105600")&gt;0,"X","")</f>
      </c>
      <c r="D88" s="56" t="str">
        <f>IF(COUNTIFS('LANÇAMENTOS DIÁRIOS'!$G$5:$G$500,"E",'LANÇAMENTOS DIÁRIOS'!$C$5:$C$500,$A88,'LANÇAMENTOS DIÁRIOS'!$O$5:$O$500,"&lt;=105799",'LANÇAMENTOS DIÁRIOS'!$P$5:$P$500,"&gt;=105700")&gt;0,"X","")</f>
      </c>
      <c r="E88" s="56" t="str">
        <f>IF(COUNTIFS('LANÇAMENTOS DIÁRIOS'!$G$5:$G$500,"E",'LANÇAMENTOS DIÁRIOS'!$C$5:$C$500,$A88,'LANÇAMENTOS DIÁRIOS'!$O$5:$O$500,"&lt;=105899",'LANÇAMENTOS DIÁRIOS'!$P$5:$P$500,"&gt;=105800")&gt;0,"X","")</f>
      </c>
      <c r="F88" s="56" t="str">
        <f>IF(COUNTIFS('LANÇAMENTOS DIÁRIOS'!$G$5:$G$500,"E",'LANÇAMENTOS DIÁRIOS'!$C$5:$C$500,$A88,'LANÇAMENTOS DIÁRIOS'!$O$5:$O$500,"&lt;=105999",'LANÇAMENTOS DIÁRIOS'!$P$5:$P$500,"&gt;=105900")&gt;0,"X","")</f>
      </c>
      <c r="G88" s="56" t="str">
        <f>IF(COUNTIFS('LANÇAMENTOS DIÁRIOS'!$G$5:$G$500,"E",'LANÇAMENTOS DIÁRIOS'!$C$5:$C$500,$A88,'LANÇAMENTOS DIÁRIOS'!$O$5:$O$500,"&lt;=106099",'LANÇAMENTOS DIÁRIOS'!$P$5:$P$500,"&gt;=106000")&gt;0,"X","")</f>
      </c>
      <c r="H88" s="56" t="str">
        <f>IF(COUNTIFS('LANÇAMENTOS DIÁRIOS'!$G$5:$G$500,"E",'LANÇAMENTOS DIÁRIOS'!$C$5:$C$500,$A88,'LANÇAMENTOS DIÁRIOS'!$O$5:$O$500,"&lt;=106199",'LANÇAMENTOS DIÁRIOS'!$P$5:$P$500,"&gt;=106100")&gt;0,"X","")</f>
      </c>
      <c r="I88" s="56" t="str">
        <f>IF(COUNTIFS('LANÇAMENTOS DIÁRIOS'!$G$5:$G$500,"E",'LANÇAMENTOS DIÁRIOS'!$C$5:$C$500,$A88,'LANÇAMENTOS DIÁRIOS'!$O$5:$O$500,"&lt;=106299",'LANÇAMENTOS DIÁRIOS'!$P$5:$P$500,"&gt;=106200")&gt;0,"X","")</f>
      </c>
      <c r="J88" s="56" t="str">
        <f>IF(COUNTIFS('LANÇAMENTOS DIÁRIOS'!$G$5:$G$500,"E",'LANÇAMENTOS DIÁRIOS'!$C$5:$C$500,$A88,'LANÇAMENTOS DIÁRIOS'!$O$5:$O$500,"&lt;=106399",'LANÇAMENTOS DIÁRIOS'!$P$5:$P$500,"&gt;=106300")&gt;0,"X","")</f>
      </c>
      <c r="K88" s="56" t="str">
        <f>IF(COUNTIFS('LANÇAMENTOS DIÁRIOS'!$G$5:$G$500,"E",'LANÇAMENTOS DIÁRIOS'!$C$5:$C$500,$A88,'LANÇAMENTOS DIÁRIOS'!$O$5:$O$500,"&lt;=106499",'LANÇAMENTOS DIÁRIOS'!$P$5:$P$500,"&gt;=106400")&gt;0,"X","")</f>
      </c>
      <c r="L88" s="56" t="str">
        <f>IF(COUNTIFS('LANÇAMENTOS DIÁRIOS'!$G$5:$G$500,"E",'LANÇAMENTOS DIÁRIOS'!$C$5:$C$500,$A88,'LANÇAMENTOS DIÁRIOS'!$O$5:$O$500,"&lt;=106599",'LANÇAMENTOS DIÁRIOS'!$P$5:$P$500,"&gt;=106500")&gt;0,"X","")</f>
      </c>
      <c r="M88" s="56" t="str">
        <f>IF(COUNTIFS('LANÇAMENTOS DIÁRIOS'!$G$5:$G$500,"E",'LANÇAMENTOS DIÁRIOS'!$C$5:$C$500,$A88,'LANÇAMENTOS DIÁRIOS'!$O$5:$O$500,"&lt;=106699",'LANÇAMENTOS DIÁRIOS'!$P$5:$P$500,"&gt;=106600")&gt;0,"X","")</f>
      </c>
      <c r="N88" s="56" t="str">
        <f>IF(COUNTIFS('LANÇAMENTOS DIÁRIOS'!$G$5:$G$500,"E",'LANÇAMENTOS DIÁRIOS'!$C$5:$C$500,$A88,'LANÇAMENTOS DIÁRIOS'!$O$5:$O$500,"&lt;=106799",'LANÇAMENTOS DIÁRIOS'!$P$5:$P$500,"&gt;=106700")&gt;0,"X","")</f>
      </c>
      <c r="O88" s="56" t="str">
        <f>IF(COUNTIFS('LANÇAMENTOS DIÁRIOS'!$G$5:$G$500,"E",'LANÇAMENTOS DIÁRIOS'!$C$5:$C$500,$A88,'LANÇAMENTOS DIÁRIOS'!$O$5:$O$500,"&lt;=106899",'LANÇAMENTOS DIÁRIOS'!$P$5:$P$500,"&gt;=106800")&gt;0,"X","")</f>
      </c>
      <c r="P88" s="56" t="str">
        <f>IF(COUNTIFS('LANÇAMENTOS DIÁRIOS'!$G$5:$G$500,"E",'LANÇAMENTOS DIÁRIOS'!$C$5:$C$500,$A88,'LANÇAMENTOS DIÁRIOS'!$O$5:$O$500,"&lt;=106999",'LANÇAMENTOS DIÁRIOS'!$P$5:$P$500,"&gt;=106900")&gt;0,"X","")</f>
      </c>
      <c r="Q88" s="56" t="str">
        <f>IF(COUNTIFS('LANÇAMENTOS DIÁRIOS'!$G$5:$G$500,"E",'LANÇAMENTOS DIÁRIOS'!$C$5:$C$500,$A88,'LANÇAMENTOS DIÁRIOS'!$O$5:$O$500,"&lt;=107099",'LANÇAMENTOS DIÁRIOS'!$P$5:$P$500,"&gt;=107000")&gt;0,"X","")</f>
      </c>
      <c r="R88" s="56" t="str">
        <f>IF(COUNTIFS('LANÇAMENTOS DIÁRIOS'!$G$5:$G$500,"E",'LANÇAMENTOS DIÁRIOS'!$C$5:$C$500,$A88,'LANÇAMENTOS DIÁRIOS'!$O$5:$O$500,"&lt;=107199",'LANÇAMENTOS DIÁRIOS'!$P$5:$P$500,"&gt;=107100")&gt;0,"X","")</f>
      </c>
      <c r="S88" s="56" t="str">
        <f>IF(COUNTIFS('LANÇAMENTOS DIÁRIOS'!$G$5:$G$500,"E",'LANÇAMENTOS DIÁRIOS'!$C$5:$C$500,$A88,'LANÇAMENTOS DIÁRIOS'!$O$5:$O$500,"&lt;=107299",'LANÇAMENTOS DIÁRIOS'!$P$5:$P$500,"&gt;=107200")&gt;0,"X","")</f>
      </c>
      <c r="T88" s="56" t="str">
        <f>IF(COUNTIFS('LANÇAMENTOS DIÁRIOS'!$G$5:$G$500,"E",'LANÇAMENTOS DIÁRIOS'!$C$5:$C$500,$A88,'LANÇAMENTOS DIÁRIOS'!$O$5:$O$500,"&lt;=107399",'LANÇAMENTOS DIÁRIOS'!$P$5:$P$500,"&gt;=107300")&gt;0,"X","")</f>
      </c>
      <c r="U88" s="56" t="str">
        <f>IF(COUNTIFS('LANÇAMENTOS DIÁRIOS'!$G$5:$G$500,"E",'LANÇAMENTOS DIÁRIOS'!$C$5:$C$500,$A88,'LANÇAMENTOS DIÁRIOS'!$O$5:$O$500,"&lt;=107499",'LANÇAMENTOS DIÁRIOS'!$P$5:$P$500,"&gt;=107400")&gt;0,"X","")</f>
      </c>
      <c r="V88" s="56" t="str">
        <f>IF(COUNTIFS('LANÇAMENTOS DIÁRIOS'!$G$5:$G$500,"E",'LANÇAMENTOS DIÁRIOS'!$C$5:$C$500,$A88,'LANÇAMENTOS DIÁRIOS'!$O$5:$O$500,"&lt;=107599",'LANÇAMENTOS DIÁRIOS'!$P$5:$P$500,"&gt;=107500")&gt;0,"X","")</f>
      </c>
      <c r="W88" s="56" t="str">
        <f>IF(COUNTIFS('LANÇAMENTOS DIÁRIOS'!$G$5:$G$500,"E",'LANÇAMENTOS DIÁRIOS'!$C$5:$C$500,$A88,'LANÇAMENTOS DIÁRIOS'!$O$5:$O$500,"&lt;=107699",'LANÇAMENTOS DIÁRIOS'!$P$5:$P$500,"&gt;=107600")&gt;0,"X","")</f>
      </c>
      <c r="X88" s="56" t="str">
        <f>IF(COUNTIFS('LANÇAMENTOS DIÁRIOS'!$G$5:$G$500,"E",'LANÇAMENTOS DIÁRIOS'!$C$5:$C$500,$A88,'LANÇAMENTOS DIÁRIOS'!$O$5:$O$500,"&lt;=107799",'LANÇAMENTOS DIÁRIOS'!$P$5:$P$500,"&gt;=107700")&gt;0,"X","")</f>
      </c>
      <c r="Y88" s="56" t="str">
        <f>IF(COUNTIFS('LANÇAMENTOS DIÁRIOS'!$G$5:$G$500,"E",'LANÇAMENTOS DIÁRIOS'!$C$5:$C$500,$A88,'LANÇAMENTOS DIÁRIOS'!$O$5:$O$500,"&lt;=107899",'LANÇAMENTOS DIÁRIOS'!$P$5:$P$500,"&gt;=107800")&gt;0,"X","")</f>
      </c>
      <c r="Z88" s="56" t="str">
        <f>IF(COUNTIFS('LANÇAMENTOS DIÁRIOS'!$G$5:$G$500,"E",'LANÇAMENTOS DIÁRIOS'!$C$5:$C$500,$A88,'LANÇAMENTOS DIÁRIOS'!$O$5:$O$500,"&lt;=107999",'LANÇAMENTOS DIÁRIOS'!$P$5:$P$500,"&gt;=107900")&gt;0,"X","")</f>
      </c>
      <c r="AA88" s="56" t="str">
        <f>IF(COUNTIFS('LANÇAMENTOS DIÁRIOS'!$G$5:$G$500,"E",'LANÇAMENTOS DIÁRIOS'!$C$5:$C$500,$A88,'LANÇAMENTOS DIÁRIOS'!$O$5:$O$500,"&lt;=108099",'LANÇAMENTOS DIÁRIOS'!$P$5:$P$500,"&gt;=108000")&gt;0,"X","")</f>
      </c>
      <c r="AB88" s="56" t="str">
        <f>IF(COUNTIFS('LANÇAMENTOS DIÁRIOS'!$G$5:$G$500,"E",'LANÇAMENTOS DIÁRIOS'!$C$5:$C$500,$A88,'LANÇAMENTOS DIÁRIOS'!$O$5:$O$500,"&lt;=108199",'LANÇAMENTOS DIÁRIOS'!$P$5:$P$500,"&gt;=108100")&gt;0,"X","")</f>
      </c>
      <c r="AC88" s="56" t="str">
        <f>IF(COUNTIFS('LANÇAMENTOS DIÁRIOS'!$G$5:$G$500,"E",'LANÇAMENTOS DIÁRIOS'!$C$5:$C$500,$A88,'LANÇAMENTOS DIÁRIOS'!$O$5:$O$500,"&lt;=108299",'LANÇAMENTOS DIÁRIOS'!$P$5:$P$500,"&gt;=108200")&gt;0,"X","")</f>
      </c>
      <c r="AD88" s="56" t="str">
        <f>IF(COUNTIFS('LANÇAMENTOS DIÁRIOS'!$G$5:$G$500,"E",'LANÇAMENTOS DIÁRIOS'!$C$5:$C$500,$A88,'LANÇAMENTOS DIÁRIOS'!$O$5:$O$500,"&lt;=108399",'LANÇAMENTOS DIÁRIOS'!$P$5:$P$500,"&gt;=108300")&gt;0,"X","")</f>
      </c>
      <c r="AE88" s="56" t="str">
        <f>IF(COUNTIFS('LANÇAMENTOS DIÁRIOS'!$G$5:$G$500,"E",'LANÇAMENTOS DIÁRIOS'!$C$5:$C$500,$A88,'LANÇAMENTOS DIÁRIOS'!$O$5:$O$500,"&lt;=108499",'LANÇAMENTOS DIÁRIOS'!$P$5:$P$500,"&gt;=108400")&gt;0,"X","")</f>
      </c>
      <c r="AF88" s="56" t="str">
        <f>IF(COUNTIFS('LANÇAMENTOS DIÁRIOS'!$G$5:$G$500,"E",'LANÇAMENTOS DIÁRIOS'!$C$5:$C$500,$A88,'LANÇAMENTOS DIÁRIOS'!$O$5:$O$500,"&lt;=108599",'LANÇAMENTOS DIÁRIOS'!$P$5:$P$500,"&gt;=108500")&gt;0,"X","")</f>
      </c>
      <c r="AG88" s="56" t="str">
        <f>IF(COUNTIFS('LANÇAMENTOS DIÁRIOS'!$G$5:$G$500,"E",'LANÇAMENTOS DIÁRIOS'!$C$5:$C$500,$A88,'LANÇAMENTOS DIÁRIOS'!$O$5:$O$500,"&lt;=108699",'LANÇAMENTOS DIÁRIOS'!$P$5:$P$500,"&gt;=108600")&gt;0,"X","")</f>
      </c>
      <c r="AH88" s="56" t="str">
        <f>IF(COUNTIFS('LANÇAMENTOS DIÁRIOS'!$G$5:$G$500,"E",'LANÇAMENTOS DIÁRIOS'!$C$5:$C$500,$A88,'LANÇAMENTOS DIÁRIOS'!$O$5:$O$500,"&lt;=108799",'LANÇAMENTOS DIÁRIOS'!$P$5:$P$500,"&gt;=108700")&gt;0,"X","")</f>
      </c>
      <c r="AI88" s="56" t="str">
        <f>IF(COUNTIFS('LANÇAMENTOS DIÁRIOS'!$G$5:$G$500,"E",'LANÇAMENTOS DIÁRIOS'!$C$5:$C$500,$A88,'LANÇAMENTOS DIÁRIOS'!$O$5:$O$500,"&lt;=108899",'LANÇAMENTOS DIÁRIOS'!$P$5:$P$500,"&gt;=108800")&gt;0,"X","")</f>
      </c>
      <c r="AJ88" s="56" t="str">
        <f>IF(COUNTIFS('LANÇAMENTOS DIÁRIOS'!$G$5:$G$500,"E",'LANÇAMENTOS DIÁRIOS'!$C$5:$C$500,$A88,'LANÇAMENTOS DIÁRIOS'!$O$5:$O$500,"&lt;=108999",'LANÇAMENTOS DIÁRIOS'!$P$5:$P$500,"&gt;=108900")&gt;0,"X","")</f>
      </c>
      <c r="AK88" s="56" t="str">
        <f>IF(COUNTIFS('LANÇAMENTOS DIÁRIOS'!$G$5:$G$500,"E",'LANÇAMENTOS DIÁRIOS'!$C$5:$C$500,$A88,'LANÇAMENTOS DIÁRIOS'!$O$5:$O$500,"&lt;=109099",'LANÇAMENTOS DIÁRIOS'!$P$5:$P$500,"&gt;=109000")&gt;0,"X","")</f>
      </c>
      <c r="AL88" s="56" t="str">
        <f>IF(COUNTIFS('LANÇAMENTOS DIÁRIOS'!$G$5:$G$500,"E",'LANÇAMENTOS DIÁRIOS'!$C$5:$C$500,$A88,'LANÇAMENTOS DIÁRIOS'!$O$5:$O$500,"&lt;=109199",'LANÇAMENTOS DIÁRIOS'!$P$5:$P$500,"&gt;=109100")&gt;0,"X","")</f>
      </c>
      <c r="AM88" s="56" t="str">
        <f>IF(COUNTIFS('LANÇAMENTOS DIÁRIOS'!$G$5:$G$500,"E",'LANÇAMENTOS DIÁRIOS'!$C$5:$C$500,$A88,'LANÇAMENTOS DIÁRIOS'!$O$5:$O$500,"&lt;=109299",'LANÇAMENTOS DIÁRIOS'!$P$5:$P$500,"&gt;=109200")&gt;0,"X","")</f>
      </c>
      <c r="AN88" s="56" t="str">
        <f>IF(COUNTIFS('LANÇAMENTOS DIÁRIOS'!$G$5:$G$500,"E",'LANÇAMENTOS DIÁRIOS'!$C$5:$C$500,$A88,'LANÇAMENTOS DIÁRIOS'!$O$5:$O$500,"&lt;=109399",'LANÇAMENTOS DIÁRIOS'!$P$5:$P$500,"&gt;=109300")&gt;0,"X","")</f>
      </c>
      <c r="AO88" s="56" t="str">
        <f>IF(COUNTIFS('LANÇAMENTOS DIÁRIOS'!$G$5:$G$500,"E",'LANÇAMENTOS DIÁRIOS'!$C$5:$C$500,$A88,'LANÇAMENTOS DIÁRIOS'!$O$5:$O$500,"&lt;=109499",'LANÇAMENTOS DIÁRIOS'!$P$5:$P$500,"&gt;=109400")&gt;0,"X","")</f>
      </c>
      <c r="AP88" s="56" t="str">
        <f>IF(COUNTIFS('LANÇAMENTOS DIÁRIOS'!$G$5:$G$500,"E",'LANÇAMENTOS DIÁRIOS'!$C$5:$C$500,$A88,'LANÇAMENTOS DIÁRIOS'!$O$5:$O$500,"&lt;=109599",'LANÇAMENTOS DIÁRIOS'!$P$5:$P$500,"&gt;=109500")&gt;0,"X","")</f>
      </c>
      <c r="AQ88" s="56" t="str">
        <f>IF(COUNTIFS('LANÇAMENTOS DIÁRIOS'!$G$5:$G$500,"E",'LANÇAMENTOS DIÁRIOS'!$C$5:$C$500,$A88,'LANÇAMENTOS DIÁRIOS'!$O$5:$O$500,"&lt;=109699",'LANÇAMENTOS DIÁRIOS'!$P$5:$P$500,"&gt;=109600")&gt;0,"X","")</f>
      </c>
      <c r="AR88" s="56" t="str">
        <f>IF(COUNTIFS('LANÇAMENTOS DIÁRIOS'!$G$5:$G$500,"E",'LANÇAMENTOS DIÁRIOS'!$C$5:$C$500,$A88,'LANÇAMENTOS DIÁRIOS'!$O$5:$O$500,"&lt;=109799",'LANÇAMENTOS DIÁRIOS'!$P$5:$P$500,"&gt;=109700")&gt;0,"X","")</f>
      </c>
      <c r="AS88" s="56" t="str">
        <f>IF(COUNTIFS('LANÇAMENTOS DIÁRIOS'!$G$5:$G$500,"E",'LANÇAMENTOS DIÁRIOS'!$C$5:$C$500,$A88,'LANÇAMENTOS DIÁRIOS'!$O$5:$O$500,"&lt;=109899",'LANÇAMENTOS DIÁRIOS'!$P$5:$P$500,"&gt;=109800")&gt;0,"X","")</f>
      </c>
      <c r="AT88" s="56" t="str">
        <f>IF(COUNTIFS('LANÇAMENTOS DIÁRIOS'!$G$5:$G$500,"E",'LANÇAMENTOS DIÁRIOS'!$C$5:$C$500,$A88,'LANÇAMENTOS DIÁRIOS'!$O$5:$O$500,"&lt;=109999",'LANÇAMENTOS DIÁRIOS'!$P$5:$P$500,"&gt;=109900")&gt;0,"X","")</f>
      </c>
      <c r="AU88" s="56" t="str">
        <f>IF(COUNTIFS('LANÇAMENTOS DIÁRIOS'!$G$5:$G$500,"E",'LANÇAMENTOS DIÁRIOS'!$C$5:$C$500,$A88,'LANÇAMENTOS DIÁRIOS'!$O$5:$O$500,"&lt;=110099",'LANÇAMENTOS DIÁRIOS'!$P$5:$P$500,"&gt;=110000")&gt;0,"X","")</f>
      </c>
      <c r="AV88" s="56" t="str">
        <f>IF(COUNTIFS('LANÇAMENTOS DIÁRIOS'!$G$5:$G$500,"E",'LANÇAMENTOS DIÁRIOS'!$C$5:$C$500,$A88,'LANÇAMENTOS DIÁRIOS'!$O$5:$O$500,"&lt;=110199",'LANÇAMENTOS DIÁRIOS'!$P$5:$P$500,"&gt;=110100")&gt;0,"X","")</f>
      </c>
      <c r="AW88" s="56" t="str">
        <f>IF(COUNTIFS('LANÇAMENTOS DIÁRIOS'!$G$5:$G$500,"E",'LANÇAMENTOS DIÁRIOS'!$C$5:$C$500,$A88,'LANÇAMENTOS DIÁRIOS'!$O$5:$O$500,"&lt;=110299",'LANÇAMENTOS DIÁRIOS'!$P$5:$P$500,"&gt;=110200")&gt;0,"X","")</f>
      </c>
      <c r="AX88" s="56" t="str">
        <f>IF(COUNTIFS('LANÇAMENTOS DIÁRIOS'!$G$5:$G$500,"E",'LANÇAMENTOS DIÁRIOS'!$C$5:$C$500,$A88,'LANÇAMENTOS DIÁRIOS'!$O$5:$O$500,"&lt;=110399",'LANÇAMENTOS DIÁRIOS'!$P$5:$P$500,"&gt;=110300")&gt;0,"X","")</f>
      </c>
      <c r="AY88" s="56" t="str">
        <f>IF(COUNTIFS('LANÇAMENTOS DIÁRIOS'!$G$5:$G$500,"E",'LANÇAMENTOS DIÁRIOS'!$C$5:$C$500,$A88,'LANÇAMENTOS DIÁRIOS'!$O$5:$O$500,"&lt;=110499",'LANÇAMENTOS DIÁRIOS'!$P$5:$P$500,"&gt;=110400")&gt;0,"X","")</f>
      </c>
      <c r="AZ88" s="56" t="str">
        <f>IF(COUNTIFS('LANÇAMENTOS DIÁRIOS'!$G$5:$G$500,"E",'LANÇAMENTOS DIÁRIOS'!$C$5:$C$500,$A88,'LANÇAMENTOS DIÁRIOS'!$O$5:$O$500,"&lt;=110599",'LANÇAMENTOS DIÁRIOS'!$P$5:$P$500,"&gt;=110500")&gt;0,"X","")</f>
      </c>
      <c r="BA88" s="56" t="str">
        <f>IF(COUNTIFS('LANÇAMENTOS DIÁRIOS'!$G$5:$G$500,"E",'LANÇAMENTOS DIÁRIOS'!$C$5:$C$500,$A88,'LANÇAMENTOS DIÁRIOS'!$O$5:$O$500,"&lt;=110699",'LANÇAMENTOS DIÁRIOS'!$P$5:$P$500,"&gt;=110600")&gt;0,"X","")</f>
      </c>
      <c r="BB88" s="56" t="str">
        <f>IF(COUNTIFS('LANÇAMENTOS DIÁRIOS'!$G$5:$G$500,"E",'LANÇAMENTOS DIÁRIOS'!$C$5:$C$500,$A88,'LANÇAMENTOS DIÁRIOS'!$O$5:$O$500,"&lt;=110799",'LANÇAMENTOS DIÁRIOS'!$P$5:$P$500,"&gt;=110700")&gt;0,"X","")</f>
      </c>
      <c r="BC88" s="56" t="str">
        <f>IF(COUNTIFS('LANÇAMENTOS DIÁRIOS'!$G$5:$G$500,"E",'LANÇAMENTOS DIÁRIOS'!$C$5:$C$500,$A88,'LANÇAMENTOS DIÁRIOS'!$O$5:$O$500,"&lt;=110899",'LANÇAMENTOS DIÁRIOS'!$P$5:$P$500,"&gt;=110800")&gt;0,"X","")</f>
      </c>
      <c r="BD88" s="56" t="str">
        <f>IF(COUNTIFS('LANÇAMENTOS DIÁRIOS'!$G$5:$G$500,"E",'LANÇAMENTOS DIÁRIOS'!$C$5:$C$500,$A88,'LANÇAMENTOS DIÁRIOS'!$O$5:$O$500,"&lt;=110999",'LANÇAMENTOS DIÁRIOS'!$P$5:$P$500,"&gt;=110900")&gt;0,"X","")</f>
      </c>
      <c r="BE88" s="56" t="str">
        <f>IF(COUNTIFS('LANÇAMENTOS DIÁRIOS'!$G$5:$G$500,"E",'LANÇAMENTOS DIÁRIOS'!$C$5:$C$500,$A88,'LANÇAMENTOS DIÁRIOS'!$O$5:$O$500,"&lt;=111099",'LANÇAMENTOS DIÁRIOS'!$P$5:$P$500,"&gt;=111000")&gt;0,"X","")</f>
      </c>
      <c r="BF88" s="56" t="str">
        <f>IF(COUNTIFS('LANÇAMENTOS DIÁRIOS'!$G$5:$G$500,"E",'LANÇAMENTOS DIÁRIOS'!$C$5:$C$500,$A88,'LANÇAMENTOS DIÁRIOS'!$O$5:$O$500,"&lt;=111199",'LANÇAMENTOS DIÁRIOS'!$P$5:$P$500,"&gt;=111100")&gt;0,"X","")</f>
      </c>
      <c r="BG88" s="56" t="str">
        <f>IF(COUNTIFS('LANÇAMENTOS DIÁRIOS'!$G$5:$G$500,"E",'LANÇAMENTOS DIÁRIOS'!$C$5:$C$500,$A88,'LANÇAMENTOS DIÁRIOS'!$O$5:$O$500,"&lt;=111299",'LANÇAMENTOS DIÁRIOS'!$P$5:$P$500,"&gt;=111200")&gt;0,"X","")</f>
      </c>
      <c r="BH88" s="56" t="str">
        <f>IF(COUNTIFS('LANÇAMENTOS DIÁRIOS'!$G$5:$G$500,"E",'LANÇAMENTOS DIÁRIOS'!$C$5:$C$500,$A88,'LANÇAMENTOS DIÁRIOS'!$O$5:$O$500,"&lt;=111399",'LANÇAMENTOS DIÁRIOS'!$P$5:$P$500,"&gt;=111300")&gt;0,"X","")</f>
      </c>
      <c r="BI88" s="56" t="str">
        <f>IF(COUNTIFS('LANÇAMENTOS DIÁRIOS'!$G$5:$G$500,"E",'LANÇAMENTOS DIÁRIOS'!$C$5:$C$500,$A88,'LANÇAMENTOS DIÁRIOS'!$O$5:$O$500,"&lt;=111499",'LANÇAMENTOS DIÁRIOS'!$P$5:$P$500,"&gt;=111400")&gt;0,"X","")</f>
      </c>
      <c r="BJ88" s="56" t="str">
        <f>IF(COUNTIFS('LANÇAMENTOS DIÁRIOS'!$G$5:$G$500,"E",'LANÇAMENTOS DIÁRIOS'!$C$5:$C$500,$A88,'LANÇAMENTOS DIÁRIOS'!$O$5:$O$500,"&lt;=111500",'LANÇAMENTOS DIÁRIOS'!$P$5:$P$500,"&gt;=111500")&gt;0,"X","")</f>
      </c>
    </row>
    <row r="89">
      <c r="A89" s="51" t="str">
        <v>Reciclagem de pavimento com adicao de 30% de brita</v>
      </c>
      <c r="B89" s="56" t="str">
        <f>IF(COUNTIFS('LANÇAMENTOS DIÁRIOS'!$G$5:$G$500,"E",'LANÇAMENTOS DIÁRIOS'!$C$5:$C$500,$A89,'LANÇAMENTOS DIÁRIOS'!$O$5:$O$500,"&lt;=105599",'LANÇAMENTOS DIÁRIOS'!$P$5:$P$500,"&gt;=105500")&gt;0,"X","")</f>
      </c>
      <c r="C89" s="56" t="str">
        <f>IF(COUNTIFS('LANÇAMENTOS DIÁRIOS'!$G$5:$G$500,"E",'LANÇAMENTOS DIÁRIOS'!$C$5:$C$500,$A89,'LANÇAMENTOS DIÁRIOS'!$O$5:$O$500,"&lt;=105699",'LANÇAMENTOS DIÁRIOS'!$P$5:$P$500,"&gt;=105600")&gt;0,"X","")</f>
      </c>
      <c r="D89" s="56" t="str">
        <f>IF(COUNTIFS('LANÇAMENTOS DIÁRIOS'!$G$5:$G$500,"E",'LANÇAMENTOS DIÁRIOS'!$C$5:$C$500,$A89,'LANÇAMENTOS DIÁRIOS'!$O$5:$O$500,"&lt;=105799",'LANÇAMENTOS DIÁRIOS'!$P$5:$P$500,"&gt;=105700")&gt;0,"X","")</f>
      </c>
      <c r="E89" s="56" t="str">
        <f>IF(COUNTIFS('LANÇAMENTOS DIÁRIOS'!$G$5:$G$500,"E",'LANÇAMENTOS DIÁRIOS'!$C$5:$C$500,$A89,'LANÇAMENTOS DIÁRIOS'!$O$5:$O$500,"&lt;=105899",'LANÇAMENTOS DIÁRIOS'!$P$5:$P$500,"&gt;=105800")&gt;0,"X","")</f>
      </c>
      <c r="F89" s="56" t="str">
        <f>IF(COUNTIFS('LANÇAMENTOS DIÁRIOS'!$G$5:$G$500,"E",'LANÇAMENTOS DIÁRIOS'!$C$5:$C$500,$A89,'LANÇAMENTOS DIÁRIOS'!$O$5:$O$500,"&lt;=105999",'LANÇAMENTOS DIÁRIOS'!$P$5:$P$500,"&gt;=105900")&gt;0,"X","")</f>
      </c>
      <c r="G89" s="56" t="str">
        <f>IF(COUNTIFS('LANÇAMENTOS DIÁRIOS'!$G$5:$G$500,"E",'LANÇAMENTOS DIÁRIOS'!$C$5:$C$500,$A89,'LANÇAMENTOS DIÁRIOS'!$O$5:$O$500,"&lt;=106099",'LANÇAMENTOS DIÁRIOS'!$P$5:$P$500,"&gt;=106000")&gt;0,"X","")</f>
      </c>
      <c r="H89" s="56" t="str">
        <f>IF(COUNTIFS('LANÇAMENTOS DIÁRIOS'!$G$5:$G$500,"E",'LANÇAMENTOS DIÁRIOS'!$C$5:$C$500,$A89,'LANÇAMENTOS DIÁRIOS'!$O$5:$O$500,"&lt;=106199",'LANÇAMENTOS DIÁRIOS'!$P$5:$P$500,"&gt;=106100")&gt;0,"X","")</f>
      </c>
      <c r="I89" s="56" t="str">
        <f>IF(COUNTIFS('LANÇAMENTOS DIÁRIOS'!$G$5:$G$500,"E",'LANÇAMENTOS DIÁRIOS'!$C$5:$C$500,$A89,'LANÇAMENTOS DIÁRIOS'!$O$5:$O$500,"&lt;=106299",'LANÇAMENTOS DIÁRIOS'!$P$5:$P$500,"&gt;=106200")&gt;0,"X","")</f>
      </c>
      <c r="J89" s="56" t="str">
        <f>IF(COUNTIFS('LANÇAMENTOS DIÁRIOS'!$G$5:$G$500,"E",'LANÇAMENTOS DIÁRIOS'!$C$5:$C$500,$A89,'LANÇAMENTOS DIÁRIOS'!$O$5:$O$500,"&lt;=106399",'LANÇAMENTOS DIÁRIOS'!$P$5:$P$500,"&gt;=106300")&gt;0,"X","")</f>
      </c>
      <c r="K89" s="56" t="str">
        <f>IF(COUNTIFS('LANÇAMENTOS DIÁRIOS'!$G$5:$G$500,"E",'LANÇAMENTOS DIÁRIOS'!$C$5:$C$500,$A89,'LANÇAMENTOS DIÁRIOS'!$O$5:$O$500,"&lt;=106499",'LANÇAMENTOS DIÁRIOS'!$P$5:$P$500,"&gt;=106400")&gt;0,"X","")</f>
      </c>
      <c r="L89" s="56" t="str">
        <f>IF(COUNTIFS('LANÇAMENTOS DIÁRIOS'!$G$5:$G$500,"E",'LANÇAMENTOS DIÁRIOS'!$C$5:$C$500,$A89,'LANÇAMENTOS DIÁRIOS'!$O$5:$O$500,"&lt;=106599",'LANÇAMENTOS DIÁRIOS'!$P$5:$P$500,"&gt;=106500")&gt;0,"X","")</f>
      </c>
      <c r="M89" s="56" t="str">
        <f>IF(COUNTIFS('LANÇAMENTOS DIÁRIOS'!$G$5:$G$500,"E",'LANÇAMENTOS DIÁRIOS'!$C$5:$C$500,$A89,'LANÇAMENTOS DIÁRIOS'!$O$5:$O$500,"&lt;=106699",'LANÇAMENTOS DIÁRIOS'!$P$5:$P$500,"&gt;=106600")&gt;0,"X","")</f>
      </c>
      <c r="N89" s="56" t="str">
        <f>IF(COUNTIFS('LANÇAMENTOS DIÁRIOS'!$G$5:$G$500,"E",'LANÇAMENTOS DIÁRIOS'!$C$5:$C$500,$A89,'LANÇAMENTOS DIÁRIOS'!$O$5:$O$500,"&lt;=106799",'LANÇAMENTOS DIÁRIOS'!$P$5:$P$500,"&gt;=106700")&gt;0,"X","")</f>
      </c>
      <c r="O89" s="56" t="str">
        <f>IF(COUNTIFS('LANÇAMENTOS DIÁRIOS'!$G$5:$G$500,"E",'LANÇAMENTOS DIÁRIOS'!$C$5:$C$500,$A89,'LANÇAMENTOS DIÁRIOS'!$O$5:$O$500,"&lt;=106899",'LANÇAMENTOS DIÁRIOS'!$P$5:$P$500,"&gt;=106800")&gt;0,"X","")</f>
      </c>
      <c r="P89" s="56" t="str">
        <f>IF(COUNTIFS('LANÇAMENTOS DIÁRIOS'!$G$5:$G$500,"E",'LANÇAMENTOS DIÁRIOS'!$C$5:$C$500,$A89,'LANÇAMENTOS DIÁRIOS'!$O$5:$O$500,"&lt;=106999",'LANÇAMENTOS DIÁRIOS'!$P$5:$P$500,"&gt;=106900")&gt;0,"X","")</f>
      </c>
      <c r="Q89" s="56" t="str">
        <f>IF(COUNTIFS('LANÇAMENTOS DIÁRIOS'!$G$5:$G$500,"E",'LANÇAMENTOS DIÁRIOS'!$C$5:$C$500,$A89,'LANÇAMENTOS DIÁRIOS'!$O$5:$O$500,"&lt;=107099",'LANÇAMENTOS DIÁRIOS'!$P$5:$P$500,"&gt;=107000")&gt;0,"X","")</f>
      </c>
      <c r="R89" s="56" t="str">
        <f>IF(COUNTIFS('LANÇAMENTOS DIÁRIOS'!$G$5:$G$500,"E",'LANÇAMENTOS DIÁRIOS'!$C$5:$C$500,$A89,'LANÇAMENTOS DIÁRIOS'!$O$5:$O$500,"&lt;=107199",'LANÇAMENTOS DIÁRIOS'!$P$5:$P$500,"&gt;=107100")&gt;0,"X","")</f>
      </c>
      <c r="S89" s="56" t="str">
        <f>IF(COUNTIFS('LANÇAMENTOS DIÁRIOS'!$G$5:$G$500,"E",'LANÇAMENTOS DIÁRIOS'!$C$5:$C$500,$A89,'LANÇAMENTOS DIÁRIOS'!$O$5:$O$500,"&lt;=107299",'LANÇAMENTOS DIÁRIOS'!$P$5:$P$500,"&gt;=107200")&gt;0,"X","")</f>
      </c>
      <c r="T89" s="56" t="str">
        <f>IF(COUNTIFS('LANÇAMENTOS DIÁRIOS'!$G$5:$G$500,"E",'LANÇAMENTOS DIÁRIOS'!$C$5:$C$500,$A89,'LANÇAMENTOS DIÁRIOS'!$O$5:$O$500,"&lt;=107399",'LANÇAMENTOS DIÁRIOS'!$P$5:$P$500,"&gt;=107300")&gt;0,"X","")</f>
      </c>
      <c r="U89" s="56" t="str">
        <f>IF(COUNTIFS('LANÇAMENTOS DIÁRIOS'!$G$5:$G$500,"E",'LANÇAMENTOS DIÁRIOS'!$C$5:$C$500,$A89,'LANÇAMENTOS DIÁRIOS'!$O$5:$O$500,"&lt;=107499",'LANÇAMENTOS DIÁRIOS'!$P$5:$P$500,"&gt;=107400")&gt;0,"X","")</f>
      </c>
      <c r="V89" s="56" t="str">
        <f>IF(COUNTIFS('LANÇAMENTOS DIÁRIOS'!$G$5:$G$500,"E",'LANÇAMENTOS DIÁRIOS'!$C$5:$C$500,$A89,'LANÇAMENTOS DIÁRIOS'!$O$5:$O$500,"&lt;=107599",'LANÇAMENTOS DIÁRIOS'!$P$5:$P$500,"&gt;=107500")&gt;0,"X","")</f>
      </c>
      <c r="W89" s="56" t="str">
        <f>IF(COUNTIFS('LANÇAMENTOS DIÁRIOS'!$G$5:$G$500,"E",'LANÇAMENTOS DIÁRIOS'!$C$5:$C$500,$A89,'LANÇAMENTOS DIÁRIOS'!$O$5:$O$500,"&lt;=107699",'LANÇAMENTOS DIÁRIOS'!$P$5:$P$500,"&gt;=107600")&gt;0,"X","")</f>
      </c>
      <c r="X89" s="56" t="str">
        <f>IF(COUNTIFS('LANÇAMENTOS DIÁRIOS'!$G$5:$G$500,"E",'LANÇAMENTOS DIÁRIOS'!$C$5:$C$500,$A89,'LANÇAMENTOS DIÁRIOS'!$O$5:$O$500,"&lt;=107799",'LANÇAMENTOS DIÁRIOS'!$P$5:$P$500,"&gt;=107700")&gt;0,"X","")</f>
      </c>
      <c r="Y89" s="56" t="str">
        <f>IF(COUNTIFS('LANÇAMENTOS DIÁRIOS'!$G$5:$G$500,"E",'LANÇAMENTOS DIÁRIOS'!$C$5:$C$500,$A89,'LANÇAMENTOS DIÁRIOS'!$O$5:$O$500,"&lt;=107899",'LANÇAMENTOS DIÁRIOS'!$P$5:$P$500,"&gt;=107800")&gt;0,"X","")</f>
      </c>
      <c r="Z89" s="56" t="str">
        <f>IF(COUNTIFS('LANÇAMENTOS DIÁRIOS'!$G$5:$G$500,"E",'LANÇAMENTOS DIÁRIOS'!$C$5:$C$500,$A89,'LANÇAMENTOS DIÁRIOS'!$O$5:$O$500,"&lt;=107999",'LANÇAMENTOS DIÁRIOS'!$P$5:$P$500,"&gt;=107900")&gt;0,"X","")</f>
      </c>
      <c r="AA89" s="56" t="str">
        <f>IF(COUNTIFS('LANÇAMENTOS DIÁRIOS'!$G$5:$G$500,"E",'LANÇAMENTOS DIÁRIOS'!$C$5:$C$500,$A89,'LANÇAMENTOS DIÁRIOS'!$O$5:$O$500,"&lt;=108099",'LANÇAMENTOS DIÁRIOS'!$P$5:$P$500,"&gt;=108000")&gt;0,"X","")</f>
      </c>
      <c r="AB89" s="56" t="str">
        <f>IF(COUNTIFS('LANÇAMENTOS DIÁRIOS'!$G$5:$G$500,"E",'LANÇAMENTOS DIÁRIOS'!$C$5:$C$500,$A89,'LANÇAMENTOS DIÁRIOS'!$O$5:$O$500,"&lt;=108199",'LANÇAMENTOS DIÁRIOS'!$P$5:$P$500,"&gt;=108100")&gt;0,"X","")</f>
      </c>
      <c r="AC89" s="56" t="str">
        <f>IF(COUNTIFS('LANÇAMENTOS DIÁRIOS'!$G$5:$G$500,"E",'LANÇAMENTOS DIÁRIOS'!$C$5:$C$500,$A89,'LANÇAMENTOS DIÁRIOS'!$O$5:$O$500,"&lt;=108299",'LANÇAMENTOS DIÁRIOS'!$P$5:$P$500,"&gt;=108200")&gt;0,"X","")</f>
      </c>
      <c r="AD89" s="56" t="str">
        <f>IF(COUNTIFS('LANÇAMENTOS DIÁRIOS'!$G$5:$G$500,"E",'LANÇAMENTOS DIÁRIOS'!$C$5:$C$500,$A89,'LANÇAMENTOS DIÁRIOS'!$O$5:$O$500,"&lt;=108399",'LANÇAMENTOS DIÁRIOS'!$P$5:$P$500,"&gt;=108300")&gt;0,"X","")</f>
      </c>
      <c r="AE89" s="56" t="str">
        <f>IF(COUNTIFS('LANÇAMENTOS DIÁRIOS'!$G$5:$G$500,"E",'LANÇAMENTOS DIÁRIOS'!$C$5:$C$500,$A89,'LANÇAMENTOS DIÁRIOS'!$O$5:$O$500,"&lt;=108499",'LANÇAMENTOS DIÁRIOS'!$P$5:$P$500,"&gt;=108400")&gt;0,"X","")</f>
      </c>
      <c r="AF89" s="56" t="str">
        <f>IF(COUNTIFS('LANÇAMENTOS DIÁRIOS'!$G$5:$G$500,"E",'LANÇAMENTOS DIÁRIOS'!$C$5:$C$500,$A89,'LANÇAMENTOS DIÁRIOS'!$O$5:$O$500,"&lt;=108599",'LANÇAMENTOS DIÁRIOS'!$P$5:$P$500,"&gt;=108500")&gt;0,"X","")</f>
      </c>
      <c r="AG89" s="56" t="str">
        <f>IF(COUNTIFS('LANÇAMENTOS DIÁRIOS'!$G$5:$G$500,"E",'LANÇAMENTOS DIÁRIOS'!$C$5:$C$500,$A89,'LANÇAMENTOS DIÁRIOS'!$O$5:$O$500,"&lt;=108699",'LANÇAMENTOS DIÁRIOS'!$P$5:$P$500,"&gt;=108600")&gt;0,"X","")</f>
      </c>
      <c r="AH89" s="56" t="str">
        <f>IF(COUNTIFS('LANÇAMENTOS DIÁRIOS'!$G$5:$G$500,"E",'LANÇAMENTOS DIÁRIOS'!$C$5:$C$500,$A89,'LANÇAMENTOS DIÁRIOS'!$O$5:$O$500,"&lt;=108799",'LANÇAMENTOS DIÁRIOS'!$P$5:$P$500,"&gt;=108700")&gt;0,"X","")</f>
      </c>
      <c r="AI89" s="56" t="str">
        <f>IF(COUNTIFS('LANÇAMENTOS DIÁRIOS'!$G$5:$G$500,"E",'LANÇAMENTOS DIÁRIOS'!$C$5:$C$500,$A89,'LANÇAMENTOS DIÁRIOS'!$O$5:$O$500,"&lt;=108899",'LANÇAMENTOS DIÁRIOS'!$P$5:$P$500,"&gt;=108800")&gt;0,"X","")</f>
      </c>
      <c r="AJ89" s="56" t="str">
        <f>IF(COUNTIFS('LANÇAMENTOS DIÁRIOS'!$G$5:$G$500,"E",'LANÇAMENTOS DIÁRIOS'!$C$5:$C$500,$A89,'LANÇAMENTOS DIÁRIOS'!$O$5:$O$500,"&lt;=108999",'LANÇAMENTOS DIÁRIOS'!$P$5:$P$500,"&gt;=108900")&gt;0,"X","")</f>
      </c>
      <c r="AK89" s="56" t="str">
        <f>IF(COUNTIFS('LANÇAMENTOS DIÁRIOS'!$G$5:$G$500,"E",'LANÇAMENTOS DIÁRIOS'!$C$5:$C$500,$A89,'LANÇAMENTOS DIÁRIOS'!$O$5:$O$500,"&lt;=109099",'LANÇAMENTOS DIÁRIOS'!$P$5:$P$500,"&gt;=109000")&gt;0,"X","")</f>
      </c>
      <c r="AL89" s="56" t="str">
        <f>IF(COUNTIFS('LANÇAMENTOS DIÁRIOS'!$G$5:$G$500,"E",'LANÇAMENTOS DIÁRIOS'!$C$5:$C$500,$A89,'LANÇAMENTOS DIÁRIOS'!$O$5:$O$500,"&lt;=109199",'LANÇAMENTOS DIÁRIOS'!$P$5:$P$500,"&gt;=109100")&gt;0,"X","")</f>
      </c>
      <c r="AM89" s="56" t="str">
        <f>IF(COUNTIFS('LANÇAMENTOS DIÁRIOS'!$G$5:$G$500,"E",'LANÇAMENTOS DIÁRIOS'!$C$5:$C$500,$A89,'LANÇAMENTOS DIÁRIOS'!$O$5:$O$500,"&lt;=109299",'LANÇAMENTOS DIÁRIOS'!$P$5:$P$500,"&gt;=109200")&gt;0,"X","")</f>
      </c>
      <c r="AN89" s="56" t="str">
        <f>IF(COUNTIFS('LANÇAMENTOS DIÁRIOS'!$G$5:$G$500,"E",'LANÇAMENTOS DIÁRIOS'!$C$5:$C$500,$A89,'LANÇAMENTOS DIÁRIOS'!$O$5:$O$500,"&lt;=109399",'LANÇAMENTOS DIÁRIOS'!$P$5:$P$500,"&gt;=109300")&gt;0,"X","")</f>
      </c>
      <c r="AO89" s="56" t="str">
        <f>IF(COUNTIFS('LANÇAMENTOS DIÁRIOS'!$G$5:$G$500,"E",'LANÇAMENTOS DIÁRIOS'!$C$5:$C$500,$A89,'LANÇAMENTOS DIÁRIOS'!$O$5:$O$500,"&lt;=109499",'LANÇAMENTOS DIÁRIOS'!$P$5:$P$500,"&gt;=109400")&gt;0,"X","")</f>
      </c>
      <c r="AP89" s="56" t="str">
        <f>IF(COUNTIFS('LANÇAMENTOS DIÁRIOS'!$G$5:$G$500,"E",'LANÇAMENTOS DIÁRIOS'!$C$5:$C$500,$A89,'LANÇAMENTOS DIÁRIOS'!$O$5:$O$500,"&lt;=109599",'LANÇAMENTOS DIÁRIOS'!$P$5:$P$500,"&gt;=109500")&gt;0,"X","")</f>
      </c>
      <c r="AQ89" s="56" t="str">
        <f>IF(COUNTIFS('LANÇAMENTOS DIÁRIOS'!$G$5:$G$500,"E",'LANÇAMENTOS DIÁRIOS'!$C$5:$C$500,$A89,'LANÇAMENTOS DIÁRIOS'!$O$5:$O$500,"&lt;=109699",'LANÇAMENTOS DIÁRIOS'!$P$5:$P$500,"&gt;=109600")&gt;0,"X","")</f>
      </c>
      <c r="AR89" s="56" t="str">
        <f>IF(COUNTIFS('LANÇAMENTOS DIÁRIOS'!$G$5:$G$500,"E",'LANÇAMENTOS DIÁRIOS'!$C$5:$C$500,$A89,'LANÇAMENTOS DIÁRIOS'!$O$5:$O$500,"&lt;=109799",'LANÇAMENTOS DIÁRIOS'!$P$5:$P$500,"&gt;=109700")&gt;0,"X","")</f>
      </c>
      <c r="AS89" s="56" t="str">
        <f>IF(COUNTIFS('LANÇAMENTOS DIÁRIOS'!$G$5:$G$500,"E",'LANÇAMENTOS DIÁRIOS'!$C$5:$C$500,$A89,'LANÇAMENTOS DIÁRIOS'!$O$5:$O$500,"&lt;=109899",'LANÇAMENTOS DIÁRIOS'!$P$5:$P$500,"&gt;=109800")&gt;0,"X","")</f>
      </c>
      <c r="AT89" s="56" t="str">
        <f>IF(COUNTIFS('LANÇAMENTOS DIÁRIOS'!$G$5:$G$500,"E",'LANÇAMENTOS DIÁRIOS'!$C$5:$C$500,$A89,'LANÇAMENTOS DIÁRIOS'!$O$5:$O$500,"&lt;=109999",'LANÇAMENTOS DIÁRIOS'!$P$5:$P$500,"&gt;=109900")&gt;0,"X","")</f>
      </c>
      <c r="AU89" s="56" t="str">
        <f>IF(COUNTIFS('LANÇAMENTOS DIÁRIOS'!$G$5:$G$500,"E",'LANÇAMENTOS DIÁRIOS'!$C$5:$C$500,$A89,'LANÇAMENTOS DIÁRIOS'!$O$5:$O$500,"&lt;=110099",'LANÇAMENTOS DIÁRIOS'!$P$5:$P$500,"&gt;=110000")&gt;0,"X","")</f>
      </c>
      <c r="AV89" s="56" t="str">
        <f>IF(COUNTIFS('LANÇAMENTOS DIÁRIOS'!$G$5:$G$500,"E",'LANÇAMENTOS DIÁRIOS'!$C$5:$C$500,$A89,'LANÇAMENTOS DIÁRIOS'!$O$5:$O$500,"&lt;=110199",'LANÇAMENTOS DIÁRIOS'!$P$5:$P$500,"&gt;=110100")&gt;0,"X","")</f>
      </c>
      <c r="AW89" s="56" t="str">
        <f>IF(COUNTIFS('LANÇAMENTOS DIÁRIOS'!$G$5:$G$500,"E",'LANÇAMENTOS DIÁRIOS'!$C$5:$C$500,$A89,'LANÇAMENTOS DIÁRIOS'!$O$5:$O$500,"&lt;=110299",'LANÇAMENTOS DIÁRIOS'!$P$5:$P$500,"&gt;=110200")&gt;0,"X","")</f>
      </c>
      <c r="AX89" s="56" t="str">
        <f>IF(COUNTIFS('LANÇAMENTOS DIÁRIOS'!$G$5:$G$500,"E",'LANÇAMENTOS DIÁRIOS'!$C$5:$C$500,$A89,'LANÇAMENTOS DIÁRIOS'!$O$5:$O$500,"&lt;=110399",'LANÇAMENTOS DIÁRIOS'!$P$5:$P$500,"&gt;=110300")&gt;0,"X","")</f>
      </c>
      <c r="AY89" s="56" t="str">
        <f>IF(COUNTIFS('LANÇAMENTOS DIÁRIOS'!$G$5:$G$500,"E",'LANÇAMENTOS DIÁRIOS'!$C$5:$C$500,$A89,'LANÇAMENTOS DIÁRIOS'!$O$5:$O$500,"&lt;=110499",'LANÇAMENTOS DIÁRIOS'!$P$5:$P$500,"&gt;=110400")&gt;0,"X","")</f>
      </c>
      <c r="AZ89" s="56" t="str">
        <f>IF(COUNTIFS('LANÇAMENTOS DIÁRIOS'!$G$5:$G$500,"E",'LANÇAMENTOS DIÁRIOS'!$C$5:$C$500,$A89,'LANÇAMENTOS DIÁRIOS'!$O$5:$O$500,"&lt;=110599",'LANÇAMENTOS DIÁRIOS'!$P$5:$P$500,"&gt;=110500")&gt;0,"X","")</f>
      </c>
      <c r="BA89" s="56" t="str">
        <f>IF(COUNTIFS('LANÇAMENTOS DIÁRIOS'!$G$5:$G$500,"E",'LANÇAMENTOS DIÁRIOS'!$C$5:$C$500,$A89,'LANÇAMENTOS DIÁRIOS'!$O$5:$O$500,"&lt;=110699",'LANÇAMENTOS DIÁRIOS'!$P$5:$P$500,"&gt;=110600")&gt;0,"X","")</f>
      </c>
      <c r="BB89" s="56" t="str">
        <f>IF(COUNTIFS('LANÇAMENTOS DIÁRIOS'!$G$5:$G$500,"E",'LANÇAMENTOS DIÁRIOS'!$C$5:$C$500,$A89,'LANÇAMENTOS DIÁRIOS'!$O$5:$O$500,"&lt;=110799",'LANÇAMENTOS DIÁRIOS'!$P$5:$P$500,"&gt;=110700")&gt;0,"X","")</f>
      </c>
      <c r="BC89" s="56" t="str">
        <f>IF(COUNTIFS('LANÇAMENTOS DIÁRIOS'!$G$5:$G$500,"E",'LANÇAMENTOS DIÁRIOS'!$C$5:$C$500,$A89,'LANÇAMENTOS DIÁRIOS'!$O$5:$O$500,"&lt;=110899",'LANÇAMENTOS DIÁRIOS'!$P$5:$P$500,"&gt;=110800")&gt;0,"X","")</f>
      </c>
      <c r="BD89" s="56" t="str">
        <f>IF(COUNTIFS('LANÇAMENTOS DIÁRIOS'!$G$5:$G$500,"E",'LANÇAMENTOS DIÁRIOS'!$C$5:$C$500,$A89,'LANÇAMENTOS DIÁRIOS'!$O$5:$O$500,"&lt;=110999",'LANÇAMENTOS DIÁRIOS'!$P$5:$P$500,"&gt;=110900")&gt;0,"X","")</f>
      </c>
      <c r="BE89" s="56" t="str">
        <f>IF(COUNTIFS('LANÇAMENTOS DIÁRIOS'!$G$5:$G$500,"E",'LANÇAMENTOS DIÁRIOS'!$C$5:$C$500,$A89,'LANÇAMENTOS DIÁRIOS'!$O$5:$O$500,"&lt;=111099",'LANÇAMENTOS DIÁRIOS'!$P$5:$P$500,"&gt;=111000")&gt;0,"X","")</f>
      </c>
      <c r="BF89" s="56" t="str">
        <f>IF(COUNTIFS('LANÇAMENTOS DIÁRIOS'!$G$5:$G$500,"E",'LANÇAMENTOS DIÁRIOS'!$C$5:$C$500,$A89,'LANÇAMENTOS DIÁRIOS'!$O$5:$O$500,"&lt;=111199",'LANÇAMENTOS DIÁRIOS'!$P$5:$P$500,"&gt;=111100")&gt;0,"X","")</f>
      </c>
      <c r="BG89" s="56" t="str">
        <f>IF(COUNTIFS('LANÇAMENTOS DIÁRIOS'!$G$5:$G$500,"E",'LANÇAMENTOS DIÁRIOS'!$C$5:$C$500,$A89,'LANÇAMENTOS DIÁRIOS'!$O$5:$O$500,"&lt;=111299",'LANÇAMENTOS DIÁRIOS'!$P$5:$P$500,"&gt;=111200")&gt;0,"X","")</f>
      </c>
      <c r="BH89" s="56" t="str">
        <f>IF(COUNTIFS('LANÇAMENTOS DIÁRIOS'!$G$5:$G$500,"E",'LANÇAMENTOS DIÁRIOS'!$C$5:$C$500,$A89,'LANÇAMENTOS DIÁRIOS'!$O$5:$O$500,"&lt;=111399",'LANÇAMENTOS DIÁRIOS'!$P$5:$P$500,"&gt;=111300")&gt;0,"X","")</f>
      </c>
      <c r="BI89" s="56" t="str">
        <f>IF(COUNTIFS('LANÇAMENTOS DIÁRIOS'!$G$5:$G$500,"E",'LANÇAMENTOS DIÁRIOS'!$C$5:$C$500,$A89,'LANÇAMENTOS DIÁRIOS'!$O$5:$O$500,"&lt;=111499",'LANÇAMENTOS DIÁRIOS'!$P$5:$P$500,"&gt;=111400")&gt;0,"X","")</f>
      </c>
      <c r="BJ89" s="56" t="str">
        <f>IF(COUNTIFS('LANÇAMENTOS DIÁRIOS'!$G$5:$G$500,"E",'LANÇAMENTOS DIÁRIOS'!$C$5:$C$500,$A89,'LANÇAMENTOS DIÁRIOS'!$O$5:$O$500,"&lt;=111500",'LANÇAMENTOS DIÁRIOS'!$P$5:$P$500,"&gt;=111500")&gt;0,"X","")</f>
      </c>
    </row>
    <row r="90">
      <c r="A90" s="51" t="str">
        <v>Geogrelha Hatelit - Sem o fornecimento de materiais</v>
      </c>
      <c r="B90" s="56" t="str">
        <f>IF(COUNTIFS('LANÇAMENTOS DIÁRIOS'!$G$5:$G$500,"E",'LANÇAMENTOS DIÁRIOS'!$C$5:$C$500,$A90,'LANÇAMENTOS DIÁRIOS'!$O$5:$O$500,"&lt;=105599",'LANÇAMENTOS DIÁRIOS'!$P$5:$P$500,"&gt;=105500")&gt;0,"X","")</f>
      </c>
      <c r="C90" s="56" t="str">
        <f>IF(COUNTIFS('LANÇAMENTOS DIÁRIOS'!$G$5:$G$500,"E",'LANÇAMENTOS DIÁRIOS'!$C$5:$C$500,$A90,'LANÇAMENTOS DIÁRIOS'!$O$5:$O$500,"&lt;=105699",'LANÇAMENTOS DIÁRIOS'!$P$5:$P$500,"&gt;=105600")&gt;0,"X","")</f>
      </c>
      <c r="D90" s="56" t="str">
        <f>IF(COUNTIFS('LANÇAMENTOS DIÁRIOS'!$G$5:$G$500,"E",'LANÇAMENTOS DIÁRIOS'!$C$5:$C$500,$A90,'LANÇAMENTOS DIÁRIOS'!$O$5:$O$500,"&lt;=105799",'LANÇAMENTOS DIÁRIOS'!$P$5:$P$500,"&gt;=105700")&gt;0,"X","")</f>
      </c>
      <c r="E90" s="56" t="str">
        <f>IF(COUNTIFS('LANÇAMENTOS DIÁRIOS'!$G$5:$G$500,"E",'LANÇAMENTOS DIÁRIOS'!$C$5:$C$500,$A90,'LANÇAMENTOS DIÁRIOS'!$O$5:$O$500,"&lt;=105899",'LANÇAMENTOS DIÁRIOS'!$P$5:$P$500,"&gt;=105800")&gt;0,"X","")</f>
      </c>
      <c r="F90" s="56" t="str">
        <f>IF(COUNTIFS('LANÇAMENTOS DIÁRIOS'!$G$5:$G$500,"E",'LANÇAMENTOS DIÁRIOS'!$C$5:$C$500,$A90,'LANÇAMENTOS DIÁRIOS'!$O$5:$O$500,"&lt;=105999",'LANÇAMENTOS DIÁRIOS'!$P$5:$P$500,"&gt;=105900")&gt;0,"X","")</f>
      </c>
      <c r="G90" s="56" t="str">
        <f>IF(COUNTIFS('LANÇAMENTOS DIÁRIOS'!$G$5:$G$500,"E",'LANÇAMENTOS DIÁRIOS'!$C$5:$C$500,$A90,'LANÇAMENTOS DIÁRIOS'!$O$5:$O$500,"&lt;=106099",'LANÇAMENTOS DIÁRIOS'!$P$5:$P$500,"&gt;=106000")&gt;0,"X","")</f>
      </c>
      <c r="H90" s="56" t="str">
        <f>IF(COUNTIFS('LANÇAMENTOS DIÁRIOS'!$G$5:$G$500,"E",'LANÇAMENTOS DIÁRIOS'!$C$5:$C$500,$A90,'LANÇAMENTOS DIÁRIOS'!$O$5:$O$500,"&lt;=106199",'LANÇAMENTOS DIÁRIOS'!$P$5:$P$500,"&gt;=106100")&gt;0,"X","")</f>
      </c>
      <c r="I90" s="56" t="str">
        <f>IF(COUNTIFS('LANÇAMENTOS DIÁRIOS'!$G$5:$G$500,"E",'LANÇAMENTOS DIÁRIOS'!$C$5:$C$500,$A90,'LANÇAMENTOS DIÁRIOS'!$O$5:$O$500,"&lt;=106299",'LANÇAMENTOS DIÁRIOS'!$P$5:$P$500,"&gt;=106200")&gt;0,"X","")</f>
      </c>
      <c r="J90" s="56" t="str">
        <f>IF(COUNTIFS('LANÇAMENTOS DIÁRIOS'!$G$5:$G$500,"E",'LANÇAMENTOS DIÁRIOS'!$C$5:$C$500,$A90,'LANÇAMENTOS DIÁRIOS'!$O$5:$O$500,"&lt;=106399",'LANÇAMENTOS DIÁRIOS'!$P$5:$P$500,"&gt;=106300")&gt;0,"X","")</f>
      </c>
      <c r="K90" s="56" t="str">
        <f>IF(COUNTIFS('LANÇAMENTOS DIÁRIOS'!$G$5:$G$500,"E",'LANÇAMENTOS DIÁRIOS'!$C$5:$C$500,$A90,'LANÇAMENTOS DIÁRIOS'!$O$5:$O$500,"&lt;=106499",'LANÇAMENTOS DIÁRIOS'!$P$5:$P$500,"&gt;=106400")&gt;0,"X","")</f>
      </c>
      <c r="L90" s="56" t="str">
        <f>IF(COUNTIFS('LANÇAMENTOS DIÁRIOS'!$G$5:$G$500,"E",'LANÇAMENTOS DIÁRIOS'!$C$5:$C$500,$A90,'LANÇAMENTOS DIÁRIOS'!$O$5:$O$500,"&lt;=106599",'LANÇAMENTOS DIÁRIOS'!$P$5:$P$500,"&gt;=106500")&gt;0,"X","")</f>
      </c>
      <c r="M90" s="56" t="str">
        <f>IF(COUNTIFS('LANÇAMENTOS DIÁRIOS'!$G$5:$G$500,"E",'LANÇAMENTOS DIÁRIOS'!$C$5:$C$500,$A90,'LANÇAMENTOS DIÁRIOS'!$O$5:$O$500,"&lt;=106699",'LANÇAMENTOS DIÁRIOS'!$P$5:$P$500,"&gt;=106600")&gt;0,"X","")</f>
      </c>
      <c r="N90" s="56" t="str">
        <f>IF(COUNTIFS('LANÇAMENTOS DIÁRIOS'!$G$5:$G$500,"E",'LANÇAMENTOS DIÁRIOS'!$C$5:$C$500,$A90,'LANÇAMENTOS DIÁRIOS'!$O$5:$O$500,"&lt;=106799",'LANÇAMENTOS DIÁRIOS'!$P$5:$P$500,"&gt;=106700")&gt;0,"X","")</f>
      </c>
      <c r="O90" s="56" t="str">
        <f>IF(COUNTIFS('LANÇAMENTOS DIÁRIOS'!$G$5:$G$500,"E",'LANÇAMENTOS DIÁRIOS'!$C$5:$C$500,$A90,'LANÇAMENTOS DIÁRIOS'!$O$5:$O$500,"&lt;=106899",'LANÇAMENTOS DIÁRIOS'!$P$5:$P$500,"&gt;=106800")&gt;0,"X","")</f>
      </c>
      <c r="P90" s="56" t="str">
        <f>IF(COUNTIFS('LANÇAMENTOS DIÁRIOS'!$G$5:$G$500,"E",'LANÇAMENTOS DIÁRIOS'!$C$5:$C$500,$A90,'LANÇAMENTOS DIÁRIOS'!$O$5:$O$500,"&lt;=106999",'LANÇAMENTOS DIÁRIOS'!$P$5:$P$500,"&gt;=106900")&gt;0,"X","")</f>
      </c>
      <c r="Q90" s="56" t="str">
        <f>IF(COUNTIFS('LANÇAMENTOS DIÁRIOS'!$G$5:$G$500,"E",'LANÇAMENTOS DIÁRIOS'!$C$5:$C$500,$A90,'LANÇAMENTOS DIÁRIOS'!$O$5:$O$500,"&lt;=107099",'LANÇAMENTOS DIÁRIOS'!$P$5:$P$500,"&gt;=107000")&gt;0,"X","")</f>
      </c>
      <c r="R90" s="56" t="str">
        <f>IF(COUNTIFS('LANÇAMENTOS DIÁRIOS'!$G$5:$G$500,"E",'LANÇAMENTOS DIÁRIOS'!$C$5:$C$500,$A90,'LANÇAMENTOS DIÁRIOS'!$O$5:$O$500,"&lt;=107199",'LANÇAMENTOS DIÁRIOS'!$P$5:$P$500,"&gt;=107100")&gt;0,"X","")</f>
      </c>
      <c r="S90" s="56" t="str">
        <f>IF(COUNTIFS('LANÇAMENTOS DIÁRIOS'!$G$5:$G$500,"E",'LANÇAMENTOS DIÁRIOS'!$C$5:$C$500,$A90,'LANÇAMENTOS DIÁRIOS'!$O$5:$O$500,"&lt;=107299",'LANÇAMENTOS DIÁRIOS'!$P$5:$P$500,"&gt;=107200")&gt;0,"X","")</f>
      </c>
      <c r="T90" s="56" t="str">
        <f>IF(COUNTIFS('LANÇAMENTOS DIÁRIOS'!$G$5:$G$500,"E",'LANÇAMENTOS DIÁRIOS'!$C$5:$C$500,$A90,'LANÇAMENTOS DIÁRIOS'!$O$5:$O$500,"&lt;=107399",'LANÇAMENTOS DIÁRIOS'!$P$5:$P$500,"&gt;=107300")&gt;0,"X","")</f>
      </c>
      <c r="U90" s="56" t="str">
        <f>IF(COUNTIFS('LANÇAMENTOS DIÁRIOS'!$G$5:$G$500,"E",'LANÇAMENTOS DIÁRIOS'!$C$5:$C$500,$A90,'LANÇAMENTOS DIÁRIOS'!$O$5:$O$500,"&lt;=107499",'LANÇAMENTOS DIÁRIOS'!$P$5:$P$500,"&gt;=107400")&gt;0,"X","")</f>
      </c>
      <c r="V90" s="56" t="str">
        <f>IF(COUNTIFS('LANÇAMENTOS DIÁRIOS'!$G$5:$G$500,"E",'LANÇAMENTOS DIÁRIOS'!$C$5:$C$500,$A90,'LANÇAMENTOS DIÁRIOS'!$O$5:$O$500,"&lt;=107599",'LANÇAMENTOS DIÁRIOS'!$P$5:$P$500,"&gt;=107500")&gt;0,"X","")</f>
      </c>
      <c r="W90" s="56" t="str">
        <f>IF(COUNTIFS('LANÇAMENTOS DIÁRIOS'!$G$5:$G$500,"E",'LANÇAMENTOS DIÁRIOS'!$C$5:$C$500,$A90,'LANÇAMENTOS DIÁRIOS'!$O$5:$O$500,"&lt;=107699",'LANÇAMENTOS DIÁRIOS'!$P$5:$P$500,"&gt;=107600")&gt;0,"X","")</f>
      </c>
      <c r="X90" s="56" t="str">
        <f>IF(COUNTIFS('LANÇAMENTOS DIÁRIOS'!$G$5:$G$500,"E",'LANÇAMENTOS DIÁRIOS'!$C$5:$C$500,$A90,'LANÇAMENTOS DIÁRIOS'!$O$5:$O$500,"&lt;=107799",'LANÇAMENTOS DIÁRIOS'!$P$5:$P$500,"&gt;=107700")&gt;0,"X","")</f>
      </c>
      <c r="Y90" s="56" t="str">
        <f>IF(COUNTIFS('LANÇAMENTOS DIÁRIOS'!$G$5:$G$500,"E",'LANÇAMENTOS DIÁRIOS'!$C$5:$C$500,$A90,'LANÇAMENTOS DIÁRIOS'!$O$5:$O$500,"&lt;=107899",'LANÇAMENTOS DIÁRIOS'!$P$5:$P$500,"&gt;=107800")&gt;0,"X","")</f>
      </c>
      <c r="Z90" s="56" t="str">
        <f>IF(COUNTIFS('LANÇAMENTOS DIÁRIOS'!$G$5:$G$500,"E",'LANÇAMENTOS DIÁRIOS'!$C$5:$C$500,$A90,'LANÇAMENTOS DIÁRIOS'!$O$5:$O$500,"&lt;=107999",'LANÇAMENTOS DIÁRIOS'!$P$5:$P$500,"&gt;=107900")&gt;0,"X","")</f>
      </c>
      <c r="AA90" s="56" t="str">
        <f>IF(COUNTIFS('LANÇAMENTOS DIÁRIOS'!$G$5:$G$500,"E",'LANÇAMENTOS DIÁRIOS'!$C$5:$C$500,$A90,'LANÇAMENTOS DIÁRIOS'!$O$5:$O$500,"&lt;=108099",'LANÇAMENTOS DIÁRIOS'!$P$5:$P$500,"&gt;=108000")&gt;0,"X","")</f>
      </c>
      <c r="AB90" s="56" t="str">
        <f>IF(COUNTIFS('LANÇAMENTOS DIÁRIOS'!$G$5:$G$500,"E",'LANÇAMENTOS DIÁRIOS'!$C$5:$C$500,$A90,'LANÇAMENTOS DIÁRIOS'!$O$5:$O$500,"&lt;=108199",'LANÇAMENTOS DIÁRIOS'!$P$5:$P$500,"&gt;=108100")&gt;0,"X","")</f>
      </c>
      <c r="AC90" s="56" t="str">
        <f>IF(COUNTIFS('LANÇAMENTOS DIÁRIOS'!$G$5:$G$500,"E",'LANÇAMENTOS DIÁRIOS'!$C$5:$C$500,$A90,'LANÇAMENTOS DIÁRIOS'!$O$5:$O$500,"&lt;=108299",'LANÇAMENTOS DIÁRIOS'!$P$5:$P$500,"&gt;=108200")&gt;0,"X","")</f>
      </c>
      <c r="AD90" s="56" t="str">
        <f>IF(COUNTIFS('LANÇAMENTOS DIÁRIOS'!$G$5:$G$500,"E",'LANÇAMENTOS DIÁRIOS'!$C$5:$C$500,$A90,'LANÇAMENTOS DIÁRIOS'!$O$5:$O$500,"&lt;=108399",'LANÇAMENTOS DIÁRIOS'!$P$5:$P$500,"&gt;=108300")&gt;0,"X","")</f>
      </c>
      <c r="AE90" s="56" t="str">
        <f>IF(COUNTIFS('LANÇAMENTOS DIÁRIOS'!$G$5:$G$500,"E",'LANÇAMENTOS DIÁRIOS'!$C$5:$C$500,$A90,'LANÇAMENTOS DIÁRIOS'!$O$5:$O$500,"&lt;=108499",'LANÇAMENTOS DIÁRIOS'!$P$5:$P$500,"&gt;=108400")&gt;0,"X","")</f>
      </c>
      <c r="AF90" s="56" t="str">
        <f>IF(COUNTIFS('LANÇAMENTOS DIÁRIOS'!$G$5:$G$500,"E",'LANÇAMENTOS DIÁRIOS'!$C$5:$C$500,$A90,'LANÇAMENTOS DIÁRIOS'!$O$5:$O$500,"&lt;=108599",'LANÇAMENTOS DIÁRIOS'!$P$5:$P$500,"&gt;=108500")&gt;0,"X","")</f>
      </c>
      <c r="AG90" s="56" t="str">
        <f>IF(COUNTIFS('LANÇAMENTOS DIÁRIOS'!$G$5:$G$500,"E",'LANÇAMENTOS DIÁRIOS'!$C$5:$C$500,$A90,'LANÇAMENTOS DIÁRIOS'!$O$5:$O$500,"&lt;=108699",'LANÇAMENTOS DIÁRIOS'!$P$5:$P$500,"&gt;=108600")&gt;0,"X","")</f>
      </c>
      <c r="AH90" s="56" t="str">
        <f>IF(COUNTIFS('LANÇAMENTOS DIÁRIOS'!$G$5:$G$500,"E",'LANÇAMENTOS DIÁRIOS'!$C$5:$C$500,$A90,'LANÇAMENTOS DIÁRIOS'!$O$5:$O$500,"&lt;=108799",'LANÇAMENTOS DIÁRIOS'!$P$5:$P$500,"&gt;=108700")&gt;0,"X","")</f>
      </c>
      <c r="AI90" s="56" t="str">
        <f>IF(COUNTIFS('LANÇAMENTOS DIÁRIOS'!$G$5:$G$500,"E",'LANÇAMENTOS DIÁRIOS'!$C$5:$C$500,$A90,'LANÇAMENTOS DIÁRIOS'!$O$5:$O$500,"&lt;=108899",'LANÇAMENTOS DIÁRIOS'!$P$5:$P$500,"&gt;=108800")&gt;0,"X","")</f>
      </c>
      <c r="AJ90" s="56" t="str">
        <f>IF(COUNTIFS('LANÇAMENTOS DIÁRIOS'!$G$5:$G$500,"E",'LANÇAMENTOS DIÁRIOS'!$C$5:$C$500,$A90,'LANÇAMENTOS DIÁRIOS'!$O$5:$O$500,"&lt;=108999",'LANÇAMENTOS DIÁRIOS'!$P$5:$P$500,"&gt;=108900")&gt;0,"X","")</f>
      </c>
      <c r="AK90" s="56" t="str">
        <f>IF(COUNTIFS('LANÇAMENTOS DIÁRIOS'!$G$5:$G$500,"E",'LANÇAMENTOS DIÁRIOS'!$C$5:$C$500,$A90,'LANÇAMENTOS DIÁRIOS'!$O$5:$O$500,"&lt;=109099",'LANÇAMENTOS DIÁRIOS'!$P$5:$P$500,"&gt;=109000")&gt;0,"X","")</f>
      </c>
      <c r="AL90" s="56" t="str">
        <f>IF(COUNTIFS('LANÇAMENTOS DIÁRIOS'!$G$5:$G$500,"E",'LANÇAMENTOS DIÁRIOS'!$C$5:$C$500,$A90,'LANÇAMENTOS DIÁRIOS'!$O$5:$O$500,"&lt;=109199",'LANÇAMENTOS DIÁRIOS'!$P$5:$P$500,"&gt;=109100")&gt;0,"X","")</f>
      </c>
      <c r="AM90" s="56" t="str">
        <f>IF(COUNTIFS('LANÇAMENTOS DIÁRIOS'!$G$5:$G$500,"E",'LANÇAMENTOS DIÁRIOS'!$C$5:$C$500,$A90,'LANÇAMENTOS DIÁRIOS'!$O$5:$O$500,"&lt;=109299",'LANÇAMENTOS DIÁRIOS'!$P$5:$P$500,"&gt;=109200")&gt;0,"X","")</f>
      </c>
      <c r="AN90" s="56" t="str">
        <f>IF(COUNTIFS('LANÇAMENTOS DIÁRIOS'!$G$5:$G$500,"E",'LANÇAMENTOS DIÁRIOS'!$C$5:$C$500,$A90,'LANÇAMENTOS DIÁRIOS'!$O$5:$O$500,"&lt;=109399",'LANÇAMENTOS DIÁRIOS'!$P$5:$P$500,"&gt;=109300")&gt;0,"X","")</f>
      </c>
      <c r="AO90" s="56" t="str">
        <f>IF(COUNTIFS('LANÇAMENTOS DIÁRIOS'!$G$5:$G$500,"E",'LANÇAMENTOS DIÁRIOS'!$C$5:$C$500,$A90,'LANÇAMENTOS DIÁRIOS'!$O$5:$O$500,"&lt;=109499",'LANÇAMENTOS DIÁRIOS'!$P$5:$P$500,"&gt;=109400")&gt;0,"X","")</f>
      </c>
      <c r="AP90" s="56" t="str">
        <f>IF(COUNTIFS('LANÇAMENTOS DIÁRIOS'!$G$5:$G$500,"E",'LANÇAMENTOS DIÁRIOS'!$C$5:$C$500,$A90,'LANÇAMENTOS DIÁRIOS'!$O$5:$O$500,"&lt;=109599",'LANÇAMENTOS DIÁRIOS'!$P$5:$P$500,"&gt;=109500")&gt;0,"X","")</f>
      </c>
      <c r="AQ90" s="56" t="str">
        <f>IF(COUNTIFS('LANÇAMENTOS DIÁRIOS'!$G$5:$G$500,"E",'LANÇAMENTOS DIÁRIOS'!$C$5:$C$500,$A90,'LANÇAMENTOS DIÁRIOS'!$O$5:$O$500,"&lt;=109699",'LANÇAMENTOS DIÁRIOS'!$P$5:$P$500,"&gt;=109600")&gt;0,"X","")</f>
      </c>
      <c r="AR90" s="56" t="str">
        <f>IF(COUNTIFS('LANÇAMENTOS DIÁRIOS'!$G$5:$G$500,"E",'LANÇAMENTOS DIÁRIOS'!$C$5:$C$500,$A90,'LANÇAMENTOS DIÁRIOS'!$O$5:$O$500,"&lt;=109799",'LANÇAMENTOS DIÁRIOS'!$P$5:$P$500,"&gt;=109700")&gt;0,"X","")</f>
      </c>
      <c r="AS90" s="56" t="str">
        <f>IF(COUNTIFS('LANÇAMENTOS DIÁRIOS'!$G$5:$G$500,"E",'LANÇAMENTOS DIÁRIOS'!$C$5:$C$500,$A90,'LANÇAMENTOS DIÁRIOS'!$O$5:$O$500,"&lt;=109899",'LANÇAMENTOS DIÁRIOS'!$P$5:$P$500,"&gt;=109800")&gt;0,"X","")</f>
      </c>
      <c r="AT90" s="56" t="str">
        <f>IF(COUNTIFS('LANÇAMENTOS DIÁRIOS'!$G$5:$G$500,"E",'LANÇAMENTOS DIÁRIOS'!$C$5:$C$500,$A90,'LANÇAMENTOS DIÁRIOS'!$O$5:$O$500,"&lt;=109999",'LANÇAMENTOS DIÁRIOS'!$P$5:$P$500,"&gt;=109900")&gt;0,"X","")</f>
      </c>
      <c r="AU90" s="56" t="str">
        <f>IF(COUNTIFS('LANÇAMENTOS DIÁRIOS'!$G$5:$G$500,"E",'LANÇAMENTOS DIÁRIOS'!$C$5:$C$500,$A90,'LANÇAMENTOS DIÁRIOS'!$O$5:$O$500,"&lt;=110099",'LANÇAMENTOS DIÁRIOS'!$P$5:$P$500,"&gt;=110000")&gt;0,"X","")</f>
      </c>
      <c r="AV90" s="56" t="str">
        <f>IF(COUNTIFS('LANÇAMENTOS DIÁRIOS'!$G$5:$G$500,"E",'LANÇAMENTOS DIÁRIOS'!$C$5:$C$500,$A90,'LANÇAMENTOS DIÁRIOS'!$O$5:$O$500,"&lt;=110199",'LANÇAMENTOS DIÁRIOS'!$P$5:$P$500,"&gt;=110100")&gt;0,"X","")</f>
      </c>
      <c r="AW90" s="56" t="str">
        <f>IF(COUNTIFS('LANÇAMENTOS DIÁRIOS'!$G$5:$G$500,"E",'LANÇAMENTOS DIÁRIOS'!$C$5:$C$500,$A90,'LANÇAMENTOS DIÁRIOS'!$O$5:$O$500,"&lt;=110299",'LANÇAMENTOS DIÁRIOS'!$P$5:$P$500,"&gt;=110200")&gt;0,"X","")</f>
      </c>
      <c r="AX90" s="56" t="str">
        <f>IF(COUNTIFS('LANÇAMENTOS DIÁRIOS'!$G$5:$G$500,"E",'LANÇAMENTOS DIÁRIOS'!$C$5:$C$500,$A90,'LANÇAMENTOS DIÁRIOS'!$O$5:$O$500,"&lt;=110399",'LANÇAMENTOS DIÁRIOS'!$P$5:$P$500,"&gt;=110300")&gt;0,"X","")</f>
      </c>
      <c r="AY90" s="56" t="str">
        <f>IF(COUNTIFS('LANÇAMENTOS DIÁRIOS'!$G$5:$G$500,"E",'LANÇAMENTOS DIÁRIOS'!$C$5:$C$500,$A90,'LANÇAMENTOS DIÁRIOS'!$O$5:$O$500,"&lt;=110499",'LANÇAMENTOS DIÁRIOS'!$P$5:$P$500,"&gt;=110400")&gt;0,"X","")</f>
      </c>
      <c r="AZ90" s="56" t="str">
        <f>IF(COUNTIFS('LANÇAMENTOS DIÁRIOS'!$G$5:$G$500,"E",'LANÇAMENTOS DIÁRIOS'!$C$5:$C$500,$A90,'LANÇAMENTOS DIÁRIOS'!$O$5:$O$500,"&lt;=110599",'LANÇAMENTOS DIÁRIOS'!$P$5:$P$500,"&gt;=110500")&gt;0,"X","")</f>
      </c>
      <c r="BA90" s="56" t="str">
        <f>IF(COUNTIFS('LANÇAMENTOS DIÁRIOS'!$G$5:$G$500,"E",'LANÇAMENTOS DIÁRIOS'!$C$5:$C$500,$A90,'LANÇAMENTOS DIÁRIOS'!$O$5:$O$500,"&lt;=110699",'LANÇAMENTOS DIÁRIOS'!$P$5:$P$500,"&gt;=110600")&gt;0,"X","")</f>
      </c>
      <c r="BB90" s="56" t="str">
        <f>IF(COUNTIFS('LANÇAMENTOS DIÁRIOS'!$G$5:$G$500,"E",'LANÇAMENTOS DIÁRIOS'!$C$5:$C$500,$A90,'LANÇAMENTOS DIÁRIOS'!$O$5:$O$500,"&lt;=110799",'LANÇAMENTOS DIÁRIOS'!$P$5:$P$500,"&gt;=110700")&gt;0,"X","")</f>
      </c>
      <c r="BC90" s="56" t="str">
        <f>IF(COUNTIFS('LANÇAMENTOS DIÁRIOS'!$G$5:$G$500,"E",'LANÇAMENTOS DIÁRIOS'!$C$5:$C$500,$A90,'LANÇAMENTOS DIÁRIOS'!$O$5:$O$500,"&lt;=110899",'LANÇAMENTOS DIÁRIOS'!$P$5:$P$500,"&gt;=110800")&gt;0,"X","")</f>
      </c>
      <c r="BD90" s="56" t="str">
        <f>IF(COUNTIFS('LANÇAMENTOS DIÁRIOS'!$G$5:$G$500,"E",'LANÇAMENTOS DIÁRIOS'!$C$5:$C$500,$A90,'LANÇAMENTOS DIÁRIOS'!$O$5:$O$500,"&lt;=110999",'LANÇAMENTOS DIÁRIOS'!$P$5:$P$500,"&gt;=110900")&gt;0,"X","")</f>
      </c>
      <c r="BE90" s="56" t="str">
        <f>IF(COUNTIFS('LANÇAMENTOS DIÁRIOS'!$G$5:$G$500,"E",'LANÇAMENTOS DIÁRIOS'!$C$5:$C$500,$A90,'LANÇAMENTOS DIÁRIOS'!$O$5:$O$500,"&lt;=111099",'LANÇAMENTOS DIÁRIOS'!$P$5:$P$500,"&gt;=111000")&gt;0,"X","")</f>
      </c>
      <c r="BF90" s="56" t="str">
        <f>IF(COUNTIFS('LANÇAMENTOS DIÁRIOS'!$G$5:$G$500,"E",'LANÇAMENTOS DIÁRIOS'!$C$5:$C$500,$A90,'LANÇAMENTOS DIÁRIOS'!$O$5:$O$500,"&lt;=111199",'LANÇAMENTOS DIÁRIOS'!$P$5:$P$500,"&gt;=111100")&gt;0,"X","")</f>
      </c>
      <c r="BG90" s="56" t="str">
        <f>IF(COUNTIFS('LANÇAMENTOS DIÁRIOS'!$G$5:$G$500,"E",'LANÇAMENTOS DIÁRIOS'!$C$5:$C$500,$A90,'LANÇAMENTOS DIÁRIOS'!$O$5:$O$500,"&lt;=111299",'LANÇAMENTOS DIÁRIOS'!$P$5:$P$500,"&gt;=111200")&gt;0,"X","")</f>
      </c>
      <c r="BH90" s="56" t="str">
        <f>IF(COUNTIFS('LANÇAMENTOS DIÁRIOS'!$G$5:$G$500,"E",'LANÇAMENTOS DIÁRIOS'!$C$5:$C$500,$A90,'LANÇAMENTOS DIÁRIOS'!$O$5:$O$500,"&lt;=111399",'LANÇAMENTOS DIÁRIOS'!$P$5:$P$500,"&gt;=111300")&gt;0,"X","")</f>
      </c>
      <c r="BI90" s="56" t="str">
        <f>IF(COUNTIFS('LANÇAMENTOS DIÁRIOS'!$G$5:$G$500,"E",'LANÇAMENTOS DIÁRIOS'!$C$5:$C$500,$A90,'LANÇAMENTOS DIÁRIOS'!$O$5:$O$500,"&lt;=111499",'LANÇAMENTOS DIÁRIOS'!$P$5:$P$500,"&gt;=111400")&gt;0,"X","")</f>
      </c>
      <c r="BJ90" s="56" t="str">
        <f>IF(COUNTIFS('LANÇAMENTOS DIÁRIOS'!$G$5:$G$500,"E",'LANÇAMENTOS DIÁRIOS'!$C$5:$C$500,$A90,'LANÇAMENTOS DIÁRIOS'!$O$5:$O$500,"&lt;=111500",'LANÇAMENTOS DIÁRIOS'!$P$5:$P$500,"&gt;=111500")&gt;0,"X","")</f>
      </c>
    </row>
    <row r="91">
      <c r="A91" s="51" t="str">
        <v>Imprimadura impermeabilizante, sem fornecimento de material</v>
      </c>
      <c r="B91" s="56" t="str">
        <f>IF(COUNTIFS('LANÇAMENTOS DIÁRIOS'!$G$5:$G$500,"E",'LANÇAMENTOS DIÁRIOS'!$C$5:$C$500,$A91,'LANÇAMENTOS DIÁRIOS'!$O$5:$O$500,"&lt;=105599",'LANÇAMENTOS DIÁRIOS'!$P$5:$P$500,"&gt;=105500")&gt;0,"X","")</f>
      </c>
      <c r="C91" s="56" t="str">
        <f>IF(COUNTIFS('LANÇAMENTOS DIÁRIOS'!$G$5:$G$500,"E",'LANÇAMENTOS DIÁRIOS'!$C$5:$C$500,$A91,'LANÇAMENTOS DIÁRIOS'!$O$5:$O$500,"&lt;=105699",'LANÇAMENTOS DIÁRIOS'!$P$5:$P$500,"&gt;=105600")&gt;0,"X","")</f>
      </c>
      <c r="D91" s="56" t="str">
        <f>IF(COUNTIFS('LANÇAMENTOS DIÁRIOS'!$G$5:$G$500,"E",'LANÇAMENTOS DIÁRIOS'!$C$5:$C$500,$A91,'LANÇAMENTOS DIÁRIOS'!$O$5:$O$500,"&lt;=105799",'LANÇAMENTOS DIÁRIOS'!$P$5:$P$500,"&gt;=105700")&gt;0,"X","")</f>
      </c>
      <c r="E91" s="56" t="str">
        <f>IF(COUNTIFS('LANÇAMENTOS DIÁRIOS'!$G$5:$G$500,"E",'LANÇAMENTOS DIÁRIOS'!$C$5:$C$500,$A91,'LANÇAMENTOS DIÁRIOS'!$O$5:$O$500,"&lt;=105899",'LANÇAMENTOS DIÁRIOS'!$P$5:$P$500,"&gt;=105800")&gt;0,"X","")</f>
      </c>
      <c r="F91" s="56" t="str">
        <f>IF(COUNTIFS('LANÇAMENTOS DIÁRIOS'!$G$5:$G$500,"E",'LANÇAMENTOS DIÁRIOS'!$C$5:$C$500,$A91,'LANÇAMENTOS DIÁRIOS'!$O$5:$O$500,"&lt;=105999",'LANÇAMENTOS DIÁRIOS'!$P$5:$P$500,"&gt;=105900")&gt;0,"X","")</f>
      </c>
      <c r="G91" s="56" t="str">
        <f>IF(COUNTIFS('LANÇAMENTOS DIÁRIOS'!$G$5:$G$500,"E",'LANÇAMENTOS DIÁRIOS'!$C$5:$C$500,$A91,'LANÇAMENTOS DIÁRIOS'!$O$5:$O$500,"&lt;=106099",'LANÇAMENTOS DIÁRIOS'!$P$5:$P$500,"&gt;=106000")&gt;0,"X","")</f>
      </c>
      <c r="H91" s="56" t="str">
        <f>IF(COUNTIFS('LANÇAMENTOS DIÁRIOS'!$G$5:$G$500,"E",'LANÇAMENTOS DIÁRIOS'!$C$5:$C$500,$A91,'LANÇAMENTOS DIÁRIOS'!$O$5:$O$500,"&lt;=106199",'LANÇAMENTOS DIÁRIOS'!$P$5:$P$500,"&gt;=106100")&gt;0,"X","")</f>
      </c>
      <c r="I91" s="56" t="str">
        <f>IF(COUNTIFS('LANÇAMENTOS DIÁRIOS'!$G$5:$G$500,"E",'LANÇAMENTOS DIÁRIOS'!$C$5:$C$500,$A91,'LANÇAMENTOS DIÁRIOS'!$O$5:$O$500,"&lt;=106299",'LANÇAMENTOS DIÁRIOS'!$P$5:$P$500,"&gt;=106200")&gt;0,"X","")</f>
      </c>
      <c r="J91" s="56" t="str">
        <f>IF(COUNTIFS('LANÇAMENTOS DIÁRIOS'!$G$5:$G$500,"E",'LANÇAMENTOS DIÁRIOS'!$C$5:$C$500,$A91,'LANÇAMENTOS DIÁRIOS'!$O$5:$O$500,"&lt;=106399",'LANÇAMENTOS DIÁRIOS'!$P$5:$P$500,"&gt;=106300")&gt;0,"X","")</f>
      </c>
      <c r="K91" s="56" t="str">
        <f>IF(COUNTIFS('LANÇAMENTOS DIÁRIOS'!$G$5:$G$500,"E",'LANÇAMENTOS DIÁRIOS'!$C$5:$C$500,$A91,'LANÇAMENTOS DIÁRIOS'!$O$5:$O$500,"&lt;=106499",'LANÇAMENTOS DIÁRIOS'!$P$5:$P$500,"&gt;=106400")&gt;0,"X","")</f>
      </c>
      <c r="L91" s="56" t="str">
        <f>IF(COUNTIFS('LANÇAMENTOS DIÁRIOS'!$G$5:$G$500,"E",'LANÇAMENTOS DIÁRIOS'!$C$5:$C$500,$A91,'LANÇAMENTOS DIÁRIOS'!$O$5:$O$500,"&lt;=106599",'LANÇAMENTOS DIÁRIOS'!$P$5:$P$500,"&gt;=106500")&gt;0,"X","")</f>
      </c>
      <c r="M91" s="56" t="str">
        <f>IF(COUNTIFS('LANÇAMENTOS DIÁRIOS'!$G$5:$G$500,"E",'LANÇAMENTOS DIÁRIOS'!$C$5:$C$500,$A91,'LANÇAMENTOS DIÁRIOS'!$O$5:$O$500,"&lt;=106699",'LANÇAMENTOS DIÁRIOS'!$P$5:$P$500,"&gt;=106600")&gt;0,"X","")</f>
      </c>
      <c r="N91" s="56" t="str">
        <f>IF(COUNTIFS('LANÇAMENTOS DIÁRIOS'!$G$5:$G$500,"E",'LANÇAMENTOS DIÁRIOS'!$C$5:$C$500,$A91,'LANÇAMENTOS DIÁRIOS'!$O$5:$O$500,"&lt;=106799",'LANÇAMENTOS DIÁRIOS'!$P$5:$P$500,"&gt;=106700")&gt;0,"X","")</f>
      </c>
      <c r="O91" s="56" t="str">
        <f>IF(COUNTIFS('LANÇAMENTOS DIÁRIOS'!$G$5:$G$500,"E",'LANÇAMENTOS DIÁRIOS'!$C$5:$C$500,$A91,'LANÇAMENTOS DIÁRIOS'!$O$5:$O$500,"&lt;=106899",'LANÇAMENTOS DIÁRIOS'!$P$5:$P$500,"&gt;=106800")&gt;0,"X","")</f>
      </c>
      <c r="P91" s="56" t="str">
        <f>IF(COUNTIFS('LANÇAMENTOS DIÁRIOS'!$G$5:$G$500,"E",'LANÇAMENTOS DIÁRIOS'!$C$5:$C$500,$A91,'LANÇAMENTOS DIÁRIOS'!$O$5:$O$500,"&lt;=106999",'LANÇAMENTOS DIÁRIOS'!$P$5:$P$500,"&gt;=106900")&gt;0,"X","")</f>
      </c>
      <c r="Q91" s="56" t="str">
        <f>IF(COUNTIFS('LANÇAMENTOS DIÁRIOS'!$G$5:$G$500,"E",'LANÇAMENTOS DIÁRIOS'!$C$5:$C$500,$A91,'LANÇAMENTOS DIÁRIOS'!$O$5:$O$500,"&lt;=107099",'LANÇAMENTOS DIÁRIOS'!$P$5:$P$500,"&gt;=107000")&gt;0,"X","")</f>
      </c>
      <c r="R91" s="56" t="str">
        <f>IF(COUNTIFS('LANÇAMENTOS DIÁRIOS'!$G$5:$G$500,"E",'LANÇAMENTOS DIÁRIOS'!$C$5:$C$500,$A91,'LANÇAMENTOS DIÁRIOS'!$O$5:$O$500,"&lt;=107199",'LANÇAMENTOS DIÁRIOS'!$P$5:$P$500,"&gt;=107100")&gt;0,"X","")</f>
      </c>
      <c r="S91" s="56" t="str">
        <f>IF(COUNTIFS('LANÇAMENTOS DIÁRIOS'!$G$5:$G$500,"E",'LANÇAMENTOS DIÁRIOS'!$C$5:$C$500,$A91,'LANÇAMENTOS DIÁRIOS'!$O$5:$O$500,"&lt;=107299",'LANÇAMENTOS DIÁRIOS'!$P$5:$P$500,"&gt;=107200")&gt;0,"X","")</f>
      </c>
      <c r="T91" s="56" t="str">
        <f>IF(COUNTIFS('LANÇAMENTOS DIÁRIOS'!$G$5:$G$500,"E",'LANÇAMENTOS DIÁRIOS'!$C$5:$C$500,$A91,'LANÇAMENTOS DIÁRIOS'!$O$5:$O$500,"&lt;=107399",'LANÇAMENTOS DIÁRIOS'!$P$5:$P$500,"&gt;=107300")&gt;0,"X","")</f>
      </c>
      <c r="U91" s="56" t="str">
        <f>IF(COUNTIFS('LANÇAMENTOS DIÁRIOS'!$G$5:$G$500,"E",'LANÇAMENTOS DIÁRIOS'!$C$5:$C$500,$A91,'LANÇAMENTOS DIÁRIOS'!$O$5:$O$500,"&lt;=107499",'LANÇAMENTOS DIÁRIOS'!$P$5:$P$500,"&gt;=107400")&gt;0,"X","")</f>
      </c>
      <c r="V91" s="56" t="str">
        <f>IF(COUNTIFS('LANÇAMENTOS DIÁRIOS'!$G$5:$G$500,"E",'LANÇAMENTOS DIÁRIOS'!$C$5:$C$500,$A91,'LANÇAMENTOS DIÁRIOS'!$O$5:$O$500,"&lt;=107599",'LANÇAMENTOS DIÁRIOS'!$P$5:$P$500,"&gt;=107500")&gt;0,"X","")</f>
      </c>
      <c r="W91" s="56" t="str">
        <f>IF(COUNTIFS('LANÇAMENTOS DIÁRIOS'!$G$5:$G$500,"E",'LANÇAMENTOS DIÁRIOS'!$C$5:$C$500,$A91,'LANÇAMENTOS DIÁRIOS'!$O$5:$O$500,"&lt;=107699",'LANÇAMENTOS DIÁRIOS'!$P$5:$P$500,"&gt;=107600")&gt;0,"X","")</f>
      </c>
      <c r="X91" s="56" t="str">
        <f>IF(COUNTIFS('LANÇAMENTOS DIÁRIOS'!$G$5:$G$500,"E",'LANÇAMENTOS DIÁRIOS'!$C$5:$C$500,$A91,'LANÇAMENTOS DIÁRIOS'!$O$5:$O$500,"&lt;=107799",'LANÇAMENTOS DIÁRIOS'!$P$5:$P$500,"&gt;=107700")&gt;0,"X","")</f>
      </c>
      <c r="Y91" s="56" t="str">
        <f>IF(COUNTIFS('LANÇAMENTOS DIÁRIOS'!$G$5:$G$500,"E",'LANÇAMENTOS DIÁRIOS'!$C$5:$C$500,$A91,'LANÇAMENTOS DIÁRIOS'!$O$5:$O$500,"&lt;=107899",'LANÇAMENTOS DIÁRIOS'!$P$5:$P$500,"&gt;=107800")&gt;0,"X","")</f>
      </c>
      <c r="Z91" s="56" t="str">
        <f>IF(COUNTIFS('LANÇAMENTOS DIÁRIOS'!$G$5:$G$500,"E",'LANÇAMENTOS DIÁRIOS'!$C$5:$C$500,$A91,'LANÇAMENTOS DIÁRIOS'!$O$5:$O$500,"&lt;=107999",'LANÇAMENTOS DIÁRIOS'!$P$5:$P$500,"&gt;=107900")&gt;0,"X","")</f>
      </c>
      <c r="AA91" s="56" t="str">
        <f>IF(COUNTIFS('LANÇAMENTOS DIÁRIOS'!$G$5:$G$500,"E",'LANÇAMENTOS DIÁRIOS'!$C$5:$C$500,$A91,'LANÇAMENTOS DIÁRIOS'!$O$5:$O$500,"&lt;=108099",'LANÇAMENTOS DIÁRIOS'!$P$5:$P$500,"&gt;=108000")&gt;0,"X","")</f>
      </c>
      <c r="AB91" s="56" t="str">
        <f>IF(COUNTIFS('LANÇAMENTOS DIÁRIOS'!$G$5:$G$500,"E",'LANÇAMENTOS DIÁRIOS'!$C$5:$C$500,$A91,'LANÇAMENTOS DIÁRIOS'!$O$5:$O$500,"&lt;=108199",'LANÇAMENTOS DIÁRIOS'!$P$5:$P$500,"&gt;=108100")&gt;0,"X","")</f>
      </c>
      <c r="AC91" s="56" t="str">
        <f>IF(COUNTIFS('LANÇAMENTOS DIÁRIOS'!$G$5:$G$500,"E",'LANÇAMENTOS DIÁRIOS'!$C$5:$C$500,$A91,'LANÇAMENTOS DIÁRIOS'!$O$5:$O$500,"&lt;=108299",'LANÇAMENTOS DIÁRIOS'!$P$5:$P$500,"&gt;=108200")&gt;0,"X","")</f>
      </c>
      <c r="AD91" s="56" t="str">
        <f>IF(COUNTIFS('LANÇAMENTOS DIÁRIOS'!$G$5:$G$500,"E",'LANÇAMENTOS DIÁRIOS'!$C$5:$C$500,$A91,'LANÇAMENTOS DIÁRIOS'!$O$5:$O$500,"&lt;=108399",'LANÇAMENTOS DIÁRIOS'!$P$5:$P$500,"&gt;=108300")&gt;0,"X","")</f>
      </c>
      <c r="AE91" s="56" t="str">
        <f>IF(COUNTIFS('LANÇAMENTOS DIÁRIOS'!$G$5:$G$500,"E",'LANÇAMENTOS DIÁRIOS'!$C$5:$C$500,$A91,'LANÇAMENTOS DIÁRIOS'!$O$5:$O$500,"&lt;=108499",'LANÇAMENTOS DIÁRIOS'!$P$5:$P$500,"&gt;=108400")&gt;0,"X","")</f>
      </c>
      <c r="AF91" s="56" t="str">
        <f>IF(COUNTIFS('LANÇAMENTOS DIÁRIOS'!$G$5:$G$500,"E",'LANÇAMENTOS DIÁRIOS'!$C$5:$C$500,$A91,'LANÇAMENTOS DIÁRIOS'!$O$5:$O$500,"&lt;=108599",'LANÇAMENTOS DIÁRIOS'!$P$5:$P$500,"&gt;=108500")&gt;0,"X","")</f>
      </c>
      <c r="AG91" s="56" t="str">
        <f>IF(COUNTIFS('LANÇAMENTOS DIÁRIOS'!$G$5:$G$500,"E",'LANÇAMENTOS DIÁRIOS'!$C$5:$C$500,$A91,'LANÇAMENTOS DIÁRIOS'!$O$5:$O$500,"&lt;=108699",'LANÇAMENTOS DIÁRIOS'!$P$5:$P$500,"&gt;=108600")&gt;0,"X","")</f>
      </c>
      <c r="AH91" s="56" t="str">
        <f>IF(COUNTIFS('LANÇAMENTOS DIÁRIOS'!$G$5:$G$500,"E",'LANÇAMENTOS DIÁRIOS'!$C$5:$C$500,$A91,'LANÇAMENTOS DIÁRIOS'!$O$5:$O$500,"&lt;=108799",'LANÇAMENTOS DIÁRIOS'!$P$5:$P$500,"&gt;=108700")&gt;0,"X","")</f>
      </c>
      <c r="AI91" s="56" t="str">
        <f>IF(COUNTIFS('LANÇAMENTOS DIÁRIOS'!$G$5:$G$500,"E",'LANÇAMENTOS DIÁRIOS'!$C$5:$C$500,$A91,'LANÇAMENTOS DIÁRIOS'!$O$5:$O$500,"&lt;=108899",'LANÇAMENTOS DIÁRIOS'!$P$5:$P$500,"&gt;=108800")&gt;0,"X","")</f>
      </c>
      <c r="AJ91" s="56" t="str">
        <f>IF(COUNTIFS('LANÇAMENTOS DIÁRIOS'!$G$5:$G$500,"E",'LANÇAMENTOS DIÁRIOS'!$C$5:$C$500,$A91,'LANÇAMENTOS DIÁRIOS'!$O$5:$O$500,"&lt;=108999",'LANÇAMENTOS DIÁRIOS'!$P$5:$P$500,"&gt;=108900")&gt;0,"X","")</f>
      </c>
      <c r="AK91" s="56" t="str">
        <f>IF(COUNTIFS('LANÇAMENTOS DIÁRIOS'!$G$5:$G$500,"E",'LANÇAMENTOS DIÁRIOS'!$C$5:$C$500,$A91,'LANÇAMENTOS DIÁRIOS'!$O$5:$O$500,"&lt;=109099",'LANÇAMENTOS DIÁRIOS'!$P$5:$P$500,"&gt;=109000")&gt;0,"X","")</f>
      </c>
      <c r="AL91" s="56" t="str">
        <f>IF(COUNTIFS('LANÇAMENTOS DIÁRIOS'!$G$5:$G$500,"E",'LANÇAMENTOS DIÁRIOS'!$C$5:$C$500,$A91,'LANÇAMENTOS DIÁRIOS'!$O$5:$O$500,"&lt;=109199",'LANÇAMENTOS DIÁRIOS'!$P$5:$P$500,"&gt;=109100")&gt;0,"X","")</f>
      </c>
      <c r="AM91" s="56" t="str">
        <f>IF(COUNTIFS('LANÇAMENTOS DIÁRIOS'!$G$5:$G$500,"E",'LANÇAMENTOS DIÁRIOS'!$C$5:$C$500,$A91,'LANÇAMENTOS DIÁRIOS'!$O$5:$O$500,"&lt;=109299",'LANÇAMENTOS DIÁRIOS'!$P$5:$P$500,"&gt;=109200")&gt;0,"X","")</f>
      </c>
      <c r="AN91" s="56" t="str">
        <f>IF(COUNTIFS('LANÇAMENTOS DIÁRIOS'!$G$5:$G$500,"E",'LANÇAMENTOS DIÁRIOS'!$C$5:$C$500,$A91,'LANÇAMENTOS DIÁRIOS'!$O$5:$O$500,"&lt;=109399",'LANÇAMENTOS DIÁRIOS'!$P$5:$P$500,"&gt;=109300")&gt;0,"X","")</f>
      </c>
      <c r="AO91" s="56" t="str">
        <f>IF(COUNTIFS('LANÇAMENTOS DIÁRIOS'!$G$5:$G$500,"E",'LANÇAMENTOS DIÁRIOS'!$C$5:$C$500,$A91,'LANÇAMENTOS DIÁRIOS'!$O$5:$O$500,"&lt;=109499",'LANÇAMENTOS DIÁRIOS'!$P$5:$P$500,"&gt;=109400")&gt;0,"X","")</f>
      </c>
      <c r="AP91" s="56" t="str">
        <f>IF(COUNTIFS('LANÇAMENTOS DIÁRIOS'!$G$5:$G$500,"E",'LANÇAMENTOS DIÁRIOS'!$C$5:$C$500,$A91,'LANÇAMENTOS DIÁRIOS'!$O$5:$O$500,"&lt;=109599",'LANÇAMENTOS DIÁRIOS'!$P$5:$P$500,"&gt;=109500")&gt;0,"X","")</f>
      </c>
      <c r="AQ91" s="56" t="str">
        <f>IF(COUNTIFS('LANÇAMENTOS DIÁRIOS'!$G$5:$G$500,"E",'LANÇAMENTOS DIÁRIOS'!$C$5:$C$500,$A91,'LANÇAMENTOS DIÁRIOS'!$O$5:$O$500,"&lt;=109699",'LANÇAMENTOS DIÁRIOS'!$P$5:$P$500,"&gt;=109600")&gt;0,"X","")</f>
      </c>
      <c r="AR91" s="56" t="str">
        <f>IF(COUNTIFS('LANÇAMENTOS DIÁRIOS'!$G$5:$G$500,"E",'LANÇAMENTOS DIÁRIOS'!$C$5:$C$500,$A91,'LANÇAMENTOS DIÁRIOS'!$O$5:$O$500,"&lt;=109799",'LANÇAMENTOS DIÁRIOS'!$P$5:$P$500,"&gt;=109700")&gt;0,"X","")</f>
      </c>
      <c r="AS91" s="56" t="str">
        <f>IF(COUNTIFS('LANÇAMENTOS DIÁRIOS'!$G$5:$G$500,"E",'LANÇAMENTOS DIÁRIOS'!$C$5:$C$500,$A91,'LANÇAMENTOS DIÁRIOS'!$O$5:$O$500,"&lt;=109899",'LANÇAMENTOS DIÁRIOS'!$P$5:$P$500,"&gt;=109800")&gt;0,"X","")</f>
      </c>
      <c r="AT91" s="56" t="str">
        <f>IF(COUNTIFS('LANÇAMENTOS DIÁRIOS'!$G$5:$G$500,"E",'LANÇAMENTOS DIÁRIOS'!$C$5:$C$500,$A91,'LANÇAMENTOS DIÁRIOS'!$O$5:$O$500,"&lt;=109999",'LANÇAMENTOS DIÁRIOS'!$P$5:$P$500,"&gt;=109900")&gt;0,"X","")</f>
      </c>
      <c r="AU91" s="56" t="str">
        <f>IF(COUNTIFS('LANÇAMENTOS DIÁRIOS'!$G$5:$G$500,"E",'LANÇAMENTOS DIÁRIOS'!$C$5:$C$500,$A91,'LANÇAMENTOS DIÁRIOS'!$O$5:$O$500,"&lt;=110099",'LANÇAMENTOS DIÁRIOS'!$P$5:$P$500,"&gt;=110000")&gt;0,"X","")</f>
      </c>
      <c r="AV91" s="56" t="str">
        <f>IF(COUNTIFS('LANÇAMENTOS DIÁRIOS'!$G$5:$G$500,"E",'LANÇAMENTOS DIÁRIOS'!$C$5:$C$500,$A91,'LANÇAMENTOS DIÁRIOS'!$O$5:$O$500,"&lt;=110199",'LANÇAMENTOS DIÁRIOS'!$P$5:$P$500,"&gt;=110100")&gt;0,"X","")</f>
      </c>
      <c r="AW91" s="56" t="str">
        <f>IF(COUNTIFS('LANÇAMENTOS DIÁRIOS'!$G$5:$G$500,"E",'LANÇAMENTOS DIÁRIOS'!$C$5:$C$500,$A91,'LANÇAMENTOS DIÁRIOS'!$O$5:$O$500,"&lt;=110299",'LANÇAMENTOS DIÁRIOS'!$P$5:$P$500,"&gt;=110200")&gt;0,"X","")</f>
      </c>
      <c r="AX91" s="56" t="str">
        <f>IF(COUNTIFS('LANÇAMENTOS DIÁRIOS'!$G$5:$G$500,"E",'LANÇAMENTOS DIÁRIOS'!$C$5:$C$500,$A91,'LANÇAMENTOS DIÁRIOS'!$O$5:$O$500,"&lt;=110399",'LANÇAMENTOS DIÁRIOS'!$P$5:$P$500,"&gt;=110300")&gt;0,"X","")</f>
      </c>
      <c r="AY91" s="56" t="str">
        <f>IF(COUNTIFS('LANÇAMENTOS DIÁRIOS'!$G$5:$G$500,"E",'LANÇAMENTOS DIÁRIOS'!$C$5:$C$500,$A91,'LANÇAMENTOS DIÁRIOS'!$O$5:$O$500,"&lt;=110499",'LANÇAMENTOS DIÁRIOS'!$P$5:$P$500,"&gt;=110400")&gt;0,"X","")</f>
      </c>
      <c r="AZ91" s="56" t="str">
        <f>IF(COUNTIFS('LANÇAMENTOS DIÁRIOS'!$G$5:$G$500,"E",'LANÇAMENTOS DIÁRIOS'!$C$5:$C$500,$A91,'LANÇAMENTOS DIÁRIOS'!$O$5:$O$500,"&lt;=110599",'LANÇAMENTOS DIÁRIOS'!$P$5:$P$500,"&gt;=110500")&gt;0,"X","")</f>
      </c>
      <c r="BA91" s="56" t="str">
        <f>IF(COUNTIFS('LANÇAMENTOS DIÁRIOS'!$G$5:$G$500,"E",'LANÇAMENTOS DIÁRIOS'!$C$5:$C$500,$A91,'LANÇAMENTOS DIÁRIOS'!$O$5:$O$500,"&lt;=110699",'LANÇAMENTOS DIÁRIOS'!$P$5:$P$500,"&gt;=110600")&gt;0,"X","")</f>
      </c>
      <c r="BB91" s="56" t="str">
        <f>IF(COUNTIFS('LANÇAMENTOS DIÁRIOS'!$G$5:$G$500,"E",'LANÇAMENTOS DIÁRIOS'!$C$5:$C$500,$A91,'LANÇAMENTOS DIÁRIOS'!$O$5:$O$500,"&lt;=110799",'LANÇAMENTOS DIÁRIOS'!$P$5:$P$500,"&gt;=110700")&gt;0,"X","")</f>
      </c>
      <c r="BC91" s="56" t="str">
        <f>IF(COUNTIFS('LANÇAMENTOS DIÁRIOS'!$G$5:$G$500,"E",'LANÇAMENTOS DIÁRIOS'!$C$5:$C$500,$A91,'LANÇAMENTOS DIÁRIOS'!$O$5:$O$500,"&lt;=110899",'LANÇAMENTOS DIÁRIOS'!$P$5:$P$500,"&gt;=110800")&gt;0,"X","")</f>
      </c>
      <c r="BD91" s="56" t="str">
        <f>IF(COUNTIFS('LANÇAMENTOS DIÁRIOS'!$G$5:$G$500,"E",'LANÇAMENTOS DIÁRIOS'!$C$5:$C$500,$A91,'LANÇAMENTOS DIÁRIOS'!$O$5:$O$500,"&lt;=110999",'LANÇAMENTOS DIÁRIOS'!$P$5:$P$500,"&gt;=110900")&gt;0,"X","")</f>
      </c>
      <c r="BE91" s="56" t="str">
        <f>IF(COUNTIFS('LANÇAMENTOS DIÁRIOS'!$G$5:$G$500,"E",'LANÇAMENTOS DIÁRIOS'!$C$5:$C$500,$A91,'LANÇAMENTOS DIÁRIOS'!$O$5:$O$500,"&lt;=111099",'LANÇAMENTOS DIÁRIOS'!$P$5:$P$500,"&gt;=111000")&gt;0,"X","")</f>
      </c>
      <c r="BF91" s="56" t="str">
        <f>IF(COUNTIFS('LANÇAMENTOS DIÁRIOS'!$G$5:$G$500,"E",'LANÇAMENTOS DIÁRIOS'!$C$5:$C$500,$A91,'LANÇAMENTOS DIÁRIOS'!$O$5:$O$500,"&lt;=111199",'LANÇAMENTOS DIÁRIOS'!$P$5:$P$500,"&gt;=111100")&gt;0,"X","")</f>
      </c>
      <c r="BG91" s="56" t="str">
        <f>IF(COUNTIFS('LANÇAMENTOS DIÁRIOS'!$G$5:$G$500,"E",'LANÇAMENTOS DIÁRIOS'!$C$5:$C$500,$A91,'LANÇAMENTOS DIÁRIOS'!$O$5:$O$500,"&lt;=111299",'LANÇAMENTOS DIÁRIOS'!$P$5:$P$500,"&gt;=111200")&gt;0,"X","")</f>
      </c>
      <c r="BH91" s="56" t="str">
        <f>IF(COUNTIFS('LANÇAMENTOS DIÁRIOS'!$G$5:$G$500,"E",'LANÇAMENTOS DIÁRIOS'!$C$5:$C$500,$A91,'LANÇAMENTOS DIÁRIOS'!$O$5:$O$500,"&lt;=111399",'LANÇAMENTOS DIÁRIOS'!$P$5:$P$500,"&gt;=111300")&gt;0,"X","")</f>
      </c>
      <c r="BI91" s="56" t="str">
        <f>IF(COUNTIFS('LANÇAMENTOS DIÁRIOS'!$G$5:$G$500,"E",'LANÇAMENTOS DIÁRIOS'!$C$5:$C$500,$A91,'LANÇAMENTOS DIÁRIOS'!$O$5:$O$500,"&lt;=111499",'LANÇAMENTOS DIÁRIOS'!$P$5:$P$500,"&gt;=111400")&gt;0,"X","")</f>
      </c>
      <c r="BJ91" s="56" t="str">
        <f>IF(COUNTIFS('LANÇAMENTOS DIÁRIOS'!$G$5:$G$500,"E",'LANÇAMENTOS DIÁRIOS'!$C$5:$C$500,$A91,'LANÇAMENTOS DIÁRIOS'!$O$5:$O$500,"&lt;=111500",'LANÇAMENTOS DIÁRIOS'!$P$5:$P$500,"&gt;=111500")&gt;0,"X","")</f>
      </c>
    </row>
    <row r="92" ht="21" customHeight="1">
      <c r="A92" s="60" t="str">
        <v>Drenagem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</row>
    <row r="93" ht="19" customHeight="1">
      <c r="A93" s="68" t="str">
        <v>Obras de drenagem profunda. Galerias e Bueiros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</row>
    <row r="94">
      <c r="A94" s="51" t="str">
        <v>Obras de drenagem profunda. Galerias e Bueiros</v>
      </c>
      <c r="B94" s="56" t="str">
        <f>IF(COUNTIFS('LANÇAMENTOS DIÁRIOS'!$G$5:$G$500,"E",'LANÇAMENTOS DIÁRIOS'!$C$5:$C$500,$A94,'LANÇAMENTOS DIÁRIOS'!$O$5:$O$500,"&lt;=105599",'LANÇAMENTOS DIÁRIOS'!$P$5:$P$500,"&gt;=105500")&gt;0,"X","")</f>
      </c>
      <c r="C94" s="56" t="str">
        <f>IF(COUNTIFS('LANÇAMENTOS DIÁRIOS'!$G$5:$G$500,"E",'LANÇAMENTOS DIÁRIOS'!$C$5:$C$500,$A94,'LANÇAMENTOS DIÁRIOS'!$O$5:$O$500,"&lt;=105699",'LANÇAMENTOS DIÁRIOS'!$P$5:$P$500,"&gt;=105600")&gt;0,"X","")</f>
      </c>
      <c r="D94" s="56" t="str">
        <f>IF(COUNTIFS('LANÇAMENTOS DIÁRIOS'!$G$5:$G$500,"E",'LANÇAMENTOS DIÁRIOS'!$C$5:$C$500,$A94,'LANÇAMENTOS DIÁRIOS'!$O$5:$O$500,"&lt;=105799",'LANÇAMENTOS DIÁRIOS'!$P$5:$P$500,"&gt;=105700")&gt;0,"X","")</f>
      </c>
      <c r="E94" s="56" t="str">
        <f>IF(COUNTIFS('LANÇAMENTOS DIÁRIOS'!$G$5:$G$500,"E",'LANÇAMENTOS DIÁRIOS'!$C$5:$C$500,$A94,'LANÇAMENTOS DIÁRIOS'!$O$5:$O$500,"&lt;=105899",'LANÇAMENTOS DIÁRIOS'!$P$5:$P$500,"&gt;=105800")&gt;0,"X","")</f>
      </c>
      <c r="F94" s="56" t="str">
        <f>IF(COUNTIFS('LANÇAMENTOS DIÁRIOS'!$G$5:$G$500,"E",'LANÇAMENTOS DIÁRIOS'!$C$5:$C$500,$A94,'LANÇAMENTOS DIÁRIOS'!$O$5:$O$500,"&lt;=105999",'LANÇAMENTOS DIÁRIOS'!$P$5:$P$500,"&gt;=105900")&gt;0,"X","")</f>
      </c>
      <c r="G94" s="56" t="str">
        <f>IF(COUNTIFS('LANÇAMENTOS DIÁRIOS'!$G$5:$G$500,"E",'LANÇAMENTOS DIÁRIOS'!$C$5:$C$500,$A94,'LANÇAMENTOS DIÁRIOS'!$O$5:$O$500,"&lt;=106099",'LANÇAMENTOS DIÁRIOS'!$P$5:$P$500,"&gt;=106000")&gt;0,"X","")</f>
      </c>
      <c r="H94" s="56" t="str">
        <f>IF(COUNTIFS('LANÇAMENTOS DIÁRIOS'!$G$5:$G$500,"E",'LANÇAMENTOS DIÁRIOS'!$C$5:$C$500,$A94,'LANÇAMENTOS DIÁRIOS'!$O$5:$O$500,"&lt;=106199",'LANÇAMENTOS DIÁRIOS'!$P$5:$P$500,"&gt;=106100")&gt;0,"X","")</f>
      </c>
      <c r="I94" s="56" t="str">
        <f>IF(COUNTIFS('LANÇAMENTOS DIÁRIOS'!$G$5:$G$500,"E",'LANÇAMENTOS DIÁRIOS'!$C$5:$C$500,$A94,'LANÇAMENTOS DIÁRIOS'!$O$5:$O$500,"&lt;=106299",'LANÇAMENTOS DIÁRIOS'!$P$5:$P$500,"&gt;=106200")&gt;0,"X","")</f>
      </c>
      <c r="J94" s="56" t="str">
        <f>IF(COUNTIFS('LANÇAMENTOS DIÁRIOS'!$G$5:$G$500,"E",'LANÇAMENTOS DIÁRIOS'!$C$5:$C$500,$A94,'LANÇAMENTOS DIÁRIOS'!$O$5:$O$500,"&lt;=106399",'LANÇAMENTOS DIÁRIOS'!$P$5:$P$500,"&gt;=106300")&gt;0,"X","")</f>
      </c>
      <c r="K94" s="56" t="str">
        <f>IF(COUNTIFS('LANÇAMENTOS DIÁRIOS'!$G$5:$G$500,"E",'LANÇAMENTOS DIÁRIOS'!$C$5:$C$500,$A94,'LANÇAMENTOS DIÁRIOS'!$O$5:$O$500,"&lt;=106499",'LANÇAMENTOS DIÁRIOS'!$P$5:$P$500,"&gt;=106400")&gt;0,"X","")</f>
      </c>
      <c r="L94" s="56" t="str">
        <f>IF(COUNTIFS('LANÇAMENTOS DIÁRIOS'!$G$5:$G$500,"E",'LANÇAMENTOS DIÁRIOS'!$C$5:$C$500,$A94,'LANÇAMENTOS DIÁRIOS'!$O$5:$O$500,"&lt;=106599",'LANÇAMENTOS DIÁRIOS'!$P$5:$P$500,"&gt;=106500")&gt;0,"X","")</f>
      </c>
      <c r="M94" s="56" t="str">
        <f>IF(COUNTIFS('LANÇAMENTOS DIÁRIOS'!$G$5:$G$500,"E",'LANÇAMENTOS DIÁRIOS'!$C$5:$C$500,$A94,'LANÇAMENTOS DIÁRIOS'!$O$5:$O$500,"&lt;=106699",'LANÇAMENTOS DIÁRIOS'!$P$5:$P$500,"&gt;=106600")&gt;0,"X","")</f>
      </c>
      <c r="N94" s="56" t="str">
        <f>IF(COUNTIFS('LANÇAMENTOS DIÁRIOS'!$G$5:$G$500,"E",'LANÇAMENTOS DIÁRIOS'!$C$5:$C$500,$A94,'LANÇAMENTOS DIÁRIOS'!$O$5:$O$500,"&lt;=106799",'LANÇAMENTOS DIÁRIOS'!$P$5:$P$500,"&gt;=106700")&gt;0,"X","")</f>
      </c>
      <c r="O94" s="56" t="str">
        <f>IF(COUNTIFS('LANÇAMENTOS DIÁRIOS'!$G$5:$G$500,"E",'LANÇAMENTOS DIÁRIOS'!$C$5:$C$500,$A94,'LANÇAMENTOS DIÁRIOS'!$O$5:$O$500,"&lt;=106899",'LANÇAMENTOS DIÁRIOS'!$P$5:$P$500,"&gt;=106800")&gt;0,"X","")</f>
      </c>
      <c r="P94" s="56" t="str">
        <f>IF(COUNTIFS('LANÇAMENTOS DIÁRIOS'!$G$5:$G$500,"E",'LANÇAMENTOS DIÁRIOS'!$C$5:$C$500,$A94,'LANÇAMENTOS DIÁRIOS'!$O$5:$O$500,"&lt;=106999",'LANÇAMENTOS DIÁRIOS'!$P$5:$P$500,"&gt;=106900")&gt;0,"X","")</f>
      </c>
      <c r="Q94" s="56" t="str">
        <f>IF(COUNTIFS('LANÇAMENTOS DIÁRIOS'!$G$5:$G$500,"E",'LANÇAMENTOS DIÁRIOS'!$C$5:$C$500,$A94,'LANÇAMENTOS DIÁRIOS'!$O$5:$O$500,"&lt;=107099",'LANÇAMENTOS DIÁRIOS'!$P$5:$P$500,"&gt;=107000")&gt;0,"X","")</f>
      </c>
      <c r="R94" s="56" t="str">
        <f>IF(COUNTIFS('LANÇAMENTOS DIÁRIOS'!$G$5:$G$500,"E",'LANÇAMENTOS DIÁRIOS'!$C$5:$C$500,$A94,'LANÇAMENTOS DIÁRIOS'!$O$5:$O$500,"&lt;=107199",'LANÇAMENTOS DIÁRIOS'!$P$5:$P$500,"&gt;=107100")&gt;0,"X","")</f>
      </c>
      <c r="S94" s="56" t="str">
        <f>IF(COUNTIFS('LANÇAMENTOS DIÁRIOS'!$G$5:$G$500,"E",'LANÇAMENTOS DIÁRIOS'!$C$5:$C$500,$A94,'LANÇAMENTOS DIÁRIOS'!$O$5:$O$500,"&lt;=107299",'LANÇAMENTOS DIÁRIOS'!$P$5:$P$500,"&gt;=107200")&gt;0,"X","")</f>
      </c>
      <c r="T94" s="56" t="str">
        <f>IF(COUNTIFS('LANÇAMENTOS DIÁRIOS'!$G$5:$G$500,"E",'LANÇAMENTOS DIÁRIOS'!$C$5:$C$500,$A94,'LANÇAMENTOS DIÁRIOS'!$O$5:$O$500,"&lt;=107399",'LANÇAMENTOS DIÁRIOS'!$P$5:$P$500,"&gt;=107300")&gt;0,"X","")</f>
      </c>
      <c r="U94" s="56" t="str">
        <f>IF(COUNTIFS('LANÇAMENTOS DIÁRIOS'!$G$5:$G$500,"E",'LANÇAMENTOS DIÁRIOS'!$C$5:$C$500,$A94,'LANÇAMENTOS DIÁRIOS'!$O$5:$O$500,"&lt;=107499",'LANÇAMENTOS DIÁRIOS'!$P$5:$P$500,"&gt;=107400")&gt;0,"X","")</f>
      </c>
      <c r="V94" s="56" t="str">
        <f>IF(COUNTIFS('LANÇAMENTOS DIÁRIOS'!$G$5:$G$500,"E",'LANÇAMENTOS DIÁRIOS'!$C$5:$C$500,$A94,'LANÇAMENTOS DIÁRIOS'!$O$5:$O$500,"&lt;=107599",'LANÇAMENTOS DIÁRIOS'!$P$5:$P$500,"&gt;=107500")&gt;0,"X","")</f>
      </c>
      <c r="W94" s="56" t="str">
        <f>IF(COUNTIFS('LANÇAMENTOS DIÁRIOS'!$G$5:$G$500,"E",'LANÇAMENTOS DIÁRIOS'!$C$5:$C$500,$A94,'LANÇAMENTOS DIÁRIOS'!$O$5:$O$500,"&lt;=107699",'LANÇAMENTOS DIÁRIOS'!$P$5:$P$500,"&gt;=107600")&gt;0,"X","")</f>
      </c>
      <c r="X94" s="56" t="str">
        <f>IF(COUNTIFS('LANÇAMENTOS DIÁRIOS'!$G$5:$G$500,"E",'LANÇAMENTOS DIÁRIOS'!$C$5:$C$500,$A94,'LANÇAMENTOS DIÁRIOS'!$O$5:$O$500,"&lt;=107799",'LANÇAMENTOS DIÁRIOS'!$P$5:$P$500,"&gt;=107700")&gt;0,"X","")</f>
      </c>
      <c r="Y94" s="56" t="str">
        <f>IF(COUNTIFS('LANÇAMENTOS DIÁRIOS'!$G$5:$G$500,"E",'LANÇAMENTOS DIÁRIOS'!$C$5:$C$500,$A94,'LANÇAMENTOS DIÁRIOS'!$O$5:$O$500,"&lt;=107899",'LANÇAMENTOS DIÁRIOS'!$P$5:$P$500,"&gt;=107800")&gt;0,"X","")</f>
      </c>
      <c r="Z94" s="56" t="str">
        <f>IF(COUNTIFS('LANÇAMENTOS DIÁRIOS'!$G$5:$G$500,"E",'LANÇAMENTOS DIÁRIOS'!$C$5:$C$500,$A94,'LANÇAMENTOS DIÁRIOS'!$O$5:$O$500,"&lt;=107999",'LANÇAMENTOS DIÁRIOS'!$P$5:$P$500,"&gt;=107900")&gt;0,"X","")</f>
      </c>
      <c r="AA94" s="56" t="str">
        <f>IF(COUNTIFS('LANÇAMENTOS DIÁRIOS'!$G$5:$G$500,"E",'LANÇAMENTOS DIÁRIOS'!$C$5:$C$500,$A94,'LANÇAMENTOS DIÁRIOS'!$O$5:$O$500,"&lt;=108099",'LANÇAMENTOS DIÁRIOS'!$P$5:$P$500,"&gt;=108000")&gt;0,"X","")</f>
      </c>
      <c r="AB94" s="56" t="str">
        <f>IF(COUNTIFS('LANÇAMENTOS DIÁRIOS'!$G$5:$G$500,"E",'LANÇAMENTOS DIÁRIOS'!$C$5:$C$500,$A94,'LANÇAMENTOS DIÁRIOS'!$O$5:$O$500,"&lt;=108199",'LANÇAMENTOS DIÁRIOS'!$P$5:$P$500,"&gt;=108100")&gt;0,"X","")</f>
      </c>
      <c r="AC94" s="56" t="str">
        <f>IF(COUNTIFS('LANÇAMENTOS DIÁRIOS'!$G$5:$G$500,"E",'LANÇAMENTOS DIÁRIOS'!$C$5:$C$500,$A94,'LANÇAMENTOS DIÁRIOS'!$O$5:$O$500,"&lt;=108299",'LANÇAMENTOS DIÁRIOS'!$P$5:$P$500,"&gt;=108200")&gt;0,"X","")</f>
      </c>
      <c r="AD94" s="56" t="str">
        <f>IF(COUNTIFS('LANÇAMENTOS DIÁRIOS'!$G$5:$G$500,"E",'LANÇAMENTOS DIÁRIOS'!$C$5:$C$500,$A94,'LANÇAMENTOS DIÁRIOS'!$O$5:$O$500,"&lt;=108399",'LANÇAMENTOS DIÁRIOS'!$P$5:$P$500,"&gt;=108300")&gt;0,"X","")</f>
      </c>
      <c r="AE94" s="56" t="str">
        <f>IF(COUNTIFS('LANÇAMENTOS DIÁRIOS'!$G$5:$G$500,"E",'LANÇAMENTOS DIÁRIOS'!$C$5:$C$500,$A94,'LANÇAMENTOS DIÁRIOS'!$O$5:$O$500,"&lt;=108499",'LANÇAMENTOS DIÁRIOS'!$P$5:$P$500,"&gt;=108400")&gt;0,"X","")</f>
      </c>
      <c r="AF94" s="56" t="str">
        <f>IF(COUNTIFS('LANÇAMENTOS DIÁRIOS'!$G$5:$G$500,"E",'LANÇAMENTOS DIÁRIOS'!$C$5:$C$500,$A94,'LANÇAMENTOS DIÁRIOS'!$O$5:$O$500,"&lt;=108599",'LANÇAMENTOS DIÁRIOS'!$P$5:$P$500,"&gt;=108500")&gt;0,"X","")</f>
      </c>
      <c r="AG94" s="56" t="str">
        <f>IF(COUNTIFS('LANÇAMENTOS DIÁRIOS'!$G$5:$G$500,"E",'LANÇAMENTOS DIÁRIOS'!$C$5:$C$500,$A94,'LANÇAMENTOS DIÁRIOS'!$O$5:$O$500,"&lt;=108699",'LANÇAMENTOS DIÁRIOS'!$P$5:$P$500,"&gt;=108600")&gt;0,"X","")</f>
      </c>
      <c r="AH94" s="56" t="str">
        <f>IF(COUNTIFS('LANÇAMENTOS DIÁRIOS'!$G$5:$G$500,"E",'LANÇAMENTOS DIÁRIOS'!$C$5:$C$500,$A94,'LANÇAMENTOS DIÁRIOS'!$O$5:$O$500,"&lt;=108799",'LANÇAMENTOS DIÁRIOS'!$P$5:$P$500,"&gt;=108700")&gt;0,"X","")</f>
      </c>
      <c r="AI94" s="56" t="str">
        <f>IF(COUNTIFS('LANÇAMENTOS DIÁRIOS'!$G$5:$G$500,"E",'LANÇAMENTOS DIÁRIOS'!$C$5:$C$500,$A94,'LANÇAMENTOS DIÁRIOS'!$O$5:$O$500,"&lt;=108899",'LANÇAMENTOS DIÁRIOS'!$P$5:$P$500,"&gt;=108800")&gt;0,"X","")</f>
      </c>
      <c r="AJ94" s="56" t="str">
        <f>IF(COUNTIFS('LANÇAMENTOS DIÁRIOS'!$G$5:$G$500,"E",'LANÇAMENTOS DIÁRIOS'!$C$5:$C$500,$A94,'LANÇAMENTOS DIÁRIOS'!$O$5:$O$500,"&lt;=108999",'LANÇAMENTOS DIÁRIOS'!$P$5:$P$500,"&gt;=108900")&gt;0,"X","")</f>
      </c>
      <c r="AK94" s="56" t="str">
        <f>IF(COUNTIFS('LANÇAMENTOS DIÁRIOS'!$G$5:$G$500,"E",'LANÇAMENTOS DIÁRIOS'!$C$5:$C$500,$A94,'LANÇAMENTOS DIÁRIOS'!$O$5:$O$500,"&lt;=109099",'LANÇAMENTOS DIÁRIOS'!$P$5:$P$500,"&gt;=109000")&gt;0,"X","")</f>
      </c>
      <c r="AL94" s="56" t="str">
        <f>IF(COUNTIFS('LANÇAMENTOS DIÁRIOS'!$G$5:$G$500,"E",'LANÇAMENTOS DIÁRIOS'!$C$5:$C$500,$A94,'LANÇAMENTOS DIÁRIOS'!$O$5:$O$500,"&lt;=109199",'LANÇAMENTOS DIÁRIOS'!$P$5:$P$500,"&gt;=109100")&gt;0,"X","")</f>
      </c>
      <c r="AM94" s="56" t="str">
        <f>IF(COUNTIFS('LANÇAMENTOS DIÁRIOS'!$G$5:$G$500,"E",'LANÇAMENTOS DIÁRIOS'!$C$5:$C$500,$A94,'LANÇAMENTOS DIÁRIOS'!$O$5:$O$500,"&lt;=109299",'LANÇAMENTOS DIÁRIOS'!$P$5:$P$500,"&gt;=109200")&gt;0,"X","")</f>
      </c>
      <c r="AN94" s="56" t="str">
        <f>IF(COUNTIFS('LANÇAMENTOS DIÁRIOS'!$G$5:$G$500,"E",'LANÇAMENTOS DIÁRIOS'!$C$5:$C$500,$A94,'LANÇAMENTOS DIÁRIOS'!$O$5:$O$500,"&lt;=109399",'LANÇAMENTOS DIÁRIOS'!$P$5:$P$500,"&gt;=109300")&gt;0,"X","")</f>
      </c>
      <c r="AO94" s="56" t="str">
        <f>IF(COUNTIFS('LANÇAMENTOS DIÁRIOS'!$G$5:$G$500,"E",'LANÇAMENTOS DIÁRIOS'!$C$5:$C$500,$A94,'LANÇAMENTOS DIÁRIOS'!$O$5:$O$500,"&lt;=109499",'LANÇAMENTOS DIÁRIOS'!$P$5:$P$500,"&gt;=109400")&gt;0,"X","")</f>
      </c>
      <c r="AP94" s="56" t="str">
        <f>IF(COUNTIFS('LANÇAMENTOS DIÁRIOS'!$G$5:$G$500,"E",'LANÇAMENTOS DIÁRIOS'!$C$5:$C$500,$A94,'LANÇAMENTOS DIÁRIOS'!$O$5:$O$500,"&lt;=109599",'LANÇAMENTOS DIÁRIOS'!$P$5:$P$500,"&gt;=109500")&gt;0,"X","")</f>
      </c>
      <c r="AQ94" s="56" t="str">
        <f>IF(COUNTIFS('LANÇAMENTOS DIÁRIOS'!$G$5:$G$500,"E",'LANÇAMENTOS DIÁRIOS'!$C$5:$C$500,$A94,'LANÇAMENTOS DIÁRIOS'!$O$5:$O$500,"&lt;=109699",'LANÇAMENTOS DIÁRIOS'!$P$5:$P$500,"&gt;=109600")&gt;0,"X","")</f>
      </c>
      <c r="AR94" s="56" t="str">
        <f>IF(COUNTIFS('LANÇAMENTOS DIÁRIOS'!$G$5:$G$500,"E",'LANÇAMENTOS DIÁRIOS'!$C$5:$C$500,$A94,'LANÇAMENTOS DIÁRIOS'!$O$5:$O$500,"&lt;=109799",'LANÇAMENTOS DIÁRIOS'!$P$5:$P$500,"&gt;=109700")&gt;0,"X","")</f>
      </c>
      <c r="AS94" s="56" t="str">
        <f>IF(COUNTIFS('LANÇAMENTOS DIÁRIOS'!$G$5:$G$500,"E",'LANÇAMENTOS DIÁRIOS'!$C$5:$C$500,$A94,'LANÇAMENTOS DIÁRIOS'!$O$5:$O$500,"&lt;=109899",'LANÇAMENTOS DIÁRIOS'!$P$5:$P$500,"&gt;=109800")&gt;0,"X","")</f>
      </c>
      <c r="AT94" s="56" t="str">
        <f>IF(COUNTIFS('LANÇAMENTOS DIÁRIOS'!$G$5:$G$500,"E",'LANÇAMENTOS DIÁRIOS'!$C$5:$C$500,$A94,'LANÇAMENTOS DIÁRIOS'!$O$5:$O$500,"&lt;=109999",'LANÇAMENTOS DIÁRIOS'!$P$5:$P$500,"&gt;=109900")&gt;0,"X","")</f>
      </c>
      <c r="AU94" s="56" t="str">
        <f>IF(COUNTIFS('LANÇAMENTOS DIÁRIOS'!$G$5:$G$500,"E",'LANÇAMENTOS DIÁRIOS'!$C$5:$C$500,$A94,'LANÇAMENTOS DIÁRIOS'!$O$5:$O$500,"&lt;=110099",'LANÇAMENTOS DIÁRIOS'!$P$5:$P$500,"&gt;=110000")&gt;0,"X","")</f>
      </c>
      <c r="AV94" s="56" t="str">
        <f>IF(COUNTIFS('LANÇAMENTOS DIÁRIOS'!$G$5:$G$500,"E",'LANÇAMENTOS DIÁRIOS'!$C$5:$C$500,$A94,'LANÇAMENTOS DIÁRIOS'!$O$5:$O$500,"&lt;=110199",'LANÇAMENTOS DIÁRIOS'!$P$5:$P$500,"&gt;=110100")&gt;0,"X","")</f>
      </c>
      <c r="AW94" s="56" t="str">
        <f>IF(COUNTIFS('LANÇAMENTOS DIÁRIOS'!$G$5:$G$500,"E",'LANÇAMENTOS DIÁRIOS'!$C$5:$C$500,$A94,'LANÇAMENTOS DIÁRIOS'!$O$5:$O$500,"&lt;=110299",'LANÇAMENTOS DIÁRIOS'!$P$5:$P$500,"&gt;=110200")&gt;0,"X","")</f>
      </c>
      <c r="AX94" s="56" t="str">
        <f>IF(COUNTIFS('LANÇAMENTOS DIÁRIOS'!$G$5:$G$500,"E",'LANÇAMENTOS DIÁRIOS'!$C$5:$C$500,$A94,'LANÇAMENTOS DIÁRIOS'!$O$5:$O$500,"&lt;=110399",'LANÇAMENTOS DIÁRIOS'!$P$5:$P$500,"&gt;=110300")&gt;0,"X","")</f>
      </c>
      <c r="AY94" s="56" t="str">
        <f>IF(COUNTIFS('LANÇAMENTOS DIÁRIOS'!$G$5:$G$500,"E",'LANÇAMENTOS DIÁRIOS'!$C$5:$C$500,$A94,'LANÇAMENTOS DIÁRIOS'!$O$5:$O$500,"&lt;=110499",'LANÇAMENTOS DIÁRIOS'!$P$5:$P$500,"&gt;=110400")&gt;0,"X","")</f>
      </c>
      <c r="AZ94" s="56" t="str">
        <f>IF(COUNTIFS('LANÇAMENTOS DIÁRIOS'!$G$5:$G$500,"E",'LANÇAMENTOS DIÁRIOS'!$C$5:$C$500,$A94,'LANÇAMENTOS DIÁRIOS'!$O$5:$O$500,"&lt;=110599",'LANÇAMENTOS DIÁRIOS'!$P$5:$P$500,"&gt;=110500")&gt;0,"X","")</f>
      </c>
      <c r="BA94" s="56" t="str">
        <f>IF(COUNTIFS('LANÇAMENTOS DIÁRIOS'!$G$5:$G$500,"E",'LANÇAMENTOS DIÁRIOS'!$C$5:$C$500,$A94,'LANÇAMENTOS DIÁRIOS'!$O$5:$O$500,"&lt;=110699",'LANÇAMENTOS DIÁRIOS'!$P$5:$P$500,"&gt;=110600")&gt;0,"X","")</f>
      </c>
      <c r="BB94" s="56" t="str">
        <f>IF(COUNTIFS('LANÇAMENTOS DIÁRIOS'!$G$5:$G$500,"E",'LANÇAMENTOS DIÁRIOS'!$C$5:$C$500,$A94,'LANÇAMENTOS DIÁRIOS'!$O$5:$O$500,"&lt;=110799",'LANÇAMENTOS DIÁRIOS'!$P$5:$P$500,"&gt;=110700")&gt;0,"X","")</f>
      </c>
      <c r="BC94" s="56" t="str">
        <f>IF(COUNTIFS('LANÇAMENTOS DIÁRIOS'!$G$5:$G$500,"E",'LANÇAMENTOS DIÁRIOS'!$C$5:$C$500,$A94,'LANÇAMENTOS DIÁRIOS'!$O$5:$O$500,"&lt;=110899",'LANÇAMENTOS DIÁRIOS'!$P$5:$P$500,"&gt;=110800")&gt;0,"X","")</f>
      </c>
      <c r="BD94" s="56" t="str">
        <f>IF(COUNTIFS('LANÇAMENTOS DIÁRIOS'!$G$5:$G$500,"E",'LANÇAMENTOS DIÁRIOS'!$C$5:$C$500,$A94,'LANÇAMENTOS DIÁRIOS'!$O$5:$O$500,"&lt;=110999",'LANÇAMENTOS DIÁRIOS'!$P$5:$P$500,"&gt;=110900")&gt;0,"X","")</f>
      </c>
      <c r="BE94" s="56" t="str">
        <f>IF(COUNTIFS('LANÇAMENTOS DIÁRIOS'!$G$5:$G$500,"E",'LANÇAMENTOS DIÁRIOS'!$C$5:$C$500,$A94,'LANÇAMENTOS DIÁRIOS'!$O$5:$O$500,"&lt;=111099",'LANÇAMENTOS DIÁRIOS'!$P$5:$P$500,"&gt;=111000")&gt;0,"X","")</f>
      </c>
      <c r="BF94" s="56" t="str">
        <f>IF(COUNTIFS('LANÇAMENTOS DIÁRIOS'!$G$5:$G$500,"E",'LANÇAMENTOS DIÁRIOS'!$C$5:$C$500,$A94,'LANÇAMENTOS DIÁRIOS'!$O$5:$O$500,"&lt;=111199",'LANÇAMENTOS DIÁRIOS'!$P$5:$P$500,"&gt;=111100")&gt;0,"X","")</f>
      </c>
      <c r="BG94" s="56" t="str">
        <f>IF(COUNTIFS('LANÇAMENTOS DIÁRIOS'!$G$5:$G$500,"E",'LANÇAMENTOS DIÁRIOS'!$C$5:$C$500,$A94,'LANÇAMENTOS DIÁRIOS'!$O$5:$O$500,"&lt;=111299",'LANÇAMENTOS DIÁRIOS'!$P$5:$P$500,"&gt;=111200")&gt;0,"X","")</f>
      </c>
      <c r="BH94" s="56" t="str">
        <f>IF(COUNTIFS('LANÇAMENTOS DIÁRIOS'!$G$5:$G$500,"E",'LANÇAMENTOS DIÁRIOS'!$C$5:$C$500,$A94,'LANÇAMENTOS DIÁRIOS'!$O$5:$O$500,"&lt;=111399",'LANÇAMENTOS DIÁRIOS'!$P$5:$P$500,"&gt;=111300")&gt;0,"X","")</f>
      </c>
      <c r="BI94" s="56" t="str">
        <f>IF(COUNTIFS('LANÇAMENTOS DIÁRIOS'!$G$5:$G$500,"E",'LANÇAMENTOS DIÁRIOS'!$C$5:$C$500,$A94,'LANÇAMENTOS DIÁRIOS'!$O$5:$O$500,"&lt;=111499",'LANÇAMENTOS DIÁRIOS'!$P$5:$P$500,"&gt;=111400")&gt;0,"X","")</f>
      </c>
      <c r="BJ94" s="56" t="str">
        <f>IF(COUNTIFS('LANÇAMENTOS DIÁRIOS'!$G$5:$G$500,"E",'LANÇAMENTOS DIÁRIOS'!$C$5:$C$500,$A94,'LANÇAMENTOS DIÁRIOS'!$O$5:$O$500,"&lt;=111500",'LANÇAMENTOS DIÁRIOS'!$P$5:$P$500,"&gt;=111500")&gt;0,"X","")</f>
      </c>
    </row>
    <row r="95" ht="19" customHeight="1">
      <c r="A95" s="68" t="str">
        <v>Obras de drenagem superficiais. Sarjetas e Valetas</v>
      </c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</row>
    <row r="96">
      <c r="A96" s="51" t="str">
        <v>Obras de drenagem superficiais. Sarjetas e Valetas</v>
      </c>
      <c r="B96" s="56" t="str">
        <f>IF(COUNTIFS('LANÇAMENTOS DIÁRIOS'!$G$5:$G$500,"E",'LANÇAMENTOS DIÁRIOS'!$C$5:$C$500,$A96,'LANÇAMENTOS DIÁRIOS'!$O$5:$O$500,"&lt;=105599",'LANÇAMENTOS DIÁRIOS'!$P$5:$P$500,"&gt;=105500")&gt;0,"X","")</f>
      </c>
      <c r="C96" s="56" t="str">
        <f>IF(COUNTIFS('LANÇAMENTOS DIÁRIOS'!$G$5:$G$500,"E",'LANÇAMENTOS DIÁRIOS'!$C$5:$C$500,$A96,'LANÇAMENTOS DIÁRIOS'!$O$5:$O$500,"&lt;=105699",'LANÇAMENTOS DIÁRIOS'!$P$5:$P$500,"&gt;=105600")&gt;0,"X","")</f>
      </c>
      <c r="D96" s="56" t="str">
        <f>IF(COUNTIFS('LANÇAMENTOS DIÁRIOS'!$G$5:$G$500,"E",'LANÇAMENTOS DIÁRIOS'!$C$5:$C$500,$A96,'LANÇAMENTOS DIÁRIOS'!$O$5:$O$500,"&lt;=105799",'LANÇAMENTOS DIÁRIOS'!$P$5:$P$500,"&gt;=105700")&gt;0,"X","")</f>
      </c>
      <c r="E96" s="56" t="str">
        <f>IF(COUNTIFS('LANÇAMENTOS DIÁRIOS'!$G$5:$G$500,"E",'LANÇAMENTOS DIÁRIOS'!$C$5:$C$500,$A96,'LANÇAMENTOS DIÁRIOS'!$O$5:$O$500,"&lt;=105899",'LANÇAMENTOS DIÁRIOS'!$P$5:$P$500,"&gt;=105800")&gt;0,"X","")</f>
      </c>
      <c r="F96" s="56" t="str">
        <f>IF(COUNTIFS('LANÇAMENTOS DIÁRIOS'!$G$5:$G$500,"E",'LANÇAMENTOS DIÁRIOS'!$C$5:$C$500,$A96,'LANÇAMENTOS DIÁRIOS'!$O$5:$O$500,"&lt;=105999",'LANÇAMENTOS DIÁRIOS'!$P$5:$P$500,"&gt;=105900")&gt;0,"X","")</f>
      </c>
      <c r="G96" s="56" t="str">
        <f>IF(COUNTIFS('LANÇAMENTOS DIÁRIOS'!$G$5:$G$500,"E",'LANÇAMENTOS DIÁRIOS'!$C$5:$C$500,$A96,'LANÇAMENTOS DIÁRIOS'!$O$5:$O$500,"&lt;=106099",'LANÇAMENTOS DIÁRIOS'!$P$5:$P$500,"&gt;=106000")&gt;0,"X","")</f>
      </c>
      <c r="H96" s="56" t="str">
        <f>IF(COUNTIFS('LANÇAMENTOS DIÁRIOS'!$G$5:$G$500,"E",'LANÇAMENTOS DIÁRIOS'!$C$5:$C$500,$A96,'LANÇAMENTOS DIÁRIOS'!$O$5:$O$500,"&lt;=106199",'LANÇAMENTOS DIÁRIOS'!$P$5:$P$500,"&gt;=106100")&gt;0,"X","")</f>
      </c>
      <c r="I96" s="56" t="str">
        <f>IF(COUNTIFS('LANÇAMENTOS DIÁRIOS'!$G$5:$G$500,"E",'LANÇAMENTOS DIÁRIOS'!$C$5:$C$500,$A96,'LANÇAMENTOS DIÁRIOS'!$O$5:$O$500,"&lt;=106299",'LANÇAMENTOS DIÁRIOS'!$P$5:$P$500,"&gt;=106200")&gt;0,"X","")</f>
      </c>
      <c r="J96" s="56" t="str">
        <f>IF(COUNTIFS('LANÇAMENTOS DIÁRIOS'!$G$5:$G$500,"E",'LANÇAMENTOS DIÁRIOS'!$C$5:$C$500,$A96,'LANÇAMENTOS DIÁRIOS'!$O$5:$O$500,"&lt;=106399",'LANÇAMENTOS DIÁRIOS'!$P$5:$P$500,"&gt;=106300")&gt;0,"X","")</f>
      </c>
      <c r="K96" s="56" t="str">
        <f>IF(COUNTIFS('LANÇAMENTOS DIÁRIOS'!$G$5:$G$500,"E",'LANÇAMENTOS DIÁRIOS'!$C$5:$C$500,$A96,'LANÇAMENTOS DIÁRIOS'!$O$5:$O$500,"&lt;=106499",'LANÇAMENTOS DIÁRIOS'!$P$5:$P$500,"&gt;=106400")&gt;0,"X","")</f>
      </c>
      <c r="L96" s="56" t="str">
        <f>IF(COUNTIFS('LANÇAMENTOS DIÁRIOS'!$G$5:$G$500,"E",'LANÇAMENTOS DIÁRIOS'!$C$5:$C$500,$A96,'LANÇAMENTOS DIÁRIOS'!$O$5:$O$500,"&lt;=106599",'LANÇAMENTOS DIÁRIOS'!$P$5:$P$500,"&gt;=106500")&gt;0,"X","")</f>
      </c>
      <c r="M96" s="56" t="str">
        <f>IF(COUNTIFS('LANÇAMENTOS DIÁRIOS'!$G$5:$G$500,"E",'LANÇAMENTOS DIÁRIOS'!$C$5:$C$500,$A96,'LANÇAMENTOS DIÁRIOS'!$O$5:$O$500,"&lt;=106699",'LANÇAMENTOS DIÁRIOS'!$P$5:$P$500,"&gt;=106600")&gt;0,"X","")</f>
      </c>
      <c r="N96" s="56" t="str">
        <f>IF(COUNTIFS('LANÇAMENTOS DIÁRIOS'!$G$5:$G$500,"E",'LANÇAMENTOS DIÁRIOS'!$C$5:$C$500,$A96,'LANÇAMENTOS DIÁRIOS'!$O$5:$O$500,"&lt;=106799",'LANÇAMENTOS DIÁRIOS'!$P$5:$P$500,"&gt;=106700")&gt;0,"X","")</f>
      </c>
      <c r="O96" s="56" t="str">
        <f>IF(COUNTIFS('LANÇAMENTOS DIÁRIOS'!$G$5:$G$500,"E",'LANÇAMENTOS DIÁRIOS'!$C$5:$C$500,$A96,'LANÇAMENTOS DIÁRIOS'!$O$5:$O$500,"&lt;=106899",'LANÇAMENTOS DIÁRIOS'!$P$5:$P$500,"&gt;=106800")&gt;0,"X","")</f>
      </c>
      <c r="P96" s="56" t="str">
        <f>IF(COUNTIFS('LANÇAMENTOS DIÁRIOS'!$G$5:$G$500,"E",'LANÇAMENTOS DIÁRIOS'!$C$5:$C$500,$A96,'LANÇAMENTOS DIÁRIOS'!$O$5:$O$500,"&lt;=106999",'LANÇAMENTOS DIÁRIOS'!$P$5:$P$500,"&gt;=106900")&gt;0,"X","")</f>
      </c>
      <c r="Q96" s="56" t="str">
        <f>IF(COUNTIFS('LANÇAMENTOS DIÁRIOS'!$G$5:$G$500,"E",'LANÇAMENTOS DIÁRIOS'!$C$5:$C$500,$A96,'LANÇAMENTOS DIÁRIOS'!$O$5:$O$500,"&lt;=107099",'LANÇAMENTOS DIÁRIOS'!$P$5:$P$500,"&gt;=107000")&gt;0,"X","")</f>
      </c>
      <c r="R96" s="56" t="str">
        <f>IF(COUNTIFS('LANÇAMENTOS DIÁRIOS'!$G$5:$G$500,"E",'LANÇAMENTOS DIÁRIOS'!$C$5:$C$500,$A96,'LANÇAMENTOS DIÁRIOS'!$O$5:$O$500,"&lt;=107199",'LANÇAMENTOS DIÁRIOS'!$P$5:$P$500,"&gt;=107100")&gt;0,"X","")</f>
      </c>
      <c r="S96" s="56" t="str">
        <f>IF(COUNTIFS('LANÇAMENTOS DIÁRIOS'!$G$5:$G$500,"E",'LANÇAMENTOS DIÁRIOS'!$C$5:$C$500,$A96,'LANÇAMENTOS DIÁRIOS'!$O$5:$O$500,"&lt;=107299",'LANÇAMENTOS DIÁRIOS'!$P$5:$P$500,"&gt;=107200")&gt;0,"X","")</f>
      </c>
      <c r="T96" s="56" t="str">
        <f>IF(COUNTIFS('LANÇAMENTOS DIÁRIOS'!$G$5:$G$500,"E",'LANÇAMENTOS DIÁRIOS'!$C$5:$C$500,$A96,'LANÇAMENTOS DIÁRIOS'!$O$5:$O$500,"&lt;=107399",'LANÇAMENTOS DIÁRIOS'!$P$5:$P$500,"&gt;=107300")&gt;0,"X","")</f>
      </c>
      <c r="U96" s="56" t="str">
        <f>IF(COUNTIFS('LANÇAMENTOS DIÁRIOS'!$G$5:$G$500,"E",'LANÇAMENTOS DIÁRIOS'!$C$5:$C$500,$A96,'LANÇAMENTOS DIÁRIOS'!$O$5:$O$500,"&lt;=107499",'LANÇAMENTOS DIÁRIOS'!$P$5:$P$500,"&gt;=107400")&gt;0,"X","")</f>
      </c>
      <c r="V96" s="56" t="str">
        <f>IF(COUNTIFS('LANÇAMENTOS DIÁRIOS'!$G$5:$G$500,"E",'LANÇAMENTOS DIÁRIOS'!$C$5:$C$500,$A96,'LANÇAMENTOS DIÁRIOS'!$O$5:$O$500,"&lt;=107599",'LANÇAMENTOS DIÁRIOS'!$P$5:$P$500,"&gt;=107500")&gt;0,"X","")</f>
      </c>
      <c r="W96" s="56" t="str">
        <f>IF(COUNTIFS('LANÇAMENTOS DIÁRIOS'!$G$5:$G$500,"E",'LANÇAMENTOS DIÁRIOS'!$C$5:$C$500,$A96,'LANÇAMENTOS DIÁRIOS'!$O$5:$O$500,"&lt;=107699",'LANÇAMENTOS DIÁRIOS'!$P$5:$P$500,"&gt;=107600")&gt;0,"X","")</f>
      </c>
      <c r="X96" s="56" t="str">
        <f>IF(COUNTIFS('LANÇAMENTOS DIÁRIOS'!$G$5:$G$500,"E",'LANÇAMENTOS DIÁRIOS'!$C$5:$C$500,$A96,'LANÇAMENTOS DIÁRIOS'!$O$5:$O$500,"&lt;=107799",'LANÇAMENTOS DIÁRIOS'!$P$5:$P$500,"&gt;=107700")&gt;0,"X","")</f>
      </c>
      <c r="Y96" s="56" t="str">
        <f>IF(COUNTIFS('LANÇAMENTOS DIÁRIOS'!$G$5:$G$500,"E",'LANÇAMENTOS DIÁRIOS'!$C$5:$C$500,$A96,'LANÇAMENTOS DIÁRIOS'!$O$5:$O$500,"&lt;=107899",'LANÇAMENTOS DIÁRIOS'!$P$5:$P$500,"&gt;=107800")&gt;0,"X","")</f>
      </c>
      <c r="Z96" s="56" t="str">
        <f>IF(COUNTIFS('LANÇAMENTOS DIÁRIOS'!$G$5:$G$500,"E",'LANÇAMENTOS DIÁRIOS'!$C$5:$C$500,$A96,'LANÇAMENTOS DIÁRIOS'!$O$5:$O$500,"&lt;=107999",'LANÇAMENTOS DIÁRIOS'!$P$5:$P$500,"&gt;=107900")&gt;0,"X","")</f>
      </c>
      <c r="AA96" s="56" t="str">
        <f>IF(COUNTIFS('LANÇAMENTOS DIÁRIOS'!$G$5:$G$500,"E",'LANÇAMENTOS DIÁRIOS'!$C$5:$C$500,$A96,'LANÇAMENTOS DIÁRIOS'!$O$5:$O$500,"&lt;=108099",'LANÇAMENTOS DIÁRIOS'!$P$5:$P$500,"&gt;=108000")&gt;0,"X","")</f>
      </c>
      <c r="AB96" s="56" t="str">
        <f>IF(COUNTIFS('LANÇAMENTOS DIÁRIOS'!$G$5:$G$500,"E",'LANÇAMENTOS DIÁRIOS'!$C$5:$C$500,$A96,'LANÇAMENTOS DIÁRIOS'!$O$5:$O$500,"&lt;=108199",'LANÇAMENTOS DIÁRIOS'!$P$5:$P$500,"&gt;=108100")&gt;0,"X","")</f>
      </c>
      <c r="AC96" s="56" t="str">
        <f>IF(COUNTIFS('LANÇAMENTOS DIÁRIOS'!$G$5:$G$500,"E",'LANÇAMENTOS DIÁRIOS'!$C$5:$C$500,$A96,'LANÇAMENTOS DIÁRIOS'!$O$5:$O$500,"&lt;=108299",'LANÇAMENTOS DIÁRIOS'!$P$5:$P$500,"&gt;=108200")&gt;0,"X","")</f>
      </c>
      <c r="AD96" s="56" t="str">
        <f>IF(COUNTIFS('LANÇAMENTOS DIÁRIOS'!$G$5:$G$500,"E",'LANÇAMENTOS DIÁRIOS'!$C$5:$C$500,$A96,'LANÇAMENTOS DIÁRIOS'!$O$5:$O$500,"&lt;=108399",'LANÇAMENTOS DIÁRIOS'!$P$5:$P$500,"&gt;=108300")&gt;0,"X","")</f>
      </c>
      <c r="AE96" s="56" t="str">
        <f>IF(COUNTIFS('LANÇAMENTOS DIÁRIOS'!$G$5:$G$500,"E",'LANÇAMENTOS DIÁRIOS'!$C$5:$C$500,$A96,'LANÇAMENTOS DIÁRIOS'!$O$5:$O$500,"&lt;=108499",'LANÇAMENTOS DIÁRIOS'!$P$5:$P$500,"&gt;=108400")&gt;0,"X","")</f>
      </c>
      <c r="AF96" s="56" t="str">
        <f>IF(COUNTIFS('LANÇAMENTOS DIÁRIOS'!$G$5:$G$500,"E",'LANÇAMENTOS DIÁRIOS'!$C$5:$C$500,$A96,'LANÇAMENTOS DIÁRIOS'!$O$5:$O$500,"&lt;=108599",'LANÇAMENTOS DIÁRIOS'!$P$5:$P$500,"&gt;=108500")&gt;0,"X","")</f>
      </c>
      <c r="AG96" s="56" t="str">
        <f>IF(COUNTIFS('LANÇAMENTOS DIÁRIOS'!$G$5:$G$500,"E",'LANÇAMENTOS DIÁRIOS'!$C$5:$C$500,$A96,'LANÇAMENTOS DIÁRIOS'!$O$5:$O$500,"&lt;=108699",'LANÇAMENTOS DIÁRIOS'!$P$5:$P$500,"&gt;=108600")&gt;0,"X","")</f>
      </c>
      <c r="AH96" s="56" t="str">
        <f>IF(COUNTIFS('LANÇAMENTOS DIÁRIOS'!$G$5:$G$500,"E",'LANÇAMENTOS DIÁRIOS'!$C$5:$C$500,$A96,'LANÇAMENTOS DIÁRIOS'!$O$5:$O$500,"&lt;=108799",'LANÇAMENTOS DIÁRIOS'!$P$5:$P$500,"&gt;=108700")&gt;0,"X","")</f>
      </c>
      <c r="AI96" s="56" t="str">
        <f>IF(COUNTIFS('LANÇAMENTOS DIÁRIOS'!$G$5:$G$500,"E",'LANÇAMENTOS DIÁRIOS'!$C$5:$C$500,$A96,'LANÇAMENTOS DIÁRIOS'!$O$5:$O$500,"&lt;=108899",'LANÇAMENTOS DIÁRIOS'!$P$5:$P$500,"&gt;=108800")&gt;0,"X","")</f>
      </c>
      <c r="AJ96" s="56" t="str">
        <f>IF(COUNTIFS('LANÇAMENTOS DIÁRIOS'!$G$5:$G$500,"E",'LANÇAMENTOS DIÁRIOS'!$C$5:$C$500,$A96,'LANÇAMENTOS DIÁRIOS'!$O$5:$O$500,"&lt;=108999",'LANÇAMENTOS DIÁRIOS'!$P$5:$P$500,"&gt;=108900")&gt;0,"X","")</f>
      </c>
      <c r="AK96" s="56" t="str">
        <f>IF(COUNTIFS('LANÇAMENTOS DIÁRIOS'!$G$5:$G$500,"E",'LANÇAMENTOS DIÁRIOS'!$C$5:$C$500,$A96,'LANÇAMENTOS DIÁRIOS'!$O$5:$O$500,"&lt;=109099",'LANÇAMENTOS DIÁRIOS'!$P$5:$P$500,"&gt;=109000")&gt;0,"X","")</f>
      </c>
      <c r="AL96" s="56" t="str">
        <f>IF(COUNTIFS('LANÇAMENTOS DIÁRIOS'!$G$5:$G$500,"E",'LANÇAMENTOS DIÁRIOS'!$C$5:$C$500,$A96,'LANÇAMENTOS DIÁRIOS'!$O$5:$O$500,"&lt;=109199",'LANÇAMENTOS DIÁRIOS'!$P$5:$P$500,"&gt;=109100")&gt;0,"X","")</f>
      </c>
      <c r="AM96" s="56" t="str">
        <f>IF(COUNTIFS('LANÇAMENTOS DIÁRIOS'!$G$5:$G$500,"E",'LANÇAMENTOS DIÁRIOS'!$C$5:$C$500,$A96,'LANÇAMENTOS DIÁRIOS'!$O$5:$O$500,"&lt;=109299",'LANÇAMENTOS DIÁRIOS'!$P$5:$P$500,"&gt;=109200")&gt;0,"X","")</f>
      </c>
      <c r="AN96" s="56" t="str">
        <f>IF(COUNTIFS('LANÇAMENTOS DIÁRIOS'!$G$5:$G$500,"E",'LANÇAMENTOS DIÁRIOS'!$C$5:$C$500,$A96,'LANÇAMENTOS DIÁRIOS'!$O$5:$O$500,"&lt;=109399",'LANÇAMENTOS DIÁRIOS'!$P$5:$P$500,"&gt;=109300")&gt;0,"X","")</f>
      </c>
      <c r="AO96" s="56" t="str">
        <f>IF(COUNTIFS('LANÇAMENTOS DIÁRIOS'!$G$5:$G$500,"E",'LANÇAMENTOS DIÁRIOS'!$C$5:$C$500,$A96,'LANÇAMENTOS DIÁRIOS'!$O$5:$O$500,"&lt;=109499",'LANÇAMENTOS DIÁRIOS'!$P$5:$P$500,"&gt;=109400")&gt;0,"X","")</f>
      </c>
      <c r="AP96" s="56" t="str">
        <f>IF(COUNTIFS('LANÇAMENTOS DIÁRIOS'!$G$5:$G$500,"E",'LANÇAMENTOS DIÁRIOS'!$C$5:$C$500,$A96,'LANÇAMENTOS DIÁRIOS'!$O$5:$O$500,"&lt;=109599",'LANÇAMENTOS DIÁRIOS'!$P$5:$P$500,"&gt;=109500")&gt;0,"X","")</f>
      </c>
      <c r="AQ96" s="56" t="str">
        <f>IF(COUNTIFS('LANÇAMENTOS DIÁRIOS'!$G$5:$G$500,"E",'LANÇAMENTOS DIÁRIOS'!$C$5:$C$500,$A96,'LANÇAMENTOS DIÁRIOS'!$O$5:$O$500,"&lt;=109699",'LANÇAMENTOS DIÁRIOS'!$P$5:$P$500,"&gt;=109600")&gt;0,"X","")</f>
      </c>
      <c r="AR96" s="56" t="str">
        <f>IF(COUNTIFS('LANÇAMENTOS DIÁRIOS'!$G$5:$G$500,"E",'LANÇAMENTOS DIÁRIOS'!$C$5:$C$500,$A96,'LANÇAMENTOS DIÁRIOS'!$O$5:$O$500,"&lt;=109799",'LANÇAMENTOS DIÁRIOS'!$P$5:$P$500,"&gt;=109700")&gt;0,"X","")</f>
      </c>
      <c r="AS96" s="56" t="str">
        <f>IF(COUNTIFS('LANÇAMENTOS DIÁRIOS'!$G$5:$G$500,"E",'LANÇAMENTOS DIÁRIOS'!$C$5:$C$500,$A96,'LANÇAMENTOS DIÁRIOS'!$O$5:$O$500,"&lt;=109899",'LANÇAMENTOS DIÁRIOS'!$P$5:$P$500,"&gt;=109800")&gt;0,"X","")</f>
      </c>
      <c r="AT96" s="56" t="str">
        <f>IF(COUNTIFS('LANÇAMENTOS DIÁRIOS'!$G$5:$G$500,"E",'LANÇAMENTOS DIÁRIOS'!$C$5:$C$500,$A96,'LANÇAMENTOS DIÁRIOS'!$O$5:$O$500,"&lt;=109999",'LANÇAMENTOS DIÁRIOS'!$P$5:$P$500,"&gt;=109900")&gt;0,"X","")</f>
      </c>
      <c r="AU96" s="56" t="str">
        <f>IF(COUNTIFS('LANÇAMENTOS DIÁRIOS'!$G$5:$G$500,"E",'LANÇAMENTOS DIÁRIOS'!$C$5:$C$500,$A96,'LANÇAMENTOS DIÁRIOS'!$O$5:$O$500,"&lt;=110099",'LANÇAMENTOS DIÁRIOS'!$P$5:$P$500,"&gt;=110000")&gt;0,"X","")</f>
      </c>
      <c r="AV96" s="56" t="str">
        <f>IF(COUNTIFS('LANÇAMENTOS DIÁRIOS'!$G$5:$G$500,"E",'LANÇAMENTOS DIÁRIOS'!$C$5:$C$500,$A96,'LANÇAMENTOS DIÁRIOS'!$O$5:$O$500,"&lt;=110199",'LANÇAMENTOS DIÁRIOS'!$P$5:$P$500,"&gt;=110100")&gt;0,"X","")</f>
      </c>
      <c r="AW96" s="56" t="str">
        <f>IF(COUNTIFS('LANÇAMENTOS DIÁRIOS'!$G$5:$G$500,"E",'LANÇAMENTOS DIÁRIOS'!$C$5:$C$500,$A96,'LANÇAMENTOS DIÁRIOS'!$O$5:$O$500,"&lt;=110299",'LANÇAMENTOS DIÁRIOS'!$P$5:$P$500,"&gt;=110200")&gt;0,"X","")</f>
      </c>
      <c r="AX96" s="56" t="str">
        <f>IF(COUNTIFS('LANÇAMENTOS DIÁRIOS'!$G$5:$G$500,"E",'LANÇAMENTOS DIÁRIOS'!$C$5:$C$500,$A96,'LANÇAMENTOS DIÁRIOS'!$O$5:$O$500,"&lt;=110399",'LANÇAMENTOS DIÁRIOS'!$P$5:$P$500,"&gt;=110300")&gt;0,"X","")</f>
      </c>
      <c r="AY96" s="56" t="str">
        <f>IF(COUNTIFS('LANÇAMENTOS DIÁRIOS'!$G$5:$G$500,"E",'LANÇAMENTOS DIÁRIOS'!$C$5:$C$500,$A96,'LANÇAMENTOS DIÁRIOS'!$O$5:$O$500,"&lt;=110499",'LANÇAMENTOS DIÁRIOS'!$P$5:$P$500,"&gt;=110400")&gt;0,"X","")</f>
      </c>
      <c r="AZ96" s="56" t="str">
        <f>IF(COUNTIFS('LANÇAMENTOS DIÁRIOS'!$G$5:$G$500,"E",'LANÇAMENTOS DIÁRIOS'!$C$5:$C$500,$A96,'LANÇAMENTOS DIÁRIOS'!$O$5:$O$500,"&lt;=110599",'LANÇAMENTOS DIÁRIOS'!$P$5:$P$500,"&gt;=110500")&gt;0,"X","")</f>
      </c>
      <c r="BA96" s="56" t="str">
        <f>IF(COUNTIFS('LANÇAMENTOS DIÁRIOS'!$G$5:$G$500,"E",'LANÇAMENTOS DIÁRIOS'!$C$5:$C$500,$A96,'LANÇAMENTOS DIÁRIOS'!$O$5:$O$500,"&lt;=110699",'LANÇAMENTOS DIÁRIOS'!$P$5:$P$500,"&gt;=110600")&gt;0,"X","")</f>
      </c>
      <c r="BB96" s="56" t="str">
        <f>IF(COUNTIFS('LANÇAMENTOS DIÁRIOS'!$G$5:$G$500,"E",'LANÇAMENTOS DIÁRIOS'!$C$5:$C$500,$A96,'LANÇAMENTOS DIÁRIOS'!$O$5:$O$500,"&lt;=110799",'LANÇAMENTOS DIÁRIOS'!$P$5:$P$500,"&gt;=110700")&gt;0,"X","")</f>
      </c>
      <c r="BC96" s="56" t="str">
        <f>IF(COUNTIFS('LANÇAMENTOS DIÁRIOS'!$G$5:$G$500,"E",'LANÇAMENTOS DIÁRIOS'!$C$5:$C$500,$A96,'LANÇAMENTOS DIÁRIOS'!$O$5:$O$500,"&lt;=110899",'LANÇAMENTOS DIÁRIOS'!$P$5:$P$500,"&gt;=110800")&gt;0,"X","")</f>
      </c>
      <c r="BD96" s="56" t="str">
        <f>IF(COUNTIFS('LANÇAMENTOS DIÁRIOS'!$G$5:$G$500,"E",'LANÇAMENTOS DIÁRIOS'!$C$5:$C$500,$A96,'LANÇAMENTOS DIÁRIOS'!$O$5:$O$500,"&lt;=110999",'LANÇAMENTOS DIÁRIOS'!$P$5:$P$500,"&gt;=110900")&gt;0,"X","")</f>
      </c>
      <c r="BE96" s="56" t="str">
        <f>IF(COUNTIFS('LANÇAMENTOS DIÁRIOS'!$G$5:$G$500,"E",'LANÇAMENTOS DIÁRIOS'!$C$5:$C$500,$A96,'LANÇAMENTOS DIÁRIOS'!$O$5:$O$500,"&lt;=111099",'LANÇAMENTOS DIÁRIOS'!$P$5:$P$500,"&gt;=111000")&gt;0,"X","")</f>
      </c>
      <c r="BF96" s="56" t="str">
        <f>IF(COUNTIFS('LANÇAMENTOS DIÁRIOS'!$G$5:$G$500,"E",'LANÇAMENTOS DIÁRIOS'!$C$5:$C$500,$A96,'LANÇAMENTOS DIÁRIOS'!$O$5:$O$500,"&lt;=111199",'LANÇAMENTOS DIÁRIOS'!$P$5:$P$500,"&gt;=111100")&gt;0,"X","")</f>
      </c>
      <c r="BG96" s="56" t="str">
        <f>IF(COUNTIFS('LANÇAMENTOS DIÁRIOS'!$G$5:$G$500,"E",'LANÇAMENTOS DIÁRIOS'!$C$5:$C$500,$A96,'LANÇAMENTOS DIÁRIOS'!$O$5:$O$500,"&lt;=111299",'LANÇAMENTOS DIÁRIOS'!$P$5:$P$500,"&gt;=111200")&gt;0,"X","")</f>
      </c>
      <c r="BH96" s="56" t="str">
        <f>IF(COUNTIFS('LANÇAMENTOS DIÁRIOS'!$G$5:$G$500,"E",'LANÇAMENTOS DIÁRIOS'!$C$5:$C$500,$A96,'LANÇAMENTOS DIÁRIOS'!$O$5:$O$500,"&lt;=111399",'LANÇAMENTOS DIÁRIOS'!$P$5:$P$500,"&gt;=111300")&gt;0,"X","")</f>
      </c>
      <c r="BI96" s="56" t="str">
        <f>IF(COUNTIFS('LANÇAMENTOS DIÁRIOS'!$G$5:$G$500,"E",'LANÇAMENTOS DIÁRIOS'!$C$5:$C$500,$A96,'LANÇAMENTOS DIÁRIOS'!$O$5:$O$500,"&lt;=111499",'LANÇAMENTOS DIÁRIOS'!$P$5:$P$500,"&gt;=111400")&gt;0,"X","")</f>
      </c>
      <c r="BJ96" s="56" t="str">
        <f>IF(COUNTIFS('LANÇAMENTOS DIÁRIOS'!$G$5:$G$500,"E",'LANÇAMENTOS DIÁRIOS'!$C$5:$C$500,$A96,'LANÇAMENTOS DIÁRIOS'!$O$5:$O$500,"&lt;=111500",'LANÇAMENTOS DIÁRIOS'!$P$5:$P$500,"&gt;=111500")&gt;0,"X","")</f>
      </c>
    </row>
    <row r="97" ht="19" customHeight="1">
      <c r="A97" s="68" t="str">
        <v>Execução de dreno de pavimento e de plataforma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</row>
    <row r="98">
      <c r="A98" s="51" t="str">
        <v>Execução de dreno de pavimento e de plataforma</v>
      </c>
      <c r="B98" s="56" t="str">
        <f>IF(COUNTIFS('LANÇAMENTOS DIÁRIOS'!$G$5:$G$500,"E",'LANÇAMENTOS DIÁRIOS'!$C$5:$C$500,$A98,'LANÇAMENTOS DIÁRIOS'!$O$5:$O$500,"&lt;=105599",'LANÇAMENTOS DIÁRIOS'!$P$5:$P$500,"&gt;=105500")&gt;0,"X","")</f>
      </c>
      <c r="C98" s="56" t="str">
        <f>IF(COUNTIFS('LANÇAMENTOS DIÁRIOS'!$G$5:$G$500,"E",'LANÇAMENTOS DIÁRIOS'!$C$5:$C$500,$A98,'LANÇAMENTOS DIÁRIOS'!$O$5:$O$500,"&lt;=105699",'LANÇAMENTOS DIÁRIOS'!$P$5:$P$500,"&gt;=105600")&gt;0,"X","")</f>
      </c>
      <c r="D98" s="56" t="str">
        <f>IF(COUNTIFS('LANÇAMENTOS DIÁRIOS'!$G$5:$G$500,"E",'LANÇAMENTOS DIÁRIOS'!$C$5:$C$500,$A98,'LANÇAMENTOS DIÁRIOS'!$O$5:$O$500,"&lt;=105799",'LANÇAMENTOS DIÁRIOS'!$P$5:$P$500,"&gt;=105700")&gt;0,"X","")</f>
      </c>
      <c r="E98" s="56" t="str">
        <f>IF(COUNTIFS('LANÇAMENTOS DIÁRIOS'!$G$5:$G$500,"E",'LANÇAMENTOS DIÁRIOS'!$C$5:$C$500,$A98,'LANÇAMENTOS DIÁRIOS'!$O$5:$O$500,"&lt;=105899",'LANÇAMENTOS DIÁRIOS'!$P$5:$P$500,"&gt;=105800")&gt;0,"X","")</f>
      </c>
      <c r="F98" s="56" t="str">
        <f>IF(COUNTIFS('LANÇAMENTOS DIÁRIOS'!$G$5:$G$500,"E",'LANÇAMENTOS DIÁRIOS'!$C$5:$C$500,$A98,'LANÇAMENTOS DIÁRIOS'!$O$5:$O$500,"&lt;=105999",'LANÇAMENTOS DIÁRIOS'!$P$5:$P$500,"&gt;=105900")&gt;0,"X","")</f>
      </c>
      <c r="G98" s="56" t="str">
        <f>IF(COUNTIFS('LANÇAMENTOS DIÁRIOS'!$G$5:$G$500,"E",'LANÇAMENTOS DIÁRIOS'!$C$5:$C$500,$A98,'LANÇAMENTOS DIÁRIOS'!$O$5:$O$500,"&lt;=106099",'LANÇAMENTOS DIÁRIOS'!$P$5:$P$500,"&gt;=106000")&gt;0,"X","")</f>
      </c>
      <c r="H98" s="56" t="str">
        <f>IF(COUNTIFS('LANÇAMENTOS DIÁRIOS'!$G$5:$G$500,"E",'LANÇAMENTOS DIÁRIOS'!$C$5:$C$500,$A98,'LANÇAMENTOS DIÁRIOS'!$O$5:$O$500,"&lt;=106199",'LANÇAMENTOS DIÁRIOS'!$P$5:$P$500,"&gt;=106100")&gt;0,"X","")</f>
      </c>
      <c r="I98" s="56" t="str">
        <f>IF(COUNTIFS('LANÇAMENTOS DIÁRIOS'!$G$5:$G$500,"E",'LANÇAMENTOS DIÁRIOS'!$C$5:$C$500,$A98,'LANÇAMENTOS DIÁRIOS'!$O$5:$O$500,"&lt;=106299",'LANÇAMENTOS DIÁRIOS'!$P$5:$P$500,"&gt;=106200")&gt;0,"X","")</f>
      </c>
      <c r="J98" s="56" t="str">
        <f>IF(COUNTIFS('LANÇAMENTOS DIÁRIOS'!$G$5:$G$500,"E",'LANÇAMENTOS DIÁRIOS'!$C$5:$C$500,$A98,'LANÇAMENTOS DIÁRIOS'!$O$5:$O$500,"&lt;=106399",'LANÇAMENTOS DIÁRIOS'!$P$5:$P$500,"&gt;=106300")&gt;0,"X","")</f>
      </c>
      <c r="K98" s="56" t="str">
        <f>IF(COUNTIFS('LANÇAMENTOS DIÁRIOS'!$G$5:$G$500,"E",'LANÇAMENTOS DIÁRIOS'!$C$5:$C$500,$A98,'LANÇAMENTOS DIÁRIOS'!$O$5:$O$500,"&lt;=106499",'LANÇAMENTOS DIÁRIOS'!$P$5:$P$500,"&gt;=106400")&gt;0,"X","")</f>
      </c>
      <c r="L98" s="56" t="str">
        <f>IF(COUNTIFS('LANÇAMENTOS DIÁRIOS'!$G$5:$G$500,"E",'LANÇAMENTOS DIÁRIOS'!$C$5:$C$500,$A98,'LANÇAMENTOS DIÁRIOS'!$O$5:$O$500,"&lt;=106599",'LANÇAMENTOS DIÁRIOS'!$P$5:$P$500,"&gt;=106500")&gt;0,"X","")</f>
      </c>
      <c r="M98" s="56" t="str">
        <f>IF(COUNTIFS('LANÇAMENTOS DIÁRIOS'!$G$5:$G$500,"E",'LANÇAMENTOS DIÁRIOS'!$C$5:$C$500,$A98,'LANÇAMENTOS DIÁRIOS'!$O$5:$O$500,"&lt;=106699",'LANÇAMENTOS DIÁRIOS'!$P$5:$P$500,"&gt;=106600")&gt;0,"X","")</f>
      </c>
      <c r="N98" s="56" t="str">
        <f>IF(COUNTIFS('LANÇAMENTOS DIÁRIOS'!$G$5:$G$500,"E",'LANÇAMENTOS DIÁRIOS'!$C$5:$C$500,$A98,'LANÇAMENTOS DIÁRIOS'!$O$5:$O$500,"&lt;=106799",'LANÇAMENTOS DIÁRIOS'!$P$5:$P$500,"&gt;=106700")&gt;0,"X","")</f>
      </c>
      <c r="O98" s="56" t="str">
        <f>IF(COUNTIFS('LANÇAMENTOS DIÁRIOS'!$G$5:$G$500,"E",'LANÇAMENTOS DIÁRIOS'!$C$5:$C$500,$A98,'LANÇAMENTOS DIÁRIOS'!$O$5:$O$500,"&lt;=106899",'LANÇAMENTOS DIÁRIOS'!$P$5:$P$500,"&gt;=106800")&gt;0,"X","")</f>
      </c>
      <c r="P98" s="56" t="str">
        <f>IF(COUNTIFS('LANÇAMENTOS DIÁRIOS'!$G$5:$G$500,"E",'LANÇAMENTOS DIÁRIOS'!$C$5:$C$500,$A98,'LANÇAMENTOS DIÁRIOS'!$O$5:$O$500,"&lt;=106999",'LANÇAMENTOS DIÁRIOS'!$P$5:$P$500,"&gt;=106900")&gt;0,"X","")</f>
      </c>
      <c r="Q98" s="56" t="str">
        <f>IF(COUNTIFS('LANÇAMENTOS DIÁRIOS'!$G$5:$G$500,"E",'LANÇAMENTOS DIÁRIOS'!$C$5:$C$500,$A98,'LANÇAMENTOS DIÁRIOS'!$O$5:$O$500,"&lt;=107099",'LANÇAMENTOS DIÁRIOS'!$P$5:$P$500,"&gt;=107000")&gt;0,"X","")</f>
      </c>
      <c r="R98" s="56" t="str">
        <f>IF(COUNTIFS('LANÇAMENTOS DIÁRIOS'!$G$5:$G$500,"E",'LANÇAMENTOS DIÁRIOS'!$C$5:$C$500,$A98,'LANÇAMENTOS DIÁRIOS'!$O$5:$O$500,"&lt;=107199",'LANÇAMENTOS DIÁRIOS'!$P$5:$P$500,"&gt;=107100")&gt;0,"X","")</f>
      </c>
      <c r="S98" s="56" t="str">
        <f>IF(COUNTIFS('LANÇAMENTOS DIÁRIOS'!$G$5:$G$500,"E",'LANÇAMENTOS DIÁRIOS'!$C$5:$C$500,$A98,'LANÇAMENTOS DIÁRIOS'!$O$5:$O$500,"&lt;=107299",'LANÇAMENTOS DIÁRIOS'!$P$5:$P$500,"&gt;=107200")&gt;0,"X","")</f>
      </c>
      <c r="T98" s="56" t="str">
        <f>IF(COUNTIFS('LANÇAMENTOS DIÁRIOS'!$G$5:$G$500,"E",'LANÇAMENTOS DIÁRIOS'!$C$5:$C$500,$A98,'LANÇAMENTOS DIÁRIOS'!$O$5:$O$500,"&lt;=107399",'LANÇAMENTOS DIÁRIOS'!$P$5:$P$500,"&gt;=107300")&gt;0,"X","")</f>
      </c>
      <c r="U98" s="56" t="str">
        <f>IF(COUNTIFS('LANÇAMENTOS DIÁRIOS'!$G$5:$G$500,"E",'LANÇAMENTOS DIÁRIOS'!$C$5:$C$500,$A98,'LANÇAMENTOS DIÁRIOS'!$O$5:$O$500,"&lt;=107499",'LANÇAMENTOS DIÁRIOS'!$P$5:$P$500,"&gt;=107400")&gt;0,"X","")</f>
      </c>
      <c r="V98" s="56" t="str">
        <f>IF(COUNTIFS('LANÇAMENTOS DIÁRIOS'!$G$5:$G$500,"E",'LANÇAMENTOS DIÁRIOS'!$C$5:$C$500,$A98,'LANÇAMENTOS DIÁRIOS'!$O$5:$O$500,"&lt;=107599",'LANÇAMENTOS DIÁRIOS'!$P$5:$P$500,"&gt;=107500")&gt;0,"X","")</f>
      </c>
      <c r="W98" s="56" t="str">
        <f>IF(COUNTIFS('LANÇAMENTOS DIÁRIOS'!$G$5:$G$500,"E",'LANÇAMENTOS DIÁRIOS'!$C$5:$C$500,$A98,'LANÇAMENTOS DIÁRIOS'!$O$5:$O$500,"&lt;=107699",'LANÇAMENTOS DIÁRIOS'!$P$5:$P$500,"&gt;=107600")&gt;0,"X","")</f>
      </c>
      <c r="X98" s="56" t="str">
        <f>IF(COUNTIFS('LANÇAMENTOS DIÁRIOS'!$G$5:$G$500,"E",'LANÇAMENTOS DIÁRIOS'!$C$5:$C$500,$A98,'LANÇAMENTOS DIÁRIOS'!$O$5:$O$500,"&lt;=107799",'LANÇAMENTOS DIÁRIOS'!$P$5:$P$500,"&gt;=107700")&gt;0,"X","")</f>
      </c>
      <c r="Y98" s="56" t="str">
        <f>IF(COUNTIFS('LANÇAMENTOS DIÁRIOS'!$G$5:$G$500,"E",'LANÇAMENTOS DIÁRIOS'!$C$5:$C$500,$A98,'LANÇAMENTOS DIÁRIOS'!$O$5:$O$500,"&lt;=107899",'LANÇAMENTOS DIÁRIOS'!$P$5:$P$500,"&gt;=107800")&gt;0,"X","")</f>
      </c>
      <c r="Z98" s="56" t="str">
        <f>IF(COUNTIFS('LANÇAMENTOS DIÁRIOS'!$G$5:$G$500,"E",'LANÇAMENTOS DIÁRIOS'!$C$5:$C$500,$A98,'LANÇAMENTOS DIÁRIOS'!$O$5:$O$500,"&lt;=107999",'LANÇAMENTOS DIÁRIOS'!$P$5:$P$500,"&gt;=107900")&gt;0,"X","")</f>
      </c>
      <c r="AA98" s="56" t="str">
        <f>IF(COUNTIFS('LANÇAMENTOS DIÁRIOS'!$G$5:$G$500,"E",'LANÇAMENTOS DIÁRIOS'!$C$5:$C$500,$A98,'LANÇAMENTOS DIÁRIOS'!$O$5:$O$500,"&lt;=108099",'LANÇAMENTOS DIÁRIOS'!$P$5:$P$500,"&gt;=108000")&gt;0,"X","")</f>
      </c>
      <c r="AB98" s="56" t="str">
        <f>IF(COUNTIFS('LANÇAMENTOS DIÁRIOS'!$G$5:$G$500,"E",'LANÇAMENTOS DIÁRIOS'!$C$5:$C$500,$A98,'LANÇAMENTOS DIÁRIOS'!$O$5:$O$500,"&lt;=108199",'LANÇAMENTOS DIÁRIOS'!$P$5:$P$500,"&gt;=108100")&gt;0,"X","")</f>
      </c>
      <c r="AC98" s="56" t="str">
        <f>IF(COUNTIFS('LANÇAMENTOS DIÁRIOS'!$G$5:$G$500,"E",'LANÇAMENTOS DIÁRIOS'!$C$5:$C$500,$A98,'LANÇAMENTOS DIÁRIOS'!$O$5:$O$500,"&lt;=108299",'LANÇAMENTOS DIÁRIOS'!$P$5:$P$500,"&gt;=108200")&gt;0,"X","")</f>
      </c>
      <c r="AD98" s="56" t="str">
        <f>IF(COUNTIFS('LANÇAMENTOS DIÁRIOS'!$G$5:$G$500,"E",'LANÇAMENTOS DIÁRIOS'!$C$5:$C$500,$A98,'LANÇAMENTOS DIÁRIOS'!$O$5:$O$500,"&lt;=108399",'LANÇAMENTOS DIÁRIOS'!$P$5:$P$500,"&gt;=108300")&gt;0,"X","")</f>
      </c>
      <c r="AE98" s="56" t="str">
        <f>IF(COUNTIFS('LANÇAMENTOS DIÁRIOS'!$G$5:$G$500,"E",'LANÇAMENTOS DIÁRIOS'!$C$5:$C$500,$A98,'LANÇAMENTOS DIÁRIOS'!$O$5:$O$500,"&lt;=108499",'LANÇAMENTOS DIÁRIOS'!$P$5:$P$500,"&gt;=108400")&gt;0,"X","")</f>
      </c>
      <c r="AF98" s="56" t="str">
        <f>IF(COUNTIFS('LANÇAMENTOS DIÁRIOS'!$G$5:$G$500,"E",'LANÇAMENTOS DIÁRIOS'!$C$5:$C$500,$A98,'LANÇAMENTOS DIÁRIOS'!$O$5:$O$500,"&lt;=108599",'LANÇAMENTOS DIÁRIOS'!$P$5:$P$500,"&gt;=108500")&gt;0,"X","")</f>
      </c>
      <c r="AG98" s="56" t="str">
        <f>IF(COUNTIFS('LANÇAMENTOS DIÁRIOS'!$G$5:$G$500,"E",'LANÇAMENTOS DIÁRIOS'!$C$5:$C$500,$A98,'LANÇAMENTOS DIÁRIOS'!$O$5:$O$500,"&lt;=108699",'LANÇAMENTOS DIÁRIOS'!$P$5:$P$500,"&gt;=108600")&gt;0,"X","")</f>
      </c>
      <c r="AH98" s="56" t="str">
        <f>IF(COUNTIFS('LANÇAMENTOS DIÁRIOS'!$G$5:$G$500,"E",'LANÇAMENTOS DIÁRIOS'!$C$5:$C$500,$A98,'LANÇAMENTOS DIÁRIOS'!$O$5:$O$500,"&lt;=108799",'LANÇAMENTOS DIÁRIOS'!$P$5:$P$500,"&gt;=108700")&gt;0,"X","")</f>
      </c>
      <c r="AI98" s="56" t="str">
        <f>IF(COUNTIFS('LANÇAMENTOS DIÁRIOS'!$G$5:$G$500,"E",'LANÇAMENTOS DIÁRIOS'!$C$5:$C$500,$A98,'LANÇAMENTOS DIÁRIOS'!$O$5:$O$500,"&lt;=108899",'LANÇAMENTOS DIÁRIOS'!$P$5:$P$500,"&gt;=108800")&gt;0,"X","")</f>
      </c>
      <c r="AJ98" s="56" t="str">
        <f>IF(COUNTIFS('LANÇAMENTOS DIÁRIOS'!$G$5:$G$500,"E",'LANÇAMENTOS DIÁRIOS'!$C$5:$C$500,$A98,'LANÇAMENTOS DIÁRIOS'!$O$5:$O$500,"&lt;=108999",'LANÇAMENTOS DIÁRIOS'!$P$5:$P$500,"&gt;=108900")&gt;0,"X","")</f>
      </c>
      <c r="AK98" s="56" t="str">
        <f>IF(COUNTIFS('LANÇAMENTOS DIÁRIOS'!$G$5:$G$500,"E",'LANÇAMENTOS DIÁRIOS'!$C$5:$C$500,$A98,'LANÇAMENTOS DIÁRIOS'!$O$5:$O$500,"&lt;=109099",'LANÇAMENTOS DIÁRIOS'!$P$5:$P$500,"&gt;=109000")&gt;0,"X","")</f>
      </c>
      <c r="AL98" s="56" t="str">
        <f>IF(COUNTIFS('LANÇAMENTOS DIÁRIOS'!$G$5:$G$500,"E",'LANÇAMENTOS DIÁRIOS'!$C$5:$C$500,$A98,'LANÇAMENTOS DIÁRIOS'!$O$5:$O$500,"&lt;=109199",'LANÇAMENTOS DIÁRIOS'!$P$5:$P$500,"&gt;=109100")&gt;0,"X","")</f>
      </c>
      <c r="AM98" s="56" t="str">
        <f>IF(COUNTIFS('LANÇAMENTOS DIÁRIOS'!$G$5:$G$500,"E",'LANÇAMENTOS DIÁRIOS'!$C$5:$C$500,$A98,'LANÇAMENTOS DIÁRIOS'!$O$5:$O$500,"&lt;=109299",'LANÇAMENTOS DIÁRIOS'!$P$5:$P$500,"&gt;=109200")&gt;0,"X","")</f>
      </c>
      <c r="AN98" s="56" t="str">
        <f>IF(COUNTIFS('LANÇAMENTOS DIÁRIOS'!$G$5:$G$500,"E",'LANÇAMENTOS DIÁRIOS'!$C$5:$C$500,$A98,'LANÇAMENTOS DIÁRIOS'!$O$5:$O$500,"&lt;=109399",'LANÇAMENTOS DIÁRIOS'!$P$5:$P$500,"&gt;=109300")&gt;0,"X","")</f>
      </c>
      <c r="AO98" s="56" t="str">
        <f>IF(COUNTIFS('LANÇAMENTOS DIÁRIOS'!$G$5:$G$500,"E",'LANÇAMENTOS DIÁRIOS'!$C$5:$C$500,$A98,'LANÇAMENTOS DIÁRIOS'!$O$5:$O$500,"&lt;=109499",'LANÇAMENTOS DIÁRIOS'!$P$5:$P$500,"&gt;=109400")&gt;0,"X","")</f>
      </c>
      <c r="AP98" s="56" t="str">
        <f>IF(COUNTIFS('LANÇAMENTOS DIÁRIOS'!$G$5:$G$500,"E",'LANÇAMENTOS DIÁRIOS'!$C$5:$C$500,$A98,'LANÇAMENTOS DIÁRIOS'!$O$5:$O$500,"&lt;=109599",'LANÇAMENTOS DIÁRIOS'!$P$5:$P$500,"&gt;=109500")&gt;0,"X","")</f>
      </c>
      <c r="AQ98" s="56" t="str">
        <f>IF(COUNTIFS('LANÇAMENTOS DIÁRIOS'!$G$5:$G$500,"E",'LANÇAMENTOS DIÁRIOS'!$C$5:$C$500,$A98,'LANÇAMENTOS DIÁRIOS'!$O$5:$O$500,"&lt;=109699",'LANÇAMENTOS DIÁRIOS'!$P$5:$P$500,"&gt;=109600")&gt;0,"X","")</f>
      </c>
      <c r="AR98" s="56" t="str">
        <f>IF(COUNTIFS('LANÇAMENTOS DIÁRIOS'!$G$5:$G$500,"E",'LANÇAMENTOS DIÁRIOS'!$C$5:$C$500,$A98,'LANÇAMENTOS DIÁRIOS'!$O$5:$O$500,"&lt;=109799",'LANÇAMENTOS DIÁRIOS'!$P$5:$P$500,"&gt;=109700")&gt;0,"X","")</f>
      </c>
      <c r="AS98" s="56" t="str">
        <f>IF(COUNTIFS('LANÇAMENTOS DIÁRIOS'!$G$5:$G$500,"E",'LANÇAMENTOS DIÁRIOS'!$C$5:$C$500,$A98,'LANÇAMENTOS DIÁRIOS'!$O$5:$O$500,"&lt;=109899",'LANÇAMENTOS DIÁRIOS'!$P$5:$P$500,"&gt;=109800")&gt;0,"X","")</f>
      </c>
      <c r="AT98" s="56" t="str">
        <f>IF(COUNTIFS('LANÇAMENTOS DIÁRIOS'!$G$5:$G$500,"E",'LANÇAMENTOS DIÁRIOS'!$C$5:$C$500,$A98,'LANÇAMENTOS DIÁRIOS'!$O$5:$O$500,"&lt;=109999",'LANÇAMENTOS DIÁRIOS'!$P$5:$P$500,"&gt;=109900")&gt;0,"X","")</f>
      </c>
      <c r="AU98" s="56" t="str">
        <f>IF(COUNTIFS('LANÇAMENTOS DIÁRIOS'!$G$5:$G$500,"E",'LANÇAMENTOS DIÁRIOS'!$C$5:$C$500,$A98,'LANÇAMENTOS DIÁRIOS'!$O$5:$O$500,"&lt;=110099",'LANÇAMENTOS DIÁRIOS'!$P$5:$P$500,"&gt;=110000")&gt;0,"X","")</f>
      </c>
      <c r="AV98" s="56" t="str">
        <f>IF(COUNTIFS('LANÇAMENTOS DIÁRIOS'!$G$5:$G$500,"E",'LANÇAMENTOS DIÁRIOS'!$C$5:$C$500,$A98,'LANÇAMENTOS DIÁRIOS'!$O$5:$O$500,"&lt;=110199",'LANÇAMENTOS DIÁRIOS'!$P$5:$P$500,"&gt;=110100")&gt;0,"X","")</f>
      </c>
      <c r="AW98" s="56" t="str">
        <f>IF(COUNTIFS('LANÇAMENTOS DIÁRIOS'!$G$5:$G$500,"E",'LANÇAMENTOS DIÁRIOS'!$C$5:$C$500,$A98,'LANÇAMENTOS DIÁRIOS'!$O$5:$O$500,"&lt;=110299",'LANÇAMENTOS DIÁRIOS'!$P$5:$P$500,"&gt;=110200")&gt;0,"X","")</f>
      </c>
      <c r="AX98" s="56" t="str">
        <f>IF(COUNTIFS('LANÇAMENTOS DIÁRIOS'!$G$5:$G$500,"E",'LANÇAMENTOS DIÁRIOS'!$C$5:$C$500,$A98,'LANÇAMENTOS DIÁRIOS'!$O$5:$O$500,"&lt;=110399",'LANÇAMENTOS DIÁRIOS'!$P$5:$P$500,"&gt;=110300")&gt;0,"X","")</f>
      </c>
      <c r="AY98" s="56" t="str">
        <f>IF(COUNTIFS('LANÇAMENTOS DIÁRIOS'!$G$5:$G$500,"E",'LANÇAMENTOS DIÁRIOS'!$C$5:$C$500,$A98,'LANÇAMENTOS DIÁRIOS'!$O$5:$O$500,"&lt;=110499",'LANÇAMENTOS DIÁRIOS'!$P$5:$P$500,"&gt;=110400")&gt;0,"X","")</f>
      </c>
      <c r="AZ98" s="56" t="str">
        <f>IF(COUNTIFS('LANÇAMENTOS DIÁRIOS'!$G$5:$G$500,"E",'LANÇAMENTOS DIÁRIOS'!$C$5:$C$500,$A98,'LANÇAMENTOS DIÁRIOS'!$O$5:$O$500,"&lt;=110599",'LANÇAMENTOS DIÁRIOS'!$P$5:$P$500,"&gt;=110500")&gt;0,"X","")</f>
      </c>
      <c r="BA98" s="56" t="str">
        <f>IF(COUNTIFS('LANÇAMENTOS DIÁRIOS'!$G$5:$G$500,"E",'LANÇAMENTOS DIÁRIOS'!$C$5:$C$500,$A98,'LANÇAMENTOS DIÁRIOS'!$O$5:$O$500,"&lt;=110699",'LANÇAMENTOS DIÁRIOS'!$P$5:$P$500,"&gt;=110600")&gt;0,"X","")</f>
      </c>
      <c r="BB98" s="56" t="str">
        <f>IF(COUNTIFS('LANÇAMENTOS DIÁRIOS'!$G$5:$G$500,"E",'LANÇAMENTOS DIÁRIOS'!$C$5:$C$500,$A98,'LANÇAMENTOS DIÁRIOS'!$O$5:$O$500,"&lt;=110799",'LANÇAMENTOS DIÁRIOS'!$P$5:$P$500,"&gt;=110700")&gt;0,"X","")</f>
      </c>
      <c r="BC98" s="56" t="str">
        <f>IF(COUNTIFS('LANÇAMENTOS DIÁRIOS'!$G$5:$G$500,"E",'LANÇAMENTOS DIÁRIOS'!$C$5:$C$500,$A98,'LANÇAMENTOS DIÁRIOS'!$O$5:$O$500,"&lt;=110899",'LANÇAMENTOS DIÁRIOS'!$P$5:$P$500,"&gt;=110800")&gt;0,"X","")</f>
      </c>
      <c r="BD98" s="56" t="str">
        <f>IF(COUNTIFS('LANÇAMENTOS DIÁRIOS'!$G$5:$G$500,"E",'LANÇAMENTOS DIÁRIOS'!$C$5:$C$500,$A98,'LANÇAMENTOS DIÁRIOS'!$O$5:$O$500,"&lt;=110999",'LANÇAMENTOS DIÁRIOS'!$P$5:$P$500,"&gt;=110900")&gt;0,"X","")</f>
      </c>
      <c r="BE98" s="56" t="str">
        <f>IF(COUNTIFS('LANÇAMENTOS DIÁRIOS'!$G$5:$G$500,"E",'LANÇAMENTOS DIÁRIOS'!$C$5:$C$500,$A98,'LANÇAMENTOS DIÁRIOS'!$O$5:$O$500,"&lt;=111099",'LANÇAMENTOS DIÁRIOS'!$P$5:$P$500,"&gt;=111000")&gt;0,"X","")</f>
      </c>
      <c r="BF98" s="56" t="str">
        <f>IF(COUNTIFS('LANÇAMENTOS DIÁRIOS'!$G$5:$G$500,"E",'LANÇAMENTOS DIÁRIOS'!$C$5:$C$500,$A98,'LANÇAMENTOS DIÁRIOS'!$O$5:$O$500,"&lt;=111199",'LANÇAMENTOS DIÁRIOS'!$P$5:$P$500,"&gt;=111100")&gt;0,"X","")</f>
      </c>
      <c r="BG98" s="56" t="str">
        <f>IF(COUNTIFS('LANÇAMENTOS DIÁRIOS'!$G$5:$G$500,"E",'LANÇAMENTOS DIÁRIOS'!$C$5:$C$500,$A98,'LANÇAMENTOS DIÁRIOS'!$O$5:$O$500,"&lt;=111299",'LANÇAMENTOS DIÁRIOS'!$P$5:$P$500,"&gt;=111200")&gt;0,"X","")</f>
      </c>
      <c r="BH98" s="56" t="str">
        <f>IF(COUNTIFS('LANÇAMENTOS DIÁRIOS'!$G$5:$G$500,"E",'LANÇAMENTOS DIÁRIOS'!$C$5:$C$500,$A98,'LANÇAMENTOS DIÁRIOS'!$O$5:$O$500,"&lt;=111399",'LANÇAMENTOS DIÁRIOS'!$P$5:$P$500,"&gt;=111300")&gt;0,"X","")</f>
      </c>
      <c r="BI98" s="56" t="str">
        <f>IF(COUNTIFS('LANÇAMENTOS DIÁRIOS'!$G$5:$G$500,"E",'LANÇAMENTOS DIÁRIOS'!$C$5:$C$500,$A98,'LANÇAMENTOS DIÁRIOS'!$O$5:$O$500,"&lt;=111499",'LANÇAMENTOS DIÁRIOS'!$P$5:$P$500,"&gt;=111400")&gt;0,"X","")</f>
      </c>
      <c r="BJ98" s="56" t="str">
        <f>IF(COUNTIFS('LANÇAMENTOS DIÁRIOS'!$G$5:$G$500,"E",'LANÇAMENTOS DIÁRIOS'!$C$5:$C$500,$A98,'LANÇAMENTOS DIÁRIOS'!$O$5:$O$500,"&lt;=111500",'LANÇAMENTOS DIÁRIOS'!$P$5:$P$500,"&gt;=111500")&gt;0,"X","")</f>
      </c>
    </row>
    <row r="99" ht="21" customHeight="1">
      <c r="A99" s="60" t="str">
        <v>Obras complementares exigidas</v>
      </c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</row>
    <row r="100" ht="19" customHeight="1">
      <c r="A100" s="68" t="str">
        <v>Passagens de fauna e melhorias no habitat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</row>
    <row r="101">
      <c r="A101" s="51" t="str">
        <v>Passagem de fauna adaptada em bueiro</v>
      </c>
      <c r="B101" s="56" t="str">
        <f>IF(COUNTIFS('LANÇAMENTOS DIÁRIOS'!$G$5:$G$500,"E",'LANÇAMENTOS DIÁRIOS'!$C$5:$C$500,$A101,'LANÇAMENTOS DIÁRIOS'!$O$5:$O$500,"&lt;=105599",'LANÇAMENTOS DIÁRIOS'!$P$5:$P$500,"&gt;=105500")&gt;0,"X","")</f>
      </c>
      <c r="C101" s="56" t="str">
        <f>IF(COUNTIFS('LANÇAMENTOS DIÁRIOS'!$G$5:$G$500,"E",'LANÇAMENTOS DIÁRIOS'!$C$5:$C$500,$A101,'LANÇAMENTOS DIÁRIOS'!$O$5:$O$500,"&lt;=105699",'LANÇAMENTOS DIÁRIOS'!$P$5:$P$500,"&gt;=105600")&gt;0,"X","")</f>
      </c>
      <c r="D101" s="56" t="str">
        <f>IF(COUNTIFS('LANÇAMENTOS DIÁRIOS'!$G$5:$G$500,"E",'LANÇAMENTOS DIÁRIOS'!$C$5:$C$500,$A101,'LANÇAMENTOS DIÁRIOS'!$O$5:$O$500,"&lt;=105799",'LANÇAMENTOS DIÁRIOS'!$P$5:$P$500,"&gt;=105700")&gt;0,"X","")</f>
      </c>
      <c r="E101" s="56" t="str">
        <f>IF(COUNTIFS('LANÇAMENTOS DIÁRIOS'!$G$5:$G$500,"E",'LANÇAMENTOS DIÁRIOS'!$C$5:$C$500,$A101,'LANÇAMENTOS DIÁRIOS'!$O$5:$O$500,"&lt;=105899",'LANÇAMENTOS DIÁRIOS'!$P$5:$P$500,"&gt;=105800")&gt;0,"X","")</f>
      </c>
      <c r="F101" s="56" t="str">
        <f>IF(COUNTIFS('LANÇAMENTOS DIÁRIOS'!$G$5:$G$500,"E",'LANÇAMENTOS DIÁRIOS'!$C$5:$C$500,$A101,'LANÇAMENTOS DIÁRIOS'!$O$5:$O$500,"&lt;=105999",'LANÇAMENTOS DIÁRIOS'!$P$5:$P$500,"&gt;=105900")&gt;0,"X","")</f>
      </c>
      <c r="G101" s="56" t="str">
        <f>IF(COUNTIFS('LANÇAMENTOS DIÁRIOS'!$G$5:$G$500,"E",'LANÇAMENTOS DIÁRIOS'!$C$5:$C$500,$A101,'LANÇAMENTOS DIÁRIOS'!$O$5:$O$500,"&lt;=106099",'LANÇAMENTOS DIÁRIOS'!$P$5:$P$500,"&gt;=106000")&gt;0,"X","")</f>
      </c>
      <c r="H101" s="56" t="str">
        <f>IF(COUNTIFS('LANÇAMENTOS DIÁRIOS'!$G$5:$G$500,"E",'LANÇAMENTOS DIÁRIOS'!$C$5:$C$500,$A101,'LANÇAMENTOS DIÁRIOS'!$O$5:$O$500,"&lt;=106199",'LANÇAMENTOS DIÁRIOS'!$P$5:$P$500,"&gt;=106100")&gt;0,"X","")</f>
      </c>
      <c r="I101" s="56" t="str">
        <f>IF(COUNTIFS('LANÇAMENTOS DIÁRIOS'!$G$5:$G$500,"E",'LANÇAMENTOS DIÁRIOS'!$C$5:$C$500,$A101,'LANÇAMENTOS DIÁRIOS'!$O$5:$O$500,"&lt;=106299",'LANÇAMENTOS DIÁRIOS'!$P$5:$P$500,"&gt;=106200")&gt;0,"X","")</f>
      </c>
      <c r="J101" s="56" t="str">
        <f>IF(COUNTIFS('LANÇAMENTOS DIÁRIOS'!$G$5:$G$500,"E",'LANÇAMENTOS DIÁRIOS'!$C$5:$C$500,$A101,'LANÇAMENTOS DIÁRIOS'!$O$5:$O$500,"&lt;=106399",'LANÇAMENTOS DIÁRIOS'!$P$5:$P$500,"&gt;=106300")&gt;0,"X","")</f>
      </c>
      <c r="K101" s="56" t="str">
        <f>IF(COUNTIFS('LANÇAMENTOS DIÁRIOS'!$G$5:$G$500,"E",'LANÇAMENTOS DIÁRIOS'!$C$5:$C$500,$A101,'LANÇAMENTOS DIÁRIOS'!$O$5:$O$500,"&lt;=106499",'LANÇAMENTOS DIÁRIOS'!$P$5:$P$500,"&gt;=106400")&gt;0,"X","")</f>
      </c>
      <c r="L101" s="56" t="str">
        <f>IF(COUNTIFS('LANÇAMENTOS DIÁRIOS'!$G$5:$G$500,"E",'LANÇAMENTOS DIÁRIOS'!$C$5:$C$500,$A101,'LANÇAMENTOS DIÁRIOS'!$O$5:$O$500,"&lt;=106599",'LANÇAMENTOS DIÁRIOS'!$P$5:$P$500,"&gt;=106500")&gt;0,"X","")</f>
      </c>
      <c r="M101" s="56" t="str">
        <f>IF(COUNTIFS('LANÇAMENTOS DIÁRIOS'!$G$5:$G$500,"E",'LANÇAMENTOS DIÁRIOS'!$C$5:$C$500,$A101,'LANÇAMENTOS DIÁRIOS'!$O$5:$O$500,"&lt;=106699",'LANÇAMENTOS DIÁRIOS'!$P$5:$P$500,"&gt;=106600")&gt;0,"X","")</f>
      </c>
      <c r="N101" s="56" t="str">
        <f>IF(COUNTIFS('LANÇAMENTOS DIÁRIOS'!$G$5:$G$500,"E",'LANÇAMENTOS DIÁRIOS'!$C$5:$C$500,$A101,'LANÇAMENTOS DIÁRIOS'!$O$5:$O$500,"&lt;=106799",'LANÇAMENTOS DIÁRIOS'!$P$5:$P$500,"&gt;=106700")&gt;0,"X","")</f>
      </c>
      <c r="O101" s="56" t="str">
        <f>IF(COUNTIFS('LANÇAMENTOS DIÁRIOS'!$G$5:$G$500,"E",'LANÇAMENTOS DIÁRIOS'!$C$5:$C$500,$A101,'LANÇAMENTOS DIÁRIOS'!$O$5:$O$500,"&lt;=106899",'LANÇAMENTOS DIÁRIOS'!$P$5:$P$500,"&gt;=106800")&gt;0,"X","")</f>
      </c>
      <c r="P101" s="56" t="str">
        <f>IF(COUNTIFS('LANÇAMENTOS DIÁRIOS'!$G$5:$G$500,"E",'LANÇAMENTOS DIÁRIOS'!$C$5:$C$500,$A101,'LANÇAMENTOS DIÁRIOS'!$O$5:$O$500,"&lt;=106999",'LANÇAMENTOS DIÁRIOS'!$P$5:$P$500,"&gt;=106900")&gt;0,"X","")</f>
      </c>
      <c r="Q101" s="56" t="str">
        <f>IF(COUNTIFS('LANÇAMENTOS DIÁRIOS'!$G$5:$G$500,"E",'LANÇAMENTOS DIÁRIOS'!$C$5:$C$500,$A101,'LANÇAMENTOS DIÁRIOS'!$O$5:$O$500,"&lt;=107099",'LANÇAMENTOS DIÁRIOS'!$P$5:$P$500,"&gt;=107000")&gt;0,"X","")</f>
      </c>
      <c r="R101" s="56" t="str">
        <f>IF(COUNTIFS('LANÇAMENTOS DIÁRIOS'!$G$5:$G$500,"E",'LANÇAMENTOS DIÁRIOS'!$C$5:$C$500,$A101,'LANÇAMENTOS DIÁRIOS'!$O$5:$O$500,"&lt;=107199",'LANÇAMENTOS DIÁRIOS'!$P$5:$P$500,"&gt;=107100")&gt;0,"X","")</f>
      </c>
      <c r="S101" s="56" t="str">
        <f>IF(COUNTIFS('LANÇAMENTOS DIÁRIOS'!$G$5:$G$500,"E",'LANÇAMENTOS DIÁRIOS'!$C$5:$C$500,$A101,'LANÇAMENTOS DIÁRIOS'!$O$5:$O$500,"&lt;=107299",'LANÇAMENTOS DIÁRIOS'!$P$5:$P$500,"&gt;=107200")&gt;0,"X","")</f>
      </c>
      <c r="T101" s="56" t="str">
        <f>IF(COUNTIFS('LANÇAMENTOS DIÁRIOS'!$G$5:$G$500,"E",'LANÇAMENTOS DIÁRIOS'!$C$5:$C$500,$A101,'LANÇAMENTOS DIÁRIOS'!$O$5:$O$500,"&lt;=107399",'LANÇAMENTOS DIÁRIOS'!$P$5:$P$500,"&gt;=107300")&gt;0,"X","")</f>
      </c>
      <c r="U101" s="56" t="str">
        <f>IF(COUNTIFS('LANÇAMENTOS DIÁRIOS'!$G$5:$G$500,"E",'LANÇAMENTOS DIÁRIOS'!$C$5:$C$500,$A101,'LANÇAMENTOS DIÁRIOS'!$O$5:$O$500,"&lt;=107499",'LANÇAMENTOS DIÁRIOS'!$P$5:$P$500,"&gt;=107400")&gt;0,"X","")</f>
      </c>
      <c r="V101" s="56" t="str">
        <f>IF(COUNTIFS('LANÇAMENTOS DIÁRIOS'!$G$5:$G$500,"E",'LANÇAMENTOS DIÁRIOS'!$C$5:$C$500,$A101,'LANÇAMENTOS DIÁRIOS'!$O$5:$O$500,"&lt;=107599",'LANÇAMENTOS DIÁRIOS'!$P$5:$P$500,"&gt;=107500")&gt;0,"X","")</f>
      </c>
      <c r="W101" s="56" t="str">
        <f>IF(COUNTIFS('LANÇAMENTOS DIÁRIOS'!$G$5:$G$500,"E",'LANÇAMENTOS DIÁRIOS'!$C$5:$C$500,$A101,'LANÇAMENTOS DIÁRIOS'!$O$5:$O$500,"&lt;=107699",'LANÇAMENTOS DIÁRIOS'!$P$5:$P$500,"&gt;=107600")&gt;0,"X","")</f>
      </c>
      <c r="X101" s="56" t="str">
        <f>IF(COUNTIFS('LANÇAMENTOS DIÁRIOS'!$G$5:$G$500,"E",'LANÇAMENTOS DIÁRIOS'!$C$5:$C$500,$A101,'LANÇAMENTOS DIÁRIOS'!$O$5:$O$500,"&lt;=107799",'LANÇAMENTOS DIÁRIOS'!$P$5:$P$500,"&gt;=107700")&gt;0,"X","")</f>
      </c>
      <c r="Y101" s="56" t="str">
        <f>IF(COUNTIFS('LANÇAMENTOS DIÁRIOS'!$G$5:$G$500,"E",'LANÇAMENTOS DIÁRIOS'!$C$5:$C$500,$A101,'LANÇAMENTOS DIÁRIOS'!$O$5:$O$500,"&lt;=107899",'LANÇAMENTOS DIÁRIOS'!$P$5:$P$500,"&gt;=107800")&gt;0,"X","")</f>
      </c>
      <c r="Z101" s="56" t="str">
        <f>IF(COUNTIFS('LANÇAMENTOS DIÁRIOS'!$G$5:$G$500,"E",'LANÇAMENTOS DIÁRIOS'!$C$5:$C$500,$A101,'LANÇAMENTOS DIÁRIOS'!$O$5:$O$500,"&lt;=107999",'LANÇAMENTOS DIÁRIOS'!$P$5:$P$500,"&gt;=107900")&gt;0,"X","")</f>
      </c>
      <c r="AA101" s="56" t="str">
        <f>IF(COUNTIFS('LANÇAMENTOS DIÁRIOS'!$G$5:$G$500,"E",'LANÇAMENTOS DIÁRIOS'!$C$5:$C$500,$A101,'LANÇAMENTOS DIÁRIOS'!$O$5:$O$500,"&lt;=108099",'LANÇAMENTOS DIÁRIOS'!$P$5:$P$500,"&gt;=108000")&gt;0,"X","")</f>
      </c>
      <c r="AB101" s="56" t="str">
        <f>IF(COUNTIFS('LANÇAMENTOS DIÁRIOS'!$G$5:$G$500,"E",'LANÇAMENTOS DIÁRIOS'!$C$5:$C$500,$A101,'LANÇAMENTOS DIÁRIOS'!$O$5:$O$500,"&lt;=108199",'LANÇAMENTOS DIÁRIOS'!$P$5:$P$500,"&gt;=108100")&gt;0,"X","")</f>
      </c>
      <c r="AC101" s="56" t="str">
        <f>IF(COUNTIFS('LANÇAMENTOS DIÁRIOS'!$G$5:$G$500,"E",'LANÇAMENTOS DIÁRIOS'!$C$5:$C$500,$A101,'LANÇAMENTOS DIÁRIOS'!$O$5:$O$500,"&lt;=108299",'LANÇAMENTOS DIÁRIOS'!$P$5:$P$500,"&gt;=108200")&gt;0,"X","")</f>
      </c>
      <c r="AD101" s="56" t="str">
        <f>IF(COUNTIFS('LANÇAMENTOS DIÁRIOS'!$G$5:$G$500,"E",'LANÇAMENTOS DIÁRIOS'!$C$5:$C$500,$A101,'LANÇAMENTOS DIÁRIOS'!$O$5:$O$500,"&lt;=108399",'LANÇAMENTOS DIÁRIOS'!$P$5:$P$500,"&gt;=108300")&gt;0,"X","")</f>
      </c>
      <c r="AE101" s="56" t="str">
        <f>IF(COUNTIFS('LANÇAMENTOS DIÁRIOS'!$G$5:$G$500,"E",'LANÇAMENTOS DIÁRIOS'!$C$5:$C$500,$A101,'LANÇAMENTOS DIÁRIOS'!$O$5:$O$500,"&lt;=108499",'LANÇAMENTOS DIÁRIOS'!$P$5:$P$500,"&gt;=108400")&gt;0,"X","")</f>
      </c>
      <c r="AF101" s="56" t="str">
        <f>IF(COUNTIFS('LANÇAMENTOS DIÁRIOS'!$G$5:$G$500,"E",'LANÇAMENTOS DIÁRIOS'!$C$5:$C$500,$A101,'LANÇAMENTOS DIÁRIOS'!$O$5:$O$500,"&lt;=108599",'LANÇAMENTOS DIÁRIOS'!$P$5:$P$500,"&gt;=108500")&gt;0,"X","")</f>
      </c>
      <c r="AG101" s="56" t="str">
        <f>IF(COUNTIFS('LANÇAMENTOS DIÁRIOS'!$G$5:$G$500,"E",'LANÇAMENTOS DIÁRIOS'!$C$5:$C$500,$A101,'LANÇAMENTOS DIÁRIOS'!$O$5:$O$500,"&lt;=108699",'LANÇAMENTOS DIÁRIOS'!$P$5:$P$500,"&gt;=108600")&gt;0,"X","")</f>
      </c>
      <c r="AH101" s="56" t="str">
        <f>IF(COUNTIFS('LANÇAMENTOS DIÁRIOS'!$G$5:$G$500,"E",'LANÇAMENTOS DIÁRIOS'!$C$5:$C$500,$A101,'LANÇAMENTOS DIÁRIOS'!$O$5:$O$500,"&lt;=108799",'LANÇAMENTOS DIÁRIOS'!$P$5:$P$500,"&gt;=108700")&gt;0,"X","")</f>
      </c>
      <c r="AI101" s="56" t="str">
        <f>IF(COUNTIFS('LANÇAMENTOS DIÁRIOS'!$G$5:$G$500,"E",'LANÇAMENTOS DIÁRIOS'!$C$5:$C$500,$A101,'LANÇAMENTOS DIÁRIOS'!$O$5:$O$500,"&lt;=108899",'LANÇAMENTOS DIÁRIOS'!$P$5:$P$500,"&gt;=108800")&gt;0,"X","")</f>
      </c>
      <c r="AJ101" s="56" t="str">
        <f>IF(COUNTIFS('LANÇAMENTOS DIÁRIOS'!$G$5:$G$500,"E",'LANÇAMENTOS DIÁRIOS'!$C$5:$C$500,$A101,'LANÇAMENTOS DIÁRIOS'!$O$5:$O$500,"&lt;=108999",'LANÇAMENTOS DIÁRIOS'!$P$5:$P$500,"&gt;=108900")&gt;0,"X","")</f>
      </c>
      <c r="AK101" s="56" t="str">
        <f>IF(COUNTIFS('LANÇAMENTOS DIÁRIOS'!$G$5:$G$500,"E",'LANÇAMENTOS DIÁRIOS'!$C$5:$C$500,$A101,'LANÇAMENTOS DIÁRIOS'!$O$5:$O$500,"&lt;=109099",'LANÇAMENTOS DIÁRIOS'!$P$5:$P$500,"&gt;=109000")&gt;0,"X","")</f>
      </c>
      <c r="AL101" s="56" t="str">
        <f>IF(COUNTIFS('LANÇAMENTOS DIÁRIOS'!$G$5:$G$500,"E",'LANÇAMENTOS DIÁRIOS'!$C$5:$C$500,$A101,'LANÇAMENTOS DIÁRIOS'!$O$5:$O$500,"&lt;=109199",'LANÇAMENTOS DIÁRIOS'!$P$5:$P$500,"&gt;=109100")&gt;0,"X","")</f>
      </c>
      <c r="AM101" s="56" t="str">
        <f>IF(COUNTIFS('LANÇAMENTOS DIÁRIOS'!$G$5:$G$500,"E",'LANÇAMENTOS DIÁRIOS'!$C$5:$C$500,$A101,'LANÇAMENTOS DIÁRIOS'!$O$5:$O$500,"&lt;=109299",'LANÇAMENTOS DIÁRIOS'!$P$5:$P$500,"&gt;=109200")&gt;0,"X","")</f>
      </c>
      <c r="AN101" s="56" t="str">
        <f>IF(COUNTIFS('LANÇAMENTOS DIÁRIOS'!$G$5:$G$500,"E",'LANÇAMENTOS DIÁRIOS'!$C$5:$C$500,$A101,'LANÇAMENTOS DIÁRIOS'!$O$5:$O$500,"&lt;=109399",'LANÇAMENTOS DIÁRIOS'!$P$5:$P$500,"&gt;=109300")&gt;0,"X","")</f>
      </c>
      <c r="AO101" s="56" t="str">
        <f>IF(COUNTIFS('LANÇAMENTOS DIÁRIOS'!$G$5:$G$500,"E",'LANÇAMENTOS DIÁRIOS'!$C$5:$C$500,$A101,'LANÇAMENTOS DIÁRIOS'!$O$5:$O$500,"&lt;=109499",'LANÇAMENTOS DIÁRIOS'!$P$5:$P$500,"&gt;=109400")&gt;0,"X","")</f>
      </c>
      <c r="AP101" s="56" t="str">
        <f>IF(COUNTIFS('LANÇAMENTOS DIÁRIOS'!$G$5:$G$500,"E",'LANÇAMENTOS DIÁRIOS'!$C$5:$C$500,$A101,'LANÇAMENTOS DIÁRIOS'!$O$5:$O$500,"&lt;=109599",'LANÇAMENTOS DIÁRIOS'!$P$5:$P$500,"&gt;=109500")&gt;0,"X","")</f>
      </c>
      <c r="AQ101" s="56" t="str">
        <f>IF(COUNTIFS('LANÇAMENTOS DIÁRIOS'!$G$5:$G$500,"E",'LANÇAMENTOS DIÁRIOS'!$C$5:$C$500,$A101,'LANÇAMENTOS DIÁRIOS'!$O$5:$O$500,"&lt;=109699",'LANÇAMENTOS DIÁRIOS'!$P$5:$P$500,"&gt;=109600")&gt;0,"X","")</f>
      </c>
      <c r="AR101" s="56" t="str">
        <f>IF(COUNTIFS('LANÇAMENTOS DIÁRIOS'!$G$5:$G$500,"E",'LANÇAMENTOS DIÁRIOS'!$C$5:$C$500,$A101,'LANÇAMENTOS DIÁRIOS'!$O$5:$O$500,"&lt;=109799",'LANÇAMENTOS DIÁRIOS'!$P$5:$P$500,"&gt;=109700")&gt;0,"X","")</f>
      </c>
      <c r="AS101" s="56" t="str">
        <f>IF(COUNTIFS('LANÇAMENTOS DIÁRIOS'!$G$5:$G$500,"E",'LANÇAMENTOS DIÁRIOS'!$C$5:$C$500,$A101,'LANÇAMENTOS DIÁRIOS'!$O$5:$O$500,"&lt;=109899",'LANÇAMENTOS DIÁRIOS'!$P$5:$P$500,"&gt;=109800")&gt;0,"X","")</f>
      </c>
      <c r="AT101" s="56" t="str">
        <f>IF(COUNTIFS('LANÇAMENTOS DIÁRIOS'!$G$5:$G$500,"E",'LANÇAMENTOS DIÁRIOS'!$C$5:$C$500,$A101,'LANÇAMENTOS DIÁRIOS'!$O$5:$O$500,"&lt;=109999",'LANÇAMENTOS DIÁRIOS'!$P$5:$P$500,"&gt;=109900")&gt;0,"X","")</f>
      </c>
      <c r="AU101" s="56" t="str">
        <f>IF(COUNTIFS('LANÇAMENTOS DIÁRIOS'!$G$5:$G$500,"E",'LANÇAMENTOS DIÁRIOS'!$C$5:$C$500,$A101,'LANÇAMENTOS DIÁRIOS'!$O$5:$O$500,"&lt;=110099",'LANÇAMENTOS DIÁRIOS'!$P$5:$P$500,"&gt;=110000")&gt;0,"X","")</f>
      </c>
      <c r="AV101" s="56" t="str">
        <f>IF(COUNTIFS('LANÇAMENTOS DIÁRIOS'!$G$5:$G$500,"E",'LANÇAMENTOS DIÁRIOS'!$C$5:$C$500,$A101,'LANÇAMENTOS DIÁRIOS'!$O$5:$O$500,"&lt;=110199",'LANÇAMENTOS DIÁRIOS'!$P$5:$P$500,"&gt;=110100")&gt;0,"X","")</f>
      </c>
      <c r="AW101" s="56" t="str">
        <f>IF(COUNTIFS('LANÇAMENTOS DIÁRIOS'!$G$5:$G$500,"E",'LANÇAMENTOS DIÁRIOS'!$C$5:$C$500,$A101,'LANÇAMENTOS DIÁRIOS'!$O$5:$O$500,"&lt;=110299",'LANÇAMENTOS DIÁRIOS'!$P$5:$P$500,"&gt;=110200")&gt;0,"X","")</f>
      </c>
      <c r="AX101" s="56" t="str">
        <f>IF(COUNTIFS('LANÇAMENTOS DIÁRIOS'!$G$5:$G$500,"E",'LANÇAMENTOS DIÁRIOS'!$C$5:$C$500,$A101,'LANÇAMENTOS DIÁRIOS'!$O$5:$O$500,"&lt;=110399",'LANÇAMENTOS DIÁRIOS'!$P$5:$P$500,"&gt;=110300")&gt;0,"X","")</f>
      </c>
      <c r="AY101" s="56" t="str">
        <f>IF(COUNTIFS('LANÇAMENTOS DIÁRIOS'!$G$5:$G$500,"E",'LANÇAMENTOS DIÁRIOS'!$C$5:$C$500,$A101,'LANÇAMENTOS DIÁRIOS'!$O$5:$O$500,"&lt;=110499",'LANÇAMENTOS DIÁRIOS'!$P$5:$P$500,"&gt;=110400")&gt;0,"X","")</f>
      </c>
      <c r="AZ101" s="56" t="str">
        <f>IF(COUNTIFS('LANÇAMENTOS DIÁRIOS'!$G$5:$G$500,"E",'LANÇAMENTOS DIÁRIOS'!$C$5:$C$500,$A101,'LANÇAMENTOS DIÁRIOS'!$O$5:$O$500,"&lt;=110599",'LANÇAMENTOS DIÁRIOS'!$P$5:$P$500,"&gt;=110500")&gt;0,"X","")</f>
      </c>
      <c r="BA101" s="56" t="str">
        <f>IF(COUNTIFS('LANÇAMENTOS DIÁRIOS'!$G$5:$G$500,"E",'LANÇAMENTOS DIÁRIOS'!$C$5:$C$500,$A101,'LANÇAMENTOS DIÁRIOS'!$O$5:$O$500,"&lt;=110699",'LANÇAMENTOS DIÁRIOS'!$P$5:$P$500,"&gt;=110600")&gt;0,"X","")</f>
      </c>
      <c r="BB101" s="56" t="str">
        <f>IF(COUNTIFS('LANÇAMENTOS DIÁRIOS'!$G$5:$G$500,"E",'LANÇAMENTOS DIÁRIOS'!$C$5:$C$500,$A101,'LANÇAMENTOS DIÁRIOS'!$O$5:$O$500,"&lt;=110799",'LANÇAMENTOS DIÁRIOS'!$P$5:$P$500,"&gt;=110700")&gt;0,"X","")</f>
      </c>
      <c r="BC101" s="56" t="str">
        <f>IF(COUNTIFS('LANÇAMENTOS DIÁRIOS'!$G$5:$G$500,"E",'LANÇAMENTOS DIÁRIOS'!$C$5:$C$500,$A101,'LANÇAMENTOS DIÁRIOS'!$O$5:$O$500,"&lt;=110899",'LANÇAMENTOS DIÁRIOS'!$P$5:$P$500,"&gt;=110800")&gt;0,"X","")</f>
      </c>
      <c r="BD101" s="56" t="str">
        <f>IF(COUNTIFS('LANÇAMENTOS DIÁRIOS'!$G$5:$G$500,"E",'LANÇAMENTOS DIÁRIOS'!$C$5:$C$500,$A101,'LANÇAMENTOS DIÁRIOS'!$O$5:$O$500,"&lt;=110999",'LANÇAMENTOS DIÁRIOS'!$P$5:$P$500,"&gt;=110900")&gt;0,"X","")</f>
      </c>
      <c r="BE101" s="56" t="str">
        <f>IF(COUNTIFS('LANÇAMENTOS DIÁRIOS'!$G$5:$G$500,"E",'LANÇAMENTOS DIÁRIOS'!$C$5:$C$500,$A101,'LANÇAMENTOS DIÁRIOS'!$O$5:$O$500,"&lt;=111099",'LANÇAMENTOS DIÁRIOS'!$P$5:$P$500,"&gt;=111000")&gt;0,"X","")</f>
      </c>
      <c r="BF101" s="56" t="str">
        <f>IF(COUNTIFS('LANÇAMENTOS DIÁRIOS'!$G$5:$G$500,"E",'LANÇAMENTOS DIÁRIOS'!$C$5:$C$500,$A101,'LANÇAMENTOS DIÁRIOS'!$O$5:$O$500,"&lt;=111199",'LANÇAMENTOS DIÁRIOS'!$P$5:$P$500,"&gt;=111100")&gt;0,"X","")</f>
      </c>
      <c r="BG101" s="56" t="str">
        <f>IF(COUNTIFS('LANÇAMENTOS DIÁRIOS'!$G$5:$G$500,"E",'LANÇAMENTOS DIÁRIOS'!$C$5:$C$500,$A101,'LANÇAMENTOS DIÁRIOS'!$O$5:$O$500,"&lt;=111299",'LANÇAMENTOS DIÁRIOS'!$P$5:$P$500,"&gt;=111200")&gt;0,"X","")</f>
      </c>
      <c r="BH101" s="56" t="str">
        <f>IF(COUNTIFS('LANÇAMENTOS DIÁRIOS'!$G$5:$G$500,"E",'LANÇAMENTOS DIÁRIOS'!$C$5:$C$500,$A101,'LANÇAMENTOS DIÁRIOS'!$O$5:$O$500,"&lt;=111399",'LANÇAMENTOS DIÁRIOS'!$P$5:$P$500,"&gt;=111300")&gt;0,"X","")</f>
      </c>
      <c r="BI101" s="56" t="str">
        <f>IF(COUNTIFS('LANÇAMENTOS DIÁRIOS'!$G$5:$G$500,"E",'LANÇAMENTOS DIÁRIOS'!$C$5:$C$500,$A101,'LANÇAMENTOS DIÁRIOS'!$O$5:$O$500,"&lt;=111499",'LANÇAMENTOS DIÁRIOS'!$P$5:$P$500,"&gt;=111400")&gt;0,"X","")</f>
      </c>
      <c r="BJ101" s="56" t="str">
        <f>IF(COUNTIFS('LANÇAMENTOS DIÁRIOS'!$G$5:$G$500,"E",'LANÇAMENTOS DIÁRIOS'!$C$5:$C$500,$A101,'LANÇAMENTOS DIÁRIOS'!$O$5:$O$500,"&lt;=111500",'LANÇAMENTOS DIÁRIOS'!$P$5:$P$500,"&gt;=111500")&gt;0,"X","")</f>
      </c>
    </row>
    <row r="102" ht="21" customHeight="1">
      <c r="A102" s="60" t="str">
        <v>Segurança viária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</row>
    <row r="103" ht="19" customHeight="1">
      <c r="A103" s="68" t="str">
        <v>Instalação de barreira de concreto</v>
      </c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</row>
    <row r="104">
      <c r="A104" s="51" t="str">
        <v>Barreira rígida dupla baixa</v>
      </c>
      <c r="B104" s="56" t="str">
        <f>IF(COUNTIFS('LANÇAMENTOS DIÁRIOS'!$G$5:$G$500,"E",'LANÇAMENTOS DIÁRIOS'!$C$5:$C$500,$A104,'LANÇAMENTOS DIÁRIOS'!$O$5:$O$500,"&lt;=105599",'LANÇAMENTOS DIÁRIOS'!$P$5:$P$500,"&gt;=105500")&gt;0,"X","")</f>
      </c>
      <c r="C104" s="56" t="str">
        <f>IF(COUNTIFS('LANÇAMENTOS DIÁRIOS'!$G$5:$G$500,"E",'LANÇAMENTOS DIÁRIOS'!$C$5:$C$500,$A104,'LANÇAMENTOS DIÁRIOS'!$O$5:$O$500,"&lt;=105699",'LANÇAMENTOS DIÁRIOS'!$P$5:$P$500,"&gt;=105600")&gt;0,"X","")</f>
      </c>
      <c r="D104" s="56" t="str">
        <f>IF(COUNTIFS('LANÇAMENTOS DIÁRIOS'!$G$5:$G$500,"E",'LANÇAMENTOS DIÁRIOS'!$C$5:$C$500,$A104,'LANÇAMENTOS DIÁRIOS'!$O$5:$O$500,"&lt;=105799",'LANÇAMENTOS DIÁRIOS'!$P$5:$P$500,"&gt;=105700")&gt;0,"X","")</f>
      </c>
      <c r="E104" s="56" t="str">
        <f>IF(COUNTIFS('LANÇAMENTOS DIÁRIOS'!$G$5:$G$500,"E",'LANÇAMENTOS DIÁRIOS'!$C$5:$C$500,$A104,'LANÇAMENTOS DIÁRIOS'!$O$5:$O$500,"&lt;=105899",'LANÇAMENTOS DIÁRIOS'!$P$5:$P$500,"&gt;=105800")&gt;0,"X","")</f>
      </c>
      <c r="F104" s="56" t="str">
        <f>IF(COUNTIFS('LANÇAMENTOS DIÁRIOS'!$G$5:$G$500,"E",'LANÇAMENTOS DIÁRIOS'!$C$5:$C$500,$A104,'LANÇAMENTOS DIÁRIOS'!$O$5:$O$500,"&lt;=105999",'LANÇAMENTOS DIÁRIOS'!$P$5:$P$500,"&gt;=105900")&gt;0,"X","")</f>
      </c>
      <c r="G104" s="56" t="str">
        <f>IF(COUNTIFS('LANÇAMENTOS DIÁRIOS'!$G$5:$G$500,"E",'LANÇAMENTOS DIÁRIOS'!$C$5:$C$500,$A104,'LANÇAMENTOS DIÁRIOS'!$O$5:$O$500,"&lt;=106099",'LANÇAMENTOS DIÁRIOS'!$P$5:$P$500,"&gt;=106000")&gt;0,"X","")</f>
      </c>
      <c r="H104" s="56" t="str">
        <f>IF(COUNTIFS('LANÇAMENTOS DIÁRIOS'!$G$5:$G$500,"E",'LANÇAMENTOS DIÁRIOS'!$C$5:$C$500,$A104,'LANÇAMENTOS DIÁRIOS'!$O$5:$O$500,"&lt;=106199",'LANÇAMENTOS DIÁRIOS'!$P$5:$P$500,"&gt;=106100")&gt;0,"X","")</f>
      </c>
      <c r="I104" s="56" t="str">
        <f>IF(COUNTIFS('LANÇAMENTOS DIÁRIOS'!$G$5:$G$500,"E",'LANÇAMENTOS DIÁRIOS'!$C$5:$C$500,$A104,'LANÇAMENTOS DIÁRIOS'!$O$5:$O$500,"&lt;=106299",'LANÇAMENTOS DIÁRIOS'!$P$5:$P$500,"&gt;=106200")&gt;0,"X","")</f>
      </c>
      <c r="J104" s="56" t="str">
        <f>IF(COUNTIFS('LANÇAMENTOS DIÁRIOS'!$G$5:$G$500,"E",'LANÇAMENTOS DIÁRIOS'!$C$5:$C$500,$A104,'LANÇAMENTOS DIÁRIOS'!$O$5:$O$500,"&lt;=106399",'LANÇAMENTOS DIÁRIOS'!$P$5:$P$500,"&gt;=106300")&gt;0,"X","")</f>
      </c>
      <c r="K104" s="56" t="str">
        <f>IF(COUNTIFS('LANÇAMENTOS DIÁRIOS'!$G$5:$G$500,"E",'LANÇAMENTOS DIÁRIOS'!$C$5:$C$500,$A104,'LANÇAMENTOS DIÁRIOS'!$O$5:$O$500,"&lt;=106499",'LANÇAMENTOS DIÁRIOS'!$P$5:$P$500,"&gt;=106400")&gt;0,"X","")</f>
      </c>
      <c r="L104" s="56" t="str">
        <f>IF(COUNTIFS('LANÇAMENTOS DIÁRIOS'!$G$5:$G$500,"E",'LANÇAMENTOS DIÁRIOS'!$C$5:$C$500,$A104,'LANÇAMENTOS DIÁRIOS'!$O$5:$O$500,"&lt;=106599",'LANÇAMENTOS DIÁRIOS'!$P$5:$P$500,"&gt;=106500")&gt;0,"X","")</f>
      </c>
      <c r="M104" s="56" t="str">
        <f>IF(COUNTIFS('LANÇAMENTOS DIÁRIOS'!$G$5:$G$500,"E",'LANÇAMENTOS DIÁRIOS'!$C$5:$C$500,$A104,'LANÇAMENTOS DIÁRIOS'!$O$5:$O$500,"&lt;=106699",'LANÇAMENTOS DIÁRIOS'!$P$5:$P$500,"&gt;=106600")&gt;0,"X","")</f>
      </c>
      <c r="N104" s="56" t="str">
        <f>IF(COUNTIFS('LANÇAMENTOS DIÁRIOS'!$G$5:$G$500,"E",'LANÇAMENTOS DIÁRIOS'!$C$5:$C$500,$A104,'LANÇAMENTOS DIÁRIOS'!$O$5:$O$500,"&lt;=106799",'LANÇAMENTOS DIÁRIOS'!$P$5:$P$500,"&gt;=106700")&gt;0,"X","")</f>
      </c>
      <c r="O104" s="56" t="str">
        <f>IF(COUNTIFS('LANÇAMENTOS DIÁRIOS'!$G$5:$G$500,"E",'LANÇAMENTOS DIÁRIOS'!$C$5:$C$500,$A104,'LANÇAMENTOS DIÁRIOS'!$O$5:$O$500,"&lt;=106899",'LANÇAMENTOS DIÁRIOS'!$P$5:$P$500,"&gt;=106800")&gt;0,"X","")</f>
      </c>
      <c r="P104" s="56" t="str">
        <f>IF(COUNTIFS('LANÇAMENTOS DIÁRIOS'!$G$5:$G$500,"E",'LANÇAMENTOS DIÁRIOS'!$C$5:$C$500,$A104,'LANÇAMENTOS DIÁRIOS'!$O$5:$O$500,"&lt;=106999",'LANÇAMENTOS DIÁRIOS'!$P$5:$P$500,"&gt;=106900")&gt;0,"X","")</f>
      </c>
      <c r="Q104" s="56" t="str">
        <f>IF(COUNTIFS('LANÇAMENTOS DIÁRIOS'!$G$5:$G$500,"E",'LANÇAMENTOS DIÁRIOS'!$C$5:$C$500,$A104,'LANÇAMENTOS DIÁRIOS'!$O$5:$O$500,"&lt;=107099",'LANÇAMENTOS DIÁRIOS'!$P$5:$P$500,"&gt;=107000")&gt;0,"X","")</f>
      </c>
      <c r="R104" s="56" t="str">
        <f>IF(COUNTIFS('LANÇAMENTOS DIÁRIOS'!$G$5:$G$500,"E",'LANÇAMENTOS DIÁRIOS'!$C$5:$C$500,$A104,'LANÇAMENTOS DIÁRIOS'!$O$5:$O$500,"&lt;=107199",'LANÇAMENTOS DIÁRIOS'!$P$5:$P$500,"&gt;=107100")&gt;0,"X","")</f>
      </c>
      <c r="S104" s="56" t="str">
        <f>IF(COUNTIFS('LANÇAMENTOS DIÁRIOS'!$G$5:$G$500,"E",'LANÇAMENTOS DIÁRIOS'!$C$5:$C$500,$A104,'LANÇAMENTOS DIÁRIOS'!$O$5:$O$500,"&lt;=107299",'LANÇAMENTOS DIÁRIOS'!$P$5:$P$500,"&gt;=107200")&gt;0,"X","")</f>
      </c>
      <c r="T104" s="56" t="str">
        <f>IF(COUNTIFS('LANÇAMENTOS DIÁRIOS'!$G$5:$G$500,"E",'LANÇAMENTOS DIÁRIOS'!$C$5:$C$500,$A104,'LANÇAMENTOS DIÁRIOS'!$O$5:$O$500,"&lt;=107399",'LANÇAMENTOS DIÁRIOS'!$P$5:$P$500,"&gt;=107300")&gt;0,"X","")</f>
      </c>
      <c r="U104" s="56" t="str">
        <f>IF(COUNTIFS('LANÇAMENTOS DIÁRIOS'!$G$5:$G$500,"E",'LANÇAMENTOS DIÁRIOS'!$C$5:$C$500,$A104,'LANÇAMENTOS DIÁRIOS'!$O$5:$O$500,"&lt;=107499",'LANÇAMENTOS DIÁRIOS'!$P$5:$P$500,"&gt;=107400")&gt;0,"X","")</f>
      </c>
      <c r="V104" s="56" t="str">
        <f>IF(COUNTIFS('LANÇAMENTOS DIÁRIOS'!$G$5:$G$500,"E",'LANÇAMENTOS DIÁRIOS'!$C$5:$C$500,$A104,'LANÇAMENTOS DIÁRIOS'!$O$5:$O$500,"&lt;=107599",'LANÇAMENTOS DIÁRIOS'!$P$5:$P$500,"&gt;=107500")&gt;0,"X","")</f>
      </c>
      <c r="W104" s="56" t="str">
        <f>IF(COUNTIFS('LANÇAMENTOS DIÁRIOS'!$G$5:$G$500,"E",'LANÇAMENTOS DIÁRIOS'!$C$5:$C$500,$A104,'LANÇAMENTOS DIÁRIOS'!$O$5:$O$500,"&lt;=107699",'LANÇAMENTOS DIÁRIOS'!$P$5:$P$500,"&gt;=107600")&gt;0,"X","")</f>
      </c>
      <c r="X104" s="56" t="str">
        <f>IF(COUNTIFS('LANÇAMENTOS DIÁRIOS'!$G$5:$G$500,"E",'LANÇAMENTOS DIÁRIOS'!$C$5:$C$500,$A104,'LANÇAMENTOS DIÁRIOS'!$O$5:$O$500,"&lt;=107799",'LANÇAMENTOS DIÁRIOS'!$P$5:$P$500,"&gt;=107700")&gt;0,"X","")</f>
      </c>
      <c r="Y104" s="56" t="str">
        <f>IF(COUNTIFS('LANÇAMENTOS DIÁRIOS'!$G$5:$G$500,"E",'LANÇAMENTOS DIÁRIOS'!$C$5:$C$500,$A104,'LANÇAMENTOS DIÁRIOS'!$O$5:$O$500,"&lt;=107899",'LANÇAMENTOS DIÁRIOS'!$P$5:$P$500,"&gt;=107800")&gt;0,"X","")</f>
      </c>
      <c r="Z104" s="56" t="str">
        <f>IF(COUNTIFS('LANÇAMENTOS DIÁRIOS'!$G$5:$G$500,"E",'LANÇAMENTOS DIÁRIOS'!$C$5:$C$500,$A104,'LANÇAMENTOS DIÁRIOS'!$O$5:$O$500,"&lt;=107999",'LANÇAMENTOS DIÁRIOS'!$P$5:$P$500,"&gt;=107900")&gt;0,"X","")</f>
      </c>
      <c r="AA104" s="56" t="str">
        <f>IF(COUNTIFS('LANÇAMENTOS DIÁRIOS'!$G$5:$G$500,"E",'LANÇAMENTOS DIÁRIOS'!$C$5:$C$500,$A104,'LANÇAMENTOS DIÁRIOS'!$O$5:$O$500,"&lt;=108099",'LANÇAMENTOS DIÁRIOS'!$P$5:$P$500,"&gt;=108000")&gt;0,"X","")</f>
      </c>
      <c r="AB104" s="56" t="str">
        <f>IF(COUNTIFS('LANÇAMENTOS DIÁRIOS'!$G$5:$G$500,"E",'LANÇAMENTOS DIÁRIOS'!$C$5:$C$500,$A104,'LANÇAMENTOS DIÁRIOS'!$O$5:$O$500,"&lt;=108199",'LANÇAMENTOS DIÁRIOS'!$P$5:$P$500,"&gt;=108100")&gt;0,"X","")</f>
      </c>
      <c r="AC104" s="56" t="str">
        <f>IF(COUNTIFS('LANÇAMENTOS DIÁRIOS'!$G$5:$G$500,"E",'LANÇAMENTOS DIÁRIOS'!$C$5:$C$500,$A104,'LANÇAMENTOS DIÁRIOS'!$O$5:$O$500,"&lt;=108299",'LANÇAMENTOS DIÁRIOS'!$P$5:$P$500,"&gt;=108200")&gt;0,"X","")</f>
      </c>
      <c r="AD104" s="56" t="str">
        <f>IF(COUNTIFS('LANÇAMENTOS DIÁRIOS'!$G$5:$G$500,"E",'LANÇAMENTOS DIÁRIOS'!$C$5:$C$500,$A104,'LANÇAMENTOS DIÁRIOS'!$O$5:$O$500,"&lt;=108399",'LANÇAMENTOS DIÁRIOS'!$P$5:$P$500,"&gt;=108300")&gt;0,"X","")</f>
      </c>
      <c r="AE104" s="56" t="str">
        <f>IF(COUNTIFS('LANÇAMENTOS DIÁRIOS'!$G$5:$G$500,"E",'LANÇAMENTOS DIÁRIOS'!$C$5:$C$500,$A104,'LANÇAMENTOS DIÁRIOS'!$O$5:$O$500,"&lt;=108499",'LANÇAMENTOS DIÁRIOS'!$P$5:$P$500,"&gt;=108400")&gt;0,"X","")</f>
      </c>
      <c r="AF104" s="56" t="str">
        <f>IF(COUNTIFS('LANÇAMENTOS DIÁRIOS'!$G$5:$G$500,"E",'LANÇAMENTOS DIÁRIOS'!$C$5:$C$500,$A104,'LANÇAMENTOS DIÁRIOS'!$O$5:$O$500,"&lt;=108599",'LANÇAMENTOS DIÁRIOS'!$P$5:$P$500,"&gt;=108500")&gt;0,"X","")</f>
      </c>
      <c r="AG104" s="56" t="str">
        <f>IF(COUNTIFS('LANÇAMENTOS DIÁRIOS'!$G$5:$G$500,"E",'LANÇAMENTOS DIÁRIOS'!$C$5:$C$500,$A104,'LANÇAMENTOS DIÁRIOS'!$O$5:$O$500,"&lt;=108699",'LANÇAMENTOS DIÁRIOS'!$P$5:$P$500,"&gt;=108600")&gt;0,"X","")</f>
      </c>
      <c r="AH104" s="56" t="str">
        <f>IF(COUNTIFS('LANÇAMENTOS DIÁRIOS'!$G$5:$G$500,"E",'LANÇAMENTOS DIÁRIOS'!$C$5:$C$500,$A104,'LANÇAMENTOS DIÁRIOS'!$O$5:$O$500,"&lt;=108799",'LANÇAMENTOS DIÁRIOS'!$P$5:$P$500,"&gt;=108700")&gt;0,"X","")</f>
      </c>
      <c r="AI104" s="56" t="str">
        <f>IF(COUNTIFS('LANÇAMENTOS DIÁRIOS'!$G$5:$G$500,"E",'LANÇAMENTOS DIÁRIOS'!$C$5:$C$500,$A104,'LANÇAMENTOS DIÁRIOS'!$O$5:$O$500,"&lt;=108899",'LANÇAMENTOS DIÁRIOS'!$P$5:$P$500,"&gt;=108800")&gt;0,"X","")</f>
      </c>
      <c r="AJ104" s="56" t="str">
        <f>IF(COUNTIFS('LANÇAMENTOS DIÁRIOS'!$G$5:$G$500,"E",'LANÇAMENTOS DIÁRIOS'!$C$5:$C$500,$A104,'LANÇAMENTOS DIÁRIOS'!$O$5:$O$500,"&lt;=108999",'LANÇAMENTOS DIÁRIOS'!$P$5:$P$500,"&gt;=108900")&gt;0,"X","")</f>
      </c>
      <c r="AK104" s="56" t="str">
        <f>IF(COUNTIFS('LANÇAMENTOS DIÁRIOS'!$G$5:$G$500,"E",'LANÇAMENTOS DIÁRIOS'!$C$5:$C$500,$A104,'LANÇAMENTOS DIÁRIOS'!$O$5:$O$500,"&lt;=109099",'LANÇAMENTOS DIÁRIOS'!$P$5:$P$500,"&gt;=109000")&gt;0,"X","")</f>
      </c>
      <c r="AL104" s="56" t="str">
        <f>IF(COUNTIFS('LANÇAMENTOS DIÁRIOS'!$G$5:$G$500,"E",'LANÇAMENTOS DIÁRIOS'!$C$5:$C$500,$A104,'LANÇAMENTOS DIÁRIOS'!$O$5:$O$500,"&lt;=109199",'LANÇAMENTOS DIÁRIOS'!$P$5:$P$500,"&gt;=109100")&gt;0,"X","")</f>
      </c>
      <c r="AM104" s="56" t="str">
        <f>IF(COUNTIFS('LANÇAMENTOS DIÁRIOS'!$G$5:$G$500,"E",'LANÇAMENTOS DIÁRIOS'!$C$5:$C$500,$A104,'LANÇAMENTOS DIÁRIOS'!$O$5:$O$500,"&lt;=109299",'LANÇAMENTOS DIÁRIOS'!$P$5:$P$500,"&gt;=109200")&gt;0,"X","")</f>
      </c>
      <c r="AN104" s="56" t="str">
        <f>IF(COUNTIFS('LANÇAMENTOS DIÁRIOS'!$G$5:$G$500,"E",'LANÇAMENTOS DIÁRIOS'!$C$5:$C$500,$A104,'LANÇAMENTOS DIÁRIOS'!$O$5:$O$500,"&lt;=109399",'LANÇAMENTOS DIÁRIOS'!$P$5:$P$500,"&gt;=109300")&gt;0,"X","")</f>
      </c>
      <c r="AO104" s="56" t="str">
        <f>IF(COUNTIFS('LANÇAMENTOS DIÁRIOS'!$G$5:$G$500,"E",'LANÇAMENTOS DIÁRIOS'!$C$5:$C$500,$A104,'LANÇAMENTOS DIÁRIOS'!$O$5:$O$500,"&lt;=109499",'LANÇAMENTOS DIÁRIOS'!$P$5:$P$500,"&gt;=109400")&gt;0,"X","")</f>
      </c>
      <c r="AP104" s="56" t="str">
        <f>IF(COUNTIFS('LANÇAMENTOS DIÁRIOS'!$G$5:$G$500,"E",'LANÇAMENTOS DIÁRIOS'!$C$5:$C$500,$A104,'LANÇAMENTOS DIÁRIOS'!$O$5:$O$500,"&lt;=109599",'LANÇAMENTOS DIÁRIOS'!$P$5:$P$500,"&gt;=109500")&gt;0,"X","")</f>
      </c>
      <c r="AQ104" s="56" t="str">
        <f>IF(COUNTIFS('LANÇAMENTOS DIÁRIOS'!$G$5:$G$500,"E",'LANÇAMENTOS DIÁRIOS'!$C$5:$C$500,$A104,'LANÇAMENTOS DIÁRIOS'!$O$5:$O$500,"&lt;=109699",'LANÇAMENTOS DIÁRIOS'!$P$5:$P$500,"&gt;=109600")&gt;0,"X","")</f>
      </c>
      <c r="AR104" s="56" t="str">
        <f>IF(COUNTIFS('LANÇAMENTOS DIÁRIOS'!$G$5:$G$500,"E",'LANÇAMENTOS DIÁRIOS'!$C$5:$C$500,$A104,'LANÇAMENTOS DIÁRIOS'!$O$5:$O$500,"&lt;=109799",'LANÇAMENTOS DIÁRIOS'!$P$5:$P$500,"&gt;=109700")&gt;0,"X","")</f>
      </c>
      <c r="AS104" s="56" t="str">
        <f>IF(COUNTIFS('LANÇAMENTOS DIÁRIOS'!$G$5:$G$500,"E",'LANÇAMENTOS DIÁRIOS'!$C$5:$C$500,$A104,'LANÇAMENTOS DIÁRIOS'!$O$5:$O$500,"&lt;=109899",'LANÇAMENTOS DIÁRIOS'!$P$5:$P$500,"&gt;=109800")&gt;0,"X","")</f>
      </c>
      <c r="AT104" s="56" t="str">
        <f>IF(COUNTIFS('LANÇAMENTOS DIÁRIOS'!$G$5:$G$500,"E",'LANÇAMENTOS DIÁRIOS'!$C$5:$C$500,$A104,'LANÇAMENTOS DIÁRIOS'!$O$5:$O$500,"&lt;=109999",'LANÇAMENTOS DIÁRIOS'!$P$5:$P$500,"&gt;=109900")&gt;0,"X","")</f>
      </c>
      <c r="AU104" s="56" t="str">
        <f>IF(COUNTIFS('LANÇAMENTOS DIÁRIOS'!$G$5:$G$500,"E",'LANÇAMENTOS DIÁRIOS'!$C$5:$C$500,$A104,'LANÇAMENTOS DIÁRIOS'!$O$5:$O$500,"&lt;=110099",'LANÇAMENTOS DIÁRIOS'!$P$5:$P$500,"&gt;=110000")&gt;0,"X","")</f>
      </c>
      <c r="AV104" s="56" t="str">
        <f>IF(COUNTIFS('LANÇAMENTOS DIÁRIOS'!$G$5:$G$500,"E",'LANÇAMENTOS DIÁRIOS'!$C$5:$C$500,$A104,'LANÇAMENTOS DIÁRIOS'!$O$5:$O$500,"&lt;=110199",'LANÇAMENTOS DIÁRIOS'!$P$5:$P$500,"&gt;=110100")&gt;0,"X","")</f>
      </c>
      <c r="AW104" s="56" t="str">
        <f>IF(COUNTIFS('LANÇAMENTOS DIÁRIOS'!$G$5:$G$500,"E",'LANÇAMENTOS DIÁRIOS'!$C$5:$C$500,$A104,'LANÇAMENTOS DIÁRIOS'!$O$5:$O$500,"&lt;=110299",'LANÇAMENTOS DIÁRIOS'!$P$5:$P$500,"&gt;=110200")&gt;0,"X","")</f>
      </c>
      <c r="AX104" s="56" t="str">
        <f>IF(COUNTIFS('LANÇAMENTOS DIÁRIOS'!$G$5:$G$500,"E",'LANÇAMENTOS DIÁRIOS'!$C$5:$C$500,$A104,'LANÇAMENTOS DIÁRIOS'!$O$5:$O$500,"&lt;=110399",'LANÇAMENTOS DIÁRIOS'!$P$5:$P$500,"&gt;=110300")&gt;0,"X","")</f>
      </c>
      <c r="AY104" s="56" t="str">
        <f>IF(COUNTIFS('LANÇAMENTOS DIÁRIOS'!$G$5:$G$500,"E",'LANÇAMENTOS DIÁRIOS'!$C$5:$C$500,$A104,'LANÇAMENTOS DIÁRIOS'!$O$5:$O$500,"&lt;=110499",'LANÇAMENTOS DIÁRIOS'!$P$5:$P$500,"&gt;=110400")&gt;0,"X","")</f>
      </c>
      <c r="AZ104" s="56" t="str">
        <f>IF(COUNTIFS('LANÇAMENTOS DIÁRIOS'!$G$5:$G$500,"E",'LANÇAMENTOS DIÁRIOS'!$C$5:$C$500,$A104,'LANÇAMENTOS DIÁRIOS'!$O$5:$O$500,"&lt;=110599",'LANÇAMENTOS DIÁRIOS'!$P$5:$P$500,"&gt;=110500")&gt;0,"X","")</f>
      </c>
      <c r="BA104" s="56" t="str">
        <f>IF(COUNTIFS('LANÇAMENTOS DIÁRIOS'!$G$5:$G$500,"E",'LANÇAMENTOS DIÁRIOS'!$C$5:$C$500,$A104,'LANÇAMENTOS DIÁRIOS'!$O$5:$O$500,"&lt;=110699",'LANÇAMENTOS DIÁRIOS'!$P$5:$P$500,"&gt;=110600")&gt;0,"X","")</f>
      </c>
      <c r="BB104" s="56" t="str">
        <f>IF(COUNTIFS('LANÇAMENTOS DIÁRIOS'!$G$5:$G$500,"E",'LANÇAMENTOS DIÁRIOS'!$C$5:$C$500,$A104,'LANÇAMENTOS DIÁRIOS'!$O$5:$O$500,"&lt;=110799",'LANÇAMENTOS DIÁRIOS'!$P$5:$P$500,"&gt;=110700")&gt;0,"X","")</f>
      </c>
      <c r="BC104" s="56" t="str">
        <f>IF(COUNTIFS('LANÇAMENTOS DIÁRIOS'!$G$5:$G$500,"E",'LANÇAMENTOS DIÁRIOS'!$C$5:$C$500,$A104,'LANÇAMENTOS DIÁRIOS'!$O$5:$O$500,"&lt;=110899",'LANÇAMENTOS DIÁRIOS'!$P$5:$P$500,"&gt;=110800")&gt;0,"X","")</f>
      </c>
      <c r="BD104" s="56" t="str">
        <f>IF(COUNTIFS('LANÇAMENTOS DIÁRIOS'!$G$5:$G$500,"E",'LANÇAMENTOS DIÁRIOS'!$C$5:$C$500,$A104,'LANÇAMENTOS DIÁRIOS'!$O$5:$O$500,"&lt;=110999",'LANÇAMENTOS DIÁRIOS'!$P$5:$P$500,"&gt;=110900")&gt;0,"X","")</f>
      </c>
      <c r="BE104" s="56" t="str">
        <f>IF(COUNTIFS('LANÇAMENTOS DIÁRIOS'!$G$5:$G$500,"E",'LANÇAMENTOS DIÁRIOS'!$C$5:$C$500,$A104,'LANÇAMENTOS DIÁRIOS'!$O$5:$O$500,"&lt;=111099",'LANÇAMENTOS DIÁRIOS'!$P$5:$P$500,"&gt;=111000")&gt;0,"X","")</f>
      </c>
      <c r="BF104" s="56" t="str">
        <f>IF(COUNTIFS('LANÇAMENTOS DIÁRIOS'!$G$5:$G$500,"E",'LANÇAMENTOS DIÁRIOS'!$C$5:$C$500,$A104,'LANÇAMENTOS DIÁRIOS'!$O$5:$O$500,"&lt;=111199",'LANÇAMENTOS DIÁRIOS'!$P$5:$P$500,"&gt;=111100")&gt;0,"X","")</f>
      </c>
      <c r="BG104" s="56" t="str">
        <f>IF(COUNTIFS('LANÇAMENTOS DIÁRIOS'!$G$5:$G$500,"E",'LANÇAMENTOS DIÁRIOS'!$C$5:$C$500,$A104,'LANÇAMENTOS DIÁRIOS'!$O$5:$O$500,"&lt;=111299",'LANÇAMENTOS DIÁRIOS'!$P$5:$P$500,"&gt;=111200")&gt;0,"X","")</f>
      </c>
      <c r="BH104" s="56" t="str">
        <f>IF(COUNTIFS('LANÇAMENTOS DIÁRIOS'!$G$5:$G$500,"E",'LANÇAMENTOS DIÁRIOS'!$C$5:$C$500,$A104,'LANÇAMENTOS DIÁRIOS'!$O$5:$O$500,"&lt;=111399",'LANÇAMENTOS DIÁRIOS'!$P$5:$P$500,"&gt;=111300")&gt;0,"X","")</f>
      </c>
      <c r="BI104" s="56" t="str">
        <f>IF(COUNTIFS('LANÇAMENTOS DIÁRIOS'!$G$5:$G$500,"E",'LANÇAMENTOS DIÁRIOS'!$C$5:$C$500,$A104,'LANÇAMENTOS DIÁRIOS'!$O$5:$O$500,"&lt;=111499",'LANÇAMENTOS DIÁRIOS'!$P$5:$P$500,"&gt;=111400")&gt;0,"X","")</f>
      </c>
      <c r="BJ104" s="56" t="str">
        <f>IF(COUNTIFS('LANÇAMENTOS DIÁRIOS'!$G$5:$G$500,"E",'LANÇAMENTOS DIÁRIOS'!$C$5:$C$500,$A104,'LANÇAMENTOS DIÁRIOS'!$O$5:$O$500,"&lt;=111500",'LANÇAMENTOS DIÁRIOS'!$P$5:$P$500,"&gt;=111500")&gt;0,"X","")</f>
      </c>
    </row>
    <row r="105">
      <c r="A105" s="51" t="str">
        <v>Barreira rígida simples baixa</v>
      </c>
      <c r="B105" s="56" t="str">
        <f>IF(COUNTIFS('LANÇAMENTOS DIÁRIOS'!$G$5:$G$500,"E",'LANÇAMENTOS DIÁRIOS'!$C$5:$C$500,$A105,'LANÇAMENTOS DIÁRIOS'!$O$5:$O$500,"&lt;=105599",'LANÇAMENTOS DIÁRIOS'!$P$5:$P$500,"&gt;=105500")&gt;0,"X","")</f>
      </c>
      <c r="C105" s="56" t="str">
        <f>IF(COUNTIFS('LANÇAMENTOS DIÁRIOS'!$G$5:$G$500,"E",'LANÇAMENTOS DIÁRIOS'!$C$5:$C$500,$A105,'LANÇAMENTOS DIÁRIOS'!$O$5:$O$500,"&lt;=105699",'LANÇAMENTOS DIÁRIOS'!$P$5:$P$500,"&gt;=105600")&gt;0,"X","")</f>
      </c>
      <c r="D105" s="56" t="str">
        <f>IF(COUNTIFS('LANÇAMENTOS DIÁRIOS'!$G$5:$G$500,"E",'LANÇAMENTOS DIÁRIOS'!$C$5:$C$500,$A105,'LANÇAMENTOS DIÁRIOS'!$O$5:$O$500,"&lt;=105799",'LANÇAMENTOS DIÁRIOS'!$P$5:$P$500,"&gt;=105700")&gt;0,"X","")</f>
      </c>
      <c r="E105" s="56" t="str">
        <f>IF(COUNTIFS('LANÇAMENTOS DIÁRIOS'!$G$5:$G$500,"E",'LANÇAMENTOS DIÁRIOS'!$C$5:$C$500,$A105,'LANÇAMENTOS DIÁRIOS'!$O$5:$O$500,"&lt;=105899",'LANÇAMENTOS DIÁRIOS'!$P$5:$P$500,"&gt;=105800")&gt;0,"X","")</f>
      </c>
      <c r="F105" s="56" t="str">
        <f>IF(COUNTIFS('LANÇAMENTOS DIÁRIOS'!$G$5:$G$500,"E",'LANÇAMENTOS DIÁRIOS'!$C$5:$C$500,$A105,'LANÇAMENTOS DIÁRIOS'!$O$5:$O$500,"&lt;=105999",'LANÇAMENTOS DIÁRIOS'!$P$5:$P$500,"&gt;=105900")&gt;0,"X","")</f>
      </c>
      <c r="G105" s="56" t="str">
        <f>IF(COUNTIFS('LANÇAMENTOS DIÁRIOS'!$G$5:$G$500,"E",'LANÇAMENTOS DIÁRIOS'!$C$5:$C$500,$A105,'LANÇAMENTOS DIÁRIOS'!$O$5:$O$500,"&lt;=106099",'LANÇAMENTOS DIÁRIOS'!$P$5:$P$500,"&gt;=106000")&gt;0,"X","")</f>
      </c>
      <c r="H105" s="56" t="str">
        <f>IF(COUNTIFS('LANÇAMENTOS DIÁRIOS'!$G$5:$G$500,"E",'LANÇAMENTOS DIÁRIOS'!$C$5:$C$500,$A105,'LANÇAMENTOS DIÁRIOS'!$O$5:$O$500,"&lt;=106199",'LANÇAMENTOS DIÁRIOS'!$P$5:$P$500,"&gt;=106100")&gt;0,"X","")</f>
      </c>
      <c r="I105" s="56" t="str">
        <f>IF(COUNTIFS('LANÇAMENTOS DIÁRIOS'!$G$5:$G$500,"E",'LANÇAMENTOS DIÁRIOS'!$C$5:$C$500,$A105,'LANÇAMENTOS DIÁRIOS'!$O$5:$O$500,"&lt;=106299",'LANÇAMENTOS DIÁRIOS'!$P$5:$P$500,"&gt;=106200")&gt;0,"X","")</f>
      </c>
      <c r="J105" s="56" t="str">
        <f>IF(COUNTIFS('LANÇAMENTOS DIÁRIOS'!$G$5:$G$500,"E",'LANÇAMENTOS DIÁRIOS'!$C$5:$C$500,$A105,'LANÇAMENTOS DIÁRIOS'!$O$5:$O$500,"&lt;=106399",'LANÇAMENTOS DIÁRIOS'!$P$5:$P$500,"&gt;=106300")&gt;0,"X","")</f>
      </c>
      <c r="K105" s="56" t="str">
        <f>IF(COUNTIFS('LANÇAMENTOS DIÁRIOS'!$G$5:$G$500,"E",'LANÇAMENTOS DIÁRIOS'!$C$5:$C$500,$A105,'LANÇAMENTOS DIÁRIOS'!$O$5:$O$500,"&lt;=106499",'LANÇAMENTOS DIÁRIOS'!$P$5:$P$500,"&gt;=106400")&gt;0,"X","")</f>
      </c>
      <c r="L105" s="56" t="str">
        <f>IF(COUNTIFS('LANÇAMENTOS DIÁRIOS'!$G$5:$G$500,"E",'LANÇAMENTOS DIÁRIOS'!$C$5:$C$500,$A105,'LANÇAMENTOS DIÁRIOS'!$O$5:$O$500,"&lt;=106599",'LANÇAMENTOS DIÁRIOS'!$P$5:$P$500,"&gt;=106500")&gt;0,"X","")</f>
      </c>
      <c r="M105" s="56" t="str">
        <f>IF(COUNTIFS('LANÇAMENTOS DIÁRIOS'!$G$5:$G$500,"E",'LANÇAMENTOS DIÁRIOS'!$C$5:$C$500,$A105,'LANÇAMENTOS DIÁRIOS'!$O$5:$O$500,"&lt;=106699",'LANÇAMENTOS DIÁRIOS'!$P$5:$P$500,"&gt;=106600")&gt;0,"X","")</f>
      </c>
      <c r="N105" s="56" t="str">
        <f>IF(COUNTIFS('LANÇAMENTOS DIÁRIOS'!$G$5:$G$500,"E",'LANÇAMENTOS DIÁRIOS'!$C$5:$C$500,$A105,'LANÇAMENTOS DIÁRIOS'!$O$5:$O$500,"&lt;=106799",'LANÇAMENTOS DIÁRIOS'!$P$5:$P$500,"&gt;=106700")&gt;0,"X","")</f>
      </c>
      <c r="O105" s="56" t="str">
        <f>IF(COUNTIFS('LANÇAMENTOS DIÁRIOS'!$G$5:$G$500,"E",'LANÇAMENTOS DIÁRIOS'!$C$5:$C$500,$A105,'LANÇAMENTOS DIÁRIOS'!$O$5:$O$500,"&lt;=106899",'LANÇAMENTOS DIÁRIOS'!$P$5:$P$500,"&gt;=106800")&gt;0,"X","")</f>
      </c>
      <c r="P105" s="56" t="str">
        <f>IF(COUNTIFS('LANÇAMENTOS DIÁRIOS'!$G$5:$G$500,"E",'LANÇAMENTOS DIÁRIOS'!$C$5:$C$500,$A105,'LANÇAMENTOS DIÁRIOS'!$O$5:$O$500,"&lt;=106999",'LANÇAMENTOS DIÁRIOS'!$P$5:$P$500,"&gt;=106900")&gt;0,"X","")</f>
      </c>
      <c r="Q105" s="56" t="str">
        <f>IF(COUNTIFS('LANÇAMENTOS DIÁRIOS'!$G$5:$G$500,"E",'LANÇAMENTOS DIÁRIOS'!$C$5:$C$500,$A105,'LANÇAMENTOS DIÁRIOS'!$O$5:$O$500,"&lt;=107099",'LANÇAMENTOS DIÁRIOS'!$P$5:$P$500,"&gt;=107000")&gt;0,"X","")</f>
      </c>
      <c r="R105" s="56" t="str">
        <f>IF(COUNTIFS('LANÇAMENTOS DIÁRIOS'!$G$5:$G$500,"E",'LANÇAMENTOS DIÁRIOS'!$C$5:$C$500,$A105,'LANÇAMENTOS DIÁRIOS'!$O$5:$O$500,"&lt;=107199",'LANÇAMENTOS DIÁRIOS'!$P$5:$P$500,"&gt;=107100")&gt;0,"X","")</f>
      </c>
      <c r="S105" s="56" t="str">
        <f>IF(COUNTIFS('LANÇAMENTOS DIÁRIOS'!$G$5:$G$500,"E",'LANÇAMENTOS DIÁRIOS'!$C$5:$C$500,$A105,'LANÇAMENTOS DIÁRIOS'!$O$5:$O$500,"&lt;=107299",'LANÇAMENTOS DIÁRIOS'!$P$5:$P$500,"&gt;=107200")&gt;0,"X","")</f>
      </c>
      <c r="T105" s="56" t="str">
        <f>IF(COUNTIFS('LANÇAMENTOS DIÁRIOS'!$G$5:$G$500,"E",'LANÇAMENTOS DIÁRIOS'!$C$5:$C$500,$A105,'LANÇAMENTOS DIÁRIOS'!$O$5:$O$500,"&lt;=107399",'LANÇAMENTOS DIÁRIOS'!$P$5:$P$500,"&gt;=107300")&gt;0,"X","")</f>
      </c>
      <c r="U105" s="56" t="str">
        <f>IF(COUNTIFS('LANÇAMENTOS DIÁRIOS'!$G$5:$G$500,"E",'LANÇAMENTOS DIÁRIOS'!$C$5:$C$500,$A105,'LANÇAMENTOS DIÁRIOS'!$O$5:$O$500,"&lt;=107499",'LANÇAMENTOS DIÁRIOS'!$P$5:$P$500,"&gt;=107400")&gt;0,"X","")</f>
      </c>
      <c r="V105" s="56" t="str">
        <f>IF(COUNTIFS('LANÇAMENTOS DIÁRIOS'!$G$5:$G$500,"E",'LANÇAMENTOS DIÁRIOS'!$C$5:$C$500,$A105,'LANÇAMENTOS DIÁRIOS'!$O$5:$O$500,"&lt;=107599",'LANÇAMENTOS DIÁRIOS'!$P$5:$P$500,"&gt;=107500")&gt;0,"X","")</f>
      </c>
      <c r="W105" s="56" t="str">
        <f>IF(COUNTIFS('LANÇAMENTOS DIÁRIOS'!$G$5:$G$500,"E",'LANÇAMENTOS DIÁRIOS'!$C$5:$C$500,$A105,'LANÇAMENTOS DIÁRIOS'!$O$5:$O$500,"&lt;=107699",'LANÇAMENTOS DIÁRIOS'!$P$5:$P$500,"&gt;=107600")&gt;0,"X","")</f>
      </c>
      <c r="X105" s="56" t="str">
        <f>IF(COUNTIFS('LANÇAMENTOS DIÁRIOS'!$G$5:$G$500,"E",'LANÇAMENTOS DIÁRIOS'!$C$5:$C$500,$A105,'LANÇAMENTOS DIÁRIOS'!$O$5:$O$500,"&lt;=107799",'LANÇAMENTOS DIÁRIOS'!$P$5:$P$500,"&gt;=107700")&gt;0,"X","")</f>
      </c>
      <c r="Y105" s="56" t="str">
        <f>IF(COUNTIFS('LANÇAMENTOS DIÁRIOS'!$G$5:$G$500,"E",'LANÇAMENTOS DIÁRIOS'!$C$5:$C$500,$A105,'LANÇAMENTOS DIÁRIOS'!$O$5:$O$500,"&lt;=107899",'LANÇAMENTOS DIÁRIOS'!$P$5:$P$500,"&gt;=107800")&gt;0,"X","")</f>
      </c>
      <c r="Z105" s="56" t="str">
        <f>IF(COUNTIFS('LANÇAMENTOS DIÁRIOS'!$G$5:$G$500,"E",'LANÇAMENTOS DIÁRIOS'!$C$5:$C$500,$A105,'LANÇAMENTOS DIÁRIOS'!$O$5:$O$500,"&lt;=107999",'LANÇAMENTOS DIÁRIOS'!$P$5:$P$500,"&gt;=107900")&gt;0,"X","")</f>
      </c>
      <c r="AA105" s="56" t="str">
        <f>IF(COUNTIFS('LANÇAMENTOS DIÁRIOS'!$G$5:$G$500,"E",'LANÇAMENTOS DIÁRIOS'!$C$5:$C$500,$A105,'LANÇAMENTOS DIÁRIOS'!$O$5:$O$500,"&lt;=108099",'LANÇAMENTOS DIÁRIOS'!$P$5:$P$500,"&gt;=108000")&gt;0,"X","")</f>
      </c>
      <c r="AB105" s="56" t="str">
        <f>IF(COUNTIFS('LANÇAMENTOS DIÁRIOS'!$G$5:$G$500,"E",'LANÇAMENTOS DIÁRIOS'!$C$5:$C$500,$A105,'LANÇAMENTOS DIÁRIOS'!$O$5:$O$500,"&lt;=108199",'LANÇAMENTOS DIÁRIOS'!$P$5:$P$500,"&gt;=108100")&gt;0,"X","")</f>
      </c>
      <c r="AC105" s="56" t="str">
        <f>IF(COUNTIFS('LANÇAMENTOS DIÁRIOS'!$G$5:$G$500,"E",'LANÇAMENTOS DIÁRIOS'!$C$5:$C$500,$A105,'LANÇAMENTOS DIÁRIOS'!$O$5:$O$500,"&lt;=108299",'LANÇAMENTOS DIÁRIOS'!$P$5:$P$500,"&gt;=108200")&gt;0,"X","")</f>
      </c>
      <c r="AD105" s="56" t="str">
        <f>IF(COUNTIFS('LANÇAMENTOS DIÁRIOS'!$G$5:$G$500,"E",'LANÇAMENTOS DIÁRIOS'!$C$5:$C$500,$A105,'LANÇAMENTOS DIÁRIOS'!$O$5:$O$500,"&lt;=108399",'LANÇAMENTOS DIÁRIOS'!$P$5:$P$500,"&gt;=108300")&gt;0,"X","")</f>
      </c>
      <c r="AE105" s="56" t="str">
        <f>IF(COUNTIFS('LANÇAMENTOS DIÁRIOS'!$G$5:$G$500,"E",'LANÇAMENTOS DIÁRIOS'!$C$5:$C$500,$A105,'LANÇAMENTOS DIÁRIOS'!$O$5:$O$500,"&lt;=108499",'LANÇAMENTOS DIÁRIOS'!$P$5:$P$500,"&gt;=108400")&gt;0,"X","")</f>
      </c>
      <c r="AF105" s="56" t="str">
        <f>IF(COUNTIFS('LANÇAMENTOS DIÁRIOS'!$G$5:$G$500,"E",'LANÇAMENTOS DIÁRIOS'!$C$5:$C$500,$A105,'LANÇAMENTOS DIÁRIOS'!$O$5:$O$500,"&lt;=108599",'LANÇAMENTOS DIÁRIOS'!$P$5:$P$500,"&gt;=108500")&gt;0,"X","")</f>
      </c>
      <c r="AG105" s="56" t="str">
        <f>IF(COUNTIFS('LANÇAMENTOS DIÁRIOS'!$G$5:$G$500,"E",'LANÇAMENTOS DIÁRIOS'!$C$5:$C$500,$A105,'LANÇAMENTOS DIÁRIOS'!$O$5:$O$500,"&lt;=108699",'LANÇAMENTOS DIÁRIOS'!$P$5:$P$500,"&gt;=108600")&gt;0,"X","")</f>
      </c>
      <c r="AH105" s="56" t="str">
        <f>IF(COUNTIFS('LANÇAMENTOS DIÁRIOS'!$G$5:$G$500,"E",'LANÇAMENTOS DIÁRIOS'!$C$5:$C$500,$A105,'LANÇAMENTOS DIÁRIOS'!$O$5:$O$500,"&lt;=108799",'LANÇAMENTOS DIÁRIOS'!$P$5:$P$500,"&gt;=108700")&gt;0,"X","")</f>
      </c>
      <c r="AI105" s="56" t="str">
        <f>IF(COUNTIFS('LANÇAMENTOS DIÁRIOS'!$G$5:$G$500,"E",'LANÇAMENTOS DIÁRIOS'!$C$5:$C$500,$A105,'LANÇAMENTOS DIÁRIOS'!$O$5:$O$500,"&lt;=108899",'LANÇAMENTOS DIÁRIOS'!$P$5:$P$500,"&gt;=108800")&gt;0,"X","")</f>
      </c>
      <c r="AJ105" s="56" t="str">
        <f>IF(COUNTIFS('LANÇAMENTOS DIÁRIOS'!$G$5:$G$500,"E",'LANÇAMENTOS DIÁRIOS'!$C$5:$C$500,$A105,'LANÇAMENTOS DIÁRIOS'!$O$5:$O$500,"&lt;=108999",'LANÇAMENTOS DIÁRIOS'!$P$5:$P$500,"&gt;=108900")&gt;0,"X","")</f>
      </c>
      <c r="AK105" s="56" t="str">
        <f>IF(COUNTIFS('LANÇAMENTOS DIÁRIOS'!$G$5:$G$500,"E",'LANÇAMENTOS DIÁRIOS'!$C$5:$C$500,$A105,'LANÇAMENTOS DIÁRIOS'!$O$5:$O$500,"&lt;=109099",'LANÇAMENTOS DIÁRIOS'!$P$5:$P$500,"&gt;=109000")&gt;0,"X","")</f>
      </c>
      <c r="AL105" s="56" t="str">
        <f>IF(COUNTIFS('LANÇAMENTOS DIÁRIOS'!$G$5:$G$500,"E",'LANÇAMENTOS DIÁRIOS'!$C$5:$C$500,$A105,'LANÇAMENTOS DIÁRIOS'!$O$5:$O$500,"&lt;=109199",'LANÇAMENTOS DIÁRIOS'!$P$5:$P$500,"&gt;=109100")&gt;0,"X","")</f>
      </c>
      <c r="AM105" s="56" t="str">
        <f>IF(COUNTIFS('LANÇAMENTOS DIÁRIOS'!$G$5:$G$500,"E",'LANÇAMENTOS DIÁRIOS'!$C$5:$C$500,$A105,'LANÇAMENTOS DIÁRIOS'!$O$5:$O$500,"&lt;=109299",'LANÇAMENTOS DIÁRIOS'!$P$5:$P$500,"&gt;=109200")&gt;0,"X","")</f>
      </c>
      <c r="AN105" s="56" t="str">
        <f>IF(COUNTIFS('LANÇAMENTOS DIÁRIOS'!$G$5:$G$500,"E",'LANÇAMENTOS DIÁRIOS'!$C$5:$C$500,$A105,'LANÇAMENTOS DIÁRIOS'!$O$5:$O$500,"&lt;=109399",'LANÇAMENTOS DIÁRIOS'!$P$5:$P$500,"&gt;=109300")&gt;0,"X","")</f>
      </c>
      <c r="AO105" s="56" t="str">
        <f>IF(COUNTIFS('LANÇAMENTOS DIÁRIOS'!$G$5:$G$500,"E",'LANÇAMENTOS DIÁRIOS'!$C$5:$C$500,$A105,'LANÇAMENTOS DIÁRIOS'!$O$5:$O$500,"&lt;=109499",'LANÇAMENTOS DIÁRIOS'!$P$5:$P$500,"&gt;=109400")&gt;0,"X","")</f>
      </c>
      <c r="AP105" s="56" t="str">
        <f>IF(COUNTIFS('LANÇAMENTOS DIÁRIOS'!$G$5:$G$500,"E",'LANÇAMENTOS DIÁRIOS'!$C$5:$C$500,$A105,'LANÇAMENTOS DIÁRIOS'!$O$5:$O$500,"&lt;=109599",'LANÇAMENTOS DIÁRIOS'!$P$5:$P$500,"&gt;=109500")&gt;0,"X","")</f>
      </c>
      <c r="AQ105" s="56" t="str">
        <f>IF(COUNTIFS('LANÇAMENTOS DIÁRIOS'!$G$5:$G$500,"E",'LANÇAMENTOS DIÁRIOS'!$C$5:$C$500,$A105,'LANÇAMENTOS DIÁRIOS'!$O$5:$O$500,"&lt;=109699",'LANÇAMENTOS DIÁRIOS'!$P$5:$P$500,"&gt;=109600")&gt;0,"X","")</f>
      </c>
      <c r="AR105" s="56" t="str">
        <f>IF(COUNTIFS('LANÇAMENTOS DIÁRIOS'!$G$5:$G$500,"E",'LANÇAMENTOS DIÁRIOS'!$C$5:$C$500,$A105,'LANÇAMENTOS DIÁRIOS'!$O$5:$O$500,"&lt;=109799",'LANÇAMENTOS DIÁRIOS'!$P$5:$P$500,"&gt;=109700")&gt;0,"X","")</f>
      </c>
      <c r="AS105" s="56" t="str">
        <f>IF(COUNTIFS('LANÇAMENTOS DIÁRIOS'!$G$5:$G$500,"E",'LANÇAMENTOS DIÁRIOS'!$C$5:$C$500,$A105,'LANÇAMENTOS DIÁRIOS'!$O$5:$O$500,"&lt;=109899",'LANÇAMENTOS DIÁRIOS'!$P$5:$P$500,"&gt;=109800")&gt;0,"X","")</f>
      </c>
      <c r="AT105" s="56" t="str">
        <f>IF(COUNTIFS('LANÇAMENTOS DIÁRIOS'!$G$5:$G$500,"E",'LANÇAMENTOS DIÁRIOS'!$C$5:$C$500,$A105,'LANÇAMENTOS DIÁRIOS'!$O$5:$O$500,"&lt;=109999",'LANÇAMENTOS DIÁRIOS'!$P$5:$P$500,"&gt;=109900")&gt;0,"X","")</f>
      </c>
      <c r="AU105" s="56" t="str">
        <f>IF(COUNTIFS('LANÇAMENTOS DIÁRIOS'!$G$5:$G$500,"E",'LANÇAMENTOS DIÁRIOS'!$C$5:$C$500,$A105,'LANÇAMENTOS DIÁRIOS'!$O$5:$O$500,"&lt;=110099",'LANÇAMENTOS DIÁRIOS'!$P$5:$P$500,"&gt;=110000")&gt;0,"X","")</f>
      </c>
      <c r="AV105" s="56" t="str">
        <f>IF(COUNTIFS('LANÇAMENTOS DIÁRIOS'!$G$5:$G$500,"E",'LANÇAMENTOS DIÁRIOS'!$C$5:$C$500,$A105,'LANÇAMENTOS DIÁRIOS'!$O$5:$O$500,"&lt;=110199",'LANÇAMENTOS DIÁRIOS'!$P$5:$P$500,"&gt;=110100")&gt;0,"X","")</f>
      </c>
      <c r="AW105" s="56" t="str">
        <f>IF(COUNTIFS('LANÇAMENTOS DIÁRIOS'!$G$5:$G$500,"E",'LANÇAMENTOS DIÁRIOS'!$C$5:$C$500,$A105,'LANÇAMENTOS DIÁRIOS'!$O$5:$O$500,"&lt;=110299",'LANÇAMENTOS DIÁRIOS'!$P$5:$P$500,"&gt;=110200")&gt;0,"X","")</f>
      </c>
      <c r="AX105" s="56" t="str">
        <f>IF(COUNTIFS('LANÇAMENTOS DIÁRIOS'!$G$5:$G$500,"E",'LANÇAMENTOS DIÁRIOS'!$C$5:$C$500,$A105,'LANÇAMENTOS DIÁRIOS'!$O$5:$O$500,"&lt;=110399",'LANÇAMENTOS DIÁRIOS'!$P$5:$P$500,"&gt;=110300")&gt;0,"X","")</f>
      </c>
      <c r="AY105" s="56" t="str">
        <f>IF(COUNTIFS('LANÇAMENTOS DIÁRIOS'!$G$5:$G$500,"E",'LANÇAMENTOS DIÁRIOS'!$C$5:$C$500,$A105,'LANÇAMENTOS DIÁRIOS'!$O$5:$O$500,"&lt;=110499",'LANÇAMENTOS DIÁRIOS'!$P$5:$P$500,"&gt;=110400")&gt;0,"X","")</f>
      </c>
      <c r="AZ105" s="56" t="str">
        <f>IF(COUNTIFS('LANÇAMENTOS DIÁRIOS'!$G$5:$G$500,"E",'LANÇAMENTOS DIÁRIOS'!$C$5:$C$500,$A105,'LANÇAMENTOS DIÁRIOS'!$O$5:$O$500,"&lt;=110599",'LANÇAMENTOS DIÁRIOS'!$P$5:$P$500,"&gt;=110500")&gt;0,"X","")</f>
      </c>
      <c r="BA105" s="56" t="str">
        <f>IF(COUNTIFS('LANÇAMENTOS DIÁRIOS'!$G$5:$G$500,"E",'LANÇAMENTOS DIÁRIOS'!$C$5:$C$500,$A105,'LANÇAMENTOS DIÁRIOS'!$O$5:$O$500,"&lt;=110699",'LANÇAMENTOS DIÁRIOS'!$P$5:$P$500,"&gt;=110600")&gt;0,"X","")</f>
      </c>
      <c r="BB105" s="56" t="str">
        <f>IF(COUNTIFS('LANÇAMENTOS DIÁRIOS'!$G$5:$G$500,"E",'LANÇAMENTOS DIÁRIOS'!$C$5:$C$500,$A105,'LANÇAMENTOS DIÁRIOS'!$O$5:$O$500,"&lt;=110799",'LANÇAMENTOS DIÁRIOS'!$P$5:$P$500,"&gt;=110700")&gt;0,"X","")</f>
      </c>
      <c r="BC105" s="56" t="str">
        <f>IF(COUNTIFS('LANÇAMENTOS DIÁRIOS'!$G$5:$G$500,"E",'LANÇAMENTOS DIÁRIOS'!$C$5:$C$500,$A105,'LANÇAMENTOS DIÁRIOS'!$O$5:$O$500,"&lt;=110899",'LANÇAMENTOS DIÁRIOS'!$P$5:$P$500,"&gt;=110800")&gt;0,"X","")</f>
      </c>
      <c r="BD105" s="56" t="str">
        <f>IF(COUNTIFS('LANÇAMENTOS DIÁRIOS'!$G$5:$G$500,"E",'LANÇAMENTOS DIÁRIOS'!$C$5:$C$500,$A105,'LANÇAMENTOS DIÁRIOS'!$O$5:$O$500,"&lt;=110999",'LANÇAMENTOS DIÁRIOS'!$P$5:$P$500,"&gt;=110900")&gt;0,"X","")</f>
      </c>
      <c r="BE105" s="56" t="str">
        <f>IF(COUNTIFS('LANÇAMENTOS DIÁRIOS'!$G$5:$G$500,"E",'LANÇAMENTOS DIÁRIOS'!$C$5:$C$500,$A105,'LANÇAMENTOS DIÁRIOS'!$O$5:$O$500,"&lt;=111099",'LANÇAMENTOS DIÁRIOS'!$P$5:$P$500,"&gt;=111000")&gt;0,"X","")</f>
      </c>
      <c r="BF105" s="56" t="str">
        <f>IF(COUNTIFS('LANÇAMENTOS DIÁRIOS'!$G$5:$G$500,"E",'LANÇAMENTOS DIÁRIOS'!$C$5:$C$500,$A105,'LANÇAMENTOS DIÁRIOS'!$O$5:$O$500,"&lt;=111199",'LANÇAMENTOS DIÁRIOS'!$P$5:$P$500,"&gt;=111100")&gt;0,"X","")</f>
      </c>
      <c r="BG105" s="56" t="str">
        <f>IF(COUNTIFS('LANÇAMENTOS DIÁRIOS'!$G$5:$G$500,"E",'LANÇAMENTOS DIÁRIOS'!$C$5:$C$500,$A105,'LANÇAMENTOS DIÁRIOS'!$O$5:$O$500,"&lt;=111299",'LANÇAMENTOS DIÁRIOS'!$P$5:$P$500,"&gt;=111200")&gt;0,"X","")</f>
      </c>
      <c r="BH105" s="56" t="str">
        <f>IF(COUNTIFS('LANÇAMENTOS DIÁRIOS'!$G$5:$G$500,"E",'LANÇAMENTOS DIÁRIOS'!$C$5:$C$500,$A105,'LANÇAMENTOS DIÁRIOS'!$O$5:$O$500,"&lt;=111399",'LANÇAMENTOS DIÁRIOS'!$P$5:$P$500,"&gt;=111300")&gt;0,"X","")</f>
      </c>
      <c r="BI105" s="56" t="str">
        <f>IF(COUNTIFS('LANÇAMENTOS DIÁRIOS'!$G$5:$G$500,"E",'LANÇAMENTOS DIÁRIOS'!$C$5:$C$500,$A105,'LANÇAMENTOS DIÁRIOS'!$O$5:$O$500,"&lt;=111499",'LANÇAMENTOS DIÁRIOS'!$P$5:$P$500,"&gt;=111400")&gt;0,"X","")</f>
      </c>
      <c r="BJ105" s="56" t="str">
        <f>IF(COUNTIFS('LANÇAMENTOS DIÁRIOS'!$G$5:$G$500,"E",'LANÇAMENTOS DIÁRIOS'!$C$5:$C$500,$A105,'LANÇAMENTOS DIÁRIOS'!$O$5:$O$500,"&lt;=111500",'LANÇAMENTOS DIÁRIOS'!$P$5:$P$500,"&gt;=111500")&gt;0,"X","")</f>
      </c>
    </row>
  </sheetData>
  <conditionalFormatting sqref="B3:BJ105">
    <cfRule type="expression" dxfId="2" priority="1">
      <formula>B3="X"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FormatPr defaultRowHeight="15"/>
  <cols>
    <col min="1" max="1" width="54" hidden="0" customWidth="1"/>
    <col min="2" max="2" width="10" hidden="0" customWidth="1"/>
    <col min="3" max="3" width="10" hidden="0" customWidth="1"/>
    <col min="4" max="4" width="10" hidden="0" customWidth="1"/>
    <col min="5" max="5" width="10" hidden="0" customWidth="1"/>
    <col min="6" max="6" width="10" hidden="0" customWidth="1"/>
    <col min="7" max="7" width="10" hidden="0" customWidth="1"/>
    <col min="8" max="8" width="10" hidden="0" customWidth="1"/>
    <col min="9" max="9" width="10" hidden="0" customWidth="1"/>
    <col min="10" max="10" width="10" hidden="0" customWidth="1"/>
    <col min="11" max="11" width="10" hidden="0" customWidth="1"/>
    <col min="12" max="12" width="10" hidden="0" customWidth="1"/>
    <col min="13" max="13" width="10" hidden="0" customWidth="1"/>
    <col min="14" max="14" width="10" hidden="0" customWidth="1"/>
    <col min="15" max="15" width="10" hidden="0" customWidth="1"/>
    <col min="16" max="16" width="10" hidden="0" customWidth="1"/>
    <col min="17" max="17" width="10" hidden="0" customWidth="1"/>
    <col min="18" max="18" width="10" hidden="0" customWidth="1"/>
    <col min="19" max="19" width="10" hidden="0" customWidth="1"/>
    <col min="20" max="20" width="10" hidden="0" customWidth="1"/>
    <col min="21" max="21" width="10" hidden="0" customWidth="1"/>
    <col min="22" max="22" width="10" hidden="0" customWidth="1"/>
    <col min="23" max="23" width="10" hidden="0" customWidth="1"/>
    <col min="24" max="24" width="10" hidden="0" customWidth="1"/>
    <col min="25" max="25" width="10" hidden="0" customWidth="1"/>
    <col min="26" max="26" width="10" hidden="0" customWidth="1"/>
    <col min="27" max="27" width="10" hidden="0" customWidth="1"/>
    <col min="28" max="28" width="10" hidden="0" customWidth="1"/>
    <col min="29" max="29" width="10" hidden="0" customWidth="1"/>
    <col min="30" max="30" width="10" hidden="0" customWidth="1"/>
    <col min="31" max="31" width="10" hidden="0" customWidth="1"/>
    <col min="32" max="32" width="10" hidden="0" customWidth="1"/>
    <col min="33" max="33" width="10" hidden="0" customWidth="1"/>
    <col min="34" max="34" width="10" hidden="0" customWidth="1"/>
    <col min="35" max="35" width="10" hidden="0" customWidth="1"/>
    <col min="36" max="36" width="10" hidden="0" customWidth="1"/>
    <col min="37" max="37" width="10" hidden="0" customWidth="1"/>
    <col min="38" max="38" width="10" hidden="0" customWidth="1"/>
    <col min="39" max="39" width="10" hidden="0" customWidth="1"/>
    <col min="40" max="40" width="10" hidden="0" customWidth="1"/>
    <col min="41" max="41" width="10" hidden="0" customWidth="1"/>
    <col min="42" max="42" width="10" hidden="0" customWidth="1"/>
    <col min="43" max="43" width="10" hidden="0" customWidth="1"/>
    <col min="44" max="44" width="10" hidden="0" customWidth="1"/>
    <col min="45" max="45" width="10" hidden="0" customWidth="1"/>
    <col min="46" max="46" width="10" hidden="0" customWidth="1"/>
    <col min="47" max="47" width="10" hidden="0" customWidth="1"/>
    <col min="48" max="48" width="10" hidden="0" customWidth="1"/>
    <col min="49" max="49" width="10" hidden="0" customWidth="1"/>
    <col min="50" max="50" width="10" hidden="0" customWidth="1"/>
    <col min="51" max="51" width="10" hidden="0" customWidth="1"/>
    <col min="52" max="52" width="10" hidden="0" customWidth="1"/>
    <col min="53" max="53" width="10" hidden="0" customWidth="1"/>
    <col min="54" max="54" width="10" hidden="0" customWidth="1"/>
    <col min="55" max="55" width="10" hidden="0" customWidth="1"/>
    <col min="56" max="56" width="10" hidden="0" customWidth="1"/>
    <col min="57" max="57" width="10" hidden="0" customWidth="1"/>
    <col min="58" max="58" width="10" hidden="0" customWidth="1"/>
    <col min="59" max="59" width="10" hidden="0" customWidth="1"/>
    <col min="60" max="60" width="10" hidden="0" customWidth="1"/>
  </cols>
  <sheetData>
    <row r="1" ht="26" customHeight="1">
      <c r="A1" s="38" t="str">
        <v>RETIGRÁFICO — FRENTE F | KM 111+500 A 117+220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</row>
    <row r="2" ht="26" customHeight="1">
      <c r="A2" s="43" t="str">
        <v>ATIVIDADE / ITEM</v>
      </c>
      <c r="B2" s="43" t="str">
        <v>111+500</v>
      </c>
      <c r="C2" s="43" t="str">
        <v>111+600</v>
      </c>
      <c r="D2" s="43" t="str">
        <v>111+700</v>
      </c>
      <c r="E2" s="43" t="str">
        <v>111+800</v>
      </c>
      <c r="F2" s="43" t="str">
        <v>111+900</v>
      </c>
      <c r="G2" s="43" t="str">
        <v>112+000</v>
      </c>
      <c r="H2" s="43" t="str">
        <v>112+100</v>
      </c>
      <c r="I2" s="43" t="str">
        <v>112+200</v>
      </c>
      <c r="J2" s="43" t="str">
        <v>112+300</v>
      </c>
      <c r="K2" s="43" t="str">
        <v>112+400</v>
      </c>
      <c r="L2" s="43" t="str">
        <v>112+500</v>
      </c>
      <c r="M2" s="43" t="str">
        <v>112+600</v>
      </c>
      <c r="N2" s="43" t="str">
        <v>112+700</v>
      </c>
      <c r="O2" s="43" t="str">
        <v>112+800</v>
      </c>
      <c r="P2" s="43" t="str">
        <v>112+900</v>
      </c>
      <c r="Q2" s="43" t="str">
        <v>113+000</v>
      </c>
      <c r="R2" s="43" t="str">
        <v>113+100</v>
      </c>
      <c r="S2" s="43" t="str">
        <v>113+200</v>
      </c>
      <c r="T2" s="43" t="str">
        <v>113+300</v>
      </c>
      <c r="U2" s="43" t="str">
        <v>113+400</v>
      </c>
      <c r="V2" s="43" t="str">
        <v>113+500</v>
      </c>
      <c r="W2" s="43" t="str">
        <v>113+600</v>
      </c>
      <c r="X2" s="43" t="str">
        <v>113+700</v>
      </c>
      <c r="Y2" s="43" t="str">
        <v>113+800</v>
      </c>
      <c r="Z2" s="43" t="str">
        <v>113+900</v>
      </c>
      <c r="AA2" s="43" t="str">
        <v>114+000</v>
      </c>
      <c r="AB2" s="43" t="str">
        <v>114+100</v>
      </c>
      <c r="AC2" s="43" t="str">
        <v>114+200</v>
      </c>
      <c r="AD2" s="43" t="str">
        <v>114+300</v>
      </c>
      <c r="AE2" s="43" t="str">
        <v>114+400</v>
      </c>
      <c r="AF2" s="43" t="str">
        <v>114+500</v>
      </c>
      <c r="AG2" s="43" t="str">
        <v>114+600</v>
      </c>
      <c r="AH2" s="43" t="str">
        <v>114+700</v>
      </c>
      <c r="AI2" s="43" t="str">
        <v>114+800</v>
      </c>
      <c r="AJ2" s="43" t="str">
        <v>114+900</v>
      </c>
      <c r="AK2" s="43" t="str">
        <v>115+000</v>
      </c>
      <c r="AL2" s="43" t="str">
        <v>115+100</v>
      </c>
      <c r="AM2" s="43" t="str">
        <v>115+200</v>
      </c>
      <c r="AN2" s="43" t="str">
        <v>115+300</v>
      </c>
      <c r="AO2" s="43" t="str">
        <v>115+400</v>
      </c>
      <c r="AP2" s="43" t="str">
        <v>115+500</v>
      </c>
      <c r="AQ2" s="43" t="str">
        <v>115+600</v>
      </c>
      <c r="AR2" s="43" t="str">
        <v>115+700</v>
      </c>
      <c r="AS2" s="43" t="str">
        <v>115+800</v>
      </c>
      <c r="AT2" s="43" t="str">
        <v>115+900</v>
      </c>
      <c r="AU2" s="43" t="str">
        <v>116+000</v>
      </c>
      <c r="AV2" s="43" t="str">
        <v>116+100</v>
      </c>
      <c r="AW2" s="43" t="str">
        <v>116+200</v>
      </c>
      <c r="AX2" s="43" t="str">
        <v>116+300</v>
      </c>
      <c r="AY2" s="43" t="str">
        <v>116+400</v>
      </c>
      <c r="AZ2" s="43" t="str">
        <v>116+500</v>
      </c>
      <c r="BA2" s="43" t="str">
        <v>116+600</v>
      </c>
      <c r="BB2" s="43" t="str">
        <v>116+700</v>
      </c>
      <c r="BC2" s="43" t="str">
        <v>116+800</v>
      </c>
      <c r="BD2" s="43" t="str">
        <v>116+900</v>
      </c>
      <c r="BE2" s="43" t="str">
        <v>117+000</v>
      </c>
      <c r="BF2" s="43" t="str">
        <v>117+100</v>
      </c>
      <c r="BG2" s="43" t="str">
        <v>117+200</v>
      </c>
      <c r="BH2" s="43" t="str">
        <v>117+220</v>
      </c>
    </row>
    <row r="3" ht="21" customHeight="1">
      <c r="A3" s="60" t="str">
        <v>Serviços preliminares e conclusivos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</row>
    <row r="4" ht="19" customHeight="1">
      <c r="A4" s="68" t="str">
        <v>Demolições e remoções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</row>
    <row r="5">
      <c r="A5" s="51" t="str">
        <v>Remoção de cerca</v>
      </c>
      <c r="B5" s="56" t="str">
        <f>IF(COUNTIFS('LANÇAMENTOS DIÁRIOS'!$G$5:$G$500,"F",'LANÇAMENTOS DIÁRIOS'!$C$5:$C$500,$A5,'LANÇAMENTOS DIÁRIOS'!$O$5:$O$500,"&lt;=111599",'LANÇAMENTOS DIÁRIOS'!$P$5:$P$500,"&gt;=111500")&gt;0,"X","")</f>
      </c>
      <c r="C5" s="56" t="str">
        <f>IF(COUNTIFS('LANÇAMENTOS DIÁRIOS'!$G$5:$G$500,"F",'LANÇAMENTOS DIÁRIOS'!$C$5:$C$500,$A5,'LANÇAMENTOS DIÁRIOS'!$O$5:$O$500,"&lt;=111699",'LANÇAMENTOS DIÁRIOS'!$P$5:$P$500,"&gt;=111600")&gt;0,"X","")</f>
      </c>
      <c r="D5" s="56" t="str">
        <f>IF(COUNTIFS('LANÇAMENTOS DIÁRIOS'!$G$5:$G$500,"F",'LANÇAMENTOS DIÁRIOS'!$C$5:$C$500,$A5,'LANÇAMENTOS DIÁRIOS'!$O$5:$O$500,"&lt;=111799",'LANÇAMENTOS DIÁRIOS'!$P$5:$P$500,"&gt;=111700")&gt;0,"X","")</f>
      </c>
      <c r="E5" s="56" t="str">
        <f>IF(COUNTIFS('LANÇAMENTOS DIÁRIOS'!$G$5:$G$500,"F",'LANÇAMENTOS DIÁRIOS'!$C$5:$C$500,$A5,'LANÇAMENTOS DIÁRIOS'!$O$5:$O$500,"&lt;=111899",'LANÇAMENTOS DIÁRIOS'!$P$5:$P$500,"&gt;=111800")&gt;0,"X","")</f>
      </c>
      <c r="F5" s="56" t="str">
        <f>IF(COUNTIFS('LANÇAMENTOS DIÁRIOS'!$G$5:$G$500,"F",'LANÇAMENTOS DIÁRIOS'!$C$5:$C$500,$A5,'LANÇAMENTOS DIÁRIOS'!$O$5:$O$500,"&lt;=111999",'LANÇAMENTOS DIÁRIOS'!$P$5:$P$500,"&gt;=111900")&gt;0,"X","")</f>
      </c>
      <c r="G5" s="56" t="str">
        <f>IF(COUNTIFS('LANÇAMENTOS DIÁRIOS'!$G$5:$G$500,"F",'LANÇAMENTOS DIÁRIOS'!$C$5:$C$500,$A5,'LANÇAMENTOS DIÁRIOS'!$O$5:$O$500,"&lt;=112099",'LANÇAMENTOS DIÁRIOS'!$P$5:$P$500,"&gt;=112000")&gt;0,"X","")</f>
      </c>
      <c r="H5" s="56" t="str">
        <f>IF(COUNTIFS('LANÇAMENTOS DIÁRIOS'!$G$5:$G$500,"F",'LANÇAMENTOS DIÁRIOS'!$C$5:$C$500,$A5,'LANÇAMENTOS DIÁRIOS'!$O$5:$O$500,"&lt;=112199",'LANÇAMENTOS DIÁRIOS'!$P$5:$P$500,"&gt;=112100")&gt;0,"X","")</f>
      </c>
      <c r="I5" s="56" t="str">
        <f>IF(COUNTIFS('LANÇAMENTOS DIÁRIOS'!$G$5:$G$500,"F",'LANÇAMENTOS DIÁRIOS'!$C$5:$C$500,$A5,'LANÇAMENTOS DIÁRIOS'!$O$5:$O$500,"&lt;=112299",'LANÇAMENTOS DIÁRIOS'!$P$5:$P$500,"&gt;=112200")&gt;0,"X","")</f>
      </c>
      <c r="J5" s="56" t="str">
        <f>IF(COUNTIFS('LANÇAMENTOS DIÁRIOS'!$G$5:$G$500,"F",'LANÇAMENTOS DIÁRIOS'!$C$5:$C$500,$A5,'LANÇAMENTOS DIÁRIOS'!$O$5:$O$500,"&lt;=112399",'LANÇAMENTOS DIÁRIOS'!$P$5:$P$500,"&gt;=112300")&gt;0,"X","")</f>
      </c>
      <c r="K5" s="56" t="str">
        <f>IF(COUNTIFS('LANÇAMENTOS DIÁRIOS'!$G$5:$G$500,"F",'LANÇAMENTOS DIÁRIOS'!$C$5:$C$500,$A5,'LANÇAMENTOS DIÁRIOS'!$O$5:$O$500,"&lt;=112499",'LANÇAMENTOS DIÁRIOS'!$P$5:$P$500,"&gt;=112400")&gt;0,"X","")</f>
      </c>
      <c r="L5" s="56" t="str">
        <f>IF(COUNTIFS('LANÇAMENTOS DIÁRIOS'!$G$5:$G$500,"F",'LANÇAMENTOS DIÁRIOS'!$C$5:$C$500,$A5,'LANÇAMENTOS DIÁRIOS'!$O$5:$O$500,"&lt;=112599",'LANÇAMENTOS DIÁRIOS'!$P$5:$P$500,"&gt;=112500")&gt;0,"X","")</f>
      </c>
      <c r="M5" s="56" t="str">
        <f>IF(COUNTIFS('LANÇAMENTOS DIÁRIOS'!$G$5:$G$500,"F",'LANÇAMENTOS DIÁRIOS'!$C$5:$C$500,$A5,'LANÇAMENTOS DIÁRIOS'!$O$5:$O$500,"&lt;=112699",'LANÇAMENTOS DIÁRIOS'!$P$5:$P$500,"&gt;=112600")&gt;0,"X","")</f>
      </c>
      <c r="N5" s="56" t="str">
        <f>IF(COUNTIFS('LANÇAMENTOS DIÁRIOS'!$G$5:$G$500,"F",'LANÇAMENTOS DIÁRIOS'!$C$5:$C$500,$A5,'LANÇAMENTOS DIÁRIOS'!$O$5:$O$500,"&lt;=112799",'LANÇAMENTOS DIÁRIOS'!$P$5:$P$500,"&gt;=112700")&gt;0,"X","")</f>
      </c>
      <c r="O5" s="56" t="str">
        <f>IF(COUNTIFS('LANÇAMENTOS DIÁRIOS'!$G$5:$G$500,"F",'LANÇAMENTOS DIÁRIOS'!$C$5:$C$500,$A5,'LANÇAMENTOS DIÁRIOS'!$O$5:$O$500,"&lt;=112899",'LANÇAMENTOS DIÁRIOS'!$P$5:$P$500,"&gt;=112800")&gt;0,"X","")</f>
      </c>
      <c r="P5" s="56" t="str">
        <f>IF(COUNTIFS('LANÇAMENTOS DIÁRIOS'!$G$5:$G$500,"F",'LANÇAMENTOS DIÁRIOS'!$C$5:$C$500,$A5,'LANÇAMENTOS DIÁRIOS'!$O$5:$O$500,"&lt;=112999",'LANÇAMENTOS DIÁRIOS'!$P$5:$P$500,"&gt;=112900")&gt;0,"X","")</f>
      </c>
      <c r="Q5" s="56" t="str">
        <f>IF(COUNTIFS('LANÇAMENTOS DIÁRIOS'!$G$5:$G$500,"F",'LANÇAMENTOS DIÁRIOS'!$C$5:$C$500,$A5,'LANÇAMENTOS DIÁRIOS'!$O$5:$O$500,"&lt;=113099",'LANÇAMENTOS DIÁRIOS'!$P$5:$P$500,"&gt;=113000")&gt;0,"X","")</f>
      </c>
      <c r="R5" s="56" t="str">
        <f>IF(COUNTIFS('LANÇAMENTOS DIÁRIOS'!$G$5:$G$500,"F",'LANÇAMENTOS DIÁRIOS'!$C$5:$C$500,$A5,'LANÇAMENTOS DIÁRIOS'!$O$5:$O$500,"&lt;=113199",'LANÇAMENTOS DIÁRIOS'!$P$5:$P$500,"&gt;=113100")&gt;0,"X","")</f>
        <v>X</v>
      </c>
      <c r="S5" s="56" t="str">
        <f>IF(COUNTIFS('LANÇAMENTOS DIÁRIOS'!$G$5:$G$500,"F",'LANÇAMENTOS DIÁRIOS'!$C$5:$C$500,$A5,'LANÇAMENTOS DIÁRIOS'!$O$5:$O$500,"&lt;=113299",'LANÇAMENTOS DIÁRIOS'!$P$5:$P$500,"&gt;=113200")&gt;0,"X","")</f>
        <v>X</v>
      </c>
      <c r="T5" s="56" t="str">
        <f>IF(COUNTIFS('LANÇAMENTOS DIÁRIOS'!$G$5:$G$500,"F",'LANÇAMENTOS DIÁRIOS'!$C$5:$C$500,$A5,'LANÇAMENTOS DIÁRIOS'!$O$5:$O$500,"&lt;=113399",'LANÇAMENTOS DIÁRIOS'!$P$5:$P$500,"&gt;=113300")&gt;0,"X","")</f>
        <v>X</v>
      </c>
      <c r="U5" s="56" t="str">
        <f>IF(COUNTIFS('LANÇAMENTOS DIÁRIOS'!$G$5:$G$500,"F",'LANÇAMENTOS DIÁRIOS'!$C$5:$C$500,$A5,'LANÇAMENTOS DIÁRIOS'!$O$5:$O$500,"&lt;=113499",'LANÇAMENTOS DIÁRIOS'!$P$5:$P$500,"&gt;=113400")&gt;0,"X","")</f>
        <v>X</v>
      </c>
      <c r="V5" s="56" t="str">
        <f>IF(COUNTIFS('LANÇAMENTOS DIÁRIOS'!$G$5:$G$500,"F",'LANÇAMENTOS DIÁRIOS'!$C$5:$C$500,$A5,'LANÇAMENTOS DIÁRIOS'!$O$5:$O$500,"&lt;=113599",'LANÇAMENTOS DIÁRIOS'!$P$5:$P$500,"&gt;=113500")&gt;0,"X","")</f>
      </c>
      <c r="W5" s="56" t="str">
        <f>IF(COUNTIFS('LANÇAMENTOS DIÁRIOS'!$G$5:$G$500,"F",'LANÇAMENTOS DIÁRIOS'!$C$5:$C$500,$A5,'LANÇAMENTOS DIÁRIOS'!$O$5:$O$500,"&lt;=113699",'LANÇAMENTOS DIÁRIOS'!$P$5:$P$500,"&gt;=113600")&gt;0,"X","")</f>
        <v>X</v>
      </c>
      <c r="X5" s="56" t="str">
        <f>IF(COUNTIFS('LANÇAMENTOS DIÁRIOS'!$G$5:$G$500,"F",'LANÇAMENTOS DIÁRIOS'!$C$5:$C$500,$A5,'LANÇAMENTOS DIÁRIOS'!$O$5:$O$500,"&lt;=113799",'LANÇAMENTOS DIÁRIOS'!$P$5:$P$500,"&gt;=113700")&gt;0,"X","")</f>
        <v>X</v>
      </c>
      <c r="Y5" s="56" t="str">
        <f>IF(COUNTIFS('LANÇAMENTOS DIÁRIOS'!$G$5:$G$500,"F",'LANÇAMENTOS DIÁRIOS'!$C$5:$C$500,$A5,'LANÇAMENTOS DIÁRIOS'!$O$5:$O$500,"&lt;=113899",'LANÇAMENTOS DIÁRIOS'!$P$5:$P$500,"&gt;=113800")&gt;0,"X","")</f>
      </c>
      <c r="Z5" s="56" t="str">
        <f>IF(COUNTIFS('LANÇAMENTOS DIÁRIOS'!$G$5:$G$500,"F",'LANÇAMENTOS DIÁRIOS'!$C$5:$C$500,$A5,'LANÇAMENTOS DIÁRIOS'!$O$5:$O$500,"&lt;=113999",'LANÇAMENTOS DIÁRIOS'!$P$5:$P$500,"&gt;=113900")&gt;0,"X","")</f>
      </c>
      <c r="AA5" s="56" t="str">
        <f>IF(COUNTIFS('LANÇAMENTOS DIÁRIOS'!$G$5:$G$500,"F",'LANÇAMENTOS DIÁRIOS'!$C$5:$C$500,$A5,'LANÇAMENTOS DIÁRIOS'!$O$5:$O$500,"&lt;=114099",'LANÇAMENTOS DIÁRIOS'!$P$5:$P$500,"&gt;=114000")&gt;0,"X","")</f>
      </c>
      <c r="AB5" s="56" t="str">
        <f>IF(COUNTIFS('LANÇAMENTOS DIÁRIOS'!$G$5:$G$500,"F",'LANÇAMENTOS DIÁRIOS'!$C$5:$C$500,$A5,'LANÇAMENTOS DIÁRIOS'!$O$5:$O$500,"&lt;=114199",'LANÇAMENTOS DIÁRIOS'!$P$5:$P$500,"&gt;=114100")&gt;0,"X","")</f>
      </c>
      <c r="AC5" s="56" t="str">
        <f>IF(COUNTIFS('LANÇAMENTOS DIÁRIOS'!$G$5:$G$500,"F",'LANÇAMENTOS DIÁRIOS'!$C$5:$C$500,$A5,'LANÇAMENTOS DIÁRIOS'!$O$5:$O$500,"&lt;=114299",'LANÇAMENTOS DIÁRIOS'!$P$5:$P$500,"&gt;=114200")&gt;0,"X","")</f>
      </c>
      <c r="AD5" s="56" t="str">
        <f>IF(COUNTIFS('LANÇAMENTOS DIÁRIOS'!$G$5:$G$500,"F",'LANÇAMENTOS DIÁRIOS'!$C$5:$C$500,$A5,'LANÇAMENTOS DIÁRIOS'!$O$5:$O$500,"&lt;=114399",'LANÇAMENTOS DIÁRIOS'!$P$5:$P$500,"&gt;=114300")&gt;0,"X","")</f>
      </c>
      <c r="AE5" s="56" t="str">
        <f>IF(COUNTIFS('LANÇAMENTOS DIÁRIOS'!$G$5:$G$500,"F",'LANÇAMENTOS DIÁRIOS'!$C$5:$C$500,$A5,'LANÇAMENTOS DIÁRIOS'!$O$5:$O$500,"&lt;=114499",'LANÇAMENTOS DIÁRIOS'!$P$5:$P$500,"&gt;=114400")&gt;0,"X","")</f>
      </c>
      <c r="AF5" s="56" t="str">
        <f>IF(COUNTIFS('LANÇAMENTOS DIÁRIOS'!$G$5:$G$500,"F",'LANÇAMENTOS DIÁRIOS'!$C$5:$C$500,$A5,'LANÇAMENTOS DIÁRIOS'!$O$5:$O$500,"&lt;=114599",'LANÇAMENTOS DIÁRIOS'!$P$5:$P$500,"&gt;=114500")&gt;0,"X","")</f>
      </c>
      <c r="AG5" s="56" t="str">
        <f>IF(COUNTIFS('LANÇAMENTOS DIÁRIOS'!$G$5:$G$500,"F",'LANÇAMENTOS DIÁRIOS'!$C$5:$C$500,$A5,'LANÇAMENTOS DIÁRIOS'!$O$5:$O$500,"&lt;=114699",'LANÇAMENTOS DIÁRIOS'!$P$5:$P$500,"&gt;=114600")&gt;0,"X","")</f>
      </c>
      <c r="AH5" s="56" t="str">
        <f>IF(COUNTIFS('LANÇAMENTOS DIÁRIOS'!$G$5:$G$500,"F",'LANÇAMENTOS DIÁRIOS'!$C$5:$C$500,$A5,'LANÇAMENTOS DIÁRIOS'!$O$5:$O$500,"&lt;=114799",'LANÇAMENTOS DIÁRIOS'!$P$5:$P$500,"&gt;=114700")&gt;0,"X","")</f>
      </c>
      <c r="AI5" s="56" t="str">
        <f>IF(COUNTIFS('LANÇAMENTOS DIÁRIOS'!$G$5:$G$500,"F",'LANÇAMENTOS DIÁRIOS'!$C$5:$C$500,$A5,'LANÇAMENTOS DIÁRIOS'!$O$5:$O$500,"&lt;=114899",'LANÇAMENTOS DIÁRIOS'!$P$5:$P$500,"&gt;=114800")&gt;0,"X","")</f>
      </c>
      <c r="AJ5" s="56" t="str">
        <f>IF(COUNTIFS('LANÇAMENTOS DIÁRIOS'!$G$5:$G$500,"F",'LANÇAMENTOS DIÁRIOS'!$C$5:$C$500,$A5,'LANÇAMENTOS DIÁRIOS'!$O$5:$O$500,"&lt;=114999",'LANÇAMENTOS DIÁRIOS'!$P$5:$P$500,"&gt;=114900")&gt;0,"X","")</f>
      </c>
      <c r="AK5" s="56" t="str">
        <f>IF(COUNTIFS('LANÇAMENTOS DIÁRIOS'!$G$5:$G$500,"F",'LANÇAMENTOS DIÁRIOS'!$C$5:$C$500,$A5,'LANÇAMENTOS DIÁRIOS'!$O$5:$O$500,"&lt;=115099",'LANÇAMENTOS DIÁRIOS'!$P$5:$P$500,"&gt;=115000")&gt;0,"X","")</f>
      </c>
      <c r="AL5" s="56" t="str">
        <f>IF(COUNTIFS('LANÇAMENTOS DIÁRIOS'!$G$5:$G$500,"F",'LANÇAMENTOS DIÁRIOS'!$C$5:$C$500,$A5,'LANÇAMENTOS DIÁRIOS'!$O$5:$O$500,"&lt;=115199",'LANÇAMENTOS DIÁRIOS'!$P$5:$P$500,"&gt;=115100")&gt;0,"X","")</f>
      </c>
      <c r="AM5" s="56" t="str">
        <f>IF(COUNTIFS('LANÇAMENTOS DIÁRIOS'!$G$5:$G$500,"F",'LANÇAMENTOS DIÁRIOS'!$C$5:$C$500,$A5,'LANÇAMENTOS DIÁRIOS'!$O$5:$O$500,"&lt;=115299",'LANÇAMENTOS DIÁRIOS'!$P$5:$P$500,"&gt;=115200")&gt;0,"X","")</f>
      </c>
      <c r="AN5" s="56" t="str">
        <f>IF(COUNTIFS('LANÇAMENTOS DIÁRIOS'!$G$5:$G$500,"F",'LANÇAMENTOS DIÁRIOS'!$C$5:$C$500,$A5,'LANÇAMENTOS DIÁRIOS'!$O$5:$O$500,"&lt;=115399",'LANÇAMENTOS DIÁRIOS'!$P$5:$P$500,"&gt;=115300")&gt;0,"X","")</f>
      </c>
      <c r="AO5" s="56" t="str">
        <f>IF(COUNTIFS('LANÇAMENTOS DIÁRIOS'!$G$5:$G$500,"F",'LANÇAMENTOS DIÁRIOS'!$C$5:$C$500,$A5,'LANÇAMENTOS DIÁRIOS'!$O$5:$O$500,"&lt;=115499",'LANÇAMENTOS DIÁRIOS'!$P$5:$P$500,"&gt;=115400")&gt;0,"X","")</f>
      </c>
      <c r="AP5" s="56" t="str">
        <f>IF(COUNTIFS('LANÇAMENTOS DIÁRIOS'!$G$5:$G$500,"F",'LANÇAMENTOS DIÁRIOS'!$C$5:$C$500,$A5,'LANÇAMENTOS DIÁRIOS'!$O$5:$O$500,"&lt;=115599",'LANÇAMENTOS DIÁRIOS'!$P$5:$P$500,"&gt;=115500")&gt;0,"X","")</f>
      </c>
      <c r="AQ5" s="56" t="str">
        <f>IF(COUNTIFS('LANÇAMENTOS DIÁRIOS'!$G$5:$G$500,"F",'LANÇAMENTOS DIÁRIOS'!$C$5:$C$500,$A5,'LANÇAMENTOS DIÁRIOS'!$O$5:$O$500,"&lt;=115699",'LANÇAMENTOS DIÁRIOS'!$P$5:$P$500,"&gt;=115600")&gt;0,"X","")</f>
      </c>
      <c r="AR5" s="56" t="str">
        <f>IF(COUNTIFS('LANÇAMENTOS DIÁRIOS'!$G$5:$G$500,"F",'LANÇAMENTOS DIÁRIOS'!$C$5:$C$500,$A5,'LANÇAMENTOS DIÁRIOS'!$O$5:$O$500,"&lt;=115799",'LANÇAMENTOS DIÁRIOS'!$P$5:$P$500,"&gt;=115700")&gt;0,"X","")</f>
      </c>
      <c r="AS5" s="56" t="str">
        <f>IF(COUNTIFS('LANÇAMENTOS DIÁRIOS'!$G$5:$G$500,"F",'LANÇAMENTOS DIÁRIOS'!$C$5:$C$500,$A5,'LANÇAMENTOS DIÁRIOS'!$O$5:$O$500,"&lt;=115899",'LANÇAMENTOS DIÁRIOS'!$P$5:$P$500,"&gt;=115800")&gt;0,"X","")</f>
      </c>
      <c r="AT5" s="56" t="str">
        <f>IF(COUNTIFS('LANÇAMENTOS DIÁRIOS'!$G$5:$G$500,"F",'LANÇAMENTOS DIÁRIOS'!$C$5:$C$500,$A5,'LANÇAMENTOS DIÁRIOS'!$O$5:$O$500,"&lt;=115999",'LANÇAMENTOS DIÁRIOS'!$P$5:$P$500,"&gt;=115900")&gt;0,"X","")</f>
      </c>
      <c r="AU5" s="56" t="str">
        <f>IF(COUNTIFS('LANÇAMENTOS DIÁRIOS'!$G$5:$G$500,"F",'LANÇAMENTOS DIÁRIOS'!$C$5:$C$500,$A5,'LANÇAMENTOS DIÁRIOS'!$O$5:$O$500,"&lt;=116099",'LANÇAMENTOS DIÁRIOS'!$P$5:$P$500,"&gt;=116000")&gt;0,"X","")</f>
      </c>
      <c r="AV5" s="56" t="str">
        <f>IF(COUNTIFS('LANÇAMENTOS DIÁRIOS'!$G$5:$G$500,"F",'LANÇAMENTOS DIÁRIOS'!$C$5:$C$500,$A5,'LANÇAMENTOS DIÁRIOS'!$O$5:$O$500,"&lt;=116199",'LANÇAMENTOS DIÁRIOS'!$P$5:$P$500,"&gt;=116100")&gt;0,"X","")</f>
      </c>
      <c r="AW5" s="56" t="str">
        <f>IF(COUNTIFS('LANÇAMENTOS DIÁRIOS'!$G$5:$G$500,"F",'LANÇAMENTOS DIÁRIOS'!$C$5:$C$500,$A5,'LANÇAMENTOS DIÁRIOS'!$O$5:$O$500,"&lt;=116299",'LANÇAMENTOS DIÁRIOS'!$P$5:$P$500,"&gt;=116200")&gt;0,"X","")</f>
      </c>
      <c r="AX5" s="56" t="str">
        <f>IF(COUNTIFS('LANÇAMENTOS DIÁRIOS'!$G$5:$G$500,"F",'LANÇAMENTOS DIÁRIOS'!$C$5:$C$500,$A5,'LANÇAMENTOS DIÁRIOS'!$O$5:$O$500,"&lt;=116399",'LANÇAMENTOS DIÁRIOS'!$P$5:$P$500,"&gt;=116300")&gt;0,"X","")</f>
      </c>
      <c r="AY5" s="56" t="str">
        <f>IF(COUNTIFS('LANÇAMENTOS DIÁRIOS'!$G$5:$G$500,"F",'LANÇAMENTOS DIÁRIOS'!$C$5:$C$500,$A5,'LANÇAMENTOS DIÁRIOS'!$O$5:$O$500,"&lt;=116499",'LANÇAMENTOS DIÁRIOS'!$P$5:$P$500,"&gt;=116400")&gt;0,"X","")</f>
      </c>
      <c r="AZ5" s="56" t="str">
        <f>IF(COUNTIFS('LANÇAMENTOS DIÁRIOS'!$G$5:$G$500,"F",'LANÇAMENTOS DIÁRIOS'!$C$5:$C$500,$A5,'LANÇAMENTOS DIÁRIOS'!$O$5:$O$500,"&lt;=116599",'LANÇAMENTOS DIÁRIOS'!$P$5:$P$500,"&gt;=116500")&gt;0,"X","")</f>
      </c>
      <c r="BA5" s="56" t="str">
        <f>IF(COUNTIFS('LANÇAMENTOS DIÁRIOS'!$G$5:$G$500,"F",'LANÇAMENTOS DIÁRIOS'!$C$5:$C$500,$A5,'LANÇAMENTOS DIÁRIOS'!$O$5:$O$500,"&lt;=116699",'LANÇAMENTOS DIÁRIOS'!$P$5:$P$500,"&gt;=116600")&gt;0,"X","")</f>
      </c>
      <c r="BB5" s="56" t="str">
        <f>IF(COUNTIFS('LANÇAMENTOS DIÁRIOS'!$G$5:$G$500,"F",'LANÇAMENTOS DIÁRIOS'!$C$5:$C$500,$A5,'LANÇAMENTOS DIÁRIOS'!$O$5:$O$500,"&lt;=116799",'LANÇAMENTOS DIÁRIOS'!$P$5:$P$500,"&gt;=116700")&gt;0,"X","")</f>
      </c>
      <c r="BC5" s="56" t="str">
        <f>IF(COUNTIFS('LANÇAMENTOS DIÁRIOS'!$G$5:$G$500,"F",'LANÇAMENTOS DIÁRIOS'!$C$5:$C$500,$A5,'LANÇAMENTOS DIÁRIOS'!$O$5:$O$500,"&lt;=116899",'LANÇAMENTOS DIÁRIOS'!$P$5:$P$500,"&gt;=116800")&gt;0,"X","")</f>
      </c>
      <c r="BD5" s="56" t="str">
        <f>IF(COUNTIFS('LANÇAMENTOS DIÁRIOS'!$G$5:$G$500,"F",'LANÇAMENTOS DIÁRIOS'!$C$5:$C$500,$A5,'LANÇAMENTOS DIÁRIOS'!$O$5:$O$500,"&lt;=116999",'LANÇAMENTOS DIÁRIOS'!$P$5:$P$500,"&gt;=116900")&gt;0,"X","")</f>
      </c>
      <c r="BE5" s="56" t="str">
        <f>IF(COUNTIFS('LANÇAMENTOS DIÁRIOS'!$G$5:$G$500,"F",'LANÇAMENTOS DIÁRIOS'!$C$5:$C$500,$A5,'LANÇAMENTOS DIÁRIOS'!$O$5:$O$500,"&lt;=117099",'LANÇAMENTOS DIÁRIOS'!$P$5:$P$500,"&gt;=117000")&gt;0,"X","")</f>
      </c>
      <c r="BF5" s="56" t="str">
        <f>IF(COUNTIFS('LANÇAMENTOS DIÁRIOS'!$G$5:$G$500,"F",'LANÇAMENTOS DIÁRIOS'!$C$5:$C$500,$A5,'LANÇAMENTOS DIÁRIOS'!$O$5:$O$500,"&lt;=117199",'LANÇAMENTOS DIÁRIOS'!$P$5:$P$500,"&gt;=117100")&gt;0,"X","")</f>
      </c>
      <c r="BG5" s="56" t="str">
        <f>IF(COUNTIFS('LANÇAMENTOS DIÁRIOS'!$G$5:$G$500,"F",'LANÇAMENTOS DIÁRIOS'!$C$5:$C$500,$A5,'LANÇAMENTOS DIÁRIOS'!$O$5:$O$500,"&lt;=117219",'LANÇAMENTOS DIÁRIOS'!$P$5:$P$500,"&gt;=117200")&gt;0,"X","")</f>
      </c>
      <c r="BH5" s="56" t="str">
        <f>IF(COUNTIFS('LANÇAMENTOS DIÁRIOS'!$G$5:$G$500,"F",'LANÇAMENTOS DIÁRIOS'!$C$5:$C$500,$A5,'LANÇAMENTOS DIÁRIOS'!$O$5:$O$500,"&lt;=117220",'LANÇAMENTOS DIÁRIOS'!$P$5:$P$500,"&gt;=117220")&gt;0,"X","")</f>
      </c>
    </row>
    <row r="6">
      <c r="A6" s="51" t="str">
        <v>Remoção de defensa metálica</v>
      </c>
      <c r="B6" s="56" t="str">
        <f>IF(COUNTIFS('LANÇAMENTOS DIÁRIOS'!$G$5:$G$500,"F",'LANÇAMENTOS DIÁRIOS'!$C$5:$C$500,$A6,'LANÇAMENTOS DIÁRIOS'!$O$5:$O$500,"&lt;=111599",'LANÇAMENTOS DIÁRIOS'!$P$5:$P$500,"&gt;=111500")&gt;0,"X","")</f>
      </c>
      <c r="C6" s="56" t="str">
        <f>IF(COUNTIFS('LANÇAMENTOS DIÁRIOS'!$G$5:$G$500,"F",'LANÇAMENTOS DIÁRIOS'!$C$5:$C$500,$A6,'LANÇAMENTOS DIÁRIOS'!$O$5:$O$500,"&lt;=111699",'LANÇAMENTOS DIÁRIOS'!$P$5:$P$500,"&gt;=111600")&gt;0,"X","")</f>
      </c>
      <c r="D6" s="56" t="str">
        <f>IF(COUNTIFS('LANÇAMENTOS DIÁRIOS'!$G$5:$G$500,"F",'LANÇAMENTOS DIÁRIOS'!$C$5:$C$500,$A6,'LANÇAMENTOS DIÁRIOS'!$O$5:$O$500,"&lt;=111799",'LANÇAMENTOS DIÁRIOS'!$P$5:$P$500,"&gt;=111700")&gt;0,"X","")</f>
      </c>
      <c r="E6" s="56" t="str">
        <f>IF(COUNTIFS('LANÇAMENTOS DIÁRIOS'!$G$5:$G$500,"F",'LANÇAMENTOS DIÁRIOS'!$C$5:$C$500,$A6,'LANÇAMENTOS DIÁRIOS'!$O$5:$O$500,"&lt;=111899",'LANÇAMENTOS DIÁRIOS'!$P$5:$P$500,"&gt;=111800")&gt;0,"X","")</f>
      </c>
      <c r="F6" s="56" t="str">
        <f>IF(COUNTIFS('LANÇAMENTOS DIÁRIOS'!$G$5:$G$500,"F",'LANÇAMENTOS DIÁRIOS'!$C$5:$C$500,$A6,'LANÇAMENTOS DIÁRIOS'!$O$5:$O$500,"&lt;=111999",'LANÇAMENTOS DIÁRIOS'!$P$5:$P$500,"&gt;=111900")&gt;0,"X","")</f>
      </c>
      <c r="G6" s="56" t="str">
        <f>IF(COUNTIFS('LANÇAMENTOS DIÁRIOS'!$G$5:$G$500,"F",'LANÇAMENTOS DIÁRIOS'!$C$5:$C$500,$A6,'LANÇAMENTOS DIÁRIOS'!$O$5:$O$500,"&lt;=112099",'LANÇAMENTOS DIÁRIOS'!$P$5:$P$500,"&gt;=112000")&gt;0,"X","")</f>
      </c>
      <c r="H6" s="56" t="str">
        <f>IF(COUNTIFS('LANÇAMENTOS DIÁRIOS'!$G$5:$G$500,"F",'LANÇAMENTOS DIÁRIOS'!$C$5:$C$500,$A6,'LANÇAMENTOS DIÁRIOS'!$O$5:$O$500,"&lt;=112199",'LANÇAMENTOS DIÁRIOS'!$P$5:$P$500,"&gt;=112100")&gt;0,"X","")</f>
      </c>
      <c r="I6" s="56" t="str">
        <f>IF(COUNTIFS('LANÇAMENTOS DIÁRIOS'!$G$5:$G$500,"F",'LANÇAMENTOS DIÁRIOS'!$C$5:$C$500,$A6,'LANÇAMENTOS DIÁRIOS'!$O$5:$O$500,"&lt;=112299",'LANÇAMENTOS DIÁRIOS'!$P$5:$P$500,"&gt;=112200")&gt;0,"X","")</f>
      </c>
      <c r="J6" s="56" t="str">
        <f>IF(COUNTIFS('LANÇAMENTOS DIÁRIOS'!$G$5:$G$500,"F",'LANÇAMENTOS DIÁRIOS'!$C$5:$C$500,$A6,'LANÇAMENTOS DIÁRIOS'!$O$5:$O$500,"&lt;=112399",'LANÇAMENTOS DIÁRIOS'!$P$5:$P$500,"&gt;=112300")&gt;0,"X","")</f>
      </c>
      <c r="K6" s="56" t="str">
        <f>IF(COUNTIFS('LANÇAMENTOS DIÁRIOS'!$G$5:$G$500,"F",'LANÇAMENTOS DIÁRIOS'!$C$5:$C$500,$A6,'LANÇAMENTOS DIÁRIOS'!$O$5:$O$500,"&lt;=112499",'LANÇAMENTOS DIÁRIOS'!$P$5:$P$500,"&gt;=112400")&gt;0,"X","")</f>
      </c>
      <c r="L6" s="56" t="str">
        <f>IF(COUNTIFS('LANÇAMENTOS DIÁRIOS'!$G$5:$G$500,"F",'LANÇAMENTOS DIÁRIOS'!$C$5:$C$500,$A6,'LANÇAMENTOS DIÁRIOS'!$O$5:$O$500,"&lt;=112599",'LANÇAMENTOS DIÁRIOS'!$P$5:$P$500,"&gt;=112500")&gt;0,"X","")</f>
      </c>
      <c r="M6" s="56" t="str">
        <f>IF(COUNTIFS('LANÇAMENTOS DIÁRIOS'!$G$5:$G$500,"F",'LANÇAMENTOS DIÁRIOS'!$C$5:$C$500,$A6,'LANÇAMENTOS DIÁRIOS'!$O$5:$O$500,"&lt;=112699",'LANÇAMENTOS DIÁRIOS'!$P$5:$P$500,"&gt;=112600")&gt;0,"X","")</f>
      </c>
      <c r="N6" s="56" t="str">
        <f>IF(COUNTIFS('LANÇAMENTOS DIÁRIOS'!$G$5:$G$500,"F",'LANÇAMENTOS DIÁRIOS'!$C$5:$C$500,$A6,'LANÇAMENTOS DIÁRIOS'!$O$5:$O$500,"&lt;=112799",'LANÇAMENTOS DIÁRIOS'!$P$5:$P$500,"&gt;=112700")&gt;0,"X","")</f>
      </c>
      <c r="O6" s="56" t="str">
        <f>IF(COUNTIFS('LANÇAMENTOS DIÁRIOS'!$G$5:$G$500,"F",'LANÇAMENTOS DIÁRIOS'!$C$5:$C$500,$A6,'LANÇAMENTOS DIÁRIOS'!$O$5:$O$500,"&lt;=112899",'LANÇAMENTOS DIÁRIOS'!$P$5:$P$500,"&gt;=112800")&gt;0,"X","")</f>
      </c>
      <c r="P6" s="56" t="str">
        <f>IF(COUNTIFS('LANÇAMENTOS DIÁRIOS'!$G$5:$G$500,"F",'LANÇAMENTOS DIÁRIOS'!$C$5:$C$500,$A6,'LANÇAMENTOS DIÁRIOS'!$O$5:$O$500,"&lt;=112999",'LANÇAMENTOS DIÁRIOS'!$P$5:$P$500,"&gt;=112900")&gt;0,"X","")</f>
      </c>
      <c r="Q6" s="56" t="str">
        <f>IF(COUNTIFS('LANÇAMENTOS DIÁRIOS'!$G$5:$G$500,"F",'LANÇAMENTOS DIÁRIOS'!$C$5:$C$500,$A6,'LANÇAMENTOS DIÁRIOS'!$O$5:$O$500,"&lt;=113099",'LANÇAMENTOS DIÁRIOS'!$P$5:$P$500,"&gt;=113000")&gt;0,"X","")</f>
      </c>
      <c r="R6" s="56" t="str">
        <f>IF(COUNTIFS('LANÇAMENTOS DIÁRIOS'!$G$5:$G$500,"F",'LANÇAMENTOS DIÁRIOS'!$C$5:$C$500,$A6,'LANÇAMENTOS DIÁRIOS'!$O$5:$O$500,"&lt;=113199",'LANÇAMENTOS DIÁRIOS'!$P$5:$P$500,"&gt;=113100")&gt;0,"X","")</f>
      </c>
      <c r="S6" s="56" t="str">
        <f>IF(COUNTIFS('LANÇAMENTOS DIÁRIOS'!$G$5:$G$500,"F",'LANÇAMENTOS DIÁRIOS'!$C$5:$C$500,$A6,'LANÇAMENTOS DIÁRIOS'!$O$5:$O$500,"&lt;=113299",'LANÇAMENTOS DIÁRIOS'!$P$5:$P$500,"&gt;=113200")&gt;0,"X","")</f>
      </c>
      <c r="T6" s="56" t="str">
        <f>IF(COUNTIFS('LANÇAMENTOS DIÁRIOS'!$G$5:$G$500,"F",'LANÇAMENTOS DIÁRIOS'!$C$5:$C$500,$A6,'LANÇAMENTOS DIÁRIOS'!$O$5:$O$500,"&lt;=113399",'LANÇAMENTOS DIÁRIOS'!$P$5:$P$500,"&gt;=113300")&gt;0,"X","")</f>
      </c>
      <c r="U6" s="56" t="str">
        <f>IF(COUNTIFS('LANÇAMENTOS DIÁRIOS'!$G$5:$G$500,"F",'LANÇAMENTOS DIÁRIOS'!$C$5:$C$500,$A6,'LANÇAMENTOS DIÁRIOS'!$O$5:$O$500,"&lt;=113499",'LANÇAMENTOS DIÁRIOS'!$P$5:$P$500,"&gt;=113400")&gt;0,"X","")</f>
      </c>
      <c r="V6" s="56" t="str">
        <f>IF(COUNTIFS('LANÇAMENTOS DIÁRIOS'!$G$5:$G$500,"F",'LANÇAMENTOS DIÁRIOS'!$C$5:$C$500,$A6,'LANÇAMENTOS DIÁRIOS'!$O$5:$O$500,"&lt;=113599",'LANÇAMENTOS DIÁRIOS'!$P$5:$P$500,"&gt;=113500")&gt;0,"X","")</f>
      </c>
      <c r="W6" s="56" t="str">
        <f>IF(COUNTIFS('LANÇAMENTOS DIÁRIOS'!$G$5:$G$500,"F",'LANÇAMENTOS DIÁRIOS'!$C$5:$C$500,$A6,'LANÇAMENTOS DIÁRIOS'!$O$5:$O$500,"&lt;=113699",'LANÇAMENTOS DIÁRIOS'!$P$5:$P$500,"&gt;=113600")&gt;0,"X","")</f>
      </c>
      <c r="X6" s="56" t="str">
        <f>IF(COUNTIFS('LANÇAMENTOS DIÁRIOS'!$G$5:$G$500,"F",'LANÇAMENTOS DIÁRIOS'!$C$5:$C$500,$A6,'LANÇAMENTOS DIÁRIOS'!$O$5:$O$500,"&lt;=113799",'LANÇAMENTOS DIÁRIOS'!$P$5:$P$500,"&gt;=113700")&gt;0,"X","")</f>
      </c>
      <c r="Y6" s="56" t="str">
        <f>IF(COUNTIFS('LANÇAMENTOS DIÁRIOS'!$G$5:$G$500,"F",'LANÇAMENTOS DIÁRIOS'!$C$5:$C$500,$A6,'LANÇAMENTOS DIÁRIOS'!$O$5:$O$500,"&lt;=113899",'LANÇAMENTOS DIÁRIOS'!$P$5:$P$500,"&gt;=113800")&gt;0,"X","")</f>
      </c>
      <c r="Z6" s="56" t="str">
        <f>IF(COUNTIFS('LANÇAMENTOS DIÁRIOS'!$G$5:$G$500,"F",'LANÇAMENTOS DIÁRIOS'!$C$5:$C$500,$A6,'LANÇAMENTOS DIÁRIOS'!$O$5:$O$500,"&lt;=113999",'LANÇAMENTOS DIÁRIOS'!$P$5:$P$500,"&gt;=113900")&gt;0,"X","")</f>
      </c>
      <c r="AA6" s="56" t="str">
        <f>IF(COUNTIFS('LANÇAMENTOS DIÁRIOS'!$G$5:$G$500,"F",'LANÇAMENTOS DIÁRIOS'!$C$5:$C$500,$A6,'LANÇAMENTOS DIÁRIOS'!$O$5:$O$500,"&lt;=114099",'LANÇAMENTOS DIÁRIOS'!$P$5:$P$500,"&gt;=114000")&gt;0,"X","")</f>
      </c>
      <c r="AB6" s="56" t="str">
        <f>IF(COUNTIFS('LANÇAMENTOS DIÁRIOS'!$G$5:$G$500,"F",'LANÇAMENTOS DIÁRIOS'!$C$5:$C$500,$A6,'LANÇAMENTOS DIÁRIOS'!$O$5:$O$500,"&lt;=114199",'LANÇAMENTOS DIÁRIOS'!$P$5:$P$500,"&gt;=114100")&gt;0,"X","")</f>
      </c>
      <c r="AC6" s="56" t="str">
        <f>IF(COUNTIFS('LANÇAMENTOS DIÁRIOS'!$G$5:$G$500,"F",'LANÇAMENTOS DIÁRIOS'!$C$5:$C$500,$A6,'LANÇAMENTOS DIÁRIOS'!$O$5:$O$500,"&lt;=114299",'LANÇAMENTOS DIÁRIOS'!$P$5:$P$500,"&gt;=114200")&gt;0,"X","")</f>
      </c>
      <c r="AD6" s="56" t="str">
        <f>IF(COUNTIFS('LANÇAMENTOS DIÁRIOS'!$G$5:$G$500,"F",'LANÇAMENTOS DIÁRIOS'!$C$5:$C$500,$A6,'LANÇAMENTOS DIÁRIOS'!$O$5:$O$500,"&lt;=114399",'LANÇAMENTOS DIÁRIOS'!$P$5:$P$500,"&gt;=114300")&gt;0,"X","")</f>
      </c>
      <c r="AE6" s="56" t="str">
        <f>IF(COUNTIFS('LANÇAMENTOS DIÁRIOS'!$G$5:$G$500,"F",'LANÇAMENTOS DIÁRIOS'!$C$5:$C$500,$A6,'LANÇAMENTOS DIÁRIOS'!$O$5:$O$500,"&lt;=114499",'LANÇAMENTOS DIÁRIOS'!$P$5:$P$500,"&gt;=114400")&gt;0,"X","")</f>
      </c>
      <c r="AF6" s="56" t="str">
        <f>IF(COUNTIFS('LANÇAMENTOS DIÁRIOS'!$G$5:$G$500,"F",'LANÇAMENTOS DIÁRIOS'!$C$5:$C$500,$A6,'LANÇAMENTOS DIÁRIOS'!$O$5:$O$500,"&lt;=114599",'LANÇAMENTOS DIÁRIOS'!$P$5:$P$500,"&gt;=114500")&gt;0,"X","")</f>
      </c>
      <c r="AG6" s="56" t="str">
        <f>IF(COUNTIFS('LANÇAMENTOS DIÁRIOS'!$G$5:$G$500,"F",'LANÇAMENTOS DIÁRIOS'!$C$5:$C$500,$A6,'LANÇAMENTOS DIÁRIOS'!$O$5:$O$500,"&lt;=114699",'LANÇAMENTOS DIÁRIOS'!$P$5:$P$500,"&gt;=114600")&gt;0,"X","")</f>
      </c>
      <c r="AH6" s="56" t="str">
        <f>IF(COUNTIFS('LANÇAMENTOS DIÁRIOS'!$G$5:$G$500,"F",'LANÇAMENTOS DIÁRIOS'!$C$5:$C$500,$A6,'LANÇAMENTOS DIÁRIOS'!$O$5:$O$500,"&lt;=114799",'LANÇAMENTOS DIÁRIOS'!$P$5:$P$500,"&gt;=114700")&gt;0,"X","")</f>
      </c>
      <c r="AI6" s="56" t="str">
        <f>IF(COUNTIFS('LANÇAMENTOS DIÁRIOS'!$G$5:$G$500,"F",'LANÇAMENTOS DIÁRIOS'!$C$5:$C$500,$A6,'LANÇAMENTOS DIÁRIOS'!$O$5:$O$500,"&lt;=114899",'LANÇAMENTOS DIÁRIOS'!$P$5:$P$500,"&gt;=114800")&gt;0,"X","")</f>
      </c>
      <c r="AJ6" s="56" t="str">
        <f>IF(COUNTIFS('LANÇAMENTOS DIÁRIOS'!$G$5:$G$500,"F",'LANÇAMENTOS DIÁRIOS'!$C$5:$C$500,$A6,'LANÇAMENTOS DIÁRIOS'!$O$5:$O$500,"&lt;=114999",'LANÇAMENTOS DIÁRIOS'!$P$5:$P$500,"&gt;=114900")&gt;0,"X","")</f>
      </c>
      <c r="AK6" s="56" t="str">
        <f>IF(COUNTIFS('LANÇAMENTOS DIÁRIOS'!$G$5:$G$500,"F",'LANÇAMENTOS DIÁRIOS'!$C$5:$C$500,$A6,'LANÇAMENTOS DIÁRIOS'!$O$5:$O$500,"&lt;=115099",'LANÇAMENTOS DIÁRIOS'!$P$5:$P$500,"&gt;=115000")&gt;0,"X","")</f>
      </c>
      <c r="AL6" s="56" t="str">
        <f>IF(COUNTIFS('LANÇAMENTOS DIÁRIOS'!$G$5:$G$500,"F",'LANÇAMENTOS DIÁRIOS'!$C$5:$C$500,$A6,'LANÇAMENTOS DIÁRIOS'!$O$5:$O$500,"&lt;=115199",'LANÇAMENTOS DIÁRIOS'!$P$5:$P$500,"&gt;=115100")&gt;0,"X","")</f>
      </c>
      <c r="AM6" s="56" t="str">
        <f>IF(COUNTIFS('LANÇAMENTOS DIÁRIOS'!$G$5:$G$500,"F",'LANÇAMENTOS DIÁRIOS'!$C$5:$C$500,$A6,'LANÇAMENTOS DIÁRIOS'!$O$5:$O$500,"&lt;=115299",'LANÇAMENTOS DIÁRIOS'!$P$5:$P$500,"&gt;=115200")&gt;0,"X","")</f>
      </c>
      <c r="AN6" s="56" t="str">
        <f>IF(COUNTIFS('LANÇAMENTOS DIÁRIOS'!$G$5:$G$500,"F",'LANÇAMENTOS DIÁRIOS'!$C$5:$C$500,$A6,'LANÇAMENTOS DIÁRIOS'!$O$5:$O$500,"&lt;=115399",'LANÇAMENTOS DIÁRIOS'!$P$5:$P$500,"&gt;=115300")&gt;0,"X","")</f>
      </c>
      <c r="AO6" s="56" t="str">
        <f>IF(COUNTIFS('LANÇAMENTOS DIÁRIOS'!$G$5:$G$500,"F",'LANÇAMENTOS DIÁRIOS'!$C$5:$C$500,$A6,'LANÇAMENTOS DIÁRIOS'!$O$5:$O$500,"&lt;=115499",'LANÇAMENTOS DIÁRIOS'!$P$5:$P$500,"&gt;=115400")&gt;0,"X","")</f>
      </c>
      <c r="AP6" s="56" t="str">
        <f>IF(COUNTIFS('LANÇAMENTOS DIÁRIOS'!$G$5:$G$500,"F",'LANÇAMENTOS DIÁRIOS'!$C$5:$C$500,$A6,'LANÇAMENTOS DIÁRIOS'!$O$5:$O$500,"&lt;=115599",'LANÇAMENTOS DIÁRIOS'!$P$5:$P$500,"&gt;=115500")&gt;0,"X","")</f>
      </c>
      <c r="AQ6" s="56" t="str">
        <f>IF(COUNTIFS('LANÇAMENTOS DIÁRIOS'!$G$5:$G$500,"F",'LANÇAMENTOS DIÁRIOS'!$C$5:$C$500,$A6,'LANÇAMENTOS DIÁRIOS'!$O$5:$O$500,"&lt;=115699",'LANÇAMENTOS DIÁRIOS'!$P$5:$P$500,"&gt;=115600")&gt;0,"X","")</f>
      </c>
      <c r="AR6" s="56" t="str">
        <f>IF(COUNTIFS('LANÇAMENTOS DIÁRIOS'!$G$5:$G$500,"F",'LANÇAMENTOS DIÁRIOS'!$C$5:$C$500,$A6,'LANÇAMENTOS DIÁRIOS'!$O$5:$O$500,"&lt;=115799",'LANÇAMENTOS DIÁRIOS'!$P$5:$P$500,"&gt;=115700")&gt;0,"X","")</f>
      </c>
      <c r="AS6" s="56" t="str">
        <f>IF(COUNTIFS('LANÇAMENTOS DIÁRIOS'!$G$5:$G$500,"F",'LANÇAMENTOS DIÁRIOS'!$C$5:$C$500,$A6,'LANÇAMENTOS DIÁRIOS'!$O$5:$O$500,"&lt;=115899",'LANÇAMENTOS DIÁRIOS'!$P$5:$P$500,"&gt;=115800")&gt;0,"X","")</f>
      </c>
      <c r="AT6" s="56" t="str">
        <f>IF(COUNTIFS('LANÇAMENTOS DIÁRIOS'!$G$5:$G$500,"F",'LANÇAMENTOS DIÁRIOS'!$C$5:$C$500,$A6,'LANÇAMENTOS DIÁRIOS'!$O$5:$O$500,"&lt;=115999",'LANÇAMENTOS DIÁRIOS'!$P$5:$P$500,"&gt;=115900")&gt;0,"X","")</f>
      </c>
      <c r="AU6" s="56" t="str">
        <f>IF(COUNTIFS('LANÇAMENTOS DIÁRIOS'!$G$5:$G$500,"F",'LANÇAMENTOS DIÁRIOS'!$C$5:$C$500,$A6,'LANÇAMENTOS DIÁRIOS'!$O$5:$O$500,"&lt;=116099",'LANÇAMENTOS DIÁRIOS'!$P$5:$P$500,"&gt;=116000")&gt;0,"X","")</f>
      </c>
      <c r="AV6" s="56" t="str">
        <f>IF(COUNTIFS('LANÇAMENTOS DIÁRIOS'!$G$5:$G$500,"F",'LANÇAMENTOS DIÁRIOS'!$C$5:$C$500,$A6,'LANÇAMENTOS DIÁRIOS'!$O$5:$O$500,"&lt;=116199",'LANÇAMENTOS DIÁRIOS'!$P$5:$P$500,"&gt;=116100")&gt;0,"X","")</f>
      </c>
      <c r="AW6" s="56" t="str">
        <f>IF(COUNTIFS('LANÇAMENTOS DIÁRIOS'!$G$5:$G$500,"F",'LANÇAMENTOS DIÁRIOS'!$C$5:$C$500,$A6,'LANÇAMENTOS DIÁRIOS'!$O$5:$O$500,"&lt;=116299",'LANÇAMENTOS DIÁRIOS'!$P$5:$P$500,"&gt;=116200")&gt;0,"X","")</f>
      </c>
      <c r="AX6" s="56" t="str">
        <f>IF(COUNTIFS('LANÇAMENTOS DIÁRIOS'!$G$5:$G$500,"F",'LANÇAMENTOS DIÁRIOS'!$C$5:$C$500,$A6,'LANÇAMENTOS DIÁRIOS'!$O$5:$O$500,"&lt;=116399",'LANÇAMENTOS DIÁRIOS'!$P$5:$P$500,"&gt;=116300")&gt;0,"X","")</f>
      </c>
      <c r="AY6" s="56" t="str">
        <f>IF(COUNTIFS('LANÇAMENTOS DIÁRIOS'!$G$5:$G$500,"F",'LANÇAMENTOS DIÁRIOS'!$C$5:$C$500,$A6,'LANÇAMENTOS DIÁRIOS'!$O$5:$O$500,"&lt;=116499",'LANÇAMENTOS DIÁRIOS'!$P$5:$P$500,"&gt;=116400")&gt;0,"X","")</f>
      </c>
      <c r="AZ6" s="56" t="str">
        <f>IF(COUNTIFS('LANÇAMENTOS DIÁRIOS'!$G$5:$G$500,"F",'LANÇAMENTOS DIÁRIOS'!$C$5:$C$500,$A6,'LANÇAMENTOS DIÁRIOS'!$O$5:$O$500,"&lt;=116599",'LANÇAMENTOS DIÁRIOS'!$P$5:$P$500,"&gt;=116500")&gt;0,"X","")</f>
      </c>
      <c r="BA6" s="56" t="str">
        <f>IF(COUNTIFS('LANÇAMENTOS DIÁRIOS'!$G$5:$G$500,"F",'LANÇAMENTOS DIÁRIOS'!$C$5:$C$500,$A6,'LANÇAMENTOS DIÁRIOS'!$O$5:$O$500,"&lt;=116699",'LANÇAMENTOS DIÁRIOS'!$P$5:$P$500,"&gt;=116600")&gt;0,"X","")</f>
      </c>
      <c r="BB6" s="56" t="str">
        <f>IF(COUNTIFS('LANÇAMENTOS DIÁRIOS'!$G$5:$G$500,"F",'LANÇAMENTOS DIÁRIOS'!$C$5:$C$500,$A6,'LANÇAMENTOS DIÁRIOS'!$O$5:$O$500,"&lt;=116799",'LANÇAMENTOS DIÁRIOS'!$P$5:$P$500,"&gt;=116700")&gt;0,"X","")</f>
      </c>
      <c r="BC6" s="56" t="str">
        <f>IF(COUNTIFS('LANÇAMENTOS DIÁRIOS'!$G$5:$G$500,"F",'LANÇAMENTOS DIÁRIOS'!$C$5:$C$500,$A6,'LANÇAMENTOS DIÁRIOS'!$O$5:$O$500,"&lt;=116899",'LANÇAMENTOS DIÁRIOS'!$P$5:$P$500,"&gt;=116800")&gt;0,"X","")</f>
      </c>
      <c r="BD6" s="56" t="str">
        <f>IF(COUNTIFS('LANÇAMENTOS DIÁRIOS'!$G$5:$G$500,"F",'LANÇAMENTOS DIÁRIOS'!$C$5:$C$500,$A6,'LANÇAMENTOS DIÁRIOS'!$O$5:$O$500,"&lt;=116999",'LANÇAMENTOS DIÁRIOS'!$P$5:$P$500,"&gt;=116900")&gt;0,"X","")</f>
      </c>
      <c r="BE6" s="56" t="str">
        <f>IF(COUNTIFS('LANÇAMENTOS DIÁRIOS'!$G$5:$G$500,"F",'LANÇAMENTOS DIÁRIOS'!$C$5:$C$500,$A6,'LANÇAMENTOS DIÁRIOS'!$O$5:$O$500,"&lt;=117099",'LANÇAMENTOS DIÁRIOS'!$P$5:$P$500,"&gt;=117000")&gt;0,"X","")</f>
      </c>
      <c r="BF6" s="56" t="str">
        <f>IF(COUNTIFS('LANÇAMENTOS DIÁRIOS'!$G$5:$G$500,"F",'LANÇAMENTOS DIÁRIOS'!$C$5:$C$500,$A6,'LANÇAMENTOS DIÁRIOS'!$O$5:$O$500,"&lt;=117199",'LANÇAMENTOS DIÁRIOS'!$P$5:$P$500,"&gt;=117100")&gt;0,"X","")</f>
      </c>
      <c r="BG6" s="56" t="str">
        <f>IF(COUNTIFS('LANÇAMENTOS DIÁRIOS'!$G$5:$G$500,"F",'LANÇAMENTOS DIÁRIOS'!$C$5:$C$500,$A6,'LANÇAMENTOS DIÁRIOS'!$O$5:$O$500,"&lt;=117219",'LANÇAMENTOS DIÁRIOS'!$P$5:$P$500,"&gt;=117200")&gt;0,"X","")</f>
      </c>
      <c r="BH6" s="56" t="str">
        <f>IF(COUNTIFS('LANÇAMENTOS DIÁRIOS'!$G$5:$G$500,"F",'LANÇAMENTOS DIÁRIOS'!$C$5:$C$500,$A6,'LANÇAMENTOS DIÁRIOS'!$O$5:$O$500,"&lt;=117220",'LANÇAMENTOS DIÁRIOS'!$P$5:$P$500,"&gt;=117220")&gt;0,"X","")</f>
      </c>
    </row>
    <row r="7">
      <c r="A7" s="51" t="str">
        <v>Remoção de placa de sinalização vertical instalada no solo</v>
      </c>
      <c r="B7" s="56" t="str">
        <f>IF(COUNTIFS('LANÇAMENTOS DIÁRIOS'!$G$5:$G$500,"F",'LANÇAMENTOS DIÁRIOS'!$C$5:$C$500,$A7,'LANÇAMENTOS DIÁRIOS'!$O$5:$O$500,"&lt;=111599",'LANÇAMENTOS DIÁRIOS'!$P$5:$P$500,"&gt;=111500")&gt;0,"X","")</f>
      </c>
      <c r="C7" s="56" t="str">
        <f>IF(COUNTIFS('LANÇAMENTOS DIÁRIOS'!$G$5:$G$500,"F",'LANÇAMENTOS DIÁRIOS'!$C$5:$C$500,$A7,'LANÇAMENTOS DIÁRIOS'!$O$5:$O$500,"&lt;=111699",'LANÇAMENTOS DIÁRIOS'!$P$5:$P$500,"&gt;=111600")&gt;0,"X","")</f>
      </c>
      <c r="D7" s="56" t="str">
        <f>IF(COUNTIFS('LANÇAMENTOS DIÁRIOS'!$G$5:$G$500,"F",'LANÇAMENTOS DIÁRIOS'!$C$5:$C$500,$A7,'LANÇAMENTOS DIÁRIOS'!$O$5:$O$500,"&lt;=111799",'LANÇAMENTOS DIÁRIOS'!$P$5:$P$500,"&gt;=111700")&gt;0,"X","")</f>
      </c>
      <c r="E7" s="56" t="str">
        <f>IF(COUNTIFS('LANÇAMENTOS DIÁRIOS'!$G$5:$G$500,"F",'LANÇAMENTOS DIÁRIOS'!$C$5:$C$500,$A7,'LANÇAMENTOS DIÁRIOS'!$O$5:$O$500,"&lt;=111899",'LANÇAMENTOS DIÁRIOS'!$P$5:$P$500,"&gt;=111800")&gt;0,"X","")</f>
      </c>
      <c r="F7" s="56" t="str">
        <f>IF(COUNTIFS('LANÇAMENTOS DIÁRIOS'!$G$5:$G$500,"F",'LANÇAMENTOS DIÁRIOS'!$C$5:$C$500,$A7,'LANÇAMENTOS DIÁRIOS'!$O$5:$O$500,"&lt;=111999",'LANÇAMENTOS DIÁRIOS'!$P$5:$P$500,"&gt;=111900")&gt;0,"X","")</f>
      </c>
      <c r="G7" s="56" t="str">
        <f>IF(COUNTIFS('LANÇAMENTOS DIÁRIOS'!$G$5:$G$500,"F",'LANÇAMENTOS DIÁRIOS'!$C$5:$C$500,$A7,'LANÇAMENTOS DIÁRIOS'!$O$5:$O$500,"&lt;=112099",'LANÇAMENTOS DIÁRIOS'!$P$5:$P$500,"&gt;=112000")&gt;0,"X","")</f>
      </c>
      <c r="H7" s="56" t="str">
        <f>IF(COUNTIFS('LANÇAMENTOS DIÁRIOS'!$G$5:$G$500,"F",'LANÇAMENTOS DIÁRIOS'!$C$5:$C$500,$A7,'LANÇAMENTOS DIÁRIOS'!$O$5:$O$500,"&lt;=112199",'LANÇAMENTOS DIÁRIOS'!$P$5:$P$500,"&gt;=112100")&gt;0,"X","")</f>
      </c>
      <c r="I7" s="56" t="str">
        <f>IF(COUNTIFS('LANÇAMENTOS DIÁRIOS'!$G$5:$G$500,"F",'LANÇAMENTOS DIÁRIOS'!$C$5:$C$500,$A7,'LANÇAMENTOS DIÁRIOS'!$O$5:$O$500,"&lt;=112299",'LANÇAMENTOS DIÁRIOS'!$P$5:$P$500,"&gt;=112200")&gt;0,"X","")</f>
      </c>
      <c r="J7" s="56" t="str">
        <f>IF(COUNTIFS('LANÇAMENTOS DIÁRIOS'!$G$5:$G$500,"F",'LANÇAMENTOS DIÁRIOS'!$C$5:$C$500,$A7,'LANÇAMENTOS DIÁRIOS'!$O$5:$O$500,"&lt;=112399",'LANÇAMENTOS DIÁRIOS'!$P$5:$P$500,"&gt;=112300")&gt;0,"X","")</f>
      </c>
      <c r="K7" s="56" t="str">
        <f>IF(COUNTIFS('LANÇAMENTOS DIÁRIOS'!$G$5:$G$500,"F",'LANÇAMENTOS DIÁRIOS'!$C$5:$C$500,$A7,'LANÇAMENTOS DIÁRIOS'!$O$5:$O$500,"&lt;=112499",'LANÇAMENTOS DIÁRIOS'!$P$5:$P$500,"&gt;=112400")&gt;0,"X","")</f>
      </c>
      <c r="L7" s="56" t="str">
        <f>IF(COUNTIFS('LANÇAMENTOS DIÁRIOS'!$G$5:$G$500,"F",'LANÇAMENTOS DIÁRIOS'!$C$5:$C$500,$A7,'LANÇAMENTOS DIÁRIOS'!$O$5:$O$500,"&lt;=112599",'LANÇAMENTOS DIÁRIOS'!$P$5:$P$500,"&gt;=112500")&gt;0,"X","")</f>
      </c>
      <c r="M7" s="56" t="str">
        <f>IF(COUNTIFS('LANÇAMENTOS DIÁRIOS'!$G$5:$G$500,"F",'LANÇAMENTOS DIÁRIOS'!$C$5:$C$500,$A7,'LANÇAMENTOS DIÁRIOS'!$O$5:$O$500,"&lt;=112699",'LANÇAMENTOS DIÁRIOS'!$P$5:$P$500,"&gt;=112600")&gt;0,"X","")</f>
      </c>
      <c r="N7" s="56" t="str">
        <f>IF(COUNTIFS('LANÇAMENTOS DIÁRIOS'!$G$5:$G$500,"F",'LANÇAMENTOS DIÁRIOS'!$C$5:$C$500,$A7,'LANÇAMENTOS DIÁRIOS'!$O$5:$O$500,"&lt;=112799",'LANÇAMENTOS DIÁRIOS'!$P$5:$P$500,"&gt;=112700")&gt;0,"X","")</f>
      </c>
      <c r="O7" s="56" t="str">
        <f>IF(COUNTIFS('LANÇAMENTOS DIÁRIOS'!$G$5:$G$500,"F",'LANÇAMENTOS DIÁRIOS'!$C$5:$C$500,$A7,'LANÇAMENTOS DIÁRIOS'!$O$5:$O$500,"&lt;=112899",'LANÇAMENTOS DIÁRIOS'!$P$5:$P$500,"&gt;=112800")&gt;0,"X","")</f>
      </c>
      <c r="P7" s="56" t="str">
        <f>IF(COUNTIFS('LANÇAMENTOS DIÁRIOS'!$G$5:$G$500,"F",'LANÇAMENTOS DIÁRIOS'!$C$5:$C$500,$A7,'LANÇAMENTOS DIÁRIOS'!$O$5:$O$500,"&lt;=112999",'LANÇAMENTOS DIÁRIOS'!$P$5:$P$500,"&gt;=112900")&gt;0,"X","")</f>
      </c>
      <c r="Q7" s="56" t="str">
        <f>IF(COUNTIFS('LANÇAMENTOS DIÁRIOS'!$G$5:$G$500,"F",'LANÇAMENTOS DIÁRIOS'!$C$5:$C$500,$A7,'LANÇAMENTOS DIÁRIOS'!$O$5:$O$500,"&lt;=113099",'LANÇAMENTOS DIÁRIOS'!$P$5:$P$500,"&gt;=113000")&gt;0,"X","")</f>
      </c>
      <c r="R7" s="56" t="str">
        <f>IF(COUNTIFS('LANÇAMENTOS DIÁRIOS'!$G$5:$G$500,"F",'LANÇAMENTOS DIÁRIOS'!$C$5:$C$500,$A7,'LANÇAMENTOS DIÁRIOS'!$O$5:$O$500,"&lt;=113199",'LANÇAMENTOS DIÁRIOS'!$P$5:$P$500,"&gt;=113100")&gt;0,"X","")</f>
      </c>
      <c r="S7" s="56" t="str">
        <f>IF(COUNTIFS('LANÇAMENTOS DIÁRIOS'!$G$5:$G$500,"F",'LANÇAMENTOS DIÁRIOS'!$C$5:$C$500,$A7,'LANÇAMENTOS DIÁRIOS'!$O$5:$O$500,"&lt;=113299",'LANÇAMENTOS DIÁRIOS'!$P$5:$P$500,"&gt;=113200")&gt;0,"X","")</f>
      </c>
      <c r="T7" s="56" t="str">
        <f>IF(COUNTIFS('LANÇAMENTOS DIÁRIOS'!$G$5:$G$500,"F",'LANÇAMENTOS DIÁRIOS'!$C$5:$C$500,$A7,'LANÇAMENTOS DIÁRIOS'!$O$5:$O$500,"&lt;=113399",'LANÇAMENTOS DIÁRIOS'!$P$5:$P$500,"&gt;=113300")&gt;0,"X","")</f>
      </c>
      <c r="U7" s="56" t="str">
        <f>IF(COUNTIFS('LANÇAMENTOS DIÁRIOS'!$G$5:$G$500,"F",'LANÇAMENTOS DIÁRIOS'!$C$5:$C$500,$A7,'LANÇAMENTOS DIÁRIOS'!$O$5:$O$500,"&lt;=113499",'LANÇAMENTOS DIÁRIOS'!$P$5:$P$500,"&gt;=113400")&gt;0,"X","")</f>
      </c>
      <c r="V7" s="56" t="str">
        <f>IF(COUNTIFS('LANÇAMENTOS DIÁRIOS'!$G$5:$G$500,"F",'LANÇAMENTOS DIÁRIOS'!$C$5:$C$500,$A7,'LANÇAMENTOS DIÁRIOS'!$O$5:$O$500,"&lt;=113599",'LANÇAMENTOS DIÁRIOS'!$P$5:$P$500,"&gt;=113500")&gt;0,"X","")</f>
      </c>
      <c r="W7" s="56" t="str">
        <f>IF(COUNTIFS('LANÇAMENTOS DIÁRIOS'!$G$5:$G$500,"F",'LANÇAMENTOS DIÁRIOS'!$C$5:$C$500,$A7,'LANÇAMENTOS DIÁRIOS'!$O$5:$O$500,"&lt;=113699",'LANÇAMENTOS DIÁRIOS'!$P$5:$P$500,"&gt;=113600")&gt;0,"X","")</f>
      </c>
      <c r="X7" s="56" t="str">
        <f>IF(COUNTIFS('LANÇAMENTOS DIÁRIOS'!$G$5:$G$500,"F",'LANÇAMENTOS DIÁRIOS'!$C$5:$C$500,$A7,'LANÇAMENTOS DIÁRIOS'!$O$5:$O$500,"&lt;=113799",'LANÇAMENTOS DIÁRIOS'!$P$5:$P$500,"&gt;=113700")&gt;0,"X","")</f>
      </c>
      <c r="Y7" s="56" t="str">
        <f>IF(COUNTIFS('LANÇAMENTOS DIÁRIOS'!$G$5:$G$500,"F",'LANÇAMENTOS DIÁRIOS'!$C$5:$C$500,$A7,'LANÇAMENTOS DIÁRIOS'!$O$5:$O$500,"&lt;=113899",'LANÇAMENTOS DIÁRIOS'!$P$5:$P$500,"&gt;=113800")&gt;0,"X","")</f>
      </c>
      <c r="Z7" s="56" t="str">
        <f>IF(COUNTIFS('LANÇAMENTOS DIÁRIOS'!$G$5:$G$500,"F",'LANÇAMENTOS DIÁRIOS'!$C$5:$C$500,$A7,'LANÇAMENTOS DIÁRIOS'!$O$5:$O$500,"&lt;=113999",'LANÇAMENTOS DIÁRIOS'!$P$5:$P$500,"&gt;=113900")&gt;0,"X","")</f>
      </c>
      <c r="AA7" s="56" t="str">
        <f>IF(COUNTIFS('LANÇAMENTOS DIÁRIOS'!$G$5:$G$500,"F",'LANÇAMENTOS DIÁRIOS'!$C$5:$C$500,$A7,'LANÇAMENTOS DIÁRIOS'!$O$5:$O$500,"&lt;=114099",'LANÇAMENTOS DIÁRIOS'!$P$5:$P$500,"&gt;=114000")&gt;0,"X","")</f>
      </c>
      <c r="AB7" s="56" t="str">
        <f>IF(COUNTIFS('LANÇAMENTOS DIÁRIOS'!$G$5:$G$500,"F",'LANÇAMENTOS DIÁRIOS'!$C$5:$C$500,$A7,'LANÇAMENTOS DIÁRIOS'!$O$5:$O$500,"&lt;=114199",'LANÇAMENTOS DIÁRIOS'!$P$5:$P$500,"&gt;=114100")&gt;0,"X","")</f>
      </c>
      <c r="AC7" s="56" t="str">
        <f>IF(COUNTIFS('LANÇAMENTOS DIÁRIOS'!$G$5:$G$500,"F",'LANÇAMENTOS DIÁRIOS'!$C$5:$C$500,$A7,'LANÇAMENTOS DIÁRIOS'!$O$5:$O$500,"&lt;=114299",'LANÇAMENTOS DIÁRIOS'!$P$5:$P$500,"&gt;=114200")&gt;0,"X","")</f>
      </c>
      <c r="AD7" s="56" t="str">
        <f>IF(COUNTIFS('LANÇAMENTOS DIÁRIOS'!$G$5:$G$500,"F",'LANÇAMENTOS DIÁRIOS'!$C$5:$C$500,$A7,'LANÇAMENTOS DIÁRIOS'!$O$5:$O$500,"&lt;=114399",'LANÇAMENTOS DIÁRIOS'!$P$5:$P$500,"&gt;=114300")&gt;0,"X","")</f>
      </c>
      <c r="AE7" s="56" t="str">
        <f>IF(COUNTIFS('LANÇAMENTOS DIÁRIOS'!$G$5:$G$500,"F",'LANÇAMENTOS DIÁRIOS'!$C$5:$C$500,$A7,'LANÇAMENTOS DIÁRIOS'!$O$5:$O$500,"&lt;=114499",'LANÇAMENTOS DIÁRIOS'!$P$5:$P$500,"&gt;=114400")&gt;0,"X","")</f>
      </c>
      <c r="AF7" s="56" t="str">
        <f>IF(COUNTIFS('LANÇAMENTOS DIÁRIOS'!$G$5:$G$500,"F",'LANÇAMENTOS DIÁRIOS'!$C$5:$C$500,$A7,'LANÇAMENTOS DIÁRIOS'!$O$5:$O$500,"&lt;=114599",'LANÇAMENTOS DIÁRIOS'!$P$5:$P$500,"&gt;=114500")&gt;0,"X","")</f>
      </c>
      <c r="AG7" s="56" t="str">
        <f>IF(COUNTIFS('LANÇAMENTOS DIÁRIOS'!$G$5:$G$500,"F",'LANÇAMENTOS DIÁRIOS'!$C$5:$C$500,$A7,'LANÇAMENTOS DIÁRIOS'!$O$5:$O$500,"&lt;=114699",'LANÇAMENTOS DIÁRIOS'!$P$5:$P$500,"&gt;=114600")&gt;0,"X","")</f>
      </c>
      <c r="AH7" s="56" t="str">
        <f>IF(COUNTIFS('LANÇAMENTOS DIÁRIOS'!$G$5:$G$500,"F",'LANÇAMENTOS DIÁRIOS'!$C$5:$C$500,$A7,'LANÇAMENTOS DIÁRIOS'!$O$5:$O$500,"&lt;=114799",'LANÇAMENTOS DIÁRIOS'!$P$5:$P$500,"&gt;=114700")&gt;0,"X","")</f>
      </c>
      <c r="AI7" s="56" t="str">
        <f>IF(COUNTIFS('LANÇAMENTOS DIÁRIOS'!$G$5:$G$500,"F",'LANÇAMENTOS DIÁRIOS'!$C$5:$C$500,$A7,'LANÇAMENTOS DIÁRIOS'!$O$5:$O$500,"&lt;=114899",'LANÇAMENTOS DIÁRIOS'!$P$5:$P$500,"&gt;=114800")&gt;0,"X","")</f>
      </c>
      <c r="AJ7" s="56" t="str">
        <f>IF(COUNTIFS('LANÇAMENTOS DIÁRIOS'!$G$5:$G$500,"F",'LANÇAMENTOS DIÁRIOS'!$C$5:$C$500,$A7,'LANÇAMENTOS DIÁRIOS'!$O$5:$O$500,"&lt;=114999",'LANÇAMENTOS DIÁRIOS'!$P$5:$P$500,"&gt;=114900")&gt;0,"X","")</f>
      </c>
      <c r="AK7" s="56" t="str">
        <f>IF(COUNTIFS('LANÇAMENTOS DIÁRIOS'!$G$5:$G$500,"F",'LANÇAMENTOS DIÁRIOS'!$C$5:$C$500,$A7,'LANÇAMENTOS DIÁRIOS'!$O$5:$O$500,"&lt;=115099",'LANÇAMENTOS DIÁRIOS'!$P$5:$P$500,"&gt;=115000")&gt;0,"X","")</f>
      </c>
      <c r="AL7" s="56" t="str">
        <f>IF(COUNTIFS('LANÇAMENTOS DIÁRIOS'!$G$5:$G$500,"F",'LANÇAMENTOS DIÁRIOS'!$C$5:$C$500,$A7,'LANÇAMENTOS DIÁRIOS'!$O$5:$O$500,"&lt;=115199",'LANÇAMENTOS DIÁRIOS'!$P$5:$P$500,"&gt;=115100")&gt;0,"X","")</f>
      </c>
      <c r="AM7" s="56" t="str">
        <f>IF(COUNTIFS('LANÇAMENTOS DIÁRIOS'!$G$5:$G$500,"F",'LANÇAMENTOS DIÁRIOS'!$C$5:$C$500,$A7,'LANÇAMENTOS DIÁRIOS'!$O$5:$O$500,"&lt;=115299",'LANÇAMENTOS DIÁRIOS'!$P$5:$P$500,"&gt;=115200")&gt;0,"X","")</f>
      </c>
      <c r="AN7" s="56" t="str">
        <f>IF(COUNTIFS('LANÇAMENTOS DIÁRIOS'!$G$5:$G$500,"F",'LANÇAMENTOS DIÁRIOS'!$C$5:$C$500,$A7,'LANÇAMENTOS DIÁRIOS'!$O$5:$O$500,"&lt;=115399",'LANÇAMENTOS DIÁRIOS'!$P$5:$P$500,"&gt;=115300")&gt;0,"X","")</f>
      </c>
      <c r="AO7" s="56" t="str">
        <f>IF(COUNTIFS('LANÇAMENTOS DIÁRIOS'!$G$5:$G$500,"F",'LANÇAMENTOS DIÁRIOS'!$C$5:$C$500,$A7,'LANÇAMENTOS DIÁRIOS'!$O$5:$O$500,"&lt;=115499",'LANÇAMENTOS DIÁRIOS'!$P$5:$P$500,"&gt;=115400")&gt;0,"X","")</f>
      </c>
      <c r="AP7" s="56" t="str">
        <f>IF(COUNTIFS('LANÇAMENTOS DIÁRIOS'!$G$5:$G$500,"F",'LANÇAMENTOS DIÁRIOS'!$C$5:$C$500,$A7,'LANÇAMENTOS DIÁRIOS'!$O$5:$O$500,"&lt;=115599",'LANÇAMENTOS DIÁRIOS'!$P$5:$P$500,"&gt;=115500")&gt;0,"X","")</f>
      </c>
      <c r="AQ7" s="56" t="str">
        <f>IF(COUNTIFS('LANÇAMENTOS DIÁRIOS'!$G$5:$G$500,"F",'LANÇAMENTOS DIÁRIOS'!$C$5:$C$500,$A7,'LANÇAMENTOS DIÁRIOS'!$O$5:$O$500,"&lt;=115699",'LANÇAMENTOS DIÁRIOS'!$P$5:$P$500,"&gt;=115600")&gt;0,"X","")</f>
      </c>
      <c r="AR7" s="56" t="str">
        <f>IF(COUNTIFS('LANÇAMENTOS DIÁRIOS'!$G$5:$G$500,"F",'LANÇAMENTOS DIÁRIOS'!$C$5:$C$500,$A7,'LANÇAMENTOS DIÁRIOS'!$O$5:$O$500,"&lt;=115799",'LANÇAMENTOS DIÁRIOS'!$P$5:$P$500,"&gt;=115700")&gt;0,"X","")</f>
      </c>
      <c r="AS7" s="56" t="str">
        <f>IF(COUNTIFS('LANÇAMENTOS DIÁRIOS'!$G$5:$G$500,"F",'LANÇAMENTOS DIÁRIOS'!$C$5:$C$500,$A7,'LANÇAMENTOS DIÁRIOS'!$O$5:$O$500,"&lt;=115899",'LANÇAMENTOS DIÁRIOS'!$P$5:$P$500,"&gt;=115800")&gt;0,"X","")</f>
      </c>
      <c r="AT7" s="56" t="str">
        <f>IF(COUNTIFS('LANÇAMENTOS DIÁRIOS'!$G$5:$G$500,"F",'LANÇAMENTOS DIÁRIOS'!$C$5:$C$500,$A7,'LANÇAMENTOS DIÁRIOS'!$O$5:$O$500,"&lt;=115999",'LANÇAMENTOS DIÁRIOS'!$P$5:$P$500,"&gt;=115900")&gt;0,"X","")</f>
      </c>
      <c r="AU7" s="56" t="str">
        <f>IF(COUNTIFS('LANÇAMENTOS DIÁRIOS'!$G$5:$G$500,"F",'LANÇAMENTOS DIÁRIOS'!$C$5:$C$500,$A7,'LANÇAMENTOS DIÁRIOS'!$O$5:$O$500,"&lt;=116099",'LANÇAMENTOS DIÁRIOS'!$P$5:$P$500,"&gt;=116000")&gt;0,"X","")</f>
      </c>
      <c r="AV7" s="56" t="str">
        <f>IF(COUNTIFS('LANÇAMENTOS DIÁRIOS'!$G$5:$G$500,"F",'LANÇAMENTOS DIÁRIOS'!$C$5:$C$500,$A7,'LANÇAMENTOS DIÁRIOS'!$O$5:$O$500,"&lt;=116199",'LANÇAMENTOS DIÁRIOS'!$P$5:$P$500,"&gt;=116100")&gt;0,"X","")</f>
      </c>
      <c r="AW7" s="56" t="str">
        <f>IF(COUNTIFS('LANÇAMENTOS DIÁRIOS'!$G$5:$G$500,"F",'LANÇAMENTOS DIÁRIOS'!$C$5:$C$500,$A7,'LANÇAMENTOS DIÁRIOS'!$O$5:$O$500,"&lt;=116299",'LANÇAMENTOS DIÁRIOS'!$P$5:$P$500,"&gt;=116200")&gt;0,"X","")</f>
      </c>
      <c r="AX7" s="56" t="str">
        <f>IF(COUNTIFS('LANÇAMENTOS DIÁRIOS'!$G$5:$G$500,"F",'LANÇAMENTOS DIÁRIOS'!$C$5:$C$500,$A7,'LANÇAMENTOS DIÁRIOS'!$O$5:$O$500,"&lt;=116399",'LANÇAMENTOS DIÁRIOS'!$P$5:$P$500,"&gt;=116300")&gt;0,"X","")</f>
      </c>
      <c r="AY7" s="56" t="str">
        <f>IF(COUNTIFS('LANÇAMENTOS DIÁRIOS'!$G$5:$G$500,"F",'LANÇAMENTOS DIÁRIOS'!$C$5:$C$500,$A7,'LANÇAMENTOS DIÁRIOS'!$O$5:$O$500,"&lt;=116499",'LANÇAMENTOS DIÁRIOS'!$P$5:$P$500,"&gt;=116400")&gt;0,"X","")</f>
      </c>
      <c r="AZ7" s="56" t="str">
        <f>IF(COUNTIFS('LANÇAMENTOS DIÁRIOS'!$G$5:$G$500,"F",'LANÇAMENTOS DIÁRIOS'!$C$5:$C$500,$A7,'LANÇAMENTOS DIÁRIOS'!$O$5:$O$500,"&lt;=116599",'LANÇAMENTOS DIÁRIOS'!$P$5:$P$500,"&gt;=116500")&gt;0,"X","")</f>
      </c>
      <c r="BA7" s="56" t="str">
        <f>IF(COUNTIFS('LANÇAMENTOS DIÁRIOS'!$G$5:$G$500,"F",'LANÇAMENTOS DIÁRIOS'!$C$5:$C$500,$A7,'LANÇAMENTOS DIÁRIOS'!$O$5:$O$500,"&lt;=116699",'LANÇAMENTOS DIÁRIOS'!$P$5:$P$500,"&gt;=116600")&gt;0,"X","")</f>
      </c>
      <c r="BB7" s="56" t="str">
        <f>IF(COUNTIFS('LANÇAMENTOS DIÁRIOS'!$G$5:$G$500,"F",'LANÇAMENTOS DIÁRIOS'!$C$5:$C$500,$A7,'LANÇAMENTOS DIÁRIOS'!$O$5:$O$500,"&lt;=116799",'LANÇAMENTOS DIÁRIOS'!$P$5:$P$500,"&gt;=116700")&gt;0,"X","")</f>
      </c>
      <c r="BC7" s="56" t="str">
        <f>IF(COUNTIFS('LANÇAMENTOS DIÁRIOS'!$G$5:$G$500,"F",'LANÇAMENTOS DIÁRIOS'!$C$5:$C$500,$A7,'LANÇAMENTOS DIÁRIOS'!$O$5:$O$500,"&lt;=116899",'LANÇAMENTOS DIÁRIOS'!$P$5:$P$500,"&gt;=116800")&gt;0,"X","")</f>
      </c>
      <c r="BD7" s="56" t="str">
        <f>IF(COUNTIFS('LANÇAMENTOS DIÁRIOS'!$G$5:$G$500,"F",'LANÇAMENTOS DIÁRIOS'!$C$5:$C$500,$A7,'LANÇAMENTOS DIÁRIOS'!$O$5:$O$500,"&lt;=116999",'LANÇAMENTOS DIÁRIOS'!$P$5:$P$500,"&gt;=116900")&gt;0,"X","")</f>
      </c>
      <c r="BE7" s="56" t="str">
        <f>IF(COUNTIFS('LANÇAMENTOS DIÁRIOS'!$G$5:$G$500,"F",'LANÇAMENTOS DIÁRIOS'!$C$5:$C$500,$A7,'LANÇAMENTOS DIÁRIOS'!$O$5:$O$500,"&lt;=117099",'LANÇAMENTOS DIÁRIOS'!$P$5:$P$500,"&gt;=117000")&gt;0,"X","")</f>
      </c>
      <c r="BF7" s="56" t="str">
        <f>IF(COUNTIFS('LANÇAMENTOS DIÁRIOS'!$G$5:$G$500,"F",'LANÇAMENTOS DIÁRIOS'!$C$5:$C$500,$A7,'LANÇAMENTOS DIÁRIOS'!$O$5:$O$500,"&lt;=117199",'LANÇAMENTOS DIÁRIOS'!$P$5:$P$500,"&gt;=117100")&gt;0,"X","")</f>
      </c>
      <c r="BG7" s="56" t="str">
        <f>IF(COUNTIFS('LANÇAMENTOS DIÁRIOS'!$G$5:$G$500,"F",'LANÇAMENTOS DIÁRIOS'!$C$5:$C$500,$A7,'LANÇAMENTOS DIÁRIOS'!$O$5:$O$500,"&lt;=117219",'LANÇAMENTOS DIÁRIOS'!$P$5:$P$500,"&gt;=117200")&gt;0,"X","")</f>
      </c>
      <c r="BH7" s="56" t="str">
        <f>IF(COUNTIFS('LANÇAMENTOS DIÁRIOS'!$G$5:$G$500,"F",'LANÇAMENTOS DIÁRIOS'!$C$5:$C$500,$A7,'LANÇAMENTOS DIÁRIOS'!$O$5:$O$500,"&lt;=117220",'LANÇAMENTOS DIÁRIOS'!$P$5:$P$500,"&gt;=117220")&gt;0,"X","")</f>
      </c>
    </row>
    <row r="8">
      <c r="A8" s="51" t="str">
        <v>Demolição de OAE (Km 84+100)</v>
      </c>
      <c r="B8" s="56" t="str">
        <f>IF(COUNTIFS('LANÇAMENTOS DIÁRIOS'!$G$5:$G$500,"F",'LANÇAMENTOS DIÁRIOS'!$C$5:$C$500,$A8,'LANÇAMENTOS DIÁRIOS'!$O$5:$O$500,"&lt;=111599",'LANÇAMENTOS DIÁRIOS'!$P$5:$P$500,"&gt;=111500")&gt;0,"X","")</f>
      </c>
      <c r="C8" s="56" t="str">
        <f>IF(COUNTIFS('LANÇAMENTOS DIÁRIOS'!$G$5:$G$500,"F",'LANÇAMENTOS DIÁRIOS'!$C$5:$C$500,$A8,'LANÇAMENTOS DIÁRIOS'!$O$5:$O$500,"&lt;=111699",'LANÇAMENTOS DIÁRIOS'!$P$5:$P$500,"&gt;=111600")&gt;0,"X","")</f>
      </c>
      <c r="D8" s="56" t="str">
        <f>IF(COUNTIFS('LANÇAMENTOS DIÁRIOS'!$G$5:$G$500,"F",'LANÇAMENTOS DIÁRIOS'!$C$5:$C$500,$A8,'LANÇAMENTOS DIÁRIOS'!$O$5:$O$500,"&lt;=111799",'LANÇAMENTOS DIÁRIOS'!$P$5:$P$500,"&gt;=111700")&gt;0,"X","")</f>
      </c>
      <c r="E8" s="56" t="str">
        <f>IF(COUNTIFS('LANÇAMENTOS DIÁRIOS'!$G$5:$G$500,"F",'LANÇAMENTOS DIÁRIOS'!$C$5:$C$500,$A8,'LANÇAMENTOS DIÁRIOS'!$O$5:$O$500,"&lt;=111899",'LANÇAMENTOS DIÁRIOS'!$P$5:$P$500,"&gt;=111800")&gt;0,"X","")</f>
      </c>
      <c r="F8" s="56" t="str">
        <f>IF(COUNTIFS('LANÇAMENTOS DIÁRIOS'!$G$5:$G$500,"F",'LANÇAMENTOS DIÁRIOS'!$C$5:$C$500,$A8,'LANÇAMENTOS DIÁRIOS'!$O$5:$O$500,"&lt;=111999",'LANÇAMENTOS DIÁRIOS'!$P$5:$P$500,"&gt;=111900")&gt;0,"X","")</f>
      </c>
      <c r="G8" s="56" t="str">
        <f>IF(COUNTIFS('LANÇAMENTOS DIÁRIOS'!$G$5:$G$500,"F",'LANÇAMENTOS DIÁRIOS'!$C$5:$C$500,$A8,'LANÇAMENTOS DIÁRIOS'!$O$5:$O$500,"&lt;=112099",'LANÇAMENTOS DIÁRIOS'!$P$5:$P$500,"&gt;=112000")&gt;0,"X","")</f>
      </c>
      <c r="H8" s="56" t="str">
        <f>IF(COUNTIFS('LANÇAMENTOS DIÁRIOS'!$G$5:$G$500,"F",'LANÇAMENTOS DIÁRIOS'!$C$5:$C$500,$A8,'LANÇAMENTOS DIÁRIOS'!$O$5:$O$500,"&lt;=112199",'LANÇAMENTOS DIÁRIOS'!$P$5:$P$500,"&gt;=112100")&gt;0,"X","")</f>
      </c>
      <c r="I8" s="56" t="str">
        <f>IF(COUNTIFS('LANÇAMENTOS DIÁRIOS'!$G$5:$G$500,"F",'LANÇAMENTOS DIÁRIOS'!$C$5:$C$500,$A8,'LANÇAMENTOS DIÁRIOS'!$O$5:$O$500,"&lt;=112299",'LANÇAMENTOS DIÁRIOS'!$P$5:$P$500,"&gt;=112200")&gt;0,"X","")</f>
      </c>
      <c r="J8" s="56" t="str">
        <f>IF(COUNTIFS('LANÇAMENTOS DIÁRIOS'!$G$5:$G$500,"F",'LANÇAMENTOS DIÁRIOS'!$C$5:$C$500,$A8,'LANÇAMENTOS DIÁRIOS'!$O$5:$O$500,"&lt;=112399",'LANÇAMENTOS DIÁRIOS'!$P$5:$P$500,"&gt;=112300")&gt;0,"X","")</f>
      </c>
      <c r="K8" s="56" t="str">
        <f>IF(COUNTIFS('LANÇAMENTOS DIÁRIOS'!$G$5:$G$500,"F",'LANÇAMENTOS DIÁRIOS'!$C$5:$C$500,$A8,'LANÇAMENTOS DIÁRIOS'!$O$5:$O$500,"&lt;=112499",'LANÇAMENTOS DIÁRIOS'!$P$5:$P$500,"&gt;=112400")&gt;0,"X","")</f>
      </c>
      <c r="L8" s="56" t="str">
        <f>IF(COUNTIFS('LANÇAMENTOS DIÁRIOS'!$G$5:$G$500,"F",'LANÇAMENTOS DIÁRIOS'!$C$5:$C$500,$A8,'LANÇAMENTOS DIÁRIOS'!$O$5:$O$500,"&lt;=112599",'LANÇAMENTOS DIÁRIOS'!$P$5:$P$500,"&gt;=112500")&gt;0,"X","")</f>
      </c>
      <c r="M8" s="56" t="str">
        <f>IF(COUNTIFS('LANÇAMENTOS DIÁRIOS'!$G$5:$G$500,"F",'LANÇAMENTOS DIÁRIOS'!$C$5:$C$500,$A8,'LANÇAMENTOS DIÁRIOS'!$O$5:$O$500,"&lt;=112699",'LANÇAMENTOS DIÁRIOS'!$P$5:$P$500,"&gt;=112600")&gt;0,"X","")</f>
      </c>
      <c r="N8" s="56" t="str">
        <f>IF(COUNTIFS('LANÇAMENTOS DIÁRIOS'!$G$5:$G$500,"F",'LANÇAMENTOS DIÁRIOS'!$C$5:$C$500,$A8,'LANÇAMENTOS DIÁRIOS'!$O$5:$O$500,"&lt;=112799",'LANÇAMENTOS DIÁRIOS'!$P$5:$P$500,"&gt;=112700")&gt;0,"X","")</f>
      </c>
      <c r="O8" s="56" t="str">
        <f>IF(COUNTIFS('LANÇAMENTOS DIÁRIOS'!$G$5:$G$500,"F",'LANÇAMENTOS DIÁRIOS'!$C$5:$C$500,$A8,'LANÇAMENTOS DIÁRIOS'!$O$5:$O$500,"&lt;=112899",'LANÇAMENTOS DIÁRIOS'!$P$5:$P$500,"&gt;=112800")&gt;0,"X","")</f>
      </c>
      <c r="P8" s="56" t="str">
        <f>IF(COUNTIFS('LANÇAMENTOS DIÁRIOS'!$G$5:$G$500,"F",'LANÇAMENTOS DIÁRIOS'!$C$5:$C$500,$A8,'LANÇAMENTOS DIÁRIOS'!$O$5:$O$500,"&lt;=112999",'LANÇAMENTOS DIÁRIOS'!$P$5:$P$500,"&gt;=112900")&gt;0,"X","")</f>
      </c>
      <c r="Q8" s="56" t="str">
        <f>IF(COUNTIFS('LANÇAMENTOS DIÁRIOS'!$G$5:$G$500,"F",'LANÇAMENTOS DIÁRIOS'!$C$5:$C$500,$A8,'LANÇAMENTOS DIÁRIOS'!$O$5:$O$500,"&lt;=113099",'LANÇAMENTOS DIÁRIOS'!$P$5:$P$500,"&gt;=113000")&gt;0,"X","")</f>
      </c>
      <c r="R8" s="56" t="str">
        <f>IF(COUNTIFS('LANÇAMENTOS DIÁRIOS'!$G$5:$G$500,"F",'LANÇAMENTOS DIÁRIOS'!$C$5:$C$500,$A8,'LANÇAMENTOS DIÁRIOS'!$O$5:$O$500,"&lt;=113199",'LANÇAMENTOS DIÁRIOS'!$P$5:$P$500,"&gt;=113100")&gt;0,"X","")</f>
      </c>
      <c r="S8" s="56" t="str">
        <f>IF(COUNTIFS('LANÇAMENTOS DIÁRIOS'!$G$5:$G$500,"F",'LANÇAMENTOS DIÁRIOS'!$C$5:$C$500,$A8,'LANÇAMENTOS DIÁRIOS'!$O$5:$O$500,"&lt;=113299",'LANÇAMENTOS DIÁRIOS'!$P$5:$P$500,"&gt;=113200")&gt;0,"X","")</f>
      </c>
      <c r="T8" s="56" t="str">
        <f>IF(COUNTIFS('LANÇAMENTOS DIÁRIOS'!$G$5:$G$500,"F",'LANÇAMENTOS DIÁRIOS'!$C$5:$C$500,$A8,'LANÇAMENTOS DIÁRIOS'!$O$5:$O$500,"&lt;=113399",'LANÇAMENTOS DIÁRIOS'!$P$5:$P$500,"&gt;=113300")&gt;0,"X","")</f>
      </c>
      <c r="U8" s="56" t="str">
        <f>IF(COUNTIFS('LANÇAMENTOS DIÁRIOS'!$G$5:$G$500,"F",'LANÇAMENTOS DIÁRIOS'!$C$5:$C$500,$A8,'LANÇAMENTOS DIÁRIOS'!$O$5:$O$500,"&lt;=113499",'LANÇAMENTOS DIÁRIOS'!$P$5:$P$500,"&gt;=113400")&gt;0,"X","")</f>
      </c>
      <c r="V8" s="56" t="str">
        <f>IF(COUNTIFS('LANÇAMENTOS DIÁRIOS'!$G$5:$G$500,"F",'LANÇAMENTOS DIÁRIOS'!$C$5:$C$500,$A8,'LANÇAMENTOS DIÁRIOS'!$O$5:$O$500,"&lt;=113599",'LANÇAMENTOS DIÁRIOS'!$P$5:$P$500,"&gt;=113500")&gt;0,"X","")</f>
      </c>
      <c r="W8" s="56" t="str">
        <f>IF(COUNTIFS('LANÇAMENTOS DIÁRIOS'!$G$5:$G$500,"F",'LANÇAMENTOS DIÁRIOS'!$C$5:$C$500,$A8,'LANÇAMENTOS DIÁRIOS'!$O$5:$O$500,"&lt;=113699",'LANÇAMENTOS DIÁRIOS'!$P$5:$P$500,"&gt;=113600")&gt;0,"X","")</f>
      </c>
      <c r="X8" s="56" t="str">
        <f>IF(COUNTIFS('LANÇAMENTOS DIÁRIOS'!$G$5:$G$500,"F",'LANÇAMENTOS DIÁRIOS'!$C$5:$C$500,$A8,'LANÇAMENTOS DIÁRIOS'!$O$5:$O$500,"&lt;=113799",'LANÇAMENTOS DIÁRIOS'!$P$5:$P$500,"&gt;=113700")&gt;0,"X","")</f>
      </c>
      <c r="Y8" s="56" t="str">
        <f>IF(COUNTIFS('LANÇAMENTOS DIÁRIOS'!$G$5:$G$500,"F",'LANÇAMENTOS DIÁRIOS'!$C$5:$C$500,$A8,'LANÇAMENTOS DIÁRIOS'!$O$5:$O$500,"&lt;=113899",'LANÇAMENTOS DIÁRIOS'!$P$5:$P$500,"&gt;=113800")&gt;0,"X","")</f>
      </c>
      <c r="Z8" s="56" t="str">
        <f>IF(COUNTIFS('LANÇAMENTOS DIÁRIOS'!$G$5:$G$500,"F",'LANÇAMENTOS DIÁRIOS'!$C$5:$C$500,$A8,'LANÇAMENTOS DIÁRIOS'!$O$5:$O$500,"&lt;=113999",'LANÇAMENTOS DIÁRIOS'!$P$5:$P$500,"&gt;=113900")&gt;0,"X","")</f>
      </c>
      <c r="AA8" s="56" t="str">
        <f>IF(COUNTIFS('LANÇAMENTOS DIÁRIOS'!$G$5:$G$500,"F",'LANÇAMENTOS DIÁRIOS'!$C$5:$C$500,$A8,'LANÇAMENTOS DIÁRIOS'!$O$5:$O$500,"&lt;=114099",'LANÇAMENTOS DIÁRIOS'!$P$5:$P$500,"&gt;=114000")&gt;0,"X","")</f>
      </c>
      <c r="AB8" s="56" t="str">
        <f>IF(COUNTIFS('LANÇAMENTOS DIÁRIOS'!$G$5:$G$500,"F",'LANÇAMENTOS DIÁRIOS'!$C$5:$C$500,$A8,'LANÇAMENTOS DIÁRIOS'!$O$5:$O$500,"&lt;=114199",'LANÇAMENTOS DIÁRIOS'!$P$5:$P$500,"&gt;=114100")&gt;0,"X","")</f>
      </c>
      <c r="AC8" s="56" t="str">
        <f>IF(COUNTIFS('LANÇAMENTOS DIÁRIOS'!$G$5:$G$500,"F",'LANÇAMENTOS DIÁRIOS'!$C$5:$C$500,$A8,'LANÇAMENTOS DIÁRIOS'!$O$5:$O$500,"&lt;=114299",'LANÇAMENTOS DIÁRIOS'!$P$5:$P$500,"&gt;=114200")&gt;0,"X","")</f>
      </c>
      <c r="AD8" s="56" t="str">
        <f>IF(COUNTIFS('LANÇAMENTOS DIÁRIOS'!$G$5:$G$500,"F",'LANÇAMENTOS DIÁRIOS'!$C$5:$C$500,$A8,'LANÇAMENTOS DIÁRIOS'!$O$5:$O$500,"&lt;=114399",'LANÇAMENTOS DIÁRIOS'!$P$5:$P$500,"&gt;=114300")&gt;0,"X","")</f>
      </c>
      <c r="AE8" s="56" t="str">
        <f>IF(COUNTIFS('LANÇAMENTOS DIÁRIOS'!$G$5:$G$500,"F",'LANÇAMENTOS DIÁRIOS'!$C$5:$C$500,$A8,'LANÇAMENTOS DIÁRIOS'!$O$5:$O$500,"&lt;=114499",'LANÇAMENTOS DIÁRIOS'!$P$5:$P$500,"&gt;=114400")&gt;0,"X","")</f>
      </c>
      <c r="AF8" s="56" t="str">
        <f>IF(COUNTIFS('LANÇAMENTOS DIÁRIOS'!$G$5:$G$500,"F",'LANÇAMENTOS DIÁRIOS'!$C$5:$C$500,$A8,'LANÇAMENTOS DIÁRIOS'!$O$5:$O$500,"&lt;=114599",'LANÇAMENTOS DIÁRIOS'!$P$5:$P$500,"&gt;=114500")&gt;0,"X","")</f>
      </c>
      <c r="AG8" s="56" t="str">
        <f>IF(COUNTIFS('LANÇAMENTOS DIÁRIOS'!$G$5:$G$500,"F",'LANÇAMENTOS DIÁRIOS'!$C$5:$C$500,$A8,'LANÇAMENTOS DIÁRIOS'!$O$5:$O$500,"&lt;=114699",'LANÇAMENTOS DIÁRIOS'!$P$5:$P$500,"&gt;=114600")&gt;0,"X","")</f>
      </c>
      <c r="AH8" s="56" t="str">
        <f>IF(COUNTIFS('LANÇAMENTOS DIÁRIOS'!$G$5:$G$500,"F",'LANÇAMENTOS DIÁRIOS'!$C$5:$C$500,$A8,'LANÇAMENTOS DIÁRIOS'!$O$5:$O$500,"&lt;=114799",'LANÇAMENTOS DIÁRIOS'!$P$5:$P$500,"&gt;=114700")&gt;0,"X","")</f>
      </c>
      <c r="AI8" s="56" t="str">
        <f>IF(COUNTIFS('LANÇAMENTOS DIÁRIOS'!$G$5:$G$500,"F",'LANÇAMENTOS DIÁRIOS'!$C$5:$C$500,$A8,'LANÇAMENTOS DIÁRIOS'!$O$5:$O$500,"&lt;=114899",'LANÇAMENTOS DIÁRIOS'!$P$5:$P$500,"&gt;=114800")&gt;0,"X","")</f>
      </c>
      <c r="AJ8" s="56" t="str">
        <f>IF(COUNTIFS('LANÇAMENTOS DIÁRIOS'!$G$5:$G$500,"F",'LANÇAMENTOS DIÁRIOS'!$C$5:$C$500,$A8,'LANÇAMENTOS DIÁRIOS'!$O$5:$O$500,"&lt;=114999",'LANÇAMENTOS DIÁRIOS'!$P$5:$P$500,"&gt;=114900")&gt;0,"X","")</f>
      </c>
      <c r="AK8" s="56" t="str">
        <f>IF(COUNTIFS('LANÇAMENTOS DIÁRIOS'!$G$5:$G$500,"F",'LANÇAMENTOS DIÁRIOS'!$C$5:$C$500,$A8,'LANÇAMENTOS DIÁRIOS'!$O$5:$O$500,"&lt;=115099",'LANÇAMENTOS DIÁRIOS'!$P$5:$P$500,"&gt;=115000")&gt;0,"X","")</f>
      </c>
      <c r="AL8" s="56" t="str">
        <f>IF(COUNTIFS('LANÇAMENTOS DIÁRIOS'!$G$5:$G$500,"F",'LANÇAMENTOS DIÁRIOS'!$C$5:$C$500,$A8,'LANÇAMENTOS DIÁRIOS'!$O$5:$O$500,"&lt;=115199",'LANÇAMENTOS DIÁRIOS'!$P$5:$P$500,"&gt;=115100")&gt;0,"X","")</f>
      </c>
      <c r="AM8" s="56" t="str">
        <f>IF(COUNTIFS('LANÇAMENTOS DIÁRIOS'!$G$5:$G$500,"F",'LANÇAMENTOS DIÁRIOS'!$C$5:$C$500,$A8,'LANÇAMENTOS DIÁRIOS'!$O$5:$O$500,"&lt;=115299",'LANÇAMENTOS DIÁRIOS'!$P$5:$P$500,"&gt;=115200")&gt;0,"X","")</f>
      </c>
      <c r="AN8" s="56" t="str">
        <f>IF(COUNTIFS('LANÇAMENTOS DIÁRIOS'!$G$5:$G$500,"F",'LANÇAMENTOS DIÁRIOS'!$C$5:$C$500,$A8,'LANÇAMENTOS DIÁRIOS'!$O$5:$O$500,"&lt;=115399",'LANÇAMENTOS DIÁRIOS'!$P$5:$P$500,"&gt;=115300")&gt;0,"X","")</f>
      </c>
      <c r="AO8" s="56" t="str">
        <f>IF(COUNTIFS('LANÇAMENTOS DIÁRIOS'!$G$5:$G$500,"F",'LANÇAMENTOS DIÁRIOS'!$C$5:$C$500,$A8,'LANÇAMENTOS DIÁRIOS'!$O$5:$O$500,"&lt;=115499",'LANÇAMENTOS DIÁRIOS'!$P$5:$P$500,"&gt;=115400")&gt;0,"X","")</f>
      </c>
      <c r="AP8" s="56" t="str">
        <f>IF(COUNTIFS('LANÇAMENTOS DIÁRIOS'!$G$5:$G$500,"F",'LANÇAMENTOS DIÁRIOS'!$C$5:$C$500,$A8,'LANÇAMENTOS DIÁRIOS'!$O$5:$O$500,"&lt;=115599",'LANÇAMENTOS DIÁRIOS'!$P$5:$P$500,"&gt;=115500")&gt;0,"X","")</f>
      </c>
      <c r="AQ8" s="56" t="str">
        <f>IF(COUNTIFS('LANÇAMENTOS DIÁRIOS'!$G$5:$G$500,"F",'LANÇAMENTOS DIÁRIOS'!$C$5:$C$500,$A8,'LANÇAMENTOS DIÁRIOS'!$O$5:$O$500,"&lt;=115699",'LANÇAMENTOS DIÁRIOS'!$P$5:$P$500,"&gt;=115600")&gt;0,"X","")</f>
      </c>
      <c r="AR8" s="56" t="str">
        <f>IF(COUNTIFS('LANÇAMENTOS DIÁRIOS'!$G$5:$G$500,"F",'LANÇAMENTOS DIÁRIOS'!$C$5:$C$500,$A8,'LANÇAMENTOS DIÁRIOS'!$O$5:$O$500,"&lt;=115799",'LANÇAMENTOS DIÁRIOS'!$P$5:$P$500,"&gt;=115700")&gt;0,"X","")</f>
      </c>
      <c r="AS8" s="56" t="str">
        <f>IF(COUNTIFS('LANÇAMENTOS DIÁRIOS'!$G$5:$G$500,"F",'LANÇAMENTOS DIÁRIOS'!$C$5:$C$500,$A8,'LANÇAMENTOS DIÁRIOS'!$O$5:$O$500,"&lt;=115899",'LANÇAMENTOS DIÁRIOS'!$P$5:$P$500,"&gt;=115800")&gt;0,"X","")</f>
      </c>
      <c r="AT8" s="56" t="str">
        <f>IF(COUNTIFS('LANÇAMENTOS DIÁRIOS'!$G$5:$G$500,"F",'LANÇAMENTOS DIÁRIOS'!$C$5:$C$500,$A8,'LANÇAMENTOS DIÁRIOS'!$O$5:$O$500,"&lt;=115999",'LANÇAMENTOS DIÁRIOS'!$P$5:$P$500,"&gt;=115900")&gt;0,"X","")</f>
      </c>
      <c r="AU8" s="56" t="str">
        <f>IF(COUNTIFS('LANÇAMENTOS DIÁRIOS'!$G$5:$G$500,"F",'LANÇAMENTOS DIÁRIOS'!$C$5:$C$500,$A8,'LANÇAMENTOS DIÁRIOS'!$O$5:$O$500,"&lt;=116099",'LANÇAMENTOS DIÁRIOS'!$P$5:$P$500,"&gt;=116000")&gt;0,"X","")</f>
      </c>
      <c r="AV8" s="56" t="str">
        <f>IF(COUNTIFS('LANÇAMENTOS DIÁRIOS'!$G$5:$G$500,"F",'LANÇAMENTOS DIÁRIOS'!$C$5:$C$500,$A8,'LANÇAMENTOS DIÁRIOS'!$O$5:$O$500,"&lt;=116199",'LANÇAMENTOS DIÁRIOS'!$P$5:$P$500,"&gt;=116100")&gt;0,"X","")</f>
      </c>
      <c r="AW8" s="56" t="str">
        <f>IF(COUNTIFS('LANÇAMENTOS DIÁRIOS'!$G$5:$G$500,"F",'LANÇAMENTOS DIÁRIOS'!$C$5:$C$500,$A8,'LANÇAMENTOS DIÁRIOS'!$O$5:$O$500,"&lt;=116299",'LANÇAMENTOS DIÁRIOS'!$P$5:$P$500,"&gt;=116200")&gt;0,"X","")</f>
      </c>
      <c r="AX8" s="56" t="str">
        <f>IF(COUNTIFS('LANÇAMENTOS DIÁRIOS'!$G$5:$G$500,"F",'LANÇAMENTOS DIÁRIOS'!$C$5:$C$500,$A8,'LANÇAMENTOS DIÁRIOS'!$O$5:$O$500,"&lt;=116399",'LANÇAMENTOS DIÁRIOS'!$P$5:$P$500,"&gt;=116300")&gt;0,"X","")</f>
      </c>
      <c r="AY8" s="56" t="str">
        <f>IF(COUNTIFS('LANÇAMENTOS DIÁRIOS'!$G$5:$G$500,"F",'LANÇAMENTOS DIÁRIOS'!$C$5:$C$500,$A8,'LANÇAMENTOS DIÁRIOS'!$O$5:$O$500,"&lt;=116499",'LANÇAMENTOS DIÁRIOS'!$P$5:$P$500,"&gt;=116400")&gt;0,"X","")</f>
      </c>
      <c r="AZ8" s="56" t="str">
        <f>IF(COUNTIFS('LANÇAMENTOS DIÁRIOS'!$G$5:$G$500,"F",'LANÇAMENTOS DIÁRIOS'!$C$5:$C$500,$A8,'LANÇAMENTOS DIÁRIOS'!$O$5:$O$500,"&lt;=116599",'LANÇAMENTOS DIÁRIOS'!$P$5:$P$500,"&gt;=116500")&gt;0,"X","")</f>
      </c>
      <c r="BA8" s="56" t="str">
        <f>IF(COUNTIFS('LANÇAMENTOS DIÁRIOS'!$G$5:$G$500,"F",'LANÇAMENTOS DIÁRIOS'!$C$5:$C$500,$A8,'LANÇAMENTOS DIÁRIOS'!$O$5:$O$500,"&lt;=116699",'LANÇAMENTOS DIÁRIOS'!$P$5:$P$500,"&gt;=116600")&gt;0,"X","")</f>
      </c>
      <c r="BB8" s="56" t="str">
        <f>IF(COUNTIFS('LANÇAMENTOS DIÁRIOS'!$G$5:$G$500,"F",'LANÇAMENTOS DIÁRIOS'!$C$5:$C$500,$A8,'LANÇAMENTOS DIÁRIOS'!$O$5:$O$500,"&lt;=116799",'LANÇAMENTOS DIÁRIOS'!$P$5:$P$500,"&gt;=116700")&gt;0,"X","")</f>
      </c>
      <c r="BC8" s="56" t="str">
        <f>IF(COUNTIFS('LANÇAMENTOS DIÁRIOS'!$G$5:$G$500,"F",'LANÇAMENTOS DIÁRIOS'!$C$5:$C$500,$A8,'LANÇAMENTOS DIÁRIOS'!$O$5:$O$500,"&lt;=116899",'LANÇAMENTOS DIÁRIOS'!$P$5:$P$500,"&gt;=116800")&gt;0,"X","")</f>
      </c>
      <c r="BD8" s="56" t="str">
        <f>IF(COUNTIFS('LANÇAMENTOS DIÁRIOS'!$G$5:$G$500,"F",'LANÇAMENTOS DIÁRIOS'!$C$5:$C$500,$A8,'LANÇAMENTOS DIÁRIOS'!$O$5:$O$500,"&lt;=116999",'LANÇAMENTOS DIÁRIOS'!$P$5:$P$500,"&gt;=116900")&gt;0,"X","")</f>
      </c>
      <c r="BE8" s="56" t="str">
        <f>IF(COUNTIFS('LANÇAMENTOS DIÁRIOS'!$G$5:$G$500,"F",'LANÇAMENTOS DIÁRIOS'!$C$5:$C$500,$A8,'LANÇAMENTOS DIÁRIOS'!$O$5:$O$500,"&lt;=117099",'LANÇAMENTOS DIÁRIOS'!$P$5:$P$500,"&gt;=117000")&gt;0,"X","")</f>
      </c>
      <c r="BF8" s="56" t="str">
        <f>IF(COUNTIFS('LANÇAMENTOS DIÁRIOS'!$G$5:$G$500,"F",'LANÇAMENTOS DIÁRIOS'!$C$5:$C$500,$A8,'LANÇAMENTOS DIÁRIOS'!$O$5:$O$500,"&lt;=117199",'LANÇAMENTOS DIÁRIOS'!$P$5:$P$500,"&gt;=117100")&gt;0,"X","")</f>
      </c>
      <c r="BG8" s="56" t="str">
        <f>IF(COUNTIFS('LANÇAMENTOS DIÁRIOS'!$G$5:$G$500,"F",'LANÇAMENTOS DIÁRIOS'!$C$5:$C$500,$A8,'LANÇAMENTOS DIÁRIOS'!$O$5:$O$500,"&lt;=117219",'LANÇAMENTOS DIÁRIOS'!$P$5:$P$500,"&gt;=117200")&gt;0,"X","")</f>
      </c>
      <c r="BH8" s="56" t="str">
        <f>IF(COUNTIFS('LANÇAMENTOS DIÁRIOS'!$G$5:$G$500,"F",'LANÇAMENTOS DIÁRIOS'!$C$5:$C$500,$A8,'LANÇAMENTOS DIÁRIOS'!$O$5:$O$500,"&lt;=117220",'LANÇAMENTOS DIÁRIOS'!$P$5:$P$500,"&gt;=117220")&gt;0,"X","")</f>
      </c>
    </row>
    <row r="9">
      <c r="A9" s="51" t="str">
        <v>Remoção de postes com luminárias</v>
      </c>
      <c r="B9" s="56" t="str">
        <f>IF(COUNTIFS('LANÇAMENTOS DIÁRIOS'!$G$5:$G$500,"F",'LANÇAMENTOS DIÁRIOS'!$C$5:$C$500,$A9,'LANÇAMENTOS DIÁRIOS'!$O$5:$O$500,"&lt;=111599",'LANÇAMENTOS DIÁRIOS'!$P$5:$P$500,"&gt;=111500")&gt;0,"X","")</f>
      </c>
      <c r="C9" s="56" t="str">
        <f>IF(COUNTIFS('LANÇAMENTOS DIÁRIOS'!$G$5:$G$500,"F",'LANÇAMENTOS DIÁRIOS'!$C$5:$C$500,$A9,'LANÇAMENTOS DIÁRIOS'!$O$5:$O$500,"&lt;=111699",'LANÇAMENTOS DIÁRIOS'!$P$5:$P$500,"&gt;=111600")&gt;0,"X","")</f>
      </c>
      <c r="D9" s="56" t="str">
        <f>IF(COUNTIFS('LANÇAMENTOS DIÁRIOS'!$G$5:$G$500,"F",'LANÇAMENTOS DIÁRIOS'!$C$5:$C$500,$A9,'LANÇAMENTOS DIÁRIOS'!$O$5:$O$500,"&lt;=111799",'LANÇAMENTOS DIÁRIOS'!$P$5:$P$500,"&gt;=111700")&gt;0,"X","")</f>
      </c>
      <c r="E9" s="56" t="str">
        <f>IF(COUNTIFS('LANÇAMENTOS DIÁRIOS'!$G$5:$G$500,"F",'LANÇAMENTOS DIÁRIOS'!$C$5:$C$500,$A9,'LANÇAMENTOS DIÁRIOS'!$O$5:$O$500,"&lt;=111899",'LANÇAMENTOS DIÁRIOS'!$P$5:$P$500,"&gt;=111800")&gt;0,"X","")</f>
      </c>
      <c r="F9" s="56" t="str">
        <f>IF(COUNTIFS('LANÇAMENTOS DIÁRIOS'!$G$5:$G$500,"F",'LANÇAMENTOS DIÁRIOS'!$C$5:$C$500,$A9,'LANÇAMENTOS DIÁRIOS'!$O$5:$O$500,"&lt;=111999",'LANÇAMENTOS DIÁRIOS'!$P$5:$P$500,"&gt;=111900")&gt;0,"X","")</f>
      </c>
      <c r="G9" s="56" t="str">
        <f>IF(COUNTIFS('LANÇAMENTOS DIÁRIOS'!$G$5:$G$500,"F",'LANÇAMENTOS DIÁRIOS'!$C$5:$C$500,$A9,'LANÇAMENTOS DIÁRIOS'!$O$5:$O$500,"&lt;=112099",'LANÇAMENTOS DIÁRIOS'!$P$5:$P$500,"&gt;=112000")&gt;0,"X","")</f>
      </c>
      <c r="H9" s="56" t="str">
        <f>IF(COUNTIFS('LANÇAMENTOS DIÁRIOS'!$G$5:$G$500,"F",'LANÇAMENTOS DIÁRIOS'!$C$5:$C$500,$A9,'LANÇAMENTOS DIÁRIOS'!$O$5:$O$500,"&lt;=112199",'LANÇAMENTOS DIÁRIOS'!$P$5:$P$500,"&gt;=112100")&gt;0,"X","")</f>
      </c>
      <c r="I9" s="56" t="str">
        <f>IF(COUNTIFS('LANÇAMENTOS DIÁRIOS'!$G$5:$G$500,"F",'LANÇAMENTOS DIÁRIOS'!$C$5:$C$500,$A9,'LANÇAMENTOS DIÁRIOS'!$O$5:$O$500,"&lt;=112299",'LANÇAMENTOS DIÁRIOS'!$P$5:$P$500,"&gt;=112200")&gt;0,"X","")</f>
      </c>
      <c r="J9" s="56" t="str">
        <f>IF(COUNTIFS('LANÇAMENTOS DIÁRIOS'!$G$5:$G$500,"F",'LANÇAMENTOS DIÁRIOS'!$C$5:$C$500,$A9,'LANÇAMENTOS DIÁRIOS'!$O$5:$O$500,"&lt;=112399",'LANÇAMENTOS DIÁRIOS'!$P$5:$P$500,"&gt;=112300")&gt;0,"X","")</f>
      </c>
      <c r="K9" s="56" t="str">
        <f>IF(COUNTIFS('LANÇAMENTOS DIÁRIOS'!$G$5:$G$500,"F",'LANÇAMENTOS DIÁRIOS'!$C$5:$C$500,$A9,'LANÇAMENTOS DIÁRIOS'!$O$5:$O$500,"&lt;=112499",'LANÇAMENTOS DIÁRIOS'!$P$5:$P$500,"&gt;=112400")&gt;0,"X","")</f>
      </c>
      <c r="L9" s="56" t="str">
        <f>IF(COUNTIFS('LANÇAMENTOS DIÁRIOS'!$G$5:$G$500,"F",'LANÇAMENTOS DIÁRIOS'!$C$5:$C$500,$A9,'LANÇAMENTOS DIÁRIOS'!$O$5:$O$500,"&lt;=112599",'LANÇAMENTOS DIÁRIOS'!$P$5:$P$500,"&gt;=112500")&gt;0,"X","")</f>
      </c>
      <c r="M9" s="56" t="str">
        <f>IF(COUNTIFS('LANÇAMENTOS DIÁRIOS'!$G$5:$G$500,"F",'LANÇAMENTOS DIÁRIOS'!$C$5:$C$500,$A9,'LANÇAMENTOS DIÁRIOS'!$O$5:$O$500,"&lt;=112699",'LANÇAMENTOS DIÁRIOS'!$P$5:$P$500,"&gt;=112600")&gt;0,"X","")</f>
      </c>
      <c r="N9" s="56" t="str">
        <f>IF(COUNTIFS('LANÇAMENTOS DIÁRIOS'!$G$5:$G$500,"F",'LANÇAMENTOS DIÁRIOS'!$C$5:$C$500,$A9,'LANÇAMENTOS DIÁRIOS'!$O$5:$O$500,"&lt;=112799",'LANÇAMENTOS DIÁRIOS'!$P$5:$P$500,"&gt;=112700")&gt;0,"X","")</f>
      </c>
      <c r="O9" s="56" t="str">
        <f>IF(COUNTIFS('LANÇAMENTOS DIÁRIOS'!$G$5:$G$500,"F",'LANÇAMENTOS DIÁRIOS'!$C$5:$C$500,$A9,'LANÇAMENTOS DIÁRIOS'!$O$5:$O$500,"&lt;=112899",'LANÇAMENTOS DIÁRIOS'!$P$5:$P$500,"&gt;=112800")&gt;0,"X","")</f>
      </c>
      <c r="P9" s="56" t="str">
        <f>IF(COUNTIFS('LANÇAMENTOS DIÁRIOS'!$G$5:$G$500,"F",'LANÇAMENTOS DIÁRIOS'!$C$5:$C$500,$A9,'LANÇAMENTOS DIÁRIOS'!$O$5:$O$500,"&lt;=112999",'LANÇAMENTOS DIÁRIOS'!$P$5:$P$500,"&gt;=112900")&gt;0,"X","")</f>
      </c>
      <c r="Q9" s="56" t="str">
        <f>IF(COUNTIFS('LANÇAMENTOS DIÁRIOS'!$G$5:$G$500,"F",'LANÇAMENTOS DIÁRIOS'!$C$5:$C$500,$A9,'LANÇAMENTOS DIÁRIOS'!$O$5:$O$500,"&lt;=113099",'LANÇAMENTOS DIÁRIOS'!$P$5:$P$500,"&gt;=113000")&gt;0,"X","")</f>
      </c>
      <c r="R9" s="56" t="str">
        <f>IF(COUNTIFS('LANÇAMENTOS DIÁRIOS'!$G$5:$G$500,"F",'LANÇAMENTOS DIÁRIOS'!$C$5:$C$500,$A9,'LANÇAMENTOS DIÁRIOS'!$O$5:$O$500,"&lt;=113199",'LANÇAMENTOS DIÁRIOS'!$P$5:$P$500,"&gt;=113100")&gt;0,"X","")</f>
      </c>
      <c r="S9" s="56" t="str">
        <f>IF(COUNTIFS('LANÇAMENTOS DIÁRIOS'!$G$5:$G$500,"F",'LANÇAMENTOS DIÁRIOS'!$C$5:$C$500,$A9,'LANÇAMENTOS DIÁRIOS'!$O$5:$O$500,"&lt;=113299",'LANÇAMENTOS DIÁRIOS'!$P$5:$P$500,"&gt;=113200")&gt;0,"X","")</f>
      </c>
      <c r="T9" s="56" t="str">
        <f>IF(COUNTIFS('LANÇAMENTOS DIÁRIOS'!$G$5:$G$500,"F",'LANÇAMENTOS DIÁRIOS'!$C$5:$C$500,$A9,'LANÇAMENTOS DIÁRIOS'!$O$5:$O$500,"&lt;=113399",'LANÇAMENTOS DIÁRIOS'!$P$5:$P$500,"&gt;=113300")&gt;0,"X","")</f>
      </c>
      <c r="U9" s="56" t="str">
        <f>IF(COUNTIFS('LANÇAMENTOS DIÁRIOS'!$G$5:$G$500,"F",'LANÇAMENTOS DIÁRIOS'!$C$5:$C$500,$A9,'LANÇAMENTOS DIÁRIOS'!$O$5:$O$500,"&lt;=113499",'LANÇAMENTOS DIÁRIOS'!$P$5:$P$500,"&gt;=113400")&gt;0,"X","")</f>
      </c>
      <c r="V9" s="56" t="str">
        <f>IF(COUNTIFS('LANÇAMENTOS DIÁRIOS'!$G$5:$G$500,"F",'LANÇAMENTOS DIÁRIOS'!$C$5:$C$500,$A9,'LANÇAMENTOS DIÁRIOS'!$O$5:$O$500,"&lt;=113599",'LANÇAMENTOS DIÁRIOS'!$P$5:$P$500,"&gt;=113500")&gt;0,"X","")</f>
      </c>
      <c r="W9" s="56" t="str">
        <f>IF(COUNTIFS('LANÇAMENTOS DIÁRIOS'!$G$5:$G$500,"F",'LANÇAMENTOS DIÁRIOS'!$C$5:$C$500,$A9,'LANÇAMENTOS DIÁRIOS'!$O$5:$O$500,"&lt;=113699",'LANÇAMENTOS DIÁRIOS'!$P$5:$P$500,"&gt;=113600")&gt;0,"X","")</f>
      </c>
      <c r="X9" s="56" t="str">
        <f>IF(COUNTIFS('LANÇAMENTOS DIÁRIOS'!$G$5:$G$500,"F",'LANÇAMENTOS DIÁRIOS'!$C$5:$C$500,$A9,'LANÇAMENTOS DIÁRIOS'!$O$5:$O$500,"&lt;=113799",'LANÇAMENTOS DIÁRIOS'!$P$5:$P$500,"&gt;=113700")&gt;0,"X","")</f>
      </c>
      <c r="Y9" s="56" t="str">
        <f>IF(COUNTIFS('LANÇAMENTOS DIÁRIOS'!$G$5:$G$500,"F",'LANÇAMENTOS DIÁRIOS'!$C$5:$C$500,$A9,'LANÇAMENTOS DIÁRIOS'!$O$5:$O$500,"&lt;=113899",'LANÇAMENTOS DIÁRIOS'!$P$5:$P$500,"&gt;=113800")&gt;0,"X","")</f>
      </c>
      <c r="Z9" s="56" t="str">
        <f>IF(COUNTIFS('LANÇAMENTOS DIÁRIOS'!$G$5:$G$500,"F",'LANÇAMENTOS DIÁRIOS'!$C$5:$C$500,$A9,'LANÇAMENTOS DIÁRIOS'!$O$5:$O$500,"&lt;=113999",'LANÇAMENTOS DIÁRIOS'!$P$5:$P$500,"&gt;=113900")&gt;0,"X","")</f>
      </c>
      <c r="AA9" s="56" t="str">
        <f>IF(COUNTIFS('LANÇAMENTOS DIÁRIOS'!$G$5:$G$500,"F",'LANÇAMENTOS DIÁRIOS'!$C$5:$C$500,$A9,'LANÇAMENTOS DIÁRIOS'!$O$5:$O$500,"&lt;=114099",'LANÇAMENTOS DIÁRIOS'!$P$5:$P$500,"&gt;=114000")&gt;0,"X","")</f>
      </c>
      <c r="AB9" s="56" t="str">
        <f>IF(COUNTIFS('LANÇAMENTOS DIÁRIOS'!$G$5:$G$500,"F",'LANÇAMENTOS DIÁRIOS'!$C$5:$C$500,$A9,'LANÇAMENTOS DIÁRIOS'!$O$5:$O$500,"&lt;=114199",'LANÇAMENTOS DIÁRIOS'!$P$5:$P$500,"&gt;=114100")&gt;0,"X","")</f>
      </c>
      <c r="AC9" s="56" t="str">
        <f>IF(COUNTIFS('LANÇAMENTOS DIÁRIOS'!$G$5:$G$500,"F",'LANÇAMENTOS DIÁRIOS'!$C$5:$C$500,$A9,'LANÇAMENTOS DIÁRIOS'!$O$5:$O$500,"&lt;=114299",'LANÇAMENTOS DIÁRIOS'!$P$5:$P$500,"&gt;=114200")&gt;0,"X","")</f>
      </c>
      <c r="AD9" s="56" t="str">
        <f>IF(COUNTIFS('LANÇAMENTOS DIÁRIOS'!$G$5:$G$500,"F",'LANÇAMENTOS DIÁRIOS'!$C$5:$C$500,$A9,'LANÇAMENTOS DIÁRIOS'!$O$5:$O$500,"&lt;=114399",'LANÇAMENTOS DIÁRIOS'!$P$5:$P$500,"&gt;=114300")&gt;0,"X","")</f>
      </c>
      <c r="AE9" s="56" t="str">
        <f>IF(COUNTIFS('LANÇAMENTOS DIÁRIOS'!$G$5:$G$500,"F",'LANÇAMENTOS DIÁRIOS'!$C$5:$C$500,$A9,'LANÇAMENTOS DIÁRIOS'!$O$5:$O$500,"&lt;=114499",'LANÇAMENTOS DIÁRIOS'!$P$5:$P$500,"&gt;=114400")&gt;0,"X","")</f>
      </c>
      <c r="AF9" s="56" t="str">
        <f>IF(COUNTIFS('LANÇAMENTOS DIÁRIOS'!$G$5:$G$500,"F",'LANÇAMENTOS DIÁRIOS'!$C$5:$C$500,$A9,'LANÇAMENTOS DIÁRIOS'!$O$5:$O$500,"&lt;=114599",'LANÇAMENTOS DIÁRIOS'!$P$5:$P$500,"&gt;=114500")&gt;0,"X","")</f>
      </c>
      <c r="AG9" s="56" t="str">
        <f>IF(COUNTIFS('LANÇAMENTOS DIÁRIOS'!$G$5:$G$500,"F",'LANÇAMENTOS DIÁRIOS'!$C$5:$C$500,$A9,'LANÇAMENTOS DIÁRIOS'!$O$5:$O$500,"&lt;=114699",'LANÇAMENTOS DIÁRIOS'!$P$5:$P$500,"&gt;=114600")&gt;0,"X","")</f>
      </c>
      <c r="AH9" s="56" t="str">
        <f>IF(COUNTIFS('LANÇAMENTOS DIÁRIOS'!$G$5:$G$500,"F",'LANÇAMENTOS DIÁRIOS'!$C$5:$C$500,$A9,'LANÇAMENTOS DIÁRIOS'!$O$5:$O$500,"&lt;=114799",'LANÇAMENTOS DIÁRIOS'!$P$5:$P$500,"&gt;=114700")&gt;0,"X","")</f>
      </c>
      <c r="AI9" s="56" t="str">
        <f>IF(COUNTIFS('LANÇAMENTOS DIÁRIOS'!$G$5:$G$500,"F",'LANÇAMENTOS DIÁRIOS'!$C$5:$C$500,$A9,'LANÇAMENTOS DIÁRIOS'!$O$5:$O$500,"&lt;=114899",'LANÇAMENTOS DIÁRIOS'!$P$5:$P$500,"&gt;=114800")&gt;0,"X","")</f>
      </c>
      <c r="AJ9" s="56" t="str">
        <f>IF(COUNTIFS('LANÇAMENTOS DIÁRIOS'!$G$5:$G$500,"F",'LANÇAMENTOS DIÁRIOS'!$C$5:$C$500,$A9,'LANÇAMENTOS DIÁRIOS'!$O$5:$O$500,"&lt;=114999",'LANÇAMENTOS DIÁRIOS'!$P$5:$P$500,"&gt;=114900")&gt;0,"X","")</f>
      </c>
      <c r="AK9" s="56" t="str">
        <f>IF(COUNTIFS('LANÇAMENTOS DIÁRIOS'!$G$5:$G$500,"F",'LANÇAMENTOS DIÁRIOS'!$C$5:$C$500,$A9,'LANÇAMENTOS DIÁRIOS'!$O$5:$O$500,"&lt;=115099",'LANÇAMENTOS DIÁRIOS'!$P$5:$P$500,"&gt;=115000")&gt;0,"X","")</f>
      </c>
      <c r="AL9" s="56" t="str">
        <f>IF(COUNTIFS('LANÇAMENTOS DIÁRIOS'!$G$5:$G$500,"F",'LANÇAMENTOS DIÁRIOS'!$C$5:$C$500,$A9,'LANÇAMENTOS DIÁRIOS'!$O$5:$O$500,"&lt;=115199",'LANÇAMENTOS DIÁRIOS'!$P$5:$P$500,"&gt;=115100")&gt;0,"X","")</f>
      </c>
      <c r="AM9" s="56" t="str">
        <f>IF(COUNTIFS('LANÇAMENTOS DIÁRIOS'!$G$5:$G$500,"F",'LANÇAMENTOS DIÁRIOS'!$C$5:$C$500,$A9,'LANÇAMENTOS DIÁRIOS'!$O$5:$O$500,"&lt;=115299",'LANÇAMENTOS DIÁRIOS'!$P$5:$P$500,"&gt;=115200")&gt;0,"X","")</f>
      </c>
      <c r="AN9" s="56" t="str">
        <f>IF(COUNTIFS('LANÇAMENTOS DIÁRIOS'!$G$5:$G$500,"F",'LANÇAMENTOS DIÁRIOS'!$C$5:$C$500,$A9,'LANÇAMENTOS DIÁRIOS'!$O$5:$O$500,"&lt;=115399",'LANÇAMENTOS DIÁRIOS'!$P$5:$P$500,"&gt;=115300")&gt;0,"X","")</f>
      </c>
      <c r="AO9" s="56" t="str">
        <f>IF(COUNTIFS('LANÇAMENTOS DIÁRIOS'!$G$5:$G$500,"F",'LANÇAMENTOS DIÁRIOS'!$C$5:$C$500,$A9,'LANÇAMENTOS DIÁRIOS'!$O$5:$O$500,"&lt;=115499",'LANÇAMENTOS DIÁRIOS'!$P$5:$P$500,"&gt;=115400")&gt;0,"X","")</f>
      </c>
      <c r="AP9" s="56" t="str">
        <f>IF(COUNTIFS('LANÇAMENTOS DIÁRIOS'!$G$5:$G$500,"F",'LANÇAMENTOS DIÁRIOS'!$C$5:$C$500,$A9,'LANÇAMENTOS DIÁRIOS'!$O$5:$O$500,"&lt;=115599",'LANÇAMENTOS DIÁRIOS'!$P$5:$P$500,"&gt;=115500")&gt;0,"X","")</f>
      </c>
      <c r="AQ9" s="56" t="str">
        <f>IF(COUNTIFS('LANÇAMENTOS DIÁRIOS'!$G$5:$G$500,"F",'LANÇAMENTOS DIÁRIOS'!$C$5:$C$500,$A9,'LANÇAMENTOS DIÁRIOS'!$O$5:$O$500,"&lt;=115699",'LANÇAMENTOS DIÁRIOS'!$P$5:$P$500,"&gt;=115600")&gt;0,"X","")</f>
      </c>
      <c r="AR9" s="56" t="str">
        <f>IF(COUNTIFS('LANÇAMENTOS DIÁRIOS'!$G$5:$G$500,"F",'LANÇAMENTOS DIÁRIOS'!$C$5:$C$500,$A9,'LANÇAMENTOS DIÁRIOS'!$O$5:$O$500,"&lt;=115799",'LANÇAMENTOS DIÁRIOS'!$P$5:$P$500,"&gt;=115700")&gt;0,"X","")</f>
      </c>
      <c r="AS9" s="56" t="str">
        <f>IF(COUNTIFS('LANÇAMENTOS DIÁRIOS'!$G$5:$G$500,"F",'LANÇAMENTOS DIÁRIOS'!$C$5:$C$500,$A9,'LANÇAMENTOS DIÁRIOS'!$O$5:$O$500,"&lt;=115899",'LANÇAMENTOS DIÁRIOS'!$P$5:$P$500,"&gt;=115800")&gt;0,"X","")</f>
      </c>
      <c r="AT9" s="56" t="str">
        <f>IF(COUNTIFS('LANÇAMENTOS DIÁRIOS'!$G$5:$G$500,"F",'LANÇAMENTOS DIÁRIOS'!$C$5:$C$500,$A9,'LANÇAMENTOS DIÁRIOS'!$O$5:$O$500,"&lt;=115999",'LANÇAMENTOS DIÁRIOS'!$P$5:$P$500,"&gt;=115900")&gt;0,"X","")</f>
      </c>
      <c r="AU9" s="56" t="str">
        <f>IF(COUNTIFS('LANÇAMENTOS DIÁRIOS'!$G$5:$G$500,"F",'LANÇAMENTOS DIÁRIOS'!$C$5:$C$500,$A9,'LANÇAMENTOS DIÁRIOS'!$O$5:$O$500,"&lt;=116099",'LANÇAMENTOS DIÁRIOS'!$P$5:$P$500,"&gt;=116000")&gt;0,"X","")</f>
      </c>
      <c r="AV9" s="56" t="str">
        <f>IF(COUNTIFS('LANÇAMENTOS DIÁRIOS'!$G$5:$G$500,"F",'LANÇAMENTOS DIÁRIOS'!$C$5:$C$500,$A9,'LANÇAMENTOS DIÁRIOS'!$O$5:$O$500,"&lt;=116199",'LANÇAMENTOS DIÁRIOS'!$P$5:$P$500,"&gt;=116100")&gt;0,"X","")</f>
      </c>
      <c r="AW9" s="56" t="str">
        <f>IF(COUNTIFS('LANÇAMENTOS DIÁRIOS'!$G$5:$G$500,"F",'LANÇAMENTOS DIÁRIOS'!$C$5:$C$500,$A9,'LANÇAMENTOS DIÁRIOS'!$O$5:$O$500,"&lt;=116299",'LANÇAMENTOS DIÁRIOS'!$P$5:$P$500,"&gt;=116200")&gt;0,"X","")</f>
      </c>
      <c r="AX9" s="56" t="str">
        <f>IF(COUNTIFS('LANÇAMENTOS DIÁRIOS'!$G$5:$G$500,"F",'LANÇAMENTOS DIÁRIOS'!$C$5:$C$500,$A9,'LANÇAMENTOS DIÁRIOS'!$O$5:$O$500,"&lt;=116399",'LANÇAMENTOS DIÁRIOS'!$P$5:$P$500,"&gt;=116300")&gt;0,"X","")</f>
      </c>
      <c r="AY9" s="56" t="str">
        <f>IF(COUNTIFS('LANÇAMENTOS DIÁRIOS'!$G$5:$G$500,"F",'LANÇAMENTOS DIÁRIOS'!$C$5:$C$500,$A9,'LANÇAMENTOS DIÁRIOS'!$O$5:$O$500,"&lt;=116499",'LANÇAMENTOS DIÁRIOS'!$P$5:$P$500,"&gt;=116400")&gt;0,"X","")</f>
      </c>
      <c r="AZ9" s="56" t="str">
        <f>IF(COUNTIFS('LANÇAMENTOS DIÁRIOS'!$G$5:$G$500,"F",'LANÇAMENTOS DIÁRIOS'!$C$5:$C$500,$A9,'LANÇAMENTOS DIÁRIOS'!$O$5:$O$500,"&lt;=116599",'LANÇAMENTOS DIÁRIOS'!$P$5:$P$500,"&gt;=116500")&gt;0,"X","")</f>
      </c>
      <c r="BA9" s="56" t="str">
        <f>IF(COUNTIFS('LANÇAMENTOS DIÁRIOS'!$G$5:$G$500,"F",'LANÇAMENTOS DIÁRIOS'!$C$5:$C$500,$A9,'LANÇAMENTOS DIÁRIOS'!$O$5:$O$500,"&lt;=116699",'LANÇAMENTOS DIÁRIOS'!$P$5:$P$500,"&gt;=116600")&gt;0,"X","")</f>
      </c>
      <c r="BB9" s="56" t="str">
        <f>IF(COUNTIFS('LANÇAMENTOS DIÁRIOS'!$G$5:$G$500,"F",'LANÇAMENTOS DIÁRIOS'!$C$5:$C$500,$A9,'LANÇAMENTOS DIÁRIOS'!$O$5:$O$500,"&lt;=116799",'LANÇAMENTOS DIÁRIOS'!$P$5:$P$500,"&gt;=116700")&gt;0,"X","")</f>
      </c>
      <c r="BC9" s="56" t="str">
        <f>IF(COUNTIFS('LANÇAMENTOS DIÁRIOS'!$G$5:$G$500,"F",'LANÇAMENTOS DIÁRIOS'!$C$5:$C$500,$A9,'LANÇAMENTOS DIÁRIOS'!$O$5:$O$500,"&lt;=116899",'LANÇAMENTOS DIÁRIOS'!$P$5:$P$500,"&gt;=116800")&gt;0,"X","")</f>
      </c>
      <c r="BD9" s="56" t="str">
        <f>IF(COUNTIFS('LANÇAMENTOS DIÁRIOS'!$G$5:$G$500,"F",'LANÇAMENTOS DIÁRIOS'!$C$5:$C$500,$A9,'LANÇAMENTOS DIÁRIOS'!$O$5:$O$500,"&lt;=116999",'LANÇAMENTOS DIÁRIOS'!$P$5:$P$500,"&gt;=116900")&gt;0,"X","")</f>
      </c>
      <c r="BE9" s="56" t="str">
        <f>IF(COUNTIFS('LANÇAMENTOS DIÁRIOS'!$G$5:$G$500,"F",'LANÇAMENTOS DIÁRIOS'!$C$5:$C$500,$A9,'LANÇAMENTOS DIÁRIOS'!$O$5:$O$500,"&lt;=117099",'LANÇAMENTOS DIÁRIOS'!$P$5:$P$500,"&gt;=117000")&gt;0,"X","")</f>
      </c>
      <c r="BF9" s="56" t="str">
        <f>IF(COUNTIFS('LANÇAMENTOS DIÁRIOS'!$G$5:$G$500,"F",'LANÇAMENTOS DIÁRIOS'!$C$5:$C$500,$A9,'LANÇAMENTOS DIÁRIOS'!$O$5:$O$500,"&lt;=117199",'LANÇAMENTOS DIÁRIOS'!$P$5:$P$500,"&gt;=117100")&gt;0,"X","")</f>
      </c>
      <c r="BG9" s="56" t="str">
        <f>IF(COUNTIFS('LANÇAMENTOS DIÁRIOS'!$G$5:$G$500,"F",'LANÇAMENTOS DIÁRIOS'!$C$5:$C$500,$A9,'LANÇAMENTOS DIÁRIOS'!$O$5:$O$500,"&lt;=117219",'LANÇAMENTOS DIÁRIOS'!$P$5:$P$500,"&gt;=117200")&gt;0,"X","")</f>
      </c>
      <c r="BH9" s="56" t="str">
        <f>IF(COUNTIFS('LANÇAMENTOS DIÁRIOS'!$G$5:$G$500,"F",'LANÇAMENTOS DIÁRIOS'!$C$5:$C$500,$A9,'LANÇAMENTOS DIÁRIOS'!$O$5:$O$500,"&lt;=117220",'LANÇAMENTOS DIÁRIOS'!$P$5:$P$500,"&gt;=117220")&gt;0,"X","")</f>
      </c>
    </row>
    <row r="10">
      <c r="A10" s="51" t="str">
        <v>Remoção de bueiro</v>
      </c>
      <c r="B10" s="56" t="str">
        <f>IF(COUNTIFS('LANÇAMENTOS DIÁRIOS'!$G$5:$G$500,"F",'LANÇAMENTOS DIÁRIOS'!$C$5:$C$500,$A10,'LANÇAMENTOS DIÁRIOS'!$O$5:$O$500,"&lt;=111599",'LANÇAMENTOS DIÁRIOS'!$P$5:$P$500,"&gt;=111500")&gt;0,"X","")</f>
      </c>
      <c r="C10" s="56" t="str">
        <f>IF(COUNTIFS('LANÇAMENTOS DIÁRIOS'!$G$5:$G$500,"F",'LANÇAMENTOS DIÁRIOS'!$C$5:$C$500,$A10,'LANÇAMENTOS DIÁRIOS'!$O$5:$O$500,"&lt;=111699",'LANÇAMENTOS DIÁRIOS'!$P$5:$P$500,"&gt;=111600")&gt;0,"X","")</f>
      </c>
      <c r="D10" s="56" t="str">
        <f>IF(COUNTIFS('LANÇAMENTOS DIÁRIOS'!$G$5:$G$500,"F",'LANÇAMENTOS DIÁRIOS'!$C$5:$C$500,$A10,'LANÇAMENTOS DIÁRIOS'!$O$5:$O$500,"&lt;=111799",'LANÇAMENTOS DIÁRIOS'!$P$5:$P$500,"&gt;=111700")&gt;0,"X","")</f>
      </c>
      <c r="E10" s="56" t="str">
        <f>IF(COUNTIFS('LANÇAMENTOS DIÁRIOS'!$G$5:$G$500,"F",'LANÇAMENTOS DIÁRIOS'!$C$5:$C$500,$A10,'LANÇAMENTOS DIÁRIOS'!$O$5:$O$500,"&lt;=111899",'LANÇAMENTOS DIÁRIOS'!$P$5:$P$500,"&gt;=111800")&gt;0,"X","")</f>
      </c>
      <c r="F10" s="56" t="str">
        <f>IF(COUNTIFS('LANÇAMENTOS DIÁRIOS'!$G$5:$G$500,"F",'LANÇAMENTOS DIÁRIOS'!$C$5:$C$500,$A10,'LANÇAMENTOS DIÁRIOS'!$O$5:$O$500,"&lt;=111999",'LANÇAMENTOS DIÁRIOS'!$P$5:$P$500,"&gt;=111900")&gt;0,"X","")</f>
      </c>
      <c r="G10" s="56" t="str">
        <f>IF(COUNTIFS('LANÇAMENTOS DIÁRIOS'!$G$5:$G$500,"F",'LANÇAMENTOS DIÁRIOS'!$C$5:$C$500,$A10,'LANÇAMENTOS DIÁRIOS'!$O$5:$O$500,"&lt;=112099",'LANÇAMENTOS DIÁRIOS'!$P$5:$P$500,"&gt;=112000")&gt;0,"X","")</f>
      </c>
      <c r="H10" s="56" t="str">
        <f>IF(COUNTIFS('LANÇAMENTOS DIÁRIOS'!$G$5:$G$500,"F",'LANÇAMENTOS DIÁRIOS'!$C$5:$C$500,$A10,'LANÇAMENTOS DIÁRIOS'!$O$5:$O$500,"&lt;=112199",'LANÇAMENTOS DIÁRIOS'!$P$5:$P$500,"&gt;=112100")&gt;0,"X","")</f>
      </c>
      <c r="I10" s="56" t="str">
        <f>IF(COUNTIFS('LANÇAMENTOS DIÁRIOS'!$G$5:$G$500,"F",'LANÇAMENTOS DIÁRIOS'!$C$5:$C$500,$A10,'LANÇAMENTOS DIÁRIOS'!$O$5:$O$500,"&lt;=112299",'LANÇAMENTOS DIÁRIOS'!$P$5:$P$500,"&gt;=112200")&gt;0,"X","")</f>
      </c>
      <c r="J10" s="56" t="str">
        <f>IF(COUNTIFS('LANÇAMENTOS DIÁRIOS'!$G$5:$G$500,"F",'LANÇAMENTOS DIÁRIOS'!$C$5:$C$500,$A10,'LANÇAMENTOS DIÁRIOS'!$O$5:$O$500,"&lt;=112399",'LANÇAMENTOS DIÁRIOS'!$P$5:$P$500,"&gt;=112300")&gt;0,"X","")</f>
      </c>
      <c r="K10" s="56" t="str">
        <f>IF(COUNTIFS('LANÇAMENTOS DIÁRIOS'!$G$5:$G$500,"F",'LANÇAMENTOS DIÁRIOS'!$C$5:$C$500,$A10,'LANÇAMENTOS DIÁRIOS'!$O$5:$O$500,"&lt;=112499",'LANÇAMENTOS DIÁRIOS'!$P$5:$P$500,"&gt;=112400")&gt;0,"X","")</f>
      </c>
      <c r="L10" s="56" t="str">
        <f>IF(COUNTIFS('LANÇAMENTOS DIÁRIOS'!$G$5:$G$500,"F",'LANÇAMENTOS DIÁRIOS'!$C$5:$C$500,$A10,'LANÇAMENTOS DIÁRIOS'!$O$5:$O$500,"&lt;=112599",'LANÇAMENTOS DIÁRIOS'!$P$5:$P$500,"&gt;=112500")&gt;0,"X","")</f>
      </c>
      <c r="M10" s="56" t="str">
        <f>IF(COUNTIFS('LANÇAMENTOS DIÁRIOS'!$G$5:$G$500,"F",'LANÇAMENTOS DIÁRIOS'!$C$5:$C$500,$A10,'LANÇAMENTOS DIÁRIOS'!$O$5:$O$500,"&lt;=112699",'LANÇAMENTOS DIÁRIOS'!$P$5:$P$500,"&gt;=112600")&gt;0,"X","")</f>
      </c>
      <c r="N10" s="56" t="str">
        <f>IF(COUNTIFS('LANÇAMENTOS DIÁRIOS'!$G$5:$G$500,"F",'LANÇAMENTOS DIÁRIOS'!$C$5:$C$500,$A10,'LANÇAMENTOS DIÁRIOS'!$O$5:$O$500,"&lt;=112799",'LANÇAMENTOS DIÁRIOS'!$P$5:$P$500,"&gt;=112700")&gt;0,"X","")</f>
      </c>
      <c r="O10" s="56" t="str">
        <f>IF(COUNTIFS('LANÇAMENTOS DIÁRIOS'!$G$5:$G$500,"F",'LANÇAMENTOS DIÁRIOS'!$C$5:$C$500,$A10,'LANÇAMENTOS DIÁRIOS'!$O$5:$O$500,"&lt;=112899",'LANÇAMENTOS DIÁRIOS'!$P$5:$P$500,"&gt;=112800")&gt;0,"X","")</f>
      </c>
      <c r="P10" s="56" t="str">
        <f>IF(COUNTIFS('LANÇAMENTOS DIÁRIOS'!$G$5:$G$500,"F",'LANÇAMENTOS DIÁRIOS'!$C$5:$C$500,$A10,'LANÇAMENTOS DIÁRIOS'!$O$5:$O$500,"&lt;=112999",'LANÇAMENTOS DIÁRIOS'!$P$5:$P$500,"&gt;=112900")&gt;0,"X","")</f>
      </c>
      <c r="Q10" s="56" t="str">
        <f>IF(COUNTIFS('LANÇAMENTOS DIÁRIOS'!$G$5:$G$500,"F",'LANÇAMENTOS DIÁRIOS'!$C$5:$C$500,$A10,'LANÇAMENTOS DIÁRIOS'!$O$5:$O$500,"&lt;=113099",'LANÇAMENTOS DIÁRIOS'!$P$5:$P$500,"&gt;=113000")&gt;0,"X","")</f>
      </c>
      <c r="R10" s="56" t="str">
        <f>IF(COUNTIFS('LANÇAMENTOS DIÁRIOS'!$G$5:$G$500,"F",'LANÇAMENTOS DIÁRIOS'!$C$5:$C$500,$A10,'LANÇAMENTOS DIÁRIOS'!$O$5:$O$500,"&lt;=113199",'LANÇAMENTOS DIÁRIOS'!$P$5:$P$500,"&gt;=113100")&gt;0,"X","")</f>
      </c>
      <c r="S10" s="56" t="str">
        <f>IF(COUNTIFS('LANÇAMENTOS DIÁRIOS'!$G$5:$G$500,"F",'LANÇAMENTOS DIÁRIOS'!$C$5:$C$500,$A10,'LANÇAMENTOS DIÁRIOS'!$O$5:$O$500,"&lt;=113299",'LANÇAMENTOS DIÁRIOS'!$P$5:$P$500,"&gt;=113200")&gt;0,"X","")</f>
      </c>
      <c r="T10" s="56" t="str">
        <f>IF(COUNTIFS('LANÇAMENTOS DIÁRIOS'!$G$5:$G$500,"F",'LANÇAMENTOS DIÁRIOS'!$C$5:$C$500,$A10,'LANÇAMENTOS DIÁRIOS'!$O$5:$O$500,"&lt;=113399",'LANÇAMENTOS DIÁRIOS'!$P$5:$P$500,"&gt;=113300")&gt;0,"X","")</f>
      </c>
      <c r="U10" s="56" t="str">
        <f>IF(COUNTIFS('LANÇAMENTOS DIÁRIOS'!$G$5:$G$500,"F",'LANÇAMENTOS DIÁRIOS'!$C$5:$C$500,$A10,'LANÇAMENTOS DIÁRIOS'!$O$5:$O$500,"&lt;=113499",'LANÇAMENTOS DIÁRIOS'!$P$5:$P$500,"&gt;=113400")&gt;0,"X","")</f>
      </c>
      <c r="V10" s="56" t="str">
        <f>IF(COUNTIFS('LANÇAMENTOS DIÁRIOS'!$G$5:$G$500,"F",'LANÇAMENTOS DIÁRIOS'!$C$5:$C$500,$A10,'LANÇAMENTOS DIÁRIOS'!$O$5:$O$500,"&lt;=113599",'LANÇAMENTOS DIÁRIOS'!$P$5:$P$500,"&gt;=113500")&gt;0,"X","")</f>
      </c>
      <c r="W10" s="56" t="str">
        <f>IF(COUNTIFS('LANÇAMENTOS DIÁRIOS'!$G$5:$G$500,"F",'LANÇAMENTOS DIÁRIOS'!$C$5:$C$500,$A10,'LANÇAMENTOS DIÁRIOS'!$O$5:$O$500,"&lt;=113699",'LANÇAMENTOS DIÁRIOS'!$P$5:$P$500,"&gt;=113600")&gt;0,"X","")</f>
      </c>
      <c r="X10" s="56" t="str">
        <f>IF(COUNTIFS('LANÇAMENTOS DIÁRIOS'!$G$5:$G$500,"F",'LANÇAMENTOS DIÁRIOS'!$C$5:$C$500,$A10,'LANÇAMENTOS DIÁRIOS'!$O$5:$O$500,"&lt;=113799",'LANÇAMENTOS DIÁRIOS'!$P$5:$P$500,"&gt;=113700")&gt;0,"X","")</f>
      </c>
      <c r="Y10" s="56" t="str">
        <f>IF(COUNTIFS('LANÇAMENTOS DIÁRIOS'!$G$5:$G$500,"F",'LANÇAMENTOS DIÁRIOS'!$C$5:$C$500,$A10,'LANÇAMENTOS DIÁRIOS'!$O$5:$O$500,"&lt;=113899",'LANÇAMENTOS DIÁRIOS'!$P$5:$P$500,"&gt;=113800")&gt;0,"X","")</f>
      </c>
      <c r="Z10" s="56" t="str">
        <f>IF(COUNTIFS('LANÇAMENTOS DIÁRIOS'!$G$5:$G$500,"F",'LANÇAMENTOS DIÁRIOS'!$C$5:$C$500,$A10,'LANÇAMENTOS DIÁRIOS'!$O$5:$O$500,"&lt;=113999",'LANÇAMENTOS DIÁRIOS'!$P$5:$P$500,"&gt;=113900")&gt;0,"X","")</f>
      </c>
      <c r="AA10" s="56" t="str">
        <f>IF(COUNTIFS('LANÇAMENTOS DIÁRIOS'!$G$5:$G$500,"F",'LANÇAMENTOS DIÁRIOS'!$C$5:$C$500,$A10,'LANÇAMENTOS DIÁRIOS'!$O$5:$O$500,"&lt;=114099",'LANÇAMENTOS DIÁRIOS'!$P$5:$P$500,"&gt;=114000")&gt;0,"X","")</f>
      </c>
      <c r="AB10" s="56" t="str">
        <f>IF(COUNTIFS('LANÇAMENTOS DIÁRIOS'!$G$5:$G$500,"F",'LANÇAMENTOS DIÁRIOS'!$C$5:$C$500,$A10,'LANÇAMENTOS DIÁRIOS'!$O$5:$O$500,"&lt;=114199",'LANÇAMENTOS DIÁRIOS'!$P$5:$P$500,"&gt;=114100")&gt;0,"X","")</f>
      </c>
      <c r="AC10" s="56" t="str">
        <f>IF(COUNTIFS('LANÇAMENTOS DIÁRIOS'!$G$5:$G$500,"F",'LANÇAMENTOS DIÁRIOS'!$C$5:$C$500,$A10,'LANÇAMENTOS DIÁRIOS'!$O$5:$O$500,"&lt;=114299",'LANÇAMENTOS DIÁRIOS'!$P$5:$P$500,"&gt;=114200")&gt;0,"X","")</f>
      </c>
      <c r="AD10" s="56" t="str">
        <f>IF(COUNTIFS('LANÇAMENTOS DIÁRIOS'!$G$5:$G$500,"F",'LANÇAMENTOS DIÁRIOS'!$C$5:$C$500,$A10,'LANÇAMENTOS DIÁRIOS'!$O$5:$O$500,"&lt;=114399",'LANÇAMENTOS DIÁRIOS'!$P$5:$P$500,"&gt;=114300")&gt;0,"X","")</f>
      </c>
      <c r="AE10" s="56" t="str">
        <f>IF(COUNTIFS('LANÇAMENTOS DIÁRIOS'!$G$5:$G$500,"F",'LANÇAMENTOS DIÁRIOS'!$C$5:$C$500,$A10,'LANÇAMENTOS DIÁRIOS'!$O$5:$O$500,"&lt;=114499",'LANÇAMENTOS DIÁRIOS'!$P$5:$P$500,"&gt;=114400")&gt;0,"X","")</f>
      </c>
      <c r="AF10" s="56" t="str">
        <f>IF(COUNTIFS('LANÇAMENTOS DIÁRIOS'!$G$5:$G$500,"F",'LANÇAMENTOS DIÁRIOS'!$C$5:$C$500,$A10,'LANÇAMENTOS DIÁRIOS'!$O$5:$O$500,"&lt;=114599",'LANÇAMENTOS DIÁRIOS'!$P$5:$P$500,"&gt;=114500")&gt;0,"X","")</f>
      </c>
      <c r="AG10" s="56" t="str">
        <f>IF(COUNTIFS('LANÇAMENTOS DIÁRIOS'!$G$5:$G$500,"F",'LANÇAMENTOS DIÁRIOS'!$C$5:$C$500,$A10,'LANÇAMENTOS DIÁRIOS'!$O$5:$O$500,"&lt;=114699",'LANÇAMENTOS DIÁRIOS'!$P$5:$P$500,"&gt;=114600")&gt;0,"X","")</f>
      </c>
      <c r="AH10" s="56" t="str">
        <f>IF(COUNTIFS('LANÇAMENTOS DIÁRIOS'!$G$5:$G$500,"F",'LANÇAMENTOS DIÁRIOS'!$C$5:$C$500,$A10,'LANÇAMENTOS DIÁRIOS'!$O$5:$O$500,"&lt;=114799",'LANÇAMENTOS DIÁRIOS'!$P$5:$P$500,"&gt;=114700")&gt;0,"X","")</f>
      </c>
      <c r="AI10" s="56" t="str">
        <f>IF(COUNTIFS('LANÇAMENTOS DIÁRIOS'!$G$5:$G$500,"F",'LANÇAMENTOS DIÁRIOS'!$C$5:$C$500,$A10,'LANÇAMENTOS DIÁRIOS'!$O$5:$O$500,"&lt;=114899",'LANÇAMENTOS DIÁRIOS'!$P$5:$P$500,"&gt;=114800")&gt;0,"X","")</f>
      </c>
      <c r="AJ10" s="56" t="str">
        <f>IF(COUNTIFS('LANÇAMENTOS DIÁRIOS'!$G$5:$G$500,"F",'LANÇAMENTOS DIÁRIOS'!$C$5:$C$500,$A10,'LANÇAMENTOS DIÁRIOS'!$O$5:$O$500,"&lt;=114999",'LANÇAMENTOS DIÁRIOS'!$P$5:$P$500,"&gt;=114900")&gt;0,"X","")</f>
      </c>
      <c r="AK10" s="56" t="str">
        <f>IF(COUNTIFS('LANÇAMENTOS DIÁRIOS'!$G$5:$G$500,"F",'LANÇAMENTOS DIÁRIOS'!$C$5:$C$500,$A10,'LANÇAMENTOS DIÁRIOS'!$O$5:$O$500,"&lt;=115099",'LANÇAMENTOS DIÁRIOS'!$P$5:$P$500,"&gt;=115000")&gt;0,"X","")</f>
      </c>
      <c r="AL10" s="56" t="str">
        <f>IF(COUNTIFS('LANÇAMENTOS DIÁRIOS'!$G$5:$G$500,"F",'LANÇAMENTOS DIÁRIOS'!$C$5:$C$500,$A10,'LANÇAMENTOS DIÁRIOS'!$O$5:$O$500,"&lt;=115199",'LANÇAMENTOS DIÁRIOS'!$P$5:$P$500,"&gt;=115100")&gt;0,"X","")</f>
      </c>
      <c r="AM10" s="56" t="str">
        <f>IF(COUNTIFS('LANÇAMENTOS DIÁRIOS'!$G$5:$G$500,"F",'LANÇAMENTOS DIÁRIOS'!$C$5:$C$500,$A10,'LANÇAMENTOS DIÁRIOS'!$O$5:$O$500,"&lt;=115299",'LANÇAMENTOS DIÁRIOS'!$P$5:$P$500,"&gt;=115200")&gt;0,"X","")</f>
      </c>
      <c r="AN10" s="56" t="str">
        <f>IF(COUNTIFS('LANÇAMENTOS DIÁRIOS'!$G$5:$G$500,"F",'LANÇAMENTOS DIÁRIOS'!$C$5:$C$500,$A10,'LANÇAMENTOS DIÁRIOS'!$O$5:$O$500,"&lt;=115399",'LANÇAMENTOS DIÁRIOS'!$P$5:$P$500,"&gt;=115300")&gt;0,"X","")</f>
      </c>
      <c r="AO10" s="56" t="str">
        <f>IF(COUNTIFS('LANÇAMENTOS DIÁRIOS'!$G$5:$G$500,"F",'LANÇAMENTOS DIÁRIOS'!$C$5:$C$500,$A10,'LANÇAMENTOS DIÁRIOS'!$O$5:$O$500,"&lt;=115499",'LANÇAMENTOS DIÁRIOS'!$P$5:$P$500,"&gt;=115400")&gt;0,"X","")</f>
      </c>
      <c r="AP10" s="56" t="str">
        <f>IF(COUNTIFS('LANÇAMENTOS DIÁRIOS'!$G$5:$G$500,"F",'LANÇAMENTOS DIÁRIOS'!$C$5:$C$500,$A10,'LANÇAMENTOS DIÁRIOS'!$O$5:$O$500,"&lt;=115599",'LANÇAMENTOS DIÁRIOS'!$P$5:$P$500,"&gt;=115500")&gt;0,"X","")</f>
      </c>
      <c r="AQ10" s="56" t="str">
        <f>IF(COUNTIFS('LANÇAMENTOS DIÁRIOS'!$G$5:$G$500,"F",'LANÇAMENTOS DIÁRIOS'!$C$5:$C$500,$A10,'LANÇAMENTOS DIÁRIOS'!$O$5:$O$500,"&lt;=115699",'LANÇAMENTOS DIÁRIOS'!$P$5:$P$500,"&gt;=115600")&gt;0,"X","")</f>
      </c>
      <c r="AR10" s="56" t="str">
        <f>IF(COUNTIFS('LANÇAMENTOS DIÁRIOS'!$G$5:$G$500,"F",'LANÇAMENTOS DIÁRIOS'!$C$5:$C$500,$A10,'LANÇAMENTOS DIÁRIOS'!$O$5:$O$500,"&lt;=115799",'LANÇAMENTOS DIÁRIOS'!$P$5:$P$500,"&gt;=115700")&gt;0,"X","")</f>
      </c>
      <c r="AS10" s="56" t="str">
        <f>IF(COUNTIFS('LANÇAMENTOS DIÁRIOS'!$G$5:$G$500,"F",'LANÇAMENTOS DIÁRIOS'!$C$5:$C$500,$A10,'LANÇAMENTOS DIÁRIOS'!$O$5:$O$500,"&lt;=115899",'LANÇAMENTOS DIÁRIOS'!$P$5:$P$500,"&gt;=115800")&gt;0,"X","")</f>
      </c>
      <c r="AT10" s="56" t="str">
        <f>IF(COUNTIFS('LANÇAMENTOS DIÁRIOS'!$G$5:$G$500,"F",'LANÇAMENTOS DIÁRIOS'!$C$5:$C$500,$A10,'LANÇAMENTOS DIÁRIOS'!$O$5:$O$500,"&lt;=115999",'LANÇAMENTOS DIÁRIOS'!$P$5:$P$500,"&gt;=115900")&gt;0,"X","")</f>
      </c>
      <c r="AU10" s="56" t="str">
        <f>IF(COUNTIFS('LANÇAMENTOS DIÁRIOS'!$G$5:$G$500,"F",'LANÇAMENTOS DIÁRIOS'!$C$5:$C$500,$A10,'LANÇAMENTOS DIÁRIOS'!$O$5:$O$500,"&lt;=116099",'LANÇAMENTOS DIÁRIOS'!$P$5:$P$500,"&gt;=116000")&gt;0,"X","")</f>
      </c>
      <c r="AV10" s="56" t="str">
        <f>IF(COUNTIFS('LANÇAMENTOS DIÁRIOS'!$G$5:$G$500,"F",'LANÇAMENTOS DIÁRIOS'!$C$5:$C$500,$A10,'LANÇAMENTOS DIÁRIOS'!$O$5:$O$500,"&lt;=116199",'LANÇAMENTOS DIÁRIOS'!$P$5:$P$500,"&gt;=116100")&gt;0,"X","")</f>
      </c>
      <c r="AW10" s="56" t="str">
        <f>IF(COUNTIFS('LANÇAMENTOS DIÁRIOS'!$G$5:$G$500,"F",'LANÇAMENTOS DIÁRIOS'!$C$5:$C$500,$A10,'LANÇAMENTOS DIÁRIOS'!$O$5:$O$500,"&lt;=116299",'LANÇAMENTOS DIÁRIOS'!$P$5:$P$500,"&gt;=116200")&gt;0,"X","")</f>
      </c>
      <c r="AX10" s="56" t="str">
        <f>IF(COUNTIFS('LANÇAMENTOS DIÁRIOS'!$G$5:$G$500,"F",'LANÇAMENTOS DIÁRIOS'!$C$5:$C$500,$A10,'LANÇAMENTOS DIÁRIOS'!$O$5:$O$500,"&lt;=116399",'LANÇAMENTOS DIÁRIOS'!$P$5:$P$500,"&gt;=116300")&gt;0,"X","")</f>
      </c>
      <c r="AY10" s="56" t="str">
        <f>IF(COUNTIFS('LANÇAMENTOS DIÁRIOS'!$G$5:$G$500,"F",'LANÇAMENTOS DIÁRIOS'!$C$5:$C$500,$A10,'LANÇAMENTOS DIÁRIOS'!$O$5:$O$500,"&lt;=116499",'LANÇAMENTOS DIÁRIOS'!$P$5:$P$500,"&gt;=116400")&gt;0,"X","")</f>
      </c>
      <c r="AZ10" s="56" t="str">
        <f>IF(COUNTIFS('LANÇAMENTOS DIÁRIOS'!$G$5:$G$500,"F",'LANÇAMENTOS DIÁRIOS'!$C$5:$C$500,$A10,'LANÇAMENTOS DIÁRIOS'!$O$5:$O$500,"&lt;=116599",'LANÇAMENTOS DIÁRIOS'!$P$5:$P$500,"&gt;=116500")&gt;0,"X","")</f>
      </c>
      <c r="BA10" s="56" t="str">
        <f>IF(COUNTIFS('LANÇAMENTOS DIÁRIOS'!$G$5:$G$500,"F",'LANÇAMENTOS DIÁRIOS'!$C$5:$C$500,$A10,'LANÇAMENTOS DIÁRIOS'!$O$5:$O$500,"&lt;=116699",'LANÇAMENTOS DIÁRIOS'!$P$5:$P$500,"&gt;=116600")&gt;0,"X","")</f>
      </c>
      <c r="BB10" s="56" t="str">
        <f>IF(COUNTIFS('LANÇAMENTOS DIÁRIOS'!$G$5:$G$500,"F",'LANÇAMENTOS DIÁRIOS'!$C$5:$C$500,$A10,'LANÇAMENTOS DIÁRIOS'!$O$5:$O$500,"&lt;=116799",'LANÇAMENTOS DIÁRIOS'!$P$5:$P$500,"&gt;=116700")&gt;0,"X","")</f>
      </c>
      <c r="BC10" s="56" t="str">
        <f>IF(COUNTIFS('LANÇAMENTOS DIÁRIOS'!$G$5:$G$500,"F",'LANÇAMENTOS DIÁRIOS'!$C$5:$C$500,$A10,'LANÇAMENTOS DIÁRIOS'!$O$5:$O$500,"&lt;=116899",'LANÇAMENTOS DIÁRIOS'!$P$5:$P$500,"&gt;=116800")&gt;0,"X","")</f>
      </c>
      <c r="BD10" s="56" t="str">
        <f>IF(COUNTIFS('LANÇAMENTOS DIÁRIOS'!$G$5:$G$500,"F",'LANÇAMENTOS DIÁRIOS'!$C$5:$C$500,$A10,'LANÇAMENTOS DIÁRIOS'!$O$5:$O$500,"&lt;=116999",'LANÇAMENTOS DIÁRIOS'!$P$5:$P$500,"&gt;=116900")&gt;0,"X","")</f>
      </c>
      <c r="BE10" s="56" t="str">
        <f>IF(COUNTIFS('LANÇAMENTOS DIÁRIOS'!$G$5:$G$500,"F",'LANÇAMENTOS DIÁRIOS'!$C$5:$C$500,$A10,'LANÇAMENTOS DIÁRIOS'!$O$5:$O$500,"&lt;=117099",'LANÇAMENTOS DIÁRIOS'!$P$5:$P$500,"&gt;=117000")&gt;0,"X","")</f>
      </c>
      <c r="BF10" s="56" t="str">
        <f>IF(COUNTIFS('LANÇAMENTOS DIÁRIOS'!$G$5:$G$500,"F",'LANÇAMENTOS DIÁRIOS'!$C$5:$C$500,$A10,'LANÇAMENTOS DIÁRIOS'!$O$5:$O$500,"&lt;=117199",'LANÇAMENTOS DIÁRIOS'!$P$5:$P$500,"&gt;=117100")&gt;0,"X","")</f>
      </c>
      <c r="BG10" s="56" t="str">
        <f>IF(COUNTIFS('LANÇAMENTOS DIÁRIOS'!$G$5:$G$500,"F",'LANÇAMENTOS DIÁRIOS'!$C$5:$C$500,$A10,'LANÇAMENTOS DIÁRIOS'!$O$5:$O$500,"&lt;=117219",'LANÇAMENTOS DIÁRIOS'!$P$5:$P$500,"&gt;=117200")&gt;0,"X","")</f>
      </c>
      <c r="BH10" s="56" t="str">
        <f>IF(COUNTIFS('LANÇAMENTOS DIÁRIOS'!$G$5:$G$500,"F",'LANÇAMENTOS DIÁRIOS'!$C$5:$C$500,$A10,'LANÇAMENTOS DIÁRIOS'!$O$5:$O$500,"&lt;=117220",'LANÇAMENTOS DIÁRIOS'!$P$5:$P$500,"&gt;=117220")&gt;0,"X","")</f>
      </c>
    </row>
    <row r="11">
      <c r="A11" s="51" t="str">
        <v>Demolição de dispositivos de concreto armado</v>
      </c>
      <c r="B11" s="56" t="str">
        <f>IF(COUNTIFS('LANÇAMENTOS DIÁRIOS'!$G$5:$G$500,"F",'LANÇAMENTOS DIÁRIOS'!$C$5:$C$500,$A11,'LANÇAMENTOS DIÁRIOS'!$O$5:$O$500,"&lt;=111599",'LANÇAMENTOS DIÁRIOS'!$P$5:$P$500,"&gt;=111500")&gt;0,"X","")</f>
      </c>
      <c r="C11" s="56" t="str">
        <f>IF(COUNTIFS('LANÇAMENTOS DIÁRIOS'!$G$5:$G$500,"F",'LANÇAMENTOS DIÁRIOS'!$C$5:$C$500,$A11,'LANÇAMENTOS DIÁRIOS'!$O$5:$O$500,"&lt;=111699",'LANÇAMENTOS DIÁRIOS'!$P$5:$P$500,"&gt;=111600")&gt;0,"X","")</f>
      </c>
      <c r="D11" s="56" t="str">
        <f>IF(COUNTIFS('LANÇAMENTOS DIÁRIOS'!$G$5:$G$500,"F",'LANÇAMENTOS DIÁRIOS'!$C$5:$C$500,$A11,'LANÇAMENTOS DIÁRIOS'!$O$5:$O$500,"&lt;=111799",'LANÇAMENTOS DIÁRIOS'!$P$5:$P$500,"&gt;=111700")&gt;0,"X","")</f>
      </c>
      <c r="E11" s="56" t="str">
        <f>IF(COUNTIFS('LANÇAMENTOS DIÁRIOS'!$G$5:$G$500,"F",'LANÇAMENTOS DIÁRIOS'!$C$5:$C$500,$A11,'LANÇAMENTOS DIÁRIOS'!$O$5:$O$500,"&lt;=111899",'LANÇAMENTOS DIÁRIOS'!$P$5:$P$500,"&gt;=111800")&gt;0,"X","")</f>
      </c>
      <c r="F11" s="56" t="str">
        <f>IF(COUNTIFS('LANÇAMENTOS DIÁRIOS'!$G$5:$G$500,"F",'LANÇAMENTOS DIÁRIOS'!$C$5:$C$500,$A11,'LANÇAMENTOS DIÁRIOS'!$O$5:$O$500,"&lt;=111999",'LANÇAMENTOS DIÁRIOS'!$P$5:$P$500,"&gt;=111900")&gt;0,"X","")</f>
      </c>
      <c r="G11" s="56" t="str">
        <f>IF(COUNTIFS('LANÇAMENTOS DIÁRIOS'!$G$5:$G$500,"F",'LANÇAMENTOS DIÁRIOS'!$C$5:$C$500,$A11,'LANÇAMENTOS DIÁRIOS'!$O$5:$O$500,"&lt;=112099",'LANÇAMENTOS DIÁRIOS'!$P$5:$P$500,"&gt;=112000")&gt;0,"X","")</f>
      </c>
      <c r="H11" s="56" t="str">
        <f>IF(COUNTIFS('LANÇAMENTOS DIÁRIOS'!$G$5:$G$500,"F",'LANÇAMENTOS DIÁRIOS'!$C$5:$C$500,$A11,'LANÇAMENTOS DIÁRIOS'!$O$5:$O$500,"&lt;=112199",'LANÇAMENTOS DIÁRIOS'!$P$5:$P$500,"&gt;=112100")&gt;0,"X","")</f>
      </c>
      <c r="I11" s="56" t="str">
        <f>IF(COUNTIFS('LANÇAMENTOS DIÁRIOS'!$G$5:$G$500,"F",'LANÇAMENTOS DIÁRIOS'!$C$5:$C$500,$A11,'LANÇAMENTOS DIÁRIOS'!$O$5:$O$500,"&lt;=112299",'LANÇAMENTOS DIÁRIOS'!$P$5:$P$500,"&gt;=112200")&gt;0,"X","")</f>
      </c>
      <c r="J11" s="56" t="str">
        <f>IF(COUNTIFS('LANÇAMENTOS DIÁRIOS'!$G$5:$G$500,"F",'LANÇAMENTOS DIÁRIOS'!$C$5:$C$500,$A11,'LANÇAMENTOS DIÁRIOS'!$O$5:$O$500,"&lt;=112399",'LANÇAMENTOS DIÁRIOS'!$P$5:$P$500,"&gt;=112300")&gt;0,"X","")</f>
      </c>
      <c r="K11" s="56" t="str">
        <f>IF(COUNTIFS('LANÇAMENTOS DIÁRIOS'!$G$5:$G$500,"F",'LANÇAMENTOS DIÁRIOS'!$C$5:$C$500,$A11,'LANÇAMENTOS DIÁRIOS'!$O$5:$O$500,"&lt;=112499",'LANÇAMENTOS DIÁRIOS'!$P$5:$P$500,"&gt;=112400")&gt;0,"X","")</f>
      </c>
      <c r="L11" s="56" t="str">
        <f>IF(COUNTIFS('LANÇAMENTOS DIÁRIOS'!$G$5:$G$500,"F",'LANÇAMENTOS DIÁRIOS'!$C$5:$C$500,$A11,'LANÇAMENTOS DIÁRIOS'!$O$5:$O$500,"&lt;=112599",'LANÇAMENTOS DIÁRIOS'!$P$5:$P$500,"&gt;=112500")&gt;0,"X","")</f>
      </c>
      <c r="M11" s="56" t="str">
        <f>IF(COUNTIFS('LANÇAMENTOS DIÁRIOS'!$G$5:$G$500,"F",'LANÇAMENTOS DIÁRIOS'!$C$5:$C$500,$A11,'LANÇAMENTOS DIÁRIOS'!$O$5:$O$500,"&lt;=112699",'LANÇAMENTOS DIÁRIOS'!$P$5:$P$500,"&gt;=112600")&gt;0,"X","")</f>
      </c>
      <c r="N11" s="56" t="str">
        <f>IF(COUNTIFS('LANÇAMENTOS DIÁRIOS'!$G$5:$G$500,"F",'LANÇAMENTOS DIÁRIOS'!$C$5:$C$500,$A11,'LANÇAMENTOS DIÁRIOS'!$O$5:$O$500,"&lt;=112799",'LANÇAMENTOS DIÁRIOS'!$P$5:$P$500,"&gt;=112700")&gt;0,"X","")</f>
      </c>
      <c r="O11" s="56" t="str">
        <f>IF(COUNTIFS('LANÇAMENTOS DIÁRIOS'!$G$5:$G$500,"F",'LANÇAMENTOS DIÁRIOS'!$C$5:$C$500,$A11,'LANÇAMENTOS DIÁRIOS'!$O$5:$O$500,"&lt;=112899",'LANÇAMENTOS DIÁRIOS'!$P$5:$P$500,"&gt;=112800")&gt;0,"X","")</f>
      </c>
      <c r="P11" s="56" t="str">
        <f>IF(COUNTIFS('LANÇAMENTOS DIÁRIOS'!$G$5:$G$500,"F",'LANÇAMENTOS DIÁRIOS'!$C$5:$C$500,$A11,'LANÇAMENTOS DIÁRIOS'!$O$5:$O$500,"&lt;=112999",'LANÇAMENTOS DIÁRIOS'!$P$5:$P$500,"&gt;=112900")&gt;0,"X","")</f>
      </c>
      <c r="Q11" s="56" t="str">
        <f>IF(COUNTIFS('LANÇAMENTOS DIÁRIOS'!$G$5:$G$500,"F",'LANÇAMENTOS DIÁRIOS'!$C$5:$C$500,$A11,'LANÇAMENTOS DIÁRIOS'!$O$5:$O$500,"&lt;=113099",'LANÇAMENTOS DIÁRIOS'!$P$5:$P$500,"&gt;=113000")&gt;0,"X","")</f>
      </c>
      <c r="R11" s="56" t="str">
        <f>IF(COUNTIFS('LANÇAMENTOS DIÁRIOS'!$G$5:$G$500,"F",'LANÇAMENTOS DIÁRIOS'!$C$5:$C$500,$A11,'LANÇAMENTOS DIÁRIOS'!$O$5:$O$500,"&lt;=113199",'LANÇAMENTOS DIÁRIOS'!$P$5:$P$500,"&gt;=113100")&gt;0,"X","")</f>
      </c>
      <c r="S11" s="56" t="str">
        <f>IF(COUNTIFS('LANÇAMENTOS DIÁRIOS'!$G$5:$G$500,"F",'LANÇAMENTOS DIÁRIOS'!$C$5:$C$500,$A11,'LANÇAMENTOS DIÁRIOS'!$O$5:$O$500,"&lt;=113299",'LANÇAMENTOS DIÁRIOS'!$P$5:$P$500,"&gt;=113200")&gt;0,"X","")</f>
      </c>
      <c r="T11" s="56" t="str">
        <f>IF(COUNTIFS('LANÇAMENTOS DIÁRIOS'!$G$5:$G$500,"F",'LANÇAMENTOS DIÁRIOS'!$C$5:$C$500,$A11,'LANÇAMENTOS DIÁRIOS'!$O$5:$O$500,"&lt;=113399",'LANÇAMENTOS DIÁRIOS'!$P$5:$P$500,"&gt;=113300")&gt;0,"X","")</f>
      </c>
      <c r="U11" s="56" t="str">
        <f>IF(COUNTIFS('LANÇAMENTOS DIÁRIOS'!$G$5:$G$500,"F",'LANÇAMENTOS DIÁRIOS'!$C$5:$C$500,$A11,'LANÇAMENTOS DIÁRIOS'!$O$5:$O$500,"&lt;=113499",'LANÇAMENTOS DIÁRIOS'!$P$5:$P$500,"&gt;=113400")&gt;0,"X","")</f>
      </c>
      <c r="V11" s="56" t="str">
        <f>IF(COUNTIFS('LANÇAMENTOS DIÁRIOS'!$G$5:$G$500,"F",'LANÇAMENTOS DIÁRIOS'!$C$5:$C$500,$A11,'LANÇAMENTOS DIÁRIOS'!$O$5:$O$500,"&lt;=113599",'LANÇAMENTOS DIÁRIOS'!$P$5:$P$500,"&gt;=113500")&gt;0,"X","")</f>
      </c>
      <c r="W11" s="56" t="str">
        <f>IF(COUNTIFS('LANÇAMENTOS DIÁRIOS'!$G$5:$G$500,"F",'LANÇAMENTOS DIÁRIOS'!$C$5:$C$500,$A11,'LANÇAMENTOS DIÁRIOS'!$O$5:$O$500,"&lt;=113699",'LANÇAMENTOS DIÁRIOS'!$P$5:$P$500,"&gt;=113600")&gt;0,"X","")</f>
      </c>
      <c r="X11" s="56" t="str">
        <f>IF(COUNTIFS('LANÇAMENTOS DIÁRIOS'!$G$5:$G$500,"F",'LANÇAMENTOS DIÁRIOS'!$C$5:$C$500,$A11,'LANÇAMENTOS DIÁRIOS'!$O$5:$O$500,"&lt;=113799",'LANÇAMENTOS DIÁRIOS'!$P$5:$P$500,"&gt;=113700")&gt;0,"X","")</f>
      </c>
      <c r="Y11" s="56" t="str">
        <f>IF(COUNTIFS('LANÇAMENTOS DIÁRIOS'!$G$5:$G$500,"F",'LANÇAMENTOS DIÁRIOS'!$C$5:$C$500,$A11,'LANÇAMENTOS DIÁRIOS'!$O$5:$O$500,"&lt;=113899",'LANÇAMENTOS DIÁRIOS'!$P$5:$P$500,"&gt;=113800")&gt;0,"X","")</f>
      </c>
      <c r="Z11" s="56" t="str">
        <f>IF(COUNTIFS('LANÇAMENTOS DIÁRIOS'!$G$5:$G$500,"F",'LANÇAMENTOS DIÁRIOS'!$C$5:$C$500,$A11,'LANÇAMENTOS DIÁRIOS'!$O$5:$O$500,"&lt;=113999",'LANÇAMENTOS DIÁRIOS'!$P$5:$P$500,"&gt;=113900")&gt;0,"X","")</f>
      </c>
      <c r="AA11" s="56" t="str">
        <f>IF(COUNTIFS('LANÇAMENTOS DIÁRIOS'!$G$5:$G$500,"F",'LANÇAMENTOS DIÁRIOS'!$C$5:$C$500,$A11,'LANÇAMENTOS DIÁRIOS'!$O$5:$O$500,"&lt;=114099",'LANÇAMENTOS DIÁRIOS'!$P$5:$P$500,"&gt;=114000")&gt;0,"X","")</f>
      </c>
      <c r="AB11" s="56" t="str">
        <f>IF(COUNTIFS('LANÇAMENTOS DIÁRIOS'!$G$5:$G$500,"F",'LANÇAMENTOS DIÁRIOS'!$C$5:$C$500,$A11,'LANÇAMENTOS DIÁRIOS'!$O$5:$O$500,"&lt;=114199",'LANÇAMENTOS DIÁRIOS'!$P$5:$P$500,"&gt;=114100")&gt;0,"X","")</f>
      </c>
      <c r="AC11" s="56" t="str">
        <f>IF(COUNTIFS('LANÇAMENTOS DIÁRIOS'!$G$5:$G$500,"F",'LANÇAMENTOS DIÁRIOS'!$C$5:$C$500,$A11,'LANÇAMENTOS DIÁRIOS'!$O$5:$O$500,"&lt;=114299",'LANÇAMENTOS DIÁRIOS'!$P$5:$P$500,"&gt;=114200")&gt;0,"X","")</f>
      </c>
      <c r="AD11" s="56" t="str">
        <f>IF(COUNTIFS('LANÇAMENTOS DIÁRIOS'!$G$5:$G$500,"F",'LANÇAMENTOS DIÁRIOS'!$C$5:$C$500,$A11,'LANÇAMENTOS DIÁRIOS'!$O$5:$O$500,"&lt;=114399",'LANÇAMENTOS DIÁRIOS'!$P$5:$P$500,"&gt;=114300")&gt;0,"X","")</f>
      </c>
      <c r="AE11" s="56" t="str">
        <f>IF(COUNTIFS('LANÇAMENTOS DIÁRIOS'!$G$5:$G$500,"F",'LANÇAMENTOS DIÁRIOS'!$C$5:$C$500,$A11,'LANÇAMENTOS DIÁRIOS'!$O$5:$O$500,"&lt;=114499",'LANÇAMENTOS DIÁRIOS'!$P$5:$P$500,"&gt;=114400")&gt;0,"X","")</f>
      </c>
      <c r="AF11" s="56" t="str">
        <f>IF(COUNTIFS('LANÇAMENTOS DIÁRIOS'!$G$5:$G$500,"F",'LANÇAMENTOS DIÁRIOS'!$C$5:$C$500,$A11,'LANÇAMENTOS DIÁRIOS'!$O$5:$O$500,"&lt;=114599",'LANÇAMENTOS DIÁRIOS'!$P$5:$P$500,"&gt;=114500")&gt;0,"X","")</f>
      </c>
      <c r="AG11" s="56" t="str">
        <f>IF(COUNTIFS('LANÇAMENTOS DIÁRIOS'!$G$5:$G$500,"F",'LANÇAMENTOS DIÁRIOS'!$C$5:$C$500,$A11,'LANÇAMENTOS DIÁRIOS'!$O$5:$O$500,"&lt;=114699",'LANÇAMENTOS DIÁRIOS'!$P$5:$P$500,"&gt;=114600")&gt;0,"X","")</f>
      </c>
      <c r="AH11" s="56" t="str">
        <f>IF(COUNTIFS('LANÇAMENTOS DIÁRIOS'!$G$5:$G$500,"F",'LANÇAMENTOS DIÁRIOS'!$C$5:$C$500,$A11,'LANÇAMENTOS DIÁRIOS'!$O$5:$O$500,"&lt;=114799",'LANÇAMENTOS DIÁRIOS'!$P$5:$P$500,"&gt;=114700")&gt;0,"X","")</f>
      </c>
      <c r="AI11" s="56" t="str">
        <f>IF(COUNTIFS('LANÇAMENTOS DIÁRIOS'!$G$5:$G$500,"F",'LANÇAMENTOS DIÁRIOS'!$C$5:$C$500,$A11,'LANÇAMENTOS DIÁRIOS'!$O$5:$O$500,"&lt;=114899",'LANÇAMENTOS DIÁRIOS'!$P$5:$P$500,"&gt;=114800")&gt;0,"X","")</f>
      </c>
      <c r="AJ11" s="56" t="str">
        <f>IF(COUNTIFS('LANÇAMENTOS DIÁRIOS'!$G$5:$G$500,"F",'LANÇAMENTOS DIÁRIOS'!$C$5:$C$500,$A11,'LANÇAMENTOS DIÁRIOS'!$O$5:$O$500,"&lt;=114999",'LANÇAMENTOS DIÁRIOS'!$P$5:$P$500,"&gt;=114900")&gt;0,"X","")</f>
      </c>
      <c r="AK11" s="56" t="str">
        <f>IF(COUNTIFS('LANÇAMENTOS DIÁRIOS'!$G$5:$G$500,"F",'LANÇAMENTOS DIÁRIOS'!$C$5:$C$500,$A11,'LANÇAMENTOS DIÁRIOS'!$O$5:$O$500,"&lt;=115099",'LANÇAMENTOS DIÁRIOS'!$P$5:$P$500,"&gt;=115000")&gt;0,"X","")</f>
      </c>
      <c r="AL11" s="56" t="str">
        <f>IF(COUNTIFS('LANÇAMENTOS DIÁRIOS'!$G$5:$G$500,"F",'LANÇAMENTOS DIÁRIOS'!$C$5:$C$500,$A11,'LANÇAMENTOS DIÁRIOS'!$O$5:$O$500,"&lt;=115199",'LANÇAMENTOS DIÁRIOS'!$P$5:$P$500,"&gt;=115100")&gt;0,"X","")</f>
      </c>
      <c r="AM11" s="56" t="str">
        <f>IF(COUNTIFS('LANÇAMENTOS DIÁRIOS'!$G$5:$G$500,"F",'LANÇAMENTOS DIÁRIOS'!$C$5:$C$500,$A11,'LANÇAMENTOS DIÁRIOS'!$O$5:$O$500,"&lt;=115299",'LANÇAMENTOS DIÁRIOS'!$P$5:$P$500,"&gt;=115200")&gt;0,"X","")</f>
      </c>
      <c r="AN11" s="56" t="str">
        <f>IF(COUNTIFS('LANÇAMENTOS DIÁRIOS'!$G$5:$G$500,"F",'LANÇAMENTOS DIÁRIOS'!$C$5:$C$500,$A11,'LANÇAMENTOS DIÁRIOS'!$O$5:$O$500,"&lt;=115399",'LANÇAMENTOS DIÁRIOS'!$P$5:$P$500,"&gt;=115300")&gt;0,"X","")</f>
      </c>
      <c r="AO11" s="56" t="str">
        <f>IF(COUNTIFS('LANÇAMENTOS DIÁRIOS'!$G$5:$G$500,"F",'LANÇAMENTOS DIÁRIOS'!$C$5:$C$500,$A11,'LANÇAMENTOS DIÁRIOS'!$O$5:$O$500,"&lt;=115499",'LANÇAMENTOS DIÁRIOS'!$P$5:$P$500,"&gt;=115400")&gt;0,"X","")</f>
      </c>
      <c r="AP11" s="56" t="str">
        <f>IF(COUNTIFS('LANÇAMENTOS DIÁRIOS'!$G$5:$G$500,"F",'LANÇAMENTOS DIÁRIOS'!$C$5:$C$500,$A11,'LANÇAMENTOS DIÁRIOS'!$O$5:$O$500,"&lt;=115599",'LANÇAMENTOS DIÁRIOS'!$P$5:$P$500,"&gt;=115500")&gt;0,"X","")</f>
      </c>
      <c r="AQ11" s="56" t="str">
        <f>IF(COUNTIFS('LANÇAMENTOS DIÁRIOS'!$G$5:$G$500,"F",'LANÇAMENTOS DIÁRIOS'!$C$5:$C$500,$A11,'LANÇAMENTOS DIÁRIOS'!$O$5:$O$500,"&lt;=115699",'LANÇAMENTOS DIÁRIOS'!$P$5:$P$500,"&gt;=115600")&gt;0,"X","")</f>
      </c>
      <c r="AR11" s="56" t="str">
        <f>IF(COUNTIFS('LANÇAMENTOS DIÁRIOS'!$G$5:$G$500,"F",'LANÇAMENTOS DIÁRIOS'!$C$5:$C$500,$A11,'LANÇAMENTOS DIÁRIOS'!$O$5:$O$500,"&lt;=115799",'LANÇAMENTOS DIÁRIOS'!$P$5:$P$500,"&gt;=115700")&gt;0,"X","")</f>
      </c>
      <c r="AS11" s="56" t="str">
        <f>IF(COUNTIFS('LANÇAMENTOS DIÁRIOS'!$G$5:$G$500,"F",'LANÇAMENTOS DIÁRIOS'!$C$5:$C$500,$A11,'LANÇAMENTOS DIÁRIOS'!$O$5:$O$500,"&lt;=115899",'LANÇAMENTOS DIÁRIOS'!$P$5:$P$500,"&gt;=115800")&gt;0,"X","")</f>
      </c>
      <c r="AT11" s="56" t="str">
        <f>IF(COUNTIFS('LANÇAMENTOS DIÁRIOS'!$G$5:$G$500,"F",'LANÇAMENTOS DIÁRIOS'!$C$5:$C$500,$A11,'LANÇAMENTOS DIÁRIOS'!$O$5:$O$500,"&lt;=115999",'LANÇAMENTOS DIÁRIOS'!$P$5:$P$500,"&gt;=115900")&gt;0,"X","")</f>
      </c>
      <c r="AU11" s="56" t="str">
        <f>IF(COUNTIFS('LANÇAMENTOS DIÁRIOS'!$G$5:$G$500,"F",'LANÇAMENTOS DIÁRIOS'!$C$5:$C$500,$A11,'LANÇAMENTOS DIÁRIOS'!$O$5:$O$500,"&lt;=116099",'LANÇAMENTOS DIÁRIOS'!$P$5:$P$500,"&gt;=116000")&gt;0,"X","")</f>
      </c>
      <c r="AV11" s="56" t="str">
        <f>IF(COUNTIFS('LANÇAMENTOS DIÁRIOS'!$G$5:$G$500,"F",'LANÇAMENTOS DIÁRIOS'!$C$5:$C$500,$A11,'LANÇAMENTOS DIÁRIOS'!$O$5:$O$500,"&lt;=116199",'LANÇAMENTOS DIÁRIOS'!$P$5:$P$500,"&gt;=116100")&gt;0,"X","")</f>
      </c>
      <c r="AW11" s="56" t="str">
        <f>IF(COUNTIFS('LANÇAMENTOS DIÁRIOS'!$G$5:$G$500,"F",'LANÇAMENTOS DIÁRIOS'!$C$5:$C$500,$A11,'LANÇAMENTOS DIÁRIOS'!$O$5:$O$500,"&lt;=116299",'LANÇAMENTOS DIÁRIOS'!$P$5:$P$500,"&gt;=116200")&gt;0,"X","")</f>
      </c>
      <c r="AX11" s="56" t="str">
        <f>IF(COUNTIFS('LANÇAMENTOS DIÁRIOS'!$G$5:$G$500,"F",'LANÇAMENTOS DIÁRIOS'!$C$5:$C$500,$A11,'LANÇAMENTOS DIÁRIOS'!$O$5:$O$500,"&lt;=116399",'LANÇAMENTOS DIÁRIOS'!$P$5:$P$500,"&gt;=116300")&gt;0,"X","")</f>
      </c>
      <c r="AY11" s="56" t="str">
        <f>IF(COUNTIFS('LANÇAMENTOS DIÁRIOS'!$G$5:$G$500,"F",'LANÇAMENTOS DIÁRIOS'!$C$5:$C$500,$A11,'LANÇAMENTOS DIÁRIOS'!$O$5:$O$500,"&lt;=116499",'LANÇAMENTOS DIÁRIOS'!$P$5:$P$500,"&gt;=116400")&gt;0,"X","")</f>
      </c>
      <c r="AZ11" s="56" t="str">
        <f>IF(COUNTIFS('LANÇAMENTOS DIÁRIOS'!$G$5:$G$500,"F",'LANÇAMENTOS DIÁRIOS'!$C$5:$C$500,$A11,'LANÇAMENTOS DIÁRIOS'!$O$5:$O$500,"&lt;=116599",'LANÇAMENTOS DIÁRIOS'!$P$5:$P$500,"&gt;=116500")&gt;0,"X","")</f>
      </c>
      <c r="BA11" s="56" t="str">
        <f>IF(COUNTIFS('LANÇAMENTOS DIÁRIOS'!$G$5:$G$500,"F",'LANÇAMENTOS DIÁRIOS'!$C$5:$C$500,$A11,'LANÇAMENTOS DIÁRIOS'!$O$5:$O$500,"&lt;=116699",'LANÇAMENTOS DIÁRIOS'!$P$5:$P$500,"&gt;=116600")&gt;0,"X","")</f>
      </c>
      <c r="BB11" s="56" t="str">
        <f>IF(COUNTIFS('LANÇAMENTOS DIÁRIOS'!$G$5:$G$500,"F",'LANÇAMENTOS DIÁRIOS'!$C$5:$C$500,$A11,'LANÇAMENTOS DIÁRIOS'!$O$5:$O$500,"&lt;=116799",'LANÇAMENTOS DIÁRIOS'!$P$5:$P$500,"&gt;=116700")&gt;0,"X","")</f>
      </c>
      <c r="BC11" s="56" t="str">
        <f>IF(COUNTIFS('LANÇAMENTOS DIÁRIOS'!$G$5:$G$500,"F",'LANÇAMENTOS DIÁRIOS'!$C$5:$C$500,$A11,'LANÇAMENTOS DIÁRIOS'!$O$5:$O$500,"&lt;=116899",'LANÇAMENTOS DIÁRIOS'!$P$5:$P$500,"&gt;=116800")&gt;0,"X","")</f>
      </c>
      <c r="BD11" s="56" t="str">
        <f>IF(COUNTIFS('LANÇAMENTOS DIÁRIOS'!$G$5:$G$500,"F",'LANÇAMENTOS DIÁRIOS'!$C$5:$C$500,$A11,'LANÇAMENTOS DIÁRIOS'!$O$5:$O$500,"&lt;=116999",'LANÇAMENTOS DIÁRIOS'!$P$5:$P$500,"&gt;=116900")&gt;0,"X","")</f>
      </c>
      <c r="BE11" s="56" t="str">
        <f>IF(COUNTIFS('LANÇAMENTOS DIÁRIOS'!$G$5:$G$500,"F",'LANÇAMENTOS DIÁRIOS'!$C$5:$C$500,$A11,'LANÇAMENTOS DIÁRIOS'!$O$5:$O$500,"&lt;=117099",'LANÇAMENTOS DIÁRIOS'!$P$5:$P$500,"&gt;=117000")&gt;0,"X","")</f>
      </c>
      <c r="BF11" s="56" t="str">
        <f>IF(COUNTIFS('LANÇAMENTOS DIÁRIOS'!$G$5:$G$500,"F",'LANÇAMENTOS DIÁRIOS'!$C$5:$C$500,$A11,'LANÇAMENTOS DIÁRIOS'!$O$5:$O$500,"&lt;=117199",'LANÇAMENTOS DIÁRIOS'!$P$5:$P$500,"&gt;=117100")&gt;0,"X","")</f>
      </c>
      <c r="BG11" s="56" t="str">
        <f>IF(COUNTIFS('LANÇAMENTOS DIÁRIOS'!$G$5:$G$500,"F",'LANÇAMENTOS DIÁRIOS'!$C$5:$C$500,$A11,'LANÇAMENTOS DIÁRIOS'!$O$5:$O$500,"&lt;=117219",'LANÇAMENTOS DIÁRIOS'!$P$5:$P$500,"&gt;=117200")&gt;0,"X","")</f>
      </c>
      <c r="BH11" s="56" t="str">
        <f>IF(COUNTIFS('LANÇAMENTOS DIÁRIOS'!$G$5:$G$500,"F",'LANÇAMENTOS DIÁRIOS'!$C$5:$C$500,$A11,'LANÇAMENTOS DIÁRIOS'!$O$5:$O$500,"&lt;=117220",'LANÇAMENTOS DIÁRIOS'!$P$5:$P$500,"&gt;=117220")&gt;0,"X","")</f>
      </c>
    </row>
    <row r="12">
      <c r="A12" s="51" t="str">
        <v>Demolição de dispositivos de concreto simples</v>
      </c>
      <c r="B12" s="56" t="str">
        <f>IF(COUNTIFS('LANÇAMENTOS DIÁRIOS'!$G$5:$G$500,"F",'LANÇAMENTOS DIÁRIOS'!$C$5:$C$500,$A12,'LANÇAMENTOS DIÁRIOS'!$O$5:$O$500,"&lt;=111599",'LANÇAMENTOS DIÁRIOS'!$P$5:$P$500,"&gt;=111500")&gt;0,"X","")</f>
      </c>
      <c r="C12" s="56" t="str">
        <f>IF(COUNTIFS('LANÇAMENTOS DIÁRIOS'!$G$5:$G$500,"F",'LANÇAMENTOS DIÁRIOS'!$C$5:$C$500,$A12,'LANÇAMENTOS DIÁRIOS'!$O$5:$O$500,"&lt;=111699",'LANÇAMENTOS DIÁRIOS'!$P$5:$P$500,"&gt;=111600")&gt;0,"X","")</f>
      </c>
      <c r="D12" s="56" t="str">
        <f>IF(COUNTIFS('LANÇAMENTOS DIÁRIOS'!$G$5:$G$500,"F",'LANÇAMENTOS DIÁRIOS'!$C$5:$C$500,$A12,'LANÇAMENTOS DIÁRIOS'!$O$5:$O$500,"&lt;=111799",'LANÇAMENTOS DIÁRIOS'!$P$5:$P$500,"&gt;=111700")&gt;0,"X","")</f>
      </c>
      <c r="E12" s="56" t="str">
        <f>IF(COUNTIFS('LANÇAMENTOS DIÁRIOS'!$G$5:$G$500,"F",'LANÇAMENTOS DIÁRIOS'!$C$5:$C$500,$A12,'LANÇAMENTOS DIÁRIOS'!$O$5:$O$500,"&lt;=111899",'LANÇAMENTOS DIÁRIOS'!$P$5:$P$500,"&gt;=111800")&gt;0,"X","")</f>
      </c>
      <c r="F12" s="56" t="str">
        <f>IF(COUNTIFS('LANÇAMENTOS DIÁRIOS'!$G$5:$G$500,"F",'LANÇAMENTOS DIÁRIOS'!$C$5:$C$500,$A12,'LANÇAMENTOS DIÁRIOS'!$O$5:$O$500,"&lt;=111999",'LANÇAMENTOS DIÁRIOS'!$P$5:$P$500,"&gt;=111900")&gt;0,"X","")</f>
      </c>
      <c r="G12" s="56" t="str">
        <f>IF(COUNTIFS('LANÇAMENTOS DIÁRIOS'!$G$5:$G$500,"F",'LANÇAMENTOS DIÁRIOS'!$C$5:$C$500,$A12,'LANÇAMENTOS DIÁRIOS'!$O$5:$O$500,"&lt;=112099",'LANÇAMENTOS DIÁRIOS'!$P$5:$P$500,"&gt;=112000")&gt;0,"X","")</f>
      </c>
      <c r="H12" s="56" t="str">
        <f>IF(COUNTIFS('LANÇAMENTOS DIÁRIOS'!$G$5:$G$500,"F",'LANÇAMENTOS DIÁRIOS'!$C$5:$C$500,$A12,'LANÇAMENTOS DIÁRIOS'!$O$5:$O$500,"&lt;=112199",'LANÇAMENTOS DIÁRIOS'!$P$5:$P$500,"&gt;=112100")&gt;0,"X","")</f>
      </c>
      <c r="I12" s="56" t="str">
        <f>IF(COUNTIFS('LANÇAMENTOS DIÁRIOS'!$G$5:$G$500,"F",'LANÇAMENTOS DIÁRIOS'!$C$5:$C$500,$A12,'LANÇAMENTOS DIÁRIOS'!$O$5:$O$500,"&lt;=112299",'LANÇAMENTOS DIÁRIOS'!$P$5:$P$500,"&gt;=112200")&gt;0,"X","")</f>
      </c>
      <c r="J12" s="56" t="str">
        <f>IF(COUNTIFS('LANÇAMENTOS DIÁRIOS'!$G$5:$G$500,"F",'LANÇAMENTOS DIÁRIOS'!$C$5:$C$500,$A12,'LANÇAMENTOS DIÁRIOS'!$O$5:$O$500,"&lt;=112399",'LANÇAMENTOS DIÁRIOS'!$P$5:$P$500,"&gt;=112300")&gt;0,"X","")</f>
      </c>
      <c r="K12" s="56" t="str">
        <f>IF(COUNTIFS('LANÇAMENTOS DIÁRIOS'!$G$5:$G$500,"F",'LANÇAMENTOS DIÁRIOS'!$C$5:$C$500,$A12,'LANÇAMENTOS DIÁRIOS'!$O$5:$O$500,"&lt;=112499",'LANÇAMENTOS DIÁRIOS'!$P$5:$P$500,"&gt;=112400")&gt;0,"X","")</f>
      </c>
      <c r="L12" s="56" t="str">
        <f>IF(COUNTIFS('LANÇAMENTOS DIÁRIOS'!$G$5:$G$500,"F",'LANÇAMENTOS DIÁRIOS'!$C$5:$C$500,$A12,'LANÇAMENTOS DIÁRIOS'!$O$5:$O$500,"&lt;=112599",'LANÇAMENTOS DIÁRIOS'!$P$5:$P$500,"&gt;=112500")&gt;0,"X","")</f>
      </c>
      <c r="M12" s="56" t="str">
        <f>IF(COUNTIFS('LANÇAMENTOS DIÁRIOS'!$G$5:$G$500,"F",'LANÇAMENTOS DIÁRIOS'!$C$5:$C$500,$A12,'LANÇAMENTOS DIÁRIOS'!$O$5:$O$500,"&lt;=112699",'LANÇAMENTOS DIÁRIOS'!$P$5:$P$500,"&gt;=112600")&gt;0,"X","")</f>
      </c>
      <c r="N12" s="56" t="str">
        <f>IF(COUNTIFS('LANÇAMENTOS DIÁRIOS'!$G$5:$G$500,"F",'LANÇAMENTOS DIÁRIOS'!$C$5:$C$500,$A12,'LANÇAMENTOS DIÁRIOS'!$O$5:$O$500,"&lt;=112799",'LANÇAMENTOS DIÁRIOS'!$P$5:$P$500,"&gt;=112700")&gt;0,"X","")</f>
      </c>
      <c r="O12" s="56" t="str">
        <f>IF(COUNTIFS('LANÇAMENTOS DIÁRIOS'!$G$5:$G$500,"F",'LANÇAMENTOS DIÁRIOS'!$C$5:$C$500,$A12,'LANÇAMENTOS DIÁRIOS'!$O$5:$O$500,"&lt;=112899",'LANÇAMENTOS DIÁRIOS'!$P$5:$P$500,"&gt;=112800")&gt;0,"X","")</f>
      </c>
      <c r="P12" s="56" t="str">
        <f>IF(COUNTIFS('LANÇAMENTOS DIÁRIOS'!$G$5:$G$500,"F",'LANÇAMENTOS DIÁRIOS'!$C$5:$C$500,$A12,'LANÇAMENTOS DIÁRIOS'!$O$5:$O$500,"&lt;=112999",'LANÇAMENTOS DIÁRIOS'!$P$5:$P$500,"&gt;=112900")&gt;0,"X","")</f>
      </c>
      <c r="Q12" s="56" t="str">
        <f>IF(COUNTIFS('LANÇAMENTOS DIÁRIOS'!$G$5:$G$500,"F",'LANÇAMENTOS DIÁRIOS'!$C$5:$C$500,$A12,'LANÇAMENTOS DIÁRIOS'!$O$5:$O$500,"&lt;=113099",'LANÇAMENTOS DIÁRIOS'!$P$5:$P$500,"&gt;=113000")&gt;0,"X","")</f>
      </c>
      <c r="R12" s="56" t="str">
        <f>IF(COUNTIFS('LANÇAMENTOS DIÁRIOS'!$G$5:$G$500,"F",'LANÇAMENTOS DIÁRIOS'!$C$5:$C$500,$A12,'LANÇAMENTOS DIÁRIOS'!$O$5:$O$500,"&lt;=113199",'LANÇAMENTOS DIÁRIOS'!$P$5:$P$500,"&gt;=113100")&gt;0,"X","")</f>
      </c>
      <c r="S12" s="56" t="str">
        <f>IF(COUNTIFS('LANÇAMENTOS DIÁRIOS'!$G$5:$G$500,"F",'LANÇAMENTOS DIÁRIOS'!$C$5:$C$500,$A12,'LANÇAMENTOS DIÁRIOS'!$O$5:$O$500,"&lt;=113299",'LANÇAMENTOS DIÁRIOS'!$P$5:$P$500,"&gt;=113200")&gt;0,"X","")</f>
      </c>
      <c r="T12" s="56" t="str">
        <f>IF(COUNTIFS('LANÇAMENTOS DIÁRIOS'!$G$5:$G$500,"F",'LANÇAMENTOS DIÁRIOS'!$C$5:$C$500,$A12,'LANÇAMENTOS DIÁRIOS'!$O$5:$O$500,"&lt;=113399",'LANÇAMENTOS DIÁRIOS'!$P$5:$P$500,"&gt;=113300")&gt;0,"X","")</f>
      </c>
      <c r="U12" s="56" t="str">
        <f>IF(COUNTIFS('LANÇAMENTOS DIÁRIOS'!$G$5:$G$500,"F",'LANÇAMENTOS DIÁRIOS'!$C$5:$C$500,$A12,'LANÇAMENTOS DIÁRIOS'!$O$5:$O$500,"&lt;=113499",'LANÇAMENTOS DIÁRIOS'!$P$5:$P$500,"&gt;=113400")&gt;0,"X","")</f>
      </c>
      <c r="V12" s="56" t="str">
        <f>IF(COUNTIFS('LANÇAMENTOS DIÁRIOS'!$G$5:$G$500,"F",'LANÇAMENTOS DIÁRIOS'!$C$5:$C$500,$A12,'LANÇAMENTOS DIÁRIOS'!$O$5:$O$500,"&lt;=113599",'LANÇAMENTOS DIÁRIOS'!$P$5:$P$500,"&gt;=113500")&gt;0,"X","")</f>
      </c>
      <c r="W12" s="56" t="str">
        <f>IF(COUNTIFS('LANÇAMENTOS DIÁRIOS'!$G$5:$G$500,"F",'LANÇAMENTOS DIÁRIOS'!$C$5:$C$500,$A12,'LANÇAMENTOS DIÁRIOS'!$O$5:$O$500,"&lt;=113699",'LANÇAMENTOS DIÁRIOS'!$P$5:$P$500,"&gt;=113600")&gt;0,"X","")</f>
      </c>
      <c r="X12" s="56" t="str">
        <f>IF(COUNTIFS('LANÇAMENTOS DIÁRIOS'!$G$5:$G$500,"F",'LANÇAMENTOS DIÁRIOS'!$C$5:$C$500,$A12,'LANÇAMENTOS DIÁRIOS'!$O$5:$O$500,"&lt;=113799",'LANÇAMENTOS DIÁRIOS'!$P$5:$P$500,"&gt;=113700")&gt;0,"X","")</f>
      </c>
      <c r="Y12" s="56" t="str">
        <f>IF(COUNTIFS('LANÇAMENTOS DIÁRIOS'!$G$5:$G$500,"F",'LANÇAMENTOS DIÁRIOS'!$C$5:$C$500,$A12,'LANÇAMENTOS DIÁRIOS'!$O$5:$O$500,"&lt;=113899",'LANÇAMENTOS DIÁRIOS'!$P$5:$P$500,"&gt;=113800")&gt;0,"X","")</f>
      </c>
      <c r="Z12" s="56" t="str">
        <f>IF(COUNTIFS('LANÇAMENTOS DIÁRIOS'!$G$5:$G$500,"F",'LANÇAMENTOS DIÁRIOS'!$C$5:$C$500,$A12,'LANÇAMENTOS DIÁRIOS'!$O$5:$O$500,"&lt;=113999",'LANÇAMENTOS DIÁRIOS'!$P$5:$P$500,"&gt;=113900")&gt;0,"X","")</f>
      </c>
      <c r="AA12" s="56" t="str">
        <f>IF(COUNTIFS('LANÇAMENTOS DIÁRIOS'!$G$5:$G$500,"F",'LANÇAMENTOS DIÁRIOS'!$C$5:$C$500,$A12,'LANÇAMENTOS DIÁRIOS'!$O$5:$O$500,"&lt;=114099",'LANÇAMENTOS DIÁRIOS'!$P$5:$P$500,"&gt;=114000")&gt;0,"X","")</f>
      </c>
      <c r="AB12" s="56" t="str">
        <f>IF(COUNTIFS('LANÇAMENTOS DIÁRIOS'!$G$5:$G$500,"F",'LANÇAMENTOS DIÁRIOS'!$C$5:$C$500,$A12,'LANÇAMENTOS DIÁRIOS'!$O$5:$O$500,"&lt;=114199",'LANÇAMENTOS DIÁRIOS'!$P$5:$P$500,"&gt;=114100")&gt;0,"X","")</f>
      </c>
      <c r="AC12" s="56" t="str">
        <f>IF(COUNTIFS('LANÇAMENTOS DIÁRIOS'!$G$5:$G$500,"F",'LANÇAMENTOS DIÁRIOS'!$C$5:$C$500,$A12,'LANÇAMENTOS DIÁRIOS'!$O$5:$O$500,"&lt;=114299",'LANÇAMENTOS DIÁRIOS'!$P$5:$P$500,"&gt;=114200")&gt;0,"X","")</f>
      </c>
      <c r="AD12" s="56" t="str">
        <f>IF(COUNTIFS('LANÇAMENTOS DIÁRIOS'!$G$5:$G$500,"F",'LANÇAMENTOS DIÁRIOS'!$C$5:$C$500,$A12,'LANÇAMENTOS DIÁRIOS'!$O$5:$O$500,"&lt;=114399",'LANÇAMENTOS DIÁRIOS'!$P$5:$P$500,"&gt;=114300")&gt;0,"X","")</f>
      </c>
      <c r="AE12" s="56" t="str">
        <f>IF(COUNTIFS('LANÇAMENTOS DIÁRIOS'!$G$5:$G$500,"F",'LANÇAMENTOS DIÁRIOS'!$C$5:$C$500,$A12,'LANÇAMENTOS DIÁRIOS'!$O$5:$O$500,"&lt;=114499",'LANÇAMENTOS DIÁRIOS'!$P$5:$P$500,"&gt;=114400")&gt;0,"X","")</f>
      </c>
      <c r="AF12" s="56" t="str">
        <f>IF(COUNTIFS('LANÇAMENTOS DIÁRIOS'!$G$5:$G$500,"F",'LANÇAMENTOS DIÁRIOS'!$C$5:$C$500,$A12,'LANÇAMENTOS DIÁRIOS'!$O$5:$O$500,"&lt;=114599",'LANÇAMENTOS DIÁRIOS'!$P$5:$P$500,"&gt;=114500")&gt;0,"X","")</f>
      </c>
      <c r="AG12" s="56" t="str">
        <f>IF(COUNTIFS('LANÇAMENTOS DIÁRIOS'!$G$5:$G$500,"F",'LANÇAMENTOS DIÁRIOS'!$C$5:$C$500,$A12,'LANÇAMENTOS DIÁRIOS'!$O$5:$O$500,"&lt;=114699",'LANÇAMENTOS DIÁRIOS'!$P$5:$P$500,"&gt;=114600")&gt;0,"X","")</f>
      </c>
      <c r="AH12" s="56" t="str">
        <f>IF(COUNTIFS('LANÇAMENTOS DIÁRIOS'!$G$5:$G$500,"F",'LANÇAMENTOS DIÁRIOS'!$C$5:$C$500,$A12,'LANÇAMENTOS DIÁRIOS'!$O$5:$O$500,"&lt;=114799",'LANÇAMENTOS DIÁRIOS'!$P$5:$P$500,"&gt;=114700")&gt;0,"X","")</f>
      </c>
      <c r="AI12" s="56" t="str">
        <f>IF(COUNTIFS('LANÇAMENTOS DIÁRIOS'!$G$5:$G$500,"F",'LANÇAMENTOS DIÁRIOS'!$C$5:$C$500,$A12,'LANÇAMENTOS DIÁRIOS'!$O$5:$O$500,"&lt;=114899",'LANÇAMENTOS DIÁRIOS'!$P$5:$P$500,"&gt;=114800")&gt;0,"X","")</f>
      </c>
      <c r="AJ12" s="56" t="str">
        <f>IF(COUNTIFS('LANÇAMENTOS DIÁRIOS'!$G$5:$G$500,"F",'LANÇAMENTOS DIÁRIOS'!$C$5:$C$500,$A12,'LANÇAMENTOS DIÁRIOS'!$O$5:$O$500,"&lt;=114999",'LANÇAMENTOS DIÁRIOS'!$P$5:$P$500,"&gt;=114900")&gt;0,"X","")</f>
      </c>
      <c r="AK12" s="56" t="str">
        <f>IF(COUNTIFS('LANÇAMENTOS DIÁRIOS'!$G$5:$G$500,"F",'LANÇAMENTOS DIÁRIOS'!$C$5:$C$500,$A12,'LANÇAMENTOS DIÁRIOS'!$O$5:$O$500,"&lt;=115099",'LANÇAMENTOS DIÁRIOS'!$P$5:$P$500,"&gt;=115000")&gt;0,"X","")</f>
      </c>
      <c r="AL12" s="56" t="str">
        <f>IF(COUNTIFS('LANÇAMENTOS DIÁRIOS'!$G$5:$G$500,"F",'LANÇAMENTOS DIÁRIOS'!$C$5:$C$500,$A12,'LANÇAMENTOS DIÁRIOS'!$O$5:$O$500,"&lt;=115199",'LANÇAMENTOS DIÁRIOS'!$P$5:$P$500,"&gt;=115100")&gt;0,"X","")</f>
      </c>
      <c r="AM12" s="56" t="str">
        <f>IF(COUNTIFS('LANÇAMENTOS DIÁRIOS'!$G$5:$G$500,"F",'LANÇAMENTOS DIÁRIOS'!$C$5:$C$500,$A12,'LANÇAMENTOS DIÁRIOS'!$O$5:$O$500,"&lt;=115299",'LANÇAMENTOS DIÁRIOS'!$P$5:$P$500,"&gt;=115200")&gt;0,"X","")</f>
      </c>
      <c r="AN12" s="56" t="str">
        <f>IF(COUNTIFS('LANÇAMENTOS DIÁRIOS'!$G$5:$G$500,"F",'LANÇAMENTOS DIÁRIOS'!$C$5:$C$500,$A12,'LANÇAMENTOS DIÁRIOS'!$O$5:$O$500,"&lt;=115399",'LANÇAMENTOS DIÁRIOS'!$P$5:$P$500,"&gt;=115300")&gt;0,"X","")</f>
      </c>
      <c r="AO12" s="56" t="str">
        <f>IF(COUNTIFS('LANÇAMENTOS DIÁRIOS'!$G$5:$G$500,"F",'LANÇAMENTOS DIÁRIOS'!$C$5:$C$500,$A12,'LANÇAMENTOS DIÁRIOS'!$O$5:$O$500,"&lt;=115499",'LANÇAMENTOS DIÁRIOS'!$P$5:$P$500,"&gt;=115400")&gt;0,"X","")</f>
      </c>
      <c r="AP12" s="56" t="str">
        <f>IF(COUNTIFS('LANÇAMENTOS DIÁRIOS'!$G$5:$G$500,"F",'LANÇAMENTOS DIÁRIOS'!$C$5:$C$500,$A12,'LANÇAMENTOS DIÁRIOS'!$O$5:$O$500,"&lt;=115599",'LANÇAMENTOS DIÁRIOS'!$P$5:$P$500,"&gt;=115500")&gt;0,"X","")</f>
      </c>
      <c r="AQ12" s="56" t="str">
        <f>IF(COUNTIFS('LANÇAMENTOS DIÁRIOS'!$G$5:$G$500,"F",'LANÇAMENTOS DIÁRIOS'!$C$5:$C$500,$A12,'LANÇAMENTOS DIÁRIOS'!$O$5:$O$500,"&lt;=115699",'LANÇAMENTOS DIÁRIOS'!$P$5:$P$500,"&gt;=115600")&gt;0,"X","")</f>
      </c>
      <c r="AR12" s="56" t="str">
        <f>IF(COUNTIFS('LANÇAMENTOS DIÁRIOS'!$G$5:$G$500,"F",'LANÇAMENTOS DIÁRIOS'!$C$5:$C$500,$A12,'LANÇAMENTOS DIÁRIOS'!$O$5:$O$500,"&lt;=115799",'LANÇAMENTOS DIÁRIOS'!$P$5:$P$500,"&gt;=115700")&gt;0,"X","")</f>
      </c>
      <c r="AS12" s="56" t="str">
        <f>IF(COUNTIFS('LANÇAMENTOS DIÁRIOS'!$G$5:$G$500,"F",'LANÇAMENTOS DIÁRIOS'!$C$5:$C$500,$A12,'LANÇAMENTOS DIÁRIOS'!$O$5:$O$500,"&lt;=115899",'LANÇAMENTOS DIÁRIOS'!$P$5:$P$500,"&gt;=115800")&gt;0,"X","")</f>
      </c>
      <c r="AT12" s="56" t="str">
        <f>IF(COUNTIFS('LANÇAMENTOS DIÁRIOS'!$G$5:$G$500,"F",'LANÇAMENTOS DIÁRIOS'!$C$5:$C$500,$A12,'LANÇAMENTOS DIÁRIOS'!$O$5:$O$500,"&lt;=115999",'LANÇAMENTOS DIÁRIOS'!$P$5:$P$500,"&gt;=115900")&gt;0,"X","")</f>
      </c>
      <c r="AU12" s="56" t="str">
        <f>IF(COUNTIFS('LANÇAMENTOS DIÁRIOS'!$G$5:$G$500,"F",'LANÇAMENTOS DIÁRIOS'!$C$5:$C$500,$A12,'LANÇAMENTOS DIÁRIOS'!$O$5:$O$500,"&lt;=116099",'LANÇAMENTOS DIÁRIOS'!$P$5:$P$500,"&gt;=116000")&gt;0,"X","")</f>
      </c>
      <c r="AV12" s="56" t="str">
        <f>IF(COUNTIFS('LANÇAMENTOS DIÁRIOS'!$G$5:$G$500,"F",'LANÇAMENTOS DIÁRIOS'!$C$5:$C$500,$A12,'LANÇAMENTOS DIÁRIOS'!$O$5:$O$500,"&lt;=116199",'LANÇAMENTOS DIÁRIOS'!$P$5:$P$500,"&gt;=116100")&gt;0,"X","")</f>
      </c>
      <c r="AW12" s="56" t="str">
        <f>IF(COUNTIFS('LANÇAMENTOS DIÁRIOS'!$G$5:$G$500,"F",'LANÇAMENTOS DIÁRIOS'!$C$5:$C$500,$A12,'LANÇAMENTOS DIÁRIOS'!$O$5:$O$500,"&lt;=116299",'LANÇAMENTOS DIÁRIOS'!$P$5:$P$500,"&gt;=116200")&gt;0,"X","")</f>
      </c>
      <c r="AX12" s="56" t="str">
        <f>IF(COUNTIFS('LANÇAMENTOS DIÁRIOS'!$G$5:$G$500,"F",'LANÇAMENTOS DIÁRIOS'!$C$5:$C$500,$A12,'LANÇAMENTOS DIÁRIOS'!$O$5:$O$500,"&lt;=116399",'LANÇAMENTOS DIÁRIOS'!$P$5:$P$500,"&gt;=116300")&gt;0,"X","")</f>
      </c>
      <c r="AY12" s="56" t="str">
        <f>IF(COUNTIFS('LANÇAMENTOS DIÁRIOS'!$G$5:$G$500,"F",'LANÇAMENTOS DIÁRIOS'!$C$5:$C$500,$A12,'LANÇAMENTOS DIÁRIOS'!$O$5:$O$500,"&lt;=116499",'LANÇAMENTOS DIÁRIOS'!$P$5:$P$500,"&gt;=116400")&gt;0,"X","")</f>
      </c>
      <c r="AZ12" s="56" t="str">
        <f>IF(COUNTIFS('LANÇAMENTOS DIÁRIOS'!$G$5:$G$500,"F",'LANÇAMENTOS DIÁRIOS'!$C$5:$C$500,$A12,'LANÇAMENTOS DIÁRIOS'!$O$5:$O$500,"&lt;=116599",'LANÇAMENTOS DIÁRIOS'!$P$5:$P$500,"&gt;=116500")&gt;0,"X","")</f>
      </c>
      <c r="BA12" s="56" t="str">
        <f>IF(COUNTIFS('LANÇAMENTOS DIÁRIOS'!$G$5:$G$500,"F",'LANÇAMENTOS DIÁRIOS'!$C$5:$C$500,$A12,'LANÇAMENTOS DIÁRIOS'!$O$5:$O$500,"&lt;=116699",'LANÇAMENTOS DIÁRIOS'!$P$5:$P$500,"&gt;=116600")&gt;0,"X","")</f>
      </c>
      <c r="BB12" s="56" t="str">
        <f>IF(COUNTIFS('LANÇAMENTOS DIÁRIOS'!$G$5:$G$500,"F",'LANÇAMENTOS DIÁRIOS'!$C$5:$C$500,$A12,'LANÇAMENTOS DIÁRIOS'!$O$5:$O$500,"&lt;=116799",'LANÇAMENTOS DIÁRIOS'!$P$5:$P$500,"&gt;=116700")&gt;0,"X","")</f>
      </c>
      <c r="BC12" s="56" t="str">
        <f>IF(COUNTIFS('LANÇAMENTOS DIÁRIOS'!$G$5:$G$500,"F",'LANÇAMENTOS DIÁRIOS'!$C$5:$C$500,$A12,'LANÇAMENTOS DIÁRIOS'!$O$5:$O$500,"&lt;=116899",'LANÇAMENTOS DIÁRIOS'!$P$5:$P$500,"&gt;=116800")&gt;0,"X","")</f>
      </c>
      <c r="BD12" s="56" t="str">
        <f>IF(COUNTIFS('LANÇAMENTOS DIÁRIOS'!$G$5:$G$500,"F",'LANÇAMENTOS DIÁRIOS'!$C$5:$C$500,$A12,'LANÇAMENTOS DIÁRIOS'!$O$5:$O$500,"&lt;=116999",'LANÇAMENTOS DIÁRIOS'!$P$5:$P$500,"&gt;=116900")&gt;0,"X","")</f>
      </c>
      <c r="BE12" s="56" t="str">
        <f>IF(COUNTIFS('LANÇAMENTOS DIÁRIOS'!$G$5:$G$500,"F",'LANÇAMENTOS DIÁRIOS'!$C$5:$C$500,$A12,'LANÇAMENTOS DIÁRIOS'!$O$5:$O$500,"&lt;=117099",'LANÇAMENTOS DIÁRIOS'!$P$5:$P$500,"&gt;=117000")&gt;0,"X","")</f>
      </c>
      <c r="BF12" s="56" t="str">
        <f>IF(COUNTIFS('LANÇAMENTOS DIÁRIOS'!$G$5:$G$500,"F",'LANÇAMENTOS DIÁRIOS'!$C$5:$C$500,$A12,'LANÇAMENTOS DIÁRIOS'!$O$5:$O$500,"&lt;=117199",'LANÇAMENTOS DIÁRIOS'!$P$5:$P$500,"&gt;=117100")&gt;0,"X","")</f>
      </c>
      <c r="BG12" s="56" t="str">
        <f>IF(COUNTIFS('LANÇAMENTOS DIÁRIOS'!$G$5:$G$500,"F",'LANÇAMENTOS DIÁRIOS'!$C$5:$C$500,$A12,'LANÇAMENTOS DIÁRIOS'!$O$5:$O$500,"&lt;=117219",'LANÇAMENTOS DIÁRIOS'!$P$5:$P$500,"&gt;=117200")&gt;0,"X","")</f>
      </c>
      <c r="BH12" s="56" t="str">
        <f>IF(COUNTIFS('LANÇAMENTOS DIÁRIOS'!$G$5:$G$500,"F",'LANÇAMENTOS DIÁRIOS'!$C$5:$C$500,$A12,'LANÇAMENTOS DIÁRIOS'!$O$5:$O$500,"&lt;=117220",'LANÇAMENTOS DIÁRIOS'!$P$5:$P$500,"&gt;=117220")&gt;0,"X","")</f>
      </c>
    </row>
    <row r="13">
      <c r="A13" s="51" t="str">
        <v>Remoção de barreira rígida de concreto</v>
      </c>
      <c r="B13" s="56" t="str">
        <f>IF(COUNTIFS('LANÇAMENTOS DIÁRIOS'!$G$5:$G$500,"F",'LANÇAMENTOS DIÁRIOS'!$C$5:$C$500,$A13,'LANÇAMENTOS DIÁRIOS'!$O$5:$O$500,"&lt;=111599",'LANÇAMENTOS DIÁRIOS'!$P$5:$P$500,"&gt;=111500")&gt;0,"X","")</f>
      </c>
      <c r="C13" s="56" t="str">
        <f>IF(COUNTIFS('LANÇAMENTOS DIÁRIOS'!$G$5:$G$500,"F",'LANÇAMENTOS DIÁRIOS'!$C$5:$C$500,$A13,'LANÇAMENTOS DIÁRIOS'!$O$5:$O$500,"&lt;=111699",'LANÇAMENTOS DIÁRIOS'!$P$5:$P$500,"&gt;=111600")&gt;0,"X","")</f>
      </c>
      <c r="D13" s="56" t="str">
        <f>IF(COUNTIFS('LANÇAMENTOS DIÁRIOS'!$G$5:$G$500,"F",'LANÇAMENTOS DIÁRIOS'!$C$5:$C$500,$A13,'LANÇAMENTOS DIÁRIOS'!$O$5:$O$500,"&lt;=111799",'LANÇAMENTOS DIÁRIOS'!$P$5:$P$500,"&gt;=111700")&gt;0,"X","")</f>
      </c>
      <c r="E13" s="56" t="str">
        <f>IF(COUNTIFS('LANÇAMENTOS DIÁRIOS'!$G$5:$G$500,"F",'LANÇAMENTOS DIÁRIOS'!$C$5:$C$500,$A13,'LANÇAMENTOS DIÁRIOS'!$O$5:$O$500,"&lt;=111899",'LANÇAMENTOS DIÁRIOS'!$P$5:$P$500,"&gt;=111800")&gt;0,"X","")</f>
      </c>
      <c r="F13" s="56" t="str">
        <f>IF(COUNTIFS('LANÇAMENTOS DIÁRIOS'!$G$5:$G$500,"F",'LANÇAMENTOS DIÁRIOS'!$C$5:$C$500,$A13,'LANÇAMENTOS DIÁRIOS'!$O$5:$O$500,"&lt;=111999",'LANÇAMENTOS DIÁRIOS'!$P$5:$P$500,"&gt;=111900")&gt;0,"X","")</f>
      </c>
      <c r="G13" s="56" t="str">
        <f>IF(COUNTIFS('LANÇAMENTOS DIÁRIOS'!$G$5:$G$500,"F",'LANÇAMENTOS DIÁRIOS'!$C$5:$C$500,$A13,'LANÇAMENTOS DIÁRIOS'!$O$5:$O$500,"&lt;=112099",'LANÇAMENTOS DIÁRIOS'!$P$5:$P$500,"&gt;=112000")&gt;0,"X","")</f>
      </c>
      <c r="H13" s="56" t="str">
        <f>IF(COUNTIFS('LANÇAMENTOS DIÁRIOS'!$G$5:$G$500,"F",'LANÇAMENTOS DIÁRIOS'!$C$5:$C$500,$A13,'LANÇAMENTOS DIÁRIOS'!$O$5:$O$500,"&lt;=112199",'LANÇAMENTOS DIÁRIOS'!$P$5:$P$500,"&gt;=112100")&gt;0,"X","")</f>
      </c>
      <c r="I13" s="56" t="str">
        <f>IF(COUNTIFS('LANÇAMENTOS DIÁRIOS'!$G$5:$G$500,"F",'LANÇAMENTOS DIÁRIOS'!$C$5:$C$500,$A13,'LANÇAMENTOS DIÁRIOS'!$O$5:$O$500,"&lt;=112299",'LANÇAMENTOS DIÁRIOS'!$P$5:$P$500,"&gt;=112200")&gt;0,"X","")</f>
      </c>
      <c r="J13" s="56" t="str">
        <f>IF(COUNTIFS('LANÇAMENTOS DIÁRIOS'!$G$5:$G$500,"F",'LANÇAMENTOS DIÁRIOS'!$C$5:$C$500,$A13,'LANÇAMENTOS DIÁRIOS'!$O$5:$O$500,"&lt;=112399",'LANÇAMENTOS DIÁRIOS'!$P$5:$P$500,"&gt;=112300")&gt;0,"X","")</f>
      </c>
      <c r="K13" s="56" t="str">
        <f>IF(COUNTIFS('LANÇAMENTOS DIÁRIOS'!$G$5:$G$500,"F",'LANÇAMENTOS DIÁRIOS'!$C$5:$C$500,$A13,'LANÇAMENTOS DIÁRIOS'!$O$5:$O$500,"&lt;=112499",'LANÇAMENTOS DIÁRIOS'!$P$5:$P$500,"&gt;=112400")&gt;0,"X","")</f>
      </c>
      <c r="L13" s="56" t="str">
        <f>IF(COUNTIFS('LANÇAMENTOS DIÁRIOS'!$G$5:$G$500,"F",'LANÇAMENTOS DIÁRIOS'!$C$5:$C$500,$A13,'LANÇAMENTOS DIÁRIOS'!$O$5:$O$500,"&lt;=112599",'LANÇAMENTOS DIÁRIOS'!$P$5:$P$500,"&gt;=112500")&gt;0,"X","")</f>
      </c>
      <c r="M13" s="56" t="str">
        <f>IF(COUNTIFS('LANÇAMENTOS DIÁRIOS'!$G$5:$G$500,"F",'LANÇAMENTOS DIÁRIOS'!$C$5:$C$500,$A13,'LANÇAMENTOS DIÁRIOS'!$O$5:$O$500,"&lt;=112699",'LANÇAMENTOS DIÁRIOS'!$P$5:$P$500,"&gt;=112600")&gt;0,"X","")</f>
      </c>
      <c r="N13" s="56" t="str">
        <f>IF(COUNTIFS('LANÇAMENTOS DIÁRIOS'!$G$5:$G$500,"F",'LANÇAMENTOS DIÁRIOS'!$C$5:$C$500,$A13,'LANÇAMENTOS DIÁRIOS'!$O$5:$O$500,"&lt;=112799",'LANÇAMENTOS DIÁRIOS'!$P$5:$P$500,"&gt;=112700")&gt;0,"X","")</f>
      </c>
      <c r="O13" s="56" t="str">
        <f>IF(COUNTIFS('LANÇAMENTOS DIÁRIOS'!$G$5:$G$500,"F",'LANÇAMENTOS DIÁRIOS'!$C$5:$C$500,$A13,'LANÇAMENTOS DIÁRIOS'!$O$5:$O$500,"&lt;=112899",'LANÇAMENTOS DIÁRIOS'!$P$5:$P$500,"&gt;=112800")&gt;0,"X","")</f>
      </c>
      <c r="P13" s="56" t="str">
        <f>IF(COUNTIFS('LANÇAMENTOS DIÁRIOS'!$G$5:$G$500,"F",'LANÇAMENTOS DIÁRIOS'!$C$5:$C$500,$A13,'LANÇAMENTOS DIÁRIOS'!$O$5:$O$500,"&lt;=112999",'LANÇAMENTOS DIÁRIOS'!$P$5:$P$500,"&gt;=112900")&gt;0,"X","")</f>
      </c>
      <c r="Q13" s="56" t="str">
        <f>IF(COUNTIFS('LANÇAMENTOS DIÁRIOS'!$G$5:$G$500,"F",'LANÇAMENTOS DIÁRIOS'!$C$5:$C$500,$A13,'LANÇAMENTOS DIÁRIOS'!$O$5:$O$500,"&lt;=113099",'LANÇAMENTOS DIÁRIOS'!$P$5:$P$500,"&gt;=113000")&gt;0,"X","")</f>
      </c>
      <c r="R13" s="56" t="str">
        <f>IF(COUNTIFS('LANÇAMENTOS DIÁRIOS'!$G$5:$G$500,"F",'LANÇAMENTOS DIÁRIOS'!$C$5:$C$500,$A13,'LANÇAMENTOS DIÁRIOS'!$O$5:$O$500,"&lt;=113199",'LANÇAMENTOS DIÁRIOS'!$P$5:$P$500,"&gt;=113100")&gt;0,"X","")</f>
      </c>
      <c r="S13" s="56" t="str">
        <f>IF(COUNTIFS('LANÇAMENTOS DIÁRIOS'!$G$5:$G$500,"F",'LANÇAMENTOS DIÁRIOS'!$C$5:$C$500,$A13,'LANÇAMENTOS DIÁRIOS'!$O$5:$O$500,"&lt;=113299",'LANÇAMENTOS DIÁRIOS'!$P$5:$P$500,"&gt;=113200")&gt;0,"X","")</f>
      </c>
      <c r="T13" s="56" t="str">
        <f>IF(COUNTIFS('LANÇAMENTOS DIÁRIOS'!$G$5:$G$500,"F",'LANÇAMENTOS DIÁRIOS'!$C$5:$C$500,$A13,'LANÇAMENTOS DIÁRIOS'!$O$5:$O$500,"&lt;=113399",'LANÇAMENTOS DIÁRIOS'!$P$5:$P$500,"&gt;=113300")&gt;0,"X","")</f>
      </c>
      <c r="U13" s="56" t="str">
        <f>IF(COUNTIFS('LANÇAMENTOS DIÁRIOS'!$G$5:$G$500,"F",'LANÇAMENTOS DIÁRIOS'!$C$5:$C$500,$A13,'LANÇAMENTOS DIÁRIOS'!$O$5:$O$500,"&lt;=113499",'LANÇAMENTOS DIÁRIOS'!$P$5:$P$500,"&gt;=113400")&gt;0,"X","")</f>
      </c>
      <c r="V13" s="56" t="str">
        <f>IF(COUNTIFS('LANÇAMENTOS DIÁRIOS'!$G$5:$G$500,"F",'LANÇAMENTOS DIÁRIOS'!$C$5:$C$500,$A13,'LANÇAMENTOS DIÁRIOS'!$O$5:$O$500,"&lt;=113599",'LANÇAMENTOS DIÁRIOS'!$P$5:$P$500,"&gt;=113500")&gt;0,"X","")</f>
      </c>
      <c r="W13" s="56" t="str">
        <f>IF(COUNTIFS('LANÇAMENTOS DIÁRIOS'!$G$5:$G$500,"F",'LANÇAMENTOS DIÁRIOS'!$C$5:$C$500,$A13,'LANÇAMENTOS DIÁRIOS'!$O$5:$O$500,"&lt;=113699",'LANÇAMENTOS DIÁRIOS'!$P$5:$P$500,"&gt;=113600")&gt;0,"X","")</f>
      </c>
      <c r="X13" s="56" t="str">
        <f>IF(COUNTIFS('LANÇAMENTOS DIÁRIOS'!$G$5:$G$500,"F",'LANÇAMENTOS DIÁRIOS'!$C$5:$C$500,$A13,'LANÇAMENTOS DIÁRIOS'!$O$5:$O$500,"&lt;=113799",'LANÇAMENTOS DIÁRIOS'!$P$5:$P$500,"&gt;=113700")&gt;0,"X","")</f>
      </c>
      <c r="Y13" s="56" t="str">
        <f>IF(COUNTIFS('LANÇAMENTOS DIÁRIOS'!$G$5:$G$500,"F",'LANÇAMENTOS DIÁRIOS'!$C$5:$C$500,$A13,'LANÇAMENTOS DIÁRIOS'!$O$5:$O$500,"&lt;=113899",'LANÇAMENTOS DIÁRIOS'!$P$5:$P$500,"&gt;=113800")&gt;0,"X","")</f>
      </c>
      <c r="Z13" s="56" t="str">
        <f>IF(COUNTIFS('LANÇAMENTOS DIÁRIOS'!$G$5:$G$500,"F",'LANÇAMENTOS DIÁRIOS'!$C$5:$C$500,$A13,'LANÇAMENTOS DIÁRIOS'!$O$5:$O$500,"&lt;=113999",'LANÇAMENTOS DIÁRIOS'!$P$5:$P$500,"&gt;=113900")&gt;0,"X","")</f>
      </c>
      <c r="AA13" s="56" t="str">
        <f>IF(COUNTIFS('LANÇAMENTOS DIÁRIOS'!$G$5:$G$500,"F",'LANÇAMENTOS DIÁRIOS'!$C$5:$C$500,$A13,'LANÇAMENTOS DIÁRIOS'!$O$5:$O$500,"&lt;=114099",'LANÇAMENTOS DIÁRIOS'!$P$5:$P$500,"&gt;=114000")&gt;0,"X","")</f>
      </c>
      <c r="AB13" s="56" t="str">
        <f>IF(COUNTIFS('LANÇAMENTOS DIÁRIOS'!$G$5:$G$500,"F",'LANÇAMENTOS DIÁRIOS'!$C$5:$C$500,$A13,'LANÇAMENTOS DIÁRIOS'!$O$5:$O$500,"&lt;=114199",'LANÇAMENTOS DIÁRIOS'!$P$5:$P$500,"&gt;=114100")&gt;0,"X","")</f>
      </c>
      <c r="AC13" s="56" t="str">
        <f>IF(COUNTIFS('LANÇAMENTOS DIÁRIOS'!$G$5:$G$500,"F",'LANÇAMENTOS DIÁRIOS'!$C$5:$C$500,$A13,'LANÇAMENTOS DIÁRIOS'!$O$5:$O$500,"&lt;=114299",'LANÇAMENTOS DIÁRIOS'!$P$5:$P$500,"&gt;=114200")&gt;0,"X","")</f>
      </c>
      <c r="AD13" s="56" t="str">
        <f>IF(COUNTIFS('LANÇAMENTOS DIÁRIOS'!$G$5:$G$500,"F",'LANÇAMENTOS DIÁRIOS'!$C$5:$C$500,$A13,'LANÇAMENTOS DIÁRIOS'!$O$5:$O$500,"&lt;=114399",'LANÇAMENTOS DIÁRIOS'!$P$5:$P$500,"&gt;=114300")&gt;0,"X","")</f>
      </c>
      <c r="AE13" s="56" t="str">
        <f>IF(COUNTIFS('LANÇAMENTOS DIÁRIOS'!$G$5:$G$500,"F",'LANÇAMENTOS DIÁRIOS'!$C$5:$C$500,$A13,'LANÇAMENTOS DIÁRIOS'!$O$5:$O$500,"&lt;=114499",'LANÇAMENTOS DIÁRIOS'!$P$5:$P$500,"&gt;=114400")&gt;0,"X","")</f>
      </c>
      <c r="AF13" s="56" t="str">
        <f>IF(COUNTIFS('LANÇAMENTOS DIÁRIOS'!$G$5:$G$500,"F",'LANÇAMENTOS DIÁRIOS'!$C$5:$C$500,$A13,'LANÇAMENTOS DIÁRIOS'!$O$5:$O$500,"&lt;=114599",'LANÇAMENTOS DIÁRIOS'!$P$5:$P$500,"&gt;=114500")&gt;0,"X","")</f>
      </c>
      <c r="AG13" s="56" t="str">
        <f>IF(COUNTIFS('LANÇAMENTOS DIÁRIOS'!$G$5:$G$500,"F",'LANÇAMENTOS DIÁRIOS'!$C$5:$C$500,$A13,'LANÇAMENTOS DIÁRIOS'!$O$5:$O$500,"&lt;=114699",'LANÇAMENTOS DIÁRIOS'!$P$5:$P$500,"&gt;=114600")&gt;0,"X","")</f>
      </c>
      <c r="AH13" s="56" t="str">
        <f>IF(COUNTIFS('LANÇAMENTOS DIÁRIOS'!$G$5:$G$500,"F",'LANÇAMENTOS DIÁRIOS'!$C$5:$C$500,$A13,'LANÇAMENTOS DIÁRIOS'!$O$5:$O$500,"&lt;=114799",'LANÇAMENTOS DIÁRIOS'!$P$5:$P$500,"&gt;=114700")&gt;0,"X","")</f>
      </c>
      <c r="AI13" s="56" t="str">
        <f>IF(COUNTIFS('LANÇAMENTOS DIÁRIOS'!$G$5:$G$500,"F",'LANÇAMENTOS DIÁRIOS'!$C$5:$C$500,$A13,'LANÇAMENTOS DIÁRIOS'!$O$5:$O$500,"&lt;=114899",'LANÇAMENTOS DIÁRIOS'!$P$5:$P$500,"&gt;=114800")&gt;0,"X","")</f>
      </c>
      <c r="AJ13" s="56" t="str">
        <f>IF(COUNTIFS('LANÇAMENTOS DIÁRIOS'!$G$5:$G$500,"F",'LANÇAMENTOS DIÁRIOS'!$C$5:$C$500,$A13,'LANÇAMENTOS DIÁRIOS'!$O$5:$O$500,"&lt;=114999",'LANÇAMENTOS DIÁRIOS'!$P$5:$P$500,"&gt;=114900")&gt;0,"X","")</f>
      </c>
      <c r="AK13" s="56" t="str">
        <f>IF(COUNTIFS('LANÇAMENTOS DIÁRIOS'!$G$5:$G$500,"F",'LANÇAMENTOS DIÁRIOS'!$C$5:$C$500,$A13,'LANÇAMENTOS DIÁRIOS'!$O$5:$O$500,"&lt;=115099",'LANÇAMENTOS DIÁRIOS'!$P$5:$P$500,"&gt;=115000")&gt;0,"X","")</f>
      </c>
      <c r="AL13" s="56" t="str">
        <f>IF(COUNTIFS('LANÇAMENTOS DIÁRIOS'!$G$5:$G$500,"F",'LANÇAMENTOS DIÁRIOS'!$C$5:$C$500,$A13,'LANÇAMENTOS DIÁRIOS'!$O$5:$O$500,"&lt;=115199",'LANÇAMENTOS DIÁRIOS'!$P$5:$P$500,"&gt;=115100")&gt;0,"X","")</f>
      </c>
      <c r="AM13" s="56" t="str">
        <f>IF(COUNTIFS('LANÇAMENTOS DIÁRIOS'!$G$5:$G$500,"F",'LANÇAMENTOS DIÁRIOS'!$C$5:$C$500,$A13,'LANÇAMENTOS DIÁRIOS'!$O$5:$O$500,"&lt;=115299",'LANÇAMENTOS DIÁRIOS'!$P$5:$P$500,"&gt;=115200")&gt;0,"X","")</f>
      </c>
      <c r="AN13" s="56" t="str">
        <f>IF(COUNTIFS('LANÇAMENTOS DIÁRIOS'!$G$5:$G$500,"F",'LANÇAMENTOS DIÁRIOS'!$C$5:$C$500,$A13,'LANÇAMENTOS DIÁRIOS'!$O$5:$O$500,"&lt;=115399",'LANÇAMENTOS DIÁRIOS'!$P$5:$P$500,"&gt;=115300")&gt;0,"X","")</f>
      </c>
      <c r="AO13" s="56" t="str">
        <f>IF(COUNTIFS('LANÇAMENTOS DIÁRIOS'!$G$5:$G$500,"F",'LANÇAMENTOS DIÁRIOS'!$C$5:$C$500,$A13,'LANÇAMENTOS DIÁRIOS'!$O$5:$O$500,"&lt;=115499",'LANÇAMENTOS DIÁRIOS'!$P$5:$P$500,"&gt;=115400")&gt;0,"X","")</f>
      </c>
      <c r="AP13" s="56" t="str">
        <f>IF(COUNTIFS('LANÇAMENTOS DIÁRIOS'!$G$5:$G$500,"F",'LANÇAMENTOS DIÁRIOS'!$C$5:$C$500,$A13,'LANÇAMENTOS DIÁRIOS'!$O$5:$O$500,"&lt;=115599",'LANÇAMENTOS DIÁRIOS'!$P$5:$P$500,"&gt;=115500")&gt;0,"X","")</f>
      </c>
      <c r="AQ13" s="56" t="str">
        <f>IF(COUNTIFS('LANÇAMENTOS DIÁRIOS'!$G$5:$G$500,"F",'LANÇAMENTOS DIÁRIOS'!$C$5:$C$500,$A13,'LANÇAMENTOS DIÁRIOS'!$O$5:$O$500,"&lt;=115699",'LANÇAMENTOS DIÁRIOS'!$P$5:$P$500,"&gt;=115600")&gt;0,"X","")</f>
      </c>
      <c r="AR13" s="56" t="str">
        <f>IF(COUNTIFS('LANÇAMENTOS DIÁRIOS'!$G$5:$G$500,"F",'LANÇAMENTOS DIÁRIOS'!$C$5:$C$500,$A13,'LANÇAMENTOS DIÁRIOS'!$O$5:$O$500,"&lt;=115799",'LANÇAMENTOS DIÁRIOS'!$P$5:$P$500,"&gt;=115700")&gt;0,"X","")</f>
      </c>
      <c r="AS13" s="56" t="str">
        <f>IF(COUNTIFS('LANÇAMENTOS DIÁRIOS'!$G$5:$G$500,"F",'LANÇAMENTOS DIÁRIOS'!$C$5:$C$500,$A13,'LANÇAMENTOS DIÁRIOS'!$O$5:$O$500,"&lt;=115899",'LANÇAMENTOS DIÁRIOS'!$P$5:$P$500,"&gt;=115800")&gt;0,"X","")</f>
      </c>
      <c r="AT13" s="56" t="str">
        <f>IF(COUNTIFS('LANÇAMENTOS DIÁRIOS'!$G$5:$G$500,"F",'LANÇAMENTOS DIÁRIOS'!$C$5:$C$500,$A13,'LANÇAMENTOS DIÁRIOS'!$O$5:$O$500,"&lt;=115999",'LANÇAMENTOS DIÁRIOS'!$P$5:$P$500,"&gt;=115900")&gt;0,"X","")</f>
      </c>
      <c r="AU13" s="56" t="str">
        <f>IF(COUNTIFS('LANÇAMENTOS DIÁRIOS'!$G$5:$G$500,"F",'LANÇAMENTOS DIÁRIOS'!$C$5:$C$500,$A13,'LANÇAMENTOS DIÁRIOS'!$O$5:$O$500,"&lt;=116099",'LANÇAMENTOS DIÁRIOS'!$P$5:$P$500,"&gt;=116000")&gt;0,"X","")</f>
      </c>
      <c r="AV13" s="56" t="str">
        <f>IF(COUNTIFS('LANÇAMENTOS DIÁRIOS'!$G$5:$G$500,"F",'LANÇAMENTOS DIÁRIOS'!$C$5:$C$500,$A13,'LANÇAMENTOS DIÁRIOS'!$O$5:$O$500,"&lt;=116199",'LANÇAMENTOS DIÁRIOS'!$P$5:$P$500,"&gt;=116100")&gt;0,"X","")</f>
      </c>
      <c r="AW13" s="56" t="str">
        <f>IF(COUNTIFS('LANÇAMENTOS DIÁRIOS'!$G$5:$G$500,"F",'LANÇAMENTOS DIÁRIOS'!$C$5:$C$500,$A13,'LANÇAMENTOS DIÁRIOS'!$O$5:$O$500,"&lt;=116299",'LANÇAMENTOS DIÁRIOS'!$P$5:$P$500,"&gt;=116200")&gt;0,"X","")</f>
      </c>
      <c r="AX13" s="56" t="str">
        <f>IF(COUNTIFS('LANÇAMENTOS DIÁRIOS'!$G$5:$G$500,"F",'LANÇAMENTOS DIÁRIOS'!$C$5:$C$500,$A13,'LANÇAMENTOS DIÁRIOS'!$O$5:$O$500,"&lt;=116399",'LANÇAMENTOS DIÁRIOS'!$P$5:$P$500,"&gt;=116300")&gt;0,"X","")</f>
      </c>
      <c r="AY13" s="56" t="str">
        <f>IF(COUNTIFS('LANÇAMENTOS DIÁRIOS'!$G$5:$G$500,"F",'LANÇAMENTOS DIÁRIOS'!$C$5:$C$500,$A13,'LANÇAMENTOS DIÁRIOS'!$O$5:$O$500,"&lt;=116499",'LANÇAMENTOS DIÁRIOS'!$P$5:$P$500,"&gt;=116400")&gt;0,"X","")</f>
      </c>
      <c r="AZ13" s="56" t="str">
        <f>IF(COUNTIFS('LANÇAMENTOS DIÁRIOS'!$G$5:$G$500,"F",'LANÇAMENTOS DIÁRIOS'!$C$5:$C$500,$A13,'LANÇAMENTOS DIÁRIOS'!$O$5:$O$500,"&lt;=116599",'LANÇAMENTOS DIÁRIOS'!$P$5:$P$500,"&gt;=116500")&gt;0,"X","")</f>
      </c>
      <c r="BA13" s="56" t="str">
        <f>IF(COUNTIFS('LANÇAMENTOS DIÁRIOS'!$G$5:$G$500,"F",'LANÇAMENTOS DIÁRIOS'!$C$5:$C$500,$A13,'LANÇAMENTOS DIÁRIOS'!$O$5:$O$500,"&lt;=116699",'LANÇAMENTOS DIÁRIOS'!$P$5:$P$500,"&gt;=116600")&gt;0,"X","")</f>
      </c>
      <c r="BB13" s="56" t="str">
        <f>IF(COUNTIFS('LANÇAMENTOS DIÁRIOS'!$G$5:$G$500,"F",'LANÇAMENTOS DIÁRIOS'!$C$5:$C$500,$A13,'LANÇAMENTOS DIÁRIOS'!$O$5:$O$500,"&lt;=116799",'LANÇAMENTOS DIÁRIOS'!$P$5:$P$500,"&gt;=116700")&gt;0,"X","")</f>
      </c>
      <c r="BC13" s="56" t="str">
        <f>IF(COUNTIFS('LANÇAMENTOS DIÁRIOS'!$G$5:$G$500,"F",'LANÇAMENTOS DIÁRIOS'!$C$5:$C$500,$A13,'LANÇAMENTOS DIÁRIOS'!$O$5:$O$500,"&lt;=116899",'LANÇAMENTOS DIÁRIOS'!$P$5:$P$500,"&gt;=116800")&gt;0,"X","")</f>
      </c>
      <c r="BD13" s="56" t="str">
        <f>IF(COUNTIFS('LANÇAMENTOS DIÁRIOS'!$G$5:$G$500,"F",'LANÇAMENTOS DIÁRIOS'!$C$5:$C$500,$A13,'LANÇAMENTOS DIÁRIOS'!$O$5:$O$500,"&lt;=116999",'LANÇAMENTOS DIÁRIOS'!$P$5:$P$500,"&gt;=116900")&gt;0,"X","")</f>
      </c>
      <c r="BE13" s="56" t="str">
        <f>IF(COUNTIFS('LANÇAMENTOS DIÁRIOS'!$G$5:$G$500,"F",'LANÇAMENTOS DIÁRIOS'!$C$5:$C$500,$A13,'LANÇAMENTOS DIÁRIOS'!$O$5:$O$500,"&lt;=117099",'LANÇAMENTOS DIÁRIOS'!$P$5:$P$500,"&gt;=117000")&gt;0,"X","")</f>
      </c>
      <c r="BF13" s="56" t="str">
        <f>IF(COUNTIFS('LANÇAMENTOS DIÁRIOS'!$G$5:$G$500,"F",'LANÇAMENTOS DIÁRIOS'!$C$5:$C$500,$A13,'LANÇAMENTOS DIÁRIOS'!$O$5:$O$500,"&lt;=117199",'LANÇAMENTOS DIÁRIOS'!$P$5:$P$500,"&gt;=117100")&gt;0,"X","")</f>
      </c>
      <c r="BG13" s="56" t="str">
        <f>IF(COUNTIFS('LANÇAMENTOS DIÁRIOS'!$G$5:$G$500,"F",'LANÇAMENTOS DIÁRIOS'!$C$5:$C$500,$A13,'LANÇAMENTOS DIÁRIOS'!$O$5:$O$500,"&lt;=117219",'LANÇAMENTOS DIÁRIOS'!$P$5:$P$500,"&gt;=117200")&gt;0,"X","")</f>
      </c>
      <c r="BH13" s="56" t="str">
        <f>IF(COUNTIFS('LANÇAMENTOS DIÁRIOS'!$G$5:$G$500,"F",'LANÇAMENTOS DIÁRIOS'!$C$5:$C$500,$A13,'LANÇAMENTOS DIÁRIOS'!$O$5:$O$500,"&lt;=117220",'LANÇAMENTOS DIÁRIOS'!$P$5:$P$500,"&gt;=117220")&gt;0,"X","")</f>
      </c>
    </row>
    <row r="14">
      <c r="A14" s="51" t="str">
        <v>Remoção de terminal absorvedor de energia</v>
      </c>
      <c r="B14" s="56" t="str">
        <f>IF(COUNTIFS('LANÇAMENTOS DIÁRIOS'!$G$5:$G$500,"F",'LANÇAMENTOS DIÁRIOS'!$C$5:$C$500,$A14,'LANÇAMENTOS DIÁRIOS'!$O$5:$O$500,"&lt;=111599",'LANÇAMENTOS DIÁRIOS'!$P$5:$P$500,"&gt;=111500")&gt;0,"X","")</f>
      </c>
      <c r="C14" s="56" t="str">
        <f>IF(COUNTIFS('LANÇAMENTOS DIÁRIOS'!$G$5:$G$500,"F",'LANÇAMENTOS DIÁRIOS'!$C$5:$C$500,$A14,'LANÇAMENTOS DIÁRIOS'!$O$5:$O$500,"&lt;=111699",'LANÇAMENTOS DIÁRIOS'!$P$5:$P$500,"&gt;=111600")&gt;0,"X","")</f>
      </c>
      <c r="D14" s="56" t="str">
        <f>IF(COUNTIFS('LANÇAMENTOS DIÁRIOS'!$G$5:$G$500,"F",'LANÇAMENTOS DIÁRIOS'!$C$5:$C$500,$A14,'LANÇAMENTOS DIÁRIOS'!$O$5:$O$500,"&lt;=111799",'LANÇAMENTOS DIÁRIOS'!$P$5:$P$500,"&gt;=111700")&gt;0,"X","")</f>
      </c>
      <c r="E14" s="56" t="str">
        <f>IF(COUNTIFS('LANÇAMENTOS DIÁRIOS'!$G$5:$G$500,"F",'LANÇAMENTOS DIÁRIOS'!$C$5:$C$500,$A14,'LANÇAMENTOS DIÁRIOS'!$O$5:$O$500,"&lt;=111899",'LANÇAMENTOS DIÁRIOS'!$P$5:$P$500,"&gt;=111800")&gt;0,"X","")</f>
      </c>
      <c r="F14" s="56" t="str">
        <f>IF(COUNTIFS('LANÇAMENTOS DIÁRIOS'!$G$5:$G$500,"F",'LANÇAMENTOS DIÁRIOS'!$C$5:$C$500,$A14,'LANÇAMENTOS DIÁRIOS'!$O$5:$O$500,"&lt;=111999",'LANÇAMENTOS DIÁRIOS'!$P$5:$P$500,"&gt;=111900")&gt;0,"X","")</f>
      </c>
      <c r="G14" s="56" t="str">
        <f>IF(COUNTIFS('LANÇAMENTOS DIÁRIOS'!$G$5:$G$500,"F",'LANÇAMENTOS DIÁRIOS'!$C$5:$C$500,$A14,'LANÇAMENTOS DIÁRIOS'!$O$5:$O$500,"&lt;=112099",'LANÇAMENTOS DIÁRIOS'!$P$5:$P$500,"&gt;=112000")&gt;0,"X","")</f>
      </c>
      <c r="H14" s="56" t="str">
        <f>IF(COUNTIFS('LANÇAMENTOS DIÁRIOS'!$G$5:$G$500,"F",'LANÇAMENTOS DIÁRIOS'!$C$5:$C$500,$A14,'LANÇAMENTOS DIÁRIOS'!$O$5:$O$500,"&lt;=112199",'LANÇAMENTOS DIÁRIOS'!$P$5:$P$500,"&gt;=112100")&gt;0,"X","")</f>
      </c>
      <c r="I14" s="56" t="str">
        <f>IF(COUNTIFS('LANÇAMENTOS DIÁRIOS'!$G$5:$G$500,"F",'LANÇAMENTOS DIÁRIOS'!$C$5:$C$500,$A14,'LANÇAMENTOS DIÁRIOS'!$O$5:$O$500,"&lt;=112299",'LANÇAMENTOS DIÁRIOS'!$P$5:$P$500,"&gt;=112200")&gt;0,"X","")</f>
      </c>
      <c r="J14" s="56" t="str">
        <f>IF(COUNTIFS('LANÇAMENTOS DIÁRIOS'!$G$5:$G$500,"F",'LANÇAMENTOS DIÁRIOS'!$C$5:$C$500,$A14,'LANÇAMENTOS DIÁRIOS'!$O$5:$O$500,"&lt;=112399",'LANÇAMENTOS DIÁRIOS'!$P$5:$P$500,"&gt;=112300")&gt;0,"X","")</f>
      </c>
      <c r="K14" s="56" t="str">
        <f>IF(COUNTIFS('LANÇAMENTOS DIÁRIOS'!$G$5:$G$500,"F",'LANÇAMENTOS DIÁRIOS'!$C$5:$C$500,$A14,'LANÇAMENTOS DIÁRIOS'!$O$5:$O$500,"&lt;=112499",'LANÇAMENTOS DIÁRIOS'!$P$5:$P$500,"&gt;=112400")&gt;0,"X","")</f>
      </c>
      <c r="L14" s="56" t="str">
        <f>IF(COUNTIFS('LANÇAMENTOS DIÁRIOS'!$G$5:$G$500,"F",'LANÇAMENTOS DIÁRIOS'!$C$5:$C$500,$A14,'LANÇAMENTOS DIÁRIOS'!$O$5:$O$500,"&lt;=112599",'LANÇAMENTOS DIÁRIOS'!$P$5:$P$500,"&gt;=112500")&gt;0,"X","")</f>
      </c>
      <c r="M14" s="56" t="str">
        <f>IF(COUNTIFS('LANÇAMENTOS DIÁRIOS'!$G$5:$G$500,"F",'LANÇAMENTOS DIÁRIOS'!$C$5:$C$500,$A14,'LANÇAMENTOS DIÁRIOS'!$O$5:$O$500,"&lt;=112699",'LANÇAMENTOS DIÁRIOS'!$P$5:$P$500,"&gt;=112600")&gt;0,"X","")</f>
      </c>
      <c r="N14" s="56" t="str">
        <f>IF(COUNTIFS('LANÇAMENTOS DIÁRIOS'!$G$5:$G$500,"F",'LANÇAMENTOS DIÁRIOS'!$C$5:$C$500,$A14,'LANÇAMENTOS DIÁRIOS'!$O$5:$O$500,"&lt;=112799",'LANÇAMENTOS DIÁRIOS'!$P$5:$P$500,"&gt;=112700")&gt;0,"X","")</f>
      </c>
      <c r="O14" s="56" t="str">
        <f>IF(COUNTIFS('LANÇAMENTOS DIÁRIOS'!$G$5:$G$500,"F",'LANÇAMENTOS DIÁRIOS'!$C$5:$C$500,$A14,'LANÇAMENTOS DIÁRIOS'!$O$5:$O$500,"&lt;=112899",'LANÇAMENTOS DIÁRIOS'!$P$5:$P$500,"&gt;=112800")&gt;0,"X","")</f>
      </c>
      <c r="P14" s="56" t="str">
        <f>IF(COUNTIFS('LANÇAMENTOS DIÁRIOS'!$G$5:$G$500,"F",'LANÇAMENTOS DIÁRIOS'!$C$5:$C$500,$A14,'LANÇAMENTOS DIÁRIOS'!$O$5:$O$500,"&lt;=112999",'LANÇAMENTOS DIÁRIOS'!$P$5:$P$500,"&gt;=112900")&gt;0,"X","")</f>
      </c>
      <c r="Q14" s="56" t="str">
        <f>IF(COUNTIFS('LANÇAMENTOS DIÁRIOS'!$G$5:$G$500,"F",'LANÇAMENTOS DIÁRIOS'!$C$5:$C$500,$A14,'LANÇAMENTOS DIÁRIOS'!$O$5:$O$500,"&lt;=113099",'LANÇAMENTOS DIÁRIOS'!$P$5:$P$500,"&gt;=113000")&gt;0,"X","")</f>
      </c>
      <c r="R14" s="56" t="str">
        <f>IF(COUNTIFS('LANÇAMENTOS DIÁRIOS'!$G$5:$G$500,"F",'LANÇAMENTOS DIÁRIOS'!$C$5:$C$500,$A14,'LANÇAMENTOS DIÁRIOS'!$O$5:$O$500,"&lt;=113199",'LANÇAMENTOS DIÁRIOS'!$P$5:$P$500,"&gt;=113100")&gt;0,"X","")</f>
      </c>
      <c r="S14" s="56" t="str">
        <f>IF(COUNTIFS('LANÇAMENTOS DIÁRIOS'!$G$5:$G$500,"F",'LANÇAMENTOS DIÁRIOS'!$C$5:$C$500,$A14,'LANÇAMENTOS DIÁRIOS'!$O$5:$O$500,"&lt;=113299",'LANÇAMENTOS DIÁRIOS'!$P$5:$P$500,"&gt;=113200")&gt;0,"X","")</f>
      </c>
      <c r="T14" s="56" t="str">
        <f>IF(COUNTIFS('LANÇAMENTOS DIÁRIOS'!$G$5:$G$500,"F",'LANÇAMENTOS DIÁRIOS'!$C$5:$C$500,$A14,'LANÇAMENTOS DIÁRIOS'!$O$5:$O$500,"&lt;=113399",'LANÇAMENTOS DIÁRIOS'!$P$5:$P$500,"&gt;=113300")&gt;0,"X","")</f>
      </c>
      <c r="U14" s="56" t="str">
        <f>IF(COUNTIFS('LANÇAMENTOS DIÁRIOS'!$G$5:$G$500,"F",'LANÇAMENTOS DIÁRIOS'!$C$5:$C$500,$A14,'LANÇAMENTOS DIÁRIOS'!$O$5:$O$500,"&lt;=113499",'LANÇAMENTOS DIÁRIOS'!$P$5:$P$500,"&gt;=113400")&gt;0,"X","")</f>
      </c>
      <c r="V14" s="56" t="str">
        <f>IF(COUNTIFS('LANÇAMENTOS DIÁRIOS'!$G$5:$G$500,"F",'LANÇAMENTOS DIÁRIOS'!$C$5:$C$500,$A14,'LANÇAMENTOS DIÁRIOS'!$O$5:$O$500,"&lt;=113599",'LANÇAMENTOS DIÁRIOS'!$P$5:$P$500,"&gt;=113500")&gt;0,"X","")</f>
      </c>
      <c r="W14" s="56" t="str">
        <f>IF(COUNTIFS('LANÇAMENTOS DIÁRIOS'!$G$5:$G$500,"F",'LANÇAMENTOS DIÁRIOS'!$C$5:$C$500,$A14,'LANÇAMENTOS DIÁRIOS'!$O$5:$O$500,"&lt;=113699",'LANÇAMENTOS DIÁRIOS'!$P$5:$P$500,"&gt;=113600")&gt;0,"X","")</f>
      </c>
      <c r="X14" s="56" t="str">
        <f>IF(COUNTIFS('LANÇAMENTOS DIÁRIOS'!$G$5:$G$500,"F",'LANÇAMENTOS DIÁRIOS'!$C$5:$C$500,$A14,'LANÇAMENTOS DIÁRIOS'!$O$5:$O$500,"&lt;=113799",'LANÇAMENTOS DIÁRIOS'!$P$5:$P$500,"&gt;=113700")&gt;0,"X","")</f>
      </c>
      <c r="Y14" s="56" t="str">
        <f>IF(COUNTIFS('LANÇAMENTOS DIÁRIOS'!$G$5:$G$500,"F",'LANÇAMENTOS DIÁRIOS'!$C$5:$C$500,$A14,'LANÇAMENTOS DIÁRIOS'!$O$5:$O$500,"&lt;=113899",'LANÇAMENTOS DIÁRIOS'!$P$5:$P$500,"&gt;=113800")&gt;0,"X","")</f>
      </c>
      <c r="Z14" s="56" t="str">
        <f>IF(COUNTIFS('LANÇAMENTOS DIÁRIOS'!$G$5:$G$500,"F",'LANÇAMENTOS DIÁRIOS'!$C$5:$C$500,$A14,'LANÇAMENTOS DIÁRIOS'!$O$5:$O$500,"&lt;=113999",'LANÇAMENTOS DIÁRIOS'!$P$5:$P$500,"&gt;=113900")&gt;0,"X","")</f>
      </c>
      <c r="AA14" s="56" t="str">
        <f>IF(COUNTIFS('LANÇAMENTOS DIÁRIOS'!$G$5:$G$500,"F",'LANÇAMENTOS DIÁRIOS'!$C$5:$C$500,$A14,'LANÇAMENTOS DIÁRIOS'!$O$5:$O$500,"&lt;=114099",'LANÇAMENTOS DIÁRIOS'!$P$5:$P$500,"&gt;=114000")&gt;0,"X","")</f>
      </c>
      <c r="AB14" s="56" t="str">
        <f>IF(COUNTIFS('LANÇAMENTOS DIÁRIOS'!$G$5:$G$500,"F",'LANÇAMENTOS DIÁRIOS'!$C$5:$C$500,$A14,'LANÇAMENTOS DIÁRIOS'!$O$5:$O$500,"&lt;=114199",'LANÇAMENTOS DIÁRIOS'!$P$5:$P$500,"&gt;=114100")&gt;0,"X","")</f>
      </c>
      <c r="AC14" s="56" t="str">
        <f>IF(COUNTIFS('LANÇAMENTOS DIÁRIOS'!$G$5:$G$500,"F",'LANÇAMENTOS DIÁRIOS'!$C$5:$C$500,$A14,'LANÇAMENTOS DIÁRIOS'!$O$5:$O$500,"&lt;=114299",'LANÇAMENTOS DIÁRIOS'!$P$5:$P$500,"&gt;=114200")&gt;0,"X","")</f>
      </c>
      <c r="AD14" s="56" t="str">
        <f>IF(COUNTIFS('LANÇAMENTOS DIÁRIOS'!$G$5:$G$500,"F",'LANÇAMENTOS DIÁRIOS'!$C$5:$C$500,$A14,'LANÇAMENTOS DIÁRIOS'!$O$5:$O$500,"&lt;=114399",'LANÇAMENTOS DIÁRIOS'!$P$5:$P$500,"&gt;=114300")&gt;0,"X","")</f>
      </c>
      <c r="AE14" s="56" t="str">
        <f>IF(COUNTIFS('LANÇAMENTOS DIÁRIOS'!$G$5:$G$500,"F",'LANÇAMENTOS DIÁRIOS'!$C$5:$C$500,$A14,'LANÇAMENTOS DIÁRIOS'!$O$5:$O$500,"&lt;=114499",'LANÇAMENTOS DIÁRIOS'!$P$5:$P$500,"&gt;=114400")&gt;0,"X","")</f>
      </c>
      <c r="AF14" s="56" t="str">
        <f>IF(COUNTIFS('LANÇAMENTOS DIÁRIOS'!$G$5:$G$500,"F",'LANÇAMENTOS DIÁRIOS'!$C$5:$C$500,$A14,'LANÇAMENTOS DIÁRIOS'!$O$5:$O$500,"&lt;=114599",'LANÇAMENTOS DIÁRIOS'!$P$5:$P$500,"&gt;=114500")&gt;0,"X","")</f>
      </c>
      <c r="AG14" s="56" t="str">
        <f>IF(COUNTIFS('LANÇAMENTOS DIÁRIOS'!$G$5:$G$500,"F",'LANÇAMENTOS DIÁRIOS'!$C$5:$C$500,$A14,'LANÇAMENTOS DIÁRIOS'!$O$5:$O$500,"&lt;=114699",'LANÇAMENTOS DIÁRIOS'!$P$5:$P$500,"&gt;=114600")&gt;0,"X","")</f>
      </c>
      <c r="AH14" s="56" t="str">
        <f>IF(COUNTIFS('LANÇAMENTOS DIÁRIOS'!$G$5:$G$500,"F",'LANÇAMENTOS DIÁRIOS'!$C$5:$C$500,$A14,'LANÇAMENTOS DIÁRIOS'!$O$5:$O$500,"&lt;=114799",'LANÇAMENTOS DIÁRIOS'!$P$5:$P$500,"&gt;=114700")&gt;0,"X","")</f>
      </c>
      <c r="AI14" s="56" t="str">
        <f>IF(COUNTIFS('LANÇAMENTOS DIÁRIOS'!$G$5:$G$500,"F",'LANÇAMENTOS DIÁRIOS'!$C$5:$C$500,$A14,'LANÇAMENTOS DIÁRIOS'!$O$5:$O$500,"&lt;=114899",'LANÇAMENTOS DIÁRIOS'!$P$5:$P$500,"&gt;=114800")&gt;0,"X","")</f>
      </c>
      <c r="AJ14" s="56" t="str">
        <f>IF(COUNTIFS('LANÇAMENTOS DIÁRIOS'!$G$5:$G$500,"F",'LANÇAMENTOS DIÁRIOS'!$C$5:$C$500,$A14,'LANÇAMENTOS DIÁRIOS'!$O$5:$O$500,"&lt;=114999",'LANÇAMENTOS DIÁRIOS'!$P$5:$P$500,"&gt;=114900")&gt;0,"X","")</f>
      </c>
      <c r="AK14" s="56" t="str">
        <f>IF(COUNTIFS('LANÇAMENTOS DIÁRIOS'!$G$5:$G$500,"F",'LANÇAMENTOS DIÁRIOS'!$C$5:$C$500,$A14,'LANÇAMENTOS DIÁRIOS'!$O$5:$O$500,"&lt;=115099",'LANÇAMENTOS DIÁRIOS'!$P$5:$P$500,"&gt;=115000")&gt;0,"X","")</f>
      </c>
      <c r="AL14" s="56" t="str">
        <f>IF(COUNTIFS('LANÇAMENTOS DIÁRIOS'!$G$5:$G$500,"F",'LANÇAMENTOS DIÁRIOS'!$C$5:$C$500,$A14,'LANÇAMENTOS DIÁRIOS'!$O$5:$O$500,"&lt;=115199",'LANÇAMENTOS DIÁRIOS'!$P$5:$P$500,"&gt;=115100")&gt;0,"X","")</f>
      </c>
      <c r="AM14" s="56" t="str">
        <f>IF(COUNTIFS('LANÇAMENTOS DIÁRIOS'!$G$5:$G$500,"F",'LANÇAMENTOS DIÁRIOS'!$C$5:$C$500,$A14,'LANÇAMENTOS DIÁRIOS'!$O$5:$O$500,"&lt;=115299",'LANÇAMENTOS DIÁRIOS'!$P$5:$P$500,"&gt;=115200")&gt;0,"X","")</f>
      </c>
      <c r="AN14" s="56" t="str">
        <f>IF(COUNTIFS('LANÇAMENTOS DIÁRIOS'!$G$5:$G$500,"F",'LANÇAMENTOS DIÁRIOS'!$C$5:$C$500,$A14,'LANÇAMENTOS DIÁRIOS'!$O$5:$O$500,"&lt;=115399",'LANÇAMENTOS DIÁRIOS'!$P$5:$P$500,"&gt;=115300")&gt;0,"X","")</f>
      </c>
      <c r="AO14" s="56" t="str">
        <f>IF(COUNTIFS('LANÇAMENTOS DIÁRIOS'!$G$5:$G$500,"F",'LANÇAMENTOS DIÁRIOS'!$C$5:$C$500,$A14,'LANÇAMENTOS DIÁRIOS'!$O$5:$O$500,"&lt;=115499",'LANÇAMENTOS DIÁRIOS'!$P$5:$P$500,"&gt;=115400")&gt;0,"X","")</f>
      </c>
      <c r="AP14" s="56" t="str">
        <f>IF(COUNTIFS('LANÇAMENTOS DIÁRIOS'!$G$5:$G$500,"F",'LANÇAMENTOS DIÁRIOS'!$C$5:$C$500,$A14,'LANÇAMENTOS DIÁRIOS'!$O$5:$O$500,"&lt;=115599",'LANÇAMENTOS DIÁRIOS'!$P$5:$P$500,"&gt;=115500")&gt;0,"X","")</f>
      </c>
      <c r="AQ14" s="56" t="str">
        <f>IF(COUNTIFS('LANÇAMENTOS DIÁRIOS'!$G$5:$G$500,"F",'LANÇAMENTOS DIÁRIOS'!$C$5:$C$500,$A14,'LANÇAMENTOS DIÁRIOS'!$O$5:$O$500,"&lt;=115699",'LANÇAMENTOS DIÁRIOS'!$P$5:$P$500,"&gt;=115600")&gt;0,"X","")</f>
      </c>
      <c r="AR14" s="56" t="str">
        <f>IF(COUNTIFS('LANÇAMENTOS DIÁRIOS'!$G$5:$G$500,"F",'LANÇAMENTOS DIÁRIOS'!$C$5:$C$500,$A14,'LANÇAMENTOS DIÁRIOS'!$O$5:$O$500,"&lt;=115799",'LANÇAMENTOS DIÁRIOS'!$P$5:$P$500,"&gt;=115700")&gt;0,"X","")</f>
      </c>
      <c r="AS14" s="56" t="str">
        <f>IF(COUNTIFS('LANÇAMENTOS DIÁRIOS'!$G$5:$G$500,"F",'LANÇAMENTOS DIÁRIOS'!$C$5:$C$500,$A14,'LANÇAMENTOS DIÁRIOS'!$O$5:$O$500,"&lt;=115899",'LANÇAMENTOS DIÁRIOS'!$P$5:$P$500,"&gt;=115800")&gt;0,"X","")</f>
      </c>
      <c r="AT14" s="56" t="str">
        <f>IF(COUNTIFS('LANÇAMENTOS DIÁRIOS'!$G$5:$G$500,"F",'LANÇAMENTOS DIÁRIOS'!$C$5:$C$500,$A14,'LANÇAMENTOS DIÁRIOS'!$O$5:$O$500,"&lt;=115999",'LANÇAMENTOS DIÁRIOS'!$P$5:$P$500,"&gt;=115900")&gt;0,"X","")</f>
      </c>
      <c r="AU14" s="56" t="str">
        <f>IF(COUNTIFS('LANÇAMENTOS DIÁRIOS'!$G$5:$G$500,"F",'LANÇAMENTOS DIÁRIOS'!$C$5:$C$500,$A14,'LANÇAMENTOS DIÁRIOS'!$O$5:$O$500,"&lt;=116099",'LANÇAMENTOS DIÁRIOS'!$P$5:$P$500,"&gt;=116000")&gt;0,"X","")</f>
      </c>
      <c r="AV14" s="56" t="str">
        <f>IF(COUNTIFS('LANÇAMENTOS DIÁRIOS'!$G$5:$G$500,"F",'LANÇAMENTOS DIÁRIOS'!$C$5:$C$500,$A14,'LANÇAMENTOS DIÁRIOS'!$O$5:$O$500,"&lt;=116199",'LANÇAMENTOS DIÁRIOS'!$P$5:$P$500,"&gt;=116100")&gt;0,"X","")</f>
      </c>
      <c r="AW14" s="56" t="str">
        <f>IF(COUNTIFS('LANÇAMENTOS DIÁRIOS'!$G$5:$G$500,"F",'LANÇAMENTOS DIÁRIOS'!$C$5:$C$500,$A14,'LANÇAMENTOS DIÁRIOS'!$O$5:$O$500,"&lt;=116299",'LANÇAMENTOS DIÁRIOS'!$P$5:$P$500,"&gt;=116200")&gt;0,"X","")</f>
      </c>
      <c r="AX14" s="56" t="str">
        <f>IF(COUNTIFS('LANÇAMENTOS DIÁRIOS'!$G$5:$G$500,"F",'LANÇAMENTOS DIÁRIOS'!$C$5:$C$500,$A14,'LANÇAMENTOS DIÁRIOS'!$O$5:$O$500,"&lt;=116399",'LANÇAMENTOS DIÁRIOS'!$P$5:$P$500,"&gt;=116300")&gt;0,"X","")</f>
      </c>
      <c r="AY14" s="56" t="str">
        <f>IF(COUNTIFS('LANÇAMENTOS DIÁRIOS'!$G$5:$G$500,"F",'LANÇAMENTOS DIÁRIOS'!$C$5:$C$500,$A14,'LANÇAMENTOS DIÁRIOS'!$O$5:$O$500,"&lt;=116499",'LANÇAMENTOS DIÁRIOS'!$P$5:$P$500,"&gt;=116400")&gt;0,"X","")</f>
      </c>
      <c r="AZ14" s="56" t="str">
        <f>IF(COUNTIFS('LANÇAMENTOS DIÁRIOS'!$G$5:$G$500,"F",'LANÇAMENTOS DIÁRIOS'!$C$5:$C$500,$A14,'LANÇAMENTOS DIÁRIOS'!$O$5:$O$500,"&lt;=116599",'LANÇAMENTOS DIÁRIOS'!$P$5:$P$500,"&gt;=116500")&gt;0,"X","")</f>
      </c>
      <c r="BA14" s="56" t="str">
        <f>IF(COUNTIFS('LANÇAMENTOS DIÁRIOS'!$G$5:$G$500,"F",'LANÇAMENTOS DIÁRIOS'!$C$5:$C$500,$A14,'LANÇAMENTOS DIÁRIOS'!$O$5:$O$500,"&lt;=116699",'LANÇAMENTOS DIÁRIOS'!$P$5:$P$500,"&gt;=116600")&gt;0,"X","")</f>
      </c>
      <c r="BB14" s="56" t="str">
        <f>IF(COUNTIFS('LANÇAMENTOS DIÁRIOS'!$G$5:$G$500,"F",'LANÇAMENTOS DIÁRIOS'!$C$5:$C$500,$A14,'LANÇAMENTOS DIÁRIOS'!$O$5:$O$500,"&lt;=116799",'LANÇAMENTOS DIÁRIOS'!$P$5:$P$500,"&gt;=116700")&gt;0,"X","")</f>
      </c>
      <c r="BC14" s="56" t="str">
        <f>IF(COUNTIFS('LANÇAMENTOS DIÁRIOS'!$G$5:$G$500,"F",'LANÇAMENTOS DIÁRIOS'!$C$5:$C$500,$A14,'LANÇAMENTOS DIÁRIOS'!$O$5:$O$500,"&lt;=116899",'LANÇAMENTOS DIÁRIOS'!$P$5:$P$500,"&gt;=116800")&gt;0,"X","")</f>
      </c>
      <c r="BD14" s="56" t="str">
        <f>IF(COUNTIFS('LANÇAMENTOS DIÁRIOS'!$G$5:$G$500,"F",'LANÇAMENTOS DIÁRIOS'!$C$5:$C$500,$A14,'LANÇAMENTOS DIÁRIOS'!$O$5:$O$500,"&lt;=116999",'LANÇAMENTOS DIÁRIOS'!$P$5:$P$500,"&gt;=116900")&gt;0,"X","")</f>
      </c>
      <c r="BE14" s="56" t="str">
        <f>IF(COUNTIFS('LANÇAMENTOS DIÁRIOS'!$G$5:$G$500,"F",'LANÇAMENTOS DIÁRIOS'!$C$5:$C$500,$A14,'LANÇAMENTOS DIÁRIOS'!$O$5:$O$500,"&lt;=117099",'LANÇAMENTOS DIÁRIOS'!$P$5:$P$500,"&gt;=117000")&gt;0,"X","")</f>
      </c>
      <c r="BF14" s="56" t="str">
        <f>IF(COUNTIFS('LANÇAMENTOS DIÁRIOS'!$G$5:$G$500,"F",'LANÇAMENTOS DIÁRIOS'!$C$5:$C$500,$A14,'LANÇAMENTOS DIÁRIOS'!$O$5:$O$500,"&lt;=117199",'LANÇAMENTOS DIÁRIOS'!$P$5:$P$500,"&gt;=117100")&gt;0,"X","")</f>
      </c>
      <c r="BG14" s="56" t="str">
        <f>IF(COUNTIFS('LANÇAMENTOS DIÁRIOS'!$G$5:$G$500,"F",'LANÇAMENTOS DIÁRIOS'!$C$5:$C$500,$A14,'LANÇAMENTOS DIÁRIOS'!$O$5:$O$500,"&lt;=117219",'LANÇAMENTOS DIÁRIOS'!$P$5:$P$500,"&gt;=117200")&gt;0,"X","")</f>
      </c>
      <c r="BH14" s="56" t="str">
        <f>IF(COUNTIFS('LANÇAMENTOS DIÁRIOS'!$G$5:$G$500,"F",'LANÇAMENTOS DIÁRIOS'!$C$5:$C$500,$A14,'LANÇAMENTOS DIÁRIOS'!$O$5:$O$500,"&lt;=117220",'LANÇAMENTOS DIÁRIOS'!$P$5:$P$500,"&gt;=117220")&gt;0,"X","")</f>
      </c>
    </row>
    <row r="15">
      <c r="A15" s="51" t="str">
        <v>Remoção de terminal absorvedor de energia.m</v>
      </c>
      <c r="B15" s="56" t="str">
        <f>IF(COUNTIFS('LANÇAMENTOS DIÁRIOS'!$G$5:$G$500,"F",'LANÇAMENTOS DIÁRIOS'!$C$5:$C$500,$A15,'LANÇAMENTOS DIÁRIOS'!$O$5:$O$500,"&lt;=111599",'LANÇAMENTOS DIÁRIOS'!$P$5:$P$500,"&gt;=111500")&gt;0,"X","")</f>
      </c>
      <c r="C15" s="56" t="str">
        <f>IF(COUNTIFS('LANÇAMENTOS DIÁRIOS'!$G$5:$G$500,"F",'LANÇAMENTOS DIÁRIOS'!$C$5:$C$500,$A15,'LANÇAMENTOS DIÁRIOS'!$O$5:$O$500,"&lt;=111699",'LANÇAMENTOS DIÁRIOS'!$P$5:$P$500,"&gt;=111600")&gt;0,"X","")</f>
      </c>
      <c r="D15" s="56" t="str">
        <f>IF(COUNTIFS('LANÇAMENTOS DIÁRIOS'!$G$5:$G$500,"F",'LANÇAMENTOS DIÁRIOS'!$C$5:$C$500,$A15,'LANÇAMENTOS DIÁRIOS'!$O$5:$O$500,"&lt;=111799",'LANÇAMENTOS DIÁRIOS'!$P$5:$P$500,"&gt;=111700")&gt;0,"X","")</f>
      </c>
      <c r="E15" s="56" t="str">
        <f>IF(COUNTIFS('LANÇAMENTOS DIÁRIOS'!$G$5:$G$500,"F",'LANÇAMENTOS DIÁRIOS'!$C$5:$C$500,$A15,'LANÇAMENTOS DIÁRIOS'!$O$5:$O$500,"&lt;=111899",'LANÇAMENTOS DIÁRIOS'!$P$5:$P$500,"&gt;=111800")&gt;0,"X","")</f>
      </c>
      <c r="F15" s="56" t="str">
        <f>IF(COUNTIFS('LANÇAMENTOS DIÁRIOS'!$G$5:$G$500,"F",'LANÇAMENTOS DIÁRIOS'!$C$5:$C$500,$A15,'LANÇAMENTOS DIÁRIOS'!$O$5:$O$500,"&lt;=111999",'LANÇAMENTOS DIÁRIOS'!$P$5:$P$500,"&gt;=111900")&gt;0,"X","")</f>
      </c>
      <c r="G15" s="56" t="str">
        <f>IF(COUNTIFS('LANÇAMENTOS DIÁRIOS'!$G$5:$G$500,"F",'LANÇAMENTOS DIÁRIOS'!$C$5:$C$500,$A15,'LANÇAMENTOS DIÁRIOS'!$O$5:$O$500,"&lt;=112099",'LANÇAMENTOS DIÁRIOS'!$P$5:$P$500,"&gt;=112000")&gt;0,"X","")</f>
      </c>
      <c r="H15" s="56" t="str">
        <f>IF(COUNTIFS('LANÇAMENTOS DIÁRIOS'!$G$5:$G$500,"F",'LANÇAMENTOS DIÁRIOS'!$C$5:$C$500,$A15,'LANÇAMENTOS DIÁRIOS'!$O$5:$O$500,"&lt;=112199",'LANÇAMENTOS DIÁRIOS'!$P$5:$P$500,"&gt;=112100")&gt;0,"X","")</f>
      </c>
      <c r="I15" s="56" t="str">
        <f>IF(COUNTIFS('LANÇAMENTOS DIÁRIOS'!$G$5:$G$500,"F",'LANÇAMENTOS DIÁRIOS'!$C$5:$C$500,$A15,'LANÇAMENTOS DIÁRIOS'!$O$5:$O$500,"&lt;=112299",'LANÇAMENTOS DIÁRIOS'!$P$5:$P$500,"&gt;=112200")&gt;0,"X","")</f>
      </c>
      <c r="J15" s="56" t="str">
        <f>IF(COUNTIFS('LANÇAMENTOS DIÁRIOS'!$G$5:$G$500,"F",'LANÇAMENTOS DIÁRIOS'!$C$5:$C$500,$A15,'LANÇAMENTOS DIÁRIOS'!$O$5:$O$500,"&lt;=112399",'LANÇAMENTOS DIÁRIOS'!$P$5:$P$500,"&gt;=112300")&gt;0,"X","")</f>
      </c>
      <c r="K15" s="56" t="str">
        <f>IF(COUNTIFS('LANÇAMENTOS DIÁRIOS'!$G$5:$G$500,"F",'LANÇAMENTOS DIÁRIOS'!$C$5:$C$500,$A15,'LANÇAMENTOS DIÁRIOS'!$O$5:$O$500,"&lt;=112499",'LANÇAMENTOS DIÁRIOS'!$P$5:$P$500,"&gt;=112400")&gt;0,"X","")</f>
      </c>
      <c r="L15" s="56" t="str">
        <f>IF(COUNTIFS('LANÇAMENTOS DIÁRIOS'!$G$5:$G$500,"F",'LANÇAMENTOS DIÁRIOS'!$C$5:$C$500,$A15,'LANÇAMENTOS DIÁRIOS'!$O$5:$O$500,"&lt;=112599",'LANÇAMENTOS DIÁRIOS'!$P$5:$P$500,"&gt;=112500")&gt;0,"X","")</f>
      </c>
      <c r="M15" s="56" t="str">
        <f>IF(COUNTIFS('LANÇAMENTOS DIÁRIOS'!$G$5:$G$500,"F",'LANÇAMENTOS DIÁRIOS'!$C$5:$C$500,$A15,'LANÇAMENTOS DIÁRIOS'!$O$5:$O$500,"&lt;=112699",'LANÇAMENTOS DIÁRIOS'!$P$5:$P$500,"&gt;=112600")&gt;0,"X","")</f>
      </c>
      <c r="N15" s="56" t="str">
        <f>IF(COUNTIFS('LANÇAMENTOS DIÁRIOS'!$G$5:$G$500,"F",'LANÇAMENTOS DIÁRIOS'!$C$5:$C$500,$A15,'LANÇAMENTOS DIÁRIOS'!$O$5:$O$500,"&lt;=112799",'LANÇAMENTOS DIÁRIOS'!$P$5:$P$500,"&gt;=112700")&gt;0,"X","")</f>
      </c>
      <c r="O15" s="56" t="str">
        <f>IF(COUNTIFS('LANÇAMENTOS DIÁRIOS'!$G$5:$G$500,"F",'LANÇAMENTOS DIÁRIOS'!$C$5:$C$500,$A15,'LANÇAMENTOS DIÁRIOS'!$O$5:$O$500,"&lt;=112899",'LANÇAMENTOS DIÁRIOS'!$P$5:$P$500,"&gt;=112800")&gt;0,"X","")</f>
      </c>
      <c r="P15" s="56" t="str">
        <f>IF(COUNTIFS('LANÇAMENTOS DIÁRIOS'!$G$5:$G$500,"F",'LANÇAMENTOS DIÁRIOS'!$C$5:$C$500,$A15,'LANÇAMENTOS DIÁRIOS'!$O$5:$O$500,"&lt;=112999",'LANÇAMENTOS DIÁRIOS'!$P$5:$P$500,"&gt;=112900")&gt;0,"X","")</f>
      </c>
      <c r="Q15" s="56" t="str">
        <f>IF(COUNTIFS('LANÇAMENTOS DIÁRIOS'!$G$5:$G$500,"F",'LANÇAMENTOS DIÁRIOS'!$C$5:$C$500,$A15,'LANÇAMENTOS DIÁRIOS'!$O$5:$O$500,"&lt;=113099",'LANÇAMENTOS DIÁRIOS'!$P$5:$P$500,"&gt;=113000")&gt;0,"X","")</f>
      </c>
      <c r="R15" s="56" t="str">
        <f>IF(COUNTIFS('LANÇAMENTOS DIÁRIOS'!$G$5:$G$500,"F",'LANÇAMENTOS DIÁRIOS'!$C$5:$C$500,$A15,'LANÇAMENTOS DIÁRIOS'!$O$5:$O$500,"&lt;=113199",'LANÇAMENTOS DIÁRIOS'!$P$5:$P$500,"&gt;=113100")&gt;0,"X","")</f>
      </c>
      <c r="S15" s="56" t="str">
        <f>IF(COUNTIFS('LANÇAMENTOS DIÁRIOS'!$G$5:$G$500,"F",'LANÇAMENTOS DIÁRIOS'!$C$5:$C$500,$A15,'LANÇAMENTOS DIÁRIOS'!$O$5:$O$500,"&lt;=113299",'LANÇAMENTOS DIÁRIOS'!$P$5:$P$500,"&gt;=113200")&gt;0,"X","")</f>
      </c>
      <c r="T15" s="56" t="str">
        <f>IF(COUNTIFS('LANÇAMENTOS DIÁRIOS'!$G$5:$G$500,"F",'LANÇAMENTOS DIÁRIOS'!$C$5:$C$500,$A15,'LANÇAMENTOS DIÁRIOS'!$O$5:$O$500,"&lt;=113399",'LANÇAMENTOS DIÁRIOS'!$P$5:$P$500,"&gt;=113300")&gt;0,"X","")</f>
      </c>
      <c r="U15" s="56" t="str">
        <f>IF(COUNTIFS('LANÇAMENTOS DIÁRIOS'!$G$5:$G$500,"F",'LANÇAMENTOS DIÁRIOS'!$C$5:$C$500,$A15,'LANÇAMENTOS DIÁRIOS'!$O$5:$O$500,"&lt;=113499",'LANÇAMENTOS DIÁRIOS'!$P$5:$P$500,"&gt;=113400")&gt;0,"X","")</f>
      </c>
      <c r="V15" s="56" t="str">
        <f>IF(COUNTIFS('LANÇAMENTOS DIÁRIOS'!$G$5:$G$500,"F",'LANÇAMENTOS DIÁRIOS'!$C$5:$C$500,$A15,'LANÇAMENTOS DIÁRIOS'!$O$5:$O$500,"&lt;=113599",'LANÇAMENTOS DIÁRIOS'!$P$5:$P$500,"&gt;=113500")&gt;0,"X","")</f>
      </c>
      <c r="W15" s="56" t="str">
        <f>IF(COUNTIFS('LANÇAMENTOS DIÁRIOS'!$G$5:$G$500,"F",'LANÇAMENTOS DIÁRIOS'!$C$5:$C$500,$A15,'LANÇAMENTOS DIÁRIOS'!$O$5:$O$500,"&lt;=113699",'LANÇAMENTOS DIÁRIOS'!$P$5:$P$500,"&gt;=113600")&gt;0,"X","")</f>
      </c>
      <c r="X15" s="56" t="str">
        <f>IF(COUNTIFS('LANÇAMENTOS DIÁRIOS'!$G$5:$G$500,"F",'LANÇAMENTOS DIÁRIOS'!$C$5:$C$500,$A15,'LANÇAMENTOS DIÁRIOS'!$O$5:$O$500,"&lt;=113799",'LANÇAMENTOS DIÁRIOS'!$P$5:$P$500,"&gt;=113700")&gt;0,"X","")</f>
      </c>
      <c r="Y15" s="56" t="str">
        <f>IF(COUNTIFS('LANÇAMENTOS DIÁRIOS'!$G$5:$G$500,"F",'LANÇAMENTOS DIÁRIOS'!$C$5:$C$500,$A15,'LANÇAMENTOS DIÁRIOS'!$O$5:$O$500,"&lt;=113899",'LANÇAMENTOS DIÁRIOS'!$P$5:$P$500,"&gt;=113800")&gt;0,"X","")</f>
      </c>
      <c r="Z15" s="56" t="str">
        <f>IF(COUNTIFS('LANÇAMENTOS DIÁRIOS'!$G$5:$G$500,"F",'LANÇAMENTOS DIÁRIOS'!$C$5:$C$500,$A15,'LANÇAMENTOS DIÁRIOS'!$O$5:$O$500,"&lt;=113999",'LANÇAMENTOS DIÁRIOS'!$P$5:$P$500,"&gt;=113900")&gt;0,"X","")</f>
      </c>
      <c r="AA15" s="56" t="str">
        <f>IF(COUNTIFS('LANÇAMENTOS DIÁRIOS'!$G$5:$G$500,"F",'LANÇAMENTOS DIÁRIOS'!$C$5:$C$500,$A15,'LANÇAMENTOS DIÁRIOS'!$O$5:$O$500,"&lt;=114099",'LANÇAMENTOS DIÁRIOS'!$P$5:$P$500,"&gt;=114000")&gt;0,"X","")</f>
      </c>
      <c r="AB15" s="56" t="str">
        <f>IF(COUNTIFS('LANÇAMENTOS DIÁRIOS'!$G$5:$G$500,"F",'LANÇAMENTOS DIÁRIOS'!$C$5:$C$500,$A15,'LANÇAMENTOS DIÁRIOS'!$O$5:$O$500,"&lt;=114199",'LANÇAMENTOS DIÁRIOS'!$P$5:$P$500,"&gt;=114100")&gt;0,"X","")</f>
      </c>
      <c r="AC15" s="56" t="str">
        <f>IF(COUNTIFS('LANÇAMENTOS DIÁRIOS'!$G$5:$G$500,"F",'LANÇAMENTOS DIÁRIOS'!$C$5:$C$500,$A15,'LANÇAMENTOS DIÁRIOS'!$O$5:$O$500,"&lt;=114299",'LANÇAMENTOS DIÁRIOS'!$P$5:$P$500,"&gt;=114200")&gt;0,"X","")</f>
      </c>
      <c r="AD15" s="56" t="str">
        <f>IF(COUNTIFS('LANÇAMENTOS DIÁRIOS'!$G$5:$G$500,"F",'LANÇAMENTOS DIÁRIOS'!$C$5:$C$500,$A15,'LANÇAMENTOS DIÁRIOS'!$O$5:$O$500,"&lt;=114399",'LANÇAMENTOS DIÁRIOS'!$P$5:$P$500,"&gt;=114300")&gt;0,"X","")</f>
      </c>
      <c r="AE15" s="56" t="str">
        <f>IF(COUNTIFS('LANÇAMENTOS DIÁRIOS'!$G$5:$G$500,"F",'LANÇAMENTOS DIÁRIOS'!$C$5:$C$500,$A15,'LANÇAMENTOS DIÁRIOS'!$O$5:$O$500,"&lt;=114499",'LANÇAMENTOS DIÁRIOS'!$P$5:$P$500,"&gt;=114400")&gt;0,"X","")</f>
      </c>
      <c r="AF15" s="56" t="str">
        <f>IF(COUNTIFS('LANÇAMENTOS DIÁRIOS'!$G$5:$G$500,"F",'LANÇAMENTOS DIÁRIOS'!$C$5:$C$500,$A15,'LANÇAMENTOS DIÁRIOS'!$O$5:$O$500,"&lt;=114599",'LANÇAMENTOS DIÁRIOS'!$P$5:$P$500,"&gt;=114500")&gt;0,"X","")</f>
      </c>
      <c r="AG15" s="56" t="str">
        <f>IF(COUNTIFS('LANÇAMENTOS DIÁRIOS'!$G$5:$G$500,"F",'LANÇAMENTOS DIÁRIOS'!$C$5:$C$500,$A15,'LANÇAMENTOS DIÁRIOS'!$O$5:$O$500,"&lt;=114699",'LANÇAMENTOS DIÁRIOS'!$P$5:$P$500,"&gt;=114600")&gt;0,"X","")</f>
      </c>
      <c r="AH15" s="56" t="str">
        <f>IF(COUNTIFS('LANÇAMENTOS DIÁRIOS'!$G$5:$G$500,"F",'LANÇAMENTOS DIÁRIOS'!$C$5:$C$500,$A15,'LANÇAMENTOS DIÁRIOS'!$O$5:$O$500,"&lt;=114799",'LANÇAMENTOS DIÁRIOS'!$P$5:$P$500,"&gt;=114700")&gt;0,"X","")</f>
      </c>
      <c r="AI15" s="56" t="str">
        <f>IF(COUNTIFS('LANÇAMENTOS DIÁRIOS'!$G$5:$G$500,"F",'LANÇAMENTOS DIÁRIOS'!$C$5:$C$500,$A15,'LANÇAMENTOS DIÁRIOS'!$O$5:$O$500,"&lt;=114899",'LANÇAMENTOS DIÁRIOS'!$P$5:$P$500,"&gt;=114800")&gt;0,"X","")</f>
      </c>
      <c r="AJ15" s="56" t="str">
        <f>IF(COUNTIFS('LANÇAMENTOS DIÁRIOS'!$G$5:$G$500,"F",'LANÇAMENTOS DIÁRIOS'!$C$5:$C$500,$A15,'LANÇAMENTOS DIÁRIOS'!$O$5:$O$500,"&lt;=114999",'LANÇAMENTOS DIÁRIOS'!$P$5:$P$500,"&gt;=114900")&gt;0,"X","")</f>
      </c>
      <c r="AK15" s="56" t="str">
        <f>IF(COUNTIFS('LANÇAMENTOS DIÁRIOS'!$G$5:$G$500,"F",'LANÇAMENTOS DIÁRIOS'!$C$5:$C$500,$A15,'LANÇAMENTOS DIÁRIOS'!$O$5:$O$500,"&lt;=115099",'LANÇAMENTOS DIÁRIOS'!$P$5:$P$500,"&gt;=115000")&gt;0,"X","")</f>
      </c>
      <c r="AL15" s="56" t="str">
        <f>IF(COUNTIFS('LANÇAMENTOS DIÁRIOS'!$G$5:$G$500,"F",'LANÇAMENTOS DIÁRIOS'!$C$5:$C$500,$A15,'LANÇAMENTOS DIÁRIOS'!$O$5:$O$500,"&lt;=115199",'LANÇAMENTOS DIÁRIOS'!$P$5:$P$500,"&gt;=115100")&gt;0,"X","")</f>
      </c>
      <c r="AM15" s="56" t="str">
        <f>IF(COUNTIFS('LANÇAMENTOS DIÁRIOS'!$G$5:$G$500,"F",'LANÇAMENTOS DIÁRIOS'!$C$5:$C$500,$A15,'LANÇAMENTOS DIÁRIOS'!$O$5:$O$500,"&lt;=115299",'LANÇAMENTOS DIÁRIOS'!$P$5:$P$500,"&gt;=115200")&gt;0,"X","")</f>
      </c>
      <c r="AN15" s="56" t="str">
        <f>IF(COUNTIFS('LANÇAMENTOS DIÁRIOS'!$G$5:$G$500,"F",'LANÇAMENTOS DIÁRIOS'!$C$5:$C$500,$A15,'LANÇAMENTOS DIÁRIOS'!$O$5:$O$500,"&lt;=115399",'LANÇAMENTOS DIÁRIOS'!$P$5:$P$500,"&gt;=115300")&gt;0,"X","")</f>
      </c>
      <c r="AO15" s="56" t="str">
        <f>IF(COUNTIFS('LANÇAMENTOS DIÁRIOS'!$G$5:$G$500,"F",'LANÇAMENTOS DIÁRIOS'!$C$5:$C$500,$A15,'LANÇAMENTOS DIÁRIOS'!$O$5:$O$500,"&lt;=115499",'LANÇAMENTOS DIÁRIOS'!$P$5:$P$500,"&gt;=115400")&gt;0,"X","")</f>
      </c>
      <c r="AP15" s="56" t="str">
        <f>IF(COUNTIFS('LANÇAMENTOS DIÁRIOS'!$G$5:$G$500,"F",'LANÇAMENTOS DIÁRIOS'!$C$5:$C$500,$A15,'LANÇAMENTOS DIÁRIOS'!$O$5:$O$500,"&lt;=115599",'LANÇAMENTOS DIÁRIOS'!$P$5:$P$500,"&gt;=115500")&gt;0,"X","")</f>
      </c>
      <c r="AQ15" s="56" t="str">
        <f>IF(COUNTIFS('LANÇAMENTOS DIÁRIOS'!$G$5:$G$500,"F",'LANÇAMENTOS DIÁRIOS'!$C$5:$C$500,$A15,'LANÇAMENTOS DIÁRIOS'!$O$5:$O$500,"&lt;=115699",'LANÇAMENTOS DIÁRIOS'!$P$5:$P$500,"&gt;=115600")&gt;0,"X","")</f>
      </c>
      <c r="AR15" s="56" t="str">
        <f>IF(COUNTIFS('LANÇAMENTOS DIÁRIOS'!$G$5:$G$500,"F",'LANÇAMENTOS DIÁRIOS'!$C$5:$C$500,$A15,'LANÇAMENTOS DIÁRIOS'!$O$5:$O$500,"&lt;=115799",'LANÇAMENTOS DIÁRIOS'!$P$5:$P$500,"&gt;=115700")&gt;0,"X","")</f>
      </c>
      <c r="AS15" s="56" t="str">
        <f>IF(COUNTIFS('LANÇAMENTOS DIÁRIOS'!$G$5:$G$500,"F",'LANÇAMENTOS DIÁRIOS'!$C$5:$C$500,$A15,'LANÇAMENTOS DIÁRIOS'!$O$5:$O$500,"&lt;=115899",'LANÇAMENTOS DIÁRIOS'!$P$5:$P$500,"&gt;=115800")&gt;0,"X","")</f>
      </c>
      <c r="AT15" s="56" t="str">
        <f>IF(COUNTIFS('LANÇAMENTOS DIÁRIOS'!$G$5:$G$500,"F",'LANÇAMENTOS DIÁRIOS'!$C$5:$C$500,$A15,'LANÇAMENTOS DIÁRIOS'!$O$5:$O$500,"&lt;=115999",'LANÇAMENTOS DIÁRIOS'!$P$5:$P$500,"&gt;=115900")&gt;0,"X","")</f>
      </c>
      <c r="AU15" s="56" t="str">
        <f>IF(COUNTIFS('LANÇAMENTOS DIÁRIOS'!$G$5:$G$500,"F",'LANÇAMENTOS DIÁRIOS'!$C$5:$C$500,$A15,'LANÇAMENTOS DIÁRIOS'!$O$5:$O$500,"&lt;=116099",'LANÇAMENTOS DIÁRIOS'!$P$5:$P$500,"&gt;=116000")&gt;0,"X","")</f>
      </c>
      <c r="AV15" s="56" t="str">
        <f>IF(COUNTIFS('LANÇAMENTOS DIÁRIOS'!$G$5:$G$500,"F",'LANÇAMENTOS DIÁRIOS'!$C$5:$C$500,$A15,'LANÇAMENTOS DIÁRIOS'!$O$5:$O$500,"&lt;=116199",'LANÇAMENTOS DIÁRIOS'!$P$5:$P$500,"&gt;=116100")&gt;0,"X","")</f>
      </c>
      <c r="AW15" s="56" t="str">
        <f>IF(COUNTIFS('LANÇAMENTOS DIÁRIOS'!$G$5:$G$500,"F",'LANÇAMENTOS DIÁRIOS'!$C$5:$C$500,$A15,'LANÇAMENTOS DIÁRIOS'!$O$5:$O$500,"&lt;=116299",'LANÇAMENTOS DIÁRIOS'!$P$5:$P$500,"&gt;=116200")&gt;0,"X","")</f>
      </c>
      <c r="AX15" s="56" t="str">
        <f>IF(COUNTIFS('LANÇAMENTOS DIÁRIOS'!$G$5:$G$500,"F",'LANÇAMENTOS DIÁRIOS'!$C$5:$C$500,$A15,'LANÇAMENTOS DIÁRIOS'!$O$5:$O$500,"&lt;=116399",'LANÇAMENTOS DIÁRIOS'!$P$5:$P$500,"&gt;=116300")&gt;0,"X","")</f>
      </c>
      <c r="AY15" s="56" t="str">
        <f>IF(COUNTIFS('LANÇAMENTOS DIÁRIOS'!$G$5:$G$500,"F",'LANÇAMENTOS DIÁRIOS'!$C$5:$C$500,$A15,'LANÇAMENTOS DIÁRIOS'!$O$5:$O$500,"&lt;=116499",'LANÇAMENTOS DIÁRIOS'!$P$5:$P$500,"&gt;=116400")&gt;0,"X","")</f>
      </c>
      <c r="AZ15" s="56" t="str">
        <f>IF(COUNTIFS('LANÇAMENTOS DIÁRIOS'!$G$5:$G$500,"F",'LANÇAMENTOS DIÁRIOS'!$C$5:$C$500,$A15,'LANÇAMENTOS DIÁRIOS'!$O$5:$O$500,"&lt;=116599",'LANÇAMENTOS DIÁRIOS'!$P$5:$P$500,"&gt;=116500")&gt;0,"X","")</f>
      </c>
      <c r="BA15" s="56" t="str">
        <f>IF(COUNTIFS('LANÇAMENTOS DIÁRIOS'!$G$5:$G$500,"F",'LANÇAMENTOS DIÁRIOS'!$C$5:$C$500,$A15,'LANÇAMENTOS DIÁRIOS'!$O$5:$O$500,"&lt;=116699",'LANÇAMENTOS DIÁRIOS'!$P$5:$P$500,"&gt;=116600")&gt;0,"X","")</f>
      </c>
      <c r="BB15" s="56" t="str">
        <f>IF(COUNTIFS('LANÇAMENTOS DIÁRIOS'!$G$5:$G$500,"F",'LANÇAMENTOS DIÁRIOS'!$C$5:$C$500,$A15,'LANÇAMENTOS DIÁRIOS'!$O$5:$O$500,"&lt;=116799",'LANÇAMENTOS DIÁRIOS'!$P$5:$P$500,"&gt;=116700")&gt;0,"X","")</f>
      </c>
      <c r="BC15" s="56" t="str">
        <f>IF(COUNTIFS('LANÇAMENTOS DIÁRIOS'!$G$5:$G$500,"F",'LANÇAMENTOS DIÁRIOS'!$C$5:$C$500,$A15,'LANÇAMENTOS DIÁRIOS'!$O$5:$O$500,"&lt;=116899",'LANÇAMENTOS DIÁRIOS'!$P$5:$P$500,"&gt;=116800")&gt;0,"X","")</f>
      </c>
      <c r="BD15" s="56" t="str">
        <f>IF(COUNTIFS('LANÇAMENTOS DIÁRIOS'!$G$5:$G$500,"F",'LANÇAMENTOS DIÁRIOS'!$C$5:$C$500,$A15,'LANÇAMENTOS DIÁRIOS'!$O$5:$O$500,"&lt;=116999",'LANÇAMENTOS DIÁRIOS'!$P$5:$P$500,"&gt;=116900")&gt;0,"X","")</f>
      </c>
      <c r="BE15" s="56" t="str">
        <f>IF(COUNTIFS('LANÇAMENTOS DIÁRIOS'!$G$5:$G$500,"F",'LANÇAMENTOS DIÁRIOS'!$C$5:$C$500,$A15,'LANÇAMENTOS DIÁRIOS'!$O$5:$O$500,"&lt;=117099",'LANÇAMENTOS DIÁRIOS'!$P$5:$P$500,"&gt;=117000")&gt;0,"X","")</f>
      </c>
      <c r="BF15" s="56" t="str">
        <f>IF(COUNTIFS('LANÇAMENTOS DIÁRIOS'!$G$5:$G$500,"F",'LANÇAMENTOS DIÁRIOS'!$C$5:$C$500,$A15,'LANÇAMENTOS DIÁRIOS'!$O$5:$O$500,"&lt;=117199",'LANÇAMENTOS DIÁRIOS'!$P$5:$P$500,"&gt;=117100")&gt;0,"X","")</f>
      </c>
      <c r="BG15" s="56" t="str">
        <f>IF(COUNTIFS('LANÇAMENTOS DIÁRIOS'!$G$5:$G$500,"F",'LANÇAMENTOS DIÁRIOS'!$C$5:$C$500,$A15,'LANÇAMENTOS DIÁRIOS'!$O$5:$O$500,"&lt;=117219",'LANÇAMENTOS DIÁRIOS'!$P$5:$P$500,"&gt;=117200")&gt;0,"X","")</f>
      </c>
      <c r="BH15" s="56" t="str">
        <f>IF(COUNTIFS('LANÇAMENTOS DIÁRIOS'!$G$5:$G$500,"F",'LANÇAMENTOS DIÁRIOS'!$C$5:$C$500,$A15,'LANÇAMENTOS DIÁRIOS'!$O$5:$O$500,"&lt;=117220",'LANÇAMENTOS DIÁRIOS'!$P$5:$P$500,"&gt;=117220")&gt;0,"X","")</f>
      </c>
    </row>
    <row r="16" ht="19" customHeight="1">
      <c r="A16" s="68" t="str">
        <v>Desvio de tráfego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</row>
    <row r="17">
      <c r="A17" s="51" t="str">
        <v>Desvio de tráfego</v>
      </c>
      <c r="B17" s="56" t="str">
        <f>IF(COUNTIFS('LANÇAMENTOS DIÁRIOS'!$G$5:$G$500,"F",'LANÇAMENTOS DIÁRIOS'!$C$5:$C$500,$A17,'LANÇAMENTOS DIÁRIOS'!$O$5:$O$500,"&lt;=111599",'LANÇAMENTOS DIÁRIOS'!$P$5:$P$500,"&gt;=111500")&gt;0,"X","")</f>
      </c>
      <c r="C17" s="56" t="str">
        <f>IF(COUNTIFS('LANÇAMENTOS DIÁRIOS'!$G$5:$G$500,"F",'LANÇAMENTOS DIÁRIOS'!$C$5:$C$500,$A17,'LANÇAMENTOS DIÁRIOS'!$O$5:$O$500,"&lt;=111699",'LANÇAMENTOS DIÁRIOS'!$P$5:$P$500,"&gt;=111600")&gt;0,"X","")</f>
      </c>
      <c r="D17" s="56" t="str">
        <f>IF(COUNTIFS('LANÇAMENTOS DIÁRIOS'!$G$5:$G$500,"F",'LANÇAMENTOS DIÁRIOS'!$C$5:$C$500,$A17,'LANÇAMENTOS DIÁRIOS'!$O$5:$O$500,"&lt;=111799",'LANÇAMENTOS DIÁRIOS'!$P$5:$P$500,"&gt;=111700")&gt;0,"X","")</f>
      </c>
      <c r="E17" s="56" t="str">
        <f>IF(COUNTIFS('LANÇAMENTOS DIÁRIOS'!$G$5:$G$500,"F",'LANÇAMENTOS DIÁRIOS'!$C$5:$C$500,$A17,'LANÇAMENTOS DIÁRIOS'!$O$5:$O$500,"&lt;=111899",'LANÇAMENTOS DIÁRIOS'!$P$5:$P$500,"&gt;=111800")&gt;0,"X","")</f>
      </c>
      <c r="F17" s="56" t="str">
        <f>IF(COUNTIFS('LANÇAMENTOS DIÁRIOS'!$G$5:$G$500,"F",'LANÇAMENTOS DIÁRIOS'!$C$5:$C$500,$A17,'LANÇAMENTOS DIÁRIOS'!$O$5:$O$500,"&lt;=111999",'LANÇAMENTOS DIÁRIOS'!$P$5:$P$500,"&gt;=111900")&gt;0,"X","")</f>
      </c>
      <c r="G17" s="56" t="str">
        <f>IF(COUNTIFS('LANÇAMENTOS DIÁRIOS'!$G$5:$G$500,"F",'LANÇAMENTOS DIÁRIOS'!$C$5:$C$500,$A17,'LANÇAMENTOS DIÁRIOS'!$O$5:$O$500,"&lt;=112099",'LANÇAMENTOS DIÁRIOS'!$P$5:$P$500,"&gt;=112000")&gt;0,"X","")</f>
      </c>
      <c r="H17" s="56" t="str">
        <f>IF(COUNTIFS('LANÇAMENTOS DIÁRIOS'!$G$5:$G$500,"F",'LANÇAMENTOS DIÁRIOS'!$C$5:$C$500,$A17,'LANÇAMENTOS DIÁRIOS'!$O$5:$O$500,"&lt;=112199",'LANÇAMENTOS DIÁRIOS'!$P$5:$P$500,"&gt;=112100")&gt;0,"X","")</f>
      </c>
      <c r="I17" s="56" t="str">
        <f>IF(COUNTIFS('LANÇAMENTOS DIÁRIOS'!$G$5:$G$500,"F",'LANÇAMENTOS DIÁRIOS'!$C$5:$C$500,$A17,'LANÇAMENTOS DIÁRIOS'!$O$5:$O$500,"&lt;=112299",'LANÇAMENTOS DIÁRIOS'!$P$5:$P$500,"&gt;=112200")&gt;0,"X","")</f>
      </c>
      <c r="J17" s="56" t="str">
        <f>IF(COUNTIFS('LANÇAMENTOS DIÁRIOS'!$G$5:$G$500,"F",'LANÇAMENTOS DIÁRIOS'!$C$5:$C$500,$A17,'LANÇAMENTOS DIÁRIOS'!$O$5:$O$500,"&lt;=112399",'LANÇAMENTOS DIÁRIOS'!$P$5:$P$500,"&gt;=112300")&gt;0,"X","")</f>
      </c>
      <c r="K17" s="56" t="str">
        <f>IF(COUNTIFS('LANÇAMENTOS DIÁRIOS'!$G$5:$G$500,"F",'LANÇAMENTOS DIÁRIOS'!$C$5:$C$500,$A17,'LANÇAMENTOS DIÁRIOS'!$O$5:$O$500,"&lt;=112499",'LANÇAMENTOS DIÁRIOS'!$P$5:$P$500,"&gt;=112400")&gt;0,"X","")</f>
      </c>
      <c r="L17" s="56" t="str">
        <f>IF(COUNTIFS('LANÇAMENTOS DIÁRIOS'!$G$5:$G$500,"F",'LANÇAMENTOS DIÁRIOS'!$C$5:$C$500,$A17,'LANÇAMENTOS DIÁRIOS'!$O$5:$O$500,"&lt;=112599",'LANÇAMENTOS DIÁRIOS'!$P$5:$P$500,"&gt;=112500")&gt;0,"X","")</f>
      </c>
      <c r="M17" s="56" t="str">
        <f>IF(COUNTIFS('LANÇAMENTOS DIÁRIOS'!$G$5:$G$500,"F",'LANÇAMENTOS DIÁRIOS'!$C$5:$C$500,$A17,'LANÇAMENTOS DIÁRIOS'!$O$5:$O$500,"&lt;=112699",'LANÇAMENTOS DIÁRIOS'!$P$5:$P$500,"&gt;=112600")&gt;0,"X","")</f>
      </c>
      <c r="N17" s="56" t="str">
        <f>IF(COUNTIFS('LANÇAMENTOS DIÁRIOS'!$G$5:$G$500,"F",'LANÇAMENTOS DIÁRIOS'!$C$5:$C$500,$A17,'LANÇAMENTOS DIÁRIOS'!$O$5:$O$500,"&lt;=112799",'LANÇAMENTOS DIÁRIOS'!$P$5:$P$500,"&gt;=112700")&gt;0,"X","")</f>
      </c>
      <c r="O17" s="56" t="str">
        <f>IF(COUNTIFS('LANÇAMENTOS DIÁRIOS'!$G$5:$G$500,"F",'LANÇAMENTOS DIÁRIOS'!$C$5:$C$500,$A17,'LANÇAMENTOS DIÁRIOS'!$O$5:$O$500,"&lt;=112899",'LANÇAMENTOS DIÁRIOS'!$P$5:$P$500,"&gt;=112800")&gt;0,"X","")</f>
      </c>
      <c r="P17" s="56" t="str">
        <f>IF(COUNTIFS('LANÇAMENTOS DIÁRIOS'!$G$5:$G$500,"F",'LANÇAMENTOS DIÁRIOS'!$C$5:$C$500,$A17,'LANÇAMENTOS DIÁRIOS'!$O$5:$O$500,"&lt;=112999",'LANÇAMENTOS DIÁRIOS'!$P$5:$P$500,"&gt;=112900")&gt;0,"X","")</f>
      </c>
      <c r="Q17" s="56" t="str">
        <f>IF(COUNTIFS('LANÇAMENTOS DIÁRIOS'!$G$5:$G$500,"F",'LANÇAMENTOS DIÁRIOS'!$C$5:$C$500,$A17,'LANÇAMENTOS DIÁRIOS'!$O$5:$O$500,"&lt;=113099",'LANÇAMENTOS DIÁRIOS'!$P$5:$P$500,"&gt;=113000")&gt;0,"X","")</f>
      </c>
      <c r="R17" s="56" t="str">
        <f>IF(COUNTIFS('LANÇAMENTOS DIÁRIOS'!$G$5:$G$500,"F",'LANÇAMENTOS DIÁRIOS'!$C$5:$C$500,$A17,'LANÇAMENTOS DIÁRIOS'!$O$5:$O$500,"&lt;=113199",'LANÇAMENTOS DIÁRIOS'!$P$5:$P$500,"&gt;=113100")&gt;0,"X","")</f>
      </c>
      <c r="S17" s="56" t="str">
        <f>IF(COUNTIFS('LANÇAMENTOS DIÁRIOS'!$G$5:$G$500,"F",'LANÇAMENTOS DIÁRIOS'!$C$5:$C$500,$A17,'LANÇAMENTOS DIÁRIOS'!$O$5:$O$500,"&lt;=113299",'LANÇAMENTOS DIÁRIOS'!$P$5:$P$500,"&gt;=113200")&gt;0,"X","")</f>
      </c>
      <c r="T17" s="56" t="str">
        <f>IF(COUNTIFS('LANÇAMENTOS DIÁRIOS'!$G$5:$G$500,"F",'LANÇAMENTOS DIÁRIOS'!$C$5:$C$500,$A17,'LANÇAMENTOS DIÁRIOS'!$O$5:$O$500,"&lt;=113399",'LANÇAMENTOS DIÁRIOS'!$P$5:$P$500,"&gt;=113300")&gt;0,"X","")</f>
      </c>
      <c r="U17" s="56" t="str">
        <f>IF(COUNTIFS('LANÇAMENTOS DIÁRIOS'!$G$5:$G$500,"F",'LANÇAMENTOS DIÁRIOS'!$C$5:$C$500,$A17,'LANÇAMENTOS DIÁRIOS'!$O$5:$O$500,"&lt;=113499",'LANÇAMENTOS DIÁRIOS'!$P$5:$P$500,"&gt;=113400")&gt;0,"X","")</f>
      </c>
      <c r="V17" s="56" t="str">
        <f>IF(COUNTIFS('LANÇAMENTOS DIÁRIOS'!$G$5:$G$500,"F",'LANÇAMENTOS DIÁRIOS'!$C$5:$C$500,$A17,'LANÇAMENTOS DIÁRIOS'!$O$5:$O$500,"&lt;=113599",'LANÇAMENTOS DIÁRIOS'!$P$5:$P$500,"&gt;=113500")&gt;0,"X","")</f>
      </c>
      <c r="W17" s="56" t="str">
        <f>IF(COUNTIFS('LANÇAMENTOS DIÁRIOS'!$G$5:$G$500,"F",'LANÇAMENTOS DIÁRIOS'!$C$5:$C$500,$A17,'LANÇAMENTOS DIÁRIOS'!$O$5:$O$500,"&lt;=113699",'LANÇAMENTOS DIÁRIOS'!$P$5:$P$500,"&gt;=113600")&gt;0,"X","")</f>
      </c>
      <c r="X17" s="56" t="str">
        <f>IF(COUNTIFS('LANÇAMENTOS DIÁRIOS'!$G$5:$G$500,"F",'LANÇAMENTOS DIÁRIOS'!$C$5:$C$500,$A17,'LANÇAMENTOS DIÁRIOS'!$O$5:$O$500,"&lt;=113799",'LANÇAMENTOS DIÁRIOS'!$P$5:$P$500,"&gt;=113700")&gt;0,"X","")</f>
      </c>
      <c r="Y17" s="56" t="str">
        <f>IF(COUNTIFS('LANÇAMENTOS DIÁRIOS'!$G$5:$G$500,"F",'LANÇAMENTOS DIÁRIOS'!$C$5:$C$500,$A17,'LANÇAMENTOS DIÁRIOS'!$O$5:$O$500,"&lt;=113899",'LANÇAMENTOS DIÁRIOS'!$P$5:$P$500,"&gt;=113800")&gt;0,"X","")</f>
      </c>
      <c r="Z17" s="56" t="str">
        <f>IF(COUNTIFS('LANÇAMENTOS DIÁRIOS'!$G$5:$G$500,"F",'LANÇAMENTOS DIÁRIOS'!$C$5:$C$500,$A17,'LANÇAMENTOS DIÁRIOS'!$O$5:$O$500,"&lt;=113999",'LANÇAMENTOS DIÁRIOS'!$P$5:$P$500,"&gt;=113900")&gt;0,"X","")</f>
      </c>
      <c r="AA17" s="56" t="str">
        <f>IF(COUNTIFS('LANÇAMENTOS DIÁRIOS'!$G$5:$G$500,"F",'LANÇAMENTOS DIÁRIOS'!$C$5:$C$500,$A17,'LANÇAMENTOS DIÁRIOS'!$O$5:$O$500,"&lt;=114099",'LANÇAMENTOS DIÁRIOS'!$P$5:$P$500,"&gt;=114000")&gt;0,"X","")</f>
      </c>
      <c r="AB17" s="56" t="str">
        <f>IF(COUNTIFS('LANÇAMENTOS DIÁRIOS'!$G$5:$G$500,"F",'LANÇAMENTOS DIÁRIOS'!$C$5:$C$500,$A17,'LANÇAMENTOS DIÁRIOS'!$O$5:$O$500,"&lt;=114199",'LANÇAMENTOS DIÁRIOS'!$P$5:$P$500,"&gt;=114100")&gt;0,"X","")</f>
      </c>
      <c r="AC17" s="56" t="str">
        <f>IF(COUNTIFS('LANÇAMENTOS DIÁRIOS'!$G$5:$G$500,"F",'LANÇAMENTOS DIÁRIOS'!$C$5:$C$500,$A17,'LANÇAMENTOS DIÁRIOS'!$O$5:$O$500,"&lt;=114299",'LANÇAMENTOS DIÁRIOS'!$P$5:$P$500,"&gt;=114200")&gt;0,"X","")</f>
      </c>
      <c r="AD17" s="56" t="str">
        <f>IF(COUNTIFS('LANÇAMENTOS DIÁRIOS'!$G$5:$G$500,"F",'LANÇAMENTOS DIÁRIOS'!$C$5:$C$500,$A17,'LANÇAMENTOS DIÁRIOS'!$O$5:$O$500,"&lt;=114399",'LANÇAMENTOS DIÁRIOS'!$P$5:$P$500,"&gt;=114300")&gt;0,"X","")</f>
      </c>
      <c r="AE17" s="56" t="str">
        <f>IF(COUNTIFS('LANÇAMENTOS DIÁRIOS'!$G$5:$G$500,"F",'LANÇAMENTOS DIÁRIOS'!$C$5:$C$500,$A17,'LANÇAMENTOS DIÁRIOS'!$O$5:$O$500,"&lt;=114499",'LANÇAMENTOS DIÁRIOS'!$P$5:$P$500,"&gt;=114400")&gt;0,"X","")</f>
      </c>
      <c r="AF17" s="56" t="str">
        <f>IF(COUNTIFS('LANÇAMENTOS DIÁRIOS'!$G$5:$G$500,"F",'LANÇAMENTOS DIÁRIOS'!$C$5:$C$500,$A17,'LANÇAMENTOS DIÁRIOS'!$O$5:$O$500,"&lt;=114599",'LANÇAMENTOS DIÁRIOS'!$P$5:$P$500,"&gt;=114500")&gt;0,"X","")</f>
      </c>
      <c r="AG17" s="56" t="str">
        <f>IF(COUNTIFS('LANÇAMENTOS DIÁRIOS'!$G$5:$G$500,"F",'LANÇAMENTOS DIÁRIOS'!$C$5:$C$500,$A17,'LANÇAMENTOS DIÁRIOS'!$O$5:$O$500,"&lt;=114699",'LANÇAMENTOS DIÁRIOS'!$P$5:$P$500,"&gt;=114600")&gt;0,"X","")</f>
      </c>
      <c r="AH17" s="56" t="str">
        <f>IF(COUNTIFS('LANÇAMENTOS DIÁRIOS'!$G$5:$G$500,"F",'LANÇAMENTOS DIÁRIOS'!$C$5:$C$500,$A17,'LANÇAMENTOS DIÁRIOS'!$O$5:$O$500,"&lt;=114799",'LANÇAMENTOS DIÁRIOS'!$P$5:$P$500,"&gt;=114700")&gt;0,"X","")</f>
      </c>
      <c r="AI17" s="56" t="str">
        <f>IF(COUNTIFS('LANÇAMENTOS DIÁRIOS'!$G$5:$G$500,"F",'LANÇAMENTOS DIÁRIOS'!$C$5:$C$500,$A17,'LANÇAMENTOS DIÁRIOS'!$O$5:$O$500,"&lt;=114899",'LANÇAMENTOS DIÁRIOS'!$P$5:$P$500,"&gt;=114800")&gt;0,"X","")</f>
      </c>
      <c r="AJ17" s="56" t="str">
        <f>IF(COUNTIFS('LANÇAMENTOS DIÁRIOS'!$G$5:$G$500,"F",'LANÇAMENTOS DIÁRIOS'!$C$5:$C$500,$A17,'LANÇAMENTOS DIÁRIOS'!$O$5:$O$500,"&lt;=114999",'LANÇAMENTOS DIÁRIOS'!$P$5:$P$500,"&gt;=114900")&gt;0,"X","")</f>
      </c>
      <c r="AK17" s="56" t="str">
        <f>IF(COUNTIFS('LANÇAMENTOS DIÁRIOS'!$G$5:$G$500,"F",'LANÇAMENTOS DIÁRIOS'!$C$5:$C$500,$A17,'LANÇAMENTOS DIÁRIOS'!$O$5:$O$500,"&lt;=115099",'LANÇAMENTOS DIÁRIOS'!$P$5:$P$500,"&gt;=115000")&gt;0,"X","")</f>
      </c>
      <c r="AL17" s="56" t="str">
        <f>IF(COUNTIFS('LANÇAMENTOS DIÁRIOS'!$G$5:$G$500,"F",'LANÇAMENTOS DIÁRIOS'!$C$5:$C$500,$A17,'LANÇAMENTOS DIÁRIOS'!$O$5:$O$500,"&lt;=115199",'LANÇAMENTOS DIÁRIOS'!$P$5:$P$500,"&gt;=115100")&gt;0,"X","")</f>
      </c>
      <c r="AM17" s="56" t="str">
        <f>IF(COUNTIFS('LANÇAMENTOS DIÁRIOS'!$G$5:$G$500,"F",'LANÇAMENTOS DIÁRIOS'!$C$5:$C$500,$A17,'LANÇAMENTOS DIÁRIOS'!$O$5:$O$500,"&lt;=115299",'LANÇAMENTOS DIÁRIOS'!$P$5:$P$500,"&gt;=115200")&gt;0,"X","")</f>
      </c>
      <c r="AN17" s="56" t="str">
        <f>IF(COUNTIFS('LANÇAMENTOS DIÁRIOS'!$G$5:$G$500,"F",'LANÇAMENTOS DIÁRIOS'!$C$5:$C$500,$A17,'LANÇAMENTOS DIÁRIOS'!$O$5:$O$500,"&lt;=115399",'LANÇAMENTOS DIÁRIOS'!$P$5:$P$500,"&gt;=115300")&gt;0,"X","")</f>
      </c>
      <c r="AO17" s="56" t="str">
        <f>IF(COUNTIFS('LANÇAMENTOS DIÁRIOS'!$G$5:$G$500,"F",'LANÇAMENTOS DIÁRIOS'!$C$5:$C$500,$A17,'LANÇAMENTOS DIÁRIOS'!$O$5:$O$500,"&lt;=115499",'LANÇAMENTOS DIÁRIOS'!$P$5:$P$500,"&gt;=115400")&gt;0,"X","")</f>
      </c>
      <c r="AP17" s="56" t="str">
        <f>IF(COUNTIFS('LANÇAMENTOS DIÁRIOS'!$G$5:$G$500,"F",'LANÇAMENTOS DIÁRIOS'!$C$5:$C$500,$A17,'LANÇAMENTOS DIÁRIOS'!$O$5:$O$500,"&lt;=115599",'LANÇAMENTOS DIÁRIOS'!$P$5:$P$500,"&gt;=115500")&gt;0,"X","")</f>
      </c>
      <c r="AQ17" s="56" t="str">
        <f>IF(COUNTIFS('LANÇAMENTOS DIÁRIOS'!$G$5:$G$500,"F",'LANÇAMENTOS DIÁRIOS'!$C$5:$C$500,$A17,'LANÇAMENTOS DIÁRIOS'!$O$5:$O$500,"&lt;=115699",'LANÇAMENTOS DIÁRIOS'!$P$5:$P$500,"&gt;=115600")&gt;0,"X","")</f>
      </c>
      <c r="AR17" s="56" t="str">
        <f>IF(COUNTIFS('LANÇAMENTOS DIÁRIOS'!$G$5:$G$500,"F",'LANÇAMENTOS DIÁRIOS'!$C$5:$C$500,$A17,'LANÇAMENTOS DIÁRIOS'!$O$5:$O$500,"&lt;=115799",'LANÇAMENTOS DIÁRIOS'!$P$5:$P$500,"&gt;=115700")&gt;0,"X","")</f>
      </c>
      <c r="AS17" s="56" t="str">
        <f>IF(COUNTIFS('LANÇAMENTOS DIÁRIOS'!$G$5:$G$500,"F",'LANÇAMENTOS DIÁRIOS'!$C$5:$C$500,$A17,'LANÇAMENTOS DIÁRIOS'!$O$5:$O$500,"&lt;=115899",'LANÇAMENTOS DIÁRIOS'!$P$5:$P$500,"&gt;=115800")&gt;0,"X","")</f>
      </c>
      <c r="AT17" s="56" t="str">
        <f>IF(COUNTIFS('LANÇAMENTOS DIÁRIOS'!$G$5:$G$500,"F",'LANÇAMENTOS DIÁRIOS'!$C$5:$C$500,$A17,'LANÇAMENTOS DIÁRIOS'!$O$5:$O$500,"&lt;=115999",'LANÇAMENTOS DIÁRIOS'!$P$5:$P$500,"&gt;=115900")&gt;0,"X","")</f>
      </c>
      <c r="AU17" s="56" t="str">
        <f>IF(COUNTIFS('LANÇAMENTOS DIÁRIOS'!$G$5:$G$500,"F",'LANÇAMENTOS DIÁRIOS'!$C$5:$C$500,$A17,'LANÇAMENTOS DIÁRIOS'!$O$5:$O$500,"&lt;=116099",'LANÇAMENTOS DIÁRIOS'!$P$5:$P$500,"&gt;=116000")&gt;0,"X","")</f>
      </c>
      <c r="AV17" s="56" t="str">
        <f>IF(COUNTIFS('LANÇAMENTOS DIÁRIOS'!$G$5:$G$500,"F",'LANÇAMENTOS DIÁRIOS'!$C$5:$C$500,$A17,'LANÇAMENTOS DIÁRIOS'!$O$5:$O$500,"&lt;=116199",'LANÇAMENTOS DIÁRIOS'!$P$5:$P$500,"&gt;=116100")&gt;0,"X","")</f>
      </c>
      <c r="AW17" s="56" t="str">
        <f>IF(COUNTIFS('LANÇAMENTOS DIÁRIOS'!$G$5:$G$500,"F",'LANÇAMENTOS DIÁRIOS'!$C$5:$C$500,$A17,'LANÇAMENTOS DIÁRIOS'!$O$5:$O$500,"&lt;=116299",'LANÇAMENTOS DIÁRIOS'!$P$5:$P$500,"&gt;=116200")&gt;0,"X","")</f>
      </c>
      <c r="AX17" s="56" t="str">
        <f>IF(COUNTIFS('LANÇAMENTOS DIÁRIOS'!$G$5:$G$500,"F",'LANÇAMENTOS DIÁRIOS'!$C$5:$C$500,$A17,'LANÇAMENTOS DIÁRIOS'!$O$5:$O$500,"&lt;=116399",'LANÇAMENTOS DIÁRIOS'!$P$5:$P$500,"&gt;=116300")&gt;0,"X","")</f>
      </c>
      <c r="AY17" s="56" t="str">
        <f>IF(COUNTIFS('LANÇAMENTOS DIÁRIOS'!$G$5:$G$500,"F",'LANÇAMENTOS DIÁRIOS'!$C$5:$C$500,$A17,'LANÇAMENTOS DIÁRIOS'!$O$5:$O$500,"&lt;=116499",'LANÇAMENTOS DIÁRIOS'!$P$5:$P$500,"&gt;=116400")&gt;0,"X","")</f>
      </c>
      <c r="AZ17" s="56" t="str">
        <f>IF(COUNTIFS('LANÇAMENTOS DIÁRIOS'!$G$5:$G$500,"F",'LANÇAMENTOS DIÁRIOS'!$C$5:$C$500,$A17,'LANÇAMENTOS DIÁRIOS'!$O$5:$O$500,"&lt;=116599",'LANÇAMENTOS DIÁRIOS'!$P$5:$P$500,"&gt;=116500")&gt;0,"X","")</f>
      </c>
      <c r="BA17" s="56" t="str">
        <f>IF(COUNTIFS('LANÇAMENTOS DIÁRIOS'!$G$5:$G$500,"F",'LANÇAMENTOS DIÁRIOS'!$C$5:$C$500,$A17,'LANÇAMENTOS DIÁRIOS'!$O$5:$O$500,"&lt;=116699",'LANÇAMENTOS DIÁRIOS'!$P$5:$P$500,"&gt;=116600")&gt;0,"X","")</f>
      </c>
      <c r="BB17" s="56" t="str">
        <f>IF(COUNTIFS('LANÇAMENTOS DIÁRIOS'!$G$5:$G$500,"F",'LANÇAMENTOS DIÁRIOS'!$C$5:$C$500,$A17,'LANÇAMENTOS DIÁRIOS'!$O$5:$O$500,"&lt;=116799",'LANÇAMENTOS DIÁRIOS'!$P$5:$P$500,"&gt;=116700")&gt;0,"X","")</f>
      </c>
      <c r="BC17" s="56" t="str">
        <f>IF(COUNTIFS('LANÇAMENTOS DIÁRIOS'!$G$5:$G$500,"F",'LANÇAMENTOS DIÁRIOS'!$C$5:$C$500,$A17,'LANÇAMENTOS DIÁRIOS'!$O$5:$O$500,"&lt;=116899",'LANÇAMENTOS DIÁRIOS'!$P$5:$P$500,"&gt;=116800")&gt;0,"X","")</f>
      </c>
      <c r="BD17" s="56" t="str">
        <f>IF(COUNTIFS('LANÇAMENTOS DIÁRIOS'!$G$5:$G$500,"F",'LANÇAMENTOS DIÁRIOS'!$C$5:$C$500,$A17,'LANÇAMENTOS DIÁRIOS'!$O$5:$O$500,"&lt;=116999",'LANÇAMENTOS DIÁRIOS'!$P$5:$P$500,"&gt;=116900")&gt;0,"X","")</f>
      </c>
      <c r="BE17" s="56" t="str">
        <f>IF(COUNTIFS('LANÇAMENTOS DIÁRIOS'!$G$5:$G$500,"F",'LANÇAMENTOS DIÁRIOS'!$C$5:$C$500,$A17,'LANÇAMENTOS DIÁRIOS'!$O$5:$O$500,"&lt;=117099",'LANÇAMENTOS DIÁRIOS'!$P$5:$P$500,"&gt;=117000")&gt;0,"X","")</f>
      </c>
      <c r="BF17" s="56" t="str">
        <f>IF(COUNTIFS('LANÇAMENTOS DIÁRIOS'!$G$5:$G$500,"F",'LANÇAMENTOS DIÁRIOS'!$C$5:$C$500,$A17,'LANÇAMENTOS DIÁRIOS'!$O$5:$O$500,"&lt;=117199",'LANÇAMENTOS DIÁRIOS'!$P$5:$P$500,"&gt;=117100")&gt;0,"X","")</f>
      </c>
      <c r="BG17" s="56" t="str">
        <f>IF(COUNTIFS('LANÇAMENTOS DIÁRIOS'!$G$5:$G$500,"F",'LANÇAMENTOS DIÁRIOS'!$C$5:$C$500,$A17,'LANÇAMENTOS DIÁRIOS'!$O$5:$O$500,"&lt;=117219",'LANÇAMENTOS DIÁRIOS'!$P$5:$P$500,"&gt;=117200")&gt;0,"X","")</f>
      </c>
      <c r="BH17" s="56" t="str">
        <f>IF(COUNTIFS('LANÇAMENTOS DIÁRIOS'!$G$5:$G$500,"F",'LANÇAMENTOS DIÁRIOS'!$C$5:$C$500,$A17,'LANÇAMENTOS DIÁRIOS'!$O$5:$O$500,"&lt;=117220",'LANÇAMENTOS DIÁRIOS'!$P$5:$P$500,"&gt;=117220")&gt;0,"X","")</f>
      </c>
    </row>
    <row r="18" ht="19" customHeight="1">
      <c r="A18" s="68" t="str">
        <v>Acondicionamento da faixa de domínio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</row>
    <row r="19">
      <c r="A19" s="51" t="str">
        <v>Remanejamento de placa de sinalização instalada no solo, suporte de madeira</v>
      </c>
      <c r="B19" s="56" t="str">
        <f>IF(COUNTIFS('LANÇAMENTOS DIÁRIOS'!$G$5:$G$500,"F",'LANÇAMENTOS DIÁRIOS'!$C$5:$C$500,$A19,'LANÇAMENTOS DIÁRIOS'!$O$5:$O$500,"&lt;=111599",'LANÇAMENTOS DIÁRIOS'!$P$5:$P$500,"&gt;=111500")&gt;0,"X","")</f>
      </c>
      <c r="C19" s="56" t="str">
        <f>IF(COUNTIFS('LANÇAMENTOS DIÁRIOS'!$G$5:$G$500,"F",'LANÇAMENTOS DIÁRIOS'!$C$5:$C$500,$A19,'LANÇAMENTOS DIÁRIOS'!$O$5:$O$500,"&lt;=111699",'LANÇAMENTOS DIÁRIOS'!$P$5:$P$500,"&gt;=111600")&gt;0,"X","")</f>
      </c>
      <c r="D19" s="56" t="str">
        <f>IF(COUNTIFS('LANÇAMENTOS DIÁRIOS'!$G$5:$G$500,"F",'LANÇAMENTOS DIÁRIOS'!$C$5:$C$500,$A19,'LANÇAMENTOS DIÁRIOS'!$O$5:$O$500,"&lt;=111799",'LANÇAMENTOS DIÁRIOS'!$P$5:$P$500,"&gt;=111700")&gt;0,"X","")</f>
      </c>
      <c r="E19" s="56" t="str">
        <f>IF(COUNTIFS('LANÇAMENTOS DIÁRIOS'!$G$5:$G$500,"F",'LANÇAMENTOS DIÁRIOS'!$C$5:$C$500,$A19,'LANÇAMENTOS DIÁRIOS'!$O$5:$O$500,"&lt;=111899",'LANÇAMENTOS DIÁRIOS'!$P$5:$P$500,"&gt;=111800")&gt;0,"X","")</f>
      </c>
      <c r="F19" s="56" t="str">
        <f>IF(COUNTIFS('LANÇAMENTOS DIÁRIOS'!$G$5:$G$500,"F",'LANÇAMENTOS DIÁRIOS'!$C$5:$C$500,$A19,'LANÇAMENTOS DIÁRIOS'!$O$5:$O$500,"&lt;=111999",'LANÇAMENTOS DIÁRIOS'!$P$5:$P$500,"&gt;=111900")&gt;0,"X","")</f>
      </c>
      <c r="G19" s="56" t="str">
        <f>IF(COUNTIFS('LANÇAMENTOS DIÁRIOS'!$G$5:$G$500,"F",'LANÇAMENTOS DIÁRIOS'!$C$5:$C$500,$A19,'LANÇAMENTOS DIÁRIOS'!$O$5:$O$500,"&lt;=112099",'LANÇAMENTOS DIÁRIOS'!$P$5:$P$500,"&gt;=112000")&gt;0,"X","")</f>
      </c>
      <c r="H19" s="56" t="str">
        <f>IF(COUNTIFS('LANÇAMENTOS DIÁRIOS'!$G$5:$G$500,"F",'LANÇAMENTOS DIÁRIOS'!$C$5:$C$500,$A19,'LANÇAMENTOS DIÁRIOS'!$O$5:$O$500,"&lt;=112199",'LANÇAMENTOS DIÁRIOS'!$P$5:$P$500,"&gt;=112100")&gt;0,"X","")</f>
      </c>
      <c r="I19" s="56" t="str">
        <f>IF(COUNTIFS('LANÇAMENTOS DIÁRIOS'!$G$5:$G$500,"F",'LANÇAMENTOS DIÁRIOS'!$C$5:$C$500,$A19,'LANÇAMENTOS DIÁRIOS'!$O$5:$O$500,"&lt;=112299",'LANÇAMENTOS DIÁRIOS'!$P$5:$P$500,"&gt;=112200")&gt;0,"X","")</f>
      </c>
      <c r="J19" s="56" t="str">
        <f>IF(COUNTIFS('LANÇAMENTOS DIÁRIOS'!$G$5:$G$500,"F",'LANÇAMENTOS DIÁRIOS'!$C$5:$C$500,$A19,'LANÇAMENTOS DIÁRIOS'!$O$5:$O$500,"&lt;=112399",'LANÇAMENTOS DIÁRIOS'!$P$5:$P$500,"&gt;=112300")&gt;0,"X","")</f>
      </c>
      <c r="K19" s="56" t="str">
        <f>IF(COUNTIFS('LANÇAMENTOS DIÁRIOS'!$G$5:$G$500,"F",'LANÇAMENTOS DIÁRIOS'!$C$5:$C$500,$A19,'LANÇAMENTOS DIÁRIOS'!$O$5:$O$500,"&lt;=112499",'LANÇAMENTOS DIÁRIOS'!$P$5:$P$500,"&gt;=112400")&gt;0,"X","")</f>
      </c>
      <c r="L19" s="56" t="str">
        <f>IF(COUNTIFS('LANÇAMENTOS DIÁRIOS'!$G$5:$G$500,"F",'LANÇAMENTOS DIÁRIOS'!$C$5:$C$500,$A19,'LANÇAMENTOS DIÁRIOS'!$O$5:$O$500,"&lt;=112599",'LANÇAMENTOS DIÁRIOS'!$P$5:$P$500,"&gt;=112500")&gt;0,"X","")</f>
      </c>
      <c r="M19" s="56" t="str">
        <f>IF(COUNTIFS('LANÇAMENTOS DIÁRIOS'!$G$5:$G$500,"F",'LANÇAMENTOS DIÁRIOS'!$C$5:$C$500,$A19,'LANÇAMENTOS DIÁRIOS'!$O$5:$O$500,"&lt;=112699",'LANÇAMENTOS DIÁRIOS'!$P$5:$P$500,"&gt;=112600")&gt;0,"X","")</f>
      </c>
      <c r="N19" s="56" t="str">
        <f>IF(COUNTIFS('LANÇAMENTOS DIÁRIOS'!$G$5:$G$500,"F",'LANÇAMENTOS DIÁRIOS'!$C$5:$C$500,$A19,'LANÇAMENTOS DIÁRIOS'!$O$5:$O$500,"&lt;=112799",'LANÇAMENTOS DIÁRIOS'!$P$5:$P$500,"&gt;=112700")&gt;0,"X","")</f>
      </c>
      <c r="O19" s="56" t="str">
        <f>IF(COUNTIFS('LANÇAMENTOS DIÁRIOS'!$G$5:$G$500,"F",'LANÇAMENTOS DIÁRIOS'!$C$5:$C$500,$A19,'LANÇAMENTOS DIÁRIOS'!$O$5:$O$500,"&lt;=112899",'LANÇAMENTOS DIÁRIOS'!$P$5:$P$500,"&gt;=112800")&gt;0,"X","")</f>
      </c>
      <c r="P19" s="56" t="str">
        <f>IF(COUNTIFS('LANÇAMENTOS DIÁRIOS'!$G$5:$G$500,"F",'LANÇAMENTOS DIÁRIOS'!$C$5:$C$500,$A19,'LANÇAMENTOS DIÁRIOS'!$O$5:$O$500,"&lt;=112999",'LANÇAMENTOS DIÁRIOS'!$P$5:$P$500,"&gt;=112900")&gt;0,"X","")</f>
      </c>
      <c r="Q19" s="56" t="str">
        <f>IF(COUNTIFS('LANÇAMENTOS DIÁRIOS'!$G$5:$G$500,"F",'LANÇAMENTOS DIÁRIOS'!$C$5:$C$500,$A19,'LANÇAMENTOS DIÁRIOS'!$O$5:$O$500,"&lt;=113099",'LANÇAMENTOS DIÁRIOS'!$P$5:$P$500,"&gt;=113000")&gt;0,"X","")</f>
      </c>
      <c r="R19" s="56" t="str">
        <f>IF(COUNTIFS('LANÇAMENTOS DIÁRIOS'!$G$5:$G$500,"F",'LANÇAMENTOS DIÁRIOS'!$C$5:$C$500,$A19,'LANÇAMENTOS DIÁRIOS'!$O$5:$O$500,"&lt;=113199",'LANÇAMENTOS DIÁRIOS'!$P$5:$P$500,"&gt;=113100")&gt;0,"X","")</f>
      </c>
      <c r="S19" s="56" t="str">
        <f>IF(COUNTIFS('LANÇAMENTOS DIÁRIOS'!$G$5:$G$500,"F",'LANÇAMENTOS DIÁRIOS'!$C$5:$C$500,$A19,'LANÇAMENTOS DIÁRIOS'!$O$5:$O$500,"&lt;=113299",'LANÇAMENTOS DIÁRIOS'!$P$5:$P$500,"&gt;=113200")&gt;0,"X","")</f>
      </c>
      <c r="T19" s="56" t="str">
        <f>IF(COUNTIFS('LANÇAMENTOS DIÁRIOS'!$G$5:$G$500,"F",'LANÇAMENTOS DIÁRIOS'!$C$5:$C$500,$A19,'LANÇAMENTOS DIÁRIOS'!$O$5:$O$500,"&lt;=113399",'LANÇAMENTOS DIÁRIOS'!$P$5:$P$500,"&gt;=113300")&gt;0,"X","")</f>
      </c>
      <c r="U19" s="56" t="str">
        <f>IF(COUNTIFS('LANÇAMENTOS DIÁRIOS'!$G$5:$G$500,"F",'LANÇAMENTOS DIÁRIOS'!$C$5:$C$500,$A19,'LANÇAMENTOS DIÁRIOS'!$O$5:$O$500,"&lt;=113499",'LANÇAMENTOS DIÁRIOS'!$P$5:$P$500,"&gt;=113400")&gt;0,"X","")</f>
      </c>
      <c r="V19" s="56" t="str">
        <f>IF(COUNTIFS('LANÇAMENTOS DIÁRIOS'!$G$5:$G$500,"F",'LANÇAMENTOS DIÁRIOS'!$C$5:$C$500,$A19,'LANÇAMENTOS DIÁRIOS'!$O$5:$O$500,"&lt;=113599",'LANÇAMENTOS DIÁRIOS'!$P$5:$P$500,"&gt;=113500")&gt;0,"X","")</f>
      </c>
      <c r="W19" s="56" t="str">
        <f>IF(COUNTIFS('LANÇAMENTOS DIÁRIOS'!$G$5:$G$500,"F",'LANÇAMENTOS DIÁRIOS'!$C$5:$C$500,$A19,'LANÇAMENTOS DIÁRIOS'!$O$5:$O$500,"&lt;=113699",'LANÇAMENTOS DIÁRIOS'!$P$5:$P$500,"&gt;=113600")&gt;0,"X","")</f>
      </c>
      <c r="X19" s="56" t="str">
        <f>IF(COUNTIFS('LANÇAMENTOS DIÁRIOS'!$G$5:$G$500,"F",'LANÇAMENTOS DIÁRIOS'!$C$5:$C$500,$A19,'LANÇAMENTOS DIÁRIOS'!$O$5:$O$500,"&lt;=113799",'LANÇAMENTOS DIÁRIOS'!$P$5:$P$500,"&gt;=113700")&gt;0,"X","")</f>
      </c>
      <c r="Y19" s="56" t="str">
        <f>IF(COUNTIFS('LANÇAMENTOS DIÁRIOS'!$G$5:$G$500,"F",'LANÇAMENTOS DIÁRIOS'!$C$5:$C$500,$A19,'LANÇAMENTOS DIÁRIOS'!$O$5:$O$500,"&lt;=113899",'LANÇAMENTOS DIÁRIOS'!$P$5:$P$500,"&gt;=113800")&gt;0,"X","")</f>
      </c>
      <c r="Z19" s="56" t="str">
        <f>IF(COUNTIFS('LANÇAMENTOS DIÁRIOS'!$G$5:$G$500,"F",'LANÇAMENTOS DIÁRIOS'!$C$5:$C$500,$A19,'LANÇAMENTOS DIÁRIOS'!$O$5:$O$500,"&lt;=113999",'LANÇAMENTOS DIÁRIOS'!$P$5:$P$500,"&gt;=113900")&gt;0,"X","")</f>
      </c>
      <c r="AA19" s="56" t="str">
        <f>IF(COUNTIFS('LANÇAMENTOS DIÁRIOS'!$G$5:$G$500,"F",'LANÇAMENTOS DIÁRIOS'!$C$5:$C$500,$A19,'LANÇAMENTOS DIÁRIOS'!$O$5:$O$500,"&lt;=114099",'LANÇAMENTOS DIÁRIOS'!$P$5:$P$500,"&gt;=114000")&gt;0,"X","")</f>
      </c>
      <c r="AB19" s="56" t="str">
        <f>IF(COUNTIFS('LANÇAMENTOS DIÁRIOS'!$G$5:$G$500,"F",'LANÇAMENTOS DIÁRIOS'!$C$5:$C$500,$A19,'LANÇAMENTOS DIÁRIOS'!$O$5:$O$500,"&lt;=114199",'LANÇAMENTOS DIÁRIOS'!$P$5:$P$500,"&gt;=114100")&gt;0,"X","")</f>
      </c>
      <c r="AC19" s="56" t="str">
        <f>IF(COUNTIFS('LANÇAMENTOS DIÁRIOS'!$G$5:$G$500,"F",'LANÇAMENTOS DIÁRIOS'!$C$5:$C$500,$A19,'LANÇAMENTOS DIÁRIOS'!$O$5:$O$500,"&lt;=114299",'LANÇAMENTOS DIÁRIOS'!$P$5:$P$500,"&gt;=114200")&gt;0,"X","")</f>
      </c>
      <c r="AD19" s="56" t="str">
        <f>IF(COUNTIFS('LANÇAMENTOS DIÁRIOS'!$G$5:$G$500,"F",'LANÇAMENTOS DIÁRIOS'!$C$5:$C$500,$A19,'LANÇAMENTOS DIÁRIOS'!$O$5:$O$500,"&lt;=114399",'LANÇAMENTOS DIÁRIOS'!$P$5:$P$500,"&gt;=114300")&gt;0,"X","")</f>
      </c>
      <c r="AE19" s="56" t="str">
        <f>IF(COUNTIFS('LANÇAMENTOS DIÁRIOS'!$G$5:$G$500,"F",'LANÇAMENTOS DIÁRIOS'!$C$5:$C$500,$A19,'LANÇAMENTOS DIÁRIOS'!$O$5:$O$500,"&lt;=114499",'LANÇAMENTOS DIÁRIOS'!$P$5:$P$500,"&gt;=114400")&gt;0,"X","")</f>
      </c>
      <c r="AF19" s="56" t="str">
        <f>IF(COUNTIFS('LANÇAMENTOS DIÁRIOS'!$G$5:$G$500,"F",'LANÇAMENTOS DIÁRIOS'!$C$5:$C$500,$A19,'LANÇAMENTOS DIÁRIOS'!$O$5:$O$500,"&lt;=114599",'LANÇAMENTOS DIÁRIOS'!$P$5:$P$500,"&gt;=114500")&gt;0,"X","")</f>
      </c>
      <c r="AG19" s="56" t="str">
        <f>IF(COUNTIFS('LANÇAMENTOS DIÁRIOS'!$G$5:$G$500,"F",'LANÇAMENTOS DIÁRIOS'!$C$5:$C$500,$A19,'LANÇAMENTOS DIÁRIOS'!$O$5:$O$500,"&lt;=114699",'LANÇAMENTOS DIÁRIOS'!$P$5:$P$500,"&gt;=114600")&gt;0,"X","")</f>
      </c>
      <c r="AH19" s="56" t="str">
        <f>IF(COUNTIFS('LANÇAMENTOS DIÁRIOS'!$G$5:$G$500,"F",'LANÇAMENTOS DIÁRIOS'!$C$5:$C$500,$A19,'LANÇAMENTOS DIÁRIOS'!$O$5:$O$500,"&lt;=114799",'LANÇAMENTOS DIÁRIOS'!$P$5:$P$500,"&gt;=114700")&gt;0,"X","")</f>
      </c>
      <c r="AI19" s="56" t="str">
        <f>IF(COUNTIFS('LANÇAMENTOS DIÁRIOS'!$G$5:$G$500,"F",'LANÇAMENTOS DIÁRIOS'!$C$5:$C$500,$A19,'LANÇAMENTOS DIÁRIOS'!$O$5:$O$500,"&lt;=114899",'LANÇAMENTOS DIÁRIOS'!$P$5:$P$500,"&gt;=114800")&gt;0,"X","")</f>
      </c>
      <c r="AJ19" s="56" t="str">
        <f>IF(COUNTIFS('LANÇAMENTOS DIÁRIOS'!$G$5:$G$500,"F",'LANÇAMENTOS DIÁRIOS'!$C$5:$C$500,$A19,'LANÇAMENTOS DIÁRIOS'!$O$5:$O$500,"&lt;=114999",'LANÇAMENTOS DIÁRIOS'!$P$5:$P$500,"&gt;=114900")&gt;0,"X","")</f>
      </c>
      <c r="AK19" s="56" t="str">
        <f>IF(COUNTIFS('LANÇAMENTOS DIÁRIOS'!$G$5:$G$500,"F",'LANÇAMENTOS DIÁRIOS'!$C$5:$C$500,$A19,'LANÇAMENTOS DIÁRIOS'!$O$5:$O$500,"&lt;=115099",'LANÇAMENTOS DIÁRIOS'!$P$5:$P$500,"&gt;=115000")&gt;0,"X","")</f>
      </c>
      <c r="AL19" s="56" t="str">
        <f>IF(COUNTIFS('LANÇAMENTOS DIÁRIOS'!$G$5:$G$500,"F",'LANÇAMENTOS DIÁRIOS'!$C$5:$C$500,$A19,'LANÇAMENTOS DIÁRIOS'!$O$5:$O$500,"&lt;=115199",'LANÇAMENTOS DIÁRIOS'!$P$5:$P$500,"&gt;=115100")&gt;0,"X","")</f>
      </c>
      <c r="AM19" s="56" t="str">
        <f>IF(COUNTIFS('LANÇAMENTOS DIÁRIOS'!$G$5:$G$500,"F",'LANÇAMENTOS DIÁRIOS'!$C$5:$C$500,$A19,'LANÇAMENTOS DIÁRIOS'!$O$5:$O$500,"&lt;=115299",'LANÇAMENTOS DIÁRIOS'!$P$5:$P$500,"&gt;=115200")&gt;0,"X","")</f>
      </c>
      <c r="AN19" s="56" t="str">
        <f>IF(COUNTIFS('LANÇAMENTOS DIÁRIOS'!$G$5:$G$500,"F",'LANÇAMENTOS DIÁRIOS'!$C$5:$C$500,$A19,'LANÇAMENTOS DIÁRIOS'!$O$5:$O$500,"&lt;=115399",'LANÇAMENTOS DIÁRIOS'!$P$5:$P$500,"&gt;=115300")&gt;0,"X","")</f>
      </c>
      <c r="AO19" s="56" t="str">
        <f>IF(COUNTIFS('LANÇAMENTOS DIÁRIOS'!$G$5:$G$500,"F",'LANÇAMENTOS DIÁRIOS'!$C$5:$C$500,$A19,'LANÇAMENTOS DIÁRIOS'!$O$5:$O$500,"&lt;=115499",'LANÇAMENTOS DIÁRIOS'!$P$5:$P$500,"&gt;=115400")&gt;0,"X","")</f>
      </c>
      <c r="AP19" s="56" t="str">
        <f>IF(COUNTIFS('LANÇAMENTOS DIÁRIOS'!$G$5:$G$500,"F",'LANÇAMENTOS DIÁRIOS'!$C$5:$C$500,$A19,'LANÇAMENTOS DIÁRIOS'!$O$5:$O$500,"&lt;=115599",'LANÇAMENTOS DIÁRIOS'!$P$5:$P$500,"&gt;=115500")&gt;0,"X","")</f>
      </c>
      <c r="AQ19" s="56" t="str">
        <f>IF(COUNTIFS('LANÇAMENTOS DIÁRIOS'!$G$5:$G$500,"F",'LANÇAMENTOS DIÁRIOS'!$C$5:$C$500,$A19,'LANÇAMENTOS DIÁRIOS'!$O$5:$O$500,"&lt;=115699",'LANÇAMENTOS DIÁRIOS'!$P$5:$P$500,"&gt;=115600")&gt;0,"X","")</f>
      </c>
      <c r="AR19" s="56" t="str">
        <f>IF(COUNTIFS('LANÇAMENTOS DIÁRIOS'!$G$5:$G$500,"F",'LANÇAMENTOS DIÁRIOS'!$C$5:$C$500,$A19,'LANÇAMENTOS DIÁRIOS'!$O$5:$O$500,"&lt;=115799",'LANÇAMENTOS DIÁRIOS'!$P$5:$P$500,"&gt;=115700")&gt;0,"X","")</f>
      </c>
      <c r="AS19" s="56" t="str">
        <f>IF(COUNTIFS('LANÇAMENTOS DIÁRIOS'!$G$5:$G$500,"F",'LANÇAMENTOS DIÁRIOS'!$C$5:$C$500,$A19,'LANÇAMENTOS DIÁRIOS'!$O$5:$O$500,"&lt;=115899",'LANÇAMENTOS DIÁRIOS'!$P$5:$P$500,"&gt;=115800")&gt;0,"X","")</f>
      </c>
      <c r="AT19" s="56" t="str">
        <f>IF(COUNTIFS('LANÇAMENTOS DIÁRIOS'!$G$5:$G$500,"F",'LANÇAMENTOS DIÁRIOS'!$C$5:$C$500,$A19,'LANÇAMENTOS DIÁRIOS'!$O$5:$O$500,"&lt;=115999",'LANÇAMENTOS DIÁRIOS'!$P$5:$P$500,"&gt;=115900")&gt;0,"X","")</f>
      </c>
      <c r="AU19" s="56" t="str">
        <f>IF(COUNTIFS('LANÇAMENTOS DIÁRIOS'!$G$5:$G$500,"F",'LANÇAMENTOS DIÁRIOS'!$C$5:$C$500,$A19,'LANÇAMENTOS DIÁRIOS'!$O$5:$O$500,"&lt;=116099",'LANÇAMENTOS DIÁRIOS'!$P$5:$P$500,"&gt;=116000")&gt;0,"X","")</f>
      </c>
      <c r="AV19" s="56" t="str">
        <f>IF(COUNTIFS('LANÇAMENTOS DIÁRIOS'!$G$5:$G$500,"F",'LANÇAMENTOS DIÁRIOS'!$C$5:$C$500,$A19,'LANÇAMENTOS DIÁRIOS'!$O$5:$O$500,"&lt;=116199",'LANÇAMENTOS DIÁRIOS'!$P$5:$P$500,"&gt;=116100")&gt;0,"X","")</f>
      </c>
      <c r="AW19" s="56" t="str">
        <f>IF(COUNTIFS('LANÇAMENTOS DIÁRIOS'!$G$5:$G$500,"F",'LANÇAMENTOS DIÁRIOS'!$C$5:$C$500,$A19,'LANÇAMENTOS DIÁRIOS'!$O$5:$O$500,"&lt;=116299",'LANÇAMENTOS DIÁRIOS'!$P$5:$P$500,"&gt;=116200")&gt;0,"X","")</f>
      </c>
      <c r="AX19" s="56" t="str">
        <f>IF(COUNTIFS('LANÇAMENTOS DIÁRIOS'!$G$5:$G$500,"F",'LANÇAMENTOS DIÁRIOS'!$C$5:$C$500,$A19,'LANÇAMENTOS DIÁRIOS'!$O$5:$O$500,"&lt;=116399",'LANÇAMENTOS DIÁRIOS'!$P$5:$P$500,"&gt;=116300")&gt;0,"X","")</f>
      </c>
      <c r="AY19" s="56" t="str">
        <f>IF(COUNTIFS('LANÇAMENTOS DIÁRIOS'!$G$5:$G$500,"F",'LANÇAMENTOS DIÁRIOS'!$C$5:$C$500,$A19,'LANÇAMENTOS DIÁRIOS'!$O$5:$O$500,"&lt;=116499",'LANÇAMENTOS DIÁRIOS'!$P$5:$P$500,"&gt;=116400")&gt;0,"X","")</f>
      </c>
      <c r="AZ19" s="56" t="str">
        <f>IF(COUNTIFS('LANÇAMENTOS DIÁRIOS'!$G$5:$G$500,"F",'LANÇAMENTOS DIÁRIOS'!$C$5:$C$500,$A19,'LANÇAMENTOS DIÁRIOS'!$O$5:$O$500,"&lt;=116599",'LANÇAMENTOS DIÁRIOS'!$P$5:$P$500,"&gt;=116500")&gt;0,"X","")</f>
      </c>
      <c r="BA19" s="56" t="str">
        <f>IF(COUNTIFS('LANÇAMENTOS DIÁRIOS'!$G$5:$G$500,"F",'LANÇAMENTOS DIÁRIOS'!$C$5:$C$500,$A19,'LANÇAMENTOS DIÁRIOS'!$O$5:$O$500,"&lt;=116699",'LANÇAMENTOS DIÁRIOS'!$P$5:$P$500,"&gt;=116600")&gt;0,"X","")</f>
      </c>
      <c r="BB19" s="56" t="str">
        <f>IF(COUNTIFS('LANÇAMENTOS DIÁRIOS'!$G$5:$G$500,"F",'LANÇAMENTOS DIÁRIOS'!$C$5:$C$500,$A19,'LANÇAMENTOS DIÁRIOS'!$O$5:$O$500,"&lt;=116799",'LANÇAMENTOS DIÁRIOS'!$P$5:$P$500,"&gt;=116700")&gt;0,"X","")</f>
      </c>
      <c r="BC19" s="56" t="str">
        <f>IF(COUNTIFS('LANÇAMENTOS DIÁRIOS'!$G$5:$G$500,"F",'LANÇAMENTOS DIÁRIOS'!$C$5:$C$500,$A19,'LANÇAMENTOS DIÁRIOS'!$O$5:$O$500,"&lt;=116899",'LANÇAMENTOS DIÁRIOS'!$P$5:$P$500,"&gt;=116800")&gt;0,"X","")</f>
      </c>
      <c r="BD19" s="56" t="str">
        <f>IF(COUNTIFS('LANÇAMENTOS DIÁRIOS'!$G$5:$G$500,"F",'LANÇAMENTOS DIÁRIOS'!$C$5:$C$500,$A19,'LANÇAMENTOS DIÁRIOS'!$O$5:$O$500,"&lt;=116999",'LANÇAMENTOS DIÁRIOS'!$P$5:$P$500,"&gt;=116900")&gt;0,"X","")</f>
      </c>
      <c r="BE19" s="56" t="str">
        <f>IF(COUNTIFS('LANÇAMENTOS DIÁRIOS'!$G$5:$G$500,"F",'LANÇAMENTOS DIÁRIOS'!$C$5:$C$500,$A19,'LANÇAMENTOS DIÁRIOS'!$O$5:$O$500,"&lt;=117099",'LANÇAMENTOS DIÁRIOS'!$P$5:$P$500,"&gt;=117000")&gt;0,"X","")</f>
      </c>
      <c r="BF19" s="56" t="str">
        <f>IF(COUNTIFS('LANÇAMENTOS DIÁRIOS'!$G$5:$G$500,"F",'LANÇAMENTOS DIÁRIOS'!$C$5:$C$500,$A19,'LANÇAMENTOS DIÁRIOS'!$O$5:$O$500,"&lt;=117199",'LANÇAMENTOS DIÁRIOS'!$P$5:$P$500,"&gt;=117100")&gt;0,"X","")</f>
      </c>
      <c r="BG19" s="56" t="str">
        <f>IF(COUNTIFS('LANÇAMENTOS DIÁRIOS'!$G$5:$G$500,"F",'LANÇAMENTOS DIÁRIOS'!$C$5:$C$500,$A19,'LANÇAMENTOS DIÁRIOS'!$O$5:$O$500,"&lt;=117219",'LANÇAMENTOS DIÁRIOS'!$P$5:$P$500,"&gt;=117200")&gt;0,"X","")</f>
      </c>
      <c r="BH19" s="56" t="str">
        <f>IF(COUNTIFS('LANÇAMENTOS DIÁRIOS'!$G$5:$G$500,"F",'LANÇAMENTOS DIÁRIOS'!$C$5:$C$500,$A19,'LANÇAMENTOS DIÁRIOS'!$O$5:$O$500,"&lt;=117220",'LANÇAMENTOS DIÁRIOS'!$P$5:$P$500,"&gt;=117220")&gt;0,"X","")</f>
      </c>
    </row>
    <row r="20">
      <c r="A20" s="51" t="str">
        <v>Remanejamento de semi-pórtico</v>
      </c>
      <c r="B20" s="56" t="str">
        <f>IF(COUNTIFS('LANÇAMENTOS DIÁRIOS'!$G$5:$G$500,"F",'LANÇAMENTOS DIÁRIOS'!$C$5:$C$500,$A20,'LANÇAMENTOS DIÁRIOS'!$O$5:$O$500,"&lt;=111599",'LANÇAMENTOS DIÁRIOS'!$P$5:$P$500,"&gt;=111500")&gt;0,"X","")</f>
      </c>
      <c r="C20" s="56" t="str">
        <f>IF(COUNTIFS('LANÇAMENTOS DIÁRIOS'!$G$5:$G$500,"F",'LANÇAMENTOS DIÁRIOS'!$C$5:$C$500,$A20,'LANÇAMENTOS DIÁRIOS'!$O$5:$O$500,"&lt;=111699",'LANÇAMENTOS DIÁRIOS'!$P$5:$P$500,"&gt;=111600")&gt;0,"X","")</f>
      </c>
      <c r="D20" s="56" t="str">
        <f>IF(COUNTIFS('LANÇAMENTOS DIÁRIOS'!$G$5:$G$500,"F",'LANÇAMENTOS DIÁRIOS'!$C$5:$C$500,$A20,'LANÇAMENTOS DIÁRIOS'!$O$5:$O$500,"&lt;=111799",'LANÇAMENTOS DIÁRIOS'!$P$5:$P$500,"&gt;=111700")&gt;0,"X","")</f>
      </c>
      <c r="E20" s="56" t="str">
        <f>IF(COUNTIFS('LANÇAMENTOS DIÁRIOS'!$G$5:$G$500,"F",'LANÇAMENTOS DIÁRIOS'!$C$5:$C$500,$A20,'LANÇAMENTOS DIÁRIOS'!$O$5:$O$500,"&lt;=111899",'LANÇAMENTOS DIÁRIOS'!$P$5:$P$500,"&gt;=111800")&gt;0,"X","")</f>
      </c>
      <c r="F20" s="56" t="str">
        <f>IF(COUNTIFS('LANÇAMENTOS DIÁRIOS'!$G$5:$G$500,"F",'LANÇAMENTOS DIÁRIOS'!$C$5:$C$500,$A20,'LANÇAMENTOS DIÁRIOS'!$O$5:$O$500,"&lt;=111999",'LANÇAMENTOS DIÁRIOS'!$P$5:$P$500,"&gt;=111900")&gt;0,"X","")</f>
      </c>
      <c r="G20" s="56" t="str">
        <f>IF(COUNTIFS('LANÇAMENTOS DIÁRIOS'!$G$5:$G$500,"F",'LANÇAMENTOS DIÁRIOS'!$C$5:$C$500,$A20,'LANÇAMENTOS DIÁRIOS'!$O$5:$O$500,"&lt;=112099",'LANÇAMENTOS DIÁRIOS'!$P$5:$P$500,"&gt;=112000")&gt;0,"X","")</f>
      </c>
      <c r="H20" s="56" t="str">
        <f>IF(COUNTIFS('LANÇAMENTOS DIÁRIOS'!$G$5:$G$500,"F",'LANÇAMENTOS DIÁRIOS'!$C$5:$C$500,$A20,'LANÇAMENTOS DIÁRIOS'!$O$5:$O$500,"&lt;=112199",'LANÇAMENTOS DIÁRIOS'!$P$5:$P$500,"&gt;=112100")&gt;0,"X","")</f>
      </c>
      <c r="I20" s="56" t="str">
        <f>IF(COUNTIFS('LANÇAMENTOS DIÁRIOS'!$G$5:$G$500,"F",'LANÇAMENTOS DIÁRIOS'!$C$5:$C$500,$A20,'LANÇAMENTOS DIÁRIOS'!$O$5:$O$500,"&lt;=112299",'LANÇAMENTOS DIÁRIOS'!$P$5:$P$500,"&gt;=112200")&gt;0,"X","")</f>
      </c>
      <c r="J20" s="56" t="str">
        <f>IF(COUNTIFS('LANÇAMENTOS DIÁRIOS'!$G$5:$G$500,"F",'LANÇAMENTOS DIÁRIOS'!$C$5:$C$500,$A20,'LANÇAMENTOS DIÁRIOS'!$O$5:$O$500,"&lt;=112399",'LANÇAMENTOS DIÁRIOS'!$P$5:$P$500,"&gt;=112300")&gt;0,"X","")</f>
      </c>
      <c r="K20" s="56" t="str">
        <f>IF(COUNTIFS('LANÇAMENTOS DIÁRIOS'!$G$5:$G$500,"F",'LANÇAMENTOS DIÁRIOS'!$C$5:$C$500,$A20,'LANÇAMENTOS DIÁRIOS'!$O$5:$O$500,"&lt;=112499",'LANÇAMENTOS DIÁRIOS'!$P$5:$P$500,"&gt;=112400")&gt;0,"X","")</f>
      </c>
      <c r="L20" s="56" t="str">
        <f>IF(COUNTIFS('LANÇAMENTOS DIÁRIOS'!$G$5:$G$500,"F",'LANÇAMENTOS DIÁRIOS'!$C$5:$C$500,$A20,'LANÇAMENTOS DIÁRIOS'!$O$5:$O$500,"&lt;=112599",'LANÇAMENTOS DIÁRIOS'!$P$5:$P$500,"&gt;=112500")&gt;0,"X","")</f>
      </c>
      <c r="M20" s="56" t="str">
        <f>IF(COUNTIFS('LANÇAMENTOS DIÁRIOS'!$G$5:$G$500,"F",'LANÇAMENTOS DIÁRIOS'!$C$5:$C$500,$A20,'LANÇAMENTOS DIÁRIOS'!$O$5:$O$500,"&lt;=112699",'LANÇAMENTOS DIÁRIOS'!$P$5:$P$500,"&gt;=112600")&gt;0,"X","")</f>
      </c>
      <c r="N20" s="56" t="str">
        <f>IF(COUNTIFS('LANÇAMENTOS DIÁRIOS'!$G$5:$G$500,"F",'LANÇAMENTOS DIÁRIOS'!$C$5:$C$500,$A20,'LANÇAMENTOS DIÁRIOS'!$O$5:$O$500,"&lt;=112799",'LANÇAMENTOS DIÁRIOS'!$P$5:$P$500,"&gt;=112700")&gt;0,"X","")</f>
      </c>
      <c r="O20" s="56" t="str">
        <f>IF(COUNTIFS('LANÇAMENTOS DIÁRIOS'!$G$5:$G$500,"F",'LANÇAMENTOS DIÁRIOS'!$C$5:$C$500,$A20,'LANÇAMENTOS DIÁRIOS'!$O$5:$O$500,"&lt;=112899",'LANÇAMENTOS DIÁRIOS'!$P$5:$P$500,"&gt;=112800")&gt;0,"X","")</f>
      </c>
      <c r="P20" s="56" t="str">
        <f>IF(COUNTIFS('LANÇAMENTOS DIÁRIOS'!$G$5:$G$500,"F",'LANÇAMENTOS DIÁRIOS'!$C$5:$C$500,$A20,'LANÇAMENTOS DIÁRIOS'!$O$5:$O$500,"&lt;=112999",'LANÇAMENTOS DIÁRIOS'!$P$5:$P$500,"&gt;=112900")&gt;0,"X","")</f>
      </c>
      <c r="Q20" s="56" t="str">
        <f>IF(COUNTIFS('LANÇAMENTOS DIÁRIOS'!$G$5:$G$500,"F",'LANÇAMENTOS DIÁRIOS'!$C$5:$C$500,$A20,'LANÇAMENTOS DIÁRIOS'!$O$5:$O$500,"&lt;=113099",'LANÇAMENTOS DIÁRIOS'!$P$5:$P$500,"&gt;=113000")&gt;0,"X","")</f>
      </c>
      <c r="R20" s="56" t="str">
        <f>IF(COUNTIFS('LANÇAMENTOS DIÁRIOS'!$G$5:$G$500,"F",'LANÇAMENTOS DIÁRIOS'!$C$5:$C$500,$A20,'LANÇAMENTOS DIÁRIOS'!$O$5:$O$500,"&lt;=113199",'LANÇAMENTOS DIÁRIOS'!$P$5:$P$500,"&gt;=113100")&gt;0,"X","")</f>
      </c>
      <c r="S20" s="56" t="str">
        <f>IF(COUNTIFS('LANÇAMENTOS DIÁRIOS'!$G$5:$G$500,"F",'LANÇAMENTOS DIÁRIOS'!$C$5:$C$500,$A20,'LANÇAMENTOS DIÁRIOS'!$O$5:$O$500,"&lt;=113299",'LANÇAMENTOS DIÁRIOS'!$P$5:$P$500,"&gt;=113200")&gt;0,"X","")</f>
      </c>
      <c r="T20" s="56" t="str">
        <f>IF(COUNTIFS('LANÇAMENTOS DIÁRIOS'!$G$5:$G$500,"F",'LANÇAMENTOS DIÁRIOS'!$C$5:$C$500,$A20,'LANÇAMENTOS DIÁRIOS'!$O$5:$O$500,"&lt;=113399",'LANÇAMENTOS DIÁRIOS'!$P$5:$P$500,"&gt;=113300")&gt;0,"X","")</f>
      </c>
      <c r="U20" s="56" t="str">
        <f>IF(COUNTIFS('LANÇAMENTOS DIÁRIOS'!$G$5:$G$500,"F",'LANÇAMENTOS DIÁRIOS'!$C$5:$C$500,$A20,'LANÇAMENTOS DIÁRIOS'!$O$5:$O$500,"&lt;=113499",'LANÇAMENTOS DIÁRIOS'!$P$5:$P$500,"&gt;=113400")&gt;0,"X","")</f>
      </c>
      <c r="V20" s="56" t="str">
        <f>IF(COUNTIFS('LANÇAMENTOS DIÁRIOS'!$G$5:$G$500,"F",'LANÇAMENTOS DIÁRIOS'!$C$5:$C$500,$A20,'LANÇAMENTOS DIÁRIOS'!$O$5:$O$500,"&lt;=113599",'LANÇAMENTOS DIÁRIOS'!$P$5:$P$500,"&gt;=113500")&gt;0,"X","")</f>
      </c>
      <c r="W20" s="56" t="str">
        <f>IF(COUNTIFS('LANÇAMENTOS DIÁRIOS'!$G$5:$G$500,"F",'LANÇAMENTOS DIÁRIOS'!$C$5:$C$500,$A20,'LANÇAMENTOS DIÁRIOS'!$O$5:$O$500,"&lt;=113699",'LANÇAMENTOS DIÁRIOS'!$P$5:$P$500,"&gt;=113600")&gt;0,"X","")</f>
      </c>
      <c r="X20" s="56" t="str">
        <f>IF(COUNTIFS('LANÇAMENTOS DIÁRIOS'!$G$5:$G$500,"F",'LANÇAMENTOS DIÁRIOS'!$C$5:$C$500,$A20,'LANÇAMENTOS DIÁRIOS'!$O$5:$O$500,"&lt;=113799",'LANÇAMENTOS DIÁRIOS'!$P$5:$P$500,"&gt;=113700")&gt;0,"X","")</f>
      </c>
      <c r="Y20" s="56" t="str">
        <f>IF(COUNTIFS('LANÇAMENTOS DIÁRIOS'!$G$5:$G$500,"F",'LANÇAMENTOS DIÁRIOS'!$C$5:$C$500,$A20,'LANÇAMENTOS DIÁRIOS'!$O$5:$O$500,"&lt;=113899",'LANÇAMENTOS DIÁRIOS'!$P$5:$P$500,"&gt;=113800")&gt;0,"X","")</f>
      </c>
      <c r="Z20" s="56" t="str">
        <f>IF(COUNTIFS('LANÇAMENTOS DIÁRIOS'!$G$5:$G$500,"F",'LANÇAMENTOS DIÁRIOS'!$C$5:$C$500,$A20,'LANÇAMENTOS DIÁRIOS'!$O$5:$O$500,"&lt;=113999",'LANÇAMENTOS DIÁRIOS'!$P$5:$P$500,"&gt;=113900")&gt;0,"X","")</f>
      </c>
      <c r="AA20" s="56" t="str">
        <f>IF(COUNTIFS('LANÇAMENTOS DIÁRIOS'!$G$5:$G$500,"F",'LANÇAMENTOS DIÁRIOS'!$C$5:$C$500,$A20,'LANÇAMENTOS DIÁRIOS'!$O$5:$O$500,"&lt;=114099",'LANÇAMENTOS DIÁRIOS'!$P$5:$P$500,"&gt;=114000")&gt;0,"X","")</f>
      </c>
      <c r="AB20" s="56" t="str">
        <f>IF(COUNTIFS('LANÇAMENTOS DIÁRIOS'!$G$5:$G$500,"F",'LANÇAMENTOS DIÁRIOS'!$C$5:$C$500,$A20,'LANÇAMENTOS DIÁRIOS'!$O$5:$O$500,"&lt;=114199",'LANÇAMENTOS DIÁRIOS'!$P$5:$P$500,"&gt;=114100")&gt;0,"X","")</f>
      </c>
      <c r="AC20" s="56" t="str">
        <f>IF(COUNTIFS('LANÇAMENTOS DIÁRIOS'!$G$5:$G$500,"F",'LANÇAMENTOS DIÁRIOS'!$C$5:$C$500,$A20,'LANÇAMENTOS DIÁRIOS'!$O$5:$O$500,"&lt;=114299",'LANÇAMENTOS DIÁRIOS'!$P$5:$P$500,"&gt;=114200")&gt;0,"X","")</f>
      </c>
      <c r="AD20" s="56" t="str">
        <f>IF(COUNTIFS('LANÇAMENTOS DIÁRIOS'!$G$5:$G$500,"F",'LANÇAMENTOS DIÁRIOS'!$C$5:$C$500,$A20,'LANÇAMENTOS DIÁRIOS'!$O$5:$O$500,"&lt;=114399",'LANÇAMENTOS DIÁRIOS'!$P$5:$P$500,"&gt;=114300")&gt;0,"X","")</f>
      </c>
      <c r="AE20" s="56" t="str">
        <f>IF(COUNTIFS('LANÇAMENTOS DIÁRIOS'!$G$5:$G$500,"F",'LANÇAMENTOS DIÁRIOS'!$C$5:$C$500,$A20,'LANÇAMENTOS DIÁRIOS'!$O$5:$O$500,"&lt;=114499",'LANÇAMENTOS DIÁRIOS'!$P$5:$P$500,"&gt;=114400")&gt;0,"X","")</f>
      </c>
      <c r="AF20" s="56" t="str">
        <f>IF(COUNTIFS('LANÇAMENTOS DIÁRIOS'!$G$5:$G$500,"F",'LANÇAMENTOS DIÁRIOS'!$C$5:$C$500,$A20,'LANÇAMENTOS DIÁRIOS'!$O$5:$O$500,"&lt;=114599",'LANÇAMENTOS DIÁRIOS'!$P$5:$P$500,"&gt;=114500")&gt;0,"X","")</f>
      </c>
      <c r="AG20" s="56" t="str">
        <f>IF(COUNTIFS('LANÇAMENTOS DIÁRIOS'!$G$5:$G$500,"F",'LANÇAMENTOS DIÁRIOS'!$C$5:$C$500,$A20,'LANÇAMENTOS DIÁRIOS'!$O$5:$O$500,"&lt;=114699",'LANÇAMENTOS DIÁRIOS'!$P$5:$P$500,"&gt;=114600")&gt;0,"X","")</f>
      </c>
      <c r="AH20" s="56" t="str">
        <f>IF(COUNTIFS('LANÇAMENTOS DIÁRIOS'!$G$5:$G$500,"F",'LANÇAMENTOS DIÁRIOS'!$C$5:$C$500,$A20,'LANÇAMENTOS DIÁRIOS'!$O$5:$O$500,"&lt;=114799",'LANÇAMENTOS DIÁRIOS'!$P$5:$P$500,"&gt;=114700")&gt;0,"X","")</f>
      </c>
      <c r="AI20" s="56" t="str">
        <f>IF(COUNTIFS('LANÇAMENTOS DIÁRIOS'!$G$5:$G$500,"F",'LANÇAMENTOS DIÁRIOS'!$C$5:$C$500,$A20,'LANÇAMENTOS DIÁRIOS'!$O$5:$O$500,"&lt;=114899",'LANÇAMENTOS DIÁRIOS'!$P$5:$P$500,"&gt;=114800")&gt;0,"X","")</f>
      </c>
      <c r="AJ20" s="56" t="str">
        <f>IF(COUNTIFS('LANÇAMENTOS DIÁRIOS'!$G$5:$G$500,"F",'LANÇAMENTOS DIÁRIOS'!$C$5:$C$500,$A20,'LANÇAMENTOS DIÁRIOS'!$O$5:$O$500,"&lt;=114999",'LANÇAMENTOS DIÁRIOS'!$P$5:$P$500,"&gt;=114900")&gt;0,"X","")</f>
      </c>
      <c r="AK20" s="56" t="str">
        <f>IF(COUNTIFS('LANÇAMENTOS DIÁRIOS'!$G$5:$G$500,"F",'LANÇAMENTOS DIÁRIOS'!$C$5:$C$500,$A20,'LANÇAMENTOS DIÁRIOS'!$O$5:$O$500,"&lt;=115099",'LANÇAMENTOS DIÁRIOS'!$P$5:$P$500,"&gt;=115000")&gt;0,"X","")</f>
      </c>
      <c r="AL20" s="56" t="str">
        <f>IF(COUNTIFS('LANÇAMENTOS DIÁRIOS'!$G$5:$G$500,"F",'LANÇAMENTOS DIÁRIOS'!$C$5:$C$500,$A20,'LANÇAMENTOS DIÁRIOS'!$O$5:$O$500,"&lt;=115199",'LANÇAMENTOS DIÁRIOS'!$P$5:$P$500,"&gt;=115100")&gt;0,"X","")</f>
      </c>
      <c r="AM20" s="56" t="str">
        <f>IF(COUNTIFS('LANÇAMENTOS DIÁRIOS'!$G$5:$G$500,"F",'LANÇAMENTOS DIÁRIOS'!$C$5:$C$500,$A20,'LANÇAMENTOS DIÁRIOS'!$O$5:$O$500,"&lt;=115299",'LANÇAMENTOS DIÁRIOS'!$P$5:$P$500,"&gt;=115200")&gt;0,"X","")</f>
      </c>
      <c r="AN20" s="56" t="str">
        <f>IF(COUNTIFS('LANÇAMENTOS DIÁRIOS'!$G$5:$G$500,"F",'LANÇAMENTOS DIÁRIOS'!$C$5:$C$500,$A20,'LANÇAMENTOS DIÁRIOS'!$O$5:$O$500,"&lt;=115399",'LANÇAMENTOS DIÁRIOS'!$P$5:$P$500,"&gt;=115300")&gt;0,"X","")</f>
      </c>
      <c r="AO20" s="56" t="str">
        <f>IF(COUNTIFS('LANÇAMENTOS DIÁRIOS'!$G$5:$G$500,"F",'LANÇAMENTOS DIÁRIOS'!$C$5:$C$500,$A20,'LANÇAMENTOS DIÁRIOS'!$O$5:$O$500,"&lt;=115499",'LANÇAMENTOS DIÁRIOS'!$P$5:$P$500,"&gt;=115400")&gt;0,"X","")</f>
      </c>
      <c r="AP20" s="56" t="str">
        <f>IF(COUNTIFS('LANÇAMENTOS DIÁRIOS'!$G$5:$G$500,"F",'LANÇAMENTOS DIÁRIOS'!$C$5:$C$500,$A20,'LANÇAMENTOS DIÁRIOS'!$O$5:$O$500,"&lt;=115599",'LANÇAMENTOS DIÁRIOS'!$P$5:$P$500,"&gt;=115500")&gt;0,"X","")</f>
      </c>
      <c r="AQ20" s="56" t="str">
        <f>IF(COUNTIFS('LANÇAMENTOS DIÁRIOS'!$G$5:$G$500,"F",'LANÇAMENTOS DIÁRIOS'!$C$5:$C$500,$A20,'LANÇAMENTOS DIÁRIOS'!$O$5:$O$500,"&lt;=115699",'LANÇAMENTOS DIÁRIOS'!$P$5:$P$500,"&gt;=115600")&gt;0,"X","")</f>
      </c>
      <c r="AR20" s="56" t="str">
        <f>IF(COUNTIFS('LANÇAMENTOS DIÁRIOS'!$G$5:$G$500,"F",'LANÇAMENTOS DIÁRIOS'!$C$5:$C$500,$A20,'LANÇAMENTOS DIÁRIOS'!$O$5:$O$500,"&lt;=115799",'LANÇAMENTOS DIÁRIOS'!$P$5:$P$500,"&gt;=115700")&gt;0,"X","")</f>
      </c>
      <c r="AS20" s="56" t="str">
        <f>IF(COUNTIFS('LANÇAMENTOS DIÁRIOS'!$G$5:$G$500,"F",'LANÇAMENTOS DIÁRIOS'!$C$5:$C$500,$A20,'LANÇAMENTOS DIÁRIOS'!$O$5:$O$500,"&lt;=115899",'LANÇAMENTOS DIÁRIOS'!$P$5:$P$500,"&gt;=115800")&gt;0,"X","")</f>
      </c>
      <c r="AT20" s="56" t="str">
        <f>IF(COUNTIFS('LANÇAMENTOS DIÁRIOS'!$G$5:$G$500,"F",'LANÇAMENTOS DIÁRIOS'!$C$5:$C$500,$A20,'LANÇAMENTOS DIÁRIOS'!$O$5:$O$500,"&lt;=115999",'LANÇAMENTOS DIÁRIOS'!$P$5:$P$500,"&gt;=115900")&gt;0,"X","")</f>
      </c>
      <c r="AU20" s="56" t="str">
        <f>IF(COUNTIFS('LANÇAMENTOS DIÁRIOS'!$G$5:$G$500,"F",'LANÇAMENTOS DIÁRIOS'!$C$5:$C$500,$A20,'LANÇAMENTOS DIÁRIOS'!$O$5:$O$500,"&lt;=116099",'LANÇAMENTOS DIÁRIOS'!$P$5:$P$500,"&gt;=116000")&gt;0,"X","")</f>
      </c>
      <c r="AV20" s="56" t="str">
        <f>IF(COUNTIFS('LANÇAMENTOS DIÁRIOS'!$G$5:$G$500,"F",'LANÇAMENTOS DIÁRIOS'!$C$5:$C$500,$A20,'LANÇAMENTOS DIÁRIOS'!$O$5:$O$500,"&lt;=116199",'LANÇAMENTOS DIÁRIOS'!$P$5:$P$500,"&gt;=116100")&gt;0,"X","")</f>
      </c>
      <c r="AW20" s="56" t="str">
        <f>IF(COUNTIFS('LANÇAMENTOS DIÁRIOS'!$G$5:$G$500,"F",'LANÇAMENTOS DIÁRIOS'!$C$5:$C$500,$A20,'LANÇAMENTOS DIÁRIOS'!$O$5:$O$500,"&lt;=116299",'LANÇAMENTOS DIÁRIOS'!$P$5:$P$500,"&gt;=116200")&gt;0,"X","")</f>
      </c>
      <c r="AX20" s="56" t="str">
        <f>IF(COUNTIFS('LANÇAMENTOS DIÁRIOS'!$G$5:$G$500,"F",'LANÇAMENTOS DIÁRIOS'!$C$5:$C$500,$A20,'LANÇAMENTOS DIÁRIOS'!$O$5:$O$500,"&lt;=116399",'LANÇAMENTOS DIÁRIOS'!$P$5:$P$500,"&gt;=116300")&gt;0,"X","")</f>
      </c>
      <c r="AY20" s="56" t="str">
        <f>IF(COUNTIFS('LANÇAMENTOS DIÁRIOS'!$G$5:$G$500,"F",'LANÇAMENTOS DIÁRIOS'!$C$5:$C$500,$A20,'LANÇAMENTOS DIÁRIOS'!$O$5:$O$500,"&lt;=116499",'LANÇAMENTOS DIÁRIOS'!$P$5:$P$500,"&gt;=116400")&gt;0,"X","")</f>
      </c>
      <c r="AZ20" s="56" t="str">
        <f>IF(COUNTIFS('LANÇAMENTOS DIÁRIOS'!$G$5:$G$500,"F",'LANÇAMENTOS DIÁRIOS'!$C$5:$C$500,$A20,'LANÇAMENTOS DIÁRIOS'!$O$5:$O$500,"&lt;=116599",'LANÇAMENTOS DIÁRIOS'!$P$5:$P$500,"&gt;=116500")&gt;0,"X","")</f>
      </c>
      <c r="BA20" s="56" t="str">
        <f>IF(COUNTIFS('LANÇAMENTOS DIÁRIOS'!$G$5:$G$500,"F",'LANÇAMENTOS DIÁRIOS'!$C$5:$C$500,$A20,'LANÇAMENTOS DIÁRIOS'!$O$5:$O$500,"&lt;=116699",'LANÇAMENTOS DIÁRIOS'!$P$5:$P$500,"&gt;=116600")&gt;0,"X","")</f>
      </c>
      <c r="BB20" s="56" t="str">
        <f>IF(COUNTIFS('LANÇAMENTOS DIÁRIOS'!$G$5:$G$500,"F",'LANÇAMENTOS DIÁRIOS'!$C$5:$C$500,$A20,'LANÇAMENTOS DIÁRIOS'!$O$5:$O$500,"&lt;=116799",'LANÇAMENTOS DIÁRIOS'!$P$5:$P$500,"&gt;=116700")&gt;0,"X","")</f>
      </c>
      <c r="BC20" s="56" t="str">
        <f>IF(COUNTIFS('LANÇAMENTOS DIÁRIOS'!$G$5:$G$500,"F",'LANÇAMENTOS DIÁRIOS'!$C$5:$C$500,$A20,'LANÇAMENTOS DIÁRIOS'!$O$5:$O$500,"&lt;=116899",'LANÇAMENTOS DIÁRIOS'!$P$5:$P$500,"&gt;=116800")&gt;0,"X","")</f>
      </c>
      <c r="BD20" s="56" t="str">
        <f>IF(COUNTIFS('LANÇAMENTOS DIÁRIOS'!$G$5:$G$500,"F",'LANÇAMENTOS DIÁRIOS'!$C$5:$C$500,$A20,'LANÇAMENTOS DIÁRIOS'!$O$5:$O$500,"&lt;=116999",'LANÇAMENTOS DIÁRIOS'!$P$5:$P$500,"&gt;=116900")&gt;0,"X","")</f>
      </c>
      <c r="BE20" s="56" t="str">
        <f>IF(COUNTIFS('LANÇAMENTOS DIÁRIOS'!$G$5:$G$500,"F",'LANÇAMENTOS DIÁRIOS'!$C$5:$C$500,$A20,'LANÇAMENTOS DIÁRIOS'!$O$5:$O$500,"&lt;=117099",'LANÇAMENTOS DIÁRIOS'!$P$5:$P$500,"&gt;=117000")&gt;0,"X","")</f>
      </c>
      <c r="BF20" s="56" t="str">
        <f>IF(COUNTIFS('LANÇAMENTOS DIÁRIOS'!$G$5:$G$500,"F",'LANÇAMENTOS DIÁRIOS'!$C$5:$C$500,$A20,'LANÇAMENTOS DIÁRIOS'!$O$5:$O$500,"&lt;=117199",'LANÇAMENTOS DIÁRIOS'!$P$5:$P$500,"&gt;=117100")&gt;0,"X","")</f>
      </c>
      <c r="BG20" s="56" t="str">
        <f>IF(COUNTIFS('LANÇAMENTOS DIÁRIOS'!$G$5:$G$500,"F",'LANÇAMENTOS DIÁRIOS'!$C$5:$C$500,$A20,'LANÇAMENTOS DIÁRIOS'!$O$5:$O$500,"&lt;=117219",'LANÇAMENTOS DIÁRIOS'!$P$5:$P$500,"&gt;=117200")&gt;0,"X","")</f>
      </c>
      <c r="BH20" s="56" t="str">
        <f>IF(COUNTIFS('LANÇAMENTOS DIÁRIOS'!$G$5:$G$500,"F",'LANÇAMENTOS DIÁRIOS'!$C$5:$C$500,$A20,'LANÇAMENTOS DIÁRIOS'!$O$5:$O$500,"&lt;=117220",'LANÇAMENTOS DIÁRIOS'!$P$5:$P$500,"&gt;=117220")&gt;0,"X","")</f>
      </c>
    </row>
    <row r="21">
      <c r="A21" s="51" t="str">
        <v>Remanejamento de placa de sinalização instalada no solo, suporte metálico</v>
      </c>
      <c r="B21" s="56" t="str">
        <f>IF(COUNTIFS('LANÇAMENTOS DIÁRIOS'!$G$5:$G$500,"F",'LANÇAMENTOS DIÁRIOS'!$C$5:$C$500,$A21,'LANÇAMENTOS DIÁRIOS'!$O$5:$O$500,"&lt;=111599",'LANÇAMENTOS DIÁRIOS'!$P$5:$P$500,"&gt;=111500")&gt;0,"X","")</f>
      </c>
      <c r="C21" s="56" t="str">
        <f>IF(COUNTIFS('LANÇAMENTOS DIÁRIOS'!$G$5:$G$500,"F",'LANÇAMENTOS DIÁRIOS'!$C$5:$C$500,$A21,'LANÇAMENTOS DIÁRIOS'!$O$5:$O$500,"&lt;=111699",'LANÇAMENTOS DIÁRIOS'!$P$5:$P$500,"&gt;=111600")&gt;0,"X","")</f>
      </c>
      <c r="D21" s="56" t="str">
        <f>IF(COUNTIFS('LANÇAMENTOS DIÁRIOS'!$G$5:$G$500,"F",'LANÇAMENTOS DIÁRIOS'!$C$5:$C$500,$A21,'LANÇAMENTOS DIÁRIOS'!$O$5:$O$500,"&lt;=111799",'LANÇAMENTOS DIÁRIOS'!$P$5:$P$500,"&gt;=111700")&gt;0,"X","")</f>
      </c>
      <c r="E21" s="56" t="str">
        <f>IF(COUNTIFS('LANÇAMENTOS DIÁRIOS'!$G$5:$G$500,"F",'LANÇAMENTOS DIÁRIOS'!$C$5:$C$500,$A21,'LANÇAMENTOS DIÁRIOS'!$O$5:$O$500,"&lt;=111899",'LANÇAMENTOS DIÁRIOS'!$P$5:$P$500,"&gt;=111800")&gt;0,"X","")</f>
      </c>
      <c r="F21" s="56" t="str">
        <f>IF(COUNTIFS('LANÇAMENTOS DIÁRIOS'!$G$5:$G$500,"F",'LANÇAMENTOS DIÁRIOS'!$C$5:$C$500,$A21,'LANÇAMENTOS DIÁRIOS'!$O$5:$O$500,"&lt;=111999",'LANÇAMENTOS DIÁRIOS'!$P$5:$P$500,"&gt;=111900")&gt;0,"X","")</f>
      </c>
      <c r="G21" s="56" t="str">
        <f>IF(COUNTIFS('LANÇAMENTOS DIÁRIOS'!$G$5:$G$500,"F",'LANÇAMENTOS DIÁRIOS'!$C$5:$C$500,$A21,'LANÇAMENTOS DIÁRIOS'!$O$5:$O$500,"&lt;=112099",'LANÇAMENTOS DIÁRIOS'!$P$5:$P$500,"&gt;=112000")&gt;0,"X","")</f>
      </c>
      <c r="H21" s="56" t="str">
        <f>IF(COUNTIFS('LANÇAMENTOS DIÁRIOS'!$G$5:$G$500,"F",'LANÇAMENTOS DIÁRIOS'!$C$5:$C$500,$A21,'LANÇAMENTOS DIÁRIOS'!$O$5:$O$500,"&lt;=112199",'LANÇAMENTOS DIÁRIOS'!$P$5:$P$500,"&gt;=112100")&gt;0,"X","")</f>
      </c>
      <c r="I21" s="56" t="str">
        <f>IF(COUNTIFS('LANÇAMENTOS DIÁRIOS'!$G$5:$G$500,"F",'LANÇAMENTOS DIÁRIOS'!$C$5:$C$500,$A21,'LANÇAMENTOS DIÁRIOS'!$O$5:$O$500,"&lt;=112299",'LANÇAMENTOS DIÁRIOS'!$P$5:$P$500,"&gt;=112200")&gt;0,"X","")</f>
      </c>
      <c r="J21" s="56" t="str">
        <f>IF(COUNTIFS('LANÇAMENTOS DIÁRIOS'!$G$5:$G$500,"F",'LANÇAMENTOS DIÁRIOS'!$C$5:$C$500,$A21,'LANÇAMENTOS DIÁRIOS'!$O$5:$O$500,"&lt;=112399",'LANÇAMENTOS DIÁRIOS'!$P$5:$P$500,"&gt;=112300")&gt;0,"X","")</f>
      </c>
      <c r="K21" s="56" t="str">
        <f>IF(COUNTIFS('LANÇAMENTOS DIÁRIOS'!$G$5:$G$500,"F",'LANÇAMENTOS DIÁRIOS'!$C$5:$C$500,$A21,'LANÇAMENTOS DIÁRIOS'!$O$5:$O$500,"&lt;=112499",'LANÇAMENTOS DIÁRIOS'!$P$5:$P$500,"&gt;=112400")&gt;0,"X","")</f>
      </c>
      <c r="L21" s="56" t="str">
        <f>IF(COUNTIFS('LANÇAMENTOS DIÁRIOS'!$G$5:$G$500,"F",'LANÇAMENTOS DIÁRIOS'!$C$5:$C$500,$A21,'LANÇAMENTOS DIÁRIOS'!$O$5:$O$500,"&lt;=112599",'LANÇAMENTOS DIÁRIOS'!$P$5:$P$500,"&gt;=112500")&gt;0,"X","")</f>
      </c>
      <c r="M21" s="56" t="str">
        <f>IF(COUNTIFS('LANÇAMENTOS DIÁRIOS'!$G$5:$G$500,"F",'LANÇAMENTOS DIÁRIOS'!$C$5:$C$500,$A21,'LANÇAMENTOS DIÁRIOS'!$O$5:$O$500,"&lt;=112699",'LANÇAMENTOS DIÁRIOS'!$P$5:$P$500,"&gt;=112600")&gt;0,"X","")</f>
      </c>
      <c r="N21" s="56" t="str">
        <f>IF(COUNTIFS('LANÇAMENTOS DIÁRIOS'!$G$5:$G$500,"F",'LANÇAMENTOS DIÁRIOS'!$C$5:$C$500,$A21,'LANÇAMENTOS DIÁRIOS'!$O$5:$O$500,"&lt;=112799",'LANÇAMENTOS DIÁRIOS'!$P$5:$P$500,"&gt;=112700")&gt;0,"X","")</f>
      </c>
      <c r="O21" s="56" t="str">
        <f>IF(COUNTIFS('LANÇAMENTOS DIÁRIOS'!$G$5:$G$500,"F",'LANÇAMENTOS DIÁRIOS'!$C$5:$C$500,$A21,'LANÇAMENTOS DIÁRIOS'!$O$5:$O$500,"&lt;=112899",'LANÇAMENTOS DIÁRIOS'!$P$5:$P$500,"&gt;=112800")&gt;0,"X","")</f>
      </c>
      <c r="P21" s="56" t="str">
        <f>IF(COUNTIFS('LANÇAMENTOS DIÁRIOS'!$G$5:$G$500,"F",'LANÇAMENTOS DIÁRIOS'!$C$5:$C$500,$A21,'LANÇAMENTOS DIÁRIOS'!$O$5:$O$500,"&lt;=112999",'LANÇAMENTOS DIÁRIOS'!$P$5:$P$500,"&gt;=112900")&gt;0,"X","")</f>
      </c>
      <c r="Q21" s="56" t="str">
        <f>IF(COUNTIFS('LANÇAMENTOS DIÁRIOS'!$G$5:$G$500,"F",'LANÇAMENTOS DIÁRIOS'!$C$5:$C$500,$A21,'LANÇAMENTOS DIÁRIOS'!$O$5:$O$500,"&lt;=113099",'LANÇAMENTOS DIÁRIOS'!$P$5:$P$500,"&gt;=113000")&gt;0,"X","")</f>
      </c>
      <c r="R21" s="56" t="str">
        <f>IF(COUNTIFS('LANÇAMENTOS DIÁRIOS'!$G$5:$G$500,"F",'LANÇAMENTOS DIÁRIOS'!$C$5:$C$500,$A21,'LANÇAMENTOS DIÁRIOS'!$O$5:$O$500,"&lt;=113199",'LANÇAMENTOS DIÁRIOS'!$P$5:$P$500,"&gt;=113100")&gt;0,"X","")</f>
      </c>
      <c r="S21" s="56" t="str">
        <f>IF(COUNTIFS('LANÇAMENTOS DIÁRIOS'!$G$5:$G$500,"F",'LANÇAMENTOS DIÁRIOS'!$C$5:$C$500,$A21,'LANÇAMENTOS DIÁRIOS'!$O$5:$O$500,"&lt;=113299",'LANÇAMENTOS DIÁRIOS'!$P$5:$P$500,"&gt;=113200")&gt;0,"X","")</f>
      </c>
      <c r="T21" s="56" t="str">
        <f>IF(COUNTIFS('LANÇAMENTOS DIÁRIOS'!$G$5:$G$500,"F",'LANÇAMENTOS DIÁRIOS'!$C$5:$C$500,$A21,'LANÇAMENTOS DIÁRIOS'!$O$5:$O$500,"&lt;=113399",'LANÇAMENTOS DIÁRIOS'!$P$5:$P$500,"&gt;=113300")&gt;0,"X","")</f>
      </c>
      <c r="U21" s="56" t="str">
        <f>IF(COUNTIFS('LANÇAMENTOS DIÁRIOS'!$G$5:$G$500,"F",'LANÇAMENTOS DIÁRIOS'!$C$5:$C$500,$A21,'LANÇAMENTOS DIÁRIOS'!$O$5:$O$500,"&lt;=113499",'LANÇAMENTOS DIÁRIOS'!$P$5:$P$500,"&gt;=113400")&gt;0,"X","")</f>
      </c>
      <c r="V21" s="56" t="str">
        <f>IF(COUNTIFS('LANÇAMENTOS DIÁRIOS'!$G$5:$G$500,"F",'LANÇAMENTOS DIÁRIOS'!$C$5:$C$500,$A21,'LANÇAMENTOS DIÁRIOS'!$O$5:$O$500,"&lt;=113599",'LANÇAMENTOS DIÁRIOS'!$P$5:$P$500,"&gt;=113500")&gt;0,"X","")</f>
      </c>
      <c r="W21" s="56" t="str">
        <f>IF(COUNTIFS('LANÇAMENTOS DIÁRIOS'!$G$5:$G$500,"F",'LANÇAMENTOS DIÁRIOS'!$C$5:$C$500,$A21,'LANÇAMENTOS DIÁRIOS'!$O$5:$O$500,"&lt;=113699",'LANÇAMENTOS DIÁRIOS'!$P$5:$P$500,"&gt;=113600")&gt;0,"X","")</f>
      </c>
      <c r="X21" s="56" t="str">
        <f>IF(COUNTIFS('LANÇAMENTOS DIÁRIOS'!$G$5:$G$500,"F",'LANÇAMENTOS DIÁRIOS'!$C$5:$C$500,$A21,'LANÇAMENTOS DIÁRIOS'!$O$5:$O$500,"&lt;=113799",'LANÇAMENTOS DIÁRIOS'!$P$5:$P$500,"&gt;=113700")&gt;0,"X","")</f>
      </c>
      <c r="Y21" s="56" t="str">
        <f>IF(COUNTIFS('LANÇAMENTOS DIÁRIOS'!$G$5:$G$500,"F",'LANÇAMENTOS DIÁRIOS'!$C$5:$C$500,$A21,'LANÇAMENTOS DIÁRIOS'!$O$5:$O$500,"&lt;=113899",'LANÇAMENTOS DIÁRIOS'!$P$5:$P$500,"&gt;=113800")&gt;0,"X","")</f>
      </c>
      <c r="Z21" s="56" t="str">
        <f>IF(COUNTIFS('LANÇAMENTOS DIÁRIOS'!$G$5:$G$500,"F",'LANÇAMENTOS DIÁRIOS'!$C$5:$C$500,$A21,'LANÇAMENTOS DIÁRIOS'!$O$5:$O$500,"&lt;=113999",'LANÇAMENTOS DIÁRIOS'!$P$5:$P$500,"&gt;=113900")&gt;0,"X","")</f>
      </c>
      <c r="AA21" s="56" t="str">
        <f>IF(COUNTIFS('LANÇAMENTOS DIÁRIOS'!$G$5:$G$500,"F",'LANÇAMENTOS DIÁRIOS'!$C$5:$C$500,$A21,'LANÇAMENTOS DIÁRIOS'!$O$5:$O$500,"&lt;=114099",'LANÇAMENTOS DIÁRIOS'!$P$5:$P$500,"&gt;=114000")&gt;0,"X","")</f>
      </c>
      <c r="AB21" s="56" t="str">
        <f>IF(COUNTIFS('LANÇAMENTOS DIÁRIOS'!$G$5:$G$500,"F",'LANÇAMENTOS DIÁRIOS'!$C$5:$C$500,$A21,'LANÇAMENTOS DIÁRIOS'!$O$5:$O$500,"&lt;=114199",'LANÇAMENTOS DIÁRIOS'!$P$5:$P$500,"&gt;=114100")&gt;0,"X","")</f>
      </c>
      <c r="AC21" s="56" t="str">
        <f>IF(COUNTIFS('LANÇAMENTOS DIÁRIOS'!$G$5:$G$500,"F",'LANÇAMENTOS DIÁRIOS'!$C$5:$C$500,$A21,'LANÇAMENTOS DIÁRIOS'!$O$5:$O$500,"&lt;=114299",'LANÇAMENTOS DIÁRIOS'!$P$5:$P$500,"&gt;=114200")&gt;0,"X","")</f>
      </c>
      <c r="AD21" s="56" t="str">
        <f>IF(COUNTIFS('LANÇAMENTOS DIÁRIOS'!$G$5:$G$500,"F",'LANÇAMENTOS DIÁRIOS'!$C$5:$C$500,$A21,'LANÇAMENTOS DIÁRIOS'!$O$5:$O$500,"&lt;=114399",'LANÇAMENTOS DIÁRIOS'!$P$5:$P$500,"&gt;=114300")&gt;0,"X","")</f>
      </c>
      <c r="AE21" s="56" t="str">
        <f>IF(COUNTIFS('LANÇAMENTOS DIÁRIOS'!$G$5:$G$500,"F",'LANÇAMENTOS DIÁRIOS'!$C$5:$C$500,$A21,'LANÇAMENTOS DIÁRIOS'!$O$5:$O$500,"&lt;=114499",'LANÇAMENTOS DIÁRIOS'!$P$5:$P$500,"&gt;=114400")&gt;0,"X","")</f>
      </c>
      <c r="AF21" s="56" t="str">
        <f>IF(COUNTIFS('LANÇAMENTOS DIÁRIOS'!$G$5:$G$500,"F",'LANÇAMENTOS DIÁRIOS'!$C$5:$C$500,$A21,'LANÇAMENTOS DIÁRIOS'!$O$5:$O$500,"&lt;=114599",'LANÇAMENTOS DIÁRIOS'!$P$5:$P$500,"&gt;=114500")&gt;0,"X","")</f>
      </c>
      <c r="AG21" s="56" t="str">
        <f>IF(COUNTIFS('LANÇAMENTOS DIÁRIOS'!$G$5:$G$500,"F",'LANÇAMENTOS DIÁRIOS'!$C$5:$C$500,$A21,'LANÇAMENTOS DIÁRIOS'!$O$5:$O$500,"&lt;=114699",'LANÇAMENTOS DIÁRIOS'!$P$5:$P$500,"&gt;=114600")&gt;0,"X","")</f>
      </c>
      <c r="AH21" s="56" t="str">
        <f>IF(COUNTIFS('LANÇAMENTOS DIÁRIOS'!$G$5:$G$500,"F",'LANÇAMENTOS DIÁRIOS'!$C$5:$C$500,$A21,'LANÇAMENTOS DIÁRIOS'!$O$5:$O$500,"&lt;=114799",'LANÇAMENTOS DIÁRIOS'!$P$5:$P$500,"&gt;=114700")&gt;0,"X","")</f>
      </c>
      <c r="AI21" s="56" t="str">
        <f>IF(COUNTIFS('LANÇAMENTOS DIÁRIOS'!$G$5:$G$500,"F",'LANÇAMENTOS DIÁRIOS'!$C$5:$C$500,$A21,'LANÇAMENTOS DIÁRIOS'!$O$5:$O$500,"&lt;=114899",'LANÇAMENTOS DIÁRIOS'!$P$5:$P$500,"&gt;=114800")&gt;0,"X","")</f>
      </c>
      <c r="AJ21" s="56" t="str">
        <f>IF(COUNTIFS('LANÇAMENTOS DIÁRIOS'!$G$5:$G$500,"F",'LANÇAMENTOS DIÁRIOS'!$C$5:$C$500,$A21,'LANÇAMENTOS DIÁRIOS'!$O$5:$O$500,"&lt;=114999",'LANÇAMENTOS DIÁRIOS'!$P$5:$P$500,"&gt;=114900")&gt;0,"X","")</f>
      </c>
      <c r="AK21" s="56" t="str">
        <f>IF(COUNTIFS('LANÇAMENTOS DIÁRIOS'!$G$5:$G$500,"F",'LANÇAMENTOS DIÁRIOS'!$C$5:$C$500,$A21,'LANÇAMENTOS DIÁRIOS'!$O$5:$O$500,"&lt;=115099",'LANÇAMENTOS DIÁRIOS'!$P$5:$P$500,"&gt;=115000")&gt;0,"X","")</f>
      </c>
      <c r="AL21" s="56" t="str">
        <f>IF(COUNTIFS('LANÇAMENTOS DIÁRIOS'!$G$5:$G$500,"F",'LANÇAMENTOS DIÁRIOS'!$C$5:$C$500,$A21,'LANÇAMENTOS DIÁRIOS'!$O$5:$O$500,"&lt;=115199",'LANÇAMENTOS DIÁRIOS'!$P$5:$P$500,"&gt;=115100")&gt;0,"X","")</f>
      </c>
      <c r="AM21" s="56" t="str">
        <f>IF(COUNTIFS('LANÇAMENTOS DIÁRIOS'!$G$5:$G$500,"F",'LANÇAMENTOS DIÁRIOS'!$C$5:$C$500,$A21,'LANÇAMENTOS DIÁRIOS'!$O$5:$O$500,"&lt;=115299",'LANÇAMENTOS DIÁRIOS'!$P$5:$P$500,"&gt;=115200")&gt;0,"X","")</f>
      </c>
      <c r="AN21" s="56" t="str">
        <f>IF(COUNTIFS('LANÇAMENTOS DIÁRIOS'!$G$5:$G$500,"F",'LANÇAMENTOS DIÁRIOS'!$C$5:$C$500,$A21,'LANÇAMENTOS DIÁRIOS'!$O$5:$O$500,"&lt;=115399",'LANÇAMENTOS DIÁRIOS'!$P$5:$P$500,"&gt;=115300")&gt;0,"X","")</f>
      </c>
      <c r="AO21" s="56" t="str">
        <f>IF(COUNTIFS('LANÇAMENTOS DIÁRIOS'!$G$5:$G$500,"F",'LANÇAMENTOS DIÁRIOS'!$C$5:$C$500,$A21,'LANÇAMENTOS DIÁRIOS'!$O$5:$O$500,"&lt;=115499",'LANÇAMENTOS DIÁRIOS'!$P$5:$P$500,"&gt;=115400")&gt;0,"X","")</f>
      </c>
      <c r="AP21" s="56" t="str">
        <f>IF(COUNTIFS('LANÇAMENTOS DIÁRIOS'!$G$5:$G$500,"F",'LANÇAMENTOS DIÁRIOS'!$C$5:$C$500,$A21,'LANÇAMENTOS DIÁRIOS'!$O$5:$O$500,"&lt;=115599",'LANÇAMENTOS DIÁRIOS'!$P$5:$P$500,"&gt;=115500")&gt;0,"X","")</f>
      </c>
      <c r="AQ21" s="56" t="str">
        <f>IF(COUNTIFS('LANÇAMENTOS DIÁRIOS'!$G$5:$G$500,"F",'LANÇAMENTOS DIÁRIOS'!$C$5:$C$500,$A21,'LANÇAMENTOS DIÁRIOS'!$O$5:$O$500,"&lt;=115699",'LANÇAMENTOS DIÁRIOS'!$P$5:$P$500,"&gt;=115600")&gt;0,"X","")</f>
      </c>
      <c r="AR21" s="56" t="str">
        <f>IF(COUNTIFS('LANÇAMENTOS DIÁRIOS'!$G$5:$G$500,"F",'LANÇAMENTOS DIÁRIOS'!$C$5:$C$500,$A21,'LANÇAMENTOS DIÁRIOS'!$O$5:$O$500,"&lt;=115799",'LANÇAMENTOS DIÁRIOS'!$P$5:$P$500,"&gt;=115700")&gt;0,"X","")</f>
      </c>
      <c r="AS21" s="56" t="str">
        <f>IF(COUNTIFS('LANÇAMENTOS DIÁRIOS'!$G$5:$G$500,"F",'LANÇAMENTOS DIÁRIOS'!$C$5:$C$500,$A21,'LANÇAMENTOS DIÁRIOS'!$O$5:$O$500,"&lt;=115899",'LANÇAMENTOS DIÁRIOS'!$P$5:$P$500,"&gt;=115800")&gt;0,"X","")</f>
      </c>
      <c r="AT21" s="56" t="str">
        <f>IF(COUNTIFS('LANÇAMENTOS DIÁRIOS'!$G$5:$G$500,"F",'LANÇAMENTOS DIÁRIOS'!$C$5:$C$500,$A21,'LANÇAMENTOS DIÁRIOS'!$O$5:$O$500,"&lt;=115999",'LANÇAMENTOS DIÁRIOS'!$P$5:$P$500,"&gt;=115900")&gt;0,"X","")</f>
      </c>
      <c r="AU21" s="56" t="str">
        <f>IF(COUNTIFS('LANÇAMENTOS DIÁRIOS'!$G$5:$G$500,"F",'LANÇAMENTOS DIÁRIOS'!$C$5:$C$500,$A21,'LANÇAMENTOS DIÁRIOS'!$O$5:$O$500,"&lt;=116099",'LANÇAMENTOS DIÁRIOS'!$P$5:$P$500,"&gt;=116000")&gt;0,"X","")</f>
      </c>
      <c r="AV21" s="56" t="str">
        <f>IF(COUNTIFS('LANÇAMENTOS DIÁRIOS'!$G$5:$G$500,"F",'LANÇAMENTOS DIÁRIOS'!$C$5:$C$500,$A21,'LANÇAMENTOS DIÁRIOS'!$O$5:$O$500,"&lt;=116199",'LANÇAMENTOS DIÁRIOS'!$P$5:$P$500,"&gt;=116100")&gt;0,"X","")</f>
      </c>
      <c r="AW21" s="56" t="str">
        <f>IF(COUNTIFS('LANÇAMENTOS DIÁRIOS'!$G$5:$G$500,"F",'LANÇAMENTOS DIÁRIOS'!$C$5:$C$500,$A21,'LANÇAMENTOS DIÁRIOS'!$O$5:$O$500,"&lt;=116299",'LANÇAMENTOS DIÁRIOS'!$P$5:$P$500,"&gt;=116200")&gt;0,"X","")</f>
      </c>
      <c r="AX21" s="56" t="str">
        <f>IF(COUNTIFS('LANÇAMENTOS DIÁRIOS'!$G$5:$G$500,"F",'LANÇAMENTOS DIÁRIOS'!$C$5:$C$500,$A21,'LANÇAMENTOS DIÁRIOS'!$O$5:$O$500,"&lt;=116399",'LANÇAMENTOS DIÁRIOS'!$P$5:$P$500,"&gt;=116300")&gt;0,"X","")</f>
      </c>
      <c r="AY21" s="56" t="str">
        <f>IF(COUNTIFS('LANÇAMENTOS DIÁRIOS'!$G$5:$G$500,"F",'LANÇAMENTOS DIÁRIOS'!$C$5:$C$500,$A21,'LANÇAMENTOS DIÁRIOS'!$O$5:$O$500,"&lt;=116499",'LANÇAMENTOS DIÁRIOS'!$P$5:$P$500,"&gt;=116400")&gt;0,"X","")</f>
      </c>
      <c r="AZ21" s="56" t="str">
        <f>IF(COUNTIFS('LANÇAMENTOS DIÁRIOS'!$G$5:$G$500,"F",'LANÇAMENTOS DIÁRIOS'!$C$5:$C$500,$A21,'LANÇAMENTOS DIÁRIOS'!$O$5:$O$500,"&lt;=116599",'LANÇAMENTOS DIÁRIOS'!$P$5:$P$500,"&gt;=116500")&gt;0,"X","")</f>
      </c>
      <c r="BA21" s="56" t="str">
        <f>IF(COUNTIFS('LANÇAMENTOS DIÁRIOS'!$G$5:$G$500,"F",'LANÇAMENTOS DIÁRIOS'!$C$5:$C$500,$A21,'LANÇAMENTOS DIÁRIOS'!$O$5:$O$500,"&lt;=116699",'LANÇAMENTOS DIÁRIOS'!$P$5:$P$500,"&gt;=116600")&gt;0,"X","")</f>
      </c>
      <c r="BB21" s="56" t="str">
        <f>IF(COUNTIFS('LANÇAMENTOS DIÁRIOS'!$G$5:$G$500,"F",'LANÇAMENTOS DIÁRIOS'!$C$5:$C$500,$A21,'LANÇAMENTOS DIÁRIOS'!$O$5:$O$500,"&lt;=116799",'LANÇAMENTOS DIÁRIOS'!$P$5:$P$500,"&gt;=116700")&gt;0,"X","")</f>
      </c>
      <c r="BC21" s="56" t="str">
        <f>IF(COUNTIFS('LANÇAMENTOS DIÁRIOS'!$G$5:$G$500,"F",'LANÇAMENTOS DIÁRIOS'!$C$5:$C$500,$A21,'LANÇAMENTOS DIÁRIOS'!$O$5:$O$500,"&lt;=116899",'LANÇAMENTOS DIÁRIOS'!$P$5:$P$500,"&gt;=116800")&gt;0,"X","")</f>
      </c>
      <c r="BD21" s="56" t="str">
        <f>IF(COUNTIFS('LANÇAMENTOS DIÁRIOS'!$G$5:$G$500,"F",'LANÇAMENTOS DIÁRIOS'!$C$5:$C$500,$A21,'LANÇAMENTOS DIÁRIOS'!$O$5:$O$500,"&lt;=116999",'LANÇAMENTOS DIÁRIOS'!$P$5:$P$500,"&gt;=116900")&gt;0,"X","")</f>
      </c>
      <c r="BE21" s="56" t="str">
        <f>IF(COUNTIFS('LANÇAMENTOS DIÁRIOS'!$G$5:$G$500,"F",'LANÇAMENTOS DIÁRIOS'!$C$5:$C$500,$A21,'LANÇAMENTOS DIÁRIOS'!$O$5:$O$500,"&lt;=117099",'LANÇAMENTOS DIÁRIOS'!$P$5:$P$500,"&gt;=117000")&gt;0,"X","")</f>
      </c>
      <c r="BF21" s="56" t="str">
        <f>IF(COUNTIFS('LANÇAMENTOS DIÁRIOS'!$G$5:$G$500,"F",'LANÇAMENTOS DIÁRIOS'!$C$5:$C$500,$A21,'LANÇAMENTOS DIÁRIOS'!$O$5:$O$500,"&lt;=117199",'LANÇAMENTOS DIÁRIOS'!$P$5:$P$500,"&gt;=117100")&gt;0,"X","")</f>
      </c>
      <c r="BG21" s="56" t="str">
        <f>IF(COUNTIFS('LANÇAMENTOS DIÁRIOS'!$G$5:$G$500,"F",'LANÇAMENTOS DIÁRIOS'!$C$5:$C$500,$A21,'LANÇAMENTOS DIÁRIOS'!$O$5:$O$500,"&lt;=117219",'LANÇAMENTOS DIÁRIOS'!$P$5:$P$500,"&gt;=117200")&gt;0,"X","")</f>
      </c>
      <c r="BH21" s="56" t="str">
        <f>IF(COUNTIFS('LANÇAMENTOS DIÁRIOS'!$G$5:$G$500,"F",'LANÇAMENTOS DIÁRIOS'!$C$5:$C$500,$A21,'LANÇAMENTOS DIÁRIOS'!$O$5:$O$500,"&lt;=117220",'LANÇAMENTOS DIÁRIOS'!$P$5:$P$500,"&gt;=117220")&gt;0,"X","")</f>
      </c>
    </row>
    <row r="22">
      <c r="A22" s="51" t="str">
        <v>Remanejamento de placa de sinalização, solo</v>
      </c>
      <c r="B22" s="56" t="str">
        <f>IF(COUNTIFS('LANÇAMENTOS DIÁRIOS'!$G$5:$G$500,"F",'LANÇAMENTOS DIÁRIOS'!$C$5:$C$500,$A22,'LANÇAMENTOS DIÁRIOS'!$O$5:$O$500,"&lt;=111599",'LANÇAMENTOS DIÁRIOS'!$P$5:$P$500,"&gt;=111500")&gt;0,"X","")</f>
      </c>
      <c r="C22" s="56" t="str">
        <f>IF(COUNTIFS('LANÇAMENTOS DIÁRIOS'!$G$5:$G$500,"F",'LANÇAMENTOS DIÁRIOS'!$C$5:$C$500,$A22,'LANÇAMENTOS DIÁRIOS'!$O$5:$O$500,"&lt;=111699",'LANÇAMENTOS DIÁRIOS'!$P$5:$P$500,"&gt;=111600")&gt;0,"X","")</f>
      </c>
      <c r="D22" s="56" t="str">
        <f>IF(COUNTIFS('LANÇAMENTOS DIÁRIOS'!$G$5:$G$500,"F",'LANÇAMENTOS DIÁRIOS'!$C$5:$C$500,$A22,'LANÇAMENTOS DIÁRIOS'!$O$5:$O$500,"&lt;=111799",'LANÇAMENTOS DIÁRIOS'!$P$5:$P$500,"&gt;=111700")&gt;0,"X","")</f>
      </c>
      <c r="E22" s="56" t="str">
        <f>IF(COUNTIFS('LANÇAMENTOS DIÁRIOS'!$G$5:$G$500,"F",'LANÇAMENTOS DIÁRIOS'!$C$5:$C$500,$A22,'LANÇAMENTOS DIÁRIOS'!$O$5:$O$500,"&lt;=111899",'LANÇAMENTOS DIÁRIOS'!$P$5:$P$500,"&gt;=111800")&gt;0,"X","")</f>
      </c>
      <c r="F22" s="56" t="str">
        <f>IF(COUNTIFS('LANÇAMENTOS DIÁRIOS'!$G$5:$G$500,"F",'LANÇAMENTOS DIÁRIOS'!$C$5:$C$500,$A22,'LANÇAMENTOS DIÁRIOS'!$O$5:$O$500,"&lt;=111999",'LANÇAMENTOS DIÁRIOS'!$P$5:$P$500,"&gt;=111900")&gt;0,"X","")</f>
      </c>
      <c r="G22" s="56" t="str">
        <f>IF(COUNTIFS('LANÇAMENTOS DIÁRIOS'!$G$5:$G$500,"F",'LANÇAMENTOS DIÁRIOS'!$C$5:$C$500,$A22,'LANÇAMENTOS DIÁRIOS'!$O$5:$O$500,"&lt;=112099",'LANÇAMENTOS DIÁRIOS'!$P$5:$P$500,"&gt;=112000")&gt;0,"X","")</f>
      </c>
      <c r="H22" s="56" t="str">
        <f>IF(COUNTIFS('LANÇAMENTOS DIÁRIOS'!$G$5:$G$500,"F",'LANÇAMENTOS DIÁRIOS'!$C$5:$C$500,$A22,'LANÇAMENTOS DIÁRIOS'!$O$5:$O$500,"&lt;=112199",'LANÇAMENTOS DIÁRIOS'!$P$5:$P$500,"&gt;=112100")&gt;0,"X","")</f>
      </c>
      <c r="I22" s="56" t="str">
        <f>IF(COUNTIFS('LANÇAMENTOS DIÁRIOS'!$G$5:$G$500,"F",'LANÇAMENTOS DIÁRIOS'!$C$5:$C$500,$A22,'LANÇAMENTOS DIÁRIOS'!$O$5:$O$500,"&lt;=112299",'LANÇAMENTOS DIÁRIOS'!$P$5:$P$500,"&gt;=112200")&gt;0,"X","")</f>
      </c>
      <c r="J22" s="56" t="str">
        <f>IF(COUNTIFS('LANÇAMENTOS DIÁRIOS'!$G$5:$G$500,"F",'LANÇAMENTOS DIÁRIOS'!$C$5:$C$500,$A22,'LANÇAMENTOS DIÁRIOS'!$O$5:$O$500,"&lt;=112399",'LANÇAMENTOS DIÁRIOS'!$P$5:$P$500,"&gt;=112300")&gt;0,"X","")</f>
      </c>
      <c r="K22" s="56" t="str">
        <f>IF(COUNTIFS('LANÇAMENTOS DIÁRIOS'!$G$5:$G$500,"F",'LANÇAMENTOS DIÁRIOS'!$C$5:$C$500,$A22,'LANÇAMENTOS DIÁRIOS'!$O$5:$O$500,"&lt;=112499",'LANÇAMENTOS DIÁRIOS'!$P$5:$P$500,"&gt;=112400")&gt;0,"X","")</f>
      </c>
      <c r="L22" s="56" t="str">
        <f>IF(COUNTIFS('LANÇAMENTOS DIÁRIOS'!$G$5:$G$500,"F",'LANÇAMENTOS DIÁRIOS'!$C$5:$C$500,$A22,'LANÇAMENTOS DIÁRIOS'!$O$5:$O$500,"&lt;=112599",'LANÇAMENTOS DIÁRIOS'!$P$5:$P$500,"&gt;=112500")&gt;0,"X","")</f>
      </c>
      <c r="M22" s="56" t="str">
        <f>IF(COUNTIFS('LANÇAMENTOS DIÁRIOS'!$G$5:$G$500,"F",'LANÇAMENTOS DIÁRIOS'!$C$5:$C$500,$A22,'LANÇAMENTOS DIÁRIOS'!$O$5:$O$500,"&lt;=112699",'LANÇAMENTOS DIÁRIOS'!$P$5:$P$500,"&gt;=112600")&gt;0,"X","")</f>
      </c>
      <c r="N22" s="56" t="str">
        <f>IF(COUNTIFS('LANÇAMENTOS DIÁRIOS'!$G$5:$G$500,"F",'LANÇAMENTOS DIÁRIOS'!$C$5:$C$500,$A22,'LANÇAMENTOS DIÁRIOS'!$O$5:$O$500,"&lt;=112799",'LANÇAMENTOS DIÁRIOS'!$P$5:$P$500,"&gt;=112700")&gt;0,"X","")</f>
      </c>
      <c r="O22" s="56" t="str">
        <f>IF(COUNTIFS('LANÇAMENTOS DIÁRIOS'!$G$5:$G$500,"F",'LANÇAMENTOS DIÁRIOS'!$C$5:$C$500,$A22,'LANÇAMENTOS DIÁRIOS'!$O$5:$O$500,"&lt;=112899",'LANÇAMENTOS DIÁRIOS'!$P$5:$P$500,"&gt;=112800")&gt;0,"X","")</f>
      </c>
      <c r="P22" s="56" t="str">
        <f>IF(COUNTIFS('LANÇAMENTOS DIÁRIOS'!$G$5:$G$500,"F",'LANÇAMENTOS DIÁRIOS'!$C$5:$C$500,$A22,'LANÇAMENTOS DIÁRIOS'!$O$5:$O$500,"&lt;=112999",'LANÇAMENTOS DIÁRIOS'!$P$5:$P$500,"&gt;=112900")&gt;0,"X","")</f>
      </c>
      <c r="Q22" s="56" t="str">
        <f>IF(COUNTIFS('LANÇAMENTOS DIÁRIOS'!$G$5:$G$500,"F",'LANÇAMENTOS DIÁRIOS'!$C$5:$C$500,$A22,'LANÇAMENTOS DIÁRIOS'!$O$5:$O$500,"&lt;=113099",'LANÇAMENTOS DIÁRIOS'!$P$5:$P$500,"&gt;=113000")&gt;0,"X","")</f>
      </c>
      <c r="R22" s="56" t="str">
        <f>IF(COUNTIFS('LANÇAMENTOS DIÁRIOS'!$G$5:$G$500,"F",'LANÇAMENTOS DIÁRIOS'!$C$5:$C$500,$A22,'LANÇAMENTOS DIÁRIOS'!$O$5:$O$500,"&lt;=113199",'LANÇAMENTOS DIÁRIOS'!$P$5:$P$500,"&gt;=113100")&gt;0,"X","")</f>
      </c>
      <c r="S22" s="56" t="str">
        <f>IF(COUNTIFS('LANÇAMENTOS DIÁRIOS'!$G$5:$G$500,"F",'LANÇAMENTOS DIÁRIOS'!$C$5:$C$500,$A22,'LANÇAMENTOS DIÁRIOS'!$O$5:$O$500,"&lt;=113299",'LANÇAMENTOS DIÁRIOS'!$P$5:$P$500,"&gt;=113200")&gt;0,"X","")</f>
      </c>
      <c r="T22" s="56" t="str">
        <f>IF(COUNTIFS('LANÇAMENTOS DIÁRIOS'!$G$5:$G$500,"F",'LANÇAMENTOS DIÁRIOS'!$C$5:$C$500,$A22,'LANÇAMENTOS DIÁRIOS'!$O$5:$O$500,"&lt;=113399",'LANÇAMENTOS DIÁRIOS'!$P$5:$P$500,"&gt;=113300")&gt;0,"X","")</f>
      </c>
      <c r="U22" s="56" t="str">
        <f>IF(COUNTIFS('LANÇAMENTOS DIÁRIOS'!$G$5:$G$500,"F",'LANÇAMENTOS DIÁRIOS'!$C$5:$C$500,$A22,'LANÇAMENTOS DIÁRIOS'!$O$5:$O$500,"&lt;=113499",'LANÇAMENTOS DIÁRIOS'!$P$5:$P$500,"&gt;=113400")&gt;0,"X","")</f>
      </c>
      <c r="V22" s="56" t="str">
        <f>IF(COUNTIFS('LANÇAMENTOS DIÁRIOS'!$G$5:$G$500,"F",'LANÇAMENTOS DIÁRIOS'!$C$5:$C$500,$A22,'LANÇAMENTOS DIÁRIOS'!$O$5:$O$500,"&lt;=113599",'LANÇAMENTOS DIÁRIOS'!$P$5:$P$500,"&gt;=113500")&gt;0,"X","")</f>
      </c>
      <c r="W22" s="56" t="str">
        <f>IF(COUNTIFS('LANÇAMENTOS DIÁRIOS'!$G$5:$G$500,"F",'LANÇAMENTOS DIÁRIOS'!$C$5:$C$500,$A22,'LANÇAMENTOS DIÁRIOS'!$O$5:$O$500,"&lt;=113699",'LANÇAMENTOS DIÁRIOS'!$P$5:$P$500,"&gt;=113600")&gt;0,"X","")</f>
      </c>
      <c r="X22" s="56" t="str">
        <f>IF(COUNTIFS('LANÇAMENTOS DIÁRIOS'!$G$5:$G$500,"F",'LANÇAMENTOS DIÁRIOS'!$C$5:$C$500,$A22,'LANÇAMENTOS DIÁRIOS'!$O$5:$O$500,"&lt;=113799",'LANÇAMENTOS DIÁRIOS'!$P$5:$P$500,"&gt;=113700")&gt;0,"X","")</f>
      </c>
      <c r="Y22" s="56" t="str">
        <f>IF(COUNTIFS('LANÇAMENTOS DIÁRIOS'!$G$5:$G$500,"F",'LANÇAMENTOS DIÁRIOS'!$C$5:$C$500,$A22,'LANÇAMENTOS DIÁRIOS'!$O$5:$O$500,"&lt;=113899",'LANÇAMENTOS DIÁRIOS'!$P$5:$P$500,"&gt;=113800")&gt;0,"X","")</f>
      </c>
      <c r="Z22" s="56" t="str">
        <f>IF(COUNTIFS('LANÇAMENTOS DIÁRIOS'!$G$5:$G$500,"F",'LANÇAMENTOS DIÁRIOS'!$C$5:$C$500,$A22,'LANÇAMENTOS DIÁRIOS'!$O$5:$O$500,"&lt;=113999",'LANÇAMENTOS DIÁRIOS'!$P$5:$P$500,"&gt;=113900")&gt;0,"X","")</f>
      </c>
      <c r="AA22" s="56" t="str">
        <f>IF(COUNTIFS('LANÇAMENTOS DIÁRIOS'!$G$5:$G$500,"F",'LANÇAMENTOS DIÁRIOS'!$C$5:$C$500,$A22,'LANÇAMENTOS DIÁRIOS'!$O$5:$O$500,"&lt;=114099",'LANÇAMENTOS DIÁRIOS'!$P$5:$P$500,"&gt;=114000")&gt;0,"X","")</f>
      </c>
      <c r="AB22" s="56" t="str">
        <f>IF(COUNTIFS('LANÇAMENTOS DIÁRIOS'!$G$5:$G$500,"F",'LANÇAMENTOS DIÁRIOS'!$C$5:$C$500,$A22,'LANÇAMENTOS DIÁRIOS'!$O$5:$O$500,"&lt;=114199",'LANÇAMENTOS DIÁRIOS'!$P$5:$P$500,"&gt;=114100")&gt;0,"X","")</f>
      </c>
      <c r="AC22" s="56" t="str">
        <f>IF(COUNTIFS('LANÇAMENTOS DIÁRIOS'!$G$5:$G$500,"F",'LANÇAMENTOS DIÁRIOS'!$C$5:$C$500,$A22,'LANÇAMENTOS DIÁRIOS'!$O$5:$O$500,"&lt;=114299",'LANÇAMENTOS DIÁRIOS'!$P$5:$P$500,"&gt;=114200")&gt;0,"X","")</f>
      </c>
      <c r="AD22" s="56" t="str">
        <f>IF(COUNTIFS('LANÇAMENTOS DIÁRIOS'!$G$5:$G$500,"F",'LANÇAMENTOS DIÁRIOS'!$C$5:$C$500,$A22,'LANÇAMENTOS DIÁRIOS'!$O$5:$O$500,"&lt;=114399",'LANÇAMENTOS DIÁRIOS'!$P$5:$P$500,"&gt;=114300")&gt;0,"X","")</f>
      </c>
      <c r="AE22" s="56" t="str">
        <f>IF(COUNTIFS('LANÇAMENTOS DIÁRIOS'!$G$5:$G$500,"F",'LANÇAMENTOS DIÁRIOS'!$C$5:$C$500,$A22,'LANÇAMENTOS DIÁRIOS'!$O$5:$O$500,"&lt;=114499",'LANÇAMENTOS DIÁRIOS'!$P$5:$P$500,"&gt;=114400")&gt;0,"X","")</f>
      </c>
      <c r="AF22" s="56" t="str">
        <f>IF(COUNTIFS('LANÇAMENTOS DIÁRIOS'!$G$5:$G$500,"F",'LANÇAMENTOS DIÁRIOS'!$C$5:$C$500,$A22,'LANÇAMENTOS DIÁRIOS'!$O$5:$O$500,"&lt;=114599",'LANÇAMENTOS DIÁRIOS'!$P$5:$P$500,"&gt;=114500")&gt;0,"X","")</f>
      </c>
      <c r="AG22" s="56" t="str">
        <f>IF(COUNTIFS('LANÇAMENTOS DIÁRIOS'!$G$5:$G$500,"F",'LANÇAMENTOS DIÁRIOS'!$C$5:$C$500,$A22,'LANÇAMENTOS DIÁRIOS'!$O$5:$O$500,"&lt;=114699",'LANÇAMENTOS DIÁRIOS'!$P$5:$P$500,"&gt;=114600")&gt;0,"X","")</f>
      </c>
      <c r="AH22" s="56" t="str">
        <f>IF(COUNTIFS('LANÇAMENTOS DIÁRIOS'!$G$5:$G$500,"F",'LANÇAMENTOS DIÁRIOS'!$C$5:$C$500,$A22,'LANÇAMENTOS DIÁRIOS'!$O$5:$O$500,"&lt;=114799",'LANÇAMENTOS DIÁRIOS'!$P$5:$P$500,"&gt;=114700")&gt;0,"X","")</f>
      </c>
      <c r="AI22" s="56" t="str">
        <f>IF(COUNTIFS('LANÇAMENTOS DIÁRIOS'!$G$5:$G$500,"F",'LANÇAMENTOS DIÁRIOS'!$C$5:$C$500,$A22,'LANÇAMENTOS DIÁRIOS'!$O$5:$O$500,"&lt;=114899",'LANÇAMENTOS DIÁRIOS'!$P$5:$P$500,"&gt;=114800")&gt;0,"X","")</f>
      </c>
      <c r="AJ22" s="56" t="str">
        <f>IF(COUNTIFS('LANÇAMENTOS DIÁRIOS'!$G$5:$G$500,"F",'LANÇAMENTOS DIÁRIOS'!$C$5:$C$500,$A22,'LANÇAMENTOS DIÁRIOS'!$O$5:$O$500,"&lt;=114999",'LANÇAMENTOS DIÁRIOS'!$P$5:$P$500,"&gt;=114900")&gt;0,"X","")</f>
      </c>
      <c r="AK22" s="56" t="str">
        <f>IF(COUNTIFS('LANÇAMENTOS DIÁRIOS'!$G$5:$G$500,"F",'LANÇAMENTOS DIÁRIOS'!$C$5:$C$500,$A22,'LANÇAMENTOS DIÁRIOS'!$O$5:$O$500,"&lt;=115099",'LANÇAMENTOS DIÁRIOS'!$P$5:$P$500,"&gt;=115000")&gt;0,"X","")</f>
      </c>
      <c r="AL22" s="56" t="str">
        <f>IF(COUNTIFS('LANÇAMENTOS DIÁRIOS'!$G$5:$G$500,"F",'LANÇAMENTOS DIÁRIOS'!$C$5:$C$500,$A22,'LANÇAMENTOS DIÁRIOS'!$O$5:$O$500,"&lt;=115199",'LANÇAMENTOS DIÁRIOS'!$P$5:$P$500,"&gt;=115100")&gt;0,"X","")</f>
      </c>
      <c r="AM22" s="56" t="str">
        <f>IF(COUNTIFS('LANÇAMENTOS DIÁRIOS'!$G$5:$G$500,"F",'LANÇAMENTOS DIÁRIOS'!$C$5:$C$500,$A22,'LANÇAMENTOS DIÁRIOS'!$O$5:$O$500,"&lt;=115299",'LANÇAMENTOS DIÁRIOS'!$P$5:$P$500,"&gt;=115200")&gt;0,"X","")</f>
      </c>
      <c r="AN22" s="56" t="str">
        <f>IF(COUNTIFS('LANÇAMENTOS DIÁRIOS'!$G$5:$G$500,"F",'LANÇAMENTOS DIÁRIOS'!$C$5:$C$500,$A22,'LANÇAMENTOS DIÁRIOS'!$O$5:$O$500,"&lt;=115399",'LANÇAMENTOS DIÁRIOS'!$P$5:$P$500,"&gt;=115300")&gt;0,"X","")</f>
      </c>
      <c r="AO22" s="56" t="str">
        <f>IF(COUNTIFS('LANÇAMENTOS DIÁRIOS'!$G$5:$G$500,"F",'LANÇAMENTOS DIÁRIOS'!$C$5:$C$500,$A22,'LANÇAMENTOS DIÁRIOS'!$O$5:$O$500,"&lt;=115499",'LANÇAMENTOS DIÁRIOS'!$P$5:$P$500,"&gt;=115400")&gt;0,"X","")</f>
      </c>
      <c r="AP22" s="56" t="str">
        <f>IF(COUNTIFS('LANÇAMENTOS DIÁRIOS'!$G$5:$G$500,"F",'LANÇAMENTOS DIÁRIOS'!$C$5:$C$500,$A22,'LANÇAMENTOS DIÁRIOS'!$O$5:$O$500,"&lt;=115599",'LANÇAMENTOS DIÁRIOS'!$P$5:$P$500,"&gt;=115500")&gt;0,"X","")</f>
      </c>
      <c r="AQ22" s="56" t="str">
        <f>IF(COUNTIFS('LANÇAMENTOS DIÁRIOS'!$G$5:$G$500,"F",'LANÇAMENTOS DIÁRIOS'!$C$5:$C$500,$A22,'LANÇAMENTOS DIÁRIOS'!$O$5:$O$500,"&lt;=115699",'LANÇAMENTOS DIÁRIOS'!$P$5:$P$500,"&gt;=115600")&gt;0,"X","")</f>
      </c>
      <c r="AR22" s="56" t="str">
        <f>IF(COUNTIFS('LANÇAMENTOS DIÁRIOS'!$G$5:$G$500,"F",'LANÇAMENTOS DIÁRIOS'!$C$5:$C$500,$A22,'LANÇAMENTOS DIÁRIOS'!$O$5:$O$500,"&lt;=115799",'LANÇAMENTOS DIÁRIOS'!$P$5:$P$500,"&gt;=115700")&gt;0,"X","")</f>
      </c>
      <c r="AS22" s="56" t="str">
        <f>IF(COUNTIFS('LANÇAMENTOS DIÁRIOS'!$G$5:$G$500,"F",'LANÇAMENTOS DIÁRIOS'!$C$5:$C$500,$A22,'LANÇAMENTOS DIÁRIOS'!$O$5:$O$500,"&lt;=115899",'LANÇAMENTOS DIÁRIOS'!$P$5:$P$500,"&gt;=115800")&gt;0,"X","")</f>
      </c>
      <c r="AT22" s="56" t="str">
        <f>IF(COUNTIFS('LANÇAMENTOS DIÁRIOS'!$G$5:$G$500,"F",'LANÇAMENTOS DIÁRIOS'!$C$5:$C$500,$A22,'LANÇAMENTOS DIÁRIOS'!$O$5:$O$500,"&lt;=115999",'LANÇAMENTOS DIÁRIOS'!$P$5:$P$500,"&gt;=115900")&gt;0,"X","")</f>
      </c>
      <c r="AU22" s="56" t="str">
        <f>IF(COUNTIFS('LANÇAMENTOS DIÁRIOS'!$G$5:$G$500,"F",'LANÇAMENTOS DIÁRIOS'!$C$5:$C$500,$A22,'LANÇAMENTOS DIÁRIOS'!$O$5:$O$500,"&lt;=116099",'LANÇAMENTOS DIÁRIOS'!$P$5:$P$500,"&gt;=116000")&gt;0,"X","")</f>
      </c>
      <c r="AV22" s="56" t="str">
        <f>IF(COUNTIFS('LANÇAMENTOS DIÁRIOS'!$G$5:$G$500,"F",'LANÇAMENTOS DIÁRIOS'!$C$5:$C$500,$A22,'LANÇAMENTOS DIÁRIOS'!$O$5:$O$500,"&lt;=116199",'LANÇAMENTOS DIÁRIOS'!$P$5:$P$500,"&gt;=116100")&gt;0,"X","")</f>
      </c>
      <c r="AW22" s="56" t="str">
        <f>IF(COUNTIFS('LANÇAMENTOS DIÁRIOS'!$G$5:$G$500,"F",'LANÇAMENTOS DIÁRIOS'!$C$5:$C$500,$A22,'LANÇAMENTOS DIÁRIOS'!$O$5:$O$500,"&lt;=116299",'LANÇAMENTOS DIÁRIOS'!$P$5:$P$500,"&gt;=116200")&gt;0,"X","")</f>
      </c>
      <c r="AX22" s="56" t="str">
        <f>IF(COUNTIFS('LANÇAMENTOS DIÁRIOS'!$G$5:$G$500,"F",'LANÇAMENTOS DIÁRIOS'!$C$5:$C$500,$A22,'LANÇAMENTOS DIÁRIOS'!$O$5:$O$500,"&lt;=116399",'LANÇAMENTOS DIÁRIOS'!$P$5:$P$500,"&gt;=116300")&gt;0,"X","")</f>
      </c>
      <c r="AY22" s="56" t="str">
        <f>IF(COUNTIFS('LANÇAMENTOS DIÁRIOS'!$G$5:$G$500,"F",'LANÇAMENTOS DIÁRIOS'!$C$5:$C$500,$A22,'LANÇAMENTOS DIÁRIOS'!$O$5:$O$500,"&lt;=116499",'LANÇAMENTOS DIÁRIOS'!$P$5:$P$500,"&gt;=116400")&gt;0,"X","")</f>
      </c>
      <c r="AZ22" s="56" t="str">
        <f>IF(COUNTIFS('LANÇAMENTOS DIÁRIOS'!$G$5:$G$500,"F",'LANÇAMENTOS DIÁRIOS'!$C$5:$C$500,$A22,'LANÇAMENTOS DIÁRIOS'!$O$5:$O$500,"&lt;=116599",'LANÇAMENTOS DIÁRIOS'!$P$5:$P$500,"&gt;=116500")&gt;0,"X","")</f>
      </c>
      <c r="BA22" s="56" t="str">
        <f>IF(COUNTIFS('LANÇAMENTOS DIÁRIOS'!$G$5:$G$500,"F",'LANÇAMENTOS DIÁRIOS'!$C$5:$C$500,$A22,'LANÇAMENTOS DIÁRIOS'!$O$5:$O$500,"&lt;=116699",'LANÇAMENTOS DIÁRIOS'!$P$5:$P$500,"&gt;=116600")&gt;0,"X","")</f>
      </c>
      <c r="BB22" s="56" t="str">
        <f>IF(COUNTIFS('LANÇAMENTOS DIÁRIOS'!$G$5:$G$500,"F",'LANÇAMENTOS DIÁRIOS'!$C$5:$C$500,$A22,'LANÇAMENTOS DIÁRIOS'!$O$5:$O$500,"&lt;=116799",'LANÇAMENTOS DIÁRIOS'!$P$5:$P$500,"&gt;=116700")&gt;0,"X","")</f>
      </c>
      <c r="BC22" s="56" t="str">
        <f>IF(COUNTIFS('LANÇAMENTOS DIÁRIOS'!$G$5:$G$500,"F",'LANÇAMENTOS DIÁRIOS'!$C$5:$C$500,$A22,'LANÇAMENTOS DIÁRIOS'!$O$5:$O$500,"&lt;=116899",'LANÇAMENTOS DIÁRIOS'!$P$5:$P$500,"&gt;=116800")&gt;0,"X","")</f>
      </c>
      <c r="BD22" s="56" t="str">
        <f>IF(COUNTIFS('LANÇAMENTOS DIÁRIOS'!$G$5:$G$500,"F",'LANÇAMENTOS DIÁRIOS'!$C$5:$C$500,$A22,'LANÇAMENTOS DIÁRIOS'!$O$5:$O$500,"&lt;=116999",'LANÇAMENTOS DIÁRIOS'!$P$5:$P$500,"&gt;=116900")&gt;0,"X","")</f>
      </c>
      <c r="BE22" s="56" t="str">
        <f>IF(COUNTIFS('LANÇAMENTOS DIÁRIOS'!$G$5:$G$500,"F",'LANÇAMENTOS DIÁRIOS'!$C$5:$C$500,$A22,'LANÇAMENTOS DIÁRIOS'!$O$5:$O$500,"&lt;=117099",'LANÇAMENTOS DIÁRIOS'!$P$5:$P$500,"&gt;=117000")&gt;0,"X","")</f>
      </c>
      <c r="BF22" s="56" t="str">
        <f>IF(COUNTIFS('LANÇAMENTOS DIÁRIOS'!$G$5:$G$500,"F",'LANÇAMENTOS DIÁRIOS'!$C$5:$C$500,$A22,'LANÇAMENTOS DIÁRIOS'!$O$5:$O$500,"&lt;=117199",'LANÇAMENTOS DIÁRIOS'!$P$5:$P$500,"&gt;=117100")&gt;0,"X","")</f>
      </c>
      <c r="BG22" s="56" t="str">
        <f>IF(COUNTIFS('LANÇAMENTOS DIÁRIOS'!$G$5:$G$500,"F",'LANÇAMENTOS DIÁRIOS'!$C$5:$C$500,$A22,'LANÇAMENTOS DIÁRIOS'!$O$5:$O$500,"&lt;=117219",'LANÇAMENTOS DIÁRIOS'!$P$5:$P$500,"&gt;=117200")&gt;0,"X","")</f>
      </c>
      <c r="BH22" s="56" t="str">
        <f>IF(COUNTIFS('LANÇAMENTOS DIÁRIOS'!$G$5:$G$500,"F",'LANÇAMENTOS DIÁRIOS'!$C$5:$C$500,$A22,'LANÇAMENTOS DIÁRIOS'!$O$5:$O$500,"&lt;=117220",'LANÇAMENTOS DIÁRIOS'!$P$5:$P$500,"&gt;=117220")&gt;0,"X","")</f>
      </c>
    </row>
    <row r="23">
      <c r="A23" s="51" t="str">
        <v>Remoção de placa de sinalização vertical instalada no solo</v>
      </c>
      <c r="B23" s="56" t="str">
        <f>IF(COUNTIFS('LANÇAMENTOS DIÁRIOS'!$G$5:$G$500,"F",'LANÇAMENTOS DIÁRIOS'!$C$5:$C$500,$A23,'LANÇAMENTOS DIÁRIOS'!$O$5:$O$500,"&lt;=111599",'LANÇAMENTOS DIÁRIOS'!$P$5:$P$500,"&gt;=111500")&gt;0,"X","")</f>
      </c>
      <c r="C23" s="56" t="str">
        <f>IF(COUNTIFS('LANÇAMENTOS DIÁRIOS'!$G$5:$G$500,"F",'LANÇAMENTOS DIÁRIOS'!$C$5:$C$500,$A23,'LANÇAMENTOS DIÁRIOS'!$O$5:$O$500,"&lt;=111699",'LANÇAMENTOS DIÁRIOS'!$P$5:$P$500,"&gt;=111600")&gt;0,"X","")</f>
      </c>
      <c r="D23" s="56" t="str">
        <f>IF(COUNTIFS('LANÇAMENTOS DIÁRIOS'!$G$5:$G$500,"F",'LANÇAMENTOS DIÁRIOS'!$C$5:$C$500,$A23,'LANÇAMENTOS DIÁRIOS'!$O$5:$O$500,"&lt;=111799",'LANÇAMENTOS DIÁRIOS'!$P$5:$P$500,"&gt;=111700")&gt;0,"X","")</f>
      </c>
      <c r="E23" s="56" t="str">
        <f>IF(COUNTIFS('LANÇAMENTOS DIÁRIOS'!$G$5:$G$500,"F",'LANÇAMENTOS DIÁRIOS'!$C$5:$C$500,$A23,'LANÇAMENTOS DIÁRIOS'!$O$5:$O$500,"&lt;=111899",'LANÇAMENTOS DIÁRIOS'!$P$5:$P$500,"&gt;=111800")&gt;0,"X","")</f>
      </c>
      <c r="F23" s="56" t="str">
        <f>IF(COUNTIFS('LANÇAMENTOS DIÁRIOS'!$G$5:$G$500,"F",'LANÇAMENTOS DIÁRIOS'!$C$5:$C$500,$A23,'LANÇAMENTOS DIÁRIOS'!$O$5:$O$500,"&lt;=111999",'LANÇAMENTOS DIÁRIOS'!$P$5:$P$500,"&gt;=111900")&gt;0,"X","")</f>
      </c>
      <c r="G23" s="56" t="str">
        <f>IF(COUNTIFS('LANÇAMENTOS DIÁRIOS'!$G$5:$G$500,"F",'LANÇAMENTOS DIÁRIOS'!$C$5:$C$500,$A23,'LANÇAMENTOS DIÁRIOS'!$O$5:$O$500,"&lt;=112099",'LANÇAMENTOS DIÁRIOS'!$P$5:$P$500,"&gt;=112000")&gt;0,"X","")</f>
      </c>
      <c r="H23" s="56" t="str">
        <f>IF(COUNTIFS('LANÇAMENTOS DIÁRIOS'!$G$5:$G$500,"F",'LANÇAMENTOS DIÁRIOS'!$C$5:$C$500,$A23,'LANÇAMENTOS DIÁRIOS'!$O$5:$O$500,"&lt;=112199",'LANÇAMENTOS DIÁRIOS'!$P$5:$P$500,"&gt;=112100")&gt;0,"X","")</f>
      </c>
      <c r="I23" s="56" t="str">
        <f>IF(COUNTIFS('LANÇAMENTOS DIÁRIOS'!$G$5:$G$500,"F",'LANÇAMENTOS DIÁRIOS'!$C$5:$C$500,$A23,'LANÇAMENTOS DIÁRIOS'!$O$5:$O$500,"&lt;=112299",'LANÇAMENTOS DIÁRIOS'!$P$5:$P$500,"&gt;=112200")&gt;0,"X","")</f>
      </c>
      <c r="J23" s="56" t="str">
        <f>IF(COUNTIFS('LANÇAMENTOS DIÁRIOS'!$G$5:$G$500,"F",'LANÇAMENTOS DIÁRIOS'!$C$5:$C$500,$A23,'LANÇAMENTOS DIÁRIOS'!$O$5:$O$500,"&lt;=112399",'LANÇAMENTOS DIÁRIOS'!$P$5:$P$500,"&gt;=112300")&gt;0,"X","")</f>
      </c>
      <c r="K23" s="56" t="str">
        <f>IF(COUNTIFS('LANÇAMENTOS DIÁRIOS'!$G$5:$G$500,"F",'LANÇAMENTOS DIÁRIOS'!$C$5:$C$500,$A23,'LANÇAMENTOS DIÁRIOS'!$O$5:$O$500,"&lt;=112499",'LANÇAMENTOS DIÁRIOS'!$P$5:$P$500,"&gt;=112400")&gt;0,"X","")</f>
      </c>
      <c r="L23" s="56" t="str">
        <f>IF(COUNTIFS('LANÇAMENTOS DIÁRIOS'!$G$5:$G$500,"F",'LANÇAMENTOS DIÁRIOS'!$C$5:$C$500,$A23,'LANÇAMENTOS DIÁRIOS'!$O$5:$O$500,"&lt;=112599",'LANÇAMENTOS DIÁRIOS'!$P$5:$P$500,"&gt;=112500")&gt;0,"X","")</f>
      </c>
      <c r="M23" s="56" t="str">
        <f>IF(COUNTIFS('LANÇAMENTOS DIÁRIOS'!$G$5:$G$500,"F",'LANÇAMENTOS DIÁRIOS'!$C$5:$C$500,$A23,'LANÇAMENTOS DIÁRIOS'!$O$5:$O$500,"&lt;=112699",'LANÇAMENTOS DIÁRIOS'!$P$5:$P$500,"&gt;=112600")&gt;0,"X","")</f>
      </c>
      <c r="N23" s="56" t="str">
        <f>IF(COUNTIFS('LANÇAMENTOS DIÁRIOS'!$G$5:$G$500,"F",'LANÇAMENTOS DIÁRIOS'!$C$5:$C$500,$A23,'LANÇAMENTOS DIÁRIOS'!$O$5:$O$500,"&lt;=112799",'LANÇAMENTOS DIÁRIOS'!$P$5:$P$500,"&gt;=112700")&gt;0,"X","")</f>
      </c>
      <c r="O23" s="56" t="str">
        <f>IF(COUNTIFS('LANÇAMENTOS DIÁRIOS'!$G$5:$G$500,"F",'LANÇAMENTOS DIÁRIOS'!$C$5:$C$500,$A23,'LANÇAMENTOS DIÁRIOS'!$O$5:$O$500,"&lt;=112899",'LANÇAMENTOS DIÁRIOS'!$P$5:$P$500,"&gt;=112800")&gt;0,"X","")</f>
      </c>
      <c r="P23" s="56" t="str">
        <f>IF(COUNTIFS('LANÇAMENTOS DIÁRIOS'!$G$5:$G$500,"F",'LANÇAMENTOS DIÁRIOS'!$C$5:$C$500,$A23,'LANÇAMENTOS DIÁRIOS'!$O$5:$O$500,"&lt;=112999",'LANÇAMENTOS DIÁRIOS'!$P$5:$P$500,"&gt;=112900")&gt;0,"X","")</f>
      </c>
      <c r="Q23" s="56" t="str">
        <f>IF(COUNTIFS('LANÇAMENTOS DIÁRIOS'!$G$5:$G$500,"F",'LANÇAMENTOS DIÁRIOS'!$C$5:$C$500,$A23,'LANÇAMENTOS DIÁRIOS'!$O$5:$O$500,"&lt;=113099",'LANÇAMENTOS DIÁRIOS'!$P$5:$P$500,"&gt;=113000")&gt;0,"X","")</f>
      </c>
      <c r="R23" s="56" t="str">
        <f>IF(COUNTIFS('LANÇAMENTOS DIÁRIOS'!$G$5:$G$500,"F",'LANÇAMENTOS DIÁRIOS'!$C$5:$C$500,$A23,'LANÇAMENTOS DIÁRIOS'!$O$5:$O$500,"&lt;=113199",'LANÇAMENTOS DIÁRIOS'!$P$5:$P$500,"&gt;=113100")&gt;0,"X","")</f>
      </c>
      <c r="S23" s="56" t="str">
        <f>IF(COUNTIFS('LANÇAMENTOS DIÁRIOS'!$G$5:$G$500,"F",'LANÇAMENTOS DIÁRIOS'!$C$5:$C$500,$A23,'LANÇAMENTOS DIÁRIOS'!$O$5:$O$500,"&lt;=113299",'LANÇAMENTOS DIÁRIOS'!$P$5:$P$500,"&gt;=113200")&gt;0,"X","")</f>
      </c>
      <c r="T23" s="56" t="str">
        <f>IF(COUNTIFS('LANÇAMENTOS DIÁRIOS'!$G$5:$G$500,"F",'LANÇAMENTOS DIÁRIOS'!$C$5:$C$500,$A23,'LANÇAMENTOS DIÁRIOS'!$O$5:$O$500,"&lt;=113399",'LANÇAMENTOS DIÁRIOS'!$P$5:$P$500,"&gt;=113300")&gt;0,"X","")</f>
      </c>
      <c r="U23" s="56" t="str">
        <f>IF(COUNTIFS('LANÇAMENTOS DIÁRIOS'!$G$5:$G$500,"F",'LANÇAMENTOS DIÁRIOS'!$C$5:$C$500,$A23,'LANÇAMENTOS DIÁRIOS'!$O$5:$O$500,"&lt;=113499",'LANÇAMENTOS DIÁRIOS'!$P$5:$P$500,"&gt;=113400")&gt;0,"X","")</f>
      </c>
      <c r="V23" s="56" t="str">
        <f>IF(COUNTIFS('LANÇAMENTOS DIÁRIOS'!$G$5:$G$500,"F",'LANÇAMENTOS DIÁRIOS'!$C$5:$C$500,$A23,'LANÇAMENTOS DIÁRIOS'!$O$5:$O$500,"&lt;=113599",'LANÇAMENTOS DIÁRIOS'!$P$5:$P$500,"&gt;=113500")&gt;0,"X","")</f>
      </c>
      <c r="W23" s="56" t="str">
        <f>IF(COUNTIFS('LANÇAMENTOS DIÁRIOS'!$G$5:$G$500,"F",'LANÇAMENTOS DIÁRIOS'!$C$5:$C$500,$A23,'LANÇAMENTOS DIÁRIOS'!$O$5:$O$500,"&lt;=113699",'LANÇAMENTOS DIÁRIOS'!$P$5:$P$500,"&gt;=113600")&gt;0,"X","")</f>
      </c>
      <c r="X23" s="56" t="str">
        <f>IF(COUNTIFS('LANÇAMENTOS DIÁRIOS'!$G$5:$G$500,"F",'LANÇAMENTOS DIÁRIOS'!$C$5:$C$500,$A23,'LANÇAMENTOS DIÁRIOS'!$O$5:$O$500,"&lt;=113799",'LANÇAMENTOS DIÁRIOS'!$P$5:$P$500,"&gt;=113700")&gt;0,"X","")</f>
      </c>
      <c r="Y23" s="56" t="str">
        <f>IF(COUNTIFS('LANÇAMENTOS DIÁRIOS'!$G$5:$G$500,"F",'LANÇAMENTOS DIÁRIOS'!$C$5:$C$500,$A23,'LANÇAMENTOS DIÁRIOS'!$O$5:$O$500,"&lt;=113899",'LANÇAMENTOS DIÁRIOS'!$P$5:$P$500,"&gt;=113800")&gt;0,"X","")</f>
      </c>
      <c r="Z23" s="56" t="str">
        <f>IF(COUNTIFS('LANÇAMENTOS DIÁRIOS'!$G$5:$G$500,"F",'LANÇAMENTOS DIÁRIOS'!$C$5:$C$500,$A23,'LANÇAMENTOS DIÁRIOS'!$O$5:$O$500,"&lt;=113999",'LANÇAMENTOS DIÁRIOS'!$P$5:$P$500,"&gt;=113900")&gt;0,"X","")</f>
      </c>
      <c r="AA23" s="56" t="str">
        <f>IF(COUNTIFS('LANÇAMENTOS DIÁRIOS'!$G$5:$G$500,"F",'LANÇAMENTOS DIÁRIOS'!$C$5:$C$500,$A23,'LANÇAMENTOS DIÁRIOS'!$O$5:$O$500,"&lt;=114099",'LANÇAMENTOS DIÁRIOS'!$P$5:$P$500,"&gt;=114000")&gt;0,"X","")</f>
      </c>
      <c r="AB23" s="56" t="str">
        <f>IF(COUNTIFS('LANÇAMENTOS DIÁRIOS'!$G$5:$G$500,"F",'LANÇAMENTOS DIÁRIOS'!$C$5:$C$500,$A23,'LANÇAMENTOS DIÁRIOS'!$O$5:$O$500,"&lt;=114199",'LANÇAMENTOS DIÁRIOS'!$P$5:$P$500,"&gt;=114100")&gt;0,"X","")</f>
      </c>
      <c r="AC23" s="56" t="str">
        <f>IF(COUNTIFS('LANÇAMENTOS DIÁRIOS'!$G$5:$G$500,"F",'LANÇAMENTOS DIÁRIOS'!$C$5:$C$500,$A23,'LANÇAMENTOS DIÁRIOS'!$O$5:$O$500,"&lt;=114299",'LANÇAMENTOS DIÁRIOS'!$P$5:$P$500,"&gt;=114200")&gt;0,"X","")</f>
      </c>
      <c r="AD23" s="56" t="str">
        <f>IF(COUNTIFS('LANÇAMENTOS DIÁRIOS'!$G$5:$G$500,"F",'LANÇAMENTOS DIÁRIOS'!$C$5:$C$500,$A23,'LANÇAMENTOS DIÁRIOS'!$O$5:$O$500,"&lt;=114399",'LANÇAMENTOS DIÁRIOS'!$P$5:$P$500,"&gt;=114300")&gt;0,"X","")</f>
      </c>
      <c r="AE23" s="56" t="str">
        <f>IF(COUNTIFS('LANÇAMENTOS DIÁRIOS'!$G$5:$G$500,"F",'LANÇAMENTOS DIÁRIOS'!$C$5:$C$500,$A23,'LANÇAMENTOS DIÁRIOS'!$O$5:$O$500,"&lt;=114499",'LANÇAMENTOS DIÁRIOS'!$P$5:$P$500,"&gt;=114400")&gt;0,"X","")</f>
      </c>
      <c r="AF23" s="56" t="str">
        <f>IF(COUNTIFS('LANÇAMENTOS DIÁRIOS'!$G$5:$G$500,"F",'LANÇAMENTOS DIÁRIOS'!$C$5:$C$500,$A23,'LANÇAMENTOS DIÁRIOS'!$O$5:$O$500,"&lt;=114599",'LANÇAMENTOS DIÁRIOS'!$P$5:$P$500,"&gt;=114500")&gt;0,"X","")</f>
      </c>
      <c r="AG23" s="56" t="str">
        <f>IF(COUNTIFS('LANÇAMENTOS DIÁRIOS'!$G$5:$G$500,"F",'LANÇAMENTOS DIÁRIOS'!$C$5:$C$500,$A23,'LANÇAMENTOS DIÁRIOS'!$O$5:$O$500,"&lt;=114699",'LANÇAMENTOS DIÁRIOS'!$P$5:$P$500,"&gt;=114600")&gt;0,"X","")</f>
      </c>
      <c r="AH23" s="56" t="str">
        <f>IF(COUNTIFS('LANÇAMENTOS DIÁRIOS'!$G$5:$G$500,"F",'LANÇAMENTOS DIÁRIOS'!$C$5:$C$500,$A23,'LANÇAMENTOS DIÁRIOS'!$O$5:$O$500,"&lt;=114799",'LANÇAMENTOS DIÁRIOS'!$P$5:$P$500,"&gt;=114700")&gt;0,"X","")</f>
      </c>
      <c r="AI23" s="56" t="str">
        <f>IF(COUNTIFS('LANÇAMENTOS DIÁRIOS'!$G$5:$G$500,"F",'LANÇAMENTOS DIÁRIOS'!$C$5:$C$500,$A23,'LANÇAMENTOS DIÁRIOS'!$O$5:$O$500,"&lt;=114899",'LANÇAMENTOS DIÁRIOS'!$P$5:$P$500,"&gt;=114800")&gt;0,"X","")</f>
      </c>
      <c r="AJ23" s="56" t="str">
        <f>IF(COUNTIFS('LANÇAMENTOS DIÁRIOS'!$G$5:$G$500,"F",'LANÇAMENTOS DIÁRIOS'!$C$5:$C$500,$A23,'LANÇAMENTOS DIÁRIOS'!$O$5:$O$500,"&lt;=114999",'LANÇAMENTOS DIÁRIOS'!$P$5:$P$500,"&gt;=114900")&gt;0,"X","")</f>
      </c>
      <c r="AK23" s="56" t="str">
        <f>IF(COUNTIFS('LANÇAMENTOS DIÁRIOS'!$G$5:$G$500,"F",'LANÇAMENTOS DIÁRIOS'!$C$5:$C$500,$A23,'LANÇAMENTOS DIÁRIOS'!$O$5:$O$500,"&lt;=115099",'LANÇAMENTOS DIÁRIOS'!$P$5:$P$500,"&gt;=115000")&gt;0,"X","")</f>
      </c>
      <c r="AL23" s="56" t="str">
        <f>IF(COUNTIFS('LANÇAMENTOS DIÁRIOS'!$G$5:$G$500,"F",'LANÇAMENTOS DIÁRIOS'!$C$5:$C$500,$A23,'LANÇAMENTOS DIÁRIOS'!$O$5:$O$500,"&lt;=115199",'LANÇAMENTOS DIÁRIOS'!$P$5:$P$500,"&gt;=115100")&gt;0,"X","")</f>
      </c>
      <c r="AM23" s="56" t="str">
        <f>IF(COUNTIFS('LANÇAMENTOS DIÁRIOS'!$G$5:$G$500,"F",'LANÇAMENTOS DIÁRIOS'!$C$5:$C$500,$A23,'LANÇAMENTOS DIÁRIOS'!$O$5:$O$500,"&lt;=115299",'LANÇAMENTOS DIÁRIOS'!$P$5:$P$500,"&gt;=115200")&gt;0,"X","")</f>
      </c>
      <c r="AN23" s="56" t="str">
        <f>IF(COUNTIFS('LANÇAMENTOS DIÁRIOS'!$G$5:$G$500,"F",'LANÇAMENTOS DIÁRIOS'!$C$5:$C$500,$A23,'LANÇAMENTOS DIÁRIOS'!$O$5:$O$500,"&lt;=115399",'LANÇAMENTOS DIÁRIOS'!$P$5:$P$500,"&gt;=115300")&gt;0,"X","")</f>
      </c>
      <c r="AO23" s="56" t="str">
        <f>IF(COUNTIFS('LANÇAMENTOS DIÁRIOS'!$G$5:$G$500,"F",'LANÇAMENTOS DIÁRIOS'!$C$5:$C$500,$A23,'LANÇAMENTOS DIÁRIOS'!$O$5:$O$500,"&lt;=115499",'LANÇAMENTOS DIÁRIOS'!$P$5:$P$500,"&gt;=115400")&gt;0,"X","")</f>
      </c>
      <c r="AP23" s="56" t="str">
        <f>IF(COUNTIFS('LANÇAMENTOS DIÁRIOS'!$G$5:$G$500,"F",'LANÇAMENTOS DIÁRIOS'!$C$5:$C$500,$A23,'LANÇAMENTOS DIÁRIOS'!$O$5:$O$500,"&lt;=115599",'LANÇAMENTOS DIÁRIOS'!$P$5:$P$500,"&gt;=115500")&gt;0,"X","")</f>
      </c>
      <c r="AQ23" s="56" t="str">
        <f>IF(COUNTIFS('LANÇAMENTOS DIÁRIOS'!$G$5:$G$500,"F",'LANÇAMENTOS DIÁRIOS'!$C$5:$C$500,$A23,'LANÇAMENTOS DIÁRIOS'!$O$5:$O$500,"&lt;=115699",'LANÇAMENTOS DIÁRIOS'!$P$5:$P$500,"&gt;=115600")&gt;0,"X","")</f>
      </c>
      <c r="AR23" s="56" t="str">
        <f>IF(COUNTIFS('LANÇAMENTOS DIÁRIOS'!$G$5:$G$500,"F",'LANÇAMENTOS DIÁRIOS'!$C$5:$C$500,$A23,'LANÇAMENTOS DIÁRIOS'!$O$5:$O$500,"&lt;=115799",'LANÇAMENTOS DIÁRIOS'!$P$5:$P$500,"&gt;=115700")&gt;0,"X","")</f>
      </c>
      <c r="AS23" s="56" t="str">
        <f>IF(COUNTIFS('LANÇAMENTOS DIÁRIOS'!$G$5:$G$500,"F",'LANÇAMENTOS DIÁRIOS'!$C$5:$C$500,$A23,'LANÇAMENTOS DIÁRIOS'!$O$5:$O$500,"&lt;=115899",'LANÇAMENTOS DIÁRIOS'!$P$5:$P$500,"&gt;=115800")&gt;0,"X","")</f>
      </c>
      <c r="AT23" s="56" t="str">
        <f>IF(COUNTIFS('LANÇAMENTOS DIÁRIOS'!$G$5:$G$500,"F",'LANÇAMENTOS DIÁRIOS'!$C$5:$C$500,$A23,'LANÇAMENTOS DIÁRIOS'!$O$5:$O$500,"&lt;=115999",'LANÇAMENTOS DIÁRIOS'!$P$5:$P$500,"&gt;=115900")&gt;0,"X","")</f>
      </c>
      <c r="AU23" s="56" t="str">
        <f>IF(COUNTIFS('LANÇAMENTOS DIÁRIOS'!$G$5:$G$500,"F",'LANÇAMENTOS DIÁRIOS'!$C$5:$C$500,$A23,'LANÇAMENTOS DIÁRIOS'!$O$5:$O$500,"&lt;=116099",'LANÇAMENTOS DIÁRIOS'!$P$5:$P$500,"&gt;=116000")&gt;0,"X","")</f>
      </c>
      <c r="AV23" s="56" t="str">
        <f>IF(COUNTIFS('LANÇAMENTOS DIÁRIOS'!$G$5:$G$500,"F",'LANÇAMENTOS DIÁRIOS'!$C$5:$C$500,$A23,'LANÇAMENTOS DIÁRIOS'!$O$5:$O$500,"&lt;=116199",'LANÇAMENTOS DIÁRIOS'!$P$5:$P$500,"&gt;=116100")&gt;0,"X","")</f>
      </c>
      <c r="AW23" s="56" t="str">
        <f>IF(COUNTIFS('LANÇAMENTOS DIÁRIOS'!$G$5:$G$500,"F",'LANÇAMENTOS DIÁRIOS'!$C$5:$C$500,$A23,'LANÇAMENTOS DIÁRIOS'!$O$5:$O$500,"&lt;=116299",'LANÇAMENTOS DIÁRIOS'!$P$5:$P$500,"&gt;=116200")&gt;0,"X","")</f>
      </c>
      <c r="AX23" s="56" t="str">
        <f>IF(COUNTIFS('LANÇAMENTOS DIÁRIOS'!$G$5:$G$500,"F",'LANÇAMENTOS DIÁRIOS'!$C$5:$C$500,$A23,'LANÇAMENTOS DIÁRIOS'!$O$5:$O$500,"&lt;=116399",'LANÇAMENTOS DIÁRIOS'!$P$5:$P$500,"&gt;=116300")&gt;0,"X","")</f>
      </c>
      <c r="AY23" s="56" t="str">
        <f>IF(COUNTIFS('LANÇAMENTOS DIÁRIOS'!$G$5:$G$500,"F",'LANÇAMENTOS DIÁRIOS'!$C$5:$C$500,$A23,'LANÇAMENTOS DIÁRIOS'!$O$5:$O$500,"&lt;=116499",'LANÇAMENTOS DIÁRIOS'!$P$5:$P$500,"&gt;=116400")&gt;0,"X","")</f>
      </c>
      <c r="AZ23" s="56" t="str">
        <f>IF(COUNTIFS('LANÇAMENTOS DIÁRIOS'!$G$5:$G$500,"F",'LANÇAMENTOS DIÁRIOS'!$C$5:$C$500,$A23,'LANÇAMENTOS DIÁRIOS'!$O$5:$O$500,"&lt;=116599",'LANÇAMENTOS DIÁRIOS'!$P$5:$P$500,"&gt;=116500")&gt;0,"X","")</f>
      </c>
      <c r="BA23" s="56" t="str">
        <f>IF(COUNTIFS('LANÇAMENTOS DIÁRIOS'!$G$5:$G$500,"F",'LANÇAMENTOS DIÁRIOS'!$C$5:$C$500,$A23,'LANÇAMENTOS DIÁRIOS'!$O$5:$O$500,"&lt;=116699",'LANÇAMENTOS DIÁRIOS'!$P$5:$P$500,"&gt;=116600")&gt;0,"X","")</f>
      </c>
      <c r="BB23" s="56" t="str">
        <f>IF(COUNTIFS('LANÇAMENTOS DIÁRIOS'!$G$5:$G$500,"F",'LANÇAMENTOS DIÁRIOS'!$C$5:$C$500,$A23,'LANÇAMENTOS DIÁRIOS'!$O$5:$O$500,"&lt;=116799",'LANÇAMENTOS DIÁRIOS'!$P$5:$P$500,"&gt;=116700")&gt;0,"X","")</f>
      </c>
      <c r="BC23" s="56" t="str">
        <f>IF(COUNTIFS('LANÇAMENTOS DIÁRIOS'!$G$5:$G$500,"F",'LANÇAMENTOS DIÁRIOS'!$C$5:$C$500,$A23,'LANÇAMENTOS DIÁRIOS'!$O$5:$O$500,"&lt;=116899",'LANÇAMENTOS DIÁRIOS'!$P$5:$P$500,"&gt;=116800")&gt;0,"X","")</f>
      </c>
      <c r="BD23" s="56" t="str">
        <f>IF(COUNTIFS('LANÇAMENTOS DIÁRIOS'!$G$5:$G$500,"F",'LANÇAMENTOS DIÁRIOS'!$C$5:$C$500,$A23,'LANÇAMENTOS DIÁRIOS'!$O$5:$O$500,"&lt;=116999",'LANÇAMENTOS DIÁRIOS'!$P$5:$P$500,"&gt;=116900")&gt;0,"X","")</f>
      </c>
      <c r="BE23" s="56" t="str">
        <f>IF(COUNTIFS('LANÇAMENTOS DIÁRIOS'!$G$5:$G$500,"F",'LANÇAMENTOS DIÁRIOS'!$C$5:$C$500,$A23,'LANÇAMENTOS DIÁRIOS'!$O$5:$O$500,"&lt;=117099",'LANÇAMENTOS DIÁRIOS'!$P$5:$P$500,"&gt;=117000")&gt;0,"X","")</f>
      </c>
      <c r="BF23" s="56" t="str">
        <f>IF(COUNTIFS('LANÇAMENTOS DIÁRIOS'!$G$5:$G$500,"F",'LANÇAMENTOS DIÁRIOS'!$C$5:$C$500,$A23,'LANÇAMENTOS DIÁRIOS'!$O$5:$O$500,"&lt;=117199",'LANÇAMENTOS DIÁRIOS'!$P$5:$P$500,"&gt;=117100")&gt;0,"X","")</f>
      </c>
      <c r="BG23" s="56" t="str">
        <f>IF(COUNTIFS('LANÇAMENTOS DIÁRIOS'!$G$5:$G$500,"F",'LANÇAMENTOS DIÁRIOS'!$C$5:$C$500,$A23,'LANÇAMENTOS DIÁRIOS'!$O$5:$O$500,"&lt;=117219",'LANÇAMENTOS DIÁRIOS'!$P$5:$P$500,"&gt;=117200")&gt;0,"X","")</f>
      </c>
      <c r="BH23" s="56" t="str">
        <f>IF(COUNTIFS('LANÇAMENTOS DIÁRIOS'!$G$5:$G$500,"F",'LANÇAMENTOS DIÁRIOS'!$C$5:$C$500,$A23,'LANÇAMENTOS DIÁRIOS'!$O$5:$O$500,"&lt;=117220",'LANÇAMENTOS DIÁRIOS'!$P$5:$P$500,"&gt;=117220")&gt;0,"X","")</f>
      </c>
    </row>
    <row r="24" ht="21" customHeight="1">
      <c r="A24" s="60" t="str">
        <v>Terraplenagem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</row>
    <row r="25" ht="19" customHeight="1">
      <c r="A25" s="68" t="str">
        <v>Desmatamento e limpeza do terreno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</row>
    <row r="26">
      <c r="A26" s="51" t="str">
        <v>Limpeza do terreno com destocamento de árvore d=&lt;0,15m</v>
      </c>
      <c r="B26" s="56" t="str">
        <f>IF(COUNTIFS('LANÇAMENTOS DIÁRIOS'!$G$5:$G$500,"F",'LANÇAMENTOS DIÁRIOS'!$C$5:$C$500,$A26,'LANÇAMENTOS DIÁRIOS'!$O$5:$O$500,"&lt;=111599",'LANÇAMENTOS DIÁRIOS'!$P$5:$P$500,"&gt;=111500")&gt;0,"X","")</f>
      </c>
      <c r="C26" s="56" t="str">
        <f>IF(COUNTIFS('LANÇAMENTOS DIÁRIOS'!$G$5:$G$500,"F",'LANÇAMENTOS DIÁRIOS'!$C$5:$C$500,$A26,'LANÇAMENTOS DIÁRIOS'!$O$5:$O$500,"&lt;=111699",'LANÇAMENTOS DIÁRIOS'!$P$5:$P$500,"&gt;=111600")&gt;0,"X","")</f>
      </c>
      <c r="D26" s="56" t="str">
        <f>IF(COUNTIFS('LANÇAMENTOS DIÁRIOS'!$G$5:$G$500,"F",'LANÇAMENTOS DIÁRIOS'!$C$5:$C$500,$A26,'LANÇAMENTOS DIÁRIOS'!$O$5:$O$500,"&lt;=111799",'LANÇAMENTOS DIÁRIOS'!$P$5:$P$500,"&gt;=111700")&gt;0,"X","")</f>
      </c>
      <c r="E26" s="56" t="str">
        <f>IF(COUNTIFS('LANÇAMENTOS DIÁRIOS'!$G$5:$G$500,"F",'LANÇAMENTOS DIÁRIOS'!$C$5:$C$500,$A26,'LANÇAMENTOS DIÁRIOS'!$O$5:$O$500,"&lt;=111899",'LANÇAMENTOS DIÁRIOS'!$P$5:$P$500,"&gt;=111800")&gt;0,"X","")</f>
      </c>
      <c r="F26" s="56" t="str">
        <f>IF(COUNTIFS('LANÇAMENTOS DIÁRIOS'!$G$5:$G$500,"F",'LANÇAMENTOS DIÁRIOS'!$C$5:$C$500,$A26,'LANÇAMENTOS DIÁRIOS'!$O$5:$O$500,"&lt;=111999",'LANÇAMENTOS DIÁRIOS'!$P$5:$P$500,"&gt;=111900")&gt;0,"X","")</f>
      </c>
      <c r="G26" s="56" t="str">
        <f>IF(COUNTIFS('LANÇAMENTOS DIÁRIOS'!$G$5:$G$500,"F",'LANÇAMENTOS DIÁRIOS'!$C$5:$C$500,$A26,'LANÇAMENTOS DIÁRIOS'!$O$5:$O$500,"&lt;=112099",'LANÇAMENTOS DIÁRIOS'!$P$5:$P$500,"&gt;=112000")&gt;0,"X","")</f>
      </c>
      <c r="H26" s="56" t="str">
        <f>IF(COUNTIFS('LANÇAMENTOS DIÁRIOS'!$G$5:$G$500,"F",'LANÇAMENTOS DIÁRIOS'!$C$5:$C$500,$A26,'LANÇAMENTOS DIÁRIOS'!$O$5:$O$500,"&lt;=112199",'LANÇAMENTOS DIÁRIOS'!$P$5:$P$500,"&gt;=112100")&gt;0,"X","")</f>
      </c>
      <c r="I26" s="56" t="str">
        <f>IF(COUNTIFS('LANÇAMENTOS DIÁRIOS'!$G$5:$G$500,"F",'LANÇAMENTOS DIÁRIOS'!$C$5:$C$500,$A26,'LANÇAMENTOS DIÁRIOS'!$O$5:$O$500,"&lt;=112299",'LANÇAMENTOS DIÁRIOS'!$P$5:$P$500,"&gt;=112200")&gt;0,"X","")</f>
      </c>
      <c r="J26" s="56" t="str">
        <f>IF(COUNTIFS('LANÇAMENTOS DIÁRIOS'!$G$5:$G$500,"F",'LANÇAMENTOS DIÁRIOS'!$C$5:$C$500,$A26,'LANÇAMENTOS DIÁRIOS'!$O$5:$O$500,"&lt;=112399",'LANÇAMENTOS DIÁRIOS'!$P$5:$P$500,"&gt;=112300")&gt;0,"X","")</f>
      </c>
      <c r="K26" s="56" t="str">
        <f>IF(COUNTIFS('LANÇAMENTOS DIÁRIOS'!$G$5:$G$500,"F",'LANÇAMENTOS DIÁRIOS'!$C$5:$C$500,$A26,'LANÇAMENTOS DIÁRIOS'!$O$5:$O$500,"&lt;=112499",'LANÇAMENTOS DIÁRIOS'!$P$5:$P$500,"&gt;=112400")&gt;0,"X","")</f>
      </c>
      <c r="L26" s="56" t="str">
        <f>IF(COUNTIFS('LANÇAMENTOS DIÁRIOS'!$G$5:$G$500,"F",'LANÇAMENTOS DIÁRIOS'!$C$5:$C$500,$A26,'LANÇAMENTOS DIÁRIOS'!$O$5:$O$500,"&lt;=112599",'LANÇAMENTOS DIÁRIOS'!$P$5:$P$500,"&gt;=112500")&gt;0,"X","")</f>
      </c>
      <c r="M26" s="56" t="str">
        <f>IF(COUNTIFS('LANÇAMENTOS DIÁRIOS'!$G$5:$G$500,"F",'LANÇAMENTOS DIÁRIOS'!$C$5:$C$500,$A26,'LANÇAMENTOS DIÁRIOS'!$O$5:$O$500,"&lt;=112699",'LANÇAMENTOS DIÁRIOS'!$P$5:$P$500,"&gt;=112600")&gt;0,"X","")</f>
      </c>
      <c r="N26" s="56" t="str">
        <f>IF(COUNTIFS('LANÇAMENTOS DIÁRIOS'!$G$5:$G$500,"F",'LANÇAMENTOS DIÁRIOS'!$C$5:$C$500,$A26,'LANÇAMENTOS DIÁRIOS'!$O$5:$O$500,"&lt;=112799",'LANÇAMENTOS DIÁRIOS'!$P$5:$P$500,"&gt;=112700")&gt;0,"X","")</f>
      </c>
      <c r="O26" s="56" t="str">
        <f>IF(COUNTIFS('LANÇAMENTOS DIÁRIOS'!$G$5:$G$500,"F",'LANÇAMENTOS DIÁRIOS'!$C$5:$C$500,$A26,'LANÇAMENTOS DIÁRIOS'!$O$5:$O$500,"&lt;=112899",'LANÇAMENTOS DIÁRIOS'!$P$5:$P$500,"&gt;=112800")&gt;0,"X","")</f>
      </c>
      <c r="P26" s="56" t="str">
        <f>IF(COUNTIFS('LANÇAMENTOS DIÁRIOS'!$G$5:$G$500,"F",'LANÇAMENTOS DIÁRIOS'!$C$5:$C$500,$A26,'LANÇAMENTOS DIÁRIOS'!$O$5:$O$500,"&lt;=112999",'LANÇAMENTOS DIÁRIOS'!$P$5:$P$500,"&gt;=112900")&gt;0,"X","")</f>
      </c>
      <c r="Q26" s="56" t="str">
        <f>IF(COUNTIFS('LANÇAMENTOS DIÁRIOS'!$G$5:$G$500,"F",'LANÇAMENTOS DIÁRIOS'!$C$5:$C$500,$A26,'LANÇAMENTOS DIÁRIOS'!$O$5:$O$500,"&lt;=113099",'LANÇAMENTOS DIÁRIOS'!$P$5:$P$500,"&gt;=113000")&gt;0,"X","")</f>
      </c>
      <c r="R26" s="56" t="str">
        <f>IF(COUNTIFS('LANÇAMENTOS DIÁRIOS'!$G$5:$G$500,"F",'LANÇAMENTOS DIÁRIOS'!$C$5:$C$500,$A26,'LANÇAMENTOS DIÁRIOS'!$O$5:$O$500,"&lt;=113199",'LANÇAMENTOS DIÁRIOS'!$P$5:$P$500,"&gt;=113100")&gt;0,"X","")</f>
      </c>
      <c r="S26" s="56" t="str">
        <f>IF(COUNTIFS('LANÇAMENTOS DIÁRIOS'!$G$5:$G$500,"F",'LANÇAMENTOS DIÁRIOS'!$C$5:$C$500,$A26,'LANÇAMENTOS DIÁRIOS'!$O$5:$O$500,"&lt;=113299",'LANÇAMENTOS DIÁRIOS'!$P$5:$P$500,"&gt;=113200")&gt;0,"X","")</f>
      </c>
      <c r="T26" s="56" t="str">
        <f>IF(COUNTIFS('LANÇAMENTOS DIÁRIOS'!$G$5:$G$500,"F",'LANÇAMENTOS DIÁRIOS'!$C$5:$C$500,$A26,'LANÇAMENTOS DIÁRIOS'!$O$5:$O$500,"&lt;=113399",'LANÇAMENTOS DIÁRIOS'!$P$5:$P$500,"&gt;=113300")&gt;0,"X","")</f>
      </c>
      <c r="U26" s="56" t="str">
        <f>IF(COUNTIFS('LANÇAMENTOS DIÁRIOS'!$G$5:$G$500,"F",'LANÇAMENTOS DIÁRIOS'!$C$5:$C$500,$A26,'LANÇAMENTOS DIÁRIOS'!$O$5:$O$500,"&lt;=113499",'LANÇAMENTOS DIÁRIOS'!$P$5:$P$500,"&gt;=113400")&gt;0,"X","")</f>
      </c>
      <c r="V26" s="56" t="str">
        <f>IF(COUNTIFS('LANÇAMENTOS DIÁRIOS'!$G$5:$G$500,"F",'LANÇAMENTOS DIÁRIOS'!$C$5:$C$500,$A26,'LANÇAMENTOS DIÁRIOS'!$O$5:$O$500,"&lt;=113599",'LANÇAMENTOS DIÁRIOS'!$P$5:$P$500,"&gt;=113500")&gt;0,"X","")</f>
      </c>
      <c r="W26" s="56" t="str">
        <f>IF(COUNTIFS('LANÇAMENTOS DIÁRIOS'!$G$5:$G$500,"F",'LANÇAMENTOS DIÁRIOS'!$C$5:$C$500,$A26,'LANÇAMENTOS DIÁRIOS'!$O$5:$O$500,"&lt;=113699",'LANÇAMENTOS DIÁRIOS'!$P$5:$P$500,"&gt;=113600")&gt;0,"X","")</f>
      </c>
      <c r="X26" s="56" t="str">
        <f>IF(COUNTIFS('LANÇAMENTOS DIÁRIOS'!$G$5:$G$500,"F",'LANÇAMENTOS DIÁRIOS'!$C$5:$C$500,$A26,'LANÇAMENTOS DIÁRIOS'!$O$5:$O$500,"&lt;=113799",'LANÇAMENTOS DIÁRIOS'!$P$5:$P$500,"&gt;=113700")&gt;0,"X","")</f>
      </c>
      <c r="Y26" s="56" t="str">
        <f>IF(COUNTIFS('LANÇAMENTOS DIÁRIOS'!$G$5:$G$500,"F",'LANÇAMENTOS DIÁRIOS'!$C$5:$C$500,$A26,'LANÇAMENTOS DIÁRIOS'!$O$5:$O$500,"&lt;=113899",'LANÇAMENTOS DIÁRIOS'!$P$5:$P$500,"&gt;=113800")&gt;0,"X","")</f>
      </c>
      <c r="Z26" s="56" t="str">
        <f>IF(COUNTIFS('LANÇAMENTOS DIÁRIOS'!$G$5:$G$500,"F",'LANÇAMENTOS DIÁRIOS'!$C$5:$C$500,$A26,'LANÇAMENTOS DIÁRIOS'!$O$5:$O$500,"&lt;=113999",'LANÇAMENTOS DIÁRIOS'!$P$5:$P$500,"&gt;=113900")&gt;0,"X","")</f>
      </c>
      <c r="AA26" s="56" t="str">
        <f>IF(COUNTIFS('LANÇAMENTOS DIÁRIOS'!$G$5:$G$500,"F",'LANÇAMENTOS DIÁRIOS'!$C$5:$C$500,$A26,'LANÇAMENTOS DIÁRIOS'!$O$5:$O$500,"&lt;=114099",'LANÇAMENTOS DIÁRIOS'!$P$5:$P$500,"&gt;=114000")&gt;0,"X","")</f>
      </c>
      <c r="AB26" s="56" t="str">
        <f>IF(COUNTIFS('LANÇAMENTOS DIÁRIOS'!$G$5:$G$500,"F",'LANÇAMENTOS DIÁRIOS'!$C$5:$C$500,$A26,'LANÇAMENTOS DIÁRIOS'!$O$5:$O$500,"&lt;=114199",'LANÇAMENTOS DIÁRIOS'!$P$5:$P$500,"&gt;=114100")&gt;0,"X","")</f>
      </c>
      <c r="AC26" s="56" t="str">
        <f>IF(COUNTIFS('LANÇAMENTOS DIÁRIOS'!$G$5:$G$500,"F",'LANÇAMENTOS DIÁRIOS'!$C$5:$C$500,$A26,'LANÇAMENTOS DIÁRIOS'!$O$5:$O$500,"&lt;=114299",'LANÇAMENTOS DIÁRIOS'!$P$5:$P$500,"&gt;=114200")&gt;0,"X","")</f>
      </c>
      <c r="AD26" s="56" t="str">
        <f>IF(COUNTIFS('LANÇAMENTOS DIÁRIOS'!$G$5:$G$500,"F",'LANÇAMENTOS DIÁRIOS'!$C$5:$C$500,$A26,'LANÇAMENTOS DIÁRIOS'!$O$5:$O$500,"&lt;=114399",'LANÇAMENTOS DIÁRIOS'!$P$5:$P$500,"&gt;=114300")&gt;0,"X","")</f>
      </c>
      <c r="AE26" s="56" t="str">
        <f>IF(COUNTIFS('LANÇAMENTOS DIÁRIOS'!$G$5:$G$500,"F",'LANÇAMENTOS DIÁRIOS'!$C$5:$C$500,$A26,'LANÇAMENTOS DIÁRIOS'!$O$5:$O$500,"&lt;=114499",'LANÇAMENTOS DIÁRIOS'!$P$5:$P$500,"&gt;=114400")&gt;0,"X","")</f>
      </c>
      <c r="AF26" s="56" t="str">
        <f>IF(COUNTIFS('LANÇAMENTOS DIÁRIOS'!$G$5:$G$500,"F",'LANÇAMENTOS DIÁRIOS'!$C$5:$C$500,$A26,'LANÇAMENTOS DIÁRIOS'!$O$5:$O$500,"&lt;=114599",'LANÇAMENTOS DIÁRIOS'!$P$5:$P$500,"&gt;=114500")&gt;0,"X","")</f>
      </c>
      <c r="AG26" s="56" t="str">
        <f>IF(COUNTIFS('LANÇAMENTOS DIÁRIOS'!$G$5:$G$500,"F",'LANÇAMENTOS DIÁRIOS'!$C$5:$C$500,$A26,'LANÇAMENTOS DIÁRIOS'!$O$5:$O$500,"&lt;=114699",'LANÇAMENTOS DIÁRIOS'!$P$5:$P$500,"&gt;=114600")&gt;0,"X","")</f>
      </c>
      <c r="AH26" s="56" t="str">
        <f>IF(COUNTIFS('LANÇAMENTOS DIÁRIOS'!$G$5:$G$500,"F",'LANÇAMENTOS DIÁRIOS'!$C$5:$C$500,$A26,'LANÇAMENTOS DIÁRIOS'!$O$5:$O$500,"&lt;=114799",'LANÇAMENTOS DIÁRIOS'!$P$5:$P$500,"&gt;=114700")&gt;0,"X","")</f>
      </c>
      <c r="AI26" s="56" t="str">
        <f>IF(COUNTIFS('LANÇAMENTOS DIÁRIOS'!$G$5:$G$500,"F",'LANÇAMENTOS DIÁRIOS'!$C$5:$C$500,$A26,'LANÇAMENTOS DIÁRIOS'!$O$5:$O$500,"&lt;=114899",'LANÇAMENTOS DIÁRIOS'!$P$5:$P$500,"&gt;=114800")&gt;0,"X","")</f>
      </c>
      <c r="AJ26" s="56" t="str">
        <f>IF(COUNTIFS('LANÇAMENTOS DIÁRIOS'!$G$5:$G$500,"F",'LANÇAMENTOS DIÁRIOS'!$C$5:$C$500,$A26,'LANÇAMENTOS DIÁRIOS'!$O$5:$O$500,"&lt;=114999",'LANÇAMENTOS DIÁRIOS'!$P$5:$P$500,"&gt;=114900")&gt;0,"X","")</f>
      </c>
      <c r="AK26" s="56" t="str">
        <f>IF(COUNTIFS('LANÇAMENTOS DIÁRIOS'!$G$5:$G$500,"F",'LANÇAMENTOS DIÁRIOS'!$C$5:$C$500,$A26,'LANÇAMENTOS DIÁRIOS'!$O$5:$O$500,"&lt;=115099",'LANÇAMENTOS DIÁRIOS'!$P$5:$P$500,"&gt;=115000")&gt;0,"X","")</f>
      </c>
      <c r="AL26" s="56" t="str">
        <f>IF(COUNTIFS('LANÇAMENTOS DIÁRIOS'!$G$5:$G$500,"F",'LANÇAMENTOS DIÁRIOS'!$C$5:$C$500,$A26,'LANÇAMENTOS DIÁRIOS'!$O$5:$O$500,"&lt;=115199",'LANÇAMENTOS DIÁRIOS'!$P$5:$P$500,"&gt;=115100")&gt;0,"X","")</f>
      </c>
      <c r="AM26" s="56" t="str">
        <f>IF(COUNTIFS('LANÇAMENTOS DIÁRIOS'!$G$5:$G$500,"F",'LANÇAMENTOS DIÁRIOS'!$C$5:$C$500,$A26,'LANÇAMENTOS DIÁRIOS'!$O$5:$O$500,"&lt;=115299",'LANÇAMENTOS DIÁRIOS'!$P$5:$P$500,"&gt;=115200")&gt;0,"X","")</f>
      </c>
      <c r="AN26" s="56" t="str">
        <f>IF(COUNTIFS('LANÇAMENTOS DIÁRIOS'!$G$5:$G$500,"F",'LANÇAMENTOS DIÁRIOS'!$C$5:$C$500,$A26,'LANÇAMENTOS DIÁRIOS'!$O$5:$O$500,"&lt;=115399",'LANÇAMENTOS DIÁRIOS'!$P$5:$P$500,"&gt;=115300")&gt;0,"X","")</f>
      </c>
      <c r="AO26" s="56" t="str">
        <f>IF(COUNTIFS('LANÇAMENTOS DIÁRIOS'!$G$5:$G$500,"F",'LANÇAMENTOS DIÁRIOS'!$C$5:$C$500,$A26,'LANÇAMENTOS DIÁRIOS'!$O$5:$O$500,"&lt;=115499",'LANÇAMENTOS DIÁRIOS'!$P$5:$P$500,"&gt;=115400")&gt;0,"X","")</f>
      </c>
      <c r="AP26" s="56" t="str">
        <f>IF(COUNTIFS('LANÇAMENTOS DIÁRIOS'!$G$5:$G$500,"F",'LANÇAMENTOS DIÁRIOS'!$C$5:$C$500,$A26,'LANÇAMENTOS DIÁRIOS'!$O$5:$O$500,"&lt;=115599",'LANÇAMENTOS DIÁRIOS'!$P$5:$P$500,"&gt;=115500")&gt;0,"X","")</f>
      </c>
      <c r="AQ26" s="56" t="str">
        <f>IF(COUNTIFS('LANÇAMENTOS DIÁRIOS'!$G$5:$G$500,"F",'LANÇAMENTOS DIÁRIOS'!$C$5:$C$500,$A26,'LANÇAMENTOS DIÁRIOS'!$O$5:$O$500,"&lt;=115699",'LANÇAMENTOS DIÁRIOS'!$P$5:$P$500,"&gt;=115600")&gt;0,"X","")</f>
      </c>
      <c r="AR26" s="56" t="str">
        <f>IF(COUNTIFS('LANÇAMENTOS DIÁRIOS'!$G$5:$G$500,"F",'LANÇAMENTOS DIÁRIOS'!$C$5:$C$500,$A26,'LANÇAMENTOS DIÁRIOS'!$O$5:$O$500,"&lt;=115799",'LANÇAMENTOS DIÁRIOS'!$P$5:$P$500,"&gt;=115700")&gt;0,"X","")</f>
      </c>
      <c r="AS26" s="56" t="str">
        <f>IF(COUNTIFS('LANÇAMENTOS DIÁRIOS'!$G$5:$G$500,"F",'LANÇAMENTOS DIÁRIOS'!$C$5:$C$500,$A26,'LANÇAMENTOS DIÁRIOS'!$O$5:$O$500,"&lt;=115899",'LANÇAMENTOS DIÁRIOS'!$P$5:$P$500,"&gt;=115800")&gt;0,"X","")</f>
      </c>
      <c r="AT26" s="56" t="str">
        <f>IF(COUNTIFS('LANÇAMENTOS DIÁRIOS'!$G$5:$G$500,"F",'LANÇAMENTOS DIÁRIOS'!$C$5:$C$500,$A26,'LANÇAMENTOS DIÁRIOS'!$O$5:$O$500,"&lt;=115999",'LANÇAMENTOS DIÁRIOS'!$P$5:$P$500,"&gt;=115900")&gt;0,"X","")</f>
      </c>
      <c r="AU26" s="56" t="str">
        <f>IF(COUNTIFS('LANÇAMENTOS DIÁRIOS'!$G$5:$G$500,"F",'LANÇAMENTOS DIÁRIOS'!$C$5:$C$500,$A26,'LANÇAMENTOS DIÁRIOS'!$O$5:$O$500,"&lt;=116099",'LANÇAMENTOS DIÁRIOS'!$P$5:$P$500,"&gt;=116000")&gt;0,"X","")</f>
      </c>
      <c r="AV26" s="56" t="str">
        <f>IF(COUNTIFS('LANÇAMENTOS DIÁRIOS'!$G$5:$G$500,"F",'LANÇAMENTOS DIÁRIOS'!$C$5:$C$500,$A26,'LANÇAMENTOS DIÁRIOS'!$O$5:$O$500,"&lt;=116199",'LANÇAMENTOS DIÁRIOS'!$P$5:$P$500,"&gt;=116100")&gt;0,"X","")</f>
      </c>
      <c r="AW26" s="56" t="str">
        <f>IF(COUNTIFS('LANÇAMENTOS DIÁRIOS'!$G$5:$G$500,"F",'LANÇAMENTOS DIÁRIOS'!$C$5:$C$500,$A26,'LANÇAMENTOS DIÁRIOS'!$O$5:$O$500,"&lt;=116299",'LANÇAMENTOS DIÁRIOS'!$P$5:$P$500,"&gt;=116200")&gt;0,"X","")</f>
      </c>
      <c r="AX26" s="56" t="str">
        <f>IF(COUNTIFS('LANÇAMENTOS DIÁRIOS'!$G$5:$G$500,"F",'LANÇAMENTOS DIÁRIOS'!$C$5:$C$500,$A26,'LANÇAMENTOS DIÁRIOS'!$O$5:$O$500,"&lt;=116399",'LANÇAMENTOS DIÁRIOS'!$P$5:$P$500,"&gt;=116300")&gt;0,"X","")</f>
      </c>
      <c r="AY26" s="56" t="str">
        <f>IF(COUNTIFS('LANÇAMENTOS DIÁRIOS'!$G$5:$G$500,"F",'LANÇAMENTOS DIÁRIOS'!$C$5:$C$500,$A26,'LANÇAMENTOS DIÁRIOS'!$O$5:$O$500,"&lt;=116499",'LANÇAMENTOS DIÁRIOS'!$P$5:$P$500,"&gt;=116400")&gt;0,"X","")</f>
      </c>
      <c r="AZ26" s="56" t="str">
        <f>IF(COUNTIFS('LANÇAMENTOS DIÁRIOS'!$G$5:$G$500,"F",'LANÇAMENTOS DIÁRIOS'!$C$5:$C$500,$A26,'LANÇAMENTOS DIÁRIOS'!$O$5:$O$500,"&lt;=116599",'LANÇAMENTOS DIÁRIOS'!$P$5:$P$500,"&gt;=116500")&gt;0,"X","")</f>
      </c>
      <c r="BA26" s="56" t="str">
        <f>IF(COUNTIFS('LANÇAMENTOS DIÁRIOS'!$G$5:$G$500,"F",'LANÇAMENTOS DIÁRIOS'!$C$5:$C$500,$A26,'LANÇAMENTOS DIÁRIOS'!$O$5:$O$500,"&lt;=116699",'LANÇAMENTOS DIÁRIOS'!$P$5:$P$500,"&gt;=116600")&gt;0,"X","")</f>
      </c>
      <c r="BB26" s="56" t="str">
        <f>IF(COUNTIFS('LANÇAMENTOS DIÁRIOS'!$G$5:$G$500,"F",'LANÇAMENTOS DIÁRIOS'!$C$5:$C$500,$A26,'LANÇAMENTOS DIÁRIOS'!$O$5:$O$500,"&lt;=116799",'LANÇAMENTOS DIÁRIOS'!$P$5:$P$500,"&gt;=116700")&gt;0,"X","")</f>
      </c>
      <c r="BC26" s="56" t="str">
        <f>IF(COUNTIFS('LANÇAMENTOS DIÁRIOS'!$G$5:$G$500,"F",'LANÇAMENTOS DIÁRIOS'!$C$5:$C$500,$A26,'LANÇAMENTOS DIÁRIOS'!$O$5:$O$500,"&lt;=116899",'LANÇAMENTOS DIÁRIOS'!$P$5:$P$500,"&gt;=116800")&gt;0,"X","")</f>
      </c>
      <c r="BD26" s="56" t="str">
        <f>IF(COUNTIFS('LANÇAMENTOS DIÁRIOS'!$G$5:$G$500,"F",'LANÇAMENTOS DIÁRIOS'!$C$5:$C$500,$A26,'LANÇAMENTOS DIÁRIOS'!$O$5:$O$500,"&lt;=116999",'LANÇAMENTOS DIÁRIOS'!$P$5:$P$500,"&gt;=116900")&gt;0,"X","")</f>
      </c>
      <c r="BE26" s="56" t="str">
        <f>IF(COUNTIFS('LANÇAMENTOS DIÁRIOS'!$G$5:$G$500,"F",'LANÇAMENTOS DIÁRIOS'!$C$5:$C$500,$A26,'LANÇAMENTOS DIÁRIOS'!$O$5:$O$500,"&lt;=117099",'LANÇAMENTOS DIÁRIOS'!$P$5:$P$500,"&gt;=117000")&gt;0,"X","")</f>
      </c>
      <c r="BF26" s="56" t="str">
        <f>IF(COUNTIFS('LANÇAMENTOS DIÁRIOS'!$G$5:$G$500,"F",'LANÇAMENTOS DIÁRIOS'!$C$5:$C$500,$A26,'LANÇAMENTOS DIÁRIOS'!$O$5:$O$500,"&lt;=117199",'LANÇAMENTOS DIÁRIOS'!$P$5:$P$500,"&gt;=117100")&gt;0,"X","")</f>
      </c>
      <c r="BG26" s="56" t="str">
        <f>IF(COUNTIFS('LANÇAMENTOS DIÁRIOS'!$G$5:$G$500,"F",'LANÇAMENTOS DIÁRIOS'!$C$5:$C$500,$A26,'LANÇAMENTOS DIÁRIOS'!$O$5:$O$500,"&lt;=117219",'LANÇAMENTOS DIÁRIOS'!$P$5:$P$500,"&gt;=117200")&gt;0,"X","")</f>
      </c>
      <c r="BH26" s="56" t="str">
        <f>IF(COUNTIFS('LANÇAMENTOS DIÁRIOS'!$G$5:$G$500,"F",'LANÇAMENTOS DIÁRIOS'!$C$5:$C$500,$A26,'LANÇAMENTOS DIÁRIOS'!$O$5:$O$500,"&lt;=117220",'LANÇAMENTOS DIÁRIOS'!$P$5:$P$500,"&gt;=117220")&gt;0,"X","")</f>
      </c>
    </row>
    <row r="27">
      <c r="A27" s="51" t="str">
        <v>Destocamento de árvore 0,10m&lt;d&lt;0,30m</v>
      </c>
      <c r="B27" s="56" t="str">
        <f>IF(COUNTIFS('LANÇAMENTOS DIÁRIOS'!$G$5:$G$500,"F",'LANÇAMENTOS DIÁRIOS'!$C$5:$C$500,$A27,'LANÇAMENTOS DIÁRIOS'!$O$5:$O$500,"&lt;=111599",'LANÇAMENTOS DIÁRIOS'!$P$5:$P$500,"&gt;=111500")&gt;0,"X","")</f>
      </c>
      <c r="C27" s="56" t="str">
        <f>IF(COUNTIFS('LANÇAMENTOS DIÁRIOS'!$G$5:$G$500,"F",'LANÇAMENTOS DIÁRIOS'!$C$5:$C$500,$A27,'LANÇAMENTOS DIÁRIOS'!$O$5:$O$500,"&lt;=111699",'LANÇAMENTOS DIÁRIOS'!$P$5:$P$500,"&gt;=111600")&gt;0,"X","")</f>
      </c>
      <c r="D27" s="56" t="str">
        <f>IF(COUNTIFS('LANÇAMENTOS DIÁRIOS'!$G$5:$G$500,"F",'LANÇAMENTOS DIÁRIOS'!$C$5:$C$500,$A27,'LANÇAMENTOS DIÁRIOS'!$O$5:$O$500,"&lt;=111799",'LANÇAMENTOS DIÁRIOS'!$P$5:$P$500,"&gt;=111700")&gt;0,"X","")</f>
      </c>
      <c r="E27" s="56" t="str">
        <f>IF(COUNTIFS('LANÇAMENTOS DIÁRIOS'!$G$5:$G$500,"F",'LANÇAMENTOS DIÁRIOS'!$C$5:$C$500,$A27,'LANÇAMENTOS DIÁRIOS'!$O$5:$O$500,"&lt;=111899",'LANÇAMENTOS DIÁRIOS'!$P$5:$P$500,"&gt;=111800")&gt;0,"X","")</f>
      </c>
      <c r="F27" s="56" t="str">
        <f>IF(COUNTIFS('LANÇAMENTOS DIÁRIOS'!$G$5:$G$500,"F",'LANÇAMENTOS DIÁRIOS'!$C$5:$C$500,$A27,'LANÇAMENTOS DIÁRIOS'!$O$5:$O$500,"&lt;=111999",'LANÇAMENTOS DIÁRIOS'!$P$5:$P$500,"&gt;=111900")&gt;0,"X","")</f>
      </c>
      <c r="G27" s="56" t="str">
        <f>IF(COUNTIFS('LANÇAMENTOS DIÁRIOS'!$G$5:$G$500,"F",'LANÇAMENTOS DIÁRIOS'!$C$5:$C$500,$A27,'LANÇAMENTOS DIÁRIOS'!$O$5:$O$500,"&lt;=112099",'LANÇAMENTOS DIÁRIOS'!$P$5:$P$500,"&gt;=112000")&gt;0,"X","")</f>
      </c>
      <c r="H27" s="56" t="str">
        <f>IF(COUNTIFS('LANÇAMENTOS DIÁRIOS'!$G$5:$G$500,"F",'LANÇAMENTOS DIÁRIOS'!$C$5:$C$500,$A27,'LANÇAMENTOS DIÁRIOS'!$O$5:$O$500,"&lt;=112199",'LANÇAMENTOS DIÁRIOS'!$P$5:$P$500,"&gt;=112100")&gt;0,"X","")</f>
      </c>
      <c r="I27" s="56" t="str">
        <f>IF(COUNTIFS('LANÇAMENTOS DIÁRIOS'!$G$5:$G$500,"F",'LANÇAMENTOS DIÁRIOS'!$C$5:$C$500,$A27,'LANÇAMENTOS DIÁRIOS'!$O$5:$O$500,"&lt;=112299",'LANÇAMENTOS DIÁRIOS'!$P$5:$P$500,"&gt;=112200")&gt;0,"X","")</f>
      </c>
      <c r="J27" s="56" t="str">
        <f>IF(COUNTIFS('LANÇAMENTOS DIÁRIOS'!$G$5:$G$500,"F",'LANÇAMENTOS DIÁRIOS'!$C$5:$C$500,$A27,'LANÇAMENTOS DIÁRIOS'!$O$5:$O$500,"&lt;=112399",'LANÇAMENTOS DIÁRIOS'!$P$5:$P$500,"&gt;=112300")&gt;0,"X","")</f>
      </c>
      <c r="K27" s="56" t="str">
        <f>IF(COUNTIFS('LANÇAMENTOS DIÁRIOS'!$G$5:$G$500,"F",'LANÇAMENTOS DIÁRIOS'!$C$5:$C$500,$A27,'LANÇAMENTOS DIÁRIOS'!$O$5:$O$500,"&lt;=112499",'LANÇAMENTOS DIÁRIOS'!$P$5:$P$500,"&gt;=112400")&gt;0,"X","")</f>
      </c>
      <c r="L27" s="56" t="str">
        <f>IF(COUNTIFS('LANÇAMENTOS DIÁRIOS'!$G$5:$G$500,"F",'LANÇAMENTOS DIÁRIOS'!$C$5:$C$500,$A27,'LANÇAMENTOS DIÁRIOS'!$O$5:$O$500,"&lt;=112599",'LANÇAMENTOS DIÁRIOS'!$P$5:$P$500,"&gt;=112500")&gt;0,"X","")</f>
      </c>
      <c r="M27" s="56" t="str">
        <f>IF(COUNTIFS('LANÇAMENTOS DIÁRIOS'!$G$5:$G$500,"F",'LANÇAMENTOS DIÁRIOS'!$C$5:$C$500,$A27,'LANÇAMENTOS DIÁRIOS'!$O$5:$O$500,"&lt;=112699",'LANÇAMENTOS DIÁRIOS'!$P$5:$P$500,"&gt;=112600")&gt;0,"X","")</f>
      </c>
      <c r="N27" s="56" t="str">
        <f>IF(COUNTIFS('LANÇAMENTOS DIÁRIOS'!$G$5:$G$500,"F",'LANÇAMENTOS DIÁRIOS'!$C$5:$C$500,$A27,'LANÇAMENTOS DIÁRIOS'!$O$5:$O$500,"&lt;=112799",'LANÇAMENTOS DIÁRIOS'!$P$5:$P$500,"&gt;=112700")&gt;0,"X","")</f>
      </c>
      <c r="O27" s="56" t="str">
        <f>IF(COUNTIFS('LANÇAMENTOS DIÁRIOS'!$G$5:$G$500,"F",'LANÇAMENTOS DIÁRIOS'!$C$5:$C$500,$A27,'LANÇAMENTOS DIÁRIOS'!$O$5:$O$500,"&lt;=112899",'LANÇAMENTOS DIÁRIOS'!$P$5:$P$500,"&gt;=112800")&gt;0,"X","")</f>
      </c>
      <c r="P27" s="56" t="str">
        <f>IF(COUNTIFS('LANÇAMENTOS DIÁRIOS'!$G$5:$G$500,"F",'LANÇAMENTOS DIÁRIOS'!$C$5:$C$500,$A27,'LANÇAMENTOS DIÁRIOS'!$O$5:$O$500,"&lt;=112999",'LANÇAMENTOS DIÁRIOS'!$P$5:$P$500,"&gt;=112900")&gt;0,"X","")</f>
      </c>
      <c r="Q27" s="56" t="str">
        <f>IF(COUNTIFS('LANÇAMENTOS DIÁRIOS'!$G$5:$G$500,"F",'LANÇAMENTOS DIÁRIOS'!$C$5:$C$500,$A27,'LANÇAMENTOS DIÁRIOS'!$O$5:$O$500,"&lt;=113099",'LANÇAMENTOS DIÁRIOS'!$P$5:$P$500,"&gt;=113000")&gt;0,"X","")</f>
      </c>
      <c r="R27" s="56" t="str">
        <f>IF(COUNTIFS('LANÇAMENTOS DIÁRIOS'!$G$5:$G$500,"F",'LANÇAMENTOS DIÁRIOS'!$C$5:$C$500,$A27,'LANÇAMENTOS DIÁRIOS'!$O$5:$O$500,"&lt;=113199",'LANÇAMENTOS DIÁRIOS'!$P$5:$P$500,"&gt;=113100")&gt;0,"X","")</f>
      </c>
      <c r="S27" s="56" t="str">
        <f>IF(COUNTIFS('LANÇAMENTOS DIÁRIOS'!$G$5:$G$500,"F",'LANÇAMENTOS DIÁRIOS'!$C$5:$C$500,$A27,'LANÇAMENTOS DIÁRIOS'!$O$5:$O$500,"&lt;=113299",'LANÇAMENTOS DIÁRIOS'!$P$5:$P$500,"&gt;=113200")&gt;0,"X","")</f>
      </c>
      <c r="T27" s="56" t="str">
        <f>IF(COUNTIFS('LANÇAMENTOS DIÁRIOS'!$G$5:$G$500,"F",'LANÇAMENTOS DIÁRIOS'!$C$5:$C$500,$A27,'LANÇAMENTOS DIÁRIOS'!$O$5:$O$500,"&lt;=113399",'LANÇAMENTOS DIÁRIOS'!$P$5:$P$500,"&gt;=113300")&gt;0,"X","")</f>
      </c>
      <c r="U27" s="56" t="str">
        <f>IF(COUNTIFS('LANÇAMENTOS DIÁRIOS'!$G$5:$G$500,"F",'LANÇAMENTOS DIÁRIOS'!$C$5:$C$500,$A27,'LANÇAMENTOS DIÁRIOS'!$O$5:$O$500,"&lt;=113499",'LANÇAMENTOS DIÁRIOS'!$P$5:$P$500,"&gt;=113400")&gt;0,"X","")</f>
      </c>
      <c r="V27" s="56" t="str">
        <f>IF(COUNTIFS('LANÇAMENTOS DIÁRIOS'!$G$5:$G$500,"F",'LANÇAMENTOS DIÁRIOS'!$C$5:$C$500,$A27,'LANÇAMENTOS DIÁRIOS'!$O$5:$O$500,"&lt;=113599",'LANÇAMENTOS DIÁRIOS'!$P$5:$P$500,"&gt;=113500")&gt;0,"X","")</f>
      </c>
      <c r="W27" s="56" t="str">
        <f>IF(COUNTIFS('LANÇAMENTOS DIÁRIOS'!$G$5:$G$500,"F",'LANÇAMENTOS DIÁRIOS'!$C$5:$C$500,$A27,'LANÇAMENTOS DIÁRIOS'!$O$5:$O$500,"&lt;=113699",'LANÇAMENTOS DIÁRIOS'!$P$5:$P$500,"&gt;=113600")&gt;0,"X","")</f>
      </c>
      <c r="X27" s="56" t="str">
        <f>IF(COUNTIFS('LANÇAMENTOS DIÁRIOS'!$G$5:$G$500,"F",'LANÇAMENTOS DIÁRIOS'!$C$5:$C$500,$A27,'LANÇAMENTOS DIÁRIOS'!$O$5:$O$500,"&lt;=113799",'LANÇAMENTOS DIÁRIOS'!$P$5:$P$500,"&gt;=113700")&gt;0,"X","")</f>
      </c>
      <c r="Y27" s="56" t="str">
        <f>IF(COUNTIFS('LANÇAMENTOS DIÁRIOS'!$G$5:$G$500,"F",'LANÇAMENTOS DIÁRIOS'!$C$5:$C$500,$A27,'LANÇAMENTOS DIÁRIOS'!$O$5:$O$500,"&lt;=113899",'LANÇAMENTOS DIÁRIOS'!$P$5:$P$500,"&gt;=113800")&gt;0,"X","")</f>
      </c>
      <c r="Z27" s="56" t="str">
        <f>IF(COUNTIFS('LANÇAMENTOS DIÁRIOS'!$G$5:$G$500,"F",'LANÇAMENTOS DIÁRIOS'!$C$5:$C$500,$A27,'LANÇAMENTOS DIÁRIOS'!$O$5:$O$500,"&lt;=113999",'LANÇAMENTOS DIÁRIOS'!$P$5:$P$500,"&gt;=113900")&gt;0,"X","")</f>
      </c>
      <c r="AA27" s="56" t="str">
        <f>IF(COUNTIFS('LANÇAMENTOS DIÁRIOS'!$G$5:$G$500,"F",'LANÇAMENTOS DIÁRIOS'!$C$5:$C$500,$A27,'LANÇAMENTOS DIÁRIOS'!$O$5:$O$500,"&lt;=114099",'LANÇAMENTOS DIÁRIOS'!$P$5:$P$500,"&gt;=114000")&gt;0,"X","")</f>
      </c>
      <c r="AB27" s="56" t="str">
        <f>IF(COUNTIFS('LANÇAMENTOS DIÁRIOS'!$G$5:$G$500,"F",'LANÇAMENTOS DIÁRIOS'!$C$5:$C$500,$A27,'LANÇAMENTOS DIÁRIOS'!$O$5:$O$500,"&lt;=114199",'LANÇAMENTOS DIÁRIOS'!$P$5:$P$500,"&gt;=114100")&gt;0,"X","")</f>
      </c>
      <c r="AC27" s="56" t="str">
        <f>IF(COUNTIFS('LANÇAMENTOS DIÁRIOS'!$G$5:$G$500,"F",'LANÇAMENTOS DIÁRIOS'!$C$5:$C$500,$A27,'LANÇAMENTOS DIÁRIOS'!$O$5:$O$500,"&lt;=114299",'LANÇAMENTOS DIÁRIOS'!$P$5:$P$500,"&gt;=114200")&gt;0,"X","")</f>
      </c>
      <c r="AD27" s="56" t="str">
        <f>IF(COUNTIFS('LANÇAMENTOS DIÁRIOS'!$G$5:$G$500,"F",'LANÇAMENTOS DIÁRIOS'!$C$5:$C$500,$A27,'LANÇAMENTOS DIÁRIOS'!$O$5:$O$500,"&lt;=114399",'LANÇAMENTOS DIÁRIOS'!$P$5:$P$500,"&gt;=114300")&gt;0,"X","")</f>
      </c>
      <c r="AE27" s="56" t="str">
        <f>IF(COUNTIFS('LANÇAMENTOS DIÁRIOS'!$G$5:$G$500,"F",'LANÇAMENTOS DIÁRIOS'!$C$5:$C$500,$A27,'LANÇAMENTOS DIÁRIOS'!$O$5:$O$500,"&lt;=114499",'LANÇAMENTOS DIÁRIOS'!$P$5:$P$500,"&gt;=114400")&gt;0,"X","")</f>
      </c>
      <c r="AF27" s="56" t="str">
        <f>IF(COUNTIFS('LANÇAMENTOS DIÁRIOS'!$G$5:$G$500,"F",'LANÇAMENTOS DIÁRIOS'!$C$5:$C$500,$A27,'LANÇAMENTOS DIÁRIOS'!$O$5:$O$500,"&lt;=114599",'LANÇAMENTOS DIÁRIOS'!$P$5:$P$500,"&gt;=114500")&gt;0,"X","")</f>
      </c>
      <c r="AG27" s="56" t="str">
        <f>IF(COUNTIFS('LANÇAMENTOS DIÁRIOS'!$G$5:$G$500,"F",'LANÇAMENTOS DIÁRIOS'!$C$5:$C$500,$A27,'LANÇAMENTOS DIÁRIOS'!$O$5:$O$500,"&lt;=114699",'LANÇAMENTOS DIÁRIOS'!$P$5:$P$500,"&gt;=114600")&gt;0,"X","")</f>
      </c>
      <c r="AH27" s="56" t="str">
        <f>IF(COUNTIFS('LANÇAMENTOS DIÁRIOS'!$G$5:$G$500,"F",'LANÇAMENTOS DIÁRIOS'!$C$5:$C$500,$A27,'LANÇAMENTOS DIÁRIOS'!$O$5:$O$500,"&lt;=114799",'LANÇAMENTOS DIÁRIOS'!$P$5:$P$500,"&gt;=114700")&gt;0,"X","")</f>
      </c>
      <c r="AI27" s="56" t="str">
        <f>IF(COUNTIFS('LANÇAMENTOS DIÁRIOS'!$G$5:$G$500,"F",'LANÇAMENTOS DIÁRIOS'!$C$5:$C$500,$A27,'LANÇAMENTOS DIÁRIOS'!$O$5:$O$500,"&lt;=114899",'LANÇAMENTOS DIÁRIOS'!$P$5:$P$500,"&gt;=114800")&gt;0,"X","")</f>
      </c>
      <c r="AJ27" s="56" t="str">
        <f>IF(COUNTIFS('LANÇAMENTOS DIÁRIOS'!$G$5:$G$500,"F",'LANÇAMENTOS DIÁRIOS'!$C$5:$C$500,$A27,'LANÇAMENTOS DIÁRIOS'!$O$5:$O$500,"&lt;=114999",'LANÇAMENTOS DIÁRIOS'!$P$5:$P$500,"&gt;=114900")&gt;0,"X","")</f>
      </c>
      <c r="AK27" s="56" t="str">
        <f>IF(COUNTIFS('LANÇAMENTOS DIÁRIOS'!$G$5:$G$500,"F",'LANÇAMENTOS DIÁRIOS'!$C$5:$C$500,$A27,'LANÇAMENTOS DIÁRIOS'!$O$5:$O$500,"&lt;=115099",'LANÇAMENTOS DIÁRIOS'!$P$5:$P$500,"&gt;=115000")&gt;0,"X","")</f>
      </c>
      <c r="AL27" s="56" t="str">
        <f>IF(COUNTIFS('LANÇAMENTOS DIÁRIOS'!$G$5:$G$500,"F",'LANÇAMENTOS DIÁRIOS'!$C$5:$C$500,$A27,'LANÇAMENTOS DIÁRIOS'!$O$5:$O$500,"&lt;=115199",'LANÇAMENTOS DIÁRIOS'!$P$5:$P$500,"&gt;=115100")&gt;0,"X","")</f>
      </c>
      <c r="AM27" s="56" t="str">
        <f>IF(COUNTIFS('LANÇAMENTOS DIÁRIOS'!$G$5:$G$500,"F",'LANÇAMENTOS DIÁRIOS'!$C$5:$C$500,$A27,'LANÇAMENTOS DIÁRIOS'!$O$5:$O$500,"&lt;=115299",'LANÇAMENTOS DIÁRIOS'!$P$5:$P$500,"&gt;=115200")&gt;0,"X","")</f>
      </c>
      <c r="AN27" s="56" t="str">
        <f>IF(COUNTIFS('LANÇAMENTOS DIÁRIOS'!$G$5:$G$500,"F",'LANÇAMENTOS DIÁRIOS'!$C$5:$C$500,$A27,'LANÇAMENTOS DIÁRIOS'!$O$5:$O$500,"&lt;=115399",'LANÇAMENTOS DIÁRIOS'!$P$5:$P$500,"&gt;=115300")&gt;0,"X","")</f>
      </c>
      <c r="AO27" s="56" t="str">
        <f>IF(COUNTIFS('LANÇAMENTOS DIÁRIOS'!$G$5:$G$500,"F",'LANÇAMENTOS DIÁRIOS'!$C$5:$C$500,$A27,'LANÇAMENTOS DIÁRIOS'!$O$5:$O$500,"&lt;=115499",'LANÇAMENTOS DIÁRIOS'!$P$5:$P$500,"&gt;=115400")&gt;0,"X","")</f>
      </c>
      <c r="AP27" s="56" t="str">
        <f>IF(COUNTIFS('LANÇAMENTOS DIÁRIOS'!$G$5:$G$500,"F",'LANÇAMENTOS DIÁRIOS'!$C$5:$C$500,$A27,'LANÇAMENTOS DIÁRIOS'!$O$5:$O$500,"&lt;=115599",'LANÇAMENTOS DIÁRIOS'!$P$5:$P$500,"&gt;=115500")&gt;0,"X","")</f>
      </c>
      <c r="AQ27" s="56" t="str">
        <f>IF(COUNTIFS('LANÇAMENTOS DIÁRIOS'!$G$5:$G$500,"F",'LANÇAMENTOS DIÁRIOS'!$C$5:$C$500,$A27,'LANÇAMENTOS DIÁRIOS'!$O$5:$O$500,"&lt;=115699",'LANÇAMENTOS DIÁRIOS'!$P$5:$P$500,"&gt;=115600")&gt;0,"X","")</f>
      </c>
      <c r="AR27" s="56" t="str">
        <f>IF(COUNTIFS('LANÇAMENTOS DIÁRIOS'!$G$5:$G$500,"F",'LANÇAMENTOS DIÁRIOS'!$C$5:$C$500,$A27,'LANÇAMENTOS DIÁRIOS'!$O$5:$O$500,"&lt;=115799",'LANÇAMENTOS DIÁRIOS'!$P$5:$P$500,"&gt;=115700")&gt;0,"X","")</f>
      </c>
      <c r="AS27" s="56" t="str">
        <f>IF(COUNTIFS('LANÇAMENTOS DIÁRIOS'!$G$5:$G$500,"F",'LANÇAMENTOS DIÁRIOS'!$C$5:$C$500,$A27,'LANÇAMENTOS DIÁRIOS'!$O$5:$O$500,"&lt;=115899",'LANÇAMENTOS DIÁRIOS'!$P$5:$P$500,"&gt;=115800")&gt;0,"X","")</f>
      </c>
      <c r="AT27" s="56" t="str">
        <f>IF(COUNTIFS('LANÇAMENTOS DIÁRIOS'!$G$5:$G$500,"F",'LANÇAMENTOS DIÁRIOS'!$C$5:$C$500,$A27,'LANÇAMENTOS DIÁRIOS'!$O$5:$O$500,"&lt;=115999",'LANÇAMENTOS DIÁRIOS'!$P$5:$P$500,"&gt;=115900")&gt;0,"X","")</f>
      </c>
      <c r="AU27" s="56" t="str">
        <f>IF(COUNTIFS('LANÇAMENTOS DIÁRIOS'!$G$5:$G$500,"F",'LANÇAMENTOS DIÁRIOS'!$C$5:$C$500,$A27,'LANÇAMENTOS DIÁRIOS'!$O$5:$O$500,"&lt;=116099",'LANÇAMENTOS DIÁRIOS'!$P$5:$P$500,"&gt;=116000")&gt;0,"X","")</f>
      </c>
      <c r="AV27" s="56" t="str">
        <f>IF(COUNTIFS('LANÇAMENTOS DIÁRIOS'!$G$5:$G$500,"F",'LANÇAMENTOS DIÁRIOS'!$C$5:$C$500,$A27,'LANÇAMENTOS DIÁRIOS'!$O$5:$O$500,"&lt;=116199",'LANÇAMENTOS DIÁRIOS'!$P$5:$P$500,"&gt;=116100")&gt;0,"X","")</f>
      </c>
      <c r="AW27" s="56" t="str">
        <f>IF(COUNTIFS('LANÇAMENTOS DIÁRIOS'!$G$5:$G$500,"F",'LANÇAMENTOS DIÁRIOS'!$C$5:$C$500,$A27,'LANÇAMENTOS DIÁRIOS'!$O$5:$O$500,"&lt;=116299",'LANÇAMENTOS DIÁRIOS'!$P$5:$P$500,"&gt;=116200")&gt;0,"X","")</f>
      </c>
      <c r="AX27" s="56" t="str">
        <f>IF(COUNTIFS('LANÇAMENTOS DIÁRIOS'!$G$5:$G$500,"F",'LANÇAMENTOS DIÁRIOS'!$C$5:$C$500,$A27,'LANÇAMENTOS DIÁRIOS'!$O$5:$O$500,"&lt;=116399",'LANÇAMENTOS DIÁRIOS'!$P$5:$P$500,"&gt;=116300")&gt;0,"X","")</f>
      </c>
      <c r="AY27" s="56" t="str">
        <f>IF(COUNTIFS('LANÇAMENTOS DIÁRIOS'!$G$5:$G$500,"F",'LANÇAMENTOS DIÁRIOS'!$C$5:$C$500,$A27,'LANÇAMENTOS DIÁRIOS'!$O$5:$O$500,"&lt;=116499",'LANÇAMENTOS DIÁRIOS'!$P$5:$P$500,"&gt;=116400")&gt;0,"X","")</f>
      </c>
      <c r="AZ27" s="56" t="str">
        <f>IF(COUNTIFS('LANÇAMENTOS DIÁRIOS'!$G$5:$G$500,"F",'LANÇAMENTOS DIÁRIOS'!$C$5:$C$500,$A27,'LANÇAMENTOS DIÁRIOS'!$O$5:$O$500,"&lt;=116599",'LANÇAMENTOS DIÁRIOS'!$P$5:$P$500,"&gt;=116500")&gt;0,"X","")</f>
      </c>
      <c r="BA27" s="56" t="str">
        <f>IF(COUNTIFS('LANÇAMENTOS DIÁRIOS'!$G$5:$G$500,"F",'LANÇAMENTOS DIÁRIOS'!$C$5:$C$500,$A27,'LANÇAMENTOS DIÁRIOS'!$O$5:$O$500,"&lt;=116699",'LANÇAMENTOS DIÁRIOS'!$P$5:$P$500,"&gt;=116600")&gt;0,"X","")</f>
      </c>
      <c r="BB27" s="56" t="str">
        <f>IF(COUNTIFS('LANÇAMENTOS DIÁRIOS'!$G$5:$G$500,"F",'LANÇAMENTOS DIÁRIOS'!$C$5:$C$500,$A27,'LANÇAMENTOS DIÁRIOS'!$O$5:$O$500,"&lt;=116799",'LANÇAMENTOS DIÁRIOS'!$P$5:$P$500,"&gt;=116700")&gt;0,"X","")</f>
      </c>
      <c r="BC27" s="56" t="str">
        <f>IF(COUNTIFS('LANÇAMENTOS DIÁRIOS'!$G$5:$G$500,"F",'LANÇAMENTOS DIÁRIOS'!$C$5:$C$500,$A27,'LANÇAMENTOS DIÁRIOS'!$O$5:$O$500,"&lt;=116899",'LANÇAMENTOS DIÁRIOS'!$P$5:$P$500,"&gt;=116800")&gt;0,"X","")</f>
      </c>
      <c r="BD27" s="56" t="str">
        <f>IF(COUNTIFS('LANÇAMENTOS DIÁRIOS'!$G$5:$G$500,"F",'LANÇAMENTOS DIÁRIOS'!$C$5:$C$500,$A27,'LANÇAMENTOS DIÁRIOS'!$O$5:$O$500,"&lt;=116999",'LANÇAMENTOS DIÁRIOS'!$P$5:$P$500,"&gt;=116900")&gt;0,"X","")</f>
      </c>
      <c r="BE27" s="56" t="str">
        <f>IF(COUNTIFS('LANÇAMENTOS DIÁRIOS'!$G$5:$G$500,"F",'LANÇAMENTOS DIÁRIOS'!$C$5:$C$500,$A27,'LANÇAMENTOS DIÁRIOS'!$O$5:$O$500,"&lt;=117099",'LANÇAMENTOS DIÁRIOS'!$P$5:$P$500,"&gt;=117000")&gt;0,"X","")</f>
      </c>
      <c r="BF27" s="56" t="str">
        <f>IF(COUNTIFS('LANÇAMENTOS DIÁRIOS'!$G$5:$G$500,"F",'LANÇAMENTOS DIÁRIOS'!$C$5:$C$500,$A27,'LANÇAMENTOS DIÁRIOS'!$O$5:$O$500,"&lt;=117199",'LANÇAMENTOS DIÁRIOS'!$P$5:$P$500,"&gt;=117100")&gt;0,"X","")</f>
      </c>
      <c r="BG27" s="56" t="str">
        <f>IF(COUNTIFS('LANÇAMENTOS DIÁRIOS'!$G$5:$G$500,"F",'LANÇAMENTOS DIÁRIOS'!$C$5:$C$500,$A27,'LANÇAMENTOS DIÁRIOS'!$O$5:$O$500,"&lt;=117219",'LANÇAMENTOS DIÁRIOS'!$P$5:$P$500,"&gt;=117200")&gt;0,"X","")</f>
      </c>
      <c r="BH27" s="56" t="str">
        <f>IF(COUNTIFS('LANÇAMENTOS DIÁRIOS'!$G$5:$G$500,"F",'LANÇAMENTOS DIÁRIOS'!$C$5:$C$500,$A27,'LANÇAMENTOS DIÁRIOS'!$O$5:$O$500,"&lt;=117220",'LANÇAMENTOS DIÁRIOS'!$P$5:$P$500,"&gt;=117220")&gt;0,"X","")</f>
      </c>
    </row>
    <row r="28">
      <c r="A28" s="51" t="str">
        <v>Destocamento de árvore d&gt;0,30m</v>
      </c>
      <c r="B28" s="56" t="str">
        <f>IF(COUNTIFS('LANÇAMENTOS DIÁRIOS'!$G$5:$G$500,"F",'LANÇAMENTOS DIÁRIOS'!$C$5:$C$500,$A28,'LANÇAMENTOS DIÁRIOS'!$O$5:$O$500,"&lt;=111599",'LANÇAMENTOS DIÁRIOS'!$P$5:$P$500,"&gt;=111500")&gt;0,"X","")</f>
      </c>
      <c r="C28" s="56" t="str">
        <f>IF(COUNTIFS('LANÇAMENTOS DIÁRIOS'!$G$5:$G$500,"F",'LANÇAMENTOS DIÁRIOS'!$C$5:$C$500,$A28,'LANÇAMENTOS DIÁRIOS'!$O$5:$O$500,"&lt;=111699",'LANÇAMENTOS DIÁRIOS'!$P$5:$P$500,"&gt;=111600")&gt;0,"X","")</f>
      </c>
      <c r="D28" s="56" t="str">
        <f>IF(COUNTIFS('LANÇAMENTOS DIÁRIOS'!$G$5:$G$500,"F",'LANÇAMENTOS DIÁRIOS'!$C$5:$C$500,$A28,'LANÇAMENTOS DIÁRIOS'!$O$5:$O$500,"&lt;=111799",'LANÇAMENTOS DIÁRIOS'!$P$5:$P$500,"&gt;=111700")&gt;0,"X","")</f>
      </c>
      <c r="E28" s="56" t="str">
        <f>IF(COUNTIFS('LANÇAMENTOS DIÁRIOS'!$G$5:$G$500,"F",'LANÇAMENTOS DIÁRIOS'!$C$5:$C$500,$A28,'LANÇAMENTOS DIÁRIOS'!$O$5:$O$500,"&lt;=111899",'LANÇAMENTOS DIÁRIOS'!$P$5:$P$500,"&gt;=111800")&gt;0,"X","")</f>
      </c>
      <c r="F28" s="56" t="str">
        <f>IF(COUNTIFS('LANÇAMENTOS DIÁRIOS'!$G$5:$G$500,"F",'LANÇAMENTOS DIÁRIOS'!$C$5:$C$500,$A28,'LANÇAMENTOS DIÁRIOS'!$O$5:$O$500,"&lt;=111999",'LANÇAMENTOS DIÁRIOS'!$P$5:$P$500,"&gt;=111900")&gt;0,"X","")</f>
      </c>
      <c r="G28" s="56" t="str">
        <f>IF(COUNTIFS('LANÇAMENTOS DIÁRIOS'!$G$5:$G$500,"F",'LANÇAMENTOS DIÁRIOS'!$C$5:$C$500,$A28,'LANÇAMENTOS DIÁRIOS'!$O$5:$O$500,"&lt;=112099",'LANÇAMENTOS DIÁRIOS'!$P$5:$P$500,"&gt;=112000")&gt;0,"X","")</f>
      </c>
      <c r="H28" s="56" t="str">
        <f>IF(COUNTIFS('LANÇAMENTOS DIÁRIOS'!$G$5:$G$500,"F",'LANÇAMENTOS DIÁRIOS'!$C$5:$C$500,$A28,'LANÇAMENTOS DIÁRIOS'!$O$5:$O$500,"&lt;=112199",'LANÇAMENTOS DIÁRIOS'!$P$5:$P$500,"&gt;=112100")&gt;0,"X","")</f>
      </c>
      <c r="I28" s="56" t="str">
        <f>IF(COUNTIFS('LANÇAMENTOS DIÁRIOS'!$G$5:$G$500,"F",'LANÇAMENTOS DIÁRIOS'!$C$5:$C$500,$A28,'LANÇAMENTOS DIÁRIOS'!$O$5:$O$500,"&lt;=112299",'LANÇAMENTOS DIÁRIOS'!$P$5:$P$500,"&gt;=112200")&gt;0,"X","")</f>
      </c>
      <c r="J28" s="56" t="str">
        <f>IF(COUNTIFS('LANÇAMENTOS DIÁRIOS'!$G$5:$G$500,"F",'LANÇAMENTOS DIÁRIOS'!$C$5:$C$500,$A28,'LANÇAMENTOS DIÁRIOS'!$O$5:$O$500,"&lt;=112399",'LANÇAMENTOS DIÁRIOS'!$P$5:$P$500,"&gt;=112300")&gt;0,"X","")</f>
      </c>
      <c r="K28" s="56" t="str">
        <f>IF(COUNTIFS('LANÇAMENTOS DIÁRIOS'!$G$5:$G$500,"F",'LANÇAMENTOS DIÁRIOS'!$C$5:$C$500,$A28,'LANÇAMENTOS DIÁRIOS'!$O$5:$O$500,"&lt;=112499",'LANÇAMENTOS DIÁRIOS'!$P$5:$P$500,"&gt;=112400")&gt;0,"X","")</f>
      </c>
      <c r="L28" s="56" t="str">
        <f>IF(COUNTIFS('LANÇAMENTOS DIÁRIOS'!$G$5:$G$500,"F",'LANÇAMENTOS DIÁRIOS'!$C$5:$C$500,$A28,'LANÇAMENTOS DIÁRIOS'!$O$5:$O$500,"&lt;=112599",'LANÇAMENTOS DIÁRIOS'!$P$5:$P$500,"&gt;=112500")&gt;0,"X","")</f>
      </c>
      <c r="M28" s="56" t="str">
        <f>IF(COUNTIFS('LANÇAMENTOS DIÁRIOS'!$G$5:$G$500,"F",'LANÇAMENTOS DIÁRIOS'!$C$5:$C$500,$A28,'LANÇAMENTOS DIÁRIOS'!$O$5:$O$500,"&lt;=112699",'LANÇAMENTOS DIÁRIOS'!$P$5:$P$500,"&gt;=112600")&gt;0,"X","")</f>
      </c>
      <c r="N28" s="56" t="str">
        <f>IF(COUNTIFS('LANÇAMENTOS DIÁRIOS'!$G$5:$G$500,"F",'LANÇAMENTOS DIÁRIOS'!$C$5:$C$500,$A28,'LANÇAMENTOS DIÁRIOS'!$O$5:$O$500,"&lt;=112799",'LANÇAMENTOS DIÁRIOS'!$P$5:$P$500,"&gt;=112700")&gt;0,"X","")</f>
      </c>
      <c r="O28" s="56" t="str">
        <f>IF(COUNTIFS('LANÇAMENTOS DIÁRIOS'!$G$5:$G$500,"F",'LANÇAMENTOS DIÁRIOS'!$C$5:$C$500,$A28,'LANÇAMENTOS DIÁRIOS'!$O$5:$O$500,"&lt;=112899",'LANÇAMENTOS DIÁRIOS'!$P$5:$P$500,"&gt;=112800")&gt;0,"X","")</f>
      </c>
      <c r="P28" s="56" t="str">
        <f>IF(COUNTIFS('LANÇAMENTOS DIÁRIOS'!$G$5:$G$500,"F",'LANÇAMENTOS DIÁRIOS'!$C$5:$C$500,$A28,'LANÇAMENTOS DIÁRIOS'!$O$5:$O$500,"&lt;=112999",'LANÇAMENTOS DIÁRIOS'!$P$5:$P$500,"&gt;=112900")&gt;0,"X","")</f>
      </c>
      <c r="Q28" s="56" t="str">
        <f>IF(COUNTIFS('LANÇAMENTOS DIÁRIOS'!$G$5:$G$500,"F",'LANÇAMENTOS DIÁRIOS'!$C$5:$C$500,$A28,'LANÇAMENTOS DIÁRIOS'!$O$5:$O$500,"&lt;=113099",'LANÇAMENTOS DIÁRIOS'!$P$5:$P$500,"&gt;=113000")&gt;0,"X","")</f>
      </c>
      <c r="R28" s="56" t="str">
        <f>IF(COUNTIFS('LANÇAMENTOS DIÁRIOS'!$G$5:$G$500,"F",'LANÇAMENTOS DIÁRIOS'!$C$5:$C$500,$A28,'LANÇAMENTOS DIÁRIOS'!$O$5:$O$500,"&lt;=113199",'LANÇAMENTOS DIÁRIOS'!$P$5:$P$500,"&gt;=113100")&gt;0,"X","")</f>
      </c>
      <c r="S28" s="56" t="str">
        <f>IF(COUNTIFS('LANÇAMENTOS DIÁRIOS'!$G$5:$G$500,"F",'LANÇAMENTOS DIÁRIOS'!$C$5:$C$500,$A28,'LANÇAMENTOS DIÁRIOS'!$O$5:$O$500,"&lt;=113299",'LANÇAMENTOS DIÁRIOS'!$P$5:$P$500,"&gt;=113200")&gt;0,"X","")</f>
      </c>
      <c r="T28" s="56" t="str">
        <f>IF(COUNTIFS('LANÇAMENTOS DIÁRIOS'!$G$5:$G$500,"F",'LANÇAMENTOS DIÁRIOS'!$C$5:$C$500,$A28,'LANÇAMENTOS DIÁRIOS'!$O$5:$O$500,"&lt;=113399",'LANÇAMENTOS DIÁRIOS'!$P$5:$P$500,"&gt;=113300")&gt;0,"X","")</f>
      </c>
      <c r="U28" s="56" t="str">
        <f>IF(COUNTIFS('LANÇAMENTOS DIÁRIOS'!$G$5:$G$500,"F",'LANÇAMENTOS DIÁRIOS'!$C$5:$C$500,$A28,'LANÇAMENTOS DIÁRIOS'!$O$5:$O$500,"&lt;=113499",'LANÇAMENTOS DIÁRIOS'!$P$5:$P$500,"&gt;=113400")&gt;0,"X","")</f>
      </c>
      <c r="V28" s="56" t="str">
        <f>IF(COUNTIFS('LANÇAMENTOS DIÁRIOS'!$G$5:$G$500,"F",'LANÇAMENTOS DIÁRIOS'!$C$5:$C$500,$A28,'LANÇAMENTOS DIÁRIOS'!$O$5:$O$500,"&lt;=113599",'LANÇAMENTOS DIÁRIOS'!$P$5:$P$500,"&gt;=113500")&gt;0,"X","")</f>
      </c>
      <c r="W28" s="56" t="str">
        <f>IF(COUNTIFS('LANÇAMENTOS DIÁRIOS'!$G$5:$G$500,"F",'LANÇAMENTOS DIÁRIOS'!$C$5:$C$500,$A28,'LANÇAMENTOS DIÁRIOS'!$O$5:$O$500,"&lt;=113699",'LANÇAMENTOS DIÁRIOS'!$P$5:$P$500,"&gt;=113600")&gt;0,"X","")</f>
      </c>
      <c r="X28" s="56" t="str">
        <f>IF(COUNTIFS('LANÇAMENTOS DIÁRIOS'!$G$5:$G$500,"F",'LANÇAMENTOS DIÁRIOS'!$C$5:$C$500,$A28,'LANÇAMENTOS DIÁRIOS'!$O$5:$O$500,"&lt;=113799",'LANÇAMENTOS DIÁRIOS'!$P$5:$P$500,"&gt;=113700")&gt;0,"X","")</f>
      </c>
      <c r="Y28" s="56" t="str">
        <f>IF(COUNTIFS('LANÇAMENTOS DIÁRIOS'!$G$5:$G$500,"F",'LANÇAMENTOS DIÁRIOS'!$C$5:$C$500,$A28,'LANÇAMENTOS DIÁRIOS'!$O$5:$O$500,"&lt;=113899",'LANÇAMENTOS DIÁRIOS'!$P$5:$P$500,"&gt;=113800")&gt;0,"X","")</f>
      </c>
      <c r="Z28" s="56" t="str">
        <f>IF(COUNTIFS('LANÇAMENTOS DIÁRIOS'!$G$5:$G$500,"F",'LANÇAMENTOS DIÁRIOS'!$C$5:$C$500,$A28,'LANÇAMENTOS DIÁRIOS'!$O$5:$O$500,"&lt;=113999",'LANÇAMENTOS DIÁRIOS'!$P$5:$P$500,"&gt;=113900")&gt;0,"X","")</f>
      </c>
      <c r="AA28" s="56" t="str">
        <f>IF(COUNTIFS('LANÇAMENTOS DIÁRIOS'!$G$5:$G$500,"F",'LANÇAMENTOS DIÁRIOS'!$C$5:$C$500,$A28,'LANÇAMENTOS DIÁRIOS'!$O$5:$O$500,"&lt;=114099",'LANÇAMENTOS DIÁRIOS'!$P$5:$P$500,"&gt;=114000")&gt;0,"X","")</f>
      </c>
      <c r="AB28" s="56" t="str">
        <f>IF(COUNTIFS('LANÇAMENTOS DIÁRIOS'!$G$5:$G$500,"F",'LANÇAMENTOS DIÁRIOS'!$C$5:$C$500,$A28,'LANÇAMENTOS DIÁRIOS'!$O$5:$O$500,"&lt;=114199",'LANÇAMENTOS DIÁRIOS'!$P$5:$P$500,"&gt;=114100")&gt;0,"X","")</f>
      </c>
      <c r="AC28" s="56" t="str">
        <f>IF(COUNTIFS('LANÇAMENTOS DIÁRIOS'!$G$5:$G$500,"F",'LANÇAMENTOS DIÁRIOS'!$C$5:$C$500,$A28,'LANÇAMENTOS DIÁRIOS'!$O$5:$O$500,"&lt;=114299",'LANÇAMENTOS DIÁRIOS'!$P$5:$P$500,"&gt;=114200")&gt;0,"X","")</f>
      </c>
      <c r="AD28" s="56" t="str">
        <f>IF(COUNTIFS('LANÇAMENTOS DIÁRIOS'!$G$5:$G$500,"F",'LANÇAMENTOS DIÁRIOS'!$C$5:$C$500,$A28,'LANÇAMENTOS DIÁRIOS'!$O$5:$O$500,"&lt;=114399",'LANÇAMENTOS DIÁRIOS'!$P$5:$P$500,"&gt;=114300")&gt;0,"X","")</f>
      </c>
      <c r="AE28" s="56" t="str">
        <f>IF(COUNTIFS('LANÇAMENTOS DIÁRIOS'!$G$5:$G$500,"F",'LANÇAMENTOS DIÁRIOS'!$C$5:$C$500,$A28,'LANÇAMENTOS DIÁRIOS'!$O$5:$O$500,"&lt;=114499",'LANÇAMENTOS DIÁRIOS'!$P$5:$P$500,"&gt;=114400")&gt;0,"X","")</f>
      </c>
      <c r="AF28" s="56" t="str">
        <f>IF(COUNTIFS('LANÇAMENTOS DIÁRIOS'!$G$5:$G$500,"F",'LANÇAMENTOS DIÁRIOS'!$C$5:$C$500,$A28,'LANÇAMENTOS DIÁRIOS'!$O$5:$O$500,"&lt;=114599",'LANÇAMENTOS DIÁRIOS'!$P$5:$P$500,"&gt;=114500")&gt;0,"X","")</f>
      </c>
      <c r="AG28" s="56" t="str">
        <f>IF(COUNTIFS('LANÇAMENTOS DIÁRIOS'!$G$5:$G$500,"F",'LANÇAMENTOS DIÁRIOS'!$C$5:$C$500,$A28,'LANÇAMENTOS DIÁRIOS'!$O$5:$O$500,"&lt;=114699",'LANÇAMENTOS DIÁRIOS'!$P$5:$P$500,"&gt;=114600")&gt;0,"X","")</f>
      </c>
      <c r="AH28" s="56" t="str">
        <f>IF(COUNTIFS('LANÇAMENTOS DIÁRIOS'!$G$5:$G$500,"F",'LANÇAMENTOS DIÁRIOS'!$C$5:$C$500,$A28,'LANÇAMENTOS DIÁRIOS'!$O$5:$O$500,"&lt;=114799",'LANÇAMENTOS DIÁRIOS'!$P$5:$P$500,"&gt;=114700")&gt;0,"X","")</f>
      </c>
      <c r="AI28" s="56" t="str">
        <f>IF(COUNTIFS('LANÇAMENTOS DIÁRIOS'!$G$5:$G$500,"F",'LANÇAMENTOS DIÁRIOS'!$C$5:$C$500,$A28,'LANÇAMENTOS DIÁRIOS'!$O$5:$O$500,"&lt;=114899",'LANÇAMENTOS DIÁRIOS'!$P$5:$P$500,"&gt;=114800")&gt;0,"X","")</f>
      </c>
      <c r="AJ28" s="56" t="str">
        <f>IF(COUNTIFS('LANÇAMENTOS DIÁRIOS'!$G$5:$G$500,"F",'LANÇAMENTOS DIÁRIOS'!$C$5:$C$500,$A28,'LANÇAMENTOS DIÁRIOS'!$O$5:$O$500,"&lt;=114999",'LANÇAMENTOS DIÁRIOS'!$P$5:$P$500,"&gt;=114900")&gt;0,"X","")</f>
      </c>
      <c r="AK28" s="56" t="str">
        <f>IF(COUNTIFS('LANÇAMENTOS DIÁRIOS'!$G$5:$G$500,"F",'LANÇAMENTOS DIÁRIOS'!$C$5:$C$500,$A28,'LANÇAMENTOS DIÁRIOS'!$O$5:$O$500,"&lt;=115099",'LANÇAMENTOS DIÁRIOS'!$P$5:$P$500,"&gt;=115000")&gt;0,"X","")</f>
      </c>
      <c r="AL28" s="56" t="str">
        <f>IF(COUNTIFS('LANÇAMENTOS DIÁRIOS'!$G$5:$G$500,"F",'LANÇAMENTOS DIÁRIOS'!$C$5:$C$500,$A28,'LANÇAMENTOS DIÁRIOS'!$O$5:$O$500,"&lt;=115199",'LANÇAMENTOS DIÁRIOS'!$P$5:$P$500,"&gt;=115100")&gt;0,"X","")</f>
      </c>
      <c r="AM28" s="56" t="str">
        <f>IF(COUNTIFS('LANÇAMENTOS DIÁRIOS'!$G$5:$G$500,"F",'LANÇAMENTOS DIÁRIOS'!$C$5:$C$500,$A28,'LANÇAMENTOS DIÁRIOS'!$O$5:$O$500,"&lt;=115299",'LANÇAMENTOS DIÁRIOS'!$P$5:$P$500,"&gt;=115200")&gt;0,"X","")</f>
      </c>
      <c r="AN28" s="56" t="str">
        <f>IF(COUNTIFS('LANÇAMENTOS DIÁRIOS'!$G$5:$G$500,"F",'LANÇAMENTOS DIÁRIOS'!$C$5:$C$500,$A28,'LANÇAMENTOS DIÁRIOS'!$O$5:$O$500,"&lt;=115399",'LANÇAMENTOS DIÁRIOS'!$P$5:$P$500,"&gt;=115300")&gt;0,"X","")</f>
      </c>
      <c r="AO28" s="56" t="str">
        <f>IF(COUNTIFS('LANÇAMENTOS DIÁRIOS'!$G$5:$G$500,"F",'LANÇAMENTOS DIÁRIOS'!$C$5:$C$500,$A28,'LANÇAMENTOS DIÁRIOS'!$O$5:$O$500,"&lt;=115499",'LANÇAMENTOS DIÁRIOS'!$P$5:$P$500,"&gt;=115400")&gt;0,"X","")</f>
      </c>
      <c r="AP28" s="56" t="str">
        <f>IF(COUNTIFS('LANÇAMENTOS DIÁRIOS'!$G$5:$G$500,"F",'LANÇAMENTOS DIÁRIOS'!$C$5:$C$500,$A28,'LANÇAMENTOS DIÁRIOS'!$O$5:$O$500,"&lt;=115599",'LANÇAMENTOS DIÁRIOS'!$P$5:$P$500,"&gt;=115500")&gt;0,"X","")</f>
      </c>
      <c r="AQ28" s="56" t="str">
        <f>IF(COUNTIFS('LANÇAMENTOS DIÁRIOS'!$G$5:$G$500,"F",'LANÇAMENTOS DIÁRIOS'!$C$5:$C$500,$A28,'LANÇAMENTOS DIÁRIOS'!$O$5:$O$500,"&lt;=115699",'LANÇAMENTOS DIÁRIOS'!$P$5:$P$500,"&gt;=115600")&gt;0,"X","")</f>
      </c>
      <c r="AR28" s="56" t="str">
        <f>IF(COUNTIFS('LANÇAMENTOS DIÁRIOS'!$G$5:$G$500,"F",'LANÇAMENTOS DIÁRIOS'!$C$5:$C$500,$A28,'LANÇAMENTOS DIÁRIOS'!$O$5:$O$500,"&lt;=115799",'LANÇAMENTOS DIÁRIOS'!$P$5:$P$500,"&gt;=115700")&gt;0,"X","")</f>
      </c>
      <c r="AS28" s="56" t="str">
        <f>IF(COUNTIFS('LANÇAMENTOS DIÁRIOS'!$G$5:$G$500,"F",'LANÇAMENTOS DIÁRIOS'!$C$5:$C$500,$A28,'LANÇAMENTOS DIÁRIOS'!$O$5:$O$500,"&lt;=115899",'LANÇAMENTOS DIÁRIOS'!$P$5:$P$500,"&gt;=115800")&gt;0,"X","")</f>
      </c>
      <c r="AT28" s="56" t="str">
        <f>IF(COUNTIFS('LANÇAMENTOS DIÁRIOS'!$G$5:$G$500,"F",'LANÇAMENTOS DIÁRIOS'!$C$5:$C$500,$A28,'LANÇAMENTOS DIÁRIOS'!$O$5:$O$500,"&lt;=115999",'LANÇAMENTOS DIÁRIOS'!$P$5:$P$500,"&gt;=115900")&gt;0,"X","")</f>
      </c>
      <c r="AU28" s="56" t="str">
        <f>IF(COUNTIFS('LANÇAMENTOS DIÁRIOS'!$G$5:$G$500,"F",'LANÇAMENTOS DIÁRIOS'!$C$5:$C$500,$A28,'LANÇAMENTOS DIÁRIOS'!$O$5:$O$500,"&lt;=116099",'LANÇAMENTOS DIÁRIOS'!$P$5:$P$500,"&gt;=116000")&gt;0,"X","")</f>
      </c>
      <c r="AV28" s="56" t="str">
        <f>IF(COUNTIFS('LANÇAMENTOS DIÁRIOS'!$G$5:$G$500,"F",'LANÇAMENTOS DIÁRIOS'!$C$5:$C$500,$A28,'LANÇAMENTOS DIÁRIOS'!$O$5:$O$500,"&lt;=116199",'LANÇAMENTOS DIÁRIOS'!$P$5:$P$500,"&gt;=116100")&gt;0,"X","")</f>
      </c>
      <c r="AW28" s="56" t="str">
        <f>IF(COUNTIFS('LANÇAMENTOS DIÁRIOS'!$G$5:$G$500,"F",'LANÇAMENTOS DIÁRIOS'!$C$5:$C$500,$A28,'LANÇAMENTOS DIÁRIOS'!$O$5:$O$500,"&lt;=116299",'LANÇAMENTOS DIÁRIOS'!$P$5:$P$500,"&gt;=116200")&gt;0,"X","")</f>
      </c>
      <c r="AX28" s="56" t="str">
        <f>IF(COUNTIFS('LANÇAMENTOS DIÁRIOS'!$G$5:$G$500,"F",'LANÇAMENTOS DIÁRIOS'!$C$5:$C$500,$A28,'LANÇAMENTOS DIÁRIOS'!$O$5:$O$500,"&lt;=116399",'LANÇAMENTOS DIÁRIOS'!$P$5:$P$500,"&gt;=116300")&gt;0,"X","")</f>
      </c>
      <c r="AY28" s="56" t="str">
        <f>IF(COUNTIFS('LANÇAMENTOS DIÁRIOS'!$G$5:$G$500,"F",'LANÇAMENTOS DIÁRIOS'!$C$5:$C$500,$A28,'LANÇAMENTOS DIÁRIOS'!$O$5:$O$500,"&lt;=116499",'LANÇAMENTOS DIÁRIOS'!$P$5:$P$500,"&gt;=116400")&gt;0,"X","")</f>
      </c>
      <c r="AZ28" s="56" t="str">
        <f>IF(COUNTIFS('LANÇAMENTOS DIÁRIOS'!$G$5:$G$500,"F",'LANÇAMENTOS DIÁRIOS'!$C$5:$C$500,$A28,'LANÇAMENTOS DIÁRIOS'!$O$5:$O$500,"&lt;=116599",'LANÇAMENTOS DIÁRIOS'!$P$5:$P$500,"&gt;=116500")&gt;0,"X","")</f>
      </c>
      <c r="BA28" s="56" t="str">
        <f>IF(COUNTIFS('LANÇAMENTOS DIÁRIOS'!$G$5:$G$500,"F",'LANÇAMENTOS DIÁRIOS'!$C$5:$C$500,$A28,'LANÇAMENTOS DIÁRIOS'!$O$5:$O$500,"&lt;=116699",'LANÇAMENTOS DIÁRIOS'!$P$5:$P$500,"&gt;=116600")&gt;0,"X","")</f>
      </c>
      <c r="BB28" s="56" t="str">
        <f>IF(COUNTIFS('LANÇAMENTOS DIÁRIOS'!$G$5:$G$500,"F",'LANÇAMENTOS DIÁRIOS'!$C$5:$C$500,$A28,'LANÇAMENTOS DIÁRIOS'!$O$5:$O$500,"&lt;=116799",'LANÇAMENTOS DIÁRIOS'!$P$5:$P$500,"&gt;=116700")&gt;0,"X","")</f>
      </c>
      <c r="BC28" s="56" t="str">
        <f>IF(COUNTIFS('LANÇAMENTOS DIÁRIOS'!$G$5:$G$500,"F",'LANÇAMENTOS DIÁRIOS'!$C$5:$C$500,$A28,'LANÇAMENTOS DIÁRIOS'!$O$5:$O$500,"&lt;=116899",'LANÇAMENTOS DIÁRIOS'!$P$5:$P$500,"&gt;=116800")&gt;0,"X","")</f>
      </c>
      <c r="BD28" s="56" t="str">
        <f>IF(COUNTIFS('LANÇAMENTOS DIÁRIOS'!$G$5:$G$500,"F",'LANÇAMENTOS DIÁRIOS'!$C$5:$C$500,$A28,'LANÇAMENTOS DIÁRIOS'!$O$5:$O$500,"&lt;=116999",'LANÇAMENTOS DIÁRIOS'!$P$5:$P$500,"&gt;=116900")&gt;0,"X","")</f>
      </c>
      <c r="BE28" s="56" t="str">
        <f>IF(COUNTIFS('LANÇAMENTOS DIÁRIOS'!$G$5:$G$500,"F",'LANÇAMENTOS DIÁRIOS'!$C$5:$C$500,$A28,'LANÇAMENTOS DIÁRIOS'!$O$5:$O$500,"&lt;=117099",'LANÇAMENTOS DIÁRIOS'!$P$5:$P$500,"&gt;=117000")&gt;0,"X","")</f>
      </c>
      <c r="BF28" s="56" t="str">
        <f>IF(COUNTIFS('LANÇAMENTOS DIÁRIOS'!$G$5:$G$500,"F",'LANÇAMENTOS DIÁRIOS'!$C$5:$C$500,$A28,'LANÇAMENTOS DIÁRIOS'!$O$5:$O$500,"&lt;=117199",'LANÇAMENTOS DIÁRIOS'!$P$5:$P$500,"&gt;=117100")&gt;0,"X","")</f>
      </c>
      <c r="BG28" s="56" t="str">
        <f>IF(COUNTIFS('LANÇAMENTOS DIÁRIOS'!$G$5:$G$500,"F",'LANÇAMENTOS DIÁRIOS'!$C$5:$C$500,$A28,'LANÇAMENTOS DIÁRIOS'!$O$5:$O$500,"&lt;=117219",'LANÇAMENTOS DIÁRIOS'!$P$5:$P$500,"&gt;=117200")&gt;0,"X","")</f>
      </c>
      <c r="BH28" s="56" t="str">
        <f>IF(COUNTIFS('LANÇAMENTOS DIÁRIOS'!$G$5:$G$500,"F",'LANÇAMENTOS DIÁRIOS'!$C$5:$C$500,$A28,'LANÇAMENTOS DIÁRIOS'!$O$5:$O$500,"&lt;=117220",'LANÇAMENTOS DIÁRIOS'!$P$5:$P$500,"&gt;=117220")&gt;0,"X","")</f>
      </c>
    </row>
    <row r="29">
      <c r="A29" s="51" t="str">
        <v>Derrubada e destocamento arv. c/ diâmetro &gt; 0,15 m</v>
      </c>
      <c r="B29" s="56" t="str">
        <f>IF(COUNTIFS('LANÇAMENTOS DIÁRIOS'!$G$5:$G$500,"F",'LANÇAMENTOS DIÁRIOS'!$C$5:$C$500,$A29,'LANÇAMENTOS DIÁRIOS'!$O$5:$O$500,"&lt;=111599",'LANÇAMENTOS DIÁRIOS'!$P$5:$P$500,"&gt;=111500")&gt;0,"X","")</f>
      </c>
      <c r="C29" s="56" t="str">
        <f>IF(COUNTIFS('LANÇAMENTOS DIÁRIOS'!$G$5:$G$500,"F",'LANÇAMENTOS DIÁRIOS'!$C$5:$C$500,$A29,'LANÇAMENTOS DIÁRIOS'!$O$5:$O$500,"&lt;=111699",'LANÇAMENTOS DIÁRIOS'!$P$5:$P$500,"&gt;=111600")&gt;0,"X","")</f>
      </c>
      <c r="D29" s="56" t="str">
        <f>IF(COUNTIFS('LANÇAMENTOS DIÁRIOS'!$G$5:$G$500,"F",'LANÇAMENTOS DIÁRIOS'!$C$5:$C$500,$A29,'LANÇAMENTOS DIÁRIOS'!$O$5:$O$500,"&lt;=111799",'LANÇAMENTOS DIÁRIOS'!$P$5:$P$500,"&gt;=111700")&gt;0,"X","")</f>
      </c>
      <c r="E29" s="56" t="str">
        <f>IF(COUNTIFS('LANÇAMENTOS DIÁRIOS'!$G$5:$G$500,"F",'LANÇAMENTOS DIÁRIOS'!$C$5:$C$500,$A29,'LANÇAMENTOS DIÁRIOS'!$O$5:$O$500,"&lt;=111899",'LANÇAMENTOS DIÁRIOS'!$P$5:$P$500,"&gt;=111800")&gt;0,"X","")</f>
      </c>
      <c r="F29" s="56" t="str">
        <f>IF(COUNTIFS('LANÇAMENTOS DIÁRIOS'!$G$5:$G$500,"F",'LANÇAMENTOS DIÁRIOS'!$C$5:$C$500,$A29,'LANÇAMENTOS DIÁRIOS'!$O$5:$O$500,"&lt;=111999",'LANÇAMENTOS DIÁRIOS'!$P$5:$P$500,"&gt;=111900")&gt;0,"X","")</f>
      </c>
      <c r="G29" s="56" t="str">
        <f>IF(COUNTIFS('LANÇAMENTOS DIÁRIOS'!$G$5:$G$500,"F",'LANÇAMENTOS DIÁRIOS'!$C$5:$C$500,$A29,'LANÇAMENTOS DIÁRIOS'!$O$5:$O$500,"&lt;=112099",'LANÇAMENTOS DIÁRIOS'!$P$5:$P$500,"&gt;=112000")&gt;0,"X","")</f>
      </c>
      <c r="H29" s="56" t="str">
        <f>IF(COUNTIFS('LANÇAMENTOS DIÁRIOS'!$G$5:$G$500,"F",'LANÇAMENTOS DIÁRIOS'!$C$5:$C$500,$A29,'LANÇAMENTOS DIÁRIOS'!$O$5:$O$500,"&lt;=112199",'LANÇAMENTOS DIÁRIOS'!$P$5:$P$500,"&gt;=112100")&gt;0,"X","")</f>
      </c>
      <c r="I29" s="56" t="str">
        <f>IF(COUNTIFS('LANÇAMENTOS DIÁRIOS'!$G$5:$G$500,"F",'LANÇAMENTOS DIÁRIOS'!$C$5:$C$500,$A29,'LANÇAMENTOS DIÁRIOS'!$O$5:$O$500,"&lt;=112299",'LANÇAMENTOS DIÁRIOS'!$P$5:$P$500,"&gt;=112200")&gt;0,"X","")</f>
      </c>
      <c r="J29" s="56" t="str">
        <f>IF(COUNTIFS('LANÇAMENTOS DIÁRIOS'!$G$5:$G$500,"F",'LANÇAMENTOS DIÁRIOS'!$C$5:$C$500,$A29,'LANÇAMENTOS DIÁRIOS'!$O$5:$O$500,"&lt;=112399",'LANÇAMENTOS DIÁRIOS'!$P$5:$P$500,"&gt;=112300")&gt;0,"X","")</f>
      </c>
      <c r="K29" s="56" t="str">
        <f>IF(COUNTIFS('LANÇAMENTOS DIÁRIOS'!$G$5:$G$500,"F",'LANÇAMENTOS DIÁRIOS'!$C$5:$C$500,$A29,'LANÇAMENTOS DIÁRIOS'!$O$5:$O$500,"&lt;=112499",'LANÇAMENTOS DIÁRIOS'!$P$5:$P$500,"&gt;=112400")&gt;0,"X","")</f>
      </c>
      <c r="L29" s="56" t="str">
        <f>IF(COUNTIFS('LANÇAMENTOS DIÁRIOS'!$G$5:$G$500,"F",'LANÇAMENTOS DIÁRIOS'!$C$5:$C$500,$A29,'LANÇAMENTOS DIÁRIOS'!$O$5:$O$500,"&lt;=112599",'LANÇAMENTOS DIÁRIOS'!$P$5:$P$500,"&gt;=112500")&gt;0,"X","")</f>
      </c>
      <c r="M29" s="56" t="str">
        <f>IF(COUNTIFS('LANÇAMENTOS DIÁRIOS'!$G$5:$G$500,"F",'LANÇAMENTOS DIÁRIOS'!$C$5:$C$500,$A29,'LANÇAMENTOS DIÁRIOS'!$O$5:$O$500,"&lt;=112699",'LANÇAMENTOS DIÁRIOS'!$P$5:$P$500,"&gt;=112600")&gt;0,"X","")</f>
      </c>
      <c r="N29" s="56" t="str">
        <f>IF(COUNTIFS('LANÇAMENTOS DIÁRIOS'!$G$5:$G$500,"F",'LANÇAMENTOS DIÁRIOS'!$C$5:$C$500,$A29,'LANÇAMENTOS DIÁRIOS'!$O$5:$O$500,"&lt;=112799",'LANÇAMENTOS DIÁRIOS'!$P$5:$P$500,"&gt;=112700")&gt;0,"X","")</f>
      </c>
      <c r="O29" s="56" t="str">
        <f>IF(COUNTIFS('LANÇAMENTOS DIÁRIOS'!$G$5:$G$500,"F",'LANÇAMENTOS DIÁRIOS'!$C$5:$C$500,$A29,'LANÇAMENTOS DIÁRIOS'!$O$5:$O$500,"&lt;=112899",'LANÇAMENTOS DIÁRIOS'!$P$5:$P$500,"&gt;=112800")&gt;0,"X","")</f>
      </c>
      <c r="P29" s="56" t="str">
        <f>IF(COUNTIFS('LANÇAMENTOS DIÁRIOS'!$G$5:$G$500,"F",'LANÇAMENTOS DIÁRIOS'!$C$5:$C$500,$A29,'LANÇAMENTOS DIÁRIOS'!$O$5:$O$500,"&lt;=112999",'LANÇAMENTOS DIÁRIOS'!$P$5:$P$500,"&gt;=112900")&gt;0,"X","")</f>
      </c>
      <c r="Q29" s="56" t="str">
        <f>IF(COUNTIFS('LANÇAMENTOS DIÁRIOS'!$G$5:$G$500,"F",'LANÇAMENTOS DIÁRIOS'!$C$5:$C$500,$A29,'LANÇAMENTOS DIÁRIOS'!$O$5:$O$500,"&lt;=113099",'LANÇAMENTOS DIÁRIOS'!$P$5:$P$500,"&gt;=113000")&gt;0,"X","")</f>
      </c>
      <c r="R29" s="56" t="str">
        <f>IF(COUNTIFS('LANÇAMENTOS DIÁRIOS'!$G$5:$G$500,"F",'LANÇAMENTOS DIÁRIOS'!$C$5:$C$500,$A29,'LANÇAMENTOS DIÁRIOS'!$O$5:$O$500,"&lt;=113199",'LANÇAMENTOS DIÁRIOS'!$P$5:$P$500,"&gt;=113100")&gt;0,"X","")</f>
      </c>
      <c r="S29" s="56" t="str">
        <f>IF(COUNTIFS('LANÇAMENTOS DIÁRIOS'!$G$5:$G$500,"F",'LANÇAMENTOS DIÁRIOS'!$C$5:$C$500,$A29,'LANÇAMENTOS DIÁRIOS'!$O$5:$O$500,"&lt;=113299",'LANÇAMENTOS DIÁRIOS'!$P$5:$P$500,"&gt;=113200")&gt;0,"X","")</f>
      </c>
      <c r="T29" s="56" t="str">
        <f>IF(COUNTIFS('LANÇAMENTOS DIÁRIOS'!$G$5:$G$500,"F",'LANÇAMENTOS DIÁRIOS'!$C$5:$C$500,$A29,'LANÇAMENTOS DIÁRIOS'!$O$5:$O$500,"&lt;=113399",'LANÇAMENTOS DIÁRIOS'!$P$5:$P$500,"&gt;=113300")&gt;0,"X","")</f>
      </c>
      <c r="U29" s="56" t="str">
        <f>IF(COUNTIFS('LANÇAMENTOS DIÁRIOS'!$G$5:$G$500,"F",'LANÇAMENTOS DIÁRIOS'!$C$5:$C$500,$A29,'LANÇAMENTOS DIÁRIOS'!$O$5:$O$500,"&lt;=113499",'LANÇAMENTOS DIÁRIOS'!$P$5:$P$500,"&gt;=113400")&gt;0,"X","")</f>
      </c>
      <c r="V29" s="56" t="str">
        <f>IF(COUNTIFS('LANÇAMENTOS DIÁRIOS'!$G$5:$G$500,"F",'LANÇAMENTOS DIÁRIOS'!$C$5:$C$500,$A29,'LANÇAMENTOS DIÁRIOS'!$O$5:$O$500,"&lt;=113599",'LANÇAMENTOS DIÁRIOS'!$P$5:$P$500,"&gt;=113500")&gt;0,"X","")</f>
      </c>
      <c r="W29" s="56" t="str">
        <f>IF(COUNTIFS('LANÇAMENTOS DIÁRIOS'!$G$5:$G$500,"F",'LANÇAMENTOS DIÁRIOS'!$C$5:$C$500,$A29,'LANÇAMENTOS DIÁRIOS'!$O$5:$O$500,"&lt;=113699",'LANÇAMENTOS DIÁRIOS'!$P$5:$P$500,"&gt;=113600")&gt;0,"X","")</f>
      </c>
      <c r="X29" s="56" t="str">
        <f>IF(COUNTIFS('LANÇAMENTOS DIÁRIOS'!$G$5:$G$500,"F",'LANÇAMENTOS DIÁRIOS'!$C$5:$C$500,$A29,'LANÇAMENTOS DIÁRIOS'!$O$5:$O$500,"&lt;=113799",'LANÇAMENTOS DIÁRIOS'!$P$5:$P$500,"&gt;=113700")&gt;0,"X","")</f>
      </c>
      <c r="Y29" s="56" t="str">
        <f>IF(COUNTIFS('LANÇAMENTOS DIÁRIOS'!$G$5:$G$500,"F",'LANÇAMENTOS DIÁRIOS'!$C$5:$C$500,$A29,'LANÇAMENTOS DIÁRIOS'!$O$5:$O$500,"&lt;=113899",'LANÇAMENTOS DIÁRIOS'!$P$5:$P$500,"&gt;=113800")&gt;0,"X","")</f>
      </c>
      <c r="Z29" s="56" t="str">
        <f>IF(COUNTIFS('LANÇAMENTOS DIÁRIOS'!$G$5:$G$500,"F",'LANÇAMENTOS DIÁRIOS'!$C$5:$C$500,$A29,'LANÇAMENTOS DIÁRIOS'!$O$5:$O$500,"&lt;=113999",'LANÇAMENTOS DIÁRIOS'!$P$5:$P$500,"&gt;=113900")&gt;0,"X","")</f>
      </c>
      <c r="AA29" s="56" t="str">
        <f>IF(COUNTIFS('LANÇAMENTOS DIÁRIOS'!$G$5:$G$500,"F",'LANÇAMENTOS DIÁRIOS'!$C$5:$C$500,$A29,'LANÇAMENTOS DIÁRIOS'!$O$5:$O$500,"&lt;=114099",'LANÇAMENTOS DIÁRIOS'!$P$5:$P$500,"&gt;=114000")&gt;0,"X","")</f>
      </c>
      <c r="AB29" s="56" t="str">
        <f>IF(COUNTIFS('LANÇAMENTOS DIÁRIOS'!$G$5:$G$500,"F",'LANÇAMENTOS DIÁRIOS'!$C$5:$C$500,$A29,'LANÇAMENTOS DIÁRIOS'!$O$5:$O$500,"&lt;=114199",'LANÇAMENTOS DIÁRIOS'!$P$5:$P$500,"&gt;=114100")&gt;0,"X","")</f>
      </c>
      <c r="AC29" s="56" t="str">
        <f>IF(COUNTIFS('LANÇAMENTOS DIÁRIOS'!$G$5:$G$500,"F",'LANÇAMENTOS DIÁRIOS'!$C$5:$C$500,$A29,'LANÇAMENTOS DIÁRIOS'!$O$5:$O$500,"&lt;=114299",'LANÇAMENTOS DIÁRIOS'!$P$5:$P$500,"&gt;=114200")&gt;0,"X","")</f>
      </c>
      <c r="AD29" s="56" t="str">
        <f>IF(COUNTIFS('LANÇAMENTOS DIÁRIOS'!$G$5:$G$500,"F",'LANÇAMENTOS DIÁRIOS'!$C$5:$C$500,$A29,'LANÇAMENTOS DIÁRIOS'!$O$5:$O$500,"&lt;=114399",'LANÇAMENTOS DIÁRIOS'!$P$5:$P$500,"&gt;=114300")&gt;0,"X","")</f>
      </c>
      <c r="AE29" s="56" t="str">
        <f>IF(COUNTIFS('LANÇAMENTOS DIÁRIOS'!$G$5:$G$500,"F",'LANÇAMENTOS DIÁRIOS'!$C$5:$C$500,$A29,'LANÇAMENTOS DIÁRIOS'!$O$5:$O$500,"&lt;=114499",'LANÇAMENTOS DIÁRIOS'!$P$5:$P$500,"&gt;=114400")&gt;0,"X","")</f>
      </c>
      <c r="AF29" s="56" t="str">
        <f>IF(COUNTIFS('LANÇAMENTOS DIÁRIOS'!$G$5:$G$500,"F",'LANÇAMENTOS DIÁRIOS'!$C$5:$C$500,$A29,'LANÇAMENTOS DIÁRIOS'!$O$5:$O$500,"&lt;=114599",'LANÇAMENTOS DIÁRIOS'!$P$5:$P$500,"&gt;=114500")&gt;0,"X","")</f>
      </c>
      <c r="AG29" s="56" t="str">
        <f>IF(COUNTIFS('LANÇAMENTOS DIÁRIOS'!$G$5:$G$500,"F",'LANÇAMENTOS DIÁRIOS'!$C$5:$C$500,$A29,'LANÇAMENTOS DIÁRIOS'!$O$5:$O$500,"&lt;=114699",'LANÇAMENTOS DIÁRIOS'!$P$5:$P$500,"&gt;=114600")&gt;0,"X","")</f>
      </c>
      <c r="AH29" s="56" t="str">
        <f>IF(COUNTIFS('LANÇAMENTOS DIÁRIOS'!$G$5:$G$500,"F",'LANÇAMENTOS DIÁRIOS'!$C$5:$C$500,$A29,'LANÇAMENTOS DIÁRIOS'!$O$5:$O$500,"&lt;=114799",'LANÇAMENTOS DIÁRIOS'!$P$5:$P$500,"&gt;=114700")&gt;0,"X","")</f>
      </c>
      <c r="AI29" s="56" t="str">
        <f>IF(COUNTIFS('LANÇAMENTOS DIÁRIOS'!$G$5:$G$500,"F",'LANÇAMENTOS DIÁRIOS'!$C$5:$C$500,$A29,'LANÇAMENTOS DIÁRIOS'!$O$5:$O$500,"&lt;=114899",'LANÇAMENTOS DIÁRIOS'!$P$5:$P$500,"&gt;=114800")&gt;0,"X","")</f>
      </c>
      <c r="AJ29" s="56" t="str">
        <f>IF(COUNTIFS('LANÇAMENTOS DIÁRIOS'!$G$5:$G$500,"F",'LANÇAMENTOS DIÁRIOS'!$C$5:$C$500,$A29,'LANÇAMENTOS DIÁRIOS'!$O$5:$O$500,"&lt;=114999",'LANÇAMENTOS DIÁRIOS'!$P$5:$P$500,"&gt;=114900")&gt;0,"X","")</f>
      </c>
      <c r="AK29" s="56" t="str">
        <f>IF(COUNTIFS('LANÇAMENTOS DIÁRIOS'!$G$5:$G$500,"F",'LANÇAMENTOS DIÁRIOS'!$C$5:$C$500,$A29,'LANÇAMENTOS DIÁRIOS'!$O$5:$O$500,"&lt;=115099",'LANÇAMENTOS DIÁRIOS'!$P$5:$P$500,"&gt;=115000")&gt;0,"X","")</f>
      </c>
      <c r="AL29" s="56" t="str">
        <f>IF(COUNTIFS('LANÇAMENTOS DIÁRIOS'!$G$5:$G$500,"F",'LANÇAMENTOS DIÁRIOS'!$C$5:$C$500,$A29,'LANÇAMENTOS DIÁRIOS'!$O$5:$O$500,"&lt;=115199",'LANÇAMENTOS DIÁRIOS'!$P$5:$P$500,"&gt;=115100")&gt;0,"X","")</f>
      </c>
      <c r="AM29" s="56" t="str">
        <f>IF(COUNTIFS('LANÇAMENTOS DIÁRIOS'!$G$5:$G$500,"F",'LANÇAMENTOS DIÁRIOS'!$C$5:$C$500,$A29,'LANÇAMENTOS DIÁRIOS'!$O$5:$O$500,"&lt;=115299",'LANÇAMENTOS DIÁRIOS'!$P$5:$P$500,"&gt;=115200")&gt;0,"X","")</f>
      </c>
      <c r="AN29" s="56" t="str">
        <f>IF(COUNTIFS('LANÇAMENTOS DIÁRIOS'!$G$5:$G$500,"F",'LANÇAMENTOS DIÁRIOS'!$C$5:$C$500,$A29,'LANÇAMENTOS DIÁRIOS'!$O$5:$O$500,"&lt;=115399",'LANÇAMENTOS DIÁRIOS'!$P$5:$P$500,"&gt;=115300")&gt;0,"X","")</f>
      </c>
      <c r="AO29" s="56" t="str">
        <f>IF(COUNTIFS('LANÇAMENTOS DIÁRIOS'!$G$5:$G$500,"F",'LANÇAMENTOS DIÁRIOS'!$C$5:$C$500,$A29,'LANÇAMENTOS DIÁRIOS'!$O$5:$O$500,"&lt;=115499",'LANÇAMENTOS DIÁRIOS'!$P$5:$P$500,"&gt;=115400")&gt;0,"X","")</f>
      </c>
      <c r="AP29" s="56" t="str">
        <f>IF(COUNTIFS('LANÇAMENTOS DIÁRIOS'!$G$5:$G$500,"F",'LANÇAMENTOS DIÁRIOS'!$C$5:$C$500,$A29,'LANÇAMENTOS DIÁRIOS'!$O$5:$O$500,"&lt;=115599",'LANÇAMENTOS DIÁRIOS'!$P$5:$P$500,"&gt;=115500")&gt;0,"X","")</f>
      </c>
      <c r="AQ29" s="56" t="str">
        <f>IF(COUNTIFS('LANÇAMENTOS DIÁRIOS'!$G$5:$G$500,"F",'LANÇAMENTOS DIÁRIOS'!$C$5:$C$500,$A29,'LANÇAMENTOS DIÁRIOS'!$O$5:$O$500,"&lt;=115699",'LANÇAMENTOS DIÁRIOS'!$P$5:$P$500,"&gt;=115600")&gt;0,"X","")</f>
      </c>
      <c r="AR29" s="56" t="str">
        <f>IF(COUNTIFS('LANÇAMENTOS DIÁRIOS'!$G$5:$G$500,"F",'LANÇAMENTOS DIÁRIOS'!$C$5:$C$500,$A29,'LANÇAMENTOS DIÁRIOS'!$O$5:$O$500,"&lt;=115799",'LANÇAMENTOS DIÁRIOS'!$P$5:$P$500,"&gt;=115700")&gt;0,"X","")</f>
      </c>
      <c r="AS29" s="56" t="str">
        <f>IF(COUNTIFS('LANÇAMENTOS DIÁRIOS'!$G$5:$G$500,"F",'LANÇAMENTOS DIÁRIOS'!$C$5:$C$500,$A29,'LANÇAMENTOS DIÁRIOS'!$O$5:$O$500,"&lt;=115899",'LANÇAMENTOS DIÁRIOS'!$P$5:$P$500,"&gt;=115800")&gt;0,"X","")</f>
      </c>
      <c r="AT29" s="56" t="str">
        <f>IF(COUNTIFS('LANÇAMENTOS DIÁRIOS'!$G$5:$G$500,"F",'LANÇAMENTOS DIÁRIOS'!$C$5:$C$500,$A29,'LANÇAMENTOS DIÁRIOS'!$O$5:$O$500,"&lt;=115999",'LANÇAMENTOS DIÁRIOS'!$P$5:$P$500,"&gt;=115900")&gt;0,"X","")</f>
      </c>
      <c r="AU29" s="56" t="str">
        <f>IF(COUNTIFS('LANÇAMENTOS DIÁRIOS'!$G$5:$G$500,"F",'LANÇAMENTOS DIÁRIOS'!$C$5:$C$500,$A29,'LANÇAMENTOS DIÁRIOS'!$O$5:$O$500,"&lt;=116099",'LANÇAMENTOS DIÁRIOS'!$P$5:$P$500,"&gt;=116000")&gt;0,"X","")</f>
      </c>
      <c r="AV29" s="56" t="str">
        <f>IF(COUNTIFS('LANÇAMENTOS DIÁRIOS'!$G$5:$G$500,"F",'LANÇAMENTOS DIÁRIOS'!$C$5:$C$500,$A29,'LANÇAMENTOS DIÁRIOS'!$O$5:$O$500,"&lt;=116199",'LANÇAMENTOS DIÁRIOS'!$P$5:$P$500,"&gt;=116100")&gt;0,"X","")</f>
      </c>
      <c r="AW29" s="56" t="str">
        <f>IF(COUNTIFS('LANÇAMENTOS DIÁRIOS'!$G$5:$G$500,"F",'LANÇAMENTOS DIÁRIOS'!$C$5:$C$500,$A29,'LANÇAMENTOS DIÁRIOS'!$O$5:$O$500,"&lt;=116299",'LANÇAMENTOS DIÁRIOS'!$P$5:$P$500,"&gt;=116200")&gt;0,"X","")</f>
      </c>
      <c r="AX29" s="56" t="str">
        <f>IF(COUNTIFS('LANÇAMENTOS DIÁRIOS'!$G$5:$G$500,"F",'LANÇAMENTOS DIÁRIOS'!$C$5:$C$500,$A29,'LANÇAMENTOS DIÁRIOS'!$O$5:$O$500,"&lt;=116399",'LANÇAMENTOS DIÁRIOS'!$P$5:$P$500,"&gt;=116300")&gt;0,"X","")</f>
      </c>
      <c r="AY29" s="56" t="str">
        <f>IF(COUNTIFS('LANÇAMENTOS DIÁRIOS'!$G$5:$G$500,"F",'LANÇAMENTOS DIÁRIOS'!$C$5:$C$500,$A29,'LANÇAMENTOS DIÁRIOS'!$O$5:$O$500,"&lt;=116499",'LANÇAMENTOS DIÁRIOS'!$P$5:$P$500,"&gt;=116400")&gt;0,"X","")</f>
      </c>
      <c r="AZ29" s="56" t="str">
        <f>IF(COUNTIFS('LANÇAMENTOS DIÁRIOS'!$G$5:$G$500,"F",'LANÇAMENTOS DIÁRIOS'!$C$5:$C$500,$A29,'LANÇAMENTOS DIÁRIOS'!$O$5:$O$500,"&lt;=116599",'LANÇAMENTOS DIÁRIOS'!$P$5:$P$500,"&gt;=116500")&gt;0,"X","")</f>
      </c>
      <c r="BA29" s="56" t="str">
        <f>IF(COUNTIFS('LANÇAMENTOS DIÁRIOS'!$G$5:$G$500,"F",'LANÇAMENTOS DIÁRIOS'!$C$5:$C$500,$A29,'LANÇAMENTOS DIÁRIOS'!$O$5:$O$500,"&lt;=116699",'LANÇAMENTOS DIÁRIOS'!$P$5:$P$500,"&gt;=116600")&gt;0,"X","")</f>
      </c>
      <c r="BB29" s="56" t="str">
        <f>IF(COUNTIFS('LANÇAMENTOS DIÁRIOS'!$G$5:$G$500,"F",'LANÇAMENTOS DIÁRIOS'!$C$5:$C$500,$A29,'LANÇAMENTOS DIÁRIOS'!$O$5:$O$500,"&lt;=116799",'LANÇAMENTOS DIÁRIOS'!$P$5:$P$500,"&gt;=116700")&gt;0,"X","")</f>
      </c>
      <c r="BC29" s="56" t="str">
        <f>IF(COUNTIFS('LANÇAMENTOS DIÁRIOS'!$G$5:$G$500,"F",'LANÇAMENTOS DIÁRIOS'!$C$5:$C$500,$A29,'LANÇAMENTOS DIÁRIOS'!$O$5:$O$500,"&lt;=116899",'LANÇAMENTOS DIÁRIOS'!$P$5:$P$500,"&gt;=116800")&gt;0,"X","")</f>
      </c>
      <c r="BD29" s="56" t="str">
        <f>IF(COUNTIFS('LANÇAMENTOS DIÁRIOS'!$G$5:$G$500,"F",'LANÇAMENTOS DIÁRIOS'!$C$5:$C$500,$A29,'LANÇAMENTOS DIÁRIOS'!$O$5:$O$500,"&lt;=116999",'LANÇAMENTOS DIÁRIOS'!$P$5:$P$500,"&gt;=116900")&gt;0,"X","")</f>
      </c>
      <c r="BE29" s="56" t="str">
        <f>IF(COUNTIFS('LANÇAMENTOS DIÁRIOS'!$G$5:$G$500,"F",'LANÇAMENTOS DIÁRIOS'!$C$5:$C$500,$A29,'LANÇAMENTOS DIÁRIOS'!$O$5:$O$500,"&lt;=117099",'LANÇAMENTOS DIÁRIOS'!$P$5:$P$500,"&gt;=117000")&gt;0,"X","")</f>
      </c>
      <c r="BF29" s="56" t="str">
        <f>IF(COUNTIFS('LANÇAMENTOS DIÁRIOS'!$G$5:$G$500,"F",'LANÇAMENTOS DIÁRIOS'!$C$5:$C$500,$A29,'LANÇAMENTOS DIÁRIOS'!$O$5:$O$500,"&lt;=117199",'LANÇAMENTOS DIÁRIOS'!$P$5:$P$500,"&gt;=117100")&gt;0,"X","")</f>
      </c>
      <c r="BG29" s="56" t="str">
        <f>IF(COUNTIFS('LANÇAMENTOS DIÁRIOS'!$G$5:$G$500,"F",'LANÇAMENTOS DIÁRIOS'!$C$5:$C$500,$A29,'LANÇAMENTOS DIÁRIOS'!$O$5:$O$500,"&lt;=117219",'LANÇAMENTOS DIÁRIOS'!$P$5:$P$500,"&gt;=117200")&gt;0,"X","")</f>
      </c>
      <c r="BH29" s="56" t="str">
        <f>IF(COUNTIFS('LANÇAMENTOS DIÁRIOS'!$G$5:$G$500,"F",'LANÇAMENTOS DIÁRIOS'!$C$5:$C$500,$A29,'LANÇAMENTOS DIÁRIOS'!$O$5:$O$500,"&lt;=117220",'LANÇAMENTOS DIÁRIOS'!$P$5:$P$500,"&gt;=117220")&gt;0,"X","")</f>
      </c>
    </row>
    <row r="30">
      <c r="A30" s="51" t="str">
        <v>Derrubada e destocamento.arv. c/ diâmetro 20&lt;&gt;30cm, com limpeza da área</v>
      </c>
      <c r="B30" s="56" t="str">
        <f>IF(COUNTIFS('LANÇAMENTOS DIÁRIOS'!$G$5:$G$500,"F",'LANÇAMENTOS DIÁRIOS'!$C$5:$C$500,$A30,'LANÇAMENTOS DIÁRIOS'!$O$5:$O$500,"&lt;=111599",'LANÇAMENTOS DIÁRIOS'!$P$5:$P$500,"&gt;=111500")&gt;0,"X","")</f>
      </c>
      <c r="C30" s="56" t="str">
        <f>IF(COUNTIFS('LANÇAMENTOS DIÁRIOS'!$G$5:$G$500,"F",'LANÇAMENTOS DIÁRIOS'!$C$5:$C$500,$A30,'LANÇAMENTOS DIÁRIOS'!$O$5:$O$500,"&lt;=111699",'LANÇAMENTOS DIÁRIOS'!$P$5:$P$500,"&gt;=111600")&gt;0,"X","")</f>
      </c>
      <c r="D30" s="56" t="str">
        <f>IF(COUNTIFS('LANÇAMENTOS DIÁRIOS'!$G$5:$G$500,"F",'LANÇAMENTOS DIÁRIOS'!$C$5:$C$500,$A30,'LANÇAMENTOS DIÁRIOS'!$O$5:$O$500,"&lt;=111799",'LANÇAMENTOS DIÁRIOS'!$P$5:$P$500,"&gt;=111700")&gt;0,"X","")</f>
      </c>
      <c r="E30" s="56" t="str">
        <f>IF(COUNTIFS('LANÇAMENTOS DIÁRIOS'!$G$5:$G$500,"F",'LANÇAMENTOS DIÁRIOS'!$C$5:$C$500,$A30,'LANÇAMENTOS DIÁRIOS'!$O$5:$O$500,"&lt;=111899",'LANÇAMENTOS DIÁRIOS'!$P$5:$P$500,"&gt;=111800")&gt;0,"X","")</f>
      </c>
      <c r="F30" s="56" t="str">
        <f>IF(COUNTIFS('LANÇAMENTOS DIÁRIOS'!$G$5:$G$500,"F",'LANÇAMENTOS DIÁRIOS'!$C$5:$C$500,$A30,'LANÇAMENTOS DIÁRIOS'!$O$5:$O$500,"&lt;=111999",'LANÇAMENTOS DIÁRIOS'!$P$5:$P$500,"&gt;=111900")&gt;0,"X","")</f>
      </c>
      <c r="G30" s="56" t="str">
        <f>IF(COUNTIFS('LANÇAMENTOS DIÁRIOS'!$G$5:$G$500,"F",'LANÇAMENTOS DIÁRIOS'!$C$5:$C$500,$A30,'LANÇAMENTOS DIÁRIOS'!$O$5:$O$500,"&lt;=112099",'LANÇAMENTOS DIÁRIOS'!$P$5:$P$500,"&gt;=112000")&gt;0,"X","")</f>
      </c>
      <c r="H30" s="56" t="str">
        <f>IF(COUNTIFS('LANÇAMENTOS DIÁRIOS'!$G$5:$G$500,"F",'LANÇAMENTOS DIÁRIOS'!$C$5:$C$500,$A30,'LANÇAMENTOS DIÁRIOS'!$O$5:$O$500,"&lt;=112199",'LANÇAMENTOS DIÁRIOS'!$P$5:$P$500,"&gt;=112100")&gt;0,"X","")</f>
      </c>
      <c r="I30" s="56" t="str">
        <f>IF(COUNTIFS('LANÇAMENTOS DIÁRIOS'!$G$5:$G$500,"F",'LANÇAMENTOS DIÁRIOS'!$C$5:$C$500,$A30,'LANÇAMENTOS DIÁRIOS'!$O$5:$O$500,"&lt;=112299",'LANÇAMENTOS DIÁRIOS'!$P$5:$P$500,"&gt;=112200")&gt;0,"X","")</f>
      </c>
      <c r="J30" s="56" t="str">
        <f>IF(COUNTIFS('LANÇAMENTOS DIÁRIOS'!$G$5:$G$500,"F",'LANÇAMENTOS DIÁRIOS'!$C$5:$C$500,$A30,'LANÇAMENTOS DIÁRIOS'!$O$5:$O$500,"&lt;=112399",'LANÇAMENTOS DIÁRIOS'!$P$5:$P$500,"&gt;=112300")&gt;0,"X","")</f>
      </c>
      <c r="K30" s="56" t="str">
        <f>IF(COUNTIFS('LANÇAMENTOS DIÁRIOS'!$G$5:$G$500,"F",'LANÇAMENTOS DIÁRIOS'!$C$5:$C$500,$A30,'LANÇAMENTOS DIÁRIOS'!$O$5:$O$500,"&lt;=112499",'LANÇAMENTOS DIÁRIOS'!$P$5:$P$500,"&gt;=112400")&gt;0,"X","")</f>
      </c>
      <c r="L30" s="56" t="str">
        <f>IF(COUNTIFS('LANÇAMENTOS DIÁRIOS'!$G$5:$G$500,"F",'LANÇAMENTOS DIÁRIOS'!$C$5:$C$500,$A30,'LANÇAMENTOS DIÁRIOS'!$O$5:$O$500,"&lt;=112599",'LANÇAMENTOS DIÁRIOS'!$P$5:$P$500,"&gt;=112500")&gt;0,"X","")</f>
      </c>
      <c r="M30" s="56" t="str">
        <f>IF(COUNTIFS('LANÇAMENTOS DIÁRIOS'!$G$5:$G$500,"F",'LANÇAMENTOS DIÁRIOS'!$C$5:$C$500,$A30,'LANÇAMENTOS DIÁRIOS'!$O$5:$O$500,"&lt;=112699",'LANÇAMENTOS DIÁRIOS'!$P$5:$P$500,"&gt;=112600")&gt;0,"X","")</f>
      </c>
      <c r="N30" s="56" t="str">
        <f>IF(COUNTIFS('LANÇAMENTOS DIÁRIOS'!$G$5:$G$500,"F",'LANÇAMENTOS DIÁRIOS'!$C$5:$C$500,$A30,'LANÇAMENTOS DIÁRIOS'!$O$5:$O$500,"&lt;=112799",'LANÇAMENTOS DIÁRIOS'!$P$5:$P$500,"&gt;=112700")&gt;0,"X","")</f>
      </c>
      <c r="O30" s="56" t="str">
        <f>IF(COUNTIFS('LANÇAMENTOS DIÁRIOS'!$G$5:$G$500,"F",'LANÇAMENTOS DIÁRIOS'!$C$5:$C$500,$A30,'LANÇAMENTOS DIÁRIOS'!$O$5:$O$500,"&lt;=112899",'LANÇAMENTOS DIÁRIOS'!$P$5:$P$500,"&gt;=112800")&gt;0,"X","")</f>
      </c>
      <c r="P30" s="56" t="str">
        <f>IF(COUNTIFS('LANÇAMENTOS DIÁRIOS'!$G$5:$G$500,"F",'LANÇAMENTOS DIÁRIOS'!$C$5:$C$500,$A30,'LANÇAMENTOS DIÁRIOS'!$O$5:$O$500,"&lt;=112999",'LANÇAMENTOS DIÁRIOS'!$P$5:$P$500,"&gt;=112900")&gt;0,"X","")</f>
      </c>
      <c r="Q30" s="56" t="str">
        <f>IF(COUNTIFS('LANÇAMENTOS DIÁRIOS'!$G$5:$G$500,"F",'LANÇAMENTOS DIÁRIOS'!$C$5:$C$500,$A30,'LANÇAMENTOS DIÁRIOS'!$O$5:$O$500,"&lt;=113099",'LANÇAMENTOS DIÁRIOS'!$P$5:$P$500,"&gt;=113000")&gt;0,"X","")</f>
      </c>
      <c r="R30" s="56" t="str">
        <f>IF(COUNTIFS('LANÇAMENTOS DIÁRIOS'!$G$5:$G$500,"F",'LANÇAMENTOS DIÁRIOS'!$C$5:$C$500,$A30,'LANÇAMENTOS DIÁRIOS'!$O$5:$O$500,"&lt;=113199",'LANÇAMENTOS DIÁRIOS'!$P$5:$P$500,"&gt;=113100")&gt;0,"X","")</f>
      </c>
      <c r="S30" s="56" t="str">
        <f>IF(COUNTIFS('LANÇAMENTOS DIÁRIOS'!$G$5:$G$500,"F",'LANÇAMENTOS DIÁRIOS'!$C$5:$C$500,$A30,'LANÇAMENTOS DIÁRIOS'!$O$5:$O$500,"&lt;=113299",'LANÇAMENTOS DIÁRIOS'!$P$5:$P$500,"&gt;=113200")&gt;0,"X","")</f>
      </c>
      <c r="T30" s="56" t="str">
        <f>IF(COUNTIFS('LANÇAMENTOS DIÁRIOS'!$G$5:$G$500,"F",'LANÇAMENTOS DIÁRIOS'!$C$5:$C$500,$A30,'LANÇAMENTOS DIÁRIOS'!$O$5:$O$500,"&lt;=113399",'LANÇAMENTOS DIÁRIOS'!$P$5:$P$500,"&gt;=113300")&gt;0,"X","")</f>
      </c>
      <c r="U30" s="56" t="str">
        <f>IF(COUNTIFS('LANÇAMENTOS DIÁRIOS'!$G$5:$G$500,"F",'LANÇAMENTOS DIÁRIOS'!$C$5:$C$500,$A30,'LANÇAMENTOS DIÁRIOS'!$O$5:$O$500,"&lt;=113499",'LANÇAMENTOS DIÁRIOS'!$P$5:$P$500,"&gt;=113400")&gt;0,"X","")</f>
      </c>
      <c r="V30" s="56" t="str">
        <f>IF(COUNTIFS('LANÇAMENTOS DIÁRIOS'!$G$5:$G$500,"F",'LANÇAMENTOS DIÁRIOS'!$C$5:$C$500,$A30,'LANÇAMENTOS DIÁRIOS'!$O$5:$O$500,"&lt;=113599",'LANÇAMENTOS DIÁRIOS'!$P$5:$P$500,"&gt;=113500")&gt;0,"X","")</f>
      </c>
      <c r="W30" s="56" t="str">
        <f>IF(COUNTIFS('LANÇAMENTOS DIÁRIOS'!$G$5:$G$500,"F",'LANÇAMENTOS DIÁRIOS'!$C$5:$C$500,$A30,'LANÇAMENTOS DIÁRIOS'!$O$5:$O$500,"&lt;=113699",'LANÇAMENTOS DIÁRIOS'!$P$5:$P$500,"&gt;=113600")&gt;0,"X","")</f>
      </c>
      <c r="X30" s="56" t="str">
        <f>IF(COUNTIFS('LANÇAMENTOS DIÁRIOS'!$G$5:$G$500,"F",'LANÇAMENTOS DIÁRIOS'!$C$5:$C$500,$A30,'LANÇAMENTOS DIÁRIOS'!$O$5:$O$500,"&lt;=113799",'LANÇAMENTOS DIÁRIOS'!$P$5:$P$500,"&gt;=113700")&gt;0,"X","")</f>
      </c>
      <c r="Y30" s="56" t="str">
        <f>IF(COUNTIFS('LANÇAMENTOS DIÁRIOS'!$G$5:$G$500,"F",'LANÇAMENTOS DIÁRIOS'!$C$5:$C$500,$A30,'LANÇAMENTOS DIÁRIOS'!$O$5:$O$500,"&lt;=113899",'LANÇAMENTOS DIÁRIOS'!$P$5:$P$500,"&gt;=113800")&gt;0,"X","")</f>
      </c>
      <c r="Z30" s="56" t="str">
        <f>IF(COUNTIFS('LANÇAMENTOS DIÁRIOS'!$G$5:$G$500,"F",'LANÇAMENTOS DIÁRIOS'!$C$5:$C$500,$A30,'LANÇAMENTOS DIÁRIOS'!$O$5:$O$500,"&lt;=113999",'LANÇAMENTOS DIÁRIOS'!$P$5:$P$500,"&gt;=113900")&gt;0,"X","")</f>
      </c>
      <c r="AA30" s="56" t="str">
        <f>IF(COUNTIFS('LANÇAMENTOS DIÁRIOS'!$G$5:$G$500,"F",'LANÇAMENTOS DIÁRIOS'!$C$5:$C$500,$A30,'LANÇAMENTOS DIÁRIOS'!$O$5:$O$500,"&lt;=114099",'LANÇAMENTOS DIÁRIOS'!$P$5:$P$500,"&gt;=114000")&gt;0,"X","")</f>
      </c>
      <c r="AB30" s="56" t="str">
        <f>IF(COUNTIFS('LANÇAMENTOS DIÁRIOS'!$G$5:$G$500,"F",'LANÇAMENTOS DIÁRIOS'!$C$5:$C$500,$A30,'LANÇAMENTOS DIÁRIOS'!$O$5:$O$500,"&lt;=114199",'LANÇAMENTOS DIÁRIOS'!$P$5:$P$500,"&gt;=114100")&gt;0,"X","")</f>
      </c>
      <c r="AC30" s="56" t="str">
        <f>IF(COUNTIFS('LANÇAMENTOS DIÁRIOS'!$G$5:$G$500,"F",'LANÇAMENTOS DIÁRIOS'!$C$5:$C$500,$A30,'LANÇAMENTOS DIÁRIOS'!$O$5:$O$500,"&lt;=114299",'LANÇAMENTOS DIÁRIOS'!$P$5:$P$500,"&gt;=114200")&gt;0,"X","")</f>
      </c>
      <c r="AD30" s="56" t="str">
        <f>IF(COUNTIFS('LANÇAMENTOS DIÁRIOS'!$G$5:$G$500,"F",'LANÇAMENTOS DIÁRIOS'!$C$5:$C$500,$A30,'LANÇAMENTOS DIÁRIOS'!$O$5:$O$500,"&lt;=114399",'LANÇAMENTOS DIÁRIOS'!$P$5:$P$500,"&gt;=114300")&gt;0,"X","")</f>
      </c>
      <c r="AE30" s="56" t="str">
        <f>IF(COUNTIFS('LANÇAMENTOS DIÁRIOS'!$G$5:$G$500,"F",'LANÇAMENTOS DIÁRIOS'!$C$5:$C$500,$A30,'LANÇAMENTOS DIÁRIOS'!$O$5:$O$500,"&lt;=114499",'LANÇAMENTOS DIÁRIOS'!$P$5:$P$500,"&gt;=114400")&gt;0,"X","")</f>
      </c>
      <c r="AF30" s="56" t="str">
        <f>IF(COUNTIFS('LANÇAMENTOS DIÁRIOS'!$G$5:$G$500,"F",'LANÇAMENTOS DIÁRIOS'!$C$5:$C$500,$A30,'LANÇAMENTOS DIÁRIOS'!$O$5:$O$500,"&lt;=114599",'LANÇAMENTOS DIÁRIOS'!$P$5:$P$500,"&gt;=114500")&gt;0,"X","")</f>
      </c>
      <c r="AG30" s="56" t="str">
        <f>IF(COUNTIFS('LANÇAMENTOS DIÁRIOS'!$G$5:$G$500,"F",'LANÇAMENTOS DIÁRIOS'!$C$5:$C$500,$A30,'LANÇAMENTOS DIÁRIOS'!$O$5:$O$500,"&lt;=114699",'LANÇAMENTOS DIÁRIOS'!$P$5:$P$500,"&gt;=114600")&gt;0,"X","")</f>
      </c>
      <c r="AH30" s="56" t="str">
        <f>IF(COUNTIFS('LANÇAMENTOS DIÁRIOS'!$G$5:$G$500,"F",'LANÇAMENTOS DIÁRIOS'!$C$5:$C$500,$A30,'LANÇAMENTOS DIÁRIOS'!$O$5:$O$500,"&lt;=114799",'LANÇAMENTOS DIÁRIOS'!$P$5:$P$500,"&gt;=114700")&gt;0,"X","")</f>
      </c>
      <c r="AI30" s="56" t="str">
        <f>IF(COUNTIFS('LANÇAMENTOS DIÁRIOS'!$G$5:$G$500,"F",'LANÇAMENTOS DIÁRIOS'!$C$5:$C$500,$A30,'LANÇAMENTOS DIÁRIOS'!$O$5:$O$500,"&lt;=114899",'LANÇAMENTOS DIÁRIOS'!$P$5:$P$500,"&gt;=114800")&gt;0,"X","")</f>
      </c>
      <c r="AJ30" s="56" t="str">
        <f>IF(COUNTIFS('LANÇAMENTOS DIÁRIOS'!$G$5:$G$500,"F",'LANÇAMENTOS DIÁRIOS'!$C$5:$C$500,$A30,'LANÇAMENTOS DIÁRIOS'!$O$5:$O$500,"&lt;=114999",'LANÇAMENTOS DIÁRIOS'!$P$5:$P$500,"&gt;=114900")&gt;0,"X","")</f>
      </c>
      <c r="AK30" s="56" t="str">
        <f>IF(COUNTIFS('LANÇAMENTOS DIÁRIOS'!$G$5:$G$500,"F",'LANÇAMENTOS DIÁRIOS'!$C$5:$C$500,$A30,'LANÇAMENTOS DIÁRIOS'!$O$5:$O$500,"&lt;=115099",'LANÇAMENTOS DIÁRIOS'!$P$5:$P$500,"&gt;=115000")&gt;0,"X","")</f>
      </c>
      <c r="AL30" s="56" t="str">
        <f>IF(COUNTIFS('LANÇAMENTOS DIÁRIOS'!$G$5:$G$500,"F",'LANÇAMENTOS DIÁRIOS'!$C$5:$C$500,$A30,'LANÇAMENTOS DIÁRIOS'!$O$5:$O$500,"&lt;=115199",'LANÇAMENTOS DIÁRIOS'!$P$5:$P$500,"&gt;=115100")&gt;0,"X","")</f>
      </c>
      <c r="AM30" s="56" t="str">
        <f>IF(COUNTIFS('LANÇAMENTOS DIÁRIOS'!$G$5:$G$500,"F",'LANÇAMENTOS DIÁRIOS'!$C$5:$C$500,$A30,'LANÇAMENTOS DIÁRIOS'!$O$5:$O$500,"&lt;=115299",'LANÇAMENTOS DIÁRIOS'!$P$5:$P$500,"&gt;=115200")&gt;0,"X","")</f>
      </c>
      <c r="AN30" s="56" t="str">
        <f>IF(COUNTIFS('LANÇAMENTOS DIÁRIOS'!$G$5:$G$500,"F",'LANÇAMENTOS DIÁRIOS'!$C$5:$C$500,$A30,'LANÇAMENTOS DIÁRIOS'!$O$5:$O$500,"&lt;=115399",'LANÇAMENTOS DIÁRIOS'!$P$5:$P$500,"&gt;=115300")&gt;0,"X","")</f>
      </c>
      <c r="AO30" s="56" t="str">
        <f>IF(COUNTIFS('LANÇAMENTOS DIÁRIOS'!$G$5:$G$500,"F",'LANÇAMENTOS DIÁRIOS'!$C$5:$C$500,$A30,'LANÇAMENTOS DIÁRIOS'!$O$5:$O$500,"&lt;=115499",'LANÇAMENTOS DIÁRIOS'!$P$5:$P$500,"&gt;=115400")&gt;0,"X","")</f>
      </c>
      <c r="AP30" s="56" t="str">
        <f>IF(COUNTIFS('LANÇAMENTOS DIÁRIOS'!$G$5:$G$500,"F",'LANÇAMENTOS DIÁRIOS'!$C$5:$C$500,$A30,'LANÇAMENTOS DIÁRIOS'!$O$5:$O$500,"&lt;=115599",'LANÇAMENTOS DIÁRIOS'!$P$5:$P$500,"&gt;=115500")&gt;0,"X","")</f>
      </c>
      <c r="AQ30" s="56" t="str">
        <f>IF(COUNTIFS('LANÇAMENTOS DIÁRIOS'!$G$5:$G$500,"F",'LANÇAMENTOS DIÁRIOS'!$C$5:$C$500,$A30,'LANÇAMENTOS DIÁRIOS'!$O$5:$O$500,"&lt;=115699",'LANÇAMENTOS DIÁRIOS'!$P$5:$P$500,"&gt;=115600")&gt;0,"X","")</f>
      </c>
      <c r="AR30" s="56" t="str">
        <f>IF(COUNTIFS('LANÇAMENTOS DIÁRIOS'!$G$5:$G$500,"F",'LANÇAMENTOS DIÁRIOS'!$C$5:$C$500,$A30,'LANÇAMENTOS DIÁRIOS'!$O$5:$O$500,"&lt;=115799",'LANÇAMENTOS DIÁRIOS'!$P$5:$P$500,"&gt;=115700")&gt;0,"X","")</f>
      </c>
      <c r="AS30" s="56" t="str">
        <f>IF(COUNTIFS('LANÇAMENTOS DIÁRIOS'!$G$5:$G$500,"F",'LANÇAMENTOS DIÁRIOS'!$C$5:$C$500,$A30,'LANÇAMENTOS DIÁRIOS'!$O$5:$O$500,"&lt;=115899",'LANÇAMENTOS DIÁRIOS'!$P$5:$P$500,"&gt;=115800")&gt;0,"X","")</f>
      </c>
      <c r="AT30" s="56" t="str">
        <f>IF(COUNTIFS('LANÇAMENTOS DIÁRIOS'!$G$5:$G$500,"F",'LANÇAMENTOS DIÁRIOS'!$C$5:$C$500,$A30,'LANÇAMENTOS DIÁRIOS'!$O$5:$O$500,"&lt;=115999",'LANÇAMENTOS DIÁRIOS'!$P$5:$P$500,"&gt;=115900")&gt;0,"X","")</f>
      </c>
      <c r="AU30" s="56" t="str">
        <f>IF(COUNTIFS('LANÇAMENTOS DIÁRIOS'!$G$5:$G$500,"F",'LANÇAMENTOS DIÁRIOS'!$C$5:$C$500,$A30,'LANÇAMENTOS DIÁRIOS'!$O$5:$O$500,"&lt;=116099",'LANÇAMENTOS DIÁRIOS'!$P$5:$P$500,"&gt;=116000")&gt;0,"X","")</f>
      </c>
      <c r="AV30" s="56" t="str">
        <f>IF(COUNTIFS('LANÇAMENTOS DIÁRIOS'!$G$5:$G$500,"F",'LANÇAMENTOS DIÁRIOS'!$C$5:$C$500,$A30,'LANÇAMENTOS DIÁRIOS'!$O$5:$O$500,"&lt;=116199",'LANÇAMENTOS DIÁRIOS'!$P$5:$P$500,"&gt;=116100")&gt;0,"X","")</f>
      </c>
      <c r="AW30" s="56" t="str">
        <f>IF(COUNTIFS('LANÇAMENTOS DIÁRIOS'!$G$5:$G$500,"F",'LANÇAMENTOS DIÁRIOS'!$C$5:$C$500,$A30,'LANÇAMENTOS DIÁRIOS'!$O$5:$O$500,"&lt;=116299",'LANÇAMENTOS DIÁRIOS'!$P$5:$P$500,"&gt;=116200")&gt;0,"X","")</f>
      </c>
      <c r="AX30" s="56" t="str">
        <f>IF(COUNTIFS('LANÇAMENTOS DIÁRIOS'!$G$5:$G$500,"F",'LANÇAMENTOS DIÁRIOS'!$C$5:$C$500,$A30,'LANÇAMENTOS DIÁRIOS'!$O$5:$O$500,"&lt;=116399",'LANÇAMENTOS DIÁRIOS'!$P$5:$P$500,"&gt;=116300")&gt;0,"X","")</f>
      </c>
      <c r="AY30" s="56" t="str">
        <f>IF(COUNTIFS('LANÇAMENTOS DIÁRIOS'!$G$5:$G$500,"F",'LANÇAMENTOS DIÁRIOS'!$C$5:$C$500,$A30,'LANÇAMENTOS DIÁRIOS'!$O$5:$O$500,"&lt;=116499",'LANÇAMENTOS DIÁRIOS'!$P$5:$P$500,"&gt;=116400")&gt;0,"X","")</f>
      </c>
      <c r="AZ30" s="56" t="str">
        <f>IF(COUNTIFS('LANÇAMENTOS DIÁRIOS'!$G$5:$G$500,"F",'LANÇAMENTOS DIÁRIOS'!$C$5:$C$500,$A30,'LANÇAMENTOS DIÁRIOS'!$O$5:$O$500,"&lt;=116599",'LANÇAMENTOS DIÁRIOS'!$P$5:$P$500,"&gt;=116500")&gt;0,"X","")</f>
      </c>
      <c r="BA30" s="56" t="str">
        <f>IF(COUNTIFS('LANÇAMENTOS DIÁRIOS'!$G$5:$G$500,"F",'LANÇAMENTOS DIÁRIOS'!$C$5:$C$500,$A30,'LANÇAMENTOS DIÁRIOS'!$O$5:$O$500,"&lt;=116699",'LANÇAMENTOS DIÁRIOS'!$P$5:$P$500,"&gt;=116600")&gt;0,"X","")</f>
      </c>
      <c r="BB30" s="56" t="str">
        <f>IF(COUNTIFS('LANÇAMENTOS DIÁRIOS'!$G$5:$G$500,"F",'LANÇAMENTOS DIÁRIOS'!$C$5:$C$500,$A30,'LANÇAMENTOS DIÁRIOS'!$O$5:$O$500,"&lt;=116799",'LANÇAMENTOS DIÁRIOS'!$P$5:$P$500,"&gt;=116700")&gt;0,"X","")</f>
      </c>
      <c r="BC30" s="56" t="str">
        <f>IF(COUNTIFS('LANÇAMENTOS DIÁRIOS'!$G$5:$G$500,"F",'LANÇAMENTOS DIÁRIOS'!$C$5:$C$500,$A30,'LANÇAMENTOS DIÁRIOS'!$O$5:$O$500,"&lt;=116899",'LANÇAMENTOS DIÁRIOS'!$P$5:$P$500,"&gt;=116800")&gt;0,"X","")</f>
      </c>
      <c r="BD30" s="56" t="str">
        <f>IF(COUNTIFS('LANÇAMENTOS DIÁRIOS'!$G$5:$G$500,"F",'LANÇAMENTOS DIÁRIOS'!$C$5:$C$500,$A30,'LANÇAMENTOS DIÁRIOS'!$O$5:$O$500,"&lt;=116999",'LANÇAMENTOS DIÁRIOS'!$P$5:$P$500,"&gt;=116900")&gt;0,"X","")</f>
      </c>
      <c r="BE30" s="56" t="str">
        <f>IF(COUNTIFS('LANÇAMENTOS DIÁRIOS'!$G$5:$G$500,"F",'LANÇAMENTOS DIÁRIOS'!$C$5:$C$500,$A30,'LANÇAMENTOS DIÁRIOS'!$O$5:$O$500,"&lt;=117099",'LANÇAMENTOS DIÁRIOS'!$P$5:$P$500,"&gt;=117000")&gt;0,"X","")</f>
      </c>
      <c r="BF30" s="56" t="str">
        <f>IF(COUNTIFS('LANÇAMENTOS DIÁRIOS'!$G$5:$G$500,"F",'LANÇAMENTOS DIÁRIOS'!$C$5:$C$500,$A30,'LANÇAMENTOS DIÁRIOS'!$O$5:$O$500,"&lt;=117199",'LANÇAMENTOS DIÁRIOS'!$P$5:$P$500,"&gt;=117100")&gt;0,"X","")</f>
      </c>
      <c r="BG30" s="56" t="str">
        <f>IF(COUNTIFS('LANÇAMENTOS DIÁRIOS'!$G$5:$G$500,"F",'LANÇAMENTOS DIÁRIOS'!$C$5:$C$500,$A30,'LANÇAMENTOS DIÁRIOS'!$O$5:$O$500,"&lt;=117219",'LANÇAMENTOS DIÁRIOS'!$P$5:$P$500,"&gt;=117200")&gt;0,"X","")</f>
      </c>
      <c r="BH30" s="56" t="str">
        <f>IF(COUNTIFS('LANÇAMENTOS DIÁRIOS'!$G$5:$G$500,"F",'LANÇAMENTOS DIÁRIOS'!$C$5:$C$500,$A30,'LANÇAMENTOS DIÁRIOS'!$O$5:$O$500,"&lt;=117220",'LANÇAMENTOS DIÁRIOS'!$P$5:$P$500,"&gt;=117220")&gt;0,"X","")</f>
      </c>
    </row>
    <row r="31">
      <c r="A31" s="51" t="str">
        <v>Derrubada e destocamento.arv. c/ diâmetro 30&lt;&gt;40cm, com limpeza da área</v>
      </c>
      <c r="B31" s="56" t="str">
        <f>IF(COUNTIFS('LANÇAMENTOS DIÁRIOS'!$G$5:$G$500,"F",'LANÇAMENTOS DIÁRIOS'!$C$5:$C$500,$A31,'LANÇAMENTOS DIÁRIOS'!$O$5:$O$500,"&lt;=111599",'LANÇAMENTOS DIÁRIOS'!$P$5:$P$500,"&gt;=111500")&gt;0,"X","")</f>
      </c>
      <c r="C31" s="56" t="str">
        <f>IF(COUNTIFS('LANÇAMENTOS DIÁRIOS'!$G$5:$G$500,"F",'LANÇAMENTOS DIÁRIOS'!$C$5:$C$500,$A31,'LANÇAMENTOS DIÁRIOS'!$O$5:$O$500,"&lt;=111699",'LANÇAMENTOS DIÁRIOS'!$P$5:$P$500,"&gt;=111600")&gt;0,"X","")</f>
      </c>
      <c r="D31" s="56" t="str">
        <f>IF(COUNTIFS('LANÇAMENTOS DIÁRIOS'!$G$5:$G$500,"F",'LANÇAMENTOS DIÁRIOS'!$C$5:$C$500,$A31,'LANÇAMENTOS DIÁRIOS'!$O$5:$O$500,"&lt;=111799",'LANÇAMENTOS DIÁRIOS'!$P$5:$P$500,"&gt;=111700")&gt;0,"X","")</f>
      </c>
      <c r="E31" s="56" t="str">
        <f>IF(COUNTIFS('LANÇAMENTOS DIÁRIOS'!$G$5:$G$500,"F",'LANÇAMENTOS DIÁRIOS'!$C$5:$C$500,$A31,'LANÇAMENTOS DIÁRIOS'!$O$5:$O$500,"&lt;=111899",'LANÇAMENTOS DIÁRIOS'!$P$5:$P$500,"&gt;=111800")&gt;0,"X","")</f>
      </c>
      <c r="F31" s="56" t="str">
        <f>IF(COUNTIFS('LANÇAMENTOS DIÁRIOS'!$G$5:$G$500,"F",'LANÇAMENTOS DIÁRIOS'!$C$5:$C$500,$A31,'LANÇAMENTOS DIÁRIOS'!$O$5:$O$500,"&lt;=111999",'LANÇAMENTOS DIÁRIOS'!$P$5:$P$500,"&gt;=111900")&gt;0,"X","")</f>
      </c>
      <c r="G31" s="56" t="str">
        <f>IF(COUNTIFS('LANÇAMENTOS DIÁRIOS'!$G$5:$G$500,"F",'LANÇAMENTOS DIÁRIOS'!$C$5:$C$500,$A31,'LANÇAMENTOS DIÁRIOS'!$O$5:$O$500,"&lt;=112099",'LANÇAMENTOS DIÁRIOS'!$P$5:$P$500,"&gt;=112000")&gt;0,"X","")</f>
      </c>
      <c r="H31" s="56" t="str">
        <f>IF(COUNTIFS('LANÇAMENTOS DIÁRIOS'!$G$5:$G$500,"F",'LANÇAMENTOS DIÁRIOS'!$C$5:$C$500,$A31,'LANÇAMENTOS DIÁRIOS'!$O$5:$O$500,"&lt;=112199",'LANÇAMENTOS DIÁRIOS'!$P$5:$P$500,"&gt;=112100")&gt;0,"X","")</f>
      </c>
      <c r="I31" s="56" t="str">
        <f>IF(COUNTIFS('LANÇAMENTOS DIÁRIOS'!$G$5:$G$500,"F",'LANÇAMENTOS DIÁRIOS'!$C$5:$C$500,$A31,'LANÇAMENTOS DIÁRIOS'!$O$5:$O$500,"&lt;=112299",'LANÇAMENTOS DIÁRIOS'!$P$5:$P$500,"&gt;=112200")&gt;0,"X","")</f>
      </c>
      <c r="J31" s="56" t="str">
        <f>IF(COUNTIFS('LANÇAMENTOS DIÁRIOS'!$G$5:$G$500,"F",'LANÇAMENTOS DIÁRIOS'!$C$5:$C$500,$A31,'LANÇAMENTOS DIÁRIOS'!$O$5:$O$500,"&lt;=112399",'LANÇAMENTOS DIÁRIOS'!$P$5:$P$500,"&gt;=112300")&gt;0,"X","")</f>
      </c>
      <c r="K31" s="56" t="str">
        <f>IF(COUNTIFS('LANÇAMENTOS DIÁRIOS'!$G$5:$G$500,"F",'LANÇAMENTOS DIÁRIOS'!$C$5:$C$500,$A31,'LANÇAMENTOS DIÁRIOS'!$O$5:$O$500,"&lt;=112499",'LANÇAMENTOS DIÁRIOS'!$P$5:$P$500,"&gt;=112400")&gt;0,"X","")</f>
      </c>
      <c r="L31" s="56" t="str">
        <f>IF(COUNTIFS('LANÇAMENTOS DIÁRIOS'!$G$5:$G$500,"F",'LANÇAMENTOS DIÁRIOS'!$C$5:$C$500,$A31,'LANÇAMENTOS DIÁRIOS'!$O$5:$O$500,"&lt;=112599",'LANÇAMENTOS DIÁRIOS'!$P$5:$P$500,"&gt;=112500")&gt;0,"X","")</f>
      </c>
      <c r="M31" s="56" t="str">
        <f>IF(COUNTIFS('LANÇAMENTOS DIÁRIOS'!$G$5:$G$500,"F",'LANÇAMENTOS DIÁRIOS'!$C$5:$C$500,$A31,'LANÇAMENTOS DIÁRIOS'!$O$5:$O$500,"&lt;=112699",'LANÇAMENTOS DIÁRIOS'!$P$5:$P$500,"&gt;=112600")&gt;0,"X","")</f>
      </c>
      <c r="N31" s="56" t="str">
        <f>IF(COUNTIFS('LANÇAMENTOS DIÁRIOS'!$G$5:$G$500,"F",'LANÇAMENTOS DIÁRIOS'!$C$5:$C$500,$A31,'LANÇAMENTOS DIÁRIOS'!$O$5:$O$500,"&lt;=112799",'LANÇAMENTOS DIÁRIOS'!$P$5:$P$500,"&gt;=112700")&gt;0,"X","")</f>
      </c>
      <c r="O31" s="56" t="str">
        <f>IF(COUNTIFS('LANÇAMENTOS DIÁRIOS'!$G$5:$G$500,"F",'LANÇAMENTOS DIÁRIOS'!$C$5:$C$500,$A31,'LANÇAMENTOS DIÁRIOS'!$O$5:$O$500,"&lt;=112899",'LANÇAMENTOS DIÁRIOS'!$P$5:$P$500,"&gt;=112800")&gt;0,"X","")</f>
      </c>
      <c r="P31" s="56" t="str">
        <f>IF(COUNTIFS('LANÇAMENTOS DIÁRIOS'!$G$5:$G$500,"F",'LANÇAMENTOS DIÁRIOS'!$C$5:$C$500,$A31,'LANÇAMENTOS DIÁRIOS'!$O$5:$O$500,"&lt;=112999",'LANÇAMENTOS DIÁRIOS'!$P$5:$P$500,"&gt;=112900")&gt;0,"X","")</f>
      </c>
      <c r="Q31" s="56" t="str">
        <f>IF(COUNTIFS('LANÇAMENTOS DIÁRIOS'!$G$5:$G$500,"F",'LANÇAMENTOS DIÁRIOS'!$C$5:$C$500,$A31,'LANÇAMENTOS DIÁRIOS'!$O$5:$O$500,"&lt;=113099",'LANÇAMENTOS DIÁRIOS'!$P$5:$P$500,"&gt;=113000")&gt;0,"X","")</f>
      </c>
      <c r="R31" s="56" t="str">
        <f>IF(COUNTIFS('LANÇAMENTOS DIÁRIOS'!$G$5:$G$500,"F",'LANÇAMENTOS DIÁRIOS'!$C$5:$C$500,$A31,'LANÇAMENTOS DIÁRIOS'!$O$5:$O$500,"&lt;=113199",'LANÇAMENTOS DIÁRIOS'!$P$5:$P$500,"&gt;=113100")&gt;0,"X","")</f>
      </c>
      <c r="S31" s="56" t="str">
        <f>IF(COUNTIFS('LANÇAMENTOS DIÁRIOS'!$G$5:$G$500,"F",'LANÇAMENTOS DIÁRIOS'!$C$5:$C$500,$A31,'LANÇAMENTOS DIÁRIOS'!$O$5:$O$500,"&lt;=113299",'LANÇAMENTOS DIÁRIOS'!$P$5:$P$500,"&gt;=113200")&gt;0,"X","")</f>
      </c>
      <c r="T31" s="56" t="str">
        <f>IF(COUNTIFS('LANÇAMENTOS DIÁRIOS'!$G$5:$G$500,"F",'LANÇAMENTOS DIÁRIOS'!$C$5:$C$500,$A31,'LANÇAMENTOS DIÁRIOS'!$O$5:$O$500,"&lt;=113399",'LANÇAMENTOS DIÁRIOS'!$P$5:$P$500,"&gt;=113300")&gt;0,"X","")</f>
      </c>
      <c r="U31" s="56" t="str">
        <f>IF(COUNTIFS('LANÇAMENTOS DIÁRIOS'!$G$5:$G$500,"F",'LANÇAMENTOS DIÁRIOS'!$C$5:$C$500,$A31,'LANÇAMENTOS DIÁRIOS'!$O$5:$O$500,"&lt;=113499",'LANÇAMENTOS DIÁRIOS'!$P$5:$P$500,"&gt;=113400")&gt;0,"X","")</f>
      </c>
      <c r="V31" s="56" t="str">
        <f>IF(COUNTIFS('LANÇAMENTOS DIÁRIOS'!$G$5:$G$500,"F",'LANÇAMENTOS DIÁRIOS'!$C$5:$C$500,$A31,'LANÇAMENTOS DIÁRIOS'!$O$5:$O$500,"&lt;=113599",'LANÇAMENTOS DIÁRIOS'!$P$5:$P$500,"&gt;=113500")&gt;0,"X","")</f>
      </c>
      <c r="W31" s="56" t="str">
        <f>IF(COUNTIFS('LANÇAMENTOS DIÁRIOS'!$G$5:$G$500,"F",'LANÇAMENTOS DIÁRIOS'!$C$5:$C$500,$A31,'LANÇAMENTOS DIÁRIOS'!$O$5:$O$500,"&lt;=113699",'LANÇAMENTOS DIÁRIOS'!$P$5:$P$500,"&gt;=113600")&gt;0,"X","")</f>
      </c>
      <c r="X31" s="56" t="str">
        <f>IF(COUNTIFS('LANÇAMENTOS DIÁRIOS'!$G$5:$G$500,"F",'LANÇAMENTOS DIÁRIOS'!$C$5:$C$500,$A31,'LANÇAMENTOS DIÁRIOS'!$O$5:$O$500,"&lt;=113799",'LANÇAMENTOS DIÁRIOS'!$P$5:$P$500,"&gt;=113700")&gt;0,"X","")</f>
      </c>
      <c r="Y31" s="56" t="str">
        <f>IF(COUNTIFS('LANÇAMENTOS DIÁRIOS'!$G$5:$G$500,"F",'LANÇAMENTOS DIÁRIOS'!$C$5:$C$500,$A31,'LANÇAMENTOS DIÁRIOS'!$O$5:$O$500,"&lt;=113899",'LANÇAMENTOS DIÁRIOS'!$P$5:$P$500,"&gt;=113800")&gt;0,"X","")</f>
      </c>
      <c r="Z31" s="56" t="str">
        <f>IF(COUNTIFS('LANÇAMENTOS DIÁRIOS'!$G$5:$G$500,"F",'LANÇAMENTOS DIÁRIOS'!$C$5:$C$500,$A31,'LANÇAMENTOS DIÁRIOS'!$O$5:$O$500,"&lt;=113999",'LANÇAMENTOS DIÁRIOS'!$P$5:$P$500,"&gt;=113900")&gt;0,"X","")</f>
      </c>
      <c r="AA31" s="56" t="str">
        <f>IF(COUNTIFS('LANÇAMENTOS DIÁRIOS'!$G$5:$G$500,"F",'LANÇAMENTOS DIÁRIOS'!$C$5:$C$500,$A31,'LANÇAMENTOS DIÁRIOS'!$O$5:$O$500,"&lt;=114099",'LANÇAMENTOS DIÁRIOS'!$P$5:$P$500,"&gt;=114000")&gt;0,"X","")</f>
      </c>
      <c r="AB31" s="56" t="str">
        <f>IF(COUNTIFS('LANÇAMENTOS DIÁRIOS'!$G$5:$G$500,"F",'LANÇAMENTOS DIÁRIOS'!$C$5:$C$500,$A31,'LANÇAMENTOS DIÁRIOS'!$O$5:$O$500,"&lt;=114199",'LANÇAMENTOS DIÁRIOS'!$P$5:$P$500,"&gt;=114100")&gt;0,"X","")</f>
      </c>
      <c r="AC31" s="56" t="str">
        <f>IF(COUNTIFS('LANÇAMENTOS DIÁRIOS'!$G$5:$G$500,"F",'LANÇAMENTOS DIÁRIOS'!$C$5:$C$500,$A31,'LANÇAMENTOS DIÁRIOS'!$O$5:$O$500,"&lt;=114299",'LANÇAMENTOS DIÁRIOS'!$P$5:$P$500,"&gt;=114200")&gt;0,"X","")</f>
      </c>
      <c r="AD31" s="56" t="str">
        <f>IF(COUNTIFS('LANÇAMENTOS DIÁRIOS'!$G$5:$G$500,"F",'LANÇAMENTOS DIÁRIOS'!$C$5:$C$500,$A31,'LANÇAMENTOS DIÁRIOS'!$O$5:$O$500,"&lt;=114399",'LANÇAMENTOS DIÁRIOS'!$P$5:$P$500,"&gt;=114300")&gt;0,"X","")</f>
      </c>
      <c r="AE31" s="56" t="str">
        <f>IF(COUNTIFS('LANÇAMENTOS DIÁRIOS'!$G$5:$G$500,"F",'LANÇAMENTOS DIÁRIOS'!$C$5:$C$500,$A31,'LANÇAMENTOS DIÁRIOS'!$O$5:$O$500,"&lt;=114499",'LANÇAMENTOS DIÁRIOS'!$P$5:$P$500,"&gt;=114400")&gt;0,"X","")</f>
      </c>
      <c r="AF31" s="56" t="str">
        <f>IF(COUNTIFS('LANÇAMENTOS DIÁRIOS'!$G$5:$G$500,"F",'LANÇAMENTOS DIÁRIOS'!$C$5:$C$500,$A31,'LANÇAMENTOS DIÁRIOS'!$O$5:$O$500,"&lt;=114599",'LANÇAMENTOS DIÁRIOS'!$P$5:$P$500,"&gt;=114500")&gt;0,"X","")</f>
      </c>
      <c r="AG31" s="56" t="str">
        <f>IF(COUNTIFS('LANÇAMENTOS DIÁRIOS'!$G$5:$G$500,"F",'LANÇAMENTOS DIÁRIOS'!$C$5:$C$500,$A31,'LANÇAMENTOS DIÁRIOS'!$O$5:$O$500,"&lt;=114699",'LANÇAMENTOS DIÁRIOS'!$P$5:$P$500,"&gt;=114600")&gt;0,"X","")</f>
      </c>
      <c r="AH31" s="56" t="str">
        <f>IF(COUNTIFS('LANÇAMENTOS DIÁRIOS'!$G$5:$G$500,"F",'LANÇAMENTOS DIÁRIOS'!$C$5:$C$500,$A31,'LANÇAMENTOS DIÁRIOS'!$O$5:$O$500,"&lt;=114799",'LANÇAMENTOS DIÁRIOS'!$P$5:$P$500,"&gt;=114700")&gt;0,"X","")</f>
      </c>
      <c r="AI31" s="56" t="str">
        <f>IF(COUNTIFS('LANÇAMENTOS DIÁRIOS'!$G$5:$G$500,"F",'LANÇAMENTOS DIÁRIOS'!$C$5:$C$500,$A31,'LANÇAMENTOS DIÁRIOS'!$O$5:$O$500,"&lt;=114899",'LANÇAMENTOS DIÁRIOS'!$P$5:$P$500,"&gt;=114800")&gt;0,"X","")</f>
      </c>
      <c r="AJ31" s="56" t="str">
        <f>IF(COUNTIFS('LANÇAMENTOS DIÁRIOS'!$G$5:$G$500,"F",'LANÇAMENTOS DIÁRIOS'!$C$5:$C$500,$A31,'LANÇAMENTOS DIÁRIOS'!$O$5:$O$500,"&lt;=114999",'LANÇAMENTOS DIÁRIOS'!$P$5:$P$500,"&gt;=114900")&gt;0,"X","")</f>
      </c>
      <c r="AK31" s="56" t="str">
        <f>IF(COUNTIFS('LANÇAMENTOS DIÁRIOS'!$G$5:$G$500,"F",'LANÇAMENTOS DIÁRIOS'!$C$5:$C$500,$A31,'LANÇAMENTOS DIÁRIOS'!$O$5:$O$500,"&lt;=115099",'LANÇAMENTOS DIÁRIOS'!$P$5:$P$500,"&gt;=115000")&gt;0,"X","")</f>
      </c>
      <c r="AL31" s="56" t="str">
        <f>IF(COUNTIFS('LANÇAMENTOS DIÁRIOS'!$G$5:$G$500,"F",'LANÇAMENTOS DIÁRIOS'!$C$5:$C$500,$A31,'LANÇAMENTOS DIÁRIOS'!$O$5:$O$500,"&lt;=115199",'LANÇAMENTOS DIÁRIOS'!$P$5:$P$500,"&gt;=115100")&gt;0,"X","")</f>
      </c>
      <c r="AM31" s="56" t="str">
        <f>IF(COUNTIFS('LANÇAMENTOS DIÁRIOS'!$G$5:$G$500,"F",'LANÇAMENTOS DIÁRIOS'!$C$5:$C$500,$A31,'LANÇAMENTOS DIÁRIOS'!$O$5:$O$500,"&lt;=115299",'LANÇAMENTOS DIÁRIOS'!$P$5:$P$500,"&gt;=115200")&gt;0,"X","")</f>
      </c>
      <c r="AN31" s="56" t="str">
        <f>IF(COUNTIFS('LANÇAMENTOS DIÁRIOS'!$G$5:$G$500,"F",'LANÇAMENTOS DIÁRIOS'!$C$5:$C$500,$A31,'LANÇAMENTOS DIÁRIOS'!$O$5:$O$500,"&lt;=115399",'LANÇAMENTOS DIÁRIOS'!$P$5:$P$500,"&gt;=115300")&gt;0,"X","")</f>
      </c>
      <c r="AO31" s="56" t="str">
        <f>IF(COUNTIFS('LANÇAMENTOS DIÁRIOS'!$G$5:$G$500,"F",'LANÇAMENTOS DIÁRIOS'!$C$5:$C$500,$A31,'LANÇAMENTOS DIÁRIOS'!$O$5:$O$500,"&lt;=115499",'LANÇAMENTOS DIÁRIOS'!$P$5:$P$500,"&gt;=115400")&gt;0,"X","")</f>
      </c>
      <c r="AP31" s="56" t="str">
        <f>IF(COUNTIFS('LANÇAMENTOS DIÁRIOS'!$G$5:$G$500,"F",'LANÇAMENTOS DIÁRIOS'!$C$5:$C$500,$A31,'LANÇAMENTOS DIÁRIOS'!$O$5:$O$500,"&lt;=115599",'LANÇAMENTOS DIÁRIOS'!$P$5:$P$500,"&gt;=115500")&gt;0,"X","")</f>
      </c>
      <c r="AQ31" s="56" t="str">
        <f>IF(COUNTIFS('LANÇAMENTOS DIÁRIOS'!$G$5:$G$500,"F",'LANÇAMENTOS DIÁRIOS'!$C$5:$C$500,$A31,'LANÇAMENTOS DIÁRIOS'!$O$5:$O$500,"&lt;=115699",'LANÇAMENTOS DIÁRIOS'!$P$5:$P$500,"&gt;=115600")&gt;0,"X","")</f>
      </c>
      <c r="AR31" s="56" t="str">
        <f>IF(COUNTIFS('LANÇAMENTOS DIÁRIOS'!$G$5:$G$500,"F",'LANÇAMENTOS DIÁRIOS'!$C$5:$C$500,$A31,'LANÇAMENTOS DIÁRIOS'!$O$5:$O$500,"&lt;=115799",'LANÇAMENTOS DIÁRIOS'!$P$5:$P$500,"&gt;=115700")&gt;0,"X","")</f>
      </c>
      <c r="AS31" s="56" t="str">
        <f>IF(COUNTIFS('LANÇAMENTOS DIÁRIOS'!$G$5:$G$500,"F",'LANÇAMENTOS DIÁRIOS'!$C$5:$C$500,$A31,'LANÇAMENTOS DIÁRIOS'!$O$5:$O$500,"&lt;=115899",'LANÇAMENTOS DIÁRIOS'!$P$5:$P$500,"&gt;=115800")&gt;0,"X","")</f>
      </c>
      <c r="AT31" s="56" t="str">
        <f>IF(COUNTIFS('LANÇAMENTOS DIÁRIOS'!$G$5:$G$500,"F",'LANÇAMENTOS DIÁRIOS'!$C$5:$C$500,$A31,'LANÇAMENTOS DIÁRIOS'!$O$5:$O$500,"&lt;=115999",'LANÇAMENTOS DIÁRIOS'!$P$5:$P$500,"&gt;=115900")&gt;0,"X","")</f>
      </c>
      <c r="AU31" s="56" t="str">
        <f>IF(COUNTIFS('LANÇAMENTOS DIÁRIOS'!$G$5:$G$500,"F",'LANÇAMENTOS DIÁRIOS'!$C$5:$C$500,$A31,'LANÇAMENTOS DIÁRIOS'!$O$5:$O$500,"&lt;=116099",'LANÇAMENTOS DIÁRIOS'!$P$5:$P$500,"&gt;=116000")&gt;0,"X","")</f>
      </c>
      <c r="AV31" s="56" t="str">
        <f>IF(COUNTIFS('LANÇAMENTOS DIÁRIOS'!$G$5:$G$500,"F",'LANÇAMENTOS DIÁRIOS'!$C$5:$C$500,$A31,'LANÇAMENTOS DIÁRIOS'!$O$5:$O$500,"&lt;=116199",'LANÇAMENTOS DIÁRIOS'!$P$5:$P$500,"&gt;=116100")&gt;0,"X","")</f>
      </c>
      <c r="AW31" s="56" t="str">
        <f>IF(COUNTIFS('LANÇAMENTOS DIÁRIOS'!$G$5:$G$500,"F",'LANÇAMENTOS DIÁRIOS'!$C$5:$C$500,$A31,'LANÇAMENTOS DIÁRIOS'!$O$5:$O$500,"&lt;=116299",'LANÇAMENTOS DIÁRIOS'!$P$5:$P$500,"&gt;=116200")&gt;0,"X","")</f>
      </c>
      <c r="AX31" s="56" t="str">
        <f>IF(COUNTIFS('LANÇAMENTOS DIÁRIOS'!$G$5:$G$500,"F",'LANÇAMENTOS DIÁRIOS'!$C$5:$C$500,$A31,'LANÇAMENTOS DIÁRIOS'!$O$5:$O$500,"&lt;=116399",'LANÇAMENTOS DIÁRIOS'!$P$5:$P$500,"&gt;=116300")&gt;0,"X","")</f>
      </c>
      <c r="AY31" s="56" t="str">
        <f>IF(COUNTIFS('LANÇAMENTOS DIÁRIOS'!$G$5:$G$500,"F",'LANÇAMENTOS DIÁRIOS'!$C$5:$C$500,$A31,'LANÇAMENTOS DIÁRIOS'!$O$5:$O$500,"&lt;=116499",'LANÇAMENTOS DIÁRIOS'!$P$5:$P$500,"&gt;=116400")&gt;0,"X","")</f>
      </c>
      <c r="AZ31" s="56" t="str">
        <f>IF(COUNTIFS('LANÇAMENTOS DIÁRIOS'!$G$5:$G$500,"F",'LANÇAMENTOS DIÁRIOS'!$C$5:$C$500,$A31,'LANÇAMENTOS DIÁRIOS'!$O$5:$O$500,"&lt;=116599",'LANÇAMENTOS DIÁRIOS'!$P$5:$P$500,"&gt;=116500")&gt;0,"X","")</f>
      </c>
      <c r="BA31" s="56" t="str">
        <f>IF(COUNTIFS('LANÇAMENTOS DIÁRIOS'!$G$5:$G$500,"F",'LANÇAMENTOS DIÁRIOS'!$C$5:$C$500,$A31,'LANÇAMENTOS DIÁRIOS'!$O$5:$O$500,"&lt;=116699",'LANÇAMENTOS DIÁRIOS'!$P$5:$P$500,"&gt;=116600")&gt;0,"X","")</f>
      </c>
      <c r="BB31" s="56" t="str">
        <f>IF(COUNTIFS('LANÇAMENTOS DIÁRIOS'!$G$5:$G$500,"F",'LANÇAMENTOS DIÁRIOS'!$C$5:$C$500,$A31,'LANÇAMENTOS DIÁRIOS'!$O$5:$O$500,"&lt;=116799",'LANÇAMENTOS DIÁRIOS'!$P$5:$P$500,"&gt;=116700")&gt;0,"X","")</f>
      </c>
      <c r="BC31" s="56" t="str">
        <f>IF(COUNTIFS('LANÇAMENTOS DIÁRIOS'!$G$5:$G$500,"F",'LANÇAMENTOS DIÁRIOS'!$C$5:$C$500,$A31,'LANÇAMENTOS DIÁRIOS'!$O$5:$O$500,"&lt;=116899",'LANÇAMENTOS DIÁRIOS'!$P$5:$P$500,"&gt;=116800")&gt;0,"X","")</f>
      </c>
      <c r="BD31" s="56" t="str">
        <f>IF(COUNTIFS('LANÇAMENTOS DIÁRIOS'!$G$5:$G$500,"F",'LANÇAMENTOS DIÁRIOS'!$C$5:$C$500,$A31,'LANÇAMENTOS DIÁRIOS'!$O$5:$O$500,"&lt;=116999",'LANÇAMENTOS DIÁRIOS'!$P$5:$P$500,"&gt;=116900")&gt;0,"X","")</f>
      </c>
      <c r="BE31" s="56" t="str">
        <f>IF(COUNTIFS('LANÇAMENTOS DIÁRIOS'!$G$5:$G$500,"F",'LANÇAMENTOS DIÁRIOS'!$C$5:$C$500,$A31,'LANÇAMENTOS DIÁRIOS'!$O$5:$O$500,"&lt;=117099",'LANÇAMENTOS DIÁRIOS'!$P$5:$P$500,"&gt;=117000")&gt;0,"X","")</f>
      </c>
      <c r="BF31" s="56" t="str">
        <f>IF(COUNTIFS('LANÇAMENTOS DIÁRIOS'!$G$5:$G$500,"F",'LANÇAMENTOS DIÁRIOS'!$C$5:$C$500,$A31,'LANÇAMENTOS DIÁRIOS'!$O$5:$O$500,"&lt;=117199",'LANÇAMENTOS DIÁRIOS'!$P$5:$P$500,"&gt;=117100")&gt;0,"X","")</f>
      </c>
      <c r="BG31" s="56" t="str">
        <f>IF(COUNTIFS('LANÇAMENTOS DIÁRIOS'!$G$5:$G$500,"F",'LANÇAMENTOS DIÁRIOS'!$C$5:$C$500,$A31,'LANÇAMENTOS DIÁRIOS'!$O$5:$O$500,"&lt;=117219",'LANÇAMENTOS DIÁRIOS'!$P$5:$P$500,"&gt;=117200")&gt;0,"X","")</f>
      </c>
      <c r="BH31" s="56" t="str">
        <f>IF(COUNTIFS('LANÇAMENTOS DIÁRIOS'!$G$5:$G$500,"F",'LANÇAMENTOS DIÁRIOS'!$C$5:$C$500,$A31,'LANÇAMENTOS DIÁRIOS'!$O$5:$O$500,"&lt;=117220",'LANÇAMENTOS DIÁRIOS'!$P$5:$P$500,"&gt;=117220")&gt;0,"X","")</f>
      </c>
    </row>
    <row r="32">
      <c r="A32" s="51" t="str">
        <v>Derrubada e destocamento.arv. c/ diâmetro 40&lt;&gt;50cm, com limpeza da área</v>
      </c>
      <c r="B32" s="56" t="str">
        <f>IF(COUNTIFS('LANÇAMENTOS DIÁRIOS'!$G$5:$G$500,"F",'LANÇAMENTOS DIÁRIOS'!$C$5:$C$500,$A32,'LANÇAMENTOS DIÁRIOS'!$O$5:$O$500,"&lt;=111599",'LANÇAMENTOS DIÁRIOS'!$P$5:$P$500,"&gt;=111500")&gt;0,"X","")</f>
      </c>
      <c r="C32" s="56" t="str">
        <f>IF(COUNTIFS('LANÇAMENTOS DIÁRIOS'!$G$5:$G$500,"F",'LANÇAMENTOS DIÁRIOS'!$C$5:$C$500,$A32,'LANÇAMENTOS DIÁRIOS'!$O$5:$O$500,"&lt;=111699",'LANÇAMENTOS DIÁRIOS'!$P$5:$P$500,"&gt;=111600")&gt;0,"X","")</f>
      </c>
      <c r="D32" s="56" t="str">
        <f>IF(COUNTIFS('LANÇAMENTOS DIÁRIOS'!$G$5:$G$500,"F",'LANÇAMENTOS DIÁRIOS'!$C$5:$C$500,$A32,'LANÇAMENTOS DIÁRIOS'!$O$5:$O$500,"&lt;=111799",'LANÇAMENTOS DIÁRIOS'!$P$5:$P$500,"&gt;=111700")&gt;0,"X","")</f>
      </c>
      <c r="E32" s="56" t="str">
        <f>IF(COUNTIFS('LANÇAMENTOS DIÁRIOS'!$G$5:$G$500,"F",'LANÇAMENTOS DIÁRIOS'!$C$5:$C$500,$A32,'LANÇAMENTOS DIÁRIOS'!$O$5:$O$500,"&lt;=111899",'LANÇAMENTOS DIÁRIOS'!$P$5:$P$500,"&gt;=111800")&gt;0,"X","")</f>
      </c>
      <c r="F32" s="56" t="str">
        <f>IF(COUNTIFS('LANÇAMENTOS DIÁRIOS'!$G$5:$G$500,"F",'LANÇAMENTOS DIÁRIOS'!$C$5:$C$500,$A32,'LANÇAMENTOS DIÁRIOS'!$O$5:$O$500,"&lt;=111999",'LANÇAMENTOS DIÁRIOS'!$P$5:$P$500,"&gt;=111900")&gt;0,"X","")</f>
      </c>
      <c r="G32" s="56" t="str">
        <f>IF(COUNTIFS('LANÇAMENTOS DIÁRIOS'!$G$5:$G$500,"F",'LANÇAMENTOS DIÁRIOS'!$C$5:$C$500,$A32,'LANÇAMENTOS DIÁRIOS'!$O$5:$O$500,"&lt;=112099",'LANÇAMENTOS DIÁRIOS'!$P$5:$P$500,"&gt;=112000")&gt;0,"X","")</f>
      </c>
      <c r="H32" s="56" t="str">
        <f>IF(COUNTIFS('LANÇAMENTOS DIÁRIOS'!$G$5:$G$500,"F",'LANÇAMENTOS DIÁRIOS'!$C$5:$C$500,$A32,'LANÇAMENTOS DIÁRIOS'!$O$5:$O$500,"&lt;=112199",'LANÇAMENTOS DIÁRIOS'!$P$5:$P$500,"&gt;=112100")&gt;0,"X","")</f>
      </c>
      <c r="I32" s="56" t="str">
        <f>IF(COUNTIFS('LANÇAMENTOS DIÁRIOS'!$G$5:$G$500,"F",'LANÇAMENTOS DIÁRIOS'!$C$5:$C$500,$A32,'LANÇAMENTOS DIÁRIOS'!$O$5:$O$500,"&lt;=112299",'LANÇAMENTOS DIÁRIOS'!$P$5:$P$500,"&gt;=112200")&gt;0,"X","")</f>
      </c>
      <c r="J32" s="56" t="str">
        <f>IF(COUNTIFS('LANÇAMENTOS DIÁRIOS'!$G$5:$G$500,"F",'LANÇAMENTOS DIÁRIOS'!$C$5:$C$500,$A32,'LANÇAMENTOS DIÁRIOS'!$O$5:$O$500,"&lt;=112399",'LANÇAMENTOS DIÁRIOS'!$P$5:$P$500,"&gt;=112300")&gt;0,"X","")</f>
      </c>
      <c r="K32" s="56" t="str">
        <f>IF(COUNTIFS('LANÇAMENTOS DIÁRIOS'!$G$5:$G$500,"F",'LANÇAMENTOS DIÁRIOS'!$C$5:$C$500,$A32,'LANÇAMENTOS DIÁRIOS'!$O$5:$O$500,"&lt;=112499",'LANÇAMENTOS DIÁRIOS'!$P$5:$P$500,"&gt;=112400")&gt;0,"X","")</f>
      </c>
      <c r="L32" s="56" t="str">
        <f>IF(COUNTIFS('LANÇAMENTOS DIÁRIOS'!$G$5:$G$500,"F",'LANÇAMENTOS DIÁRIOS'!$C$5:$C$500,$A32,'LANÇAMENTOS DIÁRIOS'!$O$5:$O$500,"&lt;=112599",'LANÇAMENTOS DIÁRIOS'!$P$5:$P$500,"&gt;=112500")&gt;0,"X","")</f>
      </c>
      <c r="M32" s="56" t="str">
        <f>IF(COUNTIFS('LANÇAMENTOS DIÁRIOS'!$G$5:$G$500,"F",'LANÇAMENTOS DIÁRIOS'!$C$5:$C$500,$A32,'LANÇAMENTOS DIÁRIOS'!$O$5:$O$500,"&lt;=112699",'LANÇAMENTOS DIÁRIOS'!$P$5:$P$500,"&gt;=112600")&gt;0,"X","")</f>
      </c>
      <c r="N32" s="56" t="str">
        <f>IF(COUNTIFS('LANÇAMENTOS DIÁRIOS'!$G$5:$G$500,"F",'LANÇAMENTOS DIÁRIOS'!$C$5:$C$500,$A32,'LANÇAMENTOS DIÁRIOS'!$O$5:$O$500,"&lt;=112799",'LANÇAMENTOS DIÁRIOS'!$P$5:$P$500,"&gt;=112700")&gt;0,"X","")</f>
      </c>
      <c r="O32" s="56" t="str">
        <f>IF(COUNTIFS('LANÇAMENTOS DIÁRIOS'!$G$5:$G$500,"F",'LANÇAMENTOS DIÁRIOS'!$C$5:$C$500,$A32,'LANÇAMENTOS DIÁRIOS'!$O$5:$O$500,"&lt;=112899",'LANÇAMENTOS DIÁRIOS'!$P$5:$P$500,"&gt;=112800")&gt;0,"X","")</f>
      </c>
      <c r="P32" s="56" t="str">
        <f>IF(COUNTIFS('LANÇAMENTOS DIÁRIOS'!$G$5:$G$500,"F",'LANÇAMENTOS DIÁRIOS'!$C$5:$C$500,$A32,'LANÇAMENTOS DIÁRIOS'!$O$5:$O$500,"&lt;=112999",'LANÇAMENTOS DIÁRIOS'!$P$5:$P$500,"&gt;=112900")&gt;0,"X","")</f>
      </c>
      <c r="Q32" s="56" t="str">
        <f>IF(COUNTIFS('LANÇAMENTOS DIÁRIOS'!$G$5:$G$500,"F",'LANÇAMENTOS DIÁRIOS'!$C$5:$C$500,$A32,'LANÇAMENTOS DIÁRIOS'!$O$5:$O$500,"&lt;=113099",'LANÇAMENTOS DIÁRIOS'!$P$5:$P$500,"&gt;=113000")&gt;0,"X","")</f>
      </c>
      <c r="R32" s="56" t="str">
        <f>IF(COUNTIFS('LANÇAMENTOS DIÁRIOS'!$G$5:$G$500,"F",'LANÇAMENTOS DIÁRIOS'!$C$5:$C$500,$A32,'LANÇAMENTOS DIÁRIOS'!$O$5:$O$500,"&lt;=113199",'LANÇAMENTOS DIÁRIOS'!$P$5:$P$500,"&gt;=113100")&gt;0,"X","")</f>
      </c>
      <c r="S32" s="56" t="str">
        <f>IF(COUNTIFS('LANÇAMENTOS DIÁRIOS'!$G$5:$G$500,"F",'LANÇAMENTOS DIÁRIOS'!$C$5:$C$500,$A32,'LANÇAMENTOS DIÁRIOS'!$O$5:$O$500,"&lt;=113299",'LANÇAMENTOS DIÁRIOS'!$P$5:$P$500,"&gt;=113200")&gt;0,"X","")</f>
      </c>
      <c r="T32" s="56" t="str">
        <f>IF(COUNTIFS('LANÇAMENTOS DIÁRIOS'!$G$5:$G$500,"F",'LANÇAMENTOS DIÁRIOS'!$C$5:$C$500,$A32,'LANÇAMENTOS DIÁRIOS'!$O$5:$O$500,"&lt;=113399",'LANÇAMENTOS DIÁRIOS'!$P$5:$P$500,"&gt;=113300")&gt;0,"X","")</f>
      </c>
      <c r="U32" s="56" t="str">
        <f>IF(COUNTIFS('LANÇAMENTOS DIÁRIOS'!$G$5:$G$500,"F",'LANÇAMENTOS DIÁRIOS'!$C$5:$C$500,$A32,'LANÇAMENTOS DIÁRIOS'!$O$5:$O$500,"&lt;=113499",'LANÇAMENTOS DIÁRIOS'!$P$5:$P$500,"&gt;=113400")&gt;0,"X","")</f>
      </c>
      <c r="V32" s="56" t="str">
        <f>IF(COUNTIFS('LANÇAMENTOS DIÁRIOS'!$G$5:$G$500,"F",'LANÇAMENTOS DIÁRIOS'!$C$5:$C$500,$A32,'LANÇAMENTOS DIÁRIOS'!$O$5:$O$500,"&lt;=113599",'LANÇAMENTOS DIÁRIOS'!$P$5:$P$500,"&gt;=113500")&gt;0,"X","")</f>
      </c>
      <c r="W32" s="56" t="str">
        <f>IF(COUNTIFS('LANÇAMENTOS DIÁRIOS'!$G$5:$G$500,"F",'LANÇAMENTOS DIÁRIOS'!$C$5:$C$500,$A32,'LANÇAMENTOS DIÁRIOS'!$O$5:$O$500,"&lt;=113699",'LANÇAMENTOS DIÁRIOS'!$P$5:$P$500,"&gt;=113600")&gt;0,"X","")</f>
      </c>
      <c r="X32" s="56" t="str">
        <f>IF(COUNTIFS('LANÇAMENTOS DIÁRIOS'!$G$5:$G$500,"F",'LANÇAMENTOS DIÁRIOS'!$C$5:$C$500,$A32,'LANÇAMENTOS DIÁRIOS'!$O$5:$O$500,"&lt;=113799",'LANÇAMENTOS DIÁRIOS'!$P$5:$P$500,"&gt;=113700")&gt;0,"X","")</f>
      </c>
      <c r="Y32" s="56" t="str">
        <f>IF(COUNTIFS('LANÇAMENTOS DIÁRIOS'!$G$5:$G$500,"F",'LANÇAMENTOS DIÁRIOS'!$C$5:$C$500,$A32,'LANÇAMENTOS DIÁRIOS'!$O$5:$O$500,"&lt;=113899",'LANÇAMENTOS DIÁRIOS'!$P$5:$P$500,"&gt;=113800")&gt;0,"X","")</f>
      </c>
      <c r="Z32" s="56" t="str">
        <f>IF(COUNTIFS('LANÇAMENTOS DIÁRIOS'!$G$5:$G$500,"F",'LANÇAMENTOS DIÁRIOS'!$C$5:$C$500,$A32,'LANÇAMENTOS DIÁRIOS'!$O$5:$O$500,"&lt;=113999",'LANÇAMENTOS DIÁRIOS'!$P$5:$P$500,"&gt;=113900")&gt;0,"X","")</f>
      </c>
      <c r="AA32" s="56" t="str">
        <f>IF(COUNTIFS('LANÇAMENTOS DIÁRIOS'!$G$5:$G$500,"F",'LANÇAMENTOS DIÁRIOS'!$C$5:$C$500,$A32,'LANÇAMENTOS DIÁRIOS'!$O$5:$O$500,"&lt;=114099",'LANÇAMENTOS DIÁRIOS'!$P$5:$P$500,"&gt;=114000")&gt;0,"X","")</f>
      </c>
      <c r="AB32" s="56" t="str">
        <f>IF(COUNTIFS('LANÇAMENTOS DIÁRIOS'!$G$5:$G$500,"F",'LANÇAMENTOS DIÁRIOS'!$C$5:$C$500,$A32,'LANÇAMENTOS DIÁRIOS'!$O$5:$O$500,"&lt;=114199",'LANÇAMENTOS DIÁRIOS'!$P$5:$P$500,"&gt;=114100")&gt;0,"X","")</f>
      </c>
      <c r="AC32" s="56" t="str">
        <f>IF(COUNTIFS('LANÇAMENTOS DIÁRIOS'!$G$5:$G$500,"F",'LANÇAMENTOS DIÁRIOS'!$C$5:$C$500,$A32,'LANÇAMENTOS DIÁRIOS'!$O$5:$O$500,"&lt;=114299",'LANÇAMENTOS DIÁRIOS'!$P$5:$P$500,"&gt;=114200")&gt;0,"X","")</f>
      </c>
      <c r="AD32" s="56" t="str">
        <f>IF(COUNTIFS('LANÇAMENTOS DIÁRIOS'!$G$5:$G$500,"F",'LANÇAMENTOS DIÁRIOS'!$C$5:$C$500,$A32,'LANÇAMENTOS DIÁRIOS'!$O$5:$O$500,"&lt;=114399",'LANÇAMENTOS DIÁRIOS'!$P$5:$P$500,"&gt;=114300")&gt;0,"X","")</f>
      </c>
      <c r="AE32" s="56" t="str">
        <f>IF(COUNTIFS('LANÇAMENTOS DIÁRIOS'!$G$5:$G$500,"F",'LANÇAMENTOS DIÁRIOS'!$C$5:$C$500,$A32,'LANÇAMENTOS DIÁRIOS'!$O$5:$O$500,"&lt;=114499",'LANÇAMENTOS DIÁRIOS'!$P$5:$P$500,"&gt;=114400")&gt;0,"X","")</f>
      </c>
      <c r="AF32" s="56" t="str">
        <f>IF(COUNTIFS('LANÇAMENTOS DIÁRIOS'!$G$5:$G$500,"F",'LANÇAMENTOS DIÁRIOS'!$C$5:$C$500,$A32,'LANÇAMENTOS DIÁRIOS'!$O$5:$O$500,"&lt;=114599",'LANÇAMENTOS DIÁRIOS'!$P$5:$P$500,"&gt;=114500")&gt;0,"X","")</f>
      </c>
      <c r="AG32" s="56" t="str">
        <f>IF(COUNTIFS('LANÇAMENTOS DIÁRIOS'!$G$5:$G$500,"F",'LANÇAMENTOS DIÁRIOS'!$C$5:$C$500,$A32,'LANÇAMENTOS DIÁRIOS'!$O$5:$O$500,"&lt;=114699",'LANÇAMENTOS DIÁRIOS'!$P$5:$P$500,"&gt;=114600")&gt;0,"X","")</f>
      </c>
      <c r="AH32" s="56" t="str">
        <f>IF(COUNTIFS('LANÇAMENTOS DIÁRIOS'!$G$5:$G$500,"F",'LANÇAMENTOS DIÁRIOS'!$C$5:$C$500,$A32,'LANÇAMENTOS DIÁRIOS'!$O$5:$O$500,"&lt;=114799",'LANÇAMENTOS DIÁRIOS'!$P$5:$P$500,"&gt;=114700")&gt;0,"X","")</f>
      </c>
      <c r="AI32" s="56" t="str">
        <f>IF(COUNTIFS('LANÇAMENTOS DIÁRIOS'!$G$5:$G$500,"F",'LANÇAMENTOS DIÁRIOS'!$C$5:$C$500,$A32,'LANÇAMENTOS DIÁRIOS'!$O$5:$O$500,"&lt;=114899",'LANÇAMENTOS DIÁRIOS'!$P$5:$P$500,"&gt;=114800")&gt;0,"X","")</f>
      </c>
      <c r="AJ32" s="56" t="str">
        <f>IF(COUNTIFS('LANÇAMENTOS DIÁRIOS'!$G$5:$G$500,"F",'LANÇAMENTOS DIÁRIOS'!$C$5:$C$500,$A32,'LANÇAMENTOS DIÁRIOS'!$O$5:$O$500,"&lt;=114999",'LANÇAMENTOS DIÁRIOS'!$P$5:$P$500,"&gt;=114900")&gt;0,"X","")</f>
      </c>
      <c r="AK32" s="56" t="str">
        <f>IF(COUNTIFS('LANÇAMENTOS DIÁRIOS'!$G$5:$G$500,"F",'LANÇAMENTOS DIÁRIOS'!$C$5:$C$500,$A32,'LANÇAMENTOS DIÁRIOS'!$O$5:$O$500,"&lt;=115099",'LANÇAMENTOS DIÁRIOS'!$P$5:$P$500,"&gt;=115000")&gt;0,"X","")</f>
      </c>
      <c r="AL32" s="56" t="str">
        <f>IF(COUNTIFS('LANÇAMENTOS DIÁRIOS'!$G$5:$G$500,"F",'LANÇAMENTOS DIÁRIOS'!$C$5:$C$500,$A32,'LANÇAMENTOS DIÁRIOS'!$O$5:$O$500,"&lt;=115199",'LANÇAMENTOS DIÁRIOS'!$P$5:$P$500,"&gt;=115100")&gt;0,"X","")</f>
      </c>
      <c r="AM32" s="56" t="str">
        <f>IF(COUNTIFS('LANÇAMENTOS DIÁRIOS'!$G$5:$G$500,"F",'LANÇAMENTOS DIÁRIOS'!$C$5:$C$500,$A32,'LANÇAMENTOS DIÁRIOS'!$O$5:$O$500,"&lt;=115299",'LANÇAMENTOS DIÁRIOS'!$P$5:$P$500,"&gt;=115200")&gt;0,"X","")</f>
      </c>
      <c r="AN32" s="56" t="str">
        <f>IF(COUNTIFS('LANÇAMENTOS DIÁRIOS'!$G$5:$G$500,"F",'LANÇAMENTOS DIÁRIOS'!$C$5:$C$500,$A32,'LANÇAMENTOS DIÁRIOS'!$O$5:$O$500,"&lt;=115399",'LANÇAMENTOS DIÁRIOS'!$P$5:$P$500,"&gt;=115300")&gt;0,"X","")</f>
      </c>
      <c r="AO32" s="56" t="str">
        <f>IF(COUNTIFS('LANÇAMENTOS DIÁRIOS'!$G$5:$G$500,"F",'LANÇAMENTOS DIÁRIOS'!$C$5:$C$500,$A32,'LANÇAMENTOS DIÁRIOS'!$O$5:$O$500,"&lt;=115499",'LANÇAMENTOS DIÁRIOS'!$P$5:$P$500,"&gt;=115400")&gt;0,"X","")</f>
      </c>
      <c r="AP32" s="56" t="str">
        <f>IF(COUNTIFS('LANÇAMENTOS DIÁRIOS'!$G$5:$G$500,"F",'LANÇAMENTOS DIÁRIOS'!$C$5:$C$500,$A32,'LANÇAMENTOS DIÁRIOS'!$O$5:$O$500,"&lt;=115599",'LANÇAMENTOS DIÁRIOS'!$P$5:$P$500,"&gt;=115500")&gt;0,"X","")</f>
      </c>
      <c r="AQ32" s="56" t="str">
        <f>IF(COUNTIFS('LANÇAMENTOS DIÁRIOS'!$G$5:$G$500,"F",'LANÇAMENTOS DIÁRIOS'!$C$5:$C$500,$A32,'LANÇAMENTOS DIÁRIOS'!$O$5:$O$500,"&lt;=115699",'LANÇAMENTOS DIÁRIOS'!$P$5:$P$500,"&gt;=115600")&gt;0,"X","")</f>
      </c>
      <c r="AR32" s="56" t="str">
        <f>IF(COUNTIFS('LANÇAMENTOS DIÁRIOS'!$G$5:$G$500,"F",'LANÇAMENTOS DIÁRIOS'!$C$5:$C$500,$A32,'LANÇAMENTOS DIÁRIOS'!$O$5:$O$500,"&lt;=115799",'LANÇAMENTOS DIÁRIOS'!$P$5:$P$500,"&gt;=115700")&gt;0,"X","")</f>
      </c>
      <c r="AS32" s="56" t="str">
        <f>IF(COUNTIFS('LANÇAMENTOS DIÁRIOS'!$G$5:$G$500,"F",'LANÇAMENTOS DIÁRIOS'!$C$5:$C$500,$A32,'LANÇAMENTOS DIÁRIOS'!$O$5:$O$500,"&lt;=115899",'LANÇAMENTOS DIÁRIOS'!$P$5:$P$500,"&gt;=115800")&gt;0,"X","")</f>
      </c>
      <c r="AT32" s="56" t="str">
        <f>IF(COUNTIFS('LANÇAMENTOS DIÁRIOS'!$G$5:$G$500,"F",'LANÇAMENTOS DIÁRIOS'!$C$5:$C$500,$A32,'LANÇAMENTOS DIÁRIOS'!$O$5:$O$500,"&lt;=115999",'LANÇAMENTOS DIÁRIOS'!$P$5:$P$500,"&gt;=115900")&gt;0,"X","")</f>
      </c>
      <c r="AU32" s="56" t="str">
        <f>IF(COUNTIFS('LANÇAMENTOS DIÁRIOS'!$G$5:$G$500,"F",'LANÇAMENTOS DIÁRIOS'!$C$5:$C$500,$A32,'LANÇAMENTOS DIÁRIOS'!$O$5:$O$500,"&lt;=116099",'LANÇAMENTOS DIÁRIOS'!$P$5:$P$500,"&gt;=116000")&gt;0,"X","")</f>
      </c>
      <c r="AV32" s="56" t="str">
        <f>IF(COUNTIFS('LANÇAMENTOS DIÁRIOS'!$G$5:$G$500,"F",'LANÇAMENTOS DIÁRIOS'!$C$5:$C$500,$A32,'LANÇAMENTOS DIÁRIOS'!$O$5:$O$500,"&lt;=116199",'LANÇAMENTOS DIÁRIOS'!$P$5:$P$500,"&gt;=116100")&gt;0,"X","")</f>
      </c>
      <c r="AW32" s="56" t="str">
        <f>IF(COUNTIFS('LANÇAMENTOS DIÁRIOS'!$G$5:$G$500,"F",'LANÇAMENTOS DIÁRIOS'!$C$5:$C$500,$A32,'LANÇAMENTOS DIÁRIOS'!$O$5:$O$500,"&lt;=116299",'LANÇAMENTOS DIÁRIOS'!$P$5:$P$500,"&gt;=116200")&gt;0,"X","")</f>
      </c>
      <c r="AX32" s="56" t="str">
        <f>IF(COUNTIFS('LANÇAMENTOS DIÁRIOS'!$G$5:$G$500,"F",'LANÇAMENTOS DIÁRIOS'!$C$5:$C$500,$A32,'LANÇAMENTOS DIÁRIOS'!$O$5:$O$500,"&lt;=116399",'LANÇAMENTOS DIÁRIOS'!$P$5:$P$500,"&gt;=116300")&gt;0,"X","")</f>
      </c>
      <c r="AY32" s="56" t="str">
        <f>IF(COUNTIFS('LANÇAMENTOS DIÁRIOS'!$G$5:$G$500,"F",'LANÇAMENTOS DIÁRIOS'!$C$5:$C$500,$A32,'LANÇAMENTOS DIÁRIOS'!$O$5:$O$500,"&lt;=116499",'LANÇAMENTOS DIÁRIOS'!$P$5:$P$500,"&gt;=116400")&gt;0,"X","")</f>
      </c>
      <c r="AZ32" s="56" t="str">
        <f>IF(COUNTIFS('LANÇAMENTOS DIÁRIOS'!$G$5:$G$500,"F",'LANÇAMENTOS DIÁRIOS'!$C$5:$C$500,$A32,'LANÇAMENTOS DIÁRIOS'!$O$5:$O$500,"&lt;=116599",'LANÇAMENTOS DIÁRIOS'!$P$5:$P$500,"&gt;=116500")&gt;0,"X","")</f>
      </c>
      <c r="BA32" s="56" t="str">
        <f>IF(COUNTIFS('LANÇAMENTOS DIÁRIOS'!$G$5:$G$500,"F",'LANÇAMENTOS DIÁRIOS'!$C$5:$C$500,$A32,'LANÇAMENTOS DIÁRIOS'!$O$5:$O$500,"&lt;=116699",'LANÇAMENTOS DIÁRIOS'!$P$5:$P$500,"&gt;=116600")&gt;0,"X","")</f>
      </c>
      <c r="BB32" s="56" t="str">
        <f>IF(COUNTIFS('LANÇAMENTOS DIÁRIOS'!$G$5:$G$500,"F",'LANÇAMENTOS DIÁRIOS'!$C$5:$C$500,$A32,'LANÇAMENTOS DIÁRIOS'!$O$5:$O$500,"&lt;=116799",'LANÇAMENTOS DIÁRIOS'!$P$5:$P$500,"&gt;=116700")&gt;0,"X","")</f>
      </c>
      <c r="BC32" s="56" t="str">
        <f>IF(COUNTIFS('LANÇAMENTOS DIÁRIOS'!$G$5:$G$500,"F",'LANÇAMENTOS DIÁRIOS'!$C$5:$C$500,$A32,'LANÇAMENTOS DIÁRIOS'!$O$5:$O$500,"&lt;=116899",'LANÇAMENTOS DIÁRIOS'!$P$5:$P$500,"&gt;=116800")&gt;0,"X","")</f>
      </c>
      <c r="BD32" s="56" t="str">
        <f>IF(COUNTIFS('LANÇAMENTOS DIÁRIOS'!$G$5:$G$500,"F",'LANÇAMENTOS DIÁRIOS'!$C$5:$C$500,$A32,'LANÇAMENTOS DIÁRIOS'!$O$5:$O$500,"&lt;=116999",'LANÇAMENTOS DIÁRIOS'!$P$5:$P$500,"&gt;=116900")&gt;0,"X","")</f>
      </c>
      <c r="BE32" s="56" t="str">
        <f>IF(COUNTIFS('LANÇAMENTOS DIÁRIOS'!$G$5:$G$500,"F",'LANÇAMENTOS DIÁRIOS'!$C$5:$C$500,$A32,'LANÇAMENTOS DIÁRIOS'!$O$5:$O$500,"&lt;=117099",'LANÇAMENTOS DIÁRIOS'!$P$5:$P$500,"&gt;=117000")&gt;0,"X","")</f>
      </c>
      <c r="BF32" s="56" t="str">
        <f>IF(COUNTIFS('LANÇAMENTOS DIÁRIOS'!$G$5:$G$500,"F",'LANÇAMENTOS DIÁRIOS'!$C$5:$C$500,$A32,'LANÇAMENTOS DIÁRIOS'!$O$5:$O$500,"&lt;=117199",'LANÇAMENTOS DIÁRIOS'!$P$5:$P$500,"&gt;=117100")&gt;0,"X","")</f>
      </c>
      <c r="BG32" s="56" t="str">
        <f>IF(COUNTIFS('LANÇAMENTOS DIÁRIOS'!$G$5:$G$500,"F",'LANÇAMENTOS DIÁRIOS'!$C$5:$C$500,$A32,'LANÇAMENTOS DIÁRIOS'!$O$5:$O$500,"&lt;=117219",'LANÇAMENTOS DIÁRIOS'!$P$5:$P$500,"&gt;=117200")&gt;0,"X","")</f>
      </c>
      <c r="BH32" s="56" t="str">
        <f>IF(COUNTIFS('LANÇAMENTOS DIÁRIOS'!$G$5:$G$500,"F",'LANÇAMENTOS DIÁRIOS'!$C$5:$C$500,$A32,'LANÇAMENTOS DIÁRIOS'!$O$5:$O$500,"&lt;=117220",'LANÇAMENTOS DIÁRIOS'!$P$5:$P$500,"&gt;=117220")&gt;0,"X","")</f>
      </c>
    </row>
    <row r="33">
      <c r="A33" s="51" t="str">
        <v>Derrubada e destocamento.arv. c/ diâmetro 50&lt;&gt;60cm, com limpeza da área</v>
      </c>
      <c r="B33" s="56" t="str">
        <f>IF(COUNTIFS('LANÇAMENTOS DIÁRIOS'!$G$5:$G$500,"F",'LANÇAMENTOS DIÁRIOS'!$C$5:$C$500,$A33,'LANÇAMENTOS DIÁRIOS'!$O$5:$O$500,"&lt;=111599",'LANÇAMENTOS DIÁRIOS'!$P$5:$P$500,"&gt;=111500")&gt;0,"X","")</f>
      </c>
      <c r="C33" s="56" t="str">
        <f>IF(COUNTIFS('LANÇAMENTOS DIÁRIOS'!$G$5:$G$500,"F",'LANÇAMENTOS DIÁRIOS'!$C$5:$C$500,$A33,'LANÇAMENTOS DIÁRIOS'!$O$5:$O$500,"&lt;=111699",'LANÇAMENTOS DIÁRIOS'!$P$5:$P$500,"&gt;=111600")&gt;0,"X","")</f>
      </c>
      <c r="D33" s="56" t="str">
        <f>IF(COUNTIFS('LANÇAMENTOS DIÁRIOS'!$G$5:$G$500,"F",'LANÇAMENTOS DIÁRIOS'!$C$5:$C$500,$A33,'LANÇAMENTOS DIÁRIOS'!$O$5:$O$500,"&lt;=111799",'LANÇAMENTOS DIÁRIOS'!$P$5:$P$500,"&gt;=111700")&gt;0,"X","")</f>
      </c>
      <c r="E33" s="56" t="str">
        <f>IF(COUNTIFS('LANÇAMENTOS DIÁRIOS'!$G$5:$G$500,"F",'LANÇAMENTOS DIÁRIOS'!$C$5:$C$500,$A33,'LANÇAMENTOS DIÁRIOS'!$O$5:$O$500,"&lt;=111899",'LANÇAMENTOS DIÁRIOS'!$P$5:$P$500,"&gt;=111800")&gt;0,"X","")</f>
      </c>
      <c r="F33" s="56" t="str">
        <f>IF(COUNTIFS('LANÇAMENTOS DIÁRIOS'!$G$5:$G$500,"F",'LANÇAMENTOS DIÁRIOS'!$C$5:$C$500,$A33,'LANÇAMENTOS DIÁRIOS'!$O$5:$O$500,"&lt;=111999",'LANÇAMENTOS DIÁRIOS'!$P$5:$P$500,"&gt;=111900")&gt;0,"X","")</f>
      </c>
      <c r="G33" s="56" t="str">
        <f>IF(COUNTIFS('LANÇAMENTOS DIÁRIOS'!$G$5:$G$500,"F",'LANÇAMENTOS DIÁRIOS'!$C$5:$C$500,$A33,'LANÇAMENTOS DIÁRIOS'!$O$5:$O$500,"&lt;=112099",'LANÇAMENTOS DIÁRIOS'!$P$5:$P$500,"&gt;=112000")&gt;0,"X","")</f>
      </c>
      <c r="H33" s="56" t="str">
        <f>IF(COUNTIFS('LANÇAMENTOS DIÁRIOS'!$G$5:$G$500,"F",'LANÇAMENTOS DIÁRIOS'!$C$5:$C$500,$A33,'LANÇAMENTOS DIÁRIOS'!$O$5:$O$500,"&lt;=112199",'LANÇAMENTOS DIÁRIOS'!$P$5:$P$500,"&gt;=112100")&gt;0,"X","")</f>
      </c>
      <c r="I33" s="56" t="str">
        <f>IF(COUNTIFS('LANÇAMENTOS DIÁRIOS'!$G$5:$G$500,"F",'LANÇAMENTOS DIÁRIOS'!$C$5:$C$500,$A33,'LANÇAMENTOS DIÁRIOS'!$O$5:$O$500,"&lt;=112299",'LANÇAMENTOS DIÁRIOS'!$P$5:$P$500,"&gt;=112200")&gt;0,"X","")</f>
      </c>
      <c r="J33" s="56" t="str">
        <f>IF(COUNTIFS('LANÇAMENTOS DIÁRIOS'!$G$5:$G$500,"F",'LANÇAMENTOS DIÁRIOS'!$C$5:$C$500,$A33,'LANÇAMENTOS DIÁRIOS'!$O$5:$O$500,"&lt;=112399",'LANÇAMENTOS DIÁRIOS'!$P$5:$P$500,"&gt;=112300")&gt;0,"X","")</f>
      </c>
      <c r="K33" s="56" t="str">
        <f>IF(COUNTIFS('LANÇAMENTOS DIÁRIOS'!$G$5:$G$500,"F",'LANÇAMENTOS DIÁRIOS'!$C$5:$C$500,$A33,'LANÇAMENTOS DIÁRIOS'!$O$5:$O$500,"&lt;=112499",'LANÇAMENTOS DIÁRIOS'!$P$5:$P$500,"&gt;=112400")&gt;0,"X","")</f>
      </c>
      <c r="L33" s="56" t="str">
        <f>IF(COUNTIFS('LANÇAMENTOS DIÁRIOS'!$G$5:$G$500,"F",'LANÇAMENTOS DIÁRIOS'!$C$5:$C$500,$A33,'LANÇAMENTOS DIÁRIOS'!$O$5:$O$500,"&lt;=112599",'LANÇAMENTOS DIÁRIOS'!$P$5:$P$500,"&gt;=112500")&gt;0,"X","")</f>
      </c>
      <c r="M33" s="56" t="str">
        <f>IF(COUNTIFS('LANÇAMENTOS DIÁRIOS'!$G$5:$G$500,"F",'LANÇAMENTOS DIÁRIOS'!$C$5:$C$500,$A33,'LANÇAMENTOS DIÁRIOS'!$O$5:$O$500,"&lt;=112699",'LANÇAMENTOS DIÁRIOS'!$P$5:$P$500,"&gt;=112600")&gt;0,"X","")</f>
      </c>
      <c r="N33" s="56" t="str">
        <f>IF(COUNTIFS('LANÇAMENTOS DIÁRIOS'!$G$5:$G$500,"F",'LANÇAMENTOS DIÁRIOS'!$C$5:$C$500,$A33,'LANÇAMENTOS DIÁRIOS'!$O$5:$O$500,"&lt;=112799",'LANÇAMENTOS DIÁRIOS'!$P$5:$P$500,"&gt;=112700")&gt;0,"X","")</f>
      </c>
      <c r="O33" s="56" t="str">
        <f>IF(COUNTIFS('LANÇAMENTOS DIÁRIOS'!$G$5:$G$500,"F",'LANÇAMENTOS DIÁRIOS'!$C$5:$C$500,$A33,'LANÇAMENTOS DIÁRIOS'!$O$5:$O$500,"&lt;=112899",'LANÇAMENTOS DIÁRIOS'!$P$5:$P$500,"&gt;=112800")&gt;0,"X","")</f>
      </c>
      <c r="P33" s="56" t="str">
        <f>IF(COUNTIFS('LANÇAMENTOS DIÁRIOS'!$G$5:$G$500,"F",'LANÇAMENTOS DIÁRIOS'!$C$5:$C$500,$A33,'LANÇAMENTOS DIÁRIOS'!$O$5:$O$500,"&lt;=112999",'LANÇAMENTOS DIÁRIOS'!$P$5:$P$500,"&gt;=112900")&gt;0,"X","")</f>
      </c>
      <c r="Q33" s="56" t="str">
        <f>IF(COUNTIFS('LANÇAMENTOS DIÁRIOS'!$G$5:$G$500,"F",'LANÇAMENTOS DIÁRIOS'!$C$5:$C$500,$A33,'LANÇAMENTOS DIÁRIOS'!$O$5:$O$500,"&lt;=113099",'LANÇAMENTOS DIÁRIOS'!$P$5:$P$500,"&gt;=113000")&gt;0,"X","")</f>
      </c>
      <c r="R33" s="56" t="str">
        <f>IF(COUNTIFS('LANÇAMENTOS DIÁRIOS'!$G$5:$G$500,"F",'LANÇAMENTOS DIÁRIOS'!$C$5:$C$500,$A33,'LANÇAMENTOS DIÁRIOS'!$O$5:$O$500,"&lt;=113199",'LANÇAMENTOS DIÁRIOS'!$P$5:$P$500,"&gt;=113100")&gt;0,"X","")</f>
      </c>
      <c r="S33" s="56" t="str">
        <f>IF(COUNTIFS('LANÇAMENTOS DIÁRIOS'!$G$5:$G$500,"F",'LANÇAMENTOS DIÁRIOS'!$C$5:$C$500,$A33,'LANÇAMENTOS DIÁRIOS'!$O$5:$O$500,"&lt;=113299",'LANÇAMENTOS DIÁRIOS'!$P$5:$P$500,"&gt;=113200")&gt;0,"X","")</f>
      </c>
      <c r="T33" s="56" t="str">
        <f>IF(COUNTIFS('LANÇAMENTOS DIÁRIOS'!$G$5:$G$500,"F",'LANÇAMENTOS DIÁRIOS'!$C$5:$C$500,$A33,'LANÇAMENTOS DIÁRIOS'!$O$5:$O$500,"&lt;=113399",'LANÇAMENTOS DIÁRIOS'!$P$5:$P$500,"&gt;=113300")&gt;0,"X","")</f>
      </c>
      <c r="U33" s="56" t="str">
        <f>IF(COUNTIFS('LANÇAMENTOS DIÁRIOS'!$G$5:$G$500,"F",'LANÇAMENTOS DIÁRIOS'!$C$5:$C$500,$A33,'LANÇAMENTOS DIÁRIOS'!$O$5:$O$500,"&lt;=113499",'LANÇAMENTOS DIÁRIOS'!$P$5:$P$500,"&gt;=113400")&gt;0,"X","")</f>
      </c>
      <c r="V33" s="56" t="str">
        <f>IF(COUNTIFS('LANÇAMENTOS DIÁRIOS'!$G$5:$G$500,"F",'LANÇAMENTOS DIÁRIOS'!$C$5:$C$500,$A33,'LANÇAMENTOS DIÁRIOS'!$O$5:$O$500,"&lt;=113599",'LANÇAMENTOS DIÁRIOS'!$P$5:$P$500,"&gt;=113500")&gt;0,"X","")</f>
      </c>
      <c r="W33" s="56" t="str">
        <f>IF(COUNTIFS('LANÇAMENTOS DIÁRIOS'!$G$5:$G$500,"F",'LANÇAMENTOS DIÁRIOS'!$C$5:$C$500,$A33,'LANÇAMENTOS DIÁRIOS'!$O$5:$O$500,"&lt;=113699",'LANÇAMENTOS DIÁRIOS'!$P$5:$P$500,"&gt;=113600")&gt;0,"X","")</f>
      </c>
      <c r="X33" s="56" t="str">
        <f>IF(COUNTIFS('LANÇAMENTOS DIÁRIOS'!$G$5:$G$500,"F",'LANÇAMENTOS DIÁRIOS'!$C$5:$C$500,$A33,'LANÇAMENTOS DIÁRIOS'!$O$5:$O$500,"&lt;=113799",'LANÇAMENTOS DIÁRIOS'!$P$5:$P$500,"&gt;=113700")&gt;0,"X","")</f>
      </c>
      <c r="Y33" s="56" t="str">
        <f>IF(COUNTIFS('LANÇAMENTOS DIÁRIOS'!$G$5:$G$500,"F",'LANÇAMENTOS DIÁRIOS'!$C$5:$C$500,$A33,'LANÇAMENTOS DIÁRIOS'!$O$5:$O$500,"&lt;=113899",'LANÇAMENTOS DIÁRIOS'!$P$5:$P$500,"&gt;=113800")&gt;0,"X","")</f>
      </c>
      <c r="Z33" s="56" t="str">
        <f>IF(COUNTIFS('LANÇAMENTOS DIÁRIOS'!$G$5:$G$500,"F",'LANÇAMENTOS DIÁRIOS'!$C$5:$C$500,$A33,'LANÇAMENTOS DIÁRIOS'!$O$5:$O$500,"&lt;=113999",'LANÇAMENTOS DIÁRIOS'!$P$5:$P$500,"&gt;=113900")&gt;0,"X","")</f>
      </c>
      <c r="AA33" s="56" t="str">
        <f>IF(COUNTIFS('LANÇAMENTOS DIÁRIOS'!$G$5:$G$500,"F",'LANÇAMENTOS DIÁRIOS'!$C$5:$C$500,$A33,'LANÇAMENTOS DIÁRIOS'!$O$5:$O$500,"&lt;=114099",'LANÇAMENTOS DIÁRIOS'!$P$5:$P$500,"&gt;=114000")&gt;0,"X","")</f>
      </c>
      <c r="AB33" s="56" t="str">
        <f>IF(COUNTIFS('LANÇAMENTOS DIÁRIOS'!$G$5:$G$500,"F",'LANÇAMENTOS DIÁRIOS'!$C$5:$C$500,$A33,'LANÇAMENTOS DIÁRIOS'!$O$5:$O$500,"&lt;=114199",'LANÇAMENTOS DIÁRIOS'!$P$5:$P$500,"&gt;=114100")&gt;0,"X","")</f>
      </c>
      <c r="AC33" s="56" t="str">
        <f>IF(COUNTIFS('LANÇAMENTOS DIÁRIOS'!$G$5:$G$500,"F",'LANÇAMENTOS DIÁRIOS'!$C$5:$C$500,$A33,'LANÇAMENTOS DIÁRIOS'!$O$5:$O$500,"&lt;=114299",'LANÇAMENTOS DIÁRIOS'!$P$5:$P$500,"&gt;=114200")&gt;0,"X","")</f>
      </c>
      <c r="AD33" s="56" t="str">
        <f>IF(COUNTIFS('LANÇAMENTOS DIÁRIOS'!$G$5:$G$500,"F",'LANÇAMENTOS DIÁRIOS'!$C$5:$C$500,$A33,'LANÇAMENTOS DIÁRIOS'!$O$5:$O$500,"&lt;=114399",'LANÇAMENTOS DIÁRIOS'!$P$5:$P$500,"&gt;=114300")&gt;0,"X","")</f>
      </c>
      <c r="AE33" s="56" t="str">
        <f>IF(COUNTIFS('LANÇAMENTOS DIÁRIOS'!$G$5:$G$500,"F",'LANÇAMENTOS DIÁRIOS'!$C$5:$C$500,$A33,'LANÇAMENTOS DIÁRIOS'!$O$5:$O$500,"&lt;=114499",'LANÇAMENTOS DIÁRIOS'!$P$5:$P$500,"&gt;=114400")&gt;0,"X","")</f>
      </c>
      <c r="AF33" s="56" t="str">
        <f>IF(COUNTIFS('LANÇAMENTOS DIÁRIOS'!$G$5:$G$500,"F",'LANÇAMENTOS DIÁRIOS'!$C$5:$C$500,$A33,'LANÇAMENTOS DIÁRIOS'!$O$5:$O$500,"&lt;=114599",'LANÇAMENTOS DIÁRIOS'!$P$5:$P$500,"&gt;=114500")&gt;0,"X","")</f>
      </c>
      <c r="AG33" s="56" t="str">
        <f>IF(COUNTIFS('LANÇAMENTOS DIÁRIOS'!$G$5:$G$500,"F",'LANÇAMENTOS DIÁRIOS'!$C$5:$C$500,$A33,'LANÇAMENTOS DIÁRIOS'!$O$5:$O$500,"&lt;=114699",'LANÇAMENTOS DIÁRIOS'!$P$5:$P$500,"&gt;=114600")&gt;0,"X","")</f>
      </c>
      <c r="AH33" s="56" t="str">
        <f>IF(COUNTIFS('LANÇAMENTOS DIÁRIOS'!$G$5:$G$500,"F",'LANÇAMENTOS DIÁRIOS'!$C$5:$C$500,$A33,'LANÇAMENTOS DIÁRIOS'!$O$5:$O$500,"&lt;=114799",'LANÇAMENTOS DIÁRIOS'!$P$5:$P$500,"&gt;=114700")&gt;0,"X","")</f>
      </c>
      <c r="AI33" s="56" t="str">
        <f>IF(COUNTIFS('LANÇAMENTOS DIÁRIOS'!$G$5:$G$500,"F",'LANÇAMENTOS DIÁRIOS'!$C$5:$C$500,$A33,'LANÇAMENTOS DIÁRIOS'!$O$5:$O$500,"&lt;=114899",'LANÇAMENTOS DIÁRIOS'!$P$5:$P$500,"&gt;=114800")&gt;0,"X","")</f>
      </c>
      <c r="AJ33" s="56" t="str">
        <f>IF(COUNTIFS('LANÇAMENTOS DIÁRIOS'!$G$5:$G$500,"F",'LANÇAMENTOS DIÁRIOS'!$C$5:$C$500,$A33,'LANÇAMENTOS DIÁRIOS'!$O$5:$O$500,"&lt;=114999",'LANÇAMENTOS DIÁRIOS'!$P$5:$P$500,"&gt;=114900")&gt;0,"X","")</f>
      </c>
      <c r="AK33" s="56" t="str">
        <f>IF(COUNTIFS('LANÇAMENTOS DIÁRIOS'!$G$5:$G$500,"F",'LANÇAMENTOS DIÁRIOS'!$C$5:$C$500,$A33,'LANÇAMENTOS DIÁRIOS'!$O$5:$O$500,"&lt;=115099",'LANÇAMENTOS DIÁRIOS'!$P$5:$P$500,"&gt;=115000")&gt;0,"X","")</f>
      </c>
      <c r="AL33" s="56" t="str">
        <f>IF(COUNTIFS('LANÇAMENTOS DIÁRIOS'!$G$5:$G$500,"F",'LANÇAMENTOS DIÁRIOS'!$C$5:$C$500,$A33,'LANÇAMENTOS DIÁRIOS'!$O$5:$O$500,"&lt;=115199",'LANÇAMENTOS DIÁRIOS'!$P$5:$P$500,"&gt;=115100")&gt;0,"X","")</f>
      </c>
      <c r="AM33" s="56" t="str">
        <f>IF(COUNTIFS('LANÇAMENTOS DIÁRIOS'!$G$5:$G$500,"F",'LANÇAMENTOS DIÁRIOS'!$C$5:$C$500,$A33,'LANÇAMENTOS DIÁRIOS'!$O$5:$O$500,"&lt;=115299",'LANÇAMENTOS DIÁRIOS'!$P$5:$P$500,"&gt;=115200")&gt;0,"X","")</f>
      </c>
      <c r="AN33" s="56" t="str">
        <f>IF(COUNTIFS('LANÇAMENTOS DIÁRIOS'!$G$5:$G$500,"F",'LANÇAMENTOS DIÁRIOS'!$C$5:$C$500,$A33,'LANÇAMENTOS DIÁRIOS'!$O$5:$O$500,"&lt;=115399",'LANÇAMENTOS DIÁRIOS'!$P$5:$P$500,"&gt;=115300")&gt;0,"X","")</f>
      </c>
      <c r="AO33" s="56" t="str">
        <f>IF(COUNTIFS('LANÇAMENTOS DIÁRIOS'!$G$5:$G$500,"F",'LANÇAMENTOS DIÁRIOS'!$C$5:$C$500,$A33,'LANÇAMENTOS DIÁRIOS'!$O$5:$O$500,"&lt;=115499",'LANÇAMENTOS DIÁRIOS'!$P$5:$P$500,"&gt;=115400")&gt;0,"X","")</f>
      </c>
      <c r="AP33" s="56" t="str">
        <f>IF(COUNTIFS('LANÇAMENTOS DIÁRIOS'!$G$5:$G$500,"F",'LANÇAMENTOS DIÁRIOS'!$C$5:$C$500,$A33,'LANÇAMENTOS DIÁRIOS'!$O$5:$O$500,"&lt;=115599",'LANÇAMENTOS DIÁRIOS'!$P$5:$P$500,"&gt;=115500")&gt;0,"X","")</f>
      </c>
      <c r="AQ33" s="56" t="str">
        <f>IF(COUNTIFS('LANÇAMENTOS DIÁRIOS'!$G$5:$G$500,"F",'LANÇAMENTOS DIÁRIOS'!$C$5:$C$500,$A33,'LANÇAMENTOS DIÁRIOS'!$O$5:$O$500,"&lt;=115699",'LANÇAMENTOS DIÁRIOS'!$P$5:$P$500,"&gt;=115600")&gt;0,"X","")</f>
      </c>
      <c r="AR33" s="56" t="str">
        <f>IF(COUNTIFS('LANÇAMENTOS DIÁRIOS'!$G$5:$G$500,"F",'LANÇAMENTOS DIÁRIOS'!$C$5:$C$500,$A33,'LANÇAMENTOS DIÁRIOS'!$O$5:$O$500,"&lt;=115799",'LANÇAMENTOS DIÁRIOS'!$P$5:$P$500,"&gt;=115700")&gt;0,"X","")</f>
      </c>
      <c r="AS33" s="56" t="str">
        <f>IF(COUNTIFS('LANÇAMENTOS DIÁRIOS'!$G$5:$G$500,"F",'LANÇAMENTOS DIÁRIOS'!$C$5:$C$500,$A33,'LANÇAMENTOS DIÁRIOS'!$O$5:$O$500,"&lt;=115899",'LANÇAMENTOS DIÁRIOS'!$P$5:$P$500,"&gt;=115800")&gt;0,"X","")</f>
      </c>
      <c r="AT33" s="56" t="str">
        <f>IF(COUNTIFS('LANÇAMENTOS DIÁRIOS'!$G$5:$G$500,"F",'LANÇAMENTOS DIÁRIOS'!$C$5:$C$500,$A33,'LANÇAMENTOS DIÁRIOS'!$O$5:$O$500,"&lt;=115999",'LANÇAMENTOS DIÁRIOS'!$P$5:$P$500,"&gt;=115900")&gt;0,"X","")</f>
      </c>
      <c r="AU33" s="56" t="str">
        <f>IF(COUNTIFS('LANÇAMENTOS DIÁRIOS'!$G$5:$G$500,"F",'LANÇAMENTOS DIÁRIOS'!$C$5:$C$500,$A33,'LANÇAMENTOS DIÁRIOS'!$O$5:$O$500,"&lt;=116099",'LANÇAMENTOS DIÁRIOS'!$P$5:$P$500,"&gt;=116000")&gt;0,"X","")</f>
      </c>
      <c r="AV33" s="56" t="str">
        <f>IF(COUNTIFS('LANÇAMENTOS DIÁRIOS'!$G$5:$G$500,"F",'LANÇAMENTOS DIÁRIOS'!$C$5:$C$500,$A33,'LANÇAMENTOS DIÁRIOS'!$O$5:$O$500,"&lt;=116199",'LANÇAMENTOS DIÁRIOS'!$P$5:$P$500,"&gt;=116100")&gt;0,"X","")</f>
      </c>
      <c r="AW33" s="56" t="str">
        <f>IF(COUNTIFS('LANÇAMENTOS DIÁRIOS'!$G$5:$G$500,"F",'LANÇAMENTOS DIÁRIOS'!$C$5:$C$500,$A33,'LANÇAMENTOS DIÁRIOS'!$O$5:$O$500,"&lt;=116299",'LANÇAMENTOS DIÁRIOS'!$P$5:$P$500,"&gt;=116200")&gt;0,"X","")</f>
      </c>
      <c r="AX33" s="56" t="str">
        <f>IF(COUNTIFS('LANÇAMENTOS DIÁRIOS'!$G$5:$G$500,"F",'LANÇAMENTOS DIÁRIOS'!$C$5:$C$500,$A33,'LANÇAMENTOS DIÁRIOS'!$O$5:$O$500,"&lt;=116399",'LANÇAMENTOS DIÁRIOS'!$P$5:$P$500,"&gt;=116300")&gt;0,"X","")</f>
      </c>
      <c r="AY33" s="56" t="str">
        <f>IF(COUNTIFS('LANÇAMENTOS DIÁRIOS'!$G$5:$G$500,"F",'LANÇAMENTOS DIÁRIOS'!$C$5:$C$500,$A33,'LANÇAMENTOS DIÁRIOS'!$O$5:$O$500,"&lt;=116499",'LANÇAMENTOS DIÁRIOS'!$P$5:$P$500,"&gt;=116400")&gt;0,"X","")</f>
      </c>
      <c r="AZ33" s="56" t="str">
        <f>IF(COUNTIFS('LANÇAMENTOS DIÁRIOS'!$G$5:$G$500,"F",'LANÇAMENTOS DIÁRIOS'!$C$5:$C$500,$A33,'LANÇAMENTOS DIÁRIOS'!$O$5:$O$500,"&lt;=116599",'LANÇAMENTOS DIÁRIOS'!$P$5:$P$500,"&gt;=116500")&gt;0,"X","")</f>
      </c>
      <c r="BA33" s="56" t="str">
        <f>IF(COUNTIFS('LANÇAMENTOS DIÁRIOS'!$G$5:$G$500,"F",'LANÇAMENTOS DIÁRIOS'!$C$5:$C$500,$A33,'LANÇAMENTOS DIÁRIOS'!$O$5:$O$500,"&lt;=116699",'LANÇAMENTOS DIÁRIOS'!$P$5:$P$500,"&gt;=116600")&gt;0,"X","")</f>
      </c>
      <c r="BB33" s="56" t="str">
        <f>IF(COUNTIFS('LANÇAMENTOS DIÁRIOS'!$G$5:$G$500,"F",'LANÇAMENTOS DIÁRIOS'!$C$5:$C$500,$A33,'LANÇAMENTOS DIÁRIOS'!$O$5:$O$500,"&lt;=116799",'LANÇAMENTOS DIÁRIOS'!$P$5:$P$500,"&gt;=116700")&gt;0,"X","")</f>
      </c>
      <c r="BC33" s="56" t="str">
        <f>IF(COUNTIFS('LANÇAMENTOS DIÁRIOS'!$G$5:$G$500,"F",'LANÇAMENTOS DIÁRIOS'!$C$5:$C$500,$A33,'LANÇAMENTOS DIÁRIOS'!$O$5:$O$500,"&lt;=116899",'LANÇAMENTOS DIÁRIOS'!$P$5:$P$500,"&gt;=116800")&gt;0,"X","")</f>
      </c>
      <c r="BD33" s="56" t="str">
        <f>IF(COUNTIFS('LANÇAMENTOS DIÁRIOS'!$G$5:$G$500,"F",'LANÇAMENTOS DIÁRIOS'!$C$5:$C$500,$A33,'LANÇAMENTOS DIÁRIOS'!$O$5:$O$500,"&lt;=116999",'LANÇAMENTOS DIÁRIOS'!$P$5:$P$500,"&gt;=116900")&gt;0,"X","")</f>
      </c>
      <c r="BE33" s="56" t="str">
        <f>IF(COUNTIFS('LANÇAMENTOS DIÁRIOS'!$G$5:$G$500,"F",'LANÇAMENTOS DIÁRIOS'!$C$5:$C$500,$A33,'LANÇAMENTOS DIÁRIOS'!$O$5:$O$500,"&lt;=117099",'LANÇAMENTOS DIÁRIOS'!$P$5:$P$500,"&gt;=117000")&gt;0,"X","")</f>
      </c>
      <c r="BF33" s="56" t="str">
        <f>IF(COUNTIFS('LANÇAMENTOS DIÁRIOS'!$G$5:$G$500,"F",'LANÇAMENTOS DIÁRIOS'!$C$5:$C$500,$A33,'LANÇAMENTOS DIÁRIOS'!$O$5:$O$500,"&lt;=117199",'LANÇAMENTOS DIÁRIOS'!$P$5:$P$500,"&gt;=117100")&gt;0,"X","")</f>
      </c>
      <c r="BG33" s="56" t="str">
        <f>IF(COUNTIFS('LANÇAMENTOS DIÁRIOS'!$G$5:$G$500,"F",'LANÇAMENTOS DIÁRIOS'!$C$5:$C$500,$A33,'LANÇAMENTOS DIÁRIOS'!$O$5:$O$500,"&lt;=117219",'LANÇAMENTOS DIÁRIOS'!$P$5:$P$500,"&gt;=117200")&gt;0,"X","")</f>
      </c>
      <c r="BH33" s="56" t="str">
        <f>IF(COUNTIFS('LANÇAMENTOS DIÁRIOS'!$G$5:$G$500,"F",'LANÇAMENTOS DIÁRIOS'!$C$5:$C$500,$A33,'LANÇAMENTOS DIÁRIOS'!$O$5:$O$500,"&lt;=117220",'LANÇAMENTOS DIÁRIOS'!$P$5:$P$500,"&gt;=117220")&gt;0,"X","")</f>
      </c>
    </row>
    <row r="34">
      <c r="A34" s="51" t="str">
        <v>Derrubada e destocamento.arv. c/ diâmetro 60&lt;&gt;70cm, com limpeza da área</v>
      </c>
      <c r="B34" s="56" t="str">
        <f>IF(COUNTIFS('LANÇAMENTOS DIÁRIOS'!$G$5:$G$500,"F",'LANÇAMENTOS DIÁRIOS'!$C$5:$C$500,$A34,'LANÇAMENTOS DIÁRIOS'!$O$5:$O$500,"&lt;=111599",'LANÇAMENTOS DIÁRIOS'!$P$5:$P$500,"&gt;=111500")&gt;0,"X","")</f>
      </c>
      <c r="C34" s="56" t="str">
        <f>IF(COUNTIFS('LANÇAMENTOS DIÁRIOS'!$G$5:$G$500,"F",'LANÇAMENTOS DIÁRIOS'!$C$5:$C$500,$A34,'LANÇAMENTOS DIÁRIOS'!$O$5:$O$500,"&lt;=111699",'LANÇAMENTOS DIÁRIOS'!$P$5:$P$500,"&gt;=111600")&gt;0,"X","")</f>
      </c>
      <c r="D34" s="56" t="str">
        <f>IF(COUNTIFS('LANÇAMENTOS DIÁRIOS'!$G$5:$G$500,"F",'LANÇAMENTOS DIÁRIOS'!$C$5:$C$500,$A34,'LANÇAMENTOS DIÁRIOS'!$O$5:$O$500,"&lt;=111799",'LANÇAMENTOS DIÁRIOS'!$P$5:$P$500,"&gt;=111700")&gt;0,"X","")</f>
      </c>
      <c r="E34" s="56" t="str">
        <f>IF(COUNTIFS('LANÇAMENTOS DIÁRIOS'!$G$5:$G$500,"F",'LANÇAMENTOS DIÁRIOS'!$C$5:$C$500,$A34,'LANÇAMENTOS DIÁRIOS'!$O$5:$O$500,"&lt;=111899",'LANÇAMENTOS DIÁRIOS'!$P$5:$P$500,"&gt;=111800")&gt;0,"X","")</f>
      </c>
      <c r="F34" s="56" t="str">
        <f>IF(COUNTIFS('LANÇAMENTOS DIÁRIOS'!$G$5:$G$500,"F",'LANÇAMENTOS DIÁRIOS'!$C$5:$C$500,$A34,'LANÇAMENTOS DIÁRIOS'!$O$5:$O$500,"&lt;=111999",'LANÇAMENTOS DIÁRIOS'!$P$5:$P$500,"&gt;=111900")&gt;0,"X","")</f>
      </c>
      <c r="G34" s="56" t="str">
        <f>IF(COUNTIFS('LANÇAMENTOS DIÁRIOS'!$G$5:$G$500,"F",'LANÇAMENTOS DIÁRIOS'!$C$5:$C$500,$A34,'LANÇAMENTOS DIÁRIOS'!$O$5:$O$500,"&lt;=112099",'LANÇAMENTOS DIÁRIOS'!$P$5:$P$500,"&gt;=112000")&gt;0,"X","")</f>
      </c>
      <c r="H34" s="56" t="str">
        <f>IF(COUNTIFS('LANÇAMENTOS DIÁRIOS'!$G$5:$G$500,"F",'LANÇAMENTOS DIÁRIOS'!$C$5:$C$500,$A34,'LANÇAMENTOS DIÁRIOS'!$O$5:$O$500,"&lt;=112199",'LANÇAMENTOS DIÁRIOS'!$P$5:$P$500,"&gt;=112100")&gt;0,"X","")</f>
      </c>
      <c r="I34" s="56" t="str">
        <f>IF(COUNTIFS('LANÇAMENTOS DIÁRIOS'!$G$5:$G$500,"F",'LANÇAMENTOS DIÁRIOS'!$C$5:$C$500,$A34,'LANÇAMENTOS DIÁRIOS'!$O$5:$O$500,"&lt;=112299",'LANÇAMENTOS DIÁRIOS'!$P$5:$P$500,"&gt;=112200")&gt;0,"X","")</f>
      </c>
      <c r="J34" s="56" t="str">
        <f>IF(COUNTIFS('LANÇAMENTOS DIÁRIOS'!$G$5:$G$500,"F",'LANÇAMENTOS DIÁRIOS'!$C$5:$C$500,$A34,'LANÇAMENTOS DIÁRIOS'!$O$5:$O$500,"&lt;=112399",'LANÇAMENTOS DIÁRIOS'!$P$5:$P$500,"&gt;=112300")&gt;0,"X","")</f>
      </c>
      <c r="K34" s="56" t="str">
        <f>IF(COUNTIFS('LANÇAMENTOS DIÁRIOS'!$G$5:$G$500,"F",'LANÇAMENTOS DIÁRIOS'!$C$5:$C$500,$A34,'LANÇAMENTOS DIÁRIOS'!$O$5:$O$500,"&lt;=112499",'LANÇAMENTOS DIÁRIOS'!$P$5:$P$500,"&gt;=112400")&gt;0,"X","")</f>
      </c>
      <c r="L34" s="56" t="str">
        <f>IF(COUNTIFS('LANÇAMENTOS DIÁRIOS'!$G$5:$G$500,"F",'LANÇAMENTOS DIÁRIOS'!$C$5:$C$500,$A34,'LANÇAMENTOS DIÁRIOS'!$O$5:$O$500,"&lt;=112599",'LANÇAMENTOS DIÁRIOS'!$P$5:$P$500,"&gt;=112500")&gt;0,"X","")</f>
      </c>
      <c r="M34" s="56" t="str">
        <f>IF(COUNTIFS('LANÇAMENTOS DIÁRIOS'!$G$5:$G$500,"F",'LANÇAMENTOS DIÁRIOS'!$C$5:$C$500,$A34,'LANÇAMENTOS DIÁRIOS'!$O$5:$O$500,"&lt;=112699",'LANÇAMENTOS DIÁRIOS'!$P$5:$P$500,"&gt;=112600")&gt;0,"X","")</f>
      </c>
      <c r="N34" s="56" t="str">
        <f>IF(COUNTIFS('LANÇAMENTOS DIÁRIOS'!$G$5:$G$500,"F",'LANÇAMENTOS DIÁRIOS'!$C$5:$C$500,$A34,'LANÇAMENTOS DIÁRIOS'!$O$5:$O$500,"&lt;=112799",'LANÇAMENTOS DIÁRIOS'!$P$5:$P$500,"&gt;=112700")&gt;0,"X","")</f>
      </c>
      <c r="O34" s="56" t="str">
        <f>IF(COUNTIFS('LANÇAMENTOS DIÁRIOS'!$G$5:$G$500,"F",'LANÇAMENTOS DIÁRIOS'!$C$5:$C$500,$A34,'LANÇAMENTOS DIÁRIOS'!$O$5:$O$500,"&lt;=112899",'LANÇAMENTOS DIÁRIOS'!$P$5:$P$500,"&gt;=112800")&gt;0,"X","")</f>
      </c>
      <c r="P34" s="56" t="str">
        <f>IF(COUNTIFS('LANÇAMENTOS DIÁRIOS'!$G$5:$G$500,"F",'LANÇAMENTOS DIÁRIOS'!$C$5:$C$500,$A34,'LANÇAMENTOS DIÁRIOS'!$O$5:$O$500,"&lt;=112999",'LANÇAMENTOS DIÁRIOS'!$P$5:$P$500,"&gt;=112900")&gt;0,"X","")</f>
      </c>
      <c r="Q34" s="56" t="str">
        <f>IF(COUNTIFS('LANÇAMENTOS DIÁRIOS'!$G$5:$G$500,"F",'LANÇAMENTOS DIÁRIOS'!$C$5:$C$500,$A34,'LANÇAMENTOS DIÁRIOS'!$O$5:$O$500,"&lt;=113099",'LANÇAMENTOS DIÁRIOS'!$P$5:$P$500,"&gt;=113000")&gt;0,"X","")</f>
      </c>
      <c r="R34" s="56" t="str">
        <f>IF(COUNTIFS('LANÇAMENTOS DIÁRIOS'!$G$5:$G$500,"F",'LANÇAMENTOS DIÁRIOS'!$C$5:$C$500,$A34,'LANÇAMENTOS DIÁRIOS'!$O$5:$O$500,"&lt;=113199",'LANÇAMENTOS DIÁRIOS'!$P$5:$P$500,"&gt;=113100")&gt;0,"X","")</f>
      </c>
      <c r="S34" s="56" t="str">
        <f>IF(COUNTIFS('LANÇAMENTOS DIÁRIOS'!$G$5:$G$500,"F",'LANÇAMENTOS DIÁRIOS'!$C$5:$C$500,$A34,'LANÇAMENTOS DIÁRIOS'!$O$5:$O$500,"&lt;=113299",'LANÇAMENTOS DIÁRIOS'!$P$5:$P$500,"&gt;=113200")&gt;0,"X","")</f>
      </c>
      <c r="T34" s="56" t="str">
        <f>IF(COUNTIFS('LANÇAMENTOS DIÁRIOS'!$G$5:$G$500,"F",'LANÇAMENTOS DIÁRIOS'!$C$5:$C$500,$A34,'LANÇAMENTOS DIÁRIOS'!$O$5:$O$500,"&lt;=113399",'LANÇAMENTOS DIÁRIOS'!$P$5:$P$500,"&gt;=113300")&gt;0,"X","")</f>
      </c>
      <c r="U34" s="56" t="str">
        <f>IF(COUNTIFS('LANÇAMENTOS DIÁRIOS'!$G$5:$G$500,"F",'LANÇAMENTOS DIÁRIOS'!$C$5:$C$500,$A34,'LANÇAMENTOS DIÁRIOS'!$O$5:$O$500,"&lt;=113499",'LANÇAMENTOS DIÁRIOS'!$P$5:$P$500,"&gt;=113400")&gt;0,"X","")</f>
      </c>
      <c r="V34" s="56" t="str">
        <f>IF(COUNTIFS('LANÇAMENTOS DIÁRIOS'!$G$5:$G$500,"F",'LANÇAMENTOS DIÁRIOS'!$C$5:$C$500,$A34,'LANÇAMENTOS DIÁRIOS'!$O$5:$O$500,"&lt;=113599",'LANÇAMENTOS DIÁRIOS'!$P$5:$P$500,"&gt;=113500")&gt;0,"X","")</f>
      </c>
      <c r="W34" s="56" t="str">
        <f>IF(COUNTIFS('LANÇAMENTOS DIÁRIOS'!$G$5:$G$500,"F",'LANÇAMENTOS DIÁRIOS'!$C$5:$C$500,$A34,'LANÇAMENTOS DIÁRIOS'!$O$5:$O$500,"&lt;=113699",'LANÇAMENTOS DIÁRIOS'!$P$5:$P$500,"&gt;=113600")&gt;0,"X","")</f>
      </c>
      <c r="X34" s="56" t="str">
        <f>IF(COUNTIFS('LANÇAMENTOS DIÁRIOS'!$G$5:$G$500,"F",'LANÇAMENTOS DIÁRIOS'!$C$5:$C$500,$A34,'LANÇAMENTOS DIÁRIOS'!$O$5:$O$500,"&lt;=113799",'LANÇAMENTOS DIÁRIOS'!$P$5:$P$500,"&gt;=113700")&gt;0,"X","")</f>
      </c>
      <c r="Y34" s="56" t="str">
        <f>IF(COUNTIFS('LANÇAMENTOS DIÁRIOS'!$G$5:$G$500,"F",'LANÇAMENTOS DIÁRIOS'!$C$5:$C$500,$A34,'LANÇAMENTOS DIÁRIOS'!$O$5:$O$500,"&lt;=113899",'LANÇAMENTOS DIÁRIOS'!$P$5:$P$500,"&gt;=113800")&gt;0,"X","")</f>
      </c>
      <c r="Z34" s="56" t="str">
        <f>IF(COUNTIFS('LANÇAMENTOS DIÁRIOS'!$G$5:$G$500,"F",'LANÇAMENTOS DIÁRIOS'!$C$5:$C$500,$A34,'LANÇAMENTOS DIÁRIOS'!$O$5:$O$500,"&lt;=113999",'LANÇAMENTOS DIÁRIOS'!$P$5:$P$500,"&gt;=113900")&gt;0,"X","")</f>
      </c>
      <c r="AA34" s="56" t="str">
        <f>IF(COUNTIFS('LANÇAMENTOS DIÁRIOS'!$G$5:$G$500,"F",'LANÇAMENTOS DIÁRIOS'!$C$5:$C$500,$A34,'LANÇAMENTOS DIÁRIOS'!$O$5:$O$500,"&lt;=114099",'LANÇAMENTOS DIÁRIOS'!$P$5:$P$500,"&gt;=114000")&gt;0,"X","")</f>
      </c>
      <c r="AB34" s="56" t="str">
        <f>IF(COUNTIFS('LANÇAMENTOS DIÁRIOS'!$G$5:$G$500,"F",'LANÇAMENTOS DIÁRIOS'!$C$5:$C$500,$A34,'LANÇAMENTOS DIÁRIOS'!$O$5:$O$500,"&lt;=114199",'LANÇAMENTOS DIÁRIOS'!$P$5:$P$500,"&gt;=114100")&gt;0,"X","")</f>
      </c>
      <c r="AC34" s="56" t="str">
        <f>IF(COUNTIFS('LANÇAMENTOS DIÁRIOS'!$G$5:$G$500,"F",'LANÇAMENTOS DIÁRIOS'!$C$5:$C$500,$A34,'LANÇAMENTOS DIÁRIOS'!$O$5:$O$500,"&lt;=114299",'LANÇAMENTOS DIÁRIOS'!$P$5:$P$500,"&gt;=114200")&gt;0,"X","")</f>
      </c>
      <c r="AD34" s="56" t="str">
        <f>IF(COUNTIFS('LANÇAMENTOS DIÁRIOS'!$G$5:$G$500,"F",'LANÇAMENTOS DIÁRIOS'!$C$5:$C$500,$A34,'LANÇAMENTOS DIÁRIOS'!$O$5:$O$500,"&lt;=114399",'LANÇAMENTOS DIÁRIOS'!$P$5:$P$500,"&gt;=114300")&gt;0,"X","")</f>
      </c>
      <c r="AE34" s="56" t="str">
        <f>IF(COUNTIFS('LANÇAMENTOS DIÁRIOS'!$G$5:$G$500,"F",'LANÇAMENTOS DIÁRIOS'!$C$5:$C$500,$A34,'LANÇAMENTOS DIÁRIOS'!$O$5:$O$500,"&lt;=114499",'LANÇAMENTOS DIÁRIOS'!$P$5:$P$500,"&gt;=114400")&gt;0,"X","")</f>
      </c>
      <c r="AF34" s="56" t="str">
        <f>IF(COUNTIFS('LANÇAMENTOS DIÁRIOS'!$G$5:$G$500,"F",'LANÇAMENTOS DIÁRIOS'!$C$5:$C$500,$A34,'LANÇAMENTOS DIÁRIOS'!$O$5:$O$500,"&lt;=114599",'LANÇAMENTOS DIÁRIOS'!$P$5:$P$500,"&gt;=114500")&gt;0,"X","")</f>
      </c>
      <c r="AG34" s="56" t="str">
        <f>IF(COUNTIFS('LANÇAMENTOS DIÁRIOS'!$G$5:$G$500,"F",'LANÇAMENTOS DIÁRIOS'!$C$5:$C$500,$A34,'LANÇAMENTOS DIÁRIOS'!$O$5:$O$500,"&lt;=114699",'LANÇAMENTOS DIÁRIOS'!$P$5:$P$500,"&gt;=114600")&gt;0,"X","")</f>
      </c>
      <c r="AH34" s="56" t="str">
        <f>IF(COUNTIFS('LANÇAMENTOS DIÁRIOS'!$G$5:$G$500,"F",'LANÇAMENTOS DIÁRIOS'!$C$5:$C$500,$A34,'LANÇAMENTOS DIÁRIOS'!$O$5:$O$500,"&lt;=114799",'LANÇAMENTOS DIÁRIOS'!$P$5:$P$500,"&gt;=114700")&gt;0,"X","")</f>
      </c>
      <c r="AI34" s="56" t="str">
        <f>IF(COUNTIFS('LANÇAMENTOS DIÁRIOS'!$G$5:$G$500,"F",'LANÇAMENTOS DIÁRIOS'!$C$5:$C$500,$A34,'LANÇAMENTOS DIÁRIOS'!$O$5:$O$500,"&lt;=114899",'LANÇAMENTOS DIÁRIOS'!$P$5:$P$500,"&gt;=114800")&gt;0,"X","")</f>
      </c>
      <c r="AJ34" s="56" t="str">
        <f>IF(COUNTIFS('LANÇAMENTOS DIÁRIOS'!$G$5:$G$500,"F",'LANÇAMENTOS DIÁRIOS'!$C$5:$C$500,$A34,'LANÇAMENTOS DIÁRIOS'!$O$5:$O$500,"&lt;=114999",'LANÇAMENTOS DIÁRIOS'!$P$5:$P$500,"&gt;=114900")&gt;0,"X","")</f>
      </c>
      <c r="AK34" s="56" t="str">
        <f>IF(COUNTIFS('LANÇAMENTOS DIÁRIOS'!$G$5:$G$500,"F",'LANÇAMENTOS DIÁRIOS'!$C$5:$C$500,$A34,'LANÇAMENTOS DIÁRIOS'!$O$5:$O$500,"&lt;=115099",'LANÇAMENTOS DIÁRIOS'!$P$5:$P$500,"&gt;=115000")&gt;0,"X","")</f>
      </c>
      <c r="AL34" s="56" t="str">
        <f>IF(COUNTIFS('LANÇAMENTOS DIÁRIOS'!$G$5:$G$500,"F",'LANÇAMENTOS DIÁRIOS'!$C$5:$C$500,$A34,'LANÇAMENTOS DIÁRIOS'!$O$5:$O$500,"&lt;=115199",'LANÇAMENTOS DIÁRIOS'!$P$5:$P$500,"&gt;=115100")&gt;0,"X","")</f>
      </c>
      <c r="AM34" s="56" t="str">
        <f>IF(COUNTIFS('LANÇAMENTOS DIÁRIOS'!$G$5:$G$500,"F",'LANÇAMENTOS DIÁRIOS'!$C$5:$C$500,$A34,'LANÇAMENTOS DIÁRIOS'!$O$5:$O$500,"&lt;=115299",'LANÇAMENTOS DIÁRIOS'!$P$5:$P$500,"&gt;=115200")&gt;0,"X","")</f>
      </c>
      <c r="AN34" s="56" t="str">
        <f>IF(COUNTIFS('LANÇAMENTOS DIÁRIOS'!$G$5:$G$500,"F",'LANÇAMENTOS DIÁRIOS'!$C$5:$C$500,$A34,'LANÇAMENTOS DIÁRIOS'!$O$5:$O$500,"&lt;=115399",'LANÇAMENTOS DIÁRIOS'!$P$5:$P$500,"&gt;=115300")&gt;0,"X","")</f>
      </c>
      <c r="AO34" s="56" t="str">
        <f>IF(COUNTIFS('LANÇAMENTOS DIÁRIOS'!$G$5:$G$500,"F",'LANÇAMENTOS DIÁRIOS'!$C$5:$C$500,$A34,'LANÇAMENTOS DIÁRIOS'!$O$5:$O$500,"&lt;=115499",'LANÇAMENTOS DIÁRIOS'!$P$5:$P$500,"&gt;=115400")&gt;0,"X","")</f>
      </c>
      <c r="AP34" s="56" t="str">
        <f>IF(COUNTIFS('LANÇAMENTOS DIÁRIOS'!$G$5:$G$500,"F",'LANÇAMENTOS DIÁRIOS'!$C$5:$C$500,$A34,'LANÇAMENTOS DIÁRIOS'!$O$5:$O$500,"&lt;=115599",'LANÇAMENTOS DIÁRIOS'!$P$5:$P$500,"&gt;=115500")&gt;0,"X","")</f>
      </c>
      <c r="AQ34" s="56" t="str">
        <f>IF(COUNTIFS('LANÇAMENTOS DIÁRIOS'!$G$5:$G$500,"F",'LANÇAMENTOS DIÁRIOS'!$C$5:$C$500,$A34,'LANÇAMENTOS DIÁRIOS'!$O$5:$O$500,"&lt;=115699",'LANÇAMENTOS DIÁRIOS'!$P$5:$P$500,"&gt;=115600")&gt;0,"X","")</f>
      </c>
      <c r="AR34" s="56" t="str">
        <f>IF(COUNTIFS('LANÇAMENTOS DIÁRIOS'!$G$5:$G$500,"F",'LANÇAMENTOS DIÁRIOS'!$C$5:$C$500,$A34,'LANÇAMENTOS DIÁRIOS'!$O$5:$O$500,"&lt;=115799",'LANÇAMENTOS DIÁRIOS'!$P$5:$P$500,"&gt;=115700")&gt;0,"X","")</f>
      </c>
      <c r="AS34" s="56" t="str">
        <f>IF(COUNTIFS('LANÇAMENTOS DIÁRIOS'!$G$5:$G$500,"F",'LANÇAMENTOS DIÁRIOS'!$C$5:$C$500,$A34,'LANÇAMENTOS DIÁRIOS'!$O$5:$O$500,"&lt;=115899",'LANÇAMENTOS DIÁRIOS'!$P$5:$P$500,"&gt;=115800")&gt;0,"X","")</f>
      </c>
      <c r="AT34" s="56" t="str">
        <f>IF(COUNTIFS('LANÇAMENTOS DIÁRIOS'!$G$5:$G$500,"F",'LANÇAMENTOS DIÁRIOS'!$C$5:$C$500,$A34,'LANÇAMENTOS DIÁRIOS'!$O$5:$O$500,"&lt;=115999",'LANÇAMENTOS DIÁRIOS'!$P$5:$P$500,"&gt;=115900")&gt;0,"X","")</f>
      </c>
      <c r="AU34" s="56" t="str">
        <f>IF(COUNTIFS('LANÇAMENTOS DIÁRIOS'!$G$5:$G$500,"F",'LANÇAMENTOS DIÁRIOS'!$C$5:$C$500,$A34,'LANÇAMENTOS DIÁRIOS'!$O$5:$O$500,"&lt;=116099",'LANÇAMENTOS DIÁRIOS'!$P$5:$P$500,"&gt;=116000")&gt;0,"X","")</f>
      </c>
      <c r="AV34" s="56" t="str">
        <f>IF(COUNTIFS('LANÇAMENTOS DIÁRIOS'!$G$5:$G$500,"F",'LANÇAMENTOS DIÁRIOS'!$C$5:$C$500,$A34,'LANÇAMENTOS DIÁRIOS'!$O$5:$O$500,"&lt;=116199",'LANÇAMENTOS DIÁRIOS'!$P$5:$P$500,"&gt;=116100")&gt;0,"X","")</f>
      </c>
      <c r="AW34" s="56" t="str">
        <f>IF(COUNTIFS('LANÇAMENTOS DIÁRIOS'!$G$5:$G$500,"F",'LANÇAMENTOS DIÁRIOS'!$C$5:$C$500,$A34,'LANÇAMENTOS DIÁRIOS'!$O$5:$O$500,"&lt;=116299",'LANÇAMENTOS DIÁRIOS'!$P$5:$P$500,"&gt;=116200")&gt;0,"X","")</f>
      </c>
      <c r="AX34" s="56" t="str">
        <f>IF(COUNTIFS('LANÇAMENTOS DIÁRIOS'!$G$5:$G$500,"F",'LANÇAMENTOS DIÁRIOS'!$C$5:$C$500,$A34,'LANÇAMENTOS DIÁRIOS'!$O$5:$O$500,"&lt;=116399",'LANÇAMENTOS DIÁRIOS'!$P$5:$P$500,"&gt;=116300")&gt;0,"X","")</f>
      </c>
      <c r="AY34" s="56" t="str">
        <f>IF(COUNTIFS('LANÇAMENTOS DIÁRIOS'!$G$5:$G$500,"F",'LANÇAMENTOS DIÁRIOS'!$C$5:$C$500,$A34,'LANÇAMENTOS DIÁRIOS'!$O$5:$O$500,"&lt;=116499",'LANÇAMENTOS DIÁRIOS'!$P$5:$P$500,"&gt;=116400")&gt;0,"X","")</f>
      </c>
      <c r="AZ34" s="56" t="str">
        <f>IF(COUNTIFS('LANÇAMENTOS DIÁRIOS'!$G$5:$G$500,"F",'LANÇAMENTOS DIÁRIOS'!$C$5:$C$500,$A34,'LANÇAMENTOS DIÁRIOS'!$O$5:$O$500,"&lt;=116599",'LANÇAMENTOS DIÁRIOS'!$P$5:$P$500,"&gt;=116500")&gt;0,"X","")</f>
      </c>
      <c r="BA34" s="56" t="str">
        <f>IF(COUNTIFS('LANÇAMENTOS DIÁRIOS'!$G$5:$G$500,"F",'LANÇAMENTOS DIÁRIOS'!$C$5:$C$500,$A34,'LANÇAMENTOS DIÁRIOS'!$O$5:$O$500,"&lt;=116699",'LANÇAMENTOS DIÁRIOS'!$P$5:$P$500,"&gt;=116600")&gt;0,"X","")</f>
      </c>
      <c r="BB34" s="56" t="str">
        <f>IF(COUNTIFS('LANÇAMENTOS DIÁRIOS'!$G$5:$G$500,"F",'LANÇAMENTOS DIÁRIOS'!$C$5:$C$500,$A34,'LANÇAMENTOS DIÁRIOS'!$O$5:$O$500,"&lt;=116799",'LANÇAMENTOS DIÁRIOS'!$P$5:$P$500,"&gt;=116700")&gt;0,"X","")</f>
      </c>
      <c r="BC34" s="56" t="str">
        <f>IF(COUNTIFS('LANÇAMENTOS DIÁRIOS'!$G$5:$G$500,"F",'LANÇAMENTOS DIÁRIOS'!$C$5:$C$500,$A34,'LANÇAMENTOS DIÁRIOS'!$O$5:$O$500,"&lt;=116899",'LANÇAMENTOS DIÁRIOS'!$P$5:$P$500,"&gt;=116800")&gt;0,"X","")</f>
      </c>
      <c r="BD34" s="56" t="str">
        <f>IF(COUNTIFS('LANÇAMENTOS DIÁRIOS'!$G$5:$G$500,"F",'LANÇAMENTOS DIÁRIOS'!$C$5:$C$500,$A34,'LANÇAMENTOS DIÁRIOS'!$O$5:$O$500,"&lt;=116999",'LANÇAMENTOS DIÁRIOS'!$P$5:$P$500,"&gt;=116900")&gt;0,"X","")</f>
      </c>
      <c r="BE34" s="56" t="str">
        <f>IF(COUNTIFS('LANÇAMENTOS DIÁRIOS'!$G$5:$G$500,"F",'LANÇAMENTOS DIÁRIOS'!$C$5:$C$500,$A34,'LANÇAMENTOS DIÁRIOS'!$O$5:$O$500,"&lt;=117099",'LANÇAMENTOS DIÁRIOS'!$P$5:$P$500,"&gt;=117000")&gt;0,"X","")</f>
      </c>
      <c r="BF34" s="56" t="str">
        <f>IF(COUNTIFS('LANÇAMENTOS DIÁRIOS'!$G$5:$G$500,"F",'LANÇAMENTOS DIÁRIOS'!$C$5:$C$500,$A34,'LANÇAMENTOS DIÁRIOS'!$O$5:$O$500,"&lt;=117199",'LANÇAMENTOS DIÁRIOS'!$P$5:$P$500,"&gt;=117100")&gt;0,"X","")</f>
      </c>
      <c r="BG34" s="56" t="str">
        <f>IF(COUNTIFS('LANÇAMENTOS DIÁRIOS'!$G$5:$G$500,"F",'LANÇAMENTOS DIÁRIOS'!$C$5:$C$500,$A34,'LANÇAMENTOS DIÁRIOS'!$O$5:$O$500,"&lt;=117219",'LANÇAMENTOS DIÁRIOS'!$P$5:$P$500,"&gt;=117200")&gt;0,"X","")</f>
      </c>
      <c r="BH34" s="56" t="str">
        <f>IF(COUNTIFS('LANÇAMENTOS DIÁRIOS'!$G$5:$G$500,"F",'LANÇAMENTOS DIÁRIOS'!$C$5:$C$500,$A34,'LANÇAMENTOS DIÁRIOS'!$O$5:$O$500,"&lt;=117220",'LANÇAMENTOS DIÁRIOS'!$P$5:$P$500,"&gt;=117220")&gt;0,"X","")</f>
      </c>
    </row>
    <row r="35">
      <c r="A35" s="51" t="str">
        <v>Derrubada e destocamento.arv. c/ diâmetro 70&lt;&gt; 80cm, com limpeza da área</v>
      </c>
      <c r="B35" s="56" t="str">
        <f>IF(COUNTIFS('LANÇAMENTOS DIÁRIOS'!$G$5:$G$500,"F",'LANÇAMENTOS DIÁRIOS'!$C$5:$C$500,$A35,'LANÇAMENTOS DIÁRIOS'!$O$5:$O$500,"&lt;=111599",'LANÇAMENTOS DIÁRIOS'!$P$5:$P$500,"&gt;=111500")&gt;0,"X","")</f>
      </c>
      <c r="C35" s="56" t="str">
        <f>IF(COUNTIFS('LANÇAMENTOS DIÁRIOS'!$G$5:$G$500,"F",'LANÇAMENTOS DIÁRIOS'!$C$5:$C$500,$A35,'LANÇAMENTOS DIÁRIOS'!$O$5:$O$500,"&lt;=111699",'LANÇAMENTOS DIÁRIOS'!$P$5:$P$500,"&gt;=111600")&gt;0,"X","")</f>
      </c>
      <c r="D35" s="56" t="str">
        <f>IF(COUNTIFS('LANÇAMENTOS DIÁRIOS'!$G$5:$G$500,"F",'LANÇAMENTOS DIÁRIOS'!$C$5:$C$500,$A35,'LANÇAMENTOS DIÁRIOS'!$O$5:$O$500,"&lt;=111799",'LANÇAMENTOS DIÁRIOS'!$P$5:$P$500,"&gt;=111700")&gt;0,"X","")</f>
      </c>
      <c r="E35" s="56" t="str">
        <f>IF(COUNTIFS('LANÇAMENTOS DIÁRIOS'!$G$5:$G$500,"F",'LANÇAMENTOS DIÁRIOS'!$C$5:$C$500,$A35,'LANÇAMENTOS DIÁRIOS'!$O$5:$O$500,"&lt;=111899",'LANÇAMENTOS DIÁRIOS'!$P$5:$P$500,"&gt;=111800")&gt;0,"X","")</f>
      </c>
      <c r="F35" s="56" t="str">
        <f>IF(COUNTIFS('LANÇAMENTOS DIÁRIOS'!$G$5:$G$500,"F",'LANÇAMENTOS DIÁRIOS'!$C$5:$C$500,$A35,'LANÇAMENTOS DIÁRIOS'!$O$5:$O$500,"&lt;=111999",'LANÇAMENTOS DIÁRIOS'!$P$5:$P$500,"&gt;=111900")&gt;0,"X","")</f>
      </c>
      <c r="G35" s="56" t="str">
        <f>IF(COUNTIFS('LANÇAMENTOS DIÁRIOS'!$G$5:$G$500,"F",'LANÇAMENTOS DIÁRIOS'!$C$5:$C$500,$A35,'LANÇAMENTOS DIÁRIOS'!$O$5:$O$500,"&lt;=112099",'LANÇAMENTOS DIÁRIOS'!$P$5:$P$500,"&gt;=112000")&gt;0,"X","")</f>
      </c>
      <c r="H35" s="56" t="str">
        <f>IF(COUNTIFS('LANÇAMENTOS DIÁRIOS'!$G$5:$G$500,"F",'LANÇAMENTOS DIÁRIOS'!$C$5:$C$500,$A35,'LANÇAMENTOS DIÁRIOS'!$O$5:$O$500,"&lt;=112199",'LANÇAMENTOS DIÁRIOS'!$P$5:$P$500,"&gt;=112100")&gt;0,"X","")</f>
      </c>
      <c r="I35" s="56" t="str">
        <f>IF(COUNTIFS('LANÇAMENTOS DIÁRIOS'!$G$5:$G$500,"F",'LANÇAMENTOS DIÁRIOS'!$C$5:$C$500,$A35,'LANÇAMENTOS DIÁRIOS'!$O$5:$O$500,"&lt;=112299",'LANÇAMENTOS DIÁRIOS'!$P$5:$P$500,"&gt;=112200")&gt;0,"X","")</f>
      </c>
      <c r="J35" s="56" t="str">
        <f>IF(COUNTIFS('LANÇAMENTOS DIÁRIOS'!$G$5:$G$500,"F",'LANÇAMENTOS DIÁRIOS'!$C$5:$C$500,$A35,'LANÇAMENTOS DIÁRIOS'!$O$5:$O$500,"&lt;=112399",'LANÇAMENTOS DIÁRIOS'!$P$5:$P$500,"&gt;=112300")&gt;0,"X","")</f>
      </c>
      <c r="K35" s="56" t="str">
        <f>IF(COUNTIFS('LANÇAMENTOS DIÁRIOS'!$G$5:$G$500,"F",'LANÇAMENTOS DIÁRIOS'!$C$5:$C$500,$A35,'LANÇAMENTOS DIÁRIOS'!$O$5:$O$500,"&lt;=112499",'LANÇAMENTOS DIÁRIOS'!$P$5:$P$500,"&gt;=112400")&gt;0,"X","")</f>
      </c>
      <c r="L35" s="56" t="str">
        <f>IF(COUNTIFS('LANÇAMENTOS DIÁRIOS'!$G$5:$G$500,"F",'LANÇAMENTOS DIÁRIOS'!$C$5:$C$500,$A35,'LANÇAMENTOS DIÁRIOS'!$O$5:$O$500,"&lt;=112599",'LANÇAMENTOS DIÁRIOS'!$P$5:$P$500,"&gt;=112500")&gt;0,"X","")</f>
      </c>
      <c r="M35" s="56" t="str">
        <f>IF(COUNTIFS('LANÇAMENTOS DIÁRIOS'!$G$5:$G$500,"F",'LANÇAMENTOS DIÁRIOS'!$C$5:$C$500,$A35,'LANÇAMENTOS DIÁRIOS'!$O$5:$O$500,"&lt;=112699",'LANÇAMENTOS DIÁRIOS'!$P$5:$P$500,"&gt;=112600")&gt;0,"X","")</f>
      </c>
      <c r="N35" s="56" t="str">
        <f>IF(COUNTIFS('LANÇAMENTOS DIÁRIOS'!$G$5:$G$500,"F",'LANÇAMENTOS DIÁRIOS'!$C$5:$C$500,$A35,'LANÇAMENTOS DIÁRIOS'!$O$5:$O$500,"&lt;=112799",'LANÇAMENTOS DIÁRIOS'!$P$5:$P$500,"&gt;=112700")&gt;0,"X","")</f>
      </c>
      <c r="O35" s="56" t="str">
        <f>IF(COUNTIFS('LANÇAMENTOS DIÁRIOS'!$G$5:$G$500,"F",'LANÇAMENTOS DIÁRIOS'!$C$5:$C$500,$A35,'LANÇAMENTOS DIÁRIOS'!$O$5:$O$500,"&lt;=112899",'LANÇAMENTOS DIÁRIOS'!$P$5:$P$500,"&gt;=112800")&gt;0,"X","")</f>
      </c>
      <c r="P35" s="56" t="str">
        <f>IF(COUNTIFS('LANÇAMENTOS DIÁRIOS'!$G$5:$G$500,"F",'LANÇAMENTOS DIÁRIOS'!$C$5:$C$500,$A35,'LANÇAMENTOS DIÁRIOS'!$O$5:$O$500,"&lt;=112999",'LANÇAMENTOS DIÁRIOS'!$P$5:$P$500,"&gt;=112900")&gt;0,"X","")</f>
      </c>
      <c r="Q35" s="56" t="str">
        <f>IF(COUNTIFS('LANÇAMENTOS DIÁRIOS'!$G$5:$G$500,"F",'LANÇAMENTOS DIÁRIOS'!$C$5:$C$500,$A35,'LANÇAMENTOS DIÁRIOS'!$O$5:$O$500,"&lt;=113099",'LANÇAMENTOS DIÁRIOS'!$P$5:$P$500,"&gt;=113000")&gt;0,"X","")</f>
      </c>
      <c r="R35" s="56" t="str">
        <f>IF(COUNTIFS('LANÇAMENTOS DIÁRIOS'!$G$5:$G$500,"F",'LANÇAMENTOS DIÁRIOS'!$C$5:$C$500,$A35,'LANÇAMENTOS DIÁRIOS'!$O$5:$O$500,"&lt;=113199",'LANÇAMENTOS DIÁRIOS'!$P$5:$P$500,"&gt;=113100")&gt;0,"X","")</f>
      </c>
      <c r="S35" s="56" t="str">
        <f>IF(COUNTIFS('LANÇAMENTOS DIÁRIOS'!$G$5:$G$500,"F",'LANÇAMENTOS DIÁRIOS'!$C$5:$C$500,$A35,'LANÇAMENTOS DIÁRIOS'!$O$5:$O$500,"&lt;=113299",'LANÇAMENTOS DIÁRIOS'!$P$5:$P$500,"&gt;=113200")&gt;0,"X","")</f>
      </c>
      <c r="T35" s="56" t="str">
        <f>IF(COUNTIFS('LANÇAMENTOS DIÁRIOS'!$G$5:$G$500,"F",'LANÇAMENTOS DIÁRIOS'!$C$5:$C$500,$A35,'LANÇAMENTOS DIÁRIOS'!$O$5:$O$500,"&lt;=113399",'LANÇAMENTOS DIÁRIOS'!$P$5:$P$500,"&gt;=113300")&gt;0,"X","")</f>
      </c>
      <c r="U35" s="56" t="str">
        <f>IF(COUNTIFS('LANÇAMENTOS DIÁRIOS'!$G$5:$G$500,"F",'LANÇAMENTOS DIÁRIOS'!$C$5:$C$500,$A35,'LANÇAMENTOS DIÁRIOS'!$O$5:$O$500,"&lt;=113499",'LANÇAMENTOS DIÁRIOS'!$P$5:$P$500,"&gt;=113400")&gt;0,"X","")</f>
      </c>
      <c r="V35" s="56" t="str">
        <f>IF(COUNTIFS('LANÇAMENTOS DIÁRIOS'!$G$5:$G$500,"F",'LANÇAMENTOS DIÁRIOS'!$C$5:$C$500,$A35,'LANÇAMENTOS DIÁRIOS'!$O$5:$O$500,"&lt;=113599",'LANÇAMENTOS DIÁRIOS'!$P$5:$P$500,"&gt;=113500")&gt;0,"X","")</f>
      </c>
      <c r="W35" s="56" t="str">
        <f>IF(COUNTIFS('LANÇAMENTOS DIÁRIOS'!$G$5:$G$500,"F",'LANÇAMENTOS DIÁRIOS'!$C$5:$C$500,$A35,'LANÇAMENTOS DIÁRIOS'!$O$5:$O$500,"&lt;=113699",'LANÇAMENTOS DIÁRIOS'!$P$5:$P$500,"&gt;=113600")&gt;0,"X","")</f>
      </c>
      <c r="X35" s="56" t="str">
        <f>IF(COUNTIFS('LANÇAMENTOS DIÁRIOS'!$G$5:$G$500,"F",'LANÇAMENTOS DIÁRIOS'!$C$5:$C$500,$A35,'LANÇAMENTOS DIÁRIOS'!$O$5:$O$500,"&lt;=113799",'LANÇAMENTOS DIÁRIOS'!$P$5:$P$500,"&gt;=113700")&gt;0,"X","")</f>
      </c>
      <c r="Y35" s="56" t="str">
        <f>IF(COUNTIFS('LANÇAMENTOS DIÁRIOS'!$G$5:$G$500,"F",'LANÇAMENTOS DIÁRIOS'!$C$5:$C$500,$A35,'LANÇAMENTOS DIÁRIOS'!$O$5:$O$500,"&lt;=113899",'LANÇAMENTOS DIÁRIOS'!$P$5:$P$500,"&gt;=113800")&gt;0,"X","")</f>
      </c>
      <c r="Z35" s="56" t="str">
        <f>IF(COUNTIFS('LANÇAMENTOS DIÁRIOS'!$G$5:$G$500,"F",'LANÇAMENTOS DIÁRIOS'!$C$5:$C$500,$A35,'LANÇAMENTOS DIÁRIOS'!$O$5:$O$500,"&lt;=113999",'LANÇAMENTOS DIÁRIOS'!$P$5:$P$500,"&gt;=113900")&gt;0,"X","")</f>
      </c>
      <c r="AA35" s="56" t="str">
        <f>IF(COUNTIFS('LANÇAMENTOS DIÁRIOS'!$G$5:$G$500,"F",'LANÇAMENTOS DIÁRIOS'!$C$5:$C$500,$A35,'LANÇAMENTOS DIÁRIOS'!$O$5:$O$500,"&lt;=114099",'LANÇAMENTOS DIÁRIOS'!$P$5:$P$500,"&gt;=114000")&gt;0,"X","")</f>
      </c>
      <c r="AB35" s="56" t="str">
        <f>IF(COUNTIFS('LANÇAMENTOS DIÁRIOS'!$G$5:$G$500,"F",'LANÇAMENTOS DIÁRIOS'!$C$5:$C$500,$A35,'LANÇAMENTOS DIÁRIOS'!$O$5:$O$500,"&lt;=114199",'LANÇAMENTOS DIÁRIOS'!$P$5:$P$500,"&gt;=114100")&gt;0,"X","")</f>
      </c>
      <c r="AC35" s="56" t="str">
        <f>IF(COUNTIFS('LANÇAMENTOS DIÁRIOS'!$G$5:$G$500,"F",'LANÇAMENTOS DIÁRIOS'!$C$5:$C$500,$A35,'LANÇAMENTOS DIÁRIOS'!$O$5:$O$500,"&lt;=114299",'LANÇAMENTOS DIÁRIOS'!$P$5:$P$500,"&gt;=114200")&gt;0,"X","")</f>
      </c>
      <c r="AD35" s="56" t="str">
        <f>IF(COUNTIFS('LANÇAMENTOS DIÁRIOS'!$G$5:$G$500,"F",'LANÇAMENTOS DIÁRIOS'!$C$5:$C$500,$A35,'LANÇAMENTOS DIÁRIOS'!$O$5:$O$500,"&lt;=114399",'LANÇAMENTOS DIÁRIOS'!$P$5:$P$500,"&gt;=114300")&gt;0,"X","")</f>
      </c>
      <c r="AE35" s="56" t="str">
        <f>IF(COUNTIFS('LANÇAMENTOS DIÁRIOS'!$G$5:$G$500,"F",'LANÇAMENTOS DIÁRIOS'!$C$5:$C$500,$A35,'LANÇAMENTOS DIÁRIOS'!$O$5:$O$500,"&lt;=114499",'LANÇAMENTOS DIÁRIOS'!$P$5:$P$500,"&gt;=114400")&gt;0,"X","")</f>
      </c>
      <c r="AF35" s="56" t="str">
        <f>IF(COUNTIFS('LANÇAMENTOS DIÁRIOS'!$G$5:$G$500,"F",'LANÇAMENTOS DIÁRIOS'!$C$5:$C$500,$A35,'LANÇAMENTOS DIÁRIOS'!$O$5:$O$500,"&lt;=114599",'LANÇAMENTOS DIÁRIOS'!$P$5:$P$500,"&gt;=114500")&gt;0,"X","")</f>
      </c>
      <c r="AG35" s="56" t="str">
        <f>IF(COUNTIFS('LANÇAMENTOS DIÁRIOS'!$G$5:$G$500,"F",'LANÇAMENTOS DIÁRIOS'!$C$5:$C$500,$A35,'LANÇAMENTOS DIÁRIOS'!$O$5:$O$500,"&lt;=114699",'LANÇAMENTOS DIÁRIOS'!$P$5:$P$500,"&gt;=114600")&gt;0,"X","")</f>
      </c>
      <c r="AH35" s="56" t="str">
        <f>IF(COUNTIFS('LANÇAMENTOS DIÁRIOS'!$G$5:$G$500,"F",'LANÇAMENTOS DIÁRIOS'!$C$5:$C$500,$A35,'LANÇAMENTOS DIÁRIOS'!$O$5:$O$500,"&lt;=114799",'LANÇAMENTOS DIÁRIOS'!$P$5:$P$500,"&gt;=114700")&gt;0,"X","")</f>
      </c>
      <c r="AI35" s="56" t="str">
        <f>IF(COUNTIFS('LANÇAMENTOS DIÁRIOS'!$G$5:$G$500,"F",'LANÇAMENTOS DIÁRIOS'!$C$5:$C$500,$A35,'LANÇAMENTOS DIÁRIOS'!$O$5:$O$500,"&lt;=114899",'LANÇAMENTOS DIÁRIOS'!$P$5:$P$500,"&gt;=114800")&gt;0,"X","")</f>
      </c>
      <c r="AJ35" s="56" t="str">
        <f>IF(COUNTIFS('LANÇAMENTOS DIÁRIOS'!$G$5:$G$500,"F",'LANÇAMENTOS DIÁRIOS'!$C$5:$C$500,$A35,'LANÇAMENTOS DIÁRIOS'!$O$5:$O$500,"&lt;=114999",'LANÇAMENTOS DIÁRIOS'!$P$5:$P$500,"&gt;=114900")&gt;0,"X","")</f>
      </c>
      <c r="AK35" s="56" t="str">
        <f>IF(COUNTIFS('LANÇAMENTOS DIÁRIOS'!$G$5:$G$500,"F",'LANÇAMENTOS DIÁRIOS'!$C$5:$C$500,$A35,'LANÇAMENTOS DIÁRIOS'!$O$5:$O$500,"&lt;=115099",'LANÇAMENTOS DIÁRIOS'!$P$5:$P$500,"&gt;=115000")&gt;0,"X","")</f>
      </c>
      <c r="AL35" s="56" t="str">
        <f>IF(COUNTIFS('LANÇAMENTOS DIÁRIOS'!$G$5:$G$500,"F",'LANÇAMENTOS DIÁRIOS'!$C$5:$C$500,$A35,'LANÇAMENTOS DIÁRIOS'!$O$5:$O$500,"&lt;=115199",'LANÇAMENTOS DIÁRIOS'!$P$5:$P$500,"&gt;=115100")&gt;0,"X","")</f>
      </c>
      <c r="AM35" s="56" t="str">
        <f>IF(COUNTIFS('LANÇAMENTOS DIÁRIOS'!$G$5:$G$500,"F",'LANÇAMENTOS DIÁRIOS'!$C$5:$C$500,$A35,'LANÇAMENTOS DIÁRIOS'!$O$5:$O$500,"&lt;=115299",'LANÇAMENTOS DIÁRIOS'!$P$5:$P$500,"&gt;=115200")&gt;0,"X","")</f>
      </c>
      <c r="AN35" s="56" t="str">
        <f>IF(COUNTIFS('LANÇAMENTOS DIÁRIOS'!$G$5:$G$500,"F",'LANÇAMENTOS DIÁRIOS'!$C$5:$C$500,$A35,'LANÇAMENTOS DIÁRIOS'!$O$5:$O$500,"&lt;=115399",'LANÇAMENTOS DIÁRIOS'!$P$5:$P$500,"&gt;=115300")&gt;0,"X","")</f>
      </c>
      <c r="AO35" s="56" t="str">
        <f>IF(COUNTIFS('LANÇAMENTOS DIÁRIOS'!$G$5:$G$500,"F",'LANÇAMENTOS DIÁRIOS'!$C$5:$C$500,$A35,'LANÇAMENTOS DIÁRIOS'!$O$5:$O$500,"&lt;=115499",'LANÇAMENTOS DIÁRIOS'!$P$5:$P$500,"&gt;=115400")&gt;0,"X","")</f>
      </c>
      <c r="AP35" s="56" t="str">
        <f>IF(COUNTIFS('LANÇAMENTOS DIÁRIOS'!$G$5:$G$500,"F",'LANÇAMENTOS DIÁRIOS'!$C$5:$C$500,$A35,'LANÇAMENTOS DIÁRIOS'!$O$5:$O$500,"&lt;=115599",'LANÇAMENTOS DIÁRIOS'!$P$5:$P$500,"&gt;=115500")&gt;0,"X","")</f>
      </c>
      <c r="AQ35" s="56" t="str">
        <f>IF(COUNTIFS('LANÇAMENTOS DIÁRIOS'!$G$5:$G$500,"F",'LANÇAMENTOS DIÁRIOS'!$C$5:$C$500,$A35,'LANÇAMENTOS DIÁRIOS'!$O$5:$O$500,"&lt;=115699",'LANÇAMENTOS DIÁRIOS'!$P$5:$P$500,"&gt;=115600")&gt;0,"X","")</f>
      </c>
      <c r="AR35" s="56" t="str">
        <f>IF(COUNTIFS('LANÇAMENTOS DIÁRIOS'!$G$5:$G$500,"F",'LANÇAMENTOS DIÁRIOS'!$C$5:$C$500,$A35,'LANÇAMENTOS DIÁRIOS'!$O$5:$O$500,"&lt;=115799",'LANÇAMENTOS DIÁRIOS'!$P$5:$P$500,"&gt;=115700")&gt;0,"X","")</f>
      </c>
      <c r="AS35" s="56" t="str">
        <f>IF(COUNTIFS('LANÇAMENTOS DIÁRIOS'!$G$5:$G$500,"F",'LANÇAMENTOS DIÁRIOS'!$C$5:$C$500,$A35,'LANÇAMENTOS DIÁRIOS'!$O$5:$O$500,"&lt;=115899",'LANÇAMENTOS DIÁRIOS'!$P$5:$P$500,"&gt;=115800")&gt;0,"X","")</f>
      </c>
      <c r="AT35" s="56" t="str">
        <f>IF(COUNTIFS('LANÇAMENTOS DIÁRIOS'!$G$5:$G$500,"F",'LANÇAMENTOS DIÁRIOS'!$C$5:$C$500,$A35,'LANÇAMENTOS DIÁRIOS'!$O$5:$O$500,"&lt;=115999",'LANÇAMENTOS DIÁRIOS'!$P$5:$P$500,"&gt;=115900")&gt;0,"X","")</f>
      </c>
      <c r="AU35" s="56" t="str">
        <f>IF(COUNTIFS('LANÇAMENTOS DIÁRIOS'!$G$5:$G$500,"F",'LANÇAMENTOS DIÁRIOS'!$C$5:$C$500,$A35,'LANÇAMENTOS DIÁRIOS'!$O$5:$O$500,"&lt;=116099",'LANÇAMENTOS DIÁRIOS'!$P$5:$P$500,"&gt;=116000")&gt;0,"X","")</f>
      </c>
      <c r="AV35" s="56" t="str">
        <f>IF(COUNTIFS('LANÇAMENTOS DIÁRIOS'!$G$5:$G$500,"F",'LANÇAMENTOS DIÁRIOS'!$C$5:$C$500,$A35,'LANÇAMENTOS DIÁRIOS'!$O$5:$O$500,"&lt;=116199",'LANÇAMENTOS DIÁRIOS'!$P$5:$P$500,"&gt;=116100")&gt;0,"X","")</f>
      </c>
      <c r="AW35" s="56" t="str">
        <f>IF(COUNTIFS('LANÇAMENTOS DIÁRIOS'!$G$5:$G$500,"F",'LANÇAMENTOS DIÁRIOS'!$C$5:$C$500,$A35,'LANÇAMENTOS DIÁRIOS'!$O$5:$O$500,"&lt;=116299",'LANÇAMENTOS DIÁRIOS'!$P$5:$P$500,"&gt;=116200")&gt;0,"X","")</f>
      </c>
      <c r="AX35" s="56" t="str">
        <f>IF(COUNTIFS('LANÇAMENTOS DIÁRIOS'!$G$5:$G$500,"F",'LANÇAMENTOS DIÁRIOS'!$C$5:$C$500,$A35,'LANÇAMENTOS DIÁRIOS'!$O$5:$O$500,"&lt;=116399",'LANÇAMENTOS DIÁRIOS'!$P$5:$P$500,"&gt;=116300")&gt;0,"X","")</f>
      </c>
      <c r="AY35" s="56" t="str">
        <f>IF(COUNTIFS('LANÇAMENTOS DIÁRIOS'!$G$5:$G$500,"F",'LANÇAMENTOS DIÁRIOS'!$C$5:$C$500,$A35,'LANÇAMENTOS DIÁRIOS'!$O$5:$O$500,"&lt;=116499",'LANÇAMENTOS DIÁRIOS'!$P$5:$P$500,"&gt;=116400")&gt;0,"X","")</f>
      </c>
      <c r="AZ35" s="56" t="str">
        <f>IF(COUNTIFS('LANÇAMENTOS DIÁRIOS'!$G$5:$G$500,"F",'LANÇAMENTOS DIÁRIOS'!$C$5:$C$500,$A35,'LANÇAMENTOS DIÁRIOS'!$O$5:$O$500,"&lt;=116599",'LANÇAMENTOS DIÁRIOS'!$P$5:$P$500,"&gt;=116500")&gt;0,"X","")</f>
      </c>
      <c r="BA35" s="56" t="str">
        <f>IF(COUNTIFS('LANÇAMENTOS DIÁRIOS'!$G$5:$G$500,"F",'LANÇAMENTOS DIÁRIOS'!$C$5:$C$500,$A35,'LANÇAMENTOS DIÁRIOS'!$O$5:$O$500,"&lt;=116699",'LANÇAMENTOS DIÁRIOS'!$P$5:$P$500,"&gt;=116600")&gt;0,"X","")</f>
      </c>
      <c r="BB35" s="56" t="str">
        <f>IF(COUNTIFS('LANÇAMENTOS DIÁRIOS'!$G$5:$G$500,"F",'LANÇAMENTOS DIÁRIOS'!$C$5:$C$500,$A35,'LANÇAMENTOS DIÁRIOS'!$O$5:$O$500,"&lt;=116799",'LANÇAMENTOS DIÁRIOS'!$P$5:$P$500,"&gt;=116700")&gt;0,"X","")</f>
      </c>
      <c r="BC35" s="56" t="str">
        <f>IF(COUNTIFS('LANÇAMENTOS DIÁRIOS'!$G$5:$G$500,"F",'LANÇAMENTOS DIÁRIOS'!$C$5:$C$500,$A35,'LANÇAMENTOS DIÁRIOS'!$O$5:$O$500,"&lt;=116899",'LANÇAMENTOS DIÁRIOS'!$P$5:$P$500,"&gt;=116800")&gt;0,"X","")</f>
      </c>
      <c r="BD35" s="56" t="str">
        <f>IF(COUNTIFS('LANÇAMENTOS DIÁRIOS'!$G$5:$G$500,"F",'LANÇAMENTOS DIÁRIOS'!$C$5:$C$500,$A35,'LANÇAMENTOS DIÁRIOS'!$O$5:$O$500,"&lt;=116999",'LANÇAMENTOS DIÁRIOS'!$P$5:$P$500,"&gt;=116900")&gt;0,"X","")</f>
      </c>
      <c r="BE35" s="56" t="str">
        <f>IF(COUNTIFS('LANÇAMENTOS DIÁRIOS'!$G$5:$G$500,"F",'LANÇAMENTOS DIÁRIOS'!$C$5:$C$500,$A35,'LANÇAMENTOS DIÁRIOS'!$O$5:$O$500,"&lt;=117099",'LANÇAMENTOS DIÁRIOS'!$P$5:$P$500,"&gt;=117000")&gt;0,"X","")</f>
      </c>
      <c r="BF35" s="56" t="str">
        <f>IF(COUNTIFS('LANÇAMENTOS DIÁRIOS'!$G$5:$G$500,"F",'LANÇAMENTOS DIÁRIOS'!$C$5:$C$500,$A35,'LANÇAMENTOS DIÁRIOS'!$O$5:$O$500,"&lt;=117199",'LANÇAMENTOS DIÁRIOS'!$P$5:$P$500,"&gt;=117100")&gt;0,"X","")</f>
      </c>
      <c r="BG35" s="56" t="str">
        <f>IF(COUNTIFS('LANÇAMENTOS DIÁRIOS'!$G$5:$G$500,"F",'LANÇAMENTOS DIÁRIOS'!$C$5:$C$500,$A35,'LANÇAMENTOS DIÁRIOS'!$O$5:$O$500,"&lt;=117219",'LANÇAMENTOS DIÁRIOS'!$P$5:$P$500,"&gt;=117200")&gt;0,"X","")</f>
      </c>
      <c r="BH35" s="56" t="str">
        <f>IF(COUNTIFS('LANÇAMENTOS DIÁRIOS'!$G$5:$G$500,"F",'LANÇAMENTOS DIÁRIOS'!$C$5:$C$500,$A35,'LANÇAMENTOS DIÁRIOS'!$O$5:$O$500,"&lt;=117220",'LANÇAMENTOS DIÁRIOS'!$P$5:$P$500,"&gt;=117220")&gt;0,"X","")</f>
      </c>
    </row>
    <row r="36">
      <c r="A36" s="51" t="str">
        <v>Derrubada e destocamento.arv. c/ diâmetro &gt; 80cm, com limpeza da área</v>
      </c>
      <c r="B36" s="56" t="str">
        <f>IF(COUNTIFS('LANÇAMENTOS DIÁRIOS'!$G$5:$G$500,"F",'LANÇAMENTOS DIÁRIOS'!$C$5:$C$500,$A36,'LANÇAMENTOS DIÁRIOS'!$O$5:$O$500,"&lt;=111599",'LANÇAMENTOS DIÁRIOS'!$P$5:$P$500,"&gt;=111500")&gt;0,"X","")</f>
      </c>
      <c r="C36" s="56" t="str">
        <f>IF(COUNTIFS('LANÇAMENTOS DIÁRIOS'!$G$5:$G$500,"F",'LANÇAMENTOS DIÁRIOS'!$C$5:$C$500,$A36,'LANÇAMENTOS DIÁRIOS'!$O$5:$O$500,"&lt;=111699",'LANÇAMENTOS DIÁRIOS'!$P$5:$P$500,"&gt;=111600")&gt;0,"X","")</f>
      </c>
      <c r="D36" s="56" t="str">
        <f>IF(COUNTIFS('LANÇAMENTOS DIÁRIOS'!$G$5:$G$500,"F",'LANÇAMENTOS DIÁRIOS'!$C$5:$C$500,$A36,'LANÇAMENTOS DIÁRIOS'!$O$5:$O$500,"&lt;=111799",'LANÇAMENTOS DIÁRIOS'!$P$5:$P$500,"&gt;=111700")&gt;0,"X","")</f>
      </c>
      <c r="E36" s="56" t="str">
        <f>IF(COUNTIFS('LANÇAMENTOS DIÁRIOS'!$G$5:$G$500,"F",'LANÇAMENTOS DIÁRIOS'!$C$5:$C$500,$A36,'LANÇAMENTOS DIÁRIOS'!$O$5:$O$500,"&lt;=111899",'LANÇAMENTOS DIÁRIOS'!$P$5:$P$500,"&gt;=111800")&gt;0,"X","")</f>
      </c>
      <c r="F36" s="56" t="str">
        <f>IF(COUNTIFS('LANÇAMENTOS DIÁRIOS'!$G$5:$G$500,"F",'LANÇAMENTOS DIÁRIOS'!$C$5:$C$500,$A36,'LANÇAMENTOS DIÁRIOS'!$O$5:$O$500,"&lt;=111999",'LANÇAMENTOS DIÁRIOS'!$P$5:$P$500,"&gt;=111900")&gt;0,"X","")</f>
      </c>
      <c r="G36" s="56" t="str">
        <f>IF(COUNTIFS('LANÇAMENTOS DIÁRIOS'!$G$5:$G$500,"F",'LANÇAMENTOS DIÁRIOS'!$C$5:$C$500,$A36,'LANÇAMENTOS DIÁRIOS'!$O$5:$O$500,"&lt;=112099",'LANÇAMENTOS DIÁRIOS'!$P$5:$P$500,"&gt;=112000")&gt;0,"X","")</f>
      </c>
      <c r="H36" s="56" t="str">
        <f>IF(COUNTIFS('LANÇAMENTOS DIÁRIOS'!$G$5:$G$500,"F",'LANÇAMENTOS DIÁRIOS'!$C$5:$C$500,$A36,'LANÇAMENTOS DIÁRIOS'!$O$5:$O$500,"&lt;=112199",'LANÇAMENTOS DIÁRIOS'!$P$5:$P$500,"&gt;=112100")&gt;0,"X","")</f>
      </c>
      <c r="I36" s="56" t="str">
        <f>IF(COUNTIFS('LANÇAMENTOS DIÁRIOS'!$G$5:$G$500,"F",'LANÇAMENTOS DIÁRIOS'!$C$5:$C$500,$A36,'LANÇAMENTOS DIÁRIOS'!$O$5:$O$500,"&lt;=112299",'LANÇAMENTOS DIÁRIOS'!$P$5:$P$500,"&gt;=112200")&gt;0,"X","")</f>
      </c>
      <c r="J36" s="56" t="str">
        <f>IF(COUNTIFS('LANÇAMENTOS DIÁRIOS'!$G$5:$G$500,"F",'LANÇAMENTOS DIÁRIOS'!$C$5:$C$500,$A36,'LANÇAMENTOS DIÁRIOS'!$O$5:$O$500,"&lt;=112399",'LANÇAMENTOS DIÁRIOS'!$P$5:$P$500,"&gt;=112300")&gt;0,"X","")</f>
      </c>
      <c r="K36" s="56" t="str">
        <f>IF(COUNTIFS('LANÇAMENTOS DIÁRIOS'!$G$5:$G$500,"F",'LANÇAMENTOS DIÁRIOS'!$C$5:$C$500,$A36,'LANÇAMENTOS DIÁRIOS'!$O$5:$O$500,"&lt;=112499",'LANÇAMENTOS DIÁRIOS'!$P$5:$P$500,"&gt;=112400")&gt;0,"X","")</f>
      </c>
      <c r="L36" s="56" t="str">
        <f>IF(COUNTIFS('LANÇAMENTOS DIÁRIOS'!$G$5:$G$500,"F",'LANÇAMENTOS DIÁRIOS'!$C$5:$C$500,$A36,'LANÇAMENTOS DIÁRIOS'!$O$5:$O$500,"&lt;=112599",'LANÇAMENTOS DIÁRIOS'!$P$5:$P$500,"&gt;=112500")&gt;0,"X","")</f>
      </c>
      <c r="M36" s="56" t="str">
        <f>IF(COUNTIFS('LANÇAMENTOS DIÁRIOS'!$G$5:$G$500,"F",'LANÇAMENTOS DIÁRIOS'!$C$5:$C$500,$A36,'LANÇAMENTOS DIÁRIOS'!$O$5:$O$500,"&lt;=112699",'LANÇAMENTOS DIÁRIOS'!$P$5:$P$500,"&gt;=112600")&gt;0,"X","")</f>
      </c>
      <c r="N36" s="56" t="str">
        <f>IF(COUNTIFS('LANÇAMENTOS DIÁRIOS'!$G$5:$G$500,"F",'LANÇAMENTOS DIÁRIOS'!$C$5:$C$500,$A36,'LANÇAMENTOS DIÁRIOS'!$O$5:$O$500,"&lt;=112799",'LANÇAMENTOS DIÁRIOS'!$P$5:$P$500,"&gt;=112700")&gt;0,"X","")</f>
      </c>
      <c r="O36" s="56" t="str">
        <f>IF(COUNTIFS('LANÇAMENTOS DIÁRIOS'!$G$5:$G$500,"F",'LANÇAMENTOS DIÁRIOS'!$C$5:$C$500,$A36,'LANÇAMENTOS DIÁRIOS'!$O$5:$O$500,"&lt;=112899",'LANÇAMENTOS DIÁRIOS'!$P$5:$P$500,"&gt;=112800")&gt;0,"X","")</f>
      </c>
      <c r="P36" s="56" t="str">
        <f>IF(COUNTIFS('LANÇAMENTOS DIÁRIOS'!$G$5:$G$500,"F",'LANÇAMENTOS DIÁRIOS'!$C$5:$C$500,$A36,'LANÇAMENTOS DIÁRIOS'!$O$5:$O$500,"&lt;=112999",'LANÇAMENTOS DIÁRIOS'!$P$5:$P$500,"&gt;=112900")&gt;0,"X","")</f>
      </c>
      <c r="Q36" s="56" t="str">
        <f>IF(COUNTIFS('LANÇAMENTOS DIÁRIOS'!$G$5:$G$500,"F",'LANÇAMENTOS DIÁRIOS'!$C$5:$C$500,$A36,'LANÇAMENTOS DIÁRIOS'!$O$5:$O$500,"&lt;=113099",'LANÇAMENTOS DIÁRIOS'!$P$5:$P$500,"&gt;=113000")&gt;0,"X","")</f>
      </c>
      <c r="R36" s="56" t="str">
        <f>IF(COUNTIFS('LANÇAMENTOS DIÁRIOS'!$G$5:$G$500,"F",'LANÇAMENTOS DIÁRIOS'!$C$5:$C$500,$A36,'LANÇAMENTOS DIÁRIOS'!$O$5:$O$500,"&lt;=113199",'LANÇAMENTOS DIÁRIOS'!$P$5:$P$500,"&gt;=113100")&gt;0,"X","")</f>
      </c>
      <c r="S36" s="56" t="str">
        <f>IF(COUNTIFS('LANÇAMENTOS DIÁRIOS'!$G$5:$G$500,"F",'LANÇAMENTOS DIÁRIOS'!$C$5:$C$500,$A36,'LANÇAMENTOS DIÁRIOS'!$O$5:$O$500,"&lt;=113299",'LANÇAMENTOS DIÁRIOS'!$P$5:$P$500,"&gt;=113200")&gt;0,"X","")</f>
      </c>
      <c r="T36" s="56" t="str">
        <f>IF(COUNTIFS('LANÇAMENTOS DIÁRIOS'!$G$5:$G$500,"F",'LANÇAMENTOS DIÁRIOS'!$C$5:$C$500,$A36,'LANÇAMENTOS DIÁRIOS'!$O$5:$O$500,"&lt;=113399",'LANÇAMENTOS DIÁRIOS'!$P$5:$P$500,"&gt;=113300")&gt;0,"X","")</f>
      </c>
      <c r="U36" s="56" t="str">
        <f>IF(COUNTIFS('LANÇAMENTOS DIÁRIOS'!$G$5:$G$500,"F",'LANÇAMENTOS DIÁRIOS'!$C$5:$C$500,$A36,'LANÇAMENTOS DIÁRIOS'!$O$5:$O$500,"&lt;=113499",'LANÇAMENTOS DIÁRIOS'!$P$5:$P$500,"&gt;=113400")&gt;0,"X","")</f>
      </c>
      <c r="V36" s="56" t="str">
        <f>IF(COUNTIFS('LANÇAMENTOS DIÁRIOS'!$G$5:$G$500,"F",'LANÇAMENTOS DIÁRIOS'!$C$5:$C$500,$A36,'LANÇAMENTOS DIÁRIOS'!$O$5:$O$500,"&lt;=113599",'LANÇAMENTOS DIÁRIOS'!$P$5:$P$500,"&gt;=113500")&gt;0,"X","")</f>
      </c>
      <c r="W36" s="56" t="str">
        <f>IF(COUNTIFS('LANÇAMENTOS DIÁRIOS'!$G$5:$G$500,"F",'LANÇAMENTOS DIÁRIOS'!$C$5:$C$500,$A36,'LANÇAMENTOS DIÁRIOS'!$O$5:$O$500,"&lt;=113699",'LANÇAMENTOS DIÁRIOS'!$P$5:$P$500,"&gt;=113600")&gt;0,"X","")</f>
      </c>
      <c r="X36" s="56" t="str">
        <f>IF(COUNTIFS('LANÇAMENTOS DIÁRIOS'!$G$5:$G$500,"F",'LANÇAMENTOS DIÁRIOS'!$C$5:$C$500,$A36,'LANÇAMENTOS DIÁRIOS'!$O$5:$O$500,"&lt;=113799",'LANÇAMENTOS DIÁRIOS'!$P$5:$P$500,"&gt;=113700")&gt;0,"X","")</f>
      </c>
      <c r="Y36" s="56" t="str">
        <f>IF(COUNTIFS('LANÇAMENTOS DIÁRIOS'!$G$5:$G$500,"F",'LANÇAMENTOS DIÁRIOS'!$C$5:$C$500,$A36,'LANÇAMENTOS DIÁRIOS'!$O$5:$O$500,"&lt;=113899",'LANÇAMENTOS DIÁRIOS'!$P$5:$P$500,"&gt;=113800")&gt;0,"X","")</f>
      </c>
      <c r="Z36" s="56" t="str">
        <f>IF(COUNTIFS('LANÇAMENTOS DIÁRIOS'!$G$5:$G$500,"F",'LANÇAMENTOS DIÁRIOS'!$C$5:$C$500,$A36,'LANÇAMENTOS DIÁRIOS'!$O$5:$O$500,"&lt;=113999",'LANÇAMENTOS DIÁRIOS'!$P$5:$P$500,"&gt;=113900")&gt;0,"X","")</f>
      </c>
      <c r="AA36" s="56" t="str">
        <f>IF(COUNTIFS('LANÇAMENTOS DIÁRIOS'!$G$5:$G$500,"F",'LANÇAMENTOS DIÁRIOS'!$C$5:$C$500,$A36,'LANÇAMENTOS DIÁRIOS'!$O$5:$O$500,"&lt;=114099",'LANÇAMENTOS DIÁRIOS'!$P$5:$P$500,"&gt;=114000")&gt;0,"X","")</f>
      </c>
      <c r="AB36" s="56" t="str">
        <f>IF(COUNTIFS('LANÇAMENTOS DIÁRIOS'!$G$5:$G$500,"F",'LANÇAMENTOS DIÁRIOS'!$C$5:$C$500,$A36,'LANÇAMENTOS DIÁRIOS'!$O$5:$O$500,"&lt;=114199",'LANÇAMENTOS DIÁRIOS'!$P$5:$P$500,"&gt;=114100")&gt;0,"X","")</f>
      </c>
      <c r="AC36" s="56" t="str">
        <f>IF(COUNTIFS('LANÇAMENTOS DIÁRIOS'!$G$5:$G$500,"F",'LANÇAMENTOS DIÁRIOS'!$C$5:$C$500,$A36,'LANÇAMENTOS DIÁRIOS'!$O$5:$O$500,"&lt;=114299",'LANÇAMENTOS DIÁRIOS'!$P$5:$P$500,"&gt;=114200")&gt;0,"X","")</f>
      </c>
      <c r="AD36" s="56" t="str">
        <f>IF(COUNTIFS('LANÇAMENTOS DIÁRIOS'!$G$5:$G$500,"F",'LANÇAMENTOS DIÁRIOS'!$C$5:$C$500,$A36,'LANÇAMENTOS DIÁRIOS'!$O$5:$O$500,"&lt;=114399",'LANÇAMENTOS DIÁRIOS'!$P$5:$P$500,"&gt;=114300")&gt;0,"X","")</f>
      </c>
      <c r="AE36" s="56" t="str">
        <f>IF(COUNTIFS('LANÇAMENTOS DIÁRIOS'!$G$5:$G$500,"F",'LANÇAMENTOS DIÁRIOS'!$C$5:$C$500,$A36,'LANÇAMENTOS DIÁRIOS'!$O$5:$O$500,"&lt;=114499",'LANÇAMENTOS DIÁRIOS'!$P$5:$P$500,"&gt;=114400")&gt;0,"X","")</f>
      </c>
      <c r="AF36" s="56" t="str">
        <f>IF(COUNTIFS('LANÇAMENTOS DIÁRIOS'!$G$5:$G$500,"F",'LANÇAMENTOS DIÁRIOS'!$C$5:$C$500,$A36,'LANÇAMENTOS DIÁRIOS'!$O$5:$O$500,"&lt;=114599",'LANÇAMENTOS DIÁRIOS'!$P$5:$P$500,"&gt;=114500")&gt;0,"X","")</f>
      </c>
      <c r="AG36" s="56" t="str">
        <f>IF(COUNTIFS('LANÇAMENTOS DIÁRIOS'!$G$5:$G$500,"F",'LANÇAMENTOS DIÁRIOS'!$C$5:$C$500,$A36,'LANÇAMENTOS DIÁRIOS'!$O$5:$O$500,"&lt;=114699",'LANÇAMENTOS DIÁRIOS'!$P$5:$P$500,"&gt;=114600")&gt;0,"X","")</f>
      </c>
      <c r="AH36" s="56" t="str">
        <f>IF(COUNTIFS('LANÇAMENTOS DIÁRIOS'!$G$5:$G$500,"F",'LANÇAMENTOS DIÁRIOS'!$C$5:$C$500,$A36,'LANÇAMENTOS DIÁRIOS'!$O$5:$O$500,"&lt;=114799",'LANÇAMENTOS DIÁRIOS'!$P$5:$P$500,"&gt;=114700")&gt;0,"X","")</f>
      </c>
      <c r="AI36" s="56" t="str">
        <f>IF(COUNTIFS('LANÇAMENTOS DIÁRIOS'!$G$5:$G$500,"F",'LANÇAMENTOS DIÁRIOS'!$C$5:$C$500,$A36,'LANÇAMENTOS DIÁRIOS'!$O$5:$O$500,"&lt;=114899",'LANÇAMENTOS DIÁRIOS'!$P$5:$P$500,"&gt;=114800")&gt;0,"X","")</f>
      </c>
      <c r="AJ36" s="56" t="str">
        <f>IF(COUNTIFS('LANÇAMENTOS DIÁRIOS'!$G$5:$G$500,"F",'LANÇAMENTOS DIÁRIOS'!$C$5:$C$500,$A36,'LANÇAMENTOS DIÁRIOS'!$O$5:$O$500,"&lt;=114999",'LANÇAMENTOS DIÁRIOS'!$P$5:$P$500,"&gt;=114900")&gt;0,"X","")</f>
      </c>
      <c r="AK36" s="56" t="str">
        <f>IF(COUNTIFS('LANÇAMENTOS DIÁRIOS'!$G$5:$G$500,"F",'LANÇAMENTOS DIÁRIOS'!$C$5:$C$500,$A36,'LANÇAMENTOS DIÁRIOS'!$O$5:$O$500,"&lt;=115099",'LANÇAMENTOS DIÁRIOS'!$P$5:$P$500,"&gt;=115000")&gt;0,"X","")</f>
      </c>
      <c r="AL36" s="56" t="str">
        <f>IF(COUNTIFS('LANÇAMENTOS DIÁRIOS'!$G$5:$G$500,"F",'LANÇAMENTOS DIÁRIOS'!$C$5:$C$500,$A36,'LANÇAMENTOS DIÁRIOS'!$O$5:$O$500,"&lt;=115199",'LANÇAMENTOS DIÁRIOS'!$P$5:$P$500,"&gt;=115100")&gt;0,"X","")</f>
      </c>
      <c r="AM36" s="56" t="str">
        <f>IF(COUNTIFS('LANÇAMENTOS DIÁRIOS'!$G$5:$G$500,"F",'LANÇAMENTOS DIÁRIOS'!$C$5:$C$500,$A36,'LANÇAMENTOS DIÁRIOS'!$O$5:$O$500,"&lt;=115299",'LANÇAMENTOS DIÁRIOS'!$P$5:$P$500,"&gt;=115200")&gt;0,"X","")</f>
      </c>
      <c r="AN36" s="56" t="str">
        <f>IF(COUNTIFS('LANÇAMENTOS DIÁRIOS'!$G$5:$G$500,"F",'LANÇAMENTOS DIÁRIOS'!$C$5:$C$500,$A36,'LANÇAMENTOS DIÁRIOS'!$O$5:$O$500,"&lt;=115399",'LANÇAMENTOS DIÁRIOS'!$P$5:$P$500,"&gt;=115300")&gt;0,"X","")</f>
      </c>
      <c r="AO36" s="56" t="str">
        <f>IF(COUNTIFS('LANÇAMENTOS DIÁRIOS'!$G$5:$G$500,"F",'LANÇAMENTOS DIÁRIOS'!$C$5:$C$500,$A36,'LANÇAMENTOS DIÁRIOS'!$O$5:$O$500,"&lt;=115499",'LANÇAMENTOS DIÁRIOS'!$P$5:$P$500,"&gt;=115400")&gt;0,"X","")</f>
      </c>
      <c r="AP36" s="56" t="str">
        <f>IF(COUNTIFS('LANÇAMENTOS DIÁRIOS'!$G$5:$G$500,"F",'LANÇAMENTOS DIÁRIOS'!$C$5:$C$500,$A36,'LANÇAMENTOS DIÁRIOS'!$O$5:$O$500,"&lt;=115599",'LANÇAMENTOS DIÁRIOS'!$P$5:$P$500,"&gt;=115500")&gt;0,"X","")</f>
      </c>
      <c r="AQ36" s="56" t="str">
        <f>IF(COUNTIFS('LANÇAMENTOS DIÁRIOS'!$G$5:$G$500,"F",'LANÇAMENTOS DIÁRIOS'!$C$5:$C$500,$A36,'LANÇAMENTOS DIÁRIOS'!$O$5:$O$500,"&lt;=115699",'LANÇAMENTOS DIÁRIOS'!$P$5:$P$500,"&gt;=115600")&gt;0,"X","")</f>
      </c>
      <c r="AR36" s="56" t="str">
        <f>IF(COUNTIFS('LANÇAMENTOS DIÁRIOS'!$G$5:$G$500,"F",'LANÇAMENTOS DIÁRIOS'!$C$5:$C$500,$A36,'LANÇAMENTOS DIÁRIOS'!$O$5:$O$500,"&lt;=115799",'LANÇAMENTOS DIÁRIOS'!$P$5:$P$500,"&gt;=115700")&gt;0,"X","")</f>
      </c>
      <c r="AS36" s="56" t="str">
        <f>IF(COUNTIFS('LANÇAMENTOS DIÁRIOS'!$G$5:$G$500,"F",'LANÇAMENTOS DIÁRIOS'!$C$5:$C$500,$A36,'LANÇAMENTOS DIÁRIOS'!$O$5:$O$500,"&lt;=115899",'LANÇAMENTOS DIÁRIOS'!$P$5:$P$500,"&gt;=115800")&gt;0,"X","")</f>
      </c>
      <c r="AT36" s="56" t="str">
        <f>IF(COUNTIFS('LANÇAMENTOS DIÁRIOS'!$G$5:$G$500,"F",'LANÇAMENTOS DIÁRIOS'!$C$5:$C$500,$A36,'LANÇAMENTOS DIÁRIOS'!$O$5:$O$500,"&lt;=115999",'LANÇAMENTOS DIÁRIOS'!$P$5:$P$500,"&gt;=115900")&gt;0,"X","")</f>
      </c>
      <c r="AU36" s="56" t="str">
        <f>IF(COUNTIFS('LANÇAMENTOS DIÁRIOS'!$G$5:$G$500,"F",'LANÇAMENTOS DIÁRIOS'!$C$5:$C$500,$A36,'LANÇAMENTOS DIÁRIOS'!$O$5:$O$500,"&lt;=116099",'LANÇAMENTOS DIÁRIOS'!$P$5:$P$500,"&gt;=116000")&gt;0,"X","")</f>
      </c>
      <c r="AV36" s="56" t="str">
        <f>IF(COUNTIFS('LANÇAMENTOS DIÁRIOS'!$G$5:$G$500,"F",'LANÇAMENTOS DIÁRIOS'!$C$5:$C$500,$A36,'LANÇAMENTOS DIÁRIOS'!$O$5:$O$500,"&lt;=116199",'LANÇAMENTOS DIÁRIOS'!$P$5:$P$500,"&gt;=116100")&gt;0,"X","")</f>
      </c>
      <c r="AW36" s="56" t="str">
        <f>IF(COUNTIFS('LANÇAMENTOS DIÁRIOS'!$G$5:$G$500,"F",'LANÇAMENTOS DIÁRIOS'!$C$5:$C$500,$A36,'LANÇAMENTOS DIÁRIOS'!$O$5:$O$500,"&lt;=116299",'LANÇAMENTOS DIÁRIOS'!$P$5:$P$500,"&gt;=116200")&gt;0,"X","")</f>
      </c>
      <c r="AX36" s="56" t="str">
        <f>IF(COUNTIFS('LANÇAMENTOS DIÁRIOS'!$G$5:$G$500,"F",'LANÇAMENTOS DIÁRIOS'!$C$5:$C$500,$A36,'LANÇAMENTOS DIÁRIOS'!$O$5:$O$500,"&lt;=116399",'LANÇAMENTOS DIÁRIOS'!$P$5:$P$500,"&gt;=116300")&gt;0,"X","")</f>
      </c>
      <c r="AY36" s="56" t="str">
        <f>IF(COUNTIFS('LANÇAMENTOS DIÁRIOS'!$G$5:$G$500,"F",'LANÇAMENTOS DIÁRIOS'!$C$5:$C$500,$A36,'LANÇAMENTOS DIÁRIOS'!$O$5:$O$500,"&lt;=116499",'LANÇAMENTOS DIÁRIOS'!$P$5:$P$500,"&gt;=116400")&gt;0,"X","")</f>
      </c>
      <c r="AZ36" s="56" t="str">
        <f>IF(COUNTIFS('LANÇAMENTOS DIÁRIOS'!$G$5:$G$500,"F",'LANÇAMENTOS DIÁRIOS'!$C$5:$C$500,$A36,'LANÇAMENTOS DIÁRIOS'!$O$5:$O$500,"&lt;=116599",'LANÇAMENTOS DIÁRIOS'!$P$5:$P$500,"&gt;=116500")&gt;0,"X","")</f>
      </c>
      <c r="BA36" s="56" t="str">
        <f>IF(COUNTIFS('LANÇAMENTOS DIÁRIOS'!$G$5:$G$500,"F",'LANÇAMENTOS DIÁRIOS'!$C$5:$C$500,$A36,'LANÇAMENTOS DIÁRIOS'!$O$5:$O$500,"&lt;=116699",'LANÇAMENTOS DIÁRIOS'!$P$5:$P$500,"&gt;=116600")&gt;0,"X","")</f>
      </c>
      <c r="BB36" s="56" t="str">
        <f>IF(COUNTIFS('LANÇAMENTOS DIÁRIOS'!$G$5:$G$500,"F",'LANÇAMENTOS DIÁRIOS'!$C$5:$C$500,$A36,'LANÇAMENTOS DIÁRIOS'!$O$5:$O$500,"&lt;=116799",'LANÇAMENTOS DIÁRIOS'!$P$5:$P$500,"&gt;=116700")&gt;0,"X","")</f>
      </c>
      <c r="BC36" s="56" t="str">
        <f>IF(COUNTIFS('LANÇAMENTOS DIÁRIOS'!$G$5:$G$500,"F",'LANÇAMENTOS DIÁRIOS'!$C$5:$C$500,$A36,'LANÇAMENTOS DIÁRIOS'!$O$5:$O$500,"&lt;=116899",'LANÇAMENTOS DIÁRIOS'!$P$5:$P$500,"&gt;=116800")&gt;0,"X","")</f>
      </c>
      <c r="BD36" s="56" t="str">
        <f>IF(COUNTIFS('LANÇAMENTOS DIÁRIOS'!$G$5:$G$500,"F",'LANÇAMENTOS DIÁRIOS'!$C$5:$C$500,$A36,'LANÇAMENTOS DIÁRIOS'!$O$5:$O$500,"&lt;=116999",'LANÇAMENTOS DIÁRIOS'!$P$5:$P$500,"&gt;=116900")&gt;0,"X","")</f>
      </c>
      <c r="BE36" s="56" t="str">
        <f>IF(COUNTIFS('LANÇAMENTOS DIÁRIOS'!$G$5:$G$500,"F",'LANÇAMENTOS DIÁRIOS'!$C$5:$C$500,$A36,'LANÇAMENTOS DIÁRIOS'!$O$5:$O$500,"&lt;=117099",'LANÇAMENTOS DIÁRIOS'!$P$5:$P$500,"&gt;=117000")&gt;0,"X","")</f>
      </c>
      <c r="BF36" s="56" t="str">
        <f>IF(COUNTIFS('LANÇAMENTOS DIÁRIOS'!$G$5:$G$500,"F",'LANÇAMENTOS DIÁRIOS'!$C$5:$C$500,$A36,'LANÇAMENTOS DIÁRIOS'!$O$5:$O$500,"&lt;=117199",'LANÇAMENTOS DIÁRIOS'!$P$5:$P$500,"&gt;=117100")&gt;0,"X","")</f>
      </c>
      <c r="BG36" s="56" t="str">
        <f>IF(COUNTIFS('LANÇAMENTOS DIÁRIOS'!$G$5:$G$500,"F",'LANÇAMENTOS DIÁRIOS'!$C$5:$C$500,$A36,'LANÇAMENTOS DIÁRIOS'!$O$5:$O$500,"&lt;=117219",'LANÇAMENTOS DIÁRIOS'!$P$5:$P$500,"&gt;=117200")&gt;0,"X","")</f>
      </c>
      <c r="BH36" s="56" t="str">
        <f>IF(COUNTIFS('LANÇAMENTOS DIÁRIOS'!$G$5:$G$500,"F",'LANÇAMENTOS DIÁRIOS'!$C$5:$C$500,$A36,'LANÇAMENTOS DIÁRIOS'!$O$5:$O$500,"&lt;=117220",'LANÇAMENTOS DIÁRIOS'!$P$5:$P$500,"&gt;=117220")&gt;0,"X","")</f>
      </c>
    </row>
    <row r="37" ht="19" customHeight="1">
      <c r="A37" s="68" t="str">
        <v>Corte em rocha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</row>
    <row r="38">
      <c r="A38" s="51" t="str">
        <v>Escavação de material de 3ª categoria a fogo-S/ Transporte</v>
      </c>
      <c r="B38" s="56" t="str">
        <f>IF(COUNTIFS('LANÇAMENTOS DIÁRIOS'!$G$5:$G$500,"F",'LANÇAMENTOS DIÁRIOS'!$C$5:$C$500,$A38,'LANÇAMENTOS DIÁRIOS'!$O$5:$O$500,"&lt;=111599",'LANÇAMENTOS DIÁRIOS'!$P$5:$P$500,"&gt;=111500")&gt;0,"X","")</f>
      </c>
      <c r="C38" s="56" t="str">
        <f>IF(COUNTIFS('LANÇAMENTOS DIÁRIOS'!$G$5:$G$500,"F",'LANÇAMENTOS DIÁRIOS'!$C$5:$C$500,$A38,'LANÇAMENTOS DIÁRIOS'!$O$5:$O$500,"&lt;=111699",'LANÇAMENTOS DIÁRIOS'!$P$5:$P$500,"&gt;=111600")&gt;0,"X","")</f>
      </c>
      <c r="D38" s="56" t="str">
        <f>IF(COUNTIFS('LANÇAMENTOS DIÁRIOS'!$G$5:$G$500,"F",'LANÇAMENTOS DIÁRIOS'!$C$5:$C$500,$A38,'LANÇAMENTOS DIÁRIOS'!$O$5:$O$500,"&lt;=111799",'LANÇAMENTOS DIÁRIOS'!$P$5:$P$500,"&gt;=111700")&gt;0,"X","")</f>
      </c>
      <c r="E38" s="56" t="str">
        <f>IF(COUNTIFS('LANÇAMENTOS DIÁRIOS'!$G$5:$G$500,"F",'LANÇAMENTOS DIÁRIOS'!$C$5:$C$500,$A38,'LANÇAMENTOS DIÁRIOS'!$O$5:$O$500,"&lt;=111899",'LANÇAMENTOS DIÁRIOS'!$P$5:$P$500,"&gt;=111800")&gt;0,"X","")</f>
      </c>
      <c r="F38" s="56" t="str">
        <f>IF(COUNTIFS('LANÇAMENTOS DIÁRIOS'!$G$5:$G$500,"F",'LANÇAMENTOS DIÁRIOS'!$C$5:$C$500,$A38,'LANÇAMENTOS DIÁRIOS'!$O$5:$O$500,"&lt;=111999",'LANÇAMENTOS DIÁRIOS'!$P$5:$P$500,"&gt;=111900")&gt;0,"X","")</f>
      </c>
      <c r="G38" s="56" t="str">
        <f>IF(COUNTIFS('LANÇAMENTOS DIÁRIOS'!$G$5:$G$500,"F",'LANÇAMENTOS DIÁRIOS'!$C$5:$C$500,$A38,'LANÇAMENTOS DIÁRIOS'!$O$5:$O$500,"&lt;=112099",'LANÇAMENTOS DIÁRIOS'!$P$5:$P$500,"&gt;=112000")&gt;0,"X","")</f>
      </c>
      <c r="H38" s="56" t="str">
        <f>IF(COUNTIFS('LANÇAMENTOS DIÁRIOS'!$G$5:$G$500,"F",'LANÇAMENTOS DIÁRIOS'!$C$5:$C$500,$A38,'LANÇAMENTOS DIÁRIOS'!$O$5:$O$500,"&lt;=112199",'LANÇAMENTOS DIÁRIOS'!$P$5:$P$500,"&gt;=112100")&gt;0,"X","")</f>
      </c>
      <c r="I38" s="56" t="str">
        <f>IF(COUNTIFS('LANÇAMENTOS DIÁRIOS'!$G$5:$G$500,"F",'LANÇAMENTOS DIÁRIOS'!$C$5:$C$500,$A38,'LANÇAMENTOS DIÁRIOS'!$O$5:$O$500,"&lt;=112299",'LANÇAMENTOS DIÁRIOS'!$P$5:$P$500,"&gt;=112200")&gt;0,"X","")</f>
      </c>
      <c r="J38" s="56" t="str">
        <f>IF(COUNTIFS('LANÇAMENTOS DIÁRIOS'!$G$5:$G$500,"F",'LANÇAMENTOS DIÁRIOS'!$C$5:$C$500,$A38,'LANÇAMENTOS DIÁRIOS'!$O$5:$O$500,"&lt;=112399",'LANÇAMENTOS DIÁRIOS'!$P$5:$P$500,"&gt;=112300")&gt;0,"X","")</f>
      </c>
      <c r="K38" s="56" t="str">
        <f>IF(COUNTIFS('LANÇAMENTOS DIÁRIOS'!$G$5:$G$500,"F",'LANÇAMENTOS DIÁRIOS'!$C$5:$C$500,$A38,'LANÇAMENTOS DIÁRIOS'!$O$5:$O$500,"&lt;=112499",'LANÇAMENTOS DIÁRIOS'!$P$5:$P$500,"&gt;=112400")&gt;0,"X","")</f>
      </c>
      <c r="L38" s="56" t="str">
        <f>IF(COUNTIFS('LANÇAMENTOS DIÁRIOS'!$G$5:$G$500,"F",'LANÇAMENTOS DIÁRIOS'!$C$5:$C$500,$A38,'LANÇAMENTOS DIÁRIOS'!$O$5:$O$500,"&lt;=112599",'LANÇAMENTOS DIÁRIOS'!$P$5:$P$500,"&gt;=112500")&gt;0,"X","")</f>
      </c>
      <c r="M38" s="56" t="str">
        <f>IF(COUNTIFS('LANÇAMENTOS DIÁRIOS'!$G$5:$G$500,"F",'LANÇAMENTOS DIÁRIOS'!$C$5:$C$500,$A38,'LANÇAMENTOS DIÁRIOS'!$O$5:$O$500,"&lt;=112699",'LANÇAMENTOS DIÁRIOS'!$P$5:$P$500,"&gt;=112600")&gt;0,"X","")</f>
      </c>
      <c r="N38" s="56" t="str">
        <f>IF(COUNTIFS('LANÇAMENTOS DIÁRIOS'!$G$5:$G$500,"F",'LANÇAMENTOS DIÁRIOS'!$C$5:$C$500,$A38,'LANÇAMENTOS DIÁRIOS'!$O$5:$O$500,"&lt;=112799",'LANÇAMENTOS DIÁRIOS'!$P$5:$P$500,"&gt;=112700")&gt;0,"X","")</f>
      </c>
      <c r="O38" s="56" t="str">
        <f>IF(COUNTIFS('LANÇAMENTOS DIÁRIOS'!$G$5:$G$500,"F",'LANÇAMENTOS DIÁRIOS'!$C$5:$C$500,$A38,'LANÇAMENTOS DIÁRIOS'!$O$5:$O$500,"&lt;=112899",'LANÇAMENTOS DIÁRIOS'!$P$5:$P$500,"&gt;=112800")&gt;0,"X","")</f>
      </c>
      <c r="P38" s="56" t="str">
        <f>IF(COUNTIFS('LANÇAMENTOS DIÁRIOS'!$G$5:$G$500,"F",'LANÇAMENTOS DIÁRIOS'!$C$5:$C$500,$A38,'LANÇAMENTOS DIÁRIOS'!$O$5:$O$500,"&lt;=112999",'LANÇAMENTOS DIÁRIOS'!$P$5:$P$500,"&gt;=112900")&gt;0,"X","")</f>
      </c>
      <c r="Q38" s="56" t="str">
        <f>IF(COUNTIFS('LANÇAMENTOS DIÁRIOS'!$G$5:$G$500,"F",'LANÇAMENTOS DIÁRIOS'!$C$5:$C$500,$A38,'LANÇAMENTOS DIÁRIOS'!$O$5:$O$500,"&lt;=113099",'LANÇAMENTOS DIÁRIOS'!$P$5:$P$500,"&gt;=113000")&gt;0,"X","")</f>
      </c>
      <c r="R38" s="56" t="str">
        <f>IF(COUNTIFS('LANÇAMENTOS DIÁRIOS'!$G$5:$G$500,"F",'LANÇAMENTOS DIÁRIOS'!$C$5:$C$500,$A38,'LANÇAMENTOS DIÁRIOS'!$O$5:$O$500,"&lt;=113199",'LANÇAMENTOS DIÁRIOS'!$P$5:$P$500,"&gt;=113100")&gt;0,"X","")</f>
      </c>
      <c r="S38" s="56" t="str">
        <f>IF(COUNTIFS('LANÇAMENTOS DIÁRIOS'!$G$5:$G$500,"F",'LANÇAMENTOS DIÁRIOS'!$C$5:$C$500,$A38,'LANÇAMENTOS DIÁRIOS'!$O$5:$O$500,"&lt;=113299",'LANÇAMENTOS DIÁRIOS'!$P$5:$P$500,"&gt;=113200")&gt;0,"X","")</f>
      </c>
      <c r="T38" s="56" t="str">
        <f>IF(COUNTIFS('LANÇAMENTOS DIÁRIOS'!$G$5:$G$500,"F",'LANÇAMENTOS DIÁRIOS'!$C$5:$C$500,$A38,'LANÇAMENTOS DIÁRIOS'!$O$5:$O$500,"&lt;=113399",'LANÇAMENTOS DIÁRIOS'!$P$5:$P$500,"&gt;=113300")&gt;0,"X","")</f>
      </c>
      <c r="U38" s="56" t="str">
        <f>IF(COUNTIFS('LANÇAMENTOS DIÁRIOS'!$G$5:$G$500,"F",'LANÇAMENTOS DIÁRIOS'!$C$5:$C$500,$A38,'LANÇAMENTOS DIÁRIOS'!$O$5:$O$500,"&lt;=113499",'LANÇAMENTOS DIÁRIOS'!$P$5:$P$500,"&gt;=113400")&gt;0,"X","")</f>
      </c>
      <c r="V38" s="56" t="str">
        <f>IF(COUNTIFS('LANÇAMENTOS DIÁRIOS'!$G$5:$G$500,"F",'LANÇAMENTOS DIÁRIOS'!$C$5:$C$500,$A38,'LANÇAMENTOS DIÁRIOS'!$O$5:$O$500,"&lt;=113599",'LANÇAMENTOS DIÁRIOS'!$P$5:$P$500,"&gt;=113500")&gt;0,"X","")</f>
      </c>
      <c r="W38" s="56" t="str">
        <f>IF(COUNTIFS('LANÇAMENTOS DIÁRIOS'!$G$5:$G$500,"F",'LANÇAMENTOS DIÁRIOS'!$C$5:$C$500,$A38,'LANÇAMENTOS DIÁRIOS'!$O$5:$O$500,"&lt;=113699",'LANÇAMENTOS DIÁRIOS'!$P$5:$P$500,"&gt;=113600")&gt;0,"X","")</f>
      </c>
      <c r="X38" s="56" t="str">
        <f>IF(COUNTIFS('LANÇAMENTOS DIÁRIOS'!$G$5:$G$500,"F",'LANÇAMENTOS DIÁRIOS'!$C$5:$C$500,$A38,'LANÇAMENTOS DIÁRIOS'!$O$5:$O$500,"&lt;=113799",'LANÇAMENTOS DIÁRIOS'!$P$5:$P$500,"&gt;=113700")&gt;0,"X","")</f>
      </c>
      <c r="Y38" s="56" t="str">
        <f>IF(COUNTIFS('LANÇAMENTOS DIÁRIOS'!$G$5:$G$500,"F",'LANÇAMENTOS DIÁRIOS'!$C$5:$C$500,$A38,'LANÇAMENTOS DIÁRIOS'!$O$5:$O$500,"&lt;=113899",'LANÇAMENTOS DIÁRIOS'!$P$5:$P$500,"&gt;=113800")&gt;0,"X","")</f>
      </c>
      <c r="Z38" s="56" t="str">
        <f>IF(COUNTIFS('LANÇAMENTOS DIÁRIOS'!$G$5:$G$500,"F",'LANÇAMENTOS DIÁRIOS'!$C$5:$C$500,$A38,'LANÇAMENTOS DIÁRIOS'!$O$5:$O$500,"&lt;=113999",'LANÇAMENTOS DIÁRIOS'!$P$5:$P$500,"&gt;=113900")&gt;0,"X","")</f>
      </c>
      <c r="AA38" s="56" t="str">
        <f>IF(COUNTIFS('LANÇAMENTOS DIÁRIOS'!$G$5:$G$500,"F",'LANÇAMENTOS DIÁRIOS'!$C$5:$C$500,$A38,'LANÇAMENTOS DIÁRIOS'!$O$5:$O$500,"&lt;=114099",'LANÇAMENTOS DIÁRIOS'!$P$5:$P$500,"&gt;=114000")&gt;0,"X","")</f>
      </c>
      <c r="AB38" s="56" t="str">
        <f>IF(COUNTIFS('LANÇAMENTOS DIÁRIOS'!$G$5:$G$500,"F",'LANÇAMENTOS DIÁRIOS'!$C$5:$C$500,$A38,'LANÇAMENTOS DIÁRIOS'!$O$5:$O$500,"&lt;=114199",'LANÇAMENTOS DIÁRIOS'!$P$5:$P$500,"&gt;=114100")&gt;0,"X","")</f>
      </c>
      <c r="AC38" s="56" t="str">
        <f>IF(COUNTIFS('LANÇAMENTOS DIÁRIOS'!$G$5:$G$500,"F",'LANÇAMENTOS DIÁRIOS'!$C$5:$C$500,$A38,'LANÇAMENTOS DIÁRIOS'!$O$5:$O$500,"&lt;=114299",'LANÇAMENTOS DIÁRIOS'!$P$5:$P$500,"&gt;=114200")&gt;0,"X","")</f>
      </c>
      <c r="AD38" s="56" t="str">
        <f>IF(COUNTIFS('LANÇAMENTOS DIÁRIOS'!$G$5:$G$500,"F",'LANÇAMENTOS DIÁRIOS'!$C$5:$C$500,$A38,'LANÇAMENTOS DIÁRIOS'!$O$5:$O$500,"&lt;=114399",'LANÇAMENTOS DIÁRIOS'!$P$5:$P$500,"&gt;=114300")&gt;0,"X","")</f>
      </c>
      <c r="AE38" s="56" t="str">
        <f>IF(COUNTIFS('LANÇAMENTOS DIÁRIOS'!$G$5:$G$500,"F",'LANÇAMENTOS DIÁRIOS'!$C$5:$C$500,$A38,'LANÇAMENTOS DIÁRIOS'!$O$5:$O$500,"&lt;=114499",'LANÇAMENTOS DIÁRIOS'!$P$5:$P$500,"&gt;=114400")&gt;0,"X","")</f>
      </c>
      <c r="AF38" s="56" t="str">
        <f>IF(COUNTIFS('LANÇAMENTOS DIÁRIOS'!$G$5:$G$500,"F",'LANÇAMENTOS DIÁRIOS'!$C$5:$C$500,$A38,'LANÇAMENTOS DIÁRIOS'!$O$5:$O$500,"&lt;=114599",'LANÇAMENTOS DIÁRIOS'!$P$5:$P$500,"&gt;=114500")&gt;0,"X","")</f>
      </c>
      <c r="AG38" s="56" t="str">
        <f>IF(COUNTIFS('LANÇAMENTOS DIÁRIOS'!$G$5:$G$500,"F",'LANÇAMENTOS DIÁRIOS'!$C$5:$C$500,$A38,'LANÇAMENTOS DIÁRIOS'!$O$5:$O$500,"&lt;=114699",'LANÇAMENTOS DIÁRIOS'!$P$5:$P$500,"&gt;=114600")&gt;0,"X","")</f>
      </c>
      <c r="AH38" s="56" t="str">
        <f>IF(COUNTIFS('LANÇAMENTOS DIÁRIOS'!$G$5:$G$500,"F",'LANÇAMENTOS DIÁRIOS'!$C$5:$C$500,$A38,'LANÇAMENTOS DIÁRIOS'!$O$5:$O$500,"&lt;=114799",'LANÇAMENTOS DIÁRIOS'!$P$5:$P$500,"&gt;=114700")&gt;0,"X","")</f>
      </c>
      <c r="AI38" s="56" t="str">
        <f>IF(COUNTIFS('LANÇAMENTOS DIÁRIOS'!$G$5:$G$500,"F",'LANÇAMENTOS DIÁRIOS'!$C$5:$C$500,$A38,'LANÇAMENTOS DIÁRIOS'!$O$5:$O$500,"&lt;=114899",'LANÇAMENTOS DIÁRIOS'!$P$5:$P$500,"&gt;=114800")&gt;0,"X","")</f>
      </c>
      <c r="AJ38" s="56" t="str">
        <f>IF(COUNTIFS('LANÇAMENTOS DIÁRIOS'!$G$5:$G$500,"F",'LANÇAMENTOS DIÁRIOS'!$C$5:$C$500,$A38,'LANÇAMENTOS DIÁRIOS'!$O$5:$O$500,"&lt;=114999",'LANÇAMENTOS DIÁRIOS'!$P$5:$P$500,"&gt;=114900")&gt;0,"X","")</f>
      </c>
      <c r="AK38" s="56" t="str">
        <f>IF(COUNTIFS('LANÇAMENTOS DIÁRIOS'!$G$5:$G$500,"F",'LANÇAMENTOS DIÁRIOS'!$C$5:$C$500,$A38,'LANÇAMENTOS DIÁRIOS'!$O$5:$O$500,"&lt;=115099",'LANÇAMENTOS DIÁRIOS'!$P$5:$P$500,"&gt;=115000")&gt;0,"X","")</f>
      </c>
      <c r="AL38" s="56" t="str">
        <f>IF(COUNTIFS('LANÇAMENTOS DIÁRIOS'!$G$5:$G$500,"F",'LANÇAMENTOS DIÁRIOS'!$C$5:$C$500,$A38,'LANÇAMENTOS DIÁRIOS'!$O$5:$O$500,"&lt;=115199",'LANÇAMENTOS DIÁRIOS'!$P$5:$P$500,"&gt;=115100")&gt;0,"X","")</f>
      </c>
      <c r="AM38" s="56" t="str">
        <f>IF(COUNTIFS('LANÇAMENTOS DIÁRIOS'!$G$5:$G$500,"F",'LANÇAMENTOS DIÁRIOS'!$C$5:$C$500,$A38,'LANÇAMENTOS DIÁRIOS'!$O$5:$O$500,"&lt;=115299",'LANÇAMENTOS DIÁRIOS'!$P$5:$P$500,"&gt;=115200")&gt;0,"X","")</f>
      </c>
      <c r="AN38" s="56" t="str">
        <f>IF(COUNTIFS('LANÇAMENTOS DIÁRIOS'!$G$5:$G$500,"F",'LANÇAMENTOS DIÁRIOS'!$C$5:$C$500,$A38,'LANÇAMENTOS DIÁRIOS'!$O$5:$O$500,"&lt;=115399",'LANÇAMENTOS DIÁRIOS'!$P$5:$P$500,"&gt;=115300")&gt;0,"X","")</f>
      </c>
      <c r="AO38" s="56" t="str">
        <f>IF(COUNTIFS('LANÇAMENTOS DIÁRIOS'!$G$5:$G$500,"F",'LANÇAMENTOS DIÁRIOS'!$C$5:$C$500,$A38,'LANÇAMENTOS DIÁRIOS'!$O$5:$O$500,"&lt;=115499",'LANÇAMENTOS DIÁRIOS'!$P$5:$P$500,"&gt;=115400")&gt;0,"X","")</f>
      </c>
      <c r="AP38" s="56" t="str">
        <f>IF(COUNTIFS('LANÇAMENTOS DIÁRIOS'!$G$5:$G$500,"F",'LANÇAMENTOS DIÁRIOS'!$C$5:$C$500,$A38,'LANÇAMENTOS DIÁRIOS'!$O$5:$O$500,"&lt;=115599",'LANÇAMENTOS DIÁRIOS'!$P$5:$P$500,"&gt;=115500")&gt;0,"X","")</f>
      </c>
      <c r="AQ38" s="56" t="str">
        <f>IF(COUNTIFS('LANÇAMENTOS DIÁRIOS'!$G$5:$G$500,"F",'LANÇAMENTOS DIÁRIOS'!$C$5:$C$500,$A38,'LANÇAMENTOS DIÁRIOS'!$O$5:$O$500,"&lt;=115699",'LANÇAMENTOS DIÁRIOS'!$P$5:$P$500,"&gt;=115600")&gt;0,"X","")</f>
      </c>
      <c r="AR38" s="56" t="str">
        <f>IF(COUNTIFS('LANÇAMENTOS DIÁRIOS'!$G$5:$G$500,"F",'LANÇAMENTOS DIÁRIOS'!$C$5:$C$500,$A38,'LANÇAMENTOS DIÁRIOS'!$O$5:$O$500,"&lt;=115799",'LANÇAMENTOS DIÁRIOS'!$P$5:$P$500,"&gt;=115700")&gt;0,"X","")</f>
      </c>
      <c r="AS38" s="56" t="str">
        <f>IF(COUNTIFS('LANÇAMENTOS DIÁRIOS'!$G$5:$G$500,"F",'LANÇAMENTOS DIÁRIOS'!$C$5:$C$500,$A38,'LANÇAMENTOS DIÁRIOS'!$O$5:$O$500,"&lt;=115899",'LANÇAMENTOS DIÁRIOS'!$P$5:$P$500,"&gt;=115800")&gt;0,"X","")</f>
      </c>
      <c r="AT38" s="56" t="str">
        <f>IF(COUNTIFS('LANÇAMENTOS DIÁRIOS'!$G$5:$G$500,"F",'LANÇAMENTOS DIÁRIOS'!$C$5:$C$500,$A38,'LANÇAMENTOS DIÁRIOS'!$O$5:$O$500,"&lt;=115999",'LANÇAMENTOS DIÁRIOS'!$P$5:$P$500,"&gt;=115900")&gt;0,"X","")</f>
      </c>
      <c r="AU38" s="56" t="str">
        <f>IF(COUNTIFS('LANÇAMENTOS DIÁRIOS'!$G$5:$G$500,"F",'LANÇAMENTOS DIÁRIOS'!$C$5:$C$500,$A38,'LANÇAMENTOS DIÁRIOS'!$O$5:$O$500,"&lt;=116099",'LANÇAMENTOS DIÁRIOS'!$P$5:$P$500,"&gt;=116000")&gt;0,"X","")</f>
      </c>
      <c r="AV38" s="56" t="str">
        <f>IF(COUNTIFS('LANÇAMENTOS DIÁRIOS'!$G$5:$G$500,"F",'LANÇAMENTOS DIÁRIOS'!$C$5:$C$500,$A38,'LANÇAMENTOS DIÁRIOS'!$O$5:$O$500,"&lt;=116199",'LANÇAMENTOS DIÁRIOS'!$P$5:$P$500,"&gt;=116100")&gt;0,"X","")</f>
      </c>
      <c r="AW38" s="56" t="str">
        <f>IF(COUNTIFS('LANÇAMENTOS DIÁRIOS'!$G$5:$G$500,"F",'LANÇAMENTOS DIÁRIOS'!$C$5:$C$500,$A38,'LANÇAMENTOS DIÁRIOS'!$O$5:$O$500,"&lt;=116299",'LANÇAMENTOS DIÁRIOS'!$P$5:$P$500,"&gt;=116200")&gt;0,"X","")</f>
      </c>
      <c r="AX38" s="56" t="str">
        <f>IF(COUNTIFS('LANÇAMENTOS DIÁRIOS'!$G$5:$G$500,"F",'LANÇAMENTOS DIÁRIOS'!$C$5:$C$500,$A38,'LANÇAMENTOS DIÁRIOS'!$O$5:$O$500,"&lt;=116399",'LANÇAMENTOS DIÁRIOS'!$P$5:$P$500,"&gt;=116300")&gt;0,"X","")</f>
      </c>
      <c r="AY38" s="56" t="str">
        <f>IF(COUNTIFS('LANÇAMENTOS DIÁRIOS'!$G$5:$G$500,"F",'LANÇAMENTOS DIÁRIOS'!$C$5:$C$500,$A38,'LANÇAMENTOS DIÁRIOS'!$O$5:$O$500,"&lt;=116499",'LANÇAMENTOS DIÁRIOS'!$P$5:$P$500,"&gt;=116400")&gt;0,"X","")</f>
      </c>
      <c r="AZ38" s="56" t="str">
        <f>IF(COUNTIFS('LANÇAMENTOS DIÁRIOS'!$G$5:$G$500,"F",'LANÇAMENTOS DIÁRIOS'!$C$5:$C$500,$A38,'LANÇAMENTOS DIÁRIOS'!$O$5:$O$500,"&lt;=116599",'LANÇAMENTOS DIÁRIOS'!$P$5:$P$500,"&gt;=116500")&gt;0,"X","")</f>
      </c>
      <c r="BA38" s="56" t="str">
        <f>IF(COUNTIFS('LANÇAMENTOS DIÁRIOS'!$G$5:$G$500,"F",'LANÇAMENTOS DIÁRIOS'!$C$5:$C$500,$A38,'LANÇAMENTOS DIÁRIOS'!$O$5:$O$500,"&lt;=116699",'LANÇAMENTOS DIÁRIOS'!$P$5:$P$500,"&gt;=116600")&gt;0,"X","")</f>
      </c>
      <c r="BB38" s="56" t="str">
        <f>IF(COUNTIFS('LANÇAMENTOS DIÁRIOS'!$G$5:$G$500,"F",'LANÇAMENTOS DIÁRIOS'!$C$5:$C$500,$A38,'LANÇAMENTOS DIÁRIOS'!$O$5:$O$500,"&lt;=116799",'LANÇAMENTOS DIÁRIOS'!$P$5:$P$500,"&gt;=116700")&gt;0,"X","")</f>
      </c>
      <c r="BC38" s="56" t="str">
        <f>IF(COUNTIFS('LANÇAMENTOS DIÁRIOS'!$G$5:$G$500,"F",'LANÇAMENTOS DIÁRIOS'!$C$5:$C$500,$A38,'LANÇAMENTOS DIÁRIOS'!$O$5:$O$500,"&lt;=116899",'LANÇAMENTOS DIÁRIOS'!$P$5:$P$500,"&gt;=116800")&gt;0,"X","")</f>
      </c>
      <c r="BD38" s="56" t="str">
        <f>IF(COUNTIFS('LANÇAMENTOS DIÁRIOS'!$G$5:$G$500,"F",'LANÇAMENTOS DIÁRIOS'!$C$5:$C$500,$A38,'LANÇAMENTOS DIÁRIOS'!$O$5:$O$500,"&lt;=116999",'LANÇAMENTOS DIÁRIOS'!$P$5:$P$500,"&gt;=116900")&gt;0,"X","")</f>
      </c>
      <c r="BE38" s="56" t="str">
        <f>IF(COUNTIFS('LANÇAMENTOS DIÁRIOS'!$G$5:$G$500,"F",'LANÇAMENTOS DIÁRIOS'!$C$5:$C$500,$A38,'LANÇAMENTOS DIÁRIOS'!$O$5:$O$500,"&lt;=117099",'LANÇAMENTOS DIÁRIOS'!$P$5:$P$500,"&gt;=117000")&gt;0,"X","")</f>
      </c>
      <c r="BF38" s="56" t="str">
        <f>IF(COUNTIFS('LANÇAMENTOS DIÁRIOS'!$G$5:$G$500,"F",'LANÇAMENTOS DIÁRIOS'!$C$5:$C$500,$A38,'LANÇAMENTOS DIÁRIOS'!$O$5:$O$500,"&lt;=117199",'LANÇAMENTOS DIÁRIOS'!$P$5:$P$500,"&gt;=117100")&gt;0,"X","")</f>
      </c>
      <c r="BG38" s="56" t="str">
        <f>IF(COUNTIFS('LANÇAMENTOS DIÁRIOS'!$G$5:$G$500,"F",'LANÇAMENTOS DIÁRIOS'!$C$5:$C$500,$A38,'LANÇAMENTOS DIÁRIOS'!$O$5:$O$500,"&lt;=117219",'LANÇAMENTOS DIÁRIOS'!$P$5:$P$500,"&gt;=117200")&gt;0,"X","")</f>
      </c>
      <c r="BH38" s="56" t="str">
        <f>IF(COUNTIFS('LANÇAMENTOS DIÁRIOS'!$G$5:$G$500,"F",'LANÇAMENTOS DIÁRIOS'!$C$5:$C$500,$A38,'LANÇAMENTOS DIÁRIOS'!$O$5:$O$500,"&lt;=117220",'LANÇAMENTOS DIÁRIOS'!$P$5:$P$500,"&gt;=117220")&gt;0,"X","")</f>
      </c>
    </row>
    <row r="39">
      <c r="A39" s="51" t="str">
        <v>Escavação e carga de material de 3ª categoria a, com a utilização de equipamento hidráulico (picão) - Sem Transporte</v>
      </c>
      <c r="B39" s="56" t="str">
        <f>IF(COUNTIFS('LANÇAMENTOS DIÁRIOS'!$G$5:$G$500,"F",'LANÇAMENTOS DIÁRIOS'!$C$5:$C$500,$A39,'LANÇAMENTOS DIÁRIOS'!$O$5:$O$500,"&lt;=111599",'LANÇAMENTOS DIÁRIOS'!$P$5:$P$500,"&gt;=111500")&gt;0,"X","")</f>
      </c>
      <c r="C39" s="56" t="str">
        <f>IF(COUNTIFS('LANÇAMENTOS DIÁRIOS'!$G$5:$G$500,"F",'LANÇAMENTOS DIÁRIOS'!$C$5:$C$500,$A39,'LANÇAMENTOS DIÁRIOS'!$O$5:$O$500,"&lt;=111699",'LANÇAMENTOS DIÁRIOS'!$P$5:$P$500,"&gt;=111600")&gt;0,"X","")</f>
      </c>
      <c r="D39" s="56" t="str">
        <f>IF(COUNTIFS('LANÇAMENTOS DIÁRIOS'!$G$5:$G$500,"F",'LANÇAMENTOS DIÁRIOS'!$C$5:$C$500,$A39,'LANÇAMENTOS DIÁRIOS'!$O$5:$O$500,"&lt;=111799",'LANÇAMENTOS DIÁRIOS'!$P$5:$P$500,"&gt;=111700")&gt;0,"X","")</f>
      </c>
      <c r="E39" s="56" t="str">
        <f>IF(COUNTIFS('LANÇAMENTOS DIÁRIOS'!$G$5:$G$500,"F",'LANÇAMENTOS DIÁRIOS'!$C$5:$C$500,$A39,'LANÇAMENTOS DIÁRIOS'!$O$5:$O$500,"&lt;=111899",'LANÇAMENTOS DIÁRIOS'!$P$5:$P$500,"&gt;=111800")&gt;0,"X","")</f>
      </c>
      <c r="F39" s="56" t="str">
        <f>IF(COUNTIFS('LANÇAMENTOS DIÁRIOS'!$G$5:$G$500,"F",'LANÇAMENTOS DIÁRIOS'!$C$5:$C$500,$A39,'LANÇAMENTOS DIÁRIOS'!$O$5:$O$500,"&lt;=111999",'LANÇAMENTOS DIÁRIOS'!$P$5:$P$500,"&gt;=111900")&gt;0,"X","")</f>
      </c>
      <c r="G39" s="56" t="str">
        <f>IF(COUNTIFS('LANÇAMENTOS DIÁRIOS'!$G$5:$G$500,"F",'LANÇAMENTOS DIÁRIOS'!$C$5:$C$500,$A39,'LANÇAMENTOS DIÁRIOS'!$O$5:$O$500,"&lt;=112099",'LANÇAMENTOS DIÁRIOS'!$P$5:$P$500,"&gt;=112000")&gt;0,"X","")</f>
      </c>
      <c r="H39" s="56" t="str">
        <f>IF(COUNTIFS('LANÇAMENTOS DIÁRIOS'!$G$5:$G$500,"F",'LANÇAMENTOS DIÁRIOS'!$C$5:$C$500,$A39,'LANÇAMENTOS DIÁRIOS'!$O$5:$O$500,"&lt;=112199",'LANÇAMENTOS DIÁRIOS'!$P$5:$P$500,"&gt;=112100")&gt;0,"X","")</f>
      </c>
      <c r="I39" s="56" t="str">
        <f>IF(COUNTIFS('LANÇAMENTOS DIÁRIOS'!$G$5:$G$500,"F",'LANÇAMENTOS DIÁRIOS'!$C$5:$C$500,$A39,'LANÇAMENTOS DIÁRIOS'!$O$5:$O$500,"&lt;=112299",'LANÇAMENTOS DIÁRIOS'!$P$5:$P$500,"&gt;=112200")&gt;0,"X","")</f>
      </c>
      <c r="J39" s="56" t="str">
        <f>IF(COUNTIFS('LANÇAMENTOS DIÁRIOS'!$G$5:$G$500,"F",'LANÇAMENTOS DIÁRIOS'!$C$5:$C$500,$A39,'LANÇAMENTOS DIÁRIOS'!$O$5:$O$500,"&lt;=112399",'LANÇAMENTOS DIÁRIOS'!$P$5:$P$500,"&gt;=112300")&gt;0,"X","")</f>
      </c>
      <c r="K39" s="56" t="str">
        <f>IF(COUNTIFS('LANÇAMENTOS DIÁRIOS'!$G$5:$G$500,"F",'LANÇAMENTOS DIÁRIOS'!$C$5:$C$500,$A39,'LANÇAMENTOS DIÁRIOS'!$O$5:$O$500,"&lt;=112499",'LANÇAMENTOS DIÁRIOS'!$P$5:$P$500,"&gt;=112400")&gt;0,"X","")</f>
      </c>
      <c r="L39" s="56" t="str">
        <f>IF(COUNTIFS('LANÇAMENTOS DIÁRIOS'!$G$5:$G$500,"F",'LANÇAMENTOS DIÁRIOS'!$C$5:$C$500,$A39,'LANÇAMENTOS DIÁRIOS'!$O$5:$O$500,"&lt;=112599",'LANÇAMENTOS DIÁRIOS'!$P$5:$P$500,"&gt;=112500")&gt;0,"X","")</f>
      </c>
      <c r="M39" s="56" t="str">
        <f>IF(COUNTIFS('LANÇAMENTOS DIÁRIOS'!$G$5:$G$500,"F",'LANÇAMENTOS DIÁRIOS'!$C$5:$C$500,$A39,'LANÇAMENTOS DIÁRIOS'!$O$5:$O$500,"&lt;=112699",'LANÇAMENTOS DIÁRIOS'!$P$5:$P$500,"&gt;=112600")&gt;0,"X","")</f>
      </c>
      <c r="N39" s="56" t="str">
        <f>IF(COUNTIFS('LANÇAMENTOS DIÁRIOS'!$G$5:$G$500,"F",'LANÇAMENTOS DIÁRIOS'!$C$5:$C$500,$A39,'LANÇAMENTOS DIÁRIOS'!$O$5:$O$500,"&lt;=112799",'LANÇAMENTOS DIÁRIOS'!$P$5:$P$500,"&gt;=112700")&gt;0,"X","")</f>
      </c>
      <c r="O39" s="56" t="str">
        <f>IF(COUNTIFS('LANÇAMENTOS DIÁRIOS'!$G$5:$G$500,"F",'LANÇAMENTOS DIÁRIOS'!$C$5:$C$500,$A39,'LANÇAMENTOS DIÁRIOS'!$O$5:$O$500,"&lt;=112899",'LANÇAMENTOS DIÁRIOS'!$P$5:$P$500,"&gt;=112800")&gt;0,"X","")</f>
      </c>
      <c r="P39" s="56" t="str">
        <f>IF(COUNTIFS('LANÇAMENTOS DIÁRIOS'!$G$5:$G$500,"F",'LANÇAMENTOS DIÁRIOS'!$C$5:$C$500,$A39,'LANÇAMENTOS DIÁRIOS'!$O$5:$O$500,"&lt;=112999",'LANÇAMENTOS DIÁRIOS'!$P$5:$P$500,"&gt;=112900")&gt;0,"X","")</f>
      </c>
      <c r="Q39" s="56" t="str">
        <f>IF(COUNTIFS('LANÇAMENTOS DIÁRIOS'!$G$5:$G$500,"F",'LANÇAMENTOS DIÁRIOS'!$C$5:$C$500,$A39,'LANÇAMENTOS DIÁRIOS'!$O$5:$O$500,"&lt;=113099",'LANÇAMENTOS DIÁRIOS'!$P$5:$P$500,"&gt;=113000")&gt;0,"X","")</f>
      </c>
      <c r="R39" s="56" t="str">
        <f>IF(COUNTIFS('LANÇAMENTOS DIÁRIOS'!$G$5:$G$500,"F",'LANÇAMENTOS DIÁRIOS'!$C$5:$C$500,$A39,'LANÇAMENTOS DIÁRIOS'!$O$5:$O$500,"&lt;=113199",'LANÇAMENTOS DIÁRIOS'!$P$5:$P$500,"&gt;=113100")&gt;0,"X","")</f>
      </c>
      <c r="S39" s="56" t="str">
        <f>IF(COUNTIFS('LANÇAMENTOS DIÁRIOS'!$G$5:$G$500,"F",'LANÇAMENTOS DIÁRIOS'!$C$5:$C$500,$A39,'LANÇAMENTOS DIÁRIOS'!$O$5:$O$500,"&lt;=113299",'LANÇAMENTOS DIÁRIOS'!$P$5:$P$500,"&gt;=113200")&gt;0,"X","")</f>
      </c>
      <c r="T39" s="56" t="str">
        <f>IF(COUNTIFS('LANÇAMENTOS DIÁRIOS'!$G$5:$G$500,"F",'LANÇAMENTOS DIÁRIOS'!$C$5:$C$500,$A39,'LANÇAMENTOS DIÁRIOS'!$O$5:$O$500,"&lt;=113399",'LANÇAMENTOS DIÁRIOS'!$P$5:$P$500,"&gt;=113300")&gt;0,"X","")</f>
      </c>
      <c r="U39" s="56" t="str">
        <f>IF(COUNTIFS('LANÇAMENTOS DIÁRIOS'!$G$5:$G$500,"F",'LANÇAMENTOS DIÁRIOS'!$C$5:$C$500,$A39,'LANÇAMENTOS DIÁRIOS'!$O$5:$O$500,"&lt;=113499",'LANÇAMENTOS DIÁRIOS'!$P$5:$P$500,"&gt;=113400")&gt;0,"X","")</f>
      </c>
      <c r="V39" s="56" t="str">
        <f>IF(COUNTIFS('LANÇAMENTOS DIÁRIOS'!$G$5:$G$500,"F",'LANÇAMENTOS DIÁRIOS'!$C$5:$C$500,$A39,'LANÇAMENTOS DIÁRIOS'!$O$5:$O$500,"&lt;=113599",'LANÇAMENTOS DIÁRIOS'!$P$5:$P$500,"&gt;=113500")&gt;0,"X","")</f>
      </c>
      <c r="W39" s="56" t="str">
        <f>IF(COUNTIFS('LANÇAMENTOS DIÁRIOS'!$G$5:$G$500,"F",'LANÇAMENTOS DIÁRIOS'!$C$5:$C$500,$A39,'LANÇAMENTOS DIÁRIOS'!$O$5:$O$500,"&lt;=113699",'LANÇAMENTOS DIÁRIOS'!$P$5:$P$500,"&gt;=113600")&gt;0,"X","")</f>
      </c>
      <c r="X39" s="56" t="str">
        <f>IF(COUNTIFS('LANÇAMENTOS DIÁRIOS'!$G$5:$G$500,"F",'LANÇAMENTOS DIÁRIOS'!$C$5:$C$500,$A39,'LANÇAMENTOS DIÁRIOS'!$O$5:$O$500,"&lt;=113799",'LANÇAMENTOS DIÁRIOS'!$P$5:$P$500,"&gt;=113700")&gt;0,"X","")</f>
      </c>
      <c r="Y39" s="56" t="str">
        <f>IF(COUNTIFS('LANÇAMENTOS DIÁRIOS'!$G$5:$G$500,"F",'LANÇAMENTOS DIÁRIOS'!$C$5:$C$500,$A39,'LANÇAMENTOS DIÁRIOS'!$O$5:$O$500,"&lt;=113899",'LANÇAMENTOS DIÁRIOS'!$P$5:$P$500,"&gt;=113800")&gt;0,"X","")</f>
      </c>
      <c r="Z39" s="56" t="str">
        <f>IF(COUNTIFS('LANÇAMENTOS DIÁRIOS'!$G$5:$G$500,"F",'LANÇAMENTOS DIÁRIOS'!$C$5:$C$500,$A39,'LANÇAMENTOS DIÁRIOS'!$O$5:$O$500,"&lt;=113999",'LANÇAMENTOS DIÁRIOS'!$P$5:$P$500,"&gt;=113900")&gt;0,"X","")</f>
      </c>
      <c r="AA39" s="56" t="str">
        <f>IF(COUNTIFS('LANÇAMENTOS DIÁRIOS'!$G$5:$G$500,"F",'LANÇAMENTOS DIÁRIOS'!$C$5:$C$500,$A39,'LANÇAMENTOS DIÁRIOS'!$O$5:$O$500,"&lt;=114099",'LANÇAMENTOS DIÁRIOS'!$P$5:$P$500,"&gt;=114000")&gt;0,"X","")</f>
      </c>
      <c r="AB39" s="56" t="str">
        <f>IF(COUNTIFS('LANÇAMENTOS DIÁRIOS'!$G$5:$G$500,"F",'LANÇAMENTOS DIÁRIOS'!$C$5:$C$500,$A39,'LANÇAMENTOS DIÁRIOS'!$O$5:$O$500,"&lt;=114199",'LANÇAMENTOS DIÁRIOS'!$P$5:$P$500,"&gt;=114100")&gt;0,"X","")</f>
      </c>
      <c r="AC39" s="56" t="str">
        <f>IF(COUNTIFS('LANÇAMENTOS DIÁRIOS'!$G$5:$G$500,"F",'LANÇAMENTOS DIÁRIOS'!$C$5:$C$500,$A39,'LANÇAMENTOS DIÁRIOS'!$O$5:$O$500,"&lt;=114299",'LANÇAMENTOS DIÁRIOS'!$P$5:$P$500,"&gt;=114200")&gt;0,"X","")</f>
      </c>
      <c r="AD39" s="56" t="str">
        <f>IF(COUNTIFS('LANÇAMENTOS DIÁRIOS'!$G$5:$G$500,"F",'LANÇAMENTOS DIÁRIOS'!$C$5:$C$500,$A39,'LANÇAMENTOS DIÁRIOS'!$O$5:$O$500,"&lt;=114399",'LANÇAMENTOS DIÁRIOS'!$P$5:$P$500,"&gt;=114300")&gt;0,"X","")</f>
      </c>
      <c r="AE39" s="56" t="str">
        <f>IF(COUNTIFS('LANÇAMENTOS DIÁRIOS'!$G$5:$G$500,"F",'LANÇAMENTOS DIÁRIOS'!$C$5:$C$500,$A39,'LANÇAMENTOS DIÁRIOS'!$O$5:$O$500,"&lt;=114499",'LANÇAMENTOS DIÁRIOS'!$P$5:$P$500,"&gt;=114400")&gt;0,"X","")</f>
      </c>
      <c r="AF39" s="56" t="str">
        <f>IF(COUNTIFS('LANÇAMENTOS DIÁRIOS'!$G$5:$G$500,"F",'LANÇAMENTOS DIÁRIOS'!$C$5:$C$500,$A39,'LANÇAMENTOS DIÁRIOS'!$O$5:$O$500,"&lt;=114599",'LANÇAMENTOS DIÁRIOS'!$P$5:$P$500,"&gt;=114500")&gt;0,"X","")</f>
      </c>
      <c r="AG39" s="56" t="str">
        <f>IF(COUNTIFS('LANÇAMENTOS DIÁRIOS'!$G$5:$G$500,"F",'LANÇAMENTOS DIÁRIOS'!$C$5:$C$500,$A39,'LANÇAMENTOS DIÁRIOS'!$O$5:$O$500,"&lt;=114699",'LANÇAMENTOS DIÁRIOS'!$P$5:$P$500,"&gt;=114600")&gt;0,"X","")</f>
      </c>
      <c r="AH39" s="56" t="str">
        <f>IF(COUNTIFS('LANÇAMENTOS DIÁRIOS'!$G$5:$G$500,"F",'LANÇAMENTOS DIÁRIOS'!$C$5:$C$500,$A39,'LANÇAMENTOS DIÁRIOS'!$O$5:$O$500,"&lt;=114799",'LANÇAMENTOS DIÁRIOS'!$P$5:$P$500,"&gt;=114700")&gt;0,"X","")</f>
      </c>
      <c r="AI39" s="56" t="str">
        <f>IF(COUNTIFS('LANÇAMENTOS DIÁRIOS'!$G$5:$G$500,"F",'LANÇAMENTOS DIÁRIOS'!$C$5:$C$500,$A39,'LANÇAMENTOS DIÁRIOS'!$O$5:$O$500,"&lt;=114899",'LANÇAMENTOS DIÁRIOS'!$P$5:$P$500,"&gt;=114800")&gt;0,"X","")</f>
      </c>
      <c r="AJ39" s="56" t="str">
        <f>IF(COUNTIFS('LANÇAMENTOS DIÁRIOS'!$G$5:$G$500,"F",'LANÇAMENTOS DIÁRIOS'!$C$5:$C$500,$A39,'LANÇAMENTOS DIÁRIOS'!$O$5:$O$500,"&lt;=114999",'LANÇAMENTOS DIÁRIOS'!$P$5:$P$500,"&gt;=114900")&gt;0,"X","")</f>
      </c>
      <c r="AK39" s="56" t="str">
        <f>IF(COUNTIFS('LANÇAMENTOS DIÁRIOS'!$G$5:$G$500,"F",'LANÇAMENTOS DIÁRIOS'!$C$5:$C$500,$A39,'LANÇAMENTOS DIÁRIOS'!$O$5:$O$500,"&lt;=115099",'LANÇAMENTOS DIÁRIOS'!$P$5:$P$500,"&gt;=115000")&gt;0,"X","")</f>
      </c>
      <c r="AL39" s="56" t="str">
        <f>IF(COUNTIFS('LANÇAMENTOS DIÁRIOS'!$G$5:$G$500,"F",'LANÇAMENTOS DIÁRIOS'!$C$5:$C$500,$A39,'LANÇAMENTOS DIÁRIOS'!$O$5:$O$500,"&lt;=115199",'LANÇAMENTOS DIÁRIOS'!$P$5:$P$500,"&gt;=115100")&gt;0,"X","")</f>
      </c>
      <c r="AM39" s="56" t="str">
        <f>IF(COUNTIFS('LANÇAMENTOS DIÁRIOS'!$G$5:$G$500,"F",'LANÇAMENTOS DIÁRIOS'!$C$5:$C$500,$A39,'LANÇAMENTOS DIÁRIOS'!$O$5:$O$500,"&lt;=115299",'LANÇAMENTOS DIÁRIOS'!$P$5:$P$500,"&gt;=115200")&gt;0,"X","")</f>
      </c>
      <c r="AN39" s="56" t="str">
        <f>IF(COUNTIFS('LANÇAMENTOS DIÁRIOS'!$G$5:$G$500,"F",'LANÇAMENTOS DIÁRIOS'!$C$5:$C$500,$A39,'LANÇAMENTOS DIÁRIOS'!$O$5:$O$500,"&lt;=115399",'LANÇAMENTOS DIÁRIOS'!$P$5:$P$500,"&gt;=115300")&gt;0,"X","")</f>
      </c>
      <c r="AO39" s="56" t="str">
        <f>IF(COUNTIFS('LANÇAMENTOS DIÁRIOS'!$G$5:$G$500,"F",'LANÇAMENTOS DIÁRIOS'!$C$5:$C$500,$A39,'LANÇAMENTOS DIÁRIOS'!$O$5:$O$500,"&lt;=115499",'LANÇAMENTOS DIÁRIOS'!$P$5:$P$500,"&gt;=115400")&gt;0,"X","")</f>
      </c>
      <c r="AP39" s="56" t="str">
        <f>IF(COUNTIFS('LANÇAMENTOS DIÁRIOS'!$G$5:$G$500,"F",'LANÇAMENTOS DIÁRIOS'!$C$5:$C$500,$A39,'LANÇAMENTOS DIÁRIOS'!$O$5:$O$500,"&lt;=115599",'LANÇAMENTOS DIÁRIOS'!$P$5:$P$500,"&gt;=115500")&gt;0,"X","")</f>
      </c>
      <c r="AQ39" s="56" t="str">
        <f>IF(COUNTIFS('LANÇAMENTOS DIÁRIOS'!$G$5:$G$500,"F",'LANÇAMENTOS DIÁRIOS'!$C$5:$C$500,$A39,'LANÇAMENTOS DIÁRIOS'!$O$5:$O$500,"&lt;=115699",'LANÇAMENTOS DIÁRIOS'!$P$5:$P$500,"&gt;=115600")&gt;0,"X","")</f>
      </c>
      <c r="AR39" s="56" t="str">
        <f>IF(COUNTIFS('LANÇAMENTOS DIÁRIOS'!$G$5:$G$500,"F",'LANÇAMENTOS DIÁRIOS'!$C$5:$C$500,$A39,'LANÇAMENTOS DIÁRIOS'!$O$5:$O$500,"&lt;=115799",'LANÇAMENTOS DIÁRIOS'!$P$5:$P$500,"&gt;=115700")&gt;0,"X","")</f>
      </c>
      <c r="AS39" s="56" t="str">
        <f>IF(COUNTIFS('LANÇAMENTOS DIÁRIOS'!$G$5:$G$500,"F",'LANÇAMENTOS DIÁRIOS'!$C$5:$C$500,$A39,'LANÇAMENTOS DIÁRIOS'!$O$5:$O$500,"&lt;=115899",'LANÇAMENTOS DIÁRIOS'!$P$5:$P$500,"&gt;=115800")&gt;0,"X","")</f>
      </c>
      <c r="AT39" s="56" t="str">
        <f>IF(COUNTIFS('LANÇAMENTOS DIÁRIOS'!$G$5:$G$500,"F",'LANÇAMENTOS DIÁRIOS'!$C$5:$C$500,$A39,'LANÇAMENTOS DIÁRIOS'!$O$5:$O$500,"&lt;=115999",'LANÇAMENTOS DIÁRIOS'!$P$5:$P$500,"&gt;=115900")&gt;0,"X","")</f>
      </c>
      <c r="AU39" s="56" t="str">
        <f>IF(COUNTIFS('LANÇAMENTOS DIÁRIOS'!$G$5:$G$500,"F",'LANÇAMENTOS DIÁRIOS'!$C$5:$C$500,$A39,'LANÇAMENTOS DIÁRIOS'!$O$5:$O$500,"&lt;=116099",'LANÇAMENTOS DIÁRIOS'!$P$5:$P$500,"&gt;=116000")&gt;0,"X","")</f>
      </c>
      <c r="AV39" s="56" t="str">
        <f>IF(COUNTIFS('LANÇAMENTOS DIÁRIOS'!$G$5:$G$500,"F",'LANÇAMENTOS DIÁRIOS'!$C$5:$C$500,$A39,'LANÇAMENTOS DIÁRIOS'!$O$5:$O$500,"&lt;=116199",'LANÇAMENTOS DIÁRIOS'!$P$5:$P$500,"&gt;=116100")&gt;0,"X","")</f>
      </c>
      <c r="AW39" s="56" t="str">
        <f>IF(COUNTIFS('LANÇAMENTOS DIÁRIOS'!$G$5:$G$500,"F",'LANÇAMENTOS DIÁRIOS'!$C$5:$C$500,$A39,'LANÇAMENTOS DIÁRIOS'!$O$5:$O$500,"&lt;=116299",'LANÇAMENTOS DIÁRIOS'!$P$5:$P$500,"&gt;=116200")&gt;0,"X","")</f>
      </c>
      <c r="AX39" s="56" t="str">
        <f>IF(COUNTIFS('LANÇAMENTOS DIÁRIOS'!$G$5:$G$500,"F",'LANÇAMENTOS DIÁRIOS'!$C$5:$C$500,$A39,'LANÇAMENTOS DIÁRIOS'!$O$5:$O$500,"&lt;=116399",'LANÇAMENTOS DIÁRIOS'!$P$5:$P$500,"&gt;=116300")&gt;0,"X","")</f>
      </c>
      <c r="AY39" s="56" t="str">
        <f>IF(COUNTIFS('LANÇAMENTOS DIÁRIOS'!$G$5:$G$500,"F",'LANÇAMENTOS DIÁRIOS'!$C$5:$C$500,$A39,'LANÇAMENTOS DIÁRIOS'!$O$5:$O$500,"&lt;=116499",'LANÇAMENTOS DIÁRIOS'!$P$5:$P$500,"&gt;=116400")&gt;0,"X","")</f>
      </c>
      <c r="AZ39" s="56" t="str">
        <f>IF(COUNTIFS('LANÇAMENTOS DIÁRIOS'!$G$5:$G$500,"F",'LANÇAMENTOS DIÁRIOS'!$C$5:$C$500,$A39,'LANÇAMENTOS DIÁRIOS'!$O$5:$O$500,"&lt;=116599",'LANÇAMENTOS DIÁRIOS'!$P$5:$P$500,"&gt;=116500")&gt;0,"X","")</f>
      </c>
      <c r="BA39" s="56" t="str">
        <f>IF(COUNTIFS('LANÇAMENTOS DIÁRIOS'!$G$5:$G$500,"F",'LANÇAMENTOS DIÁRIOS'!$C$5:$C$500,$A39,'LANÇAMENTOS DIÁRIOS'!$O$5:$O$500,"&lt;=116699",'LANÇAMENTOS DIÁRIOS'!$P$5:$P$500,"&gt;=116600")&gt;0,"X","")</f>
      </c>
      <c r="BB39" s="56" t="str">
        <f>IF(COUNTIFS('LANÇAMENTOS DIÁRIOS'!$G$5:$G$500,"F",'LANÇAMENTOS DIÁRIOS'!$C$5:$C$500,$A39,'LANÇAMENTOS DIÁRIOS'!$O$5:$O$500,"&lt;=116799",'LANÇAMENTOS DIÁRIOS'!$P$5:$P$500,"&gt;=116700")&gt;0,"X","")</f>
      </c>
      <c r="BC39" s="56" t="str">
        <f>IF(COUNTIFS('LANÇAMENTOS DIÁRIOS'!$G$5:$G$500,"F",'LANÇAMENTOS DIÁRIOS'!$C$5:$C$500,$A39,'LANÇAMENTOS DIÁRIOS'!$O$5:$O$500,"&lt;=116899",'LANÇAMENTOS DIÁRIOS'!$P$5:$P$500,"&gt;=116800")&gt;0,"X","")</f>
      </c>
      <c r="BD39" s="56" t="str">
        <f>IF(COUNTIFS('LANÇAMENTOS DIÁRIOS'!$G$5:$G$500,"F",'LANÇAMENTOS DIÁRIOS'!$C$5:$C$500,$A39,'LANÇAMENTOS DIÁRIOS'!$O$5:$O$500,"&lt;=116999",'LANÇAMENTOS DIÁRIOS'!$P$5:$P$500,"&gt;=116900")&gt;0,"X","")</f>
      </c>
      <c r="BE39" s="56" t="str">
        <f>IF(COUNTIFS('LANÇAMENTOS DIÁRIOS'!$G$5:$G$500,"F",'LANÇAMENTOS DIÁRIOS'!$C$5:$C$500,$A39,'LANÇAMENTOS DIÁRIOS'!$O$5:$O$500,"&lt;=117099",'LANÇAMENTOS DIÁRIOS'!$P$5:$P$500,"&gt;=117000")&gt;0,"X","")</f>
      </c>
      <c r="BF39" s="56" t="str">
        <f>IF(COUNTIFS('LANÇAMENTOS DIÁRIOS'!$G$5:$G$500,"F",'LANÇAMENTOS DIÁRIOS'!$C$5:$C$500,$A39,'LANÇAMENTOS DIÁRIOS'!$O$5:$O$500,"&lt;=117199",'LANÇAMENTOS DIÁRIOS'!$P$5:$P$500,"&gt;=117100")&gt;0,"X","")</f>
      </c>
      <c r="BG39" s="56" t="str">
        <f>IF(COUNTIFS('LANÇAMENTOS DIÁRIOS'!$G$5:$G$500,"F",'LANÇAMENTOS DIÁRIOS'!$C$5:$C$500,$A39,'LANÇAMENTOS DIÁRIOS'!$O$5:$O$500,"&lt;=117219",'LANÇAMENTOS DIÁRIOS'!$P$5:$P$500,"&gt;=117200")&gt;0,"X","")</f>
      </c>
      <c r="BH39" s="56" t="str">
        <f>IF(COUNTIFS('LANÇAMENTOS DIÁRIOS'!$G$5:$G$500,"F",'LANÇAMENTOS DIÁRIOS'!$C$5:$C$500,$A39,'LANÇAMENTOS DIÁRIOS'!$O$5:$O$500,"&lt;=117220",'LANÇAMENTOS DIÁRIOS'!$P$5:$P$500,"&gt;=117220")&gt;0,"X","")</f>
      </c>
    </row>
    <row r="40" ht="19" customHeight="1">
      <c r="A40" s="68" t="str">
        <v>Corte em solo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</row>
    <row r="41">
      <c r="A41" s="51" t="str">
        <v>Escavação de material de 1ª e 2ª categoria - Sem transporte</v>
      </c>
      <c r="B41" s="56" t="str">
        <f>IF(COUNTIFS('LANÇAMENTOS DIÁRIOS'!$G$5:$G$500,"F",'LANÇAMENTOS DIÁRIOS'!$C$5:$C$500,$A41,'LANÇAMENTOS DIÁRIOS'!$O$5:$O$500,"&lt;=111599",'LANÇAMENTOS DIÁRIOS'!$P$5:$P$500,"&gt;=111500")&gt;0,"X","")</f>
      </c>
      <c r="C41" s="56" t="str">
        <f>IF(COUNTIFS('LANÇAMENTOS DIÁRIOS'!$G$5:$G$500,"F",'LANÇAMENTOS DIÁRIOS'!$C$5:$C$500,$A41,'LANÇAMENTOS DIÁRIOS'!$O$5:$O$500,"&lt;=111699",'LANÇAMENTOS DIÁRIOS'!$P$5:$P$500,"&gt;=111600")&gt;0,"X","")</f>
      </c>
      <c r="D41" s="56" t="str">
        <f>IF(COUNTIFS('LANÇAMENTOS DIÁRIOS'!$G$5:$G$500,"F",'LANÇAMENTOS DIÁRIOS'!$C$5:$C$500,$A41,'LANÇAMENTOS DIÁRIOS'!$O$5:$O$500,"&lt;=111799",'LANÇAMENTOS DIÁRIOS'!$P$5:$P$500,"&gt;=111700")&gt;0,"X","")</f>
      </c>
      <c r="E41" s="56" t="str">
        <f>IF(COUNTIFS('LANÇAMENTOS DIÁRIOS'!$G$5:$G$500,"F",'LANÇAMENTOS DIÁRIOS'!$C$5:$C$500,$A41,'LANÇAMENTOS DIÁRIOS'!$O$5:$O$500,"&lt;=111899",'LANÇAMENTOS DIÁRIOS'!$P$5:$P$500,"&gt;=111800")&gt;0,"X","")</f>
      </c>
      <c r="F41" s="56" t="str">
        <f>IF(COUNTIFS('LANÇAMENTOS DIÁRIOS'!$G$5:$G$500,"F",'LANÇAMENTOS DIÁRIOS'!$C$5:$C$500,$A41,'LANÇAMENTOS DIÁRIOS'!$O$5:$O$500,"&lt;=111999",'LANÇAMENTOS DIÁRIOS'!$P$5:$P$500,"&gt;=111900")&gt;0,"X","")</f>
      </c>
      <c r="G41" s="56" t="str">
        <f>IF(COUNTIFS('LANÇAMENTOS DIÁRIOS'!$G$5:$G$500,"F",'LANÇAMENTOS DIÁRIOS'!$C$5:$C$500,$A41,'LANÇAMENTOS DIÁRIOS'!$O$5:$O$500,"&lt;=112099",'LANÇAMENTOS DIÁRIOS'!$P$5:$P$500,"&gt;=112000")&gt;0,"X","")</f>
      </c>
      <c r="H41" s="56" t="str">
        <f>IF(COUNTIFS('LANÇAMENTOS DIÁRIOS'!$G$5:$G$500,"F",'LANÇAMENTOS DIÁRIOS'!$C$5:$C$500,$A41,'LANÇAMENTOS DIÁRIOS'!$O$5:$O$500,"&lt;=112199",'LANÇAMENTOS DIÁRIOS'!$P$5:$P$500,"&gt;=112100")&gt;0,"X","")</f>
      </c>
      <c r="I41" s="56" t="str">
        <f>IF(COUNTIFS('LANÇAMENTOS DIÁRIOS'!$G$5:$G$500,"F",'LANÇAMENTOS DIÁRIOS'!$C$5:$C$500,$A41,'LANÇAMENTOS DIÁRIOS'!$O$5:$O$500,"&lt;=112299",'LANÇAMENTOS DIÁRIOS'!$P$5:$P$500,"&gt;=112200")&gt;0,"X","")</f>
      </c>
      <c r="J41" s="56" t="str">
        <f>IF(COUNTIFS('LANÇAMENTOS DIÁRIOS'!$G$5:$G$500,"F",'LANÇAMENTOS DIÁRIOS'!$C$5:$C$500,$A41,'LANÇAMENTOS DIÁRIOS'!$O$5:$O$500,"&lt;=112399",'LANÇAMENTOS DIÁRIOS'!$P$5:$P$500,"&gt;=112300")&gt;0,"X","")</f>
      </c>
      <c r="K41" s="56" t="str">
        <f>IF(COUNTIFS('LANÇAMENTOS DIÁRIOS'!$G$5:$G$500,"F",'LANÇAMENTOS DIÁRIOS'!$C$5:$C$500,$A41,'LANÇAMENTOS DIÁRIOS'!$O$5:$O$500,"&lt;=112499",'LANÇAMENTOS DIÁRIOS'!$P$5:$P$500,"&gt;=112400")&gt;0,"X","")</f>
      </c>
      <c r="L41" s="56" t="str">
        <f>IF(COUNTIFS('LANÇAMENTOS DIÁRIOS'!$G$5:$G$500,"F",'LANÇAMENTOS DIÁRIOS'!$C$5:$C$500,$A41,'LANÇAMENTOS DIÁRIOS'!$O$5:$O$500,"&lt;=112599",'LANÇAMENTOS DIÁRIOS'!$P$5:$P$500,"&gt;=112500")&gt;0,"X","")</f>
      </c>
      <c r="M41" s="56" t="str">
        <f>IF(COUNTIFS('LANÇAMENTOS DIÁRIOS'!$G$5:$G$500,"F",'LANÇAMENTOS DIÁRIOS'!$C$5:$C$500,$A41,'LANÇAMENTOS DIÁRIOS'!$O$5:$O$500,"&lt;=112699",'LANÇAMENTOS DIÁRIOS'!$P$5:$P$500,"&gt;=112600")&gt;0,"X","")</f>
      </c>
      <c r="N41" s="56" t="str">
        <f>IF(COUNTIFS('LANÇAMENTOS DIÁRIOS'!$G$5:$G$500,"F",'LANÇAMENTOS DIÁRIOS'!$C$5:$C$500,$A41,'LANÇAMENTOS DIÁRIOS'!$O$5:$O$500,"&lt;=112799",'LANÇAMENTOS DIÁRIOS'!$P$5:$P$500,"&gt;=112700")&gt;0,"X","")</f>
      </c>
      <c r="O41" s="56" t="str">
        <f>IF(COUNTIFS('LANÇAMENTOS DIÁRIOS'!$G$5:$G$500,"F",'LANÇAMENTOS DIÁRIOS'!$C$5:$C$500,$A41,'LANÇAMENTOS DIÁRIOS'!$O$5:$O$500,"&lt;=112899",'LANÇAMENTOS DIÁRIOS'!$P$5:$P$500,"&gt;=112800")&gt;0,"X","")</f>
      </c>
      <c r="P41" s="56" t="str">
        <f>IF(COUNTIFS('LANÇAMENTOS DIÁRIOS'!$G$5:$G$500,"F",'LANÇAMENTOS DIÁRIOS'!$C$5:$C$500,$A41,'LANÇAMENTOS DIÁRIOS'!$O$5:$O$500,"&lt;=112999",'LANÇAMENTOS DIÁRIOS'!$P$5:$P$500,"&gt;=112900")&gt;0,"X","")</f>
      </c>
      <c r="Q41" s="56" t="str">
        <f>IF(COUNTIFS('LANÇAMENTOS DIÁRIOS'!$G$5:$G$500,"F",'LANÇAMENTOS DIÁRIOS'!$C$5:$C$500,$A41,'LANÇAMENTOS DIÁRIOS'!$O$5:$O$500,"&lt;=113099",'LANÇAMENTOS DIÁRIOS'!$P$5:$P$500,"&gt;=113000")&gt;0,"X","")</f>
      </c>
      <c r="R41" s="56" t="str">
        <f>IF(COUNTIFS('LANÇAMENTOS DIÁRIOS'!$G$5:$G$500,"F",'LANÇAMENTOS DIÁRIOS'!$C$5:$C$500,$A41,'LANÇAMENTOS DIÁRIOS'!$O$5:$O$500,"&lt;=113199",'LANÇAMENTOS DIÁRIOS'!$P$5:$P$500,"&gt;=113100")&gt;0,"X","")</f>
      </c>
      <c r="S41" s="56" t="str">
        <f>IF(COUNTIFS('LANÇAMENTOS DIÁRIOS'!$G$5:$G$500,"F",'LANÇAMENTOS DIÁRIOS'!$C$5:$C$500,$A41,'LANÇAMENTOS DIÁRIOS'!$O$5:$O$500,"&lt;=113299",'LANÇAMENTOS DIÁRIOS'!$P$5:$P$500,"&gt;=113200")&gt;0,"X","")</f>
      </c>
      <c r="T41" s="56" t="str">
        <f>IF(COUNTIFS('LANÇAMENTOS DIÁRIOS'!$G$5:$G$500,"F",'LANÇAMENTOS DIÁRIOS'!$C$5:$C$500,$A41,'LANÇAMENTOS DIÁRIOS'!$O$5:$O$500,"&lt;=113399",'LANÇAMENTOS DIÁRIOS'!$P$5:$P$500,"&gt;=113300")&gt;0,"X","")</f>
      </c>
      <c r="U41" s="56" t="str">
        <f>IF(COUNTIFS('LANÇAMENTOS DIÁRIOS'!$G$5:$G$500,"F",'LANÇAMENTOS DIÁRIOS'!$C$5:$C$500,$A41,'LANÇAMENTOS DIÁRIOS'!$O$5:$O$500,"&lt;=113499",'LANÇAMENTOS DIÁRIOS'!$P$5:$P$500,"&gt;=113400")&gt;0,"X","")</f>
      </c>
      <c r="V41" s="56" t="str">
        <f>IF(COUNTIFS('LANÇAMENTOS DIÁRIOS'!$G$5:$G$500,"F",'LANÇAMENTOS DIÁRIOS'!$C$5:$C$500,$A41,'LANÇAMENTOS DIÁRIOS'!$O$5:$O$500,"&lt;=113599",'LANÇAMENTOS DIÁRIOS'!$P$5:$P$500,"&gt;=113500")&gt;0,"X","")</f>
      </c>
      <c r="W41" s="56" t="str">
        <f>IF(COUNTIFS('LANÇAMENTOS DIÁRIOS'!$G$5:$G$500,"F",'LANÇAMENTOS DIÁRIOS'!$C$5:$C$500,$A41,'LANÇAMENTOS DIÁRIOS'!$O$5:$O$500,"&lt;=113699",'LANÇAMENTOS DIÁRIOS'!$P$5:$P$500,"&gt;=113600")&gt;0,"X","")</f>
      </c>
      <c r="X41" s="56" t="str">
        <f>IF(COUNTIFS('LANÇAMENTOS DIÁRIOS'!$G$5:$G$500,"F",'LANÇAMENTOS DIÁRIOS'!$C$5:$C$500,$A41,'LANÇAMENTOS DIÁRIOS'!$O$5:$O$500,"&lt;=113799",'LANÇAMENTOS DIÁRIOS'!$P$5:$P$500,"&gt;=113700")&gt;0,"X","")</f>
      </c>
      <c r="Y41" s="56" t="str">
        <f>IF(COUNTIFS('LANÇAMENTOS DIÁRIOS'!$G$5:$G$500,"F",'LANÇAMENTOS DIÁRIOS'!$C$5:$C$500,$A41,'LANÇAMENTOS DIÁRIOS'!$O$5:$O$500,"&lt;=113899",'LANÇAMENTOS DIÁRIOS'!$P$5:$P$500,"&gt;=113800")&gt;0,"X","")</f>
      </c>
      <c r="Z41" s="56" t="str">
        <f>IF(COUNTIFS('LANÇAMENTOS DIÁRIOS'!$G$5:$G$500,"F",'LANÇAMENTOS DIÁRIOS'!$C$5:$C$500,$A41,'LANÇAMENTOS DIÁRIOS'!$O$5:$O$500,"&lt;=113999",'LANÇAMENTOS DIÁRIOS'!$P$5:$P$500,"&gt;=113900")&gt;0,"X","")</f>
      </c>
      <c r="AA41" s="56" t="str">
        <f>IF(COUNTIFS('LANÇAMENTOS DIÁRIOS'!$G$5:$G$500,"F",'LANÇAMENTOS DIÁRIOS'!$C$5:$C$500,$A41,'LANÇAMENTOS DIÁRIOS'!$O$5:$O$500,"&lt;=114099",'LANÇAMENTOS DIÁRIOS'!$P$5:$P$500,"&gt;=114000")&gt;0,"X","")</f>
      </c>
      <c r="AB41" s="56" t="str">
        <f>IF(COUNTIFS('LANÇAMENTOS DIÁRIOS'!$G$5:$G$500,"F",'LANÇAMENTOS DIÁRIOS'!$C$5:$C$500,$A41,'LANÇAMENTOS DIÁRIOS'!$O$5:$O$500,"&lt;=114199",'LANÇAMENTOS DIÁRIOS'!$P$5:$P$500,"&gt;=114100")&gt;0,"X","")</f>
      </c>
      <c r="AC41" s="56" t="str">
        <f>IF(COUNTIFS('LANÇAMENTOS DIÁRIOS'!$G$5:$G$500,"F",'LANÇAMENTOS DIÁRIOS'!$C$5:$C$500,$A41,'LANÇAMENTOS DIÁRIOS'!$O$5:$O$500,"&lt;=114299",'LANÇAMENTOS DIÁRIOS'!$P$5:$P$500,"&gt;=114200")&gt;0,"X","")</f>
      </c>
      <c r="AD41" s="56" t="str">
        <f>IF(COUNTIFS('LANÇAMENTOS DIÁRIOS'!$G$5:$G$500,"F",'LANÇAMENTOS DIÁRIOS'!$C$5:$C$500,$A41,'LANÇAMENTOS DIÁRIOS'!$O$5:$O$500,"&lt;=114399",'LANÇAMENTOS DIÁRIOS'!$P$5:$P$500,"&gt;=114300")&gt;0,"X","")</f>
      </c>
      <c r="AE41" s="56" t="str">
        <f>IF(COUNTIFS('LANÇAMENTOS DIÁRIOS'!$G$5:$G$500,"F",'LANÇAMENTOS DIÁRIOS'!$C$5:$C$500,$A41,'LANÇAMENTOS DIÁRIOS'!$O$5:$O$500,"&lt;=114499",'LANÇAMENTOS DIÁRIOS'!$P$5:$P$500,"&gt;=114400")&gt;0,"X","")</f>
      </c>
      <c r="AF41" s="56" t="str">
        <f>IF(COUNTIFS('LANÇAMENTOS DIÁRIOS'!$G$5:$G$500,"F",'LANÇAMENTOS DIÁRIOS'!$C$5:$C$500,$A41,'LANÇAMENTOS DIÁRIOS'!$O$5:$O$500,"&lt;=114599",'LANÇAMENTOS DIÁRIOS'!$P$5:$P$500,"&gt;=114500")&gt;0,"X","")</f>
      </c>
      <c r="AG41" s="56" t="str">
        <f>IF(COUNTIFS('LANÇAMENTOS DIÁRIOS'!$G$5:$G$500,"F",'LANÇAMENTOS DIÁRIOS'!$C$5:$C$500,$A41,'LANÇAMENTOS DIÁRIOS'!$O$5:$O$500,"&lt;=114699",'LANÇAMENTOS DIÁRIOS'!$P$5:$P$500,"&gt;=114600")&gt;0,"X","")</f>
      </c>
      <c r="AH41" s="56" t="str">
        <f>IF(COUNTIFS('LANÇAMENTOS DIÁRIOS'!$G$5:$G$500,"F",'LANÇAMENTOS DIÁRIOS'!$C$5:$C$500,$A41,'LANÇAMENTOS DIÁRIOS'!$O$5:$O$500,"&lt;=114799",'LANÇAMENTOS DIÁRIOS'!$P$5:$P$500,"&gt;=114700")&gt;0,"X","")</f>
      </c>
      <c r="AI41" s="56" t="str">
        <f>IF(COUNTIFS('LANÇAMENTOS DIÁRIOS'!$G$5:$G$500,"F",'LANÇAMENTOS DIÁRIOS'!$C$5:$C$500,$A41,'LANÇAMENTOS DIÁRIOS'!$O$5:$O$500,"&lt;=114899",'LANÇAMENTOS DIÁRIOS'!$P$5:$P$500,"&gt;=114800")&gt;0,"X","")</f>
      </c>
      <c r="AJ41" s="56" t="str">
        <f>IF(COUNTIFS('LANÇAMENTOS DIÁRIOS'!$G$5:$G$500,"F",'LANÇAMENTOS DIÁRIOS'!$C$5:$C$500,$A41,'LANÇAMENTOS DIÁRIOS'!$O$5:$O$500,"&lt;=114999",'LANÇAMENTOS DIÁRIOS'!$P$5:$P$500,"&gt;=114900")&gt;0,"X","")</f>
      </c>
      <c r="AK41" s="56" t="str">
        <f>IF(COUNTIFS('LANÇAMENTOS DIÁRIOS'!$G$5:$G$500,"F",'LANÇAMENTOS DIÁRIOS'!$C$5:$C$500,$A41,'LANÇAMENTOS DIÁRIOS'!$O$5:$O$500,"&lt;=115099",'LANÇAMENTOS DIÁRIOS'!$P$5:$P$500,"&gt;=115000")&gt;0,"X","")</f>
      </c>
      <c r="AL41" s="56" t="str">
        <f>IF(COUNTIFS('LANÇAMENTOS DIÁRIOS'!$G$5:$G$500,"F",'LANÇAMENTOS DIÁRIOS'!$C$5:$C$500,$A41,'LANÇAMENTOS DIÁRIOS'!$O$5:$O$500,"&lt;=115199",'LANÇAMENTOS DIÁRIOS'!$P$5:$P$500,"&gt;=115100")&gt;0,"X","")</f>
      </c>
      <c r="AM41" s="56" t="str">
        <f>IF(COUNTIFS('LANÇAMENTOS DIÁRIOS'!$G$5:$G$500,"F",'LANÇAMENTOS DIÁRIOS'!$C$5:$C$500,$A41,'LANÇAMENTOS DIÁRIOS'!$O$5:$O$500,"&lt;=115299",'LANÇAMENTOS DIÁRIOS'!$P$5:$P$500,"&gt;=115200")&gt;0,"X","")</f>
      </c>
      <c r="AN41" s="56" t="str">
        <f>IF(COUNTIFS('LANÇAMENTOS DIÁRIOS'!$G$5:$G$500,"F",'LANÇAMENTOS DIÁRIOS'!$C$5:$C$500,$A41,'LANÇAMENTOS DIÁRIOS'!$O$5:$O$500,"&lt;=115399",'LANÇAMENTOS DIÁRIOS'!$P$5:$P$500,"&gt;=115300")&gt;0,"X","")</f>
      </c>
      <c r="AO41" s="56" t="str">
        <f>IF(COUNTIFS('LANÇAMENTOS DIÁRIOS'!$G$5:$G$500,"F",'LANÇAMENTOS DIÁRIOS'!$C$5:$C$500,$A41,'LANÇAMENTOS DIÁRIOS'!$O$5:$O$500,"&lt;=115499",'LANÇAMENTOS DIÁRIOS'!$P$5:$P$500,"&gt;=115400")&gt;0,"X","")</f>
      </c>
      <c r="AP41" s="56" t="str">
        <f>IF(COUNTIFS('LANÇAMENTOS DIÁRIOS'!$G$5:$G$500,"F",'LANÇAMENTOS DIÁRIOS'!$C$5:$C$500,$A41,'LANÇAMENTOS DIÁRIOS'!$O$5:$O$500,"&lt;=115599",'LANÇAMENTOS DIÁRIOS'!$P$5:$P$500,"&gt;=115500")&gt;0,"X","")</f>
      </c>
      <c r="AQ41" s="56" t="str">
        <f>IF(COUNTIFS('LANÇAMENTOS DIÁRIOS'!$G$5:$G$500,"F",'LANÇAMENTOS DIÁRIOS'!$C$5:$C$500,$A41,'LANÇAMENTOS DIÁRIOS'!$O$5:$O$500,"&lt;=115699",'LANÇAMENTOS DIÁRIOS'!$P$5:$P$500,"&gt;=115600")&gt;0,"X","")</f>
      </c>
      <c r="AR41" s="56" t="str">
        <f>IF(COUNTIFS('LANÇAMENTOS DIÁRIOS'!$G$5:$G$500,"F",'LANÇAMENTOS DIÁRIOS'!$C$5:$C$500,$A41,'LANÇAMENTOS DIÁRIOS'!$O$5:$O$500,"&lt;=115799",'LANÇAMENTOS DIÁRIOS'!$P$5:$P$500,"&gt;=115700")&gt;0,"X","")</f>
      </c>
      <c r="AS41" s="56" t="str">
        <f>IF(COUNTIFS('LANÇAMENTOS DIÁRIOS'!$G$5:$G$500,"F",'LANÇAMENTOS DIÁRIOS'!$C$5:$C$500,$A41,'LANÇAMENTOS DIÁRIOS'!$O$5:$O$500,"&lt;=115899",'LANÇAMENTOS DIÁRIOS'!$P$5:$P$500,"&gt;=115800")&gt;0,"X","")</f>
      </c>
      <c r="AT41" s="56" t="str">
        <f>IF(COUNTIFS('LANÇAMENTOS DIÁRIOS'!$G$5:$G$500,"F",'LANÇAMENTOS DIÁRIOS'!$C$5:$C$500,$A41,'LANÇAMENTOS DIÁRIOS'!$O$5:$O$500,"&lt;=115999",'LANÇAMENTOS DIÁRIOS'!$P$5:$P$500,"&gt;=115900")&gt;0,"X","")</f>
      </c>
      <c r="AU41" s="56" t="str">
        <f>IF(COUNTIFS('LANÇAMENTOS DIÁRIOS'!$G$5:$G$500,"F",'LANÇAMENTOS DIÁRIOS'!$C$5:$C$500,$A41,'LANÇAMENTOS DIÁRIOS'!$O$5:$O$500,"&lt;=116099",'LANÇAMENTOS DIÁRIOS'!$P$5:$P$500,"&gt;=116000")&gt;0,"X","")</f>
      </c>
      <c r="AV41" s="56" t="str">
        <f>IF(COUNTIFS('LANÇAMENTOS DIÁRIOS'!$G$5:$G$500,"F",'LANÇAMENTOS DIÁRIOS'!$C$5:$C$500,$A41,'LANÇAMENTOS DIÁRIOS'!$O$5:$O$500,"&lt;=116199",'LANÇAMENTOS DIÁRIOS'!$P$5:$P$500,"&gt;=116100")&gt;0,"X","")</f>
      </c>
      <c r="AW41" s="56" t="str">
        <f>IF(COUNTIFS('LANÇAMENTOS DIÁRIOS'!$G$5:$G$500,"F",'LANÇAMENTOS DIÁRIOS'!$C$5:$C$500,$A41,'LANÇAMENTOS DIÁRIOS'!$O$5:$O$500,"&lt;=116299",'LANÇAMENTOS DIÁRIOS'!$P$5:$P$500,"&gt;=116200")&gt;0,"X","")</f>
      </c>
      <c r="AX41" s="56" t="str">
        <f>IF(COUNTIFS('LANÇAMENTOS DIÁRIOS'!$G$5:$G$500,"F",'LANÇAMENTOS DIÁRIOS'!$C$5:$C$500,$A41,'LANÇAMENTOS DIÁRIOS'!$O$5:$O$500,"&lt;=116399",'LANÇAMENTOS DIÁRIOS'!$P$5:$P$500,"&gt;=116300")&gt;0,"X","")</f>
      </c>
      <c r="AY41" s="56" t="str">
        <f>IF(COUNTIFS('LANÇAMENTOS DIÁRIOS'!$G$5:$G$500,"F",'LANÇAMENTOS DIÁRIOS'!$C$5:$C$500,$A41,'LANÇAMENTOS DIÁRIOS'!$O$5:$O$500,"&lt;=116499",'LANÇAMENTOS DIÁRIOS'!$P$5:$P$500,"&gt;=116400")&gt;0,"X","")</f>
      </c>
      <c r="AZ41" s="56" t="str">
        <f>IF(COUNTIFS('LANÇAMENTOS DIÁRIOS'!$G$5:$G$500,"F",'LANÇAMENTOS DIÁRIOS'!$C$5:$C$500,$A41,'LANÇAMENTOS DIÁRIOS'!$O$5:$O$500,"&lt;=116599",'LANÇAMENTOS DIÁRIOS'!$P$5:$P$500,"&gt;=116500")&gt;0,"X","")</f>
      </c>
      <c r="BA41" s="56" t="str">
        <f>IF(COUNTIFS('LANÇAMENTOS DIÁRIOS'!$G$5:$G$500,"F",'LANÇAMENTOS DIÁRIOS'!$C$5:$C$500,$A41,'LANÇAMENTOS DIÁRIOS'!$O$5:$O$500,"&lt;=116699",'LANÇAMENTOS DIÁRIOS'!$P$5:$P$500,"&gt;=116600")&gt;0,"X","")</f>
      </c>
      <c r="BB41" s="56" t="str">
        <f>IF(COUNTIFS('LANÇAMENTOS DIÁRIOS'!$G$5:$G$500,"F",'LANÇAMENTOS DIÁRIOS'!$C$5:$C$500,$A41,'LANÇAMENTOS DIÁRIOS'!$O$5:$O$500,"&lt;=116799",'LANÇAMENTOS DIÁRIOS'!$P$5:$P$500,"&gt;=116700")&gt;0,"X","")</f>
      </c>
      <c r="BC41" s="56" t="str">
        <f>IF(COUNTIFS('LANÇAMENTOS DIÁRIOS'!$G$5:$G$500,"F",'LANÇAMENTOS DIÁRIOS'!$C$5:$C$500,$A41,'LANÇAMENTOS DIÁRIOS'!$O$5:$O$500,"&lt;=116899",'LANÇAMENTOS DIÁRIOS'!$P$5:$P$500,"&gt;=116800")&gt;0,"X","")</f>
      </c>
      <c r="BD41" s="56" t="str">
        <f>IF(COUNTIFS('LANÇAMENTOS DIÁRIOS'!$G$5:$G$500,"F",'LANÇAMENTOS DIÁRIOS'!$C$5:$C$500,$A41,'LANÇAMENTOS DIÁRIOS'!$O$5:$O$500,"&lt;=116999",'LANÇAMENTOS DIÁRIOS'!$P$5:$P$500,"&gt;=116900")&gt;0,"X","")</f>
      </c>
      <c r="BE41" s="56" t="str">
        <f>IF(COUNTIFS('LANÇAMENTOS DIÁRIOS'!$G$5:$G$500,"F",'LANÇAMENTOS DIÁRIOS'!$C$5:$C$500,$A41,'LANÇAMENTOS DIÁRIOS'!$O$5:$O$500,"&lt;=117099",'LANÇAMENTOS DIÁRIOS'!$P$5:$P$500,"&gt;=117000")&gt;0,"X","")</f>
      </c>
      <c r="BF41" s="56" t="str">
        <f>IF(COUNTIFS('LANÇAMENTOS DIÁRIOS'!$G$5:$G$500,"F",'LANÇAMENTOS DIÁRIOS'!$C$5:$C$500,$A41,'LANÇAMENTOS DIÁRIOS'!$O$5:$O$500,"&lt;=117199",'LANÇAMENTOS DIÁRIOS'!$P$5:$P$500,"&gt;=117100")&gt;0,"X","")</f>
      </c>
      <c r="BG41" s="56" t="str">
        <f>IF(COUNTIFS('LANÇAMENTOS DIÁRIOS'!$G$5:$G$500,"F",'LANÇAMENTOS DIÁRIOS'!$C$5:$C$500,$A41,'LANÇAMENTOS DIÁRIOS'!$O$5:$O$500,"&lt;=117219",'LANÇAMENTOS DIÁRIOS'!$P$5:$P$500,"&gt;=117200")&gt;0,"X","")</f>
      </c>
      <c r="BH41" s="56" t="str">
        <f>IF(COUNTIFS('LANÇAMENTOS DIÁRIOS'!$G$5:$G$500,"F",'LANÇAMENTOS DIÁRIOS'!$C$5:$C$500,$A41,'LANÇAMENTOS DIÁRIOS'!$O$5:$O$500,"&lt;=117220",'LANÇAMENTOS DIÁRIOS'!$P$5:$P$500,"&gt;=117220")&gt;0,"X","")</f>
      </c>
    </row>
    <row r="42">
      <c r="A42" s="51" t="str">
        <v>Escavação de material de 1ª e 2ª categoria, sem transporte</v>
      </c>
      <c r="B42" s="56" t="str">
        <f>IF(COUNTIFS('LANÇAMENTOS DIÁRIOS'!$G$5:$G$500,"F",'LANÇAMENTOS DIÁRIOS'!$C$5:$C$500,$A42,'LANÇAMENTOS DIÁRIOS'!$O$5:$O$500,"&lt;=111599",'LANÇAMENTOS DIÁRIOS'!$P$5:$P$500,"&gt;=111500")&gt;0,"X","")</f>
      </c>
      <c r="C42" s="56" t="str">
        <f>IF(COUNTIFS('LANÇAMENTOS DIÁRIOS'!$G$5:$G$500,"F",'LANÇAMENTOS DIÁRIOS'!$C$5:$C$500,$A42,'LANÇAMENTOS DIÁRIOS'!$O$5:$O$500,"&lt;=111699",'LANÇAMENTOS DIÁRIOS'!$P$5:$P$500,"&gt;=111600")&gt;0,"X","")</f>
      </c>
      <c r="D42" s="56" t="str">
        <f>IF(COUNTIFS('LANÇAMENTOS DIÁRIOS'!$G$5:$G$500,"F",'LANÇAMENTOS DIÁRIOS'!$C$5:$C$500,$A42,'LANÇAMENTOS DIÁRIOS'!$O$5:$O$500,"&lt;=111799",'LANÇAMENTOS DIÁRIOS'!$P$5:$P$500,"&gt;=111700")&gt;0,"X","")</f>
      </c>
      <c r="E42" s="56" t="str">
        <f>IF(COUNTIFS('LANÇAMENTOS DIÁRIOS'!$G$5:$G$500,"F",'LANÇAMENTOS DIÁRIOS'!$C$5:$C$500,$A42,'LANÇAMENTOS DIÁRIOS'!$O$5:$O$500,"&lt;=111899",'LANÇAMENTOS DIÁRIOS'!$P$5:$P$500,"&gt;=111800")&gt;0,"X","")</f>
      </c>
      <c r="F42" s="56" t="str">
        <f>IF(COUNTIFS('LANÇAMENTOS DIÁRIOS'!$G$5:$G$500,"F",'LANÇAMENTOS DIÁRIOS'!$C$5:$C$500,$A42,'LANÇAMENTOS DIÁRIOS'!$O$5:$O$500,"&lt;=111999",'LANÇAMENTOS DIÁRIOS'!$P$5:$P$500,"&gt;=111900")&gt;0,"X","")</f>
      </c>
      <c r="G42" s="56" t="str">
        <f>IF(COUNTIFS('LANÇAMENTOS DIÁRIOS'!$G$5:$G$500,"F",'LANÇAMENTOS DIÁRIOS'!$C$5:$C$500,$A42,'LANÇAMENTOS DIÁRIOS'!$O$5:$O$500,"&lt;=112099",'LANÇAMENTOS DIÁRIOS'!$P$5:$P$500,"&gt;=112000")&gt;0,"X","")</f>
      </c>
      <c r="H42" s="56" t="str">
        <f>IF(COUNTIFS('LANÇAMENTOS DIÁRIOS'!$G$5:$G$500,"F",'LANÇAMENTOS DIÁRIOS'!$C$5:$C$500,$A42,'LANÇAMENTOS DIÁRIOS'!$O$5:$O$500,"&lt;=112199",'LANÇAMENTOS DIÁRIOS'!$P$5:$P$500,"&gt;=112100")&gt;0,"X","")</f>
      </c>
      <c r="I42" s="56" t="str">
        <f>IF(COUNTIFS('LANÇAMENTOS DIÁRIOS'!$G$5:$G$500,"F",'LANÇAMENTOS DIÁRIOS'!$C$5:$C$500,$A42,'LANÇAMENTOS DIÁRIOS'!$O$5:$O$500,"&lt;=112299",'LANÇAMENTOS DIÁRIOS'!$P$5:$P$500,"&gt;=112200")&gt;0,"X","")</f>
      </c>
      <c r="J42" s="56" t="str">
        <f>IF(COUNTIFS('LANÇAMENTOS DIÁRIOS'!$G$5:$G$500,"F",'LANÇAMENTOS DIÁRIOS'!$C$5:$C$500,$A42,'LANÇAMENTOS DIÁRIOS'!$O$5:$O$500,"&lt;=112399",'LANÇAMENTOS DIÁRIOS'!$P$5:$P$500,"&gt;=112300")&gt;0,"X","")</f>
      </c>
      <c r="K42" s="56" t="str">
        <f>IF(COUNTIFS('LANÇAMENTOS DIÁRIOS'!$G$5:$G$500,"F",'LANÇAMENTOS DIÁRIOS'!$C$5:$C$500,$A42,'LANÇAMENTOS DIÁRIOS'!$O$5:$O$500,"&lt;=112499",'LANÇAMENTOS DIÁRIOS'!$P$5:$P$500,"&gt;=112400")&gt;0,"X","")</f>
      </c>
      <c r="L42" s="56" t="str">
        <f>IF(COUNTIFS('LANÇAMENTOS DIÁRIOS'!$G$5:$G$500,"F",'LANÇAMENTOS DIÁRIOS'!$C$5:$C$500,$A42,'LANÇAMENTOS DIÁRIOS'!$O$5:$O$500,"&lt;=112599",'LANÇAMENTOS DIÁRIOS'!$P$5:$P$500,"&gt;=112500")&gt;0,"X","")</f>
      </c>
      <c r="M42" s="56" t="str">
        <f>IF(COUNTIFS('LANÇAMENTOS DIÁRIOS'!$G$5:$G$500,"F",'LANÇAMENTOS DIÁRIOS'!$C$5:$C$500,$A42,'LANÇAMENTOS DIÁRIOS'!$O$5:$O$500,"&lt;=112699",'LANÇAMENTOS DIÁRIOS'!$P$5:$P$500,"&gt;=112600")&gt;0,"X","")</f>
      </c>
      <c r="N42" s="56" t="str">
        <f>IF(COUNTIFS('LANÇAMENTOS DIÁRIOS'!$G$5:$G$500,"F",'LANÇAMENTOS DIÁRIOS'!$C$5:$C$500,$A42,'LANÇAMENTOS DIÁRIOS'!$O$5:$O$500,"&lt;=112799",'LANÇAMENTOS DIÁRIOS'!$P$5:$P$500,"&gt;=112700")&gt;0,"X","")</f>
      </c>
      <c r="O42" s="56" t="str">
        <f>IF(COUNTIFS('LANÇAMENTOS DIÁRIOS'!$G$5:$G$500,"F",'LANÇAMENTOS DIÁRIOS'!$C$5:$C$500,$A42,'LANÇAMENTOS DIÁRIOS'!$O$5:$O$500,"&lt;=112899",'LANÇAMENTOS DIÁRIOS'!$P$5:$P$500,"&gt;=112800")&gt;0,"X","")</f>
      </c>
      <c r="P42" s="56" t="str">
        <f>IF(COUNTIFS('LANÇAMENTOS DIÁRIOS'!$G$5:$G$500,"F",'LANÇAMENTOS DIÁRIOS'!$C$5:$C$500,$A42,'LANÇAMENTOS DIÁRIOS'!$O$5:$O$500,"&lt;=112999",'LANÇAMENTOS DIÁRIOS'!$P$5:$P$500,"&gt;=112900")&gt;0,"X","")</f>
      </c>
      <c r="Q42" s="56" t="str">
        <f>IF(COUNTIFS('LANÇAMENTOS DIÁRIOS'!$G$5:$G$500,"F",'LANÇAMENTOS DIÁRIOS'!$C$5:$C$500,$A42,'LANÇAMENTOS DIÁRIOS'!$O$5:$O$500,"&lt;=113099",'LANÇAMENTOS DIÁRIOS'!$P$5:$P$500,"&gt;=113000")&gt;0,"X","")</f>
      </c>
      <c r="R42" s="56" t="str">
        <f>IF(COUNTIFS('LANÇAMENTOS DIÁRIOS'!$G$5:$G$500,"F",'LANÇAMENTOS DIÁRIOS'!$C$5:$C$500,$A42,'LANÇAMENTOS DIÁRIOS'!$O$5:$O$500,"&lt;=113199",'LANÇAMENTOS DIÁRIOS'!$P$5:$P$500,"&gt;=113100")&gt;0,"X","")</f>
      </c>
      <c r="S42" s="56" t="str">
        <f>IF(COUNTIFS('LANÇAMENTOS DIÁRIOS'!$G$5:$G$500,"F",'LANÇAMENTOS DIÁRIOS'!$C$5:$C$500,$A42,'LANÇAMENTOS DIÁRIOS'!$O$5:$O$500,"&lt;=113299",'LANÇAMENTOS DIÁRIOS'!$P$5:$P$500,"&gt;=113200")&gt;0,"X","")</f>
      </c>
      <c r="T42" s="56" t="str">
        <f>IF(COUNTIFS('LANÇAMENTOS DIÁRIOS'!$G$5:$G$500,"F",'LANÇAMENTOS DIÁRIOS'!$C$5:$C$500,$A42,'LANÇAMENTOS DIÁRIOS'!$O$5:$O$500,"&lt;=113399",'LANÇAMENTOS DIÁRIOS'!$P$5:$P$500,"&gt;=113300")&gt;0,"X","")</f>
      </c>
      <c r="U42" s="56" t="str">
        <f>IF(COUNTIFS('LANÇAMENTOS DIÁRIOS'!$G$5:$G$500,"F",'LANÇAMENTOS DIÁRIOS'!$C$5:$C$500,$A42,'LANÇAMENTOS DIÁRIOS'!$O$5:$O$500,"&lt;=113499",'LANÇAMENTOS DIÁRIOS'!$P$5:$P$500,"&gt;=113400")&gt;0,"X","")</f>
      </c>
      <c r="V42" s="56" t="str">
        <f>IF(COUNTIFS('LANÇAMENTOS DIÁRIOS'!$G$5:$G$500,"F",'LANÇAMENTOS DIÁRIOS'!$C$5:$C$500,$A42,'LANÇAMENTOS DIÁRIOS'!$O$5:$O$500,"&lt;=113599",'LANÇAMENTOS DIÁRIOS'!$P$5:$P$500,"&gt;=113500")&gt;0,"X","")</f>
      </c>
      <c r="W42" s="56" t="str">
        <f>IF(COUNTIFS('LANÇAMENTOS DIÁRIOS'!$G$5:$G$500,"F",'LANÇAMENTOS DIÁRIOS'!$C$5:$C$500,$A42,'LANÇAMENTOS DIÁRIOS'!$O$5:$O$500,"&lt;=113699",'LANÇAMENTOS DIÁRIOS'!$P$5:$P$500,"&gt;=113600")&gt;0,"X","")</f>
      </c>
      <c r="X42" s="56" t="str">
        <f>IF(COUNTIFS('LANÇAMENTOS DIÁRIOS'!$G$5:$G$500,"F",'LANÇAMENTOS DIÁRIOS'!$C$5:$C$500,$A42,'LANÇAMENTOS DIÁRIOS'!$O$5:$O$500,"&lt;=113799",'LANÇAMENTOS DIÁRIOS'!$P$5:$P$500,"&gt;=113700")&gt;0,"X","")</f>
      </c>
      <c r="Y42" s="56" t="str">
        <f>IF(COUNTIFS('LANÇAMENTOS DIÁRIOS'!$G$5:$G$500,"F",'LANÇAMENTOS DIÁRIOS'!$C$5:$C$500,$A42,'LANÇAMENTOS DIÁRIOS'!$O$5:$O$500,"&lt;=113899",'LANÇAMENTOS DIÁRIOS'!$P$5:$P$500,"&gt;=113800")&gt;0,"X","")</f>
      </c>
      <c r="Z42" s="56" t="str">
        <f>IF(COUNTIFS('LANÇAMENTOS DIÁRIOS'!$G$5:$G$500,"F",'LANÇAMENTOS DIÁRIOS'!$C$5:$C$500,$A42,'LANÇAMENTOS DIÁRIOS'!$O$5:$O$500,"&lt;=113999",'LANÇAMENTOS DIÁRIOS'!$P$5:$P$500,"&gt;=113900")&gt;0,"X","")</f>
      </c>
      <c r="AA42" s="56" t="str">
        <f>IF(COUNTIFS('LANÇAMENTOS DIÁRIOS'!$G$5:$G$500,"F",'LANÇAMENTOS DIÁRIOS'!$C$5:$C$500,$A42,'LANÇAMENTOS DIÁRIOS'!$O$5:$O$500,"&lt;=114099",'LANÇAMENTOS DIÁRIOS'!$P$5:$P$500,"&gt;=114000")&gt;0,"X","")</f>
      </c>
      <c r="AB42" s="56" t="str">
        <f>IF(COUNTIFS('LANÇAMENTOS DIÁRIOS'!$G$5:$G$500,"F",'LANÇAMENTOS DIÁRIOS'!$C$5:$C$500,$A42,'LANÇAMENTOS DIÁRIOS'!$O$5:$O$500,"&lt;=114199",'LANÇAMENTOS DIÁRIOS'!$P$5:$P$500,"&gt;=114100")&gt;0,"X","")</f>
      </c>
      <c r="AC42" s="56" t="str">
        <f>IF(COUNTIFS('LANÇAMENTOS DIÁRIOS'!$G$5:$G$500,"F",'LANÇAMENTOS DIÁRIOS'!$C$5:$C$500,$A42,'LANÇAMENTOS DIÁRIOS'!$O$5:$O$500,"&lt;=114299",'LANÇAMENTOS DIÁRIOS'!$P$5:$P$500,"&gt;=114200")&gt;0,"X","")</f>
      </c>
      <c r="AD42" s="56" t="str">
        <f>IF(COUNTIFS('LANÇAMENTOS DIÁRIOS'!$G$5:$G$500,"F",'LANÇAMENTOS DIÁRIOS'!$C$5:$C$500,$A42,'LANÇAMENTOS DIÁRIOS'!$O$5:$O$500,"&lt;=114399",'LANÇAMENTOS DIÁRIOS'!$P$5:$P$500,"&gt;=114300")&gt;0,"X","")</f>
      </c>
      <c r="AE42" s="56" t="str">
        <f>IF(COUNTIFS('LANÇAMENTOS DIÁRIOS'!$G$5:$G$500,"F",'LANÇAMENTOS DIÁRIOS'!$C$5:$C$500,$A42,'LANÇAMENTOS DIÁRIOS'!$O$5:$O$500,"&lt;=114499",'LANÇAMENTOS DIÁRIOS'!$P$5:$P$500,"&gt;=114400")&gt;0,"X","")</f>
      </c>
      <c r="AF42" s="56" t="str">
        <f>IF(COUNTIFS('LANÇAMENTOS DIÁRIOS'!$G$5:$G$500,"F",'LANÇAMENTOS DIÁRIOS'!$C$5:$C$500,$A42,'LANÇAMENTOS DIÁRIOS'!$O$5:$O$500,"&lt;=114599",'LANÇAMENTOS DIÁRIOS'!$P$5:$P$500,"&gt;=114500")&gt;0,"X","")</f>
      </c>
      <c r="AG42" s="56" t="str">
        <f>IF(COUNTIFS('LANÇAMENTOS DIÁRIOS'!$G$5:$G$500,"F",'LANÇAMENTOS DIÁRIOS'!$C$5:$C$500,$A42,'LANÇAMENTOS DIÁRIOS'!$O$5:$O$500,"&lt;=114699",'LANÇAMENTOS DIÁRIOS'!$P$5:$P$500,"&gt;=114600")&gt;0,"X","")</f>
      </c>
      <c r="AH42" s="56" t="str">
        <f>IF(COUNTIFS('LANÇAMENTOS DIÁRIOS'!$G$5:$G$500,"F",'LANÇAMENTOS DIÁRIOS'!$C$5:$C$500,$A42,'LANÇAMENTOS DIÁRIOS'!$O$5:$O$500,"&lt;=114799",'LANÇAMENTOS DIÁRIOS'!$P$5:$P$500,"&gt;=114700")&gt;0,"X","")</f>
      </c>
      <c r="AI42" s="56" t="str">
        <f>IF(COUNTIFS('LANÇAMENTOS DIÁRIOS'!$G$5:$G$500,"F",'LANÇAMENTOS DIÁRIOS'!$C$5:$C$500,$A42,'LANÇAMENTOS DIÁRIOS'!$O$5:$O$500,"&lt;=114899",'LANÇAMENTOS DIÁRIOS'!$P$5:$P$500,"&gt;=114800")&gt;0,"X","")</f>
      </c>
      <c r="AJ42" s="56" t="str">
        <f>IF(COUNTIFS('LANÇAMENTOS DIÁRIOS'!$G$5:$G$500,"F",'LANÇAMENTOS DIÁRIOS'!$C$5:$C$500,$A42,'LANÇAMENTOS DIÁRIOS'!$O$5:$O$500,"&lt;=114999",'LANÇAMENTOS DIÁRIOS'!$P$5:$P$500,"&gt;=114900")&gt;0,"X","")</f>
      </c>
      <c r="AK42" s="56" t="str">
        <f>IF(COUNTIFS('LANÇAMENTOS DIÁRIOS'!$G$5:$G$500,"F",'LANÇAMENTOS DIÁRIOS'!$C$5:$C$500,$A42,'LANÇAMENTOS DIÁRIOS'!$O$5:$O$500,"&lt;=115099",'LANÇAMENTOS DIÁRIOS'!$P$5:$P$500,"&gt;=115000")&gt;0,"X","")</f>
      </c>
      <c r="AL42" s="56" t="str">
        <f>IF(COUNTIFS('LANÇAMENTOS DIÁRIOS'!$G$5:$G$500,"F",'LANÇAMENTOS DIÁRIOS'!$C$5:$C$500,$A42,'LANÇAMENTOS DIÁRIOS'!$O$5:$O$500,"&lt;=115199",'LANÇAMENTOS DIÁRIOS'!$P$5:$P$500,"&gt;=115100")&gt;0,"X","")</f>
      </c>
      <c r="AM42" s="56" t="str">
        <f>IF(COUNTIFS('LANÇAMENTOS DIÁRIOS'!$G$5:$G$500,"F",'LANÇAMENTOS DIÁRIOS'!$C$5:$C$500,$A42,'LANÇAMENTOS DIÁRIOS'!$O$5:$O$500,"&lt;=115299",'LANÇAMENTOS DIÁRIOS'!$P$5:$P$500,"&gt;=115200")&gt;0,"X","")</f>
      </c>
      <c r="AN42" s="56" t="str">
        <f>IF(COUNTIFS('LANÇAMENTOS DIÁRIOS'!$G$5:$G$500,"F",'LANÇAMENTOS DIÁRIOS'!$C$5:$C$500,$A42,'LANÇAMENTOS DIÁRIOS'!$O$5:$O$500,"&lt;=115399",'LANÇAMENTOS DIÁRIOS'!$P$5:$P$500,"&gt;=115300")&gt;0,"X","")</f>
      </c>
      <c r="AO42" s="56" t="str">
        <f>IF(COUNTIFS('LANÇAMENTOS DIÁRIOS'!$G$5:$G$500,"F",'LANÇAMENTOS DIÁRIOS'!$C$5:$C$500,$A42,'LANÇAMENTOS DIÁRIOS'!$O$5:$O$500,"&lt;=115499",'LANÇAMENTOS DIÁRIOS'!$P$5:$P$500,"&gt;=115400")&gt;0,"X","")</f>
      </c>
      <c r="AP42" s="56" t="str">
        <f>IF(COUNTIFS('LANÇAMENTOS DIÁRIOS'!$G$5:$G$500,"F",'LANÇAMENTOS DIÁRIOS'!$C$5:$C$500,$A42,'LANÇAMENTOS DIÁRIOS'!$O$5:$O$500,"&lt;=115599",'LANÇAMENTOS DIÁRIOS'!$P$5:$P$500,"&gt;=115500")&gt;0,"X","")</f>
      </c>
      <c r="AQ42" s="56" t="str">
        <f>IF(COUNTIFS('LANÇAMENTOS DIÁRIOS'!$G$5:$G$500,"F",'LANÇAMENTOS DIÁRIOS'!$C$5:$C$500,$A42,'LANÇAMENTOS DIÁRIOS'!$O$5:$O$500,"&lt;=115699",'LANÇAMENTOS DIÁRIOS'!$P$5:$P$500,"&gt;=115600")&gt;0,"X","")</f>
      </c>
      <c r="AR42" s="56" t="str">
        <f>IF(COUNTIFS('LANÇAMENTOS DIÁRIOS'!$G$5:$G$500,"F",'LANÇAMENTOS DIÁRIOS'!$C$5:$C$500,$A42,'LANÇAMENTOS DIÁRIOS'!$O$5:$O$500,"&lt;=115799",'LANÇAMENTOS DIÁRIOS'!$P$5:$P$500,"&gt;=115700")&gt;0,"X","")</f>
      </c>
      <c r="AS42" s="56" t="str">
        <f>IF(COUNTIFS('LANÇAMENTOS DIÁRIOS'!$G$5:$G$500,"F",'LANÇAMENTOS DIÁRIOS'!$C$5:$C$500,$A42,'LANÇAMENTOS DIÁRIOS'!$O$5:$O$500,"&lt;=115899",'LANÇAMENTOS DIÁRIOS'!$P$5:$P$500,"&gt;=115800")&gt;0,"X","")</f>
      </c>
      <c r="AT42" s="56" t="str">
        <f>IF(COUNTIFS('LANÇAMENTOS DIÁRIOS'!$G$5:$G$500,"F",'LANÇAMENTOS DIÁRIOS'!$C$5:$C$500,$A42,'LANÇAMENTOS DIÁRIOS'!$O$5:$O$500,"&lt;=115999",'LANÇAMENTOS DIÁRIOS'!$P$5:$P$500,"&gt;=115900")&gt;0,"X","")</f>
      </c>
      <c r="AU42" s="56" t="str">
        <f>IF(COUNTIFS('LANÇAMENTOS DIÁRIOS'!$G$5:$G$500,"F",'LANÇAMENTOS DIÁRIOS'!$C$5:$C$500,$A42,'LANÇAMENTOS DIÁRIOS'!$O$5:$O$500,"&lt;=116099",'LANÇAMENTOS DIÁRIOS'!$P$5:$P$500,"&gt;=116000")&gt;0,"X","")</f>
      </c>
      <c r="AV42" s="56" t="str">
        <f>IF(COUNTIFS('LANÇAMENTOS DIÁRIOS'!$G$5:$G$500,"F",'LANÇAMENTOS DIÁRIOS'!$C$5:$C$500,$A42,'LANÇAMENTOS DIÁRIOS'!$O$5:$O$500,"&lt;=116199",'LANÇAMENTOS DIÁRIOS'!$P$5:$P$500,"&gt;=116100")&gt;0,"X","")</f>
      </c>
      <c r="AW42" s="56" t="str">
        <f>IF(COUNTIFS('LANÇAMENTOS DIÁRIOS'!$G$5:$G$500,"F",'LANÇAMENTOS DIÁRIOS'!$C$5:$C$500,$A42,'LANÇAMENTOS DIÁRIOS'!$O$5:$O$500,"&lt;=116299",'LANÇAMENTOS DIÁRIOS'!$P$5:$P$500,"&gt;=116200")&gt;0,"X","")</f>
      </c>
      <c r="AX42" s="56" t="str">
        <f>IF(COUNTIFS('LANÇAMENTOS DIÁRIOS'!$G$5:$G$500,"F",'LANÇAMENTOS DIÁRIOS'!$C$5:$C$500,$A42,'LANÇAMENTOS DIÁRIOS'!$O$5:$O$500,"&lt;=116399",'LANÇAMENTOS DIÁRIOS'!$P$5:$P$500,"&gt;=116300")&gt;0,"X","")</f>
      </c>
      <c r="AY42" s="56" t="str">
        <f>IF(COUNTIFS('LANÇAMENTOS DIÁRIOS'!$G$5:$G$500,"F",'LANÇAMENTOS DIÁRIOS'!$C$5:$C$500,$A42,'LANÇAMENTOS DIÁRIOS'!$O$5:$O$500,"&lt;=116499",'LANÇAMENTOS DIÁRIOS'!$P$5:$P$500,"&gt;=116400")&gt;0,"X","")</f>
      </c>
      <c r="AZ42" s="56" t="str">
        <f>IF(COUNTIFS('LANÇAMENTOS DIÁRIOS'!$G$5:$G$500,"F",'LANÇAMENTOS DIÁRIOS'!$C$5:$C$500,$A42,'LANÇAMENTOS DIÁRIOS'!$O$5:$O$500,"&lt;=116599",'LANÇAMENTOS DIÁRIOS'!$P$5:$P$500,"&gt;=116500")&gt;0,"X","")</f>
      </c>
      <c r="BA42" s="56" t="str">
        <f>IF(COUNTIFS('LANÇAMENTOS DIÁRIOS'!$G$5:$G$500,"F",'LANÇAMENTOS DIÁRIOS'!$C$5:$C$500,$A42,'LANÇAMENTOS DIÁRIOS'!$O$5:$O$500,"&lt;=116699",'LANÇAMENTOS DIÁRIOS'!$P$5:$P$500,"&gt;=116600")&gt;0,"X","")</f>
      </c>
      <c r="BB42" s="56" t="str">
        <f>IF(COUNTIFS('LANÇAMENTOS DIÁRIOS'!$G$5:$G$500,"F",'LANÇAMENTOS DIÁRIOS'!$C$5:$C$500,$A42,'LANÇAMENTOS DIÁRIOS'!$O$5:$O$500,"&lt;=116799",'LANÇAMENTOS DIÁRIOS'!$P$5:$P$500,"&gt;=116700")&gt;0,"X","")</f>
      </c>
      <c r="BC42" s="56" t="str">
        <f>IF(COUNTIFS('LANÇAMENTOS DIÁRIOS'!$G$5:$G$500,"F",'LANÇAMENTOS DIÁRIOS'!$C$5:$C$500,$A42,'LANÇAMENTOS DIÁRIOS'!$O$5:$O$500,"&lt;=116899",'LANÇAMENTOS DIÁRIOS'!$P$5:$P$500,"&gt;=116800")&gt;0,"X","")</f>
      </c>
      <c r="BD42" s="56" t="str">
        <f>IF(COUNTIFS('LANÇAMENTOS DIÁRIOS'!$G$5:$G$500,"F",'LANÇAMENTOS DIÁRIOS'!$C$5:$C$500,$A42,'LANÇAMENTOS DIÁRIOS'!$O$5:$O$500,"&lt;=116999",'LANÇAMENTOS DIÁRIOS'!$P$5:$P$500,"&gt;=116900")&gt;0,"X","")</f>
      </c>
      <c r="BE42" s="56" t="str">
        <f>IF(COUNTIFS('LANÇAMENTOS DIÁRIOS'!$G$5:$G$500,"F",'LANÇAMENTOS DIÁRIOS'!$C$5:$C$500,$A42,'LANÇAMENTOS DIÁRIOS'!$O$5:$O$500,"&lt;=117099",'LANÇAMENTOS DIÁRIOS'!$P$5:$P$500,"&gt;=117000")&gt;0,"X","")</f>
      </c>
      <c r="BF42" s="56" t="str">
        <f>IF(COUNTIFS('LANÇAMENTOS DIÁRIOS'!$G$5:$G$500,"F",'LANÇAMENTOS DIÁRIOS'!$C$5:$C$500,$A42,'LANÇAMENTOS DIÁRIOS'!$O$5:$O$500,"&lt;=117199",'LANÇAMENTOS DIÁRIOS'!$P$5:$P$500,"&gt;=117100")&gt;0,"X","")</f>
      </c>
      <c r="BG42" s="56" t="str">
        <f>IF(COUNTIFS('LANÇAMENTOS DIÁRIOS'!$G$5:$G$500,"F",'LANÇAMENTOS DIÁRIOS'!$C$5:$C$500,$A42,'LANÇAMENTOS DIÁRIOS'!$O$5:$O$500,"&lt;=117219",'LANÇAMENTOS DIÁRIOS'!$P$5:$P$500,"&gt;=117200")&gt;0,"X","")</f>
      </c>
      <c r="BH42" s="56" t="str">
        <f>IF(COUNTIFS('LANÇAMENTOS DIÁRIOS'!$G$5:$G$500,"F",'LANÇAMENTOS DIÁRIOS'!$C$5:$C$500,$A42,'LANÇAMENTOS DIÁRIOS'!$O$5:$O$500,"&lt;=117220",'LANÇAMENTOS DIÁRIOS'!$P$5:$P$500,"&gt;=117220")&gt;0,"X","")</f>
      </c>
    </row>
    <row r="43">
      <c r="A43" s="51" t="str">
        <v>Escavação de material de 1ª e 2ª categoria</v>
      </c>
      <c r="B43" s="56" t="str">
        <f>IF(COUNTIFS('LANÇAMENTOS DIÁRIOS'!$G$5:$G$500,"F",'LANÇAMENTOS DIÁRIOS'!$C$5:$C$500,$A43,'LANÇAMENTOS DIÁRIOS'!$O$5:$O$500,"&lt;=111599",'LANÇAMENTOS DIÁRIOS'!$P$5:$P$500,"&gt;=111500")&gt;0,"X","")</f>
      </c>
      <c r="C43" s="56" t="str">
        <f>IF(COUNTIFS('LANÇAMENTOS DIÁRIOS'!$G$5:$G$500,"F",'LANÇAMENTOS DIÁRIOS'!$C$5:$C$500,$A43,'LANÇAMENTOS DIÁRIOS'!$O$5:$O$500,"&lt;=111699",'LANÇAMENTOS DIÁRIOS'!$P$5:$P$500,"&gt;=111600")&gt;0,"X","")</f>
      </c>
      <c r="D43" s="56" t="str">
        <f>IF(COUNTIFS('LANÇAMENTOS DIÁRIOS'!$G$5:$G$500,"F",'LANÇAMENTOS DIÁRIOS'!$C$5:$C$500,$A43,'LANÇAMENTOS DIÁRIOS'!$O$5:$O$500,"&lt;=111799",'LANÇAMENTOS DIÁRIOS'!$P$5:$P$500,"&gt;=111700")&gt;0,"X","")</f>
      </c>
      <c r="E43" s="56" t="str">
        <f>IF(COUNTIFS('LANÇAMENTOS DIÁRIOS'!$G$5:$G$500,"F",'LANÇAMENTOS DIÁRIOS'!$C$5:$C$500,$A43,'LANÇAMENTOS DIÁRIOS'!$O$5:$O$500,"&lt;=111899",'LANÇAMENTOS DIÁRIOS'!$P$5:$P$500,"&gt;=111800")&gt;0,"X","")</f>
      </c>
      <c r="F43" s="56" t="str">
        <f>IF(COUNTIFS('LANÇAMENTOS DIÁRIOS'!$G$5:$G$500,"F",'LANÇAMENTOS DIÁRIOS'!$C$5:$C$500,$A43,'LANÇAMENTOS DIÁRIOS'!$O$5:$O$500,"&lt;=111999",'LANÇAMENTOS DIÁRIOS'!$P$5:$P$500,"&gt;=111900")&gt;0,"X","")</f>
      </c>
      <c r="G43" s="56" t="str">
        <f>IF(COUNTIFS('LANÇAMENTOS DIÁRIOS'!$G$5:$G$500,"F",'LANÇAMENTOS DIÁRIOS'!$C$5:$C$500,$A43,'LANÇAMENTOS DIÁRIOS'!$O$5:$O$500,"&lt;=112099",'LANÇAMENTOS DIÁRIOS'!$P$5:$P$500,"&gt;=112000")&gt;0,"X","")</f>
      </c>
      <c r="H43" s="56" t="str">
        <f>IF(COUNTIFS('LANÇAMENTOS DIÁRIOS'!$G$5:$G$500,"F",'LANÇAMENTOS DIÁRIOS'!$C$5:$C$500,$A43,'LANÇAMENTOS DIÁRIOS'!$O$5:$O$500,"&lt;=112199",'LANÇAMENTOS DIÁRIOS'!$P$5:$P$500,"&gt;=112100")&gt;0,"X","")</f>
      </c>
      <c r="I43" s="56" t="str">
        <f>IF(COUNTIFS('LANÇAMENTOS DIÁRIOS'!$G$5:$G$500,"F",'LANÇAMENTOS DIÁRIOS'!$C$5:$C$500,$A43,'LANÇAMENTOS DIÁRIOS'!$O$5:$O$500,"&lt;=112299",'LANÇAMENTOS DIÁRIOS'!$P$5:$P$500,"&gt;=112200")&gt;0,"X","")</f>
      </c>
      <c r="J43" s="56" t="str">
        <f>IF(COUNTIFS('LANÇAMENTOS DIÁRIOS'!$G$5:$G$500,"F",'LANÇAMENTOS DIÁRIOS'!$C$5:$C$500,$A43,'LANÇAMENTOS DIÁRIOS'!$O$5:$O$500,"&lt;=112399",'LANÇAMENTOS DIÁRIOS'!$P$5:$P$500,"&gt;=112300")&gt;0,"X","")</f>
      </c>
      <c r="K43" s="56" t="str">
        <f>IF(COUNTIFS('LANÇAMENTOS DIÁRIOS'!$G$5:$G$500,"F",'LANÇAMENTOS DIÁRIOS'!$C$5:$C$500,$A43,'LANÇAMENTOS DIÁRIOS'!$O$5:$O$500,"&lt;=112499",'LANÇAMENTOS DIÁRIOS'!$P$5:$P$500,"&gt;=112400")&gt;0,"X","")</f>
      </c>
      <c r="L43" s="56" t="str">
        <f>IF(COUNTIFS('LANÇAMENTOS DIÁRIOS'!$G$5:$G$500,"F",'LANÇAMENTOS DIÁRIOS'!$C$5:$C$500,$A43,'LANÇAMENTOS DIÁRIOS'!$O$5:$O$500,"&lt;=112599",'LANÇAMENTOS DIÁRIOS'!$P$5:$P$500,"&gt;=112500")&gt;0,"X","")</f>
      </c>
      <c r="M43" s="56" t="str">
        <f>IF(COUNTIFS('LANÇAMENTOS DIÁRIOS'!$G$5:$G$500,"F",'LANÇAMENTOS DIÁRIOS'!$C$5:$C$500,$A43,'LANÇAMENTOS DIÁRIOS'!$O$5:$O$500,"&lt;=112699",'LANÇAMENTOS DIÁRIOS'!$P$5:$P$500,"&gt;=112600")&gt;0,"X","")</f>
      </c>
      <c r="N43" s="56" t="str">
        <f>IF(COUNTIFS('LANÇAMENTOS DIÁRIOS'!$G$5:$G$500,"F",'LANÇAMENTOS DIÁRIOS'!$C$5:$C$500,$A43,'LANÇAMENTOS DIÁRIOS'!$O$5:$O$500,"&lt;=112799",'LANÇAMENTOS DIÁRIOS'!$P$5:$P$500,"&gt;=112700")&gt;0,"X","")</f>
      </c>
      <c r="O43" s="56" t="str">
        <f>IF(COUNTIFS('LANÇAMENTOS DIÁRIOS'!$G$5:$G$500,"F",'LANÇAMENTOS DIÁRIOS'!$C$5:$C$500,$A43,'LANÇAMENTOS DIÁRIOS'!$O$5:$O$500,"&lt;=112899",'LANÇAMENTOS DIÁRIOS'!$P$5:$P$500,"&gt;=112800")&gt;0,"X","")</f>
      </c>
      <c r="P43" s="56" t="str">
        <f>IF(COUNTIFS('LANÇAMENTOS DIÁRIOS'!$G$5:$G$500,"F",'LANÇAMENTOS DIÁRIOS'!$C$5:$C$500,$A43,'LANÇAMENTOS DIÁRIOS'!$O$5:$O$500,"&lt;=112999",'LANÇAMENTOS DIÁRIOS'!$P$5:$P$500,"&gt;=112900")&gt;0,"X","")</f>
      </c>
      <c r="Q43" s="56" t="str">
        <f>IF(COUNTIFS('LANÇAMENTOS DIÁRIOS'!$G$5:$G$500,"F",'LANÇAMENTOS DIÁRIOS'!$C$5:$C$500,$A43,'LANÇAMENTOS DIÁRIOS'!$O$5:$O$500,"&lt;=113099",'LANÇAMENTOS DIÁRIOS'!$P$5:$P$500,"&gt;=113000")&gt;0,"X","")</f>
      </c>
      <c r="R43" s="56" t="str">
        <f>IF(COUNTIFS('LANÇAMENTOS DIÁRIOS'!$G$5:$G$500,"F",'LANÇAMENTOS DIÁRIOS'!$C$5:$C$500,$A43,'LANÇAMENTOS DIÁRIOS'!$O$5:$O$500,"&lt;=113199",'LANÇAMENTOS DIÁRIOS'!$P$5:$P$500,"&gt;=113100")&gt;0,"X","")</f>
      </c>
      <c r="S43" s="56" t="str">
        <f>IF(COUNTIFS('LANÇAMENTOS DIÁRIOS'!$G$5:$G$500,"F",'LANÇAMENTOS DIÁRIOS'!$C$5:$C$500,$A43,'LANÇAMENTOS DIÁRIOS'!$O$5:$O$500,"&lt;=113299",'LANÇAMENTOS DIÁRIOS'!$P$5:$P$500,"&gt;=113200")&gt;0,"X","")</f>
      </c>
      <c r="T43" s="56" t="str">
        <f>IF(COUNTIFS('LANÇAMENTOS DIÁRIOS'!$G$5:$G$500,"F",'LANÇAMENTOS DIÁRIOS'!$C$5:$C$500,$A43,'LANÇAMENTOS DIÁRIOS'!$O$5:$O$500,"&lt;=113399",'LANÇAMENTOS DIÁRIOS'!$P$5:$P$500,"&gt;=113300")&gt;0,"X","")</f>
      </c>
      <c r="U43" s="56" t="str">
        <f>IF(COUNTIFS('LANÇAMENTOS DIÁRIOS'!$G$5:$G$500,"F",'LANÇAMENTOS DIÁRIOS'!$C$5:$C$500,$A43,'LANÇAMENTOS DIÁRIOS'!$O$5:$O$500,"&lt;=113499",'LANÇAMENTOS DIÁRIOS'!$P$5:$P$500,"&gt;=113400")&gt;0,"X","")</f>
      </c>
      <c r="V43" s="56" t="str">
        <f>IF(COUNTIFS('LANÇAMENTOS DIÁRIOS'!$G$5:$G$500,"F",'LANÇAMENTOS DIÁRIOS'!$C$5:$C$500,$A43,'LANÇAMENTOS DIÁRIOS'!$O$5:$O$500,"&lt;=113599",'LANÇAMENTOS DIÁRIOS'!$P$5:$P$500,"&gt;=113500")&gt;0,"X","")</f>
      </c>
      <c r="W43" s="56" t="str">
        <f>IF(COUNTIFS('LANÇAMENTOS DIÁRIOS'!$G$5:$G$500,"F",'LANÇAMENTOS DIÁRIOS'!$C$5:$C$500,$A43,'LANÇAMENTOS DIÁRIOS'!$O$5:$O$500,"&lt;=113699",'LANÇAMENTOS DIÁRIOS'!$P$5:$P$500,"&gt;=113600")&gt;0,"X","")</f>
      </c>
      <c r="X43" s="56" t="str">
        <f>IF(COUNTIFS('LANÇAMENTOS DIÁRIOS'!$G$5:$G$500,"F",'LANÇAMENTOS DIÁRIOS'!$C$5:$C$500,$A43,'LANÇAMENTOS DIÁRIOS'!$O$5:$O$500,"&lt;=113799",'LANÇAMENTOS DIÁRIOS'!$P$5:$P$500,"&gt;=113700")&gt;0,"X","")</f>
      </c>
      <c r="Y43" s="56" t="str">
        <f>IF(COUNTIFS('LANÇAMENTOS DIÁRIOS'!$G$5:$G$500,"F",'LANÇAMENTOS DIÁRIOS'!$C$5:$C$500,$A43,'LANÇAMENTOS DIÁRIOS'!$O$5:$O$500,"&lt;=113899",'LANÇAMENTOS DIÁRIOS'!$P$5:$P$500,"&gt;=113800")&gt;0,"X","")</f>
      </c>
      <c r="Z43" s="56" t="str">
        <f>IF(COUNTIFS('LANÇAMENTOS DIÁRIOS'!$G$5:$G$500,"F",'LANÇAMENTOS DIÁRIOS'!$C$5:$C$500,$A43,'LANÇAMENTOS DIÁRIOS'!$O$5:$O$500,"&lt;=113999",'LANÇAMENTOS DIÁRIOS'!$P$5:$P$500,"&gt;=113900")&gt;0,"X","")</f>
      </c>
      <c r="AA43" s="56" t="str">
        <f>IF(COUNTIFS('LANÇAMENTOS DIÁRIOS'!$G$5:$G$500,"F",'LANÇAMENTOS DIÁRIOS'!$C$5:$C$500,$A43,'LANÇAMENTOS DIÁRIOS'!$O$5:$O$500,"&lt;=114099",'LANÇAMENTOS DIÁRIOS'!$P$5:$P$500,"&gt;=114000")&gt;0,"X","")</f>
      </c>
      <c r="AB43" s="56" t="str">
        <f>IF(COUNTIFS('LANÇAMENTOS DIÁRIOS'!$G$5:$G$500,"F",'LANÇAMENTOS DIÁRIOS'!$C$5:$C$500,$A43,'LANÇAMENTOS DIÁRIOS'!$O$5:$O$500,"&lt;=114199",'LANÇAMENTOS DIÁRIOS'!$P$5:$P$500,"&gt;=114100")&gt;0,"X","")</f>
      </c>
      <c r="AC43" s="56" t="str">
        <f>IF(COUNTIFS('LANÇAMENTOS DIÁRIOS'!$G$5:$G$500,"F",'LANÇAMENTOS DIÁRIOS'!$C$5:$C$500,$A43,'LANÇAMENTOS DIÁRIOS'!$O$5:$O$500,"&lt;=114299",'LANÇAMENTOS DIÁRIOS'!$P$5:$P$500,"&gt;=114200")&gt;0,"X","")</f>
      </c>
      <c r="AD43" s="56" t="str">
        <f>IF(COUNTIFS('LANÇAMENTOS DIÁRIOS'!$G$5:$G$500,"F",'LANÇAMENTOS DIÁRIOS'!$C$5:$C$500,$A43,'LANÇAMENTOS DIÁRIOS'!$O$5:$O$500,"&lt;=114399",'LANÇAMENTOS DIÁRIOS'!$P$5:$P$500,"&gt;=114300")&gt;0,"X","")</f>
      </c>
      <c r="AE43" s="56" t="str">
        <f>IF(COUNTIFS('LANÇAMENTOS DIÁRIOS'!$G$5:$G$500,"F",'LANÇAMENTOS DIÁRIOS'!$C$5:$C$500,$A43,'LANÇAMENTOS DIÁRIOS'!$O$5:$O$500,"&lt;=114499",'LANÇAMENTOS DIÁRIOS'!$P$5:$P$500,"&gt;=114400")&gt;0,"X","")</f>
      </c>
      <c r="AF43" s="56" t="str">
        <f>IF(COUNTIFS('LANÇAMENTOS DIÁRIOS'!$G$5:$G$500,"F",'LANÇAMENTOS DIÁRIOS'!$C$5:$C$500,$A43,'LANÇAMENTOS DIÁRIOS'!$O$5:$O$500,"&lt;=114599",'LANÇAMENTOS DIÁRIOS'!$P$5:$P$500,"&gt;=114500")&gt;0,"X","")</f>
      </c>
      <c r="AG43" s="56" t="str">
        <f>IF(COUNTIFS('LANÇAMENTOS DIÁRIOS'!$G$5:$G$500,"F",'LANÇAMENTOS DIÁRIOS'!$C$5:$C$500,$A43,'LANÇAMENTOS DIÁRIOS'!$O$5:$O$500,"&lt;=114699",'LANÇAMENTOS DIÁRIOS'!$P$5:$P$500,"&gt;=114600")&gt;0,"X","")</f>
      </c>
      <c r="AH43" s="56" t="str">
        <f>IF(COUNTIFS('LANÇAMENTOS DIÁRIOS'!$G$5:$G$500,"F",'LANÇAMENTOS DIÁRIOS'!$C$5:$C$500,$A43,'LANÇAMENTOS DIÁRIOS'!$O$5:$O$500,"&lt;=114799",'LANÇAMENTOS DIÁRIOS'!$P$5:$P$500,"&gt;=114700")&gt;0,"X","")</f>
      </c>
      <c r="AI43" s="56" t="str">
        <f>IF(COUNTIFS('LANÇAMENTOS DIÁRIOS'!$G$5:$G$500,"F",'LANÇAMENTOS DIÁRIOS'!$C$5:$C$500,$A43,'LANÇAMENTOS DIÁRIOS'!$O$5:$O$500,"&lt;=114899",'LANÇAMENTOS DIÁRIOS'!$P$5:$P$500,"&gt;=114800")&gt;0,"X","")</f>
      </c>
      <c r="AJ43" s="56" t="str">
        <f>IF(COUNTIFS('LANÇAMENTOS DIÁRIOS'!$G$5:$G$500,"F",'LANÇAMENTOS DIÁRIOS'!$C$5:$C$500,$A43,'LANÇAMENTOS DIÁRIOS'!$O$5:$O$500,"&lt;=114999",'LANÇAMENTOS DIÁRIOS'!$P$5:$P$500,"&gt;=114900")&gt;0,"X","")</f>
      </c>
      <c r="AK43" s="56" t="str">
        <f>IF(COUNTIFS('LANÇAMENTOS DIÁRIOS'!$G$5:$G$500,"F",'LANÇAMENTOS DIÁRIOS'!$C$5:$C$500,$A43,'LANÇAMENTOS DIÁRIOS'!$O$5:$O$500,"&lt;=115099",'LANÇAMENTOS DIÁRIOS'!$P$5:$P$500,"&gt;=115000")&gt;0,"X","")</f>
      </c>
      <c r="AL43" s="56" t="str">
        <f>IF(COUNTIFS('LANÇAMENTOS DIÁRIOS'!$G$5:$G$500,"F",'LANÇAMENTOS DIÁRIOS'!$C$5:$C$500,$A43,'LANÇAMENTOS DIÁRIOS'!$O$5:$O$500,"&lt;=115199",'LANÇAMENTOS DIÁRIOS'!$P$5:$P$500,"&gt;=115100")&gt;0,"X","")</f>
      </c>
      <c r="AM43" s="56" t="str">
        <f>IF(COUNTIFS('LANÇAMENTOS DIÁRIOS'!$G$5:$G$500,"F",'LANÇAMENTOS DIÁRIOS'!$C$5:$C$500,$A43,'LANÇAMENTOS DIÁRIOS'!$O$5:$O$500,"&lt;=115299",'LANÇAMENTOS DIÁRIOS'!$P$5:$P$500,"&gt;=115200")&gt;0,"X","")</f>
      </c>
      <c r="AN43" s="56" t="str">
        <f>IF(COUNTIFS('LANÇAMENTOS DIÁRIOS'!$G$5:$G$500,"F",'LANÇAMENTOS DIÁRIOS'!$C$5:$C$500,$A43,'LANÇAMENTOS DIÁRIOS'!$O$5:$O$500,"&lt;=115399",'LANÇAMENTOS DIÁRIOS'!$P$5:$P$500,"&gt;=115300")&gt;0,"X","")</f>
      </c>
      <c r="AO43" s="56" t="str">
        <f>IF(COUNTIFS('LANÇAMENTOS DIÁRIOS'!$G$5:$G$500,"F",'LANÇAMENTOS DIÁRIOS'!$C$5:$C$500,$A43,'LANÇAMENTOS DIÁRIOS'!$O$5:$O$500,"&lt;=115499",'LANÇAMENTOS DIÁRIOS'!$P$5:$P$500,"&gt;=115400")&gt;0,"X","")</f>
      </c>
      <c r="AP43" s="56" t="str">
        <f>IF(COUNTIFS('LANÇAMENTOS DIÁRIOS'!$G$5:$G$500,"F",'LANÇAMENTOS DIÁRIOS'!$C$5:$C$500,$A43,'LANÇAMENTOS DIÁRIOS'!$O$5:$O$500,"&lt;=115599",'LANÇAMENTOS DIÁRIOS'!$P$5:$P$500,"&gt;=115500")&gt;0,"X","")</f>
      </c>
      <c r="AQ43" s="56" t="str">
        <f>IF(COUNTIFS('LANÇAMENTOS DIÁRIOS'!$G$5:$G$500,"F",'LANÇAMENTOS DIÁRIOS'!$C$5:$C$500,$A43,'LANÇAMENTOS DIÁRIOS'!$O$5:$O$500,"&lt;=115699",'LANÇAMENTOS DIÁRIOS'!$P$5:$P$500,"&gt;=115600")&gt;0,"X","")</f>
      </c>
      <c r="AR43" s="56" t="str">
        <f>IF(COUNTIFS('LANÇAMENTOS DIÁRIOS'!$G$5:$G$500,"F",'LANÇAMENTOS DIÁRIOS'!$C$5:$C$500,$A43,'LANÇAMENTOS DIÁRIOS'!$O$5:$O$500,"&lt;=115799",'LANÇAMENTOS DIÁRIOS'!$P$5:$P$500,"&gt;=115700")&gt;0,"X","")</f>
      </c>
      <c r="AS43" s="56" t="str">
        <f>IF(COUNTIFS('LANÇAMENTOS DIÁRIOS'!$G$5:$G$500,"F",'LANÇAMENTOS DIÁRIOS'!$C$5:$C$500,$A43,'LANÇAMENTOS DIÁRIOS'!$O$5:$O$500,"&lt;=115899",'LANÇAMENTOS DIÁRIOS'!$P$5:$P$500,"&gt;=115800")&gt;0,"X","")</f>
      </c>
      <c r="AT43" s="56" t="str">
        <f>IF(COUNTIFS('LANÇAMENTOS DIÁRIOS'!$G$5:$G$500,"F",'LANÇAMENTOS DIÁRIOS'!$C$5:$C$500,$A43,'LANÇAMENTOS DIÁRIOS'!$O$5:$O$500,"&lt;=115999",'LANÇAMENTOS DIÁRIOS'!$P$5:$P$500,"&gt;=115900")&gt;0,"X","")</f>
      </c>
      <c r="AU43" s="56" t="str">
        <f>IF(COUNTIFS('LANÇAMENTOS DIÁRIOS'!$G$5:$G$500,"F",'LANÇAMENTOS DIÁRIOS'!$C$5:$C$500,$A43,'LANÇAMENTOS DIÁRIOS'!$O$5:$O$500,"&lt;=116099",'LANÇAMENTOS DIÁRIOS'!$P$5:$P$500,"&gt;=116000")&gt;0,"X","")</f>
      </c>
      <c r="AV43" s="56" t="str">
        <f>IF(COUNTIFS('LANÇAMENTOS DIÁRIOS'!$G$5:$G$500,"F",'LANÇAMENTOS DIÁRIOS'!$C$5:$C$500,$A43,'LANÇAMENTOS DIÁRIOS'!$O$5:$O$500,"&lt;=116199",'LANÇAMENTOS DIÁRIOS'!$P$5:$P$500,"&gt;=116100")&gt;0,"X","")</f>
      </c>
      <c r="AW43" s="56" t="str">
        <f>IF(COUNTIFS('LANÇAMENTOS DIÁRIOS'!$G$5:$G$500,"F",'LANÇAMENTOS DIÁRIOS'!$C$5:$C$500,$A43,'LANÇAMENTOS DIÁRIOS'!$O$5:$O$500,"&lt;=116299",'LANÇAMENTOS DIÁRIOS'!$P$5:$P$500,"&gt;=116200")&gt;0,"X","")</f>
      </c>
      <c r="AX43" s="56" t="str">
        <f>IF(COUNTIFS('LANÇAMENTOS DIÁRIOS'!$G$5:$G$500,"F",'LANÇAMENTOS DIÁRIOS'!$C$5:$C$500,$A43,'LANÇAMENTOS DIÁRIOS'!$O$5:$O$500,"&lt;=116399",'LANÇAMENTOS DIÁRIOS'!$P$5:$P$500,"&gt;=116300")&gt;0,"X","")</f>
      </c>
      <c r="AY43" s="56" t="str">
        <f>IF(COUNTIFS('LANÇAMENTOS DIÁRIOS'!$G$5:$G$500,"F",'LANÇAMENTOS DIÁRIOS'!$C$5:$C$500,$A43,'LANÇAMENTOS DIÁRIOS'!$O$5:$O$500,"&lt;=116499",'LANÇAMENTOS DIÁRIOS'!$P$5:$P$500,"&gt;=116400")&gt;0,"X","")</f>
      </c>
      <c r="AZ43" s="56" t="str">
        <f>IF(COUNTIFS('LANÇAMENTOS DIÁRIOS'!$G$5:$G$500,"F",'LANÇAMENTOS DIÁRIOS'!$C$5:$C$500,$A43,'LANÇAMENTOS DIÁRIOS'!$O$5:$O$500,"&lt;=116599",'LANÇAMENTOS DIÁRIOS'!$P$5:$P$500,"&gt;=116500")&gt;0,"X","")</f>
      </c>
      <c r="BA43" s="56" t="str">
        <f>IF(COUNTIFS('LANÇAMENTOS DIÁRIOS'!$G$5:$G$500,"F",'LANÇAMENTOS DIÁRIOS'!$C$5:$C$500,$A43,'LANÇAMENTOS DIÁRIOS'!$O$5:$O$500,"&lt;=116699",'LANÇAMENTOS DIÁRIOS'!$P$5:$P$500,"&gt;=116600")&gt;0,"X","")</f>
      </c>
      <c r="BB43" s="56" t="str">
        <f>IF(COUNTIFS('LANÇAMENTOS DIÁRIOS'!$G$5:$G$500,"F",'LANÇAMENTOS DIÁRIOS'!$C$5:$C$500,$A43,'LANÇAMENTOS DIÁRIOS'!$O$5:$O$500,"&lt;=116799",'LANÇAMENTOS DIÁRIOS'!$P$5:$P$500,"&gt;=116700")&gt;0,"X","")</f>
      </c>
      <c r="BC43" s="56" t="str">
        <f>IF(COUNTIFS('LANÇAMENTOS DIÁRIOS'!$G$5:$G$500,"F",'LANÇAMENTOS DIÁRIOS'!$C$5:$C$500,$A43,'LANÇAMENTOS DIÁRIOS'!$O$5:$O$500,"&lt;=116899",'LANÇAMENTOS DIÁRIOS'!$P$5:$P$500,"&gt;=116800")&gt;0,"X","")</f>
      </c>
      <c r="BD43" s="56" t="str">
        <f>IF(COUNTIFS('LANÇAMENTOS DIÁRIOS'!$G$5:$G$500,"F",'LANÇAMENTOS DIÁRIOS'!$C$5:$C$500,$A43,'LANÇAMENTOS DIÁRIOS'!$O$5:$O$500,"&lt;=116999",'LANÇAMENTOS DIÁRIOS'!$P$5:$P$500,"&gt;=116900")&gt;0,"X","")</f>
      </c>
      <c r="BE43" s="56" t="str">
        <f>IF(COUNTIFS('LANÇAMENTOS DIÁRIOS'!$G$5:$G$500,"F",'LANÇAMENTOS DIÁRIOS'!$C$5:$C$500,$A43,'LANÇAMENTOS DIÁRIOS'!$O$5:$O$500,"&lt;=117099",'LANÇAMENTOS DIÁRIOS'!$P$5:$P$500,"&gt;=117000")&gt;0,"X","")</f>
      </c>
      <c r="BF43" s="56" t="str">
        <f>IF(COUNTIFS('LANÇAMENTOS DIÁRIOS'!$G$5:$G$500,"F",'LANÇAMENTOS DIÁRIOS'!$C$5:$C$500,$A43,'LANÇAMENTOS DIÁRIOS'!$O$5:$O$500,"&lt;=117199",'LANÇAMENTOS DIÁRIOS'!$P$5:$P$500,"&gt;=117100")&gt;0,"X","")</f>
      </c>
      <c r="BG43" s="56" t="str">
        <f>IF(COUNTIFS('LANÇAMENTOS DIÁRIOS'!$G$5:$G$500,"F",'LANÇAMENTOS DIÁRIOS'!$C$5:$C$500,$A43,'LANÇAMENTOS DIÁRIOS'!$O$5:$O$500,"&lt;=117219",'LANÇAMENTOS DIÁRIOS'!$P$5:$P$500,"&gt;=117200")&gt;0,"X","")</f>
      </c>
      <c r="BH43" s="56" t="str">
        <f>IF(COUNTIFS('LANÇAMENTOS DIÁRIOS'!$G$5:$G$500,"F",'LANÇAMENTOS DIÁRIOS'!$C$5:$C$500,$A43,'LANÇAMENTOS DIÁRIOS'!$O$5:$O$500,"&lt;=117220",'LANÇAMENTOS DIÁRIOS'!$P$5:$P$500,"&gt;=117220")&gt;0,"X","")</f>
      </c>
    </row>
    <row r="44" ht="19" customHeight="1">
      <c r="A44" s="68" t="str">
        <v>Aterro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</row>
    <row r="45">
      <c r="A45" s="51" t="str">
        <v>Compactação de aterro a 95% do proctor normal</v>
      </c>
      <c r="B45" s="56" t="str">
        <f>IF(COUNTIFS('LANÇAMENTOS DIÁRIOS'!$G$5:$G$500,"F",'LANÇAMENTOS DIÁRIOS'!$C$5:$C$500,$A45,'LANÇAMENTOS DIÁRIOS'!$O$5:$O$500,"&lt;=111599",'LANÇAMENTOS DIÁRIOS'!$P$5:$P$500,"&gt;=111500")&gt;0,"X","")</f>
      </c>
      <c r="C45" s="56" t="str">
        <f>IF(COUNTIFS('LANÇAMENTOS DIÁRIOS'!$G$5:$G$500,"F",'LANÇAMENTOS DIÁRIOS'!$C$5:$C$500,$A45,'LANÇAMENTOS DIÁRIOS'!$O$5:$O$500,"&lt;=111699",'LANÇAMENTOS DIÁRIOS'!$P$5:$P$500,"&gt;=111600")&gt;0,"X","")</f>
      </c>
      <c r="D45" s="56" t="str">
        <f>IF(COUNTIFS('LANÇAMENTOS DIÁRIOS'!$G$5:$G$500,"F",'LANÇAMENTOS DIÁRIOS'!$C$5:$C$500,$A45,'LANÇAMENTOS DIÁRIOS'!$O$5:$O$500,"&lt;=111799",'LANÇAMENTOS DIÁRIOS'!$P$5:$P$500,"&gt;=111700")&gt;0,"X","")</f>
      </c>
      <c r="E45" s="56" t="str">
        <f>IF(COUNTIFS('LANÇAMENTOS DIÁRIOS'!$G$5:$G$500,"F",'LANÇAMENTOS DIÁRIOS'!$C$5:$C$500,$A45,'LANÇAMENTOS DIÁRIOS'!$O$5:$O$500,"&lt;=111899",'LANÇAMENTOS DIÁRIOS'!$P$5:$P$500,"&gt;=111800")&gt;0,"X","")</f>
      </c>
      <c r="F45" s="56" t="str">
        <f>IF(COUNTIFS('LANÇAMENTOS DIÁRIOS'!$G$5:$G$500,"F",'LANÇAMENTOS DIÁRIOS'!$C$5:$C$500,$A45,'LANÇAMENTOS DIÁRIOS'!$O$5:$O$500,"&lt;=111999",'LANÇAMENTOS DIÁRIOS'!$P$5:$P$500,"&gt;=111900")&gt;0,"X","")</f>
      </c>
      <c r="G45" s="56" t="str">
        <f>IF(COUNTIFS('LANÇAMENTOS DIÁRIOS'!$G$5:$G$500,"F",'LANÇAMENTOS DIÁRIOS'!$C$5:$C$500,$A45,'LANÇAMENTOS DIÁRIOS'!$O$5:$O$500,"&lt;=112099",'LANÇAMENTOS DIÁRIOS'!$P$5:$P$500,"&gt;=112000")&gt;0,"X","")</f>
      </c>
      <c r="H45" s="56" t="str">
        <f>IF(COUNTIFS('LANÇAMENTOS DIÁRIOS'!$G$5:$G$500,"F",'LANÇAMENTOS DIÁRIOS'!$C$5:$C$500,$A45,'LANÇAMENTOS DIÁRIOS'!$O$5:$O$500,"&lt;=112199",'LANÇAMENTOS DIÁRIOS'!$P$5:$P$500,"&gt;=112100")&gt;0,"X","")</f>
      </c>
      <c r="I45" s="56" t="str">
        <f>IF(COUNTIFS('LANÇAMENTOS DIÁRIOS'!$G$5:$G$500,"F",'LANÇAMENTOS DIÁRIOS'!$C$5:$C$500,$A45,'LANÇAMENTOS DIÁRIOS'!$O$5:$O$500,"&lt;=112299",'LANÇAMENTOS DIÁRIOS'!$P$5:$P$500,"&gt;=112200")&gt;0,"X","")</f>
      </c>
      <c r="J45" s="56" t="str">
        <f>IF(COUNTIFS('LANÇAMENTOS DIÁRIOS'!$G$5:$G$500,"F",'LANÇAMENTOS DIÁRIOS'!$C$5:$C$500,$A45,'LANÇAMENTOS DIÁRIOS'!$O$5:$O$500,"&lt;=112399",'LANÇAMENTOS DIÁRIOS'!$P$5:$P$500,"&gt;=112300")&gt;0,"X","")</f>
      </c>
      <c r="K45" s="56" t="str">
        <f>IF(COUNTIFS('LANÇAMENTOS DIÁRIOS'!$G$5:$G$500,"F",'LANÇAMENTOS DIÁRIOS'!$C$5:$C$500,$A45,'LANÇAMENTOS DIÁRIOS'!$O$5:$O$500,"&lt;=112499",'LANÇAMENTOS DIÁRIOS'!$P$5:$P$500,"&gt;=112400")&gt;0,"X","")</f>
      </c>
      <c r="L45" s="56" t="str">
        <f>IF(COUNTIFS('LANÇAMENTOS DIÁRIOS'!$G$5:$G$500,"F",'LANÇAMENTOS DIÁRIOS'!$C$5:$C$500,$A45,'LANÇAMENTOS DIÁRIOS'!$O$5:$O$500,"&lt;=112599",'LANÇAMENTOS DIÁRIOS'!$P$5:$P$500,"&gt;=112500")&gt;0,"X","")</f>
      </c>
      <c r="M45" s="56" t="str">
        <f>IF(COUNTIFS('LANÇAMENTOS DIÁRIOS'!$G$5:$G$500,"F",'LANÇAMENTOS DIÁRIOS'!$C$5:$C$500,$A45,'LANÇAMENTOS DIÁRIOS'!$O$5:$O$500,"&lt;=112699",'LANÇAMENTOS DIÁRIOS'!$P$5:$P$500,"&gt;=112600")&gt;0,"X","")</f>
      </c>
      <c r="N45" s="56" t="str">
        <f>IF(COUNTIFS('LANÇAMENTOS DIÁRIOS'!$G$5:$G$500,"F",'LANÇAMENTOS DIÁRIOS'!$C$5:$C$500,$A45,'LANÇAMENTOS DIÁRIOS'!$O$5:$O$500,"&lt;=112799",'LANÇAMENTOS DIÁRIOS'!$P$5:$P$500,"&gt;=112700")&gt;0,"X","")</f>
      </c>
      <c r="O45" s="56" t="str">
        <f>IF(COUNTIFS('LANÇAMENTOS DIÁRIOS'!$G$5:$G$500,"F",'LANÇAMENTOS DIÁRIOS'!$C$5:$C$500,$A45,'LANÇAMENTOS DIÁRIOS'!$O$5:$O$500,"&lt;=112899",'LANÇAMENTOS DIÁRIOS'!$P$5:$P$500,"&gt;=112800")&gt;0,"X","")</f>
      </c>
      <c r="P45" s="56" t="str">
        <f>IF(COUNTIFS('LANÇAMENTOS DIÁRIOS'!$G$5:$G$500,"F",'LANÇAMENTOS DIÁRIOS'!$C$5:$C$500,$A45,'LANÇAMENTOS DIÁRIOS'!$O$5:$O$500,"&lt;=112999",'LANÇAMENTOS DIÁRIOS'!$P$5:$P$500,"&gt;=112900")&gt;0,"X","")</f>
      </c>
      <c r="Q45" s="56" t="str">
        <f>IF(COUNTIFS('LANÇAMENTOS DIÁRIOS'!$G$5:$G$500,"F",'LANÇAMENTOS DIÁRIOS'!$C$5:$C$500,$A45,'LANÇAMENTOS DIÁRIOS'!$O$5:$O$500,"&lt;=113099",'LANÇAMENTOS DIÁRIOS'!$P$5:$P$500,"&gt;=113000")&gt;0,"X","")</f>
      </c>
      <c r="R45" s="56" t="str">
        <f>IF(COUNTIFS('LANÇAMENTOS DIÁRIOS'!$G$5:$G$500,"F",'LANÇAMENTOS DIÁRIOS'!$C$5:$C$500,$A45,'LANÇAMENTOS DIÁRIOS'!$O$5:$O$500,"&lt;=113199",'LANÇAMENTOS DIÁRIOS'!$P$5:$P$500,"&gt;=113100")&gt;0,"X","")</f>
      </c>
      <c r="S45" s="56" t="str">
        <f>IF(COUNTIFS('LANÇAMENTOS DIÁRIOS'!$G$5:$G$500,"F",'LANÇAMENTOS DIÁRIOS'!$C$5:$C$500,$A45,'LANÇAMENTOS DIÁRIOS'!$O$5:$O$500,"&lt;=113299",'LANÇAMENTOS DIÁRIOS'!$P$5:$P$500,"&gt;=113200")&gt;0,"X","")</f>
      </c>
      <c r="T45" s="56" t="str">
        <f>IF(COUNTIFS('LANÇAMENTOS DIÁRIOS'!$G$5:$G$500,"F",'LANÇAMENTOS DIÁRIOS'!$C$5:$C$500,$A45,'LANÇAMENTOS DIÁRIOS'!$O$5:$O$500,"&lt;=113399",'LANÇAMENTOS DIÁRIOS'!$P$5:$P$500,"&gt;=113300")&gt;0,"X","")</f>
      </c>
      <c r="U45" s="56" t="str">
        <f>IF(COUNTIFS('LANÇAMENTOS DIÁRIOS'!$G$5:$G$500,"F",'LANÇAMENTOS DIÁRIOS'!$C$5:$C$500,$A45,'LANÇAMENTOS DIÁRIOS'!$O$5:$O$500,"&lt;=113499",'LANÇAMENTOS DIÁRIOS'!$P$5:$P$500,"&gt;=113400")&gt;0,"X","")</f>
      </c>
      <c r="V45" s="56" t="str">
        <f>IF(COUNTIFS('LANÇAMENTOS DIÁRIOS'!$G$5:$G$500,"F",'LANÇAMENTOS DIÁRIOS'!$C$5:$C$500,$A45,'LANÇAMENTOS DIÁRIOS'!$O$5:$O$500,"&lt;=113599",'LANÇAMENTOS DIÁRIOS'!$P$5:$P$500,"&gt;=113500")&gt;0,"X","")</f>
      </c>
      <c r="W45" s="56" t="str">
        <f>IF(COUNTIFS('LANÇAMENTOS DIÁRIOS'!$G$5:$G$500,"F",'LANÇAMENTOS DIÁRIOS'!$C$5:$C$500,$A45,'LANÇAMENTOS DIÁRIOS'!$O$5:$O$500,"&lt;=113699",'LANÇAMENTOS DIÁRIOS'!$P$5:$P$500,"&gt;=113600")&gt;0,"X","")</f>
      </c>
      <c r="X45" s="56" t="str">
        <f>IF(COUNTIFS('LANÇAMENTOS DIÁRIOS'!$G$5:$G$500,"F",'LANÇAMENTOS DIÁRIOS'!$C$5:$C$500,$A45,'LANÇAMENTOS DIÁRIOS'!$O$5:$O$500,"&lt;=113799",'LANÇAMENTOS DIÁRIOS'!$P$5:$P$500,"&gt;=113700")&gt;0,"X","")</f>
      </c>
      <c r="Y45" s="56" t="str">
        <f>IF(COUNTIFS('LANÇAMENTOS DIÁRIOS'!$G$5:$G$500,"F",'LANÇAMENTOS DIÁRIOS'!$C$5:$C$500,$A45,'LANÇAMENTOS DIÁRIOS'!$O$5:$O$500,"&lt;=113899",'LANÇAMENTOS DIÁRIOS'!$P$5:$P$500,"&gt;=113800")&gt;0,"X","")</f>
      </c>
      <c r="Z45" s="56" t="str">
        <f>IF(COUNTIFS('LANÇAMENTOS DIÁRIOS'!$G$5:$G$500,"F",'LANÇAMENTOS DIÁRIOS'!$C$5:$C$500,$A45,'LANÇAMENTOS DIÁRIOS'!$O$5:$O$500,"&lt;=113999",'LANÇAMENTOS DIÁRIOS'!$P$5:$P$500,"&gt;=113900")&gt;0,"X","")</f>
      </c>
      <c r="AA45" s="56" t="str">
        <f>IF(COUNTIFS('LANÇAMENTOS DIÁRIOS'!$G$5:$G$500,"F",'LANÇAMENTOS DIÁRIOS'!$C$5:$C$500,$A45,'LANÇAMENTOS DIÁRIOS'!$O$5:$O$500,"&lt;=114099",'LANÇAMENTOS DIÁRIOS'!$P$5:$P$500,"&gt;=114000")&gt;0,"X","")</f>
      </c>
      <c r="AB45" s="56" t="str">
        <f>IF(COUNTIFS('LANÇAMENTOS DIÁRIOS'!$G$5:$G$500,"F",'LANÇAMENTOS DIÁRIOS'!$C$5:$C$500,$A45,'LANÇAMENTOS DIÁRIOS'!$O$5:$O$500,"&lt;=114199",'LANÇAMENTOS DIÁRIOS'!$P$5:$P$500,"&gt;=114100")&gt;0,"X","")</f>
      </c>
      <c r="AC45" s="56" t="str">
        <f>IF(COUNTIFS('LANÇAMENTOS DIÁRIOS'!$G$5:$G$500,"F",'LANÇAMENTOS DIÁRIOS'!$C$5:$C$500,$A45,'LANÇAMENTOS DIÁRIOS'!$O$5:$O$500,"&lt;=114299",'LANÇAMENTOS DIÁRIOS'!$P$5:$P$500,"&gt;=114200")&gt;0,"X","")</f>
      </c>
      <c r="AD45" s="56" t="str">
        <f>IF(COUNTIFS('LANÇAMENTOS DIÁRIOS'!$G$5:$G$500,"F",'LANÇAMENTOS DIÁRIOS'!$C$5:$C$500,$A45,'LANÇAMENTOS DIÁRIOS'!$O$5:$O$500,"&lt;=114399",'LANÇAMENTOS DIÁRIOS'!$P$5:$P$500,"&gt;=114300")&gt;0,"X","")</f>
      </c>
      <c r="AE45" s="56" t="str">
        <f>IF(COUNTIFS('LANÇAMENTOS DIÁRIOS'!$G$5:$G$500,"F",'LANÇAMENTOS DIÁRIOS'!$C$5:$C$500,$A45,'LANÇAMENTOS DIÁRIOS'!$O$5:$O$500,"&lt;=114499",'LANÇAMENTOS DIÁRIOS'!$P$5:$P$500,"&gt;=114400")&gt;0,"X","")</f>
      </c>
      <c r="AF45" s="56" t="str">
        <f>IF(COUNTIFS('LANÇAMENTOS DIÁRIOS'!$G$5:$G$500,"F",'LANÇAMENTOS DIÁRIOS'!$C$5:$C$500,$A45,'LANÇAMENTOS DIÁRIOS'!$O$5:$O$500,"&lt;=114599",'LANÇAMENTOS DIÁRIOS'!$P$5:$P$500,"&gt;=114500")&gt;0,"X","")</f>
      </c>
      <c r="AG45" s="56" t="str">
        <f>IF(COUNTIFS('LANÇAMENTOS DIÁRIOS'!$G$5:$G$500,"F",'LANÇAMENTOS DIÁRIOS'!$C$5:$C$500,$A45,'LANÇAMENTOS DIÁRIOS'!$O$5:$O$500,"&lt;=114699",'LANÇAMENTOS DIÁRIOS'!$P$5:$P$500,"&gt;=114600")&gt;0,"X","")</f>
      </c>
      <c r="AH45" s="56" t="str">
        <f>IF(COUNTIFS('LANÇAMENTOS DIÁRIOS'!$G$5:$G$500,"F",'LANÇAMENTOS DIÁRIOS'!$C$5:$C$500,$A45,'LANÇAMENTOS DIÁRIOS'!$O$5:$O$500,"&lt;=114799",'LANÇAMENTOS DIÁRIOS'!$P$5:$P$500,"&gt;=114700")&gt;0,"X","")</f>
      </c>
      <c r="AI45" s="56" t="str">
        <f>IF(COUNTIFS('LANÇAMENTOS DIÁRIOS'!$G$5:$G$500,"F",'LANÇAMENTOS DIÁRIOS'!$C$5:$C$500,$A45,'LANÇAMENTOS DIÁRIOS'!$O$5:$O$500,"&lt;=114899",'LANÇAMENTOS DIÁRIOS'!$P$5:$P$500,"&gt;=114800")&gt;0,"X","")</f>
      </c>
      <c r="AJ45" s="56" t="str">
        <f>IF(COUNTIFS('LANÇAMENTOS DIÁRIOS'!$G$5:$G$500,"F",'LANÇAMENTOS DIÁRIOS'!$C$5:$C$500,$A45,'LANÇAMENTOS DIÁRIOS'!$O$5:$O$500,"&lt;=114999",'LANÇAMENTOS DIÁRIOS'!$P$5:$P$500,"&gt;=114900")&gt;0,"X","")</f>
      </c>
      <c r="AK45" s="56" t="str">
        <f>IF(COUNTIFS('LANÇAMENTOS DIÁRIOS'!$G$5:$G$500,"F",'LANÇAMENTOS DIÁRIOS'!$C$5:$C$500,$A45,'LANÇAMENTOS DIÁRIOS'!$O$5:$O$500,"&lt;=115099",'LANÇAMENTOS DIÁRIOS'!$P$5:$P$500,"&gt;=115000")&gt;0,"X","")</f>
      </c>
      <c r="AL45" s="56" t="str">
        <f>IF(COUNTIFS('LANÇAMENTOS DIÁRIOS'!$G$5:$G$500,"F",'LANÇAMENTOS DIÁRIOS'!$C$5:$C$500,$A45,'LANÇAMENTOS DIÁRIOS'!$O$5:$O$500,"&lt;=115199",'LANÇAMENTOS DIÁRIOS'!$P$5:$P$500,"&gt;=115100")&gt;0,"X","")</f>
      </c>
      <c r="AM45" s="56" t="str">
        <f>IF(COUNTIFS('LANÇAMENTOS DIÁRIOS'!$G$5:$G$500,"F",'LANÇAMENTOS DIÁRIOS'!$C$5:$C$500,$A45,'LANÇAMENTOS DIÁRIOS'!$O$5:$O$500,"&lt;=115299",'LANÇAMENTOS DIÁRIOS'!$P$5:$P$500,"&gt;=115200")&gt;0,"X","")</f>
      </c>
      <c r="AN45" s="56" t="str">
        <f>IF(COUNTIFS('LANÇAMENTOS DIÁRIOS'!$G$5:$G$500,"F",'LANÇAMENTOS DIÁRIOS'!$C$5:$C$500,$A45,'LANÇAMENTOS DIÁRIOS'!$O$5:$O$500,"&lt;=115399",'LANÇAMENTOS DIÁRIOS'!$P$5:$P$500,"&gt;=115300")&gt;0,"X","")</f>
      </c>
      <c r="AO45" s="56" t="str">
        <f>IF(COUNTIFS('LANÇAMENTOS DIÁRIOS'!$G$5:$G$500,"F",'LANÇAMENTOS DIÁRIOS'!$C$5:$C$500,$A45,'LANÇAMENTOS DIÁRIOS'!$O$5:$O$500,"&lt;=115499",'LANÇAMENTOS DIÁRIOS'!$P$5:$P$500,"&gt;=115400")&gt;0,"X","")</f>
      </c>
      <c r="AP45" s="56" t="str">
        <f>IF(COUNTIFS('LANÇAMENTOS DIÁRIOS'!$G$5:$G$500,"F",'LANÇAMENTOS DIÁRIOS'!$C$5:$C$500,$A45,'LANÇAMENTOS DIÁRIOS'!$O$5:$O$500,"&lt;=115599",'LANÇAMENTOS DIÁRIOS'!$P$5:$P$500,"&gt;=115500")&gt;0,"X","")</f>
      </c>
      <c r="AQ45" s="56" t="str">
        <f>IF(COUNTIFS('LANÇAMENTOS DIÁRIOS'!$G$5:$G$500,"F",'LANÇAMENTOS DIÁRIOS'!$C$5:$C$500,$A45,'LANÇAMENTOS DIÁRIOS'!$O$5:$O$500,"&lt;=115699",'LANÇAMENTOS DIÁRIOS'!$P$5:$P$500,"&gt;=115600")&gt;0,"X","")</f>
      </c>
      <c r="AR45" s="56" t="str">
        <f>IF(COUNTIFS('LANÇAMENTOS DIÁRIOS'!$G$5:$G$500,"F",'LANÇAMENTOS DIÁRIOS'!$C$5:$C$500,$A45,'LANÇAMENTOS DIÁRIOS'!$O$5:$O$500,"&lt;=115799",'LANÇAMENTOS DIÁRIOS'!$P$5:$P$500,"&gt;=115700")&gt;0,"X","")</f>
      </c>
      <c r="AS45" s="56" t="str">
        <f>IF(COUNTIFS('LANÇAMENTOS DIÁRIOS'!$G$5:$G$500,"F",'LANÇAMENTOS DIÁRIOS'!$C$5:$C$500,$A45,'LANÇAMENTOS DIÁRIOS'!$O$5:$O$500,"&lt;=115899",'LANÇAMENTOS DIÁRIOS'!$P$5:$P$500,"&gt;=115800")&gt;0,"X","")</f>
      </c>
      <c r="AT45" s="56" t="str">
        <f>IF(COUNTIFS('LANÇAMENTOS DIÁRIOS'!$G$5:$G$500,"F",'LANÇAMENTOS DIÁRIOS'!$C$5:$C$500,$A45,'LANÇAMENTOS DIÁRIOS'!$O$5:$O$500,"&lt;=115999",'LANÇAMENTOS DIÁRIOS'!$P$5:$P$500,"&gt;=115900")&gt;0,"X","")</f>
      </c>
      <c r="AU45" s="56" t="str">
        <f>IF(COUNTIFS('LANÇAMENTOS DIÁRIOS'!$G$5:$G$500,"F",'LANÇAMENTOS DIÁRIOS'!$C$5:$C$500,$A45,'LANÇAMENTOS DIÁRIOS'!$O$5:$O$500,"&lt;=116099",'LANÇAMENTOS DIÁRIOS'!$P$5:$P$500,"&gt;=116000")&gt;0,"X","")</f>
      </c>
      <c r="AV45" s="56" t="str">
        <f>IF(COUNTIFS('LANÇAMENTOS DIÁRIOS'!$G$5:$G$500,"F",'LANÇAMENTOS DIÁRIOS'!$C$5:$C$500,$A45,'LANÇAMENTOS DIÁRIOS'!$O$5:$O$500,"&lt;=116199",'LANÇAMENTOS DIÁRIOS'!$P$5:$P$500,"&gt;=116100")&gt;0,"X","")</f>
      </c>
      <c r="AW45" s="56" t="str">
        <f>IF(COUNTIFS('LANÇAMENTOS DIÁRIOS'!$G$5:$G$500,"F",'LANÇAMENTOS DIÁRIOS'!$C$5:$C$500,$A45,'LANÇAMENTOS DIÁRIOS'!$O$5:$O$500,"&lt;=116299",'LANÇAMENTOS DIÁRIOS'!$P$5:$P$500,"&gt;=116200")&gt;0,"X","")</f>
      </c>
      <c r="AX45" s="56" t="str">
        <f>IF(COUNTIFS('LANÇAMENTOS DIÁRIOS'!$G$5:$G$500,"F",'LANÇAMENTOS DIÁRIOS'!$C$5:$C$500,$A45,'LANÇAMENTOS DIÁRIOS'!$O$5:$O$500,"&lt;=116399",'LANÇAMENTOS DIÁRIOS'!$P$5:$P$500,"&gt;=116300")&gt;0,"X","")</f>
      </c>
      <c r="AY45" s="56" t="str">
        <f>IF(COUNTIFS('LANÇAMENTOS DIÁRIOS'!$G$5:$G$500,"F",'LANÇAMENTOS DIÁRIOS'!$C$5:$C$500,$A45,'LANÇAMENTOS DIÁRIOS'!$O$5:$O$500,"&lt;=116499",'LANÇAMENTOS DIÁRIOS'!$P$5:$P$500,"&gt;=116400")&gt;0,"X","")</f>
      </c>
      <c r="AZ45" s="56" t="str">
        <f>IF(COUNTIFS('LANÇAMENTOS DIÁRIOS'!$G$5:$G$500,"F",'LANÇAMENTOS DIÁRIOS'!$C$5:$C$500,$A45,'LANÇAMENTOS DIÁRIOS'!$O$5:$O$500,"&lt;=116599",'LANÇAMENTOS DIÁRIOS'!$P$5:$P$500,"&gt;=116500")&gt;0,"X","")</f>
      </c>
      <c r="BA45" s="56" t="str">
        <f>IF(COUNTIFS('LANÇAMENTOS DIÁRIOS'!$G$5:$G$500,"F",'LANÇAMENTOS DIÁRIOS'!$C$5:$C$500,$A45,'LANÇAMENTOS DIÁRIOS'!$O$5:$O$500,"&lt;=116699",'LANÇAMENTOS DIÁRIOS'!$P$5:$P$500,"&gt;=116600")&gt;0,"X","")</f>
      </c>
      <c r="BB45" s="56" t="str">
        <f>IF(COUNTIFS('LANÇAMENTOS DIÁRIOS'!$G$5:$G$500,"F",'LANÇAMENTOS DIÁRIOS'!$C$5:$C$500,$A45,'LANÇAMENTOS DIÁRIOS'!$O$5:$O$500,"&lt;=116799",'LANÇAMENTOS DIÁRIOS'!$P$5:$P$500,"&gt;=116700")&gt;0,"X","")</f>
      </c>
      <c r="BC45" s="56" t="str">
        <f>IF(COUNTIFS('LANÇAMENTOS DIÁRIOS'!$G$5:$G$500,"F",'LANÇAMENTOS DIÁRIOS'!$C$5:$C$500,$A45,'LANÇAMENTOS DIÁRIOS'!$O$5:$O$500,"&lt;=116899",'LANÇAMENTOS DIÁRIOS'!$P$5:$P$500,"&gt;=116800")&gt;0,"X","")</f>
      </c>
      <c r="BD45" s="56" t="str">
        <f>IF(COUNTIFS('LANÇAMENTOS DIÁRIOS'!$G$5:$G$500,"F",'LANÇAMENTOS DIÁRIOS'!$C$5:$C$500,$A45,'LANÇAMENTOS DIÁRIOS'!$O$5:$O$500,"&lt;=116999",'LANÇAMENTOS DIÁRIOS'!$P$5:$P$500,"&gt;=116900")&gt;0,"X","")</f>
      </c>
      <c r="BE45" s="56" t="str">
        <f>IF(COUNTIFS('LANÇAMENTOS DIÁRIOS'!$G$5:$G$500,"F",'LANÇAMENTOS DIÁRIOS'!$C$5:$C$500,$A45,'LANÇAMENTOS DIÁRIOS'!$O$5:$O$500,"&lt;=117099",'LANÇAMENTOS DIÁRIOS'!$P$5:$P$500,"&gt;=117000")&gt;0,"X","")</f>
      </c>
      <c r="BF45" s="56" t="str">
        <f>IF(COUNTIFS('LANÇAMENTOS DIÁRIOS'!$G$5:$G$500,"F",'LANÇAMENTOS DIÁRIOS'!$C$5:$C$500,$A45,'LANÇAMENTOS DIÁRIOS'!$O$5:$O$500,"&lt;=117199",'LANÇAMENTOS DIÁRIOS'!$P$5:$P$500,"&gt;=117100")&gt;0,"X","")</f>
      </c>
      <c r="BG45" s="56" t="str">
        <f>IF(COUNTIFS('LANÇAMENTOS DIÁRIOS'!$G$5:$G$500,"F",'LANÇAMENTOS DIÁRIOS'!$C$5:$C$500,$A45,'LANÇAMENTOS DIÁRIOS'!$O$5:$O$500,"&lt;=117219",'LANÇAMENTOS DIÁRIOS'!$P$5:$P$500,"&gt;=117200")&gt;0,"X","")</f>
      </c>
      <c r="BH45" s="56" t="str">
        <f>IF(COUNTIFS('LANÇAMENTOS DIÁRIOS'!$G$5:$G$500,"F",'LANÇAMENTOS DIÁRIOS'!$C$5:$C$500,$A45,'LANÇAMENTOS DIÁRIOS'!$O$5:$O$500,"&lt;=117220",'LANÇAMENTOS DIÁRIOS'!$P$5:$P$500,"&gt;=117220")&gt;0,"X","")</f>
      </c>
    </row>
    <row r="46">
      <c r="A46" s="51" t="str">
        <v>Compactação de aterro a 100% do proctor intermediário</v>
      </c>
      <c r="B46" s="56" t="str">
        <f>IF(COUNTIFS('LANÇAMENTOS DIÁRIOS'!$G$5:$G$500,"F",'LANÇAMENTOS DIÁRIOS'!$C$5:$C$500,$A46,'LANÇAMENTOS DIÁRIOS'!$O$5:$O$500,"&lt;=111599",'LANÇAMENTOS DIÁRIOS'!$P$5:$P$500,"&gt;=111500")&gt;0,"X","")</f>
      </c>
      <c r="C46" s="56" t="str">
        <f>IF(COUNTIFS('LANÇAMENTOS DIÁRIOS'!$G$5:$G$500,"F",'LANÇAMENTOS DIÁRIOS'!$C$5:$C$500,$A46,'LANÇAMENTOS DIÁRIOS'!$O$5:$O$500,"&lt;=111699",'LANÇAMENTOS DIÁRIOS'!$P$5:$P$500,"&gt;=111600")&gt;0,"X","")</f>
      </c>
      <c r="D46" s="56" t="str">
        <f>IF(COUNTIFS('LANÇAMENTOS DIÁRIOS'!$G$5:$G$500,"F",'LANÇAMENTOS DIÁRIOS'!$C$5:$C$500,$A46,'LANÇAMENTOS DIÁRIOS'!$O$5:$O$500,"&lt;=111799",'LANÇAMENTOS DIÁRIOS'!$P$5:$P$500,"&gt;=111700")&gt;0,"X","")</f>
      </c>
      <c r="E46" s="56" t="str">
        <f>IF(COUNTIFS('LANÇAMENTOS DIÁRIOS'!$G$5:$G$500,"F",'LANÇAMENTOS DIÁRIOS'!$C$5:$C$500,$A46,'LANÇAMENTOS DIÁRIOS'!$O$5:$O$500,"&lt;=111899",'LANÇAMENTOS DIÁRIOS'!$P$5:$P$500,"&gt;=111800")&gt;0,"X","")</f>
      </c>
      <c r="F46" s="56" t="str">
        <f>IF(COUNTIFS('LANÇAMENTOS DIÁRIOS'!$G$5:$G$500,"F",'LANÇAMENTOS DIÁRIOS'!$C$5:$C$500,$A46,'LANÇAMENTOS DIÁRIOS'!$O$5:$O$500,"&lt;=111999",'LANÇAMENTOS DIÁRIOS'!$P$5:$P$500,"&gt;=111900")&gt;0,"X","")</f>
      </c>
      <c r="G46" s="56" t="str">
        <f>IF(COUNTIFS('LANÇAMENTOS DIÁRIOS'!$G$5:$G$500,"F",'LANÇAMENTOS DIÁRIOS'!$C$5:$C$500,$A46,'LANÇAMENTOS DIÁRIOS'!$O$5:$O$500,"&lt;=112099",'LANÇAMENTOS DIÁRIOS'!$P$5:$P$500,"&gt;=112000")&gt;0,"X","")</f>
      </c>
      <c r="H46" s="56" t="str">
        <f>IF(COUNTIFS('LANÇAMENTOS DIÁRIOS'!$G$5:$G$500,"F",'LANÇAMENTOS DIÁRIOS'!$C$5:$C$500,$A46,'LANÇAMENTOS DIÁRIOS'!$O$5:$O$500,"&lt;=112199",'LANÇAMENTOS DIÁRIOS'!$P$5:$P$500,"&gt;=112100")&gt;0,"X","")</f>
      </c>
      <c r="I46" s="56" t="str">
        <f>IF(COUNTIFS('LANÇAMENTOS DIÁRIOS'!$G$5:$G$500,"F",'LANÇAMENTOS DIÁRIOS'!$C$5:$C$500,$A46,'LANÇAMENTOS DIÁRIOS'!$O$5:$O$500,"&lt;=112299",'LANÇAMENTOS DIÁRIOS'!$P$5:$P$500,"&gt;=112200")&gt;0,"X","")</f>
      </c>
      <c r="J46" s="56" t="str">
        <f>IF(COUNTIFS('LANÇAMENTOS DIÁRIOS'!$G$5:$G$500,"F",'LANÇAMENTOS DIÁRIOS'!$C$5:$C$500,$A46,'LANÇAMENTOS DIÁRIOS'!$O$5:$O$500,"&lt;=112399",'LANÇAMENTOS DIÁRIOS'!$P$5:$P$500,"&gt;=112300")&gt;0,"X","")</f>
      </c>
      <c r="K46" s="56" t="str">
        <f>IF(COUNTIFS('LANÇAMENTOS DIÁRIOS'!$G$5:$G$500,"F",'LANÇAMENTOS DIÁRIOS'!$C$5:$C$500,$A46,'LANÇAMENTOS DIÁRIOS'!$O$5:$O$500,"&lt;=112499",'LANÇAMENTOS DIÁRIOS'!$P$5:$P$500,"&gt;=112400")&gt;0,"X","")</f>
      </c>
      <c r="L46" s="56" t="str">
        <f>IF(COUNTIFS('LANÇAMENTOS DIÁRIOS'!$G$5:$G$500,"F",'LANÇAMENTOS DIÁRIOS'!$C$5:$C$500,$A46,'LANÇAMENTOS DIÁRIOS'!$O$5:$O$500,"&lt;=112599",'LANÇAMENTOS DIÁRIOS'!$P$5:$P$500,"&gt;=112500")&gt;0,"X","")</f>
      </c>
      <c r="M46" s="56" t="str">
        <f>IF(COUNTIFS('LANÇAMENTOS DIÁRIOS'!$G$5:$G$500,"F",'LANÇAMENTOS DIÁRIOS'!$C$5:$C$500,$A46,'LANÇAMENTOS DIÁRIOS'!$O$5:$O$500,"&lt;=112699",'LANÇAMENTOS DIÁRIOS'!$P$5:$P$500,"&gt;=112600")&gt;0,"X","")</f>
      </c>
      <c r="N46" s="56" t="str">
        <f>IF(COUNTIFS('LANÇAMENTOS DIÁRIOS'!$G$5:$G$500,"F",'LANÇAMENTOS DIÁRIOS'!$C$5:$C$500,$A46,'LANÇAMENTOS DIÁRIOS'!$O$5:$O$500,"&lt;=112799",'LANÇAMENTOS DIÁRIOS'!$P$5:$P$500,"&gt;=112700")&gt;0,"X","")</f>
      </c>
      <c r="O46" s="56" t="str">
        <f>IF(COUNTIFS('LANÇAMENTOS DIÁRIOS'!$G$5:$G$500,"F",'LANÇAMENTOS DIÁRIOS'!$C$5:$C$500,$A46,'LANÇAMENTOS DIÁRIOS'!$O$5:$O$500,"&lt;=112899",'LANÇAMENTOS DIÁRIOS'!$P$5:$P$500,"&gt;=112800")&gt;0,"X","")</f>
      </c>
      <c r="P46" s="56" t="str">
        <f>IF(COUNTIFS('LANÇAMENTOS DIÁRIOS'!$G$5:$G$500,"F",'LANÇAMENTOS DIÁRIOS'!$C$5:$C$500,$A46,'LANÇAMENTOS DIÁRIOS'!$O$5:$O$500,"&lt;=112999",'LANÇAMENTOS DIÁRIOS'!$P$5:$P$500,"&gt;=112900")&gt;0,"X","")</f>
      </c>
      <c r="Q46" s="56" t="str">
        <f>IF(COUNTIFS('LANÇAMENTOS DIÁRIOS'!$G$5:$G$500,"F",'LANÇAMENTOS DIÁRIOS'!$C$5:$C$500,$A46,'LANÇAMENTOS DIÁRIOS'!$O$5:$O$500,"&lt;=113099",'LANÇAMENTOS DIÁRIOS'!$P$5:$P$500,"&gt;=113000")&gt;0,"X","")</f>
      </c>
      <c r="R46" s="56" t="str">
        <f>IF(COUNTIFS('LANÇAMENTOS DIÁRIOS'!$G$5:$G$500,"F",'LANÇAMENTOS DIÁRIOS'!$C$5:$C$500,$A46,'LANÇAMENTOS DIÁRIOS'!$O$5:$O$500,"&lt;=113199",'LANÇAMENTOS DIÁRIOS'!$P$5:$P$500,"&gt;=113100")&gt;0,"X","")</f>
      </c>
      <c r="S46" s="56" t="str">
        <f>IF(COUNTIFS('LANÇAMENTOS DIÁRIOS'!$G$5:$G$500,"F",'LANÇAMENTOS DIÁRIOS'!$C$5:$C$500,$A46,'LANÇAMENTOS DIÁRIOS'!$O$5:$O$500,"&lt;=113299",'LANÇAMENTOS DIÁRIOS'!$P$5:$P$500,"&gt;=113200")&gt;0,"X","")</f>
      </c>
      <c r="T46" s="56" t="str">
        <f>IF(COUNTIFS('LANÇAMENTOS DIÁRIOS'!$G$5:$G$500,"F",'LANÇAMENTOS DIÁRIOS'!$C$5:$C$500,$A46,'LANÇAMENTOS DIÁRIOS'!$O$5:$O$500,"&lt;=113399",'LANÇAMENTOS DIÁRIOS'!$P$5:$P$500,"&gt;=113300")&gt;0,"X","")</f>
      </c>
      <c r="U46" s="56" t="str">
        <f>IF(COUNTIFS('LANÇAMENTOS DIÁRIOS'!$G$5:$G$500,"F",'LANÇAMENTOS DIÁRIOS'!$C$5:$C$500,$A46,'LANÇAMENTOS DIÁRIOS'!$O$5:$O$500,"&lt;=113499",'LANÇAMENTOS DIÁRIOS'!$P$5:$P$500,"&gt;=113400")&gt;0,"X","")</f>
      </c>
      <c r="V46" s="56" t="str">
        <f>IF(COUNTIFS('LANÇAMENTOS DIÁRIOS'!$G$5:$G$500,"F",'LANÇAMENTOS DIÁRIOS'!$C$5:$C$500,$A46,'LANÇAMENTOS DIÁRIOS'!$O$5:$O$500,"&lt;=113599",'LANÇAMENTOS DIÁRIOS'!$P$5:$P$500,"&gt;=113500")&gt;0,"X","")</f>
      </c>
      <c r="W46" s="56" t="str">
        <f>IF(COUNTIFS('LANÇAMENTOS DIÁRIOS'!$G$5:$G$500,"F",'LANÇAMENTOS DIÁRIOS'!$C$5:$C$500,$A46,'LANÇAMENTOS DIÁRIOS'!$O$5:$O$500,"&lt;=113699",'LANÇAMENTOS DIÁRIOS'!$P$5:$P$500,"&gt;=113600")&gt;0,"X","")</f>
      </c>
      <c r="X46" s="56" t="str">
        <f>IF(COUNTIFS('LANÇAMENTOS DIÁRIOS'!$G$5:$G$500,"F",'LANÇAMENTOS DIÁRIOS'!$C$5:$C$500,$A46,'LANÇAMENTOS DIÁRIOS'!$O$5:$O$500,"&lt;=113799",'LANÇAMENTOS DIÁRIOS'!$P$5:$P$500,"&gt;=113700")&gt;0,"X","")</f>
      </c>
      <c r="Y46" s="56" t="str">
        <f>IF(COUNTIFS('LANÇAMENTOS DIÁRIOS'!$G$5:$G$500,"F",'LANÇAMENTOS DIÁRIOS'!$C$5:$C$500,$A46,'LANÇAMENTOS DIÁRIOS'!$O$5:$O$500,"&lt;=113899",'LANÇAMENTOS DIÁRIOS'!$P$5:$P$500,"&gt;=113800")&gt;0,"X","")</f>
      </c>
      <c r="Z46" s="56" t="str">
        <f>IF(COUNTIFS('LANÇAMENTOS DIÁRIOS'!$G$5:$G$500,"F",'LANÇAMENTOS DIÁRIOS'!$C$5:$C$500,$A46,'LANÇAMENTOS DIÁRIOS'!$O$5:$O$500,"&lt;=113999",'LANÇAMENTOS DIÁRIOS'!$P$5:$P$500,"&gt;=113900")&gt;0,"X","")</f>
      </c>
      <c r="AA46" s="56" t="str">
        <f>IF(COUNTIFS('LANÇAMENTOS DIÁRIOS'!$G$5:$G$500,"F",'LANÇAMENTOS DIÁRIOS'!$C$5:$C$500,$A46,'LANÇAMENTOS DIÁRIOS'!$O$5:$O$500,"&lt;=114099",'LANÇAMENTOS DIÁRIOS'!$P$5:$P$500,"&gt;=114000")&gt;0,"X","")</f>
      </c>
      <c r="AB46" s="56" t="str">
        <f>IF(COUNTIFS('LANÇAMENTOS DIÁRIOS'!$G$5:$G$500,"F",'LANÇAMENTOS DIÁRIOS'!$C$5:$C$500,$A46,'LANÇAMENTOS DIÁRIOS'!$O$5:$O$500,"&lt;=114199",'LANÇAMENTOS DIÁRIOS'!$P$5:$P$500,"&gt;=114100")&gt;0,"X","")</f>
      </c>
      <c r="AC46" s="56" t="str">
        <f>IF(COUNTIFS('LANÇAMENTOS DIÁRIOS'!$G$5:$G$500,"F",'LANÇAMENTOS DIÁRIOS'!$C$5:$C$500,$A46,'LANÇAMENTOS DIÁRIOS'!$O$5:$O$500,"&lt;=114299",'LANÇAMENTOS DIÁRIOS'!$P$5:$P$500,"&gt;=114200")&gt;0,"X","")</f>
      </c>
      <c r="AD46" s="56" t="str">
        <f>IF(COUNTIFS('LANÇAMENTOS DIÁRIOS'!$G$5:$G$500,"F",'LANÇAMENTOS DIÁRIOS'!$C$5:$C$500,$A46,'LANÇAMENTOS DIÁRIOS'!$O$5:$O$500,"&lt;=114399",'LANÇAMENTOS DIÁRIOS'!$P$5:$P$500,"&gt;=114300")&gt;0,"X","")</f>
      </c>
      <c r="AE46" s="56" t="str">
        <f>IF(COUNTIFS('LANÇAMENTOS DIÁRIOS'!$G$5:$G$500,"F",'LANÇAMENTOS DIÁRIOS'!$C$5:$C$500,$A46,'LANÇAMENTOS DIÁRIOS'!$O$5:$O$500,"&lt;=114499",'LANÇAMENTOS DIÁRIOS'!$P$5:$P$500,"&gt;=114400")&gt;0,"X","")</f>
      </c>
      <c r="AF46" s="56" t="str">
        <f>IF(COUNTIFS('LANÇAMENTOS DIÁRIOS'!$G$5:$G$500,"F",'LANÇAMENTOS DIÁRIOS'!$C$5:$C$500,$A46,'LANÇAMENTOS DIÁRIOS'!$O$5:$O$500,"&lt;=114599",'LANÇAMENTOS DIÁRIOS'!$P$5:$P$500,"&gt;=114500")&gt;0,"X","")</f>
      </c>
      <c r="AG46" s="56" t="str">
        <f>IF(COUNTIFS('LANÇAMENTOS DIÁRIOS'!$G$5:$G$500,"F",'LANÇAMENTOS DIÁRIOS'!$C$5:$C$500,$A46,'LANÇAMENTOS DIÁRIOS'!$O$5:$O$500,"&lt;=114699",'LANÇAMENTOS DIÁRIOS'!$P$5:$P$500,"&gt;=114600")&gt;0,"X","")</f>
      </c>
      <c r="AH46" s="56" t="str">
        <f>IF(COUNTIFS('LANÇAMENTOS DIÁRIOS'!$G$5:$G$500,"F",'LANÇAMENTOS DIÁRIOS'!$C$5:$C$500,$A46,'LANÇAMENTOS DIÁRIOS'!$O$5:$O$500,"&lt;=114799",'LANÇAMENTOS DIÁRIOS'!$P$5:$P$500,"&gt;=114700")&gt;0,"X","")</f>
      </c>
      <c r="AI46" s="56" t="str">
        <f>IF(COUNTIFS('LANÇAMENTOS DIÁRIOS'!$G$5:$G$500,"F",'LANÇAMENTOS DIÁRIOS'!$C$5:$C$500,$A46,'LANÇAMENTOS DIÁRIOS'!$O$5:$O$500,"&lt;=114899",'LANÇAMENTOS DIÁRIOS'!$P$5:$P$500,"&gt;=114800")&gt;0,"X","")</f>
      </c>
      <c r="AJ46" s="56" t="str">
        <f>IF(COUNTIFS('LANÇAMENTOS DIÁRIOS'!$G$5:$G$500,"F",'LANÇAMENTOS DIÁRIOS'!$C$5:$C$500,$A46,'LANÇAMENTOS DIÁRIOS'!$O$5:$O$500,"&lt;=114999",'LANÇAMENTOS DIÁRIOS'!$P$5:$P$500,"&gt;=114900")&gt;0,"X","")</f>
      </c>
      <c r="AK46" s="56" t="str">
        <f>IF(COUNTIFS('LANÇAMENTOS DIÁRIOS'!$G$5:$G$500,"F",'LANÇAMENTOS DIÁRIOS'!$C$5:$C$500,$A46,'LANÇAMENTOS DIÁRIOS'!$O$5:$O$500,"&lt;=115099",'LANÇAMENTOS DIÁRIOS'!$P$5:$P$500,"&gt;=115000")&gt;0,"X","")</f>
      </c>
      <c r="AL46" s="56" t="str">
        <f>IF(COUNTIFS('LANÇAMENTOS DIÁRIOS'!$G$5:$G$500,"F",'LANÇAMENTOS DIÁRIOS'!$C$5:$C$500,$A46,'LANÇAMENTOS DIÁRIOS'!$O$5:$O$500,"&lt;=115199",'LANÇAMENTOS DIÁRIOS'!$P$5:$P$500,"&gt;=115100")&gt;0,"X","")</f>
      </c>
      <c r="AM46" s="56" t="str">
        <f>IF(COUNTIFS('LANÇAMENTOS DIÁRIOS'!$G$5:$G$500,"F",'LANÇAMENTOS DIÁRIOS'!$C$5:$C$500,$A46,'LANÇAMENTOS DIÁRIOS'!$O$5:$O$500,"&lt;=115299",'LANÇAMENTOS DIÁRIOS'!$P$5:$P$500,"&gt;=115200")&gt;0,"X","")</f>
      </c>
      <c r="AN46" s="56" t="str">
        <f>IF(COUNTIFS('LANÇAMENTOS DIÁRIOS'!$G$5:$G$500,"F",'LANÇAMENTOS DIÁRIOS'!$C$5:$C$500,$A46,'LANÇAMENTOS DIÁRIOS'!$O$5:$O$500,"&lt;=115399",'LANÇAMENTOS DIÁRIOS'!$P$5:$P$500,"&gt;=115300")&gt;0,"X","")</f>
      </c>
      <c r="AO46" s="56" t="str">
        <f>IF(COUNTIFS('LANÇAMENTOS DIÁRIOS'!$G$5:$G$500,"F",'LANÇAMENTOS DIÁRIOS'!$C$5:$C$500,$A46,'LANÇAMENTOS DIÁRIOS'!$O$5:$O$500,"&lt;=115499",'LANÇAMENTOS DIÁRIOS'!$P$5:$P$500,"&gt;=115400")&gt;0,"X","")</f>
      </c>
      <c r="AP46" s="56" t="str">
        <f>IF(COUNTIFS('LANÇAMENTOS DIÁRIOS'!$G$5:$G$500,"F",'LANÇAMENTOS DIÁRIOS'!$C$5:$C$500,$A46,'LANÇAMENTOS DIÁRIOS'!$O$5:$O$500,"&lt;=115599",'LANÇAMENTOS DIÁRIOS'!$P$5:$P$500,"&gt;=115500")&gt;0,"X","")</f>
      </c>
      <c r="AQ46" s="56" t="str">
        <f>IF(COUNTIFS('LANÇAMENTOS DIÁRIOS'!$G$5:$G$500,"F",'LANÇAMENTOS DIÁRIOS'!$C$5:$C$500,$A46,'LANÇAMENTOS DIÁRIOS'!$O$5:$O$500,"&lt;=115699",'LANÇAMENTOS DIÁRIOS'!$P$5:$P$500,"&gt;=115600")&gt;0,"X","")</f>
      </c>
      <c r="AR46" s="56" t="str">
        <f>IF(COUNTIFS('LANÇAMENTOS DIÁRIOS'!$G$5:$G$500,"F",'LANÇAMENTOS DIÁRIOS'!$C$5:$C$500,$A46,'LANÇAMENTOS DIÁRIOS'!$O$5:$O$500,"&lt;=115799",'LANÇAMENTOS DIÁRIOS'!$P$5:$P$500,"&gt;=115700")&gt;0,"X","")</f>
      </c>
      <c r="AS46" s="56" t="str">
        <f>IF(COUNTIFS('LANÇAMENTOS DIÁRIOS'!$G$5:$G$500,"F",'LANÇAMENTOS DIÁRIOS'!$C$5:$C$500,$A46,'LANÇAMENTOS DIÁRIOS'!$O$5:$O$500,"&lt;=115899",'LANÇAMENTOS DIÁRIOS'!$P$5:$P$500,"&gt;=115800")&gt;0,"X","")</f>
      </c>
      <c r="AT46" s="56" t="str">
        <f>IF(COUNTIFS('LANÇAMENTOS DIÁRIOS'!$G$5:$G$500,"F",'LANÇAMENTOS DIÁRIOS'!$C$5:$C$500,$A46,'LANÇAMENTOS DIÁRIOS'!$O$5:$O$500,"&lt;=115999",'LANÇAMENTOS DIÁRIOS'!$P$5:$P$500,"&gt;=115900")&gt;0,"X","")</f>
      </c>
      <c r="AU46" s="56" t="str">
        <f>IF(COUNTIFS('LANÇAMENTOS DIÁRIOS'!$G$5:$G$500,"F",'LANÇAMENTOS DIÁRIOS'!$C$5:$C$500,$A46,'LANÇAMENTOS DIÁRIOS'!$O$5:$O$500,"&lt;=116099",'LANÇAMENTOS DIÁRIOS'!$P$5:$P$500,"&gt;=116000")&gt;0,"X","")</f>
      </c>
      <c r="AV46" s="56" t="str">
        <f>IF(COUNTIFS('LANÇAMENTOS DIÁRIOS'!$G$5:$G$500,"F",'LANÇAMENTOS DIÁRIOS'!$C$5:$C$500,$A46,'LANÇAMENTOS DIÁRIOS'!$O$5:$O$500,"&lt;=116199",'LANÇAMENTOS DIÁRIOS'!$P$5:$P$500,"&gt;=116100")&gt;0,"X","")</f>
      </c>
      <c r="AW46" s="56" t="str">
        <f>IF(COUNTIFS('LANÇAMENTOS DIÁRIOS'!$G$5:$G$500,"F",'LANÇAMENTOS DIÁRIOS'!$C$5:$C$500,$A46,'LANÇAMENTOS DIÁRIOS'!$O$5:$O$500,"&lt;=116299",'LANÇAMENTOS DIÁRIOS'!$P$5:$P$500,"&gt;=116200")&gt;0,"X","")</f>
      </c>
      <c r="AX46" s="56" t="str">
        <f>IF(COUNTIFS('LANÇAMENTOS DIÁRIOS'!$G$5:$G$500,"F",'LANÇAMENTOS DIÁRIOS'!$C$5:$C$500,$A46,'LANÇAMENTOS DIÁRIOS'!$O$5:$O$500,"&lt;=116399",'LANÇAMENTOS DIÁRIOS'!$P$5:$P$500,"&gt;=116300")&gt;0,"X","")</f>
      </c>
      <c r="AY46" s="56" t="str">
        <f>IF(COUNTIFS('LANÇAMENTOS DIÁRIOS'!$G$5:$G$500,"F",'LANÇAMENTOS DIÁRIOS'!$C$5:$C$500,$A46,'LANÇAMENTOS DIÁRIOS'!$O$5:$O$500,"&lt;=116499",'LANÇAMENTOS DIÁRIOS'!$P$5:$P$500,"&gt;=116400")&gt;0,"X","")</f>
      </c>
      <c r="AZ46" s="56" t="str">
        <f>IF(COUNTIFS('LANÇAMENTOS DIÁRIOS'!$G$5:$G$500,"F",'LANÇAMENTOS DIÁRIOS'!$C$5:$C$500,$A46,'LANÇAMENTOS DIÁRIOS'!$O$5:$O$500,"&lt;=116599",'LANÇAMENTOS DIÁRIOS'!$P$5:$P$500,"&gt;=116500")&gt;0,"X","")</f>
      </c>
      <c r="BA46" s="56" t="str">
        <f>IF(COUNTIFS('LANÇAMENTOS DIÁRIOS'!$G$5:$G$500,"F",'LANÇAMENTOS DIÁRIOS'!$C$5:$C$500,$A46,'LANÇAMENTOS DIÁRIOS'!$O$5:$O$500,"&lt;=116699",'LANÇAMENTOS DIÁRIOS'!$P$5:$P$500,"&gt;=116600")&gt;0,"X","")</f>
      </c>
      <c r="BB46" s="56" t="str">
        <f>IF(COUNTIFS('LANÇAMENTOS DIÁRIOS'!$G$5:$G$500,"F",'LANÇAMENTOS DIÁRIOS'!$C$5:$C$500,$A46,'LANÇAMENTOS DIÁRIOS'!$O$5:$O$500,"&lt;=116799",'LANÇAMENTOS DIÁRIOS'!$P$5:$P$500,"&gt;=116700")&gt;0,"X","")</f>
      </c>
      <c r="BC46" s="56" t="str">
        <f>IF(COUNTIFS('LANÇAMENTOS DIÁRIOS'!$G$5:$G$500,"F",'LANÇAMENTOS DIÁRIOS'!$C$5:$C$500,$A46,'LANÇAMENTOS DIÁRIOS'!$O$5:$O$500,"&lt;=116899",'LANÇAMENTOS DIÁRIOS'!$P$5:$P$500,"&gt;=116800")&gt;0,"X","")</f>
      </c>
      <c r="BD46" s="56" t="str">
        <f>IF(COUNTIFS('LANÇAMENTOS DIÁRIOS'!$G$5:$G$500,"F",'LANÇAMENTOS DIÁRIOS'!$C$5:$C$500,$A46,'LANÇAMENTOS DIÁRIOS'!$O$5:$O$500,"&lt;=116999",'LANÇAMENTOS DIÁRIOS'!$P$5:$P$500,"&gt;=116900")&gt;0,"X","")</f>
      </c>
      <c r="BE46" s="56" t="str">
        <f>IF(COUNTIFS('LANÇAMENTOS DIÁRIOS'!$G$5:$G$500,"F",'LANÇAMENTOS DIÁRIOS'!$C$5:$C$500,$A46,'LANÇAMENTOS DIÁRIOS'!$O$5:$O$500,"&lt;=117099",'LANÇAMENTOS DIÁRIOS'!$P$5:$P$500,"&gt;=117000")&gt;0,"X","")</f>
      </c>
      <c r="BF46" s="56" t="str">
        <f>IF(COUNTIFS('LANÇAMENTOS DIÁRIOS'!$G$5:$G$500,"F",'LANÇAMENTOS DIÁRIOS'!$C$5:$C$500,$A46,'LANÇAMENTOS DIÁRIOS'!$O$5:$O$500,"&lt;=117199",'LANÇAMENTOS DIÁRIOS'!$P$5:$P$500,"&gt;=117100")&gt;0,"X","")</f>
      </c>
      <c r="BG46" s="56" t="str">
        <f>IF(COUNTIFS('LANÇAMENTOS DIÁRIOS'!$G$5:$G$500,"F",'LANÇAMENTOS DIÁRIOS'!$C$5:$C$500,$A46,'LANÇAMENTOS DIÁRIOS'!$O$5:$O$500,"&lt;=117219",'LANÇAMENTOS DIÁRIOS'!$P$5:$P$500,"&gt;=117200")&gt;0,"X","")</f>
      </c>
      <c r="BH46" s="56" t="str">
        <f>IF(COUNTIFS('LANÇAMENTOS DIÁRIOS'!$G$5:$G$500,"F",'LANÇAMENTOS DIÁRIOS'!$C$5:$C$500,$A46,'LANÇAMENTOS DIÁRIOS'!$O$5:$O$500,"&lt;=117220",'LANÇAMENTOS DIÁRIOS'!$P$5:$P$500,"&gt;=117220")&gt;0,"X","")</f>
      </c>
    </row>
    <row r="47" ht="19" customHeight="1">
      <c r="A47" s="68" t="str">
        <v>Trocas e melhorias de solo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</row>
    <row r="48">
      <c r="A48" s="51" t="str">
        <v>Escavação de solo com baixa capacidade de suporte</v>
      </c>
      <c r="B48" s="56" t="str">
        <f>IF(COUNTIFS('LANÇAMENTOS DIÁRIOS'!$G$5:$G$500,"F",'LANÇAMENTOS DIÁRIOS'!$C$5:$C$500,$A48,'LANÇAMENTOS DIÁRIOS'!$O$5:$O$500,"&lt;=111599",'LANÇAMENTOS DIÁRIOS'!$P$5:$P$500,"&gt;=111500")&gt;0,"X","")</f>
      </c>
      <c r="C48" s="56" t="str">
        <f>IF(COUNTIFS('LANÇAMENTOS DIÁRIOS'!$G$5:$G$500,"F",'LANÇAMENTOS DIÁRIOS'!$C$5:$C$500,$A48,'LANÇAMENTOS DIÁRIOS'!$O$5:$O$500,"&lt;=111699",'LANÇAMENTOS DIÁRIOS'!$P$5:$P$500,"&gt;=111600")&gt;0,"X","")</f>
      </c>
      <c r="D48" s="56" t="str">
        <f>IF(COUNTIFS('LANÇAMENTOS DIÁRIOS'!$G$5:$G$500,"F",'LANÇAMENTOS DIÁRIOS'!$C$5:$C$500,$A48,'LANÇAMENTOS DIÁRIOS'!$O$5:$O$500,"&lt;=111799",'LANÇAMENTOS DIÁRIOS'!$P$5:$P$500,"&gt;=111700")&gt;0,"X","")</f>
      </c>
      <c r="E48" s="56" t="str">
        <f>IF(COUNTIFS('LANÇAMENTOS DIÁRIOS'!$G$5:$G$500,"F",'LANÇAMENTOS DIÁRIOS'!$C$5:$C$500,$A48,'LANÇAMENTOS DIÁRIOS'!$O$5:$O$500,"&lt;=111899",'LANÇAMENTOS DIÁRIOS'!$P$5:$P$500,"&gt;=111800")&gt;0,"X","")</f>
      </c>
      <c r="F48" s="56" t="str">
        <f>IF(COUNTIFS('LANÇAMENTOS DIÁRIOS'!$G$5:$G$500,"F",'LANÇAMENTOS DIÁRIOS'!$C$5:$C$500,$A48,'LANÇAMENTOS DIÁRIOS'!$O$5:$O$500,"&lt;=111999",'LANÇAMENTOS DIÁRIOS'!$P$5:$P$500,"&gt;=111900")&gt;0,"X","")</f>
      </c>
      <c r="G48" s="56" t="str">
        <f>IF(COUNTIFS('LANÇAMENTOS DIÁRIOS'!$G$5:$G$500,"F",'LANÇAMENTOS DIÁRIOS'!$C$5:$C$500,$A48,'LANÇAMENTOS DIÁRIOS'!$O$5:$O$500,"&lt;=112099",'LANÇAMENTOS DIÁRIOS'!$P$5:$P$500,"&gt;=112000")&gt;0,"X","")</f>
      </c>
      <c r="H48" s="56" t="str">
        <f>IF(COUNTIFS('LANÇAMENTOS DIÁRIOS'!$G$5:$G$500,"F",'LANÇAMENTOS DIÁRIOS'!$C$5:$C$500,$A48,'LANÇAMENTOS DIÁRIOS'!$O$5:$O$500,"&lt;=112199",'LANÇAMENTOS DIÁRIOS'!$P$5:$P$500,"&gt;=112100")&gt;0,"X","")</f>
      </c>
      <c r="I48" s="56" t="str">
        <f>IF(COUNTIFS('LANÇAMENTOS DIÁRIOS'!$G$5:$G$500,"F",'LANÇAMENTOS DIÁRIOS'!$C$5:$C$500,$A48,'LANÇAMENTOS DIÁRIOS'!$O$5:$O$500,"&lt;=112299",'LANÇAMENTOS DIÁRIOS'!$P$5:$P$500,"&gt;=112200")&gt;0,"X","")</f>
      </c>
      <c r="J48" s="56" t="str">
        <f>IF(COUNTIFS('LANÇAMENTOS DIÁRIOS'!$G$5:$G$500,"F",'LANÇAMENTOS DIÁRIOS'!$C$5:$C$500,$A48,'LANÇAMENTOS DIÁRIOS'!$O$5:$O$500,"&lt;=112399",'LANÇAMENTOS DIÁRIOS'!$P$5:$P$500,"&gt;=112300")&gt;0,"X","")</f>
      </c>
      <c r="K48" s="56" t="str">
        <f>IF(COUNTIFS('LANÇAMENTOS DIÁRIOS'!$G$5:$G$500,"F",'LANÇAMENTOS DIÁRIOS'!$C$5:$C$500,$A48,'LANÇAMENTOS DIÁRIOS'!$O$5:$O$500,"&lt;=112499",'LANÇAMENTOS DIÁRIOS'!$P$5:$P$500,"&gt;=112400")&gt;0,"X","")</f>
      </c>
      <c r="L48" s="56" t="str">
        <f>IF(COUNTIFS('LANÇAMENTOS DIÁRIOS'!$G$5:$G$500,"F",'LANÇAMENTOS DIÁRIOS'!$C$5:$C$500,$A48,'LANÇAMENTOS DIÁRIOS'!$O$5:$O$500,"&lt;=112599",'LANÇAMENTOS DIÁRIOS'!$P$5:$P$500,"&gt;=112500")&gt;0,"X","")</f>
      </c>
      <c r="M48" s="56" t="str">
        <f>IF(COUNTIFS('LANÇAMENTOS DIÁRIOS'!$G$5:$G$500,"F",'LANÇAMENTOS DIÁRIOS'!$C$5:$C$500,$A48,'LANÇAMENTOS DIÁRIOS'!$O$5:$O$500,"&lt;=112699",'LANÇAMENTOS DIÁRIOS'!$P$5:$P$500,"&gt;=112600")&gt;0,"X","")</f>
      </c>
      <c r="N48" s="56" t="str">
        <f>IF(COUNTIFS('LANÇAMENTOS DIÁRIOS'!$G$5:$G$500,"F",'LANÇAMENTOS DIÁRIOS'!$C$5:$C$500,$A48,'LANÇAMENTOS DIÁRIOS'!$O$5:$O$500,"&lt;=112799",'LANÇAMENTOS DIÁRIOS'!$P$5:$P$500,"&gt;=112700")&gt;0,"X","")</f>
      </c>
      <c r="O48" s="56" t="str">
        <f>IF(COUNTIFS('LANÇAMENTOS DIÁRIOS'!$G$5:$G$500,"F",'LANÇAMENTOS DIÁRIOS'!$C$5:$C$500,$A48,'LANÇAMENTOS DIÁRIOS'!$O$5:$O$500,"&lt;=112899",'LANÇAMENTOS DIÁRIOS'!$P$5:$P$500,"&gt;=112800")&gt;0,"X","")</f>
      </c>
      <c r="P48" s="56" t="str">
        <f>IF(COUNTIFS('LANÇAMENTOS DIÁRIOS'!$G$5:$G$500,"F",'LANÇAMENTOS DIÁRIOS'!$C$5:$C$500,$A48,'LANÇAMENTOS DIÁRIOS'!$O$5:$O$500,"&lt;=112999",'LANÇAMENTOS DIÁRIOS'!$P$5:$P$500,"&gt;=112900")&gt;0,"X","")</f>
      </c>
      <c r="Q48" s="56" t="str">
        <f>IF(COUNTIFS('LANÇAMENTOS DIÁRIOS'!$G$5:$G$500,"F",'LANÇAMENTOS DIÁRIOS'!$C$5:$C$500,$A48,'LANÇAMENTOS DIÁRIOS'!$O$5:$O$500,"&lt;=113099",'LANÇAMENTOS DIÁRIOS'!$P$5:$P$500,"&gt;=113000")&gt;0,"X","")</f>
      </c>
      <c r="R48" s="56" t="str">
        <f>IF(COUNTIFS('LANÇAMENTOS DIÁRIOS'!$G$5:$G$500,"F",'LANÇAMENTOS DIÁRIOS'!$C$5:$C$500,$A48,'LANÇAMENTOS DIÁRIOS'!$O$5:$O$500,"&lt;=113199",'LANÇAMENTOS DIÁRIOS'!$P$5:$P$500,"&gt;=113100")&gt;0,"X","")</f>
      </c>
      <c r="S48" s="56" t="str">
        <f>IF(COUNTIFS('LANÇAMENTOS DIÁRIOS'!$G$5:$G$500,"F",'LANÇAMENTOS DIÁRIOS'!$C$5:$C$500,$A48,'LANÇAMENTOS DIÁRIOS'!$O$5:$O$500,"&lt;=113299",'LANÇAMENTOS DIÁRIOS'!$P$5:$P$500,"&gt;=113200")&gt;0,"X","")</f>
      </c>
      <c r="T48" s="56" t="str">
        <f>IF(COUNTIFS('LANÇAMENTOS DIÁRIOS'!$G$5:$G$500,"F",'LANÇAMENTOS DIÁRIOS'!$C$5:$C$500,$A48,'LANÇAMENTOS DIÁRIOS'!$O$5:$O$500,"&lt;=113399",'LANÇAMENTOS DIÁRIOS'!$P$5:$P$500,"&gt;=113300")&gt;0,"X","")</f>
      </c>
      <c r="U48" s="56" t="str">
        <f>IF(COUNTIFS('LANÇAMENTOS DIÁRIOS'!$G$5:$G$500,"F",'LANÇAMENTOS DIÁRIOS'!$C$5:$C$500,$A48,'LANÇAMENTOS DIÁRIOS'!$O$5:$O$500,"&lt;=113499",'LANÇAMENTOS DIÁRIOS'!$P$5:$P$500,"&gt;=113400")&gt;0,"X","")</f>
      </c>
      <c r="V48" s="56" t="str">
        <f>IF(COUNTIFS('LANÇAMENTOS DIÁRIOS'!$G$5:$G$500,"F",'LANÇAMENTOS DIÁRIOS'!$C$5:$C$500,$A48,'LANÇAMENTOS DIÁRIOS'!$O$5:$O$500,"&lt;=113599",'LANÇAMENTOS DIÁRIOS'!$P$5:$P$500,"&gt;=113500")&gt;0,"X","")</f>
      </c>
      <c r="W48" s="56" t="str">
        <f>IF(COUNTIFS('LANÇAMENTOS DIÁRIOS'!$G$5:$G$500,"F",'LANÇAMENTOS DIÁRIOS'!$C$5:$C$500,$A48,'LANÇAMENTOS DIÁRIOS'!$O$5:$O$500,"&lt;=113699",'LANÇAMENTOS DIÁRIOS'!$P$5:$P$500,"&gt;=113600")&gt;0,"X","")</f>
      </c>
      <c r="X48" s="56" t="str">
        <f>IF(COUNTIFS('LANÇAMENTOS DIÁRIOS'!$G$5:$G$500,"F",'LANÇAMENTOS DIÁRIOS'!$C$5:$C$500,$A48,'LANÇAMENTOS DIÁRIOS'!$O$5:$O$500,"&lt;=113799",'LANÇAMENTOS DIÁRIOS'!$P$5:$P$500,"&gt;=113700")&gt;0,"X","")</f>
      </c>
      <c r="Y48" s="56" t="str">
        <f>IF(COUNTIFS('LANÇAMENTOS DIÁRIOS'!$G$5:$G$500,"F",'LANÇAMENTOS DIÁRIOS'!$C$5:$C$500,$A48,'LANÇAMENTOS DIÁRIOS'!$O$5:$O$500,"&lt;=113899",'LANÇAMENTOS DIÁRIOS'!$P$5:$P$500,"&gt;=113800")&gt;0,"X","")</f>
      </c>
      <c r="Z48" s="56" t="str">
        <f>IF(COUNTIFS('LANÇAMENTOS DIÁRIOS'!$G$5:$G$500,"F",'LANÇAMENTOS DIÁRIOS'!$C$5:$C$500,$A48,'LANÇAMENTOS DIÁRIOS'!$O$5:$O$500,"&lt;=113999",'LANÇAMENTOS DIÁRIOS'!$P$5:$P$500,"&gt;=113900")&gt;0,"X","")</f>
      </c>
      <c r="AA48" s="56" t="str">
        <f>IF(COUNTIFS('LANÇAMENTOS DIÁRIOS'!$G$5:$G$500,"F",'LANÇAMENTOS DIÁRIOS'!$C$5:$C$500,$A48,'LANÇAMENTOS DIÁRIOS'!$O$5:$O$500,"&lt;=114099",'LANÇAMENTOS DIÁRIOS'!$P$5:$P$500,"&gt;=114000")&gt;0,"X","")</f>
      </c>
      <c r="AB48" s="56" t="str">
        <f>IF(COUNTIFS('LANÇAMENTOS DIÁRIOS'!$G$5:$G$500,"F",'LANÇAMENTOS DIÁRIOS'!$C$5:$C$500,$A48,'LANÇAMENTOS DIÁRIOS'!$O$5:$O$500,"&lt;=114199",'LANÇAMENTOS DIÁRIOS'!$P$5:$P$500,"&gt;=114100")&gt;0,"X","")</f>
      </c>
      <c r="AC48" s="56" t="str">
        <f>IF(COUNTIFS('LANÇAMENTOS DIÁRIOS'!$G$5:$G$500,"F",'LANÇAMENTOS DIÁRIOS'!$C$5:$C$500,$A48,'LANÇAMENTOS DIÁRIOS'!$O$5:$O$500,"&lt;=114299",'LANÇAMENTOS DIÁRIOS'!$P$5:$P$500,"&gt;=114200")&gt;0,"X","")</f>
      </c>
      <c r="AD48" s="56" t="str">
        <f>IF(COUNTIFS('LANÇAMENTOS DIÁRIOS'!$G$5:$G$500,"F",'LANÇAMENTOS DIÁRIOS'!$C$5:$C$500,$A48,'LANÇAMENTOS DIÁRIOS'!$O$5:$O$500,"&lt;=114399",'LANÇAMENTOS DIÁRIOS'!$P$5:$P$500,"&gt;=114300")&gt;0,"X","")</f>
      </c>
      <c r="AE48" s="56" t="str">
        <f>IF(COUNTIFS('LANÇAMENTOS DIÁRIOS'!$G$5:$G$500,"F",'LANÇAMENTOS DIÁRIOS'!$C$5:$C$500,$A48,'LANÇAMENTOS DIÁRIOS'!$O$5:$O$500,"&lt;=114499",'LANÇAMENTOS DIÁRIOS'!$P$5:$P$500,"&gt;=114400")&gt;0,"X","")</f>
      </c>
      <c r="AF48" s="56" t="str">
        <f>IF(COUNTIFS('LANÇAMENTOS DIÁRIOS'!$G$5:$G$500,"F",'LANÇAMENTOS DIÁRIOS'!$C$5:$C$500,$A48,'LANÇAMENTOS DIÁRIOS'!$O$5:$O$500,"&lt;=114599",'LANÇAMENTOS DIÁRIOS'!$P$5:$P$500,"&gt;=114500")&gt;0,"X","")</f>
      </c>
      <c r="AG48" s="56" t="str">
        <f>IF(COUNTIFS('LANÇAMENTOS DIÁRIOS'!$G$5:$G$500,"F",'LANÇAMENTOS DIÁRIOS'!$C$5:$C$500,$A48,'LANÇAMENTOS DIÁRIOS'!$O$5:$O$500,"&lt;=114699",'LANÇAMENTOS DIÁRIOS'!$P$5:$P$500,"&gt;=114600")&gt;0,"X","")</f>
      </c>
      <c r="AH48" s="56" t="str">
        <f>IF(COUNTIFS('LANÇAMENTOS DIÁRIOS'!$G$5:$G$500,"F",'LANÇAMENTOS DIÁRIOS'!$C$5:$C$500,$A48,'LANÇAMENTOS DIÁRIOS'!$O$5:$O$500,"&lt;=114799",'LANÇAMENTOS DIÁRIOS'!$P$5:$P$500,"&gt;=114700")&gt;0,"X","")</f>
      </c>
      <c r="AI48" s="56" t="str">
        <f>IF(COUNTIFS('LANÇAMENTOS DIÁRIOS'!$G$5:$G$500,"F",'LANÇAMENTOS DIÁRIOS'!$C$5:$C$500,$A48,'LANÇAMENTOS DIÁRIOS'!$O$5:$O$500,"&lt;=114899",'LANÇAMENTOS DIÁRIOS'!$P$5:$P$500,"&gt;=114800")&gt;0,"X","")</f>
      </c>
      <c r="AJ48" s="56" t="str">
        <f>IF(COUNTIFS('LANÇAMENTOS DIÁRIOS'!$G$5:$G$500,"F",'LANÇAMENTOS DIÁRIOS'!$C$5:$C$500,$A48,'LANÇAMENTOS DIÁRIOS'!$O$5:$O$500,"&lt;=114999",'LANÇAMENTOS DIÁRIOS'!$P$5:$P$500,"&gt;=114900")&gt;0,"X","")</f>
      </c>
      <c r="AK48" s="56" t="str">
        <f>IF(COUNTIFS('LANÇAMENTOS DIÁRIOS'!$G$5:$G$500,"F",'LANÇAMENTOS DIÁRIOS'!$C$5:$C$500,$A48,'LANÇAMENTOS DIÁRIOS'!$O$5:$O$500,"&lt;=115099",'LANÇAMENTOS DIÁRIOS'!$P$5:$P$500,"&gt;=115000")&gt;0,"X","")</f>
      </c>
      <c r="AL48" s="56" t="str">
        <f>IF(COUNTIFS('LANÇAMENTOS DIÁRIOS'!$G$5:$G$500,"F",'LANÇAMENTOS DIÁRIOS'!$C$5:$C$500,$A48,'LANÇAMENTOS DIÁRIOS'!$O$5:$O$500,"&lt;=115199",'LANÇAMENTOS DIÁRIOS'!$P$5:$P$500,"&gt;=115100")&gt;0,"X","")</f>
      </c>
      <c r="AM48" s="56" t="str">
        <f>IF(COUNTIFS('LANÇAMENTOS DIÁRIOS'!$G$5:$G$500,"F",'LANÇAMENTOS DIÁRIOS'!$C$5:$C$500,$A48,'LANÇAMENTOS DIÁRIOS'!$O$5:$O$500,"&lt;=115299",'LANÇAMENTOS DIÁRIOS'!$P$5:$P$500,"&gt;=115200")&gt;0,"X","")</f>
      </c>
      <c r="AN48" s="56" t="str">
        <f>IF(COUNTIFS('LANÇAMENTOS DIÁRIOS'!$G$5:$G$500,"F",'LANÇAMENTOS DIÁRIOS'!$C$5:$C$500,$A48,'LANÇAMENTOS DIÁRIOS'!$O$5:$O$500,"&lt;=115399",'LANÇAMENTOS DIÁRIOS'!$P$5:$P$500,"&gt;=115300")&gt;0,"X","")</f>
      </c>
      <c r="AO48" s="56" t="str">
        <f>IF(COUNTIFS('LANÇAMENTOS DIÁRIOS'!$G$5:$G$500,"F",'LANÇAMENTOS DIÁRIOS'!$C$5:$C$500,$A48,'LANÇAMENTOS DIÁRIOS'!$O$5:$O$500,"&lt;=115499",'LANÇAMENTOS DIÁRIOS'!$P$5:$P$500,"&gt;=115400")&gt;0,"X","")</f>
      </c>
      <c r="AP48" s="56" t="str">
        <f>IF(COUNTIFS('LANÇAMENTOS DIÁRIOS'!$G$5:$G$500,"F",'LANÇAMENTOS DIÁRIOS'!$C$5:$C$500,$A48,'LANÇAMENTOS DIÁRIOS'!$O$5:$O$500,"&lt;=115599",'LANÇAMENTOS DIÁRIOS'!$P$5:$P$500,"&gt;=115500")&gt;0,"X","")</f>
      </c>
      <c r="AQ48" s="56" t="str">
        <f>IF(COUNTIFS('LANÇAMENTOS DIÁRIOS'!$G$5:$G$500,"F",'LANÇAMENTOS DIÁRIOS'!$C$5:$C$500,$A48,'LANÇAMENTOS DIÁRIOS'!$O$5:$O$500,"&lt;=115699",'LANÇAMENTOS DIÁRIOS'!$P$5:$P$500,"&gt;=115600")&gt;0,"X","")</f>
      </c>
      <c r="AR48" s="56" t="str">
        <f>IF(COUNTIFS('LANÇAMENTOS DIÁRIOS'!$G$5:$G$500,"F",'LANÇAMENTOS DIÁRIOS'!$C$5:$C$500,$A48,'LANÇAMENTOS DIÁRIOS'!$O$5:$O$500,"&lt;=115799",'LANÇAMENTOS DIÁRIOS'!$P$5:$P$500,"&gt;=115700")&gt;0,"X","")</f>
      </c>
      <c r="AS48" s="56" t="str">
        <f>IF(COUNTIFS('LANÇAMENTOS DIÁRIOS'!$G$5:$G$500,"F",'LANÇAMENTOS DIÁRIOS'!$C$5:$C$500,$A48,'LANÇAMENTOS DIÁRIOS'!$O$5:$O$500,"&lt;=115899",'LANÇAMENTOS DIÁRIOS'!$P$5:$P$500,"&gt;=115800")&gt;0,"X","")</f>
      </c>
      <c r="AT48" s="56" t="str">
        <f>IF(COUNTIFS('LANÇAMENTOS DIÁRIOS'!$G$5:$G$500,"F",'LANÇAMENTOS DIÁRIOS'!$C$5:$C$500,$A48,'LANÇAMENTOS DIÁRIOS'!$O$5:$O$500,"&lt;=115999",'LANÇAMENTOS DIÁRIOS'!$P$5:$P$500,"&gt;=115900")&gt;0,"X","")</f>
      </c>
      <c r="AU48" s="56" t="str">
        <f>IF(COUNTIFS('LANÇAMENTOS DIÁRIOS'!$G$5:$G$500,"F",'LANÇAMENTOS DIÁRIOS'!$C$5:$C$500,$A48,'LANÇAMENTOS DIÁRIOS'!$O$5:$O$500,"&lt;=116099",'LANÇAMENTOS DIÁRIOS'!$P$5:$P$500,"&gt;=116000")&gt;0,"X","")</f>
      </c>
      <c r="AV48" s="56" t="str">
        <f>IF(COUNTIFS('LANÇAMENTOS DIÁRIOS'!$G$5:$G$500,"F",'LANÇAMENTOS DIÁRIOS'!$C$5:$C$500,$A48,'LANÇAMENTOS DIÁRIOS'!$O$5:$O$500,"&lt;=116199",'LANÇAMENTOS DIÁRIOS'!$P$5:$P$500,"&gt;=116100")&gt;0,"X","")</f>
      </c>
      <c r="AW48" s="56" t="str">
        <f>IF(COUNTIFS('LANÇAMENTOS DIÁRIOS'!$G$5:$G$500,"F",'LANÇAMENTOS DIÁRIOS'!$C$5:$C$500,$A48,'LANÇAMENTOS DIÁRIOS'!$O$5:$O$500,"&lt;=116299",'LANÇAMENTOS DIÁRIOS'!$P$5:$P$500,"&gt;=116200")&gt;0,"X","")</f>
      </c>
      <c r="AX48" s="56" t="str">
        <f>IF(COUNTIFS('LANÇAMENTOS DIÁRIOS'!$G$5:$G$500,"F",'LANÇAMENTOS DIÁRIOS'!$C$5:$C$500,$A48,'LANÇAMENTOS DIÁRIOS'!$O$5:$O$500,"&lt;=116399",'LANÇAMENTOS DIÁRIOS'!$P$5:$P$500,"&gt;=116300")&gt;0,"X","")</f>
      </c>
      <c r="AY48" s="56" t="str">
        <f>IF(COUNTIFS('LANÇAMENTOS DIÁRIOS'!$G$5:$G$500,"F",'LANÇAMENTOS DIÁRIOS'!$C$5:$C$500,$A48,'LANÇAMENTOS DIÁRIOS'!$O$5:$O$500,"&lt;=116499",'LANÇAMENTOS DIÁRIOS'!$P$5:$P$500,"&gt;=116400")&gt;0,"X","")</f>
      </c>
      <c r="AZ48" s="56" t="str">
        <f>IF(COUNTIFS('LANÇAMENTOS DIÁRIOS'!$G$5:$G$500,"F",'LANÇAMENTOS DIÁRIOS'!$C$5:$C$500,$A48,'LANÇAMENTOS DIÁRIOS'!$O$5:$O$500,"&lt;=116599",'LANÇAMENTOS DIÁRIOS'!$P$5:$P$500,"&gt;=116500")&gt;0,"X","")</f>
      </c>
      <c r="BA48" s="56" t="str">
        <f>IF(COUNTIFS('LANÇAMENTOS DIÁRIOS'!$G$5:$G$500,"F",'LANÇAMENTOS DIÁRIOS'!$C$5:$C$500,$A48,'LANÇAMENTOS DIÁRIOS'!$O$5:$O$500,"&lt;=116699",'LANÇAMENTOS DIÁRIOS'!$P$5:$P$500,"&gt;=116600")&gt;0,"X","")</f>
      </c>
      <c r="BB48" s="56" t="str">
        <f>IF(COUNTIFS('LANÇAMENTOS DIÁRIOS'!$G$5:$G$500,"F",'LANÇAMENTOS DIÁRIOS'!$C$5:$C$500,$A48,'LANÇAMENTOS DIÁRIOS'!$O$5:$O$500,"&lt;=116799",'LANÇAMENTOS DIÁRIOS'!$P$5:$P$500,"&gt;=116700")&gt;0,"X","")</f>
      </c>
      <c r="BC48" s="56" t="str">
        <f>IF(COUNTIFS('LANÇAMENTOS DIÁRIOS'!$G$5:$G$500,"F",'LANÇAMENTOS DIÁRIOS'!$C$5:$C$500,$A48,'LANÇAMENTOS DIÁRIOS'!$O$5:$O$500,"&lt;=116899",'LANÇAMENTOS DIÁRIOS'!$P$5:$P$500,"&gt;=116800")&gt;0,"X","")</f>
      </c>
      <c r="BD48" s="56" t="str">
        <f>IF(COUNTIFS('LANÇAMENTOS DIÁRIOS'!$G$5:$G$500,"F",'LANÇAMENTOS DIÁRIOS'!$C$5:$C$500,$A48,'LANÇAMENTOS DIÁRIOS'!$O$5:$O$500,"&lt;=116999",'LANÇAMENTOS DIÁRIOS'!$P$5:$P$500,"&gt;=116900")&gt;0,"X","")</f>
      </c>
      <c r="BE48" s="56" t="str">
        <f>IF(COUNTIFS('LANÇAMENTOS DIÁRIOS'!$G$5:$G$500,"F",'LANÇAMENTOS DIÁRIOS'!$C$5:$C$500,$A48,'LANÇAMENTOS DIÁRIOS'!$O$5:$O$500,"&lt;=117099",'LANÇAMENTOS DIÁRIOS'!$P$5:$P$500,"&gt;=117000")&gt;0,"X","")</f>
      </c>
      <c r="BF48" s="56" t="str">
        <f>IF(COUNTIFS('LANÇAMENTOS DIÁRIOS'!$G$5:$G$500,"F",'LANÇAMENTOS DIÁRIOS'!$C$5:$C$500,$A48,'LANÇAMENTOS DIÁRIOS'!$O$5:$O$500,"&lt;=117199",'LANÇAMENTOS DIÁRIOS'!$P$5:$P$500,"&gt;=117100")&gt;0,"X","")</f>
      </c>
      <c r="BG48" s="56" t="str">
        <f>IF(COUNTIFS('LANÇAMENTOS DIÁRIOS'!$G$5:$G$500,"F",'LANÇAMENTOS DIÁRIOS'!$C$5:$C$500,$A48,'LANÇAMENTOS DIÁRIOS'!$O$5:$O$500,"&lt;=117219",'LANÇAMENTOS DIÁRIOS'!$P$5:$P$500,"&gt;=117200")&gt;0,"X","")</f>
      </c>
      <c r="BH48" s="56" t="str">
        <f>IF(COUNTIFS('LANÇAMENTOS DIÁRIOS'!$G$5:$G$500,"F",'LANÇAMENTOS DIÁRIOS'!$C$5:$C$500,$A48,'LANÇAMENTOS DIÁRIOS'!$O$5:$O$500,"&lt;=117220",'LANÇAMENTOS DIÁRIOS'!$P$5:$P$500,"&gt;=117220")&gt;0,"X","")</f>
      </c>
    </row>
    <row r="49">
      <c r="A49" s="51" t="str">
        <v>Fundação / reaterro com solo</v>
      </c>
      <c r="B49" s="56" t="str">
        <f>IF(COUNTIFS('LANÇAMENTOS DIÁRIOS'!$G$5:$G$500,"F",'LANÇAMENTOS DIÁRIOS'!$C$5:$C$500,$A49,'LANÇAMENTOS DIÁRIOS'!$O$5:$O$500,"&lt;=111599",'LANÇAMENTOS DIÁRIOS'!$P$5:$P$500,"&gt;=111500")&gt;0,"X","")</f>
      </c>
      <c r="C49" s="56" t="str">
        <f>IF(COUNTIFS('LANÇAMENTOS DIÁRIOS'!$G$5:$G$500,"F",'LANÇAMENTOS DIÁRIOS'!$C$5:$C$500,$A49,'LANÇAMENTOS DIÁRIOS'!$O$5:$O$500,"&lt;=111699",'LANÇAMENTOS DIÁRIOS'!$P$5:$P$500,"&gt;=111600")&gt;0,"X","")</f>
      </c>
      <c r="D49" s="56" t="str">
        <f>IF(COUNTIFS('LANÇAMENTOS DIÁRIOS'!$G$5:$G$500,"F",'LANÇAMENTOS DIÁRIOS'!$C$5:$C$500,$A49,'LANÇAMENTOS DIÁRIOS'!$O$5:$O$500,"&lt;=111799",'LANÇAMENTOS DIÁRIOS'!$P$5:$P$500,"&gt;=111700")&gt;0,"X","")</f>
      </c>
      <c r="E49" s="56" t="str">
        <f>IF(COUNTIFS('LANÇAMENTOS DIÁRIOS'!$G$5:$G$500,"F",'LANÇAMENTOS DIÁRIOS'!$C$5:$C$500,$A49,'LANÇAMENTOS DIÁRIOS'!$O$5:$O$500,"&lt;=111899",'LANÇAMENTOS DIÁRIOS'!$P$5:$P$500,"&gt;=111800")&gt;0,"X","")</f>
      </c>
      <c r="F49" s="56" t="str">
        <f>IF(COUNTIFS('LANÇAMENTOS DIÁRIOS'!$G$5:$G$500,"F",'LANÇAMENTOS DIÁRIOS'!$C$5:$C$500,$A49,'LANÇAMENTOS DIÁRIOS'!$O$5:$O$500,"&lt;=111999",'LANÇAMENTOS DIÁRIOS'!$P$5:$P$500,"&gt;=111900")&gt;0,"X","")</f>
      </c>
      <c r="G49" s="56" t="str">
        <f>IF(COUNTIFS('LANÇAMENTOS DIÁRIOS'!$G$5:$G$500,"F",'LANÇAMENTOS DIÁRIOS'!$C$5:$C$500,$A49,'LANÇAMENTOS DIÁRIOS'!$O$5:$O$500,"&lt;=112099",'LANÇAMENTOS DIÁRIOS'!$P$5:$P$500,"&gt;=112000")&gt;0,"X","")</f>
      </c>
      <c r="H49" s="56" t="str">
        <f>IF(COUNTIFS('LANÇAMENTOS DIÁRIOS'!$G$5:$G$500,"F",'LANÇAMENTOS DIÁRIOS'!$C$5:$C$500,$A49,'LANÇAMENTOS DIÁRIOS'!$O$5:$O$500,"&lt;=112199",'LANÇAMENTOS DIÁRIOS'!$P$5:$P$500,"&gt;=112100")&gt;0,"X","")</f>
      </c>
      <c r="I49" s="56" t="str">
        <f>IF(COUNTIFS('LANÇAMENTOS DIÁRIOS'!$G$5:$G$500,"F",'LANÇAMENTOS DIÁRIOS'!$C$5:$C$500,$A49,'LANÇAMENTOS DIÁRIOS'!$O$5:$O$500,"&lt;=112299",'LANÇAMENTOS DIÁRIOS'!$P$5:$P$500,"&gt;=112200")&gt;0,"X","")</f>
      </c>
      <c r="J49" s="56" t="str">
        <f>IF(COUNTIFS('LANÇAMENTOS DIÁRIOS'!$G$5:$G$500,"F",'LANÇAMENTOS DIÁRIOS'!$C$5:$C$500,$A49,'LANÇAMENTOS DIÁRIOS'!$O$5:$O$500,"&lt;=112399",'LANÇAMENTOS DIÁRIOS'!$P$5:$P$500,"&gt;=112300")&gt;0,"X","")</f>
      </c>
      <c r="K49" s="56" t="str">
        <f>IF(COUNTIFS('LANÇAMENTOS DIÁRIOS'!$G$5:$G$500,"F",'LANÇAMENTOS DIÁRIOS'!$C$5:$C$500,$A49,'LANÇAMENTOS DIÁRIOS'!$O$5:$O$500,"&lt;=112499",'LANÇAMENTOS DIÁRIOS'!$P$5:$P$500,"&gt;=112400")&gt;0,"X","")</f>
      </c>
      <c r="L49" s="56" t="str">
        <f>IF(COUNTIFS('LANÇAMENTOS DIÁRIOS'!$G$5:$G$500,"F",'LANÇAMENTOS DIÁRIOS'!$C$5:$C$500,$A49,'LANÇAMENTOS DIÁRIOS'!$O$5:$O$500,"&lt;=112599",'LANÇAMENTOS DIÁRIOS'!$P$5:$P$500,"&gt;=112500")&gt;0,"X","")</f>
      </c>
      <c r="M49" s="56" t="str">
        <f>IF(COUNTIFS('LANÇAMENTOS DIÁRIOS'!$G$5:$G$500,"F",'LANÇAMENTOS DIÁRIOS'!$C$5:$C$500,$A49,'LANÇAMENTOS DIÁRIOS'!$O$5:$O$500,"&lt;=112699",'LANÇAMENTOS DIÁRIOS'!$P$5:$P$500,"&gt;=112600")&gt;0,"X","")</f>
      </c>
      <c r="N49" s="56" t="str">
        <f>IF(COUNTIFS('LANÇAMENTOS DIÁRIOS'!$G$5:$G$500,"F",'LANÇAMENTOS DIÁRIOS'!$C$5:$C$500,$A49,'LANÇAMENTOS DIÁRIOS'!$O$5:$O$500,"&lt;=112799",'LANÇAMENTOS DIÁRIOS'!$P$5:$P$500,"&gt;=112700")&gt;0,"X","")</f>
      </c>
      <c r="O49" s="56" t="str">
        <f>IF(COUNTIFS('LANÇAMENTOS DIÁRIOS'!$G$5:$G$500,"F",'LANÇAMENTOS DIÁRIOS'!$C$5:$C$500,$A49,'LANÇAMENTOS DIÁRIOS'!$O$5:$O$500,"&lt;=112899",'LANÇAMENTOS DIÁRIOS'!$P$5:$P$500,"&gt;=112800")&gt;0,"X","")</f>
      </c>
      <c r="P49" s="56" t="str">
        <f>IF(COUNTIFS('LANÇAMENTOS DIÁRIOS'!$G$5:$G$500,"F",'LANÇAMENTOS DIÁRIOS'!$C$5:$C$500,$A49,'LANÇAMENTOS DIÁRIOS'!$O$5:$O$500,"&lt;=112999",'LANÇAMENTOS DIÁRIOS'!$P$5:$P$500,"&gt;=112900")&gt;0,"X","")</f>
      </c>
      <c r="Q49" s="56" t="str">
        <f>IF(COUNTIFS('LANÇAMENTOS DIÁRIOS'!$G$5:$G$500,"F",'LANÇAMENTOS DIÁRIOS'!$C$5:$C$500,$A49,'LANÇAMENTOS DIÁRIOS'!$O$5:$O$500,"&lt;=113099",'LANÇAMENTOS DIÁRIOS'!$P$5:$P$500,"&gt;=113000")&gt;0,"X","")</f>
      </c>
      <c r="R49" s="56" t="str">
        <f>IF(COUNTIFS('LANÇAMENTOS DIÁRIOS'!$G$5:$G$500,"F",'LANÇAMENTOS DIÁRIOS'!$C$5:$C$500,$A49,'LANÇAMENTOS DIÁRIOS'!$O$5:$O$500,"&lt;=113199",'LANÇAMENTOS DIÁRIOS'!$P$5:$P$500,"&gt;=113100")&gt;0,"X","")</f>
      </c>
      <c r="S49" s="56" t="str">
        <f>IF(COUNTIFS('LANÇAMENTOS DIÁRIOS'!$G$5:$G$500,"F",'LANÇAMENTOS DIÁRIOS'!$C$5:$C$500,$A49,'LANÇAMENTOS DIÁRIOS'!$O$5:$O$500,"&lt;=113299",'LANÇAMENTOS DIÁRIOS'!$P$5:$P$500,"&gt;=113200")&gt;0,"X","")</f>
      </c>
      <c r="T49" s="56" t="str">
        <f>IF(COUNTIFS('LANÇAMENTOS DIÁRIOS'!$G$5:$G$500,"F",'LANÇAMENTOS DIÁRIOS'!$C$5:$C$500,$A49,'LANÇAMENTOS DIÁRIOS'!$O$5:$O$500,"&lt;=113399",'LANÇAMENTOS DIÁRIOS'!$P$5:$P$500,"&gt;=113300")&gt;0,"X","")</f>
      </c>
      <c r="U49" s="56" t="str">
        <f>IF(COUNTIFS('LANÇAMENTOS DIÁRIOS'!$G$5:$G$500,"F",'LANÇAMENTOS DIÁRIOS'!$C$5:$C$500,$A49,'LANÇAMENTOS DIÁRIOS'!$O$5:$O$500,"&lt;=113499",'LANÇAMENTOS DIÁRIOS'!$P$5:$P$500,"&gt;=113400")&gt;0,"X","")</f>
      </c>
      <c r="V49" s="56" t="str">
        <f>IF(COUNTIFS('LANÇAMENTOS DIÁRIOS'!$G$5:$G$500,"F",'LANÇAMENTOS DIÁRIOS'!$C$5:$C$500,$A49,'LANÇAMENTOS DIÁRIOS'!$O$5:$O$500,"&lt;=113599",'LANÇAMENTOS DIÁRIOS'!$P$5:$P$500,"&gt;=113500")&gt;0,"X","")</f>
      </c>
      <c r="W49" s="56" t="str">
        <f>IF(COUNTIFS('LANÇAMENTOS DIÁRIOS'!$G$5:$G$500,"F",'LANÇAMENTOS DIÁRIOS'!$C$5:$C$500,$A49,'LANÇAMENTOS DIÁRIOS'!$O$5:$O$500,"&lt;=113699",'LANÇAMENTOS DIÁRIOS'!$P$5:$P$500,"&gt;=113600")&gt;0,"X","")</f>
      </c>
      <c r="X49" s="56" t="str">
        <f>IF(COUNTIFS('LANÇAMENTOS DIÁRIOS'!$G$5:$G$500,"F",'LANÇAMENTOS DIÁRIOS'!$C$5:$C$500,$A49,'LANÇAMENTOS DIÁRIOS'!$O$5:$O$500,"&lt;=113799",'LANÇAMENTOS DIÁRIOS'!$P$5:$P$500,"&gt;=113700")&gt;0,"X","")</f>
      </c>
      <c r="Y49" s="56" t="str">
        <f>IF(COUNTIFS('LANÇAMENTOS DIÁRIOS'!$G$5:$G$500,"F",'LANÇAMENTOS DIÁRIOS'!$C$5:$C$500,$A49,'LANÇAMENTOS DIÁRIOS'!$O$5:$O$500,"&lt;=113899",'LANÇAMENTOS DIÁRIOS'!$P$5:$P$500,"&gt;=113800")&gt;0,"X","")</f>
      </c>
      <c r="Z49" s="56" t="str">
        <f>IF(COUNTIFS('LANÇAMENTOS DIÁRIOS'!$G$5:$G$500,"F",'LANÇAMENTOS DIÁRIOS'!$C$5:$C$500,$A49,'LANÇAMENTOS DIÁRIOS'!$O$5:$O$500,"&lt;=113999",'LANÇAMENTOS DIÁRIOS'!$P$5:$P$500,"&gt;=113900")&gt;0,"X","")</f>
      </c>
      <c r="AA49" s="56" t="str">
        <f>IF(COUNTIFS('LANÇAMENTOS DIÁRIOS'!$G$5:$G$500,"F",'LANÇAMENTOS DIÁRIOS'!$C$5:$C$500,$A49,'LANÇAMENTOS DIÁRIOS'!$O$5:$O$500,"&lt;=114099",'LANÇAMENTOS DIÁRIOS'!$P$5:$P$500,"&gt;=114000")&gt;0,"X","")</f>
      </c>
      <c r="AB49" s="56" t="str">
        <f>IF(COUNTIFS('LANÇAMENTOS DIÁRIOS'!$G$5:$G$500,"F",'LANÇAMENTOS DIÁRIOS'!$C$5:$C$500,$A49,'LANÇAMENTOS DIÁRIOS'!$O$5:$O$500,"&lt;=114199",'LANÇAMENTOS DIÁRIOS'!$P$5:$P$500,"&gt;=114100")&gt;0,"X","")</f>
      </c>
      <c r="AC49" s="56" t="str">
        <f>IF(COUNTIFS('LANÇAMENTOS DIÁRIOS'!$G$5:$G$500,"F",'LANÇAMENTOS DIÁRIOS'!$C$5:$C$500,$A49,'LANÇAMENTOS DIÁRIOS'!$O$5:$O$500,"&lt;=114299",'LANÇAMENTOS DIÁRIOS'!$P$5:$P$500,"&gt;=114200")&gt;0,"X","")</f>
      </c>
      <c r="AD49" s="56" t="str">
        <f>IF(COUNTIFS('LANÇAMENTOS DIÁRIOS'!$G$5:$G$500,"F",'LANÇAMENTOS DIÁRIOS'!$C$5:$C$500,$A49,'LANÇAMENTOS DIÁRIOS'!$O$5:$O$500,"&lt;=114399",'LANÇAMENTOS DIÁRIOS'!$P$5:$P$500,"&gt;=114300")&gt;0,"X","")</f>
      </c>
      <c r="AE49" s="56" t="str">
        <f>IF(COUNTIFS('LANÇAMENTOS DIÁRIOS'!$G$5:$G$500,"F",'LANÇAMENTOS DIÁRIOS'!$C$5:$C$500,$A49,'LANÇAMENTOS DIÁRIOS'!$O$5:$O$500,"&lt;=114499",'LANÇAMENTOS DIÁRIOS'!$P$5:$P$500,"&gt;=114400")&gt;0,"X","")</f>
      </c>
      <c r="AF49" s="56" t="str">
        <f>IF(COUNTIFS('LANÇAMENTOS DIÁRIOS'!$G$5:$G$500,"F",'LANÇAMENTOS DIÁRIOS'!$C$5:$C$500,$A49,'LANÇAMENTOS DIÁRIOS'!$O$5:$O$500,"&lt;=114599",'LANÇAMENTOS DIÁRIOS'!$P$5:$P$500,"&gt;=114500")&gt;0,"X","")</f>
      </c>
      <c r="AG49" s="56" t="str">
        <f>IF(COUNTIFS('LANÇAMENTOS DIÁRIOS'!$G$5:$G$500,"F",'LANÇAMENTOS DIÁRIOS'!$C$5:$C$500,$A49,'LANÇAMENTOS DIÁRIOS'!$O$5:$O$500,"&lt;=114699",'LANÇAMENTOS DIÁRIOS'!$P$5:$P$500,"&gt;=114600")&gt;0,"X","")</f>
      </c>
      <c r="AH49" s="56" t="str">
        <f>IF(COUNTIFS('LANÇAMENTOS DIÁRIOS'!$G$5:$G$500,"F",'LANÇAMENTOS DIÁRIOS'!$C$5:$C$500,$A49,'LANÇAMENTOS DIÁRIOS'!$O$5:$O$500,"&lt;=114799",'LANÇAMENTOS DIÁRIOS'!$P$5:$P$500,"&gt;=114700")&gt;0,"X","")</f>
      </c>
      <c r="AI49" s="56" t="str">
        <f>IF(COUNTIFS('LANÇAMENTOS DIÁRIOS'!$G$5:$G$500,"F",'LANÇAMENTOS DIÁRIOS'!$C$5:$C$500,$A49,'LANÇAMENTOS DIÁRIOS'!$O$5:$O$500,"&lt;=114899",'LANÇAMENTOS DIÁRIOS'!$P$5:$P$500,"&gt;=114800")&gt;0,"X","")</f>
      </c>
      <c r="AJ49" s="56" t="str">
        <f>IF(COUNTIFS('LANÇAMENTOS DIÁRIOS'!$G$5:$G$500,"F",'LANÇAMENTOS DIÁRIOS'!$C$5:$C$500,$A49,'LANÇAMENTOS DIÁRIOS'!$O$5:$O$500,"&lt;=114999",'LANÇAMENTOS DIÁRIOS'!$P$5:$P$500,"&gt;=114900")&gt;0,"X","")</f>
      </c>
      <c r="AK49" s="56" t="str">
        <f>IF(COUNTIFS('LANÇAMENTOS DIÁRIOS'!$G$5:$G$500,"F",'LANÇAMENTOS DIÁRIOS'!$C$5:$C$500,$A49,'LANÇAMENTOS DIÁRIOS'!$O$5:$O$500,"&lt;=115099",'LANÇAMENTOS DIÁRIOS'!$P$5:$P$500,"&gt;=115000")&gt;0,"X","")</f>
      </c>
      <c r="AL49" s="56" t="str">
        <f>IF(COUNTIFS('LANÇAMENTOS DIÁRIOS'!$G$5:$G$500,"F",'LANÇAMENTOS DIÁRIOS'!$C$5:$C$500,$A49,'LANÇAMENTOS DIÁRIOS'!$O$5:$O$500,"&lt;=115199",'LANÇAMENTOS DIÁRIOS'!$P$5:$P$500,"&gt;=115100")&gt;0,"X","")</f>
      </c>
      <c r="AM49" s="56" t="str">
        <f>IF(COUNTIFS('LANÇAMENTOS DIÁRIOS'!$G$5:$G$500,"F",'LANÇAMENTOS DIÁRIOS'!$C$5:$C$500,$A49,'LANÇAMENTOS DIÁRIOS'!$O$5:$O$500,"&lt;=115299",'LANÇAMENTOS DIÁRIOS'!$P$5:$P$500,"&gt;=115200")&gt;0,"X","")</f>
      </c>
      <c r="AN49" s="56" t="str">
        <f>IF(COUNTIFS('LANÇAMENTOS DIÁRIOS'!$G$5:$G$500,"F",'LANÇAMENTOS DIÁRIOS'!$C$5:$C$500,$A49,'LANÇAMENTOS DIÁRIOS'!$O$5:$O$500,"&lt;=115399",'LANÇAMENTOS DIÁRIOS'!$P$5:$P$500,"&gt;=115300")&gt;0,"X","")</f>
      </c>
      <c r="AO49" s="56" t="str">
        <f>IF(COUNTIFS('LANÇAMENTOS DIÁRIOS'!$G$5:$G$500,"F",'LANÇAMENTOS DIÁRIOS'!$C$5:$C$500,$A49,'LANÇAMENTOS DIÁRIOS'!$O$5:$O$500,"&lt;=115499",'LANÇAMENTOS DIÁRIOS'!$P$5:$P$500,"&gt;=115400")&gt;0,"X","")</f>
      </c>
      <c r="AP49" s="56" t="str">
        <f>IF(COUNTIFS('LANÇAMENTOS DIÁRIOS'!$G$5:$G$500,"F",'LANÇAMENTOS DIÁRIOS'!$C$5:$C$500,$A49,'LANÇAMENTOS DIÁRIOS'!$O$5:$O$500,"&lt;=115599",'LANÇAMENTOS DIÁRIOS'!$P$5:$P$500,"&gt;=115500")&gt;0,"X","")</f>
      </c>
      <c r="AQ49" s="56" t="str">
        <f>IF(COUNTIFS('LANÇAMENTOS DIÁRIOS'!$G$5:$G$500,"F",'LANÇAMENTOS DIÁRIOS'!$C$5:$C$500,$A49,'LANÇAMENTOS DIÁRIOS'!$O$5:$O$500,"&lt;=115699",'LANÇAMENTOS DIÁRIOS'!$P$5:$P$500,"&gt;=115600")&gt;0,"X","")</f>
      </c>
      <c r="AR49" s="56" t="str">
        <f>IF(COUNTIFS('LANÇAMENTOS DIÁRIOS'!$G$5:$G$500,"F",'LANÇAMENTOS DIÁRIOS'!$C$5:$C$500,$A49,'LANÇAMENTOS DIÁRIOS'!$O$5:$O$500,"&lt;=115799",'LANÇAMENTOS DIÁRIOS'!$P$5:$P$500,"&gt;=115700")&gt;0,"X","")</f>
      </c>
      <c r="AS49" s="56" t="str">
        <f>IF(COUNTIFS('LANÇAMENTOS DIÁRIOS'!$G$5:$G$500,"F",'LANÇAMENTOS DIÁRIOS'!$C$5:$C$500,$A49,'LANÇAMENTOS DIÁRIOS'!$O$5:$O$500,"&lt;=115899",'LANÇAMENTOS DIÁRIOS'!$P$5:$P$500,"&gt;=115800")&gt;0,"X","")</f>
      </c>
      <c r="AT49" s="56" t="str">
        <f>IF(COUNTIFS('LANÇAMENTOS DIÁRIOS'!$G$5:$G$500,"F",'LANÇAMENTOS DIÁRIOS'!$C$5:$C$500,$A49,'LANÇAMENTOS DIÁRIOS'!$O$5:$O$500,"&lt;=115999",'LANÇAMENTOS DIÁRIOS'!$P$5:$P$500,"&gt;=115900")&gt;0,"X","")</f>
      </c>
      <c r="AU49" s="56" t="str">
        <f>IF(COUNTIFS('LANÇAMENTOS DIÁRIOS'!$G$5:$G$500,"F",'LANÇAMENTOS DIÁRIOS'!$C$5:$C$500,$A49,'LANÇAMENTOS DIÁRIOS'!$O$5:$O$500,"&lt;=116099",'LANÇAMENTOS DIÁRIOS'!$P$5:$P$500,"&gt;=116000")&gt;0,"X","")</f>
      </c>
      <c r="AV49" s="56" t="str">
        <f>IF(COUNTIFS('LANÇAMENTOS DIÁRIOS'!$G$5:$G$500,"F",'LANÇAMENTOS DIÁRIOS'!$C$5:$C$500,$A49,'LANÇAMENTOS DIÁRIOS'!$O$5:$O$500,"&lt;=116199",'LANÇAMENTOS DIÁRIOS'!$P$5:$P$500,"&gt;=116100")&gt;0,"X","")</f>
      </c>
      <c r="AW49" s="56" t="str">
        <f>IF(COUNTIFS('LANÇAMENTOS DIÁRIOS'!$G$5:$G$500,"F",'LANÇAMENTOS DIÁRIOS'!$C$5:$C$500,$A49,'LANÇAMENTOS DIÁRIOS'!$O$5:$O$500,"&lt;=116299",'LANÇAMENTOS DIÁRIOS'!$P$5:$P$500,"&gt;=116200")&gt;0,"X","")</f>
      </c>
      <c r="AX49" s="56" t="str">
        <f>IF(COUNTIFS('LANÇAMENTOS DIÁRIOS'!$G$5:$G$500,"F",'LANÇAMENTOS DIÁRIOS'!$C$5:$C$500,$A49,'LANÇAMENTOS DIÁRIOS'!$O$5:$O$500,"&lt;=116399",'LANÇAMENTOS DIÁRIOS'!$P$5:$P$500,"&gt;=116300")&gt;0,"X","")</f>
      </c>
      <c r="AY49" s="56" t="str">
        <f>IF(COUNTIFS('LANÇAMENTOS DIÁRIOS'!$G$5:$G$500,"F",'LANÇAMENTOS DIÁRIOS'!$C$5:$C$500,$A49,'LANÇAMENTOS DIÁRIOS'!$O$5:$O$500,"&lt;=116499",'LANÇAMENTOS DIÁRIOS'!$P$5:$P$500,"&gt;=116400")&gt;0,"X","")</f>
      </c>
      <c r="AZ49" s="56" t="str">
        <f>IF(COUNTIFS('LANÇAMENTOS DIÁRIOS'!$G$5:$G$500,"F",'LANÇAMENTOS DIÁRIOS'!$C$5:$C$500,$A49,'LANÇAMENTOS DIÁRIOS'!$O$5:$O$500,"&lt;=116599",'LANÇAMENTOS DIÁRIOS'!$P$5:$P$500,"&gt;=116500")&gt;0,"X","")</f>
      </c>
      <c r="BA49" s="56" t="str">
        <f>IF(COUNTIFS('LANÇAMENTOS DIÁRIOS'!$G$5:$G$500,"F",'LANÇAMENTOS DIÁRIOS'!$C$5:$C$500,$A49,'LANÇAMENTOS DIÁRIOS'!$O$5:$O$500,"&lt;=116699",'LANÇAMENTOS DIÁRIOS'!$P$5:$P$500,"&gt;=116600")&gt;0,"X","")</f>
      </c>
      <c r="BB49" s="56" t="str">
        <f>IF(COUNTIFS('LANÇAMENTOS DIÁRIOS'!$G$5:$G$500,"F",'LANÇAMENTOS DIÁRIOS'!$C$5:$C$500,$A49,'LANÇAMENTOS DIÁRIOS'!$O$5:$O$500,"&lt;=116799",'LANÇAMENTOS DIÁRIOS'!$P$5:$P$500,"&gt;=116700")&gt;0,"X","")</f>
      </c>
      <c r="BC49" s="56" t="str">
        <f>IF(COUNTIFS('LANÇAMENTOS DIÁRIOS'!$G$5:$G$500,"F",'LANÇAMENTOS DIÁRIOS'!$C$5:$C$500,$A49,'LANÇAMENTOS DIÁRIOS'!$O$5:$O$500,"&lt;=116899",'LANÇAMENTOS DIÁRIOS'!$P$5:$P$500,"&gt;=116800")&gt;0,"X","")</f>
      </c>
      <c r="BD49" s="56" t="str">
        <f>IF(COUNTIFS('LANÇAMENTOS DIÁRIOS'!$G$5:$G$500,"F",'LANÇAMENTOS DIÁRIOS'!$C$5:$C$500,$A49,'LANÇAMENTOS DIÁRIOS'!$O$5:$O$500,"&lt;=116999",'LANÇAMENTOS DIÁRIOS'!$P$5:$P$500,"&gt;=116900")&gt;0,"X","")</f>
      </c>
      <c r="BE49" s="56" t="str">
        <f>IF(COUNTIFS('LANÇAMENTOS DIÁRIOS'!$G$5:$G$500,"F",'LANÇAMENTOS DIÁRIOS'!$C$5:$C$500,$A49,'LANÇAMENTOS DIÁRIOS'!$O$5:$O$500,"&lt;=117099",'LANÇAMENTOS DIÁRIOS'!$P$5:$P$500,"&gt;=117000")&gt;0,"X","")</f>
      </c>
      <c r="BF49" s="56" t="str">
        <f>IF(COUNTIFS('LANÇAMENTOS DIÁRIOS'!$G$5:$G$500,"F",'LANÇAMENTOS DIÁRIOS'!$C$5:$C$500,$A49,'LANÇAMENTOS DIÁRIOS'!$O$5:$O$500,"&lt;=117199",'LANÇAMENTOS DIÁRIOS'!$P$5:$P$500,"&gt;=117100")&gt;0,"X","")</f>
      </c>
      <c r="BG49" s="56" t="str">
        <f>IF(COUNTIFS('LANÇAMENTOS DIÁRIOS'!$G$5:$G$500,"F",'LANÇAMENTOS DIÁRIOS'!$C$5:$C$500,$A49,'LANÇAMENTOS DIÁRIOS'!$O$5:$O$500,"&lt;=117219",'LANÇAMENTOS DIÁRIOS'!$P$5:$P$500,"&gt;=117200")&gt;0,"X","")</f>
      </c>
      <c r="BH49" s="56" t="str">
        <f>IF(COUNTIFS('LANÇAMENTOS DIÁRIOS'!$G$5:$G$500,"F",'LANÇAMENTOS DIÁRIOS'!$C$5:$C$500,$A49,'LANÇAMENTOS DIÁRIOS'!$O$5:$O$500,"&lt;=117220",'LANÇAMENTOS DIÁRIOS'!$P$5:$P$500,"&gt;=117220")&gt;0,"X","")</f>
      </c>
    </row>
    <row r="50">
      <c r="A50" s="51" t="str">
        <v>Escavação de solo mole</v>
      </c>
      <c r="B50" s="56" t="str">
        <f>IF(COUNTIFS('LANÇAMENTOS DIÁRIOS'!$G$5:$G$500,"F",'LANÇAMENTOS DIÁRIOS'!$C$5:$C$500,$A50,'LANÇAMENTOS DIÁRIOS'!$O$5:$O$500,"&lt;=111599",'LANÇAMENTOS DIÁRIOS'!$P$5:$P$500,"&gt;=111500")&gt;0,"X","")</f>
      </c>
      <c r="C50" s="56" t="str">
        <f>IF(COUNTIFS('LANÇAMENTOS DIÁRIOS'!$G$5:$G$500,"F",'LANÇAMENTOS DIÁRIOS'!$C$5:$C$500,$A50,'LANÇAMENTOS DIÁRIOS'!$O$5:$O$500,"&lt;=111699",'LANÇAMENTOS DIÁRIOS'!$P$5:$P$500,"&gt;=111600")&gt;0,"X","")</f>
      </c>
      <c r="D50" s="56" t="str">
        <f>IF(COUNTIFS('LANÇAMENTOS DIÁRIOS'!$G$5:$G$500,"F",'LANÇAMENTOS DIÁRIOS'!$C$5:$C$500,$A50,'LANÇAMENTOS DIÁRIOS'!$O$5:$O$500,"&lt;=111799",'LANÇAMENTOS DIÁRIOS'!$P$5:$P$500,"&gt;=111700")&gt;0,"X","")</f>
      </c>
      <c r="E50" s="56" t="str">
        <f>IF(COUNTIFS('LANÇAMENTOS DIÁRIOS'!$G$5:$G$500,"F",'LANÇAMENTOS DIÁRIOS'!$C$5:$C$500,$A50,'LANÇAMENTOS DIÁRIOS'!$O$5:$O$500,"&lt;=111899",'LANÇAMENTOS DIÁRIOS'!$P$5:$P$500,"&gt;=111800")&gt;0,"X","")</f>
      </c>
      <c r="F50" s="56" t="str">
        <f>IF(COUNTIFS('LANÇAMENTOS DIÁRIOS'!$G$5:$G$500,"F",'LANÇAMENTOS DIÁRIOS'!$C$5:$C$500,$A50,'LANÇAMENTOS DIÁRIOS'!$O$5:$O$500,"&lt;=111999",'LANÇAMENTOS DIÁRIOS'!$P$5:$P$500,"&gt;=111900")&gt;0,"X","")</f>
      </c>
      <c r="G50" s="56" t="str">
        <f>IF(COUNTIFS('LANÇAMENTOS DIÁRIOS'!$G$5:$G$500,"F",'LANÇAMENTOS DIÁRIOS'!$C$5:$C$500,$A50,'LANÇAMENTOS DIÁRIOS'!$O$5:$O$500,"&lt;=112099",'LANÇAMENTOS DIÁRIOS'!$P$5:$P$500,"&gt;=112000")&gt;0,"X","")</f>
      </c>
      <c r="H50" s="56" t="str">
        <f>IF(COUNTIFS('LANÇAMENTOS DIÁRIOS'!$G$5:$G$500,"F",'LANÇAMENTOS DIÁRIOS'!$C$5:$C$500,$A50,'LANÇAMENTOS DIÁRIOS'!$O$5:$O$500,"&lt;=112199",'LANÇAMENTOS DIÁRIOS'!$P$5:$P$500,"&gt;=112100")&gt;0,"X","")</f>
      </c>
      <c r="I50" s="56" t="str">
        <f>IF(COUNTIFS('LANÇAMENTOS DIÁRIOS'!$G$5:$G$500,"F",'LANÇAMENTOS DIÁRIOS'!$C$5:$C$500,$A50,'LANÇAMENTOS DIÁRIOS'!$O$5:$O$500,"&lt;=112299",'LANÇAMENTOS DIÁRIOS'!$P$5:$P$500,"&gt;=112200")&gt;0,"X","")</f>
      </c>
      <c r="J50" s="56" t="str">
        <f>IF(COUNTIFS('LANÇAMENTOS DIÁRIOS'!$G$5:$G$500,"F",'LANÇAMENTOS DIÁRIOS'!$C$5:$C$500,$A50,'LANÇAMENTOS DIÁRIOS'!$O$5:$O$500,"&lt;=112399",'LANÇAMENTOS DIÁRIOS'!$P$5:$P$500,"&gt;=112300")&gt;0,"X","")</f>
      </c>
      <c r="K50" s="56" t="str">
        <f>IF(COUNTIFS('LANÇAMENTOS DIÁRIOS'!$G$5:$G$500,"F",'LANÇAMENTOS DIÁRIOS'!$C$5:$C$500,$A50,'LANÇAMENTOS DIÁRIOS'!$O$5:$O$500,"&lt;=112499",'LANÇAMENTOS DIÁRIOS'!$P$5:$P$500,"&gt;=112400")&gt;0,"X","")</f>
      </c>
      <c r="L50" s="56" t="str">
        <f>IF(COUNTIFS('LANÇAMENTOS DIÁRIOS'!$G$5:$G$500,"F",'LANÇAMENTOS DIÁRIOS'!$C$5:$C$500,$A50,'LANÇAMENTOS DIÁRIOS'!$O$5:$O$500,"&lt;=112599",'LANÇAMENTOS DIÁRIOS'!$P$5:$P$500,"&gt;=112500")&gt;0,"X","")</f>
      </c>
      <c r="M50" s="56" t="str">
        <f>IF(COUNTIFS('LANÇAMENTOS DIÁRIOS'!$G$5:$G$500,"F",'LANÇAMENTOS DIÁRIOS'!$C$5:$C$500,$A50,'LANÇAMENTOS DIÁRIOS'!$O$5:$O$500,"&lt;=112699",'LANÇAMENTOS DIÁRIOS'!$P$5:$P$500,"&gt;=112600")&gt;0,"X","")</f>
      </c>
      <c r="N50" s="56" t="str">
        <f>IF(COUNTIFS('LANÇAMENTOS DIÁRIOS'!$G$5:$G$500,"F",'LANÇAMENTOS DIÁRIOS'!$C$5:$C$500,$A50,'LANÇAMENTOS DIÁRIOS'!$O$5:$O$500,"&lt;=112799",'LANÇAMENTOS DIÁRIOS'!$P$5:$P$500,"&gt;=112700")&gt;0,"X","")</f>
      </c>
      <c r="O50" s="56" t="str">
        <f>IF(COUNTIFS('LANÇAMENTOS DIÁRIOS'!$G$5:$G$500,"F",'LANÇAMENTOS DIÁRIOS'!$C$5:$C$500,$A50,'LANÇAMENTOS DIÁRIOS'!$O$5:$O$500,"&lt;=112899",'LANÇAMENTOS DIÁRIOS'!$P$5:$P$500,"&gt;=112800")&gt;0,"X","")</f>
      </c>
      <c r="P50" s="56" t="str">
        <f>IF(COUNTIFS('LANÇAMENTOS DIÁRIOS'!$G$5:$G$500,"F",'LANÇAMENTOS DIÁRIOS'!$C$5:$C$500,$A50,'LANÇAMENTOS DIÁRIOS'!$O$5:$O$500,"&lt;=112999",'LANÇAMENTOS DIÁRIOS'!$P$5:$P$500,"&gt;=112900")&gt;0,"X","")</f>
      </c>
      <c r="Q50" s="56" t="str">
        <f>IF(COUNTIFS('LANÇAMENTOS DIÁRIOS'!$G$5:$G$500,"F",'LANÇAMENTOS DIÁRIOS'!$C$5:$C$500,$A50,'LANÇAMENTOS DIÁRIOS'!$O$5:$O$500,"&lt;=113099",'LANÇAMENTOS DIÁRIOS'!$P$5:$P$500,"&gt;=113000")&gt;0,"X","")</f>
      </c>
      <c r="R50" s="56" t="str">
        <f>IF(COUNTIFS('LANÇAMENTOS DIÁRIOS'!$G$5:$G$500,"F",'LANÇAMENTOS DIÁRIOS'!$C$5:$C$500,$A50,'LANÇAMENTOS DIÁRIOS'!$O$5:$O$500,"&lt;=113199",'LANÇAMENTOS DIÁRIOS'!$P$5:$P$500,"&gt;=113100")&gt;0,"X","")</f>
      </c>
      <c r="S50" s="56" t="str">
        <f>IF(COUNTIFS('LANÇAMENTOS DIÁRIOS'!$G$5:$G$500,"F",'LANÇAMENTOS DIÁRIOS'!$C$5:$C$500,$A50,'LANÇAMENTOS DIÁRIOS'!$O$5:$O$500,"&lt;=113299",'LANÇAMENTOS DIÁRIOS'!$P$5:$P$500,"&gt;=113200")&gt;0,"X","")</f>
      </c>
      <c r="T50" s="56" t="str">
        <f>IF(COUNTIFS('LANÇAMENTOS DIÁRIOS'!$G$5:$G$500,"F",'LANÇAMENTOS DIÁRIOS'!$C$5:$C$500,$A50,'LANÇAMENTOS DIÁRIOS'!$O$5:$O$500,"&lt;=113399",'LANÇAMENTOS DIÁRIOS'!$P$5:$P$500,"&gt;=113300")&gt;0,"X","")</f>
      </c>
      <c r="U50" s="56" t="str">
        <f>IF(COUNTIFS('LANÇAMENTOS DIÁRIOS'!$G$5:$G$500,"F",'LANÇAMENTOS DIÁRIOS'!$C$5:$C$500,$A50,'LANÇAMENTOS DIÁRIOS'!$O$5:$O$500,"&lt;=113499",'LANÇAMENTOS DIÁRIOS'!$P$5:$P$500,"&gt;=113400")&gt;0,"X","")</f>
      </c>
      <c r="V50" s="56" t="str">
        <f>IF(COUNTIFS('LANÇAMENTOS DIÁRIOS'!$G$5:$G$500,"F",'LANÇAMENTOS DIÁRIOS'!$C$5:$C$500,$A50,'LANÇAMENTOS DIÁRIOS'!$O$5:$O$500,"&lt;=113599",'LANÇAMENTOS DIÁRIOS'!$P$5:$P$500,"&gt;=113500")&gt;0,"X","")</f>
      </c>
      <c r="W50" s="56" t="str">
        <f>IF(COUNTIFS('LANÇAMENTOS DIÁRIOS'!$G$5:$G$500,"F",'LANÇAMENTOS DIÁRIOS'!$C$5:$C$500,$A50,'LANÇAMENTOS DIÁRIOS'!$O$5:$O$500,"&lt;=113699",'LANÇAMENTOS DIÁRIOS'!$P$5:$P$500,"&gt;=113600")&gt;0,"X","")</f>
      </c>
      <c r="X50" s="56" t="str">
        <f>IF(COUNTIFS('LANÇAMENTOS DIÁRIOS'!$G$5:$G$500,"F",'LANÇAMENTOS DIÁRIOS'!$C$5:$C$500,$A50,'LANÇAMENTOS DIÁRIOS'!$O$5:$O$500,"&lt;=113799",'LANÇAMENTOS DIÁRIOS'!$P$5:$P$500,"&gt;=113700")&gt;0,"X","")</f>
      </c>
      <c r="Y50" s="56" t="str">
        <f>IF(COUNTIFS('LANÇAMENTOS DIÁRIOS'!$G$5:$G$500,"F",'LANÇAMENTOS DIÁRIOS'!$C$5:$C$500,$A50,'LANÇAMENTOS DIÁRIOS'!$O$5:$O$500,"&lt;=113899",'LANÇAMENTOS DIÁRIOS'!$P$5:$P$500,"&gt;=113800")&gt;0,"X","")</f>
      </c>
      <c r="Z50" s="56" t="str">
        <f>IF(COUNTIFS('LANÇAMENTOS DIÁRIOS'!$G$5:$G$500,"F",'LANÇAMENTOS DIÁRIOS'!$C$5:$C$500,$A50,'LANÇAMENTOS DIÁRIOS'!$O$5:$O$500,"&lt;=113999",'LANÇAMENTOS DIÁRIOS'!$P$5:$P$500,"&gt;=113900")&gt;0,"X","")</f>
      </c>
      <c r="AA50" s="56" t="str">
        <f>IF(COUNTIFS('LANÇAMENTOS DIÁRIOS'!$G$5:$G$500,"F",'LANÇAMENTOS DIÁRIOS'!$C$5:$C$500,$A50,'LANÇAMENTOS DIÁRIOS'!$O$5:$O$500,"&lt;=114099",'LANÇAMENTOS DIÁRIOS'!$P$5:$P$500,"&gt;=114000")&gt;0,"X","")</f>
      </c>
      <c r="AB50" s="56" t="str">
        <f>IF(COUNTIFS('LANÇAMENTOS DIÁRIOS'!$G$5:$G$500,"F",'LANÇAMENTOS DIÁRIOS'!$C$5:$C$500,$A50,'LANÇAMENTOS DIÁRIOS'!$O$5:$O$500,"&lt;=114199",'LANÇAMENTOS DIÁRIOS'!$P$5:$P$500,"&gt;=114100")&gt;0,"X","")</f>
      </c>
      <c r="AC50" s="56" t="str">
        <f>IF(COUNTIFS('LANÇAMENTOS DIÁRIOS'!$G$5:$G$500,"F",'LANÇAMENTOS DIÁRIOS'!$C$5:$C$500,$A50,'LANÇAMENTOS DIÁRIOS'!$O$5:$O$500,"&lt;=114299",'LANÇAMENTOS DIÁRIOS'!$P$5:$P$500,"&gt;=114200")&gt;0,"X","")</f>
      </c>
      <c r="AD50" s="56" t="str">
        <f>IF(COUNTIFS('LANÇAMENTOS DIÁRIOS'!$G$5:$G$500,"F",'LANÇAMENTOS DIÁRIOS'!$C$5:$C$500,$A50,'LANÇAMENTOS DIÁRIOS'!$O$5:$O$500,"&lt;=114399",'LANÇAMENTOS DIÁRIOS'!$P$5:$P$500,"&gt;=114300")&gt;0,"X","")</f>
      </c>
      <c r="AE50" s="56" t="str">
        <f>IF(COUNTIFS('LANÇAMENTOS DIÁRIOS'!$G$5:$G$500,"F",'LANÇAMENTOS DIÁRIOS'!$C$5:$C$500,$A50,'LANÇAMENTOS DIÁRIOS'!$O$5:$O$500,"&lt;=114499",'LANÇAMENTOS DIÁRIOS'!$P$5:$P$500,"&gt;=114400")&gt;0,"X","")</f>
      </c>
      <c r="AF50" s="56" t="str">
        <f>IF(COUNTIFS('LANÇAMENTOS DIÁRIOS'!$G$5:$G$500,"F",'LANÇAMENTOS DIÁRIOS'!$C$5:$C$500,$A50,'LANÇAMENTOS DIÁRIOS'!$O$5:$O$500,"&lt;=114599",'LANÇAMENTOS DIÁRIOS'!$P$5:$P$500,"&gt;=114500")&gt;0,"X","")</f>
      </c>
      <c r="AG50" s="56" t="str">
        <f>IF(COUNTIFS('LANÇAMENTOS DIÁRIOS'!$G$5:$G$500,"F",'LANÇAMENTOS DIÁRIOS'!$C$5:$C$500,$A50,'LANÇAMENTOS DIÁRIOS'!$O$5:$O$500,"&lt;=114699",'LANÇAMENTOS DIÁRIOS'!$P$5:$P$500,"&gt;=114600")&gt;0,"X","")</f>
      </c>
      <c r="AH50" s="56" t="str">
        <f>IF(COUNTIFS('LANÇAMENTOS DIÁRIOS'!$G$5:$G$500,"F",'LANÇAMENTOS DIÁRIOS'!$C$5:$C$500,$A50,'LANÇAMENTOS DIÁRIOS'!$O$5:$O$500,"&lt;=114799",'LANÇAMENTOS DIÁRIOS'!$P$5:$P$500,"&gt;=114700")&gt;0,"X","")</f>
      </c>
      <c r="AI50" s="56" t="str">
        <f>IF(COUNTIFS('LANÇAMENTOS DIÁRIOS'!$G$5:$G$500,"F",'LANÇAMENTOS DIÁRIOS'!$C$5:$C$500,$A50,'LANÇAMENTOS DIÁRIOS'!$O$5:$O$500,"&lt;=114899",'LANÇAMENTOS DIÁRIOS'!$P$5:$P$500,"&gt;=114800")&gt;0,"X","")</f>
      </c>
      <c r="AJ50" s="56" t="str">
        <f>IF(COUNTIFS('LANÇAMENTOS DIÁRIOS'!$G$5:$G$500,"F",'LANÇAMENTOS DIÁRIOS'!$C$5:$C$500,$A50,'LANÇAMENTOS DIÁRIOS'!$O$5:$O$500,"&lt;=114999",'LANÇAMENTOS DIÁRIOS'!$P$5:$P$500,"&gt;=114900")&gt;0,"X","")</f>
      </c>
      <c r="AK50" s="56" t="str">
        <f>IF(COUNTIFS('LANÇAMENTOS DIÁRIOS'!$G$5:$G$500,"F",'LANÇAMENTOS DIÁRIOS'!$C$5:$C$500,$A50,'LANÇAMENTOS DIÁRIOS'!$O$5:$O$500,"&lt;=115099",'LANÇAMENTOS DIÁRIOS'!$P$5:$P$500,"&gt;=115000")&gt;0,"X","")</f>
      </c>
      <c r="AL50" s="56" t="str">
        <f>IF(COUNTIFS('LANÇAMENTOS DIÁRIOS'!$G$5:$G$500,"F",'LANÇAMENTOS DIÁRIOS'!$C$5:$C$500,$A50,'LANÇAMENTOS DIÁRIOS'!$O$5:$O$500,"&lt;=115199",'LANÇAMENTOS DIÁRIOS'!$P$5:$P$500,"&gt;=115100")&gt;0,"X","")</f>
      </c>
      <c r="AM50" s="56" t="str">
        <f>IF(COUNTIFS('LANÇAMENTOS DIÁRIOS'!$G$5:$G$500,"F",'LANÇAMENTOS DIÁRIOS'!$C$5:$C$500,$A50,'LANÇAMENTOS DIÁRIOS'!$O$5:$O$500,"&lt;=115299",'LANÇAMENTOS DIÁRIOS'!$P$5:$P$500,"&gt;=115200")&gt;0,"X","")</f>
      </c>
      <c r="AN50" s="56" t="str">
        <f>IF(COUNTIFS('LANÇAMENTOS DIÁRIOS'!$G$5:$G$500,"F",'LANÇAMENTOS DIÁRIOS'!$C$5:$C$500,$A50,'LANÇAMENTOS DIÁRIOS'!$O$5:$O$500,"&lt;=115399",'LANÇAMENTOS DIÁRIOS'!$P$5:$P$500,"&gt;=115300")&gt;0,"X","")</f>
      </c>
      <c r="AO50" s="56" t="str">
        <f>IF(COUNTIFS('LANÇAMENTOS DIÁRIOS'!$G$5:$G$500,"F",'LANÇAMENTOS DIÁRIOS'!$C$5:$C$500,$A50,'LANÇAMENTOS DIÁRIOS'!$O$5:$O$500,"&lt;=115499",'LANÇAMENTOS DIÁRIOS'!$P$5:$P$500,"&gt;=115400")&gt;0,"X","")</f>
      </c>
      <c r="AP50" s="56" t="str">
        <f>IF(COUNTIFS('LANÇAMENTOS DIÁRIOS'!$G$5:$G$500,"F",'LANÇAMENTOS DIÁRIOS'!$C$5:$C$500,$A50,'LANÇAMENTOS DIÁRIOS'!$O$5:$O$500,"&lt;=115599",'LANÇAMENTOS DIÁRIOS'!$P$5:$P$500,"&gt;=115500")&gt;0,"X","")</f>
      </c>
      <c r="AQ50" s="56" t="str">
        <f>IF(COUNTIFS('LANÇAMENTOS DIÁRIOS'!$G$5:$G$500,"F",'LANÇAMENTOS DIÁRIOS'!$C$5:$C$500,$A50,'LANÇAMENTOS DIÁRIOS'!$O$5:$O$500,"&lt;=115699",'LANÇAMENTOS DIÁRIOS'!$P$5:$P$500,"&gt;=115600")&gt;0,"X","")</f>
      </c>
      <c r="AR50" s="56" t="str">
        <f>IF(COUNTIFS('LANÇAMENTOS DIÁRIOS'!$G$5:$G$500,"F",'LANÇAMENTOS DIÁRIOS'!$C$5:$C$500,$A50,'LANÇAMENTOS DIÁRIOS'!$O$5:$O$500,"&lt;=115799",'LANÇAMENTOS DIÁRIOS'!$P$5:$P$500,"&gt;=115700")&gt;0,"X","")</f>
      </c>
      <c r="AS50" s="56" t="str">
        <f>IF(COUNTIFS('LANÇAMENTOS DIÁRIOS'!$G$5:$G$500,"F",'LANÇAMENTOS DIÁRIOS'!$C$5:$C$500,$A50,'LANÇAMENTOS DIÁRIOS'!$O$5:$O$500,"&lt;=115899",'LANÇAMENTOS DIÁRIOS'!$P$5:$P$500,"&gt;=115800")&gt;0,"X","")</f>
      </c>
      <c r="AT50" s="56" t="str">
        <f>IF(COUNTIFS('LANÇAMENTOS DIÁRIOS'!$G$5:$G$500,"F",'LANÇAMENTOS DIÁRIOS'!$C$5:$C$500,$A50,'LANÇAMENTOS DIÁRIOS'!$O$5:$O$500,"&lt;=115999",'LANÇAMENTOS DIÁRIOS'!$P$5:$P$500,"&gt;=115900")&gt;0,"X","")</f>
      </c>
      <c r="AU50" s="56" t="str">
        <f>IF(COUNTIFS('LANÇAMENTOS DIÁRIOS'!$G$5:$G$500,"F",'LANÇAMENTOS DIÁRIOS'!$C$5:$C$500,$A50,'LANÇAMENTOS DIÁRIOS'!$O$5:$O$500,"&lt;=116099",'LANÇAMENTOS DIÁRIOS'!$P$5:$P$500,"&gt;=116000")&gt;0,"X","")</f>
      </c>
      <c r="AV50" s="56" t="str">
        <f>IF(COUNTIFS('LANÇAMENTOS DIÁRIOS'!$G$5:$G$500,"F",'LANÇAMENTOS DIÁRIOS'!$C$5:$C$500,$A50,'LANÇAMENTOS DIÁRIOS'!$O$5:$O$500,"&lt;=116199",'LANÇAMENTOS DIÁRIOS'!$P$5:$P$500,"&gt;=116100")&gt;0,"X","")</f>
      </c>
      <c r="AW50" s="56" t="str">
        <f>IF(COUNTIFS('LANÇAMENTOS DIÁRIOS'!$G$5:$G$500,"F",'LANÇAMENTOS DIÁRIOS'!$C$5:$C$500,$A50,'LANÇAMENTOS DIÁRIOS'!$O$5:$O$500,"&lt;=116299",'LANÇAMENTOS DIÁRIOS'!$P$5:$P$500,"&gt;=116200")&gt;0,"X","")</f>
      </c>
      <c r="AX50" s="56" t="str">
        <f>IF(COUNTIFS('LANÇAMENTOS DIÁRIOS'!$G$5:$G$500,"F",'LANÇAMENTOS DIÁRIOS'!$C$5:$C$500,$A50,'LANÇAMENTOS DIÁRIOS'!$O$5:$O$500,"&lt;=116399",'LANÇAMENTOS DIÁRIOS'!$P$5:$P$500,"&gt;=116300")&gt;0,"X","")</f>
      </c>
      <c r="AY50" s="56" t="str">
        <f>IF(COUNTIFS('LANÇAMENTOS DIÁRIOS'!$G$5:$G$500,"F",'LANÇAMENTOS DIÁRIOS'!$C$5:$C$500,$A50,'LANÇAMENTOS DIÁRIOS'!$O$5:$O$500,"&lt;=116499",'LANÇAMENTOS DIÁRIOS'!$P$5:$P$500,"&gt;=116400")&gt;0,"X","")</f>
      </c>
      <c r="AZ50" s="56" t="str">
        <f>IF(COUNTIFS('LANÇAMENTOS DIÁRIOS'!$G$5:$G$500,"F",'LANÇAMENTOS DIÁRIOS'!$C$5:$C$500,$A50,'LANÇAMENTOS DIÁRIOS'!$O$5:$O$500,"&lt;=116599",'LANÇAMENTOS DIÁRIOS'!$P$5:$P$500,"&gt;=116500")&gt;0,"X","")</f>
      </c>
      <c r="BA50" s="56" t="str">
        <f>IF(COUNTIFS('LANÇAMENTOS DIÁRIOS'!$G$5:$G$500,"F",'LANÇAMENTOS DIÁRIOS'!$C$5:$C$500,$A50,'LANÇAMENTOS DIÁRIOS'!$O$5:$O$500,"&lt;=116699",'LANÇAMENTOS DIÁRIOS'!$P$5:$P$500,"&gt;=116600")&gt;0,"X","")</f>
      </c>
      <c r="BB50" s="56" t="str">
        <f>IF(COUNTIFS('LANÇAMENTOS DIÁRIOS'!$G$5:$G$500,"F",'LANÇAMENTOS DIÁRIOS'!$C$5:$C$500,$A50,'LANÇAMENTOS DIÁRIOS'!$O$5:$O$500,"&lt;=116799",'LANÇAMENTOS DIÁRIOS'!$P$5:$P$500,"&gt;=116700")&gt;0,"X","")</f>
      </c>
      <c r="BC50" s="56" t="str">
        <f>IF(COUNTIFS('LANÇAMENTOS DIÁRIOS'!$G$5:$G$500,"F",'LANÇAMENTOS DIÁRIOS'!$C$5:$C$500,$A50,'LANÇAMENTOS DIÁRIOS'!$O$5:$O$500,"&lt;=116899",'LANÇAMENTOS DIÁRIOS'!$P$5:$P$500,"&gt;=116800")&gt;0,"X","")</f>
      </c>
      <c r="BD50" s="56" t="str">
        <f>IF(COUNTIFS('LANÇAMENTOS DIÁRIOS'!$G$5:$G$500,"F",'LANÇAMENTOS DIÁRIOS'!$C$5:$C$500,$A50,'LANÇAMENTOS DIÁRIOS'!$O$5:$O$500,"&lt;=116999",'LANÇAMENTOS DIÁRIOS'!$P$5:$P$500,"&gt;=116900")&gt;0,"X","")</f>
      </c>
      <c r="BE50" s="56" t="str">
        <f>IF(COUNTIFS('LANÇAMENTOS DIÁRIOS'!$G$5:$G$500,"F",'LANÇAMENTOS DIÁRIOS'!$C$5:$C$500,$A50,'LANÇAMENTOS DIÁRIOS'!$O$5:$O$500,"&lt;=117099",'LANÇAMENTOS DIÁRIOS'!$P$5:$P$500,"&gt;=117000")&gt;0,"X","")</f>
      </c>
      <c r="BF50" s="56" t="str">
        <f>IF(COUNTIFS('LANÇAMENTOS DIÁRIOS'!$G$5:$G$500,"F",'LANÇAMENTOS DIÁRIOS'!$C$5:$C$500,$A50,'LANÇAMENTOS DIÁRIOS'!$O$5:$O$500,"&lt;=117199",'LANÇAMENTOS DIÁRIOS'!$P$5:$P$500,"&gt;=117100")&gt;0,"X","")</f>
      </c>
      <c r="BG50" s="56" t="str">
        <f>IF(COUNTIFS('LANÇAMENTOS DIÁRIOS'!$G$5:$G$500,"F",'LANÇAMENTOS DIÁRIOS'!$C$5:$C$500,$A50,'LANÇAMENTOS DIÁRIOS'!$O$5:$O$500,"&lt;=117219",'LANÇAMENTOS DIÁRIOS'!$P$5:$P$500,"&gt;=117200")&gt;0,"X","")</f>
      </c>
      <c r="BH50" s="56" t="str">
        <f>IF(COUNTIFS('LANÇAMENTOS DIÁRIOS'!$G$5:$G$500,"F",'LANÇAMENTOS DIÁRIOS'!$C$5:$C$500,$A50,'LANÇAMENTOS DIÁRIOS'!$O$5:$O$500,"&lt;=117220",'LANÇAMENTOS DIÁRIOS'!$P$5:$P$500,"&gt;=117220")&gt;0,"X","")</f>
      </c>
    </row>
    <row r="51">
      <c r="A51" s="51" t="str">
        <v>Fundação / reaterro com pedra rachão</v>
      </c>
      <c r="B51" s="56" t="str">
        <f>IF(COUNTIFS('LANÇAMENTOS DIÁRIOS'!$G$5:$G$500,"F",'LANÇAMENTOS DIÁRIOS'!$C$5:$C$500,$A51,'LANÇAMENTOS DIÁRIOS'!$O$5:$O$500,"&lt;=111599",'LANÇAMENTOS DIÁRIOS'!$P$5:$P$500,"&gt;=111500")&gt;0,"X","")</f>
      </c>
      <c r="C51" s="56" t="str">
        <f>IF(COUNTIFS('LANÇAMENTOS DIÁRIOS'!$G$5:$G$500,"F",'LANÇAMENTOS DIÁRIOS'!$C$5:$C$500,$A51,'LANÇAMENTOS DIÁRIOS'!$O$5:$O$500,"&lt;=111699",'LANÇAMENTOS DIÁRIOS'!$P$5:$P$500,"&gt;=111600")&gt;0,"X","")</f>
      </c>
      <c r="D51" s="56" t="str">
        <f>IF(COUNTIFS('LANÇAMENTOS DIÁRIOS'!$G$5:$G$500,"F",'LANÇAMENTOS DIÁRIOS'!$C$5:$C$500,$A51,'LANÇAMENTOS DIÁRIOS'!$O$5:$O$500,"&lt;=111799",'LANÇAMENTOS DIÁRIOS'!$P$5:$P$500,"&gt;=111700")&gt;0,"X","")</f>
      </c>
      <c r="E51" s="56" t="str">
        <f>IF(COUNTIFS('LANÇAMENTOS DIÁRIOS'!$G$5:$G$500,"F",'LANÇAMENTOS DIÁRIOS'!$C$5:$C$500,$A51,'LANÇAMENTOS DIÁRIOS'!$O$5:$O$500,"&lt;=111899",'LANÇAMENTOS DIÁRIOS'!$P$5:$P$500,"&gt;=111800")&gt;0,"X","")</f>
      </c>
      <c r="F51" s="56" t="str">
        <f>IF(COUNTIFS('LANÇAMENTOS DIÁRIOS'!$G$5:$G$500,"F",'LANÇAMENTOS DIÁRIOS'!$C$5:$C$500,$A51,'LANÇAMENTOS DIÁRIOS'!$O$5:$O$500,"&lt;=111999",'LANÇAMENTOS DIÁRIOS'!$P$5:$P$500,"&gt;=111900")&gt;0,"X","")</f>
      </c>
      <c r="G51" s="56" t="str">
        <f>IF(COUNTIFS('LANÇAMENTOS DIÁRIOS'!$G$5:$G$500,"F",'LANÇAMENTOS DIÁRIOS'!$C$5:$C$500,$A51,'LANÇAMENTOS DIÁRIOS'!$O$5:$O$500,"&lt;=112099",'LANÇAMENTOS DIÁRIOS'!$P$5:$P$500,"&gt;=112000")&gt;0,"X","")</f>
      </c>
      <c r="H51" s="56" t="str">
        <f>IF(COUNTIFS('LANÇAMENTOS DIÁRIOS'!$G$5:$G$500,"F",'LANÇAMENTOS DIÁRIOS'!$C$5:$C$500,$A51,'LANÇAMENTOS DIÁRIOS'!$O$5:$O$500,"&lt;=112199",'LANÇAMENTOS DIÁRIOS'!$P$5:$P$500,"&gt;=112100")&gt;0,"X","")</f>
      </c>
      <c r="I51" s="56" t="str">
        <f>IF(COUNTIFS('LANÇAMENTOS DIÁRIOS'!$G$5:$G$500,"F",'LANÇAMENTOS DIÁRIOS'!$C$5:$C$500,$A51,'LANÇAMENTOS DIÁRIOS'!$O$5:$O$500,"&lt;=112299",'LANÇAMENTOS DIÁRIOS'!$P$5:$P$500,"&gt;=112200")&gt;0,"X","")</f>
      </c>
      <c r="J51" s="56" t="str">
        <f>IF(COUNTIFS('LANÇAMENTOS DIÁRIOS'!$G$5:$G$500,"F",'LANÇAMENTOS DIÁRIOS'!$C$5:$C$500,$A51,'LANÇAMENTOS DIÁRIOS'!$O$5:$O$500,"&lt;=112399",'LANÇAMENTOS DIÁRIOS'!$P$5:$P$500,"&gt;=112300")&gt;0,"X","")</f>
      </c>
      <c r="K51" s="56" t="str">
        <f>IF(COUNTIFS('LANÇAMENTOS DIÁRIOS'!$G$5:$G$500,"F",'LANÇAMENTOS DIÁRIOS'!$C$5:$C$500,$A51,'LANÇAMENTOS DIÁRIOS'!$O$5:$O$500,"&lt;=112499",'LANÇAMENTOS DIÁRIOS'!$P$5:$P$500,"&gt;=112400")&gt;0,"X","")</f>
      </c>
      <c r="L51" s="56" t="str">
        <f>IF(COUNTIFS('LANÇAMENTOS DIÁRIOS'!$G$5:$G$500,"F",'LANÇAMENTOS DIÁRIOS'!$C$5:$C$500,$A51,'LANÇAMENTOS DIÁRIOS'!$O$5:$O$500,"&lt;=112599",'LANÇAMENTOS DIÁRIOS'!$P$5:$P$500,"&gt;=112500")&gt;0,"X","")</f>
      </c>
      <c r="M51" s="56" t="str">
        <f>IF(COUNTIFS('LANÇAMENTOS DIÁRIOS'!$G$5:$G$500,"F",'LANÇAMENTOS DIÁRIOS'!$C$5:$C$500,$A51,'LANÇAMENTOS DIÁRIOS'!$O$5:$O$500,"&lt;=112699",'LANÇAMENTOS DIÁRIOS'!$P$5:$P$500,"&gt;=112600")&gt;0,"X","")</f>
      </c>
      <c r="N51" s="56" t="str">
        <f>IF(COUNTIFS('LANÇAMENTOS DIÁRIOS'!$G$5:$G$500,"F",'LANÇAMENTOS DIÁRIOS'!$C$5:$C$500,$A51,'LANÇAMENTOS DIÁRIOS'!$O$5:$O$500,"&lt;=112799",'LANÇAMENTOS DIÁRIOS'!$P$5:$P$500,"&gt;=112700")&gt;0,"X","")</f>
      </c>
      <c r="O51" s="56" t="str">
        <f>IF(COUNTIFS('LANÇAMENTOS DIÁRIOS'!$G$5:$G$500,"F",'LANÇAMENTOS DIÁRIOS'!$C$5:$C$500,$A51,'LANÇAMENTOS DIÁRIOS'!$O$5:$O$500,"&lt;=112899",'LANÇAMENTOS DIÁRIOS'!$P$5:$P$500,"&gt;=112800")&gt;0,"X","")</f>
      </c>
      <c r="P51" s="56" t="str">
        <f>IF(COUNTIFS('LANÇAMENTOS DIÁRIOS'!$G$5:$G$500,"F",'LANÇAMENTOS DIÁRIOS'!$C$5:$C$500,$A51,'LANÇAMENTOS DIÁRIOS'!$O$5:$O$500,"&lt;=112999",'LANÇAMENTOS DIÁRIOS'!$P$5:$P$500,"&gt;=112900")&gt;0,"X","")</f>
      </c>
      <c r="Q51" s="56" t="str">
        <f>IF(COUNTIFS('LANÇAMENTOS DIÁRIOS'!$G$5:$G$500,"F",'LANÇAMENTOS DIÁRIOS'!$C$5:$C$500,$A51,'LANÇAMENTOS DIÁRIOS'!$O$5:$O$500,"&lt;=113099",'LANÇAMENTOS DIÁRIOS'!$P$5:$P$500,"&gt;=113000")&gt;0,"X","")</f>
      </c>
      <c r="R51" s="56" t="str">
        <f>IF(COUNTIFS('LANÇAMENTOS DIÁRIOS'!$G$5:$G$500,"F",'LANÇAMENTOS DIÁRIOS'!$C$5:$C$500,$A51,'LANÇAMENTOS DIÁRIOS'!$O$5:$O$500,"&lt;=113199",'LANÇAMENTOS DIÁRIOS'!$P$5:$P$500,"&gt;=113100")&gt;0,"X","")</f>
      </c>
      <c r="S51" s="56" t="str">
        <f>IF(COUNTIFS('LANÇAMENTOS DIÁRIOS'!$G$5:$G$500,"F",'LANÇAMENTOS DIÁRIOS'!$C$5:$C$500,$A51,'LANÇAMENTOS DIÁRIOS'!$O$5:$O$500,"&lt;=113299",'LANÇAMENTOS DIÁRIOS'!$P$5:$P$500,"&gt;=113200")&gt;0,"X","")</f>
      </c>
      <c r="T51" s="56" t="str">
        <f>IF(COUNTIFS('LANÇAMENTOS DIÁRIOS'!$G$5:$G$500,"F",'LANÇAMENTOS DIÁRIOS'!$C$5:$C$500,$A51,'LANÇAMENTOS DIÁRIOS'!$O$5:$O$500,"&lt;=113399",'LANÇAMENTOS DIÁRIOS'!$P$5:$P$500,"&gt;=113300")&gt;0,"X","")</f>
      </c>
      <c r="U51" s="56" t="str">
        <f>IF(COUNTIFS('LANÇAMENTOS DIÁRIOS'!$G$5:$G$500,"F",'LANÇAMENTOS DIÁRIOS'!$C$5:$C$500,$A51,'LANÇAMENTOS DIÁRIOS'!$O$5:$O$500,"&lt;=113499",'LANÇAMENTOS DIÁRIOS'!$P$5:$P$500,"&gt;=113400")&gt;0,"X","")</f>
      </c>
      <c r="V51" s="56" t="str">
        <f>IF(COUNTIFS('LANÇAMENTOS DIÁRIOS'!$G$5:$G$500,"F",'LANÇAMENTOS DIÁRIOS'!$C$5:$C$500,$A51,'LANÇAMENTOS DIÁRIOS'!$O$5:$O$500,"&lt;=113599",'LANÇAMENTOS DIÁRIOS'!$P$5:$P$500,"&gt;=113500")&gt;0,"X","")</f>
      </c>
      <c r="W51" s="56" t="str">
        <f>IF(COUNTIFS('LANÇAMENTOS DIÁRIOS'!$G$5:$G$500,"F",'LANÇAMENTOS DIÁRIOS'!$C$5:$C$500,$A51,'LANÇAMENTOS DIÁRIOS'!$O$5:$O$500,"&lt;=113699",'LANÇAMENTOS DIÁRIOS'!$P$5:$P$500,"&gt;=113600")&gt;0,"X","")</f>
      </c>
      <c r="X51" s="56" t="str">
        <f>IF(COUNTIFS('LANÇAMENTOS DIÁRIOS'!$G$5:$G$500,"F",'LANÇAMENTOS DIÁRIOS'!$C$5:$C$500,$A51,'LANÇAMENTOS DIÁRIOS'!$O$5:$O$500,"&lt;=113799",'LANÇAMENTOS DIÁRIOS'!$P$5:$P$500,"&gt;=113700")&gt;0,"X","")</f>
      </c>
      <c r="Y51" s="56" t="str">
        <f>IF(COUNTIFS('LANÇAMENTOS DIÁRIOS'!$G$5:$G$500,"F",'LANÇAMENTOS DIÁRIOS'!$C$5:$C$500,$A51,'LANÇAMENTOS DIÁRIOS'!$O$5:$O$500,"&lt;=113899",'LANÇAMENTOS DIÁRIOS'!$P$5:$P$500,"&gt;=113800")&gt;0,"X","")</f>
      </c>
      <c r="Z51" s="56" t="str">
        <f>IF(COUNTIFS('LANÇAMENTOS DIÁRIOS'!$G$5:$G$500,"F",'LANÇAMENTOS DIÁRIOS'!$C$5:$C$500,$A51,'LANÇAMENTOS DIÁRIOS'!$O$5:$O$500,"&lt;=113999",'LANÇAMENTOS DIÁRIOS'!$P$5:$P$500,"&gt;=113900")&gt;0,"X","")</f>
      </c>
      <c r="AA51" s="56" t="str">
        <f>IF(COUNTIFS('LANÇAMENTOS DIÁRIOS'!$G$5:$G$500,"F",'LANÇAMENTOS DIÁRIOS'!$C$5:$C$500,$A51,'LANÇAMENTOS DIÁRIOS'!$O$5:$O$500,"&lt;=114099",'LANÇAMENTOS DIÁRIOS'!$P$5:$P$500,"&gt;=114000")&gt;0,"X","")</f>
      </c>
      <c r="AB51" s="56" t="str">
        <f>IF(COUNTIFS('LANÇAMENTOS DIÁRIOS'!$G$5:$G$500,"F",'LANÇAMENTOS DIÁRIOS'!$C$5:$C$500,$A51,'LANÇAMENTOS DIÁRIOS'!$O$5:$O$500,"&lt;=114199",'LANÇAMENTOS DIÁRIOS'!$P$5:$P$500,"&gt;=114100")&gt;0,"X","")</f>
      </c>
      <c r="AC51" s="56" t="str">
        <f>IF(COUNTIFS('LANÇAMENTOS DIÁRIOS'!$G$5:$G$500,"F",'LANÇAMENTOS DIÁRIOS'!$C$5:$C$500,$A51,'LANÇAMENTOS DIÁRIOS'!$O$5:$O$500,"&lt;=114299",'LANÇAMENTOS DIÁRIOS'!$P$5:$P$500,"&gt;=114200")&gt;0,"X","")</f>
      </c>
      <c r="AD51" s="56" t="str">
        <f>IF(COUNTIFS('LANÇAMENTOS DIÁRIOS'!$G$5:$G$500,"F",'LANÇAMENTOS DIÁRIOS'!$C$5:$C$500,$A51,'LANÇAMENTOS DIÁRIOS'!$O$5:$O$500,"&lt;=114399",'LANÇAMENTOS DIÁRIOS'!$P$5:$P$500,"&gt;=114300")&gt;0,"X","")</f>
      </c>
      <c r="AE51" s="56" t="str">
        <f>IF(COUNTIFS('LANÇAMENTOS DIÁRIOS'!$G$5:$G$500,"F",'LANÇAMENTOS DIÁRIOS'!$C$5:$C$500,$A51,'LANÇAMENTOS DIÁRIOS'!$O$5:$O$500,"&lt;=114499",'LANÇAMENTOS DIÁRIOS'!$P$5:$P$500,"&gt;=114400")&gt;0,"X","")</f>
      </c>
      <c r="AF51" s="56" t="str">
        <f>IF(COUNTIFS('LANÇAMENTOS DIÁRIOS'!$G$5:$G$500,"F",'LANÇAMENTOS DIÁRIOS'!$C$5:$C$500,$A51,'LANÇAMENTOS DIÁRIOS'!$O$5:$O$500,"&lt;=114599",'LANÇAMENTOS DIÁRIOS'!$P$5:$P$500,"&gt;=114500")&gt;0,"X","")</f>
      </c>
      <c r="AG51" s="56" t="str">
        <f>IF(COUNTIFS('LANÇAMENTOS DIÁRIOS'!$G$5:$G$500,"F",'LANÇAMENTOS DIÁRIOS'!$C$5:$C$500,$A51,'LANÇAMENTOS DIÁRIOS'!$O$5:$O$500,"&lt;=114699",'LANÇAMENTOS DIÁRIOS'!$P$5:$P$500,"&gt;=114600")&gt;0,"X","")</f>
      </c>
      <c r="AH51" s="56" t="str">
        <f>IF(COUNTIFS('LANÇAMENTOS DIÁRIOS'!$G$5:$G$500,"F",'LANÇAMENTOS DIÁRIOS'!$C$5:$C$500,$A51,'LANÇAMENTOS DIÁRIOS'!$O$5:$O$500,"&lt;=114799",'LANÇAMENTOS DIÁRIOS'!$P$5:$P$500,"&gt;=114700")&gt;0,"X","")</f>
      </c>
      <c r="AI51" s="56" t="str">
        <f>IF(COUNTIFS('LANÇAMENTOS DIÁRIOS'!$G$5:$G$500,"F",'LANÇAMENTOS DIÁRIOS'!$C$5:$C$500,$A51,'LANÇAMENTOS DIÁRIOS'!$O$5:$O$500,"&lt;=114899",'LANÇAMENTOS DIÁRIOS'!$P$5:$P$500,"&gt;=114800")&gt;0,"X","")</f>
      </c>
      <c r="AJ51" s="56" t="str">
        <f>IF(COUNTIFS('LANÇAMENTOS DIÁRIOS'!$G$5:$G$500,"F",'LANÇAMENTOS DIÁRIOS'!$C$5:$C$500,$A51,'LANÇAMENTOS DIÁRIOS'!$O$5:$O$500,"&lt;=114999",'LANÇAMENTOS DIÁRIOS'!$P$5:$P$500,"&gt;=114900")&gt;0,"X","")</f>
      </c>
      <c r="AK51" s="56" t="str">
        <f>IF(COUNTIFS('LANÇAMENTOS DIÁRIOS'!$G$5:$G$500,"F",'LANÇAMENTOS DIÁRIOS'!$C$5:$C$500,$A51,'LANÇAMENTOS DIÁRIOS'!$O$5:$O$500,"&lt;=115099",'LANÇAMENTOS DIÁRIOS'!$P$5:$P$500,"&gt;=115000")&gt;0,"X","")</f>
      </c>
      <c r="AL51" s="56" t="str">
        <f>IF(COUNTIFS('LANÇAMENTOS DIÁRIOS'!$G$5:$G$500,"F",'LANÇAMENTOS DIÁRIOS'!$C$5:$C$500,$A51,'LANÇAMENTOS DIÁRIOS'!$O$5:$O$500,"&lt;=115199",'LANÇAMENTOS DIÁRIOS'!$P$5:$P$500,"&gt;=115100")&gt;0,"X","")</f>
      </c>
      <c r="AM51" s="56" t="str">
        <f>IF(COUNTIFS('LANÇAMENTOS DIÁRIOS'!$G$5:$G$500,"F",'LANÇAMENTOS DIÁRIOS'!$C$5:$C$500,$A51,'LANÇAMENTOS DIÁRIOS'!$O$5:$O$500,"&lt;=115299",'LANÇAMENTOS DIÁRIOS'!$P$5:$P$500,"&gt;=115200")&gt;0,"X","")</f>
      </c>
      <c r="AN51" s="56" t="str">
        <f>IF(COUNTIFS('LANÇAMENTOS DIÁRIOS'!$G$5:$G$500,"F",'LANÇAMENTOS DIÁRIOS'!$C$5:$C$500,$A51,'LANÇAMENTOS DIÁRIOS'!$O$5:$O$500,"&lt;=115399",'LANÇAMENTOS DIÁRIOS'!$P$5:$P$500,"&gt;=115300")&gt;0,"X","")</f>
      </c>
      <c r="AO51" s="56" t="str">
        <f>IF(COUNTIFS('LANÇAMENTOS DIÁRIOS'!$G$5:$G$500,"F",'LANÇAMENTOS DIÁRIOS'!$C$5:$C$500,$A51,'LANÇAMENTOS DIÁRIOS'!$O$5:$O$500,"&lt;=115499",'LANÇAMENTOS DIÁRIOS'!$P$5:$P$500,"&gt;=115400")&gt;0,"X","")</f>
      </c>
      <c r="AP51" s="56" t="str">
        <f>IF(COUNTIFS('LANÇAMENTOS DIÁRIOS'!$G$5:$G$500,"F",'LANÇAMENTOS DIÁRIOS'!$C$5:$C$500,$A51,'LANÇAMENTOS DIÁRIOS'!$O$5:$O$500,"&lt;=115599",'LANÇAMENTOS DIÁRIOS'!$P$5:$P$500,"&gt;=115500")&gt;0,"X","")</f>
      </c>
      <c r="AQ51" s="56" t="str">
        <f>IF(COUNTIFS('LANÇAMENTOS DIÁRIOS'!$G$5:$G$500,"F",'LANÇAMENTOS DIÁRIOS'!$C$5:$C$500,$A51,'LANÇAMENTOS DIÁRIOS'!$O$5:$O$500,"&lt;=115699",'LANÇAMENTOS DIÁRIOS'!$P$5:$P$500,"&gt;=115600")&gt;0,"X","")</f>
      </c>
      <c r="AR51" s="56" t="str">
        <f>IF(COUNTIFS('LANÇAMENTOS DIÁRIOS'!$G$5:$G$500,"F",'LANÇAMENTOS DIÁRIOS'!$C$5:$C$500,$A51,'LANÇAMENTOS DIÁRIOS'!$O$5:$O$500,"&lt;=115799",'LANÇAMENTOS DIÁRIOS'!$P$5:$P$500,"&gt;=115700")&gt;0,"X","")</f>
      </c>
      <c r="AS51" s="56" t="str">
        <f>IF(COUNTIFS('LANÇAMENTOS DIÁRIOS'!$G$5:$G$500,"F",'LANÇAMENTOS DIÁRIOS'!$C$5:$C$500,$A51,'LANÇAMENTOS DIÁRIOS'!$O$5:$O$500,"&lt;=115899",'LANÇAMENTOS DIÁRIOS'!$P$5:$P$500,"&gt;=115800")&gt;0,"X","")</f>
      </c>
      <c r="AT51" s="56" t="str">
        <f>IF(COUNTIFS('LANÇAMENTOS DIÁRIOS'!$G$5:$G$500,"F",'LANÇAMENTOS DIÁRIOS'!$C$5:$C$500,$A51,'LANÇAMENTOS DIÁRIOS'!$O$5:$O$500,"&lt;=115999",'LANÇAMENTOS DIÁRIOS'!$P$5:$P$500,"&gt;=115900")&gt;0,"X","")</f>
      </c>
      <c r="AU51" s="56" t="str">
        <f>IF(COUNTIFS('LANÇAMENTOS DIÁRIOS'!$G$5:$G$500,"F",'LANÇAMENTOS DIÁRIOS'!$C$5:$C$500,$A51,'LANÇAMENTOS DIÁRIOS'!$O$5:$O$500,"&lt;=116099",'LANÇAMENTOS DIÁRIOS'!$P$5:$P$500,"&gt;=116000")&gt;0,"X","")</f>
      </c>
      <c r="AV51" s="56" t="str">
        <f>IF(COUNTIFS('LANÇAMENTOS DIÁRIOS'!$G$5:$G$500,"F",'LANÇAMENTOS DIÁRIOS'!$C$5:$C$500,$A51,'LANÇAMENTOS DIÁRIOS'!$O$5:$O$500,"&lt;=116199",'LANÇAMENTOS DIÁRIOS'!$P$5:$P$500,"&gt;=116100")&gt;0,"X","")</f>
      </c>
      <c r="AW51" s="56" t="str">
        <f>IF(COUNTIFS('LANÇAMENTOS DIÁRIOS'!$G$5:$G$500,"F",'LANÇAMENTOS DIÁRIOS'!$C$5:$C$500,$A51,'LANÇAMENTOS DIÁRIOS'!$O$5:$O$500,"&lt;=116299",'LANÇAMENTOS DIÁRIOS'!$P$5:$P$500,"&gt;=116200")&gt;0,"X","")</f>
      </c>
      <c r="AX51" s="56" t="str">
        <f>IF(COUNTIFS('LANÇAMENTOS DIÁRIOS'!$G$5:$G$500,"F",'LANÇAMENTOS DIÁRIOS'!$C$5:$C$500,$A51,'LANÇAMENTOS DIÁRIOS'!$O$5:$O$500,"&lt;=116399",'LANÇAMENTOS DIÁRIOS'!$P$5:$P$500,"&gt;=116300")&gt;0,"X","")</f>
      </c>
      <c r="AY51" s="56" t="str">
        <f>IF(COUNTIFS('LANÇAMENTOS DIÁRIOS'!$G$5:$G$500,"F",'LANÇAMENTOS DIÁRIOS'!$C$5:$C$500,$A51,'LANÇAMENTOS DIÁRIOS'!$O$5:$O$500,"&lt;=116499",'LANÇAMENTOS DIÁRIOS'!$P$5:$P$500,"&gt;=116400")&gt;0,"X","")</f>
      </c>
      <c r="AZ51" s="56" t="str">
        <f>IF(COUNTIFS('LANÇAMENTOS DIÁRIOS'!$G$5:$G$500,"F",'LANÇAMENTOS DIÁRIOS'!$C$5:$C$500,$A51,'LANÇAMENTOS DIÁRIOS'!$O$5:$O$500,"&lt;=116599",'LANÇAMENTOS DIÁRIOS'!$P$5:$P$500,"&gt;=116500")&gt;0,"X","")</f>
      </c>
      <c r="BA51" s="56" t="str">
        <f>IF(COUNTIFS('LANÇAMENTOS DIÁRIOS'!$G$5:$G$500,"F",'LANÇAMENTOS DIÁRIOS'!$C$5:$C$500,$A51,'LANÇAMENTOS DIÁRIOS'!$O$5:$O$500,"&lt;=116699",'LANÇAMENTOS DIÁRIOS'!$P$5:$P$500,"&gt;=116600")&gt;0,"X","")</f>
      </c>
      <c r="BB51" s="56" t="str">
        <f>IF(COUNTIFS('LANÇAMENTOS DIÁRIOS'!$G$5:$G$500,"F",'LANÇAMENTOS DIÁRIOS'!$C$5:$C$500,$A51,'LANÇAMENTOS DIÁRIOS'!$O$5:$O$500,"&lt;=116799",'LANÇAMENTOS DIÁRIOS'!$P$5:$P$500,"&gt;=116700")&gt;0,"X","")</f>
      </c>
      <c r="BC51" s="56" t="str">
        <f>IF(COUNTIFS('LANÇAMENTOS DIÁRIOS'!$G$5:$G$500,"F",'LANÇAMENTOS DIÁRIOS'!$C$5:$C$500,$A51,'LANÇAMENTOS DIÁRIOS'!$O$5:$O$500,"&lt;=116899",'LANÇAMENTOS DIÁRIOS'!$P$5:$P$500,"&gt;=116800")&gt;0,"X","")</f>
      </c>
      <c r="BD51" s="56" t="str">
        <f>IF(COUNTIFS('LANÇAMENTOS DIÁRIOS'!$G$5:$G$500,"F",'LANÇAMENTOS DIÁRIOS'!$C$5:$C$500,$A51,'LANÇAMENTOS DIÁRIOS'!$O$5:$O$500,"&lt;=116999",'LANÇAMENTOS DIÁRIOS'!$P$5:$P$500,"&gt;=116900")&gt;0,"X","")</f>
      </c>
      <c r="BE51" s="56" t="str">
        <f>IF(COUNTIFS('LANÇAMENTOS DIÁRIOS'!$G$5:$G$500,"F",'LANÇAMENTOS DIÁRIOS'!$C$5:$C$500,$A51,'LANÇAMENTOS DIÁRIOS'!$O$5:$O$500,"&lt;=117099",'LANÇAMENTOS DIÁRIOS'!$P$5:$P$500,"&gt;=117000")&gt;0,"X","")</f>
      </c>
      <c r="BF51" s="56" t="str">
        <f>IF(COUNTIFS('LANÇAMENTOS DIÁRIOS'!$G$5:$G$500,"F",'LANÇAMENTOS DIÁRIOS'!$C$5:$C$500,$A51,'LANÇAMENTOS DIÁRIOS'!$O$5:$O$500,"&lt;=117199",'LANÇAMENTOS DIÁRIOS'!$P$5:$P$500,"&gt;=117100")&gt;0,"X","")</f>
      </c>
      <c r="BG51" s="56" t="str">
        <f>IF(COUNTIFS('LANÇAMENTOS DIÁRIOS'!$G$5:$G$500,"F",'LANÇAMENTOS DIÁRIOS'!$C$5:$C$500,$A51,'LANÇAMENTOS DIÁRIOS'!$O$5:$O$500,"&lt;=117219",'LANÇAMENTOS DIÁRIOS'!$P$5:$P$500,"&gt;=117200")&gt;0,"X","")</f>
      </c>
      <c r="BH51" s="56" t="str">
        <f>IF(COUNTIFS('LANÇAMENTOS DIÁRIOS'!$G$5:$G$500,"F",'LANÇAMENTOS DIÁRIOS'!$C$5:$C$500,$A51,'LANÇAMENTOS DIÁRIOS'!$O$5:$O$500,"&lt;=117220",'LANÇAMENTOS DIÁRIOS'!$P$5:$P$500,"&gt;=117220")&gt;0,"X","")</f>
      </c>
    </row>
    <row r="52">
      <c r="A52" s="51" t="str">
        <v>Fundação / reaterro com areia média a grossa</v>
      </c>
      <c r="B52" s="56" t="str">
        <f>IF(COUNTIFS('LANÇAMENTOS DIÁRIOS'!$G$5:$G$500,"F",'LANÇAMENTOS DIÁRIOS'!$C$5:$C$500,$A52,'LANÇAMENTOS DIÁRIOS'!$O$5:$O$500,"&lt;=111599",'LANÇAMENTOS DIÁRIOS'!$P$5:$P$500,"&gt;=111500")&gt;0,"X","")</f>
      </c>
      <c r="C52" s="56" t="str">
        <f>IF(COUNTIFS('LANÇAMENTOS DIÁRIOS'!$G$5:$G$500,"F",'LANÇAMENTOS DIÁRIOS'!$C$5:$C$500,$A52,'LANÇAMENTOS DIÁRIOS'!$O$5:$O$500,"&lt;=111699",'LANÇAMENTOS DIÁRIOS'!$P$5:$P$500,"&gt;=111600")&gt;0,"X","")</f>
      </c>
      <c r="D52" s="56" t="str">
        <f>IF(COUNTIFS('LANÇAMENTOS DIÁRIOS'!$G$5:$G$500,"F",'LANÇAMENTOS DIÁRIOS'!$C$5:$C$500,$A52,'LANÇAMENTOS DIÁRIOS'!$O$5:$O$500,"&lt;=111799",'LANÇAMENTOS DIÁRIOS'!$P$5:$P$500,"&gt;=111700")&gt;0,"X","")</f>
      </c>
      <c r="E52" s="56" t="str">
        <f>IF(COUNTIFS('LANÇAMENTOS DIÁRIOS'!$G$5:$G$500,"F",'LANÇAMENTOS DIÁRIOS'!$C$5:$C$500,$A52,'LANÇAMENTOS DIÁRIOS'!$O$5:$O$500,"&lt;=111899",'LANÇAMENTOS DIÁRIOS'!$P$5:$P$500,"&gt;=111800")&gt;0,"X","")</f>
      </c>
      <c r="F52" s="56" t="str">
        <f>IF(COUNTIFS('LANÇAMENTOS DIÁRIOS'!$G$5:$G$500,"F",'LANÇAMENTOS DIÁRIOS'!$C$5:$C$500,$A52,'LANÇAMENTOS DIÁRIOS'!$O$5:$O$500,"&lt;=111999",'LANÇAMENTOS DIÁRIOS'!$P$5:$P$500,"&gt;=111900")&gt;0,"X","")</f>
      </c>
      <c r="G52" s="56" t="str">
        <f>IF(COUNTIFS('LANÇAMENTOS DIÁRIOS'!$G$5:$G$500,"F",'LANÇAMENTOS DIÁRIOS'!$C$5:$C$500,$A52,'LANÇAMENTOS DIÁRIOS'!$O$5:$O$500,"&lt;=112099",'LANÇAMENTOS DIÁRIOS'!$P$5:$P$500,"&gt;=112000")&gt;0,"X","")</f>
      </c>
      <c r="H52" s="56" t="str">
        <f>IF(COUNTIFS('LANÇAMENTOS DIÁRIOS'!$G$5:$G$500,"F",'LANÇAMENTOS DIÁRIOS'!$C$5:$C$500,$A52,'LANÇAMENTOS DIÁRIOS'!$O$5:$O$500,"&lt;=112199",'LANÇAMENTOS DIÁRIOS'!$P$5:$P$500,"&gt;=112100")&gt;0,"X","")</f>
      </c>
      <c r="I52" s="56" t="str">
        <f>IF(COUNTIFS('LANÇAMENTOS DIÁRIOS'!$G$5:$G$500,"F",'LANÇAMENTOS DIÁRIOS'!$C$5:$C$500,$A52,'LANÇAMENTOS DIÁRIOS'!$O$5:$O$500,"&lt;=112299",'LANÇAMENTOS DIÁRIOS'!$P$5:$P$500,"&gt;=112200")&gt;0,"X","")</f>
      </c>
      <c r="J52" s="56" t="str">
        <f>IF(COUNTIFS('LANÇAMENTOS DIÁRIOS'!$G$5:$G$500,"F",'LANÇAMENTOS DIÁRIOS'!$C$5:$C$500,$A52,'LANÇAMENTOS DIÁRIOS'!$O$5:$O$500,"&lt;=112399",'LANÇAMENTOS DIÁRIOS'!$P$5:$P$500,"&gt;=112300")&gt;0,"X","")</f>
      </c>
      <c r="K52" s="56" t="str">
        <f>IF(COUNTIFS('LANÇAMENTOS DIÁRIOS'!$G$5:$G$500,"F",'LANÇAMENTOS DIÁRIOS'!$C$5:$C$500,$A52,'LANÇAMENTOS DIÁRIOS'!$O$5:$O$500,"&lt;=112499",'LANÇAMENTOS DIÁRIOS'!$P$5:$P$500,"&gt;=112400")&gt;0,"X","")</f>
      </c>
      <c r="L52" s="56" t="str">
        <f>IF(COUNTIFS('LANÇAMENTOS DIÁRIOS'!$G$5:$G$500,"F",'LANÇAMENTOS DIÁRIOS'!$C$5:$C$500,$A52,'LANÇAMENTOS DIÁRIOS'!$O$5:$O$500,"&lt;=112599",'LANÇAMENTOS DIÁRIOS'!$P$5:$P$500,"&gt;=112500")&gt;0,"X","")</f>
      </c>
      <c r="M52" s="56" t="str">
        <f>IF(COUNTIFS('LANÇAMENTOS DIÁRIOS'!$G$5:$G$500,"F",'LANÇAMENTOS DIÁRIOS'!$C$5:$C$500,$A52,'LANÇAMENTOS DIÁRIOS'!$O$5:$O$500,"&lt;=112699",'LANÇAMENTOS DIÁRIOS'!$P$5:$P$500,"&gt;=112600")&gt;0,"X","")</f>
      </c>
      <c r="N52" s="56" t="str">
        <f>IF(COUNTIFS('LANÇAMENTOS DIÁRIOS'!$G$5:$G$500,"F",'LANÇAMENTOS DIÁRIOS'!$C$5:$C$500,$A52,'LANÇAMENTOS DIÁRIOS'!$O$5:$O$500,"&lt;=112799",'LANÇAMENTOS DIÁRIOS'!$P$5:$P$500,"&gt;=112700")&gt;0,"X","")</f>
      </c>
      <c r="O52" s="56" t="str">
        <f>IF(COUNTIFS('LANÇAMENTOS DIÁRIOS'!$G$5:$G$500,"F",'LANÇAMENTOS DIÁRIOS'!$C$5:$C$500,$A52,'LANÇAMENTOS DIÁRIOS'!$O$5:$O$500,"&lt;=112899",'LANÇAMENTOS DIÁRIOS'!$P$5:$P$500,"&gt;=112800")&gt;0,"X","")</f>
      </c>
      <c r="P52" s="56" t="str">
        <f>IF(COUNTIFS('LANÇAMENTOS DIÁRIOS'!$G$5:$G$500,"F",'LANÇAMENTOS DIÁRIOS'!$C$5:$C$500,$A52,'LANÇAMENTOS DIÁRIOS'!$O$5:$O$500,"&lt;=112999",'LANÇAMENTOS DIÁRIOS'!$P$5:$P$500,"&gt;=112900")&gt;0,"X","")</f>
      </c>
      <c r="Q52" s="56" t="str">
        <f>IF(COUNTIFS('LANÇAMENTOS DIÁRIOS'!$G$5:$G$500,"F",'LANÇAMENTOS DIÁRIOS'!$C$5:$C$500,$A52,'LANÇAMENTOS DIÁRIOS'!$O$5:$O$500,"&lt;=113099",'LANÇAMENTOS DIÁRIOS'!$P$5:$P$500,"&gt;=113000")&gt;0,"X","")</f>
      </c>
      <c r="R52" s="56" t="str">
        <f>IF(COUNTIFS('LANÇAMENTOS DIÁRIOS'!$G$5:$G$500,"F",'LANÇAMENTOS DIÁRIOS'!$C$5:$C$500,$A52,'LANÇAMENTOS DIÁRIOS'!$O$5:$O$500,"&lt;=113199",'LANÇAMENTOS DIÁRIOS'!$P$5:$P$500,"&gt;=113100")&gt;0,"X","")</f>
      </c>
      <c r="S52" s="56" t="str">
        <f>IF(COUNTIFS('LANÇAMENTOS DIÁRIOS'!$G$5:$G$500,"F",'LANÇAMENTOS DIÁRIOS'!$C$5:$C$500,$A52,'LANÇAMENTOS DIÁRIOS'!$O$5:$O$500,"&lt;=113299",'LANÇAMENTOS DIÁRIOS'!$P$5:$P$500,"&gt;=113200")&gt;0,"X","")</f>
      </c>
      <c r="T52" s="56" t="str">
        <f>IF(COUNTIFS('LANÇAMENTOS DIÁRIOS'!$G$5:$G$500,"F",'LANÇAMENTOS DIÁRIOS'!$C$5:$C$500,$A52,'LANÇAMENTOS DIÁRIOS'!$O$5:$O$500,"&lt;=113399",'LANÇAMENTOS DIÁRIOS'!$P$5:$P$500,"&gt;=113300")&gt;0,"X","")</f>
      </c>
      <c r="U52" s="56" t="str">
        <f>IF(COUNTIFS('LANÇAMENTOS DIÁRIOS'!$G$5:$G$500,"F",'LANÇAMENTOS DIÁRIOS'!$C$5:$C$500,$A52,'LANÇAMENTOS DIÁRIOS'!$O$5:$O$500,"&lt;=113499",'LANÇAMENTOS DIÁRIOS'!$P$5:$P$500,"&gt;=113400")&gt;0,"X","")</f>
      </c>
      <c r="V52" s="56" t="str">
        <f>IF(COUNTIFS('LANÇAMENTOS DIÁRIOS'!$G$5:$G$500,"F",'LANÇAMENTOS DIÁRIOS'!$C$5:$C$500,$A52,'LANÇAMENTOS DIÁRIOS'!$O$5:$O$500,"&lt;=113599",'LANÇAMENTOS DIÁRIOS'!$P$5:$P$500,"&gt;=113500")&gt;0,"X","")</f>
      </c>
      <c r="W52" s="56" t="str">
        <f>IF(COUNTIFS('LANÇAMENTOS DIÁRIOS'!$G$5:$G$500,"F",'LANÇAMENTOS DIÁRIOS'!$C$5:$C$500,$A52,'LANÇAMENTOS DIÁRIOS'!$O$5:$O$500,"&lt;=113699",'LANÇAMENTOS DIÁRIOS'!$P$5:$P$500,"&gt;=113600")&gt;0,"X","")</f>
      </c>
      <c r="X52" s="56" t="str">
        <f>IF(COUNTIFS('LANÇAMENTOS DIÁRIOS'!$G$5:$G$500,"F",'LANÇAMENTOS DIÁRIOS'!$C$5:$C$500,$A52,'LANÇAMENTOS DIÁRIOS'!$O$5:$O$500,"&lt;=113799",'LANÇAMENTOS DIÁRIOS'!$P$5:$P$500,"&gt;=113700")&gt;0,"X","")</f>
      </c>
      <c r="Y52" s="56" t="str">
        <f>IF(COUNTIFS('LANÇAMENTOS DIÁRIOS'!$G$5:$G$500,"F",'LANÇAMENTOS DIÁRIOS'!$C$5:$C$500,$A52,'LANÇAMENTOS DIÁRIOS'!$O$5:$O$500,"&lt;=113899",'LANÇAMENTOS DIÁRIOS'!$P$5:$P$500,"&gt;=113800")&gt;0,"X","")</f>
      </c>
      <c r="Z52" s="56" t="str">
        <f>IF(COUNTIFS('LANÇAMENTOS DIÁRIOS'!$G$5:$G$500,"F",'LANÇAMENTOS DIÁRIOS'!$C$5:$C$500,$A52,'LANÇAMENTOS DIÁRIOS'!$O$5:$O$500,"&lt;=113999",'LANÇAMENTOS DIÁRIOS'!$P$5:$P$500,"&gt;=113900")&gt;0,"X","")</f>
      </c>
      <c r="AA52" s="56" t="str">
        <f>IF(COUNTIFS('LANÇAMENTOS DIÁRIOS'!$G$5:$G$500,"F",'LANÇAMENTOS DIÁRIOS'!$C$5:$C$500,$A52,'LANÇAMENTOS DIÁRIOS'!$O$5:$O$500,"&lt;=114099",'LANÇAMENTOS DIÁRIOS'!$P$5:$P$500,"&gt;=114000")&gt;0,"X","")</f>
      </c>
      <c r="AB52" s="56" t="str">
        <f>IF(COUNTIFS('LANÇAMENTOS DIÁRIOS'!$G$5:$G$500,"F",'LANÇAMENTOS DIÁRIOS'!$C$5:$C$500,$A52,'LANÇAMENTOS DIÁRIOS'!$O$5:$O$500,"&lt;=114199",'LANÇAMENTOS DIÁRIOS'!$P$5:$P$500,"&gt;=114100")&gt;0,"X","")</f>
      </c>
      <c r="AC52" s="56" t="str">
        <f>IF(COUNTIFS('LANÇAMENTOS DIÁRIOS'!$G$5:$G$500,"F",'LANÇAMENTOS DIÁRIOS'!$C$5:$C$500,$A52,'LANÇAMENTOS DIÁRIOS'!$O$5:$O$500,"&lt;=114299",'LANÇAMENTOS DIÁRIOS'!$P$5:$P$500,"&gt;=114200")&gt;0,"X","")</f>
      </c>
      <c r="AD52" s="56" t="str">
        <f>IF(COUNTIFS('LANÇAMENTOS DIÁRIOS'!$G$5:$G$500,"F",'LANÇAMENTOS DIÁRIOS'!$C$5:$C$500,$A52,'LANÇAMENTOS DIÁRIOS'!$O$5:$O$500,"&lt;=114399",'LANÇAMENTOS DIÁRIOS'!$P$5:$P$500,"&gt;=114300")&gt;0,"X","")</f>
      </c>
      <c r="AE52" s="56" t="str">
        <f>IF(COUNTIFS('LANÇAMENTOS DIÁRIOS'!$G$5:$G$500,"F",'LANÇAMENTOS DIÁRIOS'!$C$5:$C$500,$A52,'LANÇAMENTOS DIÁRIOS'!$O$5:$O$500,"&lt;=114499",'LANÇAMENTOS DIÁRIOS'!$P$5:$P$500,"&gt;=114400")&gt;0,"X","")</f>
      </c>
      <c r="AF52" s="56" t="str">
        <f>IF(COUNTIFS('LANÇAMENTOS DIÁRIOS'!$G$5:$G$500,"F",'LANÇAMENTOS DIÁRIOS'!$C$5:$C$500,$A52,'LANÇAMENTOS DIÁRIOS'!$O$5:$O$500,"&lt;=114599",'LANÇAMENTOS DIÁRIOS'!$P$5:$P$500,"&gt;=114500")&gt;0,"X","")</f>
      </c>
      <c r="AG52" s="56" t="str">
        <f>IF(COUNTIFS('LANÇAMENTOS DIÁRIOS'!$G$5:$G$500,"F",'LANÇAMENTOS DIÁRIOS'!$C$5:$C$500,$A52,'LANÇAMENTOS DIÁRIOS'!$O$5:$O$500,"&lt;=114699",'LANÇAMENTOS DIÁRIOS'!$P$5:$P$500,"&gt;=114600")&gt;0,"X","")</f>
      </c>
      <c r="AH52" s="56" t="str">
        <f>IF(COUNTIFS('LANÇAMENTOS DIÁRIOS'!$G$5:$G$500,"F",'LANÇAMENTOS DIÁRIOS'!$C$5:$C$500,$A52,'LANÇAMENTOS DIÁRIOS'!$O$5:$O$500,"&lt;=114799",'LANÇAMENTOS DIÁRIOS'!$P$5:$P$500,"&gt;=114700")&gt;0,"X","")</f>
      </c>
      <c r="AI52" s="56" t="str">
        <f>IF(COUNTIFS('LANÇAMENTOS DIÁRIOS'!$G$5:$G$500,"F",'LANÇAMENTOS DIÁRIOS'!$C$5:$C$500,$A52,'LANÇAMENTOS DIÁRIOS'!$O$5:$O$500,"&lt;=114899",'LANÇAMENTOS DIÁRIOS'!$P$5:$P$500,"&gt;=114800")&gt;0,"X","")</f>
      </c>
      <c r="AJ52" s="56" t="str">
        <f>IF(COUNTIFS('LANÇAMENTOS DIÁRIOS'!$G$5:$G$500,"F",'LANÇAMENTOS DIÁRIOS'!$C$5:$C$500,$A52,'LANÇAMENTOS DIÁRIOS'!$O$5:$O$500,"&lt;=114999",'LANÇAMENTOS DIÁRIOS'!$P$5:$P$500,"&gt;=114900")&gt;0,"X","")</f>
      </c>
      <c r="AK52" s="56" t="str">
        <f>IF(COUNTIFS('LANÇAMENTOS DIÁRIOS'!$G$5:$G$500,"F",'LANÇAMENTOS DIÁRIOS'!$C$5:$C$500,$A52,'LANÇAMENTOS DIÁRIOS'!$O$5:$O$500,"&lt;=115099",'LANÇAMENTOS DIÁRIOS'!$P$5:$P$500,"&gt;=115000")&gt;0,"X","")</f>
      </c>
      <c r="AL52" s="56" t="str">
        <f>IF(COUNTIFS('LANÇAMENTOS DIÁRIOS'!$G$5:$G$500,"F",'LANÇAMENTOS DIÁRIOS'!$C$5:$C$500,$A52,'LANÇAMENTOS DIÁRIOS'!$O$5:$O$500,"&lt;=115199",'LANÇAMENTOS DIÁRIOS'!$P$5:$P$500,"&gt;=115100")&gt;0,"X","")</f>
      </c>
      <c r="AM52" s="56" t="str">
        <f>IF(COUNTIFS('LANÇAMENTOS DIÁRIOS'!$G$5:$G$500,"F",'LANÇAMENTOS DIÁRIOS'!$C$5:$C$500,$A52,'LANÇAMENTOS DIÁRIOS'!$O$5:$O$500,"&lt;=115299",'LANÇAMENTOS DIÁRIOS'!$P$5:$P$500,"&gt;=115200")&gt;0,"X","")</f>
      </c>
      <c r="AN52" s="56" t="str">
        <f>IF(COUNTIFS('LANÇAMENTOS DIÁRIOS'!$G$5:$G$500,"F",'LANÇAMENTOS DIÁRIOS'!$C$5:$C$500,$A52,'LANÇAMENTOS DIÁRIOS'!$O$5:$O$500,"&lt;=115399",'LANÇAMENTOS DIÁRIOS'!$P$5:$P$500,"&gt;=115300")&gt;0,"X","")</f>
      </c>
      <c r="AO52" s="56" t="str">
        <f>IF(COUNTIFS('LANÇAMENTOS DIÁRIOS'!$G$5:$G$500,"F",'LANÇAMENTOS DIÁRIOS'!$C$5:$C$500,$A52,'LANÇAMENTOS DIÁRIOS'!$O$5:$O$500,"&lt;=115499",'LANÇAMENTOS DIÁRIOS'!$P$5:$P$500,"&gt;=115400")&gt;0,"X","")</f>
      </c>
      <c r="AP52" s="56" t="str">
        <f>IF(COUNTIFS('LANÇAMENTOS DIÁRIOS'!$G$5:$G$500,"F",'LANÇAMENTOS DIÁRIOS'!$C$5:$C$500,$A52,'LANÇAMENTOS DIÁRIOS'!$O$5:$O$500,"&lt;=115599",'LANÇAMENTOS DIÁRIOS'!$P$5:$P$500,"&gt;=115500")&gt;0,"X","")</f>
      </c>
      <c r="AQ52" s="56" t="str">
        <f>IF(COUNTIFS('LANÇAMENTOS DIÁRIOS'!$G$5:$G$500,"F",'LANÇAMENTOS DIÁRIOS'!$C$5:$C$500,$A52,'LANÇAMENTOS DIÁRIOS'!$O$5:$O$500,"&lt;=115699",'LANÇAMENTOS DIÁRIOS'!$P$5:$P$500,"&gt;=115600")&gt;0,"X","")</f>
      </c>
      <c r="AR52" s="56" t="str">
        <f>IF(COUNTIFS('LANÇAMENTOS DIÁRIOS'!$G$5:$G$500,"F",'LANÇAMENTOS DIÁRIOS'!$C$5:$C$500,$A52,'LANÇAMENTOS DIÁRIOS'!$O$5:$O$500,"&lt;=115799",'LANÇAMENTOS DIÁRIOS'!$P$5:$P$500,"&gt;=115700")&gt;0,"X","")</f>
      </c>
      <c r="AS52" s="56" t="str">
        <f>IF(COUNTIFS('LANÇAMENTOS DIÁRIOS'!$G$5:$G$500,"F",'LANÇAMENTOS DIÁRIOS'!$C$5:$C$500,$A52,'LANÇAMENTOS DIÁRIOS'!$O$5:$O$500,"&lt;=115899",'LANÇAMENTOS DIÁRIOS'!$P$5:$P$500,"&gt;=115800")&gt;0,"X","")</f>
      </c>
      <c r="AT52" s="56" t="str">
        <f>IF(COUNTIFS('LANÇAMENTOS DIÁRIOS'!$G$5:$G$500,"F",'LANÇAMENTOS DIÁRIOS'!$C$5:$C$500,$A52,'LANÇAMENTOS DIÁRIOS'!$O$5:$O$500,"&lt;=115999",'LANÇAMENTOS DIÁRIOS'!$P$5:$P$500,"&gt;=115900")&gt;0,"X","")</f>
      </c>
      <c r="AU52" s="56" t="str">
        <f>IF(COUNTIFS('LANÇAMENTOS DIÁRIOS'!$G$5:$G$500,"F",'LANÇAMENTOS DIÁRIOS'!$C$5:$C$500,$A52,'LANÇAMENTOS DIÁRIOS'!$O$5:$O$500,"&lt;=116099",'LANÇAMENTOS DIÁRIOS'!$P$5:$P$500,"&gt;=116000")&gt;0,"X","")</f>
      </c>
      <c r="AV52" s="56" t="str">
        <f>IF(COUNTIFS('LANÇAMENTOS DIÁRIOS'!$G$5:$G$500,"F",'LANÇAMENTOS DIÁRIOS'!$C$5:$C$500,$A52,'LANÇAMENTOS DIÁRIOS'!$O$5:$O$500,"&lt;=116199",'LANÇAMENTOS DIÁRIOS'!$P$5:$P$500,"&gt;=116100")&gt;0,"X","")</f>
      </c>
      <c r="AW52" s="56" t="str">
        <f>IF(COUNTIFS('LANÇAMENTOS DIÁRIOS'!$G$5:$G$500,"F",'LANÇAMENTOS DIÁRIOS'!$C$5:$C$500,$A52,'LANÇAMENTOS DIÁRIOS'!$O$5:$O$500,"&lt;=116299",'LANÇAMENTOS DIÁRIOS'!$P$5:$P$500,"&gt;=116200")&gt;0,"X","")</f>
      </c>
      <c r="AX52" s="56" t="str">
        <f>IF(COUNTIFS('LANÇAMENTOS DIÁRIOS'!$G$5:$G$500,"F",'LANÇAMENTOS DIÁRIOS'!$C$5:$C$500,$A52,'LANÇAMENTOS DIÁRIOS'!$O$5:$O$500,"&lt;=116399",'LANÇAMENTOS DIÁRIOS'!$P$5:$P$500,"&gt;=116300")&gt;0,"X","")</f>
      </c>
      <c r="AY52" s="56" t="str">
        <f>IF(COUNTIFS('LANÇAMENTOS DIÁRIOS'!$G$5:$G$500,"F",'LANÇAMENTOS DIÁRIOS'!$C$5:$C$500,$A52,'LANÇAMENTOS DIÁRIOS'!$O$5:$O$500,"&lt;=116499",'LANÇAMENTOS DIÁRIOS'!$P$5:$P$500,"&gt;=116400")&gt;0,"X","")</f>
      </c>
      <c r="AZ52" s="56" t="str">
        <f>IF(COUNTIFS('LANÇAMENTOS DIÁRIOS'!$G$5:$G$500,"F",'LANÇAMENTOS DIÁRIOS'!$C$5:$C$500,$A52,'LANÇAMENTOS DIÁRIOS'!$O$5:$O$500,"&lt;=116599",'LANÇAMENTOS DIÁRIOS'!$P$5:$P$500,"&gt;=116500")&gt;0,"X","")</f>
      </c>
      <c r="BA52" s="56" t="str">
        <f>IF(COUNTIFS('LANÇAMENTOS DIÁRIOS'!$G$5:$G$500,"F",'LANÇAMENTOS DIÁRIOS'!$C$5:$C$500,$A52,'LANÇAMENTOS DIÁRIOS'!$O$5:$O$500,"&lt;=116699",'LANÇAMENTOS DIÁRIOS'!$P$5:$P$500,"&gt;=116600")&gt;0,"X","")</f>
      </c>
      <c r="BB52" s="56" t="str">
        <f>IF(COUNTIFS('LANÇAMENTOS DIÁRIOS'!$G$5:$G$500,"F",'LANÇAMENTOS DIÁRIOS'!$C$5:$C$500,$A52,'LANÇAMENTOS DIÁRIOS'!$O$5:$O$500,"&lt;=116799",'LANÇAMENTOS DIÁRIOS'!$P$5:$P$500,"&gt;=116700")&gt;0,"X","")</f>
      </c>
      <c r="BC52" s="56" t="str">
        <f>IF(COUNTIFS('LANÇAMENTOS DIÁRIOS'!$G$5:$G$500,"F",'LANÇAMENTOS DIÁRIOS'!$C$5:$C$500,$A52,'LANÇAMENTOS DIÁRIOS'!$O$5:$O$500,"&lt;=116899",'LANÇAMENTOS DIÁRIOS'!$P$5:$P$500,"&gt;=116800")&gt;0,"X","")</f>
      </c>
      <c r="BD52" s="56" t="str">
        <f>IF(COUNTIFS('LANÇAMENTOS DIÁRIOS'!$G$5:$G$500,"F",'LANÇAMENTOS DIÁRIOS'!$C$5:$C$500,$A52,'LANÇAMENTOS DIÁRIOS'!$O$5:$O$500,"&lt;=116999",'LANÇAMENTOS DIÁRIOS'!$P$5:$P$500,"&gt;=116900")&gt;0,"X","")</f>
      </c>
      <c r="BE52" s="56" t="str">
        <f>IF(COUNTIFS('LANÇAMENTOS DIÁRIOS'!$G$5:$G$500,"F",'LANÇAMENTOS DIÁRIOS'!$C$5:$C$500,$A52,'LANÇAMENTOS DIÁRIOS'!$O$5:$O$500,"&lt;=117099",'LANÇAMENTOS DIÁRIOS'!$P$5:$P$500,"&gt;=117000")&gt;0,"X","")</f>
      </c>
      <c r="BF52" s="56" t="str">
        <f>IF(COUNTIFS('LANÇAMENTOS DIÁRIOS'!$G$5:$G$500,"F",'LANÇAMENTOS DIÁRIOS'!$C$5:$C$500,$A52,'LANÇAMENTOS DIÁRIOS'!$O$5:$O$500,"&lt;=117199",'LANÇAMENTOS DIÁRIOS'!$P$5:$P$500,"&gt;=117100")&gt;0,"X","")</f>
      </c>
      <c r="BG52" s="56" t="str">
        <f>IF(COUNTIFS('LANÇAMENTOS DIÁRIOS'!$G$5:$G$500,"F",'LANÇAMENTOS DIÁRIOS'!$C$5:$C$500,$A52,'LANÇAMENTOS DIÁRIOS'!$O$5:$O$500,"&lt;=117219",'LANÇAMENTOS DIÁRIOS'!$P$5:$P$500,"&gt;=117200")&gt;0,"X","")</f>
      </c>
      <c r="BH52" s="56" t="str">
        <f>IF(COUNTIFS('LANÇAMENTOS DIÁRIOS'!$G$5:$G$500,"F",'LANÇAMENTOS DIÁRIOS'!$C$5:$C$500,$A52,'LANÇAMENTOS DIÁRIOS'!$O$5:$O$500,"&lt;=117220",'LANÇAMENTOS DIÁRIOS'!$P$5:$P$500,"&gt;=117220")&gt;0,"X","")</f>
      </c>
    </row>
    <row r="53">
      <c r="A53" s="51" t="str">
        <v>Fundação / reaterro com brita graduada simples/pedrisco</v>
      </c>
      <c r="B53" s="56" t="str">
        <f>IF(COUNTIFS('LANÇAMENTOS DIÁRIOS'!$G$5:$G$500,"F",'LANÇAMENTOS DIÁRIOS'!$C$5:$C$500,$A53,'LANÇAMENTOS DIÁRIOS'!$O$5:$O$500,"&lt;=111599",'LANÇAMENTOS DIÁRIOS'!$P$5:$P$500,"&gt;=111500")&gt;0,"X","")</f>
      </c>
      <c r="C53" s="56" t="str">
        <f>IF(COUNTIFS('LANÇAMENTOS DIÁRIOS'!$G$5:$G$500,"F",'LANÇAMENTOS DIÁRIOS'!$C$5:$C$500,$A53,'LANÇAMENTOS DIÁRIOS'!$O$5:$O$500,"&lt;=111699",'LANÇAMENTOS DIÁRIOS'!$P$5:$P$500,"&gt;=111600")&gt;0,"X","")</f>
      </c>
      <c r="D53" s="56" t="str">
        <f>IF(COUNTIFS('LANÇAMENTOS DIÁRIOS'!$G$5:$G$500,"F",'LANÇAMENTOS DIÁRIOS'!$C$5:$C$500,$A53,'LANÇAMENTOS DIÁRIOS'!$O$5:$O$500,"&lt;=111799",'LANÇAMENTOS DIÁRIOS'!$P$5:$P$500,"&gt;=111700")&gt;0,"X","")</f>
      </c>
      <c r="E53" s="56" t="str">
        <f>IF(COUNTIFS('LANÇAMENTOS DIÁRIOS'!$G$5:$G$500,"F",'LANÇAMENTOS DIÁRIOS'!$C$5:$C$500,$A53,'LANÇAMENTOS DIÁRIOS'!$O$5:$O$500,"&lt;=111899",'LANÇAMENTOS DIÁRIOS'!$P$5:$P$500,"&gt;=111800")&gt;0,"X","")</f>
      </c>
      <c r="F53" s="56" t="str">
        <f>IF(COUNTIFS('LANÇAMENTOS DIÁRIOS'!$G$5:$G$500,"F",'LANÇAMENTOS DIÁRIOS'!$C$5:$C$500,$A53,'LANÇAMENTOS DIÁRIOS'!$O$5:$O$500,"&lt;=111999",'LANÇAMENTOS DIÁRIOS'!$P$5:$P$500,"&gt;=111900")&gt;0,"X","")</f>
      </c>
      <c r="G53" s="56" t="str">
        <f>IF(COUNTIFS('LANÇAMENTOS DIÁRIOS'!$G$5:$G$500,"F",'LANÇAMENTOS DIÁRIOS'!$C$5:$C$500,$A53,'LANÇAMENTOS DIÁRIOS'!$O$5:$O$500,"&lt;=112099",'LANÇAMENTOS DIÁRIOS'!$P$5:$P$500,"&gt;=112000")&gt;0,"X","")</f>
      </c>
      <c r="H53" s="56" t="str">
        <f>IF(COUNTIFS('LANÇAMENTOS DIÁRIOS'!$G$5:$G$500,"F",'LANÇAMENTOS DIÁRIOS'!$C$5:$C$500,$A53,'LANÇAMENTOS DIÁRIOS'!$O$5:$O$500,"&lt;=112199",'LANÇAMENTOS DIÁRIOS'!$P$5:$P$500,"&gt;=112100")&gt;0,"X","")</f>
      </c>
      <c r="I53" s="56" t="str">
        <f>IF(COUNTIFS('LANÇAMENTOS DIÁRIOS'!$G$5:$G$500,"F",'LANÇAMENTOS DIÁRIOS'!$C$5:$C$500,$A53,'LANÇAMENTOS DIÁRIOS'!$O$5:$O$500,"&lt;=112299",'LANÇAMENTOS DIÁRIOS'!$P$5:$P$500,"&gt;=112200")&gt;0,"X","")</f>
      </c>
      <c r="J53" s="56" t="str">
        <f>IF(COUNTIFS('LANÇAMENTOS DIÁRIOS'!$G$5:$G$500,"F",'LANÇAMENTOS DIÁRIOS'!$C$5:$C$500,$A53,'LANÇAMENTOS DIÁRIOS'!$O$5:$O$500,"&lt;=112399",'LANÇAMENTOS DIÁRIOS'!$P$5:$P$500,"&gt;=112300")&gt;0,"X","")</f>
      </c>
      <c r="K53" s="56" t="str">
        <f>IF(COUNTIFS('LANÇAMENTOS DIÁRIOS'!$G$5:$G$500,"F",'LANÇAMENTOS DIÁRIOS'!$C$5:$C$500,$A53,'LANÇAMENTOS DIÁRIOS'!$O$5:$O$500,"&lt;=112499",'LANÇAMENTOS DIÁRIOS'!$P$5:$P$500,"&gt;=112400")&gt;0,"X","")</f>
      </c>
      <c r="L53" s="56" t="str">
        <f>IF(COUNTIFS('LANÇAMENTOS DIÁRIOS'!$G$5:$G$500,"F",'LANÇAMENTOS DIÁRIOS'!$C$5:$C$500,$A53,'LANÇAMENTOS DIÁRIOS'!$O$5:$O$500,"&lt;=112599",'LANÇAMENTOS DIÁRIOS'!$P$5:$P$500,"&gt;=112500")&gt;0,"X","")</f>
      </c>
      <c r="M53" s="56" t="str">
        <f>IF(COUNTIFS('LANÇAMENTOS DIÁRIOS'!$G$5:$G$500,"F",'LANÇAMENTOS DIÁRIOS'!$C$5:$C$500,$A53,'LANÇAMENTOS DIÁRIOS'!$O$5:$O$500,"&lt;=112699",'LANÇAMENTOS DIÁRIOS'!$P$5:$P$500,"&gt;=112600")&gt;0,"X","")</f>
      </c>
      <c r="N53" s="56" t="str">
        <f>IF(COUNTIFS('LANÇAMENTOS DIÁRIOS'!$G$5:$G$500,"F",'LANÇAMENTOS DIÁRIOS'!$C$5:$C$500,$A53,'LANÇAMENTOS DIÁRIOS'!$O$5:$O$500,"&lt;=112799",'LANÇAMENTOS DIÁRIOS'!$P$5:$P$500,"&gt;=112700")&gt;0,"X","")</f>
      </c>
      <c r="O53" s="56" t="str">
        <f>IF(COUNTIFS('LANÇAMENTOS DIÁRIOS'!$G$5:$G$500,"F",'LANÇAMENTOS DIÁRIOS'!$C$5:$C$500,$A53,'LANÇAMENTOS DIÁRIOS'!$O$5:$O$500,"&lt;=112899",'LANÇAMENTOS DIÁRIOS'!$P$5:$P$500,"&gt;=112800")&gt;0,"X","")</f>
      </c>
      <c r="P53" s="56" t="str">
        <f>IF(COUNTIFS('LANÇAMENTOS DIÁRIOS'!$G$5:$G$500,"F",'LANÇAMENTOS DIÁRIOS'!$C$5:$C$500,$A53,'LANÇAMENTOS DIÁRIOS'!$O$5:$O$500,"&lt;=112999",'LANÇAMENTOS DIÁRIOS'!$P$5:$P$500,"&gt;=112900")&gt;0,"X","")</f>
      </c>
      <c r="Q53" s="56" t="str">
        <f>IF(COUNTIFS('LANÇAMENTOS DIÁRIOS'!$G$5:$G$500,"F",'LANÇAMENTOS DIÁRIOS'!$C$5:$C$500,$A53,'LANÇAMENTOS DIÁRIOS'!$O$5:$O$500,"&lt;=113099",'LANÇAMENTOS DIÁRIOS'!$P$5:$P$500,"&gt;=113000")&gt;0,"X","")</f>
      </c>
      <c r="R53" s="56" t="str">
        <f>IF(COUNTIFS('LANÇAMENTOS DIÁRIOS'!$G$5:$G$500,"F",'LANÇAMENTOS DIÁRIOS'!$C$5:$C$500,$A53,'LANÇAMENTOS DIÁRIOS'!$O$5:$O$500,"&lt;=113199",'LANÇAMENTOS DIÁRIOS'!$P$5:$P$500,"&gt;=113100")&gt;0,"X","")</f>
      </c>
      <c r="S53" s="56" t="str">
        <f>IF(COUNTIFS('LANÇAMENTOS DIÁRIOS'!$G$5:$G$500,"F",'LANÇAMENTOS DIÁRIOS'!$C$5:$C$500,$A53,'LANÇAMENTOS DIÁRIOS'!$O$5:$O$500,"&lt;=113299",'LANÇAMENTOS DIÁRIOS'!$P$5:$P$500,"&gt;=113200")&gt;0,"X","")</f>
      </c>
      <c r="T53" s="56" t="str">
        <f>IF(COUNTIFS('LANÇAMENTOS DIÁRIOS'!$G$5:$G$500,"F",'LANÇAMENTOS DIÁRIOS'!$C$5:$C$500,$A53,'LANÇAMENTOS DIÁRIOS'!$O$5:$O$500,"&lt;=113399",'LANÇAMENTOS DIÁRIOS'!$P$5:$P$500,"&gt;=113300")&gt;0,"X","")</f>
      </c>
      <c r="U53" s="56" t="str">
        <f>IF(COUNTIFS('LANÇAMENTOS DIÁRIOS'!$G$5:$G$500,"F",'LANÇAMENTOS DIÁRIOS'!$C$5:$C$500,$A53,'LANÇAMENTOS DIÁRIOS'!$O$5:$O$500,"&lt;=113499",'LANÇAMENTOS DIÁRIOS'!$P$5:$P$500,"&gt;=113400")&gt;0,"X","")</f>
      </c>
      <c r="V53" s="56" t="str">
        <f>IF(COUNTIFS('LANÇAMENTOS DIÁRIOS'!$G$5:$G$500,"F",'LANÇAMENTOS DIÁRIOS'!$C$5:$C$500,$A53,'LANÇAMENTOS DIÁRIOS'!$O$5:$O$500,"&lt;=113599",'LANÇAMENTOS DIÁRIOS'!$P$5:$P$500,"&gt;=113500")&gt;0,"X","")</f>
      </c>
      <c r="W53" s="56" t="str">
        <f>IF(COUNTIFS('LANÇAMENTOS DIÁRIOS'!$G$5:$G$500,"F",'LANÇAMENTOS DIÁRIOS'!$C$5:$C$500,$A53,'LANÇAMENTOS DIÁRIOS'!$O$5:$O$500,"&lt;=113699",'LANÇAMENTOS DIÁRIOS'!$P$5:$P$500,"&gt;=113600")&gt;0,"X","")</f>
      </c>
      <c r="X53" s="56" t="str">
        <f>IF(COUNTIFS('LANÇAMENTOS DIÁRIOS'!$G$5:$G$500,"F",'LANÇAMENTOS DIÁRIOS'!$C$5:$C$500,$A53,'LANÇAMENTOS DIÁRIOS'!$O$5:$O$500,"&lt;=113799",'LANÇAMENTOS DIÁRIOS'!$P$5:$P$500,"&gt;=113700")&gt;0,"X","")</f>
      </c>
      <c r="Y53" s="56" t="str">
        <f>IF(COUNTIFS('LANÇAMENTOS DIÁRIOS'!$G$5:$G$500,"F",'LANÇAMENTOS DIÁRIOS'!$C$5:$C$500,$A53,'LANÇAMENTOS DIÁRIOS'!$O$5:$O$500,"&lt;=113899",'LANÇAMENTOS DIÁRIOS'!$P$5:$P$500,"&gt;=113800")&gt;0,"X","")</f>
      </c>
      <c r="Z53" s="56" t="str">
        <f>IF(COUNTIFS('LANÇAMENTOS DIÁRIOS'!$G$5:$G$500,"F",'LANÇAMENTOS DIÁRIOS'!$C$5:$C$500,$A53,'LANÇAMENTOS DIÁRIOS'!$O$5:$O$500,"&lt;=113999",'LANÇAMENTOS DIÁRIOS'!$P$5:$P$500,"&gt;=113900")&gt;0,"X","")</f>
      </c>
      <c r="AA53" s="56" t="str">
        <f>IF(COUNTIFS('LANÇAMENTOS DIÁRIOS'!$G$5:$G$500,"F",'LANÇAMENTOS DIÁRIOS'!$C$5:$C$500,$A53,'LANÇAMENTOS DIÁRIOS'!$O$5:$O$500,"&lt;=114099",'LANÇAMENTOS DIÁRIOS'!$P$5:$P$500,"&gt;=114000")&gt;0,"X","")</f>
      </c>
      <c r="AB53" s="56" t="str">
        <f>IF(COUNTIFS('LANÇAMENTOS DIÁRIOS'!$G$5:$G$500,"F",'LANÇAMENTOS DIÁRIOS'!$C$5:$C$500,$A53,'LANÇAMENTOS DIÁRIOS'!$O$5:$O$500,"&lt;=114199",'LANÇAMENTOS DIÁRIOS'!$P$5:$P$500,"&gt;=114100")&gt;0,"X","")</f>
      </c>
      <c r="AC53" s="56" t="str">
        <f>IF(COUNTIFS('LANÇAMENTOS DIÁRIOS'!$G$5:$G$500,"F",'LANÇAMENTOS DIÁRIOS'!$C$5:$C$500,$A53,'LANÇAMENTOS DIÁRIOS'!$O$5:$O$500,"&lt;=114299",'LANÇAMENTOS DIÁRIOS'!$P$5:$P$500,"&gt;=114200")&gt;0,"X","")</f>
      </c>
      <c r="AD53" s="56" t="str">
        <f>IF(COUNTIFS('LANÇAMENTOS DIÁRIOS'!$G$5:$G$500,"F",'LANÇAMENTOS DIÁRIOS'!$C$5:$C$500,$A53,'LANÇAMENTOS DIÁRIOS'!$O$5:$O$500,"&lt;=114399",'LANÇAMENTOS DIÁRIOS'!$P$5:$P$500,"&gt;=114300")&gt;0,"X","")</f>
      </c>
      <c r="AE53" s="56" t="str">
        <f>IF(COUNTIFS('LANÇAMENTOS DIÁRIOS'!$G$5:$G$500,"F",'LANÇAMENTOS DIÁRIOS'!$C$5:$C$500,$A53,'LANÇAMENTOS DIÁRIOS'!$O$5:$O$500,"&lt;=114499",'LANÇAMENTOS DIÁRIOS'!$P$5:$P$500,"&gt;=114400")&gt;0,"X","")</f>
      </c>
      <c r="AF53" s="56" t="str">
        <f>IF(COUNTIFS('LANÇAMENTOS DIÁRIOS'!$G$5:$G$500,"F",'LANÇAMENTOS DIÁRIOS'!$C$5:$C$500,$A53,'LANÇAMENTOS DIÁRIOS'!$O$5:$O$500,"&lt;=114599",'LANÇAMENTOS DIÁRIOS'!$P$5:$P$500,"&gt;=114500")&gt;0,"X","")</f>
      </c>
      <c r="AG53" s="56" t="str">
        <f>IF(COUNTIFS('LANÇAMENTOS DIÁRIOS'!$G$5:$G$500,"F",'LANÇAMENTOS DIÁRIOS'!$C$5:$C$500,$A53,'LANÇAMENTOS DIÁRIOS'!$O$5:$O$500,"&lt;=114699",'LANÇAMENTOS DIÁRIOS'!$P$5:$P$500,"&gt;=114600")&gt;0,"X","")</f>
      </c>
      <c r="AH53" s="56" t="str">
        <f>IF(COUNTIFS('LANÇAMENTOS DIÁRIOS'!$G$5:$G$500,"F",'LANÇAMENTOS DIÁRIOS'!$C$5:$C$500,$A53,'LANÇAMENTOS DIÁRIOS'!$O$5:$O$500,"&lt;=114799",'LANÇAMENTOS DIÁRIOS'!$P$5:$P$500,"&gt;=114700")&gt;0,"X","")</f>
      </c>
      <c r="AI53" s="56" t="str">
        <f>IF(COUNTIFS('LANÇAMENTOS DIÁRIOS'!$G$5:$G$500,"F",'LANÇAMENTOS DIÁRIOS'!$C$5:$C$500,$A53,'LANÇAMENTOS DIÁRIOS'!$O$5:$O$500,"&lt;=114899",'LANÇAMENTOS DIÁRIOS'!$P$5:$P$500,"&gt;=114800")&gt;0,"X","")</f>
      </c>
      <c r="AJ53" s="56" t="str">
        <f>IF(COUNTIFS('LANÇAMENTOS DIÁRIOS'!$G$5:$G$500,"F",'LANÇAMENTOS DIÁRIOS'!$C$5:$C$500,$A53,'LANÇAMENTOS DIÁRIOS'!$O$5:$O$500,"&lt;=114999",'LANÇAMENTOS DIÁRIOS'!$P$5:$P$500,"&gt;=114900")&gt;0,"X","")</f>
      </c>
      <c r="AK53" s="56" t="str">
        <f>IF(COUNTIFS('LANÇAMENTOS DIÁRIOS'!$G$5:$G$500,"F",'LANÇAMENTOS DIÁRIOS'!$C$5:$C$500,$A53,'LANÇAMENTOS DIÁRIOS'!$O$5:$O$500,"&lt;=115099",'LANÇAMENTOS DIÁRIOS'!$P$5:$P$500,"&gt;=115000")&gt;0,"X","")</f>
      </c>
      <c r="AL53" s="56" t="str">
        <f>IF(COUNTIFS('LANÇAMENTOS DIÁRIOS'!$G$5:$G$500,"F",'LANÇAMENTOS DIÁRIOS'!$C$5:$C$500,$A53,'LANÇAMENTOS DIÁRIOS'!$O$5:$O$500,"&lt;=115199",'LANÇAMENTOS DIÁRIOS'!$P$5:$P$500,"&gt;=115100")&gt;0,"X","")</f>
      </c>
      <c r="AM53" s="56" t="str">
        <f>IF(COUNTIFS('LANÇAMENTOS DIÁRIOS'!$G$5:$G$500,"F",'LANÇAMENTOS DIÁRIOS'!$C$5:$C$500,$A53,'LANÇAMENTOS DIÁRIOS'!$O$5:$O$500,"&lt;=115299",'LANÇAMENTOS DIÁRIOS'!$P$5:$P$500,"&gt;=115200")&gt;0,"X","")</f>
      </c>
      <c r="AN53" s="56" t="str">
        <f>IF(COUNTIFS('LANÇAMENTOS DIÁRIOS'!$G$5:$G$500,"F",'LANÇAMENTOS DIÁRIOS'!$C$5:$C$500,$A53,'LANÇAMENTOS DIÁRIOS'!$O$5:$O$500,"&lt;=115399",'LANÇAMENTOS DIÁRIOS'!$P$5:$P$500,"&gt;=115300")&gt;0,"X","")</f>
      </c>
      <c r="AO53" s="56" t="str">
        <f>IF(COUNTIFS('LANÇAMENTOS DIÁRIOS'!$G$5:$G$500,"F",'LANÇAMENTOS DIÁRIOS'!$C$5:$C$500,$A53,'LANÇAMENTOS DIÁRIOS'!$O$5:$O$500,"&lt;=115499",'LANÇAMENTOS DIÁRIOS'!$P$5:$P$500,"&gt;=115400")&gt;0,"X","")</f>
      </c>
      <c r="AP53" s="56" t="str">
        <f>IF(COUNTIFS('LANÇAMENTOS DIÁRIOS'!$G$5:$G$500,"F",'LANÇAMENTOS DIÁRIOS'!$C$5:$C$500,$A53,'LANÇAMENTOS DIÁRIOS'!$O$5:$O$500,"&lt;=115599",'LANÇAMENTOS DIÁRIOS'!$P$5:$P$500,"&gt;=115500")&gt;0,"X","")</f>
      </c>
      <c r="AQ53" s="56" t="str">
        <f>IF(COUNTIFS('LANÇAMENTOS DIÁRIOS'!$G$5:$G$500,"F",'LANÇAMENTOS DIÁRIOS'!$C$5:$C$500,$A53,'LANÇAMENTOS DIÁRIOS'!$O$5:$O$500,"&lt;=115699",'LANÇAMENTOS DIÁRIOS'!$P$5:$P$500,"&gt;=115600")&gt;0,"X","")</f>
      </c>
      <c r="AR53" s="56" t="str">
        <f>IF(COUNTIFS('LANÇAMENTOS DIÁRIOS'!$G$5:$G$500,"F",'LANÇAMENTOS DIÁRIOS'!$C$5:$C$500,$A53,'LANÇAMENTOS DIÁRIOS'!$O$5:$O$500,"&lt;=115799",'LANÇAMENTOS DIÁRIOS'!$P$5:$P$500,"&gt;=115700")&gt;0,"X","")</f>
      </c>
      <c r="AS53" s="56" t="str">
        <f>IF(COUNTIFS('LANÇAMENTOS DIÁRIOS'!$G$5:$G$500,"F",'LANÇAMENTOS DIÁRIOS'!$C$5:$C$500,$A53,'LANÇAMENTOS DIÁRIOS'!$O$5:$O$500,"&lt;=115899",'LANÇAMENTOS DIÁRIOS'!$P$5:$P$500,"&gt;=115800")&gt;0,"X","")</f>
      </c>
      <c r="AT53" s="56" t="str">
        <f>IF(COUNTIFS('LANÇAMENTOS DIÁRIOS'!$G$5:$G$500,"F",'LANÇAMENTOS DIÁRIOS'!$C$5:$C$500,$A53,'LANÇAMENTOS DIÁRIOS'!$O$5:$O$500,"&lt;=115999",'LANÇAMENTOS DIÁRIOS'!$P$5:$P$500,"&gt;=115900")&gt;0,"X","")</f>
      </c>
      <c r="AU53" s="56" t="str">
        <f>IF(COUNTIFS('LANÇAMENTOS DIÁRIOS'!$G$5:$G$500,"F",'LANÇAMENTOS DIÁRIOS'!$C$5:$C$500,$A53,'LANÇAMENTOS DIÁRIOS'!$O$5:$O$500,"&lt;=116099",'LANÇAMENTOS DIÁRIOS'!$P$5:$P$500,"&gt;=116000")&gt;0,"X","")</f>
      </c>
      <c r="AV53" s="56" t="str">
        <f>IF(COUNTIFS('LANÇAMENTOS DIÁRIOS'!$G$5:$G$500,"F",'LANÇAMENTOS DIÁRIOS'!$C$5:$C$500,$A53,'LANÇAMENTOS DIÁRIOS'!$O$5:$O$500,"&lt;=116199",'LANÇAMENTOS DIÁRIOS'!$P$5:$P$500,"&gt;=116100")&gt;0,"X","")</f>
      </c>
      <c r="AW53" s="56" t="str">
        <f>IF(COUNTIFS('LANÇAMENTOS DIÁRIOS'!$G$5:$G$500,"F",'LANÇAMENTOS DIÁRIOS'!$C$5:$C$500,$A53,'LANÇAMENTOS DIÁRIOS'!$O$5:$O$500,"&lt;=116299",'LANÇAMENTOS DIÁRIOS'!$P$5:$P$500,"&gt;=116200")&gt;0,"X","")</f>
      </c>
      <c r="AX53" s="56" t="str">
        <f>IF(COUNTIFS('LANÇAMENTOS DIÁRIOS'!$G$5:$G$500,"F",'LANÇAMENTOS DIÁRIOS'!$C$5:$C$500,$A53,'LANÇAMENTOS DIÁRIOS'!$O$5:$O$500,"&lt;=116399",'LANÇAMENTOS DIÁRIOS'!$P$5:$P$500,"&gt;=116300")&gt;0,"X","")</f>
      </c>
      <c r="AY53" s="56" t="str">
        <f>IF(COUNTIFS('LANÇAMENTOS DIÁRIOS'!$G$5:$G$500,"F",'LANÇAMENTOS DIÁRIOS'!$C$5:$C$500,$A53,'LANÇAMENTOS DIÁRIOS'!$O$5:$O$500,"&lt;=116499",'LANÇAMENTOS DIÁRIOS'!$P$5:$P$500,"&gt;=116400")&gt;0,"X","")</f>
      </c>
      <c r="AZ53" s="56" t="str">
        <f>IF(COUNTIFS('LANÇAMENTOS DIÁRIOS'!$G$5:$G$500,"F",'LANÇAMENTOS DIÁRIOS'!$C$5:$C$500,$A53,'LANÇAMENTOS DIÁRIOS'!$O$5:$O$500,"&lt;=116599",'LANÇAMENTOS DIÁRIOS'!$P$5:$P$500,"&gt;=116500")&gt;0,"X","")</f>
      </c>
      <c r="BA53" s="56" t="str">
        <f>IF(COUNTIFS('LANÇAMENTOS DIÁRIOS'!$G$5:$G$500,"F",'LANÇAMENTOS DIÁRIOS'!$C$5:$C$500,$A53,'LANÇAMENTOS DIÁRIOS'!$O$5:$O$500,"&lt;=116699",'LANÇAMENTOS DIÁRIOS'!$P$5:$P$500,"&gt;=116600")&gt;0,"X","")</f>
      </c>
      <c r="BB53" s="56" t="str">
        <f>IF(COUNTIFS('LANÇAMENTOS DIÁRIOS'!$G$5:$G$500,"F",'LANÇAMENTOS DIÁRIOS'!$C$5:$C$500,$A53,'LANÇAMENTOS DIÁRIOS'!$O$5:$O$500,"&lt;=116799",'LANÇAMENTOS DIÁRIOS'!$P$5:$P$500,"&gt;=116700")&gt;0,"X","")</f>
      </c>
      <c r="BC53" s="56" t="str">
        <f>IF(COUNTIFS('LANÇAMENTOS DIÁRIOS'!$G$5:$G$500,"F",'LANÇAMENTOS DIÁRIOS'!$C$5:$C$500,$A53,'LANÇAMENTOS DIÁRIOS'!$O$5:$O$500,"&lt;=116899",'LANÇAMENTOS DIÁRIOS'!$P$5:$P$500,"&gt;=116800")&gt;0,"X","")</f>
      </c>
      <c r="BD53" s="56" t="str">
        <f>IF(COUNTIFS('LANÇAMENTOS DIÁRIOS'!$G$5:$G$500,"F",'LANÇAMENTOS DIÁRIOS'!$C$5:$C$500,$A53,'LANÇAMENTOS DIÁRIOS'!$O$5:$O$500,"&lt;=116999",'LANÇAMENTOS DIÁRIOS'!$P$5:$P$500,"&gt;=116900")&gt;0,"X","")</f>
      </c>
      <c r="BE53" s="56" t="str">
        <f>IF(COUNTIFS('LANÇAMENTOS DIÁRIOS'!$G$5:$G$500,"F",'LANÇAMENTOS DIÁRIOS'!$C$5:$C$500,$A53,'LANÇAMENTOS DIÁRIOS'!$O$5:$O$500,"&lt;=117099",'LANÇAMENTOS DIÁRIOS'!$P$5:$P$500,"&gt;=117000")&gt;0,"X","")</f>
      </c>
      <c r="BF53" s="56" t="str">
        <f>IF(COUNTIFS('LANÇAMENTOS DIÁRIOS'!$G$5:$G$500,"F",'LANÇAMENTOS DIÁRIOS'!$C$5:$C$500,$A53,'LANÇAMENTOS DIÁRIOS'!$O$5:$O$500,"&lt;=117199",'LANÇAMENTOS DIÁRIOS'!$P$5:$P$500,"&gt;=117100")&gt;0,"X","")</f>
      </c>
      <c r="BG53" s="56" t="str">
        <f>IF(COUNTIFS('LANÇAMENTOS DIÁRIOS'!$G$5:$G$500,"F",'LANÇAMENTOS DIÁRIOS'!$C$5:$C$500,$A53,'LANÇAMENTOS DIÁRIOS'!$O$5:$O$500,"&lt;=117219",'LANÇAMENTOS DIÁRIOS'!$P$5:$P$500,"&gt;=117200")&gt;0,"X","")</f>
      </c>
      <c r="BH53" s="56" t="str">
        <f>IF(COUNTIFS('LANÇAMENTOS DIÁRIOS'!$G$5:$G$500,"F",'LANÇAMENTOS DIÁRIOS'!$C$5:$C$500,$A53,'LANÇAMENTOS DIÁRIOS'!$O$5:$O$500,"&lt;=117220",'LANÇAMENTOS DIÁRIOS'!$P$5:$P$500,"&gt;=117220")&gt;0,"X","")</f>
      </c>
    </row>
    <row r="54">
      <c r="A54" s="51" t="str">
        <v>Fundação / reaterro com bica corrida</v>
      </c>
      <c r="B54" s="56" t="str">
        <f>IF(COUNTIFS('LANÇAMENTOS DIÁRIOS'!$G$5:$G$500,"F",'LANÇAMENTOS DIÁRIOS'!$C$5:$C$500,$A54,'LANÇAMENTOS DIÁRIOS'!$O$5:$O$500,"&lt;=111599",'LANÇAMENTOS DIÁRIOS'!$P$5:$P$500,"&gt;=111500")&gt;0,"X","")</f>
      </c>
      <c r="C54" s="56" t="str">
        <f>IF(COUNTIFS('LANÇAMENTOS DIÁRIOS'!$G$5:$G$500,"F",'LANÇAMENTOS DIÁRIOS'!$C$5:$C$500,$A54,'LANÇAMENTOS DIÁRIOS'!$O$5:$O$500,"&lt;=111699",'LANÇAMENTOS DIÁRIOS'!$P$5:$P$500,"&gt;=111600")&gt;0,"X","")</f>
      </c>
      <c r="D54" s="56" t="str">
        <f>IF(COUNTIFS('LANÇAMENTOS DIÁRIOS'!$G$5:$G$500,"F",'LANÇAMENTOS DIÁRIOS'!$C$5:$C$500,$A54,'LANÇAMENTOS DIÁRIOS'!$O$5:$O$500,"&lt;=111799",'LANÇAMENTOS DIÁRIOS'!$P$5:$P$500,"&gt;=111700")&gt;0,"X","")</f>
      </c>
      <c r="E54" s="56" t="str">
        <f>IF(COUNTIFS('LANÇAMENTOS DIÁRIOS'!$G$5:$G$500,"F",'LANÇAMENTOS DIÁRIOS'!$C$5:$C$500,$A54,'LANÇAMENTOS DIÁRIOS'!$O$5:$O$500,"&lt;=111899",'LANÇAMENTOS DIÁRIOS'!$P$5:$P$500,"&gt;=111800")&gt;0,"X","")</f>
      </c>
      <c r="F54" s="56" t="str">
        <f>IF(COUNTIFS('LANÇAMENTOS DIÁRIOS'!$G$5:$G$500,"F",'LANÇAMENTOS DIÁRIOS'!$C$5:$C$500,$A54,'LANÇAMENTOS DIÁRIOS'!$O$5:$O$500,"&lt;=111999",'LANÇAMENTOS DIÁRIOS'!$P$5:$P$500,"&gt;=111900")&gt;0,"X","")</f>
      </c>
      <c r="G54" s="56" t="str">
        <f>IF(COUNTIFS('LANÇAMENTOS DIÁRIOS'!$G$5:$G$500,"F",'LANÇAMENTOS DIÁRIOS'!$C$5:$C$500,$A54,'LANÇAMENTOS DIÁRIOS'!$O$5:$O$500,"&lt;=112099",'LANÇAMENTOS DIÁRIOS'!$P$5:$P$500,"&gt;=112000")&gt;0,"X","")</f>
      </c>
      <c r="H54" s="56" t="str">
        <f>IF(COUNTIFS('LANÇAMENTOS DIÁRIOS'!$G$5:$G$500,"F",'LANÇAMENTOS DIÁRIOS'!$C$5:$C$500,$A54,'LANÇAMENTOS DIÁRIOS'!$O$5:$O$500,"&lt;=112199",'LANÇAMENTOS DIÁRIOS'!$P$5:$P$500,"&gt;=112100")&gt;0,"X","")</f>
      </c>
      <c r="I54" s="56" t="str">
        <f>IF(COUNTIFS('LANÇAMENTOS DIÁRIOS'!$G$5:$G$500,"F",'LANÇAMENTOS DIÁRIOS'!$C$5:$C$500,$A54,'LANÇAMENTOS DIÁRIOS'!$O$5:$O$500,"&lt;=112299",'LANÇAMENTOS DIÁRIOS'!$P$5:$P$500,"&gt;=112200")&gt;0,"X","")</f>
      </c>
      <c r="J54" s="56" t="str">
        <f>IF(COUNTIFS('LANÇAMENTOS DIÁRIOS'!$G$5:$G$500,"F",'LANÇAMENTOS DIÁRIOS'!$C$5:$C$500,$A54,'LANÇAMENTOS DIÁRIOS'!$O$5:$O$500,"&lt;=112399",'LANÇAMENTOS DIÁRIOS'!$P$5:$P$500,"&gt;=112300")&gt;0,"X","")</f>
      </c>
      <c r="K54" s="56" t="str">
        <f>IF(COUNTIFS('LANÇAMENTOS DIÁRIOS'!$G$5:$G$500,"F",'LANÇAMENTOS DIÁRIOS'!$C$5:$C$500,$A54,'LANÇAMENTOS DIÁRIOS'!$O$5:$O$500,"&lt;=112499",'LANÇAMENTOS DIÁRIOS'!$P$5:$P$500,"&gt;=112400")&gt;0,"X","")</f>
      </c>
      <c r="L54" s="56" t="str">
        <f>IF(COUNTIFS('LANÇAMENTOS DIÁRIOS'!$G$5:$G$500,"F",'LANÇAMENTOS DIÁRIOS'!$C$5:$C$500,$A54,'LANÇAMENTOS DIÁRIOS'!$O$5:$O$500,"&lt;=112599",'LANÇAMENTOS DIÁRIOS'!$P$5:$P$500,"&gt;=112500")&gt;0,"X","")</f>
      </c>
      <c r="M54" s="56" t="str">
        <f>IF(COUNTIFS('LANÇAMENTOS DIÁRIOS'!$G$5:$G$500,"F",'LANÇAMENTOS DIÁRIOS'!$C$5:$C$500,$A54,'LANÇAMENTOS DIÁRIOS'!$O$5:$O$500,"&lt;=112699",'LANÇAMENTOS DIÁRIOS'!$P$5:$P$500,"&gt;=112600")&gt;0,"X","")</f>
      </c>
      <c r="N54" s="56" t="str">
        <f>IF(COUNTIFS('LANÇAMENTOS DIÁRIOS'!$G$5:$G$500,"F",'LANÇAMENTOS DIÁRIOS'!$C$5:$C$500,$A54,'LANÇAMENTOS DIÁRIOS'!$O$5:$O$500,"&lt;=112799",'LANÇAMENTOS DIÁRIOS'!$P$5:$P$500,"&gt;=112700")&gt;0,"X","")</f>
      </c>
      <c r="O54" s="56" t="str">
        <f>IF(COUNTIFS('LANÇAMENTOS DIÁRIOS'!$G$5:$G$500,"F",'LANÇAMENTOS DIÁRIOS'!$C$5:$C$500,$A54,'LANÇAMENTOS DIÁRIOS'!$O$5:$O$500,"&lt;=112899",'LANÇAMENTOS DIÁRIOS'!$P$5:$P$500,"&gt;=112800")&gt;0,"X","")</f>
      </c>
      <c r="P54" s="56" t="str">
        <f>IF(COUNTIFS('LANÇAMENTOS DIÁRIOS'!$G$5:$G$500,"F",'LANÇAMENTOS DIÁRIOS'!$C$5:$C$500,$A54,'LANÇAMENTOS DIÁRIOS'!$O$5:$O$500,"&lt;=112999",'LANÇAMENTOS DIÁRIOS'!$P$5:$P$500,"&gt;=112900")&gt;0,"X","")</f>
      </c>
      <c r="Q54" s="56" t="str">
        <f>IF(COUNTIFS('LANÇAMENTOS DIÁRIOS'!$G$5:$G$500,"F",'LANÇAMENTOS DIÁRIOS'!$C$5:$C$500,$A54,'LANÇAMENTOS DIÁRIOS'!$O$5:$O$500,"&lt;=113099",'LANÇAMENTOS DIÁRIOS'!$P$5:$P$500,"&gt;=113000")&gt;0,"X","")</f>
      </c>
      <c r="R54" s="56" t="str">
        <f>IF(COUNTIFS('LANÇAMENTOS DIÁRIOS'!$G$5:$G$500,"F",'LANÇAMENTOS DIÁRIOS'!$C$5:$C$500,$A54,'LANÇAMENTOS DIÁRIOS'!$O$5:$O$500,"&lt;=113199",'LANÇAMENTOS DIÁRIOS'!$P$5:$P$500,"&gt;=113100")&gt;0,"X","")</f>
      </c>
      <c r="S54" s="56" t="str">
        <f>IF(COUNTIFS('LANÇAMENTOS DIÁRIOS'!$G$5:$G$500,"F",'LANÇAMENTOS DIÁRIOS'!$C$5:$C$500,$A54,'LANÇAMENTOS DIÁRIOS'!$O$5:$O$500,"&lt;=113299",'LANÇAMENTOS DIÁRIOS'!$P$5:$P$500,"&gt;=113200")&gt;0,"X","")</f>
      </c>
      <c r="T54" s="56" t="str">
        <f>IF(COUNTIFS('LANÇAMENTOS DIÁRIOS'!$G$5:$G$500,"F",'LANÇAMENTOS DIÁRIOS'!$C$5:$C$500,$A54,'LANÇAMENTOS DIÁRIOS'!$O$5:$O$500,"&lt;=113399",'LANÇAMENTOS DIÁRIOS'!$P$5:$P$500,"&gt;=113300")&gt;0,"X","")</f>
      </c>
      <c r="U54" s="56" t="str">
        <f>IF(COUNTIFS('LANÇAMENTOS DIÁRIOS'!$G$5:$G$500,"F",'LANÇAMENTOS DIÁRIOS'!$C$5:$C$500,$A54,'LANÇAMENTOS DIÁRIOS'!$O$5:$O$500,"&lt;=113499",'LANÇAMENTOS DIÁRIOS'!$P$5:$P$500,"&gt;=113400")&gt;0,"X","")</f>
      </c>
      <c r="V54" s="56" t="str">
        <f>IF(COUNTIFS('LANÇAMENTOS DIÁRIOS'!$G$5:$G$500,"F",'LANÇAMENTOS DIÁRIOS'!$C$5:$C$500,$A54,'LANÇAMENTOS DIÁRIOS'!$O$5:$O$500,"&lt;=113599",'LANÇAMENTOS DIÁRIOS'!$P$5:$P$500,"&gt;=113500")&gt;0,"X","")</f>
      </c>
      <c r="W54" s="56" t="str">
        <f>IF(COUNTIFS('LANÇAMENTOS DIÁRIOS'!$G$5:$G$500,"F",'LANÇAMENTOS DIÁRIOS'!$C$5:$C$500,$A54,'LANÇAMENTOS DIÁRIOS'!$O$5:$O$500,"&lt;=113699",'LANÇAMENTOS DIÁRIOS'!$P$5:$P$500,"&gt;=113600")&gt;0,"X","")</f>
      </c>
      <c r="X54" s="56" t="str">
        <f>IF(COUNTIFS('LANÇAMENTOS DIÁRIOS'!$G$5:$G$500,"F",'LANÇAMENTOS DIÁRIOS'!$C$5:$C$500,$A54,'LANÇAMENTOS DIÁRIOS'!$O$5:$O$500,"&lt;=113799",'LANÇAMENTOS DIÁRIOS'!$P$5:$P$500,"&gt;=113700")&gt;0,"X","")</f>
      </c>
      <c r="Y54" s="56" t="str">
        <f>IF(COUNTIFS('LANÇAMENTOS DIÁRIOS'!$G$5:$G$500,"F",'LANÇAMENTOS DIÁRIOS'!$C$5:$C$500,$A54,'LANÇAMENTOS DIÁRIOS'!$O$5:$O$500,"&lt;=113899",'LANÇAMENTOS DIÁRIOS'!$P$5:$P$500,"&gt;=113800")&gt;0,"X","")</f>
      </c>
      <c r="Z54" s="56" t="str">
        <f>IF(COUNTIFS('LANÇAMENTOS DIÁRIOS'!$G$5:$G$500,"F",'LANÇAMENTOS DIÁRIOS'!$C$5:$C$500,$A54,'LANÇAMENTOS DIÁRIOS'!$O$5:$O$500,"&lt;=113999",'LANÇAMENTOS DIÁRIOS'!$P$5:$P$500,"&gt;=113900")&gt;0,"X","")</f>
      </c>
      <c r="AA54" s="56" t="str">
        <f>IF(COUNTIFS('LANÇAMENTOS DIÁRIOS'!$G$5:$G$500,"F",'LANÇAMENTOS DIÁRIOS'!$C$5:$C$500,$A54,'LANÇAMENTOS DIÁRIOS'!$O$5:$O$500,"&lt;=114099",'LANÇAMENTOS DIÁRIOS'!$P$5:$P$500,"&gt;=114000")&gt;0,"X","")</f>
      </c>
      <c r="AB54" s="56" t="str">
        <f>IF(COUNTIFS('LANÇAMENTOS DIÁRIOS'!$G$5:$G$500,"F",'LANÇAMENTOS DIÁRIOS'!$C$5:$C$500,$A54,'LANÇAMENTOS DIÁRIOS'!$O$5:$O$500,"&lt;=114199",'LANÇAMENTOS DIÁRIOS'!$P$5:$P$500,"&gt;=114100")&gt;0,"X","")</f>
      </c>
      <c r="AC54" s="56" t="str">
        <f>IF(COUNTIFS('LANÇAMENTOS DIÁRIOS'!$G$5:$G$500,"F",'LANÇAMENTOS DIÁRIOS'!$C$5:$C$500,$A54,'LANÇAMENTOS DIÁRIOS'!$O$5:$O$500,"&lt;=114299",'LANÇAMENTOS DIÁRIOS'!$P$5:$P$500,"&gt;=114200")&gt;0,"X","")</f>
      </c>
      <c r="AD54" s="56" t="str">
        <f>IF(COUNTIFS('LANÇAMENTOS DIÁRIOS'!$G$5:$G$500,"F",'LANÇAMENTOS DIÁRIOS'!$C$5:$C$500,$A54,'LANÇAMENTOS DIÁRIOS'!$O$5:$O$500,"&lt;=114399",'LANÇAMENTOS DIÁRIOS'!$P$5:$P$500,"&gt;=114300")&gt;0,"X","")</f>
      </c>
      <c r="AE54" s="56" t="str">
        <f>IF(COUNTIFS('LANÇAMENTOS DIÁRIOS'!$G$5:$G$500,"F",'LANÇAMENTOS DIÁRIOS'!$C$5:$C$500,$A54,'LANÇAMENTOS DIÁRIOS'!$O$5:$O$500,"&lt;=114499",'LANÇAMENTOS DIÁRIOS'!$P$5:$P$500,"&gt;=114400")&gt;0,"X","")</f>
      </c>
      <c r="AF54" s="56" t="str">
        <f>IF(COUNTIFS('LANÇAMENTOS DIÁRIOS'!$G$5:$G$500,"F",'LANÇAMENTOS DIÁRIOS'!$C$5:$C$500,$A54,'LANÇAMENTOS DIÁRIOS'!$O$5:$O$500,"&lt;=114599",'LANÇAMENTOS DIÁRIOS'!$P$5:$P$500,"&gt;=114500")&gt;0,"X","")</f>
      </c>
      <c r="AG54" s="56" t="str">
        <f>IF(COUNTIFS('LANÇAMENTOS DIÁRIOS'!$G$5:$G$500,"F",'LANÇAMENTOS DIÁRIOS'!$C$5:$C$500,$A54,'LANÇAMENTOS DIÁRIOS'!$O$5:$O$500,"&lt;=114699",'LANÇAMENTOS DIÁRIOS'!$P$5:$P$500,"&gt;=114600")&gt;0,"X","")</f>
      </c>
      <c r="AH54" s="56" t="str">
        <f>IF(COUNTIFS('LANÇAMENTOS DIÁRIOS'!$G$5:$G$500,"F",'LANÇAMENTOS DIÁRIOS'!$C$5:$C$500,$A54,'LANÇAMENTOS DIÁRIOS'!$O$5:$O$500,"&lt;=114799",'LANÇAMENTOS DIÁRIOS'!$P$5:$P$500,"&gt;=114700")&gt;0,"X","")</f>
      </c>
      <c r="AI54" s="56" t="str">
        <f>IF(COUNTIFS('LANÇAMENTOS DIÁRIOS'!$G$5:$G$500,"F",'LANÇAMENTOS DIÁRIOS'!$C$5:$C$500,$A54,'LANÇAMENTOS DIÁRIOS'!$O$5:$O$500,"&lt;=114899",'LANÇAMENTOS DIÁRIOS'!$P$5:$P$500,"&gt;=114800")&gt;0,"X","")</f>
      </c>
      <c r="AJ54" s="56" t="str">
        <f>IF(COUNTIFS('LANÇAMENTOS DIÁRIOS'!$G$5:$G$500,"F",'LANÇAMENTOS DIÁRIOS'!$C$5:$C$500,$A54,'LANÇAMENTOS DIÁRIOS'!$O$5:$O$500,"&lt;=114999",'LANÇAMENTOS DIÁRIOS'!$P$5:$P$500,"&gt;=114900")&gt;0,"X","")</f>
      </c>
      <c r="AK54" s="56" t="str">
        <f>IF(COUNTIFS('LANÇAMENTOS DIÁRIOS'!$G$5:$G$500,"F",'LANÇAMENTOS DIÁRIOS'!$C$5:$C$500,$A54,'LANÇAMENTOS DIÁRIOS'!$O$5:$O$500,"&lt;=115099",'LANÇAMENTOS DIÁRIOS'!$P$5:$P$500,"&gt;=115000")&gt;0,"X","")</f>
      </c>
      <c r="AL54" s="56" t="str">
        <f>IF(COUNTIFS('LANÇAMENTOS DIÁRIOS'!$G$5:$G$500,"F",'LANÇAMENTOS DIÁRIOS'!$C$5:$C$500,$A54,'LANÇAMENTOS DIÁRIOS'!$O$5:$O$500,"&lt;=115199",'LANÇAMENTOS DIÁRIOS'!$P$5:$P$500,"&gt;=115100")&gt;0,"X","")</f>
      </c>
      <c r="AM54" s="56" t="str">
        <f>IF(COUNTIFS('LANÇAMENTOS DIÁRIOS'!$G$5:$G$500,"F",'LANÇAMENTOS DIÁRIOS'!$C$5:$C$500,$A54,'LANÇAMENTOS DIÁRIOS'!$O$5:$O$500,"&lt;=115299",'LANÇAMENTOS DIÁRIOS'!$P$5:$P$500,"&gt;=115200")&gt;0,"X","")</f>
      </c>
      <c r="AN54" s="56" t="str">
        <f>IF(COUNTIFS('LANÇAMENTOS DIÁRIOS'!$G$5:$G$500,"F",'LANÇAMENTOS DIÁRIOS'!$C$5:$C$500,$A54,'LANÇAMENTOS DIÁRIOS'!$O$5:$O$500,"&lt;=115399",'LANÇAMENTOS DIÁRIOS'!$P$5:$P$500,"&gt;=115300")&gt;0,"X","")</f>
      </c>
      <c r="AO54" s="56" t="str">
        <f>IF(COUNTIFS('LANÇAMENTOS DIÁRIOS'!$G$5:$G$500,"F",'LANÇAMENTOS DIÁRIOS'!$C$5:$C$500,$A54,'LANÇAMENTOS DIÁRIOS'!$O$5:$O$500,"&lt;=115499",'LANÇAMENTOS DIÁRIOS'!$P$5:$P$500,"&gt;=115400")&gt;0,"X","")</f>
      </c>
      <c r="AP54" s="56" t="str">
        <f>IF(COUNTIFS('LANÇAMENTOS DIÁRIOS'!$G$5:$G$500,"F",'LANÇAMENTOS DIÁRIOS'!$C$5:$C$500,$A54,'LANÇAMENTOS DIÁRIOS'!$O$5:$O$500,"&lt;=115599",'LANÇAMENTOS DIÁRIOS'!$P$5:$P$500,"&gt;=115500")&gt;0,"X","")</f>
      </c>
      <c r="AQ54" s="56" t="str">
        <f>IF(COUNTIFS('LANÇAMENTOS DIÁRIOS'!$G$5:$G$500,"F",'LANÇAMENTOS DIÁRIOS'!$C$5:$C$500,$A54,'LANÇAMENTOS DIÁRIOS'!$O$5:$O$500,"&lt;=115699",'LANÇAMENTOS DIÁRIOS'!$P$5:$P$500,"&gt;=115600")&gt;0,"X","")</f>
      </c>
      <c r="AR54" s="56" t="str">
        <f>IF(COUNTIFS('LANÇAMENTOS DIÁRIOS'!$G$5:$G$500,"F",'LANÇAMENTOS DIÁRIOS'!$C$5:$C$500,$A54,'LANÇAMENTOS DIÁRIOS'!$O$5:$O$500,"&lt;=115799",'LANÇAMENTOS DIÁRIOS'!$P$5:$P$500,"&gt;=115700")&gt;0,"X","")</f>
      </c>
      <c r="AS54" s="56" t="str">
        <f>IF(COUNTIFS('LANÇAMENTOS DIÁRIOS'!$G$5:$G$500,"F",'LANÇAMENTOS DIÁRIOS'!$C$5:$C$500,$A54,'LANÇAMENTOS DIÁRIOS'!$O$5:$O$500,"&lt;=115899",'LANÇAMENTOS DIÁRIOS'!$P$5:$P$500,"&gt;=115800")&gt;0,"X","")</f>
      </c>
      <c r="AT54" s="56" t="str">
        <f>IF(COUNTIFS('LANÇAMENTOS DIÁRIOS'!$G$5:$G$500,"F",'LANÇAMENTOS DIÁRIOS'!$C$5:$C$500,$A54,'LANÇAMENTOS DIÁRIOS'!$O$5:$O$500,"&lt;=115999",'LANÇAMENTOS DIÁRIOS'!$P$5:$P$500,"&gt;=115900")&gt;0,"X","")</f>
      </c>
      <c r="AU54" s="56" t="str">
        <f>IF(COUNTIFS('LANÇAMENTOS DIÁRIOS'!$G$5:$G$500,"F",'LANÇAMENTOS DIÁRIOS'!$C$5:$C$500,$A54,'LANÇAMENTOS DIÁRIOS'!$O$5:$O$500,"&lt;=116099",'LANÇAMENTOS DIÁRIOS'!$P$5:$P$500,"&gt;=116000")&gt;0,"X","")</f>
      </c>
      <c r="AV54" s="56" t="str">
        <f>IF(COUNTIFS('LANÇAMENTOS DIÁRIOS'!$G$5:$G$500,"F",'LANÇAMENTOS DIÁRIOS'!$C$5:$C$500,$A54,'LANÇAMENTOS DIÁRIOS'!$O$5:$O$500,"&lt;=116199",'LANÇAMENTOS DIÁRIOS'!$P$5:$P$500,"&gt;=116100")&gt;0,"X","")</f>
      </c>
      <c r="AW54" s="56" t="str">
        <f>IF(COUNTIFS('LANÇAMENTOS DIÁRIOS'!$G$5:$G$500,"F",'LANÇAMENTOS DIÁRIOS'!$C$5:$C$500,$A54,'LANÇAMENTOS DIÁRIOS'!$O$5:$O$500,"&lt;=116299",'LANÇAMENTOS DIÁRIOS'!$P$5:$P$500,"&gt;=116200")&gt;0,"X","")</f>
      </c>
      <c r="AX54" s="56" t="str">
        <f>IF(COUNTIFS('LANÇAMENTOS DIÁRIOS'!$G$5:$G$500,"F",'LANÇAMENTOS DIÁRIOS'!$C$5:$C$500,$A54,'LANÇAMENTOS DIÁRIOS'!$O$5:$O$500,"&lt;=116399",'LANÇAMENTOS DIÁRIOS'!$P$5:$P$500,"&gt;=116300")&gt;0,"X","")</f>
      </c>
      <c r="AY54" s="56" t="str">
        <f>IF(COUNTIFS('LANÇAMENTOS DIÁRIOS'!$G$5:$G$500,"F",'LANÇAMENTOS DIÁRIOS'!$C$5:$C$500,$A54,'LANÇAMENTOS DIÁRIOS'!$O$5:$O$500,"&lt;=116499",'LANÇAMENTOS DIÁRIOS'!$P$5:$P$500,"&gt;=116400")&gt;0,"X","")</f>
      </c>
      <c r="AZ54" s="56" t="str">
        <f>IF(COUNTIFS('LANÇAMENTOS DIÁRIOS'!$G$5:$G$500,"F",'LANÇAMENTOS DIÁRIOS'!$C$5:$C$500,$A54,'LANÇAMENTOS DIÁRIOS'!$O$5:$O$500,"&lt;=116599",'LANÇAMENTOS DIÁRIOS'!$P$5:$P$500,"&gt;=116500")&gt;0,"X","")</f>
      </c>
      <c r="BA54" s="56" t="str">
        <f>IF(COUNTIFS('LANÇAMENTOS DIÁRIOS'!$G$5:$G$500,"F",'LANÇAMENTOS DIÁRIOS'!$C$5:$C$500,$A54,'LANÇAMENTOS DIÁRIOS'!$O$5:$O$500,"&lt;=116699",'LANÇAMENTOS DIÁRIOS'!$P$5:$P$500,"&gt;=116600")&gt;0,"X","")</f>
      </c>
      <c r="BB54" s="56" t="str">
        <f>IF(COUNTIFS('LANÇAMENTOS DIÁRIOS'!$G$5:$G$500,"F",'LANÇAMENTOS DIÁRIOS'!$C$5:$C$500,$A54,'LANÇAMENTOS DIÁRIOS'!$O$5:$O$500,"&lt;=116799",'LANÇAMENTOS DIÁRIOS'!$P$5:$P$500,"&gt;=116700")&gt;0,"X","")</f>
      </c>
      <c r="BC54" s="56" t="str">
        <f>IF(COUNTIFS('LANÇAMENTOS DIÁRIOS'!$G$5:$G$500,"F",'LANÇAMENTOS DIÁRIOS'!$C$5:$C$500,$A54,'LANÇAMENTOS DIÁRIOS'!$O$5:$O$500,"&lt;=116899",'LANÇAMENTOS DIÁRIOS'!$P$5:$P$500,"&gt;=116800")&gt;0,"X","")</f>
      </c>
      <c r="BD54" s="56" t="str">
        <f>IF(COUNTIFS('LANÇAMENTOS DIÁRIOS'!$G$5:$G$500,"F",'LANÇAMENTOS DIÁRIOS'!$C$5:$C$500,$A54,'LANÇAMENTOS DIÁRIOS'!$O$5:$O$500,"&lt;=116999",'LANÇAMENTOS DIÁRIOS'!$P$5:$P$500,"&gt;=116900")&gt;0,"X","")</f>
      </c>
      <c r="BE54" s="56" t="str">
        <f>IF(COUNTIFS('LANÇAMENTOS DIÁRIOS'!$G$5:$G$500,"F",'LANÇAMENTOS DIÁRIOS'!$C$5:$C$500,$A54,'LANÇAMENTOS DIÁRIOS'!$O$5:$O$500,"&lt;=117099",'LANÇAMENTOS DIÁRIOS'!$P$5:$P$500,"&gt;=117000")&gt;0,"X","")</f>
      </c>
      <c r="BF54" s="56" t="str">
        <f>IF(COUNTIFS('LANÇAMENTOS DIÁRIOS'!$G$5:$G$500,"F",'LANÇAMENTOS DIÁRIOS'!$C$5:$C$500,$A54,'LANÇAMENTOS DIÁRIOS'!$O$5:$O$500,"&lt;=117199",'LANÇAMENTOS DIÁRIOS'!$P$5:$P$500,"&gt;=117100")&gt;0,"X","")</f>
      </c>
      <c r="BG54" s="56" t="str">
        <f>IF(COUNTIFS('LANÇAMENTOS DIÁRIOS'!$G$5:$G$500,"F",'LANÇAMENTOS DIÁRIOS'!$C$5:$C$500,$A54,'LANÇAMENTOS DIÁRIOS'!$O$5:$O$500,"&lt;=117219",'LANÇAMENTOS DIÁRIOS'!$P$5:$P$500,"&gt;=117200")&gt;0,"X","")</f>
      </c>
      <c r="BH54" s="56" t="str">
        <f>IF(COUNTIFS('LANÇAMENTOS DIÁRIOS'!$G$5:$G$500,"F",'LANÇAMENTOS DIÁRIOS'!$C$5:$C$500,$A54,'LANÇAMENTOS DIÁRIOS'!$O$5:$O$500,"&lt;=117220",'LANÇAMENTOS DIÁRIOS'!$P$5:$P$500,"&gt;=117220")&gt;0,"X","")</f>
      </c>
    </row>
    <row r="55">
      <c r="A55" s="51" t="str">
        <v>Camada drenante Brita 3/4" a 1 1/2"</v>
      </c>
      <c r="B55" s="56" t="str">
        <f>IF(COUNTIFS('LANÇAMENTOS DIÁRIOS'!$G$5:$G$500,"F",'LANÇAMENTOS DIÁRIOS'!$C$5:$C$500,$A55,'LANÇAMENTOS DIÁRIOS'!$O$5:$O$500,"&lt;=111599",'LANÇAMENTOS DIÁRIOS'!$P$5:$P$500,"&gt;=111500")&gt;0,"X","")</f>
      </c>
      <c r="C55" s="56" t="str">
        <f>IF(COUNTIFS('LANÇAMENTOS DIÁRIOS'!$G$5:$G$500,"F",'LANÇAMENTOS DIÁRIOS'!$C$5:$C$500,$A55,'LANÇAMENTOS DIÁRIOS'!$O$5:$O$500,"&lt;=111699",'LANÇAMENTOS DIÁRIOS'!$P$5:$P$500,"&gt;=111600")&gt;0,"X","")</f>
      </c>
      <c r="D55" s="56" t="str">
        <f>IF(COUNTIFS('LANÇAMENTOS DIÁRIOS'!$G$5:$G$500,"F",'LANÇAMENTOS DIÁRIOS'!$C$5:$C$500,$A55,'LANÇAMENTOS DIÁRIOS'!$O$5:$O$500,"&lt;=111799",'LANÇAMENTOS DIÁRIOS'!$P$5:$P$500,"&gt;=111700")&gt;0,"X","")</f>
      </c>
      <c r="E55" s="56" t="str">
        <f>IF(COUNTIFS('LANÇAMENTOS DIÁRIOS'!$G$5:$G$500,"F",'LANÇAMENTOS DIÁRIOS'!$C$5:$C$500,$A55,'LANÇAMENTOS DIÁRIOS'!$O$5:$O$500,"&lt;=111899",'LANÇAMENTOS DIÁRIOS'!$P$5:$P$500,"&gt;=111800")&gt;0,"X","")</f>
      </c>
      <c r="F55" s="56" t="str">
        <f>IF(COUNTIFS('LANÇAMENTOS DIÁRIOS'!$G$5:$G$500,"F",'LANÇAMENTOS DIÁRIOS'!$C$5:$C$500,$A55,'LANÇAMENTOS DIÁRIOS'!$O$5:$O$500,"&lt;=111999",'LANÇAMENTOS DIÁRIOS'!$P$5:$P$500,"&gt;=111900")&gt;0,"X","")</f>
      </c>
      <c r="G55" s="56" t="str">
        <f>IF(COUNTIFS('LANÇAMENTOS DIÁRIOS'!$G$5:$G$500,"F",'LANÇAMENTOS DIÁRIOS'!$C$5:$C$500,$A55,'LANÇAMENTOS DIÁRIOS'!$O$5:$O$500,"&lt;=112099",'LANÇAMENTOS DIÁRIOS'!$P$5:$P$500,"&gt;=112000")&gt;0,"X","")</f>
      </c>
      <c r="H55" s="56" t="str">
        <f>IF(COUNTIFS('LANÇAMENTOS DIÁRIOS'!$G$5:$G$500,"F",'LANÇAMENTOS DIÁRIOS'!$C$5:$C$500,$A55,'LANÇAMENTOS DIÁRIOS'!$O$5:$O$500,"&lt;=112199",'LANÇAMENTOS DIÁRIOS'!$P$5:$P$500,"&gt;=112100")&gt;0,"X","")</f>
      </c>
      <c r="I55" s="56" t="str">
        <f>IF(COUNTIFS('LANÇAMENTOS DIÁRIOS'!$G$5:$G$500,"F",'LANÇAMENTOS DIÁRIOS'!$C$5:$C$500,$A55,'LANÇAMENTOS DIÁRIOS'!$O$5:$O$500,"&lt;=112299",'LANÇAMENTOS DIÁRIOS'!$P$5:$P$500,"&gt;=112200")&gt;0,"X","")</f>
      </c>
      <c r="J55" s="56" t="str">
        <f>IF(COUNTIFS('LANÇAMENTOS DIÁRIOS'!$G$5:$G$500,"F",'LANÇAMENTOS DIÁRIOS'!$C$5:$C$500,$A55,'LANÇAMENTOS DIÁRIOS'!$O$5:$O$500,"&lt;=112399",'LANÇAMENTOS DIÁRIOS'!$P$5:$P$500,"&gt;=112300")&gt;0,"X","")</f>
      </c>
      <c r="K55" s="56" t="str">
        <f>IF(COUNTIFS('LANÇAMENTOS DIÁRIOS'!$G$5:$G$500,"F",'LANÇAMENTOS DIÁRIOS'!$C$5:$C$500,$A55,'LANÇAMENTOS DIÁRIOS'!$O$5:$O$500,"&lt;=112499",'LANÇAMENTOS DIÁRIOS'!$P$5:$P$500,"&gt;=112400")&gt;0,"X","")</f>
      </c>
      <c r="L55" s="56" t="str">
        <f>IF(COUNTIFS('LANÇAMENTOS DIÁRIOS'!$G$5:$G$500,"F",'LANÇAMENTOS DIÁRIOS'!$C$5:$C$500,$A55,'LANÇAMENTOS DIÁRIOS'!$O$5:$O$500,"&lt;=112599",'LANÇAMENTOS DIÁRIOS'!$P$5:$P$500,"&gt;=112500")&gt;0,"X","")</f>
      </c>
      <c r="M55" s="56" t="str">
        <f>IF(COUNTIFS('LANÇAMENTOS DIÁRIOS'!$G$5:$G$500,"F",'LANÇAMENTOS DIÁRIOS'!$C$5:$C$500,$A55,'LANÇAMENTOS DIÁRIOS'!$O$5:$O$500,"&lt;=112699",'LANÇAMENTOS DIÁRIOS'!$P$5:$P$500,"&gt;=112600")&gt;0,"X","")</f>
      </c>
      <c r="N55" s="56" t="str">
        <f>IF(COUNTIFS('LANÇAMENTOS DIÁRIOS'!$G$5:$G$500,"F",'LANÇAMENTOS DIÁRIOS'!$C$5:$C$500,$A55,'LANÇAMENTOS DIÁRIOS'!$O$5:$O$500,"&lt;=112799",'LANÇAMENTOS DIÁRIOS'!$P$5:$P$500,"&gt;=112700")&gt;0,"X","")</f>
      </c>
      <c r="O55" s="56" t="str">
        <f>IF(COUNTIFS('LANÇAMENTOS DIÁRIOS'!$G$5:$G$500,"F",'LANÇAMENTOS DIÁRIOS'!$C$5:$C$500,$A55,'LANÇAMENTOS DIÁRIOS'!$O$5:$O$500,"&lt;=112899",'LANÇAMENTOS DIÁRIOS'!$P$5:$P$500,"&gt;=112800")&gt;0,"X","")</f>
      </c>
      <c r="P55" s="56" t="str">
        <f>IF(COUNTIFS('LANÇAMENTOS DIÁRIOS'!$G$5:$G$500,"F",'LANÇAMENTOS DIÁRIOS'!$C$5:$C$500,$A55,'LANÇAMENTOS DIÁRIOS'!$O$5:$O$500,"&lt;=112999",'LANÇAMENTOS DIÁRIOS'!$P$5:$P$500,"&gt;=112900")&gt;0,"X","")</f>
      </c>
      <c r="Q55" s="56" t="str">
        <f>IF(COUNTIFS('LANÇAMENTOS DIÁRIOS'!$G$5:$G$500,"F",'LANÇAMENTOS DIÁRIOS'!$C$5:$C$500,$A55,'LANÇAMENTOS DIÁRIOS'!$O$5:$O$500,"&lt;=113099",'LANÇAMENTOS DIÁRIOS'!$P$5:$P$500,"&gt;=113000")&gt;0,"X","")</f>
      </c>
      <c r="R55" s="56" t="str">
        <f>IF(COUNTIFS('LANÇAMENTOS DIÁRIOS'!$G$5:$G$500,"F",'LANÇAMENTOS DIÁRIOS'!$C$5:$C$500,$A55,'LANÇAMENTOS DIÁRIOS'!$O$5:$O$500,"&lt;=113199",'LANÇAMENTOS DIÁRIOS'!$P$5:$P$500,"&gt;=113100")&gt;0,"X","")</f>
      </c>
      <c r="S55" s="56" t="str">
        <f>IF(COUNTIFS('LANÇAMENTOS DIÁRIOS'!$G$5:$G$500,"F",'LANÇAMENTOS DIÁRIOS'!$C$5:$C$500,$A55,'LANÇAMENTOS DIÁRIOS'!$O$5:$O$500,"&lt;=113299",'LANÇAMENTOS DIÁRIOS'!$P$5:$P$500,"&gt;=113200")&gt;0,"X","")</f>
      </c>
      <c r="T55" s="56" t="str">
        <f>IF(COUNTIFS('LANÇAMENTOS DIÁRIOS'!$G$5:$G$500,"F",'LANÇAMENTOS DIÁRIOS'!$C$5:$C$500,$A55,'LANÇAMENTOS DIÁRIOS'!$O$5:$O$500,"&lt;=113399",'LANÇAMENTOS DIÁRIOS'!$P$5:$P$500,"&gt;=113300")&gt;0,"X","")</f>
      </c>
      <c r="U55" s="56" t="str">
        <f>IF(COUNTIFS('LANÇAMENTOS DIÁRIOS'!$G$5:$G$500,"F",'LANÇAMENTOS DIÁRIOS'!$C$5:$C$500,$A55,'LANÇAMENTOS DIÁRIOS'!$O$5:$O$500,"&lt;=113499",'LANÇAMENTOS DIÁRIOS'!$P$5:$P$500,"&gt;=113400")&gt;0,"X","")</f>
      </c>
      <c r="V55" s="56" t="str">
        <f>IF(COUNTIFS('LANÇAMENTOS DIÁRIOS'!$G$5:$G$500,"F",'LANÇAMENTOS DIÁRIOS'!$C$5:$C$500,$A55,'LANÇAMENTOS DIÁRIOS'!$O$5:$O$500,"&lt;=113599",'LANÇAMENTOS DIÁRIOS'!$P$5:$P$500,"&gt;=113500")&gt;0,"X","")</f>
      </c>
      <c r="W55" s="56" t="str">
        <f>IF(COUNTIFS('LANÇAMENTOS DIÁRIOS'!$G$5:$G$500,"F",'LANÇAMENTOS DIÁRIOS'!$C$5:$C$500,$A55,'LANÇAMENTOS DIÁRIOS'!$O$5:$O$500,"&lt;=113699",'LANÇAMENTOS DIÁRIOS'!$P$5:$P$500,"&gt;=113600")&gt;0,"X","")</f>
      </c>
      <c r="X55" s="56" t="str">
        <f>IF(COUNTIFS('LANÇAMENTOS DIÁRIOS'!$G$5:$G$500,"F",'LANÇAMENTOS DIÁRIOS'!$C$5:$C$500,$A55,'LANÇAMENTOS DIÁRIOS'!$O$5:$O$500,"&lt;=113799",'LANÇAMENTOS DIÁRIOS'!$P$5:$P$500,"&gt;=113700")&gt;0,"X","")</f>
      </c>
      <c r="Y55" s="56" t="str">
        <f>IF(COUNTIFS('LANÇAMENTOS DIÁRIOS'!$G$5:$G$500,"F",'LANÇAMENTOS DIÁRIOS'!$C$5:$C$500,$A55,'LANÇAMENTOS DIÁRIOS'!$O$5:$O$500,"&lt;=113899",'LANÇAMENTOS DIÁRIOS'!$P$5:$P$500,"&gt;=113800")&gt;0,"X","")</f>
      </c>
      <c r="Z55" s="56" t="str">
        <f>IF(COUNTIFS('LANÇAMENTOS DIÁRIOS'!$G$5:$G$500,"F",'LANÇAMENTOS DIÁRIOS'!$C$5:$C$500,$A55,'LANÇAMENTOS DIÁRIOS'!$O$5:$O$500,"&lt;=113999",'LANÇAMENTOS DIÁRIOS'!$P$5:$P$500,"&gt;=113900")&gt;0,"X","")</f>
      </c>
      <c r="AA55" s="56" t="str">
        <f>IF(COUNTIFS('LANÇAMENTOS DIÁRIOS'!$G$5:$G$500,"F",'LANÇAMENTOS DIÁRIOS'!$C$5:$C$500,$A55,'LANÇAMENTOS DIÁRIOS'!$O$5:$O$500,"&lt;=114099",'LANÇAMENTOS DIÁRIOS'!$P$5:$P$500,"&gt;=114000")&gt;0,"X","")</f>
      </c>
      <c r="AB55" s="56" t="str">
        <f>IF(COUNTIFS('LANÇAMENTOS DIÁRIOS'!$G$5:$G$500,"F",'LANÇAMENTOS DIÁRIOS'!$C$5:$C$500,$A55,'LANÇAMENTOS DIÁRIOS'!$O$5:$O$500,"&lt;=114199",'LANÇAMENTOS DIÁRIOS'!$P$5:$P$500,"&gt;=114100")&gt;0,"X","")</f>
      </c>
      <c r="AC55" s="56" t="str">
        <f>IF(COUNTIFS('LANÇAMENTOS DIÁRIOS'!$G$5:$G$500,"F",'LANÇAMENTOS DIÁRIOS'!$C$5:$C$500,$A55,'LANÇAMENTOS DIÁRIOS'!$O$5:$O$500,"&lt;=114299",'LANÇAMENTOS DIÁRIOS'!$P$5:$P$500,"&gt;=114200")&gt;0,"X","")</f>
      </c>
      <c r="AD55" s="56" t="str">
        <f>IF(COUNTIFS('LANÇAMENTOS DIÁRIOS'!$G$5:$G$500,"F",'LANÇAMENTOS DIÁRIOS'!$C$5:$C$500,$A55,'LANÇAMENTOS DIÁRIOS'!$O$5:$O$500,"&lt;=114399",'LANÇAMENTOS DIÁRIOS'!$P$5:$P$500,"&gt;=114300")&gt;0,"X","")</f>
      </c>
      <c r="AE55" s="56" t="str">
        <f>IF(COUNTIFS('LANÇAMENTOS DIÁRIOS'!$G$5:$G$500,"F",'LANÇAMENTOS DIÁRIOS'!$C$5:$C$500,$A55,'LANÇAMENTOS DIÁRIOS'!$O$5:$O$500,"&lt;=114499",'LANÇAMENTOS DIÁRIOS'!$P$5:$P$500,"&gt;=114400")&gt;0,"X","")</f>
      </c>
      <c r="AF55" s="56" t="str">
        <f>IF(COUNTIFS('LANÇAMENTOS DIÁRIOS'!$G$5:$G$500,"F",'LANÇAMENTOS DIÁRIOS'!$C$5:$C$500,$A55,'LANÇAMENTOS DIÁRIOS'!$O$5:$O$500,"&lt;=114599",'LANÇAMENTOS DIÁRIOS'!$P$5:$P$500,"&gt;=114500")&gt;0,"X","")</f>
      </c>
      <c r="AG55" s="56" t="str">
        <f>IF(COUNTIFS('LANÇAMENTOS DIÁRIOS'!$G$5:$G$500,"F",'LANÇAMENTOS DIÁRIOS'!$C$5:$C$500,$A55,'LANÇAMENTOS DIÁRIOS'!$O$5:$O$500,"&lt;=114699",'LANÇAMENTOS DIÁRIOS'!$P$5:$P$500,"&gt;=114600")&gt;0,"X","")</f>
      </c>
      <c r="AH55" s="56" t="str">
        <f>IF(COUNTIFS('LANÇAMENTOS DIÁRIOS'!$G$5:$G$500,"F",'LANÇAMENTOS DIÁRIOS'!$C$5:$C$500,$A55,'LANÇAMENTOS DIÁRIOS'!$O$5:$O$500,"&lt;=114799",'LANÇAMENTOS DIÁRIOS'!$P$5:$P$500,"&gt;=114700")&gt;0,"X","")</f>
      </c>
      <c r="AI55" s="56" t="str">
        <f>IF(COUNTIFS('LANÇAMENTOS DIÁRIOS'!$G$5:$G$500,"F",'LANÇAMENTOS DIÁRIOS'!$C$5:$C$500,$A55,'LANÇAMENTOS DIÁRIOS'!$O$5:$O$500,"&lt;=114899",'LANÇAMENTOS DIÁRIOS'!$P$5:$P$500,"&gt;=114800")&gt;0,"X","")</f>
      </c>
      <c r="AJ55" s="56" t="str">
        <f>IF(COUNTIFS('LANÇAMENTOS DIÁRIOS'!$G$5:$G$500,"F",'LANÇAMENTOS DIÁRIOS'!$C$5:$C$500,$A55,'LANÇAMENTOS DIÁRIOS'!$O$5:$O$500,"&lt;=114999",'LANÇAMENTOS DIÁRIOS'!$P$5:$P$500,"&gt;=114900")&gt;0,"X","")</f>
      </c>
      <c r="AK55" s="56" t="str">
        <f>IF(COUNTIFS('LANÇAMENTOS DIÁRIOS'!$G$5:$G$500,"F",'LANÇAMENTOS DIÁRIOS'!$C$5:$C$500,$A55,'LANÇAMENTOS DIÁRIOS'!$O$5:$O$500,"&lt;=115099",'LANÇAMENTOS DIÁRIOS'!$P$5:$P$500,"&gt;=115000")&gt;0,"X","")</f>
      </c>
      <c r="AL55" s="56" t="str">
        <f>IF(COUNTIFS('LANÇAMENTOS DIÁRIOS'!$G$5:$G$500,"F",'LANÇAMENTOS DIÁRIOS'!$C$5:$C$500,$A55,'LANÇAMENTOS DIÁRIOS'!$O$5:$O$500,"&lt;=115199",'LANÇAMENTOS DIÁRIOS'!$P$5:$P$500,"&gt;=115100")&gt;0,"X","")</f>
      </c>
      <c r="AM55" s="56" t="str">
        <f>IF(COUNTIFS('LANÇAMENTOS DIÁRIOS'!$G$5:$G$500,"F",'LANÇAMENTOS DIÁRIOS'!$C$5:$C$500,$A55,'LANÇAMENTOS DIÁRIOS'!$O$5:$O$500,"&lt;=115299",'LANÇAMENTOS DIÁRIOS'!$P$5:$P$500,"&gt;=115200")&gt;0,"X","")</f>
      </c>
      <c r="AN55" s="56" t="str">
        <f>IF(COUNTIFS('LANÇAMENTOS DIÁRIOS'!$G$5:$G$500,"F",'LANÇAMENTOS DIÁRIOS'!$C$5:$C$500,$A55,'LANÇAMENTOS DIÁRIOS'!$O$5:$O$500,"&lt;=115399",'LANÇAMENTOS DIÁRIOS'!$P$5:$P$500,"&gt;=115300")&gt;0,"X","")</f>
      </c>
      <c r="AO55" s="56" t="str">
        <f>IF(COUNTIFS('LANÇAMENTOS DIÁRIOS'!$G$5:$G$500,"F",'LANÇAMENTOS DIÁRIOS'!$C$5:$C$500,$A55,'LANÇAMENTOS DIÁRIOS'!$O$5:$O$500,"&lt;=115499",'LANÇAMENTOS DIÁRIOS'!$P$5:$P$500,"&gt;=115400")&gt;0,"X","")</f>
      </c>
      <c r="AP55" s="56" t="str">
        <f>IF(COUNTIFS('LANÇAMENTOS DIÁRIOS'!$G$5:$G$500,"F",'LANÇAMENTOS DIÁRIOS'!$C$5:$C$500,$A55,'LANÇAMENTOS DIÁRIOS'!$O$5:$O$500,"&lt;=115599",'LANÇAMENTOS DIÁRIOS'!$P$5:$P$500,"&gt;=115500")&gt;0,"X","")</f>
      </c>
      <c r="AQ55" s="56" t="str">
        <f>IF(COUNTIFS('LANÇAMENTOS DIÁRIOS'!$G$5:$G$500,"F",'LANÇAMENTOS DIÁRIOS'!$C$5:$C$500,$A55,'LANÇAMENTOS DIÁRIOS'!$O$5:$O$500,"&lt;=115699",'LANÇAMENTOS DIÁRIOS'!$P$5:$P$500,"&gt;=115600")&gt;0,"X","")</f>
      </c>
      <c r="AR55" s="56" t="str">
        <f>IF(COUNTIFS('LANÇAMENTOS DIÁRIOS'!$G$5:$G$500,"F",'LANÇAMENTOS DIÁRIOS'!$C$5:$C$500,$A55,'LANÇAMENTOS DIÁRIOS'!$O$5:$O$500,"&lt;=115799",'LANÇAMENTOS DIÁRIOS'!$P$5:$P$500,"&gt;=115700")&gt;0,"X","")</f>
      </c>
      <c r="AS55" s="56" t="str">
        <f>IF(COUNTIFS('LANÇAMENTOS DIÁRIOS'!$G$5:$G$500,"F",'LANÇAMENTOS DIÁRIOS'!$C$5:$C$500,$A55,'LANÇAMENTOS DIÁRIOS'!$O$5:$O$500,"&lt;=115899",'LANÇAMENTOS DIÁRIOS'!$P$5:$P$500,"&gt;=115800")&gt;0,"X","")</f>
      </c>
      <c r="AT55" s="56" t="str">
        <f>IF(COUNTIFS('LANÇAMENTOS DIÁRIOS'!$G$5:$G$500,"F",'LANÇAMENTOS DIÁRIOS'!$C$5:$C$500,$A55,'LANÇAMENTOS DIÁRIOS'!$O$5:$O$500,"&lt;=115999",'LANÇAMENTOS DIÁRIOS'!$P$5:$P$500,"&gt;=115900")&gt;0,"X","")</f>
      </c>
      <c r="AU55" s="56" t="str">
        <f>IF(COUNTIFS('LANÇAMENTOS DIÁRIOS'!$G$5:$G$500,"F",'LANÇAMENTOS DIÁRIOS'!$C$5:$C$500,$A55,'LANÇAMENTOS DIÁRIOS'!$O$5:$O$500,"&lt;=116099",'LANÇAMENTOS DIÁRIOS'!$P$5:$P$500,"&gt;=116000")&gt;0,"X","")</f>
      </c>
      <c r="AV55" s="56" t="str">
        <f>IF(COUNTIFS('LANÇAMENTOS DIÁRIOS'!$G$5:$G$500,"F",'LANÇAMENTOS DIÁRIOS'!$C$5:$C$500,$A55,'LANÇAMENTOS DIÁRIOS'!$O$5:$O$500,"&lt;=116199",'LANÇAMENTOS DIÁRIOS'!$P$5:$P$500,"&gt;=116100")&gt;0,"X","")</f>
      </c>
      <c r="AW55" s="56" t="str">
        <f>IF(COUNTIFS('LANÇAMENTOS DIÁRIOS'!$G$5:$G$500,"F",'LANÇAMENTOS DIÁRIOS'!$C$5:$C$500,$A55,'LANÇAMENTOS DIÁRIOS'!$O$5:$O$500,"&lt;=116299",'LANÇAMENTOS DIÁRIOS'!$P$5:$P$500,"&gt;=116200")&gt;0,"X","")</f>
      </c>
      <c r="AX55" s="56" t="str">
        <f>IF(COUNTIFS('LANÇAMENTOS DIÁRIOS'!$G$5:$G$500,"F",'LANÇAMENTOS DIÁRIOS'!$C$5:$C$500,$A55,'LANÇAMENTOS DIÁRIOS'!$O$5:$O$500,"&lt;=116399",'LANÇAMENTOS DIÁRIOS'!$P$5:$P$500,"&gt;=116300")&gt;0,"X","")</f>
      </c>
      <c r="AY55" s="56" t="str">
        <f>IF(COUNTIFS('LANÇAMENTOS DIÁRIOS'!$G$5:$G$500,"F",'LANÇAMENTOS DIÁRIOS'!$C$5:$C$500,$A55,'LANÇAMENTOS DIÁRIOS'!$O$5:$O$500,"&lt;=116499",'LANÇAMENTOS DIÁRIOS'!$P$5:$P$500,"&gt;=116400")&gt;0,"X","")</f>
      </c>
      <c r="AZ55" s="56" t="str">
        <f>IF(COUNTIFS('LANÇAMENTOS DIÁRIOS'!$G$5:$G$500,"F",'LANÇAMENTOS DIÁRIOS'!$C$5:$C$500,$A55,'LANÇAMENTOS DIÁRIOS'!$O$5:$O$500,"&lt;=116599",'LANÇAMENTOS DIÁRIOS'!$P$5:$P$500,"&gt;=116500")&gt;0,"X","")</f>
      </c>
      <c r="BA55" s="56" t="str">
        <f>IF(COUNTIFS('LANÇAMENTOS DIÁRIOS'!$G$5:$G$500,"F",'LANÇAMENTOS DIÁRIOS'!$C$5:$C$500,$A55,'LANÇAMENTOS DIÁRIOS'!$O$5:$O$500,"&lt;=116699",'LANÇAMENTOS DIÁRIOS'!$P$5:$P$500,"&gt;=116600")&gt;0,"X","")</f>
      </c>
      <c r="BB55" s="56" t="str">
        <f>IF(COUNTIFS('LANÇAMENTOS DIÁRIOS'!$G$5:$G$500,"F",'LANÇAMENTOS DIÁRIOS'!$C$5:$C$500,$A55,'LANÇAMENTOS DIÁRIOS'!$O$5:$O$500,"&lt;=116799",'LANÇAMENTOS DIÁRIOS'!$P$5:$P$500,"&gt;=116700")&gt;0,"X","")</f>
      </c>
      <c r="BC55" s="56" t="str">
        <f>IF(COUNTIFS('LANÇAMENTOS DIÁRIOS'!$G$5:$G$500,"F",'LANÇAMENTOS DIÁRIOS'!$C$5:$C$500,$A55,'LANÇAMENTOS DIÁRIOS'!$O$5:$O$500,"&lt;=116899",'LANÇAMENTOS DIÁRIOS'!$P$5:$P$500,"&gt;=116800")&gt;0,"X","")</f>
      </c>
      <c r="BD55" s="56" t="str">
        <f>IF(COUNTIFS('LANÇAMENTOS DIÁRIOS'!$G$5:$G$500,"F",'LANÇAMENTOS DIÁRIOS'!$C$5:$C$500,$A55,'LANÇAMENTOS DIÁRIOS'!$O$5:$O$500,"&lt;=116999",'LANÇAMENTOS DIÁRIOS'!$P$5:$P$500,"&gt;=116900")&gt;0,"X","")</f>
      </c>
      <c r="BE55" s="56" t="str">
        <f>IF(COUNTIFS('LANÇAMENTOS DIÁRIOS'!$G$5:$G$500,"F",'LANÇAMENTOS DIÁRIOS'!$C$5:$C$500,$A55,'LANÇAMENTOS DIÁRIOS'!$O$5:$O$500,"&lt;=117099",'LANÇAMENTOS DIÁRIOS'!$P$5:$P$500,"&gt;=117000")&gt;0,"X","")</f>
      </c>
      <c r="BF55" s="56" t="str">
        <f>IF(COUNTIFS('LANÇAMENTOS DIÁRIOS'!$G$5:$G$500,"F",'LANÇAMENTOS DIÁRIOS'!$C$5:$C$500,$A55,'LANÇAMENTOS DIÁRIOS'!$O$5:$O$500,"&lt;=117199",'LANÇAMENTOS DIÁRIOS'!$P$5:$P$500,"&gt;=117100")&gt;0,"X","")</f>
      </c>
      <c r="BG55" s="56" t="str">
        <f>IF(COUNTIFS('LANÇAMENTOS DIÁRIOS'!$G$5:$G$500,"F",'LANÇAMENTOS DIÁRIOS'!$C$5:$C$500,$A55,'LANÇAMENTOS DIÁRIOS'!$O$5:$O$500,"&lt;=117219",'LANÇAMENTOS DIÁRIOS'!$P$5:$P$500,"&gt;=117200")&gt;0,"X","")</f>
      </c>
      <c r="BH55" s="56" t="str">
        <f>IF(COUNTIFS('LANÇAMENTOS DIÁRIOS'!$G$5:$G$500,"F",'LANÇAMENTOS DIÁRIOS'!$C$5:$C$500,$A55,'LANÇAMENTOS DIÁRIOS'!$O$5:$O$500,"&lt;=117220",'LANÇAMENTOS DIÁRIOS'!$P$5:$P$500,"&gt;=117220")&gt;0,"X","")</f>
      </c>
    </row>
    <row r="56">
      <c r="A56" s="51" t="str">
        <v>Estaca de brita ø 0,80 m</v>
      </c>
      <c r="B56" s="56" t="str">
        <f>IF(COUNTIFS('LANÇAMENTOS DIÁRIOS'!$G$5:$G$500,"F",'LANÇAMENTOS DIÁRIOS'!$C$5:$C$500,$A56,'LANÇAMENTOS DIÁRIOS'!$O$5:$O$500,"&lt;=111599",'LANÇAMENTOS DIÁRIOS'!$P$5:$P$500,"&gt;=111500")&gt;0,"X","")</f>
      </c>
      <c r="C56" s="56" t="str">
        <f>IF(COUNTIFS('LANÇAMENTOS DIÁRIOS'!$G$5:$G$500,"F",'LANÇAMENTOS DIÁRIOS'!$C$5:$C$500,$A56,'LANÇAMENTOS DIÁRIOS'!$O$5:$O$500,"&lt;=111699",'LANÇAMENTOS DIÁRIOS'!$P$5:$P$500,"&gt;=111600")&gt;0,"X","")</f>
      </c>
      <c r="D56" s="56" t="str">
        <f>IF(COUNTIFS('LANÇAMENTOS DIÁRIOS'!$G$5:$G$500,"F",'LANÇAMENTOS DIÁRIOS'!$C$5:$C$500,$A56,'LANÇAMENTOS DIÁRIOS'!$O$5:$O$500,"&lt;=111799",'LANÇAMENTOS DIÁRIOS'!$P$5:$P$500,"&gt;=111700")&gt;0,"X","")</f>
      </c>
      <c r="E56" s="56" t="str">
        <f>IF(COUNTIFS('LANÇAMENTOS DIÁRIOS'!$G$5:$G$500,"F",'LANÇAMENTOS DIÁRIOS'!$C$5:$C$500,$A56,'LANÇAMENTOS DIÁRIOS'!$O$5:$O$500,"&lt;=111899",'LANÇAMENTOS DIÁRIOS'!$P$5:$P$500,"&gt;=111800")&gt;0,"X","")</f>
      </c>
      <c r="F56" s="56" t="str">
        <f>IF(COUNTIFS('LANÇAMENTOS DIÁRIOS'!$G$5:$G$500,"F",'LANÇAMENTOS DIÁRIOS'!$C$5:$C$500,$A56,'LANÇAMENTOS DIÁRIOS'!$O$5:$O$500,"&lt;=111999",'LANÇAMENTOS DIÁRIOS'!$P$5:$P$500,"&gt;=111900")&gt;0,"X","")</f>
      </c>
      <c r="G56" s="56" t="str">
        <f>IF(COUNTIFS('LANÇAMENTOS DIÁRIOS'!$G$5:$G$500,"F",'LANÇAMENTOS DIÁRIOS'!$C$5:$C$500,$A56,'LANÇAMENTOS DIÁRIOS'!$O$5:$O$500,"&lt;=112099",'LANÇAMENTOS DIÁRIOS'!$P$5:$P$500,"&gt;=112000")&gt;0,"X","")</f>
      </c>
      <c r="H56" s="56" t="str">
        <f>IF(COUNTIFS('LANÇAMENTOS DIÁRIOS'!$G$5:$G$500,"F",'LANÇAMENTOS DIÁRIOS'!$C$5:$C$500,$A56,'LANÇAMENTOS DIÁRIOS'!$O$5:$O$500,"&lt;=112199",'LANÇAMENTOS DIÁRIOS'!$P$5:$P$500,"&gt;=112100")&gt;0,"X","")</f>
      </c>
      <c r="I56" s="56" t="str">
        <f>IF(COUNTIFS('LANÇAMENTOS DIÁRIOS'!$G$5:$G$500,"F",'LANÇAMENTOS DIÁRIOS'!$C$5:$C$500,$A56,'LANÇAMENTOS DIÁRIOS'!$O$5:$O$500,"&lt;=112299",'LANÇAMENTOS DIÁRIOS'!$P$5:$P$500,"&gt;=112200")&gt;0,"X","")</f>
      </c>
      <c r="J56" s="56" t="str">
        <f>IF(COUNTIFS('LANÇAMENTOS DIÁRIOS'!$G$5:$G$500,"F",'LANÇAMENTOS DIÁRIOS'!$C$5:$C$500,$A56,'LANÇAMENTOS DIÁRIOS'!$O$5:$O$500,"&lt;=112399",'LANÇAMENTOS DIÁRIOS'!$P$5:$P$500,"&gt;=112300")&gt;0,"X","")</f>
      </c>
      <c r="K56" s="56" t="str">
        <f>IF(COUNTIFS('LANÇAMENTOS DIÁRIOS'!$G$5:$G$500,"F",'LANÇAMENTOS DIÁRIOS'!$C$5:$C$500,$A56,'LANÇAMENTOS DIÁRIOS'!$O$5:$O$500,"&lt;=112499",'LANÇAMENTOS DIÁRIOS'!$P$5:$P$500,"&gt;=112400")&gt;0,"X","")</f>
      </c>
      <c r="L56" s="56" t="str">
        <f>IF(COUNTIFS('LANÇAMENTOS DIÁRIOS'!$G$5:$G$500,"F",'LANÇAMENTOS DIÁRIOS'!$C$5:$C$500,$A56,'LANÇAMENTOS DIÁRIOS'!$O$5:$O$500,"&lt;=112599",'LANÇAMENTOS DIÁRIOS'!$P$5:$P$500,"&gt;=112500")&gt;0,"X","")</f>
      </c>
      <c r="M56" s="56" t="str">
        <f>IF(COUNTIFS('LANÇAMENTOS DIÁRIOS'!$G$5:$G$500,"F",'LANÇAMENTOS DIÁRIOS'!$C$5:$C$500,$A56,'LANÇAMENTOS DIÁRIOS'!$O$5:$O$500,"&lt;=112699",'LANÇAMENTOS DIÁRIOS'!$P$5:$P$500,"&gt;=112600")&gt;0,"X","")</f>
      </c>
      <c r="N56" s="56" t="str">
        <f>IF(COUNTIFS('LANÇAMENTOS DIÁRIOS'!$G$5:$G$500,"F",'LANÇAMENTOS DIÁRIOS'!$C$5:$C$500,$A56,'LANÇAMENTOS DIÁRIOS'!$O$5:$O$500,"&lt;=112799",'LANÇAMENTOS DIÁRIOS'!$P$5:$P$500,"&gt;=112700")&gt;0,"X","")</f>
      </c>
      <c r="O56" s="56" t="str">
        <f>IF(COUNTIFS('LANÇAMENTOS DIÁRIOS'!$G$5:$G$500,"F",'LANÇAMENTOS DIÁRIOS'!$C$5:$C$500,$A56,'LANÇAMENTOS DIÁRIOS'!$O$5:$O$500,"&lt;=112899",'LANÇAMENTOS DIÁRIOS'!$P$5:$P$500,"&gt;=112800")&gt;0,"X","")</f>
      </c>
      <c r="P56" s="56" t="str">
        <f>IF(COUNTIFS('LANÇAMENTOS DIÁRIOS'!$G$5:$G$500,"F",'LANÇAMENTOS DIÁRIOS'!$C$5:$C$500,$A56,'LANÇAMENTOS DIÁRIOS'!$O$5:$O$500,"&lt;=112999",'LANÇAMENTOS DIÁRIOS'!$P$5:$P$500,"&gt;=112900")&gt;0,"X","")</f>
      </c>
      <c r="Q56" s="56" t="str">
        <f>IF(COUNTIFS('LANÇAMENTOS DIÁRIOS'!$G$5:$G$500,"F",'LANÇAMENTOS DIÁRIOS'!$C$5:$C$500,$A56,'LANÇAMENTOS DIÁRIOS'!$O$5:$O$500,"&lt;=113099",'LANÇAMENTOS DIÁRIOS'!$P$5:$P$500,"&gt;=113000")&gt;0,"X","")</f>
      </c>
      <c r="R56" s="56" t="str">
        <f>IF(COUNTIFS('LANÇAMENTOS DIÁRIOS'!$G$5:$G$500,"F",'LANÇAMENTOS DIÁRIOS'!$C$5:$C$500,$A56,'LANÇAMENTOS DIÁRIOS'!$O$5:$O$500,"&lt;=113199",'LANÇAMENTOS DIÁRIOS'!$P$5:$P$500,"&gt;=113100")&gt;0,"X","")</f>
      </c>
      <c r="S56" s="56" t="str">
        <f>IF(COUNTIFS('LANÇAMENTOS DIÁRIOS'!$G$5:$G$500,"F",'LANÇAMENTOS DIÁRIOS'!$C$5:$C$500,$A56,'LANÇAMENTOS DIÁRIOS'!$O$5:$O$500,"&lt;=113299",'LANÇAMENTOS DIÁRIOS'!$P$5:$P$500,"&gt;=113200")&gt;0,"X","")</f>
      </c>
      <c r="T56" s="56" t="str">
        <f>IF(COUNTIFS('LANÇAMENTOS DIÁRIOS'!$G$5:$G$500,"F",'LANÇAMENTOS DIÁRIOS'!$C$5:$C$500,$A56,'LANÇAMENTOS DIÁRIOS'!$O$5:$O$500,"&lt;=113399",'LANÇAMENTOS DIÁRIOS'!$P$5:$P$500,"&gt;=113300")&gt;0,"X","")</f>
      </c>
      <c r="U56" s="56" t="str">
        <f>IF(COUNTIFS('LANÇAMENTOS DIÁRIOS'!$G$5:$G$500,"F",'LANÇAMENTOS DIÁRIOS'!$C$5:$C$500,$A56,'LANÇAMENTOS DIÁRIOS'!$O$5:$O$500,"&lt;=113499",'LANÇAMENTOS DIÁRIOS'!$P$5:$P$500,"&gt;=113400")&gt;0,"X","")</f>
      </c>
      <c r="V56" s="56" t="str">
        <f>IF(COUNTIFS('LANÇAMENTOS DIÁRIOS'!$G$5:$G$500,"F",'LANÇAMENTOS DIÁRIOS'!$C$5:$C$500,$A56,'LANÇAMENTOS DIÁRIOS'!$O$5:$O$500,"&lt;=113599",'LANÇAMENTOS DIÁRIOS'!$P$5:$P$500,"&gt;=113500")&gt;0,"X","")</f>
      </c>
      <c r="W56" s="56" t="str">
        <f>IF(COUNTIFS('LANÇAMENTOS DIÁRIOS'!$G$5:$G$500,"F",'LANÇAMENTOS DIÁRIOS'!$C$5:$C$500,$A56,'LANÇAMENTOS DIÁRIOS'!$O$5:$O$500,"&lt;=113699",'LANÇAMENTOS DIÁRIOS'!$P$5:$P$500,"&gt;=113600")&gt;0,"X","")</f>
      </c>
      <c r="X56" s="56" t="str">
        <f>IF(COUNTIFS('LANÇAMENTOS DIÁRIOS'!$G$5:$G$500,"F",'LANÇAMENTOS DIÁRIOS'!$C$5:$C$500,$A56,'LANÇAMENTOS DIÁRIOS'!$O$5:$O$500,"&lt;=113799",'LANÇAMENTOS DIÁRIOS'!$P$5:$P$500,"&gt;=113700")&gt;0,"X","")</f>
      </c>
      <c r="Y56" s="56" t="str">
        <f>IF(COUNTIFS('LANÇAMENTOS DIÁRIOS'!$G$5:$G$500,"F",'LANÇAMENTOS DIÁRIOS'!$C$5:$C$500,$A56,'LANÇAMENTOS DIÁRIOS'!$O$5:$O$500,"&lt;=113899",'LANÇAMENTOS DIÁRIOS'!$P$5:$P$500,"&gt;=113800")&gt;0,"X","")</f>
      </c>
      <c r="Z56" s="56" t="str">
        <f>IF(COUNTIFS('LANÇAMENTOS DIÁRIOS'!$G$5:$G$500,"F",'LANÇAMENTOS DIÁRIOS'!$C$5:$C$500,$A56,'LANÇAMENTOS DIÁRIOS'!$O$5:$O$500,"&lt;=113999",'LANÇAMENTOS DIÁRIOS'!$P$5:$P$500,"&gt;=113900")&gt;0,"X","")</f>
      </c>
      <c r="AA56" s="56" t="str">
        <f>IF(COUNTIFS('LANÇAMENTOS DIÁRIOS'!$G$5:$G$500,"F",'LANÇAMENTOS DIÁRIOS'!$C$5:$C$500,$A56,'LANÇAMENTOS DIÁRIOS'!$O$5:$O$500,"&lt;=114099",'LANÇAMENTOS DIÁRIOS'!$P$5:$P$500,"&gt;=114000")&gt;0,"X","")</f>
      </c>
      <c r="AB56" s="56" t="str">
        <f>IF(COUNTIFS('LANÇAMENTOS DIÁRIOS'!$G$5:$G$500,"F",'LANÇAMENTOS DIÁRIOS'!$C$5:$C$500,$A56,'LANÇAMENTOS DIÁRIOS'!$O$5:$O$500,"&lt;=114199",'LANÇAMENTOS DIÁRIOS'!$P$5:$P$500,"&gt;=114100")&gt;0,"X","")</f>
      </c>
      <c r="AC56" s="56" t="str">
        <f>IF(COUNTIFS('LANÇAMENTOS DIÁRIOS'!$G$5:$G$500,"F",'LANÇAMENTOS DIÁRIOS'!$C$5:$C$500,$A56,'LANÇAMENTOS DIÁRIOS'!$O$5:$O$500,"&lt;=114299",'LANÇAMENTOS DIÁRIOS'!$P$5:$P$500,"&gt;=114200")&gt;0,"X","")</f>
      </c>
      <c r="AD56" s="56" t="str">
        <f>IF(COUNTIFS('LANÇAMENTOS DIÁRIOS'!$G$5:$G$500,"F",'LANÇAMENTOS DIÁRIOS'!$C$5:$C$500,$A56,'LANÇAMENTOS DIÁRIOS'!$O$5:$O$500,"&lt;=114399",'LANÇAMENTOS DIÁRIOS'!$P$5:$P$500,"&gt;=114300")&gt;0,"X","")</f>
      </c>
      <c r="AE56" s="56" t="str">
        <f>IF(COUNTIFS('LANÇAMENTOS DIÁRIOS'!$G$5:$G$500,"F",'LANÇAMENTOS DIÁRIOS'!$C$5:$C$500,$A56,'LANÇAMENTOS DIÁRIOS'!$O$5:$O$500,"&lt;=114499",'LANÇAMENTOS DIÁRIOS'!$P$5:$P$500,"&gt;=114400")&gt;0,"X","")</f>
      </c>
      <c r="AF56" s="56" t="str">
        <f>IF(COUNTIFS('LANÇAMENTOS DIÁRIOS'!$G$5:$G$500,"F",'LANÇAMENTOS DIÁRIOS'!$C$5:$C$500,$A56,'LANÇAMENTOS DIÁRIOS'!$O$5:$O$500,"&lt;=114599",'LANÇAMENTOS DIÁRIOS'!$P$5:$P$500,"&gt;=114500")&gt;0,"X","")</f>
      </c>
      <c r="AG56" s="56" t="str">
        <f>IF(COUNTIFS('LANÇAMENTOS DIÁRIOS'!$G$5:$G$500,"F",'LANÇAMENTOS DIÁRIOS'!$C$5:$C$500,$A56,'LANÇAMENTOS DIÁRIOS'!$O$5:$O$500,"&lt;=114699",'LANÇAMENTOS DIÁRIOS'!$P$5:$P$500,"&gt;=114600")&gt;0,"X","")</f>
      </c>
      <c r="AH56" s="56" t="str">
        <f>IF(COUNTIFS('LANÇAMENTOS DIÁRIOS'!$G$5:$G$500,"F",'LANÇAMENTOS DIÁRIOS'!$C$5:$C$500,$A56,'LANÇAMENTOS DIÁRIOS'!$O$5:$O$500,"&lt;=114799",'LANÇAMENTOS DIÁRIOS'!$P$5:$P$500,"&gt;=114700")&gt;0,"X","")</f>
      </c>
      <c r="AI56" s="56" t="str">
        <f>IF(COUNTIFS('LANÇAMENTOS DIÁRIOS'!$G$5:$G$500,"F",'LANÇAMENTOS DIÁRIOS'!$C$5:$C$500,$A56,'LANÇAMENTOS DIÁRIOS'!$O$5:$O$500,"&lt;=114899",'LANÇAMENTOS DIÁRIOS'!$P$5:$P$500,"&gt;=114800")&gt;0,"X","")</f>
      </c>
      <c r="AJ56" s="56" t="str">
        <f>IF(COUNTIFS('LANÇAMENTOS DIÁRIOS'!$G$5:$G$500,"F",'LANÇAMENTOS DIÁRIOS'!$C$5:$C$500,$A56,'LANÇAMENTOS DIÁRIOS'!$O$5:$O$500,"&lt;=114999",'LANÇAMENTOS DIÁRIOS'!$P$5:$P$500,"&gt;=114900")&gt;0,"X","")</f>
      </c>
      <c r="AK56" s="56" t="str">
        <f>IF(COUNTIFS('LANÇAMENTOS DIÁRIOS'!$G$5:$G$500,"F",'LANÇAMENTOS DIÁRIOS'!$C$5:$C$500,$A56,'LANÇAMENTOS DIÁRIOS'!$O$5:$O$500,"&lt;=115099",'LANÇAMENTOS DIÁRIOS'!$P$5:$P$500,"&gt;=115000")&gt;0,"X","")</f>
      </c>
      <c r="AL56" s="56" t="str">
        <f>IF(COUNTIFS('LANÇAMENTOS DIÁRIOS'!$G$5:$G$500,"F",'LANÇAMENTOS DIÁRIOS'!$C$5:$C$500,$A56,'LANÇAMENTOS DIÁRIOS'!$O$5:$O$500,"&lt;=115199",'LANÇAMENTOS DIÁRIOS'!$P$5:$P$500,"&gt;=115100")&gt;0,"X","")</f>
      </c>
      <c r="AM56" s="56" t="str">
        <f>IF(COUNTIFS('LANÇAMENTOS DIÁRIOS'!$G$5:$G$500,"F",'LANÇAMENTOS DIÁRIOS'!$C$5:$C$500,$A56,'LANÇAMENTOS DIÁRIOS'!$O$5:$O$500,"&lt;=115299",'LANÇAMENTOS DIÁRIOS'!$P$5:$P$500,"&gt;=115200")&gt;0,"X","")</f>
      </c>
      <c r="AN56" s="56" t="str">
        <f>IF(COUNTIFS('LANÇAMENTOS DIÁRIOS'!$G$5:$G$500,"F",'LANÇAMENTOS DIÁRIOS'!$C$5:$C$500,$A56,'LANÇAMENTOS DIÁRIOS'!$O$5:$O$500,"&lt;=115399",'LANÇAMENTOS DIÁRIOS'!$P$5:$P$500,"&gt;=115300")&gt;0,"X","")</f>
      </c>
      <c r="AO56" s="56" t="str">
        <f>IF(COUNTIFS('LANÇAMENTOS DIÁRIOS'!$G$5:$G$500,"F",'LANÇAMENTOS DIÁRIOS'!$C$5:$C$500,$A56,'LANÇAMENTOS DIÁRIOS'!$O$5:$O$500,"&lt;=115499",'LANÇAMENTOS DIÁRIOS'!$P$5:$P$500,"&gt;=115400")&gt;0,"X","")</f>
      </c>
      <c r="AP56" s="56" t="str">
        <f>IF(COUNTIFS('LANÇAMENTOS DIÁRIOS'!$G$5:$G$500,"F",'LANÇAMENTOS DIÁRIOS'!$C$5:$C$500,$A56,'LANÇAMENTOS DIÁRIOS'!$O$5:$O$500,"&lt;=115599",'LANÇAMENTOS DIÁRIOS'!$P$5:$P$500,"&gt;=115500")&gt;0,"X","")</f>
      </c>
      <c r="AQ56" s="56" t="str">
        <f>IF(COUNTIFS('LANÇAMENTOS DIÁRIOS'!$G$5:$G$500,"F",'LANÇAMENTOS DIÁRIOS'!$C$5:$C$500,$A56,'LANÇAMENTOS DIÁRIOS'!$O$5:$O$500,"&lt;=115699",'LANÇAMENTOS DIÁRIOS'!$P$5:$P$500,"&gt;=115600")&gt;0,"X","")</f>
      </c>
      <c r="AR56" s="56" t="str">
        <f>IF(COUNTIFS('LANÇAMENTOS DIÁRIOS'!$G$5:$G$500,"F",'LANÇAMENTOS DIÁRIOS'!$C$5:$C$500,$A56,'LANÇAMENTOS DIÁRIOS'!$O$5:$O$500,"&lt;=115799",'LANÇAMENTOS DIÁRIOS'!$P$5:$P$500,"&gt;=115700")&gt;0,"X","")</f>
      </c>
      <c r="AS56" s="56" t="str">
        <f>IF(COUNTIFS('LANÇAMENTOS DIÁRIOS'!$G$5:$G$500,"F",'LANÇAMENTOS DIÁRIOS'!$C$5:$C$500,$A56,'LANÇAMENTOS DIÁRIOS'!$O$5:$O$500,"&lt;=115899",'LANÇAMENTOS DIÁRIOS'!$P$5:$P$500,"&gt;=115800")&gt;0,"X","")</f>
      </c>
      <c r="AT56" s="56" t="str">
        <f>IF(COUNTIFS('LANÇAMENTOS DIÁRIOS'!$G$5:$G$500,"F",'LANÇAMENTOS DIÁRIOS'!$C$5:$C$500,$A56,'LANÇAMENTOS DIÁRIOS'!$O$5:$O$500,"&lt;=115999",'LANÇAMENTOS DIÁRIOS'!$P$5:$P$500,"&gt;=115900")&gt;0,"X","")</f>
      </c>
      <c r="AU56" s="56" t="str">
        <f>IF(COUNTIFS('LANÇAMENTOS DIÁRIOS'!$G$5:$G$500,"F",'LANÇAMENTOS DIÁRIOS'!$C$5:$C$500,$A56,'LANÇAMENTOS DIÁRIOS'!$O$5:$O$500,"&lt;=116099",'LANÇAMENTOS DIÁRIOS'!$P$5:$P$500,"&gt;=116000")&gt;0,"X","")</f>
      </c>
      <c r="AV56" s="56" t="str">
        <f>IF(COUNTIFS('LANÇAMENTOS DIÁRIOS'!$G$5:$G$500,"F",'LANÇAMENTOS DIÁRIOS'!$C$5:$C$500,$A56,'LANÇAMENTOS DIÁRIOS'!$O$5:$O$500,"&lt;=116199",'LANÇAMENTOS DIÁRIOS'!$P$5:$P$500,"&gt;=116100")&gt;0,"X","")</f>
      </c>
      <c r="AW56" s="56" t="str">
        <f>IF(COUNTIFS('LANÇAMENTOS DIÁRIOS'!$G$5:$G$500,"F",'LANÇAMENTOS DIÁRIOS'!$C$5:$C$500,$A56,'LANÇAMENTOS DIÁRIOS'!$O$5:$O$500,"&lt;=116299",'LANÇAMENTOS DIÁRIOS'!$P$5:$P$500,"&gt;=116200")&gt;0,"X","")</f>
      </c>
      <c r="AX56" s="56" t="str">
        <f>IF(COUNTIFS('LANÇAMENTOS DIÁRIOS'!$G$5:$G$500,"F",'LANÇAMENTOS DIÁRIOS'!$C$5:$C$500,$A56,'LANÇAMENTOS DIÁRIOS'!$O$5:$O$500,"&lt;=116399",'LANÇAMENTOS DIÁRIOS'!$P$5:$P$500,"&gt;=116300")&gt;0,"X","")</f>
      </c>
      <c r="AY56" s="56" t="str">
        <f>IF(COUNTIFS('LANÇAMENTOS DIÁRIOS'!$G$5:$G$500,"F",'LANÇAMENTOS DIÁRIOS'!$C$5:$C$500,$A56,'LANÇAMENTOS DIÁRIOS'!$O$5:$O$500,"&lt;=116499",'LANÇAMENTOS DIÁRIOS'!$P$5:$P$500,"&gt;=116400")&gt;0,"X","")</f>
      </c>
      <c r="AZ56" s="56" t="str">
        <f>IF(COUNTIFS('LANÇAMENTOS DIÁRIOS'!$G$5:$G$500,"F",'LANÇAMENTOS DIÁRIOS'!$C$5:$C$500,$A56,'LANÇAMENTOS DIÁRIOS'!$O$5:$O$500,"&lt;=116599",'LANÇAMENTOS DIÁRIOS'!$P$5:$P$500,"&gt;=116500")&gt;0,"X","")</f>
      </c>
      <c r="BA56" s="56" t="str">
        <f>IF(COUNTIFS('LANÇAMENTOS DIÁRIOS'!$G$5:$G$500,"F",'LANÇAMENTOS DIÁRIOS'!$C$5:$C$500,$A56,'LANÇAMENTOS DIÁRIOS'!$O$5:$O$500,"&lt;=116699",'LANÇAMENTOS DIÁRIOS'!$P$5:$P$500,"&gt;=116600")&gt;0,"X","")</f>
      </c>
      <c r="BB56" s="56" t="str">
        <f>IF(COUNTIFS('LANÇAMENTOS DIÁRIOS'!$G$5:$G$500,"F",'LANÇAMENTOS DIÁRIOS'!$C$5:$C$500,$A56,'LANÇAMENTOS DIÁRIOS'!$O$5:$O$500,"&lt;=116799",'LANÇAMENTOS DIÁRIOS'!$P$5:$P$500,"&gt;=116700")&gt;0,"X","")</f>
      </c>
      <c r="BC56" s="56" t="str">
        <f>IF(COUNTIFS('LANÇAMENTOS DIÁRIOS'!$G$5:$G$500,"F",'LANÇAMENTOS DIÁRIOS'!$C$5:$C$500,$A56,'LANÇAMENTOS DIÁRIOS'!$O$5:$O$500,"&lt;=116899",'LANÇAMENTOS DIÁRIOS'!$P$5:$P$500,"&gt;=116800")&gt;0,"X","")</f>
      </c>
      <c r="BD56" s="56" t="str">
        <f>IF(COUNTIFS('LANÇAMENTOS DIÁRIOS'!$G$5:$G$500,"F",'LANÇAMENTOS DIÁRIOS'!$C$5:$C$500,$A56,'LANÇAMENTOS DIÁRIOS'!$O$5:$O$500,"&lt;=116999",'LANÇAMENTOS DIÁRIOS'!$P$5:$P$500,"&gt;=116900")&gt;0,"X","")</f>
      </c>
      <c r="BE56" s="56" t="str">
        <f>IF(COUNTIFS('LANÇAMENTOS DIÁRIOS'!$G$5:$G$500,"F",'LANÇAMENTOS DIÁRIOS'!$C$5:$C$500,$A56,'LANÇAMENTOS DIÁRIOS'!$O$5:$O$500,"&lt;=117099",'LANÇAMENTOS DIÁRIOS'!$P$5:$P$500,"&gt;=117000")&gt;0,"X","")</f>
      </c>
      <c r="BF56" s="56" t="str">
        <f>IF(COUNTIFS('LANÇAMENTOS DIÁRIOS'!$G$5:$G$500,"F",'LANÇAMENTOS DIÁRIOS'!$C$5:$C$500,$A56,'LANÇAMENTOS DIÁRIOS'!$O$5:$O$500,"&lt;=117199",'LANÇAMENTOS DIÁRIOS'!$P$5:$P$500,"&gt;=117100")&gt;0,"X","")</f>
      </c>
      <c r="BG56" s="56" t="str">
        <f>IF(COUNTIFS('LANÇAMENTOS DIÁRIOS'!$G$5:$G$500,"F",'LANÇAMENTOS DIÁRIOS'!$C$5:$C$500,$A56,'LANÇAMENTOS DIÁRIOS'!$O$5:$O$500,"&lt;=117219",'LANÇAMENTOS DIÁRIOS'!$P$5:$P$500,"&gt;=117200")&gt;0,"X","")</f>
      </c>
      <c r="BH56" s="56" t="str">
        <f>IF(COUNTIFS('LANÇAMENTOS DIÁRIOS'!$G$5:$G$500,"F",'LANÇAMENTOS DIÁRIOS'!$C$5:$C$500,$A56,'LANÇAMENTOS DIÁRIOS'!$O$5:$O$500,"&lt;=117220",'LANÇAMENTOS DIÁRIOS'!$P$5:$P$500,"&gt;=117220")&gt;0,"X","")</f>
      </c>
    </row>
    <row r="57">
      <c r="A57" s="51" t="str">
        <v>Compactação de aterro a 100% do proctor normal (*)</v>
      </c>
      <c r="B57" s="56" t="str">
        <f>IF(COUNTIFS('LANÇAMENTOS DIÁRIOS'!$G$5:$G$500,"F",'LANÇAMENTOS DIÁRIOS'!$C$5:$C$500,$A57,'LANÇAMENTOS DIÁRIOS'!$O$5:$O$500,"&lt;=111599",'LANÇAMENTOS DIÁRIOS'!$P$5:$P$500,"&gt;=111500")&gt;0,"X","")</f>
      </c>
      <c r="C57" s="56" t="str">
        <f>IF(COUNTIFS('LANÇAMENTOS DIÁRIOS'!$G$5:$G$500,"F",'LANÇAMENTOS DIÁRIOS'!$C$5:$C$500,$A57,'LANÇAMENTOS DIÁRIOS'!$O$5:$O$500,"&lt;=111699",'LANÇAMENTOS DIÁRIOS'!$P$5:$P$500,"&gt;=111600")&gt;0,"X","")</f>
      </c>
      <c r="D57" s="56" t="str">
        <f>IF(COUNTIFS('LANÇAMENTOS DIÁRIOS'!$G$5:$G$500,"F",'LANÇAMENTOS DIÁRIOS'!$C$5:$C$500,$A57,'LANÇAMENTOS DIÁRIOS'!$O$5:$O$500,"&lt;=111799",'LANÇAMENTOS DIÁRIOS'!$P$5:$P$500,"&gt;=111700")&gt;0,"X","")</f>
      </c>
      <c r="E57" s="56" t="str">
        <f>IF(COUNTIFS('LANÇAMENTOS DIÁRIOS'!$G$5:$G$500,"F",'LANÇAMENTOS DIÁRIOS'!$C$5:$C$500,$A57,'LANÇAMENTOS DIÁRIOS'!$O$5:$O$500,"&lt;=111899",'LANÇAMENTOS DIÁRIOS'!$P$5:$P$500,"&gt;=111800")&gt;0,"X","")</f>
      </c>
      <c r="F57" s="56" t="str">
        <f>IF(COUNTIFS('LANÇAMENTOS DIÁRIOS'!$G$5:$G$500,"F",'LANÇAMENTOS DIÁRIOS'!$C$5:$C$500,$A57,'LANÇAMENTOS DIÁRIOS'!$O$5:$O$500,"&lt;=111999",'LANÇAMENTOS DIÁRIOS'!$P$5:$P$500,"&gt;=111900")&gt;0,"X","")</f>
      </c>
      <c r="G57" s="56" t="str">
        <f>IF(COUNTIFS('LANÇAMENTOS DIÁRIOS'!$G$5:$G$500,"F",'LANÇAMENTOS DIÁRIOS'!$C$5:$C$500,$A57,'LANÇAMENTOS DIÁRIOS'!$O$5:$O$500,"&lt;=112099",'LANÇAMENTOS DIÁRIOS'!$P$5:$P$500,"&gt;=112000")&gt;0,"X","")</f>
      </c>
      <c r="H57" s="56" t="str">
        <f>IF(COUNTIFS('LANÇAMENTOS DIÁRIOS'!$G$5:$G$500,"F",'LANÇAMENTOS DIÁRIOS'!$C$5:$C$500,$A57,'LANÇAMENTOS DIÁRIOS'!$O$5:$O$500,"&lt;=112199",'LANÇAMENTOS DIÁRIOS'!$P$5:$P$500,"&gt;=112100")&gt;0,"X","")</f>
      </c>
      <c r="I57" s="56" t="str">
        <f>IF(COUNTIFS('LANÇAMENTOS DIÁRIOS'!$G$5:$G$500,"F",'LANÇAMENTOS DIÁRIOS'!$C$5:$C$500,$A57,'LANÇAMENTOS DIÁRIOS'!$O$5:$O$500,"&lt;=112299",'LANÇAMENTOS DIÁRIOS'!$P$5:$P$500,"&gt;=112200")&gt;0,"X","")</f>
      </c>
      <c r="J57" s="56" t="str">
        <f>IF(COUNTIFS('LANÇAMENTOS DIÁRIOS'!$G$5:$G$500,"F",'LANÇAMENTOS DIÁRIOS'!$C$5:$C$500,$A57,'LANÇAMENTOS DIÁRIOS'!$O$5:$O$500,"&lt;=112399",'LANÇAMENTOS DIÁRIOS'!$P$5:$P$500,"&gt;=112300")&gt;0,"X","")</f>
      </c>
      <c r="K57" s="56" t="str">
        <f>IF(COUNTIFS('LANÇAMENTOS DIÁRIOS'!$G$5:$G$500,"F",'LANÇAMENTOS DIÁRIOS'!$C$5:$C$500,$A57,'LANÇAMENTOS DIÁRIOS'!$O$5:$O$500,"&lt;=112499",'LANÇAMENTOS DIÁRIOS'!$P$5:$P$500,"&gt;=112400")&gt;0,"X","")</f>
      </c>
      <c r="L57" s="56" t="str">
        <f>IF(COUNTIFS('LANÇAMENTOS DIÁRIOS'!$G$5:$G$500,"F",'LANÇAMENTOS DIÁRIOS'!$C$5:$C$500,$A57,'LANÇAMENTOS DIÁRIOS'!$O$5:$O$500,"&lt;=112599",'LANÇAMENTOS DIÁRIOS'!$P$5:$P$500,"&gt;=112500")&gt;0,"X","")</f>
      </c>
      <c r="M57" s="56" t="str">
        <f>IF(COUNTIFS('LANÇAMENTOS DIÁRIOS'!$G$5:$G$500,"F",'LANÇAMENTOS DIÁRIOS'!$C$5:$C$500,$A57,'LANÇAMENTOS DIÁRIOS'!$O$5:$O$500,"&lt;=112699",'LANÇAMENTOS DIÁRIOS'!$P$5:$P$500,"&gt;=112600")&gt;0,"X","")</f>
      </c>
      <c r="N57" s="56" t="str">
        <f>IF(COUNTIFS('LANÇAMENTOS DIÁRIOS'!$G$5:$G$500,"F",'LANÇAMENTOS DIÁRIOS'!$C$5:$C$500,$A57,'LANÇAMENTOS DIÁRIOS'!$O$5:$O$500,"&lt;=112799",'LANÇAMENTOS DIÁRIOS'!$P$5:$P$500,"&gt;=112700")&gt;0,"X","")</f>
      </c>
      <c r="O57" s="56" t="str">
        <f>IF(COUNTIFS('LANÇAMENTOS DIÁRIOS'!$G$5:$G$500,"F",'LANÇAMENTOS DIÁRIOS'!$C$5:$C$500,$A57,'LANÇAMENTOS DIÁRIOS'!$O$5:$O$500,"&lt;=112899",'LANÇAMENTOS DIÁRIOS'!$P$5:$P$500,"&gt;=112800")&gt;0,"X","")</f>
      </c>
      <c r="P57" s="56" t="str">
        <f>IF(COUNTIFS('LANÇAMENTOS DIÁRIOS'!$G$5:$G$500,"F",'LANÇAMENTOS DIÁRIOS'!$C$5:$C$500,$A57,'LANÇAMENTOS DIÁRIOS'!$O$5:$O$500,"&lt;=112999",'LANÇAMENTOS DIÁRIOS'!$P$5:$P$500,"&gt;=112900")&gt;0,"X","")</f>
      </c>
      <c r="Q57" s="56" t="str">
        <f>IF(COUNTIFS('LANÇAMENTOS DIÁRIOS'!$G$5:$G$500,"F",'LANÇAMENTOS DIÁRIOS'!$C$5:$C$500,$A57,'LANÇAMENTOS DIÁRIOS'!$O$5:$O$500,"&lt;=113099",'LANÇAMENTOS DIÁRIOS'!$P$5:$P$500,"&gt;=113000")&gt;0,"X","")</f>
      </c>
      <c r="R57" s="56" t="str">
        <f>IF(COUNTIFS('LANÇAMENTOS DIÁRIOS'!$G$5:$G$500,"F",'LANÇAMENTOS DIÁRIOS'!$C$5:$C$500,$A57,'LANÇAMENTOS DIÁRIOS'!$O$5:$O$500,"&lt;=113199",'LANÇAMENTOS DIÁRIOS'!$P$5:$P$500,"&gt;=113100")&gt;0,"X","")</f>
      </c>
      <c r="S57" s="56" t="str">
        <f>IF(COUNTIFS('LANÇAMENTOS DIÁRIOS'!$G$5:$G$500,"F",'LANÇAMENTOS DIÁRIOS'!$C$5:$C$500,$A57,'LANÇAMENTOS DIÁRIOS'!$O$5:$O$500,"&lt;=113299",'LANÇAMENTOS DIÁRIOS'!$P$5:$P$500,"&gt;=113200")&gt;0,"X","")</f>
      </c>
      <c r="T57" s="56" t="str">
        <f>IF(COUNTIFS('LANÇAMENTOS DIÁRIOS'!$G$5:$G$500,"F",'LANÇAMENTOS DIÁRIOS'!$C$5:$C$500,$A57,'LANÇAMENTOS DIÁRIOS'!$O$5:$O$500,"&lt;=113399",'LANÇAMENTOS DIÁRIOS'!$P$5:$P$500,"&gt;=113300")&gt;0,"X","")</f>
      </c>
      <c r="U57" s="56" t="str">
        <f>IF(COUNTIFS('LANÇAMENTOS DIÁRIOS'!$G$5:$G$500,"F",'LANÇAMENTOS DIÁRIOS'!$C$5:$C$500,$A57,'LANÇAMENTOS DIÁRIOS'!$O$5:$O$500,"&lt;=113499",'LANÇAMENTOS DIÁRIOS'!$P$5:$P$500,"&gt;=113400")&gt;0,"X","")</f>
      </c>
      <c r="V57" s="56" t="str">
        <f>IF(COUNTIFS('LANÇAMENTOS DIÁRIOS'!$G$5:$G$500,"F",'LANÇAMENTOS DIÁRIOS'!$C$5:$C$500,$A57,'LANÇAMENTOS DIÁRIOS'!$O$5:$O$500,"&lt;=113599",'LANÇAMENTOS DIÁRIOS'!$P$5:$P$500,"&gt;=113500")&gt;0,"X","")</f>
      </c>
      <c r="W57" s="56" t="str">
        <f>IF(COUNTIFS('LANÇAMENTOS DIÁRIOS'!$G$5:$G$500,"F",'LANÇAMENTOS DIÁRIOS'!$C$5:$C$500,$A57,'LANÇAMENTOS DIÁRIOS'!$O$5:$O$500,"&lt;=113699",'LANÇAMENTOS DIÁRIOS'!$P$5:$P$500,"&gt;=113600")&gt;0,"X","")</f>
      </c>
      <c r="X57" s="56" t="str">
        <f>IF(COUNTIFS('LANÇAMENTOS DIÁRIOS'!$G$5:$G$500,"F",'LANÇAMENTOS DIÁRIOS'!$C$5:$C$500,$A57,'LANÇAMENTOS DIÁRIOS'!$O$5:$O$500,"&lt;=113799",'LANÇAMENTOS DIÁRIOS'!$P$5:$P$500,"&gt;=113700")&gt;0,"X","")</f>
      </c>
      <c r="Y57" s="56" t="str">
        <f>IF(COUNTIFS('LANÇAMENTOS DIÁRIOS'!$G$5:$G$500,"F",'LANÇAMENTOS DIÁRIOS'!$C$5:$C$500,$A57,'LANÇAMENTOS DIÁRIOS'!$O$5:$O$500,"&lt;=113899",'LANÇAMENTOS DIÁRIOS'!$P$5:$P$500,"&gt;=113800")&gt;0,"X","")</f>
      </c>
      <c r="Z57" s="56" t="str">
        <f>IF(COUNTIFS('LANÇAMENTOS DIÁRIOS'!$G$5:$G$500,"F",'LANÇAMENTOS DIÁRIOS'!$C$5:$C$500,$A57,'LANÇAMENTOS DIÁRIOS'!$O$5:$O$500,"&lt;=113999",'LANÇAMENTOS DIÁRIOS'!$P$5:$P$500,"&gt;=113900")&gt;0,"X","")</f>
      </c>
      <c r="AA57" s="56" t="str">
        <f>IF(COUNTIFS('LANÇAMENTOS DIÁRIOS'!$G$5:$G$500,"F",'LANÇAMENTOS DIÁRIOS'!$C$5:$C$500,$A57,'LANÇAMENTOS DIÁRIOS'!$O$5:$O$500,"&lt;=114099",'LANÇAMENTOS DIÁRIOS'!$P$5:$P$500,"&gt;=114000")&gt;0,"X","")</f>
      </c>
      <c r="AB57" s="56" t="str">
        <f>IF(COUNTIFS('LANÇAMENTOS DIÁRIOS'!$G$5:$G$500,"F",'LANÇAMENTOS DIÁRIOS'!$C$5:$C$500,$A57,'LANÇAMENTOS DIÁRIOS'!$O$5:$O$500,"&lt;=114199",'LANÇAMENTOS DIÁRIOS'!$P$5:$P$500,"&gt;=114100")&gt;0,"X","")</f>
      </c>
      <c r="AC57" s="56" t="str">
        <f>IF(COUNTIFS('LANÇAMENTOS DIÁRIOS'!$G$5:$G$500,"F",'LANÇAMENTOS DIÁRIOS'!$C$5:$C$500,$A57,'LANÇAMENTOS DIÁRIOS'!$O$5:$O$500,"&lt;=114299",'LANÇAMENTOS DIÁRIOS'!$P$5:$P$500,"&gt;=114200")&gt;0,"X","")</f>
      </c>
      <c r="AD57" s="56" t="str">
        <f>IF(COUNTIFS('LANÇAMENTOS DIÁRIOS'!$G$5:$G$500,"F",'LANÇAMENTOS DIÁRIOS'!$C$5:$C$500,$A57,'LANÇAMENTOS DIÁRIOS'!$O$5:$O$500,"&lt;=114399",'LANÇAMENTOS DIÁRIOS'!$P$5:$P$500,"&gt;=114300")&gt;0,"X","")</f>
      </c>
      <c r="AE57" s="56" t="str">
        <f>IF(COUNTIFS('LANÇAMENTOS DIÁRIOS'!$G$5:$G$500,"F",'LANÇAMENTOS DIÁRIOS'!$C$5:$C$500,$A57,'LANÇAMENTOS DIÁRIOS'!$O$5:$O$500,"&lt;=114499",'LANÇAMENTOS DIÁRIOS'!$P$5:$P$500,"&gt;=114400")&gt;0,"X","")</f>
      </c>
      <c r="AF57" s="56" t="str">
        <f>IF(COUNTIFS('LANÇAMENTOS DIÁRIOS'!$G$5:$G$500,"F",'LANÇAMENTOS DIÁRIOS'!$C$5:$C$500,$A57,'LANÇAMENTOS DIÁRIOS'!$O$5:$O$500,"&lt;=114599",'LANÇAMENTOS DIÁRIOS'!$P$5:$P$500,"&gt;=114500")&gt;0,"X","")</f>
      </c>
      <c r="AG57" s="56" t="str">
        <f>IF(COUNTIFS('LANÇAMENTOS DIÁRIOS'!$G$5:$G$500,"F",'LANÇAMENTOS DIÁRIOS'!$C$5:$C$500,$A57,'LANÇAMENTOS DIÁRIOS'!$O$5:$O$500,"&lt;=114699",'LANÇAMENTOS DIÁRIOS'!$P$5:$P$500,"&gt;=114600")&gt;0,"X","")</f>
      </c>
      <c r="AH57" s="56" t="str">
        <f>IF(COUNTIFS('LANÇAMENTOS DIÁRIOS'!$G$5:$G$500,"F",'LANÇAMENTOS DIÁRIOS'!$C$5:$C$500,$A57,'LANÇAMENTOS DIÁRIOS'!$O$5:$O$500,"&lt;=114799",'LANÇAMENTOS DIÁRIOS'!$P$5:$P$500,"&gt;=114700")&gt;0,"X","")</f>
      </c>
      <c r="AI57" s="56" t="str">
        <f>IF(COUNTIFS('LANÇAMENTOS DIÁRIOS'!$G$5:$G$500,"F",'LANÇAMENTOS DIÁRIOS'!$C$5:$C$500,$A57,'LANÇAMENTOS DIÁRIOS'!$O$5:$O$500,"&lt;=114899",'LANÇAMENTOS DIÁRIOS'!$P$5:$P$500,"&gt;=114800")&gt;0,"X","")</f>
      </c>
      <c r="AJ57" s="56" t="str">
        <f>IF(COUNTIFS('LANÇAMENTOS DIÁRIOS'!$G$5:$G$500,"F",'LANÇAMENTOS DIÁRIOS'!$C$5:$C$500,$A57,'LANÇAMENTOS DIÁRIOS'!$O$5:$O$500,"&lt;=114999",'LANÇAMENTOS DIÁRIOS'!$P$5:$P$500,"&gt;=114900")&gt;0,"X","")</f>
      </c>
      <c r="AK57" s="56" t="str">
        <f>IF(COUNTIFS('LANÇAMENTOS DIÁRIOS'!$G$5:$G$500,"F",'LANÇAMENTOS DIÁRIOS'!$C$5:$C$500,$A57,'LANÇAMENTOS DIÁRIOS'!$O$5:$O$500,"&lt;=115099",'LANÇAMENTOS DIÁRIOS'!$P$5:$P$500,"&gt;=115000")&gt;0,"X","")</f>
      </c>
      <c r="AL57" s="56" t="str">
        <f>IF(COUNTIFS('LANÇAMENTOS DIÁRIOS'!$G$5:$G$500,"F",'LANÇAMENTOS DIÁRIOS'!$C$5:$C$500,$A57,'LANÇAMENTOS DIÁRIOS'!$O$5:$O$500,"&lt;=115199",'LANÇAMENTOS DIÁRIOS'!$P$5:$P$500,"&gt;=115100")&gt;0,"X","")</f>
      </c>
      <c r="AM57" s="56" t="str">
        <f>IF(COUNTIFS('LANÇAMENTOS DIÁRIOS'!$G$5:$G$500,"F",'LANÇAMENTOS DIÁRIOS'!$C$5:$C$500,$A57,'LANÇAMENTOS DIÁRIOS'!$O$5:$O$500,"&lt;=115299",'LANÇAMENTOS DIÁRIOS'!$P$5:$P$500,"&gt;=115200")&gt;0,"X","")</f>
      </c>
      <c r="AN57" s="56" t="str">
        <f>IF(COUNTIFS('LANÇAMENTOS DIÁRIOS'!$G$5:$G$500,"F",'LANÇAMENTOS DIÁRIOS'!$C$5:$C$500,$A57,'LANÇAMENTOS DIÁRIOS'!$O$5:$O$500,"&lt;=115399",'LANÇAMENTOS DIÁRIOS'!$P$5:$P$500,"&gt;=115300")&gt;0,"X","")</f>
      </c>
      <c r="AO57" s="56" t="str">
        <f>IF(COUNTIFS('LANÇAMENTOS DIÁRIOS'!$G$5:$G$500,"F",'LANÇAMENTOS DIÁRIOS'!$C$5:$C$500,$A57,'LANÇAMENTOS DIÁRIOS'!$O$5:$O$500,"&lt;=115499",'LANÇAMENTOS DIÁRIOS'!$P$5:$P$500,"&gt;=115400")&gt;0,"X","")</f>
      </c>
      <c r="AP57" s="56" t="str">
        <f>IF(COUNTIFS('LANÇAMENTOS DIÁRIOS'!$G$5:$G$500,"F",'LANÇAMENTOS DIÁRIOS'!$C$5:$C$500,$A57,'LANÇAMENTOS DIÁRIOS'!$O$5:$O$500,"&lt;=115599",'LANÇAMENTOS DIÁRIOS'!$P$5:$P$500,"&gt;=115500")&gt;0,"X","")</f>
      </c>
      <c r="AQ57" s="56" t="str">
        <f>IF(COUNTIFS('LANÇAMENTOS DIÁRIOS'!$G$5:$G$500,"F",'LANÇAMENTOS DIÁRIOS'!$C$5:$C$500,$A57,'LANÇAMENTOS DIÁRIOS'!$O$5:$O$500,"&lt;=115699",'LANÇAMENTOS DIÁRIOS'!$P$5:$P$500,"&gt;=115600")&gt;0,"X","")</f>
      </c>
      <c r="AR57" s="56" t="str">
        <f>IF(COUNTIFS('LANÇAMENTOS DIÁRIOS'!$G$5:$G$500,"F",'LANÇAMENTOS DIÁRIOS'!$C$5:$C$500,$A57,'LANÇAMENTOS DIÁRIOS'!$O$5:$O$500,"&lt;=115799",'LANÇAMENTOS DIÁRIOS'!$P$5:$P$500,"&gt;=115700")&gt;0,"X","")</f>
      </c>
      <c r="AS57" s="56" t="str">
        <f>IF(COUNTIFS('LANÇAMENTOS DIÁRIOS'!$G$5:$G$500,"F",'LANÇAMENTOS DIÁRIOS'!$C$5:$C$500,$A57,'LANÇAMENTOS DIÁRIOS'!$O$5:$O$500,"&lt;=115899",'LANÇAMENTOS DIÁRIOS'!$P$5:$P$500,"&gt;=115800")&gt;0,"X","")</f>
      </c>
      <c r="AT57" s="56" t="str">
        <f>IF(COUNTIFS('LANÇAMENTOS DIÁRIOS'!$G$5:$G$500,"F",'LANÇAMENTOS DIÁRIOS'!$C$5:$C$500,$A57,'LANÇAMENTOS DIÁRIOS'!$O$5:$O$500,"&lt;=115999",'LANÇAMENTOS DIÁRIOS'!$P$5:$P$500,"&gt;=115900")&gt;0,"X","")</f>
      </c>
      <c r="AU57" s="56" t="str">
        <f>IF(COUNTIFS('LANÇAMENTOS DIÁRIOS'!$G$5:$G$500,"F",'LANÇAMENTOS DIÁRIOS'!$C$5:$C$500,$A57,'LANÇAMENTOS DIÁRIOS'!$O$5:$O$500,"&lt;=116099",'LANÇAMENTOS DIÁRIOS'!$P$5:$P$500,"&gt;=116000")&gt;0,"X","")</f>
      </c>
      <c r="AV57" s="56" t="str">
        <f>IF(COUNTIFS('LANÇAMENTOS DIÁRIOS'!$G$5:$G$500,"F",'LANÇAMENTOS DIÁRIOS'!$C$5:$C$500,$A57,'LANÇAMENTOS DIÁRIOS'!$O$5:$O$500,"&lt;=116199",'LANÇAMENTOS DIÁRIOS'!$P$5:$P$500,"&gt;=116100")&gt;0,"X","")</f>
      </c>
      <c r="AW57" s="56" t="str">
        <f>IF(COUNTIFS('LANÇAMENTOS DIÁRIOS'!$G$5:$G$500,"F",'LANÇAMENTOS DIÁRIOS'!$C$5:$C$500,$A57,'LANÇAMENTOS DIÁRIOS'!$O$5:$O$500,"&lt;=116299",'LANÇAMENTOS DIÁRIOS'!$P$5:$P$500,"&gt;=116200")&gt;0,"X","")</f>
      </c>
      <c r="AX57" s="56" t="str">
        <f>IF(COUNTIFS('LANÇAMENTOS DIÁRIOS'!$G$5:$G$500,"F",'LANÇAMENTOS DIÁRIOS'!$C$5:$C$500,$A57,'LANÇAMENTOS DIÁRIOS'!$O$5:$O$500,"&lt;=116399",'LANÇAMENTOS DIÁRIOS'!$P$5:$P$500,"&gt;=116300")&gt;0,"X","")</f>
      </c>
      <c r="AY57" s="56" t="str">
        <f>IF(COUNTIFS('LANÇAMENTOS DIÁRIOS'!$G$5:$G$500,"F",'LANÇAMENTOS DIÁRIOS'!$C$5:$C$500,$A57,'LANÇAMENTOS DIÁRIOS'!$O$5:$O$500,"&lt;=116499",'LANÇAMENTOS DIÁRIOS'!$P$5:$P$500,"&gt;=116400")&gt;0,"X","")</f>
      </c>
      <c r="AZ57" s="56" t="str">
        <f>IF(COUNTIFS('LANÇAMENTOS DIÁRIOS'!$G$5:$G$500,"F",'LANÇAMENTOS DIÁRIOS'!$C$5:$C$500,$A57,'LANÇAMENTOS DIÁRIOS'!$O$5:$O$500,"&lt;=116599",'LANÇAMENTOS DIÁRIOS'!$P$5:$P$500,"&gt;=116500")&gt;0,"X","")</f>
      </c>
      <c r="BA57" s="56" t="str">
        <f>IF(COUNTIFS('LANÇAMENTOS DIÁRIOS'!$G$5:$G$500,"F",'LANÇAMENTOS DIÁRIOS'!$C$5:$C$500,$A57,'LANÇAMENTOS DIÁRIOS'!$O$5:$O$500,"&lt;=116699",'LANÇAMENTOS DIÁRIOS'!$P$5:$P$500,"&gt;=116600")&gt;0,"X","")</f>
      </c>
      <c r="BB57" s="56" t="str">
        <f>IF(COUNTIFS('LANÇAMENTOS DIÁRIOS'!$G$5:$G$500,"F",'LANÇAMENTOS DIÁRIOS'!$C$5:$C$500,$A57,'LANÇAMENTOS DIÁRIOS'!$O$5:$O$500,"&lt;=116799",'LANÇAMENTOS DIÁRIOS'!$P$5:$P$500,"&gt;=116700")&gt;0,"X","")</f>
      </c>
      <c r="BC57" s="56" t="str">
        <f>IF(COUNTIFS('LANÇAMENTOS DIÁRIOS'!$G$5:$G$500,"F",'LANÇAMENTOS DIÁRIOS'!$C$5:$C$500,$A57,'LANÇAMENTOS DIÁRIOS'!$O$5:$O$500,"&lt;=116899",'LANÇAMENTOS DIÁRIOS'!$P$5:$P$500,"&gt;=116800")&gt;0,"X","")</f>
      </c>
      <c r="BD57" s="56" t="str">
        <f>IF(COUNTIFS('LANÇAMENTOS DIÁRIOS'!$G$5:$G$500,"F",'LANÇAMENTOS DIÁRIOS'!$C$5:$C$500,$A57,'LANÇAMENTOS DIÁRIOS'!$O$5:$O$500,"&lt;=116999",'LANÇAMENTOS DIÁRIOS'!$P$5:$P$500,"&gt;=116900")&gt;0,"X","")</f>
      </c>
      <c r="BE57" s="56" t="str">
        <f>IF(COUNTIFS('LANÇAMENTOS DIÁRIOS'!$G$5:$G$500,"F",'LANÇAMENTOS DIÁRIOS'!$C$5:$C$500,$A57,'LANÇAMENTOS DIÁRIOS'!$O$5:$O$500,"&lt;=117099",'LANÇAMENTOS DIÁRIOS'!$P$5:$P$500,"&gt;=117000")&gt;0,"X","")</f>
      </c>
      <c r="BF57" s="56" t="str">
        <f>IF(COUNTIFS('LANÇAMENTOS DIÁRIOS'!$G$5:$G$500,"F",'LANÇAMENTOS DIÁRIOS'!$C$5:$C$500,$A57,'LANÇAMENTOS DIÁRIOS'!$O$5:$O$500,"&lt;=117199",'LANÇAMENTOS DIÁRIOS'!$P$5:$P$500,"&gt;=117100")&gt;0,"X","")</f>
      </c>
      <c r="BG57" s="56" t="str">
        <f>IF(COUNTIFS('LANÇAMENTOS DIÁRIOS'!$G$5:$G$500,"F",'LANÇAMENTOS DIÁRIOS'!$C$5:$C$500,$A57,'LANÇAMENTOS DIÁRIOS'!$O$5:$O$500,"&lt;=117219",'LANÇAMENTOS DIÁRIOS'!$P$5:$P$500,"&gt;=117200")&gt;0,"X","")</f>
      </c>
      <c r="BH57" s="56" t="str">
        <f>IF(COUNTIFS('LANÇAMENTOS DIÁRIOS'!$G$5:$G$500,"F",'LANÇAMENTOS DIÁRIOS'!$C$5:$C$500,$A57,'LANÇAMENTOS DIÁRIOS'!$O$5:$O$500,"&lt;=117220",'LANÇAMENTOS DIÁRIOS'!$P$5:$P$500,"&gt;=117220")&gt;0,"X","")</f>
      </c>
    </row>
    <row r="58">
      <c r="A58" s="51" t="str">
        <v>Rede metálica de alta resistência StellGrid HR 100 ou Similiar (Perfuração e instalação)</v>
      </c>
      <c r="B58" s="56" t="str">
        <f>IF(COUNTIFS('LANÇAMENTOS DIÁRIOS'!$G$5:$G$500,"F",'LANÇAMENTOS DIÁRIOS'!$C$5:$C$500,$A58,'LANÇAMENTOS DIÁRIOS'!$O$5:$O$500,"&lt;=111599",'LANÇAMENTOS DIÁRIOS'!$P$5:$P$500,"&gt;=111500")&gt;0,"X","")</f>
      </c>
      <c r="C58" s="56" t="str">
        <f>IF(COUNTIFS('LANÇAMENTOS DIÁRIOS'!$G$5:$G$500,"F",'LANÇAMENTOS DIÁRIOS'!$C$5:$C$500,$A58,'LANÇAMENTOS DIÁRIOS'!$O$5:$O$500,"&lt;=111699",'LANÇAMENTOS DIÁRIOS'!$P$5:$P$500,"&gt;=111600")&gt;0,"X","")</f>
      </c>
      <c r="D58" s="56" t="str">
        <f>IF(COUNTIFS('LANÇAMENTOS DIÁRIOS'!$G$5:$G$500,"F",'LANÇAMENTOS DIÁRIOS'!$C$5:$C$500,$A58,'LANÇAMENTOS DIÁRIOS'!$O$5:$O$500,"&lt;=111799",'LANÇAMENTOS DIÁRIOS'!$P$5:$P$500,"&gt;=111700")&gt;0,"X","")</f>
      </c>
      <c r="E58" s="56" t="str">
        <f>IF(COUNTIFS('LANÇAMENTOS DIÁRIOS'!$G$5:$G$500,"F",'LANÇAMENTOS DIÁRIOS'!$C$5:$C$500,$A58,'LANÇAMENTOS DIÁRIOS'!$O$5:$O$500,"&lt;=111899",'LANÇAMENTOS DIÁRIOS'!$P$5:$P$500,"&gt;=111800")&gt;0,"X","")</f>
      </c>
      <c r="F58" s="56" t="str">
        <f>IF(COUNTIFS('LANÇAMENTOS DIÁRIOS'!$G$5:$G$500,"F",'LANÇAMENTOS DIÁRIOS'!$C$5:$C$500,$A58,'LANÇAMENTOS DIÁRIOS'!$O$5:$O$500,"&lt;=111999",'LANÇAMENTOS DIÁRIOS'!$P$5:$P$500,"&gt;=111900")&gt;0,"X","")</f>
      </c>
      <c r="G58" s="56" t="str">
        <f>IF(COUNTIFS('LANÇAMENTOS DIÁRIOS'!$G$5:$G$500,"F",'LANÇAMENTOS DIÁRIOS'!$C$5:$C$500,$A58,'LANÇAMENTOS DIÁRIOS'!$O$5:$O$500,"&lt;=112099",'LANÇAMENTOS DIÁRIOS'!$P$5:$P$500,"&gt;=112000")&gt;0,"X","")</f>
      </c>
      <c r="H58" s="56" t="str">
        <f>IF(COUNTIFS('LANÇAMENTOS DIÁRIOS'!$G$5:$G$500,"F",'LANÇAMENTOS DIÁRIOS'!$C$5:$C$500,$A58,'LANÇAMENTOS DIÁRIOS'!$O$5:$O$500,"&lt;=112199",'LANÇAMENTOS DIÁRIOS'!$P$5:$P$500,"&gt;=112100")&gt;0,"X","")</f>
      </c>
      <c r="I58" s="56" t="str">
        <f>IF(COUNTIFS('LANÇAMENTOS DIÁRIOS'!$G$5:$G$500,"F",'LANÇAMENTOS DIÁRIOS'!$C$5:$C$500,$A58,'LANÇAMENTOS DIÁRIOS'!$O$5:$O$500,"&lt;=112299",'LANÇAMENTOS DIÁRIOS'!$P$5:$P$500,"&gt;=112200")&gt;0,"X","")</f>
      </c>
      <c r="J58" s="56" t="str">
        <f>IF(COUNTIFS('LANÇAMENTOS DIÁRIOS'!$G$5:$G$500,"F",'LANÇAMENTOS DIÁRIOS'!$C$5:$C$500,$A58,'LANÇAMENTOS DIÁRIOS'!$O$5:$O$500,"&lt;=112399",'LANÇAMENTOS DIÁRIOS'!$P$5:$P$500,"&gt;=112300")&gt;0,"X","")</f>
      </c>
      <c r="K58" s="56" t="str">
        <f>IF(COUNTIFS('LANÇAMENTOS DIÁRIOS'!$G$5:$G$500,"F",'LANÇAMENTOS DIÁRIOS'!$C$5:$C$500,$A58,'LANÇAMENTOS DIÁRIOS'!$O$5:$O$500,"&lt;=112499",'LANÇAMENTOS DIÁRIOS'!$P$5:$P$500,"&gt;=112400")&gt;0,"X","")</f>
      </c>
      <c r="L58" s="56" t="str">
        <f>IF(COUNTIFS('LANÇAMENTOS DIÁRIOS'!$G$5:$G$500,"F",'LANÇAMENTOS DIÁRIOS'!$C$5:$C$500,$A58,'LANÇAMENTOS DIÁRIOS'!$O$5:$O$500,"&lt;=112599",'LANÇAMENTOS DIÁRIOS'!$P$5:$P$500,"&gt;=112500")&gt;0,"X","")</f>
      </c>
      <c r="M58" s="56" t="str">
        <f>IF(COUNTIFS('LANÇAMENTOS DIÁRIOS'!$G$5:$G$500,"F",'LANÇAMENTOS DIÁRIOS'!$C$5:$C$500,$A58,'LANÇAMENTOS DIÁRIOS'!$O$5:$O$500,"&lt;=112699",'LANÇAMENTOS DIÁRIOS'!$P$5:$P$500,"&gt;=112600")&gt;0,"X","")</f>
      </c>
      <c r="N58" s="56" t="str">
        <f>IF(COUNTIFS('LANÇAMENTOS DIÁRIOS'!$G$5:$G$500,"F",'LANÇAMENTOS DIÁRIOS'!$C$5:$C$500,$A58,'LANÇAMENTOS DIÁRIOS'!$O$5:$O$500,"&lt;=112799",'LANÇAMENTOS DIÁRIOS'!$P$5:$P$500,"&gt;=112700")&gt;0,"X","")</f>
      </c>
      <c r="O58" s="56" t="str">
        <f>IF(COUNTIFS('LANÇAMENTOS DIÁRIOS'!$G$5:$G$500,"F",'LANÇAMENTOS DIÁRIOS'!$C$5:$C$500,$A58,'LANÇAMENTOS DIÁRIOS'!$O$5:$O$500,"&lt;=112899",'LANÇAMENTOS DIÁRIOS'!$P$5:$P$500,"&gt;=112800")&gt;0,"X","")</f>
      </c>
      <c r="P58" s="56" t="str">
        <f>IF(COUNTIFS('LANÇAMENTOS DIÁRIOS'!$G$5:$G$500,"F",'LANÇAMENTOS DIÁRIOS'!$C$5:$C$500,$A58,'LANÇAMENTOS DIÁRIOS'!$O$5:$O$500,"&lt;=112999",'LANÇAMENTOS DIÁRIOS'!$P$5:$P$500,"&gt;=112900")&gt;0,"X","")</f>
      </c>
      <c r="Q58" s="56" t="str">
        <f>IF(COUNTIFS('LANÇAMENTOS DIÁRIOS'!$G$5:$G$500,"F",'LANÇAMENTOS DIÁRIOS'!$C$5:$C$500,$A58,'LANÇAMENTOS DIÁRIOS'!$O$5:$O$500,"&lt;=113099",'LANÇAMENTOS DIÁRIOS'!$P$5:$P$500,"&gt;=113000")&gt;0,"X","")</f>
      </c>
      <c r="R58" s="56" t="str">
        <f>IF(COUNTIFS('LANÇAMENTOS DIÁRIOS'!$G$5:$G$500,"F",'LANÇAMENTOS DIÁRIOS'!$C$5:$C$500,$A58,'LANÇAMENTOS DIÁRIOS'!$O$5:$O$500,"&lt;=113199",'LANÇAMENTOS DIÁRIOS'!$P$5:$P$500,"&gt;=113100")&gt;0,"X","")</f>
      </c>
      <c r="S58" s="56" t="str">
        <f>IF(COUNTIFS('LANÇAMENTOS DIÁRIOS'!$G$5:$G$500,"F",'LANÇAMENTOS DIÁRIOS'!$C$5:$C$500,$A58,'LANÇAMENTOS DIÁRIOS'!$O$5:$O$500,"&lt;=113299",'LANÇAMENTOS DIÁRIOS'!$P$5:$P$500,"&gt;=113200")&gt;0,"X","")</f>
      </c>
      <c r="T58" s="56" t="str">
        <f>IF(COUNTIFS('LANÇAMENTOS DIÁRIOS'!$G$5:$G$500,"F",'LANÇAMENTOS DIÁRIOS'!$C$5:$C$500,$A58,'LANÇAMENTOS DIÁRIOS'!$O$5:$O$500,"&lt;=113399",'LANÇAMENTOS DIÁRIOS'!$P$5:$P$500,"&gt;=113300")&gt;0,"X","")</f>
      </c>
      <c r="U58" s="56" t="str">
        <f>IF(COUNTIFS('LANÇAMENTOS DIÁRIOS'!$G$5:$G$500,"F",'LANÇAMENTOS DIÁRIOS'!$C$5:$C$500,$A58,'LANÇAMENTOS DIÁRIOS'!$O$5:$O$500,"&lt;=113499",'LANÇAMENTOS DIÁRIOS'!$P$5:$P$500,"&gt;=113400")&gt;0,"X","")</f>
      </c>
      <c r="V58" s="56" t="str">
        <f>IF(COUNTIFS('LANÇAMENTOS DIÁRIOS'!$G$5:$G$500,"F",'LANÇAMENTOS DIÁRIOS'!$C$5:$C$500,$A58,'LANÇAMENTOS DIÁRIOS'!$O$5:$O$500,"&lt;=113599",'LANÇAMENTOS DIÁRIOS'!$P$5:$P$500,"&gt;=113500")&gt;0,"X","")</f>
      </c>
      <c r="W58" s="56" t="str">
        <f>IF(COUNTIFS('LANÇAMENTOS DIÁRIOS'!$G$5:$G$500,"F",'LANÇAMENTOS DIÁRIOS'!$C$5:$C$500,$A58,'LANÇAMENTOS DIÁRIOS'!$O$5:$O$500,"&lt;=113699",'LANÇAMENTOS DIÁRIOS'!$P$5:$P$500,"&gt;=113600")&gt;0,"X","")</f>
      </c>
      <c r="X58" s="56" t="str">
        <f>IF(COUNTIFS('LANÇAMENTOS DIÁRIOS'!$G$5:$G$500,"F",'LANÇAMENTOS DIÁRIOS'!$C$5:$C$500,$A58,'LANÇAMENTOS DIÁRIOS'!$O$5:$O$500,"&lt;=113799",'LANÇAMENTOS DIÁRIOS'!$P$5:$P$500,"&gt;=113700")&gt;0,"X","")</f>
      </c>
      <c r="Y58" s="56" t="str">
        <f>IF(COUNTIFS('LANÇAMENTOS DIÁRIOS'!$G$5:$G$500,"F",'LANÇAMENTOS DIÁRIOS'!$C$5:$C$500,$A58,'LANÇAMENTOS DIÁRIOS'!$O$5:$O$500,"&lt;=113899",'LANÇAMENTOS DIÁRIOS'!$P$5:$P$500,"&gt;=113800")&gt;0,"X","")</f>
      </c>
      <c r="Z58" s="56" t="str">
        <f>IF(COUNTIFS('LANÇAMENTOS DIÁRIOS'!$G$5:$G$500,"F",'LANÇAMENTOS DIÁRIOS'!$C$5:$C$500,$A58,'LANÇAMENTOS DIÁRIOS'!$O$5:$O$500,"&lt;=113999",'LANÇAMENTOS DIÁRIOS'!$P$5:$P$500,"&gt;=113900")&gt;0,"X","")</f>
      </c>
      <c r="AA58" s="56" t="str">
        <f>IF(COUNTIFS('LANÇAMENTOS DIÁRIOS'!$G$5:$G$500,"F",'LANÇAMENTOS DIÁRIOS'!$C$5:$C$500,$A58,'LANÇAMENTOS DIÁRIOS'!$O$5:$O$500,"&lt;=114099",'LANÇAMENTOS DIÁRIOS'!$P$5:$P$500,"&gt;=114000")&gt;0,"X","")</f>
      </c>
      <c r="AB58" s="56" t="str">
        <f>IF(COUNTIFS('LANÇAMENTOS DIÁRIOS'!$G$5:$G$500,"F",'LANÇAMENTOS DIÁRIOS'!$C$5:$C$500,$A58,'LANÇAMENTOS DIÁRIOS'!$O$5:$O$500,"&lt;=114199",'LANÇAMENTOS DIÁRIOS'!$P$5:$P$500,"&gt;=114100")&gt;0,"X","")</f>
      </c>
      <c r="AC58" s="56" t="str">
        <f>IF(COUNTIFS('LANÇAMENTOS DIÁRIOS'!$G$5:$G$500,"F",'LANÇAMENTOS DIÁRIOS'!$C$5:$C$500,$A58,'LANÇAMENTOS DIÁRIOS'!$O$5:$O$500,"&lt;=114299",'LANÇAMENTOS DIÁRIOS'!$P$5:$P$500,"&gt;=114200")&gt;0,"X","")</f>
      </c>
      <c r="AD58" s="56" t="str">
        <f>IF(COUNTIFS('LANÇAMENTOS DIÁRIOS'!$G$5:$G$500,"F",'LANÇAMENTOS DIÁRIOS'!$C$5:$C$500,$A58,'LANÇAMENTOS DIÁRIOS'!$O$5:$O$500,"&lt;=114399",'LANÇAMENTOS DIÁRIOS'!$P$5:$P$500,"&gt;=114300")&gt;0,"X","")</f>
      </c>
      <c r="AE58" s="56" t="str">
        <f>IF(COUNTIFS('LANÇAMENTOS DIÁRIOS'!$G$5:$G$500,"F",'LANÇAMENTOS DIÁRIOS'!$C$5:$C$500,$A58,'LANÇAMENTOS DIÁRIOS'!$O$5:$O$500,"&lt;=114499",'LANÇAMENTOS DIÁRIOS'!$P$5:$P$500,"&gt;=114400")&gt;0,"X","")</f>
      </c>
      <c r="AF58" s="56" t="str">
        <f>IF(COUNTIFS('LANÇAMENTOS DIÁRIOS'!$G$5:$G$500,"F",'LANÇAMENTOS DIÁRIOS'!$C$5:$C$500,$A58,'LANÇAMENTOS DIÁRIOS'!$O$5:$O$500,"&lt;=114599",'LANÇAMENTOS DIÁRIOS'!$P$5:$P$500,"&gt;=114500")&gt;0,"X","")</f>
      </c>
      <c r="AG58" s="56" t="str">
        <f>IF(COUNTIFS('LANÇAMENTOS DIÁRIOS'!$G$5:$G$500,"F",'LANÇAMENTOS DIÁRIOS'!$C$5:$C$500,$A58,'LANÇAMENTOS DIÁRIOS'!$O$5:$O$500,"&lt;=114699",'LANÇAMENTOS DIÁRIOS'!$P$5:$P$500,"&gt;=114600")&gt;0,"X","")</f>
      </c>
      <c r="AH58" s="56" t="str">
        <f>IF(COUNTIFS('LANÇAMENTOS DIÁRIOS'!$G$5:$G$500,"F",'LANÇAMENTOS DIÁRIOS'!$C$5:$C$500,$A58,'LANÇAMENTOS DIÁRIOS'!$O$5:$O$500,"&lt;=114799",'LANÇAMENTOS DIÁRIOS'!$P$5:$P$500,"&gt;=114700")&gt;0,"X","")</f>
      </c>
      <c r="AI58" s="56" t="str">
        <f>IF(COUNTIFS('LANÇAMENTOS DIÁRIOS'!$G$5:$G$500,"F",'LANÇAMENTOS DIÁRIOS'!$C$5:$C$500,$A58,'LANÇAMENTOS DIÁRIOS'!$O$5:$O$500,"&lt;=114899",'LANÇAMENTOS DIÁRIOS'!$P$5:$P$500,"&gt;=114800")&gt;0,"X","")</f>
      </c>
      <c r="AJ58" s="56" t="str">
        <f>IF(COUNTIFS('LANÇAMENTOS DIÁRIOS'!$G$5:$G$500,"F",'LANÇAMENTOS DIÁRIOS'!$C$5:$C$500,$A58,'LANÇAMENTOS DIÁRIOS'!$O$5:$O$500,"&lt;=114999",'LANÇAMENTOS DIÁRIOS'!$P$5:$P$500,"&gt;=114900")&gt;0,"X","")</f>
      </c>
      <c r="AK58" s="56" t="str">
        <f>IF(COUNTIFS('LANÇAMENTOS DIÁRIOS'!$G$5:$G$500,"F",'LANÇAMENTOS DIÁRIOS'!$C$5:$C$500,$A58,'LANÇAMENTOS DIÁRIOS'!$O$5:$O$500,"&lt;=115099",'LANÇAMENTOS DIÁRIOS'!$P$5:$P$500,"&gt;=115000")&gt;0,"X","")</f>
      </c>
      <c r="AL58" s="56" t="str">
        <f>IF(COUNTIFS('LANÇAMENTOS DIÁRIOS'!$G$5:$G$500,"F",'LANÇAMENTOS DIÁRIOS'!$C$5:$C$500,$A58,'LANÇAMENTOS DIÁRIOS'!$O$5:$O$500,"&lt;=115199",'LANÇAMENTOS DIÁRIOS'!$P$5:$P$500,"&gt;=115100")&gt;0,"X","")</f>
      </c>
      <c r="AM58" s="56" t="str">
        <f>IF(COUNTIFS('LANÇAMENTOS DIÁRIOS'!$G$5:$G$500,"F",'LANÇAMENTOS DIÁRIOS'!$C$5:$C$500,$A58,'LANÇAMENTOS DIÁRIOS'!$O$5:$O$500,"&lt;=115299",'LANÇAMENTOS DIÁRIOS'!$P$5:$P$500,"&gt;=115200")&gt;0,"X","")</f>
      </c>
      <c r="AN58" s="56" t="str">
        <f>IF(COUNTIFS('LANÇAMENTOS DIÁRIOS'!$G$5:$G$500,"F",'LANÇAMENTOS DIÁRIOS'!$C$5:$C$500,$A58,'LANÇAMENTOS DIÁRIOS'!$O$5:$O$500,"&lt;=115399",'LANÇAMENTOS DIÁRIOS'!$P$5:$P$500,"&gt;=115300")&gt;0,"X","")</f>
      </c>
      <c r="AO58" s="56" t="str">
        <f>IF(COUNTIFS('LANÇAMENTOS DIÁRIOS'!$G$5:$G$500,"F",'LANÇAMENTOS DIÁRIOS'!$C$5:$C$500,$A58,'LANÇAMENTOS DIÁRIOS'!$O$5:$O$500,"&lt;=115499",'LANÇAMENTOS DIÁRIOS'!$P$5:$P$500,"&gt;=115400")&gt;0,"X","")</f>
      </c>
      <c r="AP58" s="56" t="str">
        <f>IF(COUNTIFS('LANÇAMENTOS DIÁRIOS'!$G$5:$G$500,"F",'LANÇAMENTOS DIÁRIOS'!$C$5:$C$500,$A58,'LANÇAMENTOS DIÁRIOS'!$O$5:$O$500,"&lt;=115599",'LANÇAMENTOS DIÁRIOS'!$P$5:$P$500,"&gt;=115500")&gt;0,"X","")</f>
      </c>
      <c r="AQ58" s="56" t="str">
        <f>IF(COUNTIFS('LANÇAMENTOS DIÁRIOS'!$G$5:$G$500,"F",'LANÇAMENTOS DIÁRIOS'!$C$5:$C$500,$A58,'LANÇAMENTOS DIÁRIOS'!$O$5:$O$500,"&lt;=115699",'LANÇAMENTOS DIÁRIOS'!$P$5:$P$500,"&gt;=115600")&gt;0,"X","")</f>
      </c>
      <c r="AR58" s="56" t="str">
        <f>IF(COUNTIFS('LANÇAMENTOS DIÁRIOS'!$G$5:$G$500,"F",'LANÇAMENTOS DIÁRIOS'!$C$5:$C$500,$A58,'LANÇAMENTOS DIÁRIOS'!$O$5:$O$500,"&lt;=115799",'LANÇAMENTOS DIÁRIOS'!$P$5:$P$500,"&gt;=115700")&gt;0,"X","")</f>
      </c>
      <c r="AS58" s="56" t="str">
        <f>IF(COUNTIFS('LANÇAMENTOS DIÁRIOS'!$G$5:$G$500,"F",'LANÇAMENTOS DIÁRIOS'!$C$5:$C$500,$A58,'LANÇAMENTOS DIÁRIOS'!$O$5:$O$500,"&lt;=115899",'LANÇAMENTOS DIÁRIOS'!$P$5:$P$500,"&gt;=115800")&gt;0,"X","")</f>
      </c>
      <c r="AT58" s="56" t="str">
        <f>IF(COUNTIFS('LANÇAMENTOS DIÁRIOS'!$G$5:$G$500,"F",'LANÇAMENTOS DIÁRIOS'!$C$5:$C$500,$A58,'LANÇAMENTOS DIÁRIOS'!$O$5:$O$500,"&lt;=115999",'LANÇAMENTOS DIÁRIOS'!$P$5:$P$500,"&gt;=115900")&gt;0,"X","")</f>
      </c>
      <c r="AU58" s="56" t="str">
        <f>IF(COUNTIFS('LANÇAMENTOS DIÁRIOS'!$G$5:$G$500,"F",'LANÇAMENTOS DIÁRIOS'!$C$5:$C$500,$A58,'LANÇAMENTOS DIÁRIOS'!$O$5:$O$500,"&lt;=116099",'LANÇAMENTOS DIÁRIOS'!$P$5:$P$500,"&gt;=116000")&gt;0,"X","")</f>
      </c>
      <c r="AV58" s="56" t="str">
        <f>IF(COUNTIFS('LANÇAMENTOS DIÁRIOS'!$G$5:$G$500,"F",'LANÇAMENTOS DIÁRIOS'!$C$5:$C$500,$A58,'LANÇAMENTOS DIÁRIOS'!$O$5:$O$500,"&lt;=116199",'LANÇAMENTOS DIÁRIOS'!$P$5:$P$500,"&gt;=116100")&gt;0,"X","")</f>
      </c>
      <c r="AW58" s="56" t="str">
        <f>IF(COUNTIFS('LANÇAMENTOS DIÁRIOS'!$G$5:$G$500,"F",'LANÇAMENTOS DIÁRIOS'!$C$5:$C$500,$A58,'LANÇAMENTOS DIÁRIOS'!$O$5:$O$500,"&lt;=116299",'LANÇAMENTOS DIÁRIOS'!$P$5:$P$500,"&gt;=116200")&gt;0,"X","")</f>
      </c>
      <c r="AX58" s="56" t="str">
        <f>IF(COUNTIFS('LANÇAMENTOS DIÁRIOS'!$G$5:$G$500,"F",'LANÇAMENTOS DIÁRIOS'!$C$5:$C$500,$A58,'LANÇAMENTOS DIÁRIOS'!$O$5:$O$500,"&lt;=116399",'LANÇAMENTOS DIÁRIOS'!$P$5:$P$500,"&gt;=116300")&gt;0,"X","")</f>
      </c>
      <c r="AY58" s="56" t="str">
        <f>IF(COUNTIFS('LANÇAMENTOS DIÁRIOS'!$G$5:$G$500,"F",'LANÇAMENTOS DIÁRIOS'!$C$5:$C$500,$A58,'LANÇAMENTOS DIÁRIOS'!$O$5:$O$500,"&lt;=116499",'LANÇAMENTOS DIÁRIOS'!$P$5:$P$500,"&gt;=116400")&gt;0,"X","")</f>
      </c>
      <c r="AZ58" s="56" t="str">
        <f>IF(COUNTIFS('LANÇAMENTOS DIÁRIOS'!$G$5:$G$500,"F",'LANÇAMENTOS DIÁRIOS'!$C$5:$C$500,$A58,'LANÇAMENTOS DIÁRIOS'!$O$5:$O$500,"&lt;=116599",'LANÇAMENTOS DIÁRIOS'!$P$5:$P$500,"&gt;=116500")&gt;0,"X","")</f>
      </c>
      <c r="BA58" s="56" t="str">
        <f>IF(COUNTIFS('LANÇAMENTOS DIÁRIOS'!$G$5:$G$500,"F",'LANÇAMENTOS DIÁRIOS'!$C$5:$C$500,$A58,'LANÇAMENTOS DIÁRIOS'!$O$5:$O$500,"&lt;=116699",'LANÇAMENTOS DIÁRIOS'!$P$5:$P$500,"&gt;=116600")&gt;0,"X","")</f>
      </c>
      <c r="BB58" s="56" t="str">
        <f>IF(COUNTIFS('LANÇAMENTOS DIÁRIOS'!$G$5:$G$500,"F",'LANÇAMENTOS DIÁRIOS'!$C$5:$C$500,$A58,'LANÇAMENTOS DIÁRIOS'!$O$5:$O$500,"&lt;=116799",'LANÇAMENTOS DIÁRIOS'!$P$5:$P$500,"&gt;=116700")&gt;0,"X","")</f>
      </c>
      <c r="BC58" s="56" t="str">
        <f>IF(COUNTIFS('LANÇAMENTOS DIÁRIOS'!$G$5:$G$500,"F",'LANÇAMENTOS DIÁRIOS'!$C$5:$C$500,$A58,'LANÇAMENTOS DIÁRIOS'!$O$5:$O$500,"&lt;=116899",'LANÇAMENTOS DIÁRIOS'!$P$5:$P$500,"&gt;=116800")&gt;0,"X","")</f>
      </c>
      <c r="BD58" s="56" t="str">
        <f>IF(COUNTIFS('LANÇAMENTOS DIÁRIOS'!$G$5:$G$500,"F",'LANÇAMENTOS DIÁRIOS'!$C$5:$C$500,$A58,'LANÇAMENTOS DIÁRIOS'!$O$5:$O$500,"&lt;=116999",'LANÇAMENTOS DIÁRIOS'!$P$5:$P$500,"&gt;=116900")&gt;0,"X","")</f>
      </c>
      <c r="BE58" s="56" t="str">
        <f>IF(COUNTIFS('LANÇAMENTOS DIÁRIOS'!$G$5:$G$500,"F",'LANÇAMENTOS DIÁRIOS'!$C$5:$C$500,$A58,'LANÇAMENTOS DIÁRIOS'!$O$5:$O$500,"&lt;=117099",'LANÇAMENTOS DIÁRIOS'!$P$5:$P$500,"&gt;=117000")&gt;0,"X","")</f>
      </c>
      <c r="BF58" s="56" t="str">
        <f>IF(COUNTIFS('LANÇAMENTOS DIÁRIOS'!$G$5:$G$500,"F",'LANÇAMENTOS DIÁRIOS'!$C$5:$C$500,$A58,'LANÇAMENTOS DIÁRIOS'!$O$5:$O$500,"&lt;=117199",'LANÇAMENTOS DIÁRIOS'!$P$5:$P$500,"&gt;=117100")&gt;0,"X","")</f>
      </c>
      <c r="BG58" s="56" t="str">
        <f>IF(COUNTIFS('LANÇAMENTOS DIÁRIOS'!$G$5:$G$500,"F",'LANÇAMENTOS DIÁRIOS'!$C$5:$C$500,$A58,'LANÇAMENTOS DIÁRIOS'!$O$5:$O$500,"&lt;=117219",'LANÇAMENTOS DIÁRIOS'!$P$5:$P$500,"&gt;=117200")&gt;0,"X","")</f>
      </c>
      <c r="BH58" s="56" t="str">
        <f>IF(COUNTIFS('LANÇAMENTOS DIÁRIOS'!$G$5:$G$500,"F",'LANÇAMENTOS DIÁRIOS'!$C$5:$C$500,$A58,'LANÇAMENTOS DIÁRIOS'!$O$5:$O$500,"&lt;=117220",'LANÇAMENTOS DIÁRIOS'!$P$5:$P$500,"&gt;=117220")&gt;0,"X","")</f>
      </c>
    </row>
    <row r="59" ht="19" customHeight="1">
      <c r="A59" s="68" t="str">
        <v>Construção do subleito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</row>
    <row r="60">
      <c r="A60" s="51" t="str">
        <v>Regularização do subleito</v>
      </c>
      <c r="B60" s="56" t="str">
        <f>IF(COUNTIFS('LANÇAMENTOS DIÁRIOS'!$G$5:$G$500,"F",'LANÇAMENTOS DIÁRIOS'!$C$5:$C$500,$A60,'LANÇAMENTOS DIÁRIOS'!$O$5:$O$500,"&lt;=111599",'LANÇAMENTOS DIÁRIOS'!$P$5:$P$500,"&gt;=111500")&gt;0,"X","")</f>
      </c>
      <c r="C60" s="56" t="str">
        <f>IF(COUNTIFS('LANÇAMENTOS DIÁRIOS'!$G$5:$G$500,"F",'LANÇAMENTOS DIÁRIOS'!$C$5:$C$500,$A60,'LANÇAMENTOS DIÁRIOS'!$O$5:$O$500,"&lt;=111699",'LANÇAMENTOS DIÁRIOS'!$P$5:$P$500,"&gt;=111600")&gt;0,"X","")</f>
      </c>
      <c r="D60" s="56" t="str">
        <f>IF(COUNTIFS('LANÇAMENTOS DIÁRIOS'!$G$5:$G$500,"F",'LANÇAMENTOS DIÁRIOS'!$C$5:$C$500,$A60,'LANÇAMENTOS DIÁRIOS'!$O$5:$O$500,"&lt;=111799",'LANÇAMENTOS DIÁRIOS'!$P$5:$P$500,"&gt;=111700")&gt;0,"X","")</f>
      </c>
      <c r="E60" s="56" t="str">
        <f>IF(COUNTIFS('LANÇAMENTOS DIÁRIOS'!$G$5:$G$500,"F",'LANÇAMENTOS DIÁRIOS'!$C$5:$C$500,$A60,'LANÇAMENTOS DIÁRIOS'!$O$5:$O$500,"&lt;=111899",'LANÇAMENTOS DIÁRIOS'!$P$5:$P$500,"&gt;=111800")&gt;0,"X","")</f>
      </c>
      <c r="F60" s="56" t="str">
        <f>IF(COUNTIFS('LANÇAMENTOS DIÁRIOS'!$G$5:$G$500,"F",'LANÇAMENTOS DIÁRIOS'!$C$5:$C$500,$A60,'LANÇAMENTOS DIÁRIOS'!$O$5:$O$500,"&lt;=111999",'LANÇAMENTOS DIÁRIOS'!$P$5:$P$500,"&gt;=111900")&gt;0,"X","")</f>
      </c>
      <c r="G60" s="56" t="str">
        <f>IF(COUNTIFS('LANÇAMENTOS DIÁRIOS'!$G$5:$G$500,"F",'LANÇAMENTOS DIÁRIOS'!$C$5:$C$500,$A60,'LANÇAMENTOS DIÁRIOS'!$O$5:$O$500,"&lt;=112099",'LANÇAMENTOS DIÁRIOS'!$P$5:$P$500,"&gt;=112000")&gt;0,"X","")</f>
      </c>
      <c r="H60" s="56" t="str">
        <f>IF(COUNTIFS('LANÇAMENTOS DIÁRIOS'!$G$5:$G$500,"F",'LANÇAMENTOS DIÁRIOS'!$C$5:$C$500,$A60,'LANÇAMENTOS DIÁRIOS'!$O$5:$O$500,"&lt;=112199",'LANÇAMENTOS DIÁRIOS'!$P$5:$P$500,"&gt;=112100")&gt;0,"X","")</f>
      </c>
      <c r="I60" s="56" t="str">
        <f>IF(COUNTIFS('LANÇAMENTOS DIÁRIOS'!$G$5:$G$500,"F",'LANÇAMENTOS DIÁRIOS'!$C$5:$C$500,$A60,'LANÇAMENTOS DIÁRIOS'!$O$5:$O$500,"&lt;=112299",'LANÇAMENTOS DIÁRIOS'!$P$5:$P$500,"&gt;=112200")&gt;0,"X","")</f>
      </c>
      <c r="J60" s="56" t="str">
        <f>IF(COUNTIFS('LANÇAMENTOS DIÁRIOS'!$G$5:$G$500,"F",'LANÇAMENTOS DIÁRIOS'!$C$5:$C$500,$A60,'LANÇAMENTOS DIÁRIOS'!$O$5:$O$500,"&lt;=112399",'LANÇAMENTOS DIÁRIOS'!$P$5:$P$500,"&gt;=112300")&gt;0,"X","")</f>
      </c>
      <c r="K60" s="56" t="str">
        <f>IF(COUNTIFS('LANÇAMENTOS DIÁRIOS'!$G$5:$G$500,"F",'LANÇAMENTOS DIÁRIOS'!$C$5:$C$500,$A60,'LANÇAMENTOS DIÁRIOS'!$O$5:$O$500,"&lt;=112499",'LANÇAMENTOS DIÁRIOS'!$P$5:$P$500,"&gt;=112400")&gt;0,"X","")</f>
      </c>
      <c r="L60" s="56" t="str">
        <f>IF(COUNTIFS('LANÇAMENTOS DIÁRIOS'!$G$5:$G$500,"F",'LANÇAMENTOS DIÁRIOS'!$C$5:$C$500,$A60,'LANÇAMENTOS DIÁRIOS'!$O$5:$O$500,"&lt;=112599",'LANÇAMENTOS DIÁRIOS'!$P$5:$P$500,"&gt;=112500")&gt;0,"X","")</f>
      </c>
      <c r="M60" s="56" t="str">
        <f>IF(COUNTIFS('LANÇAMENTOS DIÁRIOS'!$G$5:$G$500,"F",'LANÇAMENTOS DIÁRIOS'!$C$5:$C$500,$A60,'LANÇAMENTOS DIÁRIOS'!$O$5:$O$500,"&lt;=112699",'LANÇAMENTOS DIÁRIOS'!$P$5:$P$500,"&gt;=112600")&gt;0,"X","")</f>
      </c>
      <c r="N60" s="56" t="str">
        <f>IF(COUNTIFS('LANÇAMENTOS DIÁRIOS'!$G$5:$G$500,"F",'LANÇAMENTOS DIÁRIOS'!$C$5:$C$500,$A60,'LANÇAMENTOS DIÁRIOS'!$O$5:$O$500,"&lt;=112799",'LANÇAMENTOS DIÁRIOS'!$P$5:$P$500,"&gt;=112700")&gt;0,"X","")</f>
      </c>
      <c r="O60" s="56" t="str">
        <f>IF(COUNTIFS('LANÇAMENTOS DIÁRIOS'!$G$5:$G$500,"F",'LANÇAMENTOS DIÁRIOS'!$C$5:$C$500,$A60,'LANÇAMENTOS DIÁRIOS'!$O$5:$O$500,"&lt;=112899",'LANÇAMENTOS DIÁRIOS'!$P$5:$P$500,"&gt;=112800")&gt;0,"X","")</f>
      </c>
      <c r="P60" s="56" t="str">
        <f>IF(COUNTIFS('LANÇAMENTOS DIÁRIOS'!$G$5:$G$500,"F",'LANÇAMENTOS DIÁRIOS'!$C$5:$C$500,$A60,'LANÇAMENTOS DIÁRIOS'!$O$5:$O$500,"&lt;=112999",'LANÇAMENTOS DIÁRIOS'!$P$5:$P$500,"&gt;=112900")&gt;0,"X","")</f>
      </c>
      <c r="Q60" s="56" t="str">
        <f>IF(COUNTIFS('LANÇAMENTOS DIÁRIOS'!$G$5:$G$500,"F",'LANÇAMENTOS DIÁRIOS'!$C$5:$C$500,$A60,'LANÇAMENTOS DIÁRIOS'!$O$5:$O$500,"&lt;=113099",'LANÇAMENTOS DIÁRIOS'!$P$5:$P$500,"&gt;=113000")&gt;0,"X","")</f>
      </c>
      <c r="R60" s="56" t="str">
        <f>IF(COUNTIFS('LANÇAMENTOS DIÁRIOS'!$G$5:$G$500,"F",'LANÇAMENTOS DIÁRIOS'!$C$5:$C$500,$A60,'LANÇAMENTOS DIÁRIOS'!$O$5:$O$500,"&lt;=113199",'LANÇAMENTOS DIÁRIOS'!$P$5:$P$500,"&gt;=113100")&gt;0,"X","")</f>
      </c>
      <c r="S60" s="56" t="str">
        <f>IF(COUNTIFS('LANÇAMENTOS DIÁRIOS'!$G$5:$G$500,"F",'LANÇAMENTOS DIÁRIOS'!$C$5:$C$500,$A60,'LANÇAMENTOS DIÁRIOS'!$O$5:$O$500,"&lt;=113299",'LANÇAMENTOS DIÁRIOS'!$P$5:$P$500,"&gt;=113200")&gt;0,"X","")</f>
      </c>
      <c r="T60" s="56" t="str">
        <f>IF(COUNTIFS('LANÇAMENTOS DIÁRIOS'!$G$5:$G$500,"F",'LANÇAMENTOS DIÁRIOS'!$C$5:$C$500,$A60,'LANÇAMENTOS DIÁRIOS'!$O$5:$O$500,"&lt;=113399",'LANÇAMENTOS DIÁRIOS'!$P$5:$P$500,"&gt;=113300")&gt;0,"X","")</f>
      </c>
      <c r="U60" s="56" t="str">
        <f>IF(COUNTIFS('LANÇAMENTOS DIÁRIOS'!$G$5:$G$500,"F",'LANÇAMENTOS DIÁRIOS'!$C$5:$C$500,$A60,'LANÇAMENTOS DIÁRIOS'!$O$5:$O$500,"&lt;=113499",'LANÇAMENTOS DIÁRIOS'!$P$5:$P$500,"&gt;=113400")&gt;0,"X","")</f>
      </c>
      <c r="V60" s="56" t="str">
        <f>IF(COUNTIFS('LANÇAMENTOS DIÁRIOS'!$G$5:$G$500,"F",'LANÇAMENTOS DIÁRIOS'!$C$5:$C$500,$A60,'LANÇAMENTOS DIÁRIOS'!$O$5:$O$500,"&lt;=113599",'LANÇAMENTOS DIÁRIOS'!$P$5:$P$500,"&gt;=113500")&gt;0,"X","")</f>
      </c>
      <c r="W60" s="56" t="str">
        <f>IF(COUNTIFS('LANÇAMENTOS DIÁRIOS'!$G$5:$G$500,"F",'LANÇAMENTOS DIÁRIOS'!$C$5:$C$500,$A60,'LANÇAMENTOS DIÁRIOS'!$O$5:$O$500,"&lt;=113699",'LANÇAMENTOS DIÁRIOS'!$P$5:$P$500,"&gt;=113600")&gt;0,"X","")</f>
      </c>
      <c r="X60" s="56" t="str">
        <f>IF(COUNTIFS('LANÇAMENTOS DIÁRIOS'!$G$5:$G$500,"F",'LANÇAMENTOS DIÁRIOS'!$C$5:$C$500,$A60,'LANÇAMENTOS DIÁRIOS'!$O$5:$O$500,"&lt;=113799",'LANÇAMENTOS DIÁRIOS'!$P$5:$P$500,"&gt;=113700")&gt;0,"X","")</f>
      </c>
      <c r="Y60" s="56" t="str">
        <f>IF(COUNTIFS('LANÇAMENTOS DIÁRIOS'!$G$5:$G$500,"F",'LANÇAMENTOS DIÁRIOS'!$C$5:$C$500,$A60,'LANÇAMENTOS DIÁRIOS'!$O$5:$O$500,"&lt;=113899",'LANÇAMENTOS DIÁRIOS'!$P$5:$P$500,"&gt;=113800")&gt;0,"X","")</f>
      </c>
      <c r="Z60" s="56" t="str">
        <f>IF(COUNTIFS('LANÇAMENTOS DIÁRIOS'!$G$5:$G$500,"F",'LANÇAMENTOS DIÁRIOS'!$C$5:$C$500,$A60,'LANÇAMENTOS DIÁRIOS'!$O$5:$O$500,"&lt;=113999",'LANÇAMENTOS DIÁRIOS'!$P$5:$P$500,"&gt;=113900")&gt;0,"X","")</f>
      </c>
      <c r="AA60" s="56" t="str">
        <f>IF(COUNTIFS('LANÇAMENTOS DIÁRIOS'!$G$5:$G$500,"F",'LANÇAMENTOS DIÁRIOS'!$C$5:$C$500,$A60,'LANÇAMENTOS DIÁRIOS'!$O$5:$O$500,"&lt;=114099",'LANÇAMENTOS DIÁRIOS'!$P$5:$P$500,"&gt;=114000")&gt;0,"X","")</f>
      </c>
      <c r="AB60" s="56" t="str">
        <f>IF(COUNTIFS('LANÇAMENTOS DIÁRIOS'!$G$5:$G$500,"F",'LANÇAMENTOS DIÁRIOS'!$C$5:$C$500,$A60,'LANÇAMENTOS DIÁRIOS'!$O$5:$O$500,"&lt;=114199",'LANÇAMENTOS DIÁRIOS'!$P$5:$P$500,"&gt;=114100")&gt;0,"X","")</f>
      </c>
      <c r="AC60" s="56" t="str">
        <f>IF(COUNTIFS('LANÇAMENTOS DIÁRIOS'!$G$5:$G$500,"F",'LANÇAMENTOS DIÁRIOS'!$C$5:$C$500,$A60,'LANÇAMENTOS DIÁRIOS'!$O$5:$O$500,"&lt;=114299",'LANÇAMENTOS DIÁRIOS'!$P$5:$P$500,"&gt;=114200")&gt;0,"X","")</f>
      </c>
      <c r="AD60" s="56" t="str">
        <f>IF(COUNTIFS('LANÇAMENTOS DIÁRIOS'!$G$5:$G$500,"F",'LANÇAMENTOS DIÁRIOS'!$C$5:$C$500,$A60,'LANÇAMENTOS DIÁRIOS'!$O$5:$O$500,"&lt;=114399",'LANÇAMENTOS DIÁRIOS'!$P$5:$P$500,"&gt;=114300")&gt;0,"X","")</f>
      </c>
      <c r="AE60" s="56" t="str">
        <f>IF(COUNTIFS('LANÇAMENTOS DIÁRIOS'!$G$5:$G$500,"F",'LANÇAMENTOS DIÁRIOS'!$C$5:$C$500,$A60,'LANÇAMENTOS DIÁRIOS'!$O$5:$O$500,"&lt;=114499",'LANÇAMENTOS DIÁRIOS'!$P$5:$P$500,"&gt;=114400")&gt;0,"X","")</f>
      </c>
      <c r="AF60" s="56" t="str">
        <f>IF(COUNTIFS('LANÇAMENTOS DIÁRIOS'!$G$5:$G$500,"F",'LANÇAMENTOS DIÁRIOS'!$C$5:$C$500,$A60,'LANÇAMENTOS DIÁRIOS'!$O$5:$O$500,"&lt;=114599",'LANÇAMENTOS DIÁRIOS'!$P$5:$P$500,"&gt;=114500")&gt;0,"X","")</f>
      </c>
      <c r="AG60" s="56" t="str">
        <f>IF(COUNTIFS('LANÇAMENTOS DIÁRIOS'!$G$5:$G$500,"F",'LANÇAMENTOS DIÁRIOS'!$C$5:$C$500,$A60,'LANÇAMENTOS DIÁRIOS'!$O$5:$O$500,"&lt;=114699",'LANÇAMENTOS DIÁRIOS'!$P$5:$P$500,"&gt;=114600")&gt;0,"X","")</f>
      </c>
      <c r="AH60" s="56" t="str">
        <f>IF(COUNTIFS('LANÇAMENTOS DIÁRIOS'!$G$5:$G$500,"F",'LANÇAMENTOS DIÁRIOS'!$C$5:$C$500,$A60,'LANÇAMENTOS DIÁRIOS'!$O$5:$O$500,"&lt;=114799",'LANÇAMENTOS DIÁRIOS'!$P$5:$P$500,"&gt;=114700")&gt;0,"X","")</f>
      </c>
      <c r="AI60" s="56" t="str">
        <f>IF(COUNTIFS('LANÇAMENTOS DIÁRIOS'!$G$5:$G$500,"F",'LANÇAMENTOS DIÁRIOS'!$C$5:$C$500,$A60,'LANÇAMENTOS DIÁRIOS'!$O$5:$O$500,"&lt;=114899",'LANÇAMENTOS DIÁRIOS'!$P$5:$P$500,"&gt;=114800")&gt;0,"X","")</f>
      </c>
      <c r="AJ60" s="56" t="str">
        <f>IF(COUNTIFS('LANÇAMENTOS DIÁRIOS'!$G$5:$G$500,"F",'LANÇAMENTOS DIÁRIOS'!$C$5:$C$500,$A60,'LANÇAMENTOS DIÁRIOS'!$O$5:$O$500,"&lt;=114999",'LANÇAMENTOS DIÁRIOS'!$P$5:$P$500,"&gt;=114900")&gt;0,"X","")</f>
      </c>
      <c r="AK60" s="56" t="str">
        <f>IF(COUNTIFS('LANÇAMENTOS DIÁRIOS'!$G$5:$G$500,"F",'LANÇAMENTOS DIÁRIOS'!$C$5:$C$500,$A60,'LANÇAMENTOS DIÁRIOS'!$O$5:$O$500,"&lt;=115099",'LANÇAMENTOS DIÁRIOS'!$P$5:$P$500,"&gt;=115000")&gt;0,"X","")</f>
      </c>
      <c r="AL60" s="56" t="str">
        <f>IF(COUNTIFS('LANÇAMENTOS DIÁRIOS'!$G$5:$G$500,"F",'LANÇAMENTOS DIÁRIOS'!$C$5:$C$500,$A60,'LANÇAMENTOS DIÁRIOS'!$O$5:$O$500,"&lt;=115199",'LANÇAMENTOS DIÁRIOS'!$P$5:$P$500,"&gt;=115100")&gt;0,"X","")</f>
      </c>
      <c r="AM60" s="56" t="str">
        <f>IF(COUNTIFS('LANÇAMENTOS DIÁRIOS'!$G$5:$G$500,"F",'LANÇAMENTOS DIÁRIOS'!$C$5:$C$500,$A60,'LANÇAMENTOS DIÁRIOS'!$O$5:$O$500,"&lt;=115299",'LANÇAMENTOS DIÁRIOS'!$P$5:$P$500,"&gt;=115200")&gt;0,"X","")</f>
      </c>
      <c r="AN60" s="56" t="str">
        <f>IF(COUNTIFS('LANÇAMENTOS DIÁRIOS'!$G$5:$G$500,"F",'LANÇAMENTOS DIÁRIOS'!$C$5:$C$500,$A60,'LANÇAMENTOS DIÁRIOS'!$O$5:$O$500,"&lt;=115399",'LANÇAMENTOS DIÁRIOS'!$P$5:$P$500,"&gt;=115300")&gt;0,"X","")</f>
      </c>
      <c r="AO60" s="56" t="str">
        <f>IF(COUNTIFS('LANÇAMENTOS DIÁRIOS'!$G$5:$G$500,"F",'LANÇAMENTOS DIÁRIOS'!$C$5:$C$500,$A60,'LANÇAMENTOS DIÁRIOS'!$O$5:$O$500,"&lt;=115499",'LANÇAMENTOS DIÁRIOS'!$P$5:$P$500,"&gt;=115400")&gt;0,"X","")</f>
      </c>
      <c r="AP60" s="56" t="str">
        <f>IF(COUNTIFS('LANÇAMENTOS DIÁRIOS'!$G$5:$G$500,"F",'LANÇAMENTOS DIÁRIOS'!$C$5:$C$500,$A60,'LANÇAMENTOS DIÁRIOS'!$O$5:$O$500,"&lt;=115599",'LANÇAMENTOS DIÁRIOS'!$P$5:$P$500,"&gt;=115500")&gt;0,"X","")</f>
      </c>
      <c r="AQ60" s="56" t="str">
        <f>IF(COUNTIFS('LANÇAMENTOS DIÁRIOS'!$G$5:$G$500,"F",'LANÇAMENTOS DIÁRIOS'!$C$5:$C$500,$A60,'LANÇAMENTOS DIÁRIOS'!$O$5:$O$500,"&lt;=115699",'LANÇAMENTOS DIÁRIOS'!$P$5:$P$500,"&gt;=115600")&gt;0,"X","")</f>
      </c>
      <c r="AR60" s="56" t="str">
        <f>IF(COUNTIFS('LANÇAMENTOS DIÁRIOS'!$G$5:$G$500,"F",'LANÇAMENTOS DIÁRIOS'!$C$5:$C$500,$A60,'LANÇAMENTOS DIÁRIOS'!$O$5:$O$500,"&lt;=115799",'LANÇAMENTOS DIÁRIOS'!$P$5:$P$500,"&gt;=115700")&gt;0,"X","")</f>
      </c>
      <c r="AS60" s="56" t="str">
        <f>IF(COUNTIFS('LANÇAMENTOS DIÁRIOS'!$G$5:$G$500,"F",'LANÇAMENTOS DIÁRIOS'!$C$5:$C$500,$A60,'LANÇAMENTOS DIÁRIOS'!$O$5:$O$500,"&lt;=115899",'LANÇAMENTOS DIÁRIOS'!$P$5:$P$500,"&gt;=115800")&gt;0,"X","")</f>
      </c>
      <c r="AT60" s="56" t="str">
        <f>IF(COUNTIFS('LANÇAMENTOS DIÁRIOS'!$G$5:$G$500,"F",'LANÇAMENTOS DIÁRIOS'!$C$5:$C$500,$A60,'LANÇAMENTOS DIÁRIOS'!$O$5:$O$500,"&lt;=115999",'LANÇAMENTOS DIÁRIOS'!$P$5:$P$500,"&gt;=115900")&gt;0,"X","")</f>
      </c>
      <c r="AU60" s="56" t="str">
        <f>IF(COUNTIFS('LANÇAMENTOS DIÁRIOS'!$G$5:$G$500,"F",'LANÇAMENTOS DIÁRIOS'!$C$5:$C$500,$A60,'LANÇAMENTOS DIÁRIOS'!$O$5:$O$500,"&lt;=116099",'LANÇAMENTOS DIÁRIOS'!$P$5:$P$500,"&gt;=116000")&gt;0,"X","")</f>
      </c>
      <c r="AV60" s="56" t="str">
        <f>IF(COUNTIFS('LANÇAMENTOS DIÁRIOS'!$G$5:$G$500,"F",'LANÇAMENTOS DIÁRIOS'!$C$5:$C$500,$A60,'LANÇAMENTOS DIÁRIOS'!$O$5:$O$500,"&lt;=116199",'LANÇAMENTOS DIÁRIOS'!$P$5:$P$500,"&gt;=116100")&gt;0,"X","")</f>
      </c>
      <c r="AW60" s="56" t="str">
        <f>IF(COUNTIFS('LANÇAMENTOS DIÁRIOS'!$G$5:$G$500,"F",'LANÇAMENTOS DIÁRIOS'!$C$5:$C$500,$A60,'LANÇAMENTOS DIÁRIOS'!$O$5:$O$500,"&lt;=116299",'LANÇAMENTOS DIÁRIOS'!$P$5:$P$500,"&gt;=116200")&gt;0,"X","")</f>
      </c>
      <c r="AX60" s="56" t="str">
        <f>IF(COUNTIFS('LANÇAMENTOS DIÁRIOS'!$G$5:$G$500,"F",'LANÇAMENTOS DIÁRIOS'!$C$5:$C$500,$A60,'LANÇAMENTOS DIÁRIOS'!$O$5:$O$500,"&lt;=116399",'LANÇAMENTOS DIÁRIOS'!$P$5:$P$500,"&gt;=116300")&gt;0,"X","")</f>
      </c>
      <c r="AY60" s="56" t="str">
        <f>IF(COUNTIFS('LANÇAMENTOS DIÁRIOS'!$G$5:$G$500,"F",'LANÇAMENTOS DIÁRIOS'!$C$5:$C$500,$A60,'LANÇAMENTOS DIÁRIOS'!$O$5:$O$500,"&lt;=116499",'LANÇAMENTOS DIÁRIOS'!$P$5:$P$500,"&gt;=116400")&gt;0,"X","")</f>
      </c>
      <c r="AZ60" s="56" t="str">
        <f>IF(COUNTIFS('LANÇAMENTOS DIÁRIOS'!$G$5:$G$500,"F",'LANÇAMENTOS DIÁRIOS'!$C$5:$C$500,$A60,'LANÇAMENTOS DIÁRIOS'!$O$5:$O$500,"&lt;=116599",'LANÇAMENTOS DIÁRIOS'!$P$5:$P$500,"&gt;=116500")&gt;0,"X","")</f>
      </c>
      <c r="BA60" s="56" t="str">
        <f>IF(COUNTIFS('LANÇAMENTOS DIÁRIOS'!$G$5:$G$500,"F",'LANÇAMENTOS DIÁRIOS'!$C$5:$C$500,$A60,'LANÇAMENTOS DIÁRIOS'!$O$5:$O$500,"&lt;=116699",'LANÇAMENTOS DIÁRIOS'!$P$5:$P$500,"&gt;=116600")&gt;0,"X","")</f>
      </c>
      <c r="BB60" s="56" t="str">
        <f>IF(COUNTIFS('LANÇAMENTOS DIÁRIOS'!$G$5:$G$500,"F",'LANÇAMENTOS DIÁRIOS'!$C$5:$C$500,$A60,'LANÇAMENTOS DIÁRIOS'!$O$5:$O$500,"&lt;=116799",'LANÇAMENTOS DIÁRIOS'!$P$5:$P$500,"&gt;=116700")&gt;0,"X","")</f>
      </c>
      <c r="BC60" s="56" t="str">
        <f>IF(COUNTIFS('LANÇAMENTOS DIÁRIOS'!$G$5:$G$500,"F",'LANÇAMENTOS DIÁRIOS'!$C$5:$C$500,$A60,'LANÇAMENTOS DIÁRIOS'!$O$5:$O$500,"&lt;=116899",'LANÇAMENTOS DIÁRIOS'!$P$5:$P$500,"&gt;=116800")&gt;0,"X","")</f>
      </c>
      <c r="BD60" s="56" t="str">
        <f>IF(COUNTIFS('LANÇAMENTOS DIÁRIOS'!$G$5:$G$500,"F",'LANÇAMENTOS DIÁRIOS'!$C$5:$C$500,$A60,'LANÇAMENTOS DIÁRIOS'!$O$5:$O$500,"&lt;=116999",'LANÇAMENTOS DIÁRIOS'!$P$5:$P$500,"&gt;=116900")&gt;0,"X","")</f>
      </c>
      <c r="BE60" s="56" t="str">
        <f>IF(COUNTIFS('LANÇAMENTOS DIÁRIOS'!$G$5:$G$500,"F",'LANÇAMENTOS DIÁRIOS'!$C$5:$C$500,$A60,'LANÇAMENTOS DIÁRIOS'!$O$5:$O$500,"&lt;=117099",'LANÇAMENTOS DIÁRIOS'!$P$5:$P$500,"&gt;=117000")&gt;0,"X","")</f>
      </c>
      <c r="BF60" s="56" t="str">
        <f>IF(COUNTIFS('LANÇAMENTOS DIÁRIOS'!$G$5:$G$500,"F",'LANÇAMENTOS DIÁRIOS'!$C$5:$C$500,$A60,'LANÇAMENTOS DIÁRIOS'!$O$5:$O$500,"&lt;=117199",'LANÇAMENTOS DIÁRIOS'!$P$5:$P$500,"&gt;=117100")&gt;0,"X","")</f>
      </c>
      <c r="BG60" s="56" t="str">
        <f>IF(COUNTIFS('LANÇAMENTOS DIÁRIOS'!$G$5:$G$500,"F",'LANÇAMENTOS DIÁRIOS'!$C$5:$C$500,$A60,'LANÇAMENTOS DIÁRIOS'!$O$5:$O$500,"&lt;=117219",'LANÇAMENTOS DIÁRIOS'!$P$5:$P$500,"&gt;=117200")&gt;0,"X","")</f>
      </c>
      <c r="BH60" s="56" t="str">
        <f>IF(COUNTIFS('LANÇAMENTOS DIÁRIOS'!$G$5:$G$500,"F",'LANÇAMENTOS DIÁRIOS'!$C$5:$C$500,$A60,'LANÇAMENTOS DIÁRIOS'!$O$5:$O$500,"&lt;=117220",'LANÇAMENTOS DIÁRIOS'!$P$5:$P$500,"&gt;=117220")&gt;0,"X","")</f>
      </c>
    </row>
    <row r="61">
      <c r="A61" s="51" t="str">
        <v>Escavação de material de 1ª e 2ª categoria (*)</v>
      </c>
      <c r="B61" s="56" t="str">
        <f>IF(COUNTIFS('LANÇAMENTOS DIÁRIOS'!$G$5:$G$500,"F",'LANÇAMENTOS DIÁRIOS'!$C$5:$C$500,$A61,'LANÇAMENTOS DIÁRIOS'!$O$5:$O$500,"&lt;=111599",'LANÇAMENTOS DIÁRIOS'!$P$5:$P$500,"&gt;=111500")&gt;0,"X","")</f>
      </c>
      <c r="C61" s="56" t="str">
        <f>IF(COUNTIFS('LANÇAMENTOS DIÁRIOS'!$G$5:$G$500,"F",'LANÇAMENTOS DIÁRIOS'!$C$5:$C$500,$A61,'LANÇAMENTOS DIÁRIOS'!$O$5:$O$500,"&lt;=111699",'LANÇAMENTOS DIÁRIOS'!$P$5:$P$500,"&gt;=111600")&gt;0,"X","")</f>
      </c>
      <c r="D61" s="56" t="str">
        <f>IF(COUNTIFS('LANÇAMENTOS DIÁRIOS'!$G$5:$G$500,"F",'LANÇAMENTOS DIÁRIOS'!$C$5:$C$500,$A61,'LANÇAMENTOS DIÁRIOS'!$O$5:$O$500,"&lt;=111799",'LANÇAMENTOS DIÁRIOS'!$P$5:$P$500,"&gt;=111700")&gt;0,"X","")</f>
      </c>
      <c r="E61" s="56" t="str">
        <f>IF(COUNTIFS('LANÇAMENTOS DIÁRIOS'!$G$5:$G$500,"F",'LANÇAMENTOS DIÁRIOS'!$C$5:$C$500,$A61,'LANÇAMENTOS DIÁRIOS'!$O$5:$O$500,"&lt;=111899",'LANÇAMENTOS DIÁRIOS'!$P$5:$P$500,"&gt;=111800")&gt;0,"X","")</f>
      </c>
      <c r="F61" s="56" t="str">
        <f>IF(COUNTIFS('LANÇAMENTOS DIÁRIOS'!$G$5:$G$500,"F",'LANÇAMENTOS DIÁRIOS'!$C$5:$C$500,$A61,'LANÇAMENTOS DIÁRIOS'!$O$5:$O$500,"&lt;=111999",'LANÇAMENTOS DIÁRIOS'!$P$5:$P$500,"&gt;=111900")&gt;0,"X","")</f>
      </c>
      <c r="G61" s="56" t="str">
        <f>IF(COUNTIFS('LANÇAMENTOS DIÁRIOS'!$G$5:$G$500,"F",'LANÇAMENTOS DIÁRIOS'!$C$5:$C$500,$A61,'LANÇAMENTOS DIÁRIOS'!$O$5:$O$500,"&lt;=112099",'LANÇAMENTOS DIÁRIOS'!$P$5:$P$500,"&gt;=112000")&gt;0,"X","")</f>
      </c>
      <c r="H61" s="56" t="str">
        <f>IF(COUNTIFS('LANÇAMENTOS DIÁRIOS'!$G$5:$G$500,"F",'LANÇAMENTOS DIÁRIOS'!$C$5:$C$500,$A61,'LANÇAMENTOS DIÁRIOS'!$O$5:$O$500,"&lt;=112199",'LANÇAMENTOS DIÁRIOS'!$P$5:$P$500,"&gt;=112100")&gt;0,"X","")</f>
      </c>
      <c r="I61" s="56" t="str">
        <f>IF(COUNTIFS('LANÇAMENTOS DIÁRIOS'!$G$5:$G$500,"F",'LANÇAMENTOS DIÁRIOS'!$C$5:$C$500,$A61,'LANÇAMENTOS DIÁRIOS'!$O$5:$O$500,"&lt;=112299",'LANÇAMENTOS DIÁRIOS'!$P$5:$P$500,"&gt;=112200")&gt;0,"X","")</f>
      </c>
      <c r="J61" s="56" t="str">
        <f>IF(COUNTIFS('LANÇAMENTOS DIÁRIOS'!$G$5:$G$500,"F",'LANÇAMENTOS DIÁRIOS'!$C$5:$C$500,$A61,'LANÇAMENTOS DIÁRIOS'!$O$5:$O$500,"&lt;=112399",'LANÇAMENTOS DIÁRIOS'!$P$5:$P$500,"&gt;=112300")&gt;0,"X","")</f>
      </c>
      <c r="K61" s="56" t="str">
        <f>IF(COUNTIFS('LANÇAMENTOS DIÁRIOS'!$G$5:$G$500,"F",'LANÇAMENTOS DIÁRIOS'!$C$5:$C$500,$A61,'LANÇAMENTOS DIÁRIOS'!$O$5:$O$500,"&lt;=112499",'LANÇAMENTOS DIÁRIOS'!$P$5:$P$500,"&gt;=112400")&gt;0,"X","")</f>
      </c>
      <c r="L61" s="56" t="str">
        <f>IF(COUNTIFS('LANÇAMENTOS DIÁRIOS'!$G$5:$G$500,"F",'LANÇAMENTOS DIÁRIOS'!$C$5:$C$500,$A61,'LANÇAMENTOS DIÁRIOS'!$O$5:$O$500,"&lt;=112599",'LANÇAMENTOS DIÁRIOS'!$P$5:$P$500,"&gt;=112500")&gt;0,"X","")</f>
      </c>
      <c r="M61" s="56" t="str">
        <f>IF(COUNTIFS('LANÇAMENTOS DIÁRIOS'!$G$5:$G$500,"F",'LANÇAMENTOS DIÁRIOS'!$C$5:$C$500,$A61,'LANÇAMENTOS DIÁRIOS'!$O$5:$O$500,"&lt;=112699",'LANÇAMENTOS DIÁRIOS'!$P$5:$P$500,"&gt;=112600")&gt;0,"X","")</f>
      </c>
      <c r="N61" s="56" t="str">
        <f>IF(COUNTIFS('LANÇAMENTOS DIÁRIOS'!$G$5:$G$500,"F",'LANÇAMENTOS DIÁRIOS'!$C$5:$C$500,$A61,'LANÇAMENTOS DIÁRIOS'!$O$5:$O$500,"&lt;=112799",'LANÇAMENTOS DIÁRIOS'!$P$5:$P$500,"&gt;=112700")&gt;0,"X","")</f>
      </c>
      <c r="O61" s="56" t="str">
        <f>IF(COUNTIFS('LANÇAMENTOS DIÁRIOS'!$G$5:$G$500,"F",'LANÇAMENTOS DIÁRIOS'!$C$5:$C$500,$A61,'LANÇAMENTOS DIÁRIOS'!$O$5:$O$500,"&lt;=112899",'LANÇAMENTOS DIÁRIOS'!$P$5:$P$500,"&gt;=112800")&gt;0,"X","")</f>
      </c>
      <c r="P61" s="56" t="str">
        <f>IF(COUNTIFS('LANÇAMENTOS DIÁRIOS'!$G$5:$G$500,"F",'LANÇAMENTOS DIÁRIOS'!$C$5:$C$500,$A61,'LANÇAMENTOS DIÁRIOS'!$O$5:$O$500,"&lt;=112999",'LANÇAMENTOS DIÁRIOS'!$P$5:$P$500,"&gt;=112900")&gt;0,"X","")</f>
      </c>
      <c r="Q61" s="56" t="str">
        <f>IF(COUNTIFS('LANÇAMENTOS DIÁRIOS'!$G$5:$G$500,"F",'LANÇAMENTOS DIÁRIOS'!$C$5:$C$500,$A61,'LANÇAMENTOS DIÁRIOS'!$O$5:$O$500,"&lt;=113099",'LANÇAMENTOS DIÁRIOS'!$P$5:$P$500,"&gt;=113000")&gt;0,"X","")</f>
      </c>
      <c r="R61" s="56" t="str">
        <f>IF(COUNTIFS('LANÇAMENTOS DIÁRIOS'!$G$5:$G$500,"F",'LANÇAMENTOS DIÁRIOS'!$C$5:$C$500,$A61,'LANÇAMENTOS DIÁRIOS'!$O$5:$O$500,"&lt;=113199",'LANÇAMENTOS DIÁRIOS'!$P$5:$P$500,"&gt;=113100")&gt;0,"X","")</f>
      </c>
      <c r="S61" s="56" t="str">
        <f>IF(COUNTIFS('LANÇAMENTOS DIÁRIOS'!$G$5:$G$500,"F",'LANÇAMENTOS DIÁRIOS'!$C$5:$C$500,$A61,'LANÇAMENTOS DIÁRIOS'!$O$5:$O$500,"&lt;=113299",'LANÇAMENTOS DIÁRIOS'!$P$5:$P$500,"&gt;=113200")&gt;0,"X","")</f>
      </c>
      <c r="T61" s="56" t="str">
        <f>IF(COUNTIFS('LANÇAMENTOS DIÁRIOS'!$G$5:$G$500,"F",'LANÇAMENTOS DIÁRIOS'!$C$5:$C$500,$A61,'LANÇAMENTOS DIÁRIOS'!$O$5:$O$500,"&lt;=113399",'LANÇAMENTOS DIÁRIOS'!$P$5:$P$500,"&gt;=113300")&gt;0,"X","")</f>
      </c>
      <c r="U61" s="56" t="str">
        <f>IF(COUNTIFS('LANÇAMENTOS DIÁRIOS'!$G$5:$G$500,"F",'LANÇAMENTOS DIÁRIOS'!$C$5:$C$500,$A61,'LANÇAMENTOS DIÁRIOS'!$O$5:$O$500,"&lt;=113499",'LANÇAMENTOS DIÁRIOS'!$P$5:$P$500,"&gt;=113400")&gt;0,"X","")</f>
      </c>
      <c r="V61" s="56" t="str">
        <f>IF(COUNTIFS('LANÇAMENTOS DIÁRIOS'!$G$5:$G$500,"F",'LANÇAMENTOS DIÁRIOS'!$C$5:$C$500,$A61,'LANÇAMENTOS DIÁRIOS'!$O$5:$O$500,"&lt;=113599",'LANÇAMENTOS DIÁRIOS'!$P$5:$P$500,"&gt;=113500")&gt;0,"X","")</f>
      </c>
      <c r="W61" s="56" t="str">
        <f>IF(COUNTIFS('LANÇAMENTOS DIÁRIOS'!$G$5:$G$500,"F",'LANÇAMENTOS DIÁRIOS'!$C$5:$C$500,$A61,'LANÇAMENTOS DIÁRIOS'!$O$5:$O$500,"&lt;=113699",'LANÇAMENTOS DIÁRIOS'!$P$5:$P$500,"&gt;=113600")&gt;0,"X","")</f>
      </c>
      <c r="X61" s="56" t="str">
        <f>IF(COUNTIFS('LANÇAMENTOS DIÁRIOS'!$G$5:$G$500,"F",'LANÇAMENTOS DIÁRIOS'!$C$5:$C$500,$A61,'LANÇAMENTOS DIÁRIOS'!$O$5:$O$500,"&lt;=113799",'LANÇAMENTOS DIÁRIOS'!$P$5:$P$500,"&gt;=113700")&gt;0,"X","")</f>
      </c>
      <c r="Y61" s="56" t="str">
        <f>IF(COUNTIFS('LANÇAMENTOS DIÁRIOS'!$G$5:$G$500,"F",'LANÇAMENTOS DIÁRIOS'!$C$5:$C$500,$A61,'LANÇAMENTOS DIÁRIOS'!$O$5:$O$500,"&lt;=113899",'LANÇAMENTOS DIÁRIOS'!$P$5:$P$500,"&gt;=113800")&gt;0,"X","")</f>
      </c>
      <c r="Z61" s="56" t="str">
        <f>IF(COUNTIFS('LANÇAMENTOS DIÁRIOS'!$G$5:$G$500,"F",'LANÇAMENTOS DIÁRIOS'!$C$5:$C$500,$A61,'LANÇAMENTOS DIÁRIOS'!$O$5:$O$500,"&lt;=113999",'LANÇAMENTOS DIÁRIOS'!$P$5:$P$500,"&gt;=113900")&gt;0,"X","")</f>
      </c>
      <c r="AA61" s="56" t="str">
        <f>IF(COUNTIFS('LANÇAMENTOS DIÁRIOS'!$G$5:$G$500,"F",'LANÇAMENTOS DIÁRIOS'!$C$5:$C$500,$A61,'LANÇAMENTOS DIÁRIOS'!$O$5:$O$500,"&lt;=114099",'LANÇAMENTOS DIÁRIOS'!$P$5:$P$500,"&gt;=114000")&gt;0,"X","")</f>
      </c>
      <c r="AB61" s="56" t="str">
        <f>IF(COUNTIFS('LANÇAMENTOS DIÁRIOS'!$G$5:$G$500,"F",'LANÇAMENTOS DIÁRIOS'!$C$5:$C$500,$A61,'LANÇAMENTOS DIÁRIOS'!$O$5:$O$500,"&lt;=114199",'LANÇAMENTOS DIÁRIOS'!$P$5:$P$500,"&gt;=114100")&gt;0,"X","")</f>
      </c>
      <c r="AC61" s="56" t="str">
        <f>IF(COUNTIFS('LANÇAMENTOS DIÁRIOS'!$G$5:$G$500,"F",'LANÇAMENTOS DIÁRIOS'!$C$5:$C$500,$A61,'LANÇAMENTOS DIÁRIOS'!$O$5:$O$500,"&lt;=114299",'LANÇAMENTOS DIÁRIOS'!$P$5:$P$500,"&gt;=114200")&gt;0,"X","")</f>
      </c>
      <c r="AD61" s="56" t="str">
        <f>IF(COUNTIFS('LANÇAMENTOS DIÁRIOS'!$G$5:$G$500,"F",'LANÇAMENTOS DIÁRIOS'!$C$5:$C$500,$A61,'LANÇAMENTOS DIÁRIOS'!$O$5:$O$500,"&lt;=114399",'LANÇAMENTOS DIÁRIOS'!$P$5:$P$500,"&gt;=114300")&gt;0,"X","")</f>
      </c>
      <c r="AE61" s="56" t="str">
        <f>IF(COUNTIFS('LANÇAMENTOS DIÁRIOS'!$G$5:$G$500,"F",'LANÇAMENTOS DIÁRIOS'!$C$5:$C$500,$A61,'LANÇAMENTOS DIÁRIOS'!$O$5:$O$500,"&lt;=114499",'LANÇAMENTOS DIÁRIOS'!$P$5:$P$500,"&gt;=114400")&gt;0,"X","")</f>
      </c>
      <c r="AF61" s="56" t="str">
        <f>IF(COUNTIFS('LANÇAMENTOS DIÁRIOS'!$G$5:$G$500,"F",'LANÇAMENTOS DIÁRIOS'!$C$5:$C$500,$A61,'LANÇAMENTOS DIÁRIOS'!$O$5:$O$500,"&lt;=114599",'LANÇAMENTOS DIÁRIOS'!$P$5:$P$500,"&gt;=114500")&gt;0,"X","")</f>
      </c>
      <c r="AG61" s="56" t="str">
        <f>IF(COUNTIFS('LANÇAMENTOS DIÁRIOS'!$G$5:$G$500,"F",'LANÇAMENTOS DIÁRIOS'!$C$5:$C$500,$A61,'LANÇAMENTOS DIÁRIOS'!$O$5:$O$500,"&lt;=114699",'LANÇAMENTOS DIÁRIOS'!$P$5:$P$500,"&gt;=114600")&gt;0,"X","")</f>
      </c>
      <c r="AH61" s="56" t="str">
        <f>IF(COUNTIFS('LANÇAMENTOS DIÁRIOS'!$G$5:$G$500,"F",'LANÇAMENTOS DIÁRIOS'!$C$5:$C$500,$A61,'LANÇAMENTOS DIÁRIOS'!$O$5:$O$500,"&lt;=114799",'LANÇAMENTOS DIÁRIOS'!$P$5:$P$500,"&gt;=114700")&gt;0,"X","")</f>
      </c>
      <c r="AI61" s="56" t="str">
        <f>IF(COUNTIFS('LANÇAMENTOS DIÁRIOS'!$G$5:$G$500,"F",'LANÇAMENTOS DIÁRIOS'!$C$5:$C$500,$A61,'LANÇAMENTOS DIÁRIOS'!$O$5:$O$500,"&lt;=114899",'LANÇAMENTOS DIÁRIOS'!$P$5:$P$500,"&gt;=114800")&gt;0,"X","")</f>
      </c>
      <c r="AJ61" s="56" t="str">
        <f>IF(COUNTIFS('LANÇAMENTOS DIÁRIOS'!$G$5:$G$500,"F",'LANÇAMENTOS DIÁRIOS'!$C$5:$C$500,$A61,'LANÇAMENTOS DIÁRIOS'!$O$5:$O$500,"&lt;=114999",'LANÇAMENTOS DIÁRIOS'!$P$5:$P$500,"&gt;=114900")&gt;0,"X","")</f>
      </c>
      <c r="AK61" s="56" t="str">
        <f>IF(COUNTIFS('LANÇAMENTOS DIÁRIOS'!$G$5:$G$500,"F",'LANÇAMENTOS DIÁRIOS'!$C$5:$C$500,$A61,'LANÇAMENTOS DIÁRIOS'!$O$5:$O$500,"&lt;=115099",'LANÇAMENTOS DIÁRIOS'!$P$5:$P$500,"&gt;=115000")&gt;0,"X","")</f>
      </c>
      <c r="AL61" s="56" t="str">
        <f>IF(COUNTIFS('LANÇAMENTOS DIÁRIOS'!$G$5:$G$500,"F",'LANÇAMENTOS DIÁRIOS'!$C$5:$C$500,$A61,'LANÇAMENTOS DIÁRIOS'!$O$5:$O$500,"&lt;=115199",'LANÇAMENTOS DIÁRIOS'!$P$5:$P$500,"&gt;=115100")&gt;0,"X","")</f>
      </c>
      <c r="AM61" s="56" t="str">
        <f>IF(COUNTIFS('LANÇAMENTOS DIÁRIOS'!$G$5:$G$500,"F",'LANÇAMENTOS DIÁRIOS'!$C$5:$C$500,$A61,'LANÇAMENTOS DIÁRIOS'!$O$5:$O$500,"&lt;=115299",'LANÇAMENTOS DIÁRIOS'!$P$5:$P$500,"&gt;=115200")&gt;0,"X","")</f>
      </c>
      <c r="AN61" s="56" t="str">
        <f>IF(COUNTIFS('LANÇAMENTOS DIÁRIOS'!$G$5:$G$500,"F",'LANÇAMENTOS DIÁRIOS'!$C$5:$C$500,$A61,'LANÇAMENTOS DIÁRIOS'!$O$5:$O$500,"&lt;=115399",'LANÇAMENTOS DIÁRIOS'!$P$5:$P$500,"&gt;=115300")&gt;0,"X","")</f>
      </c>
      <c r="AO61" s="56" t="str">
        <f>IF(COUNTIFS('LANÇAMENTOS DIÁRIOS'!$G$5:$G$500,"F",'LANÇAMENTOS DIÁRIOS'!$C$5:$C$500,$A61,'LANÇAMENTOS DIÁRIOS'!$O$5:$O$500,"&lt;=115499",'LANÇAMENTOS DIÁRIOS'!$P$5:$P$500,"&gt;=115400")&gt;0,"X","")</f>
      </c>
      <c r="AP61" s="56" t="str">
        <f>IF(COUNTIFS('LANÇAMENTOS DIÁRIOS'!$G$5:$G$500,"F",'LANÇAMENTOS DIÁRIOS'!$C$5:$C$500,$A61,'LANÇAMENTOS DIÁRIOS'!$O$5:$O$500,"&lt;=115599",'LANÇAMENTOS DIÁRIOS'!$P$5:$P$500,"&gt;=115500")&gt;0,"X","")</f>
      </c>
      <c r="AQ61" s="56" t="str">
        <f>IF(COUNTIFS('LANÇAMENTOS DIÁRIOS'!$G$5:$G$500,"F",'LANÇAMENTOS DIÁRIOS'!$C$5:$C$500,$A61,'LANÇAMENTOS DIÁRIOS'!$O$5:$O$500,"&lt;=115699",'LANÇAMENTOS DIÁRIOS'!$P$5:$P$500,"&gt;=115600")&gt;0,"X","")</f>
      </c>
      <c r="AR61" s="56" t="str">
        <f>IF(COUNTIFS('LANÇAMENTOS DIÁRIOS'!$G$5:$G$500,"F",'LANÇAMENTOS DIÁRIOS'!$C$5:$C$500,$A61,'LANÇAMENTOS DIÁRIOS'!$O$5:$O$500,"&lt;=115799",'LANÇAMENTOS DIÁRIOS'!$P$5:$P$500,"&gt;=115700")&gt;0,"X","")</f>
      </c>
      <c r="AS61" s="56" t="str">
        <f>IF(COUNTIFS('LANÇAMENTOS DIÁRIOS'!$G$5:$G$500,"F",'LANÇAMENTOS DIÁRIOS'!$C$5:$C$500,$A61,'LANÇAMENTOS DIÁRIOS'!$O$5:$O$500,"&lt;=115899",'LANÇAMENTOS DIÁRIOS'!$P$5:$P$500,"&gt;=115800")&gt;0,"X","")</f>
      </c>
      <c r="AT61" s="56" t="str">
        <f>IF(COUNTIFS('LANÇAMENTOS DIÁRIOS'!$G$5:$G$500,"F",'LANÇAMENTOS DIÁRIOS'!$C$5:$C$500,$A61,'LANÇAMENTOS DIÁRIOS'!$O$5:$O$500,"&lt;=115999",'LANÇAMENTOS DIÁRIOS'!$P$5:$P$500,"&gt;=115900")&gt;0,"X","")</f>
      </c>
      <c r="AU61" s="56" t="str">
        <f>IF(COUNTIFS('LANÇAMENTOS DIÁRIOS'!$G$5:$G$500,"F",'LANÇAMENTOS DIÁRIOS'!$C$5:$C$500,$A61,'LANÇAMENTOS DIÁRIOS'!$O$5:$O$500,"&lt;=116099",'LANÇAMENTOS DIÁRIOS'!$P$5:$P$500,"&gt;=116000")&gt;0,"X","")</f>
      </c>
      <c r="AV61" s="56" t="str">
        <f>IF(COUNTIFS('LANÇAMENTOS DIÁRIOS'!$G$5:$G$500,"F",'LANÇAMENTOS DIÁRIOS'!$C$5:$C$500,$A61,'LANÇAMENTOS DIÁRIOS'!$O$5:$O$500,"&lt;=116199",'LANÇAMENTOS DIÁRIOS'!$P$5:$P$500,"&gt;=116100")&gt;0,"X","")</f>
      </c>
      <c r="AW61" s="56" t="str">
        <f>IF(COUNTIFS('LANÇAMENTOS DIÁRIOS'!$G$5:$G$500,"F",'LANÇAMENTOS DIÁRIOS'!$C$5:$C$500,$A61,'LANÇAMENTOS DIÁRIOS'!$O$5:$O$500,"&lt;=116299",'LANÇAMENTOS DIÁRIOS'!$P$5:$P$500,"&gt;=116200")&gt;0,"X","")</f>
      </c>
      <c r="AX61" s="56" t="str">
        <f>IF(COUNTIFS('LANÇAMENTOS DIÁRIOS'!$G$5:$G$500,"F",'LANÇAMENTOS DIÁRIOS'!$C$5:$C$500,$A61,'LANÇAMENTOS DIÁRIOS'!$O$5:$O$500,"&lt;=116399",'LANÇAMENTOS DIÁRIOS'!$P$5:$P$500,"&gt;=116300")&gt;0,"X","")</f>
      </c>
      <c r="AY61" s="56" t="str">
        <f>IF(COUNTIFS('LANÇAMENTOS DIÁRIOS'!$G$5:$G$500,"F",'LANÇAMENTOS DIÁRIOS'!$C$5:$C$500,$A61,'LANÇAMENTOS DIÁRIOS'!$O$5:$O$500,"&lt;=116499",'LANÇAMENTOS DIÁRIOS'!$P$5:$P$500,"&gt;=116400")&gt;0,"X","")</f>
      </c>
      <c r="AZ61" s="56" t="str">
        <f>IF(COUNTIFS('LANÇAMENTOS DIÁRIOS'!$G$5:$G$500,"F",'LANÇAMENTOS DIÁRIOS'!$C$5:$C$500,$A61,'LANÇAMENTOS DIÁRIOS'!$O$5:$O$500,"&lt;=116599",'LANÇAMENTOS DIÁRIOS'!$P$5:$P$500,"&gt;=116500")&gt;0,"X","")</f>
      </c>
      <c r="BA61" s="56" t="str">
        <f>IF(COUNTIFS('LANÇAMENTOS DIÁRIOS'!$G$5:$G$500,"F",'LANÇAMENTOS DIÁRIOS'!$C$5:$C$500,$A61,'LANÇAMENTOS DIÁRIOS'!$O$5:$O$500,"&lt;=116699",'LANÇAMENTOS DIÁRIOS'!$P$5:$P$500,"&gt;=116600")&gt;0,"X","")</f>
      </c>
      <c r="BB61" s="56" t="str">
        <f>IF(COUNTIFS('LANÇAMENTOS DIÁRIOS'!$G$5:$G$500,"F",'LANÇAMENTOS DIÁRIOS'!$C$5:$C$500,$A61,'LANÇAMENTOS DIÁRIOS'!$O$5:$O$500,"&lt;=116799",'LANÇAMENTOS DIÁRIOS'!$P$5:$P$500,"&gt;=116700")&gt;0,"X","")</f>
      </c>
      <c r="BC61" s="56" t="str">
        <f>IF(COUNTIFS('LANÇAMENTOS DIÁRIOS'!$G$5:$G$500,"F",'LANÇAMENTOS DIÁRIOS'!$C$5:$C$500,$A61,'LANÇAMENTOS DIÁRIOS'!$O$5:$O$500,"&lt;=116899",'LANÇAMENTOS DIÁRIOS'!$P$5:$P$500,"&gt;=116800")&gt;0,"X","")</f>
      </c>
      <c r="BD61" s="56" t="str">
        <f>IF(COUNTIFS('LANÇAMENTOS DIÁRIOS'!$G$5:$G$500,"F",'LANÇAMENTOS DIÁRIOS'!$C$5:$C$500,$A61,'LANÇAMENTOS DIÁRIOS'!$O$5:$O$500,"&lt;=116999",'LANÇAMENTOS DIÁRIOS'!$P$5:$P$500,"&gt;=116900")&gt;0,"X","")</f>
      </c>
      <c r="BE61" s="56" t="str">
        <f>IF(COUNTIFS('LANÇAMENTOS DIÁRIOS'!$G$5:$G$500,"F",'LANÇAMENTOS DIÁRIOS'!$C$5:$C$500,$A61,'LANÇAMENTOS DIÁRIOS'!$O$5:$O$500,"&lt;=117099",'LANÇAMENTOS DIÁRIOS'!$P$5:$P$500,"&gt;=117000")&gt;0,"X","")</f>
      </c>
      <c r="BF61" s="56" t="str">
        <f>IF(COUNTIFS('LANÇAMENTOS DIÁRIOS'!$G$5:$G$500,"F",'LANÇAMENTOS DIÁRIOS'!$C$5:$C$500,$A61,'LANÇAMENTOS DIÁRIOS'!$O$5:$O$500,"&lt;=117199",'LANÇAMENTOS DIÁRIOS'!$P$5:$P$500,"&gt;=117100")&gt;0,"X","")</f>
      </c>
      <c r="BG61" s="56" t="str">
        <f>IF(COUNTIFS('LANÇAMENTOS DIÁRIOS'!$G$5:$G$500,"F",'LANÇAMENTOS DIÁRIOS'!$C$5:$C$500,$A61,'LANÇAMENTOS DIÁRIOS'!$O$5:$O$500,"&lt;=117219",'LANÇAMENTOS DIÁRIOS'!$P$5:$P$500,"&gt;=117200")&gt;0,"X","")</f>
      </c>
      <c r="BH61" s="56" t="str">
        <f>IF(COUNTIFS('LANÇAMENTOS DIÁRIOS'!$G$5:$G$500,"F",'LANÇAMENTOS DIÁRIOS'!$C$5:$C$500,$A61,'LANÇAMENTOS DIÁRIOS'!$O$5:$O$500,"&lt;=117220",'LANÇAMENTOS DIÁRIOS'!$P$5:$P$500,"&gt;=117220")&gt;0,"X","")</f>
      </c>
    </row>
    <row r="62">
      <c r="A62" s="51" t="str">
        <v>Regularização do subleito (*)</v>
      </c>
      <c r="B62" s="56" t="str">
        <f>IF(COUNTIFS('LANÇAMENTOS DIÁRIOS'!$G$5:$G$500,"F",'LANÇAMENTOS DIÁRIOS'!$C$5:$C$500,$A62,'LANÇAMENTOS DIÁRIOS'!$O$5:$O$500,"&lt;=111599",'LANÇAMENTOS DIÁRIOS'!$P$5:$P$500,"&gt;=111500")&gt;0,"X","")</f>
      </c>
      <c r="C62" s="56" t="str">
        <f>IF(COUNTIFS('LANÇAMENTOS DIÁRIOS'!$G$5:$G$500,"F",'LANÇAMENTOS DIÁRIOS'!$C$5:$C$500,$A62,'LANÇAMENTOS DIÁRIOS'!$O$5:$O$500,"&lt;=111699",'LANÇAMENTOS DIÁRIOS'!$P$5:$P$500,"&gt;=111600")&gt;0,"X","")</f>
      </c>
      <c r="D62" s="56" t="str">
        <f>IF(COUNTIFS('LANÇAMENTOS DIÁRIOS'!$G$5:$G$500,"F",'LANÇAMENTOS DIÁRIOS'!$C$5:$C$500,$A62,'LANÇAMENTOS DIÁRIOS'!$O$5:$O$500,"&lt;=111799",'LANÇAMENTOS DIÁRIOS'!$P$5:$P$500,"&gt;=111700")&gt;0,"X","")</f>
      </c>
      <c r="E62" s="56" t="str">
        <f>IF(COUNTIFS('LANÇAMENTOS DIÁRIOS'!$G$5:$G$500,"F",'LANÇAMENTOS DIÁRIOS'!$C$5:$C$500,$A62,'LANÇAMENTOS DIÁRIOS'!$O$5:$O$500,"&lt;=111899",'LANÇAMENTOS DIÁRIOS'!$P$5:$P$500,"&gt;=111800")&gt;0,"X","")</f>
      </c>
      <c r="F62" s="56" t="str">
        <f>IF(COUNTIFS('LANÇAMENTOS DIÁRIOS'!$G$5:$G$500,"F",'LANÇAMENTOS DIÁRIOS'!$C$5:$C$500,$A62,'LANÇAMENTOS DIÁRIOS'!$O$5:$O$500,"&lt;=111999",'LANÇAMENTOS DIÁRIOS'!$P$5:$P$500,"&gt;=111900")&gt;0,"X","")</f>
      </c>
      <c r="G62" s="56" t="str">
        <f>IF(COUNTIFS('LANÇAMENTOS DIÁRIOS'!$G$5:$G$500,"F",'LANÇAMENTOS DIÁRIOS'!$C$5:$C$500,$A62,'LANÇAMENTOS DIÁRIOS'!$O$5:$O$500,"&lt;=112099",'LANÇAMENTOS DIÁRIOS'!$P$5:$P$500,"&gt;=112000")&gt;0,"X","")</f>
      </c>
      <c r="H62" s="56" t="str">
        <f>IF(COUNTIFS('LANÇAMENTOS DIÁRIOS'!$G$5:$G$500,"F",'LANÇAMENTOS DIÁRIOS'!$C$5:$C$500,$A62,'LANÇAMENTOS DIÁRIOS'!$O$5:$O$500,"&lt;=112199",'LANÇAMENTOS DIÁRIOS'!$P$5:$P$500,"&gt;=112100")&gt;0,"X","")</f>
      </c>
      <c r="I62" s="56" t="str">
        <f>IF(COUNTIFS('LANÇAMENTOS DIÁRIOS'!$G$5:$G$500,"F",'LANÇAMENTOS DIÁRIOS'!$C$5:$C$500,$A62,'LANÇAMENTOS DIÁRIOS'!$O$5:$O$500,"&lt;=112299",'LANÇAMENTOS DIÁRIOS'!$P$5:$P$500,"&gt;=112200")&gt;0,"X","")</f>
      </c>
      <c r="J62" s="56" t="str">
        <f>IF(COUNTIFS('LANÇAMENTOS DIÁRIOS'!$G$5:$G$500,"F",'LANÇAMENTOS DIÁRIOS'!$C$5:$C$500,$A62,'LANÇAMENTOS DIÁRIOS'!$O$5:$O$500,"&lt;=112399",'LANÇAMENTOS DIÁRIOS'!$P$5:$P$500,"&gt;=112300")&gt;0,"X","")</f>
      </c>
      <c r="K62" s="56" t="str">
        <f>IF(COUNTIFS('LANÇAMENTOS DIÁRIOS'!$G$5:$G$500,"F",'LANÇAMENTOS DIÁRIOS'!$C$5:$C$500,$A62,'LANÇAMENTOS DIÁRIOS'!$O$5:$O$500,"&lt;=112499",'LANÇAMENTOS DIÁRIOS'!$P$5:$P$500,"&gt;=112400")&gt;0,"X","")</f>
      </c>
      <c r="L62" s="56" t="str">
        <f>IF(COUNTIFS('LANÇAMENTOS DIÁRIOS'!$G$5:$G$500,"F",'LANÇAMENTOS DIÁRIOS'!$C$5:$C$500,$A62,'LANÇAMENTOS DIÁRIOS'!$O$5:$O$500,"&lt;=112599",'LANÇAMENTOS DIÁRIOS'!$P$5:$P$500,"&gt;=112500")&gt;0,"X","")</f>
      </c>
      <c r="M62" s="56" t="str">
        <f>IF(COUNTIFS('LANÇAMENTOS DIÁRIOS'!$G$5:$G$500,"F",'LANÇAMENTOS DIÁRIOS'!$C$5:$C$500,$A62,'LANÇAMENTOS DIÁRIOS'!$O$5:$O$500,"&lt;=112699",'LANÇAMENTOS DIÁRIOS'!$P$5:$P$500,"&gt;=112600")&gt;0,"X","")</f>
      </c>
      <c r="N62" s="56" t="str">
        <f>IF(COUNTIFS('LANÇAMENTOS DIÁRIOS'!$G$5:$G$500,"F",'LANÇAMENTOS DIÁRIOS'!$C$5:$C$500,$A62,'LANÇAMENTOS DIÁRIOS'!$O$5:$O$500,"&lt;=112799",'LANÇAMENTOS DIÁRIOS'!$P$5:$P$500,"&gt;=112700")&gt;0,"X","")</f>
      </c>
      <c r="O62" s="56" t="str">
        <f>IF(COUNTIFS('LANÇAMENTOS DIÁRIOS'!$G$5:$G$500,"F",'LANÇAMENTOS DIÁRIOS'!$C$5:$C$500,$A62,'LANÇAMENTOS DIÁRIOS'!$O$5:$O$500,"&lt;=112899",'LANÇAMENTOS DIÁRIOS'!$P$5:$P$500,"&gt;=112800")&gt;0,"X","")</f>
      </c>
      <c r="P62" s="56" t="str">
        <f>IF(COUNTIFS('LANÇAMENTOS DIÁRIOS'!$G$5:$G$500,"F",'LANÇAMENTOS DIÁRIOS'!$C$5:$C$500,$A62,'LANÇAMENTOS DIÁRIOS'!$O$5:$O$500,"&lt;=112999",'LANÇAMENTOS DIÁRIOS'!$P$5:$P$500,"&gt;=112900")&gt;0,"X","")</f>
      </c>
      <c r="Q62" s="56" t="str">
        <f>IF(COUNTIFS('LANÇAMENTOS DIÁRIOS'!$G$5:$G$500,"F",'LANÇAMENTOS DIÁRIOS'!$C$5:$C$500,$A62,'LANÇAMENTOS DIÁRIOS'!$O$5:$O$500,"&lt;=113099",'LANÇAMENTOS DIÁRIOS'!$P$5:$P$500,"&gt;=113000")&gt;0,"X","")</f>
      </c>
      <c r="R62" s="56" t="str">
        <f>IF(COUNTIFS('LANÇAMENTOS DIÁRIOS'!$G$5:$G$500,"F",'LANÇAMENTOS DIÁRIOS'!$C$5:$C$500,$A62,'LANÇAMENTOS DIÁRIOS'!$O$5:$O$500,"&lt;=113199",'LANÇAMENTOS DIÁRIOS'!$P$5:$P$500,"&gt;=113100")&gt;0,"X","")</f>
      </c>
      <c r="S62" s="56" t="str">
        <f>IF(COUNTIFS('LANÇAMENTOS DIÁRIOS'!$G$5:$G$500,"F",'LANÇAMENTOS DIÁRIOS'!$C$5:$C$500,$A62,'LANÇAMENTOS DIÁRIOS'!$O$5:$O$500,"&lt;=113299",'LANÇAMENTOS DIÁRIOS'!$P$5:$P$500,"&gt;=113200")&gt;0,"X","")</f>
      </c>
      <c r="T62" s="56" t="str">
        <f>IF(COUNTIFS('LANÇAMENTOS DIÁRIOS'!$G$5:$G$500,"F",'LANÇAMENTOS DIÁRIOS'!$C$5:$C$500,$A62,'LANÇAMENTOS DIÁRIOS'!$O$5:$O$500,"&lt;=113399",'LANÇAMENTOS DIÁRIOS'!$P$5:$P$500,"&gt;=113300")&gt;0,"X","")</f>
      </c>
      <c r="U62" s="56" t="str">
        <f>IF(COUNTIFS('LANÇAMENTOS DIÁRIOS'!$G$5:$G$500,"F",'LANÇAMENTOS DIÁRIOS'!$C$5:$C$500,$A62,'LANÇAMENTOS DIÁRIOS'!$O$5:$O$500,"&lt;=113499",'LANÇAMENTOS DIÁRIOS'!$P$5:$P$500,"&gt;=113400")&gt;0,"X","")</f>
      </c>
      <c r="V62" s="56" t="str">
        <f>IF(COUNTIFS('LANÇAMENTOS DIÁRIOS'!$G$5:$G$500,"F",'LANÇAMENTOS DIÁRIOS'!$C$5:$C$500,$A62,'LANÇAMENTOS DIÁRIOS'!$O$5:$O$500,"&lt;=113599",'LANÇAMENTOS DIÁRIOS'!$P$5:$P$500,"&gt;=113500")&gt;0,"X","")</f>
      </c>
      <c r="W62" s="56" t="str">
        <f>IF(COUNTIFS('LANÇAMENTOS DIÁRIOS'!$G$5:$G$500,"F",'LANÇAMENTOS DIÁRIOS'!$C$5:$C$500,$A62,'LANÇAMENTOS DIÁRIOS'!$O$5:$O$500,"&lt;=113699",'LANÇAMENTOS DIÁRIOS'!$P$5:$P$500,"&gt;=113600")&gt;0,"X","")</f>
      </c>
      <c r="X62" s="56" t="str">
        <f>IF(COUNTIFS('LANÇAMENTOS DIÁRIOS'!$G$5:$G$500,"F",'LANÇAMENTOS DIÁRIOS'!$C$5:$C$500,$A62,'LANÇAMENTOS DIÁRIOS'!$O$5:$O$500,"&lt;=113799",'LANÇAMENTOS DIÁRIOS'!$P$5:$P$500,"&gt;=113700")&gt;0,"X","")</f>
      </c>
      <c r="Y62" s="56" t="str">
        <f>IF(COUNTIFS('LANÇAMENTOS DIÁRIOS'!$G$5:$G$500,"F",'LANÇAMENTOS DIÁRIOS'!$C$5:$C$500,$A62,'LANÇAMENTOS DIÁRIOS'!$O$5:$O$500,"&lt;=113899",'LANÇAMENTOS DIÁRIOS'!$P$5:$P$500,"&gt;=113800")&gt;0,"X","")</f>
      </c>
      <c r="Z62" s="56" t="str">
        <f>IF(COUNTIFS('LANÇAMENTOS DIÁRIOS'!$G$5:$G$500,"F",'LANÇAMENTOS DIÁRIOS'!$C$5:$C$500,$A62,'LANÇAMENTOS DIÁRIOS'!$O$5:$O$500,"&lt;=113999",'LANÇAMENTOS DIÁRIOS'!$P$5:$P$500,"&gt;=113900")&gt;0,"X","")</f>
      </c>
      <c r="AA62" s="56" t="str">
        <f>IF(COUNTIFS('LANÇAMENTOS DIÁRIOS'!$G$5:$G$500,"F",'LANÇAMENTOS DIÁRIOS'!$C$5:$C$500,$A62,'LANÇAMENTOS DIÁRIOS'!$O$5:$O$500,"&lt;=114099",'LANÇAMENTOS DIÁRIOS'!$P$5:$P$500,"&gt;=114000")&gt;0,"X","")</f>
      </c>
      <c r="AB62" s="56" t="str">
        <f>IF(COUNTIFS('LANÇAMENTOS DIÁRIOS'!$G$5:$G$500,"F",'LANÇAMENTOS DIÁRIOS'!$C$5:$C$500,$A62,'LANÇAMENTOS DIÁRIOS'!$O$5:$O$500,"&lt;=114199",'LANÇAMENTOS DIÁRIOS'!$P$5:$P$500,"&gt;=114100")&gt;0,"X","")</f>
      </c>
      <c r="AC62" s="56" t="str">
        <f>IF(COUNTIFS('LANÇAMENTOS DIÁRIOS'!$G$5:$G$500,"F",'LANÇAMENTOS DIÁRIOS'!$C$5:$C$500,$A62,'LANÇAMENTOS DIÁRIOS'!$O$5:$O$500,"&lt;=114299",'LANÇAMENTOS DIÁRIOS'!$P$5:$P$500,"&gt;=114200")&gt;0,"X","")</f>
      </c>
      <c r="AD62" s="56" t="str">
        <f>IF(COUNTIFS('LANÇAMENTOS DIÁRIOS'!$G$5:$G$500,"F",'LANÇAMENTOS DIÁRIOS'!$C$5:$C$500,$A62,'LANÇAMENTOS DIÁRIOS'!$O$5:$O$500,"&lt;=114399",'LANÇAMENTOS DIÁRIOS'!$P$5:$P$500,"&gt;=114300")&gt;0,"X","")</f>
      </c>
      <c r="AE62" s="56" t="str">
        <f>IF(COUNTIFS('LANÇAMENTOS DIÁRIOS'!$G$5:$G$500,"F",'LANÇAMENTOS DIÁRIOS'!$C$5:$C$500,$A62,'LANÇAMENTOS DIÁRIOS'!$O$5:$O$500,"&lt;=114499",'LANÇAMENTOS DIÁRIOS'!$P$5:$P$500,"&gt;=114400")&gt;0,"X","")</f>
      </c>
      <c r="AF62" s="56" t="str">
        <f>IF(COUNTIFS('LANÇAMENTOS DIÁRIOS'!$G$5:$G$500,"F",'LANÇAMENTOS DIÁRIOS'!$C$5:$C$500,$A62,'LANÇAMENTOS DIÁRIOS'!$O$5:$O$500,"&lt;=114599",'LANÇAMENTOS DIÁRIOS'!$P$5:$P$500,"&gt;=114500")&gt;0,"X","")</f>
      </c>
      <c r="AG62" s="56" t="str">
        <f>IF(COUNTIFS('LANÇAMENTOS DIÁRIOS'!$G$5:$G$500,"F",'LANÇAMENTOS DIÁRIOS'!$C$5:$C$500,$A62,'LANÇAMENTOS DIÁRIOS'!$O$5:$O$500,"&lt;=114699",'LANÇAMENTOS DIÁRIOS'!$P$5:$P$500,"&gt;=114600")&gt;0,"X","")</f>
      </c>
      <c r="AH62" s="56" t="str">
        <f>IF(COUNTIFS('LANÇAMENTOS DIÁRIOS'!$G$5:$G$500,"F",'LANÇAMENTOS DIÁRIOS'!$C$5:$C$500,$A62,'LANÇAMENTOS DIÁRIOS'!$O$5:$O$500,"&lt;=114799",'LANÇAMENTOS DIÁRIOS'!$P$5:$P$500,"&gt;=114700")&gt;0,"X","")</f>
      </c>
      <c r="AI62" s="56" t="str">
        <f>IF(COUNTIFS('LANÇAMENTOS DIÁRIOS'!$G$5:$G$500,"F",'LANÇAMENTOS DIÁRIOS'!$C$5:$C$500,$A62,'LANÇAMENTOS DIÁRIOS'!$O$5:$O$500,"&lt;=114899",'LANÇAMENTOS DIÁRIOS'!$P$5:$P$500,"&gt;=114800")&gt;0,"X","")</f>
      </c>
      <c r="AJ62" s="56" t="str">
        <f>IF(COUNTIFS('LANÇAMENTOS DIÁRIOS'!$G$5:$G$500,"F",'LANÇAMENTOS DIÁRIOS'!$C$5:$C$500,$A62,'LANÇAMENTOS DIÁRIOS'!$O$5:$O$500,"&lt;=114999",'LANÇAMENTOS DIÁRIOS'!$P$5:$P$500,"&gt;=114900")&gt;0,"X","")</f>
      </c>
      <c r="AK62" s="56" t="str">
        <f>IF(COUNTIFS('LANÇAMENTOS DIÁRIOS'!$G$5:$G$500,"F",'LANÇAMENTOS DIÁRIOS'!$C$5:$C$500,$A62,'LANÇAMENTOS DIÁRIOS'!$O$5:$O$500,"&lt;=115099",'LANÇAMENTOS DIÁRIOS'!$P$5:$P$500,"&gt;=115000")&gt;0,"X","")</f>
      </c>
      <c r="AL62" s="56" t="str">
        <f>IF(COUNTIFS('LANÇAMENTOS DIÁRIOS'!$G$5:$G$500,"F",'LANÇAMENTOS DIÁRIOS'!$C$5:$C$500,$A62,'LANÇAMENTOS DIÁRIOS'!$O$5:$O$500,"&lt;=115199",'LANÇAMENTOS DIÁRIOS'!$P$5:$P$500,"&gt;=115100")&gt;0,"X","")</f>
      </c>
      <c r="AM62" s="56" t="str">
        <f>IF(COUNTIFS('LANÇAMENTOS DIÁRIOS'!$G$5:$G$500,"F",'LANÇAMENTOS DIÁRIOS'!$C$5:$C$500,$A62,'LANÇAMENTOS DIÁRIOS'!$O$5:$O$500,"&lt;=115299",'LANÇAMENTOS DIÁRIOS'!$P$5:$P$500,"&gt;=115200")&gt;0,"X","")</f>
      </c>
      <c r="AN62" s="56" t="str">
        <f>IF(COUNTIFS('LANÇAMENTOS DIÁRIOS'!$G$5:$G$500,"F",'LANÇAMENTOS DIÁRIOS'!$C$5:$C$500,$A62,'LANÇAMENTOS DIÁRIOS'!$O$5:$O$500,"&lt;=115399",'LANÇAMENTOS DIÁRIOS'!$P$5:$P$500,"&gt;=115300")&gt;0,"X","")</f>
      </c>
      <c r="AO62" s="56" t="str">
        <f>IF(COUNTIFS('LANÇAMENTOS DIÁRIOS'!$G$5:$G$500,"F",'LANÇAMENTOS DIÁRIOS'!$C$5:$C$500,$A62,'LANÇAMENTOS DIÁRIOS'!$O$5:$O$500,"&lt;=115499",'LANÇAMENTOS DIÁRIOS'!$P$5:$P$500,"&gt;=115400")&gt;0,"X","")</f>
      </c>
      <c r="AP62" s="56" t="str">
        <f>IF(COUNTIFS('LANÇAMENTOS DIÁRIOS'!$G$5:$G$500,"F",'LANÇAMENTOS DIÁRIOS'!$C$5:$C$500,$A62,'LANÇAMENTOS DIÁRIOS'!$O$5:$O$500,"&lt;=115599",'LANÇAMENTOS DIÁRIOS'!$P$5:$P$500,"&gt;=115500")&gt;0,"X","")</f>
      </c>
      <c r="AQ62" s="56" t="str">
        <f>IF(COUNTIFS('LANÇAMENTOS DIÁRIOS'!$G$5:$G$500,"F",'LANÇAMENTOS DIÁRIOS'!$C$5:$C$500,$A62,'LANÇAMENTOS DIÁRIOS'!$O$5:$O$500,"&lt;=115699",'LANÇAMENTOS DIÁRIOS'!$P$5:$P$500,"&gt;=115600")&gt;0,"X","")</f>
      </c>
      <c r="AR62" s="56" t="str">
        <f>IF(COUNTIFS('LANÇAMENTOS DIÁRIOS'!$G$5:$G$500,"F",'LANÇAMENTOS DIÁRIOS'!$C$5:$C$500,$A62,'LANÇAMENTOS DIÁRIOS'!$O$5:$O$500,"&lt;=115799",'LANÇAMENTOS DIÁRIOS'!$P$5:$P$500,"&gt;=115700")&gt;0,"X","")</f>
      </c>
      <c r="AS62" s="56" t="str">
        <f>IF(COUNTIFS('LANÇAMENTOS DIÁRIOS'!$G$5:$G$500,"F",'LANÇAMENTOS DIÁRIOS'!$C$5:$C$500,$A62,'LANÇAMENTOS DIÁRIOS'!$O$5:$O$500,"&lt;=115899",'LANÇAMENTOS DIÁRIOS'!$P$5:$P$500,"&gt;=115800")&gt;0,"X","")</f>
      </c>
      <c r="AT62" s="56" t="str">
        <f>IF(COUNTIFS('LANÇAMENTOS DIÁRIOS'!$G$5:$G$500,"F",'LANÇAMENTOS DIÁRIOS'!$C$5:$C$500,$A62,'LANÇAMENTOS DIÁRIOS'!$O$5:$O$500,"&lt;=115999",'LANÇAMENTOS DIÁRIOS'!$P$5:$P$500,"&gt;=115900")&gt;0,"X","")</f>
      </c>
      <c r="AU62" s="56" t="str">
        <f>IF(COUNTIFS('LANÇAMENTOS DIÁRIOS'!$G$5:$G$500,"F",'LANÇAMENTOS DIÁRIOS'!$C$5:$C$500,$A62,'LANÇAMENTOS DIÁRIOS'!$O$5:$O$500,"&lt;=116099",'LANÇAMENTOS DIÁRIOS'!$P$5:$P$500,"&gt;=116000")&gt;0,"X","")</f>
      </c>
      <c r="AV62" s="56" t="str">
        <f>IF(COUNTIFS('LANÇAMENTOS DIÁRIOS'!$G$5:$G$500,"F",'LANÇAMENTOS DIÁRIOS'!$C$5:$C$500,$A62,'LANÇAMENTOS DIÁRIOS'!$O$5:$O$500,"&lt;=116199",'LANÇAMENTOS DIÁRIOS'!$P$5:$P$500,"&gt;=116100")&gt;0,"X","")</f>
      </c>
      <c r="AW62" s="56" t="str">
        <f>IF(COUNTIFS('LANÇAMENTOS DIÁRIOS'!$G$5:$G$500,"F",'LANÇAMENTOS DIÁRIOS'!$C$5:$C$500,$A62,'LANÇAMENTOS DIÁRIOS'!$O$5:$O$500,"&lt;=116299",'LANÇAMENTOS DIÁRIOS'!$P$5:$P$500,"&gt;=116200")&gt;0,"X","")</f>
      </c>
      <c r="AX62" s="56" t="str">
        <f>IF(COUNTIFS('LANÇAMENTOS DIÁRIOS'!$G$5:$G$500,"F",'LANÇAMENTOS DIÁRIOS'!$C$5:$C$500,$A62,'LANÇAMENTOS DIÁRIOS'!$O$5:$O$500,"&lt;=116399",'LANÇAMENTOS DIÁRIOS'!$P$5:$P$500,"&gt;=116300")&gt;0,"X","")</f>
      </c>
      <c r="AY62" s="56" t="str">
        <f>IF(COUNTIFS('LANÇAMENTOS DIÁRIOS'!$G$5:$G$500,"F",'LANÇAMENTOS DIÁRIOS'!$C$5:$C$500,$A62,'LANÇAMENTOS DIÁRIOS'!$O$5:$O$500,"&lt;=116499",'LANÇAMENTOS DIÁRIOS'!$P$5:$P$500,"&gt;=116400")&gt;0,"X","")</f>
      </c>
      <c r="AZ62" s="56" t="str">
        <f>IF(COUNTIFS('LANÇAMENTOS DIÁRIOS'!$G$5:$G$500,"F",'LANÇAMENTOS DIÁRIOS'!$C$5:$C$500,$A62,'LANÇAMENTOS DIÁRIOS'!$O$5:$O$500,"&lt;=116599",'LANÇAMENTOS DIÁRIOS'!$P$5:$P$500,"&gt;=116500")&gt;0,"X","")</f>
      </c>
      <c r="BA62" s="56" t="str">
        <f>IF(COUNTIFS('LANÇAMENTOS DIÁRIOS'!$G$5:$G$500,"F",'LANÇAMENTOS DIÁRIOS'!$C$5:$C$500,$A62,'LANÇAMENTOS DIÁRIOS'!$O$5:$O$500,"&lt;=116699",'LANÇAMENTOS DIÁRIOS'!$P$5:$P$500,"&gt;=116600")&gt;0,"X","")</f>
      </c>
      <c r="BB62" s="56" t="str">
        <f>IF(COUNTIFS('LANÇAMENTOS DIÁRIOS'!$G$5:$G$500,"F",'LANÇAMENTOS DIÁRIOS'!$C$5:$C$500,$A62,'LANÇAMENTOS DIÁRIOS'!$O$5:$O$500,"&lt;=116799",'LANÇAMENTOS DIÁRIOS'!$P$5:$P$500,"&gt;=116700")&gt;0,"X","")</f>
      </c>
      <c r="BC62" s="56" t="str">
        <f>IF(COUNTIFS('LANÇAMENTOS DIÁRIOS'!$G$5:$G$500,"F",'LANÇAMENTOS DIÁRIOS'!$C$5:$C$500,$A62,'LANÇAMENTOS DIÁRIOS'!$O$5:$O$500,"&lt;=116899",'LANÇAMENTOS DIÁRIOS'!$P$5:$P$500,"&gt;=116800")&gt;0,"X","")</f>
      </c>
      <c r="BD62" s="56" t="str">
        <f>IF(COUNTIFS('LANÇAMENTOS DIÁRIOS'!$G$5:$G$500,"F",'LANÇAMENTOS DIÁRIOS'!$C$5:$C$500,$A62,'LANÇAMENTOS DIÁRIOS'!$O$5:$O$500,"&lt;=116999",'LANÇAMENTOS DIÁRIOS'!$P$5:$P$500,"&gt;=116900")&gt;0,"X","")</f>
      </c>
      <c r="BE62" s="56" t="str">
        <f>IF(COUNTIFS('LANÇAMENTOS DIÁRIOS'!$G$5:$G$500,"F",'LANÇAMENTOS DIÁRIOS'!$C$5:$C$500,$A62,'LANÇAMENTOS DIÁRIOS'!$O$5:$O$500,"&lt;=117099",'LANÇAMENTOS DIÁRIOS'!$P$5:$P$500,"&gt;=117000")&gt;0,"X","")</f>
      </c>
      <c r="BF62" s="56" t="str">
        <f>IF(COUNTIFS('LANÇAMENTOS DIÁRIOS'!$G$5:$G$500,"F",'LANÇAMENTOS DIÁRIOS'!$C$5:$C$500,$A62,'LANÇAMENTOS DIÁRIOS'!$O$5:$O$500,"&lt;=117199",'LANÇAMENTOS DIÁRIOS'!$P$5:$P$500,"&gt;=117100")&gt;0,"X","")</f>
      </c>
      <c r="BG62" s="56" t="str">
        <f>IF(COUNTIFS('LANÇAMENTOS DIÁRIOS'!$G$5:$G$500,"F",'LANÇAMENTOS DIÁRIOS'!$C$5:$C$500,$A62,'LANÇAMENTOS DIÁRIOS'!$O$5:$O$500,"&lt;=117219",'LANÇAMENTOS DIÁRIOS'!$P$5:$P$500,"&gt;=117200")&gt;0,"X","")</f>
      </c>
      <c r="BH62" s="56" t="str">
        <f>IF(COUNTIFS('LANÇAMENTOS DIÁRIOS'!$G$5:$G$500,"F",'LANÇAMENTOS DIÁRIOS'!$C$5:$C$500,$A62,'LANÇAMENTOS DIÁRIOS'!$O$5:$O$500,"&lt;=117220",'LANÇAMENTOS DIÁRIOS'!$P$5:$P$500,"&gt;=117220")&gt;0,"X","")</f>
      </c>
    </row>
    <row r="63">
      <c r="A63" s="51" t="str">
        <v>Compactação de aterro a 100% do proctor intermediário (*)</v>
      </c>
      <c r="B63" s="56" t="str">
        <f>IF(COUNTIFS('LANÇAMENTOS DIÁRIOS'!$G$5:$G$500,"F",'LANÇAMENTOS DIÁRIOS'!$C$5:$C$500,$A63,'LANÇAMENTOS DIÁRIOS'!$O$5:$O$500,"&lt;=111599",'LANÇAMENTOS DIÁRIOS'!$P$5:$P$500,"&gt;=111500")&gt;0,"X","")</f>
      </c>
      <c r="C63" s="56" t="str">
        <f>IF(COUNTIFS('LANÇAMENTOS DIÁRIOS'!$G$5:$G$500,"F",'LANÇAMENTOS DIÁRIOS'!$C$5:$C$500,$A63,'LANÇAMENTOS DIÁRIOS'!$O$5:$O$500,"&lt;=111699",'LANÇAMENTOS DIÁRIOS'!$P$5:$P$500,"&gt;=111600")&gt;0,"X","")</f>
      </c>
      <c r="D63" s="56" t="str">
        <f>IF(COUNTIFS('LANÇAMENTOS DIÁRIOS'!$G$5:$G$500,"F",'LANÇAMENTOS DIÁRIOS'!$C$5:$C$500,$A63,'LANÇAMENTOS DIÁRIOS'!$O$5:$O$500,"&lt;=111799",'LANÇAMENTOS DIÁRIOS'!$P$5:$P$500,"&gt;=111700")&gt;0,"X","")</f>
      </c>
      <c r="E63" s="56" t="str">
        <f>IF(COUNTIFS('LANÇAMENTOS DIÁRIOS'!$G$5:$G$500,"F",'LANÇAMENTOS DIÁRIOS'!$C$5:$C$500,$A63,'LANÇAMENTOS DIÁRIOS'!$O$5:$O$500,"&lt;=111899",'LANÇAMENTOS DIÁRIOS'!$P$5:$P$500,"&gt;=111800")&gt;0,"X","")</f>
      </c>
      <c r="F63" s="56" t="str">
        <f>IF(COUNTIFS('LANÇAMENTOS DIÁRIOS'!$G$5:$G$500,"F",'LANÇAMENTOS DIÁRIOS'!$C$5:$C$500,$A63,'LANÇAMENTOS DIÁRIOS'!$O$5:$O$500,"&lt;=111999",'LANÇAMENTOS DIÁRIOS'!$P$5:$P$500,"&gt;=111900")&gt;0,"X","")</f>
      </c>
      <c r="G63" s="56" t="str">
        <f>IF(COUNTIFS('LANÇAMENTOS DIÁRIOS'!$G$5:$G$500,"F",'LANÇAMENTOS DIÁRIOS'!$C$5:$C$500,$A63,'LANÇAMENTOS DIÁRIOS'!$O$5:$O$500,"&lt;=112099",'LANÇAMENTOS DIÁRIOS'!$P$5:$P$500,"&gt;=112000")&gt;0,"X","")</f>
      </c>
      <c r="H63" s="56" t="str">
        <f>IF(COUNTIFS('LANÇAMENTOS DIÁRIOS'!$G$5:$G$500,"F",'LANÇAMENTOS DIÁRIOS'!$C$5:$C$500,$A63,'LANÇAMENTOS DIÁRIOS'!$O$5:$O$500,"&lt;=112199",'LANÇAMENTOS DIÁRIOS'!$P$5:$P$500,"&gt;=112100")&gt;0,"X","")</f>
      </c>
      <c r="I63" s="56" t="str">
        <f>IF(COUNTIFS('LANÇAMENTOS DIÁRIOS'!$G$5:$G$500,"F",'LANÇAMENTOS DIÁRIOS'!$C$5:$C$500,$A63,'LANÇAMENTOS DIÁRIOS'!$O$5:$O$500,"&lt;=112299",'LANÇAMENTOS DIÁRIOS'!$P$5:$P$500,"&gt;=112200")&gt;0,"X","")</f>
      </c>
      <c r="J63" s="56" t="str">
        <f>IF(COUNTIFS('LANÇAMENTOS DIÁRIOS'!$G$5:$G$500,"F",'LANÇAMENTOS DIÁRIOS'!$C$5:$C$500,$A63,'LANÇAMENTOS DIÁRIOS'!$O$5:$O$500,"&lt;=112399",'LANÇAMENTOS DIÁRIOS'!$P$5:$P$500,"&gt;=112300")&gt;0,"X","")</f>
      </c>
      <c r="K63" s="56" t="str">
        <f>IF(COUNTIFS('LANÇAMENTOS DIÁRIOS'!$G$5:$G$500,"F",'LANÇAMENTOS DIÁRIOS'!$C$5:$C$500,$A63,'LANÇAMENTOS DIÁRIOS'!$O$5:$O$500,"&lt;=112499",'LANÇAMENTOS DIÁRIOS'!$P$5:$P$500,"&gt;=112400")&gt;0,"X","")</f>
      </c>
      <c r="L63" s="56" t="str">
        <f>IF(COUNTIFS('LANÇAMENTOS DIÁRIOS'!$G$5:$G$500,"F",'LANÇAMENTOS DIÁRIOS'!$C$5:$C$500,$A63,'LANÇAMENTOS DIÁRIOS'!$O$5:$O$500,"&lt;=112599",'LANÇAMENTOS DIÁRIOS'!$P$5:$P$500,"&gt;=112500")&gt;0,"X","")</f>
      </c>
      <c r="M63" s="56" t="str">
        <f>IF(COUNTIFS('LANÇAMENTOS DIÁRIOS'!$G$5:$G$500,"F",'LANÇAMENTOS DIÁRIOS'!$C$5:$C$500,$A63,'LANÇAMENTOS DIÁRIOS'!$O$5:$O$500,"&lt;=112699",'LANÇAMENTOS DIÁRIOS'!$P$5:$P$500,"&gt;=112600")&gt;0,"X","")</f>
      </c>
      <c r="N63" s="56" t="str">
        <f>IF(COUNTIFS('LANÇAMENTOS DIÁRIOS'!$G$5:$G$500,"F",'LANÇAMENTOS DIÁRIOS'!$C$5:$C$500,$A63,'LANÇAMENTOS DIÁRIOS'!$O$5:$O$500,"&lt;=112799",'LANÇAMENTOS DIÁRIOS'!$P$5:$P$500,"&gt;=112700")&gt;0,"X","")</f>
      </c>
      <c r="O63" s="56" t="str">
        <f>IF(COUNTIFS('LANÇAMENTOS DIÁRIOS'!$G$5:$G$500,"F",'LANÇAMENTOS DIÁRIOS'!$C$5:$C$500,$A63,'LANÇAMENTOS DIÁRIOS'!$O$5:$O$500,"&lt;=112899",'LANÇAMENTOS DIÁRIOS'!$P$5:$P$500,"&gt;=112800")&gt;0,"X","")</f>
      </c>
      <c r="P63" s="56" t="str">
        <f>IF(COUNTIFS('LANÇAMENTOS DIÁRIOS'!$G$5:$G$500,"F",'LANÇAMENTOS DIÁRIOS'!$C$5:$C$500,$A63,'LANÇAMENTOS DIÁRIOS'!$O$5:$O$500,"&lt;=112999",'LANÇAMENTOS DIÁRIOS'!$P$5:$P$500,"&gt;=112900")&gt;0,"X","")</f>
      </c>
      <c r="Q63" s="56" t="str">
        <f>IF(COUNTIFS('LANÇAMENTOS DIÁRIOS'!$G$5:$G$500,"F",'LANÇAMENTOS DIÁRIOS'!$C$5:$C$500,$A63,'LANÇAMENTOS DIÁRIOS'!$O$5:$O$500,"&lt;=113099",'LANÇAMENTOS DIÁRIOS'!$P$5:$P$500,"&gt;=113000")&gt;0,"X","")</f>
      </c>
      <c r="R63" s="56" t="str">
        <f>IF(COUNTIFS('LANÇAMENTOS DIÁRIOS'!$G$5:$G$500,"F",'LANÇAMENTOS DIÁRIOS'!$C$5:$C$500,$A63,'LANÇAMENTOS DIÁRIOS'!$O$5:$O$500,"&lt;=113199",'LANÇAMENTOS DIÁRIOS'!$P$5:$P$500,"&gt;=113100")&gt;0,"X","")</f>
      </c>
      <c r="S63" s="56" t="str">
        <f>IF(COUNTIFS('LANÇAMENTOS DIÁRIOS'!$G$5:$G$500,"F",'LANÇAMENTOS DIÁRIOS'!$C$5:$C$500,$A63,'LANÇAMENTOS DIÁRIOS'!$O$5:$O$500,"&lt;=113299",'LANÇAMENTOS DIÁRIOS'!$P$5:$P$500,"&gt;=113200")&gt;0,"X","")</f>
      </c>
      <c r="T63" s="56" t="str">
        <f>IF(COUNTIFS('LANÇAMENTOS DIÁRIOS'!$G$5:$G$500,"F",'LANÇAMENTOS DIÁRIOS'!$C$5:$C$500,$A63,'LANÇAMENTOS DIÁRIOS'!$O$5:$O$500,"&lt;=113399",'LANÇAMENTOS DIÁRIOS'!$P$5:$P$500,"&gt;=113300")&gt;0,"X","")</f>
      </c>
      <c r="U63" s="56" t="str">
        <f>IF(COUNTIFS('LANÇAMENTOS DIÁRIOS'!$G$5:$G$500,"F",'LANÇAMENTOS DIÁRIOS'!$C$5:$C$500,$A63,'LANÇAMENTOS DIÁRIOS'!$O$5:$O$500,"&lt;=113499",'LANÇAMENTOS DIÁRIOS'!$P$5:$P$500,"&gt;=113400")&gt;0,"X","")</f>
      </c>
      <c r="V63" s="56" t="str">
        <f>IF(COUNTIFS('LANÇAMENTOS DIÁRIOS'!$G$5:$G$500,"F",'LANÇAMENTOS DIÁRIOS'!$C$5:$C$500,$A63,'LANÇAMENTOS DIÁRIOS'!$O$5:$O$500,"&lt;=113599",'LANÇAMENTOS DIÁRIOS'!$P$5:$P$500,"&gt;=113500")&gt;0,"X","")</f>
      </c>
      <c r="W63" s="56" t="str">
        <f>IF(COUNTIFS('LANÇAMENTOS DIÁRIOS'!$G$5:$G$500,"F",'LANÇAMENTOS DIÁRIOS'!$C$5:$C$500,$A63,'LANÇAMENTOS DIÁRIOS'!$O$5:$O$500,"&lt;=113699",'LANÇAMENTOS DIÁRIOS'!$P$5:$P$500,"&gt;=113600")&gt;0,"X","")</f>
      </c>
      <c r="X63" s="56" t="str">
        <f>IF(COUNTIFS('LANÇAMENTOS DIÁRIOS'!$G$5:$G$500,"F",'LANÇAMENTOS DIÁRIOS'!$C$5:$C$500,$A63,'LANÇAMENTOS DIÁRIOS'!$O$5:$O$500,"&lt;=113799",'LANÇAMENTOS DIÁRIOS'!$P$5:$P$500,"&gt;=113700")&gt;0,"X","")</f>
      </c>
      <c r="Y63" s="56" t="str">
        <f>IF(COUNTIFS('LANÇAMENTOS DIÁRIOS'!$G$5:$G$500,"F",'LANÇAMENTOS DIÁRIOS'!$C$5:$C$500,$A63,'LANÇAMENTOS DIÁRIOS'!$O$5:$O$500,"&lt;=113899",'LANÇAMENTOS DIÁRIOS'!$P$5:$P$500,"&gt;=113800")&gt;0,"X","")</f>
      </c>
      <c r="Z63" s="56" t="str">
        <f>IF(COUNTIFS('LANÇAMENTOS DIÁRIOS'!$G$5:$G$500,"F",'LANÇAMENTOS DIÁRIOS'!$C$5:$C$500,$A63,'LANÇAMENTOS DIÁRIOS'!$O$5:$O$500,"&lt;=113999",'LANÇAMENTOS DIÁRIOS'!$P$5:$P$500,"&gt;=113900")&gt;0,"X","")</f>
      </c>
      <c r="AA63" s="56" t="str">
        <f>IF(COUNTIFS('LANÇAMENTOS DIÁRIOS'!$G$5:$G$500,"F",'LANÇAMENTOS DIÁRIOS'!$C$5:$C$500,$A63,'LANÇAMENTOS DIÁRIOS'!$O$5:$O$500,"&lt;=114099",'LANÇAMENTOS DIÁRIOS'!$P$5:$P$500,"&gt;=114000")&gt;0,"X","")</f>
      </c>
      <c r="AB63" s="56" t="str">
        <f>IF(COUNTIFS('LANÇAMENTOS DIÁRIOS'!$G$5:$G$500,"F",'LANÇAMENTOS DIÁRIOS'!$C$5:$C$500,$A63,'LANÇAMENTOS DIÁRIOS'!$O$5:$O$500,"&lt;=114199",'LANÇAMENTOS DIÁRIOS'!$P$5:$P$500,"&gt;=114100")&gt;0,"X","")</f>
      </c>
      <c r="AC63" s="56" t="str">
        <f>IF(COUNTIFS('LANÇAMENTOS DIÁRIOS'!$G$5:$G$500,"F",'LANÇAMENTOS DIÁRIOS'!$C$5:$C$500,$A63,'LANÇAMENTOS DIÁRIOS'!$O$5:$O$500,"&lt;=114299",'LANÇAMENTOS DIÁRIOS'!$P$5:$P$500,"&gt;=114200")&gt;0,"X","")</f>
      </c>
      <c r="AD63" s="56" t="str">
        <f>IF(COUNTIFS('LANÇAMENTOS DIÁRIOS'!$G$5:$G$500,"F",'LANÇAMENTOS DIÁRIOS'!$C$5:$C$500,$A63,'LANÇAMENTOS DIÁRIOS'!$O$5:$O$500,"&lt;=114399",'LANÇAMENTOS DIÁRIOS'!$P$5:$P$500,"&gt;=114300")&gt;0,"X","")</f>
      </c>
      <c r="AE63" s="56" t="str">
        <f>IF(COUNTIFS('LANÇAMENTOS DIÁRIOS'!$G$5:$G$500,"F",'LANÇAMENTOS DIÁRIOS'!$C$5:$C$500,$A63,'LANÇAMENTOS DIÁRIOS'!$O$5:$O$500,"&lt;=114499",'LANÇAMENTOS DIÁRIOS'!$P$5:$P$500,"&gt;=114400")&gt;0,"X","")</f>
      </c>
      <c r="AF63" s="56" t="str">
        <f>IF(COUNTIFS('LANÇAMENTOS DIÁRIOS'!$G$5:$G$500,"F",'LANÇAMENTOS DIÁRIOS'!$C$5:$C$500,$A63,'LANÇAMENTOS DIÁRIOS'!$O$5:$O$500,"&lt;=114599",'LANÇAMENTOS DIÁRIOS'!$P$5:$P$500,"&gt;=114500")&gt;0,"X","")</f>
      </c>
      <c r="AG63" s="56" t="str">
        <f>IF(COUNTIFS('LANÇAMENTOS DIÁRIOS'!$G$5:$G$500,"F",'LANÇAMENTOS DIÁRIOS'!$C$5:$C$500,$A63,'LANÇAMENTOS DIÁRIOS'!$O$5:$O$500,"&lt;=114699",'LANÇAMENTOS DIÁRIOS'!$P$5:$P$500,"&gt;=114600")&gt;0,"X","")</f>
      </c>
      <c r="AH63" s="56" t="str">
        <f>IF(COUNTIFS('LANÇAMENTOS DIÁRIOS'!$G$5:$G$500,"F",'LANÇAMENTOS DIÁRIOS'!$C$5:$C$500,$A63,'LANÇAMENTOS DIÁRIOS'!$O$5:$O$500,"&lt;=114799",'LANÇAMENTOS DIÁRIOS'!$P$5:$P$500,"&gt;=114700")&gt;0,"X","")</f>
      </c>
      <c r="AI63" s="56" t="str">
        <f>IF(COUNTIFS('LANÇAMENTOS DIÁRIOS'!$G$5:$G$500,"F",'LANÇAMENTOS DIÁRIOS'!$C$5:$C$500,$A63,'LANÇAMENTOS DIÁRIOS'!$O$5:$O$500,"&lt;=114899",'LANÇAMENTOS DIÁRIOS'!$P$5:$P$500,"&gt;=114800")&gt;0,"X","")</f>
      </c>
      <c r="AJ63" s="56" t="str">
        <f>IF(COUNTIFS('LANÇAMENTOS DIÁRIOS'!$G$5:$G$500,"F",'LANÇAMENTOS DIÁRIOS'!$C$5:$C$500,$A63,'LANÇAMENTOS DIÁRIOS'!$O$5:$O$500,"&lt;=114999",'LANÇAMENTOS DIÁRIOS'!$P$5:$P$500,"&gt;=114900")&gt;0,"X","")</f>
      </c>
      <c r="AK63" s="56" t="str">
        <f>IF(COUNTIFS('LANÇAMENTOS DIÁRIOS'!$G$5:$G$500,"F",'LANÇAMENTOS DIÁRIOS'!$C$5:$C$500,$A63,'LANÇAMENTOS DIÁRIOS'!$O$5:$O$500,"&lt;=115099",'LANÇAMENTOS DIÁRIOS'!$P$5:$P$500,"&gt;=115000")&gt;0,"X","")</f>
      </c>
      <c r="AL63" s="56" t="str">
        <f>IF(COUNTIFS('LANÇAMENTOS DIÁRIOS'!$G$5:$G$500,"F",'LANÇAMENTOS DIÁRIOS'!$C$5:$C$500,$A63,'LANÇAMENTOS DIÁRIOS'!$O$5:$O$500,"&lt;=115199",'LANÇAMENTOS DIÁRIOS'!$P$5:$P$500,"&gt;=115100")&gt;0,"X","")</f>
      </c>
      <c r="AM63" s="56" t="str">
        <f>IF(COUNTIFS('LANÇAMENTOS DIÁRIOS'!$G$5:$G$500,"F",'LANÇAMENTOS DIÁRIOS'!$C$5:$C$500,$A63,'LANÇAMENTOS DIÁRIOS'!$O$5:$O$500,"&lt;=115299",'LANÇAMENTOS DIÁRIOS'!$P$5:$P$500,"&gt;=115200")&gt;0,"X","")</f>
      </c>
      <c r="AN63" s="56" t="str">
        <f>IF(COUNTIFS('LANÇAMENTOS DIÁRIOS'!$G$5:$G$500,"F",'LANÇAMENTOS DIÁRIOS'!$C$5:$C$500,$A63,'LANÇAMENTOS DIÁRIOS'!$O$5:$O$500,"&lt;=115399",'LANÇAMENTOS DIÁRIOS'!$P$5:$P$500,"&gt;=115300")&gt;0,"X","")</f>
      </c>
      <c r="AO63" s="56" t="str">
        <f>IF(COUNTIFS('LANÇAMENTOS DIÁRIOS'!$G$5:$G$500,"F",'LANÇAMENTOS DIÁRIOS'!$C$5:$C$500,$A63,'LANÇAMENTOS DIÁRIOS'!$O$5:$O$500,"&lt;=115499",'LANÇAMENTOS DIÁRIOS'!$P$5:$P$500,"&gt;=115400")&gt;0,"X","")</f>
      </c>
      <c r="AP63" s="56" t="str">
        <f>IF(COUNTIFS('LANÇAMENTOS DIÁRIOS'!$G$5:$G$500,"F",'LANÇAMENTOS DIÁRIOS'!$C$5:$C$500,$A63,'LANÇAMENTOS DIÁRIOS'!$O$5:$O$500,"&lt;=115599",'LANÇAMENTOS DIÁRIOS'!$P$5:$P$500,"&gt;=115500")&gt;0,"X","")</f>
      </c>
      <c r="AQ63" s="56" t="str">
        <f>IF(COUNTIFS('LANÇAMENTOS DIÁRIOS'!$G$5:$G$500,"F",'LANÇAMENTOS DIÁRIOS'!$C$5:$C$500,$A63,'LANÇAMENTOS DIÁRIOS'!$O$5:$O$500,"&lt;=115699",'LANÇAMENTOS DIÁRIOS'!$P$5:$P$500,"&gt;=115600")&gt;0,"X","")</f>
      </c>
      <c r="AR63" s="56" t="str">
        <f>IF(COUNTIFS('LANÇAMENTOS DIÁRIOS'!$G$5:$G$500,"F",'LANÇAMENTOS DIÁRIOS'!$C$5:$C$500,$A63,'LANÇAMENTOS DIÁRIOS'!$O$5:$O$500,"&lt;=115799",'LANÇAMENTOS DIÁRIOS'!$P$5:$P$500,"&gt;=115700")&gt;0,"X","")</f>
      </c>
      <c r="AS63" s="56" t="str">
        <f>IF(COUNTIFS('LANÇAMENTOS DIÁRIOS'!$G$5:$G$500,"F",'LANÇAMENTOS DIÁRIOS'!$C$5:$C$500,$A63,'LANÇAMENTOS DIÁRIOS'!$O$5:$O$500,"&lt;=115899",'LANÇAMENTOS DIÁRIOS'!$P$5:$P$500,"&gt;=115800")&gt;0,"X","")</f>
      </c>
      <c r="AT63" s="56" t="str">
        <f>IF(COUNTIFS('LANÇAMENTOS DIÁRIOS'!$G$5:$G$500,"F",'LANÇAMENTOS DIÁRIOS'!$C$5:$C$500,$A63,'LANÇAMENTOS DIÁRIOS'!$O$5:$O$500,"&lt;=115999",'LANÇAMENTOS DIÁRIOS'!$P$5:$P$500,"&gt;=115900")&gt;0,"X","")</f>
      </c>
      <c r="AU63" s="56" t="str">
        <f>IF(COUNTIFS('LANÇAMENTOS DIÁRIOS'!$G$5:$G$500,"F",'LANÇAMENTOS DIÁRIOS'!$C$5:$C$500,$A63,'LANÇAMENTOS DIÁRIOS'!$O$5:$O$500,"&lt;=116099",'LANÇAMENTOS DIÁRIOS'!$P$5:$P$500,"&gt;=116000")&gt;0,"X","")</f>
      </c>
      <c r="AV63" s="56" t="str">
        <f>IF(COUNTIFS('LANÇAMENTOS DIÁRIOS'!$G$5:$G$500,"F",'LANÇAMENTOS DIÁRIOS'!$C$5:$C$500,$A63,'LANÇAMENTOS DIÁRIOS'!$O$5:$O$500,"&lt;=116199",'LANÇAMENTOS DIÁRIOS'!$P$5:$P$500,"&gt;=116100")&gt;0,"X","")</f>
      </c>
      <c r="AW63" s="56" t="str">
        <f>IF(COUNTIFS('LANÇAMENTOS DIÁRIOS'!$G$5:$G$500,"F",'LANÇAMENTOS DIÁRIOS'!$C$5:$C$500,$A63,'LANÇAMENTOS DIÁRIOS'!$O$5:$O$500,"&lt;=116299",'LANÇAMENTOS DIÁRIOS'!$P$5:$P$500,"&gt;=116200")&gt;0,"X","")</f>
      </c>
      <c r="AX63" s="56" t="str">
        <f>IF(COUNTIFS('LANÇAMENTOS DIÁRIOS'!$G$5:$G$500,"F",'LANÇAMENTOS DIÁRIOS'!$C$5:$C$500,$A63,'LANÇAMENTOS DIÁRIOS'!$O$5:$O$500,"&lt;=116399",'LANÇAMENTOS DIÁRIOS'!$P$5:$P$500,"&gt;=116300")&gt;0,"X","")</f>
      </c>
      <c r="AY63" s="56" t="str">
        <f>IF(COUNTIFS('LANÇAMENTOS DIÁRIOS'!$G$5:$G$500,"F",'LANÇAMENTOS DIÁRIOS'!$C$5:$C$500,$A63,'LANÇAMENTOS DIÁRIOS'!$O$5:$O$500,"&lt;=116499",'LANÇAMENTOS DIÁRIOS'!$P$5:$P$500,"&gt;=116400")&gt;0,"X","")</f>
      </c>
      <c r="AZ63" s="56" t="str">
        <f>IF(COUNTIFS('LANÇAMENTOS DIÁRIOS'!$G$5:$G$500,"F",'LANÇAMENTOS DIÁRIOS'!$C$5:$C$500,$A63,'LANÇAMENTOS DIÁRIOS'!$O$5:$O$500,"&lt;=116599",'LANÇAMENTOS DIÁRIOS'!$P$5:$P$500,"&gt;=116500")&gt;0,"X","")</f>
      </c>
      <c r="BA63" s="56" t="str">
        <f>IF(COUNTIFS('LANÇAMENTOS DIÁRIOS'!$G$5:$G$500,"F",'LANÇAMENTOS DIÁRIOS'!$C$5:$C$500,$A63,'LANÇAMENTOS DIÁRIOS'!$O$5:$O$500,"&lt;=116699",'LANÇAMENTOS DIÁRIOS'!$P$5:$P$500,"&gt;=116600")&gt;0,"X","")</f>
      </c>
      <c r="BB63" s="56" t="str">
        <f>IF(COUNTIFS('LANÇAMENTOS DIÁRIOS'!$G$5:$G$500,"F",'LANÇAMENTOS DIÁRIOS'!$C$5:$C$500,$A63,'LANÇAMENTOS DIÁRIOS'!$O$5:$O$500,"&lt;=116799",'LANÇAMENTOS DIÁRIOS'!$P$5:$P$500,"&gt;=116700")&gt;0,"X","")</f>
      </c>
      <c r="BC63" s="56" t="str">
        <f>IF(COUNTIFS('LANÇAMENTOS DIÁRIOS'!$G$5:$G$500,"F",'LANÇAMENTOS DIÁRIOS'!$C$5:$C$500,$A63,'LANÇAMENTOS DIÁRIOS'!$O$5:$O$500,"&lt;=116899",'LANÇAMENTOS DIÁRIOS'!$P$5:$P$500,"&gt;=116800")&gt;0,"X","")</f>
      </c>
      <c r="BD63" s="56" t="str">
        <f>IF(COUNTIFS('LANÇAMENTOS DIÁRIOS'!$G$5:$G$500,"F",'LANÇAMENTOS DIÁRIOS'!$C$5:$C$500,$A63,'LANÇAMENTOS DIÁRIOS'!$O$5:$O$500,"&lt;=116999",'LANÇAMENTOS DIÁRIOS'!$P$5:$P$500,"&gt;=116900")&gt;0,"X","")</f>
      </c>
      <c r="BE63" s="56" t="str">
        <f>IF(COUNTIFS('LANÇAMENTOS DIÁRIOS'!$G$5:$G$500,"F",'LANÇAMENTOS DIÁRIOS'!$C$5:$C$500,$A63,'LANÇAMENTOS DIÁRIOS'!$O$5:$O$500,"&lt;=117099",'LANÇAMENTOS DIÁRIOS'!$P$5:$P$500,"&gt;=117000")&gt;0,"X","")</f>
      </c>
      <c r="BF63" s="56" t="str">
        <f>IF(COUNTIFS('LANÇAMENTOS DIÁRIOS'!$G$5:$G$500,"F",'LANÇAMENTOS DIÁRIOS'!$C$5:$C$500,$A63,'LANÇAMENTOS DIÁRIOS'!$O$5:$O$500,"&lt;=117199",'LANÇAMENTOS DIÁRIOS'!$P$5:$P$500,"&gt;=117100")&gt;0,"X","")</f>
      </c>
      <c r="BG63" s="56" t="str">
        <f>IF(COUNTIFS('LANÇAMENTOS DIÁRIOS'!$G$5:$G$500,"F",'LANÇAMENTOS DIÁRIOS'!$C$5:$C$500,$A63,'LANÇAMENTOS DIÁRIOS'!$O$5:$O$500,"&lt;=117219",'LANÇAMENTOS DIÁRIOS'!$P$5:$P$500,"&gt;=117200")&gt;0,"X","")</f>
      </c>
      <c r="BH63" s="56" t="str">
        <f>IF(COUNTIFS('LANÇAMENTOS DIÁRIOS'!$G$5:$G$500,"F",'LANÇAMENTOS DIÁRIOS'!$C$5:$C$500,$A63,'LANÇAMENTOS DIÁRIOS'!$O$5:$O$500,"&lt;=117220",'LANÇAMENTOS DIÁRIOS'!$P$5:$P$500,"&gt;=117220")&gt;0,"X","")</f>
      </c>
    </row>
    <row r="64" ht="19" customHeight="1">
      <c r="A64" s="68" t="str">
        <v>Aplicação de geomanta e geogrelha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</row>
    <row r="65">
      <c r="A65" s="51" t="str">
        <v>Geogrelha uniaxial com deformação máxima de 10% e resistência nominal de 100kN/m - Sem o fronecimento de materiais</v>
      </c>
      <c r="B65" s="56" t="str">
        <f>IF(COUNTIFS('LANÇAMENTOS DIÁRIOS'!$G$5:$G$500,"F",'LANÇAMENTOS DIÁRIOS'!$C$5:$C$500,$A65,'LANÇAMENTOS DIÁRIOS'!$O$5:$O$500,"&lt;=111599",'LANÇAMENTOS DIÁRIOS'!$P$5:$P$500,"&gt;=111500")&gt;0,"X","")</f>
      </c>
      <c r="C65" s="56" t="str">
        <f>IF(COUNTIFS('LANÇAMENTOS DIÁRIOS'!$G$5:$G$500,"F",'LANÇAMENTOS DIÁRIOS'!$C$5:$C$500,$A65,'LANÇAMENTOS DIÁRIOS'!$O$5:$O$500,"&lt;=111699",'LANÇAMENTOS DIÁRIOS'!$P$5:$P$500,"&gt;=111600")&gt;0,"X","")</f>
      </c>
      <c r="D65" s="56" t="str">
        <f>IF(COUNTIFS('LANÇAMENTOS DIÁRIOS'!$G$5:$G$500,"F",'LANÇAMENTOS DIÁRIOS'!$C$5:$C$500,$A65,'LANÇAMENTOS DIÁRIOS'!$O$5:$O$500,"&lt;=111799",'LANÇAMENTOS DIÁRIOS'!$P$5:$P$500,"&gt;=111700")&gt;0,"X","")</f>
      </c>
      <c r="E65" s="56" t="str">
        <f>IF(COUNTIFS('LANÇAMENTOS DIÁRIOS'!$G$5:$G$500,"F",'LANÇAMENTOS DIÁRIOS'!$C$5:$C$500,$A65,'LANÇAMENTOS DIÁRIOS'!$O$5:$O$500,"&lt;=111899",'LANÇAMENTOS DIÁRIOS'!$P$5:$P$500,"&gt;=111800")&gt;0,"X","")</f>
      </c>
      <c r="F65" s="56" t="str">
        <f>IF(COUNTIFS('LANÇAMENTOS DIÁRIOS'!$G$5:$G$500,"F",'LANÇAMENTOS DIÁRIOS'!$C$5:$C$500,$A65,'LANÇAMENTOS DIÁRIOS'!$O$5:$O$500,"&lt;=111999",'LANÇAMENTOS DIÁRIOS'!$P$5:$P$500,"&gt;=111900")&gt;0,"X","")</f>
      </c>
      <c r="G65" s="56" t="str">
        <f>IF(COUNTIFS('LANÇAMENTOS DIÁRIOS'!$G$5:$G$500,"F",'LANÇAMENTOS DIÁRIOS'!$C$5:$C$500,$A65,'LANÇAMENTOS DIÁRIOS'!$O$5:$O$500,"&lt;=112099",'LANÇAMENTOS DIÁRIOS'!$P$5:$P$500,"&gt;=112000")&gt;0,"X","")</f>
      </c>
      <c r="H65" s="56" t="str">
        <f>IF(COUNTIFS('LANÇAMENTOS DIÁRIOS'!$G$5:$G$500,"F",'LANÇAMENTOS DIÁRIOS'!$C$5:$C$500,$A65,'LANÇAMENTOS DIÁRIOS'!$O$5:$O$500,"&lt;=112199",'LANÇAMENTOS DIÁRIOS'!$P$5:$P$500,"&gt;=112100")&gt;0,"X","")</f>
      </c>
      <c r="I65" s="56" t="str">
        <f>IF(COUNTIFS('LANÇAMENTOS DIÁRIOS'!$G$5:$G$500,"F",'LANÇAMENTOS DIÁRIOS'!$C$5:$C$500,$A65,'LANÇAMENTOS DIÁRIOS'!$O$5:$O$500,"&lt;=112299",'LANÇAMENTOS DIÁRIOS'!$P$5:$P$500,"&gt;=112200")&gt;0,"X","")</f>
      </c>
      <c r="J65" s="56" t="str">
        <f>IF(COUNTIFS('LANÇAMENTOS DIÁRIOS'!$G$5:$G$500,"F",'LANÇAMENTOS DIÁRIOS'!$C$5:$C$500,$A65,'LANÇAMENTOS DIÁRIOS'!$O$5:$O$500,"&lt;=112399",'LANÇAMENTOS DIÁRIOS'!$P$5:$P$500,"&gt;=112300")&gt;0,"X","")</f>
      </c>
      <c r="K65" s="56" t="str">
        <f>IF(COUNTIFS('LANÇAMENTOS DIÁRIOS'!$G$5:$G$500,"F",'LANÇAMENTOS DIÁRIOS'!$C$5:$C$500,$A65,'LANÇAMENTOS DIÁRIOS'!$O$5:$O$500,"&lt;=112499",'LANÇAMENTOS DIÁRIOS'!$P$5:$P$500,"&gt;=112400")&gt;0,"X","")</f>
      </c>
      <c r="L65" s="56" t="str">
        <f>IF(COUNTIFS('LANÇAMENTOS DIÁRIOS'!$G$5:$G$500,"F",'LANÇAMENTOS DIÁRIOS'!$C$5:$C$500,$A65,'LANÇAMENTOS DIÁRIOS'!$O$5:$O$500,"&lt;=112599",'LANÇAMENTOS DIÁRIOS'!$P$5:$P$500,"&gt;=112500")&gt;0,"X","")</f>
      </c>
      <c r="M65" s="56" t="str">
        <f>IF(COUNTIFS('LANÇAMENTOS DIÁRIOS'!$G$5:$G$500,"F",'LANÇAMENTOS DIÁRIOS'!$C$5:$C$500,$A65,'LANÇAMENTOS DIÁRIOS'!$O$5:$O$500,"&lt;=112699",'LANÇAMENTOS DIÁRIOS'!$P$5:$P$500,"&gt;=112600")&gt;0,"X","")</f>
      </c>
      <c r="N65" s="56" t="str">
        <f>IF(COUNTIFS('LANÇAMENTOS DIÁRIOS'!$G$5:$G$500,"F",'LANÇAMENTOS DIÁRIOS'!$C$5:$C$500,$A65,'LANÇAMENTOS DIÁRIOS'!$O$5:$O$500,"&lt;=112799",'LANÇAMENTOS DIÁRIOS'!$P$5:$P$500,"&gt;=112700")&gt;0,"X","")</f>
      </c>
      <c r="O65" s="56" t="str">
        <f>IF(COUNTIFS('LANÇAMENTOS DIÁRIOS'!$G$5:$G$500,"F",'LANÇAMENTOS DIÁRIOS'!$C$5:$C$500,$A65,'LANÇAMENTOS DIÁRIOS'!$O$5:$O$500,"&lt;=112899",'LANÇAMENTOS DIÁRIOS'!$P$5:$P$500,"&gt;=112800")&gt;0,"X","")</f>
      </c>
      <c r="P65" s="56" t="str">
        <f>IF(COUNTIFS('LANÇAMENTOS DIÁRIOS'!$G$5:$G$500,"F",'LANÇAMENTOS DIÁRIOS'!$C$5:$C$500,$A65,'LANÇAMENTOS DIÁRIOS'!$O$5:$O$500,"&lt;=112999",'LANÇAMENTOS DIÁRIOS'!$P$5:$P$500,"&gt;=112900")&gt;0,"X","")</f>
      </c>
      <c r="Q65" s="56" t="str">
        <f>IF(COUNTIFS('LANÇAMENTOS DIÁRIOS'!$G$5:$G$500,"F",'LANÇAMENTOS DIÁRIOS'!$C$5:$C$500,$A65,'LANÇAMENTOS DIÁRIOS'!$O$5:$O$500,"&lt;=113099",'LANÇAMENTOS DIÁRIOS'!$P$5:$P$500,"&gt;=113000")&gt;0,"X","")</f>
      </c>
      <c r="R65" s="56" t="str">
        <f>IF(COUNTIFS('LANÇAMENTOS DIÁRIOS'!$G$5:$G$500,"F",'LANÇAMENTOS DIÁRIOS'!$C$5:$C$500,$A65,'LANÇAMENTOS DIÁRIOS'!$O$5:$O$500,"&lt;=113199",'LANÇAMENTOS DIÁRIOS'!$P$5:$P$500,"&gt;=113100")&gt;0,"X","")</f>
      </c>
      <c r="S65" s="56" t="str">
        <f>IF(COUNTIFS('LANÇAMENTOS DIÁRIOS'!$G$5:$G$500,"F",'LANÇAMENTOS DIÁRIOS'!$C$5:$C$500,$A65,'LANÇAMENTOS DIÁRIOS'!$O$5:$O$500,"&lt;=113299",'LANÇAMENTOS DIÁRIOS'!$P$5:$P$500,"&gt;=113200")&gt;0,"X","")</f>
      </c>
      <c r="T65" s="56" t="str">
        <f>IF(COUNTIFS('LANÇAMENTOS DIÁRIOS'!$G$5:$G$500,"F",'LANÇAMENTOS DIÁRIOS'!$C$5:$C$500,$A65,'LANÇAMENTOS DIÁRIOS'!$O$5:$O$500,"&lt;=113399",'LANÇAMENTOS DIÁRIOS'!$P$5:$P$500,"&gt;=113300")&gt;0,"X","")</f>
      </c>
      <c r="U65" s="56" t="str">
        <f>IF(COUNTIFS('LANÇAMENTOS DIÁRIOS'!$G$5:$G$500,"F",'LANÇAMENTOS DIÁRIOS'!$C$5:$C$500,$A65,'LANÇAMENTOS DIÁRIOS'!$O$5:$O$500,"&lt;=113499",'LANÇAMENTOS DIÁRIOS'!$P$5:$P$500,"&gt;=113400")&gt;0,"X","")</f>
      </c>
      <c r="V65" s="56" t="str">
        <f>IF(COUNTIFS('LANÇAMENTOS DIÁRIOS'!$G$5:$G$500,"F",'LANÇAMENTOS DIÁRIOS'!$C$5:$C$500,$A65,'LANÇAMENTOS DIÁRIOS'!$O$5:$O$500,"&lt;=113599",'LANÇAMENTOS DIÁRIOS'!$P$5:$P$500,"&gt;=113500")&gt;0,"X","")</f>
      </c>
      <c r="W65" s="56" t="str">
        <f>IF(COUNTIFS('LANÇAMENTOS DIÁRIOS'!$G$5:$G$500,"F",'LANÇAMENTOS DIÁRIOS'!$C$5:$C$500,$A65,'LANÇAMENTOS DIÁRIOS'!$O$5:$O$500,"&lt;=113699",'LANÇAMENTOS DIÁRIOS'!$P$5:$P$500,"&gt;=113600")&gt;0,"X","")</f>
      </c>
      <c r="X65" s="56" t="str">
        <f>IF(COUNTIFS('LANÇAMENTOS DIÁRIOS'!$G$5:$G$500,"F",'LANÇAMENTOS DIÁRIOS'!$C$5:$C$500,$A65,'LANÇAMENTOS DIÁRIOS'!$O$5:$O$500,"&lt;=113799",'LANÇAMENTOS DIÁRIOS'!$P$5:$P$500,"&gt;=113700")&gt;0,"X","")</f>
      </c>
      <c r="Y65" s="56" t="str">
        <f>IF(COUNTIFS('LANÇAMENTOS DIÁRIOS'!$G$5:$G$500,"F",'LANÇAMENTOS DIÁRIOS'!$C$5:$C$500,$A65,'LANÇAMENTOS DIÁRIOS'!$O$5:$O$500,"&lt;=113899",'LANÇAMENTOS DIÁRIOS'!$P$5:$P$500,"&gt;=113800")&gt;0,"X","")</f>
      </c>
      <c r="Z65" s="56" t="str">
        <f>IF(COUNTIFS('LANÇAMENTOS DIÁRIOS'!$G$5:$G$500,"F",'LANÇAMENTOS DIÁRIOS'!$C$5:$C$500,$A65,'LANÇAMENTOS DIÁRIOS'!$O$5:$O$500,"&lt;=113999",'LANÇAMENTOS DIÁRIOS'!$P$5:$P$500,"&gt;=113900")&gt;0,"X","")</f>
      </c>
      <c r="AA65" s="56" t="str">
        <f>IF(COUNTIFS('LANÇAMENTOS DIÁRIOS'!$G$5:$G$500,"F",'LANÇAMENTOS DIÁRIOS'!$C$5:$C$500,$A65,'LANÇAMENTOS DIÁRIOS'!$O$5:$O$500,"&lt;=114099",'LANÇAMENTOS DIÁRIOS'!$P$5:$P$500,"&gt;=114000")&gt;0,"X","")</f>
      </c>
      <c r="AB65" s="56" t="str">
        <f>IF(COUNTIFS('LANÇAMENTOS DIÁRIOS'!$G$5:$G$500,"F",'LANÇAMENTOS DIÁRIOS'!$C$5:$C$500,$A65,'LANÇAMENTOS DIÁRIOS'!$O$5:$O$500,"&lt;=114199",'LANÇAMENTOS DIÁRIOS'!$P$5:$P$500,"&gt;=114100")&gt;0,"X","")</f>
      </c>
      <c r="AC65" s="56" t="str">
        <f>IF(COUNTIFS('LANÇAMENTOS DIÁRIOS'!$G$5:$G$500,"F",'LANÇAMENTOS DIÁRIOS'!$C$5:$C$500,$A65,'LANÇAMENTOS DIÁRIOS'!$O$5:$O$500,"&lt;=114299",'LANÇAMENTOS DIÁRIOS'!$P$5:$P$500,"&gt;=114200")&gt;0,"X","")</f>
      </c>
      <c r="AD65" s="56" t="str">
        <f>IF(COUNTIFS('LANÇAMENTOS DIÁRIOS'!$G$5:$G$500,"F",'LANÇAMENTOS DIÁRIOS'!$C$5:$C$500,$A65,'LANÇAMENTOS DIÁRIOS'!$O$5:$O$500,"&lt;=114399",'LANÇAMENTOS DIÁRIOS'!$P$5:$P$500,"&gt;=114300")&gt;0,"X","")</f>
      </c>
      <c r="AE65" s="56" t="str">
        <f>IF(COUNTIFS('LANÇAMENTOS DIÁRIOS'!$G$5:$G$500,"F",'LANÇAMENTOS DIÁRIOS'!$C$5:$C$500,$A65,'LANÇAMENTOS DIÁRIOS'!$O$5:$O$500,"&lt;=114499",'LANÇAMENTOS DIÁRIOS'!$P$5:$P$500,"&gt;=114400")&gt;0,"X","")</f>
      </c>
      <c r="AF65" s="56" t="str">
        <f>IF(COUNTIFS('LANÇAMENTOS DIÁRIOS'!$G$5:$G$500,"F",'LANÇAMENTOS DIÁRIOS'!$C$5:$C$500,$A65,'LANÇAMENTOS DIÁRIOS'!$O$5:$O$500,"&lt;=114599",'LANÇAMENTOS DIÁRIOS'!$P$5:$P$500,"&gt;=114500")&gt;0,"X","")</f>
      </c>
      <c r="AG65" s="56" t="str">
        <f>IF(COUNTIFS('LANÇAMENTOS DIÁRIOS'!$G$5:$G$500,"F",'LANÇAMENTOS DIÁRIOS'!$C$5:$C$500,$A65,'LANÇAMENTOS DIÁRIOS'!$O$5:$O$500,"&lt;=114699",'LANÇAMENTOS DIÁRIOS'!$P$5:$P$500,"&gt;=114600")&gt;0,"X","")</f>
      </c>
      <c r="AH65" s="56" t="str">
        <f>IF(COUNTIFS('LANÇAMENTOS DIÁRIOS'!$G$5:$G$500,"F",'LANÇAMENTOS DIÁRIOS'!$C$5:$C$500,$A65,'LANÇAMENTOS DIÁRIOS'!$O$5:$O$500,"&lt;=114799",'LANÇAMENTOS DIÁRIOS'!$P$5:$P$500,"&gt;=114700")&gt;0,"X","")</f>
      </c>
      <c r="AI65" s="56" t="str">
        <f>IF(COUNTIFS('LANÇAMENTOS DIÁRIOS'!$G$5:$G$500,"F",'LANÇAMENTOS DIÁRIOS'!$C$5:$C$500,$A65,'LANÇAMENTOS DIÁRIOS'!$O$5:$O$500,"&lt;=114899",'LANÇAMENTOS DIÁRIOS'!$P$5:$P$500,"&gt;=114800")&gt;0,"X","")</f>
      </c>
      <c r="AJ65" s="56" t="str">
        <f>IF(COUNTIFS('LANÇAMENTOS DIÁRIOS'!$G$5:$G$500,"F",'LANÇAMENTOS DIÁRIOS'!$C$5:$C$500,$A65,'LANÇAMENTOS DIÁRIOS'!$O$5:$O$500,"&lt;=114999",'LANÇAMENTOS DIÁRIOS'!$P$5:$P$500,"&gt;=114900")&gt;0,"X","")</f>
      </c>
      <c r="AK65" s="56" t="str">
        <f>IF(COUNTIFS('LANÇAMENTOS DIÁRIOS'!$G$5:$G$500,"F",'LANÇAMENTOS DIÁRIOS'!$C$5:$C$500,$A65,'LANÇAMENTOS DIÁRIOS'!$O$5:$O$500,"&lt;=115099",'LANÇAMENTOS DIÁRIOS'!$P$5:$P$500,"&gt;=115000")&gt;0,"X","")</f>
      </c>
      <c r="AL65" s="56" t="str">
        <f>IF(COUNTIFS('LANÇAMENTOS DIÁRIOS'!$G$5:$G$500,"F",'LANÇAMENTOS DIÁRIOS'!$C$5:$C$500,$A65,'LANÇAMENTOS DIÁRIOS'!$O$5:$O$500,"&lt;=115199",'LANÇAMENTOS DIÁRIOS'!$P$5:$P$500,"&gt;=115100")&gt;0,"X","")</f>
      </c>
      <c r="AM65" s="56" t="str">
        <f>IF(COUNTIFS('LANÇAMENTOS DIÁRIOS'!$G$5:$G$500,"F",'LANÇAMENTOS DIÁRIOS'!$C$5:$C$500,$A65,'LANÇAMENTOS DIÁRIOS'!$O$5:$O$500,"&lt;=115299",'LANÇAMENTOS DIÁRIOS'!$P$5:$P$500,"&gt;=115200")&gt;0,"X","")</f>
      </c>
      <c r="AN65" s="56" t="str">
        <f>IF(COUNTIFS('LANÇAMENTOS DIÁRIOS'!$G$5:$G$500,"F",'LANÇAMENTOS DIÁRIOS'!$C$5:$C$500,$A65,'LANÇAMENTOS DIÁRIOS'!$O$5:$O$500,"&lt;=115399",'LANÇAMENTOS DIÁRIOS'!$P$5:$P$500,"&gt;=115300")&gt;0,"X","")</f>
      </c>
      <c r="AO65" s="56" t="str">
        <f>IF(COUNTIFS('LANÇAMENTOS DIÁRIOS'!$G$5:$G$500,"F",'LANÇAMENTOS DIÁRIOS'!$C$5:$C$500,$A65,'LANÇAMENTOS DIÁRIOS'!$O$5:$O$500,"&lt;=115499",'LANÇAMENTOS DIÁRIOS'!$P$5:$P$500,"&gt;=115400")&gt;0,"X","")</f>
      </c>
      <c r="AP65" s="56" t="str">
        <f>IF(COUNTIFS('LANÇAMENTOS DIÁRIOS'!$G$5:$G$500,"F",'LANÇAMENTOS DIÁRIOS'!$C$5:$C$500,$A65,'LANÇAMENTOS DIÁRIOS'!$O$5:$O$500,"&lt;=115599",'LANÇAMENTOS DIÁRIOS'!$P$5:$P$500,"&gt;=115500")&gt;0,"X","")</f>
      </c>
      <c r="AQ65" s="56" t="str">
        <f>IF(COUNTIFS('LANÇAMENTOS DIÁRIOS'!$G$5:$G$500,"F",'LANÇAMENTOS DIÁRIOS'!$C$5:$C$500,$A65,'LANÇAMENTOS DIÁRIOS'!$O$5:$O$500,"&lt;=115699",'LANÇAMENTOS DIÁRIOS'!$P$5:$P$500,"&gt;=115600")&gt;0,"X","")</f>
      </c>
      <c r="AR65" s="56" t="str">
        <f>IF(COUNTIFS('LANÇAMENTOS DIÁRIOS'!$G$5:$G$500,"F",'LANÇAMENTOS DIÁRIOS'!$C$5:$C$500,$A65,'LANÇAMENTOS DIÁRIOS'!$O$5:$O$500,"&lt;=115799",'LANÇAMENTOS DIÁRIOS'!$P$5:$P$500,"&gt;=115700")&gt;0,"X","")</f>
      </c>
      <c r="AS65" s="56" t="str">
        <f>IF(COUNTIFS('LANÇAMENTOS DIÁRIOS'!$G$5:$G$500,"F",'LANÇAMENTOS DIÁRIOS'!$C$5:$C$500,$A65,'LANÇAMENTOS DIÁRIOS'!$O$5:$O$500,"&lt;=115899",'LANÇAMENTOS DIÁRIOS'!$P$5:$P$500,"&gt;=115800")&gt;0,"X","")</f>
      </c>
      <c r="AT65" s="56" t="str">
        <f>IF(COUNTIFS('LANÇAMENTOS DIÁRIOS'!$G$5:$G$500,"F",'LANÇAMENTOS DIÁRIOS'!$C$5:$C$500,$A65,'LANÇAMENTOS DIÁRIOS'!$O$5:$O$500,"&lt;=115999",'LANÇAMENTOS DIÁRIOS'!$P$5:$P$500,"&gt;=115900")&gt;0,"X","")</f>
      </c>
      <c r="AU65" s="56" t="str">
        <f>IF(COUNTIFS('LANÇAMENTOS DIÁRIOS'!$G$5:$G$500,"F",'LANÇAMENTOS DIÁRIOS'!$C$5:$C$500,$A65,'LANÇAMENTOS DIÁRIOS'!$O$5:$O$500,"&lt;=116099",'LANÇAMENTOS DIÁRIOS'!$P$5:$P$500,"&gt;=116000")&gt;0,"X","")</f>
      </c>
      <c r="AV65" s="56" t="str">
        <f>IF(COUNTIFS('LANÇAMENTOS DIÁRIOS'!$G$5:$G$500,"F",'LANÇAMENTOS DIÁRIOS'!$C$5:$C$500,$A65,'LANÇAMENTOS DIÁRIOS'!$O$5:$O$500,"&lt;=116199",'LANÇAMENTOS DIÁRIOS'!$P$5:$P$500,"&gt;=116100")&gt;0,"X","")</f>
      </c>
      <c r="AW65" s="56" t="str">
        <f>IF(COUNTIFS('LANÇAMENTOS DIÁRIOS'!$G$5:$G$500,"F",'LANÇAMENTOS DIÁRIOS'!$C$5:$C$500,$A65,'LANÇAMENTOS DIÁRIOS'!$O$5:$O$500,"&lt;=116299",'LANÇAMENTOS DIÁRIOS'!$P$5:$P$500,"&gt;=116200")&gt;0,"X","")</f>
      </c>
      <c r="AX65" s="56" t="str">
        <f>IF(COUNTIFS('LANÇAMENTOS DIÁRIOS'!$G$5:$G$500,"F",'LANÇAMENTOS DIÁRIOS'!$C$5:$C$500,$A65,'LANÇAMENTOS DIÁRIOS'!$O$5:$O$500,"&lt;=116399",'LANÇAMENTOS DIÁRIOS'!$P$5:$P$500,"&gt;=116300")&gt;0,"X","")</f>
      </c>
      <c r="AY65" s="56" t="str">
        <f>IF(COUNTIFS('LANÇAMENTOS DIÁRIOS'!$G$5:$G$500,"F",'LANÇAMENTOS DIÁRIOS'!$C$5:$C$500,$A65,'LANÇAMENTOS DIÁRIOS'!$O$5:$O$500,"&lt;=116499",'LANÇAMENTOS DIÁRIOS'!$P$5:$P$500,"&gt;=116400")&gt;0,"X","")</f>
      </c>
      <c r="AZ65" s="56" t="str">
        <f>IF(COUNTIFS('LANÇAMENTOS DIÁRIOS'!$G$5:$G$500,"F",'LANÇAMENTOS DIÁRIOS'!$C$5:$C$500,$A65,'LANÇAMENTOS DIÁRIOS'!$O$5:$O$500,"&lt;=116599",'LANÇAMENTOS DIÁRIOS'!$P$5:$P$500,"&gt;=116500")&gt;0,"X","")</f>
      </c>
      <c r="BA65" s="56" t="str">
        <f>IF(COUNTIFS('LANÇAMENTOS DIÁRIOS'!$G$5:$G$500,"F",'LANÇAMENTOS DIÁRIOS'!$C$5:$C$500,$A65,'LANÇAMENTOS DIÁRIOS'!$O$5:$O$500,"&lt;=116699",'LANÇAMENTOS DIÁRIOS'!$P$5:$P$500,"&gt;=116600")&gt;0,"X","")</f>
      </c>
      <c r="BB65" s="56" t="str">
        <f>IF(COUNTIFS('LANÇAMENTOS DIÁRIOS'!$G$5:$G$500,"F",'LANÇAMENTOS DIÁRIOS'!$C$5:$C$500,$A65,'LANÇAMENTOS DIÁRIOS'!$O$5:$O$500,"&lt;=116799",'LANÇAMENTOS DIÁRIOS'!$P$5:$P$500,"&gt;=116700")&gt;0,"X","")</f>
      </c>
      <c r="BC65" s="56" t="str">
        <f>IF(COUNTIFS('LANÇAMENTOS DIÁRIOS'!$G$5:$G$500,"F",'LANÇAMENTOS DIÁRIOS'!$C$5:$C$500,$A65,'LANÇAMENTOS DIÁRIOS'!$O$5:$O$500,"&lt;=116899",'LANÇAMENTOS DIÁRIOS'!$P$5:$P$500,"&gt;=116800")&gt;0,"X","")</f>
      </c>
      <c r="BD65" s="56" t="str">
        <f>IF(COUNTIFS('LANÇAMENTOS DIÁRIOS'!$G$5:$G$500,"F",'LANÇAMENTOS DIÁRIOS'!$C$5:$C$500,$A65,'LANÇAMENTOS DIÁRIOS'!$O$5:$O$500,"&lt;=116999",'LANÇAMENTOS DIÁRIOS'!$P$5:$P$500,"&gt;=116900")&gt;0,"X","")</f>
      </c>
      <c r="BE65" s="56" t="str">
        <f>IF(COUNTIFS('LANÇAMENTOS DIÁRIOS'!$G$5:$G$500,"F",'LANÇAMENTOS DIÁRIOS'!$C$5:$C$500,$A65,'LANÇAMENTOS DIÁRIOS'!$O$5:$O$500,"&lt;=117099",'LANÇAMENTOS DIÁRIOS'!$P$5:$P$500,"&gt;=117000")&gt;0,"X","")</f>
      </c>
      <c r="BF65" s="56" t="str">
        <f>IF(COUNTIFS('LANÇAMENTOS DIÁRIOS'!$G$5:$G$500,"F",'LANÇAMENTOS DIÁRIOS'!$C$5:$C$500,$A65,'LANÇAMENTOS DIÁRIOS'!$O$5:$O$500,"&lt;=117199",'LANÇAMENTOS DIÁRIOS'!$P$5:$P$500,"&gt;=117100")&gt;0,"X","")</f>
      </c>
      <c r="BG65" s="56" t="str">
        <f>IF(COUNTIFS('LANÇAMENTOS DIÁRIOS'!$G$5:$G$500,"F",'LANÇAMENTOS DIÁRIOS'!$C$5:$C$500,$A65,'LANÇAMENTOS DIÁRIOS'!$O$5:$O$500,"&lt;=117219",'LANÇAMENTOS DIÁRIOS'!$P$5:$P$500,"&gt;=117200")&gt;0,"X","")</f>
      </c>
      <c r="BH65" s="56" t="str">
        <f>IF(COUNTIFS('LANÇAMENTOS DIÁRIOS'!$G$5:$G$500,"F",'LANÇAMENTOS DIÁRIOS'!$C$5:$C$500,$A65,'LANÇAMENTOS DIÁRIOS'!$O$5:$O$500,"&lt;=117220",'LANÇAMENTOS DIÁRIOS'!$P$5:$P$500,"&gt;=117220")&gt;0,"X","")</f>
      </c>
    </row>
    <row r="66">
      <c r="A66" s="51" t="str">
        <v>Geogrelha uniaxial com deformação máxima de 5% e resistência nominal de 225kN/m - Sem o fornecimento dos materias</v>
      </c>
      <c r="B66" s="56" t="str">
        <f>IF(COUNTIFS('LANÇAMENTOS DIÁRIOS'!$G$5:$G$500,"F",'LANÇAMENTOS DIÁRIOS'!$C$5:$C$500,$A66,'LANÇAMENTOS DIÁRIOS'!$O$5:$O$500,"&lt;=111599",'LANÇAMENTOS DIÁRIOS'!$P$5:$P$500,"&gt;=111500")&gt;0,"X","")</f>
      </c>
      <c r="C66" s="56" t="str">
        <f>IF(COUNTIFS('LANÇAMENTOS DIÁRIOS'!$G$5:$G$500,"F",'LANÇAMENTOS DIÁRIOS'!$C$5:$C$500,$A66,'LANÇAMENTOS DIÁRIOS'!$O$5:$O$500,"&lt;=111699",'LANÇAMENTOS DIÁRIOS'!$P$5:$P$500,"&gt;=111600")&gt;0,"X","")</f>
      </c>
      <c r="D66" s="56" t="str">
        <f>IF(COUNTIFS('LANÇAMENTOS DIÁRIOS'!$G$5:$G$500,"F",'LANÇAMENTOS DIÁRIOS'!$C$5:$C$500,$A66,'LANÇAMENTOS DIÁRIOS'!$O$5:$O$500,"&lt;=111799",'LANÇAMENTOS DIÁRIOS'!$P$5:$P$500,"&gt;=111700")&gt;0,"X","")</f>
      </c>
      <c r="E66" s="56" t="str">
        <f>IF(COUNTIFS('LANÇAMENTOS DIÁRIOS'!$G$5:$G$500,"F",'LANÇAMENTOS DIÁRIOS'!$C$5:$C$500,$A66,'LANÇAMENTOS DIÁRIOS'!$O$5:$O$500,"&lt;=111899",'LANÇAMENTOS DIÁRIOS'!$P$5:$P$500,"&gt;=111800")&gt;0,"X","")</f>
      </c>
      <c r="F66" s="56" t="str">
        <f>IF(COUNTIFS('LANÇAMENTOS DIÁRIOS'!$G$5:$G$500,"F",'LANÇAMENTOS DIÁRIOS'!$C$5:$C$500,$A66,'LANÇAMENTOS DIÁRIOS'!$O$5:$O$500,"&lt;=111999",'LANÇAMENTOS DIÁRIOS'!$P$5:$P$500,"&gt;=111900")&gt;0,"X","")</f>
      </c>
      <c r="G66" s="56" t="str">
        <f>IF(COUNTIFS('LANÇAMENTOS DIÁRIOS'!$G$5:$G$500,"F",'LANÇAMENTOS DIÁRIOS'!$C$5:$C$500,$A66,'LANÇAMENTOS DIÁRIOS'!$O$5:$O$500,"&lt;=112099",'LANÇAMENTOS DIÁRIOS'!$P$5:$P$500,"&gt;=112000")&gt;0,"X","")</f>
      </c>
      <c r="H66" s="56" t="str">
        <f>IF(COUNTIFS('LANÇAMENTOS DIÁRIOS'!$G$5:$G$500,"F",'LANÇAMENTOS DIÁRIOS'!$C$5:$C$500,$A66,'LANÇAMENTOS DIÁRIOS'!$O$5:$O$500,"&lt;=112199",'LANÇAMENTOS DIÁRIOS'!$P$5:$P$500,"&gt;=112100")&gt;0,"X","")</f>
      </c>
      <c r="I66" s="56" t="str">
        <f>IF(COUNTIFS('LANÇAMENTOS DIÁRIOS'!$G$5:$G$500,"F",'LANÇAMENTOS DIÁRIOS'!$C$5:$C$500,$A66,'LANÇAMENTOS DIÁRIOS'!$O$5:$O$500,"&lt;=112299",'LANÇAMENTOS DIÁRIOS'!$P$5:$P$500,"&gt;=112200")&gt;0,"X","")</f>
      </c>
      <c r="J66" s="56" t="str">
        <f>IF(COUNTIFS('LANÇAMENTOS DIÁRIOS'!$G$5:$G$500,"F",'LANÇAMENTOS DIÁRIOS'!$C$5:$C$500,$A66,'LANÇAMENTOS DIÁRIOS'!$O$5:$O$500,"&lt;=112399",'LANÇAMENTOS DIÁRIOS'!$P$5:$P$500,"&gt;=112300")&gt;0,"X","")</f>
      </c>
      <c r="K66" s="56" t="str">
        <f>IF(COUNTIFS('LANÇAMENTOS DIÁRIOS'!$G$5:$G$500,"F",'LANÇAMENTOS DIÁRIOS'!$C$5:$C$500,$A66,'LANÇAMENTOS DIÁRIOS'!$O$5:$O$500,"&lt;=112499",'LANÇAMENTOS DIÁRIOS'!$P$5:$P$500,"&gt;=112400")&gt;0,"X","")</f>
      </c>
      <c r="L66" s="56" t="str">
        <f>IF(COUNTIFS('LANÇAMENTOS DIÁRIOS'!$G$5:$G$500,"F",'LANÇAMENTOS DIÁRIOS'!$C$5:$C$500,$A66,'LANÇAMENTOS DIÁRIOS'!$O$5:$O$500,"&lt;=112599",'LANÇAMENTOS DIÁRIOS'!$P$5:$P$500,"&gt;=112500")&gt;0,"X","")</f>
      </c>
      <c r="M66" s="56" t="str">
        <f>IF(COUNTIFS('LANÇAMENTOS DIÁRIOS'!$G$5:$G$500,"F",'LANÇAMENTOS DIÁRIOS'!$C$5:$C$500,$A66,'LANÇAMENTOS DIÁRIOS'!$O$5:$O$500,"&lt;=112699",'LANÇAMENTOS DIÁRIOS'!$P$5:$P$500,"&gt;=112600")&gt;0,"X","")</f>
      </c>
      <c r="N66" s="56" t="str">
        <f>IF(COUNTIFS('LANÇAMENTOS DIÁRIOS'!$G$5:$G$500,"F",'LANÇAMENTOS DIÁRIOS'!$C$5:$C$500,$A66,'LANÇAMENTOS DIÁRIOS'!$O$5:$O$500,"&lt;=112799",'LANÇAMENTOS DIÁRIOS'!$P$5:$P$500,"&gt;=112700")&gt;0,"X","")</f>
      </c>
      <c r="O66" s="56" t="str">
        <f>IF(COUNTIFS('LANÇAMENTOS DIÁRIOS'!$G$5:$G$500,"F",'LANÇAMENTOS DIÁRIOS'!$C$5:$C$500,$A66,'LANÇAMENTOS DIÁRIOS'!$O$5:$O$500,"&lt;=112899",'LANÇAMENTOS DIÁRIOS'!$P$5:$P$500,"&gt;=112800")&gt;0,"X","")</f>
      </c>
      <c r="P66" s="56" t="str">
        <f>IF(COUNTIFS('LANÇAMENTOS DIÁRIOS'!$G$5:$G$500,"F",'LANÇAMENTOS DIÁRIOS'!$C$5:$C$500,$A66,'LANÇAMENTOS DIÁRIOS'!$O$5:$O$500,"&lt;=112999",'LANÇAMENTOS DIÁRIOS'!$P$5:$P$500,"&gt;=112900")&gt;0,"X","")</f>
      </c>
      <c r="Q66" s="56" t="str">
        <f>IF(COUNTIFS('LANÇAMENTOS DIÁRIOS'!$G$5:$G$500,"F",'LANÇAMENTOS DIÁRIOS'!$C$5:$C$500,$A66,'LANÇAMENTOS DIÁRIOS'!$O$5:$O$500,"&lt;=113099",'LANÇAMENTOS DIÁRIOS'!$P$5:$P$500,"&gt;=113000")&gt;0,"X","")</f>
      </c>
      <c r="R66" s="56" t="str">
        <f>IF(COUNTIFS('LANÇAMENTOS DIÁRIOS'!$G$5:$G$500,"F",'LANÇAMENTOS DIÁRIOS'!$C$5:$C$500,$A66,'LANÇAMENTOS DIÁRIOS'!$O$5:$O$500,"&lt;=113199",'LANÇAMENTOS DIÁRIOS'!$P$5:$P$500,"&gt;=113100")&gt;0,"X","")</f>
      </c>
      <c r="S66" s="56" t="str">
        <f>IF(COUNTIFS('LANÇAMENTOS DIÁRIOS'!$G$5:$G$500,"F",'LANÇAMENTOS DIÁRIOS'!$C$5:$C$500,$A66,'LANÇAMENTOS DIÁRIOS'!$O$5:$O$500,"&lt;=113299",'LANÇAMENTOS DIÁRIOS'!$P$5:$P$500,"&gt;=113200")&gt;0,"X","")</f>
      </c>
      <c r="T66" s="56" t="str">
        <f>IF(COUNTIFS('LANÇAMENTOS DIÁRIOS'!$G$5:$G$500,"F",'LANÇAMENTOS DIÁRIOS'!$C$5:$C$500,$A66,'LANÇAMENTOS DIÁRIOS'!$O$5:$O$500,"&lt;=113399",'LANÇAMENTOS DIÁRIOS'!$P$5:$P$500,"&gt;=113300")&gt;0,"X","")</f>
      </c>
      <c r="U66" s="56" t="str">
        <f>IF(COUNTIFS('LANÇAMENTOS DIÁRIOS'!$G$5:$G$500,"F",'LANÇAMENTOS DIÁRIOS'!$C$5:$C$500,$A66,'LANÇAMENTOS DIÁRIOS'!$O$5:$O$500,"&lt;=113499",'LANÇAMENTOS DIÁRIOS'!$P$5:$P$500,"&gt;=113400")&gt;0,"X","")</f>
      </c>
      <c r="V66" s="56" t="str">
        <f>IF(COUNTIFS('LANÇAMENTOS DIÁRIOS'!$G$5:$G$500,"F",'LANÇAMENTOS DIÁRIOS'!$C$5:$C$500,$A66,'LANÇAMENTOS DIÁRIOS'!$O$5:$O$500,"&lt;=113599",'LANÇAMENTOS DIÁRIOS'!$P$5:$P$500,"&gt;=113500")&gt;0,"X","")</f>
      </c>
      <c r="W66" s="56" t="str">
        <f>IF(COUNTIFS('LANÇAMENTOS DIÁRIOS'!$G$5:$G$500,"F",'LANÇAMENTOS DIÁRIOS'!$C$5:$C$500,$A66,'LANÇAMENTOS DIÁRIOS'!$O$5:$O$500,"&lt;=113699",'LANÇAMENTOS DIÁRIOS'!$P$5:$P$500,"&gt;=113600")&gt;0,"X","")</f>
      </c>
      <c r="X66" s="56" t="str">
        <f>IF(COUNTIFS('LANÇAMENTOS DIÁRIOS'!$G$5:$G$500,"F",'LANÇAMENTOS DIÁRIOS'!$C$5:$C$500,$A66,'LANÇAMENTOS DIÁRIOS'!$O$5:$O$500,"&lt;=113799",'LANÇAMENTOS DIÁRIOS'!$P$5:$P$500,"&gt;=113700")&gt;0,"X","")</f>
      </c>
      <c r="Y66" s="56" t="str">
        <f>IF(COUNTIFS('LANÇAMENTOS DIÁRIOS'!$G$5:$G$500,"F",'LANÇAMENTOS DIÁRIOS'!$C$5:$C$500,$A66,'LANÇAMENTOS DIÁRIOS'!$O$5:$O$500,"&lt;=113899",'LANÇAMENTOS DIÁRIOS'!$P$5:$P$500,"&gt;=113800")&gt;0,"X","")</f>
      </c>
      <c r="Z66" s="56" t="str">
        <f>IF(COUNTIFS('LANÇAMENTOS DIÁRIOS'!$G$5:$G$500,"F",'LANÇAMENTOS DIÁRIOS'!$C$5:$C$500,$A66,'LANÇAMENTOS DIÁRIOS'!$O$5:$O$500,"&lt;=113999",'LANÇAMENTOS DIÁRIOS'!$P$5:$P$500,"&gt;=113900")&gt;0,"X","")</f>
      </c>
      <c r="AA66" s="56" t="str">
        <f>IF(COUNTIFS('LANÇAMENTOS DIÁRIOS'!$G$5:$G$500,"F",'LANÇAMENTOS DIÁRIOS'!$C$5:$C$500,$A66,'LANÇAMENTOS DIÁRIOS'!$O$5:$O$500,"&lt;=114099",'LANÇAMENTOS DIÁRIOS'!$P$5:$P$500,"&gt;=114000")&gt;0,"X","")</f>
      </c>
      <c r="AB66" s="56" t="str">
        <f>IF(COUNTIFS('LANÇAMENTOS DIÁRIOS'!$G$5:$G$500,"F",'LANÇAMENTOS DIÁRIOS'!$C$5:$C$500,$A66,'LANÇAMENTOS DIÁRIOS'!$O$5:$O$500,"&lt;=114199",'LANÇAMENTOS DIÁRIOS'!$P$5:$P$500,"&gt;=114100")&gt;0,"X","")</f>
      </c>
      <c r="AC66" s="56" t="str">
        <f>IF(COUNTIFS('LANÇAMENTOS DIÁRIOS'!$G$5:$G$500,"F",'LANÇAMENTOS DIÁRIOS'!$C$5:$C$500,$A66,'LANÇAMENTOS DIÁRIOS'!$O$5:$O$500,"&lt;=114299",'LANÇAMENTOS DIÁRIOS'!$P$5:$P$500,"&gt;=114200")&gt;0,"X","")</f>
      </c>
      <c r="AD66" s="56" t="str">
        <f>IF(COUNTIFS('LANÇAMENTOS DIÁRIOS'!$G$5:$G$500,"F",'LANÇAMENTOS DIÁRIOS'!$C$5:$C$500,$A66,'LANÇAMENTOS DIÁRIOS'!$O$5:$O$500,"&lt;=114399",'LANÇAMENTOS DIÁRIOS'!$P$5:$P$500,"&gt;=114300")&gt;0,"X","")</f>
      </c>
      <c r="AE66" s="56" t="str">
        <f>IF(COUNTIFS('LANÇAMENTOS DIÁRIOS'!$G$5:$G$500,"F",'LANÇAMENTOS DIÁRIOS'!$C$5:$C$500,$A66,'LANÇAMENTOS DIÁRIOS'!$O$5:$O$500,"&lt;=114499",'LANÇAMENTOS DIÁRIOS'!$P$5:$P$500,"&gt;=114400")&gt;0,"X","")</f>
      </c>
      <c r="AF66" s="56" t="str">
        <f>IF(COUNTIFS('LANÇAMENTOS DIÁRIOS'!$G$5:$G$500,"F",'LANÇAMENTOS DIÁRIOS'!$C$5:$C$500,$A66,'LANÇAMENTOS DIÁRIOS'!$O$5:$O$500,"&lt;=114599",'LANÇAMENTOS DIÁRIOS'!$P$5:$P$500,"&gt;=114500")&gt;0,"X","")</f>
      </c>
      <c r="AG66" s="56" t="str">
        <f>IF(COUNTIFS('LANÇAMENTOS DIÁRIOS'!$G$5:$G$500,"F",'LANÇAMENTOS DIÁRIOS'!$C$5:$C$500,$A66,'LANÇAMENTOS DIÁRIOS'!$O$5:$O$500,"&lt;=114699",'LANÇAMENTOS DIÁRIOS'!$P$5:$P$500,"&gt;=114600")&gt;0,"X","")</f>
      </c>
      <c r="AH66" s="56" t="str">
        <f>IF(COUNTIFS('LANÇAMENTOS DIÁRIOS'!$G$5:$G$500,"F",'LANÇAMENTOS DIÁRIOS'!$C$5:$C$500,$A66,'LANÇAMENTOS DIÁRIOS'!$O$5:$O$500,"&lt;=114799",'LANÇAMENTOS DIÁRIOS'!$P$5:$P$500,"&gt;=114700")&gt;0,"X","")</f>
      </c>
      <c r="AI66" s="56" t="str">
        <f>IF(COUNTIFS('LANÇAMENTOS DIÁRIOS'!$G$5:$G$500,"F",'LANÇAMENTOS DIÁRIOS'!$C$5:$C$500,$A66,'LANÇAMENTOS DIÁRIOS'!$O$5:$O$500,"&lt;=114899",'LANÇAMENTOS DIÁRIOS'!$P$5:$P$500,"&gt;=114800")&gt;0,"X","")</f>
      </c>
      <c r="AJ66" s="56" t="str">
        <f>IF(COUNTIFS('LANÇAMENTOS DIÁRIOS'!$G$5:$G$500,"F",'LANÇAMENTOS DIÁRIOS'!$C$5:$C$500,$A66,'LANÇAMENTOS DIÁRIOS'!$O$5:$O$500,"&lt;=114999",'LANÇAMENTOS DIÁRIOS'!$P$5:$P$500,"&gt;=114900")&gt;0,"X","")</f>
      </c>
      <c r="AK66" s="56" t="str">
        <f>IF(COUNTIFS('LANÇAMENTOS DIÁRIOS'!$G$5:$G$500,"F",'LANÇAMENTOS DIÁRIOS'!$C$5:$C$500,$A66,'LANÇAMENTOS DIÁRIOS'!$O$5:$O$500,"&lt;=115099",'LANÇAMENTOS DIÁRIOS'!$P$5:$P$500,"&gt;=115000")&gt;0,"X","")</f>
      </c>
      <c r="AL66" s="56" t="str">
        <f>IF(COUNTIFS('LANÇAMENTOS DIÁRIOS'!$G$5:$G$500,"F",'LANÇAMENTOS DIÁRIOS'!$C$5:$C$500,$A66,'LANÇAMENTOS DIÁRIOS'!$O$5:$O$500,"&lt;=115199",'LANÇAMENTOS DIÁRIOS'!$P$5:$P$500,"&gt;=115100")&gt;0,"X","")</f>
      </c>
      <c r="AM66" s="56" t="str">
        <f>IF(COUNTIFS('LANÇAMENTOS DIÁRIOS'!$G$5:$G$500,"F",'LANÇAMENTOS DIÁRIOS'!$C$5:$C$500,$A66,'LANÇAMENTOS DIÁRIOS'!$O$5:$O$500,"&lt;=115299",'LANÇAMENTOS DIÁRIOS'!$P$5:$P$500,"&gt;=115200")&gt;0,"X","")</f>
      </c>
      <c r="AN66" s="56" t="str">
        <f>IF(COUNTIFS('LANÇAMENTOS DIÁRIOS'!$G$5:$G$500,"F",'LANÇAMENTOS DIÁRIOS'!$C$5:$C$500,$A66,'LANÇAMENTOS DIÁRIOS'!$O$5:$O$500,"&lt;=115399",'LANÇAMENTOS DIÁRIOS'!$P$5:$P$500,"&gt;=115300")&gt;0,"X","")</f>
      </c>
      <c r="AO66" s="56" t="str">
        <f>IF(COUNTIFS('LANÇAMENTOS DIÁRIOS'!$G$5:$G$500,"F",'LANÇAMENTOS DIÁRIOS'!$C$5:$C$500,$A66,'LANÇAMENTOS DIÁRIOS'!$O$5:$O$500,"&lt;=115499",'LANÇAMENTOS DIÁRIOS'!$P$5:$P$500,"&gt;=115400")&gt;0,"X","")</f>
      </c>
      <c r="AP66" s="56" t="str">
        <f>IF(COUNTIFS('LANÇAMENTOS DIÁRIOS'!$G$5:$G$500,"F",'LANÇAMENTOS DIÁRIOS'!$C$5:$C$500,$A66,'LANÇAMENTOS DIÁRIOS'!$O$5:$O$500,"&lt;=115599",'LANÇAMENTOS DIÁRIOS'!$P$5:$P$500,"&gt;=115500")&gt;0,"X","")</f>
      </c>
      <c r="AQ66" s="56" t="str">
        <f>IF(COUNTIFS('LANÇAMENTOS DIÁRIOS'!$G$5:$G$500,"F",'LANÇAMENTOS DIÁRIOS'!$C$5:$C$500,$A66,'LANÇAMENTOS DIÁRIOS'!$O$5:$O$500,"&lt;=115699",'LANÇAMENTOS DIÁRIOS'!$P$5:$P$500,"&gt;=115600")&gt;0,"X","")</f>
      </c>
      <c r="AR66" s="56" t="str">
        <f>IF(COUNTIFS('LANÇAMENTOS DIÁRIOS'!$G$5:$G$500,"F",'LANÇAMENTOS DIÁRIOS'!$C$5:$C$500,$A66,'LANÇAMENTOS DIÁRIOS'!$O$5:$O$500,"&lt;=115799",'LANÇAMENTOS DIÁRIOS'!$P$5:$P$500,"&gt;=115700")&gt;0,"X","")</f>
      </c>
      <c r="AS66" s="56" t="str">
        <f>IF(COUNTIFS('LANÇAMENTOS DIÁRIOS'!$G$5:$G$500,"F",'LANÇAMENTOS DIÁRIOS'!$C$5:$C$500,$A66,'LANÇAMENTOS DIÁRIOS'!$O$5:$O$500,"&lt;=115899",'LANÇAMENTOS DIÁRIOS'!$P$5:$P$500,"&gt;=115800")&gt;0,"X","")</f>
      </c>
      <c r="AT66" s="56" t="str">
        <f>IF(COUNTIFS('LANÇAMENTOS DIÁRIOS'!$G$5:$G$500,"F",'LANÇAMENTOS DIÁRIOS'!$C$5:$C$500,$A66,'LANÇAMENTOS DIÁRIOS'!$O$5:$O$500,"&lt;=115999",'LANÇAMENTOS DIÁRIOS'!$P$5:$P$500,"&gt;=115900")&gt;0,"X","")</f>
      </c>
      <c r="AU66" s="56" t="str">
        <f>IF(COUNTIFS('LANÇAMENTOS DIÁRIOS'!$G$5:$G$500,"F",'LANÇAMENTOS DIÁRIOS'!$C$5:$C$500,$A66,'LANÇAMENTOS DIÁRIOS'!$O$5:$O$500,"&lt;=116099",'LANÇAMENTOS DIÁRIOS'!$P$5:$P$500,"&gt;=116000")&gt;0,"X","")</f>
      </c>
      <c r="AV66" s="56" t="str">
        <f>IF(COUNTIFS('LANÇAMENTOS DIÁRIOS'!$G$5:$G$500,"F",'LANÇAMENTOS DIÁRIOS'!$C$5:$C$500,$A66,'LANÇAMENTOS DIÁRIOS'!$O$5:$O$500,"&lt;=116199",'LANÇAMENTOS DIÁRIOS'!$P$5:$P$500,"&gt;=116100")&gt;0,"X","")</f>
      </c>
      <c r="AW66" s="56" t="str">
        <f>IF(COUNTIFS('LANÇAMENTOS DIÁRIOS'!$G$5:$G$500,"F",'LANÇAMENTOS DIÁRIOS'!$C$5:$C$500,$A66,'LANÇAMENTOS DIÁRIOS'!$O$5:$O$500,"&lt;=116299",'LANÇAMENTOS DIÁRIOS'!$P$5:$P$500,"&gt;=116200")&gt;0,"X","")</f>
      </c>
      <c r="AX66" s="56" t="str">
        <f>IF(COUNTIFS('LANÇAMENTOS DIÁRIOS'!$G$5:$G$500,"F",'LANÇAMENTOS DIÁRIOS'!$C$5:$C$500,$A66,'LANÇAMENTOS DIÁRIOS'!$O$5:$O$500,"&lt;=116399",'LANÇAMENTOS DIÁRIOS'!$P$5:$P$500,"&gt;=116300")&gt;0,"X","")</f>
      </c>
      <c r="AY66" s="56" t="str">
        <f>IF(COUNTIFS('LANÇAMENTOS DIÁRIOS'!$G$5:$G$500,"F",'LANÇAMENTOS DIÁRIOS'!$C$5:$C$500,$A66,'LANÇAMENTOS DIÁRIOS'!$O$5:$O$500,"&lt;=116499",'LANÇAMENTOS DIÁRIOS'!$P$5:$P$500,"&gt;=116400")&gt;0,"X","")</f>
      </c>
      <c r="AZ66" s="56" t="str">
        <f>IF(COUNTIFS('LANÇAMENTOS DIÁRIOS'!$G$5:$G$500,"F",'LANÇAMENTOS DIÁRIOS'!$C$5:$C$500,$A66,'LANÇAMENTOS DIÁRIOS'!$O$5:$O$500,"&lt;=116599",'LANÇAMENTOS DIÁRIOS'!$P$5:$P$500,"&gt;=116500")&gt;0,"X","")</f>
      </c>
      <c r="BA66" s="56" t="str">
        <f>IF(COUNTIFS('LANÇAMENTOS DIÁRIOS'!$G$5:$G$500,"F",'LANÇAMENTOS DIÁRIOS'!$C$5:$C$500,$A66,'LANÇAMENTOS DIÁRIOS'!$O$5:$O$500,"&lt;=116699",'LANÇAMENTOS DIÁRIOS'!$P$5:$P$500,"&gt;=116600")&gt;0,"X","")</f>
      </c>
      <c r="BB66" s="56" t="str">
        <f>IF(COUNTIFS('LANÇAMENTOS DIÁRIOS'!$G$5:$G$500,"F",'LANÇAMENTOS DIÁRIOS'!$C$5:$C$500,$A66,'LANÇAMENTOS DIÁRIOS'!$O$5:$O$500,"&lt;=116799",'LANÇAMENTOS DIÁRIOS'!$P$5:$P$500,"&gt;=116700")&gt;0,"X","")</f>
      </c>
      <c r="BC66" s="56" t="str">
        <f>IF(COUNTIFS('LANÇAMENTOS DIÁRIOS'!$G$5:$G$500,"F",'LANÇAMENTOS DIÁRIOS'!$C$5:$C$500,$A66,'LANÇAMENTOS DIÁRIOS'!$O$5:$O$500,"&lt;=116899",'LANÇAMENTOS DIÁRIOS'!$P$5:$P$500,"&gt;=116800")&gt;0,"X","")</f>
      </c>
      <c r="BD66" s="56" t="str">
        <f>IF(COUNTIFS('LANÇAMENTOS DIÁRIOS'!$G$5:$G$500,"F",'LANÇAMENTOS DIÁRIOS'!$C$5:$C$500,$A66,'LANÇAMENTOS DIÁRIOS'!$O$5:$O$500,"&lt;=116999",'LANÇAMENTOS DIÁRIOS'!$P$5:$P$500,"&gt;=116900")&gt;0,"X","")</f>
      </c>
      <c r="BE66" s="56" t="str">
        <f>IF(COUNTIFS('LANÇAMENTOS DIÁRIOS'!$G$5:$G$500,"F",'LANÇAMENTOS DIÁRIOS'!$C$5:$C$500,$A66,'LANÇAMENTOS DIÁRIOS'!$O$5:$O$500,"&lt;=117099",'LANÇAMENTOS DIÁRIOS'!$P$5:$P$500,"&gt;=117000")&gt;0,"X","")</f>
      </c>
      <c r="BF66" s="56" t="str">
        <f>IF(COUNTIFS('LANÇAMENTOS DIÁRIOS'!$G$5:$G$500,"F",'LANÇAMENTOS DIÁRIOS'!$C$5:$C$500,$A66,'LANÇAMENTOS DIÁRIOS'!$O$5:$O$500,"&lt;=117199",'LANÇAMENTOS DIÁRIOS'!$P$5:$P$500,"&gt;=117100")&gt;0,"X","")</f>
      </c>
      <c r="BG66" s="56" t="str">
        <f>IF(COUNTIFS('LANÇAMENTOS DIÁRIOS'!$G$5:$G$500,"F",'LANÇAMENTOS DIÁRIOS'!$C$5:$C$500,$A66,'LANÇAMENTOS DIÁRIOS'!$O$5:$O$500,"&lt;=117219",'LANÇAMENTOS DIÁRIOS'!$P$5:$P$500,"&gt;=117200")&gt;0,"X","")</f>
      </c>
      <c r="BH66" s="56" t="str">
        <f>IF(COUNTIFS('LANÇAMENTOS DIÁRIOS'!$G$5:$G$500,"F",'LANÇAMENTOS DIÁRIOS'!$C$5:$C$500,$A66,'LANÇAMENTOS DIÁRIOS'!$O$5:$O$500,"&lt;=117220",'LANÇAMENTOS DIÁRIOS'!$P$5:$P$500,"&gt;=117220")&gt;0,"X","")</f>
      </c>
    </row>
    <row r="67">
      <c r="A67" s="51" t="str">
        <v>Geogrelha uniaxial com deformação máxima de 5% e resistência nominal de 300kN/m (*) - Sem o fornecimento de materiais</v>
      </c>
      <c r="B67" s="56" t="str">
        <f>IF(COUNTIFS('LANÇAMENTOS DIÁRIOS'!$G$5:$G$500,"F",'LANÇAMENTOS DIÁRIOS'!$C$5:$C$500,$A67,'LANÇAMENTOS DIÁRIOS'!$O$5:$O$500,"&lt;=111599",'LANÇAMENTOS DIÁRIOS'!$P$5:$P$500,"&gt;=111500")&gt;0,"X","")</f>
      </c>
      <c r="C67" s="56" t="str">
        <f>IF(COUNTIFS('LANÇAMENTOS DIÁRIOS'!$G$5:$G$500,"F",'LANÇAMENTOS DIÁRIOS'!$C$5:$C$500,$A67,'LANÇAMENTOS DIÁRIOS'!$O$5:$O$500,"&lt;=111699",'LANÇAMENTOS DIÁRIOS'!$P$5:$P$500,"&gt;=111600")&gt;0,"X","")</f>
      </c>
      <c r="D67" s="56" t="str">
        <f>IF(COUNTIFS('LANÇAMENTOS DIÁRIOS'!$G$5:$G$500,"F",'LANÇAMENTOS DIÁRIOS'!$C$5:$C$500,$A67,'LANÇAMENTOS DIÁRIOS'!$O$5:$O$500,"&lt;=111799",'LANÇAMENTOS DIÁRIOS'!$P$5:$P$500,"&gt;=111700")&gt;0,"X","")</f>
      </c>
      <c r="E67" s="56" t="str">
        <f>IF(COUNTIFS('LANÇAMENTOS DIÁRIOS'!$G$5:$G$500,"F",'LANÇAMENTOS DIÁRIOS'!$C$5:$C$500,$A67,'LANÇAMENTOS DIÁRIOS'!$O$5:$O$500,"&lt;=111899",'LANÇAMENTOS DIÁRIOS'!$P$5:$P$500,"&gt;=111800")&gt;0,"X","")</f>
      </c>
      <c r="F67" s="56" t="str">
        <f>IF(COUNTIFS('LANÇAMENTOS DIÁRIOS'!$G$5:$G$500,"F",'LANÇAMENTOS DIÁRIOS'!$C$5:$C$500,$A67,'LANÇAMENTOS DIÁRIOS'!$O$5:$O$500,"&lt;=111999",'LANÇAMENTOS DIÁRIOS'!$P$5:$P$500,"&gt;=111900")&gt;0,"X","")</f>
      </c>
      <c r="G67" s="56" t="str">
        <f>IF(COUNTIFS('LANÇAMENTOS DIÁRIOS'!$G$5:$G$500,"F",'LANÇAMENTOS DIÁRIOS'!$C$5:$C$500,$A67,'LANÇAMENTOS DIÁRIOS'!$O$5:$O$500,"&lt;=112099",'LANÇAMENTOS DIÁRIOS'!$P$5:$P$500,"&gt;=112000")&gt;0,"X","")</f>
      </c>
      <c r="H67" s="56" t="str">
        <f>IF(COUNTIFS('LANÇAMENTOS DIÁRIOS'!$G$5:$G$500,"F",'LANÇAMENTOS DIÁRIOS'!$C$5:$C$500,$A67,'LANÇAMENTOS DIÁRIOS'!$O$5:$O$500,"&lt;=112199",'LANÇAMENTOS DIÁRIOS'!$P$5:$P$500,"&gt;=112100")&gt;0,"X","")</f>
      </c>
      <c r="I67" s="56" t="str">
        <f>IF(COUNTIFS('LANÇAMENTOS DIÁRIOS'!$G$5:$G$500,"F",'LANÇAMENTOS DIÁRIOS'!$C$5:$C$500,$A67,'LANÇAMENTOS DIÁRIOS'!$O$5:$O$500,"&lt;=112299",'LANÇAMENTOS DIÁRIOS'!$P$5:$P$500,"&gt;=112200")&gt;0,"X","")</f>
      </c>
      <c r="J67" s="56" t="str">
        <f>IF(COUNTIFS('LANÇAMENTOS DIÁRIOS'!$G$5:$G$500,"F",'LANÇAMENTOS DIÁRIOS'!$C$5:$C$500,$A67,'LANÇAMENTOS DIÁRIOS'!$O$5:$O$500,"&lt;=112399",'LANÇAMENTOS DIÁRIOS'!$P$5:$P$500,"&gt;=112300")&gt;0,"X","")</f>
      </c>
      <c r="K67" s="56" t="str">
        <f>IF(COUNTIFS('LANÇAMENTOS DIÁRIOS'!$G$5:$G$500,"F",'LANÇAMENTOS DIÁRIOS'!$C$5:$C$500,$A67,'LANÇAMENTOS DIÁRIOS'!$O$5:$O$500,"&lt;=112499",'LANÇAMENTOS DIÁRIOS'!$P$5:$P$500,"&gt;=112400")&gt;0,"X","")</f>
      </c>
      <c r="L67" s="56" t="str">
        <f>IF(COUNTIFS('LANÇAMENTOS DIÁRIOS'!$G$5:$G$500,"F",'LANÇAMENTOS DIÁRIOS'!$C$5:$C$500,$A67,'LANÇAMENTOS DIÁRIOS'!$O$5:$O$500,"&lt;=112599",'LANÇAMENTOS DIÁRIOS'!$P$5:$P$500,"&gt;=112500")&gt;0,"X","")</f>
      </c>
      <c r="M67" s="56" t="str">
        <f>IF(COUNTIFS('LANÇAMENTOS DIÁRIOS'!$G$5:$G$500,"F",'LANÇAMENTOS DIÁRIOS'!$C$5:$C$500,$A67,'LANÇAMENTOS DIÁRIOS'!$O$5:$O$500,"&lt;=112699",'LANÇAMENTOS DIÁRIOS'!$P$5:$P$500,"&gt;=112600")&gt;0,"X","")</f>
      </c>
      <c r="N67" s="56" t="str">
        <f>IF(COUNTIFS('LANÇAMENTOS DIÁRIOS'!$G$5:$G$500,"F",'LANÇAMENTOS DIÁRIOS'!$C$5:$C$500,$A67,'LANÇAMENTOS DIÁRIOS'!$O$5:$O$500,"&lt;=112799",'LANÇAMENTOS DIÁRIOS'!$P$5:$P$500,"&gt;=112700")&gt;0,"X","")</f>
      </c>
      <c r="O67" s="56" t="str">
        <f>IF(COUNTIFS('LANÇAMENTOS DIÁRIOS'!$G$5:$G$500,"F",'LANÇAMENTOS DIÁRIOS'!$C$5:$C$500,$A67,'LANÇAMENTOS DIÁRIOS'!$O$5:$O$500,"&lt;=112899",'LANÇAMENTOS DIÁRIOS'!$P$5:$P$500,"&gt;=112800")&gt;0,"X","")</f>
      </c>
      <c r="P67" s="56" t="str">
        <f>IF(COUNTIFS('LANÇAMENTOS DIÁRIOS'!$G$5:$G$500,"F",'LANÇAMENTOS DIÁRIOS'!$C$5:$C$500,$A67,'LANÇAMENTOS DIÁRIOS'!$O$5:$O$500,"&lt;=112999",'LANÇAMENTOS DIÁRIOS'!$P$5:$P$500,"&gt;=112900")&gt;0,"X","")</f>
      </c>
      <c r="Q67" s="56" t="str">
        <f>IF(COUNTIFS('LANÇAMENTOS DIÁRIOS'!$G$5:$G$500,"F",'LANÇAMENTOS DIÁRIOS'!$C$5:$C$500,$A67,'LANÇAMENTOS DIÁRIOS'!$O$5:$O$500,"&lt;=113099",'LANÇAMENTOS DIÁRIOS'!$P$5:$P$500,"&gt;=113000")&gt;0,"X","")</f>
      </c>
      <c r="R67" s="56" t="str">
        <f>IF(COUNTIFS('LANÇAMENTOS DIÁRIOS'!$G$5:$G$500,"F",'LANÇAMENTOS DIÁRIOS'!$C$5:$C$500,$A67,'LANÇAMENTOS DIÁRIOS'!$O$5:$O$500,"&lt;=113199",'LANÇAMENTOS DIÁRIOS'!$P$5:$P$500,"&gt;=113100")&gt;0,"X","")</f>
      </c>
      <c r="S67" s="56" t="str">
        <f>IF(COUNTIFS('LANÇAMENTOS DIÁRIOS'!$G$5:$G$500,"F",'LANÇAMENTOS DIÁRIOS'!$C$5:$C$500,$A67,'LANÇAMENTOS DIÁRIOS'!$O$5:$O$500,"&lt;=113299",'LANÇAMENTOS DIÁRIOS'!$P$5:$P$500,"&gt;=113200")&gt;0,"X","")</f>
      </c>
      <c r="T67" s="56" t="str">
        <f>IF(COUNTIFS('LANÇAMENTOS DIÁRIOS'!$G$5:$G$500,"F",'LANÇAMENTOS DIÁRIOS'!$C$5:$C$500,$A67,'LANÇAMENTOS DIÁRIOS'!$O$5:$O$500,"&lt;=113399",'LANÇAMENTOS DIÁRIOS'!$P$5:$P$500,"&gt;=113300")&gt;0,"X","")</f>
      </c>
      <c r="U67" s="56" t="str">
        <f>IF(COUNTIFS('LANÇAMENTOS DIÁRIOS'!$G$5:$G$500,"F",'LANÇAMENTOS DIÁRIOS'!$C$5:$C$500,$A67,'LANÇAMENTOS DIÁRIOS'!$O$5:$O$500,"&lt;=113499",'LANÇAMENTOS DIÁRIOS'!$P$5:$P$500,"&gt;=113400")&gt;0,"X","")</f>
      </c>
      <c r="V67" s="56" t="str">
        <f>IF(COUNTIFS('LANÇAMENTOS DIÁRIOS'!$G$5:$G$500,"F",'LANÇAMENTOS DIÁRIOS'!$C$5:$C$500,$A67,'LANÇAMENTOS DIÁRIOS'!$O$5:$O$500,"&lt;=113599",'LANÇAMENTOS DIÁRIOS'!$P$5:$P$500,"&gt;=113500")&gt;0,"X","")</f>
      </c>
      <c r="W67" s="56" t="str">
        <f>IF(COUNTIFS('LANÇAMENTOS DIÁRIOS'!$G$5:$G$500,"F",'LANÇAMENTOS DIÁRIOS'!$C$5:$C$500,$A67,'LANÇAMENTOS DIÁRIOS'!$O$5:$O$500,"&lt;=113699",'LANÇAMENTOS DIÁRIOS'!$P$5:$P$500,"&gt;=113600")&gt;0,"X","")</f>
      </c>
      <c r="X67" s="56" t="str">
        <f>IF(COUNTIFS('LANÇAMENTOS DIÁRIOS'!$G$5:$G$500,"F",'LANÇAMENTOS DIÁRIOS'!$C$5:$C$500,$A67,'LANÇAMENTOS DIÁRIOS'!$O$5:$O$500,"&lt;=113799",'LANÇAMENTOS DIÁRIOS'!$P$5:$P$500,"&gt;=113700")&gt;0,"X","")</f>
      </c>
      <c r="Y67" s="56" t="str">
        <f>IF(COUNTIFS('LANÇAMENTOS DIÁRIOS'!$G$5:$G$500,"F",'LANÇAMENTOS DIÁRIOS'!$C$5:$C$500,$A67,'LANÇAMENTOS DIÁRIOS'!$O$5:$O$500,"&lt;=113899",'LANÇAMENTOS DIÁRIOS'!$P$5:$P$500,"&gt;=113800")&gt;0,"X","")</f>
      </c>
      <c r="Z67" s="56" t="str">
        <f>IF(COUNTIFS('LANÇAMENTOS DIÁRIOS'!$G$5:$G$500,"F",'LANÇAMENTOS DIÁRIOS'!$C$5:$C$500,$A67,'LANÇAMENTOS DIÁRIOS'!$O$5:$O$500,"&lt;=113999",'LANÇAMENTOS DIÁRIOS'!$P$5:$P$500,"&gt;=113900")&gt;0,"X","")</f>
      </c>
      <c r="AA67" s="56" t="str">
        <f>IF(COUNTIFS('LANÇAMENTOS DIÁRIOS'!$G$5:$G$500,"F",'LANÇAMENTOS DIÁRIOS'!$C$5:$C$500,$A67,'LANÇAMENTOS DIÁRIOS'!$O$5:$O$500,"&lt;=114099",'LANÇAMENTOS DIÁRIOS'!$P$5:$P$500,"&gt;=114000")&gt;0,"X","")</f>
      </c>
      <c r="AB67" s="56" t="str">
        <f>IF(COUNTIFS('LANÇAMENTOS DIÁRIOS'!$G$5:$G$500,"F",'LANÇAMENTOS DIÁRIOS'!$C$5:$C$500,$A67,'LANÇAMENTOS DIÁRIOS'!$O$5:$O$500,"&lt;=114199",'LANÇAMENTOS DIÁRIOS'!$P$5:$P$500,"&gt;=114100")&gt;0,"X","")</f>
      </c>
      <c r="AC67" s="56" t="str">
        <f>IF(COUNTIFS('LANÇAMENTOS DIÁRIOS'!$G$5:$G$500,"F",'LANÇAMENTOS DIÁRIOS'!$C$5:$C$500,$A67,'LANÇAMENTOS DIÁRIOS'!$O$5:$O$500,"&lt;=114299",'LANÇAMENTOS DIÁRIOS'!$P$5:$P$500,"&gt;=114200")&gt;0,"X","")</f>
      </c>
      <c r="AD67" s="56" t="str">
        <f>IF(COUNTIFS('LANÇAMENTOS DIÁRIOS'!$G$5:$G$500,"F",'LANÇAMENTOS DIÁRIOS'!$C$5:$C$500,$A67,'LANÇAMENTOS DIÁRIOS'!$O$5:$O$500,"&lt;=114399",'LANÇAMENTOS DIÁRIOS'!$P$5:$P$500,"&gt;=114300")&gt;0,"X","")</f>
      </c>
      <c r="AE67" s="56" t="str">
        <f>IF(COUNTIFS('LANÇAMENTOS DIÁRIOS'!$G$5:$G$500,"F",'LANÇAMENTOS DIÁRIOS'!$C$5:$C$500,$A67,'LANÇAMENTOS DIÁRIOS'!$O$5:$O$500,"&lt;=114499",'LANÇAMENTOS DIÁRIOS'!$P$5:$P$500,"&gt;=114400")&gt;0,"X","")</f>
      </c>
      <c r="AF67" s="56" t="str">
        <f>IF(COUNTIFS('LANÇAMENTOS DIÁRIOS'!$G$5:$G$500,"F",'LANÇAMENTOS DIÁRIOS'!$C$5:$C$500,$A67,'LANÇAMENTOS DIÁRIOS'!$O$5:$O$500,"&lt;=114599",'LANÇAMENTOS DIÁRIOS'!$P$5:$P$500,"&gt;=114500")&gt;0,"X","")</f>
      </c>
      <c r="AG67" s="56" t="str">
        <f>IF(COUNTIFS('LANÇAMENTOS DIÁRIOS'!$G$5:$G$500,"F",'LANÇAMENTOS DIÁRIOS'!$C$5:$C$500,$A67,'LANÇAMENTOS DIÁRIOS'!$O$5:$O$500,"&lt;=114699",'LANÇAMENTOS DIÁRIOS'!$P$5:$P$500,"&gt;=114600")&gt;0,"X","")</f>
      </c>
      <c r="AH67" s="56" t="str">
        <f>IF(COUNTIFS('LANÇAMENTOS DIÁRIOS'!$G$5:$G$500,"F",'LANÇAMENTOS DIÁRIOS'!$C$5:$C$500,$A67,'LANÇAMENTOS DIÁRIOS'!$O$5:$O$500,"&lt;=114799",'LANÇAMENTOS DIÁRIOS'!$P$5:$P$500,"&gt;=114700")&gt;0,"X","")</f>
      </c>
      <c r="AI67" s="56" t="str">
        <f>IF(COUNTIFS('LANÇAMENTOS DIÁRIOS'!$G$5:$G$500,"F",'LANÇAMENTOS DIÁRIOS'!$C$5:$C$500,$A67,'LANÇAMENTOS DIÁRIOS'!$O$5:$O$500,"&lt;=114899",'LANÇAMENTOS DIÁRIOS'!$P$5:$P$500,"&gt;=114800")&gt;0,"X","")</f>
      </c>
      <c r="AJ67" s="56" t="str">
        <f>IF(COUNTIFS('LANÇAMENTOS DIÁRIOS'!$G$5:$G$500,"F",'LANÇAMENTOS DIÁRIOS'!$C$5:$C$500,$A67,'LANÇAMENTOS DIÁRIOS'!$O$5:$O$500,"&lt;=114999",'LANÇAMENTOS DIÁRIOS'!$P$5:$P$500,"&gt;=114900")&gt;0,"X","")</f>
      </c>
      <c r="AK67" s="56" t="str">
        <f>IF(COUNTIFS('LANÇAMENTOS DIÁRIOS'!$G$5:$G$500,"F",'LANÇAMENTOS DIÁRIOS'!$C$5:$C$500,$A67,'LANÇAMENTOS DIÁRIOS'!$O$5:$O$500,"&lt;=115099",'LANÇAMENTOS DIÁRIOS'!$P$5:$P$500,"&gt;=115000")&gt;0,"X","")</f>
      </c>
      <c r="AL67" s="56" t="str">
        <f>IF(COUNTIFS('LANÇAMENTOS DIÁRIOS'!$G$5:$G$500,"F",'LANÇAMENTOS DIÁRIOS'!$C$5:$C$500,$A67,'LANÇAMENTOS DIÁRIOS'!$O$5:$O$500,"&lt;=115199",'LANÇAMENTOS DIÁRIOS'!$P$5:$P$500,"&gt;=115100")&gt;0,"X","")</f>
      </c>
      <c r="AM67" s="56" t="str">
        <f>IF(COUNTIFS('LANÇAMENTOS DIÁRIOS'!$G$5:$G$500,"F",'LANÇAMENTOS DIÁRIOS'!$C$5:$C$500,$A67,'LANÇAMENTOS DIÁRIOS'!$O$5:$O$500,"&lt;=115299",'LANÇAMENTOS DIÁRIOS'!$P$5:$P$500,"&gt;=115200")&gt;0,"X","")</f>
      </c>
      <c r="AN67" s="56" t="str">
        <f>IF(COUNTIFS('LANÇAMENTOS DIÁRIOS'!$G$5:$G$500,"F",'LANÇAMENTOS DIÁRIOS'!$C$5:$C$500,$A67,'LANÇAMENTOS DIÁRIOS'!$O$5:$O$500,"&lt;=115399",'LANÇAMENTOS DIÁRIOS'!$P$5:$P$500,"&gt;=115300")&gt;0,"X","")</f>
      </c>
      <c r="AO67" s="56" t="str">
        <f>IF(COUNTIFS('LANÇAMENTOS DIÁRIOS'!$G$5:$G$500,"F",'LANÇAMENTOS DIÁRIOS'!$C$5:$C$500,$A67,'LANÇAMENTOS DIÁRIOS'!$O$5:$O$500,"&lt;=115499",'LANÇAMENTOS DIÁRIOS'!$P$5:$P$500,"&gt;=115400")&gt;0,"X","")</f>
      </c>
      <c r="AP67" s="56" t="str">
        <f>IF(COUNTIFS('LANÇAMENTOS DIÁRIOS'!$G$5:$G$500,"F",'LANÇAMENTOS DIÁRIOS'!$C$5:$C$500,$A67,'LANÇAMENTOS DIÁRIOS'!$O$5:$O$500,"&lt;=115599",'LANÇAMENTOS DIÁRIOS'!$P$5:$P$500,"&gt;=115500")&gt;0,"X","")</f>
      </c>
      <c r="AQ67" s="56" t="str">
        <f>IF(COUNTIFS('LANÇAMENTOS DIÁRIOS'!$G$5:$G$500,"F",'LANÇAMENTOS DIÁRIOS'!$C$5:$C$500,$A67,'LANÇAMENTOS DIÁRIOS'!$O$5:$O$500,"&lt;=115699",'LANÇAMENTOS DIÁRIOS'!$P$5:$P$500,"&gt;=115600")&gt;0,"X","")</f>
      </c>
      <c r="AR67" s="56" t="str">
        <f>IF(COUNTIFS('LANÇAMENTOS DIÁRIOS'!$G$5:$G$500,"F",'LANÇAMENTOS DIÁRIOS'!$C$5:$C$500,$A67,'LANÇAMENTOS DIÁRIOS'!$O$5:$O$500,"&lt;=115799",'LANÇAMENTOS DIÁRIOS'!$P$5:$P$500,"&gt;=115700")&gt;0,"X","")</f>
      </c>
      <c r="AS67" s="56" t="str">
        <f>IF(COUNTIFS('LANÇAMENTOS DIÁRIOS'!$G$5:$G$500,"F",'LANÇAMENTOS DIÁRIOS'!$C$5:$C$500,$A67,'LANÇAMENTOS DIÁRIOS'!$O$5:$O$500,"&lt;=115899",'LANÇAMENTOS DIÁRIOS'!$P$5:$P$500,"&gt;=115800")&gt;0,"X","")</f>
      </c>
      <c r="AT67" s="56" t="str">
        <f>IF(COUNTIFS('LANÇAMENTOS DIÁRIOS'!$G$5:$G$500,"F",'LANÇAMENTOS DIÁRIOS'!$C$5:$C$500,$A67,'LANÇAMENTOS DIÁRIOS'!$O$5:$O$500,"&lt;=115999",'LANÇAMENTOS DIÁRIOS'!$P$5:$P$500,"&gt;=115900")&gt;0,"X","")</f>
      </c>
      <c r="AU67" s="56" t="str">
        <f>IF(COUNTIFS('LANÇAMENTOS DIÁRIOS'!$G$5:$G$500,"F",'LANÇAMENTOS DIÁRIOS'!$C$5:$C$500,$A67,'LANÇAMENTOS DIÁRIOS'!$O$5:$O$500,"&lt;=116099",'LANÇAMENTOS DIÁRIOS'!$P$5:$P$500,"&gt;=116000")&gt;0,"X","")</f>
      </c>
      <c r="AV67" s="56" t="str">
        <f>IF(COUNTIFS('LANÇAMENTOS DIÁRIOS'!$G$5:$G$500,"F",'LANÇAMENTOS DIÁRIOS'!$C$5:$C$500,$A67,'LANÇAMENTOS DIÁRIOS'!$O$5:$O$500,"&lt;=116199",'LANÇAMENTOS DIÁRIOS'!$P$5:$P$500,"&gt;=116100")&gt;0,"X","")</f>
      </c>
      <c r="AW67" s="56" t="str">
        <f>IF(COUNTIFS('LANÇAMENTOS DIÁRIOS'!$G$5:$G$500,"F",'LANÇAMENTOS DIÁRIOS'!$C$5:$C$500,$A67,'LANÇAMENTOS DIÁRIOS'!$O$5:$O$500,"&lt;=116299",'LANÇAMENTOS DIÁRIOS'!$P$5:$P$500,"&gt;=116200")&gt;0,"X","")</f>
      </c>
      <c r="AX67" s="56" t="str">
        <f>IF(COUNTIFS('LANÇAMENTOS DIÁRIOS'!$G$5:$G$500,"F",'LANÇAMENTOS DIÁRIOS'!$C$5:$C$500,$A67,'LANÇAMENTOS DIÁRIOS'!$O$5:$O$500,"&lt;=116399",'LANÇAMENTOS DIÁRIOS'!$P$5:$P$500,"&gt;=116300")&gt;0,"X","")</f>
      </c>
      <c r="AY67" s="56" t="str">
        <f>IF(COUNTIFS('LANÇAMENTOS DIÁRIOS'!$G$5:$G$500,"F",'LANÇAMENTOS DIÁRIOS'!$C$5:$C$500,$A67,'LANÇAMENTOS DIÁRIOS'!$O$5:$O$500,"&lt;=116499",'LANÇAMENTOS DIÁRIOS'!$P$5:$P$500,"&gt;=116400")&gt;0,"X","")</f>
      </c>
      <c r="AZ67" s="56" t="str">
        <f>IF(COUNTIFS('LANÇAMENTOS DIÁRIOS'!$G$5:$G$500,"F",'LANÇAMENTOS DIÁRIOS'!$C$5:$C$500,$A67,'LANÇAMENTOS DIÁRIOS'!$O$5:$O$500,"&lt;=116599",'LANÇAMENTOS DIÁRIOS'!$P$5:$P$500,"&gt;=116500")&gt;0,"X","")</f>
      </c>
      <c r="BA67" s="56" t="str">
        <f>IF(COUNTIFS('LANÇAMENTOS DIÁRIOS'!$G$5:$G$500,"F",'LANÇAMENTOS DIÁRIOS'!$C$5:$C$500,$A67,'LANÇAMENTOS DIÁRIOS'!$O$5:$O$500,"&lt;=116699",'LANÇAMENTOS DIÁRIOS'!$P$5:$P$500,"&gt;=116600")&gt;0,"X","")</f>
      </c>
      <c r="BB67" s="56" t="str">
        <f>IF(COUNTIFS('LANÇAMENTOS DIÁRIOS'!$G$5:$G$500,"F",'LANÇAMENTOS DIÁRIOS'!$C$5:$C$500,$A67,'LANÇAMENTOS DIÁRIOS'!$O$5:$O$500,"&lt;=116799",'LANÇAMENTOS DIÁRIOS'!$P$5:$P$500,"&gt;=116700")&gt;0,"X","")</f>
      </c>
      <c r="BC67" s="56" t="str">
        <f>IF(COUNTIFS('LANÇAMENTOS DIÁRIOS'!$G$5:$G$500,"F",'LANÇAMENTOS DIÁRIOS'!$C$5:$C$500,$A67,'LANÇAMENTOS DIÁRIOS'!$O$5:$O$500,"&lt;=116899",'LANÇAMENTOS DIÁRIOS'!$P$5:$P$500,"&gt;=116800")&gt;0,"X","")</f>
      </c>
      <c r="BD67" s="56" t="str">
        <f>IF(COUNTIFS('LANÇAMENTOS DIÁRIOS'!$G$5:$G$500,"F",'LANÇAMENTOS DIÁRIOS'!$C$5:$C$500,$A67,'LANÇAMENTOS DIÁRIOS'!$O$5:$O$500,"&lt;=116999",'LANÇAMENTOS DIÁRIOS'!$P$5:$P$500,"&gt;=116900")&gt;0,"X","")</f>
      </c>
      <c r="BE67" s="56" t="str">
        <f>IF(COUNTIFS('LANÇAMENTOS DIÁRIOS'!$G$5:$G$500,"F",'LANÇAMENTOS DIÁRIOS'!$C$5:$C$500,$A67,'LANÇAMENTOS DIÁRIOS'!$O$5:$O$500,"&lt;=117099",'LANÇAMENTOS DIÁRIOS'!$P$5:$P$500,"&gt;=117000")&gt;0,"X","")</f>
      </c>
      <c r="BF67" s="56" t="str">
        <f>IF(COUNTIFS('LANÇAMENTOS DIÁRIOS'!$G$5:$G$500,"F",'LANÇAMENTOS DIÁRIOS'!$C$5:$C$500,$A67,'LANÇAMENTOS DIÁRIOS'!$O$5:$O$500,"&lt;=117199",'LANÇAMENTOS DIÁRIOS'!$P$5:$P$500,"&gt;=117100")&gt;0,"X","")</f>
      </c>
      <c r="BG67" s="56" t="str">
        <f>IF(COUNTIFS('LANÇAMENTOS DIÁRIOS'!$G$5:$G$500,"F",'LANÇAMENTOS DIÁRIOS'!$C$5:$C$500,$A67,'LANÇAMENTOS DIÁRIOS'!$O$5:$O$500,"&lt;=117219",'LANÇAMENTOS DIÁRIOS'!$P$5:$P$500,"&gt;=117200")&gt;0,"X","")</f>
      </c>
      <c r="BH67" s="56" t="str">
        <f>IF(COUNTIFS('LANÇAMENTOS DIÁRIOS'!$G$5:$G$500,"F",'LANÇAMENTOS DIÁRIOS'!$C$5:$C$500,$A67,'LANÇAMENTOS DIÁRIOS'!$O$5:$O$500,"&lt;=117220",'LANÇAMENTOS DIÁRIOS'!$P$5:$P$500,"&gt;=117220")&gt;0,"X","")</f>
      </c>
    </row>
    <row r="68" ht="19" customHeight="1">
      <c r="A68" s="68" t="str">
        <v>Instrumentação geotécnica para Terraplenagem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</row>
    <row r="69">
      <c r="A69" s="51" t="str">
        <v>Placa de recalque</v>
      </c>
      <c r="B69" s="56" t="str">
        <f>IF(COUNTIFS('LANÇAMENTOS DIÁRIOS'!$G$5:$G$500,"F",'LANÇAMENTOS DIÁRIOS'!$C$5:$C$500,$A69,'LANÇAMENTOS DIÁRIOS'!$O$5:$O$500,"&lt;=111599",'LANÇAMENTOS DIÁRIOS'!$P$5:$P$500,"&gt;=111500")&gt;0,"X","")</f>
      </c>
      <c r="C69" s="56" t="str">
        <f>IF(COUNTIFS('LANÇAMENTOS DIÁRIOS'!$G$5:$G$500,"F",'LANÇAMENTOS DIÁRIOS'!$C$5:$C$500,$A69,'LANÇAMENTOS DIÁRIOS'!$O$5:$O$500,"&lt;=111699",'LANÇAMENTOS DIÁRIOS'!$P$5:$P$500,"&gt;=111600")&gt;0,"X","")</f>
      </c>
      <c r="D69" s="56" t="str">
        <f>IF(COUNTIFS('LANÇAMENTOS DIÁRIOS'!$G$5:$G$500,"F",'LANÇAMENTOS DIÁRIOS'!$C$5:$C$500,$A69,'LANÇAMENTOS DIÁRIOS'!$O$5:$O$500,"&lt;=111799",'LANÇAMENTOS DIÁRIOS'!$P$5:$P$500,"&gt;=111700")&gt;0,"X","")</f>
      </c>
      <c r="E69" s="56" t="str">
        <f>IF(COUNTIFS('LANÇAMENTOS DIÁRIOS'!$G$5:$G$500,"F",'LANÇAMENTOS DIÁRIOS'!$C$5:$C$500,$A69,'LANÇAMENTOS DIÁRIOS'!$O$5:$O$500,"&lt;=111899",'LANÇAMENTOS DIÁRIOS'!$P$5:$P$500,"&gt;=111800")&gt;0,"X","")</f>
      </c>
      <c r="F69" s="56" t="str">
        <f>IF(COUNTIFS('LANÇAMENTOS DIÁRIOS'!$G$5:$G$500,"F",'LANÇAMENTOS DIÁRIOS'!$C$5:$C$500,$A69,'LANÇAMENTOS DIÁRIOS'!$O$5:$O$500,"&lt;=111999",'LANÇAMENTOS DIÁRIOS'!$P$5:$P$500,"&gt;=111900")&gt;0,"X","")</f>
      </c>
      <c r="G69" s="56" t="str">
        <f>IF(COUNTIFS('LANÇAMENTOS DIÁRIOS'!$G$5:$G$500,"F",'LANÇAMENTOS DIÁRIOS'!$C$5:$C$500,$A69,'LANÇAMENTOS DIÁRIOS'!$O$5:$O$500,"&lt;=112099",'LANÇAMENTOS DIÁRIOS'!$P$5:$P$500,"&gt;=112000")&gt;0,"X","")</f>
      </c>
      <c r="H69" s="56" t="str">
        <f>IF(COUNTIFS('LANÇAMENTOS DIÁRIOS'!$G$5:$G$500,"F",'LANÇAMENTOS DIÁRIOS'!$C$5:$C$500,$A69,'LANÇAMENTOS DIÁRIOS'!$O$5:$O$500,"&lt;=112199",'LANÇAMENTOS DIÁRIOS'!$P$5:$P$500,"&gt;=112100")&gt;0,"X","")</f>
      </c>
      <c r="I69" s="56" t="str">
        <f>IF(COUNTIFS('LANÇAMENTOS DIÁRIOS'!$G$5:$G$500,"F",'LANÇAMENTOS DIÁRIOS'!$C$5:$C$500,$A69,'LANÇAMENTOS DIÁRIOS'!$O$5:$O$500,"&lt;=112299",'LANÇAMENTOS DIÁRIOS'!$P$5:$P$500,"&gt;=112200")&gt;0,"X","")</f>
      </c>
      <c r="J69" s="56" t="str">
        <f>IF(COUNTIFS('LANÇAMENTOS DIÁRIOS'!$G$5:$G$500,"F",'LANÇAMENTOS DIÁRIOS'!$C$5:$C$500,$A69,'LANÇAMENTOS DIÁRIOS'!$O$5:$O$500,"&lt;=112399",'LANÇAMENTOS DIÁRIOS'!$P$5:$P$500,"&gt;=112300")&gt;0,"X","")</f>
      </c>
      <c r="K69" s="56" t="str">
        <f>IF(COUNTIFS('LANÇAMENTOS DIÁRIOS'!$G$5:$G$500,"F",'LANÇAMENTOS DIÁRIOS'!$C$5:$C$500,$A69,'LANÇAMENTOS DIÁRIOS'!$O$5:$O$500,"&lt;=112499",'LANÇAMENTOS DIÁRIOS'!$P$5:$P$500,"&gt;=112400")&gt;0,"X","")</f>
      </c>
      <c r="L69" s="56" t="str">
        <f>IF(COUNTIFS('LANÇAMENTOS DIÁRIOS'!$G$5:$G$500,"F",'LANÇAMENTOS DIÁRIOS'!$C$5:$C$500,$A69,'LANÇAMENTOS DIÁRIOS'!$O$5:$O$500,"&lt;=112599",'LANÇAMENTOS DIÁRIOS'!$P$5:$P$500,"&gt;=112500")&gt;0,"X","")</f>
      </c>
      <c r="M69" s="56" t="str">
        <f>IF(COUNTIFS('LANÇAMENTOS DIÁRIOS'!$G$5:$G$500,"F",'LANÇAMENTOS DIÁRIOS'!$C$5:$C$500,$A69,'LANÇAMENTOS DIÁRIOS'!$O$5:$O$500,"&lt;=112699",'LANÇAMENTOS DIÁRIOS'!$P$5:$P$500,"&gt;=112600")&gt;0,"X","")</f>
      </c>
      <c r="N69" s="56" t="str">
        <f>IF(COUNTIFS('LANÇAMENTOS DIÁRIOS'!$G$5:$G$500,"F",'LANÇAMENTOS DIÁRIOS'!$C$5:$C$500,$A69,'LANÇAMENTOS DIÁRIOS'!$O$5:$O$500,"&lt;=112799",'LANÇAMENTOS DIÁRIOS'!$P$5:$P$500,"&gt;=112700")&gt;0,"X","")</f>
      </c>
      <c r="O69" s="56" t="str">
        <f>IF(COUNTIFS('LANÇAMENTOS DIÁRIOS'!$G$5:$G$500,"F",'LANÇAMENTOS DIÁRIOS'!$C$5:$C$500,$A69,'LANÇAMENTOS DIÁRIOS'!$O$5:$O$500,"&lt;=112899",'LANÇAMENTOS DIÁRIOS'!$P$5:$P$500,"&gt;=112800")&gt;0,"X","")</f>
      </c>
      <c r="P69" s="56" t="str">
        <f>IF(COUNTIFS('LANÇAMENTOS DIÁRIOS'!$G$5:$G$500,"F",'LANÇAMENTOS DIÁRIOS'!$C$5:$C$500,$A69,'LANÇAMENTOS DIÁRIOS'!$O$5:$O$500,"&lt;=112999",'LANÇAMENTOS DIÁRIOS'!$P$5:$P$500,"&gt;=112900")&gt;0,"X","")</f>
      </c>
      <c r="Q69" s="56" t="str">
        <f>IF(COUNTIFS('LANÇAMENTOS DIÁRIOS'!$G$5:$G$500,"F",'LANÇAMENTOS DIÁRIOS'!$C$5:$C$500,$A69,'LANÇAMENTOS DIÁRIOS'!$O$5:$O$500,"&lt;=113099",'LANÇAMENTOS DIÁRIOS'!$P$5:$P$500,"&gt;=113000")&gt;0,"X","")</f>
      </c>
      <c r="R69" s="56" t="str">
        <f>IF(COUNTIFS('LANÇAMENTOS DIÁRIOS'!$G$5:$G$500,"F",'LANÇAMENTOS DIÁRIOS'!$C$5:$C$500,$A69,'LANÇAMENTOS DIÁRIOS'!$O$5:$O$500,"&lt;=113199",'LANÇAMENTOS DIÁRIOS'!$P$5:$P$500,"&gt;=113100")&gt;0,"X","")</f>
      </c>
      <c r="S69" s="56" t="str">
        <f>IF(COUNTIFS('LANÇAMENTOS DIÁRIOS'!$G$5:$G$500,"F",'LANÇAMENTOS DIÁRIOS'!$C$5:$C$500,$A69,'LANÇAMENTOS DIÁRIOS'!$O$5:$O$500,"&lt;=113299",'LANÇAMENTOS DIÁRIOS'!$P$5:$P$500,"&gt;=113200")&gt;0,"X","")</f>
      </c>
      <c r="T69" s="56" t="str">
        <f>IF(COUNTIFS('LANÇAMENTOS DIÁRIOS'!$G$5:$G$500,"F",'LANÇAMENTOS DIÁRIOS'!$C$5:$C$500,$A69,'LANÇAMENTOS DIÁRIOS'!$O$5:$O$500,"&lt;=113399",'LANÇAMENTOS DIÁRIOS'!$P$5:$P$500,"&gt;=113300")&gt;0,"X","")</f>
      </c>
      <c r="U69" s="56" t="str">
        <f>IF(COUNTIFS('LANÇAMENTOS DIÁRIOS'!$G$5:$G$500,"F",'LANÇAMENTOS DIÁRIOS'!$C$5:$C$500,$A69,'LANÇAMENTOS DIÁRIOS'!$O$5:$O$500,"&lt;=113499",'LANÇAMENTOS DIÁRIOS'!$P$5:$P$500,"&gt;=113400")&gt;0,"X","")</f>
      </c>
      <c r="V69" s="56" t="str">
        <f>IF(COUNTIFS('LANÇAMENTOS DIÁRIOS'!$G$5:$G$500,"F",'LANÇAMENTOS DIÁRIOS'!$C$5:$C$500,$A69,'LANÇAMENTOS DIÁRIOS'!$O$5:$O$500,"&lt;=113599",'LANÇAMENTOS DIÁRIOS'!$P$5:$P$500,"&gt;=113500")&gt;0,"X","")</f>
      </c>
      <c r="W69" s="56" t="str">
        <f>IF(COUNTIFS('LANÇAMENTOS DIÁRIOS'!$G$5:$G$500,"F",'LANÇAMENTOS DIÁRIOS'!$C$5:$C$500,$A69,'LANÇAMENTOS DIÁRIOS'!$O$5:$O$500,"&lt;=113699",'LANÇAMENTOS DIÁRIOS'!$P$5:$P$500,"&gt;=113600")&gt;0,"X","")</f>
      </c>
      <c r="X69" s="56" t="str">
        <f>IF(COUNTIFS('LANÇAMENTOS DIÁRIOS'!$G$5:$G$500,"F",'LANÇAMENTOS DIÁRIOS'!$C$5:$C$500,$A69,'LANÇAMENTOS DIÁRIOS'!$O$5:$O$500,"&lt;=113799",'LANÇAMENTOS DIÁRIOS'!$P$5:$P$500,"&gt;=113700")&gt;0,"X","")</f>
      </c>
      <c r="Y69" s="56" t="str">
        <f>IF(COUNTIFS('LANÇAMENTOS DIÁRIOS'!$G$5:$G$500,"F",'LANÇAMENTOS DIÁRIOS'!$C$5:$C$500,$A69,'LANÇAMENTOS DIÁRIOS'!$O$5:$O$500,"&lt;=113899",'LANÇAMENTOS DIÁRIOS'!$P$5:$P$500,"&gt;=113800")&gt;0,"X","")</f>
      </c>
      <c r="Z69" s="56" t="str">
        <f>IF(COUNTIFS('LANÇAMENTOS DIÁRIOS'!$G$5:$G$500,"F",'LANÇAMENTOS DIÁRIOS'!$C$5:$C$500,$A69,'LANÇAMENTOS DIÁRIOS'!$O$5:$O$500,"&lt;=113999",'LANÇAMENTOS DIÁRIOS'!$P$5:$P$500,"&gt;=113900")&gt;0,"X","")</f>
      </c>
      <c r="AA69" s="56" t="str">
        <f>IF(COUNTIFS('LANÇAMENTOS DIÁRIOS'!$G$5:$G$500,"F",'LANÇAMENTOS DIÁRIOS'!$C$5:$C$500,$A69,'LANÇAMENTOS DIÁRIOS'!$O$5:$O$500,"&lt;=114099",'LANÇAMENTOS DIÁRIOS'!$P$5:$P$500,"&gt;=114000")&gt;0,"X","")</f>
      </c>
      <c r="AB69" s="56" t="str">
        <f>IF(COUNTIFS('LANÇAMENTOS DIÁRIOS'!$G$5:$G$500,"F",'LANÇAMENTOS DIÁRIOS'!$C$5:$C$500,$A69,'LANÇAMENTOS DIÁRIOS'!$O$5:$O$500,"&lt;=114199",'LANÇAMENTOS DIÁRIOS'!$P$5:$P$500,"&gt;=114100")&gt;0,"X","")</f>
      </c>
      <c r="AC69" s="56" t="str">
        <f>IF(COUNTIFS('LANÇAMENTOS DIÁRIOS'!$G$5:$G$500,"F",'LANÇAMENTOS DIÁRIOS'!$C$5:$C$500,$A69,'LANÇAMENTOS DIÁRIOS'!$O$5:$O$500,"&lt;=114299",'LANÇAMENTOS DIÁRIOS'!$P$5:$P$500,"&gt;=114200")&gt;0,"X","")</f>
      </c>
      <c r="AD69" s="56" t="str">
        <f>IF(COUNTIFS('LANÇAMENTOS DIÁRIOS'!$G$5:$G$500,"F",'LANÇAMENTOS DIÁRIOS'!$C$5:$C$500,$A69,'LANÇAMENTOS DIÁRIOS'!$O$5:$O$500,"&lt;=114399",'LANÇAMENTOS DIÁRIOS'!$P$5:$P$500,"&gt;=114300")&gt;0,"X","")</f>
      </c>
      <c r="AE69" s="56" t="str">
        <f>IF(COUNTIFS('LANÇAMENTOS DIÁRIOS'!$G$5:$G$500,"F",'LANÇAMENTOS DIÁRIOS'!$C$5:$C$500,$A69,'LANÇAMENTOS DIÁRIOS'!$O$5:$O$500,"&lt;=114499",'LANÇAMENTOS DIÁRIOS'!$P$5:$P$500,"&gt;=114400")&gt;0,"X","")</f>
      </c>
      <c r="AF69" s="56" t="str">
        <f>IF(COUNTIFS('LANÇAMENTOS DIÁRIOS'!$G$5:$G$500,"F",'LANÇAMENTOS DIÁRIOS'!$C$5:$C$500,$A69,'LANÇAMENTOS DIÁRIOS'!$O$5:$O$500,"&lt;=114599",'LANÇAMENTOS DIÁRIOS'!$P$5:$P$500,"&gt;=114500")&gt;0,"X","")</f>
      </c>
      <c r="AG69" s="56" t="str">
        <f>IF(COUNTIFS('LANÇAMENTOS DIÁRIOS'!$G$5:$G$500,"F",'LANÇAMENTOS DIÁRIOS'!$C$5:$C$500,$A69,'LANÇAMENTOS DIÁRIOS'!$O$5:$O$500,"&lt;=114699",'LANÇAMENTOS DIÁRIOS'!$P$5:$P$500,"&gt;=114600")&gt;0,"X","")</f>
      </c>
      <c r="AH69" s="56" t="str">
        <f>IF(COUNTIFS('LANÇAMENTOS DIÁRIOS'!$G$5:$G$500,"F",'LANÇAMENTOS DIÁRIOS'!$C$5:$C$500,$A69,'LANÇAMENTOS DIÁRIOS'!$O$5:$O$500,"&lt;=114799",'LANÇAMENTOS DIÁRIOS'!$P$5:$P$500,"&gt;=114700")&gt;0,"X","")</f>
      </c>
      <c r="AI69" s="56" t="str">
        <f>IF(COUNTIFS('LANÇAMENTOS DIÁRIOS'!$G$5:$G$500,"F",'LANÇAMENTOS DIÁRIOS'!$C$5:$C$500,$A69,'LANÇAMENTOS DIÁRIOS'!$O$5:$O$500,"&lt;=114899",'LANÇAMENTOS DIÁRIOS'!$P$5:$P$500,"&gt;=114800")&gt;0,"X","")</f>
      </c>
      <c r="AJ69" s="56" t="str">
        <f>IF(COUNTIFS('LANÇAMENTOS DIÁRIOS'!$G$5:$G$500,"F",'LANÇAMENTOS DIÁRIOS'!$C$5:$C$500,$A69,'LANÇAMENTOS DIÁRIOS'!$O$5:$O$500,"&lt;=114999",'LANÇAMENTOS DIÁRIOS'!$P$5:$P$500,"&gt;=114900")&gt;0,"X","")</f>
      </c>
      <c r="AK69" s="56" t="str">
        <f>IF(COUNTIFS('LANÇAMENTOS DIÁRIOS'!$G$5:$G$500,"F",'LANÇAMENTOS DIÁRIOS'!$C$5:$C$500,$A69,'LANÇAMENTOS DIÁRIOS'!$O$5:$O$500,"&lt;=115099",'LANÇAMENTOS DIÁRIOS'!$P$5:$P$500,"&gt;=115000")&gt;0,"X","")</f>
      </c>
      <c r="AL69" s="56" t="str">
        <f>IF(COUNTIFS('LANÇAMENTOS DIÁRIOS'!$G$5:$G$500,"F",'LANÇAMENTOS DIÁRIOS'!$C$5:$C$500,$A69,'LANÇAMENTOS DIÁRIOS'!$O$5:$O$500,"&lt;=115199",'LANÇAMENTOS DIÁRIOS'!$P$5:$P$500,"&gt;=115100")&gt;0,"X","")</f>
      </c>
      <c r="AM69" s="56" t="str">
        <f>IF(COUNTIFS('LANÇAMENTOS DIÁRIOS'!$G$5:$G$500,"F",'LANÇAMENTOS DIÁRIOS'!$C$5:$C$500,$A69,'LANÇAMENTOS DIÁRIOS'!$O$5:$O$500,"&lt;=115299",'LANÇAMENTOS DIÁRIOS'!$P$5:$P$500,"&gt;=115200")&gt;0,"X","")</f>
      </c>
      <c r="AN69" s="56" t="str">
        <f>IF(COUNTIFS('LANÇAMENTOS DIÁRIOS'!$G$5:$G$500,"F",'LANÇAMENTOS DIÁRIOS'!$C$5:$C$500,$A69,'LANÇAMENTOS DIÁRIOS'!$O$5:$O$500,"&lt;=115399",'LANÇAMENTOS DIÁRIOS'!$P$5:$P$500,"&gt;=115300")&gt;0,"X","")</f>
      </c>
      <c r="AO69" s="56" t="str">
        <f>IF(COUNTIFS('LANÇAMENTOS DIÁRIOS'!$G$5:$G$500,"F",'LANÇAMENTOS DIÁRIOS'!$C$5:$C$500,$A69,'LANÇAMENTOS DIÁRIOS'!$O$5:$O$500,"&lt;=115499",'LANÇAMENTOS DIÁRIOS'!$P$5:$P$500,"&gt;=115400")&gt;0,"X","")</f>
      </c>
      <c r="AP69" s="56" t="str">
        <f>IF(COUNTIFS('LANÇAMENTOS DIÁRIOS'!$G$5:$G$500,"F",'LANÇAMENTOS DIÁRIOS'!$C$5:$C$500,$A69,'LANÇAMENTOS DIÁRIOS'!$O$5:$O$500,"&lt;=115599",'LANÇAMENTOS DIÁRIOS'!$P$5:$P$500,"&gt;=115500")&gt;0,"X","")</f>
      </c>
      <c r="AQ69" s="56" t="str">
        <f>IF(COUNTIFS('LANÇAMENTOS DIÁRIOS'!$G$5:$G$500,"F",'LANÇAMENTOS DIÁRIOS'!$C$5:$C$500,$A69,'LANÇAMENTOS DIÁRIOS'!$O$5:$O$500,"&lt;=115699",'LANÇAMENTOS DIÁRIOS'!$P$5:$P$500,"&gt;=115600")&gt;0,"X","")</f>
      </c>
      <c r="AR69" s="56" t="str">
        <f>IF(COUNTIFS('LANÇAMENTOS DIÁRIOS'!$G$5:$G$500,"F",'LANÇAMENTOS DIÁRIOS'!$C$5:$C$500,$A69,'LANÇAMENTOS DIÁRIOS'!$O$5:$O$500,"&lt;=115799",'LANÇAMENTOS DIÁRIOS'!$P$5:$P$500,"&gt;=115700")&gt;0,"X","")</f>
      </c>
      <c r="AS69" s="56" t="str">
        <f>IF(COUNTIFS('LANÇAMENTOS DIÁRIOS'!$G$5:$G$500,"F",'LANÇAMENTOS DIÁRIOS'!$C$5:$C$500,$A69,'LANÇAMENTOS DIÁRIOS'!$O$5:$O$500,"&lt;=115899",'LANÇAMENTOS DIÁRIOS'!$P$5:$P$500,"&gt;=115800")&gt;0,"X","")</f>
      </c>
      <c r="AT69" s="56" t="str">
        <f>IF(COUNTIFS('LANÇAMENTOS DIÁRIOS'!$G$5:$G$500,"F",'LANÇAMENTOS DIÁRIOS'!$C$5:$C$500,$A69,'LANÇAMENTOS DIÁRIOS'!$O$5:$O$500,"&lt;=115999",'LANÇAMENTOS DIÁRIOS'!$P$5:$P$500,"&gt;=115900")&gt;0,"X","")</f>
      </c>
      <c r="AU69" s="56" t="str">
        <f>IF(COUNTIFS('LANÇAMENTOS DIÁRIOS'!$G$5:$G$500,"F",'LANÇAMENTOS DIÁRIOS'!$C$5:$C$500,$A69,'LANÇAMENTOS DIÁRIOS'!$O$5:$O$500,"&lt;=116099",'LANÇAMENTOS DIÁRIOS'!$P$5:$P$500,"&gt;=116000")&gt;0,"X","")</f>
      </c>
      <c r="AV69" s="56" t="str">
        <f>IF(COUNTIFS('LANÇAMENTOS DIÁRIOS'!$G$5:$G$500,"F",'LANÇAMENTOS DIÁRIOS'!$C$5:$C$500,$A69,'LANÇAMENTOS DIÁRIOS'!$O$5:$O$500,"&lt;=116199",'LANÇAMENTOS DIÁRIOS'!$P$5:$P$500,"&gt;=116100")&gt;0,"X","")</f>
      </c>
      <c r="AW69" s="56" t="str">
        <f>IF(COUNTIFS('LANÇAMENTOS DIÁRIOS'!$G$5:$G$500,"F",'LANÇAMENTOS DIÁRIOS'!$C$5:$C$500,$A69,'LANÇAMENTOS DIÁRIOS'!$O$5:$O$500,"&lt;=116299",'LANÇAMENTOS DIÁRIOS'!$P$5:$P$500,"&gt;=116200")&gt;0,"X","")</f>
      </c>
      <c r="AX69" s="56" t="str">
        <f>IF(COUNTIFS('LANÇAMENTOS DIÁRIOS'!$G$5:$G$500,"F",'LANÇAMENTOS DIÁRIOS'!$C$5:$C$500,$A69,'LANÇAMENTOS DIÁRIOS'!$O$5:$O$500,"&lt;=116399",'LANÇAMENTOS DIÁRIOS'!$P$5:$P$500,"&gt;=116300")&gt;0,"X","")</f>
      </c>
      <c r="AY69" s="56" t="str">
        <f>IF(COUNTIFS('LANÇAMENTOS DIÁRIOS'!$G$5:$G$500,"F",'LANÇAMENTOS DIÁRIOS'!$C$5:$C$500,$A69,'LANÇAMENTOS DIÁRIOS'!$O$5:$O$500,"&lt;=116499",'LANÇAMENTOS DIÁRIOS'!$P$5:$P$500,"&gt;=116400")&gt;0,"X","")</f>
      </c>
      <c r="AZ69" s="56" t="str">
        <f>IF(COUNTIFS('LANÇAMENTOS DIÁRIOS'!$G$5:$G$500,"F",'LANÇAMENTOS DIÁRIOS'!$C$5:$C$500,$A69,'LANÇAMENTOS DIÁRIOS'!$O$5:$O$500,"&lt;=116599",'LANÇAMENTOS DIÁRIOS'!$P$5:$P$500,"&gt;=116500")&gt;0,"X","")</f>
      </c>
      <c r="BA69" s="56" t="str">
        <f>IF(COUNTIFS('LANÇAMENTOS DIÁRIOS'!$G$5:$G$500,"F",'LANÇAMENTOS DIÁRIOS'!$C$5:$C$500,$A69,'LANÇAMENTOS DIÁRIOS'!$O$5:$O$500,"&lt;=116699",'LANÇAMENTOS DIÁRIOS'!$P$5:$P$500,"&gt;=116600")&gt;0,"X","")</f>
      </c>
      <c r="BB69" s="56" t="str">
        <f>IF(COUNTIFS('LANÇAMENTOS DIÁRIOS'!$G$5:$G$500,"F",'LANÇAMENTOS DIÁRIOS'!$C$5:$C$500,$A69,'LANÇAMENTOS DIÁRIOS'!$O$5:$O$500,"&lt;=116799",'LANÇAMENTOS DIÁRIOS'!$P$5:$P$500,"&gt;=116700")&gt;0,"X","")</f>
      </c>
      <c r="BC69" s="56" t="str">
        <f>IF(COUNTIFS('LANÇAMENTOS DIÁRIOS'!$G$5:$G$500,"F",'LANÇAMENTOS DIÁRIOS'!$C$5:$C$500,$A69,'LANÇAMENTOS DIÁRIOS'!$O$5:$O$500,"&lt;=116899",'LANÇAMENTOS DIÁRIOS'!$P$5:$P$500,"&gt;=116800")&gt;0,"X","")</f>
      </c>
      <c r="BD69" s="56" t="str">
        <f>IF(COUNTIFS('LANÇAMENTOS DIÁRIOS'!$G$5:$G$500,"F",'LANÇAMENTOS DIÁRIOS'!$C$5:$C$500,$A69,'LANÇAMENTOS DIÁRIOS'!$O$5:$O$500,"&lt;=116999",'LANÇAMENTOS DIÁRIOS'!$P$5:$P$500,"&gt;=116900")&gt;0,"X","")</f>
      </c>
      <c r="BE69" s="56" t="str">
        <f>IF(COUNTIFS('LANÇAMENTOS DIÁRIOS'!$G$5:$G$500,"F",'LANÇAMENTOS DIÁRIOS'!$C$5:$C$500,$A69,'LANÇAMENTOS DIÁRIOS'!$O$5:$O$500,"&lt;=117099",'LANÇAMENTOS DIÁRIOS'!$P$5:$P$500,"&gt;=117000")&gt;0,"X","")</f>
      </c>
      <c r="BF69" s="56" t="str">
        <f>IF(COUNTIFS('LANÇAMENTOS DIÁRIOS'!$G$5:$G$500,"F",'LANÇAMENTOS DIÁRIOS'!$C$5:$C$500,$A69,'LANÇAMENTOS DIÁRIOS'!$O$5:$O$500,"&lt;=117199",'LANÇAMENTOS DIÁRIOS'!$P$5:$P$500,"&gt;=117100")&gt;0,"X","")</f>
      </c>
      <c r="BG69" s="56" t="str">
        <f>IF(COUNTIFS('LANÇAMENTOS DIÁRIOS'!$G$5:$G$500,"F",'LANÇAMENTOS DIÁRIOS'!$C$5:$C$500,$A69,'LANÇAMENTOS DIÁRIOS'!$O$5:$O$500,"&lt;=117219",'LANÇAMENTOS DIÁRIOS'!$P$5:$P$500,"&gt;=117200")&gt;0,"X","")</f>
      </c>
      <c r="BH69" s="56" t="str">
        <f>IF(COUNTIFS('LANÇAMENTOS DIÁRIOS'!$G$5:$G$500,"F",'LANÇAMENTOS DIÁRIOS'!$C$5:$C$500,$A69,'LANÇAMENTOS DIÁRIOS'!$O$5:$O$500,"&lt;=117220",'LANÇAMENTOS DIÁRIOS'!$P$5:$P$500,"&gt;=117220")&gt;0,"X","")</f>
      </c>
    </row>
    <row r="70">
      <c r="A70" s="51" t="str">
        <v>Marco Superficial</v>
      </c>
      <c r="B70" s="56" t="str">
        <f>IF(COUNTIFS('LANÇAMENTOS DIÁRIOS'!$G$5:$G$500,"F",'LANÇAMENTOS DIÁRIOS'!$C$5:$C$500,$A70,'LANÇAMENTOS DIÁRIOS'!$O$5:$O$500,"&lt;=111599",'LANÇAMENTOS DIÁRIOS'!$P$5:$P$500,"&gt;=111500")&gt;0,"X","")</f>
      </c>
      <c r="C70" s="56" t="str">
        <f>IF(COUNTIFS('LANÇAMENTOS DIÁRIOS'!$G$5:$G$500,"F",'LANÇAMENTOS DIÁRIOS'!$C$5:$C$500,$A70,'LANÇAMENTOS DIÁRIOS'!$O$5:$O$500,"&lt;=111699",'LANÇAMENTOS DIÁRIOS'!$P$5:$P$500,"&gt;=111600")&gt;0,"X","")</f>
      </c>
      <c r="D70" s="56" t="str">
        <f>IF(COUNTIFS('LANÇAMENTOS DIÁRIOS'!$G$5:$G$500,"F",'LANÇAMENTOS DIÁRIOS'!$C$5:$C$500,$A70,'LANÇAMENTOS DIÁRIOS'!$O$5:$O$500,"&lt;=111799",'LANÇAMENTOS DIÁRIOS'!$P$5:$P$500,"&gt;=111700")&gt;0,"X","")</f>
      </c>
      <c r="E70" s="56" t="str">
        <f>IF(COUNTIFS('LANÇAMENTOS DIÁRIOS'!$G$5:$G$500,"F",'LANÇAMENTOS DIÁRIOS'!$C$5:$C$500,$A70,'LANÇAMENTOS DIÁRIOS'!$O$5:$O$500,"&lt;=111899",'LANÇAMENTOS DIÁRIOS'!$P$5:$P$500,"&gt;=111800")&gt;0,"X","")</f>
      </c>
      <c r="F70" s="56" t="str">
        <f>IF(COUNTIFS('LANÇAMENTOS DIÁRIOS'!$G$5:$G$500,"F",'LANÇAMENTOS DIÁRIOS'!$C$5:$C$500,$A70,'LANÇAMENTOS DIÁRIOS'!$O$5:$O$500,"&lt;=111999",'LANÇAMENTOS DIÁRIOS'!$P$5:$P$500,"&gt;=111900")&gt;0,"X","")</f>
      </c>
      <c r="G70" s="56" t="str">
        <f>IF(COUNTIFS('LANÇAMENTOS DIÁRIOS'!$G$5:$G$500,"F",'LANÇAMENTOS DIÁRIOS'!$C$5:$C$500,$A70,'LANÇAMENTOS DIÁRIOS'!$O$5:$O$500,"&lt;=112099",'LANÇAMENTOS DIÁRIOS'!$P$5:$P$500,"&gt;=112000")&gt;0,"X","")</f>
      </c>
      <c r="H70" s="56" t="str">
        <f>IF(COUNTIFS('LANÇAMENTOS DIÁRIOS'!$G$5:$G$500,"F",'LANÇAMENTOS DIÁRIOS'!$C$5:$C$500,$A70,'LANÇAMENTOS DIÁRIOS'!$O$5:$O$500,"&lt;=112199",'LANÇAMENTOS DIÁRIOS'!$P$5:$P$500,"&gt;=112100")&gt;0,"X","")</f>
      </c>
      <c r="I70" s="56" t="str">
        <f>IF(COUNTIFS('LANÇAMENTOS DIÁRIOS'!$G$5:$G$500,"F",'LANÇAMENTOS DIÁRIOS'!$C$5:$C$500,$A70,'LANÇAMENTOS DIÁRIOS'!$O$5:$O$500,"&lt;=112299",'LANÇAMENTOS DIÁRIOS'!$P$5:$P$500,"&gt;=112200")&gt;0,"X","")</f>
      </c>
      <c r="J70" s="56" t="str">
        <f>IF(COUNTIFS('LANÇAMENTOS DIÁRIOS'!$G$5:$G$500,"F",'LANÇAMENTOS DIÁRIOS'!$C$5:$C$500,$A70,'LANÇAMENTOS DIÁRIOS'!$O$5:$O$500,"&lt;=112399",'LANÇAMENTOS DIÁRIOS'!$P$5:$P$500,"&gt;=112300")&gt;0,"X","")</f>
      </c>
      <c r="K70" s="56" t="str">
        <f>IF(COUNTIFS('LANÇAMENTOS DIÁRIOS'!$G$5:$G$500,"F",'LANÇAMENTOS DIÁRIOS'!$C$5:$C$500,$A70,'LANÇAMENTOS DIÁRIOS'!$O$5:$O$500,"&lt;=112499",'LANÇAMENTOS DIÁRIOS'!$P$5:$P$500,"&gt;=112400")&gt;0,"X","")</f>
      </c>
      <c r="L70" s="56" t="str">
        <f>IF(COUNTIFS('LANÇAMENTOS DIÁRIOS'!$G$5:$G$500,"F",'LANÇAMENTOS DIÁRIOS'!$C$5:$C$500,$A70,'LANÇAMENTOS DIÁRIOS'!$O$5:$O$500,"&lt;=112599",'LANÇAMENTOS DIÁRIOS'!$P$5:$P$500,"&gt;=112500")&gt;0,"X","")</f>
      </c>
      <c r="M70" s="56" t="str">
        <f>IF(COUNTIFS('LANÇAMENTOS DIÁRIOS'!$G$5:$G$500,"F",'LANÇAMENTOS DIÁRIOS'!$C$5:$C$500,$A70,'LANÇAMENTOS DIÁRIOS'!$O$5:$O$500,"&lt;=112699",'LANÇAMENTOS DIÁRIOS'!$P$5:$P$500,"&gt;=112600")&gt;0,"X","")</f>
      </c>
      <c r="N70" s="56" t="str">
        <f>IF(COUNTIFS('LANÇAMENTOS DIÁRIOS'!$G$5:$G$500,"F",'LANÇAMENTOS DIÁRIOS'!$C$5:$C$500,$A70,'LANÇAMENTOS DIÁRIOS'!$O$5:$O$500,"&lt;=112799",'LANÇAMENTOS DIÁRIOS'!$P$5:$P$500,"&gt;=112700")&gt;0,"X","")</f>
      </c>
      <c r="O70" s="56" t="str">
        <f>IF(COUNTIFS('LANÇAMENTOS DIÁRIOS'!$G$5:$G$500,"F",'LANÇAMENTOS DIÁRIOS'!$C$5:$C$500,$A70,'LANÇAMENTOS DIÁRIOS'!$O$5:$O$500,"&lt;=112899",'LANÇAMENTOS DIÁRIOS'!$P$5:$P$500,"&gt;=112800")&gt;0,"X","")</f>
      </c>
      <c r="P70" s="56" t="str">
        <f>IF(COUNTIFS('LANÇAMENTOS DIÁRIOS'!$G$5:$G$500,"F",'LANÇAMENTOS DIÁRIOS'!$C$5:$C$500,$A70,'LANÇAMENTOS DIÁRIOS'!$O$5:$O$500,"&lt;=112999",'LANÇAMENTOS DIÁRIOS'!$P$5:$P$500,"&gt;=112900")&gt;0,"X","")</f>
      </c>
      <c r="Q70" s="56" t="str">
        <f>IF(COUNTIFS('LANÇAMENTOS DIÁRIOS'!$G$5:$G$500,"F",'LANÇAMENTOS DIÁRIOS'!$C$5:$C$500,$A70,'LANÇAMENTOS DIÁRIOS'!$O$5:$O$500,"&lt;=113099",'LANÇAMENTOS DIÁRIOS'!$P$5:$P$500,"&gt;=113000")&gt;0,"X","")</f>
      </c>
      <c r="R70" s="56" t="str">
        <f>IF(COUNTIFS('LANÇAMENTOS DIÁRIOS'!$G$5:$G$500,"F",'LANÇAMENTOS DIÁRIOS'!$C$5:$C$500,$A70,'LANÇAMENTOS DIÁRIOS'!$O$5:$O$500,"&lt;=113199",'LANÇAMENTOS DIÁRIOS'!$P$5:$P$500,"&gt;=113100")&gt;0,"X","")</f>
      </c>
      <c r="S70" s="56" t="str">
        <f>IF(COUNTIFS('LANÇAMENTOS DIÁRIOS'!$G$5:$G$500,"F",'LANÇAMENTOS DIÁRIOS'!$C$5:$C$500,$A70,'LANÇAMENTOS DIÁRIOS'!$O$5:$O$500,"&lt;=113299",'LANÇAMENTOS DIÁRIOS'!$P$5:$P$500,"&gt;=113200")&gt;0,"X","")</f>
      </c>
      <c r="T70" s="56" t="str">
        <f>IF(COUNTIFS('LANÇAMENTOS DIÁRIOS'!$G$5:$G$500,"F",'LANÇAMENTOS DIÁRIOS'!$C$5:$C$500,$A70,'LANÇAMENTOS DIÁRIOS'!$O$5:$O$500,"&lt;=113399",'LANÇAMENTOS DIÁRIOS'!$P$5:$P$500,"&gt;=113300")&gt;0,"X","")</f>
      </c>
      <c r="U70" s="56" t="str">
        <f>IF(COUNTIFS('LANÇAMENTOS DIÁRIOS'!$G$5:$G$500,"F",'LANÇAMENTOS DIÁRIOS'!$C$5:$C$500,$A70,'LANÇAMENTOS DIÁRIOS'!$O$5:$O$500,"&lt;=113499",'LANÇAMENTOS DIÁRIOS'!$P$5:$P$500,"&gt;=113400")&gt;0,"X","")</f>
      </c>
      <c r="V70" s="56" t="str">
        <f>IF(COUNTIFS('LANÇAMENTOS DIÁRIOS'!$G$5:$G$500,"F",'LANÇAMENTOS DIÁRIOS'!$C$5:$C$500,$A70,'LANÇAMENTOS DIÁRIOS'!$O$5:$O$500,"&lt;=113599",'LANÇAMENTOS DIÁRIOS'!$P$5:$P$500,"&gt;=113500")&gt;0,"X","")</f>
      </c>
      <c r="W70" s="56" t="str">
        <f>IF(COUNTIFS('LANÇAMENTOS DIÁRIOS'!$G$5:$G$500,"F",'LANÇAMENTOS DIÁRIOS'!$C$5:$C$500,$A70,'LANÇAMENTOS DIÁRIOS'!$O$5:$O$500,"&lt;=113699",'LANÇAMENTOS DIÁRIOS'!$P$5:$P$500,"&gt;=113600")&gt;0,"X","")</f>
      </c>
      <c r="X70" s="56" t="str">
        <f>IF(COUNTIFS('LANÇAMENTOS DIÁRIOS'!$G$5:$G$500,"F",'LANÇAMENTOS DIÁRIOS'!$C$5:$C$500,$A70,'LANÇAMENTOS DIÁRIOS'!$O$5:$O$500,"&lt;=113799",'LANÇAMENTOS DIÁRIOS'!$P$5:$P$500,"&gt;=113700")&gt;0,"X","")</f>
      </c>
      <c r="Y70" s="56" t="str">
        <f>IF(COUNTIFS('LANÇAMENTOS DIÁRIOS'!$G$5:$G$500,"F",'LANÇAMENTOS DIÁRIOS'!$C$5:$C$500,$A70,'LANÇAMENTOS DIÁRIOS'!$O$5:$O$500,"&lt;=113899",'LANÇAMENTOS DIÁRIOS'!$P$5:$P$500,"&gt;=113800")&gt;0,"X","")</f>
      </c>
      <c r="Z70" s="56" t="str">
        <f>IF(COUNTIFS('LANÇAMENTOS DIÁRIOS'!$G$5:$G$500,"F",'LANÇAMENTOS DIÁRIOS'!$C$5:$C$500,$A70,'LANÇAMENTOS DIÁRIOS'!$O$5:$O$500,"&lt;=113999",'LANÇAMENTOS DIÁRIOS'!$P$5:$P$500,"&gt;=113900")&gt;0,"X","")</f>
      </c>
      <c r="AA70" s="56" t="str">
        <f>IF(COUNTIFS('LANÇAMENTOS DIÁRIOS'!$G$5:$G$500,"F",'LANÇAMENTOS DIÁRIOS'!$C$5:$C$500,$A70,'LANÇAMENTOS DIÁRIOS'!$O$5:$O$500,"&lt;=114099",'LANÇAMENTOS DIÁRIOS'!$P$5:$P$500,"&gt;=114000")&gt;0,"X","")</f>
      </c>
      <c r="AB70" s="56" t="str">
        <f>IF(COUNTIFS('LANÇAMENTOS DIÁRIOS'!$G$5:$G$500,"F",'LANÇAMENTOS DIÁRIOS'!$C$5:$C$500,$A70,'LANÇAMENTOS DIÁRIOS'!$O$5:$O$500,"&lt;=114199",'LANÇAMENTOS DIÁRIOS'!$P$5:$P$500,"&gt;=114100")&gt;0,"X","")</f>
      </c>
      <c r="AC70" s="56" t="str">
        <f>IF(COUNTIFS('LANÇAMENTOS DIÁRIOS'!$G$5:$G$500,"F",'LANÇAMENTOS DIÁRIOS'!$C$5:$C$500,$A70,'LANÇAMENTOS DIÁRIOS'!$O$5:$O$500,"&lt;=114299",'LANÇAMENTOS DIÁRIOS'!$P$5:$P$500,"&gt;=114200")&gt;0,"X","")</f>
      </c>
      <c r="AD70" s="56" t="str">
        <f>IF(COUNTIFS('LANÇAMENTOS DIÁRIOS'!$G$5:$G$500,"F",'LANÇAMENTOS DIÁRIOS'!$C$5:$C$500,$A70,'LANÇAMENTOS DIÁRIOS'!$O$5:$O$500,"&lt;=114399",'LANÇAMENTOS DIÁRIOS'!$P$5:$P$500,"&gt;=114300")&gt;0,"X","")</f>
      </c>
      <c r="AE70" s="56" t="str">
        <f>IF(COUNTIFS('LANÇAMENTOS DIÁRIOS'!$G$5:$G$500,"F",'LANÇAMENTOS DIÁRIOS'!$C$5:$C$500,$A70,'LANÇAMENTOS DIÁRIOS'!$O$5:$O$500,"&lt;=114499",'LANÇAMENTOS DIÁRIOS'!$P$5:$P$500,"&gt;=114400")&gt;0,"X","")</f>
      </c>
      <c r="AF70" s="56" t="str">
        <f>IF(COUNTIFS('LANÇAMENTOS DIÁRIOS'!$G$5:$G$500,"F",'LANÇAMENTOS DIÁRIOS'!$C$5:$C$500,$A70,'LANÇAMENTOS DIÁRIOS'!$O$5:$O$500,"&lt;=114599",'LANÇAMENTOS DIÁRIOS'!$P$5:$P$500,"&gt;=114500")&gt;0,"X","")</f>
      </c>
      <c r="AG70" s="56" t="str">
        <f>IF(COUNTIFS('LANÇAMENTOS DIÁRIOS'!$G$5:$G$500,"F",'LANÇAMENTOS DIÁRIOS'!$C$5:$C$500,$A70,'LANÇAMENTOS DIÁRIOS'!$O$5:$O$500,"&lt;=114699",'LANÇAMENTOS DIÁRIOS'!$P$5:$P$500,"&gt;=114600")&gt;0,"X","")</f>
      </c>
      <c r="AH70" s="56" t="str">
        <f>IF(COUNTIFS('LANÇAMENTOS DIÁRIOS'!$G$5:$G$500,"F",'LANÇAMENTOS DIÁRIOS'!$C$5:$C$500,$A70,'LANÇAMENTOS DIÁRIOS'!$O$5:$O$500,"&lt;=114799",'LANÇAMENTOS DIÁRIOS'!$P$5:$P$500,"&gt;=114700")&gt;0,"X","")</f>
      </c>
      <c r="AI70" s="56" t="str">
        <f>IF(COUNTIFS('LANÇAMENTOS DIÁRIOS'!$G$5:$G$500,"F",'LANÇAMENTOS DIÁRIOS'!$C$5:$C$500,$A70,'LANÇAMENTOS DIÁRIOS'!$O$5:$O$500,"&lt;=114899",'LANÇAMENTOS DIÁRIOS'!$P$5:$P$500,"&gt;=114800")&gt;0,"X","")</f>
      </c>
      <c r="AJ70" s="56" t="str">
        <f>IF(COUNTIFS('LANÇAMENTOS DIÁRIOS'!$G$5:$G$500,"F",'LANÇAMENTOS DIÁRIOS'!$C$5:$C$500,$A70,'LANÇAMENTOS DIÁRIOS'!$O$5:$O$500,"&lt;=114999",'LANÇAMENTOS DIÁRIOS'!$P$5:$P$500,"&gt;=114900")&gt;0,"X","")</f>
      </c>
      <c r="AK70" s="56" t="str">
        <f>IF(COUNTIFS('LANÇAMENTOS DIÁRIOS'!$G$5:$G$500,"F",'LANÇAMENTOS DIÁRIOS'!$C$5:$C$500,$A70,'LANÇAMENTOS DIÁRIOS'!$O$5:$O$500,"&lt;=115099",'LANÇAMENTOS DIÁRIOS'!$P$5:$P$500,"&gt;=115000")&gt;0,"X","")</f>
      </c>
      <c r="AL70" s="56" t="str">
        <f>IF(COUNTIFS('LANÇAMENTOS DIÁRIOS'!$G$5:$G$500,"F",'LANÇAMENTOS DIÁRIOS'!$C$5:$C$500,$A70,'LANÇAMENTOS DIÁRIOS'!$O$5:$O$500,"&lt;=115199",'LANÇAMENTOS DIÁRIOS'!$P$5:$P$500,"&gt;=115100")&gt;0,"X","")</f>
      </c>
      <c r="AM70" s="56" t="str">
        <f>IF(COUNTIFS('LANÇAMENTOS DIÁRIOS'!$G$5:$G$500,"F",'LANÇAMENTOS DIÁRIOS'!$C$5:$C$500,$A70,'LANÇAMENTOS DIÁRIOS'!$O$5:$O$500,"&lt;=115299",'LANÇAMENTOS DIÁRIOS'!$P$5:$P$500,"&gt;=115200")&gt;0,"X","")</f>
      </c>
      <c r="AN70" s="56" t="str">
        <f>IF(COUNTIFS('LANÇAMENTOS DIÁRIOS'!$G$5:$G$500,"F",'LANÇAMENTOS DIÁRIOS'!$C$5:$C$500,$A70,'LANÇAMENTOS DIÁRIOS'!$O$5:$O$500,"&lt;=115399",'LANÇAMENTOS DIÁRIOS'!$P$5:$P$500,"&gt;=115300")&gt;0,"X","")</f>
      </c>
      <c r="AO70" s="56" t="str">
        <f>IF(COUNTIFS('LANÇAMENTOS DIÁRIOS'!$G$5:$G$500,"F",'LANÇAMENTOS DIÁRIOS'!$C$5:$C$500,$A70,'LANÇAMENTOS DIÁRIOS'!$O$5:$O$500,"&lt;=115499",'LANÇAMENTOS DIÁRIOS'!$P$5:$P$500,"&gt;=115400")&gt;0,"X","")</f>
      </c>
      <c r="AP70" s="56" t="str">
        <f>IF(COUNTIFS('LANÇAMENTOS DIÁRIOS'!$G$5:$G$500,"F",'LANÇAMENTOS DIÁRIOS'!$C$5:$C$500,$A70,'LANÇAMENTOS DIÁRIOS'!$O$5:$O$500,"&lt;=115599",'LANÇAMENTOS DIÁRIOS'!$P$5:$P$500,"&gt;=115500")&gt;0,"X","")</f>
      </c>
      <c r="AQ70" s="56" t="str">
        <f>IF(COUNTIFS('LANÇAMENTOS DIÁRIOS'!$G$5:$G$500,"F",'LANÇAMENTOS DIÁRIOS'!$C$5:$C$500,$A70,'LANÇAMENTOS DIÁRIOS'!$O$5:$O$500,"&lt;=115699",'LANÇAMENTOS DIÁRIOS'!$P$5:$P$500,"&gt;=115600")&gt;0,"X","")</f>
      </c>
      <c r="AR70" s="56" t="str">
        <f>IF(COUNTIFS('LANÇAMENTOS DIÁRIOS'!$G$5:$G$500,"F",'LANÇAMENTOS DIÁRIOS'!$C$5:$C$500,$A70,'LANÇAMENTOS DIÁRIOS'!$O$5:$O$500,"&lt;=115799",'LANÇAMENTOS DIÁRIOS'!$P$5:$P$500,"&gt;=115700")&gt;0,"X","")</f>
      </c>
      <c r="AS70" s="56" t="str">
        <f>IF(COUNTIFS('LANÇAMENTOS DIÁRIOS'!$G$5:$G$500,"F",'LANÇAMENTOS DIÁRIOS'!$C$5:$C$500,$A70,'LANÇAMENTOS DIÁRIOS'!$O$5:$O$500,"&lt;=115899",'LANÇAMENTOS DIÁRIOS'!$P$5:$P$500,"&gt;=115800")&gt;0,"X","")</f>
      </c>
      <c r="AT70" s="56" t="str">
        <f>IF(COUNTIFS('LANÇAMENTOS DIÁRIOS'!$G$5:$G$500,"F",'LANÇAMENTOS DIÁRIOS'!$C$5:$C$500,$A70,'LANÇAMENTOS DIÁRIOS'!$O$5:$O$500,"&lt;=115999",'LANÇAMENTOS DIÁRIOS'!$P$5:$P$500,"&gt;=115900")&gt;0,"X","")</f>
      </c>
      <c r="AU70" s="56" t="str">
        <f>IF(COUNTIFS('LANÇAMENTOS DIÁRIOS'!$G$5:$G$500,"F",'LANÇAMENTOS DIÁRIOS'!$C$5:$C$500,$A70,'LANÇAMENTOS DIÁRIOS'!$O$5:$O$500,"&lt;=116099",'LANÇAMENTOS DIÁRIOS'!$P$5:$P$500,"&gt;=116000")&gt;0,"X","")</f>
      </c>
      <c r="AV70" s="56" t="str">
        <f>IF(COUNTIFS('LANÇAMENTOS DIÁRIOS'!$G$5:$G$500,"F",'LANÇAMENTOS DIÁRIOS'!$C$5:$C$500,$A70,'LANÇAMENTOS DIÁRIOS'!$O$5:$O$500,"&lt;=116199",'LANÇAMENTOS DIÁRIOS'!$P$5:$P$500,"&gt;=116100")&gt;0,"X","")</f>
      </c>
      <c r="AW70" s="56" t="str">
        <f>IF(COUNTIFS('LANÇAMENTOS DIÁRIOS'!$G$5:$G$500,"F",'LANÇAMENTOS DIÁRIOS'!$C$5:$C$500,$A70,'LANÇAMENTOS DIÁRIOS'!$O$5:$O$500,"&lt;=116299",'LANÇAMENTOS DIÁRIOS'!$P$5:$P$500,"&gt;=116200")&gt;0,"X","")</f>
      </c>
      <c r="AX70" s="56" t="str">
        <f>IF(COUNTIFS('LANÇAMENTOS DIÁRIOS'!$G$5:$G$500,"F",'LANÇAMENTOS DIÁRIOS'!$C$5:$C$500,$A70,'LANÇAMENTOS DIÁRIOS'!$O$5:$O$500,"&lt;=116399",'LANÇAMENTOS DIÁRIOS'!$P$5:$P$500,"&gt;=116300")&gt;0,"X","")</f>
      </c>
      <c r="AY70" s="56" t="str">
        <f>IF(COUNTIFS('LANÇAMENTOS DIÁRIOS'!$G$5:$G$500,"F",'LANÇAMENTOS DIÁRIOS'!$C$5:$C$500,$A70,'LANÇAMENTOS DIÁRIOS'!$O$5:$O$500,"&lt;=116499",'LANÇAMENTOS DIÁRIOS'!$P$5:$P$500,"&gt;=116400")&gt;0,"X","")</f>
      </c>
      <c r="AZ70" s="56" t="str">
        <f>IF(COUNTIFS('LANÇAMENTOS DIÁRIOS'!$G$5:$G$500,"F",'LANÇAMENTOS DIÁRIOS'!$C$5:$C$500,$A70,'LANÇAMENTOS DIÁRIOS'!$O$5:$O$500,"&lt;=116599",'LANÇAMENTOS DIÁRIOS'!$P$5:$P$500,"&gt;=116500")&gt;0,"X","")</f>
      </c>
      <c r="BA70" s="56" t="str">
        <f>IF(COUNTIFS('LANÇAMENTOS DIÁRIOS'!$G$5:$G$500,"F",'LANÇAMENTOS DIÁRIOS'!$C$5:$C$500,$A70,'LANÇAMENTOS DIÁRIOS'!$O$5:$O$500,"&lt;=116699",'LANÇAMENTOS DIÁRIOS'!$P$5:$P$500,"&gt;=116600")&gt;0,"X","")</f>
      </c>
      <c r="BB70" s="56" t="str">
        <f>IF(COUNTIFS('LANÇAMENTOS DIÁRIOS'!$G$5:$G$500,"F",'LANÇAMENTOS DIÁRIOS'!$C$5:$C$500,$A70,'LANÇAMENTOS DIÁRIOS'!$O$5:$O$500,"&lt;=116799",'LANÇAMENTOS DIÁRIOS'!$P$5:$P$500,"&gt;=116700")&gt;0,"X","")</f>
      </c>
      <c r="BC70" s="56" t="str">
        <f>IF(COUNTIFS('LANÇAMENTOS DIÁRIOS'!$G$5:$G$500,"F",'LANÇAMENTOS DIÁRIOS'!$C$5:$C$500,$A70,'LANÇAMENTOS DIÁRIOS'!$O$5:$O$500,"&lt;=116899",'LANÇAMENTOS DIÁRIOS'!$P$5:$P$500,"&gt;=116800")&gt;0,"X","")</f>
      </c>
      <c r="BD70" s="56" t="str">
        <f>IF(COUNTIFS('LANÇAMENTOS DIÁRIOS'!$G$5:$G$500,"F",'LANÇAMENTOS DIÁRIOS'!$C$5:$C$500,$A70,'LANÇAMENTOS DIÁRIOS'!$O$5:$O$500,"&lt;=116999",'LANÇAMENTOS DIÁRIOS'!$P$5:$P$500,"&gt;=116900")&gt;0,"X","")</f>
      </c>
      <c r="BE70" s="56" t="str">
        <f>IF(COUNTIFS('LANÇAMENTOS DIÁRIOS'!$G$5:$G$500,"F",'LANÇAMENTOS DIÁRIOS'!$C$5:$C$500,$A70,'LANÇAMENTOS DIÁRIOS'!$O$5:$O$500,"&lt;=117099",'LANÇAMENTOS DIÁRIOS'!$P$5:$P$500,"&gt;=117000")&gt;0,"X","")</f>
      </c>
      <c r="BF70" s="56" t="str">
        <f>IF(COUNTIFS('LANÇAMENTOS DIÁRIOS'!$G$5:$G$500,"F",'LANÇAMENTOS DIÁRIOS'!$C$5:$C$500,$A70,'LANÇAMENTOS DIÁRIOS'!$O$5:$O$500,"&lt;=117199",'LANÇAMENTOS DIÁRIOS'!$P$5:$P$500,"&gt;=117100")&gt;0,"X","")</f>
      </c>
      <c r="BG70" s="56" t="str">
        <f>IF(COUNTIFS('LANÇAMENTOS DIÁRIOS'!$G$5:$G$500,"F",'LANÇAMENTOS DIÁRIOS'!$C$5:$C$500,$A70,'LANÇAMENTOS DIÁRIOS'!$O$5:$O$500,"&lt;=117219",'LANÇAMENTOS DIÁRIOS'!$P$5:$P$500,"&gt;=117200")&gt;0,"X","")</f>
      </c>
      <c r="BH70" s="56" t="str">
        <f>IF(COUNTIFS('LANÇAMENTOS DIÁRIOS'!$G$5:$G$500,"F",'LANÇAMENTOS DIÁRIOS'!$C$5:$C$500,$A70,'LANÇAMENTOS DIÁRIOS'!$O$5:$O$500,"&lt;=117220",'LANÇAMENTOS DIÁRIOS'!$P$5:$P$500,"&gt;=117220")&gt;0,"X","")</f>
      </c>
    </row>
    <row r="71">
      <c r="A71" s="51" t="str">
        <v>Inclinômetro</v>
      </c>
      <c r="B71" s="56" t="str">
        <f>IF(COUNTIFS('LANÇAMENTOS DIÁRIOS'!$G$5:$G$500,"F",'LANÇAMENTOS DIÁRIOS'!$C$5:$C$500,$A71,'LANÇAMENTOS DIÁRIOS'!$O$5:$O$500,"&lt;=111599",'LANÇAMENTOS DIÁRIOS'!$P$5:$P$500,"&gt;=111500")&gt;0,"X","")</f>
      </c>
      <c r="C71" s="56" t="str">
        <f>IF(COUNTIFS('LANÇAMENTOS DIÁRIOS'!$G$5:$G$500,"F",'LANÇAMENTOS DIÁRIOS'!$C$5:$C$500,$A71,'LANÇAMENTOS DIÁRIOS'!$O$5:$O$500,"&lt;=111699",'LANÇAMENTOS DIÁRIOS'!$P$5:$P$500,"&gt;=111600")&gt;0,"X","")</f>
      </c>
      <c r="D71" s="56" t="str">
        <f>IF(COUNTIFS('LANÇAMENTOS DIÁRIOS'!$G$5:$G$500,"F",'LANÇAMENTOS DIÁRIOS'!$C$5:$C$500,$A71,'LANÇAMENTOS DIÁRIOS'!$O$5:$O$500,"&lt;=111799",'LANÇAMENTOS DIÁRIOS'!$P$5:$P$500,"&gt;=111700")&gt;0,"X","")</f>
      </c>
      <c r="E71" s="56" t="str">
        <f>IF(COUNTIFS('LANÇAMENTOS DIÁRIOS'!$G$5:$G$500,"F",'LANÇAMENTOS DIÁRIOS'!$C$5:$C$500,$A71,'LANÇAMENTOS DIÁRIOS'!$O$5:$O$500,"&lt;=111899",'LANÇAMENTOS DIÁRIOS'!$P$5:$P$500,"&gt;=111800")&gt;0,"X","")</f>
      </c>
      <c r="F71" s="56" t="str">
        <f>IF(COUNTIFS('LANÇAMENTOS DIÁRIOS'!$G$5:$G$500,"F",'LANÇAMENTOS DIÁRIOS'!$C$5:$C$500,$A71,'LANÇAMENTOS DIÁRIOS'!$O$5:$O$500,"&lt;=111999",'LANÇAMENTOS DIÁRIOS'!$P$5:$P$500,"&gt;=111900")&gt;0,"X","")</f>
      </c>
      <c r="G71" s="56" t="str">
        <f>IF(COUNTIFS('LANÇAMENTOS DIÁRIOS'!$G$5:$G$500,"F",'LANÇAMENTOS DIÁRIOS'!$C$5:$C$500,$A71,'LANÇAMENTOS DIÁRIOS'!$O$5:$O$500,"&lt;=112099",'LANÇAMENTOS DIÁRIOS'!$P$5:$P$500,"&gt;=112000")&gt;0,"X","")</f>
      </c>
      <c r="H71" s="56" t="str">
        <f>IF(COUNTIFS('LANÇAMENTOS DIÁRIOS'!$G$5:$G$500,"F",'LANÇAMENTOS DIÁRIOS'!$C$5:$C$500,$A71,'LANÇAMENTOS DIÁRIOS'!$O$5:$O$500,"&lt;=112199",'LANÇAMENTOS DIÁRIOS'!$P$5:$P$500,"&gt;=112100")&gt;0,"X","")</f>
      </c>
      <c r="I71" s="56" t="str">
        <f>IF(COUNTIFS('LANÇAMENTOS DIÁRIOS'!$G$5:$G$500,"F",'LANÇAMENTOS DIÁRIOS'!$C$5:$C$500,$A71,'LANÇAMENTOS DIÁRIOS'!$O$5:$O$500,"&lt;=112299",'LANÇAMENTOS DIÁRIOS'!$P$5:$P$500,"&gt;=112200")&gt;0,"X","")</f>
      </c>
      <c r="J71" s="56" t="str">
        <f>IF(COUNTIFS('LANÇAMENTOS DIÁRIOS'!$G$5:$G$500,"F",'LANÇAMENTOS DIÁRIOS'!$C$5:$C$500,$A71,'LANÇAMENTOS DIÁRIOS'!$O$5:$O$500,"&lt;=112399",'LANÇAMENTOS DIÁRIOS'!$P$5:$P$500,"&gt;=112300")&gt;0,"X","")</f>
      </c>
      <c r="K71" s="56" t="str">
        <f>IF(COUNTIFS('LANÇAMENTOS DIÁRIOS'!$G$5:$G$500,"F",'LANÇAMENTOS DIÁRIOS'!$C$5:$C$500,$A71,'LANÇAMENTOS DIÁRIOS'!$O$5:$O$500,"&lt;=112499",'LANÇAMENTOS DIÁRIOS'!$P$5:$P$500,"&gt;=112400")&gt;0,"X","")</f>
      </c>
      <c r="L71" s="56" t="str">
        <f>IF(COUNTIFS('LANÇAMENTOS DIÁRIOS'!$G$5:$G$500,"F",'LANÇAMENTOS DIÁRIOS'!$C$5:$C$500,$A71,'LANÇAMENTOS DIÁRIOS'!$O$5:$O$500,"&lt;=112599",'LANÇAMENTOS DIÁRIOS'!$P$5:$P$500,"&gt;=112500")&gt;0,"X","")</f>
      </c>
      <c r="M71" s="56" t="str">
        <f>IF(COUNTIFS('LANÇAMENTOS DIÁRIOS'!$G$5:$G$500,"F",'LANÇAMENTOS DIÁRIOS'!$C$5:$C$500,$A71,'LANÇAMENTOS DIÁRIOS'!$O$5:$O$500,"&lt;=112699",'LANÇAMENTOS DIÁRIOS'!$P$5:$P$500,"&gt;=112600")&gt;0,"X","")</f>
      </c>
      <c r="N71" s="56" t="str">
        <f>IF(COUNTIFS('LANÇAMENTOS DIÁRIOS'!$G$5:$G$500,"F",'LANÇAMENTOS DIÁRIOS'!$C$5:$C$500,$A71,'LANÇAMENTOS DIÁRIOS'!$O$5:$O$500,"&lt;=112799",'LANÇAMENTOS DIÁRIOS'!$P$5:$P$500,"&gt;=112700")&gt;0,"X","")</f>
      </c>
      <c r="O71" s="56" t="str">
        <f>IF(COUNTIFS('LANÇAMENTOS DIÁRIOS'!$G$5:$G$500,"F",'LANÇAMENTOS DIÁRIOS'!$C$5:$C$500,$A71,'LANÇAMENTOS DIÁRIOS'!$O$5:$O$500,"&lt;=112899",'LANÇAMENTOS DIÁRIOS'!$P$5:$P$500,"&gt;=112800")&gt;0,"X","")</f>
      </c>
      <c r="P71" s="56" t="str">
        <f>IF(COUNTIFS('LANÇAMENTOS DIÁRIOS'!$G$5:$G$500,"F",'LANÇAMENTOS DIÁRIOS'!$C$5:$C$500,$A71,'LANÇAMENTOS DIÁRIOS'!$O$5:$O$500,"&lt;=112999",'LANÇAMENTOS DIÁRIOS'!$P$5:$P$500,"&gt;=112900")&gt;0,"X","")</f>
      </c>
      <c r="Q71" s="56" t="str">
        <f>IF(COUNTIFS('LANÇAMENTOS DIÁRIOS'!$G$5:$G$500,"F",'LANÇAMENTOS DIÁRIOS'!$C$5:$C$500,$A71,'LANÇAMENTOS DIÁRIOS'!$O$5:$O$500,"&lt;=113099",'LANÇAMENTOS DIÁRIOS'!$P$5:$P$500,"&gt;=113000")&gt;0,"X","")</f>
      </c>
      <c r="R71" s="56" t="str">
        <f>IF(COUNTIFS('LANÇAMENTOS DIÁRIOS'!$G$5:$G$500,"F",'LANÇAMENTOS DIÁRIOS'!$C$5:$C$500,$A71,'LANÇAMENTOS DIÁRIOS'!$O$5:$O$500,"&lt;=113199",'LANÇAMENTOS DIÁRIOS'!$P$5:$P$500,"&gt;=113100")&gt;0,"X","")</f>
      </c>
      <c r="S71" s="56" t="str">
        <f>IF(COUNTIFS('LANÇAMENTOS DIÁRIOS'!$G$5:$G$500,"F",'LANÇAMENTOS DIÁRIOS'!$C$5:$C$500,$A71,'LANÇAMENTOS DIÁRIOS'!$O$5:$O$500,"&lt;=113299",'LANÇAMENTOS DIÁRIOS'!$P$5:$P$500,"&gt;=113200")&gt;0,"X","")</f>
      </c>
      <c r="T71" s="56" t="str">
        <f>IF(COUNTIFS('LANÇAMENTOS DIÁRIOS'!$G$5:$G$500,"F",'LANÇAMENTOS DIÁRIOS'!$C$5:$C$500,$A71,'LANÇAMENTOS DIÁRIOS'!$O$5:$O$500,"&lt;=113399",'LANÇAMENTOS DIÁRIOS'!$P$5:$P$500,"&gt;=113300")&gt;0,"X","")</f>
      </c>
      <c r="U71" s="56" t="str">
        <f>IF(COUNTIFS('LANÇAMENTOS DIÁRIOS'!$G$5:$G$500,"F",'LANÇAMENTOS DIÁRIOS'!$C$5:$C$500,$A71,'LANÇAMENTOS DIÁRIOS'!$O$5:$O$500,"&lt;=113499",'LANÇAMENTOS DIÁRIOS'!$P$5:$P$500,"&gt;=113400")&gt;0,"X","")</f>
      </c>
      <c r="V71" s="56" t="str">
        <f>IF(COUNTIFS('LANÇAMENTOS DIÁRIOS'!$G$5:$G$500,"F",'LANÇAMENTOS DIÁRIOS'!$C$5:$C$500,$A71,'LANÇAMENTOS DIÁRIOS'!$O$5:$O$500,"&lt;=113599",'LANÇAMENTOS DIÁRIOS'!$P$5:$P$500,"&gt;=113500")&gt;0,"X","")</f>
      </c>
      <c r="W71" s="56" t="str">
        <f>IF(COUNTIFS('LANÇAMENTOS DIÁRIOS'!$G$5:$G$500,"F",'LANÇAMENTOS DIÁRIOS'!$C$5:$C$500,$A71,'LANÇAMENTOS DIÁRIOS'!$O$5:$O$500,"&lt;=113699",'LANÇAMENTOS DIÁRIOS'!$P$5:$P$500,"&gt;=113600")&gt;0,"X","")</f>
      </c>
      <c r="X71" s="56" t="str">
        <f>IF(COUNTIFS('LANÇAMENTOS DIÁRIOS'!$G$5:$G$500,"F",'LANÇAMENTOS DIÁRIOS'!$C$5:$C$500,$A71,'LANÇAMENTOS DIÁRIOS'!$O$5:$O$500,"&lt;=113799",'LANÇAMENTOS DIÁRIOS'!$P$5:$P$500,"&gt;=113700")&gt;0,"X","")</f>
      </c>
      <c r="Y71" s="56" t="str">
        <f>IF(COUNTIFS('LANÇAMENTOS DIÁRIOS'!$G$5:$G$500,"F",'LANÇAMENTOS DIÁRIOS'!$C$5:$C$500,$A71,'LANÇAMENTOS DIÁRIOS'!$O$5:$O$500,"&lt;=113899",'LANÇAMENTOS DIÁRIOS'!$P$5:$P$500,"&gt;=113800")&gt;0,"X","")</f>
      </c>
      <c r="Z71" s="56" t="str">
        <f>IF(COUNTIFS('LANÇAMENTOS DIÁRIOS'!$G$5:$G$500,"F",'LANÇAMENTOS DIÁRIOS'!$C$5:$C$500,$A71,'LANÇAMENTOS DIÁRIOS'!$O$5:$O$500,"&lt;=113999",'LANÇAMENTOS DIÁRIOS'!$P$5:$P$500,"&gt;=113900")&gt;0,"X","")</f>
      </c>
      <c r="AA71" s="56" t="str">
        <f>IF(COUNTIFS('LANÇAMENTOS DIÁRIOS'!$G$5:$G$500,"F",'LANÇAMENTOS DIÁRIOS'!$C$5:$C$500,$A71,'LANÇAMENTOS DIÁRIOS'!$O$5:$O$500,"&lt;=114099",'LANÇAMENTOS DIÁRIOS'!$P$5:$P$500,"&gt;=114000")&gt;0,"X","")</f>
      </c>
      <c r="AB71" s="56" t="str">
        <f>IF(COUNTIFS('LANÇAMENTOS DIÁRIOS'!$G$5:$G$500,"F",'LANÇAMENTOS DIÁRIOS'!$C$5:$C$500,$A71,'LANÇAMENTOS DIÁRIOS'!$O$5:$O$500,"&lt;=114199",'LANÇAMENTOS DIÁRIOS'!$P$5:$P$500,"&gt;=114100")&gt;0,"X","")</f>
      </c>
      <c r="AC71" s="56" t="str">
        <f>IF(COUNTIFS('LANÇAMENTOS DIÁRIOS'!$G$5:$G$500,"F",'LANÇAMENTOS DIÁRIOS'!$C$5:$C$500,$A71,'LANÇAMENTOS DIÁRIOS'!$O$5:$O$500,"&lt;=114299",'LANÇAMENTOS DIÁRIOS'!$P$5:$P$500,"&gt;=114200")&gt;0,"X","")</f>
      </c>
      <c r="AD71" s="56" t="str">
        <f>IF(COUNTIFS('LANÇAMENTOS DIÁRIOS'!$G$5:$G$500,"F",'LANÇAMENTOS DIÁRIOS'!$C$5:$C$500,$A71,'LANÇAMENTOS DIÁRIOS'!$O$5:$O$500,"&lt;=114399",'LANÇAMENTOS DIÁRIOS'!$P$5:$P$500,"&gt;=114300")&gt;0,"X","")</f>
      </c>
      <c r="AE71" s="56" t="str">
        <f>IF(COUNTIFS('LANÇAMENTOS DIÁRIOS'!$G$5:$G$500,"F",'LANÇAMENTOS DIÁRIOS'!$C$5:$C$500,$A71,'LANÇAMENTOS DIÁRIOS'!$O$5:$O$500,"&lt;=114499",'LANÇAMENTOS DIÁRIOS'!$P$5:$P$500,"&gt;=114400")&gt;0,"X","")</f>
      </c>
      <c r="AF71" s="56" t="str">
        <f>IF(COUNTIFS('LANÇAMENTOS DIÁRIOS'!$G$5:$G$500,"F",'LANÇAMENTOS DIÁRIOS'!$C$5:$C$500,$A71,'LANÇAMENTOS DIÁRIOS'!$O$5:$O$500,"&lt;=114599",'LANÇAMENTOS DIÁRIOS'!$P$5:$P$500,"&gt;=114500")&gt;0,"X","")</f>
      </c>
      <c r="AG71" s="56" t="str">
        <f>IF(COUNTIFS('LANÇAMENTOS DIÁRIOS'!$G$5:$G$500,"F",'LANÇAMENTOS DIÁRIOS'!$C$5:$C$500,$A71,'LANÇAMENTOS DIÁRIOS'!$O$5:$O$500,"&lt;=114699",'LANÇAMENTOS DIÁRIOS'!$P$5:$P$500,"&gt;=114600")&gt;0,"X","")</f>
      </c>
      <c r="AH71" s="56" t="str">
        <f>IF(COUNTIFS('LANÇAMENTOS DIÁRIOS'!$G$5:$G$500,"F",'LANÇAMENTOS DIÁRIOS'!$C$5:$C$500,$A71,'LANÇAMENTOS DIÁRIOS'!$O$5:$O$500,"&lt;=114799",'LANÇAMENTOS DIÁRIOS'!$P$5:$P$500,"&gt;=114700")&gt;0,"X","")</f>
      </c>
      <c r="AI71" s="56" t="str">
        <f>IF(COUNTIFS('LANÇAMENTOS DIÁRIOS'!$G$5:$G$500,"F",'LANÇAMENTOS DIÁRIOS'!$C$5:$C$500,$A71,'LANÇAMENTOS DIÁRIOS'!$O$5:$O$500,"&lt;=114899",'LANÇAMENTOS DIÁRIOS'!$P$5:$P$500,"&gt;=114800")&gt;0,"X","")</f>
      </c>
      <c r="AJ71" s="56" t="str">
        <f>IF(COUNTIFS('LANÇAMENTOS DIÁRIOS'!$G$5:$G$500,"F",'LANÇAMENTOS DIÁRIOS'!$C$5:$C$500,$A71,'LANÇAMENTOS DIÁRIOS'!$O$5:$O$500,"&lt;=114999",'LANÇAMENTOS DIÁRIOS'!$P$5:$P$500,"&gt;=114900")&gt;0,"X","")</f>
      </c>
      <c r="AK71" s="56" t="str">
        <f>IF(COUNTIFS('LANÇAMENTOS DIÁRIOS'!$G$5:$G$500,"F",'LANÇAMENTOS DIÁRIOS'!$C$5:$C$500,$A71,'LANÇAMENTOS DIÁRIOS'!$O$5:$O$500,"&lt;=115099",'LANÇAMENTOS DIÁRIOS'!$P$5:$P$500,"&gt;=115000")&gt;0,"X","")</f>
      </c>
      <c r="AL71" s="56" t="str">
        <f>IF(COUNTIFS('LANÇAMENTOS DIÁRIOS'!$G$5:$G$500,"F",'LANÇAMENTOS DIÁRIOS'!$C$5:$C$500,$A71,'LANÇAMENTOS DIÁRIOS'!$O$5:$O$500,"&lt;=115199",'LANÇAMENTOS DIÁRIOS'!$P$5:$P$500,"&gt;=115100")&gt;0,"X","")</f>
      </c>
      <c r="AM71" s="56" t="str">
        <f>IF(COUNTIFS('LANÇAMENTOS DIÁRIOS'!$G$5:$G$500,"F",'LANÇAMENTOS DIÁRIOS'!$C$5:$C$500,$A71,'LANÇAMENTOS DIÁRIOS'!$O$5:$O$500,"&lt;=115299",'LANÇAMENTOS DIÁRIOS'!$P$5:$P$500,"&gt;=115200")&gt;0,"X","")</f>
      </c>
      <c r="AN71" s="56" t="str">
        <f>IF(COUNTIFS('LANÇAMENTOS DIÁRIOS'!$G$5:$G$500,"F",'LANÇAMENTOS DIÁRIOS'!$C$5:$C$500,$A71,'LANÇAMENTOS DIÁRIOS'!$O$5:$O$500,"&lt;=115399",'LANÇAMENTOS DIÁRIOS'!$P$5:$P$500,"&gt;=115300")&gt;0,"X","")</f>
      </c>
      <c r="AO71" s="56" t="str">
        <f>IF(COUNTIFS('LANÇAMENTOS DIÁRIOS'!$G$5:$G$500,"F",'LANÇAMENTOS DIÁRIOS'!$C$5:$C$500,$A71,'LANÇAMENTOS DIÁRIOS'!$O$5:$O$500,"&lt;=115499",'LANÇAMENTOS DIÁRIOS'!$P$5:$P$500,"&gt;=115400")&gt;0,"X","")</f>
      </c>
      <c r="AP71" s="56" t="str">
        <f>IF(COUNTIFS('LANÇAMENTOS DIÁRIOS'!$G$5:$G$500,"F",'LANÇAMENTOS DIÁRIOS'!$C$5:$C$500,$A71,'LANÇAMENTOS DIÁRIOS'!$O$5:$O$500,"&lt;=115599",'LANÇAMENTOS DIÁRIOS'!$P$5:$P$500,"&gt;=115500")&gt;0,"X","")</f>
      </c>
      <c r="AQ71" s="56" t="str">
        <f>IF(COUNTIFS('LANÇAMENTOS DIÁRIOS'!$G$5:$G$500,"F",'LANÇAMENTOS DIÁRIOS'!$C$5:$C$500,$A71,'LANÇAMENTOS DIÁRIOS'!$O$5:$O$500,"&lt;=115699",'LANÇAMENTOS DIÁRIOS'!$P$5:$P$500,"&gt;=115600")&gt;0,"X","")</f>
      </c>
      <c r="AR71" s="56" t="str">
        <f>IF(COUNTIFS('LANÇAMENTOS DIÁRIOS'!$G$5:$G$500,"F",'LANÇAMENTOS DIÁRIOS'!$C$5:$C$500,$A71,'LANÇAMENTOS DIÁRIOS'!$O$5:$O$500,"&lt;=115799",'LANÇAMENTOS DIÁRIOS'!$P$5:$P$500,"&gt;=115700")&gt;0,"X","")</f>
      </c>
      <c r="AS71" s="56" t="str">
        <f>IF(COUNTIFS('LANÇAMENTOS DIÁRIOS'!$G$5:$G$500,"F",'LANÇAMENTOS DIÁRIOS'!$C$5:$C$500,$A71,'LANÇAMENTOS DIÁRIOS'!$O$5:$O$500,"&lt;=115899",'LANÇAMENTOS DIÁRIOS'!$P$5:$P$500,"&gt;=115800")&gt;0,"X","")</f>
      </c>
      <c r="AT71" s="56" t="str">
        <f>IF(COUNTIFS('LANÇAMENTOS DIÁRIOS'!$G$5:$G$500,"F",'LANÇAMENTOS DIÁRIOS'!$C$5:$C$500,$A71,'LANÇAMENTOS DIÁRIOS'!$O$5:$O$500,"&lt;=115999",'LANÇAMENTOS DIÁRIOS'!$P$5:$P$500,"&gt;=115900")&gt;0,"X","")</f>
      </c>
      <c r="AU71" s="56" t="str">
        <f>IF(COUNTIFS('LANÇAMENTOS DIÁRIOS'!$G$5:$G$500,"F",'LANÇAMENTOS DIÁRIOS'!$C$5:$C$500,$A71,'LANÇAMENTOS DIÁRIOS'!$O$5:$O$500,"&lt;=116099",'LANÇAMENTOS DIÁRIOS'!$P$5:$P$500,"&gt;=116000")&gt;0,"X","")</f>
      </c>
      <c r="AV71" s="56" t="str">
        <f>IF(COUNTIFS('LANÇAMENTOS DIÁRIOS'!$G$5:$G$500,"F",'LANÇAMENTOS DIÁRIOS'!$C$5:$C$500,$A71,'LANÇAMENTOS DIÁRIOS'!$O$5:$O$500,"&lt;=116199",'LANÇAMENTOS DIÁRIOS'!$P$5:$P$500,"&gt;=116100")&gt;0,"X","")</f>
      </c>
      <c r="AW71" s="56" t="str">
        <f>IF(COUNTIFS('LANÇAMENTOS DIÁRIOS'!$G$5:$G$500,"F",'LANÇAMENTOS DIÁRIOS'!$C$5:$C$500,$A71,'LANÇAMENTOS DIÁRIOS'!$O$5:$O$500,"&lt;=116299",'LANÇAMENTOS DIÁRIOS'!$P$5:$P$500,"&gt;=116200")&gt;0,"X","")</f>
      </c>
      <c r="AX71" s="56" t="str">
        <f>IF(COUNTIFS('LANÇAMENTOS DIÁRIOS'!$G$5:$G$500,"F",'LANÇAMENTOS DIÁRIOS'!$C$5:$C$500,$A71,'LANÇAMENTOS DIÁRIOS'!$O$5:$O$500,"&lt;=116399",'LANÇAMENTOS DIÁRIOS'!$P$5:$P$500,"&gt;=116300")&gt;0,"X","")</f>
      </c>
      <c r="AY71" s="56" t="str">
        <f>IF(COUNTIFS('LANÇAMENTOS DIÁRIOS'!$G$5:$G$500,"F",'LANÇAMENTOS DIÁRIOS'!$C$5:$C$500,$A71,'LANÇAMENTOS DIÁRIOS'!$O$5:$O$500,"&lt;=116499",'LANÇAMENTOS DIÁRIOS'!$P$5:$P$500,"&gt;=116400")&gt;0,"X","")</f>
      </c>
      <c r="AZ71" s="56" t="str">
        <f>IF(COUNTIFS('LANÇAMENTOS DIÁRIOS'!$G$5:$G$500,"F",'LANÇAMENTOS DIÁRIOS'!$C$5:$C$500,$A71,'LANÇAMENTOS DIÁRIOS'!$O$5:$O$500,"&lt;=116599",'LANÇAMENTOS DIÁRIOS'!$P$5:$P$500,"&gt;=116500")&gt;0,"X","")</f>
      </c>
      <c r="BA71" s="56" t="str">
        <f>IF(COUNTIFS('LANÇAMENTOS DIÁRIOS'!$G$5:$G$500,"F",'LANÇAMENTOS DIÁRIOS'!$C$5:$C$500,$A71,'LANÇAMENTOS DIÁRIOS'!$O$5:$O$500,"&lt;=116699",'LANÇAMENTOS DIÁRIOS'!$P$5:$P$500,"&gt;=116600")&gt;0,"X","")</f>
      </c>
      <c r="BB71" s="56" t="str">
        <f>IF(COUNTIFS('LANÇAMENTOS DIÁRIOS'!$G$5:$G$500,"F",'LANÇAMENTOS DIÁRIOS'!$C$5:$C$500,$A71,'LANÇAMENTOS DIÁRIOS'!$O$5:$O$500,"&lt;=116799",'LANÇAMENTOS DIÁRIOS'!$P$5:$P$500,"&gt;=116700")&gt;0,"X","")</f>
      </c>
      <c r="BC71" s="56" t="str">
        <f>IF(COUNTIFS('LANÇAMENTOS DIÁRIOS'!$G$5:$G$500,"F",'LANÇAMENTOS DIÁRIOS'!$C$5:$C$500,$A71,'LANÇAMENTOS DIÁRIOS'!$O$5:$O$500,"&lt;=116899",'LANÇAMENTOS DIÁRIOS'!$P$5:$P$500,"&gt;=116800")&gt;0,"X","")</f>
      </c>
      <c r="BD71" s="56" t="str">
        <f>IF(COUNTIFS('LANÇAMENTOS DIÁRIOS'!$G$5:$G$500,"F",'LANÇAMENTOS DIÁRIOS'!$C$5:$C$500,$A71,'LANÇAMENTOS DIÁRIOS'!$O$5:$O$500,"&lt;=116999",'LANÇAMENTOS DIÁRIOS'!$P$5:$P$500,"&gt;=116900")&gt;0,"X","")</f>
      </c>
      <c r="BE71" s="56" t="str">
        <f>IF(COUNTIFS('LANÇAMENTOS DIÁRIOS'!$G$5:$G$500,"F",'LANÇAMENTOS DIÁRIOS'!$C$5:$C$500,$A71,'LANÇAMENTOS DIÁRIOS'!$O$5:$O$500,"&lt;=117099",'LANÇAMENTOS DIÁRIOS'!$P$5:$P$500,"&gt;=117000")&gt;0,"X","")</f>
      </c>
      <c r="BF71" s="56" t="str">
        <f>IF(COUNTIFS('LANÇAMENTOS DIÁRIOS'!$G$5:$G$500,"F",'LANÇAMENTOS DIÁRIOS'!$C$5:$C$500,$A71,'LANÇAMENTOS DIÁRIOS'!$O$5:$O$500,"&lt;=117199",'LANÇAMENTOS DIÁRIOS'!$P$5:$P$500,"&gt;=117100")&gt;0,"X","")</f>
      </c>
      <c r="BG71" s="56" t="str">
        <f>IF(COUNTIFS('LANÇAMENTOS DIÁRIOS'!$G$5:$G$500,"F",'LANÇAMENTOS DIÁRIOS'!$C$5:$C$500,$A71,'LANÇAMENTOS DIÁRIOS'!$O$5:$O$500,"&lt;=117219",'LANÇAMENTOS DIÁRIOS'!$P$5:$P$500,"&gt;=117200")&gt;0,"X","")</f>
      </c>
      <c r="BH71" s="56" t="str">
        <f>IF(COUNTIFS('LANÇAMENTOS DIÁRIOS'!$G$5:$G$500,"F",'LANÇAMENTOS DIÁRIOS'!$C$5:$C$500,$A71,'LANÇAMENTOS DIÁRIOS'!$O$5:$O$500,"&lt;=117220",'LANÇAMENTOS DIÁRIOS'!$P$5:$P$500,"&gt;=117220")&gt;0,"X","")</f>
      </c>
    </row>
    <row r="72">
      <c r="A72" s="51" t="str">
        <v>Monitoramento de Instrumentação</v>
      </c>
      <c r="B72" s="56" t="str">
        <f>IF(COUNTIFS('LANÇAMENTOS DIÁRIOS'!$G$5:$G$500,"F",'LANÇAMENTOS DIÁRIOS'!$C$5:$C$500,$A72,'LANÇAMENTOS DIÁRIOS'!$O$5:$O$500,"&lt;=111599",'LANÇAMENTOS DIÁRIOS'!$P$5:$P$500,"&gt;=111500")&gt;0,"X","")</f>
      </c>
      <c r="C72" s="56" t="str">
        <f>IF(COUNTIFS('LANÇAMENTOS DIÁRIOS'!$G$5:$G$500,"F",'LANÇAMENTOS DIÁRIOS'!$C$5:$C$500,$A72,'LANÇAMENTOS DIÁRIOS'!$O$5:$O$500,"&lt;=111699",'LANÇAMENTOS DIÁRIOS'!$P$5:$P$500,"&gt;=111600")&gt;0,"X","")</f>
      </c>
      <c r="D72" s="56" t="str">
        <f>IF(COUNTIFS('LANÇAMENTOS DIÁRIOS'!$G$5:$G$500,"F",'LANÇAMENTOS DIÁRIOS'!$C$5:$C$500,$A72,'LANÇAMENTOS DIÁRIOS'!$O$5:$O$500,"&lt;=111799",'LANÇAMENTOS DIÁRIOS'!$P$5:$P$500,"&gt;=111700")&gt;0,"X","")</f>
      </c>
      <c r="E72" s="56" t="str">
        <f>IF(COUNTIFS('LANÇAMENTOS DIÁRIOS'!$G$5:$G$500,"F",'LANÇAMENTOS DIÁRIOS'!$C$5:$C$500,$A72,'LANÇAMENTOS DIÁRIOS'!$O$5:$O$500,"&lt;=111899",'LANÇAMENTOS DIÁRIOS'!$P$5:$P$500,"&gt;=111800")&gt;0,"X","")</f>
      </c>
      <c r="F72" s="56" t="str">
        <f>IF(COUNTIFS('LANÇAMENTOS DIÁRIOS'!$G$5:$G$500,"F",'LANÇAMENTOS DIÁRIOS'!$C$5:$C$500,$A72,'LANÇAMENTOS DIÁRIOS'!$O$5:$O$500,"&lt;=111999",'LANÇAMENTOS DIÁRIOS'!$P$5:$P$500,"&gt;=111900")&gt;0,"X","")</f>
      </c>
      <c r="G72" s="56" t="str">
        <f>IF(COUNTIFS('LANÇAMENTOS DIÁRIOS'!$G$5:$G$500,"F",'LANÇAMENTOS DIÁRIOS'!$C$5:$C$500,$A72,'LANÇAMENTOS DIÁRIOS'!$O$5:$O$500,"&lt;=112099",'LANÇAMENTOS DIÁRIOS'!$P$5:$P$500,"&gt;=112000")&gt;0,"X","")</f>
      </c>
      <c r="H72" s="56" t="str">
        <f>IF(COUNTIFS('LANÇAMENTOS DIÁRIOS'!$G$5:$G$500,"F",'LANÇAMENTOS DIÁRIOS'!$C$5:$C$500,$A72,'LANÇAMENTOS DIÁRIOS'!$O$5:$O$500,"&lt;=112199",'LANÇAMENTOS DIÁRIOS'!$P$5:$P$500,"&gt;=112100")&gt;0,"X","")</f>
      </c>
      <c r="I72" s="56" t="str">
        <f>IF(COUNTIFS('LANÇAMENTOS DIÁRIOS'!$G$5:$G$500,"F",'LANÇAMENTOS DIÁRIOS'!$C$5:$C$500,$A72,'LANÇAMENTOS DIÁRIOS'!$O$5:$O$500,"&lt;=112299",'LANÇAMENTOS DIÁRIOS'!$P$5:$P$500,"&gt;=112200")&gt;0,"X","")</f>
      </c>
      <c r="J72" s="56" t="str">
        <f>IF(COUNTIFS('LANÇAMENTOS DIÁRIOS'!$G$5:$G$500,"F",'LANÇAMENTOS DIÁRIOS'!$C$5:$C$500,$A72,'LANÇAMENTOS DIÁRIOS'!$O$5:$O$500,"&lt;=112399",'LANÇAMENTOS DIÁRIOS'!$P$5:$P$500,"&gt;=112300")&gt;0,"X","")</f>
      </c>
      <c r="K72" s="56" t="str">
        <f>IF(COUNTIFS('LANÇAMENTOS DIÁRIOS'!$G$5:$G$500,"F",'LANÇAMENTOS DIÁRIOS'!$C$5:$C$500,$A72,'LANÇAMENTOS DIÁRIOS'!$O$5:$O$500,"&lt;=112499",'LANÇAMENTOS DIÁRIOS'!$P$5:$P$500,"&gt;=112400")&gt;0,"X","")</f>
      </c>
      <c r="L72" s="56" t="str">
        <f>IF(COUNTIFS('LANÇAMENTOS DIÁRIOS'!$G$5:$G$500,"F",'LANÇAMENTOS DIÁRIOS'!$C$5:$C$500,$A72,'LANÇAMENTOS DIÁRIOS'!$O$5:$O$500,"&lt;=112599",'LANÇAMENTOS DIÁRIOS'!$P$5:$P$500,"&gt;=112500")&gt;0,"X","")</f>
      </c>
      <c r="M72" s="56" t="str">
        <f>IF(COUNTIFS('LANÇAMENTOS DIÁRIOS'!$G$5:$G$500,"F",'LANÇAMENTOS DIÁRIOS'!$C$5:$C$500,$A72,'LANÇAMENTOS DIÁRIOS'!$O$5:$O$500,"&lt;=112699",'LANÇAMENTOS DIÁRIOS'!$P$5:$P$500,"&gt;=112600")&gt;0,"X","")</f>
      </c>
      <c r="N72" s="56" t="str">
        <f>IF(COUNTIFS('LANÇAMENTOS DIÁRIOS'!$G$5:$G$500,"F",'LANÇAMENTOS DIÁRIOS'!$C$5:$C$500,$A72,'LANÇAMENTOS DIÁRIOS'!$O$5:$O$500,"&lt;=112799",'LANÇAMENTOS DIÁRIOS'!$P$5:$P$500,"&gt;=112700")&gt;0,"X","")</f>
      </c>
      <c r="O72" s="56" t="str">
        <f>IF(COUNTIFS('LANÇAMENTOS DIÁRIOS'!$G$5:$G$500,"F",'LANÇAMENTOS DIÁRIOS'!$C$5:$C$500,$A72,'LANÇAMENTOS DIÁRIOS'!$O$5:$O$500,"&lt;=112899",'LANÇAMENTOS DIÁRIOS'!$P$5:$P$500,"&gt;=112800")&gt;0,"X","")</f>
      </c>
      <c r="P72" s="56" t="str">
        <f>IF(COUNTIFS('LANÇAMENTOS DIÁRIOS'!$G$5:$G$500,"F",'LANÇAMENTOS DIÁRIOS'!$C$5:$C$500,$A72,'LANÇAMENTOS DIÁRIOS'!$O$5:$O$500,"&lt;=112999",'LANÇAMENTOS DIÁRIOS'!$P$5:$P$500,"&gt;=112900")&gt;0,"X","")</f>
      </c>
      <c r="Q72" s="56" t="str">
        <f>IF(COUNTIFS('LANÇAMENTOS DIÁRIOS'!$G$5:$G$500,"F",'LANÇAMENTOS DIÁRIOS'!$C$5:$C$500,$A72,'LANÇAMENTOS DIÁRIOS'!$O$5:$O$500,"&lt;=113099",'LANÇAMENTOS DIÁRIOS'!$P$5:$P$500,"&gt;=113000")&gt;0,"X","")</f>
      </c>
      <c r="R72" s="56" t="str">
        <f>IF(COUNTIFS('LANÇAMENTOS DIÁRIOS'!$G$5:$G$500,"F",'LANÇAMENTOS DIÁRIOS'!$C$5:$C$500,$A72,'LANÇAMENTOS DIÁRIOS'!$O$5:$O$500,"&lt;=113199",'LANÇAMENTOS DIÁRIOS'!$P$5:$P$500,"&gt;=113100")&gt;0,"X","")</f>
      </c>
      <c r="S72" s="56" t="str">
        <f>IF(COUNTIFS('LANÇAMENTOS DIÁRIOS'!$G$5:$G$500,"F",'LANÇAMENTOS DIÁRIOS'!$C$5:$C$500,$A72,'LANÇAMENTOS DIÁRIOS'!$O$5:$O$500,"&lt;=113299",'LANÇAMENTOS DIÁRIOS'!$P$5:$P$500,"&gt;=113200")&gt;0,"X","")</f>
      </c>
      <c r="T72" s="56" t="str">
        <f>IF(COUNTIFS('LANÇAMENTOS DIÁRIOS'!$G$5:$G$500,"F",'LANÇAMENTOS DIÁRIOS'!$C$5:$C$500,$A72,'LANÇAMENTOS DIÁRIOS'!$O$5:$O$500,"&lt;=113399",'LANÇAMENTOS DIÁRIOS'!$P$5:$P$500,"&gt;=113300")&gt;0,"X","")</f>
      </c>
      <c r="U72" s="56" t="str">
        <f>IF(COUNTIFS('LANÇAMENTOS DIÁRIOS'!$G$5:$G$500,"F",'LANÇAMENTOS DIÁRIOS'!$C$5:$C$500,$A72,'LANÇAMENTOS DIÁRIOS'!$O$5:$O$500,"&lt;=113499",'LANÇAMENTOS DIÁRIOS'!$P$5:$P$500,"&gt;=113400")&gt;0,"X","")</f>
      </c>
      <c r="V72" s="56" t="str">
        <f>IF(COUNTIFS('LANÇAMENTOS DIÁRIOS'!$G$5:$G$500,"F",'LANÇAMENTOS DIÁRIOS'!$C$5:$C$500,$A72,'LANÇAMENTOS DIÁRIOS'!$O$5:$O$500,"&lt;=113599",'LANÇAMENTOS DIÁRIOS'!$P$5:$P$500,"&gt;=113500")&gt;0,"X","")</f>
      </c>
      <c r="W72" s="56" t="str">
        <f>IF(COUNTIFS('LANÇAMENTOS DIÁRIOS'!$G$5:$G$500,"F",'LANÇAMENTOS DIÁRIOS'!$C$5:$C$500,$A72,'LANÇAMENTOS DIÁRIOS'!$O$5:$O$500,"&lt;=113699",'LANÇAMENTOS DIÁRIOS'!$P$5:$P$500,"&gt;=113600")&gt;0,"X","")</f>
      </c>
      <c r="X72" s="56" t="str">
        <f>IF(COUNTIFS('LANÇAMENTOS DIÁRIOS'!$G$5:$G$500,"F",'LANÇAMENTOS DIÁRIOS'!$C$5:$C$500,$A72,'LANÇAMENTOS DIÁRIOS'!$O$5:$O$500,"&lt;=113799",'LANÇAMENTOS DIÁRIOS'!$P$5:$P$500,"&gt;=113700")&gt;0,"X","")</f>
      </c>
      <c r="Y72" s="56" t="str">
        <f>IF(COUNTIFS('LANÇAMENTOS DIÁRIOS'!$G$5:$G$500,"F",'LANÇAMENTOS DIÁRIOS'!$C$5:$C$500,$A72,'LANÇAMENTOS DIÁRIOS'!$O$5:$O$500,"&lt;=113899",'LANÇAMENTOS DIÁRIOS'!$P$5:$P$500,"&gt;=113800")&gt;0,"X","")</f>
      </c>
      <c r="Z72" s="56" t="str">
        <f>IF(COUNTIFS('LANÇAMENTOS DIÁRIOS'!$G$5:$G$500,"F",'LANÇAMENTOS DIÁRIOS'!$C$5:$C$500,$A72,'LANÇAMENTOS DIÁRIOS'!$O$5:$O$500,"&lt;=113999",'LANÇAMENTOS DIÁRIOS'!$P$5:$P$500,"&gt;=113900")&gt;0,"X","")</f>
      </c>
      <c r="AA72" s="56" t="str">
        <f>IF(COUNTIFS('LANÇAMENTOS DIÁRIOS'!$G$5:$G$500,"F",'LANÇAMENTOS DIÁRIOS'!$C$5:$C$500,$A72,'LANÇAMENTOS DIÁRIOS'!$O$5:$O$500,"&lt;=114099",'LANÇAMENTOS DIÁRIOS'!$P$5:$P$500,"&gt;=114000")&gt;0,"X","")</f>
      </c>
      <c r="AB72" s="56" t="str">
        <f>IF(COUNTIFS('LANÇAMENTOS DIÁRIOS'!$G$5:$G$500,"F",'LANÇAMENTOS DIÁRIOS'!$C$5:$C$500,$A72,'LANÇAMENTOS DIÁRIOS'!$O$5:$O$500,"&lt;=114199",'LANÇAMENTOS DIÁRIOS'!$P$5:$P$500,"&gt;=114100")&gt;0,"X","")</f>
      </c>
      <c r="AC72" s="56" t="str">
        <f>IF(COUNTIFS('LANÇAMENTOS DIÁRIOS'!$G$5:$G$500,"F",'LANÇAMENTOS DIÁRIOS'!$C$5:$C$500,$A72,'LANÇAMENTOS DIÁRIOS'!$O$5:$O$500,"&lt;=114299",'LANÇAMENTOS DIÁRIOS'!$P$5:$P$500,"&gt;=114200")&gt;0,"X","")</f>
      </c>
      <c r="AD72" s="56" t="str">
        <f>IF(COUNTIFS('LANÇAMENTOS DIÁRIOS'!$G$5:$G$500,"F",'LANÇAMENTOS DIÁRIOS'!$C$5:$C$500,$A72,'LANÇAMENTOS DIÁRIOS'!$O$5:$O$500,"&lt;=114399",'LANÇAMENTOS DIÁRIOS'!$P$5:$P$500,"&gt;=114300")&gt;0,"X","")</f>
      </c>
      <c r="AE72" s="56" t="str">
        <f>IF(COUNTIFS('LANÇAMENTOS DIÁRIOS'!$G$5:$G$500,"F",'LANÇAMENTOS DIÁRIOS'!$C$5:$C$500,$A72,'LANÇAMENTOS DIÁRIOS'!$O$5:$O$500,"&lt;=114499",'LANÇAMENTOS DIÁRIOS'!$P$5:$P$500,"&gt;=114400")&gt;0,"X","")</f>
      </c>
      <c r="AF72" s="56" t="str">
        <f>IF(COUNTIFS('LANÇAMENTOS DIÁRIOS'!$G$5:$G$500,"F",'LANÇAMENTOS DIÁRIOS'!$C$5:$C$500,$A72,'LANÇAMENTOS DIÁRIOS'!$O$5:$O$500,"&lt;=114599",'LANÇAMENTOS DIÁRIOS'!$P$5:$P$500,"&gt;=114500")&gt;0,"X","")</f>
      </c>
      <c r="AG72" s="56" t="str">
        <f>IF(COUNTIFS('LANÇAMENTOS DIÁRIOS'!$G$5:$G$500,"F",'LANÇAMENTOS DIÁRIOS'!$C$5:$C$500,$A72,'LANÇAMENTOS DIÁRIOS'!$O$5:$O$500,"&lt;=114699",'LANÇAMENTOS DIÁRIOS'!$P$5:$P$500,"&gt;=114600")&gt;0,"X","")</f>
      </c>
      <c r="AH72" s="56" t="str">
        <f>IF(COUNTIFS('LANÇAMENTOS DIÁRIOS'!$G$5:$G$500,"F",'LANÇAMENTOS DIÁRIOS'!$C$5:$C$500,$A72,'LANÇAMENTOS DIÁRIOS'!$O$5:$O$500,"&lt;=114799",'LANÇAMENTOS DIÁRIOS'!$P$5:$P$500,"&gt;=114700")&gt;0,"X","")</f>
      </c>
      <c r="AI72" s="56" t="str">
        <f>IF(COUNTIFS('LANÇAMENTOS DIÁRIOS'!$G$5:$G$500,"F",'LANÇAMENTOS DIÁRIOS'!$C$5:$C$500,$A72,'LANÇAMENTOS DIÁRIOS'!$O$5:$O$500,"&lt;=114899",'LANÇAMENTOS DIÁRIOS'!$P$5:$P$500,"&gt;=114800")&gt;0,"X","")</f>
      </c>
      <c r="AJ72" s="56" t="str">
        <f>IF(COUNTIFS('LANÇAMENTOS DIÁRIOS'!$G$5:$G$500,"F",'LANÇAMENTOS DIÁRIOS'!$C$5:$C$500,$A72,'LANÇAMENTOS DIÁRIOS'!$O$5:$O$500,"&lt;=114999",'LANÇAMENTOS DIÁRIOS'!$P$5:$P$500,"&gt;=114900")&gt;0,"X","")</f>
      </c>
      <c r="AK72" s="56" t="str">
        <f>IF(COUNTIFS('LANÇAMENTOS DIÁRIOS'!$G$5:$G$500,"F",'LANÇAMENTOS DIÁRIOS'!$C$5:$C$500,$A72,'LANÇAMENTOS DIÁRIOS'!$O$5:$O$500,"&lt;=115099",'LANÇAMENTOS DIÁRIOS'!$P$5:$P$500,"&gt;=115000")&gt;0,"X","")</f>
      </c>
      <c r="AL72" s="56" t="str">
        <f>IF(COUNTIFS('LANÇAMENTOS DIÁRIOS'!$G$5:$G$500,"F",'LANÇAMENTOS DIÁRIOS'!$C$5:$C$500,$A72,'LANÇAMENTOS DIÁRIOS'!$O$5:$O$500,"&lt;=115199",'LANÇAMENTOS DIÁRIOS'!$P$5:$P$500,"&gt;=115100")&gt;0,"X","")</f>
      </c>
      <c r="AM72" s="56" t="str">
        <f>IF(COUNTIFS('LANÇAMENTOS DIÁRIOS'!$G$5:$G$500,"F",'LANÇAMENTOS DIÁRIOS'!$C$5:$C$500,$A72,'LANÇAMENTOS DIÁRIOS'!$O$5:$O$500,"&lt;=115299",'LANÇAMENTOS DIÁRIOS'!$P$5:$P$500,"&gt;=115200")&gt;0,"X","")</f>
      </c>
      <c r="AN72" s="56" t="str">
        <f>IF(COUNTIFS('LANÇAMENTOS DIÁRIOS'!$G$5:$G$500,"F",'LANÇAMENTOS DIÁRIOS'!$C$5:$C$500,$A72,'LANÇAMENTOS DIÁRIOS'!$O$5:$O$500,"&lt;=115399",'LANÇAMENTOS DIÁRIOS'!$P$5:$P$500,"&gt;=115300")&gt;0,"X","")</f>
      </c>
      <c r="AO72" s="56" t="str">
        <f>IF(COUNTIFS('LANÇAMENTOS DIÁRIOS'!$G$5:$G$500,"F",'LANÇAMENTOS DIÁRIOS'!$C$5:$C$500,$A72,'LANÇAMENTOS DIÁRIOS'!$O$5:$O$500,"&lt;=115499",'LANÇAMENTOS DIÁRIOS'!$P$5:$P$500,"&gt;=115400")&gt;0,"X","")</f>
      </c>
      <c r="AP72" s="56" t="str">
        <f>IF(COUNTIFS('LANÇAMENTOS DIÁRIOS'!$G$5:$G$500,"F",'LANÇAMENTOS DIÁRIOS'!$C$5:$C$500,$A72,'LANÇAMENTOS DIÁRIOS'!$O$5:$O$500,"&lt;=115599",'LANÇAMENTOS DIÁRIOS'!$P$5:$P$500,"&gt;=115500")&gt;0,"X","")</f>
      </c>
      <c r="AQ72" s="56" t="str">
        <f>IF(COUNTIFS('LANÇAMENTOS DIÁRIOS'!$G$5:$G$500,"F",'LANÇAMENTOS DIÁRIOS'!$C$5:$C$500,$A72,'LANÇAMENTOS DIÁRIOS'!$O$5:$O$500,"&lt;=115699",'LANÇAMENTOS DIÁRIOS'!$P$5:$P$500,"&gt;=115600")&gt;0,"X","")</f>
      </c>
      <c r="AR72" s="56" t="str">
        <f>IF(COUNTIFS('LANÇAMENTOS DIÁRIOS'!$G$5:$G$500,"F",'LANÇAMENTOS DIÁRIOS'!$C$5:$C$500,$A72,'LANÇAMENTOS DIÁRIOS'!$O$5:$O$500,"&lt;=115799",'LANÇAMENTOS DIÁRIOS'!$P$5:$P$500,"&gt;=115700")&gt;0,"X","")</f>
      </c>
      <c r="AS72" s="56" t="str">
        <f>IF(COUNTIFS('LANÇAMENTOS DIÁRIOS'!$G$5:$G$500,"F",'LANÇAMENTOS DIÁRIOS'!$C$5:$C$500,$A72,'LANÇAMENTOS DIÁRIOS'!$O$5:$O$500,"&lt;=115899",'LANÇAMENTOS DIÁRIOS'!$P$5:$P$500,"&gt;=115800")&gt;0,"X","")</f>
      </c>
      <c r="AT72" s="56" t="str">
        <f>IF(COUNTIFS('LANÇAMENTOS DIÁRIOS'!$G$5:$G$500,"F",'LANÇAMENTOS DIÁRIOS'!$C$5:$C$500,$A72,'LANÇAMENTOS DIÁRIOS'!$O$5:$O$500,"&lt;=115999",'LANÇAMENTOS DIÁRIOS'!$P$5:$P$500,"&gt;=115900")&gt;0,"X","")</f>
      </c>
      <c r="AU72" s="56" t="str">
        <f>IF(COUNTIFS('LANÇAMENTOS DIÁRIOS'!$G$5:$G$500,"F",'LANÇAMENTOS DIÁRIOS'!$C$5:$C$500,$A72,'LANÇAMENTOS DIÁRIOS'!$O$5:$O$500,"&lt;=116099",'LANÇAMENTOS DIÁRIOS'!$P$5:$P$500,"&gt;=116000")&gt;0,"X","")</f>
      </c>
      <c r="AV72" s="56" t="str">
        <f>IF(COUNTIFS('LANÇAMENTOS DIÁRIOS'!$G$5:$G$500,"F",'LANÇAMENTOS DIÁRIOS'!$C$5:$C$500,$A72,'LANÇAMENTOS DIÁRIOS'!$O$5:$O$500,"&lt;=116199",'LANÇAMENTOS DIÁRIOS'!$P$5:$P$500,"&gt;=116100")&gt;0,"X","")</f>
      </c>
      <c r="AW72" s="56" t="str">
        <f>IF(COUNTIFS('LANÇAMENTOS DIÁRIOS'!$G$5:$G$500,"F",'LANÇAMENTOS DIÁRIOS'!$C$5:$C$500,$A72,'LANÇAMENTOS DIÁRIOS'!$O$5:$O$500,"&lt;=116299",'LANÇAMENTOS DIÁRIOS'!$P$5:$P$500,"&gt;=116200")&gt;0,"X","")</f>
      </c>
      <c r="AX72" s="56" t="str">
        <f>IF(COUNTIFS('LANÇAMENTOS DIÁRIOS'!$G$5:$G$500,"F",'LANÇAMENTOS DIÁRIOS'!$C$5:$C$500,$A72,'LANÇAMENTOS DIÁRIOS'!$O$5:$O$500,"&lt;=116399",'LANÇAMENTOS DIÁRIOS'!$P$5:$P$500,"&gt;=116300")&gt;0,"X","")</f>
      </c>
      <c r="AY72" s="56" t="str">
        <f>IF(COUNTIFS('LANÇAMENTOS DIÁRIOS'!$G$5:$G$500,"F",'LANÇAMENTOS DIÁRIOS'!$C$5:$C$500,$A72,'LANÇAMENTOS DIÁRIOS'!$O$5:$O$500,"&lt;=116499",'LANÇAMENTOS DIÁRIOS'!$P$5:$P$500,"&gt;=116400")&gt;0,"X","")</f>
      </c>
      <c r="AZ72" s="56" t="str">
        <f>IF(COUNTIFS('LANÇAMENTOS DIÁRIOS'!$G$5:$G$500,"F",'LANÇAMENTOS DIÁRIOS'!$C$5:$C$500,$A72,'LANÇAMENTOS DIÁRIOS'!$O$5:$O$500,"&lt;=116599",'LANÇAMENTOS DIÁRIOS'!$P$5:$P$500,"&gt;=116500")&gt;0,"X","")</f>
      </c>
      <c r="BA72" s="56" t="str">
        <f>IF(COUNTIFS('LANÇAMENTOS DIÁRIOS'!$G$5:$G$500,"F",'LANÇAMENTOS DIÁRIOS'!$C$5:$C$500,$A72,'LANÇAMENTOS DIÁRIOS'!$O$5:$O$500,"&lt;=116699",'LANÇAMENTOS DIÁRIOS'!$P$5:$P$500,"&gt;=116600")&gt;0,"X","")</f>
      </c>
      <c r="BB72" s="56" t="str">
        <f>IF(COUNTIFS('LANÇAMENTOS DIÁRIOS'!$G$5:$G$500,"F",'LANÇAMENTOS DIÁRIOS'!$C$5:$C$500,$A72,'LANÇAMENTOS DIÁRIOS'!$O$5:$O$500,"&lt;=116799",'LANÇAMENTOS DIÁRIOS'!$P$5:$P$500,"&gt;=116700")&gt;0,"X","")</f>
      </c>
      <c r="BC72" s="56" t="str">
        <f>IF(COUNTIFS('LANÇAMENTOS DIÁRIOS'!$G$5:$G$500,"F",'LANÇAMENTOS DIÁRIOS'!$C$5:$C$500,$A72,'LANÇAMENTOS DIÁRIOS'!$O$5:$O$500,"&lt;=116899",'LANÇAMENTOS DIÁRIOS'!$P$5:$P$500,"&gt;=116800")&gt;0,"X","")</f>
      </c>
      <c r="BD72" s="56" t="str">
        <f>IF(COUNTIFS('LANÇAMENTOS DIÁRIOS'!$G$5:$G$500,"F",'LANÇAMENTOS DIÁRIOS'!$C$5:$C$500,$A72,'LANÇAMENTOS DIÁRIOS'!$O$5:$O$500,"&lt;=116999",'LANÇAMENTOS DIÁRIOS'!$P$5:$P$500,"&gt;=116900")&gt;0,"X","")</f>
      </c>
      <c r="BE72" s="56" t="str">
        <f>IF(COUNTIFS('LANÇAMENTOS DIÁRIOS'!$G$5:$G$500,"F",'LANÇAMENTOS DIÁRIOS'!$C$5:$C$500,$A72,'LANÇAMENTOS DIÁRIOS'!$O$5:$O$500,"&lt;=117099",'LANÇAMENTOS DIÁRIOS'!$P$5:$P$500,"&gt;=117000")&gt;0,"X","")</f>
      </c>
      <c r="BF72" s="56" t="str">
        <f>IF(COUNTIFS('LANÇAMENTOS DIÁRIOS'!$G$5:$G$500,"F",'LANÇAMENTOS DIÁRIOS'!$C$5:$C$500,$A72,'LANÇAMENTOS DIÁRIOS'!$O$5:$O$500,"&lt;=117199",'LANÇAMENTOS DIÁRIOS'!$P$5:$P$500,"&gt;=117100")&gt;0,"X","")</f>
      </c>
      <c r="BG72" s="56" t="str">
        <f>IF(COUNTIFS('LANÇAMENTOS DIÁRIOS'!$G$5:$G$500,"F",'LANÇAMENTOS DIÁRIOS'!$C$5:$C$500,$A72,'LANÇAMENTOS DIÁRIOS'!$O$5:$O$500,"&lt;=117219",'LANÇAMENTOS DIÁRIOS'!$P$5:$P$500,"&gt;=117200")&gt;0,"X","")</f>
      </c>
      <c r="BH72" s="56" t="str">
        <f>IF(COUNTIFS('LANÇAMENTOS DIÁRIOS'!$G$5:$G$500,"F",'LANÇAMENTOS DIÁRIOS'!$C$5:$C$500,$A72,'LANÇAMENTOS DIÁRIOS'!$O$5:$O$500,"&lt;=117220",'LANÇAMENTOS DIÁRIOS'!$P$5:$P$500,"&gt;=117220")&gt;0,"X","")</f>
      </c>
    </row>
    <row r="73" ht="21" customHeight="1">
      <c r="A73" s="60" t="str">
        <v>Pavimentação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</row>
    <row r="74" ht="19" customHeight="1">
      <c r="A74" s="68" t="str">
        <v>Demolição do pavimento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</row>
    <row r="75">
      <c r="A75" s="51" t="str">
        <v>Demolição de pavimento, revestimento betuminoso</v>
      </c>
      <c r="B75" s="56" t="str">
        <f>IF(COUNTIFS('LANÇAMENTOS DIÁRIOS'!$G$5:$G$500,"F",'LANÇAMENTOS DIÁRIOS'!$C$5:$C$500,$A75,'LANÇAMENTOS DIÁRIOS'!$O$5:$O$500,"&lt;=111599",'LANÇAMENTOS DIÁRIOS'!$P$5:$P$500,"&gt;=111500")&gt;0,"X","")</f>
      </c>
      <c r="C75" s="56" t="str">
        <f>IF(COUNTIFS('LANÇAMENTOS DIÁRIOS'!$G$5:$G$500,"F",'LANÇAMENTOS DIÁRIOS'!$C$5:$C$500,$A75,'LANÇAMENTOS DIÁRIOS'!$O$5:$O$500,"&lt;=111699",'LANÇAMENTOS DIÁRIOS'!$P$5:$P$500,"&gt;=111600")&gt;0,"X","")</f>
      </c>
      <c r="D75" s="56" t="str">
        <f>IF(COUNTIFS('LANÇAMENTOS DIÁRIOS'!$G$5:$G$500,"F",'LANÇAMENTOS DIÁRIOS'!$C$5:$C$500,$A75,'LANÇAMENTOS DIÁRIOS'!$O$5:$O$500,"&lt;=111799",'LANÇAMENTOS DIÁRIOS'!$P$5:$P$500,"&gt;=111700")&gt;0,"X","")</f>
      </c>
      <c r="E75" s="56" t="str">
        <f>IF(COUNTIFS('LANÇAMENTOS DIÁRIOS'!$G$5:$G$500,"F",'LANÇAMENTOS DIÁRIOS'!$C$5:$C$500,$A75,'LANÇAMENTOS DIÁRIOS'!$O$5:$O$500,"&lt;=111899",'LANÇAMENTOS DIÁRIOS'!$P$5:$P$500,"&gt;=111800")&gt;0,"X","")</f>
      </c>
      <c r="F75" s="56" t="str">
        <f>IF(COUNTIFS('LANÇAMENTOS DIÁRIOS'!$G$5:$G$500,"F",'LANÇAMENTOS DIÁRIOS'!$C$5:$C$500,$A75,'LANÇAMENTOS DIÁRIOS'!$O$5:$O$500,"&lt;=111999",'LANÇAMENTOS DIÁRIOS'!$P$5:$P$500,"&gt;=111900")&gt;0,"X","")</f>
      </c>
      <c r="G75" s="56" t="str">
        <f>IF(COUNTIFS('LANÇAMENTOS DIÁRIOS'!$G$5:$G$500,"F",'LANÇAMENTOS DIÁRIOS'!$C$5:$C$500,$A75,'LANÇAMENTOS DIÁRIOS'!$O$5:$O$500,"&lt;=112099",'LANÇAMENTOS DIÁRIOS'!$P$5:$P$500,"&gt;=112000")&gt;0,"X","")</f>
      </c>
      <c r="H75" s="56" t="str">
        <f>IF(COUNTIFS('LANÇAMENTOS DIÁRIOS'!$G$5:$G$500,"F",'LANÇAMENTOS DIÁRIOS'!$C$5:$C$500,$A75,'LANÇAMENTOS DIÁRIOS'!$O$5:$O$500,"&lt;=112199",'LANÇAMENTOS DIÁRIOS'!$P$5:$P$500,"&gt;=112100")&gt;0,"X","")</f>
      </c>
      <c r="I75" s="56" t="str">
        <f>IF(COUNTIFS('LANÇAMENTOS DIÁRIOS'!$G$5:$G$500,"F",'LANÇAMENTOS DIÁRIOS'!$C$5:$C$500,$A75,'LANÇAMENTOS DIÁRIOS'!$O$5:$O$500,"&lt;=112299",'LANÇAMENTOS DIÁRIOS'!$P$5:$P$500,"&gt;=112200")&gt;0,"X","")</f>
      </c>
      <c r="J75" s="56" t="str">
        <f>IF(COUNTIFS('LANÇAMENTOS DIÁRIOS'!$G$5:$G$500,"F",'LANÇAMENTOS DIÁRIOS'!$C$5:$C$500,$A75,'LANÇAMENTOS DIÁRIOS'!$O$5:$O$500,"&lt;=112399",'LANÇAMENTOS DIÁRIOS'!$P$5:$P$500,"&gt;=112300")&gt;0,"X","")</f>
      </c>
      <c r="K75" s="56" t="str">
        <f>IF(COUNTIFS('LANÇAMENTOS DIÁRIOS'!$G$5:$G$500,"F",'LANÇAMENTOS DIÁRIOS'!$C$5:$C$500,$A75,'LANÇAMENTOS DIÁRIOS'!$O$5:$O$500,"&lt;=112499",'LANÇAMENTOS DIÁRIOS'!$P$5:$P$500,"&gt;=112400")&gt;0,"X","")</f>
      </c>
      <c r="L75" s="56" t="str">
        <f>IF(COUNTIFS('LANÇAMENTOS DIÁRIOS'!$G$5:$G$500,"F",'LANÇAMENTOS DIÁRIOS'!$C$5:$C$500,$A75,'LANÇAMENTOS DIÁRIOS'!$O$5:$O$500,"&lt;=112599",'LANÇAMENTOS DIÁRIOS'!$P$5:$P$500,"&gt;=112500")&gt;0,"X","")</f>
      </c>
      <c r="M75" s="56" t="str">
        <f>IF(COUNTIFS('LANÇAMENTOS DIÁRIOS'!$G$5:$G$500,"F",'LANÇAMENTOS DIÁRIOS'!$C$5:$C$500,$A75,'LANÇAMENTOS DIÁRIOS'!$O$5:$O$500,"&lt;=112699",'LANÇAMENTOS DIÁRIOS'!$P$5:$P$500,"&gt;=112600")&gt;0,"X","")</f>
      </c>
      <c r="N75" s="56" t="str">
        <f>IF(COUNTIFS('LANÇAMENTOS DIÁRIOS'!$G$5:$G$500,"F",'LANÇAMENTOS DIÁRIOS'!$C$5:$C$500,$A75,'LANÇAMENTOS DIÁRIOS'!$O$5:$O$500,"&lt;=112799",'LANÇAMENTOS DIÁRIOS'!$P$5:$P$500,"&gt;=112700")&gt;0,"X","")</f>
      </c>
      <c r="O75" s="56" t="str">
        <f>IF(COUNTIFS('LANÇAMENTOS DIÁRIOS'!$G$5:$G$500,"F",'LANÇAMENTOS DIÁRIOS'!$C$5:$C$500,$A75,'LANÇAMENTOS DIÁRIOS'!$O$5:$O$500,"&lt;=112899",'LANÇAMENTOS DIÁRIOS'!$P$5:$P$500,"&gt;=112800")&gt;0,"X","")</f>
      </c>
      <c r="P75" s="56" t="str">
        <f>IF(COUNTIFS('LANÇAMENTOS DIÁRIOS'!$G$5:$G$500,"F",'LANÇAMENTOS DIÁRIOS'!$C$5:$C$500,$A75,'LANÇAMENTOS DIÁRIOS'!$O$5:$O$500,"&lt;=112999",'LANÇAMENTOS DIÁRIOS'!$P$5:$P$500,"&gt;=112900")&gt;0,"X","")</f>
      </c>
      <c r="Q75" s="56" t="str">
        <f>IF(COUNTIFS('LANÇAMENTOS DIÁRIOS'!$G$5:$G$500,"F",'LANÇAMENTOS DIÁRIOS'!$C$5:$C$500,$A75,'LANÇAMENTOS DIÁRIOS'!$O$5:$O$500,"&lt;=113099",'LANÇAMENTOS DIÁRIOS'!$P$5:$P$500,"&gt;=113000")&gt;0,"X","")</f>
      </c>
      <c r="R75" s="56" t="str">
        <f>IF(COUNTIFS('LANÇAMENTOS DIÁRIOS'!$G$5:$G$500,"F",'LANÇAMENTOS DIÁRIOS'!$C$5:$C$500,$A75,'LANÇAMENTOS DIÁRIOS'!$O$5:$O$500,"&lt;=113199",'LANÇAMENTOS DIÁRIOS'!$P$5:$P$500,"&gt;=113100")&gt;0,"X","")</f>
      </c>
      <c r="S75" s="56" t="str">
        <f>IF(COUNTIFS('LANÇAMENTOS DIÁRIOS'!$G$5:$G$500,"F",'LANÇAMENTOS DIÁRIOS'!$C$5:$C$500,$A75,'LANÇAMENTOS DIÁRIOS'!$O$5:$O$500,"&lt;=113299",'LANÇAMENTOS DIÁRIOS'!$P$5:$P$500,"&gt;=113200")&gt;0,"X","")</f>
      </c>
      <c r="T75" s="56" t="str">
        <f>IF(COUNTIFS('LANÇAMENTOS DIÁRIOS'!$G$5:$G$500,"F",'LANÇAMENTOS DIÁRIOS'!$C$5:$C$500,$A75,'LANÇAMENTOS DIÁRIOS'!$O$5:$O$500,"&lt;=113399",'LANÇAMENTOS DIÁRIOS'!$P$5:$P$500,"&gt;=113300")&gt;0,"X","")</f>
      </c>
      <c r="U75" s="56" t="str">
        <f>IF(COUNTIFS('LANÇAMENTOS DIÁRIOS'!$G$5:$G$500,"F",'LANÇAMENTOS DIÁRIOS'!$C$5:$C$500,$A75,'LANÇAMENTOS DIÁRIOS'!$O$5:$O$500,"&lt;=113499",'LANÇAMENTOS DIÁRIOS'!$P$5:$P$500,"&gt;=113400")&gt;0,"X","")</f>
      </c>
      <c r="V75" s="56" t="str">
        <f>IF(COUNTIFS('LANÇAMENTOS DIÁRIOS'!$G$5:$G$500,"F",'LANÇAMENTOS DIÁRIOS'!$C$5:$C$500,$A75,'LANÇAMENTOS DIÁRIOS'!$O$5:$O$500,"&lt;=113599",'LANÇAMENTOS DIÁRIOS'!$P$5:$P$500,"&gt;=113500")&gt;0,"X","")</f>
      </c>
      <c r="W75" s="56" t="str">
        <f>IF(COUNTIFS('LANÇAMENTOS DIÁRIOS'!$G$5:$G$500,"F",'LANÇAMENTOS DIÁRIOS'!$C$5:$C$500,$A75,'LANÇAMENTOS DIÁRIOS'!$O$5:$O$500,"&lt;=113699",'LANÇAMENTOS DIÁRIOS'!$P$5:$P$500,"&gt;=113600")&gt;0,"X","")</f>
      </c>
      <c r="X75" s="56" t="str">
        <f>IF(COUNTIFS('LANÇAMENTOS DIÁRIOS'!$G$5:$G$500,"F",'LANÇAMENTOS DIÁRIOS'!$C$5:$C$500,$A75,'LANÇAMENTOS DIÁRIOS'!$O$5:$O$500,"&lt;=113799",'LANÇAMENTOS DIÁRIOS'!$P$5:$P$500,"&gt;=113700")&gt;0,"X","")</f>
      </c>
      <c r="Y75" s="56" t="str">
        <f>IF(COUNTIFS('LANÇAMENTOS DIÁRIOS'!$G$5:$G$500,"F",'LANÇAMENTOS DIÁRIOS'!$C$5:$C$500,$A75,'LANÇAMENTOS DIÁRIOS'!$O$5:$O$500,"&lt;=113899",'LANÇAMENTOS DIÁRIOS'!$P$5:$P$500,"&gt;=113800")&gt;0,"X","")</f>
      </c>
      <c r="Z75" s="56" t="str">
        <f>IF(COUNTIFS('LANÇAMENTOS DIÁRIOS'!$G$5:$G$500,"F",'LANÇAMENTOS DIÁRIOS'!$C$5:$C$500,$A75,'LANÇAMENTOS DIÁRIOS'!$O$5:$O$500,"&lt;=113999",'LANÇAMENTOS DIÁRIOS'!$P$5:$P$500,"&gt;=113900")&gt;0,"X","")</f>
      </c>
      <c r="AA75" s="56" t="str">
        <f>IF(COUNTIFS('LANÇAMENTOS DIÁRIOS'!$G$5:$G$500,"F",'LANÇAMENTOS DIÁRIOS'!$C$5:$C$500,$A75,'LANÇAMENTOS DIÁRIOS'!$O$5:$O$500,"&lt;=114099",'LANÇAMENTOS DIÁRIOS'!$P$5:$P$500,"&gt;=114000")&gt;0,"X","")</f>
      </c>
      <c r="AB75" s="56" t="str">
        <f>IF(COUNTIFS('LANÇAMENTOS DIÁRIOS'!$G$5:$G$500,"F",'LANÇAMENTOS DIÁRIOS'!$C$5:$C$500,$A75,'LANÇAMENTOS DIÁRIOS'!$O$5:$O$500,"&lt;=114199",'LANÇAMENTOS DIÁRIOS'!$P$5:$P$500,"&gt;=114100")&gt;0,"X","")</f>
      </c>
      <c r="AC75" s="56" t="str">
        <f>IF(COUNTIFS('LANÇAMENTOS DIÁRIOS'!$G$5:$G$500,"F",'LANÇAMENTOS DIÁRIOS'!$C$5:$C$500,$A75,'LANÇAMENTOS DIÁRIOS'!$O$5:$O$500,"&lt;=114299",'LANÇAMENTOS DIÁRIOS'!$P$5:$P$500,"&gt;=114200")&gt;0,"X","")</f>
      </c>
      <c r="AD75" s="56" t="str">
        <f>IF(COUNTIFS('LANÇAMENTOS DIÁRIOS'!$G$5:$G$500,"F",'LANÇAMENTOS DIÁRIOS'!$C$5:$C$500,$A75,'LANÇAMENTOS DIÁRIOS'!$O$5:$O$500,"&lt;=114399",'LANÇAMENTOS DIÁRIOS'!$P$5:$P$500,"&gt;=114300")&gt;0,"X","")</f>
      </c>
      <c r="AE75" s="56" t="str">
        <f>IF(COUNTIFS('LANÇAMENTOS DIÁRIOS'!$G$5:$G$500,"F",'LANÇAMENTOS DIÁRIOS'!$C$5:$C$500,$A75,'LANÇAMENTOS DIÁRIOS'!$O$5:$O$500,"&lt;=114499",'LANÇAMENTOS DIÁRIOS'!$P$5:$P$500,"&gt;=114400")&gt;0,"X","")</f>
      </c>
      <c r="AF75" s="56" t="str">
        <f>IF(COUNTIFS('LANÇAMENTOS DIÁRIOS'!$G$5:$G$500,"F",'LANÇAMENTOS DIÁRIOS'!$C$5:$C$500,$A75,'LANÇAMENTOS DIÁRIOS'!$O$5:$O$500,"&lt;=114599",'LANÇAMENTOS DIÁRIOS'!$P$5:$P$500,"&gt;=114500")&gt;0,"X","")</f>
      </c>
      <c r="AG75" s="56" t="str">
        <f>IF(COUNTIFS('LANÇAMENTOS DIÁRIOS'!$G$5:$G$500,"F",'LANÇAMENTOS DIÁRIOS'!$C$5:$C$500,$A75,'LANÇAMENTOS DIÁRIOS'!$O$5:$O$500,"&lt;=114699",'LANÇAMENTOS DIÁRIOS'!$P$5:$P$500,"&gt;=114600")&gt;0,"X","")</f>
      </c>
      <c r="AH75" s="56" t="str">
        <f>IF(COUNTIFS('LANÇAMENTOS DIÁRIOS'!$G$5:$G$500,"F",'LANÇAMENTOS DIÁRIOS'!$C$5:$C$500,$A75,'LANÇAMENTOS DIÁRIOS'!$O$5:$O$500,"&lt;=114799",'LANÇAMENTOS DIÁRIOS'!$P$5:$P$500,"&gt;=114700")&gt;0,"X","")</f>
      </c>
      <c r="AI75" s="56" t="str">
        <f>IF(COUNTIFS('LANÇAMENTOS DIÁRIOS'!$G$5:$G$500,"F",'LANÇAMENTOS DIÁRIOS'!$C$5:$C$500,$A75,'LANÇAMENTOS DIÁRIOS'!$O$5:$O$500,"&lt;=114899",'LANÇAMENTOS DIÁRIOS'!$P$5:$P$500,"&gt;=114800")&gt;0,"X","")</f>
      </c>
      <c r="AJ75" s="56" t="str">
        <f>IF(COUNTIFS('LANÇAMENTOS DIÁRIOS'!$G$5:$G$500,"F",'LANÇAMENTOS DIÁRIOS'!$C$5:$C$500,$A75,'LANÇAMENTOS DIÁRIOS'!$O$5:$O$500,"&lt;=114999",'LANÇAMENTOS DIÁRIOS'!$P$5:$P$500,"&gt;=114900")&gt;0,"X","")</f>
      </c>
      <c r="AK75" s="56" t="str">
        <f>IF(COUNTIFS('LANÇAMENTOS DIÁRIOS'!$G$5:$G$500,"F",'LANÇAMENTOS DIÁRIOS'!$C$5:$C$500,$A75,'LANÇAMENTOS DIÁRIOS'!$O$5:$O$500,"&lt;=115099",'LANÇAMENTOS DIÁRIOS'!$P$5:$P$500,"&gt;=115000")&gt;0,"X","")</f>
      </c>
      <c r="AL75" s="56" t="str">
        <f>IF(COUNTIFS('LANÇAMENTOS DIÁRIOS'!$G$5:$G$500,"F",'LANÇAMENTOS DIÁRIOS'!$C$5:$C$500,$A75,'LANÇAMENTOS DIÁRIOS'!$O$5:$O$500,"&lt;=115199",'LANÇAMENTOS DIÁRIOS'!$P$5:$P$500,"&gt;=115100")&gt;0,"X","")</f>
      </c>
      <c r="AM75" s="56" t="str">
        <f>IF(COUNTIFS('LANÇAMENTOS DIÁRIOS'!$G$5:$G$500,"F",'LANÇAMENTOS DIÁRIOS'!$C$5:$C$500,$A75,'LANÇAMENTOS DIÁRIOS'!$O$5:$O$500,"&lt;=115299",'LANÇAMENTOS DIÁRIOS'!$P$5:$P$500,"&gt;=115200")&gt;0,"X","")</f>
      </c>
      <c r="AN75" s="56" t="str">
        <f>IF(COUNTIFS('LANÇAMENTOS DIÁRIOS'!$G$5:$G$500,"F",'LANÇAMENTOS DIÁRIOS'!$C$5:$C$500,$A75,'LANÇAMENTOS DIÁRIOS'!$O$5:$O$500,"&lt;=115399",'LANÇAMENTOS DIÁRIOS'!$P$5:$P$500,"&gt;=115300")&gt;0,"X","")</f>
      </c>
      <c r="AO75" s="56" t="str">
        <f>IF(COUNTIFS('LANÇAMENTOS DIÁRIOS'!$G$5:$G$500,"F",'LANÇAMENTOS DIÁRIOS'!$C$5:$C$500,$A75,'LANÇAMENTOS DIÁRIOS'!$O$5:$O$500,"&lt;=115499",'LANÇAMENTOS DIÁRIOS'!$P$5:$P$500,"&gt;=115400")&gt;0,"X","")</f>
      </c>
      <c r="AP75" s="56" t="str">
        <f>IF(COUNTIFS('LANÇAMENTOS DIÁRIOS'!$G$5:$G$500,"F",'LANÇAMENTOS DIÁRIOS'!$C$5:$C$500,$A75,'LANÇAMENTOS DIÁRIOS'!$O$5:$O$500,"&lt;=115599",'LANÇAMENTOS DIÁRIOS'!$P$5:$P$500,"&gt;=115500")&gt;0,"X","")</f>
      </c>
      <c r="AQ75" s="56" t="str">
        <f>IF(COUNTIFS('LANÇAMENTOS DIÁRIOS'!$G$5:$G$500,"F",'LANÇAMENTOS DIÁRIOS'!$C$5:$C$500,$A75,'LANÇAMENTOS DIÁRIOS'!$O$5:$O$500,"&lt;=115699",'LANÇAMENTOS DIÁRIOS'!$P$5:$P$500,"&gt;=115600")&gt;0,"X","")</f>
      </c>
      <c r="AR75" s="56" t="str">
        <f>IF(COUNTIFS('LANÇAMENTOS DIÁRIOS'!$G$5:$G$500,"F",'LANÇAMENTOS DIÁRIOS'!$C$5:$C$500,$A75,'LANÇAMENTOS DIÁRIOS'!$O$5:$O$500,"&lt;=115799",'LANÇAMENTOS DIÁRIOS'!$P$5:$P$500,"&gt;=115700")&gt;0,"X","")</f>
      </c>
      <c r="AS75" s="56" t="str">
        <f>IF(COUNTIFS('LANÇAMENTOS DIÁRIOS'!$G$5:$G$500,"F",'LANÇAMENTOS DIÁRIOS'!$C$5:$C$500,$A75,'LANÇAMENTOS DIÁRIOS'!$O$5:$O$500,"&lt;=115899",'LANÇAMENTOS DIÁRIOS'!$P$5:$P$500,"&gt;=115800")&gt;0,"X","")</f>
      </c>
      <c r="AT75" s="56" t="str">
        <f>IF(COUNTIFS('LANÇAMENTOS DIÁRIOS'!$G$5:$G$500,"F",'LANÇAMENTOS DIÁRIOS'!$C$5:$C$500,$A75,'LANÇAMENTOS DIÁRIOS'!$O$5:$O$500,"&lt;=115999",'LANÇAMENTOS DIÁRIOS'!$P$5:$P$500,"&gt;=115900")&gt;0,"X","")</f>
      </c>
      <c r="AU75" s="56" t="str">
        <f>IF(COUNTIFS('LANÇAMENTOS DIÁRIOS'!$G$5:$G$500,"F",'LANÇAMENTOS DIÁRIOS'!$C$5:$C$500,$A75,'LANÇAMENTOS DIÁRIOS'!$O$5:$O$500,"&lt;=116099",'LANÇAMENTOS DIÁRIOS'!$P$5:$P$500,"&gt;=116000")&gt;0,"X","")</f>
      </c>
      <c r="AV75" s="56" t="str">
        <f>IF(COUNTIFS('LANÇAMENTOS DIÁRIOS'!$G$5:$G$500,"F",'LANÇAMENTOS DIÁRIOS'!$C$5:$C$500,$A75,'LANÇAMENTOS DIÁRIOS'!$O$5:$O$500,"&lt;=116199",'LANÇAMENTOS DIÁRIOS'!$P$5:$P$500,"&gt;=116100")&gt;0,"X","")</f>
      </c>
      <c r="AW75" s="56" t="str">
        <f>IF(COUNTIFS('LANÇAMENTOS DIÁRIOS'!$G$5:$G$500,"F",'LANÇAMENTOS DIÁRIOS'!$C$5:$C$500,$A75,'LANÇAMENTOS DIÁRIOS'!$O$5:$O$500,"&lt;=116299",'LANÇAMENTOS DIÁRIOS'!$P$5:$P$500,"&gt;=116200")&gt;0,"X","")</f>
      </c>
      <c r="AX75" s="56" t="str">
        <f>IF(COUNTIFS('LANÇAMENTOS DIÁRIOS'!$G$5:$G$500,"F",'LANÇAMENTOS DIÁRIOS'!$C$5:$C$500,$A75,'LANÇAMENTOS DIÁRIOS'!$O$5:$O$500,"&lt;=116399",'LANÇAMENTOS DIÁRIOS'!$P$5:$P$500,"&gt;=116300")&gt;0,"X","")</f>
      </c>
      <c r="AY75" s="56" t="str">
        <f>IF(COUNTIFS('LANÇAMENTOS DIÁRIOS'!$G$5:$G$500,"F",'LANÇAMENTOS DIÁRIOS'!$C$5:$C$500,$A75,'LANÇAMENTOS DIÁRIOS'!$O$5:$O$500,"&lt;=116499",'LANÇAMENTOS DIÁRIOS'!$P$5:$P$500,"&gt;=116400")&gt;0,"X","")</f>
      </c>
      <c r="AZ75" s="56" t="str">
        <f>IF(COUNTIFS('LANÇAMENTOS DIÁRIOS'!$G$5:$G$500,"F",'LANÇAMENTOS DIÁRIOS'!$C$5:$C$500,$A75,'LANÇAMENTOS DIÁRIOS'!$O$5:$O$500,"&lt;=116599",'LANÇAMENTOS DIÁRIOS'!$P$5:$P$500,"&gt;=116500")&gt;0,"X","")</f>
      </c>
      <c r="BA75" s="56" t="str">
        <f>IF(COUNTIFS('LANÇAMENTOS DIÁRIOS'!$G$5:$G$500,"F",'LANÇAMENTOS DIÁRIOS'!$C$5:$C$500,$A75,'LANÇAMENTOS DIÁRIOS'!$O$5:$O$500,"&lt;=116699",'LANÇAMENTOS DIÁRIOS'!$P$5:$P$500,"&gt;=116600")&gt;0,"X","")</f>
      </c>
      <c r="BB75" s="56" t="str">
        <f>IF(COUNTIFS('LANÇAMENTOS DIÁRIOS'!$G$5:$G$500,"F",'LANÇAMENTOS DIÁRIOS'!$C$5:$C$500,$A75,'LANÇAMENTOS DIÁRIOS'!$O$5:$O$500,"&lt;=116799",'LANÇAMENTOS DIÁRIOS'!$P$5:$P$500,"&gt;=116700")&gt;0,"X","")</f>
      </c>
      <c r="BC75" s="56" t="str">
        <f>IF(COUNTIFS('LANÇAMENTOS DIÁRIOS'!$G$5:$G$500,"F",'LANÇAMENTOS DIÁRIOS'!$C$5:$C$500,$A75,'LANÇAMENTOS DIÁRIOS'!$O$5:$O$500,"&lt;=116899",'LANÇAMENTOS DIÁRIOS'!$P$5:$P$500,"&gt;=116800")&gt;0,"X","")</f>
      </c>
      <c r="BD75" s="56" t="str">
        <f>IF(COUNTIFS('LANÇAMENTOS DIÁRIOS'!$G$5:$G$500,"F",'LANÇAMENTOS DIÁRIOS'!$C$5:$C$500,$A75,'LANÇAMENTOS DIÁRIOS'!$O$5:$O$500,"&lt;=116999",'LANÇAMENTOS DIÁRIOS'!$P$5:$P$500,"&gt;=116900")&gt;0,"X","")</f>
      </c>
      <c r="BE75" s="56" t="str">
        <f>IF(COUNTIFS('LANÇAMENTOS DIÁRIOS'!$G$5:$G$500,"F",'LANÇAMENTOS DIÁRIOS'!$C$5:$C$500,$A75,'LANÇAMENTOS DIÁRIOS'!$O$5:$O$500,"&lt;=117099",'LANÇAMENTOS DIÁRIOS'!$P$5:$P$500,"&gt;=117000")&gt;0,"X","")</f>
      </c>
      <c r="BF75" s="56" t="str">
        <f>IF(COUNTIFS('LANÇAMENTOS DIÁRIOS'!$G$5:$G$500,"F",'LANÇAMENTOS DIÁRIOS'!$C$5:$C$500,$A75,'LANÇAMENTOS DIÁRIOS'!$O$5:$O$500,"&lt;=117199",'LANÇAMENTOS DIÁRIOS'!$P$5:$P$500,"&gt;=117100")&gt;0,"X","")</f>
      </c>
      <c r="BG75" s="56" t="str">
        <f>IF(COUNTIFS('LANÇAMENTOS DIÁRIOS'!$G$5:$G$500,"F",'LANÇAMENTOS DIÁRIOS'!$C$5:$C$500,$A75,'LANÇAMENTOS DIÁRIOS'!$O$5:$O$500,"&lt;=117219",'LANÇAMENTOS DIÁRIOS'!$P$5:$P$500,"&gt;=117200")&gt;0,"X","")</f>
      </c>
      <c r="BH75" s="56" t="str">
        <f>IF(COUNTIFS('LANÇAMENTOS DIÁRIOS'!$G$5:$G$500,"F",'LANÇAMENTOS DIÁRIOS'!$C$5:$C$500,$A75,'LANÇAMENTOS DIÁRIOS'!$O$5:$O$500,"&lt;=117220",'LANÇAMENTOS DIÁRIOS'!$P$5:$P$500,"&gt;=117220")&gt;0,"X","")</f>
      </c>
    </row>
    <row r="76">
      <c r="A76" s="51" t="str">
        <v>Demolição de pavimento, camada granular</v>
      </c>
      <c r="B76" s="56" t="str">
        <f>IF(COUNTIFS('LANÇAMENTOS DIÁRIOS'!$G$5:$G$500,"F",'LANÇAMENTOS DIÁRIOS'!$C$5:$C$500,$A76,'LANÇAMENTOS DIÁRIOS'!$O$5:$O$500,"&lt;=111599",'LANÇAMENTOS DIÁRIOS'!$P$5:$P$500,"&gt;=111500")&gt;0,"X","")</f>
      </c>
      <c r="C76" s="56" t="str">
        <f>IF(COUNTIFS('LANÇAMENTOS DIÁRIOS'!$G$5:$G$500,"F",'LANÇAMENTOS DIÁRIOS'!$C$5:$C$500,$A76,'LANÇAMENTOS DIÁRIOS'!$O$5:$O$500,"&lt;=111699",'LANÇAMENTOS DIÁRIOS'!$P$5:$P$500,"&gt;=111600")&gt;0,"X","")</f>
      </c>
      <c r="D76" s="56" t="str">
        <f>IF(COUNTIFS('LANÇAMENTOS DIÁRIOS'!$G$5:$G$500,"F",'LANÇAMENTOS DIÁRIOS'!$C$5:$C$500,$A76,'LANÇAMENTOS DIÁRIOS'!$O$5:$O$500,"&lt;=111799",'LANÇAMENTOS DIÁRIOS'!$P$5:$P$500,"&gt;=111700")&gt;0,"X","")</f>
      </c>
      <c r="E76" s="56" t="str">
        <f>IF(COUNTIFS('LANÇAMENTOS DIÁRIOS'!$G$5:$G$500,"F",'LANÇAMENTOS DIÁRIOS'!$C$5:$C$500,$A76,'LANÇAMENTOS DIÁRIOS'!$O$5:$O$500,"&lt;=111899",'LANÇAMENTOS DIÁRIOS'!$P$5:$P$500,"&gt;=111800")&gt;0,"X","")</f>
      </c>
      <c r="F76" s="56" t="str">
        <f>IF(COUNTIFS('LANÇAMENTOS DIÁRIOS'!$G$5:$G$500,"F",'LANÇAMENTOS DIÁRIOS'!$C$5:$C$500,$A76,'LANÇAMENTOS DIÁRIOS'!$O$5:$O$500,"&lt;=111999",'LANÇAMENTOS DIÁRIOS'!$P$5:$P$500,"&gt;=111900")&gt;0,"X","")</f>
      </c>
      <c r="G76" s="56" t="str">
        <f>IF(COUNTIFS('LANÇAMENTOS DIÁRIOS'!$G$5:$G$500,"F",'LANÇAMENTOS DIÁRIOS'!$C$5:$C$500,$A76,'LANÇAMENTOS DIÁRIOS'!$O$5:$O$500,"&lt;=112099",'LANÇAMENTOS DIÁRIOS'!$P$5:$P$500,"&gt;=112000")&gt;0,"X","")</f>
      </c>
      <c r="H76" s="56" t="str">
        <f>IF(COUNTIFS('LANÇAMENTOS DIÁRIOS'!$G$5:$G$500,"F",'LANÇAMENTOS DIÁRIOS'!$C$5:$C$500,$A76,'LANÇAMENTOS DIÁRIOS'!$O$5:$O$500,"&lt;=112199",'LANÇAMENTOS DIÁRIOS'!$P$5:$P$500,"&gt;=112100")&gt;0,"X","")</f>
      </c>
      <c r="I76" s="56" t="str">
        <f>IF(COUNTIFS('LANÇAMENTOS DIÁRIOS'!$G$5:$G$500,"F",'LANÇAMENTOS DIÁRIOS'!$C$5:$C$500,$A76,'LANÇAMENTOS DIÁRIOS'!$O$5:$O$500,"&lt;=112299",'LANÇAMENTOS DIÁRIOS'!$P$5:$P$500,"&gt;=112200")&gt;0,"X","")</f>
      </c>
      <c r="J76" s="56" t="str">
        <f>IF(COUNTIFS('LANÇAMENTOS DIÁRIOS'!$G$5:$G$500,"F",'LANÇAMENTOS DIÁRIOS'!$C$5:$C$500,$A76,'LANÇAMENTOS DIÁRIOS'!$O$5:$O$500,"&lt;=112399",'LANÇAMENTOS DIÁRIOS'!$P$5:$P$500,"&gt;=112300")&gt;0,"X","")</f>
      </c>
      <c r="K76" s="56" t="str">
        <f>IF(COUNTIFS('LANÇAMENTOS DIÁRIOS'!$G$5:$G$500,"F",'LANÇAMENTOS DIÁRIOS'!$C$5:$C$500,$A76,'LANÇAMENTOS DIÁRIOS'!$O$5:$O$500,"&lt;=112499",'LANÇAMENTOS DIÁRIOS'!$P$5:$P$500,"&gt;=112400")&gt;0,"X","")</f>
      </c>
      <c r="L76" s="56" t="str">
        <f>IF(COUNTIFS('LANÇAMENTOS DIÁRIOS'!$G$5:$G$500,"F",'LANÇAMENTOS DIÁRIOS'!$C$5:$C$500,$A76,'LANÇAMENTOS DIÁRIOS'!$O$5:$O$500,"&lt;=112599",'LANÇAMENTOS DIÁRIOS'!$P$5:$P$500,"&gt;=112500")&gt;0,"X","")</f>
      </c>
      <c r="M76" s="56" t="str">
        <f>IF(COUNTIFS('LANÇAMENTOS DIÁRIOS'!$G$5:$G$500,"F",'LANÇAMENTOS DIÁRIOS'!$C$5:$C$500,$A76,'LANÇAMENTOS DIÁRIOS'!$O$5:$O$500,"&lt;=112699",'LANÇAMENTOS DIÁRIOS'!$P$5:$P$500,"&gt;=112600")&gt;0,"X","")</f>
      </c>
      <c r="N76" s="56" t="str">
        <f>IF(COUNTIFS('LANÇAMENTOS DIÁRIOS'!$G$5:$G$500,"F",'LANÇAMENTOS DIÁRIOS'!$C$5:$C$500,$A76,'LANÇAMENTOS DIÁRIOS'!$O$5:$O$500,"&lt;=112799",'LANÇAMENTOS DIÁRIOS'!$P$5:$P$500,"&gt;=112700")&gt;0,"X","")</f>
      </c>
      <c r="O76" s="56" t="str">
        <f>IF(COUNTIFS('LANÇAMENTOS DIÁRIOS'!$G$5:$G$500,"F",'LANÇAMENTOS DIÁRIOS'!$C$5:$C$500,$A76,'LANÇAMENTOS DIÁRIOS'!$O$5:$O$500,"&lt;=112899",'LANÇAMENTOS DIÁRIOS'!$P$5:$P$500,"&gt;=112800")&gt;0,"X","")</f>
      </c>
      <c r="P76" s="56" t="str">
        <f>IF(COUNTIFS('LANÇAMENTOS DIÁRIOS'!$G$5:$G$500,"F",'LANÇAMENTOS DIÁRIOS'!$C$5:$C$500,$A76,'LANÇAMENTOS DIÁRIOS'!$O$5:$O$500,"&lt;=112999",'LANÇAMENTOS DIÁRIOS'!$P$5:$P$500,"&gt;=112900")&gt;0,"X","")</f>
      </c>
      <c r="Q76" s="56" t="str">
        <f>IF(COUNTIFS('LANÇAMENTOS DIÁRIOS'!$G$5:$G$500,"F",'LANÇAMENTOS DIÁRIOS'!$C$5:$C$500,$A76,'LANÇAMENTOS DIÁRIOS'!$O$5:$O$500,"&lt;=113099",'LANÇAMENTOS DIÁRIOS'!$P$5:$P$500,"&gt;=113000")&gt;0,"X","")</f>
      </c>
      <c r="R76" s="56" t="str">
        <f>IF(COUNTIFS('LANÇAMENTOS DIÁRIOS'!$G$5:$G$500,"F",'LANÇAMENTOS DIÁRIOS'!$C$5:$C$500,$A76,'LANÇAMENTOS DIÁRIOS'!$O$5:$O$500,"&lt;=113199",'LANÇAMENTOS DIÁRIOS'!$P$5:$P$500,"&gt;=113100")&gt;0,"X","")</f>
      </c>
      <c r="S76" s="56" t="str">
        <f>IF(COUNTIFS('LANÇAMENTOS DIÁRIOS'!$G$5:$G$500,"F",'LANÇAMENTOS DIÁRIOS'!$C$5:$C$500,$A76,'LANÇAMENTOS DIÁRIOS'!$O$5:$O$500,"&lt;=113299",'LANÇAMENTOS DIÁRIOS'!$P$5:$P$500,"&gt;=113200")&gt;0,"X","")</f>
      </c>
      <c r="T76" s="56" t="str">
        <f>IF(COUNTIFS('LANÇAMENTOS DIÁRIOS'!$G$5:$G$500,"F",'LANÇAMENTOS DIÁRIOS'!$C$5:$C$500,$A76,'LANÇAMENTOS DIÁRIOS'!$O$5:$O$500,"&lt;=113399",'LANÇAMENTOS DIÁRIOS'!$P$5:$P$500,"&gt;=113300")&gt;0,"X","")</f>
      </c>
      <c r="U76" s="56" t="str">
        <f>IF(COUNTIFS('LANÇAMENTOS DIÁRIOS'!$G$5:$G$500,"F",'LANÇAMENTOS DIÁRIOS'!$C$5:$C$500,$A76,'LANÇAMENTOS DIÁRIOS'!$O$5:$O$500,"&lt;=113499",'LANÇAMENTOS DIÁRIOS'!$P$5:$P$500,"&gt;=113400")&gt;0,"X","")</f>
      </c>
      <c r="V76" s="56" t="str">
        <f>IF(COUNTIFS('LANÇAMENTOS DIÁRIOS'!$G$5:$G$500,"F",'LANÇAMENTOS DIÁRIOS'!$C$5:$C$500,$A76,'LANÇAMENTOS DIÁRIOS'!$O$5:$O$500,"&lt;=113599",'LANÇAMENTOS DIÁRIOS'!$P$5:$P$500,"&gt;=113500")&gt;0,"X","")</f>
      </c>
      <c r="W76" s="56" t="str">
        <f>IF(COUNTIFS('LANÇAMENTOS DIÁRIOS'!$G$5:$G$500,"F",'LANÇAMENTOS DIÁRIOS'!$C$5:$C$500,$A76,'LANÇAMENTOS DIÁRIOS'!$O$5:$O$500,"&lt;=113699",'LANÇAMENTOS DIÁRIOS'!$P$5:$P$500,"&gt;=113600")&gt;0,"X","")</f>
      </c>
      <c r="X76" s="56" t="str">
        <f>IF(COUNTIFS('LANÇAMENTOS DIÁRIOS'!$G$5:$G$500,"F",'LANÇAMENTOS DIÁRIOS'!$C$5:$C$500,$A76,'LANÇAMENTOS DIÁRIOS'!$O$5:$O$500,"&lt;=113799",'LANÇAMENTOS DIÁRIOS'!$P$5:$P$500,"&gt;=113700")&gt;0,"X","")</f>
      </c>
      <c r="Y76" s="56" t="str">
        <f>IF(COUNTIFS('LANÇAMENTOS DIÁRIOS'!$G$5:$G$500,"F",'LANÇAMENTOS DIÁRIOS'!$C$5:$C$500,$A76,'LANÇAMENTOS DIÁRIOS'!$O$5:$O$500,"&lt;=113899",'LANÇAMENTOS DIÁRIOS'!$P$5:$P$500,"&gt;=113800")&gt;0,"X","")</f>
      </c>
      <c r="Z76" s="56" t="str">
        <f>IF(COUNTIFS('LANÇAMENTOS DIÁRIOS'!$G$5:$G$500,"F",'LANÇAMENTOS DIÁRIOS'!$C$5:$C$500,$A76,'LANÇAMENTOS DIÁRIOS'!$O$5:$O$500,"&lt;=113999",'LANÇAMENTOS DIÁRIOS'!$P$5:$P$500,"&gt;=113900")&gt;0,"X","")</f>
      </c>
      <c r="AA76" s="56" t="str">
        <f>IF(COUNTIFS('LANÇAMENTOS DIÁRIOS'!$G$5:$G$500,"F",'LANÇAMENTOS DIÁRIOS'!$C$5:$C$500,$A76,'LANÇAMENTOS DIÁRIOS'!$O$5:$O$500,"&lt;=114099",'LANÇAMENTOS DIÁRIOS'!$P$5:$P$500,"&gt;=114000")&gt;0,"X","")</f>
      </c>
      <c r="AB76" s="56" t="str">
        <f>IF(COUNTIFS('LANÇAMENTOS DIÁRIOS'!$G$5:$G$500,"F",'LANÇAMENTOS DIÁRIOS'!$C$5:$C$500,$A76,'LANÇAMENTOS DIÁRIOS'!$O$5:$O$500,"&lt;=114199",'LANÇAMENTOS DIÁRIOS'!$P$5:$P$500,"&gt;=114100")&gt;0,"X","")</f>
      </c>
      <c r="AC76" s="56" t="str">
        <f>IF(COUNTIFS('LANÇAMENTOS DIÁRIOS'!$G$5:$G$500,"F",'LANÇAMENTOS DIÁRIOS'!$C$5:$C$500,$A76,'LANÇAMENTOS DIÁRIOS'!$O$5:$O$500,"&lt;=114299",'LANÇAMENTOS DIÁRIOS'!$P$5:$P$500,"&gt;=114200")&gt;0,"X","")</f>
      </c>
      <c r="AD76" s="56" t="str">
        <f>IF(COUNTIFS('LANÇAMENTOS DIÁRIOS'!$G$5:$G$500,"F",'LANÇAMENTOS DIÁRIOS'!$C$5:$C$500,$A76,'LANÇAMENTOS DIÁRIOS'!$O$5:$O$500,"&lt;=114399",'LANÇAMENTOS DIÁRIOS'!$P$5:$P$500,"&gt;=114300")&gt;0,"X","")</f>
      </c>
      <c r="AE76" s="56" t="str">
        <f>IF(COUNTIFS('LANÇAMENTOS DIÁRIOS'!$G$5:$G$500,"F",'LANÇAMENTOS DIÁRIOS'!$C$5:$C$500,$A76,'LANÇAMENTOS DIÁRIOS'!$O$5:$O$500,"&lt;=114499",'LANÇAMENTOS DIÁRIOS'!$P$5:$P$500,"&gt;=114400")&gt;0,"X","")</f>
      </c>
      <c r="AF76" s="56" t="str">
        <f>IF(COUNTIFS('LANÇAMENTOS DIÁRIOS'!$G$5:$G$500,"F",'LANÇAMENTOS DIÁRIOS'!$C$5:$C$500,$A76,'LANÇAMENTOS DIÁRIOS'!$O$5:$O$500,"&lt;=114599",'LANÇAMENTOS DIÁRIOS'!$P$5:$P$500,"&gt;=114500")&gt;0,"X","")</f>
      </c>
      <c r="AG76" s="56" t="str">
        <f>IF(COUNTIFS('LANÇAMENTOS DIÁRIOS'!$G$5:$G$500,"F",'LANÇAMENTOS DIÁRIOS'!$C$5:$C$500,$A76,'LANÇAMENTOS DIÁRIOS'!$O$5:$O$500,"&lt;=114699",'LANÇAMENTOS DIÁRIOS'!$P$5:$P$500,"&gt;=114600")&gt;0,"X","")</f>
      </c>
      <c r="AH76" s="56" t="str">
        <f>IF(COUNTIFS('LANÇAMENTOS DIÁRIOS'!$G$5:$G$500,"F",'LANÇAMENTOS DIÁRIOS'!$C$5:$C$500,$A76,'LANÇAMENTOS DIÁRIOS'!$O$5:$O$500,"&lt;=114799",'LANÇAMENTOS DIÁRIOS'!$P$5:$P$500,"&gt;=114700")&gt;0,"X","")</f>
      </c>
      <c r="AI76" s="56" t="str">
        <f>IF(COUNTIFS('LANÇAMENTOS DIÁRIOS'!$G$5:$G$500,"F",'LANÇAMENTOS DIÁRIOS'!$C$5:$C$500,$A76,'LANÇAMENTOS DIÁRIOS'!$O$5:$O$500,"&lt;=114899",'LANÇAMENTOS DIÁRIOS'!$P$5:$P$500,"&gt;=114800")&gt;0,"X","")</f>
      </c>
      <c r="AJ76" s="56" t="str">
        <f>IF(COUNTIFS('LANÇAMENTOS DIÁRIOS'!$G$5:$G$500,"F",'LANÇAMENTOS DIÁRIOS'!$C$5:$C$500,$A76,'LANÇAMENTOS DIÁRIOS'!$O$5:$O$500,"&lt;=114999",'LANÇAMENTOS DIÁRIOS'!$P$5:$P$500,"&gt;=114900")&gt;0,"X","")</f>
      </c>
      <c r="AK76" s="56" t="str">
        <f>IF(COUNTIFS('LANÇAMENTOS DIÁRIOS'!$G$5:$G$500,"F",'LANÇAMENTOS DIÁRIOS'!$C$5:$C$500,$A76,'LANÇAMENTOS DIÁRIOS'!$O$5:$O$500,"&lt;=115099",'LANÇAMENTOS DIÁRIOS'!$P$5:$P$500,"&gt;=115000")&gt;0,"X","")</f>
      </c>
      <c r="AL76" s="56" t="str">
        <f>IF(COUNTIFS('LANÇAMENTOS DIÁRIOS'!$G$5:$G$500,"F",'LANÇAMENTOS DIÁRIOS'!$C$5:$C$500,$A76,'LANÇAMENTOS DIÁRIOS'!$O$5:$O$500,"&lt;=115199",'LANÇAMENTOS DIÁRIOS'!$P$5:$P$500,"&gt;=115100")&gt;0,"X","")</f>
      </c>
      <c r="AM76" s="56" t="str">
        <f>IF(COUNTIFS('LANÇAMENTOS DIÁRIOS'!$G$5:$G$500,"F",'LANÇAMENTOS DIÁRIOS'!$C$5:$C$500,$A76,'LANÇAMENTOS DIÁRIOS'!$O$5:$O$500,"&lt;=115299",'LANÇAMENTOS DIÁRIOS'!$P$5:$P$500,"&gt;=115200")&gt;0,"X","")</f>
      </c>
      <c r="AN76" s="56" t="str">
        <f>IF(COUNTIFS('LANÇAMENTOS DIÁRIOS'!$G$5:$G$500,"F",'LANÇAMENTOS DIÁRIOS'!$C$5:$C$500,$A76,'LANÇAMENTOS DIÁRIOS'!$O$5:$O$500,"&lt;=115399",'LANÇAMENTOS DIÁRIOS'!$P$5:$P$500,"&gt;=115300")&gt;0,"X","")</f>
      </c>
      <c r="AO76" s="56" t="str">
        <f>IF(COUNTIFS('LANÇAMENTOS DIÁRIOS'!$G$5:$G$500,"F",'LANÇAMENTOS DIÁRIOS'!$C$5:$C$500,$A76,'LANÇAMENTOS DIÁRIOS'!$O$5:$O$500,"&lt;=115499",'LANÇAMENTOS DIÁRIOS'!$P$5:$P$500,"&gt;=115400")&gt;0,"X","")</f>
      </c>
      <c r="AP76" s="56" t="str">
        <f>IF(COUNTIFS('LANÇAMENTOS DIÁRIOS'!$G$5:$G$500,"F",'LANÇAMENTOS DIÁRIOS'!$C$5:$C$500,$A76,'LANÇAMENTOS DIÁRIOS'!$O$5:$O$500,"&lt;=115599",'LANÇAMENTOS DIÁRIOS'!$P$5:$P$500,"&gt;=115500")&gt;0,"X","")</f>
      </c>
      <c r="AQ76" s="56" t="str">
        <f>IF(COUNTIFS('LANÇAMENTOS DIÁRIOS'!$G$5:$G$500,"F",'LANÇAMENTOS DIÁRIOS'!$C$5:$C$500,$A76,'LANÇAMENTOS DIÁRIOS'!$O$5:$O$500,"&lt;=115699",'LANÇAMENTOS DIÁRIOS'!$P$5:$P$500,"&gt;=115600")&gt;0,"X","")</f>
      </c>
      <c r="AR76" s="56" t="str">
        <f>IF(COUNTIFS('LANÇAMENTOS DIÁRIOS'!$G$5:$G$500,"F",'LANÇAMENTOS DIÁRIOS'!$C$5:$C$500,$A76,'LANÇAMENTOS DIÁRIOS'!$O$5:$O$500,"&lt;=115799",'LANÇAMENTOS DIÁRIOS'!$P$5:$P$500,"&gt;=115700")&gt;0,"X","")</f>
      </c>
      <c r="AS76" s="56" t="str">
        <f>IF(COUNTIFS('LANÇAMENTOS DIÁRIOS'!$G$5:$G$500,"F",'LANÇAMENTOS DIÁRIOS'!$C$5:$C$500,$A76,'LANÇAMENTOS DIÁRIOS'!$O$5:$O$500,"&lt;=115899",'LANÇAMENTOS DIÁRIOS'!$P$5:$P$500,"&gt;=115800")&gt;0,"X","")</f>
      </c>
      <c r="AT76" s="56" t="str">
        <f>IF(COUNTIFS('LANÇAMENTOS DIÁRIOS'!$G$5:$G$500,"F",'LANÇAMENTOS DIÁRIOS'!$C$5:$C$500,$A76,'LANÇAMENTOS DIÁRIOS'!$O$5:$O$500,"&lt;=115999",'LANÇAMENTOS DIÁRIOS'!$P$5:$P$500,"&gt;=115900")&gt;0,"X","")</f>
      </c>
      <c r="AU76" s="56" t="str">
        <f>IF(COUNTIFS('LANÇAMENTOS DIÁRIOS'!$G$5:$G$500,"F",'LANÇAMENTOS DIÁRIOS'!$C$5:$C$500,$A76,'LANÇAMENTOS DIÁRIOS'!$O$5:$O$500,"&lt;=116099",'LANÇAMENTOS DIÁRIOS'!$P$5:$P$500,"&gt;=116000")&gt;0,"X","")</f>
      </c>
      <c r="AV76" s="56" t="str">
        <f>IF(COUNTIFS('LANÇAMENTOS DIÁRIOS'!$G$5:$G$500,"F",'LANÇAMENTOS DIÁRIOS'!$C$5:$C$500,$A76,'LANÇAMENTOS DIÁRIOS'!$O$5:$O$500,"&lt;=116199",'LANÇAMENTOS DIÁRIOS'!$P$5:$P$500,"&gt;=116100")&gt;0,"X","")</f>
      </c>
      <c r="AW76" s="56" t="str">
        <f>IF(COUNTIFS('LANÇAMENTOS DIÁRIOS'!$G$5:$G$500,"F",'LANÇAMENTOS DIÁRIOS'!$C$5:$C$500,$A76,'LANÇAMENTOS DIÁRIOS'!$O$5:$O$500,"&lt;=116299",'LANÇAMENTOS DIÁRIOS'!$P$5:$P$500,"&gt;=116200")&gt;0,"X","")</f>
      </c>
      <c r="AX76" s="56" t="str">
        <f>IF(COUNTIFS('LANÇAMENTOS DIÁRIOS'!$G$5:$G$500,"F",'LANÇAMENTOS DIÁRIOS'!$C$5:$C$500,$A76,'LANÇAMENTOS DIÁRIOS'!$O$5:$O$500,"&lt;=116399",'LANÇAMENTOS DIÁRIOS'!$P$5:$P$500,"&gt;=116300")&gt;0,"X","")</f>
      </c>
      <c r="AY76" s="56" t="str">
        <f>IF(COUNTIFS('LANÇAMENTOS DIÁRIOS'!$G$5:$G$500,"F",'LANÇAMENTOS DIÁRIOS'!$C$5:$C$500,$A76,'LANÇAMENTOS DIÁRIOS'!$O$5:$O$500,"&lt;=116499",'LANÇAMENTOS DIÁRIOS'!$P$5:$P$500,"&gt;=116400")&gt;0,"X","")</f>
      </c>
      <c r="AZ76" s="56" t="str">
        <f>IF(COUNTIFS('LANÇAMENTOS DIÁRIOS'!$G$5:$G$500,"F",'LANÇAMENTOS DIÁRIOS'!$C$5:$C$500,$A76,'LANÇAMENTOS DIÁRIOS'!$O$5:$O$500,"&lt;=116599",'LANÇAMENTOS DIÁRIOS'!$P$5:$P$500,"&gt;=116500")&gt;0,"X","")</f>
      </c>
      <c r="BA76" s="56" t="str">
        <f>IF(COUNTIFS('LANÇAMENTOS DIÁRIOS'!$G$5:$G$500,"F",'LANÇAMENTOS DIÁRIOS'!$C$5:$C$500,$A76,'LANÇAMENTOS DIÁRIOS'!$O$5:$O$500,"&lt;=116699",'LANÇAMENTOS DIÁRIOS'!$P$5:$P$500,"&gt;=116600")&gt;0,"X","")</f>
      </c>
      <c r="BB76" s="56" t="str">
        <f>IF(COUNTIFS('LANÇAMENTOS DIÁRIOS'!$G$5:$G$500,"F",'LANÇAMENTOS DIÁRIOS'!$C$5:$C$500,$A76,'LANÇAMENTOS DIÁRIOS'!$O$5:$O$500,"&lt;=116799",'LANÇAMENTOS DIÁRIOS'!$P$5:$P$500,"&gt;=116700")&gt;0,"X","")</f>
      </c>
      <c r="BC76" s="56" t="str">
        <f>IF(COUNTIFS('LANÇAMENTOS DIÁRIOS'!$G$5:$G$500,"F",'LANÇAMENTOS DIÁRIOS'!$C$5:$C$500,$A76,'LANÇAMENTOS DIÁRIOS'!$O$5:$O$500,"&lt;=116899",'LANÇAMENTOS DIÁRIOS'!$P$5:$P$500,"&gt;=116800")&gt;0,"X","")</f>
      </c>
      <c r="BD76" s="56" t="str">
        <f>IF(COUNTIFS('LANÇAMENTOS DIÁRIOS'!$G$5:$G$500,"F",'LANÇAMENTOS DIÁRIOS'!$C$5:$C$500,$A76,'LANÇAMENTOS DIÁRIOS'!$O$5:$O$500,"&lt;=116999",'LANÇAMENTOS DIÁRIOS'!$P$5:$P$500,"&gt;=116900")&gt;0,"X","")</f>
      </c>
      <c r="BE76" s="56" t="str">
        <f>IF(COUNTIFS('LANÇAMENTOS DIÁRIOS'!$G$5:$G$500,"F",'LANÇAMENTOS DIÁRIOS'!$C$5:$C$500,$A76,'LANÇAMENTOS DIÁRIOS'!$O$5:$O$500,"&lt;=117099",'LANÇAMENTOS DIÁRIOS'!$P$5:$P$500,"&gt;=117000")&gt;0,"X","")</f>
      </c>
      <c r="BF76" s="56" t="str">
        <f>IF(COUNTIFS('LANÇAMENTOS DIÁRIOS'!$G$5:$G$500,"F",'LANÇAMENTOS DIÁRIOS'!$C$5:$C$500,$A76,'LANÇAMENTOS DIÁRIOS'!$O$5:$O$500,"&lt;=117199",'LANÇAMENTOS DIÁRIOS'!$P$5:$P$500,"&gt;=117100")&gt;0,"X","")</f>
      </c>
      <c r="BG76" s="56" t="str">
        <f>IF(COUNTIFS('LANÇAMENTOS DIÁRIOS'!$G$5:$G$500,"F",'LANÇAMENTOS DIÁRIOS'!$C$5:$C$500,$A76,'LANÇAMENTOS DIÁRIOS'!$O$5:$O$500,"&lt;=117219",'LANÇAMENTOS DIÁRIOS'!$P$5:$P$500,"&gt;=117200")&gt;0,"X","")</f>
      </c>
      <c r="BH76" s="56" t="str">
        <f>IF(COUNTIFS('LANÇAMENTOS DIÁRIOS'!$G$5:$G$500,"F",'LANÇAMENTOS DIÁRIOS'!$C$5:$C$500,$A76,'LANÇAMENTOS DIÁRIOS'!$O$5:$O$500,"&lt;=117220",'LANÇAMENTOS DIÁRIOS'!$P$5:$P$500,"&gt;=117220")&gt;0,"X","")</f>
      </c>
    </row>
    <row r="77">
      <c r="A77" s="51" t="str">
        <v>Fresagem contínua do pavimento</v>
      </c>
      <c r="B77" s="56" t="str">
        <f>IF(COUNTIFS('LANÇAMENTOS DIÁRIOS'!$G$5:$G$500,"F",'LANÇAMENTOS DIÁRIOS'!$C$5:$C$500,$A77,'LANÇAMENTOS DIÁRIOS'!$O$5:$O$500,"&lt;=111599",'LANÇAMENTOS DIÁRIOS'!$P$5:$P$500,"&gt;=111500")&gt;0,"X","")</f>
      </c>
      <c r="C77" s="56" t="str">
        <f>IF(COUNTIFS('LANÇAMENTOS DIÁRIOS'!$G$5:$G$500,"F",'LANÇAMENTOS DIÁRIOS'!$C$5:$C$500,$A77,'LANÇAMENTOS DIÁRIOS'!$O$5:$O$500,"&lt;=111699",'LANÇAMENTOS DIÁRIOS'!$P$5:$P$500,"&gt;=111600")&gt;0,"X","")</f>
      </c>
      <c r="D77" s="56" t="str">
        <f>IF(COUNTIFS('LANÇAMENTOS DIÁRIOS'!$G$5:$G$500,"F",'LANÇAMENTOS DIÁRIOS'!$C$5:$C$500,$A77,'LANÇAMENTOS DIÁRIOS'!$O$5:$O$500,"&lt;=111799",'LANÇAMENTOS DIÁRIOS'!$P$5:$P$500,"&gt;=111700")&gt;0,"X","")</f>
      </c>
      <c r="E77" s="56" t="str">
        <f>IF(COUNTIFS('LANÇAMENTOS DIÁRIOS'!$G$5:$G$500,"F",'LANÇAMENTOS DIÁRIOS'!$C$5:$C$500,$A77,'LANÇAMENTOS DIÁRIOS'!$O$5:$O$500,"&lt;=111899",'LANÇAMENTOS DIÁRIOS'!$P$5:$P$500,"&gt;=111800")&gt;0,"X","")</f>
      </c>
      <c r="F77" s="56" t="str">
        <f>IF(COUNTIFS('LANÇAMENTOS DIÁRIOS'!$G$5:$G$500,"F",'LANÇAMENTOS DIÁRIOS'!$C$5:$C$500,$A77,'LANÇAMENTOS DIÁRIOS'!$O$5:$O$500,"&lt;=111999",'LANÇAMENTOS DIÁRIOS'!$P$5:$P$500,"&gt;=111900")&gt;0,"X","")</f>
      </c>
      <c r="G77" s="56" t="str">
        <f>IF(COUNTIFS('LANÇAMENTOS DIÁRIOS'!$G$5:$G$500,"F",'LANÇAMENTOS DIÁRIOS'!$C$5:$C$500,$A77,'LANÇAMENTOS DIÁRIOS'!$O$5:$O$500,"&lt;=112099",'LANÇAMENTOS DIÁRIOS'!$P$5:$P$500,"&gt;=112000")&gt;0,"X","")</f>
      </c>
      <c r="H77" s="56" t="str">
        <f>IF(COUNTIFS('LANÇAMENTOS DIÁRIOS'!$G$5:$G$500,"F",'LANÇAMENTOS DIÁRIOS'!$C$5:$C$500,$A77,'LANÇAMENTOS DIÁRIOS'!$O$5:$O$500,"&lt;=112199",'LANÇAMENTOS DIÁRIOS'!$P$5:$P$500,"&gt;=112100")&gt;0,"X","")</f>
      </c>
      <c r="I77" s="56" t="str">
        <f>IF(COUNTIFS('LANÇAMENTOS DIÁRIOS'!$G$5:$G$500,"F",'LANÇAMENTOS DIÁRIOS'!$C$5:$C$500,$A77,'LANÇAMENTOS DIÁRIOS'!$O$5:$O$500,"&lt;=112299",'LANÇAMENTOS DIÁRIOS'!$P$5:$P$500,"&gt;=112200")&gt;0,"X","")</f>
      </c>
      <c r="J77" s="56" t="str">
        <f>IF(COUNTIFS('LANÇAMENTOS DIÁRIOS'!$G$5:$G$500,"F",'LANÇAMENTOS DIÁRIOS'!$C$5:$C$500,$A77,'LANÇAMENTOS DIÁRIOS'!$O$5:$O$500,"&lt;=112399",'LANÇAMENTOS DIÁRIOS'!$P$5:$P$500,"&gt;=112300")&gt;0,"X","")</f>
      </c>
      <c r="K77" s="56" t="str">
        <f>IF(COUNTIFS('LANÇAMENTOS DIÁRIOS'!$G$5:$G$500,"F",'LANÇAMENTOS DIÁRIOS'!$C$5:$C$500,$A77,'LANÇAMENTOS DIÁRIOS'!$O$5:$O$500,"&lt;=112499",'LANÇAMENTOS DIÁRIOS'!$P$5:$P$500,"&gt;=112400")&gt;0,"X","")</f>
      </c>
      <c r="L77" s="56" t="str">
        <f>IF(COUNTIFS('LANÇAMENTOS DIÁRIOS'!$G$5:$G$500,"F",'LANÇAMENTOS DIÁRIOS'!$C$5:$C$500,$A77,'LANÇAMENTOS DIÁRIOS'!$O$5:$O$500,"&lt;=112599",'LANÇAMENTOS DIÁRIOS'!$P$5:$P$500,"&gt;=112500")&gt;0,"X","")</f>
      </c>
      <c r="M77" s="56" t="str">
        <f>IF(COUNTIFS('LANÇAMENTOS DIÁRIOS'!$G$5:$G$500,"F",'LANÇAMENTOS DIÁRIOS'!$C$5:$C$500,$A77,'LANÇAMENTOS DIÁRIOS'!$O$5:$O$500,"&lt;=112699",'LANÇAMENTOS DIÁRIOS'!$P$5:$P$500,"&gt;=112600")&gt;0,"X","")</f>
      </c>
      <c r="N77" s="56" t="str">
        <f>IF(COUNTIFS('LANÇAMENTOS DIÁRIOS'!$G$5:$G$500,"F",'LANÇAMENTOS DIÁRIOS'!$C$5:$C$500,$A77,'LANÇAMENTOS DIÁRIOS'!$O$5:$O$500,"&lt;=112799",'LANÇAMENTOS DIÁRIOS'!$P$5:$P$500,"&gt;=112700")&gt;0,"X","")</f>
      </c>
      <c r="O77" s="56" t="str">
        <f>IF(COUNTIFS('LANÇAMENTOS DIÁRIOS'!$G$5:$G$500,"F",'LANÇAMENTOS DIÁRIOS'!$C$5:$C$500,$A77,'LANÇAMENTOS DIÁRIOS'!$O$5:$O$500,"&lt;=112899",'LANÇAMENTOS DIÁRIOS'!$P$5:$P$500,"&gt;=112800")&gt;0,"X","")</f>
      </c>
      <c r="P77" s="56" t="str">
        <f>IF(COUNTIFS('LANÇAMENTOS DIÁRIOS'!$G$5:$G$500,"F",'LANÇAMENTOS DIÁRIOS'!$C$5:$C$500,$A77,'LANÇAMENTOS DIÁRIOS'!$O$5:$O$500,"&lt;=112999",'LANÇAMENTOS DIÁRIOS'!$P$5:$P$500,"&gt;=112900")&gt;0,"X","")</f>
      </c>
      <c r="Q77" s="56" t="str">
        <f>IF(COUNTIFS('LANÇAMENTOS DIÁRIOS'!$G$5:$G$500,"F",'LANÇAMENTOS DIÁRIOS'!$C$5:$C$500,$A77,'LANÇAMENTOS DIÁRIOS'!$O$5:$O$500,"&lt;=113099",'LANÇAMENTOS DIÁRIOS'!$P$5:$P$500,"&gt;=113000")&gt;0,"X","")</f>
      </c>
      <c r="R77" s="56" t="str">
        <f>IF(COUNTIFS('LANÇAMENTOS DIÁRIOS'!$G$5:$G$500,"F",'LANÇAMENTOS DIÁRIOS'!$C$5:$C$500,$A77,'LANÇAMENTOS DIÁRIOS'!$O$5:$O$500,"&lt;=113199",'LANÇAMENTOS DIÁRIOS'!$P$5:$P$500,"&gt;=113100")&gt;0,"X","")</f>
      </c>
      <c r="S77" s="56" t="str">
        <f>IF(COUNTIFS('LANÇAMENTOS DIÁRIOS'!$G$5:$G$500,"F",'LANÇAMENTOS DIÁRIOS'!$C$5:$C$500,$A77,'LANÇAMENTOS DIÁRIOS'!$O$5:$O$500,"&lt;=113299",'LANÇAMENTOS DIÁRIOS'!$P$5:$P$500,"&gt;=113200")&gt;0,"X","")</f>
      </c>
      <c r="T77" s="56" t="str">
        <f>IF(COUNTIFS('LANÇAMENTOS DIÁRIOS'!$G$5:$G$500,"F",'LANÇAMENTOS DIÁRIOS'!$C$5:$C$500,$A77,'LANÇAMENTOS DIÁRIOS'!$O$5:$O$500,"&lt;=113399",'LANÇAMENTOS DIÁRIOS'!$P$5:$P$500,"&gt;=113300")&gt;0,"X","")</f>
      </c>
      <c r="U77" s="56" t="str">
        <f>IF(COUNTIFS('LANÇAMENTOS DIÁRIOS'!$G$5:$G$500,"F",'LANÇAMENTOS DIÁRIOS'!$C$5:$C$500,$A77,'LANÇAMENTOS DIÁRIOS'!$O$5:$O$500,"&lt;=113499",'LANÇAMENTOS DIÁRIOS'!$P$5:$P$500,"&gt;=113400")&gt;0,"X","")</f>
      </c>
      <c r="V77" s="56" t="str">
        <f>IF(COUNTIFS('LANÇAMENTOS DIÁRIOS'!$G$5:$G$500,"F",'LANÇAMENTOS DIÁRIOS'!$C$5:$C$500,$A77,'LANÇAMENTOS DIÁRIOS'!$O$5:$O$500,"&lt;=113599",'LANÇAMENTOS DIÁRIOS'!$P$5:$P$500,"&gt;=113500")&gt;0,"X","")</f>
      </c>
      <c r="W77" s="56" t="str">
        <f>IF(COUNTIFS('LANÇAMENTOS DIÁRIOS'!$G$5:$G$500,"F",'LANÇAMENTOS DIÁRIOS'!$C$5:$C$500,$A77,'LANÇAMENTOS DIÁRIOS'!$O$5:$O$500,"&lt;=113699",'LANÇAMENTOS DIÁRIOS'!$P$5:$P$500,"&gt;=113600")&gt;0,"X","")</f>
      </c>
      <c r="X77" s="56" t="str">
        <f>IF(COUNTIFS('LANÇAMENTOS DIÁRIOS'!$G$5:$G$500,"F",'LANÇAMENTOS DIÁRIOS'!$C$5:$C$500,$A77,'LANÇAMENTOS DIÁRIOS'!$O$5:$O$500,"&lt;=113799",'LANÇAMENTOS DIÁRIOS'!$P$5:$P$500,"&gt;=113700")&gt;0,"X","")</f>
      </c>
      <c r="Y77" s="56" t="str">
        <f>IF(COUNTIFS('LANÇAMENTOS DIÁRIOS'!$G$5:$G$500,"F",'LANÇAMENTOS DIÁRIOS'!$C$5:$C$500,$A77,'LANÇAMENTOS DIÁRIOS'!$O$5:$O$500,"&lt;=113899",'LANÇAMENTOS DIÁRIOS'!$P$5:$P$500,"&gt;=113800")&gt;0,"X","")</f>
      </c>
      <c r="Z77" s="56" t="str">
        <f>IF(COUNTIFS('LANÇAMENTOS DIÁRIOS'!$G$5:$G$500,"F",'LANÇAMENTOS DIÁRIOS'!$C$5:$C$500,$A77,'LANÇAMENTOS DIÁRIOS'!$O$5:$O$500,"&lt;=113999",'LANÇAMENTOS DIÁRIOS'!$P$5:$P$500,"&gt;=113900")&gt;0,"X","")</f>
      </c>
      <c r="AA77" s="56" t="str">
        <f>IF(COUNTIFS('LANÇAMENTOS DIÁRIOS'!$G$5:$G$500,"F",'LANÇAMENTOS DIÁRIOS'!$C$5:$C$500,$A77,'LANÇAMENTOS DIÁRIOS'!$O$5:$O$500,"&lt;=114099",'LANÇAMENTOS DIÁRIOS'!$P$5:$P$500,"&gt;=114000")&gt;0,"X","")</f>
      </c>
      <c r="AB77" s="56" t="str">
        <f>IF(COUNTIFS('LANÇAMENTOS DIÁRIOS'!$G$5:$G$500,"F",'LANÇAMENTOS DIÁRIOS'!$C$5:$C$500,$A77,'LANÇAMENTOS DIÁRIOS'!$O$5:$O$500,"&lt;=114199",'LANÇAMENTOS DIÁRIOS'!$P$5:$P$500,"&gt;=114100")&gt;0,"X","")</f>
      </c>
      <c r="AC77" s="56" t="str">
        <f>IF(COUNTIFS('LANÇAMENTOS DIÁRIOS'!$G$5:$G$500,"F",'LANÇAMENTOS DIÁRIOS'!$C$5:$C$500,$A77,'LANÇAMENTOS DIÁRIOS'!$O$5:$O$500,"&lt;=114299",'LANÇAMENTOS DIÁRIOS'!$P$5:$P$500,"&gt;=114200")&gt;0,"X","")</f>
      </c>
      <c r="AD77" s="56" t="str">
        <f>IF(COUNTIFS('LANÇAMENTOS DIÁRIOS'!$G$5:$G$500,"F",'LANÇAMENTOS DIÁRIOS'!$C$5:$C$500,$A77,'LANÇAMENTOS DIÁRIOS'!$O$5:$O$500,"&lt;=114399",'LANÇAMENTOS DIÁRIOS'!$P$5:$P$500,"&gt;=114300")&gt;0,"X","")</f>
      </c>
      <c r="AE77" s="56" t="str">
        <f>IF(COUNTIFS('LANÇAMENTOS DIÁRIOS'!$G$5:$G$500,"F",'LANÇAMENTOS DIÁRIOS'!$C$5:$C$500,$A77,'LANÇAMENTOS DIÁRIOS'!$O$5:$O$500,"&lt;=114499",'LANÇAMENTOS DIÁRIOS'!$P$5:$P$500,"&gt;=114400")&gt;0,"X","")</f>
      </c>
      <c r="AF77" s="56" t="str">
        <f>IF(COUNTIFS('LANÇAMENTOS DIÁRIOS'!$G$5:$G$500,"F",'LANÇAMENTOS DIÁRIOS'!$C$5:$C$500,$A77,'LANÇAMENTOS DIÁRIOS'!$O$5:$O$500,"&lt;=114599",'LANÇAMENTOS DIÁRIOS'!$P$5:$P$500,"&gt;=114500")&gt;0,"X","")</f>
      </c>
      <c r="AG77" s="56" t="str">
        <f>IF(COUNTIFS('LANÇAMENTOS DIÁRIOS'!$G$5:$G$500,"F",'LANÇAMENTOS DIÁRIOS'!$C$5:$C$500,$A77,'LANÇAMENTOS DIÁRIOS'!$O$5:$O$500,"&lt;=114699",'LANÇAMENTOS DIÁRIOS'!$P$5:$P$500,"&gt;=114600")&gt;0,"X","")</f>
      </c>
      <c r="AH77" s="56" t="str">
        <f>IF(COUNTIFS('LANÇAMENTOS DIÁRIOS'!$G$5:$G$500,"F",'LANÇAMENTOS DIÁRIOS'!$C$5:$C$500,$A77,'LANÇAMENTOS DIÁRIOS'!$O$5:$O$500,"&lt;=114799",'LANÇAMENTOS DIÁRIOS'!$P$5:$P$500,"&gt;=114700")&gt;0,"X","")</f>
      </c>
      <c r="AI77" s="56" t="str">
        <f>IF(COUNTIFS('LANÇAMENTOS DIÁRIOS'!$G$5:$G$500,"F",'LANÇAMENTOS DIÁRIOS'!$C$5:$C$500,$A77,'LANÇAMENTOS DIÁRIOS'!$O$5:$O$500,"&lt;=114899",'LANÇAMENTOS DIÁRIOS'!$P$5:$P$500,"&gt;=114800")&gt;0,"X","")</f>
      </c>
      <c r="AJ77" s="56" t="str">
        <f>IF(COUNTIFS('LANÇAMENTOS DIÁRIOS'!$G$5:$G$500,"F",'LANÇAMENTOS DIÁRIOS'!$C$5:$C$500,$A77,'LANÇAMENTOS DIÁRIOS'!$O$5:$O$500,"&lt;=114999",'LANÇAMENTOS DIÁRIOS'!$P$5:$P$500,"&gt;=114900")&gt;0,"X","")</f>
      </c>
      <c r="AK77" s="56" t="str">
        <f>IF(COUNTIFS('LANÇAMENTOS DIÁRIOS'!$G$5:$G$500,"F",'LANÇAMENTOS DIÁRIOS'!$C$5:$C$500,$A77,'LANÇAMENTOS DIÁRIOS'!$O$5:$O$500,"&lt;=115099",'LANÇAMENTOS DIÁRIOS'!$P$5:$P$500,"&gt;=115000")&gt;0,"X","")</f>
      </c>
      <c r="AL77" s="56" t="str">
        <f>IF(COUNTIFS('LANÇAMENTOS DIÁRIOS'!$G$5:$G$500,"F",'LANÇAMENTOS DIÁRIOS'!$C$5:$C$500,$A77,'LANÇAMENTOS DIÁRIOS'!$O$5:$O$500,"&lt;=115199",'LANÇAMENTOS DIÁRIOS'!$P$5:$P$500,"&gt;=115100")&gt;0,"X","")</f>
      </c>
      <c r="AM77" s="56" t="str">
        <f>IF(COUNTIFS('LANÇAMENTOS DIÁRIOS'!$G$5:$G$500,"F",'LANÇAMENTOS DIÁRIOS'!$C$5:$C$500,$A77,'LANÇAMENTOS DIÁRIOS'!$O$5:$O$500,"&lt;=115299",'LANÇAMENTOS DIÁRIOS'!$P$5:$P$500,"&gt;=115200")&gt;0,"X","")</f>
      </c>
      <c r="AN77" s="56" t="str">
        <f>IF(COUNTIFS('LANÇAMENTOS DIÁRIOS'!$G$5:$G$500,"F",'LANÇAMENTOS DIÁRIOS'!$C$5:$C$500,$A77,'LANÇAMENTOS DIÁRIOS'!$O$5:$O$500,"&lt;=115399",'LANÇAMENTOS DIÁRIOS'!$P$5:$P$500,"&gt;=115300")&gt;0,"X","")</f>
      </c>
      <c r="AO77" s="56" t="str">
        <f>IF(COUNTIFS('LANÇAMENTOS DIÁRIOS'!$G$5:$G$500,"F",'LANÇAMENTOS DIÁRIOS'!$C$5:$C$500,$A77,'LANÇAMENTOS DIÁRIOS'!$O$5:$O$500,"&lt;=115499",'LANÇAMENTOS DIÁRIOS'!$P$5:$P$500,"&gt;=115400")&gt;0,"X","")</f>
      </c>
      <c r="AP77" s="56" t="str">
        <f>IF(COUNTIFS('LANÇAMENTOS DIÁRIOS'!$G$5:$G$500,"F",'LANÇAMENTOS DIÁRIOS'!$C$5:$C$500,$A77,'LANÇAMENTOS DIÁRIOS'!$O$5:$O$500,"&lt;=115599",'LANÇAMENTOS DIÁRIOS'!$P$5:$P$500,"&gt;=115500")&gt;0,"X","")</f>
      </c>
      <c r="AQ77" s="56" t="str">
        <f>IF(COUNTIFS('LANÇAMENTOS DIÁRIOS'!$G$5:$G$500,"F",'LANÇAMENTOS DIÁRIOS'!$C$5:$C$500,$A77,'LANÇAMENTOS DIÁRIOS'!$O$5:$O$500,"&lt;=115699",'LANÇAMENTOS DIÁRIOS'!$P$5:$P$500,"&gt;=115600")&gt;0,"X","")</f>
      </c>
      <c r="AR77" s="56" t="str">
        <f>IF(COUNTIFS('LANÇAMENTOS DIÁRIOS'!$G$5:$G$500,"F",'LANÇAMENTOS DIÁRIOS'!$C$5:$C$500,$A77,'LANÇAMENTOS DIÁRIOS'!$O$5:$O$500,"&lt;=115799",'LANÇAMENTOS DIÁRIOS'!$P$5:$P$500,"&gt;=115700")&gt;0,"X","")</f>
      </c>
      <c r="AS77" s="56" t="str">
        <f>IF(COUNTIFS('LANÇAMENTOS DIÁRIOS'!$G$5:$G$500,"F",'LANÇAMENTOS DIÁRIOS'!$C$5:$C$500,$A77,'LANÇAMENTOS DIÁRIOS'!$O$5:$O$500,"&lt;=115899",'LANÇAMENTOS DIÁRIOS'!$P$5:$P$500,"&gt;=115800")&gt;0,"X","")</f>
      </c>
      <c r="AT77" s="56" t="str">
        <f>IF(COUNTIFS('LANÇAMENTOS DIÁRIOS'!$G$5:$G$500,"F",'LANÇAMENTOS DIÁRIOS'!$C$5:$C$500,$A77,'LANÇAMENTOS DIÁRIOS'!$O$5:$O$500,"&lt;=115999",'LANÇAMENTOS DIÁRIOS'!$P$5:$P$500,"&gt;=115900")&gt;0,"X","")</f>
      </c>
      <c r="AU77" s="56" t="str">
        <f>IF(COUNTIFS('LANÇAMENTOS DIÁRIOS'!$G$5:$G$500,"F",'LANÇAMENTOS DIÁRIOS'!$C$5:$C$500,$A77,'LANÇAMENTOS DIÁRIOS'!$O$5:$O$500,"&lt;=116099",'LANÇAMENTOS DIÁRIOS'!$P$5:$P$500,"&gt;=116000")&gt;0,"X","")</f>
      </c>
      <c r="AV77" s="56" t="str">
        <f>IF(COUNTIFS('LANÇAMENTOS DIÁRIOS'!$G$5:$G$500,"F",'LANÇAMENTOS DIÁRIOS'!$C$5:$C$500,$A77,'LANÇAMENTOS DIÁRIOS'!$O$5:$O$500,"&lt;=116199",'LANÇAMENTOS DIÁRIOS'!$P$5:$P$500,"&gt;=116100")&gt;0,"X","")</f>
      </c>
      <c r="AW77" s="56" t="str">
        <f>IF(COUNTIFS('LANÇAMENTOS DIÁRIOS'!$G$5:$G$500,"F",'LANÇAMENTOS DIÁRIOS'!$C$5:$C$500,$A77,'LANÇAMENTOS DIÁRIOS'!$O$5:$O$500,"&lt;=116299",'LANÇAMENTOS DIÁRIOS'!$P$5:$P$500,"&gt;=116200")&gt;0,"X","")</f>
      </c>
      <c r="AX77" s="56" t="str">
        <f>IF(COUNTIFS('LANÇAMENTOS DIÁRIOS'!$G$5:$G$500,"F",'LANÇAMENTOS DIÁRIOS'!$C$5:$C$500,$A77,'LANÇAMENTOS DIÁRIOS'!$O$5:$O$500,"&lt;=116399",'LANÇAMENTOS DIÁRIOS'!$P$5:$P$500,"&gt;=116300")&gt;0,"X","")</f>
      </c>
      <c r="AY77" s="56" t="str">
        <f>IF(COUNTIFS('LANÇAMENTOS DIÁRIOS'!$G$5:$G$500,"F",'LANÇAMENTOS DIÁRIOS'!$C$5:$C$500,$A77,'LANÇAMENTOS DIÁRIOS'!$O$5:$O$500,"&lt;=116499",'LANÇAMENTOS DIÁRIOS'!$P$5:$P$500,"&gt;=116400")&gt;0,"X","")</f>
      </c>
      <c r="AZ77" s="56" t="str">
        <f>IF(COUNTIFS('LANÇAMENTOS DIÁRIOS'!$G$5:$G$500,"F",'LANÇAMENTOS DIÁRIOS'!$C$5:$C$500,$A77,'LANÇAMENTOS DIÁRIOS'!$O$5:$O$500,"&lt;=116599",'LANÇAMENTOS DIÁRIOS'!$P$5:$P$500,"&gt;=116500")&gt;0,"X","")</f>
      </c>
      <c r="BA77" s="56" t="str">
        <f>IF(COUNTIFS('LANÇAMENTOS DIÁRIOS'!$G$5:$G$500,"F",'LANÇAMENTOS DIÁRIOS'!$C$5:$C$500,$A77,'LANÇAMENTOS DIÁRIOS'!$O$5:$O$500,"&lt;=116699",'LANÇAMENTOS DIÁRIOS'!$P$5:$P$500,"&gt;=116600")&gt;0,"X","")</f>
      </c>
      <c r="BB77" s="56" t="str">
        <f>IF(COUNTIFS('LANÇAMENTOS DIÁRIOS'!$G$5:$G$500,"F",'LANÇAMENTOS DIÁRIOS'!$C$5:$C$500,$A77,'LANÇAMENTOS DIÁRIOS'!$O$5:$O$500,"&lt;=116799",'LANÇAMENTOS DIÁRIOS'!$P$5:$P$500,"&gt;=116700")&gt;0,"X","")</f>
      </c>
      <c r="BC77" s="56" t="str">
        <f>IF(COUNTIFS('LANÇAMENTOS DIÁRIOS'!$G$5:$G$500,"F",'LANÇAMENTOS DIÁRIOS'!$C$5:$C$500,$A77,'LANÇAMENTOS DIÁRIOS'!$O$5:$O$500,"&lt;=116899",'LANÇAMENTOS DIÁRIOS'!$P$5:$P$500,"&gt;=116800")&gt;0,"X","")</f>
      </c>
      <c r="BD77" s="56" t="str">
        <f>IF(COUNTIFS('LANÇAMENTOS DIÁRIOS'!$G$5:$G$500,"F",'LANÇAMENTOS DIÁRIOS'!$C$5:$C$500,$A77,'LANÇAMENTOS DIÁRIOS'!$O$5:$O$500,"&lt;=116999",'LANÇAMENTOS DIÁRIOS'!$P$5:$P$500,"&gt;=116900")&gt;0,"X","")</f>
      </c>
      <c r="BE77" s="56" t="str">
        <f>IF(COUNTIFS('LANÇAMENTOS DIÁRIOS'!$G$5:$G$500,"F",'LANÇAMENTOS DIÁRIOS'!$C$5:$C$500,$A77,'LANÇAMENTOS DIÁRIOS'!$O$5:$O$500,"&lt;=117099",'LANÇAMENTOS DIÁRIOS'!$P$5:$P$500,"&gt;=117000")&gt;0,"X","")</f>
      </c>
      <c r="BF77" s="56" t="str">
        <f>IF(COUNTIFS('LANÇAMENTOS DIÁRIOS'!$G$5:$G$500,"F",'LANÇAMENTOS DIÁRIOS'!$C$5:$C$500,$A77,'LANÇAMENTOS DIÁRIOS'!$O$5:$O$500,"&lt;=117199",'LANÇAMENTOS DIÁRIOS'!$P$5:$P$500,"&gt;=117100")&gt;0,"X","")</f>
      </c>
      <c r="BG77" s="56" t="str">
        <f>IF(COUNTIFS('LANÇAMENTOS DIÁRIOS'!$G$5:$G$500,"F",'LANÇAMENTOS DIÁRIOS'!$C$5:$C$500,$A77,'LANÇAMENTOS DIÁRIOS'!$O$5:$O$500,"&lt;=117219",'LANÇAMENTOS DIÁRIOS'!$P$5:$P$500,"&gt;=117200")&gt;0,"X","")</f>
      </c>
      <c r="BH77" s="56" t="str">
        <f>IF(COUNTIFS('LANÇAMENTOS DIÁRIOS'!$G$5:$G$500,"F",'LANÇAMENTOS DIÁRIOS'!$C$5:$C$500,$A77,'LANÇAMENTOS DIÁRIOS'!$O$5:$O$500,"&lt;=117220",'LANÇAMENTOS DIÁRIOS'!$P$5:$P$500,"&gt;=117220")&gt;0,"X","")</f>
      </c>
    </row>
    <row r="78" ht="19" customHeight="1">
      <c r="A78" s="68" t="str">
        <v>Construção da sub-base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</row>
    <row r="79">
      <c r="A79" s="51" t="str">
        <v>Solo cimento com adição de 3% cimento,mistura in situ- Recicladora</v>
      </c>
      <c r="B79" s="56" t="str">
        <f>IF(COUNTIFS('LANÇAMENTOS DIÁRIOS'!$G$5:$G$500,"F",'LANÇAMENTOS DIÁRIOS'!$C$5:$C$500,$A79,'LANÇAMENTOS DIÁRIOS'!$O$5:$O$500,"&lt;=111599",'LANÇAMENTOS DIÁRIOS'!$P$5:$P$500,"&gt;=111500")&gt;0,"X","")</f>
      </c>
      <c r="C79" s="56" t="str">
        <f>IF(COUNTIFS('LANÇAMENTOS DIÁRIOS'!$G$5:$G$500,"F",'LANÇAMENTOS DIÁRIOS'!$C$5:$C$500,$A79,'LANÇAMENTOS DIÁRIOS'!$O$5:$O$500,"&lt;=111699",'LANÇAMENTOS DIÁRIOS'!$P$5:$P$500,"&gt;=111600")&gt;0,"X","")</f>
      </c>
      <c r="D79" s="56" t="str">
        <f>IF(COUNTIFS('LANÇAMENTOS DIÁRIOS'!$G$5:$G$500,"F",'LANÇAMENTOS DIÁRIOS'!$C$5:$C$500,$A79,'LANÇAMENTOS DIÁRIOS'!$O$5:$O$500,"&lt;=111799",'LANÇAMENTOS DIÁRIOS'!$P$5:$P$500,"&gt;=111700")&gt;0,"X","")</f>
      </c>
      <c r="E79" s="56" t="str">
        <f>IF(COUNTIFS('LANÇAMENTOS DIÁRIOS'!$G$5:$G$500,"F",'LANÇAMENTOS DIÁRIOS'!$C$5:$C$500,$A79,'LANÇAMENTOS DIÁRIOS'!$O$5:$O$500,"&lt;=111899",'LANÇAMENTOS DIÁRIOS'!$P$5:$P$500,"&gt;=111800")&gt;0,"X","")</f>
      </c>
      <c r="F79" s="56" t="str">
        <f>IF(COUNTIFS('LANÇAMENTOS DIÁRIOS'!$G$5:$G$500,"F",'LANÇAMENTOS DIÁRIOS'!$C$5:$C$500,$A79,'LANÇAMENTOS DIÁRIOS'!$O$5:$O$500,"&lt;=111999",'LANÇAMENTOS DIÁRIOS'!$P$5:$P$500,"&gt;=111900")&gt;0,"X","")</f>
      </c>
      <c r="G79" s="56" t="str">
        <f>IF(COUNTIFS('LANÇAMENTOS DIÁRIOS'!$G$5:$G$500,"F",'LANÇAMENTOS DIÁRIOS'!$C$5:$C$500,$A79,'LANÇAMENTOS DIÁRIOS'!$O$5:$O$500,"&lt;=112099",'LANÇAMENTOS DIÁRIOS'!$P$5:$P$500,"&gt;=112000")&gt;0,"X","")</f>
      </c>
      <c r="H79" s="56" t="str">
        <f>IF(COUNTIFS('LANÇAMENTOS DIÁRIOS'!$G$5:$G$500,"F",'LANÇAMENTOS DIÁRIOS'!$C$5:$C$500,$A79,'LANÇAMENTOS DIÁRIOS'!$O$5:$O$500,"&lt;=112199",'LANÇAMENTOS DIÁRIOS'!$P$5:$P$500,"&gt;=112100")&gt;0,"X","")</f>
      </c>
      <c r="I79" s="56" t="str">
        <f>IF(COUNTIFS('LANÇAMENTOS DIÁRIOS'!$G$5:$G$500,"F",'LANÇAMENTOS DIÁRIOS'!$C$5:$C$500,$A79,'LANÇAMENTOS DIÁRIOS'!$O$5:$O$500,"&lt;=112299",'LANÇAMENTOS DIÁRIOS'!$P$5:$P$500,"&gt;=112200")&gt;0,"X","")</f>
      </c>
      <c r="J79" s="56" t="str">
        <f>IF(COUNTIFS('LANÇAMENTOS DIÁRIOS'!$G$5:$G$500,"F",'LANÇAMENTOS DIÁRIOS'!$C$5:$C$500,$A79,'LANÇAMENTOS DIÁRIOS'!$O$5:$O$500,"&lt;=112399",'LANÇAMENTOS DIÁRIOS'!$P$5:$P$500,"&gt;=112300")&gt;0,"X","")</f>
      </c>
      <c r="K79" s="56" t="str">
        <f>IF(COUNTIFS('LANÇAMENTOS DIÁRIOS'!$G$5:$G$500,"F",'LANÇAMENTOS DIÁRIOS'!$C$5:$C$500,$A79,'LANÇAMENTOS DIÁRIOS'!$O$5:$O$500,"&lt;=112499",'LANÇAMENTOS DIÁRIOS'!$P$5:$P$500,"&gt;=112400")&gt;0,"X","")</f>
      </c>
      <c r="L79" s="56" t="str">
        <f>IF(COUNTIFS('LANÇAMENTOS DIÁRIOS'!$G$5:$G$500,"F",'LANÇAMENTOS DIÁRIOS'!$C$5:$C$500,$A79,'LANÇAMENTOS DIÁRIOS'!$O$5:$O$500,"&lt;=112599",'LANÇAMENTOS DIÁRIOS'!$P$5:$P$500,"&gt;=112500")&gt;0,"X","")</f>
      </c>
      <c r="M79" s="56" t="str">
        <f>IF(COUNTIFS('LANÇAMENTOS DIÁRIOS'!$G$5:$G$500,"F",'LANÇAMENTOS DIÁRIOS'!$C$5:$C$500,$A79,'LANÇAMENTOS DIÁRIOS'!$O$5:$O$500,"&lt;=112699",'LANÇAMENTOS DIÁRIOS'!$P$5:$P$500,"&gt;=112600")&gt;0,"X","")</f>
      </c>
      <c r="N79" s="56" t="str">
        <f>IF(COUNTIFS('LANÇAMENTOS DIÁRIOS'!$G$5:$G$500,"F",'LANÇAMENTOS DIÁRIOS'!$C$5:$C$500,$A79,'LANÇAMENTOS DIÁRIOS'!$O$5:$O$500,"&lt;=112799",'LANÇAMENTOS DIÁRIOS'!$P$5:$P$500,"&gt;=112700")&gt;0,"X","")</f>
      </c>
      <c r="O79" s="56" t="str">
        <f>IF(COUNTIFS('LANÇAMENTOS DIÁRIOS'!$G$5:$G$500,"F",'LANÇAMENTOS DIÁRIOS'!$C$5:$C$500,$A79,'LANÇAMENTOS DIÁRIOS'!$O$5:$O$500,"&lt;=112899",'LANÇAMENTOS DIÁRIOS'!$P$5:$P$500,"&gt;=112800")&gt;0,"X","")</f>
      </c>
      <c r="P79" s="56" t="str">
        <f>IF(COUNTIFS('LANÇAMENTOS DIÁRIOS'!$G$5:$G$500,"F",'LANÇAMENTOS DIÁRIOS'!$C$5:$C$500,$A79,'LANÇAMENTOS DIÁRIOS'!$O$5:$O$500,"&lt;=112999",'LANÇAMENTOS DIÁRIOS'!$P$5:$P$500,"&gt;=112900")&gt;0,"X","")</f>
      </c>
      <c r="Q79" s="56" t="str">
        <f>IF(COUNTIFS('LANÇAMENTOS DIÁRIOS'!$G$5:$G$500,"F",'LANÇAMENTOS DIÁRIOS'!$C$5:$C$500,$A79,'LANÇAMENTOS DIÁRIOS'!$O$5:$O$500,"&lt;=113099",'LANÇAMENTOS DIÁRIOS'!$P$5:$P$500,"&gt;=113000")&gt;0,"X","")</f>
      </c>
      <c r="R79" s="56" t="str">
        <f>IF(COUNTIFS('LANÇAMENTOS DIÁRIOS'!$G$5:$G$500,"F",'LANÇAMENTOS DIÁRIOS'!$C$5:$C$500,$A79,'LANÇAMENTOS DIÁRIOS'!$O$5:$O$500,"&lt;=113199",'LANÇAMENTOS DIÁRIOS'!$P$5:$P$500,"&gt;=113100")&gt;0,"X","")</f>
      </c>
      <c r="S79" s="56" t="str">
        <f>IF(COUNTIFS('LANÇAMENTOS DIÁRIOS'!$G$5:$G$500,"F",'LANÇAMENTOS DIÁRIOS'!$C$5:$C$500,$A79,'LANÇAMENTOS DIÁRIOS'!$O$5:$O$500,"&lt;=113299",'LANÇAMENTOS DIÁRIOS'!$P$5:$P$500,"&gt;=113200")&gt;0,"X","")</f>
      </c>
      <c r="T79" s="56" t="str">
        <f>IF(COUNTIFS('LANÇAMENTOS DIÁRIOS'!$G$5:$G$500,"F",'LANÇAMENTOS DIÁRIOS'!$C$5:$C$500,$A79,'LANÇAMENTOS DIÁRIOS'!$O$5:$O$500,"&lt;=113399",'LANÇAMENTOS DIÁRIOS'!$P$5:$P$500,"&gt;=113300")&gt;0,"X","")</f>
      </c>
      <c r="U79" s="56" t="str">
        <f>IF(COUNTIFS('LANÇAMENTOS DIÁRIOS'!$G$5:$G$500,"F",'LANÇAMENTOS DIÁRIOS'!$C$5:$C$500,$A79,'LANÇAMENTOS DIÁRIOS'!$O$5:$O$500,"&lt;=113499",'LANÇAMENTOS DIÁRIOS'!$P$5:$P$500,"&gt;=113400")&gt;0,"X","")</f>
      </c>
      <c r="V79" s="56" t="str">
        <f>IF(COUNTIFS('LANÇAMENTOS DIÁRIOS'!$G$5:$G$500,"F",'LANÇAMENTOS DIÁRIOS'!$C$5:$C$500,$A79,'LANÇAMENTOS DIÁRIOS'!$O$5:$O$500,"&lt;=113599",'LANÇAMENTOS DIÁRIOS'!$P$5:$P$500,"&gt;=113500")&gt;0,"X","")</f>
      </c>
      <c r="W79" s="56" t="str">
        <f>IF(COUNTIFS('LANÇAMENTOS DIÁRIOS'!$G$5:$G$500,"F",'LANÇAMENTOS DIÁRIOS'!$C$5:$C$500,$A79,'LANÇAMENTOS DIÁRIOS'!$O$5:$O$500,"&lt;=113699",'LANÇAMENTOS DIÁRIOS'!$P$5:$P$500,"&gt;=113600")&gt;0,"X","")</f>
      </c>
      <c r="X79" s="56" t="str">
        <f>IF(COUNTIFS('LANÇAMENTOS DIÁRIOS'!$G$5:$G$500,"F",'LANÇAMENTOS DIÁRIOS'!$C$5:$C$500,$A79,'LANÇAMENTOS DIÁRIOS'!$O$5:$O$500,"&lt;=113799",'LANÇAMENTOS DIÁRIOS'!$P$5:$P$500,"&gt;=113700")&gt;0,"X","")</f>
      </c>
      <c r="Y79" s="56" t="str">
        <f>IF(COUNTIFS('LANÇAMENTOS DIÁRIOS'!$G$5:$G$500,"F",'LANÇAMENTOS DIÁRIOS'!$C$5:$C$500,$A79,'LANÇAMENTOS DIÁRIOS'!$O$5:$O$500,"&lt;=113899",'LANÇAMENTOS DIÁRIOS'!$P$5:$P$500,"&gt;=113800")&gt;0,"X","")</f>
      </c>
      <c r="Z79" s="56" t="str">
        <f>IF(COUNTIFS('LANÇAMENTOS DIÁRIOS'!$G$5:$G$500,"F",'LANÇAMENTOS DIÁRIOS'!$C$5:$C$500,$A79,'LANÇAMENTOS DIÁRIOS'!$O$5:$O$500,"&lt;=113999",'LANÇAMENTOS DIÁRIOS'!$P$5:$P$500,"&gt;=113900")&gt;0,"X","")</f>
      </c>
      <c r="AA79" s="56" t="str">
        <f>IF(COUNTIFS('LANÇAMENTOS DIÁRIOS'!$G$5:$G$500,"F",'LANÇAMENTOS DIÁRIOS'!$C$5:$C$500,$A79,'LANÇAMENTOS DIÁRIOS'!$O$5:$O$500,"&lt;=114099",'LANÇAMENTOS DIÁRIOS'!$P$5:$P$500,"&gt;=114000")&gt;0,"X","")</f>
      </c>
      <c r="AB79" s="56" t="str">
        <f>IF(COUNTIFS('LANÇAMENTOS DIÁRIOS'!$G$5:$G$500,"F",'LANÇAMENTOS DIÁRIOS'!$C$5:$C$500,$A79,'LANÇAMENTOS DIÁRIOS'!$O$5:$O$500,"&lt;=114199",'LANÇAMENTOS DIÁRIOS'!$P$5:$P$500,"&gt;=114100")&gt;0,"X","")</f>
      </c>
      <c r="AC79" s="56" t="str">
        <f>IF(COUNTIFS('LANÇAMENTOS DIÁRIOS'!$G$5:$G$500,"F",'LANÇAMENTOS DIÁRIOS'!$C$5:$C$500,$A79,'LANÇAMENTOS DIÁRIOS'!$O$5:$O$500,"&lt;=114299",'LANÇAMENTOS DIÁRIOS'!$P$5:$P$500,"&gt;=114200")&gt;0,"X","")</f>
      </c>
      <c r="AD79" s="56" t="str">
        <f>IF(COUNTIFS('LANÇAMENTOS DIÁRIOS'!$G$5:$G$500,"F",'LANÇAMENTOS DIÁRIOS'!$C$5:$C$500,$A79,'LANÇAMENTOS DIÁRIOS'!$O$5:$O$500,"&lt;=114399",'LANÇAMENTOS DIÁRIOS'!$P$5:$P$500,"&gt;=114300")&gt;0,"X","")</f>
      </c>
      <c r="AE79" s="56" t="str">
        <f>IF(COUNTIFS('LANÇAMENTOS DIÁRIOS'!$G$5:$G$500,"F",'LANÇAMENTOS DIÁRIOS'!$C$5:$C$500,$A79,'LANÇAMENTOS DIÁRIOS'!$O$5:$O$500,"&lt;=114499",'LANÇAMENTOS DIÁRIOS'!$P$5:$P$500,"&gt;=114400")&gt;0,"X","")</f>
      </c>
      <c r="AF79" s="56" t="str">
        <f>IF(COUNTIFS('LANÇAMENTOS DIÁRIOS'!$G$5:$G$500,"F",'LANÇAMENTOS DIÁRIOS'!$C$5:$C$500,$A79,'LANÇAMENTOS DIÁRIOS'!$O$5:$O$500,"&lt;=114599",'LANÇAMENTOS DIÁRIOS'!$P$5:$P$500,"&gt;=114500")&gt;0,"X","")</f>
      </c>
      <c r="AG79" s="56" t="str">
        <f>IF(COUNTIFS('LANÇAMENTOS DIÁRIOS'!$G$5:$G$500,"F",'LANÇAMENTOS DIÁRIOS'!$C$5:$C$500,$A79,'LANÇAMENTOS DIÁRIOS'!$O$5:$O$500,"&lt;=114699",'LANÇAMENTOS DIÁRIOS'!$P$5:$P$500,"&gt;=114600")&gt;0,"X","")</f>
      </c>
      <c r="AH79" s="56" t="str">
        <f>IF(COUNTIFS('LANÇAMENTOS DIÁRIOS'!$G$5:$G$500,"F",'LANÇAMENTOS DIÁRIOS'!$C$5:$C$500,$A79,'LANÇAMENTOS DIÁRIOS'!$O$5:$O$500,"&lt;=114799",'LANÇAMENTOS DIÁRIOS'!$P$5:$P$500,"&gt;=114700")&gt;0,"X","")</f>
      </c>
      <c r="AI79" s="56" t="str">
        <f>IF(COUNTIFS('LANÇAMENTOS DIÁRIOS'!$G$5:$G$500,"F",'LANÇAMENTOS DIÁRIOS'!$C$5:$C$500,$A79,'LANÇAMENTOS DIÁRIOS'!$O$5:$O$500,"&lt;=114899",'LANÇAMENTOS DIÁRIOS'!$P$5:$P$500,"&gt;=114800")&gt;0,"X","")</f>
      </c>
      <c r="AJ79" s="56" t="str">
        <f>IF(COUNTIFS('LANÇAMENTOS DIÁRIOS'!$G$5:$G$500,"F",'LANÇAMENTOS DIÁRIOS'!$C$5:$C$500,$A79,'LANÇAMENTOS DIÁRIOS'!$O$5:$O$500,"&lt;=114999",'LANÇAMENTOS DIÁRIOS'!$P$5:$P$500,"&gt;=114900")&gt;0,"X","")</f>
      </c>
      <c r="AK79" s="56" t="str">
        <f>IF(COUNTIFS('LANÇAMENTOS DIÁRIOS'!$G$5:$G$500,"F",'LANÇAMENTOS DIÁRIOS'!$C$5:$C$500,$A79,'LANÇAMENTOS DIÁRIOS'!$O$5:$O$500,"&lt;=115099",'LANÇAMENTOS DIÁRIOS'!$P$5:$P$500,"&gt;=115000")&gt;0,"X","")</f>
      </c>
      <c r="AL79" s="56" t="str">
        <f>IF(COUNTIFS('LANÇAMENTOS DIÁRIOS'!$G$5:$G$500,"F",'LANÇAMENTOS DIÁRIOS'!$C$5:$C$500,$A79,'LANÇAMENTOS DIÁRIOS'!$O$5:$O$500,"&lt;=115199",'LANÇAMENTOS DIÁRIOS'!$P$5:$P$500,"&gt;=115100")&gt;0,"X","")</f>
      </c>
      <c r="AM79" s="56" t="str">
        <f>IF(COUNTIFS('LANÇAMENTOS DIÁRIOS'!$G$5:$G$500,"F",'LANÇAMENTOS DIÁRIOS'!$C$5:$C$500,$A79,'LANÇAMENTOS DIÁRIOS'!$O$5:$O$500,"&lt;=115299",'LANÇAMENTOS DIÁRIOS'!$P$5:$P$500,"&gt;=115200")&gt;0,"X","")</f>
      </c>
      <c r="AN79" s="56" t="str">
        <f>IF(COUNTIFS('LANÇAMENTOS DIÁRIOS'!$G$5:$G$500,"F",'LANÇAMENTOS DIÁRIOS'!$C$5:$C$500,$A79,'LANÇAMENTOS DIÁRIOS'!$O$5:$O$500,"&lt;=115399",'LANÇAMENTOS DIÁRIOS'!$P$5:$P$500,"&gt;=115300")&gt;0,"X","")</f>
      </c>
      <c r="AO79" s="56" t="str">
        <f>IF(COUNTIFS('LANÇAMENTOS DIÁRIOS'!$G$5:$G$500,"F",'LANÇAMENTOS DIÁRIOS'!$C$5:$C$500,$A79,'LANÇAMENTOS DIÁRIOS'!$O$5:$O$500,"&lt;=115499",'LANÇAMENTOS DIÁRIOS'!$P$5:$P$500,"&gt;=115400")&gt;0,"X","")</f>
      </c>
      <c r="AP79" s="56" t="str">
        <f>IF(COUNTIFS('LANÇAMENTOS DIÁRIOS'!$G$5:$G$500,"F",'LANÇAMENTOS DIÁRIOS'!$C$5:$C$500,$A79,'LANÇAMENTOS DIÁRIOS'!$O$5:$O$500,"&lt;=115599",'LANÇAMENTOS DIÁRIOS'!$P$5:$P$500,"&gt;=115500")&gt;0,"X","")</f>
      </c>
      <c r="AQ79" s="56" t="str">
        <f>IF(COUNTIFS('LANÇAMENTOS DIÁRIOS'!$G$5:$G$500,"F",'LANÇAMENTOS DIÁRIOS'!$C$5:$C$500,$A79,'LANÇAMENTOS DIÁRIOS'!$O$5:$O$500,"&lt;=115699",'LANÇAMENTOS DIÁRIOS'!$P$5:$P$500,"&gt;=115600")&gt;0,"X","")</f>
      </c>
      <c r="AR79" s="56" t="str">
        <f>IF(COUNTIFS('LANÇAMENTOS DIÁRIOS'!$G$5:$G$500,"F",'LANÇAMENTOS DIÁRIOS'!$C$5:$C$500,$A79,'LANÇAMENTOS DIÁRIOS'!$O$5:$O$500,"&lt;=115799",'LANÇAMENTOS DIÁRIOS'!$P$5:$P$500,"&gt;=115700")&gt;0,"X","")</f>
      </c>
      <c r="AS79" s="56" t="str">
        <f>IF(COUNTIFS('LANÇAMENTOS DIÁRIOS'!$G$5:$G$500,"F",'LANÇAMENTOS DIÁRIOS'!$C$5:$C$500,$A79,'LANÇAMENTOS DIÁRIOS'!$O$5:$O$500,"&lt;=115899",'LANÇAMENTOS DIÁRIOS'!$P$5:$P$500,"&gt;=115800")&gt;0,"X","")</f>
      </c>
      <c r="AT79" s="56" t="str">
        <f>IF(COUNTIFS('LANÇAMENTOS DIÁRIOS'!$G$5:$G$500,"F",'LANÇAMENTOS DIÁRIOS'!$C$5:$C$500,$A79,'LANÇAMENTOS DIÁRIOS'!$O$5:$O$500,"&lt;=115999",'LANÇAMENTOS DIÁRIOS'!$P$5:$P$500,"&gt;=115900")&gt;0,"X","")</f>
      </c>
      <c r="AU79" s="56" t="str">
        <f>IF(COUNTIFS('LANÇAMENTOS DIÁRIOS'!$G$5:$G$500,"F",'LANÇAMENTOS DIÁRIOS'!$C$5:$C$500,$A79,'LANÇAMENTOS DIÁRIOS'!$O$5:$O$500,"&lt;=116099",'LANÇAMENTOS DIÁRIOS'!$P$5:$P$500,"&gt;=116000")&gt;0,"X","")</f>
      </c>
      <c r="AV79" s="56" t="str">
        <f>IF(COUNTIFS('LANÇAMENTOS DIÁRIOS'!$G$5:$G$500,"F",'LANÇAMENTOS DIÁRIOS'!$C$5:$C$500,$A79,'LANÇAMENTOS DIÁRIOS'!$O$5:$O$500,"&lt;=116199",'LANÇAMENTOS DIÁRIOS'!$P$5:$P$500,"&gt;=116100")&gt;0,"X","")</f>
      </c>
      <c r="AW79" s="56" t="str">
        <f>IF(COUNTIFS('LANÇAMENTOS DIÁRIOS'!$G$5:$G$500,"F",'LANÇAMENTOS DIÁRIOS'!$C$5:$C$500,$A79,'LANÇAMENTOS DIÁRIOS'!$O$5:$O$500,"&lt;=116299",'LANÇAMENTOS DIÁRIOS'!$P$5:$P$500,"&gt;=116200")&gt;0,"X","")</f>
      </c>
      <c r="AX79" s="56" t="str">
        <f>IF(COUNTIFS('LANÇAMENTOS DIÁRIOS'!$G$5:$G$500,"F",'LANÇAMENTOS DIÁRIOS'!$C$5:$C$500,$A79,'LANÇAMENTOS DIÁRIOS'!$O$5:$O$500,"&lt;=116399",'LANÇAMENTOS DIÁRIOS'!$P$5:$P$500,"&gt;=116300")&gt;0,"X","")</f>
      </c>
      <c r="AY79" s="56" t="str">
        <f>IF(COUNTIFS('LANÇAMENTOS DIÁRIOS'!$G$5:$G$500,"F",'LANÇAMENTOS DIÁRIOS'!$C$5:$C$500,$A79,'LANÇAMENTOS DIÁRIOS'!$O$5:$O$500,"&lt;=116499",'LANÇAMENTOS DIÁRIOS'!$P$5:$P$500,"&gt;=116400")&gt;0,"X","")</f>
      </c>
      <c r="AZ79" s="56" t="str">
        <f>IF(COUNTIFS('LANÇAMENTOS DIÁRIOS'!$G$5:$G$500,"F",'LANÇAMENTOS DIÁRIOS'!$C$5:$C$500,$A79,'LANÇAMENTOS DIÁRIOS'!$O$5:$O$500,"&lt;=116599",'LANÇAMENTOS DIÁRIOS'!$P$5:$P$500,"&gt;=116500")&gt;0,"X","")</f>
      </c>
      <c r="BA79" s="56" t="str">
        <f>IF(COUNTIFS('LANÇAMENTOS DIÁRIOS'!$G$5:$G$500,"F",'LANÇAMENTOS DIÁRIOS'!$C$5:$C$500,$A79,'LANÇAMENTOS DIÁRIOS'!$O$5:$O$500,"&lt;=116699",'LANÇAMENTOS DIÁRIOS'!$P$5:$P$500,"&gt;=116600")&gt;0,"X","")</f>
      </c>
      <c r="BB79" s="56" t="str">
        <f>IF(COUNTIFS('LANÇAMENTOS DIÁRIOS'!$G$5:$G$500,"F",'LANÇAMENTOS DIÁRIOS'!$C$5:$C$500,$A79,'LANÇAMENTOS DIÁRIOS'!$O$5:$O$500,"&lt;=116799",'LANÇAMENTOS DIÁRIOS'!$P$5:$P$500,"&gt;=116700")&gt;0,"X","")</f>
      </c>
      <c r="BC79" s="56" t="str">
        <f>IF(COUNTIFS('LANÇAMENTOS DIÁRIOS'!$G$5:$G$500,"F",'LANÇAMENTOS DIÁRIOS'!$C$5:$C$500,$A79,'LANÇAMENTOS DIÁRIOS'!$O$5:$O$500,"&lt;=116899",'LANÇAMENTOS DIÁRIOS'!$P$5:$P$500,"&gt;=116800")&gt;0,"X","")</f>
      </c>
      <c r="BD79" s="56" t="str">
        <f>IF(COUNTIFS('LANÇAMENTOS DIÁRIOS'!$G$5:$G$500,"F",'LANÇAMENTOS DIÁRIOS'!$C$5:$C$500,$A79,'LANÇAMENTOS DIÁRIOS'!$O$5:$O$500,"&lt;=116999",'LANÇAMENTOS DIÁRIOS'!$P$5:$P$500,"&gt;=116900")&gt;0,"X","")</f>
      </c>
      <c r="BE79" s="56" t="str">
        <f>IF(COUNTIFS('LANÇAMENTOS DIÁRIOS'!$G$5:$G$500,"F",'LANÇAMENTOS DIÁRIOS'!$C$5:$C$500,$A79,'LANÇAMENTOS DIÁRIOS'!$O$5:$O$500,"&lt;=117099",'LANÇAMENTOS DIÁRIOS'!$P$5:$P$500,"&gt;=117000")&gt;0,"X","")</f>
      </c>
      <c r="BF79" s="56" t="str">
        <f>IF(COUNTIFS('LANÇAMENTOS DIÁRIOS'!$G$5:$G$500,"F",'LANÇAMENTOS DIÁRIOS'!$C$5:$C$500,$A79,'LANÇAMENTOS DIÁRIOS'!$O$5:$O$500,"&lt;=117199",'LANÇAMENTOS DIÁRIOS'!$P$5:$P$500,"&gt;=117100")&gt;0,"X","")</f>
      </c>
      <c r="BG79" s="56" t="str">
        <f>IF(COUNTIFS('LANÇAMENTOS DIÁRIOS'!$G$5:$G$500,"F",'LANÇAMENTOS DIÁRIOS'!$C$5:$C$500,$A79,'LANÇAMENTOS DIÁRIOS'!$O$5:$O$500,"&lt;=117219",'LANÇAMENTOS DIÁRIOS'!$P$5:$P$500,"&gt;=117200")&gt;0,"X","")</f>
      </c>
      <c r="BH79" s="56" t="str">
        <f>IF(COUNTIFS('LANÇAMENTOS DIÁRIOS'!$G$5:$G$500,"F",'LANÇAMENTOS DIÁRIOS'!$C$5:$C$500,$A79,'LANÇAMENTOS DIÁRIOS'!$O$5:$O$500,"&lt;=117220",'LANÇAMENTOS DIÁRIOS'!$P$5:$P$500,"&gt;=117220")&gt;0,"X","")</f>
      </c>
    </row>
    <row r="80" ht="19" customHeight="1">
      <c r="A80" s="68" t="str">
        <v>Construção da base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</row>
    <row r="81">
      <c r="A81" s="51" t="str">
        <v>Solo brita 30/70 cimento 4%</v>
      </c>
      <c r="B81" s="56" t="str">
        <f>IF(COUNTIFS('LANÇAMENTOS DIÁRIOS'!$G$5:$G$500,"F",'LANÇAMENTOS DIÁRIOS'!$C$5:$C$500,$A81,'LANÇAMENTOS DIÁRIOS'!$O$5:$O$500,"&lt;=111599",'LANÇAMENTOS DIÁRIOS'!$P$5:$P$500,"&gt;=111500")&gt;0,"X","")</f>
      </c>
      <c r="C81" s="56" t="str">
        <f>IF(COUNTIFS('LANÇAMENTOS DIÁRIOS'!$G$5:$G$500,"F",'LANÇAMENTOS DIÁRIOS'!$C$5:$C$500,$A81,'LANÇAMENTOS DIÁRIOS'!$O$5:$O$500,"&lt;=111699",'LANÇAMENTOS DIÁRIOS'!$P$5:$P$500,"&gt;=111600")&gt;0,"X","")</f>
      </c>
      <c r="D81" s="56" t="str">
        <f>IF(COUNTIFS('LANÇAMENTOS DIÁRIOS'!$G$5:$G$500,"F",'LANÇAMENTOS DIÁRIOS'!$C$5:$C$500,$A81,'LANÇAMENTOS DIÁRIOS'!$O$5:$O$500,"&lt;=111799",'LANÇAMENTOS DIÁRIOS'!$P$5:$P$500,"&gt;=111700")&gt;0,"X","")</f>
      </c>
      <c r="E81" s="56" t="str">
        <f>IF(COUNTIFS('LANÇAMENTOS DIÁRIOS'!$G$5:$G$500,"F",'LANÇAMENTOS DIÁRIOS'!$C$5:$C$500,$A81,'LANÇAMENTOS DIÁRIOS'!$O$5:$O$500,"&lt;=111899",'LANÇAMENTOS DIÁRIOS'!$P$5:$P$500,"&gt;=111800")&gt;0,"X","")</f>
      </c>
      <c r="F81" s="56" t="str">
        <f>IF(COUNTIFS('LANÇAMENTOS DIÁRIOS'!$G$5:$G$500,"F",'LANÇAMENTOS DIÁRIOS'!$C$5:$C$500,$A81,'LANÇAMENTOS DIÁRIOS'!$O$5:$O$500,"&lt;=111999",'LANÇAMENTOS DIÁRIOS'!$P$5:$P$500,"&gt;=111900")&gt;0,"X","")</f>
      </c>
      <c r="G81" s="56" t="str">
        <f>IF(COUNTIFS('LANÇAMENTOS DIÁRIOS'!$G$5:$G$500,"F",'LANÇAMENTOS DIÁRIOS'!$C$5:$C$500,$A81,'LANÇAMENTOS DIÁRIOS'!$O$5:$O$500,"&lt;=112099",'LANÇAMENTOS DIÁRIOS'!$P$5:$P$500,"&gt;=112000")&gt;0,"X","")</f>
      </c>
      <c r="H81" s="56" t="str">
        <f>IF(COUNTIFS('LANÇAMENTOS DIÁRIOS'!$G$5:$G$500,"F",'LANÇAMENTOS DIÁRIOS'!$C$5:$C$500,$A81,'LANÇAMENTOS DIÁRIOS'!$O$5:$O$500,"&lt;=112199",'LANÇAMENTOS DIÁRIOS'!$P$5:$P$500,"&gt;=112100")&gt;0,"X","")</f>
      </c>
      <c r="I81" s="56" t="str">
        <f>IF(COUNTIFS('LANÇAMENTOS DIÁRIOS'!$G$5:$G$500,"F",'LANÇAMENTOS DIÁRIOS'!$C$5:$C$500,$A81,'LANÇAMENTOS DIÁRIOS'!$O$5:$O$500,"&lt;=112299",'LANÇAMENTOS DIÁRIOS'!$P$5:$P$500,"&gt;=112200")&gt;0,"X","")</f>
      </c>
      <c r="J81" s="56" t="str">
        <f>IF(COUNTIFS('LANÇAMENTOS DIÁRIOS'!$G$5:$G$500,"F",'LANÇAMENTOS DIÁRIOS'!$C$5:$C$500,$A81,'LANÇAMENTOS DIÁRIOS'!$O$5:$O$500,"&lt;=112399",'LANÇAMENTOS DIÁRIOS'!$P$5:$P$500,"&gt;=112300")&gt;0,"X","")</f>
      </c>
      <c r="K81" s="56" t="str">
        <f>IF(COUNTIFS('LANÇAMENTOS DIÁRIOS'!$G$5:$G$500,"F",'LANÇAMENTOS DIÁRIOS'!$C$5:$C$500,$A81,'LANÇAMENTOS DIÁRIOS'!$O$5:$O$500,"&lt;=112499",'LANÇAMENTOS DIÁRIOS'!$P$5:$P$500,"&gt;=112400")&gt;0,"X","")</f>
      </c>
      <c r="L81" s="56" t="str">
        <f>IF(COUNTIFS('LANÇAMENTOS DIÁRIOS'!$G$5:$G$500,"F",'LANÇAMENTOS DIÁRIOS'!$C$5:$C$500,$A81,'LANÇAMENTOS DIÁRIOS'!$O$5:$O$500,"&lt;=112599",'LANÇAMENTOS DIÁRIOS'!$P$5:$P$500,"&gt;=112500")&gt;0,"X","")</f>
      </c>
      <c r="M81" s="56" t="str">
        <f>IF(COUNTIFS('LANÇAMENTOS DIÁRIOS'!$G$5:$G$500,"F",'LANÇAMENTOS DIÁRIOS'!$C$5:$C$500,$A81,'LANÇAMENTOS DIÁRIOS'!$O$5:$O$500,"&lt;=112699",'LANÇAMENTOS DIÁRIOS'!$P$5:$P$500,"&gt;=112600")&gt;0,"X","")</f>
      </c>
      <c r="N81" s="56" t="str">
        <f>IF(COUNTIFS('LANÇAMENTOS DIÁRIOS'!$G$5:$G$500,"F",'LANÇAMENTOS DIÁRIOS'!$C$5:$C$500,$A81,'LANÇAMENTOS DIÁRIOS'!$O$5:$O$500,"&lt;=112799",'LANÇAMENTOS DIÁRIOS'!$P$5:$P$500,"&gt;=112700")&gt;0,"X","")</f>
      </c>
      <c r="O81" s="56" t="str">
        <f>IF(COUNTIFS('LANÇAMENTOS DIÁRIOS'!$G$5:$G$500,"F",'LANÇAMENTOS DIÁRIOS'!$C$5:$C$500,$A81,'LANÇAMENTOS DIÁRIOS'!$O$5:$O$500,"&lt;=112899",'LANÇAMENTOS DIÁRIOS'!$P$5:$P$500,"&gt;=112800")&gt;0,"X","")</f>
      </c>
      <c r="P81" s="56" t="str">
        <f>IF(COUNTIFS('LANÇAMENTOS DIÁRIOS'!$G$5:$G$500,"F",'LANÇAMENTOS DIÁRIOS'!$C$5:$C$500,$A81,'LANÇAMENTOS DIÁRIOS'!$O$5:$O$500,"&lt;=112999",'LANÇAMENTOS DIÁRIOS'!$P$5:$P$500,"&gt;=112900")&gt;0,"X","")</f>
      </c>
      <c r="Q81" s="56" t="str">
        <f>IF(COUNTIFS('LANÇAMENTOS DIÁRIOS'!$G$5:$G$500,"F",'LANÇAMENTOS DIÁRIOS'!$C$5:$C$500,$A81,'LANÇAMENTOS DIÁRIOS'!$O$5:$O$500,"&lt;=113099",'LANÇAMENTOS DIÁRIOS'!$P$5:$P$500,"&gt;=113000")&gt;0,"X","")</f>
      </c>
      <c r="R81" s="56" t="str">
        <f>IF(COUNTIFS('LANÇAMENTOS DIÁRIOS'!$G$5:$G$500,"F",'LANÇAMENTOS DIÁRIOS'!$C$5:$C$500,$A81,'LANÇAMENTOS DIÁRIOS'!$O$5:$O$500,"&lt;=113199",'LANÇAMENTOS DIÁRIOS'!$P$5:$P$500,"&gt;=113100")&gt;0,"X","")</f>
      </c>
      <c r="S81" s="56" t="str">
        <f>IF(COUNTIFS('LANÇAMENTOS DIÁRIOS'!$G$5:$G$500,"F",'LANÇAMENTOS DIÁRIOS'!$C$5:$C$500,$A81,'LANÇAMENTOS DIÁRIOS'!$O$5:$O$500,"&lt;=113299",'LANÇAMENTOS DIÁRIOS'!$P$5:$P$500,"&gt;=113200")&gt;0,"X","")</f>
      </c>
      <c r="T81" s="56" t="str">
        <f>IF(COUNTIFS('LANÇAMENTOS DIÁRIOS'!$G$5:$G$500,"F",'LANÇAMENTOS DIÁRIOS'!$C$5:$C$500,$A81,'LANÇAMENTOS DIÁRIOS'!$O$5:$O$500,"&lt;=113399",'LANÇAMENTOS DIÁRIOS'!$P$5:$P$500,"&gt;=113300")&gt;0,"X","")</f>
      </c>
      <c r="U81" s="56" t="str">
        <f>IF(COUNTIFS('LANÇAMENTOS DIÁRIOS'!$G$5:$G$500,"F",'LANÇAMENTOS DIÁRIOS'!$C$5:$C$500,$A81,'LANÇAMENTOS DIÁRIOS'!$O$5:$O$500,"&lt;=113499",'LANÇAMENTOS DIÁRIOS'!$P$5:$P$500,"&gt;=113400")&gt;0,"X","")</f>
      </c>
      <c r="V81" s="56" t="str">
        <f>IF(COUNTIFS('LANÇAMENTOS DIÁRIOS'!$G$5:$G$500,"F",'LANÇAMENTOS DIÁRIOS'!$C$5:$C$500,$A81,'LANÇAMENTOS DIÁRIOS'!$O$5:$O$500,"&lt;=113599",'LANÇAMENTOS DIÁRIOS'!$P$5:$P$500,"&gt;=113500")&gt;0,"X","")</f>
      </c>
      <c r="W81" s="56" t="str">
        <f>IF(COUNTIFS('LANÇAMENTOS DIÁRIOS'!$G$5:$G$500,"F",'LANÇAMENTOS DIÁRIOS'!$C$5:$C$500,$A81,'LANÇAMENTOS DIÁRIOS'!$O$5:$O$500,"&lt;=113699",'LANÇAMENTOS DIÁRIOS'!$P$5:$P$500,"&gt;=113600")&gt;0,"X","")</f>
      </c>
      <c r="X81" s="56" t="str">
        <f>IF(COUNTIFS('LANÇAMENTOS DIÁRIOS'!$G$5:$G$500,"F",'LANÇAMENTOS DIÁRIOS'!$C$5:$C$500,$A81,'LANÇAMENTOS DIÁRIOS'!$O$5:$O$500,"&lt;=113799",'LANÇAMENTOS DIÁRIOS'!$P$5:$P$500,"&gt;=113700")&gt;0,"X","")</f>
      </c>
      <c r="Y81" s="56" t="str">
        <f>IF(COUNTIFS('LANÇAMENTOS DIÁRIOS'!$G$5:$G$500,"F",'LANÇAMENTOS DIÁRIOS'!$C$5:$C$500,$A81,'LANÇAMENTOS DIÁRIOS'!$O$5:$O$500,"&lt;=113899",'LANÇAMENTOS DIÁRIOS'!$P$5:$P$500,"&gt;=113800")&gt;0,"X","")</f>
      </c>
      <c r="Z81" s="56" t="str">
        <f>IF(COUNTIFS('LANÇAMENTOS DIÁRIOS'!$G$5:$G$500,"F",'LANÇAMENTOS DIÁRIOS'!$C$5:$C$500,$A81,'LANÇAMENTOS DIÁRIOS'!$O$5:$O$500,"&lt;=113999",'LANÇAMENTOS DIÁRIOS'!$P$5:$P$500,"&gt;=113900")&gt;0,"X","")</f>
      </c>
      <c r="AA81" s="56" t="str">
        <f>IF(COUNTIFS('LANÇAMENTOS DIÁRIOS'!$G$5:$G$500,"F",'LANÇAMENTOS DIÁRIOS'!$C$5:$C$500,$A81,'LANÇAMENTOS DIÁRIOS'!$O$5:$O$500,"&lt;=114099",'LANÇAMENTOS DIÁRIOS'!$P$5:$P$500,"&gt;=114000")&gt;0,"X","")</f>
      </c>
      <c r="AB81" s="56" t="str">
        <f>IF(COUNTIFS('LANÇAMENTOS DIÁRIOS'!$G$5:$G$500,"F",'LANÇAMENTOS DIÁRIOS'!$C$5:$C$500,$A81,'LANÇAMENTOS DIÁRIOS'!$O$5:$O$500,"&lt;=114199",'LANÇAMENTOS DIÁRIOS'!$P$5:$P$500,"&gt;=114100")&gt;0,"X","")</f>
      </c>
      <c r="AC81" s="56" t="str">
        <f>IF(COUNTIFS('LANÇAMENTOS DIÁRIOS'!$G$5:$G$500,"F",'LANÇAMENTOS DIÁRIOS'!$C$5:$C$500,$A81,'LANÇAMENTOS DIÁRIOS'!$O$5:$O$500,"&lt;=114299",'LANÇAMENTOS DIÁRIOS'!$P$5:$P$500,"&gt;=114200")&gt;0,"X","")</f>
      </c>
      <c r="AD81" s="56" t="str">
        <f>IF(COUNTIFS('LANÇAMENTOS DIÁRIOS'!$G$5:$G$500,"F",'LANÇAMENTOS DIÁRIOS'!$C$5:$C$500,$A81,'LANÇAMENTOS DIÁRIOS'!$O$5:$O$500,"&lt;=114399",'LANÇAMENTOS DIÁRIOS'!$P$5:$P$500,"&gt;=114300")&gt;0,"X","")</f>
      </c>
      <c r="AE81" s="56" t="str">
        <f>IF(COUNTIFS('LANÇAMENTOS DIÁRIOS'!$G$5:$G$500,"F",'LANÇAMENTOS DIÁRIOS'!$C$5:$C$500,$A81,'LANÇAMENTOS DIÁRIOS'!$O$5:$O$500,"&lt;=114499",'LANÇAMENTOS DIÁRIOS'!$P$5:$P$500,"&gt;=114400")&gt;0,"X","")</f>
      </c>
      <c r="AF81" s="56" t="str">
        <f>IF(COUNTIFS('LANÇAMENTOS DIÁRIOS'!$G$5:$G$500,"F",'LANÇAMENTOS DIÁRIOS'!$C$5:$C$500,$A81,'LANÇAMENTOS DIÁRIOS'!$O$5:$O$500,"&lt;=114599",'LANÇAMENTOS DIÁRIOS'!$P$5:$P$500,"&gt;=114500")&gt;0,"X","")</f>
      </c>
      <c r="AG81" s="56" t="str">
        <f>IF(COUNTIFS('LANÇAMENTOS DIÁRIOS'!$G$5:$G$500,"F",'LANÇAMENTOS DIÁRIOS'!$C$5:$C$500,$A81,'LANÇAMENTOS DIÁRIOS'!$O$5:$O$500,"&lt;=114699",'LANÇAMENTOS DIÁRIOS'!$P$5:$P$500,"&gt;=114600")&gt;0,"X","")</f>
      </c>
      <c r="AH81" s="56" t="str">
        <f>IF(COUNTIFS('LANÇAMENTOS DIÁRIOS'!$G$5:$G$500,"F",'LANÇAMENTOS DIÁRIOS'!$C$5:$C$500,$A81,'LANÇAMENTOS DIÁRIOS'!$O$5:$O$500,"&lt;=114799",'LANÇAMENTOS DIÁRIOS'!$P$5:$P$500,"&gt;=114700")&gt;0,"X","")</f>
      </c>
      <c r="AI81" s="56" t="str">
        <f>IF(COUNTIFS('LANÇAMENTOS DIÁRIOS'!$G$5:$G$500,"F",'LANÇAMENTOS DIÁRIOS'!$C$5:$C$500,$A81,'LANÇAMENTOS DIÁRIOS'!$O$5:$O$500,"&lt;=114899",'LANÇAMENTOS DIÁRIOS'!$P$5:$P$500,"&gt;=114800")&gt;0,"X","")</f>
      </c>
      <c r="AJ81" s="56" t="str">
        <f>IF(COUNTIFS('LANÇAMENTOS DIÁRIOS'!$G$5:$G$500,"F",'LANÇAMENTOS DIÁRIOS'!$C$5:$C$500,$A81,'LANÇAMENTOS DIÁRIOS'!$O$5:$O$500,"&lt;=114999",'LANÇAMENTOS DIÁRIOS'!$P$5:$P$500,"&gt;=114900")&gt;0,"X","")</f>
      </c>
      <c r="AK81" s="56" t="str">
        <f>IF(COUNTIFS('LANÇAMENTOS DIÁRIOS'!$G$5:$G$500,"F",'LANÇAMENTOS DIÁRIOS'!$C$5:$C$500,$A81,'LANÇAMENTOS DIÁRIOS'!$O$5:$O$500,"&lt;=115099",'LANÇAMENTOS DIÁRIOS'!$P$5:$P$500,"&gt;=115000")&gt;0,"X","")</f>
      </c>
      <c r="AL81" s="56" t="str">
        <f>IF(COUNTIFS('LANÇAMENTOS DIÁRIOS'!$G$5:$G$500,"F",'LANÇAMENTOS DIÁRIOS'!$C$5:$C$500,$A81,'LANÇAMENTOS DIÁRIOS'!$O$5:$O$500,"&lt;=115199",'LANÇAMENTOS DIÁRIOS'!$P$5:$P$500,"&gt;=115100")&gt;0,"X","")</f>
      </c>
      <c r="AM81" s="56" t="str">
        <f>IF(COUNTIFS('LANÇAMENTOS DIÁRIOS'!$G$5:$G$500,"F",'LANÇAMENTOS DIÁRIOS'!$C$5:$C$500,$A81,'LANÇAMENTOS DIÁRIOS'!$O$5:$O$500,"&lt;=115299",'LANÇAMENTOS DIÁRIOS'!$P$5:$P$500,"&gt;=115200")&gt;0,"X","")</f>
      </c>
      <c r="AN81" s="56" t="str">
        <f>IF(COUNTIFS('LANÇAMENTOS DIÁRIOS'!$G$5:$G$500,"F",'LANÇAMENTOS DIÁRIOS'!$C$5:$C$500,$A81,'LANÇAMENTOS DIÁRIOS'!$O$5:$O$500,"&lt;=115399",'LANÇAMENTOS DIÁRIOS'!$P$5:$P$500,"&gt;=115300")&gt;0,"X","")</f>
      </c>
      <c r="AO81" s="56" t="str">
        <f>IF(COUNTIFS('LANÇAMENTOS DIÁRIOS'!$G$5:$G$500,"F",'LANÇAMENTOS DIÁRIOS'!$C$5:$C$500,$A81,'LANÇAMENTOS DIÁRIOS'!$O$5:$O$500,"&lt;=115499",'LANÇAMENTOS DIÁRIOS'!$P$5:$P$500,"&gt;=115400")&gt;0,"X","")</f>
      </c>
      <c r="AP81" s="56" t="str">
        <f>IF(COUNTIFS('LANÇAMENTOS DIÁRIOS'!$G$5:$G$500,"F",'LANÇAMENTOS DIÁRIOS'!$C$5:$C$500,$A81,'LANÇAMENTOS DIÁRIOS'!$O$5:$O$500,"&lt;=115599",'LANÇAMENTOS DIÁRIOS'!$P$5:$P$500,"&gt;=115500")&gt;0,"X","")</f>
      </c>
      <c r="AQ81" s="56" t="str">
        <f>IF(COUNTIFS('LANÇAMENTOS DIÁRIOS'!$G$5:$G$500,"F",'LANÇAMENTOS DIÁRIOS'!$C$5:$C$500,$A81,'LANÇAMENTOS DIÁRIOS'!$O$5:$O$500,"&lt;=115699",'LANÇAMENTOS DIÁRIOS'!$P$5:$P$500,"&gt;=115600")&gt;0,"X","")</f>
      </c>
      <c r="AR81" s="56" t="str">
        <f>IF(COUNTIFS('LANÇAMENTOS DIÁRIOS'!$G$5:$G$500,"F",'LANÇAMENTOS DIÁRIOS'!$C$5:$C$500,$A81,'LANÇAMENTOS DIÁRIOS'!$O$5:$O$500,"&lt;=115799",'LANÇAMENTOS DIÁRIOS'!$P$5:$P$500,"&gt;=115700")&gt;0,"X","")</f>
      </c>
      <c r="AS81" s="56" t="str">
        <f>IF(COUNTIFS('LANÇAMENTOS DIÁRIOS'!$G$5:$G$500,"F",'LANÇAMENTOS DIÁRIOS'!$C$5:$C$500,$A81,'LANÇAMENTOS DIÁRIOS'!$O$5:$O$500,"&lt;=115899",'LANÇAMENTOS DIÁRIOS'!$P$5:$P$500,"&gt;=115800")&gt;0,"X","")</f>
      </c>
      <c r="AT81" s="56" t="str">
        <f>IF(COUNTIFS('LANÇAMENTOS DIÁRIOS'!$G$5:$G$500,"F",'LANÇAMENTOS DIÁRIOS'!$C$5:$C$500,$A81,'LANÇAMENTOS DIÁRIOS'!$O$5:$O$500,"&lt;=115999",'LANÇAMENTOS DIÁRIOS'!$P$5:$P$500,"&gt;=115900")&gt;0,"X","")</f>
      </c>
      <c r="AU81" s="56" t="str">
        <f>IF(COUNTIFS('LANÇAMENTOS DIÁRIOS'!$G$5:$G$500,"F",'LANÇAMENTOS DIÁRIOS'!$C$5:$C$500,$A81,'LANÇAMENTOS DIÁRIOS'!$O$5:$O$500,"&lt;=116099",'LANÇAMENTOS DIÁRIOS'!$P$5:$P$500,"&gt;=116000")&gt;0,"X","")</f>
      </c>
      <c r="AV81" s="56" t="str">
        <f>IF(COUNTIFS('LANÇAMENTOS DIÁRIOS'!$G$5:$G$500,"F",'LANÇAMENTOS DIÁRIOS'!$C$5:$C$500,$A81,'LANÇAMENTOS DIÁRIOS'!$O$5:$O$500,"&lt;=116199",'LANÇAMENTOS DIÁRIOS'!$P$5:$P$500,"&gt;=116100")&gt;0,"X","")</f>
      </c>
      <c r="AW81" s="56" t="str">
        <f>IF(COUNTIFS('LANÇAMENTOS DIÁRIOS'!$G$5:$G$500,"F",'LANÇAMENTOS DIÁRIOS'!$C$5:$C$500,$A81,'LANÇAMENTOS DIÁRIOS'!$O$5:$O$500,"&lt;=116299",'LANÇAMENTOS DIÁRIOS'!$P$5:$P$500,"&gt;=116200")&gt;0,"X","")</f>
      </c>
      <c r="AX81" s="56" t="str">
        <f>IF(COUNTIFS('LANÇAMENTOS DIÁRIOS'!$G$5:$G$500,"F",'LANÇAMENTOS DIÁRIOS'!$C$5:$C$500,$A81,'LANÇAMENTOS DIÁRIOS'!$O$5:$O$500,"&lt;=116399",'LANÇAMENTOS DIÁRIOS'!$P$5:$P$500,"&gt;=116300")&gt;0,"X","")</f>
      </c>
      <c r="AY81" s="56" t="str">
        <f>IF(COUNTIFS('LANÇAMENTOS DIÁRIOS'!$G$5:$G$500,"F",'LANÇAMENTOS DIÁRIOS'!$C$5:$C$500,$A81,'LANÇAMENTOS DIÁRIOS'!$O$5:$O$500,"&lt;=116499",'LANÇAMENTOS DIÁRIOS'!$P$5:$P$500,"&gt;=116400")&gt;0,"X","")</f>
      </c>
      <c r="AZ81" s="56" t="str">
        <f>IF(COUNTIFS('LANÇAMENTOS DIÁRIOS'!$G$5:$G$500,"F",'LANÇAMENTOS DIÁRIOS'!$C$5:$C$500,$A81,'LANÇAMENTOS DIÁRIOS'!$O$5:$O$500,"&lt;=116599",'LANÇAMENTOS DIÁRIOS'!$P$5:$P$500,"&gt;=116500")&gt;0,"X","")</f>
      </c>
      <c r="BA81" s="56" t="str">
        <f>IF(COUNTIFS('LANÇAMENTOS DIÁRIOS'!$G$5:$G$500,"F",'LANÇAMENTOS DIÁRIOS'!$C$5:$C$500,$A81,'LANÇAMENTOS DIÁRIOS'!$O$5:$O$500,"&lt;=116699",'LANÇAMENTOS DIÁRIOS'!$P$5:$P$500,"&gt;=116600")&gt;0,"X","")</f>
      </c>
      <c r="BB81" s="56" t="str">
        <f>IF(COUNTIFS('LANÇAMENTOS DIÁRIOS'!$G$5:$G$500,"F",'LANÇAMENTOS DIÁRIOS'!$C$5:$C$500,$A81,'LANÇAMENTOS DIÁRIOS'!$O$5:$O$500,"&lt;=116799",'LANÇAMENTOS DIÁRIOS'!$P$5:$P$500,"&gt;=116700")&gt;0,"X","")</f>
      </c>
      <c r="BC81" s="56" t="str">
        <f>IF(COUNTIFS('LANÇAMENTOS DIÁRIOS'!$G$5:$G$500,"F",'LANÇAMENTOS DIÁRIOS'!$C$5:$C$500,$A81,'LANÇAMENTOS DIÁRIOS'!$O$5:$O$500,"&lt;=116899",'LANÇAMENTOS DIÁRIOS'!$P$5:$P$500,"&gt;=116800")&gt;0,"X","")</f>
      </c>
      <c r="BD81" s="56" t="str">
        <f>IF(COUNTIFS('LANÇAMENTOS DIÁRIOS'!$G$5:$G$500,"F",'LANÇAMENTOS DIÁRIOS'!$C$5:$C$500,$A81,'LANÇAMENTOS DIÁRIOS'!$O$5:$O$500,"&lt;=116999",'LANÇAMENTOS DIÁRIOS'!$P$5:$P$500,"&gt;=116900")&gt;0,"X","")</f>
      </c>
      <c r="BE81" s="56" t="str">
        <f>IF(COUNTIFS('LANÇAMENTOS DIÁRIOS'!$G$5:$G$500,"F",'LANÇAMENTOS DIÁRIOS'!$C$5:$C$500,$A81,'LANÇAMENTOS DIÁRIOS'!$O$5:$O$500,"&lt;=117099",'LANÇAMENTOS DIÁRIOS'!$P$5:$P$500,"&gt;=117000")&gt;0,"X","")</f>
      </c>
      <c r="BF81" s="56" t="str">
        <f>IF(COUNTIFS('LANÇAMENTOS DIÁRIOS'!$G$5:$G$500,"F",'LANÇAMENTOS DIÁRIOS'!$C$5:$C$500,$A81,'LANÇAMENTOS DIÁRIOS'!$O$5:$O$500,"&lt;=117199",'LANÇAMENTOS DIÁRIOS'!$P$5:$P$500,"&gt;=117100")&gt;0,"X","")</f>
      </c>
      <c r="BG81" s="56" t="str">
        <f>IF(COUNTIFS('LANÇAMENTOS DIÁRIOS'!$G$5:$G$500,"F",'LANÇAMENTOS DIÁRIOS'!$C$5:$C$500,$A81,'LANÇAMENTOS DIÁRIOS'!$O$5:$O$500,"&lt;=117219",'LANÇAMENTOS DIÁRIOS'!$P$5:$P$500,"&gt;=117200")&gt;0,"X","")</f>
      </c>
      <c r="BH81" s="56" t="str">
        <f>IF(COUNTIFS('LANÇAMENTOS DIÁRIOS'!$G$5:$G$500,"F",'LANÇAMENTOS DIÁRIOS'!$C$5:$C$500,$A81,'LANÇAMENTOS DIÁRIOS'!$O$5:$O$500,"&lt;=117220",'LANÇAMENTOS DIÁRIOS'!$P$5:$P$500,"&gt;=117220")&gt;0,"X","")</f>
      </c>
    </row>
    <row r="82">
      <c r="A82" s="51" t="str">
        <v>Solo brita 30/70</v>
      </c>
      <c r="B82" s="56" t="str">
        <f>IF(COUNTIFS('LANÇAMENTOS DIÁRIOS'!$G$5:$G$500,"F",'LANÇAMENTOS DIÁRIOS'!$C$5:$C$500,$A82,'LANÇAMENTOS DIÁRIOS'!$O$5:$O$500,"&lt;=111599",'LANÇAMENTOS DIÁRIOS'!$P$5:$P$500,"&gt;=111500")&gt;0,"X","")</f>
      </c>
      <c r="C82" s="56" t="str">
        <f>IF(COUNTIFS('LANÇAMENTOS DIÁRIOS'!$G$5:$G$500,"F",'LANÇAMENTOS DIÁRIOS'!$C$5:$C$500,$A82,'LANÇAMENTOS DIÁRIOS'!$O$5:$O$500,"&lt;=111699",'LANÇAMENTOS DIÁRIOS'!$P$5:$P$500,"&gt;=111600")&gt;0,"X","")</f>
      </c>
      <c r="D82" s="56" t="str">
        <f>IF(COUNTIFS('LANÇAMENTOS DIÁRIOS'!$G$5:$G$500,"F",'LANÇAMENTOS DIÁRIOS'!$C$5:$C$500,$A82,'LANÇAMENTOS DIÁRIOS'!$O$5:$O$500,"&lt;=111799",'LANÇAMENTOS DIÁRIOS'!$P$5:$P$500,"&gt;=111700")&gt;0,"X","")</f>
      </c>
      <c r="E82" s="56" t="str">
        <f>IF(COUNTIFS('LANÇAMENTOS DIÁRIOS'!$G$5:$G$500,"F",'LANÇAMENTOS DIÁRIOS'!$C$5:$C$500,$A82,'LANÇAMENTOS DIÁRIOS'!$O$5:$O$500,"&lt;=111899",'LANÇAMENTOS DIÁRIOS'!$P$5:$P$500,"&gt;=111800")&gt;0,"X","")</f>
      </c>
      <c r="F82" s="56" t="str">
        <f>IF(COUNTIFS('LANÇAMENTOS DIÁRIOS'!$G$5:$G$500,"F",'LANÇAMENTOS DIÁRIOS'!$C$5:$C$500,$A82,'LANÇAMENTOS DIÁRIOS'!$O$5:$O$500,"&lt;=111999",'LANÇAMENTOS DIÁRIOS'!$P$5:$P$500,"&gt;=111900")&gt;0,"X","")</f>
      </c>
      <c r="G82" s="56" t="str">
        <f>IF(COUNTIFS('LANÇAMENTOS DIÁRIOS'!$G$5:$G$500,"F",'LANÇAMENTOS DIÁRIOS'!$C$5:$C$500,$A82,'LANÇAMENTOS DIÁRIOS'!$O$5:$O$500,"&lt;=112099",'LANÇAMENTOS DIÁRIOS'!$P$5:$P$500,"&gt;=112000")&gt;0,"X","")</f>
      </c>
      <c r="H82" s="56" t="str">
        <f>IF(COUNTIFS('LANÇAMENTOS DIÁRIOS'!$G$5:$G$500,"F",'LANÇAMENTOS DIÁRIOS'!$C$5:$C$500,$A82,'LANÇAMENTOS DIÁRIOS'!$O$5:$O$500,"&lt;=112199",'LANÇAMENTOS DIÁRIOS'!$P$5:$P$500,"&gt;=112100")&gt;0,"X","")</f>
      </c>
      <c r="I82" s="56" t="str">
        <f>IF(COUNTIFS('LANÇAMENTOS DIÁRIOS'!$G$5:$G$500,"F",'LANÇAMENTOS DIÁRIOS'!$C$5:$C$500,$A82,'LANÇAMENTOS DIÁRIOS'!$O$5:$O$500,"&lt;=112299",'LANÇAMENTOS DIÁRIOS'!$P$5:$P$500,"&gt;=112200")&gt;0,"X","")</f>
      </c>
      <c r="J82" s="56" t="str">
        <f>IF(COUNTIFS('LANÇAMENTOS DIÁRIOS'!$G$5:$G$500,"F",'LANÇAMENTOS DIÁRIOS'!$C$5:$C$500,$A82,'LANÇAMENTOS DIÁRIOS'!$O$5:$O$500,"&lt;=112399",'LANÇAMENTOS DIÁRIOS'!$P$5:$P$500,"&gt;=112300")&gt;0,"X","")</f>
      </c>
      <c r="K82" s="56" t="str">
        <f>IF(COUNTIFS('LANÇAMENTOS DIÁRIOS'!$G$5:$G$500,"F",'LANÇAMENTOS DIÁRIOS'!$C$5:$C$500,$A82,'LANÇAMENTOS DIÁRIOS'!$O$5:$O$500,"&lt;=112499",'LANÇAMENTOS DIÁRIOS'!$P$5:$P$500,"&gt;=112400")&gt;0,"X","")</f>
      </c>
      <c r="L82" s="56" t="str">
        <f>IF(COUNTIFS('LANÇAMENTOS DIÁRIOS'!$G$5:$G$500,"F",'LANÇAMENTOS DIÁRIOS'!$C$5:$C$500,$A82,'LANÇAMENTOS DIÁRIOS'!$O$5:$O$500,"&lt;=112599",'LANÇAMENTOS DIÁRIOS'!$P$5:$P$500,"&gt;=112500")&gt;0,"X","")</f>
      </c>
      <c r="M82" s="56" t="str">
        <f>IF(COUNTIFS('LANÇAMENTOS DIÁRIOS'!$G$5:$G$500,"F",'LANÇAMENTOS DIÁRIOS'!$C$5:$C$500,$A82,'LANÇAMENTOS DIÁRIOS'!$O$5:$O$500,"&lt;=112699",'LANÇAMENTOS DIÁRIOS'!$P$5:$P$500,"&gt;=112600")&gt;0,"X","")</f>
      </c>
      <c r="N82" s="56" t="str">
        <f>IF(COUNTIFS('LANÇAMENTOS DIÁRIOS'!$G$5:$G$500,"F",'LANÇAMENTOS DIÁRIOS'!$C$5:$C$500,$A82,'LANÇAMENTOS DIÁRIOS'!$O$5:$O$500,"&lt;=112799",'LANÇAMENTOS DIÁRIOS'!$P$5:$P$500,"&gt;=112700")&gt;0,"X","")</f>
      </c>
      <c r="O82" s="56" t="str">
        <f>IF(COUNTIFS('LANÇAMENTOS DIÁRIOS'!$G$5:$G$500,"F",'LANÇAMENTOS DIÁRIOS'!$C$5:$C$500,$A82,'LANÇAMENTOS DIÁRIOS'!$O$5:$O$500,"&lt;=112899",'LANÇAMENTOS DIÁRIOS'!$P$5:$P$500,"&gt;=112800")&gt;0,"X","")</f>
      </c>
      <c r="P82" s="56" t="str">
        <f>IF(COUNTIFS('LANÇAMENTOS DIÁRIOS'!$G$5:$G$500,"F",'LANÇAMENTOS DIÁRIOS'!$C$5:$C$500,$A82,'LANÇAMENTOS DIÁRIOS'!$O$5:$O$500,"&lt;=112999",'LANÇAMENTOS DIÁRIOS'!$P$5:$P$500,"&gt;=112900")&gt;0,"X","")</f>
      </c>
      <c r="Q82" s="56" t="str">
        <f>IF(COUNTIFS('LANÇAMENTOS DIÁRIOS'!$G$5:$G$500,"F",'LANÇAMENTOS DIÁRIOS'!$C$5:$C$500,$A82,'LANÇAMENTOS DIÁRIOS'!$O$5:$O$500,"&lt;=113099",'LANÇAMENTOS DIÁRIOS'!$P$5:$P$500,"&gt;=113000")&gt;0,"X","")</f>
      </c>
      <c r="R82" s="56" t="str">
        <f>IF(COUNTIFS('LANÇAMENTOS DIÁRIOS'!$G$5:$G$500,"F",'LANÇAMENTOS DIÁRIOS'!$C$5:$C$500,$A82,'LANÇAMENTOS DIÁRIOS'!$O$5:$O$500,"&lt;=113199",'LANÇAMENTOS DIÁRIOS'!$P$5:$P$500,"&gt;=113100")&gt;0,"X","")</f>
      </c>
      <c r="S82" s="56" t="str">
        <f>IF(COUNTIFS('LANÇAMENTOS DIÁRIOS'!$G$5:$G$500,"F",'LANÇAMENTOS DIÁRIOS'!$C$5:$C$500,$A82,'LANÇAMENTOS DIÁRIOS'!$O$5:$O$500,"&lt;=113299",'LANÇAMENTOS DIÁRIOS'!$P$5:$P$500,"&gt;=113200")&gt;0,"X","")</f>
      </c>
      <c r="T82" s="56" t="str">
        <f>IF(COUNTIFS('LANÇAMENTOS DIÁRIOS'!$G$5:$G$500,"F",'LANÇAMENTOS DIÁRIOS'!$C$5:$C$500,$A82,'LANÇAMENTOS DIÁRIOS'!$O$5:$O$500,"&lt;=113399",'LANÇAMENTOS DIÁRIOS'!$P$5:$P$500,"&gt;=113300")&gt;0,"X","")</f>
      </c>
      <c r="U82" s="56" t="str">
        <f>IF(COUNTIFS('LANÇAMENTOS DIÁRIOS'!$G$5:$G$500,"F",'LANÇAMENTOS DIÁRIOS'!$C$5:$C$500,$A82,'LANÇAMENTOS DIÁRIOS'!$O$5:$O$500,"&lt;=113499",'LANÇAMENTOS DIÁRIOS'!$P$5:$P$500,"&gt;=113400")&gt;0,"X","")</f>
      </c>
      <c r="V82" s="56" t="str">
        <f>IF(COUNTIFS('LANÇAMENTOS DIÁRIOS'!$G$5:$G$500,"F",'LANÇAMENTOS DIÁRIOS'!$C$5:$C$500,$A82,'LANÇAMENTOS DIÁRIOS'!$O$5:$O$500,"&lt;=113599",'LANÇAMENTOS DIÁRIOS'!$P$5:$P$500,"&gt;=113500")&gt;0,"X","")</f>
      </c>
      <c r="W82" s="56" t="str">
        <f>IF(COUNTIFS('LANÇAMENTOS DIÁRIOS'!$G$5:$G$500,"F",'LANÇAMENTOS DIÁRIOS'!$C$5:$C$500,$A82,'LANÇAMENTOS DIÁRIOS'!$O$5:$O$500,"&lt;=113699",'LANÇAMENTOS DIÁRIOS'!$P$5:$P$500,"&gt;=113600")&gt;0,"X","")</f>
      </c>
      <c r="X82" s="56" t="str">
        <f>IF(COUNTIFS('LANÇAMENTOS DIÁRIOS'!$G$5:$G$500,"F",'LANÇAMENTOS DIÁRIOS'!$C$5:$C$500,$A82,'LANÇAMENTOS DIÁRIOS'!$O$5:$O$500,"&lt;=113799",'LANÇAMENTOS DIÁRIOS'!$P$5:$P$500,"&gt;=113700")&gt;0,"X","")</f>
      </c>
      <c r="Y82" s="56" t="str">
        <f>IF(COUNTIFS('LANÇAMENTOS DIÁRIOS'!$G$5:$G$500,"F",'LANÇAMENTOS DIÁRIOS'!$C$5:$C$500,$A82,'LANÇAMENTOS DIÁRIOS'!$O$5:$O$500,"&lt;=113899",'LANÇAMENTOS DIÁRIOS'!$P$5:$P$500,"&gt;=113800")&gt;0,"X","")</f>
      </c>
      <c r="Z82" s="56" t="str">
        <f>IF(COUNTIFS('LANÇAMENTOS DIÁRIOS'!$G$5:$G$500,"F",'LANÇAMENTOS DIÁRIOS'!$C$5:$C$500,$A82,'LANÇAMENTOS DIÁRIOS'!$O$5:$O$500,"&lt;=113999",'LANÇAMENTOS DIÁRIOS'!$P$5:$P$500,"&gt;=113900")&gt;0,"X","")</f>
      </c>
      <c r="AA82" s="56" t="str">
        <f>IF(COUNTIFS('LANÇAMENTOS DIÁRIOS'!$G$5:$G$500,"F",'LANÇAMENTOS DIÁRIOS'!$C$5:$C$500,$A82,'LANÇAMENTOS DIÁRIOS'!$O$5:$O$500,"&lt;=114099",'LANÇAMENTOS DIÁRIOS'!$P$5:$P$500,"&gt;=114000")&gt;0,"X","")</f>
      </c>
      <c r="AB82" s="56" t="str">
        <f>IF(COUNTIFS('LANÇAMENTOS DIÁRIOS'!$G$5:$G$500,"F",'LANÇAMENTOS DIÁRIOS'!$C$5:$C$500,$A82,'LANÇAMENTOS DIÁRIOS'!$O$5:$O$500,"&lt;=114199",'LANÇAMENTOS DIÁRIOS'!$P$5:$P$500,"&gt;=114100")&gt;0,"X","")</f>
      </c>
      <c r="AC82" s="56" t="str">
        <f>IF(COUNTIFS('LANÇAMENTOS DIÁRIOS'!$G$5:$G$500,"F",'LANÇAMENTOS DIÁRIOS'!$C$5:$C$500,$A82,'LANÇAMENTOS DIÁRIOS'!$O$5:$O$500,"&lt;=114299",'LANÇAMENTOS DIÁRIOS'!$P$5:$P$500,"&gt;=114200")&gt;0,"X","")</f>
      </c>
      <c r="AD82" s="56" t="str">
        <f>IF(COUNTIFS('LANÇAMENTOS DIÁRIOS'!$G$5:$G$500,"F",'LANÇAMENTOS DIÁRIOS'!$C$5:$C$500,$A82,'LANÇAMENTOS DIÁRIOS'!$O$5:$O$500,"&lt;=114399",'LANÇAMENTOS DIÁRIOS'!$P$5:$P$500,"&gt;=114300")&gt;0,"X","")</f>
      </c>
      <c r="AE82" s="56" t="str">
        <f>IF(COUNTIFS('LANÇAMENTOS DIÁRIOS'!$G$5:$G$500,"F",'LANÇAMENTOS DIÁRIOS'!$C$5:$C$500,$A82,'LANÇAMENTOS DIÁRIOS'!$O$5:$O$500,"&lt;=114499",'LANÇAMENTOS DIÁRIOS'!$P$5:$P$500,"&gt;=114400")&gt;0,"X","")</f>
      </c>
      <c r="AF82" s="56" t="str">
        <f>IF(COUNTIFS('LANÇAMENTOS DIÁRIOS'!$G$5:$G$500,"F",'LANÇAMENTOS DIÁRIOS'!$C$5:$C$500,$A82,'LANÇAMENTOS DIÁRIOS'!$O$5:$O$500,"&lt;=114599",'LANÇAMENTOS DIÁRIOS'!$P$5:$P$500,"&gt;=114500")&gt;0,"X","")</f>
      </c>
      <c r="AG82" s="56" t="str">
        <f>IF(COUNTIFS('LANÇAMENTOS DIÁRIOS'!$G$5:$G$500,"F",'LANÇAMENTOS DIÁRIOS'!$C$5:$C$500,$A82,'LANÇAMENTOS DIÁRIOS'!$O$5:$O$500,"&lt;=114699",'LANÇAMENTOS DIÁRIOS'!$P$5:$P$500,"&gt;=114600")&gt;0,"X","")</f>
      </c>
      <c r="AH82" s="56" t="str">
        <f>IF(COUNTIFS('LANÇAMENTOS DIÁRIOS'!$G$5:$G$500,"F",'LANÇAMENTOS DIÁRIOS'!$C$5:$C$500,$A82,'LANÇAMENTOS DIÁRIOS'!$O$5:$O$500,"&lt;=114799",'LANÇAMENTOS DIÁRIOS'!$P$5:$P$500,"&gt;=114700")&gt;0,"X","")</f>
      </c>
      <c r="AI82" s="56" t="str">
        <f>IF(COUNTIFS('LANÇAMENTOS DIÁRIOS'!$G$5:$G$500,"F",'LANÇAMENTOS DIÁRIOS'!$C$5:$C$500,$A82,'LANÇAMENTOS DIÁRIOS'!$O$5:$O$500,"&lt;=114899",'LANÇAMENTOS DIÁRIOS'!$P$5:$P$500,"&gt;=114800")&gt;0,"X","")</f>
      </c>
      <c r="AJ82" s="56" t="str">
        <f>IF(COUNTIFS('LANÇAMENTOS DIÁRIOS'!$G$5:$G$500,"F",'LANÇAMENTOS DIÁRIOS'!$C$5:$C$500,$A82,'LANÇAMENTOS DIÁRIOS'!$O$5:$O$500,"&lt;=114999",'LANÇAMENTOS DIÁRIOS'!$P$5:$P$500,"&gt;=114900")&gt;0,"X","")</f>
      </c>
      <c r="AK82" s="56" t="str">
        <f>IF(COUNTIFS('LANÇAMENTOS DIÁRIOS'!$G$5:$G$500,"F",'LANÇAMENTOS DIÁRIOS'!$C$5:$C$500,$A82,'LANÇAMENTOS DIÁRIOS'!$O$5:$O$500,"&lt;=115099",'LANÇAMENTOS DIÁRIOS'!$P$5:$P$500,"&gt;=115000")&gt;0,"X","")</f>
      </c>
      <c r="AL82" s="56" t="str">
        <f>IF(COUNTIFS('LANÇAMENTOS DIÁRIOS'!$G$5:$G$500,"F",'LANÇAMENTOS DIÁRIOS'!$C$5:$C$500,$A82,'LANÇAMENTOS DIÁRIOS'!$O$5:$O$500,"&lt;=115199",'LANÇAMENTOS DIÁRIOS'!$P$5:$P$500,"&gt;=115100")&gt;0,"X","")</f>
      </c>
      <c r="AM82" s="56" t="str">
        <f>IF(COUNTIFS('LANÇAMENTOS DIÁRIOS'!$G$5:$G$500,"F",'LANÇAMENTOS DIÁRIOS'!$C$5:$C$500,$A82,'LANÇAMENTOS DIÁRIOS'!$O$5:$O$500,"&lt;=115299",'LANÇAMENTOS DIÁRIOS'!$P$5:$P$500,"&gt;=115200")&gt;0,"X","")</f>
      </c>
      <c r="AN82" s="56" t="str">
        <f>IF(COUNTIFS('LANÇAMENTOS DIÁRIOS'!$G$5:$G$500,"F",'LANÇAMENTOS DIÁRIOS'!$C$5:$C$500,$A82,'LANÇAMENTOS DIÁRIOS'!$O$5:$O$500,"&lt;=115399",'LANÇAMENTOS DIÁRIOS'!$P$5:$P$500,"&gt;=115300")&gt;0,"X","")</f>
      </c>
      <c r="AO82" s="56" t="str">
        <f>IF(COUNTIFS('LANÇAMENTOS DIÁRIOS'!$G$5:$G$500,"F",'LANÇAMENTOS DIÁRIOS'!$C$5:$C$500,$A82,'LANÇAMENTOS DIÁRIOS'!$O$5:$O$500,"&lt;=115499",'LANÇAMENTOS DIÁRIOS'!$P$5:$P$500,"&gt;=115400")&gt;0,"X","")</f>
      </c>
      <c r="AP82" s="56" t="str">
        <f>IF(COUNTIFS('LANÇAMENTOS DIÁRIOS'!$G$5:$G$500,"F",'LANÇAMENTOS DIÁRIOS'!$C$5:$C$500,$A82,'LANÇAMENTOS DIÁRIOS'!$O$5:$O$500,"&lt;=115599",'LANÇAMENTOS DIÁRIOS'!$P$5:$P$500,"&gt;=115500")&gt;0,"X","")</f>
      </c>
      <c r="AQ82" s="56" t="str">
        <f>IF(COUNTIFS('LANÇAMENTOS DIÁRIOS'!$G$5:$G$500,"F",'LANÇAMENTOS DIÁRIOS'!$C$5:$C$500,$A82,'LANÇAMENTOS DIÁRIOS'!$O$5:$O$500,"&lt;=115699",'LANÇAMENTOS DIÁRIOS'!$P$5:$P$500,"&gt;=115600")&gt;0,"X","")</f>
      </c>
      <c r="AR82" s="56" t="str">
        <f>IF(COUNTIFS('LANÇAMENTOS DIÁRIOS'!$G$5:$G$500,"F",'LANÇAMENTOS DIÁRIOS'!$C$5:$C$500,$A82,'LANÇAMENTOS DIÁRIOS'!$O$5:$O$500,"&lt;=115799",'LANÇAMENTOS DIÁRIOS'!$P$5:$P$500,"&gt;=115700")&gt;0,"X","")</f>
      </c>
      <c r="AS82" s="56" t="str">
        <f>IF(COUNTIFS('LANÇAMENTOS DIÁRIOS'!$G$5:$G$500,"F",'LANÇAMENTOS DIÁRIOS'!$C$5:$C$500,$A82,'LANÇAMENTOS DIÁRIOS'!$O$5:$O$500,"&lt;=115899",'LANÇAMENTOS DIÁRIOS'!$P$5:$P$500,"&gt;=115800")&gt;0,"X","")</f>
      </c>
      <c r="AT82" s="56" t="str">
        <f>IF(COUNTIFS('LANÇAMENTOS DIÁRIOS'!$G$5:$G$500,"F",'LANÇAMENTOS DIÁRIOS'!$C$5:$C$500,$A82,'LANÇAMENTOS DIÁRIOS'!$O$5:$O$500,"&lt;=115999",'LANÇAMENTOS DIÁRIOS'!$P$5:$P$500,"&gt;=115900")&gt;0,"X","")</f>
      </c>
      <c r="AU82" s="56" t="str">
        <f>IF(COUNTIFS('LANÇAMENTOS DIÁRIOS'!$G$5:$G$500,"F",'LANÇAMENTOS DIÁRIOS'!$C$5:$C$500,$A82,'LANÇAMENTOS DIÁRIOS'!$O$5:$O$500,"&lt;=116099",'LANÇAMENTOS DIÁRIOS'!$P$5:$P$500,"&gt;=116000")&gt;0,"X","")</f>
      </c>
      <c r="AV82" s="56" t="str">
        <f>IF(COUNTIFS('LANÇAMENTOS DIÁRIOS'!$G$5:$G$500,"F",'LANÇAMENTOS DIÁRIOS'!$C$5:$C$500,$A82,'LANÇAMENTOS DIÁRIOS'!$O$5:$O$500,"&lt;=116199",'LANÇAMENTOS DIÁRIOS'!$P$5:$P$500,"&gt;=116100")&gt;0,"X","")</f>
      </c>
      <c r="AW82" s="56" t="str">
        <f>IF(COUNTIFS('LANÇAMENTOS DIÁRIOS'!$G$5:$G$500,"F",'LANÇAMENTOS DIÁRIOS'!$C$5:$C$500,$A82,'LANÇAMENTOS DIÁRIOS'!$O$5:$O$500,"&lt;=116299",'LANÇAMENTOS DIÁRIOS'!$P$5:$P$500,"&gt;=116200")&gt;0,"X","")</f>
      </c>
      <c r="AX82" s="56" t="str">
        <f>IF(COUNTIFS('LANÇAMENTOS DIÁRIOS'!$G$5:$G$500,"F",'LANÇAMENTOS DIÁRIOS'!$C$5:$C$500,$A82,'LANÇAMENTOS DIÁRIOS'!$O$5:$O$500,"&lt;=116399",'LANÇAMENTOS DIÁRIOS'!$P$5:$P$500,"&gt;=116300")&gt;0,"X","")</f>
      </c>
      <c r="AY82" s="56" t="str">
        <f>IF(COUNTIFS('LANÇAMENTOS DIÁRIOS'!$G$5:$G$500,"F",'LANÇAMENTOS DIÁRIOS'!$C$5:$C$500,$A82,'LANÇAMENTOS DIÁRIOS'!$O$5:$O$500,"&lt;=116499",'LANÇAMENTOS DIÁRIOS'!$P$5:$P$500,"&gt;=116400")&gt;0,"X","")</f>
      </c>
      <c r="AZ82" s="56" t="str">
        <f>IF(COUNTIFS('LANÇAMENTOS DIÁRIOS'!$G$5:$G$500,"F",'LANÇAMENTOS DIÁRIOS'!$C$5:$C$500,$A82,'LANÇAMENTOS DIÁRIOS'!$O$5:$O$500,"&lt;=116599",'LANÇAMENTOS DIÁRIOS'!$P$5:$P$500,"&gt;=116500")&gt;0,"X","")</f>
      </c>
      <c r="BA82" s="56" t="str">
        <f>IF(COUNTIFS('LANÇAMENTOS DIÁRIOS'!$G$5:$G$500,"F",'LANÇAMENTOS DIÁRIOS'!$C$5:$C$500,$A82,'LANÇAMENTOS DIÁRIOS'!$O$5:$O$500,"&lt;=116699",'LANÇAMENTOS DIÁRIOS'!$P$5:$P$500,"&gt;=116600")&gt;0,"X","")</f>
      </c>
      <c r="BB82" s="56" t="str">
        <f>IF(COUNTIFS('LANÇAMENTOS DIÁRIOS'!$G$5:$G$500,"F",'LANÇAMENTOS DIÁRIOS'!$C$5:$C$500,$A82,'LANÇAMENTOS DIÁRIOS'!$O$5:$O$500,"&lt;=116799",'LANÇAMENTOS DIÁRIOS'!$P$5:$P$500,"&gt;=116700")&gt;0,"X","")</f>
      </c>
      <c r="BC82" s="56" t="str">
        <f>IF(COUNTIFS('LANÇAMENTOS DIÁRIOS'!$G$5:$G$500,"F",'LANÇAMENTOS DIÁRIOS'!$C$5:$C$500,$A82,'LANÇAMENTOS DIÁRIOS'!$O$5:$O$500,"&lt;=116899",'LANÇAMENTOS DIÁRIOS'!$P$5:$P$500,"&gt;=116800")&gt;0,"X","")</f>
      </c>
      <c r="BD82" s="56" t="str">
        <f>IF(COUNTIFS('LANÇAMENTOS DIÁRIOS'!$G$5:$G$500,"F",'LANÇAMENTOS DIÁRIOS'!$C$5:$C$500,$A82,'LANÇAMENTOS DIÁRIOS'!$O$5:$O$500,"&lt;=116999",'LANÇAMENTOS DIÁRIOS'!$P$5:$P$500,"&gt;=116900")&gt;0,"X","")</f>
      </c>
      <c r="BE82" s="56" t="str">
        <f>IF(COUNTIFS('LANÇAMENTOS DIÁRIOS'!$G$5:$G$500,"F",'LANÇAMENTOS DIÁRIOS'!$C$5:$C$500,$A82,'LANÇAMENTOS DIÁRIOS'!$O$5:$O$500,"&lt;=117099",'LANÇAMENTOS DIÁRIOS'!$P$5:$P$500,"&gt;=117000")&gt;0,"X","")</f>
      </c>
      <c r="BF82" s="56" t="str">
        <f>IF(COUNTIFS('LANÇAMENTOS DIÁRIOS'!$G$5:$G$500,"F",'LANÇAMENTOS DIÁRIOS'!$C$5:$C$500,$A82,'LANÇAMENTOS DIÁRIOS'!$O$5:$O$500,"&lt;=117199",'LANÇAMENTOS DIÁRIOS'!$P$5:$P$500,"&gt;=117100")&gt;0,"X","")</f>
      </c>
      <c r="BG82" s="56" t="str">
        <f>IF(COUNTIFS('LANÇAMENTOS DIÁRIOS'!$G$5:$G$500,"F",'LANÇAMENTOS DIÁRIOS'!$C$5:$C$500,$A82,'LANÇAMENTOS DIÁRIOS'!$O$5:$O$500,"&lt;=117219",'LANÇAMENTOS DIÁRIOS'!$P$5:$P$500,"&gt;=117200")&gt;0,"X","")</f>
      </c>
      <c r="BH82" s="56" t="str">
        <f>IF(COUNTIFS('LANÇAMENTOS DIÁRIOS'!$G$5:$G$500,"F",'LANÇAMENTOS DIÁRIOS'!$C$5:$C$500,$A82,'LANÇAMENTOS DIÁRIOS'!$O$5:$O$500,"&lt;=117220",'LANÇAMENTOS DIÁRIOS'!$P$5:$P$500,"&gt;=117220")&gt;0,"X","")</f>
      </c>
    </row>
    <row r="83" ht="19" customHeight="1">
      <c r="A83" s="68" t="str">
        <v>Construção da camada de revestimento</v>
      </c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</row>
    <row r="84">
      <c r="A84" s="51" t="str">
        <v>Imprimadura impermeabilizante com EAI - Sem o fornecimento dos materias</v>
      </c>
      <c r="B84" s="56" t="str">
        <f>IF(COUNTIFS('LANÇAMENTOS DIÁRIOS'!$G$5:$G$500,"F",'LANÇAMENTOS DIÁRIOS'!$C$5:$C$500,$A84,'LANÇAMENTOS DIÁRIOS'!$O$5:$O$500,"&lt;=111599",'LANÇAMENTOS DIÁRIOS'!$P$5:$P$500,"&gt;=111500")&gt;0,"X","")</f>
      </c>
      <c r="C84" s="56" t="str">
        <f>IF(COUNTIFS('LANÇAMENTOS DIÁRIOS'!$G$5:$G$500,"F",'LANÇAMENTOS DIÁRIOS'!$C$5:$C$500,$A84,'LANÇAMENTOS DIÁRIOS'!$O$5:$O$500,"&lt;=111699",'LANÇAMENTOS DIÁRIOS'!$P$5:$P$500,"&gt;=111600")&gt;0,"X","")</f>
      </c>
      <c r="D84" s="56" t="str">
        <f>IF(COUNTIFS('LANÇAMENTOS DIÁRIOS'!$G$5:$G$500,"F",'LANÇAMENTOS DIÁRIOS'!$C$5:$C$500,$A84,'LANÇAMENTOS DIÁRIOS'!$O$5:$O$500,"&lt;=111799",'LANÇAMENTOS DIÁRIOS'!$P$5:$P$500,"&gt;=111700")&gt;0,"X","")</f>
      </c>
      <c r="E84" s="56" t="str">
        <f>IF(COUNTIFS('LANÇAMENTOS DIÁRIOS'!$G$5:$G$500,"F",'LANÇAMENTOS DIÁRIOS'!$C$5:$C$500,$A84,'LANÇAMENTOS DIÁRIOS'!$O$5:$O$500,"&lt;=111899",'LANÇAMENTOS DIÁRIOS'!$P$5:$P$500,"&gt;=111800")&gt;0,"X","")</f>
      </c>
      <c r="F84" s="56" t="str">
        <f>IF(COUNTIFS('LANÇAMENTOS DIÁRIOS'!$G$5:$G$500,"F",'LANÇAMENTOS DIÁRIOS'!$C$5:$C$500,$A84,'LANÇAMENTOS DIÁRIOS'!$O$5:$O$500,"&lt;=111999",'LANÇAMENTOS DIÁRIOS'!$P$5:$P$500,"&gt;=111900")&gt;0,"X","")</f>
      </c>
      <c r="G84" s="56" t="str">
        <f>IF(COUNTIFS('LANÇAMENTOS DIÁRIOS'!$G$5:$G$500,"F",'LANÇAMENTOS DIÁRIOS'!$C$5:$C$500,$A84,'LANÇAMENTOS DIÁRIOS'!$O$5:$O$500,"&lt;=112099",'LANÇAMENTOS DIÁRIOS'!$P$5:$P$500,"&gt;=112000")&gt;0,"X","")</f>
      </c>
      <c r="H84" s="56" t="str">
        <f>IF(COUNTIFS('LANÇAMENTOS DIÁRIOS'!$G$5:$G$500,"F",'LANÇAMENTOS DIÁRIOS'!$C$5:$C$500,$A84,'LANÇAMENTOS DIÁRIOS'!$O$5:$O$500,"&lt;=112199",'LANÇAMENTOS DIÁRIOS'!$P$5:$P$500,"&gt;=112100")&gt;0,"X","")</f>
      </c>
      <c r="I84" s="56" t="str">
        <f>IF(COUNTIFS('LANÇAMENTOS DIÁRIOS'!$G$5:$G$500,"F",'LANÇAMENTOS DIÁRIOS'!$C$5:$C$500,$A84,'LANÇAMENTOS DIÁRIOS'!$O$5:$O$500,"&lt;=112299",'LANÇAMENTOS DIÁRIOS'!$P$5:$P$500,"&gt;=112200")&gt;0,"X","")</f>
      </c>
      <c r="J84" s="56" t="str">
        <f>IF(COUNTIFS('LANÇAMENTOS DIÁRIOS'!$G$5:$G$500,"F",'LANÇAMENTOS DIÁRIOS'!$C$5:$C$500,$A84,'LANÇAMENTOS DIÁRIOS'!$O$5:$O$500,"&lt;=112399",'LANÇAMENTOS DIÁRIOS'!$P$5:$P$500,"&gt;=112300")&gt;0,"X","")</f>
      </c>
      <c r="K84" s="56" t="str">
        <f>IF(COUNTIFS('LANÇAMENTOS DIÁRIOS'!$G$5:$G$500,"F",'LANÇAMENTOS DIÁRIOS'!$C$5:$C$500,$A84,'LANÇAMENTOS DIÁRIOS'!$O$5:$O$500,"&lt;=112499",'LANÇAMENTOS DIÁRIOS'!$P$5:$P$500,"&gt;=112400")&gt;0,"X","")</f>
      </c>
      <c r="L84" s="56" t="str">
        <f>IF(COUNTIFS('LANÇAMENTOS DIÁRIOS'!$G$5:$G$500,"F",'LANÇAMENTOS DIÁRIOS'!$C$5:$C$500,$A84,'LANÇAMENTOS DIÁRIOS'!$O$5:$O$500,"&lt;=112599",'LANÇAMENTOS DIÁRIOS'!$P$5:$P$500,"&gt;=112500")&gt;0,"X","")</f>
      </c>
      <c r="M84" s="56" t="str">
        <f>IF(COUNTIFS('LANÇAMENTOS DIÁRIOS'!$G$5:$G$500,"F",'LANÇAMENTOS DIÁRIOS'!$C$5:$C$500,$A84,'LANÇAMENTOS DIÁRIOS'!$O$5:$O$500,"&lt;=112699",'LANÇAMENTOS DIÁRIOS'!$P$5:$P$500,"&gt;=112600")&gt;0,"X","")</f>
      </c>
      <c r="N84" s="56" t="str">
        <f>IF(COUNTIFS('LANÇAMENTOS DIÁRIOS'!$G$5:$G$500,"F",'LANÇAMENTOS DIÁRIOS'!$C$5:$C$500,$A84,'LANÇAMENTOS DIÁRIOS'!$O$5:$O$500,"&lt;=112799",'LANÇAMENTOS DIÁRIOS'!$P$5:$P$500,"&gt;=112700")&gt;0,"X","")</f>
      </c>
      <c r="O84" s="56" t="str">
        <f>IF(COUNTIFS('LANÇAMENTOS DIÁRIOS'!$G$5:$G$500,"F",'LANÇAMENTOS DIÁRIOS'!$C$5:$C$500,$A84,'LANÇAMENTOS DIÁRIOS'!$O$5:$O$500,"&lt;=112899",'LANÇAMENTOS DIÁRIOS'!$P$5:$P$500,"&gt;=112800")&gt;0,"X","")</f>
      </c>
      <c r="P84" s="56" t="str">
        <f>IF(COUNTIFS('LANÇAMENTOS DIÁRIOS'!$G$5:$G$500,"F",'LANÇAMENTOS DIÁRIOS'!$C$5:$C$500,$A84,'LANÇAMENTOS DIÁRIOS'!$O$5:$O$500,"&lt;=112999",'LANÇAMENTOS DIÁRIOS'!$P$5:$P$500,"&gt;=112900")&gt;0,"X","")</f>
      </c>
      <c r="Q84" s="56" t="str">
        <f>IF(COUNTIFS('LANÇAMENTOS DIÁRIOS'!$G$5:$G$500,"F",'LANÇAMENTOS DIÁRIOS'!$C$5:$C$500,$A84,'LANÇAMENTOS DIÁRIOS'!$O$5:$O$500,"&lt;=113099",'LANÇAMENTOS DIÁRIOS'!$P$5:$P$500,"&gt;=113000")&gt;0,"X","")</f>
      </c>
      <c r="R84" s="56" t="str">
        <f>IF(COUNTIFS('LANÇAMENTOS DIÁRIOS'!$G$5:$G$500,"F",'LANÇAMENTOS DIÁRIOS'!$C$5:$C$500,$A84,'LANÇAMENTOS DIÁRIOS'!$O$5:$O$500,"&lt;=113199",'LANÇAMENTOS DIÁRIOS'!$P$5:$P$500,"&gt;=113100")&gt;0,"X","")</f>
      </c>
      <c r="S84" s="56" t="str">
        <f>IF(COUNTIFS('LANÇAMENTOS DIÁRIOS'!$G$5:$G$500,"F",'LANÇAMENTOS DIÁRIOS'!$C$5:$C$500,$A84,'LANÇAMENTOS DIÁRIOS'!$O$5:$O$500,"&lt;=113299",'LANÇAMENTOS DIÁRIOS'!$P$5:$P$500,"&gt;=113200")&gt;0,"X","")</f>
      </c>
      <c r="T84" s="56" t="str">
        <f>IF(COUNTIFS('LANÇAMENTOS DIÁRIOS'!$G$5:$G$500,"F",'LANÇAMENTOS DIÁRIOS'!$C$5:$C$500,$A84,'LANÇAMENTOS DIÁRIOS'!$O$5:$O$500,"&lt;=113399",'LANÇAMENTOS DIÁRIOS'!$P$5:$P$500,"&gt;=113300")&gt;0,"X","")</f>
      </c>
      <c r="U84" s="56" t="str">
        <f>IF(COUNTIFS('LANÇAMENTOS DIÁRIOS'!$G$5:$G$500,"F",'LANÇAMENTOS DIÁRIOS'!$C$5:$C$500,$A84,'LANÇAMENTOS DIÁRIOS'!$O$5:$O$500,"&lt;=113499",'LANÇAMENTOS DIÁRIOS'!$P$5:$P$500,"&gt;=113400")&gt;0,"X","")</f>
      </c>
      <c r="V84" s="56" t="str">
        <f>IF(COUNTIFS('LANÇAMENTOS DIÁRIOS'!$G$5:$G$500,"F",'LANÇAMENTOS DIÁRIOS'!$C$5:$C$500,$A84,'LANÇAMENTOS DIÁRIOS'!$O$5:$O$500,"&lt;=113599",'LANÇAMENTOS DIÁRIOS'!$P$5:$P$500,"&gt;=113500")&gt;0,"X","")</f>
      </c>
      <c r="W84" s="56" t="str">
        <f>IF(COUNTIFS('LANÇAMENTOS DIÁRIOS'!$G$5:$G$500,"F",'LANÇAMENTOS DIÁRIOS'!$C$5:$C$500,$A84,'LANÇAMENTOS DIÁRIOS'!$O$5:$O$500,"&lt;=113699",'LANÇAMENTOS DIÁRIOS'!$P$5:$P$500,"&gt;=113600")&gt;0,"X","")</f>
      </c>
      <c r="X84" s="56" t="str">
        <f>IF(COUNTIFS('LANÇAMENTOS DIÁRIOS'!$G$5:$G$500,"F",'LANÇAMENTOS DIÁRIOS'!$C$5:$C$500,$A84,'LANÇAMENTOS DIÁRIOS'!$O$5:$O$500,"&lt;=113799",'LANÇAMENTOS DIÁRIOS'!$P$5:$P$500,"&gt;=113700")&gt;0,"X","")</f>
      </c>
      <c r="Y84" s="56" t="str">
        <f>IF(COUNTIFS('LANÇAMENTOS DIÁRIOS'!$G$5:$G$500,"F",'LANÇAMENTOS DIÁRIOS'!$C$5:$C$500,$A84,'LANÇAMENTOS DIÁRIOS'!$O$5:$O$500,"&lt;=113899",'LANÇAMENTOS DIÁRIOS'!$P$5:$P$500,"&gt;=113800")&gt;0,"X","")</f>
      </c>
      <c r="Z84" s="56" t="str">
        <f>IF(COUNTIFS('LANÇAMENTOS DIÁRIOS'!$G$5:$G$500,"F",'LANÇAMENTOS DIÁRIOS'!$C$5:$C$500,$A84,'LANÇAMENTOS DIÁRIOS'!$O$5:$O$500,"&lt;=113999",'LANÇAMENTOS DIÁRIOS'!$P$5:$P$500,"&gt;=113900")&gt;0,"X","")</f>
      </c>
      <c r="AA84" s="56" t="str">
        <f>IF(COUNTIFS('LANÇAMENTOS DIÁRIOS'!$G$5:$G$500,"F",'LANÇAMENTOS DIÁRIOS'!$C$5:$C$500,$A84,'LANÇAMENTOS DIÁRIOS'!$O$5:$O$500,"&lt;=114099",'LANÇAMENTOS DIÁRIOS'!$P$5:$P$500,"&gt;=114000")&gt;0,"X","")</f>
      </c>
      <c r="AB84" s="56" t="str">
        <f>IF(COUNTIFS('LANÇAMENTOS DIÁRIOS'!$G$5:$G$500,"F",'LANÇAMENTOS DIÁRIOS'!$C$5:$C$500,$A84,'LANÇAMENTOS DIÁRIOS'!$O$5:$O$500,"&lt;=114199",'LANÇAMENTOS DIÁRIOS'!$P$5:$P$500,"&gt;=114100")&gt;0,"X","")</f>
      </c>
      <c r="AC84" s="56" t="str">
        <f>IF(COUNTIFS('LANÇAMENTOS DIÁRIOS'!$G$5:$G$500,"F",'LANÇAMENTOS DIÁRIOS'!$C$5:$C$500,$A84,'LANÇAMENTOS DIÁRIOS'!$O$5:$O$500,"&lt;=114299",'LANÇAMENTOS DIÁRIOS'!$P$5:$P$500,"&gt;=114200")&gt;0,"X","")</f>
      </c>
      <c r="AD84" s="56" t="str">
        <f>IF(COUNTIFS('LANÇAMENTOS DIÁRIOS'!$G$5:$G$500,"F",'LANÇAMENTOS DIÁRIOS'!$C$5:$C$500,$A84,'LANÇAMENTOS DIÁRIOS'!$O$5:$O$500,"&lt;=114399",'LANÇAMENTOS DIÁRIOS'!$P$5:$P$500,"&gt;=114300")&gt;0,"X","")</f>
      </c>
      <c r="AE84" s="56" t="str">
        <f>IF(COUNTIFS('LANÇAMENTOS DIÁRIOS'!$G$5:$G$500,"F",'LANÇAMENTOS DIÁRIOS'!$C$5:$C$500,$A84,'LANÇAMENTOS DIÁRIOS'!$O$5:$O$500,"&lt;=114499",'LANÇAMENTOS DIÁRIOS'!$P$5:$P$500,"&gt;=114400")&gt;0,"X","")</f>
      </c>
      <c r="AF84" s="56" t="str">
        <f>IF(COUNTIFS('LANÇAMENTOS DIÁRIOS'!$G$5:$G$500,"F",'LANÇAMENTOS DIÁRIOS'!$C$5:$C$500,$A84,'LANÇAMENTOS DIÁRIOS'!$O$5:$O$500,"&lt;=114599",'LANÇAMENTOS DIÁRIOS'!$P$5:$P$500,"&gt;=114500")&gt;0,"X","")</f>
      </c>
      <c r="AG84" s="56" t="str">
        <f>IF(COUNTIFS('LANÇAMENTOS DIÁRIOS'!$G$5:$G$500,"F",'LANÇAMENTOS DIÁRIOS'!$C$5:$C$500,$A84,'LANÇAMENTOS DIÁRIOS'!$O$5:$O$500,"&lt;=114699",'LANÇAMENTOS DIÁRIOS'!$P$5:$P$500,"&gt;=114600")&gt;0,"X","")</f>
      </c>
      <c r="AH84" s="56" t="str">
        <f>IF(COUNTIFS('LANÇAMENTOS DIÁRIOS'!$G$5:$G$500,"F",'LANÇAMENTOS DIÁRIOS'!$C$5:$C$500,$A84,'LANÇAMENTOS DIÁRIOS'!$O$5:$O$500,"&lt;=114799",'LANÇAMENTOS DIÁRIOS'!$P$5:$P$500,"&gt;=114700")&gt;0,"X","")</f>
      </c>
      <c r="AI84" s="56" t="str">
        <f>IF(COUNTIFS('LANÇAMENTOS DIÁRIOS'!$G$5:$G$500,"F",'LANÇAMENTOS DIÁRIOS'!$C$5:$C$500,$A84,'LANÇAMENTOS DIÁRIOS'!$O$5:$O$500,"&lt;=114899",'LANÇAMENTOS DIÁRIOS'!$P$5:$P$500,"&gt;=114800")&gt;0,"X","")</f>
      </c>
      <c r="AJ84" s="56" t="str">
        <f>IF(COUNTIFS('LANÇAMENTOS DIÁRIOS'!$G$5:$G$500,"F",'LANÇAMENTOS DIÁRIOS'!$C$5:$C$500,$A84,'LANÇAMENTOS DIÁRIOS'!$O$5:$O$500,"&lt;=114999",'LANÇAMENTOS DIÁRIOS'!$P$5:$P$500,"&gt;=114900")&gt;0,"X","")</f>
      </c>
      <c r="AK84" s="56" t="str">
        <f>IF(COUNTIFS('LANÇAMENTOS DIÁRIOS'!$G$5:$G$500,"F",'LANÇAMENTOS DIÁRIOS'!$C$5:$C$500,$A84,'LANÇAMENTOS DIÁRIOS'!$O$5:$O$500,"&lt;=115099",'LANÇAMENTOS DIÁRIOS'!$P$5:$P$500,"&gt;=115000")&gt;0,"X","")</f>
      </c>
      <c r="AL84" s="56" t="str">
        <f>IF(COUNTIFS('LANÇAMENTOS DIÁRIOS'!$G$5:$G$500,"F",'LANÇAMENTOS DIÁRIOS'!$C$5:$C$500,$A84,'LANÇAMENTOS DIÁRIOS'!$O$5:$O$500,"&lt;=115199",'LANÇAMENTOS DIÁRIOS'!$P$5:$P$500,"&gt;=115100")&gt;0,"X","")</f>
      </c>
      <c r="AM84" s="56" t="str">
        <f>IF(COUNTIFS('LANÇAMENTOS DIÁRIOS'!$G$5:$G$500,"F",'LANÇAMENTOS DIÁRIOS'!$C$5:$C$500,$A84,'LANÇAMENTOS DIÁRIOS'!$O$5:$O$500,"&lt;=115299",'LANÇAMENTOS DIÁRIOS'!$P$5:$P$500,"&gt;=115200")&gt;0,"X","")</f>
      </c>
      <c r="AN84" s="56" t="str">
        <f>IF(COUNTIFS('LANÇAMENTOS DIÁRIOS'!$G$5:$G$500,"F",'LANÇAMENTOS DIÁRIOS'!$C$5:$C$500,$A84,'LANÇAMENTOS DIÁRIOS'!$O$5:$O$500,"&lt;=115399",'LANÇAMENTOS DIÁRIOS'!$P$5:$P$500,"&gt;=115300")&gt;0,"X","")</f>
      </c>
      <c r="AO84" s="56" t="str">
        <f>IF(COUNTIFS('LANÇAMENTOS DIÁRIOS'!$G$5:$G$500,"F",'LANÇAMENTOS DIÁRIOS'!$C$5:$C$500,$A84,'LANÇAMENTOS DIÁRIOS'!$O$5:$O$500,"&lt;=115499",'LANÇAMENTOS DIÁRIOS'!$P$5:$P$500,"&gt;=115400")&gt;0,"X","")</f>
      </c>
      <c r="AP84" s="56" t="str">
        <f>IF(COUNTIFS('LANÇAMENTOS DIÁRIOS'!$G$5:$G$500,"F",'LANÇAMENTOS DIÁRIOS'!$C$5:$C$500,$A84,'LANÇAMENTOS DIÁRIOS'!$O$5:$O$500,"&lt;=115599",'LANÇAMENTOS DIÁRIOS'!$P$5:$P$500,"&gt;=115500")&gt;0,"X","")</f>
      </c>
      <c r="AQ84" s="56" t="str">
        <f>IF(COUNTIFS('LANÇAMENTOS DIÁRIOS'!$G$5:$G$500,"F",'LANÇAMENTOS DIÁRIOS'!$C$5:$C$500,$A84,'LANÇAMENTOS DIÁRIOS'!$O$5:$O$500,"&lt;=115699",'LANÇAMENTOS DIÁRIOS'!$P$5:$P$500,"&gt;=115600")&gt;0,"X","")</f>
      </c>
      <c r="AR84" s="56" t="str">
        <f>IF(COUNTIFS('LANÇAMENTOS DIÁRIOS'!$G$5:$G$500,"F",'LANÇAMENTOS DIÁRIOS'!$C$5:$C$500,$A84,'LANÇAMENTOS DIÁRIOS'!$O$5:$O$500,"&lt;=115799",'LANÇAMENTOS DIÁRIOS'!$P$5:$P$500,"&gt;=115700")&gt;0,"X","")</f>
      </c>
      <c r="AS84" s="56" t="str">
        <f>IF(COUNTIFS('LANÇAMENTOS DIÁRIOS'!$G$5:$G$500,"F",'LANÇAMENTOS DIÁRIOS'!$C$5:$C$500,$A84,'LANÇAMENTOS DIÁRIOS'!$O$5:$O$500,"&lt;=115899",'LANÇAMENTOS DIÁRIOS'!$P$5:$P$500,"&gt;=115800")&gt;0,"X","")</f>
      </c>
      <c r="AT84" s="56" t="str">
        <f>IF(COUNTIFS('LANÇAMENTOS DIÁRIOS'!$G$5:$G$500,"F",'LANÇAMENTOS DIÁRIOS'!$C$5:$C$500,$A84,'LANÇAMENTOS DIÁRIOS'!$O$5:$O$500,"&lt;=115999",'LANÇAMENTOS DIÁRIOS'!$P$5:$P$500,"&gt;=115900")&gt;0,"X","")</f>
      </c>
      <c r="AU84" s="56" t="str">
        <f>IF(COUNTIFS('LANÇAMENTOS DIÁRIOS'!$G$5:$G$500,"F",'LANÇAMENTOS DIÁRIOS'!$C$5:$C$500,$A84,'LANÇAMENTOS DIÁRIOS'!$O$5:$O$500,"&lt;=116099",'LANÇAMENTOS DIÁRIOS'!$P$5:$P$500,"&gt;=116000")&gt;0,"X","")</f>
      </c>
      <c r="AV84" s="56" t="str">
        <f>IF(COUNTIFS('LANÇAMENTOS DIÁRIOS'!$G$5:$G$500,"F",'LANÇAMENTOS DIÁRIOS'!$C$5:$C$500,$A84,'LANÇAMENTOS DIÁRIOS'!$O$5:$O$500,"&lt;=116199",'LANÇAMENTOS DIÁRIOS'!$P$5:$P$500,"&gt;=116100")&gt;0,"X","")</f>
      </c>
      <c r="AW84" s="56" t="str">
        <f>IF(COUNTIFS('LANÇAMENTOS DIÁRIOS'!$G$5:$G$500,"F",'LANÇAMENTOS DIÁRIOS'!$C$5:$C$500,$A84,'LANÇAMENTOS DIÁRIOS'!$O$5:$O$500,"&lt;=116299",'LANÇAMENTOS DIÁRIOS'!$P$5:$P$500,"&gt;=116200")&gt;0,"X","")</f>
      </c>
      <c r="AX84" s="56" t="str">
        <f>IF(COUNTIFS('LANÇAMENTOS DIÁRIOS'!$G$5:$G$500,"F",'LANÇAMENTOS DIÁRIOS'!$C$5:$C$500,$A84,'LANÇAMENTOS DIÁRIOS'!$O$5:$O$500,"&lt;=116399",'LANÇAMENTOS DIÁRIOS'!$P$5:$P$500,"&gt;=116300")&gt;0,"X","")</f>
      </c>
      <c r="AY84" s="56" t="str">
        <f>IF(COUNTIFS('LANÇAMENTOS DIÁRIOS'!$G$5:$G$500,"F",'LANÇAMENTOS DIÁRIOS'!$C$5:$C$500,$A84,'LANÇAMENTOS DIÁRIOS'!$O$5:$O$500,"&lt;=116499",'LANÇAMENTOS DIÁRIOS'!$P$5:$P$500,"&gt;=116400")&gt;0,"X","")</f>
      </c>
      <c r="AZ84" s="56" t="str">
        <f>IF(COUNTIFS('LANÇAMENTOS DIÁRIOS'!$G$5:$G$500,"F",'LANÇAMENTOS DIÁRIOS'!$C$5:$C$500,$A84,'LANÇAMENTOS DIÁRIOS'!$O$5:$O$500,"&lt;=116599",'LANÇAMENTOS DIÁRIOS'!$P$5:$P$500,"&gt;=116500")&gt;0,"X","")</f>
      </c>
      <c r="BA84" s="56" t="str">
        <f>IF(COUNTIFS('LANÇAMENTOS DIÁRIOS'!$G$5:$G$500,"F",'LANÇAMENTOS DIÁRIOS'!$C$5:$C$500,$A84,'LANÇAMENTOS DIÁRIOS'!$O$5:$O$500,"&lt;=116699",'LANÇAMENTOS DIÁRIOS'!$P$5:$P$500,"&gt;=116600")&gt;0,"X","")</f>
      </c>
      <c r="BB84" s="56" t="str">
        <f>IF(COUNTIFS('LANÇAMENTOS DIÁRIOS'!$G$5:$G$500,"F",'LANÇAMENTOS DIÁRIOS'!$C$5:$C$500,$A84,'LANÇAMENTOS DIÁRIOS'!$O$5:$O$500,"&lt;=116799",'LANÇAMENTOS DIÁRIOS'!$P$5:$P$500,"&gt;=116700")&gt;0,"X","")</f>
      </c>
      <c r="BC84" s="56" t="str">
        <f>IF(COUNTIFS('LANÇAMENTOS DIÁRIOS'!$G$5:$G$500,"F",'LANÇAMENTOS DIÁRIOS'!$C$5:$C$500,$A84,'LANÇAMENTOS DIÁRIOS'!$O$5:$O$500,"&lt;=116899",'LANÇAMENTOS DIÁRIOS'!$P$5:$P$500,"&gt;=116800")&gt;0,"X","")</f>
      </c>
      <c r="BD84" s="56" t="str">
        <f>IF(COUNTIFS('LANÇAMENTOS DIÁRIOS'!$G$5:$G$500,"F",'LANÇAMENTOS DIÁRIOS'!$C$5:$C$500,$A84,'LANÇAMENTOS DIÁRIOS'!$O$5:$O$500,"&lt;=116999",'LANÇAMENTOS DIÁRIOS'!$P$5:$P$500,"&gt;=116900")&gt;0,"X","")</f>
      </c>
      <c r="BE84" s="56" t="str">
        <f>IF(COUNTIFS('LANÇAMENTOS DIÁRIOS'!$G$5:$G$500,"F",'LANÇAMENTOS DIÁRIOS'!$C$5:$C$500,$A84,'LANÇAMENTOS DIÁRIOS'!$O$5:$O$500,"&lt;=117099",'LANÇAMENTOS DIÁRIOS'!$P$5:$P$500,"&gt;=117000")&gt;0,"X","")</f>
      </c>
      <c r="BF84" s="56" t="str">
        <f>IF(COUNTIFS('LANÇAMENTOS DIÁRIOS'!$G$5:$G$500,"F",'LANÇAMENTOS DIÁRIOS'!$C$5:$C$500,$A84,'LANÇAMENTOS DIÁRIOS'!$O$5:$O$500,"&lt;=117199",'LANÇAMENTOS DIÁRIOS'!$P$5:$P$500,"&gt;=117100")&gt;0,"X","")</f>
      </c>
      <c r="BG84" s="56" t="str">
        <f>IF(COUNTIFS('LANÇAMENTOS DIÁRIOS'!$G$5:$G$500,"F",'LANÇAMENTOS DIÁRIOS'!$C$5:$C$500,$A84,'LANÇAMENTOS DIÁRIOS'!$O$5:$O$500,"&lt;=117219",'LANÇAMENTOS DIÁRIOS'!$P$5:$P$500,"&gt;=117200")&gt;0,"X","")</f>
      </c>
      <c r="BH84" s="56" t="str">
        <f>IF(COUNTIFS('LANÇAMENTOS DIÁRIOS'!$G$5:$G$500,"F",'LANÇAMENTOS DIÁRIOS'!$C$5:$C$500,$A84,'LANÇAMENTOS DIÁRIOS'!$O$5:$O$500,"&lt;=117220",'LANÇAMENTOS DIÁRIOS'!$P$5:$P$500,"&gt;=117220")&gt;0,"X","")</f>
      </c>
    </row>
    <row r="85">
      <c r="A85" s="51" t="str">
        <v>Imprimadura ligante (Cura) - sem o fornecimento dos materiais</v>
      </c>
      <c r="B85" s="56" t="str">
        <f>IF(COUNTIFS('LANÇAMENTOS DIÁRIOS'!$G$5:$G$500,"F",'LANÇAMENTOS DIÁRIOS'!$C$5:$C$500,$A85,'LANÇAMENTOS DIÁRIOS'!$O$5:$O$500,"&lt;=111599",'LANÇAMENTOS DIÁRIOS'!$P$5:$P$500,"&gt;=111500")&gt;0,"X","")</f>
      </c>
      <c r="C85" s="56" t="str">
        <f>IF(COUNTIFS('LANÇAMENTOS DIÁRIOS'!$G$5:$G$500,"F",'LANÇAMENTOS DIÁRIOS'!$C$5:$C$500,$A85,'LANÇAMENTOS DIÁRIOS'!$O$5:$O$500,"&lt;=111699",'LANÇAMENTOS DIÁRIOS'!$P$5:$P$500,"&gt;=111600")&gt;0,"X","")</f>
      </c>
      <c r="D85" s="56" t="str">
        <f>IF(COUNTIFS('LANÇAMENTOS DIÁRIOS'!$G$5:$G$500,"F",'LANÇAMENTOS DIÁRIOS'!$C$5:$C$500,$A85,'LANÇAMENTOS DIÁRIOS'!$O$5:$O$500,"&lt;=111799",'LANÇAMENTOS DIÁRIOS'!$P$5:$P$500,"&gt;=111700")&gt;0,"X","")</f>
      </c>
      <c r="E85" s="56" t="str">
        <f>IF(COUNTIFS('LANÇAMENTOS DIÁRIOS'!$G$5:$G$500,"F",'LANÇAMENTOS DIÁRIOS'!$C$5:$C$500,$A85,'LANÇAMENTOS DIÁRIOS'!$O$5:$O$500,"&lt;=111899",'LANÇAMENTOS DIÁRIOS'!$P$5:$P$500,"&gt;=111800")&gt;0,"X","")</f>
      </c>
      <c r="F85" s="56" t="str">
        <f>IF(COUNTIFS('LANÇAMENTOS DIÁRIOS'!$G$5:$G$500,"F",'LANÇAMENTOS DIÁRIOS'!$C$5:$C$500,$A85,'LANÇAMENTOS DIÁRIOS'!$O$5:$O$500,"&lt;=111999",'LANÇAMENTOS DIÁRIOS'!$P$5:$P$500,"&gt;=111900")&gt;0,"X","")</f>
      </c>
      <c r="G85" s="56" t="str">
        <f>IF(COUNTIFS('LANÇAMENTOS DIÁRIOS'!$G$5:$G$500,"F",'LANÇAMENTOS DIÁRIOS'!$C$5:$C$500,$A85,'LANÇAMENTOS DIÁRIOS'!$O$5:$O$500,"&lt;=112099",'LANÇAMENTOS DIÁRIOS'!$P$5:$P$500,"&gt;=112000")&gt;0,"X","")</f>
      </c>
      <c r="H85" s="56" t="str">
        <f>IF(COUNTIFS('LANÇAMENTOS DIÁRIOS'!$G$5:$G$500,"F",'LANÇAMENTOS DIÁRIOS'!$C$5:$C$500,$A85,'LANÇAMENTOS DIÁRIOS'!$O$5:$O$500,"&lt;=112199",'LANÇAMENTOS DIÁRIOS'!$P$5:$P$500,"&gt;=112100")&gt;0,"X","")</f>
      </c>
      <c r="I85" s="56" t="str">
        <f>IF(COUNTIFS('LANÇAMENTOS DIÁRIOS'!$G$5:$G$500,"F",'LANÇAMENTOS DIÁRIOS'!$C$5:$C$500,$A85,'LANÇAMENTOS DIÁRIOS'!$O$5:$O$500,"&lt;=112299",'LANÇAMENTOS DIÁRIOS'!$P$5:$P$500,"&gt;=112200")&gt;0,"X","")</f>
      </c>
      <c r="J85" s="56" t="str">
        <f>IF(COUNTIFS('LANÇAMENTOS DIÁRIOS'!$G$5:$G$500,"F",'LANÇAMENTOS DIÁRIOS'!$C$5:$C$500,$A85,'LANÇAMENTOS DIÁRIOS'!$O$5:$O$500,"&lt;=112399",'LANÇAMENTOS DIÁRIOS'!$P$5:$P$500,"&gt;=112300")&gt;0,"X","")</f>
      </c>
      <c r="K85" s="56" t="str">
        <f>IF(COUNTIFS('LANÇAMENTOS DIÁRIOS'!$G$5:$G$500,"F",'LANÇAMENTOS DIÁRIOS'!$C$5:$C$500,$A85,'LANÇAMENTOS DIÁRIOS'!$O$5:$O$500,"&lt;=112499",'LANÇAMENTOS DIÁRIOS'!$P$5:$P$500,"&gt;=112400")&gt;0,"X","")</f>
      </c>
      <c r="L85" s="56" t="str">
        <f>IF(COUNTIFS('LANÇAMENTOS DIÁRIOS'!$G$5:$G$500,"F",'LANÇAMENTOS DIÁRIOS'!$C$5:$C$500,$A85,'LANÇAMENTOS DIÁRIOS'!$O$5:$O$500,"&lt;=112599",'LANÇAMENTOS DIÁRIOS'!$P$5:$P$500,"&gt;=112500")&gt;0,"X","")</f>
      </c>
      <c r="M85" s="56" t="str">
        <f>IF(COUNTIFS('LANÇAMENTOS DIÁRIOS'!$G$5:$G$500,"F",'LANÇAMENTOS DIÁRIOS'!$C$5:$C$500,$A85,'LANÇAMENTOS DIÁRIOS'!$O$5:$O$500,"&lt;=112699",'LANÇAMENTOS DIÁRIOS'!$P$5:$P$500,"&gt;=112600")&gt;0,"X","")</f>
      </c>
      <c r="N85" s="56" t="str">
        <f>IF(COUNTIFS('LANÇAMENTOS DIÁRIOS'!$G$5:$G$500,"F",'LANÇAMENTOS DIÁRIOS'!$C$5:$C$500,$A85,'LANÇAMENTOS DIÁRIOS'!$O$5:$O$500,"&lt;=112799",'LANÇAMENTOS DIÁRIOS'!$P$5:$P$500,"&gt;=112700")&gt;0,"X","")</f>
      </c>
      <c r="O85" s="56" t="str">
        <f>IF(COUNTIFS('LANÇAMENTOS DIÁRIOS'!$G$5:$G$500,"F",'LANÇAMENTOS DIÁRIOS'!$C$5:$C$500,$A85,'LANÇAMENTOS DIÁRIOS'!$O$5:$O$500,"&lt;=112899",'LANÇAMENTOS DIÁRIOS'!$P$5:$P$500,"&gt;=112800")&gt;0,"X","")</f>
      </c>
      <c r="P85" s="56" t="str">
        <f>IF(COUNTIFS('LANÇAMENTOS DIÁRIOS'!$G$5:$G$500,"F",'LANÇAMENTOS DIÁRIOS'!$C$5:$C$500,$A85,'LANÇAMENTOS DIÁRIOS'!$O$5:$O$500,"&lt;=112999",'LANÇAMENTOS DIÁRIOS'!$P$5:$P$500,"&gt;=112900")&gt;0,"X","")</f>
      </c>
      <c r="Q85" s="56" t="str">
        <f>IF(COUNTIFS('LANÇAMENTOS DIÁRIOS'!$G$5:$G$500,"F",'LANÇAMENTOS DIÁRIOS'!$C$5:$C$500,$A85,'LANÇAMENTOS DIÁRIOS'!$O$5:$O$500,"&lt;=113099",'LANÇAMENTOS DIÁRIOS'!$P$5:$P$500,"&gt;=113000")&gt;0,"X","")</f>
      </c>
      <c r="R85" s="56" t="str">
        <f>IF(COUNTIFS('LANÇAMENTOS DIÁRIOS'!$G$5:$G$500,"F",'LANÇAMENTOS DIÁRIOS'!$C$5:$C$500,$A85,'LANÇAMENTOS DIÁRIOS'!$O$5:$O$500,"&lt;=113199",'LANÇAMENTOS DIÁRIOS'!$P$5:$P$500,"&gt;=113100")&gt;0,"X","")</f>
      </c>
      <c r="S85" s="56" t="str">
        <f>IF(COUNTIFS('LANÇAMENTOS DIÁRIOS'!$G$5:$G$500,"F",'LANÇAMENTOS DIÁRIOS'!$C$5:$C$500,$A85,'LANÇAMENTOS DIÁRIOS'!$O$5:$O$500,"&lt;=113299",'LANÇAMENTOS DIÁRIOS'!$P$5:$P$500,"&gt;=113200")&gt;0,"X","")</f>
      </c>
      <c r="T85" s="56" t="str">
        <f>IF(COUNTIFS('LANÇAMENTOS DIÁRIOS'!$G$5:$G$500,"F",'LANÇAMENTOS DIÁRIOS'!$C$5:$C$500,$A85,'LANÇAMENTOS DIÁRIOS'!$O$5:$O$500,"&lt;=113399",'LANÇAMENTOS DIÁRIOS'!$P$5:$P$500,"&gt;=113300")&gt;0,"X","")</f>
      </c>
      <c r="U85" s="56" t="str">
        <f>IF(COUNTIFS('LANÇAMENTOS DIÁRIOS'!$G$5:$G$500,"F",'LANÇAMENTOS DIÁRIOS'!$C$5:$C$500,$A85,'LANÇAMENTOS DIÁRIOS'!$O$5:$O$500,"&lt;=113499",'LANÇAMENTOS DIÁRIOS'!$P$5:$P$500,"&gt;=113400")&gt;0,"X","")</f>
      </c>
      <c r="V85" s="56" t="str">
        <f>IF(COUNTIFS('LANÇAMENTOS DIÁRIOS'!$G$5:$G$500,"F",'LANÇAMENTOS DIÁRIOS'!$C$5:$C$500,$A85,'LANÇAMENTOS DIÁRIOS'!$O$5:$O$500,"&lt;=113599",'LANÇAMENTOS DIÁRIOS'!$P$5:$P$500,"&gt;=113500")&gt;0,"X","")</f>
      </c>
      <c r="W85" s="56" t="str">
        <f>IF(COUNTIFS('LANÇAMENTOS DIÁRIOS'!$G$5:$G$500,"F",'LANÇAMENTOS DIÁRIOS'!$C$5:$C$500,$A85,'LANÇAMENTOS DIÁRIOS'!$O$5:$O$500,"&lt;=113699",'LANÇAMENTOS DIÁRIOS'!$P$5:$P$500,"&gt;=113600")&gt;0,"X","")</f>
      </c>
      <c r="X85" s="56" t="str">
        <f>IF(COUNTIFS('LANÇAMENTOS DIÁRIOS'!$G$5:$G$500,"F",'LANÇAMENTOS DIÁRIOS'!$C$5:$C$500,$A85,'LANÇAMENTOS DIÁRIOS'!$O$5:$O$500,"&lt;=113799",'LANÇAMENTOS DIÁRIOS'!$P$5:$P$500,"&gt;=113700")&gt;0,"X","")</f>
      </c>
      <c r="Y85" s="56" t="str">
        <f>IF(COUNTIFS('LANÇAMENTOS DIÁRIOS'!$G$5:$G$500,"F",'LANÇAMENTOS DIÁRIOS'!$C$5:$C$500,$A85,'LANÇAMENTOS DIÁRIOS'!$O$5:$O$500,"&lt;=113899",'LANÇAMENTOS DIÁRIOS'!$P$5:$P$500,"&gt;=113800")&gt;0,"X","")</f>
      </c>
      <c r="Z85" s="56" t="str">
        <f>IF(COUNTIFS('LANÇAMENTOS DIÁRIOS'!$G$5:$G$500,"F",'LANÇAMENTOS DIÁRIOS'!$C$5:$C$500,$A85,'LANÇAMENTOS DIÁRIOS'!$O$5:$O$500,"&lt;=113999",'LANÇAMENTOS DIÁRIOS'!$P$5:$P$500,"&gt;=113900")&gt;0,"X","")</f>
      </c>
      <c r="AA85" s="56" t="str">
        <f>IF(COUNTIFS('LANÇAMENTOS DIÁRIOS'!$G$5:$G$500,"F",'LANÇAMENTOS DIÁRIOS'!$C$5:$C$500,$A85,'LANÇAMENTOS DIÁRIOS'!$O$5:$O$500,"&lt;=114099",'LANÇAMENTOS DIÁRIOS'!$P$5:$P$500,"&gt;=114000")&gt;0,"X","")</f>
      </c>
      <c r="AB85" s="56" t="str">
        <f>IF(COUNTIFS('LANÇAMENTOS DIÁRIOS'!$G$5:$G$500,"F",'LANÇAMENTOS DIÁRIOS'!$C$5:$C$500,$A85,'LANÇAMENTOS DIÁRIOS'!$O$5:$O$500,"&lt;=114199",'LANÇAMENTOS DIÁRIOS'!$P$5:$P$500,"&gt;=114100")&gt;0,"X","")</f>
      </c>
      <c r="AC85" s="56" t="str">
        <f>IF(COUNTIFS('LANÇAMENTOS DIÁRIOS'!$G$5:$G$500,"F",'LANÇAMENTOS DIÁRIOS'!$C$5:$C$500,$A85,'LANÇAMENTOS DIÁRIOS'!$O$5:$O$500,"&lt;=114299",'LANÇAMENTOS DIÁRIOS'!$P$5:$P$500,"&gt;=114200")&gt;0,"X","")</f>
      </c>
      <c r="AD85" s="56" t="str">
        <f>IF(COUNTIFS('LANÇAMENTOS DIÁRIOS'!$G$5:$G$500,"F",'LANÇAMENTOS DIÁRIOS'!$C$5:$C$500,$A85,'LANÇAMENTOS DIÁRIOS'!$O$5:$O$500,"&lt;=114399",'LANÇAMENTOS DIÁRIOS'!$P$5:$P$500,"&gt;=114300")&gt;0,"X","")</f>
      </c>
      <c r="AE85" s="56" t="str">
        <f>IF(COUNTIFS('LANÇAMENTOS DIÁRIOS'!$G$5:$G$500,"F",'LANÇAMENTOS DIÁRIOS'!$C$5:$C$500,$A85,'LANÇAMENTOS DIÁRIOS'!$O$5:$O$500,"&lt;=114499",'LANÇAMENTOS DIÁRIOS'!$P$5:$P$500,"&gt;=114400")&gt;0,"X","")</f>
      </c>
      <c r="AF85" s="56" t="str">
        <f>IF(COUNTIFS('LANÇAMENTOS DIÁRIOS'!$G$5:$G$500,"F",'LANÇAMENTOS DIÁRIOS'!$C$5:$C$500,$A85,'LANÇAMENTOS DIÁRIOS'!$O$5:$O$500,"&lt;=114599",'LANÇAMENTOS DIÁRIOS'!$P$5:$P$500,"&gt;=114500")&gt;0,"X","")</f>
      </c>
      <c r="AG85" s="56" t="str">
        <f>IF(COUNTIFS('LANÇAMENTOS DIÁRIOS'!$G$5:$G$500,"F",'LANÇAMENTOS DIÁRIOS'!$C$5:$C$500,$A85,'LANÇAMENTOS DIÁRIOS'!$O$5:$O$500,"&lt;=114699",'LANÇAMENTOS DIÁRIOS'!$P$5:$P$500,"&gt;=114600")&gt;0,"X","")</f>
      </c>
      <c r="AH85" s="56" t="str">
        <f>IF(COUNTIFS('LANÇAMENTOS DIÁRIOS'!$G$5:$G$500,"F",'LANÇAMENTOS DIÁRIOS'!$C$5:$C$500,$A85,'LANÇAMENTOS DIÁRIOS'!$O$5:$O$500,"&lt;=114799",'LANÇAMENTOS DIÁRIOS'!$P$5:$P$500,"&gt;=114700")&gt;0,"X","")</f>
      </c>
      <c r="AI85" s="56" t="str">
        <f>IF(COUNTIFS('LANÇAMENTOS DIÁRIOS'!$G$5:$G$500,"F",'LANÇAMENTOS DIÁRIOS'!$C$5:$C$500,$A85,'LANÇAMENTOS DIÁRIOS'!$O$5:$O$500,"&lt;=114899",'LANÇAMENTOS DIÁRIOS'!$P$5:$P$500,"&gt;=114800")&gt;0,"X","")</f>
      </c>
      <c r="AJ85" s="56" t="str">
        <f>IF(COUNTIFS('LANÇAMENTOS DIÁRIOS'!$G$5:$G$500,"F",'LANÇAMENTOS DIÁRIOS'!$C$5:$C$500,$A85,'LANÇAMENTOS DIÁRIOS'!$O$5:$O$500,"&lt;=114999",'LANÇAMENTOS DIÁRIOS'!$P$5:$P$500,"&gt;=114900")&gt;0,"X","")</f>
      </c>
      <c r="AK85" s="56" t="str">
        <f>IF(COUNTIFS('LANÇAMENTOS DIÁRIOS'!$G$5:$G$500,"F",'LANÇAMENTOS DIÁRIOS'!$C$5:$C$500,$A85,'LANÇAMENTOS DIÁRIOS'!$O$5:$O$500,"&lt;=115099",'LANÇAMENTOS DIÁRIOS'!$P$5:$P$500,"&gt;=115000")&gt;0,"X","")</f>
      </c>
      <c r="AL85" s="56" t="str">
        <f>IF(COUNTIFS('LANÇAMENTOS DIÁRIOS'!$G$5:$G$500,"F",'LANÇAMENTOS DIÁRIOS'!$C$5:$C$500,$A85,'LANÇAMENTOS DIÁRIOS'!$O$5:$O$500,"&lt;=115199",'LANÇAMENTOS DIÁRIOS'!$P$5:$P$500,"&gt;=115100")&gt;0,"X","")</f>
      </c>
      <c r="AM85" s="56" t="str">
        <f>IF(COUNTIFS('LANÇAMENTOS DIÁRIOS'!$G$5:$G$500,"F",'LANÇAMENTOS DIÁRIOS'!$C$5:$C$500,$A85,'LANÇAMENTOS DIÁRIOS'!$O$5:$O$500,"&lt;=115299",'LANÇAMENTOS DIÁRIOS'!$P$5:$P$500,"&gt;=115200")&gt;0,"X","")</f>
      </c>
      <c r="AN85" s="56" t="str">
        <f>IF(COUNTIFS('LANÇAMENTOS DIÁRIOS'!$G$5:$G$500,"F",'LANÇAMENTOS DIÁRIOS'!$C$5:$C$500,$A85,'LANÇAMENTOS DIÁRIOS'!$O$5:$O$500,"&lt;=115399",'LANÇAMENTOS DIÁRIOS'!$P$5:$P$500,"&gt;=115300")&gt;0,"X","")</f>
      </c>
      <c r="AO85" s="56" t="str">
        <f>IF(COUNTIFS('LANÇAMENTOS DIÁRIOS'!$G$5:$G$500,"F",'LANÇAMENTOS DIÁRIOS'!$C$5:$C$500,$A85,'LANÇAMENTOS DIÁRIOS'!$O$5:$O$500,"&lt;=115499",'LANÇAMENTOS DIÁRIOS'!$P$5:$P$500,"&gt;=115400")&gt;0,"X","")</f>
      </c>
      <c r="AP85" s="56" t="str">
        <f>IF(COUNTIFS('LANÇAMENTOS DIÁRIOS'!$G$5:$G$500,"F",'LANÇAMENTOS DIÁRIOS'!$C$5:$C$500,$A85,'LANÇAMENTOS DIÁRIOS'!$O$5:$O$500,"&lt;=115599",'LANÇAMENTOS DIÁRIOS'!$P$5:$P$500,"&gt;=115500")&gt;0,"X","")</f>
      </c>
      <c r="AQ85" s="56" t="str">
        <f>IF(COUNTIFS('LANÇAMENTOS DIÁRIOS'!$G$5:$G$500,"F",'LANÇAMENTOS DIÁRIOS'!$C$5:$C$500,$A85,'LANÇAMENTOS DIÁRIOS'!$O$5:$O$500,"&lt;=115699",'LANÇAMENTOS DIÁRIOS'!$P$5:$P$500,"&gt;=115600")&gt;0,"X","")</f>
      </c>
      <c r="AR85" s="56" t="str">
        <f>IF(COUNTIFS('LANÇAMENTOS DIÁRIOS'!$G$5:$G$500,"F",'LANÇAMENTOS DIÁRIOS'!$C$5:$C$500,$A85,'LANÇAMENTOS DIÁRIOS'!$O$5:$O$500,"&lt;=115799",'LANÇAMENTOS DIÁRIOS'!$P$5:$P$500,"&gt;=115700")&gt;0,"X","")</f>
      </c>
      <c r="AS85" s="56" t="str">
        <f>IF(COUNTIFS('LANÇAMENTOS DIÁRIOS'!$G$5:$G$500,"F",'LANÇAMENTOS DIÁRIOS'!$C$5:$C$500,$A85,'LANÇAMENTOS DIÁRIOS'!$O$5:$O$500,"&lt;=115899",'LANÇAMENTOS DIÁRIOS'!$P$5:$P$500,"&gt;=115800")&gt;0,"X","")</f>
      </c>
      <c r="AT85" s="56" t="str">
        <f>IF(COUNTIFS('LANÇAMENTOS DIÁRIOS'!$G$5:$G$500,"F",'LANÇAMENTOS DIÁRIOS'!$C$5:$C$500,$A85,'LANÇAMENTOS DIÁRIOS'!$O$5:$O$500,"&lt;=115999",'LANÇAMENTOS DIÁRIOS'!$P$5:$P$500,"&gt;=115900")&gt;0,"X","")</f>
      </c>
      <c r="AU85" s="56" t="str">
        <f>IF(COUNTIFS('LANÇAMENTOS DIÁRIOS'!$G$5:$G$500,"F",'LANÇAMENTOS DIÁRIOS'!$C$5:$C$500,$A85,'LANÇAMENTOS DIÁRIOS'!$O$5:$O$500,"&lt;=116099",'LANÇAMENTOS DIÁRIOS'!$P$5:$P$500,"&gt;=116000")&gt;0,"X","")</f>
      </c>
      <c r="AV85" s="56" t="str">
        <f>IF(COUNTIFS('LANÇAMENTOS DIÁRIOS'!$G$5:$G$500,"F",'LANÇAMENTOS DIÁRIOS'!$C$5:$C$500,$A85,'LANÇAMENTOS DIÁRIOS'!$O$5:$O$500,"&lt;=116199",'LANÇAMENTOS DIÁRIOS'!$P$5:$P$500,"&gt;=116100")&gt;0,"X","")</f>
      </c>
      <c r="AW85" s="56" t="str">
        <f>IF(COUNTIFS('LANÇAMENTOS DIÁRIOS'!$G$5:$G$500,"F",'LANÇAMENTOS DIÁRIOS'!$C$5:$C$500,$A85,'LANÇAMENTOS DIÁRIOS'!$O$5:$O$500,"&lt;=116299",'LANÇAMENTOS DIÁRIOS'!$P$5:$P$500,"&gt;=116200")&gt;0,"X","")</f>
      </c>
      <c r="AX85" s="56" t="str">
        <f>IF(COUNTIFS('LANÇAMENTOS DIÁRIOS'!$G$5:$G$500,"F",'LANÇAMENTOS DIÁRIOS'!$C$5:$C$500,$A85,'LANÇAMENTOS DIÁRIOS'!$O$5:$O$500,"&lt;=116399",'LANÇAMENTOS DIÁRIOS'!$P$5:$P$500,"&gt;=116300")&gt;0,"X","")</f>
      </c>
      <c r="AY85" s="56" t="str">
        <f>IF(COUNTIFS('LANÇAMENTOS DIÁRIOS'!$G$5:$G$500,"F",'LANÇAMENTOS DIÁRIOS'!$C$5:$C$500,$A85,'LANÇAMENTOS DIÁRIOS'!$O$5:$O$500,"&lt;=116499",'LANÇAMENTOS DIÁRIOS'!$P$5:$P$500,"&gt;=116400")&gt;0,"X","")</f>
      </c>
      <c r="AZ85" s="56" t="str">
        <f>IF(COUNTIFS('LANÇAMENTOS DIÁRIOS'!$G$5:$G$500,"F",'LANÇAMENTOS DIÁRIOS'!$C$5:$C$500,$A85,'LANÇAMENTOS DIÁRIOS'!$O$5:$O$500,"&lt;=116599",'LANÇAMENTOS DIÁRIOS'!$P$5:$P$500,"&gt;=116500")&gt;0,"X","")</f>
      </c>
      <c r="BA85" s="56" t="str">
        <f>IF(COUNTIFS('LANÇAMENTOS DIÁRIOS'!$G$5:$G$500,"F",'LANÇAMENTOS DIÁRIOS'!$C$5:$C$500,$A85,'LANÇAMENTOS DIÁRIOS'!$O$5:$O$500,"&lt;=116699",'LANÇAMENTOS DIÁRIOS'!$P$5:$P$500,"&gt;=116600")&gt;0,"X","")</f>
      </c>
      <c r="BB85" s="56" t="str">
        <f>IF(COUNTIFS('LANÇAMENTOS DIÁRIOS'!$G$5:$G$500,"F",'LANÇAMENTOS DIÁRIOS'!$C$5:$C$500,$A85,'LANÇAMENTOS DIÁRIOS'!$O$5:$O$500,"&lt;=116799",'LANÇAMENTOS DIÁRIOS'!$P$5:$P$500,"&gt;=116700")&gt;0,"X","")</f>
      </c>
      <c r="BC85" s="56" t="str">
        <f>IF(COUNTIFS('LANÇAMENTOS DIÁRIOS'!$G$5:$G$500,"F",'LANÇAMENTOS DIÁRIOS'!$C$5:$C$500,$A85,'LANÇAMENTOS DIÁRIOS'!$O$5:$O$500,"&lt;=116899",'LANÇAMENTOS DIÁRIOS'!$P$5:$P$500,"&gt;=116800")&gt;0,"X","")</f>
      </c>
      <c r="BD85" s="56" t="str">
        <f>IF(COUNTIFS('LANÇAMENTOS DIÁRIOS'!$G$5:$G$500,"F",'LANÇAMENTOS DIÁRIOS'!$C$5:$C$500,$A85,'LANÇAMENTOS DIÁRIOS'!$O$5:$O$500,"&lt;=116999",'LANÇAMENTOS DIÁRIOS'!$P$5:$P$500,"&gt;=116900")&gt;0,"X","")</f>
      </c>
      <c r="BE85" s="56" t="str">
        <f>IF(COUNTIFS('LANÇAMENTOS DIÁRIOS'!$G$5:$G$500,"F",'LANÇAMENTOS DIÁRIOS'!$C$5:$C$500,$A85,'LANÇAMENTOS DIÁRIOS'!$O$5:$O$500,"&lt;=117099",'LANÇAMENTOS DIÁRIOS'!$P$5:$P$500,"&gt;=117000")&gt;0,"X","")</f>
      </c>
      <c r="BF85" s="56" t="str">
        <f>IF(COUNTIFS('LANÇAMENTOS DIÁRIOS'!$G$5:$G$500,"F",'LANÇAMENTOS DIÁRIOS'!$C$5:$C$500,$A85,'LANÇAMENTOS DIÁRIOS'!$O$5:$O$500,"&lt;=117199",'LANÇAMENTOS DIÁRIOS'!$P$5:$P$500,"&gt;=117100")&gt;0,"X","")</f>
      </c>
      <c r="BG85" s="56" t="str">
        <f>IF(COUNTIFS('LANÇAMENTOS DIÁRIOS'!$G$5:$G$500,"F",'LANÇAMENTOS DIÁRIOS'!$C$5:$C$500,$A85,'LANÇAMENTOS DIÁRIOS'!$O$5:$O$500,"&lt;=117219",'LANÇAMENTOS DIÁRIOS'!$P$5:$P$500,"&gt;=117200")&gt;0,"X","")</f>
      </c>
      <c r="BH85" s="56" t="str">
        <f>IF(COUNTIFS('LANÇAMENTOS DIÁRIOS'!$G$5:$G$500,"F",'LANÇAMENTOS DIÁRIOS'!$C$5:$C$500,$A85,'LANÇAMENTOS DIÁRIOS'!$O$5:$O$500,"&lt;=117220",'LANÇAMENTOS DIÁRIOS'!$P$5:$P$500,"&gt;=117220")&gt;0,"X","")</f>
      </c>
    </row>
    <row r="86">
      <c r="A86" s="51" t="str">
        <v>Imprimadura ligante, sem fornecimento de materiais</v>
      </c>
      <c r="B86" s="56" t="str">
        <f>IF(COUNTIFS('LANÇAMENTOS DIÁRIOS'!$G$5:$G$500,"F",'LANÇAMENTOS DIÁRIOS'!$C$5:$C$500,$A86,'LANÇAMENTOS DIÁRIOS'!$O$5:$O$500,"&lt;=111599",'LANÇAMENTOS DIÁRIOS'!$P$5:$P$500,"&gt;=111500")&gt;0,"X","")</f>
      </c>
      <c r="C86" s="56" t="str">
        <f>IF(COUNTIFS('LANÇAMENTOS DIÁRIOS'!$G$5:$G$500,"F",'LANÇAMENTOS DIÁRIOS'!$C$5:$C$500,$A86,'LANÇAMENTOS DIÁRIOS'!$O$5:$O$500,"&lt;=111699",'LANÇAMENTOS DIÁRIOS'!$P$5:$P$500,"&gt;=111600")&gt;0,"X","")</f>
      </c>
      <c r="D86" s="56" t="str">
        <f>IF(COUNTIFS('LANÇAMENTOS DIÁRIOS'!$G$5:$G$500,"F",'LANÇAMENTOS DIÁRIOS'!$C$5:$C$500,$A86,'LANÇAMENTOS DIÁRIOS'!$O$5:$O$500,"&lt;=111799",'LANÇAMENTOS DIÁRIOS'!$P$5:$P$500,"&gt;=111700")&gt;0,"X","")</f>
      </c>
      <c r="E86" s="56" t="str">
        <f>IF(COUNTIFS('LANÇAMENTOS DIÁRIOS'!$G$5:$G$500,"F",'LANÇAMENTOS DIÁRIOS'!$C$5:$C$500,$A86,'LANÇAMENTOS DIÁRIOS'!$O$5:$O$500,"&lt;=111899",'LANÇAMENTOS DIÁRIOS'!$P$5:$P$500,"&gt;=111800")&gt;0,"X","")</f>
      </c>
      <c r="F86" s="56" t="str">
        <f>IF(COUNTIFS('LANÇAMENTOS DIÁRIOS'!$G$5:$G$500,"F",'LANÇAMENTOS DIÁRIOS'!$C$5:$C$500,$A86,'LANÇAMENTOS DIÁRIOS'!$O$5:$O$500,"&lt;=111999",'LANÇAMENTOS DIÁRIOS'!$P$5:$P$500,"&gt;=111900")&gt;0,"X","")</f>
      </c>
      <c r="G86" s="56" t="str">
        <f>IF(COUNTIFS('LANÇAMENTOS DIÁRIOS'!$G$5:$G$500,"F",'LANÇAMENTOS DIÁRIOS'!$C$5:$C$500,$A86,'LANÇAMENTOS DIÁRIOS'!$O$5:$O$500,"&lt;=112099",'LANÇAMENTOS DIÁRIOS'!$P$5:$P$500,"&gt;=112000")&gt;0,"X","")</f>
      </c>
      <c r="H86" s="56" t="str">
        <f>IF(COUNTIFS('LANÇAMENTOS DIÁRIOS'!$G$5:$G$500,"F",'LANÇAMENTOS DIÁRIOS'!$C$5:$C$500,$A86,'LANÇAMENTOS DIÁRIOS'!$O$5:$O$500,"&lt;=112199",'LANÇAMENTOS DIÁRIOS'!$P$5:$P$500,"&gt;=112100")&gt;0,"X","")</f>
      </c>
      <c r="I86" s="56" t="str">
        <f>IF(COUNTIFS('LANÇAMENTOS DIÁRIOS'!$G$5:$G$500,"F",'LANÇAMENTOS DIÁRIOS'!$C$5:$C$500,$A86,'LANÇAMENTOS DIÁRIOS'!$O$5:$O$500,"&lt;=112299",'LANÇAMENTOS DIÁRIOS'!$P$5:$P$500,"&gt;=112200")&gt;0,"X","")</f>
      </c>
      <c r="J86" s="56" t="str">
        <f>IF(COUNTIFS('LANÇAMENTOS DIÁRIOS'!$G$5:$G$500,"F",'LANÇAMENTOS DIÁRIOS'!$C$5:$C$500,$A86,'LANÇAMENTOS DIÁRIOS'!$O$5:$O$500,"&lt;=112399",'LANÇAMENTOS DIÁRIOS'!$P$5:$P$500,"&gt;=112300")&gt;0,"X","")</f>
      </c>
      <c r="K86" s="56" t="str">
        <f>IF(COUNTIFS('LANÇAMENTOS DIÁRIOS'!$G$5:$G$500,"F",'LANÇAMENTOS DIÁRIOS'!$C$5:$C$500,$A86,'LANÇAMENTOS DIÁRIOS'!$O$5:$O$500,"&lt;=112499",'LANÇAMENTOS DIÁRIOS'!$P$5:$P$500,"&gt;=112400")&gt;0,"X","")</f>
      </c>
      <c r="L86" s="56" t="str">
        <f>IF(COUNTIFS('LANÇAMENTOS DIÁRIOS'!$G$5:$G$500,"F",'LANÇAMENTOS DIÁRIOS'!$C$5:$C$500,$A86,'LANÇAMENTOS DIÁRIOS'!$O$5:$O$500,"&lt;=112599",'LANÇAMENTOS DIÁRIOS'!$P$5:$P$500,"&gt;=112500")&gt;0,"X","")</f>
      </c>
      <c r="M86" s="56" t="str">
        <f>IF(COUNTIFS('LANÇAMENTOS DIÁRIOS'!$G$5:$G$500,"F",'LANÇAMENTOS DIÁRIOS'!$C$5:$C$500,$A86,'LANÇAMENTOS DIÁRIOS'!$O$5:$O$500,"&lt;=112699",'LANÇAMENTOS DIÁRIOS'!$P$5:$P$500,"&gt;=112600")&gt;0,"X","")</f>
      </c>
      <c r="N86" s="56" t="str">
        <f>IF(COUNTIFS('LANÇAMENTOS DIÁRIOS'!$G$5:$G$500,"F",'LANÇAMENTOS DIÁRIOS'!$C$5:$C$500,$A86,'LANÇAMENTOS DIÁRIOS'!$O$5:$O$500,"&lt;=112799",'LANÇAMENTOS DIÁRIOS'!$P$5:$P$500,"&gt;=112700")&gt;0,"X","")</f>
      </c>
      <c r="O86" s="56" t="str">
        <f>IF(COUNTIFS('LANÇAMENTOS DIÁRIOS'!$G$5:$G$500,"F",'LANÇAMENTOS DIÁRIOS'!$C$5:$C$500,$A86,'LANÇAMENTOS DIÁRIOS'!$O$5:$O$500,"&lt;=112899",'LANÇAMENTOS DIÁRIOS'!$P$5:$P$500,"&gt;=112800")&gt;0,"X","")</f>
      </c>
      <c r="P86" s="56" t="str">
        <f>IF(COUNTIFS('LANÇAMENTOS DIÁRIOS'!$G$5:$G$500,"F",'LANÇAMENTOS DIÁRIOS'!$C$5:$C$500,$A86,'LANÇAMENTOS DIÁRIOS'!$O$5:$O$500,"&lt;=112999",'LANÇAMENTOS DIÁRIOS'!$P$5:$P$500,"&gt;=112900")&gt;0,"X","")</f>
      </c>
      <c r="Q86" s="56" t="str">
        <f>IF(COUNTIFS('LANÇAMENTOS DIÁRIOS'!$G$5:$G$500,"F",'LANÇAMENTOS DIÁRIOS'!$C$5:$C$500,$A86,'LANÇAMENTOS DIÁRIOS'!$O$5:$O$500,"&lt;=113099",'LANÇAMENTOS DIÁRIOS'!$P$5:$P$500,"&gt;=113000")&gt;0,"X","")</f>
      </c>
      <c r="R86" s="56" t="str">
        <f>IF(COUNTIFS('LANÇAMENTOS DIÁRIOS'!$G$5:$G$500,"F",'LANÇAMENTOS DIÁRIOS'!$C$5:$C$500,$A86,'LANÇAMENTOS DIÁRIOS'!$O$5:$O$500,"&lt;=113199",'LANÇAMENTOS DIÁRIOS'!$P$5:$P$500,"&gt;=113100")&gt;0,"X","")</f>
      </c>
      <c r="S86" s="56" t="str">
        <f>IF(COUNTIFS('LANÇAMENTOS DIÁRIOS'!$G$5:$G$500,"F",'LANÇAMENTOS DIÁRIOS'!$C$5:$C$500,$A86,'LANÇAMENTOS DIÁRIOS'!$O$5:$O$500,"&lt;=113299",'LANÇAMENTOS DIÁRIOS'!$P$5:$P$500,"&gt;=113200")&gt;0,"X","")</f>
      </c>
      <c r="T86" s="56" t="str">
        <f>IF(COUNTIFS('LANÇAMENTOS DIÁRIOS'!$G$5:$G$500,"F",'LANÇAMENTOS DIÁRIOS'!$C$5:$C$500,$A86,'LANÇAMENTOS DIÁRIOS'!$O$5:$O$500,"&lt;=113399",'LANÇAMENTOS DIÁRIOS'!$P$5:$P$500,"&gt;=113300")&gt;0,"X","")</f>
      </c>
      <c r="U86" s="56" t="str">
        <f>IF(COUNTIFS('LANÇAMENTOS DIÁRIOS'!$G$5:$G$500,"F",'LANÇAMENTOS DIÁRIOS'!$C$5:$C$500,$A86,'LANÇAMENTOS DIÁRIOS'!$O$5:$O$500,"&lt;=113499",'LANÇAMENTOS DIÁRIOS'!$P$5:$P$500,"&gt;=113400")&gt;0,"X","")</f>
      </c>
      <c r="V86" s="56" t="str">
        <f>IF(COUNTIFS('LANÇAMENTOS DIÁRIOS'!$G$5:$G$500,"F",'LANÇAMENTOS DIÁRIOS'!$C$5:$C$500,$A86,'LANÇAMENTOS DIÁRIOS'!$O$5:$O$500,"&lt;=113599",'LANÇAMENTOS DIÁRIOS'!$P$5:$P$500,"&gt;=113500")&gt;0,"X","")</f>
      </c>
      <c r="W86" s="56" t="str">
        <f>IF(COUNTIFS('LANÇAMENTOS DIÁRIOS'!$G$5:$G$500,"F",'LANÇAMENTOS DIÁRIOS'!$C$5:$C$500,$A86,'LANÇAMENTOS DIÁRIOS'!$O$5:$O$500,"&lt;=113699",'LANÇAMENTOS DIÁRIOS'!$P$5:$P$500,"&gt;=113600")&gt;0,"X","")</f>
      </c>
      <c r="X86" s="56" t="str">
        <f>IF(COUNTIFS('LANÇAMENTOS DIÁRIOS'!$G$5:$G$500,"F",'LANÇAMENTOS DIÁRIOS'!$C$5:$C$500,$A86,'LANÇAMENTOS DIÁRIOS'!$O$5:$O$500,"&lt;=113799",'LANÇAMENTOS DIÁRIOS'!$P$5:$P$500,"&gt;=113700")&gt;0,"X","")</f>
      </c>
      <c r="Y86" s="56" t="str">
        <f>IF(COUNTIFS('LANÇAMENTOS DIÁRIOS'!$G$5:$G$500,"F",'LANÇAMENTOS DIÁRIOS'!$C$5:$C$500,$A86,'LANÇAMENTOS DIÁRIOS'!$O$5:$O$500,"&lt;=113899",'LANÇAMENTOS DIÁRIOS'!$P$5:$P$500,"&gt;=113800")&gt;0,"X","")</f>
      </c>
      <c r="Z86" s="56" t="str">
        <f>IF(COUNTIFS('LANÇAMENTOS DIÁRIOS'!$G$5:$G$500,"F",'LANÇAMENTOS DIÁRIOS'!$C$5:$C$500,$A86,'LANÇAMENTOS DIÁRIOS'!$O$5:$O$500,"&lt;=113999",'LANÇAMENTOS DIÁRIOS'!$P$5:$P$500,"&gt;=113900")&gt;0,"X","")</f>
      </c>
      <c r="AA86" s="56" t="str">
        <f>IF(COUNTIFS('LANÇAMENTOS DIÁRIOS'!$G$5:$G$500,"F",'LANÇAMENTOS DIÁRIOS'!$C$5:$C$500,$A86,'LANÇAMENTOS DIÁRIOS'!$O$5:$O$500,"&lt;=114099",'LANÇAMENTOS DIÁRIOS'!$P$5:$P$500,"&gt;=114000")&gt;0,"X","")</f>
      </c>
      <c r="AB86" s="56" t="str">
        <f>IF(COUNTIFS('LANÇAMENTOS DIÁRIOS'!$G$5:$G$500,"F",'LANÇAMENTOS DIÁRIOS'!$C$5:$C$500,$A86,'LANÇAMENTOS DIÁRIOS'!$O$5:$O$500,"&lt;=114199",'LANÇAMENTOS DIÁRIOS'!$P$5:$P$500,"&gt;=114100")&gt;0,"X","")</f>
      </c>
      <c r="AC86" s="56" t="str">
        <f>IF(COUNTIFS('LANÇAMENTOS DIÁRIOS'!$G$5:$G$500,"F",'LANÇAMENTOS DIÁRIOS'!$C$5:$C$500,$A86,'LANÇAMENTOS DIÁRIOS'!$O$5:$O$500,"&lt;=114299",'LANÇAMENTOS DIÁRIOS'!$P$5:$P$500,"&gt;=114200")&gt;0,"X","")</f>
      </c>
      <c r="AD86" s="56" t="str">
        <f>IF(COUNTIFS('LANÇAMENTOS DIÁRIOS'!$G$5:$G$500,"F",'LANÇAMENTOS DIÁRIOS'!$C$5:$C$500,$A86,'LANÇAMENTOS DIÁRIOS'!$O$5:$O$500,"&lt;=114399",'LANÇAMENTOS DIÁRIOS'!$P$5:$P$500,"&gt;=114300")&gt;0,"X","")</f>
      </c>
      <c r="AE86" s="56" t="str">
        <f>IF(COUNTIFS('LANÇAMENTOS DIÁRIOS'!$G$5:$G$500,"F",'LANÇAMENTOS DIÁRIOS'!$C$5:$C$500,$A86,'LANÇAMENTOS DIÁRIOS'!$O$5:$O$500,"&lt;=114499",'LANÇAMENTOS DIÁRIOS'!$P$5:$P$500,"&gt;=114400")&gt;0,"X","")</f>
      </c>
      <c r="AF86" s="56" t="str">
        <f>IF(COUNTIFS('LANÇAMENTOS DIÁRIOS'!$G$5:$G$500,"F",'LANÇAMENTOS DIÁRIOS'!$C$5:$C$500,$A86,'LANÇAMENTOS DIÁRIOS'!$O$5:$O$500,"&lt;=114599",'LANÇAMENTOS DIÁRIOS'!$P$5:$P$500,"&gt;=114500")&gt;0,"X","")</f>
      </c>
      <c r="AG86" s="56" t="str">
        <f>IF(COUNTIFS('LANÇAMENTOS DIÁRIOS'!$G$5:$G$500,"F",'LANÇAMENTOS DIÁRIOS'!$C$5:$C$500,$A86,'LANÇAMENTOS DIÁRIOS'!$O$5:$O$500,"&lt;=114699",'LANÇAMENTOS DIÁRIOS'!$P$5:$P$500,"&gt;=114600")&gt;0,"X","")</f>
      </c>
      <c r="AH86" s="56" t="str">
        <f>IF(COUNTIFS('LANÇAMENTOS DIÁRIOS'!$G$5:$G$500,"F",'LANÇAMENTOS DIÁRIOS'!$C$5:$C$500,$A86,'LANÇAMENTOS DIÁRIOS'!$O$5:$O$500,"&lt;=114799",'LANÇAMENTOS DIÁRIOS'!$P$5:$P$500,"&gt;=114700")&gt;0,"X","")</f>
      </c>
      <c r="AI86" s="56" t="str">
        <f>IF(COUNTIFS('LANÇAMENTOS DIÁRIOS'!$G$5:$G$500,"F",'LANÇAMENTOS DIÁRIOS'!$C$5:$C$500,$A86,'LANÇAMENTOS DIÁRIOS'!$O$5:$O$500,"&lt;=114899",'LANÇAMENTOS DIÁRIOS'!$P$5:$P$500,"&gt;=114800")&gt;0,"X","")</f>
      </c>
      <c r="AJ86" s="56" t="str">
        <f>IF(COUNTIFS('LANÇAMENTOS DIÁRIOS'!$G$5:$G$500,"F",'LANÇAMENTOS DIÁRIOS'!$C$5:$C$500,$A86,'LANÇAMENTOS DIÁRIOS'!$O$5:$O$500,"&lt;=114999",'LANÇAMENTOS DIÁRIOS'!$P$5:$P$500,"&gt;=114900")&gt;0,"X","")</f>
      </c>
      <c r="AK86" s="56" t="str">
        <f>IF(COUNTIFS('LANÇAMENTOS DIÁRIOS'!$G$5:$G$500,"F",'LANÇAMENTOS DIÁRIOS'!$C$5:$C$500,$A86,'LANÇAMENTOS DIÁRIOS'!$O$5:$O$500,"&lt;=115099",'LANÇAMENTOS DIÁRIOS'!$P$5:$P$500,"&gt;=115000")&gt;0,"X","")</f>
      </c>
      <c r="AL86" s="56" t="str">
        <f>IF(COUNTIFS('LANÇAMENTOS DIÁRIOS'!$G$5:$G$500,"F",'LANÇAMENTOS DIÁRIOS'!$C$5:$C$500,$A86,'LANÇAMENTOS DIÁRIOS'!$O$5:$O$500,"&lt;=115199",'LANÇAMENTOS DIÁRIOS'!$P$5:$P$500,"&gt;=115100")&gt;0,"X","")</f>
      </c>
      <c r="AM86" s="56" t="str">
        <f>IF(COUNTIFS('LANÇAMENTOS DIÁRIOS'!$G$5:$G$500,"F",'LANÇAMENTOS DIÁRIOS'!$C$5:$C$500,$A86,'LANÇAMENTOS DIÁRIOS'!$O$5:$O$500,"&lt;=115299",'LANÇAMENTOS DIÁRIOS'!$P$5:$P$500,"&gt;=115200")&gt;0,"X","")</f>
      </c>
      <c r="AN86" s="56" t="str">
        <f>IF(COUNTIFS('LANÇAMENTOS DIÁRIOS'!$G$5:$G$500,"F",'LANÇAMENTOS DIÁRIOS'!$C$5:$C$500,$A86,'LANÇAMENTOS DIÁRIOS'!$O$5:$O$500,"&lt;=115399",'LANÇAMENTOS DIÁRIOS'!$P$5:$P$500,"&gt;=115300")&gt;0,"X","")</f>
      </c>
      <c r="AO86" s="56" t="str">
        <f>IF(COUNTIFS('LANÇAMENTOS DIÁRIOS'!$G$5:$G$500,"F",'LANÇAMENTOS DIÁRIOS'!$C$5:$C$500,$A86,'LANÇAMENTOS DIÁRIOS'!$O$5:$O$500,"&lt;=115499",'LANÇAMENTOS DIÁRIOS'!$P$5:$P$500,"&gt;=115400")&gt;0,"X","")</f>
      </c>
      <c r="AP86" s="56" t="str">
        <f>IF(COUNTIFS('LANÇAMENTOS DIÁRIOS'!$G$5:$G$500,"F",'LANÇAMENTOS DIÁRIOS'!$C$5:$C$500,$A86,'LANÇAMENTOS DIÁRIOS'!$O$5:$O$500,"&lt;=115599",'LANÇAMENTOS DIÁRIOS'!$P$5:$P$500,"&gt;=115500")&gt;0,"X","")</f>
      </c>
      <c r="AQ86" s="56" t="str">
        <f>IF(COUNTIFS('LANÇAMENTOS DIÁRIOS'!$G$5:$G$500,"F",'LANÇAMENTOS DIÁRIOS'!$C$5:$C$500,$A86,'LANÇAMENTOS DIÁRIOS'!$O$5:$O$500,"&lt;=115699",'LANÇAMENTOS DIÁRIOS'!$P$5:$P$500,"&gt;=115600")&gt;0,"X","")</f>
      </c>
      <c r="AR86" s="56" t="str">
        <f>IF(COUNTIFS('LANÇAMENTOS DIÁRIOS'!$G$5:$G$500,"F",'LANÇAMENTOS DIÁRIOS'!$C$5:$C$500,$A86,'LANÇAMENTOS DIÁRIOS'!$O$5:$O$500,"&lt;=115799",'LANÇAMENTOS DIÁRIOS'!$P$5:$P$500,"&gt;=115700")&gt;0,"X","")</f>
      </c>
      <c r="AS86" s="56" t="str">
        <f>IF(COUNTIFS('LANÇAMENTOS DIÁRIOS'!$G$5:$G$500,"F",'LANÇAMENTOS DIÁRIOS'!$C$5:$C$500,$A86,'LANÇAMENTOS DIÁRIOS'!$O$5:$O$500,"&lt;=115899",'LANÇAMENTOS DIÁRIOS'!$P$5:$P$500,"&gt;=115800")&gt;0,"X","")</f>
      </c>
      <c r="AT86" s="56" t="str">
        <f>IF(COUNTIFS('LANÇAMENTOS DIÁRIOS'!$G$5:$G$500,"F",'LANÇAMENTOS DIÁRIOS'!$C$5:$C$500,$A86,'LANÇAMENTOS DIÁRIOS'!$O$5:$O$500,"&lt;=115999",'LANÇAMENTOS DIÁRIOS'!$P$5:$P$500,"&gt;=115900")&gt;0,"X","")</f>
      </c>
      <c r="AU86" s="56" t="str">
        <f>IF(COUNTIFS('LANÇAMENTOS DIÁRIOS'!$G$5:$G$500,"F",'LANÇAMENTOS DIÁRIOS'!$C$5:$C$500,$A86,'LANÇAMENTOS DIÁRIOS'!$O$5:$O$500,"&lt;=116099",'LANÇAMENTOS DIÁRIOS'!$P$5:$P$500,"&gt;=116000")&gt;0,"X","")</f>
      </c>
      <c r="AV86" s="56" t="str">
        <f>IF(COUNTIFS('LANÇAMENTOS DIÁRIOS'!$G$5:$G$500,"F",'LANÇAMENTOS DIÁRIOS'!$C$5:$C$500,$A86,'LANÇAMENTOS DIÁRIOS'!$O$5:$O$500,"&lt;=116199",'LANÇAMENTOS DIÁRIOS'!$P$5:$P$500,"&gt;=116100")&gt;0,"X","")</f>
      </c>
      <c r="AW86" s="56" t="str">
        <f>IF(COUNTIFS('LANÇAMENTOS DIÁRIOS'!$G$5:$G$500,"F",'LANÇAMENTOS DIÁRIOS'!$C$5:$C$500,$A86,'LANÇAMENTOS DIÁRIOS'!$O$5:$O$500,"&lt;=116299",'LANÇAMENTOS DIÁRIOS'!$P$5:$P$500,"&gt;=116200")&gt;0,"X","")</f>
      </c>
      <c r="AX86" s="56" t="str">
        <f>IF(COUNTIFS('LANÇAMENTOS DIÁRIOS'!$G$5:$G$500,"F",'LANÇAMENTOS DIÁRIOS'!$C$5:$C$500,$A86,'LANÇAMENTOS DIÁRIOS'!$O$5:$O$500,"&lt;=116399",'LANÇAMENTOS DIÁRIOS'!$P$5:$P$500,"&gt;=116300")&gt;0,"X","")</f>
      </c>
      <c r="AY86" s="56" t="str">
        <f>IF(COUNTIFS('LANÇAMENTOS DIÁRIOS'!$G$5:$G$500,"F",'LANÇAMENTOS DIÁRIOS'!$C$5:$C$500,$A86,'LANÇAMENTOS DIÁRIOS'!$O$5:$O$500,"&lt;=116499",'LANÇAMENTOS DIÁRIOS'!$P$5:$P$500,"&gt;=116400")&gt;0,"X","")</f>
      </c>
      <c r="AZ86" s="56" t="str">
        <f>IF(COUNTIFS('LANÇAMENTOS DIÁRIOS'!$G$5:$G$500,"F",'LANÇAMENTOS DIÁRIOS'!$C$5:$C$500,$A86,'LANÇAMENTOS DIÁRIOS'!$O$5:$O$500,"&lt;=116599",'LANÇAMENTOS DIÁRIOS'!$P$5:$P$500,"&gt;=116500")&gt;0,"X","")</f>
      </c>
      <c r="BA86" s="56" t="str">
        <f>IF(COUNTIFS('LANÇAMENTOS DIÁRIOS'!$G$5:$G$500,"F",'LANÇAMENTOS DIÁRIOS'!$C$5:$C$500,$A86,'LANÇAMENTOS DIÁRIOS'!$O$5:$O$500,"&lt;=116699",'LANÇAMENTOS DIÁRIOS'!$P$5:$P$500,"&gt;=116600")&gt;0,"X","")</f>
      </c>
      <c r="BB86" s="56" t="str">
        <f>IF(COUNTIFS('LANÇAMENTOS DIÁRIOS'!$G$5:$G$500,"F",'LANÇAMENTOS DIÁRIOS'!$C$5:$C$500,$A86,'LANÇAMENTOS DIÁRIOS'!$O$5:$O$500,"&lt;=116799",'LANÇAMENTOS DIÁRIOS'!$P$5:$P$500,"&gt;=116700")&gt;0,"X","")</f>
      </c>
      <c r="BC86" s="56" t="str">
        <f>IF(COUNTIFS('LANÇAMENTOS DIÁRIOS'!$G$5:$G$500,"F",'LANÇAMENTOS DIÁRIOS'!$C$5:$C$500,$A86,'LANÇAMENTOS DIÁRIOS'!$O$5:$O$500,"&lt;=116899",'LANÇAMENTOS DIÁRIOS'!$P$5:$P$500,"&gt;=116800")&gt;0,"X","")</f>
      </c>
      <c r="BD86" s="56" t="str">
        <f>IF(COUNTIFS('LANÇAMENTOS DIÁRIOS'!$G$5:$G$500,"F",'LANÇAMENTOS DIÁRIOS'!$C$5:$C$500,$A86,'LANÇAMENTOS DIÁRIOS'!$O$5:$O$500,"&lt;=116999",'LANÇAMENTOS DIÁRIOS'!$P$5:$P$500,"&gt;=116900")&gt;0,"X","")</f>
      </c>
      <c r="BE86" s="56" t="str">
        <f>IF(COUNTIFS('LANÇAMENTOS DIÁRIOS'!$G$5:$G$500,"F",'LANÇAMENTOS DIÁRIOS'!$C$5:$C$500,$A86,'LANÇAMENTOS DIÁRIOS'!$O$5:$O$500,"&lt;=117099",'LANÇAMENTOS DIÁRIOS'!$P$5:$P$500,"&gt;=117000")&gt;0,"X","")</f>
      </c>
      <c r="BF86" s="56" t="str">
        <f>IF(COUNTIFS('LANÇAMENTOS DIÁRIOS'!$G$5:$G$500,"F",'LANÇAMENTOS DIÁRIOS'!$C$5:$C$500,$A86,'LANÇAMENTOS DIÁRIOS'!$O$5:$O$500,"&lt;=117199",'LANÇAMENTOS DIÁRIOS'!$P$5:$P$500,"&gt;=117100")&gt;0,"X","")</f>
      </c>
      <c r="BG86" s="56" t="str">
        <f>IF(COUNTIFS('LANÇAMENTOS DIÁRIOS'!$G$5:$G$500,"F",'LANÇAMENTOS DIÁRIOS'!$C$5:$C$500,$A86,'LANÇAMENTOS DIÁRIOS'!$O$5:$O$500,"&lt;=117219",'LANÇAMENTOS DIÁRIOS'!$P$5:$P$500,"&gt;=117200")&gt;0,"X","")</f>
      </c>
      <c r="BH86" s="56" t="str">
        <f>IF(COUNTIFS('LANÇAMENTOS DIÁRIOS'!$G$5:$G$500,"F",'LANÇAMENTOS DIÁRIOS'!$C$5:$C$500,$A86,'LANÇAMENTOS DIÁRIOS'!$O$5:$O$500,"&lt;=117220",'LANÇAMENTOS DIÁRIOS'!$P$5:$P$500,"&gt;=117220")&gt;0,"X","")</f>
      </c>
    </row>
    <row r="87">
      <c r="A87" s="51" t="str">
        <v>Concreto betuminoso usinado a quente SPV 16 mm, modificado por borracha, sem o fornecimento de CAP</v>
      </c>
      <c r="B87" s="56" t="str">
        <f>IF(COUNTIFS('LANÇAMENTOS DIÁRIOS'!$G$5:$G$500,"F",'LANÇAMENTOS DIÁRIOS'!$C$5:$C$500,$A87,'LANÇAMENTOS DIÁRIOS'!$O$5:$O$500,"&lt;=111599",'LANÇAMENTOS DIÁRIOS'!$P$5:$P$500,"&gt;=111500")&gt;0,"X","")</f>
      </c>
      <c r="C87" s="56" t="str">
        <f>IF(COUNTIFS('LANÇAMENTOS DIÁRIOS'!$G$5:$G$500,"F",'LANÇAMENTOS DIÁRIOS'!$C$5:$C$500,$A87,'LANÇAMENTOS DIÁRIOS'!$O$5:$O$500,"&lt;=111699",'LANÇAMENTOS DIÁRIOS'!$P$5:$P$500,"&gt;=111600")&gt;0,"X","")</f>
      </c>
      <c r="D87" s="56" t="str">
        <f>IF(COUNTIFS('LANÇAMENTOS DIÁRIOS'!$G$5:$G$500,"F",'LANÇAMENTOS DIÁRIOS'!$C$5:$C$500,$A87,'LANÇAMENTOS DIÁRIOS'!$O$5:$O$500,"&lt;=111799",'LANÇAMENTOS DIÁRIOS'!$P$5:$P$500,"&gt;=111700")&gt;0,"X","")</f>
      </c>
      <c r="E87" s="56" t="str">
        <f>IF(COUNTIFS('LANÇAMENTOS DIÁRIOS'!$G$5:$G$500,"F",'LANÇAMENTOS DIÁRIOS'!$C$5:$C$500,$A87,'LANÇAMENTOS DIÁRIOS'!$O$5:$O$500,"&lt;=111899",'LANÇAMENTOS DIÁRIOS'!$P$5:$P$500,"&gt;=111800")&gt;0,"X","")</f>
      </c>
      <c r="F87" s="56" t="str">
        <f>IF(COUNTIFS('LANÇAMENTOS DIÁRIOS'!$G$5:$G$500,"F",'LANÇAMENTOS DIÁRIOS'!$C$5:$C$500,$A87,'LANÇAMENTOS DIÁRIOS'!$O$5:$O$500,"&lt;=111999",'LANÇAMENTOS DIÁRIOS'!$P$5:$P$500,"&gt;=111900")&gt;0,"X","")</f>
      </c>
      <c r="G87" s="56" t="str">
        <f>IF(COUNTIFS('LANÇAMENTOS DIÁRIOS'!$G$5:$G$500,"F",'LANÇAMENTOS DIÁRIOS'!$C$5:$C$500,$A87,'LANÇAMENTOS DIÁRIOS'!$O$5:$O$500,"&lt;=112099",'LANÇAMENTOS DIÁRIOS'!$P$5:$P$500,"&gt;=112000")&gt;0,"X","")</f>
      </c>
      <c r="H87" s="56" t="str">
        <f>IF(COUNTIFS('LANÇAMENTOS DIÁRIOS'!$G$5:$G$500,"F",'LANÇAMENTOS DIÁRIOS'!$C$5:$C$500,$A87,'LANÇAMENTOS DIÁRIOS'!$O$5:$O$500,"&lt;=112199",'LANÇAMENTOS DIÁRIOS'!$P$5:$P$500,"&gt;=112100")&gt;0,"X","")</f>
      </c>
      <c r="I87" s="56" t="str">
        <f>IF(COUNTIFS('LANÇAMENTOS DIÁRIOS'!$G$5:$G$500,"F",'LANÇAMENTOS DIÁRIOS'!$C$5:$C$500,$A87,'LANÇAMENTOS DIÁRIOS'!$O$5:$O$500,"&lt;=112299",'LANÇAMENTOS DIÁRIOS'!$P$5:$P$500,"&gt;=112200")&gt;0,"X","")</f>
      </c>
      <c r="J87" s="56" t="str">
        <f>IF(COUNTIFS('LANÇAMENTOS DIÁRIOS'!$G$5:$G$500,"F",'LANÇAMENTOS DIÁRIOS'!$C$5:$C$500,$A87,'LANÇAMENTOS DIÁRIOS'!$O$5:$O$500,"&lt;=112399",'LANÇAMENTOS DIÁRIOS'!$P$5:$P$500,"&gt;=112300")&gt;0,"X","")</f>
      </c>
      <c r="K87" s="56" t="str">
        <f>IF(COUNTIFS('LANÇAMENTOS DIÁRIOS'!$G$5:$G$500,"F",'LANÇAMENTOS DIÁRIOS'!$C$5:$C$500,$A87,'LANÇAMENTOS DIÁRIOS'!$O$5:$O$500,"&lt;=112499",'LANÇAMENTOS DIÁRIOS'!$P$5:$P$500,"&gt;=112400")&gt;0,"X","")</f>
      </c>
      <c r="L87" s="56" t="str">
        <f>IF(COUNTIFS('LANÇAMENTOS DIÁRIOS'!$G$5:$G$500,"F",'LANÇAMENTOS DIÁRIOS'!$C$5:$C$500,$A87,'LANÇAMENTOS DIÁRIOS'!$O$5:$O$500,"&lt;=112599",'LANÇAMENTOS DIÁRIOS'!$P$5:$P$500,"&gt;=112500")&gt;0,"X","")</f>
      </c>
      <c r="M87" s="56" t="str">
        <f>IF(COUNTIFS('LANÇAMENTOS DIÁRIOS'!$G$5:$G$500,"F",'LANÇAMENTOS DIÁRIOS'!$C$5:$C$500,$A87,'LANÇAMENTOS DIÁRIOS'!$O$5:$O$500,"&lt;=112699",'LANÇAMENTOS DIÁRIOS'!$P$5:$P$500,"&gt;=112600")&gt;0,"X","")</f>
      </c>
      <c r="N87" s="56" t="str">
        <f>IF(COUNTIFS('LANÇAMENTOS DIÁRIOS'!$G$5:$G$500,"F",'LANÇAMENTOS DIÁRIOS'!$C$5:$C$500,$A87,'LANÇAMENTOS DIÁRIOS'!$O$5:$O$500,"&lt;=112799",'LANÇAMENTOS DIÁRIOS'!$P$5:$P$500,"&gt;=112700")&gt;0,"X","")</f>
      </c>
      <c r="O87" s="56" t="str">
        <f>IF(COUNTIFS('LANÇAMENTOS DIÁRIOS'!$G$5:$G$500,"F",'LANÇAMENTOS DIÁRIOS'!$C$5:$C$500,$A87,'LANÇAMENTOS DIÁRIOS'!$O$5:$O$500,"&lt;=112899",'LANÇAMENTOS DIÁRIOS'!$P$5:$P$500,"&gt;=112800")&gt;0,"X","")</f>
      </c>
      <c r="P87" s="56" t="str">
        <f>IF(COUNTIFS('LANÇAMENTOS DIÁRIOS'!$G$5:$G$500,"F",'LANÇAMENTOS DIÁRIOS'!$C$5:$C$500,$A87,'LANÇAMENTOS DIÁRIOS'!$O$5:$O$500,"&lt;=112999",'LANÇAMENTOS DIÁRIOS'!$P$5:$P$500,"&gt;=112900")&gt;0,"X","")</f>
      </c>
      <c r="Q87" s="56" t="str">
        <f>IF(COUNTIFS('LANÇAMENTOS DIÁRIOS'!$G$5:$G$500,"F",'LANÇAMENTOS DIÁRIOS'!$C$5:$C$500,$A87,'LANÇAMENTOS DIÁRIOS'!$O$5:$O$500,"&lt;=113099",'LANÇAMENTOS DIÁRIOS'!$P$5:$P$500,"&gt;=113000")&gt;0,"X","")</f>
      </c>
      <c r="R87" s="56" t="str">
        <f>IF(COUNTIFS('LANÇAMENTOS DIÁRIOS'!$G$5:$G$500,"F",'LANÇAMENTOS DIÁRIOS'!$C$5:$C$500,$A87,'LANÇAMENTOS DIÁRIOS'!$O$5:$O$500,"&lt;=113199",'LANÇAMENTOS DIÁRIOS'!$P$5:$P$500,"&gt;=113100")&gt;0,"X","")</f>
      </c>
      <c r="S87" s="56" t="str">
        <f>IF(COUNTIFS('LANÇAMENTOS DIÁRIOS'!$G$5:$G$500,"F",'LANÇAMENTOS DIÁRIOS'!$C$5:$C$500,$A87,'LANÇAMENTOS DIÁRIOS'!$O$5:$O$500,"&lt;=113299",'LANÇAMENTOS DIÁRIOS'!$P$5:$P$500,"&gt;=113200")&gt;0,"X","")</f>
      </c>
      <c r="T87" s="56" t="str">
        <f>IF(COUNTIFS('LANÇAMENTOS DIÁRIOS'!$G$5:$G$500,"F",'LANÇAMENTOS DIÁRIOS'!$C$5:$C$500,$A87,'LANÇAMENTOS DIÁRIOS'!$O$5:$O$500,"&lt;=113399",'LANÇAMENTOS DIÁRIOS'!$P$5:$P$500,"&gt;=113300")&gt;0,"X","")</f>
      </c>
      <c r="U87" s="56" t="str">
        <f>IF(COUNTIFS('LANÇAMENTOS DIÁRIOS'!$G$5:$G$500,"F",'LANÇAMENTOS DIÁRIOS'!$C$5:$C$500,$A87,'LANÇAMENTOS DIÁRIOS'!$O$5:$O$500,"&lt;=113499",'LANÇAMENTOS DIÁRIOS'!$P$5:$P$500,"&gt;=113400")&gt;0,"X","")</f>
      </c>
      <c r="V87" s="56" t="str">
        <f>IF(COUNTIFS('LANÇAMENTOS DIÁRIOS'!$G$5:$G$500,"F",'LANÇAMENTOS DIÁRIOS'!$C$5:$C$500,$A87,'LANÇAMENTOS DIÁRIOS'!$O$5:$O$500,"&lt;=113599",'LANÇAMENTOS DIÁRIOS'!$P$5:$P$500,"&gt;=113500")&gt;0,"X","")</f>
      </c>
      <c r="W87" s="56" t="str">
        <f>IF(COUNTIFS('LANÇAMENTOS DIÁRIOS'!$G$5:$G$500,"F",'LANÇAMENTOS DIÁRIOS'!$C$5:$C$500,$A87,'LANÇAMENTOS DIÁRIOS'!$O$5:$O$500,"&lt;=113699",'LANÇAMENTOS DIÁRIOS'!$P$5:$P$500,"&gt;=113600")&gt;0,"X","")</f>
      </c>
      <c r="X87" s="56" t="str">
        <f>IF(COUNTIFS('LANÇAMENTOS DIÁRIOS'!$G$5:$G$500,"F",'LANÇAMENTOS DIÁRIOS'!$C$5:$C$500,$A87,'LANÇAMENTOS DIÁRIOS'!$O$5:$O$500,"&lt;=113799",'LANÇAMENTOS DIÁRIOS'!$P$5:$P$500,"&gt;=113700")&gt;0,"X","")</f>
      </c>
      <c r="Y87" s="56" t="str">
        <f>IF(COUNTIFS('LANÇAMENTOS DIÁRIOS'!$G$5:$G$500,"F",'LANÇAMENTOS DIÁRIOS'!$C$5:$C$500,$A87,'LANÇAMENTOS DIÁRIOS'!$O$5:$O$500,"&lt;=113899",'LANÇAMENTOS DIÁRIOS'!$P$5:$P$500,"&gt;=113800")&gt;0,"X","")</f>
      </c>
      <c r="Z87" s="56" t="str">
        <f>IF(COUNTIFS('LANÇAMENTOS DIÁRIOS'!$G$5:$G$500,"F",'LANÇAMENTOS DIÁRIOS'!$C$5:$C$500,$A87,'LANÇAMENTOS DIÁRIOS'!$O$5:$O$500,"&lt;=113999",'LANÇAMENTOS DIÁRIOS'!$P$5:$P$500,"&gt;=113900")&gt;0,"X","")</f>
      </c>
      <c r="AA87" s="56" t="str">
        <f>IF(COUNTIFS('LANÇAMENTOS DIÁRIOS'!$G$5:$G$500,"F",'LANÇAMENTOS DIÁRIOS'!$C$5:$C$500,$A87,'LANÇAMENTOS DIÁRIOS'!$O$5:$O$500,"&lt;=114099",'LANÇAMENTOS DIÁRIOS'!$P$5:$P$500,"&gt;=114000")&gt;0,"X","")</f>
      </c>
      <c r="AB87" s="56" t="str">
        <f>IF(COUNTIFS('LANÇAMENTOS DIÁRIOS'!$G$5:$G$500,"F",'LANÇAMENTOS DIÁRIOS'!$C$5:$C$500,$A87,'LANÇAMENTOS DIÁRIOS'!$O$5:$O$500,"&lt;=114199",'LANÇAMENTOS DIÁRIOS'!$P$5:$P$500,"&gt;=114100")&gt;0,"X","")</f>
      </c>
      <c r="AC87" s="56" t="str">
        <f>IF(COUNTIFS('LANÇAMENTOS DIÁRIOS'!$G$5:$G$500,"F",'LANÇAMENTOS DIÁRIOS'!$C$5:$C$500,$A87,'LANÇAMENTOS DIÁRIOS'!$O$5:$O$500,"&lt;=114299",'LANÇAMENTOS DIÁRIOS'!$P$5:$P$500,"&gt;=114200")&gt;0,"X","")</f>
      </c>
      <c r="AD87" s="56" t="str">
        <f>IF(COUNTIFS('LANÇAMENTOS DIÁRIOS'!$G$5:$G$500,"F",'LANÇAMENTOS DIÁRIOS'!$C$5:$C$500,$A87,'LANÇAMENTOS DIÁRIOS'!$O$5:$O$500,"&lt;=114399",'LANÇAMENTOS DIÁRIOS'!$P$5:$P$500,"&gt;=114300")&gt;0,"X","")</f>
      </c>
      <c r="AE87" s="56" t="str">
        <f>IF(COUNTIFS('LANÇAMENTOS DIÁRIOS'!$G$5:$G$500,"F",'LANÇAMENTOS DIÁRIOS'!$C$5:$C$500,$A87,'LANÇAMENTOS DIÁRIOS'!$O$5:$O$500,"&lt;=114499",'LANÇAMENTOS DIÁRIOS'!$P$5:$P$500,"&gt;=114400")&gt;0,"X","")</f>
      </c>
      <c r="AF87" s="56" t="str">
        <f>IF(COUNTIFS('LANÇAMENTOS DIÁRIOS'!$G$5:$G$500,"F",'LANÇAMENTOS DIÁRIOS'!$C$5:$C$500,$A87,'LANÇAMENTOS DIÁRIOS'!$O$5:$O$500,"&lt;=114599",'LANÇAMENTOS DIÁRIOS'!$P$5:$P$500,"&gt;=114500")&gt;0,"X","")</f>
      </c>
      <c r="AG87" s="56" t="str">
        <f>IF(COUNTIFS('LANÇAMENTOS DIÁRIOS'!$G$5:$G$500,"F",'LANÇAMENTOS DIÁRIOS'!$C$5:$C$500,$A87,'LANÇAMENTOS DIÁRIOS'!$O$5:$O$500,"&lt;=114699",'LANÇAMENTOS DIÁRIOS'!$P$5:$P$500,"&gt;=114600")&gt;0,"X","")</f>
      </c>
      <c r="AH87" s="56" t="str">
        <f>IF(COUNTIFS('LANÇAMENTOS DIÁRIOS'!$G$5:$G$500,"F",'LANÇAMENTOS DIÁRIOS'!$C$5:$C$500,$A87,'LANÇAMENTOS DIÁRIOS'!$O$5:$O$500,"&lt;=114799",'LANÇAMENTOS DIÁRIOS'!$P$5:$P$500,"&gt;=114700")&gt;0,"X","")</f>
      </c>
      <c r="AI87" s="56" t="str">
        <f>IF(COUNTIFS('LANÇAMENTOS DIÁRIOS'!$G$5:$G$500,"F",'LANÇAMENTOS DIÁRIOS'!$C$5:$C$500,$A87,'LANÇAMENTOS DIÁRIOS'!$O$5:$O$500,"&lt;=114899",'LANÇAMENTOS DIÁRIOS'!$P$5:$P$500,"&gt;=114800")&gt;0,"X","")</f>
      </c>
      <c r="AJ87" s="56" t="str">
        <f>IF(COUNTIFS('LANÇAMENTOS DIÁRIOS'!$G$5:$G$500,"F",'LANÇAMENTOS DIÁRIOS'!$C$5:$C$500,$A87,'LANÇAMENTOS DIÁRIOS'!$O$5:$O$500,"&lt;=114999",'LANÇAMENTOS DIÁRIOS'!$P$5:$P$500,"&gt;=114900")&gt;0,"X","")</f>
      </c>
      <c r="AK87" s="56" t="str">
        <f>IF(COUNTIFS('LANÇAMENTOS DIÁRIOS'!$G$5:$G$500,"F",'LANÇAMENTOS DIÁRIOS'!$C$5:$C$500,$A87,'LANÇAMENTOS DIÁRIOS'!$O$5:$O$500,"&lt;=115099",'LANÇAMENTOS DIÁRIOS'!$P$5:$P$500,"&gt;=115000")&gt;0,"X","")</f>
      </c>
      <c r="AL87" s="56" t="str">
        <f>IF(COUNTIFS('LANÇAMENTOS DIÁRIOS'!$G$5:$G$500,"F",'LANÇAMENTOS DIÁRIOS'!$C$5:$C$500,$A87,'LANÇAMENTOS DIÁRIOS'!$O$5:$O$500,"&lt;=115199",'LANÇAMENTOS DIÁRIOS'!$P$5:$P$500,"&gt;=115100")&gt;0,"X","")</f>
      </c>
      <c r="AM87" s="56" t="str">
        <f>IF(COUNTIFS('LANÇAMENTOS DIÁRIOS'!$G$5:$G$500,"F",'LANÇAMENTOS DIÁRIOS'!$C$5:$C$500,$A87,'LANÇAMENTOS DIÁRIOS'!$O$5:$O$500,"&lt;=115299",'LANÇAMENTOS DIÁRIOS'!$P$5:$P$500,"&gt;=115200")&gt;0,"X","")</f>
      </c>
      <c r="AN87" s="56" t="str">
        <f>IF(COUNTIFS('LANÇAMENTOS DIÁRIOS'!$G$5:$G$500,"F",'LANÇAMENTOS DIÁRIOS'!$C$5:$C$500,$A87,'LANÇAMENTOS DIÁRIOS'!$O$5:$O$500,"&lt;=115399",'LANÇAMENTOS DIÁRIOS'!$P$5:$P$500,"&gt;=115300")&gt;0,"X","")</f>
      </c>
      <c r="AO87" s="56" t="str">
        <f>IF(COUNTIFS('LANÇAMENTOS DIÁRIOS'!$G$5:$G$500,"F",'LANÇAMENTOS DIÁRIOS'!$C$5:$C$500,$A87,'LANÇAMENTOS DIÁRIOS'!$O$5:$O$500,"&lt;=115499",'LANÇAMENTOS DIÁRIOS'!$P$5:$P$500,"&gt;=115400")&gt;0,"X","")</f>
      </c>
      <c r="AP87" s="56" t="str">
        <f>IF(COUNTIFS('LANÇAMENTOS DIÁRIOS'!$G$5:$G$500,"F",'LANÇAMENTOS DIÁRIOS'!$C$5:$C$500,$A87,'LANÇAMENTOS DIÁRIOS'!$O$5:$O$500,"&lt;=115599",'LANÇAMENTOS DIÁRIOS'!$P$5:$P$500,"&gt;=115500")&gt;0,"X","")</f>
      </c>
      <c r="AQ87" s="56" t="str">
        <f>IF(COUNTIFS('LANÇAMENTOS DIÁRIOS'!$G$5:$G$500,"F",'LANÇAMENTOS DIÁRIOS'!$C$5:$C$500,$A87,'LANÇAMENTOS DIÁRIOS'!$O$5:$O$500,"&lt;=115699",'LANÇAMENTOS DIÁRIOS'!$P$5:$P$500,"&gt;=115600")&gt;0,"X","")</f>
      </c>
      <c r="AR87" s="56" t="str">
        <f>IF(COUNTIFS('LANÇAMENTOS DIÁRIOS'!$G$5:$G$500,"F",'LANÇAMENTOS DIÁRIOS'!$C$5:$C$500,$A87,'LANÇAMENTOS DIÁRIOS'!$O$5:$O$500,"&lt;=115799",'LANÇAMENTOS DIÁRIOS'!$P$5:$P$500,"&gt;=115700")&gt;0,"X","")</f>
      </c>
      <c r="AS87" s="56" t="str">
        <f>IF(COUNTIFS('LANÇAMENTOS DIÁRIOS'!$G$5:$G$500,"F",'LANÇAMENTOS DIÁRIOS'!$C$5:$C$500,$A87,'LANÇAMENTOS DIÁRIOS'!$O$5:$O$500,"&lt;=115899",'LANÇAMENTOS DIÁRIOS'!$P$5:$P$500,"&gt;=115800")&gt;0,"X","")</f>
      </c>
      <c r="AT87" s="56" t="str">
        <f>IF(COUNTIFS('LANÇAMENTOS DIÁRIOS'!$G$5:$G$500,"F",'LANÇAMENTOS DIÁRIOS'!$C$5:$C$500,$A87,'LANÇAMENTOS DIÁRIOS'!$O$5:$O$500,"&lt;=115999",'LANÇAMENTOS DIÁRIOS'!$P$5:$P$500,"&gt;=115900")&gt;0,"X","")</f>
      </c>
      <c r="AU87" s="56" t="str">
        <f>IF(COUNTIFS('LANÇAMENTOS DIÁRIOS'!$G$5:$G$500,"F",'LANÇAMENTOS DIÁRIOS'!$C$5:$C$500,$A87,'LANÇAMENTOS DIÁRIOS'!$O$5:$O$500,"&lt;=116099",'LANÇAMENTOS DIÁRIOS'!$P$5:$P$500,"&gt;=116000")&gt;0,"X","")</f>
      </c>
      <c r="AV87" s="56" t="str">
        <f>IF(COUNTIFS('LANÇAMENTOS DIÁRIOS'!$G$5:$G$500,"F",'LANÇAMENTOS DIÁRIOS'!$C$5:$C$500,$A87,'LANÇAMENTOS DIÁRIOS'!$O$5:$O$500,"&lt;=116199",'LANÇAMENTOS DIÁRIOS'!$P$5:$P$500,"&gt;=116100")&gt;0,"X","")</f>
      </c>
      <c r="AW87" s="56" t="str">
        <f>IF(COUNTIFS('LANÇAMENTOS DIÁRIOS'!$G$5:$G$500,"F",'LANÇAMENTOS DIÁRIOS'!$C$5:$C$500,$A87,'LANÇAMENTOS DIÁRIOS'!$O$5:$O$500,"&lt;=116299",'LANÇAMENTOS DIÁRIOS'!$P$5:$P$500,"&gt;=116200")&gt;0,"X","")</f>
      </c>
      <c r="AX87" s="56" t="str">
        <f>IF(COUNTIFS('LANÇAMENTOS DIÁRIOS'!$G$5:$G$500,"F",'LANÇAMENTOS DIÁRIOS'!$C$5:$C$500,$A87,'LANÇAMENTOS DIÁRIOS'!$O$5:$O$500,"&lt;=116399",'LANÇAMENTOS DIÁRIOS'!$P$5:$P$500,"&gt;=116300")&gt;0,"X","")</f>
      </c>
      <c r="AY87" s="56" t="str">
        <f>IF(COUNTIFS('LANÇAMENTOS DIÁRIOS'!$G$5:$G$500,"F",'LANÇAMENTOS DIÁRIOS'!$C$5:$C$500,$A87,'LANÇAMENTOS DIÁRIOS'!$O$5:$O$500,"&lt;=116499",'LANÇAMENTOS DIÁRIOS'!$P$5:$P$500,"&gt;=116400")&gt;0,"X","")</f>
      </c>
      <c r="AZ87" s="56" t="str">
        <f>IF(COUNTIFS('LANÇAMENTOS DIÁRIOS'!$G$5:$G$500,"F",'LANÇAMENTOS DIÁRIOS'!$C$5:$C$500,$A87,'LANÇAMENTOS DIÁRIOS'!$O$5:$O$500,"&lt;=116599",'LANÇAMENTOS DIÁRIOS'!$P$5:$P$500,"&gt;=116500")&gt;0,"X","")</f>
      </c>
      <c r="BA87" s="56" t="str">
        <f>IF(COUNTIFS('LANÇAMENTOS DIÁRIOS'!$G$5:$G$500,"F",'LANÇAMENTOS DIÁRIOS'!$C$5:$C$500,$A87,'LANÇAMENTOS DIÁRIOS'!$O$5:$O$500,"&lt;=116699",'LANÇAMENTOS DIÁRIOS'!$P$5:$P$500,"&gt;=116600")&gt;0,"X","")</f>
      </c>
      <c r="BB87" s="56" t="str">
        <f>IF(COUNTIFS('LANÇAMENTOS DIÁRIOS'!$G$5:$G$500,"F",'LANÇAMENTOS DIÁRIOS'!$C$5:$C$500,$A87,'LANÇAMENTOS DIÁRIOS'!$O$5:$O$500,"&lt;=116799",'LANÇAMENTOS DIÁRIOS'!$P$5:$P$500,"&gt;=116700")&gt;0,"X","")</f>
      </c>
      <c r="BC87" s="56" t="str">
        <f>IF(COUNTIFS('LANÇAMENTOS DIÁRIOS'!$G$5:$G$500,"F",'LANÇAMENTOS DIÁRIOS'!$C$5:$C$500,$A87,'LANÇAMENTOS DIÁRIOS'!$O$5:$O$500,"&lt;=116899",'LANÇAMENTOS DIÁRIOS'!$P$5:$P$500,"&gt;=116800")&gt;0,"X","")</f>
      </c>
      <c r="BD87" s="56" t="str">
        <f>IF(COUNTIFS('LANÇAMENTOS DIÁRIOS'!$G$5:$G$500,"F",'LANÇAMENTOS DIÁRIOS'!$C$5:$C$500,$A87,'LANÇAMENTOS DIÁRIOS'!$O$5:$O$500,"&lt;=116999",'LANÇAMENTOS DIÁRIOS'!$P$5:$P$500,"&gt;=116900")&gt;0,"X","")</f>
      </c>
      <c r="BE87" s="56" t="str">
        <f>IF(COUNTIFS('LANÇAMENTOS DIÁRIOS'!$G$5:$G$500,"F",'LANÇAMENTOS DIÁRIOS'!$C$5:$C$500,$A87,'LANÇAMENTOS DIÁRIOS'!$O$5:$O$500,"&lt;=117099",'LANÇAMENTOS DIÁRIOS'!$P$5:$P$500,"&gt;=117000")&gt;0,"X","")</f>
      </c>
      <c r="BF87" s="56" t="str">
        <f>IF(COUNTIFS('LANÇAMENTOS DIÁRIOS'!$G$5:$G$500,"F",'LANÇAMENTOS DIÁRIOS'!$C$5:$C$500,$A87,'LANÇAMENTOS DIÁRIOS'!$O$5:$O$500,"&lt;=117199",'LANÇAMENTOS DIÁRIOS'!$P$5:$P$500,"&gt;=117100")&gt;0,"X","")</f>
      </c>
      <c r="BG87" s="56" t="str">
        <f>IF(COUNTIFS('LANÇAMENTOS DIÁRIOS'!$G$5:$G$500,"F",'LANÇAMENTOS DIÁRIOS'!$C$5:$C$500,$A87,'LANÇAMENTOS DIÁRIOS'!$O$5:$O$500,"&lt;=117219",'LANÇAMENTOS DIÁRIOS'!$P$5:$P$500,"&gt;=117200")&gt;0,"X","")</f>
      </c>
      <c r="BH87" s="56" t="str">
        <f>IF(COUNTIFS('LANÇAMENTOS DIÁRIOS'!$G$5:$G$500,"F",'LANÇAMENTOS DIÁRIOS'!$C$5:$C$500,$A87,'LANÇAMENTOS DIÁRIOS'!$O$5:$O$500,"&lt;=117220",'LANÇAMENTOS DIÁRIOS'!$P$5:$P$500,"&gt;=117220")&gt;0,"X","")</f>
      </c>
    </row>
    <row r="88">
      <c r="A88" s="51" t="str">
        <v>Microrrevestimento asfáltico a frio adaptado para acostamentos - Espessura de 25 mm - sem fornecimento de emulsão</v>
      </c>
      <c r="B88" s="56" t="str">
        <f>IF(COUNTIFS('LANÇAMENTOS DIÁRIOS'!$G$5:$G$500,"F",'LANÇAMENTOS DIÁRIOS'!$C$5:$C$500,$A88,'LANÇAMENTOS DIÁRIOS'!$O$5:$O$500,"&lt;=111599",'LANÇAMENTOS DIÁRIOS'!$P$5:$P$500,"&gt;=111500")&gt;0,"X","")</f>
      </c>
      <c r="C88" s="56" t="str">
        <f>IF(COUNTIFS('LANÇAMENTOS DIÁRIOS'!$G$5:$G$500,"F",'LANÇAMENTOS DIÁRIOS'!$C$5:$C$500,$A88,'LANÇAMENTOS DIÁRIOS'!$O$5:$O$500,"&lt;=111699",'LANÇAMENTOS DIÁRIOS'!$P$5:$P$500,"&gt;=111600")&gt;0,"X","")</f>
      </c>
      <c r="D88" s="56" t="str">
        <f>IF(COUNTIFS('LANÇAMENTOS DIÁRIOS'!$G$5:$G$500,"F",'LANÇAMENTOS DIÁRIOS'!$C$5:$C$500,$A88,'LANÇAMENTOS DIÁRIOS'!$O$5:$O$500,"&lt;=111799",'LANÇAMENTOS DIÁRIOS'!$P$5:$P$500,"&gt;=111700")&gt;0,"X","")</f>
      </c>
      <c r="E88" s="56" t="str">
        <f>IF(COUNTIFS('LANÇAMENTOS DIÁRIOS'!$G$5:$G$500,"F",'LANÇAMENTOS DIÁRIOS'!$C$5:$C$500,$A88,'LANÇAMENTOS DIÁRIOS'!$O$5:$O$500,"&lt;=111899",'LANÇAMENTOS DIÁRIOS'!$P$5:$P$500,"&gt;=111800")&gt;0,"X","")</f>
      </c>
      <c r="F88" s="56" t="str">
        <f>IF(COUNTIFS('LANÇAMENTOS DIÁRIOS'!$G$5:$G$500,"F",'LANÇAMENTOS DIÁRIOS'!$C$5:$C$500,$A88,'LANÇAMENTOS DIÁRIOS'!$O$5:$O$500,"&lt;=111999",'LANÇAMENTOS DIÁRIOS'!$P$5:$P$500,"&gt;=111900")&gt;0,"X","")</f>
      </c>
      <c r="G88" s="56" t="str">
        <f>IF(COUNTIFS('LANÇAMENTOS DIÁRIOS'!$G$5:$G$500,"F",'LANÇAMENTOS DIÁRIOS'!$C$5:$C$500,$A88,'LANÇAMENTOS DIÁRIOS'!$O$5:$O$500,"&lt;=112099",'LANÇAMENTOS DIÁRIOS'!$P$5:$P$500,"&gt;=112000")&gt;0,"X","")</f>
      </c>
      <c r="H88" s="56" t="str">
        <f>IF(COUNTIFS('LANÇAMENTOS DIÁRIOS'!$G$5:$G$500,"F",'LANÇAMENTOS DIÁRIOS'!$C$5:$C$500,$A88,'LANÇAMENTOS DIÁRIOS'!$O$5:$O$500,"&lt;=112199",'LANÇAMENTOS DIÁRIOS'!$P$5:$P$500,"&gt;=112100")&gt;0,"X","")</f>
      </c>
      <c r="I88" s="56" t="str">
        <f>IF(COUNTIFS('LANÇAMENTOS DIÁRIOS'!$G$5:$G$500,"F",'LANÇAMENTOS DIÁRIOS'!$C$5:$C$500,$A88,'LANÇAMENTOS DIÁRIOS'!$O$5:$O$500,"&lt;=112299",'LANÇAMENTOS DIÁRIOS'!$P$5:$P$500,"&gt;=112200")&gt;0,"X","")</f>
      </c>
      <c r="J88" s="56" t="str">
        <f>IF(COUNTIFS('LANÇAMENTOS DIÁRIOS'!$G$5:$G$500,"F",'LANÇAMENTOS DIÁRIOS'!$C$5:$C$500,$A88,'LANÇAMENTOS DIÁRIOS'!$O$5:$O$500,"&lt;=112399",'LANÇAMENTOS DIÁRIOS'!$P$5:$P$500,"&gt;=112300")&gt;0,"X","")</f>
      </c>
      <c r="K88" s="56" t="str">
        <f>IF(COUNTIFS('LANÇAMENTOS DIÁRIOS'!$G$5:$G$500,"F",'LANÇAMENTOS DIÁRIOS'!$C$5:$C$500,$A88,'LANÇAMENTOS DIÁRIOS'!$O$5:$O$500,"&lt;=112499",'LANÇAMENTOS DIÁRIOS'!$P$5:$P$500,"&gt;=112400")&gt;0,"X","")</f>
      </c>
      <c r="L88" s="56" t="str">
        <f>IF(COUNTIFS('LANÇAMENTOS DIÁRIOS'!$G$5:$G$500,"F",'LANÇAMENTOS DIÁRIOS'!$C$5:$C$500,$A88,'LANÇAMENTOS DIÁRIOS'!$O$5:$O$500,"&lt;=112599",'LANÇAMENTOS DIÁRIOS'!$P$5:$P$500,"&gt;=112500")&gt;0,"X","")</f>
      </c>
      <c r="M88" s="56" t="str">
        <f>IF(COUNTIFS('LANÇAMENTOS DIÁRIOS'!$G$5:$G$500,"F",'LANÇAMENTOS DIÁRIOS'!$C$5:$C$500,$A88,'LANÇAMENTOS DIÁRIOS'!$O$5:$O$500,"&lt;=112699",'LANÇAMENTOS DIÁRIOS'!$P$5:$P$500,"&gt;=112600")&gt;0,"X","")</f>
      </c>
      <c r="N88" s="56" t="str">
        <f>IF(COUNTIFS('LANÇAMENTOS DIÁRIOS'!$G$5:$G$500,"F",'LANÇAMENTOS DIÁRIOS'!$C$5:$C$500,$A88,'LANÇAMENTOS DIÁRIOS'!$O$5:$O$500,"&lt;=112799",'LANÇAMENTOS DIÁRIOS'!$P$5:$P$500,"&gt;=112700")&gt;0,"X","")</f>
      </c>
      <c r="O88" s="56" t="str">
        <f>IF(COUNTIFS('LANÇAMENTOS DIÁRIOS'!$G$5:$G$500,"F",'LANÇAMENTOS DIÁRIOS'!$C$5:$C$500,$A88,'LANÇAMENTOS DIÁRIOS'!$O$5:$O$500,"&lt;=112899",'LANÇAMENTOS DIÁRIOS'!$P$5:$P$500,"&gt;=112800")&gt;0,"X","")</f>
      </c>
      <c r="P88" s="56" t="str">
        <f>IF(COUNTIFS('LANÇAMENTOS DIÁRIOS'!$G$5:$G$500,"F",'LANÇAMENTOS DIÁRIOS'!$C$5:$C$500,$A88,'LANÇAMENTOS DIÁRIOS'!$O$5:$O$500,"&lt;=112999",'LANÇAMENTOS DIÁRIOS'!$P$5:$P$500,"&gt;=112900")&gt;0,"X","")</f>
      </c>
      <c r="Q88" s="56" t="str">
        <f>IF(COUNTIFS('LANÇAMENTOS DIÁRIOS'!$G$5:$G$500,"F",'LANÇAMENTOS DIÁRIOS'!$C$5:$C$500,$A88,'LANÇAMENTOS DIÁRIOS'!$O$5:$O$500,"&lt;=113099",'LANÇAMENTOS DIÁRIOS'!$P$5:$P$500,"&gt;=113000")&gt;0,"X","")</f>
      </c>
      <c r="R88" s="56" t="str">
        <f>IF(COUNTIFS('LANÇAMENTOS DIÁRIOS'!$G$5:$G$500,"F",'LANÇAMENTOS DIÁRIOS'!$C$5:$C$500,$A88,'LANÇAMENTOS DIÁRIOS'!$O$5:$O$500,"&lt;=113199",'LANÇAMENTOS DIÁRIOS'!$P$5:$P$500,"&gt;=113100")&gt;0,"X","")</f>
      </c>
      <c r="S88" s="56" t="str">
        <f>IF(COUNTIFS('LANÇAMENTOS DIÁRIOS'!$G$5:$G$500,"F",'LANÇAMENTOS DIÁRIOS'!$C$5:$C$500,$A88,'LANÇAMENTOS DIÁRIOS'!$O$5:$O$500,"&lt;=113299",'LANÇAMENTOS DIÁRIOS'!$P$5:$P$500,"&gt;=113200")&gt;0,"X","")</f>
      </c>
      <c r="T88" s="56" t="str">
        <f>IF(COUNTIFS('LANÇAMENTOS DIÁRIOS'!$G$5:$G$500,"F",'LANÇAMENTOS DIÁRIOS'!$C$5:$C$500,$A88,'LANÇAMENTOS DIÁRIOS'!$O$5:$O$500,"&lt;=113399",'LANÇAMENTOS DIÁRIOS'!$P$5:$P$500,"&gt;=113300")&gt;0,"X","")</f>
      </c>
      <c r="U88" s="56" t="str">
        <f>IF(COUNTIFS('LANÇAMENTOS DIÁRIOS'!$G$5:$G$500,"F",'LANÇAMENTOS DIÁRIOS'!$C$5:$C$500,$A88,'LANÇAMENTOS DIÁRIOS'!$O$5:$O$500,"&lt;=113499",'LANÇAMENTOS DIÁRIOS'!$P$5:$P$500,"&gt;=113400")&gt;0,"X","")</f>
      </c>
      <c r="V88" s="56" t="str">
        <f>IF(COUNTIFS('LANÇAMENTOS DIÁRIOS'!$G$5:$G$500,"F",'LANÇAMENTOS DIÁRIOS'!$C$5:$C$500,$A88,'LANÇAMENTOS DIÁRIOS'!$O$5:$O$500,"&lt;=113599",'LANÇAMENTOS DIÁRIOS'!$P$5:$P$500,"&gt;=113500")&gt;0,"X","")</f>
      </c>
      <c r="W88" s="56" t="str">
        <f>IF(COUNTIFS('LANÇAMENTOS DIÁRIOS'!$G$5:$G$500,"F",'LANÇAMENTOS DIÁRIOS'!$C$5:$C$500,$A88,'LANÇAMENTOS DIÁRIOS'!$O$5:$O$500,"&lt;=113699",'LANÇAMENTOS DIÁRIOS'!$P$5:$P$500,"&gt;=113600")&gt;0,"X","")</f>
      </c>
      <c r="X88" s="56" t="str">
        <f>IF(COUNTIFS('LANÇAMENTOS DIÁRIOS'!$G$5:$G$500,"F",'LANÇAMENTOS DIÁRIOS'!$C$5:$C$500,$A88,'LANÇAMENTOS DIÁRIOS'!$O$5:$O$500,"&lt;=113799",'LANÇAMENTOS DIÁRIOS'!$P$5:$P$500,"&gt;=113700")&gt;0,"X","")</f>
      </c>
      <c r="Y88" s="56" t="str">
        <f>IF(COUNTIFS('LANÇAMENTOS DIÁRIOS'!$G$5:$G$500,"F",'LANÇAMENTOS DIÁRIOS'!$C$5:$C$500,$A88,'LANÇAMENTOS DIÁRIOS'!$O$5:$O$500,"&lt;=113899",'LANÇAMENTOS DIÁRIOS'!$P$5:$P$500,"&gt;=113800")&gt;0,"X","")</f>
      </c>
      <c r="Z88" s="56" t="str">
        <f>IF(COUNTIFS('LANÇAMENTOS DIÁRIOS'!$G$5:$G$500,"F",'LANÇAMENTOS DIÁRIOS'!$C$5:$C$500,$A88,'LANÇAMENTOS DIÁRIOS'!$O$5:$O$500,"&lt;=113999",'LANÇAMENTOS DIÁRIOS'!$P$5:$P$500,"&gt;=113900")&gt;0,"X","")</f>
      </c>
      <c r="AA88" s="56" t="str">
        <f>IF(COUNTIFS('LANÇAMENTOS DIÁRIOS'!$G$5:$G$500,"F",'LANÇAMENTOS DIÁRIOS'!$C$5:$C$500,$A88,'LANÇAMENTOS DIÁRIOS'!$O$5:$O$500,"&lt;=114099",'LANÇAMENTOS DIÁRIOS'!$P$5:$P$500,"&gt;=114000")&gt;0,"X","")</f>
      </c>
      <c r="AB88" s="56" t="str">
        <f>IF(COUNTIFS('LANÇAMENTOS DIÁRIOS'!$G$5:$G$500,"F",'LANÇAMENTOS DIÁRIOS'!$C$5:$C$500,$A88,'LANÇAMENTOS DIÁRIOS'!$O$5:$O$500,"&lt;=114199",'LANÇAMENTOS DIÁRIOS'!$P$5:$P$500,"&gt;=114100")&gt;0,"X","")</f>
      </c>
      <c r="AC88" s="56" t="str">
        <f>IF(COUNTIFS('LANÇAMENTOS DIÁRIOS'!$G$5:$G$500,"F",'LANÇAMENTOS DIÁRIOS'!$C$5:$C$500,$A88,'LANÇAMENTOS DIÁRIOS'!$O$5:$O$500,"&lt;=114299",'LANÇAMENTOS DIÁRIOS'!$P$5:$P$500,"&gt;=114200")&gt;0,"X","")</f>
      </c>
      <c r="AD88" s="56" t="str">
        <f>IF(COUNTIFS('LANÇAMENTOS DIÁRIOS'!$G$5:$G$500,"F",'LANÇAMENTOS DIÁRIOS'!$C$5:$C$500,$A88,'LANÇAMENTOS DIÁRIOS'!$O$5:$O$500,"&lt;=114399",'LANÇAMENTOS DIÁRIOS'!$P$5:$P$500,"&gt;=114300")&gt;0,"X","")</f>
      </c>
      <c r="AE88" s="56" t="str">
        <f>IF(COUNTIFS('LANÇAMENTOS DIÁRIOS'!$G$5:$G$500,"F",'LANÇAMENTOS DIÁRIOS'!$C$5:$C$500,$A88,'LANÇAMENTOS DIÁRIOS'!$O$5:$O$500,"&lt;=114499",'LANÇAMENTOS DIÁRIOS'!$P$5:$P$500,"&gt;=114400")&gt;0,"X","")</f>
      </c>
      <c r="AF88" s="56" t="str">
        <f>IF(COUNTIFS('LANÇAMENTOS DIÁRIOS'!$G$5:$G$500,"F",'LANÇAMENTOS DIÁRIOS'!$C$5:$C$500,$A88,'LANÇAMENTOS DIÁRIOS'!$O$5:$O$500,"&lt;=114599",'LANÇAMENTOS DIÁRIOS'!$P$5:$P$500,"&gt;=114500")&gt;0,"X","")</f>
      </c>
      <c r="AG88" s="56" t="str">
        <f>IF(COUNTIFS('LANÇAMENTOS DIÁRIOS'!$G$5:$G$500,"F",'LANÇAMENTOS DIÁRIOS'!$C$5:$C$500,$A88,'LANÇAMENTOS DIÁRIOS'!$O$5:$O$500,"&lt;=114699",'LANÇAMENTOS DIÁRIOS'!$P$5:$P$500,"&gt;=114600")&gt;0,"X","")</f>
      </c>
      <c r="AH88" s="56" t="str">
        <f>IF(COUNTIFS('LANÇAMENTOS DIÁRIOS'!$G$5:$G$500,"F",'LANÇAMENTOS DIÁRIOS'!$C$5:$C$500,$A88,'LANÇAMENTOS DIÁRIOS'!$O$5:$O$500,"&lt;=114799",'LANÇAMENTOS DIÁRIOS'!$P$5:$P$500,"&gt;=114700")&gt;0,"X","")</f>
      </c>
      <c r="AI88" s="56" t="str">
        <f>IF(COUNTIFS('LANÇAMENTOS DIÁRIOS'!$G$5:$G$500,"F",'LANÇAMENTOS DIÁRIOS'!$C$5:$C$500,$A88,'LANÇAMENTOS DIÁRIOS'!$O$5:$O$500,"&lt;=114899",'LANÇAMENTOS DIÁRIOS'!$P$5:$P$500,"&gt;=114800")&gt;0,"X","")</f>
      </c>
      <c r="AJ88" s="56" t="str">
        <f>IF(COUNTIFS('LANÇAMENTOS DIÁRIOS'!$G$5:$G$500,"F",'LANÇAMENTOS DIÁRIOS'!$C$5:$C$500,$A88,'LANÇAMENTOS DIÁRIOS'!$O$5:$O$500,"&lt;=114999",'LANÇAMENTOS DIÁRIOS'!$P$5:$P$500,"&gt;=114900")&gt;0,"X","")</f>
      </c>
      <c r="AK88" s="56" t="str">
        <f>IF(COUNTIFS('LANÇAMENTOS DIÁRIOS'!$G$5:$G$500,"F",'LANÇAMENTOS DIÁRIOS'!$C$5:$C$500,$A88,'LANÇAMENTOS DIÁRIOS'!$O$5:$O$500,"&lt;=115099",'LANÇAMENTOS DIÁRIOS'!$P$5:$P$500,"&gt;=115000")&gt;0,"X","")</f>
      </c>
      <c r="AL88" s="56" t="str">
        <f>IF(COUNTIFS('LANÇAMENTOS DIÁRIOS'!$G$5:$G$500,"F",'LANÇAMENTOS DIÁRIOS'!$C$5:$C$500,$A88,'LANÇAMENTOS DIÁRIOS'!$O$5:$O$500,"&lt;=115199",'LANÇAMENTOS DIÁRIOS'!$P$5:$P$500,"&gt;=115100")&gt;0,"X","")</f>
      </c>
      <c r="AM88" s="56" t="str">
        <f>IF(COUNTIFS('LANÇAMENTOS DIÁRIOS'!$G$5:$G$500,"F",'LANÇAMENTOS DIÁRIOS'!$C$5:$C$500,$A88,'LANÇAMENTOS DIÁRIOS'!$O$5:$O$500,"&lt;=115299",'LANÇAMENTOS DIÁRIOS'!$P$5:$P$500,"&gt;=115200")&gt;0,"X","")</f>
      </c>
      <c r="AN88" s="56" t="str">
        <f>IF(COUNTIFS('LANÇAMENTOS DIÁRIOS'!$G$5:$G$500,"F",'LANÇAMENTOS DIÁRIOS'!$C$5:$C$500,$A88,'LANÇAMENTOS DIÁRIOS'!$O$5:$O$500,"&lt;=115399",'LANÇAMENTOS DIÁRIOS'!$P$5:$P$500,"&gt;=115300")&gt;0,"X","")</f>
      </c>
      <c r="AO88" s="56" t="str">
        <f>IF(COUNTIFS('LANÇAMENTOS DIÁRIOS'!$G$5:$G$500,"F",'LANÇAMENTOS DIÁRIOS'!$C$5:$C$500,$A88,'LANÇAMENTOS DIÁRIOS'!$O$5:$O$500,"&lt;=115499",'LANÇAMENTOS DIÁRIOS'!$P$5:$P$500,"&gt;=115400")&gt;0,"X","")</f>
      </c>
      <c r="AP88" s="56" t="str">
        <f>IF(COUNTIFS('LANÇAMENTOS DIÁRIOS'!$G$5:$G$500,"F",'LANÇAMENTOS DIÁRIOS'!$C$5:$C$500,$A88,'LANÇAMENTOS DIÁRIOS'!$O$5:$O$500,"&lt;=115599",'LANÇAMENTOS DIÁRIOS'!$P$5:$P$500,"&gt;=115500")&gt;0,"X","")</f>
      </c>
      <c r="AQ88" s="56" t="str">
        <f>IF(COUNTIFS('LANÇAMENTOS DIÁRIOS'!$G$5:$G$500,"F",'LANÇAMENTOS DIÁRIOS'!$C$5:$C$500,$A88,'LANÇAMENTOS DIÁRIOS'!$O$5:$O$500,"&lt;=115699",'LANÇAMENTOS DIÁRIOS'!$P$5:$P$500,"&gt;=115600")&gt;0,"X","")</f>
      </c>
      <c r="AR88" s="56" t="str">
        <f>IF(COUNTIFS('LANÇAMENTOS DIÁRIOS'!$G$5:$G$500,"F",'LANÇAMENTOS DIÁRIOS'!$C$5:$C$500,$A88,'LANÇAMENTOS DIÁRIOS'!$O$5:$O$500,"&lt;=115799",'LANÇAMENTOS DIÁRIOS'!$P$5:$P$500,"&gt;=115700")&gt;0,"X","")</f>
      </c>
      <c r="AS88" s="56" t="str">
        <f>IF(COUNTIFS('LANÇAMENTOS DIÁRIOS'!$G$5:$G$500,"F",'LANÇAMENTOS DIÁRIOS'!$C$5:$C$500,$A88,'LANÇAMENTOS DIÁRIOS'!$O$5:$O$500,"&lt;=115899",'LANÇAMENTOS DIÁRIOS'!$P$5:$P$500,"&gt;=115800")&gt;0,"X","")</f>
      </c>
      <c r="AT88" s="56" t="str">
        <f>IF(COUNTIFS('LANÇAMENTOS DIÁRIOS'!$G$5:$G$500,"F",'LANÇAMENTOS DIÁRIOS'!$C$5:$C$500,$A88,'LANÇAMENTOS DIÁRIOS'!$O$5:$O$500,"&lt;=115999",'LANÇAMENTOS DIÁRIOS'!$P$5:$P$500,"&gt;=115900")&gt;0,"X","")</f>
      </c>
      <c r="AU88" s="56" t="str">
        <f>IF(COUNTIFS('LANÇAMENTOS DIÁRIOS'!$G$5:$G$500,"F",'LANÇAMENTOS DIÁRIOS'!$C$5:$C$500,$A88,'LANÇAMENTOS DIÁRIOS'!$O$5:$O$500,"&lt;=116099",'LANÇAMENTOS DIÁRIOS'!$P$5:$P$500,"&gt;=116000")&gt;0,"X","")</f>
      </c>
      <c r="AV88" s="56" t="str">
        <f>IF(COUNTIFS('LANÇAMENTOS DIÁRIOS'!$G$5:$G$500,"F",'LANÇAMENTOS DIÁRIOS'!$C$5:$C$500,$A88,'LANÇAMENTOS DIÁRIOS'!$O$5:$O$500,"&lt;=116199",'LANÇAMENTOS DIÁRIOS'!$P$5:$P$500,"&gt;=116100")&gt;0,"X","")</f>
      </c>
      <c r="AW88" s="56" t="str">
        <f>IF(COUNTIFS('LANÇAMENTOS DIÁRIOS'!$G$5:$G$500,"F",'LANÇAMENTOS DIÁRIOS'!$C$5:$C$500,$A88,'LANÇAMENTOS DIÁRIOS'!$O$5:$O$500,"&lt;=116299",'LANÇAMENTOS DIÁRIOS'!$P$5:$P$500,"&gt;=116200")&gt;0,"X","")</f>
      </c>
      <c r="AX88" s="56" t="str">
        <f>IF(COUNTIFS('LANÇAMENTOS DIÁRIOS'!$G$5:$G$500,"F",'LANÇAMENTOS DIÁRIOS'!$C$5:$C$500,$A88,'LANÇAMENTOS DIÁRIOS'!$O$5:$O$500,"&lt;=116399",'LANÇAMENTOS DIÁRIOS'!$P$5:$P$500,"&gt;=116300")&gt;0,"X","")</f>
      </c>
      <c r="AY88" s="56" t="str">
        <f>IF(COUNTIFS('LANÇAMENTOS DIÁRIOS'!$G$5:$G$500,"F",'LANÇAMENTOS DIÁRIOS'!$C$5:$C$500,$A88,'LANÇAMENTOS DIÁRIOS'!$O$5:$O$500,"&lt;=116499",'LANÇAMENTOS DIÁRIOS'!$P$5:$P$500,"&gt;=116400")&gt;0,"X","")</f>
      </c>
      <c r="AZ88" s="56" t="str">
        <f>IF(COUNTIFS('LANÇAMENTOS DIÁRIOS'!$G$5:$G$500,"F",'LANÇAMENTOS DIÁRIOS'!$C$5:$C$500,$A88,'LANÇAMENTOS DIÁRIOS'!$O$5:$O$500,"&lt;=116599",'LANÇAMENTOS DIÁRIOS'!$P$5:$P$500,"&gt;=116500")&gt;0,"X","")</f>
      </c>
      <c r="BA88" s="56" t="str">
        <f>IF(COUNTIFS('LANÇAMENTOS DIÁRIOS'!$G$5:$G$500,"F",'LANÇAMENTOS DIÁRIOS'!$C$5:$C$500,$A88,'LANÇAMENTOS DIÁRIOS'!$O$5:$O$500,"&lt;=116699",'LANÇAMENTOS DIÁRIOS'!$P$5:$P$500,"&gt;=116600")&gt;0,"X","")</f>
      </c>
      <c r="BB88" s="56" t="str">
        <f>IF(COUNTIFS('LANÇAMENTOS DIÁRIOS'!$G$5:$G$500,"F",'LANÇAMENTOS DIÁRIOS'!$C$5:$C$500,$A88,'LANÇAMENTOS DIÁRIOS'!$O$5:$O$500,"&lt;=116799",'LANÇAMENTOS DIÁRIOS'!$P$5:$P$500,"&gt;=116700")&gt;0,"X","")</f>
      </c>
      <c r="BC88" s="56" t="str">
        <f>IF(COUNTIFS('LANÇAMENTOS DIÁRIOS'!$G$5:$G$500,"F",'LANÇAMENTOS DIÁRIOS'!$C$5:$C$500,$A88,'LANÇAMENTOS DIÁRIOS'!$O$5:$O$500,"&lt;=116899",'LANÇAMENTOS DIÁRIOS'!$P$5:$P$500,"&gt;=116800")&gt;0,"X","")</f>
      </c>
      <c r="BD88" s="56" t="str">
        <f>IF(COUNTIFS('LANÇAMENTOS DIÁRIOS'!$G$5:$G$500,"F",'LANÇAMENTOS DIÁRIOS'!$C$5:$C$500,$A88,'LANÇAMENTOS DIÁRIOS'!$O$5:$O$500,"&lt;=116999",'LANÇAMENTOS DIÁRIOS'!$P$5:$P$500,"&gt;=116900")&gt;0,"X","")</f>
      </c>
      <c r="BE88" s="56" t="str">
        <f>IF(COUNTIFS('LANÇAMENTOS DIÁRIOS'!$G$5:$G$500,"F",'LANÇAMENTOS DIÁRIOS'!$C$5:$C$500,$A88,'LANÇAMENTOS DIÁRIOS'!$O$5:$O$500,"&lt;=117099",'LANÇAMENTOS DIÁRIOS'!$P$5:$P$500,"&gt;=117000")&gt;0,"X","")</f>
      </c>
      <c r="BF88" s="56" t="str">
        <f>IF(COUNTIFS('LANÇAMENTOS DIÁRIOS'!$G$5:$G$500,"F",'LANÇAMENTOS DIÁRIOS'!$C$5:$C$500,$A88,'LANÇAMENTOS DIÁRIOS'!$O$5:$O$500,"&lt;=117199",'LANÇAMENTOS DIÁRIOS'!$P$5:$P$500,"&gt;=117100")&gt;0,"X","")</f>
      </c>
      <c r="BG88" s="56" t="str">
        <f>IF(COUNTIFS('LANÇAMENTOS DIÁRIOS'!$G$5:$G$500,"F",'LANÇAMENTOS DIÁRIOS'!$C$5:$C$500,$A88,'LANÇAMENTOS DIÁRIOS'!$O$5:$O$500,"&lt;=117219",'LANÇAMENTOS DIÁRIOS'!$P$5:$P$500,"&gt;=117200")&gt;0,"X","")</f>
      </c>
      <c r="BH88" s="56" t="str">
        <f>IF(COUNTIFS('LANÇAMENTOS DIÁRIOS'!$G$5:$G$500,"F",'LANÇAMENTOS DIÁRIOS'!$C$5:$C$500,$A88,'LANÇAMENTOS DIÁRIOS'!$O$5:$O$500,"&lt;=117220",'LANÇAMENTOS DIÁRIOS'!$P$5:$P$500,"&gt;=117220")&gt;0,"X","")</f>
      </c>
    </row>
    <row r="89">
      <c r="A89" s="51" t="str">
        <v>Reciclagem de pavimento com adicao de 30% de brita</v>
      </c>
      <c r="B89" s="56" t="str">
        <f>IF(COUNTIFS('LANÇAMENTOS DIÁRIOS'!$G$5:$G$500,"F",'LANÇAMENTOS DIÁRIOS'!$C$5:$C$500,$A89,'LANÇAMENTOS DIÁRIOS'!$O$5:$O$500,"&lt;=111599",'LANÇAMENTOS DIÁRIOS'!$P$5:$P$500,"&gt;=111500")&gt;0,"X","")</f>
      </c>
      <c r="C89" s="56" t="str">
        <f>IF(COUNTIFS('LANÇAMENTOS DIÁRIOS'!$G$5:$G$500,"F",'LANÇAMENTOS DIÁRIOS'!$C$5:$C$500,$A89,'LANÇAMENTOS DIÁRIOS'!$O$5:$O$500,"&lt;=111699",'LANÇAMENTOS DIÁRIOS'!$P$5:$P$500,"&gt;=111600")&gt;0,"X","")</f>
      </c>
      <c r="D89" s="56" t="str">
        <f>IF(COUNTIFS('LANÇAMENTOS DIÁRIOS'!$G$5:$G$500,"F",'LANÇAMENTOS DIÁRIOS'!$C$5:$C$500,$A89,'LANÇAMENTOS DIÁRIOS'!$O$5:$O$500,"&lt;=111799",'LANÇAMENTOS DIÁRIOS'!$P$5:$P$500,"&gt;=111700")&gt;0,"X","")</f>
      </c>
      <c r="E89" s="56" t="str">
        <f>IF(COUNTIFS('LANÇAMENTOS DIÁRIOS'!$G$5:$G$500,"F",'LANÇAMENTOS DIÁRIOS'!$C$5:$C$500,$A89,'LANÇAMENTOS DIÁRIOS'!$O$5:$O$500,"&lt;=111899",'LANÇAMENTOS DIÁRIOS'!$P$5:$P$500,"&gt;=111800")&gt;0,"X","")</f>
      </c>
      <c r="F89" s="56" t="str">
        <f>IF(COUNTIFS('LANÇAMENTOS DIÁRIOS'!$G$5:$G$500,"F",'LANÇAMENTOS DIÁRIOS'!$C$5:$C$500,$A89,'LANÇAMENTOS DIÁRIOS'!$O$5:$O$500,"&lt;=111999",'LANÇAMENTOS DIÁRIOS'!$P$5:$P$500,"&gt;=111900")&gt;0,"X","")</f>
      </c>
      <c r="G89" s="56" t="str">
        <f>IF(COUNTIFS('LANÇAMENTOS DIÁRIOS'!$G$5:$G$500,"F",'LANÇAMENTOS DIÁRIOS'!$C$5:$C$500,$A89,'LANÇAMENTOS DIÁRIOS'!$O$5:$O$500,"&lt;=112099",'LANÇAMENTOS DIÁRIOS'!$P$5:$P$500,"&gt;=112000")&gt;0,"X","")</f>
      </c>
      <c r="H89" s="56" t="str">
        <f>IF(COUNTIFS('LANÇAMENTOS DIÁRIOS'!$G$5:$G$500,"F",'LANÇAMENTOS DIÁRIOS'!$C$5:$C$500,$A89,'LANÇAMENTOS DIÁRIOS'!$O$5:$O$500,"&lt;=112199",'LANÇAMENTOS DIÁRIOS'!$P$5:$P$500,"&gt;=112100")&gt;0,"X","")</f>
      </c>
      <c r="I89" s="56" t="str">
        <f>IF(COUNTIFS('LANÇAMENTOS DIÁRIOS'!$G$5:$G$500,"F",'LANÇAMENTOS DIÁRIOS'!$C$5:$C$500,$A89,'LANÇAMENTOS DIÁRIOS'!$O$5:$O$500,"&lt;=112299",'LANÇAMENTOS DIÁRIOS'!$P$5:$P$500,"&gt;=112200")&gt;0,"X","")</f>
      </c>
      <c r="J89" s="56" t="str">
        <f>IF(COUNTIFS('LANÇAMENTOS DIÁRIOS'!$G$5:$G$500,"F",'LANÇAMENTOS DIÁRIOS'!$C$5:$C$500,$A89,'LANÇAMENTOS DIÁRIOS'!$O$5:$O$500,"&lt;=112399",'LANÇAMENTOS DIÁRIOS'!$P$5:$P$500,"&gt;=112300")&gt;0,"X","")</f>
      </c>
      <c r="K89" s="56" t="str">
        <f>IF(COUNTIFS('LANÇAMENTOS DIÁRIOS'!$G$5:$G$500,"F",'LANÇAMENTOS DIÁRIOS'!$C$5:$C$500,$A89,'LANÇAMENTOS DIÁRIOS'!$O$5:$O$500,"&lt;=112499",'LANÇAMENTOS DIÁRIOS'!$P$5:$P$500,"&gt;=112400")&gt;0,"X","")</f>
      </c>
      <c r="L89" s="56" t="str">
        <f>IF(COUNTIFS('LANÇAMENTOS DIÁRIOS'!$G$5:$G$500,"F",'LANÇAMENTOS DIÁRIOS'!$C$5:$C$500,$A89,'LANÇAMENTOS DIÁRIOS'!$O$5:$O$500,"&lt;=112599",'LANÇAMENTOS DIÁRIOS'!$P$5:$P$500,"&gt;=112500")&gt;0,"X","")</f>
      </c>
      <c r="M89" s="56" t="str">
        <f>IF(COUNTIFS('LANÇAMENTOS DIÁRIOS'!$G$5:$G$500,"F",'LANÇAMENTOS DIÁRIOS'!$C$5:$C$500,$A89,'LANÇAMENTOS DIÁRIOS'!$O$5:$O$500,"&lt;=112699",'LANÇAMENTOS DIÁRIOS'!$P$5:$P$500,"&gt;=112600")&gt;0,"X","")</f>
      </c>
      <c r="N89" s="56" t="str">
        <f>IF(COUNTIFS('LANÇAMENTOS DIÁRIOS'!$G$5:$G$500,"F",'LANÇAMENTOS DIÁRIOS'!$C$5:$C$500,$A89,'LANÇAMENTOS DIÁRIOS'!$O$5:$O$500,"&lt;=112799",'LANÇAMENTOS DIÁRIOS'!$P$5:$P$500,"&gt;=112700")&gt;0,"X","")</f>
      </c>
      <c r="O89" s="56" t="str">
        <f>IF(COUNTIFS('LANÇAMENTOS DIÁRIOS'!$G$5:$G$500,"F",'LANÇAMENTOS DIÁRIOS'!$C$5:$C$500,$A89,'LANÇAMENTOS DIÁRIOS'!$O$5:$O$500,"&lt;=112899",'LANÇAMENTOS DIÁRIOS'!$P$5:$P$500,"&gt;=112800")&gt;0,"X","")</f>
      </c>
      <c r="P89" s="56" t="str">
        <f>IF(COUNTIFS('LANÇAMENTOS DIÁRIOS'!$G$5:$G$500,"F",'LANÇAMENTOS DIÁRIOS'!$C$5:$C$500,$A89,'LANÇAMENTOS DIÁRIOS'!$O$5:$O$500,"&lt;=112999",'LANÇAMENTOS DIÁRIOS'!$P$5:$P$500,"&gt;=112900")&gt;0,"X","")</f>
      </c>
      <c r="Q89" s="56" t="str">
        <f>IF(COUNTIFS('LANÇAMENTOS DIÁRIOS'!$G$5:$G$500,"F",'LANÇAMENTOS DIÁRIOS'!$C$5:$C$500,$A89,'LANÇAMENTOS DIÁRIOS'!$O$5:$O$500,"&lt;=113099",'LANÇAMENTOS DIÁRIOS'!$P$5:$P$500,"&gt;=113000")&gt;0,"X","")</f>
      </c>
      <c r="R89" s="56" t="str">
        <f>IF(COUNTIFS('LANÇAMENTOS DIÁRIOS'!$G$5:$G$500,"F",'LANÇAMENTOS DIÁRIOS'!$C$5:$C$500,$A89,'LANÇAMENTOS DIÁRIOS'!$O$5:$O$500,"&lt;=113199",'LANÇAMENTOS DIÁRIOS'!$P$5:$P$500,"&gt;=113100")&gt;0,"X","")</f>
      </c>
      <c r="S89" s="56" t="str">
        <f>IF(COUNTIFS('LANÇAMENTOS DIÁRIOS'!$G$5:$G$500,"F",'LANÇAMENTOS DIÁRIOS'!$C$5:$C$500,$A89,'LANÇAMENTOS DIÁRIOS'!$O$5:$O$500,"&lt;=113299",'LANÇAMENTOS DIÁRIOS'!$P$5:$P$500,"&gt;=113200")&gt;0,"X","")</f>
      </c>
      <c r="T89" s="56" t="str">
        <f>IF(COUNTIFS('LANÇAMENTOS DIÁRIOS'!$G$5:$G$500,"F",'LANÇAMENTOS DIÁRIOS'!$C$5:$C$500,$A89,'LANÇAMENTOS DIÁRIOS'!$O$5:$O$500,"&lt;=113399",'LANÇAMENTOS DIÁRIOS'!$P$5:$P$500,"&gt;=113300")&gt;0,"X","")</f>
      </c>
      <c r="U89" s="56" t="str">
        <f>IF(COUNTIFS('LANÇAMENTOS DIÁRIOS'!$G$5:$G$500,"F",'LANÇAMENTOS DIÁRIOS'!$C$5:$C$500,$A89,'LANÇAMENTOS DIÁRIOS'!$O$5:$O$500,"&lt;=113499",'LANÇAMENTOS DIÁRIOS'!$P$5:$P$500,"&gt;=113400")&gt;0,"X","")</f>
      </c>
      <c r="V89" s="56" t="str">
        <f>IF(COUNTIFS('LANÇAMENTOS DIÁRIOS'!$G$5:$G$500,"F",'LANÇAMENTOS DIÁRIOS'!$C$5:$C$500,$A89,'LANÇAMENTOS DIÁRIOS'!$O$5:$O$500,"&lt;=113599",'LANÇAMENTOS DIÁRIOS'!$P$5:$P$500,"&gt;=113500")&gt;0,"X","")</f>
      </c>
      <c r="W89" s="56" t="str">
        <f>IF(COUNTIFS('LANÇAMENTOS DIÁRIOS'!$G$5:$G$500,"F",'LANÇAMENTOS DIÁRIOS'!$C$5:$C$500,$A89,'LANÇAMENTOS DIÁRIOS'!$O$5:$O$500,"&lt;=113699",'LANÇAMENTOS DIÁRIOS'!$P$5:$P$500,"&gt;=113600")&gt;0,"X","")</f>
      </c>
      <c r="X89" s="56" t="str">
        <f>IF(COUNTIFS('LANÇAMENTOS DIÁRIOS'!$G$5:$G$500,"F",'LANÇAMENTOS DIÁRIOS'!$C$5:$C$500,$A89,'LANÇAMENTOS DIÁRIOS'!$O$5:$O$500,"&lt;=113799",'LANÇAMENTOS DIÁRIOS'!$P$5:$P$500,"&gt;=113700")&gt;0,"X","")</f>
      </c>
      <c r="Y89" s="56" t="str">
        <f>IF(COUNTIFS('LANÇAMENTOS DIÁRIOS'!$G$5:$G$500,"F",'LANÇAMENTOS DIÁRIOS'!$C$5:$C$500,$A89,'LANÇAMENTOS DIÁRIOS'!$O$5:$O$500,"&lt;=113899",'LANÇAMENTOS DIÁRIOS'!$P$5:$P$500,"&gt;=113800")&gt;0,"X","")</f>
      </c>
      <c r="Z89" s="56" t="str">
        <f>IF(COUNTIFS('LANÇAMENTOS DIÁRIOS'!$G$5:$G$500,"F",'LANÇAMENTOS DIÁRIOS'!$C$5:$C$500,$A89,'LANÇAMENTOS DIÁRIOS'!$O$5:$O$500,"&lt;=113999",'LANÇAMENTOS DIÁRIOS'!$P$5:$P$500,"&gt;=113900")&gt;0,"X","")</f>
      </c>
      <c r="AA89" s="56" t="str">
        <f>IF(COUNTIFS('LANÇAMENTOS DIÁRIOS'!$G$5:$G$500,"F",'LANÇAMENTOS DIÁRIOS'!$C$5:$C$500,$A89,'LANÇAMENTOS DIÁRIOS'!$O$5:$O$500,"&lt;=114099",'LANÇAMENTOS DIÁRIOS'!$P$5:$P$500,"&gt;=114000")&gt;0,"X","")</f>
      </c>
      <c r="AB89" s="56" t="str">
        <f>IF(COUNTIFS('LANÇAMENTOS DIÁRIOS'!$G$5:$G$500,"F",'LANÇAMENTOS DIÁRIOS'!$C$5:$C$500,$A89,'LANÇAMENTOS DIÁRIOS'!$O$5:$O$500,"&lt;=114199",'LANÇAMENTOS DIÁRIOS'!$P$5:$P$500,"&gt;=114100")&gt;0,"X","")</f>
      </c>
      <c r="AC89" s="56" t="str">
        <f>IF(COUNTIFS('LANÇAMENTOS DIÁRIOS'!$G$5:$G$500,"F",'LANÇAMENTOS DIÁRIOS'!$C$5:$C$500,$A89,'LANÇAMENTOS DIÁRIOS'!$O$5:$O$500,"&lt;=114299",'LANÇAMENTOS DIÁRIOS'!$P$5:$P$500,"&gt;=114200")&gt;0,"X","")</f>
      </c>
      <c r="AD89" s="56" t="str">
        <f>IF(COUNTIFS('LANÇAMENTOS DIÁRIOS'!$G$5:$G$500,"F",'LANÇAMENTOS DIÁRIOS'!$C$5:$C$500,$A89,'LANÇAMENTOS DIÁRIOS'!$O$5:$O$500,"&lt;=114399",'LANÇAMENTOS DIÁRIOS'!$P$5:$P$500,"&gt;=114300")&gt;0,"X","")</f>
      </c>
      <c r="AE89" s="56" t="str">
        <f>IF(COUNTIFS('LANÇAMENTOS DIÁRIOS'!$G$5:$G$500,"F",'LANÇAMENTOS DIÁRIOS'!$C$5:$C$500,$A89,'LANÇAMENTOS DIÁRIOS'!$O$5:$O$500,"&lt;=114499",'LANÇAMENTOS DIÁRIOS'!$P$5:$P$500,"&gt;=114400")&gt;0,"X","")</f>
      </c>
      <c r="AF89" s="56" t="str">
        <f>IF(COUNTIFS('LANÇAMENTOS DIÁRIOS'!$G$5:$G$500,"F",'LANÇAMENTOS DIÁRIOS'!$C$5:$C$500,$A89,'LANÇAMENTOS DIÁRIOS'!$O$5:$O$500,"&lt;=114599",'LANÇAMENTOS DIÁRIOS'!$P$5:$P$500,"&gt;=114500")&gt;0,"X","")</f>
      </c>
      <c r="AG89" s="56" t="str">
        <f>IF(COUNTIFS('LANÇAMENTOS DIÁRIOS'!$G$5:$G$500,"F",'LANÇAMENTOS DIÁRIOS'!$C$5:$C$500,$A89,'LANÇAMENTOS DIÁRIOS'!$O$5:$O$500,"&lt;=114699",'LANÇAMENTOS DIÁRIOS'!$P$5:$P$500,"&gt;=114600")&gt;0,"X","")</f>
      </c>
      <c r="AH89" s="56" t="str">
        <f>IF(COUNTIFS('LANÇAMENTOS DIÁRIOS'!$G$5:$G$500,"F",'LANÇAMENTOS DIÁRIOS'!$C$5:$C$500,$A89,'LANÇAMENTOS DIÁRIOS'!$O$5:$O$500,"&lt;=114799",'LANÇAMENTOS DIÁRIOS'!$P$5:$P$500,"&gt;=114700")&gt;0,"X","")</f>
      </c>
      <c r="AI89" s="56" t="str">
        <f>IF(COUNTIFS('LANÇAMENTOS DIÁRIOS'!$G$5:$G$500,"F",'LANÇAMENTOS DIÁRIOS'!$C$5:$C$500,$A89,'LANÇAMENTOS DIÁRIOS'!$O$5:$O$500,"&lt;=114899",'LANÇAMENTOS DIÁRIOS'!$P$5:$P$500,"&gt;=114800")&gt;0,"X","")</f>
      </c>
      <c r="AJ89" s="56" t="str">
        <f>IF(COUNTIFS('LANÇAMENTOS DIÁRIOS'!$G$5:$G$500,"F",'LANÇAMENTOS DIÁRIOS'!$C$5:$C$500,$A89,'LANÇAMENTOS DIÁRIOS'!$O$5:$O$500,"&lt;=114999",'LANÇAMENTOS DIÁRIOS'!$P$5:$P$500,"&gt;=114900")&gt;0,"X","")</f>
      </c>
      <c r="AK89" s="56" t="str">
        <f>IF(COUNTIFS('LANÇAMENTOS DIÁRIOS'!$G$5:$G$500,"F",'LANÇAMENTOS DIÁRIOS'!$C$5:$C$500,$A89,'LANÇAMENTOS DIÁRIOS'!$O$5:$O$500,"&lt;=115099",'LANÇAMENTOS DIÁRIOS'!$P$5:$P$500,"&gt;=115000")&gt;0,"X","")</f>
      </c>
      <c r="AL89" s="56" t="str">
        <f>IF(COUNTIFS('LANÇAMENTOS DIÁRIOS'!$G$5:$G$500,"F",'LANÇAMENTOS DIÁRIOS'!$C$5:$C$500,$A89,'LANÇAMENTOS DIÁRIOS'!$O$5:$O$500,"&lt;=115199",'LANÇAMENTOS DIÁRIOS'!$P$5:$P$500,"&gt;=115100")&gt;0,"X","")</f>
      </c>
      <c r="AM89" s="56" t="str">
        <f>IF(COUNTIFS('LANÇAMENTOS DIÁRIOS'!$G$5:$G$500,"F",'LANÇAMENTOS DIÁRIOS'!$C$5:$C$500,$A89,'LANÇAMENTOS DIÁRIOS'!$O$5:$O$500,"&lt;=115299",'LANÇAMENTOS DIÁRIOS'!$P$5:$P$500,"&gt;=115200")&gt;0,"X","")</f>
      </c>
      <c r="AN89" s="56" t="str">
        <f>IF(COUNTIFS('LANÇAMENTOS DIÁRIOS'!$G$5:$G$500,"F",'LANÇAMENTOS DIÁRIOS'!$C$5:$C$500,$A89,'LANÇAMENTOS DIÁRIOS'!$O$5:$O$500,"&lt;=115399",'LANÇAMENTOS DIÁRIOS'!$P$5:$P$500,"&gt;=115300")&gt;0,"X","")</f>
      </c>
      <c r="AO89" s="56" t="str">
        <f>IF(COUNTIFS('LANÇAMENTOS DIÁRIOS'!$G$5:$G$500,"F",'LANÇAMENTOS DIÁRIOS'!$C$5:$C$500,$A89,'LANÇAMENTOS DIÁRIOS'!$O$5:$O$500,"&lt;=115499",'LANÇAMENTOS DIÁRIOS'!$P$5:$P$500,"&gt;=115400")&gt;0,"X","")</f>
      </c>
      <c r="AP89" s="56" t="str">
        <f>IF(COUNTIFS('LANÇAMENTOS DIÁRIOS'!$G$5:$G$500,"F",'LANÇAMENTOS DIÁRIOS'!$C$5:$C$500,$A89,'LANÇAMENTOS DIÁRIOS'!$O$5:$O$500,"&lt;=115599",'LANÇAMENTOS DIÁRIOS'!$P$5:$P$500,"&gt;=115500")&gt;0,"X","")</f>
      </c>
      <c r="AQ89" s="56" t="str">
        <f>IF(COUNTIFS('LANÇAMENTOS DIÁRIOS'!$G$5:$G$500,"F",'LANÇAMENTOS DIÁRIOS'!$C$5:$C$500,$A89,'LANÇAMENTOS DIÁRIOS'!$O$5:$O$500,"&lt;=115699",'LANÇAMENTOS DIÁRIOS'!$P$5:$P$500,"&gt;=115600")&gt;0,"X","")</f>
      </c>
      <c r="AR89" s="56" t="str">
        <f>IF(COUNTIFS('LANÇAMENTOS DIÁRIOS'!$G$5:$G$500,"F",'LANÇAMENTOS DIÁRIOS'!$C$5:$C$500,$A89,'LANÇAMENTOS DIÁRIOS'!$O$5:$O$500,"&lt;=115799",'LANÇAMENTOS DIÁRIOS'!$P$5:$P$500,"&gt;=115700")&gt;0,"X","")</f>
      </c>
      <c r="AS89" s="56" t="str">
        <f>IF(COUNTIFS('LANÇAMENTOS DIÁRIOS'!$G$5:$G$500,"F",'LANÇAMENTOS DIÁRIOS'!$C$5:$C$500,$A89,'LANÇAMENTOS DIÁRIOS'!$O$5:$O$500,"&lt;=115899",'LANÇAMENTOS DIÁRIOS'!$P$5:$P$500,"&gt;=115800")&gt;0,"X","")</f>
      </c>
      <c r="AT89" s="56" t="str">
        <f>IF(COUNTIFS('LANÇAMENTOS DIÁRIOS'!$G$5:$G$500,"F",'LANÇAMENTOS DIÁRIOS'!$C$5:$C$500,$A89,'LANÇAMENTOS DIÁRIOS'!$O$5:$O$500,"&lt;=115999",'LANÇAMENTOS DIÁRIOS'!$P$5:$P$500,"&gt;=115900")&gt;0,"X","")</f>
      </c>
      <c r="AU89" s="56" t="str">
        <f>IF(COUNTIFS('LANÇAMENTOS DIÁRIOS'!$G$5:$G$500,"F",'LANÇAMENTOS DIÁRIOS'!$C$5:$C$500,$A89,'LANÇAMENTOS DIÁRIOS'!$O$5:$O$500,"&lt;=116099",'LANÇAMENTOS DIÁRIOS'!$P$5:$P$500,"&gt;=116000")&gt;0,"X","")</f>
      </c>
      <c r="AV89" s="56" t="str">
        <f>IF(COUNTIFS('LANÇAMENTOS DIÁRIOS'!$G$5:$G$500,"F",'LANÇAMENTOS DIÁRIOS'!$C$5:$C$500,$A89,'LANÇAMENTOS DIÁRIOS'!$O$5:$O$500,"&lt;=116199",'LANÇAMENTOS DIÁRIOS'!$P$5:$P$500,"&gt;=116100")&gt;0,"X","")</f>
      </c>
      <c r="AW89" s="56" t="str">
        <f>IF(COUNTIFS('LANÇAMENTOS DIÁRIOS'!$G$5:$G$500,"F",'LANÇAMENTOS DIÁRIOS'!$C$5:$C$500,$A89,'LANÇAMENTOS DIÁRIOS'!$O$5:$O$500,"&lt;=116299",'LANÇAMENTOS DIÁRIOS'!$P$5:$P$500,"&gt;=116200")&gt;0,"X","")</f>
      </c>
      <c r="AX89" s="56" t="str">
        <f>IF(COUNTIFS('LANÇAMENTOS DIÁRIOS'!$G$5:$G$500,"F",'LANÇAMENTOS DIÁRIOS'!$C$5:$C$500,$A89,'LANÇAMENTOS DIÁRIOS'!$O$5:$O$500,"&lt;=116399",'LANÇAMENTOS DIÁRIOS'!$P$5:$P$500,"&gt;=116300")&gt;0,"X","")</f>
      </c>
      <c r="AY89" s="56" t="str">
        <f>IF(COUNTIFS('LANÇAMENTOS DIÁRIOS'!$G$5:$G$500,"F",'LANÇAMENTOS DIÁRIOS'!$C$5:$C$500,$A89,'LANÇAMENTOS DIÁRIOS'!$O$5:$O$500,"&lt;=116499",'LANÇAMENTOS DIÁRIOS'!$P$5:$P$500,"&gt;=116400")&gt;0,"X","")</f>
      </c>
      <c r="AZ89" s="56" t="str">
        <f>IF(COUNTIFS('LANÇAMENTOS DIÁRIOS'!$G$5:$G$500,"F",'LANÇAMENTOS DIÁRIOS'!$C$5:$C$500,$A89,'LANÇAMENTOS DIÁRIOS'!$O$5:$O$500,"&lt;=116599",'LANÇAMENTOS DIÁRIOS'!$P$5:$P$500,"&gt;=116500")&gt;0,"X","")</f>
      </c>
      <c r="BA89" s="56" t="str">
        <f>IF(COUNTIFS('LANÇAMENTOS DIÁRIOS'!$G$5:$G$500,"F",'LANÇAMENTOS DIÁRIOS'!$C$5:$C$500,$A89,'LANÇAMENTOS DIÁRIOS'!$O$5:$O$500,"&lt;=116699",'LANÇAMENTOS DIÁRIOS'!$P$5:$P$500,"&gt;=116600")&gt;0,"X","")</f>
      </c>
      <c r="BB89" s="56" t="str">
        <f>IF(COUNTIFS('LANÇAMENTOS DIÁRIOS'!$G$5:$G$500,"F",'LANÇAMENTOS DIÁRIOS'!$C$5:$C$500,$A89,'LANÇAMENTOS DIÁRIOS'!$O$5:$O$500,"&lt;=116799",'LANÇAMENTOS DIÁRIOS'!$P$5:$P$500,"&gt;=116700")&gt;0,"X","")</f>
      </c>
      <c r="BC89" s="56" t="str">
        <f>IF(COUNTIFS('LANÇAMENTOS DIÁRIOS'!$G$5:$G$500,"F",'LANÇAMENTOS DIÁRIOS'!$C$5:$C$500,$A89,'LANÇAMENTOS DIÁRIOS'!$O$5:$O$500,"&lt;=116899",'LANÇAMENTOS DIÁRIOS'!$P$5:$P$500,"&gt;=116800")&gt;0,"X","")</f>
      </c>
      <c r="BD89" s="56" t="str">
        <f>IF(COUNTIFS('LANÇAMENTOS DIÁRIOS'!$G$5:$G$500,"F",'LANÇAMENTOS DIÁRIOS'!$C$5:$C$500,$A89,'LANÇAMENTOS DIÁRIOS'!$O$5:$O$500,"&lt;=116999",'LANÇAMENTOS DIÁRIOS'!$P$5:$P$500,"&gt;=116900")&gt;0,"X","")</f>
      </c>
      <c r="BE89" s="56" t="str">
        <f>IF(COUNTIFS('LANÇAMENTOS DIÁRIOS'!$G$5:$G$500,"F",'LANÇAMENTOS DIÁRIOS'!$C$5:$C$500,$A89,'LANÇAMENTOS DIÁRIOS'!$O$5:$O$500,"&lt;=117099",'LANÇAMENTOS DIÁRIOS'!$P$5:$P$500,"&gt;=117000")&gt;0,"X","")</f>
      </c>
      <c r="BF89" s="56" t="str">
        <f>IF(COUNTIFS('LANÇAMENTOS DIÁRIOS'!$G$5:$G$500,"F",'LANÇAMENTOS DIÁRIOS'!$C$5:$C$500,$A89,'LANÇAMENTOS DIÁRIOS'!$O$5:$O$500,"&lt;=117199",'LANÇAMENTOS DIÁRIOS'!$P$5:$P$500,"&gt;=117100")&gt;0,"X","")</f>
      </c>
      <c r="BG89" s="56" t="str">
        <f>IF(COUNTIFS('LANÇAMENTOS DIÁRIOS'!$G$5:$G$500,"F",'LANÇAMENTOS DIÁRIOS'!$C$5:$C$500,$A89,'LANÇAMENTOS DIÁRIOS'!$O$5:$O$500,"&lt;=117219",'LANÇAMENTOS DIÁRIOS'!$P$5:$P$500,"&gt;=117200")&gt;0,"X","")</f>
      </c>
      <c r="BH89" s="56" t="str">
        <f>IF(COUNTIFS('LANÇAMENTOS DIÁRIOS'!$G$5:$G$500,"F",'LANÇAMENTOS DIÁRIOS'!$C$5:$C$500,$A89,'LANÇAMENTOS DIÁRIOS'!$O$5:$O$500,"&lt;=117220",'LANÇAMENTOS DIÁRIOS'!$P$5:$P$500,"&gt;=117220")&gt;0,"X","")</f>
      </c>
    </row>
    <row r="90">
      <c r="A90" s="51" t="str">
        <v>Geogrelha Hatelit - Sem o fornecimento de materiais</v>
      </c>
      <c r="B90" s="56" t="str">
        <f>IF(COUNTIFS('LANÇAMENTOS DIÁRIOS'!$G$5:$G$500,"F",'LANÇAMENTOS DIÁRIOS'!$C$5:$C$500,$A90,'LANÇAMENTOS DIÁRIOS'!$O$5:$O$500,"&lt;=111599",'LANÇAMENTOS DIÁRIOS'!$P$5:$P$500,"&gt;=111500")&gt;0,"X","")</f>
      </c>
      <c r="C90" s="56" t="str">
        <f>IF(COUNTIFS('LANÇAMENTOS DIÁRIOS'!$G$5:$G$500,"F",'LANÇAMENTOS DIÁRIOS'!$C$5:$C$500,$A90,'LANÇAMENTOS DIÁRIOS'!$O$5:$O$500,"&lt;=111699",'LANÇAMENTOS DIÁRIOS'!$P$5:$P$500,"&gt;=111600")&gt;0,"X","")</f>
      </c>
      <c r="D90" s="56" t="str">
        <f>IF(COUNTIFS('LANÇAMENTOS DIÁRIOS'!$G$5:$G$500,"F",'LANÇAMENTOS DIÁRIOS'!$C$5:$C$500,$A90,'LANÇAMENTOS DIÁRIOS'!$O$5:$O$500,"&lt;=111799",'LANÇAMENTOS DIÁRIOS'!$P$5:$P$500,"&gt;=111700")&gt;0,"X","")</f>
      </c>
      <c r="E90" s="56" t="str">
        <f>IF(COUNTIFS('LANÇAMENTOS DIÁRIOS'!$G$5:$G$500,"F",'LANÇAMENTOS DIÁRIOS'!$C$5:$C$500,$A90,'LANÇAMENTOS DIÁRIOS'!$O$5:$O$500,"&lt;=111899",'LANÇAMENTOS DIÁRIOS'!$P$5:$P$500,"&gt;=111800")&gt;0,"X","")</f>
      </c>
      <c r="F90" s="56" t="str">
        <f>IF(COUNTIFS('LANÇAMENTOS DIÁRIOS'!$G$5:$G$500,"F",'LANÇAMENTOS DIÁRIOS'!$C$5:$C$500,$A90,'LANÇAMENTOS DIÁRIOS'!$O$5:$O$500,"&lt;=111999",'LANÇAMENTOS DIÁRIOS'!$P$5:$P$500,"&gt;=111900")&gt;0,"X","")</f>
      </c>
      <c r="G90" s="56" t="str">
        <f>IF(COUNTIFS('LANÇAMENTOS DIÁRIOS'!$G$5:$G$500,"F",'LANÇAMENTOS DIÁRIOS'!$C$5:$C$500,$A90,'LANÇAMENTOS DIÁRIOS'!$O$5:$O$500,"&lt;=112099",'LANÇAMENTOS DIÁRIOS'!$P$5:$P$500,"&gt;=112000")&gt;0,"X","")</f>
      </c>
      <c r="H90" s="56" t="str">
        <f>IF(COUNTIFS('LANÇAMENTOS DIÁRIOS'!$G$5:$G$500,"F",'LANÇAMENTOS DIÁRIOS'!$C$5:$C$500,$A90,'LANÇAMENTOS DIÁRIOS'!$O$5:$O$500,"&lt;=112199",'LANÇAMENTOS DIÁRIOS'!$P$5:$P$500,"&gt;=112100")&gt;0,"X","")</f>
      </c>
      <c r="I90" s="56" t="str">
        <f>IF(COUNTIFS('LANÇAMENTOS DIÁRIOS'!$G$5:$G$500,"F",'LANÇAMENTOS DIÁRIOS'!$C$5:$C$500,$A90,'LANÇAMENTOS DIÁRIOS'!$O$5:$O$500,"&lt;=112299",'LANÇAMENTOS DIÁRIOS'!$P$5:$P$500,"&gt;=112200")&gt;0,"X","")</f>
      </c>
      <c r="J90" s="56" t="str">
        <f>IF(COUNTIFS('LANÇAMENTOS DIÁRIOS'!$G$5:$G$500,"F",'LANÇAMENTOS DIÁRIOS'!$C$5:$C$500,$A90,'LANÇAMENTOS DIÁRIOS'!$O$5:$O$500,"&lt;=112399",'LANÇAMENTOS DIÁRIOS'!$P$5:$P$500,"&gt;=112300")&gt;0,"X","")</f>
      </c>
      <c r="K90" s="56" t="str">
        <f>IF(COUNTIFS('LANÇAMENTOS DIÁRIOS'!$G$5:$G$500,"F",'LANÇAMENTOS DIÁRIOS'!$C$5:$C$500,$A90,'LANÇAMENTOS DIÁRIOS'!$O$5:$O$500,"&lt;=112499",'LANÇAMENTOS DIÁRIOS'!$P$5:$P$500,"&gt;=112400")&gt;0,"X","")</f>
      </c>
      <c r="L90" s="56" t="str">
        <f>IF(COUNTIFS('LANÇAMENTOS DIÁRIOS'!$G$5:$G$500,"F",'LANÇAMENTOS DIÁRIOS'!$C$5:$C$500,$A90,'LANÇAMENTOS DIÁRIOS'!$O$5:$O$500,"&lt;=112599",'LANÇAMENTOS DIÁRIOS'!$P$5:$P$500,"&gt;=112500")&gt;0,"X","")</f>
      </c>
      <c r="M90" s="56" t="str">
        <f>IF(COUNTIFS('LANÇAMENTOS DIÁRIOS'!$G$5:$G$500,"F",'LANÇAMENTOS DIÁRIOS'!$C$5:$C$500,$A90,'LANÇAMENTOS DIÁRIOS'!$O$5:$O$500,"&lt;=112699",'LANÇAMENTOS DIÁRIOS'!$P$5:$P$500,"&gt;=112600")&gt;0,"X","")</f>
      </c>
      <c r="N90" s="56" t="str">
        <f>IF(COUNTIFS('LANÇAMENTOS DIÁRIOS'!$G$5:$G$500,"F",'LANÇAMENTOS DIÁRIOS'!$C$5:$C$500,$A90,'LANÇAMENTOS DIÁRIOS'!$O$5:$O$500,"&lt;=112799",'LANÇAMENTOS DIÁRIOS'!$P$5:$P$500,"&gt;=112700")&gt;0,"X","")</f>
      </c>
      <c r="O90" s="56" t="str">
        <f>IF(COUNTIFS('LANÇAMENTOS DIÁRIOS'!$G$5:$G$500,"F",'LANÇAMENTOS DIÁRIOS'!$C$5:$C$500,$A90,'LANÇAMENTOS DIÁRIOS'!$O$5:$O$500,"&lt;=112899",'LANÇAMENTOS DIÁRIOS'!$P$5:$P$500,"&gt;=112800")&gt;0,"X","")</f>
      </c>
      <c r="P90" s="56" t="str">
        <f>IF(COUNTIFS('LANÇAMENTOS DIÁRIOS'!$G$5:$G$500,"F",'LANÇAMENTOS DIÁRIOS'!$C$5:$C$500,$A90,'LANÇAMENTOS DIÁRIOS'!$O$5:$O$500,"&lt;=112999",'LANÇAMENTOS DIÁRIOS'!$P$5:$P$500,"&gt;=112900")&gt;0,"X","")</f>
      </c>
      <c r="Q90" s="56" t="str">
        <f>IF(COUNTIFS('LANÇAMENTOS DIÁRIOS'!$G$5:$G$500,"F",'LANÇAMENTOS DIÁRIOS'!$C$5:$C$500,$A90,'LANÇAMENTOS DIÁRIOS'!$O$5:$O$500,"&lt;=113099",'LANÇAMENTOS DIÁRIOS'!$P$5:$P$500,"&gt;=113000")&gt;0,"X","")</f>
      </c>
      <c r="R90" s="56" t="str">
        <f>IF(COUNTIFS('LANÇAMENTOS DIÁRIOS'!$G$5:$G$500,"F",'LANÇAMENTOS DIÁRIOS'!$C$5:$C$500,$A90,'LANÇAMENTOS DIÁRIOS'!$O$5:$O$500,"&lt;=113199",'LANÇAMENTOS DIÁRIOS'!$P$5:$P$500,"&gt;=113100")&gt;0,"X","")</f>
      </c>
      <c r="S90" s="56" t="str">
        <f>IF(COUNTIFS('LANÇAMENTOS DIÁRIOS'!$G$5:$G$500,"F",'LANÇAMENTOS DIÁRIOS'!$C$5:$C$500,$A90,'LANÇAMENTOS DIÁRIOS'!$O$5:$O$500,"&lt;=113299",'LANÇAMENTOS DIÁRIOS'!$P$5:$P$500,"&gt;=113200")&gt;0,"X","")</f>
      </c>
      <c r="T90" s="56" t="str">
        <f>IF(COUNTIFS('LANÇAMENTOS DIÁRIOS'!$G$5:$G$500,"F",'LANÇAMENTOS DIÁRIOS'!$C$5:$C$500,$A90,'LANÇAMENTOS DIÁRIOS'!$O$5:$O$500,"&lt;=113399",'LANÇAMENTOS DIÁRIOS'!$P$5:$P$500,"&gt;=113300")&gt;0,"X","")</f>
      </c>
      <c r="U90" s="56" t="str">
        <f>IF(COUNTIFS('LANÇAMENTOS DIÁRIOS'!$G$5:$G$500,"F",'LANÇAMENTOS DIÁRIOS'!$C$5:$C$500,$A90,'LANÇAMENTOS DIÁRIOS'!$O$5:$O$500,"&lt;=113499",'LANÇAMENTOS DIÁRIOS'!$P$5:$P$500,"&gt;=113400")&gt;0,"X","")</f>
      </c>
      <c r="V90" s="56" t="str">
        <f>IF(COUNTIFS('LANÇAMENTOS DIÁRIOS'!$G$5:$G$500,"F",'LANÇAMENTOS DIÁRIOS'!$C$5:$C$500,$A90,'LANÇAMENTOS DIÁRIOS'!$O$5:$O$500,"&lt;=113599",'LANÇAMENTOS DIÁRIOS'!$P$5:$P$500,"&gt;=113500")&gt;0,"X","")</f>
      </c>
      <c r="W90" s="56" t="str">
        <f>IF(COUNTIFS('LANÇAMENTOS DIÁRIOS'!$G$5:$G$500,"F",'LANÇAMENTOS DIÁRIOS'!$C$5:$C$500,$A90,'LANÇAMENTOS DIÁRIOS'!$O$5:$O$500,"&lt;=113699",'LANÇAMENTOS DIÁRIOS'!$P$5:$P$500,"&gt;=113600")&gt;0,"X","")</f>
      </c>
      <c r="X90" s="56" t="str">
        <f>IF(COUNTIFS('LANÇAMENTOS DIÁRIOS'!$G$5:$G$500,"F",'LANÇAMENTOS DIÁRIOS'!$C$5:$C$500,$A90,'LANÇAMENTOS DIÁRIOS'!$O$5:$O$500,"&lt;=113799",'LANÇAMENTOS DIÁRIOS'!$P$5:$P$500,"&gt;=113700")&gt;0,"X","")</f>
      </c>
      <c r="Y90" s="56" t="str">
        <f>IF(COUNTIFS('LANÇAMENTOS DIÁRIOS'!$G$5:$G$500,"F",'LANÇAMENTOS DIÁRIOS'!$C$5:$C$500,$A90,'LANÇAMENTOS DIÁRIOS'!$O$5:$O$500,"&lt;=113899",'LANÇAMENTOS DIÁRIOS'!$P$5:$P$500,"&gt;=113800")&gt;0,"X","")</f>
      </c>
      <c r="Z90" s="56" t="str">
        <f>IF(COUNTIFS('LANÇAMENTOS DIÁRIOS'!$G$5:$G$500,"F",'LANÇAMENTOS DIÁRIOS'!$C$5:$C$500,$A90,'LANÇAMENTOS DIÁRIOS'!$O$5:$O$500,"&lt;=113999",'LANÇAMENTOS DIÁRIOS'!$P$5:$P$500,"&gt;=113900")&gt;0,"X","")</f>
      </c>
      <c r="AA90" s="56" t="str">
        <f>IF(COUNTIFS('LANÇAMENTOS DIÁRIOS'!$G$5:$G$500,"F",'LANÇAMENTOS DIÁRIOS'!$C$5:$C$500,$A90,'LANÇAMENTOS DIÁRIOS'!$O$5:$O$500,"&lt;=114099",'LANÇAMENTOS DIÁRIOS'!$P$5:$P$500,"&gt;=114000")&gt;0,"X","")</f>
      </c>
      <c r="AB90" s="56" t="str">
        <f>IF(COUNTIFS('LANÇAMENTOS DIÁRIOS'!$G$5:$G$500,"F",'LANÇAMENTOS DIÁRIOS'!$C$5:$C$500,$A90,'LANÇAMENTOS DIÁRIOS'!$O$5:$O$500,"&lt;=114199",'LANÇAMENTOS DIÁRIOS'!$P$5:$P$500,"&gt;=114100")&gt;0,"X","")</f>
      </c>
      <c r="AC90" s="56" t="str">
        <f>IF(COUNTIFS('LANÇAMENTOS DIÁRIOS'!$G$5:$G$500,"F",'LANÇAMENTOS DIÁRIOS'!$C$5:$C$500,$A90,'LANÇAMENTOS DIÁRIOS'!$O$5:$O$500,"&lt;=114299",'LANÇAMENTOS DIÁRIOS'!$P$5:$P$500,"&gt;=114200")&gt;0,"X","")</f>
      </c>
      <c r="AD90" s="56" t="str">
        <f>IF(COUNTIFS('LANÇAMENTOS DIÁRIOS'!$G$5:$G$500,"F",'LANÇAMENTOS DIÁRIOS'!$C$5:$C$500,$A90,'LANÇAMENTOS DIÁRIOS'!$O$5:$O$500,"&lt;=114399",'LANÇAMENTOS DIÁRIOS'!$P$5:$P$500,"&gt;=114300")&gt;0,"X","")</f>
      </c>
      <c r="AE90" s="56" t="str">
        <f>IF(COUNTIFS('LANÇAMENTOS DIÁRIOS'!$G$5:$G$500,"F",'LANÇAMENTOS DIÁRIOS'!$C$5:$C$500,$A90,'LANÇAMENTOS DIÁRIOS'!$O$5:$O$500,"&lt;=114499",'LANÇAMENTOS DIÁRIOS'!$P$5:$P$500,"&gt;=114400")&gt;0,"X","")</f>
      </c>
      <c r="AF90" s="56" t="str">
        <f>IF(COUNTIFS('LANÇAMENTOS DIÁRIOS'!$G$5:$G$500,"F",'LANÇAMENTOS DIÁRIOS'!$C$5:$C$500,$A90,'LANÇAMENTOS DIÁRIOS'!$O$5:$O$500,"&lt;=114599",'LANÇAMENTOS DIÁRIOS'!$P$5:$P$500,"&gt;=114500")&gt;0,"X","")</f>
      </c>
      <c r="AG90" s="56" t="str">
        <f>IF(COUNTIFS('LANÇAMENTOS DIÁRIOS'!$G$5:$G$500,"F",'LANÇAMENTOS DIÁRIOS'!$C$5:$C$500,$A90,'LANÇAMENTOS DIÁRIOS'!$O$5:$O$500,"&lt;=114699",'LANÇAMENTOS DIÁRIOS'!$P$5:$P$500,"&gt;=114600")&gt;0,"X","")</f>
      </c>
      <c r="AH90" s="56" t="str">
        <f>IF(COUNTIFS('LANÇAMENTOS DIÁRIOS'!$G$5:$G$500,"F",'LANÇAMENTOS DIÁRIOS'!$C$5:$C$500,$A90,'LANÇAMENTOS DIÁRIOS'!$O$5:$O$500,"&lt;=114799",'LANÇAMENTOS DIÁRIOS'!$P$5:$P$500,"&gt;=114700")&gt;0,"X","")</f>
      </c>
      <c r="AI90" s="56" t="str">
        <f>IF(COUNTIFS('LANÇAMENTOS DIÁRIOS'!$G$5:$G$500,"F",'LANÇAMENTOS DIÁRIOS'!$C$5:$C$500,$A90,'LANÇAMENTOS DIÁRIOS'!$O$5:$O$500,"&lt;=114899",'LANÇAMENTOS DIÁRIOS'!$P$5:$P$500,"&gt;=114800")&gt;0,"X","")</f>
      </c>
      <c r="AJ90" s="56" t="str">
        <f>IF(COUNTIFS('LANÇAMENTOS DIÁRIOS'!$G$5:$G$500,"F",'LANÇAMENTOS DIÁRIOS'!$C$5:$C$500,$A90,'LANÇAMENTOS DIÁRIOS'!$O$5:$O$500,"&lt;=114999",'LANÇAMENTOS DIÁRIOS'!$P$5:$P$500,"&gt;=114900")&gt;0,"X","")</f>
      </c>
      <c r="AK90" s="56" t="str">
        <f>IF(COUNTIFS('LANÇAMENTOS DIÁRIOS'!$G$5:$G$500,"F",'LANÇAMENTOS DIÁRIOS'!$C$5:$C$500,$A90,'LANÇAMENTOS DIÁRIOS'!$O$5:$O$500,"&lt;=115099",'LANÇAMENTOS DIÁRIOS'!$P$5:$P$500,"&gt;=115000")&gt;0,"X","")</f>
      </c>
      <c r="AL90" s="56" t="str">
        <f>IF(COUNTIFS('LANÇAMENTOS DIÁRIOS'!$G$5:$G$500,"F",'LANÇAMENTOS DIÁRIOS'!$C$5:$C$500,$A90,'LANÇAMENTOS DIÁRIOS'!$O$5:$O$500,"&lt;=115199",'LANÇAMENTOS DIÁRIOS'!$P$5:$P$500,"&gt;=115100")&gt;0,"X","")</f>
      </c>
      <c r="AM90" s="56" t="str">
        <f>IF(COUNTIFS('LANÇAMENTOS DIÁRIOS'!$G$5:$G$500,"F",'LANÇAMENTOS DIÁRIOS'!$C$5:$C$500,$A90,'LANÇAMENTOS DIÁRIOS'!$O$5:$O$500,"&lt;=115299",'LANÇAMENTOS DIÁRIOS'!$P$5:$P$500,"&gt;=115200")&gt;0,"X","")</f>
      </c>
      <c r="AN90" s="56" t="str">
        <f>IF(COUNTIFS('LANÇAMENTOS DIÁRIOS'!$G$5:$G$500,"F",'LANÇAMENTOS DIÁRIOS'!$C$5:$C$500,$A90,'LANÇAMENTOS DIÁRIOS'!$O$5:$O$500,"&lt;=115399",'LANÇAMENTOS DIÁRIOS'!$P$5:$P$500,"&gt;=115300")&gt;0,"X","")</f>
      </c>
      <c r="AO90" s="56" t="str">
        <f>IF(COUNTIFS('LANÇAMENTOS DIÁRIOS'!$G$5:$G$500,"F",'LANÇAMENTOS DIÁRIOS'!$C$5:$C$500,$A90,'LANÇAMENTOS DIÁRIOS'!$O$5:$O$500,"&lt;=115499",'LANÇAMENTOS DIÁRIOS'!$P$5:$P$500,"&gt;=115400")&gt;0,"X","")</f>
      </c>
      <c r="AP90" s="56" t="str">
        <f>IF(COUNTIFS('LANÇAMENTOS DIÁRIOS'!$G$5:$G$500,"F",'LANÇAMENTOS DIÁRIOS'!$C$5:$C$500,$A90,'LANÇAMENTOS DIÁRIOS'!$O$5:$O$500,"&lt;=115599",'LANÇAMENTOS DIÁRIOS'!$P$5:$P$500,"&gt;=115500")&gt;0,"X","")</f>
      </c>
      <c r="AQ90" s="56" t="str">
        <f>IF(COUNTIFS('LANÇAMENTOS DIÁRIOS'!$G$5:$G$500,"F",'LANÇAMENTOS DIÁRIOS'!$C$5:$C$500,$A90,'LANÇAMENTOS DIÁRIOS'!$O$5:$O$500,"&lt;=115699",'LANÇAMENTOS DIÁRIOS'!$P$5:$P$500,"&gt;=115600")&gt;0,"X","")</f>
      </c>
      <c r="AR90" s="56" t="str">
        <f>IF(COUNTIFS('LANÇAMENTOS DIÁRIOS'!$G$5:$G$500,"F",'LANÇAMENTOS DIÁRIOS'!$C$5:$C$500,$A90,'LANÇAMENTOS DIÁRIOS'!$O$5:$O$500,"&lt;=115799",'LANÇAMENTOS DIÁRIOS'!$P$5:$P$500,"&gt;=115700")&gt;0,"X","")</f>
      </c>
      <c r="AS90" s="56" t="str">
        <f>IF(COUNTIFS('LANÇAMENTOS DIÁRIOS'!$G$5:$G$500,"F",'LANÇAMENTOS DIÁRIOS'!$C$5:$C$500,$A90,'LANÇAMENTOS DIÁRIOS'!$O$5:$O$500,"&lt;=115899",'LANÇAMENTOS DIÁRIOS'!$P$5:$P$500,"&gt;=115800")&gt;0,"X","")</f>
      </c>
      <c r="AT90" s="56" t="str">
        <f>IF(COUNTIFS('LANÇAMENTOS DIÁRIOS'!$G$5:$G$500,"F",'LANÇAMENTOS DIÁRIOS'!$C$5:$C$500,$A90,'LANÇAMENTOS DIÁRIOS'!$O$5:$O$500,"&lt;=115999",'LANÇAMENTOS DIÁRIOS'!$P$5:$P$500,"&gt;=115900")&gt;0,"X","")</f>
      </c>
      <c r="AU90" s="56" t="str">
        <f>IF(COUNTIFS('LANÇAMENTOS DIÁRIOS'!$G$5:$G$500,"F",'LANÇAMENTOS DIÁRIOS'!$C$5:$C$500,$A90,'LANÇAMENTOS DIÁRIOS'!$O$5:$O$500,"&lt;=116099",'LANÇAMENTOS DIÁRIOS'!$P$5:$P$500,"&gt;=116000")&gt;0,"X","")</f>
      </c>
      <c r="AV90" s="56" t="str">
        <f>IF(COUNTIFS('LANÇAMENTOS DIÁRIOS'!$G$5:$G$500,"F",'LANÇAMENTOS DIÁRIOS'!$C$5:$C$500,$A90,'LANÇAMENTOS DIÁRIOS'!$O$5:$O$500,"&lt;=116199",'LANÇAMENTOS DIÁRIOS'!$P$5:$P$500,"&gt;=116100")&gt;0,"X","")</f>
      </c>
      <c r="AW90" s="56" t="str">
        <f>IF(COUNTIFS('LANÇAMENTOS DIÁRIOS'!$G$5:$G$500,"F",'LANÇAMENTOS DIÁRIOS'!$C$5:$C$500,$A90,'LANÇAMENTOS DIÁRIOS'!$O$5:$O$500,"&lt;=116299",'LANÇAMENTOS DIÁRIOS'!$P$5:$P$500,"&gt;=116200")&gt;0,"X","")</f>
      </c>
      <c r="AX90" s="56" t="str">
        <f>IF(COUNTIFS('LANÇAMENTOS DIÁRIOS'!$G$5:$G$500,"F",'LANÇAMENTOS DIÁRIOS'!$C$5:$C$500,$A90,'LANÇAMENTOS DIÁRIOS'!$O$5:$O$500,"&lt;=116399",'LANÇAMENTOS DIÁRIOS'!$P$5:$P$500,"&gt;=116300")&gt;0,"X","")</f>
      </c>
      <c r="AY90" s="56" t="str">
        <f>IF(COUNTIFS('LANÇAMENTOS DIÁRIOS'!$G$5:$G$500,"F",'LANÇAMENTOS DIÁRIOS'!$C$5:$C$500,$A90,'LANÇAMENTOS DIÁRIOS'!$O$5:$O$500,"&lt;=116499",'LANÇAMENTOS DIÁRIOS'!$P$5:$P$500,"&gt;=116400")&gt;0,"X","")</f>
      </c>
      <c r="AZ90" s="56" t="str">
        <f>IF(COUNTIFS('LANÇAMENTOS DIÁRIOS'!$G$5:$G$500,"F",'LANÇAMENTOS DIÁRIOS'!$C$5:$C$500,$A90,'LANÇAMENTOS DIÁRIOS'!$O$5:$O$500,"&lt;=116599",'LANÇAMENTOS DIÁRIOS'!$P$5:$P$500,"&gt;=116500")&gt;0,"X","")</f>
      </c>
      <c r="BA90" s="56" t="str">
        <f>IF(COUNTIFS('LANÇAMENTOS DIÁRIOS'!$G$5:$G$500,"F",'LANÇAMENTOS DIÁRIOS'!$C$5:$C$500,$A90,'LANÇAMENTOS DIÁRIOS'!$O$5:$O$500,"&lt;=116699",'LANÇAMENTOS DIÁRIOS'!$P$5:$P$500,"&gt;=116600")&gt;0,"X","")</f>
      </c>
      <c r="BB90" s="56" t="str">
        <f>IF(COUNTIFS('LANÇAMENTOS DIÁRIOS'!$G$5:$G$500,"F",'LANÇAMENTOS DIÁRIOS'!$C$5:$C$500,$A90,'LANÇAMENTOS DIÁRIOS'!$O$5:$O$500,"&lt;=116799",'LANÇAMENTOS DIÁRIOS'!$P$5:$P$500,"&gt;=116700")&gt;0,"X","")</f>
      </c>
      <c r="BC90" s="56" t="str">
        <f>IF(COUNTIFS('LANÇAMENTOS DIÁRIOS'!$G$5:$G$500,"F",'LANÇAMENTOS DIÁRIOS'!$C$5:$C$500,$A90,'LANÇAMENTOS DIÁRIOS'!$O$5:$O$500,"&lt;=116899",'LANÇAMENTOS DIÁRIOS'!$P$5:$P$500,"&gt;=116800")&gt;0,"X","")</f>
      </c>
      <c r="BD90" s="56" t="str">
        <f>IF(COUNTIFS('LANÇAMENTOS DIÁRIOS'!$G$5:$G$500,"F",'LANÇAMENTOS DIÁRIOS'!$C$5:$C$500,$A90,'LANÇAMENTOS DIÁRIOS'!$O$5:$O$500,"&lt;=116999",'LANÇAMENTOS DIÁRIOS'!$P$5:$P$500,"&gt;=116900")&gt;0,"X","")</f>
      </c>
      <c r="BE90" s="56" t="str">
        <f>IF(COUNTIFS('LANÇAMENTOS DIÁRIOS'!$G$5:$G$500,"F",'LANÇAMENTOS DIÁRIOS'!$C$5:$C$500,$A90,'LANÇAMENTOS DIÁRIOS'!$O$5:$O$500,"&lt;=117099",'LANÇAMENTOS DIÁRIOS'!$P$5:$P$500,"&gt;=117000")&gt;0,"X","")</f>
      </c>
      <c r="BF90" s="56" t="str">
        <f>IF(COUNTIFS('LANÇAMENTOS DIÁRIOS'!$G$5:$G$500,"F",'LANÇAMENTOS DIÁRIOS'!$C$5:$C$500,$A90,'LANÇAMENTOS DIÁRIOS'!$O$5:$O$500,"&lt;=117199",'LANÇAMENTOS DIÁRIOS'!$P$5:$P$500,"&gt;=117100")&gt;0,"X","")</f>
      </c>
      <c r="BG90" s="56" t="str">
        <f>IF(COUNTIFS('LANÇAMENTOS DIÁRIOS'!$G$5:$G$500,"F",'LANÇAMENTOS DIÁRIOS'!$C$5:$C$500,$A90,'LANÇAMENTOS DIÁRIOS'!$O$5:$O$500,"&lt;=117219",'LANÇAMENTOS DIÁRIOS'!$P$5:$P$500,"&gt;=117200")&gt;0,"X","")</f>
      </c>
      <c r="BH90" s="56" t="str">
        <f>IF(COUNTIFS('LANÇAMENTOS DIÁRIOS'!$G$5:$G$500,"F",'LANÇAMENTOS DIÁRIOS'!$C$5:$C$500,$A90,'LANÇAMENTOS DIÁRIOS'!$O$5:$O$500,"&lt;=117220",'LANÇAMENTOS DIÁRIOS'!$P$5:$P$500,"&gt;=117220")&gt;0,"X","")</f>
      </c>
    </row>
    <row r="91">
      <c r="A91" s="51" t="str">
        <v>Imprimadura impermeabilizante, sem fornecimento de material</v>
      </c>
      <c r="B91" s="56" t="str">
        <f>IF(COUNTIFS('LANÇAMENTOS DIÁRIOS'!$G$5:$G$500,"F",'LANÇAMENTOS DIÁRIOS'!$C$5:$C$500,$A91,'LANÇAMENTOS DIÁRIOS'!$O$5:$O$500,"&lt;=111599",'LANÇAMENTOS DIÁRIOS'!$P$5:$P$500,"&gt;=111500")&gt;0,"X","")</f>
      </c>
      <c r="C91" s="56" t="str">
        <f>IF(COUNTIFS('LANÇAMENTOS DIÁRIOS'!$G$5:$G$500,"F",'LANÇAMENTOS DIÁRIOS'!$C$5:$C$500,$A91,'LANÇAMENTOS DIÁRIOS'!$O$5:$O$500,"&lt;=111699",'LANÇAMENTOS DIÁRIOS'!$P$5:$P$500,"&gt;=111600")&gt;0,"X","")</f>
      </c>
      <c r="D91" s="56" t="str">
        <f>IF(COUNTIFS('LANÇAMENTOS DIÁRIOS'!$G$5:$G$500,"F",'LANÇAMENTOS DIÁRIOS'!$C$5:$C$500,$A91,'LANÇAMENTOS DIÁRIOS'!$O$5:$O$500,"&lt;=111799",'LANÇAMENTOS DIÁRIOS'!$P$5:$P$500,"&gt;=111700")&gt;0,"X","")</f>
      </c>
      <c r="E91" s="56" t="str">
        <f>IF(COUNTIFS('LANÇAMENTOS DIÁRIOS'!$G$5:$G$500,"F",'LANÇAMENTOS DIÁRIOS'!$C$5:$C$500,$A91,'LANÇAMENTOS DIÁRIOS'!$O$5:$O$500,"&lt;=111899",'LANÇAMENTOS DIÁRIOS'!$P$5:$P$500,"&gt;=111800")&gt;0,"X","")</f>
      </c>
      <c r="F91" s="56" t="str">
        <f>IF(COUNTIFS('LANÇAMENTOS DIÁRIOS'!$G$5:$G$500,"F",'LANÇAMENTOS DIÁRIOS'!$C$5:$C$500,$A91,'LANÇAMENTOS DIÁRIOS'!$O$5:$O$500,"&lt;=111999",'LANÇAMENTOS DIÁRIOS'!$P$5:$P$500,"&gt;=111900")&gt;0,"X","")</f>
      </c>
      <c r="G91" s="56" t="str">
        <f>IF(COUNTIFS('LANÇAMENTOS DIÁRIOS'!$G$5:$G$500,"F",'LANÇAMENTOS DIÁRIOS'!$C$5:$C$500,$A91,'LANÇAMENTOS DIÁRIOS'!$O$5:$O$500,"&lt;=112099",'LANÇAMENTOS DIÁRIOS'!$P$5:$P$500,"&gt;=112000")&gt;0,"X","")</f>
      </c>
      <c r="H91" s="56" t="str">
        <f>IF(COUNTIFS('LANÇAMENTOS DIÁRIOS'!$G$5:$G$500,"F",'LANÇAMENTOS DIÁRIOS'!$C$5:$C$500,$A91,'LANÇAMENTOS DIÁRIOS'!$O$5:$O$500,"&lt;=112199",'LANÇAMENTOS DIÁRIOS'!$P$5:$P$500,"&gt;=112100")&gt;0,"X","")</f>
      </c>
      <c r="I91" s="56" t="str">
        <f>IF(COUNTIFS('LANÇAMENTOS DIÁRIOS'!$G$5:$G$500,"F",'LANÇAMENTOS DIÁRIOS'!$C$5:$C$500,$A91,'LANÇAMENTOS DIÁRIOS'!$O$5:$O$500,"&lt;=112299",'LANÇAMENTOS DIÁRIOS'!$P$5:$P$500,"&gt;=112200")&gt;0,"X","")</f>
      </c>
      <c r="J91" s="56" t="str">
        <f>IF(COUNTIFS('LANÇAMENTOS DIÁRIOS'!$G$5:$G$500,"F",'LANÇAMENTOS DIÁRIOS'!$C$5:$C$500,$A91,'LANÇAMENTOS DIÁRIOS'!$O$5:$O$500,"&lt;=112399",'LANÇAMENTOS DIÁRIOS'!$P$5:$P$500,"&gt;=112300")&gt;0,"X","")</f>
      </c>
      <c r="K91" s="56" t="str">
        <f>IF(COUNTIFS('LANÇAMENTOS DIÁRIOS'!$G$5:$G$500,"F",'LANÇAMENTOS DIÁRIOS'!$C$5:$C$500,$A91,'LANÇAMENTOS DIÁRIOS'!$O$5:$O$500,"&lt;=112499",'LANÇAMENTOS DIÁRIOS'!$P$5:$P$500,"&gt;=112400")&gt;0,"X","")</f>
      </c>
      <c r="L91" s="56" t="str">
        <f>IF(COUNTIFS('LANÇAMENTOS DIÁRIOS'!$G$5:$G$500,"F",'LANÇAMENTOS DIÁRIOS'!$C$5:$C$500,$A91,'LANÇAMENTOS DIÁRIOS'!$O$5:$O$500,"&lt;=112599",'LANÇAMENTOS DIÁRIOS'!$P$5:$P$500,"&gt;=112500")&gt;0,"X","")</f>
      </c>
      <c r="M91" s="56" t="str">
        <f>IF(COUNTIFS('LANÇAMENTOS DIÁRIOS'!$G$5:$G$500,"F",'LANÇAMENTOS DIÁRIOS'!$C$5:$C$500,$A91,'LANÇAMENTOS DIÁRIOS'!$O$5:$O$500,"&lt;=112699",'LANÇAMENTOS DIÁRIOS'!$P$5:$P$500,"&gt;=112600")&gt;0,"X","")</f>
      </c>
      <c r="N91" s="56" t="str">
        <f>IF(COUNTIFS('LANÇAMENTOS DIÁRIOS'!$G$5:$G$500,"F",'LANÇAMENTOS DIÁRIOS'!$C$5:$C$500,$A91,'LANÇAMENTOS DIÁRIOS'!$O$5:$O$500,"&lt;=112799",'LANÇAMENTOS DIÁRIOS'!$P$5:$P$500,"&gt;=112700")&gt;0,"X","")</f>
      </c>
      <c r="O91" s="56" t="str">
        <f>IF(COUNTIFS('LANÇAMENTOS DIÁRIOS'!$G$5:$G$500,"F",'LANÇAMENTOS DIÁRIOS'!$C$5:$C$500,$A91,'LANÇAMENTOS DIÁRIOS'!$O$5:$O$500,"&lt;=112899",'LANÇAMENTOS DIÁRIOS'!$P$5:$P$500,"&gt;=112800")&gt;0,"X","")</f>
      </c>
      <c r="P91" s="56" t="str">
        <f>IF(COUNTIFS('LANÇAMENTOS DIÁRIOS'!$G$5:$G$500,"F",'LANÇAMENTOS DIÁRIOS'!$C$5:$C$500,$A91,'LANÇAMENTOS DIÁRIOS'!$O$5:$O$500,"&lt;=112999",'LANÇAMENTOS DIÁRIOS'!$P$5:$P$500,"&gt;=112900")&gt;0,"X","")</f>
      </c>
      <c r="Q91" s="56" t="str">
        <f>IF(COUNTIFS('LANÇAMENTOS DIÁRIOS'!$G$5:$G$500,"F",'LANÇAMENTOS DIÁRIOS'!$C$5:$C$500,$A91,'LANÇAMENTOS DIÁRIOS'!$O$5:$O$500,"&lt;=113099",'LANÇAMENTOS DIÁRIOS'!$P$5:$P$500,"&gt;=113000")&gt;0,"X","")</f>
      </c>
      <c r="R91" s="56" t="str">
        <f>IF(COUNTIFS('LANÇAMENTOS DIÁRIOS'!$G$5:$G$500,"F",'LANÇAMENTOS DIÁRIOS'!$C$5:$C$500,$A91,'LANÇAMENTOS DIÁRIOS'!$O$5:$O$500,"&lt;=113199",'LANÇAMENTOS DIÁRIOS'!$P$5:$P$500,"&gt;=113100")&gt;0,"X","")</f>
      </c>
      <c r="S91" s="56" t="str">
        <f>IF(COUNTIFS('LANÇAMENTOS DIÁRIOS'!$G$5:$G$500,"F",'LANÇAMENTOS DIÁRIOS'!$C$5:$C$500,$A91,'LANÇAMENTOS DIÁRIOS'!$O$5:$O$500,"&lt;=113299",'LANÇAMENTOS DIÁRIOS'!$P$5:$P$500,"&gt;=113200")&gt;0,"X","")</f>
      </c>
      <c r="T91" s="56" t="str">
        <f>IF(COUNTIFS('LANÇAMENTOS DIÁRIOS'!$G$5:$G$500,"F",'LANÇAMENTOS DIÁRIOS'!$C$5:$C$500,$A91,'LANÇAMENTOS DIÁRIOS'!$O$5:$O$500,"&lt;=113399",'LANÇAMENTOS DIÁRIOS'!$P$5:$P$500,"&gt;=113300")&gt;0,"X","")</f>
      </c>
      <c r="U91" s="56" t="str">
        <f>IF(COUNTIFS('LANÇAMENTOS DIÁRIOS'!$G$5:$G$500,"F",'LANÇAMENTOS DIÁRIOS'!$C$5:$C$500,$A91,'LANÇAMENTOS DIÁRIOS'!$O$5:$O$500,"&lt;=113499",'LANÇAMENTOS DIÁRIOS'!$P$5:$P$500,"&gt;=113400")&gt;0,"X","")</f>
      </c>
      <c r="V91" s="56" t="str">
        <f>IF(COUNTIFS('LANÇAMENTOS DIÁRIOS'!$G$5:$G$500,"F",'LANÇAMENTOS DIÁRIOS'!$C$5:$C$500,$A91,'LANÇAMENTOS DIÁRIOS'!$O$5:$O$500,"&lt;=113599",'LANÇAMENTOS DIÁRIOS'!$P$5:$P$500,"&gt;=113500")&gt;0,"X","")</f>
      </c>
      <c r="W91" s="56" t="str">
        <f>IF(COUNTIFS('LANÇAMENTOS DIÁRIOS'!$G$5:$G$500,"F",'LANÇAMENTOS DIÁRIOS'!$C$5:$C$500,$A91,'LANÇAMENTOS DIÁRIOS'!$O$5:$O$500,"&lt;=113699",'LANÇAMENTOS DIÁRIOS'!$P$5:$P$500,"&gt;=113600")&gt;0,"X","")</f>
      </c>
      <c r="X91" s="56" t="str">
        <f>IF(COUNTIFS('LANÇAMENTOS DIÁRIOS'!$G$5:$G$500,"F",'LANÇAMENTOS DIÁRIOS'!$C$5:$C$500,$A91,'LANÇAMENTOS DIÁRIOS'!$O$5:$O$500,"&lt;=113799",'LANÇAMENTOS DIÁRIOS'!$P$5:$P$500,"&gt;=113700")&gt;0,"X","")</f>
      </c>
      <c r="Y91" s="56" t="str">
        <f>IF(COUNTIFS('LANÇAMENTOS DIÁRIOS'!$G$5:$G$500,"F",'LANÇAMENTOS DIÁRIOS'!$C$5:$C$500,$A91,'LANÇAMENTOS DIÁRIOS'!$O$5:$O$500,"&lt;=113899",'LANÇAMENTOS DIÁRIOS'!$P$5:$P$500,"&gt;=113800")&gt;0,"X","")</f>
      </c>
      <c r="Z91" s="56" t="str">
        <f>IF(COUNTIFS('LANÇAMENTOS DIÁRIOS'!$G$5:$G$500,"F",'LANÇAMENTOS DIÁRIOS'!$C$5:$C$500,$A91,'LANÇAMENTOS DIÁRIOS'!$O$5:$O$500,"&lt;=113999",'LANÇAMENTOS DIÁRIOS'!$P$5:$P$500,"&gt;=113900")&gt;0,"X","")</f>
      </c>
      <c r="AA91" s="56" t="str">
        <f>IF(COUNTIFS('LANÇAMENTOS DIÁRIOS'!$G$5:$G$500,"F",'LANÇAMENTOS DIÁRIOS'!$C$5:$C$500,$A91,'LANÇAMENTOS DIÁRIOS'!$O$5:$O$500,"&lt;=114099",'LANÇAMENTOS DIÁRIOS'!$P$5:$P$500,"&gt;=114000")&gt;0,"X","")</f>
      </c>
      <c r="AB91" s="56" t="str">
        <f>IF(COUNTIFS('LANÇAMENTOS DIÁRIOS'!$G$5:$G$500,"F",'LANÇAMENTOS DIÁRIOS'!$C$5:$C$500,$A91,'LANÇAMENTOS DIÁRIOS'!$O$5:$O$500,"&lt;=114199",'LANÇAMENTOS DIÁRIOS'!$P$5:$P$500,"&gt;=114100")&gt;0,"X","")</f>
      </c>
      <c r="AC91" s="56" t="str">
        <f>IF(COUNTIFS('LANÇAMENTOS DIÁRIOS'!$G$5:$G$500,"F",'LANÇAMENTOS DIÁRIOS'!$C$5:$C$500,$A91,'LANÇAMENTOS DIÁRIOS'!$O$5:$O$500,"&lt;=114299",'LANÇAMENTOS DIÁRIOS'!$P$5:$P$500,"&gt;=114200")&gt;0,"X","")</f>
      </c>
      <c r="AD91" s="56" t="str">
        <f>IF(COUNTIFS('LANÇAMENTOS DIÁRIOS'!$G$5:$G$500,"F",'LANÇAMENTOS DIÁRIOS'!$C$5:$C$500,$A91,'LANÇAMENTOS DIÁRIOS'!$O$5:$O$500,"&lt;=114399",'LANÇAMENTOS DIÁRIOS'!$P$5:$P$500,"&gt;=114300")&gt;0,"X","")</f>
      </c>
      <c r="AE91" s="56" t="str">
        <f>IF(COUNTIFS('LANÇAMENTOS DIÁRIOS'!$G$5:$G$500,"F",'LANÇAMENTOS DIÁRIOS'!$C$5:$C$500,$A91,'LANÇAMENTOS DIÁRIOS'!$O$5:$O$500,"&lt;=114499",'LANÇAMENTOS DIÁRIOS'!$P$5:$P$500,"&gt;=114400")&gt;0,"X","")</f>
      </c>
      <c r="AF91" s="56" t="str">
        <f>IF(COUNTIFS('LANÇAMENTOS DIÁRIOS'!$G$5:$G$500,"F",'LANÇAMENTOS DIÁRIOS'!$C$5:$C$500,$A91,'LANÇAMENTOS DIÁRIOS'!$O$5:$O$500,"&lt;=114599",'LANÇAMENTOS DIÁRIOS'!$P$5:$P$500,"&gt;=114500")&gt;0,"X","")</f>
      </c>
      <c r="AG91" s="56" t="str">
        <f>IF(COUNTIFS('LANÇAMENTOS DIÁRIOS'!$G$5:$G$500,"F",'LANÇAMENTOS DIÁRIOS'!$C$5:$C$500,$A91,'LANÇAMENTOS DIÁRIOS'!$O$5:$O$500,"&lt;=114699",'LANÇAMENTOS DIÁRIOS'!$P$5:$P$500,"&gt;=114600")&gt;0,"X","")</f>
      </c>
      <c r="AH91" s="56" t="str">
        <f>IF(COUNTIFS('LANÇAMENTOS DIÁRIOS'!$G$5:$G$500,"F",'LANÇAMENTOS DIÁRIOS'!$C$5:$C$500,$A91,'LANÇAMENTOS DIÁRIOS'!$O$5:$O$500,"&lt;=114799",'LANÇAMENTOS DIÁRIOS'!$P$5:$P$500,"&gt;=114700")&gt;0,"X","")</f>
      </c>
      <c r="AI91" s="56" t="str">
        <f>IF(COUNTIFS('LANÇAMENTOS DIÁRIOS'!$G$5:$G$500,"F",'LANÇAMENTOS DIÁRIOS'!$C$5:$C$500,$A91,'LANÇAMENTOS DIÁRIOS'!$O$5:$O$500,"&lt;=114899",'LANÇAMENTOS DIÁRIOS'!$P$5:$P$500,"&gt;=114800")&gt;0,"X","")</f>
      </c>
      <c r="AJ91" s="56" t="str">
        <f>IF(COUNTIFS('LANÇAMENTOS DIÁRIOS'!$G$5:$G$500,"F",'LANÇAMENTOS DIÁRIOS'!$C$5:$C$500,$A91,'LANÇAMENTOS DIÁRIOS'!$O$5:$O$500,"&lt;=114999",'LANÇAMENTOS DIÁRIOS'!$P$5:$P$500,"&gt;=114900")&gt;0,"X","")</f>
      </c>
      <c r="AK91" s="56" t="str">
        <f>IF(COUNTIFS('LANÇAMENTOS DIÁRIOS'!$G$5:$G$500,"F",'LANÇAMENTOS DIÁRIOS'!$C$5:$C$500,$A91,'LANÇAMENTOS DIÁRIOS'!$O$5:$O$500,"&lt;=115099",'LANÇAMENTOS DIÁRIOS'!$P$5:$P$500,"&gt;=115000")&gt;0,"X","")</f>
      </c>
      <c r="AL91" s="56" t="str">
        <f>IF(COUNTIFS('LANÇAMENTOS DIÁRIOS'!$G$5:$G$500,"F",'LANÇAMENTOS DIÁRIOS'!$C$5:$C$500,$A91,'LANÇAMENTOS DIÁRIOS'!$O$5:$O$500,"&lt;=115199",'LANÇAMENTOS DIÁRIOS'!$P$5:$P$500,"&gt;=115100")&gt;0,"X","")</f>
      </c>
      <c r="AM91" s="56" t="str">
        <f>IF(COUNTIFS('LANÇAMENTOS DIÁRIOS'!$G$5:$G$500,"F",'LANÇAMENTOS DIÁRIOS'!$C$5:$C$500,$A91,'LANÇAMENTOS DIÁRIOS'!$O$5:$O$500,"&lt;=115299",'LANÇAMENTOS DIÁRIOS'!$P$5:$P$500,"&gt;=115200")&gt;0,"X","")</f>
      </c>
      <c r="AN91" s="56" t="str">
        <f>IF(COUNTIFS('LANÇAMENTOS DIÁRIOS'!$G$5:$G$500,"F",'LANÇAMENTOS DIÁRIOS'!$C$5:$C$500,$A91,'LANÇAMENTOS DIÁRIOS'!$O$5:$O$500,"&lt;=115399",'LANÇAMENTOS DIÁRIOS'!$P$5:$P$500,"&gt;=115300")&gt;0,"X","")</f>
      </c>
      <c r="AO91" s="56" t="str">
        <f>IF(COUNTIFS('LANÇAMENTOS DIÁRIOS'!$G$5:$G$500,"F",'LANÇAMENTOS DIÁRIOS'!$C$5:$C$500,$A91,'LANÇAMENTOS DIÁRIOS'!$O$5:$O$500,"&lt;=115499",'LANÇAMENTOS DIÁRIOS'!$P$5:$P$500,"&gt;=115400")&gt;0,"X","")</f>
      </c>
      <c r="AP91" s="56" t="str">
        <f>IF(COUNTIFS('LANÇAMENTOS DIÁRIOS'!$G$5:$G$500,"F",'LANÇAMENTOS DIÁRIOS'!$C$5:$C$500,$A91,'LANÇAMENTOS DIÁRIOS'!$O$5:$O$500,"&lt;=115599",'LANÇAMENTOS DIÁRIOS'!$P$5:$P$500,"&gt;=115500")&gt;0,"X","")</f>
      </c>
      <c r="AQ91" s="56" t="str">
        <f>IF(COUNTIFS('LANÇAMENTOS DIÁRIOS'!$G$5:$G$500,"F",'LANÇAMENTOS DIÁRIOS'!$C$5:$C$500,$A91,'LANÇAMENTOS DIÁRIOS'!$O$5:$O$500,"&lt;=115699",'LANÇAMENTOS DIÁRIOS'!$P$5:$P$500,"&gt;=115600")&gt;0,"X","")</f>
      </c>
      <c r="AR91" s="56" t="str">
        <f>IF(COUNTIFS('LANÇAMENTOS DIÁRIOS'!$G$5:$G$500,"F",'LANÇAMENTOS DIÁRIOS'!$C$5:$C$500,$A91,'LANÇAMENTOS DIÁRIOS'!$O$5:$O$500,"&lt;=115799",'LANÇAMENTOS DIÁRIOS'!$P$5:$P$500,"&gt;=115700")&gt;0,"X","")</f>
      </c>
      <c r="AS91" s="56" t="str">
        <f>IF(COUNTIFS('LANÇAMENTOS DIÁRIOS'!$G$5:$G$500,"F",'LANÇAMENTOS DIÁRIOS'!$C$5:$C$500,$A91,'LANÇAMENTOS DIÁRIOS'!$O$5:$O$500,"&lt;=115899",'LANÇAMENTOS DIÁRIOS'!$P$5:$P$500,"&gt;=115800")&gt;0,"X","")</f>
      </c>
      <c r="AT91" s="56" t="str">
        <f>IF(COUNTIFS('LANÇAMENTOS DIÁRIOS'!$G$5:$G$500,"F",'LANÇAMENTOS DIÁRIOS'!$C$5:$C$500,$A91,'LANÇAMENTOS DIÁRIOS'!$O$5:$O$500,"&lt;=115999",'LANÇAMENTOS DIÁRIOS'!$P$5:$P$500,"&gt;=115900")&gt;0,"X","")</f>
      </c>
      <c r="AU91" s="56" t="str">
        <f>IF(COUNTIFS('LANÇAMENTOS DIÁRIOS'!$G$5:$G$500,"F",'LANÇAMENTOS DIÁRIOS'!$C$5:$C$500,$A91,'LANÇAMENTOS DIÁRIOS'!$O$5:$O$500,"&lt;=116099",'LANÇAMENTOS DIÁRIOS'!$P$5:$P$500,"&gt;=116000")&gt;0,"X","")</f>
      </c>
      <c r="AV91" s="56" t="str">
        <f>IF(COUNTIFS('LANÇAMENTOS DIÁRIOS'!$G$5:$G$500,"F",'LANÇAMENTOS DIÁRIOS'!$C$5:$C$500,$A91,'LANÇAMENTOS DIÁRIOS'!$O$5:$O$500,"&lt;=116199",'LANÇAMENTOS DIÁRIOS'!$P$5:$P$500,"&gt;=116100")&gt;0,"X","")</f>
      </c>
      <c r="AW91" s="56" t="str">
        <f>IF(COUNTIFS('LANÇAMENTOS DIÁRIOS'!$G$5:$G$500,"F",'LANÇAMENTOS DIÁRIOS'!$C$5:$C$500,$A91,'LANÇAMENTOS DIÁRIOS'!$O$5:$O$500,"&lt;=116299",'LANÇAMENTOS DIÁRIOS'!$P$5:$P$500,"&gt;=116200")&gt;0,"X","")</f>
      </c>
      <c r="AX91" s="56" t="str">
        <f>IF(COUNTIFS('LANÇAMENTOS DIÁRIOS'!$G$5:$G$500,"F",'LANÇAMENTOS DIÁRIOS'!$C$5:$C$500,$A91,'LANÇAMENTOS DIÁRIOS'!$O$5:$O$500,"&lt;=116399",'LANÇAMENTOS DIÁRIOS'!$P$5:$P$500,"&gt;=116300")&gt;0,"X","")</f>
      </c>
      <c r="AY91" s="56" t="str">
        <f>IF(COUNTIFS('LANÇAMENTOS DIÁRIOS'!$G$5:$G$500,"F",'LANÇAMENTOS DIÁRIOS'!$C$5:$C$500,$A91,'LANÇAMENTOS DIÁRIOS'!$O$5:$O$500,"&lt;=116499",'LANÇAMENTOS DIÁRIOS'!$P$5:$P$500,"&gt;=116400")&gt;0,"X","")</f>
      </c>
      <c r="AZ91" s="56" t="str">
        <f>IF(COUNTIFS('LANÇAMENTOS DIÁRIOS'!$G$5:$G$500,"F",'LANÇAMENTOS DIÁRIOS'!$C$5:$C$500,$A91,'LANÇAMENTOS DIÁRIOS'!$O$5:$O$500,"&lt;=116599",'LANÇAMENTOS DIÁRIOS'!$P$5:$P$500,"&gt;=116500")&gt;0,"X","")</f>
      </c>
      <c r="BA91" s="56" t="str">
        <f>IF(COUNTIFS('LANÇAMENTOS DIÁRIOS'!$G$5:$G$500,"F",'LANÇAMENTOS DIÁRIOS'!$C$5:$C$500,$A91,'LANÇAMENTOS DIÁRIOS'!$O$5:$O$500,"&lt;=116699",'LANÇAMENTOS DIÁRIOS'!$P$5:$P$500,"&gt;=116600")&gt;0,"X","")</f>
      </c>
      <c r="BB91" s="56" t="str">
        <f>IF(COUNTIFS('LANÇAMENTOS DIÁRIOS'!$G$5:$G$500,"F",'LANÇAMENTOS DIÁRIOS'!$C$5:$C$500,$A91,'LANÇAMENTOS DIÁRIOS'!$O$5:$O$500,"&lt;=116799",'LANÇAMENTOS DIÁRIOS'!$P$5:$P$500,"&gt;=116700")&gt;0,"X","")</f>
      </c>
      <c r="BC91" s="56" t="str">
        <f>IF(COUNTIFS('LANÇAMENTOS DIÁRIOS'!$G$5:$G$500,"F",'LANÇAMENTOS DIÁRIOS'!$C$5:$C$500,$A91,'LANÇAMENTOS DIÁRIOS'!$O$5:$O$500,"&lt;=116899",'LANÇAMENTOS DIÁRIOS'!$P$5:$P$500,"&gt;=116800")&gt;0,"X","")</f>
      </c>
      <c r="BD91" s="56" t="str">
        <f>IF(COUNTIFS('LANÇAMENTOS DIÁRIOS'!$G$5:$G$500,"F",'LANÇAMENTOS DIÁRIOS'!$C$5:$C$500,$A91,'LANÇAMENTOS DIÁRIOS'!$O$5:$O$500,"&lt;=116999",'LANÇAMENTOS DIÁRIOS'!$P$5:$P$500,"&gt;=116900")&gt;0,"X","")</f>
      </c>
      <c r="BE91" s="56" t="str">
        <f>IF(COUNTIFS('LANÇAMENTOS DIÁRIOS'!$G$5:$G$500,"F",'LANÇAMENTOS DIÁRIOS'!$C$5:$C$500,$A91,'LANÇAMENTOS DIÁRIOS'!$O$5:$O$500,"&lt;=117099",'LANÇAMENTOS DIÁRIOS'!$P$5:$P$500,"&gt;=117000")&gt;0,"X","")</f>
      </c>
      <c r="BF91" s="56" t="str">
        <f>IF(COUNTIFS('LANÇAMENTOS DIÁRIOS'!$G$5:$G$500,"F",'LANÇAMENTOS DIÁRIOS'!$C$5:$C$500,$A91,'LANÇAMENTOS DIÁRIOS'!$O$5:$O$500,"&lt;=117199",'LANÇAMENTOS DIÁRIOS'!$P$5:$P$500,"&gt;=117100")&gt;0,"X","")</f>
      </c>
      <c r="BG91" s="56" t="str">
        <f>IF(COUNTIFS('LANÇAMENTOS DIÁRIOS'!$G$5:$G$500,"F",'LANÇAMENTOS DIÁRIOS'!$C$5:$C$500,$A91,'LANÇAMENTOS DIÁRIOS'!$O$5:$O$500,"&lt;=117219",'LANÇAMENTOS DIÁRIOS'!$P$5:$P$500,"&gt;=117200")&gt;0,"X","")</f>
      </c>
      <c r="BH91" s="56" t="str">
        <f>IF(COUNTIFS('LANÇAMENTOS DIÁRIOS'!$G$5:$G$500,"F",'LANÇAMENTOS DIÁRIOS'!$C$5:$C$500,$A91,'LANÇAMENTOS DIÁRIOS'!$O$5:$O$500,"&lt;=117220",'LANÇAMENTOS DIÁRIOS'!$P$5:$P$500,"&gt;=117220")&gt;0,"X","")</f>
      </c>
    </row>
    <row r="92" ht="21" customHeight="1">
      <c r="A92" s="60" t="str">
        <v>Drenagem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</row>
    <row r="93" ht="19" customHeight="1">
      <c r="A93" s="68" t="str">
        <v>Obras de drenagem profunda. Galerias e Bueiros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</row>
    <row r="94">
      <c r="A94" s="51" t="str">
        <v>Obras de drenagem profunda. Galerias e Bueiros</v>
      </c>
      <c r="B94" s="56" t="str">
        <f>IF(COUNTIFS('LANÇAMENTOS DIÁRIOS'!$G$5:$G$500,"F",'LANÇAMENTOS DIÁRIOS'!$C$5:$C$500,$A94,'LANÇAMENTOS DIÁRIOS'!$O$5:$O$500,"&lt;=111599",'LANÇAMENTOS DIÁRIOS'!$P$5:$P$500,"&gt;=111500")&gt;0,"X","")</f>
      </c>
      <c r="C94" s="56" t="str">
        <f>IF(COUNTIFS('LANÇAMENTOS DIÁRIOS'!$G$5:$G$500,"F",'LANÇAMENTOS DIÁRIOS'!$C$5:$C$500,$A94,'LANÇAMENTOS DIÁRIOS'!$O$5:$O$500,"&lt;=111699",'LANÇAMENTOS DIÁRIOS'!$P$5:$P$500,"&gt;=111600")&gt;0,"X","")</f>
      </c>
      <c r="D94" s="56" t="str">
        <f>IF(COUNTIFS('LANÇAMENTOS DIÁRIOS'!$G$5:$G$500,"F",'LANÇAMENTOS DIÁRIOS'!$C$5:$C$500,$A94,'LANÇAMENTOS DIÁRIOS'!$O$5:$O$500,"&lt;=111799",'LANÇAMENTOS DIÁRIOS'!$P$5:$P$500,"&gt;=111700")&gt;0,"X","")</f>
      </c>
      <c r="E94" s="56" t="str">
        <f>IF(COUNTIFS('LANÇAMENTOS DIÁRIOS'!$G$5:$G$500,"F",'LANÇAMENTOS DIÁRIOS'!$C$5:$C$500,$A94,'LANÇAMENTOS DIÁRIOS'!$O$5:$O$500,"&lt;=111899",'LANÇAMENTOS DIÁRIOS'!$P$5:$P$500,"&gt;=111800")&gt;0,"X","")</f>
      </c>
      <c r="F94" s="56" t="str">
        <f>IF(COUNTIFS('LANÇAMENTOS DIÁRIOS'!$G$5:$G$500,"F",'LANÇAMENTOS DIÁRIOS'!$C$5:$C$500,$A94,'LANÇAMENTOS DIÁRIOS'!$O$5:$O$500,"&lt;=111999",'LANÇAMENTOS DIÁRIOS'!$P$5:$P$500,"&gt;=111900")&gt;0,"X","")</f>
      </c>
      <c r="G94" s="56" t="str">
        <f>IF(COUNTIFS('LANÇAMENTOS DIÁRIOS'!$G$5:$G$500,"F",'LANÇAMENTOS DIÁRIOS'!$C$5:$C$500,$A94,'LANÇAMENTOS DIÁRIOS'!$O$5:$O$500,"&lt;=112099",'LANÇAMENTOS DIÁRIOS'!$P$5:$P$500,"&gt;=112000")&gt;0,"X","")</f>
      </c>
      <c r="H94" s="56" t="str">
        <f>IF(COUNTIFS('LANÇAMENTOS DIÁRIOS'!$G$5:$G$500,"F",'LANÇAMENTOS DIÁRIOS'!$C$5:$C$500,$A94,'LANÇAMENTOS DIÁRIOS'!$O$5:$O$500,"&lt;=112199",'LANÇAMENTOS DIÁRIOS'!$P$5:$P$500,"&gt;=112100")&gt;0,"X","")</f>
      </c>
      <c r="I94" s="56" t="str">
        <f>IF(COUNTIFS('LANÇAMENTOS DIÁRIOS'!$G$5:$G$500,"F",'LANÇAMENTOS DIÁRIOS'!$C$5:$C$500,$A94,'LANÇAMENTOS DIÁRIOS'!$O$5:$O$500,"&lt;=112299",'LANÇAMENTOS DIÁRIOS'!$P$5:$P$500,"&gt;=112200")&gt;0,"X","")</f>
      </c>
      <c r="J94" s="56" t="str">
        <f>IF(COUNTIFS('LANÇAMENTOS DIÁRIOS'!$G$5:$G$500,"F",'LANÇAMENTOS DIÁRIOS'!$C$5:$C$500,$A94,'LANÇAMENTOS DIÁRIOS'!$O$5:$O$500,"&lt;=112399",'LANÇAMENTOS DIÁRIOS'!$P$5:$P$500,"&gt;=112300")&gt;0,"X","")</f>
      </c>
      <c r="K94" s="56" t="str">
        <f>IF(COUNTIFS('LANÇAMENTOS DIÁRIOS'!$G$5:$G$500,"F",'LANÇAMENTOS DIÁRIOS'!$C$5:$C$500,$A94,'LANÇAMENTOS DIÁRIOS'!$O$5:$O$500,"&lt;=112499",'LANÇAMENTOS DIÁRIOS'!$P$5:$P$500,"&gt;=112400")&gt;0,"X","")</f>
      </c>
      <c r="L94" s="56" t="str">
        <f>IF(COUNTIFS('LANÇAMENTOS DIÁRIOS'!$G$5:$G$500,"F",'LANÇAMENTOS DIÁRIOS'!$C$5:$C$500,$A94,'LANÇAMENTOS DIÁRIOS'!$O$5:$O$500,"&lt;=112599",'LANÇAMENTOS DIÁRIOS'!$P$5:$P$500,"&gt;=112500")&gt;0,"X","")</f>
      </c>
      <c r="M94" s="56" t="str">
        <f>IF(COUNTIFS('LANÇAMENTOS DIÁRIOS'!$G$5:$G$500,"F",'LANÇAMENTOS DIÁRIOS'!$C$5:$C$500,$A94,'LANÇAMENTOS DIÁRIOS'!$O$5:$O$500,"&lt;=112699",'LANÇAMENTOS DIÁRIOS'!$P$5:$P$500,"&gt;=112600")&gt;0,"X","")</f>
      </c>
      <c r="N94" s="56" t="str">
        <f>IF(COUNTIFS('LANÇAMENTOS DIÁRIOS'!$G$5:$G$500,"F",'LANÇAMENTOS DIÁRIOS'!$C$5:$C$500,$A94,'LANÇAMENTOS DIÁRIOS'!$O$5:$O$500,"&lt;=112799",'LANÇAMENTOS DIÁRIOS'!$P$5:$P$500,"&gt;=112700")&gt;0,"X","")</f>
      </c>
      <c r="O94" s="56" t="str">
        <f>IF(COUNTIFS('LANÇAMENTOS DIÁRIOS'!$G$5:$G$500,"F",'LANÇAMENTOS DIÁRIOS'!$C$5:$C$500,$A94,'LANÇAMENTOS DIÁRIOS'!$O$5:$O$500,"&lt;=112899",'LANÇAMENTOS DIÁRIOS'!$P$5:$P$500,"&gt;=112800")&gt;0,"X","")</f>
      </c>
      <c r="P94" s="56" t="str">
        <f>IF(COUNTIFS('LANÇAMENTOS DIÁRIOS'!$G$5:$G$500,"F",'LANÇAMENTOS DIÁRIOS'!$C$5:$C$500,$A94,'LANÇAMENTOS DIÁRIOS'!$O$5:$O$500,"&lt;=112999",'LANÇAMENTOS DIÁRIOS'!$P$5:$P$500,"&gt;=112900")&gt;0,"X","")</f>
      </c>
      <c r="Q94" s="56" t="str">
        <f>IF(COUNTIFS('LANÇAMENTOS DIÁRIOS'!$G$5:$G$500,"F",'LANÇAMENTOS DIÁRIOS'!$C$5:$C$500,$A94,'LANÇAMENTOS DIÁRIOS'!$O$5:$O$500,"&lt;=113099",'LANÇAMENTOS DIÁRIOS'!$P$5:$P$500,"&gt;=113000")&gt;0,"X","")</f>
      </c>
      <c r="R94" s="56" t="str">
        <f>IF(COUNTIFS('LANÇAMENTOS DIÁRIOS'!$G$5:$G$500,"F",'LANÇAMENTOS DIÁRIOS'!$C$5:$C$500,$A94,'LANÇAMENTOS DIÁRIOS'!$O$5:$O$500,"&lt;=113199",'LANÇAMENTOS DIÁRIOS'!$P$5:$P$500,"&gt;=113100")&gt;0,"X","")</f>
      </c>
      <c r="S94" s="56" t="str">
        <f>IF(COUNTIFS('LANÇAMENTOS DIÁRIOS'!$G$5:$G$500,"F",'LANÇAMENTOS DIÁRIOS'!$C$5:$C$500,$A94,'LANÇAMENTOS DIÁRIOS'!$O$5:$O$500,"&lt;=113299",'LANÇAMENTOS DIÁRIOS'!$P$5:$P$500,"&gt;=113200")&gt;0,"X","")</f>
      </c>
      <c r="T94" s="56" t="str">
        <f>IF(COUNTIFS('LANÇAMENTOS DIÁRIOS'!$G$5:$G$500,"F",'LANÇAMENTOS DIÁRIOS'!$C$5:$C$500,$A94,'LANÇAMENTOS DIÁRIOS'!$O$5:$O$500,"&lt;=113399",'LANÇAMENTOS DIÁRIOS'!$P$5:$P$500,"&gt;=113300")&gt;0,"X","")</f>
      </c>
      <c r="U94" s="56" t="str">
        <f>IF(COUNTIFS('LANÇAMENTOS DIÁRIOS'!$G$5:$G$500,"F",'LANÇAMENTOS DIÁRIOS'!$C$5:$C$500,$A94,'LANÇAMENTOS DIÁRIOS'!$O$5:$O$500,"&lt;=113499",'LANÇAMENTOS DIÁRIOS'!$P$5:$P$500,"&gt;=113400")&gt;0,"X","")</f>
      </c>
      <c r="V94" s="56" t="str">
        <f>IF(COUNTIFS('LANÇAMENTOS DIÁRIOS'!$G$5:$G$500,"F",'LANÇAMENTOS DIÁRIOS'!$C$5:$C$500,$A94,'LANÇAMENTOS DIÁRIOS'!$O$5:$O$500,"&lt;=113599",'LANÇAMENTOS DIÁRIOS'!$P$5:$P$500,"&gt;=113500")&gt;0,"X","")</f>
      </c>
      <c r="W94" s="56" t="str">
        <f>IF(COUNTIFS('LANÇAMENTOS DIÁRIOS'!$G$5:$G$500,"F",'LANÇAMENTOS DIÁRIOS'!$C$5:$C$500,$A94,'LANÇAMENTOS DIÁRIOS'!$O$5:$O$500,"&lt;=113699",'LANÇAMENTOS DIÁRIOS'!$P$5:$P$500,"&gt;=113600")&gt;0,"X","")</f>
      </c>
      <c r="X94" s="56" t="str">
        <f>IF(COUNTIFS('LANÇAMENTOS DIÁRIOS'!$G$5:$G$500,"F",'LANÇAMENTOS DIÁRIOS'!$C$5:$C$500,$A94,'LANÇAMENTOS DIÁRIOS'!$O$5:$O$500,"&lt;=113799",'LANÇAMENTOS DIÁRIOS'!$P$5:$P$500,"&gt;=113700")&gt;0,"X","")</f>
      </c>
      <c r="Y94" s="56" t="str">
        <f>IF(COUNTIFS('LANÇAMENTOS DIÁRIOS'!$G$5:$G$500,"F",'LANÇAMENTOS DIÁRIOS'!$C$5:$C$500,$A94,'LANÇAMENTOS DIÁRIOS'!$O$5:$O$500,"&lt;=113899",'LANÇAMENTOS DIÁRIOS'!$P$5:$P$500,"&gt;=113800")&gt;0,"X","")</f>
      </c>
      <c r="Z94" s="56" t="str">
        <f>IF(COUNTIFS('LANÇAMENTOS DIÁRIOS'!$G$5:$G$500,"F",'LANÇAMENTOS DIÁRIOS'!$C$5:$C$500,$A94,'LANÇAMENTOS DIÁRIOS'!$O$5:$O$500,"&lt;=113999",'LANÇAMENTOS DIÁRIOS'!$P$5:$P$500,"&gt;=113900")&gt;0,"X","")</f>
      </c>
      <c r="AA94" s="56" t="str">
        <f>IF(COUNTIFS('LANÇAMENTOS DIÁRIOS'!$G$5:$G$500,"F",'LANÇAMENTOS DIÁRIOS'!$C$5:$C$500,$A94,'LANÇAMENTOS DIÁRIOS'!$O$5:$O$500,"&lt;=114099",'LANÇAMENTOS DIÁRIOS'!$P$5:$P$500,"&gt;=114000")&gt;0,"X","")</f>
      </c>
      <c r="AB94" s="56" t="str">
        <f>IF(COUNTIFS('LANÇAMENTOS DIÁRIOS'!$G$5:$G$500,"F",'LANÇAMENTOS DIÁRIOS'!$C$5:$C$500,$A94,'LANÇAMENTOS DIÁRIOS'!$O$5:$O$500,"&lt;=114199",'LANÇAMENTOS DIÁRIOS'!$P$5:$P$500,"&gt;=114100")&gt;0,"X","")</f>
      </c>
      <c r="AC94" s="56" t="str">
        <f>IF(COUNTIFS('LANÇAMENTOS DIÁRIOS'!$G$5:$G$500,"F",'LANÇAMENTOS DIÁRIOS'!$C$5:$C$500,$A94,'LANÇAMENTOS DIÁRIOS'!$O$5:$O$500,"&lt;=114299",'LANÇAMENTOS DIÁRIOS'!$P$5:$P$500,"&gt;=114200")&gt;0,"X","")</f>
      </c>
      <c r="AD94" s="56" t="str">
        <f>IF(COUNTIFS('LANÇAMENTOS DIÁRIOS'!$G$5:$G$500,"F",'LANÇAMENTOS DIÁRIOS'!$C$5:$C$500,$A94,'LANÇAMENTOS DIÁRIOS'!$O$5:$O$500,"&lt;=114399",'LANÇAMENTOS DIÁRIOS'!$P$5:$P$500,"&gt;=114300")&gt;0,"X","")</f>
      </c>
      <c r="AE94" s="56" t="str">
        <f>IF(COUNTIFS('LANÇAMENTOS DIÁRIOS'!$G$5:$G$500,"F",'LANÇAMENTOS DIÁRIOS'!$C$5:$C$500,$A94,'LANÇAMENTOS DIÁRIOS'!$O$5:$O$500,"&lt;=114499",'LANÇAMENTOS DIÁRIOS'!$P$5:$P$500,"&gt;=114400")&gt;0,"X","")</f>
      </c>
      <c r="AF94" s="56" t="str">
        <f>IF(COUNTIFS('LANÇAMENTOS DIÁRIOS'!$G$5:$G$500,"F",'LANÇAMENTOS DIÁRIOS'!$C$5:$C$500,$A94,'LANÇAMENTOS DIÁRIOS'!$O$5:$O$500,"&lt;=114599",'LANÇAMENTOS DIÁRIOS'!$P$5:$P$500,"&gt;=114500")&gt;0,"X","")</f>
      </c>
      <c r="AG94" s="56" t="str">
        <f>IF(COUNTIFS('LANÇAMENTOS DIÁRIOS'!$G$5:$G$500,"F",'LANÇAMENTOS DIÁRIOS'!$C$5:$C$500,$A94,'LANÇAMENTOS DIÁRIOS'!$O$5:$O$500,"&lt;=114699",'LANÇAMENTOS DIÁRIOS'!$P$5:$P$500,"&gt;=114600")&gt;0,"X","")</f>
      </c>
      <c r="AH94" s="56" t="str">
        <f>IF(COUNTIFS('LANÇAMENTOS DIÁRIOS'!$G$5:$G$500,"F",'LANÇAMENTOS DIÁRIOS'!$C$5:$C$500,$A94,'LANÇAMENTOS DIÁRIOS'!$O$5:$O$500,"&lt;=114799",'LANÇAMENTOS DIÁRIOS'!$P$5:$P$500,"&gt;=114700")&gt;0,"X","")</f>
      </c>
      <c r="AI94" s="56" t="str">
        <f>IF(COUNTIFS('LANÇAMENTOS DIÁRIOS'!$G$5:$G$500,"F",'LANÇAMENTOS DIÁRIOS'!$C$5:$C$500,$A94,'LANÇAMENTOS DIÁRIOS'!$O$5:$O$500,"&lt;=114899",'LANÇAMENTOS DIÁRIOS'!$P$5:$P$500,"&gt;=114800")&gt;0,"X","")</f>
      </c>
      <c r="AJ94" s="56" t="str">
        <f>IF(COUNTIFS('LANÇAMENTOS DIÁRIOS'!$G$5:$G$500,"F",'LANÇAMENTOS DIÁRIOS'!$C$5:$C$500,$A94,'LANÇAMENTOS DIÁRIOS'!$O$5:$O$500,"&lt;=114999",'LANÇAMENTOS DIÁRIOS'!$P$5:$P$500,"&gt;=114900")&gt;0,"X","")</f>
      </c>
      <c r="AK94" s="56" t="str">
        <f>IF(COUNTIFS('LANÇAMENTOS DIÁRIOS'!$G$5:$G$500,"F",'LANÇAMENTOS DIÁRIOS'!$C$5:$C$500,$A94,'LANÇAMENTOS DIÁRIOS'!$O$5:$O$500,"&lt;=115099",'LANÇAMENTOS DIÁRIOS'!$P$5:$P$500,"&gt;=115000")&gt;0,"X","")</f>
      </c>
      <c r="AL94" s="56" t="str">
        <f>IF(COUNTIFS('LANÇAMENTOS DIÁRIOS'!$G$5:$G$500,"F",'LANÇAMENTOS DIÁRIOS'!$C$5:$C$500,$A94,'LANÇAMENTOS DIÁRIOS'!$O$5:$O$500,"&lt;=115199",'LANÇAMENTOS DIÁRIOS'!$P$5:$P$500,"&gt;=115100")&gt;0,"X","")</f>
      </c>
      <c r="AM94" s="56" t="str">
        <f>IF(COUNTIFS('LANÇAMENTOS DIÁRIOS'!$G$5:$G$500,"F",'LANÇAMENTOS DIÁRIOS'!$C$5:$C$500,$A94,'LANÇAMENTOS DIÁRIOS'!$O$5:$O$500,"&lt;=115299",'LANÇAMENTOS DIÁRIOS'!$P$5:$P$500,"&gt;=115200")&gt;0,"X","")</f>
      </c>
      <c r="AN94" s="56" t="str">
        <f>IF(COUNTIFS('LANÇAMENTOS DIÁRIOS'!$G$5:$G$500,"F",'LANÇAMENTOS DIÁRIOS'!$C$5:$C$500,$A94,'LANÇAMENTOS DIÁRIOS'!$O$5:$O$500,"&lt;=115399",'LANÇAMENTOS DIÁRIOS'!$P$5:$P$500,"&gt;=115300")&gt;0,"X","")</f>
      </c>
      <c r="AO94" s="56" t="str">
        <f>IF(COUNTIFS('LANÇAMENTOS DIÁRIOS'!$G$5:$G$500,"F",'LANÇAMENTOS DIÁRIOS'!$C$5:$C$500,$A94,'LANÇAMENTOS DIÁRIOS'!$O$5:$O$500,"&lt;=115499",'LANÇAMENTOS DIÁRIOS'!$P$5:$P$500,"&gt;=115400")&gt;0,"X","")</f>
      </c>
      <c r="AP94" s="56" t="str">
        <f>IF(COUNTIFS('LANÇAMENTOS DIÁRIOS'!$G$5:$G$500,"F",'LANÇAMENTOS DIÁRIOS'!$C$5:$C$500,$A94,'LANÇAMENTOS DIÁRIOS'!$O$5:$O$500,"&lt;=115599",'LANÇAMENTOS DIÁRIOS'!$P$5:$P$500,"&gt;=115500")&gt;0,"X","")</f>
      </c>
      <c r="AQ94" s="56" t="str">
        <f>IF(COUNTIFS('LANÇAMENTOS DIÁRIOS'!$G$5:$G$500,"F",'LANÇAMENTOS DIÁRIOS'!$C$5:$C$500,$A94,'LANÇAMENTOS DIÁRIOS'!$O$5:$O$500,"&lt;=115699",'LANÇAMENTOS DIÁRIOS'!$P$5:$P$500,"&gt;=115600")&gt;0,"X","")</f>
      </c>
      <c r="AR94" s="56" t="str">
        <f>IF(COUNTIFS('LANÇAMENTOS DIÁRIOS'!$G$5:$G$500,"F",'LANÇAMENTOS DIÁRIOS'!$C$5:$C$500,$A94,'LANÇAMENTOS DIÁRIOS'!$O$5:$O$500,"&lt;=115799",'LANÇAMENTOS DIÁRIOS'!$P$5:$P$500,"&gt;=115700")&gt;0,"X","")</f>
      </c>
      <c r="AS94" s="56" t="str">
        <f>IF(COUNTIFS('LANÇAMENTOS DIÁRIOS'!$G$5:$G$500,"F",'LANÇAMENTOS DIÁRIOS'!$C$5:$C$500,$A94,'LANÇAMENTOS DIÁRIOS'!$O$5:$O$500,"&lt;=115899",'LANÇAMENTOS DIÁRIOS'!$P$5:$P$500,"&gt;=115800")&gt;0,"X","")</f>
      </c>
      <c r="AT94" s="56" t="str">
        <f>IF(COUNTIFS('LANÇAMENTOS DIÁRIOS'!$G$5:$G$500,"F",'LANÇAMENTOS DIÁRIOS'!$C$5:$C$500,$A94,'LANÇAMENTOS DIÁRIOS'!$O$5:$O$500,"&lt;=115999",'LANÇAMENTOS DIÁRIOS'!$P$5:$P$500,"&gt;=115900")&gt;0,"X","")</f>
      </c>
      <c r="AU94" s="56" t="str">
        <f>IF(COUNTIFS('LANÇAMENTOS DIÁRIOS'!$G$5:$G$500,"F",'LANÇAMENTOS DIÁRIOS'!$C$5:$C$500,$A94,'LANÇAMENTOS DIÁRIOS'!$O$5:$O$500,"&lt;=116099",'LANÇAMENTOS DIÁRIOS'!$P$5:$P$500,"&gt;=116000")&gt;0,"X","")</f>
      </c>
      <c r="AV94" s="56" t="str">
        <f>IF(COUNTIFS('LANÇAMENTOS DIÁRIOS'!$G$5:$G$500,"F",'LANÇAMENTOS DIÁRIOS'!$C$5:$C$500,$A94,'LANÇAMENTOS DIÁRIOS'!$O$5:$O$500,"&lt;=116199",'LANÇAMENTOS DIÁRIOS'!$P$5:$P$500,"&gt;=116100")&gt;0,"X","")</f>
      </c>
      <c r="AW94" s="56" t="str">
        <f>IF(COUNTIFS('LANÇAMENTOS DIÁRIOS'!$G$5:$G$500,"F",'LANÇAMENTOS DIÁRIOS'!$C$5:$C$500,$A94,'LANÇAMENTOS DIÁRIOS'!$O$5:$O$500,"&lt;=116299",'LANÇAMENTOS DIÁRIOS'!$P$5:$P$500,"&gt;=116200")&gt;0,"X","")</f>
      </c>
      <c r="AX94" s="56" t="str">
        <f>IF(COUNTIFS('LANÇAMENTOS DIÁRIOS'!$G$5:$G$500,"F",'LANÇAMENTOS DIÁRIOS'!$C$5:$C$500,$A94,'LANÇAMENTOS DIÁRIOS'!$O$5:$O$500,"&lt;=116399",'LANÇAMENTOS DIÁRIOS'!$P$5:$P$500,"&gt;=116300")&gt;0,"X","")</f>
      </c>
      <c r="AY94" s="56" t="str">
        <f>IF(COUNTIFS('LANÇAMENTOS DIÁRIOS'!$G$5:$G$500,"F",'LANÇAMENTOS DIÁRIOS'!$C$5:$C$500,$A94,'LANÇAMENTOS DIÁRIOS'!$O$5:$O$500,"&lt;=116499",'LANÇAMENTOS DIÁRIOS'!$P$5:$P$500,"&gt;=116400")&gt;0,"X","")</f>
      </c>
      <c r="AZ94" s="56" t="str">
        <f>IF(COUNTIFS('LANÇAMENTOS DIÁRIOS'!$G$5:$G$500,"F",'LANÇAMENTOS DIÁRIOS'!$C$5:$C$500,$A94,'LANÇAMENTOS DIÁRIOS'!$O$5:$O$500,"&lt;=116599",'LANÇAMENTOS DIÁRIOS'!$P$5:$P$500,"&gt;=116500")&gt;0,"X","")</f>
      </c>
      <c r="BA94" s="56" t="str">
        <f>IF(COUNTIFS('LANÇAMENTOS DIÁRIOS'!$G$5:$G$500,"F",'LANÇAMENTOS DIÁRIOS'!$C$5:$C$500,$A94,'LANÇAMENTOS DIÁRIOS'!$O$5:$O$500,"&lt;=116699",'LANÇAMENTOS DIÁRIOS'!$P$5:$P$500,"&gt;=116600")&gt;0,"X","")</f>
      </c>
      <c r="BB94" s="56" t="str">
        <f>IF(COUNTIFS('LANÇAMENTOS DIÁRIOS'!$G$5:$G$500,"F",'LANÇAMENTOS DIÁRIOS'!$C$5:$C$500,$A94,'LANÇAMENTOS DIÁRIOS'!$O$5:$O$500,"&lt;=116799",'LANÇAMENTOS DIÁRIOS'!$P$5:$P$500,"&gt;=116700")&gt;0,"X","")</f>
      </c>
      <c r="BC94" s="56" t="str">
        <f>IF(COUNTIFS('LANÇAMENTOS DIÁRIOS'!$G$5:$G$500,"F",'LANÇAMENTOS DIÁRIOS'!$C$5:$C$500,$A94,'LANÇAMENTOS DIÁRIOS'!$O$5:$O$500,"&lt;=116899",'LANÇAMENTOS DIÁRIOS'!$P$5:$P$500,"&gt;=116800")&gt;0,"X","")</f>
      </c>
      <c r="BD94" s="56" t="str">
        <f>IF(COUNTIFS('LANÇAMENTOS DIÁRIOS'!$G$5:$G$500,"F",'LANÇAMENTOS DIÁRIOS'!$C$5:$C$500,$A94,'LANÇAMENTOS DIÁRIOS'!$O$5:$O$500,"&lt;=116999",'LANÇAMENTOS DIÁRIOS'!$P$5:$P$500,"&gt;=116900")&gt;0,"X","")</f>
      </c>
      <c r="BE94" s="56" t="str">
        <f>IF(COUNTIFS('LANÇAMENTOS DIÁRIOS'!$G$5:$G$500,"F",'LANÇAMENTOS DIÁRIOS'!$C$5:$C$500,$A94,'LANÇAMENTOS DIÁRIOS'!$O$5:$O$500,"&lt;=117099",'LANÇAMENTOS DIÁRIOS'!$P$5:$P$500,"&gt;=117000")&gt;0,"X","")</f>
      </c>
      <c r="BF94" s="56" t="str">
        <f>IF(COUNTIFS('LANÇAMENTOS DIÁRIOS'!$G$5:$G$500,"F",'LANÇAMENTOS DIÁRIOS'!$C$5:$C$500,$A94,'LANÇAMENTOS DIÁRIOS'!$O$5:$O$500,"&lt;=117199",'LANÇAMENTOS DIÁRIOS'!$P$5:$P$500,"&gt;=117100")&gt;0,"X","")</f>
      </c>
      <c r="BG94" s="56" t="str">
        <f>IF(COUNTIFS('LANÇAMENTOS DIÁRIOS'!$G$5:$G$500,"F",'LANÇAMENTOS DIÁRIOS'!$C$5:$C$500,$A94,'LANÇAMENTOS DIÁRIOS'!$O$5:$O$500,"&lt;=117219",'LANÇAMENTOS DIÁRIOS'!$P$5:$P$500,"&gt;=117200")&gt;0,"X","")</f>
      </c>
      <c r="BH94" s="56" t="str">
        <f>IF(COUNTIFS('LANÇAMENTOS DIÁRIOS'!$G$5:$G$500,"F",'LANÇAMENTOS DIÁRIOS'!$C$5:$C$500,$A94,'LANÇAMENTOS DIÁRIOS'!$O$5:$O$500,"&lt;=117220",'LANÇAMENTOS DIÁRIOS'!$P$5:$P$500,"&gt;=117220")&gt;0,"X","")</f>
      </c>
    </row>
    <row r="95" ht="19" customHeight="1">
      <c r="A95" s="68" t="str">
        <v>Obras de drenagem superficiais. Sarjetas e Valetas</v>
      </c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</row>
    <row r="96">
      <c r="A96" s="51" t="str">
        <v>Obras de drenagem superficiais. Sarjetas e Valetas</v>
      </c>
      <c r="B96" s="56" t="str">
        <f>IF(COUNTIFS('LANÇAMENTOS DIÁRIOS'!$G$5:$G$500,"F",'LANÇAMENTOS DIÁRIOS'!$C$5:$C$500,$A96,'LANÇAMENTOS DIÁRIOS'!$O$5:$O$500,"&lt;=111599",'LANÇAMENTOS DIÁRIOS'!$P$5:$P$500,"&gt;=111500")&gt;0,"X","")</f>
      </c>
      <c r="C96" s="56" t="str">
        <f>IF(COUNTIFS('LANÇAMENTOS DIÁRIOS'!$G$5:$G$500,"F",'LANÇAMENTOS DIÁRIOS'!$C$5:$C$500,$A96,'LANÇAMENTOS DIÁRIOS'!$O$5:$O$500,"&lt;=111699",'LANÇAMENTOS DIÁRIOS'!$P$5:$P$500,"&gt;=111600")&gt;0,"X","")</f>
      </c>
      <c r="D96" s="56" t="str">
        <f>IF(COUNTIFS('LANÇAMENTOS DIÁRIOS'!$G$5:$G$500,"F",'LANÇAMENTOS DIÁRIOS'!$C$5:$C$500,$A96,'LANÇAMENTOS DIÁRIOS'!$O$5:$O$500,"&lt;=111799",'LANÇAMENTOS DIÁRIOS'!$P$5:$P$500,"&gt;=111700")&gt;0,"X","")</f>
      </c>
      <c r="E96" s="56" t="str">
        <f>IF(COUNTIFS('LANÇAMENTOS DIÁRIOS'!$G$5:$G$500,"F",'LANÇAMENTOS DIÁRIOS'!$C$5:$C$500,$A96,'LANÇAMENTOS DIÁRIOS'!$O$5:$O$500,"&lt;=111899",'LANÇAMENTOS DIÁRIOS'!$P$5:$P$500,"&gt;=111800")&gt;0,"X","")</f>
      </c>
      <c r="F96" s="56" t="str">
        <f>IF(COUNTIFS('LANÇAMENTOS DIÁRIOS'!$G$5:$G$500,"F",'LANÇAMENTOS DIÁRIOS'!$C$5:$C$500,$A96,'LANÇAMENTOS DIÁRIOS'!$O$5:$O$500,"&lt;=111999",'LANÇAMENTOS DIÁRIOS'!$P$5:$P$500,"&gt;=111900")&gt;0,"X","")</f>
      </c>
      <c r="G96" s="56" t="str">
        <f>IF(COUNTIFS('LANÇAMENTOS DIÁRIOS'!$G$5:$G$500,"F",'LANÇAMENTOS DIÁRIOS'!$C$5:$C$500,$A96,'LANÇAMENTOS DIÁRIOS'!$O$5:$O$500,"&lt;=112099",'LANÇAMENTOS DIÁRIOS'!$P$5:$P$500,"&gt;=112000")&gt;0,"X","")</f>
      </c>
      <c r="H96" s="56" t="str">
        <f>IF(COUNTIFS('LANÇAMENTOS DIÁRIOS'!$G$5:$G$500,"F",'LANÇAMENTOS DIÁRIOS'!$C$5:$C$500,$A96,'LANÇAMENTOS DIÁRIOS'!$O$5:$O$500,"&lt;=112199",'LANÇAMENTOS DIÁRIOS'!$P$5:$P$500,"&gt;=112100")&gt;0,"X","")</f>
      </c>
      <c r="I96" s="56" t="str">
        <f>IF(COUNTIFS('LANÇAMENTOS DIÁRIOS'!$G$5:$G$500,"F",'LANÇAMENTOS DIÁRIOS'!$C$5:$C$500,$A96,'LANÇAMENTOS DIÁRIOS'!$O$5:$O$500,"&lt;=112299",'LANÇAMENTOS DIÁRIOS'!$P$5:$P$500,"&gt;=112200")&gt;0,"X","")</f>
      </c>
      <c r="J96" s="56" t="str">
        <f>IF(COUNTIFS('LANÇAMENTOS DIÁRIOS'!$G$5:$G$500,"F",'LANÇAMENTOS DIÁRIOS'!$C$5:$C$500,$A96,'LANÇAMENTOS DIÁRIOS'!$O$5:$O$500,"&lt;=112399",'LANÇAMENTOS DIÁRIOS'!$P$5:$P$500,"&gt;=112300")&gt;0,"X","")</f>
      </c>
      <c r="K96" s="56" t="str">
        <f>IF(COUNTIFS('LANÇAMENTOS DIÁRIOS'!$G$5:$G$500,"F",'LANÇAMENTOS DIÁRIOS'!$C$5:$C$500,$A96,'LANÇAMENTOS DIÁRIOS'!$O$5:$O$500,"&lt;=112499",'LANÇAMENTOS DIÁRIOS'!$P$5:$P$500,"&gt;=112400")&gt;0,"X","")</f>
      </c>
      <c r="L96" s="56" t="str">
        <f>IF(COUNTIFS('LANÇAMENTOS DIÁRIOS'!$G$5:$G$500,"F",'LANÇAMENTOS DIÁRIOS'!$C$5:$C$500,$A96,'LANÇAMENTOS DIÁRIOS'!$O$5:$O$500,"&lt;=112599",'LANÇAMENTOS DIÁRIOS'!$P$5:$P$500,"&gt;=112500")&gt;0,"X","")</f>
      </c>
      <c r="M96" s="56" t="str">
        <f>IF(COUNTIFS('LANÇAMENTOS DIÁRIOS'!$G$5:$G$500,"F",'LANÇAMENTOS DIÁRIOS'!$C$5:$C$500,$A96,'LANÇAMENTOS DIÁRIOS'!$O$5:$O$500,"&lt;=112699",'LANÇAMENTOS DIÁRIOS'!$P$5:$P$500,"&gt;=112600")&gt;0,"X","")</f>
      </c>
      <c r="N96" s="56" t="str">
        <f>IF(COUNTIFS('LANÇAMENTOS DIÁRIOS'!$G$5:$G$500,"F",'LANÇAMENTOS DIÁRIOS'!$C$5:$C$500,$A96,'LANÇAMENTOS DIÁRIOS'!$O$5:$O$500,"&lt;=112799",'LANÇAMENTOS DIÁRIOS'!$P$5:$P$500,"&gt;=112700")&gt;0,"X","")</f>
      </c>
      <c r="O96" s="56" t="str">
        <f>IF(COUNTIFS('LANÇAMENTOS DIÁRIOS'!$G$5:$G$500,"F",'LANÇAMENTOS DIÁRIOS'!$C$5:$C$500,$A96,'LANÇAMENTOS DIÁRIOS'!$O$5:$O$500,"&lt;=112899",'LANÇAMENTOS DIÁRIOS'!$P$5:$P$500,"&gt;=112800")&gt;0,"X","")</f>
      </c>
      <c r="P96" s="56" t="str">
        <f>IF(COUNTIFS('LANÇAMENTOS DIÁRIOS'!$G$5:$G$500,"F",'LANÇAMENTOS DIÁRIOS'!$C$5:$C$500,$A96,'LANÇAMENTOS DIÁRIOS'!$O$5:$O$500,"&lt;=112999",'LANÇAMENTOS DIÁRIOS'!$P$5:$P$500,"&gt;=112900")&gt;0,"X","")</f>
      </c>
      <c r="Q96" s="56" t="str">
        <f>IF(COUNTIFS('LANÇAMENTOS DIÁRIOS'!$G$5:$G$500,"F",'LANÇAMENTOS DIÁRIOS'!$C$5:$C$500,$A96,'LANÇAMENTOS DIÁRIOS'!$O$5:$O$500,"&lt;=113099",'LANÇAMENTOS DIÁRIOS'!$P$5:$P$500,"&gt;=113000")&gt;0,"X","")</f>
      </c>
      <c r="R96" s="56" t="str">
        <f>IF(COUNTIFS('LANÇAMENTOS DIÁRIOS'!$G$5:$G$500,"F",'LANÇAMENTOS DIÁRIOS'!$C$5:$C$500,$A96,'LANÇAMENTOS DIÁRIOS'!$O$5:$O$500,"&lt;=113199",'LANÇAMENTOS DIÁRIOS'!$P$5:$P$500,"&gt;=113100")&gt;0,"X","")</f>
      </c>
      <c r="S96" s="56" t="str">
        <f>IF(COUNTIFS('LANÇAMENTOS DIÁRIOS'!$G$5:$G$500,"F",'LANÇAMENTOS DIÁRIOS'!$C$5:$C$500,$A96,'LANÇAMENTOS DIÁRIOS'!$O$5:$O$500,"&lt;=113299",'LANÇAMENTOS DIÁRIOS'!$P$5:$P$500,"&gt;=113200")&gt;0,"X","")</f>
      </c>
      <c r="T96" s="56" t="str">
        <f>IF(COUNTIFS('LANÇAMENTOS DIÁRIOS'!$G$5:$G$500,"F",'LANÇAMENTOS DIÁRIOS'!$C$5:$C$500,$A96,'LANÇAMENTOS DIÁRIOS'!$O$5:$O$500,"&lt;=113399",'LANÇAMENTOS DIÁRIOS'!$P$5:$P$500,"&gt;=113300")&gt;0,"X","")</f>
      </c>
      <c r="U96" s="56" t="str">
        <f>IF(COUNTIFS('LANÇAMENTOS DIÁRIOS'!$G$5:$G$500,"F",'LANÇAMENTOS DIÁRIOS'!$C$5:$C$500,$A96,'LANÇAMENTOS DIÁRIOS'!$O$5:$O$500,"&lt;=113499",'LANÇAMENTOS DIÁRIOS'!$P$5:$P$500,"&gt;=113400")&gt;0,"X","")</f>
      </c>
      <c r="V96" s="56" t="str">
        <f>IF(COUNTIFS('LANÇAMENTOS DIÁRIOS'!$G$5:$G$500,"F",'LANÇAMENTOS DIÁRIOS'!$C$5:$C$500,$A96,'LANÇAMENTOS DIÁRIOS'!$O$5:$O$500,"&lt;=113599",'LANÇAMENTOS DIÁRIOS'!$P$5:$P$500,"&gt;=113500")&gt;0,"X","")</f>
      </c>
      <c r="W96" s="56" t="str">
        <f>IF(COUNTIFS('LANÇAMENTOS DIÁRIOS'!$G$5:$G$500,"F",'LANÇAMENTOS DIÁRIOS'!$C$5:$C$500,$A96,'LANÇAMENTOS DIÁRIOS'!$O$5:$O$500,"&lt;=113699",'LANÇAMENTOS DIÁRIOS'!$P$5:$P$500,"&gt;=113600")&gt;0,"X","")</f>
      </c>
      <c r="X96" s="56" t="str">
        <f>IF(COUNTIFS('LANÇAMENTOS DIÁRIOS'!$G$5:$G$500,"F",'LANÇAMENTOS DIÁRIOS'!$C$5:$C$500,$A96,'LANÇAMENTOS DIÁRIOS'!$O$5:$O$500,"&lt;=113799",'LANÇAMENTOS DIÁRIOS'!$P$5:$P$500,"&gt;=113700")&gt;0,"X","")</f>
      </c>
      <c r="Y96" s="56" t="str">
        <f>IF(COUNTIFS('LANÇAMENTOS DIÁRIOS'!$G$5:$G$500,"F",'LANÇAMENTOS DIÁRIOS'!$C$5:$C$500,$A96,'LANÇAMENTOS DIÁRIOS'!$O$5:$O$500,"&lt;=113899",'LANÇAMENTOS DIÁRIOS'!$P$5:$P$500,"&gt;=113800")&gt;0,"X","")</f>
      </c>
      <c r="Z96" s="56" t="str">
        <f>IF(COUNTIFS('LANÇAMENTOS DIÁRIOS'!$G$5:$G$500,"F",'LANÇAMENTOS DIÁRIOS'!$C$5:$C$500,$A96,'LANÇAMENTOS DIÁRIOS'!$O$5:$O$500,"&lt;=113999",'LANÇAMENTOS DIÁRIOS'!$P$5:$P$500,"&gt;=113900")&gt;0,"X","")</f>
      </c>
      <c r="AA96" s="56" t="str">
        <f>IF(COUNTIFS('LANÇAMENTOS DIÁRIOS'!$G$5:$G$500,"F",'LANÇAMENTOS DIÁRIOS'!$C$5:$C$500,$A96,'LANÇAMENTOS DIÁRIOS'!$O$5:$O$500,"&lt;=114099",'LANÇAMENTOS DIÁRIOS'!$P$5:$P$500,"&gt;=114000")&gt;0,"X","")</f>
      </c>
      <c r="AB96" s="56" t="str">
        <f>IF(COUNTIFS('LANÇAMENTOS DIÁRIOS'!$G$5:$G$500,"F",'LANÇAMENTOS DIÁRIOS'!$C$5:$C$500,$A96,'LANÇAMENTOS DIÁRIOS'!$O$5:$O$500,"&lt;=114199",'LANÇAMENTOS DIÁRIOS'!$P$5:$P$500,"&gt;=114100")&gt;0,"X","")</f>
      </c>
      <c r="AC96" s="56" t="str">
        <f>IF(COUNTIFS('LANÇAMENTOS DIÁRIOS'!$G$5:$G$500,"F",'LANÇAMENTOS DIÁRIOS'!$C$5:$C$500,$A96,'LANÇAMENTOS DIÁRIOS'!$O$5:$O$500,"&lt;=114299",'LANÇAMENTOS DIÁRIOS'!$P$5:$P$500,"&gt;=114200")&gt;0,"X","")</f>
      </c>
      <c r="AD96" s="56" t="str">
        <f>IF(COUNTIFS('LANÇAMENTOS DIÁRIOS'!$G$5:$G$500,"F",'LANÇAMENTOS DIÁRIOS'!$C$5:$C$500,$A96,'LANÇAMENTOS DIÁRIOS'!$O$5:$O$500,"&lt;=114399",'LANÇAMENTOS DIÁRIOS'!$P$5:$P$500,"&gt;=114300")&gt;0,"X","")</f>
      </c>
      <c r="AE96" s="56" t="str">
        <f>IF(COUNTIFS('LANÇAMENTOS DIÁRIOS'!$G$5:$G$500,"F",'LANÇAMENTOS DIÁRIOS'!$C$5:$C$500,$A96,'LANÇAMENTOS DIÁRIOS'!$O$5:$O$500,"&lt;=114499",'LANÇAMENTOS DIÁRIOS'!$P$5:$P$500,"&gt;=114400")&gt;0,"X","")</f>
      </c>
      <c r="AF96" s="56" t="str">
        <f>IF(COUNTIFS('LANÇAMENTOS DIÁRIOS'!$G$5:$G$500,"F",'LANÇAMENTOS DIÁRIOS'!$C$5:$C$500,$A96,'LANÇAMENTOS DIÁRIOS'!$O$5:$O$500,"&lt;=114599",'LANÇAMENTOS DIÁRIOS'!$P$5:$P$500,"&gt;=114500")&gt;0,"X","")</f>
      </c>
      <c r="AG96" s="56" t="str">
        <f>IF(COUNTIFS('LANÇAMENTOS DIÁRIOS'!$G$5:$G$500,"F",'LANÇAMENTOS DIÁRIOS'!$C$5:$C$500,$A96,'LANÇAMENTOS DIÁRIOS'!$O$5:$O$500,"&lt;=114699",'LANÇAMENTOS DIÁRIOS'!$P$5:$P$500,"&gt;=114600")&gt;0,"X","")</f>
      </c>
      <c r="AH96" s="56" t="str">
        <f>IF(COUNTIFS('LANÇAMENTOS DIÁRIOS'!$G$5:$G$500,"F",'LANÇAMENTOS DIÁRIOS'!$C$5:$C$500,$A96,'LANÇAMENTOS DIÁRIOS'!$O$5:$O$500,"&lt;=114799",'LANÇAMENTOS DIÁRIOS'!$P$5:$P$500,"&gt;=114700")&gt;0,"X","")</f>
      </c>
      <c r="AI96" s="56" t="str">
        <f>IF(COUNTIFS('LANÇAMENTOS DIÁRIOS'!$G$5:$G$500,"F",'LANÇAMENTOS DIÁRIOS'!$C$5:$C$500,$A96,'LANÇAMENTOS DIÁRIOS'!$O$5:$O$500,"&lt;=114899",'LANÇAMENTOS DIÁRIOS'!$P$5:$P$500,"&gt;=114800")&gt;0,"X","")</f>
      </c>
      <c r="AJ96" s="56" t="str">
        <f>IF(COUNTIFS('LANÇAMENTOS DIÁRIOS'!$G$5:$G$500,"F",'LANÇAMENTOS DIÁRIOS'!$C$5:$C$500,$A96,'LANÇAMENTOS DIÁRIOS'!$O$5:$O$500,"&lt;=114999",'LANÇAMENTOS DIÁRIOS'!$P$5:$P$500,"&gt;=114900")&gt;0,"X","")</f>
      </c>
      <c r="AK96" s="56" t="str">
        <f>IF(COUNTIFS('LANÇAMENTOS DIÁRIOS'!$G$5:$G$500,"F",'LANÇAMENTOS DIÁRIOS'!$C$5:$C$500,$A96,'LANÇAMENTOS DIÁRIOS'!$O$5:$O$500,"&lt;=115099",'LANÇAMENTOS DIÁRIOS'!$P$5:$P$500,"&gt;=115000")&gt;0,"X","")</f>
      </c>
      <c r="AL96" s="56" t="str">
        <f>IF(COUNTIFS('LANÇAMENTOS DIÁRIOS'!$G$5:$G$500,"F",'LANÇAMENTOS DIÁRIOS'!$C$5:$C$500,$A96,'LANÇAMENTOS DIÁRIOS'!$O$5:$O$500,"&lt;=115199",'LANÇAMENTOS DIÁRIOS'!$P$5:$P$500,"&gt;=115100")&gt;0,"X","")</f>
      </c>
      <c r="AM96" s="56" t="str">
        <f>IF(COUNTIFS('LANÇAMENTOS DIÁRIOS'!$G$5:$G$500,"F",'LANÇAMENTOS DIÁRIOS'!$C$5:$C$500,$A96,'LANÇAMENTOS DIÁRIOS'!$O$5:$O$500,"&lt;=115299",'LANÇAMENTOS DIÁRIOS'!$P$5:$P$500,"&gt;=115200")&gt;0,"X","")</f>
      </c>
      <c r="AN96" s="56" t="str">
        <f>IF(COUNTIFS('LANÇAMENTOS DIÁRIOS'!$G$5:$G$500,"F",'LANÇAMENTOS DIÁRIOS'!$C$5:$C$500,$A96,'LANÇAMENTOS DIÁRIOS'!$O$5:$O$500,"&lt;=115399",'LANÇAMENTOS DIÁRIOS'!$P$5:$P$500,"&gt;=115300")&gt;0,"X","")</f>
      </c>
      <c r="AO96" s="56" t="str">
        <f>IF(COUNTIFS('LANÇAMENTOS DIÁRIOS'!$G$5:$G$500,"F",'LANÇAMENTOS DIÁRIOS'!$C$5:$C$500,$A96,'LANÇAMENTOS DIÁRIOS'!$O$5:$O$500,"&lt;=115499",'LANÇAMENTOS DIÁRIOS'!$P$5:$P$500,"&gt;=115400")&gt;0,"X","")</f>
      </c>
      <c r="AP96" s="56" t="str">
        <f>IF(COUNTIFS('LANÇAMENTOS DIÁRIOS'!$G$5:$G$500,"F",'LANÇAMENTOS DIÁRIOS'!$C$5:$C$500,$A96,'LANÇAMENTOS DIÁRIOS'!$O$5:$O$500,"&lt;=115599",'LANÇAMENTOS DIÁRIOS'!$P$5:$P$500,"&gt;=115500")&gt;0,"X","")</f>
      </c>
      <c r="AQ96" s="56" t="str">
        <f>IF(COUNTIFS('LANÇAMENTOS DIÁRIOS'!$G$5:$G$500,"F",'LANÇAMENTOS DIÁRIOS'!$C$5:$C$500,$A96,'LANÇAMENTOS DIÁRIOS'!$O$5:$O$500,"&lt;=115699",'LANÇAMENTOS DIÁRIOS'!$P$5:$P$500,"&gt;=115600")&gt;0,"X","")</f>
      </c>
      <c r="AR96" s="56" t="str">
        <f>IF(COUNTIFS('LANÇAMENTOS DIÁRIOS'!$G$5:$G$500,"F",'LANÇAMENTOS DIÁRIOS'!$C$5:$C$500,$A96,'LANÇAMENTOS DIÁRIOS'!$O$5:$O$500,"&lt;=115799",'LANÇAMENTOS DIÁRIOS'!$P$5:$P$500,"&gt;=115700")&gt;0,"X","")</f>
      </c>
      <c r="AS96" s="56" t="str">
        <f>IF(COUNTIFS('LANÇAMENTOS DIÁRIOS'!$G$5:$G$500,"F",'LANÇAMENTOS DIÁRIOS'!$C$5:$C$500,$A96,'LANÇAMENTOS DIÁRIOS'!$O$5:$O$500,"&lt;=115899",'LANÇAMENTOS DIÁRIOS'!$P$5:$P$500,"&gt;=115800")&gt;0,"X","")</f>
      </c>
      <c r="AT96" s="56" t="str">
        <f>IF(COUNTIFS('LANÇAMENTOS DIÁRIOS'!$G$5:$G$500,"F",'LANÇAMENTOS DIÁRIOS'!$C$5:$C$500,$A96,'LANÇAMENTOS DIÁRIOS'!$O$5:$O$500,"&lt;=115999",'LANÇAMENTOS DIÁRIOS'!$P$5:$P$500,"&gt;=115900")&gt;0,"X","")</f>
      </c>
      <c r="AU96" s="56" t="str">
        <f>IF(COUNTIFS('LANÇAMENTOS DIÁRIOS'!$G$5:$G$500,"F",'LANÇAMENTOS DIÁRIOS'!$C$5:$C$500,$A96,'LANÇAMENTOS DIÁRIOS'!$O$5:$O$500,"&lt;=116099",'LANÇAMENTOS DIÁRIOS'!$P$5:$P$500,"&gt;=116000")&gt;0,"X","")</f>
      </c>
      <c r="AV96" s="56" t="str">
        <f>IF(COUNTIFS('LANÇAMENTOS DIÁRIOS'!$G$5:$G$500,"F",'LANÇAMENTOS DIÁRIOS'!$C$5:$C$500,$A96,'LANÇAMENTOS DIÁRIOS'!$O$5:$O$500,"&lt;=116199",'LANÇAMENTOS DIÁRIOS'!$P$5:$P$500,"&gt;=116100")&gt;0,"X","")</f>
      </c>
      <c r="AW96" s="56" t="str">
        <f>IF(COUNTIFS('LANÇAMENTOS DIÁRIOS'!$G$5:$G$500,"F",'LANÇAMENTOS DIÁRIOS'!$C$5:$C$500,$A96,'LANÇAMENTOS DIÁRIOS'!$O$5:$O$500,"&lt;=116299",'LANÇAMENTOS DIÁRIOS'!$P$5:$P$500,"&gt;=116200")&gt;0,"X","")</f>
      </c>
      <c r="AX96" s="56" t="str">
        <f>IF(COUNTIFS('LANÇAMENTOS DIÁRIOS'!$G$5:$G$500,"F",'LANÇAMENTOS DIÁRIOS'!$C$5:$C$500,$A96,'LANÇAMENTOS DIÁRIOS'!$O$5:$O$500,"&lt;=116399",'LANÇAMENTOS DIÁRIOS'!$P$5:$P$500,"&gt;=116300")&gt;0,"X","")</f>
      </c>
      <c r="AY96" s="56" t="str">
        <f>IF(COUNTIFS('LANÇAMENTOS DIÁRIOS'!$G$5:$G$500,"F",'LANÇAMENTOS DIÁRIOS'!$C$5:$C$500,$A96,'LANÇAMENTOS DIÁRIOS'!$O$5:$O$500,"&lt;=116499",'LANÇAMENTOS DIÁRIOS'!$P$5:$P$500,"&gt;=116400")&gt;0,"X","")</f>
      </c>
      <c r="AZ96" s="56" t="str">
        <f>IF(COUNTIFS('LANÇAMENTOS DIÁRIOS'!$G$5:$G$500,"F",'LANÇAMENTOS DIÁRIOS'!$C$5:$C$500,$A96,'LANÇAMENTOS DIÁRIOS'!$O$5:$O$500,"&lt;=116599",'LANÇAMENTOS DIÁRIOS'!$P$5:$P$500,"&gt;=116500")&gt;0,"X","")</f>
      </c>
      <c r="BA96" s="56" t="str">
        <f>IF(COUNTIFS('LANÇAMENTOS DIÁRIOS'!$G$5:$G$500,"F",'LANÇAMENTOS DIÁRIOS'!$C$5:$C$500,$A96,'LANÇAMENTOS DIÁRIOS'!$O$5:$O$500,"&lt;=116699",'LANÇAMENTOS DIÁRIOS'!$P$5:$P$500,"&gt;=116600")&gt;0,"X","")</f>
      </c>
      <c r="BB96" s="56" t="str">
        <f>IF(COUNTIFS('LANÇAMENTOS DIÁRIOS'!$G$5:$G$500,"F",'LANÇAMENTOS DIÁRIOS'!$C$5:$C$500,$A96,'LANÇAMENTOS DIÁRIOS'!$O$5:$O$500,"&lt;=116799",'LANÇAMENTOS DIÁRIOS'!$P$5:$P$500,"&gt;=116700")&gt;0,"X","")</f>
      </c>
      <c r="BC96" s="56" t="str">
        <f>IF(COUNTIFS('LANÇAMENTOS DIÁRIOS'!$G$5:$G$500,"F",'LANÇAMENTOS DIÁRIOS'!$C$5:$C$500,$A96,'LANÇAMENTOS DIÁRIOS'!$O$5:$O$500,"&lt;=116899",'LANÇAMENTOS DIÁRIOS'!$P$5:$P$500,"&gt;=116800")&gt;0,"X","")</f>
      </c>
      <c r="BD96" s="56" t="str">
        <f>IF(COUNTIFS('LANÇAMENTOS DIÁRIOS'!$G$5:$G$500,"F",'LANÇAMENTOS DIÁRIOS'!$C$5:$C$500,$A96,'LANÇAMENTOS DIÁRIOS'!$O$5:$O$500,"&lt;=116999",'LANÇAMENTOS DIÁRIOS'!$P$5:$P$500,"&gt;=116900")&gt;0,"X","")</f>
      </c>
      <c r="BE96" s="56" t="str">
        <f>IF(COUNTIFS('LANÇAMENTOS DIÁRIOS'!$G$5:$G$500,"F",'LANÇAMENTOS DIÁRIOS'!$C$5:$C$500,$A96,'LANÇAMENTOS DIÁRIOS'!$O$5:$O$500,"&lt;=117099",'LANÇAMENTOS DIÁRIOS'!$P$5:$P$500,"&gt;=117000")&gt;0,"X","")</f>
      </c>
      <c r="BF96" s="56" t="str">
        <f>IF(COUNTIFS('LANÇAMENTOS DIÁRIOS'!$G$5:$G$500,"F",'LANÇAMENTOS DIÁRIOS'!$C$5:$C$500,$A96,'LANÇAMENTOS DIÁRIOS'!$O$5:$O$500,"&lt;=117199",'LANÇAMENTOS DIÁRIOS'!$P$5:$P$500,"&gt;=117100")&gt;0,"X","")</f>
      </c>
      <c r="BG96" s="56" t="str">
        <f>IF(COUNTIFS('LANÇAMENTOS DIÁRIOS'!$G$5:$G$500,"F",'LANÇAMENTOS DIÁRIOS'!$C$5:$C$500,$A96,'LANÇAMENTOS DIÁRIOS'!$O$5:$O$500,"&lt;=117219",'LANÇAMENTOS DIÁRIOS'!$P$5:$P$500,"&gt;=117200")&gt;0,"X","")</f>
      </c>
      <c r="BH96" s="56" t="str">
        <f>IF(COUNTIFS('LANÇAMENTOS DIÁRIOS'!$G$5:$G$500,"F",'LANÇAMENTOS DIÁRIOS'!$C$5:$C$500,$A96,'LANÇAMENTOS DIÁRIOS'!$O$5:$O$500,"&lt;=117220",'LANÇAMENTOS DIÁRIOS'!$P$5:$P$500,"&gt;=117220")&gt;0,"X","")</f>
      </c>
    </row>
    <row r="97" ht="19" customHeight="1">
      <c r="A97" s="68" t="str">
        <v>Execução de dreno de pavimento e de plataforma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</row>
    <row r="98">
      <c r="A98" s="51" t="str">
        <v>Execução de dreno de pavimento e de plataforma</v>
      </c>
      <c r="B98" s="56" t="str">
        <f>IF(COUNTIFS('LANÇAMENTOS DIÁRIOS'!$G$5:$G$500,"F",'LANÇAMENTOS DIÁRIOS'!$C$5:$C$500,$A98,'LANÇAMENTOS DIÁRIOS'!$O$5:$O$500,"&lt;=111599",'LANÇAMENTOS DIÁRIOS'!$P$5:$P$500,"&gt;=111500")&gt;0,"X","")</f>
      </c>
      <c r="C98" s="56" t="str">
        <f>IF(COUNTIFS('LANÇAMENTOS DIÁRIOS'!$G$5:$G$500,"F",'LANÇAMENTOS DIÁRIOS'!$C$5:$C$500,$A98,'LANÇAMENTOS DIÁRIOS'!$O$5:$O$500,"&lt;=111699",'LANÇAMENTOS DIÁRIOS'!$P$5:$P$500,"&gt;=111600")&gt;0,"X","")</f>
      </c>
      <c r="D98" s="56" t="str">
        <f>IF(COUNTIFS('LANÇAMENTOS DIÁRIOS'!$G$5:$G$500,"F",'LANÇAMENTOS DIÁRIOS'!$C$5:$C$500,$A98,'LANÇAMENTOS DIÁRIOS'!$O$5:$O$500,"&lt;=111799",'LANÇAMENTOS DIÁRIOS'!$P$5:$P$500,"&gt;=111700")&gt;0,"X","")</f>
      </c>
      <c r="E98" s="56" t="str">
        <f>IF(COUNTIFS('LANÇAMENTOS DIÁRIOS'!$G$5:$G$500,"F",'LANÇAMENTOS DIÁRIOS'!$C$5:$C$500,$A98,'LANÇAMENTOS DIÁRIOS'!$O$5:$O$500,"&lt;=111899",'LANÇAMENTOS DIÁRIOS'!$P$5:$P$500,"&gt;=111800")&gt;0,"X","")</f>
      </c>
      <c r="F98" s="56" t="str">
        <f>IF(COUNTIFS('LANÇAMENTOS DIÁRIOS'!$G$5:$G$500,"F",'LANÇAMENTOS DIÁRIOS'!$C$5:$C$500,$A98,'LANÇAMENTOS DIÁRIOS'!$O$5:$O$500,"&lt;=111999",'LANÇAMENTOS DIÁRIOS'!$P$5:$P$500,"&gt;=111900")&gt;0,"X","")</f>
      </c>
      <c r="G98" s="56" t="str">
        <f>IF(COUNTIFS('LANÇAMENTOS DIÁRIOS'!$G$5:$G$500,"F",'LANÇAMENTOS DIÁRIOS'!$C$5:$C$500,$A98,'LANÇAMENTOS DIÁRIOS'!$O$5:$O$500,"&lt;=112099",'LANÇAMENTOS DIÁRIOS'!$P$5:$P$500,"&gt;=112000")&gt;0,"X","")</f>
      </c>
      <c r="H98" s="56" t="str">
        <f>IF(COUNTIFS('LANÇAMENTOS DIÁRIOS'!$G$5:$G$500,"F",'LANÇAMENTOS DIÁRIOS'!$C$5:$C$500,$A98,'LANÇAMENTOS DIÁRIOS'!$O$5:$O$500,"&lt;=112199",'LANÇAMENTOS DIÁRIOS'!$P$5:$P$500,"&gt;=112100")&gt;0,"X","")</f>
      </c>
      <c r="I98" s="56" t="str">
        <f>IF(COUNTIFS('LANÇAMENTOS DIÁRIOS'!$G$5:$G$500,"F",'LANÇAMENTOS DIÁRIOS'!$C$5:$C$500,$A98,'LANÇAMENTOS DIÁRIOS'!$O$5:$O$500,"&lt;=112299",'LANÇAMENTOS DIÁRIOS'!$P$5:$P$500,"&gt;=112200")&gt;0,"X","")</f>
      </c>
      <c r="J98" s="56" t="str">
        <f>IF(COUNTIFS('LANÇAMENTOS DIÁRIOS'!$G$5:$G$500,"F",'LANÇAMENTOS DIÁRIOS'!$C$5:$C$500,$A98,'LANÇAMENTOS DIÁRIOS'!$O$5:$O$500,"&lt;=112399",'LANÇAMENTOS DIÁRIOS'!$P$5:$P$500,"&gt;=112300")&gt;0,"X","")</f>
      </c>
      <c r="K98" s="56" t="str">
        <f>IF(COUNTIFS('LANÇAMENTOS DIÁRIOS'!$G$5:$G$500,"F",'LANÇAMENTOS DIÁRIOS'!$C$5:$C$500,$A98,'LANÇAMENTOS DIÁRIOS'!$O$5:$O$500,"&lt;=112499",'LANÇAMENTOS DIÁRIOS'!$P$5:$P$500,"&gt;=112400")&gt;0,"X","")</f>
      </c>
      <c r="L98" s="56" t="str">
        <f>IF(COUNTIFS('LANÇAMENTOS DIÁRIOS'!$G$5:$G$500,"F",'LANÇAMENTOS DIÁRIOS'!$C$5:$C$500,$A98,'LANÇAMENTOS DIÁRIOS'!$O$5:$O$500,"&lt;=112599",'LANÇAMENTOS DIÁRIOS'!$P$5:$P$500,"&gt;=112500")&gt;0,"X","")</f>
      </c>
      <c r="M98" s="56" t="str">
        <f>IF(COUNTIFS('LANÇAMENTOS DIÁRIOS'!$G$5:$G$500,"F",'LANÇAMENTOS DIÁRIOS'!$C$5:$C$500,$A98,'LANÇAMENTOS DIÁRIOS'!$O$5:$O$500,"&lt;=112699",'LANÇAMENTOS DIÁRIOS'!$P$5:$P$500,"&gt;=112600")&gt;0,"X","")</f>
      </c>
      <c r="N98" s="56" t="str">
        <f>IF(COUNTIFS('LANÇAMENTOS DIÁRIOS'!$G$5:$G$500,"F",'LANÇAMENTOS DIÁRIOS'!$C$5:$C$500,$A98,'LANÇAMENTOS DIÁRIOS'!$O$5:$O$500,"&lt;=112799",'LANÇAMENTOS DIÁRIOS'!$P$5:$P$500,"&gt;=112700")&gt;0,"X","")</f>
      </c>
      <c r="O98" s="56" t="str">
        <f>IF(COUNTIFS('LANÇAMENTOS DIÁRIOS'!$G$5:$G$500,"F",'LANÇAMENTOS DIÁRIOS'!$C$5:$C$500,$A98,'LANÇAMENTOS DIÁRIOS'!$O$5:$O$500,"&lt;=112899",'LANÇAMENTOS DIÁRIOS'!$P$5:$P$500,"&gt;=112800")&gt;0,"X","")</f>
      </c>
      <c r="P98" s="56" t="str">
        <f>IF(COUNTIFS('LANÇAMENTOS DIÁRIOS'!$G$5:$G$500,"F",'LANÇAMENTOS DIÁRIOS'!$C$5:$C$500,$A98,'LANÇAMENTOS DIÁRIOS'!$O$5:$O$500,"&lt;=112999",'LANÇAMENTOS DIÁRIOS'!$P$5:$P$500,"&gt;=112900")&gt;0,"X","")</f>
      </c>
      <c r="Q98" s="56" t="str">
        <f>IF(COUNTIFS('LANÇAMENTOS DIÁRIOS'!$G$5:$G$500,"F",'LANÇAMENTOS DIÁRIOS'!$C$5:$C$500,$A98,'LANÇAMENTOS DIÁRIOS'!$O$5:$O$500,"&lt;=113099",'LANÇAMENTOS DIÁRIOS'!$P$5:$P$500,"&gt;=113000")&gt;0,"X","")</f>
      </c>
      <c r="R98" s="56" t="str">
        <f>IF(COUNTIFS('LANÇAMENTOS DIÁRIOS'!$G$5:$G$500,"F",'LANÇAMENTOS DIÁRIOS'!$C$5:$C$500,$A98,'LANÇAMENTOS DIÁRIOS'!$O$5:$O$500,"&lt;=113199",'LANÇAMENTOS DIÁRIOS'!$P$5:$P$500,"&gt;=113100")&gt;0,"X","")</f>
      </c>
      <c r="S98" s="56" t="str">
        <f>IF(COUNTIFS('LANÇAMENTOS DIÁRIOS'!$G$5:$G$500,"F",'LANÇAMENTOS DIÁRIOS'!$C$5:$C$500,$A98,'LANÇAMENTOS DIÁRIOS'!$O$5:$O$500,"&lt;=113299",'LANÇAMENTOS DIÁRIOS'!$P$5:$P$500,"&gt;=113200")&gt;0,"X","")</f>
      </c>
      <c r="T98" s="56" t="str">
        <f>IF(COUNTIFS('LANÇAMENTOS DIÁRIOS'!$G$5:$G$500,"F",'LANÇAMENTOS DIÁRIOS'!$C$5:$C$500,$A98,'LANÇAMENTOS DIÁRIOS'!$O$5:$O$500,"&lt;=113399",'LANÇAMENTOS DIÁRIOS'!$P$5:$P$500,"&gt;=113300")&gt;0,"X","")</f>
      </c>
      <c r="U98" s="56" t="str">
        <f>IF(COUNTIFS('LANÇAMENTOS DIÁRIOS'!$G$5:$G$500,"F",'LANÇAMENTOS DIÁRIOS'!$C$5:$C$500,$A98,'LANÇAMENTOS DIÁRIOS'!$O$5:$O$500,"&lt;=113499",'LANÇAMENTOS DIÁRIOS'!$P$5:$P$500,"&gt;=113400")&gt;0,"X","")</f>
      </c>
      <c r="V98" s="56" t="str">
        <f>IF(COUNTIFS('LANÇAMENTOS DIÁRIOS'!$G$5:$G$500,"F",'LANÇAMENTOS DIÁRIOS'!$C$5:$C$500,$A98,'LANÇAMENTOS DIÁRIOS'!$O$5:$O$500,"&lt;=113599",'LANÇAMENTOS DIÁRIOS'!$P$5:$P$500,"&gt;=113500")&gt;0,"X","")</f>
      </c>
      <c r="W98" s="56" t="str">
        <f>IF(COUNTIFS('LANÇAMENTOS DIÁRIOS'!$G$5:$G$500,"F",'LANÇAMENTOS DIÁRIOS'!$C$5:$C$500,$A98,'LANÇAMENTOS DIÁRIOS'!$O$5:$O$500,"&lt;=113699",'LANÇAMENTOS DIÁRIOS'!$P$5:$P$500,"&gt;=113600")&gt;0,"X","")</f>
      </c>
      <c r="X98" s="56" t="str">
        <f>IF(COUNTIFS('LANÇAMENTOS DIÁRIOS'!$G$5:$G$500,"F",'LANÇAMENTOS DIÁRIOS'!$C$5:$C$500,$A98,'LANÇAMENTOS DIÁRIOS'!$O$5:$O$500,"&lt;=113799",'LANÇAMENTOS DIÁRIOS'!$P$5:$P$500,"&gt;=113700")&gt;0,"X","")</f>
      </c>
      <c r="Y98" s="56" t="str">
        <f>IF(COUNTIFS('LANÇAMENTOS DIÁRIOS'!$G$5:$G$500,"F",'LANÇAMENTOS DIÁRIOS'!$C$5:$C$500,$A98,'LANÇAMENTOS DIÁRIOS'!$O$5:$O$500,"&lt;=113899",'LANÇAMENTOS DIÁRIOS'!$P$5:$P$500,"&gt;=113800")&gt;0,"X","")</f>
      </c>
      <c r="Z98" s="56" t="str">
        <f>IF(COUNTIFS('LANÇAMENTOS DIÁRIOS'!$G$5:$G$500,"F",'LANÇAMENTOS DIÁRIOS'!$C$5:$C$500,$A98,'LANÇAMENTOS DIÁRIOS'!$O$5:$O$500,"&lt;=113999",'LANÇAMENTOS DIÁRIOS'!$P$5:$P$500,"&gt;=113900")&gt;0,"X","")</f>
      </c>
      <c r="AA98" s="56" t="str">
        <f>IF(COUNTIFS('LANÇAMENTOS DIÁRIOS'!$G$5:$G$500,"F",'LANÇAMENTOS DIÁRIOS'!$C$5:$C$500,$A98,'LANÇAMENTOS DIÁRIOS'!$O$5:$O$500,"&lt;=114099",'LANÇAMENTOS DIÁRIOS'!$P$5:$P$500,"&gt;=114000")&gt;0,"X","")</f>
      </c>
      <c r="AB98" s="56" t="str">
        <f>IF(COUNTIFS('LANÇAMENTOS DIÁRIOS'!$G$5:$G$500,"F",'LANÇAMENTOS DIÁRIOS'!$C$5:$C$500,$A98,'LANÇAMENTOS DIÁRIOS'!$O$5:$O$500,"&lt;=114199",'LANÇAMENTOS DIÁRIOS'!$P$5:$P$500,"&gt;=114100")&gt;0,"X","")</f>
      </c>
      <c r="AC98" s="56" t="str">
        <f>IF(COUNTIFS('LANÇAMENTOS DIÁRIOS'!$G$5:$G$500,"F",'LANÇAMENTOS DIÁRIOS'!$C$5:$C$500,$A98,'LANÇAMENTOS DIÁRIOS'!$O$5:$O$500,"&lt;=114299",'LANÇAMENTOS DIÁRIOS'!$P$5:$P$500,"&gt;=114200")&gt;0,"X","")</f>
      </c>
      <c r="AD98" s="56" t="str">
        <f>IF(COUNTIFS('LANÇAMENTOS DIÁRIOS'!$G$5:$G$500,"F",'LANÇAMENTOS DIÁRIOS'!$C$5:$C$500,$A98,'LANÇAMENTOS DIÁRIOS'!$O$5:$O$500,"&lt;=114399",'LANÇAMENTOS DIÁRIOS'!$P$5:$P$500,"&gt;=114300")&gt;0,"X","")</f>
      </c>
      <c r="AE98" s="56" t="str">
        <f>IF(COUNTIFS('LANÇAMENTOS DIÁRIOS'!$G$5:$G$500,"F",'LANÇAMENTOS DIÁRIOS'!$C$5:$C$500,$A98,'LANÇAMENTOS DIÁRIOS'!$O$5:$O$500,"&lt;=114499",'LANÇAMENTOS DIÁRIOS'!$P$5:$P$500,"&gt;=114400")&gt;0,"X","")</f>
      </c>
      <c r="AF98" s="56" t="str">
        <f>IF(COUNTIFS('LANÇAMENTOS DIÁRIOS'!$G$5:$G$500,"F",'LANÇAMENTOS DIÁRIOS'!$C$5:$C$500,$A98,'LANÇAMENTOS DIÁRIOS'!$O$5:$O$500,"&lt;=114599",'LANÇAMENTOS DIÁRIOS'!$P$5:$P$500,"&gt;=114500")&gt;0,"X","")</f>
      </c>
      <c r="AG98" s="56" t="str">
        <f>IF(COUNTIFS('LANÇAMENTOS DIÁRIOS'!$G$5:$G$500,"F",'LANÇAMENTOS DIÁRIOS'!$C$5:$C$500,$A98,'LANÇAMENTOS DIÁRIOS'!$O$5:$O$500,"&lt;=114699",'LANÇAMENTOS DIÁRIOS'!$P$5:$P$500,"&gt;=114600")&gt;0,"X","")</f>
      </c>
      <c r="AH98" s="56" t="str">
        <f>IF(COUNTIFS('LANÇAMENTOS DIÁRIOS'!$G$5:$G$500,"F",'LANÇAMENTOS DIÁRIOS'!$C$5:$C$500,$A98,'LANÇAMENTOS DIÁRIOS'!$O$5:$O$500,"&lt;=114799",'LANÇAMENTOS DIÁRIOS'!$P$5:$P$500,"&gt;=114700")&gt;0,"X","")</f>
      </c>
      <c r="AI98" s="56" t="str">
        <f>IF(COUNTIFS('LANÇAMENTOS DIÁRIOS'!$G$5:$G$500,"F",'LANÇAMENTOS DIÁRIOS'!$C$5:$C$500,$A98,'LANÇAMENTOS DIÁRIOS'!$O$5:$O$500,"&lt;=114899",'LANÇAMENTOS DIÁRIOS'!$P$5:$P$500,"&gt;=114800")&gt;0,"X","")</f>
      </c>
      <c r="AJ98" s="56" t="str">
        <f>IF(COUNTIFS('LANÇAMENTOS DIÁRIOS'!$G$5:$G$500,"F",'LANÇAMENTOS DIÁRIOS'!$C$5:$C$500,$A98,'LANÇAMENTOS DIÁRIOS'!$O$5:$O$500,"&lt;=114999",'LANÇAMENTOS DIÁRIOS'!$P$5:$P$500,"&gt;=114900")&gt;0,"X","")</f>
      </c>
      <c r="AK98" s="56" t="str">
        <f>IF(COUNTIFS('LANÇAMENTOS DIÁRIOS'!$G$5:$G$500,"F",'LANÇAMENTOS DIÁRIOS'!$C$5:$C$500,$A98,'LANÇAMENTOS DIÁRIOS'!$O$5:$O$500,"&lt;=115099",'LANÇAMENTOS DIÁRIOS'!$P$5:$P$500,"&gt;=115000")&gt;0,"X","")</f>
      </c>
      <c r="AL98" s="56" t="str">
        <f>IF(COUNTIFS('LANÇAMENTOS DIÁRIOS'!$G$5:$G$500,"F",'LANÇAMENTOS DIÁRIOS'!$C$5:$C$500,$A98,'LANÇAMENTOS DIÁRIOS'!$O$5:$O$500,"&lt;=115199",'LANÇAMENTOS DIÁRIOS'!$P$5:$P$500,"&gt;=115100")&gt;0,"X","")</f>
      </c>
      <c r="AM98" s="56" t="str">
        <f>IF(COUNTIFS('LANÇAMENTOS DIÁRIOS'!$G$5:$G$500,"F",'LANÇAMENTOS DIÁRIOS'!$C$5:$C$500,$A98,'LANÇAMENTOS DIÁRIOS'!$O$5:$O$500,"&lt;=115299",'LANÇAMENTOS DIÁRIOS'!$P$5:$P$500,"&gt;=115200")&gt;0,"X","")</f>
      </c>
      <c r="AN98" s="56" t="str">
        <f>IF(COUNTIFS('LANÇAMENTOS DIÁRIOS'!$G$5:$G$500,"F",'LANÇAMENTOS DIÁRIOS'!$C$5:$C$500,$A98,'LANÇAMENTOS DIÁRIOS'!$O$5:$O$500,"&lt;=115399",'LANÇAMENTOS DIÁRIOS'!$P$5:$P$500,"&gt;=115300")&gt;0,"X","")</f>
      </c>
      <c r="AO98" s="56" t="str">
        <f>IF(COUNTIFS('LANÇAMENTOS DIÁRIOS'!$G$5:$G$500,"F",'LANÇAMENTOS DIÁRIOS'!$C$5:$C$500,$A98,'LANÇAMENTOS DIÁRIOS'!$O$5:$O$500,"&lt;=115499",'LANÇAMENTOS DIÁRIOS'!$P$5:$P$500,"&gt;=115400")&gt;0,"X","")</f>
      </c>
      <c r="AP98" s="56" t="str">
        <f>IF(COUNTIFS('LANÇAMENTOS DIÁRIOS'!$G$5:$G$500,"F",'LANÇAMENTOS DIÁRIOS'!$C$5:$C$500,$A98,'LANÇAMENTOS DIÁRIOS'!$O$5:$O$500,"&lt;=115599",'LANÇAMENTOS DIÁRIOS'!$P$5:$P$500,"&gt;=115500")&gt;0,"X","")</f>
      </c>
      <c r="AQ98" s="56" t="str">
        <f>IF(COUNTIFS('LANÇAMENTOS DIÁRIOS'!$G$5:$G$500,"F",'LANÇAMENTOS DIÁRIOS'!$C$5:$C$500,$A98,'LANÇAMENTOS DIÁRIOS'!$O$5:$O$500,"&lt;=115699",'LANÇAMENTOS DIÁRIOS'!$P$5:$P$500,"&gt;=115600")&gt;0,"X","")</f>
      </c>
      <c r="AR98" s="56" t="str">
        <f>IF(COUNTIFS('LANÇAMENTOS DIÁRIOS'!$G$5:$G$500,"F",'LANÇAMENTOS DIÁRIOS'!$C$5:$C$500,$A98,'LANÇAMENTOS DIÁRIOS'!$O$5:$O$500,"&lt;=115799",'LANÇAMENTOS DIÁRIOS'!$P$5:$P$500,"&gt;=115700")&gt;0,"X","")</f>
      </c>
      <c r="AS98" s="56" t="str">
        <f>IF(COUNTIFS('LANÇAMENTOS DIÁRIOS'!$G$5:$G$500,"F",'LANÇAMENTOS DIÁRIOS'!$C$5:$C$500,$A98,'LANÇAMENTOS DIÁRIOS'!$O$5:$O$500,"&lt;=115899",'LANÇAMENTOS DIÁRIOS'!$P$5:$P$500,"&gt;=115800")&gt;0,"X","")</f>
      </c>
      <c r="AT98" s="56" t="str">
        <f>IF(COUNTIFS('LANÇAMENTOS DIÁRIOS'!$G$5:$G$500,"F",'LANÇAMENTOS DIÁRIOS'!$C$5:$C$500,$A98,'LANÇAMENTOS DIÁRIOS'!$O$5:$O$500,"&lt;=115999",'LANÇAMENTOS DIÁRIOS'!$P$5:$P$500,"&gt;=115900")&gt;0,"X","")</f>
      </c>
      <c r="AU98" s="56" t="str">
        <f>IF(COUNTIFS('LANÇAMENTOS DIÁRIOS'!$G$5:$G$500,"F",'LANÇAMENTOS DIÁRIOS'!$C$5:$C$500,$A98,'LANÇAMENTOS DIÁRIOS'!$O$5:$O$500,"&lt;=116099",'LANÇAMENTOS DIÁRIOS'!$P$5:$P$500,"&gt;=116000")&gt;0,"X","")</f>
      </c>
      <c r="AV98" s="56" t="str">
        <f>IF(COUNTIFS('LANÇAMENTOS DIÁRIOS'!$G$5:$G$500,"F",'LANÇAMENTOS DIÁRIOS'!$C$5:$C$500,$A98,'LANÇAMENTOS DIÁRIOS'!$O$5:$O$500,"&lt;=116199",'LANÇAMENTOS DIÁRIOS'!$P$5:$P$500,"&gt;=116100")&gt;0,"X","")</f>
      </c>
      <c r="AW98" s="56" t="str">
        <f>IF(COUNTIFS('LANÇAMENTOS DIÁRIOS'!$G$5:$G$500,"F",'LANÇAMENTOS DIÁRIOS'!$C$5:$C$500,$A98,'LANÇAMENTOS DIÁRIOS'!$O$5:$O$500,"&lt;=116299",'LANÇAMENTOS DIÁRIOS'!$P$5:$P$500,"&gt;=116200")&gt;0,"X","")</f>
      </c>
      <c r="AX98" s="56" t="str">
        <f>IF(COUNTIFS('LANÇAMENTOS DIÁRIOS'!$G$5:$G$500,"F",'LANÇAMENTOS DIÁRIOS'!$C$5:$C$500,$A98,'LANÇAMENTOS DIÁRIOS'!$O$5:$O$500,"&lt;=116399",'LANÇAMENTOS DIÁRIOS'!$P$5:$P$500,"&gt;=116300")&gt;0,"X","")</f>
      </c>
      <c r="AY98" s="56" t="str">
        <f>IF(COUNTIFS('LANÇAMENTOS DIÁRIOS'!$G$5:$G$500,"F",'LANÇAMENTOS DIÁRIOS'!$C$5:$C$500,$A98,'LANÇAMENTOS DIÁRIOS'!$O$5:$O$500,"&lt;=116499",'LANÇAMENTOS DIÁRIOS'!$P$5:$P$500,"&gt;=116400")&gt;0,"X","")</f>
      </c>
      <c r="AZ98" s="56" t="str">
        <f>IF(COUNTIFS('LANÇAMENTOS DIÁRIOS'!$G$5:$G$500,"F",'LANÇAMENTOS DIÁRIOS'!$C$5:$C$500,$A98,'LANÇAMENTOS DIÁRIOS'!$O$5:$O$500,"&lt;=116599",'LANÇAMENTOS DIÁRIOS'!$P$5:$P$500,"&gt;=116500")&gt;0,"X","")</f>
      </c>
      <c r="BA98" s="56" t="str">
        <f>IF(COUNTIFS('LANÇAMENTOS DIÁRIOS'!$G$5:$G$500,"F",'LANÇAMENTOS DIÁRIOS'!$C$5:$C$500,$A98,'LANÇAMENTOS DIÁRIOS'!$O$5:$O$500,"&lt;=116699",'LANÇAMENTOS DIÁRIOS'!$P$5:$P$500,"&gt;=116600")&gt;0,"X","")</f>
      </c>
      <c r="BB98" s="56" t="str">
        <f>IF(COUNTIFS('LANÇAMENTOS DIÁRIOS'!$G$5:$G$500,"F",'LANÇAMENTOS DIÁRIOS'!$C$5:$C$500,$A98,'LANÇAMENTOS DIÁRIOS'!$O$5:$O$500,"&lt;=116799",'LANÇAMENTOS DIÁRIOS'!$P$5:$P$500,"&gt;=116700")&gt;0,"X","")</f>
      </c>
      <c r="BC98" s="56" t="str">
        <f>IF(COUNTIFS('LANÇAMENTOS DIÁRIOS'!$G$5:$G$500,"F",'LANÇAMENTOS DIÁRIOS'!$C$5:$C$500,$A98,'LANÇAMENTOS DIÁRIOS'!$O$5:$O$500,"&lt;=116899",'LANÇAMENTOS DIÁRIOS'!$P$5:$P$500,"&gt;=116800")&gt;0,"X","")</f>
      </c>
      <c r="BD98" s="56" t="str">
        <f>IF(COUNTIFS('LANÇAMENTOS DIÁRIOS'!$G$5:$G$500,"F",'LANÇAMENTOS DIÁRIOS'!$C$5:$C$500,$A98,'LANÇAMENTOS DIÁRIOS'!$O$5:$O$500,"&lt;=116999",'LANÇAMENTOS DIÁRIOS'!$P$5:$P$500,"&gt;=116900")&gt;0,"X","")</f>
      </c>
      <c r="BE98" s="56" t="str">
        <f>IF(COUNTIFS('LANÇAMENTOS DIÁRIOS'!$G$5:$G$500,"F",'LANÇAMENTOS DIÁRIOS'!$C$5:$C$500,$A98,'LANÇAMENTOS DIÁRIOS'!$O$5:$O$500,"&lt;=117099",'LANÇAMENTOS DIÁRIOS'!$P$5:$P$500,"&gt;=117000")&gt;0,"X","")</f>
      </c>
      <c r="BF98" s="56" t="str">
        <f>IF(COUNTIFS('LANÇAMENTOS DIÁRIOS'!$G$5:$G$500,"F",'LANÇAMENTOS DIÁRIOS'!$C$5:$C$500,$A98,'LANÇAMENTOS DIÁRIOS'!$O$5:$O$500,"&lt;=117199",'LANÇAMENTOS DIÁRIOS'!$P$5:$P$500,"&gt;=117100")&gt;0,"X","")</f>
      </c>
      <c r="BG98" s="56" t="str">
        <f>IF(COUNTIFS('LANÇAMENTOS DIÁRIOS'!$G$5:$G$500,"F",'LANÇAMENTOS DIÁRIOS'!$C$5:$C$500,$A98,'LANÇAMENTOS DIÁRIOS'!$O$5:$O$500,"&lt;=117219",'LANÇAMENTOS DIÁRIOS'!$P$5:$P$500,"&gt;=117200")&gt;0,"X","")</f>
      </c>
      <c r="BH98" s="56" t="str">
        <f>IF(COUNTIFS('LANÇAMENTOS DIÁRIOS'!$G$5:$G$500,"F",'LANÇAMENTOS DIÁRIOS'!$C$5:$C$500,$A98,'LANÇAMENTOS DIÁRIOS'!$O$5:$O$500,"&lt;=117220",'LANÇAMENTOS DIÁRIOS'!$P$5:$P$500,"&gt;=117220")&gt;0,"X","")</f>
      </c>
    </row>
    <row r="99" ht="21" customHeight="1">
      <c r="A99" s="60" t="str">
        <v>Obras complementares exigidas</v>
      </c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</row>
    <row r="100" ht="19" customHeight="1">
      <c r="A100" s="68" t="str">
        <v>Passagens de fauna e melhorias no habitat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</row>
    <row r="101">
      <c r="A101" s="51" t="str">
        <v>Passagem de fauna adaptada em bueiro</v>
      </c>
      <c r="B101" s="56" t="str">
        <f>IF(COUNTIFS('LANÇAMENTOS DIÁRIOS'!$G$5:$G$500,"F",'LANÇAMENTOS DIÁRIOS'!$C$5:$C$500,$A101,'LANÇAMENTOS DIÁRIOS'!$O$5:$O$500,"&lt;=111599",'LANÇAMENTOS DIÁRIOS'!$P$5:$P$500,"&gt;=111500")&gt;0,"X","")</f>
      </c>
      <c r="C101" s="56" t="str">
        <f>IF(COUNTIFS('LANÇAMENTOS DIÁRIOS'!$G$5:$G$500,"F",'LANÇAMENTOS DIÁRIOS'!$C$5:$C$500,$A101,'LANÇAMENTOS DIÁRIOS'!$O$5:$O$500,"&lt;=111699",'LANÇAMENTOS DIÁRIOS'!$P$5:$P$500,"&gt;=111600")&gt;0,"X","")</f>
      </c>
      <c r="D101" s="56" t="str">
        <f>IF(COUNTIFS('LANÇAMENTOS DIÁRIOS'!$G$5:$G$500,"F",'LANÇAMENTOS DIÁRIOS'!$C$5:$C$500,$A101,'LANÇAMENTOS DIÁRIOS'!$O$5:$O$500,"&lt;=111799",'LANÇAMENTOS DIÁRIOS'!$P$5:$P$500,"&gt;=111700")&gt;0,"X","")</f>
      </c>
      <c r="E101" s="56" t="str">
        <f>IF(COUNTIFS('LANÇAMENTOS DIÁRIOS'!$G$5:$G$500,"F",'LANÇAMENTOS DIÁRIOS'!$C$5:$C$500,$A101,'LANÇAMENTOS DIÁRIOS'!$O$5:$O$500,"&lt;=111899",'LANÇAMENTOS DIÁRIOS'!$P$5:$P$500,"&gt;=111800")&gt;0,"X","")</f>
      </c>
      <c r="F101" s="56" t="str">
        <f>IF(COUNTIFS('LANÇAMENTOS DIÁRIOS'!$G$5:$G$500,"F",'LANÇAMENTOS DIÁRIOS'!$C$5:$C$500,$A101,'LANÇAMENTOS DIÁRIOS'!$O$5:$O$500,"&lt;=111999",'LANÇAMENTOS DIÁRIOS'!$P$5:$P$500,"&gt;=111900")&gt;0,"X","")</f>
      </c>
      <c r="G101" s="56" t="str">
        <f>IF(COUNTIFS('LANÇAMENTOS DIÁRIOS'!$G$5:$G$500,"F",'LANÇAMENTOS DIÁRIOS'!$C$5:$C$500,$A101,'LANÇAMENTOS DIÁRIOS'!$O$5:$O$500,"&lt;=112099",'LANÇAMENTOS DIÁRIOS'!$P$5:$P$500,"&gt;=112000")&gt;0,"X","")</f>
      </c>
      <c r="H101" s="56" t="str">
        <f>IF(COUNTIFS('LANÇAMENTOS DIÁRIOS'!$G$5:$G$500,"F",'LANÇAMENTOS DIÁRIOS'!$C$5:$C$500,$A101,'LANÇAMENTOS DIÁRIOS'!$O$5:$O$500,"&lt;=112199",'LANÇAMENTOS DIÁRIOS'!$P$5:$P$500,"&gt;=112100")&gt;0,"X","")</f>
      </c>
      <c r="I101" s="56" t="str">
        <f>IF(COUNTIFS('LANÇAMENTOS DIÁRIOS'!$G$5:$G$500,"F",'LANÇAMENTOS DIÁRIOS'!$C$5:$C$500,$A101,'LANÇAMENTOS DIÁRIOS'!$O$5:$O$500,"&lt;=112299",'LANÇAMENTOS DIÁRIOS'!$P$5:$P$500,"&gt;=112200")&gt;0,"X","")</f>
      </c>
      <c r="J101" s="56" t="str">
        <f>IF(COUNTIFS('LANÇAMENTOS DIÁRIOS'!$G$5:$G$500,"F",'LANÇAMENTOS DIÁRIOS'!$C$5:$C$500,$A101,'LANÇAMENTOS DIÁRIOS'!$O$5:$O$500,"&lt;=112399",'LANÇAMENTOS DIÁRIOS'!$P$5:$P$500,"&gt;=112300")&gt;0,"X","")</f>
      </c>
      <c r="K101" s="56" t="str">
        <f>IF(COUNTIFS('LANÇAMENTOS DIÁRIOS'!$G$5:$G$500,"F",'LANÇAMENTOS DIÁRIOS'!$C$5:$C$500,$A101,'LANÇAMENTOS DIÁRIOS'!$O$5:$O$500,"&lt;=112499",'LANÇAMENTOS DIÁRIOS'!$P$5:$P$500,"&gt;=112400")&gt;0,"X","")</f>
      </c>
      <c r="L101" s="56" t="str">
        <f>IF(COUNTIFS('LANÇAMENTOS DIÁRIOS'!$G$5:$G$500,"F",'LANÇAMENTOS DIÁRIOS'!$C$5:$C$500,$A101,'LANÇAMENTOS DIÁRIOS'!$O$5:$O$500,"&lt;=112599",'LANÇAMENTOS DIÁRIOS'!$P$5:$P$500,"&gt;=112500")&gt;0,"X","")</f>
      </c>
      <c r="M101" s="56" t="str">
        <f>IF(COUNTIFS('LANÇAMENTOS DIÁRIOS'!$G$5:$G$500,"F",'LANÇAMENTOS DIÁRIOS'!$C$5:$C$500,$A101,'LANÇAMENTOS DIÁRIOS'!$O$5:$O$500,"&lt;=112699",'LANÇAMENTOS DIÁRIOS'!$P$5:$P$500,"&gt;=112600")&gt;0,"X","")</f>
      </c>
      <c r="N101" s="56" t="str">
        <f>IF(COUNTIFS('LANÇAMENTOS DIÁRIOS'!$G$5:$G$500,"F",'LANÇAMENTOS DIÁRIOS'!$C$5:$C$500,$A101,'LANÇAMENTOS DIÁRIOS'!$O$5:$O$500,"&lt;=112799",'LANÇAMENTOS DIÁRIOS'!$P$5:$P$500,"&gt;=112700")&gt;0,"X","")</f>
      </c>
      <c r="O101" s="56" t="str">
        <f>IF(COUNTIFS('LANÇAMENTOS DIÁRIOS'!$G$5:$G$500,"F",'LANÇAMENTOS DIÁRIOS'!$C$5:$C$500,$A101,'LANÇAMENTOS DIÁRIOS'!$O$5:$O$500,"&lt;=112899",'LANÇAMENTOS DIÁRIOS'!$P$5:$P$500,"&gt;=112800")&gt;0,"X","")</f>
      </c>
      <c r="P101" s="56" t="str">
        <f>IF(COUNTIFS('LANÇAMENTOS DIÁRIOS'!$G$5:$G$500,"F",'LANÇAMENTOS DIÁRIOS'!$C$5:$C$500,$A101,'LANÇAMENTOS DIÁRIOS'!$O$5:$O$500,"&lt;=112999",'LANÇAMENTOS DIÁRIOS'!$P$5:$P$500,"&gt;=112900")&gt;0,"X","")</f>
      </c>
      <c r="Q101" s="56" t="str">
        <f>IF(COUNTIFS('LANÇAMENTOS DIÁRIOS'!$G$5:$G$500,"F",'LANÇAMENTOS DIÁRIOS'!$C$5:$C$500,$A101,'LANÇAMENTOS DIÁRIOS'!$O$5:$O$500,"&lt;=113099",'LANÇAMENTOS DIÁRIOS'!$P$5:$P$500,"&gt;=113000")&gt;0,"X","")</f>
      </c>
      <c r="R101" s="56" t="str">
        <f>IF(COUNTIFS('LANÇAMENTOS DIÁRIOS'!$G$5:$G$500,"F",'LANÇAMENTOS DIÁRIOS'!$C$5:$C$500,$A101,'LANÇAMENTOS DIÁRIOS'!$O$5:$O$500,"&lt;=113199",'LANÇAMENTOS DIÁRIOS'!$P$5:$P$500,"&gt;=113100")&gt;0,"X","")</f>
      </c>
      <c r="S101" s="56" t="str">
        <f>IF(COUNTIFS('LANÇAMENTOS DIÁRIOS'!$G$5:$G$500,"F",'LANÇAMENTOS DIÁRIOS'!$C$5:$C$500,$A101,'LANÇAMENTOS DIÁRIOS'!$O$5:$O$500,"&lt;=113299",'LANÇAMENTOS DIÁRIOS'!$P$5:$P$500,"&gt;=113200")&gt;0,"X","")</f>
      </c>
      <c r="T101" s="56" t="str">
        <f>IF(COUNTIFS('LANÇAMENTOS DIÁRIOS'!$G$5:$G$500,"F",'LANÇAMENTOS DIÁRIOS'!$C$5:$C$500,$A101,'LANÇAMENTOS DIÁRIOS'!$O$5:$O$500,"&lt;=113399",'LANÇAMENTOS DIÁRIOS'!$P$5:$P$500,"&gt;=113300")&gt;0,"X","")</f>
      </c>
      <c r="U101" s="56" t="str">
        <f>IF(COUNTIFS('LANÇAMENTOS DIÁRIOS'!$G$5:$G$500,"F",'LANÇAMENTOS DIÁRIOS'!$C$5:$C$500,$A101,'LANÇAMENTOS DIÁRIOS'!$O$5:$O$500,"&lt;=113499",'LANÇAMENTOS DIÁRIOS'!$P$5:$P$500,"&gt;=113400")&gt;0,"X","")</f>
      </c>
      <c r="V101" s="56" t="str">
        <f>IF(COUNTIFS('LANÇAMENTOS DIÁRIOS'!$G$5:$G$500,"F",'LANÇAMENTOS DIÁRIOS'!$C$5:$C$500,$A101,'LANÇAMENTOS DIÁRIOS'!$O$5:$O$500,"&lt;=113599",'LANÇAMENTOS DIÁRIOS'!$P$5:$P$500,"&gt;=113500")&gt;0,"X","")</f>
      </c>
      <c r="W101" s="56" t="str">
        <f>IF(COUNTIFS('LANÇAMENTOS DIÁRIOS'!$G$5:$G$500,"F",'LANÇAMENTOS DIÁRIOS'!$C$5:$C$500,$A101,'LANÇAMENTOS DIÁRIOS'!$O$5:$O$500,"&lt;=113699",'LANÇAMENTOS DIÁRIOS'!$P$5:$P$500,"&gt;=113600")&gt;0,"X","")</f>
      </c>
      <c r="X101" s="56" t="str">
        <f>IF(COUNTIFS('LANÇAMENTOS DIÁRIOS'!$G$5:$G$500,"F",'LANÇAMENTOS DIÁRIOS'!$C$5:$C$500,$A101,'LANÇAMENTOS DIÁRIOS'!$O$5:$O$500,"&lt;=113799",'LANÇAMENTOS DIÁRIOS'!$P$5:$P$500,"&gt;=113700")&gt;0,"X","")</f>
      </c>
      <c r="Y101" s="56" t="str">
        <f>IF(COUNTIFS('LANÇAMENTOS DIÁRIOS'!$G$5:$G$500,"F",'LANÇAMENTOS DIÁRIOS'!$C$5:$C$500,$A101,'LANÇAMENTOS DIÁRIOS'!$O$5:$O$500,"&lt;=113899",'LANÇAMENTOS DIÁRIOS'!$P$5:$P$500,"&gt;=113800")&gt;0,"X","")</f>
      </c>
      <c r="Z101" s="56" t="str">
        <f>IF(COUNTIFS('LANÇAMENTOS DIÁRIOS'!$G$5:$G$500,"F",'LANÇAMENTOS DIÁRIOS'!$C$5:$C$500,$A101,'LANÇAMENTOS DIÁRIOS'!$O$5:$O$500,"&lt;=113999",'LANÇAMENTOS DIÁRIOS'!$P$5:$P$500,"&gt;=113900")&gt;0,"X","")</f>
      </c>
      <c r="AA101" s="56" t="str">
        <f>IF(COUNTIFS('LANÇAMENTOS DIÁRIOS'!$G$5:$G$500,"F",'LANÇAMENTOS DIÁRIOS'!$C$5:$C$500,$A101,'LANÇAMENTOS DIÁRIOS'!$O$5:$O$500,"&lt;=114099",'LANÇAMENTOS DIÁRIOS'!$P$5:$P$500,"&gt;=114000")&gt;0,"X","")</f>
      </c>
      <c r="AB101" s="56" t="str">
        <f>IF(COUNTIFS('LANÇAMENTOS DIÁRIOS'!$G$5:$G$500,"F",'LANÇAMENTOS DIÁRIOS'!$C$5:$C$500,$A101,'LANÇAMENTOS DIÁRIOS'!$O$5:$O$500,"&lt;=114199",'LANÇAMENTOS DIÁRIOS'!$P$5:$P$500,"&gt;=114100")&gt;0,"X","")</f>
      </c>
      <c r="AC101" s="56" t="str">
        <f>IF(COUNTIFS('LANÇAMENTOS DIÁRIOS'!$G$5:$G$500,"F",'LANÇAMENTOS DIÁRIOS'!$C$5:$C$500,$A101,'LANÇAMENTOS DIÁRIOS'!$O$5:$O$500,"&lt;=114299",'LANÇAMENTOS DIÁRIOS'!$P$5:$P$500,"&gt;=114200")&gt;0,"X","")</f>
      </c>
      <c r="AD101" s="56" t="str">
        <f>IF(COUNTIFS('LANÇAMENTOS DIÁRIOS'!$G$5:$G$500,"F",'LANÇAMENTOS DIÁRIOS'!$C$5:$C$500,$A101,'LANÇAMENTOS DIÁRIOS'!$O$5:$O$500,"&lt;=114399",'LANÇAMENTOS DIÁRIOS'!$P$5:$P$500,"&gt;=114300")&gt;0,"X","")</f>
      </c>
      <c r="AE101" s="56" t="str">
        <f>IF(COUNTIFS('LANÇAMENTOS DIÁRIOS'!$G$5:$G$500,"F",'LANÇAMENTOS DIÁRIOS'!$C$5:$C$500,$A101,'LANÇAMENTOS DIÁRIOS'!$O$5:$O$500,"&lt;=114499",'LANÇAMENTOS DIÁRIOS'!$P$5:$P$500,"&gt;=114400")&gt;0,"X","")</f>
      </c>
      <c r="AF101" s="56" t="str">
        <f>IF(COUNTIFS('LANÇAMENTOS DIÁRIOS'!$G$5:$G$500,"F",'LANÇAMENTOS DIÁRIOS'!$C$5:$C$500,$A101,'LANÇAMENTOS DIÁRIOS'!$O$5:$O$500,"&lt;=114599",'LANÇAMENTOS DIÁRIOS'!$P$5:$P$500,"&gt;=114500")&gt;0,"X","")</f>
      </c>
      <c r="AG101" s="56" t="str">
        <f>IF(COUNTIFS('LANÇAMENTOS DIÁRIOS'!$G$5:$G$500,"F",'LANÇAMENTOS DIÁRIOS'!$C$5:$C$500,$A101,'LANÇAMENTOS DIÁRIOS'!$O$5:$O$500,"&lt;=114699",'LANÇAMENTOS DIÁRIOS'!$P$5:$P$500,"&gt;=114600")&gt;0,"X","")</f>
      </c>
      <c r="AH101" s="56" t="str">
        <f>IF(COUNTIFS('LANÇAMENTOS DIÁRIOS'!$G$5:$G$500,"F",'LANÇAMENTOS DIÁRIOS'!$C$5:$C$500,$A101,'LANÇAMENTOS DIÁRIOS'!$O$5:$O$500,"&lt;=114799",'LANÇAMENTOS DIÁRIOS'!$P$5:$P$500,"&gt;=114700")&gt;0,"X","")</f>
      </c>
      <c r="AI101" s="56" t="str">
        <f>IF(COUNTIFS('LANÇAMENTOS DIÁRIOS'!$G$5:$G$500,"F",'LANÇAMENTOS DIÁRIOS'!$C$5:$C$500,$A101,'LANÇAMENTOS DIÁRIOS'!$O$5:$O$500,"&lt;=114899",'LANÇAMENTOS DIÁRIOS'!$P$5:$P$500,"&gt;=114800")&gt;0,"X","")</f>
      </c>
      <c r="AJ101" s="56" t="str">
        <f>IF(COUNTIFS('LANÇAMENTOS DIÁRIOS'!$G$5:$G$500,"F",'LANÇAMENTOS DIÁRIOS'!$C$5:$C$500,$A101,'LANÇAMENTOS DIÁRIOS'!$O$5:$O$500,"&lt;=114999",'LANÇAMENTOS DIÁRIOS'!$P$5:$P$500,"&gt;=114900")&gt;0,"X","")</f>
      </c>
      <c r="AK101" s="56" t="str">
        <f>IF(COUNTIFS('LANÇAMENTOS DIÁRIOS'!$G$5:$G$500,"F",'LANÇAMENTOS DIÁRIOS'!$C$5:$C$500,$A101,'LANÇAMENTOS DIÁRIOS'!$O$5:$O$500,"&lt;=115099",'LANÇAMENTOS DIÁRIOS'!$P$5:$P$500,"&gt;=115000")&gt;0,"X","")</f>
      </c>
      <c r="AL101" s="56" t="str">
        <f>IF(COUNTIFS('LANÇAMENTOS DIÁRIOS'!$G$5:$G$500,"F",'LANÇAMENTOS DIÁRIOS'!$C$5:$C$500,$A101,'LANÇAMENTOS DIÁRIOS'!$O$5:$O$500,"&lt;=115199",'LANÇAMENTOS DIÁRIOS'!$P$5:$P$500,"&gt;=115100")&gt;0,"X","")</f>
      </c>
      <c r="AM101" s="56" t="str">
        <f>IF(COUNTIFS('LANÇAMENTOS DIÁRIOS'!$G$5:$G$500,"F",'LANÇAMENTOS DIÁRIOS'!$C$5:$C$500,$A101,'LANÇAMENTOS DIÁRIOS'!$O$5:$O$500,"&lt;=115299",'LANÇAMENTOS DIÁRIOS'!$P$5:$P$500,"&gt;=115200")&gt;0,"X","")</f>
      </c>
      <c r="AN101" s="56" t="str">
        <f>IF(COUNTIFS('LANÇAMENTOS DIÁRIOS'!$G$5:$G$500,"F",'LANÇAMENTOS DIÁRIOS'!$C$5:$C$500,$A101,'LANÇAMENTOS DIÁRIOS'!$O$5:$O$500,"&lt;=115399",'LANÇAMENTOS DIÁRIOS'!$P$5:$P$500,"&gt;=115300")&gt;0,"X","")</f>
      </c>
      <c r="AO101" s="56" t="str">
        <f>IF(COUNTIFS('LANÇAMENTOS DIÁRIOS'!$G$5:$G$500,"F",'LANÇAMENTOS DIÁRIOS'!$C$5:$C$500,$A101,'LANÇAMENTOS DIÁRIOS'!$O$5:$O$500,"&lt;=115499",'LANÇAMENTOS DIÁRIOS'!$P$5:$P$500,"&gt;=115400")&gt;0,"X","")</f>
      </c>
      <c r="AP101" s="56" t="str">
        <f>IF(COUNTIFS('LANÇAMENTOS DIÁRIOS'!$G$5:$G$500,"F",'LANÇAMENTOS DIÁRIOS'!$C$5:$C$500,$A101,'LANÇAMENTOS DIÁRIOS'!$O$5:$O$500,"&lt;=115599",'LANÇAMENTOS DIÁRIOS'!$P$5:$P$500,"&gt;=115500")&gt;0,"X","")</f>
      </c>
      <c r="AQ101" s="56" t="str">
        <f>IF(COUNTIFS('LANÇAMENTOS DIÁRIOS'!$G$5:$G$500,"F",'LANÇAMENTOS DIÁRIOS'!$C$5:$C$500,$A101,'LANÇAMENTOS DIÁRIOS'!$O$5:$O$500,"&lt;=115699",'LANÇAMENTOS DIÁRIOS'!$P$5:$P$500,"&gt;=115600")&gt;0,"X","")</f>
      </c>
      <c r="AR101" s="56" t="str">
        <f>IF(COUNTIFS('LANÇAMENTOS DIÁRIOS'!$G$5:$G$500,"F",'LANÇAMENTOS DIÁRIOS'!$C$5:$C$500,$A101,'LANÇAMENTOS DIÁRIOS'!$O$5:$O$500,"&lt;=115799",'LANÇAMENTOS DIÁRIOS'!$P$5:$P$500,"&gt;=115700")&gt;0,"X","")</f>
      </c>
      <c r="AS101" s="56" t="str">
        <f>IF(COUNTIFS('LANÇAMENTOS DIÁRIOS'!$G$5:$G$500,"F",'LANÇAMENTOS DIÁRIOS'!$C$5:$C$500,$A101,'LANÇAMENTOS DIÁRIOS'!$O$5:$O$500,"&lt;=115899",'LANÇAMENTOS DIÁRIOS'!$P$5:$P$500,"&gt;=115800")&gt;0,"X","")</f>
      </c>
      <c r="AT101" s="56" t="str">
        <f>IF(COUNTIFS('LANÇAMENTOS DIÁRIOS'!$G$5:$G$500,"F",'LANÇAMENTOS DIÁRIOS'!$C$5:$C$500,$A101,'LANÇAMENTOS DIÁRIOS'!$O$5:$O$500,"&lt;=115999",'LANÇAMENTOS DIÁRIOS'!$P$5:$P$500,"&gt;=115900")&gt;0,"X","")</f>
      </c>
      <c r="AU101" s="56" t="str">
        <f>IF(COUNTIFS('LANÇAMENTOS DIÁRIOS'!$G$5:$G$500,"F",'LANÇAMENTOS DIÁRIOS'!$C$5:$C$500,$A101,'LANÇAMENTOS DIÁRIOS'!$O$5:$O$500,"&lt;=116099",'LANÇAMENTOS DIÁRIOS'!$P$5:$P$500,"&gt;=116000")&gt;0,"X","")</f>
      </c>
      <c r="AV101" s="56" t="str">
        <f>IF(COUNTIFS('LANÇAMENTOS DIÁRIOS'!$G$5:$G$500,"F",'LANÇAMENTOS DIÁRIOS'!$C$5:$C$500,$A101,'LANÇAMENTOS DIÁRIOS'!$O$5:$O$500,"&lt;=116199",'LANÇAMENTOS DIÁRIOS'!$P$5:$P$500,"&gt;=116100")&gt;0,"X","")</f>
      </c>
      <c r="AW101" s="56" t="str">
        <f>IF(COUNTIFS('LANÇAMENTOS DIÁRIOS'!$G$5:$G$500,"F",'LANÇAMENTOS DIÁRIOS'!$C$5:$C$500,$A101,'LANÇAMENTOS DIÁRIOS'!$O$5:$O$500,"&lt;=116299",'LANÇAMENTOS DIÁRIOS'!$P$5:$P$500,"&gt;=116200")&gt;0,"X","")</f>
      </c>
      <c r="AX101" s="56" t="str">
        <f>IF(COUNTIFS('LANÇAMENTOS DIÁRIOS'!$G$5:$G$500,"F",'LANÇAMENTOS DIÁRIOS'!$C$5:$C$500,$A101,'LANÇAMENTOS DIÁRIOS'!$O$5:$O$500,"&lt;=116399",'LANÇAMENTOS DIÁRIOS'!$P$5:$P$500,"&gt;=116300")&gt;0,"X","")</f>
      </c>
      <c r="AY101" s="56" t="str">
        <f>IF(COUNTIFS('LANÇAMENTOS DIÁRIOS'!$G$5:$G$500,"F",'LANÇAMENTOS DIÁRIOS'!$C$5:$C$500,$A101,'LANÇAMENTOS DIÁRIOS'!$O$5:$O$500,"&lt;=116499",'LANÇAMENTOS DIÁRIOS'!$P$5:$P$500,"&gt;=116400")&gt;0,"X","")</f>
      </c>
      <c r="AZ101" s="56" t="str">
        <f>IF(COUNTIFS('LANÇAMENTOS DIÁRIOS'!$G$5:$G$500,"F",'LANÇAMENTOS DIÁRIOS'!$C$5:$C$500,$A101,'LANÇAMENTOS DIÁRIOS'!$O$5:$O$500,"&lt;=116599",'LANÇAMENTOS DIÁRIOS'!$P$5:$P$500,"&gt;=116500")&gt;0,"X","")</f>
      </c>
      <c r="BA101" s="56" t="str">
        <f>IF(COUNTIFS('LANÇAMENTOS DIÁRIOS'!$G$5:$G$500,"F",'LANÇAMENTOS DIÁRIOS'!$C$5:$C$500,$A101,'LANÇAMENTOS DIÁRIOS'!$O$5:$O$500,"&lt;=116699",'LANÇAMENTOS DIÁRIOS'!$P$5:$P$500,"&gt;=116600")&gt;0,"X","")</f>
      </c>
      <c r="BB101" s="56" t="str">
        <f>IF(COUNTIFS('LANÇAMENTOS DIÁRIOS'!$G$5:$G$500,"F",'LANÇAMENTOS DIÁRIOS'!$C$5:$C$500,$A101,'LANÇAMENTOS DIÁRIOS'!$O$5:$O$500,"&lt;=116799",'LANÇAMENTOS DIÁRIOS'!$P$5:$P$500,"&gt;=116700")&gt;0,"X","")</f>
      </c>
      <c r="BC101" s="56" t="str">
        <f>IF(COUNTIFS('LANÇAMENTOS DIÁRIOS'!$G$5:$G$500,"F",'LANÇAMENTOS DIÁRIOS'!$C$5:$C$500,$A101,'LANÇAMENTOS DIÁRIOS'!$O$5:$O$500,"&lt;=116899",'LANÇAMENTOS DIÁRIOS'!$P$5:$P$500,"&gt;=116800")&gt;0,"X","")</f>
      </c>
      <c r="BD101" s="56" t="str">
        <f>IF(COUNTIFS('LANÇAMENTOS DIÁRIOS'!$G$5:$G$500,"F",'LANÇAMENTOS DIÁRIOS'!$C$5:$C$500,$A101,'LANÇAMENTOS DIÁRIOS'!$O$5:$O$500,"&lt;=116999",'LANÇAMENTOS DIÁRIOS'!$P$5:$P$500,"&gt;=116900")&gt;0,"X","")</f>
      </c>
      <c r="BE101" s="56" t="str">
        <f>IF(COUNTIFS('LANÇAMENTOS DIÁRIOS'!$G$5:$G$500,"F",'LANÇAMENTOS DIÁRIOS'!$C$5:$C$500,$A101,'LANÇAMENTOS DIÁRIOS'!$O$5:$O$500,"&lt;=117099",'LANÇAMENTOS DIÁRIOS'!$P$5:$P$500,"&gt;=117000")&gt;0,"X","")</f>
      </c>
      <c r="BF101" s="56" t="str">
        <f>IF(COUNTIFS('LANÇAMENTOS DIÁRIOS'!$G$5:$G$500,"F",'LANÇAMENTOS DIÁRIOS'!$C$5:$C$500,$A101,'LANÇAMENTOS DIÁRIOS'!$O$5:$O$500,"&lt;=117199",'LANÇAMENTOS DIÁRIOS'!$P$5:$P$500,"&gt;=117100")&gt;0,"X","")</f>
      </c>
      <c r="BG101" s="56" t="str">
        <f>IF(COUNTIFS('LANÇAMENTOS DIÁRIOS'!$G$5:$G$500,"F",'LANÇAMENTOS DIÁRIOS'!$C$5:$C$500,$A101,'LANÇAMENTOS DIÁRIOS'!$O$5:$O$500,"&lt;=117219",'LANÇAMENTOS DIÁRIOS'!$P$5:$P$500,"&gt;=117200")&gt;0,"X","")</f>
      </c>
      <c r="BH101" s="56" t="str">
        <f>IF(COUNTIFS('LANÇAMENTOS DIÁRIOS'!$G$5:$G$500,"F",'LANÇAMENTOS DIÁRIOS'!$C$5:$C$500,$A101,'LANÇAMENTOS DIÁRIOS'!$O$5:$O$500,"&lt;=117220",'LANÇAMENTOS DIÁRIOS'!$P$5:$P$500,"&gt;=117220")&gt;0,"X","")</f>
      </c>
    </row>
    <row r="102" ht="21" customHeight="1">
      <c r="A102" s="60" t="str">
        <v>Segurança viária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</row>
    <row r="103" ht="19" customHeight="1">
      <c r="A103" s="68" t="str">
        <v>Instalação de barreira de concreto</v>
      </c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</row>
    <row r="104">
      <c r="A104" s="51" t="str">
        <v>Barreira rígida dupla baixa</v>
      </c>
      <c r="B104" s="56" t="str">
        <f>IF(COUNTIFS('LANÇAMENTOS DIÁRIOS'!$G$5:$G$500,"F",'LANÇAMENTOS DIÁRIOS'!$C$5:$C$500,$A104,'LANÇAMENTOS DIÁRIOS'!$O$5:$O$500,"&lt;=111599",'LANÇAMENTOS DIÁRIOS'!$P$5:$P$500,"&gt;=111500")&gt;0,"X","")</f>
      </c>
      <c r="C104" s="56" t="str">
        <f>IF(COUNTIFS('LANÇAMENTOS DIÁRIOS'!$G$5:$G$500,"F",'LANÇAMENTOS DIÁRIOS'!$C$5:$C$500,$A104,'LANÇAMENTOS DIÁRIOS'!$O$5:$O$500,"&lt;=111699",'LANÇAMENTOS DIÁRIOS'!$P$5:$P$500,"&gt;=111600")&gt;0,"X","")</f>
      </c>
      <c r="D104" s="56" t="str">
        <f>IF(COUNTIFS('LANÇAMENTOS DIÁRIOS'!$G$5:$G$500,"F",'LANÇAMENTOS DIÁRIOS'!$C$5:$C$500,$A104,'LANÇAMENTOS DIÁRIOS'!$O$5:$O$500,"&lt;=111799",'LANÇAMENTOS DIÁRIOS'!$P$5:$P$500,"&gt;=111700")&gt;0,"X","")</f>
      </c>
      <c r="E104" s="56" t="str">
        <f>IF(COUNTIFS('LANÇAMENTOS DIÁRIOS'!$G$5:$G$500,"F",'LANÇAMENTOS DIÁRIOS'!$C$5:$C$500,$A104,'LANÇAMENTOS DIÁRIOS'!$O$5:$O$500,"&lt;=111899",'LANÇAMENTOS DIÁRIOS'!$P$5:$P$500,"&gt;=111800")&gt;0,"X","")</f>
      </c>
      <c r="F104" s="56" t="str">
        <f>IF(COUNTIFS('LANÇAMENTOS DIÁRIOS'!$G$5:$G$500,"F",'LANÇAMENTOS DIÁRIOS'!$C$5:$C$500,$A104,'LANÇAMENTOS DIÁRIOS'!$O$5:$O$500,"&lt;=111999",'LANÇAMENTOS DIÁRIOS'!$P$5:$P$500,"&gt;=111900")&gt;0,"X","")</f>
      </c>
      <c r="G104" s="56" t="str">
        <f>IF(COUNTIFS('LANÇAMENTOS DIÁRIOS'!$G$5:$G$500,"F",'LANÇAMENTOS DIÁRIOS'!$C$5:$C$500,$A104,'LANÇAMENTOS DIÁRIOS'!$O$5:$O$500,"&lt;=112099",'LANÇAMENTOS DIÁRIOS'!$P$5:$P$500,"&gt;=112000")&gt;0,"X","")</f>
      </c>
      <c r="H104" s="56" t="str">
        <f>IF(COUNTIFS('LANÇAMENTOS DIÁRIOS'!$G$5:$G$500,"F",'LANÇAMENTOS DIÁRIOS'!$C$5:$C$500,$A104,'LANÇAMENTOS DIÁRIOS'!$O$5:$O$500,"&lt;=112199",'LANÇAMENTOS DIÁRIOS'!$P$5:$P$500,"&gt;=112100")&gt;0,"X","")</f>
      </c>
      <c r="I104" s="56" t="str">
        <f>IF(COUNTIFS('LANÇAMENTOS DIÁRIOS'!$G$5:$G$500,"F",'LANÇAMENTOS DIÁRIOS'!$C$5:$C$500,$A104,'LANÇAMENTOS DIÁRIOS'!$O$5:$O$500,"&lt;=112299",'LANÇAMENTOS DIÁRIOS'!$P$5:$P$500,"&gt;=112200")&gt;0,"X","")</f>
      </c>
      <c r="J104" s="56" t="str">
        <f>IF(COUNTIFS('LANÇAMENTOS DIÁRIOS'!$G$5:$G$500,"F",'LANÇAMENTOS DIÁRIOS'!$C$5:$C$500,$A104,'LANÇAMENTOS DIÁRIOS'!$O$5:$O$500,"&lt;=112399",'LANÇAMENTOS DIÁRIOS'!$P$5:$P$500,"&gt;=112300")&gt;0,"X","")</f>
      </c>
      <c r="K104" s="56" t="str">
        <f>IF(COUNTIFS('LANÇAMENTOS DIÁRIOS'!$G$5:$G$500,"F",'LANÇAMENTOS DIÁRIOS'!$C$5:$C$500,$A104,'LANÇAMENTOS DIÁRIOS'!$O$5:$O$500,"&lt;=112499",'LANÇAMENTOS DIÁRIOS'!$P$5:$P$500,"&gt;=112400")&gt;0,"X","")</f>
      </c>
      <c r="L104" s="56" t="str">
        <f>IF(COUNTIFS('LANÇAMENTOS DIÁRIOS'!$G$5:$G$500,"F",'LANÇAMENTOS DIÁRIOS'!$C$5:$C$500,$A104,'LANÇAMENTOS DIÁRIOS'!$O$5:$O$500,"&lt;=112599",'LANÇAMENTOS DIÁRIOS'!$P$5:$P$500,"&gt;=112500")&gt;0,"X","")</f>
      </c>
      <c r="M104" s="56" t="str">
        <f>IF(COUNTIFS('LANÇAMENTOS DIÁRIOS'!$G$5:$G$500,"F",'LANÇAMENTOS DIÁRIOS'!$C$5:$C$500,$A104,'LANÇAMENTOS DIÁRIOS'!$O$5:$O$500,"&lt;=112699",'LANÇAMENTOS DIÁRIOS'!$P$5:$P$500,"&gt;=112600")&gt;0,"X","")</f>
      </c>
      <c r="N104" s="56" t="str">
        <f>IF(COUNTIFS('LANÇAMENTOS DIÁRIOS'!$G$5:$G$500,"F",'LANÇAMENTOS DIÁRIOS'!$C$5:$C$500,$A104,'LANÇAMENTOS DIÁRIOS'!$O$5:$O$500,"&lt;=112799",'LANÇAMENTOS DIÁRIOS'!$P$5:$P$500,"&gt;=112700")&gt;0,"X","")</f>
      </c>
      <c r="O104" s="56" t="str">
        <f>IF(COUNTIFS('LANÇAMENTOS DIÁRIOS'!$G$5:$G$500,"F",'LANÇAMENTOS DIÁRIOS'!$C$5:$C$500,$A104,'LANÇAMENTOS DIÁRIOS'!$O$5:$O$500,"&lt;=112899",'LANÇAMENTOS DIÁRIOS'!$P$5:$P$500,"&gt;=112800")&gt;0,"X","")</f>
      </c>
      <c r="P104" s="56" t="str">
        <f>IF(COUNTIFS('LANÇAMENTOS DIÁRIOS'!$G$5:$G$500,"F",'LANÇAMENTOS DIÁRIOS'!$C$5:$C$500,$A104,'LANÇAMENTOS DIÁRIOS'!$O$5:$O$500,"&lt;=112999",'LANÇAMENTOS DIÁRIOS'!$P$5:$P$500,"&gt;=112900")&gt;0,"X","")</f>
      </c>
      <c r="Q104" s="56" t="str">
        <f>IF(COUNTIFS('LANÇAMENTOS DIÁRIOS'!$G$5:$G$500,"F",'LANÇAMENTOS DIÁRIOS'!$C$5:$C$500,$A104,'LANÇAMENTOS DIÁRIOS'!$O$5:$O$500,"&lt;=113099",'LANÇAMENTOS DIÁRIOS'!$P$5:$P$500,"&gt;=113000")&gt;0,"X","")</f>
      </c>
      <c r="R104" s="56" t="str">
        <f>IF(COUNTIFS('LANÇAMENTOS DIÁRIOS'!$G$5:$G$500,"F",'LANÇAMENTOS DIÁRIOS'!$C$5:$C$500,$A104,'LANÇAMENTOS DIÁRIOS'!$O$5:$O$500,"&lt;=113199",'LANÇAMENTOS DIÁRIOS'!$P$5:$P$500,"&gt;=113100")&gt;0,"X","")</f>
      </c>
      <c r="S104" s="56" t="str">
        <f>IF(COUNTIFS('LANÇAMENTOS DIÁRIOS'!$G$5:$G$500,"F",'LANÇAMENTOS DIÁRIOS'!$C$5:$C$500,$A104,'LANÇAMENTOS DIÁRIOS'!$O$5:$O$500,"&lt;=113299",'LANÇAMENTOS DIÁRIOS'!$P$5:$P$500,"&gt;=113200")&gt;0,"X","")</f>
      </c>
      <c r="T104" s="56" t="str">
        <f>IF(COUNTIFS('LANÇAMENTOS DIÁRIOS'!$G$5:$G$500,"F",'LANÇAMENTOS DIÁRIOS'!$C$5:$C$500,$A104,'LANÇAMENTOS DIÁRIOS'!$O$5:$O$500,"&lt;=113399",'LANÇAMENTOS DIÁRIOS'!$P$5:$P$500,"&gt;=113300")&gt;0,"X","")</f>
      </c>
      <c r="U104" s="56" t="str">
        <f>IF(COUNTIFS('LANÇAMENTOS DIÁRIOS'!$G$5:$G$500,"F",'LANÇAMENTOS DIÁRIOS'!$C$5:$C$500,$A104,'LANÇAMENTOS DIÁRIOS'!$O$5:$O$500,"&lt;=113499",'LANÇAMENTOS DIÁRIOS'!$P$5:$P$500,"&gt;=113400")&gt;0,"X","")</f>
      </c>
      <c r="V104" s="56" t="str">
        <f>IF(COUNTIFS('LANÇAMENTOS DIÁRIOS'!$G$5:$G$500,"F",'LANÇAMENTOS DIÁRIOS'!$C$5:$C$500,$A104,'LANÇAMENTOS DIÁRIOS'!$O$5:$O$500,"&lt;=113599",'LANÇAMENTOS DIÁRIOS'!$P$5:$P$500,"&gt;=113500")&gt;0,"X","")</f>
      </c>
      <c r="W104" s="56" t="str">
        <f>IF(COUNTIFS('LANÇAMENTOS DIÁRIOS'!$G$5:$G$500,"F",'LANÇAMENTOS DIÁRIOS'!$C$5:$C$500,$A104,'LANÇAMENTOS DIÁRIOS'!$O$5:$O$500,"&lt;=113699",'LANÇAMENTOS DIÁRIOS'!$P$5:$P$500,"&gt;=113600")&gt;0,"X","")</f>
      </c>
      <c r="X104" s="56" t="str">
        <f>IF(COUNTIFS('LANÇAMENTOS DIÁRIOS'!$G$5:$G$500,"F",'LANÇAMENTOS DIÁRIOS'!$C$5:$C$500,$A104,'LANÇAMENTOS DIÁRIOS'!$O$5:$O$500,"&lt;=113799",'LANÇAMENTOS DIÁRIOS'!$P$5:$P$500,"&gt;=113700")&gt;0,"X","")</f>
      </c>
      <c r="Y104" s="56" t="str">
        <f>IF(COUNTIFS('LANÇAMENTOS DIÁRIOS'!$G$5:$G$500,"F",'LANÇAMENTOS DIÁRIOS'!$C$5:$C$500,$A104,'LANÇAMENTOS DIÁRIOS'!$O$5:$O$500,"&lt;=113899",'LANÇAMENTOS DIÁRIOS'!$P$5:$P$500,"&gt;=113800")&gt;0,"X","")</f>
      </c>
      <c r="Z104" s="56" t="str">
        <f>IF(COUNTIFS('LANÇAMENTOS DIÁRIOS'!$G$5:$G$500,"F",'LANÇAMENTOS DIÁRIOS'!$C$5:$C$500,$A104,'LANÇAMENTOS DIÁRIOS'!$O$5:$O$500,"&lt;=113999",'LANÇAMENTOS DIÁRIOS'!$P$5:$P$500,"&gt;=113900")&gt;0,"X","")</f>
      </c>
      <c r="AA104" s="56" t="str">
        <f>IF(COUNTIFS('LANÇAMENTOS DIÁRIOS'!$G$5:$G$500,"F",'LANÇAMENTOS DIÁRIOS'!$C$5:$C$500,$A104,'LANÇAMENTOS DIÁRIOS'!$O$5:$O$500,"&lt;=114099",'LANÇAMENTOS DIÁRIOS'!$P$5:$P$500,"&gt;=114000")&gt;0,"X","")</f>
      </c>
      <c r="AB104" s="56" t="str">
        <f>IF(COUNTIFS('LANÇAMENTOS DIÁRIOS'!$G$5:$G$500,"F",'LANÇAMENTOS DIÁRIOS'!$C$5:$C$500,$A104,'LANÇAMENTOS DIÁRIOS'!$O$5:$O$500,"&lt;=114199",'LANÇAMENTOS DIÁRIOS'!$P$5:$P$500,"&gt;=114100")&gt;0,"X","")</f>
      </c>
      <c r="AC104" s="56" t="str">
        <f>IF(COUNTIFS('LANÇAMENTOS DIÁRIOS'!$G$5:$G$500,"F",'LANÇAMENTOS DIÁRIOS'!$C$5:$C$500,$A104,'LANÇAMENTOS DIÁRIOS'!$O$5:$O$500,"&lt;=114299",'LANÇAMENTOS DIÁRIOS'!$P$5:$P$500,"&gt;=114200")&gt;0,"X","")</f>
      </c>
      <c r="AD104" s="56" t="str">
        <f>IF(COUNTIFS('LANÇAMENTOS DIÁRIOS'!$G$5:$G$500,"F",'LANÇAMENTOS DIÁRIOS'!$C$5:$C$500,$A104,'LANÇAMENTOS DIÁRIOS'!$O$5:$O$500,"&lt;=114399",'LANÇAMENTOS DIÁRIOS'!$P$5:$P$500,"&gt;=114300")&gt;0,"X","")</f>
      </c>
      <c r="AE104" s="56" t="str">
        <f>IF(COUNTIFS('LANÇAMENTOS DIÁRIOS'!$G$5:$G$500,"F",'LANÇAMENTOS DIÁRIOS'!$C$5:$C$500,$A104,'LANÇAMENTOS DIÁRIOS'!$O$5:$O$500,"&lt;=114499",'LANÇAMENTOS DIÁRIOS'!$P$5:$P$500,"&gt;=114400")&gt;0,"X","")</f>
      </c>
      <c r="AF104" s="56" t="str">
        <f>IF(COUNTIFS('LANÇAMENTOS DIÁRIOS'!$G$5:$G$500,"F",'LANÇAMENTOS DIÁRIOS'!$C$5:$C$500,$A104,'LANÇAMENTOS DIÁRIOS'!$O$5:$O$500,"&lt;=114599",'LANÇAMENTOS DIÁRIOS'!$P$5:$P$500,"&gt;=114500")&gt;0,"X","")</f>
      </c>
      <c r="AG104" s="56" t="str">
        <f>IF(COUNTIFS('LANÇAMENTOS DIÁRIOS'!$G$5:$G$500,"F",'LANÇAMENTOS DIÁRIOS'!$C$5:$C$500,$A104,'LANÇAMENTOS DIÁRIOS'!$O$5:$O$500,"&lt;=114699",'LANÇAMENTOS DIÁRIOS'!$P$5:$P$500,"&gt;=114600")&gt;0,"X","")</f>
      </c>
      <c r="AH104" s="56" t="str">
        <f>IF(COUNTIFS('LANÇAMENTOS DIÁRIOS'!$G$5:$G$500,"F",'LANÇAMENTOS DIÁRIOS'!$C$5:$C$500,$A104,'LANÇAMENTOS DIÁRIOS'!$O$5:$O$500,"&lt;=114799",'LANÇAMENTOS DIÁRIOS'!$P$5:$P$500,"&gt;=114700")&gt;0,"X","")</f>
      </c>
      <c r="AI104" s="56" t="str">
        <f>IF(COUNTIFS('LANÇAMENTOS DIÁRIOS'!$G$5:$G$500,"F",'LANÇAMENTOS DIÁRIOS'!$C$5:$C$500,$A104,'LANÇAMENTOS DIÁRIOS'!$O$5:$O$500,"&lt;=114899",'LANÇAMENTOS DIÁRIOS'!$P$5:$P$500,"&gt;=114800")&gt;0,"X","")</f>
      </c>
      <c r="AJ104" s="56" t="str">
        <f>IF(COUNTIFS('LANÇAMENTOS DIÁRIOS'!$G$5:$G$500,"F",'LANÇAMENTOS DIÁRIOS'!$C$5:$C$500,$A104,'LANÇAMENTOS DIÁRIOS'!$O$5:$O$500,"&lt;=114999",'LANÇAMENTOS DIÁRIOS'!$P$5:$P$500,"&gt;=114900")&gt;0,"X","")</f>
      </c>
      <c r="AK104" s="56" t="str">
        <f>IF(COUNTIFS('LANÇAMENTOS DIÁRIOS'!$G$5:$G$500,"F",'LANÇAMENTOS DIÁRIOS'!$C$5:$C$500,$A104,'LANÇAMENTOS DIÁRIOS'!$O$5:$O$500,"&lt;=115099",'LANÇAMENTOS DIÁRIOS'!$P$5:$P$500,"&gt;=115000")&gt;0,"X","")</f>
      </c>
      <c r="AL104" s="56" t="str">
        <f>IF(COUNTIFS('LANÇAMENTOS DIÁRIOS'!$G$5:$G$500,"F",'LANÇAMENTOS DIÁRIOS'!$C$5:$C$500,$A104,'LANÇAMENTOS DIÁRIOS'!$O$5:$O$500,"&lt;=115199",'LANÇAMENTOS DIÁRIOS'!$P$5:$P$500,"&gt;=115100")&gt;0,"X","")</f>
      </c>
      <c r="AM104" s="56" t="str">
        <f>IF(COUNTIFS('LANÇAMENTOS DIÁRIOS'!$G$5:$G$500,"F",'LANÇAMENTOS DIÁRIOS'!$C$5:$C$500,$A104,'LANÇAMENTOS DIÁRIOS'!$O$5:$O$500,"&lt;=115299",'LANÇAMENTOS DIÁRIOS'!$P$5:$P$500,"&gt;=115200")&gt;0,"X","")</f>
      </c>
      <c r="AN104" s="56" t="str">
        <f>IF(COUNTIFS('LANÇAMENTOS DIÁRIOS'!$G$5:$G$500,"F",'LANÇAMENTOS DIÁRIOS'!$C$5:$C$500,$A104,'LANÇAMENTOS DIÁRIOS'!$O$5:$O$500,"&lt;=115399",'LANÇAMENTOS DIÁRIOS'!$P$5:$P$500,"&gt;=115300")&gt;0,"X","")</f>
      </c>
      <c r="AO104" s="56" t="str">
        <f>IF(COUNTIFS('LANÇAMENTOS DIÁRIOS'!$G$5:$G$500,"F",'LANÇAMENTOS DIÁRIOS'!$C$5:$C$500,$A104,'LANÇAMENTOS DIÁRIOS'!$O$5:$O$500,"&lt;=115499",'LANÇAMENTOS DIÁRIOS'!$P$5:$P$500,"&gt;=115400")&gt;0,"X","")</f>
      </c>
      <c r="AP104" s="56" t="str">
        <f>IF(COUNTIFS('LANÇAMENTOS DIÁRIOS'!$G$5:$G$500,"F",'LANÇAMENTOS DIÁRIOS'!$C$5:$C$500,$A104,'LANÇAMENTOS DIÁRIOS'!$O$5:$O$500,"&lt;=115599",'LANÇAMENTOS DIÁRIOS'!$P$5:$P$500,"&gt;=115500")&gt;0,"X","")</f>
      </c>
      <c r="AQ104" s="56" t="str">
        <f>IF(COUNTIFS('LANÇAMENTOS DIÁRIOS'!$G$5:$G$500,"F",'LANÇAMENTOS DIÁRIOS'!$C$5:$C$500,$A104,'LANÇAMENTOS DIÁRIOS'!$O$5:$O$500,"&lt;=115699",'LANÇAMENTOS DIÁRIOS'!$P$5:$P$500,"&gt;=115600")&gt;0,"X","")</f>
      </c>
      <c r="AR104" s="56" t="str">
        <f>IF(COUNTIFS('LANÇAMENTOS DIÁRIOS'!$G$5:$G$500,"F",'LANÇAMENTOS DIÁRIOS'!$C$5:$C$500,$A104,'LANÇAMENTOS DIÁRIOS'!$O$5:$O$500,"&lt;=115799",'LANÇAMENTOS DIÁRIOS'!$P$5:$P$500,"&gt;=115700")&gt;0,"X","")</f>
      </c>
      <c r="AS104" s="56" t="str">
        <f>IF(COUNTIFS('LANÇAMENTOS DIÁRIOS'!$G$5:$G$500,"F",'LANÇAMENTOS DIÁRIOS'!$C$5:$C$500,$A104,'LANÇAMENTOS DIÁRIOS'!$O$5:$O$500,"&lt;=115899",'LANÇAMENTOS DIÁRIOS'!$P$5:$P$500,"&gt;=115800")&gt;0,"X","")</f>
      </c>
      <c r="AT104" s="56" t="str">
        <f>IF(COUNTIFS('LANÇAMENTOS DIÁRIOS'!$G$5:$G$500,"F",'LANÇAMENTOS DIÁRIOS'!$C$5:$C$500,$A104,'LANÇAMENTOS DIÁRIOS'!$O$5:$O$500,"&lt;=115999",'LANÇAMENTOS DIÁRIOS'!$P$5:$P$500,"&gt;=115900")&gt;0,"X","")</f>
      </c>
      <c r="AU104" s="56" t="str">
        <f>IF(COUNTIFS('LANÇAMENTOS DIÁRIOS'!$G$5:$G$500,"F",'LANÇAMENTOS DIÁRIOS'!$C$5:$C$500,$A104,'LANÇAMENTOS DIÁRIOS'!$O$5:$O$500,"&lt;=116099",'LANÇAMENTOS DIÁRIOS'!$P$5:$P$500,"&gt;=116000")&gt;0,"X","")</f>
      </c>
      <c r="AV104" s="56" t="str">
        <f>IF(COUNTIFS('LANÇAMENTOS DIÁRIOS'!$G$5:$G$500,"F",'LANÇAMENTOS DIÁRIOS'!$C$5:$C$500,$A104,'LANÇAMENTOS DIÁRIOS'!$O$5:$O$500,"&lt;=116199",'LANÇAMENTOS DIÁRIOS'!$P$5:$P$500,"&gt;=116100")&gt;0,"X","")</f>
      </c>
      <c r="AW104" s="56" t="str">
        <f>IF(COUNTIFS('LANÇAMENTOS DIÁRIOS'!$G$5:$G$500,"F",'LANÇAMENTOS DIÁRIOS'!$C$5:$C$500,$A104,'LANÇAMENTOS DIÁRIOS'!$O$5:$O$500,"&lt;=116299",'LANÇAMENTOS DIÁRIOS'!$P$5:$P$500,"&gt;=116200")&gt;0,"X","")</f>
      </c>
      <c r="AX104" s="56" t="str">
        <f>IF(COUNTIFS('LANÇAMENTOS DIÁRIOS'!$G$5:$G$500,"F",'LANÇAMENTOS DIÁRIOS'!$C$5:$C$500,$A104,'LANÇAMENTOS DIÁRIOS'!$O$5:$O$500,"&lt;=116399",'LANÇAMENTOS DIÁRIOS'!$P$5:$P$500,"&gt;=116300")&gt;0,"X","")</f>
      </c>
      <c r="AY104" s="56" t="str">
        <f>IF(COUNTIFS('LANÇAMENTOS DIÁRIOS'!$G$5:$G$500,"F",'LANÇAMENTOS DIÁRIOS'!$C$5:$C$500,$A104,'LANÇAMENTOS DIÁRIOS'!$O$5:$O$500,"&lt;=116499",'LANÇAMENTOS DIÁRIOS'!$P$5:$P$500,"&gt;=116400")&gt;0,"X","")</f>
      </c>
      <c r="AZ104" s="56" t="str">
        <f>IF(COUNTIFS('LANÇAMENTOS DIÁRIOS'!$G$5:$G$500,"F",'LANÇAMENTOS DIÁRIOS'!$C$5:$C$500,$A104,'LANÇAMENTOS DIÁRIOS'!$O$5:$O$500,"&lt;=116599",'LANÇAMENTOS DIÁRIOS'!$P$5:$P$500,"&gt;=116500")&gt;0,"X","")</f>
      </c>
      <c r="BA104" s="56" t="str">
        <f>IF(COUNTIFS('LANÇAMENTOS DIÁRIOS'!$G$5:$G$500,"F",'LANÇAMENTOS DIÁRIOS'!$C$5:$C$500,$A104,'LANÇAMENTOS DIÁRIOS'!$O$5:$O$500,"&lt;=116699",'LANÇAMENTOS DIÁRIOS'!$P$5:$P$500,"&gt;=116600")&gt;0,"X","")</f>
      </c>
      <c r="BB104" s="56" t="str">
        <f>IF(COUNTIFS('LANÇAMENTOS DIÁRIOS'!$G$5:$G$500,"F",'LANÇAMENTOS DIÁRIOS'!$C$5:$C$500,$A104,'LANÇAMENTOS DIÁRIOS'!$O$5:$O$500,"&lt;=116799",'LANÇAMENTOS DIÁRIOS'!$P$5:$P$500,"&gt;=116700")&gt;0,"X","")</f>
      </c>
      <c r="BC104" s="56" t="str">
        <f>IF(COUNTIFS('LANÇAMENTOS DIÁRIOS'!$G$5:$G$500,"F",'LANÇAMENTOS DIÁRIOS'!$C$5:$C$500,$A104,'LANÇAMENTOS DIÁRIOS'!$O$5:$O$500,"&lt;=116899",'LANÇAMENTOS DIÁRIOS'!$P$5:$P$500,"&gt;=116800")&gt;0,"X","")</f>
      </c>
      <c r="BD104" s="56" t="str">
        <f>IF(COUNTIFS('LANÇAMENTOS DIÁRIOS'!$G$5:$G$500,"F",'LANÇAMENTOS DIÁRIOS'!$C$5:$C$500,$A104,'LANÇAMENTOS DIÁRIOS'!$O$5:$O$500,"&lt;=116999",'LANÇAMENTOS DIÁRIOS'!$P$5:$P$500,"&gt;=116900")&gt;0,"X","")</f>
      </c>
      <c r="BE104" s="56" t="str">
        <f>IF(COUNTIFS('LANÇAMENTOS DIÁRIOS'!$G$5:$G$500,"F",'LANÇAMENTOS DIÁRIOS'!$C$5:$C$500,$A104,'LANÇAMENTOS DIÁRIOS'!$O$5:$O$500,"&lt;=117099",'LANÇAMENTOS DIÁRIOS'!$P$5:$P$500,"&gt;=117000")&gt;0,"X","")</f>
      </c>
      <c r="BF104" s="56" t="str">
        <f>IF(COUNTIFS('LANÇAMENTOS DIÁRIOS'!$G$5:$G$500,"F",'LANÇAMENTOS DIÁRIOS'!$C$5:$C$500,$A104,'LANÇAMENTOS DIÁRIOS'!$O$5:$O$500,"&lt;=117199",'LANÇAMENTOS DIÁRIOS'!$P$5:$P$500,"&gt;=117100")&gt;0,"X","")</f>
      </c>
      <c r="BG104" s="56" t="str">
        <f>IF(COUNTIFS('LANÇAMENTOS DIÁRIOS'!$G$5:$G$500,"F",'LANÇAMENTOS DIÁRIOS'!$C$5:$C$500,$A104,'LANÇAMENTOS DIÁRIOS'!$O$5:$O$500,"&lt;=117219",'LANÇAMENTOS DIÁRIOS'!$P$5:$P$500,"&gt;=117200")&gt;0,"X","")</f>
      </c>
      <c r="BH104" s="56" t="str">
        <f>IF(COUNTIFS('LANÇAMENTOS DIÁRIOS'!$G$5:$G$500,"F",'LANÇAMENTOS DIÁRIOS'!$C$5:$C$500,$A104,'LANÇAMENTOS DIÁRIOS'!$O$5:$O$500,"&lt;=117220",'LANÇAMENTOS DIÁRIOS'!$P$5:$P$500,"&gt;=117220")&gt;0,"X","")</f>
      </c>
    </row>
    <row r="105">
      <c r="A105" s="51" t="str">
        <v>Barreira rígida simples baixa</v>
      </c>
      <c r="B105" s="56" t="str">
        <f>IF(COUNTIFS('LANÇAMENTOS DIÁRIOS'!$G$5:$G$500,"F",'LANÇAMENTOS DIÁRIOS'!$C$5:$C$500,$A105,'LANÇAMENTOS DIÁRIOS'!$O$5:$O$500,"&lt;=111599",'LANÇAMENTOS DIÁRIOS'!$P$5:$P$500,"&gt;=111500")&gt;0,"X","")</f>
      </c>
      <c r="C105" s="56" t="str">
        <f>IF(COUNTIFS('LANÇAMENTOS DIÁRIOS'!$G$5:$G$500,"F",'LANÇAMENTOS DIÁRIOS'!$C$5:$C$500,$A105,'LANÇAMENTOS DIÁRIOS'!$O$5:$O$500,"&lt;=111699",'LANÇAMENTOS DIÁRIOS'!$P$5:$P$500,"&gt;=111600")&gt;0,"X","")</f>
      </c>
      <c r="D105" s="56" t="str">
        <f>IF(COUNTIFS('LANÇAMENTOS DIÁRIOS'!$G$5:$G$500,"F",'LANÇAMENTOS DIÁRIOS'!$C$5:$C$500,$A105,'LANÇAMENTOS DIÁRIOS'!$O$5:$O$500,"&lt;=111799",'LANÇAMENTOS DIÁRIOS'!$P$5:$P$500,"&gt;=111700")&gt;0,"X","")</f>
      </c>
      <c r="E105" s="56" t="str">
        <f>IF(COUNTIFS('LANÇAMENTOS DIÁRIOS'!$G$5:$G$500,"F",'LANÇAMENTOS DIÁRIOS'!$C$5:$C$500,$A105,'LANÇAMENTOS DIÁRIOS'!$O$5:$O$500,"&lt;=111899",'LANÇAMENTOS DIÁRIOS'!$P$5:$P$500,"&gt;=111800")&gt;0,"X","")</f>
      </c>
      <c r="F105" s="56" t="str">
        <f>IF(COUNTIFS('LANÇAMENTOS DIÁRIOS'!$G$5:$G$500,"F",'LANÇAMENTOS DIÁRIOS'!$C$5:$C$500,$A105,'LANÇAMENTOS DIÁRIOS'!$O$5:$O$500,"&lt;=111999",'LANÇAMENTOS DIÁRIOS'!$P$5:$P$500,"&gt;=111900")&gt;0,"X","")</f>
      </c>
      <c r="G105" s="56" t="str">
        <f>IF(COUNTIFS('LANÇAMENTOS DIÁRIOS'!$G$5:$G$500,"F",'LANÇAMENTOS DIÁRIOS'!$C$5:$C$500,$A105,'LANÇAMENTOS DIÁRIOS'!$O$5:$O$500,"&lt;=112099",'LANÇAMENTOS DIÁRIOS'!$P$5:$P$500,"&gt;=112000")&gt;0,"X","")</f>
      </c>
      <c r="H105" s="56" t="str">
        <f>IF(COUNTIFS('LANÇAMENTOS DIÁRIOS'!$G$5:$G$500,"F",'LANÇAMENTOS DIÁRIOS'!$C$5:$C$500,$A105,'LANÇAMENTOS DIÁRIOS'!$O$5:$O$500,"&lt;=112199",'LANÇAMENTOS DIÁRIOS'!$P$5:$P$500,"&gt;=112100")&gt;0,"X","")</f>
      </c>
      <c r="I105" s="56" t="str">
        <f>IF(COUNTIFS('LANÇAMENTOS DIÁRIOS'!$G$5:$G$500,"F",'LANÇAMENTOS DIÁRIOS'!$C$5:$C$500,$A105,'LANÇAMENTOS DIÁRIOS'!$O$5:$O$500,"&lt;=112299",'LANÇAMENTOS DIÁRIOS'!$P$5:$P$500,"&gt;=112200")&gt;0,"X","")</f>
      </c>
      <c r="J105" s="56" t="str">
        <f>IF(COUNTIFS('LANÇAMENTOS DIÁRIOS'!$G$5:$G$500,"F",'LANÇAMENTOS DIÁRIOS'!$C$5:$C$500,$A105,'LANÇAMENTOS DIÁRIOS'!$O$5:$O$500,"&lt;=112399",'LANÇAMENTOS DIÁRIOS'!$P$5:$P$500,"&gt;=112300")&gt;0,"X","")</f>
      </c>
      <c r="K105" s="56" t="str">
        <f>IF(COUNTIFS('LANÇAMENTOS DIÁRIOS'!$G$5:$G$500,"F",'LANÇAMENTOS DIÁRIOS'!$C$5:$C$500,$A105,'LANÇAMENTOS DIÁRIOS'!$O$5:$O$500,"&lt;=112499",'LANÇAMENTOS DIÁRIOS'!$P$5:$P$500,"&gt;=112400")&gt;0,"X","")</f>
      </c>
      <c r="L105" s="56" t="str">
        <f>IF(COUNTIFS('LANÇAMENTOS DIÁRIOS'!$G$5:$G$500,"F",'LANÇAMENTOS DIÁRIOS'!$C$5:$C$500,$A105,'LANÇAMENTOS DIÁRIOS'!$O$5:$O$500,"&lt;=112599",'LANÇAMENTOS DIÁRIOS'!$P$5:$P$500,"&gt;=112500")&gt;0,"X","")</f>
      </c>
      <c r="M105" s="56" t="str">
        <f>IF(COUNTIFS('LANÇAMENTOS DIÁRIOS'!$G$5:$G$500,"F",'LANÇAMENTOS DIÁRIOS'!$C$5:$C$500,$A105,'LANÇAMENTOS DIÁRIOS'!$O$5:$O$500,"&lt;=112699",'LANÇAMENTOS DIÁRIOS'!$P$5:$P$500,"&gt;=112600")&gt;0,"X","")</f>
      </c>
      <c r="N105" s="56" t="str">
        <f>IF(COUNTIFS('LANÇAMENTOS DIÁRIOS'!$G$5:$G$500,"F",'LANÇAMENTOS DIÁRIOS'!$C$5:$C$500,$A105,'LANÇAMENTOS DIÁRIOS'!$O$5:$O$500,"&lt;=112799",'LANÇAMENTOS DIÁRIOS'!$P$5:$P$500,"&gt;=112700")&gt;0,"X","")</f>
      </c>
      <c r="O105" s="56" t="str">
        <f>IF(COUNTIFS('LANÇAMENTOS DIÁRIOS'!$G$5:$G$500,"F",'LANÇAMENTOS DIÁRIOS'!$C$5:$C$500,$A105,'LANÇAMENTOS DIÁRIOS'!$O$5:$O$500,"&lt;=112899",'LANÇAMENTOS DIÁRIOS'!$P$5:$P$500,"&gt;=112800")&gt;0,"X","")</f>
      </c>
      <c r="P105" s="56" t="str">
        <f>IF(COUNTIFS('LANÇAMENTOS DIÁRIOS'!$G$5:$G$500,"F",'LANÇAMENTOS DIÁRIOS'!$C$5:$C$500,$A105,'LANÇAMENTOS DIÁRIOS'!$O$5:$O$500,"&lt;=112999",'LANÇAMENTOS DIÁRIOS'!$P$5:$P$500,"&gt;=112900")&gt;0,"X","")</f>
      </c>
      <c r="Q105" s="56" t="str">
        <f>IF(COUNTIFS('LANÇAMENTOS DIÁRIOS'!$G$5:$G$500,"F",'LANÇAMENTOS DIÁRIOS'!$C$5:$C$500,$A105,'LANÇAMENTOS DIÁRIOS'!$O$5:$O$500,"&lt;=113099",'LANÇAMENTOS DIÁRIOS'!$P$5:$P$500,"&gt;=113000")&gt;0,"X","")</f>
      </c>
      <c r="R105" s="56" t="str">
        <f>IF(COUNTIFS('LANÇAMENTOS DIÁRIOS'!$G$5:$G$500,"F",'LANÇAMENTOS DIÁRIOS'!$C$5:$C$500,$A105,'LANÇAMENTOS DIÁRIOS'!$O$5:$O$500,"&lt;=113199",'LANÇAMENTOS DIÁRIOS'!$P$5:$P$500,"&gt;=113100")&gt;0,"X","")</f>
      </c>
      <c r="S105" s="56" t="str">
        <f>IF(COUNTIFS('LANÇAMENTOS DIÁRIOS'!$G$5:$G$500,"F",'LANÇAMENTOS DIÁRIOS'!$C$5:$C$500,$A105,'LANÇAMENTOS DIÁRIOS'!$O$5:$O$500,"&lt;=113299",'LANÇAMENTOS DIÁRIOS'!$P$5:$P$500,"&gt;=113200")&gt;0,"X","")</f>
      </c>
      <c r="T105" s="56" t="str">
        <f>IF(COUNTIFS('LANÇAMENTOS DIÁRIOS'!$G$5:$G$500,"F",'LANÇAMENTOS DIÁRIOS'!$C$5:$C$500,$A105,'LANÇAMENTOS DIÁRIOS'!$O$5:$O$500,"&lt;=113399",'LANÇAMENTOS DIÁRIOS'!$P$5:$P$500,"&gt;=113300")&gt;0,"X","")</f>
      </c>
      <c r="U105" s="56" t="str">
        <f>IF(COUNTIFS('LANÇAMENTOS DIÁRIOS'!$G$5:$G$500,"F",'LANÇAMENTOS DIÁRIOS'!$C$5:$C$500,$A105,'LANÇAMENTOS DIÁRIOS'!$O$5:$O$500,"&lt;=113499",'LANÇAMENTOS DIÁRIOS'!$P$5:$P$500,"&gt;=113400")&gt;0,"X","")</f>
      </c>
      <c r="V105" s="56" t="str">
        <f>IF(COUNTIFS('LANÇAMENTOS DIÁRIOS'!$G$5:$G$500,"F",'LANÇAMENTOS DIÁRIOS'!$C$5:$C$500,$A105,'LANÇAMENTOS DIÁRIOS'!$O$5:$O$500,"&lt;=113599",'LANÇAMENTOS DIÁRIOS'!$P$5:$P$500,"&gt;=113500")&gt;0,"X","")</f>
      </c>
      <c r="W105" s="56" t="str">
        <f>IF(COUNTIFS('LANÇAMENTOS DIÁRIOS'!$G$5:$G$500,"F",'LANÇAMENTOS DIÁRIOS'!$C$5:$C$500,$A105,'LANÇAMENTOS DIÁRIOS'!$O$5:$O$500,"&lt;=113699",'LANÇAMENTOS DIÁRIOS'!$P$5:$P$500,"&gt;=113600")&gt;0,"X","")</f>
      </c>
      <c r="X105" s="56" t="str">
        <f>IF(COUNTIFS('LANÇAMENTOS DIÁRIOS'!$G$5:$G$500,"F",'LANÇAMENTOS DIÁRIOS'!$C$5:$C$500,$A105,'LANÇAMENTOS DIÁRIOS'!$O$5:$O$500,"&lt;=113799",'LANÇAMENTOS DIÁRIOS'!$P$5:$P$500,"&gt;=113700")&gt;0,"X","")</f>
      </c>
      <c r="Y105" s="56" t="str">
        <f>IF(COUNTIFS('LANÇAMENTOS DIÁRIOS'!$G$5:$G$500,"F",'LANÇAMENTOS DIÁRIOS'!$C$5:$C$500,$A105,'LANÇAMENTOS DIÁRIOS'!$O$5:$O$500,"&lt;=113899",'LANÇAMENTOS DIÁRIOS'!$P$5:$P$500,"&gt;=113800")&gt;0,"X","")</f>
      </c>
      <c r="Z105" s="56" t="str">
        <f>IF(COUNTIFS('LANÇAMENTOS DIÁRIOS'!$G$5:$G$500,"F",'LANÇAMENTOS DIÁRIOS'!$C$5:$C$500,$A105,'LANÇAMENTOS DIÁRIOS'!$O$5:$O$500,"&lt;=113999",'LANÇAMENTOS DIÁRIOS'!$P$5:$P$500,"&gt;=113900")&gt;0,"X","")</f>
      </c>
      <c r="AA105" s="56" t="str">
        <f>IF(COUNTIFS('LANÇAMENTOS DIÁRIOS'!$G$5:$G$500,"F",'LANÇAMENTOS DIÁRIOS'!$C$5:$C$500,$A105,'LANÇAMENTOS DIÁRIOS'!$O$5:$O$500,"&lt;=114099",'LANÇAMENTOS DIÁRIOS'!$P$5:$P$500,"&gt;=114000")&gt;0,"X","")</f>
      </c>
      <c r="AB105" s="56" t="str">
        <f>IF(COUNTIFS('LANÇAMENTOS DIÁRIOS'!$G$5:$G$500,"F",'LANÇAMENTOS DIÁRIOS'!$C$5:$C$500,$A105,'LANÇAMENTOS DIÁRIOS'!$O$5:$O$500,"&lt;=114199",'LANÇAMENTOS DIÁRIOS'!$P$5:$P$500,"&gt;=114100")&gt;0,"X","")</f>
      </c>
      <c r="AC105" s="56" t="str">
        <f>IF(COUNTIFS('LANÇAMENTOS DIÁRIOS'!$G$5:$G$500,"F",'LANÇAMENTOS DIÁRIOS'!$C$5:$C$500,$A105,'LANÇAMENTOS DIÁRIOS'!$O$5:$O$500,"&lt;=114299",'LANÇAMENTOS DIÁRIOS'!$P$5:$P$500,"&gt;=114200")&gt;0,"X","")</f>
      </c>
      <c r="AD105" s="56" t="str">
        <f>IF(COUNTIFS('LANÇAMENTOS DIÁRIOS'!$G$5:$G$500,"F",'LANÇAMENTOS DIÁRIOS'!$C$5:$C$500,$A105,'LANÇAMENTOS DIÁRIOS'!$O$5:$O$500,"&lt;=114399",'LANÇAMENTOS DIÁRIOS'!$P$5:$P$500,"&gt;=114300")&gt;0,"X","")</f>
      </c>
      <c r="AE105" s="56" t="str">
        <f>IF(COUNTIFS('LANÇAMENTOS DIÁRIOS'!$G$5:$G$500,"F",'LANÇAMENTOS DIÁRIOS'!$C$5:$C$500,$A105,'LANÇAMENTOS DIÁRIOS'!$O$5:$O$500,"&lt;=114499",'LANÇAMENTOS DIÁRIOS'!$P$5:$P$500,"&gt;=114400")&gt;0,"X","")</f>
      </c>
      <c r="AF105" s="56" t="str">
        <f>IF(COUNTIFS('LANÇAMENTOS DIÁRIOS'!$G$5:$G$500,"F",'LANÇAMENTOS DIÁRIOS'!$C$5:$C$500,$A105,'LANÇAMENTOS DIÁRIOS'!$O$5:$O$500,"&lt;=114599",'LANÇAMENTOS DIÁRIOS'!$P$5:$P$500,"&gt;=114500")&gt;0,"X","")</f>
      </c>
      <c r="AG105" s="56" t="str">
        <f>IF(COUNTIFS('LANÇAMENTOS DIÁRIOS'!$G$5:$G$500,"F",'LANÇAMENTOS DIÁRIOS'!$C$5:$C$500,$A105,'LANÇAMENTOS DIÁRIOS'!$O$5:$O$500,"&lt;=114699",'LANÇAMENTOS DIÁRIOS'!$P$5:$P$500,"&gt;=114600")&gt;0,"X","")</f>
      </c>
      <c r="AH105" s="56" t="str">
        <f>IF(COUNTIFS('LANÇAMENTOS DIÁRIOS'!$G$5:$G$500,"F",'LANÇAMENTOS DIÁRIOS'!$C$5:$C$500,$A105,'LANÇAMENTOS DIÁRIOS'!$O$5:$O$500,"&lt;=114799",'LANÇAMENTOS DIÁRIOS'!$P$5:$P$500,"&gt;=114700")&gt;0,"X","")</f>
      </c>
      <c r="AI105" s="56" t="str">
        <f>IF(COUNTIFS('LANÇAMENTOS DIÁRIOS'!$G$5:$G$500,"F",'LANÇAMENTOS DIÁRIOS'!$C$5:$C$500,$A105,'LANÇAMENTOS DIÁRIOS'!$O$5:$O$500,"&lt;=114899",'LANÇAMENTOS DIÁRIOS'!$P$5:$P$500,"&gt;=114800")&gt;0,"X","")</f>
      </c>
      <c r="AJ105" s="56" t="str">
        <f>IF(COUNTIFS('LANÇAMENTOS DIÁRIOS'!$G$5:$G$500,"F",'LANÇAMENTOS DIÁRIOS'!$C$5:$C$500,$A105,'LANÇAMENTOS DIÁRIOS'!$O$5:$O$500,"&lt;=114999",'LANÇAMENTOS DIÁRIOS'!$P$5:$P$500,"&gt;=114900")&gt;0,"X","")</f>
      </c>
      <c r="AK105" s="56" t="str">
        <f>IF(COUNTIFS('LANÇAMENTOS DIÁRIOS'!$G$5:$G$500,"F",'LANÇAMENTOS DIÁRIOS'!$C$5:$C$500,$A105,'LANÇAMENTOS DIÁRIOS'!$O$5:$O$500,"&lt;=115099",'LANÇAMENTOS DIÁRIOS'!$P$5:$P$500,"&gt;=115000")&gt;0,"X","")</f>
      </c>
      <c r="AL105" s="56" t="str">
        <f>IF(COUNTIFS('LANÇAMENTOS DIÁRIOS'!$G$5:$G$500,"F",'LANÇAMENTOS DIÁRIOS'!$C$5:$C$500,$A105,'LANÇAMENTOS DIÁRIOS'!$O$5:$O$500,"&lt;=115199",'LANÇAMENTOS DIÁRIOS'!$P$5:$P$500,"&gt;=115100")&gt;0,"X","")</f>
      </c>
      <c r="AM105" s="56" t="str">
        <f>IF(COUNTIFS('LANÇAMENTOS DIÁRIOS'!$G$5:$G$500,"F",'LANÇAMENTOS DIÁRIOS'!$C$5:$C$500,$A105,'LANÇAMENTOS DIÁRIOS'!$O$5:$O$500,"&lt;=115299",'LANÇAMENTOS DIÁRIOS'!$P$5:$P$500,"&gt;=115200")&gt;0,"X","")</f>
      </c>
      <c r="AN105" s="56" t="str">
        <f>IF(COUNTIFS('LANÇAMENTOS DIÁRIOS'!$G$5:$G$500,"F",'LANÇAMENTOS DIÁRIOS'!$C$5:$C$500,$A105,'LANÇAMENTOS DIÁRIOS'!$O$5:$O$500,"&lt;=115399",'LANÇAMENTOS DIÁRIOS'!$P$5:$P$500,"&gt;=115300")&gt;0,"X","")</f>
      </c>
      <c r="AO105" s="56" t="str">
        <f>IF(COUNTIFS('LANÇAMENTOS DIÁRIOS'!$G$5:$G$500,"F",'LANÇAMENTOS DIÁRIOS'!$C$5:$C$500,$A105,'LANÇAMENTOS DIÁRIOS'!$O$5:$O$500,"&lt;=115499",'LANÇAMENTOS DIÁRIOS'!$P$5:$P$500,"&gt;=115400")&gt;0,"X","")</f>
      </c>
      <c r="AP105" s="56" t="str">
        <f>IF(COUNTIFS('LANÇAMENTOS DIÁRIOS'!$G$5:$G$500,"F",'LANÇAMENTOS DIÁRIOS'!$C$5:$C$500,$A105,'LANÇAMENTOS DIÁRIOS'!$O$5:$O$500,"&lt;=115599",'LANÇAMENTOS DIÁRIOS'!$P$5:$P$500,"&gt;=115500")&gt;0,"X","")</f>
      </c>
      <c r="AQ105" s="56" t="str">
        <f>IF(COUNTIFS('LANÇAMENTOS DIÁRIOS'!$G$5:$G$500,"F",'LANÇAMENTOS DIÁRIOS'!$C$5:$C$500,$A105,'LANÇAMENTOS DIÁRIOS'!$O$5:$O$500,"&lt;=115699",'LANÇAMENTOS DIÁRIOS'!$P$5:$P$500,"&gt;=115600")&gt;0,"X","")</f>
      </c>
      <c r="AR105" s="56" t="str">
        <f>IF(COUNTIFS('LANÇAMENTOS DIÁRIOS'!$G$5:$G$500,"F",'LANÇAMENTOS DIÁRIOS'!$C$5:$C$500,$A105,'LANÇAMENTOS DIÁRIOS'!$O$5:$O$500,"&lt;=115799",'LANÇAMENTOS DIÁRIOS'!$P$5:$P$500,"&gt;=115700")&gt;0,"X","")</f>
      </c>
      <c r="AS105" s="56" t="str">
        <f>IF(COUNTIFS('LANÇAMENTOS DIÁRIOS'!$G$5:$G$500,"F",'LANÇAMENTOS DIÁRIOS'!$C$5:$C$500,$A105,'LANÇAMENTOS DIÁRIOS'!$O$5:$O$500,"&lt;=115899",'LANÇAMENTOS DIÁRIOS'!$P$5:$P$500,"&gt;=115800")&gt;0,"X","")</f>
      </c>
      <c r="AT105" s="56" t="str">
        <f>IF(COUNTIFS('LANÇAMENTOS DIÁRIOS'!$G$5:$G$500,"F",'LANÇAMENTOS DIÁRIOS'!$C$5:$C$500,$A105,'LANÇAMENTOS DIÁRIOS'!$O$5:$O$500,"&lt;=115999",'LANÇAMENTOS DIÁRIOS'!$P$5:$P$500,"&gt;=115900")&gt;0,"X","")</f>
      </c>
      <c r="AU105" s="56" t="str">
        <f>IF(COUNTIFS('LANÇAMENTOS DIÁRIOS'!$G$5:$G$500,"F",'LANÇAMENTOS DIÁRIOS'!$C$5:$C$500,$A105,'LANÇAMENTOS DIÁRIOS'!$O$5:$O$500,"&lt;=116099",'LANÇAMENTOS DIÁRIOS'!$P$5:$P$500,"&gt;=116000")&gt;0,"X","")</f>
      </c>
      <c r="AV105" s="56" t="str">
        <f>IF(COUNTIFS('LANÇAMENTOS DIÁRIOS'!$G$5:$G$500,"F",'LANÇAMENTOS DIÁRIOS'!$C$5:$C$500,$A105,'LANÇAMENTOS DIÁRIOS'!$O$5:$O$500,"&lt;=116199",'LANÇAMENTOS DIÁRIOS'!$P$5:$P$500,"&gt;=116100")&gt;0,"X","")</f>
      </c>
      <c r="AW105" s="56" t="str">
        <f>IF(COUNTIFS('LANÇAMENTOS DIÁRIOS'!$G$5:$G$500,"F",'LANÇAMENTOS DIÁRIOS'!$C$5:$C$500,$A105,'LANÇAMENTOS DIÁRIOS'!$O$5:$O$500,"&lt;=116299",'LANÇAMENTOS DIÁRIOS'!$P$5:$P$500,"&gt;=116200")&gt;0,"X","")</f>
      </c>
      <c r="AX105" s="56" t="str">
        <f>IF(COUNTIFS('LANÇAMENTOS DIÁRIOS'!$G$5:$G$500,"F",'LANÇAMENTOS DIÁRIOS'!$C$5:$C$500,$A105,'LANÇAMENTOS DIÁRIOS'!$O$5:$O$500,"&lt;=116399",'LANÇAMENTOS DIÁRIOS'!$P$5:$P$500,"&gt;=116300")&gt;0,"X","")</f>
      </c>
      <c r="AY105" s="56" t="str">
        <f>IF(COUNTIFS('LANÇAMENTOS DIÁRIOS'!$G$5:$G$500,"F",'LANÇAMENTOS DIÁRIOS'!$C$5:$C$500,$A105,'LANÇAMENTOS DIÁRIOS'!$O$5:$O$500,"&lt;=116499",'LANÇAMENTOS DIÁRIOS'!$P$5:$P$500,"&gt;=116400")&gt;0,"X","")</f>
      </c>
      <c r="AZ105" s="56" t="str">
        <f>IF(COUNTIFS('LANÇAMENTOS DIÁRIOS'!$G$5:$G$500,"F",'LANÇAMENTOS DIÁRIOS'!$C$5:$C$500,$A105,'LANÇAMENTOS DIÁRIOS'!$O$5:$O$500,"&lt;=116599",'LANÇAMENTOS DIÁRIOS'!$P$5:$P$500,"&gt;=116500")&gt;0,"X","")</f>
      </c>
      <c r="BA105" s="56" t="str">
        <f>IF(COUNTIFS('LANÇAMENTOS DIÁRIOS'!$G$5:$G$500,"F",'LANÇAMENTOS DIÁRIOS'!$C$5:$C$500,$A105,'LANÇAMENTOS DIÁRIOS'!$O$5:$O$500,"&lt;=116699",'LANÇAMENTOS DIÁRIOS'!$P$5:$P$500,"&gt;=116600")&gt;0,"X","")</f>
      </c>
      <c r="BB105" s="56" t="str">
        <f>IF(COUNTIFS('LANÇAMENTOS DIÁRIOS'!$G$5:$G$500,"F",'LANÇAMENTOS DIÁRIOS'!$C$5:$C$500,$A105,'LANÇAMENTOS DIÁRIOS'!$O$5:$O$500,"&lt;=116799",'LANÇAMENTOS DIÁRIOS'!$P$5:$P$500,"&gt;=116700")&gt;0,"X","")</f>
      </c>
      <c r="BC105" s="56" t="str">
        <f>IF(COUNTIFS('LANÇAMENTOS DIÁRIOS'!$G$5:$G$500,"F",'LANÇAMENTOS DIÁRIOS'!$C$5:$C$500,$A105,'LANÇAMENTOS DIÁRIOS'!$O$5:$O$500,"&lt;=116899",'LANÇAMENTOS DIÁRIOS'!$P$5:$P$500,"&gt;=116800")&gt;0,"X","")</f>
      </c>
      <c r="BD105" s="56" t="str">
        <f>IF(COUNTIFS('LANÇAMENTOS DIÁRIOS'!$G$5:$G$500,"F",'LANÇAMENTOS DIÁRIOS'!$C$5:$C$500,$A105,'LANÇAMENTOS DIÁRIOS'!$O$5:$O$500,"&lt;=116999",'LANÇAMENTOS DIÁRIOS'!$P$5:$P$500,"&gt;=116900")&gt;0,"X","")</f>
      </c>
      <c r="BE105" s="56" t="str">
        <f>IF(COUNTIFS('LANÇAMENTOS DIÁRIOS'!$G$5:$G$500,"F",'LANÇAMENTOS DIÁRIOS'!$C$5:$C$500,$A105,'LANÇAMENTOS DIÁRIOS'!$O$5:$O$500,"&lt;=117099",'LANÇAMENTOS DIÁRIOS'!$P$5:$P$500,"&gt;=117000")&gt;0,"X","")</f>
      </c>
      <c r="BF105" s="56" t="str">
        <f>IF(COUNTIFS('LANÇAMENTOS DIÁRIOS'!$G$5:$G$500,"F",'LANÇAMENTOS DIÁRIOS'!$C$5:$C$500,$A105,'LANÇAMENTOS DIÁRIOS'!$O$5:$O$500,"&lt;=117199",'LANÇAMENTOS DIÁRIOS'!$P$5:$P$500,"&gt;=117100")&gt;0,"X","")</f>
      </c>
      <c r="BG105" s="56" t="str">
        <f>IF(COUNTIFS('LANÇAMENTOS DIÁRIOS'!$G$5:$G$500,"F",'LANÇAMENTOS DIÁRIOS'!$C$5:$C$500,$A105,'LANÇAMENTOS DIÁRIOS'!$O$5:$O$500,"&lt;=117219",'LANÇAMENTOS DIÁRIOS'!$P$5:$P$500,"&gt;=117200")&gt;0,"X","")</f>
      </c>
      <c r="BH105" s="56" t="str">
        <f>IF(COUNTIFS('LANÇAMENTOS DIÁRIOS'!$G$5:$G$500,"F",'LANÇAMENTOS DIÁRIOS'!$C$5:$C$500,$A105,'LANÇAMENTOS DIÁRIOS'!$O$5:$O$500,"&lt;=117220",'LANÇAMENTOS DIÁRIOS'!$P$5:$P$500,"&gt;=117220")&gt;0,"X","")</f>
      </c>
    </row>
  </sheetData>
  <conditionalFormatting sqref="B3:BH105">
    <cfRule type="expression" dxfId="3" priority="1">
      <formula>B3="X"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FormatPr defaultRowHeight="15"/>
  <cols>
    <col min="1" max="1" width="54" hidden="0" customWidth="1"/>
    <col min="2" max="2" width="10" hidden="0" customWidth="1"/>
    <col min="3" max="3" width="10" hidden="0" customWidth="1"/>
    <col min="4" max="4" width="10" hidden="0" customWidth="1"/>
    <col min="5" max="5" width="10" hidden="0" customWidth="1"/>
    <col min="6" max="6" width="10" hidden="0" customWidth="1"/>
    <col min="7" max="7" width="10" hidden="0" customWidth="1"/>
    <col min="8" max="8" width="10" hidden="0" customWidth="1"/>
    <col min="9" max="9" width="10" hidden="0" customWidth="1"/>
    <col min="10" max="10" width="10" hidden="0" customWidth="1"/>
    <col min="11" max="11" width="10" hidden="0" customWidth="1"/>
    <col min="12" max="12" width="10" hidden="0" customWidth="1"/>
    <col min="13" max="13" width="10" hidden="0" customWidth="1"/>
    <col min="14" max="14" width="10" hidden="0" customWidth="1"/>
    <col min="15" max="15" width="10" hidden="0" customWidth="1"/>
    <col min="16" max="16" width="10" hidden="0" customWidth="1"/>
    <col min="17" max="17" width="10" hidden="0" customWidth="1"/>
    <col min="18" max="18" width="10" hidden="0" customWidth="1"/>
    <col min="19" max="19" width="10" hidden="0" customWidth="1"/>
    <col min="20" max="20" width="10" hidden="0" customWidth="1"/>
    <col min="21" max="21" width="10" hidden="0" customWidth="1"/>
    <col min="22" max="22" width="10" hidden="0" customWidth="1"/>
    <col min="23" max="23" width="10" hidden="0" customWidth="1"/>
    <col min="24" max="24" width="10" hidden="0" customWidth="1"/>
    <col min="25" max="25" width="10" hidden="0" customWidth="1"/>
    <col min="26" max="26" width="10" hidden="0" customWidth="1"/>
    <col min="27" max="27" width="10" hidden="0" customWidth="1"/>
    <col min="28" max="28" width="10" hidden="0" customWidth="1"/>
    <col min="29" max="29" width="10" hidden="0" customWidth="1"/>
    <col min="30" max="30" width="10" hidden="0" customWidth="1"/>
    <col min="31" max="31" width="10" hidden="0" customWidth="1"/>
    <col min="32" max="32" width="10" hidden="0" customWidth="1"/>
    <col min="33" max="33" width="10" hidden="0" customWidth="1"/>
    <col min="34" max="34" width="10" hidden="0" customWidth="1"/>
    <col min="35" max="35" width="10" hidden="0" customWidth="1"/>
    <col min="36" max="36" width="10" hidden="0" customWidth="1"/>
    <col min="37" max="37" width="10" hidden="0" customWidth="1"/>
    <col min="38" max="38" width="10" hidden="0" customWidth="1"/>
    <col min="39" max="39" width="10" hidden="0" customWidth="1"/>
    <col min="40" max="40" width="10" hidden="0" customWidth="1"/>
    <col min="41" max="41" width="10" hidden="0" customWidth="1"/>
    <col min="42" max="42" width="10" hidden="0" customWidth="1"/>
    <col min="43" max="43" width="10" hidden="0" customWidth="1"/>
    <col min="44" max="44" width="10" hidden="0" customWidth="1"/>
    <col min="45" max="45" width="10" hidden="0" customWidth="1"/>
    <col min="46" max="46" width="10" hidden="0" customWidth="1"/>
    <col min="47" max="47" width="10" hidden="0" customWidth="1"/>
    <col min="48" max="48" width="10" hidden="0" customWidth="1"/>
    <col min="49" max="49" width="10" hidden="0" customWidth="1"/>
    <col min="50" max="50" width="10" hidden="0" customWidth="1"/>
    <col min="51" max="51" width="10" hidden="0" customWidth="1"/>
    <col min="52" max="52" width="10" hidden="0" customWidth="1"/>
    <col min="53" max="53" width="10" hidden="0" customWidth="1"/>
    <col min="54" max="54" width="10" hidden="0" customWidth="1"/>
    <col min="55" max="55" width="10" hidden="0" customWidth="1"/>
    <col min="56" max="56" width="10" hidden="0" customWidth="1"/>
    <col min="57" max="57" width="10" hidden="0" customWidth="1"/>
    <col min="58" max="58" width="10" hidden="0" customWidth="1"/>
    <col min="59" max="59" width="10" hidden="0" customWidth="1"/>
    <col min="60" max="60" width="10" hidden="0" customWidth="1"/>
    <col min="61" max="61" width="10" hidden="0" customWidth="1"/>
    <col min="62" max="62" width="10" hidden="0" customWidth="1"/>
    <col min="63" max="63" width="10" hidden="0" customWidth="1"/>
  </cols>
  <sheetData>
    <row r="1" ht="26" customHeight="1">
      <c r="A1" s="38" t="str">
        <v>RETIGRÁFICO — FRENTE G | KM 117+380 A 123+480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</row>
    <row r="2" ht="26" customHeight="1">
      <c r="A2" s="43" t="str">
        <v>ATIVIDADE / ITEM</v>
      </c>
      <c r="B2" s="43" t="str">
        <v>117+380</v>
      </c>
      <c r="C2" s="43" t="str">
        <v>117+480</v>
      </c>
      <c r="D2" s="43" t="str">
        <v>117+580</v>
      </c>
      <c r="E2" s="43" t="str">
        <v>117+680</v>
      </c>
      <c r="F2" s="43" t="str">
        <v>117+780</v>
      </c>
      <c r="G2" s="43" t="str">
        <v>117+880</v>
      </c>
      <c r="H2" s="43" t="str">
        <v>117+980</v>
      </c>
      <c r="I2" s="43" t="str">
        <v>118+080</v>
      </c>
      <c r="J2" s="43" t="str">
        <v>118+180</v>
      </c>
      <c r="K2" s="43" t="str">
        <v>118+280</v>
      </c>
      <c r="L2" s="43" t="str">
        <v>118+380</v>
      </c>
      <c r="M2" s="43" t="str">
        <v>118+480</v>
      </c>
      <c r="N2" s="43" t="str">
        <v>118+580</v>
      </c>
      <c r="O2" s="43" t="str">
        <v>118+680</v>
      </c>
      <c r="P2" s="43" t="str">
        <v>118+780</v>
      </c>
      <c r="Q2" s="43" t="str">
        <v>118+880</v>
      </c>
      <c r="R2" s="43" t="str">
        <v>118+980</v>
      </c>
      <c r="S2" s="43" t="str">
        <v>119+080</v>
      </c>
      <c r="T2" s="43" t="str">
        <v>119+180</v>
      </c>
      <c r="U2" s="43" t="str">
        <v>119+280</v>
      </c>
      <c r="V2" s="43" t="str">
        <v>119+380</v>
      </c>
      <c r="W2" s="43" t="str">
        <v>119+480</v>
      </c>
      <c r="X2" s="43" t="str">
        <v>119+580</v>
      </c>
      <c r="Y2" s="43" t="str">
        <v>119+680</v>
      </c>
      <c r="Z2" s="43" t="str">
        <v>119+780</v>
      </c>
      <c r="AA2" s="43" t="str">
        <v>119+880</v>
      </c>
      <c r="AB2" s="43" t="str">
        <v>119+980</v>
      </c>
      <c r="AC2" s="43" t="str">
        <v>120+080</v>
      </c>
      <c r="AD2" s="43" t="str">
        <v>120+180</v>
      </c>
      <c r="AE2" s="43" t="str">
        <v>120+280</v>
      </c>
      <c r="AF2" s="43" t="str">
        <v>120+380</v>
      </c>
      <c r="AG2" s="43" t="str">
        <v>120+480</v>
      </c>
      <c r="AH2" s="43" t="str">
        <v>120+580</v>
      </c>
      <c r="AI2" s="43" t="str">
        <v>120+680</v>
      </c>
      <c r="AJ2" s="43" t="str">
        <v>120+780</v>
      </c>
      <c r="AK2" s="43" t="str">
        <v>120+880</v>
      </c>
      <c r="AL2" s="43" t="str">
        <v>120+980</v>
      </c>
      <c r="AM2" s="43" t="str">
        <v>121+080</v>
      </c>
      <c r="AN2" s="43" t="str">
        <v>121+180</v>
      </c>
      <c r="AO2" s="43" t="str">
        <v>121+280</v>
      </c>
      <c r="AP2" s="43" t="str">
        <v>121+380</v>
      </c>
      <c r="AQ2" s="43" t="str">
        <v>121+480</v>
      </c>
      <c r="AR2" s="43" t="str">
        <v>121+580</v>
      </c>
      <c r="AS2" s="43" t="str">
        <v>121+680</v>
      </c>
      <c r="AT2" s="43" t="str">
        <v>121+780</v>
      </c>
      <c r="AU2" s="43" t="str">
        <v>121+880</v>
      </c>
      <c r="AV2" s="43" t="str">
        <v>121+980</v>
      </c>
      <c r="AW2" s="43" t="str">
        <v>122+080</v>
      </c>
      <c r="AX2" s="43" t="str">
        <v>122+180</v>
      </c>
      <c r="AY2" s="43" t="str">
        <v>122+280</v>
      </c>
      <c r="AZ2" s="43" t="str">
        <v>122+380</v>
      </c>
      <c r="BA2" s="43" t="str">
        <v>122+480</v>
      </c>
      <c r="BB2" s="43" t="str">
        <v>122+580</v>
      </c>
      <c r="BC2" s="43" t="str">
        <v>122+680</v>
      </c>
      <c r="BD2" s="43" t="str">
        <v>122+780</v>
      </c>
      <c r="BE2" s="43" t="str">
        <v>122+880</v>
      </c>
      <c r="BF2" s="43" t="str">
        <v>122+980</v>
      </c>
      <c r="BG2" s="43" t="str">
        <v>123+080</v>
      </c>
      <c r="BH2" s="43" t="str">
        <v>123+180</v>
      </c>
      <c r="BI2" s="43" t="str">
        <v>123+280</v>
      </c>
      <c r="BJ2" s="43" t="str">
        <v>123+380</v>
      </c>
      <c r="BK2" s="43" t="str">
        <v>123+480</v>
      </c>
    </row>
    <row r="3" ht="21" customHeight="1">
      <c r="A3" s="60" t="str">
        <v>Serviços preliminares e conclusivos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</row>
    <row r="4" ht="19" customHeight="1">
      <c r="A4" s="68" t="str">
        <v>Demolições e remoções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</row>
    <row r="5">
      <c r="A5" s="51" t="str">
        <v>Remoção de cerca</v>
      </c>
      <c r="B5" s="56" t="str">
        <f>IF(COUNTIFS('LANÇAMENTOS DIÁRIOS'!$G$5:$G$500,"G",'LANÇAMENTOS DIÁRIOS'!$C$5:$C$500,$A5,'LANÇAMENTOS DIÁRIOS'!$O$5:$O$500,"&lt;=117479",'LANÇAMENTOS DIÁRIOS'!$P$5:$P$500,"&gt;=117380")&gt;0,"X","")</f>
      </c>
      <c r="C5" s="56" t="str">
        <f>IF(COUNTIFS('LANÇAMENTOS DIÁRIOS'!$G$5:$G$500,"G",'LANÇAMENTOS DIÁRIOS'!$C$5:$C$500,$A5,'LANÇAMENTOS DIÁRIOS'!$O$5:$O$500,"&lt;=117579",'LANÇAMENTOS DIÁRIOS'!$P$5:$P$500,"&gt;=117480")&gt;0,"X","")</f>
      </c>
      <c r="D5" s="56" t="str">
        <f>IF(COUNTIFS('LANÇAMENTOS DIÁRIOS'!$G$5:$G$500,"G",'LANÇAMENTOS DIÁRIOS'!$C$5:$C$500,$A5,'LANÇAMENTOS DIÁRIOS'!$O$5:$O$500,"&lt;=117679",'LANÇAMENTOS DIÁRIOS'!$P$5:$P$500,"&gt;=117580")&gt;0,"X","")</f>
      </c>
      <c r="E5" s="56" t="str">
        <f>IF(COUNTIFS('LANÇAMENTOS DIÁRIOS'!$G$5:$G$500,"G",'LANÇAMENTOS DIÁRIOS'!$C$5:$C$500,$A5,'LANÇAMENTOS DIÁRIOS'!$O$5:$O$500,"&lt;=117779",'LANÇAMENTOS DIÁRIOS'!$P$5:$P$500,"&gt;=117680")&gt;0,"X","")</f>
      </c>
      <c r="F5" s="56" t="str">
        <f>IF(COUNTIFS('LANÇAMENTOS DIÁRIOS'!$G$5:$G$500,"G",'LANÇAMENTOS DIÁRIOS'!$C$5:$C$500,$A5,'LANÇAMENTOS DIÁRIOS'!$O$5:$O$500,"&lt;=117879",'LANÇAMENTOS DIÁRIOS'!$P$5:$P$500,"&gt;=117780")&gt;0,"X","")</f>
      </c>
      <c r="G5" s="56" t="str">
        <f>IF(COUNTIFS('LANÇAMENTOS DIÁRIOS'!$G$5:$G$500,"G",'LANÇAMENTOS DIÁRIOS'!$C$5:$C$500,$A5,'LANÇAMENTOS DIÁRIOS'!$O$5:$O$500,"&lt;=117979",'LANÇAMENTOS DIÁRIOS'!$P$5:$P$500,"&gt;=117880")&gt;0,"X","")</f>
      </c>
      <c r="H5" s="56" t="str">
        <f>IF(COUNTIFS('LANÇAMENTOS DIÁRIOS'!$G$5:$G$500,"G",'LANÇAMENTOS DIÁRIOS'!$C$5:$C$500,$A5,'LANÇAMENTOS DIÁRIOS'!$O$5:$O$500,"&lt;=118079",'LANÇAMENTOS DIÁRIOS'!$P$5:$P$500,"&gt;=117980")&gt;0,"X","")</f>
      </c>
      <c r="I5" s="56" t="str">
        <f>IF(COUNTIFS('LANÇAMENTOS DIÁRIOS'!$G$5:$G$500,"G",'LANÇAMENTOS DIÁRIOS'!$C$5:$C$500,$A5,'LANÇAMENTOS DIÁRIOS'!$O$5:$O$500,"&lt;=118179",'LANÇAMENTOS DIÁRIOS'!$P$5:$P$500,"&gt;=118080")&gt;0,"X","")</f>
      </c>
      <c r="J5" s="56" t="str">
        <f>IF(COUNTIFS('LANÇAMENTOS DIÁRIOS'!$G$5:$G$500,"G",'LANÇAMENTOS DIÁRIOS'!$C$5:$C$500,$A5,'LANÇAMENTOS DIÁRIOS'!$O$5:$O$500,"&lt;=118279",'LANÇAMENTOS DIÁRIOS'!$P$5:$P$500,"&gt;=118180")&gt;0,"X","")</f>
      </c>
      <c r="K5" s="56" t="str">
        <f>IF(COUNTIFS('LANÇAMENTOS DIÁRIOS'!$G$5:$G$500,"G",'LANÇAMENTOS DIÁRIOS'!$C$5:$C$500,$A5,'LANÇAMENTOS DIÁRIOS'!$O$5:$O$500,"&lt;=118379",'LANÇAMENTOS DIÁRIOS'!$P$5:$P$500,"&gt;=118280")&gt;0,"X","")</f>
      </c>
      <c r="L5" s="56" t="str">
        <f>IF(COUNTIFS('LANÇAMENTOS DIÁRIOS'!$G$5:$G$500,"G",'LANÇAMENTOS DIÁRIOS'!$C$5:$C$500,$A5,'LANÇAMENTOS DIÁRIOS'!$O$5:$O$500,"&lt;=118479",'LANÇAMENTOS DIÁRIOS'!$P$5:$P$500,"&gt;=118380")&gt;0,"X","")</f>
      </c>
      <c r="M5" s="56" t="str">
        <f>IF(COUNTIFS('LANÇAMENTOS DIÁRIOS'!$G$5:$G$500,"G",'LANÇAMENTOS DIÁRIOS'!$C$5:$C$500,$A5,'LANÇAMENTOS DIÁRIOS'!$O$5:$O$500,"&lt;=118579",'LANÇAMENTOS DIÁRIOS'!$P$5:$P$500,"&gt;=118480")&gt;0,"X","")</f>
      </c>
      <c r="N5" s="56" t="str">
        <f>IF(COUNTIFS('LANÇAMENTOS DIÁRIOS'!$G$5:$G$500,"G",'LANÇAMENTOS DIÁRIOS'!$C$5:$C$500,$A5,'LANÇAMENTOS DIÁRIOS'!$O$5:$O$500,"&lt;=118679",'LANÇAMENTOS DIÁRIOS'!$P$5:$P$500,"&gt;=118580")&gt;0,"X","")</f>
      </c>
      <c r="O5" s="56" t="str">
        <f>IF(COUNTIFS('LANÇAMENTOS DIÁRIOS'!$G$5:$G$500,"G",'LANÇAMENTOS DIÁRIOS'!$C$5:$C$500,$A5,'LANÇAMENTOS DIÁRIOS'!$O$5:$O$500,"&lt;=118779",'LANÇAMENTOS DIÁRIOS'!$P$5:$P$500,"&gt;=118680")&gt;0,"X","")</f>
      </c>
      <c r="P5" s="56" t="str">
        <f>IF(COUNTIFS('LANÇAMENTOS DIÁRIOS'!$G$5:$G$500,"G",'LANÇAMENTOS DIÁRIOS'!$C$5:$C$500,$A5,'LANÇAMENTOS DIÁRIOS'!$O$5:$O$500,"&lt;=118879",'LANÇAMENTOS DIÁRIOS'!$P$5:$P$500,"&gt;=118780")&gt;0,"X","")</f>
      </c>
      <c r="Q5" s="56" t="str">
        <f>IF(COUNTIFS('LANÇAMENTOS DIÁRIOS'!$G$5:$G$500,"G",'LANÇAMENTOS DIÁRIOS'!$C$5:$C$500,$A5,'LANÇAMENTOS DIÁRIOS'!$O$5:$O$500,"&lt;=118979",'LANÇAMENTOS DIÁRIOS'!$P$5:$P$500,"&gt;=118880")&gt;0,"X","")</f>
      </c>
      <c r="R5" s="56" t="str">
        <f>IF(COUNTIFS('LANÇAMENTOS DIÁRIOS'!$G$5:$G$500,"G",'LANÇAMENTOS DIÁRIOS'!$C$5:$C$500,$A5,'LANÇAMENTOS DIÁRIOS'!$O$5:$O$500,"&lt;=119079",'LANÇAMENTOS DIÁRIOS'!$P$5:$P$500,"&gt;=118980")&gt;0,"X","")</f>
      </c>
      <c r="S5" s="56" t="str">
        <f>IF(COUNTIFS('LANÇAMENTOS DIÁRIOS'!$G$5:$G$500,"G",'LANÇAMENTOS DIÁRIOS'!$C$5:$C$500,$A5,'LANÇAMENTOS DIÁRIOS'!$O$5:$O$500,"&lt;=119179",'LANÇAMENTOS DIÁRIOS'!$P$5:$P$500,"&gt;=119080")&gt;0,"X","")</f>
      </c>
      <c r="T5" s="56" t="str">
        <f>IF(COUNTIFS('LANÇAMENTOS DIÁRIOS'!$G$5:$G$500,"G",'LANÇAMENTOS DIÁRIOS'!$C$5:$C$500,$A5,'LANÇAMENTOS DIÁRIOS'!$O$5:$O$500,"&lt;=119279",'LANÇAMENTOS DIÁRIOS'!$P$5:$P$500,"&gt;=119180")&gt;0,"X","")</f>
      </c>
      <c r="U5" s="56" t="str">
        <f>IF(COUNTIFS('LANÇAMENTOS DIÁRIOS'!$G$5:$G$500,"G",'LANÇAMENTOS DIÁRIOS'!$C$5:$C$500,$A5,'LANÇAMENTOS DIÁRIOS'!$O$5:$O$500,"&lt;=119379",'LANÇAMENTOS DIÁRIOS'!$P$5:$P$500,"&gt;=119280")&gt;0,"X","")</f>
      </c>
      <c r="V5" s="56" t="str">
        <f>IF(COUNTIFS('LANÇAMENTOS DIÁRIOS'!$G$5:$G$500,"G",'LANÇAMENTOS DIÁRIOS'!$C$5:$C$500,$A5,'LANÇAMENTOS DIÁRIOS'!$O$5:$O$500,"&lt;=119479",'LANÇAMENTOS DIÁRIOS'!$P$5:$P$500,"&gt;=119380")&gt;0,"X","")</f>
      </c>
      <c r="W5" s="56" t="str">
        <f>IF(COUNTIFS('LANÇAMENTOS DIÁRIOS'!$G$5:$G$500,"G",'LANÇAMENTOS DIÁRIOS'!$C$5:$C$500,$A5,'LANÇAMENTOS DIÁRIOS'!$O$5:$O$500,"&lt;=119579",'LANÇAMENTOS DIÁRIOS'!$P$5:$P$500,"&gt;=119480")&gt;0,"X","")</f>
      </c>
      <c r="X5" s="56" t="str">
        <f>IF(COUNTIFS('LANÇAMENTOS DIÁRIOS'!$G$5:$G$500,"G",'LANÇAMENTOS DIÁRIOS'!$C$5:$C$500,$A5,'LANÇAMENTOS DIÁRIOS'!$O$5:$O$500,"&lt;=119679",'LANÇAMENTOS DIÁRIOS'!$P$5:$P$500,"&gt;=119580")&gt;0,"X","")</f>
      </c>
      <c r="Y5" s="56" t="str">
        <f>IF(COUNTIFS('LANÇAMENTOS DIÁRIOS'!$G$5:$G$500,"G",'LANÇAMENTOS DIÁRIOS'!$C$5:$C$500,$A5,'LANÇAMENTOS DIÁRIOS'!$O$5:$O$500,"&lt;=119779",'LANÇAMENTOS DIÁRIOS'!$P$5:$P$500,"&gt;=119680")&gt;0,"X","")</f>
      </c>
      <c r="Z5" s="56" t="str">
        <f>IF(COUNTIFS('LANÇAMENTOS DIÁRIOS'!$G$5:$G$500,"G",'LANÇAMENTOS DIÁRIOS'!$C$5:$C$500,$A5,'LANÇAMENTOS DIÁRIOS'!$O$5:$O$500,"&lt;=119879",'LANÇAMENTOS DIÁRIOS'!$P$5:$P$500,"&gt;=119780")&gt;0,"X","")</f>
      </c>
      <c r="AA5" s="56" t="str">
        <f>IF(COUNTIFS('LANÇAMENTOS DIÁRIOS'!$G$5:$G$500,"G",'LANÇAMENTOS DIÁRIOS'!$C$5:$C$500,$A5,'LANÇAMENTOS DIÁRIOS'!$O$5:$O$500,"&lt;=119979",'LANÇAMENTOS DIÁRIOS'!$P$5:$P$500,"&gt;=119880")&gt;0,"X","")</f>
      </c>
      <c r="AB5" s="56" t="str">
        <f>IF(COUNTIFS('LANÇAMENTOS DIÁRIOS'!$G$5:$G$500,"G",'LANÇAMENTOS DIÁRIOS'!$C$5:$C$500,$A5,'LANÇAMENTOS DIÁRIOS'!$O$5:$O$500,"&lt;=120079",'LANÇAMENTOS DIÁRIOS'!$P$5:$P$500,"&gt;=119980")&gt;0,"X","")</f>
      </c>
      <c r="AC5" s="56" t="str">
        <f>IF(COUNTIFS('LANÇAMENTOS DIÁRIOS'!$G$5:$G$500,"G",'LANÇAMENTOS DIÁRIOS'!$C$5:$C$500,$A5,'LANÇAMENTOS DIÁRIOS'!$O$5:$O$500,"&lt;=120179",'LANÇAMENTOS DIÁRIOS'!$P$5:$P$500,"&gt;=120080")&gt;0,"X","")</f>
      </c>
      <c r="AD5" s="56" t="str">
        <f>IF(COUNTIFS('LANÇAMENTOS DIÁRIOS'!$G$5:$G$500,"G",'LANÇAMENTOS DIÁRIOS'!$C$5:$C$500,$A5,'LANÇAMENTOS DIÁRIOS'!$O$5:$O$500,"&lt;=120279",'LANÇAMENTOS DIÁRIOS'!$P$5:$P$500,"&gt;=120180")&gt;0,"X","")</f>
      </c>
      <c r="AE5" s="56" t="str">
        <f>IF(COUNTIFS('LANÇAMENTOS DIÁRIOS'!$G$5:$G$500,"G",'LANÇAMENTOS DIÁRIOS'!$C$5:$C$500,$A5,'LANÇAMENTOS DIÁRIOS'!$O$5:$O$500,"&lt;=120379",'LANÇAMENTOS DIÁRIOS'!$P$5:$P$500,"&gt;=120280")&gt;0,"X","")</f>
      </c>
      <c r="AF5" s="56" t="str">
        <f>IF(COUNTIFS('LANÇAMENTOS DIÁRIOS'!$G$5:$G$500,"G",'LANÇAMENTOS DIÁRIOS'!$C$5:$C$500,$A5,'LANÇAMENTOS DIÁRIOS'!$O$5:$O$500,"&lt;=120479",'LANÇAMENTOS DIÁRIOS'!$P$5:$P$500,"&gt;=120380")&gt;0,"X","")</f>
      </c>
      <c r="AG5" s="56" t="str">
        <f>IF(COUNTIFS('LANÇAMENTOS DIÁRIOS'!$G$5:$G$500,"G",'LANÇAMENTOS DIÁRIOS'!$C$5:$C$500,$A5,'LANÇAMENTOS DIÁRIOS'!$O$5:$O$500,"&lt;=120579",'LANÇAMENTOS DIÁRIOS'!$P$5:$P$500,"&gt;=120480")&gt;0,"X","")</f>
      </c>
      <c r="AH5" s="56" t="str">
        <f>IF(COUNTIFS('LANÇAMENTOS DIÁRIOS'!$G$5:$G$500,"G",'LANÇAMENTOS DIÁRIOS'!$C$5:$C$500,$A5,'LANÇAMENTOS DIÁRIOS'!$O$5:$O$500,"&lt;=120679",'LANÇAMENTOS DIÁRIOS'!$P$5:$P$500,"&gt;=120580")&gt;0,"X","")</f>
      </c>
      <c r="AI5" s="56" t="str">
        <f>IF(COUNTIFS('LANÇAMENTOS DIÁRIOS'!$G$5:$G$500,"G",'LANÇAMENTOS DIÁRIOS'!$C$5:$C$500,$A5,'LANÇAMENTOS DIÁRIOS'!$O$5:$O$500,"&lt;=120779",'LANÇAMENTOS DIÁRIOS'!$P$5:$P$500,"&gt;=120680")&gt;0,"X","")</f>
      </c>
      <c r="AJ5" s="56" t="str">
        <f>IF(COUNTIFS('LANÇAMENTOS DIÁRIOS'!$G$5:$G$500,"G",'LANÇAMENTOS DIÁRIOS'!$C$5:$C$500,$A5,'LANÇAMENTOS DIÁRIOS'!$O$5:$O$500,"&lt;=120879",'LANÇAMENTOS DIÁRIOS'!$P$5:$P$500,"&gt;=120780")&gt;0,"X","")</f>
      </c>
      <c r="AK5" s="56" t="str">
        <f>IF(COUNTIFS('LANÇAMENTOS DIÁRIOS'!$G$5:$G$500,"G",'LANÇAMENTOS DIÁRIOS'!$C$5:$C$500,$A5,'LANÇAMENTOS DIÁRIOS'!$O$5:$O$500,"&lt;=120979",'LANÇAMENTOS DIÁRIOS'!$P$5:$P$500,"&gt;=120880")&gt;0,"X","")</f>
      </c>
      <c r="AL5" s="56" t="str">
        <f>IF(COUNTIFS('LANÇAMENTOS DIÁRIOS'!$G$5:$G$500,"G",'LANÇAMENTOS DIÁRIOS'!$C$5:$C$500,$A5,'LANÇAMENTOS DIÁRIOS'!$O$5:$O$500,"&lt;=121079",'LANÇAMENTOS DIÁRIOS'!$P$5:$P$500,"&gt;=120980")&gt;0,"X","")</f>
      </c>
      <c r="AM5" s="56" t="str">
        <f>IF(COUNTIFS('LANÇAMENTOS DIÁRIOS'!$G$5:$G$500,"G",'LANÇAMENTOS DIÁRIOS'!$C$5:$C$500,$A5,'LANÇAMENTOS DIÁRIOS'!$O$5:$O$500,"&lt;=121179",'LANÇAMENTOS DIÁRIOS'!$P$5:$P$500,"&gt;=121080")&gt;0,"X","")</f>
      </c>
      <c r="AN5" s="56" t="str">
        <f>IF(COUNTIFS('LANÇAMENTOS DIÁRIOS'!$G$5:$G$500,"G",'LANÇAMENTOS DIÁRIOS'!$C$5:$C$500,$A5,'LANÇAMENTOS DIÁRIOS'!$O$5:$O$500,"&lt;=121279",'LANÇAMENTOS DIÁRIOS'!$P$5:$P$500,"&gt;=121180")&gt;0,"X","")</f>
      </c>
      <c r="AO5" s="56" t="str">
        <f>IF(COUNTIFS('LANÇAMENTOS DIÁRIOS'!$G$5:$G$500,"G",'LANÇAMENTOS DIÁRIOS'!$C$5:$C$500,$A5,'LANÇAMENTOS DIÁRIOS'!$O$5:$O$500,"&lt;=121379",'LANÇAMENTOS DIÁRIOS'!$P$5:$P$500,"&gt;=121280")&gt;0,"X","")</f>
      </c>
      <c r="AP5" s="56" t="str">
        <f>IF(COUNTIFS('LANÇAMENTOS DIÁRIOS'!$G$5:$G$500,"G",'LANÇAMENTOS DIÁRIOS'!$C$5:$C$500,$A5,'LANÇAMENTOS DIÁRIOS'!$O$5:$O$500,"&lt;=121479",'LANÇAMENTOS DIÁRIOS'!$P$5:$P$500,"&gt;=121380")&gt;0,"X","")</f>
      </c>
      <c r="AQ5" s="56" t="str">
        <f>IF(COUNTIFS('LANÇAMENTOS DIÁRIOS'!$G$5:$G$500,"G",'LANÇAMENTOS DIÁRIOS'!$C$5:$C$500,$A5,'LANÇAMENTOS DIÁRIOS'!$O$5:$O$500,"&lt;=121579",'LANÇAMENTOS DIÁRIOS'!$P$5:$P$500,"&gt;=121480")&gt;0,"X","")</f>
      </c>
      <c r="AR5" s="56" t="str">
        <f>IF(COUNTIFS('LANÇAMENTOS DIÁRIOS'!$G$5:$G$500,"G",'LANÇAMENTOS DIÁRIOS'!$C$5:$C$500,$A5,'LANÇAMENTOS DIÁRIOS'!$O$5:$O$500,"&lt;=121679",'LANÇAMENTOS DIÁRIOS'!$P$5:$P$500,"&gt;=121580")&gt;0,"X","")</f>
      </c>
      <c r="AS5" s="56" t="str">
        <f>IF(COUNTIFS('LANÇAMENTOS DIÁRIOS'!$G$5:$G$500,"G",'LANÇAMENTOS DIÁRIOS'!$C$5:$C$500,$A5,'LANÇAMENTOS DIÁRIOS'!$O$5:$O$500,"&lt;=121779",'LANÇAMENTOS DIÁRIOS'!$P$5:$P$500,"&gt;=121680")&gt;0,"X","")</f>
      </c>
      <c r="AT5" s="56" t="str">
        <f>IF(COUNTIFS('LANÇAMENTOS DIÁRIOS'!$G$5:$G$500,"G",'LANÇAMENTOS DIÁRIOS'!$C$5:$C$500,$A5,'LANÇAMENTOS DIÁRIOS'!$O$5:$O$500,"&lt;=121879",'LANÇAMENTOS DIÁRIOS'!$P$5:$P$500,"&gt;=121780")&gt;0,"X","")</f>
      </c>
      <c r="AU5" s="56" t="str">
        <f>IF(COUNTIFS('LANÇAMENTOS DIÁRIOS'!$G$5:$G$500,"G",'LANÇAMENTOS DIÁRIOS'!$C$5:$C$500,$A5,'LANÇAMENTOS DIÁRIOS'!$O$5:$O$500,"&lt;=121979",'LANÇAMENTOS DIÁRIOS'!$P$5:$P$500,"&gt;=121880")&gt;0,"X","")</f>
      </c>
      <c r="AV5" s="56" t="str">
        <f>IF(COUNTIFS('LANÇAMENTOS DIÁRIOS'!$G$5:$G$500,"G",'LANÇAMENTOS DIÁRIOS'!$C$5:$C$500,$A5,'LANÇAMENTOS DIÁRIOS'!$O$5:$O$500,"&lt;=122079",'LANÇAMENTOS DIÁRIOS'!$P$5:$P$500,"&gt;=121980")&gt;0,"X","")</f>
      </c>
      <c r="AW5" s="56" t="str">
        <f>IF(COUNTIFS('LANÇAMENTOS DIÁRIOS'!$G$5:$G$500,"G",'LANÇAMENTOS DIÁRIOS'!$C$5:$C$500,$A5,'LANÇAMENTOS DIÁRIOS'!$O$5:$O$500,"&lt;=122179",'LANÇAMENTOS DIÁRIOS'!$P$5:$P$500,"&gt;=122080")&gt;0,"X","")</f>
      </c>
      <c r="AX5" s="56" t="str">
        <f>IF(COUNTIFS('LANÇAMENTOS DIÁRIOS'!$G$5:$G$500,"G",'LANÇAMENTOS DIÁRIOS'!$C$5:$C$500,$A5,'LANÇAMENTOS DIÁRIOS'!$O$5:$O$500,"&lt;=122279",'LANÇAMENTOS DIÁRIOS'!$P$5:$P$500,"&gt;=122180")&gt;0,"X","")</f>
      </c>
      <c r="AY5" s="56" t="str">
        <f>IF(COUNTIFS('LANÇAMENTOS DIÁRIOS'!$G$5:$G$500,"G",'LANÇAMENTOS DIÁRIOS'!$C$5:$C$500,$A5,'LANÇAMENTOS DIÁRIOS'!$O$5:$O$500,"&lt;=122379",'LANÇAMENTOS DIÁRIOS'!$P$5:$P$500,"&gt;=122280")&gt;0,"X","")</f>
      </c>
      <c r="AZ5" s="56" t="str">
        <f>IF(COUNTIFS('LANÇAMENTOS DIÁRIOS'!$G$5:$G$500,"G",'LANÇAMENTOS DIÁRIOS'!$C$5:$C$500,$A5,'LANÇAMENTOS DIÁRIOS'!$O$5:$O$500,"&lt;=122479",'LANÇAMENTOS DIÁRIOS'!$P$5:$P$500,"&gt;=122380")&gt;0,"X","")</f>
      </c>
      <c r="BA5" s="56" t="str">
        <f>IF(COUNTIFS('LANÇAMENTOS DIÁRIOS'!$G$5:$G$500,"G",'LANÇAMENTOS DIÁRIOS'!$C$5:$C$500,$A5,'LANÇAMENTOS DIÁRIOS'!$O$5:$O$500,"&lt;=122579",'LANÇAMENTOS DIÁRIOS'!$P$5:$P$500,"&gt;=122480")&gt;0,"X","")</f>
      </c>
      <c r="BB5" s="56" t="str">
        <f>IF(COUNTIFS('LANÇAMENTOS DIÁRIOS'!$G$5:$G$500,"G",'LANÇAMENTOS DIÁRIOS'!$C$5:$C$500,$A5,'LANÇAMENTOS DIÁRIOS'!$O$5:$O$500,"&lt;=122679",'LANÇAMENTOS DIÁRIOS'!$P$5:$P$500,"&gt;=122580")&gt;0,"X","")</f>
      </c>
      <c r="BC5" s="56" t="str">
        <f>IF(COUNTIFS('LANÇAMENTOS DIÁRIOS'!$G$5:$G$500,"G",'LANÇAMENTOS DIÁRIOS'!$C$5:$C$500,$A5,'LANÇAMENTOS DIÁRIOS'!$O$5:$O$500,"&lt;=122779",'LANÇAMENTOS DIÁRIOS'!$P$5:$P$500,"&gt;=122680")&gt;0,"X","")</f>
      </c>
      <c r="BD5" s="56" t="str">
        <f>IF(COUNTIFS('LANÇAMENTOS DIÁRIOS'!$G$5:$G$500,"G",'LANÇAMENTOS DIÁRIOS'!$C$5:$C$500,$A5,'LANÇAMENTOS DIÁRIOS'!$O$5:$O$500,"&lt;=122879",'LANÇAMENTOS DIÁRIOS'!$P$5:$P$500,"&gt;=122780")&gt;0,"X","")</f>
      </c>
      <c r="BE5" s="56" t="str">
        <f>IF(COUNTIFS('LANÇAMENTOS DIÁRIOS'!$G$5:$G$500,"G",'LANÇAMENTOS DIÁRIOS'!$C$5:$C$500,$A5,'LANÇAMENTOS DIÁRIOS'!$O$5:$O$500,"&lt;=122979",'LANÇAMENTOS DIÁRIOS'!$P$5:$P$500,"&gt;=122880")&gt;0,"X","")</f>
      </c>
      <c r="BF5" s="56" t="str">
        <f>IF(COUNTIFS('LANÇAMENTOS DIÁRIOS'!$G$5:$G$500,"G",'LANÇAMENTOS DIÁRIOS'!$C$5:$C$500,$A5,'LANÇAMENTOS DIÁRIOS'!$O$5:$O$500,"&lt;=123079",'LANÇAMENTOS DIÁRIOS'!$P$5:$P$500,"&gt;=122980")&gt;0,"X","")</f>
      </c>
      <c r="BG5" s="56" t="str">
        <f>IF(COUNTIFS('LANÇAMENTOS DIÁRIOS'!$G$5:$G$500,"G",'LANÇAMENTOS DIÁRIOS'!$C$5:$C$500,$A5,'LANÇAMENTOS DIÁRIOS'!$O$5:$O$500,"&lt;=123179",'LANÇAMENTOS DIÁRIOS'!$P$5:$P$500,"&gt;=123080")&gt;0,"X","")</f>
      </c>
      <c r="BH5" s="56" t="str">
        <f>IF(COUNTIFS('LANÇAMENTOS DIÁRIOS'!$G$5:$G$500,"G",'LANÇAMENTOS DIÁRIOS'!$C$5:$C$500,$A5,'LANÇAMENTOS DIÁRIOS'!$O$5:$O$500,"&lt;=123279",'LANÇAMENTOS DIÁRIOS'!$P$5:$P$500,"&gt;=123180")&gt;0,"X","")</f>
      </c>
      <c r="BI5" s="56" t="str">
        <f>IF(COUNTIFS('LANÇAMENTOS DIÁRIOS'!$G$5:$G$500,"G",'LANÇAMENTOS DIÁRIOS'!$C$5:$C$500,$A5,'LANÇAMENTOS DIÁRIOS'!$O$5:$O$500,"&lt;=123379",'LANÇAMENTOS DIÁRIOS'!$P$5:$P$500,"&gt;=123280")&gt;0,"X","")</f>
      </c>
      <c r="BJ5" s="56" t="str">
        <f>IF(COUNTIFS('LANÇAMENTOS DIÁRIOS'!$G$5:$G$500,"G",'LANÇAMENTOS DIÁRIOS'!$C$5:$C$500,$A5,'LANÇAMENTOS DIÁRIOS'!$O$5:$O$500,"&lt;=123479",'LANÇAMENTOS DIÁRIOS'!$P$5:$P$500,"&gt;=123380")&gt;0,"X","")</f>
      </c>
      <c r="BK5" s="56" t="str">
        <f>IF(COUNTIFS('LANÇAMENTOS DIÁRIOS'!$G$5:$G$500,"G",'LANÇAMENTOS DIÁRIOS'!$C$5:$C$500,$A5,'LANÇAMENTOS DIÁRIOS'!$O$5:$O$500,"&lt;=123480",'LANÇAMENTOS DIÁRIOS'!$P$5:$P$500,"&gt;=123480")&gt;0,"X","")</f>
      </c>
    </row>
    <row r="6">
      <c r="A6" s="51" t="str">
        <v>Remoção de defensa metálica</v>
      </c>
      <c r="B6" s="56" t="str">
        <f>IF(COUNTIFS('LANÇAMENTOS DIÁRIOS'!$G$5:$G$500,"G",'LANÇAMENTOS DIÁRIOS'!$C$5:$C$500,$A6,'LANÇAMENTOS DIÁRIOS'!$O$5:$O$500,"&lt;=117479",'LANÇAMENTOS DIÁRIOS'!$P$5:$P$500,"&gt;=117380")&gt;0,"X","")</f>
      </c>
      <c r="C6" s="56" t="str">
        <f>IF(COUNTIFS('LANÇAMENTOS DIÁRIOS'!$G$5:$G$500,"G",'LANÇAMENTOS DIÁRIOS'!$C$5:$C$500,$A6,'LANÇAMENTOS DIÁRIOS'!$O$5:$O$500,"&lt;=117579",'LANÇAMENTOS DIÁRIOS'!$P$5:$P$500,"&gt;=117480")&gt;0,"X","")</f>
      </c>
      <c r="D6" s="56" t="str">
        <f>IF(COUNTIFS('LANÇAMENTOS DIÁRIOS'!$G$5:$G$500,"G",'LANÇAMENTOS DIÁRIOS'!$C$5:$C$500,$A6,'LANÇAMENTOS DIÁRIOS'!$O$5:$O$500,"&lt;=117679",'LANÇAMENTOS DIÁRIOS'!$P$5:$P$500,"&gt;=117580")&gt;0,"X","")</f>
      </c>
      <c r="E6" s="56" t="str">
        <f>IF(COUNTIFS('LANÇAMENTOS DIÁRIOS'!$G$5:$G$500,"G",'LANÇAMENTOS DIÁRIOS'!$C$5:$C$500,$A6,'LANÇAMENTOS DIÁRIOS'!$O$5:$O$500,"&lt;=117779",'LANÇAMENTOS DIÁRIOS'!$P$5:$P$500,"&gt;=117680")&gt;0,"X","")</f>
      </c>
      <c r="F6" s="56" t="str">
        <f>IF(COUNTIFS('LANÇAMENTOS DIÁRIOS'!$G$5:$G$500,"G",'LANÇAMENTOS DIÁRIOS'!$C$5:$C$500,$A6,'LANÇAMENTOS DIÁRIOS'!$O$5:$O$500,"&lt;=117879",'LANÇAMENTOS DIÁRIOS'!$P$5:$P$500,"&gt;=117780")&gt;0,"X","")</f>
      </c>
      <c r="G6" s="56" t="str">
        <f>IF(COUNTIFS('LANÇAMENTOS DIÁRIOS'!$G$5:$G$500,"G",'LANÇAMENTOS DIÁRIOS'!$C$5:$C$500,$A6,'LANÇAMENTOS DIÁRIOS'!$O$5:$O$500,"&lt;=117979",'LANÇAMENTOS DIÁRIOS'!$P$5:$P$500,"&gt;=117880")&gt;0,"X","")</f>
      </c>
      <c r="H6" s="56" t="str">
        <f>IF(COUNTIFS('LANÇAMENTOS DIÁRIOS'!$G$5:$G$500,"G",'LANÇAMENTOS DIÁRIOS'!$C$5:$C$500,$A6,'LANÇAMENTOS DIÁRIOS'!$O$5:$O$500,"&lt;=118079",'LANÇAMENTOS DIÁRIOS'!$P$5:$P$500,"&gt;=117980")&gt;0,"X","")</f>
      </c>
      <c r="I6" s="56" t="str">
        <f>IF(COUNTIFS('LANÇAMENTOS DIÁRIOS'!$G$5:$G$500,"G",'LANÇAMENTOS DIÁRIOS'!$C$5:$C$500,$A6,'LANÇAMENTOS DIÁRIOS'!$O$5:$O$500,"&lt;=118179",'LANÇAMENTOS DIÁRIOS'!$P$5:$P$500,"&gt;=118080")&gt;0,"X","")</f>
      </c>
      <c r="J6" s="56" t="str">
        <f>IF(COUNTIFS('LANÇAMENTOS DIÁRIOS'!$G$5:$G$500,"G",'LANÇAMENTOS DIÁRIOS'!$C$5:$C$500,$A6,'LANÇAMENTOS DIÁRIOS'!$O$5:$O$500,"&lt;=118279",'LANÇAMENTOS DIÁRIOS'!$P$5:$P$500,"&gt;=118180")&gt;0,"X","")</f>
      </c>
      <c r="K6" s="56" t="str">
        <f>IF(COUNTIFS('LANÇAMENTOS DIÁRIOS'!$G$5:$G$500,"G",'LANÇAMENTOS DIÁRIOS'!$C$5:$C$500,$A6,'LANÇAMENTOS DIÁRIOS'!$O$5:$O$500,"&lt;=118379",'LANÇAMENTOS DIÁRIOS'!$P$5:$P$500,"&gt;=118280")&gt;0,"X","")</f>
      </c>
      <c r="L6" s="56" t="str">
        <f>IF(COUNTIFS('LANÇAMENTOS DIÁRIOS'!$G$5:$G$500,"G",'LANÇAMENTOS DIÁRIOS'!$C$5:$C$500,$A6,'LANÇAMENTOS DIÁRIOS'!$O$5:$O$500,"&lt;=118479",'LANÇAMENTOS DIÁRIOS'!$P$5:$P$500,"&gt;=118380")&gt;0,"X","")</f>
      </c>
      <c r="M6" s="56" t="str">
        <f>IF(COUNTIFS('LANÇAMENTOS DIÁRIOS'!$G$5:$G$500,"G",'LANÇAMENTOS DIÁRIOS'!$C$5:$C$500,$A6,'LANÇAMENTOS DIÁRIOS'!$O$5:$O$500,"&lt;=118579",'LANÇAMENTOS DIÁRIOS'!$P$5:$P$500,"&gt;=118480")&gt;0,"X","")</f>
      </c>
      <c r="N6" s="56" t="str">
        <f>IF(COUNTIFS('LANÇAMENTOS DIÁRIOS'!$G$5:$G$500,"G",'LANÇAMENTOS DIÁRIOS'!$C$5:$C$500,$A6,'LANÇAMENTOS DIÁRIOS'!$O$5:$O$500,"&lt;=118679",'LANÇAMENTOS DIÁRIOS'!$P$5:$P$500,"&gt;=118580")&gt;0,"X","")</f>
      </c>
      <c r="O6" s="56" t="str">
        <f>IF(COUNTIFS('LANÇAMENTOS DIÁRIOS'!$G$5:$G$500,"G",'LANÇAMENTOS DIÁRIOS'!$C$5:$C$500,$A6,'LANÇAMENTOS DIÁRIOS'!$O$5:$O$500,"&lt;=118779",'LANÇAMENTOS DIÁRIOS'!$P$5:$P$500,"&gt;=118680")&gt;0,"X","")</f>
      </c>
      <c r="P6" s="56" t="str">
        <f>IF(COUNTIFS('LANÇAMENTOS DIÁRIOS'!$G$5:$G$500,"G",'LANÇAMENTOS DIÁRIOS'!$C$5:$C$500,$A6,'LANÇAMENTOS DIÁRIOS'!$O$5:$O$500,"&lt;=118879",'LANÇAMENTOS DIÁRIOS'!$P$5:$P$500,"&gt;=118780")&gt;0,"X","")</f>
      </c>
      <c r="Q6" s="56" t="str">
        <f>IF(COUNTIFS('LANÇAMENTOS DIÁRIOS'!$G$5:$G$500,"G",'LANÇAMENTOS DIÁRIOS'!$C$5:$C$500,$A6,'LANÇAMENTOS DIÁRIOS'!$O$5:$O$500,"&lt;=118979",'LANÇAMENTOS DIÁRIOS'!$P$5:$P$500,"&gt;=118880")&gt;0,"X","")</f>
      </c>
      <c r="R6" s="56" t="str">
        <f>IF(COUNTIFS('LANÇAMENTOS DIÁRIOS'!$G$5:$G$500,"G",'LANÇAMENTOS DIÁRIOS'!$C$5:$C$500,$A6,'LANÇAMENTOS DIÁRIOS'!$O$5:$O$500,"&lt;=119079",'LANÇAMENTOS DIÁRIOS'!$P$5:$P$500,"&gt;=118980")&gt;0,"X","")</f>
      </c>
      <c r="S6" s="56" t="str">
        <f>IF(COUNTIFS('LANÇAMENTOS DIÁRIOS'!$G$5:$G$500,"G",'LANÇAMENTOS DIÁRIOS'!$C$5:$C$500,$A6,'LANÇAMENTOS DIÁRIOS'!$O$5:$O$500,"&lt;=119179",'LANÇAMENTOS DIÁRIOS'!$P$5:$P$500,"&gt;=119080")&gt;0,"X","")</f>
      </c>
      <c r="T6" s="56" t="str">
        <f>IF(COUNTIFS('LANÇAMENTOS DIÁRIOS'!$G$5:$G$500,"G",'LANÇAMENTOS DIÁRIOS'!$C$5:$C$500,$A6,'LANÇAMENTOS DIÁRIOS'!$O$5:$O$500,"&lt;=119279",'LANÇAMENTOS DIÁRIOS'!$P$5:$P$500,"&gt;=119180")&gt;0,"X","")</f>
      </c>
      <c r="U6" s="56" t="str">
        <f>IF(COUNTIFS('LANÇAMENTOS DIÁRIOS'!$G$5:$G$500,"G",'LANÇAMENTOS DIÁRIOS'!$C$5:$C$500,$A6,'LANÇAMENTOS DIÁRIOS'!$O$5:$O$500,"&lt;=119379",'LANÇAMENTOS DIÁRIOS'!$P$5:$P$500,"&gt;=119280")&gt;0,"X","")</f>
      </c>
      <c r="V6" s="56" t="str">
        <f>IF(COUNTIFS('LANÇAMENTOS DIÁRIOS'!$G$5:$G$500,"G",'LANÇAMENTOS DIÁRIOS'!$C$5:$C$500,$A6,'LANÇAMENTOS DIÁRIOS'!$O$5:$O$500,"&lt;=119479",'LANÇAMENTOS DIÁRIOS'!$P$5:$P$500,"&gt;=119380")&gt;0,"X","")</f>
      </c>
      <c r="W6" s="56" t="str">
        <f>IF(COUNTIFS('LANÇAMENTOS DIÁRIOS'!$G$5:$G$500,"G",'LANÇAMENTOS DIÁRIOS'!$C$5:$C$500,$A6,'LANÇAMENTOS DIÁRIOS'!$O$5:$O$500,"&lt;=119579",'LANÇAMENTOS DIÁRIOS'!$P$5:$P$500,"&gt;=119480")&gt;0,"X","")</f>
      </c>
      <c r="X6" s="56" t="str">
        <f>IF(COUNTIFS('LANÇAMENTOS DIÁRIOS'!$G$5:$G$500,"G",'LANÇAMENTOS DIÁRIOS'!$C$5:$C$500,$A6,'LANÇAMENTOS DIÁRIOS'!$O$5:$O$500,"&lt;=119679",'LANÇAMENTOS DIÁRIOS'!$P$5:$P$500,"&gt;=119580")&gt;0,"X","")</f>
      </c>
      <c r="Y6" s="56" t="str">
        <f>IF(COUNTIFS('LANÇAMENTOS DIÁRIOS'!$G$5:$G$500,"G",'LANÇAMENTOS DIÁRIOS'!$C$5:$C$500,$A6,'LANÇAMENTOS DIÁRIOS'!$O$5:$O$500,"&lt;=119779",'LANÇAMENTOS DIÁRIOS'!$P$5:$P$500,"&gt;=119680")&gt;0,"X","")</f>
      </c>
      <c r="Z6" s="56" t="str">
        <f>IF(COUNTIFS('LANÇAMENTOS DIÁRIOS'!$G$5:$G$500,"G",'LANÇAMENTOS DIÁRIOS'!$C$5:$C$500,$A6,'LANÇAMENTOS DIÁRIOS'!$O$5:$O$500,"&lt;=119879",'LANÇAMENTOS DIÁRIOS'!$P$5:$P$500,"&gt;=119780")&gt;0,"X","")</f>
      </c>
      <c r="AA6" s="56" t="str">
        <f>IF(COUNTIFS('LANÇAMENTOS DIÁRIOS'!$G$5:$G$500,"G",'LANÇAMENTOS DIÁRIOS'!$C$5:$C$500,$A6,'LANÇAMENTOS DIÁRIOS'!$O$5:$O$500,"&lt;=119979",'LANÇAMENTOS DIÁRIOS'!$P$5:$P$500,"&gt;=119880")&gt;0,"X","")</f>
      </c>
      <c r="AB6" s="56" t="str">
        <f>IF(COUNTIFS('LANÇAMENTOS DIÁRIOS'!$G$5:$G$500,"G",'LANÇAMENTOS DIÁRIOS'!$C$5:$C$500,$A6,'LANÇAMENTOS DIÁRIOS'!$O$5:$O$500,"&lt;=120079",'LANÇAMENTOS DIÁRIOS'!$P$5:$P$500,"&gt;=119980")&gt;0,"X","")</f>
      </c>
      <c r="AC6" s="56" t="str">
        <f>IF(COUNTIFS('LANÇAMENTOS DIÁRIOS'!$G$5:$G$500,"G",'LANÇAMENTOS DIÁRIOS'!$C$5:$C$500,$A6,'LANÇAMENTOS DIÁRIOS'!$O$5:$O$500,"&lt;=120179",'LANÇAMENTOS DIÁRIOS'!$P$5:$P$500,"&gt;=120080")&gt;0,"X","")</f>
      </c>
      <c r="AD6" s="56" t="str">
        <f>IF(COUNTIFS('LANÇAMENTOS DIÁRIOS'!$G$5:$G$500,"G",'LANÇAMENTOS DIÁRIOS'!$C$5:$C$500,$A6,'LANÇAMENTOS DIÁRIOS'!$O$5:$O$500,"&lt;=120279",'LANÇAMENTOS DIÁRIOS'!$P$5:$P$500,"&gt;=120180")&gt;0,"X","")</f>
      </c>
      <c r="AE6" s="56" t="str">
        <f>IF(COUNTIFS('LANÇAMENTOS DIÁRIOS'!$G$5:$G$500,"G",'LANÇAMENTOS DIÁRIOS'!$C$5:$C$500,$A6,'LANÇAMENTOS DIÁRIOS'!$O$5:$O$500,"&lt;=120379",'LANÇAMENTOS DIÁRIOS'!$P$5:$P$500,"&gt;=120280")&gt;0,"X","")</f>
      </c>
      <c r="AF6" s="56" t="str">
        <f>IF(COUNTIFS('LANÇAMENTOS DIÁRIOS'!$G$5:$G$500,"G",'LANÇAMENTOS DIÁRIOS'!$C$5:$C$500,$A6,'LANÇAMENTOS DIÁRIOS'!$O$5:$O$500,"&lt;=120479",'LANÇAMENTOS DIÁRIOS'!$P$5:$P$500,"&gt;=120380")&gt;0,"X","")</f>
      </c>
      <c r="AG6" s="56" t="str">
        <f>IF(COUNTIFS('LANÇAMENTOS DIÁRIOS'!$G$5:$G$500,"G",'LANÇAMENTOS DIÁRIOS'!$C$5:$C$500,$A6,'LANÇAMENTOS DIÁRIOS'!$O$5:$O$500,"&lt;=120579",'LANÇAMENTOS DIÁRIOS'!$P$5:$P$500,"&gt;=120480")&gt;0,"X","")</f>
      </c>
      <c r="AH6" s="56" t="str">
        <f>IF(COUNTIFS('LANÇAMENTOS DIÁRIOS'!$G$5:$G$500,"G",'LANÇAMENTOS DIÁRIOS'!$C$5:$C$500,$A6,'LANÇAMENTOS DIÁRIOS'!$O$5:$O$500,"&lt;=120679",'LANÇAMENTOS DIÁRIOS'!$P$5:$P$500,"&gt;=120580")&gt;0,"X","")</f>
      </c>
      <c r="AI6" s="56" t="str">
        <f>IF(COUNTIFS('LANÇAMENTOS DIÁRIOS'!$G$5:$G$500,"G",'LANÇAMENTOS DIÁRIOS'!$C$5:$C$500,$A6,'LANÇAMENTOS DIÁRIOS'!$O$5:$O$500,"&lt;=120779",'LANÇAMENTOS DIÁRIOS'!$P$5:$P$500,"&gt;=120680")&gt;0,"X","")</f>
      </c>
      <c r="AJ6" s="56" t="str">
        <f>IF(COUNTIFS('LANÇAMENTOS DIÁRIOS'!$G$5:$G$500,"G",'LANÇAMENTOS DIÁRIOS'!$C$5:$C$500,$A6,'LANÇAMENTOS DIÁRIOS'!$O$5:$O$500,"&lt;=120879",'LANÇAMENTOS DIÁRIOS'!$P$5:$P$500,"&gt;=120780")&gt;0,"X","")</f>
      </c>
      <c r="AK6" s="56" t="str">
        <f>IF(COUNTIFS('LANÇAMENTOS DIÁRIOS'!$G$5:$G$500,"G",'LANÇAMENTOS DIÁRIOS'!$C$5:$C$500,$A6,'LANÇAMENTOS DIÁRIOS'!$O$5:$O$500,"&lt;=120979",'LANÇAMENTOS DIÁRIOS'!$P$5:$P$500,"&gt;=120880")&gt;0,"X","")</f>
      </c>
      <c r="AL6" s="56" t="str">
        <f>IF(COUNTIFS('LANÇAMENTOS DIÁRIOS'!$G$5:$G$500,"G",'LANÇAMENTOS DIÁRIOS'!$C$5:$C$500,$A6,'LANÇAMENTOS DIÁRIOS'!$O$5:$O$500,"&lt;=121079",'LANÇAMENTOS DIÁRIOS'!$P$5:$P$500,"&gt;=120980")&gt;0,"X","")</f>
      </c>
      <c r="AM6" s="56" t="str">
        <f>IF(COUNTIFS('LANÇAMENTOS DIÁRIOS'!$G$5:$G$500,"G",'LANÇAMENTOS DIÁRIOS'!$C$5:$C$500,$A6,'LANÇAMENTOS DIÁRIOS'!$O$5:$O$500,"&lt;=121179",'LANÇAMENTOS DIÁRIOS'!$P$5:$P$500,"&gt;=121080")&gt;0,"X","")</f>
      </c>
      <c r="AN6" s="56" t="str">
        <f>IF(COUNTIFS('LANÇAMENTOS DIÁRIOS'!$G$5:$G$500,"G",'LANÇAMENTOS DIÁRIOS'!$C$5:$C$500,$A6,'LANÇAMENTOS DIÁRIOS'!$O$5:$O$500,"&lt;=121279",'LANÇAMENTOS DIÁRIOS'!$P$5:$P$500,"&gt;=121180")&gt;0,"X","")</f>
      </c>
      <c r="AO6" s="56" t="str">
        <f>IF(COUNTIFS('LANÇAMENTOS DIÁRIOS'!$G$5:$G$500,"G",'LANÇAMENTOS DIÁRIOS'!$C$5:$C$500,$A6,'LANÇAMENTOS DIÁRIOS'!$O$5:$O$500,"&lt;=121379",'LANÇAMENTOS DIÁRIOS'!$P$5:$P$500,"&gt;=121280")&gt;0,"X","")</f>
      </c>
      <c r="AP6" s="56" t="str">
        <f>IF(COUNTIFS('LANÇAMENTOS DIÁRIOS'!$G$5:$G$500,"G",'LANÇAMENTOS DIÁRIOS'!$C$5:$C$500,$A6,'LANÇAMENTOS DIÁRIOS'!$O$5:$O$500,"&lt;=121479",'LANÇAMENTOS DIÁRIOS'!$P$5:$P$500,"&gt;=121380")&gt;0,"X","")</f>
      </c>
      <c r="AQ6" s="56" t="str">
        <f>IF(COUNTIFS('LANÇAMENTOS DIÁRIOS'!$G$5:$G$500,"G",'LANÇAMENTOS DIÁRIOS'!$C$5:$C$500,$A6,'LANÇAMENTOS DIÁRIOS'!$O$5:$O$500,"&lt;=121579",'LANÇAMENTOS DIÁRIOS'!$P$5:$P$500,"&gt;=121480")&gt;0,"X","")</f>
      </c>
      <c r="AR6" s="56" t="str">
        <f>IF(COUNTIFS('LANÇAMENTOS DIÁRIOS'!$G$5:$G$500,"G",'LANÇAMENTOS DIÁRIOS'!$C$5:$C$500,$A6,'LANÇAMENTOS DIÁRIOS'!$O$5:$O$500,"&lt;=121679",'LANÇAMENTOS DIÁRIOS'!$P$5:$P$500,"&gt;=121580")&gt;0,"X","")</f>
      </c>
      <c r="AS6" s="56" t="str">
        <f>IF(COUNTIFS('LANÇAMENTOS DIÁRIOS'!$G$5:$G$500,"G",'LANÇAMENTOS DIÁRIOS'!$C$5:$C$500,$A6,'LANÇAMENTOS DIÁRIOS'!$O$5:$O$500,"&lt;=121779",'LANÇAMENTOS DIÁRIOS'!$P$5:$P$500,"&gt;=121680")&gt;0,"X","")</f>
      </c>
      <c r="AT6" s="56" t="str">
        <f>IF(COUNTIFS('LANÇAMENTOS DIÁRIOS'!$G$5:$G$500,"G",'LANÇAMENTOS DIÁRIOS'!$C$5:$C$500,$A6,'LANÇAMENTOS DIÁRIOS'!$O$5:$O$500,"&lt;=121879",'LANÇAMENTOS DIÁRIOS'!$P$5:$P$500,"&gt;=121780")&gt;0,"X","")</f>
      </c>
      <c r="AU6" s="56" t="str">
        <f>IF(COUNTIFS('LANÇAMENTOS DIÁRIOS'!$G$5:$G$500,"G",'LANÇAMENTOS DIÁRIOS'!$C$5:$C$500,$A6,'LANÇAMENTOS DIÁRIOS'!$O$5:$O$500,"&lt;=121979",'LANÇAMENTOS DIÁRIOS'!$P$5:$P$500,"&gt;=121880")&gt;0,"X","")</f>
      </c>
      <c r="AV6" s="56" t="str">
        <f>IF(COUNTIFS('LANÇAMENTOS DIÁRIOS'!$G$5:$G$500,"G",'LANÇAMENTOS DIÁRIOS'!$C$5:$C$500,$A6,'LANÇAMENTOS DIÁRIOS'!$O$5:$O$500,"&lt;=122079",'LANÇAMENTOS DIÁRIOS'!$P$5:$P$500,"&gt;=121980")&gt;0,"X","")</f>
      </c>
      <c r="AW6" s="56" t="str">
        <f>IF(COUNTIFS('LANÇAMENTOS DIÁRIOS'!$G$5:$G$500,"G",'LANÇAMENTOS DIÁRIOS'!$C$5:$C$500,$A6,'LANÇAMENTOS DIÁRIOS'!$O$5:$O$500,"&lt;=122179",'LANÇAMENTOS DIÁRIOS'!$P$5:$P$500,"&gt;=122080")&gt;0,"X","")</f>
      </c>
      <c r="AX6" s="56" t="str">
        <f>IF(COUNTIFS('LANÇAMENTOS DIÁRIOS'!$G$5:$G$500,"G",'LANÇAMENTOS DIÁRIOS'!$C$5:$C$500,$A6,'LANÇAMENTOS DIÁRIOS'!$O$5:$O$500,"&lt;=122279",'LANÇAMENTOS DIÁRIOS'!$P$5:$P$500,"&gt;=122180")&gt;0,"X","")</f>
      </c>
      <c r="AY6" s="56" t="str">
        <f>IF(COUNTIFS('LANÇAMENTOS DIÁRIOS'!$G$5:$G$500,"G",'LANÇAMENTOS DIÁRIOS'!$C$5:$C$500,$A6,'LANÇAMENTOS DIÁRIOS'!$O$5:$O$500,"&lt;=122379",'LANÇAMENTOS DIÁRIOS'!$P$5:$P$500,"&gt;=122280")&gt;0,"X","")</f>
      </c>
      <c r="AZ6" s="56" t="str">
        <f>IF(COUNTIFS('LANÇAMENTOS DIÁRIOS'!$G$5:$G$500,"G",'LANÇAMENTOS DIÁRIOS'!$C$5:$C$500,$A6,'LANÇAMENTOS DIÁRIOS'!$O$5:$O$500,"&lt;=122479",'LANÇAMENTOS DIÁRIOS'!$P$5:$P$500,"&gt;=122380")&gt;0,"X","")</f>
      </c>
      <c r="BA6" s="56" t="str">
        <f>IF(COUNTIFS('LANÇAMENTOS DIÁRIOS'!$G$5:$G$500,"G",'LANÇAMENTOS DIÁRIOS'!$C$5:$C$500,$A6,'LANÇAMENTOS DIÁRIOS'!$O$5:$O$500,"&lt;=122579",'LANÇAMENTOS DIÁRIOS'!$P$5:$P$500,"&gt;=122480")&gt;0,"X","")</f>
      </c>
      <c r="BB6" s="56" t="str">
        <f>IF(COUNTIFS('LANÇAMENTOS DIÁRIOS'!$G$5:$G$500,"G",'LANÇAMENTOS DIÁRIOS'!$C$5:$C$500,$A6,'LANÇAMENTOS DIÁRIOS'!$O$5:$O$500,"&lt;=122679",'LANÇAMENTOS DIÁRIOS'!$P$5:$P$500,"&gt;=122580")&gt;0,"X","")</f>
      </c>
      <c r="BC6" s="56" t="str">
        <f>IF(COUNTIFS('LANÇAMENTOS DIÁRIOS'!$G$5:$G$500,"G",'LANÇAMENTOS DIÁRIOS'!$C$5:$C$500,$A6,'LANÇAMENTOS DIÁRIOS'!$O$5:$O$500,"&lt;=122779",'LANÇAMENTOS DIÁRIOS'!$P$5:$P$500,"&gt;=122680")&gt;0,"X","")</f>
      </c>
      <c r="BD6" s="56" t="str">
        <f>IF(COUNTIFS('LANÇAMENTOS DIÁRIOS'!$G$5:$G$500,"G",'LANÇAMENTOS DIÁRIOS'!$C$5:$C$500,$A6,'LANÇAMENTOS DIÁRIOS'!$O$5:$O$500,"&lt;=122879",'LANÇAMENTOS DIÁRIOS'!$P$5:$P$500,"&gt;=122780")&gt;0,"X","")</f>
      </c>
      <c r="BE6" s="56" t="str">
        <f>IF(COUNTIFS('LANÇAMENTOS DIÁRIOS'!$G$5:$G$500,"G",'LANÇAMENTOS DIÁRIOS'!$C$5:$C$500,$A6,'LANÇAMENTOS DIÁRIOS'!$O$5:$O$500,"&lt;=122979",'LANÇAMENTOS DIÁRIOS'!$P$5:$P$500,"&gt;=122880")&gt;0,"X","")</f>
      </c>
      <c r="BF6" s="56" t="str">
        <f>IF(COUNTIFS('LANÇAMENTOS DIÁRIOS'!$G$5:$G$500,"G",'LANÇAMENTOS DIÁRIOS'!$C$5:$C$500,$A6,'LANÇAMENTOS DIÁRIOS'!$O$5:$O$500,"&lt;=123079",'LANÇAMENTOS DIÁRIOS'!$P$5:$P$500,"&gt;=122980")&gt;0,"X","")</f>
      </c>
      <c r="BG6" s="56" t="str">
        <f>IF(COUNTIFS('LANÇAMENTOS DIÁRIOS'!$G$5:$G$500,"G",'LANÇAMENTOS DIÁRIOS'!$C$5:$C$500,$A6,'LANÇAMENTOS DIÁRIOS'!$O$5:$O$500,"&lt;=123179",'LANÇAMENTOS DIÁRIOS'!$P$5:$P$500,"&gt;=123080")&gt;0,"X","")</f>
      </c>
      <c r="BH6" s="56" t="str">
        <f>IF(COUNTIFS('LANÇAMENTOS DIÁRIOS'!$G$5:$G$500,"G",'LANÇAMENTOS DIÁRIOS'!$C$5:$C$500,$A6,'LANÇAMENTOS DIÁRIOS'!$O$5:$O$500,"&lt;=123279",'LANÇAMENTOS DIÁRIOS'!$P$5:$P$500,"&gt;=123180")&gt;0,"X","")</f>
      </c>
      <c r="BI6" s="56" t="str">
        <f>IF(COUNTIFS('LANÇAMENTOS DIÁRIOS'!$G$5:$G$500,"G",'LANÇAMENTOS DIÁRIOS'!$C$5:$C$500,$A6,'LANÇAMENTOS DIÁRIOS'!$O$5:$O$500,"&lt;=123379",'LANÇAMENTOS DIÁRIOS'!$P$5:$P$500,"&gt;=123280")&gt;0,"X","")</f>
      </c>
      <c r="BJ6" s="56" t="str">
        <f>IF(COUNTIFS('LANÇAMENTOS DIÁRIOS'!$G$5:$G$500,"G",'LANÇAMENTOS DIÁRIOS'!$C$5:$C$500,$A6,'LANÇAMENTOS DIÁRIOS'!$O$5:$O$500,"&lt;=123479",'LANÇAMENTOS DIÁRIOS'!$P$5:$P$500,"&gt;=123380")&gt;0,"X","")</f>
      </c>
      <c r="BK6" s="56" t="str">
        <f>IF(COUNTIFS('LANÇAMENTOS DIÁRIOS'!$G$5:$G$500,"G",'LANÇAMENTOS DIÁRIOS'!$C$5:$C$500,$A6,'LANÇAMENTOS DIÁRIOS'!$O$5:$O$500,"&lt;=123480",'LANÇAMENTOS DIÁRIOS'!$P$5:$P$500,"&gt;=123480")&gt;0,"X","")</f>
      </c>
    </row>
    <row r="7">
      <c r="A7" s="51" t="str">
        <v>Remoção de placa de sinalização vertical instalada no solo</v>
      </c>
      <c r="B7" s="56" t="str">
        <f>IF(COUNTIFS('LANÇAMENTOS DIÁRIOS'!$G$5:$G$500,"G",'LANÇAMENTOS DIÁRIOS'!$C$5:$C$500,$A7,'LANÇAMENTOS DIÁRIOS'!$O$5:$O$500,"&lt;=117479",'LANÇAMENTOS DIÁRIOS'!$P$5:$P$500,"&gt;=117380")&gt;0,"X","")</f>
      </c>
      <c r="C7" s="56" t="str">
        <f>IF(COUNTIFS('LANÇAMENTOS DIÁRIOS'!$G$5:$G$500,"G",'LANÇAMENTOS DIÁRIOS'!$C$5:$C$500,$A7,'LANÇAMENTOS DIÁRIOS'!$O$5:$O$500,"&lt;=117579",'LANÇAMENTOS DIÁRIOS'!$P$5:$P$500,"&gt;=117480")&gt;0,"X","")</f>
      </c>
      <c r="D7" s="56" t="str">
        <f>IF(COUNTIFS('LANÇAMENTOS DIÁRIOS'!$G$5:$G$500,"G",'LANÇAMENTOS DIÁRIOS'!$C$5:$C$500,$A7,'LANÇAMENTOS DIÁRIOS'!$O$5:$O$500,"&lt;=117679",'LANÇAMENTOS DIÁRIOS'!$P$5:$P$500,"&gt;=117580")&gt;0,"X","")</f>
      </c>
      <c r="E7" s="56" t="str">
        <f>IF(COUNTIFS('LANÇAMENTOS DIÁRIOS'!$G$5:$G$500,"G",'LANÇAMENTOS DIÁRIOS'!$C$5:$C$500,$A7,'LANÇAMENTOS DIÁRIOS'!$O$5:$O$500,"&lt;=117779",'LANÇAMENTOS DIÁRIOS'!$P$5:$P$500,"&gt;=117680")&gt;0,"X","")</f>
      </c>
      <c r="F7" s="56" t="str">
        <f>IF(COUNTIFS('LANÇAMENTOS DIÁRIOS'!$G$5:$G$500,"G",'LANÇAMENTOS DIÁRIOS'!$C$5:$C$500,$A7,'LANÇAMENTOS DIÁRIOS'!$O$5:$O$500,"&lt;=117879",'LANÇAMENTOS DIÁRIOS'!$P$5:$P$500,"&gt;=117780")&gt;0,"X","")</f>
      </c>
      <c r="G7" s="56" t="str">
        <f>IF(COUNTIFS('LANÇAMENTOS DIÁRIOS'!$G$5:$G$500,"G",'LANÇAMENTOS DIÁRIOS'!$C$5:$C$500,$A7,'LANÇAMENTOS DIÁRIOS'!$O$5:$O$500,"&lt;=117979",'LANÇAMENTOS DIÁRIOS'!$P$5:$P$500,"&gt;=117880")&gt;0,"X","")</f>
      </c>
      <c r="H7" s="56" t="str">
        <f>IF(COUNTIFS('LANÇAMENTOS DIÁRIOS'!$G$5:$G$500,"G",'LANÇAMENTOS DIÁRIOS'!$C$5:$C$500,$A7,'LANÇAMENTOS DIÁRIOS'!$O$5:$O$500,"&lt;=118079",'LANÇAMENTOS DIÁRIOS'!$P$5:$P$500,"&gt;=117980")&gt;0,"X","")</f>
      </c>
      <c r="I7" s="56" t="str">
        <f>IF(COUNTIFS('LANÇAMENTOS DIÁRIOS'!$G$5:$G$500,"G",'LANÇAMENTOS DIÁRIOS'!$C$5:$C$500,$A7,'LANÇAMENTOS DIÁRIOS'!$O$5:$O$500,"&lt;=118179",'LANÇAMENTOS DIÁRIOS'!$P$5:$P$500,"&gt;=118080")&gt;0,"X","")</f>
      </c>
      <c r="J7" s="56" t="str">
        <f>IF(COUNTIFS('LANÇAMENTOS DIÁRIOS'!$G$5:$G$500,"G",'LANÇAMENTOS DIÁRIOS'!$C$5:$C$500,$A7,'LANÇAMENTOS DIÁRIOS'!$O$5:$O$500,"&lt;=118279",'LANÇAMENTOS DIÁRIOS'!$P$5:$P$500,"&gt;=118180")&gt;0,"X","")</f>
      </c>
      <c r="K7" s="56" t="str">
        <f>IF(COUNTIFS('LANÇAMENTOS DIÁRIOS'!$G$5:$G$500,"G",'LANÇAMENTOS DIÁRIOS'!$C$5:$C$500,$A7,'LANÇAMENTOS DIÁRIOS'!$O$5:$O$500,"&lt;=118379",'LANÇAMENTOS DIÁRIOS'!$P$5:$P$500,"&gt;=118280")&gt;0,"X","")</f>
      </c>
      <c r="L7" s="56" t="str">
        <f>IF(COUNTIFS('LANÇAMENTOS DIÁRIOS'!$G$5:$G$500,"G",'LANÇAMENTOS DIÁRIOS'!$C$5:$C$500,$A7,'LANÇAMENTOS DIÁRIOS'!$O$5:$O$500,"&lt;=118479",'LANÇAMENTOS DIÁRIOS'!$P$5:$P$500,"&gt;=118380")&gt;0,"X","")</f>
      </c>
      <c r="M7" s="56" t="str">
        <f>IF(COUNTIFS('LANÇAMENTOS DIÁRIOS'!$G$5:$G$500,"G",'LANÇAMENTOS DIÁRIOS'!$C$5:$C$500,$A7,'LANÇAMENTOS DIÁRIOS'!$O$5:$O$500,"&lt;=118579",'LANÇAMENTOS DIÁRIOS'!$P$5:$P$500,"&gt;=118480")&gt;0,"X","")</f>
      </c>
      <c r="N7" s="56" t="str">
        <f>IF(COUNTIFS('LANÇAMENTOS DIÁRIOS'!$G$5:$G$500,"G",'LANÇAMENTOS DIÁRIOS'!$C$5:$C$500,$A7,'LANÇAMENTOS DIÁRIOS'!$O$5:$O$500,"&lt;=118679",'LANÇAMENTOS DIÁRIOS'!$P$5:$P$500,"&gt;=118580")&gt;0,"X","")</f>
      </c>
      <c r="O7" s="56" t="str">
        <f>IF(COUNTIFS('LANÇAMENTOS DIÁRIOS'!$G$5:$G$500,"G",'LANÇAMENTOS DIÁRIOS'!$C$5:$C$500,$A7,'LANÇAMENTOS DIÁRIOS'!$O$5:$O$500,"&lt;=118779",'LANÇAMENTOS DIÁRIOS'!$P$5:$P$500,"&gt;=118680")&gt;0,"X","")</f>
      </c>
      <c r="P7" s="56" t="str">
        <f>IF(COUNTIFS('LANÇAMENTOS DIÁRIOS'!$G$5:$G$500,"G",'LANÇAMENTOS DIÁRIOS'!$C$5:$C$500,$A7,'LANÇAMENTOS DIÁRIOS'!$O$5:$O$500,"&lt;=118879",'LANÇAMENTOS DIÁRIOS'!$P$5:$P$500,"&gt;=118780")&gt;0,"X","")</f>
      </c>
      <c r="Q7" s="56" t="str">
        <f>IF(COUNTIFS('LANÇAMENTOS DIÁRIOS'!$G$5:$G$500,"G",'LANÇAMENTOS DIÁRIOS'!$C$5:$C$500,$A7,'LANÇAMENTOS DIÁRIOS'!$O$5:$O$500,"&lt;=118979",'LANÇAMENTOS DIÁRIOS'!$P$5:$P$500,"&gt;=118880")&gt;0,"X","")</f>
      </c>
      <c r="R7" s="56" t="str">
        <f>IF(COUNTIFS('LANÇAMENTOS DIÁRIOS'!$G$5:$G$500,"G",'LANÇAMENTOS DIÁRIOS'!$C$5:$C$500,$A7,'LANÇAMENTOS DIÁRIOS'!$O$5:$O$500,"&lt;=119079",'LANÇAMENTOS DIÁRIOS'!$P$5:$P$500,"&gt;=118980")&gt;0,"X","")</f>
      </c>
      <c r="S7" s="56" t="str">
        <f>IF(COUNTIFS('LANÇAMENTOS DIÁRIOS'!$G$5:$G$500,"G",'LANÇAMENTOS DIÁRIOS'!$C$5:$C$500,$A7,'LANÇAMENTOS DIÁRIOS'!$O$5:$O$500,"&lt;=119179",'LANÇAMENTOS DIÁRIOS'!$P$5:$P$500,"&gt;=119080")&gt;0,"X","")</f>
      </c>
      <c r="T7" s="56" t="str">
        <f>IF(COUNTIFS('LANÇAMENTOS DIÁRIOS'!$G$5:$G$500,"G",'LANÇAMENTOS DIÁRIOS'!$C$5:$C$500,$A7,'LANÇAMENTOS DIÁRIOS'!$O$5:$O$500,"&lt;=119279",'LANÇAMENTOS DIÁRIOS'!$P$5:$P$500,"&gt;=119180")&gt;0,"X","")</f>
      </c>
      <c r="U7" s="56" t="str">
        <f>IF(COUNTIFS('LANÇAMENTOS DIÁRIOS'!$G$5:$G$500,"G",'LANÇAMENTOS DIÁRIOS'!$C$5:$C$500,$A7,'LANÇAMENTOS DIÁRIOS'!$O$5:$O$500,"&lt;=119379",'LANÇAMENTOS DIÁRIOS'!$P$5:$P$500,"&gt;=119280")&gt;0,"X","")</f>
      </c>
      <c r="V7" s="56" t="str">
        <f>IF(COUNTIFS('LANÇAMENTOS DIÁRIOS'!$G$5:$G$500,"G",'LANÇAMENTOS DIÁRIOS'!$C$5:$C$500,$A7,'LANÇAMENTOS DIÁRIOS'!$O$5:$O$500,"&lt;=119479",'LANÇAMENTOS DIÁRIOS'!$P$5:$P$500,"&gt;=119380")&gt;0,"X","")</f>
      </c>
      <c r="W7" s="56" t="str">
        <f>IF(COUNTIFS('LANÇAMENTOS DIÁRIOS'!$G$5:$G$500,"G",'LANÇAMENTOS DIÁRIOS'!$C$5:$C$500,$A7,'LANÇAMENTOS DIÁRIOS'!$O$5:$O$500,"&lt;=119579",'LANÇAMENTOS DIÁRIOS'!$P$5:$P$500,"&gt;=119480")&gt;0,"X","")</f>
      </c>
      <c r="X7" s="56" t="str">
        <f>IF(COUNTIFS('LANÇAMENTOS DIÁRIOS'!$G$5:$G$500,"G",'LANÇAMENTOS DIÁRIOS'!$C$5:$C$500,$A7,'LANÇAMENTOS DIÁRIOS'!$O$5:$O$500,"&lt;=119679",'LANÇAMENTOS DIÁRIOS'!$P$5:$P$500,"&gt;=119580")&gt;0,"X","")</f>
      </c>
      <c r="Y7" s="56" t="str">
        <f>IF(COUNTIFS('LANÇAMENTOS DIÁRIOS'!$G$5:$G$500,"G",'LANÇAMENTOS DIÁRIOS'!$C$5:$C$500,$A7,'LANÇAMENTOS DIÁRIOS'!$O$5:$O$500,"&lt;=119779",'LANÇAMENTOS DIÁRIOS'!$P$5:$P$500,"&gt;=119680")&gt;0,"X","")</f>
      </c>
      <c r="Z7" s="56" t="str">
        <f>IF(COUNTIFS('LANÇAMENTOS DIÁRIOS'!$G$5:$G$500,"G",'LANÇAMENTOS DIÁRIOS'!$C$5:$C$500,$A7,'LANÇAMENTOS DIÁRIOS'!$O$5:$O$500,"&lt;=119879",'LANÇAMENTOS DIÁRIOS'!$P$5:$P$500,"&gt;=119780")&gt;0,"X","")</f>
      </c>
      <c r="AA7" s="56" t="str">
        <f>IF(COUNTIFS('LANÇAMENTOS DIÁRIOS'!$G$5:$G$500,"G",'LANÇAMENTOS DIÁRIOS'!$C$5:$C$500,$A7,'LANÇAMENTOS DIÁRIOS'!$O$5:$O$500,"&lt;=119979",'LANÇAMENTOS DIÁRIOS'!$P$5:$P$500,"&gt;=119880")&gt;0,"X","")</f>
      </c>
      <c r="AB7" s="56" t="str">
        <f>IF(COUNTIFS('LANÇAMENTOS DIÁRIOS'!$G$5:$G$500,"G",'LANÇAMENTOS DIÁRIOS'!$C$5:$C$500,$A7,'LANÇAMENTOS DIÁRIOS'!$O$5:$O$500,"&lt;=120079",'LANÇAMENTOS DIÁRIOS'!$P$5:$P$500,"&gt;=119980")&gt;0,"X","")</f>
      </c>
      <c r="AC7" s="56" t="str">
        <f>IF(COUNTIFS('LANÇAMENTOS DIÁRIOS'!$G$5:$G$500,"G",'LANÇAMENTOS DIÁRIOS'!$C$5:$C$500,$A7,'LANÇAMENTOS DIÁRIOS'!$O$5:$O$500,"&lt;=120179",'LANÇAMENTOS DIÁRIOS'!$P$5:$P$500,"&gt;=120080")&gt;0,"X","")</f>
      </c>
      <c r="AD7" s="56" t="str">
        <f>IF(COUNTIFS('LANÇAMENTOS DIÁRIOS'!$G$5:$G$500,"G",'LANÇAMENTOS DIÁRIOS'!$C$5:$C$500,$A7,'LANÇAMENTOS DIÁRIOS'!$O$5:$O$500,"&lt;=120279",'LANÇAMENTOS DIÁRIOS'!$P$5:$P$500,"&gt;=120180")&gt;0,"X","")</f>
      </c>
      <c r="AE7" s="56" t="str">
        <f>IF(COUNTIFS('LANÇAMENTOS DIÁRIOS'!$G$5:$G$500,"G",'LANÇAMENTOS DIÁRIOS'!$C$5:$C$500,$A7,'LANÇAMENTOS DIÁRIOS'!$O$5:$O$500,"&lt;=120379",'LANÇAMENTOS DIÁRIOS'!$P$5:$P$500,"&gt;=120280")&gt;0,"X","")</f>
      </c>
      <c r="AF7" s="56" t="str">
        <f>IF(COUNTIFS('LANÇAMENTOS DIÁRIOS'!$G$5:$G$500,"G",'LANÇAMENTOS DIÁRIOS'!$C$5:$C$500,$A7,'LANÇAMENTOS DIÁRIOS'!$O$5:$O$500,"&lt;=120479",'LANÇAMENTOS DIÁRIOS'!$P$5:$P$500,"&gt;=120380")&gt;0,"X","")</f>
      </c>
      <c r="AG7" s="56" t="str">
        <f>IF(COUNTIFS('LANÇAMENTOS DIÁRIOS'!$G$5:$G$500,"G",'LANÇAMENTOS DIÁRIOS'!$C$5:$C$500,$A7,'LANÇAMENTOS DIÁRIOS'!$O$5:$O$500,"&lt;=120579",'LANÇAMENTOS DIÁRIOS'!$P$5:$P$500,"&gt;=120480")&gt;0,"X","")</f>
      </c>
      <c r="AH7" s="56" t="str">
        <f>IF(COUNTIFS('LANÇAMENTOS DIÁRIOS'!$G$5:$G$500,"G",'LANÇAMENTOS DIÁRIOS'!$C$5:$C$500,$A7,'LANÇAMENTOS DIÁRIOS'!$O$5:$O$500,"&lt;=120679",'LANÇAMENTOS DIÁRIOS'!$P$5:$P$500,"&gt;=120580")&gt;0,"X","")</f>
      </c>
      <c r="AI7" s="56" t="str">
        <f>IF(COUNTIFS('LANÇAMENTOS DIÁRIOS'!$G$5:$G$500,"G",'LANÇAMENTOS DIÁRIOS'!$C$5:$C$500,$A7,'LANÇAMENTOS DIÁRIOS'!$O$5:$O$500,"&lt;=120779",'LANÇAMENTOS DIÁRIOS'!$P$5:$P$500,"&gt;=120680")&gt;0,"X","")</f>
      </c>
      <c r="AJ7" s="56" t="str">
        <f>IF(COUNTIFS('LANÇAMENTOS DIÁRIOS'!$G$5:$G$500,"G",'LANÇAMENTOS DIÁRIOS'!$C$5:$C$500,$A7,'LANÇAMENTOS DIÁRIOS'!$O$5:$O$500,"&lt;=120879",'LANÇAMENTOS DIÁRIOS'!$P$5:$P$500,"&gt;=120780")&gt;0,"X","")</f>
      </c>
      <c r="AK7" s="56" t="str">
        <f>IF(COUNTIFS('LANÇAMENTOS DIÁRIOS'!$G$5:$G$500,"G",'LANÇAMENTOS DIÁRIOS'!$C$5:$C$500,$A7,'LANÇAMENTOS DIÁRIOS'!$O$5:$O$500,"&lt;=120979",'LANÇAMENTOS DIÁRIOS'!$P$5:$P$500,"&gt;=120880")&gt;0,"X","")</f>
      </c>
      <c r="AL7" s="56" t="str">
        <f>IF(COUNTIFS('LANÇAMENTOS DIÁRIOS'!$G$5:$G$500,"G",'LANÇAMENTOS DIÁRIOS'!$C$5:$C$500,$A7,'LANÇAMENTOS DIÁRIOS'!$O$5:$O$500,"&lt;=121079",'LANÇAMENTOS DIÁRIOS'!$P$5:$P$500,"&gt;=120980")&gt;0,"X","")</f>
      </c>
      <c r="AM7" s="56" t="str">
        <f>IF(COUNTIFS('LANÇAMENTOS DIÁRIOS'!$G$5:$G$500,"G",'LANÇAMENTOS DIÁRIOS'!$C$5:$C$500,$A7,'LANÇAMENTOS DIÁRIOS'!$O$5:$O$500,"&lt;=121179",'LANÇAMENTOS DIÁRIOS'!$P$5:$P$500,"&gt;=121080")&gt;0,"X","")</f>
      </c>
      <c r="AN7" s="56" t="str">
        <f>IF(COUNTIFS('LANÇAMENTOS DIÁRIOS'!$G$5:$G$500,"G",'LANÇAMENTOS DIÁRIOS'!$C$5:$C$500,$A7,'LANÇAMENTOS DIÁRIOS'!$O$5:$O$500,"&lt;=121279",'LANÇAMENTOS DIÁRIOS'!$P$5:$P$500,"&gt;=121180")&gt;0,"X","")</f>
      </c>
      <c r="AO7" s="56" t="str">
        <f>IF(COUNTIFS('LANÇAMENTOS DIÁRIOS'!$G$5:$G$500,"G",'LANÇAMENTOS DIÁRIOS'!$C$5:$C$500,$A7,'LANÇAMENTOS DIÁRIOS'!$O$5:$O$500,"&lt;=121379",'LANÇAMENTOS DIÁRIOS'!$P$5:$P$500,"&gt;=121280")&gt;0,"X","")</f>
      </c>
      <c r="AP7" s="56" t="str">
        <f>IF(COUNTIFS('LANÇAMENTOS DIÁRIOS'!$G$5:$G$500,"G",'LANÇAMENTOS DIÁRIOS'!$C$5:$C$500,$A7,'LANÇAMENTOS DIÁRIOS'!$O$5:$O$500,"&lt;=121479",'LANÇAMENTOS DIÁRIOS'!$P$5:$P$500,"&gt;=121380")&gt;0,"X","")</f>
      </c>
      <c r="AQ7" s="56" t="str">
        <f>IF(COUNTIFS('LANÇAMENTOS DIÁRIOS'!$G$5:$G$500,"G",'LANÇAMENTOS DIÁRIOS'!$C$5:$C$500,$A7,'LANÇAMENTOS DIÁRIOS'!$O$5:$O$500,"&lt;=121579",'LANÇAMENTOS DIÁRIOS'!$P$5:$P$500,"&gt;=121480")&gt;0,"X","")</f>
      </c>
      <c r="AR7" s="56" t="str">
        <f>IF(COUNTIFS('LANÇAMENTOS DIÁRIOS'!$G$5:$G$500,"G",'LANÇAMENTOS DIÁRIOS'!$C$5:$C$500,$A7,'LANÇAMENTOS DIÁRIOS'!$O$5:$O$500,"&lt;=121679",'LANÇAMENTOS DIÁRIOS'!$P$5:$P$500,"&gt;=121580")&gt;0,"X","")</f>
      </c>
      <c r="AS7" s="56" t="str">
        <f>IF(COUNTIFS('LANÇAMENTOS DIÁRIOS'!$G$5:$G$500,"G",'LANÇAMENTOS DIÁRIOS'!$C$5:$C$500,$A7,'LANÇAMENTOS DIÁRIOS'!$O$5:$O$500,"&lt;=121779",'LANÇAMENTOS DIÁRIOS'!$P$5:$P$500,"&gt;=121680")&gt;0,"X","")</f>
      </c>
      <c r="AT7" s="56" t="str">
        <f>IF(COUNTIFS('LANÇAMENTOS DIÁRIOS'!$G$5:$G$500,"G",'LANÇAMENTOS DIÁRIOS'!$C$5:$C$500,$A7,'LANÇAMENTOS DIÁRIOS'!$O$5:$O$500,"&lt;=121879",'LANÇAMENTOS DIÁRIOS'!$P$5:$P$500,"&gt;=121780")&gt;0,"X","")</f>
      </c>
      <c r="AU7" s="56" t="str">
        <f>IF(COUNTIFS('LANÇAMENTOS DIÁRIOS'!$G$5:$G$500,"G",'LANÇAMENTOS DIÁRIOS'!$C$5:$C$500,$A7,'LANÇAMENTOS DIÁRIOS'!$O$5:$O$500,"&lt;=121979",'LANÇAMENTOS DIÁRIOS'!$P$5:$P$500,"&gt;=121880")&gt;0,"X","")</f>
      </c>
      <c r="AV7" s="56" t="str">
        <f>IF(COUNTIFS('LANÇAMENTOS DIÁRIOS'!$G$5:$G$500,"G",'LANÇAMENTOS DIÁRIOS'!$C$5:$C$500,$A7,'LANÇAMENTOS DIÁRIOS'!$O$5:$O$500,"&lt;=122079",'LANÇAMENTOS DIÁRIOS'!$P$5:$P$500,"&gt;=121980")&gt;0,"X","")</f>
      </c>
      <c r="AW7" s="56" t="str">
        <f>IF(COUNTIFS('LANÇAMENTOS DIÁRIOS'!$G$5:$G$500,"G",'LANÇAMENTOS DIÁRIOS'!$C$5:$C$500,$A7,'LANÇAMENTOS DIÁRIOS'!$O$5:$O$500,"&lt;=122179",'LANÇAMENTOS DIÁRIOS'!$P$5:$P$500,"&gt;=122080")&gt;0,"X","")</f>
      </c>
      <c r="AX7" s="56" t="str">
        <f>IF(COUNTIFS('LANÇAMENTOS DIÁRIOS'!$G$5:$G$500,"G",'LANÇAMENTOS DIÁRIOS'!$C$5:$C$500,$A7,'LANÇAMENTOS DIÁRIOS'!$O$5:$O$500,"&lt;=122279",'LANÇAMENTOS DIÁRIOS'!$P$5:$P$500,"&gt;=122180")&gt;0,"X","")</f>
      </c>
      <c r="AY7" s="56" t="str">
        <f>IF(COUNTIFS('LANÇAMENTOS DIÁRIOS'!$G$5:$G$500,"G",'LANÇAMENTOS DIÁRIOS'!$C$5:$C$500,$A7,'LANÇAMENTOS DIÁRIOS'!$O$5:$O$500,"&lt;=122379",'LANÇAMENTOS DIÁRIOS'!$P$5:$P$500,"&gt;=122280")&gt;0,"X","")</f>
      </c>
      <c r="AZ7" s="56" t="str">
        <f>IF(COUNTIFS('LANÇAMENTOS DIÁRIOS'!$G$5:$G$500,"G",'LANÇAMENTOS DIÁRIOS'!$C$5:$C$500,$A7,'LANÇAMENTOS DIÁRIOS'!$O$5:$O$500,"&lt;=122479",'LANÇAMENTOS DIÁRIOS'!$P$5:$P$500,"&gt;=122380")&gt;0,"X","")</f>
      </c>
      <c r="BA7" s="56" t="str">
        <f>IF(COUNTIFS('LANÇAMENTOS DIÁRIOS'!$G$5:$G$500,"G",'LANÇAMENTOS DIÁRIOS'!$C$5:$C$500,$A7,'LANÇAMENTOS DIÁRIOS'!$O$5:$O$500,"&lt;=122579",'LANÇAMENTOS DIÁRIOS'!$P$5:$P$500,"&gt;=122480")&gt;0,"X","")</f>
      </c>
      <c r="BB7" s="56" t="str">
        <f>IF(COUNTIFS('LANÇAMENTOS DIÁRIOS'!$G$5:$G$500,"G",'LANÇAMENTOS DIÁRIOS'!$C$5:$C$500,$A7,'LANÇAMENTOS DIÁRIOS'!$O$5:$O$500,"&lt;=122679",'LANÇAMENTOS DIÁRIOS'!$P$5:$P$500,"&gt;=122580")&gt;0,"X","")</f>
      </c>
      <c r="BC7" s="56" t="str">
        <f>IF(COUNTIFS('LANÇAMENTOS DIÁRIOS'!$G$5:$G$500,"G",'LANÇAMENTOS DIÁRIOS'!$C$5:$C$500,$A7,'LANÇAMENTOS DIÁRIOS'!$O$5:$O$500,"&lt;=122779",'LANÇAMENTOS DIÁRIOS'!$P$5:$P$500,"&gt;=122680")&gt;0,"X","")</f>
      </c>
      <c r="BD7" s="56" t="str">
        <f>IF(COUNTIFS('LANÇAMENTOS DIÁRIOS'!$G$5:$G$500,"G",'LANÇAMENTOS DIÁRIOS'!$C$5:$C$500,$A7,'LANÇAMENTOS DIÁRIOS'!$O$5:$O$500,"&lt;=122879",'LANÇAMENTOS DIÁRIOS'!$P$5:$P$500,"&gt;=122780")&gt;0,"X","")</f>
      </c>
      <c r="BE7" s="56" t="str">
        <f>IF(COUNTIFS('LANÇAMENTOS DIÁRIOS'!$G$5:$G$500,"G",'LANÇAMENTOS DIÁRIOS'!$C$5:$C$500,$A7,'LANÇAMENTOS DIÁRIOS'!$O$5:$O$500,"&lt;=122979",'LANÇAMENTOS DIÁRIOS'!$P$5:$P$500,"&gt;=122880")&gt;0,"X","")</f>
      </c>
      <c r="BF7" s="56" t="str">
        <f>IF(COUNTIFS('LANÇAMENTOS DIÁRIOS'!$G$5:$G$500,"G",'LANÇAMENTOS DIÁRIOS'!$C$5:$C$500,$A7,'LANÇAMENTOS DIÁRIOS'!$O$5:$O$500,"&lt;=123079",'LANÇAMENTOS DIÁRIOS'!$P$5:$P$500,"&gt;=122980")&gt;0,"X","")</f>
      </c>
      <c r="BG7" s="56" t="str">
        <f>IF(COUNTIFS('LANÇAMENTOS DIÁRIOS'!$G$5:$G$500,"G",'LANÇAMENTOS DIÁRIOS'!$C$5:$C$500,$A7,'LANÇAMENTOS DIÁRIOS'!$O$5:$O$500,"&lt;=123179",'LANÇAMENTOS DIÁRIOS'!$P$5:$P$500,"&gt;=123080")&gt;0,"X","")</f>
      </c>
      <c r="BH7" s="56" t="str">
        <f>IF(COUNTIFS('LANÇAMENTOS DIÁRIOS'!$G$5:$G$500,"G",'LANÇAMENTOS DIÁRIOS'!$C$5:$C$500,$A7,'LANÇAMENTOS DIÁRIOS'!$O$5:$O$500,"&lt;=123279",'LANÇAMENTOS DIÁRIOS'!$P$5:$P$500,"&gt;=123180")&gt;0,"X","")</f>
      </c>
      <c r="BI7" s="56" t="str">
        <f>IF(COUNTIFS('LANÇAMENTOS DIÁRIOS'!$G$5:$G$500,"G",'LANÇAMENTOS DIÁRIOS'!$C$5:$C$500,$A7,'LANÇAMENTOS DIÁRIOS'!$O$5:$O$500,"&lt;=123379",'LANÇAMENTOS DIÁRIOS'!$P$5:$P$500,"&gt;=123280")&gt;0,"X","")</f>
      </c>
      <c r="BJ7" s="56" t="str">
        <f>IF(COUNTIFS('LANÇAMENTOS DIÁRIOS'!$G$5:$G$500,"G",'LANÇAMENTOS DIÁRIOS'!$C$5:$C$500,$A7,'LANÇAMENTOS DIÁRIOS'!$O$5:$O$500,"&lt;=123479",'LANÇAMENTOS DIÁRIOS'!$P$5:$P$500,"&gt;=123380")&gt;0,"X","")</f>
      </c>
      <c r="BK7" s="56" t="str">
        <f>IF(COUNTIFS('LANÇAMENTOS DIÁRIOS'!$G$5:$G$500,"G",'LANÇAMENTOS DIÁRIOS'!$C$5:$C$500,$A7,'LANÇAMENTOS DIÁRIOS'!$O$5:$O$500,"&lt;=123480",'LANÇAMENTOS DIÁRIOS'!$P$5:$P$500,"&gt;=123480")&gt;0,"X","")</f>
      </c>
    </row>
    <row r="8">
      <c r="A8" s="51" t="str">
        <v>Demolição de OAE (Km 84+100)</v>
      </c>
      <c r="B8" s="56" t="str">
        <f>IF(COUNTIFS('LANÇAMENTOS DIÁRIOS'!$G$5:$G$500,"G",'LANÇAMENTOS DIÁRIOS'!$C$5:$C$500,$A8,'LANÇAMENTOS DIÁRIOS'!$O$5:$O$500,"&lt;=117479",'LANÇAMENTOS DIÁRIOS'!$P$5:$P$500,"&gt;=117380")&gt;0,"X","")</f>
      </c>
      <c r="C8" s="56" t="str">
        <f>IF(COUNTIFS('LANÇAMENTOS DIÁRIOS'!$G$5:$G$500,"G",'LANÇAMENTOS DIÁRIOS'!$C$5:$C$500,$A8,'LANÇAMENTOS DIÁRIOS'!$O$5:$O$500,"&lt;=117579",'LANÇAMENTOS DIÁRIOS'!$P$5:$P$500,"&gt;=117480")&gt;0,"X","")</f>
      </c>
      <c r="D8" s="56" t="str">
        <f>IF(COUNTIFS('LANÇAMENTOS DIÁRIOS'!$G$5:$G$500,"G",'LANÇAMENTOS DIÁRIOS'!$C$5:$C$500,$A8,'LANÇAMENTOS DIÁRIOS'!$O$5:$O$500,"&lt;=117679",'LANÇAMENTOS DIÁRIOS'!$P$5:$P$500,"&gt;=117580")&gt;0,"X","")</f>
      </c>
      <c r="E8" s="56" t="str">
        <f>IF(COUNTIFS('LANÇAMENTOS DIÁRIOS'!$G$5:$G$500,"G",'LANÇAMENTOS DIÁRIOS'!$C$5:$C$500,$A8,'LANÇAMENTOS DIÁRIOS'!$O$5:$O$500,"&lt;=117779",'LANÇAMENTOS DIÁRIOS'!$P$5:$P$500,"&gt;=117680")&gt;0,"X","")</f>
      </c>
      <c r="F8" s="56" t="str">
        <f>IF(COUNTIFS('LANÇAMENTOS DIÁRIOS'!$G$5:$G$500,"G",'LANÇAMENTOS DIÁRIOS'!$C$5:$C$500,$A8,'LANÇAMENTOS DIÁRIOS'!$O$5:$O$500,"&lt;=117879",'LANÇAMENTOS DIÁRIOS'!$P$5:$P$500,"&gt;=117780")&gt;0,"X","")</f>
      </c>
      <c r="G8" s="56" t="str">
        <f>IF(COUNTIFS('LANÇAMENTOS DIÁRIOS'!$G$5:$G$500,"G",'LANÇAMENTOS DIÁRIOS'!$C$5:$C$500,$A8,'LANÇAMENTOS DIÁRIOS'!$O$5:$O$500,"&lt;=117979",'LANÇAMENTOS DIÁRIOS'!$P$5:$P$500,"&gt;=117880")&gt;0,"X","")</f>
      </c>
      <c r="H8" s="56" t="str">
        <f>IF(COUNTIFS('LANÇAMENTOS DIÁRIOS'!$G$5:$G$500,"G",'LANÇAMENTOS DIÁRIOS'!$C$5:$C$500,$A8,'LANÇAMENTOS DIÁRIOS'!$O$5:$O$500,"&lt;=118079",'LANÇAMENTOS DIÁRIOS'!$P$5:$P$500,"&gt;=117980")&gt;0,"X","")</f>
      </c>
      <c r="I8" s="56" t="str">
        <f>IF(COUNTIFS('LANÇAMENTOS DIÁRIOS'!$G$5:$G$500,"G",'LANÇAMENTOS DIÁRIOS'!$C$5:$C$500,$A8,'LANÇAMENTOS DIÁRIOS'!$O$5:$O$500,"&lt;=118179",'LANÇAMENTOS DIÁRIOS'!$P$5:$P$500,"&gt;=118080")&gt;0,"X","")</f>
      </c>
      <c r="J8" s="56" t="str">
        <f>IF(COUNTIFS('LANÇAMENTOS DIÁRIOS'!$G$5:$G$500,"G",'LANÇAMENTOS DIÁRIOS'!$C$5:$C$500,$A8,'LANÇAMENTOS DIÁRIOS'!$O$5:$O$500,"&lt;=118279",'LANÇAMENTOS DIÁRIOS'!$P$5:$P$500,"&gt;=118180")&gt;0,"X","")</f>
      </c>
      <c r="K8" s="56" t="str">
        <f>IF(COUNTIFS('LANÇAMENTOS DIÁRIOS'!$G$5:$G$500,"G",'LANÇAMENTOS DIÁRIOS'!$C$5:$C$500,$A8,'LANÇAMENTOS DIÁRIOS'!$O$5:$O$500,"&lt;=118379",'LANÇAMENTOS DIÁRIOS'!$P$5:$P$500,"&gt;=118280")&gt;0,"X","")</f>
      </c>
      <c r="L8" s="56" t="str">
        <f>IF(COUNTIFS('LANÇAMENTOS DIÁRIOS'!$G$5:$G$500,"G",'LANÇAMENTOS DIÁRIOS'!$C$5:$C$500,$A8,'LANÇAMENTOS DIÁRIOS'!$O$5:$O$500,"&lt;=118479",'LANÇAMENTOS DIÁRIOS'!$P$5:$P$500,"&gt;=118380")&gt;0,"X","")</f>
      </c>
      <c r="M8" s="56" t="str">
        <f>IF(COUNTIFS('LANÇAMENTOS DIÁRIOS'!$G$5:$G$500,"G",'LANÇAMENTOS DIÁRIOS'!$C$5:$C$500,$A8,'LANÇAMENTOS DIÁRIOS'!$O$5:$O$500,"&lt;=118579",'LANÇAMENTOS DIÁRIOS'!$P$5:$P$500,"&gt;=118480")&gt;0,"X","")</f>
      </c>
      <c r="N8" s="56" t="str">
        <f>IF(COUNTIFS('LANÇAMENTOS DIÁRIOS'!$G$5:$G$500,"G",'LANÇAMENTOS DIÁRIOS'!$C$5:$C$500,$A8,'LANÇAMENTOS DIÁRIOS'!$O$5:$O$500,"&lt;=118679",'LANÇAMENTOS DIÁRIOS'!$P$5:$P$500,"&gt;=118580")&gt;0,"X","")</f>
      </c>
      <c r="O8" s="56" t="str">
        <f>IF(COUNTIFS('LANÇAMENTOS DIÁRIOS'!$G$5:$G$500,"G",'LANÇAMENTOS DIÁRIOS'!$C$5:$C$500,$A8,'LANÇAMENTOS DIÁRIOS'!$O$5:$O$500,"&lt;=118779",'LANÇAMENTOS DIÁRIOS'!$P$5:$P$500,"&gt;=118680")&gt;0,"X","")</f>
      </c>
      <c r="P8" s="56" t="str">
        <f>IF(COUNTIFS('LANÇAMENTOS DIÁRIOS'!$G$5:$G$500,"G",'LANÇAMENTOS DIÁRIOS'!$C$5:$C$500,$A8,'LANÇAMENTOS DIÁRIOS'!$O$5:$O$500,"&lt;=118879",'LANÇAMENTOS DIÁRIOS'!$P$5:$P$500,"&gt;=118780")&gt;0,"X","")</f>
      </c>
      <c r="Q8" s="56" t="str">
        <f>IF(COUNTIFS('LANÇAMENTOS DIÁRIOS'!$G$5:$G$500,"G",'LANÇAMENTOS DIÁRIOS'!$C$5:$C$500,$A8,'LANÇAMENTOS DIÁRIOS'!$O$5:$O$500,"&lt;=118979",'LANÇAMENTOS DIÁRIOS'!$P$5:$P$500,"&gt;=118880")&gt;0,"X","")</f>
      </c>
      <c r="R8" s="56" t="str">
        <f>IF(COUNTIFS('LANÇAMENTOS DIÁRIOS'!$G$5:$G$500,"G",'LANÇAMENTOS DIÁRIOS'!$C$5:$C$500,$A8,'LANÇAMENTOS DIÁRIOS'!$O$5:$O$500,"&lt;=119079",'LANÇAMENTOS DIÁRIOS'!$P$5:$P$500,"&gt;=118980")&gt;0,"X","")</f>
      </c>
      <c r="S8" s="56" t="str">
        <f>IF(COUNTIFS('LANÇAMENTOS DIÁRIOS'!$G$5:$G$500,"G",'LANÇAMENTOS DIÁRIOS'!$C$5:$C$500,$A8,'LANÇAMENTOS DIÁRIOS'!$O$5:$O$500,"&lt;=119179",'LANÇAMENTOS DIÁRIOS'!$P$5:$P$500,"&gt;=119080")&gt;0,"X","")</f>
      </c>
      <c r="T8" s="56" t="str">
        <f>IF(COUNTIFS('LANÇAMENTOS DIÁRIOS'!$G$5:$G$500,"G",'LANÇAMENTOS DIÁRIOS'!$C$5:$C$500,$A8,'LANÇAMENTOS DIÁRIOS'!$O$5:$O$500,"&lt;=119279",'LANÇAMENTOS DIÁRIOS'!$P$5:$P$500,"&gt;=119180")&gt;0,"X","")</f>
      </c>
      <c r="U8" s="56" t="str">
        <f>IF(COUNTIFS('LANÇAMENTOS DIÁRIOS'!$G$5:$G$500,"G",'LANÇAMENTOS DIÁRIOS'!$C$5:$C$500,$A8,'LANÇAMENTOS DIÁRIOS'!$O$5:$O$500,"&lt;=119379",'LANÇAMENTOS DIÁRIOS'!$P$5:$P$500,"&gt;=119280")&gt;0,"X","")</f>
      </c>
      <c r="V8" s="56" t="str">
        <f>IF(COUNTIFS('LANÇAMENTOS DIÁRIOS'!$G$5:$G$500,"G",'LANÇAMENTOS DIÁRIOS'!$C$5:$C$500,$A8,'LANÇAMENTOS DIÁRIOS'!$O$5:$O$500,"&lt;=119479",'LANÇAMENTOS DIÁRIOS'!$P$5:$P$500,"&gt;=119380")&gt;0,"X","")</f>
      </c>
      <c r="W8" s="56" t="str">
        <f>IF(COUNTIFS('LANÇAMENTOS DIÁRIOS'!$G$5:$G$500,"G",'LANÇAMENTOS DIÁRIOS'!$C$5:$C$500,$A8,'LANÇAMENTOS DIÁRIOS'!$O$5:$O$500,"&lt;=119579",'LANÇAMENTOS DIÁRIOS'!$P$5:$P$500,"&gt;=119480")&gt;0,"X","")</f>
      </c>
      <c r="X8" s="56" t="str">
        <f>IF(COUNTIFS('LANÇAMENTOS DIÁRIOS'!$G$5:$G$500,"G",'LANÇAMENTOS DIÁRIOS'!$C$5:$C$500,$A8,'LANÇAMENTOS DIÁRIOS'!$O$5:$O$500,"&lt;=119679",'LANÇAMENTOS DIÁRIOS'!$P$5:$P$500,"&gt;=119580")&gt;0,"X","")</f>
      </c>
      <c r="Y8" s="56" t="str">
        <f>IF(COUNTIFS('LANÇAMENTOS DIÁRIOS'!$G$5:$G$500,"G",'LANÇAMENTOS DIÁRIOS'!$C$5:$C$500,$A8,'LANÇAMENTOS DIÁRIOS'!$O$5:$O$500,"&lt;=119779",'LANÇAMENTOS DIÁRIOS'!$P$5:$P$500,"&gt;=119680")&gt;0,"X","")</f>
      </c>
      <c r="Z8" s="56" t="str">
        <f>IF(COUNTIFS('LANÇAMENTOS DIÁRIOS'!$G$5:$G$500,"G",'LANÇAMENTOS DIÁRIOS'!$C$5:$C$500,$A8,'LANÇAMENTOS DIÁRIOS'!$O$5:$O$500,"&lt;=119879",'LANÇAMENTOS DIÁRIOS'!$P$5:$P$500,"&gt;=119780")&gt;0,"X","")</f>
      </c>
      <c r="AA8" s="56" t="str">
        <f>IF(COUNTIFS('LANÇAMENTOS DIÁRIOS'!$G$5:$G$500,"G",'LANÇAMENTOS DIÁRIOS'!$C$5:$C$500,$A8,'LANÇAMENTOS DIÁRIOS'!$O$5:$O$500,"&lt;=119979",'LANÇAMENTOS DIÁRIOS'!$P$5:$P$500,"&gt;=119880")&gt;0,"X","")</f>
      </c>
      <c r="AB8" s="56" t="str">
        <f>IF(COUNTIFS('LANÇAMENTOS DIÁRIOS'!$G$5:$G$500,"G",'LANÇAMENTOS DIÁRIOS'!$C$5:$C$500,$A8,'LANÇAMENTOS DIÁRIOS'!$O$5:$O$500,"&lt;=120079",'LANÇAMENTOS DIÁRIOS'!$P$5:$P$500,"&gt;=119980")&gt;0,"X","")</f>
      </c>
      <c r="AC8" s="56" t="str">
        <f>IF(COUNTIFS('LANÇAMENTOS DIÁRIOS'!$G$5:$G$500,"G",'LANÇAMENTOS DIÁRIOS'!$C$5:$C$500,$A8,'LANÇAMENTOS DIÁRIOS'!$O$5:$O$500,"&lt;=120179",'LANÇAMENTOS DIÁRIOS'!$P$5:$P$500,"&gt;=120080")&gt;0,"X","")</f>
      </c>
      <c r="AD8" s="56" t="str">
        <f>IF(COUNTIFS('LANÇAMENTOS DIÁRIOS'!$G$5:$G$500,"G",'LANÇAMENTOS DIÁRIOS'!$C$5:$C$500,$A8,'LANÇAMENTOS DIÁRIOS'!$O$5:$O$500,"&lt;=120279",'LANÇAMENTOS DIÁRIOS'!$P$5:$P$500,"&gt;=120180")&gt;0,"X","")</f>
      </c>
      <c r="AE8" s="56" t="str">
        <f>IF(COUNTIFS('LANÇAMENTOS DIÁRIOS'!$G$5:$G$500,"G",'LANÇAMENTOS DIÁRIOS'!$C$5:$C$500,$A8,'LANÇAMENTOS DIÁRIOS'!$O$5:$O$500,"&lt;=120379",'LANÇAMENTOS DIÁRIOS'!$P$5:$P$500,"&gt;=120280")&gt;0,"X","")</f>
      </c>
      <c r="AF8" s="56" t="str">
        <f>IF(COUNTIFS('LANÇAMENTOS DIÁRIOS'!$G$5:$G$500,"G",'LANÇAMENTOS DIÁRIOS'!$C$5:$C$500,$A8,'LANÇAMENTOS DIÁRIOS'!$O$5:$O$500,"&lt;=120479",'LANÇAMENTOS DIÁRIOS'!$P$5:$P$500,"&gt;=120380")&gt;0,"X","")</f>
      </c>
      <c r="AG8" s="56" t="str">
        <f>IF(COUNTIFS('LANÇAMENTOS DIÁRIOS'!$G$5:$G$500,"G",'LANÇAMENTOS DIÁRIOS'!$C$5:$C$500,$A8,'LANÇAMENTOS DIÁRIOS'!$O$5:$O$500,"&lt;=120579",'LANÇAMENTOS DIÁRIOS'!$P$5:$P$500,"&gt;=120480")&gt;0,"X","")</f>
      </c>
      <c r="AH8" s="56" t="str">
        <f>IF(COUNTIFS('LANÇAMENTOS DIÁRIOS'!$G$5:$G$500,"G",'LANÇAMENTOS DIÁRIOS'!$C$5:$C$500,$A8,'LANÇAMENTOS DIÁRIOS'!$O$5:$O$500,"&lt;=120679",'LANÇAMENTOS DIÁRIOS'!$P$5:$P$500,"&gt;=120580")&gt;0,"X","")</f>
      </c>
      <c r="AI8" s="56" t="str">
        <f>IF(COUNTIFS('LANÇAMENTOS DIÁRIOS'!$G$5:$G$500,"G",'LANÇAMENTOS DIÁRIOS'!$C$5:$C$500,$A8,'LANÇAMENTOS DIÁRIOS'!$O$5:$O$500,"&lt;=120779",'LANÇAMENTOS DIÁRIOS'!$P$5:$P$500,"&gt;=120680")&gt;0,"X","")</f>
      </c>
      <c r="AJ8" s="56" t="str">
        <f>IF(COUNTIFS('LANÇAMENTOS DIÁRIOS'!$G$5:$G$500,"G",'LANÇAMENTOS DIÁRIOS'!$C$5:$C$500,$A8,'LANÇAMENTOS DIÁRIOS'!$O$5:$O$500,"&lt;=120879",'LANÇAMENTOS DIÁRIOS'!$P$5:$P$500,"&gt;=120780")&gt;0,"X","")</f>
      </c>
      <c r="AK8" s="56" t="str">
        <f>IF(COUNTIFS('LANÇAMENTOS DIÁRIOS'!$G$5:$G$500,"G",'LANÇAMENTOS DIÁRIOS'!$C$5:$C$500,$A8,'LANÇAMENTOS DIÁRIOS'!$O$5:$O$500,"&lt;=120979",'LANÇAMENTOS DIÁRIOS'!$P$5:$P$500,"&gt;=120880")&gt;0,"X","")</f>
      </c>
      <c r="AL8" s="56" t="str">
        <f>IF(COUNTIFS('LANÇAMENTOS DIÁRIOS'!$G$5:$G$500,"G",'LANÇAMENTOS DIÁRIOS'!$C$5:$C$500,$A8,'LANÇAMENTOS DIÁRIOS'!$O$5:$O$500,"&lt;=121079",'LANÇAMENTOS DIÁRIOS'!$P$5:$P$500,"&gt;=120980")&gt;0,"X","")</f>
      </c>
      <c r="AM8" s="56" t="str">
        <f>IF(COUNTIFS('LANÇAMENTOS DIÁRIOS'!$G$5:$G$500,"G",'LANÇAMENTOS DIÁRIOS'!$C$5:$C$500,$A8,'LANÇAMENTOS DIÁRIOS'!$O$5:$O$500,"&lt;=121179",'LANÇAMENTOS DIÁRIOS'!$P$5:$P$500,"&gt;=121080")&gt;0,"X","")</f>
      </c>
      <c r="AN8" s="56" t="str">
        <f>IF(COUNTIFS('LANÇAMENTOS DIÁRIOS'!$G$5:$G$500,"G",'LANÇAMENTOS DIÁRIOS'!$C$5:$C$500,$A8,'LANÇAMENTOS DIÁRIOS'!$O$5:$O$500,"&lt;=121279",'LANÇAMENTOS DIÁRIOS'!$P$5:$P$500,"&gt;=121180")&gt;0,"X","")</f>
      </c>
      <c r="AO8" s="56" t="str">
        <f>IF(COUNTIFS('LANÇAMENTOS DIÁRIOS'!$G$5:$G$500,"G",'LANÇAMENTOS DIÁRIOS'!$C$5:$C$500,$A8,'LANÇAMENTOS DIÁRIOS'!$O$5:$O$500,"&lt;=121379",'LANÇAMENTOS DIÁRIOS'!$P$5:$P$500,"&gt;=121280")&gt;0,"X","")</f>
      </c>
      <c r="AP8" s="56" t="str">
        <f>IF(COUNTIFS('LANÇAMENTOS DIÁRIOS'!$G$5:$G$500,"G",'LANÇAMENTOS DIÁRIOS'!$C$5:$C$500,$A8,'LANÇAMENTOS DIÁRIOS'!$O$5:$O$500,"&lt;=121479",'LANÇAMENTOS DIÁRIOS'!$P$5:$P$500,"&gt;=121380")&gt;0,"X","")</f>
      </c>
      <c r="AQ8" s="56" t="str">
        <f>IF(COUNTIFS('LANÇAMENTOS DIÁRIOS'!$G$5:$G$500,"G",'LANÇAMENTOS DIÁRIOS'!$C$5:$C$500,$A8,'LANÇAMENTOS DIÁRIOS'!$O$5:$O$500,"&lt;=121579",'LANÇAMENTOS DIÁRIOS'!$P$5:$P$500,"&gt;=121480")&gt;0,"X","")</f>
      </c>
      <c r="AR8" s="56" t="str">
        <f>IF(COUNTIFS('LANÇAMENTOS DIÁRIOS'!$G$5:$G$500,"G",'LANÇAMENTOS DIÁRIOS'!$C$5:$C$500,$A8,'LANÇAMENTOS DIÁRIOS'!$O$5:$O$500,"&lt;=121679",'LANÇAMENTOS DIÁRIOS'!$P$5:$P$500,"&gt;=121580")&gt;0,"X","")</f>
      </c>
      <c r="AS8" s="56" t="str">
        <f>IF(COUNTIFS('LANÇAMENTOS DIÁRIOS'!$G$5:$G$500,"G",'LANÇAMENTOS DIÁRIOS'!$C$5:$C$500,$A8,'LANÇAMENTOS DIÁRIOS'!$O$5:$O$500,"&lt;=121779",'LANÇAMENTOS DIÁRIOS'!$P$5:$P$500,"&gt;=121680")&gt;0,"X","")</f>
      </c>
      <c r="AT8" s="56" t="str">
        <f>IF(COUNTIFS('LANÇAMENTOS DIÁRIOS'!$G$5:$G$500,"G",'LANÇAMENTOS DIÁRIOS'!$C$5:$C$500,$A8,'LANÇAMENTOS DIÁRIOS'!$O$5:$O$500,"&lt;=121879",'LANÇAMENTOS DIÁRIOS'!$P$5:$P$500,"&gt;=121780")&gt;0,"X","")</f>
      </c>
      <c r="AU8" s="56" t="str">
        <f>IF(COUNTIFS('LANÇAMENTOS DIÁRIOS'!$G$5:$G$500,"G",'LANÇAMENTOS DIÁRIOS'!$C$5:$C$500,$A8,'LANÇAMENTOS DIÁRIOS'!$O$5:$O$500,"&lt;=121979",'LANÇAMENTOS DIÁRIOS'!$P$5:$P$500,"&gt;=121880")&gt;0,"X","")</f>
      </c>
      <c r="AV8" s="56" t="str">
        <f>IF(COUNTIFS('LANÇAMENTOS DIÁRIOS'!$G$5:$G$500,"G",'LANÇAMENTOS DIÁRIOS'!$C$5:$C$500,$A8,'LANÇAMENTOS DIÁRIOS'!$O$5:$O$500,"&lt;=122079",'LANÇAMENTOS DIÁRIOS'!$P$5:$P$500,"&gt;=121980")&gt;0,"X","")</f>
      </c>
      <c r="AW8" s="56" t="str">
        <f>IF(COUNTIFS('LANÇAMENTOS DIÁRIOS'!$G$5:$G$500,"G",'LANÇAMENTOS DIÁRIOS'!$C$5:$C$500,$A8,'LANÇAMENTOS DIÁRIOS'!$O$5:$O$500,"&lt;=122179",'LANÇAMENTOS DIÁRIOS'!$P$5:$P$500,"&gt;=122080")&gt;0,"X","")</f>
      </c>
      <c r="AX8" s="56" t="str">
        <f>IF(COUNTIFS('LANÇAMENTOS DIÁRIOS'!$G$5:$G$500,"G",'LANÇAMENTOS DIÁRIOS'!$C$5:$C$500,$A8,'LANÇAMENTOS DIÁRIOS'!$O$5:$O$500,"&lt;=122279",'LANÇAMENTOS DIÁRIOS'!$P$5:$P$500,"&gt;=122180")&gt;0,"X","")</f>
      </c>
      <c r="AY8" s="56" t="str">
        <f>IF(COUNTIFS('LANÇAMENTOS DIÁRIOS'!$G$5:$G$500,"G",'LANÇAMENTOS DIÁRIOS'!$C$5:$C$500,$A8,'LANÇAMENTOS DIÁRIOS'!$O$5:$O$500,"&lt;=122379",'LANÇAMENTOS DIÁRIOS'!$P$5:$P$500,"&gt;=122280")&gt;0,"X","")</f>
      </c>
      <c r="AZ8" s="56" t="str">
        <f>IF(COUNTIFS('LANÇAMENTOS DIÁRIOS'!$G$5:$G$500,"G",'LANÇAMENTOS DIÁRIOS'!$C$5:$C$500,$A8,'LANÇAMENTOS DIÁRIOS'!$O$5:$O$500,"&lt;=122479",'LANÇAMENTOS DIÁRIOS'!$P$5:$P$500,"&gt;=122380")&gt;0,"X","")</f>
      </c>
      <c r="BA8" s="56" t="str">
        <f>IF(COUNTIFS('LANÇAMENTOS DIÁRIOS'!$G$5:$G$500,"G",'LANÇAMENTOS DIÁRIOS'!$C$5:$C$500,$A8,'LANÇAMENTOS DIÁRIOS'!$O$5:$O$500,"&lt;=122579",'LANÇAMENTOS DIÁRIOS'!$P$5:$P$500,"&gt;=122480")&gt;0,"X","")</f>
      </c>
      <c r="BB8" s="56" t="str">
        <f>IF(COUNTIFS('LANÇAMENTOS DIÁRIOS'!$G$5:$G$500,"G",'LANÇAMENTOS DIÁRIOS'!$C$5:$C$500,$A8,'LANÇAMENTOS DIÁRIOS'!$O$5:$O$500,"&lt;=122679",'LANÇAMENTOS DIÁRIOS'!$P$5:$P$500,"&gt;=122580")&gt;0,"X","")</f>
      </c>
      <c r="BC8" s="56" t="str">
        <f>IF(COUNTIFS('LANÇAMENTOS DIÁRIOS'!$G$5:$G$500,"G",'LANÇAMENTOS DIÁRIOS'!$C$5:$C$500,$A8,'LANÇAMENTOS DIÁRIOS'!$O$5:$O$500,"&lt;=122779",'LANÇAMENTOS DIÁRIOS'!$P$5:$P$500,"&gt;=122680")&gt;0,"X","")</f>
      </c>
      <c r="BD8" s="56" t="str">
        <f>IF(COUNTIFS('LANÇAMENTOS DIÁRIOS'!$G$5:$G$500,"G",'LANÇAMENTOS DIÁRIOS'!$C$5:$C$500,$A8,'LANÇAMENTOS DIÁRIOS'!$O$5:$O$500,"&lt;=122879",'LANÇAMENTOS DIÁRIOS'!$P$5:$P$500,"&gt;=122780")&gt;0,"X","")</f>
      </c>
      <c r="BE8" s="56" t="str">
        <f>IF(COUNTIFS('LANÇAMENTOS DIÁRIOS'!$G$5:$G$500,"G",'LANÇAMENTOS DIÁRIOS'!$C$5:$C$500,$A8,'LANÇAMENTOS DIÁRIOS'!$O$5:$O$500,"&lt;=122979",'LANÇAMENTOS DIÁRIOS'!$P$5:$P$500,"&gt;=122880")&gt;0,"X","")</f>
      </c>
      <c r="BF8" s="56" t="str">
        <f>IF(COUNTIFS('LANÇAMENTOS DIÁRIOS'!$G$5:$G$500,"G",'LANÇAMENTOS DIÁRIOS'!$C$5:$C$500,$A8,'LANÇAMENTOS DIÁRIOS'!$O$5:$O$500,"&lt;=123079",'LANÇAMENTOS DIÁRIOS'!$P$5:$P$500,"&gt;=122980")&gt;0,"X","")</f>
      </c>
      <c r="BG8" s="56" t="str">
        <f>IF(COUNTIFS('LANÇAMENTOS DIÁRIOS'!$G$5:$G$500,"G",'LANÇAMENTOS DIÁRIOS'!$C$5:$C$500,$A8,'LANÇAMENTOS DIÁRIOS'!$O$5:$O$500,"&lt;=123179",'LANÇAMENTOS DIÁRIOS'!$P$5:$P$500,"&gt;=123080")&gt;0,"X","")</f>
      </c>
      <c r="BH8" s="56" t="str">
        <f>IF(COUNTIFS('LANÇAMENTOS DIÁRIOS'!$G$5:$G$500,"G",'LANÇAMENTOS DIÁRIOS'!$C$5:$C$500,$A8,'LANÇAMENTOS DIÁRIOS'!$O$5:$O$500,"&lt;=123279",'LANÇAMENTOS DIÁRIOS'!$P$5:$P$500,"&gt;=123180")&gt;0,"X","")</f>
      </c>
      <c r="BI8" s="56" t="str">
        <f>IF(COUNTIFS('LANÇAMENTOS DIÁRIOS'!$G$5:$G$500,"G",'LANÇAMENTOS DIÁRIOS'!$C$5:$C$500,$A8,'LANÇAMENTOS DIÁRIOS'!$O$5:$O$500,"&lt;=123379",'LANÇAMENTOS DIÁRIOS'!$P$5:$P$500,"&gt;=123280")&gt;0,"X","")</f>
      </c>
      <c r="BJ8" s="56" t="str">
        <f>IF(COUNTIFS('LANÇAMENTOS DIÁRIOS'!$G$5:$G$500,"G",'LANÇAMENTOS DIÁRIOS'!$C$5:$C$500,$A8,'LANÇAMENTOS DIÁRIOS'!$O$5:$O$500,"&lt;=123479",'LANÇAMENTOS DIÁRIOS'!$P$5:$P$500,"&gt;=123380")&gt;0,"X","")</f>
      </c>
      <c r="BK8" s="56" t="str">
        <f>IF(COUNTIFS('LANÇAMENTOS DIÁRIOS'!$G$5:$G$500,"G",'LANÇAMENTOS DIÁRIOS'!$C$5:$C$500,$A8,'LANÇAMENTOS DIÁRIOS'!$O$5:$O$500,"&lt;=123480",'LANÇAMENTOS DIÁRIOS'!$P$5:$P$500,"&gt;=123480")&gt;0,"X","")</f>
      </c>
    </row>
    <row r="9">
      <c r="A9" s="51" t="str">
        <v>Remoção de postes com luminárias</v>
      </c>
      <c r="B9" s="56" t="str">
        <f>IF(COUNTIFS('LANÇAMENTOS DIÁRIOS'!$G$5:$G$500,"G",'LANÇAMENTOS DIÁRIOS'!$C$5:$C$500,$A9,'LANÇAMENTOS DIÁRIOS'!$O$5:$O$500,"&lt;=117479",'LANÇAMENTOS DIÁRIOS'!$P$5:$P$500,"&gt;=117380")&gt;0,"X","")</f>
      </c>
      <c r="C9" s="56" t="str">
        <f>IF(COUNTIFS('LANÇAMENTOS DIÁRIOS'!$G$5:$G$500,"G",'LANÇAMENTOS DIÁRIOS'!$C$5:$C$500,$A9,'LANÇAMENTOS DIÁRIOS'!$O$5:$O$500,"&lt;=117579",'LANÇAMENTOS DIÁRIOS'!$P$5:$P$500,"&gt;=117480")&gt;0,"X","")</f>
      </c>
      <c r="D9" s="56" t="str">
        <f>IF(COUNTIFS('LANÇAMENTOS DIÁRIOS'!$G$5:$G$500,"G",'LANÇAMENTOS DIÁRIOS'!$C$5:$C$500,$A9,'LANÇAMENTOS DIÁRIOS'!$O$5:$O$500,"&lt;=117679",'LANÇAMENTOS DIÁRIOS'!$P$5:$P$500,"&gt;=117580")&gt;0,"X","")</f>
      </c>
      <c r="E9" s="56" t="str">
        <f>IF(COUNTIFS('LANÇAMENTOS DIÁRIOS'!$G$5:$G$500,"G",'LANÇAMENTOS DIÁRIOS'!$C$5:$C$500,$A9,'LANÇAMENTOS DIÁRIOS'!$O$5:$O$500,"&lt;=117779",'LANÇAMENTOS DIÁRIOS'!$P$5:$P$500,"&gt;=117680")&gt;0,"X","")</f>
      </c>
      <c r="F9" s="56" t="str">
        <f>IF(COUNTIFS('LANÇAMENTOS DIÁRIOS'!$G$5:$G$500,"G",'LANÇAMENTOS DIÁRIOS'!$C$5:$C$500,$A9,'LANÇAMENTOS DIÁRIOS'!$O$5:$O$500,"&lt;=117879",'LANÇAMENTOS DIÁRIOS'!$P$5:$P$500,"&gt;=117780")&gt;0,"X","")</f>
      </c>
      <c r="G9" s="56" t="str">
        <f>IF(COUNTIFS('LANÇAMENTOS DIÁRIOS'!$G$5:$G$500,"G",'LANÇAMENTOS DIÁRIOS'!$C$5:$C$500,$A9,'LANÇAMENTOS DIÁRIOS'!$O$5:$O$500,"&lt;=117979",'LANÇAMENTOS DIÁRIOS'!$P$5:$P$500,"&gt;=117880")&gt;0,"X","")</f>
      </c>
      <c r="H9" s="56" t="str">
        <f>IF(COUNTIFS('LANÇAMENTOS DIÁRIOS'!$G$5:$G$500,"G",'LANÇAMENTOS DIÁRIOS'!$C$5:$C$500,$A9,'LANÇAMENTOS DIÁRIOS'!$O$5:$O$500,"&lt;=118079",'LANÇAMENTOS DIÁRIOS'!$P$5:$P$500,"&gt;=117980")&gt;0,"X","")</f>
      </c>
      <c r="I9" s="56" t="str">
        <f>IF(COUNTIFS('LANÇAMENTOS DIÁRIOS'!$G$5:$G$500,"G",'LANÇAMENTOS DIÁRIOS'!$C$5:$C$500,$A9,'LANÇAMENTOS DIÁRIOS'!$O$5:$O$500,"&lt;=118179",'LANÇAMENTOS DIÁRIOS'!$P$5:$P$500,"&gt;=118080")&gt;0,"X","")</f>
      </c>
      <c r="J9" s="56" t="str">
        <f>IF(COUNTIFS('LANÇAMENTOS DIÁRIOS'!$G$5:$G$500,"G",'LANÇAMENTOS DIÁRIOS'!$C$5:$C$500,$A9,'LANÇAMENTOS DIÁRIOS'!$O$5:$O$500,"&lt;=118279",'LANÇAMENTOS DIÁRIOS'!$P$5:$P$500,"&gt;=118180")&gt;0,"X","")</f>
      </c>
      <c r="K9" s="56" t="str">
        <f>IF(COUNTIFS('LANÇAMENTOS DIÁRIOS'!$G$5:$G$500,"G",'LANÇAMENTOS DIÁRIOS'!$C$5:$C$500,$A9,'LANÇAMENTOS DIÁRIOS'!$O$5:$O$500,"&lt;=118379",'LANÇAMENTOS DIÁRIOS'!$P$5:$P$500,"&gt;=118280")&gt;0,"X","")</f>
      </c>
      <c r="L9" s="56" t="str">
        <f>IF(COUNTIFS('LANÇAMENTOS DIÁRIOS'!$G$5:$G$500,"G",'LANÇAMENTOS DIÁRIOS'!$C$5:$C$500,$A9,'LANÇAMENTOS DIÁRIOS'!$O$5:$O$500,"&lt;=118479",'LANÇAMENTOS DIÁRIOS'!$P$5:$P$500,"&gt;=118380")&gt;0,"X","")</f>
      </c>
      <c r="M9" s="56" t="str">
        <f>IF(COUNTIFS('LANÇAMENTOS DIÁRIOS'!$G$5:$G$500,"G",'LANÇAMENTOS DIÁRIOS'!$C$5:$C$500,$A9,'LANÇAMENTOS DIÁRIOS'!$O$5:$O$500,"&lt;=118579",'LANÇAMENTOS DIÁRIOS'!$P$5:$P$500,"&gt;=118480")&gt;0,"X","")</f>
      </c>
      <c r="N9" s="56" t="str">
        <f>IF(COUNTIFS('LANÇAMENTOS DIÁRIOS'!$G$5:$G$500,"G",'LANÇAMENTOS DIÁRIOS'!$C$5:$C$500,$A9,'LANÇAMENTOS DIÁRIOS'!$O$5:$O$500,"&lt;=118679",'LANÇAMENTOS DIÁRIOS'!$P$5:$P$500,"&gt;=118580")&gt;0,"X","")</f>
      </c>
      <c r="O9" s="56" t="str">
        <f>IF(COUNTIFS('LANÇAMENTOS DIÁRIOS'!$G$5:$G$500,"G",'LANÇAMENTOS DIÁRIOS'!$C$5:$C$500,$A9,'LANÇAMENTOS DIÁRIOS'!$O$5:$O$500,"&lt;=118779",'LANÇAMENTOS DIÁRIOS'!$P$5:$P$500,"&gt;=118680")&gt;0,"X","")</f>
      </c>
      <c r="P9" s="56" t="str">
        <f>IF(COUNTIFS('LANÇAMENTOS DIÁRIOS'!$G$5:$G$500,"G",'LANÇAMENTOS DIÁRIOS'!$C$5:$C$500,$A9,'LANÇAMENTOS DIÁRIOS'!$O$5:$O$500,"&lt;=118879",'LANÇAMENTOS DIÁRIOS'!$P$5:$P$500,"&gt;=118780")&gt;0,"X","")</f>
      </c>
      <c r="Q9" s="56" t="str">
        <f>IF(COUNTIFS('LANÇAMENTOS DIÁRIOS'!$G$5:$G$500,"G",'LANÇAMENTOS DIÁRIOS'!$C$5:$C$500,$A9,'LANÇAMENTOS DIÁRIOS'!$O$5:$O$500,"&lt;=118979",'LANÇAMENTOS DIÁRIOS'!$P$5:$P$500,"&gt;=118880")&gt;0,"X","")</f>
      </c>
      <c r="R9" s="56" t="str">
        <f>IF(COUNTIFS('LANÇAMENTOS DIÁRIOS'!$G$5:$G$500,"G",'LANÇAMENTOS DIÁRIOS'!$C$5:$C$500,$A9,'LANÇAMENTOS DIÁRIOS'!$O$5:$O$500,"&lt;=119079",'LANÇAMENTOS DIÁRIOS'!$P$5:$P$500,"&gt;=118980")&gt;0,"X","")</f>
      </c>
      <c r="S9" s="56" t="str">
        <f>IF(COUNTIFS('LANÇAMENTOS DIÁRIOS'!$G$5:$G$500,"G",'LANÇAMENTOS DIÁRIOS'!$C$5:$C$500,$A9,'LANÇAMENTOS DIÁRIOS'!$O$5:$O$500,"&lt;=119179",'LANÇAMENTOS DIÁRIOS'!$P$5:$P$500,"&gt;=119080")&gt;0,"X","")</f>
      </c>
      <c r="T9" s="56" t="str">
        <f>IF(COUNTIFS('LANÇAMENTOS DIÁRIOS'!$G$5:$G$500,"G",'LANÇAMENTOS DIÁRIOS'!$C$5:$C$500,$A9,'LANÇAMENTOS DIÁRIOS'!$O$5:$O$500,"&lt;=119279",'LANÇAMENTOS DIÁRIOS'!$P$5:$P$500,"&gt;=119180")&gt;0,"X","")</f>
      </c>
      <c r="U9" s="56" t="str">
        <f>IF(COUNTIFS('LANÇAMENTOS DIÁRIOS'!$G$5:$G$500,"G",'LANÇAMENTOS DIÁRIOS'!$C$5:$C$500,$A9,'LANÇAMENTOS DIÁRIOS'!$O$5:$O$500,"&lt;=119379",'LANÇAMENTOS DIÁRIOS'!$P$5:$P$500,"&gt;=119280")&gt;0,"X","")</f>
      </c>
      <c r="V9" s="56" t="str">
        <f>IF(COUNTIFS('LANÇAMENTOS DIÁRIOS'!$G$5:$G$500,"G",'LANÇAMENTOS DIÁRIOS'!$C$5:$C$500,$A9,'LANÇAMENTOS DIÁRIOS'!$O$5:$O$500,"&lt;=119479",'LANÇAMENTOS DIÁRIOS'!$P$5:$P$500,"&gt;=119380")&gt;0,"X","")</f>
      </c>
      <c r="W9" s="56" t="str">
        <f>IF(COUNTIFS('LANÇAMENTOS DIÁRIOS'!$G$5:$G$500,"G",'LANÇAMENTOS DIÁRIOS'!$C$5:$C$500,$A9,'LANÇAMENTOS DIÁRIOS'!$O$5:$O$500,"&lt;=119579",'LANÇAMENTOS DIÁRIOS'!$P$5:$P$500,"&gt;=119480")&gt;0,"X","")</f>
      </c>
      <c r="X9" s="56" t="str">
        <f>IF(COUNTIFS('LANÇAMENTOS DIÁRIOS'!$G$5:$G$500,"G",'LANÇAMENTOS DIÁRIOS'!$C$5:$C$500,$A9,'LANÇAMENTOS DIÁRIOS'!$O$5:$O$500,"&lt;=119679",'LANÇAMENTOS DIÁRIOS'!$P$5:$P$500,"&gt;=119580")&gt;0,"X","")</f>
      </c>
      <c r="Y9" s="56" t="str">
        <f>IF(COUNTIFS('LANÇAMENTOS DIÁRIOS'!$G$5:$G$500,"G",'LANÇAMENTOS DIÁRIOS'!$C$5:$C$500,$A9,'LANÇAMENTOS DIÁRIOS'!$O$5:$O$500,"&lt;=119779",'LANÇAMENTOS DIÁRIOS'!$P$5:$P$500,"&gt;=119680")&gt;0,"X","")</f>
      </c>
      <c r="Z9" s="56" t="str">
        <f>IF(COUNTIFS('LANÇAMENTOS DIÁRIOS'!$G$5:$G$500,"G",'LANÇAMENTOS DIÁRIOS'!$C$5:$C$500,$A9,'LANÇAMENTOS DIÁRIOS'!$O$5:$O$500,"&lt;=119879",'LANÇAMENTOS DIÁRIOS'!$P$5:$P$500,"&gt;=119780")&gt;0,"X","")</f>
      </c>
      <c r="AA9" s="56" t="str">
        <f>IF(COUNTIFS('LANÇAMENTOS DIÁRIOS'!$G$5:$G$500,"G",'LANÇAMENTOS DIÁRIOS'!$C$5:$C$500,$A9,'LANÇAMENTOS DIÁRIOS'!$O$5:$O$500,"&lt;=119979",'LANÇAMENTOS DIÁRIOS'!$P$5:$P$500,"&gt;=119880")&gt;0,"X","")</f>
      </c>
      <c r="AB9" s="56" t="str">
        <f>IF(COUNTIFS('LANÇAMENTOS DIÁRIOS'!$G$5:$G$500,"G",'LANÇAMENTOS DIÁRIOS'!$C$5:$C$500,$A9,'LANÇAMENTOS DIÁRIOS'!$O$5:$O$500,"&lt;=120079",'LANÇAMENTOS DIÁRIOS'!$P$5:$P$500,"&gt;=119980")&gt;0,"X","")</f>
      </c>
      <c r="AC9" s="56" t="str">
        <f>IF(COUNTIFS('LANÇAMENTOS DIÁRIOS'!$G$5:$G$500,"G",'LANÇAMENTOS DIÁRIOS'!$C$5:$C$500,$A9,'LANÇAMENTOS DIÁRIOS'!$O$5:$O$500,"&lt;=120179",'LANÇAMENTOS DIÁRIOS'!$P$5:$P$500,"&gt;=120080")&gt;0,"X","")</f>
      </c>
      <c r="AD9" s="56" t="str">
        <f>IF(COUNTIFS('LANÇAMENTOS DIÁRIOS'!$G$5:$G$500,"G",'LANÇAMENTOS DIÁRIOS'!$C$5:$C$500,$A9,'LANÇAMENTOS DIÁRIOS'!$O$5:$O$500,"&lt;=120279",'LANÇAMENTOS DIÁRIOS'!$P$5:$P$500,"&gt;=120180")&gt;0,"X","")</f>
      </c>
      <c r="AE9" s="56" t="str">
        <f>IF(COUNTIFS('LANÇAMENTOS DIÁRIOS'!$G$5:$G$500,"G",'LANÇAMENTOS DIÁRIOS'!$C$5:$C$500,$A9,'LANÇAMENTOS DIÁRIOS'!$O$5:$O$500,"&lt;=120379",'LANÇAMENTOS DIÁRIOS'!$P$5:$P$500,"&gt;=120280")&gt;0,"X","")</f>
      </c>
      <c r="AF9" s="56" t="str">
        <f>IF(COUNTIFS('LANÇAMENTOS DIÁRIOS'!$G$5:$G$500,"G",'LANÇAMENTOS DIÁRIOS'!$C$5:$C$500,$A9,'LANÇAMENTOS DIÁRIOS'!$O$5:$O$500,"&lt;=120479",'LANÇAMENTOS DIÁRIOS'!$P$5:$P$500,"&gt;=120380")&gt;0,"X","")</f>
      </c>
      <c r="AG9" s="56" t="str">
        <f>IF(COUNTIFS('LANÇAMENTOS DIÁRIOS'!$G$5:$G$500,"G",'LANÇAMENTOS DIÁRIOS'!$C$5:$C$500,$A9,'LANÇAMENTOS DIÁRIOS'!$O$5:$O$500,"&lt;=120579",'LANÇAMENTOS DIÁRIOS'!$P$5:$P$500,"&gt;=120480")&gt;0,"X","")</f>
      </c>
      <c r="AH9" s="56" t="str">
        <f>IF(COUNTIFS('LANÇAMENTOS DIÁRIOS'!$G$5:$G$500,"G",'LANÇAMENTOS DIÁRIOS'!$C$5:$C$500,$A9,'LANÇAMENTOS DIÁRIOS'!$O$5:$O$500,"&lt;=120679",'LANÇAMENTOS DIÁRIOS'!$P$5:$P$500,"&gt;=120580")&gt;0,"X","")</f>
      </c>
      <c r="AI9" s="56" t="str">
        <f>IF(COUNTIFS('LANÇAMENTOS DIÁRIOS'!$G$5:$G$500,"G",'LANÇAMENTOS DIÁRIOS'!$C$5:$C$500,$A9,'LANÇAMENTOS DIÁRIOS'!$O$5:$O$500,"&lt;=120779",'LANÇAMENTOS DIÁRIOS'!$P$5:$P$500,"&gt;=120680")&gt;0,"X","")</f>
      </c>
      <c r="AJ9" s="56" t="str">
        <f>IF(COUNTIFS('LANÇAMENTOS DIÁRIOS'!$G$5:$G$500,"G",'LANÇAMENTOS DIÁRIOS'!$C$5:$C$500,$A9,'LANÇAMENTOS DIÁRIOS'!$O$5:$O$500,"&lt;=120879",'LANÇAMENTOS DIÁRIOS'!$P$5:$P$500,"&gt;=120780")&gt;0,"X","")</f>
      </c>
      <c r="AK9" s="56" t="str">
        <f>IF(COUNTIFS('LANÇAMENTOS DIÁRIOS'!$G$5:$G$500,"G",'LANÇAMENTOS DIÁRIOS'!$C$5:$C$500,$A9,'LANÇAMENTOS DIÁRIOS'!$O$5:$O$500,"&lt;=120979",'LANÇAMENTOS DIÁRIOS'!$P$5:$P$500,"&gt;=120880")&gt;0,"X","")</f>
      </c>
      <c r="AL9" s="56" t="str">
        <f>IF(COUNTIFS('LANÇAMENTOS DIÁRIOS'!$G$5:$G$500,"G",'LANÇAMENTOS DIÁRIOS'!$C$5:$C$500,$A9,'LANÇAMENTOS DIÁRIOS'!$O$5:$O$500,"&lt;=121079",'LANÇAMENTOS DIÁRIOS'!$P$5:$P$500,"&gt;=120980")&gt;0,"X","")</f>
      </c>
      <c r="AM9" s="56" t="str">
        <f>IF(COUNTIFS('LANÇAMENTOS DIÁRIOS'!$G$5:$G$500,"G",'LANÇAMENTOS DIÁRIOS'!$C$5:$C$500,$A9,'LANÇAMENTOS DIÁRIOS'!$O$5:$O$500,"&lt;=121179",'LANÇAMENTOS DIÁRIOS'!$P$5:$P$500,"&gt;=121080")&gt;0,"X","")</f>
      </c>
      <c r="AN9" s="56" t="str">
        <f>IF(COUNTIFS('LANÇAMENTOS DIÁRIOS'!$G$5:$G$500,"G",'LANÇAMENTOS DIÁRIOS'!$C$5:$C$500,$A9,'LANÇAMENTOS DIÁRIOS'!$O$5:$O$500,"&lt;=121279",'LANÇAMENTOS DIÁRIOS'!$P$5:$P$500,"&gt;=121180")&gt;0,"X","")</f>
      </c>
      <c r="AO9" s="56" t="str">
        <f>IF(COUNTIFS('LANÇAMENTOS DIÁRIOS'!$G$5:$G$500,"G",'LANÇAMENTOS DIÁRIOS'!$C$5:$C$500,$A9,'LANÇAMENTOS DIÁRIOS'!$O$5:$O$500,"&lt;=121379",'LANÇAMENTOS DIÁRIOS'!$P$5:$P$500,"&gt;=121280")&gt;0,"X","")</f>
      </c>
      <c r="AP9" s="56" t="str">
        <f>IF(COUNTIFS('LANÇAMENTOS DIÁRIOS'!$G$5:$G$500,"G",'LANÇAMENTOS DIÁRIOS'!$C$5:$C$500,$A9,'LANÇAMENTOS DIÁRIOS'!$O$5:$O$500,"&lt;=121479",'LANÇAMENTOS DIÁRIOS'!$P$5:$P$500,"&gt;=121380")&gt;0,"X","")</f>
      </c>
      <c r="AQ9" s="56" t="str">
        <f>IF(COUNTIFS('LANÇAMENTOS DIÁRIOS'!$G$5:$G$500,"G",'LANÇAMENTOS DIÁRIOS'!$C$5:$C$500,$A9,'LANÇAMENTOS DIÁRIOS'!$O$5:$O$500,"&lt;=121579",'LANÇAMENTOS DIÁRIOS'!$P$5:$P$500,"&gt;=121480")&gt;0,"X","")</f>
      </c>
      <c r="AR9" s="56" t="str">
        <f>IF(COUNTIFS('LANÇAMENTOS DIÁRIOS'!$G$5:$G$500,"G",'LANÇAMENTOS DIÁRIOS'!$C$5:$C$500,$A9,'LANÇAMENTOS DIÁRIOS'!$O$5:$O$500,"&lt;=121679",'LANÇAMENTOS DIÁRIOS'!$P$5:$P$500,"&gt;=121580")&gt;0,"X","")</f>
      </c>
      <c r="AS9" s="56" t="str">
        <f>IF(COUNTIFS('LANÇAMENTOS DIÁRIOS'!$G$5:$G$500,"G",'LANÇAMENTOS DIÁRIOS'!$C$5:$C$500,$A9,'LANÇAMENTOS DIÁRIOS'!$O$5:$O$500,"&lt;=121779",'LANÇAMENTOS DIÁRIOS'!$P$5:$P$500,"&gt;=121680")&gt;0,"X","")</f>
      </c>
      <c r="AT9" s="56" t="str">
        <f>IF(COUNTIFS('LANÇAMENTOS DIÁRIOS'!$G$5:$G$500,"G",'LANÇAMENTOS DIÁRIOS'!$C$5:$C$500,$A9,'LANÇAMENTOS DIÁRIOS'!$O$5:$O$500,"&lt;=121879",'LANÇAMENTOS DIÁRIOS'!$P$5:$P$500,"&gt;=121780")&gt;0,"X","")</f>
      </c>
      <c r="AU9" s="56" t="str">
        <f>IF(COUNTIFS('LANÇAMENTOS DIÁRIOS'!$G$5:$G$500,"G",'LANÇAMENTOS DIÁRIOS'!$C$5:$C$500,$A9,'LANÇAMENTOS DIÁRIOS'!$O$5:$O$500,"&lt;=121979",'LANÇAMENTOS DIÁRIOS'!$P$5:$P$500,"&gt;=121880")&gt;0,"X","")</f>
      </c>
      <c r="AV9" s="56" t="str">
        <f>IF(COUNTIFS('LANÇAMENTOS DIÁRIOS'!$G$5:$G$500,"G",'LANÇAMENTOS DIÁRIOS'!$C$5:$C$500,$A9,'LANÇAMENTOS DIÁRIOS'!$O$5:$O$500,"&lt;=122079",'LANÇAMENTOS DIÁRIOS'!$P$5:$P$500,"&gt;=121980")&gt;0,"X","")</f>
      </c>
      <c r="AW9" s="56" t="str">
        <f>IF(COUNTIFS('LANÇAMENTOS DIÁRIOS'!$G$5:$G$500,"G",'LANÇAMENTOS DIÁRIOS'!$C$5:$C$500,$A9,'LANÇAMENTOS DIÁRIOS'!$O$5:$O$500,"&lt;=122179",'LANÇAMENTOS DIÁRIOS'!$P$5:$P$500,"&gt;=122080")&gt;0,"X","")</f>
      </c>
      <c r="AX9" s="56" t="str">
        <f>IF(COUNTIFS('LANÇAMENTOS DIÁRIOS'!$G$5:$G$500,"G",'LANÇAMENTOS DIÁRIOS'!$C$5:$C$500,$A9,'LANÇAMENTOS DIÁRIOS'!$O$5:$O$500,"&lt;=122279",'LANÇAMENTOS DIÁRIOS'!$P$5:$P$500,"&gt;=122180")&gt;0,"X","")</f>
      </c>
      <c r="AY9" s="56" t="str">
        <f>IF(COUNTIFS('LANÇAMENTOS DIÁRIOS'!$G$5:$G$500,"G",'LANÇAMENTOS DIÁRIOS'!$C$5:$C$500,$A9,'LANÇAMENTOS DIÁRIOS'!$O$5:$O$500,"&lt;=122379",'LANÇAMENTOS DIÁRIOS'!$P$5:$P$500,"&gt;=122280")&gt;0,"X","")</f>
      </c>
      <c r="AZ9" s="56" t="str">
        <f>IF(COUNTIFS('LANÇAMENTOS DIÁRIOS'!$G$5:$G$500,"G",'LANÇAMENTOS DIÁRIOS'!$C$5:$C$500,$A9,'LANÇAMENTOS DIÁRIOS'!$O$5:$O$500,"&lt;=122479",'LANÇAMENTOS DIÁRIOS'!$P$5:$P$500,"&gt;=122380")&gt;0,"X","")</f>
      </c>
      <c r="BA9" s="56" t="str">
        <f>IF(COUNTIFS('LANÇAMENTOS DIÁRIOS'!$G$5:$G$500,"G",'LANÇAMENTOS DIÁRIOS'!$C$5:$C$500,$A9,'LANÇAMENTOS DIÁRIOS'!$O$5:$O$500,"&lt;=122579",'LANÇAMENTOS DIÁRIOS'!$P$5:$P$500,"&gt;=122480")&gt;0,"X","")</f>
      </c>
      <c r="BB9" s="56" t="str">
        <f>IF(COUNTIFS('LANÇAMENTOS DIÁRIOS'!$G$5:$G$500,"G",'LANÇAMENTOS DIÁRIOS'!$C$5:$C$500,$A9,'LANÇAMENTOS DIÁRIOS'!$O$5:$O$500,"&lt;=122679",'LANÇAMENTOS DIÁRIOS'!$P$5:$P$500,"&gt;=122580")&gt;0,"X","")</f>
      </c>
      <c r="BC9" s="56" t="str">
        <f>IF(COUNTIFS('LANÇAMENTOS DIÁRIOS'!$G$5:$G$500,"G",'LANÇAMENTOS DIÁRIOS'!$C$5:$C$500,$A9,'LANÇAMENTOS DIÁRIOS'!$O$5:$O$500,"&lt;=122779",'LANÇAMENTOS DIÁRIOS'!$P$5:$P$500,"&gt;=122680")&gt;0,"X","")</f>
      </c>
      <c r="BD9" s="56" t="str">
        <f>IF(COUNTIFS('LANÇAMENTOS DIÁRIOS'!$G$5:$G$500,"G",'LANÇAMENTOS DIÁRIOS'!$C$5:$C$500,$A9,'LANÇAMENTOS DIÁRIOS'!$O$5:$O$500,"&lt;=122879",'LANÇAMENTOS DIÁRIOS'!$P$5:$P$500,"&gt;=122780")&gt;0,"X","")</f>
      </c>
      <c r="BE9" s="56" t="str">
        <f>IF(COUNTIFS('LANÇAMENTOS DIÁRIOS'!$G$5:$G$500,"G",'LANÇAMENTOS DIÁRIOS'!$C$5:$C$500,$A9,'LANÇAMENTOS DIÁRIOS'!$O$5:$O$500,"&lt;=122979",'LANÇAMENTOS DIÁRIOS'!$P$5:$P$500,"&gt;=122880")&gt;0,"X","")</f>
      </c>
      <c r="BF9" s="56" t="str">
        <f>IF(COUNTIFS('LANÇAMENTOS DIÁRIOS'!$G$5:$G$500,"G",'LANÇAMENTOS DIÁRIOS'!$C$5:$C$500,$A9,'LANÇAMENTOS DIÁRIOS'!$O$5:$O$500,"&lt;=123079",'LANÇAMENTOS DIÁRIOS'!$P$5:$P$500,"&gt;=122980")&gt;0,"X","")</f>
      </c>
      <c r="BG9" s="56" t="str">
        <f>IF(COUNTIFS('LANÇAMENTOS DIÁRIOS'!$G$5:$G$500,"G",'LANÇAMENTOS DIÁRIOS'!$C$5:$C$500,$A9,'LANÇAMENTOS DIÁRIOS'!$O$5:$O$500,"&lt;=123179",'LANÇAMENTOS DIÁRIOS'!$P$5:$P$500,"&gt;=123080")&gt;0,"X","")</f>
      </c>
      <c r="BH9" s="56" t="str">
        <f>IF(COUNTIFS('LANÇAMENTOS DIÁRIOS'!$G$5:$G$500,"G",'LANÇAMENTOS DIÁRIOS'!$C$5:$C$500,$A9,'LANÇAMENTOS DIÁRIOS'!$O$5:$O$500,"&lt;=123279",'LANÇAMENTOS DIÁRIOS'!$P$5:$P$500,"&gt;=123180")&gt;0,"X","")</f>
      </c>
      <c r="BI9" s="56" t="str">
        <f>IF(COUNTIFS('LANÇAMENTOS DIÁRIOS'!$G$5:$G$500,"G",'LANÇAMENTOS DIÁRIOS'!$C$5:$C$500,$A9,'LANÇAMENTOS DIÁRIOS'!$O$5:$O$500,"&lt;=123379",'LANÇAMENTOS DIÁRIOS'!$P$5:$P$500,"&gt;=123280")&gt;0,"X","")</f>
      </c>
      <c r="BJ9" s="56" t="str">
        <f>IF(COUNTIFS('LANÇAMENTOS DIÁRIOS'!$G$5:$G$500,"G",'LANÇAMENTOS DIÁRIOS'!$C$5:$C$500,$A9,'LANÇAMENTOS DIÁRIOS'!$O$5:$O$500,"&lt;=123479",'LANÇAMENTOS DIÁRIOS'!$P$5:$P$500,"&gt;=123380")&gt;0,"X","")</f>
      </c>
      <c r="BK9" s="56" t="str">
        <f>IF(COUNTIFS('LANÇAMENTOS DIÁRIOS'!$G$5:$G$500,"G",'LANÇAMENTOS DIÁRIOS'!$C$5:$C$500,$A9,'LANÇAMENTOS DIÁRIOS'!$O$5:$O$500,"&lt;=123480",'LANÇAMENTOS DIÁRIOS'!$P$5:$P$500,"&gt;=123480")&gt;0,"X","")</f>
      </c>
    </row>
    <row r="10">
      <c r="A10" s="51" t="str">
        <v>Remoção de bueiro</v>
      </c>
      <c r="B10" s="56" t="str">
        <f>IF(COUNTIFS('LANÇAMENTOS DIÁRIOS'!$G$5:$G$500,"G",'LANÇAMENTOS DIÁRIOS'!$C$5:$C$500,$A10,'LANÇAMENTOS DIÁRIOS'!$O$5:$O$500,"&lt;=117479",'LANÇAMENTOS DIÁRIOS'!$P$5:$P$500,"&gt;=117380")&gt;0,"X","")</f>
      </c>
      <c r="C10" s="56" t="str">
        <f>IF(COUNTIFS('LANÇAMENTOS DIÁRIOS'!$G$5:$G$500,"G",'LANÇAMENTOS DIÁRIOS'!$C$5:$C$500,$A10,'LANÇAMENTOS DIÁRIOS'!$O$5:$O$500,"&lt;=117579",'LANÇAMENTOS DIÁRIOS'!$P$5:$P$500,"&gt;=117480")&gt;0,"X","")</f>
      </c>
      <c r="D10" s="56" t="str">
        <f>IF(COUNTIFS('LANÇAMENTOS DIÁRIOS'!$G$5:$G$500,"G",'LANÇAMENTOS DIÁRIOS'!$C$5:$C$500,$A10,'LANÇAMENTOS DIÁRIOS'!$O$5:$O$500,"&lt;=117679",'LANÇAMENTOS DIÁRIOS'!$P$5:$P$500,"&gt;=117580")&gt;0,"X","")</f>
      </c>
      <c r="E10" s="56" t="str">
        <f>IF(COUNTIFS('LANÇAMENTOS DIÁRIOS'!$G$5:$G$500,"G",'LANÇAMENTOS DIÁRIOS'!$C$5:$C$500,$A10,'LANÇAMENTOS DIÁRIOS'!$O$5:$O$500,"&lt;=117779",'LANÇAMENTOS DIÁRIOS'!$P$5:$P$500,"&gt;=117680")&gt;0,"X","")</f>
      </c>
      <c r="F10" s="56" t="str">
        <f>IF(COUNTIFS('LANÇAMENTOS DIÁRIOS'!$G$5:$G$500,"G",'LANÇAMENTOS DIÁRIOS'!$C$5:$C$500,$A10,'LANÇAMENTOS DIÁRIOS'!$O$5:$O$500,"&lt;=117879",'LANÇAMENTOS DIÁRIOS'!$P$5:$P$500,"&gt;=117780")&gt;0,"X","")</f>
      </c>
      <c r="G10" s="56" t="str">
        <f>IF(COUNTIFS('LANÇAMENTOS DIÁRIOS'!$G$5:$G$500,"G",'LANÇAMENTOS DIÁRIOS'!$C$5:$C$500,$A10,'LANÇAMENTOS DIÁRIOS'!$O$5:$O$500,"&lt;=117979",'LANÇAMENTOS DIÁRIOS'!$P$5:$P$500,"&gt;=117880")&gt;0,"X","")</f>
      </c>
      <c r="H10" s="56" t="str">
        <f>IF(COUNTIFS('LANÇAMENTOS DIÁRIOS'!$G$5:$G$500,"G",'LANÇAMENTOS DIÁRIOS'!$C$5:$C$500,$A10,'LANÇAMENTOS DIÁRIOS'!$O$5:$O$500,"&lt;=118079",'LANÇAMENTOS DIÁRIOS'!$P$5:$P$500,"&gt;=117980")&gt;0,"X","")</f>
      </c>
      <c r="I10" s="56" t="str">
        <f>IF(COUNTIFS('LANÇAMENTOS DIÁRIOS'!$G$5:$G$500,"G",'LANÇAMENTOS DIÁRIOS'!$C$5:$C$500,$A10,'LANÇAMENTOS DIÁRIOS'!$O$5:$O$500,"&lt;=118179",'LANÇAMENTOS DIÁRIOS'!$P$5:$P$500,"&gt;=118080")&gt;0,"X","")</f>
      </c>
      <c r="J10" s="56" t="str">
        <f>IF(COUNTIFS('LANÇAMENTOS DIÁRIOS'!$G$5:$G$500,"G",'LANÇAMENTOS DIÁRIOS'!$C$5:$C$500,$A10,'LANÇAMENTOS DIÁRIOS'!$O$5:$O$500,"&lt;=118279",'LANÇAMENTOS DIÁRIOS'!$P$5:$P$500,"&gt;=118180")&gt;0,"X","")</f>
      </c>
      <c r="K10" s="56" t="str">
        <f>IF(COUNTIFS('LANÇAMENTOS DIÁRIOS'!$G$5:$G$500,"G",'LANÇAMENTOS DIÁRIOS'!$C$5:$C$500,$A10,'LANÇAMENTOS DIÁRIOS'!$O$5:$O$500,"&lt;=118379",'LANÇAMENTOS DIÁRIOS'!$P$5:$P$500,"&gt;=118280")&gt;0,"X","")</f>
      </c>
      <c r="L10" s="56" t="str">
        <f>IF(COUNTIFS('LANÇAMENTOS DIÁRIOS'!$G$5:$G$500,"G",'LANÇAMENTOS DIÁRIOS'!$C$5:$C$500,$A10,'LANÇAMENTOS DIÁRIOS'!$O$5:$O$500,"&lt;=118479",'LANÇAMENTOS DIÁRIOS'!$P$5:$P$500,"&gt;=118380")&gt;0,"X","")</f>
      </c>
      <c r="M10" s="56" t="str">
        <f>IF(COUNTIFS('LANÇAMENTOS DIÁRIOS'!$G$5:$G$500,"G",'LANÇAMENTOS DIÁRIOS'!$C$5:$C$500,$A10,'LANÇAMENTOS DIÁRIOS'!$O$5:$O$500,"&lt;=118579",'LANÇAMENTOS DIÁRIOS'!$P$5:$P$500,"&gt;=118480")&gt;0,"X","")</f>
      </c>
      <c r="N10" s="56" t="str">
        <f>IF(COUNTIFS('LANÇAMENTOS DIÁRIOS'!$G$5:$G$500,"G",'LANÇAMENTOS DIÁRIOS'!$C$5:$C$500,$A10,'LANÇAMENTOS DIÁRIOS'!$O$5:$O$500,"&lt;=118679",'LANÇAMENTOS DIÁRIOS'!$P$5:$P$500,"&gt;=118580")&gt;0,"X","")</f>
      </c>
      <c r="O10" s="56" t="str">
        <f>IF(COUNTIFS('LANÇAMENTOS DIÁRIOS'!$G$5:$G$500,"G",'LANÇAMENTOS DIÁRIOS'!$C$5:$C$500,$A10,'LANÇAMENTOS DIÁRIOS'!$O$5:$O$500,"&lt;=118779",'LANÇAMENTOS DIÁRIOS'!$P$5:$P$500,"&gt;=118680")&gt;0,"X","")</f>
      </c>
      <c r="P10" s="56" t="str">
        <f>IF(COUNTIFS('LANÇAMENTOS DIÁRIOS'!$G$5:$G$500,"G",'LANÇAMENTOS DIÁRIOS'!$C$5:$C$500,$A10,'LANÇAMENTOS DIÁRIOS'!$O$5:$O$500,"&lt;=118879",'LANÇAMENTOS DIÁRIOS'!$P$5:$P$500,"&gt;=118780")&gt;0,"X","")</f>
      </c>
      <c r="Q10" s="56" t="str">
        <f>IF(COUNTIFS('LANÇAMENTOS DIÁRIOS'!$G$5:$G$500,"G",'LANÇAMENTOS DIÁRIOS'!$C$5:$C$500,$A10,'LANÇAMENTOS DIÁRIOS'!$O$5:$O$500,"&lt;=118979",'LANÇAMENTOS DIÁRIOS'!$P$5:$P$500,"&gt;=118880")&gt;0,"X","")</f>
      </c>
      <c r="R10" s="56" t="str">
        <f>IF(COUNTIFS('LANÇAMENTOS DIÁRIOS'!$G$5:$G$500,"G",'LANÇAMENTOS DIÁRIOS'!$C$5:$C$500,$A10,'LANÇAMENTOS DIÁRIOS'!$O$5:$O$500,"&lt;=119079",'LANÇAMENTOS DIÁRIOS'!$P$5:$P$500,"&gt;=118980")&gt;0,"X","")</f>
      </c>
      <c r="S10" s="56" t="str">
        <f>IF(COUNTIFS('LANÇAMENTOS DIÁRIOS'!$G$5:$G$500,"G",'LANÇAMENTOS DIÁRIOS'!$C$5:$C$500,$A10,'LANÇAMENTOS DIÁRIOS'!$O$5:$O$500,"&lt;=119179",'LANÇAMENTOS DIÁRIOS'!$P$5:$P$500,"&gt;=119080")&gt;0,"X","")</f>
      </c>
      <c r="T10" s="56" t="str">
        <f>IF(COUNTIFS('LANÇAMENTOS DIÁRIOS'!$G$5:$G$500,"G",'LANÇAMENTOS DIÁRIOS'!$C$5:$C$500,$A10,'LANÇAMENTOS DIÁRIOS'!$O$5:$O$500,"&lt;=119279",'LANÇAMENTOS DIÁRIOS'!$P$5:$P$500,"&gt;=119180")&gt;0,"X","")</f>
      </c>
      <c r="U10" s="56" t="str">
        <f>IF(COUNTIFS('LANÇAMENTOS DIÁRIOS'!$G$5:$G$500,"G",'LANÇAMENTOS DIÁRIOS'!$C$5:$C$500,$A10,'LANÇAMENTOS DIÁRIOS'!$O$5:$O$500,"&lt;=119379",'LANÇAMENTOS DIÁRIOS'!$P$5:$P$500,"&gt;=119280")&gt;0,"X","")</f>
      </c>
      <c r="V10" s="56" t="str">
        <f>IF(COUNTIFS('LANÇAMENTOS DIÁRIOS'!$G$5:$G$500,"G",'LANÇAMENTOS DIÁRIOS'!$C$5:$C$500,$A10,'LANÇAMENTOS DIÁRIOS'!$O$5:$O$500,"&lt;=119479",'LANÇAMENTOS DIÁRIOS'!$P$5:$P$500,"&gt;=119380")&gt;0,"X","")</f>
      </c>
      <c r="W10" s="56" t="str">
        <f>IF(COUNTIFS('LANÇAMENTOS DIÁRIOS'!$G$5:$G$500,"G",'LANÇAMENTOS DIÁRIOS'!$C$5:$C$500,$A10,'LANÇAMENTOS DIÁRIOS'!$O$5:$O$500,"&lt;=119579",'LANÇAMENTOS DIÁRIOS'!$P$5:$P$500,"&gt;=119480")&gt;0,"X","")</f>
      </c>
      <c r="X10" s="56" t="str">
        <f>IF(COUNTIFS('LANÇAMENTOS DIÁRIOS'!$G$5:$G$500,"G",'LANÇAMENTOS DIÁRIOS'!$C$5:$C$500,$A10,'LANÇAMENTOS DIÁRIOS'!$O$5:$O$500,"&lt;=119679",'LANÇAMENTOS DIÁRIOS'!$P$5:$P$500,"&gt;=119580")&gt;0,"X","")</f>
      </c>
      <c r="Y10" s="56" t="str">
        <f>IF(COUNTIFS('LANÇAMENTOS DIÁRIOS'!$G$5:$G$500,"G",'LANÇAMENTOS DIÁRIOS'!$C$5:$C$500,$A10,'LANÇAMENTOS DIÁRIOS'!$O$5:$O$500,"&lt;=119779",'LANÇAMENTOS DIÁRIOS'!$P$5:$P$500,"&gt;=119680")&gt;0,"X","")</f>
      </c>
      <c r="Z10" s="56" t="str">
        <f>IF(COUNTIFS('LANÇAMENTOS DIÁRIOS'!$G$5:$G$500,"G",'LANÇAMENTOS DIÁRIOS'!$C$5:$C$500,$A10,'LANÇAMENTOS DIÁRIOS'!$O$5:$O$500,"&lt;=119879",'LANÇAMENTOS DIÁRIOS'!$P$5:$P$500,"&gt;=119780")&gt;0,"X","")</f>
      </c>
      <c r="AA10" s="56" t="str">
        <f>IF(COUNTIFS('LANÇAMENTOS DIÁRIOS'!$G$5:$G$500,"G",'LANÇAMENTOS DIÁRIOS'!$C$5:$C$500,$A10,'LANÇAMENTOS DIÁRIOS'!$O$5:$O$500,"&lt;=119979",'LANÇAMENTOS DIÁRIOS'!$P$5:$P$500,"&gt;=119880")&gt;0,"X","")</f>
      </c>
      <c r="AB10" s="56" t="str">
        <f>IF(COUNTIFS('LANÇAMENTOS DIÁRIOS'!$G$5:$G$500,"G",'LANÇAMENTOS DIÁRIOS'!$C$5:$C$500,$A10,'LANÇAMENTOS DIÁRIOS'!$O$5:$O$500,"&lt;=120079",'LANÇAMENTOS DIÁRIOS'!$P$5:$P$500,"&gt;=119980")&gt;0,"X","")</f>
      </c>
      <c r="AC10" s="56" t="str">
        <f>IF(COUNTIFS('LANÇAMENTOS DIÁRIOS'!$G$5:$G$500,"G",'LANÇAMENTOS DIÁRIOS'!$C$5:$C$500,$A10,'LANÇAMENTOS DIÁRIOS'!$O$5:$O$500,"&lt;=120179",'LANÇAMENTOS DIÁRIOS'!$P$5:$P$500,"&gt;=120080")&gt;0,"X","")</f>
      </c>
      <c r="AD10" s="56" t="str">
        <f>IF(COUNTIFS('LANÇAMENTOS DIÁRIOS'!$G$5:$G$500,"G",'LANÇAMENTOS DIÁRIOS'!$C$5:$C$500,$A10,'LANÇAMENTOS DIÁRIOS'!$O$5:$O$500,"&lt;=120279",'LANÇAMENTOS DIÁRIOS'!$P$5:$P$500,"&gt;=120180")&gt;0,"X","")</f>
      </c>
      <c r="AE10" s="56" t="str">
        <f>IF(COUNTIFS('LANÇAMENTOS DIÁRIOS'!$G$5:$G$500,"G",'LANÇAMENTOS DIÁRIOS'!$C$5:$C$500,$A10,'LANÇAMENTOS DIÁRIOS'!$O$5:$O$500,"&lt;=120379",'LANÇAMENTOS DIÁRIOS'!$P$5:$P$500,"&gt;=120280")&gt;0,"X","")</f>
      </c>
      <c r="AF10" s="56" t="str">
        <f>IF(COUNTIFS('LANÇAMENTOS DIÁRIOS'!$G$5:$G$500,"G",'LANÇAMENTOS DIÁRIOS'!$C$5:$C$500,$A10,'LANÇAMENTOS DIÁRIOS'!$O$5:$O$500,"&lt;=120479",'LANÇAMENTOS DIÁRIOS'!$P$5:$P$500,"&gt;=120380")&gt;0,"X","")</f>
      </c>
      <c r="AG10" s="56" t="str">
        <f>IF(COUNTIFS('LANÇAMENTOS DIÁRIOS'!$G$5:$G$500,"G",'LANÇAMENTOS DIÁRIOS'!$C$5:$C$500,$A10,'LANÇAMENTOS DIÁRIOS'!$O$5:$O$500,"&lt;=120579",'LANÇAMENTOS DIÁRIOS'!$P$5:$P$500,"&gt;=120480")&gt;0,"X","")</f>
      </c>
      <c r="AH10" s="56" t="str">
        <f>IF(COUNTIFS('LANÇAMENTOS DIÁRIOS'!$G$5:$G$500,"G",'LANÇAMENTOS DIÁRIOS'!$C$5:$C$500,$A10,'LANÇAMENTOS DIÁRIOS'!$O$5:$O$500,"&lt;=120679",'LANÇAMENTOS DIÁRIOS'!$P$5:$P$500,"&gt;=120580")&gt;0,"X","")</f>
      </c>
      <c r="AI10" s="56" t="str">
        <f>IF(COUNTIFS('LANÇAMENTOS DIÁRIOS'!$G$5:$G$500,"G",'LANÇAMENTOS DIÁRIOS'!$C$5:$C$500,$A10,'LANÇAMENTOS DIÁRIOS'!$O$5:$O$500,"&lt;=120779",'LANÇAMENTOS DIÁRIOS'!$P$5:$P$500,"&gt;=120680")&gt;0,"X","")</f>
      </c>
      <c r="AJ10" s="56" t="str">
        <f>IF(COUNTIFS('LANÇAMENTOS DIÁRIOS'!$G$5:$G$500,"G",'LANÇAMENTOS DIÁRIOS'!$C$5:$C$500,$A10,'LANÇAMENTOS DIÁRIOS'!$O$5:$O$500,"&lt;=120879",'LANÇAMENTOS DIÁRIOS'!$P$5:$P$500,"&gt;=120780")&gt;0,"X","")</f>
      </c>
      <c r="AK10" s="56" t="str">
        <f>IF(COUNTIFS('LANÇAMENTOS DIÁRIOS'!$G$5:$G$500,"G",'LANÇAMENTOS DIÁRIOS'!$C$5:$C$500,$A10,'LANÇAMENTOS DIÁRIOS'!$O$5:$O$500,"&lt;=120979",'LANÇAMENTOS DIÁRIOS'!$P$5:$P$500,"&gt;=120880")&gt;0,"X","")</f>
      </c>
      <c r="AL10" s="56" t="str">
        <f>IF(COUNTIFS('LANÇAMENTOS DIÁRIOS'!$G$5:$G$500,"G",'LANÇAMENTOS DIÁRIOS'!$C$5:$C$500,$A10,'LANÇAMENTOS DIÁRIOS'!$O$5:$O$500,"&lt;=121079",'LANÇAMENTOS DIÁRIOS'!$P$5:$P$500,"&gt;=120980")&gt;0,"X","")</f>
      </c>
      <c r="AM10" s="56" t="str">
        <f>IF(COUNTIFS('LANÇAMENTOS DIÁRIOS'!$G$5:$G$500,"G",'LANÇAMENTOS DIÁRIOS'!$C$5:$C$500,$A10,'LANÇAMENTOS DIÁRIOS'!$O$5:$O$500,"&lt;=121179",'LANÇAMENTOS DIÁRIOS'!$P$5:$P$500,"&gt;=121080")&gt;0,"X","")</f>
      </c>
      <c r="AN10" s="56" t="str">
        <f>IF(COUNTIFS('LANÇAMENTOS DIÁRIOS'!$G$5:$G$500,"G",'LANÇAMENTOS DIÁRIOS'!$C$5:$C$500,$A10,'LANÇAMENTOS DIÁRIOS'!$O$5:$O$500,"&lt;=121279",'LANÇAMENTOS DIÁRIOS'!$P$5:$P$500,"&gt;=121180")&gt;0,"X","")</f>
      </c>
      <c r="AO10" s="56" t="str">
        <f>IF(COUNTIFS('LANÇAMENTOS DIÁRIOS'!$G$5:$G$500,"G",'LANÇAMENTOS DIÁRIOS'!$C$5:$C$500,$A10,'LANÇAMENTOS DIÁRIOS'!$O$5:$O$500,"&lt;=121379",'LANÇAMENTOS DIÁRIOS'!$P$5:$P$500,"&gt;=121280")&gt;0,"X","")</f>
      </c>
      <c r="AP10" s="56" t="str">
        <f>IF(COUNTIFS('LANÇAMENTOS DIÁRIOS'!$G$5:$G$500,"G",'LANÇAMENTOS DIÁRIOS'!$C$5:$C$500,$A10,'LANÇAMENTOS DIÁRIOS'!$O$5:$O$500,"&lt;=121479",'LANÇAMENTOS DIÁRIOS'!$P$5:$P$500,"&gt;=121380")&gt;0,"X","")</f>
      </c>
      <c r="AQ10" s="56" t="str">
        <f>IF(COUNTIFS('LANÇAMENTOS DIÁRIOS'!$G$5:$G$500,"G",'LANÇAMENTOS DIÁRIOS'!$C$5:$C$500,$A10,'LANÇAMENTOS DIÁRIOS'!$O$5:$O$500,"&lt;=121579",'LANÇAMENTOS DIÁRIOS'!$P$5:$P$500,"&gt;=121480")&gt;0,"X","")</f>
      </c>
      <c r="AR10" s="56" t="str">
        <f>IF(COUNTIFS('LANÇAMENTOS DIÁRIOS'!$G$5:$G$500,"G",'LANÇAMENTOS DIÁRIOS'!$C$5:$C$500,$A10,'LANÇAMENTOS DIÁRIOS'!$O$5:$O$500,"&lt;=121679",'LANÇAMENTOS DIÁRIOS'!$P$5:$P$500,"&gt;=121580")&gt;0,"X","")</f>
      </c>
      <c r="AS10" s="56" t="str">
        <f>IF(COUNTIFS('LANÇAMENTOS DIÁRIOS'!$G$5:$G$500,"G",'LANÇAMENTOS DIÁRIOS'!$C$5:$C$500,$A10,'LANÇAMENTOS DIÁRIOS'!$O$5:$O$500,"&lt;=121779",'LANÇAMENTOS DIÁRIOS'!$P$5:$P$500,"&gt;=121680")&gt;0,"X","")</f>
      </c>
      <c r="AT10" s="56" t="str">
        <f>IF(COUNTIFS('LANÇAMENTOS DIÁRIOS'!$G$5:$G$500,"G",'LANÇAMENTOS DIÁRIOS'!$C$5:$C$500,$A10,'LANÇAMENTOS DIÁRIOS'!$O$5:$O$500,"&lt;=121879",'LANÇAMENTOS DIÁRIOS'!$P$5:$P$500,"&gt;=121780")&gt;0,"X","")</f>
      </c>
      <c r="AU10" s="56" t="str">
        <f>IF(COUNTIFS('LANÇAMENTOS DIÁRIOS'!$G$5:$G$500,"G",'LANÇAMENTOS DIÁRIOS'!$C$5:$C$500,$A10,'LANÇAMENTOS DIÁRIOS'!$O$5:$O$500,"&lt;=121979",'LANÇAMENTOS DIÁRIOS'!$P$5:$P$500,"&gt;=121880")&gt;0,"X","")</f>
      </c>
      <c r="AV10" s="56" t="str">
        <f>IF(COUNTIFS('LANÇAMENTOS DIÁRIOS'!$G$5:$G$500,"G",'LANÇAMENTOS DIÁRIOS'!$C$5:$C$500,$A10,'LANÇAMENTOS DIÁRIOS'!$O$5:$O$500,"&lt;=122079",'LANÇAMENTOS DIÁRIOS'!$P$5:$P$500,"&gt;=121980")&gt;0,"X","")</f>
      </c>
      <c r="AW10" s="56" t="str">
        <f>IF(COUNTIFS('LANÇAMENTOS DIÁRIOS'!$G$5:$G$500,"G",'LANÇAMENTOS DIÁRIOS'!$C$5:$C$500,$A10,'LANÇAMENTOS DIÁRIOS'!$O$5:$O$500,"&lt;=122179",'LANÇAMENTOS DIÁRIOS'!$P$5:$P$500,"&gt;=122080")&gt;0,"X","")</f>
      </c>
      <c r="AX10" s="56" t="str">
        <f>IF(COUNTIFS('LANÇAMENTOS DIÁRIOS'!$G$5:$G$500,"G",'LANÇAMENTOS DIÁRIOS'!$C$5:$C$500,$A10,'LANÇAMENTOS DIÁRIOS'!$O$5:$O$500,"&lt;=122279",'LANÇAMENTOS DIÁRIOS'!$P$5:$P$500,"&gt;=122180")&gt;0,"X","")</f>
      </c>
      <c r="AY10" s="56" t="str">
        <f>IF(COUNTIFS('LANÇAMENTOS DIÁRIOS'!$G$5:$G$500,"G",'LANÇAMENTOS DIÁRIOS'!$C$5:$C$500,$A10,'LANÇAMENTOS DIÁRIOS'!$O$5:$O$500,"&lt;=122379",'LANÇAMENTOS DIÁRIOS'!$P$5:$P$500,"&gt;=122280")&gt;0,"X","")</f>
      </c>
      <c r="AZ10" s="56" t="str">
        <f>IF(COUNTIFS('LANÇAMENTOS DIÁRIOS'!$G$5:$G$500,"G",'LANÇAMENTOS DIÁRIOS'!$C$5:$C$500,$A10,'LANÇAMENTOS DIÁRIOS'!$O$5:$O$500,"&lt;=122479",'LANÇAMENTOS DIÁRIOS'!$P$5:$P$500,"&gt;=122380")&gt;0,"X","")</f>
      </c>
      <c r="BA10" s="56" t="str">
        <f>IF(COUNTIFS('LANÇAMENTOS DIÁRIOS'!$G$5:$G$500,"G",'LANÇAMENTOS DIÁRIOS'!$C$5:$C$500,$A10,'LANÇAMENTOS DIÁRIOS'!$O$5:$O$500,"&lt;=122579",'LANÇAMENTOS DIÁRIOS'!$P$5:$P$500,"&gt;=122480")&gt;0,"X","")</f>
      </c>
      <c r="BB10" s="56" t="str">
        <f>IF(COUNTIFS('LANÇAMENTOS DIÁRIOS'!$G$5:$G$500,"G",'LANÇAMENTOS DIÁRIOS'!$C$5:$C$500,$A10,'LANÇAMENTOS DIÁRIOS'!$O$5:$O$500,"&lt;=122679",'LANÇAMENTOS DIÁRIOS'!$P$5:$P$500,"&gt;=122580")&gt;0,"X","")</f>
      </c>
      <c r="BC10" s="56" t="str">
        <f>IF(COUNTIFS('LANÇAMENTOS DIÁRIOS'!$G$5:$G$500,"G",'LANÇAMENTOS DIÁRIOS'!$C$5:$C$500,$A10,'LANÇAMENTOS DIÁRIOS'!$O$5:$O$500,"&lt;=122779",'LANÇAMENTOS DIÁRIOS'!$P$5:$P$500,"&gt;=122680")&gt;0,"X","")</f>
      </c>
      <c r="BD10" s="56" t="str">
        <f>IF(COUNTIFS('LANÇAMENTOS DIÁRIOS'!$G$5:$G$500,"G",'LANÇAMENTOS DIÁRIOS'!$C$5:$C$500,$A10,'LANÇAMENTOS DIÁRIOS'!$O$5:$O$500,"&lt;=122879",'LANÇAMENTOS DIÁRIOS'!$P$5:$P$500,"&gt;=122780")&gt;0,"X","")</f>
      </c>
      <c r="BE10" s="56" t="str">
        <f>IF(COUNTIFS('LANÇAMENTOS DIÁRIOS'!$G$5:$G$500,"G",'LANÇAMENTOS DIÁRIOS'!$C$5:$C$500,$A10,'LANÇAMENTOS DIÁRIOS'!$O$5:$O$500,"&lt;=122979",'LANÇAMENTOS DIÁRIOS'!$P$5:$P$500,"&gt;=122880")&gt;0,"X","")</f>
      </c>
      <c r="BF10" s="56" t="str">
        <f>IF(COUNTIFS('LANÇAMENTOS DIÁRIOS'!$G$5:$G$500,"G",'LANÇAMENTOS DIÁRIOS'!$C$5:$C$500,$A10,'LANÇAMENTOS DIÁRIOS'!$O$5:$O$500,"&lt;=123079",'LANÇAMENTOS DIÁRIOS'!$P$5:$P$500,"&gt;=122980")&gt;0,"X","")</f>
      </c>
      <c r="BG10" s="56" t="str">
        <f>IF(COUNTIFS('LANÇAMENTOS DIÁRIOS'!$G$5:$G$500,"G",'LANÇAMENTOS DIÁRIOS'!$C$5:$C$500,$A10,'LANÇAMENTOS DIÁRIOS'!$O$5:$O$500,"&lt;=123179",'LANÇAMENTOS DIÁRIOS'!$P$5:$P$500,"&gt;=123080")&gt;0,"X","")</f>
      </c>
      <c r="BH10" s="56" t="str">
        <f>IF(COUNTIFS('LANÇAMENTOS DIÁRIOS'!$G$5:$G$500,"G",'LANÇAMENTOS DIÁRIOS'!$C$5:$C$500,$A10,'LANÇAMENTOS DIÁRIOS'!$O$5:$O$500,"&lt;=123279",'LANÇAMENTOS DIÁRIOS'!$P$5:$P$500,"&gt;=123180")&gt;0,"X","")</f>
      </c>
      <c r="BI10" s="56" t="str">
        <f>IF(COUNTIFS('LANÇAMENTOS DIÁRIOS'!$G$5:$G$500,"G",'LANÇAMENTOS DIÁRIOS'!$C$5:$C$500,$A10,'LANÇAMENTOS DIÁRIOS'!$O$5:$O$500,"&lt;=123379",'LANÇAMENTOS DIÁRIOS'!$P$5:$P$500,"&gt;=123280")&gt;0,"X","")</f>
      </c>
      <c r="BJ10" s="56" t="str">
        <f>IF(COUNTIFS('LANÇAMENTOS DIÁRIOS'!$G$5:$G$500,"G",'LANÇAMENTOS DIÁRIOS'!$C$5:$C$500,$A10,'LANÇAMENTOS DIÁRIOS'!$O$5:$O$500,"&lt;=123479",'LANÇAMENTOS DIÁRIOS'!$P$5:$P$500,"&gt;=123380")&gt;0,"X","")</f>
      </c>
      <c r="BK10" s="56" t="str">
        <f>IF(COUNTIFS('LANÇAMENTOS DIÁRIOS'!$G$5:$G$500,"G",'LANÇAMENTOS DIÁRIOS'!$C$5:$C$500,$A10,'LANÇAMENTOS DIÁRIOS'!$O$5:$O$500,"&lt;=123480",'LANÇAMENTOS DIÁRIOS'!$P$5:$P$500,"&gt;=123480")&gt;0,"X","")</f>
      </c>
    </row>
    <row r="11">
      <c r="A11" s="51" t="str">
        <v>Demolição de dispositivos de concreto armado</v>
      </c>
      <c r="B11" s="56" t="str">
        <f>IF(COUNTIFS('LANÇAMENTOS DIÁRIOS'!$G$5:$G$500,"G",'LANÇAMENTOS DIÁRIOS'!$C$5:$C$500,$A11,'LANÇAMENTOS DIÁRIOS'!$O$5:$O$500,"&lt;=117479",'LANÇAMENTOS DIÁRIOS'!$P$5:$P$500,"&gt;=117380")&gt;0,"X","")</f>
      </c>
      <c r="C11" s="56" t="str">
        <f>IF(COUNTIFS('LANÇAMENTOS DIÁRIOS'!$G$5:$G$500,"G",'LANÇAMENTOS DIÁRIOS'!$C$5:$C$500,$A11,'LANÇAMENTOS DIÁRIOS'!$O$5:$O$500,"&lt;=117579",'LANÇAMENTOS DIÁRIOS'!$P$5:$P$500,"&gt;=117480")&gt;0,"X","")</f>
      </c>
      <c r="D11" s="56" t="str">
        <f>IF(COUNTIFS('LANÇAMENTOS DIÁRIOS'!$G$5:$G$500,"G",'LANÇAMENTOS DIÁRIOS'!$C$5:$C$500,$A11,'LANÇAMENTOS DIÁRIOS'!$O$5:$O$500,"&lt;=117679",'LANÇAMENTOS DIÁRIOS'!$P$5:$P$500,"&gt;=117580")&gt;0,"X","")</f>
      </c>
      <c r="E11" s="56" t="str">
        <f>IF(COUNTIFS('LANÇAMENTOS DIÁRIOS'!$G$5:$G$500,"G",'LANÇAMENTOS DIÁRIOS'!$C$5:$C$500,$A11,'LANÇAMENTOS DIÁRIOS'!$O$5:$O$500,"&lt;=117779",'LANÇAMENTOS DIÁRIOS'!$P$5:$P$500,"&gt;=117680")&gt;0,"X","")</f>
      </c>
      <c r="F11" s="56" t="str">
        <f>IF(COUNTIFS('LANÇAMENTOS DIÁRIOS'!$G$5:$G$500,"G",'LANÇAMENTOS DIÁRIOS'!$C$5:$C$500,$A11,'LANÇAMENTOS DIÁRIOS'!$O$5:$O$500,"&lt;=117879",'LANÇAMENTOS DIÁRIOS'!$P$5:$P$500,"&gt;=117780")&gt;0,"X","")</f>
      </c>
      <c r="G11" s="56" t="str">
        <f>IF(COUNTIFS('LANÇAMENTOS DIÁRIOS'!$G$5:$G$500,"G",'LANÇAMENTOS DIÁRIOS'!$C$5:$C$500,$A11,'LANÇAMENTOS DIÁRIOS'!$O$5:$O$500,"&lt;=117979",'LANÇAMENTOS DIÁRIOS'!$P$5:$P$500,"&gt;=117880")&gt;0,"X","")</f>
      </c>
      <c r="H11" s="56" t="str">
        <f>IF(COUNTIFS('LANÇAMENTOS DIÁRIOS'!$G$5:$G$500,"G",'LANÇAMENTOS DIÁRIOS'!$C$5:$C$500,$A11,'LANÇAMENTOS DIÁRIOS'!$O$5:$O$500,"&lt;=118079",'LANÇAMENTOS DIÁRIOS'!$P$5:$P$500,"&gt;=117980")&gt;0,"X","")</f>
      </c>
      <c r="I11" s="56" t="str">
        <f>IF(COUNTIFS('LANÇAMENTOS DIÁRIOS'!$G$5:$G$500,"G",'LANÇAMENTOS DIÁRIOS'!$C$5:$C$500,$A11,'LANÇAMENTOS DIÁRIOS'!$O$5:$O$500,"&lt;=118179",'LANÇAMENTOS DIÁRIOS'!$P$5:$P$500,"&gt;=118080")&gt;0,"X","")</f>
      </c>
      <c r="J11" s="56" t="str">
        <f>IF(COUNTIFS('LANÇAMENTOS DIÁRIOS'!$G$5:$G$500,"G",'LANÇAMENTOS DIÁRIOS'!$C$5:$C$500,$A11,'LANÇAMENTOS DIÁRIOS'!$O$5:$O$500,"&lt;=118279",'LANÇAMENTOS DIÁRIOS'!$P$5:$P$500,"&gt;=118180")&gt;0,"X","")</f>
      </c>
      <c r="K11" s="56" t="str">
        <f>IF(COUNTIFS('LANÇAMENTOS DIÁRIOS'!$G$5:$G$500,"G",'LANÇAMENTOS DIÁRIOS'!$C$5:$C$500,$A11,'LANÇAMENTOS DIÁRIOS'!$O$5:$O$500,"&lt;=118379",'LANÇAMENTOS DIÁRIOS'!$P$5:$P$500,"&gt;=118280")&gt;0,"X","")</f>
      </c>
      <c r="L11" s="56" t="str">
        <f>IF(COUNTIFS('LANÇAMENTOS DIÁRIOS'!$G$5:$G$500,"G",'LANÇAMENTOS DIÁRIOS'!$C$5:$C$500,$A11,'LANÇAMENTOS DIÁRIOS'!$O$5:$O$500,"&lt;=118479",'LANÇAMENTOS DIÁRIOS'!$P$5:$P$500,"&gt;=118380")&gt;0,"X","")</f>
      </c>
      <c r="M11" s="56" t="str">
        <f>IF(COUNTIFS('LANÇAMENTOS DIÁRIOS'!$G$5:$G$500,"G",'LANÇAMENTOS DIÁRIOS'!$C$5:$C$500,$A11,'LANÇAMENTOS DIÁRIOS'!$O$5:$O$500,"&lt;=118579",'LANÇAMENTOS DIÁRIOS'!$P$5:$P$500,"&gt;=118480")&gt;0,"X","")</f>
      </c>
      <c r="N11" s="56" t="str">
        <f>IF(COUNTIFS('LANÇAMENTOS DIÁRIOS'!$G$5:$G$500,"G",'LANÇAMENTOS DIÁRIOS'!$C$5:$C$500,$A11,'LANÇAMENTOS DIÁRIOS'!$O$5:$O$500,"&lt;=118679",'LANÇAMENTOS DIÁRIOS'!$P$5:$P$500,"&gt;=118580")&gt;0,"X","")</f>
      </c>
      <c r="O11" s="56" t="str">
        <f>IF(COUNTIFS('LANÇAMENTOS DIÁRIOS'!$G$5:$G$500,"G",'LANÇAMENTOS DIÁRIOS'!$C$5:$C$500,$A11,'LANÇAMENTOS DIÁRIOS'!$O$5:$O$500,"&lt;=118779",'LANÇAMENTOS DIÁRIOS'!$P$5:$P$500,"&gt;=118680")&gt;0,"X","")</f>
      </c>
      <c r="P11" s="56" t="str">
        <f>IF(COUNTIFS('LANÇAMENTOS DIÁRIOS'!$G$5:$G$500,"G",'LANÇAMENTOS DIÁRIOS'!$C$5:$C$500,$A11,'LANÇAMENTOS DIÁRIOS'!$O$5:$O$500,"&lt;=118879",'LANÇAMENTOS DIÁRIOS'!$P$5:$P$500,"&gt;=118780")&gt;0,"X","")</f>
      </c>
      <c r="Q11" s="56" t="str">
        <f>IF(COUNTIFS('LANÇAMENTOS DIÁRIOS'!$G$5:$G$500,"G",'LANÇAMENTOS DIÁRIOS'!$C$5:$C$500,$A11,'LANÇAMENTOS DIÁRIOS'!$O$5:$O$500,"&lt;=118979",'LANÇAMENTOS DIÁRIOS'!$P$5:$P$500,"&gt;=118880")&gt;0,"X","")</f>
      </c>
      <c r="R11" s="56" t="str">
        <f>IF(COUNTIFS('LANÇAMENTOS DIÁRIOS'!$G$5:$G$500,"G",'LANÇAMENTOS DIÁRIOS'!$C$5:$C$500,$A11,'LANÇAMENTOS DIÁRIOS'!$O$5:$O$500,"&lt;=119079",'LANÇAMENTOS DIÁRIOS'!$P$5:$P$500,"&gt;=118980")&gt;0,"X","")</f>
      </c>
      <c r="S11" s="56" t="str">
        <f>IF(COUNTIFS('LANÇAMENTOS DIÁRIOS'!$G$5:$G$500,"G",'LANÇAMENTOS DIÁRIOS'!$C$5:$C$500,$A11,'LANÇAMENTOS DIÁRIOS'!$O$5:$O$500,"&lt;=119179",'LANÇAMENTOS DIÁRIOS'!$P$5:$P$500,"&gt;=119080")&gt;0,"X","")</f>
      </c>
      <c r="T11" s="56" t="str">
        <f>IF(COUNTIFS('LANÇAMENTOS DIÁRIOS'!$G$5:$G$500,"G",'LANÇAMENTOS DIÁRIOS'!$C$5:$C$500,$A11,'LANÇAMENTOS DIÁRIOS'!$O$5:$O$500,"&lt;=119279",'LANÇAMENTOS DIÁRIOS'!$P$5:$P$500,"&gt;=119180")&gt;0,"X","")</f>
      </c>
      <c r="U11" s="56" t="str">
        <f>IF(COUNTIFS('LANÇAMENTOS DIÁRIOS'!$G$5:$G$500,"G",'LANÇAMENTOS DIÁRIOS'!$C$5:$C$500,$A11,'LANÇAMENTOS DIÁRIOS'!$O$5:$O$500,"&lt;=119379",'LANÇAMENTOS DIÁRIOS'!$P$5:$P$500,"&gt;=119280")&gt;0,"X","")</f>
      </c>
      <c r="V11" s="56" t="str">
        <f>IF(COUNTIFS('LANÇAMENTOS DIÁRIOS'!$G$5:$G$500,"G",'LANÇAMENTOS DIÁRIOS'!$C$5:$C$500,$A11,'LANÇAMENTOS DIÁRIOS'!$O$5:$O$500,"&lt;=119479",'LANÇAMENTOS DIÁRIOS'!$P$5:$P$500,"&gt;=119380")&gt;0,"X","")</f>
      </c>
      <c r="W11" s="56" t="str">
        <f>IF(COUNTIFS('LANÇAMENTOS DIÁRIOS'!$G$5:$G$500,"G",'LANÇAMENTOS DIÁRIOS'!$C$5:$C$500,$A11,'LANÇAMENTOS DIÁRIOS'!$O$5:$O$500,"&lt;=119579",'LANÇAMENTOS DIÁRIOS'!$P$5:$P$500,"&gt;=119480")&gt;0,"X","")</f>
      </c>
      <c r="X11" s="56" t="str">
        <f>IF(COUNTIFS('LANÇAMENTOS DIÁRIOS'!$G$5:$G$500,"G",'LANÇAMENTOS DIÁRIOS'!$C$5:$C$500,$A11,'LANÇAMENTOS DIÁRIOS'!$O$5:$O$500,"&lt;=119679",'LANÇAMENTOS DIÁRIOS'!$P$5:$P$500,"&gt;=119580")&gt;0,"X","")</f>
      </c>
      <c r="Y11" s="56" t="str">
        <f>IF(COUNTIFS('LANÇAMENTOS DIÁRIOS'!$G$5:$G$500,"G",'LANÇAMENTOS DIÁRIOS'!$C$5:$C$500,$A11,'LANÇAMENTOS DIÁRIOS'!$O$5:$O$500,"&lt;=119779",'LANÇAMENTOS DIÁRIOS'!$P$5:$P$500,"&gt;=119680")&gt;0,"X","")</f>
      </c>
      <c r="Z11" s="56" t="str">
        <f>IF(COUNTIFS('LANÇAMENTOS DIÁRIOS'!$G$5:$G$500,"G",'LANÇAMENTOS DIÁRIOS'!$C$5:$C$500,$A11,'LANÇAMENTOS DIÁRIOS'!$O$5:$O$500,"&lt;=119879",'LANÇAMENTOS DIÁRIOS'!$P$5:$P$500,"&gt;=119780")&gt;0,"X","")</f>
      </c>
      <c r="AA11" s="56" t="str">
        <f>IF(COUNTIFS('LANÇAMENTOS DIÁRIOS'!$G$5:$G$500,"G",'LANÇAMENTOS DIÁRIOS'!$C$5:$C$500,$A11,'LANÇAMENTOS DIÁRIOS'!$O$5:$O$500,"&lt;=119979",'LANÇAMENTOS DIÁRIOS'!$P$5:$P$500,"&gt;=119880")&gt;0,"X","")</f>
      </c>
      <c r="AB11" s="56" t="str">
        <f>IF(COUNTIFS('LANÇAMENTOS DIÁRIOS'!$G$5:$G$500,"G",'LANÇAMENTOS DIÁRIOS'!$C$5:$C$500,$A11,'LANÇAMENTOS DIÁRIOS'!$O$5:$O$500,"&lt;=120079",'LANÇAMENTOS DIÁRIOS'!$P$5:$P$500,"&gt;=119980")&gt;0,"X","")</f>
      </c>
      <c r="AC11" s="56" t="str">
        <f>IF(COUNTIFS('LANÇAMENTOS DIÁRIOS'!$G$5:$G$500,"G",'LANÇAMENTOS DIÁRIOS'!$C$5:$C$500,$A11,'LANÇAMENTOS DIÁRIOS'!$O$5:$O$500,"&lt;=120179",'LANÇAMENTOS DIÁRIOS'!$P$5:$P$500,"&gt;=120080")&gt;0,"X","")</f>
      </c>
      <c r="AD11" s="56" t="str">
        <f>IF(COUNTIFS('LANÇAMENTOS DIÁRIOS'!$G$5:$G$500,"G",'LANÇAMENTOS DIÁRIOS'!$C$5:$C$500,$A11,'LANÇAMENTOS DIÁRIOS'!$O$5:$O$500,"&lt;=120279",'LANÇAMENTOS DIÁRIOS'!$P$5:$P$500,"&gt;=120180")&gt;0,"X","")</f>
      </c>
      <c r="AE11" s="56" t="str">
        <f>IF(COUNTIFS('LANÇAMENTOS DIÁRIOS'!$G$5:$G$500,"G",'LANÇAMENTOS DIÁRIOS'!$C$5:$C$500,$A11,'LANÇAMENTOS DIÁRIOS'!$O$5:$O$500,"&lt;=120379",'LANÇAMENTOS DIÁRIOS'!$P$5:$P$500,"&gt;=120280")&gt;0,"X","")</f>
      </c>
      <c r="AF11" s="56" t="str">
        <f>IF(COUNTIFS('LANÇAMENTOS DIÁRIOS'!$G$5:$G$500,"G",'LANÇAMENTOS DIÁRIOS'!$C$5:$C$500,$A11,'LANÇAMENTOS DIÁRIOS'!$O$5:$O$500,"&lt;=120479",'LANÇAMENTOS DIÁRIOS'!$P$5:$P$500,"&gt;=120380")&gt;0,"X","")</f>
      </c>
      <c r="AG11" s="56" t="str">
        <f>IF(COUNTIFS('LANÇAMENTOS DIÁRIOS'!$G$5:$G$500,"G",'LANÇAMENTOS DIÁRIOS'!$C$5:$C$500,$A11,'LANÇAMENTOS DIÁRIOS'!$O$5:$O$500,"&lt;=120579",'LANÇAMENTOS DIÁRIOS'!$P$5:$P$500,"&gt;=120480")&gt;0,"X","")</f>
      </c>
      <c r="AH11" s="56" t="str">
        <f>IF(COUNTIFS('LANÇAMENTOS DIÁRIOS'!$G$5:$G$500,"G",'LANÇAMENTOS DIÁRIOS'!$C$5:$C$500,$A11,'LANÇAMENTOS DIÁRIOS'!$O$5:$O$500,"&lt;=120679",'LANÇAMENTOS DIÁRIOS'!$P$5:$P$500,"&gt;=120580")&gt;0,"X","")</f>
      </c>
      <c r="AI11" s="56" t="str">
        <f>IF(COUNTIFS('LANÇAMENTOS DIÁRIOS'!$G$5:$G$500,"G",'LANÇAMENTOS DIÁRIOS'!$C$5:$C$500,$A11,'LANÇAMENTOS DIÁRIOS'!$O$5:$O$500,"&lt;=120779",'LANÇAMENTOS DIÁRIOS'!$P$5:$P$500,"&gt;=120680")&gt;0,"X","")</f>
      </c>
      <c r="AJ11" s="56" t="str">
        <f>IF(COUNTIFS('LANÇAMENTOS DIÁRIOS'!$G$5:$G$500,"G",'LANÇAMENTOS DIÁRIOS'!$C$5:$C$500,$A11,'LANÇAMENTOS DIÁRIOS'!$O$5:$O$500,"&lt;=120879",'LANÇAMENTOS DIÁRIOS'!$P$5:$P$500,"&gt;=120780")&gt;0,"X","")</f>
      </c>
      <c r="AK11" s="56" t="str">
        <f>IF(COUNTIFS('LANÇAMENTOS DIÁRIOS'!$G$5:$G$500,"G",'LANÇAMENTOS DIÁRIOS'!$C$5:$C$500,$A11,'LANÇAMENTOS DIÁRIOS'!$O$5:$O$500,"&lt;=120979",'LANÇAMENTOS DIÁRIOS'!$P$5:$P$500,"&gt;=120880")&gt;0,"X","")</f>
      </c>
      <c r="AL11" s="56" t="str">
        <f>IF(COUNTIFS('LANÇAMENTOS DIÁRIOS'!$G$5:$G$500,"G",'LANÇAMENTOS DIÁRIOS'!$C$5:$C$500,$A11,'LANÇAMENTOS DIÁRIOS'!$O$5:$O$500,"&lt;=121079",'LANÇAMENTOS DIÁRIOS'!$P$5:$P$500,"&gt;=120980")&gt;0,"X","")</f>
      </c>
      <c r="AM11" s="56" t="str">
        <f>IF(COUNTIFS('LANÇAMENTOS DIÁRIOS'!$G$5:$G$500,"G",'LANÇAMENTOS DIÁRIOS'!$C$5:$C$500,$A11,'LANÇAMENTOS DIÁRIOS'!$O$5:$O$500,"&lt;=121179",'LANÇAMENTOS DIÁRIOS'!$P$5:$P$500,"&gt;=121080")&gt;0,"X","")</f>
      </c>
      <c r="AN11" s="56" t="str">
        <f>IF(COUNTIFS('LANÇAMENTOS DIÁRIOS'!$G$5:$G$500,"G",'LANÇAMENTOS DIÁRIOS'!$C$5:$C$500,$A11,'LANÇAMENTOS DIÁRIOS'!$O$5:$O$500,"&lt;=121279",'LANÇAMENTOS DIÁRIOS'!$P$5:$P$500,"&gt;=121180")&gt;0,"X","")</f>
      </c>
      <c r="AO11" s="56" t="str">
        <f>IF(COUNTIFS('LANÇAMENTOS DIÁRIOS'!$G$5:$G$500,"G",'LANÇAMENTOS DIÁRIOS'!$C$5:$C$500,$A11,'LANÇAMENTOS DIÁRIOS'!$O$5:$O$500,"&lt;=121379",'LANÇAMENTOS DIÁRIOS'!$P$5:$P$500,"&gt;=121280")&gt;0,"X","")</f>
      </c>
      <c r="AP11" s="56" t="str">
        <f>IF(COUNTIFS('LANÇAMENTOS DIÁRIOS'!$G$5:$G$500,"G",'LANÇAMENTOS DIÁRIOS'!$C$5:$C$500,$A11,'LANÇAMENTOS DIÁRIOS'!$O$5:$O$500,"&lt;=121479",'LANÇAMENTOS DIÁRIOS'!$P$5:$P$500,"&gt;=121380")&gt;0,"X","")</f>
      </c>
      <c r="AQ11" s="56" t="str">
        <f>IF(COUNTIFS('LANÇAMENTOS DIÁRIOS'!$G$5:$G$500,"G",'LANÇAMENTOS DIÁRIOS'!$C$5:$C$500,$A11,'LANÇAMENTOS DIÁRIOS'!$O$5:$O$500,"&lt;=121579",'LANÇAMENTOS DIÁRIOS'!$P$5:$P$500,"&gt;=121480")&gt;0,"X","")</f>
      </c>
      <c r="AR11" s="56" t="str">
        <f>IF(COUNTIFS('LANÇAMENTOS DIÁRIOS'!$G$5:$G$500,"G",'LANÇAMENTOS DIÁRIOS'!$C$5:$C$500,$A11,'LANÇAMENTOS DIÁRIOS'!$O$5:$O$500,"&lt;=121679",'LANÇAMENTOS DIÁRIOS'!$P$5:$P$500,"&gt;=121580")&gt;0,"X","")</f>
      </c>
      <c r="AS11" s="56" t="str">
        <f>IF(COUNTIFS('LANÇAMENTOS DIÁRIOS'!$G$5:$G$500,"G",'LANÇAMENTOS DIÁRIOS'!$C$5:$C$500,$A11,'LANÇAMENTOS DIÁRIOS'!$O$5:$O$500,"&lt;=121779",'LANÇAMENTOS DIÁRIOS'!$P$5:$P$500,"&gt;=121680")&gt;0,"X","")</f>
      </c>
      <c r="AT11" s="56" t="str">
        <f>IF(COUNTIFS('LANÇAMENTOS DIÁRIOS'!$G$5:$G$500,"G",'LANÇAMENTOS DIÁRIOS'!$C$5:$C$500,$A11,'LANÇAMENTOS DIÁRIOS'!$O$5:$O$500,"&lt;=121879",'LANÇAMENTOS DIÁRIOS'!$P$5:$P$500,"&gt;=121780")&gt;0,"X","")</f>
      </c>
      <c r="AU11" s="56" t="str">
        <f>IF(COUNTIFS('LANÇAMENTOS DIÁRIOS'!$G$5:$G$500,"G",'LANÇAMENTOS DIÁRIOS'!$C$5:$C$500,$A11,'LANÇAMENTOS DIÁRIOS'!$O$5:$O$500,"&lt;=121979",'LANÇAMENTOS DIÁRIOS'!$P$5:$P$500,"&gt;=121880")&gt;0,"X","")</f>
      </c>
      <c r="AV11" s="56" t="str">
        <f>IF(COUNTIFS('LANÇAMENTOS DIÁRIOS'!$G$5:$G$500,"G",'LANÇAMENTOS DIÁRIOS'!$C$5:$C$500,$A11,'LANÇAMENTOS DIÁRIOS'!$O$5:$O$500,"&lt;=122079",'LANÇAMENTOS DIÁRIOS'!$P$5:$P$500,"&gt;=121980")&gt;0,"X","")</f>
      </c>
      <c r="AW11" s="56" t="str">
        <f>IF(COUNTIFS('LANÇAMENTOS DIÁRIOS'!$G$5:$G$500,"G",'LANÇAMENTOS DIÁRIOS'!$C$5:$C$500,$A11,'LANÇAMENTOS DIÁRIOS'!$O$5:$O$500,"&lt;=122179",'LANÇAMENTOS DIÁRIOS'!$P$5:$P$500,"&gt;=122080")&gt;0,"X","")</f>
      </c>
      <c r="AX11" s="56" t="str">
        <f>IF(COUNTIFS('LANÇAMENTOS DIÁRIOS'!$G$5:$G$500,"G",'LANÇAMENTOS DIÁRIOS'!$C$5:$C$500,$A11,'LANÇAMENTOS DIÁRIOS'!$O$5:$O$500,"&lt;=122279",'LANÇAMENTOS DIÁRIOS'!$P$5:$P$500,"&gt;=122180")&gt;0,"X","")</f>
      </c>
      <c r="AY11" s="56" t="str">
        <f>IF(COUNTIFS('LANÇAMENTOS DIÁRIOS'!$G$5:$G$500,"G",'LANÇAMENTOS DIÁRIOS'!$C$5:$C$500,$A11,'LANÇAMENTOS DIÁRIOS'!$O$5:$O$500,"&lt;=122379",'LANÇAMENTOS DIÁRIOS'!$P$5:$P$500,"&gt;=122280")&gt;0,"X","")</f>
      </c>
      <c r="AZ11" s="56" t="str">
        <f>IF(COUNTIFS('LANÇAMENTOS DIÁRIOS'!$G$5:$G$500,"G",'LANÇAMENTOS DIÁRIOS'!$C$5:$C$500,$A11,'LANÇAMENTOS DIÁRIOS'!$O$5:$O$500,"&lt;=122479",'LANÇAMENTOS DIÁRIOS'!$P$5:$P$500,"&gt;=122380")&gt;0,"X","")</f>
      </c>
      <c r="BA11" s="56" t="str">
        <f>IF(COUNTIFS('LANÇAMENTOS DIÁRIOS'!$G$5:$G$500,"G",'LANÇAMENTOS DIÁRIOS'!$C$5:$C$500,$A11,'LANÇAMENTOS DIÁRIOS'!$O$5:$O$500,"&lt;=122579",'LANÇAMENTOS DIÁRIOS'!$P$5:$P$500,"&gt;=122480")&gt;0,"X","")</f>
      </c>
      <c r="BB11" s="56" t="str">
        <f>IF(COUNTIFS('LANÇAMENTOS DIÁRIOS'!$G$5:$G$500,"G",'LANÇAMENTOS DIÁRIOS'!$C$5:$C$500,$A11,'LANÇAMENTOS DIÁRIOS'!$O$5:$O$500,"&lt;=122679",'LANÇAMENTOS DIÁRIOS'!$P$5:$P$500,"&gt;=122580")&gt;0,"X","")</f>
      </c>
      <c r="BC11" s="56" t="str">
        <f>IF(COUNTIFS('LANÇAMENTOS DIÁRIOS'!$G$5:$G$500,"G",'LANÇAMENTOS DIÁRIOS'!$C$5:$C$500,$A11,'LANÇAMENTOS DIÁRIOS'!$O$5:$O$500,"&lt;=122779",'LANÇAMENTOS DIÁRIOS'!$P$5:$P$500,"&gt;=122680")&gt;0,"X","")</f>
      </c>
      <c r="BD11" s="56" t="str">
        <f>IF(COUNTIFS('LANÇAMENTOS DIÁRIOS'!$G$5:$G$500,"G",'LANÇAMENTOS DIÁRIOS'!$C$5:$C$500,$A11,'LANÇAMENTOS DIÁRIOS'!$O$5:$O$500,"&lt;=122879",'LANÇAMENTOS DIÁRIOS'!$P$5:$P$500,"&gt;=122780")&gt;0,"X","")</f>
      </c>
      <c r="BE11" s="56" t="str">
        <f>IF(COUNTIFS('LANÇAMENTOS DIÁRIOS'!$G$5:$G$500,"G",'LANÇAMENTOS DIÁRIOS'!$C$5:$C$500,$A11,'LANÇAMENTOS DIÁRIOS'!$O$5:$O$500,"&lt;=122979",'LANÇAMENTOS DIÁRIOS'!$P$5:$P$500,"&gt;=122880")&gt;0,"X","")</f>
      </c>
      <c r="BF11" s="56" t="str">
        <f>IF(COUNTIFS('LANÇAMENTOS DIÁRIOS'!$G$5:$G$500,"G",'LANÇAMENTOS DIÁRIOS'!$C$5:$C$500,$A11,'LANÇAMENTOS DIÁRIOS'!$O$5:$O$500,"&lt;=123079",'LANÇAMENTOS DIÁRIOS'!$P$5:$P$500,"&gt;=122980")&gt;0,"X","")</f>
      </c>
      <c r="BG11" s="56" t="str">
        <f>IF(COUNTIFS('LANÇAMENTOS DIÁRIOS'!$G$5:$G$500,"G",'LANÇAMENTOS DIÁRIOS'!$C$5:$C$500,$A11,'LANÇAMENTOS DIÁRIOS'!$O$5:$O$500,"&lt;=123179",'LANÇAMENTOS DIÁRIOS'!$P$5:$P$500,"&gt;=123080")&gt;0,"X","")</f>
      </c>
      <c r="BH11" s="56" t="str">
        <f>IF(COUNTIFS('LANÇAMENTOS DIÁRIOS'!$G$5:$G$500,"G",'LANÇAMENTOS DIÁRIOS'!$C$5:$C$500,$A11,'LANÇAMENTOS DIÁRIOS'!$O$5:$O$500,"&lt;=123279",'LANÇAMENTOS DIÁRIOS'!$P$5:$P$500,"&gt;=123180")&gt;0,"X","")</f>
      </c>
      <c r="BI11" s="56" t="str">
        <f>IF(COUNTIFS('LANÇAMENTOS DIÁRIOS'!$G$5:$G$500,"G",'LANÇAMENTOS DIÁRIOS'!$C$5:$C$500,$A11,'LANÇAMENTOS DIÁRIOS'!$O$5:$O$500,"&lt;=123379",'LANÇAMENTOS DIÁRIOS'!$P$5:$P$500,"&gt;=123280")&gt;0,"X","")</f>
      </c>
      <c r="BJ11" s="56" t="str">
        <f>IF(COUNTIFS('LANÇAMENTOS DIÁRIOS'!$G$5:$G$500,"G",'LANÇAMENTOS DIÁRIOS'!$C$5:$C$500,$A11,'LANÇAMENTOS DIÁRIOS'!$O$5:$O$500,"&lt;=123479",'LANÇAMENTOS DIÁRIOS'!$P$5:$P$500,"&gt;=123380")&gt;0,"X","")</f>
      </c>
      <c r="BK11" s="56" t="str">
        <f>IF(COUNTIFS('LANÇAMENTOS DIÁRIOS'!$G$5:$G$500,"G",'LANÇAMENTOS DIÁRIOS'!$C$5:$C$500,$A11,'LANÇAMENTOS DIÁRIOS'!$O$5:$O$500,"&lt;=123480",'LANÇAMENTOS DIÁRIOS'!$P$5:$P$500,"&gt;=123480")&gt;0,"X","")</f>
      </c>
    </row>
    <row r="12">
      <c r="A12" s="51" t="str">
        <v>Demolição de dispositivos de concreto simples</v>
      </c>
      <c r="B12" s="56" t="str">
        <f>IF(COUNTIFS('LANÇAMENTOS DIÁRIOS'!$G$5:$G$500,"G",'LANÇAMENTOS DIÁRIOS'!$C$5:$C$500,$A12,'LANÇAMENTOS DIÁRIOS'!$O$5:$O$500,"&lt;=117479",'LANÇAMENTOS DIÁRIOS'!$P$5:$P$500,"&gt;=117380")&gt;0,"X","")</f>
      </c>
      <c r="C12" s="56" t="str">
        <f>IF(COUNTIFS('LANÇAMENTOS DIÁRIOS'!$G$5:$G$500,"G",'LANÇAMENTOS DIÁRIOS'!$C$5:$C$500,$A12,'LANÇAMENTOS DIÁRIOS'!$O$5:$O$500,"&lt;=117579",'LANÇAMENTOS DIÁRIOS'!$P$5:$P$500,"&gt;=117480")&gt;0,"X","")</f>
      </c>
      <c r="D12" s="56" t="str">
        <f>IF(COUNTIFS('LANÇAMENTOS DIÁRIOS'!$G$5:$G$500,"G",'LANÇAMENTOS DIÁRIOS'!$C$5:$C$500,$A12,'LANÇAMENTOS DIÁRIOS'!$O$5:$O$500,"&lt;=117679",'LANÇAMENTOS DIÁRIOS'!$P$5:$P$500,"&gt;=117580")&gt;0,"X","")</f>
      </c>
      <c r="E12" s="56" t="str">
        <f>IF(COUNTIFS('LANÇAMENTOS DIÁRIOS'!$G$5:$G$500,"G",'LANÇAMENTOS DIÁRIOS'!$C$5:$C$500,$A12,'LANÇAMENTOS DIÁRIOS'!$O$5:$O$500,"&lt;=117779",'LANÇAMENTOS DIÁRIOS'!$P$5:$P$500,"&gt;=117680")&gt;0,"X","")</f>
      </c>
      <c r="F12" s="56" t="str">
        <f>IF(COUNTIFS('LANÇAMENTOS DIÁRIOS'!$G$5:$G$500,"G",'LANÇAMENTOS DIÁRIOS'!$C$5:$C$500,$A12,'LANÇAMENTOS DIÁRIOS'!$O$5:$O$500,"&lt;=117879",'LANÇAMENTOS DIÁRIOS'!$P$5:$P$500,"&gt;=117780")&gt;0,"X","")</f>
      </c>
      <c r="G12" s="56" t="str">
        <f>IF(COUNTIFS('LANÇAMENTOS DIÁRIOS'!$G$5:$G$500,"G",'LANÇAMENTOS DIÁRIOS'!$C$5:$C$500,$A12,'LANÇAMENTOS DIÁRIOS'!$O$5:$O$500,"&lt;=117979",'LANÇAMENTOS DIÁRIOS'!$P$5:$P$500,"&gt;=117880")&gt;0,"X","")</f>
      </c>
      <c r="H12" s="56" t="str">
        <f>IF(COUNTIFS('LANÇAMENTOS DIÁRIOS'!$G$5:$G$500,"G",'LANÇAMENTOS DIÁRIOS'!$C$5:$C$500,$A12,'LANÇAMENTOS DIÁRIOS'!$O$5:$O$500,"&lt;=118079",'LANÇAMENTOS DIÁRIOS'!$P$5:$P$500,"&gt;=117980")&gt;0,"X","")</f>
      </c>
      <c r="I12" s="56" t="str">
        <f>IF(COUNTIFS('LANÇAMENTOS DIÁRIOS'!$G$5:$G$500,"G",'LANÇAMENTOS DIÁRIOS'!$C$5:$C$500,$A12,'LANÇAMENTOS DIÁRIOS'!$O$5:$O$500,"&lt;=118179",'LANÇAMENTOS DIÁRIOS'!$P$5:$P$500,"&gt;=118080")&gt;0,"X","")</f>
      </c>
      <c r="J12" s="56" t="str">
        <f>IF(COUNTIFS('LANÇAMENTOS DIÁRIOS'!$G$5:$G$500,"G",'LANÇAMENTOS DIÁRIOS'!$C$5:$C$500,$A12,'LANÇAMENTOS DIÁRIOS'!$O$5:$O$500,"&lt;=118279",'LANÇAMENTOS DIÁRIOS'!$P$5:$P$500,"&gt;=118180")&gt;0,"X","")</f>
      </c>
      <c r="K12" s="56" t="str">
        <f>IF(COUNTIFS('LANÇAMENTOS DIÁRIOS'!$G$5:$G$500,"G",'LANÇAMENTOS DIÁRIOS'!$C$5:$C$500,$A12,'LANÇAMENTOS DIÁRIOS'!$O$5:$O$500,"&lt;=118379",'LANÇAMENTOS DIÁRIOS'!$P$5:$P$500,"&gt;=118280")&gt;0,"X","")</f>
      </c>
      <c r="L12" s="56" t="str">
        <f>IF(COUNTIFS('LANÇAMENTOS DIÁRIOS'!$G$5:$G$500,"G",'LANÇAMENTOS DIÁRIOS'!$C$5:$C$500,$A12,'LANÇAMENTOS DIÁRIOS'!$O$5:$O$500,"&lt;=118479",'LANÇAMENTOS DIÁRIOS'!$P$5:$P$500,"&gt;=118380")&gt;0,"X","")</f>
      </c>
      <c r="M12" s="56" t="str">
        <f>IF(COUNTIFS('LANÇAMENTOS DIÁRIOS'!$G$5:$G$500,"G",'LANÇAMENTOS DIÁRIOS'!$C$5:$C$500,$A12,'LANÇAMENTOS DIÁRIOS'!$O$5:$O$500,"&lt;=118579",'LANÇAMENTOS DIÁRIOS'!$P$5:$P$500,"&gt;=118480")&gt;0,"X","")</f>
      </c>
      <c r="N12" s="56" t="str">
        <f>IF(COUNTIFS('LANÇAMENTOS DIÁRIOS'!$G$5:$G$500,"G",'LANÇAMENTOS DIÁRIOS'!$C$5:$C$500,$A12,'LANÇAMENTOS DIÁRIOS'!$O$5:$O$500,"&lt;=118679",'LANÇAMENTOS DIÁRIOS'!$P$5:$P$500,"&gt;=118580")&gt;0,"X","")</f>
      </c>
      <c r="O12" s="56" t="str">
        <f>IF(COUNTIFS('LANÇAMENTOS DIÁRIOS'!$G$5:$G$500,"G",'LANÇAMENTOS DIÁRIOS'!$C$5:$C$500,$A12,'LANÇAMENTOS DIÁRIOS'!$O$5:$O$500,"&lt;=118779",'LANÇAMENTOS DIÁRIOS'!$P$5:$P$500,"&gt;=118680")&gt;0,"X","")</f>
      </c>
      <c r="P12" s="56" t="str">
        <f>IF(COUNTIFS('LANÇAMENTOS DIÁRIOS'!$G$5:$G$500,"G",'LANÇAMENTOS DIÁRIOS'!$C$5:$C$500,$A12,'LANÇAMENTOS DIÁRIOS'!$O$5:$O$500,"&lt;=118879",'LANÇAMENTOS DIÁRIOS'!$P$5:$P$500,"&gt;=118780")&gt;0,"X","")</f>
      </c>
      <c r="Q12" s="56" t="str">
        <f>IF(COUNTIFS('LANÇAMENTOS DIÁRIOS'!$G$5:$G$500,"G",'LANÇAMENTOS DIÁRIOS'!$C$5:$C$500,$A12,'LANÇAMENTOS DIÁRIOS'!$O$5:$O$500,"&lt;=118979",'LANÇAMENTOS DIÁRIOS'!$P$5:$P$500,"&gt;=118880")&gt;0,"X","")</f>
      </c>
      <c r="R12" s="56" t="str">
        <f>IF(COUNTIFS('LANÇAMENTOS DIÁRIOS'!$G$5:$G$500,"G",'LANÇAMENTOS DIÁRIOS'!$C$5:$C$500,$A12,'LANÇAMENTOS DIÁRIOS'!$O$5:$O$500,"&lt;=119079",'LANÇAMENTOS DIÁRIOS'!$P$5:$P$500,"&gt;=118980")&gt;0,"X","")</f>
      </c>
      <c r="S12" s="56" t="str">
        <f>IF(COUNTIFS('LANÇAMENTOS DIÁRIOS'!$G$5:$G$500,"G",'LANÇAMENTOS DIÁRIOS'!$C$5:$C$500,$A12,'LANÇAMENTOS DIÁRIOS'!$O$5:$O$500,"&lt;=119179",'LANÇAMENTOS DIÁRIOS'!$P$5:$P$500,"&gt;=119080")&gt;0,"X","")</f>
      </c>
      <c r="T12" s="56" t="str">
        <f>IF(COUNTIFS('LANÇAMENTOS DIÁRIOS'!$G$5:$G$500,"G",'LANÇAMENTOS DIÁRIOS'!$C$5:$C$500,$A12,'LANÇAMENTOS DIÁRIOS'!$O$5:$O$500,"&lt;=119279",'LANÇAMENTOS DIÁRIOS'!$P$5:$P$500,"&gt;=119180")&gt;0,"X","")</f>
      </c>
      <c r="U12" s="56" t="str">
        <f>IF(COUNTIFS('LANÇAMENTOS DIÁRIOS'!$G$5:$G$500,"G",'LANÇAMENTOS DIÁRIOS'!$C$5:$C$500,$A12,'LANÇAMENTOS DIÁRIOS'!$O$5:$O$500,"&lt;=119379",'LANÇAMENTOS DIÁRIOS'!$P$5:$P$500,"&gt;=119280")&gt;0,"X","")</f>
      </c>
      <c r="V12" s="56" t="str">
        <f>IF(COUNTIFS('LANÇAMENTOS DIÁRIOS'!$G$5:$G$500,"G",'LANÇAMENTOS DIÁRIOS'!$C$5:$C$500,$A12,'LANÇAMENTOS DIÁRIOS'!$O$5:$O$500,"&lt;=119479",'LANÇAMENTOS DIÁRIOS'!$P$5:$P$500,"&gt;=119380")&gt;0,"X","")</f>
      </c>
      <c r="W12" s="56" t="str">
        <f>IF(COUNTIFS('LANÇAMENTOS DIÁRIOS'!$G$5:$G$500,"G",'LANÇAMENTOS DIÁRIOS'!$C$5:$C$500,$A12,'LANÇAMENTOS DIÁRIOS'!$O$5:$O$500,"&lt;=119579",'LANÇAMENTOS DIÁRIOS'!$P$5:$P$500,"&gt;=119480")&gt;0,"X","")</f>
      </c>
      <c r="X12" s="56" t="str">
        <f>IF(COUNTIFS('LANÇAMENTOS DIÁRIOS'!$G$5:$G$500,"G",'LANÇAMENTOS DIÁRIOS'!$C$5:$C$500,$A12,'LANÇAMENTOS DIÁRIOS'!$O$5:$O$500,"&lt;=119679",'LANÇAMENTOS DIÁRIOS'!$P$5:$P$500,"&gt;=119580")&gt;0,"X","")</f>
      </c>
      <c r="Y12" s="56" t="str">
        <f>IF(COUNTIFS('LANÇAMENTOS DIÁRIOS'!$G$5:$G$500,"G",'LANÇAMENTOS DIÁRIOS'!$C$5:$C$500,$A12,'LANÇAMENTOS DIÁRIOS'!$O$5:$O$500,"&lt;=119779",'LANÇAMENTOS DIÁRIOS'!$P$5:$P$500,"&gt;=119680")&gt;0,"X","")</f>
      </c>
      <c r="Z12" s="56" t="str">
        <f>IF(COUNTIFS('LANÇAMENTOS DIÁRIOS'!$G$5:$G$500,"G",'LANÇAMENTOS DIÁRIOS'!$C$5:$C$500,$A12,'LANÇAMENTOS DIÁRIOS'!$O$5:$O$500,"&lt;=119879",'LANÇAMENTOS DIÁRIOS'!$P$5:$P$500,"&gt;=119780")&gt;0,"X","")</f>
      </c>
      <c r="AA12" s="56" t="str">
        <f>IF(COUNTIFS('LANÇAMENTOS DIÁRIOS'!$G$5:$G$500,"G",'LANÇAMENTOS DIÁRIOS'!$C$5:$C$500,$A12,'LANÇAMENTOS DIÁRIOS'!$O$5:$O$500,"&lt;=119979",'LANÇAMENTOS DIÁRIOS'!$P$5:$P$500,"&gt;=119880")&gt;0,"X","")</f>
      </c>
      <c r="AB12" s="56" t="str">
        <f>IF(COUNTIFS('LANÇAMENTOS DIÁRIOS'!$G$5:$G$500,"G",'LANÇAMENTOS DIÁRIOS'!$C$5:$C$500,$A12,'LANÇAMENTOS DIÁRIOS'!$O$5:$O$500,"&lt;=120079",'LANÇAMENTOS DIÁRIOS'!$P$5:$P$500,"&gt;=119980")&gt;0,"X","")</f>
      </c>
      <c r="AC12" s="56" t="str">
        <f>IF(COUNTIFS('LANÇAMENTOS DIÁRIOS'!$G$5:$G$500,"G",'LANÇAMENTOS DIÁRIOS'!$C$5:$C$500,$A12,'LANÇAMENTOS DIÁRIOS'!$O$5:$O$500,"&lt;=120179",'LANÇAMENTOS DIÁRIOS'!$P$5:$P$500,"&gt;=120080")&gt;0,"X","")</f>
      </c>
      <c r="AD12" s="56" t="str">
        <f>IF(COUNTIFS('LANÇAMENTOS DIÁRIOS'!$G$5:$G$500,"G",'LANÇAMENTOS DIÁRIOS'!$C$5:$C$500,$A12,'LANÇAMENTOS DIÁRIOS'!$O$5:$O$500,"&lt;=120279",'LANÇAMENTOS DIÁRIOS'!$P$5:$P$500,"&gt;=120180")&gt;0,"X","")</f>
      </c>
      <c r="AE12" s="56" t="str">
        <f>IF(COUNTIFS('LANÇAMENTOS DIÁRIOS'!$G$5:$G$500,"G",'LANÇAMENTOS DIÁRIOS'!$C$5:$C$500,$A12,'LANÇAMENTOS DIÁRIOS'!$O$5:$O$500,"&lt;=120379",'LANÇAMENTOS DIÁRIOS'!$P$5:$P$500,"&gt;=120280")&gt;0,"X","")</f>
      </c>
      <c r="AF12" s="56" t="str">
        <f>IF(COUNTIFS('LANÇAMENTOS DIÁRIOS'!$G$5:$G$500,"G",'LANÇAMENTOS DIÁRIOS'!$C$5:$C$500,$A12,'LANÇAMENTOS DIÁRIOS'!$O$5:$O$500,"&lt;=120479",'LANÇAMENTOS DIÁRIOS'!$P$5:$P$500,"&gt;=120380")&gt;0,"X","")</f>
      </c>
      <c r="AG12" s="56" t="str">
        <f>IF(COUNTIFS('LANÇAMENTOS DIÁRIOS'!$G$5:$G$500,"G",'LANÇAMENTOS DIÁRIOS'!$C$5:$C$500,$A12,'LANÇAMENTOS DIÁRIOS'!$O$5:$O$500,"&lt;=120579",'LANÇAMENTOS DIÁRIOS'!$P$5:$P$500,"&gt;=120480")&gt;0,"X","")</f>
      </c>
      <c r="AH12" s="56" t="str">
        <f>IF(COUNTIFS('LANÇAMENTOS DIÁRIOS'!$G$5:$G$500,"G",'LANÇAMENTOS DIÁRIOS'!$C$5:$C$500,$A12,'LANÇAMENTOS DIÁRIOS'!$O$5:$O$500,"&lt;=120679",'LANÇAMENTOS DIÁRIOS'!$P$5:$P$500,"&gt;=120580")&gt;0,"X","")</f>
      </c>
      <c r="AI12" s="56" t="str">
        <f>IF(COUNTIFS('LANÇAMENTOS DIÁRIOS'!$G$5:$G$500,"G",'LANÇAMENTOS DIÁRIOS'!$C$5:$C$500,$A12,'LANÇAMENTOS DIÁRIOS'!$O$5:$O$500,"&lt;=120779",'LANÇAMENTOS DIÁRIOS'!$P$5:$P$500,"&gt;=120680")&gt;0,"X","")</f>
      </c>
      <c r="AJ12" s="56" t="str">
        <f>IF(COUNTIFS('LANÇAMENTOS DIÁRIOS'!$G$5:$G$500,"G",'LANÇAMENTOS DIÁRIOS'!$C$5:$C$500,$A12,'LANÇAMENTOS DIÁRIOS'!$O$5:$O$500,"&lt;=120879",'LANÇAMENTOS DIÁRIOS'!$P$5:$P$500,"&gt;=120780")&gt;0,"X","")</f>
      </c>
      <c r="AK12" s="56" t="str">
        <f>IF(COUNTIFS('LANÇAMENTOS DIÁRIOS'!$G$5:$G$500,"G",'LANÇAMENTOS DIÁRIOS'!$C$5:$C$500,$A12,'LANÇAMENTOS DIÁRIOS'!$O$5:$O$500,"&lt;=120979",'LANÇAMENTOS DIÁRIOS'!$P$5:$P$500,"&gt;=120880")&gt;0,"X","")</f>
      </c>
      <c r="AL12" s="56" t="str">
        <f>IF(COUNTIFS('LANÇAMENTOS DIÁRIOS'!$G$5:$G$500,"G",'LANÇAMENTOS DIÁRIOS'!$C$5:$C$500,$A12,'LANÇAMENTOS DIÁRIOS'!$O$5:$O$500,"&lt;=121079",'LANÇAMENTOS DIÁRIOS'!$P$5:$P$500,"&gt;=120980")&gt;0,"X","")</f>
      </c>
      <c r="AM12" s="56" t="str">
        <f>IF(COUNTIFS('LANÇAMENTOS DIÁRIOS'!$G$5:$G$500,"G",'LANÇAMENTOS DIÁRIOS'!$C$5:$C$500,$A12,'LANÇAMENTOS DIÁRIOS'!$O$5:$O$500,"&lt;=121179",'LANÇAMENTOS DIÁRIOS'!$P$5:$P$500,"&gt;=121080")&gt;0,"X","")</f>
      </c>
      <c r="AN12" s="56" t="str">
        <f>IF(COUNTIFS('LANÇAMENTOS DIÁRIOS'!$G$5:$G$500,"G",'LANÇAMENTOS DIÁRIOS'!$C$5:$C$500,$A12,'LANÇAMENTOS DIÁRIOS'!$O$5:$O$500,"&lt;=121279",'LANÇAMENTOS DIÁRIOS'!$P$5:$P$500,"&gt;=121180")&gt;0,"X","")</f>
      </c>
      <c r="AO12" s="56" t="str">
        <f>IF(COUNTIFS('LANÇAMENTOS DIÁRIOS'!$G$5:$G$500,"G",'LANÇAMENTOS DIÁRIOS'!$C$5:$C$500,$A12,'LANÇAMENTOS DIÁRIOS'!$O$5:$O$500,"&lt;=121379",'LANÇAMENTOS DIÁRIOS'!$P$5:$P$500,"&gt;=121280")&gt;0,"X","")</f>
      </c>
      <c r="AP12" s="56" t="str">
        <f>IF(COUNTIFS('LANÇAMENTOS DIÁRIOS'!$G$5:$G$500,"G",'LANÇAMENTOS DIÁRIOS'!$C$5:$C$500,$A12,'LANÇAMENTOS DIÁRIOS'!$O$5:$O$500,"&lt;=121479",'LANÇAMENTOS DIÁRIOS'!$P$5:$P$500,"&gt;=121380")&gt;0,"X","")</f>
      </c>
      <c r="AQ12" s="56" t="str">
        <f>IF(COUNTIFS('LANÇAMENTOS DIÁRIOS'!$G$5:$G$500,"G",'LANÇAMENTOS DIÁRIOS'!$C$5:$C$500,$A12,'LANÇAMENTOS DIÁRIOS'!$O$5:$O$500,"&lt;=121579",'LANÇAMENTOS DIÁRIOS'!$P$5:$P$500,"&gt;=121480")&gt;0,"X","")</f>
      </c>
      <c r="AR12" s="56" t="str">
        <f>IF(COUNTIFS('LANÇAMENTOS DIÁRIOS'!$G$5:$G$500,"G",'LANÇAMENTOS DIÁRIOS'!$C$5:$C$500,$A12,'LANÇAMENTOS DIÁRIOS'!$O$5:$O$500,"&lt;=121679",'LANÇAMENTOS DIÁRIOS'!$P$5:$P$500,"&gt;=121580")&gt;0,"X","")</f>
      </c>
      <c r="AS12" s="56" t="str">
        <f>IF(COUNTIFS('LANÇAMENTOS DIÁRIOS'!$G$5:$G$500,"G",'LANÇAMENTOS DIÁRIOS'!$C$5:$C$500,$A12,'LANÇAMENTOS DIÁRIOS'!$O$5:$O$500,"&lt;=121779",'LANÇAMENTOS DIÁRIOS'!$P$5:$P$500,"&gt;=121680")&gt;0,"X","")</f>
      </c>
      <c r="AT12" s="56" t="str">
        <f>IF(COUNTIFS('LANÇAMENTOS DIÁRIOS'!$G$5:$G$500,"G",'LANÇAMENTOS DIÁRIOS'!$C$5:$C$500,$A12,'LANÇAMENTOS DIÁRIOS'!$O$5:$O$500,"&lt;=121879",'LANÇAMENTOS DIÁRIOS'!$P$5:$P$500,"&gt;=121780")&gt;0,"X","")</f>
      </c>
      <c r="AU12" s="56" t="str">
        <f>IF(COUNTIFS('LANÇAMENTOS DIÁRIOS'!$G$5:$G$500,"G",'LANÇAMENTOS DIÁRIOS'!$C$5:$C$500,$A12,'LANÇAMENTOS DIÁRIOS'!$O$5:$O$500,"&lt;=121979",'LANÇAMENTOS DIÁRIOS'!$P$5:$P$500,"&gt;=121880")&gt;0,"X","")</f>
      </c>
      <c r="AV12" s="56" t="str">
        <f>IF(COUNTIFS('LANÇAMENTOS DIÁRIOS'!$G$5:$G$500,"G",'LANÇAMENTOS DIÁRIOS'!$C$5:$C$500,$A12,'LANÇAMENTOS DIÁRIOS'!$O$5:$O$500,"&lt;=122079",'LANÇAMENTOS DIÁRIOS'!$P$5:$P$500,"&gt;=121980")&gt;0,"X","")</f>
      </c>
      <c r="AW12" s="56" t="str">
        <f>IF(COUNTIFS('LANÇAMENTOS DIÁRIOS'!$G$5:$G$500,"G",'LANÇAMENTOS DIÁRIOS'!$C$5:$C$500,$A12,'LANÇAMENTOS DIÁRIOS'!$O$5:$O$500,"&lt;=122179",'LANÇAMENTOS DIÁRIOS'!$P$5:$P$500,"&gt;=122080")&gt;0,"X","")</f>
      </c>
      <c r="AX12" s="56" t="str">
        <f>IF(COUNTIFS('LANÇAMENTOS DIÁRIOS'!$G$5:$G$500,"G",'LANÇAMENTOS DIÁRIOS'!$C$5:$C$500,$A12,'LANÇAMENTOS DIÁRIOS'!$O$5:$O$500,"&lt;=122279",'LANÇAMENTOS DIÁRIOS'!$P$5:$P$500,"&gt;=122180")&gt;0,"X","")</f>
      </c>
      <c r="AY12" s="56" t="str">
        <f>IF(COUNTIFS('LANÇAMENTOS DIÁRIOS'!$G$5:$G$500,"G",'LANÇAMENTOS DIÁRIOS'!$C$5:$C$500,$A12,'LANÇAMENTOS DIÁRIOS'!$O$5:$O$500,"&lt;=122379",'LANÇAMENTOS DIÁRIOS'!$P$5:$P$500,"&gt;=122280")&gt;0,"X","")</f>
      </c>
      <c r="AZ12" s="56" t="str">
        <f>IF(COUNTIFS('LANÇAMENTOS DIÁRIOS'!$G$5:$G$500,"G",'LANÇAMENTOS DIÁRIOS'!$C$5:$C$500,$A12,'LANÇAMENTOS DIÁRIOS'!$O$5:$O$500,"&lt;=122479",'LANÇAMENTOS DIÁRIOS'!$P$5:$P$500,"&gt;=122380")&gt;0,"X","")</f>
      </c>
      <c r="BA12" s="56" t="str">
        <f>IF(COUNTIFS('LANÇAMENTOS DIÁRIOS'!$G$5:$G$500,"G",'LANÇAMENTOS DIÁRIOS'!$C$5:$C$500,$A12,'LANÇAMENTOS DIÁRIOS'!$O$5:$O$500,"&lt;=122579",'LANÇAMENTOS DIÁRIOS'!$P$5:$P$500,"&gt;=122480")&gt;0,"X","")</f>
      </c>
      <c r="BB12" s="56" t="str">
        <f>IF(COUNTIFS('LANÇAMENTOS DIÁRIOS'!$G$5:$G$500,"G",'LANÇAMENTOS DIÁRIOS'!$C$5:$C$500,$A12,'LANÇAMENTOS DIÁRIOS'!$O$5:$O$500,"&lt;=122679",'LANÇAMENTOS DIÁRIOS'!$P$5:$P$500,"&gt;=122580")&gt;0,"X","")</f>
      </c>
      <c r="BC12" s="56" t="str">
        <f>IF(COUNTIFS('LANÇAMENTOS DIÁRIOS'!$G$5:$G$500,"G",'LANÇAMENTOS DIÁRIOS'!$C$5:$C$500,$A12,'LANÇAMENTOS DIÁRIOS'!$O$5:$O$500,"&lt;=122779",'LANÇAMENTOS DIÁRIOS'!$P$5:$P$500,"&gt;=122680")&gt;0,"X","")</f>
      </c>
      <c r="BD12" s="56" t="str">
        <f>IF(COUNTIFS('LANÇAMENTOS DIÁRIOS'!$G$5:$G$500,"G",'LANÇAMENTOS DIÁRIOS'!$C$5:$C$500,$A12,'LANÇAMENTOS DIÁRIOS'!$O$5:$O$500,"&lt;=122879",'LANÇAMENTOS DIÁRIOS'!$P$5:$P$500,"&gt;=122780")&gt;0,"X","")</f>
      </c>
      <c r="BE12" s="56" t="str">
        <f>IF(COUNTIFS('LANÇAMENTOS DIÁRIOS'!$G$5:$G$500,"G",'LANÇAMENTOS DIÁRIOS'!$C$5:$C$500,$A12,'LANÇAMENTOS DIÁRIOS'!$O$5:$O$500,"&lt;=122979",'LANÇAMENTOS DIÁRIOS'!$P$5:$P$500,"&gt;=122880")&gt;0,"X","")</f>
      </c>
      <c r="BF12" s="56" t="str">
        <f>IF(COUNTIFS('LANÇAMENTOS DIÁRIOS'!$G$5:$G$500,"G",'LANÇAMENTOS DIÁRIOS'!$C$5:$C$500,$A12,'LANÇAMENTOS DIÁRIOS'!$O$5:$O$500,"&lt;=123079",'LANÇAMENTOS DIÁRIOS'!$P$5:$P$500,"&gt;=122980")&gt;0,"X","")</f>
      </c>
      <c r="BG12" s="56" t="str">
        <f>IF(COUNTIFS('LANÇAMENTOS DIÁRIOS'!$G$5:$G$500,"G",'LANÇAMENTOS DIÁRIOS'!$C$5:$C$500,$A12,'LANÇAMENTOS DIÁRIOS'!$O$5:$O$500,"&lt;=123179",'LANÇAMENTOS DIÁRIOS'!$P$5:$P$500,"&gt;=123080")&gt;0,"X","")</f>
      </c>
      <c r="BH12" s="56" t="str">
        <f>IF(COUNTIFS('LANÇAMENTOS DIÁRIOS'!$G$5:$G$500,"G",'LANÇAMENTOS DIÁRIOS'!$C$5:$C$500,$A12,'LANÇAMENTOS DIÁRIOS'!$O$5:$O$500,"&lt;=123279",'LANÇAMENTOS DIÁRIOS'!$P$5:$P$500,"&gt;=123180")&gt;0,"X","")</f>
      </c>
      <c r="BI12" s="56" t="str">
        <f>IF(COUNTIFS('LANÇAMENTOS DIÁRIOS'!$G$5:$G$500,"G",'LANÇAMENTOS DIÁRIOS'!$C$5:$C$500,$A12,'LANÇAMENTOS DIÁRIOS'!$O$5:$O$500,"&lt;=123379",'LANÇAMENTOS DIÁRIOS'!$P$5:$P$500,"&gt;=123280")&gt;0,"X","")</f>
      </c>
      <c r="BJ12" s="56" t="str">
        <f>IF(COUNTIFS('LANÇAMENTOS DIÁRIOS'!$G$5:$G$500,"G",'LANÇAMENTOS DIÁRIOS'!$C$5:$C$500,$A12,'LANÇAMENTOS DIÁRIOS'!$O$5:$O$500,"&lt;=123479",'LANÇAMENTOS DIÁRIOS'!$P$5:$P$500,"&gt;=123380")&gt;0,"X","")</f>
      </c>
      <c r="BK12" s="56" t="str">
        <f>IF(COUNTIFS('LANÇAMENTOS DIÁRIOS'!$G$5:$G$500,"G",'LANÇAMENTOS DIÁRIOS'!$C$5:$C$500,$A12,'LANÇAMENTOS DIÁRIOS'!$O$5:$O$500,"&lt;=123480",'LANÇAMENTOS DIÁRIOS'!$P$5:$P$500,"&gt;=123480")&gt;0,"X","")</f>
      </c>
    </row>
    <row r="13">
      <c r="A13" s="51" t="str">
        <v>Remoção de barreira rígida de concreto</v>
      </c>
      <c r="B13" s="56" t="str">
        <f>IF(COUNTIFS('LANÇAMENTOS DIÁRIOS'!$G$5:$G$500,"G",'LANÇAMENTOS DIÁRIOS'!$C$5:$C$500,$A13,'LANÇAMENTOS DIÁRIOS'!$O$5:$O$500,"&lt;=117479",'LANÇAMENTOS DIÁRIOS'!$P$5:$P$500,"&gt;=117380")&gt;0,"X","")</f>
      </c>
      <c r="C13" s="56" t="str">
        <f>IF(COUNTIFS('LANÇAMENTOS DIÁRIOS'!$G$5:$G$500,"G",'LANÇAMENTOS DIÁRIOS'!$C$5:$C$500,$A13,'LANÇAMENTOS DIÁRIOS'!$O$5:$O$500,"&lt;=117579",'LANÇAMENTOS DIÁRIOS'!$P$5:$P$500,"&gt;=117480")&gt;0,"X","")</f>
      </c>
      <c r="D13" s="56" t="str">
        <f>IF(COUNTIFS('LANÇAMENTOS DIÁRIOS'!$G$5:$G$500,"G",'LANÇAMENTOS DIÁRIOS'!$C$5:$C$500,$A13,'LANÇAMENTOS DIÁRIOS'!$O$5:$O$500,"&lt;=117679",'LANÇAMENTOS DIÁRIOS'!$P$5:$P$500,"&gt;=117580")&gt;0,"X","")</f>
      </c>
      <c r="E13" s="56" t="str">
        <f>IF(COUNTIFS('LANÇAMENTOS DIÁRIOS'!$G$5:$G$500,"G",'LANÇAMENTOS DIÁRIOS'!$C$5:$C$500,$A13,'LANÇAMENTOS DIÁRIOS'!$O$5:$O$500,"&lt;=117779",'LANÇAMENTOS DIÁRIOS'!$P$5:$P$500,"&gt;=117680")&gt;0,"X","")</f>
      </c>
      <c r="F13" s="56" t="str">
        <f>IF(COUNTIFS('LANÇAMENTOS DIÁRIOS'!$G$5:$G$500,"G",'LANÇAMENTOS DIÁRIOS'!$C$5:$C$500,$A13,'LANÇAMENTOS DIÁRIOS'!$O$5:$O$500,"&lt;=117879",'LANÇAMENTOS DIÁRIOS'!$P$5:$P$500,"&gt;=117780")&gt;0,"X","")</f>
      </c>
      <c r="G13" s="56" t="str">
        <f>IF(COUNTIFS('LANÇAMENTOS DIÁRIOS'!$G$5:$G$500,"G",'LANÇAMENTOS DIÁRIOS'!$C$5:$C$500,$A13,'LANÇAMENTOS DIÁRIOS'!$O$5:$O$500,"&lt;=117979",'LANÇAMENTOS DIÁRIOS'!$P$5:$P$500,"&gt;=117880")&gt;0,"X","")</f>
      </c>
      <c r="H13" s="56" t="str">
        <f>IF(COUNTIFS('LANÇAMENTOS DIÁRIOS'!$G$5:$G$500,"G",'LANÇAMENTOS DIÁRIOS'!$C$5:$C$500,$A13,'LANÇAMENTOS DIÁRIOS'!$O$5:$O$500,"&lt;=118079",'LANÇAMENTOS DIÁRIOS'!$P$5:$P$500,"&gt;=117980")&gt;0,"X","")</f>
      </c>
      <c r="I13" s="56" t="str">
        <f>IF(COUNTIFS('LANÇAMENTOS DIÁRIOS'!$G$5:$G$500,"G",'LANÇAMENTOS DIÁRIOS'!$C$5:$C$500,$A13,'LANÇAMENTOS DIÁRIOS'!$O$5:$O$500,"&lt;=118179",'LANÇAMENTOS DIÁRIOS'!$P$5:$P$500,"&gt;=118080")&gt;0,"X","")</f>
      </c>
      <c r="J13" s="56" t="str">
        <f>IF(COUNTIFS('LANÇAMENTOS DIÁRIOS'!$G$5:$G$500,"G",'LANÇAMENTOS DIÁRIOS'!$C$5:$C$500,$A13,'LANÇAMENTOS DIÁRIOS'!$O$5:$O$500,"&lt;=118279",'LANÇAMENTOS DIÁRIOS'!$P$5:$P$500,"&gt;=118180")&gt;0,"X","")</f>
      </c>
      <c r="K13" s="56" t="str">
        <f>IF(COUNTIFS('LANÇAMENTOS DIÁRIOS'!$G$5:$G$500,"G",'LANÇAMENTOS DIÁRIOS'!$C$5:$C$500,$A13,'LANÇAMENTOS DIÁRIOS'!$O$5:$O$500,"&lt;=118379",'LANÇAMENTOS DIÁRIOS'!$P$5:$P$500,"&gt;=118280")&gt;0,"X","")</f>
      </c>
      <c r="L13" s="56" t="str">
        <f>IF(COUNTIFS('LANÇAMENTOS DIÁRIOS'!$G$5:$G$500,"G",'LANÇAMENTOS DIÁRIOS'!$C$5:$C$500,$A13,'LANÇAMENTOS DIÁRIOS'!$O$5:$O$500,"&lt;=118479",'LANÇAMENTOS DIÁRIOS'!$P$5:$P$500,"&gt;=118380")&gt;0,"X","")</f>
      </c>
      <c r="M13" s="56" t="str">
        <f>IF(COUNTIFS('LANÇAMENTOS DIÁRIOS'!$G$5:$G$500,"G",'LANÇAMENTOS DIÁRIOS'!$C$5:$C$500,$A13,'LANÇAMENTOS DIÁRIOS'!$O$5:$O$500,"&lt;=118579",'LANÇAMENTOS DIÁRIOS'!$P$5:$P$500,"&gt;=118480")&gt;0,"X","")</f>
      </c>
      <c r="N13" s="56" t="str">
        <f>IF(COUNTIFS('LANÇAMENTOS DIÁRIOS'!$G$5:$G$500,"G",'LANÇAMENTOS DIÁRIOS'!$C$5:$C$500,$A13,'LANÇAMENTOS DIÁRIOS'!$O$5:$O$500,"&lt;=118679",'LANÇAMENTOS DIÁRIOS'!$P$5:$P$500,"&gt;=118580")&gt;0,"X","")</f>
      </c>
      <c r="O13" s="56" t="str">
        <f>IF(COUNTIFS('LANÇAMENTOS DIÁRIOS'!$G$5:$G$500,"G",'LANÇAMENTOS DIÁRIOS'!$C$5:$C$500,$A13,'LANÇAMENTOS DIÁRIOS'!$O$5:$O$500,"&lt;=118779",'LANÇAMENTOS DIÁRIOS'!$P$5:$P$500,"&gt;=118680")&gt;0,"X","")</f>
      </c>
      <c r="P13" s="56" t="str">
        <f>IF(COUNTIFS('LANÇAMENTOS DIÁRIOS'!$G$5:$G$500,"G",'LANÇAMENTOS DIÁRIOS'!$C$5:$C$500,$A13,'LANÇAMENTOS DIÁRIOS'!$O$5:$O$500,"&lt;=118879",'LANÇAMENTOS DIÁRIOS'!$P$5:$P$500,"&gt;=118780")&gt;0,"X","")</f>
      </c>
      <c r="Q13" s="56" t="str">
        <f>IF(COUNTIFS('LANÇAMENTOS DIÁRIOS'!$G$5:$G$500,"G",'LANÇAMENTOS DIÁRIOS'!$C$5:$C$500,$A13,'LANÇAMENTOS DIÁRIOS'!$O$5:$O$500,"&lt;=118979",'LANÇAMENTOS DIÁRIOS'!$P$5:$P$500,"&gt;=118880")&gt;0,"X","")</f>
      </c>
      <c r="R13" s="56" t="str">
        <f>IF(COUNTIFS('LANÇAMENTOS DIÁRIOS'!$G$5:$G$500,"G",'LANÇAMENTOS DIÁRIOS'!$C$5:$C$500,$A13,'LANÇAMENTOS DIÁRIOS'!$O$5:$O$500,"&lt;=119079",'LANÇAMENTOS DIÁRIOS'!$P$5:$P$500,"&gt;=118980")&gt;0,"X","")</f>
      </c>
      <c r="S13" s="56" t="str">
        <f>IF(COUNTIFS('LANÇAMENTOS DIÁRIOS'!$G$5:$G$500,"G",'LANÇAMENTOS DIÁRIOS'!$C$5:$C$500,$A13,'LANÇAMENTOS DIÁRIOS'!$O$5:$O$500,"&lt;=119179",'LANÇAMENTOS DIÁRIOS'!$P$5:$P$500,"&gt;=119080")&gt;0,"X","")</f>
      </c>
      <c r="T13" s="56" t="str">
        <f>IF(COUNTIFS('LANÇAMENTOS DIÁRIOS'!$G$5:$G$500,"G",'LANÇAMENTOS DIÁRIOS'!$C$5:$C$500,$A13,'LANÇAMENTOS DIÁRIOS'!$O$5:$O$500,"&lt;=119279",'LANÇAMENTOS DIÁRIOS'!$P$5:$P$500,"&gt;=119180")&gt;0,"X","")</f>
      </c>
      <c r="U13" s="56" t="str">
        <f>IF(COUNTIFS('LANÇAMENTOS DIÁRIOS'!$G$5:$G$500,"G",'LANÇAMENTOS DIÁRIOS'!$C$5:$C$500,$A13,'LANÇAMENTOS DIÁRIOS'!$O$5:$O$500,"&lt;=119379",'LANÇAMENTOS DIÁRIOS'!$P$5:$P$500,"&gt;=119280")&gt;0,"X","")</f>
      </c>
      <c r="V13" s="56" t="str">
        <f>IF(COUNTIFS('LANÇAMENTOS DIÁRIOS'!$G$5:$G$500,"G",'LANÇAMENTOS DIÁRIOS'!$C$5:$C$500,$A13,'LANÇAMENTOS DIÁRIOS'!$O$5:$O$500,"&lt;=119479",'LANÇAMENTOS DIÁRIOS'!$P$5:$P$500,"&gt;=119380")&gt;0,"X","")</f>
      </c>
      <c r="W13" s="56" t="str">
        <f>IF(COUNTIFS('LANÇAMENTOS DIÁRIOS'!$G$5:$G$500,"G",'LANÇAMENTOS DIÁRIOS'!$C$5:$C$500,$A13,'LANÇAMENTOS DIÁRIOS'!$O$5:$O$500,"&lt;=119579",'LANÇAMENTOS DIÁRIOS'!$P$5:$P$500,"&gt;=119480")&gt;0,"X","")</f>
      </c>
      <c r="X13" s="56" t="str">
        <f>IF(COUNTIFS('LANÇAMENTOS DIÁRIOS'!$G$5:$G$500,"G",'LANÇAMENTOS DIÁRIOS'!$C$5:$C$500,$A13,'LANÇAMENTOS DIÁRIOS'!$O$5:$O$500,"&lt;=119679",'LANÇAMENTOS DIÁRIOS'!$P$5:$P$500,"&gt;=119580")&gt;0,"X","")</f>
      </c>
      <c r="Y13" s="56" t="str">
        <f>IF(COUNTIFS('LANÇAMENTOS DIÁRIOS'!$G$5:$G$500,"G",'LANÇAMENTOS DIÁRIOS'!$C$5:$C$500,$A13,'LANÇAMENTOS DIÁRIOS'!$O$5:$O$500,"&lt;=119779",'LANÇAMENTOS DIÁRIOS'!$P$5:$P$500,"&gt;=119680")&gt;0,"X","")</f>
      </c>
      <c r="Z13" s="56" t="str">
        <f>IF(COUNTIFS('LANÇAMENTOS DIÁRIOS'!$G$5:$G$500,"G",'LANÇAMENTOS DIÁRIOS'!$C$5:$C$500,$A13,'LANÇAMENTOS DIÁRIOS'!$O$5:$O$500,"&lt;=119879",'LANÇAMENTOS DIÁRIOS'!$P$5:$P$500,"&gt;=119780")&gt;0,"X","")</f>
      </c>
      <c r="AA13" s="56" t="str">
        <f>IF(COUNTIFS('LANÇAMENTOS DIÁRIOS'!$G$5:$G$500,"G",'LANÇAMENTOS DIÁRIOS'!$C$5:$C$500,$A13,'LANÇAMENTOS DIÁRIOS'!$O$5:$O$500,"&lt;=119979",'LANÇAMENTOS DIÁRIOS'!$P$5:$P$500,"&gt;=119880")&gt;0,"X","")</f>
      </c>
      <c r="AB13" s="56" t="str">
        <f>IF(COUNTIFS('LANÇAMENTOS DIÁRIOS'!$G$5:$G$500,"G",'LANÇAMENTOS DIÁRIOS'!$C$5:$C$500,$A13,'LANÇAMENTOS DIÁRIOS'!$O$5:$O$500,"&lt;=120079",'LANÇAMENTOS DIÁRIOS'!$P$5:$P$500,"&gt;=119980")&gt;0,"X","")</f>
      </c>
      <c r="AC13" s="56" t="str">
        <f>IF(COUNTIFS('LANÇAMENTOS DIÁRIOS'!$G$5:$G$500,"G",'LANÇAMENTOS DIÁRIOS'!$C$5:$C$500,$A13,'LANÇAMENTOS DIÁRIOS'!$O$5:$O$500,"&lt;=120179",'LANÇAMENTOS DIÁRIOS'!$P$5:$P$500,"&gt;=120080")&gt;0,"X","")</f>
      </c>
      <c r="AD13" s="56" t="str">
        <f>IF(COUNTIFS('LANÇAMENTOS DIÁRIOS'!$G$5:$G$500,"G",'LANÇAMENTOS DIÁRIOS'!$C$5:$C$500,$A13,'LANÇAMENTOS DIÁRIOS'!$O$5:$O$500,"&lt;=120279",'LANÇAMENTOS DIÁRIOS'!$P$5:$P$500,"&gt;=120180")&gt;0,"X","")</f>
      </c>
      <c r="AE13" s="56" t="str">
        <f>IF(COUNTIFS('LANÇAMENTOS DIÁRIOS'!$G$5:$G$500,"G",'LANÇAMENTOS DIÁRIOS'!$C$5:$C$500,$A13,'LANÇAMENTOS DIÁRIOS'!$O$5:$O$500,"&lt;=120379",'LANÇAMENTOS DIÁRIOS'!$P$5:$P$500,"&gt;=120280")&gt;0,"X","")</f>
      </c>
      <c r="AF13" s="56" t="str">
        <f>IF(COUNTIFS('LANÇAMENTOS DIÁRIOS'!$G$5:$G$500,"G",'LANÇAMENTOS DIÁRIOS'!$C$5:$C$500,$A13,'LANÇAMENTOS DIÁRIOS'!$O$5:$O$500,"&lt;=120479",'LANÇAMENTOS DIÁRIOS'!$P$5:$P$500,"&gt;=120380")&gt;0,"X","")</f>
      </c>
      <c r="AG13" s="56" t="str">
        <f>IF(COUNTIFS('LANÇAMENTOS DIÁRIOS'!$G$5:$G$500,"G",'LANÇAMENTOS DIÁRIOS'!$C$5:$C$500,$A13,'LANÇAMENTOS DIÁRIOS'!$O$5:$O$500,"&lt;=120579",'LANÇAMENTOS DIÁRIOS'!$P$5:$P$500,"&gt;=120480")&gt;0,"X","")</f>
      </c>
      <c r="AH13" s="56" t="str">
        <f>IF(COUNTIFS('LANÇAMENTOS DIÁRIOS'!$G$5:$G$500,"G",'LANÇAMENTOS DIÁRIOS'!$C$5:$C$500,$A13,'LANÇAMENTOS DIÁRIOS'!$O$5:$O$500,"&lt;=120679",'LANÇAMENTOS DIÁRIOS'!$P$5:$P$500,"&gt;=120580")&gt;0,"X","")</f>
      </c>
      <c r="AI13" s="56" t="str">
        <f>IF(COUNTIFS('LANÇAMENTOS DIÁRIOS'!$G$5:$G$500,"G",'LANÇAMENTOS DIÁRIOS'!$C$5:$C$500,$A13,'LANÇAMENTOS DIÁRIOS'!$O$5:$O$500,"&lt;=120779",'LANÇAMENTOS DIÁRIOS'!$P$5:$P$500,"&gt;=120680")&gt;0,"X","")</f>
      </c>
      <c r="AJ13" s="56" t="str">
        <f>IF(COUNTIFS('LANÇAMENTOS DIÁRIOS'!$G$5:$G$500,"G",'LANÇAMENTOS DIÁRIOS'!$C$5:$C$500,$A13,'LANÇAMENTOS DIÁRIOS'!$O$5:$O$500,"&lt;=120879",'LANÇAMENTOS DIÁRIOS'!$P$5:$P$500,"&gt;=120780")&gt;0,"X","")</f>
      </c>
      <c r="AK13" s="56" t="str">
        <f>IF(COUNTIFS('LANÇAMENTOS DIÁRIOS'!$G$5:$G$500,"G",'LANÇAMENTOS DIÁRIOS'!$C$5:$C$500,$A13,'LANÇAMENTOS DIÁRIOS'!$O$5:$O$500,"&lt;=120979",'LANÇAMENTOS DIÁRIOS'!$P$5:$P$500,"&gt;=120880")&gt;0,"X","")</f>
      </c>
      <c r="AL13" s="56" t="str">
        <f>IF(COUNTIFS('LANÇAMENTOS DIÁRIOS'!$G$5:$G$500,"G",'LANÇAMENTOS DIÁRIOS'!$C$5:$C$500,$A13,'LANÇAMENTOS DIÁRIOS'!$O$5:$O$500,"&lt;=121079",'LANÇAMENTOS DIÁRIOS'!$P$5:$P$500,"&gt;=120980")&gt;0,"X","")</f>
      </c>
      <c r="AM13" s="56" t="str">
        <f>IF(COUNTIFS('LANÇAMENTOS DIÁRIOS'!$G$5:$G$500,"G",'LANÇAMENTOS DIÁRIOS'!$C$5:$C$500,$A13,'LANÇAMENTOS DIÁRIOS'!$O$5:$O$500,"&lt;=121179",'LANÇAMENTOS DIÁRIOS'!$P$5:$P$500,"&gt;=121080")&gt;0,"X","")</f>
      </c>
      <c r="AN13" s="56" t="str">
        <f>IF(COUNTIFS('LANÇAMENTOS DIÁRIOS'!$G$5:$G$500,"G",'LANÇAMENTOS DIÁRIOS'!$C$5:$C$500,$A13,'LANÇAMENTOS DIÁRIOS'!$O$5:$O$500,"&lt;=121279",'LANÇAMENTOS DIÁRIOS'!$P$5:$P$500,"&gt;=121180")&gt;0,"X","")</f>
      </c>
      <c r="AO13" s="56" t="str">
        <f>IF(COUNTIFS('LANÇAMENTOS DIÁRIOS'!$G$5:$G$500,"G",'LANÇAMENTOS DIÁRIOS'!$C$5:$C$500,$A13,'LANÇAMENTOS DIÁRIOS'!$O$5:$O$500,"&lt;=121379",'LANÇAMENTOS DIÁRIOS'!$P$5:$P$500,"&gt;=121280")&gt;0,"X","")</f>
      </c>
      <c r="AP13" s="56" t="str">
        <f>IF(COUNTIFS('LANÇAMENTOS DIÁRIOS'!$G$5:$G$500,"G",'LANÇAMENTOS DIÁRIOS'!$C$5:$C$500,$A13,'LANÇAMENTOS DIÁRIOS'!$O$5:$O$500,"&lt;=121479",'LANÇAMENTOS DIÁRIOS'!$P$5:$P$500,"&gt;=121380")&gt;0,"X","")</f>
      </c>
      <c r="AQ13" s="56" t="str">
        <f>IF(COUNTIFS('LANÇAMENTOS DIÁRIOS'!$G$5:$G$500,"G",'LANÇAMENTOS DIÁRIOS'!$C$5:$C$500,$A13,'LANÇAMENTOS DIÁRIOS'!$O$5:$O$500,"&lt;=121579",'LANÇAMENTOS DIÁRIOS'!$P$5:$P$500,"&gt;=121480")&gt;0,"X","")</f>
      </c>
      <c r="AR13" s="56" t="str">
        <f>IF(COUNTIFS('LANÇAMENTOS DIÁRIOS'!$G$5:$G$500,"G",'LANÇAMENTOS DIÁRIOS'!$C$5:$C$500,$A13,'LANÇAMENTOS DIÁRIOS'!$O$5:$O$500,"&lt;=121679",'LANÇAMENTOS DIÁRIOS'!$P$5:$P$500,"&gt;=121580")&gt;0,"X","")</f>
      </c>
      <c r="AS13" s="56" t="str">
        <f>IF(COUNTIFS('LANÇAMENTOS DIÁRIOS'!$G$5:$G$500,"G",'LANÇAMENTOS DIÁRIOS'!$C$5:$C$500,$A13,'LANÇAMENTOS DIÁRIOS'!$O$5:$O$500,"&lt;=121779",'LANÇAMENTOS DIÁRIOS'!$P$5:$P$500,"&gt;=121680")&gt;0,"X","")</f>
      </c>
      <c r="AT13" s="56" t="str">
        <f>IF(COUNTIFS('LANÇAMENTOS DIÁRIOS'!$G$5:$G$500,"G",'LANÇAMENTOS DIÁRIOS'!$C$5:$C$500,$A13,'LANÇAMENTOS DIÁRIOS'!$O$5:$O$500,"&lt;=121879",'LANÇAMENTOS DIÁRIOS'!$P$5:$P$500,"&gt;=121780")&gt;0,"X","")</f>
      </c>
      <c r="AU13" s="56" t="str">
        <f>IF(COUNTIFS('LANÇAMENTOS DIÁRIOS'!$G$5:$G$500,"G",'LANÇAMENTOS DIÁRIOS'!$C$5:$C$500,$A13,'LANÇAMENTOS DIÁRIOS'!$O$5:$O$500,"&lt;=121979",'LANÇAMENTOS DIÁRIOS'!$P$5:$P$500,"&gt;=121880")&gt;0,"X","")</f>
      </c>
      <c r="AV13" s="56" t="str">
        <f>IF(COUNTIFS('LANÇAMENTOS DIÁRIOS'!$G$5:$G$500,"G",'LANÇAMENTOS DIÁRIOS'!$C$5:$C$500,$A13,'LANÇAMENTOS DIÁRIOS'!$O$5:$O$500,"&lt;=122079",'LANÇAMENTOS DIÁRIOS'!$P$5:$P$500,"&gt;=121980")&gt;0,"X","")</f>
      </c>
      <c r="AW13" s="56" t="str">
        <f>IF(COUNTIFS('LANÇAMENTOS DIÁRIOS'!$G$5:$G$500,"G",'LANÇAMENTOS DIÁRIOS'!$C$5:$C$500,$A13,'LANÇAMENTOS DIÁRIOS'!$O$5:$O$500,"&lt;=122179",'LANÇAMENTOS DIÁRIOS'!$P$5:$P$500,"&gt;=122080")&gt;0,"X","")</f>
      </c>
      <c r="AX13" s="56" t="str">
        <f>IF(COUNTIFS('LANÇAMENTOS DIÁRIOS'!$G$5:$G$500,"G",'LANÇAMENTOS DIÁRIOS'!$C$5:$C$500,$A13,'LANÇAMENTOS DIÁRIOS'!$O$5:$O$500,"&lt;=122279",'LANÇAMENTOS DIÁRIOS'!$P$5:$P$500,"&gt;=122180")&gt;0,"X","")</f>
      </c>
      <c r="AY13" s="56" t="str">
        <f>IF(COUNTIFS('LANÇAMENTOS DIÁRIOS'!$G$5:$G$500,"G",'LANÇAMENTOS DIÁRIOS'!$C$5:$C$500,$A13,'LANÇAMENTOS DIÁRIOS'!$O$5:$O$500,"&lt;=122379",'LANÇAMENTOS DIÁRIOS'!$P$5:$P$500,"&gt;=122280")&gt;0,"X","")</f>
      </c>
      <c r="AZ13" s="56" t="str">
        <f>IF(COUNTIFS('LANÇAMENTOS DIÁRIOS'!$G$5:$G$500,"G",'LANÇAMENTOS DIÁRIOS'!$C$5:$C$500,$A13,'LANÇAMENTOS DIÁRIOS'!$O$5:$O$500,"&lt;=122479",'LANÇAMENTOS DIÁRIOS'!$P$5:$P$500,"&gt;=122380")&gt;0,"X","")</f>
      </c>
      <c r="BA13" s="56" t="str">
        <f>IF(COUNTIFS('LANÇAMENTOS DIÁRIOS'!$G$5:$G$500,"G",'LANÇAMENTOS DIÁRIOS'!$C$5:$C$500,$A13,'LANÇAMENTOS DIÁRIOS'!$O$5:$O$500,"&lt;=122579",'LANÇAMENTOS DIÁRIOS'!$P$5:$P$500,"&gt;=122480")&gt;0,"X","")</f>
      </c>
      <c r="BB13" s="56" t="str">
        <f>IF(COUNTIFS('LANÇAMENTOS DIÁRIOS'!$G$5:$G$500,"G",'LANÇAMENTOS DIÁRIOS'!$C$5:$C$500,$A13,'LANÇAMENTOS DIÁRIOS'!$O$5:$O$500,"&lt;=122679",'LANÇAMENTOS DIÁRIOS'!$P$5:$P$500,"&gt;=122580")&gt;0,"X","")</f>
      </c>
      <c r="BC13" s="56" t="str">
        <f>IF(COUNTIFS('LANÇAMENTOS DIÁRIOS'!$G$5:$G$500,"G",'LANÇAMENTOS DIÁRIOS'!$C$5:$C$500,$A13,'LANÇAMENTOS DIÁRIOS'!$O$5:$O$500,"&lt;=122779",'LANÇAMENTOS DIÁRIOS'!$P$5:$P$500,"&gt;=122680")&gt;0,"X","")</f>
      </c>
      <c r="BD13" s="56" t="str">
        <f>IF(COUNTIFS('LANÇAMENTOS DIÁRIOS'!$G$5:$G$500,"G",'LANÇAMENTOS DIÁRIOS'!$C$5:$C$500,$A13,'LANÇAMENTOS DIÁRIOS'!$O$5:$O$500,"&lt;=122879",'LANÇAMENTOS DIÁRIOS'!$P$5:$P$500,"&gt;=122780")&gt;0,"X","")</f>
      </c>
      <c r="BE13" s="56" t="str">
        <f>IF(COUNTIFS('LANÇAMENTOS DIÁRIOS'!$G$5:$G$500,"G",'LANÇAMENTOS DIÁRIOS'!$C$5:$C$500,$A13,'LANÇAMENTOS DIÁRIOS'!$O$5:$O$500,"&lt;=122979",'LANÇAMENTOS DIÁRIOS'!$P$5:$P$500,"&gt;=122880")&gt;0,"X","")</f>
      </c>
      <c r="BF13" s="56" t="str">
        <f>IF(COUNTIFS('LANÇAMENTOS DIÁRIOS'!$G$5:$G$500,"G",'LANÇAMENTOS DIÁRIOS'!$C$5:$C$500,$A13,'LANÇAMENTOS DIÁRIOS'!$O$5:$O$500,"&lt;=123079",'LANÇAMENTOS DIÁRIOS'!$P$5:$P$500,"&gt;=122980")&gt;0,"X","")</f>
      </c>
      <c r="BG13" s="56" t="str">
        <f>IF(COUNTIFS('LANÇAMENTOS DIÁRIOS'!$G$5:$G$500,"G",'LANÇAMENTOS DIÁRIOS'!$C$5:$C$500,$A13,'LANÇAMENTOS DIÁRIOS'!$O$5:$O$500,"&lt;=123179",'LANÇAMENTOS DIÁRIOS'!$P$5:$P$500,"&gt;=123080")&gt;0,"X","")</f>
      </c>
      <c r="BH13" s="56" t="str">
        <f>IF(COUNTIFS('LANÇAMENTOS DIÁRIOS'!$G$5:$G$500,"G",'LANÇAMENTOS DIÁRIOS'!$C$5:$C$500,$A13,'LANÇAMENTOS DIÁRIOS'!$O$5:$O$500,"&lt;=123279",'LANÇAMENTOS DIÁRIOS'!$P$5:$P$500,"&gt;=123180")&gt;0,"X","")</f>
      </c>
      <c r="BI13" s="56" t="str">
        <f>IF(COUNTIFS('LANÇAMENTOS DIÁRIOS'!$G$5:$G$500,"G",'LANÇAMENTOS DIÁRIOS'!$C$5:$C$500,$A13,'LANÇAMENTOS DIÁRIOS'!$O$5:$O$500,"&lt;=123379",'LANÇAMENTOS DIÁRIOS'!$P$5:$P$500,"&gt;=123280")&gt;0,"X","")</f>
      </c>
      <c r="BJ13" s="56" t="str">
        <f>IF(COUNTIFS('LANÇAMENTOS DIÁRIOS'!$G$5:$G$500,"G",'LANÇAMENTOS DIÁRIOS'!$C$5:$C$500,$A13,'LANÇAMENTOS DIÁRIOS'!$O$5:$O$500,"&lt;=123479",'LANÇAMENTOS DIÁRIOS'!$P$5:$P$500,"&gt;=123380")&gt;0,"X","")</f>
      </c>
      <c r="BK13" s="56" t="str">
        <f>IF(COUNTIFS('LANÇAMENTOS DIÁRIOS'!$G$5:$G$500,"G",'LANÇAMENTOS DIÁRIOS'!$C$5:$C$500,$A13,'LANÇAMENTOS DIÁRIOS'!$O$5:$O$500,"&lt;=123480",'LANÇAMENTOS DIÁRIOS'!$P$5:$P$500,"&gt;=123480")&gt;0,"X","")</f>
      </c>
    </row>
    <row r="14">
      <c r="A14" s="51" t="str">
        <v>Remoção de terminal absorvedor de energia</v>
      </c>
      <c r="B14" s="56" t="str">
        <f>IF(COUNTIFS('LANÇAMENTOS DIÁRIOS'!$G$5:$G$500,"G",'LANÇAMENTOS DIÁRIOS'!$C$5:$C$500,$A14,'LANÇAMENTOS DIÁRIOS'!$O$5:$O$500,"&lt;=117479",'LANÇAMENTOS DIÁRIOS'!$P$5:$P$500,"&gt;=117380")&gt;0,"X","")</f>
      </c>
      <c r="C14" s="56" t="str">
        <f>IF(COUNTIFS('LANÇAMENTOS DIÁRIOS'!$G$5:$G$500,"G",'LANÇAMENTOS DIÁRIOS'!$C$5:$C$500,$A14,'LANÇAMENTOS DIÁRIOS'!$O$5:$O$500,"&lt;=117579",'LANÇAMENTOS DIÁRIOS'!$P$5:$P$500,"&gt;=117480")&gt;0,"X","")</f>
      </c>
      <c r="D14" s="56" t="str">
        <f>IF(COUNTIFS('LANÇAMENTOS DIÁRIOS'!$G$5:$G$500,"G",'LANÇAMENTOS DIÁRIOS'!$C$5:$C$500,$A14,'LANÇAMENTOS DIÁRIOS'!$O$5:$O$500,"&lt;=117679",'LANÇAMENTOS DIÁRIOS'!$P$5:$P$500,"&gt;=117580")&gt;0,"X","")</f>
      </c>
      <c r="E14" s="56" t="str">
        <f>IF(COUNTIFS('LANÇAMENTOS DIÁRIOS'!$G$5:$G$500,"G",'LANÇAMENTOS DIÁRIOS'!$C$5:$C$500,$A14,'LANÇAMENTOS DIÁRIOS'!$O$5:$O$500,"&lt;=117779",'LANÇAMENTOS DIÁRIOS'!$P$5:$P$500,"&gt;=117680")&gt;0,"X","")</f>
      </c>
      <c r="F14" s="56" t="str">
        <f>IF(COUNTIFS('LANÇAMENTOS DIÁRIOS'!$G$5:$G$500,"G",'LANÇAMENTOS DIÁRIOS'!$C$5:$C$500,$A14,'LANÇAMENTOS DIÁRIOS'!$O$5:$O$500,"&lt;=117879",'LANÇAMENTOS DIÁRIOS'!$P$5:$P$500,"&gt;=117780")&gt;0,"X","")</f>
      </c>
      <c r="G14" s="56" t="str">
        <f>IF(COUNTIFS('LANÇAMENTOS DIÁRIOS'!$G$5:$G$500,"G",'LANÇAMENTOS DIÁRIOS'!$C$5:$C$500,$A14,'LANÇAMENTOS DIÁRIOS'!$O$5:$O$500,"&lt;=117979",'LANÇAMENTOS DIÁRIOS'!$P$5:$P$500,"&gt;=117880")&gt;0,"X","")</f>
      </c>
      <c r="H14" s="56" t="str">
        <f>IF(COUNTIFS('LANÇAMENTOS DIÁRIOS'!$G$5:$G$500,"G",'LANÇAMENTOS DIÁRIOS'!$C$5:$C$500,$A14,'LANÇAMENTOS DIÁRIOS'!$O$5:$O$500,"&lt;=118079",'LANÇAMENTOS DIÁRIOS'!$P$5:$P$500,"&gt;=117980")&gt;0,"X","")</f>
      </c>
      <c r="I14" s="56" t="str">
        <f>IF(COUNTIFS('LANÇAMENTOS DIÁRIOS'!$G$5:$G$500,"G",'LANÇAMENTOS DIÁRIOS'!$C$5:$C$500,$A14,'LANÇAMENTOS DIÁRIOS'!$O$5:$O$500,"&lt;=118179",'LANÇAMENTOS DIÁRIOS'!$P$5:$P$500,"&gt;=118080")&gt;0,"X","")</f>
      </c>
      <c r="J14" s="56" t="str">
        <f>IF(COUNTIFS('LANÇAMENTOS DIÁRIOS'!$G$5:$G$500,"G",'LANÇAMENTOS DIÁRIOS'!$C$5:$C$500,$A14,'LANÇAMENTOS DIÁRIOS'!$O$5:$O$500,"&lt;=118279",'LANÇAMENTOS DIÁRIOS'!$P$5:$P$500,"&gt;=118180")&gt;0,"X","")</f>
      </c>
      <c r="K14" s="56" t="str">
        <f>IF(COUNTIFS('LANÇAMENTOS DIÁRIOS'!$G$5:$G$500,"G",'LANÇAMENTOS DIÁRIOS'!$C$5:$C$500,$A14,'LANÇAMENTOS DIÁRIOS'!$O$5:$O$500,"&lt;=118379",'LANÇAMENTOS DIÁRIOS'!$P$5:$P$500,"&gt;=118280")&gt;0,"X","")</f>
      </c>
      <c r="L14" s="56" t="str">
        <f>IF(COUNTIFS('LANÇAMENTOS DIÁRIOS'!$G$5:$G$500,"G",'LANÇAMENTOS DIÁRIOS'!$C$5:$C$500,$A14,'LANÇAMENTOS DIÁRIOS'!$O$5:$O$500,"&lt;=118479",'LANÇAMENTOS DIÁRIOS'!$P$5:$P$500,"&gt;=118380")&gt;0,"X","")</f>
      </c>
      <c r="M14" s="56" t="str">
        <f>IF(COUNTIFS('LANÇAMENTOS DIÁRIOS'!$G$5:$G$500,"G",'LANÇAMENTOS DIÁRIOS'!$C$5:$C$500,$A14,'LANÇAMENTOS DIÁRIOS'!$O$5:$O$500,"&lt;=118579",'LANÇAMENTOS DIÁRIOS'!$P$5:$P$500,"&gt;=118480")&gt;0,"X","")</f>
      </c>
      <c r="N14" s="56" t="str">
        <f>IF(COUNTIFS('LANÇAMENTOS DIÁRIOS'!$G$5:$G$500,"G",'LANÇAMENTOS DIÁRIOS'!$C$5:$C$500,$A14,'LANÇAMENTOS DIÁRIOS'!$O$5:$O$500,"&lt;=118679",'LANÇAMENTOS DIÁRIOS'!$P$5:$P$500,"&gt;=118580")&gt;0,"X","")</f>
      </c>
      <c r="O14" s="56" t="str">
        <f>IF(COUNTIFS('LANÇAMENTOS DIÁRIOS'!$G$5:$G$500,"G",'LANÇAMENTOS DIÁRIOS'!$C$5:$C$500,$A14,'LANÇAMENTOS DIÁRIOS'!$O$5:$O$500,"&lt;=118779",'LANÇAMENTOS DIÁRIOS'!$P$5:$P$500,"&gt;=118680")&gt;0,"X","")</f>
      </c>
      <c r="P14" s="56" t="str">
        <f>IF(COUNTIFS('LANÇAMENTOS DIÁRIOS'!$G$5:$G$500,"G",'LANÇAMENTOS DIÁRIOS'!$C$5:$C$500,$A14,'LANÇAMENTOS DIÁRIOS'!$O$5:$O$500,"&lt;=118879",'LANÇAMENTOS DIÁRIOS'!$P$5:$P$500,"&gt;=118780")&gt;0,"X","")</f>
      </c>
      <c r="Q14" s="56" t="str">
        <f>IF(COUNTIFS('LANÇAMENTOS DIÁRIOS'!$G$5:$G$500,"G",'LANÇAMENTOS DIÁRIOS'!$C$5:$C$500,$A14,'LANÇAMENTOS DIÁRIOS'!$O$5:$O$500,"&lt;=118979",'LANÇAMENTOS DIÁRIOS'!$P$5:$P$500,"&gt;=118880")&gt;0,"X","")</f>
      </c>
      <c r="R14" s="56" t="str">
        <f>IF(COUNTIFS('LANÇAMENTOS DIÁRIOS'!$G$5:$G$500,"G",'LANÇAMENTOS DIÁRIOS'!$C$5:$C$500,$A14,'LANÇAMENTOS DIÁRIOS'!$O$5:$O$500,"&lt;=119079",'LANÇAMENTOS DIÁRIOS'!$P$5:$P$500,"&gt;=118980")&gt;0,"X","")</f>
      </c>
      <c r="S14" s="56" t="str">
        <f>IF(COUNTIFS('LANÇAMENTOS DIÁRIOS'!$G$5:$G$500,"G",'LANÇAMENTOS DIÁRIOS'!$C$5:$C$500,$A14,'LANÇAMENTOS DIÁRIOS'!$O$5:$O$500,"&lt;=119179",'LANÇAMENTOS DIÁRIOS'!$P$5:$P$500,"&gt;=119080")&gt;0,"X","")</f>
      </c>
      <c r="T14" s="56" t="str">
        <f>IF(COUNTIFS('LANÇAMENTOS DIÁRIOS'!$G$5:$G$500,"G",'LANÇAMENTOS DIÁRIOS'!$C$5:$C$500,$A14,'LANÇAMENTOS DIÁRIOS'!$O$5:$O$500,"&lt;=119279",'LANÇAMENTOS DIÁRIOS'!$P$5:$P$500,"&gt;=119180")&gt;0,"X","")</f>
      </c>
      <c r="U14" s="56" t="str">
        <f>IF(COUNTIFS('LANÇAMENTOS DIÁRIOS'!$G$5:$G$500,"G",'LANÇAMENTOS DIÁRIOS'!$C$5:$C$500,$A14,'LANÇAMENTOS DIÁRIOS'!$O$5:$O$500,"&lt;=119379",'LANÇAMENTOS DIÁRIOS'!$P$5:$P$500,"&gt;=119280")&gt;0,"X","")</f>
      </c>
      <c r="V14" s="56" t="str">
        <f>IF(COUNTIFS('LANÇAMENTOS DIÁRIOS'!$G$5:$G$500,"G",'LANÇAMENTOS DIÁRIOS'!$C$5:$C$500,$A14,'LANÇAMENTOS DIÁRIOS'!$O$5:$O$500,"&lt;=119479",'LANÇAMENTOS DIÁRIOS'!$P$5:$P$500,"&gt;=119380")&gt;0,"X","")</f>
      </c>
      <c r="W14" s="56" t="str">
        <f>IF(COUNTIFS('LANÇAMENTOS DIÁRIOS'!$G$5:$G$500,"G",'LANÇAMENTOS DIÁRIOS'!$C$5:$C$500,$A14,'LANÇAMENTOS DIÁRIOS'!$O$5:$O$500,"&lt;=119579",'LANÇAMENTOS DIÁRIOS'!$P$5:$P$500,"&gt;=119480")&gt;0,"X","")</f>
      </c>
      <c r="X14" s="56" t="str">
        <f>IF(COUNTIFS('LANÇAMENTOS DIÁRIOS'!$G$5:$G$500,"G",'LANÇAMENTOS DIÁRIOS'!$C$5:$C$500,$A14,'LANÇAMENTOS DIÁRIOS'!$O$5:$O$500,"&lt;=119679",'LANÇAMENTOS DIÁRIOS'!$P$5:$P$500,"&gt;=119580")&gt;0,"X","")</f>
      </c>
      <c r="Y14" s="56" t="str">
        <f>IF(COUNTIFS('LANÇAMENTOS DIÁRIOS'!$G$5:$G$500,"G",'LANÇAMENTOS DIÁRIOS'!$C$5:$C$500,$A14,'LANÇAMENTOS DIÁRIOS'!$O$5:$O$500,"&lt;=119779",'LANÇAMENTOS DIÁRIOS'!$P$5:$P$500,"&gt;=119680")&gt;0,"X","")</f>
      </c>
      <c r="Z14" s="56" t="str">
        <f>IF(COUNTIFS('LANÇAMENTOS DIÁRIOS'!$G$5:$G$500,"G",'LANÇAMENTOS DIÁRIOS'!$C$5:$C$500,$A14,'LANÇAMENTOS DIÁRIOS'!$O$5:$O$500,"&lt;=119879",'LANÇAMENTOS DIÁRIOS'!$P$5:$P$500,"&gt;=119780")&gt;0,"X","")</f>
      </c>
      <c r="AA14" s="56" t="str">
        <f>IF(COUNTIFS('LANÇAMENTOS DIÁRIOS'!$G$5:$G$500,"G",'LANÇAMENTOS DIÁRIOS'!$C$5:$C$500,$A14,'LANÇAMENTOS DIÁRIOS'!$O$5:$O$500,"&lt;=119979",'LANÇAMENTOS DIÁRIOS'!$P$5:$P$500,"&gt;=119880")&gt;0,"X","")</f>
      </c>
      <c r="AB14" s="56" t="str">
        <f>IF(COUNTIFS('LANÇAMENTOS DIÁRIOS'!$G$5:$G$500,"G",'LANÇAMENTOS DIÁRIOS'!$C$5:$C$500,$A14,'LANÇAMENTOS DIÁRIOS'!$O$5:$O$500,"&lt;=120079",'LANÇAMENTOS DIÁRIOS'!$P$5:$P$500,"&gt;=119980")&gt;0,"X","")</f>
      </c>
      <c r="AC14" s="56" t="str">
        <f>IF(COUNTIFS('LANÇAMENTOS DIÁRIOS'!$G$5:$G$500,"G",'LANÇAMENTOS DIÁRIOS'!$C$5:$C$500,$A14,'LANÇAMENTOS DIÁRIOS'!$O$5:$O$500,"&lt;=120179",'LANÇAMENTOS DIÁRIOS'!$P$5:$P$500,"&gt;=120080")&gt;0,"X","")</f>
      </c>
      <c r="AD14" s="56" t="str">
        <f>IF(COUNTIFS('LANÇAMENTOS DIÁRIOS'!$G$5:$G$500,"G",'LANÇAMENTOS DIÁRIOS'!$C$5:$C$500,$A14,'LANÇAMENTOS DIÁRIOS'!$O$5:$O$500,"&lt;=120279",'LANÇAMENTOS DIÁRIOS'!$P$5:$P$500,"&gt;=120180")&gt;0,"X","")</f>
      </c>
      <c r="AE14" s="56" t="str">
        <f>IF(COUNTIFS('LANÇAMENTOS DIÁRIOS'!$G$5:$G$500,"G",'LANÇAMENTOS DIÁRIOS'!$C$5:$C$500,$A14,'LANÇAMENTOS DIÁRIOS'!$O$5:$O$500,"&lt;=120379",'LANÇAMENTOS DIÁRIOS'!$P$5:$P$500,"&gt;=120280")&gt;0,"X","")</f>
      </c>
      <c r="AF14" s="56" t="str">
        <f>IF(COUNTIFS('LANÇAMENTOS DIÁRIOS'!$G$5:$G$500,"G",'LANÇAMENTOS DIÁRIOS'!$C$5:$C$500,$A14,'LANÇAMENTOS DIÁRIOS'!$O$5:$O$500,"&lt;=120479",'LANÇAMENTOS DIÁRIOS'!$P$5:$P$500,"&gt;=120380")&gt;0,"X","")</f>
      </c>
      <c r="AG14" s="56" t="str">
        <f>IF(COUNTIFS('LANÇAMENTOS DIÁRIOS'!$G$5:$G$500,"G",'LANÇAMENTOS DIÁRIOS'!$C$5:$C$500,$A14,'LANÇAMENTOS DIÁRIOS'!$O$5:$O$500,"&lt;=120579",'LANÇAMENTOS DIÁRIOS'!$P$5:$P$500,"&gt;=120480")&gt;0,"X","")</f>
      </c>
      <c r="AH14" s="56" t="str">
        <f>IF(COUNTIFS('LANÇAMENTOS DIÁRIOS'!$G$5:$G$500,"G",'LANÇAMENTOS DIÁRIOS'!$C$5:$C$500,$A14,'LANÇAMENTOS DIÁRIOS'!$O$5:$O$500,"&lt;=120679",'LANÇAMENTOS DIÁRIOS'!$P$5:$P$500,"&gt;=120580")&gt;0,"X","")</f>
      </c>
      <c r="AI14" s="56" t="str">
        <f>IF(COUNTIFS('LANÇAMENTOS DIÁRIOS'!$G$5:$G$500,"G",'LANÇAMENTOS DIÁRIOS'!$C$5:$C$500,$A14,'LANÇAMENTOS DIÁRIOS'!$O$5:$O$500,"&lt;=120779",'LANÇAMENTOS DIÁRIOS'!$P$5:$P$500,"&gt;=120680")&gt;0,"X","")</f>
      </c>
      <c r="AJ14" s="56" t="str">
        <f>IF(COUNTIFS('LANÇAMENTOS DIÁRIOS'!$G$5:$G$500,"G",'LANÇAMENTOS DIÁRIOS'!$C$5:$C$500,$A14,'LANÇAMENTOS DIÁRIOS'!$O$5:$O$500,"&lt;=120879",'LANÇAMENTOS DIÁRIOS'!$P$5:$P$500,"&gt;=120780")&gt;0,"X","")</f>
      </c>
      <c r="AK14" s="56" t="str">
        <f>IF(COUNTIFS('LANÇAMENTOS DIÁRIOS'!$G$5:$G$500,"G",'LANÇAMENTOS DIÁRIOS'!$C$5:$C$500,$A14,'LANÇAMENTOS DIÁRIOS'!$O$5:$O$500,"&lt;=120979",'LANÇAMENTOS DIÁRIOS'!$P$5:$P$500,"&gt;=120880")&gt;0,"X","")</f>
      </c>
      <c r="AL14" s="56" t="str">
        <f>IF(COUNTIFS('LANÇAMENTOS DIÁRIOS'!$G$5:$G$500,"G",'LANÇAMENTOS DIÁRIOS'!$C$5:$C$500,$A14,'LANÇAMENTOS DIÁRIOS'!$O$5:$O$500,"&lt;=121079",'LANÇAMENTOS DIÁRIOS'!$P$5:$P$500,"&gt;=120980")&gt;0,"X","")</f>
      </c>
      <c r="AM14" s="56" t="str">
        <f>IF(COUNTIFS('LANÇAMENTOS DIÁRIOS'!$G$5:$G$500,"G",'LANÇAMENTOS DIÁRIOS'!$C$5:$C$500,$A14,'LANÇAMENTOS DIÁRIOS'!$O$5:$O$500,"&lt;=121179",'LANÇAMENTOS DIÁRIOS'!$P$5:$P$500,"&gt;=121080")&gt;0,"X","")</f>
      </c>
      <c r="AN14" s="56" t="str">
        <f>IF(COUNTIFS('LANÇAMENTOS DIÁRIOS'!$G$5:$G$500,"G",'LANÇAMENTOS DIÁRIOS'!$C$5:$C$500,$A14,'LANÇAMENTOS DIÁRIOS'!$O$5:$O$500,"&lt;=121279",'LANÇAMENTOS DIÁRIOS'!$P$5:$P$500,"&gt;=121180")&gt;0,"X","")</f>
      </c>
      <c r="AO14" s="56" t="str">
        <f>IF(COUNTIFS('LANÇAMENTOS DIÁRIOS'!$G$5:$G$500,"G",'LANÇAMENTOS DIÁRIOS'!$C$5:$C$500,$A14,'LANÇAMENTOS DIÁRIOS'!$O$5:$O$500,"&lt;=121379",'LANÇAMENTOS DIÁRIOS'!$P$5:$P$500,"&gt;=121280")&gt;0,"X","")</f>
      </c>
      <c r="AP14" s="56" t="str">
        <f>IF(COUNTIFS('LANÇAMENTOS DIÁRIOS'!$G$5:$G$500,"G",'LANÇAMENTOS DIÁRIOS'!$C$5:$C$500,$A14,'LANÇAMENTOS DIÁRIOS'!$O$5:$O$500,"&lt;=121479",'LANÇAMENTOS DIÁRIOS'!$P$5:$P$500,"&gt;=121380")&gt;0,"X","")</f>
      </c>
      <c r="AQ14" s="56" t="str">
        <f>IF(COUNTIFS('LANÇAMENTOS DIÁRIOS'!$G$5:$G$500,"G",'LANÇAMENTOS DIÁRIOS'!$C$5:$C$500,$A14,'LANÇAMENTOS DIÁRIOS'!$O$5:$O$500,"&lt;=121579",'LANÇAMENTOS DIÁRIOS'!$P$5:$P$500,"&gt;=121480")&gt;0,"X","")</f>
      </c>
      <c r="AR14" s="56" t="str">
        <f>IF(COUNTIFS('LANÇAMENTOS DIÁRIOS'!$G$5:$G$500,"G",'LANÇAMENTOS DIÁRIOS'!$C$5:$C$500,$A14,'LANÇAMENTOS DIÁRIOS'!$O$5:$O$500,"&lt;=121679",'LANÇAMENTOS DIÁRIOS'!$P$5:$P$500,"&gt;=121580")&gt;0,"X","")</f>
      </c>
      <c r="AS14" s="56" t="str">
        <f>IF(COUNTIFS('LANÇAMENTOS DIÁRIOS'!$G$5:$G$500,"G",'LANÇAMENTOS DIÁRIOS'!$C$5:$C$500,$A14,'LANÇAMENTOS DIÁRIOS'!$O$5:$O$500,"&lt;=121779",'LANÇAMENTOS DIÁRIOS'!$P$5:$P$500,"&gt;=121680")&gt;0,"X","")</f>
      </c>
      <c r="AT14" s="56" t="str">
        <f>IF(COUNTIFS('LANÇAMENTOS DIÁRIOS'!$G$5:$G$500,"G",'LANÇAMENTOS DIÁRIOS'!$C$5:$C$500,$A14,'LANÇAMENTOS DIÁRIOS'!$O$5:$O$500,"&lt;=121879",'LANÇAMENTOS DIÁRIOS'!$P$5:$P$500,"&gt;=121780")&gt;0,"X","")</f>
      </c>
      <c r="AU14" s="56" t="str">
        <f>IF(COUNTIFS('LANÇAMENTOS DIÁRIOS'!$G$5:$G$500,"G",'LANÇAMENTOS DIÁRIOS'!$C$5:$C$500,$A14,'LANÇAMENTOS DIÁRIOS'!$O$5:$O$500,"&lt;=121979",'LANÇAMENTOS DIÁRIOS'!$P$5:$P$500,"&gt;=121880")&gt;0,"X","")</f>
      </c>
      <c r="AV14" s="56" t="str">
        <f>IF(COUNTIFS('LANÇAMENTOS DIÁRIOS'!$G$5:$G$500,"G",'LANÇAMENTOS DIÁRIOS'!$C$5:$C$500,$A14,'LANÇAMENTOS DIÁRIOS'!$O$5:$O$500,"&lt;=122079",'LANÇAMENTOS DIÁRIOS'!$P$5:$P$500,"&gt;=121980")&gt;0,"X","")</f>
      </c>
      <c r="AW14" s="56" t="str">
        <f>IF(COUNTIFS('LANÇAMENTOS DIÁRIOS'!$G$5:$G$500,"G",'LANÇAMENTOS DIÁRIOS'!$C$5:$C$500,$A14,'LANÇAMENTOS DIÁRIOS'!$O$5:$O$500,"&lt;=122179",'LANÇAMENTOS DIÁRIOS'!$P$5:$P$500,"&gt;=122080")&gt;0,"X","")</f>
      </c>
      <c r="AX14" s="56" t="str">
        <f>IF(COUNTIFS('LANÇAMENTOS DIÁRIOS'!$G$5:$G$500,"G",'LANÇAMENTOS DIÁRIOS'!$C$5:$C$500,$A14,'LANÇAMENTOS DIÁRIOS'!$O$5:$O$500,"&lt;=122279",'LANÇAMENTOS DIÁRIOS'!$P$5:$P$500,"&gt;=122180")&gt;0,"X","")</f>
      </c>
      <c r="AY14" s="56" t="str">
        <f>IF(COUNTIFS('LANÇAMENTOS DIÁRIOS'!$G$5:$G$500,"G",'LANÇAMENTOS DIÁRIOS'!$C$5:$C$500,$A14,'LANÇAMENTOS DIÁRIOS'!$O$5:$O$500,"&lt;=122379",'LANÇAMENTOS DIÁRIOS'!$P$5:$P$500,"&gt;=122280")&gt;0,"X","")</f>
      </c>
      <c r="AZ14" s="56" t="str">
        <f>IF(COUNTIFS('LANÇAMENTOS DIÁRIOS'!$G$5:$G$500,"G",'LANÇAMENTOS DIÁRIOS'!$C$5:$C$500,$A14,'LANÇAMENTOS DIÁRIOS'!$O$5:$O$500,"&lt;=122479",'LANÇAMENTOS DIÁRIOS'!$P$5:$P$500,"&gt;=122380")&gt;0,"X","")</f>
      </c>
      <c r="BA14" s="56" t="str">
        <f>IF(COUNTIFS('LANÇAMENTOS DIÁRIOS'!$G$5:$G$500,"G",'LANÇAMENTOS DIÁRIOS'!$C$5:$C$500,$A14,'LANÇAMENTOS DIÁRIOS'!$O$5:$O$500,"&lt;=122579",'LANÇAMENTOS DIÁRIOS'!$P$5:$P$500,"&gt;=122480")&gt;0,"X","")</f>
      </c>
      <c r="BB14" s="56" t="str">
        <f>IF(COUNTIFS('LANÇAMENTOS DIÁRIOS'!$G$5:$G$500,"G",'LANÇAMENTOS DIÁRIOS'!$C$5:$C$500,$A14,'LANÇAMENTOS DIÁRIOS'!$O$5:$O$500,"&lt;=122679",'LANÇAMENTOS DIÁRIOS'!$P$5:$P$500,"&gt;=122580")&gt;0,"X","")</f>
      </c>
      <c r="BC14" s="56" t="str">
        <f>IF(COUNTIFS('LANÇAMENTOS DIÁRIOS'!$G$5:$G$500,"G",'LANÇAMENTOS DIÁRIOS'!$C$5:$C$500,$A14,'LANÇAMENTOS DIÁRIOS'!$O$5:$O$500,"&lt;=122779",'LANÇAMENTOS DIÁRIOS'!$P$5:$P$500,"&gt;=122680")&gt;0,"X","")</f>
      </c>
      <c r="BD14" s="56" t="str">
        <f>IF(COUNTIFS('LANÇAMENTOS DIÁRIOS'!$G$5:$G$500,"G",'LANÇAMENTOS DIÁRIOS'!$C$5:$C$500,$A14,'LANÇAMENTOS DIÁRIOS'!$O$5:$O$500,"&lt;=122879",'LANÇAMENTOS DIÁRIOS'!$P$5:$P$500,"&gt;=122780")&gt;0,"X","")</f>
      </c>
      <c r="BE14" s="56" t="str">
        <f>IF(COUNTIFS('LANÇAMENTOS DIÁRIOS'!$G$5:$G$500,"G",'LANÇAMENTOS DIÁRIOS'!$C$5:$C$500,$A14,'LANÇAMENTOS DIÁRIOS'!$O$5:$O$500,"&lt;=122979",'LANÇAMENTOS DIÁRIOS'!$P$5:$P$500,"&gt;=122880")&gt;0,"X","")</f>
      </c>
      <c r="BF14" s="56" t="str">
        <f>IF(COUNTIFS('LANÇAMENTOS DIÁRIOS'!$G$5:$G$500,"G",'LANÇAMENTOS DIÁRIOS'!$C$5:$C$500,$A14,'LANÇAMENTOS DIÁRIOS'!$O$5:$O$500,"&lt;=123079",'LANÇAMENTOS DIÁRIOS'!$P$5:$P$500,"&gt;=122980")&gt;0,"X","")</f>
      </c>
      <c r="BG14" s="56" t="str">
        <f>IF(COUNTIFS('LANÇAMENTOS DIÁRIOS'!$G$5:$G$500,"G",'LANÇAMENTOS DIÁRIOS'!$C$5:$C$500,$A14,'LANÇAMENTOS DIÁRIOS'!$O$5:$O$500,"&lt;=123179",'LANÇAMENTOS DIÁRIOS'!$P$5:$P$500,"&gt;=123080")&gt;0,"X","")</f>
      </c>
      <c r="BH14" s="56" t="str">
        <f>IF(COUNTIFS('LANÇAMENTOS DIÁRIOS'!$G$5:$G$500,"G",'LANÇAMENTOS DIÁRIOS'!$C$5:$C$500,$A14,'LANÇAMENTOS DIÁRIOS'!$O$5:$O$500,"&lt;=123279",'LANÇAMENTOS DIÁRIOS'!$P$5:$P$500,"&gt;=123180")&gt;0,"X","")</f>
      </c>
      <c r="BI14" s="56" t="str">
        <f>IF(COUNTIFS('LANÇAMENTOS DIÁRIOS'!$G$5:$G$500,"G",'LANÇAMENTOS DIÁRIOS'!$C$5:$C$500,$A14,'LANÇAMENTOS DIÁRIOS'!$O$5:$O$500,"&lt;=123379",'LANÇAMENTOS DIÁRIOS'!$P$5:$P$500,"&gt;=123280")&gt;0,"X","")</f>
      </c>
      <c r="BJ14" s="56" t="str">
        <f>IF(COUNTIFS('LANÇAMENTOS DIÁRIOS'!$G$5:$G$500,"G",'LANÇAMENTOS DIÁRIOS'!$C$5:$C$500,$A14,'LANÇAMENTOS DIÁRIOS'!$O$5:$O$500,"&lt;=123479",'LANÇAMENTOS DIÁRIOS'!$P$5:$P$500,"&gt;=123380")&gt;0,"X","")</f>
      </c>
      <c r="BK14" s="56" t="str">
        <f>IF(COUNTIFS('LANÇAMENTOS DIÁRIOS'!$G$5:$G$500,"G",'LANÇAMENTOS DIÁRIOS'!$C$5:$C$500,$A14,'LANÇAMENTOS DIÁRIOS'!$O$5:$O$500,"&lt;=123480",'LANÇAMENTOS DIÁRIOS'!$P$5:$P$500,"&gt;=123480")&gt;0,"X","")</f>
      </c>
    </row>
    <row r="15">
      <c r="A15" s="51" t="str">
        <v>Remoção de terminal absorvedor de energia.m</v>
      </c>
      <c r="B15" s="56" t="str">
        <f>IF(COUNTIFS('LANÇAMENTOS DIÁRIOS'!$G$5:$G$500,"G",'LANÇAMENTOS DIÁRIOS'!$C$5:$C$500,$A15,'LANÇAMENTOS DIÁRIOS'!$O$5:$O$500,"&lt;=117479",'LANÇAMENTOS DIÁRIOS'!$P$5:$P$500,"&gt;=117380")&gt;0,"X","")</f>
      </c>
      <c r="C15" s="56" t="str">
        <f>IF(COUNTIFS('LANÇAMENTOS DIÁRIOS'!$G$5:$G$500,"G",'LANÇAMENTOS DIÁRIOS'!$C$5:$C$500,$A15,'LANÇAMENTOS DIÁRIOS'!$O$5:$O$500,"&lt;=117579",'LANÇAMENTOS DIÁRIOS'!$P$5:$P$500,"&gt;=117480")&gt;0,"X","")</f>
      </c>
      <c r="D15" s="56" t="str">
        <f>IF(COUNTIFS('LANÇAMENTOS DIÁRIOS'!$G$5:$G$500,"G",'LANÇAMENTOS DIÁRIOS'!$C$5:$C$500,$A15,'LANÇAMENTOS DIÁRIOS'!$O$5:$O$500,"&lt;=117679",'LANÇAMENTOS DIÁRIOS'!$P$5:$P$500,"&gt;=117580")&gt;0,"X","")</f>
      </c>
      <c r="E15" s="56" t="str">
        <f>IF(COUNTIFS('LANÇAMENTOS DIÁRIOS'!$G$5:$G$500,"G",'LANÇAMENTOS DIÁRIOS'!$C$5:$C$500,$A15,'LANÇAMENTOS DIÁRIOS'!$O$5:$O$500,"&lt;=117779",'LANÇAMENTOS DIÁRIOS'!$P$5:$P$500,"&gt;=117680")&gt;0,"X","")</f>
      </c>
      <c r="F15" s="56" t="str">
        <f>IF(COUNTIFS('LANÇAMENTOS DIÁRIOS'!$G$5:$G$500,"G",'LANÇAMENTOS DIÁRIOS'!$C$5:$C$500,$A15,'LANÇAMENTOS DIÁRIOS'!$O$5:$O$500,"&lt;=117879",'LANÇAMENTOS DIÁRIOS'!$P$5:$P$500,"&gt;=117780")&gt;0,"X","")</f>
      </c>
      <c r="G15" s="56" t="str">
        <f>IF(COUNTIFS('LANÇAMENTOS DIÁRIOS'!$G$5:$G$500,"G",'LANÇAMENTOS DIÁRIOS'!$C$5:$C$500,$A15,'LANÇAMENTOS DIÁRIOS'!$O$5:$O$500,"&lt;=117979",'LANÇAMENTOS DIÁRIOS'!$P$5:$P$500,"&gt;=117880")&gt;0,"X","")</f>
      </c>
      <c r="H15" s="56" t="str">
        <f>IF(COUNTIFS('LANÇAMENTOS DIÁRIOS'!$G$5:$G$500,"G",'LANÇAMENTOS DIÁRIOS'!$C$5:$C$500,$A15,'LANÇAMENTOS DIÁRIOS'!$O$5:$O$500,"&lt;=118079",'LANÇAMENTOS DIÁRIOS'!$P$5:$P$500,"&gt;=117980")&gt;0,"X","")</f>
      </c>
      <c r="I15" s="56" t="str">
        <f>IF(COUNTIFS('LANÇAMENTOS DIÁRIOS'!$G$5:$G$500,"G",'LANÇAMENTOS DIÁRIOS'!$C$5:$C$500,$A15,'LANÇAMENTOS DIÁRIOS'!$O$5:$O$500,"&lt;=118179",'LANÇAMENTOS DIÁRIOS'!$P$5:$P$500,"&gt;=118080")&gt;0,"X","")</f>
      </c>
      <c r="J15" s="56" t="str">
        <f>IF(COUNTIFS('LANÇAMENTOS DIÁRIOS'!$G$5:$G$500,"G",'LANÇAMENTOS DIÁRIOS'!$C$5:$C$500,$A15,'LANÇAMENTOS DIÁRIOS'!$O$5:$O$500,"&lt;=118279",'LANÇAMENTOS DIÁRIOS'!$P$5:$P$500,"&gt;=118180")&gt;0,"X","")</f>
      </c>
      <c r="K15" s="56" t="str">
        <f>IF(COUNTIFS('LANÇAMENTOS DIÁRIOS'!$G$5:$G$500,"G",'LANÇAMENTOS DIÁRIOS'!$C$5:$C$500,$A15,'LANÇAMENTOS DIÁRIOS'!$O$5:$O$500,"&lt;=118379",'LANÇAMENTOS DIÁRIOS'!$P$5:$P$500,"&gt;=118280")&gt;0,"X","")</f>
      </c>
      <c r="L15" s="56" t="str">
        <f>IF(COUNTIFS('LANÇAMENTOS DIÁRIOS'!$G$5:$G$500,"G",'LANÇAMENTOS DIÁRIOS'!$C$5:$C$500,$A15,'LANÇAMENTOS DIÁRIOS'!$O$5:$O$500,"&lt;=118479",'LANÇAMENTOS DIÁRIOS'!$P$5:$P$500,"&gt;=118380")&gt;0,"X","")</f>
      </c>
      <c r="M15" s="56" t="str">
        <f>IF(COUNTIFS('LANÇAMENTOS DIÁRIOS'!$G$5:$G$500,"G",'LANÇAMENTOS DIÁRIOS'!$C$5:$C$500,$A15,'LANÇAMENTOS DIÁRIOS'!$O$5:$O$500,"&lt;=118579",'LANÇAMENTOS DIÁRIOS'!$P$5:$P$500,"&gt;=118480")&gt;0,"X","")</f>
      </c>
      <c r="N15" s="56" t="str">
        <f>IF(COUNTIFS('LANÇAMENTOS DIÁRIOS'!$G$5:$G$500,"G",'LANÇAMENTOS DIÁRIOS'!$C$5:$C$500,$A15,'LANÇAMENTOS DIÁRIOS'!$O$5:$O$500,"&lt;=118679",'LANÇAMENTOS DIÁRIOS'!$P$5:$P$500,"&gt;=118580")&gt;0,"X","")</f>
      </c>
      <c r="O15" s="56" t="str">
        <f>IF(COUNTIFS('LANÇAMENTOS DIÁRIOS'!$G$5:$G$500,"G",'LANÇAMENTOS DIÁRIOS'!$C$5:$C$500,$A15,'LANÇAMENTOS DIÁRIOS'!$O$5:$O$500,"&lt;=118779",'LANÇAMENTOS DIÁRIOS'!$P$5:$P$500,"&gt;=118680")&gt;0,"X","")</f>
      </c>
      <c r="P15" s="56" t="str">
        <f>IF(COUNTIFS('LANÇAMENTOS DIÁRIOS'!$G$5:$G$500,"G",'LANÇAMENTOS DIÁRIOS'!$C$5:$C$500,$A15,'LANÇAMENTOS DIÁRIOS'!$O$5:$O$500,"&lt;=118879",'LANÇAMENTOS DIÁRIOS'!$P$5:$P$500,"&gt;=118780")&gt;0,"X","")</f>
      </c>
      <c r="Q15" s="56" t="str">
        <f>IF(COUNTIFS('LANÇAMENTOS DIÁRIOS'!$G$5:$G$500,"G",'LANÇAMENTOS DIÁRIOS'!$C$5:$C$500,$A15,'LANÇAMENTOS DIÁRIOS'!$O$5:$O$500,"&lt;=118979",'LANÇAMENTOS DIÁRIOS'!$P$5:$P$500,"&gt;=118880")&gt;0,"X","")</f>
      </c>
      <c r="R15" s="56" t="str">
        <f>IF(COUNTIFS('LANÇAMENTOS DIÁRIOS'!$G$5:$G$500,"G",'LANÇAMENTOS DIÁRIOS'!$C$5:$C$500,$A15,'LANÇAMENTOS DIÁRIOS'!$O$5:$O$500,"&lt;=119079",'LANÇAMENTOS DIÁRIOS'!$P$5:$P$500,"&gt;=118980")&gt;0,"X","")</f>
      </c>
      <c r="S15" s="56" t="str">
        <f>IF(COUNTIFS('LANÇAMENTOS DIÁRIOS'!$G$5:$G$500,"G",'LANÇAMENTOS DIÁRIOS'!$C$5:$C$500,$A15,'LANÇAMENTOS DIÁRIOS'!$O$5:$O$500,"&lt;=119179",'LANÇAMENTOS DIÁRIOS'!$P$5:$P$500,"&gt;=119080")&gt;0,"X","")</f>
      </c>
      <c r="T15" s="56" t="str">
        <f>IF(COUNTIFS('LANÇAMENTOS DIÁRIOS'!$G$5:$G$500,"G",'LANÇAMENTOS DIÁRIOS'!$C$5:$C$500,$A15,'LANÇAMENTOS DIÁRIOS'!$O$5:$O$500,"&lt;=119279",'LANÇAMENTOS DIÁRIOS'!$P$5:$P$500,"&gt;=119180")&gt;0,"X","")</f>
      </c>
      <c r="U15" s="56" t="str">
        <f>IF(COUNTIFS('LANÇAMENTOS DIÁRIOS'!$G$5:$G$500,"G",'LANÇAMENTOS DIÁRIOS'!$C$5:$C$500,$A15,'LANÇAMENTOS DIÁRIOS'!$O$5:$O$500,"&lt;=119379",'LANÇAMENTOS DIÁRIOS'!$P$5:$P$500,"&gt;=119280")&gt;0,"X","")</f>
      </c>
      <c r="V15" s="56" t="str">
        <f>IF(COUNTIFS('LANÇAMENTOS DIÁRIOS'!$G$5:$G$500,"G",'LANÇAMENTOS DIÁRIOS'!$C$5:$C$500,$A15,'LANÇAMENTOS DIÁRIOS'!$O$5:$O$500,"&lt;=119479",'LANÇAMENTOS DIÁRIOS'!$P$5:$P$500,"&gt;=119380")&gt;0,"X","")</f>
      </c>
      <c r="W15" s="56" t="str">
        <f>IF(COUNTIFS('LANÇAMENTOS DIÁRIOS'!$G$5:$G$500,"G",'LANÇAMENTOS DIÁRIOS'!$C$5:$C$500,$A15,'LANÇAMENTOS DIÁRIOS'!$O$5:$O$500,"&lt;=119579",'LANÇAMENTOS DIÁRIOS'!$P$5:$P$500,"&gt;=119480")&gt;0,"X","")</f>
      </c>
      <c r="X15" s="56" t="str">
        <f>IF(COUNTIFS('LANÇAMENTOS DIÁRIOS'!$G$5:$G$500,"G",'LANÇAMENTOS DIÁRIOS'!$C$5:$C$500,$A15,'LANÇAMENTOS DIÁRIOS'!$O$5:$O$500,"&lt;=119679",'LANÇAMENTOS DIÁRIOS'!$P$5:$P$500,"&gt;=119580")&gt;0,"X","")</f>
      </c>
      <c r="Y15" s="56" t="str">
        <f>IF(COUNTIFS('LANÇAMENTOS DIÁRIOS'!$G$5:$G$500,"G",'LANÇAMENTOS DIÁRIOS'!$C$5:$C$500,$A15,'LANÇAMENTOS DIÁRIOS'!$O$5:$O$500,"&lt;=119779",'LANÇAMENTOS DIÁRIOS'!$P$5:$P$500,"&gt;=119680")&gt;0,"X","")</f>
      </c>
      <c r="Z15" s="56" t="str">
        <f>IF(COUNTIFS('LANÇAMENTOS DIÁRIOS'!$G$5:$G$500,"G",'LANÇAMENTOS DIÁRIOS'!$C$5:$C$500,$A15,'LANÇAMENTOS DIÁRIOS'!$O$5:$O$500,"&lt;=119879",'LANÇAMENTOS DIÁRIOS'!$P$5:$P$500,"&gt;=119780")&gt;0,"X","")</f>
      </c>
      <c r="AA15" s="56" t="str">
        <f>IF(COUNTIFS('LANÇAMENTOS DIÁRIOS'!$G$5:$G$500,"G",'LANÇAMENTOS DIÁRIOS'!$C$5:$C$500,$A15,'LANÇAMENTOS DIÁRIOS'!$O$5:$O$500,"&lt;=119979",'LANÇAMENTOS DIÁRIOS'!$P$5:$P$500,"&gt;=119880")&gt;0,"X","")</f>
      </c>
      <c r="AB15" s="56" t="str">
        <f>IF(COUNTIFS('LANÇAMENTOS DIÁRIOS'!$G$5:$G$500,"G",'LANÇAMENTOS DIÁRIOS'!$C$5:$C$500,$A15,'LANÇAMENTOS DIÁRIOS'!$O$5:$O$500,"&lt;=120079",'LANÇAMENTOS DIÁRIOS'!$P$5:$P$500,"&gt;=119980")&gt;0,"X","")</f>
      </c>
      <c r="AC15" s="56" t="str">
        <f>IF(COUNTIFS('LANÇAMENTOS DIÁRIOS'!$G$5:$G$500,"G",'LANÇAMENTOS DIÁRIOS'!$C$5:$C$500,$A15,'LANÇAMENTOS DIÁRIOS'!$O$5:$O$500,"&lt;=120179",'LANÇAMENTOS DIÁRIOS'!$P$5:$P$500,"&gt;=120080")&gt;0,"X","")</f>
      </c>
      <c r="AD15" s="56" t="str">
        <f>IF(COUNTIFS('LANÇAMENTOS DIÁRIOS'!$G$5:$G$500,"G",'LANÇAMENTOS DIÁRIOS'!$C$5:$C$500,$A15,'LANÇAMENTOS DIÁRIOS'!$O$5:$O$500,"&lt;=120279",'LANÇAMENTOS DIÁRIOS'!$P$5:$P$500,"&gt;=120180")&gt;0,"X","")</f>
      </c>
      <c r="AE15" s="56" t="str">
        <f>IF(COUNTIFS('LANÇAMENTOS DIÁRIOS'!$G$5:$G$500,"G",'LANÇAMENTOS DIÁRIOS'!$C$5:$C$500,$A15,'LANÇAMENTOS DIÁRIOS'!$O$5:$O$500,"&lt;=120379",'LANÇAMENTOS DIÁRIOS'!$P$5:$P$500,"&gt;=120280")&gt;0,"X","")</f>
      </c>
      <c r="AF15" s="56" t="str">
        <f>IF(COUNTIFS('LANÇAMENTOS DIÁRIOS'!$G$5:$G$500,"G",'LANÇAMENTOS DIÁRIOS'!$C$5:$C$500,$A15,'LANÇAMENTOS DIÁRIOS'!$O$5:$O$500,"&lt;=120479",'LANÇAMENTOS DIÁRIOS'!$P$5:$P$500,"&gt;=120380")&gt;0,"X","")</f>
      </c>
      <c r="AG15" s="56" t="str">
        <f>IF(COUNTIFS('LANÇAMENTOS DIÁRIOS'!$G$5:$G$500,"G",'LANÇAMENTOS DIÁRIOS'!$C$5:$C$500,$A15,'LANÇAMENTOS DIÁRIOS'!$O$5:$O$500,"&lt;=120579",'LANÇAMENTOS DIÁRIOS'!$P$5:$P$500,"&gt;=120480")&gt;0,"X","")</f>
      </c>
      <c r="AH15" s="56" t="str">
        <f>IF(COUNTIFS('LANÇAMENTOS DIÁRIOS'!$G$5:$G$500,"G",'LANÇAMENTOS DIÁRIOS'!$C$5:$C$500,$A15,'LANÇAMENTOS DIÁRIOS'!$O$5:$O$500,"&lt;=120679",'LANÇAMENTOS DIÁRIOS'!$P$5:$P$500,"&gt;=120580")&gt;0,"X","")</f>
      </c>
      <c r="AI15" s="56" t="str">
        <f>IF(COUNTIFS('LANÇAMENTOS DIÁRIOS'!$G$5:$G$500,"G",'LANÇAMENTOS DIÁRIOS'!$C$5:$C$500,$A15,'LANÇAMENTOS DIÁRIOS'!$O$5:$O$500,"&lt;=120779",'LANÇAMENTOS DIÁRIOS'!$P$5:$P$500,"&gt;=120680")&gt;0,"X","")</f>
      </c>
      <c r="AJ15" s="56" t="str">
        <f>IF(COUNTIFS('LANÇAMENTOS DIÁRIOS'!$G$5:$G$500,"G",'LANÇAMENTOS DIÁRIOS'!$C$5:$C$500,$A15,'LANÇAMENTOS DIÁRIOS'!$O$5:$O$500,"&lt;=120879",'LANÇAMENTOS DIÁRIOS'!$P$5:$P$500,"&gt;=120780")&gt;0,"X","")</f>
      </c>
      <c r="AK15" s="56" t="str">
        <f>IF(COUNTIFS('LANÇAMENTOS DIÁRIOS'!$G$5:$G$500,"G",'LANÇAMENTOS DIÁRIOS'!$C$5:$C$500,$A15,'LANÇAMENTOS DIÁRIOS'!$O$5:$O$500,"&lt;=120979",'LANÇAMENTOS DIÁRIOS'!$P$5:$P$500,"&gt;=120880")&gt;0,"X","")</f>
      </c>
      <c r="AL15" s="56" t="str">
        <f>IF(COUNTIFS('LANÇAMENTOS DIÁRIOS'!$G$5:$G$500,"G",'LANÇAMENTOS DIÁRIOS'!$C$5:$C$500,$A15,'LANÇAMENTOS DIÁRIOS'!$O$5:$O$500,"&lt;=121079",'LANÇAMENTOS DIÁRIOS'!$P$5:$P$500,"&gt;=120980")&gt;0,"X","")</f>
      </c>
      <c r="AM15" s="56" t="str">
        <f>IF(COUNTIFS('LANÇAMENTOS DIÁRIOS'!$G$5:$G$500,"G",'LANÇAMENTOS DIÁRIOS'!$C$5:$C$500,$A15,'LANÇAMENTOS DIÁRIOS'!$O$5:$O$500,"&lt;=121179",'LANÇAMENTOS DIÁRIOS'!$P$5:$P$500,"&gt;=121080")&gt;0,"X","")</f>
      </c>
      <c r="AN15" s="56" t="str">
        <f>IF(COUNTIFS('LANÇAMENTOS DIÁRIOS'!$G$5:$G$500,"G",'LANÇAMENTOS DIÁRIOS'!$C$5:$C$500,$A15,'LANÇAMENTOS DIÁRIOS'!$O$5:$O$500,"&lt;=121279",'LANÇAMENTOS DIÁRIOS'!$P$5:$P$500,"&gt;=121180")&gt;0,"X","")</f>
      </c>
      <c r="AO15" s="56" t="str">
        <f>IF(COUNTIFS('LANÇAMENTOS DIÁRIOS'!$G$5:$G$500,"G",'LANÇAMENTOS DIÁRIOS'!$C$5:$C$500,$A15,'LANÇAMENTOS DIÁRIOS'!$O$5:$O$500,"&lt;=121379",'LANÇAMENTOS DIÁRIOS'!$P$5:$P$500,"&gt;=121280")&gt;0,"X","")</f>
      </c>
      <c r="AP15" s="56" t="str">
        <f>IF(COUNTIFS('LANÇAMENTOS DIÁRIOS'!$G$5:$G$500,"G",'LANÇAMENTOS DIÁRIOS'!$C$5:$C$500,$A15,'LANÇAMENTOS DIÁRIOS'!$O$5:$O$500,"&lt;=121479",'LANÇAMENTOS DIÁRIOS'!$P$5:$P$500,"&gt;=121380")&gt;0,"X","")</f>
      </c>
      <c r="AQ15" s="56" t="str">
        <f>IF(COUNTIFS('LANÇAMENTOS DIÁRIOS'!$G$5:$G$500,"G",'LANÇAMENTOS DIÁRIOS'!$C$5:$C$500,$A15,'LANÇAMENTOS DIÁRIOS'!$O$5:$O$500,"&lt;=121579",'LANÇAMENTOS DIÁRIOS'!$P$5:$P$500,"&gt;=121480")&gt;0,"X","")</f>
      </c>
      <c r="AR15" s="56" t="str">
        <f>IF(COUNTIFS('LANÇAMENTOS DIÁRIOS'!$G$5:$G$500,"G",'LANÇAMENTOS DIÁRIOS'!$C$5:$C$500,$A15,'LANÇAMENTOS DIÁRIOS'!$O$5:$O$500,"&lt;=121679",'LANÇAMENTOS DIÁRIOS'!$P$5:$P$500,"&gt;=121580")&gt;0,"X","")</f>
      </c>
      <c r="AS15" s="56" t="str">
        <f>IF(COUNTIFS('LANÇAMENTOS DIÁRIOS'!$G$5:$G$500,"G",'LANÇAMENTOS DIÁRIOS'!$C$5:$C$500,$A15,'LANÇAMENTOS DIÁRIOS'!$O$5:$O$500,"&lt;=121779",'LANÇAMENTOS DIÁRIOS'!$P$5:$P$500,"&gt;=121680")&gt;0,"X","")</f>
      </c>
      <c r="AT15" s="56" t="str">
        <f>IF(COUNTIFS('LANÇAMENTOS DIÁRIOS'!$G$5:$G$500,"G",'LANÇAMENTOS DIÁRIOS'!$C$5:$C$500,$A15,'LANÇAMENTOS DIÁRIOS'!$O$5:$O$500,"&lt;=121879",'LANÇAMENTOS DIÁRIOS'!$P$5:$P$500,"&gt;=121780")&gt;0,"X","")</f>
      </c>
      <c r="AU15" s="56" t="str">
        <f>IF(COUNTIFS('LANÇAMENTOS DIÁRIOS'!$G$5:$G$500,"G",'LANÇAMENTOS DIÁRIOS'!$C$5:$C$500,$A15,'LANÇAMENTOS DIÁRIOS'!$O$5:$O$500,"&lt;=121979",'LANÇAMENTOS DIÁRIOS'!$P$5:$P$500,"&gt;=121880")&gt;0,"X","")</f>
      </c>
      <c r="AV15" s="56" t="str">
        <f>IF(COUNTIFS('LANÇAMENTOS DIÁRIOS'!$G$5:$G$500,"G",'LANÇAMENTOS DIÁRIOS'!$C$5:$C$500,$A15,'LANÇAMENTOS DIÁRIOS'!$O$5:$O$500,"&lt;=122079",'LANÇAMENTOS DIÁRIOS'!$P$5:$P$500,"&gt;=121980")&gt;0,"X","")</f>
      </c>
      <c r="AW15" s="56" t="str">
        <f>IF(COUNTIFS('LANÇAMENTOS DIÁRIOS'!$G$5:$G$500,"G",'LANÇAMENTOS DIÁRIOS'!$C$5:$C$500,$A15,'LANÇAMENTOS DIÁRIOS'!$O$5:$O$500,"&lt;=122179",'LANÇAMENTOS DIÁRIOS'!$P$5:$P$500,"&gt;=122080")&gt;0,"X","")</f>
      </c>
      <c r="AX15" s="56" t="str">
        <f>IF(COUNTIFS('LANÇAMENTOS DIÁRIOS'!$G$5:$G$500,"G",'LANÇAMENTOS DIÁRIOS'!$C$5:$C$500,$A15,'LANÇAMENTOS DIÁRIOS'!$O$5:$O$500,"&lt;=122279",'LANÇAMENTOS DIÁRIOS'!$P$5:$P$500,"&gt;=122180")&gt;0,"X","")</f>
      </c>
      <c r="AY15" s="56" t="str">
        <f>IF(COUNTIFS('LANÇAMENTOS DIÁRIOS'!$G$5:$G$500,"G",'LANÇAMENTOS DIÁRIOS'!$C$5:$C$500,$A15,'LANÇAMENTOS DIÁRIOS'!$O$5:$O$500,"&lt;=122379",'LANÇAMENTOS DIÁRIOS'!$P$5:$P$500,"&gt;=122280")&gt;0,"X","")</f>
      </c>
      <c r="AZ15" s="56" t="str">
        <f>IF(COUNTIFS('LANÇAMENTOS DIÁRIOS'!$G$5:$G$500,"G",'LANÇAMENTOS DIÁRIOS'!$C$5:$C$500,$A15,'LANÇAMENTOS DIÁRIOS'!$O$5:$O$500,"&lt;=122479",'LANÇAMENTOS DIÁRIOS'!$P$5:$P$500,"&gt;=122380")&gt;0,"X","")</f>
      </c>
      <c r="BA15" s="56" t="str">
        <f>IF(COUNTIFS('LANÇAMENTOS DIÁRIOS'!$G$5:$G$500,"G",'LANÇAMENTOS DIÁRIOS'!$C$5:$C$500,$A15,'LANÇAMENTOS DIÁRIOS'!$O$5:$O$500,"&lt;=122579",'LANÇAMENTOS DIÁRIOS'!$P$5:$P$500,"&gt;=122480")&gt;0,"X","")</f>
      </c>
      <c r="BB15" s="56" t="str">
        <f>IF(COUNTIFS('LANÇAMENTOS DIÁRIOS'!$G$5:$G$500,"G",'LANÇAMENTOS DIÁRIOS'!$C$5:$C$500,$A15,'LANÇAMENTOS DIÁRIOS'!$O$5:$O$500,"&lt;=122679",'LANÇAMENTOS DIÁRIOS'!$P$5:$P$500,"&gt;=122580")&gt;0,"X","")</f>
      </c>
      <c r="BC15" s="56" t="str">
        <f>IF(COUNTIFS('LANÇAMENTOS DIÁRIOS'!$G$5:$G$500,"G",'LANÇAMENTOS DIÁRIOS'!$C$5:$C$500,$A15,'LANÇAMENTOS DIÁRIOS'!$O$5:$O$500,"&lt;=122779",'LANÇAMENTOS DIÁRIOS'!$P$5:$P$500,"&gt;=122680")&gt;0,"X","")</f>
      </c>
      <c r="BD15" s="56" t="str">
        <f>IF(COUNTIFS('LANÇAMENTOS DIÁRIOS'!$G$5:$G$500,"G",'LANÇAMENTOS DIÁRIOS'!$C$5:$C$500,$A15,'LANÇAMENTOS DIÁRIOS'!$O$5:$O$500,"&lt;=122879",'LANÇAMENTOS DIÁRIOS'!$P$5:$P$500,"&gt;=122780")&gt;0,"X","")</f>
      </c>
      <c r="BE15" s="56" t="str">
        <f>IF(COUNTIFS('LANÇAMENTOS DIÁRIOS'!$G$5:$G$500,"G",'LANÇAMENTOS DIÁRIOS'!$C$5:$C$500,$A15,'LANÇAMENTOS DIÁRIOS'!$O$5:$O$500,"&lt;=122979",'LANÇAMENTOS DIÁRIOS'!$P$5:$P$500,"&gt;=122880")&gt;0,"X","")</f>
      </c>
      <c r="BF15" s="56" t="str">
        <f>IF(COUNTIFS('LANÇAMENTOS DIÁRIOS'!$G$5:$G$500,"G",'LANÇAMENTOS DIÁRIOS'!$C$5:$C$500,$A15,'LANÇAMENTOS DIÁRIOS'!$O$5:$O$500,"&lt;=123079",'LANÇAMENTOS DIÁRIOS'!$P$5:$P$500,"&gt;=122980")&gt;0,"X","")</f>
      </c>
      <c r="BG15" s="56" t="str">
        <f>IF(COUNTIFS('LANÇAMENTOS DIÁRIOS'!$G$5:$G$500,"G",'LANÇAMENTOS DIÁRIOS'!$C$5:$C$500,$A15,'LANÇAMENTOS DIÁRIOS'!$O$5:$O$500,"&lt;=123179",'LANÇAMENTOS DIÁRIOS'!$P$5:$P$500,"&gt;=123080")&gt;0,"X","")</f>
      </c>
      <c r="BH15" s="56" t="str">
        <f>IF(COUNTIFS('LANÇAMENTOS DIÁRIOS'!$G$5:$G$500,"G",'LANÇAMENTOS DIÁRIOS'!$C$5:$C$500,$A15,'LANÇAMENTOS DIÁRIOS'!$O$5:$O$500,"&lt;=123279",'LANÇAMENTOS DIÁRIOS'!$P$5:$P$500,"&gt;=123180")&gt;0,"X","")</f>
      </c>
      <c r="BI15" s="56" t="str">
        <f>IF(COUNTIFS('LANÇAMENTOS DIÁRIOS'!$G$5:$G$500,"G",'LANÇAMENTOS DIÁRIOS'!$C$5:$C$500,$A15,'LANÇAMENTOS DIÁRIOS'!$O$5:$O$500,"&lt;=123379",'LANÇAMENTOS DIÁRIOS'!$P$5:$P$500,"&gt;=123280")&gt;0,"X","")</f>
      </c>
      <c r="BJ15" s="56" t="str">
        <f>IF(COUNTIFS('LANÇAMENTOS DIÁRIOS'!$G$5:$G$500,"G",'LANÇAMENTOS DIÁRIOS'!$C$5:$C$500,$A15,'LANÇAMENTOS DIÁRIOS'!$O$5:$O$500,"&lt;=123479",'LANÇAMENTOS DIÁRIOS'!$P$5:$P$500,"&gt;=123380")&gt;0,"X","")</f>
      </c>
      <c r="BK15" s="56" t="str">
        <f>IF(COUNTIFS('LANÇAMENTOS DIÁRIOS'!$G$5:$G$500,"G",'LANÇAMENTOS DIÁRIOS'!$C$5:$C$500,$A15,'LANÇAMENTOS DIÁRIOS'!$O$5:$O$500,"&lt;=123480",'LANÇAMENTOS DIÁRIOS'!$P$5:$P$500,"&gt;=123480")&gt;0,"X","")</f>
      </c>
    </row>
    <row r="16" ht="19" customHeight="1">
      <c r="A16" s="68" t="str">
        <v>Desvio de tráfego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</row>
    <row r="17">
      <c r="A17" s="51" t="str">
        <v>Desvio de tráfego</v>
      </c>
      <c r="B17" s="56" t="str">
        <f>IF(COUNTIFS('LANÇAMENTOS DIÁRIOS'!$G$5:$G$500,"G",'LANÇAMENTOS DIÁRIOS'!$C$5:$C$500,$A17,'LANÇAMENTOS DIÁRIOS'!$O$5:$O$500,"&lt;=117479",'LANÇAMENTOS DIÁRIOS'!$P$5:$P$500,"&gt;=117380")&gt;0,"X","")</f>
      </c>
      <c r="C17" s="56" t="str">
        <f>IF(COUNTIFS('LANÇAMENTOS DIÁRIOS'!$G$5:$G$500,"G",'LANÇAMENTOS DIÁRIOS'!$C$5:$C$500,$A17,'LANÇAMENTOS DIÁRIOS'!$O$5:$O$500,"&lt;=117579",'LANÇAMENTOS DIÁRIOS'!$P$5:$P$500,"&gt;=117480")&gt;0,"X","")</f>
      </c>
      <c r="D17" s="56" t="str">
        <f>IF(COUNTIFS('LANÇAMENTOS DIÁRIOS'!$G$5:$G$500,"G",'LANÇAMENTOS DIÁRIOS'!$C$5:$C$500,$A17,'LANÇAMENTOS DIÁRIOS'!$O$5:$O$500,"&lt;=117679",'LANÇAMENTOS DIÁRIOS'!$P$5:$P$500,"&gt;=117580")&gt;0,"X","")</f>
      </c>
      <c r="E17" s="56" t="str">
        <f>IF(COUNTIFS('LANÇAMENTOS DIÁRIOS'!$G$5:$G$500,"G",'LANÇAMENTOS DIÁRIOS'!$C$5:$C$500,$A17,'LANÇAMENTOS DIÁRIOS'!$O$5:$O$500,"&lt;=117779",'LANÇAMENTOS DIÁRIOS'!$P$5:$P$500,"&gt;=117680")&gt;0,"X","")</f>
      </c>
      <c r="F17" s="56" t="str">
        <f>IF(COUNTIFS('LANÇAMENTOS DIÁRIOS'!$G$5:$G$500,"G",'LANÇAMENTOS DIÁRIOS'!$C$5:$C$500,$A17,'LANÇAMENTOS DIÁRIOS'!$O$5:$O$500,"&lt;=117879",'LANÇAMENTOS DIÁRIOS'!$P$5:$P$500,"&gt;=117780")&gt;0,"X","")</f>
      </c>
      <c r="G17" s="56" t="str">
        <f>IF(COUNTIFS('LANÇAMENTOS DIÁRIOS'!$G$5:$G$500,"G",'LANÇAMENTOS DIÁRIOS'!$C$5:$C$500,$A17,'LANÇAMENTOS DIÁRIOS'!$O$5:$O$500,"&lt;=117979",'LANÇAMENTOS DIÁRIOS'!$P$5:$P$500,"&gt;=117880")&gt;0,"X","")</f>
      </c>
      <c r="H17" s="56" t="str">
        <f>IF(COUNTIFS('LANÇAMENTOS DIÁRIOS'!$G$5:$G$500,"G",'LANÇAMENTOS DIÁRIOS'!$C$5:$C$500,$A17,'LANÇAMENTOS DIÁRIOS'!$O$5:$O$500,"&lt;=118079",'LANÇAMENTOS DIÁRIOS'!$P$5:$P$500,"&gt;=117980")&gt;0,"X","")</f>
      </c>
      <c r="I17" s="56" t="str">
        <f>IF(COUNTIFS('LANÇAMENTOS DIÁRIOS'!$G$5:$G$500,"G",'LANÇAMENTOS DIÁRIOS'!$C$5:$C$500,$A17,'LANÇAMENTOS DIÁRIOS'!$O$5:$O$500,"&lt;=118179",'LANÇAMENTOS DIÁRIOS'!$P$5:$P$500,"&gt;=118080")&gt;0,"X","")</f>
      </c>
      <c r="J17" s="56" t="str">
        <f>IF(COUNTIFS('LANÇAMENTOS DIÁRIOS'!$G$5:$G$500,"G",'LANÇAMENTOS DIÁRIOS'!$C$5:$C$500,$A17,'LANÇAMENTOS DIÁRIOS'!$O$5:$O$500,"&lt;=118279",'LANÇAMENTOS DIÁRIOS'!$P$5:$P$500,"&gt;=118180")&gt;0,"X","")</f>
      </c>
      <c r="K17" s="56" t="str">
        <f>IF(COUNTIFS('LANÇAMENTOS DIÁRIOS'!$G$5:$G$500,"G",'LANÇAMENTOS DIÁRIOS'!$C$5:$C$500,$A17,'LANÇAMENTOS DIÁRIOS'!$O$5:$O$500,"&lt;=118379",'LANÇAMENTOS DIÁRIOS'!$P$5:$P$500,"&gt;=118280")&gt;0,"X","")</f>
      </c>
      <c r="L17" s="56" t="str">
        <f>IF(COUNTIFS('LANÇAMENTOS DIÁRIOS'!$G$5:$G$500,"G",'LANÇAMENTOS DIÁRIOS'!$C$5:$C$500,$A17,'LANÇAMENTOS DIÁRIOS'!$O$5:$O$500,"&lt;=118479",'LANÇAMENTOS DIÁRIOS'!$P$5:$P$500,"&gt;=118380")&gt;0,"X","")</f>
      </c>
      <c r="M17" s="56" t="str">
        <f>IF(COUNTIFS('LANÇAMENTOS DIÁRIOS'!$G$5:$G$500,"G",'LANÇAMENTOS DIÁRIOS'!$C$5:$C$500,$A17,'LANÇAMENTOS DIÁRIOS'!$O$5:$O$500,"&lt;=118579",'LANÇAMENTOS DIÁRIOS'!$P$5:$P$500,"&gt;=118480")&gt;0,"X","")</f>
      </c>
      <c r="N17" s="56" t="str">
        <f>IF(COUNTIFS('LANÇAMENTOS DIÁRIOS'!$G$5:$G$500,"G",'LANÇAMENTOS DIÁRIOS'!$C$5:$C$500,$A17,'LANÇAMENTOS DIÁRIOS'!$O$5:$O$500,"&lt;=118679",'LANÇAMENTOS DIÁRIOS'!$P$5:$P$500,"&gt;=118580")&gt;0,"X","")</f>
      </c>
      <c r="O17" s="56" t="str">
        <f>IF(COUNTIFS('LANÇAMENTOS DIÁRIOS'!$G$5:$G$500,"G",'LANÇAMENTOS DIÁRIOS'!$C$5:$C$500,$A17,'LANÇAMENTOS DIÁRIOS'!$O$5:$O$500,"&lt;=118779",'LANÇAMENTOS DIÁRIOS'!$P$5:$P$500,"&gt;=118680")&gt;0,"X","")</f>
      </c>
      <c r="P17" s="56" t="str">
        <f>IF(COUNTIFS('LANÇAMENTOS DIÁRIOS'!$G$5:$G$500,"G",'LANÇAMENTOS DIÁRIOS'!$C$5:$C$500,$A17,'LANÇAMENTOS DIÁRIOS'!$O$5:$O$500,"&lt;=118879",'LANÇAMENTOS DIÁRIOS'!$P$5:$P$500,"&gt;=118780")&gt;0,"X","")</f>
      </c>
      <c r="Q17" s="56" t="str">
        <f>IF(COUNTIFS('LANÇAMENTOS DIÁRIOS'!$G$5:$G$500,"G",'LANÇAMENTOS DIÁRIOS'!$C$5:$C$500,$A17,'LANÇAMENTOS DIÁRIOS'!$O$5:$O$500,"&lt;=118979",'LANÇAMENTOS DIÁRIOS'!$P$5:$P$500,"&gt;=118880")&gt;0,"X","")</f>
      </c>
      <c r="R17" s="56" t="str">
        <f>IF(COUNTIFS('LANÇAMENTOS DIÁRIOS'!$G$5:$G$500,"G",'LANÇAMENTOS DIÁRIOS'!$C$5:$C$500,$A17,'LANÇAMENTOS DIÁRIOS'!$O$5:$O$500,"&lt;=119079",'LANÇAMENTOS DIÁRIOS'!$P$5:$P$500,"&gt;=118980")&gt;0,"X","")</f>
      </c>
      <c r="S17" s="56" t="str">
        <f>IF(COUNTIFS('LANÇAMENTOS DIÁRIOS'!$G$5:$G$500,"G",'LANÇAMENTOS DIÁRIOS'!$C$5:$C$500,$A17,'LANÇAMENTOS DIÁRIOS'!$O$5:$O$500,"&lt;=119179",'LANÇAMENTOS DIÁRIOS'!$P$5:$P$500,"&gt;=119080")&gt;0,"X","")</f>
      </c>
      <c r="T17" s="56" t="str">
        <f>IF(COUNTIFS('LANÇAMENTOS DIÁRIOS'!$G$5:$G$500,"G",'LANÇAMENTOS DIÁRIOS'!$C$5:$C$500,$A17,'LANÇAMENTOS DIÁRIOS'!$O$5:$O$500,"&lt;=119279",'LANÇAMENTOS DIÁRIOS'!$P$5:$P$500,"&gt;=119180")&gt;0,"X","")</f>
      </c>
      <c r="U17" s="56" t="str">
        <f>IF(COUNTIFS('LANÇAMENTOS DIÁRIOS'!$G$5:$G$500,"G",'LANÇAMENTOS DIÁRIOS'!$C$5:$C$500,$A17,'LANÇAMENTOS DIÁRIOS'!$O$5:$O$500,"&lt;=119379",'LANÇAMENTOS DIÁRIOS'!$P$5:$P$500,"&gt;=119280")&gt;0,"X","")</f>
      </c>
      <c r="V17" s="56" t="str">
        <f>IF(COUNTIFS('LANÇAMENTOS DIÁRIOS'!$G$5:$G$500,"G",'LANÇAMENTOS DIÁRIOS'!$C$5:$C$500,$A17,'LANÇAMENTOS DIÁRIOS'!$O$5:$O$500,"&lt;=119479",'LANÇAMENTOS DIÁRIOS'!$P$5:$P$500,"&gt;=119380")&gt;0,"X","")</f>
      </c>
      <c r="W17" s="56" t="str">
        <f>IF(COUNTIFS('LANÇAMENTOS DIÁRIOS'!$G$5:$G$500,"G",'LANÇAMENTOS DIÁRIOS'!$C$5:$C$500,$A17,'LANÇAMENTOS DIÁRIOS'!$O$5:$O$500,"&lt;=119579",'LANÇAMENTOS DIÁRIOS'!$P$5:$P$500,"&gt;=119480")&gt;0,"X","")</f>
      </c>
      <c r="X17" s="56" t="str">
        <f>IF(COUNTIFS('LANÇAMENTOS DIÁRIOS'!$G$5:$G$500,"G",'LANÇAMENTOS DIÁRIOS'!$C$5:$C$500,$A17,'LANÇAMENTOS DIÁRIOS'!$O$5:$O$500,"&lt;=119679",'LANÇAMENTOS DIÁRIOS'!$P$5:$P$500,"&gt;=119580")&gt;0,"X","")</f>
      </c>
      <c r="Y17" s="56" t="str">
        <f>IF(COUNTIFS('LANÇAMENTOS DIÁRIOS'!$G$5:$G$500,"G",'LANÇAMENTOS DIÁRIOS'!$C$5:$C$500,$A17,'LANÇAMENTOS DIÁRIOS'!$O$5:$O$500,"&lt;=119779",'LANÇAMENTOS DIÁRIOS'!$P$5:$P$500,"&gt;=119680")&gt;0,"X","")</f>
      </c>
      <c r="Z17" s="56" t="str">
        <f>IF(COUNTIFS('LANÇAMENTOS DIÁRIOS'!$G$5:$G$500,"G",'LANÇAMENTOS DIÁRIOS'!$C$5:$C$500,$A17,'LANÇAMENTOS DIÁRIOS'!$O$5:$O$500,"&lt;=119879",'LANÇAMENTOS DIÁRIOS'!$P$5:$P$500,"&gt;=119780")&gt;0,"X","")</f>
      </c>
      <c r="AA17" s="56" t="str">
        <f>IF(COUNTIFS('LANÇAMENTOS DIÁRIOS'!$G$5:$G$500,"G",'LANÇAMENTOS DIÁRIOS'!$C$5:$C$500,$A17,'LANÇAMENTOS DIÁRIOS'!$O$5:$O$500,"&lt;=119979",'LANÇAMENTOS DIÁRIOS'!$P$5:$P$500,"&gt;=119880")&gt;0,"X","")</f>
      </c>
      <c r="AB17" s="56" t="str">
        <f>IF(COUNTIFS('LANÇAMENTOS DIÁRIOS'!$G$5:$G$500,"G",'LANÇAMENTOS DIÁRIOS'!$C$5:$C$500,$A17,'LANÇAMENTOS DIÁRIOS'!$O$5:$O$500,"&lt;=120079",'LANÇAMENTOS DIÁRIOS'!$P$5:$P$500,"&gt;=119980")&gt;0,"X","")</f>
      </c>
      <c r="AC17" s="56" t="str">
        <f>IF(COUNTIFS('LANÇAMENTOS DIÁRIOS'!$G$5:$G$500,"G",'LANÇAMENTOS DIÁRIOS'!$C$5:$C$500,$A17,'LANÇAMENTOS DIÁRIOS'!$O$5:$O$500,"&lt;=120179",'LANÇAMENTOS DIÁRIOS'!$P$5:$P$500,"&gt;=120080")&gt;0,"X","")</f>
      </c>
      <c r="AD17" s="56" t="str">
        <f>IF(COUNTIFS('LANÇAMENTOS DIÁRIOS'!$G$5:$G$500,"G",'LANÇAMENTOS DIÁRIOS'!$C$5:$C$500,$A17,'LANÇAMENTOS DIÁRIOS'!$O$5:$O$500,"&lt;=120279",'LANÇAMENTOS DIÁRIOS'!$P$5:$P$500,"&gt;=120180")&gt;0,"X","")</f>
      </c>
      <c r="AE17" s="56" t="str">
        <f>IF(COUNTIFS('LANÇAMENTOS DIÁRIOS'!$G$5:$G$500,"G",'LANÇAMENTOS DIÁRIOS'!$C$5:$C$500,$A17,'LANÇAMENTOS DIÁRIOS'!$O$5:$O$500,"&lt;=120379",'LANÇAMENTOS DIÁRIOS'!$P$5:$P$500,"&gt;=120280")&gt;0,"X","")</f>
      </c>
      <c r="AF17" s="56" t="str">
        <f>IF(COUNTIFS('LANÇAMENTOS DIÁRIOS'!$G$5:$G$500,"G",'LANÇAMENTOS DIÁRIOS'!$C$5:$C$500,$A17,'LANÇAMENTOS DIÁRIOS'!$O$5:$O$500,"&lt;=120479",'LANÇAMENTOS DIÁRIOS'!$P$5:$P$500,"&gt;=120380")&gt;0,"X","")</f>
      </c>
      <c r="AG17" s="56" t="str">
        <f>IF(COUNTIFS('LANÇAMENTOS DIÁRIOS'!$G$5:$G$500,"G",'LANÇAMENTOS DIÁRIOS'!$C$5:$C$500,$A17,'LANÇAMENTOS DIÁRIOS'!$O$5:$O$500,"&lt;=120579",'LANÇAMENTOS DIÁRIOS'!$P$5:$P$500,"&gt;=120480")&gt;0,"X","")</f>
      </c>
      <c r="AH17" s="56" t="str">
        <f>IF(COUNTIFS('LANÇAMENTOS DIÁRIOS'!$G$5:$G$500,"G",'LANÇAMENTOS DIÁRIOS'!$C$5:$C$500,$A17,'LANÇAMENTOS DIÁRIOS'!$O$5:$O$500,"&lt;=120679",'LANÇAMENTOS DIÁRIOS'!$P$5:$P$500,"&gt;=120580")&gt;0,"X","")</f>
      </c>
      <c r="AI17" s="56" t="str">
        <f>IF(COUNTIFS('LANÇAMENTOS DIÁRIOS'!$G$5:$G$500,"G",'LANÇAMENTOS DIÁRIOS'!$C$5:$C$500,$A17,'LANÇAMENTOS DIÁRIOS'!$O$5:$O$500,"&lt;=120779",'LANÇAMENTOS DIÁRIOS'!$P$5:$P$500,"&gt;=120680")&gt;0,"X","")</f>
      </c>
      <c r="AJ17" s="56" t="str">
        <f>IF(COUNTIFS('LANÇAMENTOS DIÁRIOS'!$G$5:$G$500,"G",'LANÇAMENTOS DIÁRIOS'!$C$5:$C$500,$A17,'LANÇAMENTOS DIÁRIOS'!$O$5:$O$500,"&lt;=120879",'LANÇAMENTOS DIÁRIOS'!$P$5:$P$500,"&gt;=120780")&gt;0,"X","")</f>
      </c>
      <c r="AK17" s="56" t="str">
        <f>IF(COUNTIFS('LANÇAMENTOS DIÁRIOS'!$G$5:$G$500,"G",'LANÇAMENTOS DIÁRIOS'!$C$5:$C$500,$A17,'LANÇAMENTOS DIÁRIOS'!$O$5:$O$500,"&lt;=120979",'LANÇAMENTOS DIÁRIOS'!$P$5:$P$500,"&gt;=120880")&gt;0,"X","")</f>
      </c>
      <c r="AL17" s="56" t="str">
        <f>IF(COUNTIFS('LANÇAMENTOS DIÁRIOS'!$G$5:$G$500,"G",'LANÇAMENTOS DIÁRIOS'!$C$5:$C$500,$A17,'LANÇAMENTOS DIÁRIOS'!$O$5:$O$500,"&lt;=121079",'LANÇAMENTOS DIÁRIOS'!$P$5:$P$500,"&gt;=120980")&gt;0,"X","")</f>
      </c>
      <c r="AM17" s="56" t="str">
        <f>IF(COUNTIFS('LANÇAMENTOS DIÁRIOS'!$G$5:$G$500,"G",'LANÇAMENTOS DIÁRIOS'!$C$5:$C$500,$A17,'LANÇAMENTOS DIÁRIOS'!$O$5:$O$500,"&lt;=121179",'LANÇAMENTOS DIÁRIOS'!$P$5:$P$500,"&gt;=121080")&gt;0,"X","")</f>
      </c>
      <c r="AN17" s="56" t="str">
        <f>IF(COUNTIFS('LANÇAMENTOS DIÁRIOS'!$G$5:$G$500,"G",'LANÇAMENTOS DIÁRIOS'!$C$5:$C$500,$A17,'LANÇAMENTOS DIÁRIOS'!$O$5:$O$500,"&lt;=121279",'LANÇAMENTOS DIÁRIOS'!$P$5:$P$500,"&gt;=121180")&gt;0,"X","")</f>
      </c>
      <c r="AO17" s="56" t="str">
        <f>IF(COUNTIFS('LANÇAMENTOS DIÁRIOS'!$G$5:$G$500,"G",'LANÇAMENTOS DIÁRIOS'!$C$5:$C$500,$A17,'LANÇAMENTOS DIÁRIOS'!$O$5:$O$500,"&lt;=121379",'LANÇAMENTOS DIÁRIOS'!$P$5:$P$500,"&gt;=121280")&gt;0,"X","")</f>
      </c>
      <c r="AP17" s="56" t="str">
        <f>IF(COUNTIFS('LANÇAMENTOS DIÁRIOS'!$G$5:$G$500,"G",'LANÇAMENTOS DIÁRIOS'!$C$5:$C$500,$A17,'LANÇAMENTOS DIÁRIOS'!$O$5:$O$500,"&lt;=121479",'LANÇAMENTOS DIÁRIOS'!$P$5:$P$500,"&gt;=121380")&gt;0,"X","")</f>
      </c>
      <c r="AQ17" s="56" t="str">
        <f>IF(COUNTIFS('LANÇAMENTOS DIÁRIOS'!$G$5:$G$500,"G",'LANÇAMENTOS DIÁRIOS'!$C$5:$C$500,$A17,'LANÇAMENTOS DIÁRIOS'!$O$5:$O$500,"&lt;=121579",'LANÇAMENTOS DIÁRIOS'!$P$5:$P$500,"&gt;=121480")&gt;0,"X","")</f>
      </c>
      <c r="AR17" s="56" t="str">
        <f>IF(COUNTIFS('LANÇAMENTOS DIÁRIOS'!$G$5:$G$500,"G",'LANÇAMENTOS DIÁRIOS'!$C$5:$C$500,$A17,'LANÇAMENTOS DIÁRIOS'!$O$5:$O$500,"&lt;=121679",'LANÇAMENTOS DIÁRIOS'!$P$5:$P$500,"&gt;=121580")&gt;0,"X","")</f>
      </c>
      <c r="AS17" s="56" t="str">
        <f>IF(COUNTIFS('LANÇAMENTOS DIÁRIOS'!$G$5:$G$500,"G",'LANÇAMENTOS DIÁRIOS'!$C$5:$C$500,$A17,'LANÇAMENTOS DIÁRIOS'!$O$5:$O$500,"&lt;=121779",'LANÇAMENTOS DIÁRIOS'!$P$5:$P$500,"&gt;=121680")&gt;0,"X","")</f>
      </c>
      <c r="AT17" s="56" t="str">
        <f>IF(COUNTIFS('LANÇAMENTOS DIÁRIOS'!$G$5:$G$500,"G",'LANÇAMENTOS DIÁRIOS'!$C$5:$C$500,$A17,'LANÇAMENTOS DIÁRIOS'!$O$5:$O$500,"&lt;=121879",'LANÇAMENTOS DIÁRIOS'!$P$5:$P$500,"&gt;=121780")&gt;0,"X","")</f>
      </c>
      <c r="AU17" s="56" t="str">
        <f>IF(COUNTIFS('LANÇAMENTOS DIÁRIOS'!$G$5:$G$500,"G",'LANÇAMENTOS DIÁRIOS'!$C$5:$C$500,$A17,'LANÇAMENTOS DIÁRIOS'!$O$5:$O$500,"&lt;=121979",'LANÇAMENTOS DIÁRIOS'!$P$5:$P$500,"&gt;=121880")&gt;0,"X","")</f>
      </c>
      <c r="AV17" s="56" t="str">
        <f>IF(COUNTIFS('LANÇAMENTOS DIÁRIOS'!$G$5:$G$500,"G",'LANÇAMENTOS DIÁRIOS'!$C$5:$C$500,$A17,'LANÇAMENTOS DIÁRIOS'!$O$5:$O$500,"&lt;=122079",'LANÇAMENTOS DIÁRIOS'!$P$5:$P$500,"&gt;=121980")&gt;0,"X","")</f>
      </c>
      <c r="AW17" s="56" t="str">
        <f>IF(COUNTIFS('LANÇAMENTOS DIÁRIOS'!$G$5:$G$500,"G",'LANÇAMENTOS DIÁRIOS'!$C$5:$C$500,$A17,'LANÇAMENTOS DIÁRIOS'!$O$5:$O$500,"&lt;=122179",'LANÇAMENTOS DIÁRIOS'!$P$5:$P$500,"&gt;=122080")&gt;0,"X","")</f>
      </c>
      <c r="AX17" s="56" t="str">
        <f>IF(COUNTIFS('LANÇAMENTOS DIÁRIOS'!$G$5:$G$500,"G",'LANÇAMENTOS DIÁRIOS'!$C$5:$C$500,$A17,'LANÇAMENTOS DIÁRIOS'!$O$5:$O$500,"&lt;=122279",'LANÇAMENTOS DIÁRIOS'!$P$5:$P$500,"&gt;=122180")&gt;0,"X","")</f>
      </c>
      <c r="AY17" s="56" t="str">
        <f>IF(COUNTIFS('LANÇAMENTOS DIÁRIOS'!$G$5:$G$500,"G",'LANÇAMENTOS DIÁRIOS'!$C$5:$C$500,$A17,'LANÇAMENTOS DIÁRIOS'!$O$5:$O$500,"&lt;=122379",'LANÇAMENTOS DIÁRIOS'!$P$5:$P$500,"&gt;=122280")&gt;0,"X","")</f>
      </c>
      <c r="AZ17" s="56" t="str">
        <f>IF(COUNTIFS('LANÇAMENTOS DIÁRIOS'!$G$5:$G$500,"G",'LANÇAMENTOS DIÁRIOS'!$C$5:$C$500,$A17,'LANÇAMENTOS DIÁRIOS'!$O$5:$O$500,"&lt;=122479",'LANÇAMENTOS DIÁRIOS'!$P$5:$P$500,"&gt;=122380")&gt;0,"X","")</f>
      </c>
      <c r="BA17" s="56" t="str">
        <f>IF(COUNTIFS('LANÇAMENTOS DIÁRIOS'!$G$5:$G$500,"G",'LANÇAMENTOS DIÁRIOS'!$C$5:$C$500,$A17,'LANÇAMENTOS DIÁRIOS'!$O$5:$O$500,"&lt;=122579",'LANÇAMENTOS DIÁRIOS'!$P$5:$P$500,"&gt;=122480")&gt;0,"X","")</f>
      </c>
      <c r="BB17" s="56" t="str">
        <f>IF(COUNTIFS('LANÇAMENTOS DIÁRIOS'!$G$5:$G$500,"G",'LANÇAMENTOS DIÁRIOS'!$C$5:$C$500,$A17,'LANÇAMENTOS DIÁRIOS'!$O$5:$O$500,"&lt;=122679",'LANÇAMENTOS DIÁRIOS'!$P$5:$P$500,"&gt;=122580")&gt;0,"X","")</f>
      </c>
      <c r="BC17" s="56" t="str">
        <f>IF(COUNTIFS('LANÇAMENTOS DIÁRIOS'!$G$5:$G$500,"G",'LANÇAMENTOS DIÁRIOS'!$C$5:$C$500,$A17,'LANÇAMENTOS DIÁRIOS'!$O$5:$O$500,"&lt;=122779",'LANÇAMENTOS DIÁRIOS'!$P$5:$P$500,"&gt;=122680")&gt;0,"X","")</f>
      </c>
      <c r="BD17" s="56" t="str">
        <f>IF(COUNTIFS('LANÇAMENTOS DIÁRIOS'!$G$5:$G$500,"G",'LANÇAMENTOS DIÁRIOS'!$C$5:$C$500,$A17,'LANÇAMENTOS DIÁRIOS'!$O$5:$O$500,"&lt;=122879",'LANÇAMENTOS DIÁRIOS'!$P$5:$P$500,"&gt;=122780")&gt;0,"X","")</f>
      </c>
      <c r="BE17" s="56" t="str">
        <f>IF(COUNTIFS('LANÇAMENTOS DIÁRIOS'!$G$5:$G$500,"G",'LANÇAMENTOS DIÁRIOS'!$C$5:$C$500,$A17,'LANÇAMENTOS DIÁRIOS'!$O$5:$O$500,"&lt;=122979",'LANÇAMENTOS DIÁRIOS'!$P$5:$P$500,"&gt;=122880")&gt;0,"X","")</f>
      </c>
      <c r="BF17" s="56" t="str">
        <f>IF(COUNTIFS('LANÇAMENTOS DIÁRIOS'!$G$5:$G$500,"G",'LANÇAMENTOS DIÁRIOS'!$C$5:$C$500,$A17,'LANÇAMENTOS DIÁRIOS'!$O$5:$O$500,"&lt;=123079",'LANÇAMENTOS DIÁRIOS'!$P$5:$P$500,"&gt;=122980")&gt;0,"X","")</f>
      </c>
      <c r="BG17" s="56" t="str">
        <f>IF(COUNTIFS('LANÇAMENTOS DIÁRIOS'!$G$5:$G$500,"G",'LANÇAMENTOS DIÁRIOS'!$C$5:$C$500,$A17,'LANÇAMENTOS DIÁRIOS'!$O$5:$O$500,"&lt;=123179",'LANÇAMENTOS DIÁRIOS'!$P$5:$P$500,"&gt;=123080")&gt;0,"X","")</f>
      </c>
      <c r="BH17" s="56" t="str">
        <f>IF(COUNTIFS('LANÇAMENTOS DIÁRIOS'!$G$5:$G$500,"G",'LANÇAMENTOS DIÁRIOS'!$C$5:$C$500,$A17,'LANÇAMENTOS DIÁRIOS'!$O$5:$O$500,"&lt;=123279",'LANÇAMENTOS DIÁRIOS'!$P$5:$P$500,"&gt;=123180")&gt;0,"X","")</f>
      </c>
      <c r="BI17" s="56" t="str">
        <f>IF(COUNTIFS('LANÇAMENTOS DIÁRIOS'!$G$5:$G$500,"G",'LANÇAMENTOS DIÁRIOS'!$C$5:$C$500,$A17,'LANÇAMENTOS DIÁRIOS'!$O$5:$O$500,"&lt;=123379",'LANÇAMENTOS DIÁRIOS'!$P$5:$P$500,"&gt;=123280")&gt;0,"X","")</f>
      </c>
      <c r="BJ17" s="56" t="str">
        <f>IF(COUNTIFS('LANÇAMENTOS DIÁRIOS'!$G$5:$G$500,"G",'LANÇAMENTOS DIÁRIOS'!$C$5:$C$500,$A17,'LANÇAMENTOS DIÁRIOS'!$O$5:$O$500,"&lt;=123479",'LANÇAMENTOS DIÁRIOS'!$P$5:$P$500,"&gt;=123380")&gt;0,"X","")</f>
      </c>
      <c r="BK17" s="56" t="str">
        <f>IF(COUNTIFS('LANÇAMENTOS DIÁRIOS'!$G$5:$G$500,"G",'LANÇAMENTOS DIÁRIOS'!$C$5:$C$500,$A17,'LANÇAMENTOS DIÁRIOS'!$O$5:$O$500,"&lt;=123480",'LANÇAMENTOS DIÁRIOS'!$P$5:$P$500,"&gt;=123480")&gt;0,"X","")</f>
      </c>
    </row>
    <row r="18" ht="19" customHeight="1">
      <c r="A18" s="68" t="str">
        <v>Acondicionamento da faixa de domínio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</row>
    <row r="19">
      <c r="A19" s="51" t="str">
        <v>Remanejamento de placa de sinalização instalada no solo, suporte de madeira</v>
      </c>
      <c r="B19" s="56" t="str">
        <f>IF(COUNTIFS('LANÇAMENTOS DIÁRIOS'!$G$5:$G$500,"G",'LANÇAMENTOS DIÁRIOS'!$C$5:$C$500,$A19,'LANÇAMENTOS DIÁRIOS'!$O$5:$O$500,"&lt;=117479",'LANÇAMENTOS DIÁRIOS'!$P$5:$P$500,"&gt;=117380")&gt;0,"X","")</f>
      </c>
      <c r="C19" s="56" t="str">
        <f>IF(COUNTIFS('LANÇAMENTOS DIÁRIOS'!$G$5:$G$500,"G",'LANÇAMENTOS DIÁRIOS'!$C$5:$C$500,$A19,'LANÇAMENTOS DIÁRIOS'!$O$5:$O$500,"&lt;=117579",'LANÇAMENTOS DIÁRIOS'!$P$5:$P$500,"&gt;=117480")&gt;0,"X","")</f>
      </c>
      <c r="D19" s="56" t="str">
        <f>IF(COUNTIFS('LANÇAMENTOS DIÁRIOS'!$G$5:$G$500,"G",'LANÇAMENTOS DIÁRIOS'!$C$5:$C$500,$A19,'LANÇAMENTOS DIÁRIOS'!$O$5:$O$500,"&lt;=117679",'LANÇAMENTOS DIÁRIOS'!$P$5:$P$500,"&gt;=117580")&gt;0,"X","")</f>
      </c>
      <c r="E19" s="56" t="str">
        <f>IF(COUNTIFS('LANÇAMENTOS DIÁRIOS'!$G$5:$G$500,"G",'LANÇAMENTOS DIÁRIOS'!$C$5:$C$500,$A19,'LANÇAMENTOS DIÁRIOS'!$O$5:$O$500,"&lt;=117779",'LANÇAMENTOS DIÁRIOS'!$P$5:$P$500,"&gt;=117680")&gt;0,"X","")</f>
      </c>
      <c r="F19" s="56" t="str">
        <f>IF(COUNTIFS('LANÇAMENTOS DIÁRIOS'!$G$5:$G$500,"G",'LANÇAMENTOS DIÁRIOS'!$C$5:$C$500,$A19,'LANÇAMENTOS DIÁRIOS'!$O$5:$O$500,"&lt;=117879",'LANÇAMENTOS DIÁRIOS'!$P$5:$P$500,"&gt;=117780")&gt;0,"X","")</f>
      </c>
      <c r="G19" s="56" t="str">
        <f>IF(COUNTIFS('LANÇAMENTOS DIÁRIOS'!$G$5:$G$500,"G",'LANÇAMENTOS DIÁRIOS'!$C$5:$C$500,$A19,'LANÇAMENTOS DIÁRIOS'!$O$5:$O$500,"&lt;=117979",'LANÇAMENTOS DIÁRIOS'!$P$5:$P$500,"&gt;=117880")&gt;0,"X","")</f>
      </c>
      <c r="H19" s="56" t="str">
        <f>IF(COUNTIFS('LANÇAMENTOS DIÁRIOS'!$G$5:$G$500,"G",'LANÇAMENTOS DIÁRIOS'!$C$5:$C$500,$A19,'LANÇAMENTOS DIÁRIOS'!$O$5:$O$500,"&lt;=118079",'LANÇAMENTOS DIÁRIOS'!$P$5:$P$500,"&gt;=117980")&gt;0,"X","")</f>
      </c>
      <c r="I19" s="56" t="str">
        <f>IF(COUNTIFS('LANÇAMENTOS DIÁRIOS'!$G$5:$G$500,"G",'LANÇAMENTOS DIÁRIOS'!$C$5:$C$500,$A19,'LANÇAMENTOS DIÁRIOS'!$O$5:$O$500,"&lt;=118179",'LANÇAMENTOS DIÁRIOS'!$P$5:$P$500,"&gt;=118080")&gt;0,"X","")</f>
      </c>
      <c r="J19" s="56" t="str">
        <f>IF(COUNTIFS('LANÇAMENTOS DIÁRIOS'!$G$5:$G$500,"G",'LANÇAMENTOS DIÁRIOS'!$C$5:$C$500,$A19,'LANÇAMENTOS DIÁRIOS'!$O$5:$O$500,"&lt;=118279",'LANÇAMENTOS DIÁRIOS'!$P$5:$P$500,"&gt;=118180")&gt;0,"X","")</f>
      </c>
      <c r="K19" s="56" t="str">
        <f>IF(COUNTIFS('LANÇAMENTOS DIÁRIOS'!$G$5:$G$500,"G",'LANÇAMENTOS DIÁRIOS'!$C$5:$C$500,$A19,'LANÇAMENTOS DIÁRIOS'!$O$5:$O$500,"&lt;=118379",'LANÇAMENTOS DIÁRIOS'!$P$5:$P$500,"&gt;=118280")&gt;0,"X","")</f>
      </c>
      <c r="L19" s="56" t="str">
        <f>IF(COUNTIFS('LANÇAMENTOS DIÁRIOS'!$G$5:$G$500,"G",'LANÇAMENTOS DIÁRIOS'!$C$5:$C$500,$A19,'LANÇAMENTOS DIÁRIOS'!$O$5:$O$500,"&lt;=118479",'LANÇAMENTOS DIÁRIOS'!$P$5:$P$500,"&gt;=118380")&gt;0,"X","")</f>
      </c>
      <c r="M19" s="56" t="str">
        <f>IF(COUNTIFS('LANÇAMENTOS DIÁRIOS'!$G$5:$G$500,"G",'LANÇAMENTOS DIÁRIOS'!$C$5:$C$500,$A19,'LANÇAMENTOS DIÁRIOS'!$O$5:$O$500,"&lt;=118579",'LANÇAMENTOS DIÁRIOS'!$P$5:$P$500,"&gt;=118480")&gt;0,"X","")</f>
      </c>
      <c r="N19" s="56" t="str">
        <f>IF(COUNTIFS('LANÇAMENTOS DIÁRIOS'!$G$5:$G$500,"G",'LANÇAMENTOS DIÁRIOS'!$C$5:$C$500,$A19,'LANÇAMENTOS DIÁRIOS'!$O$5:$O$500,"&lt;=118679",'LANÇAMENTOS DIÁRIOS'!$P$5:$P$500,"&gt;=118580")&gt;0,"X","")</f>
      </c>
      <c r="O19" s="56" t="str">
        <f>IF(COUNTIFS('LANÇAMENTOS DIÁRIOS'!$G$5:$G$500,"G",'LANÇAMENTOS DIÁRIOS'!$C$5:$C$500,$A19,'LANÇAMENTOS DIÁRIOS'!$O$5:$O$500,"&lt;=118779",'LANÇAMENTOS DIÁRIOS'!$P$5:$P$500,"&gt;=118680")&gt;0,"X","")</f>
      </c>
      <c r="P19" s="56" t="str">
        <f>IF(COUNTIFS('LANÇAMENTOS DIÁRIOS'!$G$5:$G$500,"G",'LANÇAMENTOS DIÁRIOS'!$C$5:$C$500,$A19,'LANÇAMENTOS DIÁRIOS'!$O$5:$O$500,"&lt;=118879",'LANÇAMENTOS DIÁRIOS'!$P$5:$P$500,"&gt;=118780")&gt;0,"X","")</f>
      </c>
      <c r="Q19" s="56" t="str">
        <f>IF(COUNTIFS('LANÇAMENTOS DIÁRIOS'!$G$5:$G$500,"G",'LANÇAMENTOS DIÁRIOS'!$C$5:$C$500,$A19,'LANÇAMENTOS DIÁRIOS'!$O$5:$O$500,"&lt;=118979",'LANÇAMENTOS DIÁRIOS'!$P$5:$P$500,"&gt;=118880")&gt;0,"X","")</f>
      </c>
      <c r="R19" s="56" t="str">
        <f>IF(COUNTIFS('LANÇAMENTOS DIÁRIOS'!$G$5:$G$500,"G",'LANÇAMENTOS DIÁRIOS'!$C$5:$C$500,$A19,'LANÇAMENTOS DIÁRIOS'!$O$5:$O$500,"&lt;=119079",'LANÇAMENTOS DIÁRIOS'!$P$5:$P$500,"&gt;=118980")&gt;0,"X","")</f>
      </c>
      <c r="S19" s="56" t="str">
        <f>IF(COUNTIFS('LANÇAMENTOS DIÁRIOS'!$G$5:$G$500,"G",'LANÇAMENTOS DIÁRIOS'!$C$5:$C$500,$A19,'LANÇAMENTOS DIÁRIOS'!$O$5:$O$500,"&lt;=119179",'LANÇAMENTOS DIÁRIOS'!$P$5:$P$500,"&gt;=119080")&gt;0,"X","")</f>
      </c>
      <c r="T19" s="56" t="str">
        <f>IF(COUNTIFS('LANÇAMENTOS DIÁRIOS'!$G$5:$G$500,"G",'LANÇAMENTOS DIÁRIOS'!$C$5:$C$500,$A19,'LANÇAMENTOS DIÁRIOS'!$O$5:$O$500,"&lt;=119279",'LANÇAMENTOS DIÁRIOS'!$P$5:$P$500,"&gt;=119180")&gt;0,"X","")</f>
      </c>
      <c r="U19" s="56" t="str">
        <f>IF(COUNTIFS('LANÇAMENTOS DIÁRIOS'!$G$5:$G$500,"G",'LANÇAMENTOS DIÁRIOS'!$C$5:$C$500,$A19,'LANÇAMENTOS DIÁRIOS'!$O$5:$O$500,"&lt;=119379",'LANÇAMENTOS DIÁRIOS'!$P$5:$P$500,"&gt;=119280")&gt;0,"X","")</f>
      </c>
      <c r="V19" s="56" t="str">
        <f>IF(COUNTIFS('LANÇAMENTOS DIÁRIOS'!$G$5:$G$500,"G",'LANÇAMENTOS DIÁRIOS'!$C$5:$C$500,$A19,'LANÇAMENTOS DIÁRIOS'!$O$5:$O$500,"&lt;=119479",'LANÇAMENTOS DIÁRIOS'!$P$5:$P$500,"&gt;=119380")&gt;0,"X","")</f>
      </c>
      <c r="W19" s="56" t="str">
        <f>IF(COUNTIFS('LANÇAMENTOS DIÁRIOS'!$G$5:$G$500,"G",'LANÇAMENTOS DIÁRIOS'!$C$5:$C$500,$A19,'LANÇAMENTOS DIÁRIOS'!$O$5:$O$500,"&lt;=119579",'LANÇAMENTOS DIÁRIOS'!$P$5:$P$500,"&gt;=119480")&gt;0,"X","")</f>
      </c>
      <c r="X19" s="56" t="str">
        <f>IF(COUNTIFS('LANÇAMENTOS DIÁRIOS'!$G$5:$G$500,"G",'LANÇAMENTOS DIÁRIOS'!$C$5:$C$500,$A19,'LANÇAMENTOS DIÁRIOS'!$O$5:$O$500,"&lt;=119679",'LANÇAMENTOS DIÁRIOS'!$P$5:$P$500,"&gt;=119580")&gt;0,"X","")</f>
      </c>
      <c r="Y19" s="56" t="str">
        <f>IF(COUNTIFS('LANÇAMENTOS DIÁRIOS'!$G$5:$G$500,"G",'LANÇAMENTOS DIÁRIOS'!$C$5:$C$500,$A19,'LANÇAMENTOS DIÁRIOS'!$O$5:$O$500,"&lt;=119779",'LANÇAMENTOS DIÁRIOS'!$P$5:$P$500,"&gt;=119680")&gt;0,"X","")</f>
      </c>
      <c r="Z19" s="56" t="str">
        <f>IF(COUNTIFS('LANÇAMENTOS DIÁRIOS'!$G$5:$G$500,"G",'LANÇAMENTOS DIÁRIOS'!$C$5:$C$500,$A19,'LANÇAMENTOS DIÁRIOS'!$O$5:$O$500,"&lt;=119879",'LANÇAMENTOS DIÁRIOS'!$P$5:$P$500,"&gt;=119780")&gt;0,"X","")</f>
      </c>
      <c r="AA19" s="56" t="str">
        <f>IF(COUNTIFS('LANÇAMENTOS DIÁRIOS'!$G$5:$G$500,"G",'LANÇAMENTOS DIÁRIOS'!$C$5:$C$500,$A19,'LANÇAMENTOS DIÁRIOS'!$O$5:$O$500,"&lt;=119979",'LANÇAMENTOS DIÁRIOS'!$P$5:$P$500,"&gt;=119880")&gt;0,"X","")</f>
      </c>
      <c r="AB19" s="56" t="str">
        <f>IF(COUNTIFS('LANÇAMENTOS DIÁRIOS'!$G$5:$G$500,"G",'LANÇAMENTOS DIÁRIOS'!$C$5:$C$500,$A19,'LANÇAMENTOS DIÁRIOS'!$O$5:$O$500,"&lt;=120079",'LANÇAMENTOS DIÁRIOS'!$P$5:$P$500,"&gt;=119980")&gt;0,"X","")</f>
      </c>
      <c r="AC19" s="56" t="str">
        <f>IF(COUNTIFS('LANÇAMENTOS DIÁRIOS'!$G$5:$G$500,"G",'LANÇAMENTOS DIÁRIOS'!$C$5:$C$500,$A19,'LANÇAMENTOS DIÁRIOS'!$O$5:$O$500,"&lt;=120179",'LANÇAMENTOS DIÁRIOS'!$P$5:$P$500,"&gt;=120080")&gt;0,"X","")</f>
      </c>
      <c r="AD19" s="56" t="str">
        <f>IF(COUNTIFS('LANÇAMENTOS DIÁRIOS'!$G$5:$G$500,"G",'LANÇAMENTOS DIÁRIOS'!$C$5:$C$500,$A19,'LANÇAMENTOS DIÁRIOS'!$O$5:$O$500,"&lt;=120279",'LANÇAMENTOS DIÁRIOS'!$P$5:$P$500,"&gt;=120180")&gt;0,"X","")</f>
      </c>
      <c r="AE19" s="56" t="str">
        <f>IF(COUNTIFS('LANÇAMENTOS DIÁRIOS'!$G$5:$G$500,"G",'LANÇAMENTOS DIÁRIOS'!$C$5:$C$500,$A19,'LANÇAMENTOS DIÁRIOS'!$O$5:$O$500,"&lt;=120379",'LANÇAMENTOS DIÁRIOS'!$P$5:$P$500,"&gt;=120280")&gt;0,"X","")</f>
      </c>
      <c r="AF19" s="56" t="str">
        <f>IF(COUNTIFS('LANÇAMENTOS DIÁRIOS'!$G$5:$G$500,"G",'LANÇAMENTOS DIÁRIOS'!$C$5:$C$500,$A19,'LANÇAMENTOS DIÁRIOS'!$O$5:$O$500,"&lt;=120479",'LANÇAMENTOS DIÁRIOS'!$P$5:$P$500,"&gt;=120380")&gt;0,"X","")</f>
      </c>
      <c r="AG19" s="56" t="str">
        <f>IF(COUNTIFS('LANÇAMENTOS DIÁRIOS'!$G$5:$G$500,"G",'LANÇAMENTOS DIÁRIOS'!$C$5:$C$500,$A19,'LANÇAMENTOS DIÁRIOS'!$O$5:$O$500,"&lt;=120579",'LANÇAMENTOS DIÁRIOS'!$P$5:$P$500,"&gt;=120480")&gt;0,"X","")</f>
      </c>
      <c r="AH19" s="56" t="str">
        <f>IF(COUNTIFS('LANÇAMENTOS DIÁRIOS'!$G$5:$G$500,"G",'LANÇAMENTOS DIÁRIOS'!$C$5:$C$500,$A19,'LANÇAMENTOS DIÁRIOS'!$O$5:$O$500,"&lt;=120679",'LANÇAMENTOS DIÁRIOS'!$P$5:$P$500,"&gt;=120580")&gt;0,"X","")</f>
      </c>
      <c r="AI19" s="56" t="str">
        <f>IF(COUNTIFS('LANÇAMENTOS DIÁRIOS'!$G$5:$G$500,"G",'LANÇAMENTOS DIÁRIOS'!$C$5:$C$500,$A19,'LANÇAMENTOS DIÁRIOS'!$O$5:$O$500,"&lt;=120779",'LANÇAMENTOS DIÁRIOS'!$P$5:$P$500,"&gt;=120680")&gt;0,"X","")</f>
      </c>
      <c r="AJ19" s="56" t="str">
        <f>IF(COUNTIFS('LANÇAMENTOS DIÁRIOS'!$G$5:$G$500,"G",'LANÇAMENTOS DIÁRIOS'!$C$5:$C$500,$A19,'LANÇAMENTOS DIÁRIOS'!$O$5:$O$500,"&lt;=120879",'LANÇAMENTOS DIÁRIOS'!$P$5:$P$500,"&gt;=120780")&gt;0,"X","")</f>
      </c>
      <c r="AK19" s="56" t="str">
        <f>IF(COUNTIFS('LANÇAMENTOS DIÁRIOS'!$G$5:$G$500,"G",'LANÇAMENTOS DIÁRIOS'!$C$5:$C$500,$A19,'LANÇAMENTOS DIÁRIOS'!$O$5:$O$500,"&lt;=120979",'LANÇAMENTOS DIÁRIOS'!$P$5:$P$500,"&gt;=120880")&gt;0,"X","")</f>
      </c>
      <c r="AL19" s="56" t="str">
        <f>IF(COUNTIFS('LANÇAMENTOS DIÁRIOS'!$G$5:$G$500,"G",'LANÇAMENTOS DIÁRIOS'!$C$5:$C$500,$A19,'LANÇAMENTOS DIÁRIOS'!$O$5:$O$500,"&lt;=121079",'LANÇAMENTOS DIÁRIOS'!$P$5:$P$500,"&gt;=120980")&gt;0,"X","")</f>
      </c>
      <c r="AM19" s="56" t="str">
        <f>IF(COUNTIFS('LANÇAMENTOS DIÁRIOS'!$G$5:$G$500,"G",'LANÇAMENTOS DIÁRIOS'!$C$5:$C$500,$A19,'LANÇAMENTOS DIÁRIOS'!$O$5:$O$500,"&lt;=121179",'LANÇAMENTOS DIÁRIOS'!$P$5:$P$500,"&gt;=121080")&gt;0,"X","")</f>
      </c>
      <c r="AN19" s="56" t="str">
        <f>IF(COUNTIFS('LANÇAMENTOS DIÁRIOS'!$G$5:$G$500,"G",'LANÇAMENTOS DIÁRIOS'!$C$5:$C$500,$A19,'LANÇAMENTOS DIÁRIOS'!$O$5:$O$500,"&lt;=121279",'LANÇAMENTOS DIÁRIOS'!$P$5:$P$500,"&gt;=121180")&gt;0,"X","")</f>
      </c>
      <c r="AO19" s="56" t="str">
        <f>IF(COUNTIFS('LANÇAMENTOS DIÁRIOS'!$G$5:$G$500,"G",'LANÇAMENTOS DIÁRIOS'!$C$5:$C$500,$A19,'LANÇAMENTOS DIÁRIOS'!$O$5:$O$500,"&lt;=121379",'LANÇAMENTOS DIÁRIOS'!$P$5:$P$500,"&gt;=121280")&gt;0,"X","")</f>
      </c>
      <c r="AP19" s="56" t="str">
        <f>IF(COUNTIFS('LANÇAMENTOS DIÁRIOS'!$G$5:$G$500,"G",'LANÇAMENTOS DIÁRIOS'!$C$5:$C$500,$A19,'LANÇAMENTOS DIÁRIOS'!$O$5:$O$500,"&lt;=121479",'LANÇAMENTOS DIÁRIOS'!$P$5:$P$500,"&gt;=121380")&gt;0,"X","")</f>
      </c>
      <c r="AQ19" s="56" t="str">
        <f>IF(COUNTIFS('LANÇAMENTOS DIÁRIOS'!$G$5:$G$500,"G",'LANÇAMENTOS DIÁRIOS'!$C$5:$C$500,$A19,'LANÇAMENTOS DIÁRIOS'!$O$5:$O$500,"&lt;=121579",'LANÇAMENTOS DIÁRIOS'!$P$5:$P$500,"&gt;=121480")&gt;0,"X","")</f>
      </c>
      <c r="AR19" s="56" t="str">
        <f>IF(COUNTIFS('LANÇAMENTOS DIÁRIOS'!$G$5:$G$500,"G",'LANÇAMENTOS DIÁRIOS'!$C$5:$C$500,$A19,'LANÇAMENTOS DIÁRIOS'!$O$5:$O$500,"&lt;=121679",'LANÇAMENTOS DIÁRIOS'!$P$5:$P$500,"&gt;=121580")&gt;0,"X","")</f>
      </c>
      <c r="AS19" s="56" t="str">
        <f>IF(COUNTIFS('LANÇAMENTOS DIÁRIOS'!$G$5:$G$500,"G",'LANÇAMENTOS DIÁRIOS'!$C$5:$C$500,$A19,'LANÇAMENTOS DIÁRIOS'!$O$5:$O$500,"&lt;=121779",'LANÇAMENTOS DIÁRIOS'!$P$5:$P$500,"&gt;=121680")&gt;0,"X","")</f>
      </c>
      <c r="AT19" s="56" t="str">
        <f>IF(COUNTIFS('LANÇAMENTOS DIÁRIOS'!$G$5:$G$500,"G",'LANÇAMENTOS DIÁRIOS'!$C$5:$C$500,$A19,'LANÇAMENTOS DIÁRIOS'!$O$5:$O$500,"&lt;=121879",'LANÇAMENTOS DIÁRIOS'!$P$5:$P$500,"&gt;=121780")&gt;0,"X","")</f>
      </c>
      <c r="AU19" s="56" t="str">
        <f>IF(COUNTIFS('LANÇAMENTOS DIÁRIOS'!$G$5:$G$500,"G",'LANÇAMENTOS DIÁRIOS'!$C$5:$C$500,$A19,'LANÇAMENTOS DIÁRIOS'!$O$5:$O$500,"&lt;=121979",'LANÇAMENTOS DIÁRIOS'!$P$5:$P$500,"&gt;=121880")&gt;0,"X","")</f>
      </c>
      <c r="AV19" s="56" t="str">
        <f>IF(COUNTIFS('LANÇAMENTOS DIÁRIOS'!$G$5:$G$500,"G",'LANÇAMENTOS DIÁRIOS'!$C$5:$C$500,$A19,'LANÇAMENTOS DIÁRIOS'!$O$5:$O$500,"&lt;=122079",'LANÇAMENTOS DIÁRIOS'!$P$5:$P$500,"&gt;=121980")&gt;0,"X","")</f>
      </c>
      <c r="AW19" s="56" t="str">
        <f>IF(COUNTIFS('LANÇAMENTOS DIÁRIOS'!$G$5:$G$500,"G",'LANÇAMENTOS DIÁRIOS'!$C$5:$C$500,$A19,'LANÇAMENTOS DIÁRIOS'!$O$5:$O$500,"&lt;=122179",'LANÇAMENTOS DIÁRIOS'!$P$5:$P$500,"&gt;=122080")&gt;0,"X","")</f>
      </c>
      <c r="AX19" s="56" t="str">
        <f>IF(COUNTIFS('LANÇAMENTOS DIÁRIOS'!$G$5:$G$500,"G",'LANÇAMENTOS DIÁRIOS'!$C$5:$C$500,$A19,'LANÇAMENTOS DIÁRIOS'!$O$5:$O$500,"&lt;=122279",'LANÇAMENTOS DIÁRIOS'!$P$5:$P$500,"&gt;=122180")&gt;0,"X","")</f>
      </c>
      <c r="AY19" s="56" t="str">
        <f>IF(COUNTIFS('LANÇAMENTOS DIÁRIOS'!$G$5:$G$500,"G",'LANÇAMENTOS DIÁRIOS'!$C$5:$C$500,$A19,'LANÇAMENTOS DIÁRIOS'!$O$5:$O$500,"&lt;=122379",'LANÇAMENTOS DIÁRIOS'!$P$5:$P$500,"&gt;=122280")&gt;0,"X","")</f>
      </c>
      <c r="AZ19" s="56" t="str">
        <f>IF(COUNTIFS('LANÇAMENTOS DIÁRIOS'!$G$5:$G$500,"G",'LANÇAMENTOS DIÁRIOS'!$C$5:$C$500,$A19,'LANÇAMENTOS DIÁRIOS'!$O$5:$O$500,"&lt;=122479",'LANÇAMENTOS DIÁRIOS'!$P$5:$P$500,"&gt;=122380")&gt;0,"X","")</f>
      </c>
      <c r="BA19" s="56" t="str">
        <f>IF(COUNTIFS('LANÇAMENTOS DIÁRIOS'!$G$5:$G$500,"G",'LANÇAMENTOS DIÁRIOS'!$C$5:$C$500,$A19,'LANÇAMENTOS DIÁRIOS'!$O$5:$O$500,"&lt;=122579",'LANÇAMENTOS DIÁRIOS'!$P$5:$P$500,"&gt;=122480")&gt;0,"X","")</f>
      </c>
      <c r="BB19" s="56" t="str">
        <f>IF(COUNTIFS('LANÇAMENTOS DIÁRIOS'!$G$5:$G$500,"G",'LANÇAMENTOS DIÁRIOS'!$C$5:$C$500,$A19,'LANÇAMENTOS DIÁRIOS'!$O$5:$O$500,"&lt;=122679",'LANÇAMENTOS DIÁRIOS'!$P$5:$P$500,"&gt;=122580")&gt;0,"X","")</f>
      </c>
      <c r="BC19" s="56" t="str">
        <f>IF(COUNTIFS('LANÇAMENTOS DIÁRIOS'!$G$5:$G$500,"G",'LANÇAMENTOS DIÁRIOS'!$C$5:$C$500,$A19,'LANÇAMENTOS DIÁRIOS'!$O$5:$O$500,"&lt;=122779",'LANÇAMENTOS DIÁRIOS'!$P$5:$P$500,"&gt;=122680")&gt;0,"X","")</f>
      </c>
      <c r="BD19" s="56" t="str">
        <f>IF(COUNTIFS('LANÇAMENTOS DIÁRIOS'!$G$5:$G$500,"G",'LANÇAMENTOS DIÁRIOS'!$C$5:$C$500,$A19,'LANÇAMENTOS DIÁRIOS'!$O$5:$O$500,"&lt;=122879",'LANÇAMENTOS DIÁRIOS'!$P$5:$P$500,"&gt;=122780")&gt;0,"X","")</f>
      </c>
      <c r="BE19" s="56" t="str">
        <f>IF(COUNTIFS('LANÇAMENTOS DIÁRIOS'!$G$5:$G$500,"G",'LANÇAMENTOS DIÁRIOS'!$C$5:$C$500,$A19,'LANÇAMENTOS DIÁRIOS'!$O$5:$O$500,"&lt;=122979",'LANÇAMENTOS DIÁRIOS'!$P$5:$P$500,"&gt;=122880")&gt;0,"X","")</f>
      </c>
      <c r="BF19" s="56" t="str">
        <f>IF(COUNTIFS('LANÇAMENTOS DIÁRIOS'!$G$5:$G$500,"G",'LANÇAMENTOS DIÁRIOS'!$C$5:$C$500,$A19,'LANÇAMENTOS DIÁRIOS'!$O$5:$O$500,"&lt;=123079",'LANÇAMENTOS DIÁRIOS'!$P$5:$P$500,"&gt;=122980")&gt;0,"X","")</f>
      </c>
      <c r="BG19" s="56" t="str">
        <f>IF(COUNTIFS('LANÇAMENTOS DIÁRIOS'!$G$5:$G$500,"G",'LANÇAMENTOS DIÁRIOS'!$C$5:$C$500,$A19,'LANÇAMENTOS DIÁRIOS'!$O$5:$O$500,"&lt;=123179",'LANÇAMENTOS DIÁRIOS'!$P$5:$P$500,"&gt;=123080")&gt;0,"X","")</f>
      </c>
      <c r="BH19" s="56" t="str">
        <f>IF(COUNTIFS('LANÇAMENTOS DIÁRIOS'!$G$5:$G$500,"G",'LANÇAMENTOS DIÁRIOS'!$C$5:$C$500,$A19,'LANÇAMENTOS DIÁRIOS'!$O$5:$O$500,"&lt;=123279",'LANÇAMENTOS DIÁRIOS'!$P$5:$P$500,"&gt;=123180")&gt;0,"X","")</f>
      </c>
      <c r="BI19" s="56" t="str">
        <f>IF(COUNTIFS('LANÇAMENTOS DIÁRIOS'!$G$5:$G$500,"G",'LANÇAMENTOS DIÁRIOS'!$C$5:$C$500,$A19,'LANÇAMENTOS DIÁRIOS'!$O$5:$O$500,"&lt;=123379",'LANÇAMENTOS DIÁRIOS'!$P$5:$P$500,"&gt;=123280")&gt;0,"X","")</f>
      </c>
      <c r="BJ19" s="56" t="str">
        <f>IF(COUNTIFS('LANÇAMENTOS DIÁRIOS'!$G$5:$G$500,"G",'LANÇAMENTOS DIÁRIOS'!$C$5:$C$500,$A19,'LANÇAMENTOS DIÁRIOS'!$O$5:$O$500,"&lt;=123479",'LANÇAMENTOS DIÁRIOS'!$P$5:$P$500,"&gt;=123380")&gt;0,"X","")</f>
      </c>
      <c r="BK19" s="56" t="str">
        <f>IF(COUNTIFS('LANÇAMENTOS DIÁRIOS'!$G$5:$G$500,"G",'LANÇAMENTOS DIÁRIOS'!$C$5:$C$500,$A19,'LANÇAMENTOS DIÁRIOS'!$O$5:$O$500,"&lt;=123480",'LANÇAMENTOS DIÁRIOS'!$P$5:$P$500,"&gt;=123480")&gt;0,"X","")</f>
      </c>
    </row>
    <row r="20">
      <c r="A20" s="51" t="str">
        <v>Remanejamento de semi-pórtico</v>
      </c>
      <c r="B20" s="56" t="str">
        <f>IF(COUNTIFS('LANÇAMENTOS DIÁRIOS'!$G$5:$G$500,"G",'LANÇAMENTOS DIÁRIOS'!$C$5:$C$500,$A20,'LANÇAMENTOS DIÁRIOS'!$O$5:$O$500,"&lt;=117479",'LANÇAMENTOS DIÁRIOS'!$P$5:$P$500,"&gt;=117380")&gt;0,"X","")</f>
      </c>
      <c r="C20" s="56" t="str">
        <f>IF(COUNTIFS('LANÇAMENTOS DIÁRIOS'!$G$5:$G$500,"G",'LANÇAMENTOS DIÁRIOS'!$C$5:$C$500,$A20,'LANÇAMENTOS DIÁRIOS'!$O$5:$O$500,"&lt;=117579",'LANÇAMENTOS DIÁRIOS'!$P$5:$P$500,"&gt;=117480")&gt;0,"X","")</f>
      </c>
      <c r="D20" s="56" t="str">
        <f>IF(COUNTIFS('LANÇAMENTOS DIÁRIOS'!$G$5:$G$500,"G",'LANÇAMENTOS DIÁRIOS'!$C$5:$C$500,$A20,'LANÇAMENTOS DIÁRIOS'!$O$5:$O$500,"&lt;=117679",'LANÇAMENTOS DIÁRIOS'!$P$5:$P$500,"&gt;=117580")&gt;0,"X","")</f>
      </c>
      <c r="E20" s="56" t="str">
        <f>IF(COUNTIFS('LANÇAMENTOS DIÁRIOS'!$G$5:$G$500,"G",'LANÇAMENTOS DIÁRIOS'!$C$5:$C$500,$A20,'LANÇAMENTOS DIÁRIOS'!$O$5:$O$500,"&lt;=117779",'LANÇAMENTOS DIÁRIOS'!$P$5:$P$500,"&gt;=117680")&gt;0,"X","")</f>
      </c>
      <c r="F20" s="56" t="str">
        <f>IF(COUNTIFS('LANÇAMENTOS DIÁRIOS'!$G$5:$G$500,"G",'LANÇAMENTOS DIÁRIOS'!$C$5:$C$500,$A20,'LANÇAMENTOS DIÁRIOS'!$O$5:$O$500,"&lt;=117879",'LANÇAMENTOS DIÁRIOS'!$P$5:$P$500,"&gt;=117780")&gt;0,"X","")</f>
      </c>
      <c r="G20" s="56" t="str">
        <f>IF(COUNTIFS('LANÇAMENTOS DIÁRIOS'!$G$5:$G$500,"G",'LANÇAMENTOS DIÁRIOS'!$C$5:$C$500,$A20,'LANÇAMENTOS DIÁRIOS'!$O$5:$O$500,"&lt;=117979",'LANÇAMENTOS DIÁRIOS'!$P$5:$P$500,"&gt;=117880")&gt;0,"X","")</f>
      </c>
      <c r="H20" s="56" t="str">
        <f>IF(COUNTIFS('LANÇAMENTOS DIÁRIOS'!$G$5:$G$500,"G",'LANÇAMENTOS DIÁRIOS'!$C$5:$C$500,$A20,'LANÇAMENTOS DIÁRIOS'!$O$5:$O$500,"&lt;=118079",'LANÇAMENTOS DIÁRIOS'!$P$5:$P$500,"&gt;=117980")&gt;0,"X","")</f>
      </c>
      <c r="I20" s="56" t="str">
        <f>IF(COUNTIFS('LANÇAMENTOS DIÁRIOS'!$G$5:$G$500,"G",'LANÇAMENTOS DIÁRIOS'!$C$5:$C$500,$A20,'LANÇAMENTOS DIÁRIOS'!$O$5:$O$500,"&lt;=118179",'LANÇAMENTOS DIÁRIOS'!$P$5:$P$500,"&gt;=118080")&gt;0,"X","")</f>
      </c>
      <c r="J20" s="56" t="str">
        <f>IF(COUNTIFS('LANÇAMENTOS DIÁRIOS'!$G$5:$G$500,"G",'LANÇAMENTOS DIÁRIOS'!$C$5:$C$500,$A20,'LANÇAMENTOS DIÁRIOS'!$O$5:$O$500,"&lt;=118279",'LANÇAMENTOS DIÁRIOS'!$P$5:$P$500,"&gt;=118180")&gt;0,"X","")</f>
      </c>
      <c r="K20" s="56" t="str">
        <f>IF(COUNTIFS('LANÇAMENTOS DIÁRIOS'!$G$5:$G$500,"G",'LANÇAMENTOS DIÁRIOS'!$C$5:$C$500,$A20,'LANÇAMENTOS DIÁRIOS'!$O$5:$O$500,"&lt;=118379",'LANÇAMENTOS DIÁRIOS'!$P$5:$P$500,"&gt;=118280")&gt;0,"X","")</f>
      </c>
      <c r="L20" s="56" t="str">
        <f>IF(COUNTIFS('LANÇAMENTOS DIÁRIOS'!$G$5:$G$500,"G",'LANÇAMENTOS DIÁRIOS'!$C$5:$C$500,$A20,'LANÇAMENTOS DIÁRIOS'!$O$5:$O$500,"&lt;=118479",'LANÇAMENTOS DIÁRIOS'!$P$5:$P$500,"&gt;=118380")&gt;0,"X","")</f>
      </c>
      <c r="M20" s="56" t="str">
        <f>IF(COUNTIFS('LANÇAMENTOS DIÁRIOS'!$G$5:$G$500,"G",'LANÇAMENTOS DIÁRIOS'!$C$5:$C$500,$A20,'LANÇAMENTOS DIÁRIOS'!$O$5:$O$500,"&lt;=118579",'LANÇAMENTOS DIÁRIOS'!$P$5:$P$500,"&gt;=118480")&gt;0,"X","")</f>
      </c>
      <c r="N20" s="56" t="str">
        <f>IF(COUNTIFS('LANÇAMENTOS DIÁRIOS'!$G$5:$G$500,"G",'LANÇAMENTOS DIÁRIOS'!$C$5:$C$500,$A20,'LANÇAMENTOS DIÁRIOS'!$O$5:$O$500,"&lt;=118679",'LANÇAMENTOS DIÁRIOS'!$P$5:$P$500,"&gt;=118580")&gt;0,"X","")</f>
      </c>
      <c r="O20" s="56" t="str">
        <f>IF(COUNTIFS('LANÇAMENTOS DIÁRIOS'!$G$5:$G$500,"G",'LANÇAMENTOS DIÁRIOS'!$C$5:$C$500,$A20,'LANÇAMENTOS DIÁRIOS'!$O$5:$O$500,"&lt;=118779",'LANÇAMENTOS DIÁRIOS'!$P$5:$P$500,"&gt;=118680")&gt;0,"X","")</f>
      </c>
      <c r="P20" s="56" t="str">
        <f>IF(COUNTIFS('LANÇAMENTOS DIÁRIOS'!$G$5:$G$500,"G",'LANÇAMENTOS DIÁRIOS'!$C$5:$C$500,$A20,'LANÇAMENTOS DIÁRIOS'!$O$5:$O$500,"&lt;=118879",'LANÇAMENTOS DIÁRIOS'!$P$5:$P$500,"&gt;=118780")&gt;0,"X","")</f>
      </c>
      <c r="Q20" s="56" t="str">
        <f>IF(COUNTIFS('LANÇAMENTOS DIÁRIOS'!$G$5:$G$500,"G",'LANÇAMENTOS DIÁRIOS'!$C$5:$C$500,$A20,'LANÇAMENTOS DIÁRIOS'!$O$5:$O$500,"&lt;=118979",'LANÇAMENTOS DIÁRIOS'!$P$5:$P$500,"&gt;=118880")&gt;0,"X","")</f>
      </c>
      <c r="R20" s="56" t="str">
        <f>IF(COUNTIFS('LANÇAMENTOS DIÁRIOS'!$G$5:$G$500,"G",'LANÇAMENTOS DIÁRIOS'!$C$5:$C$500,$A20,'LANÇAMENTOS DIÁRIOS'!$O$5:$O$500,"&lt;=119079",'LANÇAMENTOS DIÁRIOS'!$P$5:$P$500,"&gt;=118980")&gt;0,"X","")</f>
      </c>
      <c r="S20" s="56" t="str">
        <f>IF(COUNTIFS('LANÇAMENTOS DIÁRIOS'!$G$5:$G$500,"G",'LANÇAMENTOS DIÁRIOS'!$C$5:$C$500,$A20,'LANÇAMENTOS DIÁRIOS'!$O$5:$O$500,"&lt;=119179",'LANÇAMENTOS DIÁRIOS'!$P$5:$P$500,"&gt;=119080")&gt;0,"X","")</f>
      </c>
      <c r="T20" s="56" t="str">
        <f>IF(COUNTIFS('LANÇAMENTOS DIÁRIOS'!$G$5:$G$500,"G",'LANÇAMENTOS DIÁRIOS'!$C$5:$C$500,$A20,'LANÇAMENTOS DIÁRIOS'!$O$5:$O$500,"&lt;=119279",'LANÇAMENTOS DIÁRIOS'!$P$5:$P$500,"&gt;=119180")&gt;0,"X","")</f>
      </c>
      <c r="U20" s="56" t="str">
        <f>IF(COUNTIFS('LANÇAMENTOS DIÁRIOS'!$G$5:$G$500,"G",'LANÇAMENTOS DIÁRIOS'!$C$5:$C$500,$A20,'LANÇAMENTOS DIÁRIOS'!$O$5:$O$500,"&lt;=119379",'LANÇAMENTOS DIÁRIOS'!$P$5:$P$500,"&gt;=119280")&gt;0,"X","")</f>
      </c>
      <c r="V20" s="56" t="str">
        <f>IF(COUNTIFS('LANÇAMENTOS DIÁRIOS'!$G$5:$G$500,"G",'LANÇAMENTOS DIÁRIOS'!$C$5:$C$500,$A20,'LANÇAMENTOS DIÁRIOS'!$O$5:$O$500,"&lt;=119479",'LANÇAMENTOS DIÁRIOS'!$P$5:$P$500,"&gt;=119380")&gt;0,"X","")</f>
      </c>
      <c r="W20" s="56" t="str">
        <f>IF(COUNTIFS('LANÇAMENTOS DIÁRIOS'!$G$5:$G$500,"G",'LANÇAMENTOS DIÁRIOS'!$C$5:$C$500,$A20,'LANÇAMENTOS DIÁRIOS'!$O$5:$O$500,"&lt;=119579",'LANÇAMENTOS DIÁRIOS'!$P$5:$P$500,"&gt;=119480")&gt;0,"X","")</f>
      </c>
      <c r="X20" s="56" t="str">
        <f>IF(COUNTIFS('LANÇAMENTOS DIÁRIOS'!$G$5:$G$500,"G",'LANÇAMENTOS DIÁRIOS'!$C$5:$C$500,$A20,'LANÇAMENTOS DIÁRIOS'!$O$5:$O$500,"&lt;=119679",'LANÇAMENTOS DIÁRIOS'!$P$5:$P$500,"&gt;=119580")&gt;0,"X","")</f>
      </c>
      <c r="Y20" s="56" t="str">
        <f>IF(COUNTIFS('LANÇAMENTOS DIÁRIOS'!$G$5:$G$500,"G",'LANÇAMENTOS DIÁRIOS'!$C$5:$C$500,$A20,'LANÇAMENTOS DIÁRIOS'!$O$5:$O$500,"&lt;=119779",'LANÇAMENTOS DIÁRIOS'!$P$5:$P$500,"&gt;=119680")&gt;0,"X","")</f>
      </c>
      <c r="Z20" s="56" t="str">
        <f>IF(COUNTIFS('LANÇAMENTOS DIÁRIOS'!$G$5:$G$500,"G",'LANÇAMENTOS DIÁRIOS'!$C$5:$C$500,$A20,'LANÇAMENTOS DIÁRIOS'!$O$5:$O$500,"&lt;=119879",'LANÇAMENTOS DIÁRIOS'!$P$5:$P$500,"&gt;=119780")&gt;0,"X","")</f>
      </c>
      <c r="AA20" s="56" t="str">
        <f>IF(COUNTIFS('LANÇAMENTOS DIÁRIOS'!$G$5:$G$500,"G",'LANÇAMENTOS DIÁRIOS'!$C$5:$C$500,$A20,'LANÇAMENTOS DIÁRIOS'!$O$5:$O$500,"&lt;=119979",'LANÇAMENTOS DIÁRIOS'!$P$5:$P$500,"&gt;=119880")&gt;0,"X","")</f>
      </c>
      <c r="AB20" s="56" t="str">
        <f>IF(COUNTIFS('LANÇAMENTOS DIÁRIOS'!$G$5:$G$500,"G",'LANÇAMENTOS DIÁRIOS'!$C$5:$C$500,$A20,'LANÇAMENTOS DIÁRIOS'!$O$5:$O$500,"&lt;=120079",'LANÇAMENTOS DIÁRIOS'!$P$5:$P$500,"&gt;=119980")&gt;0,"X","")</f>
      </c>
      <c r="AC20" s="56" t="str">
        <f>IF(COUNTIFS('LANÇAMENTOS DIÁRIOS'!$G$5:$G$500,"G",'LANÇAMENTOS DIÁRIOS'!$C$5:$C$500,$A20,'LANÇAMENTOS DIÁRIOS'!$O$5:$O$500,"&lt;=120179",'LANÇAMENTOS DIÁRIOS'!$P$5:$P$500,"&gt;=120080")&gt;0,"X","")</f>
      </c>
      <c r="AD20" s="56" t="str">
        <f>IF(COUNTIFS('LANÇAMENTOS DIÁRIOS'!$G$5:$G$500,"G",'LANÇAMENTOS DIÁRIOS'!$C$5:$C$500,$A20,'LANÇAMENTOS DIÁRIOS'!$O$5:$O$500,"&lt;=120279",'LANÇAMENTOS DIÁRIOS'!$P$5:$P$500,"&gt;=120180")&gt;0,"X","")</f>
      </c>
      <c r="AE20" s="56" t="str">
        <f>IF(COUNTIFS('LANÇAMENTOS DIÁRIOS'!$G$5:$G$500,"G",'LANÇAMENTOS DIÁRIOS'!$C$5:$C$500,$A20,'LANÇAMENTOS DIÁRIOS'!$O$5:$O$500,"&lt;=120379",'LANÇAMENTOS DIÁRIOS'!$P$5:$P$500,"&gt;=120280")&gt;0,"X","")</f>
      </c>
      <c r="AF20" s="56" t="str">
        <f>IF(COUNTIFS('LANÇAMENTOS DIÁRIOS'!$G$5:$G$500,"G",'LANÇAMENTOS DIÁRIOS'!$C$5:$C$500,$A20,'LANÇAMENTOS DIÁRIOS'!$O$5:$O$500,"&lt;=120479",'LANÇAMENTOS DIÁRIOS'!$P$5:$P$500,"&gt;=120380")&gt;0,"X","")</f>
      </c>
      <c r="AG20" s="56" t="str">
        <f>IF(COUNTIFS('LANÇAMENTOS DIÁRIOS'!$G$5:$G$500,"G",'LANÇAMENTOS DIÁRIOS'!$C$5:$C$500,$A20,'LANÇAMENTOS DIÁRIOS'!$O$5:$O$500,"&lt;=120579",'LANÇAMENTOS DIÁRIOS'!$P$5:$P$500,"&gt;=120480")&gt;0,"X","")</f>
      </c>
      <c r="AH20" s="56" t="str">
        <f>IF(COUNTIFS('LANÇAMENTOS DIÁRIOS'!$G$5:$G$500,"G",'LANÇAMENTOS DIÁRIOS'!$C$5:$C$500,$A20,'LANÇAMENTOS DIÁRIOS'!$O$5:$O$500,"&lt;=120679",'LANÇAMENTOS DIÁRIOS'!$P$5:$P$500,"&gt;=120580")&gt;0,"X","")</f>
      </c>
      <c r="AI20" s="56" t="str">
        <f>IF(COUNTIFS('LANÇAMENTOS DIÁRIOS'!$G$5:$G$500,"G",'LANÇAMENTOS DIÁRIOS'!$C$5:$C$500,$A20,'LANÇAMENTOS DIÁRIOS'!$O$5:$O$500,"&lt;=120779",'LANÇAMENTOS DIÁRIOS'!$P$5:$P$500,"&gt;=120680")&gt;0,"X","")</f>
      </c>
      <c r="AJ20" s="56" t="str">
        <f>IF(COUNTIFS('LANÇAMENTOS DIÁRIOS'!$G$5:$G$500,"G",'LANÇAMENTOS DIÁRIOS'!$C$5:$C$500,$A20,'LANÇAMENTOS DIÁRIOS'!$O$5:$O$500,"&lt;=120879",'LANÇAMENTOS DIÁRIOS'!$P$5:$P$500,"&gt;=120780")&gt;0,"X","")</f>
      </c>
      <c r="AK20" s="56" t="str">
        <f>IF(COUNTIFS('LANÇAMENTOS DIÁRIOS'!$G$5:$G$500,"G",'LANÇAMENTOS DIÁRIOS'!$C$5:$C$500,$A20,'LANÇAMENTOS DIÁRIOS'!$O$5:$O$500,"&lt;=120979",'LANÇAMENTOS DIÁRIOS'!$P$5:$P$500,"&gt;=120880")&gt;0,"X","")</f>
      </c>
      <c r="AL20" s="56" t="str">
        <f>IF(COUNTIFS('LANÇAMENTOS DIÁRIOS'!$G$5:$G$500,"G",'LANÇAMENTOS DIÁRIOS'!$C$5:$C$500,$A20,'LANÇAMENTOS DIÁRIOS'!$O$5:$O$500,"&lt;=121079",'LANÇAMENTOS DIÁRIOS'!$P$5:$P$500,"&gt;=120980")&gt;0,"X","")</f>
      </c>
      <c r="AM20" s="56" t="str">
        <f>IF(COUNTIFS('LANÇAMENTOS DIÁRIOS'!$G$5:$G$500,"G",'LANÇAMENTOS DIÁRIOS'!$C$5:$C$500,$A20,'LANÇAMENTOS DIÁRIOS'!$O$5:$O$500,"&lt;=121179",'LANÇAMENTOS DIÁRIOS'!$P$5:$P$500,"&gt;=121080")&gt;0,"X","")</f>
      </c>
      <c r="AN20" s="56" t="str">
        <f>IF(COUNTIFS('LANÇAMENTOS DIÁRIOS'!$G$5:$G$500,"G",'LANÇAMENTOS DIÁRIOS'!$C$5:$C$500,$A20,'LANÇAMENTOS DIÁRIOS'!$O$5:$O$500,"&lt;=121279",'LANÇAMENTOS DIÁRIOS'!$P$5:$P$500,"&gt;=121180")&gt;0,"X","")</f>
      </c>
      <c r="AO20" s="56" t="str">
        <f>IF(COUNTIFS('LANÇAMENTOS DIÁRIOS'!$G$5:$G$500,"G",'LANÇAMENTOS DIÁRIOS'!$C$5:$C$500,$A20,'LANÇAMENTOS DIÁRIOS'!$O$5:$O$500,"&lt;=121379",'LANÇAMENTOS DIÁRIOS'!$P$5:$P$500,"&gt;=121280")&gt;0,"X","")</f>
      </c>
      <c r="AP20" s="56" t="str">
        <f>IF(COUNTIFS('LANÇAMENTOS DIÁRIOS'!$G$5:$G$500,"G",'LANÇAMENTOS DIÁRIOS'!$C$5:$C$500,$A20,'LANÇAMENTOS DIÁRIOS'!$O$5:$O$500,"&lt;=121479",'LANÇAMENTOS DIÁRIOS'!$P$5:$P$500,"&gt;=121380")&gt;0,"X","")</f>
      </c>
      <c r="AQ20" s="56" t="str">
        <f>IF(COUNTIFS('LANÇAMENTOS DIÁRIOS'!$G$5:$G$500,"G",'LANÇAMENTOS DIÁRIOS'!$C$5:$C$500,$A20,'LANÇAMENTOS DIÁRIOS'!$O$5:$O$500,"&lt;=121579",'LANÇAMENTOS DIÁRIOS'!$P$5:$P$500,"&gt;=121480")&gt;0,"X","")</f>
      </c>
      <c r="AR20" s="56" t="str">
        <f>IF(COUNTIFS('LANÇAMENTOS DIÁRIOS'!$G$5:$G$500,"G",'LANÇAMENTOS DIÁRIOS'!$C$5:$C$500,$A20,'LANÇAMENTOS DIÁRIOS'!$O$5:$O$500,"&lt;=121679",'LANÇAMENTOS DIÁRIOS'!$P$5:$P$500,"&gt;=121580")&gt;0,"X","")</f>
      </c>
      <c r="AS20" s="56" t="str">
        <f>IF(COUNTIFS('LANÇAMENTOS DIÁRIOS'!$G$5:$G$500,"G",'LANÇAMENTOS DIÁRIOS'!$C$5:$C$500,$A20,'LANÇAMENTOS DIÁRIOS'!$O$5:$O$500,"&lt;=121779",'LANÇAMENTOS DIÁRIOS'!$P$5:$P$500,"&gt;=121680")&gt;0,"X","")</f>
      </c>
      <c r="AT20" s="56" t="str">
        <f>IF(COUNTIFS('LANÇAMENTOS DIÁRIOS'!$G$5:$G$500,"G",'LANÇAMENTOS DIÁRIOS'!$C$5:$C$500,$A20,'LANÇAMENTOS DIÁRIOS'!$O$5:$O$500,"&lt;=121879",'LANÇAMENTOS DIÁRIOS'!$P$5:$P$500,"&gt;=121780")&gt;0,"X","")</f>
      </c>
      <c r="AU20" s="56" t="str">
        <f>IF(COUNTIFS('LANÇAMENTOS DIÁRIOS'!$G$5:$G$500,"G",'LANÇAMENTOS DIÁRIOS'!$C$5:$C$500,$A20,'LANÇAMENTOS DIÁRIOS'!$O$5:$O$500,"&lt;=121979",'LANÇAMENTOS DIÁRIOS'!$P$5:$P$500,"&gt;=121880")&gt;0,"X","")</f>
      </c>
      <c r="AV20" s="56" t="str">
        <f>IF(COUNTIFS('LANÇAMENTOS DIÁRIOS'!$G$5:$G$500,"G",'LANÇAMENTOS DIÁRIOS'!$C$5:$C$500,$A20,'LANÇAMENTOS DIÁRIOS'!$O$5:$O$500,"&lt;=122079",'LANÇAMENTOS DIÁRIOS'!$P$5:$P$500,"&gt;=121980")&gt;0,"X","")</f>
      </c>
      <c r="AW20" s="56" t="str">
        <f>IF(COUNTIFS('LANÇAMENTOS DIÁRIOS'!$G$5:$G$500,"G",'LANÇAMENTOS DIÁRIOS'!$C$5:$C$500,$A20,'LANÇAMENTOS DIÁRIOS'!$O$5:$O$500,"&lt;=122179",'LANÇAMENTOS DIÁRIOS'!$P$5:$P$500,"&gt;=122080")&gt;0,"X","")</f>
      </c>
      <c r="AX20" s="56" t="str">
        <f>IF(COUNTIFS('LANÇAMENTOS DIÁRIOS'!$G$5:$G$500,"G",'LANÇAMENTOS DIÁRIOS'!$C$5:$C$500,$A20,'LANÇAMENTOS DIÁRIOS'!$O$5:$O$500,"&lt;=122279",'LANÇAMENTOS DIÁRIOS'!$P$5:$P$500,"&gt;=122180")&gt;0,"X","")</f>
      </c>
      <c r="AY20" s="56" t="str">
        <f>IF(COUNTIFS('LANÇAMENTOS DIÁRIOS'!$G$5:$G$500,"G",'LANÇAMENTOS DIÁRIOS'!$C$5:$C$500,$A20,'LANÇAMENTOS DIÁRIOS'!$O$5:$O$500,"&lt;=122379",'LANÇAMENTOS DIÁRIOS'!$P$5:$P$500,"&gt;=122280")&gt;0,"X","")</f>
      </c>
      <c r="AZ20" s="56" t="str">
        <f>IF(COUNTIFS('LANÇAMENTOS DIÁRIOS'!$G$5:$G$500,"G",'LANÇAMENTOS DIÁRIOS'!$C$5:$C$500,$A20,'LANÇAMENTOS DIÁRIOS'!$O$5:$O$500,"&lt;=122479",'LANÇAMENTOS DIÁRIOS'!$P$5:$P$500,"&gt;=122380")&gt;0,"X","")</f>
      </c>
      <c r="BA20" s="56" t="str">
        <f>IF(COUNTIFS('LANÇAMENTOS DIÁRIOS'!$G$5:$G$500,"G",'LANÇAMENTOS DIÁRIOS'!$C$5:$C$500,$A20,'LANÇAMENTOS DIÁRIOS'!$O$5:$O$500,"&lt;=122579",'LANÇAMENTOS DIÁRIOS'!$P$5:$P$500,"&gt;=122480")&gt;0,"X","")</f>
      </c>
      <c r="BB20" s="56" t="str">
        <f>IF(COUNTIFS('LANÇAMENTOS DIÁRIOS'!$G$5:$G$500,"G",'LANÇAMENTOS DIÁRIOS'!$C$5:$C$500,$A20,'LANÇAMENTOS DIÁRIOS'!$O$5:$O$500,"&lt;=122679",'LANÇAMENTOS DIÁRIOS'!$P$5:$P$500,"&gt;=122580")&gt;0,"X","")</f>
      </c>
      <c r="BC20" s="56" t="str">
        <f>IF(COUNTIFS('LANÇAMENTOS DIÁRIOS'!$G$5:$G$500,"G",'LANÇAMENTOS DIÁRIOS'!$C$5:$C$500,$A20,'LANÇAMENTOS DIÁRIOS'!$O$5:$O$500,"&lt;=122779",'LANÇAMENTOS DIÁRIOS'!$P$5:$P$500,"&gt;=122680")&gt;0,"X","")</f>
      </c>
      <c r="BD20" s="56" t="str">
        <f>IF(COUNTIFS('LANÇAMENTOS DIÁRIOS'!$G$5:$G$500,"G",'LANÇAMENTOS DIÁRIOS'!$C$5:$C$500,$A20,'LANÇAMENTOS DIÁRIOS'!$O$5:$O$500,"&lt;=122879",'LANÇAMENTOS DIÁRIOS'!$P$5:$P$500,"&gt;=122780")&gt;0,"X","")</f>
      </c>
      <c r="BE20" s="56" t="str">
        <f>IF(COUNTIFS('LANÇAMENTOS DIÁRIOS'!$G$5:$G$500,"G",'LANÇAMENTOS DIÁRIOS'!$C$5:$C$500,$A20,'LANÇAMENTOS DIÁRIOS'!$O$5:$O$500,"&lt;=122979",'LANÇAMENTOS DIÁRIOS'!$P$5:$P$500,"&gt;=122880")&gt;0,"X","")</f>
      </c>
      <c r="BF20" s="56" t="str">
        <f>IF(COUNTIFS('LANÇAMENTOS DIÁRIOS'!$G$5:$G$500,"G",'LANÇAMENTOS DIÁRIOS'!$C$5:$C$500,$A20,'LANÇAMENTOS DIÁRIOS'!$O$5:$O$500,"&lt;=123079",'LANÇAMENTOS DIÁRIOS'!$P$5:$P$500,"&gt;=122980")&gt;0,"X","")</f>
      </c>
      <c r="BG20" s="56" t="str">
        <f>IF(COUNTIFS('LANÇAMENTOS DIÁRIOS'!$G$5:$G$500,"G",'LANÇAMENTOS DIÁRIOS'!$C$5:$C$500,$A20,'LANÇAMENTOS DIÁRIOS'!$O$5:$O$500,"&lt;=123179",'LANÇAMENTOS DIÁRIOS'!$P$5:$P$500,"&gt;=123080")&gt;0,"X","")</f>
      </c>
      <c r="BH20" s="56" t="str">
        <f>IF(COUNTIFS('LANÇAMENTOS DIÁRIOS'!$G$5:$G$500,"G",'LANÇAMENTOS DIÁRIOS'!$C$5:$C$500,$A20,'LANÇAMENTOS DIÁRIOS'!$O$5:$O$500,"&lt;=123279",'LANÇAMENTOS DIÁRIOS'!$P$5:$P$500,"&gt;=123180")&gt;0,"X","")</f>
      </c>
      <c r="BI20" s="56" t="str">
        <f>IF(COUNTIFS('LANÇAMENTOS DIÁRIOS'!$G$5:$G$500,"G",'LANÇAMENTOS DIÁRIOS'!$C$5:$C$500,$A20,'LANÇAMENTOS DIÁRIOS'!$O$5:$O$500,"&lt;=123379",'LANÇAMENTOS DIÁRIOS'!$P$5:$P$500,"&gt;=123280")&gt;0,"X","")</f>
      </c>
      <c r="BJ20" s="56" t="str">
        <f>IF(COUNTIFS('LANÇAMENTOS DIÁRIOS'!$G$5:$G$500,"G",'LANÇAMENTOS DIÁRIOS'!$C$5:$C$500,$A20,'LANÇAMENTOS DIÁRIOS'!$O$5:$O$500,"&lt;=123479",'LANÇAMENTOS DIÁRIOS'!$P$5:$P$500,"&gt;=123380")&gt;0,"X","")</f>
      </c>
      <c r="BK20" s="56" t="str">
        <f>IF(COUNTIFS('LANÇAMENTOS DIÁRIOS'!$G$5:$G$500,"G",'LANÇAMENTOS DIÁRIOS'!$C$5:$C$500,$A20,'LANÇAMENTOS DIÁRIOS'!$O$5:$O$500,"&lt;=123480",'LANÇAMENTOS DIÁRIOS'!$P$5:$P$500,"&gt;=123480")&gt;0,"X","")</f>
      </c>
    </row>
    <row r="21">
      <c r="A21" s="51" t="str">
        <v>Remanejamento de placa de sinalização instalada no solo, suporte metálico</v>
      </c>
      <c r="B21" s="56" t="str">
        <f>IF(COUNTIFS('LANÇAMENTOS DIÁRIOS'!$G$5:$G$500,"G",'LANÇAMENTOS DIÁRIOS'!$C$5:$C$500,$A21,'LANÇAMENTOS DIÁRIOS'!$O$5:$O$500,"&lt;=117479",'LANÇAMENTOS DIÁRIOS'!$P$5:$P$500,"&gt;=117380")&gt;0,"X","")</f>
      </c>
      <c r="C21" s="56" t="str">
        <f>IF(COUNTIFS('LANÇAMENTOS DIÁRIOS'!$G$5:$G$500,"G",'LANÇAMENTOS DIÁRIOS'!$C$5:$C$500,$A21,'LANÇAMENTOS DIÁRIOS'!$O$5:$O$500,"&lt;=117579",'LANÇAMENTOS DIÁRIOS'!$P$5:$P$500,"&gt;=117480")&gt;0,"X","")</f>
      </c>
      <c r="D21" s="56" t="str">
        <f>IF(COUNTIFS('LANÇAMENTOS DIÁRIOS'!$G$5:$G$500,"G",'LANÇAMENTOS DIÁRIOS'!$C$5:$C$500,$A21,'LANÇAMENTOS DIÁRIOS'!$O$5:$O$500,"&lt;=117679",'LANÇAMENTOS DIÁRIOS'!$P$5:$P$500,"&gt;=117580")&gt;0,"X","")</f>
      </c>
      <c r="E21" s="56" t="str">
        <f>IF(COUNTIFS('LANÇAMENTOS DIÁRIOS'!$G$5:$G$500,"G",'LANÇAMENTOS DIÁRIOS'!$C$5:$C$500,$A21,'LANÇAMENTOS DIÁRIOS'!$O$5:$O$500,"&lt;=117779",'LANÇAMENTOS DIÁRIOS'!$P$5:$P$500,"&gt;=117680")&gt;0,"X","")</f>
      </c>
      <c r="F21" s="56" t="str">
        <f>IF(COUNTIFS('LANÇAMENTOS DIÁRIOS'!$G$5:$G$500,"G",'LANÇAMENTOS DIÁRIOS'!$C$5:$C$500,$A21,'LANÇAMENTOS DIÁRIOS'!$O$5:$O$500,"&lt;=117879",'LANÇAMENTOS DIÁRIOS'!$P$5:$P$500,"&gt;=117780")&gt;0,"X","")</f>
      </c>
      <c r="G21" s="56" t="str">
        <f>IF(COUNTIFS('LANÇAMENTOS DIÁRIOS'!$G$5:$G$500,"G",'LANÇAMENTOS DIÁRIOS'!$C$5:$C$500,$A21,'LANÇAMENTOS DIÁRIOS'!$O$5:$O$500,"&lt;=117979",'LANÇAMENTOS DIÁRIOS'!$P$5:$P$500,"&gt;=117880")&gt;0,"X","")</f>
      </c>
      <c r="H21" s="56" t="str">
        <f>IF(COUNTIFS('LANÇAMENTOS DIÁRIOS'!$G$5:$G$500,"G",'LANÇAMENTOS DIÁRIOS'!$C$5:$C$500,$A21,'LANÇAMENTOS DIÁRIOS'!$O$5:$O$500,"&lt;=118079",'LANÇAMENTOS DIÁRIOS'!$P$5:$P$500,"&gt;=117980")&gt;0,"X","")</f>
      </c>
      <c r="I21" s="56" t="str">
        <f>IF(COUNTIFS('LANÇAMENTOS DIÁRIOS'!$G$5:$G$500,"G",'LANÇAMENTOS DIÁRIOS'!$C$5:$C$500,$A21,'LANÇAMENTOS DIÁRIOS'!$O$5:$O$500,"&lt;=118179",'LANÇAMENTOS DIÁRIOS'!$P$5:$P$500,"&gt;=118080")&gt;0,"X","")</f>
      </c>
      <c r="J21" s="56" t="str">
        <f>IF(COUNTIFS('LANÇAMENTOS DIÁRIOS'!$G$5:$G$500,"G",'LANÇAMENTOS DIÁRIOS'!$C$5:$C$500,$A21,'LANÇAMENTOS DIÁRIOS'!$O$5:$O$500,"&lt;=118279",'LANÇAMENTOS DIÁRIOS'!$P$5:$P$500,"&gt;=118180")&gt;0,"X","")</f>
      </c>
      <c r="K21" s="56" t="str">
        <f>IF(COUNTIFS('LANÇAMENTOS DIÁRIOS'!$G$5:$G$500,"G",'LANÇAMENTOS DIÁRIOS'!$C$5:$C$500,$A21,'LANÇAMENTOS DIÁRIOS'!$O$5:$O$500,"&lt;=118379",'LANÇAMENTOS DIÁRIOS'!$P$5:$P$500,"&gt;=118280")&gt;0,"X","")</f>
      </c>
      <c r="L21" s="56" t="str">
        <f>IF(COUNTIFS('LANÇAMENTOS DIÁRIOS'!$G$5:$G$500,"G",'LANÇAMENTOS DIÁRIOS'!$C$5:$C$500,$A21,'LANÇAMENTOS DIÁRIOS'!$O$5:$O$500,"&lt;=118479",'LANÇAMENTOS DIÁRIOS'!$P$5:$P$500,"&gt;=118380")&gt;0,"X","")</f>
      </c>
      <c r="M21" s="56" t="str">
        <f>IF(COUNTIFS('LANÇAMENTOS DIÁRIOS'!$G$5:$G$500,"G",'LANÇAMENTOS DIÁRIOS'!$C$5:$C$500,$A21,'LANÇAMENTOS DIÁRIOS'!$O$5:$O$500,"&lt;=118579",'LANÇAMENTOS DIÁRIOS'!$P$5:$P$500,"&gt;=118480")&gt;0,"X","")</f>
      </c>
      <c r="N21" s="56" t="str">
        <f>IF(COUNTIFS('LANÇAMENTOS DIÁRIOS'!$G$5:$G$500,"G",'LANÇAMENTOS DIÁRIOS'!$C$5:$C$500,$A21,'LANÇAMENTOS DIÁRIOS'!$O$5:$O$500,"&lt;=118679",'LANÇAMENTOS DIÁRIOS'!$P$5:$P$500,"&gt;=118580")&gt;0,"X","")</f>
      </c>
      <c r="O21" s="56" t="str">
        <f>IF(COUNTIFS('LANÇAMENTOS DIÁRIOS'!$G$5:$G$500,"G",'LANÇAMENTOS DIÁRIOS'!$C$5:$C$500,$A21,'LANÇAMENTOS DIÁRIOS'!$O$5:$O$500,"&lt;=118779",'LANÇAMENTOS DIÁRIOS'!$P$5:$P$500,"&gt;=118680")&gt;0,"X","")</f>
      </c>
      <c r="P21" s="56" t="str">
        <f>IF(COUNTIFS('LANÇAMENTOS DIÁRIOS'!$G$5:$G$500,"G",'LANÇAMENTOS DIÁRIOS'!$C$5:$C$500,$A21,'LANÇAMENTOS DIÁRIOS'!$O$5:$O$500,"&lt;=118879",'LANÇAMENTOS DIÁRIOS'!$P$5:$P$500,"&gt;=118780")&gt;0,"X","")</f>
      </c>
      <c r="Q21" s="56" t="str">
        <f>IF(COUNTIFS('LANÇAMENTOS DIÁRIOS'!$G$5:$G$500,"G",'LANÇAMENTOS DIÁRIOS'!$C$5:$C$500,$A21,'LANÇAMENTOS DIÁRIOS'!$O$5:$O$500,"&lt;=118979",'LANÇAMENTOS DIÁRIOS'!$P$5:$P$500,"&gt;=118880")&gt;0,"X","")</f>
      </c>
      <c r="R21" s="56" t="str">
        <f>IF(COUNTIFS('LANÇAMENTOS DIÁRIOS'!$G$5:$G$500,"G",'LANÇAMENTOS DIÁRIOS'!$C$5:$C$500,$A21,'LANÇAMENTOS DIÁRIOS'!$O$5:$O$500,"&lt;=119079",'LANÇAMENTOS DIÁRIOS'!$P$5:$P$500,"&gt;=118980")&gt;0,"X","")</f>
      </c>
      <c r="S21" s="56" t="str">
        <f>IF(COUNTIFS('LANÇAMENTOS DIÁRIOS'!$G$5:$G$500,"G",'LANÇAMENTOS DIÁRIOS'!$C$5:$C$500,$A21,'LANÇAMENTOS DIÁRIOS'!$O$5:$O$500,"&lt;=119179",'LANÇAMENTOS DIÁRIOS'!$P$5:$P$500,"&gt;=119080")&gt;0,"X","")</f>
      </c>
      <c r="T21" s="56" t="str">
        <f>IF(COUNTIFS('LANÇAMENTOS DIÁRIOS'!$G$5:$G$500,"G",'LANÇAMENTOS DIÁRIOS'!$C$5:$C$500,$A21,'LANÇAMENTOS DIÁRIOS'!$O$5:$O$500,"&lt;=119279",'LANÇAMENTOS DIÁRIOS'!$P$5:$P$500,"&gt;=119180")&gt;0,"X","")</f>
      </c>
      <c r="U21" s="56" t="str">
        <f>IF(COUNTIFS('LANÇAMENTOS DIÁRIOS'!$G$5:$G$500,"G",'LANÇAMENTOS DIÁRIOS'!$C$5:$C$500,$A21,'LANÇAMENTOS DIÁRIOS'!$O$5:$O$500,"&lt;=119379",'LANÇAMENTOS DIÁRIOS'!$P$5:$P$500,"&gt;=119280")&gt;0,"X","")</f>
      </c>
      <c r="V21" s="56" t="str">
        <f>IF(COUNTIFS('LANÇAMENTOS DIÁRIOS'!$G$5:$G$500,"G",'LANÇAMENTOS DIÁRIOS'!$C$5:$C$500,$A21,'LANÇAMENTOS DIÁRIOS'!$O$5:$O$500,"&lt;=119479",'LANÇAMENTOS DIÁRIOS'!$P$5:$P$500,"&gt;=119380")&gt;0,"X","")</f>
      </c>
      <c r="W21" s="56" t="str">
        <f>IF(COUNTIFS('LANÇAMENTOS DIÁRIOS'!$G$5:$G$500,"G",'LANÇAMENTOS DIÁRIOS'!$C$5:$C$500,$A21,'LANÇAMENTOS DIÁRIOS'!$O$5:$O$500,"&lt;=119579",'LANÇAMENTOS DIÁRIOS'!$P$5:$P$500,"&gt;=119480")&gt;0,"X","")</f>
      </c>
      <c r="X21" s="56" t="str">
        <f>IF(COUNTIFS('LANÇAMENTOS DIÁRIOS'!$G$5:$G$500,"G",'LANÇAMENTOS DIÁRIOS'!$C$5:$C$500,$A21,'LANÇAMENTOS DIÁRIOS'!$O$5:$O$500,"&lt;=119679",'LANÇAMENTOS DIÁRIOS'!$P$5:$P$500,"&gt;=119580")&gt;0,"X","")</f>
      </c>
      <c r="Y21" s="56" t="str">
        <f>IF(COUNTIFS('LANÇAMENTOS DIÁRIOS'!$G$5:$G$500,"G",'LANÇAMENTOS DIÁRIOS'!$C$5:$C$500,$A21,'LANÇAMENTOS DIÁRIOS'!$O$5:$O$500,"&lt;=119779",'LANÇAMENTOS DIÁRIOS'!$P$5:$P$500,"&gt;=119680")&gt;0,"X","")</f>
      </c>
      <c r="Z21" s="56" t="str">
        <f>IF(COUNTIFS('LANÇAMENTOS DIÁRIOS'!$G$5:$G$500,"G",'LANÇAMENTOS DIÁRIOS'!$C$5:$C$500,$A21,'LANÇAMENTOS DIÁRIOS'!$O$5:$O$500,"&lt;=119879",'LANÇAMENTOS DIÁRIOS'!$P$5:$P$500,"&gt;=119780")&gt;0,"X","")</f>
      </c>
      <c r="AA21" s="56" t="str">
        <f>IF(COUNTIFS('LANÇAMENTOS DIÁRIOS'!$G$5:$G$500,"G",'LANÇAMENTOS DIÁRIOS'!$C$5:$C$500,$A21,'LANÇAMENTOS DIÁRIOS'!$O$5:$O$500,"&lt;=119979",'LANÇAMENTOS DIÁRIOS'!$P$5:$P$500,"&gt;=119880")&gt;0,"X","")</f>
      </c>
      <c r="AB21" s="56" t="str">
        <f>IF(COUNTIFS('LANÇAMENTOS DIÁRIOS'!$G$5:$G$500,"G",'LANÇAMENTOS DIÁRIOS'!$C$5:$C$500,$A21,'LANÇAMENTOS DIÁRIOS'!$O$5:$O$500,"&lt;=120079",'LANÇAMENTOS DIÁRIOS'!$P$5:$P$500,"&gt;=119980")&gt;0,"X","")</f>
      </c>
      <c r="AC21" s="56" t="str">
        <f>IF(COUNTIFS('LANÇAMENTOS DIÁRIOS'!$G$5:$G$500,"G",'LANÇAMENTOS DIÁRIOS'!$C$5:$C$500,$A21,'LANÇAMENTOS DIÁRIOS'!$O$5:$O$500,"&lt;=120179",'LANÇAMENTOS DIÁRIOS'!$P$5:$P$500,"&gt;=120080")&gt;0,"X","")</f>
      </c>
      <c r="AD21" s="56" t="str">
        <f>IF(COUNTIFS('LANÇAMENTOS DIÁRIOS'!$G$5:$G$500,"G",'LANÇAMENTOS DIÁRIOS'!$C$5:$C$500,$A21,'LANÇAMENTOS DIÁRIOS'!$O$5:$O$500,"&lt;=120279",'LANÇAMENTOS DIÁRIOS'!$P$5:$P$500,"&gt;=120180")&gt;0,"X","")</f>
      </c>
      <c r="AE21" s="56" t="str">
        <f>IF(COUNTIFS('LANÇAMENTOS DIÁRIOS'!$G$5:$G$500,"G",'LANÇAMENTOS DIÁRIOS'!$C$5:$C$500,$A21,'LANÇAMENTOS DIÁRIOS'!$O$5:$O$500,"&lt;=120379",'LANÇAMENTOS DIÁRIOS'!$P$5:$P$500,"&gt;=120280")&gt;0,"X","")</f>
      </c>
      <c r="AF21" s="56" t="str">
        <f>IF(COUNTIFS('LANÇAMENTOS DIÁRIOS'!$G$5:$G$500,"G",'LANÇAMENTOS DIÁRIOS'!$C$5:$C$500,$A21,'LANÇAMENTOS DIÁRIOS'!$O$5:$O$500,"&lt;=120479",'LANÇAMENTOS DIÁRIOS'!$P$5:$P$500,"&gt;=120380")&gt;0,"X","")</f>
      </c>
      <c r="AG21" s="56" t="str">
        <f>IF(COUNTIFS('LANÇAMENTOS DIÁRIOS'!$G$5:$G$500,"G",'LANÇAMENTOS DIÁRIOS'!$C$5:$C$500,$A21,'LANÇAMENTOS DIÁRIOS'!$O$5:$O$500,"&lt;=120579",'LANÇAMENTOS DIÁRIOS'!$P$5:$P$500,"&gt;=120480")&gt;0,"X","")</f>
      </c>
      <c r="AH21" s="56" t="str">
        <f>IF(COUNTIFS('LANÇAMENTOS DIÁRIOS'!$G$5:$G$500,"G",'LANÇAMENTOS DIÁRIOS'!$C$5:$C$500,$A21,'LANÇAMENTOS DIÁRIOS'!$O$5:$O$500,"&lt;=120679",'LANÇAMENTOS DIÁRIOS'!$P$5:$P$500,"&gt;=120580")&gt;0,"X","")</f>
      </c>
      <c r="AI21" s="56" t="str">
        <f>IF(COUNTIFS('LANÇAMENTOS DIÁRIOS'!$G$5:$G$500,"G",'LANÇAMENTOS DIÁRIOS'!$C$5:$C$500,$A21,'LANÇAMENTOS DIÁRIOS'!$O$5:$O$500,"&lt;=120779",'LANÇAMENTOS DIÁRIOS'!$P$5:$P$500,"&gt;=120680")&gt;0,"X","")</f>
      </c>
      <c r="AJ21" s="56" t="str">
        <f>IF(COUNTIFS('LANÇAMENTOS DIÁRIOS'!$G$5:$G$500,"G",'LANÇAMENTOS DIÁRIOS'!$C$5:$C$500,$A21,'LANÇAMENTOS DIÁRIOS'!$O$5:$O$500,"&lt;=120879",'LANÇAMENTOS DIÁRIOS'!$P$5:$P$500,"&gt;=120780")&gt;0,"X","")</f>
      </c>
      <c r="AK21" s="56" t="str">
        <f>IF(COUNTIFS('LANÇAMENTOS DIÁRIOS'!$G$5:$G$500,"G",'LANÇAMENTOS DIÁRIOS'!$C$5:$C$500,$A21,'LANÇAMENTOS DIÁRIOS'!$O$5:$O$500,"&lt;=120979",'LANÇAMENTOS DIÁRIOS'!$P$5:$P$500,"&gt;=120880")&gt;0,"X","")</f>
      </c>
      <c r="AL21" s="56" t="str">
        <f>IF(COUNTIFS('LANÇAMENTOS DIÁRIOS'!$G$5:$G$500,"G",'LANÇAMENTOS DIÁRIOS'!$C$5:$C$500,$A21,'LANÇAMENTOS DIÁRIOS'!$O$5:$O$500,"&lt;=121079",'LANÇAMENTOS DIÁRIOS'!$P$5:$P$500,"&gt;=120980")&gt;0,"X","")</f>
      </c>
      <c r="AM21" s="56" t="str">
        <f>IF(COUNTIFS('LANÇAMENTOS DIÁRIOS'!$G$5:$G$500,"G",'LANÇAMENTOS DIÁRIOS'!$C$5:$C$500,$A21,'LANÇAMENTOS DIÁRIOS'!$O$5:$O$500,"&lt;=121179",'LANÇAMENTOS DIÁRIOS'!$P$5:$P$500,"&gt;=121080")&gt;0,"X","")</f>
      </c>
      <c r="AN21" s="56" t="str">
        <f>IF(COUNTIFS('LANÇAMENTOS DIÁRIOS'!$G$5:$G$500,"G",'LANÇAMENTOS DIÁRIOS'!$C$5:$C$500,$A21,'LANÇAMENTOS DIÁRIOS'!$O$5:$O$500,"&lt;=121279",'LANÇAMENTOS DIÁRIOS'!$P$5:$P$500,"&gt;=121180")&gt;0,"X","")</f>
      </c>
      <c r="AO21" s="56" t="str">
        <f>IF(COUNTIFS('LANÇAMENTOS DIÁRIOS'!$G$5:$G$500,"G",'LANÇAMENTOS DIÁRIOS'!$C$5:$C$500,$A21,'LANÇAMENTOS DIÁRIOS'!$O$5:$O$500,"&lt;=121379",'LANÇAMENTOS DIÁRIOS'!$P$5:$P$500,"&gt;=121280")&gt;0,"X","")</f>
      </c>
      <c r="AP21" s="56" t="str">
        <f>IF(COUNTIFS('LANÇAMENTOS DIÁRIOS'!$G$5:$G$500,"G",'LANÇAMENTOS DIÁRIOS'!$C$5:$C$500,$A21,'LANÇAMENTOS DIÁRIOS'!$O$5:$O$500,"&lt;=121479",'LANÇAMENTOS DIÁRIOS'!$P$5:$P$500,"&gt;=121380")&gt;0,"X","")</f>
      </c>
      <c r="AQ21" s="56" t="str">
        <f>IF(COUNTIFS('LANÇAMENTOS DIÁRIOS'!$G$5:$G$500,"G",'LANÇAMENTOS DIÁRIOS'!$C$5:$C$500,$A21,'LANÇAMENTOS DIÁRIOS'!$O$5:$O$500,"&lt;=121579",'LANÇAMENTOS DIÁRIOS'!$P$5:$P$500,"&gt;=121480")&gt;0,"X","")</f>
      </c>
      <c r="AR21" s="56" t="str">
        <f>IF(COUNTIFS('LANÇAMENTOS DIÁRIOS'!$G$5:$G$500,"G",'LANÇAMENTOS DIÁRIOS'!$C$5:$C$500,$A21,'LANÇAMENTOS DIÁRIOS'!$O$5:$O$500,"&lt;=121679",'LANÇAMENTOS DIÁRIOS'!$P$5:$P$500,"&gt;=121580")&gt;0,"X","")</f>
      </c>
      <c r="AS21" s="56" t="str">
        <f>IF(COUNTIFS('LANÇAMENTOS DIÁRIOS'!$G$5:$G$500,"G",'LANÇAMENTOS DIÁRIOS'!$C$5:$C$500,$A21,'LANÇAMENTOS DIÁRIOS'!$O$5:$O$500,"&lt;=121779",'LANÇAMENTOS DIÁRIOS'!$P$5:$P$500,"&gt;=121680")&gt;0,"X","")</f>
      </c>
      <c r="AT21" s="56" t="str">
        <f>IF(COUNTIFS('LANÇAMENTOS DIÁRIOS'!$G$5:$G$500,"G",'LANÇAMENTOS DIÁRIOS'!$C$5:$C$500,$A21,'LANÇAMENTOS DIÁRIOS'!$O$5:$O$500,"&lt;=121879",'LANÇAMENTOS DIÁRIOS'!$P$5:$P$500,"&gt;=121780")&gt;0,"X","")</f>
      </c>
      <c r="AU21" s="56" t="str">
        <f>IF(COUNTIFS('LANÇAMENTOS DIÁRIOS'!$G$5:$G$500,"G",'LANÇAMENTOS DIÁRIOS'!$C$5:$C$500,$A21,'LANÇAMENTOS DIÁRIOS'!$O$5:$O$500,"&lt;=121979",'LANÇAMENTOS DIÁRIOS'!$P$5:$P$500,"&gt;=121880")&gt;0,"X","")</f>
      </c>
      <c r="AV21" s="56" t="str">
        <f>IF(COUNTIFS('LANÇAMENTOS DIÁRIOS'!$G$5:$G$500,"G",'LANÇAMENTOS DIÁRIOS'!$C$5:$C$500,$A21,'LANÇAMENTOS DIÁRIOS'!$O$5:$O$500,"&lt;=122079",'LANÇAMENTOS DIÁRIOS'!$P$5:$P$500,"&gt;=121980")&gt;0,"X","")</f>
      </c>
      <c r="AW21" s="56" t="str">
        <f>IF(COUNTIFS('LANÇAMENTOS DIÁRIOS'!$G$5:$G$500,"G",'LANÇAMENTOS DIÁRIOS'!$C$5:$C$500,$A21,'LANÇAMENTOS DIÁRIOS'!$O$5:$O$500,"&lt;=122179",'LANÇAMENTOS DIÁRIOS'!$P$5:$P$500,"&gt;=122080")&gt;0,"X","")</f>
      </c>
      <c r="AX21" s="56" t="str">
        <f>IF(COUNTIFS('LANÇAMENTOS DIÁRIOS'!$G$5:$G$500,"G",'LANÇAMENTOS DIÁRIOS'!$C$5:$C$500,$A21,'LANÇAMENTOS DIÁRIOS'!$O$5:$O$500,"&lt;=122279",'LANÇAMENTOS DIÁRIOS'!$P$5:$P$500,"&gt;=122180")&gt;0,"X","")</f>
      </c>
      <c r="AY21" s="56" t="str">
        <f>IF(COUNTIFS('LANÇAMENTOS DIÁRIOS'!$G$5:$G$500,"G",'LANÇAMENTOS DIÁRIOS'!$C$5:$C$500,$A21,'LANÇAMENTOS DIÁRIOS'!$O$5:$O$500,"&lt;=122379",'LANÇAMENTOS DIÁRIOS'!$P$5:$P$500,"&gt;=122280")&gt;0,"X","")</f>
      </c>
      <c r="AZ21" s="56" t="str">
        <f>IF(COUNTIFS('LANÇAMENTOS DIÁRIOS'!$G$5:$G$500,"G",'LANÇAMENTOS DIÁRIOS'!$C$5:$C$500,$A21,'LANÇAMENTOS DIÁRIOS'!$O$5:$O$500,"&lt;=122479",'LANÇAMENTOS DIÁRIOS'!$P$5:$P$500,"&gt;=122380")&gt;0,"X","")</f>
      </c>
      <c r="BA21" s="56" t="str">
        <f>IF(COUNTIFS('LANÇAMENTOS DIÁRIOS'!$G$5:$G$500,"G",'LANÇAMENTOS DIÁRIOS'!$C$5:$C$500,$A21,'LANÇAMENTOS DIÁRIOS'!$O$5:$O$500,"&lt;=122579",'LANÇAMENTOS DIÁRIOS'!$P$5:$P$500,"&gt;=122480")&gt;0,"X","")</f>
      </c>
      <c r="BB21" s="56" t="str">
        <f>IF(COUNTIFS('LANÇAMENTOS DIÁRIOS'!$G$5:$G$500,"G",'LANÇAMENTOS DIÁRIOS'!$C$5:$C$500,$A21,'LANÇAMENTOS DIÁRIOS'!$O$5:$O$500,"&lt;=122679",'LANÇAMENTOS DIÁRIOS'!$P$5:$P$500,"&gt;=122580")&gt;0,"X","")</f>
      </c>
      <c r="BC21" s="56" t="str">
        <f>IF(COUNTIFS('LANÇAMENTOS DIÁRIOS'!$G$5:$G$500,"G",'LANÇAMENTOS DIÁRIOS'!$C$5:$C$500,$A21,'LANÇAMENTOS DIÁRIOS'!$O$5:$O$500,"&lt;=122779",'LANÇAMENTOS DIÁRIOS'!$P$5:$P$500,"&gt;=122680")&gt;0,"X","")</f>
      </c>
      <c r="BD21" s="56" t="str">
        <f>IF(COUNTIFS('LANÇAMENTOS DIÁRIOS'!$G$5:$G$500,"G",'LANÇAMENTOS DIÁRIOS'!$C$5:$C$500,$A21,'LANÇAMENTOS DIÁRIOS'!$O$5:$O$500,"&lt;=122879",'LANÇAMENTOS DIÁRIOS'!$P$5:$P$500,"&gt;=122780")&gt;0,"X","")</f>
      </c>
      <c r="BE21" s="56" t="str">
        <f>IF(COUNTIFS('LANÇAMENTOS DIÁRIOS'!$G$5:$G$500,"G",'LANÇAMENTOS DIÁRIOS'!$C$5:$C$500,$A21,'LANÇAMENTOS DIÁRIOS'!$O$5:$O$500,"&lt;=122979",'LANÇAMENTOS DIÁRIOS'!$P$5:$P$500,"&gt;=122880")&gt;0,"X","")</f>
      </c>
      <c r="BF21" s="56" t="str">
        <f>IF(COUNTIFS('LANÇAMENTOS DIÁRIOS'!$G$5:$G$500,"G",'LANÇAMENTOS DIÁRIOS'!$C$5:$C$500,$A21,'LANÇAMENTOS DIÁRIOS'!$O$5:$O$500,"&lt;=123079",'LANÇAMENTOS DIÁRIOS'!$P$5:$P$500,"&gt;=122980")&gt;0,"X","")</f>
      </c>
      <c r="BG21" s="56" t="str">
        <f>IF(COUNTIFS('LANÇAMENTOS DIÁRIOS'!$G$5:$G$500,"G",'LANÇAMENTOS DIÁRIOS'!$C$5:$C$500,$A21,'LANÇAMENTOS DIÁRIOS'!$O$5:$O$500,"&lt;=123179",'LANÇAMENTOS DIÁRIOS'!$P$5:$P$500,"&gt;=123080")&gt;0,"X","")</f>
      </c>
      <c r="BH21" s="56" t="str">
        <f>IF(COUNTIFS('LANÇAMENTOS DIÁRIOS'!$G$5:$G$500,"G",'LANÇAMENTOS DIÁRIOS'!$C$5:$C$500,$A21,'LANÇAMENTOS DIÁRIOS'!$O$5:$O$500,"&lt;=123279",'LANÇAMENTOS DIÁRIOS'!$P$5:$P$500,"&gt;=123180")&gt;0,"X","")</f>
      </c>
      <c r="BI21" s="56" t="str">
        <f>IF(COUNTIFS('LANÇAMENTOS DIÁRIOS'!$G$5:$G$500,"G",'LANÇAMENTOS DIÁRIOS'!$C$5:$C$500,$A21,'LANÇAMENTOS DIÁRIOS'!$O$5:$O$500,"&lt;=123379",'LANÇAMENTOS DIÁRIOS'!$P$5:$P$500,"&gt;=123280")&gt;0,"X","")</f>
      </c>
      <c r="BJ21" s="56" t="str">
        <f>IF(COUNTIFS('LANÇAMENTOS DIÁRIOS'!$G$5:$G$500,"G",'LANÇAMENTOS DIÁRIOS'!$C$5:$C$500,$A21,'LANÇAMENTOS DIÁRIOS'!$O$5:$O$500,"&lt;=123479",'LANÇAMENTOS DIÁRIOS'!$P$5:$P$500,"&gt;=123380")&gt;0,"X","")</f>
      </c>
      <c r="BK21" s="56" t="str">
        <f>IF(COUNTIFS('LANÇAMENTOS DIÁRIOS'!$G$5:$G$500,"G",'LANÇAMENTOS DIÁRIOS'!$C$5:$C$500,$A21,'LANÇAMENTOS DIÁRIOS'!$O$5:$O$500,"&lt;=123480",'LANÇAMENTOS DIÁRIOS'!$P$5:$P$500,"&gt;=123480")&gt;0,"X","")</f>
      </c>
    </row>
    <row r="22">
      <c r="A22" s="51" t="str">
        <v>Remanejamento de placa de sinalização, solo</v>
      </c>
      <c r="B22" s="56" t="str">
        <f>IF(COUNTIFS('LANÇAMENTOS DIÁRIOS'!$G$5:$G$500,"G",'LANÇAMENTOS DIÁRIOS'!$C$5:$C$500,$A22,'LANÇAMENTOS DIÁRIOS'!$O$5:$O$500,"&lt;=117479",'LANÇAMENTOS DIÁRIOS'!$P$5:$P$500,"&gt;=117380")&gt;0,"X","")</f>
      </c>
      <c r="C22" s="56" t="str">
        <f>IF(COUNTIFS('LANÇAMENTOS DIÁRIOS'!$G$5:$G$500,"G",'LANÇAMENTOS DIÁRIOS'!$C$5:$C$500,$A22,'LANÇAMENTOS DIÁRIOS'!$O$5:$O$500,"&lt;=117579",'LANÇAMENTOS DIÁRIOS'!$P$5:$P$500,"&gt;=117480")&gt;0,"X","")</f>
      </c>
      <c r="D22" s="56" t="str">
        <f>IF(COUNTIFS('LANÇAMENTOS DIÁRIOS'!$G$5:$G$500,"G",'LANÇAMENTOS DIÁRIOS'!$C$5:$C$500,$A22,'LANÇAMENTOS DIÁRIOS'!$O$5:$O$500,"&lt;=117679",'LANÇAMENTOS DIÁRIOS'!$P$5:$P$500,"&gt;=117580")&gt;0,"X","")</f>
      </c>
      <c r="E22" s="56" t="str">
        <f>IF(COUNTIFS('LANÇAMENTOS DIÁRIOS'!$G$5:$G$500,"G",'LANÇAMENTOS DIÁRIOS'!$C$5:$C$500,$A22,'LANÇAMENTOS DIÁRIOS'!$O$5:$O$500,"&lt;=117779",'LANÇAMENTOS DIÁRIOS'!$P$5:$P$500,"&gt;=117680")&gt;0,"X","")</f>
      </c>
      <c r="F22" s="56" t="str">
        <f>IF(COUNTIFS('LANÇAMENTOS DIÁRIOS'!$G$5:$G$500,"G",'LANÇAMENTOS DIÁRIOS'!$C$5:$C$500,$A22,'LANÇAMENTOS DIÁRIOS'!$O$5:$O$500,"&lt;=117879",'LANÇAMENTOS DIÁRIOS'!$P$5:$P$500,"&gt;=117780")&gt;0,"X","")</f>
      </c>
      <c r="G22" s="56" t="str">
        <f>IF(COUNTIFS('LANÇAMENTOS DIÁRIOS'!$G$5:$G$500,"G",'LANÇAMENTOS DIÁRIOS'!$C$5:$C$500,$A22,'LANÇAMENTOS DIÁRIOS'!$O$5:$O$500,"&lt;=117979",'LANÇAMENTOS DIÁRIOS'!$P$5:$P$500,"&gt;=117880")&gt;0,"X","")</f>
      </c>
      <c r="H22" s="56" t="str">
        <f>IF(COUNTIFS('LANÇAMENTOS DIÁRIOS'!$G$5:$G$500,"G",'LANÇAMENTOS DIÁRIOS'!$C$5:$C$500,$A22,'LANÇAMENTOS DIÁRIOS'!$O$5:$O$500,"&lt;=118079",'LANÇAMENTOS DIÁRIOS'!$P$5:$P$500,"&gt;=117980")&gt;0,"X","")</f>
      </c>
      <c r="I22" s="56" t="str">
        <f>IF(COUNTIFS('LANÇAMENTOS DIÁRIOS'!$G$5:$G$500,"G",'LANÇAMENTOS DIÁRIOS'!$C$5:$C$500,$A22,'LANÇAMENTOS DIÁRIOS'!$O$5:$O$500,"&lt;=118179",'LANÇAMENTOS DIÁRIOS'!$P$5:$P$500,"&gt;=118080")&gt;0,"X","")</f>
      </c>
      <c r="J22" s="56" t="str">
        <f>IF(COUNTIFS('LANÇAMENTOS DIÁRIOS'!$G$5:$G$500,"G",'LANÇAMENTOS DIÁRIOS'!$C$5:$C$500,$A22,'LANÇAMENTOS DIÁRIOS'!$O$5:$O$500,"&lt;=118279",'LANÇAMENTOS DIÁRIOS'!$P$5:$P$500,"&gt;=118180")&gt;0,"X","")</f>
      </c>
      <c r="K22" s="56" t="str">
        <f>IF(COUNTIFS('LANÇAMENTOS DIÁRIOS'!$G$5:$G$500,"G",'LANÇAMENTOS DIÁRIOS'!$C$5:$C$500,$A22,'LANÇAMENTOS DIÁRIOS'!$O$5:$O$500,"&lt;=118379",'LANÇAMENTOS DIÁRIOS'!$P$5:$P$500,"&gt;=118280")&gt;0,"X","")</f>
      </c>
      <c r="L22" s="56" t="str">
        <f>IF(COUNTIFS('LANÇAMENTOS DIÁRIOS'!$G$5:$G$500,"G",'LANÇAMENTOS DIÁRIOS'!$C$5:$C$500,$A22,'LANÇAMENTOS DIÁRIOS'!$O$5:$O$500,"&lt;=118479",'LANÇAMENTOS DIÁRIOS'!$P$5:$P$500,"&gt;=118380")&gt;0,"X","")</f>
      </c>
      <c r="M22" s="56" t="str">
        <f>IF(COUNTIFS('LANÇAMENTOS DIÁRIOS'!$G$5:$G$500,"G",'LANÇAMENTOS DIÁRIOS'!$C$5:$C$500,$A22,'LANÇAMENTOS DIÁRIOS'!$O$5:$O$500,"&lt;=118579",'LANÇAMENTOS DIÁRIOS'!$P$5:$P$500,"&gt;=118480")&gt;0,"X","")</f>
      </c>
      <c r="N22" s="56" t="str">
        <f>IF(COUNTIFS('LANÇAMENTOS DIÁRIOS'!$G$5:$G$500,"G",'LANÇAMENTOS DIÁRIOS'!$C$5:$C$500,$A22,'LANÇAMENTOS DIÁRIOS'!$O$5:$O$500,"&lt;=118679",'LANÇAMENTOS DIÁRIOS'!$P$5:$P$500,"&gt;=118580")&gt;0,"X","")</f>
      </c>
      <c r="O22" s="56" t="str">
        <f>IF(COUNTIFS('LANÇAMENTOS DIÁRIOS'!$G$5:$G$500,"G",'LANÇAMENTOS DIÁRIOS'!$C$5:$C$500,$A22,'LANÇAMENTOS DIÁRIOS'!$O$5:$O$500,"&lt;=118779",'LANÇAMENTOS DIÁRIOS'!$P$5:$P$500,"&gt;=118680")&gt;0,"X","")</f>
      </c>
      <c r="P22" s="56" t="str">
        <f>IF(COUNTIFS('LANÇAMENTOS DIÁRIOS'!$G$5:$G$500,"G",'LANÇAMENTOS DIÁRIOS'!$C$5:$C$500,$A22,'LANÇAMENTOS DIÁRIOS'!$O$5:$O$500,"&lt;=118879",'LANÇAMENTOS DIÁRIOS'!$P$5:$P$500,"&gt;=118780")&gt;0,"X","")</f>
      </c>
      <c r="Q22" s="56" t="str">
        <f>IF(COUNTIFS('LANÇAMENTOS DIÁRIOS'!$G$5:$G$500,"G",'LANÇAMENTOS DIÁRIOS'!$C$5:$C$500,$A22,'LANÇAMENTOS DIÁRIOS'!$O$5:$O$500,"&lt;=118979",'LANÇAMENTOS DIÁRIOS'!$P$5:$P$500,"&gt;=118880")&gt;0,"X","")</f>
      </c>
      <c r="R22" s="56" t="str">
        <f>IF(COUNTIFS('LANÇAMENTOS DIÁRIOS'!$G$5:$G$500,"G",'LANÇAMENTOS DIÁRIOS'!$C$5:$C$500,$A22,'LANÇAMENTOS DIÁRIOS'!$O$5:$O$500,"&lt;=119079",'LANÇAMENTOS DIÁRIOS'!$P$5:$P$500,"&gt;=118980")&gt;0,"X","")</f>
      </c>
      <c r="S22" s="56" t="str">
        <f>IF(COUNTIFS('LANÇAMENTOS DIÁRIOS'!$G$5:$G$500,"G",'LANÇAMENTOS DIÁRIOS'!$C$5:$C$500,$A22,'LANÇAMENTOS DIÁRIOS'!$O$5:$O$500,"&lt;=119179",'LANÇAMENTOS DIÁRIOS'!$P$5:$P$500,"&gt;=119080")&gt;0,"X","")</f>
      </c>
      <c r="T22" s="56" t="str">
        <f>IF(COUNTIFS('LANÇAMENTOS DIÁRIOS'!$G$5:$G$500,"G",'LANÇAMENTOS DIÁRIOS'!$C$5:$C$500,$A22,'LANÇAMENTOS DIÁRIOS'!$O$5:$O$500,"&lt;=119279",'LANÇAMENTOS DIÁRIOS'!$P$5:$P$500,"&gt;=119180")&gt;0,"X","")</f>
      </c>
      <c r="U22" s="56" t="str">
        <f>IF(COUNTIFS('LANÇAMENTOS DIÁRIOS'!$G$5:$G$500,"G",'LANÇAMENTOS DIÁRIOS'!$C$5:$C$500,$A22,'LANÇAMENTOS DIÁRIOS'!$O$5:$O$500,"&lt;=119379",'LANÇAMENTOS DIÁRIOS'!$P$5:$P$500,"&gt;=119280")&gt;0,"X","")</f>
      </c>
      <c r="V22" s="56" t="str">
        <f>IF(COUNTIFS('LANÇAMENTOS DIÁRIOS'!$G$5:$G$500,"G",'LANÇAMENTOS DIÁRIOS'!$C$5:$C$500,$A22,'LANÇAMENTOS DIÁRIOS'!$O$5:$O$500,"&lt;=119479",'LANÇAMENTOS DIÁRIOS'!$P$5:$P$500,"&gt;=119380")&gt;0,"X","")</f>
      </c>
      <c r="W22" s="56" t="str">
        <f>IF(COUNTIFS('LANÇAMENTOS DIÁRIOS'!$G$5:$G$500,"G",'LANÇAMENTOS DIÁRIOS'!$C$5:$C$500,$A22,'LANÇAMENTOS DIÁRIOS'!$O$5:$O$500,"&lt;=119579",'LANÇAMENTOS DIÁRIOS'!$P$5:$P$500,"&gt;=119480")&gt;0,"X","")</f>
      </c>
      <c r="X22" s="56" t="str">
        <f>IF(COUNTIFS('LANÇAMENTOS DIÁRIOS'!$G$5:$G$500,"G",'LANÇAMENTOS DIÁRIOS'!$C$5:$C$500,$A22,'LANÇAMENTOS DIÁRIOS'!$O$5:$O$500,"&lt;=119679",'LANÇAMENTOS DIÁRIOS'!$P$5:$P$500,"&gt;=119580")&gt;0,"X","")</f>
      </c>
      <c r="Y22" s="56" t="str">
        <f>IF(COUNTIFS('LANÇAMENTOS DIÁRIOS'!$G$5:$G$500,"G",'LANÇAMENTOS DIÁRIOS'!$C$5:$C$500,$A22,'LANÇAMENTOS DIÁRIOS'!$O$5:$O$500,"&lt;=119779",'LANÇAMENTOS DIÁRIOS'!$P$5:$P$500,"&gt;=119680")&gt;0,"X","")</f>
      </c>
      <c r="Z22" s="56" t="str">
        <f>IF(COUNTIFS('LANÇAMENTOS DIÁRIOS'!$G$5:$G$500,"G",'LANÇAMENTOS DIÁRIOS'!$C$5:$C$500,$A22,'LANÇAMENTOS DIÁRIOS'!$O$5:$O$500,"&lt;=119879",'LANÇAMENTOS DIÁRIOS'!$P$5:$P$500,"&gt;=119780")&gt;0,"X","")</f>
      </c>
      <c r="AA22" s="56" t="str">
        <f>IF(COUNTIFS('LANÇAMENTOS DIÁRIOS'!$G$5:$G$500,"G",'LANÇAMENTOS DIÁRIOS'!$C$5:$C$500,$A22,'LANÇAMENTOS DIÁRIOS'!$O$5:$O$500,"&lt;=119979",'LANÇAMENTOS DIÁRIOS'!$P$5:$P$500,"&gt;=119880")&gt;0,"X","")</f>
      </c>
      <c r="AB22" s="56" t="str">
        <f>IF(COUNTIFS('LANÇAMENTOS DIÁRIOS'!$G$5:$G$500,"G",'LANÇAMENTOS DIÁRIOS'!$C$5:$C$500,$A22,'LANÇAMENTOS DIÁRIOS'!$O$5:$O$500,"&lt;=120079",'LANÇAMENTOS DIÁRIOS'!$P$5:$P$500,"&gt;=119980")&gt;0,"X","")</f>
      </c>
      <c r="AC22" s="56" t="str">
        <f>IF(COUNTIFS('LANÇAMENTOS DIÁRIOS'!$G$5:$G$500,"G",'LANÇAMENTOS DIÁRIOS'!$C$5:$C$500,$A22,'LANÇAMENTOS DIÁRIOS'!$O$5:$O$500,"&lt;=120179",'LANÇAMENTOS DIÁRIOS'!$P$5:$P$500,"&gt;=120080")&gt;0,"X","")</f>
      </c>
      <c r="AD22" s="56" t="str">
        <f>IF(COUNTIFS('LANÇAMENTOS DIÁRIOS'!$G$5:$G$500,"G",'LANÇAMENTOS DIÁRIOS'!$C$5:$C$500,$A22,'LANÇAMENTOS DIÁRIOS'!$O$5:$O$500,"&lt;=120279",'LANÇAMENTOS DIÁRIOS'!$P$5:$P$500,"&gt;=120180")&gt;0,"X","")</f>
      </c>
      <c r="AE22" s="56" t="str">
        <f>IF(COUNTIFS('LANÇAMENTOS DIÁRIOS'!$G$5:$G$500,"G",'LANÇAMENTOS DIÁRIOS'!$C$5:$C$500,$A22,'LANÇAMENTOS DIÁRIOS'!$O$5:$O$500,"&lt;=120379",'LANÇAMENTOS DIÁRIOS'!$P$5:$P$500,"&gt;=120280")&gt;0,"X","")</f>
      </c>
      <c r="AF22" s="56" t="str">
        <f>IF(COUNTIFS('LANÇAMENTOS DIÁRIOS'!$G$5:$G$500,"G",'LANÇAMENTOS DIÁRIOS'!$C$5:$C$500,$A22,'LANÇAMENTOS DIÁRIOS'!$O$5:$O$500,"&lt;=120479",'LANÇAMENTOS DIÁRIOS'!$P$5:$P$500,"&gt;=120380")&gt;0,"X","")</f>
      </c>
      <c r="AG22" s="56" t="str">
        <f>IF(COUNTIFS('LANÇAMENTOS DIÁRIOS'!$G$5:$G$500,"G",'LANÇAMENTOS DIÁRIOS'!$C$5:$C$500,$A22,'LANÇAMENTOS DIÁRIOS'!$O$5:$O$500,"&lt;=120579",'LANÇAMENTOS DIÁRIOS'!$P$5:$P$500,"&gt;=120480")&gt;0,"X","")</f>
      </c>
      <c r="AH22" s="56" t="str">
        <f>IF(COUNTIFS('LANÇAMENTOS DIÁRIOS'!$G$5:$G$500,"G",'LANÇAMENTOS DIÁRIOS'!$C$5:$C$500,$A22,'LANÇAMENTOS DIÁRIOS'!$O$5:$O$500,"&lt;=120679",'LANÇAMENTOS DIÁRIOS'!$P$5:$P$500,"&gt;=120580")&gt;0,"X","")</f>
      </c>
      <c r="AI22" s="56" t="str">
        <f>IF(COUNTIFS('LANÇAMENTOS DIÁRIOS'!$G$5:$G$500,"G",'LANÇAMENTOS DIÁRIOS'!$C$5:$C$500,$A22,'LANÇAMENTOS DIÁRIOS'!$O$5:$O$500,"&lt;=120779",'LANÇAMENTOS DIÁRIOS'!$P$5:$P$500,"&gt;=120680")&gt;0,"X","")</f>
      </c>
      <c r="AJ22" s="56" t="str">
        <f>IF(COUNTIFS('LANÇAMENTOS DIÁRIOS'!$G$5:$G$500,"G",'LANÇAMENTOS DIÁRIOS'!$C$5:$C$500,$A22,'LANÇAMENTOS DIÁRIOS'!$O$5:$O$500,"&lt;=120879",'LANÇAMENTOS DIÁRIOS'!$P$5:$P$500,"&gt;=120780")&gt;0,"X","")</f>
      </c>
      <c r="AK22" s="56" t="str">
        <f>IF(COUNTIFS('LANÇAMENTOS DIÁRIOS'!$G$5:$G$500,"G",'LANÇAMENTOS DIÁRIOS'!$C$5:$C$500,$A22,'LANÇAMENTOS DIÁRIOS'!$O$5:$O$500,"&lt;=120979",'LANÇAMENTOS DIÁRIOS'!$P$5:$P$500,"&gt;=120880")&gt;0,"X","")</f>
      </c>
      <c r="AL22" s="56" t="str">
        <f>IF(COUNTIFS('LANÇAMENTOS DIÁRIOS'!$G$5:$G$500,"G",'LANÇAMENTOS DIÁRIOS'!$C$5:$C$500,$A22,'LANÇAMENTOS DIÁRIOS'!$O$5:$O$500,"&lt;=121079",'LANÇAMENTOS DIÁRIOS'!$P$5:$P$500,"&gt;=120980")&gt;0,"X","")</f>
      </c>
      <c r="AM22" s="56" t="str">
        <f>IF(COUNTIFS('LANÇAMENTOS DIÁRIOS'!$G$5:$G$500,"G",'LANÇAMENTOS DIÁRIOS'!$C$5:$C$500,$A22,'LANÇAMENTOS DIÁRIOS'!$O$5:$O$500,"&lt;=121179",'LANÇAMENTOS DIÁRIOS'!$P$5:$P$500,"&gt;=121080")&gt;0,"X","")</f>
      </c>
      <c r="AN22" s="56" t="str">
        <f>IF(COUNTIFS('LANÇAMENTOS DIÁRIOS'!$G$5:$G$500,"G",'LANÇAMENTOS DIÁRIOS'!$C$5:$C$500,$A22,'LANÇAMENTOS DIÁRIOS'!$O$5:$O$500,"&lt;=121279",'LANÇAMENTOS DIÁRIOS'!$P$5:$P$500,"&gt;=121180")&gt;0,"X","")</f>
      </c>
      <c r="AO22" s="56" t="str">
        <f>IF(COUNTIFS('LANÇAMENTOS DIÁRIOS'!$G$5:$G$500,"G",'LANÇAMENTOS DIÁRIOS'!$C$5:$C$500,$A22,'LANÇAMENTOS DIÁRIOS'!$O$5:$O$500,"&lt;=121379",'LANÇAMENTOS DIÁRIOS'!$P$5:$P$500,"&gt;=121280")&gt;0,"X","")</f>
      </c>
      <c r="AP22" s="56" t="str">
        <f>IF(COUNTIFS('LANÇAMENTOS DIÁRIOS'!$G$5:$G$500,"G",'LANÇAMENTOS DIÁRIOS'!$C$5:$C$500,$A22,'LANÇAMENTOS DIÁRIOS'!$O$5:$O$500,"&lt;=121479",'LANÇAMENTOS DIÁRIOS'!$P$5:$P$500,"&gt;=121380")&gt;0,"X","")</f>
      </c>
      <c r="AQ22" s="56" t="str">
        <f>IF(COUNTIFS('LANÇAMENTOS DIÁRIOS'!$G$5:$G$500,"G",'LANÇAMENTOS DIÁRIOS'!$C$5:$C$500,$A22,'LANÇAMENTOS DIÁRIOS'!$O$5:$O$500,"&lt;=121579",'LANÇAMENTOS DIÁRIOS'!$P$5:$P$500,"&gt;=121480")&gt;0,"X","")</f>
      </c>
      <c r="AR22" s="56" t="str">
        <f>IF(COUNTIFS('LANÇAMENTOS DIÁRIOS'!$G$5:$G$500,"G",'LANÇAMENTOS DIÁRIOS'!$C$5:$C$500,$A22,'LANÇAMENTOS DIÁRIOS'!$O$5:$O$500,"&lt;=121679",'LANÇAMENTOS DIÁRIOS'!$P$5:$P$500,"&gt;=121580")&gt;0,"X","")</f>
      </c>
      <c r="AS22" s="56" t="str">
        <f>IF(COUNTIFS('LANÇAMENTOS DIÁRIOS'!$G$5:$G$500,"G",'LANÇAMENTOS DIÁRIOS'!$C$5:$C$500,$A22,'LANÇAMENTOS DIÁRIOS'!$O$5:$O$500,"&lt;=121779",'LANÇAMENTOS DIÁRIOS'!$P$5:$P$500,"&gt;=121680")&gt;0,"X","")</f>
      </c>
      <c r="AT22" s="56" t="str">
        <f>IF(COUNTIFS('LANÇAMENTOS DIÁRIOS'!$G$5:$G$500,"G",'LANÇAMENTOS DIÁRIOS'!$C$5:$C$500,$A22,'LANÇAMENTOS DIÁRIOS'!$O$5:$O$500,"&lt;=121879",'LANÇAMENTOS DIÁRIOS'!$P$5:$P$500,"&gt;=121780")&gt;0,"X","")</f>
      </c>
      <c r="AU22" s="56" t="str">
        <f>IF(COUNTIFS('LANÇAMENTOS DIÁRIOS'!$G$5:$G$500,"G",'LANÇAMENTOS DIÁRIOS'!$C$5:$C$500,$A22,'LANÇAMENTOS DIÁRIOS'!$O$5:$O$500,"&lt;=121979",'LANÇAMENTOS DIÁRIOS'!$P$5:$P$500,"&gt;=121880")&gt;0,"X","")</f>
      </c>
      <c r="AV22" s="56" t="str">
        <f>IF(COUNTIFS('LANÇAMENTOS DIÁRIOS'!$G$5:$G$500,"G",'LANÇAMENTOS DIÁRIOS'!$C$5:$C$500,$A22,'LANÇAMENTOS DIÁRIOS'!$O$5:$O$500,"&lt;=122079",'LANÇAMENTOS DIÁRIOS'!$P$5:$P$500,"&gt;=121980")&gt;0,"X","")</f>
      </c>
      <c r="AW22" s="56" t="str">
        <f>IF(COUNTIFS('LANÇAMENTOS DIÁRIOS'!$G$5:$G$500,"G",'LANÇAMENTOS DIÁRIOS'!$C$5:$C$500,$A22,'LANÇAMENTOS DIÁRIOS'!$O$5:$O$500,"&lt;=122179",'LANÇAMENTOS DIÁRIOS'!$P$5:$P$500,"&gt;=122080")&gt;0,"X","")</f>
      </c>
      <c r="AX22" s="56" t="str">
        <f>IF(COUNTIFS('LANÇAMENTOS DIÁRIOS'!$G$5:$G$500,"G",'LANÇAMENTOS DIÁRIOS'!$C$5:$C$500,$A22,'LANÇAMENTOS DIÁRIOS'!$O$5:$O$500,"&lt;=122279",'LANÇAMENTOS DIÁRIOS'!$P$5:$P$500,"&gt;=122180")&gt;0,"X","")</f>
      </c>
      <c r="AY22" s="56" t="str">
        <f>IF(COUNTIFS('LANÇAMENTOS DIÁRIOS'!$G$5:$G$500,"G",'LANÇAMENTOS DIÁRIOS'!$C$5:$C$500,$A22,'LANÇAMENTOS DIÁRIOS'!$O$5:$O$500,"&lt;=122379",'LANÇAMENTOS DIÁRIOS'!$P$5:$P$500,"&gt;=122280")&gt;0,"X","")</f>
      </c>
      <c r="AZ22" s="56" t="str">
        <f>IF(COUNTIFS('LANÇAMENTOS DIÁRIOS'!$G$5:$G$500,"G",'LANÇAMENTOS DIÁRIOS'!$C$5:$C$500,$A22,'LANÇAMENTOS DIÁRIOS'!$O$5:$O$500,"&lt;=122479",'LANÇAMENTOS DIÁRIOS'!$P$5:$P$500,"&gt;=122380")&gt;0,"X","")</f>
      </c>
      <c r="BA22" s="56" t="str">
        <f>IF(COUNTIFS('LANÇAMENTOS DIÁRIOS'!$G$5:$G$500,"G",'LANÇAMENTOS DIÁRIOS'!$C$5:$C$500,$A22,'LANÇAMENTOS DIÁRIOS'!$O$5:$O$500,"&lt;=122579",'LANÇAMENTOS DIÁRIOS'!$P$5:$P$500,"&gt;=122480")&gt;0,"X","")</f>
      </c>
      <c r="BB22" s="56" t="str">
        <f>IF(COUNTIFS('LANÇAMENTOS DIÁRIOS'!$G$5:$G$500,"G",'LANÇAMENTOS DIÁRIOS'!$C$5:$C$500,$A22,'LANÇAMENTOS DIÁRIOS'!$O$5:$O$500,"&lt;=122679",'LANÇAMENTOS DIÁRIOS'!$P$5:$P$500,"&gt;=122580")&gt;0,"X","")</f>
      </c>
      <c r="BC22" s="56" t="str">
        <f>IF(COUNTIFS('LANÇAMENTOS DIÁRIOS'!$G$5:$G$500,"G",'LANÇAMENTOS DIÁRIOS'!$C$5:$C$500,$A22,'LANÇAMENTOS DIÁRIOS'!$O$5:$O$500,"&lt;=122779",'LANÇAMENTOS DIÁRIOS'!$P$5:$P$500,"&gt;=122680")&gt;0,"X","")</f>
      </c>
      <c r="BD22" s="56" t="str">
        <f>IF(COUNTIFS('LANÇAMENTOS DIÁRIOS'!$G$5:$G$500,"G",'LANÇAMENTOS DIÁRIOS'!$C$5:$C$500,$A22,'LANÇAMENTOS DIÁRIOS'!$O$5:$O$500,"&lt;=122879",'LANÇAMENTOS DIÁRIOS'!$P$5:$P$500,"&gt;=122780")&gt;0,"X","")</f>
      </c>
      <c r="BE22" s="56" t="str">
        <f>IF(COUNTIFS('LANÇAMENTOS DIÁRIOS'!$G$5:$G$500,"G",'LANÇAMENTOS DIÁRIOS'!$C$5:$C$500,$A22,'LANÇAMENTOS DIÁRIOS'!$O$5:$O$500,"&lt;=122979",'LANÇAMENTOS DIÁRIOS'!$P$5:$P$500,"&gt;=122880")&gt;0,"X","")</f>
      </c>
      <c r="BF22" s="56" t="str">
        <f>IF(COUNTIFS('LANÇAMENTOS DIÁRIOS'!$G$5:$G$500,"G",'LANÇAMENTOS DIÁRIOS'!$C$5:$C$500,$A22,'LANÇAMENTOS DIÁRIOS'!$O$5:$O$500,"&lt;=123079",'LANÇAMENTOS DIÁRIOS'!$P$5:$P$500,"&gt;=122980")&gt;0,"X","")</f>
      </c>
      <c r="BG22" s="56" t="str">
        <f>IF(COUNTIFS('LANÇAMENTOS DIÁRIOS'!$G$5:$G$500,"G",'LANÇAMENTOS DIÁRIOS'!$C$5:$C$500,$A22,'LANÇAMENTOS DIÁRIOS'!$O$5:$O$500,"&lt;=123179",'LANÇAMENTOS DIÁRIOS'!$P$5:$P$500,"&gt;=123080")&gt;0,"X","")</f>
      </c>
      <c r="BH22" s="56" t="str">
        <f>IF(COUNTIFS('LANÇAMENTOS DIÁRIOS'!$G$5:$G$500,"G",'LANÇAMENTOS DIÁRIOS'!$C$5:$C$500,$A22,'LANÇAMENTOS DIÁRIOS'!$O$5:$O$500,"&lt;=123279",'LANÇAMENTOS DIÁRIOS'!$P$5:$P$500,"&gt;=123180")&gt;0,"X","")</f>
      </c>
      <c r="BI22" s="56" t="str">
        <f>IF(COUNTIFS('LANÇAMENTOS DIÁRIOS'!$G$5:$G$500,"G",'LANÇAMENTOS DIÁRIOS'!$C$5:$C$500,$A22,'LANÇAMENTOS DIÁRIOS'!$O$5:$O$500,"&lt;=123379",'LANÇAMENTOS DIÁRIOS'!$P$5:$P$500,"&gt;=123280")&gt;0,"X","")</f>
      </c>
      <c r="BJ22" s="56" t="str">
        <f>IF(COUNTIFS('LANÇAMENTOS DIÁRIOS'!$G$5:$G$500,"G",'LANÇAMENTOS DIÁRIOS'!$C$5:$C$500,$A22,'LANÇAMENTOS DIÁRIOS'!$O$5:$O$500,"&lt;=123479",'LANÇAMENTOS DIÁRIOS'!$P$5:$P$500,"&gt;=123380")&gt;0,"X","")</f>
      </c>
      <c r="BK22" s="56" t="str">
        <f>IF(COUNTIFS('LANÇAMENTOS DIÁRIOS'!$G$5:$G$500,"G",'LANÇAMENTOS DIÁRIOS'!$C$5:$C$500,$A22,'LANÇAMENTOS DIÁRIOS'!$O$5:$O$500,"&lt;=123480",'LANÇAMENTOS DIÁRIOS'!$P$5:$P$500,"&gt;=123480")&gt;0,"X","")</f>
      </c>
    </row>
    <row r="23">
      <c r="A23" s="51" t="str">
        <v>Remoção de placa de sinalização vertical instalada no solo</v>
      </c>
      <c r="B23" s="56" t="str">
        <f>IF(COUNTIFS('LANÇAMENTOS DIÁRIOS'!$G$5:$G$500,"G",'LANÇAMENTOS DIÁRIOS'!$C$5:$C$500,$A23,'LANÇAMENTOS DIÁRIOS'!$O$5:$O$500,"&lt;=117479",'LANÇAMENTOS DIÁRIOS'!$P$5:$P$500,"&gt;=117380")&gt;0,"X","")</f>
      </c>
      <c r="C23" s="56" t="str">
        <f>IF(COUNTIFS('LANÇAMENTOS DIÁRIOS'!$G$5:$G$500,"G",'LANÇAMENTOS DIÁRIOS'!$C$5:$C$500,$A23,'LANÇAMENTOS DIÁRIOS'!$O$5:$O$500,"&lt;=117579",'LANÇAMENTOS DIÁRIOS'!$P$5:$P$500,"&gt;=117480")&gt;0,"X","")</f>
      </c>
      <c r="D23" s="56" t="str">
        <f>IF(COUNTIFS('LANÇAMENTOS DIÁRIOS'!$G$5:$G$500,"G",'LANÇAMENTOS DIÁRIOS'!$C$5:$C$500,$A23,'LANÇAMENTOS DIÁRIOS'!$O$5:$O$500,"&lt;=117679",'LANÇAMENTOS DIÁRIOS'!$P$5:$P$500,"&gt;=117580")&gt;0,"X","")</f>
      </c>
      <c r="E23" s="56" t="str">
        <f>IF(COUNTIFS('LANÇAMENTOS DIÁRIOS'!$G$5:$G$500,"G",'LANÇAMENTOS DIÁRIOS'!$C$5:$C$500,$A23,'LANÇAMENTOS DIÁRIOS'!$O$5:$O$500,"&lt;=117779",'LANÇAMENTOS DIÁRIOS'!$P$5:$P$500,"&gt;=117680")&gt;0,"X","")</f>
      </c>
      <c r="F23" s="56" t="str">
        <f>IF(COUNTIFS('LANÇAMENTOS DIÁRIOS'!$G$5:$G$500,"G",'LANÇAMENTOS DIÁRIOS'!$C$5:$C$500,$A23,'LANÇAMENTOS DIÁRIOS'!$O$5:$O$500,"&lt;=117879",'LANÇAMENTOS DIÁRIOS'!$P$5:$P$500,"&gt;=117780")&gt;0,"X","")</f>
      </c>
      <c r="G23" s="56" t="str">
        <f>IF(COUNTIFS('LANÇAMENTOS DIÁRIOS'!$G$5:$G$500,"G",'LANÇAMENTOS DIÁRIOS'!$C$5:$C$500,$A23,'LANÇAMENTOS DIÁRIOS'!$O$5:$O$500,"&lt;=117979",'LANÇAMENTOS DIÁRIOS'!$P$5:$P$500,"&gt;=117880")&gt;0,"X","")</f>
      </c>
      <c r="H23" s="56" t="str">
        <f>IF(COUNTIFS('LANÇAMENTOS DIÁRIOS'!$G$5:$G$500,"G",'LANÇAMENTOS DIÁRIOS'!$C$5:$C$500,$A23,'LANÇAMENTOS DIÁRIOS'!$O$5:$O$500,"&lt;=118079",'LANÇAMENTOS DIÁRIOS'!$P$5:$P$500,"&gt;=117980")&gt;0,"X","")</f>
      </c>
      <c r="I23" s="56" t="str">
        <f>IF(COUNTIFS('LANÇAMENTOS DIÁRIOS'!$G$5:$G$500,"G",'LANÇAMENTOS DIÁRIOS'!$C$5:$C$500,$A23,'LANÇAMENTOS DIÁRIOS'!$O$5:$O$500,"&lt;=118179",'LANÇAMENTOS DIÁRIOS'!$P$5:$P$500,"&gt;=118080")&gt;0,"X","")</f>
      </c>
      <c r="J23" s="56" t="str">
        <f>IF(COUNTIFS('LANÇAMENTOS DIÁRIOS'!$G$5:$G$500,"G",'LANÇAMENTOS DIÁRIOS'!$C$5:$C$500,$A23,'LANÇAMENTOS DIÁRIOS'!$O$5:$O$500,"&lt;=118279",'LANÇAMENTOS DIÁRIOS'!$P$5:$P$500,"&gt;=118180")&gt;0,"X","")</f>
      </c>
      <c r="K23" s="56" t="str">
        <f>IF(COUNTIFS('LANÇAMENTOS DIÁRIOS'!$G$5:$G$500,"G",'LANÇAMENTOS DIÁRIOS'!$C$5:$C$500,$A23,'LANÇAMENTOS DIÁRIOS'!$O$5:$O$500,"&lt;=118379",'LANÇAMENTOS DIÁRIOS'!$P$5:$P$500,"&gt;=118280")&gt;0,"X","")</f>
      </c>
      <c r="L23" s="56" t="str">
        <f>IF(COUNTIFS('LANÇAMENTOS DIÁRIOS'!$G$5:$G$500,"G",'LANÇAMENTOS DIÁRIOS'!$C$5:$C$500,$A23,'LANÇAMENTOS DIÁRIOS'!$O$5:$O$500,"&lt;=118479",'LANÇAMENTOS DIÁRIOS'!$P$5:$P$500,"&gt;=118380")&gt;0,"X","")</f>
      </c>
      <c r="M23" s="56" t="str">
        <f>IF(COUNTIFS('LANÇAMENTOS DIÁRIOS'!$G$5:$G$500,"G",'LANÇAMENTOS DIÁRIOS'!$C$5:$C$500,$A23,'LANÇAMENTOS DIÁRIOS'!$O$5:$O$500,"&lt;=118579",'LANÇAMENTOS DIÁRIOS'!$P$5:$P$500,"&gt;=118480")&gt;0,"X","")</f>
      </c>
      <c r="N23" s="56" t="str">
        <f>IF(COUNTIFS('LANÇAMENTOS DIÁRIOS'!$G$5:$G$500,"G",'LANÇAMENTOS DIÁRIOS'!$C$5:$C$500,$A23,'LANÇAMENTOS DIÁRIOS'!$O$5:$O$500,"&lt;=118679",'LANÇAMENTOS DIÁRIOS'!$P$5:$P$500,"&gt;=118580")&gt;0,"X","")</f>
      </c>
      <c r="O23" s="56" t="str">
        <f>IF(COUNTIFS('LANÇAMENTOS DIÁRIOS'!$G$5:$G$500,"G",'LANÇAMENTOS DIÁRIOS'!$C$5:$C$500,$A23,'LANÇAMENTOS DIÁRIOS'!$O$5:$O$500,"&lt;=118779",'LANÇAMENTOS DIÁRIOS'!$P$5:$P$500,"&gt;=118680")&gt;0,"X","")</f>
      </c>
      <c r="P23" s="56" t="str">
        <f>IF(COUNTIFS('LANÇAMENTOS DIÁRIOS'!$G$5:$G$500,"G",'LANÇAMENTOS DIÁRIOS'!$C$5:$C$500,$A23,'LANÇAMENTOS DIÁRIOS'!$O$5:$O$500,"&lt;=118879",'LANÇAMENTOS DIÁRIOS'!$P$5:$P$500,"&gt;=118780")&gt;0,"X","")</f>
      </c>
      <c r="Q23" s="56" t="str">
        <f>IF(COUNTIFS('LANÇAMENTOS DIÁRIOS'!$G$5:$G$500,"G",'LANÇAMENTOS DIÁRIOS'!$C$5:$C$500,$A23,'LANÇAMENTOS DIÁRIOS'!$O$5:$O$500,"&lt;=118979",'LANÇAMENTOS DIÁRIOS'!$P$5:$P$500,"&gt;=118880")&gt;0,"X","")</f>
      </c>
      <c r="R23" s="56" t="str">
        <f>IF(COUNTIFS('LANÇAMENTOS DIÁRIOS'!$G$5:$G$500,"G",'LANÇAMENTOS DIÁRIOS'!$C$5:$C$500,$A23,'LANÇAMENTOS DIÁRIOS'!$O$5:$O$500,"&lt;=119079",'LANÇAMENTOS DIÁRIOS'!$P$5:$P$500,"&gt;=118980")&gt;0,"X","")</f>
      </c>
      <c r="S23" s="56" t="str">
        <f>IF(COUNTIFS('LANÇAMENTOS DIÁRIOS'!$G$5:$G$500,"G",'LANÇAMENTOS DIÁRIOS'!$C$5:$C$500,$A23,'LANÇAMENTOS DIÁRIOS'!$O$5:$O$500,"&lt;=119179",'LANÇAMENTOS DIÁRIOS'!$P$5:$P$500,"&gt;=119080")&gt;0,"X","")</f>
      </c>
      <c r="T23" s="56" t="str">
        <f>IF(COUNTIFS('LANÇAMENTOS DIÁRIOS'!$G$5:$G$500,"G",'LANÇAMENTOS DIÁRIOS'!$C$5:$C$500,$A23,'LANÇAMENTOS DIÁRIOS'!$O$5:$O$500,"&lt;=119279",'LANÇAMENTOS DIÁRIOS'!$P$5:$P$500,"&gt;=119180")&gt;0,"X","")</f>
      </c>
      <c r="U23" s="56" t="str">
        <f>IF(COUNTIFS('LANÇAMENTOS DIÁRIOS'!$G$5:$G$500,"G",'LANÇAMENTOS DIÁRIOS'!$C$5:$C$500,$A23,'LANÇAMENTOS DIÁRIOS'!$O$5:$O$500,"&lt;=119379",'LANÇAMENTOS DIÁRIOS'!$P$5:$P$500,"&gt;=119280")&gt;0,"X","")</f>
      </c>
      <c r="V23" s="56" t="str">
        <f>IF(COUNTIFS('LANÇAMENTOS DIÁRIOS'!$G$5:$G$500,"G",'LANÇAMENTOS DIÁRIOS'!$C$5:$C$500,$A23,'LANÇAMENTOS DIÁRIOS'!$O$5:$O$500,"&lt;=119479",'LANÇAMENTOS DIÁRIOS'!$P$5:$P$500,"&gt;=119380")&gt;0,"X","")</f>
      </c>
      <c r="W23" s="56" t="str">
        <f>IF(COUNTIFS('LANÇAMENTOS DIÁRIOS'!$G$5:$G$500,"G",'LANÇAMENTOS DIÁRIOS'!$C$5:$C$500,$A23,'LANÇAMENTOS DIÁRIOS'!$O$5:$O$500,"&lt;=119579",'LANÇAMENTOS DIÁRIOS'!$P$5:$P$500,"&gt;=119480")&gt;0,"X","")</f>
      </c>
      <c r="X23" s="56" t="str">
        <f>IF(COUNTIFS('LANÇAMENTOS DIÁRIOS'!$G$5:$G$500,"G",'LANÇAMENTOS DIÁRIOS'!$C$5:$C$500,$A23,'LANÇAMENTOS DIÁRIOS'!$O$5:$O$500,"&lt;=119679",'LANÇAMENTOS DIÁRIOS'!$P$5:$P$500,"&gt;=119580")&gt;0,"X","")</f>
      </c>
      <c r="Y23" s="56" t="str">
        <f>IF(COUNTIFS('LANÇAMENTOS DIÁRIOS'!$G$5:$G$500,"G",'LANÇAMENTOS DIÁRIOS'!$C$5:$C$500,$A23,'LANÇAMENTOS DIÁRIOS'!$O$5:$O$500,"&lt;=119779",'LANÇAMENTOS DIÁRIOS'!$P$5:$P$500,"&gt;=119680")&gt;0,"X","")</f>
      </c>
      <c r="Z23" s="56" t="str">
        <f>IF(COUNTIFS('LANÇAMENTOS DIÁRIOS'!$G$5:$G$500,"G",'LANÇAMENTOS DIÁRIOS'!$C$5:$C$500,$A23,'LANÇAMENTOS DIÁRIOS'!$O$5:$O$500,"&lt;=119879",'LANÇAMENTOS DIÁRIOS'!$P$5:$P$500,"&gt;=119780")&gt;0,"X","")</f>
      </c>
      <c r="AA23" s="56" t="str">
        <f>IF(COUNTIFS('LANÇAMENTOS DIÁRIOS'!$G$5:$G$500,"G",'LANÇAMENTOS DIÁRIOS'!$C$5:$C$500,$A23,'LANÇAMENTOS DIÁRIOS'!$O$5:$O$500,"&lt;=119979",'LANÇAMENTOS DIÁRIOS'!$P$5:$P$500,"&gt;=119880")&gt;0,"X","")</f>
      </c>
      <c r="AB23" s="56" t="str">
        <f>IF(COUNTIFS('LANÇAMENTOS DIÁRIOS'!$G$5:$G$500,"G",'LANÇAMENTOS DIÁRIOS'!$C$5:$C$500,$A23,'LANÇAMENTOS DIÁRIOS'!$O$5:$O$500,"&lt;=120079",'LANÇAMENTOS DIÁRIOS'!$P$5:$P$500,"&gt;=119980")&gt;0,"X","")</f>
      </c>
      <c r="AC23" s="56" t="str">
        <f>IF(COUNTIFS('LANÇAMENTOS DIÁRIOS'!$G$5:$G$500,"G",'LANÇAMENTOS DIÁRIOS'!$C$5:$C$500,$A23,'LANÇAMENTOS DIÁRIOS'!$O$5:$O$500,"&lt;=120179",'LANÇAMENTOS DIÁRIOS'!$P$5:$P$500,"&gt;=120080")&gt;0,"X","")</f>
      </c>
      <c r="AD23" s="56" t="str">
        <f>IF(COUNTIFS('LANÇAMENTOS DIÁRIOS'!$G$5:$G$500,"G",'LANÇAMENTOS DIÁRIOS'!$C$5:$C$500,$A23,'LANÇAMENTOS DIÁRIOS'!$O$5:$O$500,"&lt;=120279",'LANÇAMENTOS DIÁRIOS'!$P$5:$P$500,"&gt;=120180")&gt;0,"X","")</f>
      </c>
      <c r="AE23" s="56" t="str">
        <f>IF(COUNTIFS('LANÇAMENTOS DIÁRIOS'!$G$5:$G$500,"G",'LANÇAMENTOS DIÁRIOS'!$C$5:$C$500,$A23,'LANÇAMENTOS DIÁRIOS'!$O$5:$O$500,"&lt;=120379",'LANÇAMENTOS DIÁRIOS'!$P$5:$P$500,"&gt;=120280")&gt;0,"X","")</f>
      </c>
      <c r="AF23" s="56" t="str">
        <f>IF(COUNTIFS('LANÇAMENTOS DIÁRIOS'!$G$5:$G$500,"G",'LANÇAMENTOS DIÁRIOS'!$C$5:$C$500,$A23,'LANÇAMENTOS DIÁRIOS'!$O$5:$O$500,"&lt;=120479",'LANÇAMENTOS DIÁRIOS'!$P$5:$P$500,"&gt;=120380")&gt;0,"X","")</f>
      </c>
      <c r="AG23" s="56" t="str">
        <f>IF(COUNTIFS('LANÇAMENTOS DIÁRIOS'!$G$5:$G$500,"G",'LANÇAMENTOS DIÁRIOS'!$C$5:$C$500,$A23,'LANÇAMENTOS DIÁRIOS'!$O$5:$O$500,"&lt;=120579",'LANÇAMENTOS DIÁRIOS'!$P$5:$P$500,"&gt;=120480")&gt;0,"X","")</f>
      </c>
      <c r="AH23" s="56" t="str">
        <f>IF(COUNTIFS('LANÇAMENTOS DIÁRIOS'!$G$5:$G$500,"G",'LANÇAMENTOS DIÁRIOS'!$C$5:$C$500,$A23,'LANÇAMENTOS DIÁRIOS'!$O$5:$O$500,"&lt;=120679",'LANÇAMENTOS DIÁRIOS'!$P$5:$P$500,"&gt;=120580")&gt;0,"X","")</f>
      </c>
      <c r="AI23" s="56" t="str">
        <f>IF(COUNTIFS('LANÇAMENTOS DIÁRIOS'!$G$5:$G$500,"G",'LANÇAMENTOS DIÁRIOS'!$C$5:$C$500,$A23,'LANÇAMENTOS DIÁRIOS'!$O$5:$O$500,"&lt;=120779",'LANÇAMENTOS DIÁRIOS'!$P$5:$P$500,"&gt;=120680")&gt;0,"X","")</f>
      </c>
      <c r="AJ23" s="56" t="str">
        <f>IF(COUNTIFS('LANÇAMENTOS DIÁRIOS'!$G$5:$G$500,"G",'LANÇAMENTOS DIÁRIOS'!$C$5:$C$500,$A23,'LANÇAMENTOS DIÁRIOS'!$O$5:$O$500,"&lt;=120879",'LANÇAMENTOS DIÁRIOS'!$P$5:$P$500,"&gt;=120780")&gt;0,"X","")</f>
      </c>
      <c r="AK23" s="56" t="str">
        <f>IF(COUNTIFS('LANÇAMENTOS DIÁRIOS'!$G$5:$G$500,"G",'LANÇAMENTOS DIÁRIOS'!$C$5:$C$500,$A23,'LANÇAMENTOS DIÁRIOS'!$O$5:$O$500,"&lt;=120979",'LANÇAMENTOS DIÁRIOS'!$P$5:$P$500,"&gt;=120880")&gt;0,"X","")</f>
      </c>
      <c r="AL23" s="56" t="str">
        <f>IF(COUNTIFS('LANÇAMENTOS DIÁRIOS'!$G$5:$G$500,"G",'LANÇAMENTOS DIÁRIOS'!$C$5:$C$500,$A23,'LANÇAMENTOS DIÁRIOS'!$O$5:$O$500,"&lt;=121079",'LANÇAMENTOS DIÁRIOS'!$P$5:$P$500,"&gt;=120980")&gt;0,"X","")</f>
      </c>
      <c r="AM23" s="56" t="str">
        <f>IF(COUNTIFS('LANÇAMENTOS DIÁRIOS'!$G$5:$G$500,"G",'LANÇAMENTOS DIÁRIOS'!$C$5:$C$500,$A23,'LANÇAMENTOS DIÁRIOS'!$O$5:$O$500,"&lt;=121179",'LANÇAMENTOS DIÁRIOS'!$P$5:$P$500,"&gt;=121080")&gt;0,"X","")</f>
      </c>
      <c r="AN23" s="56" t="str">
        <f>IF(COUNTIFS('LANÇAMENTOS DIÁRIOS'!$G$5:$G$500,"G",'LANÇAMENTOS DIÁRIOS'!$C$5:$C$500,$A23,'LANÇAMENTOS DIÁRIOS'!$O$5:$O$500,"&lt;=121279",'LANÇAMENTOS DIÁRIOS'!$P$5:$P$500,"&gt;=121180")&gt;0,"X","")</f>
      </c>
      <c r="AO23" s="56" t="str">
        <f>IF(COUNTIFS('LANÇAMENTOS DIÁRIOS'!$G$5:$G$500,"G",'LANÇAMENTOS DIÁRIOS'!$C$5:$C$500,$A23,'LANÇAMENTOS DIÁRIOS'!$O$5:$O$500,"&lt;=121379",'LANÇAMENTOS DIÁRIOS'!$P$5:$P$500,"&gt;=121280")&gt;0,"X","")</f>
      </c>
      <c r="AP23" s="56" t="str">
        <f>IF(COUNTIFS('LANÇAMENTOS DIÁRIOS'!$G$5:$G$500,"G",'LANÇAMENTOS DIÁRIOS'!$C$5:$C$500,$A23,'LANÇAMENTOS DIÁRIOS'!$O$5:$O$500,"&lt;=121479",'LANÇAMENTOS DIÁRIOS'!$P$5:$P$500,"&gt;=121380")&gt;0,"X","")</f>
      </c>
      <c r="AQ23" s="56" t="str">
        <f>IF(COUNTIFS('LANÇAMENTOS DIÁRIOS'!$G$5:$G$500,"G",'LANÇAMENTOS DIÁRIOS'!$C$5:$C$500,$A23,'LANÇAMENTOS DIÁRIOS'!$O$5:$O$500,"&lt;=121579",'LANÇAMENTOS DIÁRIOS'!$P$5:$P$500,"&gt;=121480")&gt;0,"X","")</f>
      </c>
      <c r="AR23" s="56" t="str">
        <f>IF(COUNTIFS('LANÇAMENTOS DIÁRIOS'!$G$5:$G$500,"G",'LANÇAMENTOS DIÁRIOS'!$C$5:$C$500,$A23,'LANÇAMENTOS DIÁRIOS'!$O$5:$O$500,"&lt;=121679",'LANÇAMENTOS DIÁRIOS'!$P$5:$P$500,"&gt;=121580")&gt;0,"X","")</f>
      </c>
      <c r="AS23" s="56" t="str">
        <f>IF(COUNTIFS('LANÇAMENTOS DIÁRIOS'!$G$5:$G$500,"G",'LANÇAMENTOS DIÁRIOS'!$C$5:$C$500,$A23,'LANÇAMENTOS DIÁRIOS'!$O$5:$O$500,"&lt;=121779",'LANÇAMENTOS DIÁRIOS'!$P$5:$P$500,"&gt;=121680")&gt;0,"X","")</f>
      </c>
      <c r="AT23" s="56" t="str">
        <f>IF(COUNTIFS('LANÇAMENTOS DIÁRIOS'!$G$5:$G$500,"G",'LANÇAMENTOS DIÁRIOS'!$C$5:$C$500,$A23,'LANÇAMENTOS DIÁRIOS'!$O$5:$O$500,"&lt;=121879",'LANÇAMENTOS DIÁRIOS'!$P$5:$P$500,"&gt;=121780")&gt;0,"X","")</f>
      </c>
      <c r="AU23" s="56" t="str">
        <f>IF(COUNTIFS('LANÇAMENTOS DIÁRIOS'!$G$5:$G$500,"G",'LANÇAMENTOS DIÁRIOS'!$C$5:$C$500,$A23,'LANÇAMENTOS DIÁRIOS'!$O$5:$O$500,"&lt;=121979",'LANÇAMENTOS DIÁRIOS'!$P$5:$P$500,"&gt;=121880")&gt;0,"X","")</f>
      </c>
      <c r="AV23" s="56" t="str">
        <f>IF(COUNTIFS('LANÇAMENTOS DIÁRIOS'!$G$5:$G$500,"G",'LANÇAMENTOS DIÁRIOS'!$C$5:$C$500,$A23,'LANÇAMENTOS DIÁRIOS'!$O$5:$O$500,"&lt;=122079",'LANÇAMENTOS DIÁRIOS'!$P$5:$P$500,"&gt;=121980")&gt;0,"X","")</f>
      </c>
      <c r="AW23" s="56" t="str">
        <f>IF(COUNTIFS('LANÇAMENTOS DIÁRIOS'!$G$5:$G$500,"G",'LANÇAMENTOS DIÁRIOS'!$C$5:$C$500,$A23,'LANÇAMENTOS DIÁRIOS'!$O$5:$O$500,"&lt;=122179",'LANÇAMENTOS DIÁRIOS'!$P$5:$P$500,"&gt;=122080")&gt;0,"X","")</f>
      </c>
      <c r="AX23" s="56" t="str">
        <f>IF(COUNTIFS('LANÇAMENTOS DIÁRIOS'!$G$5:$G$500,"G",'LANÇAMENTOS DIÁRIOS'!$C$5:$C$500,$A23,'LANÇAMENTOS DIÁRIOS'!$O$5:$O$500,"&lt;=122279",'LANÇAMENTOS DIÁRIOS'!$P$5:$P$500,"&gt;=122180")&gt;0,"X","")</f>
      </c>
      <c r="AY23" s="56" t="str">
        <f>IF(COUNTIFS('LANÇAMENTOS DIÁRIOS'!$G$5:$G$500,"G",'LANÇAMENTOS DIÁRIOS'!$C$5:$C$500,$A23,'LANÇAMENTOS DIÁRIOS'!$O$5:$O$500,"&lt;=122379",'LANÇAMENTOS DIÁRIOS'!$P$5:$P$500,"&gt;=122280")&gt;0,"X","")</f>
      </c>
      <c r="AZ23" s="56" t="str">
        <f>IF(COUNTIFS('LANÇAMENTOS DIÁRIOS'!$G$5:$G$500,"G",'LANÇAMENTOS DIÁRIOS'!$C$5:$C$500,$A23,'LANÇAMENTOS DIÁRIOS'!$O$5:$O$500,"&lt;=122479",'LANÇAMENTOS DIÁRIOS'!$P$5:$P$500,"&gt;=122380")&gt;0,"X","")</f>
      </c>
      <c r="BA23" s="56" t="str">
        <f>IF(COUNTIFS('LANÇAMENTOS DIÁRIOS'!$G$5:$G$500,"G",'LANÇAMENTOS DIÁRIOS'!$C$5:$C$500,$A23,'LANÇAMENTOS DIÁRIOS'!$O$5:$O$500,"&lt;=122579",'LANÇAMENTOS DIÁRIOS'!$P$5:$P$500,"&gt;=122480")&gt;0,"X","")</f>
      </c>
      <c r="BB23" s="56" t="str">
        <f>IF(COUNTIFS('LANÇAMENTOS DIÁRIOS'!$G$5:$G$500,"G",'LANÇAMENTOS DIÁRIOS'!$C$5:$C$500,$A23,'LANÇAMENTOS DIÁRIOS'!$O$5:$O$500,"&lt;=122679",'LANÇAMENTOS DIÁRIOS'!$P$5:$P$500,"&gt;=122580")&gt;0,"X","")</f>
      </c>
      <c r="BC23" s="56" t="str">
        <f>IF(COUNTIFS('LANÇAMENTOS DIÁRIOS'!$G$5:$G$500,"G",'LANÇAMENTOS DIÁRIOS'!$C$5:$C$500,$A23,'LANÇAMENTOS DIÁRIOS'!$O$5:$O$500,"&lt;=122779",'LANÇAMENTOS DIÁRIOS'!$P$5:$P$500,"&gt;=122680")&gt;0,"X","")</f>
      </c>
      <c r="BD23" s="56" t="str">
        <f>IF(COUNTIFS('LANÇAMENTOS DIÁRIOS'!$G$5:$G$500,"G",'LANÇAMENTOS DIÁRIOS'!$C$5:$C$500,$A23,'LANÇAMENTOS DIÁRIOS'!$O$5:$O$500,"&lt;=122879",'LANÇAMENTOS DIÁRIOS'!$P$5:$P$500,"&gt;=122780")&gt;0,"X","")</f>
      </c>
      <c r="BE23" s="56" t="str">
        <f>IF(COUNTIFS('LANÇAMENTOS DIÁRIOS'!$G$5:$G$500,"G",'LANÇAMENTOS DIÁRIOS'!$C$5:$C$500,$A23,'LANÇAMENTOS DIÁRIOS'!$O$5:$O$500,"&lt;=122979",'LANÇAMENTOS DIÁRIOS'!$P$5:$P$500,"&gt;=122880")&gt;0,"X","")</f>
      </c>
      <c r="BF23" s="56" t="str">
        <f>IF(COUNTIFS('LANÇAMENTOS DIÁRIOS'!$G$5:$G$500,"G",'LANÇAMENTOS DIÁRIOS'!$C$5:$C$500,$A23,'LANÇAMENTOS DIÁRIOS'!$O$5:$O$500,"&lt;=123079",'LANÇAMENTOS DIÁRIOS'!$P$5:$P$500,"&gt;=122980")&gt;0,"X","")</f>
      </c>
      <c r="BG23" s="56" t="str">
        <f>IF(COUNTIFS('LANÇAMENTOS DIÁRIOS'!$G$5:$G$500,"G",'LANÇAMENTOS DIÁRIOS'!$C$5:$C$500,$A23,'LANÇAMENTOS DIÁRIOS'!$O$5:$O$500,"&lt;=123179",'LANÇAMENTOS DIÁRIOS'!$P$5:$P$500,"&gt;=123080")&gt;0,"X","")</f>
      </c>
      <c r="BH23" s="56" t="str">
        <f>IF(COUNTIFS('LANÇAMENTOS DIÁRIOS'!$G$5:$G$500,"G",'LANÇAMENTOS DIÁRIOS'!$C$5:$C$500,$A23,'LANÇAMENTOS DIÁRIOS'!$O$5:$O$500,"&lt;=123279",'LANÇAMENTOS DIÁRIOS'!$P$5:$P$500,"&gt;=123180")&gt;0,"X","")</f>
      </c>
      <c r="BI23" s="56" t="str">
        <f>IF(COUNTIFS('LANÇAMENTOS DIÁRIOS'!$G$5:$G$500,"G",'LANÇAMENTOS DIÁRIOS'!$C$5:$C$500,$A23,'LANÇAMENTOS DIÁRIOS'!$O$5:$O$500,"&lt;=123379",'LANÇAMENTOS DIÁRIOS'!$P$5:$P$500,"&gt;=123280")&gt;0,"X","")</f>
      </c>
      <c r="BJ23" s="56" t="str">
        <f>IF(COUNTIFS('LANÇAMENTOS DIÁRIOS'!$G$5:$G$500,"G",'LANÇAMENTOS DIÁRIOS'!$C$5:$C$500,$A23,'LANÇAMENTOS DIÁRIOS'!$O$5:$O$500,"&lt;=123479",'LANÇAMENTOS DIÁRIOS'!$P$5:$P$500,"&gt;=123380")&gt;0,"X","")</f>
      </c>
      <c r="BK23" s="56" t="str">
        <f>IF(COUNTIFS('LANÇAMENTOS DIÁRIOS'!$G$5:$G$500,"G",'LANÇAMENTOS DIÁRIOS'!$C$5:$C$500,$A23,'LANÇAMENTOS DIÁRIOS'!$O$5:$O$500,"&lt;=123480",'LANÇAMENTOS DIÁRIOS'!$P$5:$P$500,"&gt;=123480")&gt;0,"X","")</f>
      </c>
    </row>
    <row r="24" ht="21" customHeight="1">
      <c r="A24" s="60" t="str">
        <v>Terraplenagem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</row>
    <row r="25" ht="19" customHeight="1">
      <c r="A25" s="68" t="str">
        <v>Desmatamento e limpeza do terreno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</row>
    <row r="26">
      <c r="A26" s="51" t="str">
        <v>Limpeza do terreno com destocamento de árvore d=&lt;0,15m</v>
      </c>
      <c r="B26" s="56" t="str">
        <f>IF(COUNTIFS('LANÇAMENTOS DIÁRIOS'!$G$5:$G$500,"G",'LANÇAMENTOS DIÁRIOS'!$C$5:$C$500,$A26,'LANÇAMENTOS DIÁRIOS'!$O$5:$O$500,"&lt;=117479",'LANÇAMENTOS DIÁRIOS'!$P$5:$P$500,"&gt;=117380")&gt;0,"X","")</f>
      </c>
      <c r="C26" s="56" t="str">
        <f>IF(COUNTIFS('LANÇAMENTOS DIÁRIOS'!$G$5:$G$500,"G",'LANÇAMENTOS DIÁRIOS'!$C$5:$C$500,$A26,'LANÇAMENTOS DIÁRIOS'!$O$5:$O$500,"&lt;=117579",'LANÇAMENTOS DIÁRIOS'!$P$5:$P$500,"&gt;=117480")&gt;0,"X","")</f>
      </c>
      <c r="D26" s="56" t="str">
        <f>IF(COUNTIFS('LANÇAMENTOS DIÁRIOS'!$G$5:$G$500,"G",'LANÇAMENTOS DIÁRIOS'!$C$5:$C$500,$A26,'LANÇAMENTOS DIÁRIOS'!$O$5:$O$500,"&lt;=117679",'LANÇAMENTOS DIÁRIOS'!$P$5:$P$500,"&gt;=117580")&gt;0,"X","")</f>
      </c>
      <c r="E26" s="56" t="str">
        <f>IF(COUNTIFS('LANÇAMENTOS DIÁRIOS'!$G$5:$G$500,"G",'LANÇAMENTOS DIÁRIOS'!$C$5:$C$500,$A26,'LANÇAMENTOS DIÁRIOS'!$O$5:$O$500,"&lt;=117779",'LANÇAMENTOS DIÁRIOS'!$P$5:$P$500,"&gt;=117680")&gt;0,"X","")</f>
      </c>
      <c r="F26" s="56" t="str">
        <f>IF(COUNTIFS('LANÇAMENTOS DIÁRIOS'!$G$5:$G$500,"G",'LANÇAMENTOS DIÁRIOS'!$C$5:$C$500,$A26,'LANÇAMENTOS DIÁRIOS'!$O$5:$O$500,"&lt;=117879",'LANÇAMENTOS DIÁRIOS'!$P$5:$P$500,"&gt;=117780")&gt;0,"X","")</f>
      </c>
      <c r="G26" s="56" t="str">
        <f>IF(COUNTIFS('LANÇAMENTOS DIÁRIOS'!$G$5:$G$500,"G",'LANÇAMENTOS DIÁRIOS'!$C$5:$C$500,$A26,'LANÇAMENTOS DIÁRIOS'!$O$5:$O$500,"&lt;=117979",'LANÇAMENTOS DIÁRIOS'!$P$5:$P$500,"&gt;=117880")&gt;0,"X","")</f>
      </c>
      <c r="H26" s="56" t="str">
        <f>IF(COUNTIFS('LANÇAMENTOS DIÁRIOS'!$G$5:$G$500,"G",'LANÇAMENTOS DIÁRIOS'!$C$5:$C$500,$A26,'LANÇAMENTOS DIÁRIOS'!$O$5:$O$500,"&lt;=118079",'LANÇAMENTOS DIÁRIOS'!$P$5:$P$500,"&gt;=117980")&gt;0,"X","")</f>
      </c>
      <c r="I26" s="56" t="str">
        <f>IF(COUNTIFS('LANÇAMENTOS DIÁRIOS'!$G$5:$G$500,"G",'LANÇAMENTOS DIÁRIOS'!$C$5:$C$500,$A26,'LANÇAMENTOS DIÁRIOS'!$O$5:$O$500,"&lt;=118179",'LANÇAMENTOS DIÁRIOS'!$P$5:$P$500,"&gt;=118080")&gt;0,"X","")</f>
      </c>
      <c r="J26" s="56" t="str">
        <f>IF(COUNTIFS('LANÇAMENTOS DIÁRIOS'!$G$5:$G$500,"G",'LANÇAMENTOS DIÁRIOS'!$C$5:$C$500,$A26,'LANÇAMENTOS DIÁRIOS'!$O$5:$O$500,"&lt;=118279",'LANÇAMENTOS DIÁRIOS'!$P$5:$P$500,"&gt;=118180")&gt;0,"X","")</f>
      </c>
      <c r="K26" s="56" t="str">
        <f>IF(COUNTIFS('LANÇAMENTOS DIÁRIOS'!$G$5:$G$500,"G",'LANÇAMENTOS DIÁRIOS'!$C$5:$C$500,$A26,'LANÇAMENTOS DIÁRIOS'!$O$5:$O$500,"&lt;=118379",'LANÇAMENTOS DIÁRIOS'!$P$5:$P$500,"&gt;=118280")&gt;0,"X","")</f>
      </c>
      <c r="L26" s="56" t="str">
        <f>IF(COUNTIFS('LANÇAMENTOS DIÁRIOS'!$G$5:$G$500,"G",'LANÇAMENTOS DIÁRIOS'!$C$5:$C$500,$A26,'LANÇAMENTOS DIÁRIOS'!$O$5:$O$500,"&lt;=118479",'LANÇAMENTOS DIÁRIOS'!$P$5:$P$500,"&gt;=118380")&gt;0,"X","")</f>
      </c>
      <c r="M26" s="56" t="str">
        <f>IF(COUNTIFS('LANÇAMENTOS DIÁRIOS'!$G$5:$G$500,"G",'LANÇAMENTOS DIÁRIOS'!$C$5:$C$500,$A26,'LANÇAMENTOS DIÁRIOS'!$O$5:$O$500,"&lt;=118579",'LANÇAMENTOS DIÁRIOS'!$P$5:$P$500,"&gt;=118480")&gt;0,"X","")</f>
      </c>
      <c r="N26" s="56" t="str">
        <f>IF(COUNTIFS('LANÇAMENTOS DIÁRIOS'!$G$5:$G$500,"G",'LANÇAMENTOS DIÁRIOS'!$C$5:$C$500,$A26,'LANÇAMENTOS DIÁRIOS'!$O$5:$O$500,"&lt;=118679",'LANÇAMENTOS DIÁRIOS'!$P$5:$P$500,"&gt;=118580")&gt;0,"X","")</f>
      </c>
      <c r="O26" s="56" t="str">
        <f>IF(COUNTIFS('LANÇAMENTOS DIÁRIOS'!$G$5:$G$500,"G",'LANÇAMENTOS DIÁRIOS'!$C$5:$C$500,$A26,'LANÇAMENTOS DIÁRIOS'!$O$5:$O$500,"&lt;=118779",'LANÇAMENTOS DIÁRIOS'!$P$5:$P$500,"&gt;=118680")&gt;0,"X","")</f>
      </c>
      <c r="P26" s="56" t="str">
        <f>IF(COUNTIFS('LANÇAMENTOS DIÁRIOS'!$G$5:$G$500,"G",'LANÇAMENTOS DIÁRIOS'!$C$5:$C$500,$A26,'LANÇAMENTOS DIÁRIOS'!$O$5:$O$500,"&lt;=118879",'LANÇAMENTOS DIÁRIOS'!$P$5:$P$500,"&gt;=118780")&gt;0,"X","")</f>
      </c>
      <c r="Q26" s="56" t="str">
        <f>IF(COUNTIFS('LANÇAMENTOS DIÁRIOS'!$G$5:$G$500,"G",'LANÇAMENTOS DIÁRIOS'!$C$5:$C$500,$A26,'LANÇAMENTOS DIÁRIOS'!$O$5:$O$500,"&lt;=118979",'LANÇAMENTOS DIÁRIOS'!$P$5:$P$500,"&gt;=118880")&gt;0,"X","")</f>
      </c>
      <c r="R26" s="56" t="str">
        <f>IF(COUNTIFS('LANÇAMENTOS DIÁRIOS'!$G$5:$G$500,"G",'LANÇAMENTOS DIÁRIOS'!$C$5:$C$500,$A26,'LANÇAMENTOS DIÁRIOS'!$O$5:$O$500,"&lt;=119079",'LANÇAMENTOS DIÁRIOS'!$P$5:$P$500,"&gt;=118980")&gt;0,"X","")</f>
      </c>
      <c r="S26" s="56" t="str">
        <f>IF(COUNTIFS('LANÇAMENTOS DIÁRIOS'!$G$5:$G$500,"G",'LANÇAMENTOS DIÁRIOS'!$C$5:$C$500,$A26,'LANÇAMENTOS DIÁRIOS'!$O$5:$O$500,"&lt;=119179",'LANÇAMENTOS DIÁRIOS'!$P$5:$P$500,"&gt;=119080")&gt;0,"X","")</f>
      </c>
      <c r="T26" s="56" t="str">
        <f>IF(COUNTIFS('LANÇAMENTOS DIÁRIOS'!$G$5:$G$500,"G",'LANÇAMENTOS DIÁRIOS'!$C$5:$C$500,$A26,'LANÇAMENTOS DIÁRIOS'!$O$5:$O$500,"&lt;=119279",'LANÇAMENTOS DIÁRIOS'!$P$5:$P$500,"&gt;=119180")&gt;0,"X","")</f>
      </c>
      <c r="U26" s="56" t="str">
        <f>IF(COUNTIFS('LANÇAMENTOS DIÁRIOS'!$G$5:$G$500,"G",'LANÇAMENTOS DIÁRIOS'!$C$5:$C$500,$A26,'LANÇAMENTOS DIÁRIOS'!$O$5:$O$500,"&lt;=119379",'LANÇAMENTOS DIÁRIOS'!$P$5:$P$500,"&gt;=119280")&gt;0,"X","")</f>
      </c>
      <c r="V26" s="56" t="str">
        <f>IF(COUNTIFS('LANÇAMENTOS DIÁRIOS'!$G$5:$G$500,"G",'LANÇAMENTOS DIÁRIOS'!$C$5:$C$500,$A26,'LANÇAMENTOS DIÁRIOS'!$O$5:$O$500,"&lt;=119479",'LANÇAMENTOS DIÁRIOS'!$P$5:$P$500,"&gt;=119380")&gt;0,"X","")</f>
      </c>
      <c r="W26" s="56" t="str">
        <f>IF(COUNTIFS('LANÇAMENTOS DIÁRIOS'!$G$5:$G$500,"G",'LANÇAMENTOS DIÁRIOS'!$C$5:$C$500,$A26,'LANÇAMENTOS DIÁRIOS'!$O$5:$O$500,"&lt;=119579",'LANÇAMENTOS DIÁRIOS'!$P$5:$P$500,"&gt;=119480")&gt;0,"X","")</f>
      </c>
      <c r="X26" s="56" t="str">
        <f>IF(COUNTIFS('LANÇAMENTOS DIÁRIOS'!$G$5:$G$500,"G",'LANÇAMENTOS DIÁRIOS'!$C$5:$C$500,$A26,'LANÇAMENTOS DIÁRIOS'!$O$5:$O$500,"&lt;=119679",'LANÇAMENTOS DIÁRIOS'!$P$5:$P$500,"&gt;=119580")&gt;0,"X","")</f>
      </c>
      <c r="Y26" s="56" t="str">
        <f>IF(COUNTIFS('LANÇAMENTOS DIÁRIOS'!$G$5:$G$500,"G",'LANÇAMENTOS DIÁRIOS'!$C$5:$C$500,$A26,'LANÇAMENTOS DIÁRIOS'!$O$5:$O$500,"&lt;=119779",'LANÇAMENTOS DIÁRIOS'!$P$5:$P$500,"&gt;=119680")&gt;0,"X","")</f>
      </c>
      <c r="Z26" s="56" t="str">
        <f>IF(COUNTIFS('LANÇAMENTOS DIÁRIOS'!$G$5:$G$500,"G",'LANÇAMENTOS DIÁRIOS'!$C$5:$C$500,$A26,'LANÇAMENTOS DIÁRIOS'!$O$5:$O$500,"&lt;=119879",'LANÇAMENTOS DIÁRIOS'!$P$5:$P$500,"&gt;=119780")&gt;0,"X","")</f>
      </c>
      <c r="AA26" s="56" t="str">
        <f>IF(COUNTIFS('LANÇAMENTOS DIÁRIOS'!$G$5:$G$500,"G",'LANÇAMENTOS DIÁRIOS'!$C$5:$C$500,$A26,'LANÇAMENTOS DIÁRIOS'!$O$5:$O$500,"&lt;=119979",'LANÇAMENTOS DIÁRIOS'!$P$5:$P$500,"&gt;=119880")&gt;0,"X","")</f>
      </c>
      <c r="AB26" s="56" t="str">
        <f>IF(COUNTIFS('LANÇAMENTOS DIÁRIOS'!$G$5:$G$500,"G",'LANÇAMENTOS DIÁRIOS'!$C$5:$C$500,$A26,'LANÇAMENTOS DIÁRIOS'!$O$5:$O$500,"&lt;=120079",'LANÇAMENTOS DIÁRIOS'!$P$5:$P$500,"&gt;=119980")&gt;0,"X","")</f>
      </c>
      <c r="AC26" s="56" t="str">
        <f>IF(COUNTIFS('LANÇAMENTOS DIÁRIOS'!$G$5:$G$500,"G",'LANÇAMENTOS DIÁRIOS'!$C$5:$C$500,$A26,'LANÇAMENTOS DIÁRIOS'!$O$5:$O$500,"&lt;=120179",'LANÇAMENTOS DIÁRIOS'!$P$5:$P$500,"&gt;=120080")&gt;0,"X","")</f>
      </c>
      <c r="AD26" s="56" t="str">
        <f>IF(COUNTIFS('LANÇAMENTOS DIÁRIOS'!$G$5:$G$500,"G",'LANÇAMENTOS DIÁRIOS'!$C$5:$C$500,$A26,'LANÇAMENTOS DIÁRIOS'!$O$5:$O$500,"&lt;=120279",'LANÇAMENTOS DIÁRIOS'!$P$5:$P$500,"&gt;=120180")&gt;0,"X","")</f>
      </c>
      <c r="AE26" s="56" t="str">
        <f>IF(COUNTIFS('LANÇAMENTOS DIÁRIOS'!$G$5:$G$500,"G",'LANÇAMENTOS DIÁRIOS'!$C$5:$C$500,$A26,'LANÇAMENTOS DIÁRIOS'!$O$5:$O$500,"&lt;=120379",'LANÇAMENTOS DIÁRIOS'!$P$5:$P$500,"&gt;=120280")&gt;0,"X","")</f>
      </c>
      <c r="AF26" s="56" t="str">
        <f>IF(COUNTIFS('LANÇAMENTOS DIÁRIOS'!$G$5:$G$500,"G",'LANÇAMENTOS DIÁRIOS'!$C$5:$C$500,$A26,'LANÇAMENTOS DIÁRIOS'!$O$5:$O$500,"&lt;=120479",'LANÇAMENTOS DIÁRIOS'!$P$5:$P$500,"&gt;=120380")&gt;0,"X","")</f>
      </c>
      <c r="AG26" s="56" t="str">
        <f>IF(COUNTIFS('LANÇAMENTOS DIÁRIOS'!$G$5:$G$500,"G",'LANÇAMENTOS DIÁRIOS'!$C$5:$C$500,$A26,'LANÇAMENTOS DIÁRIOS'!$O$5:$O$500,"&lt;=120579",'LANÇAMENTOS DIÁRIOS'!$P$5:$P$500,"&gt;=120480")&gt;0,"X","")</f>
      </c>
      <c r="AH26" s="56" t="str">
        <f>IF(COUNTIFS('LANÇAMENTOS DIÁRIOS'!$G$5:$G$500,"G",'LANÇAMENTOS DIÁRIOS'!$C$5:$C$500,$A26,'LANÇAMENTOS DIÁRIOS'!$O$5:$O$500,"&lt;=120679",'LANÇAMENTOS DIÁRIOS'!$P$5:$P$500,"&gt;=120580")&gt;0,"X","")</f>
      </c>
      <c r="AI26" s="56" t="str">
        <f>IF(COUNTIFS('LANÇAMENTOS DIÁRIOS'!$G$5:$G$500,"G",'LANÇAMENTOS DIÁRIOS'!$C$5:$C$500,$A26,'LANÇAMENTOS DIÁRIOS'!$O$5:$O$500,"&lt;=120779",'LANÇAMENTOS DIÁRIOS'!$P$5:$P$500,"&gt;=120680")&gt;0,"X","")</f>
      </c>
      <c r="AJ26" s="56" t="str">
        <f>IF(COUNTIFS('LANÇAMENTOS DIÁRIOS'!$G$5:$G$500,"G",'LANÇAMENTOS DIÁRIOS'!$C$5:$C$500,$A26,'LANÇAMENTOS DIÁRIOS'!$O$5:$O$500,"&lt;=120879",'LANÇAMENTOS DIÁRIOS'!$P$5:$P$500,"&gt;=120780")&gt;0,"X","")</f>
      </c>
      <c r="AK26" s="56" t="str">
        <f>IF(COUNTIFS('LANÇAMENTOS DIÁRIOS'!$G$5:$G$500,"G",'LANÇAMENTOS DIÁRIOS'!$C$5:$C$500,$A26,'LANÇAMENTOS DIÁRIOS'!$O$5:$O$500,"&lt;=120979",'LANÇAMENTOS DIÁRIOS'!$P$5:$P$500,"&gt;=120880")&gt;0,"X","")</f>
      </c>
      <c r="AL26" s="56" t="str">
        <f>IF(COUNTIFS('LANÇAMENTOS DIÁRIOS'!$G$5:$G$500,"G",'LANÇAMENTOS DIÁRIOS'!$C$5:$C$500,$A26,'LANÇAMENTOS DIÁRIOS'!$O$5:$O$500,"&lt;=121079",'LANÇAMENTOS DIÁRIOS'!$P$5:$P$500,"&gt;=120980")&gt;0,"X","")</f>
      </c>
      <c r="AM26" s="56" t="str">
        <f>IF(COUNTIFS('LANÇAMENTOS DIÁRIOS'!$G$5:$G$500,"G",'LANÇAMENTOS DIÁRIOS'!$C$5:$C$500,$A26,'LANÇAMENTOS DIÁRIOS'!$O$5:$O$500,"&lt;=121179",'LANÇAMENTOS DIÁRIOS'!$P$5:$P$500,"&gt;=121080")&gt;0,"X","")</f>
      </c>
      <c r="AN26" s="56" t="str">
        <f>IF(COUNTIFS('LANÇAMENTOS DIÁRIOS'!$G$5:$G$500,"G",'LANÇAMENTOS DIÁRIOS'!$C$5:$C$500,$A26,'LANÇAMENTOS DIÁRIOS'!$O$5:$O$500,"&lt;=121279",'LANÇAMENTOS DIÁRIOS'!$P$5:$P$500,"&gt;=121180")&gt;0,"X","")</f>
      </c>
      <c r="AO26" s="56" t="str">
        <f>IF(COUNTIFS('LANÇAMENTOS DIÁRIOS'!$G$5:$G$500,"G",'LANÇAMENTOS DIÁRIOS'!$C$5:$C$500,$A26,'LANÇAMENTOS DIÁRIOS'!$O$5:$O$500,"&lt;=121379",'LANÇAMENTOS DIÁRIOS'!$P$5:$P$500,"&gt;=121280")&gt;0,"X","")</f>
      </c>
      <c r="AP26" s="56" t="str">
        <f>IF(COUNTIFS('LANÇAMENTOS DIÁRIOS'!$G$5:$G$500,"G",'LANÇAMENTOS DIÁRIOS'!$C$5:$C$500,$A26,'LANÇAMENTOS DIÁRIOS'!$O$5:$O$500,"&lt;=121479",'LANÇAMENTOS DIÁRIOS'!$P$5:$P$500,"&gt;=121380")&gt;0,"X","")</f>
      </c>
      <c r="AQ26" s="56" t="str">
        <f>IF(COUNTIFS('LANÇAMENTOS DIÁRIOS'!$G$5:$G$500,"G",'LANÇAMENTOS DIÁRIOS'!$C$5:$C$500,$A26,'LANÇAMENTOS DIÁRIOS'!$O$5:$O$500,"&lt;=121579",'LANÇAMENTOS DIÁRIOS'!$P$5:$P$500,"&gt;=121480")&gt;0,"X","")</f>
      </c>
      <c r="AR26" s="56" t="str">
        <f>IF(COUNTIFS('LANÇAMENTOS DIÁRIOS'!$G$5:$G$500,"G",'LANÇAMENTOS DIÁRIOS'!$C$5:$C$500,$A26,'LANÇAMENTOS DIÁRIOS'!$O$5:$O$500,"&lt;=121679",'LANÇAMENTOS DIÁRIOS'!$P$5:$P$500,"&gt;=121580")&gt;0,"X","")</f>
      </c>
      <c r="AS26" s="56" t="str">
        <f>IF(COUNTIFS('LANÇAMENTOS DIÁRIOS'!$G$5:$G$500,"G",'LANÇAMENTOS DIÁRIOS'!$C$5:$C$500,$A26,'LANÇAMENTOS DIÁRIOS'!$O$5:$O$500,"&lt;=121779",'LANÇAMENTOS DIÁRIOS'!$P$5:$P$500,"&gt;=121680")&gt;0,"X","")</f>
      </c>
      <c r="AT26" s="56" t="str">
        <f>IF(COUNTIFS('LANÇAMENTOS DIÁRIOS'!$G$5:$G$500,"G",'LANÇAMENTOS DIÁRIOS'!$C$5:$C$500,$A26,'LANÇAMENTOS DIÁRIOS'!$O$5:$O$500,"&lt;=121879",'LANÇAMENTOS DIÁRIOS'!$P$5:$P$500,"&gt;=121780")&gt;0,"X","")</f>
      </c>
      <c r="AU26" s="56" t="str">
        <f>IF(COUNTIFS('LANÇAMENTOS DIÁRIOS'!$G$5:$G$500,"G",'LANÇAMENTOS DIÁRIOS'!$C$5:$C$500,$A26,'LANÇAMENTOS DIÁRIOS'!$O$5:$O$500,"&lt;=121979",'LANÇAMENTOS DIÁRIOS'!$P$5:$P$500,"&gt;=121880")&gt;0,"X","")</f>
      </c>
      <c r="AV26" s="56" t="str">
        <f>IF(COUNTIFS('LANÇAMENTOS DIÁRIOS'!$G$5:$G$500,"G",'LANÇAMENTOS DIÁRIOS'!$C$5:$C$500,$A26,'LANÇAMENTOS DIÁRIOS'!$O$5:$O$500,"&lt;=122079",'LANÇAMENTOS DIÁRIOS'!$P$5:$P$500,"&gt;=121980")&gt;0,"X","")</f>
      </c>
      <c r="AW26" s="56" t="str">
        <f>IF(COUNTIFS('LANÇAMENTOS DIÁRIOS'!$G$5:$G$500,"G",'LANÇAMENTOS DIÁRIOS'!$C$5:$C$500,$A26,'LANÇAMENTOS DIÁRIOS'!$O$5:$O$500,"&lt;=122179",'LANÇAMENTOS DIÁRIOS'!$P$5:$P$500,"&gt;=122080")&gt;0,"X","")</f>
      </c>
      <c r="AX26" s="56" t="str">
        <f>IF(COUNTIFS('LANÇAMENTOS DIÁRIOS'!$G$5:$G$500,"G",'LANÇAMENTOS DIÁRIOS'!$C$5:$C$500,$A26,'LANÇAMENTOS DIÁRIOS'!$O$5:$O$500,"&lt;=122279",'LANÇAMENTOS DIÁRIOS'!$P$5:$P$500,"&gt;=122180")&gt;0,"X","")</f>
      </c>
      <c r="AY26" s="56" t="str">
        <f>IF(COUNTIFS('LANÇAMENTOS DIÁRIOS'!$G$5:$G$500,"G",'LANÇAMENTOS DIÁRIOS'!$C$5:$C$500,$A26,'LANÇAMENTOS DIÁRIOS'!$O$5:$O$500,"&lt;=122379",'LANÇAMENTOS DIÁRIOS'!$P$5:$P$500,"&gt;=122280")&gt;0,"X","")</f>
      </c>
      <c r="AZ26" s="56" t="str">
        <f>IF(COUNTIFS('LANÇAMENTOS DIÁRIOS'!$G$5:$G$500,"G",'LANÇAMENTOS DIÁRIOS'!$C$5:$C$500,$A26,'LANÇAMENTOS DIÁRIOS'!$O$5:$O$500,"&lt;=122479",'LANÇAMENTOS DIÁRIOS'!$P$5:$P$500,"&gt;=122380")&gt;0,"X","")</f>
      </c>
      <c r="BA26" s="56" t="str">
        <f>IF(COUNTIFS('LANÇAMENTOS DIÁRIOS'!$G$5:$G$500,"G",'LANÇAMENTOS DIÁRIOS'!$C$5:$C$500,$A26,'LANÇAMENTOS DIÁRIOS'!$O$5:$O$500,"&lt;=122579",'LANÇAMENTOS DIÁRIOS'!$P$5:$P$500,"&gt;=122480")&gt;0,"X","")</f>
      </c>
      <c r="BB26" s="56" t="str">
        <f>IF(COUNTIFS('LANÇAMENTOS DIÁRIOS'!$G$5:$G$500,"G",'LANÇAMENTOS DIÁRIOS'!$C$5:$C$500,$A26,'LANÇAMENTOS DIÁRIOS'!$O$5:$O$500,"&lt;=122679",'LANÇAMENTOS DIÁRIOS'!$P$5:$P$500,"&gt;=122580")&gt;0,"X","")</f>
      </c>
      <c r="BC26" s="56" t="str">
        <f>IF(COUNTIFS('LANÇAMENTOS DIÁRIOS'!$G$5:$G$500,"G",'LANÇAMENTOS DIÁRIOS'!$C$5:$C$500,$A26,'LANÇAMENTOS DIÁRIOS'!$O$5:$O$500,"&lt;=122779",'LANÇAMENTOS DIÁRIOS'!$P$5:$P$500,"&gt;=122680")&gt;0,"X","")</f>
      </c>
      <c r="BD26" s="56" t="str">
        <f>IF(COUNTIFS('LANÇAMENTOS DIÁRIOS'!$G$5:$G$500,"G",'LANÇAMENTOS DIÁRIOS'!$C$5:$C$500,$A26,'LANÇAMENTOS DIÁRIOS'!$O$5:$O$500,"&lt;=122879",'LANÇAMENTOS DIÁRIOS'!$P$5:$P$500,"&gt;=122780")&gt;0,"X","")</f>
      </c>
      <c r="BE26" s="56" t="str">
        <f>IF(COUNTIFS('LANÇAMENTOS DIÁRIOS'!$G$5:$G$500,"G",'LANÇAMENTOS DIÁRIOS'!$C$5:$C$500,$A26,'LANÇAMENTOS DIÁRIOS'!$O$5:$O$500,"&lt;=122979",'LANÇAMENTOS DIÁRIOS'!$P$5:$P$500,"&gt;=122880")&gt;0,"X","")</f>
      </c>
      <c r="BF26" s="56" t="str">
        <f>IF(COUNTIFS('LANÇAMENTOS DIÁRIOS'!$G$5:$G$500,"G",'LANÇAMENTOS DIÁRIOS'!$C$5:$C$500,$A26,'LANÇAMENTOS DIÁRIOS'!$O$5:$O$500,"&lt;=123079",'LANÇAMENTOS DIÁRIOS'!$P$5:$P$500,"&gt;=122980")&gt;0,"X","")</f>
      </c>
      <c r="BG26" s="56" t="str">
        <f>IF(COUNTIFS('LANÇAMENTOS DIÁRIOS'!$G$5:$G$500,"G",'LANÇAMENTOS DIÁRIOS'!$C$5:$C$500,$A26,'LANÇAMENTOS DIÁRIOS'!$O$5:$O$500,"&lt;=123179",'LANÇAMENTOS DIÁRIOS'!$P$5:$P$500,"&gt;=123080")&gt;0,"X","")</f>
      </c>
      <c r="BH26" s="56" t="str">
        <f>IF(COUNTIFS('LANÇAMENTOS DIÁRIOS'!$G$5:$G$500,"G",'LANÇAMENTOS DIÁRIOS'!$C$5:$C$500,$A26,'LANÇAMENTOS DIÁRIOS'!$O$5:$O$500,"&lt;=123279",'LANÇAMENTOS DIÁRIOS'!$P$5:$P$500,"&gt;=123180")&gt;0,"X","")</f>
      </c>
      <c r="BI26" s="56" t="str">
        <f>IF(COUNTIFS('LANÇAMENTOS DIÁRIOS'!$G$5:$G$500,"G",'LANÇAMENTOS DIÁRIOS'!$C$5:$C$500,$A26,'LANÇAMENTOS DIÁRIOS'!$O$5:$O$500,"&lt;=123379",'LANÇAMENTOS DIÁRIOS'!$P$5:$P$500,"&gt;=123280")&gt;0,"X","")</f>
      </c>
      <c r="BJ26" s="56" t="str">
        <f>IF(COUNTIFS('LANÇAMENTOS DIÁRIOS'!$G$5:$G$500,"G",'LANÇAMENTOS DIÁRIOS'!$C$5:$C$500,$A26,'LANÇAMENTOS DIÁRIOS'!$O$5:$O$500,"&lt;=123479",'LANÇAMENTOS DIÁRIOS'!$P$5:$P$500,"&gt;=123380")&gt;0,"X","")</f>
      </c>
      <c r="BK26" s="56" t="str">
        <f>IF(COUNTIFS('LANÇAMENTOS DIÁRIOS'!$G$5:$G$500,"G",'LANÇAMENTOS DIÁRIOS'!$C$5:$C$500,$A26,'LANÇAMENTOS DIÁRIOS'!$O$5:$O$500,"&lt;=123480",'LANÇAMENTOS DIÁRIOS'!$P$5:$P$500,"&gt;=123480")&gt;0,"X","")</f>
      </c>
    </row>
    <row r="27">
      <c r="A27" s="51" t="str">
        <v>Destocamento de árvore 0,10m&lt;d&lt;0,30m</v>
      </c>
      <c r="B27" s="56" t="str">
        <f>IF(COUNTIFS('LANÇAMENTOS DIÁRIOS'!$G$5:$G$500,"G",'LANÇAMENTOS DIÁRIOS'!$C$5:$C$500,$A27,'LANÇAMENTOS DIÁRIOS'!$O$5:$O$500,"&lt;=117479",'LANÇAMENTOS DIÁRIOS'!$P$5:$P$500,"&gt;=117380")&gt;0,"X","")</f>
      </c>
      <c r="C27" s="56" t="str">
        <f>IF(COUNTIFS('LANÇAMENTOS DIÁRIOS'!$G$5:$G$500,"G",'LANÇAMENTOS DIÁRIOS'!$C$5:$C$500,$A27,'LANÇAMENTOS DIÁRIOS'!$O$5:$O$500,"&lt;=117579",'LANÇAMENTOS DIÁRIOS'!$P$5:$P$500,"&gt;=117480")&gt;0,"X","")</f>
      </c>
      <c r="D27" s="56" t="str">
        <f>IF(COUNTIFS('LANÇAMENTOS DIÁRIOS'!$G$5:$G$500,"G",'LANÇAMENTOS DIÁRIOS'!$C$5:$C$500,$A27,'LANÇAMENTOS DIÁRIOS'!$O$5:$O$500,"&lt;=117679",'LANÇAMENTOS DIÁRIOS'!$P$5:$P$500,"&gt;=117580")&gt;0,"X","")</f>
      </c>
      <c r="E27" s="56" t="str">
        <f>IF(COUNTIFS('LANÇAMENTOS DIÁRIOS'!$G$5:$G$500,"G",'LANÇAMENTOS DIÁRIOS'!$C$5:$C$500,$A27,'LANÇAMENTOS DIÁRIOS'!$O$5:$O$500,"&lt;=117779",'LANÇAMENTOS DIÁRIOS'!$P$5:$P$500,"&gt;=117680")&gt;0,"X","")</f>
      </c>
      <c r="F27" s="56" t="str">
        <f>IF(COUNTIFS('LANÇAMENTOS DIÁRIOS'!$G$5:$G$500,"G",'LANÇAMENTOS DIÁRIOS'!$C$5:$C$500,$A27,'LANÇAMENTOS DIÁRIOS'!$O$5:$O$500,"&lt;=117879",'LANÇAMENTOS DIÁRIOS'!$P$5:$P$500,"&gt;=117780")&gt;0,"X","")</f>
      </c>
      <c r="G27" s="56" t="str">
        <f>IF(COUNTIFS('LANÇAMENTOS DIÁRIOS'!$G$5:$G$500,"G",'LANÇAMENTOS DIÁRIOS'!$C$5:$C$500,$A27,'LANÇAMENTOS DIÁRIOS'!$O$5:$O$500,"&lt;=117979",'LANÇAMENTOS DIÁRIOS'!$P$5:$P$500,"&gt;=117880")&gt;0,"X","")</f>
      </c>
      <c r="H27" s="56" t="str">
        <f>IF(COUNTIFS('LANÇAMENTOS DIÁRIOS'!$G$5:$G$500,"G",'LANÇAMENTOS DIÁRIOS'!$C$5:$C$500,$A27,'LANÇAMENTOS DIÁRIOS'!$O$5:$O$500,"&lt;=118079",'LANÇAMENTOS DIÁRIOS'!$P$5:$P$500,"&gt;=117980")&gt;0,"X","")</f>
      </c>
      <c r="I27" s="56" t="str">
        <f>IF(COUNTIFS('LANÇAMENTOS DIÁRIOS'!$G$5:$G$500,"G",'LANÇAMENTOS DIÁRIOS'!$C$5:$C$500,$A27,'LANÇAMENTOS DIÁRIOS'!$O$5:$O$500,"&lt;=118179",'LANÇAMENTOS DIÁRIOS'!$P$5:$P$500,"&gt;=118080")&gt;0,"X","")</f>
      </c>
      <c r="J27" s="56" t="str">
        <f>IF(COUNTIFS('LANÇAMENTOS DIÁRIOS'!$G$5:$G$500,"G",'LANÇAMENTOS DIÁRIOS'!$C$5:$C$500,$A27,'LANÇAMENTOS DIÁRIOS'!$O$5:$O$500,"&lt;=118279",'LANÇAMENTOS DIÁRIOS'!$P$5:$P$500,"&gt;=118180")&gt;0,"X","")</f>
      </c>
      <c r="K27" s="56" t="str">
        <f>IF(COUNTIFS('LANÇAMENTOS DIÁRIOS'!$G$5:$G$500,"G",'LANÇAMENTOS DIÁRIOS'!$C$5:$C$500,$A27,'LANÇAMENTOS DIÁRIOS'!$O$5:$O$500,"&lt;=118379",'LANÇAMENTOS DIÁRIOS'!$P$5:$P$500,"&gt;=118280")&gt;0,"X","")</f>
      </c>
      <c r="L27" s="56" t="str">
        <f>IF(COUNTIFS('LANÇAMENTOS DIÁRIOS'!$G$5:$G$500,"G",'LANÇAMENTOS DIÁRIOS'!$C$5:$C$500,$A27,'LANÇAMENTOS DIÁRIOS'!$O$5:$O$500,"&lt;=118479",'LANÇAMENTOS DIÁRIOS'!$P$5:$P$500,"&gt;=118380")&gt;0,"X","")</f>
      </c>
      <c r="M27" s="56" t="str">
        <f>IF(COUNTIFS('LANÇAMENTOS DIÁRIOS'!$G$5:$G$500,"G",'LANÇAMENTOS DIÁRIOS'!$C$5:$C$500,$A27,'LANÇAMENTOS DIÁRIOS'!$O$5:$O$500,"&lt;=118579",'LANÇAMENTOS DIÁRIOS'!$P$5:$P$500,"&gt;=118480")&gt;0,"X","")</f>
      </c>
      <c r="N27" s="56" t="str">
        <f>IF(COUNTIFS('LANÇAMENTOS DIÁRIOS'!$G$5:$G$500,"G",'LANÇAMENTOS DIÁRIOS'!$C$5:$C$500,$A27,'LANÇAMENTOS DIÁRIOS'!$O$5:$O$500,"&lt;=118679",'LANÇAMENTOS DIÁRIOS'!$P$5:$P$500,"&gt;=118580")&gt;0,"X","")</f>
      </c>
      <c r="O27" s="56" t="str">
        <f>IF(COUNTIFS('LANÇAMENTOS DIÁRIOS'!$G$5:$G$500,"G",'LANÇAMENTOS DIÁRIOS'!$C$5:$C$500,$A27,'LANÇAMENTOS DIÁRIOS'!$O$5:$O$500,"&lt;=118779",'LANÇAMENTOS DIÁRIOS'!$P$5:$P$500,"&gt;=118680")&gt;0,"X","")</f>
      </c>
      <c r="P27" s="56" t="str">
        <f>IF(COUNTIFS('LANÇAMENTOS DIÁRIOS'!$G$5:$G$500,"G",'LANÇAMENTOS DIÁRIOS'!$C$5:$C$500,$A27,'LANÇAMENTOS DIÁRIOS'!$O$5:$O$500,"&lt;=118879",'LANÇAMENTOS DIÁRIOS'!$P$5:$P$500,"&gt;=118780")&gt;0,"X","")</f>
      </c>
      <c r="Q27" s="56" t="str">
        <f>IF(COUNTIFS('LANÇAMENTOS DIÁRIOS'!$G$5:$G$500,"G",'LANÇAMENTOS DIÁRIOS'!$C$5:$C$500,$A27,'LANÇAMENTOS DIÁRIOS'!$O$5:$O$500,"&lt;=118979",'LANÇAMENTOS DIÁRIOS'!$P$5:$P$500,"&gt;=118880")&gt;0,"X","")</f>
      </c>
      <c r="R27" s="56" t="str">
        <f>IF(COUNTIFS('LANÇAMENTOS DIÁRIOS'!$G$5:$G$500,"G",'LANÇAMENTOS DIÁRIOS'!$C$5:$C$500,$A27,'LANÇAMENTOS DIÁRIOS'!$O$5:$O$500,"&lt;=119079",'LANÇAMENTOS DIÁRIOS'!$P$5:$P$500,"&gt;=118980")&gt;0,"X","")</f>
      </c>
      <c r="S27" s="56" t="str">
        <f>IF(COUNTIFS('LANÇAMENTOS DIÁRIOS'!$G$5:$G$500,"G",'LANÇAMENTOS DIÁRIOS'!$C$5:$C$500,$A27,'LANÇAMENTOS DIÁRIOS'!$O$5:$O$500,"&lt;=119179",'LANÇAMENTOS DIÁRIOS'!$P$5:$P$500,"&gt;=119080")&gt;0,"X","")</f>
      </c>
      <c r="T27" s="56" t="str">
        <f>IF(COUNTIFS('LANÇAMENTOS DIÁRIOS'!$G$5:$G$500,"G",'LANÇAMENTOS DIÁRIOS'!$C$5:$C$500,$A27,'LANÇAMENTOS DIÁRIOS'!$O$5:$O$500,"&lt;=119279",'LANÇAMENTOS DIÁRIOS'!$P$5:$P$500,"&gt;=119180")&gt;0,"X","")</f>
      </c>
      <c r="U27" s="56" t="str">
        <f>IF(COUNTIFS('LANÇAMENTOS DIÁRIOS'!$G$5:$G$500,"G",'LANÇAMENTOS DIÁRIOS'!$C$5:$C$500,$A27,'LANÇAMENTOS DIÁRIOS'!$O$5:$O$500,"&lt;=119379",'LANÇAMENTOS DIÁRIOS'!$P$5:$P$500,"&gt;=119280")&gt;0,"X","")</f>
      </c>
      <c r="V27" s="56" t="str">
        <f>IF(COUNTIFS('LANÇAMENTOS DIÁRIOS'!$G$5:$G$500,"G",'LANÇAMENTOS DIÁRIOS'!$C$5:$C$500,$A27,'LANÇAMENTOS DIÁRIOS'!$O$5:$O$500,"&lt;=119479",'LANÇAMENTOS DIÁRIOS'!$P$5:$P$500,"&gt;=119380")&gt;0,"X","")</f>
      </c>
      <c r="W27" s="56" t="str">
        <f>IF(COUNTIFS('LANÇAMENTOS DIÁRIOS'!$G$5:$G$500,"G",'LANÇAMENTOS DIÁRIOS'!$C$5:$C$500,$A27,'LANÇAMENTOS DIÁRIOS'!$O$5:$O$500,"&lt;=119579",'LANÇAMENTOS DIÁRIOS'!$P$5:$P$500,"&gt;=119480")&gt;0,"X","")</f>
      </c>
      <c r="X27" s="56" t="str">
        <f>IF(COUNTIFS('LANÇAMENTOS DIÁRIOS'!$G$5:$G$500,"G",'LANÇAMENTOS DIÁRIOS'!$C$5:$C$500,$A27,'LANÇAMENTOS DIÁRIOS'!$O$5:$O$500,"&lt;=119679",'LANÇAMENTOS DIÁRIOS'!$P$5:$P$500,"&gt;=119580")&gt;0,"X","")</f>
      </c>
      <c r="Y27" s="56" t="str">
        <f>IF(COUNTIFS('LANÇAMENTOS DIÁRIOS'!$G$5:$G$500,"G",'LANÇAMENTOS DIÁRIOS'!$C$5:$C$500,$A27,'LANÇAMENTOS DIÁRIOS'!$O$5:$O$500,"&lt;=119779",'LANÇAMENTOS DIÁRIOS'!$P$5:$P$500,"&gt;=119680")&gt;0,"X","")</f>
      </c>
      <c r="Z27" s="56" t="str">
        <f>IF(COUNTIFS('LANÇAMENTOS DIÁRIOS'!$G$5:$G$500,"G",'LANÇAMENTOS DIÁRIOS'!$C$5:$C$500,$A27,'LANÇAMENTOS DIÁRIOS'!$O$5:$O$500,"&lt;=119879",'LANÇAMENTOS DIÁRIOS'!$P$5:$P$500,"&gt;=119780")&gt;0,"X","")</f>
      </c>
      <c r="AA27" s="56" t="str">
        <f>IF(COUNTIFS('LANÇAMENTOS DIÁRIOS'!$G$5:$G$500,"G",'LANÇAMENTOS DIÁRIOS'!$C$5:$C$500,$A27,'LANÇAMENTOS DIÁRIOS'!$O$5:$O$500,"&lt;=119979",'LANÇAMENTOS DIÁRIOS'!$P$5:$P$500,"&gt;=119880")&gt;0,"X","")</f>
      </c>
      <c r="AB27" s="56" t="str">
        <f>IF(COUNTIFS('LANÇAMENTOS DIÁRIOS'!$G$5:$G$500,"G",'LANÇAMENTOS DIÁRIOS'!$C$5:$C$500,$A27,'LANÇAMENTOS DIÁRIOS'!$O$5:$O$500,"&lt;=120079",'LANÇAMENTOS DIÁRIOS'!$P$5:$P$500,"&gt;=119980")&gt;0,"X","")</f>
      </c>
      <c r="AC27" s="56" t="str">
        <f>IF(COUNTIFS('LANÇAMENTOS DIÁRIOS'!$G$5:$G$500,"G",'LANÇAMENTOS DIÁRIOS'!$C$5:$C$500,$A27,'LANÇAMENTOS DIÁRIOS'!$O$5:$O$500,"&lt;=120179",'LANÇAMENTOS DIÁRIOS'!$P$5:$P$500,"&gt;=120080")&gt;0,"X","")</f>
      </c>
      <c r="AD27" s="56" t="str">
        <f>IF(COUNTIFS('LANÇAMENTOS DIÁRIOS'!$G$5:$G$500,"G",'LANÇAMENTOS DIÁRIOS'!$C$5:$C$500,$A27,'LANÇAMENTOS DIÁRIOS'!$O$5:$O$500,"&lt;=120279",'LANÇAMENTOS DIÁRIOS'!$P$5:$P$500,"&gt;=120180")&gt;0,"X","")</f>
      </c>
      <c r="AE27" s="56" t="str">
        <f>IF(COUNTIFS('LANÇAMENTOS DIÁRIOS'!$G$5:$G$500,"G",'LANÇAMENTOS DIÁRIOS'!$C$5:$C$500,$A27,'LANÇAMENTOS DIÁRIOS'!$O$5:$O$500,"&lt;=120379",'LANÇAMENTOS DIÁRIOS'!$P$5:$P$500,"&gt;=120280")&gt;0,"X","")</f>
      </c>
      <c r="AF27" s="56" t="str">
        <f>IF(COUNTIFS('LANÇAMENTOS DIÁRIOS'!$G$5:$G$500,"G",'LANÇAMENTOS DIÁRIOS'!$C$5:$C$500,$A27,'LANÇAMENTOS DIÁRIOS'!$O$5:$O$500,"&lt;=120479",'LANÇAMENTOS DIÁRIOS'!$P$5:$P$500,"&gt;=120380")&gt;0,"X","")</f>
      </c>
      <c r="AG27" s="56" t="str">
        <f>IF(COUNTIFS('LANÇAMENTOS DIÁRIOS'!$G$5:$G$500,"G",'LANÇAMENTOS DIÁRIOS'!$C$5:$C$500,$A27,'LANÇAMENTOS DIÁRIOS'!$O$5:$O$500,"&lt;=120579",'LANÇAMENTOS DIÁRIOS'!$P$5:$P$500,"&gt;=120480")&gt;0,"X","")</f>
      </c>
      <c r="AH27" s="56" t="str">
        <f>IF(COUNTIFS('LANÇAMENTOS DIÁRIOS'!$G$5:$G$500,"G",'LANÇAMENTOS DIÁRIOS'!$C$5:$C$500,$A27,'LANÇAMENTOS DIÁRIOS'!$O$5:$O$500,"&lt;=120679",'LANÇAMENTOS DIÁRIOS'!$P$5:$P$500,"&gt;=120580")&gt;0,"X","")</f>
      </c>
      <c r="AI27" s="56" t="str">
        <f>IF(COUNTIFS('LANÇAMENTOS DIÁRIOS'!$G$5:$G$500,"G",'LANÇAMENTOS DIÁRIOS'!$C$5:$C$500,$A27,'LANÇAMENTOS DIÁRIOS'!$O$5:$O$500,"&lt;=120779",'LANÇAMENTOS DIÁRIOS'!$P$5:$P$500,"&gt;=120680")&gt;0,"X","")</f>
      </c>
      <c r="AJ27" s="56" t="str">
        <f>IF(COUNTIFS('LANÇAMENTOS DIÁRIOS'!$G$5:$G$500,"G",'LANÇAMENTOS DIÁRIOS'!$C$5:$C$500,$A27,'LANÇAMENTOS DIÁRIOS'!$O$5:$O$500,"&lt;=120879",'LANÇAMENTOS DIÁRIOS'!$P$5:$P$500,"&gt;=120780")&gt;0,"X","")</f>
      </c>
      <c r="AK27" s="56" t="str">
        <f>IF(COUNTIFS('LANÇAMENTOS DIÁRIOS'!$G$5:$G$500,"G",'LANÇAMENTOS DIÁRIOS'!$C$5:$C$500,$A27,'LANÇAMENTOS DIÁRIOS'!$O$5:$O$500,"&lt;=120979",'LANÇAMENTOS DIÁRIOS'!$P$5:$P$500,"&gt;=120880")&gt;0,"X","")</f>
      </c>
      <c r="AL27" s="56" t="str">
        <f>IF(COUNTIFS('LANÇAMENTOS DIÁRIOS'!$G$5:$G$500,"G",'LANÇAMENTOS DIÁRIOS'!$C$5:$C$500,$A27,'LANÇAMENTOS DIÁRIOS'!$O$5:$O$500,"&lt;=121079",'LANÇAMENTOS DIÁRIOS'!$P$5:$P$500,"&gt;=120980")&gt;0,"X","")</f>
      </c>
      <c r="AM27" s="56" t="str">
        <f>IF(COUNTIFS('LANÇAMENTOS DIÁRIOS'!$G$5:$G$500,"G",'LANÇAMENTOS DIÁRIOS'!$C$5:$C$500,$A27,'LANÇAMENTOS DIÁRIOS'!$O$5:$O$500,"&lt;=121179",'LANÇAMENTOS DIÁRIOS'!$P$5:$P$500,"&gt;=121080")&gt;0,"X","")</f>
      </c>
      <c r="AN27" s="56" t="str">
        <f>IF(COUNTIFS('LANÇAMENTOS DIÁRIOS'!$G$5:$G$500,"G",'LANÇAMENTOS DIÁRIOS'!$C$5:$C$500,$A27,'LANÇAMENTOS DIÁRIOS'!$O$5:$O$500,"&lt;=121279",'LANÇAMENTOS DIÁRIOS'!$P$5:$P$500,"&gt;=121180")&gt;0,"X","")</f>
      </c>
      <c r="AO27" s="56" t="str">
        <f>IF(COUNTIFS('LANÇAMENTOS DIÁRIOS'!$G$5:$G$500,"G",'LANÇAMENTOS DIÁRIOS'!$C$5:$C$500,$A27,'LANÇAMENTOS DIÁRIOS'!$O$5:$O$500,"&lt;=121379",'LANÇAMENTOS DIÁRIOS'!$P$5:$P$500,"&gt;=121280")&gt;0,"X","")</f>
      </c>
      <c r="AP27" s="56" t="str">
        <f>IF(COUNTIFS('LANÇAMENTOS DIÁRIOS'!$G$5:$G$500,"G",'LANÇAMENTOS DIÁRIOS'!$C$5:$C$500,$A27,'LANÇAMENTOS DIÁRIOS'!$O$5:$O$500,"&lt;=121479",'LANÇAMENTOS DIÁRIOS'!$P$5:$P$500,"&gt;=121380")&gt;0,"X","")</f>
      </c>
      <c r="AQ27" s="56" t="str">
        <f>IF(COUNTIFS('LANÇAMENTOS DIÁRIOS'!$G$5:$G$500,"G",'LANÇAMENTOS DIÁRIOS'!$C$5:$C$500,$A27,'LANÇAMENTOS DIÁRIOS'!$O$5:$O$500,"&lt;=121579",'LANÇAMENTOS DIÁRIOS'!$P$5:$P$500,"&gt;=121480")&gt;0,"X","")</f>
      </c>
      <c r="AR27" s="56" t="str">
        <f>IF(COUNTIFS('LANÇAMENTOS DIÁRIOS'!$G$5:$G$500,"G",'LANÇAMENTOS DIÁRIOS'!$C$5:$C$500,$A27,'LANÇAMENTOS DIÁRIOS'!$O$5:$O$500,"&lt;=121679",'LANÇAMENTOS DIÁRIOS'!$P$5:$P$500,"&gt;=121580")&gt;0,"X","")</f>
      </c>
      <c r="AS27" s="56" t="str">
        <f>IF(COUNTIFS('LANÇAMENTOS DIÁRIOS'!$G$5:$G$500,"G",'LANÇAMENTOS DIÁRIOS'!$C$5:$C$500,$A27,'LANÇAMENTOS DIÁRIOS'!$O$5:$O$500,"&lt;=121779",'LANÇAMENTOS DIÁRIOS'!$P$5:$P$500,"&gt;=121680")&gt;0,"X","")</f>
      </c>
      <c r="AT27" s="56" t="str">
        <f>IF(COUNTIFS('LANÇAMENTOS DIÁRIOS'!$G$5:$G$500,"G",'LANÇAMENTOS DIÁRIOS'!$C$5:$C$500,$A27,'LANÇAMENTOS DIÁRIOS'!$O$5:$O$500,"&lt;=121879",'LANÇAMENTOS DIÁRIOS'!$P$5:$P$500,"&gt;=121780")&gt;0,"X","")</f>
      </c>
      <c r="AU27" s="56" t="str">
        <f>IF(COUNTIFS('LANÇAMENTOS DIÁRIOS'!$G$5:$G$500,"G",'LANÇAMENTOS DIÁRIOS'!$C$5:$C$500,$A27,'LANÇAMENTOS DIÁRIOS'!$O$5:$O$500,"&lt;=121979",'LANÇAMENTOS DIÁRIOS'!$P$5:$P$500,"&gt;=121880")&gt;0,"X","")</f>
      </c>
      <c r="AV27" s="56" t="str">
        <f>IF(COUNTIFS('LANÇAMENTOS DIÁRIOS'!$G$5:$G$500,"G",'LANÇAMENTOS DIÁRIOS'!$C$5:$C$500,$A27,'LANÇAMENTOS DIÁRIOS'!$O$5:$O$500,"&lt;=122079",'LANÇAMENTOS DIÁRIOS'!$P$5:$P$500,"&gt;=121980")&gt;0,"X","")</f>
      </c>
      <c r="AW27" s="56" t="str">
        <f>IF(COUNTIFS('LANÇAMENTOS DIÁRIOS'!$G$5:$G$500,"G",'LANÇAMENTOS DIÁRIOS'!$C$5:$C$500,$A27,'LANÇAMENTOS DIÁRIOS'!$O$5:$O$500,"&lt;=122179",'LANÇAMENTOS DIÁRIOS'!$P$5:$P$500,"&gt;=122080")&gt;0,"X","")</f>
      </c>
      <c r="AX27" s="56" t="str">
        <f>IF(COUNTIFS('LANÇAMENTOS DIÁRIOS'!$G$5:$G$500,"G",'LANÇAMENTOS DIÁRIOS'!$C$5:$C$500,$A27,'LANÇAMENTOS DIÁRIOS'!$O$5:$O$500,"&lt;=122279",'LANÇAMENTOS DIÁRIOS'!$P$5:$P$500,"&gt;=122180")&gt;0,"X","")</f>
      </c>
      <c r="AY27" s="56" t="str">
        <f>IF(COUNTIFS('LANÇAMENTOS DIÁRIOS'!$G$5:$G$500,"G",'LANÇAMENTOS DIÁRIOS'!$C$5:$C$500,$A27,'LANÇAMENTOS DIÁRIOS'!$O$5:$O$500,"&lt;=122379",'LANÇAMENTOS DIÁRIOS'!$P$5:$P$500,"&gt;=122280")&gt;0,"X","")</f>
      </c>
      <c r="AZ27" s="56" t="str">
        <f>IF(COUNTIFS('LANÇAMENTOS DIÁRIOS'!$G$5:$G$500,"G",'LANÇAMENTOS DIÁRIOS'!$C$5:$C$500,$A27,'LANÇAMENTOS DIÁRIOS'!$O$5:$O$500,"&lt;=122479",'LANÇAMENTOS DIÁRIOS'!$P$5:$P$500,"&gt;=122380")&gt;0,"X","")</f>
      </c>
      <c r="BA27" s="56" t="str">
        <f>IF(COUNTIFS('LANÇAMENTOS DIÁRIOS'!$G$5:$G$500,"G",'LANÇAMENTOS DIÁRIOS'!$C$5:$C$500,$A27,'LANÇAMENTOS DIÁRIOS'!$O$5:$O$500,"&lt;=122579",'LANÇAMENTOS DIÁRIOS'!$P$5:$P$500,"&gt;=122480")&gt;0,"X","")</f>
      </c>
      <c r="BB27" s="56" t="str">
        <f>IF(COUNTIFS('LANÇAMENTOS DIÁRIOS'!$G$5:$G$500,"G",'LANÇAMENTOS DIÁRIOS'!$C$5:$C$500,$A27,'LANÇAMENTOS DIÁRIOS'!$O$5:$O$500,"&lt;=122679",'LANÇAMENTOS DIÁRIOS'!$P$5:$P$500,"&gt;=122580")&gt;0,"X","")</f>
      </c>
      <c r="BC27" s="56" t="str">
        <f>IF(COUNTIFS('LANÇAMENTOS DIÁRIOS'!$G$5:$G$500,"G",'LANÇAMENTOS DIÁRIOS'!$C$5:$C$500,$A27,'LANÇAMENTOS DIÁRIOS'!$O$5:$O$500,"&lt;=122779",'LANÇAMENTOS DIÁRIOS'!$P$5:$P$500,"&gt;=122680")&gt;0,"X","")</f>
      </c>
      <c r="BD27" s="56" t="str">
        <f>IF(COUNTIFS('LANÇAMENTOS DIÁRIOS'!$G$5:$G$500,"G",'LANÇAMENTOS DIÁRIOS'!$C$5:$C$500,$A27,'LANÇAMENTOS DIÁRIOS'!$O$5:$O$500,"&lt;=122879",'LANÇAMENTOS DIÁRIOS'!$P$5:$P$500,"&gt;=122780")&gt;0,"X","")</f>
      </c>
      <c r="BE27" s="56" t="str">
        <f>IF(COUNTIFS('LANÇAMENTOS DIÁRIOS'!$G$5:$G$500,"G",'LANÇAMENTOS DIÁRIOS'!$C$5:$C$500,$A27,'LANÇAMENTOS DIÁRIOS'!$O$5:$O$500,"&lt;=122979",'LANÇAMENTOS DIÁRIOS'!$P$5:$P$500,"&gt;=122880")&gt;0,"X","")</f>
      </c>
      <c r="BF27" s="56" t="str">
        <f>IF(COUNTIFS('LANÇAMENTOS DIÁRIOS'!$G$5:$G$500,"G",'LANÇAMENTOS DIÁRIOS'!$C$5:$C$500,$A27,'LANÇAMENTOS DIÁRIOS'!$O$5:$O$500,"&lt;=123079",'LANÇAMENTOS DIÁRIOS'!$P$5:$P$500,"&gt;=122980")&gt;0,"X","")</f>
      </c>
      <c r="BG27" s="56" t="str">
        <f>IF(COUNTIFS('LANÇAMENTOS DIÁRIOS'!$G$5:$G$500,"G",'LANÇAMENTOS DIÁRIOS'!$C$5:$C$500,$A27,'LANÇAMENTOS DIÁRIOS'!$O$5:$O$500,"&lt;=123179",'LANÇAMENTOS DIÁRIOS'!$P$5:$P$500,"&gt;=123080")&gt;0,"X","")</f>
      </c>
      <c r="BH27" s="56" t="str">
        <f>IF(COUNTIFS('LANÇAMENTOS DIÁRIOS'!$G$5:$G$500,"G",'LANÇAMENTOS DIÁRIOS'!$C$5:$C$500,$A27,'LANÇAMENTOS DIÁRIOS'!$O$5:$O$500,"&lt;=123279",'LANÇAMENTOS DIÁRIOS'!$P$5:$P$500,"&gt;=123180")&gt;0,"X","")</f>
      </c>
      <c r="BI27" s="56" t="str">
        <f>IF(COUNTIFS('LANÇAMENTOS DIÁRIOS'!$G$5:$G$500,"G",'LANÇAMENTOS DIÁRIOS'!$C$5:$C$500,$A27,'LANÇAMENTOS DIÁRIOS'!$O$5:$O$500,"&lt;=123379",'LANÇAMENTOS DIÁRIOS'!$P$5:$P$500,"&gt;=123280")&gt;0,"X","")</f>
      </c>
      <c r="BJ27" s="56" t="str">
        <f>IF(COUNTIFS('LANÇAMENTOS DIÁRIOS'!$G$5:$G$500,"G",'LANÇAMENTOS DIÁRIOS'!$C$5:$C$500,$A27,'LANÇAMENTOS DIÁRIOS'!$O$5:$O$500,"&lt;=123479",'LANÇAMENTOS DIÁRIOS'!$P$5:$P$500,"&gt;=123380")&gt;0,"X","")</f>
      </c>
      <c r="BK27" s="56" t="str">
        <f>IF(COUNTIFS('LANÇAMENTOS DIÁRIOS'!$G$5:$G$500,"G",'LANÇAMENTOS DIÁRIOS'!$C$5:$C$500,$A27,'LANÇAMENTOS DIÁRIOS'!$O$5:$O$500,"&lt;=123480",'LANÇAMENTOS DIÁRIOS'!$P$5:$P$500,"&gt;=123480")&gt;0,"X","")</f>
      </c>
    </row>
    <row r="28">
      <c r="A28" s="51" t="str">
        <v>Destocamento de árvore d&gt;0,30m</v>
      </c>
      <c r="B28" s="56" t="str">
        <f>IF(COUNTIFS('LANÇAMENTOS DIÁRIOS'!$G$5:$G$500,"G",'LANÇAMENTOS DIÁRIOS'!$C$5:$C$500,$A28,'LANÇAMENTOS DIÁRIOS'!$O$5:$O$500,"&lt;=117479",'LANÇAMENTOS DIÁRIOS'!$P$5:$P$500,"&gt;=117380")&gt;0,"X","")</f>
      </c>
      <c r="C28" s="56" t="str">
        <f>IF(COUNTIFS('LANÇAMENTOS DIÁRIOS'!$G$5:$G$500,"G",'LANÇAMENTOS DIÁRIOS'!$C$5:$C$500,$A28,'LANÇAMENTOS DIÁRIOS'!$O$5:$O$500,"&lt;=117579",'LANÇAMENTOS DIÁRIOS'!$P$5:$P$500,"&gt;=117480")&gt;0,"X","")</f>
      </c>
      <c r="D28" s="56" t="str">
        <f>IF(COUNTIFS('LANÇAMENTOS DIÁRIOS'!$G$5:$G$500,"G",'LANÇAMENTOS DIÁRIOS'!$C$5:$C$500,$A28,'LANÇAMENTOS DIÁRIOS'!$O$5:$O$500,"&lt;=117679",'LANÇAMENTOS DIÁRIOS'!$P$5:$P$500,"&gt;=117580")&gt;0,"X","")</f>
      </c>
      <c r="E28" s="56" t="str">
        <f>IF(COUNTIFS('LANÇAMENTOS DIÁRIOS'!$G$5:$G$500,"G",'LANÇAMENTOS DIÁRIOS'!$C$5:$C$500,$A28,'LANÇAMENTOS DIÁRIOS'!$O$5:$O$500,"&lt;=117779",'LANÇAMENTOS DIÁRIOS'!$P$5:$P$500,"&gt;=117680")&gt;0,"X","")</f>
      </c>
      <c r="F28" s="56" t="str">
        <f>IF(COUNTIFS('LANÇAMENTOS DIÁRIOS'!$G$5:$G$500,"G",'LANÇAMENTOS DIÁRIOS'!$C$5:$C$500,$A28,'LANÇAMENTOS DIÁRIOS'!$O$5:$O$500,"&lt;=117879",'LANÇAMENTOS DIÁRIOS'!$P$5:$P$500,"&gt;=117780")&gt;0,"X","")</f>
      </c>
      <c r="G28" s="56" t="str">
        <f>IF(COUNTIFS('LANÇAMENTOS DIÁRIOS'!$G$5:$G$500,"G",'LANÇAMENTOS DIÁRIOS'!$C$5:$C$500,$A28,'LANÇAMENTOS DIÁRIOS'!$O$5:$O$500,"&lt;=117979",'LANÇAMENTOS DIÁRIOS'!$P$5:$P$500,"&gt;=117880")&gt;0,"X","")</f>
      </c>
      <c r="H28" s="56" t="str">
        <f>IF(COUNTIFS('LANÇAMENTOS DIÁRIOS'!$G$5:$G$500,"G",'LANÇAMENTOS DIÁRIOS'!$C$5:$C$500,$A28,'LANÇAMENTOS DIÁRIOS'!$O$5:$O$500,"&lt;=118079",'LANÇAMENTOS DIÁRIOS'!$P$5:$P$500,"&gt;=117980")&gt;0,"X","")</f>
      </c>
      <c r="I28" s="56" t="str">
        <f>IF(COUNTIFS('LANÇAMENTOS DIÁRIOS'!$G$5:$G$500,"G",'LANÇAMENTOS DIÁRIOS'!$C$5:$C$500,$A28,'LANÇAMENTOS DIÁRIOS'!$O$5:$O$500,"&lt;=118179",'LANÇAMENTOS DIÁRIOS'!$P$5:$P$500,"&gt;=118080")&gt;0,"X","")</f>
      </c>
      <c r="J28" s="56" t="str">
        <f>IF(COUNTIFS('LANÇAMENTOS DIÁRIOS'!$G$5:$G$500,"G",'LANÇAMENTOS DIÁRIOS'!$C$5:$C$500,$A28,'LANÇAMENTOS DIÁRIOS'!$O$5:$O$500,"&lt;=118279",'LANÇAMENTOS DIÁRIOS'!$P$5:$P$500,"&gt;=118180")&gt;0,"X","")</f>
      </c>
      <c r="K28" s="56" t="str">
        <f>IF(COUNTIFS('LANÇAMENTOS DIÁRIOS'!$G$5:$G$500,"G",'LANÇAMENTOS DIÁRIOS'!$C$5:$C$500,$A28,'LANÇAMENTOS DIÁRIOS'!$O$5:$O$500,"&lt;=118379",'LANÇAMENTOS DIÁRIOS'!$P$5:$P$500,"&gt;=118280")&gt;0,"X","")</f>
      </c>
      <c r="L28" s="56" t="str">
        <f>IF(COUNTIFS('LANÇAMENTOS DIÁRIOS'!$G$5:$G$500,"G",'LANÇAMENTOS DIÁRIOS'!$C$5:$C$500,$A28,'LANÇAMENTOS DIÁRIOS'!$O$5:$O$500,"&lt;=118479",'LANÇAMENTOS DIÁRIOS'!$P$5:$P$500,"&gt;=118380")&gt;0,"X","")</f>
      </c>
      <c r="M28" s="56" t="str">
        <f>IF(COUNTIFS('LANÇAMENTOS DIÁRIOS'!$G$5:$G$500,"G",'LANÇAMENTOS DIÁRIOS'!$C$5:$C$500,$A28,'LANÇAMENTOS DIÁRIOS'!$O$5:$O$500,"&lt;=118579",'LANÇAMENTOS DIÁRIOS'!$P$5:$P$500,"&gt;=118480")&gt;0,"X","")</f>
      </c>
      <c r="N28" s="56" t="str">
        <f>IF(COUNTIFS('LANÇAMENTOS DIÁRIOS'!$G$5:$G$500,"G",'LANÇAMENTOS DIÁRIOS'!$C$5:$C$500,$A28,'LANÇAMENTOS DIÁRIOS'!$O$5:$O$500,"&lt;=118679",'LANÇAMENTOS DIÁRIOS'!$P$5:$P$500,"&gt;=118580")&gt;0,"X","")</f>
      </c>
      <c r="O28" s="56" t="str">
        <f>IF(COUNTIFS('LANÇAMENTOS DIÁRIOS'!$G$5:$G$500,"G",'LANÇAMENTOS DIÁRIOS'!$C$5:$C$500,$A28,'LANÇAMENTOS DIÁRIOS'!$O$5:$O$500,"&lt;=118779",'LANÇAMENTOS DIÁRIOS'!$P$5:$P$500,"&gt;=118680")&gt;0,"X","")</f>
      </c>
      <c r="P28" s="56" t="str">
        <f>IF(COUNTIFS('LANÇAMENTOS DIÁRIOS'!$G$5:$G$500,"G",'LANÇAMENTOS DIÁRIOS'!$C$5:$C$500,$A28,'LANÇAMENTOS DIÁRIOS'!$O$5:$O$500,"&lt;=118879",'LANÇAMENTOS DIÁRIOS'!$P$5:$P$500,"&gt;=118780")&gt;0,"X","")</f>
      </c>
      <c r="Q28" s="56" t="str">
        <f>IF(COUNTIFS('LANÇAMENTOS DIÁRIOS'!$G$5:$G$500,"G",'LANÇAMENTOS DIÁRIOS'!$C$5:$C$500,$A28,'LANÇAMENTOS DIÁRIOS'!$O$5:$O$500,"&lt;=118979",'LANÇAMENTOS DIÁRIOS'!$P$5:$P$500,"&gt;=118880")&gt;0,"X","")</f>
      </c>
      <c r="R28" s="56" t="str">
        <f>IF(COUNTIFS('LANÇAMENTOS DIÁRIOS'!$G$5:$G$500,"G",'LANÇAMENTOS DIÁRIOS'!$C$5:$C$500,$A28,'LANÇAMENTOS DIÁRIOS'!$O$5:$O$500,"&lt;=119079",'LANÇAMENTOS DIÁRIOS'!$P$5:$P$500,"&gt;=118980")&gt;0,"X","")</f>
      </c>
      <c r="S28" s="56" t="str">
        <f>IF(COUNTIFS('LANÇAMENTOS DIÁRIOS'!$G$5:$G$500,"G",'LANÇAMENTOS DIÁRIOS'!$C$5:$C$500,$A28,'LANÇAMENTOS DIÁRIOS'!$O$5:$O$500,"&lt;=119179",'LANÇAMENTOS DIÁRIOS'!$P$5:$P$500,"&gt;=119080")&gt;0,"X","")</f>
      </c>
      <c r="T28" s="56" t="str">
        <f>IF(COUNTIFS('LANÇAMENTOS DIÁRIOS'!$G$5:$G$500,"G",'LANÇAMENTOS DIÁRIOS'!$C$5:$C$500,$A28,'LANÇAMENTOS DIÁRIOS'!$O$5:$O$500,"&lt;=119279",'LANÇAMENTOS DIÁRIOS'!$P$5:$P$500,"&gt;=119180")&gt;0,"X","")</f>
      </c>
      <c r="U28" s="56" t="str">
        <f>IF(COUNTIFS('LANÇAMENTOS DIÁRIOS'!$G$5:$G$500,"G",'LANÇAMENTOS DIÁRIOS'!$C$5:$C$500,$A28,'LANÇAMENTOS DIÁRIOS'!$O$5:$O$500,"&lt;=119379",'LANÇAMENTOS DIÁRIOS'!$P$5:$P$500,"&gt;=119280")&gt;0,"X","")</f>
      </c>
      <c r="V28" s="56" t="str">
        <f>IF(COUNTIFS('LANÇAMENTOS DIÁRIOS'!$G$5:$G$500,"G",'LANÇAMENTOS DIÁRIOS'!$C$5:$C$500,$A28,'LANÇAMENTOS DIÁRIOS'!$O$5:$O$500,"&lt;=119479",'LANÇAMENTOS DIÁRIOS'!$P$5:$P$500,"&gt;=119380")&gt;0,"X","")</f>
      </c>
      <c r="W28" s="56" t="str">
        <f>IF(COUNTIFS('LANÇAMENTOS DIÁRIOS'!$G$5:$G$500,"G",'LANÇAMENTOS DIÁRIOS'!$C$5:$C$500,$A28,'LANÇAMENTOS DIÁRIOS'!$O$5:$O$500,"&lt;=119579",'LANÇAMENTOS DIÁRIOS'!$P$5:$P$500,"&gt;=119480")&gt;0,"X","")</f>
      </c>
      <c r="X28" s="56" t="str">
        <f>IF(COUNTIFS('LANÇAMENTOS DIÁRIOS'!$G$5:$G$500,"G",'LANÇAMENTOS DIÁRIOS'!$C$5:$C$500,$A28,'LANÇAMENTOS DIÁRIOS'!$O$5:$O$500,"&lt;=119679",'LANÇAMENTOS DIÁRIOS'!$P$5:$P$500,"&gt;=119580")&gt;0,"X","")</f>
      </c>
      <c r="Y28" s="56" t="str">
        <f>IF(COUNTIFS('LANÇAMENTOS DIÁRIOS'!$G$5:$G$500,"G",'LANÇAMENTOS DIÁRIOS'!$C$5:$C$500,$A28,'LANÇAMENTOS DIÁRIOS'!$O$5:$O$500,"&lt;=119779",'LANÇAMENTOS DIÁRIOS'!$P$5:$P$500,"&gt;=119680")&gt;0,"X","")</f>
      </c>
      <c r="Z28" s="56" t="str">
        <f>IF(COUNTIFS('LANÇAMENTOS DIÁRIOS'!$G$5:$G$500,"G",'LANÇAMENTOS DIÁRIOS'!$C$5:$C$500,$A28,'LANÇAMENTOS DIÁRIOS'!$O$5:$O$500,"&lt;=119879",'LANÇAMENTOS DIÁRIOS'!$P$5:$P$500,"&gt;=119780")&gt;0,"X","")</f>
      </c>
      <c r="AA28" s="56" t="str">
        <f>IF(COUNTIFS('LANÇAMENTOS DIÁRIOS'!$G$5:$G$500,"G",'LANÇAMENTOS DIÁRIOS'!$C$5:$C$500,$A28,'LANÇAMENTOS DIÁRIOS'!$O$5:$O$500,"&lt;=119979",'LANÇAMENTOS DIÁRIOS'!$P$5:$P$500,"&gt;=119880")&gt;0,"X","")</f>
      </c>
      <c r="AB28" s="56" t="str">
        <f>IF(COUNTIFS('LANÇAMENTOS DIÁRIOS'!$G$5:$G$500,"G",'LANÇAMENTOS DIÁRIOS'!$C$5:$C$500,$A28,'LANÇAMENTOS DIÁRIOS'!$O$5:$O$500,"&lt;=120079",'LANÇAMENTOS DIÁRIOS'!$P$5:$P$500,"&gt;=119980")&gt;0,"X","")</f>
      </c>
      <c r="AC28" s="56" t="str">
        <f>IF(COUNTIFS('LANÇAMENTOS DIÁRIOS'!$G$5:$G$500,"G",'LANÇAMENTOS DIÁRIOS'!$C$5:$C$500,$A28,'LANÇAMENTOS DIÁRIOS'!$O$5:$O$500,"&lt;=120179",'LANÇAMENTOS DIÁRIOS'!$P$5:$P$500,"&gt;=120080")&gt;0,"X","")</f>
      </c>
      <c r="AD28" s="56" t="str">
        <f>IF(COUNTIFS('LANÇAMENTOS DIÁRIOS'!$G$5:$G$500,"G",'LANÇAMENTOS DIÁRIOS'!$C$5:$C$500,$A28,'LANÇAMENTOS DIÁRIOS'!$O$5:$O$500,"&lt;=120279",'LANÇAMENTOS DIÁRIOS'!$P$5:$P$500,"&gt;=120180")&gt;0,"X","")</f>
      </c>
      <c r="AE28" s="56" t="str">
        <f>IF(COUNTIFS('LANÇAMENTOS DIÁRIOS'!$G$5:$G$500,"G",'LANÇAMENTOS DIÁRIOS'!$C$5:$C$500,$A28,'LANÇAMENTOS DIÁRIOS'!$O$5:$O$500,"&lt;=120379",'LANÇAMENTOS DIÁRIOS'!$P$5:$P$500,"&gt;=120280")&gt;0,"X","")</f>
      </c>
      <c r="AF28" s="56" t="str">
        <f>IF(COUNTIFS('LANÇAMENTOS DIÁRIOS'!$G$5:$G$500,"G",'LANÇAMENTOS DIÁRIOS'!$C$5:$C$500,$A28,'LANÇAMENTOS DIÁRIOS'!$O$5:$O$500,"&lt;=120479",'LANÇAMENTOS DIÁRIOS'!$P$5:$P$500,"&gt;=120380")&gt;0,"X","")</f>
      </c>
      <c r="AG28" s="56" t="str">
        <f>IF(COUNTIFS('LANÇAMENTOS DIÁRIOS'!$G$5:$G$500,"G",'LANÇAMENTOS DIÁRIOS'!$C$5:$C$500,$A28,'LANÇAMENTOS DIÁRIOS'!$O$5:$O$500,"&lt;=120579",'LANÇAMENTOS DIÁRIOS'!$P$5:$P$500,"&gt;=120480")&gt;0,"X","")</f>
      </c>
      <c r="AH28" s="56" t="str">
        <f>IF(COUNTIFS('LANÇAMENTOS DIÁRIOS'!$G$5:$G$500,"G",'LANÇAMENTOS DIÁRIOS'!$C$5:$C$500,$A28,'LANÇAMENTOS DIÁRIOS'!$O$5:$O$500,"&lt;=120679",'LANÇAMENTOS DIÁRIOS'!$P$5:$P$500,"&gt;=120580")&gt;0,"X","")</f>
      </c>
      <c r="AI28" s="56" t="str">
        <f>IF(COUNTIFS('LANÇAMENTOS DIÁRIOS'!$G$5:$G$500,"G",'LANÇAMENTOS DIÁRIOS'!$C$5:$C$500,$A28,'LANÇAMENTOS DIÁRIOS'!$O$5:$O$500,"&lt;=120779",'LANÇAMENTOS DIÁRIOS'!$P$5:$P$500,"&gt;=120680")&gt;0,"X","")</f>
      </c>
      <c r="AJ28" s="56" t="str">
        <f>IF(COUNTIFS('LANÇAMENTOS DIÁRIOS'!$G$5:$G$500,"G",'LANÇAMENTOS DIÁRIOS'!$C$5:$C$500,$A28,'LANÇAMENTOS DIÁRIOS'!$O$5:$O$500,"&lt;=120879",'LANÇAMENTOS DIÁRIOS'!$P$5:$P$500,"&gt;=120780")&gt;0,"X","")</f>
      </c>
      <c r="AK28" s="56" t="str">
        <f>IF(COUNTIFS('LANÇAMENTOS DIÁRIOS'!$G$5:$G$500,"G",'LANÇAMENTOS DIÁRIOS'!$C$5:$C$500,$A28,'LANÇAMENTOS DIÁRIOS'!$O$5:$O$500,"&lt;=120979",'LANÇAMENTOS DIÁRIOS'!$P$5:$P$500,"&gt;=120880")&gt;0,"X","")</f>
      </c>
      <c r="AL28" s="56" t="str">
        <f>IF(COUNTIFS('LANÇAMENTOS DIÁRIOS'!$G$5:$G$500,"G",'LANÇAMENTOS DIÁRIOS'!$C$5:$C$500,$A28,'LANÇAMENTOS DIÁRIOS'!$O$5:$O$500,"&lt;=121079",'LANÇAMENTOS DIÁRIOS'!$P$5:$P$500,"&gt;=120980")&gt;0,"X","")</f>
      </c>
      <c r="AM28" s="56" t="str">
        <f>IF(COUNTIFS('LANÇAMENTOS DIÁRIOS'!$G$5:$G$500,"G",'LANÇAMENTOS DIÁRIOS'!$C$5:$C$500,$A28,'LANÇAMENTOS DIÁRIOS'!$O$5:$O$500,"&lt;=121179",'LANÇAMENTOS DIÁRIOS'!$P$5:$P$500,"&gt;=121080")&gt;0,"X","")</f>
      </c>
      <c r="AN28" s="56" t="str">
        <f>IF(COUNTIFS('LANÇAMENTOS DIÁRIOS'!$G$5:$G$500,"G",'LANÇAMENTOS DIÁRIOS'!$C$5:$C$500,$A28,'LANÇAMENTOS DIÁRIOS'!$O$5:$O$500,"&lt;=121279",'LANÇAMENTOS DIÁRIOS'!$P$5:$P$500,"&gt;=121180")&gt;0,"X","")</f>
      </c>
      <c r="AO28" s="56" t="str">
        <f>IF(COUNTIFS('LANÇAMENTOS DIÁRIOS'!$G$5:$G$500,"G",'LANÇAMENTOS DIÁRIOS'!$C$5:$C$500,$A28,'LANÇAMENTOS DIÁRIOS'!$O$5:$O$500,"&lt;=121379",'LANÇAMENTOS DIÁRIOS'!$P$5:$P$500,"&gt;=121280")&gt;0,"X","")</f>
      </c>
      <c r="AP28" s="56" t="str">
        <f>IF(COUNTIFS('LANÇAMENTOS DIÁRIOS'!$G$5:$G$500,"G",'LANÇAMENTOS DIÁRIOS'!$C$5:$C$500,$A28,'LANÇAMENTOS DIÁRIOS'!$O$5:$O$500,"&lt;=121479",'LANÇAMENTOS DIÁRIOS'!$P$5:$P$500,"&gt;=121380")&gt;0,"X","")</f>
      </c>
      <c r="AQ28" s="56" t="str">
        <f>IF(COUNTIFS('LANÇAMENTOS DIÁRIOS'!$G$5:$G$500,"G",'LANÇAMENTOS DIÁRIOS'!$C$5:$C$500,$A28,'LANÇAMENTOS DIÁRIOS'!$O$5:$O$500,"&lt;=121579",'LANÇAMENTOS DIÁRIOS'!$P$5:$P$500,"&gt;=121480")&gt;0,"X","")</f>
      </c>
      <c r="AR28" s="56" t="str">
        <f>IF(COUNTIFS('LANÇAMENTOS DIÁRIOS'!$G$5:$G$500,"G",'LANÇAMENTOS DIÁRIOS'!$C$5:$C$500,$A28,'LANÇAMENTOS DIÁRIOS'!$O$5:$O$500,"&lt;=121679",'LANÇAMENTOS DIÁRIOS'!$P$5:$P$500,"&gt;=121580")&gt;0,"X","")</f>
      </c>
      <c r="AS28" s="56" t="str">
        <f>IF(COUNTIFS('LANÇAMENTOS DIÁRIOS'!$G$5:$G$500,"G",'LANÇAMENTOS DIÁRIOS'!$C$5:$C$500,$A28,'LANÇAMENTOS DIÁRIOS'!$O$5:$O$500,"&lt;=121779",'LANÇAMENTOS DIÁRIOS'!$P$5:$P$500,"&gt;=121680")&gt;0,"X","")</f>
      </c>
      <c r="AT28" s="56" t="str">
        <f>IF(COUNTIFS('LANÇAMENTOS DIÁRIOS'!$G$5:$G$500,"G",'LANÇAMENTOS DIÁRIOS'!$C$5:$C$500,$A28,'LANÇAMENTOS DIÁRIOS'!$O$5:$O$500,"&lt;=121879",'LANÇAMENTOS DIÁRIOS'!$P$5:$P$500,"&gt;=121780")&gt;0,"X","")</f>
      </c>
      <c r="AU28" s="56" t="str">
        <f>IF(COUNTIFS('LANÇAMENTOS DIÁRIOS'!$G$5:$G$500,"G",'LANÇAMENTOS DIÁRIOS'!$C$5:$C$500,$A28,'LANÇAMENTOS DIÁRIOS'!$O$5:$O$500,"&lt;=121979",'LANÇAMENTOS DIÁRIOS'!$P$5:$P$500,"&gt;=121880")&gt;0,"X","")</f>
      </c>
      <c r="AV28" s="56" t="str">
        <f>IF(COUNTIFS('LANÇAMENTOS DIÁRIOS'!$G$5:$G$500,"G",'LANÇAMENTOS DIÁRIOS'!$C$5:$C$500,$A28,'LANÇAMENTOS DIÁRIOS'!$O$5:$O$500,"&lt;=122079",'LANÇAMENTOS DIÁRIOS'!$P$5:$P$500,"&gt;=121980")&gt;0,"X","")</f>
      </c>
      <c r="AW28" s="56" t="str">
        <f>IF(COUNTIFS('LANÇAMENTOS DIÁRIOS'!$G$5:$G$500,"G",'LANÇAMENTOS DIÁRIOS'!$C$5:$C$500,$A28,'LANÇAMENTOS DIÁRIOS'!$O$5:$O$500,"&lt;=122179",'LANÇAMENTOS DIÁRIOS'!$P$5:$P$500,"&gt;=122080")&gt;0,"X","")</f>
      </c>
      <c r="AX28" s="56" t="str">
        <f>IF(COUNTIFS('LANÇAMENTOS DIÁRIOS'!$G$5:$G$500,"G",'LANÇAMENTOS DIÁRIOS'!$C$5:$C$500,$A28,'LANÇAMENTOS DIÁRIOS'!$O$5:$O$500,"&lt;=122279",'LANÇAMENTOS DIÁRIOS'!$P$5:$P$500,"&gt;=122180")&gt;0,"X","")</f>
      </c>
      <c r="AY28" s="56" t="str">
        <f>IF(COUNTIFS('LANÇAMENTOS DIÁRIOS'!$G$5:$G$500,"G",'LANÇAMENTOS DIÁRIOS'!$C$5:$C$500,$A28,'LANÇAMENTOS DIÁRIOS'!$O$5:$O$500,"&lt;=122379",'LANÇAMENTOS DIÁRIOS'!$P$5:$P$500,"&gt;=122280")&gt;0,"X","")</f>
      </c>
      <c r="AZ28" s="56" t="str">
        <f>IF(COUNTIFS('LANÇAMENTOS DIÁRIOS'!$G$5:$G$500,"G",'LANÇAMENTOS DIÁRIOS'!$C$5:$C$500,$A28,'LANÇAMENTOS DIÁRIOS'!$O$5:$O$500,"&lt;=122479",'LANÇAMENTOS DIÁRIOS'!$P$5:$P$500,"&gt;=122380")&gt;0,"X","")</f>
      </c>
      <c r="BA28" s="56" t="str">
        <f>IF(COUNTIFS('LANÇAMENTOS DIÁRIOS'!$G$5:$G$500,"G",'LANÇAMENTOS DIÁRIOS'!$C$5:$C$500,$A28,'LANÇAMENTOS DIÁRIOS'!$O$5:$O$500,"&lt;=122579",'LANÇAMENTOS DIÁRIOS'!$P$5:$P$500,"&gt;=122480")&gt;0,"X","")</f>
      </c>
      <c r="BB28" s="56" t="str">
        <f>IF(COUNTIFS('LANÇAMENTOS DIÁRIOS'!$G$5:$G$500,"G",'LANÇAMENTOS DIÁRIOS'!$C$5:$C$500,$A28,'LANÇAMENTOS DIÁRIOS'!$O$5:$O$500,"&lt;=122679",'LANÇAMENTOS DIÁRIOS'!$P$5:$P$500,"&gt;=122580")&gt;0,"X","")</f>
      </c>
      <c r="BC28" s="56" t="str">
        <f>IF(COUNTIFS('LANÇAMENTOS DIÁRIOS'!$G$5:$G$500,"G",'LANÇAMENTOS DIÁRIOS'!$C$5:$C$500,$A28,'LANÇAMENTOS DIÁRIOS'!$O$5:$O$500,"&lt;=122779",'LANÇAMENTOS DIÁRIOS'!$P$5:$P$500,"&gt;=122680")&gt;0,"X","")</f>
      </c>
      <c r="BD28" s="56" t="str">
        <f>IF(COUNTIFS('LANÇAMENTOS DIÁRIOS'!$G$5:$G$500,"G",'LANÇAMENTOS DIÁRIOS'!$C$5:$C$500,$A28,'LANÇAMENTOS DIÁRIOS'!$O$5:$O$500,"&lt;=122879",'LANÇAMENTOS DIÁRIOS'!$P$5:$P$500,"&gt;=122780")&gt;0,"X","")</f>
      </c>
      <c r="BE28" s="56" t="str">
        <f>IF(COUNTIFS('LANÇAMENTOS DIÁRIOS'!$G$5:$G$500,"G",'LANÇAMENTOS DIÁRIOS'!$C$5:$C$500,$A28,'LANÇAMENTOS DIÁRIOS'!$O$5:$O$500,"&lt;=122979",'LANÇAMENTOS DIÁRIOS'!$P$5:$P$500,"&gt;=122880")&gt;0,"X","")</f>
      </c>
      <c r="BF28" s="56" t="str">
        <f>IF(COUNTIFS('LANÇAMENTOS DIÁRIOS'!$G$5:$G$500,"G",'LANÇAMENTOS DIÁRIOS'!$C$5:$C$500,$A28,'LANÇAMENTOS DIÁRIOS'!$O$5:$O$500,"&lt;=123079",'LANÇAMENTOS DIÁRIOS'!$P$5:$P$500,"&gt;=122980")&gt;0,"X","")</f>
      </c>
      <c r="BG28" s="56" t="str">
        <f>IF(COUNTIFS('LANÇAMENTOS DIÁRIOS'!$G$5:$G$500,"G",'LANÇAMENTOS DIÁRIOS'!$C$5:$C$500,$A28,'LANÇAMENTOS DIÁRIOS'!$O$5:$O$500,"&lt;=123179",'LANÇAMENTOS DIÁRIOS'!$P$5:$P$500,"&gt;=123080")&gt;0,"X","")</f>
      </c>
      <c r="BH28" s="56" t="str">
        <f>IF(COUNTIFS('LANÇAMENTOS DIÁRIOS'!$G$5:$G$500,"G",'LANÇAMENTOS DIÁRIOS'!$C$5:$C$500,$A28,'LANÇAMENTOS DIÁRIOS'!$O$5:$O$500,"&lt;=123279",'LANÇAMENTOS DIÁRIOS'!$P$5:$P$500,"&gt;=123180")&gt;0,"X","")</f>
      </c>
      <c r="BI28" s="56" t="str">
        <f>IF(COUNTIFS('LANÇAMENTOS DIÁRIOS'!$G$5:$G$500,"G",'LANÇAMENTOS DIÁRIOS'!$C$5:$C$500,$A28,'LANÇAMENTOS DIÁRIOS'!$O$5:$O$500,"&lt;=123379",'LANÇAMENTOS DIÁRIOS'!$P$5:$P$500,"&gt;=123280")&gt;0,"X","")</f>
      </c>
      <c r="BJ28" s="56" t="str">
        <f>IF(COUNTIFS('LANÇAMENTOS DIÁRIOS'!$G$5:$G$500,"G",'LANÇAMENTOS DIÁRIOS'!$C$5:$C$500,$A28,'LANÇAMENTOS DIÁRIOS'!$O$5:$O$500,"&lt;=123479",'LANÇAMENTOS DIÁRIOS'!$P$5:$P$500,"&gt;=123380")&gt;0,"X","")</f>
      </c>
      <c r="BK28" s="56" t="str">
        <f>IF(COUNTIFS('LANÇAMENTOS DIÁRIOS'!$G$5:$G$500,"G",'LANÇAMENTOS DIÁRIOS'!$C$5:$C$500,$A28,'LANÇAMENTOS DIÁRIOS'!$O$5:$O$500,"&lt;=123480",'LANÇAMENTOS DIÁRIOS'!$P$5:$P$500,"&gt;=123480")&gt;0,"X","")</f>
      </c>
    </row>
    <row r="29">
      <c r="A29" s="51" t="str">
        <v>Derrubada e destocamento arv. c/ diâmetro &gt; 0,15 m</v>
      </c>
      <c r="B29" s="56" t="str">
        <f>IF(COUNTIFS('LANÇAMENTOS DIÁRIOS'!$G$5:$G$500,"G",'LANÇAMENTOS DIÁRIOS'!$C$5:$C$500,$A29,'LANÇAMENTOS DIÁRIOS'!$O$5:$O$500,"&lt;=117479",'LANÇAMENTOS DIÁRIOS'!$P$5:$P$500,"&gt;=117380")&gt;0,"X","")</f>
      </c>
      <c r="C29" s="56" t="str">
        <f>IF(COUNTIFS('LANÇAMENTOS DIÁRIOS'!$G$5:$G$500,"G",'LANÇAMENTOS DIÁRIOS'!$C$5:$C$500,$A29,'LANÇAMENTOS DIÁRIOS'!$O$5:$O$500,"&lt;=117579",'LANÇAMENTOS DIÁRIOS'!$P$5:$P$500,"&gt;=117480")&gt;0,"X","")</f>
      </c>
      <c r="D29" s="56" t="str">
        <f>IF(COUNTIFS('LANÇAMENTOS DIÁRIOS'!$G$5:$G$500,"G",'LANÇAMENTOS DIÁRIOS'!$C$5:$C$500,$A29,'LANÇAMENTOS DIÁRIOS'!$O$5:$O$500,"&lt;=117679",'LANÇAMENTOS DIÁRIOS'!$P$5:$P$500,"&gt;=117580")&gt;0,"X","")</f>
      </c>
      <c r="E29" s="56" t="str">
        <f>IF(COUNTIFS('LANÇAMENTOS DIÁRIOS'!$G$5:$G$500,"G",'LANÇAMENTOS DIÁRIOS'!$C$5:$C$500,$A29,'LANÇAMENTOS DIÁRIOS'!$O$5:$O$500,"&lt;=117779",'LANÇAMENTOS DIÁRIOS'!$P$5:$P$500,"&gt;=117680")&gt;0,"X","")</f>
      </c>
      <c r="F29" s="56" t="str">
        <f>IF(COUNTIFS('LANÇAMENTOS DIÁRIOS'!$G$5:$G$500,"G",'LANÇAMENTOS DIÁRIOS'!$C$5:$C$500,$A29,'LANÇAMENTOS DIÁRIOS'!$O$5:$O$500,"&lt;=117879",'LANÇAMENTOS DIÁRIOS'!$P$5:$P$500,"&gt;=117780")&gt;0,"X","")</f>
      </c>
      <c r="G29" s="56" t="str">
        <f>IF(COUNTIFS('LANÇAMENTOS DIÁRIOS'!$G$5:$G$500,"G",'LANÇAMENTOS DIÁRIOS'!$C$5:$C$500,$A29,'LANÇAMENTOS DIÁRIOS'!$O$5:$O$500,"&lt;=117979",'LANÇAMENTOS DIÁRIOS'!$P$5:$P$500,"&gt;=117880")&gt;0,"X","")</f>
      </c>
      <c r="H29" s="56" t="str">
        <f>IF(COUNTIFS('LANÇAMENTOS DIÁRIOS'!$G$5:$G$500,"G",'LANÇAMENTOS DIÁRIOS'!$C$5:$C$500,$A29,'LANÇAMENTOS DIÁRIOS'!$O$5:$O$500,"&lt;=118079",'LANÇAMENTOS DIÁRIOS'!$P$5:$P$500,"&gt;=117980")&gt;0,"X","")</f>
      </c>
      <c r="I29" s="56" t="str">
        <f>IF(COUNTIFS('LANÇAMENTOS DIÁRIOS'!$G$5:$G$500,"G",'LANÇAMENTOS DIÁRIOS'!$C$5:$C$500,$A29,'LANÇAMENTOS DIÁRIOS'!$O$5:$O$500,"&lt;=118179",'LANÇAMENTOS DIÁRIOS'!$P$5:$P$500,"&gt;=118080")&gt;0,"X","")</f>
      </c>
      <c r="J29" s="56" t="str">
        <f>IF(COUNTIFS('LANÇAMENTOS DIÁRIOS'!$G$5:$G$500,"G",'LANÇAMENTOS DIÁRIOS'!$C$5:$C$500,$A29,'LANÇAMENTOS DIÁRIOS'!$O$5:$O$500,"&lt;=118279",'LANÇAMENTOS DIÁRIOS'!$P$5:$P$500,"&gt;=118180")&gt;0,"X","")</f>
      </c>
      <c r="K29" s="56" t="str">
        <f>IF(COUNTIFS('LANÇAMENTOS DIÁRIOS'!$G$5:$G$500,"G",'LANÇAMENTOS DIÁRIOS'!$C$5:$C$500,$A29,'LANÇAMENTOS DIÁRIOS'!$O$5:$O$500,"&lt;=118379",'LANÇAMENTOS DIÁRIOS'!$P$5:$P$500,"&gt;=118280")&gt;0,"X","")</f>
      </c>
      <c r="L29" s="56" t="str">
        <f>IF(COUNTIFS('LANÇAMENTOS DIÁRIOS'!$G$5:$G$500,"G",'LANÇAMENTOS DIÁRIOS'!$C$5:$C$500,$A29,'LANÇAMENTOS DIÁRIOS'!$O$5:$O$500,"&lt;=118479",'LANÇAMENTOS DIÁRIOS'!$P$5:$P$500,"&gt;=118380")&gt;0,"X","")</f>
      </c>
      <c r="M29" s="56" t="str">
        <f>IF(COUNTIFS('LANÇAMENTOS DIÁRIOS'!$G$5:$G$500,"G",'LANÇAMENTOS DIÁRIOS'!$C$5:$C$500,$A29,'LANÇAMENTOS DIÁRIOS'!$O$5:$O$500,"&lt;=118579",'LANÇAMENTOS DIÁRIOS'!$P$5:$P$500,"&gt;=118480")&gt;0,"X","")</f>
      </c>
      <c r="N29" s="56" t="str">
        <f>IF(COUNTIFS('LANÇAMENTOS DIÁRIOS'!$G$5:$G$500,"G",'LANÇAMENTOS DIÁRIOS'!$C$5:$C$500,$A29,'LANÇAMENTOS DIÁRIOS'!$O$5:$O$500,"&lt;=118679",'LANÇAMENTOS DIÁRIOS'!$P$5:$P$500,"&gt;=118580")&gt;0,"X","")</f>
      </c>
      <c r="O29" s="56" t="str">
        <f>IF(COUNTIFS('LANÇAMENTOS DIÁRIOS'!$G$5:$G$500,"G",'LANÇAMENTOS DIÁRIOS'!$C$5:$C$500,$A29,'LANÇAMENTOS DIÁRIOS'!$O$5:$O$500,"&lt;=118779",'LANÇAMENTOS DIÁRIOS'!$P$5:$P$500,"&gt;=118680")&gt;0,"X","")</f>
      </c>
      <c r="P29" s="56" t="str">
        <f>IF(COUNTIFS('LANÇAMENTOS DIÁRIOS'!$G$5:$G$500,"G",'LANÇAMENTOS DIÁRIOS'!$C$5:$C$500,$A29,'LANÇAMENTOS DIÁRIOS'!$O$5:$O$500,"&lt;=118879",'LANÇAMENTOS DIÁRIOS'!$P$5:$P$500,"&gt;=118780")&gt;0,"X","")</f>
      </c>
      <c r="Q29" s="56" t="str">
        <f>IF(COUNTIFS('LANÇAMENTOS DIÁRIOS'!$G$5:$G$500,"G",'LANÇAMENTOS DIÁRIOS'!$C$5:$C$500,$A29,'LANÇAMENTOS DIÁRIOS'!$O$5:$O$500,"&lt;=118979",'LANÇAMENTOS DIÁRIOS'!$P$5:$P$500,"&gt;=118880")&gt;0,"X","")</f>
      </c>
      <c r="R29" s="56" t="str">
        <f>IF(COUNTIFS('LANÇAMENTOS DIÁRIOS'!$G$5:$G$500,"G",'LANÇAMENTOS DIÁRIOS'!$C$5:$C$500,$A29,'LANÇAMENTOS DIÁRIOS'!$O$5:$O$500,"&lt;=119079",'LANÇAMENTOS DIÁRIOS'!$P$5:$P$500,"&gt;=118980")&gt;0,"X","")</f>
      </c>
      <c r="S29" s="56" t="str">
        <f>IF(COUNTIFS('LANÇAMENTOS DIÁRIOS'!$G$5:$G$500,"G",'LANÇAMENTOS DIÁRIOS'!$C$5:$C$500,$A29,'LANÇAMENTOS DIÁRIOS'!$O$5:$O$500,"&lt;=119179",'LANÇAMENTOS DIÁRIOS'!$P$5:$P$500,"&gt;=119080")&gt;0,"X","")</f>
      </c>
      <c r="T29" s="56" t="str">
        <f>IF(COUNTIFS('LANÇAMENTOS DIÁRIOS'!$G$5:$G$500,"G",'LANÇAMENTOS DIÁRIOS'!$C$5:$C$500,$A29,'LANÇAMENTOS DIÁRIOS'!$O$5:$O$500,"&lt;=119279",'LANÇAMENTOS DIÁRIOS'!$P$5:$P$500,"&gt;=119180")&gt;0,"X","")</f>
      </c>
      <c r="U29" s="56" t="str">
        <f>IF(COUNTIFS('LANÇAMENTOS DIÁRIOS'!$G$5:$G$500,"G",'LANÇAMENTOS DIÁRIOS'!$C$5:$C$500,$A29,'LANÇAMENTOS DIÁRIOS'!$O$5:$O$500,"&lt;=119379",'LANÇAMENTOS DIÁRIOS'!$P$5:$P$500,"&gt;=119280")&gt;0,"X","")</f>
      </c>
      <c r="V29" s="56" t="str">
        <f>IF(COUNTIFS('LANÇAMENTOS DIÁRIOS'!$G$5:$G$500,"G",'LANÇAMENTOS DIÁRIOS'!$C$5:$C$500,$A29,'LANÇAMENTOS DIÁRIOS'!$O$5:$O$500,"&lt;=119479",'LANÇAMENTOS DIÁRIOS'!$P$5:$P$500,"&gt;=119380")&gt;0,"X","")</f>
      </c>
      <c r="W29" s="56" t="str">
        <f>IF(COUNTIFS('LANÇAMENTOS DIÁRIOS'!$G$5:$G$500,"G",'LANÇAMENTOS DIÁRIOS'!$C$5:$C$500,$A29,'LANÇAMENTOS DIÁRIOS'!$O$5:$O$500,"&lt;=119579",'LANÇAMENTOS DIÁRIOS'!$P$5:$P$500,"&gt;=119480")&gt;0,"X","")</f>
      </c>
      <c r="X29" s="56" t="str">
        <f>IF(COUNTIFS('LANÇAMENTOS DIÁRIOS'!$G$5:$G$500,"G",'LANÇAMENTOS DIÁRIOS'!$C$5:$C$500,$A29,'LANÇAMENTOS DIÁRIOS'!$O$5:$O$500,"&lt;=119679",'LANÇAMENTOS DIÁRIOS'!$P$5:$P$500,"&gt;=119580")&gt;0,"X","")</f>
      </c>
      <c r="Y29" s="56" t="str">
        <f>IF(COUNTIFS('LANÇAMENTOS DIÁRIOS'!$G$5:$G$500,"G",'LANÇAMENTOS DIÁRIOS'!$C$5:$C$500,$A29,'LANÇAMENTOS DIÁRIOS'!$O$5:$O$500,"&lt;=119779",'LANÇAMENTOS DIÁRIOS'!$P$5:$P$500,"&gt;=119680")&gt;0,"X","")</f>
      </c>
      <c r="Z29" s="56" t="str">
        <f>IF(COUNTIFS('LANÇAMENTOS DIÁRIOS'!$G$5:$G$500,"G",'LANÇAMENTOS DIÁRIOS'!$C$5:$C$500,$A29,'LANÇAMENTOS DIÁRIOS'!$O$5:$O$500,"&lt;=119879",'LANÇAMENTOS DIÁRIOS'!$P$5:$P$500,"&gt;=119780")&gt;0,"X","")</f>
      </c>
      <c r="AA29" s="56" t="str">
        <f>IF(COUNTIFS('LANÇAMENTOS DIÁRIOS'!$G$5:$G$500,"G",'LANÇAMENTOS DIÁRIOS'!$C$5:$C$500,$A29,'LANÇAMENTOS DIÁRIOS'!$O$5:$O$500,"&lt;=119979",'LANÇAMENTOS DIÁRIOS'!$P$5:$P$500,"&gt;=119880")&gt;0,"X","")</f>
      </c>
      <c r="AB29" s="56" t="str">
        <f>IF(COUNTIFS('LANÇAMENTOS DIÁRIOS'!$G$5:$G$500,"G",'LANÇAMENTOS DIÁRIOS'!$C$5:$C$500,$A29,'LANÇAMENTOS DIÁRIOS'!$O$5:$O$500,"&lt;=120079",'LANÇAMENTOS DIÁRIOS'!$P$5:$P$500,"&gt;=119980")&gt;0,"X","")</f>
      </c>
      <c r="AC29" s="56" t="str">
        <f>IF(COUNTIFS('LANÇAMENTOS DIÁRIOS'!$G$5:$G$500,"G",'LANÇAMENTOS DIÁRIOS'!$C$5:$C$500,$A29,'LANÇAMENTOS DIÁRIOS'!$O$5:$O$500,"&lt;=120179",'LANÇAMENTOS DIÁRIOS'!$P$5:$P$500,"&gt;=120080")&gt;0,"X","")</f>
      </c>
      <c r="AD29" s="56" t="str">
        <f>IF(COUNTIFS('LANÇAMENTOS DIÁRIOS'!$G$5:$G$500,"G",'LANÇAMENTOS DIÁRIOS'!$C$5:$C$500,$A29,'LANÇAMENTOS DIÁRIOS'!$O$5:$O$500,"&lt;=120279",'LANÇAMENTOS DIÁRIOS'!$P$5:$P$500,"&gt;=120180")&gt;0,"X","")</f>
      </c>
      <c r="AE29" s="56" t="str">
        <f>IF(COUNTIFS('LANÇAMENTOS DIÁRIOS'!$G$5:$G$500,"G",'LANÇAMENTOS DIÁRIOS'!$C$5:$C$500,$A29,'LANÇAMENTOS DIÁRIOS'!$O$5:$O$500,"&lt;=120379",'LANÇAMENTOS DIÁRIOS'!$P$5:$P$500,"&gt;=120280")&gt;0,"X","")</f>
      </c>
      <c r="AF29" s="56" t="str">
        <f>IF(COUNTIFS('LANÇAMENTOS DIÁRIOS'!$G$5:$G$500,"G",'LANÇAMENTOS DIÁRIOS'!$C$5:$C$500,$A29,'LANÇAMENTOS DIÁRIOS'!$O$5:$O$500,"&lt;=120479",'LANÇAMENTOS DIÁRIOS'!$P$5:$P$500,"&gt;=120380")&gt;0,"X","")</f>
      </c>
      <c r="AG29" s="56" t="str">
        <f>IF(COUNTIFS('LANÇAMENTOS DIÁRIOS'!$G$5:$G$500,"G",'LANÇAMENTOS DIÁRIOS'!$C$5:$C$500,$A29,'LANÇAMENTOS DIÁRIOS'!$O$5:$O$500,"&lt;=120579",'LANÇAMENTOS DIÁRIOS'!$P$5:$P$500,"&gt;=120480")&gt;0,"X","")</f>
      </c>
      <c r="AH29" s="56" t="str">
        <f>IF(COUNTIFS('LANÇAMENTOS DIÁRIOS'!$G$5:$G$500,"G",'LANÇAMENTOS DIÁRIOS'!$C$5:$C$500,$A29,'LANÇAMENTOS DIÁRIOS'!$O$5:$O$500,"&lt;=120679",'LANÇAMENTOS DIÁRIOS'!$P$5:$P$500,"&gt;=120580")&gt;0,"X","")</f>
      </c>
      <c r="AI29" s="56" t="str">
        <f>IF(COUNTIFS('LANÇAMENTOS DIÁRIOS'!$G$5:$G$500,"G",'LANÇAMENTOS DIÁRIOS'!$C$5:$C$500,$A29,'LANÇAMENTOS DIÁRIOS'!$O$5:$O$500,"&lt;=120779",'LANÇAMENTOS DIÁRIOS'!$P$5:$P$500,"&gt;=120680")&gt;0,"X","")</f>
      </c>
      <c r="AJ29" s="56" t="str">
        <f>IF(COUNTIFS('LANÇAMENTOS DIÁRIOS'!$G$5:$G$500,"G",'LANÇAMENTOS DIÁRIOS'!$C$5:$C$500,$A29,'LANÇAMENTOS DIÁRIOS'!$O$5:$O$500,"&lt;=120879",'LANÇAMENTOS DIÁRIOS'!$P$5:$P$500,"&gt;=120780")&gt;0,"X","")</f>
      </c>
      <c r="AK29" s="56" t="str">
        <f>IF(COUNTIFS('LANÇAMENTOS DIÁRIOS'!$G$5:$G$500,"G",'LANÇAMENTOS DIÁRIOS'!$C$5:$C$500,$A29,'LANÇAMENTOS DIÁRIOS'!$O$5:$O$500,"&lt;=120979",'LANÇAMENTOS DIÁRIOS'!$P$5:$P$500,"&gt;=120880")&gt;0,"X","")</f>
      </c>
      <c r="AL29" s="56" t="str">
        <f>IF(COUNTIFS('LANÇAMENTOS DIÁRIOS'!$G$5:$G$500,"G",'LANÇAMENTOS DIÁRIOS'!$C$5:$C$500,$A29,'LANÇAMENTOS DIÁRIOS'!$O$5:$O$500,"&lt;=121079",'LANÇAMENTOS DIÁRIOS'!$P$5:$P$500,"&gt;=120980")&gt;0,"X","")</f>
      </c>
      <c r="AM29" s="56" t="str">
        <f>IF(COUNTIFS('LANÇAMENTOS DIÁRIOS'!$G$5:$G$500,"G",'LANÇAMENTOS DIÁRIOS'!$C$5:$C$500,$A29,'LANÇAMENTOS DIÁRIOS'!$O$5:$O$500,"&lt;=121179",'LANÇAMENTOS DIÁRIOS'!$P$5:$P$500,"&gt;=121080")&gt;0,"X","")</f>
      </c>
      <c r="AN29" s="56" t="str">
        <f>IF(COUNTIFS('LANÇAMENTOS DIÁRIOS'!$G$5:$G$500,"G",'LANÇAMENTOS DIÁRIOS'!$C$5:$C$500,$A29,'LANÇAMENTOS DIÁRIOS'!$O$5:$O$500,"&lt;=121279",'LANÇAMENTOS DIÁRIOS'!$P$5:$P$500,"&gt;=121180")&gt;0,"X","")</f>
      </c>
      <c r="AO29" s="56" t="str">
        <f>IF(COUNTIFS('LANÇAMENTOS DIÁRIOS'!$G$5:$G$500,"G",'LANÇAMENTOS DIÁRIOS'!$C$5:$C$500,$A29,'LANÇAMENTOS DIÁRIOS'!$O$5:$O$500,"&lt;=121379",'LANÇAMENTOS DIÁRIOS'!$P$5:$P$500,"&gt;=121280")&gt;0,"X","")</f>
      </c>
      <c r="AP29" s="56" t="str">
        <f>IF(COUNTIFS('LANÇAMENTOS DIÁRIOS'!$G$5:$G$500,"G",'LANÇAMENTOS DIÁRIOS'!$C$5:$C$500,$A29,'LANÇAMENTOS DIÁRIOS'!$O$5:$O$500,"&lt;=121479",'LANÇAMENTOS DIÁRIOS'!$P$5:$P$500,"&gt;=121380")&gt;0,"X","")</f>
      </c>
      <c r="AQ29" s="56" t="str">
        <f>IF(COUNTIFS('LANÇAMENTOS DIÁRIOS'!$G$5:$G$500,"G",'LANÇAMENTOS DIÁRIOS'!$C$5:$C$500,$A29,'LANÇAMENTOS DIÁRIOS'!$O$5:$O$500,"&lt;=121579",'LANÇAMENTOS DIÁRIOS'!$P$5:$P$500,"&gt;=121480")&gt;0,"X","")</f>
      </c>
      <c r="AR29" s="56" t="str">
        <f>IF(COUNTIFS('LANÇAMENTOS DIÁRIOS'!$G$5:$G$500,"G",'LANÇAMENTOS DIÁRIOS'!$C$5:$C$500,$A29,'LANÇAMENTOS DIÁRIOS'!$O$5:$O$500,"&lt;=121679",'LANÇAMENTOS DIÁRIOS'!$P$5:$P$500,"&gt;=121580")&gt;0,"X","")</f>
      </c>
      <c r="AS29" s="56" t="str">
        <f>IF(COUNTIFS('LANÇAMENTOS DIÁRIOS'!$G$5:$G$500,"G",'LANÇAMENTOS DIÁRIOS'!$C$5:$C$500,$A29,'LANÇAMENTOS DIÁRIOS'!$O$5:$O$500,"&lt;=121779",'LANÇAMENTOS DIÁRIOS'!$P$5:$P$500,"&gt;=121680")&gt;0,"X","")</f>
      </c>
      <c r="AT29" s="56" t="str">
        <f>IF(COUNTIFS('LANÇAMENTOS DIÁRIOS'!$G$5:$G$500,"G",'LANÇAMENTOS DIÁRIOS'!$C$5:$C$500,$A29,'LANÇAMENTOS DIÁRIOS'!$O$5:$O$500,"&lt;=121879",'LANÇAMENTOS DIÁRIOS'!$P$5:$P$500,"&gt;=121780")&gt;0,"X","")</f>
      </c>
      <c r="AU29" s="56" t="str">
        <f>IF(COUNTIFS('LANÇAMENTOS DIÁRIOS'!$G$5:$G$500,"G",'LANÇAMENTOS DIÁRIOS'!$C$5:$C$500,$A29,'LANÇAMENTOS DIÁRIOS'!$O$5:$O$500,"&lt;=121979",'LANÇAMENTOS DIÁRIOS'!$P$5:$P$500,"&gt;=121880")&gt;0,"X","")</f>
      </c>
      <c r="AV29" s="56" t="str">
        <f>IF(COUNTIFS('LANÇAMENTOS DIÁRIOS'!$G$5:$G$500,"G",'LANÇAMENTOS DIÁRIOS'!$C$5:$C$500,$A29,'LANÇAMENTOS DIÁRIOS'!$O$5:$O$500,"&lt;=122079",'LANÇAMENTOS DIÁRIOS'!$P$5:$P$500,"&gt;=121980")&gt;0,"X","")</f>
      </c>
      <c r="AW29" s="56" t="str">
        <f>IF(COUNTIFS('LANÇAMENTOS DIÁRIOS'!$G$5:$G$500,"G",'LANÇAMENTOS DIÁRIOS'!$C$5:$C$500,$A29,'LANÇAMENTOS DIÁRIOS'!$O$5:$O$500,"&lt;=122179",'LANÇAMENTOS DIÁRIOS'!$P$5:$P$500,"&gt;=122080")&gt;0,"X","")</f>
      </c>
      <c r="AX29" s="56" t="str">
        <f>IF(COUNTIFS('LANÇAMENTOS DIÁRIOS'!$G$5:$G$500,"G",'LANÇAMENTOS DIÁRIOS'!$C$5:$C$500,$A29,'LANÇAMENTOS DIÁRIOS'!$O$5:$O$500,"&lt;=122279",'LANÇAMENTOS DIÁRIOS'!$P$5:$P$500,"&gt;=122180")&gt;0,"X","")</f>
      </c>
      <c r="AY29" s="56" t="str">
        <f>IF(COUNTIFS('LANÇAMENTOS DIÁRIOS'!$G$5:$G$500,"G",'LANÇAMENTOS DIÁRIOS'!$C$5:$C$500,$A29,'LANÇAMENTOS DIÁRIOS'!$O$5:$O$500,"&lt;=122379",'LANÇAMENTOS DIÁRIOS'!$P$5:$P$500,"&gt;=122280")&gt;0,"X","")</f>
      </c>
      <c r="AZ29" s="56" t="str">
        <f>IF(COUNTIFS('LANÇAMENTOS DIÁRIOS'!$G$5:$G$500,"G",'LANÇAMENTOS DIÁRIOS'!$C$5:$C$500,$A29,'LANÇAMENTOS DIÁRIOS'!$O$5:$O$500,"&lt;=122479",'LANÇAMENTOS DIÁRIOS'!$P$5:$P$500,"&gt;=122380")&gt;0,"X","")</f>
      </c>
      <c r="BA29" s="56" t="str">
        <f>IF(COUNTIFS('LANÇAMENTOS DIÁRIOS'!$G$5:$G$500,"G",'LANÇAMENTOS DIÁRIOS'!$C$5:$C$500,$A29,'LANÇAMENTOS DIÁRIOS'!$O$5:$O$500,"&lt;=122579",'LANÇAMENTOS DIÁRIOS'!$P$5:$P$500,"&gt;=122480")&gt;0,"X","")</f>
      </c>
      <c r="BB29" s="56" t="str">
        <f>IF(COUNTIFS('LANÇAMENTOS DIÁRIOS'!$G$5:$G$500,"G",'LANÇAMENTOS DIÁRIOS'!$C$5:$C$500,$A29,'LANÇAMENTOS DIÁRIOS'!$O$5:$O$500,"&lt;=122679",'LANÇAMENTOS DIÁRIOS'!$P$5:$P$500,"&gt;=122580")&gt;0,"X","")</f>
      </c>
      <c r="BC29" s="56" t="str">
        <f>IF(COUNTIFS('LANÇAMENTOS DIÁRIOS'!$G$5:$G$500,"G",'LANÇAMENTOS DIÁRIOS'!$C$5:$C$500,$A29,'LANÇAMENTOS DIÁRIOS'!$O$5:$O$500,"&lt;=122779",'LANÇAMENTOS DIÁRIOS'!$P$5:$P$500,"&gt;=122680")&gt;0,"X","")</f>
      </c>
      <c r="BD29" s="56" t="str">
        <f>IF(COUNTIFS('LANÇAMENTOS DIÁRIOS'!$G$5:$G$500,"G",'LANÇAMENTOS DIÁRIOS'!$C$5:$C$500,$A29,'LANÇAMENTOS DIÁRIOS'!$O$5:$O$500,"&lt;=122879",'LANÇAMENTOS DIÁRIOS'!$P$5:$P$500,"&gt;=122780")&gt;0,"X","")</f>
      </c>
      <c r="BE29" s="56" t="str">
        <f>IF(COUNTIFS('LANÇAMENTOS DIÁRIOS'!$G$5:$G$500,"G",'LANÇAMENTOS DIÁRIOS'!$C$5:$C$500,$A29,'LANÇAMENTOS DIÁRIOS'!$O$5:$O$500,"&lt;=122979",'LANÇAMENTOS DIÁRIOS'!$P$5:$P$500,"&gt;=122880")&gt;0,"X","")</f>
      </c>
      <c r="BF29" s="56" t="str">
        <f>IF(COUNTIFS('LANÇAMENTOS DIÁRIOS'!$G$5:$G$500,"G",'LANÇAMENTOS DIÁRIOS'!$C$5:$C$500,$A29,'LANÇAMENTOS DIÁRIOS'!$O$5:$O$500,"&lt;=123079",'LANÇAMENTOS DIÁRIOS'!$P$5:$P$500,"&gt;=122980")&gt;0,"X","")</f>
      </c>
      <c r="BG29" s="56" t="str">
        <f>IF(COUNTIFS('LANÇAMENTOS DIÁRIOS'!$G$5:$G$500,"G",'LANÇAMENTOS DIÁRIOS'!$C$5:$C$500,$A29,'LANÇAMENTOS DIÁRIOS'!$O$5:$O$500,"&lt;=123179",'LANÇAMENTOS DIÁRIOS'!$P$5:$P$500,"&gt;=123080")&gt;0,"X","")</f>
      </c>
      <c r="BH29" s="56" t="str">
        <f>IF(COUNTIFS('LANÇAMENTOS DIÁRIOS'!$G$5:$G$500,"G",'LANÇAMENTOS DIÁRIOS'!$C$5:$C$500,$A29,'LANÇAMENTOS DIÁRIOS'!$O$5:$O$500,"&lt;=123279",'LANÇAMENTOS DIÁRIOS'!$P$5:$P$500,"&gt;=123180")&gt;0,"X","")</f>
      </c>
      <c r="BI29" s="56" t="str">
        <f>IF(COUNTIFS('LANÇAMENTOS DIÁRIOS'!$G$5:$G$500,"G",'LANÇAMENTOS DIÁRIOS'!$C$5:$C$500,$A29,'LANÇAMENTOS DIÁRIOS'!$O$5:$O$500,"&lt;=123379",'LANÇAMENTOS DIÁRIOS'!$P$5:$P$500,"&gt;=123280")&gt;0,"X","")</f>
      </c>
      <c r="BJ29" s="56" t="str">
        <f>IF(COUNTIFS('LANÇAMENTOS DIÁRIOS'!$G$5:$G$500,"G",'LANÇAMENTOS DIÁRIOS'!$C$5:$C$500,$A29,'LANÇAMENTOS DIÁRIOS'!$O$5:$O$500,"&lt;=123479",'LANÇAMENTOS DIÁRIOS'!$P$5:$P$500,"&gt;=123380")&gt;0,"X","")</f>
      </c>
      <c r="BK29" s="56" t="str">
        <f>IF(COUNTIFS('LANÇAMENTOS DIÁRIOS'!$G$5:$G$500,"G",'LANÇAMENTOS DIÁRIOS'!$C$5:$C$500,$A29,'LANÇAMENTOS DIÁRIOS'!$O$5:$O$500,"&lt;=123480",'LANÇAMENTOS DIÁRIOS'!$P$5:$P$500,"&gt;=123480")&gt;0,"X","")</f>
      </c>
    </row>
    <row r="30">
      <c r="A30" s="51" t="str">
        <v>Derrubada e destocamento.arv. c/ diâmetro 20&lt;&gt;30cm, com limpeza da área</v>
      </c>
      <c r="B30" s="56" t="str">
        <f>IF(COUNTIFS('LANÇAMENTOS DIÁRIOS'!$G$5:$G$500,"G",'LANÇAMENTOS DIÁRIOS'!$C$5:$C$500,$A30,'LANÇAMENTOS DIÁRIOS'!$O$5:$O$500,"&lt;=117479",'LANÇAMENTOS DIÁRIOS'!$P$5:$P$500,"&gt;=117380")&gt;0,"X","")</f>
      </c>
      <c r="C30" s="56" t="str">
        <f>IF(COUNTIFS('LANÇAMENTOS DIÁRIOS'!$G$5:$G$500,"G",'LANÇAMENTOS DIÁRIOS'!$C$5:$C$500,$A30,'LANÇAMENTOS DIÁRIOS'!$O$5:$O$500,"&lt;=117579",'LANÇAMENTOS DIÁRIOS'!$P$5:$P$500,"&gt;=117480")&gt;0,"X","")</f>
      </c>
      <c r="D30" s="56" t="str">
        <f>IF(COUNTIFS('LANÇAMENTOS DIÁRIOS'!$G$5:$G$500,"G",'LANÇAMENTOS DIÁRIOS'!$C$5:$C$500,$A30,'LANÇAMENTOS DIÁRIOS'!$O$5:$O$500,"&lt;=117679",'LANÇAMENTOS DIÁRIOS'!$P$5:$P$500,"&gt;=117580")&gt;0,"X","")</f>
      </c>
      <c r="E30" s="56" t="str">
        <f>IF(COUNTIFS('LANÇAMENTOS DIÁRIOS'!$G$5:$G$500,"G",'LANÇAMENTOS DIÁRIOS'!$C$5:$C$500,$A30,'LANÇAMENTOS DIÁRIOS'!$O$5:$O$500,"&lt;=117779",'LANÇAMENTOS DIÁRIOS'!$P$5:$P$500,"&gt;=117680")&gt;0,"X","")</f>
      </c>
      <c r="F30" s="56" t="str">
        <f>IF(COUNTIFS('LANÇAMENTOS DIÁRIOS'!$G$5:$G$500,"G",'LANÇAMENTOS DIÁRIOS'!$C$5:$C$500,$A30,'LANÇAMENTOS DIÁRIOS'!$O$5:$O$500,"&lt;=117879",'LANÇAMENTOS DIÁRIOS'!$P$5:$P$500,"&gt;=117780")&gt;0,"X","")</f>
      </c>
      <c r="G30" s="56" t="str">
        <f>IF(COUNTIFS('LANÇAMENTOS DIÁRIOS'!$G$5:$G$500,"G",'LANÇAMENTOS DIÁRIOS'!$C$5:$C$500,$A30,'LANÇAMENTOS DIÁRIOS'!$O$5:$O$500,"&lt;=117979",'LANÇAMENTOS DIÁRIOS'!$P$5:$P$500,"&gt;=117880")&gt;0,"X","")</f>
      </c>
      <c r="H30" s="56" t="str">
        <f>IF(COUNTIFS('LANÇAMENTOS DIÁRIOS'!$G$5:$G$500,"G",'LANÇAMENTOS DIÁRIOS'!$C$5:$C$500,$A30,'LANÇAMENTOS DIÁRIOS'!$O$5:$O$500,"&lt;=118079",'LANÇAMENTOS DIÁRIOS'!$P$5:$P$500,"&gt;=117980")&gt;0,"X","")</f>
      </c>
      <c r="I30" s="56" t="str">
        <f>IF(COUNTIFS('LANÇAMENTOS DIÁRIOS'!$G$5:$G$500,"G",'LANÇAMENTOS DIÁRIOS'!$C$5:$C$500,$A30,'LANÇAMENTOS DIÁRIOS'!$O$5:$O$500,"&lt;=118179",'LANÇAMENTOS DIÁRIOS'!$P$5:$P$500,"&gt;=118080")&gt;0,"X","")</f>
      </c>
      <c r="J30" s="56" t="str">
        <f>IF(COUNTIFS('LANÇAMENTOS DIÁRIOS'!$G$5:$G$500,"G",'LANÇAMENTOS DIÁRIOS'!$C$5:$C$500,$A30,'LANÇAMENTOS DIÁRIOS'!$O$5:$O$500,"&lt;=118279",'LANÇAMENTOS DIÁRIOS'!$P$5:$P$500,"&gt;=118180")&gt;0,"X","")</f>
      </c>
      <c r="K30" s="56" t="str">
        <f>IF(COUNTIFS('LANÇAMENTOS DIÁRIOS'!$G$5:$G$500,"G",'LANÇAMENTOS DIÁRIOS'!$C$5:$C$500,$A30,'LANÇAMENTOS DIÁRIOS'!$O$5:$O$500,"&lt;=118379",'LANÇAMENTOS DIÁRIOS'!$P$5:$P$500,"&gt;=118280")&gt;0,"X","")</f>
      </c>
      <c r="L30" s="56" t="str">
        <f>IF(COUNTIFS('LANÇAMENTOS DIÁRIOS'!$G$5:$G$500,"G",'LANÇAMENTOS DIÁRIOS'!$C$5:$C$500,$A30,'LANÇAMENTOS DIÁRIOS'!$O$5:$O$500,"&lt;=118479",'LANÇAMENTOS DIÁRIOS'!$P$5:$P$500,"&gt;=118380")&gt;0,"X","")</f>
      </c>
      <c r="M30" s="56" t="str">
        <f>IF(COUNTIFS('LANÇAMENTOS DIÁRIOS'!$G$5:$G$500,"G",'LANÇAMENTOS DIÁRIOS'!$C$5:$C$500,$A30,'LANÇAMENTOS DIÁRIOS'!$O$5:$O$500,"&lt;=118579",'LANÇAMENTOS DIÁRIOS'!$P$5:$P$500,"&gt;=118480")&gt;0,"X","")</f>
      </c>
      <c r="N30" s="56" t="str">
        <f>IF(COUNTIFS('LANÇAMENTOS DIÁRIOS'!$G$5:$G$500,"G",'LANÇAMENTOS DIÁRIOS'!$C$5:$C$500,$A30,'LANÇAMENTOS DIÁRIOS'!$O$5:$O$500,"&lt;=118679",'LANÇAMENTOS DIÁRIOS'!$P$5:$P$500,"&gt;=118580")&gt;0,"X","")</f>
      </c>
      <c r="O30" s="56" t="str">
        <f>IF(COUNTIFS('LANÇAMENTOS DIÁRIOS'!$G$5:$G$500,"G",'LANÇAMENTOS DIÁRIOS'!$C$5:$C$500,$A30,'LANÇAMENTOS DIÁRIOS'!$O$5:$O$500,"&lt;=118779",'LANÇAMENTOS DIÁRIOS'!$P$5:$P$500,"&gt;=118680")&gt;0,"X","")</f>
      </c>
      <c r="P30" s="56" t="str">
        <f>IF(COUNTIFS('LANÇAMENTOS DIÁRIOS'!$G$5:$G$500,"G",'LANÇAMENTOS DIÁRIOS'!$C$5:$C$500,$A30,'LANÇAMENTOS DIÁRIOS'!$O$5:$O$500,"&lt;=118879",'LANÇAMENTOS DIÁRIOS'!$P$5:$P$500,"&gt;=118780")&gt;0,"X","")</f>
      </c>
      <c r="Q30" s="56" t="str">
        <f>IF(COUNTIFS('LANÇAMENTOS DIÁRIOS'!$G$5:$G$500,"G",'LANÇAMENTOS DIÁRIOS'!$C$5:$C$500,$A30,'LANÇAMENTOS DIÁRIOS'!$O$5:$O$500,"&lt;=118979",'LANÇAMENTOS DIÁRIOS'!$P$5:$P$500,"&gt;=118880")&gt;0,"X","")</f>
      </c>
      <c r="R30" s="56" t="str">
        <f>IF(COUNTIFS('LANÇAMENTOS DIÁRIOS'!$G$5:$G$500,"G",'LANÇAMENTOS DIÁRIOS'!$C$5:$C$500,$A30,'LANÇAMENTOS DIÁRIOS'!$O$5:$O$500,"&lt;=119079",'LANÇAMENTOS DIÁRIOS'!$P$5:$P$500,"&gt;=118980")&gt;0,"X","")</f>
      </c>
      <c r="S30" s="56" t="str">
        <f>IF(COUNTIFS('LANÇAMENTOS DIÁRIOS'!$G$5:$G$500,"G",'LANÇAMENTOS DIÁRIOS'!$C$5:$C$500,$A30,'LANÇAMENTOS DIÁRIOS'!$O$5:$O$500,"&lt;=119179",'LANÇAMENTOS DIÁRIOS'!$P$5:$P$500,"&gt;=119080")&gt;0,"X","")</f>
      </c>
      <c r="T30" s="56" t="str">
        <f>IF(COUNTIFS('LANÇAMENTOS DIÁRIOS'!$G$5:$G$500,"G",'LANÇAMENTOS DIÁRIOS'!$C$5:$C$500,$A30,'LANÇAMENTOS DIÁRIOS'!$O$5:$O$500,"&lt;=119279",'LANÇAMENTOS DIÁRIOS'!$P$5:$P$500,"&gt;=119180")&gt;0,"X","")</f>
      </c>
      <c r="U30" s="56" t="str">
        <f>IF(COUNTIFS('LANÇAMENTOS DIÁRIOS'!$G$5:$G$500,"G",'LANÇAMENTOS DIÁRIOS'!$C$5:$C$500,$A30,'LANÇAMENTOS DIÁRIOS'!$O$5:$O$500,"&lt;=119379",'LANÇAMENTOS DIÁRIOS'!$P$5:$P$500,"&gt;=119280")&gt;0,"X","")</f>
      </c>
      <c r="V30" s="56" t="str">
        <f>IF(COUNTIFS('LANÇAMENTOS DIÁRIOS'!$G$5:$G$500,"G",'LANÇAMENTOS DIÁRIOS'!$C$5:$C$500,$A30,'LANÇAMENTOS DIÁRIOS'!$O$5:$O$500,"&lt;=119479",'LANÇAMENTOS DIÁRIOS'!$P$5:$P$500,"&gt;=119380")&gt;0,"X","")</f>
      </c>
      <c r="W30" s="56" t="str">
        <f>IF(COUNTIFS('LANÇAMENTOS DIÁRIOS'!$G$5:$G$500,"G",'LANÇAMENTOS DIÁRIOS'!$C$5:$C$500,$A30,'LANÇAMENTOS DIÁRIOS'!$O$5:$O$500,"&lt;=119579",'LANÇAMENTOS DIÁRIOS'!$P$5:$P$500,"&gt;=119480")&gt;0,"X","")</f>
      </c>
      <c r="X30" s="56" t="str">
        <f>IF(COUNTIFS('LANÇAMENTOS DIÁRIOS'!$G$5:$G$500,"G",'LANÇAMENTOS DIÁRIOS'!$C$5:$C$500,$A30,'LANÇAMENTOS DIÁRIOS'!$O$5:$O$500,"&lt;=119679",'LANÇAMENTOS DIÁRIOS'!$P$5:$P$500,"&gt;=119580")&gt;0,"X","")</f>
      </c>
      <c r="Y30" s="56" t="str">
        <f>IF(COUNTIFS('LANÇAMENTOS DIÁRIOS'!$G$5:$G$500,"G",'LANÇAMENTOS DIÁRIOS'!$C$5:$C$500,$A30,'LANÇAMENTOS DIÁRIOS'!$O$5:$O$500,"&lt;=119779",'LANÇAMENTOS DIÁRIOS'!$P$5:$P$500,"&gt;=119680")&gt;0,"X","")</f>
      </c>
      <c r="Z30" s="56" t="str">
        <f>IF(COUNTIFS('LANÇAMENTOS DIÁRIOS'!$G$5:$G$500,"G",'LANÇAMENTOS DIÁRIOS'!$C$5:$C$500,$A30,'LANÇAMENTOS DIÁRIOS'!$O$5:$O$500,"&lt;=119879",'LANÇAMENTOS DIÁRIOS'!$P$5:$P$500,"&gt;=119780")&gt;0,"X","")</f>
      </c>
      <c r="AA30" s="56" t="str">
        <f>IF(COUNTIFS('LANÇAMENTOS DIÁRIOS'!$G$5:$G$500,"G",'LANÇAMENTOS DIÁRIOS'!$C$5:$C$500,$A30,'LANÇAMENTOS DIÁRIOS'!$O$5:$O$500,"&lt;=119979",'LANÇAMENTOS DIÁRIOS'!$P$5:$P$500,"&gt;=119880")&gt;0,"X","")</f>
      </c>
      <c r="AB30" s="56" t="str">
        <f>IF(COUNTIFS('LANÇAMENTOS DIÁRIOS'!$G$5:$G$500,"G",'LANÇAMENTOS DIÁRIOS'!$C$5:$C$500,$A30,'LANÇAMENTOS DIÁRIOS'!$O$5:$O$500,"&lt;=120079",'LANÇAMENTOS DIÁRIOS'!$P$5:$P$500,"&gt;=119980")&gt;0,"X","")</f>
      </c>
      <c r="AC30" s="56" t="str">
        <f>IF(COUNTIFS('LANÇAMENTOS DIÁRIOS'!$G$5:$G$500,"G",'LANÇAMENTOS DIÁRIOS'!$C$5:$C$500,$A30,'LANÇAMENTOS DIÁRIOS'!$O$5:$O$500,"&lt;=120179",'LANÇAMENTOS DIÁRIOS'!$P$5:$P$500,"&gt;=120080")&gt;0,"X","")</f>
      </c>
      <c r="AD30" s="56" t="str">
        <f>IF(COUNTIFS('LANÇAMENTOS DIÁRIOS'!$G$5:$G$500,"G",'LANÇAMENTOS DIÁRIOS'!$C$5:$C$500,$A30,'LANÇAMENTOS DIÁRIOS'!$O$5:$O$500,"&lt;=120279",'LANÇAMENTOS DIÁRIOS'!$P$5:$P$500,"&gt;=120180")&gt;0,"X","")</f>
      </c>
      <c r="AE30" s="56" t="str">
        <f>IF(COUNTIFS('LANÇAMENTOS DIÁRIOS'!$G$5:$G$500,"G",'LANÇAMENTOS DIÁRIOS'!$C$5:$C$500,$A30,'LANÇAMENTOS DIÁRIOS'!$O$5:$O$500,"&lt;=120379",'LANÇAMENTOS DIÁRIOS'!$P$5:$P$500,"&gt;=120280")&gt;0,"X","")</f>
      </c>
      <c r="AF30" s="56" t="str">
        <f>IF(COUNTIFS('LANÇAMENTOS DIÁRIOS'!$G$5:$G$500,"G",'LANÇAMENTOS DIÁRIOS'!$C$5:$C$500,$A30,'LANÇAMENTOS DIÁRIOS'!$O$5:$O$500,"&lt;=120479",'LANÇAMENTOS DIÁRIOS'!$P$5:$P$500,"&gt;=120380")&gt;0,"X","")</f>
      </c>
      <c r="AG30" s="56" t="str">
        <f>IF(COUNTIFS('LANÇAMENTOS DIÁRIOS'!$G$5:$G$500,"G",'LANÇAMENTOS DIÁRIOS'!$C$5:$C$500,$A30,'LANÇAMENTOS DIÁRIOS'!$O$5:$O$500,"&lt;=120579",'LANÇAMENTOS DIÁRIOS'!$P$5:$P$500,"&gt;=120480")&gt;0,"X","")</f>
      </c>
      <c r="AH30" s="56" t="str">
        <f>IF(COUNTIFS('LANÇAMENTOS DIÁRIOS'!$G$5:$G$500,"G",'LANÇAMENTOS DIÁRIOS'!$C$5:$C$500,$A30,'LANÇAMENTOS DIÁRIOS'!$O$5:$O$500,"&lt;=120679",'LANÇAMENTOS DIÁRIOS'!$P$5:$P$500,"&gt;=120580")&gt;0,"X","")</f>
      </c>
      <c r="AI30" s="56" t="str">
        <f>IF(COUNTIFS('LANÇAMENTOS DIÁRIOS'!$G$5:$G$500,"G",'LANÇAMENTOS DIÁRIOS'!$C$5:$C$500,$A30,'LANÇAMENTOS DIÁRIOS'!$O$5:$O$500,"&lt;=120779",'LANÇAMENTOS DIÁRIOS'!$P$5:$P$500,"&gt;=120680")&gt;0,"X","")</f>
      </c>
      <c r="AJ30" s="56" t="str">
        <f>IF(COUNTIFS('LANÇAMENTOS DIÁRIOS'!$G$5:$G$500,"G",'LANÇAMENTOS DIÁRIOS'!$C$5:$C$500,$A30,'LANÇAMENTOS DIÁRIOS'!$O$5:$O$500,"&lt;=120879",'LANÇAMENTOS DIÁRIOS'!$P$5:$P$500,"&gt;=120780")&gt;0,"X","")</f>
      </c>
      <c r="AK30" s="56" t="str">
        <f>IF(COUNTIFS('LANÇAMENTOS DIÁRIOS'!$G$5:$G$500,"G",'LANÇAMENTOS DIÁRIOS'!$C$5:$C$500,$A30,'LANÇAMENTOS DIÁRIOS'!$O$5:$O$500,"&lt;=120979",'LANÇAMENTOS DIÁRIOS'!$P$5:$P$500,"&gt;=120880")&gt;0,"X","")</f>
      </c>
      <c r="AL30" s="56" t="str">
        <f>IF(COUNTIFS('LANÇAMENTOS DIÁRIOS'!$G$5:$G$500,"G",'LANÇAMENTOS DIÁRIOS'!$C$5:$C$500,$A30,'LANÇAMENTOS DIÁRIOS'!$O$5:$O$500,"&lt;=121079",'LANÇAMENTOS DIÁRIOS'!$P$5:$P$500,"&gt;=120980")&gt;0,"X","")</f>
      </c>
      <c r="AM30" s="56" t="str">
        <f>IF(COUNTIFS('LANÇAMENTOS DIÁRIOS'!$G$5:$G$500,"G",'LANÇAMENTOS DIÁRIOS'!$C$5:$C$500,$A30,'LANÇAMENTOS DIÁRIOS'!$O$5:$O$500,"&lt;=121179",'LANÇAMENTOS DIÁRIOS'!$P$5:$P$500,"&gt;=121080")&gt;0,"X","")</f>
      </c>
      <c r="AN30" s="56" t="str">
        <f>IF(COUNTIFS('LANÇAMENTOS DIÁRIOS'!$G$5:$G$500,"G",'LANÇAMENTOS DIÁRIOS'!$C$5:$C$500,$A30,'LANÇAMENTOS DIÁRIOS'!$O$5:$O$500,"&lt;=121279",'LANÇAMENTOS DIÁRIOS'!$P$5:$P$500,"&gt;=121180")&gt;0,"X","")</f>
      </c>
      <c r="AO30" s="56" t="str">
        <f>IF(COUNTIFS('LANÇAMENTOS DIÁRIOS'!$G$5:$G$500,"G",'LANÇAMENTOS DIÁRIOS'!$C$5:$C$500,$A30,'LANÇAMENTOS DIÁRIOS'!$O$5:$O$500,"&lt;=121379",'LANÇAMENTOS DIÁRIOS'!$P$5:$P$500,"&gt;=121280")&gt;0,"X","")</f>
      </c>
      <c r="AP30" s="56" t="str">
        <f>IF(COUNTIFS('LANÇAMENTOS DIÁRIOS'!$G$5:$G$500,"G",'LANÇAMENTOS DIÁRIOS'!$C$5:$C$500,$A30,'LANÇAMENTOS DIÁRIOS'!$O$5:$O$500,"&lt;=121479",'LANÇAMENTOS DIÁRIOS'!$P$5:$P$500,"&gt;=121380")&gt;0,"X","")</f>
      </c>
      <c r="AQ30" s="56" t="str">
        <f>IF(COUNTIFS('LANÇAMENTOS DIÁRIOS'!$G$5:$G$500,"G",'LANÇAMENTOS DIÁRIOS'!$C$5:$C$500,$A30,'LANÇAMENTOS DIÁRIOS'!$O$5:$O$500,"&lt;=121579",'LANÇAMENTOS DIÁRIOS'!$P$5:$P$500,"&gt;=121480")&gt;0,"X","")</f>
      </c>
      <c r="AR30" s="56" t="str">
        <f>IF(COUNTIFS('LANÇAMENTOS DIÁRIOS'!$G$5:$G$500,"G",'LANÇAMENTOS DIÁRIOS'!$C$5:$C$500,$A30,'LANÇAMENTOS DIÁRIOS'!$O$5:$O$500,"&lt;=121679",'LANÇAMENTOS DIÁRIOS'!$P$5:$P$500,"&gt;=121580")&gt;0,"X","")</f>
      </c>
      <c r="AS30" s="56" t="str">
        <f>IF(COUNTIFS('LANÇAMENTOS DIÁRIOS'!$G$5:$G$500,"G",'LANÇAMENTOS DIÁRIOS'!$C$5:$C$500,$A30,'LANÇAMENTOS DIÁRIOS'!$O$5:$O$500,"&lt;=121779",'LANÇAMENTOS DIÁRIOS'!$P$5:$P$500,"&gt;=121680")&gt;0,"X","")</f>
      </c>
      <c r="AT30" s="56" t="str">
        <f>IF(COUNTIFS('LANÇAMENTOS DIÁRIOS'!$G$5:$G$500,"G",'LANÇAMENTOS DIÁRIOS'!$C$5:$C$500,$A30,'LANÇAMENTOS DIÁRIOS'!$O$5:$O$500,"&lt;=121879",'LANÇAMENTOS DIÁRIOS'!$P$5:$P$500,"&gt;=121780")&gt;0,"X","")</f>
      </c>
      <c r="AU30" s="56" t="str">
        <f>IF(COUNTIFS('LANÇAMENTOS DIÁRIOS'!$G$5:$G$500,"G",'LANÇAMENTOS DIÁRIOS'!$C$5:$C$500,$A30,'LANÇAMENTOS DIÁRIOS'!$O$5:$O$500,"&lt;=121979",'LANÇAMENTOS DIÁRIOS'!$P$5:$P$500,"&gt;=121880")&gt;0,"X","")</f>
      </c>
      <c r="AV30" s="56" t="str">
        <f>IF(COUNTIFS('LANÇAMENTOS DIÁRIOS'!$G$5:$G$500,"G",'LANÇAMENTOS DIÁRIOS'!$C$5:$C$500,$A30,'LANÇAMENTOS DIÁRIOS'!$O$5:$O$500,"&lt;=122079",'LANÇAMENTOS DIÁRIOS'!$P$5:$P$500,"&gt;=121980")&gt;0,"X","")</f>
      </c>
      <c r="AW30" s="56" t="str">
        <f>IF(COUNTIFS('LANÇAMENTOS DIÁRIOS'!$G$5:$G$500,"G",'LANÇAMENTOS DIÁRIOS'!$C$5:$C$500,$A30,'LANÇAMENTOS DIÁRIOS'!$O$5:$O$500,"&lt;=122179",'LANÇAMENTOS DIÁRIOS'!$P$5:$P$500,"&gt;=122080")&gt;0,"X","")</f>
      </c>
      <c r="AX30" s="56" t="str">
        <f>IF(COUNTIFS('LANÇAMENTOS DIÁRIOS'!$G$5:$G$500,"G",'LANÇAMENTOS DIÁRIOS'!$C$5:$C$500,$A30,'LANÇAMENTOS DIÁRIOS'!$O$5:$O$500,"&lt;=122279",'LANÇAMENTOS DIÁRIOS'!$P$5:$P$500,"&gt;=122180")&gt;0,"X","")</f>
      </c>
      <c r="AY30" s="56" t="str">
        <f>IF(COUNTIFS('LANÇAMENTOS DIÁRIOS'!$G$5:$G$500,"G",'LANÇAMENTOS DIÁRIOS'!$C$5:$C$500,$A30,'LANÇAMENTOS DIÁRIOS'!$O$5:$O$500,"&lt;=122379",'LANÇAMENTOS DIÁRIOS'!$P$5:$P$500,"&gt;=122280")&gt;0,"X","")</f>
      </c>
      <c r="AZ30" s="56" t="str">
        <f>IF(COUNTIFS('LANÇAMENTOS DIÁRIOS'!$G$5:$G$500,"G",'LANÇAMENTOS DIÁRIOS'!$C$5:$C$500,$A30,'LANÇAMENTOS DIÁRIOS'!$O$5:$O$500,"&lt;=122479",'LANÇAMENTOS DIÁRIOS'!$P$5:$P$500,"&gt;=122380")&gt;0,"X","")</f>
      </c>
      <c r="BA30" s="56" t="str">
        <f>IF(COUNTIFS('LANÇAMENTOS DIÁRIOS'!$G$5:$G$500,"G",'LANÇAMENTOS DIÁRIOS'!$C$5:$C$500,$A30,'LANÇAMENTOS DIÁRIOS'!$O$5:$O$500,"&lt;=122579",'LANÇAMENTOS DIÁRIOS'!$P$5:$P$500,"&gt;=122480")&gt;0,"X","")</f>
      </c>
      <c r="BB30" s="56" t="str">
        <f>IF(COUNTIFS('LANÇAMENTOS DIÁRIOS'!$G$5:$G$500,"G",'LANÇAMENTOS DIÁRIOS'!$C$5:$C$500,$A30,'LANÇAMENTOS DIÁRIOS'!$O$5:$O$500,"&lt;=122679",'LANÇAMENTOS DIÁRIOS'!$P$5:$P$500,"&gt;=122580")&gt;0,"X","")</f>
      </c>
      <c r="BC30" s="56" t="str">
        <f>IF(COUNTIFS('LANÇAMENTOS DIÁRIOS'!$G$5:$G$500,"G",'LANÇAMENTOS DIÁRIOS'!$C$5:$C$500,$A30,'LANÇAMENTOS DIÁRIOS'!$O$5:$O$500,"&lt;=122779",'LANÇAMENTOS DIÁRIOS'!$P$5:$P$500,"&gt;=122680")&gt;0,"X","")</f>
      </c>
      <c r="BD30" s="56" t="str">
        <f>IF(COUNTIFS('LANÇAMENTOS DIÁRIOS'!$G$5:$G$500,"G",'LANÇAMENTOS DIÁRIOS'!$C$5:$C$500,$A30,'LANÇAMENTOS DIÁRIOS'!$O$5:$O$500,"&lt;=122879",'LANÇAMENTOS DIÁRIOS'!$P$5:$P$500,"&gt;=122780")&gt;0,"X","")</f>
      </c>
      <c r="BE30" s="56" t="str">
        <f>IF(COUNTIFS('LANÇAMENTOS DIÁRIOS'!$G$5:$G$500,"G",'LANÇAMENTOS DIÁRIOS'!$C$5:$C$500,$A30,'LANÇAMENTOS DIÁRIOS'!$O$5:$O$500,"&lt;=122979",'LANÇAMENTOS DIÁRIOS'!$P$5:$P$500,"&gt;=122880")&gt;0,"X","")</f>
      </c>
      <c r="BF30" s="56" t="str">
        <f>IF(COUNTIFS('LANÇAMENTOS DIÁRIOS'!$G$5:$G$500,"G",'LANÇAMENTOS DIÁRIOS'!$C$5:$C$500,$A30,'LANÇAMENTOS DIÁRIOS'!$O$5:$O$500,"&lt;=123079",'LANÇAMENTOS DIÁRIOS'!$P$5:$P$500,"&gt;=122980")&gt;0,"X","")</f>
      </c>
      <c r="BG30" s="56" t="str">
        <f>IF(COUNTIFS('LANÇAMENTOS DIÁRIOS'!$G$5:$G$500,"G",'LANÇAMENTOS DIÁRIOS'!$C$5:$C$500,$A30,'LANÇAMENTOS DIÁRIOS'!$O$5:$O$500,"&lt;=123179",'LANÇAMENTOS DIÁRIOS'!$P$5:$P$500,"&gt;=123080")&gt;0,"X","")</f>
      </c>
      <c r="BH30" s="56" t="str">
        <f>IF(COUNTIFS('LANÇAMENTOS DIÁRIOS'!$G$5:$G$500,"G",'LANÇAMENTOS DIÁRIOS'!$C$5:$C$500,$A30,'LANÇAMENTOS DIÁRIOS'!$O$5:$O$500,"&lt;=123279",'LANÇAMENTOS DIÁRIOS'!$P$5:$P$500,"&gt;=123180")&gt;0,"X","")</f>
      </c>
      <c r="BI30" s="56" t="str">
        <f>IF(COUNTIFS('LANÇAMENTOS DIÁRIOS'!$G$5:$G$500,"G",'LANÇAMENTOS DIÁRIOS'!$C$5:$C$500,$A30,'LANÇAMENTOS DIÁRIOS'!$O$5:$O$500,"&lt;=123379",'LANÇAMENTOS DIÁRIOS'!$P$5:$P$500,"&gt;=123280")&gt;0,"X","")</f>
      </c>
      <c r="BJ30" s="56" t="str">
        <f>IF(COUNTIFS('LANÇAMENTOS DIÁRIOS'!$G$5:$G$500,"G",'LANÇAMENTOS DIÁRIOS'!$C$5:$C$500,$A30,'LANÇAMENTOS DIÁRIOS'!$O$5:$O$500,"&lt;=123479",'LANÇAMENTOS DIÁRIOS'!$P$5:$P$500,"&gt;=123380")&gt;0,"X","")</f>
      </c>
      <c r="BK30" s="56" t="str">
        <f>IF(COUNTIFS('LANÇAMENTOS DIÁRIOS'!$G$5:$G$500,"G",'LANÇAMENTOS DIÁRIOS'!$C$5:$C$500,$A30,'LANÇAMENTOS DIÁRIOS'!$O$5:$O$500,"&lt;=123480",'LANÇAMENTOS DIÁRIOS'!$P$5:$P$500,"&gt;=123480")&gt;0,"X","")</f>
      </c>
    </row>
    <row r="31">
      <c r="A31" s="51" t="str">
        <v>Derrubada e destocamento.arv. c/ diâmetro 30&lt;&gt;40cm, com limpeza da área</v>
      </c>
      <c r="B31" s="56" t="str">
        <f>IF(COUNTIFS('LANÇAMENTOS DIÁRIOS'!$G$5:$G$500,"G",'LANÇAMENTOS DIÁRIOS'!$C$5:$C$500,$A31,'LANÇAMENTOS DIÁRIOS'!$O$5:$O$500,"&lt;=117479",'LANÇAMENTOS DIÁRIOS'!$P$5:$P$500,"&gt;=117380")&gt;0,"X","")</f>
      </c>
      <c r="C31" s="56" t="str">
        <f>IF(COUNTIFS('LANÇAMENTOS DIÁRIOS'!$G$5:$G$500,"G",'LANÇAMENTOS DIÁRIOS'!$C$5:$C$500,$A31,'LANÇAMENTOS DIÁRIOS'!$O$5:$O$500,"&lt;=117579",'LANÇAMENTOS DIÁRIOS'!$P$5:$P$500,"&gt;=117480")&gt;0,"X","")</f>
      </c>
      <c r="D31" s="56" t="str">
        <f>IF(COUNTIFS('LANÇAMENTOS DIÁRIOS'!$G$5:$G$500,"G",'LANÇAMENTOS DIÁRIOS'!$C$5:$C$500,$A31,'LANÇAMENTOS DIÁRIOS'!$O$5:$O$500,"&lt;=117679",'LANÇAMENTOS DIÁRIOS'!$P$5:$P$500,"&gt;=117580")&gt;0,"X","")</f>
      </c>
      <c r="E31" s="56" t="str">
        <f>IF(COUNTIFS('LANÇAMENTOS DIÁRIOS'!$G$5:$G$500,"G",'LANÇAMENTOS DIÁRIOS'!$C$5:$C$500,$A31,'LANÇAMENTOS DIÁRIOS'!$O$5:$O$500,"&lt;=117779",'LANÇAMENTOS DIÁRIOS'!$P$5:$P$500,"&gt;=117680")&gt;0,"X","")</f>
      </c>
      <c r="F31" s="56" t="str">
        <f>IF(COUNTIFS('LANÇAMENTOS DIÁRIOS'!$G$5:$G$500,"G",'LANÇAMENTOS DIÁRIOS'!$C$5:$C$500,$A31,'LANÇAMENTOS DIÁRIOS'!$O$5:$O$500,"&lt;=117879",'LANÇAMENTOS DIÁRIOS'!$P$5:$P$500,"&gt;=117780")&gt;0,"X","")</f>
      </c>
      <c r="G31" s="56" t="str">
        <f>IF(COUNTIFS('LANÇAMENTOS DIÁRIOS'!$G$5:$G$500,"G",'LANÇAMENTOS DIÁRIOS'!$C$5:$C$500,$A31,'LANÇAMENTOS DIÁRIOS'!$O$5:$O$500,"&lt;=117979",'LANÇAMENTOS DIÁRIOS'!$P$5:$P$500,"&gt;=117880")&gt;0,"X","")</f>
      </c>
      <c r="H31" s="56" t="str">
        <f>IF(COUNTIFS('LANÇAMENTOS DIÁRIOS'!$G$5:$G$500,"G",'LANÇAMENTOS DIÁRIOS'!$C$5:$C$500,$A31,'LANÇAMENTOS DIÁRIOS'!$O$5:$O$500,"&lt;=118079",'LANÇAMENTOS DIÁRIOS'!$P$5:$P$500,"&gt;=117980")&gt;0,"X","")</f>
      </c>
      <c r="I31" s="56" t="str">
        <f>IF(COUNTIFS('LANÇAMENTOS DIÁRIOS'!$G$5:$G$500,"G",'LANÇAMENTOS DIÁRIOS'!$C$5:$C$500,$A31,'LANÇAMENTOS DIÁRIOS'!$O$5:$O$500,"&lt;=118179",'LANÇAMENTOS DIÁRIOS'!$P$5:$P$500,"&gt;=118080")&gt;0,"X","")</f>
      </c>
      <c r="J31" s="56" t="str">
        <f>IF(COUNTIFS('LANÇAMENTOS DIÁRIOS'!$G$5:$G$500,"G",'LANÇAMENTOS DIÁRIOS'!$C$5:$C$500,$A31,'LANÇAMENTOS DIÁRIOS'!$O$5:$O$500,"&lt;=118279",'LANÇAMENTOS DIÁRIOS'!$P$5:$P$500,"&gt;=118180")&gt;0,"X","")</f>
      </c>
      <c r="K31" s="56" t="str">
        <f>IF(COUNTIFS('LANÇAMENTOS DIÁRIOS'!$G$5:$G$500,"G",'LANÇAMENTOS DIÁRIOS'!$C$5:$C$500,$A31,'LANÇAMENTOS DIÁRIOS'!$O$5:$O$500,"&lt;=118379",'LANÇAMENTOS DIÁRIOS'!$P$5:$P$500,"&gt;=118280")&gt;0,"X","")</f>
      </c>
      <c r="L31" s="56" t="str">
        <f>IF(COUNTIFS('LANÇAMENTOS DIÁRIOS'!$G$5:$G$500,"G",'LANÇAMENTOS DIÁRIOS'!$C$5:$C$500,$A31,'LANÇAMENTOS DIÁRIOS'!$O$5:$O$500,"&lt;=118479",'LANÇAMENTOS DIÁRIOS'!$P$5:$P$500,"&gt;=118380")&gt;0,"X","")</f>
      </c>
      <c r="M31" s="56" t="str">
        <f>IF(COUNTIFS('LANÇAMENTOS DIÁRIOS'!$G$5:$G$500,"G",'LANÇAMENTOS DIÁRIOS'!$C$5:$C$500,$A31,'LANÇAMENTOS DIÁRIOS'!$O$5:$O$500,"&lt;=118579",'LANÇAMENTOS DIÁRIOS'!$P$5:$P$500,"&gt;=118480")&gt;0,"X","")</f>
      </c>
      <c r="N31" s="56" t="str">
        <f>IF(COUNTIFS('LANÇAMENTOS DIÁRIOS'!$G$5:$G$500,"G",'LANÇAMENTOS DIÁRIOS'!$C$5:$C$500,$A31,'LANÇAMENTOS DIÁRIOS'!$O$5:$O$500,"&lt;=118679",'LANÇAMENTOS DIÁRIOS'!$P$5:$P$500,"&gt;=118580")&gt;0,"X","")</f>
      </c>
      <c r="O31" s="56" t="str">
        <f>IF(COUNTIFS('LANÇAMENTOS DIÁRIOS'!$G$5:$G$500,"G",'LANÇAMENTOS DIÁRIOS'!$C$5:$C$500,$A31,'LANÇAMENTOS DIÁRIOS'!$O$5:$O$500,"&lt;=118779",'LANÇAMENTOS DIÁRIOS'!$P$5:$P$500,"&gt;=118680")&gt;0,"X","")</f>
      </c>
      <c r="P31" s="56" t="str">
        <f>IF(COUNTIFS('LANÇAMENTOS DIÁRIOS'!$G$5:$G$500,"G",'LANÇAMENTOS DIÁRIOS'!$C$5:$C$500,$A31,'LANÇAMENTOS DIÁRIOS'!$O$5:$O$500,"&lt;=118879",'LANÇAMENTOS DIÁRIOS'!$P$5:$P$500,"&gt;=118780")&gt;0,"X","")</f>
      </c>
      <c r="Q31" s="56" t="str">
        <f>IF(COUNTIFS('LANÇAMENTOS DIÁRIOS'!$G$5:$G$500,"G",'LANÇAMENTOS DIÁRIOS'!$C$5:$C$500,$A31,'LANÇAMENTOS DIÁRIOS'!$O$5:$O$500,"&lt;=118979",'LANÇAMENTOS DIÁRIOS'!$P$5:$P$500,"&gt;=118880")&gt;0,"X","")</f>
      </c>
      <c r="R31" s="56" t="str">
        <f>IF(COUNTIFS('LANÇAMENTOS DIÁRIOS'!$G$5:$G$500,"G",'LANÇAMENTOS DIÁRIOS'!$C$5:$C$500,$A31,'LANÇAMENTOS DIÁRIOS'!$O$5:$O$500,"&lt;=119079",'LANÇAMENTOS DIÁRIOS'!$P$5:$P$500,"&gt;=118980")&gt;0,"X","")</f>
      </c>
      <c r="S31" s="56" t="str">
        <f>IF(COUNTIFS('LANÇAMENTOS DIÁRIOS'!$G$5:$G$500,"G",'LANÇAMENTOS DIÁRIOS'!$C$5:$C$500,$A31,'LANÇAMENTOS DIÁRIOS'!$O$5:$O$500,"&lt;=119179",'LANÇAMENTOS DIÁRIOS'!$P$5:$P$500,"&gt;=119080")&gt;0,"X","")</f>
      </c>
      <c r="T31" s="56" t="str">
        <f>IF(COUNTIFS('LANÇAMENTOS DIÁRIOS'!$G$5:$G$500,"G",'LANÇAMENTOS DIÁRIOS'!$C$5:$C$500,$A31,'LANÇAMENTOS DIÁRIOS'!$O$5:$O$500,"&lt;=119279",'LANÇAMENTOS DIÁRIOS'!$P$5:$P$500,"&gt;=119180")&gt;0,"X","")</f>
      </c>
      <c r="U31" s="56" t="str">
        <f>IF(COUNTIFS('LANÇAMENTOS DIÁRIOS'!$G$5:$G$500,"G",'LANÇAMENTOS DIÁRIOS'!$C$5:$C$500,$A31,'LANÇAMENTOS DIÁRIOS'!$O$5:$O$500,"&lt;=119379",'LANÇAMENTOS DIÁRIOS'!$P$5:$P$500,"&gt;=119280")&gt;0,"X","")</f>
      </c>
      <c r="V31" s="56" t="str">
        <f>IF(COUNTIFS('LANÇAMENTOS DIÁRIOS'!$G$5:$G$500,"G",'LANÇAMENTOS DIÁRIOS'!$C$5:$C$500,$A31,'LANÇAMENTOS DIÁRIOS'!$O$5:$O$500,"&lt;=119479",'LANÇAMENTOS DIÁRIOS'!$P$5:$P$500,"&gt;=119380")&gt;0,"X","")</f>
      </c>
      <c r="W31" s="56" t="str">
        <f>IF(COUNTIFS('LANÇAMENTOS DIÁRIOS'!$G$5:$G$500,"G",'LANÇAMENTOS DIÁRIOS'!$C$5:$C$500,$A31,'LANÇAMENTOS DIÁRIOS'!$O$5:$O$500,"&lt;=119579",'LANÇAMENTOS DIÁRIOS'!$P$5:$P$500,"&gt;=119480")&gt;0,"X","")</f>
      </c>
      <c r="X31" s="56" t="str">
        <f>IF(COUNTIFS('LANÇAMENTOS DIÁRIOS'!$G$5:$G$500,"G",'LANÇAMENTOS DIÁRIOS'!$C$5:$C$500,$A31,'LANÇAMENTOS DIÁRIOS'!$O$5:$O$500,"&lt;=119679",'LANÇAMENTOS DIÁRIOS'!$P$5:$P$500,"&gt;=119580")&gt;0,"X","")</f>
      </c>
      <c r="Y31" s="56" t="str">
        <f>IF(COUNTIFS('LANÇAMENTOS DIÁRIOS'!$G$5:$G$500,"G",'LANÇAMENTOS DIÁRIOS'!$C$5:$C$500,$A31,'LANÇAMENTOS DIÁRIOS'!$O$5:$O$500,"&lt;=119779",'LANÇAMENTOS DIÁRIOS'!$P$5:$P$500,"&gt;=119680")&gt;0,"X","")</f>
      </c>
      <c r="Z31" s="56" t="str">
        <f>IF(COUNTIFS('LANÇAMENTOS DIÁRIOS'!$G$5:$G$500,"G",'LANÇAMENTOS DIÁRIOS'!$C$5:$C$500,$A31,'LANÇAMENTOS DIÁRIOS'!$O$5:$O$500,"&lt;=119879",'LANÇAMENTOS DIÁRIOS'!$P$5:$P$500,"&gt;=119780")&gt;0,"X","")</f>
      </c>
      <c r="AA31" s="56" t="str">
        <f>IF(COUNTIFS('LANÇAMENTOS DIÁRIOS'!$G$5:$G$500,"G",'LANÇAMENTOS DIÁRIOS'!$C$5:$C$500,$A31,'LANÇAMENTOS DIÁRIOS'!$O$5:$O$500,"&lt;=119979",'LANÇAMENTOS DIÁRIOS'!$P$5:$P$500,"&gt;=119880")&gt;0,"X","")</f>
      </c>
      <c r="AB31" s="56" t="str">
        <f>IF(COUNTIFS('LANÇAMENTOS DIÁRIOS'!$G$5:$G$500,"G",'LANÇAMENTOS DIÁRIOS'!$C$5:$C$500,$A31,'LANÇAMENTOS DIÁRIOS'!$O$5:$O$500,"&lt;=120079",'LANÇAMENTOS DIÁRIOS'!$P$5:$P$500,"&gt;=119980")&gt;0,"X","")</f>
      </c>
      <c r="AC31" s="56" t="str">
        <f>IF(COUNTIFS('LANÇAMENTOS DIÁRIOS'!$G$5:$G$500,"G",'LANÇAMENTOS DIÁRIOS'!$C$5:$C$500,$A31,'LANÇAMENTOS DIÁRIOS'!$O$5:$O$500,"&lt;=120179",'LANÇAMENTOS DIÁRIOS'!$P$5:$P$500,"&gt;=120080")&gt;0,"X","")</f>
      </c>
      <c r="AD31" s="56" t="str">
        <f>IF(COUNTIFS('LANÇAMENTOS DIÁRIOS'!$G$5:$G$500,"G",'LANÇAMENTOS DIÁRIOS'!$C$5:$C$500,$A31,'LANÇAMENTOS DIÁRIOS'!$O$5:$O$500,"&lt;=120279",'LANÇAMENTOS DIÁRIOS'!$P$5:$P$500,"&gt;=120180")&gt;0,"X","")</f>
      </c>
      <c r="AE31" s="56" t="str">
        <f>IF(COUNTIFS('LANÇAMENTOS DIÁRIOS'!$G$5:$G$500,"G",'LANÇAMENTOS DIÁRIOS'!$C$5:$C$500,$A31,'LANÇAMENTOS DIÁRIOS'!$O$5:$O$500,"&lt;=120379",'LANÇAMENTOS DIÁRIOS'!$P$5:$P$500,"&gt;=120280")&gt;0,"X","")</f>
      </c>
      <c r="AF31" s="56" t="str">
        <f>IF(COUNTIFS('LANÇAMENTOS DIÁRIOS'!$G$5:$G$500,"G",'LANÇAMENTOS DIÁRIOS'!$C$5:$C$500,$A31,'LANÇAMENTOS DIÁRIOS'!$O$5:$O$500,"&lt;=120479",'LANÇAMENTOS DIÁRIOS'!$P$5:$P$500,"&gt;=120380")&gt;0,"X","")</f>
      </c>
      <c r="AG31" s="56" t="str">
        <f>IF(COUNTIFS('LANÇAMENTOS DIÁRIOS'!$G$5:$G$500,"G",'LANÇAMENTOS DIÁRIOS'!$C$5:$C$500,$A31,'LANÇAMENTOS DIÁRIOS'!$O$5:$O$500,"&lt;=120579",'LANÇAMENTOS DIÁRIOS'!$P$5:$P$500,"&gt;=120480")&gt;0,"X","")</f>
      </c>
      <c r="AH31" s="56" t="str">
        <f>IF(COUNTIFS('LANÇAMENTOS DIÁRIOS'!$G$5:$G$500,"G",'LANÇAMENTOS DIÁRIOS'!$C$5:$C$500,$A31,'LANÇAMENTOS DIÁRIOS'!$O$5:$O$500,"&lt;=120679",'LANÇAMENTOS DIÁRIOS'!$P$5:$P$500,"&gt;=120580")&gt;0,"X","")</f>
      </c>
      <c r="AI31" s="56" t="str">
        <f>IF(COUNTIFS('LANÇAMENTOS DIÁRIOS'!$G$5:$G$500,"G",'LANÇAMENTOS DIÁRIOS'!$C$5:$C$500,$A31,'LANÇAMENTOS DIÁRIOS'!$O$5:$O$500,"&lt;=120779",'LANÇAMENTOS DIÁRIOS'!$P$5:$P$500,"&gt;=120680")&gt;0,"X","")</f>
      </c>
      <c r="AJ31" s="56" t="str">
        <f>IF(COUNTIFS('LANÇAMENTOS DIÁRIOS'!$G$5:$G$500,"G",'LANÇAMENTOS DIÁRIOS'!$C$5:$C$500,$A31,'LANÇAMENTOS DIÁRIOS'!$O$5:$O$500,"&lt;=120879",'LANÇAMENTOS DIÁRIOS'!$P$5:$P$500,"&gt;=120780")&gt;0,"X","")</f>
      </c>
      <c r="AK31" s="56" t="str">
        <f>IF(COUNTIFS('LANÇAMENTOS DIÁRIOS'!$G$5:$G$500,"G",'LANÇAMENTOS DIÁRIOS'!$C$5:$C$500,$A31,'LANÇAMENTOS DIÁRIOS'!$O$5:$O$500,"&lt;=120979",'LANÇAMENTOS DIÁRIOS'!$P$5:$P$500,"&gt;=120880")&gt;0,"X","")</f>
      </c>
      <c r="AL31" s="56" t="str">
        <f>IF(COUNTIFS('LANÇAMENTOS DIÁRIOS'!$G$5:$G$500,"G",'LANÇAMENTOS DIÁRIOS'!$C$5:$C$500,$A31,'LANÇAMENTOS DIÁRIOS'!$O$5:$O$500,"&lt;=121079",'LANÇAMENTOS DIÁRIOS'!$P$5:$P$500,"&gt;=120980")&gt;0,"X","")</f>
      </c>
      <c r="AM31" s="56" t="str">
        <f>IF(COUNTIFS('LANÇAMENTOS DIÁRIOS'!$G$5:$G$500,"G",'LANÇAMENTOS DIÁRIOS'!$C$5:$C$500,$A31,'LANÇAMENTOS DIÁRIOS'!$O$5:$O$500,"&lt;=121179",'LANÇAMENTOS DIÁRIOS'!$P$5:$P$500,"&gt;=121080")&gt;0,"X","")</f>
      </c>
      <c r="AN31" s="56" t="str">
        <f>IF(COUNTIFS('LANÇAMENTOS DIÁRIOS'!$G$5:$G$500,"G",'LANÇAMENTOS DIÁRIOS'!$C$5:$C$500,$A31,'LANÇAMENTOS DIÁRIOS'!$O$5:$O$500,"&lt;=121279",'LANÇAMENTOS DIÁRIOS'!$P$5:$P$500,"&gt;=121180")&gt;0,"X","")</f>
      </c>
      <c r="AO31" s="56" t="str">
        <f>IF(COUNTIFS('LANÇAMENTOS DIÁRIOS'!$G$5:$G$500,"G",'LANÇAMENTOS DIÁRIOS'!$C$5:$C$500,$A31,'LANÇAMENTOS DIÁRIOS'!$O$5:$O$500,"&lt;=121379",'LANÇAMENTOS DIÁRIOS'!$P$5:$P$500,"&gt;=121280")&gt;0,"X","")</f>
      </c>
      <c r="AP31" s="56" t="str">
        <f>IF(COUNTIFS('LANÇAMENTOS DIÁRIOS'!$G$5:$G$500,"G",'LANÇAMENTOS DIÁRIOS'!$C$5:$C$500,$A31,'LANÇAMENTOS DIÁRIOS'!$O$5:$O$500,"&lt;=121479",'LANÇAMENTOS DIÁRIOS'!$P$5:$P$500,"&gt;=121380")&gt;0,"X","")</f>
      </c>
      <c r="AQ31" s="56" t="str">
        <f>IF(COUNTIFS('LANÇAMENTOS DIÁRIOS'!$G$5:$G$500,"G",'LANÇAMENTOS DIÁRIOS'!$C$5:$C$500,$A31,'LANÇAMENTOS DIÁRIOS'!$O$5:$O$500,"&lt;=121579",'LANÇAMENTOS DIÁRIOS'!$P$5:$P$500,"&gt;=121480")&gt;0,"X","")</f>
      </c>
      <c r="AR31" s="56" t="str">
        <f>IF(COUNTIFS('LANÇAMENTOS DIÁRIOS'!$G$5:$G$500,"G",'LANÇAMENTOS DIÁRIOS'!$C$5:$C$500,$A31,'LANÇAMENTOS DIÁRIOS'!$O$5:$O$500,"&lt;=121679",'LANÇAMENTOS DIÁRIOS'!$P$5:$P$500,"&gt;=121580")&gt;0,"X","")</f>
      </c>
      <c r="AS31" s="56" t="str">
        <f>IF(COUNTIFS('LANÇAMENTOS DIÁRIOS'!$G$5:$G$500,"G",'LANÇAMENTOS DIÁRIOS'!$C$5:$C$500,$A31,'LANÇAMENTOS DIÁRIOS'!$O$5:$O$500,"&lt;=121779",'LANÇAMENTOS DIÁRIOS'!$P$5:$P$500,"&gt;=121680")&gt;0,"X","")</f>
      </c>
      <c r="AT31" s="56" t="str">
        <f>IF(COUNTIFS('LANÇAMENTOS DIÁRIOS'!$G$5:$G$500,"G",'LANÇAMENTOS DIÁRIOS'!$C$5:$C$500,$A31,'LANÇAMENTOS DIÁRIOS'!$O$5:$O$500,"&lt;=121879",'LANÇAMENTOS DIÁRIOS'!$P$5:$P$500,"&gt;=121780")&gt;0,"X","")</f>
      </c>
      <c r="AU31" s="56" t="str">
        <f>IF(COUNTIFS('LANÇAMENTOS DIÁRIOS'!$G$5:$G$500,"G",'LANÇAMENTOS DIÁRIOS'!$C$5:$C$500,$A31,'LANÇAMENTOS DIÁRIOS'!$O$5:$O$500,"&lt;=121979",'LANÇAMENTOS DIÁRIOS'!$P$5:$P$500,"&gt;=121880")&gt;0,"X","")</f>
      </c>
      <c r="AV31" s="56" t="str">
        <f>IF(COUNTIFS('LANÇAMENTOS DIÁRIOS'!$G$5:$G$500,"G",'LANÇAMENTOS DIÁRIOS'!$C$5:$C$500,$A31,'LANÇAMENTOS DIÁRIOS'!$O$5:$O$500,"&lt;=122079",'LANÇAMENTOS DIÁRIOS'!$P$5:$P$500,"&gt;=121980")&gt;0,"X","")</f>
      </c>
      <c r="AW31" s="56" t="str">
        <f>IF(COUNTIFS('LANÇAMENTOS DIÁRIOS'!$G$5:$G$500,"G",'LANÇAMENTOS DIÁRIOS'!$C$5:$C$500,$A31,'LANÇAMENTOS DIÁRIOS'!$O$5:$O$500,"&lt;=122179",'LANÇAMENTOS DIÁRIOS'!$P$5:$P$500,"&gt;=122080")&gt;0,"X","")</f>
      </c>
      <c r="AX31" s="56" t="str">
        <f>IF(COUNTIFS('LANÇAMENTOS DIÁRIOS'!$G$5:$G$500,"G",'LANÇAMENTOS DIÁRIOS'!$C$5:$C$500,$A31,'LANÇAMENTOS DIÁRIOS'!$O$5:$O$500,"&lt;=122279",'LANÇAMENTOS DIÁRIOS'!$P$5:$P$500,"&gt;=122180")&gt;0,"X","")</f>
      </c>
      <c r="AY31" s="56" t="str">
        <f>IF(COUNTIFS('LANÇAMENTOS DIÁRIOS'!$G$5:$G$500,"G",'LANÇAMENTOS DIÁRIOS'!$C$5:$C$500,$A31,'LANÇAMENTOS DIÁRIOS'!$O$5:$O$500,"&lt;=122379",'LANÇAMENTOS DIÁRIOS'!$P$5:$P$500,"&gt;=122280")&gt;0,"X","")</f>
      </c>
      <c r="AZ31" s="56" t="str">
        <f>IF(COUNTIFS('LANÇAMENTOS DIÁRIOS'!$G$5:$G$500,"G",'LANÇAMENTOS DIÁRIOS'!$C$5:$C$500,$A31,'LANÇAMENTOS DIÁRIOS'!$O$5:$O$500,"&lt;=122479",'LANÇAMENTOS DIÁRIOS'!$P$5:$P$500,"&gt;=122380")&gt;0,"X","")</f>
      </c>
      <c r="BA31" s="56" t="str">
        <f>IF(COUNTIFS('LANÇAMENTOS DIÁRIOS'!$G$5:$G$500,"G",'LANÇAMENTOS DIÁRIOS'!$C$5:$C$500,$A31,'LANÇAMENTOS DIÁRIOS'!$O$5:$O$500,"&lt;=122579",'LANÇAMENTOS DIÁRIOS'!$P$5:$P$500,"&gt;=122480")&gt;0,"X","")</f>
      </c>
      <c r="BB31" s="56" t="str">
        <f>IF(COUNTIFS('LANÇAMENTOS DIÁRIOS'!$G$5:$G$500,"G",'LANÇAMENTOS DIÁRIOS'!$C$5:$C$500,$A31,'LANÇAMENTOS DIÁRIOS'!$O$5:$O$500,"&lt;=122679",'LANÇAMENTOS DIÁRIOS'!$P$5:$P$500,"&gt;=122580")&gt;0,"X","")</f>
      </c>
      <c r="BC31" s="56" t="str">
        <f>IF(COUNTIFS('LANÇAMENTOS DIÁRIOS'!$G$5:$G$500,"G",'LANÇAMENTOS DIÁRIOS'!$C$5:$C$500,$A31,'LANÇAMENTOS DIÁRIOS'!$O$5:$O$500,"&lt;=122779",'LANÇAMENTOS DIÁRIOS'!$P$5:$P$500,"&gt;=122680")&gt;0,"X","")</f>
      </c>
      <c r="BD31" s="56" t="str">
        <f>IF(COUNTIFS('LANÇAMENTOS DIÁRIOS'!$G$5:$G$500,"G",'LANÇAMENTOS DIÁRIOS'!$C$5:$C$500,$A31,'LANÇAMENTOS DIÁRIOS'!$O$5:$O$500,"&lt;=122879",'LANÇAMENTOS DIÁRIOS'!$P$5:$P$500,"&gt;=122780")&gt;0,"X","")</f>
      </c>
      <c r="BE31" s="56" t="str">
        <f>IF(COUNTIFS('LANÇAMENTOS DIÁRIOS'!$G$5:$G$500,"G",'LANÇAMENTOS DIÁRIOS'!$C$5:$C$500,$A31,'LANÇAMENTOS DIÁRIOS'!$O$5:$O$500,"&lt;=122979",'LANÇAMENTOS DIÁRIOS'!$P$5:$P$500,"&gt;=122880")&gt;0,"X","")</f>
      </c>
      <c r="BF31" s="56" t="str">
        <f>IF(COUNTIFS('LANÇAMENTOS DIÁRIOS'!$G$5:$G$500,"G",'LANÇAMENTOS DIÁRIOS'!$C$5:$C$500,$A31,'LANÇAMENTOS DIÁRIOS'!$O$5:$O$500,"&lt;=123079",'LANÇAMENTOS DIÁRIOS'!$P$5:$P$500,"&gt;=122980")&gt;0,"X","")</f>
      </c>
      <c r="BG31" s="56" t="str">
        <f>IF(COUNTIFS('LANÇAMENTOS DIÁRIOS'!$G$5:$G$500,"G",'LANÇAMENTOS DIÁRIOS'!$C$5:$C$500,$A31,'LANÇAMENTOS DIÁRIOS'!$O$5:$O$500,"&lt;=123179",'LANÇAMENTOS DIÁRIOS'!$P$5:$P$500,"&gt;=123080")&gt;0,"X","")</f>
      </c>
      <c r="BH31" s="56" t="str">
        <f>IF(COUNTIFS('LANÇAMENTOS DIÁRIOS'!$G$5:$G$500,"G",'LANÇAMENTOS DIÁRIOS'!$C$5:$C$500,$A31,'LANÇAMENTOS DIÁRIOS'!$O$5:$O$500,"&lt;=123279",'LANÇAMENTOS DIÁRIOS'!$P$5:$P$500,"&gt;=123180")&gt;0,"X","")</f>
      </c>
      <c r="BI31" s="56" t="str">
        <f>IF(COUNTIFS('LANÇAMENTOS DIÁRIOS'!$G$5:$G$500,"G",'LANÇAMENTOS DIÁRIOS'!$C$5:$C$500,$A31,'LANÇAMENTOS DIÁRIOS'!$O$5:$O$500,"&lt;=123379",'LANÇAMENTOS DIÁRIOS'!$P$5:$P$500,"&gt;=123280")&gt;0,"X","")</f>
      </c>
      <c r="BJ31" s="56" t="str">
        <f>IF(COUNTIFS('LANÇAMENTOS DIÁRIOS'!$G$5:$G$500,"G",'LANÇAMENTOS DIÁRIOS'!$C$5:$C$500,$A31,'LANÇAMENTOS DIÁRIOS'!$O$5:$O$500,"&lt;=123479",'LANÇAMENTOS DIÁRIOS'!$P$5:$P$500,"&gt;=123380")&gt;0,"X","")</f>
      </c>
      <c r="BK31" s="56" t="str">
        <f>IF(COUNTIFS('LANÇAMENTOS DIÁRIOS'!$G$5:$G$500,"G",'LANÇAMENTOS DIÁRIOS'!$C$5:$C$500,$A31,'LANÇAMENTOS DIÁRIOS'!$O$5:$O$500,"&lt;=123480",'LANÇAMENTOS DIÁRIOS'!$P$5:$P$500,"&gt;=123480")&gt;0,"X","")</f>
      </c>
    </row>
    <row r="32">
      <c r="A32" s="51" t="str">
        <v>Derrubada e destocamento.arv. c/ diâmetro 40&lt;&gt;50cm, com limpeza da área</v>
      </c>
      <c r="B32" s="56" t="str">
        <f>IF(COUNTIFS('LANÇAMENTOS DIÁRIOS'!$G$5:$G$500,"G",'LANÇAMENTOS DIÁRIOS'!$C$5:$C$500,$A32,'LANÇAMENTOS DIÁRIOS'!$O$5:$O$500,"&lt;=117479",'LANÇAMENTOS DIÁRIOS'!$P$5:$P$500,"&gt;=117380")&gt;0,"X","")</f>
      </c>
      <c r="C32" s="56" t="str">
        <f>IF(COUNTIFS('LANÇAMENTOS DIÁRIOS'!$G$5:$G$500,"G",'LANÇAMENTOS DIÁRIOS'!$C$5:$C$500,$A32,'LANÇAMENTOS DIÁRIOS'!$O$5:$O$500,"&lt;=117579",'LANÇAMENTOS DIÁRIOS'!$P$5:$P$500,"&gt;=117480")&gt;0,"X","")</f>
      </c>
      <c r="D32" s="56" t="str">
        <f>IF(COUNTIFS('LANÇAMENTOS DIÁRIOS'!$G$5:$G$500,"G",'LANÇAMENTOS DIÁRIOS'!$C$5:$C$500,$A32,'LANÇAMENTOS DIÁRIOS'!$O$5:$O$500,"&lt;=117679",'LANÇAMENTOS DIÁRIOS'!$P$5:$P$500,"&gt;=117580")&gt;0,"X","")</f>
      </c>
      <c r="E32" s="56" t="str">
        <f>IF(COUNTIFS('LANÇAMENTOS DIÁRIOS'!$G$5:$G$500,"G",'LANÇAMENTOS DIÁRIOS'!$C$5:$C$500,$A32,'LANÇAMENTOS DIÁRIOS'!$O$5:$O$500,"&lt;=117779",'LANÇAMENTOS DIÁRIOS'!$P$5:$P$500,"&gt;=117680")&gt;0,"X","")</f>
      </c>
      <c r="F32" s="56" t="str">
        <f>IF(COUNTIFS('LANÇAMENTOS DIÁRIOS'!$G$5:$G$500,"G",'LANÇAMENTOS DIÁRIOS'!$C$5:$C$500,$A32,'LANÇAMENTOS DIÁRIOS'!$O$5:$O$500,"&lt;=117879",'LANÇAMENTOS DIÁRIOS'!$P$5:$P$500,"&gt;=117780")&gt;0,"X","")</f>
      </c>
      <c r="G32" s="56" t="str">
        <f>IF(COUNTIFS('LANÇAMENTOS DIÁRIOS'!$G$5:$G$500,"G",'LANÇAMENTOS DIÁRIOS'!$C$5:$C$500,$A32,'LANÇAMENTOS DIÁRIOS'!$O$5:$O$500,"&lt;=117979",'LANÇAMENTOS DIÁRIOS'!$P$5:$P$500,"&gt;=117880")&gt;0,"X","")</f>
      </c>
      <c r="H32" s="56" t="str">
        <f>IF(COUNTIFS('LANÇAMENTOS DIÁRIOS'!$G$5:$G$500,"G",'LANÇAMENTOS DIÁRIOS'!$C$5:$C$500,$A32,'LANÇAMENTOS DIÁRIOS'!$O$5:$O$500,"&lt;=118079",'LANÇAMENTOS DIÁRIOS'!$P$5:$P$500,"&gt;=117980")&gt;0,"X","")</f>
      </c>
      <c r="I32" s="56" t="str">
        <f>IF(COUNTIFS('LANÇAMENTOS DIÁRIOS'!$G$5:$G$500,"G",'LANÇAMENTOS DIÁRIOS'!$C$5:$C$500,$A32,'LANÇAMENTOS DIÁRIOS'!$O$5:$O$500,"&lt;=118179",'LANÇAMENTOS DIÁRIOS'!$P$5:$P$500,"&gt;=118080")&gt;0,"X","")</f>
      </c>
      <c r="J32" s="56" t="str">
        <f>IF(COUNTIFS('LANÇAMENTOS DIÁRIOS'!$G$5:$G$500,"G",'LANÇAMENTOS DIÁRIOS'!$C$5:$C$500,$A32,'LANÇAMENTOS DIÁRIOS'!$O$5:$O$500,"&lt;=118279",'LANÇAMENTOS DIÁRIOS'!$P$5:$P$500,"&gt;=118180")&gt;0,"X","")</f>
      </c>
      <c r="K32" s="56" t="str">
        <f>IF(COUNTIFS('LANÇAMENTOS DIÁRIOS'!$G$5:$G$500,"G",'LANÇAMENTOS DIÁRIOS'!$C$5:$C$500,$A32,'LANÇAMENTOS DIÁRIOS'!$O$5:$O$500,"&lt;=118379",'LANÇAMENTOS DIÁRIOS'!$P$5:$P$500,"&gt;=118280")&gt;0,"X","")</f>
      </c>
      <c r="L32" s="56" t="str">
        <f>IF(COUNTIFS('LANÇAMENTOS DIÁRIOS'!$G$5:$G$500,"G",'LANÇAMENTOS DIÁRIOS'!$C$5:$C$500,$A32,'LANÇAMENTOS DIÁRIOS'!$O$5:$O$500,"&lt;=118479",'LANÇAMENTOS DIÁRIOS'!$P$5:$P$500,"&gt;=118380")&gt;0,"X","")</f>
      </c>
      <c r="M32" s="56" t="str">
        <f>IF(COUNTIFS('LANÇAMENTOS DIÁRIOS'!$G$5:$G$500,"G",'LANÇAMENTOS DIÁRIOS'!$C$5:$C$500,$A32,'LANÇAMENTOS DIÁRIOS'!$O$5:$O$500,"&lt;=118579",'LANÇAMENTOS DIÁRIOS'!$P$5:$P$500,"&gt;=118480")&gt;0,"X","")</f>
      </c>
      <c r="N32" s="56" t="str">
        <f>IF(COUNTIFS('LANÇAMENTOS DIÁRIOS'!$G$5:$G$500,"G",'LANÇAMENTOS DIÁRIOS'!$C$5:$C$500,$A32,'LANÇAMENTOS DIÁRIOS'!$O$5:$O$500,"&lt;=118679",'LANÇAMENTOS DIÁRIOS'!$P$5:$P$500,"&gt;=118580")&gt;0,"X","")</f>
      </c>
      <c r="O32" s="56" t="str">
        <f>IF(COUNTIFS('LANÇAMENTOS DIÁRIOS'!$G$5:$G$500,"G",'LANÇAMENTOS DIÁRIOS'!$C$5:$C$500,$A32,'LANÇAMENTOS DIÁRIOS'!$O$5:$O$500,"&lt;=118779",'LANÇAMENTOS DIÁRIOS'!$P$5:$P$500,"&gt;=118680")&gt;0,"X","")</f>
      </c>
      <c r="P32" s="56" t="str">
        <f>IF(COUNTIFS('LANÇAMENTOS DIÁRIOS'!$G$5:$G$500,"G",'LANÇAMENTOS DIÁRIOS'!$C$5:$C$500,$A32,'LANÇAMENTOS DIÁRIOS'!$O$5:$O$500,"&lt;=118879",'LANÇAMENTOS DIÁRIOS'!$P$5:$P$500,"&gt;=118780")&gt;0,"X","")</f>
      </c>
      <c r="Q32" s="56" t="str">
        <f>IF(COUNTIFS('LANÇAMENTOS DIÁRIOS'!$G$5:$G$500,"G",'LANÇAMENTOS DIÁRIOS'!$C$5:$C$500,$A32,'LANÇAMENTOS DIÁRIOS'!$O$5:$O$500,"&lt;=118979",'LANÇAMENTOS DIÁRIOS'!$P$5:$P$500,"&gt;=118880")&gt;0,"X","")</f>
      </c>
      <c r="R32" s="56" t="str">
        <f>IF(COUNTIFS('LANÇAMENTOS DIÁRIOS'!$G$5:$G$500,"G",'LANÇAMENTOS DIÁRIOS'!$C$5:$C$500,$A32,'LANÇAMENTOS DIÁRIOS'!$O$5:$O$500,"&lt;=119079",'LANÇAMENTOS DIÁRIOS'!$P$5:$P$500,"&gt;=118980")&gt;0,"X","")</f>
      </c>
      <c r="S32" s="56" t="str">
        <f>IF(COUNTIFS('LANÇAMENTOS DIÁRIOS'!$G$5:$G$500,"G",'LANÇAMENTOS DIÁRIOS'!$C$5:$C$500,$A32,'LANÇAMENTOS DIÁRIOS'!$O$5:$O$500,"&lt;=119179",'LANÇAMENTOS DIÁRIOS'!$P$5:$P$500,"&gt;=119080")&gt;0,"X","")</f>
      </c>
      <c r="T32" s="56" t="str">
        <f>IF(COUNTIFS('LANÇAMENTOS DIÁRIOS'!$G$5:$G$500,"G",'LANÇAMENTOS DIÁRIOS'!$C$5:$C$500,$A32,'LANÇAMENTOS DIÁRIOS'!$O$5:$O$500,"&lt;=119279",'LANÇAMENTOS DIÁRIOS'!$P$5:$P$500,"&gt;=119180")&gt;0,"X","")</f>
      </c>
      <c r="U32" s="56" t="str">
        <f>IF(COUNTIFS('LANÇAMENTOS DIÁRIOS'!$G$5:$G$500,"G",'LANÇAMENTOS DIÁRIOS'!$C$5:$C$500,$A32,'LANÇAMENTOS DIÁRIOS'!$O$5:$O$500,"&lt;=119379",'LANÇAMENTOS DIÁRIOS'!$P$5:$P$500,"&gt;=119280")&gt;0,"X","")</f>
      </c>
      <c r="V32" s="56" t="str">
        <f>IF(COUNTIFS('LANÇAMENTOS DIÁRIOS'!$G$5:$G$500,"G",'LANÇAMENTOS DIÁRIOS'!$C$5:$C$500,$A32,'LANÇAMENTOS DIÁRIOS'!$O$5:$O$500,"&lt;=119479",'LANÇAMENTOS DIÁRIOS'!$P$5:$P$500,"&gt;=119380")&gt;0,"X","")</f>
      </c>
      <c r="W32" s="56" t="str">
        <f>IF(COUNTIFS('LANÇAMENTOS DIÁRIOS'!$G$5:$G$500,"G",'LANÇAMENTOS DIÁRIOS'!$C$5:$C$500,$A32,'LANÇAMENTOS DIÁRIOS'!$O$5:$O$500,"&lt;=119579",'LANÇAMENTOS DIÁRIOS'!$P$5:$P$500,"&gt;=119480")&gt;0,"X","")</f>
      </c>
      <c r="X32" s="56" t="str">
        <f>IF(COUNTIFS('LANÇAMENTOS DIÁRIOS'!$G$5:$G$500,"G",'LANÇAMENTOS DIÁRIOS'!$C$5:$C$500,$A32,'LANÇAMENTOS DIÁRIOS'!$O$5:$O$500,"&lt;=119679",'LANÇAMENTOS DIÁRIOS'!$P$5:$P$500,"&gt;=119580")&gt;0,"X","")</f>
      </c>
      <c r="Y32" s="56" t="str">
        <f>IF(COUNTIFS('LANÇAMENTOS DIÁRIOS'!$G$5:$G$500,"G",'LANÇAMENTOS DIÁRIOS'!$C$5:$C$500,$A32,'LANÇAMENTOS DIÁRIOS'!$O$5:$O$500,"&lt;=119779",'LANÇAMENTOS DIÁRIOS'!$P$5:$P$500,"&gt;=119680")&gt;0,"X","")</f>
      </c>
      <c r="Z32" s="56" t="str">
        <f>IF(COUNTIFS('LANÇAMENTOS DIÁRIOS'!$G$5:$G$500,"G",'LANÇAMENTOS DIÁRIOS'!$C$5:$C$500,$A32,'LANÇAMENTOS DIÁRIOS'!$O$5:$O$500,"&lt;=119879",'LANÇAMENTOS DIÁRIOS'!$P$5:$P$500,"&gt;=119780")&gt;0,"X","")</f>
      </c>
      <c r="AA32" s="56" t="str">
        <f>IF(COUNTIFS('LANÇAMENTOS DIÁRIOS'!$G$5:$G$500,"G",'LANÇAMENTOS DIÁRIOS'!$C$5:$C$500,$A32,'LANÇAMENTOS DIÁRIOS'!$O$5:$O$500,"&lt;=119979",'LANÇAMENTOS DIÁRIOS'!$P$5:$P$500,"&gt;=119880")&gt;0,"X","")</f>
      </c>
      <c r="AB32" s="56" t="str">
        <f>IF(COUNTIFS('LANÇAMENTOS DIÁRIOS'!$G$5:$G$500,"G",'LANÇAMENTOS DIÁRIOS'!$C$5:$C$500,$A32,'LANÇAMENTOS DIÁRIOS'!$O$5:$O$500,"&lt;=120079",'LANÇAMENTOS DIÁRIOS'!$P$5:$P$500,"&gt;=119980")&gt;0,"X","")</f>
      </c>
      <c r="AC32" s="56" t="str">
        <f>IF(COUNTIFS('LANÇAMENTOS DIÁRIOS'!$G$5:$G$500,"G",'LANÇAMENTOS DIÁRIOS'!$C$5:$C$500,$A32,'LANÇAMENTOS DIÁRIOS'!$O$5:$O$500,"&lt;=120179",'LANÇAMENTOS DIÁRIOS'!$P$5:$P$500,"&gt;=120080")&gt;0,"X","")</f>
      </c>
      <c r="AD32" s="56" t="str">
        <f>IF(COUNTIFS('LANÇAMENTOS DIÁRIOS'!$G$5:$G$500,"G",'LANÇAMENTOS DIÁRIOS'!$C$5:$C$500,$A32,'LANÇAMENTOS DIÁRIOS'!$O$5:$O$500,"&lt;=120279",'LANÇAMENTOS DIÁRIOS'!$P$5:$P$500,"&gt;=120180")&gt;0,"X","")</f>
      </c>
      <c r="AE32" s="56" t="str">
        <f>IF(COUNTIFS('LANÇAMENTOS DIÁRIOS'!$G$5:$G$500,"G",'LANÇAMENTOS DIÁRIOS'!$C$5:$C$500,$A32,'LANÇAMENTOS DIÁRIOS'!$O$5:$O$500,"&lt;=120379",'LANÇAMENTOS DIÁRIOS'!$P$5:$P$500,"&gt;=120280")&gt;0,"X","")</f>
      </c>
      <c r="AF32" s="56" t="str">
        <f>IF(COUNTIFS('LANÇAMENTOS DIÁRIOS'!$G$5:$G$500,"G",'LANÇAMENTOS DIÁRIOS'!$C$5:$C$500,$A32,'LANÇAMENTOS DIÁRIOS'!$O$5:$O$500,"&lt;=120479",'LANÇAMENTOS DIÁRIOS'!$P$5:$P$500,"&gt;=120380")&gt;0,"X","")</f>
      </c>
      <c r="AG32" s="56" t="str">
        <f>IF(COUNTIFS('LANÇAMENTOS DIÁRIOS'!$G$5:$G$500,"G",'LANÇAMENTOS DIÁRIOS'!$C$5:$C$500,$A32,'LANÇAMENTOS DIÁRIOS'!$O$5:$O$500,"&lt;=120579",'LANÇAMENTOS DIÁRIOS'!$P$5:$P$500,"&gt;=120480")&gt;0,"X","")</f>
      </c>
      <c r="AH32" s="56" t="str">
        <f>IF(COUNTIFS('LANÇAMENTOS DIÁRIOS'!$G$5:$G$500,"G",'LANÇAMENTOS DIÁRIOS'!$C$5:$C$500,$A32,'LANÇAMENTOS DIÁRIOS'!$O$5:$O$500,"&lt;=120679",'LANÇAMENTOS DIÁRIOS'!$P$5:$P$500,"&gt;=120580")&gt;0,"X","")</f>
      </c>
      <c r="AI32" s="56" t="str">
        <f>IF(COUNTIFS('LANÇAMENTOS DIÁRIOS'!$G$5:$G$500,"G",'LANÇAMENTOS DIÁRIOS'!$C$5:$C$500,$A32,'LANÇAMENTOS DIÁRIOS'!$O$5:$O$500,"&lt;=120779",'LANÇAMENTOS DIÁRIOS'!$P$5:$P$500,"&gt;=120680")&gt;0,"X","")</f>
      </c>
      <c r="AJ32" s="56" t="str">
        <f>IF(COUNTIFS('LANÇAMENTOS DIÁRIOS'!$G$5:$G$500,"G",'LANÇAMENTOS DIÁRIOS'!$C$5:$C$500,$A32,'LANÇAMENTOS DIÁRIOS'!$O$5:$O$500,"&lt;=120879",'LANÇAMENTOS DIÁRIOS'!$P$5:$P$500,"&gt;=120780")&gt;0,"X","")</f>
      </c>
      <c r="AK32" s="56" t="str">
        <f>IF(COUNTIFS('LANÇAMENTOS DIÁRIOS'!$G$5:$G$500,"G",'LANÇAMENTOS DIÁRIOS'!$C$5:$C$500,$A32,'LANÇAMENTOS DIÁRIOS'!$O$5:$O$500,"&lt;=120979",'LANÇAMENTOS DIÁRIOS'!$P$5:$P$500,"&gt;=120880")&gt;0,"X","")</f>
      </c>
      <c r="AL32" s="56" t="str">
        <f>IF(COUNTIFS('LANÇAMENTOS DIÁRIOS'!$G$5:$G$500,"G",'LANÇAMENTOS DIÁRIOS'!$C$5:$C$500,$A32,'LANÇAMENTOS DIÁRIOS'!$O$5:$O$500,"&lt;=121079",'LANÇAMENTOS DIÁRIOS'!$P$5:$P$500,"&gt;=120980")&gt;0,"X","")</f>
      </c>
      <c r="AM32" s="56" t="str">
        <f>IF(COUNTIFS('LANÇAMENTOS DIÁRIOS'!$G$5:$G$500,"G",'LANÇAMENTOS DIÁRIOS'!$C$5:$C$500,$A32,'LANÇAMENTOS DIÁRIOS'!$O$5:$O$500,"&lt;=121179",'LANÇAMENTOS DIÁRIOS'!$P$5:$P$500,"&gt;=121080")&gt;0,"X","")</f>
      </c>
      <c r="AN32" s="56" t="str">
        <f>IF(COUNTIFS('LANÇAMENTOS DIÁRIOS'!$G$5:$G$500,"G",'LANÇAMENTOS DIÁRIOS'!$C$5:$C$500,$A32,'LANÇAMENTOS DIÁRIOS'!$O$5:$O$500,"&lt;=121279",'LANÇAMENTOS DIÁRIOS'!$P$5:$P$500,"&gt;=121180")&gt;0,"X","")</f>
      </c>
      <c r="AO32" s="56" t="str">
        <f>IF(COUNTIFS('LANÇAMENTOS DIÁRIOS'!$G$5:$G$500,"G",'LANÇAMENTOS DIÁRIOS'!$C$5:$C$500,$A32,'LANÇAMENTOS DIÁRIOS'!$O$5:$O$500,"&lt;=121379",'LANÇAMENTOS DIÁRIOS'!$P$5:$P$500,"&gt;=121280")&gt;0,"X","")</f>
      </c>
      <c r="AP32" s="56" t="str">
        <f>IF(COUNTIFS('LANÇAMENTOS DIÁRIOS'!$G$5:$G$500,"G",'LANÇAMENTOS DIÁRIOS'!$C$5:$C$500,$A32,'LANÇAMENTOS DIÁRIOS'!$O$5:$O$500,"&lt;=121479",'LANÇAMENTOS DIÁRIOS'!$P$5:$P$500,"&gt;=121380")&gt;0,"X","")</f>
      </c>
      <c r="AQ32" s="56" t="str">
        <f>IF(COUNTIFS('LANÇAMENTOS DIÁRIOS'!$G$5:$G$500,"G",'LANÇAMENTOS DIÁRIOS'!$C$5:$C$500,$A32,'LANÇAMENTOS DIÁRIOS'!$O$5:$O$500,"&lt;=121579",'LANÇAMENTOS DIÁRIOS'!$P$5:$P$500,"&gt;=121480")&gt;0,"X","")</f>
      </c>
      <c r="AR32" s="56" t="str">
        <f>IF(COUNTIFS('LANÇAMENTOS DIÁRIOS'!$G$5:$G$500,"G",'LANÇAMENTOS DIÁRIOS'!$C$5:$C$500,$A32,'LANÇAMENTOS DIÁRIOS'!$O$5:$O$500,"&lt;=121679",'LANÇAMENTOS DIÁRIOS'!$P$5:$P$500,"&gt;=121580")&gt;0,"X","")</f>
      </c>
      <c r="AS32" s="56" t="str">
        <f>IF(COUNTIFS('LANÇAMENTOS DIÁRIOS'!$G$5:$G$500,"G",'LANÇAMENTOS DIÁRIOS'!$C$5:$C$500,$A32,'LANÇAMENTOS DIÁRIOS'!$O$5:$O$500,"&lt;=121779",'LANÇAMENTOS DIÁRIOS'!$P$5:$P$500,"&gt;=121680")&gt;0,"X","")</f>
      </c>
      <c r="AT32" s="56" t="str">
        <f>IF(COUNTIFS('LANÇAMENTOS DIÁRIOS'!$G$5:$G$500,"G",'LANÇAMENTOS DIÁRIOS'!$C$5:$C$500,$A32,'LANÇAMENTOS DIÁRIOS'!$O$5:$O$500,"&lt;=121879",'LANÇAMENTOS DIÁRIOS'!$P$5:$P$500,"&gt;=121780")&gt;0,"X","")</f>
      </c>
      <c r="AU32" s="56" t="str">
        <f>IF(COUNTIFS('LANÇAMENTOS DIÁRIOS'!$G$5:$G$500,"G",'LANÇAMENTOS DIÁRIOS'!$C$5:$C$500,$A32,'LANÇAMENTOS DIÁRIOS'!$O$5:$O$500,"&lt;=121979",'LANÇAMENTOS DIÁRIOS'!$P$5:$P$500,"&gt;=121880")&gt;0,"X","")</f>
      </c>
      <c r="AV32" s="56" t="str">
        <f>IF(COUNTIFS('LANÇAMENTOS DIÁRIOS'!$G$5:$G$500,"G",'LANÇAMENTOS DIÁRIOS'!$C$5:$C$500,$A32,'LANÇAMENTOS DIÁRIOS'!$O$5:$O$500,"&lt;=122079",'LANÇAMENTOS DIÁRIOS'!$P$5:$P$500,"&gt;=121980")&gt;0,"X","")</f>
      </c>
      <c r="AW32" s="56" t="str">
        <f>IF(COUNTIFS('LANÇAMENTOS DIÁRIOS'!$G$5:$G$500,"G",'LANÇAMENTOS DIÁRIOS'!$C$5:$C$500,$A32,'LANÇAMENTOS DIÁRIOS'!$O$5:$O$500,"&lt;=122179",'LANÇAMENTOS DIÁRIOS'!$P$5:$P$500,"&gt;=122080")&gt;0,"X","")</f>
      </c>
      <c r="AX32" s="56" t="str">
        <f>IF(COUNTIFS('LANÇAMENTOS DIÁRIOS'!$G$5:$G$500,"G",'LANÇAMENTOS DIÁRIOS'!$C$5:$C$500,$A32,'LANÇAMENTOS DIÁRIOS'!$O$5:$O$500,"&lt;=122279",'LANÇAMENTOS DIÁRIOS'!$P$5:$P$500,"&gt;=122180")&gt;0,"X","")</f>
      </c>
      <c r="AY32" s="56" t="str">
        <f>IF(COUNTIFS('LANÇAMENTOS DIÁRIOS'!$G$5:$G$500,"G",'LANÇAMENTOS DIÁRIOS'!$C$5:$C$500,$A32,'LANÇAMENTOS DIÁRIOS'!$O$5:$O$500,"&lt;=122379",'LANÇAMENTOS DIÁRIOS'!$P$5:$P$500,"&gt;=122280")&gt;0,"X","")</f>
      </c>
      <c r="AZ32" s="56" t="str">
        <f>IF(COUNTIFS('LANÇAMENTOS DIÁRIOS'!$G$5:$G$500,"G",'LANÇAMENTOS DIÁRIOS'!$C$5:$C$500,$A32,'LANÇAMENTOS DIÁRIOS'!$O$5:$O$500,"&lt;=122479",'LANÇAMENTOS DIÁRIOS'!$P$5:$P$500,"&gt;=122380")&gt;0,"X","")</f>
      </c>
      <c r="BA32" s="56" t="str">
        <f>IF(COUNTIFS('LANÇAMENTOS DIÁRIOS'!$G$5:$G$500,"G",'LANÇAMENTOS DIÁRIOS'!$C$5:$C$500,$A32,'LANÇAMENTOS DIÁRIOS'!$O$5:$O$500,"&lt;=122579",'LANÇAMENTOS DIÁRIOS'!$P$5:$P$500,"&gt;=122480")&gt;0,"X","")</f>
      </c>
      <c r="BB32" s="56" t="str">
        <f>IF(COUNTIFS('LANÇAMENTOS DIÁRIOS'!$G$5:$G$500,"G",'LANÇAMENTOS DIÁRIOS'!$C$5:$C$500,$A32,'LANÇAMENTOS DIÁRIOS'!$O$5:$O$500,"&lt;=122679",'LANÇAMENTOS DIÁRIOS'!$P$5:$P$500,"&gt;=122580")&gt;0,"X","")</f>
      </c>
      <c r="BC32" s="56" t="str">
        <f>IF(COUNTIFS('LANÇAMENTOS DIÁRIOS'!$G$5:$G$500,"G",'LANÇAMENTOS DIÁRIOS'!$C$5:$C$500,$A32,'LANÇAMENTOS DIÁRIOS'!$O$5:$O$500,"&lt;=122779",'LANÇAMENTOS DIÁRIOS'!$P$5:$P$500,"&gt;=122680")&gt;0,"X","")</f>
      </c>
      <c r="BD32" s="56" t="str">
        <f>IF(COUNTIFS('LANÇAMENTOS DIÁRIOS'!$G$5:$G$500,"G",'LANÇAMENTOS DIÁRIOS'!$C$5:$C$500,$A32,'LANÇAMENTOS DIÁRIOS'!$O$5:$O$500,"&lt;=122879",'LANÇAMENTOS DIÁRIOS'!$P$5:$P$500,"&gt;=122780")&gt;0,"X","")</f>
      </c>
      <c r="BE32" s="56" t="str">
        <f>IF(COUNTIFS('LANÇAMENTOS DIÁRIOS'!$G$5:$G$500,"G",'LANÇAMENTOS DIÁRIOS'!$C$5:$C$500,$A32,'LANÇAMENTOS DIÁRIOS'!$O$5:$O$500,"&lt;=122979",'LANÇAMENTOS DIÁRIOS'!$P$5:$P$500,"&gt;=122880")&gt;0,"X","")</f>
      </c>
      <c r="BF32" s="56" t="str">
        <f>IF(COUNTIFS('LANÇAMENTOS DIÁRIOS'!$G$5:$G$500,"G",'LANÇAMENTOS DIÁRIOS'!$C$5:$C$500,$A32,'LANÇAMENTOS DIÁRIOS'!$O$5:$O$500,"&lt;=123079",'LANÇAMENTOS DIÁRIOS'!$P$5:$P$500,"&gt;=122980")&gt;0,"X","")</f>
      </c>
      <c r="BG32" s="56" t="str">
        <f>IF(COUNTIFS('LANÇAMENTOS DIÁRIOS'!$G$5:$G$500,"G",'LANÇAMENTOS DIÁRIOS'!$C$5:$C$500,$A32,'LANÇAMENTOS DIÁRIOS'!$O$5:$O$500,"&lt;=123179",'LANÇAMENTOS DIÁRIOS'!$P$5:$P$500,"&gt;=123080")&gt;0,"X","")</f>
      </c>
      <c r="BH32" s="56" t="str">
        <f>IF(COUNTIFS('LANÇAMENTOS DIÁRIOS'!$G$5:$G$500,"G",'LANÇAMENTOS DIÁRIOS'!$C$5:$C$500,$A32,'LANÇAMENTOS DIÁRIOS'!$O$5:$O$500,"&lt;=123279",'LANÇAMENTOS DIÁRIOS'!$P$5:$P$500,"&gt;=123180")&gt;0,"X","")</f>
      </c>
      <c r="BI32" s="56" t="str">
        <f>IF(COUNTIFS('LANÇAMENTOS DIÁRIOS'!$G$5:$G$500,"G",'LANÇAMENTOS DIÁRIOS'!$C$5:$C$500,$A32,'LANÇAMENTOS DIÁRIOS'!$O$5:$O$500,"&lt;=123379",'LANÇAMENTOS DIÁRIOS'!$P$5:$P$500,"&gt;=123280")&gt;0,"X","")</f>
      </c>
      <c r="BJ32" s="56" t="str">
        <f>IF(COUNTIFS('LANÇAMENTOS DIÁRIOS'!$G$5:$G$500,"G",'LANÇAMENTOS DIÁRIOS'!$C$5:$C$500,$A32,'LANÇAMENTOS DIÁRIOS'!$O$5:$O$500,"&lt;=123479",'LANÇAMENTOS DIÁRIOS'!$P$5:$P$500,"&gt;=123380")&gt;0,"X","")</f>
      </c>
      <c r="BK32" s="56" t="str">
        <f>IF(COUNTIFS('LANÇAMENTOS DIÁRIOS'!$G$5:$G$500,"G",'LANÇAMENTOS DIÁRIOS'!$C$5:$C$500,$A32,'LANÇAMENTOS DIÁRIOS'!$O$5:$O$500,"&lt;=123480",'LANÇAMENTOS DIÁRIOS'!$P$5:$P$500,"&gt;=123480")&gt;0,"X","")</f>
      </c>
    </row>
    <row r="33">
      <c r="A33" s="51" t="str">
        <v>Derrubada e destocamento.arv. c/ diâmetro 50&lt;&gt;60cm, com limpeza da área</v>
      </c>
      <c r="B33" s="56" t="str">
        <f>IF(COUNTIFS('LANÇAMENTOS DIÁRIOS'!$G$5:$G$500,"G",'LANÇAMENTOS DIÁRIOS'!$C$5:$C$500,$A33,'LANÇAMENTOS DIÁRIOS'!$O$5:$O$500,"&lt;=117479",'LANÇAMENTOS DIÁRIOS'!$P$5:$P$500,"&gt;=117380")&gt;0,"X","")</f>
      </c>
      <c r="C33" s="56" t="str">
        <f>IF(COUNTIFS('LANÇAMENTOS DIÁRIOS'!$G$5:$G$500,"G",'LANÇAMENTOS DIÁRIOS'!$C$5:$C$500,$A33,'LANÇAMENTOS DIÁRIOS'!$O$5:$O$500,"&lt;=117579",'LANÇAMENTOS DIÁRIOS'!$P$5:$P$500,"&gt;=117480")&gt;0,"X","")</f>
      </c>
      <c r="D33" s="56" t="str">
        <f>IF(COUNTIFS('LANÇAMENTOS DIÁRIOS'!$G$5:$G$500,"G",'LANÇAMENTOS DIÁRIOS'!$C$5:$C$500,$A33,'LANÇAMENTOS DIÁRIOS'!$O$5:$O$500,"&lt;=117679",'LANÇAMENTOS DIÁRIOS'!$P$5:$P$500,"&gt;=117580")&gt;0,"X","")</f>
      </c>
      <c r="E33" s="56" t="str">
        <f>IF(COUNTIFS('LANÇAMENTOS DIÁRIOS'!$G$5:$G$500,"G",'LANÇAMENTOS DIÁRIOS'!$C$5:$C$500,$A33,'LANÇAMENTOS DIÁRIOS'!$O$5:$O$500,"&lt;=117779",'LANÇAMENTOS DIÁRIOS'!$P$5:$P$500,"&gt;=117680")&gt;0,"X","")</f>
      </c>
      <c r="F33" s="56" t="str">
        <f>IF(COUNTIFS('LANÇAMENTOS DIÁRIOS'!$G$5:$G$500,"G",'LANÇAMENTOS DIÁRIOS'!$C$5:$C$500,$A33,'LANÇAMENTOS DIÁRIOS'!$O$5:$O$500,"&lt;=117879",'LANÇAMENTOS DIÁRIOS'!$P$5:$P$500,"&gt;=117780")&gt;0,"X","")</f>
      </c>
      <c r="G33" s="56" t="str">
        <f>IF(COUNTIFS('LANÇAMENTOS DIÁRIOS'!$G$5:$G$500,"G",'LANÇAMENTOS DIÁRIOS'!$C$5:$C$500,$A33,'LANÇAMENTOS DIÁRIOS'!$O$5:$O$500,"&lt;=117979",'LANÇAMENTOS DIÁRIOS'!$P$5:$P$500,"&gt;=117880")&gt;0,"X","")</f>
      </c>
      <c r="H33" s="56" t="str">
        <f>IF(COUNTIFS('LANÇAMENTOS DIÁRIOS'!$G$5:$G$500,"G",'LANÇAMENTOS DIÁRIOS'!$C$5:$C$500,$A33,'LANÇAMENTOS DIÁRIOS'!$O$5:$O$500,"&lt;=118079",'LANÇAMENTOS DIÁRIOS'!$P$5:$P$500,"&gt;=117980")&gt;0,"X","")</f>
      </c>
      <c r="I33" s="56" t="str">
        <f>IF(COUNTIFS('LANÇAMENTOS DIÁRIOS'!$G$5:$G$500,"G",'LANÇAMENTOS DIÁRIOS'!$C$5:$C$500,$A33,'LANÇAMENTOS DIÁRIOS'!$O$5:$O$500,"&lt;=118179",'LANÇAMENTOS DIÁRIOS'!$P$5:$P$500,"&gt;=118080")&gt;0,"X","")</f>
      </c>
      <c r="J33" s="56" t="str">
        <f>IF(COUNTIFS('LANÇAMENTOS DIÁRIOS'!$G$5:$G$500,"G",'LANÇAMENTOS DIÁRIOS'!$C$5:$C$500,$A33,'LANÇAMENTOS DIÁRIOS'!$O$5:$O$500,"&lt;=118279",'LANÇAMENTOS DIÁRIOS'!$P$5:$P$500,"&gt;=118180")&gt;0,"X","")</f>
      </c>
      <c r="K33" s="56" t="str">
        <f>IF(COUNTIFS('LANÇAMENTOS DIÁRIOS'!$G$5:$G$500,"G",'LANÇAMENTOS DIÁRIOS'!$C$5:$C$500,$A33,'LANÇAMENTOS DIÁRIOS'!$O$5:$O$500,"&lt;=118379",'LANÇAMENTOS DIÁRIOS'!$P$5:$P$500,"&gt;=118280")&gt;0,"X","")</f>
      </c>
      <c r="L33" s="56" t="str">
        <f>IF(COUNTIFS('LANÇAMENTOS DIÁRIOS'!$G$5:$G$500,"G",'LANÇAMENTOS DIÁRIOS'!$C$5:$C$500,$A33,'LANÇAMENTOS DIÁRIOS'!$O$5:$O$500,"&lt;=118479",'LANÇAMENTOS DIÁRIOS'!$P$5:$P$500,"&gt;=118380")&gt;0,"X","")</f>
      </c>
      <c r="M33" s="56" t="str">
        <f>IF(COUNTIFS('LANÇAMENTOS DIÁRIOS'!$G$5:$G$500,"G",'LANÇAMENTOS DIÁRIOS'!$C$5:$C$500,$A33,'LANÇAMENTOS DIÁRIOS'!$O$5:$O$500,"&lt;=118579",'LANÇAMENTOS DIÁRIOS'!$P$5:$P$500,"&gt;=118480")&gt;0,"X","")</f>
      </c>
      <c r="N33" s="56" t="str">
        <f>IF(COUNTIFS('LANÇAMENTOS DIÁRIOS'!$G$5:$G$500,"G",'LANÇAMENTOS DIÁRIOS'!$C$5:$C$500,$A33,'LANÇAMENTOS DIÁRIOS'!$O$5:$O$500,"&lt;=118679",'LANÇAMENTOS DIÁRIOS'!$P$5:$P$500,"&gt;=118580")&gt;0,"X","")</f>
      </c>
      <c r="O33" s="56" t="str">
        <f>IF(COUNTIFS('LANÇAMENTOS DIÁRIOS'!$G$5:$G$500,"G",'LANÇAMENTOS DIÁRIOS'!$C$5:$C$500,$A33,'LANÇAMENTOS DIÁRIOS'!$O$5:$O$500,"&lt;=118779",'LANÇAMENTOS DIÁRIOS'!$P$5:$P$500,"&gt;=118680")&gt;0,"X","")</f>
      </c>
      <c r="P33" s="56" t="str">
        <f>IF(COUNTIFS('LANÇAMENTOS DIÁRIOS'!$G$5:$G$500,"G",'LANÇAMENTOS DIÁRIOS'!$C$5:$C$500,$A33,'LANÇAMENTOS DIÁRIOS'!$O$5:$O$500,"&lt;=118879",'LANÇAMENTOS DIÁRIOS'!$P$5:$P$500,"&gt;=118780")&gt;0,"X","")</f>
      </c>
      <c r="Q33" s="56" t="str">
        <f>IF(COUNTIFS('LANÇAMENTOS DIÁRIOS'!$G$5:$G$500,"G",'LANÇAMENTOS DIÁRIOS'!$C$5:$C$500,$A33,'LANÇAMENTOS DIÁRIOS'!$O$5:$O$500,"&lt;=118979",'LANÇAMENTOS DIÁRIOS'!$P$5:$P$500,"&gt;=118880")&gt;0,"X","")</f>
      </c>
      <c r="R33" s="56" t="str">
        <f>IF(COUNTIFS('LANÇAMENTOS DIÁRIOS'!$G$5:$G$500,"G",'LANÇAMENTOS DIÁRIOS'!$C$5:$C$500,$A33,'LANÇAMENTOS DIÁRIOS'!$O$5:$O$500,"&lt;=119079",'LANÇAMENTOS DIÁRIOS'!$P$5:$P$500,"&gt;=118980")&gt;0,"X","")</f>
      </c>
      <c r="S33" s="56" t="str">
        <f>IF(COUNTIFS('LANÇAMENTOS DIÁRIOS'!$G$5:$G$500,"G",'LANÇAMENTOS DIÁRIOS'!$C$5:$C$500,$A33,'LANÇAMENTOS DIÁRIOS'!$O$5:$O$500,"&lt;=119179",'LANÇAMENTOS DIÁRIOS'!$P$5:$P$500,"&gt;=119080")&gt;0,"X","")</f>
      </c>
      <c r="T33" s="56" t="str">
        <f>IF(COUNTIFS('LANÇAMENTOS DIÁRIOS'!$G$5:$G$500,"G",'LANÇAMENTOS DIÁRIOS'!$C$5:$C$500,$A33,'LANÇAMENTOS DIÁRIOS'!$O$5:$O$500,"&lt;=119279",'LANÇAMENTOS DIÁRIOS'!$P$5:$P$500,"&gt;=119180")&gt;0,"X","")</f>
      </c>
      <c r="U33" s="56" t="str">
        <f>IF(COUNTIFS('LANÇAMENTOS DIÁRIOS'!$G$5:$G$500,"G",'LANÇAMENTOS DIÁRIOS'!$C$5:$C$500,$A33,'LANÇAMENTOS DIÁRIOS'!$O$5:$O$500,"&lt;=119379",'LANÇAMENTOS DIÁRIOS'!$P$5:$P$500,"&gt;=119280")&gt;0,"X","")</f>
      </c>
      <c r="V33" s="56" t="str">
        <f>IF(COUNTIFS('LANÇAMENTOS DIÁRIOS'!$G$5:$G$500,"G",'LANÇAMENTOS DIÁRIOS'!$C$5:$C$500,$A33,'LANÇAMENTOS DIÁRIOS'!$O$5:$O$500,"&lt;=119479",'LANÇAMENTOS DIÁRIOS'!$P$5:$P$500,"&gt;=119380")&gt;0,"X","")</f>
      </c>
      <c r="W33" s="56" t="str">
        <f>IF(COUNTIFS('LANÇAMENTOS DIÁRIOS'!$G$5:$G$500,"G",'LANÇAMENTOS DIÁRIOS'!$C$5:$C$500,$A33,'LANÇAMENTOS DIÁRIOS'!$O$5:$O$500,"&lt;=119579",'LANÇAMENTOS DIÁRIOS'!$P$5:$P$500,"&gt;=119480")&gt;0,"X","")</f>
      </c>
      <c r="X33" s="56" t="str">
        <f>IF(COUNTIFS('LANÇAMENTOS DIÁRIOS'!$G$5:$G$500,"G",'LANÇAMENTOS DIÁRIOS'!$C$5:$C$500,$A33,'LANÇAMENTOS DIÁRIOS'!$O$5:$O$500,"&lt;=119679",'LANÇAMENTOS DIÁRIOS'!$P$5:$P$500,"&gt;=119580")&gt;0,"X","")</f>
      </c>
      <c r="Y33" s="56" t="str">
        <f>IF(COUNTIFS('LANÇAMENTOS DIÁRIOS'!$G$5:$G$500,"G",'LANÇAMENTOS DIÁRIOS'!$C$5:$C$500,$A33,'LANÇAMENTOS DIÁRIOS'!$O$5:$O$500,"&lt;=119779",'LANÇAMENTOS DIÁRIOS'!$P$5:$P$500,"&gt;=119680")&gt;0,"X","")</f>
      </c>
      <c r="Z33" s="56" t="str">
        <f>IF(COUNTIFS('LANÇAMENTOS DIÁRIOS'!$G$5:$G$500,"G",'LANÇAMENTOS DIÁRIOS'!$C$5:$C$500,$A33,'LANÇAMENTOS DIÁRIOS'!$O$5:$O$500,"&lt;=119879",'LANÇAMENTOS DIÁRIOS'!$P$5:$P$500,"&gt;=119780")&gt;0,"X","")</f>
      </c>
      <c r="AA33" s="56" t="str">
        <f>IF(COUNTIFS('LANÇAMENTOS DIÁRIOS'!$G$5:$G$500,"G",'LANÇAMENTOS DIÁRIOS'!$C$5:$C$500,$A33,'LANÇAMENTOS DIÁRIOS'!$O$5:$O$500,"&lt;=119979",'LANÇAMENTOS DIÁRIOS'!$P$5:$P$500,"&gt;=119880")&gt;0,"X","")</f>
      </c>
      <c r="AB33" s="56" t="str">
        <f>IF(COUNTIFS('LANÇAMENTOS DIÁRIOS'!$G$5:$G$500,"G",'LANÇAMENTOS DIÁRIOS'!$C$5:$C$500,$A33,'LANÇAMENTOS DIÁRIOS'!$O$5:$O$500,"&lt;=120079",'LANÇAMENTOS DIÁRIOS'!$P$5:$P$500,"&gt;=119980")&gt;0,"X","")</f>
      </c>
      <c r="AC33" s="56" t="str">
        <f>IF(COUNTIFS('LANÇAMENTOS DIÁRIOS'!$G$5:$G$500,"G",'LANÇAMENTOS DIÁRIOS'!$C$5:$C$500,$A33,'LANÇAMENTOS DIÁRIOS'!$O$5:$O$500,"&lt;=120179",'LANÇAMENTOS DIÁRIOS'!$P$5:$P$500,"&gt;=120080")&gt;0,"X","")</f>
      </c>
      <c r="AD33" s="56" t="str">
        <f>IF(COUNTIFS('LANÇAMENTOS DIÁRIOS'!$G$5:$G$500,"G",'LANÇAMENTOS DIÁRIOS'!$C$5:$C$500,$A33,'LANÇAMENTOS DIÁRIOS'!$O$5:$O$500,"&lt;=120279",'LANÇAMENTOS DIÁRIOS'!$P$5:$P$500,"&gt;=120180")&gt;0,"X","")</f>
      </c>
      <c r="AE33" s="56" t="str">
        <f>IF(COUNTIFS('LANÇAMENTOS DIÁRIOS'!$G$5:$G$500,"G",'LANÇAMENTOS DIÁRIOS'!$C$5:$C$500,$A33,'LANÇAMENTOS DIÁRIOS'!$O$5:$O$500,"&lt;=120379",'LANÇAMENTOS DIÁRIOS'!$P$5:$P$500,"&gt;=120280")&gt;0,"X","")</f>
      </c>
      <c r="AF33" s="56" t="str">
        <f>IF(COUNTIFS('LANÇAMENTOS DIÁRIOS'!$G$5:$G$500,"G",'LANÇAMENTOS DIÁRIOS'!$C$5:$C$500,$A33,'LANÇAMENTOS DIÁRIOS'!$O$5:$O$500,"&lt;=120479",'LANÇAMENTOS DIÁRIOS'!$P$5:$P$500,"&gt;=120380")&gt;0,"X","")</f>
      </c>
      <c r="AG33" s="56" t="str">
        <f>IF(COUNTIFS('LANÇAMENTOS DIÁRIOS'!$G$5:$G$500,"G",'LANÇAMENTOS DIÁRIOS'!$C$5:$C$500,$A33,'LANÇAMENTOS DIÁRIOS'!$O$5:$O$500,"&lt;=120579",'LANÇAMENTOS DIÁRIOS'!$P$5:$P$500,"&gt;=120480")&gt;0,"X","")</f>
      </c>
      <c r="AH33" s="56" t="str">
        <f>IF(COUNTIFS('LANÇAMENTOS DIÁRIOS'!$G$5:$G$500,"G",'LANÇAMENTOS DIÁRIOS'!$C$5:$C$500,$A33,'LANÇAMENTOS DIÁRIOS'!$O$5:$O$500,"&lt;=120679",'LANÇAMENTOS DIÁRIOS'!$P$5:$P$500,"&gt;=120580")&gt;0,"X","")</f>
      </c>
      <c r="AI33" s="56" t="str">
        <f>IF(COUNTIFS('LANÇAMENTOS DIÁRIOS'!$G$5:$G$500,"G",'LANÇAMENTOS DIÁRIOS'!$C$5:$C$500,$A33,'LANÇAMENTOS DIÁRIOS'!$O$5:$O$500,"&lt;=120779",'LANÇAMENTOS DIÁRIOS'!$P$5:$P$500,"&gt;=120680")&gt;0,"X","")</f>
      </c>
      <c r="AJ33" s="56" t="str">
        <f>IF(COUNTIFS('LANÇAMENTOS DIÁRIOS'!$G$5:$G$500,"G",'LANÇAMENTOS DIÁRIOS'!$C$5:$C$500,$A33,'LANÇAMENTOS DIÁRIOS'!$O$5:$O$500,"&lt;=120879",'LANÇAMENTOS DIÁRIOS'!$P$5:$P$500,"&gt;=120780")&gt;0,"X","")</f>
      </c>
      <c r="AK33" s="56" t="str">
        <f>IF(COUNTIFS('LANÇAMENTOS DIÁRIOS'!$G$5:$G$500,"G",'LANÇAMENTOS DIÁRIOS'!$C$5:$C$500,$A33,'LANÇAMENTOS DIÁRIOS'!$O$5:$O$500,"&lt;=120979",'LANÇAMENTOS DIÁRIOS'!$P$5:$P$500,"&gt;=120880")&gt;0,"X","")</f>
      </c>
      <c r="AL33" s="56" t="str">
        <f>IF(COUNTIFS('LANÇAMENTOS DIÁRIOS'!$G$5:$G$500,"G",'LANÇAMENTOS DIÁRIOS'!$C$5:$C$500,$A33,'LANÇAMENTOS DIÁRIOS'!$O$5:$O$500,"&lt;=121079",'LANÇAMENTOS DIÁRIOS'!$P$5:$P$500,"&gt;=120980")&gt;0,"X","")</f>
      </c>
      <c r="AM33" s="56" t="str">
        <f>IF(COUNTIFS('LANÇAMENTOS DIÁRIOS'!$G$5:$G$500,"G",'LANÇAMENTOS DIÁRIOS'!$C$5:$C$500,$A33,'LANÇAMENTOS DIÁRIOS'!$O$5:$O$500,"&lt;=121179",'LANÇAMENTOS DIÁRIOS'!$P$5:$P$500,"&gt;=121080")&gt;0,"X","")</f>
      </c>
      <c r="AN33" s="56" t="str">
        <f>IF(COUNTIFS('LANÇAMENTOS DIÁRIOS'!$G$5:$G$500,"G",'LANÇAMENTOS DIÁRIOS'!$C$5:$C$500,$A33,'LANÇAMENTOS DIÁRIOS'!$O$5:$O$500,"&lt;=121279",'LANÇAMENTOS DIÁRIOS'!$P$5:$P$500,"&gt;=121180")&gt;0,"X","")</f>
      </c>
      <c r="AO33" s="56" t="str">
        <f>IF(COUNTIFS('LANÇAMENTOS DIÁRIOS'!$G$5:$G$500,"G",'LANÇAMENTOS DIÁRIOS'!$C$5:$C$500,$A33,'LANÇAMENTOS DIÁRIOS'!$O$5:$O$500,"&lt;=121379",'LANÇAMENTOS DIÁRIOS'!$P$5:$P$500,"&gt;=121280")&gt;0,"X","")</f>
      </c>
      <c r="AP33" s="56" t="str">
        <f>IF(COUNTIFS('LANÇAMENTOS DIÁRIOS'!$G$5:$G$500,"G",'LANÇAMENTOS DIÁRIOS'!$C$5:$C$500,$A33,'LANÇAMENTOS DIÁRIOS'!$O$5:$O$500,"&lt;=121479",'LANÇAMENTOS DIÁRIOS'!$P$5:$P$500,"&gt;=121380")&gt;0,"X","")</f>
      </c>
      <c r="AQ33" s="56" t="str">
        <f>IF(COUNTIFS('LANÇAMENTOS DIÁRIOS'!$G$5:$G$500,"G",'LANÇAMENTOS DIÁRIOS'!$C$5:$C$500,$A33,'LANÇAMENTOS DIÁRIOS'!$O$5:$O$500,"&lt;=121579",'LANÇAMENTOS DIÁRIOS'!$P$5:$P$500,"&gt;=121480")&gt;0,"X","")</f>
      </c>
      <c r="AR33" s="56" t="str">
        <f>IF(COUNTIFS('LANÇAMENTOS DIÁRIOS'!$G$5:$G$500,"G",'LANÇAMENTOS DIÁRIOS'!$C$5:$C$500,$A33,'LANÇAMENTOS DIÁRIOS'!$O$5:$O$500,"&lt;=121679",'LANÇAMENTOS DIÁRIOS'!$P$5:$P$500,"&gt;=121580")&gt;0,"X","")</f>
      </c>
      <c r="AS33" s="56" t="str">
        <f>IF(COUNTIFS('LANÇAMENTOS DIÁRIOS'!$G$5:$G$500,"G",'LANÇAMENTOS DIÁRIOS'!$C$5:$C$500,$A33,'LANÇAMENTOS DIÁRIOS'!$O$5:$O$500,"&lt;=121779",'LANÇAMENTOS DIÁRIOS'!$P$5:$P$500,"&gt;=121680")&gt;0,"X","")</f>
      </c>
      <c r="AT33" s="56" t="str">
        <f>IF(COUNTIFS('LANÇAMENTOS DIÁRIOS'!$G$5:$G$500,"G",'LANÇAMENTOS DIÁRIOS'!$C$5:$C$500,$A33,'LANÇAMENTOS DIÁRIOS'!$O$5:$O$500,"&lt;=121879",'LANÇAMENTOS DIÁRIOS'!$P$5:$P$500,"&gt;=121780")&gt;0,"X","")</f>
      </c>
      <c r="AU33" s="56" t="str">
        <f>IF(COUNTIFS('LANÇAMENTOS DIÁRIOS'!$G$5:$G$500,"G",'LANÇAMENTOS DIÁRIOS'!$C$5:$C$500,$A33,'LANÇAMENTOS DIÁRIOS'!$O$5:$O$500,"&lt;=121979",'LANÇAMENTOS DIÁRIOS'!$P$5:$P$500,"&gt;=121880")&gt;0,"X","")</f>
      </c>
      <c r="AV33" s="56" t="str">
        <f>IF(COUNTIFS('LANÇAMENTOS DIÁRIOS'!$G$5:$G$500,"G",'LANÇAMENTOS DIÁRIOS'!$C$5:$C$500,$A33,'LANÇAMENTOS DIÁRIOS'!$O$5:$O$500,"&lt;=122079",'LANÇAMENTOS DIÁRIOS'!$P$5:$P$500,"&gt;=121980")&gt;0,"X","")</f>
      </c>
      <c r="AW33" s="56" t="str">
        <f>IF(COUNTIFS('LANÇAMENTOS DIÁRIOS'!$G$5:$G$500,"G",'LANÇAMENTOS DIÁRIOS'!$C$5:$C$500,$A33,'LANÇAMENTOS DIÁRIOS'!$O$5:$O$500,"&lt;=122179",'LANÇAMENTOS DIÁRIOS'!$P$5:$P$500,"&gt;=122080")&gt;0,"X","")</f>
      </c>
      <c r="AX33" s="56" t="str">
        <f>IF(COUNTIFS('LANÇAMENTOS DIÁRIOS'!$G$5:$G$500,"G",'LANÇAMENTOS DIÁRIOS'!$C$5:$C$500,$A33,'LANÇAMENTOS DIÁRIOS'!$O$5:$O$500,"&lt;=122279",'LANÇAMENTOS DIÁRIOS'!$P$5:$P$500,"&gt;=122180")&gt;0,"X","")</f>
      </c>
      <c r="AY33" s="56" t="str">
        <f>IF(COUNTIFS('LANÇAMENTOS DIÁRIOS'!$G$5:$G$500,"G",'LANÇAMENTOS DIÁRIOS'!$C$5:$C$500,$A33,'LANÇAMENTOS DIÁRIOS'!$O$5:$O$500,"&lt;=122379",'LANÇAMENTOS DIÁRIOS'!$P$5:$P$500,"&gt;=122280")&gt;0,"X","")</f>
      </c>
      <c r="AZ33" s="56" t="str">
        <f>IF(COUNTIFS('LANÇAMENTOS DIÁRIOS'!$G$5:$G$500,"G",'LANÇAMENTOS DIÁRIOS'!$C$5:$C$500,$A33,'LANÇAMENTOS DIÁRIOS'!$O$5:$O$500,"&lt;=122479",'LANÇAMENTOS DIÁRIOS'!$P$5:$P$500,"&gt;=122380")&gt;0,"X","")</f>
      </c>
      <c r="BA33" s="56" t="str">
        <f>IF(COUNTIFS('LANÇAMENTOS DIÁRIOS'!$G$5:$G$500,"G",'LANÇAMENTOS DIÁRIOS'!$C$5:$C$500,$A33,'LANÇAMENTOS DIÁRIOS'!$O$5:$O$500,"&lt;=122579",'LANÇAMENTOS DIÁRIOS'!$P$5:$P$500,"&gt;=122480")&gt;0,"X","")</f>
      </c>
      <c r="BB33" s="56" t="str">
        <f>IF(COUNTIFS('LANÇAMENTOS DIÁRIOS'!$G$5:$G$500,"G",'LANÇAMENTOS DIÁRIOS'!$C$5:$C$500,$A33,'LANÇAMENTOS DIÁRIOS'!$O$5:$O$500,"&lt;=122679",'LANÇAMENTOS DIÁRIOS'!$P$5:$P$500,"&gt;=122580")&gt;0,"X","")</f>
      </c>
      <c r="BC33" s="56" t="str">
        <f>IF(COUNTIFS('LANÇAMENTOS DIÁRIOS'!$G$5:$G$500,"G",'LANÇAMENTOS DIÁRIOS'!$C$5:$C$500,$A33,'LANÇAMENTOS DIÁRIOS'!$O$5:$O$500,"&lt;=122779",'LANÇAMENTOS DIÁRIOS'!$P$5:$P$500,"&gt;=122680")&gt;0,"X","")</f>
      </c>
      <c r="BD33" s="56" t="str">
        <f>IF(COUNTIFS('LANÇAMENTOS DIÁRIOS'!$G$5:$G$500,"G",'LANÇAMENTOS DIÁRIOS'!$C$5:$C$500,$A33,'LANÇAMENTOS DIÁRIOS'!$O$5:$O$500,"&lt;=122879",'LANÇAMENTOS DIÁRIOS'!$P$5:$P$500,"&gt;=122780")&gt;0,"X","")</f>
      </c>
      <c r="BE33" s="56" t="str">
        <f>IF(COUNTIFS('LANÇAMENTOS DIÁRIOS'!$G$5:$G$500,"G",'LANÇAMENTOS DIÁRIOS'!$C$5:$C$500,$A33,'LANÇAMENTOS DIÁRIOS'!$O$5:$O$500,"&lt;=122979",'LANÇAMENTOS DIÁRIOS'!$P$5:$P$500,"&gt;=122880")&gt;0,"X","")</f>
      </c>
      <c r="BF33" s="56" t="str">
        <f>IF(COUNTIFS('LANÇAMENTOS DIÁRIOS'!$G$5:$G$500,"G",'LANÇAMENTOS DIÁRIOS'!$C$5:$C$500,$A33,'LANÇAMENTOS DIÁRIOS'!$O$5:$O$500,"&lt;=123079",'LANÇAMENTOS DIÁRIOS'!$P$5:$P$500,"&gt;=122980")&gt;0,"X","")</f>
      </c>
      <c r="BG33" s="56" t="str">
        <f>IF(COUNTIFS('LANÇAMENTOS DIÁRIOS'!$G$5:$G$500,"G",'LANÇAMENTOS DIÁRIOS'!$C$5:$C$500,$A33,'LANÇAMENTOS DIÁRIOS'!$O$5:$O$500,"&lt;=123179",'LANÇAMENTOS DIÁRIOS'!$P$5:$P$500,"&gt;=123080")&gt;0,"X","")</f>
      </c>
      <c r="BH33" s="56" t="str">
        <f>IF(COUNTIFS('LANÇAMENTOS DIÁRIOS'!$G$5:$G$500,"G",'LANÇAMENTOS DIÁRIOS'!$C$5:$C$500,$A33,'LANÇAMENTOS DIÁRIOS'!$O$5:$O$500,"&lt;=123279",'LANÇAMENTOS DIÁRIOS'!$P$5:$P$500,"&gt;=123180")&gt;0,"X","")</f>
      </c>
      <c r="BI33" s="56" t="str">
        <f>IF(COUNTIFS('LANÇAMENTOS DIÁRIOS'!$G$5:$G$500,"G",'LANÇAMENTOS DIÁRIOS'!$C$5:$C$500,$A33,'LANÇAMENTOS DIÁRIOS'!$O$5:$O$500,"&lt;=123379",'LANÇAMENTOS DIÁRIOS'!$P$5:$P$500,"&gt;=123280")&gt;0,"X","")</f>
      </c>
      <c r="BJ33" s="56" t="str">
        <f>IF(COUNTIFS('LANÇAMENTOS DIÁRIOS'!$G$5:$G$500,"G",'LANÇAMENTOS DIÁRIOS'!$C$5:$C$500,$A33,'LANÇAMENTOS DIÁRIOS'!$O$5:$O$500,"&lt;=123479",'LANÇAMENTOS DIÁRIOS'!$P$5:$P$500,"&gt;=123380")&gt;0,"X","")</f>
      </c>
      <c r="BK33" s="56" t="str">
        <f>IF(COUNTIFS('LANÇAMENTOS DIÁRIOS'!$G$5:$G$500,"G",'LANÇAMENTOS DIÁRIOS'!$C$5:$C$500,$A33,'LANÇAMENTOS DIÁRIOS'!$O$5:$O$500,"&lt;=123480",'LANÇAMENTOS DIÁRIOS'!$P$5:$P$500,"&gt;=123480")&gt;0,"X","")</f>
      </c>
    </row>
    <row r="34">
      <c r="A34" s="51" t="str">
        <v>Derrubada e destocamento.arv. c/ diâmetro 60&lt;&gt;70cm, com limpeza da área</v>
      </c>
      <c r="B34" s="56" t="str">
        <f>IF(COUNTIFS('LANÇAMENTOS DIÁRIOS'!$G$5:$G$500,"G",'LANÇAMENTOS DIÁRIOS'!$C$5:$C$500,$A34,'LANÇAMENTOS DIÁRIOS'!$O$5:$O$500,"&lt;=117479",'LANÇAMENTOS DIÁRIOS'!$P$5:$P$500,"&gt;=117380")&gt;0,"X","")</f>
      </c>
      <c r="C34" s="56" t="str">
        <f>IF(COUNTIFS('LANÇAMENTOS DIÁRIOS'!$G$5:$G$500,"G",'LANÇAMENTOS DIÁRIOS'!$C$5:$C$500,$A34,'LANÇAMENTOS DIÁRIOS'!$O$5:$O$500,"&lt;=117579",'LANÇAMENTOS DIÁRIOS'!$P$5:$P$500,"&gt;=117480")&gt;0,"X","")</f>
      </c>
      <c r="D34" s="56" t="str">
        <f>IF(COUNTIFS('LANÇAMENTOS DIÁRIOS'!$G$5:$G$500,"G",'LANÇAMENTOS DIÁRIOS'!$C$5:$C$500,$A34,'LANÇAMENTOS DIÁRIOS'!$O$5:$O$500,"&lt;=117679",'LANÇAMENTOS DIÁRIOS'!$P$5:$P$500,"&gt;=117580")&gt;0,"X","")</f>
      </c>
      <c r="E34" s="56" t="str">
        <f>IF(COUNTIFS('LANÇAMENTOS DIÁRIOS'!$G$5:$G$500,"G",'LANÇAMENTOS DIÁRIOS'!$C$5:$C$500,$A34,'LANÇAMENTOS DIÁRIOS'!$O$5:$O$500,"&lt;=117779",'LANÇAMENTOS DIÁRIOS'!$P$5:$P$500,"&gt;=117680")&gt;0,"X","")</f>
      </c>
      <c r="F34" s="56" t="str">
        <f>IF(COUNTIFS('LANÇAMENTOS DIÁRIOS'!$G$5:$G$500,"G",'LANÇAMENTOS DIÁRIOS'!$C$5:$C$500,$A34,'LANÇAMENTOS DIÁRIOS'!$O$5:$O$500,"&lt;=117879",'LANÇAMENTOS DIÁRIOS'!$P$5:$P$500,"&gt;=117780")&gt;0,"X","")</f>
      </c>
      <c r="G34" s="56" t="str">
        <f>IF(COUNTIFS('LANÇAMENTOS DIÁRIOS'!$G$5:$G$500,"G",'LANÇAMENTOS DIÁRIOS'!$C$5:$C$500,$A34,'LANÇAMENTOS DIÁRIOS'!$O$5:$O$500,"&lt;=117979",'LANÇAMENTOS DIÁRIOS'!$P$5:$P$500,"&gt;=117880")&gt;0,"X","")</f>
      </c>
      <c r="H34" s="56" t="str">
        <f>IF(COUNTIFS('LANÇAMENTOS DIÁRIOS'!$G$5:$G$500,"G",'LANÇAMENTOS DIÁRIOS'!$C$5:$C$500,$A34,'LANÇAMENTOS DIÁRIOS'!$O$5:$O$500,"&lt;=118079",'LANÇAMENTOS DIÁRIOS'!$P$5:$P$500,"&gt;=117980")&gt;0,"X","")</f>
      </c>
      <c r="I34" s="56" t="str">
        <f>IF(COUNTIFS('LANÇAMENTOS DIÁRIOS'!$G$5:$G$500,"G",'LANÇAMENTOS DIÁRIOS'!$C$5:$C$500,$A34,'LANÇAMENTOS DIÁRIOS'!$O$5:$O$500,"&lt;=118179",'LANÇAMENTOS DIÁRIOS'!$P$5:$P$500,"&gt;=118080")&gt;0,"X","")</f>
      </c>
      <c r="J34" s="56" t="str">
        <f>IF(COUNTIFS('LANÇAMENTOS DIÁRIOS'!$G$5:$G$500,"G",'LANÇAMENTOS DIÁRIOS'!$C$5:$C$500,$A34,'LANÇAMENTOS DIÁRIOS'!$O$5:$O$500,"&lt;=118279",'LANÇAMENTOS DIÁRIOS'!$P$5:$P$500,"&gt;=118180")&gt;0,"X","")</f>
      </c>
      <c r="K34" s="56" t="str">
        <f>IF(COUNTIFS('LANÇAMENTOS DIÁRIOS'!$G$5:$G$500,"G",'LANÇAMENTOS DIÁRIOS'!$C$5:$C$500,$A34,'LANÇAMENTOS DIÁRIOS'!$O$5:$O$500,"&lt;=118379",'LANÇAMENTOS DIÁRIOS'!$P$5:$P$500,"&gt;=118280")&gt;0,"X","")</f>
      </c>
      <c r="L34" s="56" t="str">
        <f>IF(COUNTIFS('LANÇAMENTOS DIÁRIOS'!$G$5:$G$500,"G",'LANÇAMENTOS DIÁRIOS'!$C$5:$C$500,$A34,'LANÇAMENTOS DIÁRIOS'!$O$5:$O$500,"&lt;=118479",'LANÇAMENTOS DIÁRIOS'!$P$5:$P$500,"&gt;=118380")&gt;0,"X","")</f>
      </c>
      <c r="M34" s="56" t="str">
        <f>IF(COUNTIFS('LANÇAMENTOS DIÁRIOS'!$G$5:$G$500,"G",'LANÇAMENTOS DIÁRIOS'!$C$5:$C$500,$A34,'LANÇAMENTOS DIÁRIOS'!$O$5:$O$500,"&lt;=118579",'LANÇAMENTOS DIÁRIOS'!$P$5:$P$500,"&gt;=118480")&gt;0,"X","")</f>
      </c>
      <c r="N34" s="56" t="str">
        <f>IF(COUNTIFS('LANÇAMENTOS DIÁRIOS'!$G$5:$G$500,"G",'LANÇAMENTOS DIÁRIOS'!$C$5:$C$500,$A34,'LANÇAMENTOS DIÁRIOS'!$O$5:$O$500,"&lt;=118679",'LANÇAMENTOS DIÁRIOS'!$P$5:$P$500,"&gt;=118580")&gt;0,"X","")</f>
      </c>
      <c r="O34" s="56" t="str">
        <f>IF(COUNTIFS('LANÇAMENTOS DIÁRIOS'!$G$5:$G$500,"G",'LANÇAMENTOS DIÁRIOS'!$C$5:$C$500,$A34,'LANÇAMENTOS DIÁRIOS'!$O$5:$O$500,"&lt;=118779",'LANÇAMENTOS DIÁRIOS'!$P$5:$P$500,"&gt;=118680")&gt;0,"X","")</f>
      </c>
      <c r="P34" s="56" t="str">
        <f>IF(COUNTIFS('LANÇAMENTOS DIÁRIOS'!$G$5:$G$500,"G",'LANÇAMENTOS DIÁRIOS'!$C$5:$C$500,$A34,'LANÇAMENTOS DIÁRIOS'!$O$5:$O$500,"&lt;=118879",'LANÇAMENTOS DIÁRIOS'!$P$5:$P$500,"&gt;=118780")&gt;0,"X","")</f>
      </c>
      <c r="Q34" s="56" t="str">
        <f>IF(COUNTIFS('LANÇAMENTOS DIÁRIOS'!$G$5:$G$500,"G",'LANÇAMENTOS DIÁRIOS'!$C$5:$C$500,$A34,'LANÇAMENTOS DIÁRIOS'!$O$5:$O$500,"&lt;=118979",'LANÇAMENTOS DIÁRIOS'!$P$5:$P$500,"&gt;=118880")&gt;0,"X","")</f>
      </c>
      <c r="R34" s="56" t="str">
        <f>IF(COUNTIFS('LANÇAMENTOS DIÁRIOS'!$G$5:$G$500,"G",'LANÇAMENTOS DIÁRIOS'!$C$5:$C$500,$A34,'LANÇAMENTOS DIÁRIOS'!$O$5:$O$500,"&lt;=119079",'LANÇAMENTOS DIÁRIOS'!$P$5:$P$500,"&gt;=118980")&gt;0,"X","")</f>
      </c>
      <c r="S34" s="56" t="str">
        <f>IF(COUNTIFS('LANÇAMENTOS DIÁRIOS'!$G$5:$G$500,"G",'LANÇAMENTOS DIÁRIOS'!$C$5:$C$500,$A34,'LANÇAMENTOS DIÁRIOS'!$O$5:$O$500,"&lt;=119179",'LANÇAMENTOS DIÁRIOS'!$P$5:$P$500,"&gt;=119080")&gt;0,"X","")</f>
      </c>
      <c r="T34" s="56" t="str">
        <f>IF(COUNTIFS('LANÇAMENTOS DIÁRIOS'!$G$5:$G$500,"G",'LANÇAMENTOS DIÁRIOS'!$C$5:$C$500,$A34,'LANÇAMENTOS DIÁRIOS'!$O$5:$O$500,"&lt;=119279",'LANÇAMENTOS DIÁRIOS'!$P$5:$P$500,"&gt;=119180")&gt;0,"X","")</f>
      </c>
      <c r="U34" s="56" t="str">
        <f>IF(COUNTIFS('LANÇAMENTOS DIÁRIOS'!$G$5:$G$500,"G",'LANÇAMENTOS DIÁRIOS'!$C$5:$C$500,$A34,'LANÇAMENTOS DIÁRIOS'!$O$5:$O$500,"&lt;=119379",'LANÇAMENTOS DIÁRIOS'!$P$5:$P$500,"&gt;=119280")&gt;0,"X","")</f>
      </c>
      <c r="V34" s="56" t="str">
        <f>IF(COUNTIFS('LANÇAMENTOS DIÁRIOS'!$G$5:$G$500,"G",'LANÇAMENTOS DIÁRIOS'!$C$5:$C$500,$A34,'LANÇAMENTOS DIÁRIOS'!$O$5:$O$500,"&lt;=119479",'LANÇAMENTOS DIÁRIOS'!$P$5:$P$500,"&gt;=119380")&gt;0,"X","")</f>
      </c>
      <c r="W34" s="56" t="str">
        <f>IF(COUNTIFS('LANÇAMENTOS DIÁRIOS'!$G$5:$G$500,"G",'LANÇAMENTOS DIÁRIOS'!$C$5:$C$500,$A34,'LANÇAMENTOS DIÁRIOS'!$O$5:$O$500,"&lt;=119579",'LANÇAMENTOS DIÁRIOS'!$P$5:$P$500,"&gt;=119480")&gt;0,"X","")</f>
      </c>
      <c r="X34" s="56" t="str">
        <f>IF(COUNTIFS('LANÇAMENTOS DIÁRIOS'!$G$5:$G$500,"G",'LANÇAMENTOS DIÁRIOS'!$C$5:$C$500,$A34,'LANÇAMENTOS DIÁRIOS'!$O$5:$O$500,"&lt;=119679",'LANÇAMENTOS DIÁRIOS'!$P$5:$P$500,"&gt;=119580")&gt;0,"X","")</f>
      </c>
      <c r="Y34" s="56" t="str">
        <f>IF(COUNTIFS('LANÇAMENTOS DIÁRIOS'!$G$5:$G$500,"G",'LANÇAMENTOS DIÁRIOS'!$C$5:$C$500,$A34,'LANÇAMENTOS DIÁRIOS'!$O$5:$O$500,"&lt;=119779",'LANÇAMENTOS DIÁRIOS'!$P$5:$P$500,"&gt;=119680")&gt;0,"X","")</f>
      </c>
      <c r="Z34" s="56" t="str">
        <f>IF(COUNTIFS('LANÇAMENTOS DIÁRIOS'!$G$5:$G$500,"G",'LANÇAMENTOS DIÁRIOS'!$C$5:$C$500,$A34,'LANÇAMENTOS DIÁRIOS'!$O$5:$O$500,"&lt;=119879",'LANÇAMENTOS DIÁRIOS'!$P$5:$P$500,"&gt;=119780")&gt;0,"X","")</f>
      </c>
      <c r="AA34" s="56" t="str">
        <f>IF(COUNTIFS('LANÇAMENTOS DIÁRIOS'!$G$5:$G$500,"G",'LANÇAMENTOS DIÁRIOS'!$C$5:$C$500,$A34,'LANÇAMENTOS DIÁRIOS'!$O$5:$O$500,"&lt;=119979",'LANÇAMENTOS DIÁRIOS'!$P$5:$P$500,"&gt;=119880")&gt;0,"X","")</f>
      </c>
      <c r="AB34" s="56" t="str">
        <f>IF(COUNTIFS('LANÇAMENTOS DIÁRIOS'!$G$5:$G$500,"G",'LANÇAMENTOS DIÁRIOS'!$C$5:$C$500,$A34,'LANÇAMENTOS DIÁRIOS'!$O$5:$O$500,"&lt;=120079",'LANÇAMENTOS DIÁRIOS'!$P$5:$P$500,"&gt;=119980")&gt;0,"X","")</f>
      </c>
      <c r="AC34" s="56" t="str">
        <f>IF(COUNTIFS('LANÇAMENTOS DIÁRIOS'!$G$5:$G$500,"G",'LANÇAMENTOS DIÁRIOS'!$C$5:$C$500,$A34,'LANÇAMENTOS DIÁRIOS'!$O$5:$O$500,"&lt;=120179",'LANÇAMENTOS DIÁRIOS'!$P$5:$P$500,"&gt;=120080")&gt;0,"X","")</f>
      </c>
      <c r="AD34" s="56" t="str">
        <f>IF(COUNTIFS('LANÇAMENTOS DIÁRIOS'!$G$5:$G$500,"G",'LANÇAMENTOS DIÁRIOS'!$C$5:$C$500,$A34,'LANÇAMENTOS DIÁRIOS'!$O$5:$O$500,"&lt;=120279",'LANÇAMENTOS DIÁRIOS'!$P$5:$P$500,"&gt;=120180")&gt;0,"X","")</f>
      </c>
      <c r="AE34" s="56" t="str">
        <f>IF(COUNTIFS('LANÇAMENTOS DIÁRIOS'!$G$5:$G$500,"G",'LANÇAMENTOS DIÁRIOS'!$C$5:$C$500,$A34,'LANÇAMENTOS DIÁRIOS'!$O$5:$O$500,"&lt;=120379",'LANÇAMENTOS DIÁRIOS'!$P$5:$P$500,"&gt;=120280")&gt;0,"X","")</f>
      </c>
      <c r="AF34" s="56" t="str">
        <f>IF(COUNTIFS('LANÇAMENTOS DIÁRIOS'!$G$5:$G$500,"G",'LANÇAMENTOS DIÁRIOS'!$C$5:$C$500,$A34,'LANÇAMENTOS DIÁRIOS'!$O$5:$O$500,"&lt;=120479",'LANÇAMENTOS DIÁRIOS'!$P$5:$P$500,"&gt;=120380")&gt;0,"X","")</f>
      </c>
      <c r="AG34" s="56" t="str">
        <f>IF(COUNTIFS('LANÇAMENTOS DIÁRIOS'!$G$5:$G$500,"G",'LANÇAMENTOS DIÁRIOS'!$C$5:$C$500,$A34,'LANÇAMENTOS DIÁRIOS'!$O$5:$O$500,"&lt;=120579",'LANÇAMENTOS DIÁRIOS'!$P$5:$P$500,"&gt;=120480")&gt;0,"X","")</f>
      </c>
      <c r="AH34" s="56" t="str">
        <f>IF(COUNTIFS('LANÇAMENTOS DIÁRIOS'!$G$5:$G$500,"G",'LANÇAMENTOS DIÁRIOS'!$C$5:$C$500,$A34,'LANÇAMENTOS DIÁRIOS'!$O$5:$O$500,"&lt;=120679",'LANÇAMENTOS DIÁRIOS'!$P$5:$P$500,"&gt;=120580")&gt;0,"X","")</f>
      </c>
      <c r="AI34" s="56" t="str">
        <f>IF(COUNTIFS('LANÇAMENTOS DIÁRIOS'!$G$5:$G$500,"G",'LANÇAMENTOS DIÁRIOS'!$C$5:$C$500,$A34,'LANÇAMENTOS DIÁRIOS'!$O$5:$O$500,"&lt;=120779",'LANÇAMENTOS DIÁRIOS'!$P$5:$P$500,"&gt;=120680")&gt;0,"X","")</f>
      </c>
      <c r="AJ34" s="56" t="str">
        <f>IF(COUNTIFS('LANÇAMENTOS DIÁRIOS'!$G$5:$G$500,"G",'LANÇAMENTOS DIÁRIOS'!$C$5:$C$500,$A34,'LANÇAMENTOS DIÁRIOS'!$O$5:$O$500,"&lt;=120879",'LANÇAMENTOS DIÁRIOS'!$P$5:$P$500,"&gt;=120780")&gt;0,"X","")</f>
      </c>
      <c r="AK34" s="56" t="str">
        <f>IF(COUNTIFS('LANÇAMENTOS DIÁRIOS'!$G$5:$G$500,"G",'LANÇAMENTOS DIÁRIOS'!$C$5:$C$500,$A34,'LANÇAMENTOS DIÁRIOS'!$O$5:$O$500,"&lt;=120979",'LANÇAMENTOS DIÁRIOS'!$P$5:$P$500,"&gt;=120880")&gt;0,"X","")</f>
      </c>
      <c r="AL34" s="56" t="str">
        <f>IF(COUNTIFS('LANÇAMENTOS DIÁRIOS'!$G$5:$G$500,"G",'LANÇAMENTOS DIÁRIOS'!$C$5:$C$500,$A34,'LANÇAMENTOS DIÁRIOS'!$O$5:$O$500,"&lt;=121079",'LANÇAMENTOS DIÁRIOS'!$P$5:$P$500,"&gt;=120980")&gt;0,"X","")</f>
      </c>
      <c r="AM34" s="56" t="str">
        <f>IF(COUNTIFS('LANÇAMENTOS DIÁRIOS'!$G$5:$G$500,"G",'LANÇAMENTOS DIÁRIOS'!$C$5:$C$500,$A34,'LANÇAMENTOS DIÁRIOS'!$O$5:$O$500,"&lt;=121179",'LANÇAMENTOS DIÁRIOS'!$P$5:$P$500,"&gt;=121080")&gt;0,"X","")</f>
      </c>
      <c r="AN34" s="56" t="str">
        <f>IF(COUNTIFS('LANÇAMENTOS DIÁRIOS'!$G$5:$G$500,"G",'LANÇAMENTOS DIÁRIOS'!$C$5:$C$500,$A34,'LANÇAMENTOS DIÁRIOS'!$O$5:$O$500,"&lt;=121279",'LANÇAMENTOS DIÁRIOS'!$P$5:$P$500,"&gt;=121180")&gt;0,"X","")</f>
      </c>
      <c r="AO34" s="56" t="str">
        <f>IF(COUNTIFS('LANÇAMENTOS DIÁRIOS'!$G$5:$G$500,"G",'LANÇAMENTOS DIÁRIOS'!$C$5:$C$500,$A34,'LANÇAMENTOS DIÁRIOS'!$O$5:$O$500,"&lt;=121379",'LANÇAMENTOS DIÁRIOS'!$P$5:$P$500,"&gt;=121280")&gt;0,"X","")</f>
      </c>
      <c r="AP34" s="56" t="str">
        <f>IF(COUNTIFS('LANÇAMENTOS DIÁRIOS'!$G$5:$G$500,"G",'LANÇAMENTOS DIÁRIOS'!$C$5:$C$500,$A34,'LANÇAMENTOS DIÁRIOS'!$O$5:$O$500,"&lt;=121479",'LANÇAMENTOS DIÁRIOS'!$P$5:$P$500,"&gt;=121380")&gt;0,"X","")</f>
      </c>
      <c r="AQ34" s="56" t="str">
        <f>IF(COUNTIFS('LANÇAMENTOS DIÁRIOS'!$G$5:$G$500,"G",'LANÇAMENTOS DIÁRIOS'!$C$5:$C$500,$A34,'LANÇAMENTOS DIÁRIOS'!$O$5:$O$500,"&lt;=121579",'LANÇAMENTOS DIÁRIOS'!$P$5:$P$500,"&gt;=121480")&gt;0,"X","")</f>
      </c>
      <c r="AR34" s="56" t="str">
        <f>IF(COUNTIFS('LANÇAMENTOS DIÁRIOS'!$G$5:$G$500,"G",'LANÇAMENTOS DIÁRIOS'!$C$5:$C$500,$A34,'LANÇAMENTOS DIÁRIOS'!$O$5:$O$500,"&lt;=121679",'LANÇAMENTOS DIÁRIOS'!$P$5:$P$500,"&gt;=121580")&gt;0,"X","")</f>
      </c>
      <c r="AS34" s="56" t="str">
        <f>IF(COUNTIFS('LANÇAMENTOS DIÁRIOS'!$G$5:$G$500,"G",'LANÇAMENTOS DIÁRIOS'!$C$5:$C$500,$A34,'LANÇAMENTOS DIÁRIOS'!$O$5:$O$500,"&lt;=121779",'LANÇAMENTOS DIÁRIOS'!$P$5:$P$500,"&gt;=121680")&gt;0,"X","")</f>
      </c>
      <c r="AT34" s="56" t="str">
        <f>IF(COUNTIFS('LANÇAMENTOS DIÁRIOS'!$G$5:$G$500,"G",'LANÇAMENTOS DIÁRIOS'!$C$5:$C$500,$A34,'LANÇAMENTOS DIÁRIOS'!$O$5:$O$500,"&lt;=121879",'LANÇAMENTOS DIÁRIOS'!$P$5:$P$500,"&gt;=121780")&gt;0,"X","")</f>
      </c>
      <c r="AU34" s="56" t="str">
        <f>IF(COUNTIFS('LANÇAMENTOS DIÁRIOS'!$G$5:$G$500,"G",'LANÇAMENTOS DIÁRIOS'!$C$5:$C$500,$A34,'LANÇAMENTOS DIÁRIOS'!$O$5:$O$500,"&lt;=121979",'LANÇAMENTOS DIÁRIOS'!$P$5:$P$500,"&gt;=121880")&gt;0,"X","")</f>
      </c>
      <c r="AV34" s="56" t="str">
        <f>IF(COUNTIFS('LANÇAMENTOS DIÁRIOS'!$G$5:$G$500,"G",'LANÇAMENTOS DIÁRIOS'!$C$5:$C$500,$A34,'LANÇAMENTOS DIÁRIOS'!$O$5:$O$500,"&lt;=122079",'LANÇAMENTOS DIÁRIOS'!$P$5:$P$500,"&gt;=121980")&gt;0,"X","")</f>
      </c>
      <c r="AW34" s="56" t="str">
        <f>IF(COUNTIFS('LANÇAMENTOS DIÁRIOS'!$G$5:$G$500,"G",'LANÇAMENTOS DIÁRIOS'!$C$5:$C$500,$A34,'LANÇAMENTOS DIÁRIOS'!$O$5:$O$500,"&lt;=122179",'LANÇAMENTOS DIÁRIOS'!$P$5:$P$500,"&gt;=122080")&gt;0,"X","")</f>
      </c>
      <c r="AX34" s="56" t="str">
        <f>IF(COUNTIFS('LANÇAMENTOS DIÁRIOS'!$G$5:$G$500,"G",'LANÇAMENTOS DIÁRIOS'!$C$5:$C$500,$A34,'LANÇAMENTOS DIÁRIOS'!$O$5:$O$500,"&lt;=122279",'LANÇAMENTOS DIÁRIOS'!$P$5:$P$500,"&gt;=122180")&gt;0,"X","")</f>
      </c>
      <c r="AY34" s="56" t="str">
        <f>IF(COUNTIFS('LANÇAMENTOS DIÁRIOS'!$G$5:$G$500,"G",'LANÇAMENTOS DIÁRIOS'!$C$5:$C$500,$A34,'LANÇAMENTOS DIÁRIOS'!$O$5:$O$500,"&lt;=122379",'LANÇAMENTOS DIÁRIOS'!$P$5:$P$500,"&gt;=122280")&gt;0,"X","")</f>
      </c>
      <c r="AZ34" s="56" t="str">
        <f>IF(COUNTIFS('LANÇAMENTOS DIÁRIOS'!$G$5:$G$500,"G",'LANÇAMENTOS DIÁRIOS'!$C$5:$C$500,$A34,'LANÇAMENTOS DIÁRIOS'!$O$5:$O$500,"&lt;=122479",'LANÇAMENTOS DIÁRIOS'!$P$5:$P$500,"&gt;=122380")&gt;0,"X","")</f>
      </c>
      <c r="BA34" s="56" t="str">
        <f>IF(COUNTIFS('LANÇAMENTOS DIÁRIOS'!$G$5:$G$500,"G",'LANÇAMENTOS DIÁRIOS'!$C$5:$C$500,$A34,'LANÇAMENTOS DIÁRIOS'!$O$5:$O$500,"&lt;=122579",'LANÇAMENTOS DIÁRIOS'!$P$5:$P$500,"&gt;=122480")&gt;0,"X","")</f>
      </c>
      <c r="BB34" s="56" t="str">
        <f>IF(COUNTIFS('LANÇAMENTOS DIÁRIOS'!$G$5:$G$500,"G",'LANÇAMENTOS DIÁRIOS'!$C$5:$C$500,$A34,'LANÇAMENTOS DIÁRIOS'!$O$5:$O$500,"&lt;=122679",'LANÇAMENTOS DIÁRIOS'!$P$5:$P$500,"&gt;=122580")&gt;0,"X","")</f>
      </c>
      <c r="BC34" s="56" t="str">
        <f>IF(COUNTIFS('LANÇAMENTOS DIÁRIOS'!$G$5:$G$500,"G",'LANÇAMENTOS DIÁRIOS'!$C$5:$C$500,$A34,'LANÇAMENTOS DIÁRIOS'!$O$5:$O$500,"&lt;=122779",'LANÇAMENTOS DIÁRIOS'!$P$5:$P$500,"&gt;=122680")&gt;0,"X","")</f>
      </c>
      <c r="BD34" s="56" t="str">
        <f>IF(COUNTIFS('LANÇAMENTOS DIÁRIOS'!$G$5:$G$500,"G",'LANÇAMENTOS DIÁRIOS'!$C$5:$C$500,$A34,'LANÇAMENTOS DIÁRIOS'!$O$5:$O$500,"&lt;=122879",'LANÇAMENTOS DIÁRIOS'!$P$5:$P$500,"&gt;=122780")&gt;0,"X","")</f>
      </c>
      <c r="BE34" s="56" t="str">
        <f>IF(COUNTIFS('LANÇAMENTOS DIÁRIOS'!$G$5:$G$500,"G",'LANÇAMENTOS DIÁRIOS'!$C$5:$C$500,$A34,'LANÇAMENTOS DIÁRIOS'!$O$5:$O$500,"&lt;=122979",'LANÇAMENTOS DIÁRIOS'!$P$5:$P$500,"&gt;=122880")&gt;0,"X","")</f>
      </c>
      <c r="BF34" s="56" t="str">
        <f>IF(COUNTIFS('LANÇAMENTOS DIÁRIOS'!$G$5:$G$500,"G",'LANÇAMENTOS DIÁRIOS'!$C$5:$C$500,$A34,'LANÇAMENTOS DIÁRIOS'!$O$5:$O$500,"&lt;=123079",'LANÇAMENTOS DIÁRIOS'!$P$5:$P$500,"&gt;=122980")&gt;0,"X","")</f>
      </c>
      <c r="BG34" s="56" t="str">
        <f>IF(COUNTIFS('LANÇAMENTOS DIÁRIOS'!$G$5:$G$500,"G",'LANÇAMENTOS DIÁRIOS'!$C$5:$C$500,$A34,'LANÇAMENTOS DIÁRIOS'!$O$5:$O$500,"&lt;=123179",'LANÇAMENTOS DIÁRIOS'!$P$5:$P$500,"&gt;=123080")&gt;0,"X","")</f>
      </c>
      <c r="BH34" s="56" t="str">
        <f>IF(COUNTIFS('LANÇAMENTOS DIÁRIOS'!$G$5:$G$500,"G",'LANÇAMENTOS DIÁRIOS'!$C$5:$C$500,$A34,'LANÇAMENTOS DIÁRIOS'!$O$5:$O$500,"&lt;=123279",'LANÇAMENTOS DIÁRIOS'!$P$5:$P$500,"&gt;=123180")&gt;0,"X","")</f>
      </c>
      <c r="BI34" s="56" t="str">
        <f>IF(COUNTIFS('LANÇAMENTOS DIÁRIOS'!$G$5:$G$500,"G",'LANÇAMENTOS DIÁRIOS'!$C$5:$C$500,$A34,'LANÇAMENTOS DIÁRIOS'!$O$5:$O$500,"&lt;=123379",'LANÇAMENTOS DIÁRIOS'!$P$5:$P$500,"&gt;=123280")&gt;0,"X","")</f>
      </c>
      <c r="BJ34" s="56" t="str">
        <f>IF(COUNTIFS('LANÇAMENTOS DIÁRIOS'!$G$5:$G$500,"G",'LANÇAMENTOS DIÁRIOS'!$C$5:$C$500,$A34,'LANÇAMENTOS DIÁRIOS'!$O$5:$O$500,"&lt;=123479",'LANÇAMENTOS DIÁRIOS'!$P$5:$P$500,"&gt;=123380")&gt;0,"X","")</f>
      </c>
      <c r="BK34" s="56" t="str">
        <f>IF(COUNTIFS('LANÇAMENTOS DIÁRIOS'!$G$5:$G$500,"G",'LANÇAMENTOS DIÁRIOS'!$C$5:$C$500,$A34,'LANÇAMENTOS DIÁRIOS'!$O$5:$O$500,"&lt;=123480",'LANÇAMENTOS DIÁRIOS'!$P$5:$P$500,"&gt;=123480")&gt;0,"X","")</f>
      </c>
    </row>
    <row r="35">
      <c r="A35" s="51" t="str">
        <v>Derrubada e destocamento.arv. c/ diâmetro 70&lt;&gt; 80cm, com limpeza da área</v>
      </c>
      <c r="B35" s="56" t="str">
        <f>IF(COUNTIFS('LANÇAMENTOS DIÁRIOS'!$G$5:$G$500,"G",'LANÇAMENTOS DIÁRIOS'!$C$5:$C$500,$A35,'LANÇAMENTOS DIÁRIOS'!$O$5:$O$500,"&lt;=117479",'LANÇAMENTOS DIÁRIOS'!$P$5:$P$500,"&gt;=117380")&gt;0,"X","")</f>
      </c>
      <c r="C35" s="56" t="str">
        <f>IF(COUNTIFS('LANÇAMENTOS DIÁRIOS'!$G$5:$G$500,"G",'LANÇAMENTOS DIÁRIOS'!$C$5:$C$500,$A35,'LANÇAMENTOS DIÁRIOS'!$O$5:$O$500,"&lt;=117579",'LANÇAMENTOS DIÁRIOS'!$P$5:$P$500,"&gt;=117480")&gt;0,"X","")</f>
      </c>
      <c r="D35" s="56" t="str">
        <f>IF(COUNTIFS('LANÇAMENTOS DIÁRIOS'!$G$5:$G$500,"G",'LANÇAMENTOS DIÁRIOS'!$C$5:$C$500,$A35,'LANÇAMENTOS DIÁRIOS'!$O$5:$O$500,"&lt;=117679",'LANÇAMENTOS DIÁRIOS'!$P$5:$P$500,"&gt;=117580")&gt;0,"X","")</f>
      </c>
      <c r="E35" s="56" t="str">
        <f>IF(COUNTIFS('LANÇAMENTOS DIÁRIOS'!$G$5:$G$500,"G",'LANÇAMENTOS DIÁRIOS'!$C$5:$C$500,$A35,'LANÇAMENTOS DIÁRIOS'!$O$5:$O$500,"&lt;=117779",'LANÇAMENTOS DIÁRIOS'!$P$5:$P$500,"&gt;=117680")&gt;0,"X","")</f>
      </c>
      <c r="F35" s="56" t="str">
        <f>IF(COUNTIFS('LANÇAMENTOS DIÁRIOS'!$G$5:$G$500,"G",'LANÇAMENTOS DIÁRIOS'!$C$5:$C$500,$A35,'LANÇAMENTOS DIÁRIOS'!$O$5:$O$500,"&lt;=117879",'LANÇAMENTOS DIÁRIOS'!$P$5:$P$500,"&gt;=117780")&gt;0,"X","")</f>
      </c>
      <c r="G35" s="56" t="str">
        <f>IF(COUNTIFS('LANÇAMENTOS DIÁRIOS'!$G$5:$G$500,"G",'LANÇAMENTOS DIÁRIOS'!$C$5:$C$500,$A35,'LANÇAMENTOS DIÁRIOS'!$O$5:$O$500,"&lt;=117979",'LANÇAMENTOS DIÁRIOS'!$P$5:$P$500,"&gt;=117880")&gt;0,"X","")</f>
      </c>
      <c r="H35" s="56" t="str">
        <f>IF(COUNTIFS('LANÇAMENTOS DIÁRIOS'!$G$5:$G$500,"G",'LANÇAMENTOS DIÁRIOS'!$C$5:$C$500,$A35,'LANÇAMENTOS DIÁRIOS'!$O$5:$O$500,"&lt;=118079",'LANÇAMENTOS DIÁRIOS'!$P$5:$P$500,"&gt;=117980")&gt;0,"X","")</f>
      </c>
      <c r="I35" s="56" t="str">
        <f>IF(COUNTIFS('LANÇAMENTOS DIÁRIOS'!$G$5:$G$500,"G",'LANÇAMENTOS DIÁRIOS'!$C$5:$C$500,$A35,'LANÇAMENTOS DIÁRIOS'!$O$5:$O$500,"&lt;=118179",'LANÇAMENTOS DIÁRIOS'!$P$5:$P$500,"&gt;=118080")&gt;0,"X","")</f>
      </c>
      <c r="J35" s="56" t="str">
        <f>IF(COUNTIFS('LANÇAMENTOS DIÁRIOS'!$G$5:$G$500,"G",'LANÇAMENTOS DIÁRIOS'!$C$5:$C$500,$A35,'LANÇAMENTOS DIÁRIOS'!$O$5:$O$500,"&lt;=118279",'LANÇAMENTOS DIÁRIOS'!$P$5:$P$500,"&gt;=118180")&gt;0,"X","")</f>
      </c>
      <c r="K35" s="56" t="str">
        <f>IF(COUNTIFS('LANÇAMENTOS DIÁRIOS'!$G$5:$G$500,"G",'LANÇAMENTOS DIÁRIOS'!$C$5:$C$500,$A35,'LANÇAMENTOS DIÁRIOS'!$O$5:$O$500,"&lt;=118379",'LANÇAMENTOS DIÁRIOS'!$P$5:$P$500,"&gt;=118280")&gt;0,"X","")</f>
      </c>
      <c r="L35" s="56" t="str">
        <f>IF(COUNTIFS('LANÇAMENTOS DIÁRIOS'!$G$5:$G$500,"G",'LANÇAMENTOS DIÁRIOS'!$C$5:$C$500,$A35,'LANÇAMENTOS DIÁRIOS'!$O$5:$O$500,"&lt;=118479",'LANÇAMENTOS DIÁRIOS'!$P$5:$P$500,"&gt;=118380")&gt;0,"X","")</f>
      </c>
      <c r="M35" s="56" t="str">
        <f>IF(COUNTIFS('LANÇAMENTOS DIÁRIOS'!$G$5:$G$500,"G",'LANÇAMENTOS DIÁRIOS'!$C$5:$C$500,$A35,'LANÇAMENTOS DIÁRIOS'!$O$5:$O$500,"&lt;=118579",'LANÇAMENTOS DIÁRIOS'!$P$5:$P$500,"&gt;=118480")&gt;0,"X","")</f>
      </c>
      <c r="N35" s="56" t="str">
        <f>IF(COUNTIFS('LANÇAMENTOS DIÁRIOS'!$G$5:$G$500,"G",'LANÇAMENTOS DIÁRIOS'!$C$5:$C$500,$A35,'LANÇAMENTOS DIÁRIOS'!$O$5:$O$500,"&lt;=118679",'LANÇAMENTOS DIÁRIOS'!$P$5:$P$500,"&gt;=118580")&gt;0,"X","")</f>
      </c>
      <c r="O35" s="56" t="str">
        <f>IF(COUNTIFS('LANÇAMENTOS DIÁRIOS'!$G$5:$G$500,"G",'LANÇAMENTOS DIÁRIOS'!$C$5:$C$500,$A35,'LANÇAMENTOS DIÁRIOS'!$O$5:$O$500,"&lt;=118779",'LANÇAMENTOS DIÁRIOS'!$P$5:$P$500,"&gt;=118680")&gt;0,"X","")</f>
      </c>
      <c r="P35" s="56" t="str">
        <f>IF(COUNTIFS('LANÇAMENTOS DIÁRIOS'!$G$5:$G$500,"G",'LANÇAMENTOS DIÁRIOS'!$C$5:$C$500,$A35,'LANÇAMENTOS DIÁRIOS'!$O$5:$O$500,"&lt;=118879",'LANÇAMENTOS DIÁRIOS'!$P$5:$P$500,"&gt;=118780")&gt;0,"X","")</f>
      </c>
      <c r="Q35" s="56" t="str">
        <f>IF(COUNTIFS('LANÇAMENTOS DIÁRIOS'!$G$5:$G$500,"G",'LANÇAMENTOS DIÁRIOS'!$C$5:$C$500,$A35,'LANÇAMENTOS DIÁRIOS'!$O$5:$O$500,"&lt;=118979",'LANÇAMENTOS DIÁRIOS'!$P$5:$P$500,"&gt;=118880")&gt;0,"X","")</f>
      </c>
      <c r="R35" s="56" t="str">
        <f>IF(COUNTIFS('LANÇAMENTOS DIÁRIOS'!$G$5:$G$500,"G",'LANÇAMENTOS DIÁRIOS'!$C$5:$C$500,$A35,'LANÇAMENTOS DIÁRIOS'!$O$5:$O$500,"&lt;=119079",'LANÇAMENTOS DIÁRIOS'!$P$5:$P$500,"&gt;=118980")&gt;0,"X","")</f>
      </c>
      <c r="S35" s="56" t="str">
        <f>IF(COUNTIFS('LANÇAMENTOS DIÁRIOS'!$G$5:$G$500,"G",'LANÇAMENTOS DIÁRIOS'!$C$5:$C$500,$A35,'LANÇAMENTOS DIÁRIOS'!$O$5:$O$500,"&lt;=119179",'LANÇAMENTOS DIÁRIOS'!$P$5:$P$500,"&gt;=119080")&gt;0,"X","")</f>
      </c>
      <c r="T35" s="56" t="str">
        <f>IF(COUNTIFS('LANÇAMENTOS DIÁRIOS'!$G$5:$G$500,"G",'LANÇAMENTOS DIÁRIOS'!$C$5:$C$500,$A35,'LANÇAMENTOS DIÁRIOS'!$O$5:$O$500,"&lt;=119279",'LANÇAMENTOS DIÁRIOS'!$P$5:$P$500,"&gt;=119180")&gt;0,"X","")</f>
      </c>
      <c r="U35" s="56" t="str">
        <f>IF(COUNTIFS('LANÇAMENTOS DIÁRIOS'!$G$5:$G$500,"G",'LANÇAMENTOS DIÁRIOS'!$C$5:$C$500,$A35,'LANÇAMENTOS DIÁRIOS'!$O$5:$O$500,"&lt;=119379",'LANÇAMENTOS DIÁRIOS'!$P$5:$P$500,"&gt;=119280")&gt;0,"X","")</f>
      </c>
      <c r="V35" s="56" t="str">
        <f>IF(COUNTIFS('LANÇAMENTOS DIÁRIOS'!$G$5:$G$500,"G",'LANÇAMENTOS DIÁRIOS'!$C$5:$C$500,$A35,'LANÇAMENTOS DIÁRIOS'!$O$5:$O$500,"&lt;=119479",'LANÇAMENTOS DIÁRIOS'!$P$5:$P$500,"&gt;=119380")&gt;0,"X","")</f>
      </c>
      <c r="W35" s="56" t="str">
        <f>IF(COUNTIFS('LANÇAMENTOS DIÁRIOS'!$G$5:$G$500,"G",'LANÇAMENTOS DIÁRIOS'!$C$5:$C$500,$A35,'LANÇAMENTOS DIÁRIOS'!$O$5:$O$500,"&lt;=119579",'LANÇAMENTOS DIÁRIOS'!$P$5:$P$500,"&gt;=119480")&gt;0,"X","")</f>
      </c>
      <c r="X35" s="56" t="str">
        <f>IF(COUNTIFS('LANÇAMENTOS DIÁRIOS'!$G$5:$G$500,"G",'LANÇAMENTOS DIÁRIOS'!$C$5:$C$500,$A35,'LANÇAMENTOS DIÁRIOS'!$O$5:$O$500,"&lt;=119679",'LANÇAMENTOS DIÁRIOS'!$P$5:$P$500,"&gt;=119580")&gt;0,"X","")</f>
      </c>
      <c r="Y35" s="56" t="str">
        <f>IF(COUNTIFS('LANÇAMENTOS DIÁRIOS'!$G$5:$G$500,"G",'LANÇAMENTOS DIÁRIOS'!$C$5:$C$500,$A35,'LANÇAMENTOS DIÁRIOS'!$O$5:$O$500,"&lt;=119779",'LANÇAMENTOS DIÁRIOS'!$P$5:$P$500,"&gt;=119680")&gt;0,"X","")</f>
      </c>
      <c r="Z35" s="56" t="str">
        <f>IF(COUNTIFS('LANÇAMENTOS DIÁRIOS'!$G$5:$G$500,"G",'LANÇAMENTOS DIÁRIOS'!$C$5:$C$500,$A35,'LANÇAMENTOS DIÁRIOS'!$O$5:$O$500,"&lt;=119879",'LANÇAMENTOS DIÁRIOS'!$P$5:$P$500,"&gt;=119780")&gt;0,"X","")</f>
      </c>
      <c r="AA35" s="56" t="str">
        <f>IF(COUNTIFS('LANÇAMENTOS DIÁRIOS'!$G$5:$G$500,"G",'LANÇAMENTOS DIÁRIOS'!$C$5:$C$500,$A35,'LANÇAMENTOS DIÁRIOS'!$O$5:$O$500,"&lt;=119979",'LANÇAMENTOS DIÁRIOS'!$P$5:$P$500,"&gt;=119880")&gt;0,"X","")</f>
      </c>
      <c r="AB35" s="56" t="str">
        <f>IF(COUNTIFS('LANÇAMENTOS DIÁRIOS'!$G$5:$G$500,"G",'LANÇAMENTOS DIÁRIOS'!$C$5:$C$500,$A35,'LANÇAMENTOS DIÁRIOS'!$O$5:$O$500,"&lt;=120079",'LANÇAMENTOS DIÁRIOS'!$P$5:$P$500,"&gt;=119980")&gt;0,"X","")</f>
      </c>
      <c r="AC35" s="56" t="str">
        <f>IF(COUNTIFS('LANÇAMENTOS DIÁRIOS'!$G$5:$G$500,"G",'LANÇAMENTOS DIÁRIOS'!$C$5:$C$500,$A35,'LANÇAMENTOS DIÁRIOS'!$O$5:$O$500,"&lt;=120179",'LANÇAMENTOS DIÁRIOS'!$P$5:$P$500,"&gt;=120080")&gt;0,"X","")</f>
      </c>
      <c r="AD35" s="56" t="str">
        <f>IF(COUNTIFS('LANÇAMENTOS DIÁRIOS'!$G$5:$G$500,"G",'LANÇAMENTOS DIÁRIOS'!$C$5:$C$500,$A35,'LANÇAMENTOS DIÁRIOS'!$O$5:$O$500,"&lt;=120279",'LANÇAMENTOS DIÁRIOS'!$P$5:$P$500,"&gt;=120180")&gt;0,"X","")</f>
      </c>
      <c r="AE35" s="56" t="str">
        <f>IF(COUNTIFS('LANÇAMENTOS DIÁRIOS'!$G$5:$G$500,"G",'LANÇAMENTOS DIÁRIOS'!$C$5:$C$500,$A35,'LANÇAMENTOS DIÁRIOS'!$O$5:$O$500,"&lt;=120379",'LANÇAMENTOS DIÁRIOS'!$P$5:$P$500,"&gt;=120280")&gt;0,"X","")</f>
      </c>
      <c r="AF35" s="56" t="str">
        <f>IF(COUNTIFS('LANÇAMENTOS DIÁRIOS'!$G$5:$G$500,"G",'LANÇAMENTOS DIÁRIOS'!$C$5:$C$500,$A35,'LANÇAMENTOS DIÁRIOS'!$O$5:$O$500,"&lt;=120479",'LANÇAMENTOS DIÁRIOS'!$P$5:$P$500,"&gt;=120380")&gt;0,"X","")</f>
      </c>
      <c r="AG35" s="56" t="str">
        <f>IF(COUNTIFS('LANÇAMENTOS DIÁRIOS'!$G$5:$G$500,"G",'LANÇAMENTOS DIÁRIOS'!$C$5:$C$500,$A35,'LANÇAMENTOS DIÁRIOS'!$O$5:$O$500,"&lt;=120579",'LANÇAMENTOS DIÁRIOS'!$P$5:$P$500,"&gt;=120480")&gt;0,"X","")</f>
      </c>
      <c r="AH35" s="56" t="str">
        <f>IF(COUNTIFS('LANÇAMENTOS DIÁRIOS'!$G$5:$G$500,"G",'LANÇAMENTOS DIÁRIOS'!$C$5:$C$500,$A35,'LANÇAMENTOS DIÁRIOS'!$O$5:$O$500,"&lt;=120679",'LANÇAMENTOS DIÁRIOS'!$P$5:$P$500,"&gt;=120580")&gt;0,"X","")</f>
      </c>
      <c r="AI35" s="56" t="str">
        <f>IF(COUNTIFS('LANÇAMENTOS DIÁRIOS'!$G$5:$G$500,"G",'LANÇAMENTOS DIÁRIOS'!$C$5:$C$500,$A35,'LANÇAMENTOS DIÁRIOS'!$O$5:$O$500,"&lt;=120779",'LANÇAMENTOS DIÁRIOS'!$P$5:$P$500,"&gt;=120680")&gt;0,"X","")</f>
      </c>
      <c r="AJ35" s="56" t="str">
        <f>IF(COUNTIFS('LANÇAMENTOS DIÁRIOS'!$G$5:$G$500,"G",'LANÇAMENTOS DIÁRIOS'!$C$5:$C$500,$A35,'LANÇAMENTOS DIÁRIOS'!$O$5:$O$500,"&lt;=120879",'LANÇAMENTOS DIÁRIOS'!$P$5:$P$500,"&gt;=120780")&gt;0,"X","")</f>
      </c>
      <c r="AK35" s="56" t="str">
        <f>IF(COUNTIFS('LANÇAMENTOS DIÁRIOS'!$G$5:$G$500,"G",'LANÇAMENTOS DIÁRIOS'!$C$5:$C$500,$A35,'LANÇAMENTOS DIÁRIOS'!$O$5:$O$500,"&lt;=120979",'LANÇAMENTOS DIÁRIOS'!$P$5:$P$500,"&gt;=120880")&gt;0,"X","")</f>
      </c>
      <c r="AL35" s="56" t="str">
        <f>IF(COUNTIFS('LANÇAMENTOS DIÁRIOS'!$G$5:$G$500,"G",'LANÇAMENTOS DIÁRIOS'!$C$5:$C$500,$A35,'LANÇAMENTOS DIÁRIOS'!$O$5:$O$500,"&lt;=121079",'LANÇAMENTOS DIÁRIOS'!$P$5:$P$500,"&gt;=120980")&gt;0,"X","")</f>
      </c>
      <c r="AM35" s="56" t="str">
        <f>IF(COUNTIFS('LANÇAMENTOS DIÁRIOS'!$G$5:$G$500,"G",'LANÇAMENTOS DIÁRIOS'!$C$5:$C$500,$A35,'LANÇAMENTOS DIÁRIOS'!$O$5:$O$500,"&lt;=121179",'LANÇAMENTOS DIÁRIOS'!$P$5:$P$500,"&gt;=121080")&gt;0,"X","")</f>
      </c>
      <c r="AN35" s="56" t="str">
        <f>IF(COUNTIFS('LANÇAMENTOS DIÁRIOS'!$G$5:$G$500,"G",'LANÇAMENTOS DIÁRIOS'!$C$5:$C$500,$A35,'LANÇAMENTOS DIÁRIOS'!$O$5:$O$500,"&lt;=121279",'LANÇAMENTOS DIÁRIOS'!$P$5:$P$500,"&gt;=121180")&gt;0,"X","")</f>
      </c>
      <c r="AO35" s="56" t="str">
        <f>IF(COUNTIFS('LANÇAMENTOS DIÁRIOS'!$G$5:$G$500,"G",'LANÇAMENTOS DIÁRIOS'!$C$5:$C$500,$A35,'LANÇAMENTOS DIÁRIOS'!$O$5:$O$500,"&lt;=121379",'LANÇAMENTOS DIÁRIOS'!$P$5:$P$500,"&gt;=121280")&gt;0,"X","")</f>
      </c>
      <c r="AP35" s="56" t="str">
        <f>IF(COUNTIFS('LANÇAMENTOS DIÁRIOS'!$G$5:$G$500,"G",'LANÇAMENTOS DIÁRIOS'!$C$5:$C$500,$A35,'LANÇAMENTOS DIÁRIOS'!$O$5:$O$500,"&lt;=121479",'LANÇAMENTOS DIÁRIOS'!$P$5:$P$500,"&gt;=121380")&gt;0,"X","")</f>
      </c>
      <c r="AQ35" s="56" t="str">
        <f>IF(COUNTIFS('LANÇAMENTOS DIÁRIOS'!$G$5:$G$500,"G",'LANÇAMENTOS DIÁRIOS'!$C$5:$C$500,$A35,'LANÇAMENTOS DIÁRIOS'!$O$5:$O$500,"&lt;=121579",'LANÇAMENTOS DIÁRIOS'!$P$5:$P$500,"&gt;=121480")&gt;0,"X","")</f>
      </c>
      <c r="AR35" s="56" t="str">
        <f>IF(COUNTIFS('LANÇAMENTOS DIÁRIOS'!$G$5:$G$500,"G",'LANÇAMENTOS DIÁRIOS'!$C$5:$C$500,$A35,'LANÇAMENTOS DIÁRIOS'!$O$5:$O$500,"&lt;=121679",'LANÇAMENTOS DIÁRIOS'!$P$5:$P$500,"&gt;=121580")&gt;0,"X","")</f>
      </c>
      <c r="AS35" s="56" t="str">
        <f>IF(COUNTIFS('LANÇAMENTOS DIÁRIOS'!$G$5:$G$500,"G",'LANÇAMENTOS DIÁRIOS'!$C$5:$C$500,$A35,'LANÇAMENTOS DIÁRIOS'!$O$5:$O$500,"&lt;=121779",'LANÇAMENTOS DIÁRIOS'!$P$5:$P$500,"&gt;=121680")&gt;0,"X","")</f>
      </c>
      <c r="AT35" s="56" t="str">
        <f>IF(COUNTIFS('LANÇAMENTOS DIÁRIOS'!$G$5:$G$500,"G",'LANÇAMENTOS DIÁRIOS'!$C$5:$C$500,$A35,'LANÇAMENTOS DIÁRIOS'!$O$5:$O$500,"&lt;=121879",'LANÇAMENTOS DIÁRIOS'!$P$5:$P$500,"&gt;=121780")&gt;0,"X","")</f>
      </c>
      <c r="AU35" s="56" t="str">
        <f>IF(COUNTIFS('LANÇAMENTOS DIÁRIOS'!$G$5:$G$500,"G",'LANÇAMENTOS DIÁRIOS'!$C$5:$C$500,$A35,'LANÇAMENTOS DIÁRIOS'!$O$5:$O$500,"&lt;=121979",'LANÇAMENTOS DIÁRIOS'!$P$5:$P$500,"&gt;=121880")&gt;0,"X","")</f>
      </c>
      <c r="AV35" s="56" t="str">
        <f>IF(COUNTIFS('LANÇAMENTOS DIÁRIOS'!$G$5:$G$500,"G",'LANÇAMENTOS DIÁRIOS'!$C$5:$C$500,$A35,'LANÇAMENTOS DIÁRIOS'!$O$5:$O$500,"&lt;=122079",'LANÇAMENTOS DIÁRIOS'!$P$5:$P$500,"&gt;=121980")&gt;0,"X","")</f>
      </c>
      <c r="AW35" s="56" t="str">
        <f>IF(COUNTIFS('LANÇAMENTOS DIÁRIOS'!$G$5:$G$500,"G",'LANÇAMENTOS DIÁRIOS'!$C$5:$C$500,$A35,'LANÇAMENTOS DIÁRIOS'!$O$5:$O$500,"&lt;=122179",'LANÇAMENTOS DIÁRIOS'!$P$5:$P$500,"&gt;=122080")&gt;0,"X","")</f>
      </c>
      <c r="AX35" s="56" t="str">
        <f>IF(COUNTIFS('LANÇAMENTOS DIÁRIOS'!$G$5:$G$500,"G",'LANÇAMENTOS DIÁRIOS'!$C$5:$C$500,$A35,'LANÇAMENTOS DIÁRIOS'!$O$5:$O$500,"&lt;=122279",'LANÇAMENTOS DIÁRIOS'!$P$5:$P$500,"&gt;=122180")&gt;0,"X","")</f>
      </c>
      <c r="AY35" s="56" t="str">
        <f>IF(COUNTIFS('LANÇAMENTOS DIÁRIOS'!$G$5:$G$500,"G",'LANÇAMENTOS DIÁRIOS'!$C$5:$C$500,$A35,'LANÇAMENTOS DIÁRIOS'!$O$5:$O$500,"&lt;=122379",'LANÇAMENTOS DIÁRIOS'!$P$5:$P$500,"&gt;=122280")&gt;0,"X","")</f>
      </c>
      <c r="AZ35" s="56" t="str">
        <f>IF(COUNTIFS('LANÇAMENTOS DIÁRIOS'!$G$5:$G$500,"G",'LANÇAMENTOS DIÁRIOS'!$C$5:$C$500,$A35,'LANÇAMENTOS DIÁRIOS'!$O$5:$O$500,"&lt;=122479",'LANÇAMENTOS DIÁRIOS'!$P$5:$P$500,"&gt;=122380")&gt;0,"X","")</f>
      </c>
      <c r="BA35" s="56" t="str">
        <f>IF(COUNTIFS('LANÇAMENTOS DIÁRIOS'!$G$5:$G$500,"G",'LANÇAMENTOS DIÁRIOS'!$C$5:$C$500,$A35,'LANÇAMENTOS DIÁRIOS'!$O$5:$O$500,"&lt;=122579",'LANÇAMENTOS DIÁRIOS'!$P$5:$P$500,"&gt;=122480")&gt;0,"X","")</f>
      </c>
      <c r="BB35" s="56" t="str">
        <f>IF(COUNTIFS('LANÇAMENTOS DIÁRIOS'!$G$5:$G$500,"G",'LANÇAMENTOS DIÁRIOS'!$C$5:$C$500,$A35,'LANÇAMENTOS DIÁRIOS'!$O$5:$O$500,"&lt;=122679",'LANÇAMENTOS DIÁRIOS'!$P$5:$P$500,"&gt;=122580")&gt;0,"X","")</f>
      </c>
      <c r="BC35" s="56" t="str">
        <f>IF(COUNTIFS('LANÇAMENTOS DIÁRIOS'!$G$5:$G$500,"G",'LANÇAMENTOS DIÁRIOS'!$C$5:$C$500,$A35,'LANÇAMENTOS DIÁRIOS'!$O$5:$O$500,"&lt;=122779",'LANÇAMENTOS DIÁRIOS'!$P$5:$P$500,"&gt;=122680")&gt;0,"X","")</f>
      </c>
      <c r="BD35" s="56" t="str">
        <f>IF(COUNTIFS('LANÇAMENTOS DIÁRIOS'!$G$5:$G$500,"G",'LANÇAMENTOS DIÁRIOS'!$C$5:$C$500,$A35,'LANÇAMENTOS DIÁRIOS'!$O$5:$O$500,"&lt;=122879",'LANÇAMENTOS DIÁRIOS'!$P$5:$P$500,"&gt;=122780")&gt;0,"X","")</f>
      </c>
      <c r="BE35" s="56" t="str">
        <f>IF(COUNTIFS('LANÇAMENTOS DIÁRIOS'!$G$5:$G$500,"G",'LANÇAMENTOS DIÁRIOS'!$C$5:$C$500,$A35,'LANÇAMENTOS DIÁRIOS'!$O$5:$O$500,"&lt;=122979",'LANÇAMENTOS DIÁRIOS'!$P$5:$P$500,"&gt;=122880")&gt;0,"X","")</f>
      </c>
      <c r="BF35" s="56" t="str">
        <f>IF(COUNTIFS('LANÇAMENTOS DIÁRIOS'!$G$5:$G$500,"G",'LANÇAMENTOS DIÁRIOS'!$C$5:$C$500,$A35,'LANÇAMENTOS DIÁRIOS'!$O$5:$O$500,"&lt;=123079",'LANÇAMENTOS DIÁRIOS'!$P$5:$P$500,"&gt;=122980")&gt;0,"X","")</f>
      </c>
      <c r="BG35" s="56" t="str">
        <f>IF(COUNTIFS('LANÇAMENTOS DIÁRIOS'!$G$5:$G$500,"G",'LANÇAMENTOS DIÁRIOS'!$C$5:$C$500,$A35,'LANÇAMENTOS DIÁRIOS'!$O$5:$O$500,"&lt;=123179",'LANÇAMENTOS DIÁRIOS'!$P$5:$P$500,"&gt;=123080")&gt;0,"X","")</f>
      </c>
      <c r="BH35" s="56" t="str">
        <f>IF(COUNTIFS('LANÇAMENTOS DIÁRIOS'!$G$5:$G$500,"G",'LANÇAMENTOS DIÁRIOS'!$C$5:$C$500,$A35,'LANÇAMENTOS DIÁRIOS'!$O$5:$O$500,"&lt;=123279",'LANÇAMENTOS DIÁRIOS'!$P$5:$P$500,"&gt;=123180")&gt;0,"X","")</f>
      </c>
      <c r="BI35" s="56" t="str">
        <f>IF(COUNTIFS('LANÇAMENTOS DIÁRIOS'!$G$5:$G$500,"G",'LANÇAMENTOS DIÁRIOS'!$C$5:$C$500,$A35,'LANÇAMENTOS DIÁRIOS'!$O$5:$O$500,"&lt;=123379",'LANÇAMENTOS DIÁRIOS'!$P$5:$P$500,"&gt;=123280")&gt;0,"X","")</f>
      </c>
      <c r="BJ35" s="56" t="str">
        <f>IF(COUNTIFS('LANÇAMENTOS DIÁRIOS'!$G$5:$G$500,"G",'LANÇAMENTOS DIÁRIOS'!$C$5:$C$500,$A35,'LANÇAMENTOS DIÁRIOS'!$O$5:$O$500,"&lt;=123479",'LANÇAMENTOS DIÁRIOS'!$P$5:$P$500,"&gt;=123380")&gt;0,"X","")</f>
      </c>
      <c r="BK35" s="56" t="str">
        <f>IF(COUNTIFS('LANÇAMENTOS DIÁRIOS'!$G$5:$G$500,"G",'LANÇAMENTOS DIÁRIOS'!$C$5:$C$500,$A35,'LANÇAMENTOS DIÁRIOS'!$O$5:$O$500,"&lt;=123480",'LANÇAMENTOS DIÁRIOS'!$P$5:$P$500,"&gt;=123480")&gt;0,"X","")</f>
      </c>
    </row>
    <row r="36">
      <c r="A36" s="51" t="str">
        <v>Derrubada e destocamento.arv. c/ diâmetro &gt; 80cm, com limpeza da área</v>
      </c>
      <c r="B36" s="56" t="str">
        <f>IF(COUNTIFS('LANÇAMENTOS DIÁRIOS'!$G$5:$G$500,"G",'LANÇAMENTOS DIÁRIOS'!$C$5:$C$500,$A36,'LANÇAMENTOS DIÁRIOS'!$O$5:$O$500,"&lt;=117479",'LANÇAMENTOS DIÁRIOS'!$P$5:$P$500,"&gt;=117380")&gt;0,"X","")</f>
      </c>
      <c r="C36" s="56" t="str">
        <f>IF(COUNTIFS('LANÇAMENTOS DIÁRIOS'!$G$5:$G$500,"G",'LANÇAMENTOS DIÁRIOS'!$C$5:$C$500,$A36,'LANÇAMENTOS DIÁRIOS'!$O$5:$O$500,"&lt;=117579",'LANÇAMENTOS DIÁRIOS'!$P$5:$P$500,"&gt;=117480")&gt;0,"X","")</f>
      </c>
      <c r="D36" s="56" t="str">
        <f>IF(COUNTIFS('LANÇAMENTOS DIÁRIOS'!$G$5:$G$500,"G",'LANÇAMENTOS DIÁRIOS'!$C$5:$C$500,$A36,'LANÇAMENTOS DIÁRIOS'!$O$5:$O$500,"&lt;=117679",'LANÇAMENTOS DIÁRIOS'!$P$5:$P$500,"&gt;=117580")&gt;0,"X","")</f>
      </c>
      <c r="E36" s="56" t="str">
        <f>IF(COUNTIFS('LANÇAMENTOS DIÁRIOS'!$G$5:$G$500,"G",'LANÇAMENTOS DIÁRIOS'!$C$5:$C$500,$A36,'LANÇAMENTOS DIÁRIOS'!$O$5:$O$500,"&lt;=117779",'LANÇAMENTOS DIÁRIOS'!$P$5:$P$500,"&gt;=117680")&gt;0,"X","")</f>
      </c>
      <c r="F36" s="56" t="str">
        <f>IF(COUNTIFS('LANÇAMENTOS DIÁRIOS'!$G$5:$G$500,"G",'LANÇAMENTOS DIÁRIOS'!$C$5:$C$500,$A36,'LANÇAMENTOS DIÁRIOS'!$O$5:$O$500,"&lt;=117879",'LANÇAMENTOS DIÁRIOS'!$P$5:$P$500,"&gt;=117780")&gt;0,"X","")</f>
      </c>
      <c r="G36" s="56" t="str">
        <f>IF(COUNTIFS('LANÇAMENTOS DIÁRIOS'!$G$5:$G$500,"G",'LANÇAMENTOS DIÁRIOS'!$C$5:$C$500,$A36,'LANÇAMENTOS DIÁRIOS'!$O$5:$O$500,"&lt;=117979",'LANÇAMENTOS DIÁRIOS'!$P$5:$P$500,"&gt;=117880")&gt;0,"X","")</f>
      </c>
      <c r="H36" s="56" t="str">
        <f>IF(COUNTIFS('LANÇAMENTOS DIÁRIOS'!$G$5:$G$500,"G",'LANÇAMENTOS DIÁRIOS'!$C$5:$C$500,$A36,'LANÇAMENTOS DIÁRIOS'!$O$5:$O$500,"&lt;=118079",'LANÇAMENTOS DIÁRIOS'!$P$5:$P$500,"&gt;=117980")&gt;0,"X","")</f>
      </c>
      <c r="I36" s="56" t="str">
        <f>IF(COUNTIFS('LANÇAMENTOS DIÁRIOS'!$G$5:$G$500,"G",'LANÇAMENTOS DIÁRIOS'!$C$5:$C$500,$A36,'LANÇAMENTOS DIÁRIOS'!$O$5:$O$500,"&lt;=118179",'LANÇAMENTOS DIÁRIOS'!$P$5:$P$500,"&gt;=118080")&gt;0,"X","")</f>
      </c>
      <c r="J36" s="56" t="str">
        <f>IF(COUNTIFS('LANÇAMENTOS DIÁRIOS'!$G$5:$G$500,"G",'LANÇAMENTOS DIÁRIOS'!$C$5:$C$500,$A36,'LANÇAMENTOS DIÁRIOS'!$O$5:$O$500,"&lt;=118279",'LANÇAMENTOS DIÁRIOS'!$P$5:$P$500,"&gt;=118180")&gt;0,"X","")</f>
      </c>
      <c r="K36" s="56" t="str">
        <f>IF(COUNTIFS('LANÇAMENTOS DIÁRIOS'!$G$5:$G$500,"G",'LANÇAMENTOS DIÁRIOS'!$C$5:$C$500,$A36,'LANÇAMENTOS DIÁRIOS'!$O$5:$O$500,"&lt;=118379",'LANÇAMENTOS DIÁRIOS'!$P$5:$P$500,"&gt;=118280")&gt;0,"X","")</f>
      </c>
      <c r="L36" s="56" t="str">
        <f>IF(COUNTIFS('LANÇAMENTOS DIÁRIOS'!$G$5:$G$500,"G",'LANÇAMENTOS DIÁRIOS'!$C$5:$C$500,$A36,'LANÇAMENTOS DIÁRIOS'!$O$5:$O$500,"&lt;=118479",'LANÇAMENTOS DIÁRIOS'!$P$5:$P$500,"&gt;=118380")&gt;0,"X","")</f>
      </c>
      <c r="M36" s="56" t="str">
        <f>IF(COUNTIFS('LANÇAMENTOS DIÁRIOS'!$G$5:$G$500,"G",'LANÇAMENTOS DIÁRIOS'!$C$5:$C$500,$A36,'LANÇAMENTOS DIÁRIOS'!$O$5:$O$500,"&lt;=118579",'LANÇAMENTOS DIÁRIOS'!$P$5:$P$500,"&gt;=118480")&gt;0,"X","")</f>
      </c>
      <c r="N36" s="56" t="str">
        <f>IF(COUNTIFS('LANÇAMENTOS DIÁRIOS'!$G$5:$G$500,"G",'LANÇAMENTOS DIÁRIOS'!$C$5:$C$500,$A36,'LANÇAMENTOS DIÁRIOS'!$O$5:$O$500,"&lt;=118679",'LANÇAMENTOS DIÁRIOS'!$P$5:$P$500,"&gt;=118580")&gt;0,"X","")</f>
      </c>
      <c r="O36" s="56" t="str">
        <f>IF(COUNTIFS('LANÇAMENTOS DIÁRIOS'!$G$5:$G$500,"G",'LANÇAMENTOS DIÁRIOS'!$C$5:$C$500,$A36,'LANÇAMENTOS DIÁRIOS'!$O$5:$O$500,"&lt;=118779",'LANÇAMENTOS DIÁRIOS'!$P$5:$P$500,"&gt;=118680")&gt;0,"X","")</f>
      </c>
      <c r="P36" s="56" t="str">
        <f>IF(COUNTIFS('LANÇAMENTOS DIÁRIOS'!$G$5:$G$500,"G",'LANÇAMENTOS DIÁRIOS'!$C$5:$C$500,$A36,'LANÇAMENTOS DIÁRIOS'!$O$5:$O$500,"&lt;=118879",'LANÇAMENTOS DIÁRIOS'!$P$5:$P$500,"&gt;=118780")&gt;0,"X","")</f>
      </c>
      <c r="Q36" s="56" t="str">
        <f>IF(COUNTIFS('LANÇAMENTOS DIÁRIOS'!$G$5:$G$500,"G",'LANÇAMENTOS DIÁRIOS'!$C$5:$C$500,$A36,'LANÇAMENTOS DIÁRIOS'!$O$5:$O$500,"&lt;=118979",'LANÇAMENTOS DIÁRIOS'!$P$5:$P$500,"&gt;=118880")&gt;0,"X","")</f>
      </c>
      <c r="R36" s="56" t="str">
        <f>IF(COUNTIFS('LANÇAMENTOS DIÁRIOS'!$G$5:$G$500,"G",'LANÇAMENTOS DIÁRIOS'!$C$5:$C$500,$A36,'LANÇAMENTOS DIÁRIOS'!$O$5:$O$500,"&lt;=119079",'LANÇAMENTOS DIÁRIOS'!$P$5:$P$500,"&gt;=118980")&gt;0,"X","")</f>
      </c>
      <c r="S36" s="56" t="str">
        <f>IF(COUNTIFS('LANÇAMENTOS DIÁRIOS'!$G$5:$G$500,"G",'LANÇAMENTOS DIÁRIOS'!$C$5:$C$500,$A36,'LANÇAMENTOS DIÁRIOS'!$O$5:$O$500,"&lt;=119179",'LANÇAMENTOS DIÁRIOS'!$P$5:$P$500,"&gt;=119080")&gt;0,"X","")</f>
      </c>
      <c r="T36" s="56" t="str">
        <f>IF(COUNTIFS('LANÇAMENTOS DIÁRIOS'!$G$5:$G$500,"G",'LANÇAMENTOS DIÁRIOS'!$C$5:$C$500,$A36,'LANÇAMENTOS DIÁRIOS'!$O$5:$O$500,"&lt;=119279",'LANÇAMENTOS DIÁRIOS'!$P$5:$P$500,"&gt;=119180")&gt;0,"X","")</f>
      </c>
      <c r="U36" s="56" t="str">
        <f>IF(COUNTIFS('LANÇAMENTOS DIÁRIOS'!$G$5:$G$500,"G",'LANÇAMENTOS DIÁRIOS'!$C$5:$C$500,$A36,'LANÇAMENTOS DIÁRIOS'!$O$5:$O$500,"&lt;=119379",'LANÇAMENTOS DIÁRIOS'!$P$5:$P$500,"&gt;=119280")&gt;0,"X","")</f>
      </c>
      <c r="V36" s="56" t="str">
        <f>IF(COUNTIFS('LANÇAMENTOS DIÁRIOS'!$G$5:$G$500,"G",'LANÇAMENTOS DIÁRIOS'!$C$5:$C$500,$A36,'LANÇAMENTOS DIÁRIOS'!$O$5:$O$500,"&lt;=119479",'LANÇAMENTOS DIÁRIOS'!$P$5:$P$500,"&gt;=119380")&gt;0,"X","")</f>
      </c>
      <c r="W36" s="56" t="str">
        <f>IF(COUNTIFS('LANÇAMENTOS DIÁRIOS'!$G$5:$G$500,"G",'LANÇAMENTOS DIÁRIOS'!$C$5:$C$500,$A36,'LANÇAMENTOS DIÁRIOS'!$O$5:$O$500,"&lt;=119579",'LANÇAMENTOS DIÁRIOS'!$P$5:$P$500,"&gt;=119480")&gt;0,"X","")</f>
      </c>
      <c r="X36" s="56" t="str">
        <f>IF(COUNTIFS('LANÇAMENTOS DIÁRIOS'!$G$5:$G$500,"G",'LANÇAMENTOS DIÁRIOS'!$C$5:$C$500,$A36,'LANÇAMENTOS DIÁRIOS'!$O$5:$O$500,"&lt;=119679",'LANÇAMENTOS DIÁRIOS'!$P$5:$P$500,"&gt;=119580")&gt;0,"X","")</f>
      </c>
      <c r="Y36" s="56" t="str">
        <f>IF(COUNTIFS('LANÇAMENTOS DIÁRIOS'!$G$5:$G$500,"G",'LANÇAMENTOS DIÁRIOS'!$C$5:$C$500,$A36,'LANÇAMENTOS DIÁRIOS'!$O$5:$O$500,"&lt;=119779",'LANÇAMENTOS DIÁRIOS'!$P$5:$P$500,"&gt;=119680")&gt;0,"X","")</f>
      </c>
      <c r="Z36" s="56" t="str">
        <f>IF(COUNTIFS('LANÇAMENTOS DIÁRIOS'!$G$5:$G$500,"G",'LANÇAMENTOS DIÁRIOS'!$C$5:$C$500,$A36,'LANÇAMENTOS DIÁRIOS'!$O$5:$O$500,"&lt;=119879",'LANÇAMENTOS DIÁRIOS'!$P$5:$P$500,"&gt;=119780")&gt;0,"X","")</f>
      </c>
      <c r="AA36" s="56" t="str">
        <f>IF(COUNTIFS('LANÇAMENTOS DIÁRIOS'!$G$5:$G$500,"G",'LANÇAMENTOS DIÁRIOS'!$C$5:$C$500,$A36,'LANÇAMENTOS DIÁRIOS'!$O$5:$O$500,"&lt;=119979",'LANÇAMENTOS DIÁRIOS'!$P$5:$P$500,"&gt;=119880")&gt;0,"X","")</f>
      </c>
      <c r="AB36" s="56" t="str">
        <f>IF(COUNTIFS('LANÇAMENTOS DIÁRIOS'!$G$5:$G$500,"G",'LANÇAMENTOS DIÁRIOS'!$C$5:$C$500,$A36,'LANÇAMENTOS DIÁRIOS'!$O$5:$O$500,"&lt;=120079",'LANÇAMENTOS DIÁRIOS'!$P$5:$P$500,"&gt;=119980")&gt;0,"X","")</f>
      </c>
      <c r="AC36" s="56" t="str">
        <f>IF(COUNTIFS('LANÇAMENTOS DIÁRIOS'!$G$5:$G$500,"G",'LANÇAMENTOS DIÁRIOS'!$C$5:$C$500,$A36,'LANÇAMENTOS DIÁRIOS'!$O$5:$O$500,"&lt;=120179",'LANÇAMENTOS DIÁRIOS'!$P$5:$P$500,"&gt;=120080")&gt;0,"X","")</f>
      </c>
      <c r="AD36" s="56" t="str">
        <f>IF(COUNTIFS('LANÇAMENTOS DIÁRIOS'!$G$5:$G$500,"G",'LANÇAMENTOS DIÁRIOS'!$C$5:$C$500,$A36,'LANÇAMENTOS DIÁRIOS'!$O$5:$O$500,"&lt;=120279",'LANÇAMENTOS DIÁRIOS'!$P$5:$P$500,"&gt;=120180")&gt;0,"X","")</f>
      </c>
      <c r="AE36" s="56" t="str">
        <f>IF(COUNTIFS('LANÇAMENTOS DIÁRIOS'!$G$5:$G$500,"G",'LANÇAMENTOS DIÁRIOS'!$C$5:$C$500,$A36,'LANÇAMENTOS DIÁRIOS'!$O$5:$O$500,"&lt;=120379",'LANÇAMENTOS DIÁRIOS'!$P$5:$P$500,"&gt;=120280")&gt;0,"X","")</f>
      </c>
      <c r="AF36" s="56" t="str">
        <f>IF(COUNTIFS('LANÇAMENTOS DIÁRIOS'!$G$5:$G$500,"G",'LANÇAMENTOS DIÁRIOS'!$C$5:$C$500,$A36,'LANÇAMENTOS DIÁRIOS'!$O$5:$O$500,"&lt;=120479",'LANÇAMENTOS DIÁRIOS'!$P$5:$P$500,"&gt;=120380")&gt;0,"X","")</f>
      </c>
      <c r="AG36" s="56" t="str">
        <f>IF(COUNTIFS('LANÇAMENTOS DIÁRIOS'!$G$5:$G$500,"G",'LANÇAMENTOS DIÁRIOS'!$C$5:$C$500,$A36,'LANÇAMENTOS DIÁRIOS'!$O$5:$O$500,"&lt;=120579",'LANÇAMENTOS DIÁRIOS'!$P$5:$P$500,"&gt;=120480")&gt;0,"X","")</f>
      </c>
      <c r="AH36" s="56" t="str">
        <f>IF(COUNTIFS('LANÇAMENTOS DIÁRIOS'!$G$5:$G$500,"G",'LANÇAMENTOS DIÁRIOS'!$C$5:$C$500,$A36,'LANÇAMENTOS DIÁRIOS'!$O$5:$O$500,"&lt;=120679",'LANÇAMENTOS DIÁRIOS'!$P$5:$P$500,"&gt;=120580")&gt;0,"X","")</f>
      </c>
      <c r="AI36" s="56" t="str">
        <f>IF(COUNTIFS('LANÇAMENTOS DIÁRIOS'!$G$5:$G$500,"G",'LANÇAMENTOS DIÁRIOS'!$C$5:$C$500,$A36,'LANÇAMENTOS DIÁRIOS'!$O$5:$O$500,"&lt;=120779",'LANÇAMENTOS DIÁRIOS'!$P$5:$P$500,"&gt;=120680")&gt;0,"X","")</f>
      </c>
      <c r="AJ36" s="56" t="str">
        <f>IF(COUNTIFS('LANÇAMENTOS DIÁRIOS'!$G$5:$G$500,"G",'LANÇAMENTOS DIÁRIOS'!$C$5:$C$500,$A36,'LANÇAMENTOS DIÁRIOS'!$O$5:$O$500,"&lt;=120879",'LANÇAMENTOS DIÁRIOS'!$P$5:$P$500,"&gt;=120780")&gt;0,"X","")</f>
      </c>
      <c r="AK36" s="56" t="str">
        <f>IF(COUNTIFS('LANÇAMENTOS DIÁRIOS'!$G$5:$G$500,"G",'LANÇAMENTOS DIÁRIOS'!$C$5:$C$500,$A36,'LANÇAMENTOS DIÁRIOS'!$O$5:$O$500,"&lt;=120979",'LANÇAMENTOS DIÁRIOS'!$P$5:$P$500,"&gt;=120880")&gt;0,"X","")</f>
      </c>
      <c r="AL36" s="56" t="str">
        <f>IF(COUNTIFS('LANÇAMENTOS DIÁRIOS'!$G$5:$G$500,"G",'LANÇAMENTOS DIÁRIOS'!$C$5:$C$500,$A36,'LANÇAMENTOS DIÁRIOS'!$O$5:$O$500,"&lt;=121079",'LANÇAMENTOS DIÁRIOS'!$P$5:$P$500,"&gt;=120980")&gt;0,"X","")</f>
      </c>
      <c r="AM36" s="56" t="str">
        <f>IF(COUNTIFS('LANÇAMENTOS DIÁRIOS'!$G$5:$G$500,"G",'LANÇAMENTOS DIÁRIOS'!$C$5:$C$500,$A36,'LANÇAMENTOS DIÁRIOS'!$O$5:$O$500,"&lt;=121179",'LANÇAMENTOS DIÁRIOS'!$P$5:$P$500,"&gt;=121080")&gt;0,"X","")</f>
      </c>
      <c r="AN36" s="56" t="str">
        <f>IF(COUNTIFS('LANÇAMENTOS DIÁRIOS'!$G$5:$G$500,"G",'LANÇAMENTOS DIÁRIOS'!$C$5:$C$500,$A36,'LANÇAMENTOS DIÁRIOS'!$O$5:$O$500,"&lt;=121279",'LANÇAMENTOS DIÁRIOS'!$P$5:$P$500,"&gt;=121180")&gt;0,"X","")</f>
      </c>
      <c r="AO36" s="56" t="str">
        <f>IF(COUNTIFS('LANÇAMENTOS DIÁRIOS'!$G$5:$G$500,"G",'LANÇAMENTOS DIÁRIOS'!$C$5:$C$500,$A36,'LANÇAMENTOS DIÁRIOS'!$O$5:$O$500,"&lt;=121379",'LANÇAMENTOS DIÁRIOS'!$P$5:$P$500,"&gt;=121280")&gt;0,"X","")</f>
      </c>
      <c r="AP36" s="56" t="str">
        <f>IF(COUNTIFS('LANÇAMENTOS DIÁRIOS'!$G$5:$G$500,"G",'LANÇAMENTOS DIÁRIOS'!$C$5:$C$500,$A36,'LANÇAMENTOS DIÁRIOS'!$O$5:$O$500,"&lt;=121479",'LANÇAMENTOS DIÁRIOS'!$P$5:$P$500,"&gt;=121380")&gt;0,"X","")</f>
      </c>
      <c r="AQ36" s="56" t="str">
        <f>IF(COUNTIFS('LANÇAMENTOS DIÁRIOS'!$G$5:$G$500,"G",'LANÇAMENTOS DIÁRIOS'!$C$5:$C$500,$A36,'LANÇAMENTOS DIÁRIOS'!$O$5:$O$500,"&lt;=121579",'LANÇAMENTOS DIÁRIOS'!$P$5:$P$500,"&gt;=121480")&gt;0,"X","")</f>
      </c>
      <c r="AR36" s="56" t="str">
        <f>IF(COUNTIFS('LANÇAMENTOS DIÁRIOS'!$G$5:$G$500,"G",'LANÇAMENTOS DIÁRIOS'!$C$5:$C$500,$A36,'LANÇAMENTOS DIÁRIOS'!$O$5:$O$500,"&lt;=121679",'LANÇAMENTOS DIÁRIOS'!$P$5:$P$500,"&gt;=121580")&gt;0,"X","")</f>
      </c>
      <c r="AS36" s="56" t="str">
        <f>IF(COUNTIFS('LANÇAMENTOS DIÁRIOS'!$G$5:$G$500,"G",'LANÇAMENTOS DIÁRIOS'!$C$5:$C$500,$A36,'LANÇAMENTOS DIÁRIOS'!$O$5:$O$500,"&lt;=121779",'LANÇAMENTOS DIÁRIOS'!$P$5:$P$500,"&gt;=121680")&gt;0,"X","")</f>
      </c>
      <c r="AT36" s="56" t="str">
        <f>IF(COUNTIFS('LANÇAMENTOS DIÁRIOS'!$G$5:$G$500,"G",'LANÇAMENTOS DIÁRIOS'!$C$5:$C$500,$A36,'LANÇAMENTOS DIÁRIOS'!$O$5:$O$500,"&lt;=121879",'LANÇAMENTOS DIÁRIOS'!$P$5:$P$500,"&gt;=121780")&gt;0,"X","")</f>
      </c>
      <c r="AU36" s="56" t="str">
        <f>IF(COUNTIFS('LANÇAMENTOS DIÁRIOS'!$G$5:$G$500,"G",'LANÇAMENTOS DIÁRIOS'!$C$5:$C$500,$A36,'LANÇAMENTOS DIÁRIOS'!$O$5:$O$500,"&lt;=121979",'LANÇAMENTOS DIÁRIOS'!$P$5:$P$500,"&gt;=121880")&gt;0,"X","")</f>
      </c>
      <c r="AV36" s="56" t="str">
        <f>IF(COUNTIFS('LANÇAMENTOS DIÁRIOS'!$G$5:$G$500,"G",'LANÇAMENTOS DIÁRIOS'!$C$5:$C$500,$A36,'LANÇAMENTOS DIÁRIOS'!$O$5:$O$500,"&lt;=122079",'LANÇAMENTOS DIÁRIOS'!$P$5:$P$500,"&gt;=121980")&gt;0,"X","")</f>
      </c>
      <c r="AW36" s="56" t="str">
        <f>IF(COUNTIFS('LANÇAMENTOS DIÁRIOS'!$G$5:$G$500,"G",'LANÇAMENTOS DIÁRIOS'!$C$5:$C$500,$A36,'LANÇAMENTOS DIÁRIOS'!$O$5:$O$500,"&lt;=122179",'LANÇAMENTOS DIÁRIOS'!$P$5:$P$500,"&gt;=122080")&gt;0,"X","")</f>
      </c>
      <c r="AX36" s="56" t="str">
        <f>IF(COUNTIFS('LANÇAMENTOS DIÁRIOS'!$G$5:$G$500,"G",'LANÇAMENTOS DIÁRIOS'!$C$5:$C$500,$A36,'LANÇAMENTOS DIÁRIOS'!$O$5:$O$500,"&lt;=122279",'LANÇAMENTOS DIÁRIOS'!$P$5:$P$500,"&gt;=122180")&gt;0,"X","")</f>
      </c>
      <c r="AY36" s="56" t="str">
        <f>IF(COUNTIFS('LANÇAMENTOS DIÁRIOS'!$G$5:$G$500,"G",'LANÇAMENTOS DIÁRIOS'!$C$5:$C$500,$A36,'LANÇAMENTOS DIÁRIOS'!$O$5:$O$500,"&lt;=122379",'LANÇAMENTOS DIÁRIOS'!$P$5:$P$500,"&gt;=122280")&gt;0,"X","")</f>
      </c>
      <c r="AZ36" s="56" t="str">
        <f>IF(COUNTIFS('LANÇAMENTOS DIÁRIOS'!$G$5:$G$500,"G",'LANÇAMENTOS DIÁRIOS'!$C$5:$C$500,$A36,'LANÇAMENTOS DIÁRIOS'!$O$5:$O$500,"&lt;=122479",'LANÇAMENTOS DIÁRIOS'!$P$5:$P$500,"&gt;=122380")&gt;0,"X","")</f>
      </c>
      <c r="BA36" s="56" t="str">
        <f>IF(COUNTIFS('LANÇAMENTOS DIÁRIOS'!$G$5:$G$500,"G",'LANÇAMENTOS DIÁRIOS'!$C$5:$C$500,$A36,'LANÇAMENTOS DIÁRIOS'!$O$5:$O$500,"&lt;=122579",'LANÇAMENTOS DIÁRIOS'!$P$5:$P$500,"&gt;=122480")&gt;0,"X","")</f>
      </c>
      <c r="BB36" s="56" t="str">
        <f>IF(COUNTIFS('LANÇAMENTOS DIÁRIOS'!$G$5:$G$500,"G",'LANÇAMENTOS DIÁRIOS'!$C$5:$C$500,$A36,'LANÇAMENTOS DIÁRIOS'!$O$5:$O$500,"&lt;=122679",'LANÇAMENTOS DIÁRIOS'!$P$5:$P$500,"&gt;=122580")&gt;0,"X","")</f>
      </c>
      <c r="BC36" s="56" t="str">
        <f>IF(COUNTIFS('LANÇAMENTOS DIÁRIOS'!$G$5:$G$500,"G",'LANÇAMENTOS DIÁRIOS'!$C$5:$C$500,$A36,'LANÇAMENTOS DIÁRIOS'!$O$5:$O$500,"&lt;=122779",'LANÇAMENTOS DIÁRIOS'!$P$5:$P$500,"&gt;=122680")&gt;0,"X","")</f>
      </c>
      <c r="BD36" s="56" t="str">
        <f>IF(COUNTIFS('LANÇAMENTOS DIÁRIOS'!$G$5:$G$500,"G",'LANÇAMENTOS DIÁRIOS'!$C$5:$C$500,$A36,'LANÇAMENTOS DIÁRIOS'!$O$5:$O$500,"&lt;=122879",'LANÇAMENTOS DIÁRIOS'!$P$5:$P$500,"&gt;=122780")&gt;0,"X","")</f>
      </c>
      <c r="BE36" s="56" t="str">
        <f>IF(COUNTIFS('LANÇAMENTOS DIÁRIOS'!$G$5:$G$500,"G",'LANÇAMENTOS DIÁRIOS'!$C$5:$C$500,$A36,'LANÇAMENTOS DIÁRIOS'!$O$5:$O$500,"&lt;=122979",'LANÇAMENTOS DIÁRIOS'!$P$5:$P$500,"&gt;=122880")&gt;0,"X","")</f>
      </c>
      <c r="BF36" s="56" t="str">
        <f>IF(COUNTIFS('LANÇAMENTOS DIÁRIOS'!$G$5:$G$500,"G",'LANÇAMENTOS DIÁRIOS'!$C$5:$C$500,$A36,'LANÇAMENTOS DIÁRIOS'!$O$5:$O$500,"&lt;=123079",'LANÇAMENTOS DIÁRIOS'!$P$5:$P$500,"&gt;=122980")&gt;0,"X","")</f>
      </c>
      <c r="BG36" s="56" t="str">
        <f>IF(COUNTIFS('LANÇAMENTOS DIÁRIOS'!$G$5:$G$500,"G",'LANÇAMENTOS DIÁRIOS'!$C$5:$C$500,$A36,'LANÇAMENTOS DIÁRIOS'!$O$5:$O$500,"&lt;=123179",'LANÇAMENTOS DIÁRIOS'!$P$5:$P$500,"&gt;=123080")&gt;0,"X","")</f>
      </c>
      <c r="BH36" s="56" t="str">
        <f>IF(COUNTIFS('LANÇAMENTOS DIÁRIOS'!$G$5:$G$500,"G",'LANÇAMENTOS DIÁRIOS'!$C$5:$C$500,$A36,'LANÇAMENTOS DIÁRIOS'!$O$5:$O$500,"&lt;=123279",'LANÇAMENTOS DIÁRIOS'!$P$5:$P$500,"&gt;=123180")&gt;0,"X","")</f>
      </c>
      <c r="BI36" s="56" t="str">
        <f>IF(COUNTIFS('LANÇAMENTOS DIÁRIOS'!$G$5:$G$500,"G",'LANÇAMENTOS DIÁRIOS'!$C$5:$C$500,$A36,'LANÇAMENTOS DIÁRIOS'!$O$5:$O$500,"&lt;=123379",'LANÇAMENTOS DIÁRIOS'!$P$5:$P$500,"&gt;=123280")&gt;0,"X","")</f>
      </c>
      <c r="BJ36" s="56" t="str">
        <f>IF(COUNTIFS('LANÇAMENTOS DIÁRIOS'!$G$5:$G$500,"G",'LANÇAMENTOS DIÁRIOS'!$C$5:$C$500,$A36,'LANÇAMENTOS DIÁRIOS'!$O$5:$O$500,"&lt;=123479",'LANÇAMENTOS DIÁRIOS'!$P$5:$P$500,"&gt;=123380")&gt;0,"X","")</f>
      </c>
      <c r="BK36" s="56" t="str">
        <f>IF(COUNTIFS('LANÇAMENTOS DIÁRIOS'!$G$5:$G$500,"G",'LANÇAMENTOS DIÁRIOS'!$C$5:$C$500,$A36,'LANÇAMENTOS DIÁRIOS'!$O$5:$O$500,"&lt;=123480",'LANÇAMENTOS DIÁRIOS'!$P$5:$P$500,"&gt;=123480")&gt;0,"X","")</f>
      </c>
    </row>
    <row r="37" ht="19" customHeight="1">
      <c r="A37" s="68" t="str">
        <v>Corte em rocha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</row>
    <row r="38">
      <c r="A38" s="51" t="str">
        <v>Escavação de material de 3ª categoria a fogo-S/ Transporte</v>
      </c>
      <c r="B38" s="56" t="str">
        <f>IF(COUNTIFS('LANÇAMENTOS DIÁRIOS'!$G$5:$G$500,"G",'LANÇAMENTOS DIÁRIOS'!$C$5:$C$500,$A38,'LANÇAMENTOS DIÁRIOS'!$O$5:$O$500,"&lt;=117479",'LANÇAMENTOS DIÁRIOS'!$P$5:$P$500,"&gt;=117380")&gt;0,"X","")</f>
      </c>
      <c r="C38" s="56" t="str">
        <f>IF(COUNTIFS('LANÇAMENTOS DIÁRIOS'!$G$5:$G$500,"G",'LANÇAMENTOS DIÁRIOS'!$C$5:$C$500,$A38,'LANÇAMENTOS DIÁRIOS'!$O$5:$O$500,"&lt;=117579",'LANÇAMENTOS DIÁRIOS'!$P$5:$P$500,"&gt;=117480")&gt;0,"X","")</f>
      </c>
      <c r="D38" s="56" t="str">
        <f>IF(COUNTIFS('LANÇAMENTOS DIÁRIOS'!$G$5:$G$500,"G",'LANÇAMENTOS DIÁRIOS'!$C$5:$C$500,$A38,'LANÇAMENTOS DIÁRIOS'!$O$5:$O$500,"&lt;=117679",'LANÇAMENTOS DIÁRIOS'!$P$5:$P$500,"&gt;=117580")&gt;0,"X","")</f>
      </c>
      <c r="E38" s="56" t="str">
        <f>IF(COUNTIFS('LANÇAMENTOS DIÁRIOS'!$G$5:$G$500,"G",'LANÇAMENTOS DIÁRIOS'!$C$5:$C$500,$A38,'LANÇAMENTOS DIÁRIOS'!$O$5:$O$500,"&lt;=117779",'LANÇAMENTOS DIÁRIOS'!$P$5:$P$500,"&gt;=117680")&gt;0,"X","")</f>
      </c>
      <c r="F38" s="56" t="str">
        <f>IF(COUNTIFS('LANÇAMENTOS DIÁRIOS'!$G$5:$G$500,"G",'LANÇAMENTOS DIÁRIOS'!$C$5:$C$500,$A38,'LANÇAMENTOS DIÁRIOS'!$O$5:$O$500,"&lt;=117879",'LANÇAMENTOS DIÁRIOS'!$P$5:$P$500,"&gt;=117780")&gt;0,"X","")</f>
      </c>
      <c r="G38" s="56" t="str">
        <f>IF(COUNTIFS('LANÇAMENTOS DIÁRIOS'!$G$5:$G$500,"G",'LANÇAMENTOS DIÁRIOS'!$C$5:$C$500,$A38,'LANÇAMENTOS DIÁRIOS'!$O$5:$O$500,"&lt;=117979",'LANÇAMENTOS DIÁRIOS'!$P$5:$P$500,"&gt;=117880")&gt;0,"X","")</f>
      </c>
      <c r="H38" s="56" t="str">
        <f>IF(COUNTIFS('LANÇAMENTOS DIÁRIOS'!$G$5:$G$500,"G",'LANÇAMENTOS DIÁRIOS'!$C$5:$C$500,$A38,'LANÇAMENTOS DIÁRIOS'!$O$5:$O$500,"&lt;=118079",'LANÇAMENTOS DIÁRIOS'!$P$5:$P$500,"&gt;=117980")&gt;0,"X","")</f>
      </c>
      <c r="I38" s="56" t="str">
        <f>IF(COUNTIFS('LANÇAMENTOS DIÁRIOS'!$G$5:$G$500,"G",'LANÇAMENTOS DIÁRIOS'!$C$5:$C$500,$A38,'LANÇAMENTOS DIÁRIOS'!$O$5:$O$500,"&lt;=118179",'LANÇAMENTOS DIÁRIOS'!$P$5:$P$500,"&gt;=118080")&gt;0,"X","")</f>
      </c>
      <c r="J38" s="56" t="str">
        <f>IF(COUNTIFS('LANÇAMENTOS DIÁRIOS'!$G$5:$G$500,"G",'LANÇAMENTOS DIÁRIOS'!$C$5:$C$500,$A38,'LANÇAMENTOS DIÁRIOS'!$O$5:$O$500,"&lt;=118279",'LANÇAMENTOS DIÁRIOS'!$P$5:$P$500,"&gt;=118180")&gt;0,"X","")</f>
      </c>
      <c r="K38" s="56" t="str">
        <f>IF(COUNTIFS('LANÇAMENTOS DIÁRIOS'!$G$5:$G$500,"G",'LANÇAMENTOS DIÁRIOS'!$C$5:$C$500,$A38,'LANÇAMENTOS DIÁRIOS'!$O$5:$O$500,"&lt;=118379",'LANÇAMENTOS DIÁRIOS'!$P$5:$P$500,"&gt;=118280")&gt;0,"X","")</f>
      </c>
      <c r="L38" s="56" t="str">
        <f>IF(COUNTIFS('LANÇAMENTOS DIÁRIOS'!$G$5:$G$500,"G",'LANÇAMENTOS DIÁRIOS'!$C$5:$C$500,$A38,'LANÇAMENTOS DIÁRIOS'!$O$5:$O$500,"&lt;=118479",'LANÇAMENTOS DIÁRIOS'!$P$5:$P$500,"&gt;=118380")&gt;0,"X","")</f>
      </c>
      <c r="M38" s="56" t="str">
        <f>IF(COUNTIFS('LANÇAMENTOS DIÁRIOS'!$G$5:$G$500,"G",'LANÇAMENTOS DIÁRIOS'!$C$5:$C$500,$A38,'LANÇAMENTOS DIÁRIOS'!$O$5:$O$500,"&lt;=118579",'LANÇAMENTOS DIÁRIOS'!$P$5:$P$500,"&gt;=118480")&gt;0,"X","")</f>
      </c>
      <c r="N38" s="56" t="str">
        <f>IF(COUNTIFS('LANÇAMENTOS DIÁRIOS'!$G$5:$G$500,"G",'LANÇAMENTOS DIÁRIOS'!$C$5:$C$500,$A38,'LANÇAMENTOS DIÁRIOS'!$O$5:$O$500,"&lt;=118679",'LANÇAMENTOS DIÁRIOS'!$P$5:$P$500,"&gt;=118580")&gt;0,"X","")</f>
      </c>
      <c r="O38" s="56" t="str">
        <f>IF(COUNTIFS('LANÇAMENTOS DIÁRIOS'!$G$5:$G$500,"G",'LANÇAMENTOS DIÁRIOS'!$C$5:$C$500,$A38,'LANÇAMENTOS DIÁRIOS'!$O$5:$O$500,"&lt;=118779",'LANÇAMENTOS DIÁRIOS'!$P$5:$P$500,"&gt;=118680")&gt;0,"X","")</f>
      </c>
      <c r="P38" s="56" t="str">
        <f>IF(COUNTIFS('LANÇAMENTOS DIÁRIOS'!$G$5:$G$500,"G",'LANÇAMENTOS DIÁRIOS'!$C$5:$C$500,$A38,'LANÇAMENTOS DIÁRIOS'!$O$5:$O$500,"&lt;=118879",'LANÇAMENTOS DIÁRIOS'!$P$5:$P$500,"&gt;=118780")&gt;0,"X","")</f>
      </c>
      <c r="Q38" s="56" t="str">
        <f>IF(COUNTIFS('LANÇAMENTOS DIÁRIOS'!$G$5:$G$500,"G",'LANÇAMENTOS DIÁRIOS'!$C$5:$C$500,$A38,'LANÇAMENTOS DIÁRIOS'!$O$5:$O$500,"&lt;=118979",'LANÇAMENTOS DIÁRIOS'!$P$5:$P$500,"&gt;=118880")&gt;0,"X","")</f>
      </c>
      <c r="R38" s="56" t="str">
        <f>IF(COUNTIFS('LANÇAMENTOS DIÁRIOS'!$G$5:$G$500,"G",'LANÇAMENTOS DIÁRIOS'!$C$5:$C$500,$A38,'LANÇAMENTOS DIÁRIOS'!$O$5:$O$500,"&lt;=119079",'LANÇAMENTOS DIÁRIOS'!$P$5:$P$500,"&gt;=118980")&gt;0,"X","")</f>
      </c>
      <c r="S38" s="56" t="str">
        <f>IF(COUNTIFS('LANÇAMENTOS DIÁRIOS'!$G$5:$G$500,"G",'LANÇAMENTOS DIÁRIOS'!$C$5:$C$500,$A38,'LANÇAMENTOS DIÁRIOS'!$O$5:$O$500,"&lt;=119179",'LANÇAMENTOS DIÁRIOS'!$P$5:$P$500,"&gt;=119080")&gt;0,"X","")</f>
      </c>
      <c r="T38" s="56" t="str">
        <f>IF(COUNTIFS('LANÇAMENTOS DIÁRIOS'!$G$5:$G$500,"G",'LANÇAMENTOS DIÁRIOS'!$C$5:$C$500,$A38,'LANÇAMENTOS DIÁRIOS'!$O$5:$O$500,"&lt;=119279",'LANÇAMENTOS DIÁRIOS'!$P$5:$P$500,"&gt;=119180")&gt;0,"X","")</f>
      </c>
      <c r="U38" s="56" t="str">
        <f>IF(COUNTIFS('LANÇAMENTOS DIÁRIOS'!$G$5:$G$500,"G",'LANÇAMENTOS DIÁRIOS'!$C$5:$C$500,$A38,'LANÇAMENTOS DIÁRIOS'!$O$5:$O$500,"&lt;=119379",'LANÇAMENTOS DIÁRIOS'!$P$5:$P$500,"&gt;=119280")&gt;0,"X","")</f>
      </c>
      <c r="V38" s="56" t="str">
        <f>IF(COUNTIFS('LANÇAMENTOS DIÁRIOS'!$G$5:$G$500,"G",'LANÇAMENTOS DIÁRIOS'!$C$5:$C$500,$A38,'LANÇAMENTOS DIÁRIOS'!$O$5:$O$500,"&lt;=119479",'LANÇAMENTOS DIÁRIOS'!$P$5:$P$500,"&gt;=119380")&gt;0,"X","")</f>
      </c>
      <c r="W38" s="56" t="str">
        <f>IF(COUNTIFS('LANÇAMENTOS DIÁRIOS'!$G$5:$G$500,"G",'LANÇAMENTOS DIÁRIOS'!$C$5:$C$500,$A38,'LANÇAMENTOS DIÁRIOS'!$O$5:$O$500,"&lt;=119579",'LANÇAMENTOS DIÁRIOS'!$P$5:$P$500,"&gt;=119480")&gt;0,"X","")</f>
      </c>
      <c r="X38" s="56" t="str">
        <f>IF(COUNTIFS('LANÇAMENTOS DIÁRIOS'!$G$5:$G$500,"G",'LANÇAMENTOS DIÁRIOS'!$C$5:$C$500,$A38,'LANÇAMENTOS DIÁRIOS'!$O$5:$O$500,"&lt;=119679",'LANÇAMENTOS DIÁRIOS'!$P$5:$P$500,"&gt;=119580")&gt;0,"X","")</f>
      </c>
      <c r="Y38" s="56" t="str">
        <f>IF(COUNTIFS('LANÇAMENTOS DIÁRIOS'!$G$5:$G$500,"G",'LANÇAMENTOS DIÁRIOS'!$C$5:$C$500,$A38,'LANÇAMENTOS DIÁRIOS'!$O$5:$O$500,"&lt;=119779",'LANÇAMENTOS DIÁRIOS'!$P$5:$P$500,"&gt;=119680")&gt;0,"X","")</f>
      </c>
      <c r="Z38" s="56" t="str">
        <f>IF(COUNTIFS('LANÇAMENTOS DIÁRIOS'!$G$5:$G$500,"G",'LANÇAMENTOS DIÁRIOS'!$C$5:$C$500,$A38,'LANÇAMENTOS DIÁRIOS'!$O$5:$O$500,"&lt;=119879",'LANÇAMENTOS DIÁRIOS'!$P$5:$P$500,"&gt;=119780")&gt;0,"X","")</f>
      </c>
      <c r="AA38" s="56" t="str">
        <f>IF(COUNTIFS('LANÇAMENTOS DIÁRIOS'!$G$5:$G$500,"G",'LANÇAMENTOS DIÁRIOS'!$C$5:$C$500,$A38,'LANÇAMENTOS DIÁRIOS'!$O$5:$O$500,"&lt;=119979",'LANÇAMENTOS DIÁRIOS'!$P$5:$P$500,"&gt;=119880")&gt;0,"X","")</f>
      </c>
      <c r="AB38" s="56" t="str">
        <f>IF(COUNTIFS('LANÇAMENTOS DIÁRIOS'!$G$5:$G$500,"G",'LANÇAMENTOS DIÁRIOS'!$C$5:$C$500,$A38,'LANÇAMENTOS DIÁRIOS'!$O$5:$O$500,"&lt;=120079",'LANÇAMENTOS DIÁRIOS'!$P$5:$P$500,"&gt;=119980")&gt;0,"X","")</f>
      </c>
      <c r="AC38" s="56" t="str">
        <f>IF(COUNTIFS('LANÇAMENTOS DIÁRIOS'!$G$5:$G$500,"G",'LANÇAMENTOS DIÁRIOS'!$C$5:$C$500,$A38,'LANÇAMENTOS DIÁRIOS'!$O$5:$O$500,"&lt;=120179",'LANÇAMENTOS DIÁRIOS'!$P$5:$P$500,"&gt;=120080")&gt;0,"X","")</f>
      </c>
      <c r="AD38" s="56" t="str">
        <f>IF(COUNTIFS('LANÇAMENTOS DIÁRIOS'!$G$5:$G$500,"G",'LANÇAMENTOS DIÁRIOS'!$C$5:$C$500,$A38,'LANÇAMENTOS DIÁRIOS'!$O$5:$O$500,"&lt;=120279",'LANÇAMENTOS DIÁRIOS'!$P$5:$P$500,"&gt;=120180")&gt;0,"X","")</f>
      </c>
      <c r="AE38" s="56" t="str">
        <f>IF(COUNTIFS('LANÇAMENTOS DIÁRIOS'!$G$5:$G$500,"G",'LANÇAMENTOS DIÁRIOS'!$C$5:$C$500,$A38,'LANÇAMENTOS DIÁRIOS'!$O$5:$O$500,"&lt;=120379",'LANÇAMENTOS DIÁRIOS'!$P$5:$P$500,"&gt;=120280")&gt;0,"X","")</f>
      </c>
      <c r="AF38" s="56" t="str">
        <f>IF(COUNTIFS('LANÇAMENTOS DIÁRIOS'!$G$5:$G$500,"G",'LANÇAMENTOS DIÁRIOS'!$C$5:$C$500,$A38,'LANÇAMENTOS DIÁRIOS'!$O$5:$O$500,"&lt;=120479",'LANÇAMENTOS DIÁRIOS'!$P$5:$P$500,"&gt;=120380")&gt;0,"X","")</f>
      </c>
      <c r="AG38" s="56" t="str">
        <f>IF(COUNTIFS('LANÇAMENTOS DIÁRIOS'!$G$5:$G$500,"G",'LANÇAMENTOS DIÁRIOS'!$C$5:$C$500,$A38,'LANÇAMENTOS DIÁRIOS'!$O$5:$O$500,"&lt;=120579",'LANÇAMENTOS DIÁRIOS'!$P$5:$P$500,"&gt;=120480")&gt;0,"X","")</f>
      </c>
      <c r="AH38" s="56" t="str">
        <f>IF(COUNTIFS('LANÇAMENTOS DIÁRIOS'!$G$5:$G$500,"G",'LANÇAMENTOS DIÁRIOS'!$C$5:$C$500,$A38,'LANÇAMENTOS DIÁRIOS'!$O$5:$O$500,"&lt;=120679",'LANÇAMENTOS DIÁRIOS'!$P$5:$P$500,"&gt;=120580")&gt;0,"X","")</f>
      </c>
      <c r="AI38" s="56" t="str">
        <f>IF(COUNTIFS('LANÇAMENTOS DIÁRIOS'!$G$5:$G$500,"G",'LANÇAMENTOS DIÁRIOS'!$C$5:$C$500,$A38,'LANÇAMENTOS DIÁRIOS'!$O$5:$O$500,"&lt;=120779",'LANÇAMENTOS DIÁRIOS'!$P$5:$P$500,"&gt;=120680")&gt;0,"X","")</f>
      </c>
      <c r="AJ38" s="56" t="str">
        <f>IF(COUNTIFS('LANÇAMENTOS DIÁRIOS'!$G$5:$G$500,"G",'LANÇAMENTOS DIÁRIOS'!$C$5:$C$500,$A38,'LANÇAMENTOS DIÁRIOS'!$O$5:$O$500,"&lt;=120879",'LANÇAMENTOS DIÁRIOS'!$P$5:$P$500,"&gt;=120780")&gt;0,"X","")</f>
      </c>
      <c r="AK38" s="56" t="str">
        <f>IF(COUNTIFS('LANÇAMENTOS DIÁRIOS'!$G$5:$G$500,"G",'LANÇAMENTOS DIÁRIOS'!$C$5:$C$500,$A38,'LANÇAMENTOS DIÁRIOS'!$O$5:$O$500,"&lt;=120979",'LANÇAMENTOS DIÁRIOS'!$P$5:$P$500,"&gt;=120880")&gt;0,"X","")</f>
      </c>
      <c r="AL38" s="56" t="str">
        <f>IF(COUNTIFS('LANÇAMENTOS DIÁRIOS'!$G$5:$G$500,"G",'LANÇAMENTOS DIÁRIOS'!$C$5:$C$500,$A38,'LANÇAMENTOS DIÁRIOS'!$O$5:$O$500,"&lt;=121079",'LANÇAMENTOS DIÁRIOS'!$P$5:$P$500,"&gt;=120980")&gt;0,"X","")</f>
      </c>
      <c r="AM38" s="56" t="str">
        <f>IF(COUNTIFS('LANÇAMENTOS DIÁRIOS'!$G$5:$G$500,"G",'LANÇAMENTOS DIÁRIOS'!$C$5:$C$500,$A38,'LANÇAMENTOS DIÁRIOS'!$O$5:$O$500,"&lt;=121179",'LANÇAMENTOS DIÁRIOS'!$P$5:$P$500,"&gt;=121080")&gt;0,"X","")</f>
      </c>
      <c r="AN38" s="56" t="str">
        <f>IF(COUNTIFS('LANÇAMENTOS DIÁRIOS'!$G$5:$G$500,"G",'LANÇAMENTOS DIÁRIOS'!$C$5:$C$500,$A38,'LANÇAMENTOS DIÁRIOS'!$O$5:$O$500,"&lt;=121279",'LANÇAMENTOS DIÁRIOS'!$P$5:$P$500,"&gt;=121180")&gt;0,"X","")</f>
      </c>
      <c r="AO38" s="56" t="str">
        <f>IF(COUNTIFS('LANÇAMENTOS DIÁRIOS'!$G$5:$G$500,"G",'LANÇAMENTOS DIÁRIOS'!$C$5:$C$500,$A38,'LANÇAMENTOS DIÁRIOS'!$O$5:$O$500,"&lt;=121379",'LANÇAMENTOS DIÁRIOS'!$P$5:$P$500,"&gt;=121280")&gt;0,"X","")</f>
      </c>
      <c r="AP38" s="56" t="str">
        <f>IF(COUNTIFS('LANÇAMENTOS DIÁRIOS'!$G$5:$G$500,"G",'LANÇAMENTOS DIÁRIOS'!$C$5:$C$500,$A38,'LANÇAMENTOS DIÁRIOS'!$O$5:$O$500,"&lt;=121479",'LANÇAMENTOS DIÁRIOS'!$P$5:$P$500,"&gt;=121380")&gt;0,"X","")</f>
      </c>
      <c r="AQ38" s="56" t="str">
        <f>IF(COUNTIFS('LANÇAMENTOS DIÁRIOS'!$G$5:$G$500,"G",'LANÇAMENTOS DIÁRIOS'!$C$5:$C$500,$A38,'LANÇAMENTOS DIÁRIOS'!$O$5:$O$500,"&lt;=121579",'LANÇAMENTOS DIÁRIOS'!$P$5:$P$500,"&gt;=121480")&gt;0,"X","")</f>
      </c>
      <c r="AR38" s="56" t="str">
        <f>IF(COUNTIFS('LANÇAMENTOS DIÁRIOS'!$G$5:$G$500,"G",'LANÇAMENTOS DIÁRIOS'!$C$5:$C$500,$A38,'LANÇAMENTOS DIÁRIOS'!$O$5:$O$500,"&lt;=121679",'LANÇAMENTOS DIÁRIOS'!$P$5:$P$500,"&gt;=121580")&gt;0,"X","")</f>
      </c>
      <c r="AS38" s="56" t="str">
        <f>IF(COUNTIFS('LANÇAMENTOS DIÁRIOS'!$G$5:$G$500,"G",'LANÇAMENTOS DIÁRIOS'!$C$5:$C$500,$A38,'LANÇAMENTOS DIÁRIOS'!$O$5:$O$500,"&lt;=121779",'LANÇAMENTOS DIÁRIOS'!$P$5:$P$500,"&gt;=121680")&gt;0,"X","")</f>
      </c>
      <c r="AT38" s="56" t="str">
        <f>IF(COUNTIFS('LANÇAMENTOS DIÁRIOS'!$G$5:$G$500,"G",'LANÇAMENTOS DIÁRIOS'!$C$5:$C$500,$A38,'LANÇAMENTOS DIÁRIOS'!$O$5:$O$500,"&lt;=121879",'LANÇAMENTOS DIÁRIOS'!$P$5:$P$500,"&gt;=121780")&gt;0,"X","")</f>
      </c>
      <c r="AU38" s="56" t="str">
        <f>IF(COUNTIFS('LANÇAMENTOS DIÁRIOS'!$G$5:$G$500,"G",'LANÇAMENTOS DIÁRIOS'!$C$5:$C$500,$A38,'LANÇAMENTOS DIÁRIOS'!$O$5:$O$500,"&lt;=121979",'LANÇAMENTOS DIÁRIOS'!$P$5:$P$500,"&gt;=121880")&gt;0,"X","")</f>
      </c>
      <c r="AV38" s="56" t="str">
        <f>IF(COUNTIFS('LANÇAMENTOS DIÁRIOS'!$G$5:$G$500,"G",'LANÇAMENTOS DIÁRIOS'!$C$5:$C$500,$A38,'LANÇAMENTOS DIÁRIOS'!$O$5:$O$500,"&lt;=122079",'LANÇAMENTOS DIÁRIOS'!$P$5:$P$500,"&gt;=121980")&gt;0,"X","")</f>
      </c>
      <c r="AW38" s="56" t="str">
        <f>IF(COUNTIFS('LANÇAMENTOS DIÁRIOS'!$G$5:$G$500,"G",'LANÇAMENTOS DIÁRIOS'!$C$5:$C$500,$A38,'LANÇAMENTOS DIÁRIOS'!$O$5:$O$500,"&lt;=122179",'LANÇAMENTOS DIÁRIOS'!$P$5:$P$500,"&gt;=122080")&gt;0,"X","")</f>
      </c>
      <c r="AX38" s="56" t="str">
        <f>IF(COUNTIFS('LANÇAMENTOS DIÁRIOS'!$G$5:$G$500,"G",'LANÇAMENTOS DIÁRIOS'!$C$5:$C$500,$A38,'LANÇAMENTOS DIÁRIOS'!$O$5:$O$500,"&lt;=122279",'LANÇAMENTOS DIÁRIOS'!$P$5:$P$500,"&gt;=122180")&gt;0,"X","")</f>
      </c>
      <c r="AY38" s="56" t="str">
        <f>IF(COUNTIFS('LANÇAMENTOS DIÁRIOS'!$G$5:$G$500,"G",'LANÇAMENTOS DIÁRIOS'!$C$5:$C$500,$A38,'LANÇAMENTOS DIÁRIOS'!$O$5:$O$500,"&lt;=122379",'LANÇAMENTOS DIÁRIOS'!$P$5:$P$500,"&gt;=122280")&gt;0,"X","")</f>
      </c>
      <c r="AZ38" s="56" t="str">
        <f>IF(COUNTIFS('LANÇAMENTOS DIÁRIOS'!$G$5:$G$500,"G",'LANÇAMENTOS DIÁRIOS'!$C$5:$C$500,$A38,'LANÇAMENTOS DIÁRIOS'!$O$5:$O$500,"&lt;=122479",'LANÇAMENTOS DIÁRIOS'!$P$5:$P$500,"&gt;=122380")&gt;0,"X","")</f>
      </c>
      <c r="BA38" s="56" t="str">
        <f>IF(COUNTIFS('LANÇAMENTOS DIÁRIOS'!$G$5:$G$500,"G",'LANÇAMENTOS DIÁRIOS'!$C$5:$C$500,$A38,'LANÇAMENTOS DIÁRIOS'!$O$5:$O$500,"&lt;=122579",'LANÇAMENTOS DIÁRIOS'!$P$5:$P$500,"&gt;=122480")&gt;0,"X","")</f>
      </c>
      <c r="BB38" s="56" t="str">
        <f>IF(COUNTIFS('LANÇAMENTOS DIÁRIOS'!$G$5:$G$500,"G",'LANÇAMENTOS DIÁRIOS'!$C$5:$C$500,$A38,'LANÇAMENTOS DIÁRIOS'!$O$5:$O$500,"&lt;=122679",'LANÇAMENTOS DIÁRIOS'!$P$5:$P$500,"&gt;=122580")&gt;0,"X","")</f>
      </c>
      <c r="BC38" s="56" t="str">
        <f>IF(COUNTIFS('LANÇAMENTOS DIÁRIOS'!$G$5:$G$500,"G",'LANÇAMENTOS DIÁRIOS'!$C$5:$C$500,$A38,'LANÇAMENTOS DIÁRIOS'!$O$5:$O$500,"&lt;=122779",'LANÇAMENTOS DIÁRIOS'!$P$5:$P$500,"&gt;=122680")&gt;0,"X","")</f>
      </c>
      <c r="BD38" s="56" t="str">
        <f>IF(COUNTIFS('LANÇAMENTOS DIÁRIOS'!$G$5:$G$500,"G",'LANÇAMENTOS DIÁRIOS'!$C$5:$C$500,$A38,'LANÇAMENTOS DIÁRIOS'!$O$5:$O$500,"&lt;=122879",'LANÇAMENTOS DIÁRIOS'!$P$5:$P$500,"&gt;=122780")&gt;0,"X","")</f>
      </c>
      <c r="BE38" s="56" t="str">
        <f>IF(COUNTIFS('LANÇAMENTOS DIÁRIOS'!$G$5:$G$500,"G",'LANÇAMENTOS DIÁRIOS'!$C$5:$C$500,$A38,'LANÇAMENTOS DIÁRIOS'!$O$5:$O$500,"&lt;=122979",'LANÇAMENTOS DIÁRIOS'!$P$5:$P$500,"&gt;=122880")&gt;0,"X","")</f>
      </c>
      <c r="BF38" s="56" t="str">
        <f>IF(COUNTIFS('LANÇAMENTOS DIÁRIOS'!$G$5:$G$500,"G",'LANÇAMENTOS DIÁRIOS'!$C$5:$C$500,$A38,'LANÇAMENTOS DIÁRIOS'!$O$5:$O$500,"&lt;=123079",'LANÇAMENTOS DIÁRIOS'!$P$5:$P$500,"&gt;=122980")&gt;0,"X","")</f>
      </c>
      <c r="BG38" s="56" t="str">
        <f>IF(COUNTIFS('LANÇAMENTOS DIÁRIOS'!$G$5:$G$500,"G",'LANÇAMENTOS DIÁRIOS'!$C$5:$C$500,$A38,'LANÇAMENTOS DIÁRIOS'!$O$5:$O$500,"&lt;=123179",'LANÇAMENTOS DIÁRIOS'!$P$5:$P$500,"&gt;=123080")&gt;0,"X","")</f>
      </c>
      <c r="BH38" s="56" t="str">
        <f>IF(COUNTIFS('LANÇAMENTOS DIÁRIOS'!$G$5:$G$500,"G",'LANÇAMENTOS DIÁRIOS'!$C$5:$C$500,$A38,'LANÇAMENTOS DIÁRIOS'!$O$5:$O$500,"&lt;=123279",'LANÇAMENTOS DIÁRIOS'!$P$5:$P$500,"&gt;=123180")&gt;0,"X","")</f>
      </c>
      <c r="BI38" s="56" t="str">
        <f>IF(COUNTIFS('LANÇAMENTOS DIÁRIOS'!$G$5:$G$500,"G",'LANÇAMENTOS DIÁRIOS'!$C$5:$C$500,$A38,'LANÇAMENTOS DIÁRIOS'!$O$5:$O$500,"&lt;=123379",'LANÇAMENTOS DIÁRIOS'!$P$5:$P$500,"&gt;=123280")&gt;0,"X","")</f>
      </c>
      <c r="BJ38" s="56" t="str">
        <f>IF(COUNTIFS('LANÇAMENTOS DIÁRIOS'!$G$5:$G$500,"G",'LANÇAMENTOS DIÁRIOS'!$C$5:$C$500,$A38,'LANÇAMENTOS DIÁRIOS'!$O$5:$O$500,"&lt;=123479",'LANÇAMENTOS DIÁRIOS'!$P$5:$P$500,"&gt;=123380")&gt;0,"X","")</f>
      </c>
      <c r="BK38" s="56" t="str">
        <f>IF(COUNTIFS('LANÇAMENTOS DIÁRIOS'!$G$5:$G$500,"G",'LANÇAMENTOS DIÁRIOS'!$C$5:$C$500,$A38,'LANÇAMENTOS DIÁRIOS'!$O$5:$O$500,"&lt;=123480",'LANÇAMENTOS DIÁRIOS'!$P$5:$P$500,"&gt;=123480")&gt;0,"X","")</f>
      </c>
    </row>
    <row r="39">
      <c r="A39" s="51" t="str">
        <v>Escavação e carga de material de 3ª categoria a, com a utilização de equipamento hidráulico (picão) - Sem Transporte</v>
      </c>
      <c r="B39" s="56" t="str">
        <f>IF(COUNTIFS('LANÇAMENTOS DIÁRIOS'!$G$5:$G$500,"G",'LANÇAMENTOS DIÁRIOS'!$C$5:$C$500,$A39,'LANÇAMENTOS DIÁRIOS'!$O$5:$O$500,"&lt;=117479",'LANÇAMENTOS DIÁRIOS'!$P$5:$P$500,"&gt;=117380")&gt;0,"X","")</f>
      </c>
      <c r="C39" s="56" t="str">
        <f>IF(COUNTIFS('LANÇAMENTOS DIÁRIOS'!$G$5:$G$500,"G",'LANÇAMENTOS DIÁRIOS'!$C$5:$C$500,$A39,'LANÇAMENTOS DIÁRIOS'!$O$5:$O$500,"&lt;=117579",'LANÇAMENTOS DIÁRIOS'!$P$5:$P$500,"&gt;=117480")&gt;0,"X","")</f>
      </c>
      <c r="D39" s="56" t="str">
        <f>IF(COUNTIFS('LANÇAMENTOS DIÁRIOS'!$G$5:$G$500,"G",'LANÇAMENTOS DIÁRIOS'!$C$5:$C$500,$A39,'LANÇAMENTOS DIÁRIOS'!$O$5:$O$500,"&lt;=117679",'LANÇAMENTOS DIÁRIOS'!$P$5:$P$500,"&gt;=117580")&gt;0,"X","")</f>
      </c>
      <c r="E39" s="56" t="str">
        <f>IF(COUNTIFS('LANÇAMENTOS DIÁRIOS'!$G$5:$G$500,"G",'LANÇAMENTOS DIÁRIOS'!$C$5:$C$500,$A39,'LANÇAMENTOS DIÁRIOS'!$O$5:$O$500,"&lt;=117779",'LANÇAMENTOS DIÁRIOS'!$P$5:$P$500,"&gt;=117680")&gt;0,"X","")</f>
      </c>
      <c r="F39" s="56" t="str">
        <f>IF(COUNTIFS('LANÇAMENTOS DIÁRIOS'!$G$5:$G$500,"G",'LANÇAMENTOS DIÁRIOS'!$C$5:$C$500,$A39,'LANÇAMENTOS DIÁRIOS'!$O$5:$O$500,"&lt;=117879",'LANÇAMENTOS DIÁRIOS'!$P$5:$P$500,"&gt;=117780")&gt;0,"X","")</f>
      </c>
      <c r="G39" s="56" t="str">
        <f>IF(COUNTIFS('LANÇAMENTOS DIÁRIOS'!$G$5:$G$500,"G",'LANÇAMENTOS DIÁRIOS'!$C$5:$C$500,$A39,'LANÇAMENTOS DIÁRIOS'!$O$5:$O$500,"&lt;=117979",'LANÇAMENTOS DIÁRIOS'!$P$5:$P$500,"&gt;=117880")&gt;0,"X","")</f>
      </c>
      <c r="H39" s="56" t="str">
        <f>IF(COUNTIFS('LANÇAMENTOS DIÁRIOS'!$G$5:$G$500,"G",'LANÇAMENTOS DIÁRIOS'!$C$5:$C$500,$A39,'LANÇAMENTOS DIÁRIOS'!$O$5:$O$500,"&lt;=118079",'LANÇAMENTOS DIÁRIOS'!$P$5:$P$500,"&gt;=117980")&gt;0,"X","")</f>
      </c>
      <c r="I39" s="56" t="str">
        <f>IF(COUNTIFS('LANÇAMENTOS DIÁRIOS'!$G$5:$G$500,"G",'LANÇAMENTOS DIÁRIOS'!$C$5:$C$500,$A39,'LANÇAMENTOS DIÁRIOS'!$O$5:$O$500,"&lt;=118179",'LANÇAMENTOS DIÁRIOS'!$P$5:$P$500,"&gt;=118080")&gt;0,"X","")</f>
      </c>
      <c r="J39" s="56" t="str">
        <f>IF(COUNTIFS('LANÇAMENTOS DIÁRIOS'!$G$5:$G$500,"G",'LANÇAMENTOS DIÁRIOS'!$C$5:$C$500,$A39,'LANÇAMENTOS DIÁRIOS'!$O$5:$O$500,"&lt;=118279",'LANÇAMENTOS DIÁRIOS'!$P$5:$P$500,"&gt;=118180")&gt;0,"X","")</f>
      </c>
      <c r="K39" s="56" t="str">
        <f>IF(COUNTIFS('LANÇAMENTOS DIÁRIOS'!$G$5:$G$500,"G",'LANÇAMENTOS DIÁRIOS'!$C$5:$C$500,$A39,'LANÇAMENTOS DIÁRIOS'!$O$5:$O$500,"&lt;=118379",'LANÇAMENTOS DIÁRIOS'!$P$5:$P$500,"&gt;=118280")&gt;0,"X","")</f>
      </c>
      <c r="L39" s="56" t="str">
        <f>IF(COUNTIFS('LANÇAMENTOS DIÁRIOS'!$G$5:$G$500,"G",'LANÇAMENTOS DIÁRIOS'!$C$5:$C$500,$A39,'LANÇAMENTOS DIÁRIOS'!$O$5:$O$500,"&lt;=118479",'LANÇAMENTOS DIÁRIOS'!$P$5:$P$500,"&gt;=118380")&gt;0,"X","")</f>
      </c>
      <c r="M39" s="56" t="str">
        <f>IF(COUNTIFS('LANÇAMENTOS DIÁRIOS'!$G$5:$G$500,"G",'LANÇAMENTOS DIÁRIOS'!$C$5:$C$500,$A39,'LANÇAMENTOS DIÁRIOS'!$O$5:$O$500,"&lt;=118579",'LANÇAMENTOS DIÁRIOS'!$P$5:$P$500,"&gt;=118480")&gt;0,"X","")</f>
      </c>
      <c r="N39" s="56" t="str">
        <f>IF(COUNTIFS('LANÇAMENTOS DIÁRIOS'!$G$5:$G$500,"G",'LANÇAMENTOS DIÁRIOS'!$C$5:$C$500,$A39,'LANÇAMENTOS DIÁRIOS'!$O$5:$O$500,"&lt;=118679",'LANÇAMENTOS DIÁRIOS'!$P$5:$P$500,"&gt;=118580")&gt;0,"X","")</f>
      </c>
      <c r="O39" s="56" t="str">
        <f>IF(COUNTIFS('LANÇAMENTOS DIÁRIOS'!$G$5:$G$500,"G",'LANÇAMENTOS DIÁRIOS'!$C$5:$C$500,$A39,'LANÇAMENTOS DIÁRIOS'!$O$5:$O$500,"&lt;=118779",'LANÇAMENTOS DIÁRIOS'!$P$5:$P$500,"&gt;=118680")&gt;0,"X","")</f>
      </c>
      <c r="P39" s="56" t="str">
        <f>IF(COUNTIFS('LANÇAMENTOS DIÁRIOS'!$G$5:$G$500,"G",'LANÇAMENTOS DIÁRIOS'!$C$5:$C$500,$A39,'LANÇAMENTOS DIÁRIOS'!$O$5:$O$500,"&lt;=118879",'LANÇAMENTOS DIÁRIOS'!$P$5:$P$500,"&gt;=118780")&gt;0,"X","")</f>
      </c>
      <c r="Q39" s="56" t="str">
        <f>IF(COUNTIFS('LANÇAMENTOS DIÁRIOS'!$G$5:$G$500,"G",'LANÇAMENTOS DIÁRIOS'!$C$5:$C$500,$A39,'LANÇAMENTOS DIÁRIOS'!$O$5:$O$500,"&lt;=118979",'LANÇAMENTOS DIÁRIOS'!$P$5:$P$500,"&gt;=118880")&gt;0,"X","")</f>
      </c>
      <c r="R39" s="56" t="str">
        <f>IF(COUNTIFS('LANÇAMENTOS DIÁRIOS'!$G$5:$G$500,"G",'LANÇAMENTOS DIÁRIOS'!$C$5:$C$500,$A39,'LANÇAMENTOS DIÁRIOS'!$O$5:$O$500,"&lt;=119079",'LANÇAMENTOS DIÁRIOS'!$P$5:$P$500,"&gt;=118980")&gt;0,"X","")</f>
      </c>
      <c r="S39" s="56" t="str">
        <f>IF(COUNTIFS('LANÇAMENTOS DIÁRIOS'!$G$5:$G$500,"G",'LANÇAMENTOS DIÁRIOS'!$C$5:$C$500,$A39,'LANÇAMENTOS DIÁRIOS'!$O$5:$O$500,"&lt;=119179",'LANÇAMENTOS DIÁRIOS'!$P$5:$P$500,"&gt;=119080")&gt;0,"X","")</f>
      </c>
      <c r="T39" s="56" t="str">
        <f>IF(COUNTIFS('LANÇAMENTOS DIÁRIOS'!$G$5:$G$500,"G",'LANÇAMENTOS DIÁRIOS'!$C$5:$C$500,$A39,'LANÇAMENTOS DIÁRIOS'!$O$5:$O$500,"&lt;=119279",'LANÇAMENTOS DIÁRIOS'!$P$5:$P$500,"&gt;=119180")&gt;0,"X","")</f>
      </c>
      <c r="U39" s="56" t="str">
        <f>IF(COUNTIFS('LANÇAMENTOS DIÁRIOS'!$G$5:$G$500,"G",'LANÇAMENTOS DIÁRIOS'!$C$5:$C$500,$A39,'LANÇAMENTOS DIÁRIOS'!$O$5:$O$500,"&lt;=119379",'LANÇAMENTOS DIÁRIOS'!$P$5:$P$500,"&gt;=119280")&gt;0,"X","")</f>
      </c>
      <c r="V39" s="56" t="str">
        <f>IF(COUNTIFS('LANÇAMENTOS DIÁRIOS'!$G$5:$G$500,"G",'LANÇAMENTOS DIÁRIOS'!$C$5:$C$500,$A39,'LANÇAMENTOS DIÁRIOS'!$O$5:$O$500,"&lt;=119479",'LANÇAMENTOS DIÁRIOS'!$P$5:$P$500,"&gt;=119380")&gt;0,"X","")</f>
      </c>
      <c r="W39" s="56" t="str">
        <f>IF(COUNTIFS('LANÇAMENTOS DIÁRIOS'!$G$5:$G$500,"G",'LANÇAMENTOS DIÁRIOS'!$C$5:$C$500,$A39,'LANÇAMENTOS DIÁRIOS'!$O$5:$O$500,"&lt;=119579",'LANÇAMENTOS DIÁRIOS'!$P$5:$P$500,"&gt;=119480")&gt;0,"X","")</f>
      </c>
      <c r="X39" s="56" t="str">
        <f>IF(COUNTIFS('LANÇAMENTOS DIÁRIOS'!$G$5:$G$500,"G",'LANÇAMENTOS DIÁRIOS'!$C$5:$C$500,$A39,'LANÇAMENTOS DIÁRIOS'!$O$5:$O$500,"&lt;=119679",'LANÇAMENTOS DIÁRIOS'!$P$5:$P$500,"&gt;=119580")&gt;0,"X","")</f>
      </c>
      <c r="Y39" s="56" t="str">
        <f>IF(COUNTIFS('LANÇAMENTOS DIÁRIOS'!$G$5:$G$500,"G",'LANÇAMENTOS DIÁRIOS'!$C$5:$C$500,$A39,'LANÇAMENTOS DIÁRIOS'!$O$5:$O$500,"&lt;=119779",'LANÇAMENTOS DIÁRIOS'!$P$5:$P$500,"&gt;=119680")&gt;0,"X","")</f>
      </c>
      <c r="Z39" s="56" t="str">
        <f>IF(COUNTIFS('LANÇAMENTOS DIÁRIOS'!$G$5:$G$500,"G",'LANÇAMENTOS DIÁRIOS'!$C$5:$C$500,$A39,'LANÇAMENTOS DIÁRIOS'!$O$5:$O$500,"&lt;=119879",'LANÇAMENTOS DIÁRIOS'!$P$5:$P$500,"&gt;=119780")&gt;0,"X","")</f>
      </c>
      <c r="AA39" s="56" t="str">
        <f>IF(COUNTIFS('LANÇAMENTOS DIÁRIOS'!$G$5:$G$500,"G",'LANÇAMENTOS DIÁRIOS'!$C$5:$C$500,$A39,'LANÇAMENTOS DIÁRIOS'!$O$5:$O$500,"&lt;=119979",'LANÇAMENTOS DIÁRIOS'!$P$5:$P$500,"&gt;=119880")&gt;0,"X","")</f>
      </c>
      <c r="AB39" s="56" t="str">
        <f>IF(COUNTIFS('LANÇAMENTOS DIÁRIOS'!$G$5:$G$500,"G",'LANÇAMENTOS DIÁRIOS'!$C$5:$C$500,$A39,'LANÇAMENTOS DIÁRIOS'!$O$5:$O$500,"&lt;=120079",'LANÇAMENTOS DIÁRIOS'!$P$5:$P$500,"&gt;=119980")&gt;0,"X","")</f>
      </c>
      <c r="AC39" s="56" t="str">
        <f>IF(COUNTIFS('LANÇAMENTOS DIÁRIOS'!$G$5:$G$500,"G",'LANÇAMENTOS DIÁRIOS'!$C$5:$C$500,$A39,'LANÇAMENTOS DIÁRIOS'!$O$5:$O$500,"&lt;=120179",'LANÇAMENTOS DIÁRIOS'!$P$5:$P$500,"&gt;=120080")&gt;0,"X","")</f>
      </c>
      <c r="AD39" s="56" t="str">
        <f>IF(COUNTIFS('LANÇAMENTOS DIÁRIOS'!$G$5:$G$500,"G",'LANÇAMENTOS DIÁRIOS'!$C$5:$C$500,$A39,'LANÇAMENTOS DIÁRIOS'!$O$5:$O$500,"&lt;=120279",'LANÇAMENTOS DIÁRIOS'!$P$5:$P$500,"&gt;=120180")&gt;0,"X","")</f>
      </c>
      <c r="AE39" s="56" t="str">
        <f>IF(COUNTIFS('LANÇAMENTOS DIÁRIOS'!$G$5:$G$500,"G",'LANÇAMENTOS DIÁRIOS'!$C$5:$C$500,$A39,'LANÇAMENTOS DIÁRIOS'!$O$5:$O$500,"&lt;=120379",'LANÇAMENTOS DIÁRIOS'!$P$5:$P$500,"&gt;=120280")&gt;0,"X","")</f>
      </c>
      <c r="AF39" s="56" t="str">
        <f>IF(COUNTIFS('LANÇAMENTOS DIÁRIOS'!$G$5:$G$500,"G",'LANÇAMENTOS DIÁRIOS'!$C$5:$C$500,$A39,'LANÇAMENTOS DIÁRIOS'!$O$5:$O$500,"&lt;=120479",'LANÇAMENTOS DIÁRIOS'!$P$5:$P$500,"&gt;=120380")&gt;0,"X","")</f>
      </c>
      <c r="AG39" s="56" t="str">
        <f>IF(COUNTIFS('LANÇAMENTOS DIÁRIOS'!$G$5:$G$500,"G",'LANÇAMENTOS DIÁRIOS'!$C$5:$C$500,$A39,'LANÇAMENTOS DIÁRIOS'!$O$5:$O$500,"&lt;=120579",'LANÇAMENTOS DIÁRIOS'!$P$5:$P$500,"&gt;=120480")&gt;0,"X","")</f>
      </c>
      <c r="AH39" s="56" t="str">
        <f>IF(COUNTIFS('LANÇAMENTOS DIÁRIOS'!$G$5:$G$500,"G",'LANÇAMENTOS DIÁRIOS'!$C$5:$C$500,$A39,'LANÇAMENTOS DIÁRIOS'!$O$5:$O$500,"&lt;=120679",'LANÇAMENTOS DIÁRIOS'!$P$5:$P$500,"&gt;=120580")&gt;0,"X","")</f>
      </c>
      <c r="AI39" s="56" t="str">
        <f>IF(COUNTIFS('LANÇAMENTOS DIÁRIOS'!$G$5:$G$500,"G",'LANÇAMENTOS DIÁRIOS'!$C$5:$C$500,$A39,'LANÇAMENTOS DIÁRIOS'!$O$5:$O$500,"&lt;=120779",'LANÇAMENTOS DIÁRIOS'!$P$5:$P$500,"&gt;=120680")&gt;0,"X","")</f>
      </c>
      <c r="AJ39" s="56" t="str">
        <f>IF(COUNTIFS('LANÇAMENTOS DIÁRIOS'!$G$5:$G$500,"G",'LANÇAMENTOS DIÁRIOS'!$C$5:$C$500,$A39,'LANÇAMENTOS DIÁRIOS'!$O$5:$O$500,"&lt;=120879",'LANÇAMENTOS DIÁRIOS'!$P$5:$P$500,"&gt;=120780")&gt;0,"X","")</f>
      </c>
      <c r="AK39" s="56" t="str">
        <f>IF(COUNTIFS('LANÇAMENTOS DIÁRIOS'!$G$5:$G$500,"G",'LANÇAMENTOS DIÁRIOS'!$C$5:$C$500,$A39,'LANÇAMENTOS DIÁRIOS'!$O$5:$O$500,"&lt;=120979",'LANÇAMENTOS DIÁRIOS'!$P$5:$P$500,"&gt;=120880")&gt;0,"X","")</f>
      </c>
      <c r="AL39" s="56" t="str">
        <f>IF(COUNTIFS('LANÇAMENTOS DIÁRIOS'!$G$5:$G$500,"G",'LANÇAMENTOS DIÁRIOS'!$C$5:$C$500,$A39,'LANÇAMENTOS DIÁRIOS'!$O$5:$O$500,"&lt;=121079",'LANÇAMENTOS DIÁRIOS'!$P$5:$P$500,"&gt;=120980")&gt;0,"X","")</f>
      </c>
      <c r="AM39" s="56" t="str">
        <f>IF(COUNTIFS('LANÇAMENTOS DIÁRIOS'!$G$5:$G$500,"G",'LANÇAMENTOS DIÁRIOS'!$C$5:$C$500,$A39,'LANÇAMENTOS DIÁRIOS'!$O$5:$O$500,"&lt;=121179",'LANÇAMENTOS DIÁRIOS'!$P$5:$P$500,"&gt;=121080")&gt;0,"X","")</f>
      </c>
      <c r="AN39" s="56" t="str">
        <f>IF(COUNTIFS('LANÇAMENTOS DIÁRIOS'!$G$5:$G$500,"G",'LANÇAMENTOS DIÁRIOS'!$C$5:$C$500,$A39,'LANÇAMENTOS DIÁRIOS'!$O$5:$O$500,"&lt;=121279",'LANÇAMENTOS DIÁRIOS'!$P$5:$P$500,"&gt;=121180")&gt;0,"X","")</f>
      </c>
      <c r="AO39" s="56" t="str">
        <f>IF(COUNTIFS('LANÇAMENTOS DIÁRIOS'!$G$5:$G$500,"G",'LANÇAMENTOS DIÁRIOS'!$C$5:$C$500,$A39,'LANÇAMENTOS DIÁRIOS'!$O$5:$O$500,"&lt;=121379",'LANÇAMENTOS DIÁRIOS'!$P$5:$P$500,"&gt;=121280")&gt;0,"X","")</f>
      </c>
      <c r="AP39" s="56" t="str">
        <f>IF(COUNTIFS('LANÇAMENTOS DIÁRIOS'!$G$5:$G$500,"G",'LANÇAMENTOS DIÁRIOS'!$C$5:$C$500,$A39,'LANÇAMENTOS DIÁRIOS'!$O$5:$O$500,"&lt;=121479",'LANÇAMENTOS DIÁRIOS'!$P$5:$P$500,"&gt;=121380")&gt;0,"X","")</f>
      </c>
      <c r="AQ39" s="56" t="str">
        <f>IF(COUNTIFS('LANÇAMENTOS DIÁRIOS'!$G$5:$G$500,"G",'LANÇAMENTOS DIÁRIOS'!$C$5:$C$500,$A39,'LANÇAMENTOS DIÁRIOS'!$O$5:$O$500,"&lt;=121579",'LANÇAMENTOS DIÁRIOS'!$P$5:$P$500,"&gt;=121480")&gt;0,"X","")</f>
      </c>
      <c r="AR39" s="56" t="str">
        <f>IF(COUNTIFS('LANÇAMENTOS DIÁRIOS'!$G$5:$G$500,"G",'LANÇAMENTOS DIÁRIOS'!$C$5:$C$500,$A39,'LANÇAMENTOS DIÁRIOS'!$O$5:$O$500,"&lt;=121679",'LANÇAMENTOS DIÁRIOS'!$P$5:$P$500,"&gt;=121580")&gt;0,"X","")</f>
      </c>
      <c r="AS39" s="56" t="str">
        <f>IF(COUNTIFS('LANÇAMENTOS DIÁRIOS'!$G$5:$G$500,"G",'LANÇAMENTOS DIÁRIOS'!$C$5:$C$500,$A39,'LANÇAMENTOS DIÁRIOS'!$O$5:$O$500,"&lt;=121779",'LANÇAMENTOS DIÁRIOS'!$P$5:$P$500,"&gt;=121680")&gt;0,"X","")</f>
      </c>
      <c r="AT39" s="56" t="str">
        <f>IF(COUNTIFS('LANÇAMENTOS DIÁRIOS'!$G$5:$G$500,"G",'LANÇAMENTOS DIÁRIOS'!$C$5:$C$500,$A39,'LANÇAMENTOS DIÁRIOS'!$O$5:$O$500,"&lt;=121879",'LANÇAMENTOS DIÁRIOS'!$P$5:$P$500,"&gt;=121780")&gt;0,"X","")</f>
      </c>
      <c r="AU39" s="56" t="str">
        <f>IF(COUNTIFS('LANÇAMENTOS DIÁRIOS'!$G$5:$G$500,"G",'LANÇAMENTOS DIÁRIOS'!$C$5:$C$500,$A39,'LANÇAMENTOS DIÁRIOS'!$O$5:$O$500,"&lt;=121979",'LANÇAMENTOS DIÁRIOS'!$P$5:$P$500,"&gt;=121880")&gt;0,"X","")</f>
      </c>
      <c r="AV39" s="56" t="str">
        <f>IF(COUNTIFS('LANÇAMENTOS DIÁRIOS'!$G$5:$G$500,"G",'LANÇAMENTOS DIÁRIOS'!$C$5:$C$500,$A39,'LANÇAMENTOS DIÁRIOS'!$O$5:$O$500,"&lt;=122079",'LANÇAMENTOS DIÁRIOS'!$P$5:$P$500,"&gt;=121980")&gt;0,"X","")</f>
      </c>
      <c r="AW39" s="56" t="str">
        <f>IF(COUNTIFS('LANÇAMENTOS DIÁRIOS'!$G$5:$G$500,"G",'LANÇAMENTOS DIÁRIOS'!$C$5:$C$500,$A39,'LANÇAMENTOS DIÁRIOS'!$O$5:$O$500,"&lt;=122179",'LANÇAMENTOS DIÁRIOS'!$P$5:$P$500,"&gt;=122080")&gt;0,"X","")</f>
      </c>
      <c r="AX39" s="56" t="str">
        <f>IF(COUNTIFS('LANÇAMENTOS DIÁRIOS'!$G$5:$G$500,"G",'LANÇAMENTOS DIÁRIOS'!$C$5:$C$500,$A39,'LANÇAMENTOS DIÁRIOS'!$O$5:$O$500,"&lt;=122279",'LANÇAMENTOS DIÁRIOS'!$P$5:$P$500,"&gt;=122180")&gt;0,"X","")</f>
      </c>
      <c r="AY39" s="56" t="str">
        <f>IF(COUNTIFS('LANÇAMENTOS DIÁRIOS'!$G$5:$G$500,"G",'LANÇAMENTOS DIÁRIOS'!$C$5:$C$500,$A39,'LANÇAMENTOS DIÁRIOS'!$O$5:$O$500,"&lt;=122379",'LANÇAMENTOS DIÁRIOS'!$P$5:$P$500,"&gt;=122280")&gt;0,"X","")</f>
      </c>
      <c r="AZ39" s="56" t="str">
        <f>IF(COUNTIFS('LANÇAMENTOS DIÁRIOS'!$G$5:$G$500,"G",'LANÇAMENTOS DIÁRIOS'!$C$5:$C$500,$A39,'LANÇAMENTOS DIÁRIOS'!$O$5:$O$500,"&lt;=122479",'LANÇAMENTOS DIÁRIOS'!$P$5:$P$500,"&gt;=122380")&gt;0,"X","")</f>
      </c>
      <c r="BA39" s="56" t="str">
        <f>IF(COUNTIFS('LANÇAMENTOS DIÁRIOS'!$G$5:$G$500,"G",'LANÇAMENTOS DIÁRIOS'!$C$5:$C$500,$A39,'LANÇAMENTOS DIÁRIOS'!$O$5:$O$500,"&lt;=122579",'LANÇAMENTOS DIÁRIOS'!$P$5:$P$500,"&gt;=122480")&gt;0,"X","")</f>
      </c>
      <c r="BB39" s="56" t="str">
        <f>IF(COUNTIFS('LANÇAMENTOS DIÁRIOS'!$G$5:$G$500,"G",'LANÇAMENTOS DIÁRIOS'!$C$5:$C$500,$A39,'LANÇAMENTOS DIÁRIOS'!$O$5:$O$500,"&lt;=122679",'LANÇAMENTOS DIÁRIOS'!$P$5:$P$500,"&gt;=122580")&gt;0,"X","")</f>
      </c>
      <c r="BC39" s="56" t="str">
        <f>IF(COUNTIFS('LANÇAMENTOS DIÁRIOS'!$G$5:$G$500,"G",'LANÇAMENTOS DIÁRIOS'!$C$5:$C$500,$A39,'LANÇAMENTOS DIÁRIOS'!$O$5:$O$500,"&lt;=122779",'LANÇAMENTOS DIÁRIOS'!$P$5:$P$500,"&gt;=122680")&gt;0,"X","")</f>
      </c>
      <c r="BD39" s="56" t="str">
        <f>IF(COUNTIFS('LANÇAMENTOS DIÁRIOS'!$G$5:$G$500,"G",'LANÇAMENTOS DIÁRIOS'!$C$5:$C$500,$A39,'LANÇAMENTOS DIÁRIOS'!$O$5:$O$500,"&lt;=122879",'LANÇAMENTOS DIÁRIOS'!$P$5:$P$500,"&gt;=122780")&gt;0,"X","")</f>
      </c>
      <c r="BE39" s="56" t="str">
        <f>IF(COUNTIFS('LANÇAMENTOS DIÁRIOS'!$G$5:$G$500,"G",'LANÇAMENTOS DIÁRIOS'!$C$5:$C$500,$A39,'LANÇAMENTOS DIÁRIOS'!$O$5:$O$500,"&lt;=122979",'LANÇAMENTOS DIÁRIOS'!$P$5:$P$500,"&gt;=122880")&gt;0,"X","")</f>
      </c>
      <c r="BF39" s="56" t="str">
        <f>IF(COUNTIFS('LANÇAMENTOS DIÁRIOS'!$G$5:$G$500,"G",'LANÇAMENTOS DIÁRIOS'!$C$5:$C$500,$A39,'LANÇAMENTOS DIÁRIOS'!$O$5:$O$500,"&lt;=123079",'LANÇAMENTOS DIÁRIOS'!$P$5:$P$500,"&gt;=122980")&gt;0,"X","")</f>
      </c>
      <c r="BG39" s="56" t="str">
        <f>IF(COUNTIFS('LANÇAMENTOS DIÁRIOS'!$G$5:$G$500,"G",'LANÇAMENTOS DIÁRIOS'!$C$5:$C$500,$A39,'LANÇAMENTOS DIÁRIOS'!$O$5:$O$500,"&lt;=123179",'LANÇAMENTOS DIÁRIOS'!$P$5:$P$500,"&gt;=123080")&gt;0,"X","")</f>
      </c>
      <c r="BH39" s="56" t="str">
        <f>IF(COUNTIFS('LANÇAMENTOS DIÁRIOS'!$G$5:$G$500,"G",'LANÇAMENTOS DIÁRIOS'!$C$5:$C$500,$A39,'LANÇAMENTOS DIÁRIOS'!$O$5:$O$500,"&lt;=123279",'LANÇAMENTOS DIÁRIOS'!$P$5:$P$500,"&gt;=123180")&gt;0,"X","")</f>
      </c>
      <c r="BI39" s="56" t="str">
        <f>IF(COUNTIFS('LANÇAMENTOS DIÁRIOS'!$G$5:$G$500,"G",'LANÇAMENTOS DIÁRIOS'!$C$5:$C$500,$A39,'LANÇAMENTOS DIÁRIOS'!$O$5:$O$500,"&lt;=123379",'LANÇAMENTOS DIÁRIOS'!$P$5:$P$500,"&gt;=123280")&gt;0,"X","")</f>
      </c>
      <c r="BJ39" s="56" t="str">
        <f>IF(COUNTIFS('LANÇAMENTOS DIÁRIOS'!$G$5:$G$500,"G",'LANÇAMENTOS DIÁRIOS'!$C$5:$C$500,$A39,'LANÇAMENTOS DIÁRIOS'!$O$5:$O$500,"&lt;=123479",'LANÇAMENTOS DIÁRIOS'!$P$5:$P$500,"&gt;=123380")&gt;0,"X","")</f>
      </c>
      <c r="BK39" s="56" t="str">
        <f>IF(COUNTIFS('LANÇAMENTOS DIÁRIOS'!$G$5:$G$500,"G",'LANÇAMENTOS DIÁRIOS'!$C$5:$C$500,$A39,'LANÇAMENTOS DIÁRIOS'!$O$5:$O$500,"&lt;=123480",'LANÇAMENTOS DIÁRIOS'!$P$5:$P$500,"&gt;=123480")&gt;0,"X","")</f>
      </c>
    </row>
    <row r="40" ht="19" customHeight="1">
      <c r="A40" s="68" t="str">
        <v>Corte em solo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</row>
    <row r="41">
      <c r="A41" s="51" t="str">
        <v>Escavação de material de 1ª e 2ª categoria - Sem transporte</v>
      </c>
      <c r="B41" s="56" t="str">
        <f>IF(COUNTIFS('LANÇAMENTOS DIÁRIOS'!$G$5:$G$500,"G",'LANÇAMENTOS DIÁRIOS'!$C$5:$C$500,$A41,'LANÇAMENTOS DIÁRIOS'!$O$5:$O$500,"&lt;=117479",'LANÇAMENTOS DIÁRIOS'!$P$5:$P$500,"&gt;=117380")&gt;0,"X","")</f>
      </c>
      <c r="C41" s="56" t="str">
        <f>IF(COUNTIFS('LANÇAMENTOS DIÁRIOS'!$G$5:$G$500,"G",'LANÇAMENTOS DIÁRIOS'!$C$5:$C$500,$A41,'LANÇAMENTOS DIÁRIOS'!$O$5:$O$500,"&lt;=117579",'LANÇAMENTOS DIÁRIOS'!$P$5:$P$500,"&gt;=117480")&gt;0,"X","")</f>
      </c>
      <c r="D41" s="56" t="str">
        <f>IF(COUNTIFS('LANÇAMENTOS DIÁRIOS'!$G$5:$G$500,"G",'LANÇAMENTOS DIÁRIOS'!$C$5:$C$500,$A41,'LANÇAMENTOS DIÁRIOS'!$O$5:$O$500,"&lt;=117679",'LANÇAMENTOS DIÁRIOS'!$P$5:$P$500,"&gt;=117580")&gt;0,"X","")</f>
      </c>
      <c r="E41" s="56" t="str">
        <f>IF(COUNTIFS('LANÇAMENTOS DIÁRIOS'!$G$5:$G$500,"G",'LANÇAMENTOS DIÁRIOS'!$C$5:$C$500,$A41,'LANÇAMENTOS DIÁRIOS'!$O$5:$O$500,"&lt;=117779",'LANÇAMENTOS DIÁRIOS'!$P$5:$P$500,"&gt;=117680")&gt;0,"X","")</f>
      </c>
      <c r="F41" s="56" t="str">
        <f>IF(COUNTIFS('LANÇAMENTOS DIÁRIOS'!$G$5:$G$500,"G",'LANÇAMENTOS DIÁRIOS'!$C$5:$C$500,$A41,'LANÇAMENTOS DIÁRIOS'!$O$5:$O$500,"&lt;=117879",'LANÇAMENTOS DIÁRIOS'!$P$5:$P$500,"&gt;=117780")&gt;0,"X","")</f>
      </c>
      <c r="G41" s="56" t="str">
        <f>IF(COUNTIFS('LANÇAMENTOS DIÁRIOS'!$G$5:$G$500,"G",'LANÇAMENTOS DIÁRIOS'!$C$5:$C$500,$A41,'LANÇAMENTOS DIÁRIOS'!$O$5:$O$500,"&lt;=117979",'LANÇAMENTOS DIÁRIOS'!$P$5:$P$500,"&gt;=117880")&gt;0,"X","")</f>
      </c>
      <c r="H41" s="56" t="str">
        <f>IF(COUNTIFS('LANÇAMENTOS DIÁRIOS'!$G$5:$G$500,"G",'LANÇAMENTOS DIÁRIOS'!$C$5:$C$500,$A41,'LANÇAMENTOS DIÁRIOS'!$O$5:$O$500,"&lt;=118079",'LANÇAMENTOS DIÁRIOS'!$P$5:$P$500,"&gt;=117980")&gt;0,"X","")</f>
      </c>
      <c r="I41" s="56" t="str">
        <f>IF(COUNTIFS('LANÇAMENTOS DIÁRIOS'!$G$5:$G$500,"G",'LANÇAMENTOS DIÁRIOS'!$C$5:$C$500,$A41,'LANÇAMENTOS DIÁRIOS'!$O$5:$O$500,"&lt;=118179",'LANÇAMENTOS DIÁRIOS'!$P$5:$P$500,"&gt;=118080")&gt;0,"X","")</f>
      </c>
      <c r="J41" s="56" t="str">
        <f>IF(COUNTIFS('LANÇAMENTOS DIÁRIOS'!$G$5:$G$500,"G",'LANÇAMENTOS DIÁRIOS'!$C$5:$C$500,$A41,'LANÇAMENTOS DIÁRIOS'!$O$5:$O$500,"&lt;=118279",'LANÇAMENTOS DIÁRIOS'!$P$5:$P$500,"&gt;=118180")&gt;0,"X","")</f>
      </c>
      <c r="K41" s="56" t="str">
        <f>IF(COUNTIFS('LANÇAMENTOS DIÁRIOS'!$G$5:$G$500,"G",'LANÇAMENTOS DIÁRIOS'!$C$5:$C$500,$A41,'LANÇAMENTOS DIÁRIOS'!$O$5:$O$500,"&lt;=118379",'LANÇAMENTOS DIÁRIOS'!$P$5:$P$500,"&gt;=118280")&gt;0,"X","")</f>
      </c>
      <c r="L41" s="56" t="str">
        <f>IF(COUNTIFS('LANÇAMENTOS DIÁRIOS'!$G$5:$G$500,"G",'LANÇAMENTOS DIÁRIOS'!$C$5:$C$500,$A41,'LANÇAMENTOS DIÁRIOS'!$O$5:$O$500,"&lt;=118479",'LANÇAMENTOS DIÁRIOS'!$P$5:$P$500,"&gt;=118380")&gt;0,"X","")</f>
      </c>
      <c r="M41" s="56" t="str">
        <f>IF(COUNTIFS('LANÇAMENTOS DIÁRIOS'!$G$5:$G$500,"G",'LANÇAMENTOS DIÁRIOS'!$C$5:$C$500,$A41,'LANÇAMENTOS DIÁRIOS'!$O$5:$O$500,"&lt;=118579",'LANÇAMENTOS DIÁRIOS'!$P$5:$P$500,"&gt;=118480")&gt;0,"X","")</f>
      </c>
      <c r="N41" s="56" t="str">
        <f>IF(COUNTIFS('LANÇAMENTOS DIÁRIOS'!$G$5:$G$500,"G",'LANÇAMENTOS DIÁRIOS'!$C$5:$C$500,$A41,'LANÇAMENTOS DIÁRIOS'!$O$5:$O$500,"&lt;=118679",'LANÇAMENTOS DIÁRIOS'!$P$5:$P$500,"&gt;=118580")&gt;0,"X","")</f>
      </c>
      <c r="O41" s="56" t="str">
        <f>IF(COUNTIFS('LANÇAMENTOS DIÁRIOS'!$G$5:$G$500,"G",'LANÇAMENTOS DIÁRIOS'!$C$5:$C$500,$A41,'LANÇAMENTOS DIÁRIOS'!$O$5:$O$500,"&lt;=118779",'LANÇAMENTOS DIÁRIOS'!$P$5:$P$500,"&gt;=118680")&gt;0,"X","")</f>
      </c>
      <c r="P41" s="56" t="str">
        <f>IF(COUNTIFS('LANÇAMENTOS DIÁRIOS'!$G$5:$G$500,"G",'LANÇAMENTOS DIÁRIOS'!$C$5:$C$500,$A41,'LANÇAMENTOS DIÁRIOS'!$O$5:$O$500,"&lt;=118879",'LANÇAMENTOS DIÁRIOS'!$P$5:$P$500,"&gt;=118780")&gt;0,"X","")</f>
      </c>
      <c r="Q41" s="56" t="str">
        <f>IF(COUNTIFS('LANÇAMENTOS DIÁRIOS'!$G$5:$G$500,"G",'LANÇAMENTOS DIÁRIOS'!$C$5:$C$500,$A41,'LANÇAMENTOS DIÁRIOS'!$O$5:$O$500,"&lt;=118979",'LANÇAMENTOS DIÁRIOS'!$P$5:$P$500,"&gt;=118880")&gt;0,"X","")</f>
      </c>
      <c r="R41" s="56" t="str">
        <f>IF(COUNTIFS('LANÇAMENTOS DIÁRIOS'!$G$5:$G$500,"G",'LANÇAMENTOS DIÁRIOS'!$C$5:$C$500,$A41,'LANÇAMENTOS DIÁRIOS'!$O$5:$O$500,"&lt;=119079",'LANÇAMENTOS DIÁRIOS'!$P$5:$P$500,"&gt;=118980")&gt;0,"X","")</f>
      </c>
      <c r="S41" s="56" t="str">
        <f>IF(COUNTIFS('LANÇAMENTOS DIÁRIOS'!$G$5:$G$500,"G",'LANÇAMENTOS DIÁRIOS'!$C$5:$C$500,$A41,'LANÇAMENTOS DIÁRIOS'!$O$5:$O$500,"&lt;=119179",'LANÇAMENTOS DIÁRIOS'!$P$5:$P$500,"&gt;=119080")&gt;0,"X","")</f>
      </c>
      <c r="T41" s="56" t="str">
        <f>IF(COUNTIFS('LANÇAMENTOS DIÁRIOS'!$G$5:$G$500,"G",'LANÇAMENTOS DIÁRIOS'!$C$5:$C$500,$A41,'LANÇAMENTOS DIÁRIOS'!$O$5:$O$500,"&lt;=119279",'LANÇAMENTOS DIÁRIOS'!$P$5:$P$500,"&gt;=119180")&gt;0,"X","")</f>
      </c>
      <c r="U41" s="56" t="str">
        <f>IF(COUNTIFS('LANÇAMENTOS DIÁRIOS'!$G$5:$G$500,"G",'LANÇAMENTOS DIÁRIOS'!$C$5:$C$500,$A41,'LANÇAMENTOS DIÁRIOS'!$O$5:$O$500,"&lt;=119379",'LANÇAMENTOS DIÁRIOS'!$P$5:$P$500,"&gt;=119280")&gt;0,"X","")</f>
      </c>
      <c r="V41" s="56" t="str">
        <f>IF(COUNTIFS('LANÇAMENTOS DIÁRIOS'!$G$5:$G$500,"G",'LANÇAMENTOS DIÁRIOS'!$C$5:$C$500,$A41,'LANÇAMENTOS DIÁRIOS'!$O$5:$O$500,"&lt;=119479",'LANÇAMENTOS DIÁRIOS'!$P$5:$P$500,"&gt;=119380")&gt;0,"X","")</f>
      </c>
      <c r="W41" s="56" t="str">
        <f>IF(COUNTIFS('LANÇAMENTOS DIÁRIOS'!$G$5:$G$500,"G",'LANÇAMENTOS DIÁRIOS'!$C$5:$C$500,$A41,'LANÇAMENTOS DIÁRIOS'!$O$5:$O$500,"&lt;=119579",'LANÇAMENTOS DIÁRIOS'!$P$5:$P$500,"&gt;=119480")&gt;0,"X","")</f>
      </c>
      <c r="X41" s="56" t="str">
        <f>IF(COUNTIFS('LANÇAMENTOS DIÁRIOS'!$G$5:$G$500,"G",'LANÇAMENTOS DIÁRIOS'!$C$5:$C$500,$A41,'LANÇAMENTOS DIÁRIOS'!$O$5:$O$500,"&lt;=119679",'LANÇAMENTOS DIÁRIOS'!$P$5:$P$500,"&gt;=119580")&gt;0,"X","")</f>
      </c>
      <c r="Y41" s="56" t="str">
        <f>IF(COUNTIFS('LANÇAMENTOS DIÁRIOS'!$G$5:$G$500,"G",'LANÇAMENTOS DIÁRIOS'!$C$5:$C$500,$A41,'LANÇAMENTOS DIÁRIOS'!$O$5:$O$500,"&lt;=119779",'LANÇAMENTOS DIÁRIOS'!$P$5:$P$500,"&gt;=119680")&gt;0,"X","")</f>
      </c>
      <c r="Z41" s="56" t="str">
        <f>IF(COUNTIFS('LANÇAMENTOS DIÁRIOS'!$G$5:$G$500,"G",'LANÇAMENTOS DIÁRIOS'!$C$5:$C$500,$A41,'LANÇAMENTOS DIÁRIOS'!$O$5:$O$500,"&lt;=119879",'LANÇAMENTOS DIÁRIOS'!$P$5:$P$500,"&gt;=119780")&gt;0,"X","")</f>
      </c>
      <c r="AA41" s="56" t="str">
        <f>IF(COUNTIFS('LANÇAMENTOS DIÁRIOS'!$G$5:$G$500,"G",'LANÇAMENTOS DIÁRIOS'!$C$5:$C$500,$A41,'LANÇAMENTOS DIÁRIOS'!$O$5:$O$500,"&lt;=119979",'LANÇAMENTOS DIÁRIOS'!$P$5:$P$500,"&gt;=119880")&gt;0,"X","")</f>
      </c>
      <c r="AB41" s="56" t="str">
        <f>IF(COUNTIFS('LANÇAMENTOS DIÁRIOS'!$G$5:$G$500,"G",'LANÇAMENTOS DIÁRIOS'!$C$5:$C$500,$A41,'LANÇAMENTOS DIÁRIOS'!$O$5:$O$500,"&lt;=120079",'LANÇAMENTOS DIÁRIOS'!$P$5:$P$500,"&gt;=119980")&gt;0,"X","")</f>
      </c>
      <c r="AC41" s="56" t="str">
        <f>IF(COUNTIFS('LANÇAMENTOS DIÁRIOS'!$G$5:$G$500,"G",'LANÇAMENTOS DIÁRIOS'!$C$5:$C$500,$A41,'LANÇAMENTOS DIÁRIOS'!$O$5:$O$500,"&lt;=120179",'LANÇAMENTOS DIÁRIOS'!$P$5:$P$500,"&gt;=120080")&gt;0,"X","")</f>
      </c>
      <c r="AD41" s="56" t="str">
        <f>IF(COUNTIFS('LANÇAMENTOS DIÁRIOS'!$G$5:$G$500,"G",'LANÇAMENTOS DIÁRIOS'!$C$5:$C$500,$A41,'LANÇAMENTOS DIÁRIOS'!$O$5:$O$500,"&lt;=120279",'LANÇAMENTOS DIÁRIOS'!$P$5:$P$500,"&gt;=120180")&gt;0,"X","")</f>
      </c>
      <c r="AE41" s="56" t="str">
        <f>IF(COUNTIFS('LANÇAMENTOS DIÁRIOS'!$G$5:$G$500,"G",'LANÇAMENTOS DIÁRIOS'!$C$5:$C$500,$A41,'LANÇAMENTOS DIÁRIOS'!$O$5:$O$500,"&lt;=120379",'LANÇAMENTOS DIÁRIOS'!$P$5:$P$500,"&gt;=120280")&gt;0,"X","")</f>
      </c>
      <c r="AF41" s="56" t="str">
        <f>IF(COUNTIFS('LANÇAMENTOS DIÁRIOS'!$G$5:$G$500,"G",'LANÇAMENTOS DIÁRIOS'!$C$5:$C$500,$A41,'LANÇAMENTOS DIÁRIOS'!$O$5:$O$500,"&lt;=120479",'LANÇAMENTOS DIÁRIOS'!$P$5:$P$500,"&gt;=120380")&gt;0,"X","")</f>
      </c>
      <c r="AG41" s="56" t="str">
        <f>IF(COUNTIFS('LANÇAMENTOS DIÁRIOS'!$G$5:$G$500,"G",'LANÇAMENTOS DIÁRIOS'!$C$5:$C$500,$A41,'LANÇAMENTOS DIÁRIOS'!$O$5:$O$500,"&lt;=120579",'LANÇAMENTOS DIÁRIOS'!$P$5:$P$500,"&gt;=120480")&gt;0,"X","")</f>
      </c>
      <c r="AH41" s="56" t="str">
        <f>IF(COUNTIFS('LANÇAMENTOS DIÁRIOS'!$G$5:$G$500,"G",'LANÇAMENTOS DIÁRIOS'!$C$5:$C$500,$A41,'LANÇAMENTOS DIÁRIOS'!$O$5:$O$500,"&lt;=120679",'LANÇAMENTOS DIÁRIOS'!$P$5:$P$500,"&gt;=120580")&gt;0,"X","")</f>
      </c>
      <c r="AI41" s="56" t="str">
        <f>IF(COUNTIFS('LANÇAMENTOS DIÁRIOS'!$G$5:$G$500,"G",'LANÇAMENTOS DIÁRIOS'!$C$5:$C$500,$A41,'LANÇAMENTOS DIÁRIOS'!$O$5:$O$500,"&lt;=120779",'LANÇAMENTOS DIÁRIOS'!$P$5:$P$500,"&gt;=120680")&gt;0,"X","")</f>
      </c>
      <c r="AJ41" s="56" t="str">
        <f>IF(COUNTIFS('LANÇAMENTOS DIÁRIOS'!$G$5:$G$500,"G",'LANÇAMENTOS DIÁRIOS'!$C$5:$C$500,$A41,'LANÇAMENTOS DIÁRIOS'!$O$5:$O$500,"&lt;=120879",'LANÇAMENTOS DIÁRIOS'!$P$5:$P$500,"&gt;=120780")&gt;0,"X","")</f>
      </c>
      <c r="AK41" s="56" t="str">
        <f>IF(COUNTIFS('LANÇAMENTOS DIÁRIOS'!$G$5:$G$500,"G",'LANÇAMENTOS DIÁRIOS'!$C$5:$C$500,$A41,'LANÇAMENTOS DIÁRIOS'!$O$5:$O$500,"&lt;=120979",'LANÇAMENTOS DIÁRIOS'!$P$5:$P$500,"&gt;=120880")&gt;0,"X","")</f>
      </c>
      <c r="AL41" s="56" t="str">
        <f>IF(COUNTIFS('LANÇAMENTOS DIÁRIOS'!$G$5:$G$500,"G",'LANÇAMENTOS DIÁRIOS'!$C$5:$C$500,$A41,'LANÇAMENTOS DIÁRIOS'!$O$5:$O$500,"&lt;=121079",'LANÇAMENTOS DIÁRIOS'!$P$5:$P$500,"&gt;=120980")&gt;0,"X","")</f>
      </c>
      <c r="AM41" s="56" t="str">
        <f>IF(COUNTIFS('LANÇAMENTOS DIÁRIOS'!$G$5:$G$500,"G",'LANÇAMENTOS DIÁRIOS'!$C$5:$C$500,$A41,'LANÇAMENTOS DIÁRIOS'!$O$5:$O$500,"&lt;=121179",'LANÇAMENTOS DIÁRIOS'!$P$5:$P$500,"&gt;=121080")&gt;0,"X","")</f>
      </c>
      <c r="AN41" s="56" t="str">
        <f>IF(COUNTIFS('LANÇAMENTOS DIÁRIOS'!$G$5:$G$500,"G",'LANÇAMENTOS DIÁRIOS'!$C$5:$C$500,$A41,'LANÇAMENTOS DIÁRIOS'!$O$5:$O$500,"&lt;=121279",'LANÇAMENTOS DIÁRIOS'!$P$5:$P$500,"&gt;=121180")&gt;0,"X","")</f>
      </c>
      <c r="AO41" s="56" t="str">
        <f>IF(COUNTIFS('LANÇAMENTOS DIÁRIOS'!$G$5:$G$500,"G",'LANÇAMENTOS DIÁRIOS'!$C$5:$C$500,$A41,'LANÇAMENTOS DIÁRIOS'!$O$5:$O$500,"&lt;=121379",'LANÇAMENTOS DIÁRIOS'!$P$5:$P$500,"&gt;=121280")&gt;0,"X","")</f>
      </c>
      <c r="AP41" s="56" t="str">
        <f>IF(COUNTIFS('LANÇAMENTOS DIÁRIOS'!$G$5:$G$500,"G",'LANÇAMENTOS DIÁRIOS'!$C$5:$C$500,$A41,'LANÇAMENTOS DIÁRIOS'!$O$5:$O$500,"&lt;=121479",'LANÇAMENTOS DIÁRIOS'!$P$5:$P$500,"&gt;=121380")&gt;0,"X","")</f>
      </c>
      <c r="AQ41" s="56" t="str">
        <f>IF(COUNTIFS('LANÇAMENTOS DIÁRIOS'!$G$5:$G$500,"G",'LANÇAMENTOS DIÁRIOS'!$C$5:$C$500,$A41,'LANÇAMENTOS DIÁRIOS'!$O$5:$O$500,"&lt;=121579",'LANÇAMENTOS DIÁRIOS'!$P$5:$P$500,"&gt;=121480")&gt;0,"X","")</f>
      </c>
      <c r="AR41" s="56" t="str">
        <f>IF(COUNTIFS('LANÇAMENTOS DIÁRIOS'!$G$5:$G$500,"G",'LANÇAMENTOS DIÁRIOS'!$C$5:$C$500,$A41,'LANÇAMENTOS DIÁRIOS'!$O$5:$O$500,"&lt;=121679",'LANÇAMENTOS DIÁRIOS'!$P$5:$P$500,"&gt;=121580")&gt;0,"X","")</f>
      </c>
      <c r="AS41" s="56" t="str">
        <f>IF(COUNTIFS('LANÇAMENTOS DIÁRIOS'!$G$5:$G$500,"G",'LANÇAMENTOS DIÁRIOS'!$C$5:$C$500,$A41,'LANÇAMENTOS DIÁRIOS'!$O$5:$O$500,"&lt;=121779",'LANÇAMENTOS DIÁRIOS'!$P$5:$P$500,"&gt;=121680")&gt;0,"X","")</f>
      </c>
      <c r="AT41" s="56" t="str">
        <f>IF(COUNTIFS('LANÇAMENTOS DIÁRIOS'!$G$5:$G$500,"G",'LANÇAMENTOS DIÁRIOS'!$C$5:$C$500,$A41,'LANÇAMENTOS DIÁRIOS'!$O$5:$O$500,"&lt;=121879",'LANÇAMENTOS DIÁRIOS'!$P$5:$P$500,"&gt;=121780")&gt;0,"X","")</f>
      </c>
      <c r="AU41" s="56" t="str">
        <f>IF(COUNTIFS('LANÇAMENTOS DIÁRIOS'!$G$5:$G$500,"G",'LANÇAMENTOS DIÁRIOS'!$C$5:$C$500,$A41,'LANÇAMENTOS DIÁRIOS'!$O$5:$O$500,"&lt;=121979",'LANÇAMENTOS DIÁRIOS'!$P$5:$P$500,"&gt;=121880")&gt;0,"X","")</f>
      </c>
      <c r="AV41" s="56" t="str">
        <f>IF(COUNTIFS('LANÇAMENTOS DIÁRIOS'!$G$5:$G$500,"G",'LANÇAMENTOS DIÁRIOS'!$C$5:$C$500,$A41,'LANÇAMENTOS DIÁRIOS'!$O$5:$O$500,"&lt;=122079",'LANÇAMENTOS DIÁRIOS'!$P$5:$P$500,"&gt;=121980")&gt;0,"X","")</f>
      </c>
      <c r="AW41" s="56" t="str">
        <f>IF(COUNTIFS('LANÇAMENTOS DIÁRIOS'!$G$5:$G$500,"G",'LANÇAMENTOS DIÁRIOS'!$C$5:$C$500,$A41,'LANÇAMENTOS DIÁRIOS'!$O$5:$O$500,"&lt;=122179",'LANÇAMENTOS DIÁRIOS'!$P$5:$P$500,"&gt;=122080")&gt;0,"X","")</f>
      </c>
      <c r="AX41" s="56" t="str">
        <f>IF(COUNTIFS('LANÇAMENTOS DIÁRIOS'!$G$5:$G$500,"G",'LANÇAMENTOS DIÁRIOS'!$C$5:$C$500,$A41,'LANÇAMENTOS DIÁRIOS'!$O$5:$O$500,"&lt;=122279",'LANÇAMENTOS DIÁRIOS'!$P$5:$P$500,"&gt;=122180")&gt;0,"X","")</f>
      </c>
      <c r="AY41" s="56" t="str">
        <f>IF(COUNTIFS('LANÇAMENTOS DIÁRIOS'!$G$5:$G$500,"G",'LANÇAMENTOS DIÁRIOS'!$C$5:$C$500,$A41,'LANÇAMENTOS DIÁRIOS'!$O$5:$O$500,"&lt;=122379",'LANÇAMENTOS DIÁRIOS'!$P$5:$P$500,"&gt;=122280")&gt;0,"X","")</f>
      </c>
      <c r="AZ41" s="56" t="str">
        <f>IF(COUNTIFS('LANÇAMENTOS DIÁRIOS'!$G$5:$G$500,"G",'LANÇAMENTOS DIÁRIOS'!$C$5:$C$500,$A41,'LANÇAMENTOS DIÁRIOS'!$O$5:$O$500,"&lt;=122479",'LANÇAMENTOS DIÁRIOS'!$P$5:$P$500,"&gt;=122380")&gt;0,"X","")</f>
      </c>
      <c r="BA41" s="56" t="str">
        <f>IF(COUNTIFS('LANÇAMENTOS DIÁRIOS'!$G$5:$G$500,"G",'LANÇAMENTOS DIÁRIOS'!$C$5:$C$500,$A41,'LANÇAMENTOS DIÁRIOS'!$O$5:$O$500,"&lt;=122579",'LANÇAMENTOS DIÁRIOS'!$P$5:$P$500,"&gt;=122480")&gt;0,"X","")</f>
      </c>
      <c r="BB41" s="56" t="str">
        <f>IF(COUNTIFS('LANÇAMENTOS DIÁRIOS'!$G$5:$G$500,"G",'LANÇAMENTOS DIÁRIOS'!$C$5:$C$500,$A41,'LANÇAMENTOS DIÁRIOS'!$O$5:$O$500,"&lt;=122679",'LANÇAMENTOS DIÁRIOS'!$P$5:$P$500,"&gt;=122580")&gt;0,"X","")</f>
      </c>
      <c r="BC41" s="56" t="str">
        <f>IF(COUNTIFS('LANÇAMENTOS DIÁRIOS'!$G$5:$G$500,"G",'LANÇAMENTOS DIÁRIOS'!$C$5:$C$500,$A41,'LANÇAMENTOS DIÁRIOS'!$O$5:$O$500,"&lt;=122779",'LANÇAMENTOS DIÁRIOS'!$P$5:$P$500,"&gt;=122680")&gt;0,"X","")</f>
      </c>
      <c r="BD41" s="56" t="str">
        <f>IF(COUNTIFS('LANÇAMENTOS DIÁRIOS'!$G$5:$G$500,"G",'LANÇAMENTOS DIÁRIOS'!$C$5:$C$500,$A41,'LANÇAMENTOS DIÁRIOS'!$O$5:$O$500,"&lt;=122879",'LANÇAMENTOS DIÁRIOS'!$P$5:$P$500,"&gt;=122780")&gt;0,"X","")</f>
      </c>
      <c r="BE41" s="56" t="str">
        <f>IF(COUNTIFS('LANÇAMENTOS DIÁRIOS'!$G$5:$G$500,"G",'LANÇAMENTOS DIÁRIOS'!$C$5:$C$500,$A41,'LANÇAMENTOS DIÁRIOS'!$O$5:$O$500,"&lt;=122979",'LANÇAMENTOS DIÁRIOS'!$P$5:$P$500,"&gt;=122880")&gt;0,"X","")</f>
      </c>
      <c r="BF41" s="56" t="str">
        <f>IF(COUNTIFS('LANÇAMENTOS DIÁRIOS'!$G$5:$G$500,"G",'LANÇAMENTOS DIÁRIOS'!$C$5:$C$500,$A41,'LANÇAMENTOS DIÁRIOS'!$O$5:$O$500,"&lt;=123079",'LANÇAMENTOS DIÁRIOS'!$P$5:$P$500,"&gt;=122980")&gt;0,"X","")</f>
      </c>
      <c r="BG41" s="56" t="str">
        <f>IF(COUNTIFS('LANÇAMENTOS DIÁRIOS'!$G$5:$G$500,"G",'LANÇAMENTOS DIÁRIOS'!$C$5:$C$500,$A41,'LANÇAMENTOS DIÁRIOS'!$O$5:$O$500,"&lt;=123179",'LANÇAMENTOS DIÁRIOS'!$P$5:$P$500,"&gt;=123080")&gt;0,"X","")</f>
      </c>
      <c r="BH41" s="56" t="str">
        <f>IF(COUNTIFS('LANÇAMENTOS DIÁRIOS'!$G$5:$G$500,"G",'LANÇAMENTOS DIÁRIOS'!$C$5:$C$500,$A41,'LANÇAMENTOS DIÁRIOS'!$O$5:$O$500,"&lt;=123279",'LANÇAMENTOS DIÁRIOS'!$P$5:$P$500,"&gt;=123180")&gt;0,"X","")</f>
      </c>
      <c r="BI41" s="56" t="str">
        <f>IF(COUNTIFS('LANÇAMENTOS DIÁRIOS'!$G$5:$G$500,"G",'LANÇAMENTOS DIÁRIOS'!$C$5:$C$500,$A41,'LANÇAMENTOS DIÁRIOS'!$O$5:$O$500,"&lt;=123379",'LANÇAMENTOS DIÁRIOS'!$P$5:$P$500,"&gt;=123280")&gt;0,"X","")</f>
      </c>
      <c r="BJ41" s="56" t="str">
        <f>IF(COUNTIFS('LANÇAMENTOS DIÁRIOS'!$G$5:$G$500,"G",'LANÇAMENTOS DIÁRIOS'!$C$5:$C$500,$A41,'LANÇAMENTOS DIÁRIOS'!$O$5:$O$500,"&lt;=123479",'LANÇAMENTOS DIÁRIOS'!$P$5:$P$500,"&gt;=123380")&gt;0,"X","")</f>
      </c>
      <c r="BK41" s="56" t="str">
        <f>IF(COUNTIFS('LANÇAMENTOS DIÁRIOS'!$G$5:$G$500,"G",'LANÇAMENTOS DIÁRIOS'!$C$5:$C$500,$A41,'LANÇAMENTOS DIÁRIOS'!$O$5:$O$500,"&lt;=123480",'LANÇAMENTOS DIÁRIOS'!$P$5:$P$500,"&gt;=123480")&gt;0,"X","")</f>
      </c>
    </row>
    <row r="42">
      <c r="A42" s="51" t="str">
        <v>Escavação de material de 1ª e 2ª categoria, sem transporte</v>
      </c>
      <c r="B42" s="56" t="str">
        <f>IF(COUNTIFS('LANÇAMENTOS DIÁRIOS'!$G$5:$G$500,"G",'LANÇAMENTOS DIÁRIOS'!$C$5:$C$500,$A42,'LANÇAMENTOS DIÁRIOS'!$O$5:$O$500,"&lt;=117479",'LANÇAMENTOS DIÁRIOS'!$P$5:$P$500,"&gt;=117380")&gt;0,"X","")</f>
      </c>
      <c r="C42" s="56" t="str">
        <f>IF(COUNTIFS('LANÇAMENTOS DIÁRIOS'!$G$5:$G$500,"G",'LANÇAMENTOS DIÁRIOS'!$C$5:$C$500,$A42,'LANÇAMENTOS DIÁRIOS'!$O$5:$O$500,"&lt;=117579",'LANÇAMENTOS DIÁRIOS'!$P$5:$P$500,"&gt;=117480")&gt;0,"X","")</f>
      </c>
      <c r="D42" s="56" t="str">
        <f>IF(COUNTIFS('LANÇAMENTOS DIÁRIOS'!$G$5:$G$500,"G",'LANÇAMENTOS DIÁRIOS'!$C$5:$C$500,$A42,'LANÇAMENTOS DIÁRIOS'!$O$5:$O$500,"&lt;=117679",'LANÇAMENTOS DIÁRIOS'!$P$5:$P$500,"&gt;=117580")&gt;0,"X","")</f>
      </c>
      <c r="E42" s="56" t="str">
        <f>IF(COUNTIFS('LANÇAMENTOS DIÁRIOS'!$G$5:$G$500,"G",'LANÇAMENTOS DIÁRIOS'!$C$5:$C$500,$A42,'LANÇAMENTOS DIÁRIOS'!$O$5:$O$500,"&lt;=117779",'LANÇAMENTOS DIÁRIOS'!$P$5:$P$500,"&gt;=117680")&gt;0,"X","")</f>
      </c>
      <c r="F42" s="56" t="str">
        <f>IF(COUNTIFS('LANÇAMENTOS DIÁRIOS'!$G$5:$G$500,"G",'LANÇAMENTOS DIÁRIOS'!$C$5:$C$500,$A42,'LANÇAMENTOS DIÁRIOS'!$O$5:$O$500,"&lt;=117879",'LANÇAMENTOS DIÁRIOS'!$P$5:$P$500,"&gt;=117780")&gt;0,"X","")</f>
      </c>
      <c r="G42" s="56" t="str">
        <f>IF(COUNTIFS('LANÇAMENTOS DIÁRIOS'!$G$5:$G$500,"G",'LANÇAMENTOS DIÁRIOS'!$C$5:$C$500,$A42,'LANÇAMENTOS DIÁRIOS'!$O$5:$O$500,"&lt;=117979",'LANÇAMENTOS DIÁRIOS'!$P$5:$P$500,"&gt;=117880")&gt;0,"X","")</f>
      </c>
      <c r="H42" s="56" t="str">
        <f>IF(COUNTIFS('LANÇAMENTOS DIÁRIOS'!$G$5:$G$500,"G",'LANÇAMENTOS DIÁRIOS'!$C$5:$C$500,$A42,'LANÇAMENTOS DIÁRIOS'!$O$5:$O$500,"&lt;=118079",'LANÇAMENTOS DIÁRIOS'!$P$5:$P$500,"&gt;=117980")&gt;0,"X","")</f>
      </c>
      <c r="I42" s="56" t="str">
        <f>IF(COUNTIFS('LANÇAMENTOS DIÁRIOS'!$G$5:$G$500,"G",'LANÇAMENTOS DIÁRIOS'!$C$5:$C$500,$A42,'LANÇAMENTOS DIÁRIOS'!$O$5:$O$500,"&lt;=118179",'LANÇAMENTOS DIÁRIOS'!$P$5:$P$500,"&gt;=118080")&gt;0,"X","")</f>
      </c>
      <c r="J42" s="56" t="str">
        <f>IF(COUNTIFS('LANÇAMENTOS DIÁRIOS'!$G$5:$G$500,"G",'LANÇAMENTOS DIÁRIOS'!$C$5:$C$500,$A42,'LANÇAMENTOS DIÁRIOS'!$O$5:$O$500,"&lt;=118279",'LANÇAMENTOS DIÁRIOS'!$P$5:$P$500,"&gt;=118180")&gt;0,"X","")</f>
      </c>
      <c r="K42" s="56" t="str">
        <f>IF(COUNTIFS('LANÇAMENTOS DIÁRIOS'!$G$5:$G$500,"G",'LANÇAMENTOS DIÁRIOS'!$C$5:$C$500,$A42,'LANÇAMENTOS DIÁRIOS'!$O$5:$O$500,"&lt;=118379",'LANÇAMENTOS DIÁRIOS'!$P$5:$P$500,"&gt;=118280")&gt;0,"X","")</f>
      </c>
      <c r="L42" s="56" t="str">
        <f>IF(COUNTIFS('LANÇAMENTOS DIÁRIOS'!$G$5:$G$500,"G",'LANÇAMENTOS DIÁRIOS'!$C$5:$C$500,$A42,'LANÇAMENTOS DIÁRIOS'!$O$5:$O$500,"&lt;=118479",'LANÇAMENTOS DIÁRIOS'!$P$5:$P$500,"&gt;=118380")&gt;0,"X","")</f>
      </c>
      <c r="M42" s="56" t="str">
        <f>IF(COUNTIFS('LANÇAMENTOS DIÁRIOS'!$G$5:$G$500,"G",'LANÇAMENTOS DIÁRIOS'!$C$5:$C$500,$A42,'LANÇAMENTOS DIÁRIOS'!$O$5:$O$500,"&lt;=118579",'LANÇAMENTOS DIÁRIOS'!$P$5:$P$500,"&gt;=118480")&gt;0,"X","")</f>
      </c>
      <c r="N42" s="56" t="str">
        <f>IF(COUNTIFS('LANÇAMENTOS DIÁRIOS'!$G$5:$G$500,"G",'LANÇAMENTOS DIÁRIOS'!$C$5:$C$500,$A42,'LANÇAMENTOS DIÁRIOS'!$O$5:$O$500,"&lt;=118679",'LANÇAMENTOS DIÁRIOS'!$P$5:$P$500,"&gt;=118580")&gt;0,"X","")</f>
      </c>
      <c r="O42" s="56" t="str">
        <f>IF(COUNTIFS('LANÇAMENTOS DIÁRIOS'!$G$5:$G$500,"G",'LANÇAMENTOS DIÁRIOS'!$C$5:$C$500,$A42,'LANÇAMENTOS DIÁRIOS'!$O$5:$O$500,"&lt;=118779",'LANÇAMENTOS DIÁRIOS'!$P$5:$P$500,"&gt;=118680")&gt;0,"X","")</f>
      </c>
      <c r="P42" s="56" t="str">
        <f>IF(COUNTIFS('LANÇAMENTOS DIÁRIOS'!$G$5:$G$500,"G",'LANÇAMENTOS DIÁRIOS'!$C$5:$C$500,$A42,'LANÇAMENTOS DIÁRIOS'!$O$5:$O$500,"&lt;=118879",'LANÇAMENTOS DIÁRIOS'!$P$5:$P$500,"&gt;=118780")&gt;0,"X","")</f>
      </c>
      <c r="Q42" s="56" t="str">
        <f>IF(COUNTIFS('LANÇAMENTOS DIÁRIOS'!$G$5:$G$500,"G",'LANÇAMENTOS DIÁRIOS'!$C$5:$C$500,$A42,'LANÇAMENTOS DIÁRIOS'!$O$5:$O$500,"&lt;=118979",'LANÇAMENTOS DIÁRIOS'!$P$5:$P$500,"&gt;=118880")&gt;0,"X","")</f>
      </c>
      <c r="R42" s="56" t="str">
        <f>IF(COUNTIFS('LANÇAMENTOS DIÁRIOS'!$G$5:$G$500,"G",'LANÇAMENTOS DIÁRIOS'!$C$5:$C$500,$A42,'LANÇAMENTOS DIÁRIOS'!$O$5:$O$500,"&lt;=119079",'LANÇAMENTOS DIÁRIOS'!$P$5:$P$500,"&gt;=118980")&gt;0,"X","")</f>
      </c>
      <c r="S42" s="56" t="str">
        <f>IF(COUNTIFS('LANÇAMENTOS DIÁRIOS'!$G$5:$G$500,"G",'LANÇAMENTOS DIÁRIOS'!$C$5:$C$500,$A42,'LANÇAMENTOS DIÁRIOS'!$O$5:$O$500,"&lt;=119179",'LANÇAMENTOS DIÁRIOS'!$P$5:$P$500,"&gt;=119080")&gt;0,"X","")</f>
      </c>
      <c r="T42" s="56" t="str">
        <f>IF(COUNTIFS('LANÇAMENTOS DIÁRIOS'!$G$5:$G$500,"G",'LANÇAMENTOS DIÁRIOS'!$C$5:$C$500,$A42,'LANÇAMENTOS DIÁRIOS'!$O$5:$O$500,"&lt;=119279",'LANÇAMENTOS DIÁRIOS'!$P$5:$P$500,"&gt;=119180")&gt;0,"X","")</f>
      </c>
      <c r="U42" s="56" t="str">
        <f>IF(COUNTIFS('LANÇAMENTOS DIÁRIOS'!$G$5:$G$500,"G",'LANÇAMENTOS DIÁRIOS'!$C$5:$C$500,$A42,'LANÇAMENTOS DIÁRIOS'!$O$5:$O$500,"&lt;=119379",'LANÇAMENTOS DIÁRIOS'!$P$5:$P$500,"&gt;=119280")&gt;0,"X","")</f>
      </c>
      <c r="V42" s="56" t="str">
        <f>IF(COUNTIFS('LANÇAMENTOS DIÁRIOS'!$G$5:$G$500,"G",'LANÇAMENTOS DIÁRIOS'!$C$5:$C$500,$A42,'LANÇAMENTOS DIÁRIOS'!$O$5:$O$500,"&lt;=119479",'LANÇAMENTOS DIÁRIOS'!$P$5:$P$500,"&gt;=119380")&gt;0,"X","")</f>
      </c>
      <c r="W42" s="56" t="str">
        <f>IF(COUNTIFS('LANÇAMENTOS DIÁRIOS'!$G$5:$G$500,"G",'LANÇAMENTOS DIÁRIOS'!$C$5:$C$500,$A42,'LANÇAMENTOS DIÁRIOS'!$O$5:$O$500,"&lt;=119579",'LANÇAMENTOS DIÁRIOS'!$P$5:$P$500,"&gt;=119480")&gt;0,"X","")</f>
      </c>
      <c r="X42" s="56" t="str">
        <f>IF(COUNTIFS('LANÇAMENTOS DIÁRIOS'!$G$5:$G$500,"G",'LANÇAMENTOS DIÁRIOS'!$C$5:$C$500,$A42,'LANÇAMENTOS DIÁRIOS'!$O$5:$O$500,"&lt;=119679",'LANÇAMENTOS DIÁRIOS'!$P$5:$P$500,"&gt;=119580")&gt;0,"X","")</f>
      </c>
      <c r="Y42" s="56" t="str">
        <f>IF(COUNTIFS('LANÇAMENTOS DIÁRIOS'!$G$5:$G$500,"G",'LANÇAMENTOS DIÁRIOS'!$C$5:$C$500,$A42,'LANÇAMENTOS DIÁRIOS'!$O$5:$O$500,"&lt;=119779",'LANÇAMENTOS DIÁRIOS'!$P$5:$P$500,"&gt;=119680")&gt;0,"X","")</f>
      </c>
      <c r="Z42" s="56" t="str">
        <f>IF(COUNTIFS('LANÇAMENTOS DIÁRIOS'!$G$5:$G$500,"G",'LANÇAMENTOS DIÁRIOS'!$C$5:$C$500,$A42,'LANÇAMENTOS DIÁRIOS'!$O$5:$O$500,"&lt;=119879",'LANÇAMENTOS DIÁRIOS'!$P$5:$P$500,"&gt;=119780")&gt;0,"X","")</f>
      </c>
      <c r="AA42" s="56" t="str">
        <f>IF(COUNTIFS('LANÇAMENTOS DIÁRIOS'!$G$5:$G$500,"G",'LANÇAMENTOS DIÁRIOS'!$C$5:$C$500,$A42,'LANÇAMENTOS DIÁRIOS'!$O$5:$O$500,"&lt;=119979",'LANÇAMENTOS DIÁRIOS'!$P$5:$P$500,"&gt;=119880")&gt;0,"X","")</f>
      </c>
      <c r="AB42" s="56" t="str">
        <f>IF(COUNTIFS('LANÇAMENTOS DIÁRIOS'!$G$5:$G$500,"G",'LANÇAMENTOS DIÁRIOS'!$C$5:$C$500,$A42,'LANÇAMENTOS DIÁRIOS'!$O$5:$O$500,"&lt;=120079",'LANÇAMENTOS DIÁRIOS'!$P$5:$P$500,"&gt;=119980")&gt;0,"X","")</f>
      </c>
      <c r="AC42" s="56" t="str">
        <f>IF(COUNTIFS('LANÇAMENTOS DIÁRIOS'!$G$5:$G$500,"G",'LANÇAMENTOS DIÁRIOS'!$C$5:$C$500,$A42,'LANÇAMENTOS DIÁRIOS'!$O$5:$O$500,"&lt;=120179",'LANÇAMENTOS DIÁRIOS'!$P$5:$P$500,"&gt;=120080")&gt;0,"X","")</f>
      </c>
      <c r="AD42" s="56" t="str">
        <f>IF(COUNTIFS('LANÇAMENTOS DIÁRIOS'!$G$5:$G$500,"G",'LANÇAMENTOS DIÁRIOS'!$C$5:$C$500,$A42,'LANÇAMENTOS DIÁRIOS'!$O$5:$O$500,"&lt;=120279",'LANÇAMENTOS DIÁRIOS'!$P$5:$P$500,"&gt;=120180")&gt;0,"X","")</f>
      </c>
      <c r="AE42" s="56" t="str">
        <f>IF(COUNTIFS('LANÇAMENTOS DIÁRIOS'!$G$5:$G$500,"G",'LANÇAMENTOS DIÁRIOS'!$C$5:$C$500,$A42,'LANÇAMENTOS DIÁRIOS'!$O$5:$O$500,"&lt;=120379",'LANÇAMENTOS DIÁRIOS'!$P$5:$P$500,"&gt;=120280")&gt;0,"X","")</f>
      </c>
      <c r="AF42" s="56" t="str">
        <f>IF(COUNTIFS('LANÇAMENTOS DIÁRIOS'!$G$5:$G$500,"G",'LANÇAMENTOS DIÁRIOS'!$C$5:$C$500,$A42,'LANÇAMENTOS DIÁRIOS'!$O$5:$O$500,"&lt;=120479",'LANÇAMENTOS DIÁRIOS'!$P$5:$P$500,"&gt;=120380")&gt;0,"X","")</f>
      </c>
      <c r="AG42" s="56" t="str">
        <f>IF(COUNTIFS('LANÇAMENTOS DIÁRIOS'!$G$5:$G$500,"G",'LANÇAMENTOS DIÁRIOS'!$C$5:$C$500,$A42,'LANÇAMENTOS DIÁRIOS'!$O$5:$O$500,"&lt;=120579",'LANÇAMENTOS DIÁRIOS'!$P$5:$P$500,"&gt;=120480")&gt;0,"X","")</f>
      </c>
      <c r="AH42" s="56" t="str">
        <f>IF(COUNTIFS('LANÇAMENTOS DIÁRIOS'!$G$5:$G$500,"G",'LANÇAMENTOS DIÁRIOS'!$C$5:$C$500,$A42,'LANÇAMENTOS DIÁRIOS'!$O$5:$O$500,"&lt;=120679",'LANÇAMENTOS DIÁRIOS'!$P$5:$P$500,"&gt;=120580")&gt;0,"X","")</f>
      </c>
      <c r="AI42" s="56" t="str">
        <f>IF(COUNTIFS('LANÇAMENTOS DIÁRIOS'!$G$5:$G$500,"G",'LANÇAMENTOS DIÁRIOS'!$C$5:$C$500,$A42,'LANÇAMENTOS DIÁRIOS'!$O$5:$O$500,"&lt;=120779",'LANÇAMENTOS DIÁRIOS'!$P$5:$P$500,"&gt;=120680")&gt;0,"X","")</f>
      </c>
      <c r="AJ42" s="56" t="str">
        <f>IF(COUNTIFS('LANÇAMENTOS DIÁRIOS'!$G$5:$G$500,"G",'LANÇAMENTOS DIÁRIOS'!$C$5:$C$500,$A42,'LANÇAMENTOS DIÁRIOS'!$O$5:$O$500,"&lt;=120879",'LANÇAMENTOS DIÁRIOS'!$P$5:$P$500,"&gt;=120780")&gt;0,"X","")</f>
      </c>
      <c r="AK42" s="56" t="str">
        <f>IF(COUNTIFS('LANÇAMENTOS DIÁRIOS'!$G$5:$G$500,"G",'LANÇAMENTOS DIÁRIOS'!$C$5:$C$500,$A42,'LANÇAMENTOS DIÁRIOS'!$O$5:$O$500,"&lt;=120979",'LANÇAMENTOS DIÁRIOS'!$P$5:$P$500,"&gt;=120880")&gt;0,"X","")</f>
      </c>
      <c r="AL42" s="56" t="str">
        <f>IF(COUNTIFS('LANÇAMENTOS DIÁRIOS'!$G$5:$G$500,"G",'LANÇAMENTOS DIÁRIOS'!$C$5:$C$500,$A42,'LANÇAMENTOS DIÁRIOS'!$O$5:$O$500,"&lt;=121079",'LANÇAMENTOS DIÁRIOS'!$P$5:$P$500,"&gt;=120980")&gt;0,"X","")</f>
      </c>
      <c r="AM42" s="56" t="str">
        <f>IF(COUNTIFS('LANÇAMENTOS DIÁRIOS'!$G$5:$G$500,"G",'LANÇAMENTOS DIÁRIOS'!$C$5:$C$500,$A42,'LANÇAMENTOS DIÁRIOS'!$O$5:$O$500,"&lt;=121179",'LANÇAMENTOS DIÁRIOS'!$P$5:$P$500,"&gt;=121080")&gt;0,"X","")</f>
      </c>
      <c r="AN42" s="56" t="str">
        <f>IF(COUNTIFS('LANÇAMENTOS DIÁRIOS'!$G$5:$G$500,"G",'LANÇAMENTOS DIÁRIOS'!$C$5:$C$500,$A42,'LANÇAMENTOS DIÁRIOS'!$O$5:$O$500,"&lt;=121279",'LANÇAMENTOS DIÁRIOS'!$P$5:$P$500,"&gt;=121180")&gt;0,"X","")</f>
      </c>
      <c r="AO42" s="56" t="str">
        <f>IF(COUNTIFS('LANÇAMENTOS DIÁRIOS'!$G$5:$G$500,"G",'LANÇAMENTOS DIÁRIOS'!$C$5:$C$500,$A42,'LANÇAMENTOS DIÁRIOS'!$O$5:$O$500,"&lt;=121379",'LANÇAMENTOS DIÁRIOS'!$P$5:$P$500,"&gt;=121280")&gt;0,"X","")</f>
      </c>
      <c r="AP42" s="56" t="str">
        <f>IF(COUNTIFS('LANÇAMENTOS DIÁRIOS'!$G$5:$G$500,"G",'LANÇAMENTOS DIÁRIOS'!$C$5:$C$500,$A42,'LANÇAMENTOS DIÁRIOS'!$O$5:$O$500,"&lt;=121479",'LANÇAMENTOS DIÁRIOS'!$P$5:$P$500,"&gt;=121380")&gt;0,"X","")</f>
      </c>
      <c r="AQ42" s="56" t="str">
        <f>IF(COUNTIFS('LANÇAMENTOS DIÁRIOS'!$G$5:$G$500,"G",'LANÇAMENTOS DIÁRIOS'!$C$5:$C$500,$A42,'LANÇAMENTOS DIÁRIOS'!$O$5:$O$500,"&lt;=121579",'LANÇAMENTOS DIÁRIOS'!$P$5:$P$500,"&gt;=121480")&gt;0,"X","")</f>
      </c>
      <c r="AR42" s="56" t="str">
        <f>IF(COUNTIFS('LANÇAMENTOS DIÁRIOS'!$G$5:$G$500,"G",'LANÇAMENTOS DIÁRIOS'!$C$5:$C$500,$A42,'LANÇAMENTOS DIÁRIOS'!$O$5:$O$500,"&lt;=121679",'LANÇAMENTOS DIÁRIOS'!$P$5:$P$500,"&gt;=121580")&gt;0,"X","")</f>
      </c>
      <c r="AS42" s="56" t="str">
        <f>IF(COUNTIFS('LANÇAMENTOS DIÁRIOS'!$G$5:$G$500,"G",'LANÇAMENTOS DIÁRIOS'!$C$5:$C$500,$A42,'LANÇAMENTOS DIÁRIOS'!$O$5:$O$500,"&lt;=121779",'LANÇAMENTOS DIÁRIOS'!$P$5:$P$500,"&gt;=121680")&gt;0,"X","")</f>
      </c>
      <c r="AT42" s="56" t="str">
        <f>IF(COUNTIFS('LANÇAMENTOS DIÁRIOS'!$G$5:$G$500,"G",'LANÇAMENTOS DIÁRIOS'!$C$5:$C$500,$A42,'LANÇAMENTOS DIÁRIOS'!$O$5:$O$500,"&lt;=121879",'LANÇAMENTOS DIÁRIOS'!$P$5:$P$500,"&gt;=121780")&gt;0,"X","")</f>
      </c>
      <c r="AU42" s="56" t="str">
        <f>IF(COUNTIFS('LANÇAMENTOS DIÁRIOS'!$G$5:$G$500,"G",'LANÇAMENTOS DIÁRIOS'!$C$5:$C$500,$A42,'LANÇAMENTOS DIÁRIOS'!$O$5:$O$500,"&lt;=121979",'LANÇAMENTOS DIÁRIOS'!$P$5:$P$500,"&gt;=121880")&gt;0,"X","")</f>
      </c>
      <c r="AV42" s="56" t="str">
        <f>IF(COUNTIFS('LANÇAMENTOS DIÁRIOS'!$G$5:$G$500,"G",'LANÇAMENTOS DIÁRIOS'!$C$5:$C$500,$A42,'LANÇAMENTOS DIÁRIOS'!$O$5:$O$500,"&lt;=122079",'LANÇAMENTOS DIÁRIOS'!$P$5:$P$500,"&gt;=121980")&gt;0,"X","")</f>
      </c>
      <c r="AW42" s="56" t="str">
        <f>IF(COUNTIFS('LANÇAMENTOS DIÁRIOS'!$G$5:$G$500,"G",'LANÇAMENTOS DIÁRIOS'!$C$5:$C$500,$A42,'LANÇAMENTOS DIÁRIOS'!$O$5:$O$500,"&lt;=122179",'LANÇAMENTOS DIÁRIOS'!$P$5:$P$500,"&gt;=122080")&gt;0,"X","")</f>
      </c>
      <c r="AX42" s="56" t="str">
        <f>IF(COUNTIFS('LANÇAMENTOS DIÁRIOS'!$G$5:$G$500,"G",'LANÇAMENTOS DIÁRIOS'!$C$5:$C$500,$A42,'LANÇAMENTOS DIÁRIOS'!$O$5:$O$500,"&lt;=122279",'LANÇAMENTOS DIÁRIOS'!$P$5:$P$500,"&gt;=122180")&gt;0,"X","")</f>
      </c>
      <c r="AY42" s="56" t="str">
        <f>IF(COUNTIFS('LANÇAMENTOS DIÁRIOS'!$G$5:$G$500,"G",'LANÇAMENTOS DIÁRIOS'!$C$5:$C$500,$A42,'LANÇAMENTOS DIÁRIOS'!$O$5:$O$500,"&lt;=122379",'LANÇAMENTOS DIÁRIOS'!$P$5:$P$500,"&gt;=122280")&gt;0,"X","")</f>
      </c>
      <c r="AZ42" s="56" t="str">
        <f>IF(COUNTIFS('LANÇAMENTOS DIÁRIOS'!$G$5:$G$500,"G",'LANÇAMENTOS DIÁRIOS'!$C$5:$C$500,$A42,'LANÇAMENTOS DIÁRIOS'!$O$5:$O$500,"&lt;=122479",'LANÇAMENTOS DIÁRIOS'!$P$5:$P$500,"&gt;=122380")&gt;0,"X","")</f>
      </c>
      <c r="BA42" s="56" t="str">
        <f>IF(COUNTIFS('LANÇAMENTOS DIÁRIOS'!$G$5:$G$500,"G",'LANÇAMENTOS DIÁRIOS'!$C$5:$C$500,$A42,'LANÇAMENTOS DIÁRIOS'!$O$5:$O$500,"&lt;=122579",'LANÇAMENTOS DIÁRIOS'!$P$5:$P$500,"&gt;=122480")&gt;0,"X","")</f>
      </c>
      <c r="BB42" s="56" t="str">
        <f>IF(COUNTIFS('LANÇAMENTOS DIÁRIOS'!$G$5:$G$500,"G",'LANÇAMENTOS DIÁRIOS'!$C$5:$C$500,$A42,'LANÇAMENTOS DIÁRIOS'!$O$5:$O$500,"&lt;=122679",'LANÇAMENTOS DIÁRIOS'!$P$5:$P$500,"&gt;=122580")&gt;0,"X","")</f>
      </c>
      <c r="BC42" s="56" t="str">
        <f>IF(COUNTIFS('LANÇAMENTOS DIÁRIOS'!$G$5:$G$500,"G",'LANÇAMENTOS DIÁRIOS'!$C$5:$C$500,$A42,'LANÇAMENTOS DIÁRIOS'!$O$5:$O$500,"&lt;=122779",'LANÇAMENTOS DIÁRIOS'!$P$5:$P$500,"&gt;=122680")&gt;0,"X","")</f>
      </c>
      <c r="BD42" s="56" t="str">
        <f>IF(COUNTIFS('LANÇAMENTOS DIÁRIOS'!$G$5:$G$500,"G",'LANÇAMENTOS DIÁRIOS'!$C$5:$C$500,$A42,'LANÇAMENTOS DIÁRIOS'!$O$5:$O$500,"&lt;=122879",'LANÇAMENTOS DIÁRIOS'!$P$5:$P$500,"&gt;=122780")&gt;0,"X","")</f>
      </c>
      <c r="BE42" s="56" t="str">
        <f>IF(COUNTIFS('LANÇAMENTOS DIÁRIOS'!$G$5:$G$500,"G",'LANÇAMENTOS DIÁRIOS'!$C$5:$C$500,$A42,'LANÇAMENTOS DIÁRIOS'!$O$5:$O$500,"&lt;=122979",'LANÇAMENTOS DIÁRIOS'!$P$5:$P$500,"&gt;=122880")&gt;0,"X","")</f>
      </c>
      <c r="BF42" s="56" t="str">
        <f>IF(COUNTIFS('LANÇAMENTOS DIÁRIOS'!$G$5:$G$500,"G",'LANÇAMENTOS DIÁRIOS'!$C$5:$C$500,$A42,'LANÇAMENTOS DIÁRIOS'!$O$5:$O$500,"&lt;=123079",'LANÇAMENTOS DIÁRIOS'!$P$5:$P$500,"&gt;=122980")&gt;0,"X","")</f>
      </c>
      <c r="BG42" s="56" t="str">
        <f>IF(COUNTIFS('LANÇAMENTOS DIÁRIOS'!$G$5:$G$500,"G",'LANÇAMENTOS DIÁRIOS'!$C$5:$C$500,$A42,'LANÇAMENTOS DIÁRIOS'!$O$5:$O$500,"&lt;=123179",'LANÇAMENTOS DIÁRIOS'!$P$5:$P$500,"&gt;=123080")&gt;0,"X","")</f>
      </c>
      <c r="BH42" s="56" t="str">
        <f>IF(COUNTIFS('LANÇAMENTOS DIÁRIOS'!$G$5:$G$500,"G",'LANÇAMENTOS DIÁRIOS'!$C$5:$C$500,$A42,'LANÇAMENTOS DIÁRIOS'!$O$5:$O$500,"&lt;=123279",'LANÇAMENTOS DIÁRIOS'!$P$5:$P$500,"&gt;=123180")&gt;0,"X","")</f>
      </c>
      <c r="BI42" s="56" t="str">
        <f>IF(COUNTIFS('LANÇAMENTOS DIÁRIOS'!$G$5:$G$500,"G",'LANÇAMENTOS DIÁRIOS'!$C$5:$C$500,$A42,'LANÇAMENTOS DIÁRIOS'!$O$5:$O$500,"&lt;=123379",'LANÇAMENTOS DIÁRIOS'!$P$5:$P$500,"&gt;=123280")&gt;0,"X","")</f>
      </c>
      <c r="BJ42" s="56" t="str">
        <f>IF(COUNTIFS('LANÇAMENTOS DIÁRIOS'!$G$5:$G$500,"G",'LANÇAMENTOS DIÁRIOS'!$C$5:$C$500,$A42,'LANÇAMENTOS DIÁRIOS'!$O$5:$O$500,"&lt;=123479",'LANÇAMENTOS DIÁRIOS'!$P$5:$P$500,"&gt;=123380")&gt;0,"X","")</f>
      </c>
      <c r="BK42" s="56" t="str">
        <f>IF(COUNTIFS('LANÇAMENTOS DIÁRIOS'!$G$5:$G$500,"G",'LANÇAMENTOS DIÁRIOS'!$C$5:$C$500,$A42,'LANÇAMENTOS DIÁRIOS'!$O$5:$O$500,"&lt;=123480",'LANÇAMENTOS DIÁRIOS'!$P$5:$P$500,"&gt;=123480")&gt;0,"X","")</f>
      </c>
    </row>
    <row r="43">
      <c r="A43" s="51" t="str">
        <v>Escavação de material de 1ª e 2ª categoria</v>
      </c>
      <c r="B43" s="56" t="str">
        <f>IF(COUNTIFS('LANÇAMENTOS DIÁRIOS'!$G$5:$G$500,"G",'LANÇAMENTOS DIÁRIOS'!$C$5:$C$500,$A43,'LANÇAMENTOS DIÁRIOS'!$O$5:$O$500,"&lt;=117479",'LANÇAMENTOS DIÁRIOS'!$P$5:$P$500,"&gt;=117380")&gt;0,"X","")</f>
      </c>
      <c r="C43" s="56" t="str">
        <f>IF(COUNTIFS('LANÇAMENTOS DIÁRIOS'!$G$5:$G$500,"G",'LANÇAMENTOS DIÁRIOS'!$C$5:$C$500,$A43,'LANÇAMENTOS DIÁRIOS'!$O$5:$O$500,"&lt;=117579",'LANÇAMENTOS DIÁRIOS'!$P$5:$P$500,"&gt;=117480")&gt;0,"X","")</f>
      </c>
      <c r="D43" s="56" t="str">
        <f>IF(COUNTIFS('LANÇAMENTOS DIÁRIOS'!$G$5:$G$500,"G",'LANÇAMENTOS DIÁRIOS'!$C$5:$C$500,$A43,'LANÇAMENTOS DIÁRIOS'!$O$5:$O$500,"&lt;=117679",'LANÇAMENTOS DIÁRIOS'!$P$5:$P$500,"&gt;=117580")&gt;0,"X","")</f>
      </c>
      <c r="E43" s="56" t="str">
        <f>IF(COUNTIFS('LANÇAMENTOS DIÁRIOS'!$G$5:$G$500,"G",'LANÇAMENTOS DIÁRIOS'!$C$5:$C$500,$A43,'LANÇAMENTOS DIÁRIOS'!$O$5:$O$500,"&lt;=117779",'LANÇAMENTOS DIÁRIOS'!$P$5:$P$500,"&gt;=117680")&gt;0,"X","")</f>
      </c>
      <c r="F43" s="56" t="str">
        <f>IF(COUNTIFS('LANÇAMENTOS DIÁRIOS'!$G$5:$G$500,"G",'LANÇAMENTOS DIÁRIOS'!$C$5:$C$500,$A43,'LANÇAMENTOS DIÁRIOS'!$O$5:$O$500,"&lt;=117879",'LANÇAMENTOS DIÁRIOS'!$P$5:$P$500,"&gt;=117780")&gt;0,"X","")</f>
      </c>
      <c r="G43" s="56" t="str">
        <f>IF(COUNTIFS('LANÇAMENTOS DIÁRIOS'!$G$5:$G$500,"G",'LANÇAMENTOS DIÁRIOS'!$C$5:$C$500,$A43,'LANÇAMENTOS DIÁRIOS'!$O$5:$O$500,"&lt;=117979",'LANÇAMENTOS DIÁRIOS'!$P$5:$P$500,"&gt;=117880")&gt;0,"X","")</f>
      </c>
      <c r="H43" s="56" t="str">
        <f>IF(COUNTIFS('LANÇAMENTOS DIÁRIOS'!$G$5:$G$500,"G",'LANÇAMENTOS DIÁRIOS'!$C$5:$C$500,$A43,'LANÇAMENTOS DIÁRIOS'!$O$5:$O$500,"&lt;=118079",'LANÇAMENTOS DIÁRIOS'!$P$5:$P$500,"&gt;=117980")&gt;0,"X","")</f>
      </c>
      <c r="I43" s="56" t="str">
        <f>IF(COUNTIFS('LANÇAMENTOS DIÁRIOS'!$G$5:$G$500,"G",'LANÇAMENTOS DIÁRIOS'!$C$5:$C$500,$A43,'LANÇAMENTOS DIÁRIOS'!$O$5:$O$500,"&lt;=118179",'LANÇAMENTOS DIÁRIOS'!$P$5:$P$500,"&gt;=118080")&gt;0,"X","")</f>
      </c>
      <c r="J43" s="56" t="str">
        <f>IF(COUNTIFS('LANÇAMENTOS DIÁRIOS'!$G$5:$G$500,"G",'LANÇAMENTOS DIÁRIOS'!$C$5:$C$500,$A43,'LANÇAMENTOS DIÁRIOS'!$O$5:$O$500,"&lt;=118279",'LANÇAMENTOS DIÁRIOS'!$P$5:$P$500,"&gt;=118180")&gt;0,"X","")</f>
      </c>
      <c r="K43" s="56" t="str">
        <f>IF(COUNTIFS('LANÇAMENTOS DIÁRIOS'!$G$5:$G$500,"G",'LANÇAMENTOS DIÁRIOS'!$C$5:$C$500,$A43,'LANÇAMENTOS DIÁRIOS'!$O$5:$O$500,"&lt;=118379",'LANÇAMENTOS DIÁRIOS'!$P$5:$P$500,"&gt;=118280")&gt;0,"X","")</f>
      </c>
      <c r="L43" s="56" t="str">
        <f>IF(COUNTIFS('LANÇAMENTOS DIÁRIOS'!$G$5:$G$500,"G",'LANÇAMENTOS DIÁRIOS'!$C$5:$C$500,$A43,'LANÇAMENTOS DIÁRIOS'!$O$5:$O$500,"&lt;=118479",'LANÇAMENTOS DIÁRIOS'!$P$5:$P$500,"&gt;=118380")&gt;0,"X","")</f>
      </c>
      <c r="M43" s="56" t="str">
        <f>IF(COUNTIFS('LANÇAMENTOS DIÁRIOS'!$G$5:$G$500,"G",'LANÇAMENTOS DIÁRIOS'!$C$5:$C$500,$A43,'LANÇAMENTOS DIÁRIOS'!$O$5:$O$500,"&lt;=118579",'LANÇAMENTOS DIÁRIOS'!$P$5:$P$500,"&gt;=118480")&gt;0,"X","")</f>
      </c>
      <c r="N43" s="56" t="str">
        <f>IF(COUNTIFS('LANÇAMENTOS DIÁRIOS'!$G$5:$G$500,"G",'LANÇAMENTOS DIÁRIOS'!$C$5:$C$500,$A43,'LANÇAMENTOS DIÁRIOS'!$O$5:$O$500,"&lt;=118679",'LANÇAMENTOS DIÁRIOS'!$P$5:$P$500,"&gt;=118580")&gt;0,"X","")</f>
      </c>
      <c r="O43" s="56" t="str">
        <f>IF(COUNTIFS('LANÇAMENTOS DIÁRIOS'!$G$5:$G$500,"G",'LANÇAMENTOS DIÁRIOS'!$C$5:$C$500,$A43,'LANÇAMENTOS DIÁRIOS'!$O$5:$O$500,"&lt;=118779",'LANÇAMENTOS DIÁRIOS'!$P$5:$P$500,"&gt;=118680")&gt;0,"X","")</f>
      </c>
      <c r="P43" s="56" t="str">
        <f>IF(COUNTIFS('LANÇAMENTOS DIÁRIOS'!$G$5:$G$500,"G",'LANÇAMENTOS DIÁRIOS'!$C$5:$C$500,$A43,'LANÇAMENTOS DIÁRIOS'!$O$5:$O$500,"&lt;=118879",'LANÇAMENTOS DIÁRIOS'!$P$5:$P$500,"&gt;=118780")&gt;0,"X","")</f>
      </c>
      <c r="Q43" s="56" t="str">
        <f>IF(COUNTIFS('LANÇAMENTOS DIÁRIOS'!$G$5:$G$500,"G",'LANÇAMENTOS DIÁRIOS'!$C$5:$C$500,$A43,'LANÇAMENTOS DIÁRIOS'!$O$5:$O$500,"&lt;=118979",'LANÇAMENTOS DIÁRIOS'!$P$5:$P$500,"&gt;=118880")&gt;0,"X","")</f>
      </c>
      <c r="R43" s="56" t="str">
        <f>IF(COUNTIFS('LANÇAMENTOS DIÁRIOS'!$G$5:$G$500,"G",'LANÇAMENTOS DIÁRIOS'!$C$5:$C$500,$A43,'LANÇAMENTOS DIÁRIOS'!$O$5:$O$500,"&lt;=119079",'LANÇAMENTOS DIÁRIOS'!$P$5:$P$500,"&gt;=118980")&gt;0,"X","")</f>
      </c>
      <c r="S43" s="56" t="str">
        <f>IF(COUNTIFS('LANÇAMENTOS DIÁRIOS'!$G$5:$G$500,"G",'LANÇAMENTOS DIÁRIOS'!$C$5:$C$500,$A43,'LANÇAMENTOS DIÁRIOS'!$O$5:$O$500,"&lt;=119179",'LANÇAMENTOS DIÁRIOS'!$P$5:$P$500,"&gt;=119080")&gt;0,"X","")</f>
      </c>
      <c r="T43" s="56" t="str">
        <f>IF(COUNTIFS('LANÇAMENTOS DIÁRIOS'!$G$5:$G$500,"G",'LANÇAMENTOS DIÁRIOS'!$C$5:$C$500,$A43,'LANÇAMENTOS DIÁRIOS'!$O$5:$O$500,"&lt;=119279",'LANÇAMENTOS DIÁRIOS'!$P$5:$P$500,"&gt;=119180")&gt;0,"X","")</f>
      </c>
      <c r="U43" s="56" t="str">
        <f>IF(COUNTIFS('LANÇAMENTOS DIÁRIOS'!$G$5:$G$500,"G",'LANÇAMENTOS DIÁRIOS'!$C$5:$C$500,$A43,'LANÇAMENTOS DIÁRIOS'!$O$5:$O$500,"&lt;=119379",'LANÇAMENTOS DIÁRIOS'!$P$5:$P$500,"&gt;=119280")&gt;0,"X","")</f>
      </c>
      <c r="V43" s="56" t="str">
        <f>IF(COUNTIFS('LANÇAMENTOS DIÁRIOS'!$G$5:$G$500,"G",'LANÇAMENTOS DIÁRIOS'!$C$5:$C$500,$A43,'LANÇAMENTOS DIÁRIOS'!$O$5:$O$500,"&lt;=119479",'LANÇAMENTOS DIÁRIOS'!$P$5:$P$500,"&gt;=119380")&gt;0,"X","")</f>
      </c>
      <c r="W43" s="56" t="str">
        <f>IF(COUNTIFS('LANÇAMENTOS DIÁRIOS'!$G$5:$G$500,"G",'LANÇAMENTOS DIÁRIOS'!$C$5:$C$500,$A43,'LANÇAMENTOS DIÁRIOS'!$O$5:$O$500,"&lt;=119579",'LANÇAMENTOS DIÁRIOS'!$P$5:$P$500,"&gt;=119480")&gt;0,"X","")</f>
      </c>
      <c r="X43" s="56" t="str">
        <f>IF(COUNTIFS('LANÇAMENTOS DIÁRIOS'!$G$5:$G$500,"G",'LANÇAMENTOS DIÁRIOS'!$C$5:$C$500,$A43,'LANÇAMENTOS DIÁRIOS'!$O$5:$O$500,"&lt;=119679",'LANÇAMENTOS DIÁRIOS'!$P$5:$P$500,"&gt;=119580")&gt;0,"X","")</f>
      </c>
      <c r="Y43" s="56" t="str">
        <f>IF(COUNTIFS('LANÇAMENTOS DIÁRIOS'!$G$5:$G$500,"G",'LANÇAMENTOS DIÁRIOS'!$C$5:$C$500,$A43,'LANÇAMENTOS DIÁRIOS'!$O$5:$O$500,"&lt;=119779",'LANÇAMENTOS DIÁRIOS'!$P$5:$P$500,"&gt;=119680")&gt;0,"X","")</f>
      </c>
      <c r="Z43" s="56" t="str">
        <f>IF(COUNTIFS('LANÇAMENTOS DIÁRIOS'!$G$5:$G$500,"G",'LANÇAMENTOS DIÁRIOS'!$C$5:$C$500,$A43,'LANÇAMENTOS DIÁRIOS'!$O$5:$O$500,"&lt;=119879",'LANÇAMENTOS DIÁRIOS'!$P$5:$P$500,"&gt;=119780")&gt;0,"X","")</f>
      </c>
      <c r="AA43" s="56" t="str">
        <f>IF(COUNTIFS('LANÇAMENTOS DIÁRIOS'!$G$5:$G$500,"G",'LANÇAMENTOS DIÁRIOS'!$C$5:$C$500,$A43,'LANÇAMENTOS DIÁRIOS'!$O$5:$O$500,"&lt;=119979",'LANÇAMENTOS DIÁRIOS'!$P$5:$P$500,"&gt;=119880")&gt;0,"X","")</f>
      </c>
      <c r="AB43" s="56" t="str">
        <f>IF(COUNTIFS('LANÇAMENTOS DIÁRIOS'!$G$5:$G$500,"G",'LANÇAMENTOS DIÁRIOS'!$C$5:$C$500,$A43,'LANÇAMENTOS DIÁRIOS'!$O$5:$O$500,"&lt;=120079",'LANÇAMENTOS DIÁRIOS'!$P$5:$P$500,"&gt;=119980")&gt;0,"X","")</f>
      </c>
      <c r="AC43" s="56" t="str">
        <f>IF(COUNTIFS('LANÇAMENTOS DIÁRIOS'!$G$5:$G$500,"G",'LANÇAMENTOS DIÁRIOS'!$C$5:$C$500,$A43,'LANÇAMENTOS DIÁRIOS'!$O$5:$O$500,"&lt;=120179",'LANÇAMENTOS DIÁRIOS'!$P$5:$P$500,"&gt;=120080")&gt;0,"X","")</f>
      </c>
      <c r="AD43" s="56" t="str">
        <f>IF(COUNTIFS('LANÇAMENTOS DIÁRIOS'!$G$5:$G$500,"G",'LANÇAMENTOS DIÁRIOS'!$C$5:$C$500,$A43,'LANÇAMENTOS DIÁRIOS'!$O$5:$O$500,"&lt;=120279",'LANÇAMENTOS DIÁRIOS'!$P$5:$P$500,"&gt;=120180")&gt;0,"X","")</f>
      </c>
      <c r="AE43" s="56" t="str">
        <f>IF(COUNTIFS('LANÇAMENTOS DIÁRIOS'!$G$5:$G$500,"G",'LANÇAMENTOS DIÁRIOS'!$C$5:$C$500,$A43,'LANÇAMENTOS DIÁRIOS'!$O$5:$O$500,"&lt;=120379",'LANÇAMENTOS DIÁRIOS'!$P$5:$P$500,"&gt;=120280")&gt;0,"X","")</f>
      </c>
      <c r="AF43" s="56" t="str">
        <f>IF(COUNTIFS('LANÇAMENTOS DIÁRIOS'!$G$5:$G$500,"G",'LANÇAMENTOS DIÁRIOS'!$C$5:$C$500,$A43,'LANÇAMENTOS DIÁRIOS'!$O$5:$O$500,"&lt;=120479",'LANÇAMENTOS DIÁRIOS'!$P$5:$P$500,"&gt;=120380")&gt;0,"X","")</f>
      </c>
      <c r="AG43" s="56" t="str">
        <f>IF(COUNTIFS('LANÇAMENTOS DIÁRIOS'!$G$5:$G$500,"G",'LANÇAMENTOS DIÁRIOS'!$C$5:$C$500,$A43,'LANÇAMENTOS DIÁRIOS'!$O$5:$O$500,"&lt;=120579",'LANÇAMENTOS DIÁRIOS'!$P$5:$P$500,"&gt;=120480")&gt;0,"X","")</f>
      </c>
      <c r="AH43" s="56" t="str">
        <f>IF(COUNTIFS('LANÇAMENTOS DIÁRIOS'!$G$5:$G$500,"G",'LANÇAMENTOS DIÁRIOS'!$C$5:$C$500,$A43,'LANÇAMENTOS DIÁRIOS'!$O$5:$O$500,"&lt;=120679",'LANÇAMENTOS DIÁRIOS'!$P$5:$P$500,"&gt;=120580")&gt;0,"X","")</f>
      </c>
      <c r="AI43" s="56" t="str">
        <f>IF(COUNTIFS('LANÇAMENTOS DIÁRIOS'!$G$5:$G$500,"G",'LANÇAMENTOS DIÁRIOS'!$C$5:$C$500,$A43,'LANÇAMENTOS DIÁRIOS'!$O$5:$O$500,"&lt;=120779",'LANÇAMENTOS DIÁRIOS'!$P$5:$P$500,"&gt;=120680")&gt;0,"X","")</f>
      </c>
      <c r="AJ43" s="56" t="str">
        <f>IF(COUNTIFS('LANÇAMENTOS DIÁRIOS'!$G$5:$G$500,"G",'LANÇAMENTOS DIÁRIOS'!$C$5:$C$500,$A43,'LANÇAMENTOS DIÁRIOS'!$O$5:$O$500,"&lt;=120879",'LANÇAMENTOS DIÁRIOS'!$P$5:$P$500,"&gt;=120780")&gt;0,"X","")</f>
      </c>
      <c r="AK43" s="56" t="str">
        <f>IF(COUNTIFS('LANÇAMENTOS DIÁRIOS'!$G$5:$G$500,"G",'LANÇAMENTOS DIÁRIOS'!$C$5:$C$500,$A43,'LANÇAMENTOS DIÁRIOS'!$O$5:$O$500,"&lt;=120979",'LANÇAMENTOS DIÁRIOS'!$P$5:$P$500,"&gt;=120880")&gt;0,"X","")</f>
      </c>
      <c r="AL43" s="56" t="str">
        <f>IF(COUNTIFS('LANÇAMENTOS DIÁRIOS'!$G$5:$G$500,"G",'LANÇAMENTOS DIÁRIOS'!$C$5:$C$500,$A43,'LANÇAMENTOS DIÁRIOS'!$O$5:$O$500,"&lt;=121079",'LANÇAMENTOS DIÁRIOS'!$P$5:$P$500,"&gt;=120980")&gt;0,"X","")</f>
      </c>
      <c r="AM43" s="56" t="str">
        <f>IF(COUNTIFS('LANÇAMENTOS DIÁRIOS'!$G$5:$G$500,"G",'LANÇAMENTOS DIÁRIOS'!$C$5:$C$500,$A43,'LANÇAMENTOS DIÁRIOS'!$O$5:$O$500,"&lt;=121179",'LANÇAMENTOS DIÁRIOS'!$P$5:$P$500,"&gt;=121080")&gt;0,"X","")</f>
      </c>
      <c r="AN43" s="56" t="str">
        <f>IF(COUNTIFS('LANÇAMENTOS DIÁRIOS'!$G$5:$G$500,"G",'LANÇAMENTOS DIÁRIOS'!$C$5:$C$500,$A43,'LANÇAMENTOS DIÁRIOS'!$O$5:$O$500,"&lt;=121279",'LANÇAMENTOS DIÁRIOS'!$P$5:$P$500,"&gt;=121180")&gt;0,"X","")</f>
      </c>
      <c r="AO43" s="56" t="str">
        <f>IF(COUNTIFS('LANÇAMENTOS DIÁRIOS'!$G$5:$G$500,"G",'LANÇAMENTOS DIÁRIOS'!$C$5:$C$500,$A43,'LANÇAMENTOS DIÁRIOS'!$O$5:$O$500,"&lt;=121379",'LANÇAMENTOS DIÁRIOS'!$P$5:$P$500,"&gt;=121280")&gt;0,"X","")</f>
      </c>
      <c r="AP43" s="56" t="str">
        <f>IF(COUNTIFS('LANÇAMENTOS DIÁRIOS'!$G$5:$G$500,"G",'LANÇAMENTOS DIÁRIOS'!$C$5:$C$500,$A43,'LANÇAMENTOS DIÁRIOS'!$O$5:$O$500,"&lt;=121479",'LANÇAMENTOS DIÁRIOS'!$P$5:$P$500,"&gt;=121380")&gt;0,"X","")</f>
      </c>
      <c r="AQ43" s="56" t="str">
        <f>IF(COUNTIFS('LANÇAMENTOS DIÁRIOS'!$G$5:$G$500,"G",'LANÇAMENTOS DIÁRIOS'!$C$5:$C$500,$A43,'LANÇAMENTOS DIÁRIOS'!$O$5:$O$500,"&lt;=121579",'LANÇAMENTOS DIÁRIOS'!$P$5:$P$500,"&gt;=121480")&gt;0,"X","")</f>
      </c>
      <c r="AR43" s="56" t="str">
        <f>IF(COUNTIFS('LANÇAMENTOS DIÁRIOS'!$G$5:$G$500,"G",'LANÇAMENTOS DIÁRIOS'!$C$5:$C$500,$A43,'LANÇAMENTOS DIÁRIOS'!$O$5:$O$500,"&lt;=121679",'LANÇAMENTOS DIÁRIOS'!$P$5:$P$500,"&gt;=121580")&gt;0,"X","")</f>
      </c>
      <c r="AS43" s="56" t="str">
        <f>IF(COUNTIFS('LANÇAMENTOS DIÁRIOS'!$G$5:$G$500,"G",'LANÇAMENTOS DIÁRIOS'!$C$5:$C$500,$A43,'LANÇAMENTOS DIÁRIOS'!$O$5:$O$500,"&lt;=121779",'LANÇAMENTOS DIÁRIOS'!$P$5:$P$500,"&gt;=121680")&gt;0,"X","")</f>
      </c>
      <c r="AT43" s="56" t="str">
        <f>IF(COUNTIFS('LANÇAMENTOS DIÁRIOS'!$G$5:$G$500,"G",'LANÇAMENTOS DIÁRIOS'!$C$5:$C$500,$A43,'LANÇAMENTOS DIÁRIOS'!$O$5:$O$500,"&lt;=121879",'LANÇAMENTOS DIÁRIOS'!$P$5:$P$500,"&gt;=121780")&gt;0,"X","")</f>
      </c>
      <c r="AU43" s="56" t="str">
        <f>IF(COUNTIFS('LANÇAMENTOS DIÁRIOS'!$G$5:$G$500,"G",'LANÇAMENTOS DIÁRIOS'!$C$5:$C$500,$A43,'LANÇAMENTOS DIÁRIOS'!$O$5:$O$500,"&lt;=121979",'LANÇAMENTOS DIÁRIOS'!$P$5:$P$500,"&gt;=121880")&gt;0,"X","")</f>
      </c>
      <c r="AV43" s="56" t="str">
        <f>IF(COUNTIFS('LANÇAMENTOS DIÁRIOS'!$G$5:$G$500,"G",'LANÇAMENTOS DIÁRIOS'!$C$5:$C$500,$A43,'LANÇAMENTOS DIÁRIOS'!$O$5:$O$500,"&lt;=122079",'LANÇAMENTOS DIÁRIOS'!$P$5:$P$500,"&gt;=121980")&gt;0,"X","")</f>
      </c>
      <c r="AW43" s="56" t="str">
        <f>IF(COUNTIFS('LANÇAMENTOS DIÁRIOS'!$G$5:$G$500,"G",'LANÇAMENTOS DIÁRIOS'!$C$5:$C$500,$A43,'LANÇAMENTOS DIÁRIOS'!$O$5:$O$500,"&lt;=122179",'LANÇAMENTOS DIÁRIOS'!$P$5:$P$500,"&gt;=122080")&gt;0,"X","")</f>
      </c>
      <c r="AX43" s="56" t="str">
        <f>IF(COUNTIFS('LANÇAMENTOS DIÁRIOS'!$G$5:$G$500,"G",'LANÇAMENTOS DIÁRIOS'!$C$5:$C$500,$A43,'LANÇAMENTOS DIÁRIOS'!$O$5:$O$500,"&lt;=122279",'LANÇAMENTOS DIÁRIOS'!$P$5:$P$500,"&gt;=122180")&gt;0,"X","")</f>
      </c>
      <c r="AY43" s="56" t="str">
        <f>IF(COUNTIFS('LANÇAMENTOS DIÁRIOS'!$G$5:$G$500,"G",'LANÇAMENTOS DIÁRIOS'!$C$5:$C$500,$A43,'LANÇAMENTOS DIÁRIOS'!$O$5:$O$500,"&lt;=122379",'LANÇAMENTOS DIÁRIOS'!$P$5:$P$500,"&gt;=122280")&gt;0,"X","")</f>
      </c>
      <c r="AZ43" s="56" t="str">
        <f>IF(COUNTIFS('LANÇAMENTOS DIÁRIOS'!$G$5:$G$500,"G",'LANÇAMENTOS DIÁRIOS'!$C$5:$C$500,$A43,'LANÇAMENTOS DIÁRIOS'!$O$5:$O$500,"&lt;=122479",'LANÇAMENTOS DIÁRIOS'!$P$5:$P$500,"&gt;=122380")&gt;0,"X","")</f>
      </c>
      <c r="BA43" s="56" t="str">
        <f>IF(COUNTIFS('LANÇAMENTOS DIÁRIOS'!$G$5:$G$500,"G",'LANÇAMENTOS DIÁRIOS'!$C$5:$C$500,$A43,'LANÇAMENTOS DIÁRIOS'!$O$5:$O$500,"&lt;=122579",'LANÇAMENTOS DIÁRIOS'!$P$5:$P$500,"&gt;=122480")&gt;0,"X","")</f>
      </c>
      <c r="BB43" s="56" t="str">
        <f>IF(COUNTIFS('LANÇAMENTOS DIÁRIOS'!$G$5:$G$500,"G",'LANÇAMENTOS DIÁRIOS'!$C$5:$C$500,$A43,'LANÇAMENTOS DIÁRIOS'!$O$5:$O$500,"&lt;=122679",'LANÇAMENTOS DIÁRIOS'!$P$5:$P$500,"&gt;=122580")&gt;0,"X","")</f>
      </c>
      <c r="BC43" s="56" t="str">
        <f>IF(COUNTIFS('LANÇAMENTOS DIÁRIOS'!$G$5:$G$500,"G",'LANÇAMENTOS DIÁRIOS'!$C$5:$C$500,$A43,'LANÇAMENTOS DIÁRIOS'!$O$5:$O$500,"&lt;=122779",'LANÇAMENTOS DIÁRIOS'!$P$5:$P$500,"&gt;=122680")&gt;0,"X","")</f>
      </c>
      <c r="BD43" s="56" t="str">
        <f>IF(COUNTIFS('LANÇAMENTOS DIÁRIOS'!$G$5:$G$500,"G",'LANÇAMENTOS DIÁRIOS'!$C$5:$C$500,$A43,'LANÇAMENTOS DIÁRIOS'!$O$5:$O$500,"&lt;=122879",'LANÇAMENTOS DIÁRIOS'!$P$5:$P$500,"&gt;=122780")&gt;0,"X","")</f>
      </c>
      <c r="BE43" s="56" t="str">
        <f>IF(COUNTIFS('LANÇAMENTOS DIÁRIOS'!$G$5:$G$500,"G",'LANÇAMENTOS DIÁRIOS'!$C$5:$C$500,$A43,'LANÇAMENTOS DIÁRIOS'!$O$5:$O$500,"&lt;=122979",'LANÇAMENTOS DIÁRIOS'!$P$5:$P$500,"&gt;=122880")&gt;0,"X","")</f>
      </c>
      <c r="BF43" s="56" t="str">
        <f>IF(COUNTIFS('LANÇAMENTOS DIÁRIOS'!$G$5:$G$500,"G",'LANÇAMENTOS DIÁRIOS'!$C$5:$C$500,$A43,'LANÇAMENTOS DIÁRIOS'!$O$5:$O$500,"&lt;=123079",'LANÇAMENTOS DIÁRIOS'!$P$5:$P$500,"&gt;=122980")&gt;0,"X","")</f>
      </c>
      <c r="BG43" s="56" t="str">
        <f>IF(COUNTIFS('LANÇAMENTOS DIÁRIOS'!$G$5:$G$500,"G",'LANÇAMENTOS DIÁRIOS'!$C$5:$C$500,$A43,'LANÇAMENTOS DIÁRIOS'!$O$5:$O$500,"&lt;=123179",'LANÇAMENTOS DIÁRIOS'!$P$5:$P$500,"&gt;=123080")&gt;0,"X","")</f>
      </c>
      <c r="BH43" s="56" t="str">
        <f>IF(COUNTIFS('LANÇAMENTOS DIÁRIOS'!$G$5:$G$500,"G",'LANÇAMENTOS DIÁRIOS'!$C$5:$C$500,$A43,'LANÇAMENTOS DIÁRIOS'!$O$5:$O$500,"&lt;=123279",'LANÇAMENTOS DIÁRIOS'!$P$5:$P$500,"&gt;=123180")&gt;0,"X","")</f>
      </c>
      <c r="BI43" s="56" t="str">
        <f>IF(COUNTIFS('LANÇAMENTOS DIÁRIOS'!$G$5:$G$500,"G",'LANÇAMENTOS DIÁRIOS'!$C$5:$C$500,$A43,'LANÇAMENTOS DIÁRIOS'!$O$5:$O$500,"&lt;=123379",'LANÇAMENTOS DIÁRIOS'!$P$5:$P$500,"&gt;=123280")&gt;0,"X","")</f>
      </c>
      <c r="BJ43" s="56" t="str">
        <f>IF(COUNTIFS('LANÇAMENTOS DIÁRIOS'!$G$5:$G$500,"G",'LANÇAMENTOS DIÁRIOS'!$C$5:$C$500,$A43,'LANÇAMENTOS DIÁRIOS'!$O$5:$O$500,"&lt;=123479",'LANÇAMENTOS DIÁRIOS'!$P$5:$P$500,"&gt;=123380")&gt;0,"X","")</f>
      </c>
      <c r="BK43" s="56" t="str">
        <f>IF(COUNTIFS('LANÇAMENTOS DIÁRIOS'!$G$5:$G$500,"G",'LANÇAMENTOS DIÁRIOS'!$C$5:$C$500,$A43,'LANÇAMENTOS DIÁRIOS'!$O$5:$O$500,"&lt;=123480",'LANÇAMENTOS DIÁRIOS'!$P$5:$P$500,"&gt;=123480")&gt;0,"X","")</f>
      </c>
    </row>
    <row r="44" ht="19" customHeight="1">
      <c r="A44" s="68" t="str">
        <v>Aterro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</row>
    <row r="45">
      <c r="A45" s="51" t="str">
        <v>Compactação de aterro a 95% do proctor normal</v>
      </c>
      <c r="B45" s="56" t="str">
        <f>IF(COUNTIFS('LANÇAMENTOS DIÁRIOS'!$G$5:$G$500,"G",'LANÇAMENTOS DIÁRIOS'!$C$5:$C$500,$A45,'LANÇAMENTOS DIÁRIOS'!$O$5:$O$500,"&lt;=117479",'LANÇAMENTOS DIÁRIOS'!$P$5:$P$500,"&gt;=117380")&gt;0,"X","")</f>
      </c>
      <c r="C45" s="56" t="str">
        <f>IF(COUNTIFS('LANÇAMENTOS DIÁRIOS'!$G$5:$G$500,"G",'LANÇAMENTOS DIÁRIOS'!$C$5:$C$500,$A45,'LANÇAMENTOS DIÁRIOS'!$O$5:$O$500,"&lt;=117579",'LANÇAMENTOS DIÁRIOS'!$P$5:$P$500,"&gt;=117480")&gt;0,"X","")</f>
      </c>
      <c r="D45" s="56" t="str">
        <f>IF(COUNTIFS('LANÇAMENTOS DIÁRIOS'!$G$5:$G$500,"G",'LANÇAMENTOS DIÁRIOS'!$C$5:$C$500,$A45,'LANÇAMENTOS DIÁRIOS'!$O$5:$O$500,"&lt;=117679",'LANÇAMENTOS DIÁRIOS'!$P$5:$P$500,"&gt;=117580")&gt;0,"X","")</f>
      </c>
      <c r="E45" s="56" t="str">
        <f>IF(COUNTIFS('LANÇAMENTOS DIÁRIOS'!$G$5:$G$500,"G",'LANÇAMENTOS DIÁRIOS'!$C$5:$C$500,$A45,'LANÇAMENTOS DIÁRIOS'!$O$5:$O$500,"&lt;=117779",'LANÇAMENTOS DIÁRIOS'!$P$5:$P$500,"&gt;=117680")&gt;0,"X","")</f>
      </c>
      <c r="F45" s="56" t="str">
        <f>IF(COUNTIFS('LANÇAMENTOS DIÁRIOS'!$G$5:$G$500,"G",'LANÇAMENTOS DIÁRIOS'!$C$5:$C$500,$A45,'LANÇAMENTOS DIÁRIOS'!$O$5:$O$500,"&lt;=117879",'LANÇAMENTOS DIÁRIOS'!$P$5:$P$500,"&gt;=117780")&gt;0,"X","")</f>
      </c>
      <c r="G45" s="56" t="str">
        <f>IF(COUNTIFS('LANÇAMENTOS DIÁRIOS'!$G$5:$G$500,"G",'LANÇAMENTOS DIÁRIOS'!$C$5:$C$500,$A45,'LANÇAMENTOS DIÁRIOS'!$O$5:$O$500,"&lt;=117979",'LANÇAMENTOS DIÁRIOS'!$P$5:$P$500,"&gt;=117880")&gt;0,"X","")</f>
      </c>
      <c r="H45" s="56" t="str">
        <f>IF(COUNTIFS('LANÇAMENTOS DIÁRIOS'!$G$5:$G$500,"G",'LANÇAMENTOS DIÁRIOS'!$C$5:$C$500,$A45,'LANÇAMENTOS DIÁRIOS'!$O$5:$O$500,"&lt;=118079",'LANÇAMENTOS DIÁRIOS'!$P$5:$P$500,"&gt;=117980")&gt;0,"X","")</f>
      </c>
      <c r="I45" s="56" t="str">
        <f>IF(COUNTIFS('LANÇAMENTOS DIÁRIOS'!$G$5:$G$500,"G",'LANÇAMENTOS DIÁRIOS'!$C$5:$C$500,$A45,'LANÇAMENTOS DIÁRIOS'!$O$5:$O$500,"&lt;=118179",'LANÇAMENTOS DIÁRIOS'!$P$5:$P$500,"&gt;=118080")&gt;0,"X","")</f>
      </c>
      <c r="J45" s="56" t="str">
        <f>IF(COUNTIFS('LANÇAMENTOS DIÁRIOS'!$G$5:$G$500,"G",'LANÇAMENTOS DIÁRIOS'!$C$5:$C$500,$A45,'LANÇAMENTOS DIÁRIOS'!$O$5:$O$500,"&lt;=118279",'LANÇAMENTOS DIÁRIOS'!$P$5:$P$500,"&gt;=118180")&gt;0,"X","")</f>
      </c>
      <c r="K45" s="56" t="str">
        <f>IF(COUNTIFS('LANÇAMENTOS DIÁRIOS'!$G$5:$G$500,"G",'LANÇAMENTOS DIÁRIOS'!$C$5:$C$500,$A45,'LANÇAMENTOS DIÁRIOS'!$O$5:$O$500,"&lt;=118379",'LANÇAMENTOS DIÁRIOS'!$P$5:$P$500,"&gt;=118280")&gt;0,"X","")</f>
      </c>
      <c r="L45" s="56" t="str">
        <f>IF(COUNTIFS('LANÇAMENTOS DIÁRIOS'!$G$5:$G$500,"G",'LANÇAMENTOS DIÁRIOS'!$C$5:$C$500,$A45,'LANÇAMENTOS DIÁRIOS'!$O$5:$O$500,"&lt;=118479",'LANÇAMENTOS DIÁRIOS'!$P$5:$P$500,"&gt;=118380")&gt;0,"X","")</f>
      </c>
      <c r="M45" s="56" t="str">
        <f>IF(COUNTIFS('LANÇAMENTOS DIÁRIOS'!$G$5:$G$500,"G",'LANÇAMENTOS DIÁRIOS'!$C$5:$C$500,$A45,'LANÇAMENTOS DIÁRIOS'!$O$5:$O$500,"&lt;=118579",'LANÇAMENTOS DIÁRIOS'!$P$5:$P$500,"&gt;=118480")&gt;0,"X","")</f>
      </c>
      <c r="N45" s="56" t="str">
        <f>IF(COUNTIFS('LANÇAMENTOS DIÁRIOS'!$G$5:$G$500,"G",'LANÇAMENTOS DIÁRIOS'!$C$5:$C$500,$A45,'LANÇAMENTOS DIÁRIOS'!$O$5:$O$500,"&lt;=118679",'LANÇAMENTOS DIÁRIOS'!$P$5:$P$500,"&gt;=118580")&gt;0,"X","")</f>
      </c>
      <c r="O45" s="56" t="str">
        <f>IF(COUNTIFS('LANÇAMENTOS DIÁRIOS'!$G$5:$G$500,"G",'LANÇAMENTOS DIÁRIOS'!$C$5:$C$500,$A45,'LANÇAMENTOS DIÁRIOS'!$O$5:$O$500,"&lt;=118779",'LANÇAMENTOS DIÁRIOS'!$P$5:$P$500,"&gt;=118680")&gt;0,"X","")</f>
      </c>
      <c r="P45" s="56" t="str">
        <f>IF(COUNTIFS('LANÇAMENTOS DIÁRIOS'!$G$5:$G$500,"G",'LANÇAMENTOS DIÁRIOS'!$C$5:$C$500,$A45,'LANÇAMENTOS DIÁRIOS'!$O$5:$O$500,"&lt;=118879",'LANÇAMENTOS DIÁRIOS'!$P$5:$P$500,"&gt;=118780")&gt;0,"X","")</f>
      </c>
      <c r="Q45" s="56" t="str">
        <f>IF(COUNTIFS('LANÇAMENTOS DIÁRIOS'!$G$5:$G$500,"G",'LANÇAMENTOS DIÁRIOS'!$C$5:$C$500,$A45,'LANÇAMENTOS DIÁRIOS'!$O$5:$O$500,"&lt;=118979",'LANÇAMENTOS DIÁRIOS'!$P$5:$P$500,"&gt;=118880")&gt;0,"X","")</f>
      </c>
      <c r="R45" s="56" t="str">
        <f>IF(COUNTIFS('LANÇAMENTOS DIÁRIOS'!$G$5:$G$500,"G",'LANÇAMENTOS DIÁRIOS'!$C$5:$C$500,$A45,'LANÇAMENTOS DIÁRIOS'!$O$5:$O$500,"&lt;=119079",'LANÇAMENTOS DIÁRIOS'!$P$5:$P$500,"&gt;=118980")&gt;0,"X","")</f>
      </c>
      <c r="S45" s="56" t="str">
        <f>IF(COUNTIFS('LANÇAMENTOS DIÁRIOS'!$G$5:$G$500,"G",'LANÇAMENTOS DIÁRIOS'!$C$5:$C$500,$A45,'LANÇAMENTOS DIÁRIOS'!$O$5:$O$500,"&lt;=119179",'LANÇAMENTOS DIÁRIOS'!$P$5:$P$500,"&gt;=119080")&gt;0,"X","")</f>
      </c>
      <c r="T45" s="56" t="str">
        <f>IF(COUNTIFS('LANÇAMENTOS DIÁRIOS'!$G$5:$G$500,"G",'LANÇAMENTOS DIÁRIOS'!$C$5:$C$500,$A45,'LANÇAMENTOS DIÁRIOS'!$O$5:$O$500,"&lt;=119279",'LANÇAMENTOS DIÁRIOS'!$P$5:$P$500,"&gt;=119180")&gt;0,"X","")</f>
      </c>
      <c r="U45" s="56" t="str">
        <f>IF(COUNTIFS('LANÇAMENTOS DIÁRIOS'!$G$5:$G$500,"G",'LANÇAMENTOS DIÁRIOS'!$C$5:$C$500,$A45,'LANÇAMENTOS DIÁRIOS'!$O$5:$O$500,"&lt;=119379",'LANÇAMENTOS DIÁRIOS'!$P$5:$P$500,"&gt;=119280")&gt;0,"X","")</f>
      </c>
      <c r="V45" s="56" t="str">
        <f>IF(COUNTIFS('LANÇAMENTOS DIÁRIOS'!$G$5:$G$500,"G",'LANÇAMENTOS DIÁRIOS'!$C$5:$C$500,$A45,'LANÇAMENTOS DIÁRIOS'!$O$5:$O$500,"&lt;=119479",'LANÇAMENTOS DIÁRIOS'!$P$5:$P$500,"&gt;=119380")&gt;0,"X","")</f>
      </c>
      <c r="W45" s="56" t="str">
        <f>IF(COUNTIFS('LANÇAMENTOS DIÁRIOS'!$G$5:$G$500,"G",'LANÇAMENTOS DIÁRIOS'!$C$5:$C$500,$A45,'LANÇAMENTOS DIÁRIOS'!$O$5:$O$500,"&lt;=119579",'LANÇAMENTOS DIÁRIOS'!$P$5:$P$500,"&gt;=119480")&gt;0,"X","")</f>
      </c>
      <c r="X45" s="56" t="str">
        <f>IF(COUNTIFS('LANÇAMENTOS DIÁRIOS'!$G$5:$G$500,"G",'LANÇAMENTOS DIÁRIOS'!$C$5:$C$500,$A45,'LANÇAMENTOS DIÁRIOS'!$O$5:$O$500,"&lt;=119679",'LANÇAMENTOS DIÁRIOS'!$P$5:$P$500,"&gt;=119580")&gt;0,"X","")</f>
      </c>
      <c r="Y45" s="56" t="str">
        <f>IF(COUNTIFS('LANÇAMENTOS DIÁRIOS'!$G$5:$G$500,"G",'LANÇAMENTOS DIÁRIOS'!$C$5:$C$500,$A45,'LANÇAMENTOS DIÁRIOS'!$O$5:$O$500,"&lt;=119779",'LANÇAMENTOS DIÁRIOS'!$P$5:$P$500,"&gt;=119680")&gt;0,"X","")</f>
      </c>
      <c r="Z45" s="56" t="str">
        <f>IF(COUNTIFS('LANÇAMENTOS DIÁRIOS'!$G$5:$G$500,"G",'LANÇAMENTOS DIÁRIOS'!$C$5:$C$500,$A45,'LANÇAMENTOS DIÁRIOS'!$O$5:$O$500,"&lt;=119879",'LANÇAMENTOS DIÁRIOS'!$P$5:$P$500,"&gt;=119780")&gt;0,"X","")</f>
      </c>
      <c r="AA45" s="56" t="str">
        <f>IF(COUNTIFS('LANÇAMENTOS DIÁRIOS'!$G$5:$G$500,"G",'LANÇAMENTOS DIÁRIOS'!$C$5:$C$500,$A45,'LANÇAMENTOS DIÁRIOS'!$O$5:$O$500,"&lt;=119979",'LANÇAMENTOS DIÁRIOS'!$P$5:$P$500,"&gt;=119880")&gt;0,"X","")</f>
      </c>
      <c r="AB45" s="56" t="str">
        <f>IF(COUNTIFS('LANÇAMENTOS DIÁRIOS'!$G$5:$G$500,"G",'LANÇAMENTOS DIÁRIOS'!$C$5:$C$500,$A45,'LANÇAMENTOS DIÁRIOS'!$O$5:$O$500,"&lt;=120079",'LANÇAMENTOS DIÁRIOS'!$P$5:$P$500,"&gt;=119980")&gt;0,"X","")</f>
      </c>
      <c r="AC45" s="56" t="str">
        <f>IF(COUNTIFS('LANÇAMENTOS DIÁRIOS'!$G$5:$G$500,"G",'LANÇAMENTOS DIÁRIOS'!$C$5:$C$500,$A45,'LANÇAMENTOS DIÁRIOS'!$O$5:$O$500,"&lt;=120179",'LANÇAMENTOS DIÁRIOS'!$P$5:$P$500,"&gt;=120080")&gt;0,"X","")</f>
      </c>
      <c r="AD45" s="56" t="str">
        <f>IF(COUNTIFS('LANÇAMENTOS DIÁRIOS'!$G$5:$G$500,"G",'LANÇAMENTOS DIÁRIOS'!$C$5:$C$500,$A45,'LANÇAMENTOS DIÁRIOS'!$O$5:$O$500,"&lt;=120279",'LANÇAMENTOS DIÁRIOS'!$P$5:$P$500,"&gt;=120180")&gt;0,"X","")</f>
      </c>
      <c r="AE45" s="56" t="str">
        <f>IF(COUNTIFS('LANÇAMENTOS DIÁRIOS'!$G$5:$G$500,"G",'LANÇAMENTOS DIÁRIOS'!$C$5:$C$500,$A45,'LANÇAMENTOS DIÁRIOS'!$O$5:$O$500,"&lt;=120379",'LANÇAMENTOS DIÁRIOS'!$P$5:$P$500,"&gt;=120280")&gt;0,"X","")</f>
      </c>
      <c r="AF45" s="56" t="str">
        <f>IF(COUNTIFS('LANÇAMENTOS DIÁRIOS'!$G$5:$G$500,"G",'LANÇAMENTOS DIÁRIOS'!$C$5:$C$500,$A45,'LANÇAMENTOS DIÁRIOS'!$O$5:$O$500,"&lt;=120479",'LANÇAMENTOS DIÁRIOS'!$P$5:$P$500,"&gt;=120380")&gt;0,"X","")</f>
      </c>
      <c r="AG45" s="56" t="str">
        <f>IF(COUNTIFS('LANÇAMENTOS DIÁRIOS'!$G$5:$G$500,"G",'LANÇAMENTOS DIÁRIOS'!$C$5:$C$500,$A45,'LANÇAMENTOS DIÁRIOS'!$O$5:$O$500,"&lt;=120579",'LANÇAMENTOS DIÁRIOS'!$P$5:$P$500,"&gt;=120480")&gt;0,"X","")</f>
      </c>
      <c r="AH45" s="56" t="str">
        <f>IF(COUNTIFS('LANÇAMENTOS DIÁRIOS'!$G$5:$G$500,"G",'LANÇAMENTOS DIÁRIOS'!$C$5:$C$500,$A45,'LANÇAMENTOS DIÁRIOS'!$O$5:$O$500,"&lt;=120679",'LANÇAMENTOS DIÁRIOS'!$P$5:$P$500,"&gt;=120580")&gt;0,"X","")</f>
      </c>
      <c r="AI45" s="56" t="str">
        <f>IF(COUNTIFS('LANÇAMENTOS DIÁRIOS'!$G$5:$G$500,"G",'LANÇAMENTOS DIÁRIOS'!$C$5:$C$500,$A45,'LANÇAMENTOS DIÁRIOS'!$O$5:$O$500,"&lt;=120779",'LANÇAMENTOS DIÁRIOS'!$P$5:$P$500,"&gt;=120680")&gt;0,"X","")</f>
      </c>
      <c r="AJ45" s="56" t="str">
        <f>IF(COUNTIFS('LANÇAMENTOS DIÁRIOS'!$G$5:$G$500,"G",'LANÇAMENTOS DIÁRIOS'!$C$5:$C$500,$A45,'LANÇAMENTOS DIÁRIOS'!$O$5:$O$500,"&lt;=120879",'LANÇAMENTOS DIÁRIOS'!$P$5:$P$500,"&gt;=120780")&gt;0,"X","")</f>
      </c>
      <c r="AK45" s="56" t="str">
        <f>IF(COUNTIFS('LANÇAMENTOS DIÁRIOS'!$G$5:$G$500,"G",'LANÇAMENTOS DIÁRIOS'!$C$5:$C$500,$A45,'LANÇAMENTOS DIÁRIOS'!$O$5:$O$500,"&lt;=120979",'LANÇAMENTOS DIÁRIOS'!$P$5:$P$500,"&gt;=120880")&gt;0,"X","")</f>
      </c>
      <c r="AL45" s="56" t="str">
        <f>IF(COUNTIFS('LANÇAMENTOS DIÁRIOS'!$G$5:$G$500,"G",'LANÇAMENTOS DIÁRIOS'!$C$5:$C$500,$A45,'LANÇAMENTOS DIÁRIOS'!$O$5:$O$500,"&lt;=121079",'LANÇAMENTOS DIÁRIOS'!$P$5:$P$500,"&gt;=120980")&gt;0,"X","")</f>
      </c>
      <c r="AM45" s="56" t="str">
        <f>IF(COUNTIFS('LANÇAMENTOS DIÁRIOS'!$G$5:$G$500,"G",'LANÇAMENTOS DIÁRIOS'!$C$5:$C$500,$A45,'LANÇAMENTOS DIÁRIOS'!$O$5:$O$500,"&lt;=121179",'LANÇAMENTOS DIÁRIOS'!$P$5:$P$500,"&gt;=121080")&gt;0,"X","")</f>
      </c>
      <c r="AN45" s="56" t="str">
        <f>IF(COUNTIFS('LANÇAMENTOS DIÁRIOS'!$G$5:$G$500,"G",'LANÇAMENTOS DIÁRIOS'!$C$5:$C$500,$A45,'LANÇAMENTOS DIÁRIOS'!$O$5:$O$500,"&lt;=121279",'LANÇAMENTOS DIÁRIOS'!$P$5:$P$500,"&gt;=121180")&gt;0,"X","")</f>
      </c>
      <c r="AO45" s="56" t="str">
        <f>IF(COUNTIFS('LANÇAMENTOS DIÁRIOS'!$G$5:$G$500,"G",'LANÇAMENTOS DIÁRIOS'!$C$5:$C$500,$A45,'LANÇAMENTOS DIÁRIOS'!$O$5:$O$500,"&lt;=121379",'LANÇAMENTOS DIÁRIOS'!$P$5:$P$500,"&gt;=121280")&gt;0,"X","")</f>
      </c>
      <c r="AP45" s="56" t="str">
        <f>IF(COUNTIFS('LANÇAMENTOS DIÁRIOS'!$G$5:$G$500,"G",'LANÇAMENTOS DIÁRIOS'!$C$5:$C$500,$A45,'LANÇAMENTOS DIÁRIOS'!$O$5:$O$500,"&lt;=121479",'LANÇAMENTOS DIÁRIOS'!$P$5:$P$500,"&gt;=121380")&gt;0,"X","")</f>
      </c>
      <c r="AQ45" s="56" t="str">
        <f>IF(COUNTIFS('LANÇAMENTOS DIÁRIOS'!$G$5:$G$500,"G",'LANÇAMENTOS DIÁRIOS'!$C$5:$C$500,$A45,'LANÇAMENTOS DIÁRIOS'!$O$5:$O$500,"&lt;=121579",'LANÇAMENTOS DIÁRIOS'!$P$5:$P$500,"&gt;=121480")&gt;0,"X","")</f>
      </c>
      <c r="AR45" s="56" t="str">
        <f>IF(COUNTIFS('LANÇAMENTOS DIÁRIOS'!$G$5:$G$500,"G",'LANÇAMENTOS DIÁRIOS'!$C$5:$C$500,$A45,'LANÇAMENTOS DIÁRIOS'!$O$5:$O$500,"&lt;=121679",'LANÇAMENTOS DIÁRIOS'!$P$5:$P$500,"&gt;=121580")&gt;0,"X","")</f>
      </c>
      <c r="AS45" s="56" t="str">
        <f>IF(COUNTIFS('LANÇAMENTOS DIÁRIOS'!$G$5:$G$500,"G",'LANÇAMENTOS DIÁRIOS'!$C$5:$C$500,$A45,'LANÇAMENTOS DIÁRIOS'!$O$5:$O$500,"&lt;=121779",'LANÇAMENTOS DIÁRIOS'!$P$5:$P$500,"&gt;=121680")&gt;0,"X","")</f>
      </c>
      <c r="AT45" s="56" t="str">
        <f>IF(COUNTIFS('LANÇAMENTOS DIÁRIOS'!$G$5:$G$500,"G",'LANÇAMENTOS DIÁRIOS'!$C$5:$C$500,$A45,'LANÇAMENTOS DIÁRIOS'!$O$5:$O$500,"&lt;=121879",'LANÇAMENTOS DIÁRIOS'!$P$5:$P$500,"&gt;=121780")&gt;0,"X","")</f>
      </c>
      <c r="AU45" s="56" t="str">
        <f>IF(COUNTIFS('LANÇAMENTOS DIÁRIOS'!$G$5:$G$500,"G",'LANÇAMENTOS DIÁRIOS'!$C$5:$C$500,$A45,'LANÇAMENTOS DIÁRIOS'!$O$5:$O$500,"&lt;=121979",'LANÇAMENTOS DIÁRIOS'!$P$5:$P$500,"&gt;=121880")&gt;0,"X","")</f>
      </c>
      <c r="AV45" s="56" t="str">
        <f>IF(COUNTIFS('LANÇAMENTOS DIÁRIOS'!$G$5:$G$500,"G",'LANÇAMENTOS DIÁRIOS'!$C$5:$C$500,$A45,'LANÇAMENTOS DIÁRIOS'!$O$5:$O$500,"&lt;=122079",'LANÇAMENTOS DIÁRIOS'!$P$5:$P$500,"&gt;=121980")&gt;0,"X","")</f>
      </c>
      <c r="AW45" s="56" t="str">
        <f>IF(COUNTIFS('LANÇAMENTOS DIÁRIOS'!$G$5:$G$500,"G",'LANÇAMENTOS DIÁRIOS'!$C$5:$C$500,$A45,'LANÇAMENTOS DIÁRIOS'!$O$5:$O$500,"&lt;=122179",'LANÇAMENTOS DIÁRIOS'!$P$5:$P$500,"&gt;=122080")&gt;0,"X","")</f>
      </c>
      <c r="AX45" s="56" t="str">
        <f>IF(COUNTIFS('LANÇAMENTOS DIÁRIOS'!$G$5:$G$500,"G",'LANÇAMENTOS DIÁRIOS'!$C$5:$C$500,$A45,'LANÇAMENTOS DIÁRIOS'!$O$5:$O$500,"&lt;=122279",'LANÇAMENTOS DIÁRIOS'!$P$5:$P$500,"&gt;=122180")&gt;0,"X","")</f>
      </c>
      <c r="AY45" s="56" t="str">
        <f>IF(COUNTIFS('LANÇAMENTOS DIÁRIOS'!$G$5:$G$500,"G",'LANÇAMENTOS DIÁRIOS'!$C$5:$C$500,$A45,'LANÇAMENTOS DIÁRIOS'!$O$5:$O$500,"&lt;=122379",'LANÇAMENTOS DIÁRIOS'!$P$5:$P$500,"&gt;=122280")&gt;0,"X","")</f>
      </c>
      <c r="AZ45" s="56" t="str">
        <f>IF(COUNTIFS('LANÇAMENTOS DIÁRIOS'!$G$5:$G$500,"G",'LANÇAMENTOS DIÁRIOS'!$C$5:$C$500,$A45,'LANÇAMENTOS DIÁRIOS'!$O$5:$O$500,"&lt;=122479",'LANÇAMENTOS DIÁRIOS'!$P$5:$P$500,"&gt;=122380")&gt;0,"X","")</f>
      </c>
      <c r="BA45" s="56" t="str">
        <f>IF(COUNTIFS('LANÇAMENTOS DIÁRIOS'!$G$5:$G$500,"G",'LANÇAMENTOS DIÁRIOS'!$C$5:$C$500,$A45,'LANÇAMENTOS DIÁRIOS'!$O$5:$O$500,"&lt;=122579",'LANÇAMENTOS DIÁRIOS'!$P$5:$P$500,"&gt;=122480")&gt;0,"X","")</f>
      </c>
      <c r="BB45" s="56" t="str">
        <f>IF(COUNTIFS('LANÇAMENTOS DIÁRIOS'!$G$5:$G$500,"G",'LANÇAMENTOS DIÁRIOS'!$C$5:$C$500,$A45,'LANÇAMENTOS DIÁRIOS'!$O$5:$O$500,"&lt;=122679",'LANÇAMENTOS DIÁRIOS'!$P$5:$P$500,"&gt;=122580")&gt;0,"X","")</f>
      </c>
      <c r="BC45" s="56" t="str">
        <f>IF(COUNTIFS('LANÇAMENTOS DIÁRIOS'!$G$5:$G$500,"G",'LANÇAMENTOS DIÁRIOS'!$C$5:$C$500,$A45,'LANÇAMENTOS DIÁRIOS'!$O$5:$O$500,"&lt;=122779",'LANÇAMENTOS DIÁRIOS'!$P$5:$P$500,"&gt;=122680")&gt;0,"X","")</f>
      </c>
      <c r="BD45" s="56" t="str">
        <f>IF(COUNTIFS('LANÇAMENTOS DIÁRIOS'!$G$5:$G$500,"G",'LANÇAMENTOS DIÁRIOS'!$C$5:$C$500,$A45,'LANÇAMENTOS DIÁRIOS'!$O$5:$O$500,"&lt;=122879",'LANÇAMENTOS DIÁRIOS'!$P$5:$P$500,"&gt;=122780")&gt;0,"X","")</f>
      </c>
      <c r="BE45" s="56" t="str">
        <f>IF(COUNTIFS('LANÇAMENTOS DIÁRIOS'!$G$5:$G$500,"G",'LANÇAMENTOS DIÁRIOS'!$C$5:$C$500,$A45,'LANÇAMENTOS DIÁRIOS'!$O$5:$O$500,"&lt;=122979",'LANÇAMENTOS DIÁRIOS'!$P$5:$P$500,"&gt;=122880")&gt;0,"X","")</f>
      </c>
      <c r="BF45" s="56" t="str">
        <f>IF(COUNTIFS('LANÇAMENTOS DIÁRIOS'!$G$5:$G$500,"G",'LANÇAMENTOS DIÁRIOS'!$C$5:$C$500,$A45,'LANÇAMENTOS DIÁRIOS'!$O$5:$O$500,"&lt;=123079",'LANÇAMENTOS DIÁRIOS'!$P$5:$P$500,"&gt;=122980")&gt;0,"X","")</f>
      </c>
      <c r="BG45" s="56" t="str">
        <f>IF(COUNTIFS('LANÇAMENTOS DIÁRIOS'!$G$5:$G$500,"G",'LANÇAMENTOS DIÁRIOS'!$C$5:$C$500,$A45,'LANÇAMENTOS DIÁRIOS'!$O$5:$O$500,"&lt;=123179",'LANÇAMENTOS DIÁRIOS'!$P$5:$P$500,"&gt;=123080")&gt;0,"X","")</f>
      </c>
      <c r="BH45" s="56" t="str">
        <f>IF(COUNTIFS('LANÇAMENTOS DIÁRIOS'!$G$5:$G$500,"G",'LANÇAMENTOS DIÁRIOS'!$C$5:$C$500,$A45,'LANÇAMENTOS DIÁRIOS'!$O$5:$O$500,"&lt;=123279",'LANÇAMENTOS DIÁRIOS'!$P$5:$P$500,"&gt;=123180")&gt;0,"X","")</f>
      </c>
      <c r="BI45" s="56" t="str">
        <f>IF(COUNTIFS('LANÇAMENTOS DIÁRIOS'!$G$5:$G$500,"G",'LANÇAMENTOS DIÁRIOS'!$C$5:$C$500,$A45,'LANÇAMENTOS DIÁRIOS'!$O$5:$O$500,"&lt;=123379",'LANÇAMENTOS DIÁRIOS'!$P$5:$P$500,"&gt;=123280")&gt;0,"X","")</f>
      </c>
      <c r="BJ45" s="56" t="str">
        <f>IF(COUNTIFS('LANÇAMENTOS DIÁRIOS'!$G$5:$G$500,"G",'LANÇAMENTOS DIÁRIOS'!$C$5:$C$500,$A45,'LANÇAMENTOS DIÁRIOS'!$O$5:$O$500,"&lt;=123479",'LANÇAMENTOS DIÁRIOS'!$P$5:$P$500,"&gt;=123380")&gt;0,"X","")</f>
      </c>
      <c r="BK45" s="56" t="str">
        <f>IF(COUNTIFS('LANÇAMENTOS DIÁRIOS'!$G$5:$G$500,"G",'LANÇAMENTOS DIÁRIOS'!$C$5:$C$500,$A45,'LANÇAMENTOS DIÁRIOS'!$O$5:$O$500,"&lt;=123480",'LANÇAMENTOS DIÁRIOS'!$P$5:$P$500,"&gt;=123480")&gt;0,"X","")</f>
      </c>
    </row>
    <row r="46">
      <c r="A46" s="51" t="str">
        <v>Compactação de aterro a 100% do proctor intermediário</v>
      </c>
      <c r="B46" s="56" t="str">
        <f>IF(COUNTIFS('LANÇAMENTOS DIÁRIOS'!$G$5:$G$500,"G",'LANÇAMENTOS DIÁRIOS'!$C$5:$C$500,$A46,'LANÇAMENTOS DIÁRIOS'!$O$5:$O$500,"&lt;=117479",'LANÇAMENTOS DIÁRIOS'!$P$5:$P$500,"&gt;=117380")&gt;0,"X","")</f>
      </c>
      <c r="C46" s="56" t="str">
        <f>IF(COUNTIFS('LANÇAMENTOS DIÁRIOS'!$G$5:$G$500,"G",'LANÇAMENTOS DIÁRIOS'!$C$5:$C$500,$A46,'LANÇAMENTOS DIÁRIOS'!$O$5:$O$500,"&lt;=117579",'LANÇAMENTOS DIÁRIOS'!$P$5:$P$500,"&gt;=117480")&gt;0,"X","")</f>
      </c>
      <c r="D46" s="56" t="str">
        <f>IF(COUNTIFS('LANÇAMENTOS DIÁRIOS'!$G$5:$G$500,"G",'LANÇAMENTOS DIÁRIOS'!$C$5:$C$500,$A46,'LANÇAMENTOS DIÁRIOS'!$O$5:$O$500,"&lt;=117679",'LANÇAMENTOS DIÁRIOS'!$P$5:$P$500,"&gt;=117580")&gt;0,"X","")</f>
      </c>
      <c r="E46" s="56" t="str">
        <f>IF(COUNTIFS('LANÇAMENTOS DIÁRIOS'!$G$5:$G$500,"G",'LANÇAMENTOS DIÁRIOS'!$C$5:$C$500,$A46,'LANÇAMENTOS DIÁRIOS'!$O$5:$O$500,"&lt;=117779",'LANÇAMENTOS DIÁRIOS'!$P$5:$P$500,"&gt;=117680")&gt;0,"X","")</f>
      </c>
      <c r="F46" s="56" t="str">
        <f>IF(COUNTIFS('LANÇAMENTOS DIÁRIOS'!$G$5:$G$500,"G",'LANÇAMENTOS DIÁRIOS'!$C$5:$C$500,$A46,'LANÇAMENTOS DIÁRIOS'!$O$5:$O$500,"&lt;=117879",'LANÇAMENTOS DIÁRIOS'!$P$5:$P$500,"&gt;=117780")&gt;0,"X","")</f>
      </c>
      <c r="G46" s="56" t="str">
        <f>IF(COUNTIFS('LANÇAMENTOS DIÁRIOS'!$G$5:$G$500,"G",'LANÇAMENTOS DIÁRIOS'!$C$5:$C$500,$A46,'LANÇAMENTOS DIÁRIOS'!$O$5:$O$500,"&lt;=117979",'LANÇAMENTOS DIÁRIOS'!$P$5:$P$500,"&gt;=117880")&gt;0,"X","")</f>
      </c>
      <c r="H46" s="56" t="str">
        <f>IF(COUNTIFS('LANÇAMENTOS DIÁRIOS'!$G$5:$G$500,"G",'LANÇAMENTOS DIÁRIOS'!$C$5:$C$500,$A46,'LANÇAMENTOS DIÁRIOS'!$O$5:$O$500,"&lt;=118079",'LANÇAMENTOS DIÁRIOS'!$P$5:$P$500,"&gt;=117980")&gt;0,"X","")</f>
      </c>
      <c r="I46" s="56" t="str">
        <f>IF(COUNTIFS('LANÇAMENTOS DIÁRIOS'!$G$5:$G$500,"G",'LANÇAMENTOS DIÁRIOS'!$C$5:$C$500,$A46,'LANÇAMENTOS DIÁRIOS'!$O$5:$O$500,"&lt;=118179",'LANÇAMENTOS DIÁRIOS'!$P$5:$P$500,"&gt;=118080")&gt;0,"X","")</f>
      </c>
      <c r="J46" s="56" t="str">
        <f>IF(COUNTIFS('LANÇAMENTOS DIÁRIOS'!$G$5:$G$500,"G",'LANÇAMENTOS DIÁRIOS'!$C$5:$C$500,$A46,'LANÇAMENTOS DIÁRIOS'!$O$5:$O$500,"&lt;=118279",'LANÇAMENTOS DIÁRIOS'!$P$5:$P$500,"&gt;=118180")&gt;0,"X","")</f>
      </c>
      <c r="K46" s="56" t="str">
        <f>IF(COUNTIFS('LANÇAMENTOS DIÁRIOS'!$G$5:$G$500,"G",'LANÇAMENTOS DIÁRIOS'!$C$5:$C$500,$A46,'LANÇAMENTOS DIÁRIOS'!$O$5:$O$500,"&lt;=118379",'LANÇAMENTOS DIÁRIOS'!$P$5:$P$500,"&gt;=118280")&gt;0,"X","")</f>
      </c>
      <c r="L46" s="56" t="str">
        <f>IF(COUNTIFS('LANÇAMENTOS DIÁRIOS'!$G$5:$G$500,"G",'LANÇAMENTOS DIÁRIOS'!$C$5:$C$500,$A46,'LANÇAMENTOS DIÁRIOS'!$O$5:$O$500,"&lt;=118479",'LANÇAMENTOS DIÁRIOS'!$P$5:$P$500,"&gt;=118380")&gt;0,"X","")</f>
      </c>
      <c r="M46" s="56" t="str">
        <f>IF(COUNTIFS('LANÇAMENTOS DIÁRIOS'!$G$5:$G$500,"G",'LANÇAMENTOS DIÁRIOS'!$C$5:$C$500,$A46,'LANÇAMENTOS DIÁRIOS'!$O$5:$O$500,"&lt;=118579",'LANÇAMENTOS DIÁRIOS'!$P$5:$P$500,"&gt;=118480")&gt;0,"X","")</f>
      </c>
      <c r="N46" s="56" t="str">
        <f>IF(COUNTIFS('LANÇAMENTOS DIÁRIOS'!$G$5:$G$500,"G",'LANÇAMENTOS DIÁRIOS'!$C$5:$C$500,$A46,'LANÇAMENTOS DIÁRIOS'!$O$5:$O$500,"&lt;=118679",'LANÇAMENTOS DIÁRIOS'!$P$5:$P$500,"&gt;=118580")&gt;0,"X","")</f>
      </c>
      <c r="O46" s="56" t="str">
        <f>IF(COUNTIFS('LANÇAMENTOS DIÁRIOS'!$G$5:$G$500,"G",'LANÇAMENTOS DIÁRIOS'!$C$5:$C$500,$A46,'LANÇAMENTOS DIÁRIOS'!$O$5:$O$500,"&lt;=118779",'LANÇAMENTOS DIÁRIOS'!$P$5:$P$500,"&gt;=118680")&gt;0,"X","")</f>
      </c>
      <c r="P46" s="56" t="str">
        <f>IF(COUNTIFS('LANÇAMENTOS DIÁRIOS'!$G$5:$G$500,"G",'LANÇAMENTOS DIÁRIOS'!$C$5:$C$500,$A46,'LANÇAMENTOS DIÁRIOS'!$O$5:$O$500,"&lt;=118879",'LANÇAMENTOS DIÁRIOS'!$P$5:$P$500,"&gt;=118780")&gt;0,"X","")</f>
      </c>
      <c r="Q46" s="56" t="str">
        <f>IF(COUNTIFS('LANÇAMENTOS DIÁRIOS'!$G$5:$G$500,"G",'LANÇAMENTOS DIÁRIOS'!$C$5:$C$500,$A46,'LANÇAMENTOS DIÁRIOS'!$O$5:$O$500,"&lt;=118979",'LANÇAMENTOS DIÁRIOS'!$P$5:$P$500,"&gt;=118880")&gt;0,"X","")</f>
      </c>
      <c r="R46" s="56" t="str">
        <f>IF(COUNTIFS('LANÇAMENTOS DIÁRIOS'!$G$5:$G$500,"G",'LANÇAMENTOS DIÁRIOS'!$C$5:$C$500,$A46,'LANÇAMENTOS DIÁRIOS'!$O$5:$O$500,"&lt;=119079",'LANÇAMENTOS DIÁRIOS'!$P$5:$P$500,"&gt;=118980")&gt;0,"X","")</f>
      </c>
      <c r="S46" s="56" t="str">
        <f>IF(COUNTIFS('LANÇAMENTOS DIÁRIOS'!$G$5:$G$500,"G",'LANÇAMENTOS DIÁRIOS'!$C$5:$C$500,$A46,'LANÇAMENTOS DIÁRIOS'!$O$5:$O$500,"&lt;=119179",'LANÇAMENTOS DIÁRIOS'!$P$5:$P$500,"&gt;=119080")&gt;0,"X","")</f>
      </c>
      <c r="T46" s="56" t="str">
        <f>IF(COUNTIFS('LANÇAMENTOS DIÁRIOS'!$G$5:$G$500,"G",'LANÇAMENTOS DIÁRIOS'!$C$5:$C$500,$A46,'LANÇAMENTOS DIÁRIOS'!$O$5:$O$500,"&lt;=119279",'LANÇAMENTOS DIÁRIOS'!$P$5:$P$500,"&gt;=119180")&gt;0,"X","")</f>
      </c>
      <c r="U46" s="56" t="str">
        <f>IF(COUNTIFS('LANÇAMENTOS DIÁRIOS'!$G$5:$G$500,"G",'LANÇAMENTOS DIÁRIOS'!$C$5:$C$500,$A46,'LANÇAMENTOS DIÁRIOS'!$O$5:$O$500,"&lt;=119379",'LANÇAMENTOS DIÁRIOS'!$P$5:$P$500,"&gt;=119280")&gt;0,"X","")</f>
      </c>
      <c r="V46" s="56" t="str">
        <f>IF(COUNTIFS('LANÇAMENTOS DIÁRIOS'!$G$5:$G$500,"G",'LANÇAMENTOS DIÁRIOS'!$C$5:$C$500,$A46,'LANÇAMENTOS DIÁRIOS'!$O$5:$O$500,"&lt;=119479",'LANÇAMENTOS DIÁRIOS'!$P$5:$P$500,"&gt;=119380")&gt;0,"X","")</f>
      </c>
      <c r="W46" s="56" t="str">
        <f>IF(COUNTIFS('LANÇAMENTOS DIÁRIOS'!$G$5:$G$500,"G",'LANÇAMENTOS DIÁRIOS'!$C$5:$C$500,$A46,'LANÇAMENTOS DIÁRIOS'!$O$5:$O$500,"&lt;=119579",'LANÇAMENTOS DIÁRIOS'!$P$5:$P$500,"&gt;=119480")&gt;0,"X","")</f>
      </c>
      <c r="X46" s="56" t="str">
        <f>IF(COUNTIFS('LANÇAMENTOS DIÁRIOS'!$G$5:$G$500,"G",'LANÇAMENTOS DIÁRIOS'!$C$5:$C$500,$A46,'LANÇAMENTOS DIÁRIOS'!$O$5:$O$500,"&lt;=119679",'LANÇAMENTOS DIÁRIOS'!$P$5:$P$500,"&gt;=119580")&gt;0,"X","")</f>
      </c>
      <c r="Y46" s="56" t="str">
        <f>IF(COUNTIFS('LANÇAMENTOS DIÁRIOS'!$G$5:$G$500,"G",'LANÇAMENTOS DIÁRIOS'!$C$5:$C$500,$A46,'LANÇAMENTOS DIÁRIOS'!$O$5:$O$500,"&lt;=119779",'LANÇAMENTOS DIÁRIOS'!$P$5:$P$500,"&gt;=119680")&gt;0,"X","")</f>
      </c>
      <c r="Z46" s="56" t="str">
        <f>IF(COUNTIFS('LANÇAMENTOS DIÁRIOS'!$G$5:$G$500,"G",'LANÇAMENTOS DIÁRIOS'!$C$5:$C$500,$A46,'LANÇAMENTOS DIÁRIOS'!$O$5:$O$500,"&lt;=119879",'LANÇAMENTOS DIÁRIOS'!$P$5:$P$500,"&gt;=119780")&gt;0,"X","")</f>
      </c>
      <c r="AA46" s="56" t="str">
        <f>IF(COUNTIFS('LANÇAMENTOS DIÁRIOS'!$G$5:$G$500,"G",'LANÇAMENTOS DIÁRIOS'!$C$5:$C$500,$A46,'LANÇAMENTOS DIÁRIOS'!$O$5:$O$500,"&lt;=119979",'LANÇAMENTOS DIÁRIOS'!$P$5:$P$500,"&gt;=119880")&gt;0,"X","")</f>
      </c>
      <c r="AB46" s="56" t="str">
        <f>IF(COUNTIFS('LANÇAMENTOS DIÁRIOS'!$G$5:$G$500,"G",'LANÇAMENTOS DIÁRIOS'!$C$5:$C$500,$A46,'LANÇAMENTOS DIÁRIOS'!$O$5:$O$500,"&lt;=120079",'LANÇAMENTOS DIÁRIOS'!$P$5:$P$500,"&gt;=119980")&gt;0,"X","")</f>
      </c>
      <c r="AC46" s="56" t="str">
        <f>IF(COUNTIFS('LANÇAMENTOS DIÁRIOS'!$G$5:$G$500,"G",'LANÇAMENTOS DIÁRIOS'!$C$5:$C$500,$A46,'LANÇAMENTOS DIÁRIOS'!$O$5:$O$500,"&lt;=120179",'LANÇAMENTOS DIÁRIOS'!$P$5:$P$500,"&gt;=120080")&gt;0,"X","")</f>
      </c>
      <c r="AD46" s="56" t="str">
        <f>IF(COUNTIFS('LANÇAMENTOS DIÁRIOS'!$G$5:$G$500,"G",'LANÇAMENTOS DIÁRIOS'!$C$5:$C$500,$A46,'LANÇAMENTOS DIÁRIOS'!$O$5:$O$500,"&lt;=120279",'LANÇAMENTOS DIÁRIOS'!$P$5:$P$500,"&gt;=120180")&gt;0,"X","")</f>
      </c>
      <c r="AE46" s="56" t="str">
        <f>IF(COUNTIFS('LANÇAMENTOS DIÁRIOS'!$G$5:$G$500,"G",'LANÇAMENTOS DIÁRIOS'!$C$5:$C$500,$A46,'LANÇAMENTOS DIÁRIOS'!$O$5:$O$500,"&lt;=120379",'LANÇAMENTOS DIÁRIOS'!$P$5:$P$500,"&gt;=120280")&gt;0,"X","")</f>
      </c>
      <c r="AF46" s="56" t="str">
        <f>IF(COUNTIFS('LANÇAMENTOS DIÁRIOS'!$G$5:$G$500,"G",'LANÇAMENTOS DIÁRIOS'!$C$5:$C$500,$A46,'LANÇAMENTOS DIÁRIOS'!$O$5:$O$500,"&lt;=120479",'LANÇAMENTOS DIÁRIOS'!$P$5:$P$500,"&gt;=120380")&gt;0,"X","")</f>
      </c>
      <c r="AG46" s="56" t="str">
        <f>IF(COUNTIFS('LANÇAMENTOS DIÁRIOS'!$G$5:$G$500,"G",'LANÇAMENTOS DIÁRIOS'!$C$5:$C$500,$A46,'LANÇAMENTOS DIÁRIOS'!$O$5:$O$500,"&lt;=120579",'LANÇAMENTOS DIÁRIOS'!$P$5:$P$500,"&gt;=120480")&gt;0,"X","")</f>
      </c>
      <c r="AH46" s="56" t="str">
        <f>IF(COUNTIFS('LANÇAMENTOS DIÁRIOS'!$G$5:$G$500,"G",'LANÇAMENTOS DIÁRIOS'!$C$5:$C$500,$A46,'LANÇAMENTOS DIÁRIOS'!$O$5:$O$500,"&lt;=120679",'LANÇAMENTOS DIÁRIOS'!$P$5:$P$500,"&gt;=120580")&gt;0,"X","")</f>
      </c>
      <c r="AI46" s="56" t="str">
        <f>IF(COUNTIFS('LANÇAMENTOS DIÁRIOS'!$G$5:$G$500,"G",'LANÇAMENTOS DIÁRIOS'!$C$5:$C$500,$A46,'LANÇAMENTOS DIÁRIOS'!$O$5:$O$500,"&lt;=120779",'LANÇAMENTOS DIÁRIOS'!$P$5:$P$500,"&gt;=120680")&gt;0,"X","")</f>
      </c>
      <c r="AJ46" s="56" t="str">
        <f>IF(COUNTIFS('LANÇAMENTOS DIÁRIOS'!$G$5:$G$500,"G",'LANÇAMENTOS DIÁRIOS'!$C$5:$C$500,$A46,'LANÇAMENTOS DIÁRIOS'!$O$5:$O$500,"&lt;=120879",'LANÇAMENTOS DIÁRIOS'!$P$5:$P$500,"&gt;=120780")&gt;0,"X","")</f>
      </c>
      <c r="AK46" s="56" t="str">
        <f>IF(COUNTIFS('LANÇAMENTOS DIÁRIOS'!$G$5:$G$500,"G",'LANÇAMENTOS DIÁRIOS'!$C$5:$C$500,$A46,'LANÇAMENTOS DIÁRIOS'!$O$5:$O$500,"&lt;=120979",'LANÇAMENTOS DIÁRIOS'!$P$5:$P$500,"&gt;=120880")&gt;0,"X","")</f>
      </c>
      <c r="AL46" s="56" t="str">
        <f>IF(COUNTIFS('LANÇAMENTOS DIÁRIOS'!$G$5:$G$500,"G",'LANÇAMENTOS DIÁRIOS'!$C$5:$C$500,$A46,'LANÇAMENTOS DIÁRIOS'!$O$5:$O$500,"&lt;=121079",'LANÇAMENTOS DIÁRIOS'!$P$5:$P$500,"&gt;=120980")&gt;0,"X","")</f>
      </c>
      <c r="AM46" s="56" t="str">
        <f>IF(COUNTIFS('LANÇAMENTOS DIÁRIOS'!$G$5:$G$500,"G",'LANÇAMENTOS DIÁRIOS'!$C$5:$C$500,$A46,'LANÇAMENTOS DIÁRIOS'!$O$5:$O$500,"&lt;=121179",'LANÇAMENTOS DIÁRIOS'!$P$5:$P$500,"&gt;=121080")&gt;0,"X","")</f>
      </c>
      <c r="AN46" s="56" t="str">
        <f>IF(COUNTIFS('LANÇAMENTOS DIÁRIOS'!$G$5:$G$500,"G",'LANÇAMENTOS DIÁRIOS'!$C$5:$C$500,$A46,'LANÇAMENTOS DIÁRIOS'!$O$5:$O$500,"&lt;=121279",'LANÇAMENTOS DIÁRIOS'!$P$5:$P$500,"&gt;=121180")&gt;0,"X","")</f>
      </c>
      <c r="AO46" s="56" t="str">
        <f>IF(COUNTIFS('LANÇAMENTOS DIÁRIOS'!$G$5:$G$500,"G",'LANÇAMENTOS DIÁRIOS'!$C$5:$C$500,$A46,'LANÇAMENTOS DIÁRIOS'!$O$5:$O$500,"&lt;=121379",'LANÇAMENTOS DIÁRIOS'!$P$5:$P$500,"&gt;=121280")&gt;0,"X","")</f>
      </c>
      <c r="AP46" s="56" t="str">
        <f>IF(COUNTIFS('LANÇAMENTOS DIÁRIOS'!$G$5:$G$500,"G",'LANÇAMENTOS DIÁRIOS'!$C$5:$C$500,$A46,'LANÇAMENTOS DIÁRIOS'!$O$5:$O$500,"&lt;=121479",'LANÇAMENTOS DIÁRIOS'!$P$5:$P$500,"&gt;=121380")&gt;0,"X","")</f>
      </c>
      <c r="AQ46" s="56" t="str">
        <f>IF(COUNTIFS('LANÇAMENTOS DIÁRIOS'!$G$5:$G$500,"G",'LANÇAMENTOS DIÁRIOS'!$C$5:$C$500,$A46,'LANÇAMENTOS DIÁRIOS'!$O$5:$O$500,"&lt;=121579",'LANÇAMENTOS DIÁRIOS'!$P$5:$P$500,"&gt;=121480")&gt;0,"X","")</f>
      </c>
      <c r="AR46" s="56" t="str">
        <f>IF(COUNTIFS('LANÇAMENTOS DIÁRIOS'!$G$5:$G$500,"G",'LANÇAMENTOS DIÁRIOS'!$C$5:$C$500,$A46,'LANÇAMENTOS DIÁRIOS'!$O$5:$O$500,"&lt;=121679",'LANÇAMENTOS DIÁRIOS'!$P$5:$P$500,"&gt;=121580")&gt;0,"X","")</f>
      </c>
      <c r="AS46" s="56" t="str">
        <f>IF(COUNTIFS('LANÇAMENTOS DIÁRIOS'!$G$5:$G$500,"G",'LANÇAMENTOS DIÁRIOS'!$C$5:$C$500,$A46,'LANÇAMENTOS DIÁRIOS'!$O$5:$O$500,"&lt;=121779",'LANÇAMENTOS DIÁRIOS'!$P$5:$P$500,"&gt;=121680")&gt;0,"X","")</f>
      </c>
      <c r="AT46" s="56" t="str">
        <f>IF(COUNTIFS('LANÇAMENTOS DIÁRIOS'!$G$5:$G$500,"G",'LANÇAMENTOS DIÁRIOS'!$C$5:$C$500,$A46,'LANÇAMENTOS DIÁRIOS'!$O$5:$O$500,"&lt;=121879",'LANÇAMENTOS DIÁRIOS'!$P$5:$P$500,"&gt;=121780")&gt;0,"X","")</f>
      </c>
      <c r="AU46" s="56" t="str">
        <f>IF(COUNTIFS('LANÇAMENTOS DIÁRIOS'!$G$5:$G$500,"G",'LANÇAMENTOS DIÁRIOS'!$C$5:$C$500,$A46,'LANÇAMENTOS DIÁRIOS'!$O$5:$O$500,"&lt;=121979",'LANÇAMENTOS DIÁRIOS'!$P$5:$P$500,"&gt;=121880")&gt;0,"X","")</f>
      </c>
      <c r="AV46" s="56" t="str">
        <f>IF(COUNTIFS('LANÇAMENTOS DIÁRIOS'!$G$5:$G$500,"G",'LANÇAMENTOS DIÁRIOS'!$C$5:$C$500,$A46,'LANÇAMENTOS DIÁRIOS'!$O$5:$O$500,"&lt;=122079",'LANÇAMENTOS DIÁRIOS'!$P$5:$P$500,"&gt;=121980")&gt;0,"X","")</f>
      </c>
      <c r="AW46" s="56" t="str">
        <f>IF(COUNTIFS('LANÇAMENTOS DIÁRIOS'!$G$5:$G$500,"G",'LANÇAMENTOS DIÁRIOS'!$C$5:$C$500,$A46,'LANÇAMENTOS DIÁRIOS'!$O$5:$O$500,"&lt;=122179",'LANÇAMENTOS DIÁRIOS'!$P$5:$P$500,"&gt;=122080")&gt;0,"X","")</f>
      </c>
      <c r="AX46" s="56" t="str">
        <f>IF(COUNTIFS('LANÇAMENTOS DIÁRIOS'!$G$5:$G$500,"G",'LANÇAMENTOS DIÁRIOS'!$C$5:$C$500,$A46,'LANÇAMENTOS DIÁRIOS'!$O$5:$O$500,"&lt;=122279",'LANÇAMENTOS DIÁRIOS'!$P$5:$P$500,"&gt;=122180")&gt;0,"X","")</f>
      </c>
      <c r="AY46" s="56" t="str">
        <f>IF(COUNTIFS('LANÇAMENTOS DIÁRIOS'!$G$5:$G$500,"G",'LANÇAMENTOS DIÁRIOS'!$C$5:$C$500,$A46,'LANÇAMENTOS DIÁRIOS'!$O$5:$O$500,"&lt;=122379",'LANÇAMENTOS DIÁRIOS'!$P$5:$P$500,"&gt;=122280")&gt;0,"X","")</f>
      </c>
      <c r="AZ46" s="56" t="str">
        <f>IF(COUNTIFS('LANÇAMENTOS DIÁRIOS'!$G$5:$G$500,"G",'LANÇAMENTOS DIÁRIOS'!$C$5:$C$500,$A46,'LANÇAMENTOS DIÁRIOS'!$O$5:$O$500,"&lt;=122479",'LANÇAMENTOS DIÁRIOS'!$P$5:$P$500,"&gt;=122380")&gt;0,"X","")</f>
      </c>
      <c r="BA46" s="56" t="str">
        <f>IF(COUNTIFS('LANÇAMENTOS DIÁRIOS'!$G$5:$G$500,"G",'LANÇAMENTOS DIÁRIOS'!$C$5:$C$500,$A46,'LANÇAMENTOS DIÁRIOS'!$O$5:$O$500,"&lt;=122579",'LANÇAMENTOS DIÁRIOS'!$P$5:$P$500,"&gt;=122480")&gt;0,"X","")</f>
      </c>
      <c r="BB46" s="56" t="str">
        <f>IF(COUNTIFS('LANÇAMENTOS DIÁRIOS'!$G$5:$G$500,"G",'LANÇAMENTOS DIÁRIOS'!$C$5:$C$500,$A46,'LANÇAMENTOS DIÁRIOS'!$O$5:$O$500,"&lt;=122679",'LANÇAMENTOS DIÁRIOS'!$P$5:$P$500,"&gt;=122580")&gt;0,"X","")</f>
      </c>
      <c r="BC46" s="56" t="str">
        <f>IF(COUNTIFS('LANÇAMENTOS DIÁRIOS'!$G$5:$G$500,"G",'LANÇAMENTOS DIÁRIOS'!$C$5:$C$500,$A46,'LANÇAMENTOS DIÁRIOS'!$O$5:$O$500,"&lt;=122779",'LANÇAMENTOS DIÁRIOS'!$P$5:$P$500,"&gt;=122680")&gt;0,"X","")</f>
      </c>
      <c r="BD46" s="56" t="str">
        <f>IF(COUNTIFS('LANÇAMENTOS DIÁRIOS'!$G$5:$G$500,"G",'LANÇAMENTOS DIÁRIOS'!$C$5:$C$500,$A46,'LANÇAMENTOS DIÁRIOS'!$O$5:$O$500,"&lt;=122879",'LANÇAMENTOS DIÁRIOS'!$P$5:$P$500,"&gt;=122780")&gt;0,"X","")</f>
      </c>
      <c r="BE46" s="56" t="str">
        <f>IF(COUNTIFS('LANÇAMENTOS DIÁRIOS'!$G$5:$G$500,"G",'LANÇAMENTOS DIÁRIOS'!$C$5:$C$500,$A46,'LANÇAMENTOS DIÁRIOS'!$O$5:$O$500,"&lt;=122979",'LANÇAMENTOS DIÁRIOS'!$P$5:$P$500,"&gt;=122880")&gt;0,"X","")</f>
      </c>
      <c r="BF46" s="56" t="str">
        <f>IF(COUNTIFS('LANÇAMENTOS DIÁRIOS'!$G$5:$G$500,"G",'LANÇAMENTOS DIÁRIOS'!$C$5:$C$500,$A46,'LANÇAMENTOS DIÁRIOS'!$O$5:$O$500,"&lt;=123079",'LANÇAMENTOS DIÁRIOS'!$P$5:$P$500,"&gt;=122980")&gt;0,"X","")</f>
      </c>
      <c r="BG46" s="56" t="str">
        <f>IF(COUNTIFS('LANÇAMENTOS DIÁRIOS'!$G$5:$G$500,"G",'LANÇAMENTOS DIÁRIOS'!$C$5:$C$500,$A46,'LANÇAMENTOS DIÁRIOS'!$O$5:$O$500,"&lt;=123179",'LANÇAMENTOS DIÁRIOS'!$P$5:$P$500,"&gt;=123080")&gt;0,"X","")</f>
      </c>
      <c r="BH46" s="56" t="str">
        <f>IF(COUNTIFS('LANÇAMENTOS DIÁRIOS'!$G$5:$G$500,"G",'LANÇAMENTOS DIÁRIOS'!$C$5:$C$500,$A46,'LANÇAMENTOS DIÁRIOS'!$O$5:$O$500,"&lt;=123279",'LANÇAMENTOS DIÁRIOS'!$P$5:$P$500,"&gt;=123180")&gt;0,"X","")</f>
      </c>
      <c r="BI46" s="56" t="str">
        <f>IF(COUNTIFS('LANÇAMENTOS DIÁRIOS'!$G$5:$G$500,"G",'LANÇAMENTOS DIÁRIOS'!$C$5:$C$500,$A46,'LANÇAMENTOS DIÁRIOS'!$O$5:$O$500,"&lt;=123379",'LANÇAMENTOS DIÁRIOS'!$P$5:$P$500,"&gt;=123280")&gt;0,"X","")</f>
      </c>
      <c r="BJ46" s="56" t="str">
        <f>IF(COUNTIFS('LANÇAMENTOS DIÁRIOS'!$G$5:$G$500,"G",'LANÇAMENTOS DIÁRIOS'!$C$5:$C$500,$A46,'LANÇAMENTOS DIÁRIOS'!$O$5:$O$500,"&lt;=123479",'LANÇAMENTOS DIÁRIOS'!$P$5:$P$500,"&gt;=123380")&gt;0,"X","")</f>
      </c>
      <c r="BK46" s="56" t="str">
        <f>IF(COUNTIFS('LANÇAMENTOS DIÁRIOS'!$G$5:$G$500,"G",'LANÇAMENTOS DIÁRIOS'!$C$5:$C$500,$A46,'LANÇAMENTOS DIÁRIOS'!$O$5:$O$500,"&lt;=123480",'LANÇAMENTOS DIÁRIOS'!$P$5:$P$500,"&gt;=123480")&gt;0,"X","")</f>
      </c>
    </row>
    <row r="47" ht="19" customHeight="1">
      <c r="A47" s="68" t="str">
        <v>Trocas e melhorias de solo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</row>
    <row r="48">
      <c r="A48" s="51" t="str">
        <v>Escavação de solo com baixa capacidade de suporte</v>
      </c>
      <c r="B48" s="56" t="str">
        <f>IF(COUNTIFS('LANÇAMENTOS DIÁRIOS'!$G$5:$G$500,"G",'LANÇAMENTOS DIÁRIOS'!$C$5:$C$500,$A48,'LANÇAMENTOS DIÁRIOS'!$O$5:$O$500,"&lt;=117479",'LANÇAMENTOS DIÁRIOS'!$P$5:$P$500,"&gt;=117380")&gt;0,"X","")</f>
      </c>
      <c r="C48" s="56" t="str">
        <f>IF(COUNTIFS('LANÇAMENTOS DIÁRIOS'!$G$5:$G$500,"G",'LANÇAMENTOS DIÁRIOS'!$C$5:$C$500,$A48,'LANÇAMENTOS DIÁRIOS'!$O$5:$O$500,"&lt;=117579",'LANÇAMENTOS DIÁRIOS'!$P$5:$P$500,"&gt;=117480")&gt;0,"X","")</f>
      </c>
      <c r="D48" s="56" t="str">
        <f>IF(COUNTIFS('LANÇAMENTOS DIÁRIOS'!$G$5:$G$500,"G",'LANÇAMENTOS DIÁRIOS'!$C$5:$C$500,$A48,'LANÇAMENTOS DIÁRIOS'!$O$5:$O$500,"&lt;=117679",'LANÇAMENTOS DIÁRIOS'!$P$5:$P$500,"&gt;=117580")&gt;0,"X","")</f>
      </c>
      <c r="E48" s="56" t="str">
        <f>IF(COUNTIFS('LANÇAMENTOS DIÁRIOS'!$G$5:$G$500,"G",'LANÇAMENTOS DIÁRIOS'!$C$5:$C$500,$A48,'LANÇAMENTOS DIÁRIOS'!$O$5:$O$500,"&lt;=117779",'LANÇAMENTOS DIÁRIOS'!$P$5:$P$500,"&gt;=117680")&gt;0,"X","")</f>
      </c>
      <c r="F48" s="56" t="str">
        <f>IF(COUNTIFS('LANÇAMENTOS DIÁRIOS'!$G$5:$G$500,"G",'LANÇAMENTOS DIÁRIOS'!$C$5:$C$500,$A48,'LANÇAMENTOS DIÁRIOS'!$O$5:$O$500,"&lt;=117879",'LANÇAMENTOS DIÁRIOS'!$P$5:$P$500,"&gt;=117780")&gt;0,"X","")</f>
      </c>
      <c r="G48" s="56" t="str">
        <f>IF(COUNTIFS('LANÇAMENTOS DIÁRIOS'!$G$5:$G$500,"G",'LANÇAMENTOS DIÁRIOS'!$C$5:$C$500,$A48,'LANÇAMENTOS DIÁRIOS'!$O$5:$O$500,"&lt;=117979",'LANÇAMENTOS DIÁRIOS'!$P$5:$P$500,"&gt;=117880")&gt;0,"X","")</f>
      </c>
      <c r="H48" s="56" t="str">
        <f>IF(COUNTIFS('LANÇAMENTOS DIÁRIOS'!$G$5:$G$500,"G",'LANÇAMENTOS DIÁRIOS'!$C$5:$C$500,$A48,'LANÇAMENTOS DIÁRIOS'!$O$5:$O$500,"&lt;=118079",'LANÇAMENTOS DIÁRIOS'!$P$5:$P$500,"&gt;=117980")&gt;0,"X","")</f>
      </c>
      <c r="I48" s="56" t="str">
        <f>IF(COUNTIFS('LANÇAMENTOS DIÁRIOS'!$G$5:$G$500,"G",'LANÇAMENTOS DIÁRIOS'!$C$5:$C$500,$A48,'LANÇAMENTOS DIÁRIOS'!$O$5:$O$500,"&lt;=118179",'LANÇAMENTOS DIÁRIOS'!$P$5:$P$500,"&gt;=118080")&gt;0,"X","")</f>
      </c>
      <c r="J48" s="56" t="str">
        <f>IF(COUNTIFS('LANÇAMENTOS DIÁRIOS'!$G$5:$G$500,"G",'LANÇAMENTOS DIÁRIOS'!$C$5:$C$500,$A48,'LANÇAMENTOS DIÁRIOS'!$O$5:$O$500,"&lt;=118279",'LANÇAMENTOS DIÁRIOS'!$P$5:$P$500,"&gt;=118180")&gt;0,"X","")</f>
      </c>
      <c r="K48" s="56" t="str">
        <f>IF(COUNTIFS('LANÇAMENTOS DIÁRIOS'!$G$5:$G$500,"G",'LANÇAMENTOS DIÁRIOS'!$C$5:$C$500,$A48,'LANÇAMENTOS DIÁRIOS'!$O$5:$O$500,"&lt;=118379",'LANÇAMENTOS DIÁRIOS'!$P$5:$P$500,"&gt;=118280")&gt;0,"X","")</f>
      </c>
      <c r="L48" s="56" t="str">
        <f>IF(COUNTIFS('LANÇAMENTOS DIÁRIOS'!$G$5:$G$500,"G",'LANÇAMENTOS DIÁRIOS'!$C$5:$C$500,$A48,'LANÇAMENTOS DIÁRIOS'!$O$5:$O$500,"&lt;=118479",'LANÇAMENTOS DIÁRIOS'!$P$5:$P$500,"&gt;=118380")&gt;0,"X","")</f>
      </c>
      <c r="M48" s="56" t="str">
        <f>IF(COUNTIFS('LANÇAMENTOS DIÁRIOS'!$G$5:$G$500,"G",'LANÇAMENTOS DIÁRIOS'!$C$5:$C$500,$A48,'LANÇAMENTOS DIÁRIOS'!$O$5:$O$500,"&lt;=118579",'LANÇAMENTOS DIÁRIOS'!$P$5:$P$500,"&gt;=118480")&gt;0,"X","")</f>
      </c>
      <c r="N48" s="56" t="str">
        <f>IF(COUNTIFS('LANÇAMENTOS DIÁRIOS'!$G$5:$G$500,"G",'LANÇAMENTOS DIÁRIOS'!$C$5:$C$500,$A48,'LANÇAMENTOS DIÁRIOS'!$O$5:$O$500,"&lt;=118679",'LANÇAMENTOS DIÁRIOS'!$P$5:$P$500,"&gt;=118580")&gt;0,"X","")</f>
      </c>
      <c r="O48" s="56" t="str">
        <f>IF(COUNTIFS('LANÇAMENTOS DIÁRIOS'!$G$5:$G$500,"G",'LANÇAMENTOS DIÁRIOS'!$C$5:$C$500,$A48,'LANÇAMENTOS DIÁRIOS'!$O$5:$O$500,"&lt;=118779",'LANÇAMENTOS DIÁRIOS'!$P$5:$P$500,"&gt;=118680")&gt;0,"X","")</f>
      </c>
      <c r="P48" s="56" t="str">
        <f>IF(COUNTIFS('LANÇAMENTOS DIÁRIOS'!$G$5:$G$500,"G",'LANÇAMENTOS DIÁRIOS'!$C$5:$C$500,$A48,'LANÇAMENTOS DIÁRIOS'!$O$5:$O$500,"&lt;=118879",'LANÇAMENTOS DIÁRIOS'!$P$5:$P$500,"&gt;=118780")&gt;0,"X","")</f>
      </c>
      <c r="Q48" s="56" t="str">
        <f>IF(COUNTIFS('LANÇAMENTOS DIÁRIOS'!$G$5:$G$500,"G",'LANÇAMENTOS DIÁRIOS'!$C$5:$C$500,$A48,'LANÇAMENTOS DIÁRIOS'!$O$5:$O$500,"&lt;=118979",'LANÇAMENTOS DIÁRIOS'!$P$5:$P$500,"&gt;=118880")&gt;0,"X","")</f>
      </c>
      <c r="R48" s="56" t="str">
        <f>IF(COUNTIFS('LANÇAMENTOS DIÁRIOS'!$G$5:$G$500,"G",'LANÇAMENTOS DIÁRIOS'!$C$5:$C$500,$A48,'LANÇAMENTOS DIÁRIOS'!$O$5:$O$500,"&lt;=119079",'LANÇAMENTOS DIÁRIOS'!$P$5:$P$500,"&gt;=118980")&gt;0,"X","")</f>
      </c>
      <c r="S48" s="56" t="str">
        <f>IF(COUNTIFS('LANÇAMENTOS DIÁRIOS'!$G$5:$G$500,"G",'LANÇAMENTOS DIÁRIOS'!$C$5:$C$500,$A48,'LANÇAMENTOS DIÁRIOS'!$O$5:$O$500,"&lt;=119179",'LANÇAMENTOS DIÁRIOS'!$P$5:$P$500,"&gt;=119080")&gt;0,"X","")</f>
      </c>
      <c r="T48" s="56" t="str">
        <f>IF(COUNTIFS('LANÇAMENTOS DIÁRIOS'!$G$5:$G$500,"G",'LANÇAMENTOS DIÁRIOS'!$C$5:$C$500,$A48,'LANÇAMENTOS DIÁRIOS'!$O$5:$O$500,"&lt;=119279",'LANÇAMENTOS DIÁRIOS'!$P$5:$P$500,"&gt;=119180")&gt;0,"X","")</f>
      </c>
      <c r="U48" s="56" t="str">
        <f>IF(COUNTIFS('LANÇAMENTOS DIÁRIOS'!$G$5:$G$500,"G",'LANÇAMENTOS DIÁRIOS'!$C$5:$C$500,$A48,'LANÇAMENTOS DIÁRIOS'!$O$5:$O$500,"&lt;=119379",'LANÇAMENTOS DIÁRIOS'!$P$5:$P$500,"&gt;=119280")&gt;0,"X","")</f>
      </c>
      <c r="V48" s="56" t="str">
        <f>IF(COUNTIFS('LANÇAMENTOS DIÁRIOS'!$G$5:$G$500,"G",'LANÇAMENTOS DIÁRIOS'!$C$5:$C$500,$A48,'LANÇAMENTOS DIÁRIOS'!$O$5:$O$500,"&lt;=119479",'LANÇAMENTOS DIÁRIOS'!$P$5:$P$500,"&gt;=119380")&gt;0,"X","")</f>
      </c>
      <c r="W48" s="56" t="str">
        <f>IF(COUNTIFS('LANÇAMENTOS DIÁRIOS'!$G$5:$G$500,"G",'LANÇAMENTOS DIÁRIOS'!$C$5:$C$500,$A48,'LANÇAMENTOS DIÁRIOS'!$O$5:$O$500,"&lt;=119579",'LANÇAMENTOS DIÁRIOS'!$P$5:$P$500,"&gt;=119480")&gt;0,"X","")</f>
      </c>
      <c r="X48" s="56" t="str">
        <f>IF(COUNTIFS('LANÇAMENTOS DIÁRIOS'!$G$5:$G$500,"G",'LANÇAMENTOS DIÁRIOS'!$C$5:$C$500,$A48,'LANÇAMENTOS DIÁRIOS'!$O$5:$O$500,"&lt;=119679",'LANÇAMENTOS DIÁRIOS'!$P$5:$P$500,"&gt;=119580")&gt;0,"X","")</f>
      </c>
      <c r="Y48" s="56" t="str">
        <f>IF(COUNTIFS('LANÇAMENTOS DIÁRIOS'!$G$5:$G$500,"G",'LANÇAMENTOS DIÁRIOS'!$C$5:$C$500,$A48,'LANÇAMENTOS DIÁRIOS'!$O$5:$O$500,"&lt;=119779",'LANÇAMENTOS DIÁRIOS'!$P$5:$P$500,"&gt;=119680")&gt;0,"X","")</f>
      </c>
      <c r="Z48" s="56" t="str">
        <f>IF(COUNTIFS('LANÇAMENTOS DIÁRIOS'!$G$5:$G$500,"G",'LANÇAMENTOS DIÁRIOS'!$C$5:$C$500,$A48,'LANÇAMENTOS DIÁRIOS'!$O$5:$O$500,"&lt;=119879",'LANÇAMENTOS DIÁRIOS'!$P$5:$P$500,"&gt;=119780")&gt;0,"X","")</f>
      </c>
      <c r="AA48" s="56" t="str">
        <f>IF(COUNTIFS('LANÇAMENTOS DIÁRIOS'!$G$5:$G$500,"G",'LANÇAMENTOS DIÁRIOS'!$C$5:$C$500,$A48,'LANÇAMENTOS DIÁRIOS'!$O$5:$O$500,"&lt;=119979",'LANÇAMENTOS DIÁRIOS'!$P$5:$P$500,"&gt;=119880")&gt;0,"X","")</f>
      </c>
      <c r="AB48" s="56" t="str">
        <f>IF(COUNTIFS('LANÇAMENTOS DIÁRIOS'!$G$5:$G$500,"G",'LANÇAMENTOS DIÁRIOS'!$C$5:$C$500,$A48,'LANÇAMENTOS DIÁRIOS'!$O$5:$O$500,"&lt;=120079",'LANÇAMENTOS DIÁRIOS'!$P$5:$P$500,"&gt;=119980")&gt;0,"X","")</f>
      </c>
      <c r="AC48" s="56" t="str">
        <f>IF(COUNTIFS('LANÇAMENTOS DIÁRIOS'!$G$5:$G$500,"G",'LANÇAMENTOS DIÁRIOS'!$C$5:$C$500,$A48,'LANÇAMENTOS DIÁRIOS'!$O$5:$O$500,"&lt;=120179",'LANÇAMENTOS DIÁRIOS'!$P$5:$P$500,"&gt;=120080")&gt;0,"X","")</f>
      </c>
      <c r="AD48" s="56" t="str">
        <f>IF(COUNTIFS('LANÇAMENTOS DIÁRIOS'!$G$5:$G$500,"G",'LANÇAMENTOS DIÁRIOS'!$C$5:$C$500,$A48,'LANÇAMENTOS DIÁRIOS'!$O$5:$O$500,"&lt;=120279",'LANÇAMENTOS DIÁRIOS'!$P$5:$P$500,"&gt;=120180")&gt;0,"X","")</f>
      </c>
      <c r="AE48" s="56" t="str">
        <f>IF(COUNTIFS('LANÇAMENTOS DIÁRIOS'!$G$5:$G$500,"G",'LANÇAMENTOS DIÁRIOS'!$C$5:$C$500,$A48,'LANÇAMENTOS DIÁRIOS'!$O$5:$O$500,"&lt;=120379",'LANÇAMENTOS DIÁRIOS'!$P$5:$P$500,"&gt;=120280")&gt;0,"X","")</f>
      </c>
      <c r="AF48" s="56" t="str">
        <f>IF(COUNTIFS('LANÇAMENTOS DIÁRIOS'!$G$5:$G$500,"G",'LANÇAMENTOS DIÁRIOS'!$C$5:$C$500,$A48,'LANÇAMENTOS DIÁRIOS'!$O$5:$O$500,"&lt;=120479",'LANÇAMENTOS DIÁRIOS'!$P$5:$P$500,"&gt;=120380")&gt;0,"X","")</f>
      </c>
      <c r="AG48" s="56" t="str">
        <f>IF(COUNTIFS('LANÇAMENTOS DIÁRIOS'!$G$5:$G$500,"G",'LANÇAMENTOS DIÁRIOS'!$C$5:$C$500,$A48,'LANÇAMENTOS DIÁRIOS'!$O$5:$O$500,"&lt;=120579",'LANÇAMENTOS DIÁRIOS'!$P$5:$P$500,"&gt;=120480")&gt;0,"X","")</f>
      </c>
      <c r="AH48" s="56" t="str">
        <f>IF(COUNTIFS('LANÇAMENTOS DIÁRIOS'!$G$5:$G$500,"G",'LANÇAMENTOS DIÁRIOS'!$C$5:$C$500,$A48,'LANÇAMENTOS DIÁRIOS'!$O$5:$O$500,"&lt;=120679",'LANÇAMENTOS DIÁRIOS'!$P$5:$P$500,"&gt;=120580")&gt;0,"X","")</f>
      </c>
      <c r="AI48" s="56" t="str">
        <f>IF(COUNTIFS('LANÇAMENTOS DIÁRIOS'!$G$5:$G$500,"G",'LANÇAMENTOS DIÁRIOS'!$C$5:$C$500,$A48,'LANÇAMENTOS DIÁRIOS'!$O$5:$O$500,"&lt;=120779",'LANÇAMENTOS DIÁRIOS'!$P$5:$P$500,"&gt;=120680")&gt;0,"X","")</f>
      </c>
      <c r="AJ48" s="56" t="str">
        <f>IF(COUNTIFS('LANÇAMENTOS DIÁRIOS'!$G$5:$G$500,"G",'LANÇAMENTOS DIÁRIOS'!$C$5:$C$500,$A48,'LANÇAMENTOS DIÁRIOS'!$O$5:$O$500,"&lt;=120879",'LANÇAMENTOS DIÁRIOS'!$P$5:$P$500,"&gt;=120780")&gt;0,"X","")</f>
      </c>
      <c r="AK48" s="56" t="str">
        <f>IF(COUNTIFS('LANÇAMENTOS DIÁRIOS'!$G$5:$G$500,"G",'LANÇAMENTOS DIÁRIOS'!$C$5:$C$500,$A48,'LANÇAMENTOS DIÁRIOS'!$O$5:$O$500,"&lt;=120979",'LANÇAMENTOS DIÁRIOS'!$P$5:$P$500,"&gt;=120880")&gt;0,"X","")</f>
      </c>
      <c r="AL48" s="56" t="str">
        <f>IF(COUNTIFS('LANÇAMENTOS DIÁRIOS'!$G$5:$G$500,"G",'LANÇAMENTOS DIÁRIOS'!$C$5:$C$500,$A48,'LANÇAMENTOS DIÁRIOS'!$O$5:$O$500,"&lt;=121079",'LANÇAMENTOS DIÁRIOS'!$P$5:$P$500,"&gt;=120980")&gt;0,"X","")</f>
      </c>
      <c r="AM48" s="56" t="str">
        <f>IF(COUNTIFS('LANÇAMENTOS DIÁRIOS'!$G$5:$G$500,"G",'LANÇAMENTOS DIÁRIOS'!$C$5:$C$500,$A48,'LANÇAMENTOS DIÁRIOS'!$O$5:$O$500,"&lt;=121179",'LANÇAMENTOS DIÁRIOS'!$P$5:$P$500,"&gt;=121080")&gt;0,"X","")</f>
      </c>
      <c r="AN48" s="56" t="str">
        <f>IF(COUNTIFS('LANÇAMENTOS DIÁRIOS'!$G$5:$G$500,"G",'LANÇAMENTOS DIÁRIOS'!$C$5:$C$500,$A48,'LANÇAMENTOS DIÁRIOS'!$O$5:$O$500,"&lt;=121279",'LANÇAMENTOS DIÁRIOS'!$P$5:$P$500,"&gt;=121180")&gt;0,"X","")</f>
      </c>
      <c r="AO48" s="56" t="str">
        <f>IF(COUNTIFS('LANÇAMENTOS DIÁRIOS'!$G$5:$G$500,"G",'LANÇAMENTOS DIÁRIOS'!$C$5:$C$500,$A48,'LANÇAMENTOS DIÁRIOS'!$O$5:$O$500,"&lt;=121379",'LANÇAMENTOS DIÁRIOS'!$P$5:$P$500,"&gt;=121280")&gt;0,"X","")</f>
      </c>
      <c r="AP48" s="56" t="str">
        <f>IF(COUNTIFS('LANÇAMENTOS DIÁRIOS'!$G$5:$G$500,"G",'LANÇAMENTOS DIÁRIOS'!$C$5:$C$500,$A48,'LANÇAMENTOS DIÁRIOS'!$O$5:$O$500,"&lt;=121479",'LANÇAMENTOS DIÁRIOS'!$P$5:$P$500,"&gt;=121380")&gt;0,"X","")</f>
      </c>
      <c r="AQ48" s="56" t="str">
        <f>IF(COUNTIFS('LANÇAMENTOS DIÁRIOS'!$G$5:$G$500,"G",'LANÇAMENTOS DIÁRIOS'!$C$5:$C$500,$A48,'LANÇAMENTOS DIÁRIOS'!$O$5:$O$500,"&lt;=121579",'LANÇAMENTOS DIÁRIOS'!$P$5:$P$500,"&gt;=121480")&gt;0,"X","")</f>
      </c>
      <c r="AR48" s="56" t="str">
        <f>IF(COUNTIFS('LANÇAMENTOS DIÁRIOS'!$G$5:$G$500,"G",'LANÇAMENTOS DIÁRIOS'!$C$5:$C$500,$A48,'LANÇAMENTOS DIÁRIOS'!$O$5:$O$500,"&lt;=121679",'LANÇAMENTOS DIÁRIOS'!$P$5:$P$500,"&gt;=121580")&gt;0,"X","")</f>
      </c>
      <c r="AS48" s="56" t="str">
        <f>IF(COUNTIFS('LANÇAMENTOS DIÁRIOS'!$G$5:$G$500,"G",'LANÇAMENTOS DIÁRIOS'!$C$5:$C$500,$A48,'LANÇAMENTOS DIÁRIOS'!$O$5:$O$500,"&lt;=121779",'LANÇAMENTOS DIÁRIOS'!$P$5:$P$500,"&gt;=121680")&gt;0,"X","")</f>
      </c>
      <c r="AT48" s="56" t="str">
        <f>IF(COUNTIFS('LANÇAMENTOS DIÁRIOS'!$G$5:$G$500,"G",'LANÇAMENTOS DIÁRIOS'!$C$5:$C$500,$A48,'LANÇAMENTOS DIÁRIOS'!$O$5:$O$500,"&lt;=121879",'LANÇAMENTOS DIÁRIOS'!$P$5:$P$500,"&gt;=121780")&gt;0,"X","")</f>
      </c>
      <c r="AU48" s="56" t="str">
        <f>IF(COUNTIFS('LANÇAMENTOS DIÁRIOS'!$G$5:$G$500,"G",'LANÇAMENTOS DIÁRIOS'!$C$5:$C$500,$A48,'LANÇAMENTOS DIÁRIOS'!$O$5:$O$500,"&lt;=121979",'LANÇAMENTOS DIÁRIOS'!$P$5:$P$500,"&gt;=121880")&gt;0,"X","")</f>
      </c>
      <c r="AV48" s="56" t="str">
        <f>IF(COUNTIFS('LANÇAMENTOS DIÁRIOS'!$G$5:$G$500,"G",'LANÇAMENTOS DIÁRIOS'!$C$5:$C$500,$A48,'LANÇAMENTOS DIÁRIOS'!$O$5:$O$500,"&lt;=122079",'LANÇAMENTOS DIÁRIOS'!$P$5:$P$500,"&gt;=121980")&gt;0,"X","")</f>
      </c>
      <c r="AW48" s="56" t="str">
        <f>IF(COUNTIFS('LANÇAMENTOS DIÁRIOS'!$G$5:$G$500,"G",'LANÇAMENTOS DIÁRIOS'!$C$5:$C$500,$A48,'LANÇAMENTOS DIÁRIOS'!$O$5:$O$500,"&lt;=122179",'LANÇAMENTOS DIÁRIOS'!$P$5:$P$500,"&gt;=122080")&gt;0,"X","")</f>
      </c>
      <c r="AX48" s="56" t="str">
        <f>IF(COUNTIFS('LANÇAMENTOS DIÁRIOS'!$G$5:$G$500,"G",'LANÇAMENTOS DIÁRIOS'!$C$5:$C$500,$A48,'LANÇAMENTOS DIÁRIOS'!$O$5:$O$500,"&lt;=122279",'LANÇAMENTOS DIÁRIOS'!$P$5:$P$500,"&gt;=122180")&gt;0,"X","")</f>
      </c>
      <c r="AY48" s="56" t="str">
        <f>IF(COUNTIFS('LANÇAMENTOS DIÁRIOS'!$G$5:$G$500,"G",'LANÇAMENTOS DIÁRIOS'!$C$5:$C$500,$A48,'LANÇAMENTOS DIÁRIOS'!$O$5:$O$500,"&lt;=122379",'LANÇAMENTOS DIÁRIOS'!$P$5:$P$500,"&gt;=122280")&gt;0,"X","")</f>
      </c>
      <c r="AZ48" s="56" t="str">
        <f>IF(COUNTIFS('LANÇAMENTOS DIÁRIOS'!$G$5:$G$500,"G",'LANÇAMENTOS DIÁRIOS'!$C$5:$C$500,$A48,'LANÇAMENTOS DIÁRIOS'!$O$5:$O$500,"&lt;=122479",'LANÇAMENTOS DIÁRIOS'!$P$5:$P$500,"&gt;=122380")&gt;0,"X","")</f>
      </c>
      <c r="BA48" s="56" t="str">
        <f>IF(COUNTIFS('LANÇAMENTOS DIÁRIOS'!$G$5:$G$500,"G",'LANÇAMENTOS DIÁRIOS'!$C$5:$C$500,$A48,'LANÇAMENTOS DIÁRIOS'!$O$5:$O$500,"&lt;=122579",'LANÇAMENTOS DIÁRIOS'!$P$5:$P$500,"&gt;=122480")&gt;0,"X","")</f>
      </c>
      <c r="BB48" s="56" t="str">
        <f>IF(COUNTIFS('LANÇAMENTOS DIÁRIOS'!$G$5:$G$500,"G",'LANÇAMENTOS DIÁRIOS'!$C$5:$C$500,$A48,'LANÇAMENTOS DIÁRIOS'!$O$5:$O$500,"&lt;=122679",'LANÇAMENTOS DIÁRIOS'!$P$5:$P$500,"&gt;=122580")&gt;0,"X","")</f>
      </c>
      <c r="BC48" s="56" t="str">
        <f>IF(COUNTIFS('LANÇAMENTOS DIÁRIOS'!$G$5:$G$500,"G",'LANÇAMENTOS DIÁRIOS'!$C$5:$C$500,$A48,'LANÇAMENTOS DIÁRIOS'!$O$5:$O$500,"&lt;=122779",'LANÇAMENTOS DIÁRIOS'!$P$5:$P$500,"&gt;=122680")&gt;0,"X","")</f>
      </c>
      <c r="BD48" s="56" t="str">
        <f>IF(COUNTIFS('LANÇAMENTOS DIÁRIOS'!$G$5:$G$500,"G",'LANÇAMENTOS DIÁRIOS'!$C$5:$C$500,$A48,'LANÇAMENTOS DIÁRIOS'!$O$5:$O$500,"&lt;=122879",'LANÇAMENTOS DIÁRIOS'!$P$5:$P$500,"&gt;=122780")&gt;0,"X","")</f>
      </c>
      <c r="BE48" s="56" t="str">
        <f>IF(COUNTIFS('LANÇAMENTOS DIÁRIOS'!$G$5:$G$500,"G",'LANÇAMENTOS DIÁRIOS'!$C$5:$C$500,$A48,'LANÇAMENTOS DIÁRIOS'!$O$5:$O$500,"&lt;=122979",'LANÇAMENTOS DIÁRIOS'!$P$5:$P$500,"&gt;=122880")&gt;0,"X","")</f>
      </c>
      <c r="BF48" s="56" t="str">
        <f>IF(COUNTIFS('LANÇAMENTOS DIÁRIOS'!$G$5:$G$500,"G",'LANÇAMENTOS DIÁRIOS'!$C$5:$C$500,$A48,'LANÇAMENTOS DIÁRIOS'!$O$5:$O$500,"&lt;=123079",'LANÇAMENTOS DIÁRIOS'!$P$5:$P$500,"&gt;=122980")&gt;0,"X","")</f>
      </c>
      <c r="BG48" s="56" t="str">
        <f>IF(COUNTIFS('LANÇAMENTOS DIÁRIOS'!$G$5:$G$500,"G",'LANÇAMENTOS DIÁRIOS'!$C$5:$C$500,$A48,'LANÇAMENTOS DIÁRIOS'!$O$5:$O$500,"&lt;=123179",'LANÇAMENTOS DIÁRIOS'!$P$5:$P$500,"&gt;=123080")&gt;0,"X","")</f>
      </c>
      <c r="BH48" s="56" t="str">
        <f>IF(COUNTIFS('LANÇAMENTOS DIÁRIOS'!$G$5:$G$500,"G",'LANÇAMENTOS DIÁRIOS'!$C$5:$C$500,$A48,'LANÇAMENTOS DIÁRIOS'!$O$5:$O$500,"&lt;=123279",'LANÇAMENTOS DIÁRIOS'!$P$5:$P$500,"&gt;=123180")&gt;0,"X","")</f>
      </c>
      <c r="BI48" s="56" t="str">
        <f>IF(COUNTIFS('LANÇAMENTOS DIÁRIOS'!$G$5:$G$500,"G",'LANÇAMENTOS DIÁRIOS'!$C$5:$C$500,$A48,'LANÇAMENTOS DIÁRIOS'!$O$5:$O$500,"&lt;=123379",'LANÇAMENTOS DIÁRIOS'!$P$5:$P$500,"&gt;=123280")&gt;0,"X","")</f>
      </c>
      <c r="BJ48" s="56" t="str">
        <f>IF(COUNTIFS('LANÇAMENTOS DIÁRIOS'!$G$5:$G$500,"G",'LANÇAMENTOS DIÁRIOS'!$C$5:$C$500,$A48,'LANÇAMENTOS DIÁRIOS'!$O$5:$O$500,"&lt;=123479",'LANÇAMENTOS DIÁRIOS'!$P$5:$P$500,"&gt;=123380")&gt;0,"X","")</f>
      </c>
      <c r="BK48" s="56" t="str">
        <f>IF(COUNTIFS('LANÇAMENTOS DIÁRIOS'!$G$5:$G$500,"G",'LANÇAMENTOS DIÁRIOS'!$C$5:$C$500,$A48,'LANÇAMENTOS DIÁRIOS'!$O$5:$O$500,"&lt;=123480",'LANÇAMENTOS DIÁRIOS'!$P$5:$P$500,"&gt;=123480")&gt;0,"X","")</f>
      </c>
    </row>
    <row r="49">
      <c r="A49" s="51" t="str">
        <v>Fundação / reaterro com solo</v>
      </c>
      <c r="B49" s="56" t="str">
        <f>IF(COUNTIFS('LANÇAMENTOS DIÁRIOS'!$G$5:$G$500,"G",'LANÇAMENTOS DIÁRIOS'!$C$5:$C$500,$A49,'LANÇAMENTOS DIÁRIOS'!$O$5:$O$500,"&lt;=117479",'LANÇAMENTOS DIÁRIOS'!$P$5:$P$500,"&gt;=117380")&gt;0,"X","")</f>
      </c>
      <c r="C49" s="56" t="str">
        <f>IF(COUNTIFS('LANÇAMENTOS DIÁRIOS'!$G$5:$G$500,"G",'LANÇAMENTOS DIÁRIOS'!$C$5:$C$500,$A49,'LANÇAMENTOS DIÁRIOS'!$O$5:$O$500,"&lt;=117579",'LANÇAMENTOS DIÁRIOS'!$P$5:$P$500,"&gt;=117480")&gt;0,"X","")</f>
      </c>
      <c r="D49" s="56" t="str">
        <f>IF(COUNTIFS('LANÇAMENTOS DIÁRIOS'!$G$5:$G$500,"G",'LANÇAMENTOS DIÁRIOS'!$C$5:$C$500,$A49,'LANÇAMENTOS DIÁRIOS'!$O$5:$O$500,"&lt;=117679",'LANÇAMENTOS DIÁRIOS'!$P$5:$P$500,"&gt;=117580")&gt;0,"X","")</f>
      </c>
      <c r="E49" s="56" t="str">
        <f>IF(COUNTIFS('LANÇAMENTOS DIÁRIOS'!$G$5:$G$500,"G",'LANÇAMENTOS DIÁRIOS'!$C$5:$C$500,$A49,'LANÇAMENTOS DIÁRIOS'!$O$5:$O$500,"&lt;=117779",'LANÇAMENTOS DIÁRIOS'!$P$5:$P$500,"&gt;=117680")&gt;0,"X","")</f>
      </c>
      <c r="F49" s="56" t="str">
        <f>IF(COUNTIFS('LANÇAMENTOS DIÁRIOS'!$G$5:$G$500,"G",'LANÇAMENTOS DIÁRIOS'!$C$5:$C$500,$A49,'LANÇAMENTOS DIÁRIOS'!$O$5:$O$500,"&lt;=117879",'LANÇAMENTOS DIÁRIOS'!$P$5:$P$500,"&gt;=117780")&gt;0,"X","")</f>
      </c>
      <c r="G49" s="56" t="str">
        <f>IF(COUNTIFS('LANÇAMENTOS DIÁRIOS'!$G$5:$G$500,"G",'LANÇAMENTOS DIÁRIOS'!$C$5:$C$500,$A49,'LANÇAMENTOS DIÁRIOS'!$O$5:$O$500,"&lt;=117979",'LANÇAMENTOS DIÁRIOS'!$P$5:$P$500,"&gt;=117880")&gt;0,"X","")</f>
      </c>
      <c r="H49" s="56" t="str">
        <f>IF(COUNTIFS('LANÇAMENTOS DIÁRIOS'!$G$5:$G$500,"G",'LANÇAMENTOS DIÁRIOS'!$C$5:$C$500,$A49,'LANÇAMENTOS DIÁRIOS'!$O$5:$O$500,"&lt;=118079",'LANÇAMENTOS DIÁRIOS'!$P$5:$P$500,"&gt;=117980")&gt;0,"X","")</f>
      </c>
      <c r="I49" s="56" t="str">
        <f>IF(COUNTIFS('LANÇAMENTOS DIÁRIOS'!$G$5:$G$500,"G",'LANÇAMENTOS DIÁRIOS'!$C$5:$C$500,$A49,'LANÇAMENTOS DIÁRIOS'!$O$5:$O$500,"&lt;=118179",'LANÇAMENTOS DIÁRIOS'!$P$5:$P$500,"&gt;=118080")&gt;0,"X","")</f>
      </c>
      <c r="J49" s="56" t="str">
        <f>IF(COUNTIFS('LANÇAMENTOS DIÁRIOS'!$G$5:$G$500,"G",'LANÇAMENTOS DIÁRIOS'!$C$5:$C$500,$A49,'LANÇAMENTOS DIÁRIOS'!$O$5:$O$500,"&lt;=118279",'LANÇAMENTOS DIÁRIOS'!$P$5:$P$500,"&gt;=118180")&gt;0,"X","")</f>
      </c>
      <c r="K49" s="56" t="str">
        <f>IF(COUNTIFS('LANÇAMENTOS DIÁRIOS'!$G$5:$G$500,"G",'LANÇAMENTOS DIÁRIOS'!$C$5:$C$500,$A49,'LANÇAMENTOS DIÁRIOS'!$O$5:$O$500,"&lt;=118379",'LANÇAMENTOS DIÁRIOS'!$P$5:$P$500,"&gt;=118280")&gt;0,"X","")</f>
      </c>
      <c r="L49" s="56" t="str">
        <f>IF(COUNTIFS('LANÇAMENTOS DIÁRIOS'!$G$5:$G$500,"G",'LANÇAMENTOS DIÁRIOS'!$C$5:$C$500,$A49,'LANÇAMENTOS DIÁRIOS'!$O$5:$O$500,"&lt;=118479",'LANÇAMENTOS DIÁRIOS'!$P$5:$P$500,"&gt;=118380")&gt;0,"X","")</f>
      </c>
      <c r="M49" s="56" t="str">
        <f>IF(COUNTIFS('LANÇAMENTOS DIÁRIOS'!$G$5:$G$500,"G",'LANÇAMENTOS DIÁRIOS'!$C$5:$C$500,$A49,'LANÇAMENTOS DIÁRIOS'!$O$5:$O$500,"&lt;=118579",'LANÇAMENTOS DIÁRIOS'!$P$5:$P$500,"&gt;=118480")&gt;0,"X","")</f>
      </c>
      <c r="N49" s="56" t="str">
        <f>IF(COUNTIFS('LANÇAMENTOS DIÁRIOS'!$G$5:$G$500,"G",'LANÇAMENTOS DIÁRIOS'!$C$5:$C$500,$A49,'LANÇAMENTOS DIÁRIOS'!$O$5:$O$500,"&lt;=118679",'LANÇAMENTOS DIÁRIOS'!$P$5:$P$500,"&gt;=118580")&gt;0,"X","")</f>
      </c>
      <c r="O49" s="56" t="str">
        <f>IF(COUNTIFS('LANÇAMENTOS DIÁRIOS'!$G$5:$G$500,"G",'LANÇAMENTOS DIÁRIOS'!$C$5:$C$500,$A49,'LANÇAMENTOS DIÁRIOS'!$O$5:$O$500,"&lt;=118779",'LANÇAMENTOS DIÁRIOS'!$P$5:$P$500,"&gt;=118680")&gt;0,"X","")</f>
      </c>
      <c r="P49" s="56" t="str">
        <f>IF(COUNTIFS('LANÇAMENTOS DIÁRIOS'!$G$5:$G$500,"G",'LANÇAMENTOS DIÁRIOS'!$C$5:$C$500,$A49,'LANÇAMENTOS DIÁRIOS'!$O$5:$O$500,"&lt;=118879",'LANÇAMENTOS DIÁRIOS'!$P$5:$P$500,"&gt;=118780")&gt;0,"X","")</f>
      </c>
      <c r="Q49" s="56" t="str">
        <f>IF(COUNTIFS('LANÇAMENTOS DIÁRIOS'!$G$5:$G$500,"G",'LANÇAMENTOS DIÁRIOS'!$C$5:$C$500,$A49,'LANÇAMENTOS DIÁRIOS'!$O$5:$O$500,"&lt;=118979",'LANÇAMENTOS DIÁRIOS'!$P$5:$P$500,"&gt;=118880")&gt;0,"X","")</f>
      </c>
      <c r="R49" s="56" t="str">
        <f>IF(COUNTIFS('LANÇAMENTOS DIÁRIOS'!$G$5:$G$500,"G",'LANÇAMENTOS DIÁRIOS'!$C$5:$C$500,$A49,'LANÇAMENTOS DIÁRIOS'!$O$5:$O$500,"&lt;=119079",'LANÇAMENTOS DIÁRIOS'!$P$5:$P$500,"&gt;=118980")&gt;0,"X","")</f>
      </c>
      <c r="S49" s="56" t="str">
        <f>IF(COUNTIFS('LANÇAMENTOS DIÁRIOS'!$G$5:$G$500,"G",'LANÇAMENTOS DIÁRIOS'!$C$5:$C$500,$A49,'LANÇAMENTOS DIÁRIOS'!$O$5:$O$500,"&lt;=119179",'LANÇAMENTOS DIÁRIOS'!$P$5:$P$500,"&gt;=119080")&gt;0,"X","")</f>
      </c>
      <c r="T49" s="56" t="str">
        <f>IF(COUNTIFS('LANÇAMENTOS DIÁRIOS'!$G$5:$G$500,"G",'LANÇAMENTOS DIÁRIOS'!$C$5:$C$500,$A49,'LANÇAMENTOS DIÁRIOS'!$O$5:$O$500,"&lt;=119279",'LANÇAMENTOS DIÁRIOS'!$P$5:$P$500,"&gt;=119180")&gt;0,"X","")</f>
      </c>
      <c r="U49" s="56" t="str">
        <f>IF(COUNTIFS('LANÇAMENTOS DIÁRIOS'!$G$5:$G$500,"G",'LANÇAMENTOS DIÁRIOS'!$C$5:$C$500,$A49,'LANÇAMENTOS DIÁRIOS'!$O$5:$O$500,"&lt;=119379",'LANÇAMENTOS DIÁRIOS'!$P$5:$P$500,"&gt;=119280")&gt;0,"X","")</f>
      </c>
      <c r="V49" s="56" t="str">
        <f>IF(COUNTIFS('LANÇAMENTOS DIÁRIOS'!$G$5:$G$500,"G",'LANÇAMENTOS DIÁRIOS'!$C$5:$C$500,$A49,'LANÇAMENTOS DIÁRIOS'!$O$5:$O$500,"&lt;=119479",'LANÇAMENTOS DIÁRIOS'!$P$5:$P$500,"&gt;=119380")&gt;0,"X","")</f>
      </c>
      <c r="W49" s="56" t="str">
        <f>IF(COUNTIFS('LANÇAMENTOS DIÁRIOS'!$G$5:$G$500,"G",'LANÇAMENTOS DIÁRIOS'!$C$5:$C$500,$A49,'LANÇAMENTOS DIÁRIOS'!$O$5:$O$500,"&lt;=119579",'LANÇAMENTOS DIÁRIOS'!$P$5:$P$500,"&gt;=119480")&gt;0,"X","")</f>
      </c>
      <c r="X49" s="56" t="str">
        <f>IF(COUNTIFS('LANÇAMENTOS DIÁRIOS'!$G$5:$G$500,"G",'LANÇAMENTOS DIÁRIOS'!$C$5:$C$500,$A49,'LANÇAMENTOS DIÁRIOS'!$O$5:$O$500,"&lt;=119679",'LANÇAMENTOS DIÁRIOS'!$P$5:$P$500,"&gt;=119580")&gt;0,"X","")</f>
      </c>
      <c r="Y49" s="56" t="str">
        <f>IF(COUNTIFS('LANÇAMENTOS DIÁRIOS'!$G$5:$G$500,"G",'LANÇAMENTOS DIÁRIOS'!$C$5:$C$500,$A49,'LANÇAMENTOS DIÁRIOS'!$O$5:$O$500,"&lt;=119779",'LANÇAMENTOS DIÁRIOS'!$P$5:$P$500,"&gt;=119680")&gt;0,"X","")</f>
      </c>
      <c r="Z49" s="56" t="str">
        <f>IF(COUNTIFS('LANÇAMENTOS DIÁRIOS'!$G$5:$G$500,"G",'LANÇAMENTOS DIÁRIOS'!$C$5:$C$500,$A49,'LANÇAMENTOS DIÁRIOS'!$O$5:$O$500,"&lt;=119879",'LANÇAMENTOS DIÁRIOS'!$P$5:$P$500,"&gt;=119780")&gt;0,"X","")</f>
      </c>
      <c r="AA49" s="56" t="str">
        <f>IF(COUNTIFS('LANÇAMENTOS DIÁRIOS'!$G$5:$G$500,"G",'LANÇAMENTOS DIÁRIOS'!$C$5:$C$500,$A49,'LANÇAMENTOS DIÁRIOS'!$O$5:$O$500,"&lt;=119979",'LANÇAMENTOS DIÁRIOS'!$P$5:$P$500,"&gt;=119880")&gt;0,"X","")</f>
      </c>
      <c r="AB49" s="56" t="str">
        <f>IF(COUNTIFS('LANÇAMENTOS DIÁRIOS'!$G$5:$G$500,"G",'LANÇAMENTOS DIÁRIOS'!$C$5:$C$500,$A49,'LANÇAMENTOS DIÁRIOS'!$O$5:$O$500,"&lt;=120079",'LANÇAMENTOS DIÁRIOS'!$P$5:$P$500,"&gt;=119980")&gt;0,"X","")</f>
      </c>
      <c r="AC49" s="56" t="str">
        <f>IF(COUNTIFS('LANÇAMENTOS DIÁRIOS'!$G$5:$G$500,"G",'LANÇAMENTOS DIÁRIOS'!$C$5:$C$500,$A49,'LANÇAMENTOS DIÁRIOS'!$O$5:$O$500,"&lt;=120179",'LANÇAMENTOS DIÁRIOS'!$P$5:$P$500,"&gt;=120080")&gt;0,"X","")</f>
      </c>
      <c r="AD49" s="56" t="str">
        <f>IF(COUNTIFS('LANÇAMENTOS DIÁRIOS'!$G$5:$G$500,"G",'LANÇAMENTOS DIÁRIOS'!$C$5:$C$500,$A49,'LANÇAMENTOS DIÁRIOS'!$O$5:$O$500,"&lt;=120279",'LANÇAMENTOS DIÁRIOS'!$P$5:$P$500,"&gt;=120180")&gt;0,"X","")</f>
      </c>
      <c r="AE49" s="56" t="str">
        <f>IF(COUNTIFS('LANÇAMENTOS DIÁRIOS'!$G$5:$G$500,"G",'LANÇAMENTOS DIÁRIOS'!$C$5:$C$500,$A49,'LANÇAMENTOS DIÁRIOS'!$O$5:$O$500,"&lt;=120379",'LANÇAMENTOS DIÁRIOS'!$P$5:$P$500,"&gt;=120280")&gt;0,"X","")</f>
      </c>
      <c r="AF49" s="56" t="str">
        <f>IF(COUNTIFS('LANÇAMENTOS DIÁRIOS'!$G$5:$G$500,"G",'LANÇAMENTOS DIÁRIOS'!$C$5:$C$500,$A49,'LANÇAMENTOS DIÁRIOS'!$O$5:$O$500,"&lt;=120479",'LANÇAMENTOS DIÁRIOS'!$P$5:$P$500,"&gt;=120380")&gt;0,"X","")</f>
      </c>
      <c r="AG49" s="56" t="str">
        <f>IF(COUNTIFS('LANÇAMENTOS DIÁRIOS'!$G$5:$G$500,"G",'LANÇAMENTOS DIÁRIOS'!$C$5:$C$500,$A49,'LANÇAMENTOS DIÁRIOS'!$O$5:$O$500,"&lt;=120579",'LANÇAMENTOS DIÁRIOS'!$P$5:$P$500,"&gt;=120480")&gt;0,"X","")</f>
      </c>
      <c r="AH49" s="56" t="str">
        <f>IF(COUNTIFS('LANÇAMENTOS DIÁRIOS'!$G$5:$G$500,"G",'LANÇAMENTOS DIÁRIOS'!$C$5:$C$500,$A49,'LANÇAMENTOS DIÁRIOS'!$O$5:$O$500,"&lt;=120679",'LANÇAMENTOS DIÁRIOS'!$P$5:$P$500,"&gt;=120580")&gt;0,"X","")</f>
      </c>
      <c r="AI49" s="56" t="str">
        <f>IF(COUNTIFS('LANÇAMENTOS DIÁRIOS'!$G$5:$G$500,"G",'LANÇAMENTOS DIÁRIOS'!$C$5:$C$500,$A49,'LANÇAMENTOS DIÁRIOS'!$O$5:$O$500,"&lt;=120779",'LANÇAMENTOS DIÁRIOS'!$P$5:$P$500,"&gt;=120680")&gt;0,"X","")</f>
      </c>
      <c r="AJ49" s="56" t="str">
        <f>IF(COUNTIFS('LANÇAMENTOS DIÁRIOS'!$G$5:$G$500,"G",'LANÇAMENTOS DIÁRIOS'!$C$5:$C$500,$A49,'LANÇAMENTOS DIÁRIOS'!$O$5:$O$500,"&lt;=120879",'LANÇAMENTOS DIÁRIOS'!$P$5:$P$500,"&gt;=120780")&gt;0,"X","")</f>
      </c>
      <c r="AK49" s="56" t="str">
        <f>IF(COUNTIFS('LANÇAMENTOS DIÁRIOS'!$G$5:$G$500,"G",'LANÇAMENTOS DIÁRIOS'!$C$5:$C$500,$A49,'LANÇAMENTOS DIÁRIOS'!$O$5:$O$500,"&lt;=120979",'LANÇAMENTOS DIÁRIOS'!$P$5:$P$500,"&gt;=120880")&gt;0,"X","")</f>
      </c>
      <c r="AL49" s="56" t="str">
        <f>IF(COUNTIFS('LANÇAMENTOS DIÁRIOS'!$G$5:$G$500,"G",'LANÇAMENTOS DIÁRIOS'!$C$5:$C$500,$A49,'LANÇAMENTOS DIÁRIOS'!$O$5:$O$500,"&lt;=121079",'LANÇAMENTOS DIÁRIOS'!$P$5:$P$500,"&gt;=120980")&gt;0,"X","")</f>
      </c>
      <c r="AM49" s="56" t="str">
        <f>IF(COUNTIFS('LANÇAMENTOS DIÁRIOS'!$G$5:$G$500,"G",'LANÇAMENTOS DIÁRIOS'!$C$5:$C$500,$A49,'LANÇAMENTOS DIÁRIOS'!$O$5:$O$500,"&lt;=121179",'LANÇAMENTOS DIÁRIOS'!$P$5:$P$500,"&gt;=121080")&gt;0,"X","")</f>
      </c>
      <c r="AN49" s="56" t="str">
        <f>IF(COUNTIFS('LANÇAMENTOS DIÁRIOS'!$G$5:$G$500,"G",'LANÇAMENTOS DIÁRIOS'!$C$5:$C$500,$A49,'LANÇAMENTOS DIÁRIOS'!$O$5:$O$500,"&lt;=121279",'LANÇAMENTOS DIÁRIOS'!$P$5:$P$500,"&gt;=121180")&gt;0,"X","")</f>
      </c>
      <c r="AO49" s="56" t="str">
        <f>IF(COUNTIFS('LANÇAMENTOS DIÁRIOS'!$G$5:$G$500,"G",'LANÇAMENTOS DIÁRIOS'!$C$5:$C$500,$A49,'LANÇAMENTOS DIÁRIOS'!$O$5:$O$500,"&lt;=121379",'LANÇAMENTOS DIÁRIOS'!$P$5:$P$500,"&gt;=121280")&gt;0,"X","")</f>
      </c>
      <c r="AP49" s="56" t="str">
        <f>IF(COUNTIFS('LANÇAMENTOS DIÁRIOS'!$G$5:$G$500,"G",'LANÇAMENTOS DIÁRIOS'!$C$5:$C$500,$A49,'LANÇAMENTOS DIÁRIOS'!$O$5:$O$500,"&lt;=121479",'LANÇAMENTOS DIÁRIOS'!$P$5:$P$500,"&gt;=121380")&gt;0,"X","")</f>
      </c>
      <c r="AQ49" s="56" t="str">
        <f>IF(COUNTIFS('LANÇAMENTOS DIÁRIOS'!$G$5:$G$500,"G",'LANÇAMENTOS DIÁRIOS'!$C$5:$C$500,$A49,'LANÇAMENTOS DIÁRIOS'!$O$5:$O$500,"&lt;=121579",'LANÇAMENTOS DIÁRIOS'!$P$5:$P$500,"&gt;=121480")&gt;0,"X","")</f>
      </c>
      <c r="AR49" s="56" t="str">
        <f>IF(COUNTIFS('LANÇAMENTOS DIÁRIOS'!$G$5:$G$500,"G",'LANÇAMENTOS DIÁRIOS'!$C$5:$C$500,$A49,'LANÇAMENTOS DIÁRIOS'!$O$5:$O$500,"&lt;=121679",'LANÇAMENTOS DIÁRIOS'!$P$5:$P$500,"&gt;=121580")&gt;0,"X","")</f>
      </c>
      <c r="AS49" s="56" t="str">
        <f>IF(COUNTIFS('LANÇAMENTOS DIÁRIOS'!$G$5:$G$500,"G",'LANÇAMENTOS DIÁRIOS'!$C$5:$C$500,$A49,'LANÇAMENTOS DIÁRIOS'!$O$5:$O$500,"&lt;=121779",'LANÇAMENTOS DIÁRIOS'!$P$5:$P$500,"&gt;=121680")&gt;0,"X","")</f>
      </c>
      <c r="AT49" s="56" t="str">
        <f>IF(COUNTIFS('LANÇAMENTOS DIÁRIOS'!$G$5:$G$500,"G",'LANÇAMENTOS DIÁRIOS'!$C$5:$C$500,$A49,'LANÇAMENTOS DIÁRIOS'!$O$5:$O$500,"&lt;=121879",'LANÇAMENTOS DIÁRIOS'!$P$5:$P$500,"&gt;=121780")&gt;0,"X","")</f>
      </c>
      <c r="AU49" s="56" t="str">
        <f>IF(COUNTIFS('LANÇAMENTOS DIÁRIOS'!$G$5:$G$500,"G",'LANÇAMENTOS DIÁRIOS'!$C$5:$C$500,$A49,'LANÇAMENTOS DIÁRIOS'!$O$5:$O$500,"&lt;=121979",'LANÇAMENTOS DIÁRIOS'!$P$5:$P$500,"&gt;=121880")&gt;0,"X","")</f>
      </c>
      <c r="AV49" s="56" t="str">
        <f>IF(COUNTIFS('LANÇAMENTOS DIÁRIOS'!$G$5:$G$500,"G",'LANÇAMENTOS DIÁRIOS'!$C$5:$C$500,$A49,'LANÇAMENTOS DIÁRIOS'!$O$5:$O$500,"&lt;=122079",'LANÇAMENTOS DIÁRIOS'!$P$5:$P$500,"&gt;=121980")&gt;0,"X","")</f>
      </c>
      <c r="AW49" s="56" t="str">
        <f>IF(COUNTIFS('LANÇAMENTOS DIÁRIOS'!$G$5:$G$500,"G",'LANÇAMENTOS DIÁRIOS'!$C$5:$C$500,$A49,'LANÇAMENTOS DIÁRIOS'!$O$5:$O$500,"&lt;=122179",'LANÇAMENTOS DIÁRIOS'!$P$5:$P$500,"&gt;=122080")&gt;0,"X","")</f>
      </c>
      <c r="AX49" s="56" t="str">
        <f>IF(COUNTIFS('LANÇAMENTOS DIÁRIOS'!$G$5:$G$500,"G",'LANÇAMENTOS DIÁRIOS'!$C$5:$C$500,$A49,'LANÇAMENTOS DIÁRIOS'!$O$5:$O$500,"&lt;=122279",'LANÇAMENTOS DIÁRIOS'!$P$5:$P$500,"&gt;=122180")&gt;0,"X","")</f>
      </c>
      <c r="AY49" s="56" t="str">
        <f>IF(COUNTIFS('LANÇAMENTOS DIÁRIOS'!$G$5:$G$500,"G",'LANÇAMENTOS DIÁRIOS'!$C$5:$C$500,$A49,'LANÇAMENTOS DIÁRIOS'!$O$5:$O$500,"&lt;=122379",'LANÇAMENTOS DIÁRIOS'!$P$5:$P$500,"&gt;=122280")&gt;0,"X","")</f>
      </c>
      <c r="AZ49" s="56" t="str">
        <f>IF(COUNTIFS('LANÇAMENTOS DIÁRIOS'!$G$5:$G$500,"G",'LANÇAMENTOS DIÁRIOS'!$C$5:$C$500,$A49,'LANÇAMENTOS DIÁRIOS'!$O$5:$O$500,"&lt;=122479",'LANÇAMENTOS DIÁRIOS'!$P$5:$P$500,"&gt;=122380")&gt;0,"X","")</f>
      </c>
      <c r="BA49" s="56" t="str">
        <f>IF(COUNTIFS('LANÇAMENTOS DIÁRIOS'!$G$5:$G$500,"G",'LANÇAMENTOS DIÁRIOS'!$C$5:$C$500,$A49,'LANÇAMENTOS DIÁRIOS'!$O$5:$O$500,"&lt;=122579",'LANÇAMENTOS DIÁRIOS'!$P$5:$P$500,"&gt;=122480")&gt;0,"X","")</f>
      </c>
      <c r="BB49" s="56" t="str">
        <f>IF(COUNTIFS('LANÇAMENTOS DIÁRIOS'!$G$5:$G$500,"G",'LANÇAMENTOS DIÁRIOS'!$C$5:$C$500,$A49,'LANÇAMENTOS DIÁRIOS'!$O$5:$O$500,"&lt;=122679",'LANÇAMENTOS DIÁRIOS'!$P$5:$P$500,"&gt;=122580")&gt;0,"X","")</f>
      </c>
      <c r="BC49" s="56" t="str">
        <f>IF(COUNTIFS('LANÇAMENTOS DIÁRIOS'!$G$5:$G$500,"G",'LANÇAMENTOS DIÁRIOS'!$C$5:$C$500,$A49,'LANÇAMENTOS DIÁRIOS'!$O$5:$O$500,"&lt;=122779",'LANÇAMENTOS DIÁRIOS'!$P$5:$P$500,"&gt;=122680")&gt;0,"X","")</f>
      </c>
      <c r="BD49" s="56" t="str">
        <f>IF(COUNTIFS('LANÇAMENTOS DIÁRIOS'!$G$5:$G$500,"G",'LANÇAMENTOS DIÁRIOS'!$C$5:$C$500,$A49,'LANÇAMENTOS DIÁRIOS'!$O$5:$O$500,"&lt;=122879",'LANÇAMENTOS DIÁRIOS'!$P$5:$P$500,"&gt;=122780")&gt;0,"X","")</f>
      </c>
      <c r="BE49" s="56" t="str">
        <f>IF(COUNTIFS('LANÇAMENTOS DIÁRIOS'!$G$5:$G$500,"G",'LANÇAMENTOS DIÁRIOS'!$C$5:$C$500,$A49,'LANÇAMENTOS DIÁRIOS'!$O$5:$O$500,"&lt;=122979",'LANÇAMENTOS DIÁRIOS'!$P$5:$P$500,"&gt;=122880")&gt;0,"X","")</f>
      </c>
      <c r="BF49" s="56" t="str">
        <f>IF(COUNTIFS('LANÇAMENTOS DIÁRIOS'!$G$5:$G$500,"G",'LANÇAMENTOS DIÁRIOS'!$C$5:$C$500,$A49,'LANÇAMENTOS DIÁRIOS'!$O$5:$O$500,"&lt;=123079",'LANÇAMENTOS DIÁRIOS'!$P$5:$P$500,"&gt;=122980")&gt;0,"X","")</f>
      </c>
      <c r="BG49" s="56" t="str">
        <f>IF(COUNTIFS('LANÇAMENTOS DIÁRIOS'!$G$5:$G$500,"G",'LANÇAMENTOS DIÁRIOS'!$C$5:$C$500,$A49,'LANÇAMENTOS DIÁRIOS'!$O$5:$O$500,"&lt;=123179",'LANÇAMENTOS DIÁRIOS'!$P$5:$P$500,"&gt;=123080")&gt;0,"X","")</f>
      </c>
      <c r="BH49" s="56" t="str">
        <f>IF(COUNTIFS('LANÇAMENTOS DIÁRIOS'!$G$5:$G$500,"G",'LANÇAMENTOS DIÁRIOS'!$C$5:$C$500,$A49,'LANÇAMENTOS DIÁRIOS'!$O$5:$O$500,"&lt;=123279",'LANÇAMENTOS DIÁRIOS'!$P$5:$P$500,"&gt;=123180")&gt;0,"X","")</f>
      </c>
      <c r="BI49" s="56" t="str">
        <f>IF(COUNTIFS('LANÇAMENTOS DIÁRIOS'!$G$5:$G$500,"G",'LANÇAMENTOS DIÁRIOS'!$C$5:$C$500,$A49,'LANÇAMENTOS DIÁRIOS'!$O$5:$O$500,"&lt;=123379",'LANÇAMENTOS DIÁRIOS'!$P$5:$P$500,"&gt;=123280")&gt;0,"X","")</f>
      </c>
      <c r="BJ49" s="56" t="str">
        <f>IF(COUNTIFS('LANÇAMENTOS DIÁRIOS'!$G$5:$G$500,"G",'LANÇAMENTOS DIÁRIOS'!$C$5:$C$500,$A49,'LANÇAMENTOS DIÁRIOS'!$O$5:$O$500,"&lt;=123479",'LANÇAMENTOS DIÁRIOS'!$P$5:$P$500,"&gt;=123380")&gt;0,"X","")</f>
      </c>
      <c r="BK49" s="56" t="str">
        <f>IF(COUNTIFS('LANÇAMENTOS DIÁRIOS'!$G$5:$G$500,"G",'LANÇAMENTOS DIÁRIOS'!$C$5:$C$500,$A49,'LANÇAMENTOS DIÁRIOS'!$O$5:$O$500,"&lt;=123480",'LANÇAMENTOS DIÁRIOS'!$P$5:$P$500,"&gt;=123480")&gt;0,"X","")</f>
      </c>
    </row>
    <row r="50">
      <c r="A50" s="51" t="str">
        <v>Escavação de solo mole</v>
      </c>
      <c r="B50" s="56" t="str">
        <f>IF(COUNTIFS('LANÇAMENTOS DIÁRIOS'!$G$5:$G$500,"G",'LANÇAMENTOS DIÁRIOS'!$C$5:$C$500,$A50,'LANÇAMENTOS DIÁRIOS'!$O$5:$O$500,"&lt;=117479",'LANÇAMENTOS DIÁRIOS'!$P$5:$P$500,"&gt;=117380")&gt;0,"X","")</f>
      </c>
      <c r="C50" s="56" t="str">
        <f>IF(COUNTIFS('LANÇAMENTOS DIÁRIOS'!$G$5:$G$500,"G",'LANÇAMENTOS DIÁRIOS'!$C$5:$C$500,$A50,'LANÇAMENTOS DIÁRIOS'!$O$5:$O$500,"&lt;=117579",'LANÇAMENTOS DIÁRIOS'!$P$5:$P$500,"&gt;=117480")&gt;0,"X","")</f>
      </c>
      <c r="D50" s="56" t="str">
        <f>IF(COUNTIFS('LANÇAMENTOS DIÁRIOS'!$G$5:$G$500,"G",'LANÇAMENTOS DIÁRIOS'!$C$5:$C$500,$A50,'LANÇAMENTOS DIÁRIOS'!$O$5:$O$500,"&lt;=117679",'LANÇAMENTOS DIÁRIOS'!$P$5:$P$500,"&gt;=117580")&gt;0,"X","")</f>
      </c>
      <c r="E50" s="56" t="str">
        <f>IF(COUNTIFS('LANÇAMENTOS DIÁRIOS'!$G$5:$G$500,"G",'LANÇAMENTOS DIÁRIOS'!$C$5:$C$500,$A50,'LANÇAMENTOS DIÁRIOS'!$O$5:$O$500,"&lt;=117779",'LANÇAMENTOS DIÁRIOS'!$P$5:$P$500,"&gt;=117680")&gt;0,"X","")</f>
      </c>
      <c r="F50" s="56" t="str">
        <f>IF(COUNTIFS('LANÇAMENTOS DIÁRIOS'!$G$5:$G$500,"G",'LANÇAMENTOS DIÁRIOS'!$C$5:$C$500,$A50,'LANÇAMENTOS DIÁRIOS'!$O$5:$O$500,"&lt;=117879",'LANÇAMENTOS DIÁRIOS'!$P$5:$P$500,"&gt;=117780")&gt;0,"X","")</f>
      </c>
      <c r="G50" s="56" t="str">
        <f>IF(COUNTIFS('LANÇAMENTOS DIÁRIOS'!$G$5:$G$500,"G",'LANÇAMENTOS DIÁRIOS'!$C$5:$C$500,$A50,'LANÇAMENTOS DIÁRIOS'!$O$5:$O$500,"&lt;=117979",'LANÇAMENTOS DIÁRIOS'!$P$5:$P$500,"&gt;=117880")&gt;0,"X","")</f>
      </c>
      <c r="H50" s="56" t="str">
        <f>IF(COUNTIFS('LANÇAMENTOS DIÁRIOS'!$G$5:$G$500,"G",'LANÇAMENTOS DIÁRIOS'!$C$5:$C$500,$A50,'LANÇAMENTOS DIÁRIOS'!$O$5:$O$500,"&lt;=118079",'LANÇAMENTOS DIÁRIOS'!$P$5:$P$500,"&gt;=117980")&gt;0,"X","")</f>
      </c>
      <c r="I50" s="56" t="str">
        <f>IF(COUNTIFS('LANÇAMENTOS DIÁRIOS'!$G$5:$G$500,"G",'LANÇAMENTOS DIÁRIOS'!$C$5:$C$500,$A50,'LANÇAMENTOS DIÁRIOS'!$O$5:$O$500,"&lt;=118179",'LANÇAMENTOS DIÁRIOS'!$P$5:$P$500,"&gt;=118080")&gt;0,"X","")</f>
      </c>
      <c r="J50" s="56" t="str">
        <f>IF(COUNTIFS('LANÇAMENTOS DIÁRIOS'!$G$5:$G$500,"G",'LANÇAMENTOS DIÁRIOS'!$C$5:$C$500,$A50,'LANÇAMENTOS DIÁRIOS'!$O$5:$O$500,"&lt;=118279",'LANÇAMENTOS DIÁRIOS'!$P$5:$P$500,"&gt;=118180")&gt;0,"X","")</f>
      </c>
      <c r="K50" s="56" t="str">
        <f>IF(COUNTIFS('LANÇAMENTOS DIÁRIOS'!$G$5:$G$500,"G",'LANÇAMENTOS DIÁRIOS'!$C$5:$C$500,$A50,'LANÇAMENTOS DIÁRIOS'!$O$5:$O$500,"&lt;=118379",'LANÇAMENTOS DIÁRIOS'!$P$5:$P$500,"&gt;=118280")&gt;0,"X","")</f>
      </c>
      <c r="L50" s="56" t="str">
        <f>IF(COUNTIFS('LANÇAMENTOS DIÁRIOS'!$G$5:$G$500,"G",'LANÇAMENTOS DIÁRIOS'!$C$5:$C$500,$A50,'LANÇAMENTOS DIÁRIOS'!$O$5:$O$500,"&lt;=118479",'LANÇAMENTOS DIÁRIOS'!$P$5:$P$500,"&gt;=118380")&gt;0,"X","")</f>
      </c>
      <c r="M50" s="56" t="str">
        <f>IF(COUNTIFS('LANÇAMENTOS DIÁRIOS'!$G$5:$G$500,"G",'LANÇAMENTOS DIÁRIOS'!$C$5:$C$500,$A50,'LANÇAMENTOS DIÁRIOS'!$O$5:$O$500,"&lt;=118579",'LANÇAMENTOS DIÁRIOS'!$P$5:$P$500,"&gt;=118480")&gt;0,"X","")</f>
      </c>
      <c r="N50" s="56" t="str">
        <f>IF(COUNTIFS('LANÇAMENTOS DIÁRIOS'!$G$5:$G$500,"G",'LANÇAMENTOS DIÁRIOS'!$C$5:$C$500,$A50,'LANÇAMENTOS DIÁRIOS'!$O$5:$O$500,"&lt;=118679",'LANÇAMENTOS DIÁRIOS'!$P$5:$P$500,"&gt;=118580")&gt;0,"X","")</f>
      </c>
      <c r="O50" s="56" t="str">
        <f>IF(COUNTIFS('LANÇAMENTOS DIÁRIOS'!$G$5:$G$500,"G",'LANÇAMENTOS DIÁRIOS'!$C$5:$C$500,$A50,'LANÇAMENTOS DIÁRIOS'!$O$5:$O$500,"&lt;=118779",'LANÇAMENTOS DIÁRIOS'!$P$5:$P$500,"&gt;=118680")&gt;0,"X","")</f>
      </c>
      <c r="P50" s="56" t="str">
        <f>IF(COUNTIFS('LANÇAMENTOS DIÁRIOS'!$G$5:$G$500,"G",'LANÇAMENTOS DIÁRIOS'!$C$5:$C$500,$A50,'LANÇAMENTOS DIÁRIOS'!$O$5:$O$500,"&lt;=118879",'LANÇAMENTOS DIÁRIOS'!$P$5:$P$500,"&gt;=118780")&gt;0,"X","")</f>
      </c>
      <c r="Q50" s="56" t="str">
        <f>IF(COUNTIFS('LANÇAMENTOS DIÁRIOS'!$G$5:$G$500,"G",'LANÇAMENTOS DIÁRIOS'!$C$5:$C$500,$A50,'LANÇAMENTOS DIÁRIOS'!$O$5:$O$500,"&lt;=118979",'LANÇAMENTOS DIÁRIOS'!$P$5:$P$500,"&gt;=118880")&gt;0,"X","")</f>
      </c>
      <c r="R50" s="56" t="str">
        <f>IF(COUNTIFS('LANÇAMENTOS DIÁRIOS'!$G$5:$G$500,"G",'LANÇAMENTOS DIÁRIOS'!$C$5:$C$500,$A50,'LANÇAMENTOS DIÁRIOS'!$O$5:$O$500,"&lt;=119079",'LANÇAMENTOS DIÁRIOS'!$P$5:$P$500,"&gt;=118980")&gt;0,"X","")</f>
      </c>
      <c r="S50" s="56" t="str">
        <f>IF(COUNTIFS('LANÇAMENTOS DIÁRIOS'!$G$5:$G$500,"G",'LANÇAMENTOS DIÁRIOS'!$C$5:$C$500,$A50,'LANÇAMENTOS DIÁRIOS'!$O$5:$O$500,"&lt;=119179",'LANÇAMENTOS DIÁRIOS'!$P$5:$P$500,"&gt;=119080")&gt;0,"X","")</f>
      </c>
      <c r="T50" s="56" t="str">
        <f>IF(COUNTIFS('LANÇAMENTOS DIÁRIOS'!$G$5:$G$500,"G",'LANÇAMENTOS DIÁRIOS'!$C$5:$C$500,$A50,'LANÇAMENTOS DIÁRIOS'!$O$5:$O$500,"&lt;=119279",'LANÇAMENTOS DIÁRIOS'!$P$5:$P$500,"&gt;=119180")&gt;0,"X","")</f>
      </c>
      <c r="U50" s="56" t="str">
        <f>IF(COUNTIFS('LANÇAMENTOS DIÁRIOS'!$G$5:$G$500,"G",'LANÇAMENTOS DIÁRIOS'!$C$5:$C$500,$A50,'LANÇAMENTOS DIÁRIOS'!$O$5:$O$500,"&lt;=119379",'LANÇAMENTOS DIÁRIOS'!$P$5:$P$500,"&gt;=119280")&gt;0,"X","")</f>
      </c>
      <c r="V50" s="56" t="str">
        <f>IF(COUNTIFS('LANÇAMENTOS DIÁRIOS'!$G$5:$G$500,"G",'LANÇAMENTOS DIÁRIOS'!$C$5:$C$500,$A50,'LANÇAMENTOS DIÁRIOS'!$O$5:$O$500,"&lt;=119479",'LANÇAMENTOS DIÁRIOS'!$P$5:$P$500,"&gt;=119380")&gt;0,"X","")</f>
      </c>
      <c r="W50" s="56" t="str">
        <f>IF(COUNTIFS('LANÇAMENTOS DIÁRIOS'!$G$5:$G$500,"G",'LANÇAMENTOS DIÁRIOS'!$C$5:$C$500,$A50,'LANÇAMENTOS DIÁRIOS'!$O$5:$O$500,"&lt;=119579",'LANÇAMENTOS DIÁRIOS'!$P$5:$P$500,"&gt;=119480")&gt;0,"X","")</f>
      </c>
      <c r="X50" s="56" t="str">
        <f>IF(COUNTIFS('LANÇAMENTOS DIÁRIOS'!$G$5:$G$500,"G",'LANÇAMENTOS DIÁRIOS'!$C$5:$C$500,$A50,'LANÇAMENTOS DIÁRIOS'!$O$5:$O$500,"&lt;=119679",'LANÇAMENTOS DIÁRIOS'!$P$5:$P$500,"&gt;=119580")&gt;0,"X","")</f>
      </c>
      <c r="Y50" s="56" t="str">
        <f>IF(COUNTIFS('LANÇAMENTOS DIÁRIOS'!$G$5:$G$500,"G",'LANÇAMENTOS DIÁRIOS'!$C$5:$C$500,$A50,'LANÇAMENTOS DIÁRIOS'!$O$5:$O$500,"&lt;=119779",'LANÇAMENTOS DIÁRIOS'!$P$5:$P$500,"&gt;=119680")&gt;0,"X","")</f>
      </c>
      <c r="Z50" s="56" t="str">
        <f>IF(COUNTIFS('LANÇAMENTOS DIÁRIOS'!$G$5:$G$500,"G",'LANÇAMENTOS DIÁRIOS'!$C$5:$C$500,$A50,'LANÇAMENTOS DIÁRIOS'!$O$5:$O$500,"&lt;=119879",'LANÇAMENTOS DIÁRIOS'!$P$5:$P$500,"&gt;=119780")&gt;0,"X","")</f>
      </c>
      <c r="AA50" s="56" t="str">
        <f>IF(COUNTIFS('LANÇAMENTOS DIÁRIOS'!$G$5:$G$500,"G",'LANÇAMENTOS DIÁRIOS'!$C$5:$C$500,$A50,'LANÇAMENTOS DIÁRIOS'!$O$5:$O$500,"&lt;=119979",'LANÇAMENTOS DIÁRIOS'!$P$5:$P$500,"&gt;=119880")&gt;0,"X","")</f>
      </c>
      <c r="AB50" s="56" t="str">
        <f>IF(COUNTIFS('LANÇAMENTOS DIÁRIOS'!$G$5:$G$500,"G",'LANÇAMENTOS DIÁRIOS'!$C$5:$C$500,$A50,'LANÇAMENTOS DIÁRIOS'!$O$5:$O$500,"&lt;=120079",'LANÇAMENTOS DIÁRIOS'!$P$5:$P$500,"&gt;=119980")&gt;0,"X","")</f>
      </c>
      <c r="AC50" s="56" t="str">
        <f>IF(COUNTIFS('LANÇAMENTOS DIÁRIOS'!$G$5:$G$500,"G",'LANÇAMENTOS DIÁRIOS'!$C$5:$C$500,$A50,'LANÇAMENTOS DIÁRIOS'!$O$5:$O$500,"&lt;=120179",'LANÇAMENTOS DIÁRIOS'!$P$5:$P$500,"&gt;=120080")&gt;0,"X","")</f>
      </c>
      <c r="AD50" s="56" t="str">
        <f>IF(COUNTIFS('LANÇAMENTOS DIÁRIOS'!$G$5:$G$500,"G",'LANÇAMENTOS DIÁRIOS'!$C$5:$C$500,$A50,'LANÇAMENTOS DIÁRIOS'!$O$5:$O$500,"&lt;=120279",'LANÇAMENTOS DIÁRIOS'!$P$5:$P$500,"&gt;=120180")&gt;0,"X","")</f>
      </c>
      <c r="AE50" s="56" t="str">
        <f>IF(COUNTIFS('LANÇAMENTOS DIÁRIOS'!$G$5:$G$500,"G",'LANÇAMENTOS DIÁRIOS'!$C$5:$C$500,$A50,'LANÇAMENTOS DIÁRIOS'!$O$5:$O$500,"&lt;=120379",'LANÇAMENTOS DIÁRIOS'!$P$5:$P$500,"&gt;=120280")&gt;0,"X","")</f>
      </c>
      <c r="AF50" s="56" t="str">
        <f>IF(COUNTIFS('LANÇAMENTOS DIÁRIOS'!$G$5:$G$500,"G",'LANÇAMENTOS DIÁRIOS'!$C$5:$C$500,$A50,'LANÇAMENTOS DIÁRIOS'!$O$5:$O$500,"&lt;=120479",'LANÇAMENTOS DIÁRIOS'!$P$5:$P$500,"&gt;=120380")&gt;0,"X","")</f>
      </c>
      <c r="AG50" s="56" t="str">
        <f>IF(COUNTIFS('LANÇAMENTOS DIÁRIOS'!$G$5:$G$500,"G",'LANÇAMENTOS DIÁRIOS'!$C$5:$C$500,$A50,'LANÇAMENTOS DIÁRIOS'!$O$5:$O$500,"&lt;=120579",'LANÇAMENTOS DIÁRIOS'!$P$5:$P$500,"&gt;=120480")&gt;0,"X","")</f>
      </c>
      <c r="AH50" s="56" t="str">
        <f>IF(COUNTIFS('LANÇAMENTOS DIÁRIOS'!$G$5:$G$500,"G",'LANÇAMENTOS DIÁRIOS'!$C$5:$C$500,$A50,'LANÇAMENTOS DIÁRIOS'!$O$5:$O$500,"&lt;=120679",'LANÇAMENTOS DIÁRIOS'!$P$5:$P$500,"&gt;=120580")&gt;0,"X","")</f>
      </c>
      <c r="AI50" s="56" t="str">
        <f>IF(COUNTIFS('LANÇAMENTOS DIÁRIOS'!$G$5:$G$500,"G",'LANÇAMENTOS DIÁRIOS'!$C$5:$C$500,$A50,'LANÇAMENTOS DIÁRIOS'!$O$5:$O$500,"&lt;=120779",'LANÇAMENTOS DIÁRIOS'!$P$5:$P$500,"&gt;=120680")&gt;0,"X","")</f>
      </c>
      <c r="AJ50" s="56" t="str">
        <f>IF(COUNTIFS('LANÇAMENTOS DIÁRIOS'!$G$5:$G$500,"G",'LANÇAMENTOS DIÁRIOS'!$C$5:$C$500,$A50,'LANÇAMENTOS DIÁRIOS'!$O$5:$O$500,"&lt;=120879",'LANÇAMENTOS DIÁRIOS'!$P$5:$P$500,"&gt;=120780")&gt;0,"X","")</f>
      </c>
      <c r="AK50" s="56" t="str">
        <f>IF(COUNTIFS('LANÇAMENTOS DIÁRIOS'!$G$5:$G$500,"G",'LANÇAMENTOS DIÁRIOS'!$C$5:$C$500,$A50,'LANÇAMENTOS DIÁRIOS'!$O$5:$O$500,"&lt;=120979",'LANÇAMENTOS DIÁRIOS'!$P$5:$P$500,"&gt;=120880")&gt;0,"X","")</f>
      </c>
      <c r="AL50" s="56" t="str">
        <f>IF(COUNTIFS('LANÇAMENTOS DIÁRIOS'!$G$5:$G$500,"G",'LANÇAMENTOS DIÁRIOS'!$C$5:$C$500,$A50,'LANÇAMENTOS DIÁRIOS'!$O$5:$O$500,"&lt;=121079",'LANÇAMENTOS DIÁRIOS'!$P$5:$P$500,"&gt;=120980")&gt;0,"X","")</f>
      </c>
      <c r="AM50" s="56" t="str">
        <f>IF(COUNTIFS('LANÇAMENTOS DIÁRIOS'!$G$5:$G$500,"G",'LANÇAMENTOS DIÁRIOS'!$C$5:$C$500,$A50,'LANÇAMENTOS DIÁRIOS'!$O$5:$O$500,"&lt;=121179",'LANÇAMENTOS DIÁRIOS'!$P$5:$P$500,"&gt;=121080")&gt;0,"X","")</f>
      </c>
      <c r="AN50" s="56" t="str">
        <f>IF(COUNTIFS('LANÇAMENTOS DIÁRIOS'!$G$5:$G$500,"G",'LANÇAMENTOS DIÁRIOS'!$C$5:$C$500,$A50,'LANÇAMENTOS DIÁRIOS'!$O$5:$O$500,"&lt;=121279",'LANÇAMENTOS DIÁRIOS'!$P$5:$P$500,"&gt;=121180")&gt;0,"X","")</f>
      </c>
      <c r="AO50" s="56" t="str">
        <f>IF(COUNTIFS('LANÇAMENTOS DIÁRIOS'!$G$5:$G$500,"G",'LANÇAMENTOS DIÁRIOS'!$C$5:$C$500,$A50,'LANÇAMENTOS DIÁRIOS'!$O$5:$O$500,"&lt;=121379",'LANÇAMENTOS DIÁRIOS'!$P$5:$P$500,"&gt;=121280")&gt;0,"X","")</f>
      </c>
      <c r="AP50" s="56" t="str">
        <f>IF(COUNTIFS('LANÇAMENTOS DIÁRIOS'!$G$5:$G$500,"G",'LANÇAMENTOS DIÁRIOS'!$C$5:$C$500,$A50,'LANÇAMENTOS DIÁRIOS'!$O$5:$O$500,"&lt;=121479",'LANÇAMENTOS DIÁRIOS'!$P$5:$P$500,"&gt;=121380")&gt;0,"X","")</f>
      </c>
      <c r="AQ50" s="56" t="str">
        <f>IF(COUNTIFS('LANÇAMENTOS DIÁRIOS'!$G$5:$G$500,"G",'LANÇAMENTOS DIÁRIOS'!$C$5:$C$500,$A50,'LANÇAMENTOS DIÁRIOS'!$O$5:$O$500,"&lt;=121579",'LANÇAMENTOS DIÁRIOS'!$P$5:$P$500,"&gt;=121480")&gt;0,"X","")</f>
      </c>
      <c r="AR50" s="56" t="str">
        <f>IF(COUNTIFS('LANÇAMENTOS DIÁRIOS'!$G$5:$G$500,"G",'LANÇAMENTOS DIÁRIOS'!$C$5:$C$500,$A50,'LANÇAMENTOS DIÁRIOS'!$O$5:$O$500,"&lt;=121679",'LANÇAMENTOS DIÁRIOS'!$P$5:$P$500,"&gt;=121580")&gt;0,"X","")</f>
      </c>
      <c r="AS50" s="56" t="str">
        <f>IF(COUNTIFS('LANÇAMENTOS DIÁRIOS'!$G$5:$G$500,"G",'LANÇAMENTOS DIÁRIOS'!$C$5:$C$500,$A50,'LANÇAMENTOS DIÁRIOS'!$O$5:$O$500,"&lt;=121779",'LANÇAMENTOS DIÁRIOS'!$P$5:$P$500,"&gt;=121680")&gt;0,"X","")</f>
      </c>
      <c r="AT50" s="56" t="str">
        <f>IF(COUNTIFS('LANÇAMENTOS DIÁRIOS'!$G$5:$G$500,"G",'LANÇAMENTOS DIÁRIOS'!$C$5:$C$500,$A50,'LANÇAMENTOS DIÁRIOS'!$O$5:$O$500,"&lt;=121879",'LANÇAMENTOS DIÁRIOS'!$P$5:$P$500,"&gt;=121780")&gt;0,"X","")</f>
      </c>
      <c r="AU50" s="56" t="str">
        <f>IF(COUNTIFS('LANÇAMENTOS DIÁRIOS'!$G$5:$G$500,"G",'LANÇAMENTOS DIÁRIOS'!$C$5:$C$500,$A50,'LANÇAMENTOS DIÁRIOS'!$O$5:$O$500,"&lt;=121979",'LANÇAMENTOS DIÁRIOS'!$P$5:$P$500,"&gt;=121880")&gt;0,"X","")</f>
      </c>
      <c r="AV50" s="56" t="str">
        <f>IF(COUNTIFS('LANÇAMENTOS DIÁRIOS'!$G$5:$G$500,"G",'LANÇAMENTOS DIÁRIOS'!$C$5:$C$500,$A50,'LANÇAMENTOS DIÁRIOS'!$O$5:$O$500,"&lt;=122079",'LANÇAMENTOS DIÁRIOS'!$P$5:$P$500,"&gt;=121980")&gt;0,"X","")</f>
      </c>
      <c r="AW50" s="56" t="str">
        <f>IF(COUNTIFS('LANÇAMENTOS DIÁRIOS'!$G$5:$G$500,"G",'LANÇAMENTOS DIÁRIOS'!$C$5:$C$500,$A50,'LANÇAMENTOS DIÁRIOS'!$O$5:$O$500,"&lt;=122179",'LANÇAMENTOS DIÁRIOS'!$P$5:$P$500,"&gt;=122080")&gt;0,"X","")</f>
      </c>
      <c r="AX50" s="56" t="str">
        <f>IF(COUNTIFS('LANÇAMENTOS DIÁRIOS'!$G$5:$G$500,"G",'LANÇAMENTOS DIÁRIOS'!$C$5:$C$500,$A50,'LANÇAMENTOS DIÁRIOS'!$O$5:$O$500,"&lt;=122279",'LANÇAMENTOS DIÁRIOS'!$P$5:$P$500,"&gt;=122180")&gt;0,"X","")</f>
      </c>
      <c r="AY50" s="56" t="str">
        <f>IF(COUNTIFS('LANÇAMENTOS DIÁRIOS'!$G$5:$G$500,"G",'LANÇAMENTOS DIÁRIOS'!$C$5:$C$500,$A50,'LANÇAMENTOS DIÁRIOS'!$O$5:$O$500,"&lt;=122379",'LANÇAMENTOS DIÁRIOS'!$P$5:$P$500,"&gt;=122280")&gt;0,"X","")</f>
      </c>
      <c r="AZ50" s="56" t="str">
        <f>IF(COUNTIFS('LANÇAMENTOS DIÁRIOS'!$G$5:$G$500,"G",'LANÇAMENTOS DIÁRIOS'!$C$5:$C$500,$A50,'LANÇAMENTOS DIÁRIOS'!$O$5:$O$500,"&lt;=122479",'LANÇAMENTOS DIÁRIOS'!$P$5:$P$500,"&gt;=122380")&gt;0,"X","")</f>
      </c>
      <c r="BA50" s="56" t="str">
        <f>IF(COUNTIFS('LANÇAMENTOS DIÁRIOS'!$G$5:$G$500,"G",'LANÇAMENTOS DIÁRIOS'!$C$5:$C$500,$A50,'LANÇAMENTOS DIÁRIOS'!$O$5:$O$500,"&lt;=122579",'LANÇAMENTOS DIÁRIOS'!$P$5:$P$500,"&gt;=122480")&gt;0,"X","")</f>
      </c>
      <c r="BB50" s="56" t="str">
        <f>IF(COUNTIFS('LANÇAMENTOS DIÁRIOS'!$G$5:$G$500,"G",'LANÇAMENTOS DIÁRIOS'!$C$5:$C$500,$A50,'LANÇAMENTOS DIÁRIOS'!$O$5:$O$500,"&lt;=122679",'LANÇAMENTOS DIÁRIOS'!$P$5:$P$500,"&gt;=122580")&gt;0,"X","")</f>
      </c>
      <c r="BC50" s="56" t="str">
        <f>IF(COUNTIFS('LANÇAMENTOS DIÁRIOS'!$G$5:$G$500,"G",'LANÇAMENTOS DIÁRIOS'!$C$5:$C$500,$A50,'LANÇAMENTOS DIÁRIOS'!$O$5:$O$500,"&lt;=122779",'LANÇAMENTOS DIÁRIOS'!$P$5:$P$500,"&gt;=122680")&gt;0,"X","")</f>
      </c>
      <c r="BD50" s="56" t="str">
        <f>IF(COUNTIFS('LANÇAMENTOS DIÁRIOS'!$G$5:$G$500,"G",'LANÇAMENTOS DIÁRIOS'!$C$5:$C$500,$A50,'LANÇAMENTOS DIÁRIOS'!$O$5:$O$500,"&lt;=122879",'LANÇAMENTOS DIÁRIOS'!$P$5:$P$500,"&gt;=122780")&gt;0,"X","")</f>
      </c>
      <c r="BE50" s="56" t="str">
        <f>IF(COUNTIFS('LANÇAMENTOS DIÁRIOS'!$G$5:$G$500,"G",'LANÇAMENTOS DIÁRIOS'!$C$5:$C$500,$A50,'LANÇAMENTOS DIÁRIOS'!$O$5:$O$500,"&lt;=122979",'LANÇAMENTOS DIÁRIOS'!$P$5:$P$500,"&gt;=122880")&gt;0,"X","")</f>
      </c>
      <c r="BF50" s="56" t="str">
        <f>IF(COUNTIFS('LANÇAMENTOS DIÁRIOS'!$G$5:$G$500,"G",'LANÇAMENTOS DIÁRIOS'!$C$5:$C$500,$A50,'LANÇAMENTOS DIÁRIOS'!$O$5:$O$500,"&lt;=123079",'LANÇAMENTOS DIÁRIOS'!$P$5:$P$500,"&gt;=122980")&gt;0,"X","")</f>
      </c>
      <c r="BG50" s="56" t="str">
        <f>IF(COUNTIFS('LANÇAMENTOS DIÁRIOS'!$G$5:$G$500,"G",'LANÇAMENTOS DIÁRIOS'!$C$5:$C$500,$A50,'LANÇAMENTOS DIÁRIOS'!$O$5:$O$500,"&lt;=123179",'LANÇAMENTOS DIÁRIOS'!$P$5:$P$500,"&gt;=123080")&gt;0,"X","")</f>
      </c>
      <c r="BH50" s="56" t="str">
        <f>IF(COUNTIFS('LANÇAMENTOS DIÁRIOS'!$G$5:$G$500,"G",'LANÇAMENTOS DIÁRIOS'!$C$5:$C$500,$A50,'LANÇAMENTOS DIÁRIOS'!$O$5:$O$500,"&lt;=123279",'LANÇAMENTOS DIÁRIOS'!$P$5:$P$500,"&gt;=123180")&gt;0,"X","")</f>
      </c>
      <c r="BI50" s="56" t="str">
        <f>IF(COUNTIFS('LANÇAMENTOS DIÁRIOS'!$G$5:$G$500,"G",'LANÇAMENTOS DIÁRIOS'!$C$5:$C$500,$A50,'LANÇAMENTOS DIÁRIOS'!$O$5:$O$500,"&lt;=123379",'LANÇAMENTOS DIÁRIOS'!$P$5:$P$500,"&gt;=123280")&gt;0,"X","")</f>
      </c>
      <c r="BJ50" s="56" t="str">
        <f>IF(COUNTIFS('LANÇAMENTOS DIÁRIOS'!$G$5:$G$500,"G",'LANÇAMENTOS DIÁRIOS'!$C$5:$C$500,$A50,'LANÇAMENTOS DIÁRIOS'!$O$5:$O$500,"&lt;=123479",'LANÇAMENTOS DIÁRIOS'!$P$5:$P$500,"&gt;=123380")&gt;0,"X","")</f>
      </c>
      <c r="BK50" s="56" t="str">
        <f>IF(COUNTIFS('LANÇAMENTOS DIÁRIOS'!$G$5:$G$500,"G",'LANÇAMENTOS DIÁRIOS'!$C$5:$C$500,$A50,'LANÇAMENTOS DIÁRIOS'!$O$5:$O$500,"&lt;=123480",'LANÇAMENTOS DIÁRIOS'!$P$5:$P$500,"&gt;=123480")&gt;0,"X","")</f>
      </c>
    </row>
    <row r="51">
      <c r="A51" s="51" t="str">
        <v>Fundação / reaterro com pedra rachão</v>
      </c>
      <c r="B51" s="56" t="str">
        <f>IF(COUNTIFS('LANÇAMENTOS DIÁRIOS'!$G$5:$G$500,"G",'LANÇAMENTOS DIÁRIOS'!$C$5:$C$500,$A51,'LANÇAMENTOS DIÁRIOS'!$O$5:$O$500,"&lt;=117479",'LANÇAMENTOS DIÁRIOS'!$P$5:$P$500,"&gt;=117380")&gt;0,"X","")</f>
      </c>
      <c r="C51" s="56" t="str">
        <f>IF(COUNTIFS('LANÇAMENTOS DIÁRIOS'!$G$5:$G$500,"G",'LANÇAMENTOS DIÁRIOS'!$C$5:$C$500,$A51,'LANÇAMENTOS DIÁRIOS'!$O$5:$O$500,"&lt;=117579",'LANÇAMENTOS DIÁRIOS'!$P$5:$P$500,"&gt;=117480")&gt;0,"X","")</f>
      </c>
      <c r="D51" s="56" t="str">
        <f>IF(COUNTIFS('LANÇAMENTOS DIÁRIOS'!$G$5:$G$500,"G",'LANÇAMENTOS DIÁRIOS'!$C$5:$C$500,$A51,'LANÇAMENTOS DIÁRIOS'!$O$5:$O$500,"&lt;=117679",'LANÇAMENTOS DIÁRIOS'!$P$5:$P$500,"&gt;=117580")&gt;0,"X","")</f>
      </c>
      <c r="E51" s="56" t="str">
        <f>IF(COUNTIFS('LANÇAMENTOS DIÁRIOS'!$G$5:$G$500,"G",'LANÇAMENTOS DIÁRIOS'!$C$5:$C$500,$A51,'LANÇAMENTOS DIÁRIOS'!$O$5:$O$500,"&lt;=117779",'LANÇAMENTOS DIÁRIOS'!$P$5:$P$500,"&gt;=117680")&gt;0,"X","")</f>
      </c>
      <c r="F51" s="56" t="str">
        <f>IF(COUNTIFS('LANÇAMENTOS DIÁRIOS'!$G$5:$G$500,"G",'LANÇAMENTOS DIÁRIOS'!$C$5:$C$500,$A51,'LANÇAMENTOS DIÁRIOS'!$O$5:$O$500,"&lt;=117879",'LANÇAMENTOS DIÁRIOS'!$P$5:$P$500,"&gt;=117780")&gt;0,"X","")</f>
      </c>
      <c r="G51" s="56" t="str">
        <f>IF(COUNTIFS('LANÇAMENTOS DIÁRIOS'!$G$5:$G$500,"G",'LANÇAMENTOS DIÁRIOS'!$C$5:$C$500,$A51,'LANÇAMENTOS DIÁRIOS'!$O$5:$O$500,"&lt;=117979",'LANÇAMENTOS DIÁRIOS'!$P$5:$P$500,"&gt;=117880")&gt;0,"X","")</f>
      </c>
      <c r="H51" s="56" t="str">
        <f>IF(COUNTIFS('LANÇAMENTOS DIÁRIOS'!$G$5:$G$500,"G",'LANÇAMENTOS DIÁRIOS'!$C$5:$C$500,$A51,'LANÇAMENTOS DIÁRIOS'!$O$5:$O$500,"&lt;=118079",'LANÇAMENTOS DIÁRIOS'!$P$5:$P$500,"&gt;=117980")&gt;0,"X","")</f>
      </c>
      <c r="I51" s="56" t="str">
        <f>IF(COUNTIFS('LANÇAMENTOS DIÁRIOS'!$G$5:$G$500,"G",'LANÇAMENTOS DIÁRIOS'!$C$5:$C$500,$A51,'LANÇAMENTOS DIÁRIOS'!$O$5:$O$500,"&lt;=118179",'LANÇAMENTOS DIÁRIOS'!$P$5:$P$500,"&gt;=118080")&gt;0,"X","")</f>
      </c>
      <c r="J51" s="56" t="str">
        <f>IF(COUNTIFS('LANÇAMENTOS DIÁRIOS'!$G$5:$G$500,"G",'LANÇAMENTOS DIÁRIOS'!$C$5:$C$500,$A51,'LANÇAMENTOS DIÁRIOS'!$O$5:$O$500,"&lt;=118279",'LANÇAMENTOS DIÁRIOS'!$P$5:$P$500,"&gt;=118180")&gt;0,"X","")</f>
      </c>
      <c r="K51" s="56" t="str">
        <f>IF(COUNTIFS('LANÇAMENTOS DIÁRIOS'!$G$5:$G$500,"G",'LANÇAMENTOS DIÁRIOS'!$C$5:$C$500,$A51,'LANÇAMENTOS DIÁRIOS'!$O$5:$O$500,"&lt;=118379",'LANÇAMENTOS DIÁRIOS'!$P$5:$P$500,"&gt;=118280")&gt;0,"X","")</f>
      </c>
      <c r="L51" s="56" t="str">
        <f>IF(COUNTIFS('LANÇAMENTOS DIÁRIOS'!$G$5:$G$500,"G",'LANÇAMENTOS DIÁRIOS'!$C$5:$C$500,$A51,'LANÇAMENTOS DIÁRIOS'!$O$5:$O$500,"&lt;=118479",'LANÇAMENTOS DIÁRIOS'!$P$5:$P$500,"&gt;=118380")&gt;0,"X","")</f>
      </c>
      <c r="M51" s="56" t="str">
        <f>IF(COUNTIFS('LANÇAMENTOS DIÁRIOS'!$G$5:$G$500,"G",'LANÇAMENTOS DIÁRIOS'!$C$5:$C$500,$A51,'LANÇAMENTOS DIÁRIOS'!$O$5:$O$500,"&lt;=118579",'LANÇAMENTOS DIÁRIOS'!$P$5:$P$500,"&gt;=118480")&gt;0,"X","")</f>
      </c>
      <c r="N51" s="56" t="str">
        <f>IF(COUNTIFS('LANÇAMENTOS DIÁRIOS'!$G$5:$G$500,"G",'LANÇAMENTOS DIÁRIOS'!$C$5:$C$500,$A51,'LANÇAMENTOS DIÁRIOS'!$O$5:$O$500,"&lt;=118679",'LANÇAMENTOS DIÁRIOS'!$P$5:$P$500,"&gt;=118580")&gt;0,"X","")</f>
      </c>
      <c r="O51" s="56" t="str">
        <f>IF(COUNTIFS('LANÇAMENTOS DIÁRIOS'!$G$5:$G$500,"G",'LANÇAMENTOS DIÁRIOS'!$C$5:$C$500,$A51,'LANÇAMENTOS DIÁRIOS'!$O$5:$O$500,"&lt;=118779",'LANÇAMENTOS DIÁRIOS'!$P$5:$P$500,"&gt;=118680")&gt;0,"X","")</f>
      </c>
      <c r="P51" s="56" t="str">
        <f>IF(COUNTIFS('LANÇAMENTOS DIÁRIOS'!$G$5:$G$500,"G",'LANÇAMENTOS DIÁRIOS'!$C$5:$C$500,$A51,'LANÇAMENTOS DIÁRIOS'!$O$5:$O$500,"&lt;=118879",'LANÇAMENTOS DIÁRIOS'!$P$5:$P$500,"&gt;=118780")&gt;0,"X","")</f>
      </c>
      <c r="Q51" s="56" t="str">
        <f>IF(COUNTIFS('LANÇAMENTOS DIÁRIOS'!$G$5:$G$500,"G",'LANÇAMENTOS DIÁRIOS'!$C$5:$C$500,$A51,'LANÇAMENTOS DIÁRIOS'!$O$5:$O$500,"&lt;=118979",'LANÇAMENTOS DIÁRIOS'!$P$5:$P$500,"&gt;=118880")&gt;0,"X","")</f>
      </c>
      <c r="R51" s="56" t="str">
        <f>IF(COUNTIFS('LANÇAMENTOS DIÁRIOS'!$G$5:$G$500,"G",'LANÇAMENTOS DIÁRIOS'!$C$5:$C$500,$A51,'LANÇAMENTOS DIÁRIOS'!$O$5:$O$500,"&lt;=119079",'LANÇAMENTOS DIÁRIOS'!$P$5:$P$500,"&gt;=118980")&gt;0,"X","")</f>
      </c>
      <c r="S51" s="56" t="str">
        <f>IF(COUNTIFS('LANÇAMENTOS DIÁRIOS'!$G$5:$G$500,"G",'LANÇAMENTOS DIÁRIOS'!$C$5:$C$500,$A51,'LANÇAMENTOS DIÁRIOS'!$O$5:$O$500,"&lt;=119179",'LANÇAMENTOS DIÁRIOS'!$P$5:$P$500,"&gt;=119080")&gt;0,"X","")</f>
      </c>
      <c r="T51" s="56" t="str">
        <f>IF(COUNTIFS('LANÇAMENTOS DIÁRIOS'!$G$5:$G$500,"G",'LANÇAMENTOS DIÁRIOS'!$C$5:$C$500,$A51,'LANÇAMENTOS DIÁRIOS'!$O$5:$O$500,"&lt;=119279",'LANÇAMENTOS DIÁRIOS'!$P$5:$P$500,"&gt;=119180")&gt;0,"X","")</f>
      </c>
      <c r="U51" s="56" t="str">
        <f>IF(COUNTIFS('LANÇAMENTOS DIÁRIOS'!$G$5:$G$500,"G",'LANÇAMENTOS DIÁRIOS'!$C$5:$C$500,$A51,'LANÇAMENTOS DIÁRIOS'!$O$5:$O$500,"&lt;=119379",'LANÇAMENTOS DIÁRIOS'!$P$5:$P$500,"&gt;=119280")&gt;0,"X","")</f>
      </c>
      <c r="V51" s="56" t="str">
        <f>IF(COUNTIFS('LANÇAMENTOS DIÁRIOS'!$G$5:$G$500,"G",'LANÇAMENTOS DIÁRIOS'!$C$5:$C$500,$A51,'LANÇAMENTOS DIÁRIOS'!$O$5:$O$500,"&lt;=119479",'LANÇAMENTOS DIÁRIOS'!$P$5:$P$500,"&gt;=119380")&gt;0,"X","")</f>
      </c>
      <c r="W51" s="56" t="str">
        <f>IF(COUNTIFS('LANÇAMENTOS DIÁRIOS'!$G$5:$G$500,"G",'LANÇAMENTOS DIÁRIOS'!$C$5:$C$500,$A51,'LANÇAMENTOS DIÁRIOS'!$O$5:$O$500,"&lt;=119579",'LANÇAMENTOS DIÁRIOS'!$P$5:$P$500,"&gt;=119480")&gt;0,"X","")</f>
      </c>
      <c r="X51" s="56" t="str">
        <f>IF(COUNTIFS('LANÇAMENTOS DIÁRIOS'!$G$5:$G$500,"G",'LANÇAMENTOS DIÁRIOS'!$C$5:$C$500,$A51,'LANÇAMENTOS DIÁRIOS'!$O$5:$O$500,"&lt;=119679",'LANÇAMENTOS DIÁRIOS'!$P$5:$P$500,"&gt;=119580")&gt;0,"X","")</f>
      </c>
      <c r="Y51" s="56" t="str">
        <f>IF(COUNTIFS('LANÇAMENTOS DIÁRIOS'!$G$5:$G$500,"G",'LANÇAMENTOS DIÁRIOS'!$C$5:$C$500,$A51,'LANÇAMENTOS DIÁRIOS'!$O$5:$O$500,"&lt;=119779",'LANÇAMENTOS DIÁRIOS'!$P$5:$P$500,"&gt;=119680")&gt;0,"X","")</f>
      </c>
      <c r="Z51" s="56" t="str">
        <f>IF(COUNTIFS('LANÇAMENTOS DIÁRIOS'!$G$5:$G$500,"G",'LANÇAMENTOS DIÁRIOS'!$C$5:$C$500,$A51,'LANÇAMENTOS DIÁRIOS'!$O$5:$O$500,"&lt;=119879",'LANÇAMENTOS DIÁRIOS'!$P$5:$P$500,"&gt;=119780")&gt;0,"X","")</f>
      </c>
      <c r="AA51" s="56" t="str">
        <f>IF(COUNTIFS('LANÇAMENTOS DIÁRIOS'!$G$5:$G$500,"G",'LANÇAMENTOS DIÁRIOS'!$C$5:$C$500,$A51,'LANÇAMENTOS DIÁRIOS'!$O$5:$O$500,"&lt;=119979",'LANÇAMENTOS DIÁRIOS'!$P$5:$P$500,"&gt;=119880")&gt;0,"X","")</f>
      </c>
      <c r="AB51" s="56" t="str">
        <f>IF(COUNTIFS('LANÇAMENTOS DIÁRIOS'!$G$5:$G$500,"G",'LANÇAMENTOS DIÁRIOS'!$C$5:$C$500,$A51,'LANÇAMENTOS DIÁRIOS'!$O$5:$O$500,"&lt;=120079",'LANÇAMENTOS DIÁRIOS'!$P$5:$P$500,"&gt;=119980")&gt;0,"X","")</f>
      </c>
      <c r="AC51" s="56" t="str">
        <f>IF(COUNTIFS('LANÇAMENTOS DIÁRIOS'!$G$5:$G$500,"G",'LANÇAMENTOS DIÁRIOS'!$C$5:$C$500,$A51,'LANÇAMENTOS DIÁRIOS'!$O$5:$O$500,"&lt;=120179",'LANÇAMENTOS DIÁRIOS'!$P$5:$P$500,"&gt;=120080")&gt;0,"X","")</f>
      </c>
      <c r="AD51" s="56" t="str">
        <f>IF(COUNTIFS('LANÇAMENTOS DIÁRIOS'!$G$5:$G$500,"G",'LANÇAMENTOS DIÁRIOS'!$C$5:$C$500,$A51,'LANÇAMENTOS DIÁRIOS'!$O$5:$O$500,"&lt;=120279",'LANÇAMENTOS DIÁRIOS'!$P$5:$P$500,"&gt;=120180")&gt;0,"X","")</f>
      </c>
      <c r="AE51" s="56" t="str">
        <f>IF(COUNTIFS('LANÇAMENTOS DIÁRIOS'!$G$5:$G$500,"G",'LANÇAMENTOS DIÁRIOS'!$C$5:$C$500,$A51,'LANÇAMENTOS DIÁRIOS'!$O$5:$O$500,"&lt;=120379",'LANÇAMENTOS DIÁRIOS'!$P$5:$P$500,"&gt;=120280")&gt;0,"X","")</f>
      </c>
      <c r="AF51" s="56" t="str">
        <f>IF(COUNTIFS('LANÇAMENTOS DIÁRIOS'!$G$5:$G$500,"G",'LANÇAMENTOS DIÁRIOS'!$C$5:$C$500,$A51,'LANÇAMENTOS DIÁRIOS'!$O$5:$O$500,"&lt;=120479",'LANÇAMENTOS DIÁRIOS'!$P$5:$P$500,"&gt;=120380")&gt;0,"X","")</f>
      </c>
      <c r="AG51" s="56" t="str">
        <f>IF(COUNTIFS('LANÇAMENTOS DIÁRIOS'!$G$5:$G$500,"G",'LANÇAMENTOS DIÁRIOS'!$C$5:$C$500,$A51,'LANÇAMENTOS DIÁRIOS'!$O$5:$O$500,"&lt;=120579",'LANÇAMENTOS DIÁRIOS'!$P$5:$P$500,"&gt;=120480")&gt;0,"X","")</f>
      </c>
      <c r="AH51" s="56" t="str">
        <f>IF(COUNTIFS('LANÇAMENTOS DIÁRIOS'!$G$5:$G$500,"G",'LANÇAMENTOS DIÁRIOS'!$C$5:$C$500,$A51,'LANÇAMENTOS DIÁRIOS'!$O$5:$O$500,"&lt;=120679",'LANÇAMENTOS DIÁRIOS'!$P$5:$P$500,"&gt;=120580")&gt;0,"X","")</f>
      </c>
      <c r="AI51" s="56" t="str">
        <f>IF(COUNTIFS('LANÇAMENTOS DIÁRIOS'!$G$5:$G$500,"G",'LANÇAMENTOS DIÁRIOS'!$C$5:$C$500,$A51,'LANÇAMENTOS DIÁRIOS'!$O$5:$O$500,"&lt;=120779",'LANÇAMENTOS DIÁRIOS'!$P$5:$P$500,"&gt;=120680")&gt;0,"X","")</f>
      </c>
      <c r="AJ51" s="56" t="str">
        <f>IF(COUNTIFS('LANÇAMENTOS DIÁRIOS'!$G$5:$G$500,"G",'LANÇAMENTOS DIÁRIOS'!$C$5:$C$500,$A51,'LANÇAMENTOS DIÁRIOS'!$O$5:$O$500,"&lt;=120879",'LANÇAMENTOS DIÁRIOS'!$P$5:$P$500,"&gt;=120780")&gt;0,"X","")</f>
      </c>
      <c r="AK51" s="56" t="str">
        <f>IF(COUNTIFS('LANÇAMENTOS DIÁRIOS'!$G$5:$G$500,"G",'LANÇAMENTOS DIÁRIOS'!$C$5:$C$500,$A51,'LANÇAMENTOS DIÁRIOS'!$O$5:$O$500,"&lt;=120979",'LANÇAMENTOS DIÁRIOS'!$P$5:$P$500,"&gt;=120880")&gt;0,"X","")</f>
      </c>
      <c r="AL51" s="56" t="str">
        <f>IF(COUNTIFS('LANÇAMENTOS DIÁRIOS'!$G$5:$G$500,"G",'LANÇAMENTOS DIÁRIOS'!$C$5:$C$500,$A51,'LANÇAMENTOS DIÁRIOS'!$O$5:$O$500,"&lt;=121079",'LANÇAMENTOS DIÁRIOS'!$P$5:$P$500,"&gt;=120980")&gt;0,"X","")</f>
      </c>
      <c r="AM51" s="56" t="str">
        <f>IF(COUNTIFS('LANÇAMENTOS DIÁRIOS'!$G$5:$G$500,"G",'LANÇAMENTOS DIÁRIOS'!$C$5:$C$500,$A51,'LANÇAMENTOS DIÁRIOS'!$O$5:$O$500,"&lt;=121179",'LANÇAMENTOS DIÁRIOS'!$P$5:$P$500,"&gt;=121080")&gt;0,"X","")</f>
      </c>
      <c r="AN51" s="56" t="str">
        <f>IF(COUNTIFS('LANÇAMENTOS DIÁRIOS'!$G$5:$G$500,"G",'LANÇAMENTOS DIÁRIOS'!$C$5:$C$500,$A51,'LANÇAMENTOS DIÁRIOS'!$O$5:$O$500,"&lt;=121279",'LANÇAMENTOS DIÁRIOS'!$P$5:$P$500,"&gt;=121180")&gt;0,"X","")</f>
      </c>
      <c r="AO51" s="56" t="str">
        <f>IF(COUNTIFS('LANÇAMENTOS DIÁRIOS'!$G$5:$G$500,"G",'LANÇAMENTOS DIÁRIOS'!$C$5:$C$500,$A51,'LANÇAMENTOS DIÁRIOS'!$O$5:$O$500,"&lt;=121379",'LANÇAMENTOS DIÁRIOS'!$P$5:$P$500,"&gt;=121280")&gt;0,"X","")</f>
      </c>
      <c r="AP51" s="56" t="str">
        <f>IF(COUNTIFS('LANÇAMENTOS DIÁRIOS'!$G$5:$G$500,"G",'LANÇAMENTOS DIÁRIOS'!$C$5:$C$500,$A51,'LANÇAMENTOS DIÁRIOS'!$O$5:$O$500,"&lt;=121479",'LANÇAMENTOS DIÁRIOS'!$P$5:$P$500,"&gt;=121380")&gt;0,"X","")</f>
      </c>
      <c r="AQ51" s="56" t="str">
        <f>IF(COUNTIFS('LANÇAMENTOS DIÁRIOS'!$G$5:$G$500,"G",'LANÇAMENTOS DIÁRIOS'!$C$5:$C$500,$A51,'LANÇAMENTOS DIÁRIOS'!$O$5:$O$500,"&lt;=121579",'LANÇAMENTOS DIÁRIOS'!$P$5:$P$500,"&gt;=121480")&gt;0,"X","")</f>
      </c>
      <c r="AR51" s="56" t="str">
        <f>IF(COUNTIFS('LANÇAMENTOS DIÁRIOS'!$G$5:$G$500,"G",'LANÇAMENTOS DIÁRIOS'!$C$5:$C$500,$A51,'LANÇAMENTOS DIÁRIOS'!$O$5:$O$500,"&lt;=121679",'LANÇAMENTOS DIÁRIOS'!$P$5:$P$500,"&gt;=121580")&gt;0,"X","")</f>
      </c>
      <c r="AS51" s="56" t="str">
        <f>IF(COUNTIFS('LANÇAMENTOS DIÁRIOS'!$G$5:$G$500,"G",'LANÇAMENTOS DIÁRIOS'!$C$5:$C$500,$A51,'LANÇAMENTOS DIÁRIOS'!$O$5:$O$500,"&lt;=121779",'LANÇAMENTOS DIÁRIOS'!$P$5:$P$500,"&gt;=121680")&gt;0,"X","")</f>
      </c>
      <c r="AT51" s="56" t="str">
        <f>IF(COUNTIFS('LANÇAMENTOS DIÁRIOS'!$G$5:$G$500,"G",'LANÇAMENTOS DIÁRIOS'!$C$5:$C$500,$A51,'LANÇAMENTOS DIÁRIOS'!$O$5:$O$500,"&lt;=121879",'LANÇAMENTOS DIÁRIOS'!$P$5:$P$500,"&gt;=121780")&gt;0,"X","")</f>
      </c>
      <c r="AU51" s="56" t="str">
        <f>IF(COUNTIFS('LANÇAMENTOS DIÁRIOS'!$G$5:$G$500,"G",'LANÇAMENTOS DIÁRIOS'!$C$5:$C$500,$A51,'LANÇAMENTOS DIÁRIOS'!$O$5:$O$500,"&lt;=121979",'LANÇAMENTOS DIÁRIOS'!$P$5:$P$500,"&gt;=121880")&gt;0,"X","")</f>
      </c>
      <c r="AV51" s="56" t="str">
        <f>IF(COUNTIFS('LANÇAMENTOS DIÁRIOS'!$G$5:$G$500,"G",'LANÇAMENTOS DIÁRIOS'!$C$5:$C$500,$A51,'LANÇAMENTOS DIÁRIOS'!$O$5:$O$500,"&lt;=122079",'LANÇAMENTOS DIÁRIOS'!$P$5:$P$500,"&gt;=121980")&gt;0,"X","")</f>
      </c>
      <c r="AW51" s="56" t="str">
        <f>IF(COUNTIFS('LANÇAMENTOS DIÁRIOS'!$G$5:$G$500,"G",'LANÇAMENTOS DIÁRIOS'!$C$5:$C$500,$A51,'LANÇAMENTOS DIÁRIOS'!$O$5:$O$500,"&lt;=122179",'LANÇAMENTOS DIÁRIOS'!$P$5:$P$500,"&gt;=122080")&gt;0,"X","")</f>
      </c>
      <c r="AX51" s="56" t="str">
        <f>IF(COUNTIFS('LANÇAMENTOS DIÁRIOS'!$G$5:$G$500,"G",'LANÇAMENTOS DIÁRIOS'!$C$5:$C$500,$A51,'LANÇAMENTOS DIÁRIOS'!$O$5:$O$500,"&lt;=122279",'LANÇAMENTOS DIÁRIOS'!$P$5:$P$500,"&gt;=122180")&gt;0,"X","")</f>
      </c>
      <c r="AY51" s="56" t="str">
        <f>IF(COUNTIFS('LANÇAMENTOS DIÁRIOS'!$G$5:$G$500,"G",'LANÇAMENTOS DIÁRIOS'!$C$5:$C$500,$A51,'LANÇAMENTOS DIÁRIOS'!$O$5:$O$500,"&lt;=122379",'LANÇAMENTOS DIÁRIOS'!$P$5:$P$500,"&gt;=122280")&gt;0,"X","")</f>
      </c>
      <c r="AZ51" s="56" t="str">
        <f>IF(COUNTIFS('LANÇAMENTOS DIÁRIOS'!$G$5:$G$500,"G",'LANÇAMENTOS DIÁRIOS'!$C$5:$C$500,$A51,'LANÇAMENTOS DIÁRIOS'!$O$5:$O$500,"&lt;=122479",'LANÇAMENTOS DIÁRIOS'!$P$5:$P$500,"&gt;=122380")&gt;0,"X","")</f>
      </c>
      <c r="BA51" s="56" t="str">
        <f>IF(COUNTIFS('LANÇAMENTOS DIÁRIOS'!$G$5:$G$500,"G",'LANÇAMENTOS DIÁRIOS'!$C$5:$C$500,$A51,'LANÇAMENTOS DIÁRIOS'!$O$5:$O$500,"&lt;=122579",'LANÇAMENTOS DIÁRIOS'!$P$5:$P$500,"&gt;=122480")&gt;0,"X","")</f>
      </c>
      <c r="BB51" s="56" t="str">
        <f>IF(COUNTIFS('LANÇAMENTOS DIÁRIOS'!$G$5:$G$500,"G",'LANÇAMENTOS DIÁRIOS'!$C$5:$C$500,$A51,'LANÇAMENTOS DIÁRIOS'!$O$5:$O$500,"&lt;=122679",'LANÇAMENTOS DIÁRIOS'!$P$5:$P$500,"&gt;=122580")&gt;0,"X","")</f>
      </c>
      <c r="BC51" s="56" t="str">
        <f>IF(COUNTIFS('LANÇAMENTOS DIÁRIOS'!$G$5:$G$500,"G",'LANÇAMENTOS DIÁRIOS'!$C$5:$C$500,$A51,'LANÇAMENTOS DIÁRIOS'!$O$5:$O$500,"&lt;=122779",'LANÇAMENTOS DIÁRIOS'!$P$5:$P$500,"&gt;=122680")&gt;0,"X","")</f>
      </c>
      <c r="BD51" s="56" t="str">
        <f>IF(COUNTIFS('LANÇAMENTOS DIÁRIOS'!$G$5:$G$500,"G",'LANÇAMENTOS DIÁRIOS'!$C$5:$C$500,$A51,'LANÇAMENTOS DIÁRIOS'!$O$5:$O$500,"&lt;=122879",'LANÇAMENTOS DIÁRIOS'!$P$5:$P$500,"&gt;=122780")&gt;0,"X","")</f>
      </c>
      <c r="BE51" s="56" t="str">
        <f>IF(COUNTIFS('LANÇAMENTOS DIÁRIOS'!$G$5:$G$500,"G",'LANÇAMENTOS DIÁRIOS'!$C$5:$C$500,$A51,'LANÇAMENTOS DIÁRIOS'!$O$5:$O$500,"&lt;=122979",'LANÇAMENTOS DIÁRIOS'!$P$5:$P$500,"&gt;=122880")&gt;0,"X","")</f>
      </c>
      <c r="BF51" s="56" t="str">
        <f>IF(COUNTIFS('LANÇAMENTOS DIÁRIOS'!$G$5:$G$500,"G",'LANÇAMENTOS DIÁRIOS'!$C$5:$C$500,$A51,'LANÇAMENTOS DIÁRIOS'!$O$5:$O$500,"&lt;=123079",'LANÇAMENTOS DIÁRIOS'!$P$5:$P$500,"&gt;=122980")&gt;0,"X","")</f>
      </c>
      <c r="BG51" s="56" t="str">
        <f>IF(COUNTIFS('LANÇAMENTOS DIÁRIOS'!$G$5:$G$500,"G",'LANÇAMENTOS DIÁRIOS'!$C$5:$C$500,$A51,'LANÇAMENTOS DIÁRIOS'!$O$5:$O$500,"&lt;=123179",'LANÇAMENTOS DIÁRIOS'!$P$5:$P$500,"&gt;=123080")&gt;0,"X","")</f>
      </c>
      <c r="BH51" s="56" t="str">
        <f>IF(COUNTIFS('LANÇAMENTOS DIÁRIOS'!$G$5:$G$500,"G",'LANÇAMENTOS DIÁRIOS'!$C$5:$C$500,$A51,'LANÇAMENTOS DIÁRIOS'!$O$5:$O$500,"&lt;=123279",'LANÇAMENTOS DIÁRIOS'!$P$5:$P$500,"&gt;=123180")&gt;0,"X","")</f>
      </c>
      <c r="BI51" s="56" t="str">
        <f>IF(COUNTIFS('LANÇAMENTOS DIÁRIOS'!$G$5:$G$500,"G",'LANÇAMENTOS DIÁRIOS'!$C$5:$C$500,$A51,'LANÇAMENTOS DIÁRIOS'!$O$5:$O$500,"&lt;=123379",'LANÇAMENTOS DIÁRIOS'!$P$5:$P$500,"&gt;=123280")&gt;0,"X","")</f>
      </c>
      <c r="BJ51" s="56" t="str">
        <f>IF(COUNTIFS('LANÇAMENTOS DIÁRIOS'!$G$5:$G$500,"G",'LANÇAMENTOS DIÁRIOS'!$C$5:$C$500,$A51,'LANÇAMENTOS DIÁRIOS'!$O$5:$O$500,"&lt;=123479",'LANÇAMENTOS DIÁRIOS'!$P$5:$P$500,"&gt;=123380")&gt;0,"X","")</f>
      </c>
      <c r="BK51" s="56" t="str">
        <f>IF(COUNTIFS('LANÇAMENTOS DIÁRIOS'!$G$5:$G$500,"G",'LANÇAMENTOS DIÁRIOS'!$C$5:$C$500,$A51,'LANÇAMENTOS DIÁRIOS'!$O$5:$O$500,"&lt;=123480",'LANÇAMENTOS DIÁRIOS'!$P$5:$P$500,"&gt;=123480")&gt;0,"X","")</f>
      </c>
    </row>
    <row r="52">
      <c r="A52" s="51" t="str">
        <v>Fundação / reaterro com areia média a grossa</v>
      </c>
      <c r="B52" s="56" t="str">
        <f>IF(COUNTIFS('LANÇAMENTOS DIÁRIOS'!$G$5:$G$500,"G",'LANÇAMENTOS DIÁRIOS'!$C$5:$C$500,$A52,'LANÇAMENTOS DIÁRIOS'!$O$5:$O$500,"&lt;=117479",'LANÇAMENTOS DIÁRIOS'!$P$5:$P$500,"&gt;=117380")&gt;0,"X","")</f>
      </c>
      <c r="C52" s="56" t="str">
        <f>IF(COUNTIFS('LANÇAMENTOS DIÁRIOS'!$G$5:$G$500,"G",'LANÇAMENTOS DIÁRIOS'!$C$5:$C$500,$A52,'LANÇAMENTOS DIÁRIOS'!$O$5:$O$500,"&lt;=117579",'LANÇAMENTOS DIÁRIOS'!$P$5:$P$500,"&gt;=117480")&gt;0,"X","")</f>
      </c>
      <c r="D52" s="56" t="str">
        <f>IF(COUNTIFS('LANÇAMENTOS DIÁRIOS'!$G$5:$G$500,"G",'LANÇAMENTOS DIÁRIOS'!$C$5:$C$500,$A52,'LANÇAMENTOS DIÁRIOS'!$O$5:$O$500,"&lt;=117679",'LANÇAMENTOS DIÁRIOS'!$P$5:$P$500,"&gt;=117580")&gt;0,"X","")</f>
      </c>
      <c r="E52" s="56" t="str">
        <f>IF(COUNTIFS('LANÇAMENTOS DIÁRIOS'!$G$5:$G$500,"G",'LANÇAMENTOS DIÁRIOS'!$C$5:$C$500,$A52,'LANÇAMENTOS DIÁRIOS'!$O$5:$O$500,"&lt;=117779",'LANÇAMENTOS DIÁRIOS'!$P$5:$P$500,"&gt;=117680")&gt;0,"X","")</f>
      </c>
      <c r="F52" s="56" t="str">
        <f>IF(COUNTIFS('LANÇAMENTOS DIÁRIOS'!$G$5:$G$500,"G",'LANÇAMENTOS DIÁRIOS'!$C$5:$C$500,$A52,'LANÇAMENTOS DIÁRIOS'!$O$5:$O$500,"&lt;=117879",'LANÇAMENTOS DIÁRIOS'!$P$5:$P$500,"&gt;=117780")&gt;0,"X","")</f>
      </c>
      <c r="G52" s="56" t="str">
        <f>IF(COUNTIFS('LANÇAMENTOS DIÁRIOS'!$G$5:$G$500,"G",'LANÇAMENTOS DIÁRIOS'!$C$5:$C$500,$A52,'LANÇAMENTOS DIÁRIOS'!$O$5:$O$500,"&lt;=117979",'LANÇAMENTOS DIÁRIOS'!$P$5:$P$500,"&gt;=117880")&gt;0,"X","")</f>
      </c>
      <c r="H52" s="56" t="str">
        <f>IF(COUNTIFS('LANÇAMENTOS DIÁRIOS'!$G$5:$G$500,"G",'LANÇAMENTOS DIÁRIOS'!$C$5:$C$500,$A52,'LANÇAMENTOS DIÁRIOS'!$O$5:$O$500,"&lt;=118079",'LANÇAMENTOS DIÁRIOS'!$P$5:$P$500,"&gt;=117980")&gt;0,"X","")</f>
      </c>
      <c r="I52" s="56" t="str">
        <f>IF(COUNTIFS('LANÇAMENTOS DIÁRIOS'!$G$5:$G$500,"G",'LANÇAMENTOS DIÁRIOS'!$C$5:$C$500,$A52,'LANÇAMENTOS DIÁRIOS'!$O$5:$O$500,"&lt;=118179",'LANÇAMENTOS DIÁRIOS'!$P$5:$P$500,"&gt;=118080")&gt;0,"X","")</f>
      </c>
      <c r="J52" s="56" t="str">
        <f>IF(COUNTIFS('LANÇAMENTOS DIÁRIOS'!$G$5:$G$500,"G",'LANÇAMENTOS DIÁRIOS'!$C$5:$C$500,$A52,'LANÇAMENTOS DIÁRIOS'!$O$5:$O$500,"&lt;=118279",'LANÇAMENTOS DIÁRIOS'!$P$5:$P$500,"&gt;=118180")&gt;0,"X","")</f>
      </c>
      <c r="K52" s="56" t="str">
        <f>IF(COUNTIFS('LANÇAMENTOS DIÁRIOS'!$G$5:$G$500,"G",'LANÇAMENTOS DIÁRIOS'!$C$5:$C$500,$A52,'LANÇAMENTOS DIÁRIOS'!$O$5:$O$500,"&lt;=118379",'LANÇAMENTOS DIÁRIOS'!$P$5:$P$500,"&gt;=118280")&gt;0,"X","")</f>
      </c>
      <c r="L52" s="56" t="str">
        <f>IF(COUNTIFS('LANÇAMENTOS DIÁRIOS'!$G$5:$G$500,"G",'LANÇAMENTOS DIÁRIOS'!$C$5:$C$500,$A52,'LANÇAMENTOS DIÁRIOS'!$O$5:$O$500,"&lt;=118479",'LANÇAMENTOS DIÁRIOS'!$P$5:$P$500,"&gt;=118380")&gt;0,"X","")</f>
      </c>
      <c r="M52" s="56" t="str">
        <f>IF(COUNTIFS('LANÇAMENTOS DIÁRIOS'!$G$5:$G$500,"G",'LANÇAMENTOS DIÁRIOS'!$C$5:$C$500,$A52,'LANÇAMENTOS DIÁRIOS'!$O$5:$O$500,"&lt;=118579",'LANÇAMENTOS DIÁRIOS'!$P$5:$P$500,"&gt;=118480")&gt;0,"X","")</f>
      </c>
      <c r="N52" s="56" t="str">
        <f>IF(COUNTIFS('LANÇAMENTOS DIÁRIOS'!$G$5:$G$500,"G",'LANÇAMENTOS DIÁRIOS'!$C$5:$C$500,$A52,'LANÇAMENTOS DIÁRIOS'!$O$5:$O$500,"&lt;=118679",'LANÇAMENTOS DIÁRIOS'!$P$5:$P$500,"&gt;=118580")&gt;0,"X","")</f>
      </c>
      <c r="O52" s="56" t="str">
        <f>IF(COUNTIFS('LANÇAMENTOS DIÁRIOS'!$G$5:$G$500,"G",'LANÇAMENTOS DIÁRIOS'!$C$5:$C$500,$A52,'LANÇAMENTOS DIÁRIOS'!$O$5:$O$500,"&lt;=118779",'LANÇAMENTOS DIÁRIOS'!$P$5:$P$500,"&gt;=118680")&gt;0,"X","")</f>
      </c>
      <c r="P52" s="56" t="str">
        <f>IF(COUNTIFS('LANÇAMENTOS DIÁRIOS'!$G$5:$G$500,"G",'LANÇAMENTOS DIÁRIOS'!$C$5:$C$500,$A52,'LANÇAMENTOS DIÁRIOS'!$O$5:$O$500,"&lt;=118879",'LANÇAMENTOS DIÁRIOS'!$P$5:$P$500,"&gt;=118780")&gt;0,"X","")</f>
      </c>
      <c r="Q52" s="56" t="str">
        <f>IF(COUNTIFS('LANÇAMENTOS DIÁRIOS'!$G$5:$G$500,"G",'LANÇAMENTOS DIÁRIOS'!$C$5:$C$500,$A52,'LANÇAMENTOS DIÁRIOS'!$O$5:$O$500,"&lt;=118979",'LANÇAMENTOS DIÁRIOS'!$P$5:$P$500,"&gt;=118880")&gt;0,"X","")</f>
      </c>
      <c r="R52" s="56" t="str">
        <f>IF(COUNTIFS('LANÇAMENTOS DIÁRIOS'!$G$5:$G$500,"G",'LANÇAMENTOS DIÁRIOS'!$C$5:$C$500,$A52,'LANÇAMENTOS DIÁRIOS'!$O$5:$O$500,"&lt;=119079",'LANÇAMENTOS DIÁRIOS'!$P$5:$P$500,"&gt;=118980")&gt;0,"X","")</f>
      </c>
      <c r="S52" s="56" t="str">
        <f>IF(COUNTIFS('LANÇAMENTOS DIÁRIOS'!$G$5:$G$500,"G",'LANÇAMENTOS DIÁRIOS'!$C$5:$C$500,$A52,'LANÇAMENTOS DIÁRIOS'!$O$5:$O$500,"&lt;=119179",'LANÇAMENTOS DIÁRIOS'!$P$5:$P$500,"&gt;=119080")&gt;0,"X","")</f>
      </c>
      <c r="T52" s="56" t="str">
        <f>IF(COUNTIFS('LANÇAMENTOS DIÁRIOS'!$G$5:$G$500,"G",'LANÇAMENTOS DIÁRIOS'!$C$5:$C$500,$A52,'LANÇAMENTOS DIÁRIOS'!$O$5:$O$500,"&lt;=119279",'LANÇAMENTOS DIÁRIOS'!$P$5:$P$500,"&gt;=119180")&gt;0,"X","")</f>
      </c>
      <c r="U52" s="56" t="str">
        <f>IF(COUNTIFS('LANÇAMENTOS DIÁRIOS'!$G$5:$G$500,"G",'LANÇAMENTOS DIÁRIOS'!$C$5:$C$500,$A52,'LANÇAMENTOS DIÁRIOS'!$O$5:$O$500,"&lt;=119379",'LANÇAMENTOS DIÁRIOS'!$P$5:$P$500,"&gt;=119280")&gt;0,"X","")</f>
      </c>
      <c r="V52" s="56" t="str">
        <f>IF(COUNTIFS('LANÇAMENTOS DIÁRIOS'!$G$5:$G$500,"G",'LANÇAMENTOS DIÁRIOS'!$C$5:$C$500,$A52,'LANÇAMENTOS DIÁRIOS'!$O$5:$O$500,"&lt;=119479",'LANÇAMENTOS DIÁRIOS'!$P$5:$P$500,"&gt;=119380")&gt;0,"X","")</f>
      </c>
      <c r="W52" s="56" t="str">
        <f>IF(COUNTIFS('LANÇAMENTOS DIÁRIOS'!$G$5:$G$500,"G",'LANÇAMENTOS DIÁRIOS'!$C$5:$C$500,$A52,'LANÇAMENTOS DIÁRIOS'!$O$5:$O$500,"&lt;=119579",'LANÇAMENTOS DIÁRIOS'!$P$5:$P$500,"&gt;=119480")&gt;0,"X","")</f>
      </c>
      <c r="X52" s="56" t="str">
        <f>IF(COUNTIFS('LANÇAMENTOS DIÁRIOS'!$G$5:$G$500,"G",'LANÇAMENTOS DIÁRIOS'!$C$5:$C$500,$A52,'LANÇAMENTOS DIÁRIOS'!$O$5:$O$500,"&lt;=119679",'LANÇAMENTOS DIÁRIOS'!$P$5:$P$500,"&gt;=119580")&gt;0,"X","")</f>
      </c>
      <c r="Y52" s="56" t="str">
        <f>IF(COUNTIFS('LANÇAMENTOS DIÁRIOS'!$G$5:$G$500,"G",'LANÇAMENTOS DIÁRIOS'!$C$5:$C$500,$A52,'LANÇAMENTOS DIÁRIOS'!$O$5:$O$500,"&lt;=119779",'LANÇAMENTOS DIÁRIOS'!$P$5:$P$500,"&gt;=119680")&gt;0,"X","")</f>
      </c>
      <c r="Z52" s="56" t="str">
        <f>IF(COUNTIFS('LANÇAMENTOS DIÁRIOS'!$G$5:$G$500,"G",'LANÇAMENTOS DIÁRIOS'!$C$5:$C$500,$A52,'LANÇAMENTOS DIÁRIOS'!$O$5:$O$500,"&lt;=119879",'LANÇAMENTOS DIÁRIOS'!$P$5:$P$500,"&gt;=119780")&gt;0,"X","")</f>
      </c>
      <c r="AA52" s="56" t="str">
        <f>IF(COUNTIFS('LANÇAMENTOS DIÁRIOS'!$G$5:$G$500,"G",'LANÇAMENTOS DIÁRIOS'!$C$5:$C$500,$A52,'LANÇAMENTOS DIÁRIOS'!$O$5:$O$500,"&lt;=119979",'LANÇAMENTOS DIÁRIOS'!$P$5:$P$500,"&gt;=119880")&gt;0,"X","")</f>
      </c>
      <c r="AB52" s="56" t="str">
        <f>IF(COUNTIFS('LANÇAMENTOS DIÁRIOS'!$G$5:$G$500,"G",'LANÇAMENTOS DIÁRIOS'!$C$5:$C$500,$A52,'LANÇAMENTOS DIÁRIOS'!$O$5:$O$500,"&lt;=120079",'LANÇAMENTOS DIÁRIOS'!$P$5:$P$500,"&gt;=119980")&gt;0,"X","")</f>
      </c>
      <c r="AC52" s="56" t="str">
        <f>IF(COUNTIFS('LANÇAMENTOS DIÁRIOS'!$G$5:$G$500,"G",'LANÇAMENTOS DIÁRIOS'!$C$5:$C$500,$A52,'LANÇAMENTOS DIÁRIOS'!$O$5:$O$500,"&lt;=120179",'LANÇAMENTOS DIÁRIOS'!$P$5:$P$500,"&gt;=120080")&gt;0,"X","")</f>
      </c>
      <c r="AD52" s="56" t="str">
        <f>IF(COUNTIFS('LANÇAMENTOS DIÁRIOS'!$G$5:$G$500,"G",'LANÇAMENTOS DIÁRIOS'!$C$5:$C$500,$A52,'LANÇAMENTOS DIÁRIOS'!$O$5:$O$500,"&lt;=120279",'LANÇAMENTOS DIÁRIOS'!$P$5:$P$500,"&gt;=120180")&gt;0,"X","")</f>
      </c>
      <c r="AE52" s="56" t="str">
        <f>IF(COUNTIFS('LANÇAMENTOS DIÁRIOS'!$G$5:$G$500,"G",'LANÇAMENTOS DIÁRIOS'!$C$5:$C$500,$A52,'LANÇAMENTOS DIÁRIOS'!$O$5:$O$500,"&lt;=120379",'LANÇAMENTOS DIÁRIOS'!$P$5:$P$500,"&gt;=120280")&gt;0,"X","")</f>
      </c>
      <c r="AF52" s="56" t="str">
        <f>IF(COUNTIFS('LANÇAMENTOS DIÁRIOS'!$G$5:$G$500,"G",'LANÇAMENTOS DIÁRIOS'!$C$5:$C$500,$A52,'LANÇAMENTOS DIÁRIOS'!$O$5:$O$500,"&lt;=120479",'LANÇAMENTOS DIÁRIOS'!$P$5:$P$500,"&gt;=120380")&gt;0,"X","")</f>
      </c>
      <c r="AG52" s="56" t="str">
        <f>IF(COUNTIFS('LANÇAMENTOS DIÁRIOS'!$G$5:$G$500,"G",'LANÇAMENTOS DIÁRIOS'!$C$5:$C$500,$A52,'LANÇAMENTOS DIÁRIOS'!$O$5:$O$500,"&lt;=120579",'LANÇAMENTOS DIÁRIOS'!$P$5:$P$500,"&gt;=120480")&gt;0,"X","")</f>
      </c>
      <c r="AH52" s="56" t="str">
        <f>IF(COUNTIFS('LANÇAMENTOS DIÁRIOS'!$G$5:$G$500,"G",'LANÇAMENTOS DIÁRIOS'!$C$5:$C$500,$A52,'LANÇAMENTOS DIÁRIOS'!$O$5:$O$500,"&lt;=120679",'LANÇAMENTOS DIÁRIOS'!$P$5:$P$500,"&gt;=120580")&gt;0,"X","")</f>
      </c>
      <c r="AI52" s="56" t="str">
        <f>IF(COUNTIFS('LANÇAMENTOS DIÁRIOS'!$G$5:$G$500,"G",'LANÇAMENTOS DIÁRIOS'!$C$5:$C$500,$A52,'LANÇAMENTOS DIÁRIOS'!$O$5:$O$500,"&lt;=120779",'LANÇAMENTOS DIÁRIOS'!$P$5:$P$500,"&gt;=120680")&gt;0,"X","")</f>
      </c>
      <c r="AJ52" s="56" t="str">
        <f>IF(COUNTIFS('LANÇAMENTOS DIÁRIOS'!$G$5:$G$500,"G",'LANÇAMENTOS DIÁRIOS'!$C$5:$C$500,$A52,'LANÇAMENTOS DIÁRIOS'!$O$5:$O$500,"&lt;=120879",'LANÇAMENTOS DIÁRIOS'!$P$5:$P$500,"&gt;=120780")&gt;0,"X","")</f>
      </c>
      <c r="AK52" s="56" t="str">
        <f>IF(COUNTIFS('LANÇAMENTOS DIÁRIOS'!$G$5:$G$500,"G",'LANÇAMENTOS DIÁRIOS'!$C$5:$C$500,$A52,'LANÇAMENTOS DIÁRIOS'!$O$5:$O$500,"&lt;=120979",'LANÇAMENTOS DIÁRIOS'!$P$5:$P$500,"&gt;=120880")&gt;0,"X","")</f>
      </c>
      <c r="AL52" s="56" t="str">
        <f>IF(COUNTIFS('LANÇAMENTOS DIÁRIOS'!$G$5:$G$500,"G",'LANÇAMENTOS DIÁRIOS'!$C$5:$C$500,$A52,'LANÇAMENTOS DIÁRIOS'!$O$5:$O$500,"&lt;=121079",'LANÇAMENTOS DIÁRIOS'!$P$5:$P$500,"&gt;=120980")&gt;0,"X","")</f>
      </c>
      <c r="AM52" s="56" t="str">
        <f>IF(COUNTIFS('LANÇAMENTOS DIÁRIOS'!$G$5:$G$500,"G",'LANÇAMENTOS DIÁRIOS'!$C$5:$C$500,$A52,'LANÇAMENTOS DIÁRIOS'!$O$5:$O$500,"&lt;=121179",'LANÇAMENTOS DIÁRIOS'!$P$5:$P$500,"&gt;=121080")&gt;0,"X","")</f>
      </c>
      <c r="AN52" s="56" t="str">
        <f>IF(COUNTIFS('LANÇAMENTOS DIÁRIOS'!$G$5:$G$500,"G",'LANÇAMENTOS DIÁRIOS'!$C$5:$C$500,$A52,'LANÇAMENTOS DIÁRIOS'!$O$5:$O$500,"&lt;=121279",'LANÇAMENTOS DIÁRIOS'!$P$5:$P$500,"&gt;=121180")&gt;0,"X","")</f>
      </c>
      <c r="AO52" s="56" t="str">
        <f>IF(COUNTIFS('LANÇAMENTOS DIÁRIOS'!$G$5:$G$500,"G",'LANÇAMENTOS DIÁRIOS'!$C$5:$C$500,$A52,'LANÇAMENTOS DIÁRIOS'!$O$5:$O$500,"&lt;=121379",'LANÇAMENTOS DIÁRIOS'!$P$5:$P$500,"&gt;=121280")&gt;0,"X","")</f>
      </c>
      <c r="AP52" s="56" t="str">
        <f>IF(COUNTIFS('LANÇAMENTOS DIÁRIOS'!$G$5:$G$500,"G",'LANÇAMENTOS DIÁRIOS'!$C$5:$C$500,$A52,'LANÇAMENTOS DIÁRIOS'!$O$5:$O$500,"&lt;=121479",'LANÇAMENTOS DIÁRIOS'!$P$5:$P$500,"&gt;=121380")&gt;0,"X","")</f>
      </c>
      <c r="AQ52" s="56" t="str">
        <f>IF(COUNTIFS('LANÇAMENTOS DIÁRIOS'!$G$5:$G$500,"G",'LANÇAMENTOS DIÁRIOS'!$C$5:$C$500,$A52,'LANÇAMENTOS DIÁRIOS'!$O$5:$O$500,"&lt;=121579",'LANÇAMENTOS DIÁRIOS'!$P$5:$P$500,"&gt;=121480")&gt;0,"X","")</f>
      </c>
      <c r="AR52" s="56" t="str">
        <f>IF(COUNTIFS('LANÇAMENTOS DIÁRIOS'!$G$5:$G$500,"G",'LANÇAMENTOS DIÁRIOS'!$C$5:$C$500,$A52,'LANÇAMENTOS DIÁRIOS'!$O$5:$O$500,"&lt;=121679",'LANÇAMENTOS DIÁRIOS'!$P$5:$P$500,"&gt;=121580")&gt;0,"X","")</f>
      </c>
      <c r="AS52" s="56" t="str">
        <f>IF(COUNTIFS('LANÇAMENTOS DIÁRIOS'!$G$5:$G$500,"G",'LANÇAMENTOS DIÁRIOS'!$C$5:$C$500,$A52,'LANÇAMENTOS DIÁRIOS'!$O$5:$O$500,"&lt;=121779",'LANÇAMENTOS DIÁRIOS'!$P$5:$P$500,"&gt;=121680")&gt;0,"X","")</f>
      </c>
      <c r="AT52" s="56" t="str">
        <f>IF(COUNTIFS('LANÇAMENTOS DIÁRIOS'!$G$5:$G$500,"G",'LANÇAMENTOS DIÁRIOS'!$C$5:$C$500,$A52,'LANÇAMENTOS DIÁRIOS'!$O$5:$O$500,"&lt;=121879",'LANÇAMENTOS DIÁRIOS'!$P$5:$P$500,"&gt;=121780")&gt;0,"X","")</f>
      </c>
      <c r="AU52" s="56" t="str">
        <f>IF(COUNTIFS('LANÇAMENTOS DIÁRIOS'!$G$5:$G$500,"G",'LANÇAMENTOS DIÁRIOS'!$C$5:$C$500,$A52,'LANÇAMENTOS DIÁRIOS'!$O$5:$O$500,"&lt;=121979",'LANÇAMENTOS DIÁRIOS'!$P$5:$P$500,"&gt;=121880")&gt;0,"X","")</f>
      </c>
      <c r="AV52" s="56" t="str">
        <f>IF(COUNTIFS('LANÇAMENTOS DIÁRIOS'!$G$5:$G$500,"G",'LANÇAMENTOS DIÁRIOS'!$C$5:$C$500,$A52,'LANÇAMENTOS DIÁRIOS'!$O$5:$O$500,"&lt;=122079",'LANÇAMENTOS DIÁRIOS'!$P$5:$P$500,"&gt;=121980")&gt;0,"X","")</f>
      </c>
      <c r="AW52" s="56" t="str">
        <f>IF(COUNTIFS('LANÇAMENTOS DIÁRIOS'!$G$5:$G$500,"G",'LANÇAMENTOS DIÁRIOS'!$C$5:$C$500,$A52,'LANÇAMENTOS DIÁRIOS'!$O$5:$O$500,"&lt;=122179",'LANÇAMENTOS DIÁRIOS'!$P$5:$P$500,"&gt;=122080")&gt;0,"X","")</f>
      </c>
      <c r="AX52" s="56" t="str">
        <f>IF(COUNTIFS('LANÇAMENTOS DIÁRIOS'!$G$5:$G$500,"G",'LANÇAMENTOS DIÁRIOS'!$C$5:$C$500,$A52,'LANÇAMENTOS DIÁRIOS'!$O$5:$O$500,"&lt;=122279",'LANÇAMENTOS DIÁRIOS'!$P$5:$P$500,"&gt;=122180")&gt;0,"X","")</f>
      </c>
      <c r="AY52" s="56" t="str">
        <f>IF(COUNTIFS('LANÇAMENTOS DIÁRIOS'!$G$5:$G$500,"G",'LANÇAMENTOS DIÁRIOS'!$C$5:$C$500,$A52,'LANÇAMENTOS DIÁRIOS'!$O$5:$O$500,"&lt;=122379",'LANÇAMENTOS DIÁRIOS'!$P$5:$P$500,"&gt;=122280")&gt;0,"X","")</f>
      </c>
      <c r="AZ52" s="56" t="str">
        <f>IF(COUNTIFS('LANÇAMENTOS DIÁRIOS'!$G$5:$G$500,"G",'LANÇAMENTOS DIÁRIOS'!$C$5:$C$500,$A52,'LANÇAMENTOS DIÁRIOS'!$O$5:$O$500,"&lt;=122479",'LANÇAMENTOS DIÁRIOS'!$P$5:$P$500,"&gt;=122380")&gt;0,"X","")</f>
      </c>
      <c r="BA52" s="56" t="str">
        <f>IF(COUNTIFS('LANÇAMENTOS DIÁRIOS'!$G$5:$G$500,"G",'LANÇAMENTOS DIÁRIOS'!$C$5:$C$500,$A52,'LANÇAMENTOS DIÁRIOS'!$O$5:$O$500,"&lt;=122579",'LANÇAMENTOS DIÁRIOS'!$P$5:$P$500,"&gt;=122480")&gt;0,"X","")</f>
      </c>
      <c r="BB52" s="56" t="str">
        <f>IF(COUNTIFS('LANÇAMENTOS DIÁRIOS'!$G$5:$G$500,"G",'LANÇAMENTOS DIÁRIOS'!$C$5:$C$500,$A52,'LANÇAMENTOS DIÁRIOS'!$O$5:$O$500,"&lt;=122679",'LANÇAMENTOS DIÁRIOS'!$P$5:$P$500,"&gt;=122580")&gt;0,"X","")</f>
      </c>
      <c r="BC52" s="56" t="str">
        <f>IF(COUNTIFS('LANÇAMENTOS DIÁRIOS'!$G$5:$G$500,"G",'LANÇAMENTOS DIÁRIOS'!$C$5:$C$500,$A52,'LANÇAMENTOS DIÁRIOS'!$O$5:$O$500,"&lt;=122779",'LANÇAMENTOS DIÁRIOS'!$P$5:$P$500,"&gt;=122680")&gt;0,"X","")</f>
      </c>
      <c r="BD52" s="56" t="str">
        <f>IF(COUNTIFS('LANÇAMENTOS DIÁRIOS'!$G$5:$G$500,"G",'LANÇAMENTOS DIÁRIOS'!$C$5:$C$500,$A52,'LANÇAMENTOS DIÁRIOS'!$O$5:$O$500,"&lt;=122879",'LANÇAMENTOS DIÁRIOS'!$P$5:$P$500,"&gt;=122780")&gt;0,"X","")</f>
      </c>
      <c r="BE52" s="56" t="str">
        <f>IF(COUNTIFS('LANÇAMENTOS DIÁRIOS'!$G$5:$G$500,"G",'LANÇAMENTOS DIÁRIOS'!$C$5:$C$500,$A52,'LANÇAMENTOS DIÁRIOS'!$O$5:$O$500,"&lt;=122979",'LANÇAMENTOS DIÁRIOS'!$P$5:$P$500,"&gt;=122880")&gt;0,"X","")</f>
      </c>
      <c r="BF52" s="56" t="str">
        <f>IF(COUNTIFS('LANÇAMENTOS DIÁRIOS'!$G$5:$G$500,"G",'LANÇAMENTOS DIÁRIOS'!$C$5:$C$500,$A52,'LANÇAMENTOS DIÁRIOS'!$O$5:$O$500,"&lt;=123079",'LANÇAMENTOS DIÁRIOS'!$P$5:$P$500,"&gt;=122980")&gt;0,"X","")</f>
      </c>
      <c r="BG52" s="56" t="str">
        <f>IF(COUNTIFS('LANÇAMENTOS DIÁRIOS'!$G$5:$G$500,"G",'LANÇAMENTOS DIÁRIOS'!$C$5:$C$500,$A52,'LANÇAMENTOS DIÁRIOS'!$O$5:$O$500,"&lt;=123179",'LANÇAMENTOS DIÁRIOS'!$P$5:$P$500,"&gt;=123080")&gt;0,"X","")</f>
      </c>
      <c r="BH52" s="56" t="str">
        <f>IF(COUNTIFS('LANÇAMENTOS DIÁRIOS'!$G$5:$G$500,"G",'LANÇAMENTOS DIÁRIOS'!$C$5:$C$500,$A52,'LANÇAMENTOS DIÁRIOS'!$O$5:$O$500,"&lt;=123279",'LANÇAMENTOS DIÁRIOS'!$P$5:$P$500,"&gt;=123180")&gt;0,"X","")</f>
      </c>
      <c r="BI52" s="56" t="str">
        <f>IF(COUNTIFS('LANÇAMENTOS DIÁRIOS'!$G$5:$G$500,"G",'LANÇAMENTOS DIÁRIOS'!$C$5:$C$500,$A52,'LANÇAMENTOS DIÁRIOS'!$O$5:$O$500,"&lt;=123379",'LANÇAMENTOS DIÁRIOS'!$P$5:$P$500,"&gt;=123280")&gt;0,"X","")</f>
      </c>
      <c r="BJ52" s="56" t="str">
        <f>IF(COUNTIFS('LANÇAMENTOS DIÁRIOS'!$G$5:$G$500,"G",'LANÇAMENTOS DIÁRIOS'!$C$5:$C$500,$A52,'LANÇAMENTOS DIÁRIOS'!$O$5:$O$500,"&lt;=123479",'LANÇAMENTOS DIÁRIOS'!$P$5:$P$500,"&gt;=123380")&gt;0,"X","")</f>
      </c>
      <c r="BK52" s="56" t="str">
        <f>IF(COUNTIFS('LANÇAMENTOS DIÁRIOS'!$G$5:$G$500,"G",'LANÇAMENTOS DIÁRIOS'!$C$5:$C$500,$A52,'LANÇAMENTOS DIÁRIOS'!$O$5:$O$500,"&lt;=123480",'LANÇAMENTOS DIÁRIOS'!$P$5:$P$500,"&gt;=123480")&gt;0,"X","")</f>
      </c>
    </row>
    <row r="53">
      <c r="A53" s="51" t="str">
        <v>Fundação / reaterro com brita graduada simples/pedrisco</v>
      </c>
      <c r="B53" s="56" t="str">
        <f>IF(COUNTIFS('LANÇAMENTOS DIÁRIOS'!$G$5:$G$500,"G",'LANÇAMENTOS DIÁRIOS'!$C$5:$C$500,$A53,'LANÇAMENTOS DIÁRIOS'!$O$5:$O$500,"&lt;=117479",'LANÇAMENTOS DIÁRIOS'!$P$5:$P$500,"&gt;=117380")&gt;0,"X","")</f>
      </c>
      <c r="C53" s="56" t="str">
        <f>IF(COUNTIFS('LANÇAMENTOS DIÁRIOS'!$G$5:$G$500,"G",'LANÇAMENTOS DIÁRIOS'!$C$5:$C$500,$A53,'LANÇAMENTOS DIÁRIOS'!$O$5:$O$500,"&lt;=117579",'LANÇAMENTOS DIÁRIOS'!$P$5:$P$500,"&gt;=117480")&gt;0,"X","")</f>
      </c>
      <c r="D53" s="56" t="str">
        <f>IF(COUNTIFS('LANÇAMENTOS DIÁRIOS'!$G$5:$G$500,"G",'LANÇAMENTOS DIÁRIOS'!$C$5:$C$500,$A53,'LANÇAMENTOS DIÁRIOS'!$O$5:$O$500,"&lt;=117679",'LANÇAMENTOS DIÁRIOS'!$P$5:$P$500,"&gt;=117580")&gt;0,"X","")</f>
      </c>
      <c r="E53" s="56" t="str">
        <f>IF(COUNTIFS('LANÇAMENTOS DIÁRIOS'!$G$5:$G$500,"G",'LANÇAMENTOS DIÁRIOS'!$C$5:$C$500,$A53,'LANÇAMENTOS DIÁRIOS'!$O$5:$O$500,"&lt;=117779",'LANÇAMENTOS DIÁRIOS'!$P$5:$P$500,"&gt;=117680")&gt;0,"X","")</f>
      </c>
      <c r="F53" s="56" t="str">
        <f>IF(COUNTIFS('LANÇAMENTOS DIÁRIOS'!$G$5:$G$500,"G",'LANÇAMENTOS DIÁRIOS'!$C$5:$C$500,$A53,'LANÇAMENTOS DIÁRIOS'!$O$5:$O$500,"&lt;=117879",'LANÇAMENTOS DIÁRIOS'!$P$5:$P$500,"&gt;=117780")&gt;0,"X","")</f>
      </c>
      <c r="G53" s="56" t="str">
        <f>IF(COUNTIFS('LANÇAMENTOS DIÁRIOS'!$G$5:$G$500,"G",'LANÇAMENTOS DIÁRIOS'!$C$5:$C$500,$A53,'LANÇAMENTOS DIÁRIOS'!$O$5:$O$500,"&lt;=117979",'LANÇAMENTOS DIÁRIOS'!$P$5:$P$500,"&gt;=117880")&gt;0,"X","")</f>
      </c>
      <c r="H53" s="56" t="str">
        <f>IF(COUNTIFS('LANÇAMENTOS DIÁRIOS'!$G$5:$G$500,"G",'LANÇAMENTOS DIÁRIOS'!$C$5:$C$500,$A53,'LANÇAMENTOS DIÁRIOS'!$O$5:$O$500,"&lt;=118079",'LANÇAMENTOS DIÁRIOS'!$P$5:$P$500,"&gt;=117980")&gt;0,"X","")</f>
      </c>
      <c r="I53" s="56" t="str">
        <f>IF(COUNTIFS('LANÇAMENTOS DIÁRIOS'!$G$5:$G$500,"G",'LANÇAMENTOS DIÁRIOS'!$C$5:$C$500,$A53,'LANÇAMENTOS DIÁRIOS'!$O$5:$O$500,"&lt;=118179",'LANÇAMENTOS DIÁRIOS'!$P$5:$P$500,"&gt;=118080")&gt;0,"X","")</f>
      </c>
      <c r="J53" s="56" t="str">
        <f>IF(COUNTIFS('LANÇAMENTOS DIÁRIOS'!$G$5:$G$500,"G",'LANÇAMENTOS DIÁRIOS'!$C$5:$C$500,$A53,'LANÇAMENTOS DIÁRIOS'!$O$5:$O$500,"&lt;=118279",'LANÇAMENTOS DIÁRIOS'!$P$5:$P$500,"&gt;=118180")&gt;0,"X","")</f>
      </c>
      <c r="K53" s="56" t="str">
        <f>IF(COUNTIFS('LANÇAMENTOS DIÁRIOS'!$G$5:$G$500,"G",'LANÇAMENTOS DIÁRIOS'!$C$5:$C$500,$A53,'LANÇAMENTOS DIÁRIOS'!$O$5:$O$500,"&lt;=118379",'LANÇAMENTOS DIÁRIOS'!$P$5:$P$500,"&gt;=118280")&gt;0,"X","")</f>
      </c>
      <c r="L53" s="56" t="str">
        <f>IF(COUNTIFS('LANÇAMENTOS DIÁRIOS'!$G$5:$G$500,"G",'LANÇAMENTOS DIÁRIOS'!$C$5:$C$500,$A53,'LANÇAMENTOS DIÁRIOS'!$O$5:$O$500,"&lt;=118479",'LANÇAMENTOS DIÁRIOS'!$P$5:$P$500,"&gt;=118380")&gt;0,"X","")</f>
      </c>
      <c r="M53" s="56" t="str">
        <f>IF(COUNTIFS('LANÇAMENTOS DIÁRIOS'!$G$5:$G$500,"G",'LANÇAMENTOS DIÁRIOS'!$C$5:$C$500,$A53,'LANÇAMENTOS DIÁRIOS'!$O$5:$O$500,"&lt;=118579",'LANÇAMENTOS DIÁRIOS'!$P$5:$P$500,"&gt;=118480")&gt;0,"X","")</f>
      </c>
      <c r="N53" s="56" t="str">
        <f>IF(COUNTIFS('LANÇAMENTOS DIÁRIOS'!$G$5:$G$500,"G",'LANÇAMENTOS DIÁRIOS'!$C$5:$C$500,$A53,'LANÇAMENTOS DIÁRIOS'!$O$5:$O$500,"&lt;=118679",'LANÇAMENTOS DIÁRIOS'!$P$5:$P$500,"&gt;=118580")&gt;0,"X","")</f>
      </c>
      <c r="O53" s="56" t="str">
        <f>IF(COUNTIFS('LANÇAMENTOS DIÁRIOS'!$G$5:$G$500,"G",'LANÇAMENTOS DIÁRIOS'!$C$5:$C$500,$A53,'LANÇAMENTOS DIÁRIOS'!$O$5:$O$500,"&lt;=118779",'LANÇAMENTOS DIÁRIOS'!$P$5:$P$500,"&gt;=118680")&gt;0,"X","")</f>
      </c>
      <c r="P53" s="56" t="str">
        <f>IF(COUNTIFS('LANÇAMENTOS DIÁRIOS'!$G$5:$G$500,"G",'LANÇAMENTOS DIÁRIOS'!$C$5:$C$500,$A53,'LANÇAMENTOS DIÁRIOS'!$O$5:$O$500,"&lt;=118879",'LANÇAMENTOS DIÁRIOS'!$P$5:$P$500,"&gt;=118780")&gt;0,"X","")</f>
      </c>
      <c r="Q53" s="56" t="str">
        <f>IF(COUNTIFS('LANÇAMENTOS DIÁRIOS'!$G$5:$G$500,"G",'LANÇAMENTOS DIÁRIOS'!$C$5:$C$500,$A53,'LANÇAMENTOS DIÁRIOS'!$O$5:$O$500,"&lt;=118979",'LANÇAMENTOS DIÁRIOS'!$P$5:$P$500,"&gt;=118880")&gt;0,"X","")</f>
      </c>
      <c r="R53" s="56" t="str">
        <f>IF(COUNTIFS('LANÇAMENTOS DIÁRIOS'!$G$5:$G$500,"G",'LANÇAMENTOS DIÁRIOS'!$C$5:$C$500,$A53,'LANÇAMENTOS DIÁRIOS'!$O$5:$O$500,"&lt;=119079",'LANÇAMENTOS DIÁRIOS'!$P$5:$P$500,"&gt;=118980")&gt;0,"X","")</f>
      </c>
      <c r="S53" s="56" t="str">
        <f>IF(COUNTIFS('LANÇAMENTOS DIÁRIOS'!$G$5:$G$500,"G",'LANÇAMENTOS DIÁRIOS'!$C$5:$C$500,$A53,'LANÇAMENTOS DIÁRIOS'!$O$5:$O$500,"&lt;=119179",'LANÇAMENTOS DIÁRIOS'!$P$5:$P$500,"&gt;=119080")&gt;0,"X","")</f>
      </c>
      <c r="T53" s="56" t="str">
        <f>IF(COUNTIFS('LANÇAMENTOS DIÁRIOS'!$G$5:$G$500,"G",'LANÇAMENTOS DIÁRIOS'!$C$5:$C$500,$A53,'LANÇAMENTOS DIÁRIOS'!$O$5:$O$500,"&lt;=119279",'LANÇAMENTOS DIÁRIOS'!$P$5:$P$500,"&gt;=119180")&gt;0,"X","")</f>
      </c>
      <c r="U53" s="56" t="str">
        <f>IF(COUNTIFS('LANÇAMENTOS DIÁRIOS'!$G$5:$G$500,"G",'LANÇAMENTOS DIÁRIOS'!$C$5:$C$500,$A53,'LANÇAMENTOS DIÁRIOS'!$O$5:$O$500,"&lt;=119379",'LANÇAMENTOS DIÁRIOS'!$P$5:$P$500,"&gt;=119280")&gt;0,"X","")</f>
      </c>
      <c r="V53" s="56" t="str">
        <f>IF(COUNTIFS('LANÇAMENTOS DIÁRIOS'!$G$5:$G$500,"G",'LANÇAMENTOS DIÁRIOS'!$C$5:$C$500,$A53,'LANÇAMENTOS DIÁRIOS'!$O$5:$O$500,"&lt;=119479",'LANÇAMENTOS DIÁRIOS'!$P$5:$P$500,"&gt;=119380")&gt;0,"X","")</f>
      </c>
      <c r="W53" s="56" t="str">
        <f>IF(COUNTIFS('LANÇAMENTOS DIÁRIOS'!$G$5:$G$500,"G",'LANÇAMENTOS DIÁRIOS'!$C$5:$C$500,$A53,'LANÇAMENTOS DIÁRIOS'!$O$5:$O$500,"&lt;=119579",'LANÇAMENTOS DIÁRIOS'!$P$5:$P$500,"&gt;=119480")&gt;0,"X","")</f>
      </c>
      <c r="X53" s="56" t="str">
        <f>IF(COUNTIFS('LANÇAMENTOS DIÁRIOS'!$G$5:$G$500,"G",'LANÇAMENTOS DIÁRIOS'!$C$5:$C$500,$A53,'LANÇAMENTOS DIÁRIOS'!$O$5:$O$500,"&lt;=119679",'LANÇAMENTOS DIÁRIOS'!$P$5:$P$500,"&gt;=119580")&gt;0,"X","")</f>
      </c>
      <c r="Y53" s="56" t="str">
        <f>IF(COUNTIFS('LANÇAMENTOS DIÁRIOS'!$G$5:$G$500,"G",'LANÇAMENTOS DIÁRIOS'!$C$5:$C$500,$A53,'LANÇAMENTOS DIÁRIOS'!$O$5:$O$500,"&lt;=119779",'LANÇAMENTOS DIÁRIOS'!$P$5:$P$500,"&gt;=119680")&gt;0,"X","")</f>
      </c>
      <c r="Z53" s="56" t="str">
        <f>IF(COUNTIFS('LANÇAMENTOS DIÁRIOS'!$G$5:$G$500,"G",'LANÇAMENTOS DIÁRIOS'!$C$5:$C$500,$A53,'LANÇAMENTOS DIÁRIOS'!$O$5:$O$500,"&lt;=119879",'LANÇAMENTOS DIÁRIOS'!$P$5:$P$500,"&gt;=119780")&gt;0,"X","")</f>
      </c>
      <c r="AA53" s="56" t="str">
        <f>IF(COUNTIFS('LANÇAMENTOS DIÁRIOS'!$G$5:$G$500,"G",'LANÇAMENTOS DIÁRIOS'!$C$5:$C$500,$A53,'LANÇAMENTOS DIÁRIOS'!$O$5:$O$500,"&lt;=119979",'LANÇAMENTOS DIÁRIOS'!$P$5:$P$500,"&gt;=119880")&gt;0,"X","")</f>
      </c>
      <c r="AB53" s="56" t="str">
        <f>IF(COUNTIFS('LANÇAMENTOS DIÁRIOS'!$G$5:$G$500,"G",'LANÇAMENTOS DIÁRIOS'!$C$5:$C$500,$A53,'LANÇAMENTOS DIÁRIOS'!$O$5:$O$500,"&lt;=120079",'LANÇAMENTOS DIÁRIOS'!$P$5:$P$500,"&gt;=119980")&gt;0,"X","")</f>
      </c>
      <c r="AC53" s="56" t="str">
        <f>IF(COUNTIFS('LANÇAMENTOS DIÁRIOS'!$G$5:$G$500,"G",'LANÇAMENTOS DIÁRIOS'!$C$5:$C$500,$A53,'LANÇAMENTOS DIÁRIOS'!$O$5:$O$500,"&lt;=120179",'LANÇAMENTOS DIÁRIOS'!$P$5:$P$500,"&gt;=120080")&gt;0,"X","")</f>
      </c>
      <c r="AD53" s="56" t="str">
        <f>IF(COUNTIFS('LANÇAMENTOS DIÁRIOS'!$G$5:$G$500,"G",'LANÇAMENTOS DIÁRIOS'!$C$5:$C$500,$A53,'LANÇAMENTOS DIÁRIOS'!$O$5:$O$500,"&lt;=120279",'LANÇAMENTOS DIÁRIOS'!$P$5:$P$500,"&gt;=120180")&gt;0,"X","")</f>
      </c>
      <c r="AE53" s="56" t="str">
        <f>IF(COUNTIFS('LANÇAMENTOS DIÁRIOS'!$G$5:$G$500,"G",'LANÇAMENTOS DIÁRIOS'!$C$5:$C$500,$A53,'LANÇAMENTOS DIÁRIOS'!$O$5:$O$500,"&lt;=120379",'LANÇAMENTOS DIÁRIOS'!$P$5:$P$500,"&gt;=120280")&gt;0,"X","")</f>
      </c>
      <c r="AF53" s="56" t="str">
        <f>IF(COUNTIFS('LANÇAMENTOS DIÁRIOS'!$G$5:$G$500,"G",'LANÇAMENTOS DIÁRIOS'!$C$5:$C$500,$A53,'LANÇAMENTOS DIÁRIOS'!$O$5:$O$500,"&lt;=120479",'LANÇAMENTOS DIÁRIOS'!$P$5:$P$500,"&gt;=120380")&gt;0,"X","")</f>
      </c>
      <c r="AG53" s="56" t="str">
        <f>IF(COUNTIFS('LANÇAMENTOS DIÁRIOS'!$G$5:$G$500,"G",'LANÇAMENTOS DIÁRIOS'!$C$5:$C$500,$A53,'LANÇAMENTOS DIÁRIOS'!$O$5:$O$500,"&lt;=120579",'LANÇAMENTOS DIÁRIOS'!$P$5:$P$500,"&gt;=120480")&gt;0,"X","")</f>
      </c>
      <c r="AH53" s="56" t="str">
        <f>IF(COUNTIFS('LANÇAMENTOS DIÁRIOS'!$G$5:$G$500,"G",'LANÇAMENTOS DIÁRIOS'!$C$5:$C$500,$A53,'LANÇAMENTOS DIÁRIOS'!$O$5:$O$500,"&lt;=120679",'LANÇAMENTOS DIÁRIOS'!$P$5:$P$500,"&gt;=120580")&gt;0,"X","")</f>
      </c>
      <c r="AI53" s="56" t="str">
        <f>IF(COUNTIFS('LANÇAMENTOS DIÁRIOS'!$G$5:$G$500,"G",'LANÇAMENTOS DIÁRIOS'!$C$5:$C$500,$A53,'LANÇAMENTOS DIÁRIOS'!$O$5:$O$500,"&lt;=120779",'LANÇAMENTOS DIÁRIOS'!$P$5:$P$500,"&gt;=120680")&gt;0,"X","")</f>
      </c>
      <c r="AJ53" s="56" t="str">
        <f>IF(COUNTIFS('LANÇAMENTOS DIÁRIOS'!$G$5:$G$500,"G",'LANÇAMENTOS DIÁRIOS'!$C$5:$C$500,$A53,'LANÇAMENTOS DIÁRIOS'!$O$5:$O$500,"&lt;=120879",'LANÇAMENTOS DIÁRIOS'!$P$5:$P$500,"&gt;=120780")&gt;0,"X","")</f>
      </c>
      <c r="AK53" s="56" t="str">
        <f>IF(COUNTIFS('LANÇAMENTOS DIÁRIOS'!$G$5:$G$500,"G",'LANÇAMENTOS DIÁRIOS'!$C$5:$C$500,$A53,'LANÇAMENTOS DIÁRIOS'!$O$5:$O$500,"&lt;=120979",'LANÇAMENTOS DIÁRIOS'!$P$5:$P$500,"&gt;=120880")&gt;0,"X","")</f>
      </c>
      <c r="AL53" s="56" t="str">
        <f>IF(COUNTIFS('LANÇAMENTOS DIÁRIOS'!$G$5:$G$500,"G",'LANÇAMENTOS DIÁRIOS'!$C$5:$C$500,$A53,'LANÇAMENTOS DIÁRIOS'!$O$5:$O$500,"&lt;=121079",'LANÇAMENTOS DIÁRIOS'!$P$5:$P$500,"&gt;=120980")&gt;0,"X","")</f>
      </c>
      <c r="AM53" s="56" t="str">
        <f>IF(COUNTIFS('LANÇAMENTOS DIÁRIOS'!$G$5:$G$500,"G",'LANÇAMENTOS DIÁRIOS'!$C$5:$C$500,$A53,'LANÇAMENTOS DIÁRIOS'!$O$5:$O$500,"&lt;=121179",'LANÇAMENTOS DIÁRIOS'!$P$5:$P$500,"&gt;=121080")&gt;0,"X","")</f>
      </c>
      <c r="AN53" s="56" t="str">
        <f>IF(COUNTIFS('LANÇAMENTOS DIÁRIOS'!$G$5:$G$500,"G",'LANÇAMENTOS DIÁRIOS'!$C$5:$C$500,$A53,'LANÇAMENTOS DIÁRIOS'!$O$5:$O$500,"&lt;=121279",'LANÇAMENTOS DIÁRIOS'!$P$5:$P$500,"&gt;=121180")&gt;0,"X","")</f>
      </c>
      <c r="AO53" s="56" t="str">
        <f>IF(COUNTIFS('LANÇAMENTOS DIÁRIOS'!$G$5:$G$500,"G",'LANÇAMENTOS DIÁRIOS'!$C$5:$C$500,$A53,'LANÇAMENTOS DIÁRIOS'!$O$5:$O$500,"&lt;=121379",'LANÇAMENTOS DIÁRIOS'!$P$5:$P$500,"&gt;=121280")&gt;0,"X","")</f>
      </c>
      <c r="AP53" s="56" t="str">
        <f>IF(COUNTIFS('LANÇAMENTOS DIÁRIOS'!$G$5:$G$500,"G",'LANÇAMENTOS DIÁRIOS'!$C$5:$C$500,$A53,'LANÇAMENTOS DIÁRIOS'!$O$5:$O$500,"&lt;=121479",'LANÇAMENTOS DIÁRIOS'!$P$5:$P$500,"&gt;=121380")&gt;0,"X","")</f>
      </c>
      <c r="AQ53" s="56" t="str">
        <f>IF(COUNTIFS('LANÇAMENTOS DIÁRIOS'!$G$5:$G$500,"G",'LANÇAMENTOS DIÁRIOS'!$C$5:$C$500,$A53,'LANÇAMENTOS DIÁRIOS'!$O$5:$O$500,"&lt;=121579",'LANÇAMENTOS DIÁRIOS'!$P$5:$P$500,"&gt;=121480")&gt;0,"X","")</f>
      </c>
      <c r="AR53" s="56" t="str">
        <f>IF(COUNTIFS('LANÇAMENTOS DIÁRIOS'!$G$5:$G$500,"G",'LANÇAMENTOS DIÁRIOS'!$C$5:$C$500,$A53,'LANÇAMENTOS DIÁRIOS'!$O$5:$O$500,"&lt;=121679",'LANÇAMENTOS DIÁRIOS'!$P$5:$P$500,"&gt;=121580")&gt;0,"X","")</f>
      </c>
      <c r="AS53" s="56" t="str">
        <f>IF(COUNTIFS('LANÇAMENTOS DIÁRIOS'!$G$5:$G$500,"G",'LANÇAMENTOS DIÁRIOS'!$C$5:$C$500,$A53,'LANÇAMENTOS DIÁRIOS'!$O$5:$O$500,"&lt;=121779",'LANÇAMENTOS DIÁRIOS'!$P$5:$P$500,"&gt;=121680")&gt;0,"X","")</f>
      </c>
      <c r="AT53" s="56" t="str">
        <f>IF(COUNTIFS('LANÇAMENTOS DIÁRIOS'!$G$5:$G$500,"G",'LANÇAMENTOS DIÁRIOS'!$C$5:$C$500,$A53,'LANÇAMENTOS DIÁRIOS'!$O$5:$O$500,"&lt;=121879",'LANÇAMENTOS DIÁRIOS'!$P$5:$P$500,"&gt;=121780")&gt;0,"X","")</f>
      </c>
      <c r="AU53" s="56" t="str">
        <f>IF(COUNTIFS('LANÇAMENTOS DIÁRIOS'!$G$5:$G$500,"G",'LANÇAMENTOS DIÁRIOS'!$C$5:$C$500,$A53,'LANÇAMENTOS DIÁRIOS'!$O$5:$O$500,"&lt;=121979",'LANÇAMENTOS DIÁRIOS'!$P$5:$P$500,"&gt;=121880")&gt;0,"X","")</f>
      </c>
      <c r="AV53" s="56" t="str">
        <f>IF(COUNTIFS('LANÇAMENTOS DIÁRIOS'!$G$5:$G$500,"G",'LANÇAMENTOS DIÁRIOS'!$C$5:$C$500,$A53,'LANÇAMENTOS DIÁRIOS'!$O$5:$O$500,"&lt;=122079",'LANÇAMENTOS DIÁRIOS'!$P$5:$P$500,"&gt;=121980")&gt;0,"X","")</f>
      </c>
      <c r="AW53" s="56" t="str">
        <f>IF(COUNTIFS('LANÇAMENTOS DIÁRIOS'!$G$5:$G$500,"G",'LANÇAMENTOS DIÁRIOS'!$C$5:$C$500,$A53,'LANÇAMENTOS DIÁRIOS'!$O$5:$O$500,"&lt;=122179",'LANÇAMENTOS DIÁRIOS'!$P$5:$P$500,"&gt;=122080")&gt;0,"X","")</f>
      </c>
      <c r="AX53" s="56" t="str">
        <f>IF(COUNTIFS('LANÇAMENTOS DIÁRIOS'!$G$5:$G$500,"G",'LANÇAMENTOS DIÁRIOS'!$C$5:$C$500,$A53,'LANÇAMENTOS DIÁRIOS'!$O$5:$O$500,"&lt;=122279",'LANÇAMENTOS DIÁRIOS'!$P$5:$P$500,"&gt;=122180")&gt;0,"X","")</f>
      </c>
      <c r="AY53" s="56" t="str">
        <f>IF(COUNTIFS('LANÇAMENTOS DIÁRIOS'!$G$5:$G$500,"G",'LANÇAMENTOS DIÁRIOS'!$C$5:$C$500,$A53,'LANÇAMENTOS DIÁRIOS'!$O$5:$O$500,"&lt;=122379",'LANÇAMENTOS DIÁRIOS'!$P$5:$P$500,"&gt;=122280")&gt;0,"X","")</f>
      </c>
      <c r="AZ53" s="56" t="str">
        <f>IF(COUNTIFS('LANÇAMENTOS DIÁRIOS'!$G$5:$G$500,"G",'LANÇAMENTOS DIÁRIOS'!$C$5:$C$500,$A53,'LANÇAMENTOS DIÁRIOS'!$O$5:$O$500,"&lt;=122479",'LANÇAMENTOS DIÁRIOS'!$P$5:$P$500,"&gt;=122380")&gt;0,"X","")</f>
      </c>
      <c r="BA53" s="56" t="str">
        <f>IF(COUNTIFS('LANÇAMENTOS DIÁRIOS'!$G$5:$G$500,"G",'LANÇAMENTOS DIÁRIOS'!$C$5:$C$500,$A53,'LANÇAMENTOS DIÁRIOS'!$O$5:$O$500,"&lt;=122579",'LANÇAMENTOS DIÁRIOS'!$P$5:$P$500,"&gt;=122480")&gt;0,"X","")</f>
      </c>
      <c r="BB53" s="56" t="str">
        <f>IF(COUNTIFS('LANÇAMENTOS DIÁRIOS'!$G$5:$G$500,"G",'LANÇAMENTOS DIÁRIOS'!$C$5:$C$500,$A53,'LANÇAMENTOS DIÁRIOS'!$O$5:$O$500,"&lt;=122679",'LANÇAMENTOS DIÁRIOS'!$P$5:$P$500,"&gt;=122580")&gt;0,"X","")</f>
      </c>
      <c r="BC53" s="56" t="str">
        <f>IF(COUNTIFS('LANÇAMENTOS DIÁRIOS'!$G$5:$G$500,"G",'LANÇAMENTOS DIÁRIOS'!$C$5:$C$500,$A53,'LANÇAMENTOS DIÁRIOS'!$O$5:$O$500,"&lt;=122779",'LANÇAMENTOS DIÁRIOS'!$P$5:$P$500,"&gt;=122680")&gt;0,"X","")</f>
      </c>
      <c r="BD53" s="56" t="str">
        <f>IF(COUNTIFS('LANÇAMENTOS DIÁRIOS'!$G$5:$G$500,"G",'LANÇAMENTOS DIÁRIOS'!$C$5:$C$500,$A53,'LANÇAMENTOS DIÁRIOS'!$O$5:$O$500,"&lt;=122879",'LANÇAMENTOS DIÁRIOS'!$P$5:$P$500,"&gt;=122780")&gt;0,"X","")</f>
      </c>
      <c r="BE53" s="56" t="str">
        <f>IF(COUNTIFS('LANÇAMENTOS DIÁRIOS'!$G$5:$G$500,"G",'LANÇAMENTOS DIÁRIOS'!$C$5:$C$500,$A53,'LANÇAMENTOS DIÁRIOS'!$O$5:$O$500,"&lt;=122979",'LANÇAMENTOS DIÁRIOS'!$P$5:$P$500,"&gt;=122880")&gt;0,"X","")</f>
      </c>
      <c r="BF53" s="56" t="str">
        <f>IF(COUNTIFS('LANÇAMENTOS DIÁRIOS'!$G$5:$G$500,"G",'LANÇAMENTOS DIÁRIOS'!$C$5:$C$500,$A53,'LANÇAMENTOS DIÁRIOS'!$O$5:$O$500,"&lt;=123079",'LANÇAMENTOS DIÁRIOS'!$P$5:$P$500,"&gt;=122980")&gt;0,"X","")</f>
      </c>
      <c r="BG53" s="56" t="str">
        <f>IF(COUNTIFS('LANÇAMENTOS DIÁRIOS'!$G$5:$G$500,"G",'LANÇAMENTOS DIÁRIOS'!$C$5:$C$500,$A53,'LANÇAMENTOS DIÁRIOS'!$O$5:$O$500,"&lt;=123179",'LANÇAMENTOS DIÁRIOS'!$P$5:$P$500,"&gt;=123080")&gt;0,"X","")</f>
      </c>
      <c r="BH53" s="56" t="str">
        <f>IF(COUNTIFS('LANÇAMENTOS DIÁRIOS'!$G$5:$G$500,"G",'LANÇAMENTOS DIÁRIOS'!$C$5:$C$500,$A53,'LANÇAMENTOS DIÁRIOS'!$O$5:$O$500,"&lt;=123279",'LANÇAMENTOS DIÁRIOS'!$P$5:$P$500,"&gt;=123180")&gt;0,"X","")</f>
      </c>
      <c r="BI53" s="56" t="str">
        <f>IF(COUNTIFS('LANÇAMENTOS DIÁRIOS'!$G$5:$G$500,"G",'LANÇAMENTOS DIÁRIOS'!$C$5:$C$500,$A53,'LANÇAMENTOS DIÁRIOS'!$O$5:$O$500,"&lt;=123379",'LANÇAMENTOS DIÁRIOS'!$P$5:$P$500,"&gt;=123280")&gt;0,"X","")</f>
      </c>
      <c r="BJ53" s="56" t="str">
        <f>IF(COUNTIFS('LANÇAMENTOS DIÁRIOS'!$G$5:$G$500,"G",'LANÇAMENTOS DIÁRIOS'!$C$5:$C$500,$A53,'LANÇAMENTOS DIÁRIOS'!$O$5:$O$500,"&lt;=123479",'LANÇAMENTOS DIÁRIOS'!$P$5:$P$500,"&gt;=123380")&gt;0,"X","")</f>
      </c>
      <c r="BK53" s="56" t="str">
        <f>IF(COUNTIFS('LANÇAMENTOS DIÁRIOS'!$G$5:$G$500,"G",'LANÇAMENTOS DIÁRIOS'!$C$5:$C$500,$A53,'LANÇAMENTOS DIÁRIOS'!$O$5:$O$500,"&lt;=123480",'LANÇAMENTOS DIÁRIOS'!$P$5:$P$500,"&gt;=123480")&gt;0,"X","")</f>
      </c>
    </row>
    <row r="54">
      <c r="A54" s="51" t="str">
        <v>Fundação / reaterro com bica corrida</v>
      </c>
      <c r="B54" s="56" t="str">
        <f>IF(COUNTIFS('LANÇAMENTOS DIÁRIOS'!$G$5:$G$500,"G",'LANÇAMENTOS DIÁRIOS'!$C$5:$C$500,$A54,'LANÇAMENTOS DIÁRIOS'!$O$5:$O$500,"&lt;=117479",'LANÇAMENTOS DIÁRIOS'!$P$5:$P$500,"&gt;=117380")&gt;0,"X","")</f>
      </c>
      <c r="C54" s="56" t="str">
        <f>IF(COUNTIFS('LANÇAMENTOS DIÁRIOS'!$G$5:$G$500,"G",'LANÇAMENTOS DIÁRIOS'!$C$5:$C$500,$A54,'LANÇAMENTOS DIÁRIOS'!$O$5:$O$500,"&lt;=117579",'LANÇAMENTOS DIÁRIOS'!$P$5:$P$500,"&gt;=117480")&gt;0,"X","")</f>
      </c>
      <c r="D54" s="56" t="str">
        <f>IF(COUNTIFS('LANÇAMENTOS DIÁRIOS'!$G$5:$G$500,"G",'LANÇAMENTOS DIÁRIOS'!$C$5:$C$500,$A54,'LANÇAMENTOS DIÁRIOS'!$O$5:$O$500,"&lt;=117679",'LANÇAMENTOS DIÁRIOS'!$P$5:$P$500,"&gt;=117580")&gt;0,"X","")</f>
      </c>
      <c r="E54" s="56" t="str">
        <f>IF(COUNTIFS('LANÇAMENTOS DIÁRIOS'!$G$5:$G$500,"G",'LANÇAMENTOS DIÁRIOS'!$C$5:$C$500,$A54,'LANÇAMENTOS DIÁRIOS'!$O$5:$O$500,"&lt;=117779",'LANÇAMENTOS DIÁRIOS'!$P$5:$P$500,"&gt;=117680")&gt;0,"X","")</f>
      </c>
      <c r="F54" s="56" t="str">
        <f>IF(COUNTIFS('LANÇAMENTOS DIÁRIOS'!$G$5:$G$500,"G",'LANÇAMENTOS DIÁRIOS'!$C$5:$C$500,$A54,'LANÇAMENTOS DIÁRIOS'!$O$5:$O$500,"&lt;=117879",'LANÇAMENTOS DIÁRIOS'!$P$5:$P$500,"&gt;=117780")&gt;0,"X","")</f>
      </c>
      <c r="G54" s="56" t="str">
        <f>IF(COUNTIFS('LANÇAMENTOS DIÁRIOS'!$G$5:$G$500,"G",'LANÇAMENTOS DIÁRIOS'!$C$5:$C$500,$A54,'LANÇAMENTOS DIÁRIOS'!$O$5:$O$500,"&lt;=117979",'LANÇAMENTOS DIÁRIOS'!$P$5:$P$500,"&gt;=117880")&gt;0,"X","")</f>
      </c>
      <c r="H54" s="56" t="str">
        <f>IF(COUNTIFS('LANÇAMENTOS DIÁRIOS'!$G$5:$G$500,"G",'LANÇAMENTOS DIÁRIOS'!$C$5:$C$500,$A54,'LANÇAMENTOS DIÁRIOS'!$O$5:$O$500,"&lt;=118079",'LANÇAMENTOS DIÁRIOS'!$P$5:$P$500,"&gt;=117980")&gt;0,"X","")</f>
      </c>
      <c r="I54" s="56" t="str">
        <f>IF(COUNTIFS('LANÇAMENTOS DIÁRIOS'!$G$5:$G$500,"G",'LANÇAMENTOS DIÁRIOS'!$C$5:$C$500,$A54,'LANÇAMENTOS DIÁRIOS'!$O$5:$O$500,"&lt;=118179",'LANÇAMENTOS DIÁRIOS'!$P$5:$P$500,"&gt;=118080")&gt;0,"X","")</f>
      </c>
      <c r="J54" s="56" t="str">
        <f>IF(COUNTIFS('LANÇAMENTOS DIÁRIOS'!$G$5:$G$500,"G",'LANÇAMENTOS DIÁRIOS'!$C$5:$C$500,$A54,'LANÇAMENTOS DIÁRIOS'!$O$5:$O$500,"&lt;=118279",'LANÇAMENTOS DIÁRIOS'!$P$5:$P$500,"&gt;=118180")&gt;0,"X","")</f>
      </c>
      <c r="K54" s="56" t="str">
        <f>IF(COUNTIFS('LANÇAMENTOS DIÁRIOS'!$G$5:$G$500,"G",'LANÇAMENTOS DIÁRIOS'!$C$5:$C$500,$A54,'LANÇAMENTOS DIÁRIOS'!$O$5:$O$500,"&lt;=118379",'LANÇAMENTOS DIÁRIOS'!$P$5:$P$500,"&gt;=118280")&gt;0,"X","")</f>
      </c>
      <c r="L54" s="56" t="str">
        <f>IF(COUNTIFS('LANÇAMENTOS DIÁRIOS'!$G$5:$G$500,"G",'LANÇAMENTOS DIÁRIOS'!$C$5:$C$500,$A54,'LANÇAMENTOS DIÁRIOS'!$O$5:$O$500,"&lt;=118479",'LANÇAMENTOS DIÁRIOS'!$P$5:$P$500,"&gt;=118380")&gt;0,"X","")</f>
      </c>
      <c r="M54" s="56" t="str">
        <f>IF(COUNTIFS('LANÇAMENTOS DIÁRIOS'!$G$5:$G$500,"G",'LANÇAMENTOS DIÁRIOS'!$C$5:$C$500,$A54,'LANÇAMENTOS DIÁRIOS'!$O$5:$O$500,"&lt;=118579",'LANÇAMENTOS DIÁRIOS'!$P$5:$P$500,"&gt;=118480")&gt;0,"X","")</f>
      </c>
      <c r="N54" s="56" t="str">
        <f>IF(COUNTIFS('LANÇAMENTOS DIÁRIOS'!$G$5:$G$500,"G",'LANÇAMENTOS DIÁRIOS'!$C$5:$C$500,$A54,'LANÇAMENTOS DIÁRIOS'!$O$5:$O$500,"&lt;=118679",'LANÇAMENTOS DIÁRIOS'!$P$5:$P$500,"&gt;=118580")&gt;0,"X","")</f>
      </c>
      <c r="O54" s="56" t="str">
        <f>IF(COUNTIFS('LANÇAMENTOS DIÁRIOS'!$G$5:$G$500,"G",'LANÇAMENTOS DIÁRIOS'!$C$5:$C$500,$A54,'LANÇAMENTOS DIÁRIOS'!$O$5:$O$500,"&lt;=118779",'LANÇAMENTOS DIÁRIOS'!$P$5:$P$500,"&gt;=118680")&gt;0,"X","")</f>
      </c>
      <c r="P54" s="56" t="str">
        <f>IF(COUNTIFS('LANÇAMENTOS DIÁRIOS'!$G$5:$G$500,"G",'LANÇAMENTOS DIÁRIOS'!$C$5:$C$500,$A54,'LANÇAMENTOS DIÁRIOS'!$O$5:$O$500,"&lt;=118879",'LANÇAMENTOS DIÁRIOS'!$P$5:$P$500,"&gt;=118780")&gt;0,"X","")</f>
      </c>
      <c r="Q54" s="56" t="str">
        <f>IF(COUNTIFS('LANÇAMENTOS DIÁRIOS'!$G$5:$G$500,"G",'LANÇAMENTOS DIÁRIOS'!$C$5:$C$500,$A54,'LANÇAMENTOS DIÁRIOS'!$O$5:$O$500,"&lt;=118979",'LANÇAMENTOS DIÁRIOS'!$P$5:$P$500,"&gt;=118880")&gt;0,"X","")</f>
      </c>
      <c r="R54" s="56" t="str">
        <f>IF(COUNTIFS('LANÇAMENTOS DIÁRIOS'!$G$5:$G$500,"G",'LANÇAMENTOS DIÁRIOS'!$C$5:$C$500,$A54,'LANÇAMENTOS DIÁRIOS'!$O$5:$O$500,"&lt;=119079",'LANÇAMENTOS DIÁRIOS'!$P$5:$P$500,"&gt;=118980")&gt;0,"X","")</f>
      </c>
      <c r="S54" s="56" t="str">
        <f>IF(COUNTIFS('LANÇAMENTOS DIÁRIOS'!$G$5:$G$500,"G",'LANÇAMENTOS DIÁRIOS'!$C$5:$C$500,$A54,'LANÇAMENTOS DIÁRIOS'!$O$5:$O$500,"&lt;=119179",'LANÇAMENTOS DIÁRIOS'!$P$5:$P$500,"&gt;=119080")&gt;0,"X","")</f>
      </c>
      <c r="T54" s="56" t="str">
        <f>IF(COUNTIFS('LANÇAMENTOS DIÁRIOS'!$G$5:$G$500,"G",'LANÇAMENTOS DIÁRIOS'!$C$5:$C$500,$A54,'LANÇAMENTOS DIÁRIOS'!$O$5:$O$500,"&lt;=119279",'LANÇAMENTOS DIÁRIOS'!$P$5:$P$500,"&gt;=119180")&gt;0,"X","")</f>
      </c>
      <c r="U54" s="56" t="str">
        <f>IF(COUNTIFS('LANÇAMENTOS DIÁRIOS'!$G$5:$G$500,"G",'LANÇAMENTOS DIÁRIOS'!$C$5:$C$500,$A54,'LANÇAMENTOS DIÁRIOS'!$O$5:$O$500,"&lt;=119379",'LANÇAMENTOS DIÁRIOS'!$P$5:$P$500,"&gt;=119280")&gt;0,"X","")</f>
      </c>
      <c r="V54" s="56" t="str">
        <f>IF(COUNTIFS('LANÇAMENTOS DIÁRIOS'!$G$5:$G$500,"G",'LANÇAMENTOS DIÁRIOS'!$C$5:$C$500,$A54,'LANÇAMENTOS DIÁRIOS'!$O$5:$O$500,"&lt;=119479",'LANÇAMENTOS DIÁRIOS'!$P$5:$P$500,"&gt;=119380")&gt;0,"X","")</f>
      </c>
      <c r="W54" s="56" t="str">
        <f>IF(COUNTIFS('LANÇAMENTOS DIÁRIOS'!$G$5:$G$500,"G",'LANÇAMENTOS DIÁRIOS'!$C$5:$C$500,$A54,'LANÇAMENTOS DIÁRIOS'!$O$5:$O$500,"&lt;=119579",'LANÇAMENTOS DIÁRIOS'!$P$5:$P$500,"&gt;=119480")&gt;0,"X","")</f>
      </c>
      <c r="X54" s="56" t="str">
        <f>IF(COUNTIFS('LANÇAMENTOS DIÁRIOS'!$G$5:$G$500,"G",'LANÇAMENTOS DIÁRIOS'!$C$5:$C$500,$A54,'LANÇAMENTOS DIÁRIOS'!$O$5:$O$500,"&lt;=119679",'LANÇAMENTOS DIÁRIOS'!$P$5:$P$500,"&gt;=119580")&gt;0,"X","")</f>
      </c>
      <c r="Y54" s="56" t="str">
        <f>IF(COUNTIFS('LANÇAMENTOS DIÁRIOS'!$G$5:$G$500,"G",'LANÇAMENTOS DIÁRIOS'!$C$5:$C$500,$A54,'LANÇAMENTOS DIÁRIOS'!$O$5:$O$500,"&lt;=119779",'LANÇAMENTOS DIÁRIOS'!$P$5:$P$500,"&gt;=119680")&gt;0,"X","")</f>
      </c>
      <c r="Z54" s="56" t="str">
        <f>IF(COUNTIFS('LANÇAMENTOS DIÁRIOS'!$G$5:$G$500,"G",'LANÇAMENTOS DIÁRIOS'!$C$5:$C$500,$A54,'LANÇAMENTOS DIÁRIOS'!$O$5:$O$500,"&lt;=119879",'LANÇAMENTOS DIÁRIOS'!$P$5:$P$500,"&gt;=119780")&gt;0,"X","")</f>
      </c>
      <c r="AA54" s="56" t="str">
        <f>IF(COUNTIFS('LANÇAMENTOS DIÁRIOS'!$G$5:$G$500,"G",'LANÇAMENTOS DIÁRIOS'!$C$5:$C$500,$A54,'LANÇAMENTOS DIÁRIOS'!$O$5:$O$500,"&lt;=119979",'LANÇAMENTOS DIÁRIOS'!$P$5:$P$500,"&gt;=119880")&gt;0,"X","")</f>
      </c>
      <c r="AB54" s="56" t="str">
        <f>IF(COUNTIFS('LANÇAMENTOS DIÁRIOS'!$G$5:$G$500,"G",'LANÇAMENTOS DIÁRIOS'!$C$5:$C$500,$A54,'LANÇAMENTOS DIÁRIOS'!$O$5:$O$500,"&lt;=120079",'LANÇAMENTOS DIÁRIOS'!$P$5:$P$500,"&gt;=119980")&gt;0,"X","")</f>
      </c>
      <c r="AC54" s="56" t="str">
        <f>IF(COUNTIFS('LANÇAMENTOS DIÁRIOS'!$G$5:$G$500,"G",'LANÇAMENTOS DIÁRIOS'!$C$5:$C$500,$A54,'LANÇAMENTOS DIÁRIOS'!$O$5:$O$500,"&lt;=120179",'LANÇAMENTOS DIÁRIOS'!$P$5:$P$500,"&gt;=120080")&gt;0,"X","")</f>
      </c>
      <c r="AD54" s="56" t="str">
        <f>IF(COUNTIFS('LANÇAMENTOS DIÁRIOS'!$G$5:$G$500,"G",'LANÇAMENTOS DIÁRIOS'!$C$5:$C$500,$A54,'LANÇAMENTOS DIÁRIOS'!$O$5:$O$500,"&lt;=120279",'LANÇAMENTOS DIÁRIOS'!$P$5:$P$500,"&gt;=120180")&gt;0,"X","")</f>
      </c>
      <c r="AE54" s="56" t="str">
        <f>IF(COUNTIFS('LANÇAMENTOS DIÁRIOS'!$G$5:$G$500,"G",'LANÇAMENTOS DIÁRIOS'!$C$5:$C$500,$A54,'LANÇAMENTOS DIÁRIOS'!$O$5:$O$500,"&lt;=120379",'LANÇAMENTOS DIÁRIOS'!$P$5:$P$500,"&gt;=120280")&gt;0,"X","")</f>
      </c>
      <c r="AF54" s="56" t="str">
        <f>IF(COUNTIFS('LANÇAMENTOS DIÁRIOS'!$G$5:$G$500,"G",'LANÇAMENTOS DIÁRIOS'!$C$5:$C$500,$A54,'LANÇAMENTOS DIÁRIOS'!$O$5:$O$500,"&lt;=120479",'LANÇAMENTOS DIÁRIOS'!$P$5:$P$500,"&gt;=120380")&gt;0,"X","")</f>
      </c>
      <c r="AG54" s="56" t="str">
        <f>IF(COUNTIFS('LANÇAMENTOS DIÁRIOS'!$G$5:$G$500,"G",'LANÇAMENTOS DIÁRIOS'!$C$5:$C$500,$A54,'LANÇAMENTOS DIÁRIOS'!$O$5:$O$500,"&lt;=120579",'LANÇAMENTOS DIÁRIOS'!$P$5:$P$500,"&gt;=120480")&gt;0,"X","")</f>
      </c>
      <c r="AH54" s="56" t="str">
        <f>IF(COUNTIFS('LANÇAMENTOS DIÁRIOS'!$G$5:$G$500,"G",'LANÇAMENTOS DIÁRIOS'!$C$5:$C$500,$A54,'LANÇAMENTOS DIÁRIOS'!$O$5:$O$500,"&lt;=120679",'LANÇAMENTOS DIÁRIOS'!$P$5:$P$500,"&gt;=120580")&gt;0,"X","")</f>
      </c>
      <c r="AI54" s="56" t="str">
        <f>IF(COUNTIFS('LANÇAMENTOS DIÁRIOS'!$G$5:$G$500,"G",'LANÇAMENTOS DIÁRIOS'!$C$5:$C$500,$A54,'LANÇAMENTOS DIÁRIOS'!$O$5:$O$500,"&lt;=120779",'LANÇAMENTOS DIÁRIOS'!$P$5:$P$500,"&gt;=120680")&gt;0,"X","")</f>
      </c>
      <c r="AJ54" s="56" t="str">
        <f>IF(COUNTIFS('LANÇAMENTOS DIÁRIOS'!$G$5:$G$500,"G",'LANÇAMENTOS DIÁRIOS'!$C$5:$C$500,$A54,'LANÇAMENTOS DIÁRIOS'!$O$5:$O$500,"&lt;=120879",'LANÇAMENTOS DIÁRIOS'!$P$5:$P$500,"&gt;=120780")&gt;0,"X","")</f>
      </c>
      <c r="AK54" s="56" t="str">
        <f>IF(COUNTIFS('LANÇAMENTOS DIÁRIOS'!$G$5:$G$500,"G",'LANÇAMENTOS DIÁRIOS'!$C$5:$C$500,$A54,'LANÇAMENTOS DIÁRIOS'!$O$5:$O$500,"&lt;=120979",'LANÇAMENTOS DIÁRIOS'!$P$5:$P$500,"&gt;=120880")&gt;0,"X","")</f>
      </c>
      <c r="AL54" s="56" t="str">
        <f>IF(COUNTIFS('LANÇAMENTOS DIÁRIOS'!$G$5:$G$500,"G",'LANÇAMENTOS DIÁRIOS'!$C$5:$C$500,$A54,'LANÇAMENTOS DIÁRIOS'!$O$5:$O$500,"&lt;=121079",'LANÇAMENTOS DIÁRIOS'!$P$5:$P$500,"&gt;=120980")&gt;0,"X","")</f>
      </c>
      <c r="AM54" s="56" t="str">
        <f>IF(COUNTIFS('LANÇAMENTOS DIÁRIOS'!$G$5:$G$500,"G",'LANÇAMENTOS DIÁRIOS'!$C$5:$C$500,$A54,'LANÇAMENTOS DIÁRIOS'!$O$5:$O$500,"&lt;=121179",'LANÇAMENTOS DIÁRIOS'!$P$5:$P$500,"&gt;=121080")&gt;0,"X","")</f>
      </c>
      <c r="AN54" s="56" t="str">
        <f>IF(COUNTIFS('LANÇAMENTOS DIÁRIOS'!$G$5:$G$500,"G",'LANÇAMENTOS DIÁRIOS'!$C$5:$C$500,$A54,'LANÇAMENTOS DIÁRIOS'!$O$5:$O$500,"&lt;=121279",'LANÇAMENTOS DIÁRIOS'!$P$5:$P$500,"&gt;=121180")&gt;0,"X","")</f>
      </c>
      <c r="AO54" s="56" t="str">
        <f>IF(COUNTIFS('LANÇAMENTOS DIÁRIOS'!$G$5:$G$500,"G",'LANÇAMENTOS DIÁRIOS'!$C$5:$C$500,$A54,'LANÇAMENTOS DIÁRIOS'!$O$5:$O$500,"&lt;=121379",'LANÇAMENTOS DIÁRIOS'!$P$5:$P$500,"&gt;=121280")&gt;0,"X","")</f>
      </c>
      <c r="AP54" s="56" t="str">
        <f>IF(COUNTIFS('LANÇAMENTOS DIÁRIOS'!$G$5:$G$500,"G",'LANÇAMENTOS DIÁRIOS'!$C$5:$C$500,$A54,'LANÇAMENTOS DIÁRIOS'!$O$5:$O$500,"&lt;=121479",'LANÇAMENTOS DIÁRIOS'!$P$5:$P$500,"&gt;=121380")&gt;0,"X","")</f>
      </c>
      <c r="AQ54" s="56" t="str">
        <f>IF(COUNTIFS('LANÇAMENTOS DIÁRIOS'!$G$5:$G$500,"G",'LANÇAMENTOS DIÁRIOS'!$C$5:$C$500,$A54,'LANÇAMENTOS DIÁRIOS'!$O$5:$O$500,"&lt;=121579",'LANÇAMENTOS DIÁRIOS'!$P$5:$P$500,"&gt;=121480")&gt;0,"X","")</f>
      </c>
      <c r="AR54" s="56" t="str">
        <f>IF(COUNTIFS('LANÇAMENTOS DIÁRIOS'!$G$5:$G$500,"G",'LANÇAMENTOS DIÁRIOS'!$C$5:$C$500,$A54,'LANÇAMENTOS DIÁRIOS'!$O$5:$O$500,"&lt;=121679",'LANÇAMENTOS DIÁRIOS'!$P$5:$P$500,"&gt;=121580")&gt;0,"X","")</f>
      </c>
      <c r="AS54" s="56" t="str">
        <f>IF(COUNTIFS('LANÇAMENTOS DIÁRIOS'!$G$5:$G$500,"G",'LANÇAMENTOS DIÁRIOS'!$C$5:$C$500,$A54,'LANÇAMENTOS DIÁRIOS'!$O$5:$O$500,"&lt;=121779",'LANÇAMENTOS DIÁRIOS'!$P$5:$P$500,"&gt;=121680")&gt;0,"X","")</f>
      </c>
      <c r="AT54" s="56" t="str">
        <f>IF(COUNTIFS('LANÇAMENTOS DIÁRIOS'!$G$5:$G$500,"G",'LANÇAMENTOS DIÁRIOS'!$C$5:$C$500,$A54,'LANÇAMENTOS DIÁRIOS'!$O$5:$O$500,"&lt;=121879",'LANÇAMENTOS DIÁRIOS'!$P$5:$P$500,"&gt;=121780")&gt;0,"X","")</f>
      </c>
      <c r="AU54" s="56" t="str">
        <f>IF(COUNTIFS('LANÇAMENTOS DIÁRIOS'!$G$5:$G$500,"G",'LANÇAMENTOS DIÁRIOS'!$C$5:$C$500,$A54,'LANÇAMENTOS DIÁRIOS'!$O$5:$O$500,"&lt;=121979",'LANÇAMENTOS DIÁRIOS'!$P$5:$P$500,"&gt;=121880")&gt;0,"X","")</f>
      </c>
      <c r="AV54" s="56" t="str">
        <f>IF(COUNTIFS('LANÇAMENTOS DIÁRIOS'!$G$5:$G$500,"G",'LANÇAMENTOS DIÁRIOS'!$C$5:$C$500,$A54,'LANÇAMENTOS DIÁRIOS'!$O$5:$O$500,"&lt;=122079",'LANÇAMENTOS DIÁRIOS'!$P$5:$P$500,"&gt;=121980")&gt;0,"X","")</f>
      </c>
      <c r="AW54" s="56" t="str">
        <f>IF(COUNTIFS('LANÇAMENTOS DIÁRIOS'!$G$5:$G$500,"G",'LANÇAMENTOS DIÁRIOS'!$C$5:$C$500,$A54,'LANÇAMENTOS DIÁRIOS'!$O$5:$O$500,"&lt;=122179",'LANÇAMENTOS DIÁRIOS'!$P$5:$P$500,"&gt;=122080")&gt;0,"X","")</f>
      </c>
      <c r="AX54" s="56" t="str">
        <f>IF(COUNTIFS('LANÇAMENTOS DIÁRIOS'!$G$5:$G$500,"G",'LANÇAMENTOS DIÁRIOS'!$C$5:$C$500,$A54,'LANÇAMENTOS DIÁRIOS'!$O$5:$O$500,"&lt;=122279",'LANÇAMENTOS DIÁRIOS'!$P$5:$P$500,"&gt;=122180")&gt;0,"X","")</f>
      </c>
      <c r="AY54" s="56" t="str">
        <f>IF(COUNTIFS('LANÇAMENTOS DIÁRIOS'!$G$5:$G$500,"G",'LANÇAMENTOS DIÁRIOS'!$C$5:$C$500,$A54,'LANÇAMENTOS DIÁRIOS'!$O$5:$O$500,"&lt;=122379",'LANÇAMENTOS DIÁRIOS'!$P$5:$P$500,"&gt;=122280")&gt;0,"X","")</f>
      </c>
      <c r="AZ54" s="56" t="str">
        <f>IF(COUNTIFS('LANÇAMENTOS DIÁRIOS'!$G$5:$G$500,"G",'LANÇAMENTOS DIÁRIOS'!$C$5:$C$500,$A54,'LANÇAMENTOS DIÁRIOS'!$O$5:$O$500,"&lt;=122479",'LANÇAMENTOS DIÁRIOS'!$P$5:$P$500,"&gt;=122380")&gt;0,"X","")</f>
      </c>
      <c r="BA54" s="56" t="str">
        <f>IF(COUNTIFS('LANÇAMENTOS DIÁRIOS'!$G$5:$G$500,"G",'LANÇAMENTOS DIÁRIOS'!$C$5:$C$500,$A54,'LANÇAMENTOS DIÁRIOS'!$O$5:$O$500,"&lt;=122579",'LANÇAMENTOS DIÁRIOS'!$P$5:$P$500,"&gt;=122480")&gt;0,"X","")</f>
      </c>
      <c r="BB54" s="56" t="str">
        <f>IF(COUNTIFS('LANÇAMENTOS DIÁRIOS'!$G$5:$G$500,"G",'LANÇAMENTOS DIÁRIOS'!$C$5:$C$500,$A54,'LANÇAMENTOS DIÁRIOS'!$O$5:$O$500,"&lt;=122679",'LANÇAMENTOS DIÁRIOS'!$P$5:$P$500,"&gt;=122580")&gt;0,"X","")</f>
      </c>
      <c r="BC54" s="56" t="str">
        <f>IF(COUNTIFS('LANÇAMENTOS DIÁRIOS'!$G$5:$G$500,"G",'LANÇAMENTOS DIÁRIOS'!$C$5:$C$500,$A54,'LANÇAMENTOS DIÁRIOS'!$O$5:$O$500,"&lt;=122779",'LANÇAMENTOS DIÁRIOS'!$P$5:$P$500,"&gt;=122680")&gt;0,"X","")</f>
      </c>
      <c r="BD54" s="56" t="str">
        <f>IF(COUNTIFS('LANÇAMENTOS DIÁRIOS'!$G$5:$G$500,"G",'LANÇAMENTOS DIÁRIOS'!$C$5:$C$500,$A54,'LANÇAMENTOS DIÁRIOS'!$O$5:$O$500,"&lt;=122879",'LANÇAMENTOS DIÁRIOS'!$P$5:$P$500,"&gt;=122780")&gt;0,"X","")</f>
      </c>
      <c r="BE54" s="56" t="str">
        <f>IF(COUNTIFS('LANÇAMENTOS DIÁRIOS'!$G$5:$G$500,"G",'LANÇAMENTOS DIÁRIOS'!$C$5:$C$500,$A54,'LANÇAMENTOS DIÁRIOS'!$O$5:$O$500,"&lt;=122979",'LANÇAMENTOS DIÁRIOS'!$P$5:$P$500,"&gt;=122880")&gt;0,"X","")</f>
      </c>
      <c r="BF54" s="56" t="str">
        <f>IF(COUNTIFS('LANÇAMENTOS DIÁRIOS'!$G$5:$G$500,"G",'LANÇAMENTOS DIÁRIOS'!$C$5:$C$500,$A54,'LANÇAMENTOS DIÁRIOS'!$O$5:$O$500,"&lt;=123079",'LANÇAMENTOS DIÁRIOS'!$P$5:$P$500,"&gt;=122980")&gt;0,"X","")</f>
      </c>
      <c r="BG54" s="56" t="str">
        <f>IF(COUNTIFS('LANÇAMENTOS DIÁRIOS'!$G$5:$G$500,"G",'LANÇAMENTOS DIÁRIOS'!$C$5:$C$500,$A54,'LANÇAMENTOS DIÁRIOS'!$O$5:$O$500,"&lt;=123179",'LANÇAMENTOS DIÁRIOS'!$P$5:$P$500,"&gt;=123080")&gt;0,"X","")</f>
      </c>
      <c r="BH54" s="56" t="str">
        <f>IF(COUNTIFS('LANÇAMENTOS DIÁRIOS'!$G$5:$G$500,"G",'LANÇAMENTOS DIÁRIOS'!$C$5:$C$500,$A54,'LANÇAMENTOS DIÁRIOS'!$O$5:$O$500,"&lt;=123279",'LANÇAMENTOS DIÁRIOS'!$P$5:$P$500,"&gt;=123180")&gt;0,"X","")</f>
      </c>
      <c r="BI54" s="56" t="str">
        <f>IF(COUNTIFS('LANÇAMENTOS DIÁRIOS'!$G$5:$G$500,"G",'LANÇAMENTOS DIÁRIOS'!$C$5:$C$500,$A54,'LANÇAMENTOS DIÁRIOS'!$O$5:$O$500,"&lt;=123379",'LANÇAMENTOS DIÁRIOS'!$P$5:$P$500,"&gt;=123280")&gt;0,"X","")</f>
      </c>
      <c r="BJ54" s="56" t="str">
        <f>IF(COUNTIFS('LANÇAMENTOS DIÁRIOS'!$G$5:$G$500,"G",'LANÇAMENTOS DIÁRIOS'!$C$5:$C$500,$A54,'LANÇAMENTOS DIÁRIOS'!$O$5:$O$500,"&lt;=123479",'LANÇAMENTOS DIÁRIOS'!$P$5:$P$500,"&gt;=123380")&gt;0,"X","")</f>
      </c>
      <c r="BK54" s="56" t="str">
        <f>IF(COUNTIFS('LANÇAMENTOS DIÁRIOS'!$G$5:$G$500,"G",'LANÇAMENTOS DIÁRIOS'!$C$5:$C$500,$A54,'LANÇAMENTOS DIÁRIOS'!$O$5:$O$500,"&lt;=123480",'LANÇAMENTOS DIÁRIOS'!$P$5:$P$500,"&gt;=123480")&gt;0,"X","")</f>
      </c>
    </row>
    <row r="55">
      <c r="A55" s="51" t="str">
        <v>Camada drenante Brita 3/4" a 1 1/2"</v>
      </c>
      <c r="B55" s="56" t="str">
        <f>IF(COUNTIFS('LANÇAMENTOS DIÁRIOS'!$G$5:$G$500,"G",'LANÇAMENTOS DIÁRIOS'!$C$5:$C$500,$A55,'LANÇAMENTOS DIÁRIOS'!$O$5:$O$500,"&lt;=117479",'LANÇAMENTOS DIÁRIOS'!$P$5:$P$500,"&gt;=117380")&gt;0,"X","")</f>
      </c>
      <c r="C55" s="56" t="str">
        <f>IF(COUNTIFS('LANÇAMENTOS DIÁRIOS'!$G$5:$G$500,"G",'LANÇAMENTOS DIÁRIOS'!$C$5:$C$500,$A55,'LANÇAMENTOS DIÁRIOS'!$O$5:$O$500,"&lt;=117579",'LANÇAMENTOS DIÁRIOS'!$P$5:$P$500,"&gt;=117480")&gt;0,"X","")</f>
      </c>
      <c r="D55" s="56" t="str">
        <f>IF(COUNTIFS('LANÇAMENTOS DIÁRIOS'!$G$5:$G$500,"G",'LANÇAMENTOS DIÁRIOS'!$C$5:$C$500,$A55,'LANÇAMENTOS DIÁRIOS'!$O$5:$O$500,"&lt;=117679",'LANÇAMENTOS DIÁRIOS'!$P$5:$P$500,"&gt;=117580")&gt;0,"X","")</f>
      </c>
      <c r="E55" s="56" t="str">
        <f>IF(COUNTIFS('LANÇAMENTOS DIÁRIOS'!$G$5:$G$500,"G",'LANÇAMENTOS DIÁRIOS'!$C$5:$C$500,$A55,'LANÇAMENTOS DIÁRIOS'!$O$5:$O$500,"&lt;=117779",'LANÇAMENTOS DIÁRIOS'!$P$5:$P$500,"&gt;=117680")&gt;0,"X","")</f>
      </c>
      <c r="F55" s="56" t="str">
        <f>IF(COUNTIFS('LANÇAMENTOS DIÁRIOS'!$G$5:$G$500,"G",'LANÇAMENTOS DIÁRIOS'!$C$5:$C$500,$A55,'LANÇAMENTOS DIÁRIOS'!$O$5:$O$500,"&lt;=117879",'LANÇAMENTOS DIÁRIOS'!$P$5:$P$500,"&gt;=117780")&gt;0,"X","")</f>
      </c>
      <c r="G55" s="56" t="str">
        <f>IF(COUNTIFS('LANÇAMENTOS DIÁRIOS'!$G$5:$G$500,"G",'LANÇAMENTOS DIÁRIOS'!$C$5:$C$500,$A55,'LANÇAMENTOS DIÁRIOS'!$O$5:$O$500,"&lt;=117979",'LANÇAMENTOS DIÁRIOS'!$P$5:$P$500,"&gt;=117880")&gt;0,"X","")</f>
      </c>
      <c r="H55" s="56" t="str">
        <f>IF(COUNTIFS('LANÇAMENTOS DIÁRIOS'!$G$5:$G$500,"G",'LANÇAMENTOS DIÁRIOS'!$C$5:$C$500,$A55,'LANÇAMENTOS DIÁRIOS'!$O$5:$O$500,"&lt;=118079",'LANÇAMENTOS DIÁRIOS'!$P$5:$P$500,"&gt;=117980")&gt;0,"X","")</f>
      </c>
      <c r="I55" s="56" t="str">
        <f>IF(COUNTIFS('LANÇAMENTOS DIÁRIOS'!$G$5:$G$500,"G",'LANÇAMENTOS DIÁRIOS'!$C$5:$C$500,$A55,'LANÇAMENTOS DIÁRIOS'!$O$5:$O$500,"&lt;=118179",'LANÇAMENTOS DIÁRIOS'!$P$5:$P$500,"&gt;=118080")&gt;0,"X","")</f>
      </c>
      <c r="J55" s="56" t="str">
        <f>IF(COUNTIFS('LANÇAMENTOS DIÁRIOS'!$G$5:$G$500,"G",'LANÇAMENTOS DIÁRIOS'!$C$5:$C$500,$A55,'LANÇAMENTOS DIÁRIOS'!$O$5:$O$500,"&lt;=118279",'LANÇAMENTOS DIÁRIOS'!$P$5:$P$500,"&gt;=118180")&gt;0,"X","")</f>
      </c>
      <c r="K55" s="56" t="str">
        <f>IF(COUNTIFS('LANÇAMENTOS DIÁRIOS'!$G$5:$G$500,"G",'LANÇAMENTOS DIÁRIOS'!$C$5:$C$500,$A55,'LANÇAMENTOS DIÁRIOS'!$O$5:$O$500,"&lt;=118379",'LANÇAMENTOS DIÁRIOS'!$P$5:$P$500,"&gt;=118280")&gt;0,"X","")</f>
      </c>
      <c r="L55" s="56" t="str">
        <f>IF(COUNTIFS('LANÇAMENTOS DIÁRIOS'!$G$5:$G$500,"G",'LANÇAMENTOS DIÁRIOS'!$C$5:$C$500,$A55,'LANÇAMENTOS DIÁRIOS'!$O$5:$O$500,"&lt;=118479",'LANÇAMENTOS DIÁRIOS'!$P$5:$P$500,"&gt;=118380")&gt;0,"X","")</f>
      </c>
      <c r="M55" s="56" t="str">
        <f>IF(COUNTIFS('LANÇAMENTOS DIÁRIOS'!$G$5:$G$500,"G",'LANÇAMENTOS DIÁRIOS'!$C$5:$C$500,$A55,'LANÇAMENTOS DIÁRIOS'!$O$5:$O$500,"&lt;=118579",'LANÇAMENTOS DIÁRIOS'!$P$5:$P$500,"&gt;=118480")&gt;0,"X","")</f>
      </c>
      <c r="N55" s="56" t="str">
        <f>IF(COUNTIFS('LANÇAMENTOS DIÁRIOS'!$G$5:$G$500,"G",'LANÇAMENTOS DIÁRIOS'!$C$5:$C$500,$A55,'LANÇAMENTOS DIÁRIOS'!$O$5:$O$500,"&lt;=118679",'LANÇAMENTOS DIÁRIOS'!$P$5:$P$500,"&gt;=118580")&gt;0,"X","")</f>
      </c>
      <c r="O55" s="56" t="str">
        <f>IF(COUNTIFS('LANÇAMENTOS DIÁRIOS'!$G$5:$G$500,"G",'LANÇAMENTOS DIÁRIOS'!$C$5:$C$500,$A55,'LANÇAMENTOS DIÁRIOS'!$O$5:$O$500,"&lt;=118779",'LANÇAMENTOS DIÁRIOS'!$P$5:$P$500,"&gt;=118680")&gt;0,"X","")</f>
      </c>
      <c r="P55" s="56" t="str">
        <f>IF(COUNTIFS('LANÇAMENTOS DIÁRIOS'!$G$5:$G$500,"G",'LANÇAMENTOS DIÁRIOS'!$C$5:$C$500,$A55,'LANÇAMENTOS DIÁRIOS'!$O$5:$O$500,"&lt;=118879",'LANÇAMENTOS DIÁRIOS'!$P$5:$P$500,"&gt;=118780")&gt;0,"X","")</f>
      </c>
      <c r="Q55" s="56" t="str">
        <f>IF(COUNTIFS('LANÇAMENTOS DIÁRIOS'!$G$5:$G$500,"G",'LANÇAMENTOS DIÁRIOS'!$C$5:$C$500,$A55,'LANÇAMENTOS DIÁRIOS'!$O$5:$O$500,"&lt;=118979",'LANÇAMENTOS DIÁRIOS'!$P$5:$P$500,"&gt;=118880")&gt;0,"X","")</f>
      </c>
      <c r="R55" s="56" t="str">
        <f>IF(COUNTIFS('LANÇAMENTOS DIÁRIOS'!$G$5:$G$500,"G",'LANÇAMENTOS DIÁRIOS'!$C$5:$C$500,$A55,'LANÇAMENTOS DIÁRIOS'!$O$5:$O$500,"&lt;=119079",'LANÇAMENTOS DIÁRIOS'!$P$5:$P$500,"&gt;=118980")&gt;0,"X","")</f>
      </c>
      <c r="S55" s="56" t="str">
        <f>IF(COUNTIFS('LANÇAMENTOS DIÁRIOS'!$G$5:$G$500,"G",'LANÇAMENTOS DIÁRIOS'!$C$5:$C$500,$A55,'LANÇAMENTOS DIÁRIOS'!$O$5:$O$500,"&lt;=119179",'LANÇAMENTOS DIÁRIOS'!$P$5:$P$500,"&gt;=119080")&gt;0,"X","")</f>
      </c>
      <c r="T55" s="56" t="str">
        <f>IF(COUNTIFS('LANÇAMENTOS DIÁRIOS'!$G$5:$G$500,"G",'LANÇAMENTOS DIÁRIOS'!$C$5:$C$500,$A55,'LANÇAMENTOS DIÁRIOS'!$O$5:$O$500,"&lt;=119279",'LANÇAMENTOS DIÁRIOS'!$P$5:$P$500,"&gt;=119180")&gt;0,"X","")</f>
      </c>
      <c r="U55" s="56" t="str">
        <f>IF(COUNTIFS('LANÇAMENTOS DIÁRIOS'!$G$5:$G$500,"G",'LANÇAMENTOS DIÁRIOS'!$C$5:$C$500,$A55,'LANÇAMENTOS DIÁRIOS'!$O$5:$O$500,"&lt;=119379",'LANÇAMENTOS DIÁRIOS'!$P$5:$P$500,"&gt;=119280")&gt;0,"X","")</f>
      </c>
      <c r="V55" s="56" t="str">
        <f>IF(COUNTIFS('LANÇAMENTOS DIÁRIOS'!$G$5:$G$500,"G",'LANÇAMENTOS DIÁRIOS'!$C$5:$C$500,$A55,'LANÇAMENTOS DIÁRIOS'!$O$5:$O$500,"&lt;=119479",'LANÇAMENTOS DIÁRIOS'!$P$5:$P$500,"&gt;=119380")&gt;0,"X","")</f>
      </c>
      <c r="W55" s="56" t="str">
        <f>IF(COUNTIFS('LANÇAMENTOS DIÁRIOS'!$G$5:$G$500,"G",'LANÇAMENTOS DIÁRIOS'!$C$5:$C$500,$A55,'LANÇAMENTOS DIÁRIOS'!$O$5:$O$500,"&lt;=119579",'LANÇAMENTOS DIÁRIOS'!$P$5:$P$500,"&gt;=119480")&gt;0,"X","")</f>
      </c>
      <c r="X55" s="56" t="str">
        <f>IF(COUNTIFS('LANÇAMENTOS DIÁRIOS'!$G$5:$G$500,"G",'LANÇAMENTOS DIÁRIOS'!$C$5:$C$500,$A55,'LANÇAMENTOS DIÁRIOS'!$O$5:$O$500,"&lt;=119679",'LANÇAMENTOS DIÁRIOS'!$P$5:$P$500,"&gt;=119580")&gt;0,"X","")</f>
      </c>
      <c r="Y55" s="56" t="str">
        <f>IF(COUNTIFS('LANÇAMENTOS DIÁRIOS'!$G$5:$G$500,"G",'LANÇAMENTOS DIÁRIOS'!$C$5:$C$500,$A55,'LANÇAMENTOS DIÁRIOS'!$O$5:$O$500,"&lt;=119779",'LANÇAMENTOS DIÁRIOS'!$P$5:$P$500,"&gt;=119680")&gt;0,"X","")</f>
      </c>
      <c r="Z55" s="56" t="str">
        <f>IF(COUNTIFS('LANÇAMENTOS DIÁRIOS'!$G$5:$G$500,"G",'LANÇAMENTOS DIÁRIOS'!$C$5:$C$500,$A55,'LANÇAMENTOS DIÁRIOS'!$O$5:$O$500,"&lt;=119879",'LANÇAMENTOS DIÁRIOS'!$P$5:$P$500,"&gt;=119780")&gt;0,"X","")</f>
      </c>
      <c r="AA55" s="56" t="str">
        <f>IF(COUNTIFS('LANÇAMENTOS DIÁRIOS'!$G$5:$G$500,"G",'LANÇAMENTOS DIÁRIOS'!$C$5:$C$500,$A55,'LANÇAMENTOS DIÁRIOS'!$O$5:$O$500,"&lt;=119979",'LANÇAMENTOS DIÁRIOS'!$P$5:$P$500,"&gt;=119880")&gt;0,"X","")</f>
      </c>
      <c r="AB55" s="56" t="str">
        <f>IF(COUNTIFS('LANÇAMENTOS DIÁRIOS'!$G$5:$G$500,"G",'LANÇAMENTOS DIÁRIOS'!$C$5:$C$500,$A55,'LANÇAMENTOS DIÁRIOS'!$O$5:$O$500,"&lt;=120079",'LANÇAMENTOS DIÁRIOS'!$P$5:$P$500,"&gt;=119980")&gt;0,"X","")</f>
      </c>
      <c r="AC55" s="56" t="str">
        <f>IF(COUNTIFS('LANÇAMENTOS DIÁRIOS'!$G$5:$G$500,"G",'LANÇAMENTOS DIÁRIOS'!$C$5:$C$500,$A55,'LANÇAMENTOS DIÁRIOS'!$O$5:$O$500,"&lt;=120179",'LANÇAMENTOS DIÁRIOS'!$P$5:$P$500,"&gt;=120080")&gt;0,"X","")</f>
      </c>
      <c r="AD55" s="56" t="str">
        <f>IF(COUNTIFS('LANÇAMENTOS DIÁRIOS'!$G$5:$G$500,"G",'LANÇAMENTOS DIÁRIOS'!$C$5:$C$500,$A55,'LANÇAMENTOS DIÁRIOS'!$O$5:$O$500,"&lt;=120279",'LANÇAMENTOS DIÁRIOS'!$P$5:$P$500,"&gt;=120180")&gt;0,"X","")</f>
      </c>
      <c r="AE55" s="56" t="str">
        <f>IF(COUNTIFS('LANÇAMENTOS DIÁRIOS'!$G$5:$G$500,"G",'LANÇAMENTOS DIÁRIOS'!$C$5:$C$500,$A55,'LANÇAMENTOS DIÁRIOS'!$O$5:$O$500,"&lt;=120379",'LANÇAMENTOS DIÁRIOS'!$P$5:$P$500,"&gt;=120280")&gt;0,"X","")</f>
      </c>
      <c r="AF55" s="56" t="str">
        <f>IF(COUNTIFS('LANÇAMENTOS DIÁRIOS'!$G$5:$G$500,"G",'LANÇAMENTOS DIÁRIOS'!$C$5:$C$500,$A55,'LANÇAMENTOS DIÁRIOS'!$O$5:$O$500,"&lt;=120479",'LANÇAMENTOS DIÁRIOS'!$P$5:$P$500,"&gt;=120380")&gt;0,"X","")</f>
      </c>
      <c r="AG55" s="56" t="str">
        <f>IF(COUNTIFS('LANÇAMENTOS DIÁRIOS'!$G$5:$G$500,"G",'LANÇAMENTOS DIÁRIOS'!$C$5:$C$500,$A55,'LANÇAMENTOS DIÁRIOS'!$O$5:$O$500,"&lt;=120579",'LANÇAMENTOS DIÁRIOS'!$P$5:$P$500,"&gt;=120480")&gt;0,"X","")</f>
      </c>
      <c r="AH55" s="56" t="str">
        <f>IF(COUNTIFS('LANÇAMENTOS DIÁRIOS'!$G$5:$G$500,"G",'LANÇAMENTOS DIÁRIOS'!$C$5:$C$500,$A55,'LANÇAMENTOS DIÁRIOS'!$O$5:$O$500,"&lt;=120679",'LANÇAMENTOS DIÁRIOS'!$P$5:$P$500,"&gt;=120580")&gt;0,"X","")</f>
      </c>
      <c r="AI55" s="56" t="str">
        <f>IF(COUNTIFS('LANÇAMENTOS DIÁRIOS'!$G$5:$G$500,"G",'LANÇAMENTOS DIÁRIOS'!$C$5:$C$500,$A55,'LANÇAMENTOS DIÁRIOS'!$O$5:$O$500,"&lt;=120779",'LANÇAMENTOS DIÁRIOS'!$P$5:$P$500,"&gt;=120680")&gt;0,"X","")</f>
      </c>
      <c r="AJ55" s="56" t="str">
        <f>IF(COUNTIFS('LANÇAMENTOS DIÁRIOS'!$G$5:$G$500,"G",'LANÇAMENTOS DIÁRIOS'!$C$5:$C$500,$A55,'LANÇAMENTOS DIÁRIOS'!$O$5:$O$500,"&lt;=120879",'LANÇAMENTOS DIÁRIOS'!$P$5:$P$500,"&gt;=120780")&gt;0,"X","")</f>
      </c>
      <c r="AK55" s="56" t="str">
        <f>IF(COUNTIFS('LANÇAMENTOS DIÁRIOS'!$G$5:$G$500,"G",'LANÇAMENTOS DIÁRIOS'!$C$5:$C$500,$A55,'LANÇAMENTOS DIÁRIOS'!$O$5:$O$500,"&lt;=120979",'LANÇAMENTOS DIÁRIOS'!$P$5:$P$500,"&gt;=120880")&gt;0,"X","")</f>
      </c>
      <c r="AL55" s="56" t="str">
        <f>IF(COUNTIFS('LANÇAMENTOS DIÁRIOS'!$G$5:$G$500,"G",'LANÇAMENTOS DIÁRIOS'!$C$5:$C$500,$A55,'LANÇAMENTOS DIÁRIOS'!$O$5:$O$500,"&lt;=121079",'LANÇAMENTOS DIÁRIOS'!$P$5:$P$500,"&gt;=120980")&gt;0,"X","")</f>
      </c>
      <c r="AM55" s="56" t="str">
        <f>IF(COUNTIFS('LANÇAMENTOS DIÁRIOS'!$G$5:$G$500,"G",'LANÇAMENTOS DIÁRIOS'!$C$5:$C$500,$A55,'LANÇAMENTOS DIÁRIOS'!$O$5:$O$500,"&lt;=121179",'LANÇAMENTOS DIÁRIOS'!$P$5:$P$500,"&gt;=121080")&gt;0,"X","")</f>
      </c>
      <c r="AN55" s="56" t="str">
        <f>IF(COUNTIFS('LANÇAMENTOS DIÁRIOS'!$G$5:$G$500,"G",'LANÇAMENTOS DIÁRIOS'!$C$5:$C$500,$A55,'LANÇAMENTOS DIÁRIOS'!$O$5:$O$500,"&lt;=121279",'LANÇAMENTOS DIÁRIOS'!$P$5:$P$500,"&gt;=121180")&gt;0,"X","")</f>
      </c>
      <c r="AO55" s="56" t="str">
        <f>IF(COUNTIFS('LANÇAMENTOS DIÁRIOS'!$G$5:$G$500,"G",'LANÇAMENTOS DIÁRIOS'!$C$5:$C$500,$A55,'LANÇAMENTOS DIÁRIOS'!$O$5:$O$500,"&lt;=121379",'LANÇAMENTOS DIÁRIOS'!$P$5:$P$500,"&gt;=121280")&gt;0,"X","")</f>
      </c>
      <c r="AP55" s="56" t="str">
        <f>IF(COUNTIFS('LANÇAMENTOS DIÁRIOS'!$G$5:$G$500,"G",'LANÇAMENTOS DIÁRIOS'!$C$5:$C$500,$A55,'LANÇAMENTOS DIÁRIOS'!$O$5:$O$500,"&lt;=121479",'LANÇAMENTOS DIÁRIOS'!$P$5:$P$500,"&gt;=121380")&gt;0,"X","")</f>
      </c>
      <c r="AQ55" s="56" t="str">
        <f>IF(COUNTIFS('LANÇAMENTOS DIÁRIOS'!$G$5:$G$500,"G",'LANÇAMENTOS DIÁRIOS'!$C$5:$C$500,$A55,'LANÇAMENTOS DIÁRIOS'!$O$5:$O$500,"&lt;=121579",'LANÇAMENTOS DIÁRIOS'!$P$5:$P$500,"&gt;=121480")&gt;0,"X","")</f>
      </c>
      <c r="AR55" s="56" t="str">
        <f>IF(COUNTIFS('LANÇAMENTOS DIÁRIOS'!$G$5:$G$500,"G",'LANÇAMENTOS DIÁRIOS'!$C$5:$C$500,$A55,'LANÇAMENTOS DIÁRIOS'!$O$5:$O$500,"&lt;=121679",'LANÇAMENTOS DIÁRIOS'!$P$5:$P$500,"&gt;=121580")&gt;0,"X","")</f>
      </c>
      <c r="AS55" s="56" t="str">
        <f>IF(COUNTIFS('LANÇAMENTOS DIÁRIOS'!$G$5:$G$500,"G",'LANÇAMENTOS DIÁRIOS'!$C$5:$C$500,$A55,'LANÇAMENTOS DIÁRIOS'!$O$5:$O$500,"&lt;=121779",'LANÇAMENTOS DIÁRIOS'!$P$5:$P$500,"&gt;=121680")&gt;0,"X","")</f>
      </c>
      <c r="AT55" s="56" t="str">
        <f>IF(COUNTIFS('LANÇAMENTOS DIÁRIOS'!$G$5:$G$500,"G",'LANÇAMENTOS DIÁRIOS'!$C$5:$C$500,$A55,'LANÇAMENTOS DIÁRIOS'!$O$5:$O$500,"&lt;=121879",'LANÇAMENTOS DIÁRIOS'!$P$5:$P$500,"&gt;=121780")&gt;0,"X","")</f>
      </c>
      <c r="AU55" s="56" t="str">
        <f>IF(COUNTIFS('LANÇAMENTOS DIÁRIOS'!$G$5:$G$500,"G",'LANÇAMENTOS DIÁRIOS'!$C$5:$C$500,$A55,'LANÇAMENTOS DIÁRIOS'!$O$5:$O$500,"&lt;=121979",'LANÇAMENTOS DIÁRIOS'!$P$5:$P$500,"&gt;=121880")&gt;0,"X","")</f>
      </c>
      <c r="AV55" s="56" t="str">
        <f>IF(COUNTIFS('LANÇAMENTOS DIÁRIOS'!$G$5:$G$500,"G",'LANÇAMENTOS DIÁRIOS'!$C$5:$C$500,$A55,'LANÇAMENTOS DIÁRIOS'!$O$5:$O$500,"&lt;=122079",'LANÇAMENTOS DIÁRIOS'!$P$5:$P$500,"&gt;=121980")&gt;0,"X","")</f>
      </c>
      <c r="AW55" s="56" t="str">
        <f>IF(COUNTIFS('LANÇAMENTOS DIÁRIOS'!$G$5:$G$500,"G",'LANÇAMENTOS DIÁRIOS'!$C$5:$C$500,$A55,'LANÇAMENTOS DIÁRIOS'!$O$5:$O$500,"&lt;=122179",'LANÇAMENTOS DIÁRIOS'!$P$5:$P$500,"&gt;=122080")&gt;0,"X","")</f>
      </c>
      <c r="AX55" s="56" t="str">
        <f>IF(COUNTIFS('LANÇAMENTOS DIÁRIOS'!$G$5:$G$500,"G",'LANÇAMENTOS DIÁRIOS'!$C$5:$C$500,$A55,'LANÇAMENTOS DIÁRIOS'!$O$5:$O$500,"&lt;=122279",'LANÇAMENTOS DIÁRIOS'!$P$5:$P$500,"&gt;=122180")&gt;0,"X","")</f>
      </c>
      <c r="AY55" s="56" t="str">
        <f>IF(COUNTIFS('LANÇAMENTOS DIÁRIOS'!$G$5:$G$500,"G",'LANÇAMENTOS DIÁRIOS'!$C$5:$C$500,$A55,'LANÇAMENTOS DIÁRIOS'!$O$5:$O$500,"&lt;=122379",'LANÇAMENTOS DIÁRIOS'!$P$5:$P$500,"&gt;=122280")&gt;0,"X","")</f>
      </c>
      <c r="AZ55" s="56" t="str">
        <f>IF(COUNTIFS('LANÇAMENTOS DIÁRIOS'!$G$5:$G$500,"G",'LANÇAMENTOS DIÁRIOS'!$C$5:$C$500,$A55,'LANÇAMENTOS DIÁRIOS'!$O$5:$O$500,"&lt;=122479",'LANÇAMENTOS DIÁRIOS'!$P$5:$P$500,"&gt;=122380")&gt;0,"X","")</f>
      </c>
      <c r="BA55" s="56" t="str">
        <f>IF(COUNTIFS('LANÇAMENTOS DIÁRIOS'!$G$5:$G$500,"G",'LANÇAMENTOS DIÁRIOS'!$C$5:$C$500,$A55,'LANÇAMENTOS DIÁRIOS'!$O$5:$O$500,"&lt;=122579",'LANÇAMENTOS DIÁRIOS'!$P$5:$P$500,"&gt;=122480")&gt;0,"X","")</f>
      </c>
      <c r="BB55" s="56" t="str">
        <f>IF(COUNTIFS('LANÇAMENTOS DIÁRIOS'!$G$5:$G$500,"G",'LANÇAMENTOS DIÁRIOS'!$C$5:$C$500,$A55,'LANÇAMENTOS DIÁRIOS'!$O$5:$O$500,"&lt;=122679",'LANÇAMENTOS DIÁRIOS'!$P$5:$P$500,"&gt;=122580")&gt;0,"X","")</f>
      </c>
      <c r="BC55" s="56" t="str">
        <f>IF(COUNTIFS('LANÇAMENTOS DIÁRIOS'!$G$5:$G$500,"G",'LANÇAMENTOS DIÁRIOS'!$C$5:$C$500,$A55,'LANÇAMENTOS DIÁRIOS'!$O$5:$O$500,"&lt;=122779",'LANÇAMENTOS DIÁRIOS'!$P$5:$P$500,"&gt;=122680")&gt;0,"X","")</f>
      </c>
      <c r="BD55" s="56" t="str">
        <f>IF(COUNTIFS('LANÇAMENTOS DIÁRIOS'!$G$5:$G$500,"G",'LANÇAMENTOS DIÁRIOS'!$C$5:$C$500,$A55,'LANÇAMENTOS DIÁRIOS'!$O$5:$O$500,"&lt;=122879",'LANÇAMENTOS DIÁRIOS'!$P$5:$P$500,"&gt;=122780")&gt;0,"X","")</f>
      </c>
      <c r="BE55" s="56" t="str">
        <f>IF(COUNTIFS('LANÇAMENTOS DIÁRIOS'!$G$5:$G$500,"G",'LANÇAMENTOS DIÁRIOS'!$C$5:$C$500,$A55,'LANÇAMENTOS DIÁRIOS'!$O$5:$O$500,"&lt;=122979",'LANÇAMENTOS DIÁRIOS'!$P$5:$P$500,"&gt;=122880")&gt;0,"X","")</f>
      </c>
      <c r="BF55" s="56" t="str">
        <f>IF(COUNTIFS('LANÇAMENTOS DIÁRIOS'!$G$5:$G$500,"G",'LANÇAMENTOS DIÁRIOS'!$C$5:$C$500,$A55,'LANÇAMENTOS DIÁRIOS'!$O$5:$O$500,"&lt;=123079",'LANÇAMENTOS DIÁRIOS'!$P$5:$P$500,"&gt;=122980")&gt;0,"X","")</f>
      </c>
      <c r="BG55" s="56" t="str">
        <f>IF(COUNTIFS('LANÇAMENTOS DIÁRIOS'!$G$5:$G$500,"G",'LANÇAMENTOS DIÁRIOS'!$C$5:$C$500,$A55,'LANÇAMENTOS DIÁRIOS'!$O$5:$O$500,"&lt;=123179",'LANÇAMENTOS DIÁRIOS'!$P$5:$P$500,"&gt;=123080")&gt;0,"X","")</f>
      </c>
      <c r="BH55" s="56" t="str">
        <f>IF(COUNTIFS('LANÇAMENTOS DIÁRIOS'!$G$5:$G$500,"G",'LANÇAMENTOS DIÁRIOS'!$C$5:$C$500,$A55,'LANÇAMENTOS DIÁRIOS'!$O$5:$O$500,"&lt;=123279",'LANÇAMENTOS DIÁRIOS'!$P$5:$P$500,"&gt;=123180")&gt;0,"X","")</f>
      </c>
      <c r="BI55" s="56" t="str">
        <f>IF(COUNTIFS('LANÇAMENTOS DIÁRIOS'!$G$5:$G$500,"G",'LANÇAMENTOS DIÁRIOS'!$C$5:$C$500,$A55,'LANÇAMENTOS DIÁRIOS'!$O$5:$O$500,"&lt;=123379",'LANÇAMENTOS DIÁRIOS'!$P$5:$P$500,"&gt;=123280")&gt;0,"X","")</f>
      </c>
      <c r="BJ55" s="56" t="str">
        <f>IF(COUNTIFS('LANÇAMENTOS DIÁRIOS'!$G$5:$G$500,"G",'LANÇAMENTOS DIÁRIOS'!$C$5:$C$500,$A55,'LANÇAMENTOS DIÁRIOS'!$O$5:$O$500,"&lt;=123479",'LANÇAMENTOS DIÁRIOS'!$P$5:$P$500,"&gt;=123380")&gt;0,"X","")</f>
      </c>
      <c r="BK55" s="56" t="str">
        <f>IF(COUNTIFS('LANÇAMENTOS DIÁRIOS'!$G$5:$G$500,"G",'LANÇAMENTOS DIÁRIOS'!$C$5:$C$500,$A55,'LANÇAMENTOS DIÁRIOS'!$O$5:$O$500,"&lt;=123480",'LANÇAMENTOS DIÁRIOS'!$P$5:$P$500,"&gt;=123480")&gt;0,"X","")</f>
      </c>
    </row>
    <row r="56">
      <c r="A56" s="51" t="str">
        <v>Estaca de brita ø 0,80 m</v>
      </c>
      <c r="B56" s="56" t="str">
        <f>IF(COUNTIFS('LANÇAMENTOS DIÁRIOS'!$G$5:$G$500,"G",'LANÇAMENTOS DIÁRIOS'!$C$5:$C$500,$A56,'LANÇAMENTOS DIÁRIOS'!$O$5:$O$500,"&lt;=117479",'LANÇAMENTOS DIÁRIOS'!$P$5:$P$500,"&gt;=117380")&gt;0,"X","")</f>
      </c>
      <c r="C56" s="56" t="str">
        <f>IF(COUNTIFS('LANÇAMENTOS DIÁRIOS'!$G$5:$G$500,"G",'LANÇAMENTOS DIÁRIOS'!$C$5:$C$500,$A56,'LANÇAMENTOS DIÁRIOS'!$O$5:$O$500,"&lt;=117579",'LANÇAMENTOS DIÁRIOS'!$P$5:$P$500,"&gt;=117480")&gt;0,"X","")</f>
      </c>
      <c r="D56" s="56" t="str">
        <f>IF(COUNTIFS('LANÇAMENTOS DIÁRIOS'!$G$5:$G$500,"G",'LANÇAMENTOS DIÁRIOS'!$C$5:$C$500,$A56,'LANÇAMENTOS DIÁRIOS'!$O$5:$O$500,"&lt;=117679",'LANÇAMENTOS DIÁRIOS'!$P$5:$P$500,"&gt;=117580")&gt;0,"X","")</f>
      </c>
      <c r="E56" s="56" t="str">
        <f>IF(COUNTIFS('LANÇAMENTOS DIÁRIOS'!$G$5:$G$500,"G",'LANÇAMENTOS DIÁRIOS'!$C$5:$C$500,$A56,'LANÇAMENTOS DIÁRIOS'!$O$5:$O$500,"&lt;=117779",'LANÇAMENTOS DIÁRIOS'!$P$5:$P$500,"&gt;=117680")&gt;0,"X","")</f>
      </c>
      <c r="F56" s="56" t="str">
        <f>IF(COUNTIFS('LANÇAMENTOS DIÁRIOS'!$G$5:$G$500,"G",'LANÇAMENTOS DIÁRIOS'!$C$5:$C$500,$A56,'LANÇAMENTOS DIÁRIOS'!$O$5:$O$500,"&lt;=117879",'LANÇAMENTOS DIÁRIOS'!$P$5:$P$500,"&gt;=117780")&gt;0,"X","")</f>
      </c>
      <c r="G56" s="56" t="str">
        <f>IF(COUNTIFS('LANÇAMENTOS DIÁRIOS'!$G$5:$G$500,"G",'LANÇAMENTOS DIÁRIOS'!$C$5:$C$500,$A56,'LANÇAMENTOS DIÁRIOS'!$O$5:$O$500,"&lt;=117979",'LANÇAMENTOS DIÁRIOS'!$P$5:$P$500,"&gt;=117880")&gt;0,"X","")</f>
      </c>
      <c r="H56" s="56" t="str">
        <f>IF(COUNTIFS('LANÇAMENTOS DIÁRIOS'!$G$5:$G$500,"G",'LANÇAMENTOS DIÁRIOS'!$C$5:$C$500,$A56,'LANÇAMENTOS DIÁRIOS'!$O$5:$O$500,"&lt;=118079",'LANÇAMENTOS DIÁRIOS'!$P$5:$P$500,"&gt;=117980")&gt;0,"X","")</f>
      </c>
      <c r="I56" s="56" t="str">
        <f>IF(COUNTIFS('LANÇAMENTOS DIÁRIOS'!$G$5:$G$500,"G",'LANÇAMENTOS DIÁRIOS'!$C$5:$C$500,$A56,'LANÇAMENTOS DIÁRIOS'!$O$5:$O$500,"&lt;=118179",'LANÇAMENTOS DIÁRIOS'!$P$5:$P$500,"&gt;=118080")&gt;0,"X","")</f>
      </c>
      <c r="J56" s="56" t="str">
        <f>IF(COUNTIFS('LANÇAMENTOS DIÁRIOS'!$G$5:$G$500,"G",'LANÇAMENTOS DIÁRIOS'!$C$5:$C$500,$A56,'LANÇAMENTOS DIÁRIOS'!$O$5:$O$500,"&lt;=118279",'LANÇAMENTOS DIÁRIOS'!$P$5:$P$500,"&gt;=118180")&gt;0,"X","")</f>
      </c>
      <c r="K56" s="56" t="str">
        <f>IF(COUNTIFS('LANÇAMENTOS DIÁRIOS'!$G$5:$G$500,"G",'LANÇAMENTOS DIÁRIOS'!$C$5:$C$500,$A56,'LANÇAMENTOS DIÁRIOS'!$O$5:$O$500,"&lt;=118379",'LANÇAMENTOS DIÁRIOS'!$P$5:$P$500,"&gt;=118280")&gt;0,"X","")</f>
      </c>
      <c r="L56" s="56" t="str">
        <f>IF(COUNTIFS('LANÇAMENTOS DIÁRIOS'!$G$5:$G$500,"G",'LANÇAMENTOS DIÁRIOS'!$C$5:$C$500,$A56,'LANÇAMENTOS DIÁRIOS'!$O$5:$O$500,"&lt;=118479",'LANÇAMENTOS DIÁRIOS'!$P$5:$P$500,"&gt;=118380")&gt;0,"X","")</f>
      </c>
      <c r="M56" s="56" t="str">
        <f>IF(COUNTIFS('LANÇAMENTOS DIÁRIOS'!$G$5:$G$500,"G",'LANÇAMENTOS DIÁRIOS'!$C$5:$C$500,$A56,'LANÇAMENTOS DIÁRIOS'!$O$5:$O$500,"&lt;=118579",'LANÇAMENTOS DIÁRIOS'!$P$5:$P$500,"&gt;=118480")&gt;0,"X","")</f>
      </c>
      <c r="N56" s="56" t="str">
        <f>IF(COUNTIFS('LANÇAMENTOS DIÁRIOS'!$G$5:$G$500,"G",'LANÇAMENTOS DIÁRIOS'!$C$5:$C$500,$A56,'LANÇAMENTOS DIÁRIOS'!$O$5:$O$500,"&lt;=118679",'LANÇAMENTOS DIÁRIOS'!$P$5:$P$500,"&gt;=118580")&gt;0,"X","")</f>
      </c>
      <c r="O56" s="56" t="str">
        <f>IF(COUNTIFS('LANÇAMENTOS DIÁRIOS'!$G$5:$G$500,"G",'LANÇAMENTOS DIÁRIOS'!$C$5:$C$500,$A56,'LANÇAMENTOS DIÁRIOS'!$O$5:$O$500,"&lt;=118779",'LANÇAMENTOS DIÁRIOS'!$P$5:$P$500,"&gt;=118680")&gt;0,"X","")</f>
      </c>
      <c r="P56" s="56" t="str">
        <f>IF(COUNTIFS('LANÇAMENTOS DIÁRIOS'!$G$5:$G$500,"G",'LANÇAMENTOS DIÁRIOS'!$C$5:$C$500,$A56,'LANÇAMENTOS DIÁRIOS'!$O$5:$O$500,"&lt;=118879",'LANÇAMENTOS DIÁRIOS'!$P$5:$P$500,"&gt;=118780")&gt;0,"X","")</f>
      </c>
      <c r="Q56" s="56" t="str">
        <f>IF(COUNTIFS('LANÇAMENTOS DIÁRIOS'!$G$5:$G$500,"G",'LANÇAMENTOS DIÁRIOS'!$C$5:$C$500,$A56,'LANÇAMENTOS DIÁRIOS'!$O$5:$O$500,"&lt;=118979",'LANÇAMENTOS DIÁRIOS'!$P$5:$P$500,"&gt;=118880")&gt;0,"X","")</f>
      </c>
      <c r="R56" s="56" t="str">
        <f>IF(COUNTIFS('LANÇAMENTOS DIÁRIOS'!$G$5:$G$500,"G",'LANÇAMENTOS DIÁRIOS'!$C$5:$C$500,$A56,'LANÇAMENTOS DIÁRIOS'!$O$5:$O$500,"&lt;=119079",'LANÇAMENTOS DIÁRIOS'!$P$5:$P$500,"&gt;=118980")&gt;0,"X","")</f>
      </c>
      <c r="S56" s="56" t="str">
        <f>IF(COUNTIFS('LANÇAMENTOS DIÁRIOS'!$G$5:$G$500,"G",'LANÇAMENTOS DIÁRIOS'!$C$5:$C$500,$A56,'LANÇAMENTOS DIÁRIOS'!$O$5:$O$500,"&lt;=119179",'LANÇAMENTOS DIÁRIOS'!$P$5:$P$500,"&gt;=119080")&gt;0,"X","")</f>
      </c>
      <c r="T56" s="56" t="str">
        <f>IF(COUNTIFS('LANÇAMENTOS DIÁRIOS'!$G$5:$G$500,"G",'LANÇAMENTOS DIÁRIOS'!$C$5:$C$500,$A56,'LANÇAMENTOS DIÁRIOS'!$O$5:$O$500,"&lt;=119279",'LANÇAMENTOS DIÁRIOS'!$P$5:$P$500,"&gt;=119180")&gt;0,"X","")</f>
      </c>
      <c r="U56" s="56" t="str">
        <f>IF(COUNTIFS('LANÇAMENTOS DIÁRIOS'!$G$5:$G$500,"G",'LANÇAMENTOS DIÁRIOS'!$C$5:$C$500,$A56,'LANÇAMENTOS DIÁRIOS'!$O$5:$O$500,"&lt;=119379",'LANÇAMENTOS DIÁRIOS'!$P$5:$P$500,"&gt;=119280")&gt;0,"X","")</f>
      </c>
      <c r="V56" s="56" t="str">
        <f>IF(COUNTIFS('LANÇAMENTOS DIÁRIOS'!$G$5:$G$500,"G",'LANÇAMENTOS DIÁRIOS'!$C$5:$C$500,$A56,'LANÇAMENTOS DIÁRIOS'!$O$5:$O$500,"&lt;=119479",'LANÇAMENTOS DIÁRIOS'!$P$5:$P$500,"&gt;=119380")&gt;0,"X","")</f>
      </c>
      <c r="W56" s="56" t="str">
        <f>IF(COUNTIFS('LANÇAMENTOS DIÁRIOS'!$G$5:$G$500,"G",'LANÇAMENTOS DIÁRIOS'!$C$5:$C$500,$A56,'LANÇAMENTOS DIÁRIOS'!$O$5:$O$500,"&lt;=119579",'LANÇAMENTOS DIÁRIOS'!$P$5:$P$500,"&gt;=119480")&gt;0,"X","")</f>
      </c>
      <c r="X56" s="56" t="str">
        <f>IF(COUNTIFS('LANÇAMENTOS DIÁRIOS'!$G$5:$G$500,"G",'LANÇAMENTOS DIÁRIOS'!$C$5:$C$500,$A56,'LANÇAMENTOS DIÁRIOS'!$O$5:$O$500,"&lt;=119679",'LANÇAMENTOS DIÁRIOS'!$P$5:$P$500,"&gt;=119580")&gt;0,"X","")</f>
      </c>
      <c r="Y56" s="56" t="str">
        <f>IF(COUNTIFS('LANÇAMENTOS DIÁRIOS'!$G$5:$G$500,"G",'LANÇAMENTOS DIÁRIOS'!$C$5:$C$500,$A56,'LANÇAMENTOS DIÁRIOS'!$O$5:$O$500,"&lt;=119779",'LANÇAMENTOS DIÁRIOS'!$P$5:$P$500,"&gt;=119680")&gt;0,"X","")</f>
      </c>
      <c r="Z56" s="56" t="str">
        <f>IF(COUNTIFS('LANÇAMENTOS DIÁRIOS'!$G$5:$G$500,"G",'LANÇAMENTOS DIÁRIOS'!$C$5:$C$500,$A56,'LANÇAMENTOS DIÁRIOS'!$O$5:$O$500,"&lt;=119879",'LANÇAMENTOS DIÁRIOS'!$P$5:$P$500,"&gt;=119780")&gt;0,"X","")</f>
      </c>
      <c r="AA56" s="56" t="str">
        <f>IF(COUNTIFS('LANÇAMENTOS DIÁRIOS'!$G$5:$G$500,"G",'LANÇAMENTOS DIÁRIOS'!$C$5:$C$500,$A56,'LANÇAMENTOS DIÁRIOS'!$O$5:$O$500,"&lt;=119979",'LANÇAMENTOS DIÁRIOS'!$P$5:$P$500,"&gt;=119880")&gt;0,"X","")</f>
      </c>
      <c r="AB56" s="56" t="str">
        <f>IF(COUNTIFS('LANÇAMENTOS DIÁRIOS'!$G$5:$G$500,"G",'LANÇAMENTOS DIÁRIOS'!$C$5:$C$500,$A56,'LANÇAMENTOS DIÁRIOS'!$O$5:$O$500,"&lt;=120079",'LANÇAMENTOS DIÁRIOS'!$P$5:$P$500,"&gt;=119980")&gt;0,"X","")</f>
      </c>
      <c r="AC56" s="56" t="str">
        <f>IF(COUNTIFS('LANÇAMENTOS DIÁRIOS'!$G$5:$G$500,"G",'LANÇAMENTOS DIÁRIOS'!$C$5:$C$500,$A56,'LANÇAMENTOS DIÁRIOS'!$O$5:$O$500,"&lt;=120179",'LANÇAMENTOS DIÁRIOS'!$P$5:$P$500,"&gt;=120080")&gt;0,"X","")</f>
      </c>
      <c r="AD56" s="56" t="str">
        <f>IF(COUNTIFS('LANÇAMENTOS DIÁRIOS'!$G$5:$G$500,"G",'LANÇAMENTOS DIÁRIOS'!$C$5:$C$500,$A56,'LANÇAMENTOS DIÁRIOS'!$O$5:$O$500,"&lt;=120279",'LANÇAMENTOS DIÁRIOS'!$P$5:$P$500,"&gt;=120180")&gt;0,"X","")</f>
      </c>
      <c r="AE56" s="56" t="str">
        <f>IF(COUNTIFS('LANÇAMENTOS DIÁRIOS'!$G$5:$G$500,"G",'LANÇAMENTOS DIÁRIOS'!$C$5:$C$500,$A56,'LANÇAMENTOS DIÁRIOS'!$O$5:$O$500,"&lt;=120379",'LANÇAMENTOS DIÁRIOS'!$P$5:$P$500,"&gt;=120280")&gt;0,"X","")</f>
      </c>
      <c r="AF56" s="56" t="str">
        <f>IF(COUNTIFS('LANÇAMENTOS DIÁRIOS'!$G$5:$G$500,"G",'LANÇAMENTOS DIÁRIOS'!$C$5:$C$500,$A56,'LANÇAMENTOS DIÁRIOS'!$O$5:$O$500,"&lt;=120479",'LANÇAMENTOS DIÁRIOS'!$P$5:$P$500,"&gt;=120380")&gt;0,"X","")</f>
      </c>
      <c r="AG56" s="56" t="str">
        <f>IF(COUNTIFS('LANÇAMENTOS DIÁRIOS'!$G$5:$G$500,"G",'LANÇAMENTOS DIÁRIOS'!$C$5:$C$500,$A56,'LANÇAMENTOS DIÁRIOS'!$O$5:$O$500,"&lt;=120579",'LANÇAMENTOS DIÁRIOS'!$P$5:$P$500,"&gt;=120480")&gt;0,"X","")</f>
      </c>
      <c r="AH56" s="56" t="str">
        <f>IF(COUNTIFS('LANÇAMENTOS DIÁRIOS'!$G$5:$G$500,"G",'LANÇAMENTOS DIÁRIOS'!$C$5:$C$500,$A56,'LANÇAMENTOS DIÁRIOS'!$O$5:$O$500,"&lt;=120679",'LANÇAMENTOS DIÁRIOS'!$P$5:$P$500,"&gt;=120580")&gt;0,"X","")</f>
      </c>
      <c r="AI56" s="56" t="str">
        <f>IF(COUNTIFS('LANÇAMENTOS DIÁRIOS'!$G$5:$G$500,"G",'LANÇAMENTOS DIÁRIOS'!$C$5:$C$500,$A56,'LANÇAMENTOS DIÁRIOS'!$O$5:$O$500,"&lt;=120779",'LANÇAMENTOS DIÁRIOS'!$P$5:$P$500,"&gt;=120680")&gt;0,"X","")</f>
      </c>
      <c r="AJ56" s="56" t="str">
        <f>IF(COUNTIFS('LANÇAMENTOS DIÁRIOS'!$G$5:$G$500,"G",'LANÇAMENTOS DIÁRIOS'!$C$5:$C$500,$A56,'LANÇAMENTOS DIÁRIOS'!$O$5:$O$500,"&lt;=120879",'LANÇAMENTOS DIÁRIOS'!$P$5:$P$500,"&gt;=120780")&gt;0,"X","")</f>
      </c>
      <c r="AK56" s="56" t="str">
        <f>IF(COUNTIFS('LANÇAMENTOS DIÁRIOS'!$G$5:$G$500,"G",'LANÇAMENTOS DIÁRIOS'!$C$5:$C$500,$A56,'LANÇAMENTOS DIÁRIOS'!$O$5:$O$500,"&lt;=120979",'LANÇAMENTOS DIÁRIOS'!$P$5:$P$500,"&gt;=120880")&gt;0,"X","")</f>
      </c>
      <c r="AL56" s="56" t="str">
        <f>IF(COUNTIFS('LANÇAMENTOS DIÁRIOS'!$G$5:$G$500,"G",'LANÇAMENTOS DIÁRIOS'!$C$5:$C$500,$A56,'LANÇAMENTOS DIÁRIOS'!$O$5:$O$500,"&lt;=121079",'LANÇAMENTOS DIÁRIOS'!$P$5:$P$500,"&gt;=120980")&gt;0,"X","")</f>
      </c>
      <c r="AM56" s="56" t="str">
        <f>IF(COUNTIFS('LANÇAMENTOS DIÁRIOS'!$G$5:$G$500,"G",'LANÇAMENTOS DIÁRIOS'!$C$5:$C$500,$A56,'LANÇAMENTOS DIÁRIOS'!$O$5:$O$500,"&lt;=121179",'LANÇAMENTOS DIÁRIOS'!$P$5:$P$500,"&gt;=121080")&gt;0,"X","")</f>
      </c>
      <c r="AN56" s="56" t="str">
        <f>IF(COUNTIFS('LANÇAMENTOS DIÁRIOS'!$G$5:$G$500,"G",'LANÇAMENTOS DIÁRIOS'!$C$5:$C$500,$A56,'LANÇAMENTOS DIÁRIOS'!$O$5:$O$500,"&lt;=121279",'LANÇAMENTOS DIÁRIOS'!$P$5:$P$500,"&gt;=121180")&gt;0,"X","")</f>
      </c>
      <c r="AO56" s="56" t="str">
        <f>IF(COUNTIFS('LANÇAMENTOS DIÁRIOS'!$G$5:$G$500,"G",'LANÇAMENTOS DIÁRIOS'!$C$5:$C$500,$A56,'LANÇAMENTOS DIÁRIOS'!$O$5:$O$500,"&lt;=121379",'LANÇAMENTOS DIÁRIOS'!$P$5:$P$500,"&gt;=121280")&gt;0,"X","")</f>
      </c>
      <c r="AP56" s="56" t="str">
        <f>IF(COUNTIFS('LANÇAMENTOS DIÁRIOS'!$G$5:$G$500,"G",'LANÇAMENTOS DIÁRIOS'!$C$5:$C$500,$A56,'LANÇAMENTOS DIÁRIOS'!$O$5:$O$500,"&lt;=121479",'LANÇAMENTOS DIÁRIOS'!$P$5:$P$500,"&gt;=121380")&gt;0,"X","")</f>
      </c>
      <c r="AQ56" s="56" t="str">
        <f>IF(COUNTIFS('LANÇAMENTOS DIÁRIOS'!$G$5:$G$500,"G",'LANÇAMENTOS DIÁRIOS'!$C$5:$C$500,$A56,'LANÇAMENTOS DIÁRIOS'!$O$5:$O$500,"&lt;=121579",'LANÇAMENTOS DIÁRIOS'!$P$5:$P$500,"&gt;=121480")&gt;0,"X","")</f>
      </c>
      <c r="AR56" s="56" t="str">
        <f>IF(COUNTIFS('LANÇAMENTOS DIÁRIOS'!$G$5:$G$500,"G",'LANÇAMENTOS DIÁRIOS'!$C$5:$C$500,$A56,'LANÇAMENTOS DIÁRIOS'!$O$5:$O$500,"&lt;=121679",'LANÇAMENTOS DIÁRIOS'!$P$5:$P$500,"&gt;=121580")&gt;0,"X","")</f>
      </c>
      <c r="AS56" s="56" t="str">
        <f>IF(COUNTIFS('LANÇAMENTOS DIÁRIOS'!$G$5:$G$500,"G",'LANÇAMENTOS DIÁRIOS'!$C$5:$C$500,$A56,'LANÇAMENTOS DIÁRIOS'!$O$5:$O$500,"&lt;=121779",'LANÇAMENTOS DIÁRIOS'!$P$5:$P$500,"&gt;=121680")&gt;0,"X","")</f>
      </c>
      <c r="AT56" s="56" t="str">
        <f>IF(COUNTIFS('LANÇAMENTOS DIÁRIOS'!$G$5:$G$500,"G",'LANÇAMENTOS DIÁRIOS'!$C$5:$C$500,$A56,'LANÇAMENTOS DIÁRIOS'!$O$5:$O$500,"&lt;=121879",'LANÇAMENTOS DIÁRIOS'!$P$5:$P$500,"&gt;=121780")&gt;0,"X","")</f>
      </c>
      <c r="AU56" s="56" t="str">
        <f>IF(COUNTIFS('LANÇAMENTOS DIÁRIOS'!$G$5:$G$500,"G",'LANÇAMENTOS DIÁRIOS'!$C$5:$C$500,$A56,'LANÇAMENTOS DIÁRIOS'!$O$5:$O$500,"&lt;=121979",'LANÇAMENTOS DIÁRIOS'!$P$5:$P$500,"&gt;=121880")&gt;0,"X","")</f>
      </c>
      <c r="AV56" s="56" t="str">
        <f>IF(COUNTIFS('LANÇAMENTOS DIÁRIOS'!$G$5:$G$500,"G",'LANÇAMENTOS DIÁRIOS'!$C$5:$C$500,$A56,'LANÇAMENTOS DIÁRIOS'!$O$5:$O$500,"&lt;=122079",'LANÇAMENTOS DIÁRIOS'!$P$5:$P$500,"&gt;=121980")&gt;0,"X","")</f>
      </c>
      <c r="AW56" s="56" t="str">
        <f>IF(COUNTIFS('LANÇAMENTOS DIÁRIOS'!$G$5:$G$500,"G",'LANÇAMENTOS DIÁRIOS'!$C$5:$C$500,$A56,'LANÇAMENTOS DIÁRIOS'!$O$5:$O$500,"&lt;=122179",'LANÇAMENTOS DIÁRIOS'!$P$5:$P$500,"&gt;=122080")&gt;0,"X","")</f>
      </c>
      <c r="AX56" s="56" t="str">
        <f>IF(COUNTIFS('LANÇAMENTOS DIÁRIOS'!$G$5:$G$500,"G",'LANÇAMENTOS DIÁRIOS'!$C$5:$C$500,$A56,'LANÇAMENTOS DIÁRIOS'!$O$5:$O$500,"&lt;=122279",'LANÇAMENTOS DIÁRIOS'!$P$5:$P$500,"&gt;=122180")&gt;0,"X","")</f>
      </c>
      <c r="AY56" s="56" t="str">
        <f>IF(COUNTIFS('LANÇAMENTOS DIÁRIOS'!$G$5:$G$500,"G",'LANÇAMENTOS DIÁRIOS'!$C$5:$C$500,$A56,'LANÇAMENTOS DIÁRIOS'!$O$5:$O$500,"&lt;=122379",'LANÇAMENTOS DIÁRIOS'!$P$5:$P$500,"&gt;=122280")&gt;0,"X","")</f>
      </c>
      <c r="AZ56" s="56" t="str">
        <f>IF(COUNTIFS('LANÇAMENTOS DIÁRIOS'!$G$5:$G$500,"G",'LANÇAMENTOS DIÁRIOS'!$C$5:$C$500,$A56,'LANÇAMENTOS DIÁRIOS'!$O$5:$O$500,"&lt;=122479",'LANÇAMENTOS DIÁRIOS'!$P$5:$P$500,"&gt;=122380")&gt;0,"X","")</f>
      </c>
      <c r="BA56" s="56" t="str">
        <f>IF(COUNTIFS('LANÇAMENTOS DIÁRIOS'!$G$5:$G$500,"G",'LANÇAMENTOS DIÁRIOS'!$C$5:$C$500,$A56,'LANÇAMENTOS DIÁRIOS'!$O$5:$O$500,"&lt;=122579",'LANÇAMENTOS DIÁRIOS'!$P$5:$P$500,"&gt;=122480")&gt;0,"X","")</f>
      </c>
      <c r="BB56" s="56" t="str">
        <f>IF(COUNTIFS('LANÇAMENTOS DIÁRIOS'!$G$5:$G$500,"G",'LANÇAMENTOS DIÁRIOS'!$C$5:$C$500,$A56,'LANÇAMENTOS DIÁRIOS'!$O$5:$O$500,"&lt;=122679",'LANÇAMENTOS DIÁRIOS'!$P$5:$P$500,"&gt;=122580")&gt;0,"X","")</f>
      </c>
      <c r="BC56" s="56" t="str">
        <f>IF(COUNTIFS('LANÇAMENTOS DIÁRIOS'!$G$5:$G$500,"G",'LANÇAMENTOS DIÁRIOS'!$C$5:$C$500,$A56,'LANÇAMENTOS DIÁRIOS'!$O$5:$O$500,"&lt;=122779",'LANÇAMENTOS DIÁRIOS'!$P$5:$P$500,"&gt;=122680")&gt;0,"X","")</f>
      </c>
      <c r="BD56" s="56" t="str">
        <f>IF(COUNTIFS('LANÇAMENTOS DIÁRIOS'!$G$5:$G$500,"G",'LANÇAMENTOS DIÁRIOS'!$C$5:$C$500,$A56,'LANÇAMENTOS DIÁRIOS'!$O$5:$O$500,"&lt;=122879",'LANÇAMENTOS DIÁRIOS'!$P$5:$P$500,"&gt;=122780")&gt;0,"X","")</f>
      </c>
      <c r="BE56" s="56" t="str">
        <f>IF(COUNTIFS('LANÇAMENTOS DIÁRIOS'!$G$5:$G$500,"G",'LANÇAMENTOS DIÁRIOS'!$C$5:$C$500,$A56,'LANÇAMENTOS DIÁRIOS'!$O$5:$O$500,"&lt;=122979",'LANÇAMENTOS DIÁRIOS'!$P$5:$P$500,"&gt;=122880")&gt;0,"X","")</f>
      </c>
      <c r="BF56" s="56" t="str">
        <f>IF(COUNTIFS('LANÇAMENTOS DIÁRIOS'!$G$5:$G$500,"G",'LANÇAMENTOS DIÁRIOS'!$C$5:$C$500,$A56,'LANÇAMENTOS DIÁRIOS'!$O$5:$O$500,"&lt;=123079",'LANÇAMENTOS DIÁRIOS'!$P$5:$P$500,"&gt;=122980")&gt;0,"X","")</f>
      </c>
      <c r="BG56" s="56" t="str">
        <f>IF(COUNTIFS('LANÇAMENTOS DIÁRIOS'!$G$5:$G$500,"G",'LANÇAMENTOS DIÁRIOS'!$C$5:$C$500,$A56,'LANÇAMENTOS DIÁRIOS'!$O$5:$O$500,"&lt;=123179",'LANÇAMENTOS DIÁRIOS'!$P$5:$P$500,"&gt;=123080")&gt;0,"X","")</f>
      </c>
      <c r="BH56" s="56" t="str">
        <f>IF(COUNTIFS('LANÇAMENTOS DIÁRIOS'!$G$5:$G$500,"G",'LANÇAMENTOS DIÁRIOS'!$C$5:$C$500,$A56,'LANÇAMENTOS DIÁRIOS'!$O$5:$O$500,"&lt;=123279",'LANÇAMENTOS DIÁRIOS'!$P$5:$P$500,"&gt;=123180")&gt;0,"X","")</f>
      </c>
      <c r="BI56" s="56" t="str">
        <f>IF(COUNTIFS('LANÇAMENTOS DIÁRIOS'!$G$5:$G$500,"G",'LANÇAMENTOS DIÁRIOS'!$C$5:$C$500,$A56,'LANÇAMENTOS DIÁRIOS'!$O$5:$O$500,"&lt;=123379",'LANÇAMENTOS DIÁRIOS'!$P$5:$P$500,"&gt;=123280")&gt;0,"X","")</f>
      </c>
      <c r="BJ56" s="56" t="str">
        <f>IF(COUNTIFS('LANÇAMENTOS DIÁRIOS'!$G$5:$G$500,"G",'LANÇAMENTOS DIÁRIOS'!$C$5:$C$500,$A56,'LANÇAMENTOS DIÁRIOS'!$O$5:$O$500,"&lt;=123479",'LANÇAMENTOS DIÁRIOS'!$P$5:$P$500,"&gt;=123380")&gt;0,"X","")</f>
      </c>
      <c r="BK56" s="56" t="str">
        <f>IF(COUNTIFS('LANÇAMENTOS DIÁRIOS'!$G$5:$G$500,"G",'LANÇAMENTOS DIÁRIOS'!$C$5:$C$500,$A56,'LANÇAMENTOS DIÁRIOS'!$O$5:$O$500,"&lt;=123480",'LANÇAMENTOS DIÁRIOS'!$P$5:$P$500,"&gt;=123480")&gt;0,"X","")</f>
      </c>
    </row>
    <row r="57">
      <c r="A57" s="51" t="str">
        <v>Compactação de aterro a 100% do proctor normal (*)</v>
      </c>
      <c r="B57" s="56" t="str">
        <f>IF(COUNTIFS('LANÇAMENTOS DIÁRIOS'!$G$5:$G$500,"G",'LANÇAMENTOS DIÁRIOS'!$C$5:$C$500,$A57,'LANÇAMENTOS DIÁRIOS'!$O$5:$O$500,"&lt;=117479",'LANÇAMENTOS DIÁRIOS'!$P$5:$P$500,"&gt;=117380")&gt;0,"X","")</f>
      </c>
      <c r="C57" s="56" t="str">
        <f>IF(COUNTIFS('LANÇAMENTOS DIÁRIOS'!$G$5:$G$500,"G",'LANÇAMENTOS DIÁRIOS'!$C$5:$C$500,$A57,'LANÇAMENTOS DIÁRIOS'!$O$5:$O$500,"&lt;=117579",'LANÇAMENTOS DIÁRIOS'!$P$5:$P$500,"&gt;=117480")&gt;0,"X","")</f>
      </c>
      <c r="D57" s="56" t="str">
        <f>IF(COUNTIFS('LANÇAMENTOS DIÁRIOS'!$G$5:$G$500,"G",'LANÇAMENTOS DIÁRIOS'!$C$5:$C$500,$A57,'LANÇAMENTOS DIÁRIOS'!$O$5:$O$500,"&lt;=117679",'LANÇAMENTOS DIÁRIOS'!$P$5:$P$500,"&gt;=117580")&gt;0,"X","")</f>
      </c>
      <c r="E57" s="56" t="str">
        <f>IF(COUNTIFS('LANÇAMENTOS DIÁRIOS'!$G$5:$G$500,"G",'LANÇAMENTOS DIÁRIOS'!$C$5:$C$500,$A57,'LANÇAMENTOS DIÁRIOS'!$O$5:$O$500,"&lt;=117779",'LANÇAMENTOS DIÁRIOS'!$P$5:$P$500,"&gt;=117680")&gt;0,"X","")</f>
      </c>
      <c r="F57" s="56" t="str">
        <f>IF(COUNTIFS('LANÇAMENTOS DIÁRIOS'!$G$5:$G$500,"G",'LANÇAMENTOS DIÁRIOS'!$C$5:$C$500,$A57,'LANÇAMENTOS DIÁRIOS'!$O$5:$O$500,"&lt;=117879",'LANÇAMENTOS DIÁRIOS'!$P$5:$P$500,"&gt;=117780")&gt;0,"X","")</f>
      </c>
      <c r="G57" s="56" t="str">
        <f>IF(COUNTIFS('LANÇAMENTOS DIÁRIOS'!$G$5:$G$500,"G",'LANÇAMENTOS DIÁRIOS'!$C$5:$C$500,$A57,'LANÇAMENTOS DIÁRIOS'!$O$5:$O$500,"&lt;=117979",'LANÇAMENTOS DIÁRIOS'!$P$5:$P$500,"&gt;=117880")&gt;0,"X","")</f>
      </c>
      <c r="H57" s="56" t="str">
        <f>IF(COUNTIFS('LANÇAMENTOS DIÁRIOS'!$G$5:$G$500,"G",'LANÇAMENTOS DIÁRIOS'!$C$5:$C$500,$A57,'LANÇAMENTOS DIÁRIOS'!$O$5:$O$500,"&lt;=118079",'LANÇAMENTOS DIÁRIOS'!$P$5:$P$500,"&gt;=117980")&gt;0,"X","")</f>
      </c>
      <c r="I57" s="56" t="str">
        <f>IF(COUNTIFS('LANÇAMENTOS DIÁRIOS'!$G$5:$G$500,"G",'LANÇAMENTOS DIÁRIOS'!$C$5:$C$500,$A57,'LANÇAMENTOS DIÁRIOS'!$O$5:$O$500,"&lt;=118179",'LANÇAMENTOS DIÁRIOS'!$P$5:$P$500,"&gt;=118080")&gt;0,"X","")</f>
      </c>
      <c r="J57" s="56" t="str">
        <f>IF(COUNTIFS('LANÇAMENTOS DIÁRIOS'!$G$5:$G$500,"G",'LANÇAMENTOS DIÁRIOS'!$C$5:$C$500,$A57,'LANÇAMENTOS DIÁRIOS'!$O$5:$O$500,"&lt;=118279",'LANÇAMENTOS DIÁRIOS'!$P$5:$P$500,"&gt;=118180")&gt;0,"X","")</f>
      </c>
      <c r="K57" s="56" t="str">
        <f>IF(COUNTIFS('LANÇAMENTOS DIÁRIOS'!$G$5:$G$500,"G",'LANÇAMENTOS DIÁRIOS'!$C$5:$C$500,$A57,'LANÇAMENTOS DIÁRIOS'!$O$5:$O$500,"&lt;=118379",'LANÇAMENTOS DIÁRIOS'!$P$5:$P$500,"&gt;=118280")&gt;0,"X","")</f>
      </c>
      <c r="L57" s="56" t="str">
        <f>IF(COUNTIFS('LANÇAMENTOS DIÁRIOS'!$G$5:$G$500,"G",'LANÇAMENTOS DIÁRIOS'!$C$5:$C$500,$A57,'LANÇAMENTOS DIÁRIOS'!$O$5:$O$500,"&lt;=118479",'LANÇAMENTOS DIÁRIOS'!$P$5:$P$500,"&gt;=118380")&gt;0,"X","")</f>
      </c>
      <c r="M57" s="56" t="str">
        <f>IF(COUNTIFS('LANÇAMENTOS DIÁRIOS'!$G$5:$G$500,"G",'LANÇAMENTOS DIÁRIOS'!$C$5:$C$500,$A57,'LANÇAMENTOS DIÁRIOS'!$O$5:$O$500,"&lt;=118579",'LANÇAMENTOS DIÁRIOS'!$P$5:$P$500,"&gt;=118480")&gt;0,"X","")</f>
      </c>
      <c r="N57" s="56" t="str">
        <f>IF(COUNTIFS('LANÇAMENTOS DIÁRIOS'!$G$5:$G$500,"G",'LANÇAMENTOS DIÁRIOS'!$C$5:$C$500,$A57,'LANÇAMENTOS DIÁRIOS'!$O$5:$O$500,"&lt;=118679",'LANÇAMENTOS DIÁRIOS'!$P$5:$P$500,"&gt;=118580")&gt;0,"X","")</f>
      </c>
      <c r="O57" s="56" t="str">
        <f>IF(COUNTIFS('LANÇAMENTOS DIÁRIOS'!$G$5:$G$500,"G",'LANÇAMENTOS DIÁRIOS'!$C$5:$C$500,$A57,'LANÇAMENTOS DIÁRIOS'!$O$5:$O$500,"&lt;=118779",'LANÇAMENTOS DIÁRIOS'!$P$5:$P$500,"&gt;=118680")&gt;0,"X","")</f>
      </c>
      <c r="P57" s="56" t="str">
        <f>IF(COUNTIFS('LANÇAMENTOS DIÁRIOS'!$G$5:$G$500,"G",'LANÇAMENTOS DIÁRIOS'!$C$5:$C$500,$A57,'LANÇAMENTOS DIÁRIOS'!$O$5:$O$500,"&lt;=118879",'LANÇAMENTOS DIÁRIOS'!$P$5:$P$500,"&gt;=118780")&gt;0,"X","")</f>
      </c>
      <c r="Q57" s="56" t="str">
        <f>IF(COUNTIFS('LANÇAMENTOS DIÁRIOS'!$G$5:$G$500,"G",'LANÇAMENTOS DIÁRIOS'!$C$5:$C$500,$A57,'LANÇAMENTOS DIÁRIOS'!$O$5:$O$500,"&lt;=118979",'LANÇAMENTOS DIÁRIOS'!$P$5:$P$500,"&gt;=118880")&gt;0,"X","")</f>
      </c>
      <c r="R57" s="56" t="str">
        <f>IF(COUNTIFS('LANÇAMENTOS DIÁRIOS'!$G$5:$G$500,"G",'LANÇAMENTOS DIÁRIOS'!$C$5:$C$500,$A57,'LANÇAMENTOS DIÁRIOS'!$O$5:$O$500,"&lt;=119079",'LANÇAMENTOS DIÁRIOS'!$P$5:$P$500,"&gt;=118980")&gt;0,"X","")</f>
      </c>
      <c r="S57" s="56" t="str">
        <f>IF(COUNTIFS('LANÇAMENTOS DIÁRIOS'!$G$5:$G$500,"G",'LANÇAMENTOS DIÁRIOS'!$C$5:$C$500,$A57,'LANÇAMENTOS DIÁRIOS'!$O$5:$O$500,"&lt;=119179",'LANÇAMENTOS DIÁRIOS'!$P$5:$P$500,"&gt;=119080")&gt;0,"X","")</f>
      </c>
      <c r="T57" s="56" t="str">
        <f>IF(COUNTIFS('LANÇAMENTOS DIÁRIOS'!$G$5:$G$500,"G",'LANÇAMENTOS DIÁRIOS'!$C$5:$C$500,$A57,'LANÇAMENTOS DIÁRIOS'!$O$5:$O$500,"&lt;=119279",'LANÇAMENTOS DIÁRIOS'!$P$5:$P$500,"&gt;=119180")&gt;0,"X","")</f>
      </c>
      <c r="U57" s="56" t="str">
        <f>IF(COUNTIFS('LANÇAMENTOS DIÁRIOS'!$G$5:$G$500,"G",'LANÇAMENTOS DIÁRIOS'!$C$5:$C$500,$A57,'LANÇAMENTOS DIÁRIOS'!$O$5:$O$500,"&lt;=119379",'LANÇAMENTOS DIÁRIOS'!$P$5:$P$500,"&gt;=119280")&gt;0,"X","")</f>
      </c>
      <c r="V57" s="56" t="str">
        <f>IF(COUNTIFS('LANÇAMENTOS DIÁRIOS'!$G$5:$G$500,"G",'LANÇAMENTOS DIÁRIOS'!$C$5:$C$500,$A57,'LANÇAMENTOS DIÁRIOS'!$O$5:$O$500,"&lt;=119479",'LANÇAMENTOS DIÁRIOS'!$P$5:$P$500,"&gt;=119380")&gt;0,"X","")</f>
      </c>
      <c r="W57" s="56" t="str">
        <f>IF(COUNTIFS('LANÇAMENTOS DIÁRIOS'!$G$5:$G$500,"G",'LANÇAMENTOS DIÁRIOS'!$C$5:$C$500,$A57,'LANÇAMENTOS DIÁRIOS'!$O$5:$O$500,"&lt;=119579",'LANÇAMENTOS DIÁRIOS'!$P$5:$P$500,"&gt;=119480")&gt;0,"X","")</f>
      </c>
      <c r="X57" s="56" t="str">
        <f>IF(COUNTIFS('LANÇAMENTOS DIÁRIOS'!$G$5:$G$500,"G",'LANÇAMENTOS DIÁRIOS'!$C$5:$C$500,$A57,'LANÇAMENTOS DIÁRIOS'!$O$5:$O$500,"&lt;=119679",'LANÇAMENTOS DIÁRIOS'!$P$5:$P$500,"&gt;=119580")&gt;0,"X","")</f>
      </c>
      <c r="Y57" s="56" t="str">
        <f>IF(COUNTIFS('LANÇAMENTOS DIÁRIOS'!$G$5:$G$500,"G",'LANÇAMENTOS DIÁRIOS'!$C$5:$C$500,$A57,'LANÇAMENTOS DIÁRIOS'!$O$5:$O$500,"&lt;=119779",'LANÇAMENTOS DIÁRIOS'!$P$5:$P$500,"&gt;=119680")&gt;0,"X","")</f>
      </c>
      <c r="Z57" s="56" t="str">
        <f>IF(COUNTIFS('LANÇAMENTOS DIÁRIOS'!$G$5:$G$500,"G",'LANÇAMENTOS DIÁRIOS'!$C$5:$C$500,$A57,'LANÇAMENTOS DIÁRIOS'!$O$5:$O$500,"&lt;=119879",'LANÇAMENTOS DIÁRIOS'!$P$5:$P$500,"&gt;=119780")&gt;0,"X","")</f>
      </c>
      <c r="AA57" s="56" t="str">
        <f>IF(COUNTIFS('LANÇAMENTOS DIÁRIOS'!$G$5:$G$500,"G",'LANÇAMENTOS DIÁRIOS'!$C$5:$C$500,$A57,'LANÇAMENTOS DIÁRIOS'!$O$5:$O$500,"&lt;=119979",'LANÇAMENTOS DIÁRIOS'!$P$5:$P$500,"&gt;=119880")&gt;0,"X","")</f>
      </c>
      <c r="AB57" s="56" t="str">
        <f>IF(COUNTIFS('LANÇAMENTOS DIÁRIOS'!$G$5:$G$500,"G",'LANÇAMENTOS DIÁRIOS'!$C$5:$C$500,$A57,'LANÇAMENTOS DIÁRIOS'!$O$5:$O$500,"&lt;=120079",'LANÇAMENTOS DIÁRIOS'!$P$5:$P$500,"&gt;=119980")&gt;0,"X","")</f>
      </c>
      <c r="AC57" s="56" t="str">
        <f>IF(COUNTIFS('LANÇAMENTOS DIÁRIOS'!$G$5:$G$500,"G",'LANÇAMENTOS DIÁRIOS'!$C$5:$C$500,$A57,'LANÇAMENTOS DIÁRIOS'!$O$5:$O$500,"&lt;=120179",'LANÇAMENTOS DIÁRIOS'!$P$5:$P$500,"&gt;=120080")&gt;0,"X","")</f>
      </c>
      <c r="AD57" s="56" t="str">
        <f>IF(COUNTIFS('LANÇAMENTOS DIÁRIOS'!$G$5:$G$500,"G",'LANÇAMENTOS DIÁRIOS'!$C$5:$C$500,$A57,'LANÇAMENTOS DIÁRIOS'!$O$5:$O$500,"&lt;=120279",'LANÇAMENTOS DIÁRIOS'!$P$5:$P$500,"&gt;=120180")&gt;0,"X","")</f>
      </c>
      <c r="AE57" s="56" t="str">
        <f>IF(COUNTIFS('LANÇAMENTOS DIÁRIOS'!$G$5:$G$500,"G",'LANÇAMENTOS DIÁRIOS'!$C$5:$C$500,$A57,'LANÇAMENTOS DIÁRIOS'!$O$5:$O$500,"&lt;=120379",'LANÇAMENTOS DIÁRIOS'!$P$5:$P$500,"&gt;=120280")&gt;0,"X","")</f>
      </c>
      <c r="AF57" s="56" t="str">
        <f>IF(COUNTIFS('LANÇAMENTOS DIÁRIOS'!$G$5:$G$500,"G",'LANÇAMENTOS DIÁRIOS'!$C$5:$C$500,$A57,'LANÇAMENTOS DIÁRIOS'!$O$5:$O$500,"&lt;=120479",'LANÇAMENTOS DIÁRIOS'!$P$5:$P$500,"&gt;=120380")&gt;0,"X","")</f>
      </c>
      <c r="AG57" s="56" t="str">
        <f>IF(COUNTIFS('LANÇAMENTOS DIÁRIOS'!$G$5:$G$500,"G",'LANÇAMENTOS DIÁRIOS'!$C$5:$C$500,$A57,'LANÇAMENTOS DIÁRIOS'!$O$5:$O$500,"&lt;=120579",'LANÇAMENTOS DIÁRIOS'!$P$5:$P$500,"&gt;=120480")&gt;0,"X","")</f>
      </c>
      <c r="AH57" s="56" t="str">
        <f>IF(COUNTIFS('LANÇAMENTOS DIÁRIOS'!$G$5:$G$500,"G",'LANÇAMENTOS DIÁRIOS'!$C$5:$C$500,$A57,'LANÇAMENTOS DIÁRIOS'!$O$5:$O$500,"&lt;=120679",'LANÇAMENTOS DIÁRIOS'!$P$5:$P$500,"&gt;=120580")&gt;0,"X","")</f>
      </c>
      <c r="AI57" s="56" t="str">
        <f>IF(COUNTIFS('LANÇAMENTOS DIÁRIOS'!$G$5:$G$500,"G",'LANÇAMENTOS DIÁRIOS'!$C$5:$C$500,$A57,'LANÇAMENTOS DIÁRIOS'!$O$5:$O$500,"&lt;=120779",'LANÇAMENTOS DIÁRIOS'!$P$5:$P$500,"&gt;=120680")&gt;0,"X","")</f>
      </c>
      <c r="AJ57" s="56" t="str">
        <f>IF(COUNTIFS('LANÇAMENTOS DIÁRIOS'!$G$5:$G$500,"G",'LANÇAMENTOS DIÁRIOS'!$C$5:$C$500,$A57,'LANÇAMENTOS DIÁRIOS'!$O$5:$O$500,"&lt;=120879",'LANÇAMENTOS DIÁRIOS'!$P$5:$P$500,"&gt;=120780")&gt;0,"X","")</f>
      </c>
      <c r="AK57" s="56" t="str">
        <f>IF(COUNTIFS('LANÇAMENTOS DIÁRIOS'!$G$5:$G$500,"G",'LANÇAMENTOS DIÁRIOS'!$C$5:$C$500,$A57,'LANÇAMENTOS DIÁRIOS'!$O$5:$O$500,"&lt;=120979",'LANÇAMENTOS DIÁRIOS'!$P$5:$P$500,"&gt;=120880")&gt;0,"X","")</f>
      </c>
      <c r="AL57" s="56" t="str">
        <f>IF(COUNTIFS('LANÇAMENTOS DIÁRIOS'!$G$5:$G$500,"G",'LANÇAMENTOS DIÁRIOS'!$C$5:$C$500,$A57,'LANÇAMENTOS DIÁRIOS'!$O$5:$O$500,"&lt;=121079",'LANÇAMENTOS DIÁRIOS'!$P$5:$P$500,"&gt;=120980")&gt;0,"X","")</f>
      </c>
      <c r="AM57" s="56" t="str">
        <f>IF(COUNTIFS('LANÇAMENTOS DIÁRIOS'!$G$5:$G$500,"G",'LANÇAMENTOS DIÁRIOS'!$C$5:$C$500,$A57,'LANÇAMENTOS DIÁRIOS'!$O$5:$O$500,"&lt;=121179",'LANÇAMENTOS DIÁRIOS'!$P$5:$P$500,"&gt;=121080")&gt;0,"X","")</f>
      </c>
      <c r="AN57" s="56" t="str">
        <f>IF(COUNTIFS('LANÇAMENTOS DIÁRIOS'!$G$5:$G$500,"G",'LANÇAMENTOS DIÁRIOS'!$C$5:$C$500,$A57,'LANÇAMENTOS DIÁRIOS'!$O$5:$O$500,"&lt;=121279",'LANÇAMENTOS DIÁRIOS'!$P$5:$P$500,"&gt;=121180")&gt;0,"X","")</f>
      </c>
      <c r="AO57" s="56" t="str">
        <f>IF(COUNTIFS('LANÇAMENTOS DIÁRIOS'!$G$5:$G$500,"G",'LANÇAMENTOS DIÁRIOS'!$C$5:$C$500,$A57,'LANÇAMENTOS DIÁRIOS'!$O$5:$O$500,"&lt;=121379",'LANÇAMENTOS DIÁRIOS'!$P$5:$P$500,"&gt;=121280")&gt;0,"X","")</f>
      </c>
      <c r="AP57" s="56" t="str">
        <f>IF(COUNTIFS('LANÇAMENTOS DIÁRIOS'!$G$5:$G$500,"G",'LANÇAMENTOS DIÁRIOS'!$C$5:$C$500,$A57,'LANÇAMENTOS DIÁRIOS'!$O$5:$O$500,"&lt;=121479",'LANÇAMENTOS DIÁRIOS'!$P$5:$P$500,"&gt;=121380")&gt;0,"X","")</f>
      </c>
      <c r="AQ57" s="56" t="str">
        <f>IF(COUNTIFS('LANÇAMENTOS DIÁRIOS'!$G$5:$G$500,"G",'LANÇAMENTOS DIÁRIOS'!$C$5:$C$500,$A57,'LANÇAMENTOS DIÁRIOS'!$O$5:$O$500,"&lt;=121579",'LANÇAMENTOS DIÁRIOS'!$P$5:$P$500,"&gt;=121480")&gt;0,"X","")</f>
      </c>
      <c r="AR57" s="56" t="str">
        <f>IF(COUNTIFS('LANÇAMENTOS DIÁRIOS'!$G$5:$G$500,"G",'LANÇAMENTOS DIÁRIOS'!$C$5:$C$500,$A57,'LANÇAMENTOS DIÁRIOS'!$O$5:$O$500,"&lt;=121679",'LANÇAMENTOS DIÁRIOS'!$P$5:$P$500,"&gt;=121580")&gt;0,"X","")</f>
      </c>
      <c r="AS57" s="56" t="str">
        <f>IF(COUNTIFS('LANÇAMENTOS DIÁRIOS'!$G$5:$G$500,"G",'LANÇAMENTOS DIÁRIOS'!$C$5:$C$500,$A57,'LANÇAMENTOS DIÁRIOS'!$O$5:$O$500,"&lt;=121779",'LANÇAMENTOS DIÁRIOS'!$P$5:$P$500,"&gt;=121680")&gt;0,"X","")</f>
      </c>
      <c r="AT57" s="56" t="str">
        <f>IF(COUNTIFS('LANÇAMENTOS DIÁRIOS'!$G$5:$G$500,"G",'LANÇAMENTOS DIÁRIOS'!$C$5:$C$500,$A57,'LANÇAMENTOS DIÁRIOS'!$O$5:$O$500,"&lt;=121879",'LANÇAMENTOS DIÁRIOS'!$P$5:$P$500,"&gt;=121780")&gt;0,"X","")</f>
      </c>
      <c r="AU57" s="56" t="str">
        <f>IF(COUNTIFS('LANÇAMENTOS DIÁRIOS'!$G$5:$G$500,"G",'LANÇAMENTOS DIÁRIOS'!$C$5:$C$500,$A57,'LANÇAMENTOS DIÁRIOS'!$O$5:$O$500,"&lt;=121979",'LANÇAMENTOS DIÁRIOS'!$P$5:$P$500,"&gt;=121880")&gt;0,"X","")</f>
      </c>
      <c r="AV57" s="56" t="str">
        <f>IF(COUNTIFS('LANÇAMENTOS DIÁRIOS'!$G$5:$G$500,"G",'LANÇAMENTOS DIÁRIOS'!$C$5:$C$500,$A57,'LANÇAMENTOS DIÁRIOS'!$O$5:$O$500,"&lt;=122079",'LANÇAMENTOS DIÁRIOS'!$P$5:$P$500,"&gt;=121980")&gt;0,"X","")</f>
      </c>
      <c r="AW57" s="56" t="str">
        <f>IF(COUNTIFS('LANÇAMENTOS DIÁRIOS'!$G$5:$G$500,"G",'LANÇAMENTOS DIÁRIOS'!$C$5:$C$500,$A57,'LANÇAMENTOS DIÁRIOS'!$O$5:$O$500,"&lt;=122179",'LANÇAMENTOS DIÁRIOS'!$P$5:$P$500,"&gt;=122080")&gt;0,"X","")</f>
      </c>
      <c r="AX57" s="56" t="str">
        <f>IF(COUNTIFS('LANÇAMENTOS DIÁRIOS'!$G$5:$G$500,"G",'LANÇAMENTOS DIÁRIOS'!$C$5:$C$500,$A57,'LANÇAMENTOS DIÁRIOS'!$O$5:$O$500,"&lt;=122279",'LANÇAMENTOS DIÁRIOS'!$P$5:$P$500,"&gt;=122180")&gt;0,"X","")</f>
      </c>
      <c r="AY57" s="56" t="str">
        <f>IF(COUNTIFS('LANÇAMENTOS DIÁRIOS'!$G$5:$G$500,"G",'LANÇAMENTOS DIÁRIOS'!$C$5:$C$500,$A57,'LANÇAMENTOS DIÁRIOS'!$O$5:$O$500,"&lt;=122379",'LANÇAMENTOS DIÁRIOS'!$P$5:$P$500,"&gt;=122280")&gt;0,"X","")</f>
      </c>
      <c r="AZ57" s="56" t="str">
        <f>IF(COUNTIFS('LANÇAMENTOS DIÁRIOS'!$G$5:$G$500,"G",'LANÇAMENTOS DIÁRIOS'!$C$5:$C$500,$A57,'LANÇAMENTOS DIÁRIOS'!$O$5:$O$500,"&lt;=122479",'LANÇAMENTOS DIÁRIOS'!$P$5:$P$500,"&gt;=122380")&gt;0,"X","")</f>
      </c>
      <c r="BA57" s="56" t="str">
        <f>IF(COUNTIFS('LANÇAMENTOS DIÁRIOS'!$G$5:$G$500,"G",'LANÇAMENTOS DIÁRIOS'!$C$5:$C$500,$A57,'LANÇAMENTOS DIÁRIOS'!$O$5:$O$500,"&lt;=122579",'LANÇAMENTOS DIÁRIOS'!$P$5:$P$500,"&gt;=122480")&gt;0,"X","")</f>
      </c>
      <c r="BB57" s="56" t="str">
        <f>IF(COUNTIFS('LANÇAMENTOS DIÁRIOS'!$G$5:$G$500,"G",'LANÇAMENTOS DIÁRIOS'!$C$5:$C$500,$A57,'LANÇAMENTOS DIÁRIOS'!$O$5:$O$500,"&lt;=122679",'LANÇAMENTOS DIÁRIOS'!$P$5:$P$500,"&gt;=122580")&gt;0,"X","")</f>
      </c>
      <c r="BC57" s="56" t="str">
        <f>IF(COUNTIFS('LANÇAMENTOS DIÁRIOS'!$G$5:$G$500,"G",'LANÇAMENTOS DIÁRIOS'!$C$5:$C$500,$A57,'LANÇAMENTOS DIÁRIOS'!$O$5:$O$500,"&lt;=122779",'LANÇAMENTOS DIÁRIOS'!$P$5:$P$500,"&gt;=122680")&gt;0,"X","")</f>
      </c>
      <c r="BD57" s="56" t="str">
        <f>IF(COUNTIFS('LANÇAMENTOS DIÁRIOS'!$G$5:$G$500,"G",'LANÇAMENTOS DIÁRIOS'!$C$5:$C$500,$A57,'LANÇAMENTOS DIÁRIOS'!$O$5:$O$500,"&lt;=122879",'LANÇAMENTOS DIÁRIOS'!$P$5:$P$500,"&gt;=122780")&gt;0,"X","")</f>
      </c>
      <c r="BE57" s="56" t="str">
        <f>IF(COUNTIFS('LANÇAMENTOS DIÁRIOS'!$G$5:$G$500,"G",'LANÇAMENTOS DIÁRIOS'!$C$5:$C$500,$A57,'LANÇAMENTOS DIÁRIOS'!$O$5:$O$500,"&lt;=122979",'LANÇAMENTOS DIÁRIOS'!$P$5:$P$500,"&gt;=122880")&gt;0,"X","")</f>
      </c>
      <c r="BF57" s="56" t="str">
        <f>IF(COUNTIFS('LANÇAMENTOS DIÁRIOS'!$G$5:$G$500,"G",'LANÇAMENTOS DIÁRIOS'!$C$5:$C$500,$A57,'LANÇAMENTOS DIÁRIOS'!$O$5:$O$500,"&lt;=123079",'LANÇAMENTOS DIÁRIOS'!$P$5:$P$500,"&gt;=122980")&gt;0,"X","")</f>
      </c>
      <c r="BG57" s="56" t="str">
        <f>IF(COUNTIFS('LANÇAMENTOS DIÁRIOS'!$G$5:$G$500,"G",'LANÇAMENTOS DIÁRIOS'!$C$5:$C$500,$A57,'LANÇAMENTOS DIÁRIOS'!$O$5:$O$500,"&lt;=123179",'LANÇAMENTOS DIÁRIOS'!$P$5:$P$500,"&gt;=123080")&gt;0,"X","")</f>
      </c>
      <c r="BH57" s="56" t="str">
        <f>IF(COUNTIFS('LANÇAMENTOS DIÁRIOS'!$G$5:$G$500,"G",'LANÇAMENTOS DIÁRIOS'!$C$5:$C$500,$A57,'LANÇAMENTOS DIÁRIOS'!$O$5:$O$500,"&lt;=123279",'LANÇAMENTOS DIÁRIOS'!$P$5:$P$500,"&gt;=123180")&gt;0,"X","")</f>
      </c>
      <c r="BI57" s="56" t="str">
        <f>IF(COUNTIFS('LANÇAMENTOS DIÁRIOS'!$G$5:$G$500,"G",'LANÇAMENTOS DIÁRIOS'!$C$5:$C$500,$A57,'LANÇAMENTOS DIÁRIOS'!$O$5:$O$500,"&lt;=123379",'LANÇAMENTOS DIÁRIOS'!$P$5:$P$500,"&gt;=123280")&gt;0,"X","")</f>
      </c>
      <c r="BJ57" s="56" t="str">
        <f>IF(COUNTIFS('LANÇAMENTOS DIÁRIOS'!$G$5:$G$500,"G",'LANÇAMENTOS DIÁRIOS'!$C$5:$C$500,$A57,'LANÇAMENTOS DIÁRIOS'!$O$5:$O$500,"&lt;=123479",'LANÇAMENTOS DIÁRIOS'!$P$5:$P$500,"&gt;=123380")&gt;0,"X","")</f>
      </c>
      <c r="BK57" s="56" t="str">
        <f>IF(COUNTIFS('LANÇAMENTOS DIÁRIOS'!$G$5:$G$500,"G",'LANÇAMENTOS DIÁRIOS'!$C$5:$C$500,$A57,'LANÇAMENTOS DIÁRIOS'!$O$5:$O$500,"&lt;=123480",'LANÇAMENTOS DIÁRIOS'!$P$5:$P$500,"&gt;=123480")&gt;0,"X","")</f>
      </c>
    </row>
    <row r="58">
      <c r="A58" s="51" t="str">
        <v>Rede metálica de alta resistência StellGrid HR 100 ou Similiar (Perfuração e instalação)</v>
      </c>
      <c r="B58" s="56" t="str">
        <f>IF(COUNTIFS('LANÇAMENTOS DIÁRIOS'!$G$5:$G$500,"G",'LANÇAMENTOS DIÁRIOS'!$C$5:$C$500,$A58,'LANÇAMENTOS DIÁRIOS'!$O$5:$O$500,"&lt;=117479",'LANÇAMENTOS DIÁRIOS'!$P$5:$P$500,"&gt;=117380")&gt;0,"X","")</f>
      </c>
      <c r="C58" s="56" t="str">
        <f>IF(COUNTIFS('LANÇAMENTOS DIÁRIOS'!$G$5:$G$500,"G",'LANÇAMENTOS DIÁRIOS'!$C$5:$C$500,$A58,'LANÇAMENTOS DIÁRIOS'!$O$5:$O$500,"&lt;=117579",'LANÇAMENTOS DIÁRIOS'!$P$5:$P$500,"&gt;=117480")&gt;0,"X","")</f>
      </c>
      <c r="D58" s="56" t="str">
        <f>IF(COUNTIFS('LANÇAMENTOS DIÁRIOS'!$G$5:$G$500,"G",'LANÇAMENTOS DIÁRIOS'!$C$5:$C$500,$A58,'LANÇAMENTOS DIÁRIOS'!$O$5:$O$500,"&lt;=117679",'LANÇAMENTOS DIÁRIOS'!$P$5:$P$500,"&gt;=117580")&gt;0,"X","")</f>
      </c>
      <c r="E58" s="56" t="str">
        <f>IF(COUNTIFS('LANÇAMENTOS DIÁRIOS'!$G$5:$G$500,"G",'LANÇAMENTOS DIÁRIOS'!$C$5:$C$500,$A58,'LANÇAMENTOS DIÁRIOS'!$O$5:$O$500,"&lt;=117779",'LANÇAMENTOS DIÁRIOS'!$P$5:$P$500,"&gt;=117680")&gt;0,"X","")</f>
      </c>
      <c r="F58" s="56" t="str">
        <f>IF(COUNTIFS('LANÇAMENTOS DIÁRIOS'!$G$5:$G$500,"G",'LANÇAMENTOS DIÁRIOS'!$C$5:$C$500,$A58,'LANÇAMENTOS DIÁRIOS'!$O$5:$O$500,"&lt;=117879",'LANÇAMENTOS DIÁRIOS'!$P$5:$P$500,"&gt;=117780")&gt;0,"X","")</f>
      </c>
      <c r="G58" s="56" t="str">
        <f>IF(COUNTIFS('LANÇAMENTOS DIÁRIOS'!$G$5:$G$500,"G",'LANÇAMENTOS DIÁRIOS'!$C$5:$C$500,$A58,'LANÇAMENTOS DIÁRIOS'!$O$5:$O$500,"&lt;=117979",'LANÇAMENTOS DIÁRIOS'!$P$5:$P$500,"&gt;=117880")&gt;0,"X","")</f>
      </c>
      <c r="H58" s="56" t="str">
        <f>IF(COUNTIFS('LANÇAMENTOS DIÁRIOS'!$G$5:$G$500,"G",'LANÇAMENTOS DIÁRIOS'!$C$5:$C$500,$A58,'LANÇAMENTOS DIÁRIOS'!$O$5:$O$500,"&lt;=118079",'LANÇAMENTOS DIÁRIOS'!$P$5:$P$500,"&gt;=117980")&gt;0,"X","")</f>
      </c>
      <c r="I58" s="56" t="str">
        <f>IF(COUNTIFS('LANÇAMENTOS DIÁRIOS'!$G$5:$G$500,"G",'LANÇAMENTOS DIÁRIOS'!$C$5:$C$500,$A58,'LANÇAMENTOS DIÁRIOS'!$O$5:$O$500,"&lt;=118179",'LANÇAMENTOS DIÁRIOS'!$P$5:$P$500,"&gt;=118080")&gt;0,"X","")</f>
      </c>
      <c r="J58" s="56" t="str">
        <f>IF(COUNTIFS('LANÇAMENTOS DIÁRIOS'!$G$5:$G$500,"G",'LANÇAMENTOS DIÁRIOS'!$C$5:$C$500,$A58,'LANÇAMENTOS DIÁRIOS'!$O$5:$O$500,"&lt;=118279",'LANÇAMENTOS DIÁRIOS'!$P$5:$P$500,"&gt;=118180")&gt;0,"X","")</f>
      </c>
      <c r="K58" s="56" t="str">
        <f>IF(COUNTIFS('LANÇAMENTOS DIÁRIOS'!$G$5:$G$500,"G",'LANÇAMENTOS DIÁRIOS'!$C$5:$C$500,$A58,'LANÇAMENTOS DIÁRIOS'!$O$5:$O$500,"&lt;=118379",'LANÇAMENTOS DIÁRIOS'!$P$5:$P$500,"&gt;=118280")&gt;0,"X","")</f>
      </c>
      <c r="L58" s="56" t="str">
        <f>IF(COUNTIFS('LANÇAMENTOS DIÁRIOS'!$G$5:$G$500,"G",'LANÇAMENTOS DIÁRIOS'!$C$5:$C$500,$A58,'LANÇAMENTOS DIÁRIOS'!$O$5:$O$500,"&lt;=118479",'LANÇAMENTOS DIÁRIOS'!$P$5:$P$500,"&gt;=118380")&gt;0,"X","")</f>
      </c>
      <c r="M58" s="56" t="str">
        <f>IF(COUNTIFS('LANÇAMENTOS DIÁRIOS'!$G$5:$G$500,"G",'LANÇAMENTOS DIÁRIOS'!$C$5:$C$500,$A58,'LANÇAMENTOS DIÁRIOS'!$O$5:$O$500,"&lt;=118579",'LANÇAMENTOS DIÁRIOS'!$P$5:$P$500,"&gt;=118480")&gt;0,"X","")</f>
      </c>
      <c r="N58" s="56" t="str">
        <f>IF(COUNTIFS('LANÇAMENTOS DIÁRIOS'!$G$5:$G$500,"G",'LANÇAMENTOS DIÁRIOS'!$C$5:$C$500,$A58,'LANÇAMENTOS DIÁRIOS'!$O$5:$O$500,"&lt;=118679",'LANÇAMENTOS DIÁRIOS'!$P$5:$P$500,"&gt;=118580")&gt;0,"X","")</f>
      </c>
      <c r="O58" s="56" t="str">
        <f>IF(COUNTIFS('LANÇAMENTOS DIÁRIOS'!$G$5:$G$500,"G",'LANÇAMENTOS DIÁRIOS'!$C$5:$C$500,$A58,'LANÇAMENTOS DIÁRIOS'!$O$5:$O$500,"&lt;=118779",'LANÇAMENTOS DIÁRIOS'!$P$5:$P$500,"&gt;=118680")&gt;0,"X","")</f>
      </c>
      <c r="P58" s="56" t="str">
        <f>IF(COUNTIFS('LANÇAMENTOS DIÁRIOS'!$G$5:$G$500,"G",'LANÇAMENTOS DIÁRIOS'!$C$5:$C$500,$A58,'LANÇAMENTOS DIÁRIOS'!$O$5:$O$500,"&lt;=118879",'LANÇAMENTOS DIÁRIOS'!$P$5:$P$500,"&gt;=118780")&gt;0,"X","")</f>
      </c>
      <c r="Q58" s="56" t="str">
        <f>IF(COUNTIFS('LANÇAMENTOS DIÁRIOS'!$G$5:$G$500,"G",'LANÇAMENTOS DIÁRIOS'!$C$5:$C$500,$A58,'LANÇAMENTOS DIÁRIOS'!$O$5:$O$500,"&lt;=118979",'LANÇAMENTOS DIÁRIOS'!$P$5:$P$500,"&gt;=118880")&gt;0,"X","")</f>
      </c>
      <c r="R58" s="56" t="str">
        <f>IF(COUNTIFS('LANÇAMENTOS DIÁRIOS'!$G$5:$G$500,"G",'LANÇAMENTOS DIÁRIOS'!$C$5:$C$500,$A58,'LANÇAMENTOS DIÁRIOS'!$O$5:$O$500,"&lt;=119079",'LANÇAMENTOS DIÁRIOS'!$P$5:$P$500,"&gt;=118980")&gt;0,"X","")</f>
      </c>
      <c r="S58" s="56" t="str">
        <f>IF(COUNTIFS('LANÇAMENTOS DIÁRIOS'!$G$5:$G$500,"G",'LANÇAMENTOS DIÁRIOS'!$C$5:$C$500,$A58,'LANÇAMENTOS DIÁRIOS'!$O$5:$O$500,"&lt;=119179",'LANÇAMENTOS DIÁRIOS'!$P$5:$P$500,"&gt;=119080")&gt;0,"X","")</f>
      </c>
      <c r="T58" s="56" t="str">
        <f>IF(COUNTIFS('LANÇAMENTOS DIÁRIOS'!$G$5:$G$500,"G",'LANÇAMENTOS DIÁRIOS'!$C$5:$C$500,$A58,'LANÇAMENTOS DIÁRIOS'!$O$5:$O$500,"&lt;=119279",'LANÇAMENTOS DIÁRIOS'!$P$5:$P$500,"&gt;=119180")&gt;0,"X","")</f>
      </c>
      <c r="U58" s="56" t="str">
        <f>IF(COUNTIFS('LANÇAMENTOS DIÁRIOS'!$G$5:$G$500,"G",'LANÇAMENTOS DIÁRIOS'!$C$5:$C$500,$A58,'LANÇAMENTOS DIÁRIOS'!$O$5:$O$500,"&lt;=119379",'LANÇAMENTOS DIÁRIOS'!$P$5:$P$500,"&gt;=119280")&gt;0,"X","")</f>
      </c>
      <c r="V58" s="56" t="str">
        <f>IF(COUNTIFS('LANÇAMENTOS DIÁRIOS'!$G$5:$G$500,"G",'LANÇAMENTOS DIÁRIOS'!$C$5:$C$500,$A58,'LANÇAMENTOS DIÁRIOS'!$O$5:$O$500,"&lt;=119479",'LANÇAMENTOS DIÁRIOS'!$P$5:$P$500,"&gt;=119380")&gt;0,"X","")</f>
      </c>
      <c r="W58" s="56" t="str">
        <f>IF(COUNTIFS('LANÇAMENTOS DIÁRIOS'!$G$5:$G$500,"G",'LANÇAMENTOS DIÁRIOS'!$C$5:$C$500,$A58,'LANÇAMENTOS DIÁRIOS'!$O$5:$O$500,"&lt;=119579",'LANÇAMENTOS DIÁRIOS'!$P$5:$P$500,"&gt;=119480")&gt;0,"X","")</f>
      </c>
      <c r="X58" s="56" t="str">
        <f>IF(COUNTIFS('LANÇAMENTOS DIÁRIOS'!$G$5:$G$500,"G",'LANÇAMENTOS DIÁRIOS'!$C$5:$C$500,$A58,'LANÇAMENTOS DIÁRIOS'!$O$5:$O$500,"&lt;=119679",'LANÇAMENTOS DIÁRIOS'!$P$5:$P$500,"&gt;=119580")&gt;0,"X","")</f>
      </c>
      <c r="Y58" s="56" t="str">
        <f>IF(COUNTIFS('LANÇAMENTOS DIÁRIOS'!$G$5:$G$500,"G",'LANÇAMENTOS DIÁRIOS'!$C$5:$C$500,$A58,'LANÇAMENTOS DIÁRIOS'!$O$5:$O$500,"&lt;=119779",'LANÇAMENTOS DIÁRIOS'!$P$5:$P$500,"&gt;=119680")&gt;0,"X","")</f>
      </c>
      <c r="Z58" s="56" t="str">
        <f>IF(COUNTIFS('LANÇAMENTOS DIÁRIOS'!$G$5:$G$500,"G",'LANÇAMENTOS DIÁRIOS'!$C$5:$C$500,$A58,'LANÇAMENTOS DIÁRIOS'!$O$5:$O$500,"&lt;=119879",'LANÇAMENTOS DIÁRIOS'!$P$5:$P$500,"&gt;=119780")&gt;0,"X","")</f>
      </c>
      <c r="AA58" s="56" t="str">
        <f>IF(COUNTIFS('LANÇAMENTOS DIÁRIOS'!$G$5:$G$500,"G",'LANÇAMENTOS DIÁRIOS'!$C$5:$C$500,$A58,'LANÇAMENTOS DIÁRIOS'!$O$5:$O$500,"&lt;=119979",'LANÇAMENTOS DIÁRIOS'!$P$5:$P$500,"&gt;=119880")&gt;0,"X","")</f>
      </c>
      <c r="AB58" s="56" t="str">
        <f>IF(COUNTIFS('LANÇAMENTOS DIÁRIOS'!$G$5:$G$500,"G",'LANÇAMENTOS DIÁRIOS'!$C$5:$C$500,$A58,'LANÇAMENTOS DIÁRIOS'!$O$5:$O$500,"&lt;=120079",'LANÇAMENTOS DIÁRIOS'!$P$5:$P$500,"&gt;=119980")&gt;0,"X","")</f>
      </c>
      <c r="AC58" s="56" t="str">
        <f>IF(COUNTIFS('LANÇAMENTOS DIÁRIOS'!$G$5:$G$500,"G",'LANÇAMENTOS DIÁRIOS'!$C$5:$C$500,$A58,'LANÇAMENTOS DIÁRIOS'!$O$5:$O$500,"&lt;=120179",'LANÇAMENTOS DIÁRIOS'!$P$5:$P$500,"&gt;=120080")&gt;0,"X","")</f>
      </c>
      <c r="AD58" s="56" t="str">
        <f>IF(COUNTIFS('LANÇAMENTOS DIÁRIOS'!$G$5:$G$500,"G",'LANÇAMENTOS DIÁRIOS'!$C$5:$C$500,$A58,'LANÇAMENTOS DIÁRIOS'!$O$5:$O$500,"&lt;=120279",'LANÇAMENTOS DIÁRIOS'!$P$5:$P$500,"&gt;=120180")&gt;0,"X","")</f>
      </c>
      <c r="AE58" s="56" t="str">
        <f>IF(COUNTIFS('LANÇAMENTOS DIÁRIOS'!$G$5:$G$500,"G",'LANÇAMENTOS DIÁRIOS'!$C$5:$C$500,$A58,'LANÇAMENTOS DIÁRIOS'!$O$5:$O$500,"&lt;=120379",'LANÇAMENTOS DIÁRIOS'!$P$5:$P$500,"&gt;=120280")&gt;0,"X","")</f>
      </c>
      <c r="AF58" s="56" t="str">
        <f>IF(COUNTIFS('LANÇAMENTOS DIÁRIOS'!$G$5:$G$500,"G",'LANÇAMENTOS DIÁRIOS'!$C$5:$C$500,$A58,'LANÇAMENTOS DIÁRIOS'!$O$5:$O$500,"&lt;=120479",'LANÇAMENTOS DIÁRIOS'!$P$5:$P$500,"&gt;=120380")&gt;0,"X","")</f>
      </c>
      <c r="AG58" s="56" t="str">
        <f>IF(COUNTIFS('LANÇAMENTOS DIÁRIOS'!$G$5:$G$500,"G",'LANÇAMENTOS DIÁRIOS'!$C$5:$C$500,$A58,'LANÇAMENTOS DIÁRIOS'!$O$5:$O$500,"&lt;=120579",'LANÇAMENTOS DIÁRIOS'!$P$5:$P$500,"&gt;=120480")&gt;0,"X","")</f>
      </c>
      <c r="AH58" s="56" t="str">
        <f>IF(COUNTIFS('LANÇAMENTOS DIÁRIOS'!$G$5:$G$500,"G",'LANÇAMENTOS DIÁRIOS'!$C$5:$C$500,$A58,'LANÇAMENTOS DIÁRIOS'!$O$5:$O$500,"&lt;=120679",'LANÇAMENTOS DIÁRIOS'!$P$5:$P$500,"&gt;=120580")&gt;0,"X","")</f>
      </c>
      <c r="AI58" s="56" t="str">
        <f>IF(COUNTIFS('LANÇAMENTOS DIÁRIOS'!$G$5:$G$500,"G",'LANÇAMENTOS DIÁRIOS'!$C$5:$C$500,$A58,'LANÇAMENTOS DIÁRIOS'!$O$5:$O$500,"&lt;=120779",'LANÇAMENTOS DIÁRIOS'!$P$5:$P$500,"&gt;=120680")&gt;0,"X","")</f>
      </c>
      <c r="AJ58" s="56" t="str">
        <f>IF(COUNTIFS('LANÇAMENTOS DIÁRIOS'!$G$5:$G$500,"G",'LANÇAMENTOS DIÁRIOS'!$C$5:$C$500,$A58,'LANÇAMENTOS DIÁRIOS'!$O$5:$O$500,"&lt;=120879",'LANÇAMENTOS DIÁRIOS'!$P$5:$P$500,"&gt;=120780")&gt;0,"X","")</f>
      </c>
      <c r="AK58" s="56" t="str">
        <f>IF(COUNTIFS('LANÇAMENTOS DIÁRIOS'!$G$5:$G$500,"G",'LANÇAMENTOS DIÁRIOS'!$C$5:$C$500,$A58,'LANÇAMENTOS DIÁRIOS'!$O$5:$O$500,"&lt;=120979",'LANÇAMENTOS DIÁRIOS'!$P$5:$P$500,"&gt;=120880")&gt;0,"X","")</f>
      </c>
      <c r="AL58" s="56" t="str">
        <f>IF(COUNTIFS('LANÇAMENTOS DIÁRIOS'!$G$5:$G$500,"G",'LANÇAMENTOS DIÁRIOS'!$C$5:$C$500,$A58,'LANÇAMENTOS DIÁRIOS'!$O$5:$O$500,"&lt;=121079",'LANÇAMENTOS DIÁRIOS'!$P$5:$P$500,"&gt;=120980")&gt;0,"X","")</f>
      </c>
      <c r="AM58" s="56" t="str">
        <f>IF(COUNTIFS('LANÇAMENTOS DIÁRIOS'!$G$5:$G$500,"G",'LANÇAMENTOS DIÁRIOS'!$C$5:$C$500,$A58,'LANÇAMENTOS DIÁRIOS'!$O$5:$O$500,"&lt;=121179",'LANÇAMENTOS DIÁRIOS'!$P$5:$P$500,"&gt;=121080")&gt;0,"X","")</f>
      </c>
      <c r="AN58" s="56" t="str">
        <f>IF(COUNTIFS('LANÇAMENTOS DIÁRIOS'!$G$5:$G$500,"G",'LANÇAMENTOS DIÁRIOS'!$C$5:$C$500,$A58,'LANÇAMENTOS DIÁRIOS'!$O$5:$O$500,"&lt;=121279",'LANÇAMENTOS DIÁRIOS'!$P$5:$P$500,"&gt;=121180")&gt;0,"X","")</f>
      </c>
      <c r="AO58" s="56" t="str">
        <f>IF(COUNTIFS('LANÇAMENTOS DIÁRIOS'!$G$5:$G$500,"G",'LANÇAMENTOS DIÁRIOS'!$C$5:$C$500,$A58,'LANÇAMENTOS DIÁRIOS'!$O$5:$O$500,"&lt;=121379",'LANÇAMENTOS DIÁRIOS'!$P$5:$P$500,"&gt;=121280")&gt;0,"X","")</f>
      </c>
      <c r="AP58" s="56" t="str">
        <f>IF(COUNTIFS('LANÇAMENTOS DIÁRIOS'!$G$5:$G$500,"G",'LANÇAMENTOS DIÁRIOS'!$C$5:$C$500,$A58,'LANÇAMENTOS DIÁRIOS'!$O$5:$O$500,"&lt;=121479",'LANÇAMENTOS DIÁRIOS'!$P$5:$P$500,"&gt;=121380")&gt;0,"X","")</f>
      </c>
      <c r="AQ58" s="56" t="str">
        <f>IF(COUNTIFS('LANÇAMENTOS DIÁRIOS'!$G$5:$G$500,"G",'LANÇAMENTOS DIÁRIOS'!$C$5:$C$500,$A58,'LANÇAMENTOS DIÁRIOS'!$O$5:$O$500,"&lt;=121579",'LANÇAMENTOS DIÁRIOS'!$P$5:$P$500,"&gt;=121480")&gt;0,"X","")</f>
      </c>
      <c r="AR58" s="56" t="str">
        <f>IF(COUNTIFS('LANÇAMENTOS DIÁRIOS'!$G$5:$G$500,"G",'LANÇAMENTOS DIÁRIOS'!$C$5:$C$500,$A58,'LANÇAMENTOS DIÁRIOS'!$O$5:$O$500,"&lt;=121679",'LANÇAMENTOS DIÁRIOS'!$P$5:$P$500,"&gt;=121580")&gt;0,"X","")</f>
      </c>
      <c r="AS58" s="56" t="str">
        <f>IF(COUNTIFS('LANÇAMENTOS DIÁRIOS'!$G$5:$G$500,"G",'LANÇAMENTOS DIÁRIOS'!$C$5:$C$500,$A58,'LANÇAMENTOS DIÁRIOS'!$O$5:$O$500,"&lt;=121779",'LANÇAMENTOS DIÁRIOS'!$P$5:$P$500,"&gt;=121680")&gt;0,"X","")</f>
      </c>
      <c r="AT58" s="56" t="str">
        <f>IF(COUNTIFS('LANÇAMENTOS DIÁRIOS'!$G$5:$G$500,"G",'LANÇAMENTOS DIÁRIOS'!$C$5:$C$500,$A58,'LANÇAMENTOS DIÁRIOS'!$O$5:$O$500,"&lt;=121879",'LANÇAMENTOS DIÁRIOS'!$P$5:$P$500,"&gt;=121780")&gt;0,"X","")</f>
      </c>
      <c r="AU58" s="56" t="str">
        <f>IF(COUNTIFS('LANÇAMENTOS DIÁRIOS'!$G$5:$G$500,"G",'LANÇAMENTOS DIÁRIOS'!$C$5:$C$500,$A58,'LANÇAMENTOS DIÁRIOS'!$O$5:$O$500,"&lt;=121979",'LANÇAMENTOS DIÁRIOS'!$P$5:$P$500,"&gt;=121880")&gt;0,"X","")</f>
      </c>
      <c r="AV58" s="56" t="str">
        <f>IF(COUNTIFS('LANÇAMENTOS DIÁRIOS'!$G$5:$G$500,"G",'LANÇAMENTOS DIÁRIOS'!$C$5:$C$500,$A58,'LANÇAMENTOS DIÁRIOS'!$O$5:$O$500,"&lt;=122079",'LANÇAMENTOS DIÁRIOS'!$P$5:$P$500,"&gt;=121980")&gt;0,"X","")</f>
      </c>
      <c r="AW58" s="56" t="str">
        <f>IF(COUNTIFS('LANÇAMENTOS DIÁRIOS'!$G$5:$G$500,"G",'LANÇAMENTOS DIÁRIOS'!$C$5:$C$500,$A58,'LANÇAMENTOS DIÁRIOS'!$O$5:$O$500,"&lt;=122179",'LANÇAMENTOS DIÁRIOS'!$P$5:$P$500,"&gt;=122080")&gt;0,"X","")</f>
      </c>
      <c r="AX58" s="56" t="str">
        <f>IF(COUNTIFS('LANÇAMENTOS DIÁRIOS'!$G$5:$G$500,"G",'LANÇAMENTOS DIÁRIOS'!$C$5:$C$500,$A58,'LANÇAMENTOS DIÁRIOS'!$O$5:$O$500,"&lt;=122279",'LANÇAMENTOS DIÁRIOS'!$P$5:$P$500,"&gt;=122180")&gt;0,"X","")</f>
      </c>
      <c r="AY58" s="56" t="str">
        <f>IF(COUNTIFS('LANÇAMENTOS DIÁRIOS'!$G$5:$G$500,"G",'LANÇAMENTOS DIÁRIOS'!$C$5:$C$500,$A58,'LANÇAMENTOS DIÁRIOS'!$O$5:$O$500,"&lt;=122379",'LANÇAMENTOS DIÁRIOS'!$P$5:$P$500,"&gt;=122280")&gt;0,"X","")</f>
      </c>
      <c r="AZ58" s="56" t="str">
        <f>IF(COUNTIFS('LANÇAMENTOS DIÁRIOS'!$G$5:$G$500,"G",'LANÇAMENTOS DIÁRIOS'!$C$5:$C$500,$A58,'LANÇAMENTOS DIÁRIOS'!$O$5:$O$500,"&lt;=122479",'LANÇAMENTOS DIÁRIOS'!$P$5:$P$500,"&gt;=122380")&gt;0,"X","")</f>
      </c>
      <c r="BA58" s="56" t="str">
        <f>IF(COUNTIFS('LANÇAMENTOS DIÁRIOS'!$G$5:$G$500,"G",'LANÇAMENTOS DIÁRIOS'!$C$5:$C$500,$A58,'LANÇAMENTOS DIÁRIOS'!$O$5:$O$500,"&lt;=122579",'LANÇAMENTOS DIÁRIOS'!$P$5:$P$500,"&gt;=122480")&gt;0,"X","")</f>
      </c>
      <c r="BB58" s="56" t="str">
        <f>IF(COUNTIFS('LANÇAMENTOS DIÁRIOS'!$G$5:$G$500,"G",'LANÇAMENTOS DIÁRIOS'!$C$5:$C$500,$A58,'LANÇAMENTOS DIÁRIOS'!$O$5:$O$500,"&lt;=122679",'LANÇAMENTOS DIÁRIOS'!$P$5:$P$500,"&gt;=122580")&gt;0,"X","")</f>
      </c>
      <c r="BC58" s="56" t="str">
        <f>IF(COUNTIFS('LANÇAMENTOS DIÁRIOS'!$G$5:$G$500,"G",'LANÇAMENTOS DIÁRIOS'!$C$5:$C$500,$A58,'LANÇAMENTOS DIÁRIOS'!$O$5:$O$500,"&lt;=122779",'LANÇAMENTOS DIÁRIOS'!$P$5:$P$500,"&gt;=122680")&gt;0,"X","")</f>
      </c>
      <c r="BD58" s="56" t="str">
        <f>IF(COUNTIFS('LANÇAMENTOS DIÁRIOS'!$G$5:$G$500,"G",'LANÇAMENTOS DIÁRIOS'!$C$5:$C$500,$A58,'LANÇAMENTOS DIÁRIOS'!$O$5:$O$500,"&lt;=122879",'LANÇAMENTOS DIÁRIOS'!$P$5:$P$500,"&gt;=122780")&gt;0,"X","")</f>
      </c>
      <c r="BE58" s="56" t="str">
        <f>IF(COUNTIFS('LANÇAMENTOS DIÁRIOS'!$G$5:$G$500,"G",'LANÇAMENTOS DIÁRIOS'!$C$5:$C$500,$A58,'LANÇAMENTOS DIÁRIOS'!$O$5:$O$500,"&lt;=122979",'LANÇAMENTOS DIÁRIOS'!$P$5:$P$500,"&gt;=122880")&gt;0,"X","")</f>
      </c>
      <c r="BF58" s="56" t="str">
        <f>IF(COUNTIFS('LANÇAMENTOS DIÁRIOS'!$G$5:$G$500,"G",'LANÇAMENTOS DIÁRIOS'!$C$5:$C$500,$A58,'LANÇAMENTOS DIÁRIOS'!$O$5:$O$500,"&lt;=123079",'LANÇAMENTOS DIÁRIOS'!$P$5:$P$500,"&gt;=122980")&gt;0,"X","")</f>
      </c>
      <c r="BG58" s="56" t="str">
        <f>IF(COUNTIFS('LANÇAMENTOS DIÁRIOS'!$G$5:$G$500,"G",'LANÇAMENTOS DIÁRIOS'!$C$5:$C$500,$A58,'LANÇAMENTOS DIÁRIOS'!$O$5:$O$500,"&lt;=123179",'LANÇAMENTOS DIÁRIOS'!$P$5:$P$500,"&gt;=123080")&gt;0,"X","")</f>
      </c>
      <c r="BH58" s="56" t="str">
        <f>IF(COUNTIFS('LANÇAMENTOS DIÁRIOS'!$G$5:$G$500,"G",'LANÇAMENTOS DIÁRIOS'!$C$5:$C$500,$A58,'LANÇAMENTOS DIÁRIOS'!$O$5:$O$500,"&lt;=123279",'LANÇAMENTOS DIÁRIOS'!$P$5:$P$500,"&gt;=123180")&gt;0,"X","")</f>
      </c>
      <c r="BI58" s="56" t="str">
        <f>IF(COUNTIFS('LANÇAMENTOS DIÁRIOS'!$G$5:$G$500,"G",'LANÇAMENTOS DIÁRIOS'!$C$5:$C$500,$A58,'LANÇAMENTOS DIÁRIOS'!$O$5:$O$500,"&lt;=123379",'LANÇAMENTOS DIÁRIOS'!$P$5:$P$500,"&gt;=123280")&gt;0,"X","")</f>
      </c>
      <c r="BJ58" s="56" t="str">
        <f>IF(COUNTIFS('LANÇAMENTOS DIÁRIOS'!$G$5:$G$500,"G",'LANÇAMENTOS DIÁRIOS'!$C$5:$C$500,$A58,'LANÇAMENTOS DIÁRIOS'!$O$5:$O$500,"&lt;=123479",'LANÇAMENTOS DIÁRIOS'!$P$5:$P$500,"&gt;=123380")&gt;0,"X","")</f>
      </c>
      <c r="BK58" s="56" t="str">
        <f>IF(COUNTIFS('LANÇAMENTOS DIÁRIOS'!$G$5:$G$500,"G",'LANÇAMENTOS DIÁRIOS'!$C$5:$C$500,$A58,'LANÇAMENTOS DIÁRIOS'!$O$5:$O$500,"&lt;=123480",'LANÇAMENTOS DIÁRIOS'!$P$5:$P$500,"&gt;=123480")&gt;0,"X","")</f>
      </c>
    </row>
    <row r="59" ht="19" customHeight="1">
      <c r="A59" s="68" t="str">
        <v>Construção do subleito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</row>
    <row r="60">
      <c r="A60" s="51" t="str">
        <v>Regularização do subleito</v>
      </c>
      <c r="B60" s="56" t="str">
        <f>IF(COUNTIFS('LANÇAMENTOS DIÁRIOS'!$G$5:$G$500,"G",'LANÇAMENTOS DIÁRIOS'!$C$5:$C$500,$A60,'LANÇAMENTOS DIÁRIOS'!$O$5:$O$500,"&lt;=117479",'LANÇAMENTOS DIÁRIOS'!$P$5:$P$500,"&gt;=117380")&gt;0,"X","")</f>
      </c>
      <c r="C60" s="56" t="str">
        <f>IF(COUNTIFS('LANÇAMENTOS DIÁRIOS'!$G$5:$G$500,"G",'LANÇAMENTOS DIÁRIOS'!$C$5:$C$500,$A60,'LANÇAMENTOS DIÁRIOS'!$O$5:$O$500,"&lt;=117579",'LANÇAMENTOS DIÁRIOS'!$P$5:$P$500,"&gt;=117480")&gt;0,"X","")</f>
      </c>
      <c r="D60" s="56" t="str">
        <f>IF(COUNTIFS('LANÇAMENTOS DIÁRIOS'!$G$5:$G$500,"G",'LANÇAMENTOS DIÁRIOS'!$C$5:$C$500,$A60,'LANÇAMENTOS DIÁRIOS'!$O$5:$O$500,"&lt;=117679",'LANÇAMENTOS DIÁRIOS'!$P$5:$P$500,"&gt;=117580")&gt;0,"X","")</f>
      </c>
      <c r="E60" s="56" t="str">
        <f>IF(COUNTIFS('LANÇAMENTOS DIÁRIOS'!$G$5:$G$500,"G",'LANÇAMENTOS DIÁRIOS'!$C$5:$C$500,$A60,'LANÇAMENTOS DIÁRIOS'!$O$5:$O$500,"&lt;=117779",'LANÇAMENTOS DIÁRIOS'!$P$5:$P$500,"&gt;=117680")&gt;0,"X","")</f>
      </c>
      <c r="F60" s="56" t="str">
        <f>IF(COUNTIFS('LANÇAMENTOS DIÁRIOS'!$G$5:$G$500,"G",'LANÇAMENTOS DIÁRIOS'!$C$5:$C$500,$A60,'LANÇAMENTOS DIÁRIOS'!$O$5:$O$500,"&lt;=117879",'LANÇAMENTOS DIÁRIOS'!$P$5:$P$500,"&gt;=117780")&gt;0,"X","")</f>
      </c>
      <c r="G60" s="56" t="str">
        <f>IF(COUNTIFS('LANÇAMENTOS DIÁRIOS'!$G$5:$G$500,"G",'LANÇAMENTOS DIÁRIOS'!$C$5:$C$500,$A60,'LANÇAMENTOS DIÁRIOS'!$O$5:$O$500,"&lt;=117979",'LANÇAMENTOS DIÁRIOS'!$P$5:$P$500,"&gt;=117880")&gt;0,"X","")</f>
      </c>
      <c r="H60" s="56" t="str">
        <f>IF(COUNTIFS('LANÇAMENTOS DIÁRIOS'!$G$5:$G$500,"G",'LANÇAMENTOS DIÁRIOS'!$C$5:$C$500,$A60,'LANÇAMENTOS DIÁRIOS'!$O$5:$O$500,"&lt;=118079",'LANÇAMENTOS DIÁRIOS'!$P$5:$P$500,"&gt;=117980")&gt;0,"X","")</f>
      </c>
      <c r="I60" s="56" t="str">
        <f>IF(COUNTIFS('LANÇAMENTOS DIÁRIOS'!$G$5:$G$500,"G",'LANÇAMENTOS DIÁRIOS'!$C$5:$C$500,$A60,'LANÇAMENTOS DIÁRIOS'!$O$5:$O$500,"&lt;=118179",'LANÇAMENTOS DIÁRIOS'!$P$5:$P$500,"&gt;=118080")&gt;0,"X","")</f>
      </c>
      <c r="J60" s="56" t="str">
        <f>IF(COUNTIFS('LANÇAMENTOS DIÁRIOS'!$G$5:$G$500,"G",'LANÇAMENTOS DIÁRIOS'!$C$5:$C$500,$A60,'LANÇAMENTOS DIÁRIOS'!$O$5:$O$500,"&lt;=118279",'LANÇAMENTOS DIÁRIOS'!$P$5:$P$500,"&gt;=118180")&gt;0,"X","")</f>
      </c>
      <c r="K60" s="56" t="str">
        <f>IF(COUNTIFS('LANÇAMENTOS DIÁRIOS'!$G$5:$G$500,"G",'LANÇAMENTOS DIÁRIOS'!$C$5:$C$500,$A60,'LANÇAMENTOS DIÁRIOS'!$O$5:$O$500,"&lt;=118379",'LANÇAMENTOS DIÁRIOS'!$P$5:$P$500,"&gt;=118280")&gt;0,"X","")</f>
      </c>
      <c r="L60" s="56" t="str">
        <f>IF(COUNTIFS('LANÇAMENTOS DIÁRIOS'!$G$5:$G$500,"G",'LANÇAMENTOS DIÁRIOS'!$C$5:$C$500,$A60,'LANÇAMENTOS DIÁRIOS'!$O$5:$O$500,"&lt;=118479",'LANÇAMENTOS DIÁRIOS'!$P$5:$P$500,"&gt;=118380")&gt;0,"X","")</f>
      </c>
      <c r="M60" s="56" t="str">
        <f>IF(COUNTIFS('LANÇAMENTOS DIÁRIOS'!$G$5:$G$500,"G",'LANÇAMENTOS DIÁRIOS'!$C$5:$C$500,$A60,'LANÇAMENTOS DIÁRIOS'!$O$5:$O$500,"&lt;=118579",'LANÇAMENTOS DIÁRIOS'!$P$5:$P$500,"&gt;=118480")&gt;0,"X","")</f>
      </c>
      <c r="N60" s="56" t="str">
        <f>IF(COUNTIFS('LANÇAMENTOS DIÁRIOS'!$G$5:$G$500,"G",'LANÇAMENTOS DIÁRIOS'!$C$5:$C$500,$A60,'LANÇAMENTOS DIÁRIOS'!$O$5:$O$500,"&lt;=118679",'LANÇAMENTOS DIÁRIOS'!$P$5:$P$500,"&gt;=118580")&gt;0,"X","")</f>
      </c>
      <c r="O60" s="56" t="str">
        <f>IF(COUNTIFS('LANÇAMENTOS DIÁRIOS'!$G$5:$G$500,"G",'LANÇAMENTOS DIÁRIOS'!$C$5:$C$500,$A60,'LANÇAMENTOS DIÁRIOS'!$O$5:$O$500,"&lt;=118779",'LANÇAMENTOS DIÁRIOS'!$P$5:$P$500,"&gt;=118680")&gt;0,"X","")</f>
      </c>
      <c r="P60" s="56" t="str">
        <f>IF(COUNTIFS('LANÇAMENTOS DIÁRIOS'!$G$5:$G$500,"G",'LANÇAMENTOS DIÁRIOS'!$C$5:$C$500,$A60,'LANÇAMENTOS DIÁRIOS'!$O$5:$O$500,"&lt;=118879",'LANÇAMENTOS DIÁRIOS'!$P$5:$P$500,"&gt;=118780")&gt;0,"X","")</f>
      </c>
      <c r="Q60" s="56" t="str">
        <f>IF(COUNTIFS('LANÇAMENTOS DIÁRIOS'!$G$5:$G$500,"G",'LANÇAMENTOS DIÁRIOS'!$C$5:$C$500,$A60,'LANÇAMENTOS DIÁRIOS'!$O$5:$O$500,"&lt;=118979",'LANÇAMENTOS DIÁRIOS'!$P$5:$P$500,"&gt;=118880")&gt;0,"X","")</f>
      </c>
      <c r="R60" s="56" t="str">
        <f>IF(COUNTIFS('LANÇAMENTOS DIÁRIOS'!$G$5:$G$500,"G",'LANÇAMENTOS DIÁRIOS'!$C$5:$C$500,$A60,'LANÇAMENTOS DIÁRIOS'!$O$5:$O$500,"&lt;=119079",'LANÇAMENTOS DIÁRIOS'!$P$5:$P$500,"&gt;=118980")&gt;0,"X","")</f>
      </c>
      <c r="S60" s="56" t="str">
        <f>IF(COUNTIFS('LANÇAMENTOS DIÁRIOS'!$G$5:$G$500,"G",'LANÇAMENTOS DIÁRIOS'!$C$5:$C$500,$A60,'LANÇAMENTOS DIÁRIOS'!$O$5:$O$500,"&lt;=119179",'LANÇAMENTOS DIÁRIOS'!$P$5:$P$500,"&gt;=119080")&gt;0,"X","")</f>
      </c>
      <c r="T60" s="56" t="str">
        <f>IF(COUNTIFS('LANÇAMENTOS DIÁRIOS'!$G$5:$G$500,"G",'LANÇAMENTOS DIÁRIOS'!$C$5:$C$500,$A60,'LANÇAMENTOS DIÁRIOS'!$O$5:$O$500,"&lt;=119279",'LANÇAMENTOS DIÁRIOS'!$P$5:$P$500,"&gt;=119180")&gt;0,"X","")</f>
      </c>
      <c r="U60" s="56" t="str">
        <f>IF(COUNTIFS('LANÇAMENTOS DIÁRIOS'!$G$5:$G$500,"G",'LANÇAMENTOS DIÁRIOS'!$C$5:$C$500,$A60,'LANÇAMENTOS DIÁRIOS'!$O$5:$O$500,"&lt;=119379",'LANÇAMENTOS DIÁRIOS'!$P$5:$P$500,"&gt;=119280")&gt;0,"X","")</f>
      </c>
      <c r="V60" s="56" t="str">
        <f>IF(COUNTIFS('LANÇAMENTOS DIÁRIOS'!$G$5:$G$500,"G",'LANÇAMENTOS DIÁRIOS'!$C$5:$C$500,$A60,'LANÇAMENTOS DIÁRIOS'!$O$5:$O$500,"&lt;=119479",'LANÇAMENTOS DIÁRIOS'!$P$5:$P$500,"&gt;=119380")&gt;0,"X","")</f>
      </c>
      <c r="W60" s="56" t="str">
        <f>IF(COUNTIFS('LANÇAMENTOS DIÁRIOS'!$G$5:$G$500,"G",'LANÇAMENTOS DIÁRIOS'!$C$5:$C$500,$A60,'LANÇAMENTOS DIÁRIOS'!$O$5:$O$500,"&lt;=119579",'LANÇAMENTOS DIÁRIOS'!$P$5:$P$500,"&gt;=119480")&gt;0,"X","")</f>
      </c>
      <c r="X60" s="56" t="str">
        <f>IF(COUNTIFS('LANÇAMENTOS DIÁRIOS'!$G$5:$G$500,"G",'LANÇAMENTOS DIÁRIOS'!$C$5:$C$500,$A60,'LANÇAMENTOS DIÁRIOS'!$O$5:$O$500,"&lt;=119679",'LANÇAMENTOS DIÁRIOS'!$P$5:$P$500,"&gt;=119580")&gt;0,"X","")</f>
      </c>
      <c r="Y60" s="56" t="str">
        <f>IF(COUNTIFS('LANÇAMENTOS DIÁRIOS'!$G$5:$G$500,"G",'LANÇAMENTOS DIÁRIOS'!$C$5:$C$500,$A60,'LANÇAMENTOS DIÁRIOS'!$O$5:$O$500,"&lt;=119779",'LANÇAMENTOS DIÁRIOS'!$P$5:$P$500,"&gt;=119680")&gt;0,"X","")</f>
      </c>
      <c r="Z60" s="56" t="str">
        <f>IF(COUNTIFS('LANÇAMENTOS DIÁRIOS'!$G$5:$G$500,"G",'LANÇAMENTOS DIÁRIOS'!$C$5:$C$500,$A60,'LANÇAMENTOS DIÁRIOS'!$O$5:$O$500,"&lt;=119879",'LANÇAMENTOS DIÁRIOS'!$P$5:$P$500,"&gt;=119780")&gt;0,"X","")</f>
      </c>
      <c r="AA60" s="56" t="str">
        <f>IF(COUNTIFS('LANÇAMENTOS DIÁRIOS'!$G$5:$G$500,"G",'LANÇAMENTOS DIÁRIOS'!$C$5:$C$500,$A60,'LANÇAMENTOS DIÁRIOS'!$O$5:$O$500,"&lt;=119979",'LANÇAMENTOS DIÁRIOS'!$P$5:$P$500,"&gt;=119880")&gt;0,"X","")</f>
      </c>
      <c r="AB60" s="56" t="str">
        <f>IF(COUNTIFS('LANÇAMENTOS DIÁRIOS'!$G$5:$G$500,"G",'LANÇAMENTOS DIÁRIOS'!$C$5:$C$500,$A60,'LANÇAMENTOS DIÁRIOS'!$O$5:$O$500,"&lt;=120079",'LANÇAMENTOS DIÁRIOS'!$P$5:$P$500,"&gt;=119980")&gt;0,"X","")</f>
      </c>
      <c r="AC60" s="56" t="str">
        <f>IF(COUNTIFS('LANÇAMENTOS DIÁRIOS'!$G$5:$G$500,"G",'LANÇAMENTOS DIÁRIOS'!$C$5:$C$500,$A60,'LANÇAMENTOS DIÁRIOS'!$O$5:$O$500,"&lt;=120179",'LANÇAMENTOS DIÁRIOS'!$P$5:$P$500,"&gt;=120080")&gt;0,"X","")</f>
      </c>
      <c r="AD60" s="56" t="str">
        <f>IF(COUNTIFS('LANÇAMENTOS DIÁRIOS'!$G$5:$G$500,"G",'LANÇAMENTOS DIÁRIOS'!$C$5:$C$500,$A60,'LANÇAMENTOS DIÁRIOS'!$O$5:$O$500,"&lt;=120279",'LANÇAMENTOS DIÁRIOS'!$P$5:$P$500,"&gt;=120180")&gt;0,"X","")</f>
      </c>
      <c r="AE60" s="56" t="str">
        <f>IF(COUNTIFS('LANÇAMENTOS DIÁRIOS'!$G$5:$G$500,"G",'LANÇAMENTOS DIÁRIOS'!$C$5:$C$500,$A60,'LANÇAMENTOS DIÁRIOS'!$O$5:$O$500,"&lt;=120379",'LANÇAMENTOS DIÁRIOS'!$P$5:$P$500,"&gt;=120280")&gt;0,"X","")</f>
      </c>
      <c r="AF60" s="56" t="str">
        <f>IF(COUNTIFS('LANÇAMENTOS DIÁRIOS'!$G$5:$G$500,"G",'LANÇAMENTOS DIÁRIOS'!$C$5:$C$500,$A60,'LANÇAMENTOS DIÁRIOS'!$O$5:$O$500,"&lt;=120479",'LANÇAMENTOS DIÁRIOS'!$P$5:$P$500,"&gt;=120380")&gt;0,"X","")</f>
      </c>
      <c r="AG60" s="56" t="str">
        <f>IF(COUNTIFS('LANÇAMENTOS DIÁRIOS'!$G$5:$G$500,"G",'LANÇAMENTOS DIÁRIOS'!$C$5:$C$500,$A60,'LANÇAMENTOS DIÁRIOS'!$O$5:$O$500,"&lt;=120579",'LANÇAMENTOS DIÁRIOS'!$P$5:$P$500,"&gt;=120480")&gt;0,"X","")</f>
      </c>
      <c r="AH60" s="56" t="str">
        <f>IF(COUNTIFS('LANÇAMENTOS DIÁRIOS'!$G$5:$G$500,"G",'LANÇAMENTOS DIÁRIOS'!$C$5:$C$500,$A60,'LANÇAMENTOS DIÁRIOS'!$O$5:$O$500,"&lt;=120679",'LANÇAMENTOS DIÁRIOS'!$P$5:$P$500,"&gt;=120580")&gt;0,"X","")</f>
      </c>
      <c r="AI60" s="56" t="str">
        <f>IF(COUNTIFS('LANÇAMENTOS DIÁRIOS'!$G$5:$G$500,"G",'LANÇAMENTOS DIÁRIOS'!$C$5:$C$500,$A60,'LANÇAMENTOS DIÁRIOS'!$O$5:$O$500,"&lt;=120779",'LANÇAMENTOS DIÁRIOS'!$P$5:$P$500,"&gt;=120680")&gt;0,"X","")</f>
      </c>
      <c r="AJ60" s="56" t="str">
        <f>IF(COUNTIFS('LANÇAMENTOS DIÁRIOS'!$G$5:$G$500,"G",'LANÇAMENTOS DIÁRIOS'!$C$5:$C$500,$A60,'LANÇAMENTOS DIÁRIOS'!$O$5:$O$500,"&lt;=120879",'LANÇAMENTOS DIÁRIOS'!$P$5:$P$500,"&gt;=120780")&gt;0,"X","")</f>
      </c>
      <c r="AK60" s="56" t="str">
        <f>IF(COUNTIFS('LANÇAMENTOS DIÁRIOS'!$G$5:$G$500,"G",'LANÇAMENTOS DIÁRIOS'!$C$5:$C$500,$A60,'LANÇAMENTOS DIÁRIOS'!$O$5:$O$500,"&lt;=120979",'LANÇAMENTOS DIÁRIOS'!$P$5:$P$500,"&gt;=120880")&gt;0,"X","")</f>
      </c>
      <c r="AL60" s="56" t="str">
        <f>IF(COUNTIFS('LANÇAMENTOS DIÁRIOS'!$G$5:$G$500,"G",'LANÇAMENTOS DIÁRIOS'!$C$5:$C$500,$A60,'LANÇAMENTOS DIÁRIOS'!$O$5:$O$500,"&lt;=121079",'LANÇAMENTOS DIÁRIOS'!$P$5:$P$500,"&gt;=120980")&gt;0,"X","")</f>
      </c>
      <c r="AM60" s="56" t="str">
        <f>IF(COUNTIFS('LANÇAMENTOS DIÁRIOS'!$G$5:$G$500,"G",'LANÇAMENTOS DIÁRIOS'!$C$5:$C$500,$A60,'LANÇAMENTOS DIÁRIOS'!$O$5:$O$500,"&lt;=121179",'LANÇAMENTOS DIÁRIOS'!$P$5:$P$500,"&gt;=121080")&gt;0,"X","")</f>
      </c>
      <c r="AN60" s="56" t="str">
        <f>IF(COUNTIFS('LANÇAMENTOS DIÁRIOS'!$G$5:$G$500,"G",'LANÇAMENTOS DIÁRIOS'!$C$5:$C$500,$A60,'LANÇAMENTOS DIÁRIOS'!$O$5:$O$500,"&lt;=121279",'LANÇAMENTOS DIÁRIOS'!$P$5:$P$500,"&gt;=121180")&gt;0,"X","")</f>
      </c>
      <c r="AO60" s="56" t="str">
        <f>IF(COUNTIFS('LANÇAMENTOS DIÁRIOS'!$G$5:$G$500,"G",'LANÇAMENTOS DIÁRIOS'!$C$5:$C$500,$A60,'LANÇAMENTOS DIÁRIOS'!$O$5:$O$500,"&lt;=121379",'LANÇAMENTOS DIÁRIOS'!$P$5:$P$500,"&gt;=121280")&gt;0,"X","")</f>
      </c>
      <c r="AP60" s="56" t="str">
        <f>IF(COUNTIFS('LANÇAMENTOS DIÁRIOS'!$G$5:$G$500,"G",'LANÇAMENTOS DIÁRIOS'!$C$5:$C$500,$A60,'LANÇAMENTOS DIÁRIOS'!$O$5:$O$500,"&lt;=121479",'LANÇAMENTOS DIÁRIOS'!$P$5:$P$500,"&gt;=121380")&gt;0,"X","")</f>
      </c>
      <c r="AQ60" s="56" t="str">
        <f>IF(COUNTIFS('LANÇAMENTOS DIÁRIOS'!$G$5:$G$500,"G",'LANÇAMENTOS DIÁRIOS'!$C$5:$C$500,$A60,'LANÇAMENTOS DIÁRIOS'!$O$5:$O$500,"&lt;=121579",'LANÇAMENTOS DIÁRIOS'!$P$5:$P$500,"&gt;=121480")&gt;0,"X","")</f>
      </c>
      <c r="AR60" s="56" t="str">
        <f>IF(COUNTIFS('LANÇAMENTOS DIÁRIOS'!$G$5:$G$500,"G",'LANÇAMENTOS DIÁRIOS'!$C$5:$C$500,$A60,'LANÇAMENTOS DIÁRIOS'!$O$5:$O$500,"&lt;=121679",'LANÇAMENTOS DIÁRIOS'!$P$5:$P$500,"&gt;=121580")&gt;0,"X","")</f>
      </c>
      <c r="AS60" s="56" t="str">
        <f>IF(COUNTIFS('LANÇAMENTOS DIÁRIOS'!$G$5:$G$500,"G",'LANÇAMENTOS DIÁRIOS'!$C$5:$C$500,$A60,'LANÇAMENTOS DIÁRIOS'!$O$5:$O$500,"&lt;=121779",'LANÇAMENTOS DIÁRIOS'!$P$5:$P$500,"&gt;=121680")&gt;0,"X","")</f>
      </c>
      <c r="AT60" s="56" t="str">
        <f>IF(COUNTIFS('LANÇAMENTOS DIÁRIOS'!$G$5:$G$500,"G",'LANÇAMENTOS DIÁRIOS'!$C$5:$C$500,$A60,'LANÇAMENTOS DIÁRIOS'!$O$5:$O$500,"&lt;=121879",'LANÇAMENTOS DIÁRIOS'!$P$5:$P$500,"&gt;=121780")&gt;0,"X","")</f>
      </c>
      <c r="AU60" s="56" t="str">
        <f>IF(COUNTIFS('LANÇAMENTOS DIÁRIOS'!$G$5:$G$500,"G",'LANÇAMENTOS DIÁRIOS'!$C$5:$C$500,$A60,'LANÇAMENTOS DIÁRIOS'!$O$5:$O$500,"&lt;=121979",'LANÇAMENTOS DIÁRIOS'!$P$5:$P$500,"&gt;=121880")&gt;0,"X","")</f>
      </c>
      <c r="AV60" s="56" t="str">
        <f>IF(COUNTIFS('LANÇAMENTOS DIÁRIOS'!$G$5:$G$500,"G",'LANÇAMENTOS DIÁRIOS'!$C$5:$C$500,$A60,'LANÇAMENTOS DIÁRIOS'!$O$5:$O$500,"&lt;=122079",'LANÇAMENTOS DIÁRIOS'!$P$5:$P$500,"&gt;=121980")&gt;0,"X","")</f>
      </c>
      <c r="AW60" s="56" t="str">
        <f>IF(COUNTIFS('LANÇAMENTOS DIÁRIOS'!$G$5:$G$500,"G",'LANÇAMENTOS DIÁRIOS'!$C$5:$C$500,$A60,'LANÇAMENTOS DIÁRIOS'!$O$5:$O$500,"&lt;=122179",'LANÇAMENTOS DIÁRIOS'!$P$5:$P$500,"&gt;=122080")&gt;0,"X","")</f>
      </c>
      <c r="AX60" s="56" t="str">
        <f>IF(COUNTIFS('LANÇAMENTOS DIÁRIOS'!$G$5:$G$500,"G",'LANÇAMENTOS DIÁRIOS'!$C$5:$C$500,$A60,'LANÇAMENTOS DIÁRIOS'!$O$5:$O$500,"&lt;=122279",'LANÇAMENTOS DIÁRIOS'!$P$5:$P$500,"&gt;=122180")&gt;0,"X","")</f>
      </c>
      <c r="AY60" s="56" t="str">
        <f>IF(COUNTIFS('LANÇAMENTOS DIÁRIOS'!$G$5:$G$500,"G",'LANÇAMENTOS DIÁRIOS'!$C$5:$C$500,$A60,'LANÇAMENTOS DIÁRIOS'!$O$5:$O$500,"&lt;=122379",'LANÇAMENTOS DIÁRIOS'!$P$5:$P$500,"&gt;=122280")&gt;0,"X","")</f>
      </c>
      <c r="AZ60" s="56" t="str">
        <f>IF(COUNTIFS('LANÇAMENTOS DIÁRIOS'!$G$5:$G$500,"G",'LANÇAMENTOS DIÁRIOS'!$C$5:$C$500,$A60,'LANÇAMENTOS DIÁRIOS'!$O$5:$O$500,"&lt;=122479",'LANÇAMENTOS DIÁRIOS'!$P$5:$P$500,"&gt;=122380")&gt;0,"X","")</f>
      </c>
      <c r="BA60" s="56" t="str">
        <f>IF(COUNTIFS('LANÇAMENTOS DIÁRIOS'!$G$5:$G$500,"G",'LANÇAMENTOS DIÁRIOS'!$C$5:$C$500,$A60,'LANÇAMENTOS DIÁRIOS'!$O$5:$O$500,"&lt;=122579",'LANÇAMENTOS DIÁRIOS'!$P$5:$P$500,"&gt;=122480")&gt;0,"X","")</f>
      </c>
      <c r="BB60" s="56" t="str">
        <f>IF(COUNTIFS('LANÇAMENTOS DIÁRIOS'!$G$5:$G$500,"G",'LANÇAMENTOS DIÁRIOS'!$C$5:$C$500,$A60,'LANÇAMENTOS DIÁRIOS'!$O$5:$O$500,"&lt;=122679",'LANÇAMENTOS DIÁRIOS'!$P$5:$P$500,"&gt;=122580")&gt;0,"X","")</f>
      </c>
      <c r="BC60" s="56" t="str">
        <f>IF(COUNTIFS('LANÇAMENTOS DIÁRIOS'!$G$5:$G$500,"G",'LANÇAMENTOS DIÁRIOS'!$C$5:$C$500,$A60,'LANÇAMENTOS DIÁRIOS'!$O$5:$O$500,"&lt;=122779",'LANÇAMENTOS DIÁRIOS'!$P$5:$P$500,"&gt;=122680")&gt;0,"X","")</f>
      </c>
      <c r="BD60" s="56" t="str">
        <f>IF(COUNTIFS('LANÇAMENTOS DIÁRIOS'!$G$5:$G$500,"G",'LANÇAMENTOS DIÁRIOS'!$C$5:$C$500,$A60,'LANÇAMENTOS DIÁRIOS'!$O$5:$O$500,"&lt;=122879",'LANÇAMENTOS DIÁRIOS'!$P$5:$P$500,"&gt;=122780")&gt;0,"X","")</f>
      </c>
      <c r="BE60" s="56" t="str">
        <f>IF(COUNTIFS('LANÇAMENTOS DIÁRIOS'!$G$5:$G$500,"G",'LANÇAMENTOS DIÁRIOS'!$C$5:$C$500,$A60,'LANÇAMENTOS DIÁRIOS'!$O$5:$O$500,"&lt;=122979",'LANÇAMENTOS DIÁRIOS'!$P$5:$P$500,"&gt;=122880")&gt;0,"X","")</f>
      </c>
      <c r="BF60" s="56" t="str">
        <f>IF(COUNTIFS('LANÇAMENTOS DIÁRIOS'!$G$5:$G$500,"G",'LANÇAMENTOS DIÁRIOS'!$C$5:$C$500,$A60,'LANÇAMENTOS DIÁRIOS'!$O$5:$O$500,"&lt;=123079",'LANÇAMENTOS DIÁRIOS'!$P$5:$P$500,"&gt;=122980")&gt;0,"X","")</f>
      </c>
      <c r="BG60" s="56" t="str">
        <f>IF(COUNTIFS('LANÇAMENTOS DIÁRIOS'!$G$5:$G$500,"G",'LANÇAMENTOS DIÁRIOS'!$C$5:$C$500,$A60,'LANÇAMENTOS DIÁRIOS'!$O$5:$O$500,"&lt;=123179",'LANÇAMENTOS DIÁRIOS'!$P$5:$P$500,"&gt;=123080")&gt;0,"X","")</f>
      </c>
      <c r="BH60" s="56" t="str">
        <f>IF(COUNTIFS('LANÇAMENTOS DIÁRIOS'!$G$5:$G$500,"G",'LANÇAMENTOS DIÁRIOS'!$C$5:$C$500,$A60,'LANÇAMENTOS DIÁRIOS'!$O$5:$O$500,"&lt;=123279",'LANÇAMENTOS DIÁRIOS'!$P$5:$P$500,"&gt;=123180")&gt;0,"X","")</f>
      </c>
      <c r="BI60" s="56" t="str">
        <f>IF(COUNTIFS('LANÇAMENTOS DIÁRIOS'!$G$5:$G$500,"G",'LANÇAMENTOS DIÁRIOS'!$C$5:$C$500,$A60,'LANÇAMENTOS DIÁRIOS'!$O$5:$O$500,"&lt;=123379",'LANÇAMENTOS DIÁRIOS'!$P$5:$P$500,"&gt;=123280")&gt;0,"X","")</f>
      </c>
      <c r="BJ60" s="56" t="str">
        <f>IF(COUNTIFS('LANÇAMENTOS DIÁRIOS'!$G$5:$G$500,"G",'LANÇAMENTOS DIÁRIOS'!$C$5:$C$500,$A60,'LANÇAMENTOS DIÁRIOS'!$O$5:$O$500,"&lt;=123479",'LANÇAMENTOS DIÁRIOS'!$P$5:$P$500,"&gt;=123380")&gt;0,"X","")</f>
      </c>
      <c r="BK60" s="56" t="str">
        <f>IF(COUNTIFS('LANÇAMENTOS DIÁRIOS'!$G$5:$G$500,"G",'LANÇAMENTOS DIÁRIOS'!$C$5:$C$500,$A60,'LANÇAMENTOS DIÁRIOS'!$O$5:$O$500,"&lt;=123480",'LANÇAMENTOS DIÁRIOS'!$P$5:$P$500,"&gt;=123480")&gt;0,"X","")</f>
      </c>
    </row>
    <row r="61">
      <c r="A61" s="51" t="str">
        <v>Escavação de material de 1ª e 2ª categoria (*)</v>
      </c>
      <c r="B61" s="56" t="str">
        <f>IF(COUNTIFS('LANÇAMENTOS DIÁRIOS'!$G$5:$G$500,"G",'LANÇAMENTOS DIÁRIOS'!$C$5:$C$500,$A61,'LANÇAMENTOS DIÁRIOS'!$O$5:$O$500,"&lt;=117479",'LANÇAMENTOS DIÁRIOS'!$P$5:$P$500,"&gt;=117380")&gt;0,"X","")</f>
      </c>
      <c r="C61" s="56" t="str">
        <f>IF(COUNTIFS('LANÇAMENTOS DIÁRIOS'!$G$5:$G$500,"G",'LANÇAMENTOS DIÁRIOS'!$C$5:$C$500,$A61,'LANÇAMENTOS DIÁRIOS'!$O$5:$O$500,"&lt;=117579",'LANÇAMENTOS DIÁRIOS'!$P$5:$P$500,"&gt;=117480")&gt;0,"X","")</f>
      </c>
      <c r="D61" s="56" t="str">
        <f>IF(COUNTIFS('LANÇAMENTOS DIÁRIOS'!$G$5:$G$500,"G",'LANÇAMENTOS DIÁRIOS'!$C$5:$C$500,$A61,'LANÇAMENTOS DIÁRIOS'!$O$5:$O$500,"&lt;=117679",'LANÇAMENTOS DIÁRIOS'!$P$5:$P$500,"&gt;=117580")&gt;0,"X","")</f>
      </c>
      <c r="E61" s="56" t="str">
        <f>IF(COUNTIFS('LANÇAMENTOS DIÁRIOS'!$G$5:$G$500,"G",'LANÇAMENTOS DIÁRIOS'!$C$5:$C$500,$A61,'LANÇAMENTOS DIÁRIOS'!$O$5:$O$500,"&lt;=117779",'LANÇAMENTOS DIÁRIOS'!$P$5:$P$500,"&gt;=117680")&gt;0,"X","")</f>
      </c>
      <c r="F61" s="56" t="str">
        <f>IF(COUNTIFS('LANÇAMENTOS DIÁRIOS'!$G$5:$G$500,"G",'LANÇAMENTOS DIÁRIOS'!$C$5:$C$500,$A61,'LANÇAMENTOS DIÁRIOS'!$O$5:$O$500,"&lt;=117879",'LANÇAMENTOS DIÁRIOS'!$P$5:$P$500,"&gt;=117780")&gt;0,"X","")</f>
      </c>
      <c r="G61" s="56" t="str">
        <f>IF(COUNTIFS('LANÇAMENTOS DIÁRIOS'!$G$5:$G$500,"G",'LANÇAMENTOS DIÁRIOS'!$C$5:$C$500,$A61,'LANÇAMENTOS DIÁRIOS'!$O$5:$O$500,"&lt;=117979",'LANÇAMENTOS DIÁRIOS'!$P$5:$P$500,"&gt;=117880")&gt;0,"X","")</f>
      </c>
      <c r="H61" s="56" t="str">
        <f>IF(COUNTIFS('LANÇAMENTOS DIÁRIOS'!$G$5:$G$500,"G",'LANÇAMENTOS DIÁRIOS'!$C$5:$C$500,$A61,'LANÇAMENTOS DIÁRIOS'!$O$5:$O$500,"&lt;=118079",'LANÇAMENTOS DIÁRIOS'!$P$5:$P$500,"&gt;=117980")&gt;0,"X","")</f>
      </c>
      <c r="I61" s="56" t="str">
        <f>IF(COUNTIFS('LANÇAMENTOS DIÁRIOS'!$G$5:$G$500,"G",'LANÇAMENTOS DIÁRIOS'!$C$5:$C$500,$A61,'LANÇAMENTOS DIÁRIOS'!$O$5:$O$500,"&lt;=118179",'LANÇAMENTOS DIÁRIOS'!$P$5:$P$500,"&gt;=118080")&gt;0,"X","")</f>
      </c>
      <c r="J61" s="56" t="str">
        <f>IF(COUNTIFS('LANÇAMENTOS DIÁRIOS'!$G$5:$G$500,"G",'LANÇAMENTOS DIÁRIOS'!$C$5:$C$500,$A61,'LANÇAMENTOS DIÁRIOS'!$O$5:$O$500,"&lt;=118279",'LANÇAMENTOS DIÁRIOS'!$P$5:$P$500,"&gt;=118180")&gt;0,"X","")</f>
      </c>
      <c r="K61" s="56" t="str">
        <f>IF(COUNTIFS('LANÇAMENTOS DIÁRIOS'!$G$5:$G$500,"G",'LANÇAMENTOS DIÁRIOS'!$C$5:$C$500,$A61,'LANÇAMENTOS DIÁRIOS'!$O$5:$O$500,"&lt;=118379",'LANÇAMENTOS DIÁRIOS'!$P$5:$P$500,"&gt;=118280")&gt;0,"X","")</f>
      </c>
      <c r="L61" s="56" t="str">
        <f>IF(COUNTIFS('LANÇAMENTOS DIÁRIOS'!$G$5:$G$500,"G",'LANÇAMENTOS DIÁRIOS'!$C$5:$C$500,$A61,'LANÇAMENTOS DIÁRIOS'!$O$5:$O$500,"&lt;=118479",'LANÇAMENTOS DIÁRIOS'!$P$5:$P$500,"&gt;=118380")&gt;0,"X","")</f>
      </c>
      <c r="M61" s="56" t="str">
        <f>IF(COUNTIFS('LANÇAMENTOS DIÁRIOS'!$G$5:$G$500,"G",'LANÇAMENTOS DIÁRIOS'!$C$5:$C$500,$A61,'LANÇAMENTOS DIÁRIOS'!$O$5:$O$500,"&lt;=118579",'LANÇAMENTOS DIÁRIOS'!$P$5:$P$500,"&gt;=118480")&gt;0,"X","")</f>
      </c>
      <c r="N61" s="56" t="str">
        <f>IF(COUNTIFS('LANÇAMENTOS DIÁRIOS'!$G$5:$G$500,"G",'LANÇAMENTOS DIÁRIOS'!$C$5:$C$500,$A61,'LANÇAMENTOS DIÁRIOS'!$O$5:$O$500,"&lt;=118679",'LANÇAMENTOS DIÁRIOS'!$P$5:$P$500,"&gt;=118580")&gt;0,"X","")</f>
      </c>
      <c r="O61" s="56" t="str">
        <f>IF(COUNTIFS('LANÇAMENTOS DIÁRIOS'!$G$5:$G$500,"G",'LANÇAMENTOS DIÁRIOS'!$C$5:$C$500,$A61,'LANÇAMENTOS DIÁRIOS'!$O$5:$O$500,"&lt;=118779",'LANÇAMENTOS DIÁRIOS'!$P$5:$P$500,"&gt;=118680")&gt;0,"X","")</f>
      </c>
      <c r="P61" s="56" t="str">
        <f>IF(COUNTIFS('LANÇAMENTOS DIÁRIOS'!$G$5:$G$500,"G",'LANÇAMENTOS DIÁRIOS'!$C$5:$C$500,$A61,'LANÇAMENTOS DIÁRIOS'!$O$5:$O$500,"&lt;=118879",'LANÇAMENTOS DIÁRIOS'!$P$5:$P$500,"&gt;=118780")&gt;0,"X","")</f>
      </c>
      <c r="Q61" s="56" t="str">
        <f>IF(COUNTIFS('LANÇAMENTOS DIÁRIOS'!$G$5:$G$500,"G",'LANÇAMENTOS DIÁRIOS'!$C$5:$C$500,$A61,'LANÇAMENTOS DIÁRIOS'!$O$5:$O$500,"&lt;=118979",'LANÇAMENTOS DIÁRIOS'!$P$5:$P$500,"&gt;=118880")&gt;0,"X","")</f>
      </c>
      <c r="R61" s="56" t="str">
        <f>IF(COUNTIFS('LANÇAMENTOS DIÁRIOS'!$G$5:$G$500,"G",'LANÇAMENTOS DIÁRIOS'!$C$5:$C$500,$A61,'LANÇAMENTOS DIÁRIOS'!$O$5:$O$500,"&lt;=119079",'LANÇAMENTOS DIÁRIOS'!$P$5:$P$500,"&gt;=118980")&gt;0,"X","")</f>
      </c>
      <c r="S61" s="56" t="str">
        <f>IF(COUNTIFS('LANÇAMENTOS DIÁRIOS'!$G$5:$G$500,"G",'LANÇAMENTOS DIÁRIOS'!$C$5:$C$500,$A61,'LANÇAMENTOS DIÁRIOS'!$O$5:$O$500,"&lt;=119179",'LANÇAMENTOS DIÁRIOS'!$P$5:$P$500,"&gt;=119080")&gt;0,"X","")</f>
      </c>
      <c r="T61" s="56" t="str">
        <f>IF(COUNTIFS('LANÇAMENTOS DIÁRIOS'!$G$5:$G$500,"G",'LANÇAMENTOS DIÁRIOS'!$C$5:$C$500,$A61,'LANÇAMENTOS DIÁRIOS'!$O$5:$O$500,"&lt;=119279",'LANÇAMENTOS DIÁRIOS'!$P$5:$P$500,"&gt;=119180")&gt;0,"X","")</f>
      </c>
      <c r="U61" s="56" t="str">
        <f>IF(COUNTIFS('LANÇAMENTOS DIÁRIOS'!$G$5:$G$500,"G",'LANÇAMENTOS DIÁRIOS'!$C$5:$C$500,$A61,'LANÇAMENTOS DIÁRIOS'!$O$5:$O$500,"&lt;=119379",'LANÇAMENTOS DIÁRIOS'!$P$5:$P$500,"&gt;=119280")&gt;0,"X","")</f>
      </c>
      <c r="V61" s="56" t="str">
        <f>IF(COUNTIFS('LANÇAMENTOS DIÁRIOS'!$G$5:$G$500,"G",'LANÇAMENTOS DIÁRIOS'!$C$5:$C$500,$A61,'LANÇAMENTOS DIÁRIOS'!$O$5:$O$500,"&lt;=119479",'LANÇAMENTOS DIÁRIOS'!$P$5:$P$500,"&gt;=119380")&gt;0,"X","")</f>
      </c>
      <c r="W61" s="56" t="str">
        <f>IF(COUNTIFS('LANÇAMENTOS DIÁRIOS'!$G$5:$G$500,"G",'LANÇAMENTOS DIÁRIOS'!$C$5:$C$500,$A61,'LANÇAMENTOS DIÁRIOS'!$O$5:$O$500,"&lt;=119579",'LANÇAMENTOS DIÁRIOS'!$P$5:$P$500,"&gt;=119480")&gt;0,"X","")</f>
      </c>
      <c r="X61" s="56" t="str">
        <f>IF(COUNTIFS('LANÇAMENTOS DIÁRIOS'!$G$5:$G$500,"G",'LANÇAMENTOS DIÁRIOS'!$C$5:$C$500,$A61,'LANÇAMENTOS DIÁRIOS'!$O$5:$O$500,"&lt;=119679",'LANÇAMENTOS DIÁRIOS'!$P$5:$P$500,"&gt;=119580")&gt;0,"X","")</f>
      </c>
      <c r="Y61" s="56" t="str">
        <f>IF(COUNTIFS('LANÇAMENTOS DIÁRIOS'!$G$5:$G$500,"G",'LANÇAMENTOS DIÁRIOS'!$C$5:$C$500,$A61,'LANÇAMENTOS DIÁRIOS'!$O$5:$O$500,"&lt;=119779",'LANÇAMENTOS DIÁRIOS'!$P$5:$P$500,"&gt;=119680")&gt;0,"X","")</f>
      </c>
      <c r="Z61" s="56" t="str">
        <f>IF(COUNTIFS('LANÇAMENTOS DIÁRIOS'!$G$5:$G$500,"G",'LANÇAMENTOS DIÁRIOS'!$C$5:$C$500,$A61,'LANÇAMENTOS DIÁRIOS'!$O$5:$O$500,"&lt;=119879",'LANÇAMENTOS DIÁRIOS'!$P$5:$P$500,"&gt;=119780")&gt;0,"X","")</f>
      </c>
      <c r="AA61" s="56" t="str">
        <f>IF(COUNTIFS('LANÇAMENTOS DIÁRIOS'!$G$5:$G$500,"G",'LANÇAMENTOS DIÁRIOS'!$C$5:$C$500,$A61,'LANÇAMENTOS DIÁRIOS'!$O$5:$O$500,"&lt;=119979",'LANÇAMENTOS DIÁRIOS'!$P$5:$P$500,"&gt;=119880")&gt;0,"X","")</f>
      </c>
      <c r="AB61" s="56" t="str">
        <f>IF(COUNTIFS('LANÇAMENTOS DIÁRIOS'!$G$5:$G$500,"G",'LANÇAMENTOS DIÁRIOS'!$C$5:$C$500,$A61,'LANÇAMENTOS DIÁRIOS'!$O$5:$O$500,"&lt;=120079",'LANÇAMENTOS DIÁRIOS'!$P$5:$P$500,"&gt;=119980")&gt;0,"X","")</f>
      </c>
      <c r="AC61" s="56" t="str">
        <f>IF(COUNTIFS('LANÇAMENTOS DIÁRIOS'!$G$5:$G$500,"G",'LANÇAMENTOS DIÁRIOS'!$C$5:$C$500,$A61,'LANÇAMENTOS DIÁRIOS'!$O$5:$O$500,"&lt;=120179",'LANÇAMENTOS DIÁRIOS'!$P$5:$P$500,"&gt;=120080")&gt;0,"X","")</f>
      </c>
      <c r="AD61" s="56" t="str">
        <f>IF(COUNTIFS('LANÇAMENTOS DIÁRIOS'!$G$5:$G$500,"G",'LANÇAMENTOS DIÁRIOS'!$C$5:$C$500,$A61,'LANÇAMENTOS DIÁRIOS'!$O$5:$O$500,"&lt;=120279",'LANÇAMENTOS DIÁRIOS'!$P$5:$P$500,"&gt;=120180")&gt;0,"X","")</f>
      </c>
      <c r="AE61" s="56" t="str">
        <f>IF(COUNTIFS('LANÇAMENTOS DIÁRIOS'!$G$5:$G$500,"G",'LANÇAMENTOS DIÁRIOS'!$C$5:$C$500,$A61,'LANÇAMENTOS DIÁRIOS'!$O$5:$O$500,"&lt;=120379",'LANÇAMENTOS DIÁRIOS'!$P$5:$P$500,"&gt;=120280")&gt;0,"X","")</f>
      </c>
      <c r="AF61" s="56" t="str">
        <f>IF(COUNTIFS('LANÇAMENTOS DIÁRIOS'!$G$5:$G$500,"G",'LANÇAMENTOS DIÁRIOS'!$C$5:$C$500,$A61,'LANÇAMENTOS DIÁRIOS'!$O$5:$O$500,"&lt;=120479",'LANÇAMENTOS DIÁRIOS'!$P$5:$P$500,"&gt;=120380")&gt;0,"X","")</f>
      </c>
      <c r="AG61" s="56" t="str">
        <f>IF(COUNTIFS('LANÇAMENTOS DIÁRIOS'!$G$5:$G$500,"G",'LANÇAMENTOS DIÁRIOS'!$C$5:$C$500,$A61,'LANÇAMENTOS DIÁRIOS'!$O$5:$O$500,"&lt;=120579",'LANÇAMENTOS DIÁRIOS'!$P$5:$P$500,"&gt;=120480")&gt;0,"X","")</f>
      </c>
      <c r="AH61" s="56" t="str">
        <f>IF(COUNTIFS('LANÇAMENTOS DIÁRIOS'!$G$5:$G$500,"G",'LANÇAMENTOS DIÁRIOS'!$C$5:$C$500,$A61,'LANÇAMENTOS DIÁRIOS'!$O$5:$O$500,"&lt;=120679",'LANÇAMENTOS DIÁRIOS'!$P$5:$P$500,"&gt;=120580")&gt;0,"X","")</f>
      </c>
      <c r="AI61" s="56" t="str">
        <f>IF(COUNTIFS('LANÇAMENTOS DIÁRIOS'!$G$5:$G$500,"G",'LANÇAMENTOS DIÁRIOS'!$C$5:$C$500,$A61,'LANÇAMENTOS DIÁRIOS'!$O$5:$O$500,"&lt;=120779",'LANÇAMENTOS DIÁRIOS'!$P$5:$P$500,"&gt;=120680")&gt;0,"X","")</f>
      </c>
      <c r="AJ61" s="56" t="str">
        <f>IF(COUNTIFS('LANÇAMENTOS DIÁRIOS'!$G$5:$G$500,"G",'LANÇAMENTOS DIÁRIOS'!$C$5:$C$500,$A61,'LANÇAMENTOS DIÁRIOS'!$O$5:$O$500,"&lt;=120879",'LANÇAMENTOS DIÁRIOS'!$P$5:$P$500,"&gt;=120780")&gt;0,"X","")</f>
      </c>
      <c r="AK61" s="56" t="str">
        <f>IF(COUNTIFS('LANÇAMENTOS DIÁRIOS'!$G$5:$G$500,"G",'LANÇAMENTOS DIÁRIOS'!$C$5:$C$500,$A61,'LANÇAMENTOS DIÁRIOS'!$O$5:$O$500,"&lt;=120979",'LANÇAMENTOS DIÁRIOS'!$P$5:$P$500,"&gt;=120880")&gt;0,"X","")</f>
      </c>
      <c r="AL61" s="56" t="str">
        <f>IF(COUNTIFS('LANÇAMENTOS DIÁRIOS'!$G$5:$G$500,"G",'LANÇAMENTOS DIÁRIOS'!$C$5:$C$500,$A61,'LANÇAMENTOS DIÁRIOS'!$O$5:$O$500,"&lt;=121079",'LANÇAMENTOS DIÁRIOS'!$P$5:$P$500,"&gt;=120980")&gt;0,"X","")</f>
      </c>
      <c r="AM61" s="56" t="str">
        <f>IF(COUNTIFS('LANÇAMENTOS DIÁRIOS'!$G$5:$G$500,"G",'LANÇAMENTOS DIÁRIOS'!$C$5:$C$500,$A61,'LANÇAMENTOS DIÁRIOS'!$O$5:$O$500,"&lt;=121179",'LANÇAMENTOS DIÁRIOS'!$P$5:$P$500,"&gt;=121080")&gt;0,"X","")</f>
      </c>
      <c r="AN61" s="56" t="str">
        <f>IF(COUNTIFS('LANÇAMENTOS DIÁRIOS'!$G$5:$G$500,"G",'LANÇAMENTOS DIÁRIOS'!$C$5:$C$500,$A61,'LANÇAMENTOS DIÁRIOS'!$O$5:$O$500,"&lt;=121279",'LANÇAMENTOS DIÁRIOS'!$P$5:$P$500,"&gt;=121180")&gt;0,"X","")</f>
      </c>
      <c r="AO61" s="56" t="str">
        <f>IF(COUNTIFS('LANÇAMENTOS DIÁRIOS'!$G$5:$G$500,"G",'LANÇAMENTOS DIÁRIOS'!$C$5:$C$500,$A61,'LANÇAMENTOS DIÁRIOS'!$O$5:$O$500,"&lt;=121379",'LANÇAMENTOS DIÁRIOS'!$P$5:$P$500,"&gt;=121280")&gt;0,"X","")</f>
      </c>
      <c r="AP61" s="56" t="str">
        <f>IF(COUNTIFS('LANÇAMENTOS DIÁRIOS'!$G$5:$G$500,"G",'LANÇAMENTOS DIÁRIOS'!$C$5:$C$500,$A61,'LANÇAMENTOS DIÁRIOS'!$O$5:$O$500,"&lt;=121479",'LANÇAMENTOS DIÁRIOS'!$P$5:$P$500,"&gt;=121380")&gt;0,"X","")</f>
      </c>
      <c r="AQ61" s="56" t="str">
        <f>IF(COUNTIFS('LANÇAMENTOS DIÁRIOS'!$G$5:$G$500,"G",'LANÇAMENTOS DIÁRIOS'!$C$5:$C$500,$A61,'LANÇAMENTOS DIÁRIOS'!$O$5:$O$500,"&lt;=121579",'LANÇAMENTOS DIÁRIOS'!$P$5:$P$500,"&gt;=121480")&gt;0,"X","")</f>
      </c>
      <c r="AR61" s="56" t="str">
        <f>IF(COUNTIFS('LANÇAMENTOS DIÁRIOS'!$G$5:$G$500,"G",'LANÇAMENTOS DIÁRIOS'!$C$5:$C$500,$A61,'LANÇAMENTOS DIÁRIOS'!$O$5:$O$500,"&lt;=121679",'LANÇAMENTOS DIÁRIOS'!$P$5:$P$500,"&gt;=121580")&gt;0,"X","")</f>
      </c>
      <c r="AS61" s="56" t="str">
        <f>IF(COUNTIFS('LANÇAMENTOS DIÁRIOS'!$G$5:$G$500,"G",'LANÇAMENTOS DIÁRIOS'!$C$5:$C$500,$A61,'LANÇAMENTOS DIÁRIOS'!$O$5:$O$500,"&lt;=121779",'LANÇAMENTOS DIÁRIOS'!$P$5:$P$500,"&gt;=121680")&gt;0,"X","")</f>
      </c>
      <c r="AT61" s="56" t="str">
        <f>IF(COUNTIFS('LANÇAMENTOS DIÁRIOS'!$G$5:$G$500,"G",'LANÇAMENTOS DIÁRIOS'!$C$5:$C$500,$A61,'LANÇAMENTOS DIÁRIOS'!$O$5:$O$500,"&lt;=121879",'LANÇAMENTOS DIÁRIOS'!$P$5:$P$500,"&gt;=121780")&gt;0,"X","")</f>
      </c>
      <c r="AU61" s="56" t="str">
        <f>IF(COUNTIFS('LANÇAMENTOS DIÁRIOS'!$G$5:$G$500,"G",'LANÇAMENTOS DIÁRIOS'!$C$5:$C$500,$A61,'LANÇAMENTOS DIÁRIOS'!$O$5:$O$500,"&lt;=121979",'LANÇAMENTOS DIÁRIOS'!$P$5:$P$500,"&gt;=121880")&gt;0,"X","")</f>
      </c>
      <c r="AV61" s="56" t="str">
        <f>IF(COUNTIFS('LANÇAMENTOS DIÁRIOS'!$G$5:$G$500,"G",'LANÇAMENTOS DIÁRIOS'!$C$5:$C$500,$A61,'LANÇAMENTOS DIÁRIOS'!$O$5:$O$500,"&lt;=122079",'LANÇAMENTOS DIÁRIOS'!$P$5:$P$500,"&gt;=121980")&gt;0,"X","")</f>
      </c>
      <c r="AW61" s="56" t="str">
        <f>IF(COUNTIFS('LANÇAMENTOS DIÁRIOS'!$G$5:$G$500,"G",'LANÇAMENTOS DIÁRIOS'!$C$5:$C$500,$A61,'LANÇAMENTOS DIÁRIOS'!$O$5:$O$500,"&lt;=122179",'LANÇAMENTOS DIÁRIOS'!$P$5:$P$500,"&gt;=122080")&gt;0,"X","")</f>
      </c>
      <c r="AX61" s="56" t="str">
        <f>IF(COUNTIFS('LANÇAMENTOS DIÁRIOS'!$G$5:$G$500,"G",'LANÇAMENTOS DIÁRIOS'!$C$5:$C$500,$A61,'LANÇAMENTOS DIÁRIOS'!$O$5:$O$500,"&lt;=122279",'LANÇAMENTOS DIÁRIOS'!$P$5:$P$500,"&gt;=122180")&gt;0,"X","")</f>
      </c>
      <c r="AY61" s="56" t="str">
        <f>IF(COUNTIFS('LANÇAMENTOS DIÁRIOS'!$G$5:$G$500,"G",'LANÇAMENTOS DIÁRIOS'!$C$5:$C$500,$A61,'LANÇAMENTOS DIÁRIOS'!$O$5:$O$500,"&lt;=122379",'LANÇAMENTOS DIÁRIOS'!$P$5:$P$500,"&gt;=122280")&gt;0,"X","")</f>
      </c>
      <c r="AZ61" s="56" t="str">
        <f>IF(COUNTIFS('LANÇAMENTOS DIÁRIOS'!$G$5:$G$500,"G",'LANÇAMENTOS DIÁRIOS'!$C$5:$C$500,$A61,'LANÇAMENTOS DIÁRIOS'!$O$5:$O$500,"&lt;=122479",'LANÇAMENTOS DIÁRIOS'!$P$5:$P$500,"&gt;=122380")&gt;0,"X","")</f>
      </c>
      <c r="BA61" s="56" t="str">
        <f>IF(COUNTIFS('LANÇAMENTOS DIÁRIOS'!$G$5:$G$500,"G",'LANÇAMENTOS DIÁRIOS'!$C$5:$C$500,$A61,'LANÇAMENTOS DIÁRIOS'!$O$5:$O$500,"&lt;=122579",'LANÇAMENTOS DIÁRIOS'!$P$5:$P$500,"&gt;=122480")&gt;0,"X","")</f>
      </c>
      <c r="BB61" s="56" t="str">
        <f>IF(COUNTIFS('LANÇAMENTOS DIÁRIOS'!$G$5:$G$500,"G",'LANÇAMENTOS DIÁRIOS'!$C$5:$C$500,$A61,'LANÇAMENTOS DIÁRIOS'!$O$5:$O$500,"&lt;=122679",'LANÇAMENTOS DIÁRIOS'!$P$5:$P$500,"&gt;=122580")&gt;0,"X","")</f>
      </c>
      <c r="BC61" s="56" t="str">
        <f>IF(COUNTIFS('LANÇAMENTOS DIÁRIOS'!$G$5:$G$500,"G",'LANÇAMENTOS DIÁRIOS'!$C$5:$C$500,$A61,'LANÇAMENTOS DIÁRIOS'!$O$5:$O$500,"&lt;=122779",'LANÇAMENTOS DIÁRIOS'!$P$5:$P$500,"&gt;=122680")&gt;0,"X","")</f>
      </c>
      <c r="BD61" s="56" t="str">
        <f>IF(COUNTIFS('LANÇAMENTOS DIÁRIOS'!$G$5:$G$500,"G",'LANÇAMENTOS DIÁRIOS'!$C$5:$C$500,$A61,'LANÇAMENTOS DIÁRIOS'!$O$5:$O$500,"&lt;=122879",'LANÇAMENTOS DIÁRIOS'!$P$5:$P$500,"&gt;=122780")&gt;0,"X","")</f>
      </c>
      <c r="BE61" s="56" t="str">
        <f>IF(COUNTIFS('LANÇAMENTOS DIÁRIOS'!$G$5:$G$500,"G",'LANÇAMENTOS DIÁRIOS'!$C$5:$C$500,$A61,'LANÇAMENTOS DIÁRIOS'!$O$5:$O$500,"&lt;=122979",'LANÇAMENTOS DIÁRIOS'!$P$5:$P$500,"&gt;=122880")&gt;0,"X","")</f>
      </c>
      <c r="BF61" s="56" t="str">
        <f>IF(COUNTIFS('LANÇAMENTOS DIÁRIOS'!$G$5:$G$500,"G",'LANÇAMENTOS DIÁRIOS'!$C$5:$C$500,$A61,'LANÇAMENTOS DIÁRIOS'!$O$5:$O$500,"&lt;=123079",'LANÇAMENTOS DIÁRIOS'!$P$5:$P$500,"&gt;=122980")&gt;0,"X","")</f>
      </c>
      <c r="BG61" s="56" t="str">
        <f>IF(COUNTIFS('LANÇAMENTOS DIÁRIOS'!$G$5:$G$500,"G",'LANÇAMENTOS DIÁRIOS'!$C$5:$C$500,$A61,'LANÇAMENTOS DIÁRIOS'!$O$5:$O$500,"&lt;=123179",'LANÇAMENTOS DIÁRIOS'!$P$5:$P$500,"&gt;=123080")&gt;0,"X","")</f>
      </c>
      <c r="BH61" s="56" t="str">
        <f>IF(COUNTIFS('LANÇAMENTOS DIÁRIOS'!$G$5:$G$500,"G",'LANÇAMENTOS DIÁRIOS'!$C$5:$C$500,$A61,'LANÇAMENTOS DIÁRIOS'!$O$5:$O$500,"&lt;=123279",'LANÇAMENTOS DIÁRIOS'!$P$5:$P$500,"&gt;=123180")&gt;0,"X","")</f>
      </c>
      <c r="BI61" s="56" t="str">
        <f>IF(COUNTIFS('LANÇAMENTOS DIÁRIOS'!$G$5:$G$500,"G",'LANÇAMENTOS DIÁRIOS'!$C$5:$C$500,$A61,'LANÇAMENTOS DIÁRIOS'!$O$5:$O$500,"&lt;=123379",'LANÇAMENTOS DIÁRIOS'!$P$5:$P$500,"&gt;=123280")&gt;0,"X","")</f>
      </c>
      <c r="BJ61" s="56" t="str">
        <f>IF(COUNTIFS('LANÇAMENTOS DIÁRIOS'!$G$5:$G$500,"G",'LANÇAMENTOS DIÁRIOS'!$C$5:$C$500,$A61,'LANÇAMENTOS DIÁRIOS'!$O$5:$O$500,"&lt;=123479",'LANÇAMENTOS DIÁRIOS'!$P$5:$P$500,"&gt;=123380")&gt;0,"X","")</f>
      </c>
      <c r="BK61" s="56" t="str">
        <f>IF(COUNTIFS('LANÇAMENTOS DIÁRIOS'!$G$5:$G$500,"G",'LANÇAMENTOS DIÁRIOS'!$C$5:$C$500,$A61,'LANÇAMENTOS DIÁRIOS'!$O$5:$O$500,"&lt;=123480",'LANÇAMENTOS DIÁRIOS'!$P$5:$P$500,"&gt;=123480")&gt;0,"X","")</f>
      </c>
    </row>
    <row r="62">
      <c r="A62" s="51" t="str">
        <v>Regularização do subleito (*)</v>
      </c>
      <c r="B62" s="56" t="str">
        <f>IF(COUNTIFS('LANÇAMENTOS DIÁRIOS'!$G$5:$G$500,"G",'LANÇAMENTOS DIÁRIOS'!$C$5:$C$500,$A62,'LANÇAMENTOS DIÁRIOS'!$O$5:$O$500,"&lt;=117479",'LANÇAMENTOS DIÁRIOS'!$P$5:$P$500,"&gt;=117380")&gt;0,"X","")</f>
      </c>
      <c r="C62" s="56" t="str">
        <f>IF(COUNTIFS('LANÇAMENTOS DIÁRIOS'!$G$5:$G$500,"G",'LANÇAMENTOS DIÁRIOS'!$C$5:$C$500,$A62,'LANÇAMENTOS DIÁRIOS'!$O$5:$O$500,"&lt;=117579",'LANÇAMENTOS DIÁRIOS'!$P$5:$P$500,"&gt;=117480")&gt;0,"X","")</f>
      </c>
      <c r="D62" s="56" t="str">
        <f>IF(COUNTIFS('LANÇAMENTOS DIÁRIOS'!$G$5:$G$500,"G",'LANÇAMENTOS DIÁRIOS'!$C$5:$C$500,$A62,'LANÇAMENTOS DIÁRIOS'!$O$5:$O$500,"&lt;=117679",'LANÇAMENTOS DIÁRIOS'!$P$5:$P$500,"&gt;=117580")&gt;0,"X","")</f>
      </c>
      <c r="E62" s="56" t="str">
        <f>IF(COUNTIFS('LANÇAMENTOS DIÁRIOS'!$G$5:$G$500,"G",'LANÇAMENTOS DIÁRIOS'!$C$5:$C$500,$A62,'LANÇAMENTOS DIÁRIOS'!$O$5:$O$500,"&lt;=117779",'LANÇAMENTOS DIÁRIOS'!$P$5:$P$500,"&gt;=117680")&gt;0,"X","")</f>
      </c>
      <c r="F62" s="56" t="str">
        <f>IF(COUNTIFS('LANÇAMENTOS DIÁRIOS'!$G$5:$G$500,"G",'LANÇAMENTOS DIÁRIOS'!$C$5:$C$500,$A62,'LANÇAMENTOS DIÁRIOS'!$O$5:$O$500,"&lt;=117879",'LANÇAMENTOS DIÁRIOS'!$P$5:$P$500,"&gt;=117780")&gt;0,"X","")</f>
      </c>
      <c r="G62" s="56" t="str">
        <f>IF(COUNTIFS('LANÇAMENTOS DIÁRIOS'!$G$5:$G$500,"G",'LANÇAMENTOS DIÁRIOS'!$C$5:$C$500,$A62,'LANÇAMENTOS DIÁRIOS'!$O$5:$O$500,"&lt;=117979",'LANÇAMENTOS DIÁRIOS'!$P$5:$P$500,"&gt;=117880")&gt;0,"X","")</f>
      </c>
      <c r="H62" s="56" t="str">
        <f>IF(COUNTIFS('LANÇAMENTOS DIÁRIOS'!$G$5:$G$500,"G",'LANÇAMENTOS DIÁRIOS'!$C$5:$C$500,$A62,'LANÇAMENTOS DIÁRIOS'!$O$5:$O$500,"&lt;=118079",'LANÇAMENTOS DIÁRIOS'!$P$5:$P$500,"&gt;=117980")&gt;0,"X","")</f>
      </c>
      <c r="I62" s="56" t="str">
        <f>IF(COUNTIFS('LANÇAMENTOS DIÁRIOS'!$G$5:$G$500,"G",'LANÇAMENTOS DIÁRIOS'!$C$5:$C$500,$A62,'LANÇAMENTOS DIÁRIOS'!$O$5:$O$500,"&lt;=118179",'LANÇAMENTOS DIÁRIOS'!$P$5:$P$500,"&gt;=118080")&gt;0,"X","")</f>
      </c>
      <c r="J62" s="56" t="str">
        <f>IF(COUNTIFS('LANÇAMENTOS DIÁRIOS'!$G$5:$G$500,"G",'LANÇAMENTOS DIÁRIOS'!$C$5:$C$500,$A62,'LANÇAMENTOS DIÁRIOS'!$O$5:$O$500,"&lt;=118279",'LANÇAMENTOS DIÁRIOS'!$P$5:$P$500,"&gt;=118180")&gt;0,"X","")</f>
      </c>
      <c r="K62" s="56" t="str">
        <f>IF(COUNTIFS('LANÇAMENTOS DIÁRIOS'!$G$5:$G$500,"G",'LANÇAMENTOS DIÁRIOS'!$C$5:$C$500,$A62,'LANÇAMENTOS DIÁRIOS'!$O$5:$O$500,"&lt;=118379",'LANÇAMENTOS DIÁRIOS'!$P$5:$P$500,"&gt;=118280")&gt;0,"X","")</f>
      </c>
      <c r="L62" s="56" t="str">
        <f>IF(COUNTIFS('LANÇAMENTOS DIÁRIOS'!$G$5:$G$500,"G",'LANÇAMENTOS DIÁRIOS'!$C$5:$C$500,$A62,'LANÇAMENTOS DIÁRIOS'!$O$5:$O$500,"&lt;=118479",'LANÇAMENTOS DIÁRIOS'!$P$5:$P$500,"&gt;=118380")&gt;0,"X","")</f>
      </c>
      <c r="M62" s="56" t="str">
        <f>IF(COUNTIFS('LANÇAMENTOS DIÁRIOS'!$G$5:$G$500,"G",'LANÇAMENTOS DIÁRIOS'!$C$5:$C$500,$A62,'LANÇAMENTOS DIÁRIOS'!$O$5:$O$500,"&lt;=118579",'LANÇAMENTOS DIÁRIOS'!$P$5:$P$500,"&gt;=118480")&gt;0,"X","")</f>
      </c>
      <c r="N62" s="56" t="str">
        <f>IF(COUNTIFS('LANÇAMENTOS DIÁRIOS'!$G$5:$G$500,"G",'LANÇAMENTOS DIÁRIOS'!$C$5:$C$500,$A62,'LANÇAMENTOS DIÁRIOS'!$O$5:$O$500,"&lt;=118679",'LANÇAMENTOS DIÁRIOS'!$P$5:$P$500,"&gt;=118580")&gt;0,"X","")</f>
      </c>
      <c r="O62" s="56" t="str">
        <f>IF(COUNTIFS('LANÇAMENTOS DIÁRIOS'!$G$5:$G$500,"G",'LANÇAMENTOS DIÁRIOS'!$C$5:$C$500,$A62,'LANÇAMENTOS DIÁRIOS'!$O$5:$O$500,"&lt;=118779",'LANÇAMENTOS DIÁRIOS'!$P$5:$P$500,"&gt;=118680")&gt;0,"X","")</f>
      </c>
      <c r="P62" s="56" t="str">
        <f>IF(COUNTIFS('LANÇAMENTOS DIÁRIOS'!$G$5:$G$500,"G",'LANÇAMENTOS DIÁRIOS'!$C$5:$C$500,$A62,'LANÇAMENTOS DIÁRIOS'!$O$5:$O$500,"&lt;=118879",'LANÇAMENTOS DIÁRIOS'!$P$5:$P$500,"&gt;=118780")&gt;0,"X","")</f>
      </c>
      <c r="Q62" s="56" t="str">
        <f>IF(COUNTIFS('LANÇAMENTOS DIÁRIOS'!$G$5:$G$500,"G",'LANÇAMENTOS DIÁRIOS'!$C$5:$C$500,$A62,'LANÇAMENTOS DIÁRIOS'!$O$5:$O$500,"&lt;=118979",'LANÇAMENTOS DIÁRIOS'!$P$5:$P$500,"&gt;=118880")&gt;0,"X","")</f>
      </c>
      <c r="R62" s="56" t="str">
        <f>IF(COUNTIFS('LANÇAMENTOS DIÁRIOS'!$G$5:$G$500,"G",'LANÇAMENTOS DIÁRIOS'!$C$5:$C$500,$A62,'LANÇAMENTOS DIÁRIOS'!$O$5:$O$500,"&lt;=119079",'LANÇAMENTOS DIÁRIOS'!$P$5:$P$500,"&gt;=118980")&gt;0,"X","")</f>
      </c>
      <c r="S62" s="56" t="str">
        <f>IF(COUNTIFS('LANÇAMENTOS DIÁRIOS'!$G$5:$G$500,"G",'LANÇAMENTOS DIÁRIOS'!$C$5:$C$500,$A62,'LANÇAMENTOS DIÁRIOS'!$O$5:$O$500,"&lt;=119179",'LANÇAMENTOS DIÁRIOS'!$P$5:$P$500,"&gt;=119080")&gt;0,"X","")</f>
      </c>
      <c r="T62" s="56" t="str">
        <f>IF(COUNTIFS('LANÇAMENTOS DIÁRIOS'!$G$5:$G$500,"G",'LANÇAMENTOS DIÁRIOS'!$C$5:$C$500,$A62,'LANÇAMENTOS DIÁRIOS'!$O$5:$O$500,"&lt;=119279",'LANÇAMENTOS DIÁRIOS'!$P$5:$P$500,"&gt;=119180")&gt;0,"X","")</f>
      </c>
      <c r="U62" s="56" t="str">
        <f>IF(COUNTIFS('LANÇAMENTOS DIÁRIOS'!$G$5:$G$500,"G",'LANÇAMENTOS DIÁRIOS'!$C$5:$C$500,$A62,'LANÇAMENTOS DIÁRIOS'!$O$5:$O$500,"&lt;=119379",'LANÇAMENTOS DIÁRIOS'!$P$5:$P$500,"&gt;=119280")&gt;0,"X","")</f>
      </c>
      <c r="V62" s="56" t="str">
        <f>IF(COUNTIFS('LANÇAMENTOS DIÁRIOS'!$G$5:$G$500,"G",'LANÇAMENTOS DIÁRIOS'!$C$5:$C$500,$A62,'LANÇAMENTOS DIÁRIOS'!$O$5:$O$500,"&lt;=119479",'LANÇAMENTOS DIÁRIOS'!$P$5:$P$500,"&gt;=119380")&gt;0,"X","")</f>
      </c>
      <c r="W62" s="56" t="str">
        <f>IF(COUNTIFS('LANÇAMENTOS DIÁRIOS'!$G$5:$G$500,"G",'LANÇAMENTOS DIÁRIOS'!$C$5:$C$500,$A62,'LANÇAMENTOS DIÁRIOS'!$O$5:$O$500,"&lt;=119579",'LANÇAMENTOS DIÁRIOS'!$P$5:$P$500,"&gt;=119480")&gt;0,"X","")</f>
      </c>
      <c r="X62" s="56" t="str">
        <f>IF(COUNTIFS('LANÇAMENTOS DIÁRIOS'!$G$5:$G$500,"G",'LANÇAMENTOS DIÁRIOS'!$C$5:$C$500,$A62,'LANÇAMENTOS DIÁRIOS'!$O$5:$O$500,"&lt;=119679",'LANÇAMENTOS DIÁRIOS'!$P$5:$P$500,"&gt;=119580")&gt;0,"X","")</f>
      </c>
      <c r="Y62" s="56" t="str">
        <f>IF(COUNTIFS('LANÇAMENTOS DIÁRIOS'!$G$5:$G$500,"G",'LANÇAMENTOS DIÁRIOS'!$C$5:$C$500,$A62,'LANÇAMENTOS DIÁRIOS'!$O$5:$O$500,"&lt;=119779",'LANÇAMENTOS DIÁRIOS'!$P$5:$P$500,"&gt;=119680")&gt;0,"X","")</f>
      </c>
      <c r="Z62" s="56" t="str">
        <f>IF(COUNTIFS('LANÇAMENTOS DIÁRIOS'!$G$5:$G$500,"G",'LANÇAMENTOS DIÁRIOS'!$C$5:$C$500,$A62,'LANÇAMENTOS DIÁRIOS'!$O$5:$O$500,"&lt;=119879",'LANÇAMENTOS DIÁRIOS'!$P$5:$P$500,"&gt;=119780")&gt;0,"X","")</f>
      </c>
      <c r="AA62" s="56" t="str">
        <f>IF(COUNTIFS('LANÇAMENTOS DIÁRIOS'!$G$5:$G$500,"G",'LANÇAMENTOS DIÁRIOS'!$C$5:$C$500,$A62,'LANÇAMENTOS DIÁRIOS'!$O$5:$O$500,"&lt;=119979",'LANÇAMENTOS DIÁRIOS'!$P$5:$P$500,"&gt;=119880")&gt;0,"X","")</f>
      </c>
      <c r="AB62" s="56" t="str">
        <f>IF(COUNTIFS('LANÇAMENTOS DIÁRIOS'!$G$5:$G$500,"G",'LANÇAMENTOS DIÁRIOS'!$C$5:$C$500,$A62,'LANÇAMENTOS DIÁRIOS'!$O$5:$O$500,"&lt;=120079",'LANÇAMENTOS DIÁRIOS'!$P$5:$P$500,"&gt;=119980")&gt;0,"X","")</f>
      </c>
      <c r="AC62" s="56" t="str">
        <f>IF(COUNTIFS('LANÇAMENTOS DIÁRIOS'!$G$5:$G$500,"G",'LANÇAMENTOS DIÁRIOS'!$C$5:$C$500,$A62,'LANÇAMENTOS DIÁRIOS'!$O$5:$O$500,"&lt;=120179",'LANÇAMENTOS DIÁRIOS'!$P$5:$P$500,"&gt;=120080")&gt;0,"X","")</f>
      </c>
      <c r="AD62" s="56" t="str">
        <f>IF(COUNTIFS('LANÇAMENTOS DIÁRIOS'!$G$5:$G$500,"G",'LANÇAMENTOS DIÁRIOS'!$C$5:$C$500,$A62,'LANÇAMENTOS DIÁRIOS'!$O$5:$O$500,"&lt;=120279",'LANÇAMENTOS DIÁRIOS'!$P$5:$P$500,"&gt;=120180")&gt;0,"X","")</f>
      </c>
      <c r="AE62" s="56" t="str">
        <f>IF(COUNTIFS('LANÇAMENTOS DIÁRIOS'!$G$5:$G$500,"G",'LANÇAMENTOS DIÁRIOS'!$C$5:$C$500,$A62,'LANÇAMENTOS DIÁRIOS'!$O$5:$O$500,"&lt;=120379",'LANÇAMENTOS DIÁRIOS'!$P$5:$P$500,"&gt;=120280")&gt;0,"X","")</f>
      </c>
      <c r="AF62" s="56" t="str">
        <f>IF(COUNTIFS('LANÇAMENTOS DIÁRIOS'!$G$5:$G$500,"G",'LANÇAMENTOS DIÁRIOS'!$C$5:$C$500,$A62,'LANÇAMENTOS DIÁRIOS'!$O$5:$O$500,"&lt;=120479",'LANÇAMENTOS DIÁRIOS'!$P$5:$P$500,"&gt;=120380")&gt;0,"X","")</f>
      </c>
      <c r="AG62" s="56" t="str">
        <f>IF(COUNTIFS('LANÇAMENTOS DIÁRIOS'!$G$5:$G$500,"G",'LANÇAMENTOS DIÁRIOS'!$C$5:$C$500,$A62,'LANÇAMENTOS DIÁRIOS'!$O$5:$O$500,"&lt;=120579",'LANÇAMENTOS DIÁRIOS'!$P$5:$P$500,"&gt;=120480")&gt;0,"X","")</f>
      </c>
      <c r="AH62" s="56" t="str">
        <f>IF(COUNTIFS('LANÇAMENTOS DIÁRIOS'!$G$5:$G$500,"G",'LANÇAMENTOS DIÁRIOS'!$C$5:$C$500,$A62,'LANÇAMENTOS DIÁRIOS'!$O$5:$O$500,"&lt;=120679",'LANÇAMENTOS DIÁRIOS'!$P$5:$P$500,"&gt;=120580")&gt;0,"X","")</f>
      </c>
      <c r="AI62" s="56" t="str">
        <f>IF(COUNTIFS('LANÇAMENTOS DIÁRIOS'!$G$5:$G$500,"G",'LANÇAMENTOS DIÁRIOS'!$C$5:$C$500,$A62,'LANÇAMENTOS DIÁRIOS'!$O$5:$O$500,"&lt;=120779",'LANÇAMENTOS DIÁRIOS'!$P$5:$P$500,"&gt;=120680")&gt;0,"X","")</f>
      </c>
      <c r="AJ62" s="56" t="str">
        <f>IF(COUNTIFS('LANÇAMENTOS DIÁRIOS'!$G$5:$G$500,"G",'LANÇAMENTOS DIÁRIOS'!$C$5:$C$500,$A62,'LANÇAMENTOS DIÁRIOS'!$O$5:$O$500,"&lt;=120879",'LANÇAMENTOS DIÁRIOS'!$P$5:$P$500,"&gt;=120780")&gt;0,"X","")</f>
      </c>
      <c r="AK62" s="56" t="str">
        <f>IF(COUNTIFS('LANÇAMENTOS DIÁRIOS'!$G$5:$G$500,"G",'LANÇAMENTOS DIÁRIOS'!$C$5:$C$500,$A62,'LANÇAMENTOS DIÁRIOS'!$O$5:$O$500,"&lt;=120979",'LANÇAMENTOS DIÁRIOS'!$P$5:$P$500,"&gt;=120880")&gt;0,"X","")</f>
      </c>
      <c r="AL62" s="56" t="str">
        <f>IF(COUNTIFS('LANÇAMENTOS DIÁRIOS'!$G$5:$G$500,"G",'LANÇAMENTOS DIÁRIOS'!$C$5:$C$500,$A62,'LANÇAMENTOS DIÁRIOS'!$O$5:$O$500,"&lt;=121079",'LANÇAMENTOS DIÁRIOS'!$P$5:$P$500,"&gt;=120980")&gt;0,"X","")</f>
      </c>
      <c r="AM62" s="56" t="str">
        <f>IF(COUNTIFS('LANÇAMENTOS DIÁRIOS'!$G$5:$G$500,"G",'LANÇAMENTOS DIÁRIOS'!$C$5:$C$500,$A62,'LANÇAMENTOS DIÁRIOS'!$O$5:$O$500,"&lt;=121179",'LANÇAMENTOS DIÁRIOS'!$P$5:$P$500,"&gt;=121080")&gt;0,"X","")</f>
      </c>
      <c r="AN62" s="56" t="str">
        <f>IF(COUNTIFS('LANÇAMENTOS DIÁRIOS'!$G$5:$G$500,"G",'LANÇAMENTOS DIÁRIOS'!$C$5:$C$500,$A62,'LANÇAMENTOS DIÁRIOS'!$O$5:$O$500,"&lt;=121279",'LANÇAMENTOS DIÁRIOS'!$P$5:$P$500,"&gt;=121180")&gt;0,"X","")</f>
      </c>
      <c r="AO62" s="56" t="str">
        <f>IF(COUNTIFS('LANÇAMENTOS DIÁRIOS'!$G$5:$G$500,"G",'LANÇAMENTOS DIÁRIOS'!$C$5:$C$500,$A62,'LANÇAMENTOS DIÁRIOS'!$O$5:$O$500,"&lt;=121379",'LANÇAMENTOS DIÁRIOS'!$P$5:$P$500,"&gt;=121280")&gt;0,"X","")</f>
      </c>
      <c r="AP62" s="56" t="str">
        <f>IF(COUNTIFS('LANÇAMENTOS DIÁRIOS'!$G$5:$G$500,"G",'LANÇAMENTOS DIÁRIOS'!$C$5:$C$500,$A62,'LANÇAMENTOS DIÁRIOS'!$O$5:$O$500,"&lt;=121479",'LANÇAMENTOS DIÁRIOS'!$P$5:$P$500,"&gt;=121380")&gt;0,"X","")</f>
      </c>
      <c r="AQ62" s="56" t="str">
        <f>IF(COUNTIFS('LANÇAMENTOS DIÁRIOS'!$G$5:$G$500,"G",'LANÇAMENTOS DIÁRIOS'!$C$5:$C$500,$A62,'LANÇAMENTOS DIÁRIOS'!$O$5:$O$500,"&lt;=121579",'LANÇAMENTOS DIÁRIOS'!$P$5:$P$500,"&gt;=121480")&gt;0,"X","")</f>
      </c>
      <c r="AR62" s="56" t="str">
        <f>IF(COUNTIFS('LANÇAMENTOS DIÁRIOS'!$G$5:$G$500,"G",'LANÇAMENTOS DIÁRIOS'!$C$5:$C$500,$A62,'LANÇAMENTOS DIÁRIOS'!$O$5:$O$500,"&lt;=121679",'LANÇAMENTOS DIÁRIOS'!$P$5:$P$500,"&gt;=121580")&gt;0,"X","")</f>
      </c>
      <c r="AS62" s="56" t="str">
        <f>IF(COUNTIFS('LANÇAMENTOS DIÁRIOS'!$G$5:$G$500,"G",'LANÇAMENTOS DIÁRIOS'!$C$5:$C$500,$A62,'LANÇAMENTOS DIÁRIOS'!$O$5:$O$500,"&lt;=121779",'LANÇAMENTOS DIÁRIOS'!$P$5:$P$500,"&gt;=121680")&gt;0,"X","")</f>
      </c>
      <c r="AT62" s="56" t="str">
        <f>IF(COUNTIFS('LANÇAMENTOS DIÁRIOS'!$G$5:$G$500,"G",'LANÇAMENTOS DIÁRIOS'!$C$5:$C$500,$A62,'LANÇAMENTOS DIÁRIOS'!$O$5:$O$500,"&lt;=121879",'LANÇAMENTOS DIÁRIOS'!$P$5:$P$500,"&gt;=121780")&gt;0,"X","")</f>
      </c>
      <c r="AU62" s="56" t="str">
        <f>IF(COUNTIFS('LANÇAMENTOS DIÁRIOS'!$G$5:$G$500,"G",'LANÇAMENTOS DIÁRIOS'!$C$5:$C$500,$A62,'LANÇAMENTOS DIÁRIOS'!$O$5:$O$500,"&lt;=121979",'LANÇAMENTOS DIÁRIOS'!$P$5:$P$500,"&gt;=121880")&gt;0,"X","")</f>
      </c>
      <c r="AV62" s="56" t="str">
        <f>IF(COUNTIFS('LANÇAMENTOS DIÁRIOS'!$G$5:$G$500,"G",'LANÇAMENTOS DIÁRIOS'!$C$5:$C$500,$A62,'LANÇAMENTOS DIÁRIOS'!$O$5:$O$500,"&lt;=122079",'LANÇAMENTOS DIÁRIOS'!$P$5:$P$500,"&gt;=121980")&gt;0,"X","")</f>
      </c>
      <c r="AW62" s="56" t="str">
        <f>IF(COUNTIFS('LANÇAMENTOS DIÁRIOS'!$G$5:$G$500,"G",'LANÇAMENTOS DIÁRIOS'!$C$5:$C$500,$A62,'LANÇAMENTOS DIÁRIOS'!$O$5:$O$500,"&lt;=122179",'LANÇAMENTOS DIÁRIOS'!$P$5:$P$500,"&gt;=122080")&gt;0,"X","")</f>
      </c>
      <c r="AX62" s="56" t="str">
        <f>IF(COUNTIFS('LANÇAMENTOS DIÁRIOS'!$G$5:$G$500,"G",'LANÇAMENTOS DIÁRIOS'!$C$5:$C$500,$A62,'LANÇAMENTOS DIÁRIOS'!$O$5:$O$500,"&lt;=122279",'LANÇAMENTOS DIÁRIOS'!$P$5:$P$500,"&gt;=122180")&gt;0,"X","")</f>
      </c>
      <c r="AY62" s="56" t="str">
        <f>IF(COUNTIFS('LANÇAMENTOS DIÁRIOS'!$G$5:$G$500,"G",'LANÇAMENTOS DIÁRIOS'!$C$5:$C$500,$A62,'LANÇAMENTOS DIÁRIOS'!$O$5:$O$500,"&lt;=122379",'LANÇAMENTOS DIÁRIOS'!$P$5:$P$500,"&gt;=122280")&gt;0,"X","")</f>
      </c>
      <c r="AZ62" s="56" t="str">
        <f>IF(COUNTIFS('LANÇAMENTOS DIÁRIOS'!$G$5:$G$500,"G",'LANÇAMENTOS DIÁRIOS'!$C$5:$C$500,$A62,'LANÇAMENTOS DIÁRIOS'!$O$5:$O$500,"&lt;=122479",'LANÇAMENTOS DIÁRIOS'!$P$5:$P$500,"&gt;=122380")&gt;0,"X","")</f>
      </c>
      <c r="BA62" s="56" t="str">
        <f>IF(COUNTIFS('LANÇAMENTOS DIÁRIOS'!$G$5:$G$500,"G",'LANÇAMENTOS DIÁRIOS'!$C$5:$C$500,$A62,'LANÇAMENTOS DIÁRIOS'!$O$5:$O$500,"&lt;=122579",'LANÇAMENTOS DIÁRIOS'!$P$5:$P$500,"&gt;=122480")&gt;0,"X","")</f>
      </c>
      <c r="BB62" s="56" t="str">
        <f>IF(COUNTIFS('LANÇAMENTOS DIÁRIOS'!$G$5:$G$500,"G",'LANÇAMENTOS DIÁRIOS'!$C$5:$C$500,$A62,'LANÇAMENTOS DIÁRIOS'!$O$5:$O$500,"&lt;=122679",'LANÇAMENTOS DIÁRIOS'!$P$5:$P$500,"&gt;=122580")&gt;0,"X","")</f>
      </c>
      <c r="BC62" s="56" t="str">
        <f>IF(COUNTIFS('LANÇAMENTOS DIÁRIOS'!$G$5:$G$500,"G",'LANÇAMENTOS DIÁRIOS'!$C$5:$C$500,$A62,'LANÇAMENTOS DIÁRIOS'!$O$5:$O$500,"&lt;=122779",'LANÇAMENTOS DIÁRIOS'!$P$5:$P$500,"&gt;=122680")&gt;0,"X","")</f>
      </c>
      <c r="BD62" s="56" t="str">
        <f>IF(COUNTIFS('LANÇAMENTOS DIÁRIOS'!$G$5:$G$500,"G",'LANÇAMENTOS DIÁRIOS'!$C$5:$C$500,$A62,'LANÇAMENTOS DIÁRIOS'!$O$5:$O$500,"&lt;=122879",'LANÇAMENTOS DIÁRIOS'!$P$5:$P$500,"&gt;=122780")&gt;0,"X","")</f>
      </c>
      <c r="BE62" s="56" t="str">
        <f>IF(COUNTIFS('LANÇAMENTOS DIÁRIOS'!$G$5:$G$500,"G",'LANÇAMENTOS DIÁRIOS'!$C$5:$C$500,$A62,'LANÇAMENTOS DIÁRIOS'!$O$5:$O$500,"&lt;=122979",'LANÇAMENTOS DIÁRIOS'!$P$5:$P$500,"&gt;=122880")&gt;0,"X","")</f>
      </c>
      <c r="BF62" s="56" t="str">
        <f>IF(COUNTIFS('LANÇAMENTOS DIÁRIOS'!$G$5:$G$500,"G",'LANÇAMENTOS DIÁRIOS'!$C$5:$C$500,$A62,'LANÇAMENTOS DIÁRIOS'!$O$5:$O$500,"&lt;=123079",'LANÇAMENTOS DIÁRIOS'!$P$5:$P$500,"&gt;=122980")&gt;0,"X","")</f>
      </c>
      <c r="BG62" s="56" t="str">
        <f>IF(COUNTIFS('LANÇAMENTOS DIÁRIOS'!$G$5:$G$500,"G",'LANÇAMENTOS DIÁRIOS'!$C$5:$C$500,$A62,'LANÇAMENTOS DIÁRIOS'!$O$5:$O$500,"&lt;=123179",'LANÇAMENTOS DIÁRIOS'!$P$5:$P$500,"&gt;=123080")&gt;0,"X","")</f>
      </c>
      <c r="BH62" s="56" t="str">
        <f>IF(COUNTIFS('LANÇAMENTOS DIÁRIOS'!$G$5:$G$500,"G",'LANÇAMENTOS DIÁRIOS'!$C$5:$C$500,$A62,'LANÇAMENTOS DIÁRIOS'!$O$5:$O$500,"&lt;=123279",'LANÇAMENTOS DIÁRIOS'!$P$5:$P$500,"&gt;=123180")&gt;0,"X","")</f>
      </c>
      <c r="BI62" s="56" t="str">
        <f>IF(COUNTIFS('LANÇAMENTOS DIÁRIOS'!$G$5:$G$500,"G",'LANÇAMENTOS DIÁRIOS'!$C$5:$C$500,$A62,'LANÇAMENTOS DIÁRIOS'!$O$5:$O$500,"&lt;=123379",'LANÇAMENTOS DIÁRIOS'!$P$5:$P$500,"&gt;=123280")&gt;0,"X","")</f>
      </c>
      <c r="BJ62" s="56" t="str">
        <f>IF(COUNTIFS('LANÇAMENTOS DIÁRIOS'!$G$5:$G$500,"G",'LANÇAMENTOS DIÁRIOS'!$C$5:$C$500,$A62,'LANÇAMENTOS DIÁRIOS'!$O$5:$O$500,"&lt;=123479",'LANÇAMENTOS DIÁRIOS'!$P$5:$P$500,"&gt;=123380")&gt;0,"X","")</f>
      </c>
      <c r="BK62" s="56" t="str">
        <f>IF(COUNTIFS('LANÇAMENTOS DIÁRIOS'!$G$5:$G$500,"G",'LANÇAMENTOS DIÁRIOS'!$C$5:$C$500,$A62,'LANÇAMENTOS DIÁRIOS'!$O$5:$O$500,"&lt;=123480",'LANÇAMENTOS DIÁRIOS'!$P$5:$P$500,"&gt;=123480")&gt;0,"X","")</f>
      </c>
    </row>
    <row r="63">
      <c r="A63" s="51" t="str">
        <v>Compactação de aterro a 100% do proctor intermediário (*)</v>
      </c>
      <c r="B63" s="56" t="str">
        <f>IF(COUNTIFS('LANÇAMENTOS DIÁRIOS'!$G$5:$G$500,"G",'LANÇAMENTOS DIÁRIOS'!$C$5:$C$500,$A63,'LANÇAMENTOS DIÁRIOS'!$O$5:$O$500,"&lt;=117479",'LANÇAMENTOS DIÁRIOS'!$P$5:$P$500,"&gt;=117380")&gt;0,"X","")</f>
      </c>
      <c r="C63" s="56" t="str">
        <f>IF(COUNTIFS('LANÇAMENTOS DIÁRIOS'!$G$5:$G$500,"G",'LANÇAMENTOS DIÁRIOS'!$C$5:$C$500,$A63,'LANÇAMENTOS DIÁRIOS'!$O$5:$O$500,"&lt;=117579",'LANÇAMENTOS DIÁRIOS'!$P$5:$P$500,"&gt;=117480")&gt;0,"X","")</f>
      </c>
      <c r="D63" s="56" t="str">
        <f>IF(COUNTIFS('LANÇAMENTOS DIÁRIOS'!$G$5:$G$500,"G",'LANÇAMENTOS DIÁRIOS'!$C$5:$C$500,$A63,'LANÇAMENTOS DIÁRIOS'!$O$5:$O$500,"&lt;=117679",'LANÇAMENTOS DIÁRIOS'!$P$5:$P$500,"&gt;=117580")&gt;0,"X","")</f>
      </c>
      <c r="E63" s="56" t="str">
        <f>IF(COUNTIFS('LANÇAMENTOS DIÁRIOS'!$G$5:$G$500,"G",'LANÇAMENTOS DIÁRIOS'!$C$5:$C$500,$A63,'LANÇAMENTOS DIÁRIOS'!$O$5:$O$500,"&lt;=117779",'LANÇAMENTOS DIÁRIOS'!$P$5:$P$500,"&gt;=117680")&gt;0,"X","")</f>
      </c>
      <c r="F63" s="56" t="str">
        <f>IF(COUNTIFS('LANÇAMENTOS DIÁRIOS'!$G$5:$G$500,"G",'LANÇAMENTOS DIÁRIOS'!$C$5:$C$500,$A63,'LANÇAMENTOS DIÁRIOS'!$O$5:$O$500,"&lt;=117879",'LANÇAMENTOS DIÁRIOS'!$P$5:$P$500,"&gt;=117780")&gt;0,"X","")</f>
      </c>
      <c r="G63" s="56" t="str">
        <f>IF(COUNTIFS('LANÇAMENTOS DIÁRIOS'!$G$5:$G$500,"G",'LANÇAMENTOS DIÁRIOS'!$C$5:$C$500,$A63,'LANÇAMENTOS DIÁRIOS'!$O$5:$O$500,"&lt;=117979",'LANÇAMENTOS DIÁRIOS'!$P$5:$P$500,"&gt;=117880")&gt;0,"X","")</f>
      </c>
      <c r="H63" s="56" t="str">
        <f>IF(COUNTIFS('LANÇAMENTOS DIÁRIOS'!$G$5:$G$500,"G",'LANÇAMENTOS DIÁRIOS'!$C$5:$C$500,$A63,'LANÇAMENTOS DIÁRIOS'!$O$5:$O$500,"&lt;=118079",'LANÇAMENTOS DIÁRIOS'!$P$5:$P$500,"&gt;=117980")&gt;0,"X","")</f>
      </c>
      <c r="I63" s="56" t="str">
        <f>IF(COUNTIFS('LANÇAMENTOS DIÁRIOS'!$G$5:$G$500,"G",'LANÇAMENTOS DIÁRIOS'!$C$5:$C$500,$A63,'LANÇAMENTOS DIÁRIOS'!$O$5:$O$500,"&lt;=118179",'LANÇAMENTOS DIÁRIOS'!$P$5:$P$500,"&gt;=118080")&gt;0,"X","")</f>
      </c>
      <c r="J63" s="56" t="str">
        <f>IF(COUNTIFS('LANÇAMENTOS DIÁRIOS'!$G$5:$G$500,"G",'LANÇAMENTOS DIÁRIOS'!$C$5:$C$500,$A63,'LANÇAMENTOS DIÁRIOS'!$O$5:$O$500,"&lt;=118279",'LANÇAMENTOS DIÁRIOS'!$P$5:$P$500,"&gt;=118180")&gt;0,"X","")</f>
      </c>
      <c r="K63" s="56" t="str">
        <f>IF(COUNTIFS('LANÇAMENTOS DIÁRIOS'!$G$5:$G$500,"G",'LANÇAMENTOS DIÁRIOS'!$C$5:$C$500,$A63,'LANÇAMENTOS DIÁRIOS'!$O$5:$O$500,"&lt;=118379",'LANÇAMENTOS DIÁRIOS'!$P$5:$P$500,"&gt;=118280")&gt;0,"X","")</f>
      </c>
      <c r="L63" s="56" t="str">
        <f>IF(COUNTIFS('LANÇAMENTOS DIÁRIOS'!$G$5:$G$500,"G",'LANÇAMENTOS DIÁRIOS'!$C$5:$C$500,$A63,'LANÇAMENTOS DIÁRIOS'!$O$5:$O$500,"&lt;=118479",'LANÇAMENTOS DIÁRIOS'!$P$5:$P$500,"&gt;=118380")&gt;0,"X","")</f>
      </c>
      <c r="M63" s="56" t="str">
        <f>IF(COUNTIFS('LANÇAMENTOS DIÁRIOS'!$G$5:$G$500,"G",'LANÇAMENTOS DIÁRIOS'!$C$5:$C$500,$A63,'LANÇAMENTOS DIÁRIOS'!$O$5:$O$500,"&lt;=118579",'LANÇAMENTOS DIÁRIOS'!$P$5:$P$500,"&gt;=118480")&gt;0,"X","")</f>
      </c>
      <c r="N63" s="56" t="str">
        <f>IF(COUNTIFS('LANÇAMENTOS DIÁRIOS'!$G$5:$G$500,"G",'LANÇAMENTOS DIÁRIOS'!$C$5:$C$500,$A63,'LANÇAMENTOS DIÁRIOS'!$O$5:$O$500,"&lt;=118679",'LANÇAMENTOS DIÁRIOS'!$P$5:$P$500,"&gt;=118580")&gt;0,"X","")</f>
      </c>
      <c r="O63" s="56" t="str">
        <f>IF(COUNTIFS('LANÇAMENTOS DIÁRIOS'!$G$5:$G$500,"G",'LANÇAMENTOS DIÁRIOS'!$C$5:$C$500,$A63,'LANÇAMENTOS DIÁRIOS'!$O$5:$O$500,"&lt;=118779",'LANÇAMENTOS DIÁRIOS'!$P$5:$P$500,"&gt;=118680")&gt;0,"X","")</f>
      </c>
      <c r="P63" s="56" t="str">
        <f>IF(COUNTIFS('LANÇAMENTOS DIÁRIOS'!$G$5:$G$500,"G",'LANÇAMENTOS DIÁRIOS'!$C$5:$C$500,$A63,'LANÇAMENTOS DIÁRIOS'!$O$5:$O$500,"&lt;=118879",'LANÇAMENTOS DIÁRIOS'!$P$5:$P$500,"&gt;=118780")&gt;0,"X","")</f>
      </c>
      <c r="Q63" s="56" t="str">
        <f>IF(COUNTIFS('LANÇAMENTOS DIÁRIOS'!$G$5:$G$500,"G",'LANÇAMENTOS DIÁRIOS'!$C$5:$C$500,$A63,'LANÇAMENTOS DIÁRIOS'!$O$5:$O$500,"&lt;=118979",'LANÇAMENTOS DIÁRIOS'!$P$5:$P$500,"&gt;=118880")&gt;0,"X","")</f>
      </c>
      <c r="R63" s="56" t="str">
        <f>IF(COUNTIFS('LANÇAMENTOS DIÁRIOS'!$G$5:$G$500,"G",'LANÇAMENTOS DIÁRIOS'!$C$5:$C$500,$A63,'LANÇAMENTOS DIÁRIOS'!$O$5:$O$500,"&lt;=119079",'LANÇAMENTOS DIÁRIOS'!$P$5:$P$500,"&gt;=118980")&gt;0,"X","")</f>
      </c>
      <c r="S63" s="56" t="str">
        <f>IF(COUNTIFS('LANÇAMENTOS DIÁRIOS'!$G$5:$G$500,"G",'LANÇAMENTOS DIÁRIOS'!$C$5:$C$500,$A63,'LANÇAMENTOS DIÁRIOS'!$O$5:$O$500,"&lt;=119179",'LANÇAMENTOS DIÁRIOS'!$P$5:$P$500,"&gt;=119080")&gt;0,"X","")</f>
      </c>
      <c r="T63" s="56" t="str">
        <f>IF(COUNTIFS('LANÇAMENTOS DIÁRIOS'!$G$5:$G$500,"G",'LANÇAMENTOS DIÁRIOS'!$C$5:$C$500,$A63,'LANÇAMENTOS DIÁRIOS'!$O$5:$O$500,"&lt;=119279",'LANÇAMENTOS DIÁRIOS'!$P$5:$P$500,"&gt;=119180")&gt;0,"X","")</f>
      </c>
      <c r="U63" s="56" t="str">
        <f>IF(COUNTIFS('LANÇAMENTOS DIÁRIOS'!$G$5:$G$500,"G",'LANÇAMENTOS DIÁRIOS'!$C$5:$C$500,$A63,'LANÇAMENTOS DIÁRIOS'!$O$5:$O$500,"&lt;=119379",'LANÇAMENTOS DIÁRIOS'!$P$5:$P$500,"&gt;=119280")&gt;0,"X","")</f>
      </c>
      <c r="V63" s="56" t="str">
        <f>IF(COUNTIFS('LANÇAMENTOS DIÁRIOS'!$G$5:$G$500,"G",'LANÇAMENTOS DIÁRIOS'!$C$5:$C$500,$A63,'LANÇAMENTOS DIÁRIOS'!$O$5:$O$500,"&lt;=119479",'LANÇAMENTOS DIÁRIOS'!$P$5:$P$500,"&gt;=119380")&gt;0,"X","")</f>
      </c>
      <c r="W63" s="56" t="str">
        <f>IF(COUNTIFS('LANÇAMENTOS DIÁRIOS'!$G$5:$G$500,"G",'LANÇAMENTOS DIÁRIOS'!$C$5:$C$500,$A63,'LANÇAMENTOS DIÁRIOS'!$O$5:$O$500,"&lt;=119579",'LANÇAMENTOS DIÁRIOS'!$P$5:$P$500,"&gt;=119480")&gt;0,"X","")</f>
      </c>
      <c r="X63" s="56" t="str">
        <f>IF(COUNTIFS('LANÇAMENTOS DIÁRIOS'!$G$5:$G$500,"G",'LANÇAMENTOS DIÁRIOS'!$C$5:$C$500,$A63,'LANÇAMENTOS DIÁRIOS'!$O$5:$O$500,"&lt;=119679",'LANÇAMENTOS DIÁRIOS'!$P$5:$P$500,"&gt;=119580")&gt;0,"X","")</f>
      </c>
      <c r="Y63" s="56" t="str">
        <f>IF(COUNTIFS('LANÇAMENTOS DIÁRIOS'!$G$5:$G$500,"G",'LANÇAMENTOS DIÁRIOS'!$C$5:$C$500,$A63,'LANÇAMENTOS DIÁRIOS'!$O$5:$O$500,"&lt;=119779",'LANÇAMENTOS DIÁRIOS'!$P$5:$P$500,"&gt;=119680")&gt;0,"X","")</f>
      </c>
      <c r="Z63" s="56" t="str">
        <f>IF(COUNTIFS('LANÇAMENTOS DIÁRIOS'!$G$5:$G$500,"G",'LANÇAMENTOS DIÁRIOS'!$C$5:$C$500,$A63,'LANÇAMENTOS DIÁRIOS'!$O$5:$O$500,"&lt;=119879",'LANÇAMENTOS DIÁRIOS'!$P$5:$P$500,"&gt;=119780")&gt;0,"X","")</f>
      </c>
      <c r="AA63" s="56" t="str">
        <f>IF(COUNTIFS('LANÇAMENTOS DIÁRIOS'!$G$5:$G$500,"G",'LANÇAMENTOS DIÁRIOS'!$C$5:$C$500,$A63,'LANÇAMENTOS DIÁRIOS'!$O$5:$O$500,"&lt;=119979",'LANÇAMENTOS DIÁRIOS'!$P$5:$P$500,"&gt;=119880")&gt;0,"X","")</f>
      </c>
      <c r="AB63" s="56" t="str">
        <f>IF(COUNTIFS('LANÇAMENTOS DIÁRIOS'!$G$5:$G$500,"G",'LANÇAMENTOS DIÁRIOS'!$C$5:$C$500,$A63,'LANÇAMENTOS DIÁRIOS'!$O$5:$O$500,"&lt;=120079",'LANÇAMENTOS DIÁRIOS'!$P$5:$P$500,"&gt;=119980")&gt;0,"X","")</f>
      </c>
      <c r="AC63" s="56" t="str">
        <f>IF(COUNTIFS('LANÇAMENTOS DIÁRIOS'!$G$5:$G$500,"G",'LANÇAMENTOS DIÁRIOS'!$C$5:$C$500,$A63,'LANÇAMENTOS DIÁRIOS'!$O$5:$O$500,"&lt;=120179",'LANÇAMENTOS DIÁRIOS'!$P$5:$P$500,"&gt;=120080")&gt;0,"X","")</f>
      </c>
      <c r="AD63" s="56" t="str">
        <f>IF(COUNTIFS('LANÇAMENTOS DIÁRIOS'!$G$5:$G$500,"G",'LANÇAMENTOS DIÁRIOS'!$C$5:$C$500,$A63,'LANÇAMENTOS DIÁRIOS'!$O$5:$O$500,"&lt;=120279",'LANÇAMENTOS DIÁRIOS'!$P$5:$P$500,"&gt;=120180")&gt;0,"X","")</f>
      </c>
      <c r="AE63" s="56" t="str">
        <f>IF(COUNTIFS('LANÇAMENTOS DIÁRIOS'!$G$5:$G$500,"G",'LANÇAMENTOS DIÁRIOS'!$C$5:$C$500,$A63,'LANÇAMENTOS DIÁRIOS'!$O$5:$O$500,"&lt;=120379",'LANÇAMENTOS DIÁRIOS'!$P$5:$P$500,"&gt;=120280")&gt;0,"X","")</f>
      </c>
      <c r="AF63" s="56" t="str">
        <f>IF(COUNTIFS('LANÇAMENTOS DIÁRIOS'!$G$5:$G$500,"G",'LANÇAMENTOS DIÁRIOS'!$C$5:$C$500,$A63,'LANÇAMENTOS DIÁRIOS'!$O$5:$O$500,"&lt;=120479",'LANÇAMENTOS DIÁRIOS'!$P$5:$P$500,"&gt;=120380")&gt;0,"X","")</f>
      </c>
      <c r="AG63" s="56" t="str">
        <f>IF(COUNTIFS('LANÇAMENTOS DIÁRIOS'!$G$5:$G$500,"G",'LANÇAMENTOS DIÁRIOS'!$C$5:$C$500,$A63,'LANÇAMENTOS DIÁRIOS'!$O$5:$O$500,"&lt;=120579",'LANÇAMENTOS DIÁRIOS'!$P$5:$P$500,"&gt;=120480")&gt;0,"X","")</f>
      </c>
      <c r="AH63" s="56" t="str">
        <f>IF(COUNTIFS('LANÇAMENTOS DIÁRIOS'!$G$5:$G$500,"G",'LANÇAMENTOS DIÁRIOS'!$C$5:$C$500,$A63,'LANÇAMENTOS DIÁRIOS'!$O$5:$O$500,"&lt;=120679",'LANÇAMENTOS DIÁRIOS'!$P$5:$P$500,"&gt;=120580")&gt;0,"X","")</f>
      </c>
      <c r="AI63" s="56" t="str">
        <f>IF(COUNTIFS('LANÇAMENTOS DIÁRIOS'!$G$5:$G$500,"G",'LANÇAMENTOS DIÁRIOS'!$C$5:$C$500,$A63,'LANÇAMENTOS DIÁRIOS'!$O$5:$O$500,"&lt;=120779",'LANÇAMENTOS DIÁRIOS'!$P$5:$P$500,"&gt;=120680")&gt;0,"X","")</f>
      </c>
      <c r="AJ63" s="56" t="str">
        <f>IF(COUNTIFS('LANÇAMENTOS DIÁRIOS'!$G$5:$G$500,"G",'LANÇAMENTOS DIÁRIOS'!$C$5:$C$500,$A63,'LANÇAMENTOS DIÁRIOS'!$O$5:$O$500,"&lt;=120879",'LANÇAMENTOS DIÁRIOS'!$P$5:$P$500,"&gt;=120780")&gt;0,"X","")</f>
      </c>
      <c r="AK63" s="56" t="str">
        <f>IF(COUNTIFS('LANÇAMENTOS DIÁRIOS'!$G$5:$G$500,"G",'LANÇAMENTOS DIÁRIOS'!$C$5:$C$500,$A63,'LANÇAMENTOS DIÁRIOS'!$O$5:$O$500,"&lt;=120979",'LANÇAMENTOS DIÁRIOS'!$P$5:$P$500,"&gt;=120880")&gt;0,"X","")</f>
      </c>
      <c r="AL63" s="56" t="str">
        <f>IF(COUNTIFS('LANÇAMENTOS DIÁRIOS'!$G$5:$G$500,"G",'LANÇAMENTOS DIÁRIOS'!$C$5:$C$500,$A63,'LANÇAMENTOS DIÁRIOS'!$O$5:$O$500,"&lt;=121079",'LANÇAMENTOS DIÁRIOS'!$P$5:$P$500,"&gt;=120980")&gt;0,"X","")</f>
      </c>
      <c r="AM63" s="56" t="str">
        <f>IF(COUNTIFS('LANÇAMENTOS DIÁRIOS'!$G$5:$G$500,"G",'LANÇAMENTOS DIÁRIOS'!$C$5:$C$500,$A63,'LANÇAMENTOS DIÁRIOS'!$O$5:$O$500,"&lt;=121179",'LANÇAMENTOS DIÁRIOS'!$P$5:$P$500,"&gt;=121080")&gt;0,"X","")</f>
      </c>
      <c r="AN63" s="56" t="str">
        <f>IF(COUNTIFS('LANÇAMENTOS DIÁRIOS'!$G$5:$G$500,"G",'LANÇAMENTOS DIÁRIOS'!$C$5:$C$500,$A63,'LANÇAMENTOS DIÁRIOS'!$O$5:$O$500,"&lt;=121279",'LANÇAMENTOS DIÁRIOS'!$P$5:$P$500,"&gt;=121180")&gt;0,"X","")</f>
      </c>
      <c r="AO63" s="56" t="str">
        <f>IF(COUNTIFS('LANÇAMENTOS DIÁRIOS'!$G$5:$G$500,"G",'LANÇAMENTOS DIÁRIOS'!$C$5:$C$500,$A63,'LANÇAMENTOS DIÁRIOS'!$O$5:$O$500,"&lt;=121379",'LANÇAMENTOS DIÁRIOS'!$P$5:$P$500,"&gt;=121280")&gt;0,"X","")</f>
      </c>
      <c r="AP63" s="56" t="str">
        <f>IF(COUNTIFS('LANÇAMENTOS DIÁRIOS'!$G$5:$G$500,"G",'LANÇAMENTOS DIÁRIOS'!$C$5:$C$500,$A63,'LANÇAMENTOS DIÁRIOS'!$O$5:$O$500,"&lt;=121479",'LANÇAMENTOS DIÁRIOS'!$P$5:$P$500,"&gt;=121380")&gt;0,"X","")</f>
      </c>
      <c r="AQ63" s="56" t="str">
        <f>IF(COUNTIFS('LANÇAMENTOS DIÁRIOS'!$G$5:$G$500,"G",'LANÇAMENTOS DIÁRIOS'!$C$5:$C$500,$A63,'LANÇAMENTOS DIÁRIOS'!$O$5:$O$500,"&lt;=121579",'LANÇAMENTOS DIÁRIOS'!$P$5:$P$500,"&gt;=121480")&gt;0,"X","")</f>
      </c>
      <c r="AR63" s="56" t="str">
        <f>IF(COUNTIFS('LANÇAMENTOS DIÁRIOS'!$G$5:$G$500,"G",'LANÇAMENTOS DIÁRIOS'!$C$5:$C$500,$A63,'LANÇAMENTOS DIÁRIOS'!$O$5:$O$500,"&lt;=121679",'LANÇAMENTOS DIÁRIOS'!$P$5:$P$500,"&gt;=121580")&gt;0,"X","")</f>
      </c>
      <c r="AS63" s="56" t="str">
        <f>IF(COUNTIFS('LANÇAMENTOS DIÁRIOS'!$G$5:$G$500,"G",'LANÇAMENTOS DIÁRIOS'!$C$5:$C$500,$A63,'LANÇAMENTOS DIÁRIOS'!$O$5:$O$500,"&lt;=121779",'LANÇAMENTOS DIÁRIOS'!$P$5:$P$500,"&gt;=121680")&gt;0,"X","")</f>
      </c>
      <c r="AT63" s="56" t="str">
        <f>IF(COUNTIFS('LANÇAMENTOS DIÁRIOS'!$G$5:$G$500,"G",'LANÇAMENTOS DIÁRIOS'!$C$5:$C$500,$A63,'LANÇAMENTOS DIÁRIOS'!$O$5:$O$500,"&lt;=121879",'LANÇAMENTOS DIÁRIOS'!$P$5:$P$500,"&gt;=121780")&gt;0,"X","")</f>
      </c>
      <c r="AU63" s="56" t="str">
        <f>IF(COUNTIFS('LANÇAMENTOS DIÁRIOS'!$G$5:$G$500,"G",'LANÇAMENTOS DIÁRIOS'!$C$5:$C$500,$A63,'LANÇAMENTOS DIÁRIOS'!$O$5:$O$500,"&lt;=121979",'LANÇAMENTOS DIÁRIOS'!$P$5:$P$500,"&gt;=121880")&gt;0,"X","")</f>
      </c>
      <c r="AV63" s="56" t="str">
        <f>IF(COUNTIFS('LANÇAMENTOS DIÁRIOS'!$G$5:$G$500,"G",'LANÇAMENTOS DIÁRIOS'!$C$5:$C$500,$A63,'LANÇAMENTOS DIÁRIOS'!$O$5:$O$500,"&lt;=122079",'LANÇAMENTOS DIÁRIOS'!$P$5:$P$500,"&gt;=121980")&gt;0,"X","")</f>
      </c>
      <c r="AW63" s="56" t="str">
        <f>IF(COUNTIFS('LANÇAMENTOS DIÁRIOS'!$G$5:$G$500,"G",'LANÇAMENTOS DIÁRIOS'!$C$5:$C$500,$A63,'LANÇAMENTOS DIÁRIOS'!$O$5:$O$500,"&lt;=122179",'LANÇAMENTOS DIÁRIOS'!$P$5:$P$500,"&gt;=122080")&gt;0,"X","")</f>
      </c>
      <c r="AX63" s="56" t="str">
        <f>IF(COUNTIFS('LANÇAMENTOS DIÁRIOS'!$G$5:$G$500,"G",'LANÇAMENTOS DIÁRIOS'!$C$5:$C$500,$A63,'LANÇAMENTOS DIÁRIOS'!$O$5:$O$500,"&lt;=122279",'LANÇAMENTOS DIÁRIOS'!$P$5:$P$500,"&gt;=122180")&gt;0,"X","")</f>
      </c>
      <c r="AY63" s="56" t="str">
        <f>IF(COUNTIFS('LANÇAMENTOS DIÁRIOS'!$G$5:$G$500,"G",'LANÇAMENTOS DIÁRIOS'!$C$5:$C$500,$A63,'LANÇAMENTOS DIÁRIOS'!$O$5:$O$500,"&lt;=122379",'LANÇAMENTOS DIÁRIOS'!$P$5:$P$500,"&gt;=122280")&gt;0,"X","")</f>
      </c>
      <c r="AZ63" s="56" t="str">
        <f>IF(COUNTIFS('LANÇAMENTOS DIÁRIOS'!$G$5:$G$500,"G",'LANÇAMENTOS DIÁRIOS'!$C$5:$C$500,$A63,'LANÇAMENTOS DIÁRIOS'!$O$5:$O$500,"&lt;=122479",'LANÇAMENTOS DIÁRIOS'!$P$5:$P$500,"&gt;=122380")&gt;0,"X","")</f>
      </c>
      <c r="BA63" s="56" t="str">
        <f>IF(COUNTIFS('LANÇAMENTOS DIÁRIOS'!$G$5:$G$500,"G",'LANÇAMENTOS DIÁRIOS'!$C$5:$C$500,$A63,'LANÇAMENTOS DIÁRIOS'!$O$5:$O$500,"&lt;=122579",'LANÇAMENTOS DIÁRIOS'!$P$5:$P$500,"&gt;=122480")&gt;0,"X","")</f>
      </c>
      <c r="BB63" s="56" t="str">
        <f>IF(COUNTIFS('LANÇAMENTOS DIÁRIOS'!$G$5:$G$500,"G",'LANÇAMENTOS DIÁRIOS'!$C$5:$C$500,$A63,'LANÇAMENTOS DIÁRIOS'!$O$5:$O$500,"&lt;=122679",'LANÇAMENTOS DIÁRIOS'!$P$5:$P$500,"&gt;=122580")&gt;0,"X","")</f>
      </c>
      <c r="BC63" s="56" t="str">
        <f>IF(COUNTIFS('LANÇAMENTOS DIÁRIOS'!$G$5:$G$500,"G",'LANÇAMENTOS DIÁRIOS'!$C$5:$C$500,$A63,'LANÇAMENTOS DIÁRIOS'!$O$5:$O$500,"&lt;=122779",'LANÇAMENTOS DIÁRIOS'!$P$5:$P$500,"&gt;=122680")&gt;0,"X","")</f>
      </c>
      <c r="BD63" s="56" t="str">
        <f>IF(COUNTIFS('LANÇAMENTOS DIÁRIOS'!$G$5:$G$500,"G",'LANÇAMENTOS DIÁRIOS'!$C$5:$C$500,$A63,'LANÇAMENTOS DIÁRIOS'!$O$5:$O$500,"&lt;=122879",'LANÇAMENTOS DIÁRIOS'!$P$5:$P$500,"&gt;=122780")&gt;0,"X","")</f>
      </c>
      <c r="BE63" s="56" t="str">
        <f>IF(COUNTIFS('LANÇAMENTOS DIÁRIOS'!$G$5:$G$500,"G",'LANÇAMENTOS DIÁRIOS'!$C$5:$C$500,$A63,'LANÇAMENTOS DIÁRIOS'!$O$5:$O$500,"&lt;=122979",'LANÇAMENTOS DIÁRIOS'!$P$5:$P$500,"&gt;=122880")&gt;0,"X","")</f>
      </c>
      <c r="BF63" s="56" t="str">
        <f>IF(COUNTIFS('LANÇAMENTOS DIÁRIOS'!$G$5:$G$500,"G",'LANÇAMENTOS DIÁRIOS'!$C$5:$C$500,$A63,'LANÇAMENTOS DIÁRIOS'!$O$5:$O$500,"&lt;=123079",'LANÇAMENTOS DIÁRIOS'!$P$5:$P$500,"&gt;=122980")&gt;0,"X","")</f>
      </c>
      <c r="BG63" s="56" t="str">
        <f>IF(COUNTIFS('LANÇAMENTOS DIÁRIOS'!$G$5:$G$500,"G",'LANÇAMENTOS DIÁRIOS'!$C$5:$C$500,$A63,'LANÇAMENTOS DIÁRIOS'!$O$5:$O$500,"&lt;=123179",'LANÇAMENTOS DIÁRIOS'!$P$5:$P$500,"&gt;=123080")&gt;0,"X","")</f>
      </c>
      <c r="BH63" s="56" t="str">
        <f>IF(COUNTIFS('LANÇAMENTOS DIÁRIOS'!$G$5:$G$500,"G",'LANÇAMENTOS DIÁRIOS'!$C$5:$C$500,$A63,'LANÇAMENTOS DIÁRIOS'!$O$5:$O$500,"&lt;=123279",'LANÇAMENTOS DIÁRIOS'!$P$5:$P$500,"&gt;=123180")&gt;0,"X","")</f>
      </c>
      <c r="BI63" s="56" t="str">
        <f>IF(COUNTIFS('LANÇAMENTOS DIÁRIOS'!$G$5:$G$500,"G",'LANÇAMENTOS DIÁRIOS'!$C$5:$C$500,$A63,'LANÇAMENTOS DIÁRIOS'!$O$5:$O$500,"&lt;=123379",'LANÇAMENTOS DIÁRIOS'!$P$5:$P$500,"&gt;=123280")&gt;0,"X","")</f>
      </c>
      <c r="BJ63" s="56" t="str">
        <f>IF(COUNTIFS('LANÇAMENTOS DIÁRIOS'!$G$5:$G$500,"G",'LANÇAMENTOS DIÁRIOS'!$C$5:$C$500,$A63,'LANÇAMENTOS DIÁRIOS'!$O$5:$O$500,"&lt;=123479",'LANÇAMENTOS DIÁRIOS'!$P$5:$P$500,"&gt;=123380")&gt;0,"X","")</f>
      </c>
      <c r="BK63" s="56" t="str">
        <f>IF(COUNTIFS('LANÇAMENTOS DIÁRIOS'!$G$5:$G$500,"G",'LANÇAMENTOS DIÁRIOS'!$C$5:$C$500,$A63,'LANÇAMENTOS DIÁRIOS'!$O$5:$O$500,"&lt;=123480",'LANÇAMENTOS DIÁRIOS'!$P$5:$P$500,"&gt;=123480")&gt;0,"X","")</f>
      </c>
    </row>
    <row r="64" ht="19" customHeight="1">
      <c r="A64" s="68" t="str">
        <v>Aplicação de geomanta e geogrelha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</row>
    <row r="65">
      <c r="A65" s="51" t="str">
        <v>Geogrelha uniaxial com deformação máxima de 10% e resistência nominal de 100kN/m - Sem o fronecimento de materiais</v>
      </c>
      <c r="B65" s="56" t="str">
        <f>IF(COUNTIFS('LANÇAMENTOS DIÁRIOS'!$G$5:$G$500,"G",'LANÇAMENTOS DIÁRIOS'!$C$5:$C$500,$A65,'LANÇAMENTOS DIÁRIOS'!$O$5:$O$500,"&lt;=117479",'LANÇAMENTOS DIÁRIOS'!$P$5:$P$500,"&gt;=117380")&gt;0,"X","")</f>
      </c>
      <c r="C65" s="56" t="str">
        <f>IF(COUNTIFS('LANÇAMENTOS DIÁRIOS'!$G$5:$G$500,"G",'LANÇAMENTOS DIÁRIOS'!$C$5:$C$500,$A65,'LANÇAMENTOS DIÁRIOS'!$O$5:$O$500,"&lt;=117579",'LANÇAMENTOS DIÁRIOS'!$P$5:$P$500,"&gt;=117480")&gt;0,"X","")</f>
      </c>
      <c r="D65" s="56" t="str">
        <f>IF(COUNTIFS('LANÇAMENTOS DIÁRIOS'!$G$5:$G$500,"G",'LANÇAMENTOS DIÁRIOS'!$C$5:$C$500,$A65,'LANÇAMENTOS DIÁRIOS'!$O$5:$O$500,"&lt;=117679",'LANÇAMENTOS DIÁRIOS'!$P$5:$P$500,"&gt;=117580")&gt;0,"X","")</f>
      </c>
      <c r="E65" s="56" t="str">
        <f>IF(COUNTIFS('LANÇAMENTOS DIÁRIOS'!$G$5:$G$500,"G",'LANÇAMENTOS DIÁRIOS'!$C$5:$C$500,$A65,'LANÇAMENTOS DIÁRIOS'!$O$5:$O$500,"&lt;=117779",'LANÇAMENTOS DIÁRIOS'!$P$5:$P$500,"&gt;=117680")&gt;0,"X","")</f>
      </c>
      <c r="F65" s="56" t="str">
        <f>IF(COUNTIFS('LANÇAMENTOS DIÁRIOS'!$G$5:$G$500,"G",'LANÇAMENTOS DIÁRIOS'!$C$5:$C$500,$A65,'LANÇAMENTOS DIÁRIOS'!$O$5:$O$500,"&lt;=117879",'LANÇAMENTOS DIÁRIOS'!$P$5:$P$500,"&gt;=117780")&gt;0,"X","")</f>
      </c>
      <c r="G65" s="56" t="str">
        <f>IF(COUNTIFS('LANÇAMENTOS DIÁRIOS'!$G$5:$G$500,"G",'LANÇAMENTOS DIÁRIOS'!$C$5:$C$500,$A65,'LANÇAMENTOS DIÁRIOS'!$O$5:$O$500,"&lt;=117979",'LANÇAMENTOS DIÁRIOS'!$P$5:$P$500,"&gt;=117880")&gt;0,"X","")</f>
      </c>
      <c r="H65" s="56" t="str">
        <f>IF(COUNTIFS('LANÇAMENTOS DIÁRIOS'!$G$5:$G$500,"G",'LANÇAMENTOS DIÁRIOS'!$C$5:$C$500,$A65,'LANÇAMENTOS DIÁRIOS'!$O$5:$O$500,"&lt;=118079",'LANÇAMENTOS DIÁRIOS'!$P$5:$P$500,"&gt;=117980")&gt;0,"X","")</f>
      </c>
      <c r="I65" s="56" t="str">
        <f>IF(COUNTIFS('LANÇAMENTOS DIÁRIOS'!$G$5:$G$500,"G",'LANÇAMENTOS DIÁRIOS'!$C$5:$C$500,$A65,'LANÇAMENTOS DIÁRIOS'!$O$5:$O$500,"&lt;=118179",'LANÇAMENTOS DIÁRIOS'!$P$5:$P$500,"&gt;=118080")&gt;0,"X","")</f>
      </c>
      <c r="J65" s="56" t="str">
        <f>IF(COUNTIFS('LANÇAMENTOS DIÁRIOS'!$G$5:$G$500,"G",'LANÇAMENTOS DIÁRIOS'!$C$5:$C$500,$A65,'LANÇAMENTOS DIÁRIOS'!$O$5:$O$500,"&lt;=118279",'LANÇAMENTOS DIÁRIOS'!$P$5:$P$500,"&gt;=118180")&gt;0,"X","")</f>
      </c>
      <c r="K65" s="56" t="str">
        <f>IF(COUNTIFS('LANÇAMENTOS DIÁRIOS'!$G$5:$G$500,"G",'LANÇAMENTOS DIÁRIOS'!$C$5:$C$500,$A65,'LANÇAMENTOS DIÁRIOS'!$O$5:$O$500,"&lt;=118379",'LANÇAMENTOS DIÁRIOS'!$P$5:$P$500,"&gt;=118280")&gt;0,"X","")</f>
      </c>
      <c r="L65" s="56" t="str">
        <f>IF(COUNTIFS('LANÇAMENTOS DIÁRIOS'!$G$5:$G$500,"G",'LANÇAMENTOS DIÁRIOS'!$C$5:$C$500,$A65,'LANÇAMENTOS DIÁRIOS'!$O$5:$O$500,"&lt;=118479",'LANÇAMENTOS DIÁRIOS'!$P$5:$P$500,"&gt;=118380")&gt;0,"X","")</f>
      </c>
      <c r="M65" s="56" t="str">
        <f>IF(COUNTIFS('LANÇAMENTOS DIÁRIOS'!$G$5:$G$500,"G",'LANÇAMENTOS DIÁRIOS'!$C$5:$C$500,$A65,'LANÇAMENTOS DIÁRIOS'!$O$5:$O$500,"&lt;=118579",'LANÇAMENTOS DIÁRIOS'!$P$5:$P$500,"&gt;=118480")&gt;0,"X","")</f>
      </c>
      <c r="N65" s="56" t="str">
        <f>IF(COUNTIFS('LANÇAMENTOS DIÁRIOS'!$G$5:$G$500,"G",'LANÇAMENTOS DIÁRIOS'!$C$5:$C$500,$A65,'LANÇAMENTOS DIÁRIOS'!$O$5:$O$500,"&lt;=118679",'LANÇAMENTOS DIÁRIOS'!$P$5:$P$500,"&gt;=118580")&gt;0,"X","")</f>
      </c>
      <c r="O65" s="56" t="str">
        <f>IF(COUNTIFS('LANÇAMENTOS DIÁRIOS'!$G$5:$G$500,"G",'LANÇAMENTOS DIÁRIOS'!$C$5:$C$500,$A65,'LANÇAMENTOS DIÁRIOS'!$O$5:$O$500,"&lt;=118779",'LANÇAMENTOS DIÁRIOS'!$P$5:$P$500,"&gt;=118680")&gt;0,"X","")</f>
      </c>
      <c r="P65" s="56" t="str">
        <f>IF(COUNTIFS('LANÇAMENTOS DIÁRIOS'!$G$5:$G$500,"G",'LANÇAMENTOS DIÁRIOS'!$C$5:$C$500,$A65,'LANÇAMENTOS DIÁRIOS'!$O$5:$O$500,"&lt;=118879",'LANÇAMENTOS DIÁRIOS'!$P$5:$P$500,"&gt;=118780")&gt;0,"X","")</f>
      </c>
      <c r="Q65" s="56" t="str">
        <f>IF(COUNTIFS('LANÇAMENTOS DIÁRIOS'!$G$5:$G$500,"G",'LANÇAMENTOS DIÁRIOS'!$C$5:$C$500,$A65,'LANÇAMENTOS DIÁRIOS'!$O$5:$O$500,"&lt;=118979",'LANÇAMENTOS DIÁRIOS'!$P$5:$P$500,"&gt;=118880")&gt;0,"X","")</f>
      </c>
      <c r="R65" s="56" t="str">
        <f>IF(COUNTIFS('LANÇAMENTOS DIÁRIOS'!$G$5:$G$500,"G",'LANÇAMENTOS DIÁRIOS'!$C$5:$C$500,$A65,'LANÇAMENTOS DIÁRIOS'!$O$5:$O$500,"&lt;=119079",'LANÇAMENTOS DIÁRIOS'!$P$5:$P$500,"&gt;=118980")&gt;0,"X","")</f>
      </c>
      <c r="S65" s="56" t="str">
        <f>IF(COUNTIFS('LANÇAMENTOS DIÁRIOS'!$G$5:$G$500,"G",'LANÇAMENTOS DIÁRIOS'!$C$5:$C$500,$A65,'LANÇAMENTOS DIÁRIOS'!$O$5:$O$500,"&lt;=119179",'LANÇAMENTOS DIÁRIOS'!$P$5:$P$500,"&gt;=119080")&gt;0,"X","")</f>
      </c>
      <c r="T65" s="56" t="str">
        <f>IF(COUNTIFS('LANÇAMENTOS DIÁRIOS'!$G$5:$G$500,"G",'LANÇAMENTOS DIÁRIOS'!$C$5:$C$500,$A65,'LANÇAMENTOS DIÁRIOS'!$O$5:$O$500,"&lt;=119279",'LANÇAMENTOS DIÁRIOS'!$P$5:$P$500,"&gt;=119180")&gt;0,"X","")</f>
      </c>
      <c r="U65" s="56" t="str">
        <f>IF(COUNTIFS('LANÇAMENTOS DIÁRIOS'!$G$5:$G$500,"G",'LANÇAMENTOS DIÁRIOS'!$C$5:$C$500,$A65,'LANÇAMENTOS DIÁRIOS'!$O$5:$O$500,"&lt;=119379",'LANÇAMENTOS DIÁRIOS'!$P$5:$P$500,"&gt;=119280")&gt;0,"X","")</f>
      </c>
      <c r="V65" s="56" t="str">
        <f>IF(COUNTIFS('LANÇAMENTOS DIÁRIOS'!$G$5:$G$500,"G",'LANÇAMENTOS DIÁRIOS'!$C$5:$C$500,$A65,'LANÇAMENTOS DIÁRIOS'!$O$5:$O$500,"&lt;=119479",'LANÇAMENTOS DIÁRIOS'!$P$5:$P$500,"&gt;=119380")&gt;0,"X","")</f>
      </c>
      <c r="W65" s="56" t="str">
        <f>IF(COUNTIFS('LANÇAMENTOS DIÁRIOS'!$G$5:$G$500,"G",'LANÇAMENTOS DIÁRIOS'!$C$5:$C$500,$A65,'LANÇAMENTOS DIÁRIOS'!$O$5:$O$500,"&lt;=119579",'LANÇAMENTOS DIÁRIOS'!$P$5:$P$500,"&gt;=119480")&gt;0,"X","")</f>
      </c>
      <c r="X65" s="56" t="str">
        <f>IF(COUNTIFS('LANÇAMENTOS DIÁRIOS'!$G$5:$G$500,"G",'LANÇAMENTOS DIÁRIOS'!$C$5:$C$500,$A65,'LANÇAMENTOS DIÁRIOS'!$O$5:$O$500,"&lt;=119679",'LANÇAMENTOS DIÁRIOS'!$P$5:$P$500,"&gt;=119580")&gt;0,"X","")</f>
      </c>
      <c r="Y65" s="56" t="str">
        <f>IF(COUNTIFS('LANÇAMENTOS DIÁRIOS'!$G$5:$G$500,"G",'LANÇAMENTOS DIÁRIOS'!$C$5:$C$500,$A65,'LANÇAMENTOS DIÁRIOS'!$O$5:$O$500,"&lt;=119779",'LANÇAMENTOS DIÁRIOS'!$P$5:$P$500,"&gt;=119680")&gt;0,"X","")</f>
      </c>
      <c r="Z65" s="56" t="str">
        <f>IF(COUNTIFS('LANÇAMENTOS DIÁRIOS'!$G$5:$G$500,"G",'LANÇAMENTOS DIÁRIOS'!$C$5:$C$500,$A65,'LANÇAMENTOS DIÁRIOS'!$O$5:$O$500,"&lt;=119879",'LANÇAMENTOS DIÁRIOS'!$P$5:$P$500,"&gt;=119780")&gt;0,"X","")</f>
      </c>
      <c r="AA65" s="56" t="str">
        <f>IF(COUNTIFS('LANÇAMENTOS DIÁRIOS'!$G$5:$G$500,"G",'LANÇAMENTOS DIÁRIOS'!$C$5:$C$500,$A65,'LANÇAMENTOS DIÁRIOS'!$O$5:$O$500,"&lt;=119979",'LANÇAMENTOS DIÁRIOS'!$P$5:$P$500,"&gt;=119880")&gt;0,"X","")</f>
      </c>
      <c r="AB65" s="56" t="str">
        <f>IF(COUNTIFS('LANÇAMENTOS DIÁRIOS'!$G$5:$G$500,"G",'LANÇAMENTOS DIÁRIOS'!$C$5:$C$500,$A65,'LANÇAMENTOS DIÁRIOS'!$O$5:$O$500,"&lt;=120079",'LANÇAMENTOS DIÁRIOS'!$P$5:$P$500,"&gt;=119980")&gt;0,"X","")</f>
      </c>
      <c r="AC65" s="56" t="str">
        <f>IF(COUNTIFS('LANÇAMENTOS DIÁRIOS'!$G$5:$G$500,"G",'LANÇAMENTOS DIÁRIOS'!$C$5:$C$500,$A65,'LANÇAMENTOS DIÁRIOS'!$O$5:$O$500,"&lt;=120179",'LANÇAMENTOS DIÁRIOS'!$P$5:$P$500,"&gt;=120080")&gt;0,"X","")</f>
      </c>
      <c r="AD65" s="56" t="str">
        <f>IF(COUNTIFS('LANÇAMENTOS DIÁRIOS'!$G$5:$G$500,"G",'LANÇAMENTOS DIÁRIOS'!$C$5:$C$500,$A65,'LANÇAMENTOS DIÁRIOS'!$O$5:$O$500,"&lt;=120279",'LANÇAMENTOS DIÁRIOS'!$P$5:$P$500,"&gt;=120180")&gt;0,"X","")</f>
      </c>
      <c r="AE65" s="56" t="str">
        <f>IF(COUNTIFS('LANÇAMENTOS DIÁRIOS'!$G$5:$G$500,"G",'LANÇAMENTOS DIÁRIOS'!$C$5:$C$500,$A65,'LANÇAMENTOS DIÁRIOS'!$O$5:$O$500,"&lt;=120379",'LANÇAMENTOS DIÁRIOS'!$P$5:$P$500,"&gt;=120280")&gt;0,"X","")</f>
      </c>
      <c r="AF65" s="56" t="str">
        <f>IF(COUNTIFS('LANÇAMENTOS DIÁRIOS'!$G$5:$G$500,"G",'LANÇAMENTOS DIÁRIOS'!$C$5:$C$500,$A65,'LANÇAMENTOS DIÁRIOS'!$O$5:$O$500,"&lt;=120479",'LANÇAMENTOS DIÁRIOS'!$P$5:$P$500,"&gt;=120380")&gt;0,"X","")</f>
      </c>
      <c r="AG65" s="56" t="str">
        <f>IF(COUNTIFS('LANÇAMENTOS DIÁRIOS'!$G$5:$G$500,"G",'LANÇAMENTOS DIÁRIOS'!$C$5:$C$500,$A65,'LANÇAMENTOS DIÁRIOS'!$O$5:$O$500,"&lt;=120579",'LANÇAMENTOS DIÁRIOS'!$P$5:$P$500,"&gt;=120480")&gt;0,"X","")</f>
      </c>
      <c r="AH65" s="56" t="str">
        <f>IF(COUNTIFS('LANÇAMENTOS DIÁRIOS'!$G$5:$G$500,"G",'LANÇAMENTOS DIÁRIOS'!$C$5:$C$500,$A65,'LANÇAMENTOS DIÁRIOS'!$O$5:$O$500,"&lt;=120679",'LANÇAMENTOS DIÁRIOS'!$P$5:$P$500,"&gt;=120580")&gt;0,"X","")</f>
      </c>
      <c r="AI65" s="56" t="str">
        <f>IF(COUNTIFS('LANÇAMENTOS DIÁRIOS'!$G$5:$G$500,"G",'LANÇAMENTOS DIÁRIOS'!$C$5:$C$500,$A65,'LANÇAMENTOS DIÁRIOS'!$O$5:$O$500,"&lt;=120779",'LANÇAMENTOS DIÁRIOS'!$P$5:$P$500,"&gt;=120680")&gt;0,"X","")</f>
      </c>
      <c r="AJ65" s="56" t="str">
        <f>IF(COUNTIFS('LANÇAMENTOS DIÁRIOS'!$G$5:$G$500,"G",'LANÇAMENTOS DIÁRIOS'!$C$5:$C$500,$A65,'LANÇAMENTOS DIÁRIOS'!$O$5:$O$500,"&lt;=120879",'LANÇAMENTOS DIÁRIOS'!$P$5:$P$500,"&gt;=120780")&gt;0,"X","")</f>
      </c>
      <c r="AK65" s="56" t="str">
        <f>IF(COUNTIFS('LANÇAMENTOS DIÁRIOS'!$G$5:$G$500,"G",'LANÇAMENTOS DIÁRIOS'!$C$5:$C$500,$A65,'LANÇAMENTOS DIÁRIOS'!$O$5:$O$500,"&lt;=120979",'LANÇAMENTOS DIÁRIOS'!$P$5:$P$500,"&gt;=120880")&gt;0,"X","")</f>
      </c>
      <c r="AL65" s="56" t="str">
        <f>IF(COUNTIFS('LANÇAMENTOS DIÁRIOS'!$G$5:$G$500,"G",'LANÇAMENTOS DIÁRIOS'!$C$5:$C$500,$A65,'LANÇAMENTOS DIÁRIOS'!$O$5:$O$500,"&lt;=121079",'LANÇAMENTOS DIÁRIOS'!$P$5:$P$500,"&gt;=120980")&gt;0,"X","")</f>
      </c>
      <c r="AM65" s="56" t="str">
        <f>IF(COUNTIFS('LANÇAMENTOS DIÁRIOS'!$G$5:$G$500,"G",'LANÇAMENTOS DIÁRIOS'!$C$5:$C$500,$A65,'LANÇAMENTOS DIÁRIOS'!$O$5:$O$500,"&lt;=121179",'LANÇAMENTOS DIÁRIOS'!$P$5:$P$500,"&gt;=121080")&gt;0,"X","")</f>
      </c>
      <c r="AN65" s="56" t="str">
        <f>IF(COUNTIFS('LANÇAMENTOS DIÁRIOS'!$G$5:$G$500,"G",'LANÇAMENTOS DIÁRIOS'!$C$5:$C$500,$A65,'LANÇAMENTOS DIÁRIOS'!$O$5:$O$500,"&lt;=121279",'LANÇAMENTOS DIÁRIOS'!$P$5:$P$500,"&gt;=121180")&gt;0,"X","")</f>
      </c>
      <c r="AO65" s="56" t="str">
        <f>IF(COUNTIFS('LANÇAMENTOS DIÁRIOS'!$G$5:$G$500,"G",'LANÇAMENTOS DIÁRIOS'!$C$5:$C$500,$A65,'LANÇAMENTOS DIÁRIOS'!$O$5:$O$500,"&lt;=121379",'LANÇAMENTOS DIÁRIOS'!$P$5:$P$500,"&gt;=121280")&gt;0,"X","")</f>
      </c>
      <c r="AP65" s="56" t="str">
        <f>IF(COUNTIFS('LANÇAMENTOS DIÁRIOS'!$G$5:$G$500,"G",'LANÇAMENTOS DIÁRIOS'!$C$5:$C$500,$A65,'LANÇAMENTOS DIÁRIOS'!$O$5:$O$500,"&lt;=121479",'LANÇAMENTOS DIÁRIOS'!$P$5:$P$500,"&gt;=121380")&gt;0,"X","")</f>
      </c>
      <c r="AQ65" s="56" t="str">
        <f>IF(COUNTIFS('LANÇAMENTOS DIÁRIOS'!$G$5:$G$500,"G",'LANÇAMENTOS DIÁRIOS'!$C$5:$C$500,$A65,'LANÇAMENTOS DIÁRIOS'!$O$5:$O$500,"&lt;=121579",'LANÇAMENTOS DIÁRIOS'!$P$5:$P$500,"&gt;=121480")&gt;0,"X","")</f>
      </c>
      <c r="AR65" s="56" t="str">
        <f>IF(COUNTIFS('LANÇAMENTOS DIÁRIOS'!$G$5:$G$500,"G",'LANÇAMENTOS DIÁRIOS'!$C$5:$C$500,$A65,'LANÇAMENTOS DIÁRIOS'!$O$5:$O$500,"&lt;=121679",'LANÇAMENTOS DIÁRIOS'!$P$5:$P$500,"&gt;=121580")&gt;0,"X","")</f>
      </c>
      <c r="AS65" s="56" t="str">
        <f>IF(COUNTIFS('LANÇAMENTOS DIÁRIOS'!$G$5:$G$500,"G",'LANÇAMENTOS DIÁRIOS'!$C$5:$C$500,$A65,'LANÇAMENTOS DIÁRIOS'!$O$5:$O$500,"&lt;=121779",'LANÇAMENTOS DIÁRIOS'!$P$5:$P$500,"&gt;=121680")&gt;0,"X","")</f>
      </c>
      <c r="AT65" s="56" t="str">
        <f>IF(COUNTIFS('LANÇAMENTOS DIÁRIOS'!$G$5:$G$500,"G",'LANÇAMENTOS DIÁRIOS'!$C$5:$C$500,$A65,'LANÇAMENTOS DIÁRIOS'!$O$5:$O$500,"&lt;=121879",'LANÇAMENTOS DIÁRIOS'!$P$5:$P$500,"&gt;=121780")&gt;0,"X","")</f>
      </c>
      <c r="AU65" s="56" t="str">
        <f>IF(COUNTIFS('LANÇAMENTOS DIÁRIOS'!$G$5:$G$500,"G",'LANÇAMENTOS DIÁRIOS'!$C$5:$C$500,$A65,'LANÇAMENTOS DIÁRIOS'!$O$5:$O$500,"&lt;=121979",'LANÇAMENTOS DIÁRIOS'!$P$5:$P$500,"&gt;=121880")&gt;0,"X","")</f>
      </c>
      <c r="AV65" s="56" t="str">
        <f>IF(COUNTIFS('LANÇAMENTOS DIÁRIOS'!$G$5:$G$500,"G",'LANÇAMENTOS DIÁRIOS'!$C$5:$C$500,$A65,'LANÇAMENTOS DIÁRIOS'!$O$5:$O$500,"&lt;=122079",'LANÇAMENTOS DIÁRIOS'!$P$5:$P$500,"&gt;=121980")&gt;0,"X","")</f>
      </c>
      <c r="AW65" s="56" t="str">
        <f>IF(COUNTIFS('LANÇAMENTOS DIÁRIOS'!$G$5:$G$500,"G",'LANÇAMENTOS DIÁRIOS'!$C$5:$C$500,$A65,'LANÇAMENTOS DIÁRIOS'!$O$5:$O$500,"&lt;=122179",'LANÇAMENTOS DIÁRIOS'!$P$5:$P$500,"&gt;=122080")&gt;0,"X","")</f>
      </c>
      <c r="AX65" s="56" t="str">
        <f>IF(COUNTIFS('LANÇAMENTOS DIÁRIOS'!$G$5:$G$500,"G",'LANÇAMENTOS DIÁRIOS'!$C$5:$C$500,$A65,'LANÇAMENTOS DIÁRIOS'!$O$5:$O$500,"&lt;=122279",'LANÇAMENTOS DIÁRIOS'!$P$5:$P$500,"&gt;=122180")&gt;0,"X","")</f>
      </c>
      <c r="AY65" s="56" t="str">
        <f>IF(COUNTIFS('LANÇAMENTOS DIÁRIOS'!$G$5:$G$500,"G",'LANÇAMENTOS DIÁRIOS'!$C$5:$C$500,$A65,'LANÇAMENTOS DIÁRIOS'!$O$5:$O$500,"&lt;=122379",'LANÇAMENTOS DIÁRIOS'!$P$5:$P$500,"&gt;=122280")&gt;0,"X","")</f>
      </c>
      <c r="AZ65" s="56" t="str">
        <f>IF(COUNTIFS('LANÇAMENTOS DIÁRIOS'!$G$5:$G$500,"G",'LANÇAMENTOS DIÁRIOS'!$C$5:$C$500,$A65,'LANÇAMENTOS DIÁRIOS'!$O$5:$O$500,"&lt;=122479",'LANÇAMENTOS DIÁRIOS'!$P$5:$P$500,"&gt;=122380")&gt;0,"X","")</f>
      </c>
      <c r="BA65" s="56" t="str">
        <f>IF(COUNTIFS('LANÇAMENTOS DIÁRIOS'!$G$5:$G$500,"G",'LANÇAMENTOS DIÁRIOS'!$C$5:$C$500,$A65,'LANÇAMENTOS DIÁRIOS'!$O$5:$O$500,"&lt;=122579",'LANÇAMENTOS DIÁRIOS'!$P$5:$P$500,"&gt;=122480")&gt;0,"X","")</f>
      </c>
      <c r="BB65" s="56" t="str">
        <f>IF(COUNTIFS('LANÇAMENTOS DIÁRIOS'!$G$5:$G$500,"G",'LANÇAMENTOS DIÁRIOS'!$C$5:$C$500,$A65,'LANÇAMENTOS DIÁRIOS'!$O$5:$O$500,"&lt;=122679",'LANÇAMENTOS DIÁRIOS'!$P$5:$P$500,"&gt;=122580")&gt;0,"X","")</f>
      </c>
      <c r="BC65" s="56" t="str">
        <f>IF(COUNTIFS('LANÇAMENTOS DIÁRIOS'!$G$5:$G$500,"G",'LANÇAMENTOS DIÁRIOS'!$C$5:$C$500,$A65,'LANÇAMENTOS DIÁRIOS'!$O$5:$O$500,"&lt;=122779",'LANÇAMENTOS DIÁRIOS'!$P$5:$P$500,"&gt;=122680")&gt;0,"X","")</f>
      </c>
      <c r="BD65" s="56" t="str">
        <f>IF(COUNTIFS('LANÇAMENTOS DIÁRIOS'!$G$5:$G$500,"G",'LANÇAMENTOS DIÁRIOS'!$C$5:$C$500,$A65,'LANÇAMENTOS DIÁRIOS'!$O$5:$O$500,"&lt;=122879",'LANÇAMENTOS DIÁRIOS'!$P$5:$P$500,"&gt;=122780")&gt;0,"X","")</f>
      </c>
      <c r="BE65" s="56" t="str">
        <f>IF(COUNTIFS('LANÇAMENTOS DIÁRIOS'!$G$5:$G$500,"G",'LANÇAMENTOS DIÁRIOS'!$C$5:$C$500,$A65,'LANÇAMENTOS DIÁRIOS'!$O$5:$O$500,"&lt;=122979",'LANÇAMENTOS DIÁRIOS'!$P$5:$P$500,"&gt;=122880")&gt;0,"X","")</f>
      </c>
      <c r="BF65" s="56" t="str">
        <f>IF(COUNTIFS('LANÇAMENTOS DIÁRIOS'!$G$5:$G$500,"G",'LANÇAMENTOS DIÁRIOS'!$C$5:$C$500,$A65,'LANÇAMENTOS DIÁRIOS'!$O$5:$O$500,"&lt;=123079",'LANÇAMENTOS DIÁRIOS'!$P$5:$P$500,"&gt;=122980")&gt;0,"X","")</f>
      </c>
      <c r="BG65" s="56" t="str">
        <f>IF(COUNTIFS('LANÇAMENTOS DIÁRIOS'!$G$5:$G$500,"G",'LANÇAMENTOS DIÁRIOS'!$C$5:$C$500,$A65,'LANÇAMENTOS DIÁRIOS'!$O$5:$O$500,"&lt;=123179",'LANÇAMENTOS DIÁRIOS'!$P$5:$P$500,"&gt;=123080")&gt;0,"X","")</f>
      </c>
      <c r="BH65" s="56" t="str">
        <f>IF(COUNTIFS('LANÇAMENTOS DIÁRIOS'!$G$5:$G$500,"G",'LANÇAMENTOS DIÁRIOS'!$C$5:$C$500,$A65,'LANÇAMENTOS DIÁRIOS'!$O$5:$O$500,"&lt;=123279",'LANÇAMENTOS DIÁRIOS'!$P$5:$P$500,"&gt;=123180")&gt;0,"X","")</f>
      </c>
      <c r="BI65" s="56" t="str">
        <f>IF(COUNTIFS('LANÇAMENTOS DIÁRIOS'!$G$5:$G$500,"G",'LANÇAMENTOS DIÁRIOS'!$C$5:$C$500,$A65,'LANÇAMENTOS DIÁRIOS'!$O$5:$O$500,"&lt;=123379",'LANÇAMENTOS DIÁRIOS'!$P$5:$P$500,"&gt;=123280")&gt;0,"X","")</f>
      </c>
      <c r="BJ65" s="56" t="str">
        <f>IF(COUNTIFS('LANÇAMENTOS DIÁRIOS'!$G$5:$G$500,"G",'LANÇAMENTOS DIÁRIOS'!$C$5:$C$500,$A65,'LANÇAMENTOS DIÁRIOS'!$O$5:$O$500,"&lt;=123479",'LANÇAMENTOS DIÁRIOS'!$P$5:$P$500,"&gt;=123380")&gt;0,"X","")</f>
      </c>
      <c r="BK65" s="56" t="str">
        <f>IF(COUNTIFS('LANÇAMENTOS DIÁRIOS'!$G$5:$G$500,"G",'LANÇAMENTOS DIÁRIOS'!$C$5:$C$500,$A65,'LANÇAMENTOS DIÁRIOS'!$O$5:$O$500,"&lt;=123480",'LANÇAMENTOS DIÁRIOS'!$P$5:$P$500,"&gt;=123480")&gt;0,"X","")</f>
      </c>
    </row>
    <row r="66">
      <c r="A66" s="51" t="str">
        <v>Geogrelha uniaxial com deformação máxima de 5% e resistência nominal de 225kN/m - Sem o fornecimento dos materias</v>
      </c>
      <c r="B66" s="56" t="str">
        <f>IF(COUNTIFS('LANÇAMENTOS DIÁRIOS'!$G$5:$G$500,"G",'LANÇAMENTOS DIÁRIOS'!$C$5:$C$500,$A66,'LANÇAMENTOS DIÁRIOS'!$O$5:$O$500,"&lt;=117479",'LANÇAMENTOS DIÁRIOS'!$P$5:$P$500,"&gt;=117380")&gt;0,"X","")</f>
      </c>
      <c r="C66" s="56" t="str">
        <f>IF(COUNTIFS('LANÇAMENTOS DIÁRIOS'!$G$5:$G$500,"G",'LANÇAMENTOS DIÁRIOS'!$C$5:$C$500,$A66,'LANÇAMENTOS DIÁRIOS'!$O$5:$O$500,"&lt;=117579",'LANÇAMENTOS DIÁRIOS'!$P$5:$P$500,"&gt;=117480")&gt;0,"X","")</f>
      </c>
      <c r="D66" s="56" t="str">
        <f>IF(COUNTIFS('LANÇAMENTOS DIÁRIOS'!$G$5:$G$500,"G",'LANÇAMENTOS DIÁRIOS'!$C$5:$C$500,$A66,'LANÇAMENTOS DIÁRIOS'!$O$5:$O$500,"&lt;=117679",'LANÇAMENTOS DIÁRIOS'!$P$5:$P$500,"&gt;=117580")&gt;0,"X","")</f>
      </c>
      <c r="E66" s="56" t="str">
        <f>IF(COUNTIFS('LANÇAMENTOS DIÁRIOS'!$G$5:$G$500,"G",'LANÇAMENTOS DIÁRIOS'!$C$5:$C$500,$A66,'LANÇAMENTOS DIÁRIOS'!$O$5:$O$500,"&lt;=117779",'LANÇAMENTOS DIÁRIOS'!$P$5:$P$500,"&gt;=117680")&gt;0,"X","")</f>
      </c>
      <c r="F66" s="56" t="str">
        <f>IF(COUNTIFS('LANÇAMENTOS DIÁRIOS'!$G$5:$G$500,"G",'LANÇAMENTOS DIÁRIOS'!$C$5:$C$500,$A66,'LANÇAMENTOS DIÁRIOS'!$O$5:$O$500,"&lt;=117879",'LANÇAMENTOS DIÁRIOS'!$P$5:$P$500,"&gt;=117780")&gt;0,"X","")</f>
      </c>
      <c r="G66" s="56" t="str">
        <f>IF(COUNTIFS('LANÇAMENTOS DIÁRIOS'!$G$5:$G$500,"G",'LANÇAMENTOS DIÁRIOS'!$C$5:$C$500,$A66,'LANÇAMENTOS DIÁRIOS'!$O$5:$O$500,"&lt;=117979",'LANÇAMENTOS DIÁRIOS'!$P$5:$P$500,"&gt;=117880")&gt;0,"X","")</f>
      </c>
      <c r="H66" s="56" t="str">
        <f>IF(COUNTIFS('LANÇAMENTOS DIÁRIOS'!$G$5:$G$500,"G",'LANÇAMENTOS DIÁRIOS'!$C$5:$C$500,$A66,'LANÇAMENTOS DIÁRIOS'!$O$5:$O$500,"&lt;=118079",'LANÇAMENTOS DIÁRIOS'!$P$5:$P$500,"&gt;=117980")&gt;0,"X","")</f>
      </c>
      <c r="I66" s="56" t="str">
        <f>IF(COUNTIFS('LANÇAMENTOS DIÁRIOS'!$G$5:$G$500,"G",'LANÇAMENTOS DIÁRIOS'!$C$5:$C$500,$A66,'LANÇAMENTOS DIÁRIOS'!$O$5:$O$500,"&lt;=118179",'LANÇAMENTOS DIÁRIOS'!$P$5:$P$500,"&gt;=118080")&gt;0,"X","")</f>
      </c>
      <c r="J66" s="56" t="str">
        <f>IF(COUNTIFS('LANÇAMENTOS DIÁRIOS'!$G$5:$G$500,"G",'LANÇAMENTOS DIÁRIOS'!$C$5:$C$500,$A66,'LANÇAMENTOS DIÁRIOS'!$O$5:$O$500,"&lt;=118279",'LANÇAMENTOS DIÁRIOS'!$P$5:$P$500,"&gt;=118180")&gt;0,"X","")</f>
      </c>
      <c r="K66" s="56" t="str">
        <f>IF(COUNTIFS('LANÇAMENTOS DIÁRIOS'!$G$5:$G$500,"G",'LANÇAMENTOS DIÁRIOS'!$C$5:$C$500,$A66,'LANÇAMENTOS DIÁRIOS'!$O$5:$O$500,"&lt;=118379",'LANÇAMENTOS DIÁRIOS'!$P$5:$P$500,"&gt;=118280")&gt;0,"X","")</f>
      </c>
      <c r="L66" s="56" t="str">
        <f>IF(COUNTIFS('LANÇAMENTOS DIÁRIOS'!$G$5:$G$500,"G",'LANÇAMENTOS DIÁRIOS'!$C$5:$C$500,$A66,'LANÇAMENTOS DIÁRIOS'!$O$5:$O$500,"&lt;=118479",'LANÇAMENTOS DIÁRIOS'!$P$5:$P$500,"&gt;=118380")&gt;0,"X","")</f>
      </c>
      <c r="M66" s="56" t="str">
        <f>IF(COUNTIFS('LANÇAMENTOS DIÁRIOS'!$G$5:$G$500,"G",'LANÇAMENTOS DIÁRIOS'!$C$5:$C$500,$A66,'LANÇAMENTOS DIÁRIOS'!$O$5:$O$500,"&lt;=118579",'LANÇAMENTOS DIÁRIOS'!$P$5:$P$500,"&gt;=118480")&gt;0,"X","")</f>
      </c>
      <c r="N66" s="56" t="str">
        <f>IF(COUNTIFS('LANÇAMENTOS DIÁRIOS'!$G$5:$G$500,"G",'LANÇAMENTOS DIÁRIOS'!$C$5:$C$500,$A66,'LANÇAMENTOS DIÁRIOS'!$O$5:$O$500,"&lt;=118679",'LANÇAMENTOS DIÁRIOS'!$P$5:$P$500,"&gt;=118580")&gt;0,"X","")</f>
      </c>
      <c r="O66" s="56" t="str">
        <f>IF(COUNTIFS('LANÇAMENTOS DIÁRIOS'!$G$5:$G$500,"G",'LANÇAMENTOS DIÁRIOS'!$C$5:$C$500,$A66,'LANÇAMENTOS DIÁRIOS'!$O$5:$O$500,"&lt;=118779",'LANÇAMENTOS DIÁRIOS'!$P$5:$P$500,"&gt;=118680")&gt;0,"X","")</f>
      </c>
      <c r="P66" s="56" t="str">
        <f>IF(COUNTIFS('LANÇAMENTOS DIÁRIOS'!$G$5:$G$500,"G",'LANÇAMENTOS DIÁRIOS'!$C$5:$C$500,$A66,'LANÇAMENTOS DIÁRIOS'!$O$5:$O$500,"&lt;=118879",'LANÇAMENTOS DIÁRIOS'!$P$5:$P$500,"&gt;=118780")&gt;0,"X","")</f>
      </c>
      <c r="Q66" s="56" t="str">
        <f>IF(COUNTIFS('LANÇAMENTOS DIÁRIOS'!$G$5:$G$500,"G",'LANÇAMENTOS DIÁRIOS'!$C$5:$C$500,$A66,'LANÇAMENTOS DIÁRIOS'!$O$5:$O$500,"&lt;=118979",'LANÇAMENTOS DIÁRIOS'!$P$5:$P$500,"&gt;=118880")&gt;0,"X","")</f>
      </c>
      <c r="R66" s="56" t="str">
        <f>IF(COUNTIFS('LANÇAMENTOS DIÁRIOS'!$G$5:$G$500,"G",'LANÇAMENTOS DIÁRIOS'!$C$5:$C$500,$A66,'LANÇAMENTOS DIÁRIOS'!$O$5:$O$500,"&lt;=119079",'LANÇAMENTOS DIÁRIOS'!$P$5:$P$500,"&gt;=118980")&gt;0,"X","")</f>
      </c>
      <c r="S66" s="56" t="str">
        <f>IF(COUNTIFS('LANÇAMENTOS DIÁRIOS'!$G$5:$G$500,"G",'LANÇAMENTOS DIÁRIOS'!$C$5:$C$500,$A66,'LANÇAMENTOS DIÁRIOS'!$O$5:$O$500,"&lt;=119179",'LANÇAMENTOS DIÁRIOS'!$P$5:$P$500,"&gt;=119080")&gt;0,"X","")</f>
      </c>
      <c r="T66" s="56" t="str">
        <f>IF(COUNTIFS('LANÇAMENTOS DIÁRIOS'!$G$5:$G$500,"G",'LANÇAMENTOS DIÁRIOS'!$C$5:$C$500,$A66,'LANÇAMENTOS DIÁRIOS'!$O$5:$O$500,"&lt;=119279",'LANÇAMENTOS DIÁRIOS'!$P$5:$P$500,"&gt;=119180")&gt;0,"X","")</f>
      </c>
      <c r="U66" s="56" t="str">
        <f>IF(COUNTIFS('LANÇAMENTOS DIÁRIOS'!$G$5:$G$500,"G",'LANÇAMENTOS DIÁRIOS'!$C$5:$C$500,$A66,'LANÇAMENTOS DIÁRIOS'!$O$5:$O$500,"&lt;=119379",'LANÇAMENTOS DIÁRIOS'!$P$5:$P$500,"&gt;=119280")&gt;0,"X","")</f>
      </c>
      <c r="V66" s="56" t="str">
        <f>IF(COUNTIFS('LANÇAMENTOS DIÁRIOS'!$G$5:$G$500,"G",'LANÇAMENTOS DIÁRIOS'!$C$5:$C$500,$A66,'LANÇAMENTOS DIÁRIOS'!$O$5:$O$500,"&lt;=119479",'LANÇAMENTOS DIÁRIOS'!$P$5:$P$500,"&gt;=119380")&gt;0,"X","")</f>
      </c>
      <c r="W66" s="56" t="str">
        <f>IF(COUNTIFS('LANÇAMENTOS DIÁRIOS'!$G$5:$G$500,"G",'LANÇAMENTOS DIÁRIOS'!$C$5:$C$500,$A66,'LANÇAMENTOS DIÁRIOS'!$O$5:$O$500,"&lt;=119579",'LANÇAMENTOS DIÁRIOS'!$P$5:$P$500,"&gt;=119480")&gt;0,"X","")</f>
      </c>
      <c r="X66" s="56" t="str">
        <f>IF(COUNTIFS('LANÇAMENTOS DIÁRIOS'!$G$5:$G$500,"G",'LANÇAMENTOS DIÁRIOS'!$C$5:$C$500,$A66,'LANÇAMENTOS DIÁRIOS'!$O$5:$O$500,"&lt;=119679",'LANÇAMENTOS DIÁRIOS'!$P$5:$P$500,"&gt;=119580")&gt;0,"X","")</f>
      </c>
      <c r="Y66" s="56" t="str">
        <f>IF(COUNTIFS('LANÇAMENTOS DIÁRIOS'!$G$5:$G$500,"G",'LANÇAMENTOS DIÁRIOS'!$C$5:$C$500,$A66,'LANÇAMENTOS DIÁRIOS'!$O$5:$O$500,"&lt;=119779",'LANÇAMENTOS DIÁRIOS'!$P$5:$P$500,"&gt;=119680")&gt;0,"X","")</f>
      </c>
      <c r="Z66" s="56" t="str">
        <f>IF(COUNTIFS('LANÇAMENTOS DIÁRIOS'!$G$5:$G$500,"G",'LANÇAMENTOS DIÁRIOS'!$C$5:$C$500,$A66,'LANÇAMENTOS DIÁRIOS'!$O$5:$O$500,"&lt;=119879",'LANÇAMENTOS DIÁRIOS'!$P$5:$P$500,"&gt;=119780")&gt;0,"X","")</f>
      </c>
      <c r="AA66" s="56" t="str">
        <f>IF(COUNTIFS('LANÇAMENTOS DIÁRIOS'!$G$5:$G$500,"G",'LANÇAMENTOS DIÁRIOS'!$C$5:$C$500,$A66,'LANÇAMENTOS DIÁRIOS'!$O$5:$O$500,"&lt;=119979",'LANÇAMENTOS DIÁRIOS'!$P$5:$P$500,"&gt;=119880")&gt;0,"X","")</f>
      </c>
      <c r="AB66" s="56" t="str">
        <f>IF(COUNTIFS('LANÇAMENTOS DIÁRIOS'!$G$5:$G$500,"G",'LANÇAMENTOS DIÁRIOS'!$C$5:$C$500,$A66,'LANÇAMENTOS DIÁRIOS'!$O$5:$O$500,"&lt;=120079",'LANÇAMENTOS DIÁRIOS'!$P$5:$P$500,"&gt;=119980")&gt;0,"X","")</f>
      </c>
      <c r="AC66" s="56" t="str">
        <f>IF(COUNTIFS('LANÇAMENTOS DIÁRIOS'!$G$5:$G$500,"G",'LANÇAMENTOS DIÁRIOS'!$C$5:$C$500,$A66,'LANÇAMENTOS DIÁRIOS'!$O$5:$O$500,"&lt;=120179",'LANÇAMENTOS DIÁRIOS'!$P$5:$P$500,"&gt;=120080")&gt;0,"X","")</f>
      </c>
      <c r="AD66" s="56" t="str">
        <f>IF(COUNTIFS('LANÇAMENTOS DIÁRIOS'!$G$5:$G$500,"G",'LANÇAMENTOS DIÁRIOS'!$C$5:$C$500,$A66,'LANÇAMENTOS DIÁRIOS'!$O$5:$O$500,"&lt;=120279",'LANÇAMENTOS DIÁRIOS'!$P$5:$P$500,"&gt;=120180")&gt;0,"X","")</f>
      </c>
      <c r="AE66" s="56" t="str">
        <f>IF(COUNTIFS('LANÇAMENTOS DIÁRIOS'!$G$5:$G$500,"G",'LANÇAMENTOS DIÁRIOS'!$C$5:$C$500,$A66,'LANÇAMENTOS DIÁRIOS'!$O$5:$O$500,"&lt;=120379",'LANÇAMENTOS DIÁRIOS'!$P$5:$P$500,"&gt;=120280")&gt;0,"X","")</f>
      </c>
      <c r="AF66" s="56" t="str">
        <f>IF(COUNTIFS('LANÇAMENTOS DIÁRIOS'!$G$5:$G$500,"G",'LANÇAMENTOS DIÁRIOS'!$C$5:$C$500,$A66,'LANÇAMENTOS DIÁRIOS'!$O$5:$O$500,"&lt;=120479",'LANÇAMENTOS DIÁRIOS'!$P$5:$P$500,"&gt;=120380")&gt;0,"X","")</f>
      </c>
      <c r="AG66" s="56" t="str">
        <f>IF(COUNTIFS('LANÇAMENTOS DIÁRIOS'!$G$5:$G$500,"G",'LANÇAMENTOS DIÁRIOS'!$C$5:$C$500,$A66,'LANÇAMENTOS DIÁRIOS'!$O$5:$O$500,"&lt;=120579",'LANÇAMENTOS DIÁRIOS'!$P$5:$P$500,"&gt;=120480")&gt;0,"X","")</f>
      </c>
      <c r="AH66" s="56" t="str">
        <f>IF(COUNTIFS('LANÇAMENTOS DIÁRIOS'!$G$5:$G$500,"G",'LANÇAMENTOS DIÁRIOS'!$C$5:$C$500,$A66,'LANÇAMENTOS DIÁRIOS'!$O$5:$O$500,"&lt;=120679",'LANÇAMENTOS DIÁRIOS'!$P$5:$P$500,"&gt;=120580")&gt;0,"X","")</f>
      </c>
      <c r="AI66" s="56" t="str">
        <f>IF(COUNTIFS('LANÇAMENTOS DIÁRIOS'!$G$5:$G$500,"G",'LANÇAMENTOS DIÁRIOS'!$C$5:$C$500,$A66,'LANÇAMENTOS DIÁRIOS'!$O$5:$O$500,"&lt;=120779",'LANÇAMENTOS DIÁRIOS'!$P$5:$P$500,"&gt;=120680")&gt;0,"X","")</f>
      </c>
      <c r="AJ66" s="56" t="str">
        <f>IF(COUNTIFS('LANÇAMENTOS DIÁRIOS'!$G$5:$G$500,"G",'LANÇAMENTOS DIÁRIOS'!$C$5:$C$500,$A66,'LANÇAMENTOS DIÁRIOS'!$O$5:$O$500,"&lt;=120879",'LANÇAMENTOS DIÁRIOS'!$P$5:$P$500,"&gt;=120780")&gt;0,"X","")</f>
      </c>
      <c r="AK66" s="56" t="str">
        <f>IF(COUNTIFS('LANÇAMENTOS DIÁRIOS'!$G$5:$G$500,"G",'LANÇAMENTOS DIÁRIOS'!$C$5:$C$500,$A66,'LANÇAMENTOS DIÁRIOS'!$O$5:$O$500,"&lt;=120979",'LANÇAMENTOS DIÁRIOS'!$P$5:$P$500,"&gt;=120880")&gt;0,"X","")</f>
      </c>
      <c r="AL66" s="56" t="str">
        <f>IF(COUNTIFS('LANÇAMENTOS DIÁRIOS'!$G$5:$G$500,"G",'LANÇAMENTOS DIÁRIOS'!$C$5:$C$500,$A66,'LANÇAMENTOS DIÁRIOS'!$O$5:$O$500,"&lt;=121079",'LANÇAMENTOS DIÁRIOS'!$P$5:$P$500,"&gt;=120980")&gt;0,"X","")</f>
      </c>
      <c r="AM66" s="56" t="str">
        <f>IF(COUNTIFS('LANÇAMENTOS DIÁRIOS'!$G$5:$G$500,"G",'LANÇAMENTOS DIÁRIOS'!$C$5:$C$500,$A66,'LANÇAMENTOS DIÁRIOS'!$O$5:$O$500,"&lt;=121179",'LANÇAMENTOS DIÁRIOS'!$P$5:$P$500,"&gt;=121080")&gt;0,"X","")</f>
      </c>
      <c r="AN66" s="56" t="str">
        <f>IF(COUNTIFS('LANÇAMENTOS DIÁRIOS'!$G$5:$G$500,"G",'LANÇAMENTOS DIÁRIOS'!$C$5:$C$500,$A66,'LANÇAMENTOS DIÁRIOS'!$O$5:$O$500,"&lt;=121279",'LANÇAMENTOS DIÁRIOS'!$P$5:$P$500,"&gt;=121180")&gt;0,"X","")</f>
      </c>
      <c r="AO66" s="56" t="str">
        <f>IF(COUNTIFS('LANÇAMENTOS DIÁRIOS'!$G$5:$G$500,"G",'LANÇAMENTOS DIÁRIOS'!$C$5:$C$500,$A66,'LANÇAMENTOS DIÁRIOS'!$O$5:$O$500,"&lt;=121379",'LANÇAMENTOS DIÁRIOS'!$P$5:$P$500,"&gt;=121280")&gt;0,"X","")</f>
      </c>
      <c r="AP66" s="56" t="str">
        <f>IF(COUNTIFS('LANÇAMENTOS DIÁRIOS'!$G$5:$G$500,"G",'LANÇAMENTOS DIÁRIOS'!$C$5:$C$500,$A66,'LANÇAMENTOS DIÁRIOS'!$O$5:$O$500,"&lt;=121479",'LANÇAMENTOS DIÁRIOS'!$P$5:$P$500,"&gt;=121380")&gt;0,"X","")</f>
      </c>
      <c r="AQ66" s="56" t="str">
        <f>IF(COUNTIFS('LANÇAMENTOS DIÁRIOS'!$G$5:$G$500,"G",'LANÇAMENTOS DIÁRIOS'!$C$5:$C$500,$A66,'LANÇAMENTOS DIÁRIOS'!$O$5:$O$500,"&lt;=121579",'LANÇAMENTOS DIÁRIOS'!$P$5:$P$500,"&gt;=121480")&gt;0,"X","")</f>
      </c>
      <c r="AR66" s="56" t="str">
        <f>IF(COUNTIFS('LANÇAMENTOS DIÁRIOS'!$G$5:$G$500,"G",'LANÇAMENTOS DIÁRIOS'!$C$5:$C$500,$A66,'LANÇAMENTOS DIÁRIOS'!$O$5:$O$500,"&lt;=121679",'LANÇAMENTOS DIÁRIOS'!$P$5:$P$500,"&gt;=121580")&gt;0,"X","")</f>
      </c>
      <c r="AS66" s="56" t="str">
        <f>IF(COUNTIFS('LANÇAMENTOS DIÁRIOS'!$G$5:$G$500,"G",'LANÇAMENTOS DIÁRIOS'!$C$5:$C$500,$A66,'LANÇAMENTOS DIÁRIOS'!$O$5:$O$500,"&lt;=121779",'LANÇAMENTOS DIÁRIOS'!$P$5:$P$500,"&gt;=121680")&gt;0,"X","")</f>
      </c>
      <c r="AT66" s="56" t="str">
        <f>IF(COUNTIFS('LANÇAMENTOS DIÁRIOS'!$G$5:$G$500,"G",'LANÇAMENTOS DIÁRIOS'!$C$5:$C$500,$A66,'LANÇAMENTOS DIÁRIOS'!$O$5:$O$500,"&lt;=121879",'LANÇAMENTOS DIÁRIOS'!$P$5:$P$500,"&gt;=121780")&gt;0,"X","")</f>
      </c>
      <c r="AU66" s="56" t="str">
        <f>IF(COUNTIFS('LANÇAMENTOS DIÁRIOS'!$G$5:$G$500,"G",'LANÇAMENTOS DIÁRIOS'!$C$5:$C$500,$A66,'LANÇAMENTOS DIÁRIOS'!$O$5:$O$500,"&lt;=121979",'LANÇAMENTOS DIÁRIOS'!$P$5:$P$500,"&gt;=121880")&gt;0,"X","")</f>
      </c>
      <c r="AV66" s="56" t="str">
        <f>IF(COUNTIFS('LANÇAMENTOS DIÁRIOS'!$G$5:$G$500,"G",'LANÇAMENTOS DIÁRIOS'!$C$5:$C$500,$A66,'LANÇAMENTOS DIÁRIOS'!$O$5:$O$500,"&lt;=122079",'LANÇAMENTOS DIÁRIOS'!$P$5:$P$500,"&gt;=121980")&gt;0,"X","")</f>
      </c>
      <c r="AW66" s="56" t="str">
        <f>IF(COUNTIFS('LANÇAMENTOS DIÁRIOS'!$G$5:$G$500,"G",'LANÇAMENTOS DIÁRIOS'!$C$5:$C$500,$A66,'LANÇAMENTOS DIÁRIOS'!$O$5:$O$500,"&lt;=122179",'LANÇAMENTOS DIÁRIOS'!$P$5:$P$500,"&gt;=122080")&gt;0,"X","")</f>
      </c>
      <c r="AX66" s="56" t="str">
        <f>IF(COUNTIFS('LANÇAMENTOS DIÁRIOS'!$G$5:$G$500,"G",'LANÇAMENTOS DIÁRIOS'!$C$5:$C$500,$A66,'LANÇAMENTOS DIÁRIOS'!$O$5:$O$500,"&lt;=122279",'LANÇAMENTOS DIÁRIOS'!$P$5:$P$500,"&gt;=122180")&gt;0,"X","")</f>
      </c>
      <c r="AY66" s="56" t="str">
        <f>IF(COUNTIFS('LANÇAMENTOS DIÁRIOS'!$G$5:$G$500,"G",'LANÇAMENTOS DIÁRIOS'!$C$5:$C$500,$A66,'LANÇAMENTOS DIÁRIOS'!$O$5:$O$500,"&lt;=122379",'LANÇAMENTOS DIÁRIOS'!$P$5:$P$500,"&gt;=122280")&gt;0,"X","")</f>
      </c>
      <c r="AZ66" s="56" t="str">
        <f>IF(COUNTIFS('LANÇAMENTOS DIÁRIOS'!$G$5:$G$500,"G",'LANÇAMENTOS DIÁRIOS'!$C$5:$C$500,$A66,'LANÇAMENTOS DIÁRIOS'!$O$5:$O$500,"&lt;=122479",'LANÇAMENTOS DIÁRIOS'!$P$5:$P$500,"&gt;=122380")&gt;0,"X","")</f>
      </c>
      <c r="BA66" s="56" t="str">
        <f>IF(COUNTIFS('LANÇAMENTOS DIÁRIOS'!$G$5:$G$500,"G",'LANÇAMENTOS DIÁRIOS'!$C$5:$C$500,$A66,'LANÇAMENTOS DIÁRIOS'!$O$5:$O$500,"&lt;=122579",'LANÇAMENTOS DIÁRIOS'!$P$5:$P$500,"&gt;=122480")&gt;0,"X","")</f>
      </c>
      <c r="BB66" s="56" t="str">
        <f>IF(COUNTIFS('LANÇAMENTOS DIÁRIOS'!$G$5:$G$500,"G",'LANÇAMENTOS DIÁRIOS'!$C$5:$C$500,$A66,'LANÇAMENTOS DIÁRIOS'!$O$5:$O$500,"&lt;=122679",'LANÇAMENTOS DIÁRIOS'!$P$5:$P$500,"&gt;=122580")&gt;0,"X","")</f>
      </c>
      <c r="BC66" s="56" t="str">
        <f>IF(COUNTIFS('LANÇAMENTOS DIÁRIOS'!$G$5:$G$500,"G",'LANÇAMENTOS DIÁRIOS'!$C$5:$C$500,$A66,'LANÇAMENTOS DIÁRIOS'!$O$5:$O$500,"&lt;=122779",'LANÇAMENTOS DIÁRIOS'!$P$5:$P$500,"&gt;=122680")&gt;0,"X","")</f>
      </c>
      <c r="BD66" s="56" t="str">
        <f>IF(COUNTIFS('LANÇAMENTOS DIÁRIOS'!$G$5:$G$500,"G",'LANÇAMENTOS DIÁRIOS'!$C$5:$C$500,$A66,'LANÇAMENTOS DIÁRIOS'!$O$5:$O$500,"&lt;=122879",'LANÇAMENTOS DIÁRIOS'!$P$5:$P$500,"&gt;=122780")&gt;0,"X","")</f>
      </c>
      <c r="BE66" s="56" t="str">
        <f>IF(COUNTIFS('LANÇAMENTOS DIÁRIOS'!$G$5:$G$500,"G",'LANÇAMENTOS DIÁRIOS'!$C$5:$C$500,$A66,'LANÇAMENTOS DIÁRIOS'!$O$5:$O$500,"&lt;=122979",'LANÇAMENTOS DIÁRIOS'!$P$5:$P$500,"&gt;=122880")&gt;0,"X","")</f>
      </c>
      <c r="BF66" s="56" t="str">
        <f>IF(COUNTIFS('LANÇAMENTOS DIÁRIOS'!$G$5:$G$500,"G",'LANÇAMENTOS DIÁRIOS'!$C$5:$C$500,$A66,'LANÇAMENTOS DIÁRIOS'!$O$5:$O$500,"&lt;=123079",'LANÇAMENTOS DIÁRIOS'!$P$5:$P$500,"&gt;=122980")&gt;0,"X","")</f>
      </c>
      <c r="BG66" s="56" t="str">
        <f>IF(COUNTIFS('LANÇAMENTOS DIÁRIOS'!$G$5:$G$500,"G",'LANÇAMENTOS DIÁRIOS'!$C$5:$C$500,$A66,'LANÇAMENTOS DIÁRIOS'!$O$5:$O$500,"&lt;=123179",'LANÇAMENTOS DIÁRIOS'!$P$5:$P$500,"&gt;=123080")&gt;0,"X","")</f>
      </c>
      <c r="BH66" s="56" t="str">
        <f>IF(COUNTIFS('LANÇAMENTOS DIÁRIOS'!$G$5:$G$500,"G",'LANÇAMENTOS DIÁRIOS'!$C$5:$C$500,$A66,'LANÇAMENTOS DIÁRIOS'!$O$5:$O$500,"&lt;=123279",'LANÇAMENTOS DIÁRIOS'!$P$5:$P$500,"&gt;=123180")&gt;0,"X","")</f>
      </c>
      <c r="BI66" s="56" t="str">
        <f>IF(COUNTIFS('LANÇAMENTOS DIÁRIOS'!$G$5:$G$500,"G",'LANÇAMENTOS DIÁRIOS'!$C$5:$C$500,$A66,'LANÇAMENTOS DIÁRIOS'!$O$5:$O$500,"&lt;=123379",'LANÇAMENTOS DIÁRIOS'!$P$5:$P$500,"&gt;=123280")&gt;0,"X","")</f>
      </c>
      <c r="BJ66" s="56" t="str">
        <f>IF(COUNTIFS('LANÇAMENTOS DIÁRIOS'!$G$5:$G$500,"G",'LANÇAMENTOS DIÁRIOS'!$C$5:$C$500,$A66,'LANÇAMENTOS DIÁRIOS'!$O$5:$O$500,"&lt;=123479",'LANÇAMENTOS DIÁRIOS'!$P$5:$P$500,"&gt;=123380")&gt;0,"X","")</f>
      </c>
      <c r="BK66" s="56" t="str">
        <f>IF(COUNTIFS('LANÇAMENTOS DIÁRIOS'!$G$5:$G$500,"G",'LANÇAMENTOS DIÁRIOS'!$C$5:$C$500,$A66,'LANÇAMENTOS DIÁRIOS'!$O$5:$O$500,"&lt;=123480",'LANÇAMENTOS DIÁRIOS'!$P$5:$P$500,"&gt;=123480")&gt;0,"X","")</f>
      </c>
    </row>
    <row r="67">
      <c r="A67" s="51" t="str">
        <v>Geogrelha uniaxial com deformação máxima de 5% e resistência nominal de 300kN/m (*) - Sem o fornecimento de materiais</v>
      </c>
      <c r="B67" s="56" t="str">
        <f>IF(COUNTIFS('LANÇAMENTOS DIÁRIOS'!$G$5:$G$500,"G",'LANÇAMENTOS DIÁRIOS'!$C$5:$C$500,$A67,'LANÇAMENTOS DIÁRIOS'!$O$5:$O$500,"&lt;=117479",'LANÇAMENTOS DIÁRIOS'!$P$5:$P$500,"&gt;=117380")&gt;0,"X","")</f>
      </c>
      <c r="C67" s="56" t="str">
        <f>IF(COUNTIFS('LANÇAMENTOS DIÁRIOS'!$G$5:$G$500,"G",'LANÇAMENTOS DIÁRIOS'!$C$5:$C$500,$A67,'LANÇAMENTOS DIÁRIOS'!$O$5:$O$500,"&lt;=117579",'LANÇAMENTOS DIÁRIOS'!$P$5:$P$500,"&gt;=117480")&gt;0,"X","")</f>
      </c>
      <c r="D67" s="56" t="str">
        <f>IF(COUNTIFS('LANÇAMENTOS DIÁRIOS'!$G$5:$G$500,"G",'LANÇAMENTOS DIÁRIOS'!$C$5:$C$500,$A67,'LANÇAMENTOS DIÁRIOS'!$O$5:$O$500,"&lt;=117679",'LANÇAMENTOS DIÁRIOS'!$P$5:$P$500,"&gt;=117580")&gt;0,"X","")</f>
      </c>
      <c r="E67" s="56" t="str">
        <f>IF(COUNTIFS('LANÇAMENTOS DIÁRIOS'!$G$5:$G$500,"G",'LANÇAMENTOS DIÁRIOS'!$C$5:$C$500,$A67,'LANÇAMENTOS DIÁRIOS'!$O$5:$O$500,"&lt;=117779",'LANÇAMENTOS DIÁRIOS'!$P$5:$P$500,"&gt;=117680")&gt;0,"X","")</f>
      </c>
      <c r="F67" s="56" t="str">
        <f>IF(COUNTIFS('LANÇAMENTOS DIÁRIOS'!$G$5:$G$500,"G",'LANÇAMENTOS DIÁRIOS'!$C$5:$C$500,$A67,'LANÇAMENTOS DIÁRIOS'!$O$5:$O$500,"&lt;=117879",'LANÇAMENTOS DIÁRIOS'!$P$5:$P$500,"&gt;=117780")&gt;0,"X","")</f>
      </c>
      <c r="G67" s="56" t="str">
        <f>IF(COUNTIFS('LANÇAMENTOS DIÁRIOS'!$G$5:$G$500,"G",'LANÇAMENTOS DIÁRIOS'!$C$5:$C$500,$A67,'LANÇAMENTOS DIÁRIOS'!$O$5:$O$500,"&lt;=117979",'LANÇAMENTOS DIÁRIOS'!$P$5:$P$500,"&gt;=117880")&gt;0,"X","")</f>
      </c>
      <c r="H67" s="56" t="str">
        <f>IF(COUNTIFS('LANÇAMENTOS DIÁRIOS'!$G$5:$G$500,"G",'LANÇAMENTOS DIÁRIOS'!$C$5:$C$500,$A67,'LANÇAMENTOS DIÁRIOS'!$O$5:$O$500,"&lt;=118079",'LANÇAMENTOS DIÁRIOS'!$P$5:$P$500,"&gt;=117980")&gt;0,"X","")</f>
      </c>
      <c r="I67" s="56" t="str">
        <f>IF(COUNTIFS('LANÇAMENTOS DIÁRIOS'!$G$5:$G$500,"G",'LANÇAMENTOS DIÁRIOS'!$C$5:$C$500,$A67,'LANÇAMENTOS DIÁRIOS'!$O$5:$O$500,"&lt;=118179",'LANÇAMENTOS DIÁRIOS'!$P$5:$P$500,"&gt;=118080")&gt;0,"X","")</f>
      </c>
      <c r="J67" s="56" t="str">
        <f>IF(COUNTIFS('LANÇAMENTOS DIÁRIOS'!$G$5:$G$500,"G",'LANÇAMENTOS DIÁRIOS'!$C$5:$C$500,$A67,'LANÇAMENTOS DIÁRIOS'!$O$5:$O$500,"&lt;=118279",'LANÇAMENTOS DIÁRIOS'!$P$5:$P$500,"&gt;=118180")&gt;0,"X","")</f>
      </c>
      <c r="K67" s="56" t="str">
        <f>IF(COUNTIFS('LANÇAMENTOS DIÁRIOS'!$G$5:$G$500,"G",'LANÇAMENTOS DIÁRIOS'!$C$5:$C$500,$A67,'LANÇAMENTOS DIÁRIOS'!$O$5:$O$500,"&lt;=118379",'LANÇAMENTOS DIÁRIOS'!$P$5:$P$500,"&gt;=118280")&gt;0,"X","")</f>
      </c>
      <c r="L67" s="56" t="str">
        <f>IF(COUNTIFS('LANÇAMENTOS DIÁRIOS'!$G$5:$G$500,"G",'LANÇAMENTOS DIÁRIOS'!$C$5:$C$500,$A67,'LANÇAMENTOS DIÁRIOS'!$O$5:$O$500,"&lt;=118479",'LANÇAMENTOS DIÁRIOS'!$P$5:$P$500,"&gt;=118380")&gt;0,"X","")</f>
      </c>
      <c r="M67" s="56" t="str">
        <f>IF(COUNTIFS('LANÇAMENTOS DIÁRIOS'!$G$5:$G$500,"G",'LANÇAMENTOS DIÁRIOS'!$C$5:$C$500,$A67,'LANÇAMENTOS DIÁRIOS'!$O$5:$O$500,"&lt;=118579",'LANÇAMENTOS DIÁRIOS'!$P$5:$P$500,"&gt;=118480")&gt;0,"X","")</f>
      </c>
      <c r="N67" s="56" t="str">
        <f>IF(COUNTIFS('LANÇAMENTOS DIÁRIOS'!$G$5:$G$500,"G",'LANÇAMENTOS DIÁRIOS'!$C$5:$C$500,$A67,'LANÇAMENTOS DIÁRIOS'!$O$5:$O$500,"&lt;=118679",'LANÇAMENTOS DIÁRIOS'!$P$5:$P$500,"&gt;=118580")&gt;0,"X","")</f>
      </c>
      <c r="O67" s="56" t="str">
        <f>IF(COUNTIFS('LANÇAMENTOS DIÁRIOS'!$G$5:$G$500,"G",'LANÇAMENTOS DIÁRIOS'!$C$5:$C$500,$A67,'LANÇAMENTOS DIÁRIOS'!$O$5:$O$500,"&lt;=118779",'LANÇAMENTOS DIÁRIOS'!$P$5:$P$500,"&gt;=118680")&gt;0,"X","")</f>
      </c>
      <c r="P67" s="56" t="str">
        <f>IF(COUNTIFS('LANÇAMENTOS DIÁRIOS'!$G$5:$G$500,"G",'LANÇAMENTOS DIÁRIOS'!$C$5:$C$500,$A67,'LANÇAMENTOS DIÁRIOS'!$O$5:$O$500,"&lt;=118879",'LANÇAMENTOS DIÁRIOS'!$P$5:$P$500,"&gt;=118780")&gt;0,"X","")</f>
      </c>
      <c r="Q67" s="56" t="str">
        <f>IF(COUNTIFS('LANÇAMENTOS DIÁRIOS'!$G$5:$G$500,"G",'LANÇAMENTOS DIÁRIOS'!$C$5:$C$500,$A67,'LANÇAMENTOS DIÁRIOS'!$O$5:$O$500,"&lt;=118979",'LANÇAMENTOS DIÁRIOS'!$P$5:$P$500,"&gt;=118880")&gt;0,"X","")</f>
      </c>
      <c r="R67" s="56" t="str">
        <f>IF(COUNTIFS('LANÇAMENTOS DIÁRIOS'!$G$5:$G$500,"G",'LANÇAMENTOS DIÁRIOS'!$C$5:$C$500,$A67,'LANÇAMENTOS DIÁRIOS'!$O$5:$O$500,"&lt;=119079",'LANÇAMENTOS DIÁRIOS'!$P$5:$P$500,"&gt;=118980")&gt;0,"X","")</f>
      </c>
      <c r="S67" s="56" t="str">
        <f>IF(COUNTIFS('LANÇAMENTOS DIÁRIOS'!$G$5:$G$500,"G",'LANÇAMENTOS DIÁRIOS'!$C$5:$C$500,$A67,'LANÇAMENTOS DIÁRIOS'!$O$5:$O$500,"&lt;=119179",'LANÇAMENTOS DIÁRIOS'!$P$5:$P$500,"&gt;=119080")&gt;0,"X","")</f>
      </c>
      <c r="T67" s="56" t="str">
        <f>IF(COUNTIFS('LANÇAMENTOS DIÁRIOS'!$G$5:$G$500,"G",'LANÇAMENTOS DIÁRIOS'!$C$5:$C$500,$A67,'LANÇAMENTOS DIÁRIOS'!$O$5:$O$500,"&lt;=119279",'LANÇAMENTOS DIÁRIOS'!$P$5:$P$500,"&gt;=119180")&gt;0,"X","")</f>
      </c>
      <c r="U67" s="56" t="str">
        <f>IF(COUNTIFS('LANÇAMENTOS DIÁRIOS'!$G$5:$G$500,"G",'LANÇAMENTOS DIÁRIOS'!$C$5:$C$500,$A67,'LANÇAMENTOS DIÁRIOS'!$O$5:$O$500,"&lt;=119379",'LANÇAMENTOS DIÁRIOS'!$P$5:$P$500,"&gt;=119280")&gt;0,"X","")</f>
      </c>
      <c r="V67" s="56" t="str">
        <f>IF(COUNTIFS('LANÇAMENTOS DIÁRIOS'!$G$5:$G$500,"G",'LANÇAMENTOS DIÁRIOS'!$C$5:$C$500,$A67,'LANÇAMENTOS DIÁRIOS'!$O$5:$O$500,"&lt;=119479",'LANÇAMENTOS DIÁRIOS'!$P$5:$P$500,"&gt;=119380")&gt;0,"X","")</f>
      </c>
      <c r="W67" s="56" t="str">
        <f>IF(COUNTIFS('LANÇAMENTOS DIÁRIOS'!$G$5:$G$500,"G",'LANÇAMENTOS DIÁRIOS'!$C$5:$C$500,$A67,'LANÇAMENTOS DIÁRIOS'!$O$5:$O$500,"&lt;=119579",'LANÇAMENTOS DIÁRIOS'!$P$5:$P$500,"&gt;=119480")&gt;0,"X","")</f>
      </c>
      <c r="X67" s="56" t="str">
        <f>IF(COUNTIFS('LANÇAMENTOS DIÁRIOS'!$G$5:$G$500,"G",'LANÇAMENTOS DIÁRIOS'!$C$5:$C$500,$A67,'LANÇAMENTOS DIÁRIOS'!$O$5:$O$500,"&lt;=119679",'LANÇAMENTOS DIÁRIOS'!$P$5:$P$500,"&gt;=119580")&gt;0,"X","")</f>
      </c>
      <c r="Y67" s="56" t="str">
        <f>IF(COUNTIFS('LANÇAMENTOS DIÁRIOS'!$G$5:$G$500,"G",'LANÇAMENTOS DIÁRIOS'!$C$5:$C$500,$A67,'LANÇAMENTOS DIÁRIOS'!$O$5:$O$500,"&lt;=119779",'LANÇAMENTOS DIÁRIOS'!$P$5:$P$500,"&gt;=119680")&gt;0,"X","")</f>
      </c>
      <c r="Z67" s="56" t="str">
        <f>IF(COUNTIFS('LANÇAMENTOS DIÁRIOS'!$G$5:$G$500,"G",'LANÇAMENTOS DIÁRIOS'!$C$5:$C$500,$A67,'LANÇAMENTOS DIÁRIOS'!$O$5:$O$500,"&lt;=119879",'LANÇAMENTOS DIÁRIOS'!$P$5:$P$500,"&gt;=119780")&gt;0,"X","")</f>
      </c>
      <c r="AA67" s="56" t="str">
        <f>IF(COUNTIFS('LANÇAMENTOS DIÁRIOS'!$G$5:$G$500,"G",'LANÇAMENTOS DIÁRIOS'!$C$5:$C$500,$A67,'LANÇAMENTOS DIÁRIOS'!$O$5:$O$500,"&lt;=119979",'LANÇAMENTOS DIÁRIOS'!$P$5:$P$500,"&gt;=119880")&gt;0,"X","")</f>
      </c>
      <c r="AB67" s="56" t="str">
        <f>IF(COUNTIFS('LANÇAMENTOS DIÁRIOS'!$G$5:$G$500,"G",'LANÇAMENTOS DIÁRIOS'!$C$5:$C$500,$A67,'LANÇAMENTOS DIÁRIOS'!$O$5:$O$500,"&lt;=120079",'LANÇAMENTOS DIÁRIOS'!$P$5:$P$500,"&gt;=119980")&gt;0,"X","")</f>
      </c>
      <c r="AC67" s="56" t="str">
        <f>IF(COUNTIFS('LANÇAMENTOS DIÁRIOS'!$G$5:$G$500,"G",'LANÇAMENTOS DIÁRIOS'!$C$5:$C$500,$A67,'LANÇAMENTOS DIÁRIOS'!$O$5:$O$500,"&lt;=120179",'LANÇAMENTOS DIÁRIOS'!$P$5:$P$500,"&gt;=120080")&gt;0,"X","")</f>
      </c>
      <c r="AD67" s="56" t="str">
        <f>IF(COUNTIFS('LANÇAMENTOS DIÁRIOS'!$G$5:$G$500,"G",'LANÇAMENTOS DIÁRIOS'!$C$5:$C$500,$A67,'LANÇAMENTOS DIÁRIOS'!$O$5:$O$500,"&lt;=120279",'LANÇAMENTOS DIÁRIOS'!$P$5:$P$500,"&gt;=120180")&gt;0,"X","")</f>
      </c>
      <c r="AE67" s="56" t="str">
        <f>IF(COUNTIFS('LANÇAMENTOS DIÁRIOS'!$G$5:$G$500,"G",'LANÇAMENTOS DIÁRIOS'!$C$5:$C$500,$A67,'LANÇAMENTOS DIÁRIOS'!$O$5:$O$500,"&lt;=120379",'LANÇAMENTOS DIÁRIOS'!$P$5:$P$500,"&gt;=120280")&gt;0,"X","")</f>
      </c>
      <c r="AF67" s="56" t="str">
        <f>IF(COUNTIFS('LANÇAMENTOS DIÁRIOS'!$G$5:$G$500,"G",'LANÇAMENTOS DIÁRIOS'!$C$5:$C$500,$A67,'LANÇAMENTOS DIÁRIOS'!$O$5:$O$500,"&lt;=120479",'LANÇAMENTOS DIÁRIOS'!$P$5:$P$500,"&gt;=120380")&gt;0,"X","")</f>
      </c>
      <c r="AG67" s="56" t="str">
        <f>IF(COUNTIFS('LANÇAMENTOS DIÁRIOS'!$G$5:$G$500,"G",'LANÇAMENTOS DIÁRIOS'!$C$5:$C$500,$A67,'LANÇAMENTOS DIÁRIOS'!$O$5:$O$500,"&lt;=120579",'LANÇAMENTOS DIÁRIOS'!$P$5:$P$500,"&gt;=120480")&gt;0,"X","")</f>
      </c>
      <c r="AH67" s="56" t="str">
        <f>IF(COUNTIFS('LANÇAMENTOS DIÁRIOS'!$G$5:$G$500,"G",'LANÇAMENTOS DIÁRIOS'!$C$5:$C$500,$A67,'LANÇAMENTOS DIÁRIOS'!$O$5:$O$500,"&lt;=120679",'LANÇAMENTOS DIÁRIOS'!$P$5:$P$500,"&gt;=120580")&gt;0,"X","")</f>
      </c>
      <c r="AI67" s="56" t="str">
        <f>IF(COUNTIFS('LANÇAMENTOS DIÁRIOS'!$G$5:$G$500,"G",'LANÇAMENTOS DIÁRIOS'!$C$5:$C$500,$A67,'LANÇAMENTOS DIÁRIOS'!$O$5:$O$500,"&lt;=120779",'LANÇAMENTOS DIÁRIOS'!$P$5:$P$500,"&gt;=120680")&gt;0,"X","")</f>
      </c>
      <c r="AJ67" s="56" t="str">
        <f>IF(COUNTIFS('LANÇAMENTOS DIÁRIOS'!$G$5:$G$500,"G",'LANÇAMENTOS DIÁRIOS'!$C$5:$C$500,$A67,'LANÇAMENTOS DIÁRIOS'!$O$5:$O$500,"&lt;=120879",'LANÇAMENTOS DIÁRIOS'!$P$5:$P$500,"&gt;=120780")&gt;0,"X","")</f>
      </c>
      <c r="AK67" s="56" t="str">
        <f>IF(COUNTIFS('LANÇAMENTOS DIÁRIOS'!$G$5:$G$500,"G",'LANÇAMENTOS DIÁRIOS'!$C$5:$C$500,$A67,'LANÇAMENTOS DIÁRIOS'!$O$5:$O$500,"&lt;=120979",'LANÇAMENTOS DIÁRIOS'!$P$5:$P$500,"&gt;=120880")&gt;0,"X","")</f>
      </c>
      <c r="AL67" s="56" t="str">
        <f>IF(COUNTIFS('LANÇAMENTOS DIÁRIOS'!$G$5:$G$500,"G",'LANÇAMENTOS DIÁRIOS'!$C$5:$C$500,$A67,'LANÇAMENTOS DIÁRIOS'!$O$5:$O$500,"&lt;=121079",'LANÇAMENTOS DIÁRIOS'!$P$5:$P$500,"&gt;=120980")&gt;0,"X","")</f>
      </c>
      <c r="AM67" s="56" t="str">
        <f>IF(COUNTIFS('LANÇAMENTOS DIÁRIOS'!$G$5:$G$500,"G",'LANÇAMENTOS DIÁRIOS'!$C$5:$C$500,$A67,'LANÇAMENTOS DIÁRIOS'!$O$5:$O$500,"&lt;=121179",'LANÇAMENTOS DIÁRIOS'!$P$5:$P$500,"&gt;=121080")&gt;0,"X","")</f>
      </c>
      <c r="AN67" s="56" t="str">
        <f>IF(COUNTIFS('LANÇAMENTOS DIÁRIOS'!$G$5:$G$500,"G",'LANÇAMENTOS DIÁRIOS'!$C$5:$C$500,$A67,'LANÇAMENTOS DIÁRIOS'!$O$5:$O$500,"&lt;=121279",'LANÇAMENTOS DIÁRIOS'!$P$5:$P$500,"&gt;=121180")&gt;0,"X","")</f>
      </c>
      <c r="AO67" s="56" t="str">
        <f>IF(COUNTIFS('LANÇAMENTOS DIÁRIOS'!$G$5:$G$500,"G",'LANÇAMENTOS DIÁRIOS'!$C$5:$C$500,$A67,'LANÇAMENTOS DIÁRIOS'!$O$5:$O$500,"&lt;=121379",'LANÇAMENTOS DIÁRIOS'!$P$5:$P$500,"&gt;=121280")&gt;0,"X","")</f>
      </c>
      <c r="AP67" s="56" t="str">
        <f>IF(COUNTIFS('LANÇAMENTOS DIÁRIOS'!$G$5:$G$500,"G",'LANÇAMENTOS DIÁRIOS'!$C$5:$C$500,$A67,'LANÇAMENTOS DIÁRIOS'!$O$5:$O$500,"&lt;=121479",'LANÇAMENTOS DIÁRIOS'!$P$5:$P$500,"&gt;=121380")&gt;0,"X","")</f>
      </c>
      <c r="AQ67" s="56" t="str">
        <f>IF(COUNTIFS('LANÇAMENTOS DIÁRIOS'!$G$5:$G$500,"G",'LANÇAMENTOS DIÁRIOS'!$C$5:$C$500,$A67,'LANÇAMENTOS DIÁRIOS'!$O$5:$O$500,"&lt;=121579",'LANÇAMENTOS DIÁRIOS'!$P$5:$P$500,"&gt;=121480")&gt;0,"X","")</f>
      </c>
      <c r="AR67" s="56" t="str">
        <f>IF(COUNTIFS('LANÇAMENTOS DIÁRIOS'!$G$5:$G$500,"G",'LANÇAMENTOS DIÁRIOS'!$C$5:$C$500,$A67,'LANÇAMENTOS DIÁRIOS'!$O$5:$O$500,"&lt;=121679",'LANÇAMENTOS DIÁRIOS'!$P$5:$P$500,"&gt;=121580")&gt;0,"X","")</f>
      </c>
      <c r="AS67" s="56" t="str">
        <f>IF(COUNTIFS('LANÇAMENTOS DIÁRIOS'!$G$5:$G$500,"G",'LANÇAMENTOS DIÁRIOS'!$C$5:$C$500,$A67,'LANÇAMENTOS DIÁRIOS'!$O$5:$O$500,"&lt;=121779",'LANÇAMENTOS DIÁRIOS'!$P$5:$P$500,"&gt;=121680")&gt;0,"X","")</f>
      </c>
      <c r="AT67" s="56" t="str">
        <f>IF(COUNTIFS('LANÇAMENTOS DIÁRIOS'!$G$5:$G$500,"G",'LANÇAMENTOS DIÁRIOS'!$C$5:$C$500,$A67,'LANÇAMENTOS DIÁRIOS'!$O$5:$O$500,"&lt;=121879",'LANÇAMENTOS DIÁRIOS'!$P$5:$P$500,"&gt;=121780")&gt;0,"X","")</f>
      </c>
      <c r="AU67" s="56" t="str">
        <f>IF(COUNTIFS('LANÇAMENTOS DIÁRIOS'!$G$5:$G$500,"G",'LANÇAMENTOS DIÁRIOS'!$C$5:$C$500,$A67,'LANÇAMENTOS DIÁRIOS'!$O$5:$O$500,"&lt;=121979",'LANÇAMENTOS DIÁRIOS'!$P$5:$P$500,"&gt;=121880")&gt;0,"X","")</f>
      </c>
      <c r="AV67" s="56" t="str">
        <f>IF(COUNTIFS('LANÇAMENTOS DIÁRIOS'!$G$5:$G$500,"G",'LANÇAMENTOS DIÁRIOS'!$C$5:$C$500,$A67,'LANÇAMENTOS DIÁRIOS'!$O$5:$O$500,"&lt;=122079",'LANÇAMENTOS DIÁRIOS'!$P$5:$P$500,"&gt;=121980")&gt;0,"X","")</f>
      </c>
      <c r="AW67" s="56" t="str">
        <f>IF(COUNTIFS('LANÇAMENTOS DIÁRIOS'!$G$5:$G$500,"G",'LANÇAMENTOS DIÁRIOS'!$C$5:$C$500,$A67,'LANÇAMENTOS DIÁRIOS'!$O$5:$O$500,"&lt;=122179",'LANÇAMENTOS DIÁRIOS'!$P$5:$P$500,"&gt;=122080")&gt;0,"X","")</f>
      </c>
      <c r="AX67" s="56" t="str">
        <f>IF(COUNTIFS('LANÇAMENTOS DIÁRIOS'!$G$5:$G$500,"G",'LANÇAMENTOS DIÁRIOS'!$C$5:$C$500,$A67,'LANÇAMENTOS DIÁRIOS'!$O$5:$O$500,"&lt;=122279",'LANÇAMENTOS DIÁRIOS'!$P$5:$P$500,"&gt;=122180")&gt;0,"X","")</f>
      </c>
      <c r="AY67" s="56" t="str">
        <f>IF(COUNTIFS('LANÇAMENTOS DIÁRIOS'!$G$5:$G$500,"G",'LANÇAMENTOS DIÁRIOS'!$C$5:$C$500,$A67,'LANÇAMENTOS DIÁRIOS'!$O$5:$O$500,"&lt;=122379",'LANÇAMENTOS DIÁRIOS'!$P$5:$P$500,"&gt;=122280")&gt;0,"X","")</f>
      </c>
      <c r="AZ67" s="56" t="str">
        <f>IF(COUNTIFS('LANÇAMENTOS DIÁRIOS'!$G$5:$G$500,"G",'LANÇAMENTOS DIÁRIOS'!$C$5:$C$500,$A67,'LANÇAMENTOS DIÁRIOS'!$O$5:$O$500,"&lt;=122479",'LANÇAMENTOS DIÁRIOS'!$P$5:$P$500,"&gt;=122380")&gt;0,"X","")</f>
      </c>
      <c r="BA67" s="56" t="str">
        <f>IF(COUNTIFS('LANÇAMENTOS DIÁRIOS'!$G$5:$G$500,"G",'LANÇAMENTOS DIÁRIOS'!$C$5:$C$500,$A67,'LANÇAMENTOS DIÁRIOS'!$O$5:$O$500,"&lt;=122579",'LANÇAMENTOS DIÁRIOS'!$P$5:$P$500,"&gt;=122480")&gt;0,"X","")</f>
      </c>
      <c r="BB67" s="56" t="str">
        <f>IF(COUNTIFS('LANÇAMENTOS DIÁRIOS'!$G$5:$G$500,"G",'LANÇAMENTOS DIÁRIOS'!$C$5:$C$500,$A67,'LANÇAMENTOS DIÁRIOS'!$O$5:$O$500,"&lt;=122679",'LANÇAMENTOS DIÁRIOS'!$P$5:$P$500,"&gt;=122580")&gt;0,"X","")</f>
      </c>
      <c r="BC67" s="56" t="str">
        <f>IF(COUNTIFS('LANÇAMENTOS DIÁRIOS'!$G$5:$G$500,"G",'LANÇAMENTOS DIÁRIOS'!$C$5:$C$500,$A67,'LANÇAMENTOS DIÁRIOS'!$O$5:$O$500,"&lt;=122779",'LANÇAMENTOS DIÁRIOS'!$P$5:$P$500,"&gt;=122680")&gt;0,"X","")</f>
      </c>
      <c r="BD67" s="56" t="str">
        <f>IF(COUNTIFS('LANÇAMENTOS DIÁRIOS'!$G$5:$G$500,"G",'LANÇAMENTOS DIÁRIOS'!$C$5:$C$500,$A67,'LANÇAMENTOS DIÁRIOS'!$O$5:$O$500,"&lt;=122879",'LANÇAMENTOS DIÁRIOS'!$P$5:$P$500,"&gt;=122780")&gt;0,"X","")</f>
      </c>
      <c r="BE67" s="56" t="str">
        <f>IF(COUNTIFS('LANÇAMENTOS DIÁRIOS'!$G$5:$G$500,"G",'LANÇAMENTOS DIÁRIOS'!$C$5:$C$500,$A67,'LANÇAMENTOS DIÁRIOS'!$O$5:$O$500,"&lt;=122979",'LANÇAMENTOS DIÁRIOS'!$P$5:$P$500,"&gt;=122880")&gt;0,"X","")</f>
      </c>
      <c r="BF67" s="56" t="str">
        <f>IF(COUNTIFS('LANÇAMENTOS DIÁRIOS'!$G$5:$G$500,"G",'LANÇAMENTOS DIÁRIOS'!$C$5:$C$500,$A67,'LANÇAMENTOS DIÁRIOS'!$O$5:$O$500,"&lt;=123079",'LANÇAMENTOS DIÁRIOS'!$P$5:$P$500,"&gt;=122980")&gt;0,"X","")</f>
      </c>
      <c r="BG67" s="56" t="str">
        <f>IF(COUNTIFS('LANÇAMENTOS DIÁRIOS'!$G$5:$G$500,"G",'LANÇAMENTOS DIÁRIOS'!$C$5:$C$500,$A67,'LANÇAMENTOS DIÁRIOS'!$O$5:$O$500,"&lt;=123179",'LANÇAMENTOS DIÁRIOS'!$P$5:$P$500,"&gt;=123080")&gt;0,"X","")</f>
      </c>
      <c r="BH67" s="56" t="str">
        <f>IF(COUNTIFS('LANÇAMENTOS DIÁRIOS'!$G$5:$G$500,"G",'LANÇAMENTOS DIÁRIOS'!$C$5:$C$500,$A67,'LANÇAMENTOS DIÁRIOS'!$O$5:$O$500,"&lt;=123279",'LANÇAMENTOS DIÁRIOS'!$P$5:$P$500,"&gt;=123180")&gt;0,"X","")</f>
      </c>
      <c r="BI67" s="56" t="str">
        <f>IF(COUNTIFS('LANÇAMENTOS DIÁRIOS'!$G$5:$G$500,"G",'LANÇAMENTOS DIÁRIOS'!$C$5:$C$500,$A67,'LANÇAMENTOS DIÁRIOS'!$O$5:$O$500,"&lt;=123379",'LANÇAMENTOS DIÁRIOS'!$P$5:$P$500,"&gt;=123280")&gt;0,"X","")</f>
      </c>
      <c r="BJ67" s="56" t="str">
        <f>IF(COUNTIFS('LANÇAMENTOS DIÁRIOS'!$G$5:$G$500,"G",'LANÇAMENTOS DIÁRIOS'!$C$5:$C$500,$A67,'LANÇAMENTOS DIÁRIOS'!$O$5:$O$500,"&lt;=123479",'LANÇAMENTOS DIÁRIOS'!$P$5:$P$500,"&gt;=123380")&gt;0,"X","")</f>
      </c>
      <c r="BK67" s="56" t="str">
        <f>IF(COUNTIFS('LANÇAMENTOS DIÁRIOS'!$G$5:$G$500,"G",'LANÇAMENTOS DIÁRIOS'!$C$5:$C$500,$A67,'LANÇAMENTOS DIÁRIOS'!$O$5:$O$500,"&lt;=123480",'LANÇAMENTOS DIÁRIOS'!$P$5:$P$500,"&gt;=123480")&gt;0,"X","")</f>
      </c>
    </row>
    <row r="68" ht="19" customHeight="1">
      <c r="A68" s="68" t="str">
        <v>Instrumentação geotécnica para Terraplenagem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</row>
    <row r="69">
      <c r="A69" s="51" t="str">
        <v>Placa de recalque</v>
      </c>
      <c r="B69" s="56" t="str">
        <f>IF(COUNTIFS('LANÇAMENTOS DIÁRIOS'!$G$5:$G$500,"G",'LANÇAMENTOS DIÁRIOS'!$C$5:$C$500,$A69,'LANÇAMENTOS DIÁRIOS'!$O$5:$O$500,"&lt;=117479",'LANÇAMENTOS DIÁRIOS'!$P$5:$P$500,"&gt;=117380")&gt;0,"X","")</f>
      </c>
      <c r="C69" s="56" t="str">
        <f>IF(COUNTIFS('LANÇAMENTOS DIÁRIOS'!$G$5:$G$500,"G",'LANÇAMENTOS DIÁRIOS'!$C$5:$C$500,$A69,'LANÇAMENTOS DIÁRIOS'!$O$5:$O$500,"&lt;=117579",'LANÇAMENTOS DIÁRIOS'!$P$5:$P$500,"&gt;=117480")&gt;0,"X","")</f>
      </c>
      <c r="D69" s="56" t="str">
        <f>IF(COUNTIFS('LANÇAMENTOS DIÁRIOS'!$G$5:$G$500,"G",'LANÇAMENTOS DIÁRIOS'!$C$5:$C$500,$A69,'LANÇAMENTOS DIÁRIOS'!$O$5:$O$500,"&lt;=117679",'LANÇAMENTOS DIÁRIOS'!$P$5:$P$500,"&gt;=117580")&gt;0,"X","")</f>
      </c>
      <c r="E69" s="56" t="str">
        <f>IF(COUNTIFS('LANÇAMENTOS DIÁRIOS'!$G$5:$G$500,"G",'LANÇAMENTOS DIÁRIOS'!$C$5:$C$500,$A69,'LANÇAMENTOS DIÁRIOS'!$O$5:$O$500,"&lt;=117779",'LANÇAMENTOS DIÁRIOS'!$P$5:$P$500,"&gt;=117680")&gt;0,"X","")</f>
      </c>
      <c r="F69" s="56" t="str">
        <f>IF(COUNTIFS('LANÇAMENTOS DIÁRIOS'!$G$5:$G$500,"G",'LANÇAMENTOS DIÁRIOS'!$C$5:$C$500,$A69,'LANÇAMENTOS DIÁRIOS'!$O$5:$O$500,"&lt;=117879",'LANÇAMENTOS DIÁRIOS'!$P$5:$P$500,"&gt;=117780")&gt;0,"X","")</f>
      </c>
      <c r="G69" s="56" t="str">
        <f>IF(COUNTIFS('LANÇAMENTOS DIÁRIOS'!$G$5:$G$500,"G",'LANÇAMENTOS DIÁRIOS'!$C$5:$C$500,$A69,'LANÇAMENTOS DIÁRIOS'!$O$5:$O$500,"&lt;=117979",'LANÇAMENTOS DIÁRIOS'!$P$5:$P$500,"&gt;=117880")&gt;0,"X","")</f>
      </c>
      <c r="H69" s="56" t="str">
        <f>IF(COUNTIFS('LANÇAMENTOS DIÁRIOS'!$G$5:$G$500,"G",'LANÇAMENTOS DIÁRIOS'!$C$5:$C$500,$A69,'LANÇAMENTOS DIÁRIOS'!$O$5:$O$500,"&lt;=118079",'LANÇAMENTOS DIÁRIOS'!$P$5:$P$500,"&gt;=117980")&gt;0,"X","")</f>
      </c>
      <c r="I69" s="56" t="str">
        <f>IF(COUNTIFS('LANÇAMENTOS DIÁRIOS'!$G$5:$G$500,"G",'LANÇAMENTOS DIÁRIOS'!$C$5:$C$500,$A69,'LANÇAMENTOS DIÁRIOS'!$O$5:$O$500,"&lt;=118179",'LANÇAMENTOS DIÁRIOS'!$P$5:$P$500,"&gt;=118080")&gt;0,"X","")</f>
      </c>
      <c r="J69" s="56" t="str">
        <f>IF(COUNTIFS('LANÇAMENTOS DIÁRIOS'!$G$5:$G$500,"G",'LANÇAMENTOS DIÁRIOS'!$C$5:$C$500,$A69,'LANÇAMENTOS DIÁRIOS'!$O$5:$O$500,"&lt;=118279",'LANÇAMENTOS DIÁRIOS'!$P$5:$P$500,"&gt;=118180")&gt;0,"X","")</f>
      </c>
      <c r="K69" s="56" t="str">
        <f>IF(COUNTIFS('LANÇAMENTOS DIÁRIOS'!$G$5:$G$500,"G",'LANÇAMENTOS DIÁRIOS'!$C$5:$C$500,$A69,'LANÇAMENTOS DIÁRIOS'!$O$5:$O$500,"&lt;=118379",'LANÇAMENTOS DIÁRIOS'!$P$5:$P$500,"&gt;=118280")&gt;0,"X","")</f>
      </c>
      <c r="L69" s="56" t="str">
        <f>IF(COUNTIFS('LANÇAMENTOS DIÁRIOS'!$G$5:$G$500,"G",'LANÇAMENTOS DIÁRIOS'!$C$5:$C$500,$A69,'LANÇAMENTOS DIÁRIOS'!$O$5:$O$500,"&lt;=118479",'LANÇAMENTOS DIÁRIOS'!$P$5:$P$500,"&gt;=118380")&gt;0,"X","")</f>
      </c>
      <c r="M69" s="56" t="str">
        <f>IF(COUNTIFS('LANÇAMENTOS DIÁRIOS'!$G$5:$G$500,"G",'LANÇAMENTOS DIÁRIOS'!$C$5:$C$500,$A69,'LANÇAMENTOS DIÁRIOS'!$O$5:$O$500,"&lt;=118579",'LANÇAMENTOS DIÁRIOS'!$P$5:$P$500,"&gt;=118480")&gt;0,"X","")</f>
      </c>
      <c r="N69" s="56" t="str">
        <f>IF(COUNTIFS('LANÇAMENTOS DIÁRIOS'!$G$5:$G$500,"G",'LANÇAMENTOS DIÁRIOS'!$C$5:$C$500,$A69,'LANÇAMENTOS DIÁRIOS'!$O$5:$O$500,"&lt;=118679",'LANÇAMENTOS DIÁRIOS'!$P$5:$P$500,"&gt;=118580")&gt;0,"X","")</f>
      </c>
      <c r="O69" s="56" t="str">
        <f>IF(COUNTIFS('LANÇAMENTOS DIÁRIOS'!$G$5:$G$500,"G",'LANÇAMENTOS DIÁRIOS'!$C$5:$C$500,$A69,'LANÇAMENTOS DIÁRIOS'!$O$5:$O$500,"&lt;=118779",'LANÇAMENTOS DIÁRIOS'!$P$5:$P$500,"&gt;=118680")&gt;0,"X","")</f>
      </c>
      <c r="P69" s="56" t="str">
        <f>IF(COUNTIFS('LANÇAMENTOS DIÁRIOS'!$G$5:$G$500,"G",'LANÇAMENTOS DIÁRIOS'!$C$5:$C$500,$A69,'LANÇAMENTOS DIÁRIOS'!$O$5:$O$500,"&lt;=118879",'LANÇAMENTOS DIÁRIOS'!$P$5:$P$500,"&gt;=118780")&gt;0,"X","")</f>
      </c>
      <c r="Q69" s="56" t="str">
        <f>IF(COUNTIFS('LANÇAMENTOS DIÁRIOS'!$G$5:$G$500,"G",'LANÇAMENTOS DIÁRIOS'!$C$5:$C$500,$A69,'LANÇAMENTOS DIÁRIOS'!$O$5:$O$500,"&lt;=118979",'LANÇAMENTOS DIÁRIOS'!$P$5:$P$500,"&gt;=118880")&gt;0,"X","")</f>
      </c>
      <c r="R69" s="56" t="str">
        <f>IF(COUNTIFS('LANÇAMENTOS DIÁRIOS'!$G$5:$G$500,"G",'LANÇAMENTOS DIÁRIOS'!$C$5:$C$500,$A69,'LANÇAMENTOS DIÁRIOS'!$O$5:$O$500,"&lt;=119079",'LANÇAMENTOS DIÁRIOS'!$P$5:$P$500,"&gt;=118980")&gt;0,"X","")</f>
      </c>
      <c r="S69" s="56" t="str">
        <f>IF(COUNTIFS('LANÇAMENTOS DIÁRIOS'!$G$5:$G$500,"G",'LANÇAMENTOS DIÁRIOS'!$C$5:$C$500,$A69,'LANÇAMENTOS DIÁRIOS'!$O$5:$O$500,"&lt;=119179",'LANÇAMENTOS DIÁRIOS'!$P$5:$P$500,"&gt;=119080")&gt;0,"X","")</f>
      </c>
      <c r="T69" s="56" t="str">
        <f>IF(COUNTIFS('LANÇAMENTOS DIÁRIOS'!$G$5:$G$500,"G",'LANÇAMENTOS DIÁRIOS'!$C$5:$C$500,$A69,'LANÇAMENTOS DIÁRIOS'!$O$5:$O$500,"&lt;=119279",'LANÇAMENTOS DIÁRIOS'!$P$5:$P$500,"&gt;=119180")&gt;0,"X","")</f>
      </c>
      <c r="U69" s="56" t="str">
        <f>IF(COUNTIFS('LANÇAMENTOS DIÁRIOS'!$G$5:$G$500,"G",'LANÇAMENTOS DIÁRIOS'!$C$5:$C$500,$A69,'LANÇAMENTOS DIÁRIOS'!$O$5:$O$500,"&lt;=119379",'LANÇAMENTOS DIÁRIOS'!$P$5:$P$500,"&gt;=119280")&gt;0,"X","")</f>
      </c>
      <c r="V69" s="56" t="str">
        <f>IF(COUNTIFS('LANÇAMENTOS DIÁRIOS'!$G$5:$G$500,"G",'LANÇAMENTOS DIÁRIOS'!$C$5:$C$500,$A69,'LANÇAMENTOS DIÁRIOS'!$O$5:$O$500,"&lt;=119479",'LANÇAMENTOS DIÁRIOS'!$P$5:$P$500,"&gt;=119380")&gt;0,"X","")</f>
      </c>
      <c r="W69" s="56" t="str">
        <f>IF(COUNTIFS('LANÇAMENTOS DIÁRIOS'!$G$5:$G$500,"G",'LANÇAMENTOS DIÁRIOS'!$C$5:$C$500,$A69,'LANÇAMENTOS DIÁRIOS'!$O$5:$O$500,"&lt;=119579",'LANÇAMENTOS DIÁRIOS'!$P$5:$P$500,"&gt;=119480")&gt;0,"X","")</f>
      </c>
      <c r="X69" s="56" t="str">
        <f>IF(COUNTIFS('LANÇAMENTOS DIÁRIOS'!$G$5:$G$500,"G",'LANÇAMENTOS DIÁRIOS'!$C$5:$C$500,$A69,'LANÇAMENTOS DIÁRIOS'!$O$5:$O$500,"&lt;=119679",'LANÇAMENTOS DIÁRIOS'!$P$5:$P$500,"&gt;=119580")&gt;0,"X","")</f>
      </c>
      <c r="Y69" s="56" t="str">
        <f>IF(COUNTIFS('LANÇAMENTOS DIÁRIOS'!$G$5:$G$500,"G",'LANÇAMENTOS DIÁRIOS'!$C$5:$C$500,$A69,'LANÇAMENTOS DIÁRIOS'!$O$5:$O$500,"&lt;=119779",'LANÇAMENTOS DIÁRIOS'!$P$5:$P$500,"&gt;=119680")&gt;0,"X","")</f>
      </c>
      <c r="Z69" s="56" t="str">
        <f>IF(COUNTIFS('LANÇAMENTOS DIÁRIOS'!$G$5:$G$500,"G",'LANÇAMENTOS DIÁRIOS'!$C$5:$C$500,$A69,'LANÇAMENTOS DIÁRIOS'!$O$5:$O$500,"&lt;=119879",'LANÇAMENTOS DIÁRIOS'!$P$5:$P$500,"&gt;=119780")&gt;0,"X","")</f>
      </c>
      <c r="AA69" s="56" t="str">
        <f>IF(COUNTIFS('LANÇAMENTOS DIÁRIOS'!$G$5:$G$500,"G",'LANÇAMENTOS DIÁRIOS'!$C$5:$C$500,$A69,'LANÇAMENTOS DIÁRIOS'!$O$5:$O$500,"&lt;=119979",'LANÇAMENTOS DIÁRIOS'!$P$5:$P$500,"&gt;=119880")&gt;0,"X","")</f>
      </c>
      <c r="AB69" s="56" t="str">
        <f>IF(COUNTIFS('LANÇAMENTOS DIÁRIOS'!$G$5:$G$500,"G",'LANÇAMENTOS DIÁRIOS'!$C$5:$C$500,$A69,'LANÇAMENTOS DIÁRIOS'!$O$5:$O$500,"&lt;=120079",'LANÇAMENTOS DIÁRIOS'!$P$5:$P$500,"&gt;=119980")&gt;0,"X","")</f>
      </c>
      <c r="AC69" s="56" t="str">
        <f>IF(COUNTIFS('LANÇAMENTOS DIÁRIOS'!$G$5:$G$500,"G",'LANÇAMENTOS DIÁRIOS'!$C$5:$C$500,$A69,'LANÇAMENTOS DIÁRIOS'!$O$5:$O$500,"&lt;=120179",'LANÇAMENTOS DIÁRIOS'!$P$5:$P$500,"&gt;=120080")&gt;0,"X","")</f>
      </c>
      <c r="AD69" s="56" t="str">
        <f>IF(COUNTIFS('LANÇAMENTOS DIÁRIOS'!$G$5:$G$500,"G",'LANÇAMENTOS DIÁRIOS'!$C$5:$C$500,$A69,'LANÇAMENTOS DIÁRIOS'!$O$5:$O$500,"&lt;=120279",'LANÇAMENTOS DIÁRIOS'!$P$5:$P$500,"&gt;=120180")&gt;0,"X","")</f>
      </c>
      <c r="AE69" s="56" t="str">
        <f>IF(COUNTIFS('LANÇAMENTOS DIÁRIOS'!$G$5:$G$500,"G",'LANÇAMENTOS DIÁRIOS'!$C$5:$C$500,$A69,'LANÇAMENTOS DIÁRIOS'!$O$5:$O$500,"&lt;=120379",'LANÇAMENTOS DIÁRIOS'!$P$5:$P$500,"&gt;=120280")&gt;0,"X","")</f>
      </c>
      <c r="AF69" s="56" t="str">
        <f>IF(COUNTIFS('LANÇAMENTOS DIÁRIOS'!$G$5:$G$500,"G",'LANÇAMENTOS DIÁRIOS'!$C$5:$C$500,$A69,'LANÇAMENTOS DIÁRIOS'!$O$5:$O$500,"&lt;=120479",'LANÇAMENTOS DIÁRIOS'!$P$5:$P$500,"&gt;=120380")&gt;0,"X","")</f>
      </c>
      <c r="AG69" s="56" t="str">
        <f>IF(COUNTIFS('LANÇAMENTOS DIÁRIOS'!$G$5:$G$500,"G",'LANÇAMENTOS DIÁRIOS'!$C$5:$C$500,$A69,'LANÇAMENTOS DIÁRIOS'!$O$5:$O$500,"&lt;=120579",'LANÇAMENTOS DIÁRIOS'!$P$5:$P$500,"&gt;=120480")&gt;0,"X","")</f>
      </c>
      <c r="AH69" s="56" t="str">
        <f>IF(COUNTIFS('LANÇAMENTOS DIÁRIOS'!$G$5:$G$500,"G",'LANÇAMENTOS DIÁRIOS'!$C$5:$C$500,$A69,'LANÇAMENTOS DIÁRIOS'!$O$5:$O$500,"&lt;=120679",'LANÇAMENTOS DIÁRIOS'!$P$5:$P$500,"&gt;=120580")&gt;0,"X","")</f>
      </c>
      <c r="AI69" s="56" t="str">
        <f>IF(COUNTIFS('LANÇAMENTOS DIÁRIOS'!$G$5:$G$500,"G",'LANÇAMENTOS DIÁRIOS'!$C$5:$C$500,$A69,'LANÇAMENTOS DIÁRIOS'!$O$5:$O$500,"&lt;=120779",'LANÇAMENTOS DIÁRIOS'!$P$5:$P$500,"&gt;=120680")&gt;0,"X","")</f>
      </c>
      <c r="AJ69" s="56" t="str">
        <f>IF(COUNTIFS('LANÇAMENTOS DIÁRIOS'!$G$5:$G$500,"G",'LANÇAMENTOS DIÁRIOS'!$C$5:$C$500,$A69,'LANÇAMENTOS DIÁRIOS'!$O$5:$O$500,"&lt;=120879",'LANÇAMENTOS DIÁRIOS'!$P$5:$P$500,"&gt;=120780")&gt;0,"X","")</f>
      </c>
      <c r="AK69" s="56" t="str">
        <f>IF(COUNTIFS('LANÇAMENTOS DIÁRIOS'!$G$5:$G$500,"G",'LANÇAMENTOS DIÁRIOS'!$C$5:$C$500,$A69,'LANÇAMENTOS DIÁRIOS'!$O$5:$O$500,"&lt;=120979",'LANÇAMENTOS DIÁRIOS'!$P$5:$P$500,"&gt;=120880")&gt;0,"X","")</f>
      </c>
      <c r="AL69" s="56" t="str">
        <f>IF(COUNTIFS('LANÇAMENTOS DIÁRIOS'!$G$5:$G$500,"G",'LANÇAMENTOS DIÁRIOS'!$C$5:$C$500,$A69,'LANÇAMENTOS DIÁRIOS'!$O$5:$O$500,"&lt;=121079",'LANÇAMENTOS DIÁRIOS'!$P$5:$P$500,"&gt;=120980")&gt;0,"X","")</f>
      </c>
      <c r="AM69" s="56" t="str">
        <f>IF(COUNTIFS('LANÇAMENTOS DIÁRIOS'!$G$5:$G$500,"G",'LANÇAMENTOS DIÁRIOS'!$C$5:$C$500,$A69,'LANÇAMENTOS DIÁRIOS'!$O$5:$O$500,"&lt;=121179",'LANÇAMENTOS DIÁRIOS'!$P$5:$P$500,"&gt;=121080")&gt;0,"X","")</f>
      </c>
      <c r="AN69" s="56" t="str">
        <f>IF(COUNTIFS('LANÇAMENTOS DIÁRIOS'!$G$5:$G$500,"G",'LANÇAMENTOS DIÁRIOS'!$C$5:$C$500,$A69,'LANÇAMENTOS DIÁRIOS'!$O$5:$O$500,"&lt;=121279",'LANÇAMENTOS DIÁRIOS'!$P$5:$P$500,"&gt;=121180")&gt;0,"X","")</f>
      </c>
      <c r="AO69" s="56" t="str">
        <f>IF(COUNTIFS('LANÇAMENTOS DIÁRIOS'!$G$5:$G$500,"G",'LANÇAMENTOS DIÁRIOS'!$C$5:$C$500,$A69,'LANÇAMENTOS DIÁRIOS'!$O$5:$O$500,"&lt;=121379",'LANÇAMENTOS DIÁRIOS'!$P$5:$P$500,"&gt;=121280")&gt;0,"X","")</f>
      </c>
      <c r="AP69" s="56" t="str">
        <f>IF(COUNTIFS('LANÇAMENTOS DIÁRIOS'!$G$5:$G$500,"G",'LANÇAMENTOS DIÁRIOS'!$C$5:$C$500,$A69,'LANÇAMENTOS DIÁRIOS'!$O$5:$O$500,"&lt;=121479",'LANÇAMENTOS DIÁRIOS'!$P$5:$P$500,"&gt;=121380")&gt;0,"X","")</f>
      </c>
      <c r="AQ69" s="56" t="str">
        <f>IF(COUNTIFS('LANÇAMENTOS DIÁRIOS'!$G$5:$G$500,"G",'LANÇAMENTOS DIÁRIOS'!$C$5:$C$500,$A69,'LANÇAMENTOS DIÁRIOS'!$O$5:$O$500,"&lt;=121579",'LANÇAMENTOS DIÁRIOS'!$P$5:$P$500,"&gt;=121480")&gt;0,"X","")</f>
      </c>
      <c r="AR69" s="56" t="str">
        <f>IF(COUNTIFS('LANÇAMENTOS DIÁRIOS'!$G$5:$G$500,"G",'LANÇAMENTOS DIÁRIOS'!$C$5:$C$500,$A69,'LANÇAMENTOS DIÁRIOS'!$O$5:$O$500,"&lt;=121679",'LANÇAMENTOS DIÁRIOS'!$P$5:$P$500,"&gt;=121580")&gt;0,"X","")</f>
      </c>
      <c r="AS69" s="56" t="str">
        <f>IF(COUNTIFS('LANÇAMENTOS DIÁRIOS'!$G$5:$G$500,"G",'LANÇAMENTOS DIÁRIOS'!$C$5:$C$500,$A69,'LANÇAMENTOS DIÁRIOS'!$O$5:$O$500,"&lt;=121779",'LANÇAMENTOS DIÁRIOS'!$P$5:$P$500,"&gt;=121680")&gt;0,"X","")</f>
      </c>
      <c r="AT69" s="56" t="str">
        <f>IF(COUNTIFS('LANÇAMENTOS DIÁRIOS'!$G$5:$G$500,"G",'LANÇAMENTOS DIÁRIOS'!$C$5:$C$500,$A69,'LANÇAMENTOS DIÁRIOS'!$O$5:$O$500,"&lt;=121879",'LANÇAMENTOS DIÁRIOS'!$P$5:$P$500,"&gt;=121780")&gt;0,"X","")</f>
      </c>
      <c r="AU69" s="56" t="str">
        <f>IF(COUNTIFS('LANÇAMENTOS DIÁRIOS'!$G$5:$G$500,"G",'LANÇAMENTOS DIÁRIOS'!$C$5:$C$500,$A69,'LANÇAMENTOS DIÁRIOS'!$O$5:$O$500,"&lt;=121979",'LANÇAMENTOS DIÁRIOS'!$P$5:$P$500,"&gt;=121880")&gt;0,"X","")</f>
      </c>
      <c r="AV69" s="56" t="str">
        <f>IF(COUNTIFS('LANÇAMENTOS DIÁRIOS'!$G$5:$G$500,"G",'LANÇAMENTOS DIÁRIOS'!$C$5:$C$500,$A69,'LANÇAMENTOS DIÁRIOS'!$O$5:$O$500,"&lt;=122079",'LANÇAMENTOS DIÁRIOS'!$P$5:$P$500,"&gt;=121980")&gt;0,"X","")</f>
      </c>
      <c r="AW69" s="56" t="str">
        <f>IF(COUNTIFS('LANÇAMENTOS DIÁRIOS'!$G$5:$G$500,"G",'LANÇAMENTOS DIÁRIOS'!$C$5:$C$500,$A69,'LANÇAMENTOS DIÁRIOS'!$O$5:$O$500,"&lt;=122179",'LANÇAMENTOS DIÁRIOS'!$P$5:$P$500,"&gt;=122080")&gt;0,"X","")</f>
      </c>
      <c r="AX69" s="56" t="str">
        <f>IF(COUNTIFS('LANÇAMENTOS DIÁRIOS'!$G$5:$G$500,"G",'LANÇAMENTOS DIÁRIOS'!$C$5:$C$500,$A69,'LANÇAMENTOS DIÁRIOS'!$O$5:$O$500,"&lt;=122279",'LANÇAMENTOS DIÁRIOS'!$P$5:$P$500,"&gt;=122180")&gt;0,"X","")</f>
      </c>
      <c r="AY69" s="56" t="str">
        <f>IF(COUNTIFS('LANÇAMENTOS DIÁRIOS'!$G$5:$G$500,"G",'LANÇAMENTOS DIÁRIOS'!$C$5:$C$500,$A69,'LANÇAMENTOS DIÁRIOS'!$O$5:$O$500,"&lt;=122379",'LANÇAMENTOS DIÁRIOS'!$P$5:$P$500,"&gt;=122280")&gt;0,"X","")</f>
      </c>
      <c r="AZ69" s="56" t="str">
        <f>IF(COUNTIFS('LANÇAMENTOS DIÁRIOS'!$G$5:$G$500,"G",'LANÇAMENTOS DIÁRIOS'!$C$5:$C$500,$A69,'LANÇAMENTOS DIÁRIOS'!$O$5:$O$500,"&lt;=122479",'LANÇAMENTOS DIÁRIOS'!$P$5:$P$500,"&gt;=122380")&gt;0,"X","")</f>
      </c>
      <c r="BA69" s="56" t="str">
        <f>IF(COUNTIFS('LANÇAMENTOS DIÁRIOS'!$G$5:$G$500,"G",'LANÇAMENTOS DIÁRIOS'!$C$5:$C$500,$A69,'LANÇAMENTOS DIÁRIOS'!$O$5:$O$500,"&lt;=122579",'LANÇAMENTOS DIÁRIOS'!$P$5:$P$500,"&gt;=122480")&gt;0,"X","")</f>
      </c>
      <c r="BB69" s="56" t="str">
        <f>IF(COUNTIFS('LANÇAMENTOS DIÁRIOS'!$G$5:$G$500,"G",'LANÇAMENTOS DIÁRIOS'!$C$5:$C$500,$A69,'LANÇAMENTOS DIÁRIOS'!$O$5:$O$500,"&lt;=122679",'LANÇAMENTOS DIÁRIOS'!$P$5:$P$500,"&gt;=122580")&gt;0,"X","")</f>
      </c>
      <c r="BC69" s="56" t="str">
        <f>IF(COUNTIFS('LANÇAMENTOS DIÁRIOS'!$G$5:$G$500,"G",'LANÇAMENTOS DIÁRIOS'!$C$5:$C$500,$A69,'LANÇAMENTOS DIÁRIOS'!$O$5:$O$500,"&lt;=122779",'LANÇAMENTOS DIÁRIOS'!$P$5:$P$500,"&gt;=122680")&gt;0,"X","")</f>
      </c>
      <c r="BD69" s="56" t="str">
        <f>IF(COUNTIFS('LANÇAMENTOS DIÁRIOS'!$G$5:$G$500,"G",'LANÇAMENTOS DIÁRIOS'!$C$5:$C$500,$A69,'LANÇAMENTOS DIÁRIOS'!$O$5:$O$500,"&lt;=122879",'LANÇAMENTOS DIÁRIOS'!$P$5:$P$500,"&gt;=122780")&gt;0,"X","")</f>
      </c>
      <c r="BE69" s="56" t="str">
        <f>IF(COUNTIFS('LANÇAMENTOS DIÁRIOS'!$G$5:$G$500,"G",'LANÇAMENTOS DIÁRIOS'!$C$5:$C$500,$A69,'LANÇAMENTOS DIÁRIOS'!$O$5:$O$500,"&lt;=122979",'LANÇAMENTOS DIÁRIOS'!$P$5:$P$500,"&gt;=122880")&gt;0,"X","")</f>
      </c>
      <c r="BF69" s="56" t="str">
        <f>IF(COUNTIFS('LANÇAMENTOS DIÁRIOS'!$G$5:$G$500,"G",'LANÇAMENTOS DIÁRIOS'!$C$5:$C$500,$A69,'LANÇAMENTOS DIÁRIOS'!$O$5:$O$500,"&lt;=123079",'LANÇAMENTOS DIÁRIOS'!$P$5:$P$500,"&gt;=122980")&gt;0,"X","")</f>
      </c>
      <c r="BG69" s="56" t="str">
        <f>IF(COUNTIFS('LANÇAMENTOS DIÁRIOS'!$G$5:$G$500,"G",'LANÇAMENTOS DIÁRIOS'!$C$5:$C$500,$A69,'LANÇAMENTOS DIÁRIOS'!$O$5:$O$500,"&lt;=123179",'LANÇAMENTOS DIÁRIOS'!$P$5:$P$500,"&gt;=123080")&gt;0,"X","")</f>
      </c>
      <c r="BH69" s="56" t="str">
        <f>IF(COUNTIFS('LANÇAMENTOS DIÁRIOS'!$G$5:$G$500,"G",'LANÇAMENTOS DIÁRIOS'!$C$5:$C$500,$A69,'LANÇAMENTOS DIÁRIOS'!$O$5:$O$500,"&lt;=123279",'LANÇAMENTOS DIÁRIOS'!$P$5:$P$500,"&gt;=123180")&gt;0,"X","")</f>
      </c>
      <c r="BI69" s="56" t="str">
        <f>IF(COUNTIFS('LANÇAMENTOS DIÁRIOS'!$G$5:$G$500,"G",'LANÇAMENTOS DIÁRIOS'!$C$5:$C$500,$A69,'LANÇAMENTOS DIÁRIOS'!$O$5:$O$500,"&lt;=123379",'LANÇAMENTOS DIÁRIOS'!$P$5:$P$500,"&gt;=123280")&gt;0,"X","")</f>
      </c>
      <c r="BJ69" s="56" t="str">
        <f>IF(COUNTIFS('LANÇAMENTOS DIÁRIOS'!$G$5:$G$500,"G",'LANÇAMENTOS DIÁRIOS'!$C$5:$C$500,$A69,'LANÇAMENTOS DIÁRIOS'!$O$5:$O$500,"&lt;=123479",'LANÇAMENTOS DIÁRIOS'!$P$5:$P$500,"&gt;=123380")&gt;0,"X","")</f>
      </c>
      <c r="BK69" s="56" t="str">
        <f>IF(COUNTIFS('LANÇAMENTOS DIÁRIOS'!$G$5:$G$500,"G",'LANÇAMENTOS DIÁRIOS'!$C$5:$C$500,$A69,'LANÇAMENTOS DIÁRIOS'!$O$5:$O$500,"&lt;=123480",'LANÇAMENTOS DIÁRIOS'!$P$5:$P$500,"&gt;=123480")&gt;0,"X","")</f>
      </c>
    </row>
    <row r="70">
      <c r="A70" s="51" t="str">
        <v>Marco Superficial</v>
      </c>
      <c r="B70" s="56" t="str">
        <f>IF(COUNTIFS('LANÇAMENTOS DIÁRIOS'!$G$5:$G$500,"G",'LANÇAMENTOS DIÁRIOS'!$C$5:$C$500,$A70,'LANÇAMENTOS DIÁRIOS'!$O$5:$O$500,"&lt;=117479",'LANÇAMENTOS DIÁRIOS'!$P$5:$P$500,"&gt;=117380")&gt;0,"X","")</f>
      </c>
      <c r="C70" s="56" t="str">
        <f>IF(COUNTIFS('LANÇAMENTOS DIÁRIOS'!$G$5:$G$500,"G",'LANÇAMENTOS DIÁRIOS'!$C$5:$C$500,$A70,'LANÇAMENTOS DIÁRIOS'!$O$5:$O$500,"&lt;=117579",'LANÇAMENTOS DIÁRIOS'!$P$5:$P$500,"&gt;=117480")&gt;0,"X","")</f>
      </c>
      <c r="D70" s="56" t="str">
        <f>IF(COUNTIFS('LANÇAMENTOS DIÁRIOS'!$G$5:$G$500,"G",'LANÇAMENTOS DIÁRIOS'!$C$5:$C$500,$A70,'LANÇAMENTOS DIÁRIOS'!$O$5:$O$500,"&lt;=117679",'LANÇAMENTOS DIÁRIOS'!$P$5:$P$500,"&gt;=117580")&gt;0,"X","")</f>
      </c>
      <c r="E70" s="56" t="str">
        <f>IF(COUNTIFS('LANÇAMENTOS DIÁRIOS'!$G$5:$G$500,"G",'LANÇAMENTOS DIÁRIOS'!$C$5:$C$500,$A70,'LANÇAMENTOS DIÁRIOS'!$O$5:$O$500,"&lt;=117779",'LANÇAMENTOS DIÁRIOS'!$P$5:$P$500,"&gt;=117680")&gt;0,"X","")</f>
      </c>
      <c r="F70" s="56" t="str">
        <f>IF(COUNTIFS('LANÇAMENTOS DIÁRIOS'!$G$5:$G$500,"G",'LANÇAMENTOS DIÁRIOS'!$C$5:$C$500,$A70,'LANÇAMENTOS DIÁRIOS'!$O$5:$O$500,"&lt;=117879",'LANÇAMENTOS DIÁRIOS'!$P$5:$P$500,"&gt;=117780")&gt;0,"X","")</f>
      </c>
      <c r="G70" s="56" t="str">
        <f>IF(COUNTIFS('LANÇAMENTOS DIÁRIOS'!$G$5:$G$500,"G",'LANÇAMENTOS DIÁRIOS'!$C$5:$C$500,$A70,'LANÇAMENTOS DIÁRIOS'!$O$5:$O$500,"&lt;=117979",'LANÇAMENTOS DIÁRIOS'!$P$5:$P$500,"&gt;=117880")&gt;0,"X","")</f>
      </c>
      <c r="H70" s="56" t="str">
        <f>IF(COUNTIFS('LANÇAMENTOS DIÁRIOS'!$G$5:$G$500,"G",'LANÇAMENTOS DIÁRIOS'!$C$5:$C$500,$A70,'LANÇAMENTOS DIÁRIOS'!$O$5:$O$500,"&lt;=118079",'LANÇAMENTOS DIÁRIOS'!$P$5:$P$500,"&gt;=117980")&gt;0,"X","")</f>
      </c>
      <c r="I70" s="56" t="str">
        <f>IF(COUNTIFS('LANÇAMENTOS DIÁRIOS'!$G$5:$G$500,"G",'LANÇAMENTOS DIÁRIOS'!$C$5:$C$500,$A70,'LANÇAMENTOS DIÁRIOS'!$O$5:$O$500,"&lt;=118179",'LANÇAMENTOS DIÁRIOS'!$P$5:$P$500,"&gt;=118080")&gt;0,"X","")</f>
      </c>
      <c r="J70" s="56" t="str">
        <f>IF(COUNTIFS('LANÇAMENTOS DIÁRIOS'!$G$5:$G$500,"G",'LANÇAMENTOS DIÁRIOS'!$C$5:$C$500,$A70,'LANÇAMENTOS DIÁRIOS'!$O$5:$O$500,"&lt;=118279",'LANÇAMENTOS DIÁRIOS'!$P$5:$P$500,"&gt;=118180")&gt;0,"X","")</f>
      </c>
      <c r="K70" s="56" t="str">
        <f>IF(COUNTIFS('LANÇAMENTOS DIÁRIOS'!$G$5:$G$500,"G",'LANÇAMENTOS DIÁRIOS'!$C$5:$C$500,$A70,'LANÇAMENTOS DIÁRIOS'!$O$5:$O$500,"&lt;=118379",'LANÇAMENTOS DIÁRIOS'!$P$5:$P$500,"&gt;=118280")&gt;0,"X","")</f>
      </c>
      <c r="L70" s="56" t="str">
        <f>IF(COUNTIFS('LANÇAMENTOS DIÁRIOS'!$G$5:$G$500,"G",'LANÇAMENTOS DIÁRIOS'!$C$5:$C$500,$A70,'LANÇAMENTOS DIÁRIOS'!$O$5:$O$500,"&lt;=118479",'LANÇAMENTOS DIÁRIOS'!$P$5:$P$500,"&gt;=118380")&gt;0,"X","")</f>
      </c>
      <c r="M70" s="56" t="str">
        <f>IF(COUNTIFS('LANÇAMENTOS DIÁRIOS'!$G$5:$G$500,"G",'LANÇAMENTOS DIÁRIOS'!$C$5:$C$500,$A70,'LANÇAMENTOS DIÁRIOS'!$O$5:$O$500,"&lt;=118579",'LANÇAMENTOS DIÁRIOS'!$P$5:$P$500,"&gt;=118480")&gt;0,"X","")</f>
      </c>
      <c r="N70" s="56" t="str">
        <f>IF(COUNTIFS('LANÇAMENTOS DIÁRIOS'!$G$5:$G$500,"G",'LANÇAMENTOS DIÁRIOS'!$C$5:$C$500,$A70,'LANÇAMENTOS DIÁRIOS'!$O$5:$O$500,"&lt;=118679",'LANÇAMENTOS DIÁRIOS'!$P$5:$P$500,"&gt;=118580")&gt;0,"X","")</f>
      </c>
      <c r="O70" s="56" t="str">
        <f>IF(COUNTIFS('LANÇAMENTOS DIÁRIOS'!$G$5:$G$500,"G",'LANÇAMENTOS DIÁRIOS'!$C$5:$C$500,$A70,'LANÇAMENTOS DIÁRIOS'!$O$5:$O$500,"&lt;=118779",'LANÇAMENTOS DIÁRIOS'!$P$5:$P$500,"&gt;=118680")&gt;0,"X","")</f>
      </c>
      <c r="P70" s="56" t="str">
        <f>IF(COUNTIFS('LANÇAMENTOS DIÁRIOS'!$G$5:$G$500,"G",'LANÇAMENTOS DIÁRIOS'!$C$5:$C$500,$A70,'LANÇAMENTOS DIÁRIOS'!$O$5:$O$500,"&lt;=118879",'LANÇAMENTOS DIÁRIOS'!$P$5:$P$500,"&gt;=118780")&gt;0,"X","")</f>
      </c>
      <c r="Q70" s="56" t="str">
        <f>IF(COUNTIFS('LANÇAMENTOS DIÁRIOS'!$G$5:$G$500,"G",'LANÇAMENTOS DIÁRIOS'!$C$5:$C$500,$A70,'LANÇAMENTOS DIÁRIOS'!$O$5:$O$500,"&lt;=118979",'LANÇAMENTOS DIÁRIOS'!$P$5:$P$500,"&gt;=118880")&gt;0,"X","")</f>
      </c>
      <c r="R70" s="56" t="str">
        <f>IF(COUNTIFS('LANÇAMENTOS DIÁRIOS'!$G$5:$G$500,"G",'LANÇAMENTOS DIÁRIOS'!$C$5:$C$500,$A70,'LANÇAMENTOS DIÁRIOS'!$O$5:$O$500,"&lt;=119079",'LANÇAMENTOS DIÁRIOS'!$P$5:$P$500,"&gt;=118980")&gt;0,"X","")</f>
      </c>
      <c r="S70" s="56" t="str">
        <f>IF(COUNTIFS('LANÇAMENTOS DIÁRIOS'!$G$5:$G$500,"G",'LANÇAMENTOS DIÁRIOS'!$C$5:$C$500,$A70,'LANÇAMENTOS DIÁRIOS'!$O$5:$O$500,"&lt;=119179",'LANÇAMENTOS DIÁRIOS'!$P$5:$P$500,"&gt;=119080")&gt;0,"X","")</f>
      </c>
      <c r="T70" s="56" t="str">
        <f>IF(COUNTIFS('LANÇAMENTOS DIÁRIOS'!$G$5:$G$500,"G",'LANÇAMENTOS DIÁRIOS'!$C$5:$C$500,$A70,'LANÇAMENTOS DIÁRIOS'!$O$5:$O$500,"&lt;=119279",'LANÇAMENTOS DIÁRIOS'!$P$5:$P$500,"&gt;=119180")&gt;0,"X","")</f>
      </c>
      <c r="U70" s="56" t="str">
        <f>IF(COUNTIFS('LANÇAMENTOS DIÁRIOS'!$G$5:$G$500,"G",'LANÇAMENTOS DIÁRIOS'!$C$5:$C$500,$A70,'LANÇAMENTOS DIÁRIOS'!$O$5:$O$500,"&lt;=119379",'LANÇAMENTOS DIÁRIOS'!$P$5:$P$500,"&gt;=119280")&gt;0,"X","")</f>
      </c>
      <c r="V70" s="56" t="str">
        <f>IF(COUNTIFS('LANÇAMENTOS DIÁRIOS'!$G$5:$G$500,"G",'LANÇAMENTOS DIÁRIOS'!$C$5:$C$500,$A70,'LANÇAMENTOS DIÁRIOS'!$O$5:$O$500,"&lt;=119479",'LANÇAMENTOS DIÁRIOS'!$P$5:$P$500,"&gt;=119380")&gt;0,"X","")</f>
      </c>
      <c r="W70" s="56" t="str">
        <f>IF(COUNTIFS('LANÇAMENTOS DIÁRIOS'!$G$5:$G$500,"G",'LANÇAMENTOS DIÁRIOS'!$C$5:$C$500,$A70,'LANÇAMENTOS DIÁRIOS'!$O$5:$O$500,"&lt;=119579",'LANÇAMENTOS DIÁRIOS'!$P$5:$P$500,"&gt;=119480")&gt;0,"X","")</f>
      </c>
      <c r="X70" s="56" t="str">
        <f>IF(COUNTIFS('LANÇAMENTOS DIÁRIOS'!$G$5:$G$500,"G",'LANÇAMENTOS DIÁRIOS'!$C$5:$C$500,$A70,'LANÇAMENTOS DIÁRIOS'!$O$5:$O$500,"&lt;=119679",'LANÇAMENTOS DIÁRIOS'!$P$5:$P$500,"&gt;=119580")&gt;0,"X","")</f>
      </c>
      <c r="Y70" s="56" t="str">
        <f>IF(COUNTIFS('LANÇAMENTOS DIÁRIOS'!$G$5:$G$500,"G",'LANÇAMENTOS DIÁRIOS'!$C$5:$C$500,$A70,'LANÇAMENTOS DIÁRIOS'!$O$5:$O$500,"&lt;=119779",'LANÇAMENTOS DIÁRIOS'!$P$5:$P$500,"&gt;=119680")&gt;0,"X","")</f>
      </c>
      <c r="Z70" s="56" t="str">
        <f>IF(COUNTIFS('LANÇAMENTOS DIÁRIOS'!$G$5:$G$500,"G",'LANÇAMENTOS DIÁRIOS'!$C$5:$C$500,$A70,'LANÇAMENTOS DIÁRIOS'!$O$5:$O$500,"&lt;=119879",'LANÇAMENTOS DIÁRIOS'!$P$5:$P$500,"&gt;=119780")&gt;0,"X","")</f>
      </c>
      <c r="AA70" s="56" t="str">
        <f>IF(COUNTIFS('LANÇAMENTOS DIÁRIOS'!$G$5:$G$500,"G",'LANÇAMENTOS DIÁRIOS'!$C$5:$C$500,$A70,'LANÇAMENTOS DIÁRIOS'!$O$5:$O$500,"&lt;=119979",'LANÇAMENTOS DIÁRIOS'!$P$5:$P$500,"&gt;=119880")&gt;0,"X","")</f>
      </c>
      <c r="AB70" s="56" t="str">
        <f>IF(COUNTIFS('LANÇAMENTOS DIÁRIOS'!$G$5:$G$500,"G",'LANÇAMENTOS DIÁRIOS'!$C$5:$C$500,$A70,'LANÇAMENTOS DIÁRIOS'!$O$5:$O$500,"&lt;=120079",'LANÇAMENTOS DIÁRIOS'!$P$5:$P$500,"&gt;=119980")&gt;0,"X","")</f>
      </c>
      <c r="AC70" s="56" t="str">
        <f>IF(COUNTIFS('LANÇAMENTOS DIÁRIOS'!$G$5:$G$500,"G",'LANÇAMENTOS DIÁRIOS'!$C$5:$C$500,$A70,'LANÇAMENTOS DIÁRIOS'!$O$5:$O$500,"&lt;=120179",'LANÇAMENTOS DIÁRIOS'!$P$5:$P$500,"&gt;=120080")&gt;0,"X","")</f>
      </c>
      <c r="AD70" s="56" t="str">
        <f>IF(COUNTIFS('LANÇAMENTOS DIÁRIOS'!$G$5:$G$500,"G",'LANÇAMENTOS DIÁRIOS'!$C$5:$C$500,$A70,'LANÇAMENTOS DIÁRIOS'!$O$5:$O$500,"&lt;=120279",'LANÇAMENTOS DIÁRIOS'!$P$5:$P$500,"&gt;=120180")&gt;0,"X","")</f>
      </c>
      <c r="AE70" s="56" t="str">
        <f>IF(COUNTIFS('LANÇAMENTOS DIÁRIOS'!$G$5:$G$500,"G",'LANÇAMENTOS DIÁRIOS'!$C$5:$C$500,$A70,'LANÇAMENTOS DIÁRIOS'!$O$5:$O$500,"&lt;=120379",'LANÇAMENTOS DIÁRIOS'!$P$5:$P$500,"&gt;=120280")&gt;0,"X","")</f>
      </c>
      <c r="AF70" s="56" t="str">
        <f>IF(COUNTIFS('LANÇAMENTOS DIÁRIOS'!$G$5:$G$500,"G",'LANÇAMENTOS DIÁRIOS'!$C$5:$C$500,$A70,'LANÇAMENTOS DIÁRIOS'!$O$5:$O$500,"&lt;=120479",'LANÇAMENTOS DIÁRIOS'!$P$5:$P$500,"&gt;=120380")&gt;0,"X","")</f>
      </c>
      <c r="AG70" s="56" t="str">
        <f>IF(COUNTIFS('LANÇAMENTOS DIÁRIOS'!$G$5:$G$500,"G",'LANÇAMENTOS DIÁRIOS'!$C$5:$C$500,$A70,'LANÇAMENTOS DIÁRIOS'!$O$5:$O$500,"&lt;=120579",'LANÇAMENTOS DIÁRIOS'!$P$5:$P$500,"&gt;=120480")&gt;0,"X","")</f>
      </c>
      <c r="AH70" s="56" t="str">
        <f>IF(COUNTIFS('LANÇAMENTOS DIÁRIOS'!$G$5:$G$500,"G",'LANÇAMENTOS DIÁRIOS'!$C$5:$C$500,$A70,'LANÇAMENTOS DIÁRIOS'!$O$5:$O$500,"&lt;=120679",'LANÇAMENTOS DIÁRIOS'!$P$5:$P$500,"&gt;=120580")&gt;0,"X","")</f>
      </c>
      <c r="AI70" s="56" t="str">
        <f>IF(COUNTIFS('LANÇAMENTOS DIÁRIOS'!$G$5:$G$500,"G",'LANÇAMENTOS DIÁRIOS'!$C$5:$C$500,$A70,'LANÇAMENTOS DIÁRIOS'!$O$5:$O$500,"&lt;=120779",'LANÇAMENTOS DIÁRIOS'!$P$5:$P$500,"&gt;=120680")&gt;0,"X","")</f>
      </c>
      <c r="AJ70" s="56" t="str">
        <f>IF(COUNTIFS('LANÇAMENTOS DIÁRIOS'!$G$5:$G$500,"G",'LANÇAMENTOS DIÁRIOS'!$C$5:$C$500,$A70,'LANÇAMENTOS DIÁRIOS'!$O$5:$O$500,"&lt;=120879",'LANÇAMENTOS DIÁRIOS'!$P$5:$P$500,"&gt;=120780")&gt;0,"X","")</f>
      </c>
      <c r="AK70" s="56" t="str">
        <f>IF(COUNTIFS('LANÇAMENTOS DIÁRIOS'!$G$5:$G$500,"G",'LANÇAMENTOS DIÁRIOS'!$C$5:$C$500,$A70,'LANÇAMENTOS DIÁRIOS'!$O$5:$O$500,"&lt;=120979",'LANÇAMENTOS DIÁRIOS'!$P$5:$P$500,"&gt;=120880")&gt;0,"X","")</f>
      </c>
      <c r="AL70" s="56" t="str">
        <f>IF(COUNTIFS('LANÇAMENTOS DIÁRIOS'!$G$5:$G$500,"G",'LANÇAMENTOS DIÁRIOS'!$C$5:$C$500,$A70,'LANÇAMENTOS DIÁRIOS'!$O$5:$O$500,"&lt;=121079",'LANÇAMENTOS DIÁRIOS'!$P$5:$P$500,"&gt;=120980")&gt;0,"X","")</f>
      </c>
      <c r="AM70" s="56" t="str">
        <f>IF(COUNTIFS('LANÇAMENTOS DIÁRIOS'!$G$5:$G$500,"G",'LANÇAMENTOS DIÁRIOS'!$C$5:$C$500,$A70,'LANÇAMENTOS DIÁRIOS'!$O$5:$O$500,"&lt;=121179",'LANÇAMENTOS DIÁRIOS'!$P$5:$P$500,"&gt;=121080")&gt;0,"X","")</f>
      </c>
      <c r="AN70" s="56" t="str">
        <f>IF(COUNTIFS('LANÇAMENTOS DIÁRIOS'!$G$5:$G$500,"G",'LANÇAMENTOS DIÁRIOS'!$C$5:$C$500,$A70,'LANÇAMENTOS DIÁRIOS'!$O$5:$O$500,"&lt;=121279",'LANÇAMENTOS DIÁRIOS'!$P$5:$P$500,"&gt;=121180")&gt;0,"X","")</f>
      </c>
      <c r="AO70" s="56" t="str">
        <f>IF(COUNTIFS('LANÇAMENTOS DIÁRIOS'!$G$5:$G$500,"G",'LANÇAMENTOS DIÁRIOS'!$C$5:$C$500,$A70,'LANÇAMENTOS DIÁRIOS'!$O$5:$O$500,"&lt;=121379",'LANÇAMENTOS DIÁRIOS'!$P$5:$P$500,"&gt;=121280")&gt;0,"X","")</f>
      </c>
      <c r="AP70" s="56" t="str">
        <f>IF(COUNTIFS('LANÇAMENTOS DIÁRIOS'!$G$5:$G$500,"G",'LANÇAMENTOS DIÁRIOS'!$C$5:$C$500,$A70,'LANÇAMENTOS DIÁRIOS'!$O$5:$O$500,"&lt;=121479",'LANÇAMENTOS DIÁRIOS'!$P$5:$P$500,"&gt;=121380")&gt;0,"X","")</f>
      </c>
      <c r="AQ70" s="56" t="str">
        <f>IF(COUNTIFS('LANÇAMENTOS DIÁRIOS'!$G$5:$G$500,"G",'LANÇAMENTOS DIÁRIOS'!$C$5:$C$500,$A70,'LANÇAMENTOS DIÁRIOS'!$O$5:$O$500,"&lt;=121579",'LANÇAMENTOS DIÁRIOS'!$P$5:$P$500,"&gt;=121480")&gt;0,"X","")</f>
      </c>
      <c r="AR70" s="56" t="str">
        <f>IF(COUNTIFS('LANÇAMENTOS DIÁRIOS'!$G$5:$G$500,"G",'LANÇAMENTOS DIÁRIOS'!$C$5:$C$500,$A70,'LANÇAMENTOS DIÁRIOS'!$O$5:$O$500,"&lt;=121679",'LANÇAMENTOS DIÁRIOS'!$P$5:$P$500,"&gt;=121580")&gt;0,"X","")</f>
      </c>
      <c r="AS70" s="56" t="str">
        <f>IF(COUNTIFS('LANÇAMENTOS DIÁRIOS'!$G$5:$G$500,"G",'LANÇAMENTOS DIÁRIOS'!$C$5:$C$500,$A70,'LANÇAMENTOS DIÁRIOS'!$O$5:$O$500,"&lt;=121779",'LANÇAMENTOS DIÁRIOS'!$P$5:$P$500,"&gt;=121680")&gt;0,"X","")</f>
      </c>
      <c r="AT70" s="56" t="str">
        <f>IF(COUNTIFS('LANÇAMENTOS DIÁRIOS'!$G$5:$G$500,"G",'LANÇAMENTOS DIÁRIOS'!$C$5:$C$500,$A70,'LANÇAMENTOS DIÁRIOS'!$O$5:$O$500,"&lt;=121879",'LANÇAMENTOS DIÁRIOS'!$P$5:$P$500,"&gt;=121780")&gt;0,"X","")</f>
      </c>
      <c r="AU70" s="56" t="str">
        <f>IF(COUNTIFS('LANÇAMENTOS DIÁRIOS'!$G$5:$G$500,"G",'LANÇAMENTOS DIÁRIOS'!$C$5:$C$500,$A70,'LANÇAMENTOS DIÁRIOS'!$O$5:$O$500,"&lt;=121979",'LANÇAMENTOS DIÁRIOS'!$P$5:$P$500,"&gt;=121880")&gt;0,"X","")</f>
      </c>
      <c r="AV70" s="56" t="str">
        <f>IF(COUNTIFS('LANÇAMENTOS DIÁRIOS'!$G$5:$G$500,"G",'LANÇAMENTOS DIÁRIOS'!$C$5:$C$500,$A70,'LANÇAMENTOS DIÁRIOS'!$O$5:$O$500,"&lt;=122079",'LANÇAMENTOS DIÁRIOS'!$P$5:$P$500,"&gt;=121980")&gt;0,"X","")</f>
      </c>
      <c r="AW70" s="56" t="str">
        <f>IF(COUNTIFS('LANÇAMENTOS DIÁRIOS'!$G$5:$G$500,"G",'LANÇAMENTOS DIÁRIOS'!$C$5:$C$500,$A70,'LANÇAMENTOS DIÁRIOS'!$O$5:$O$500,"&lt;=122179",'LANÇAMENTOS DIÁRIOS'!$P$5:$P$500,"&gt;=122080")&gt;0,"X","")</f>
      </c>
      <c r="AX70" s="56" t="str">
        <f>IF(COUNTIFS('LANÇAMENTOS DIÁRIOS'!$G$5:$G$500,"G",'LANÇAMENTOS DIÁRIOS'!$C$5:$C$500,$A70,'LANÇAMENTOS DIÁRIOS'!$O$5:$O$500,"&lt;=122279",'LANÇAMENTOS DIÁRIOS'!$P$5:$P$500,"&gt;=122180")&gt;0,"X","")</f>
      </c>
      <c r="AY70" s="56" t="str">
        <f>IF(COUNTIFS('LANÇAMENTOS DIÁRIOS'!$G$5:$G$500,"G",'LANÇAMENTOS DIÁRIOS'!$C$5:$C$500,$A70,'LANÇAMENTOS DIÁRIOS'!$O$5:$O$500,"&lt;=122379",'LANÇAMENTOS DIÁRIOS'!$P$5:$P$500,"&gt;=122280")&gt;0,"X","")</f>
      </c>
      <c r="AZ70" s="56" t="str">
        <f>IF(COUNTIFS('LANÇAMENTOS DIÁRIOS'!$G$5:$G$500,"G",'LANÇAMENTOS DIÁRIOS'!$C$5:$C$500,$A70,'LANÇAMENTOS DIÁRIOS'!$O$5:$O$500,"&lt;=122479",'LANÇAMENTOS DIÁRIOS'!$P$5:$P$500,"&gt;=122380")&gt;0,"X","")</f>
      </c>
      <c r="BA70" s="56" t="str">
        <f>IF(COUNTIFS('LANÇAMENTOS DIÁRIOS'!$G$5:$G$500,"G",'LANÇAMENTOS DIÁRIOS'!$C$5:$C$500,$A70,'LANÇAMENTOS DIÁRIOS'!$O$5:$O$500,"&lt;=122579",'LANÇAMENTOS DIÁRIOS'!$P$5:$P$500,"&gt;=122480")&gt;0,"X","")</f>
      </c>
      <c r="BB70" s="56" t="str">
        <f>IF(COUNTIFS('LANÇAMENTOS DIÁRIOS'!$G$5:$G$500,"G",'LANÇAMENTOS DIÁRIOS'!$C$5:$C$500,$A70,'LANÇAMENTOS DIÁRIOS'!$O$5:$O$500,"&lt;=122679",'LANÇAMENTOS DIÁRIOS'!$P$5:$P$500,"&gt;=122580")&gt;0,"X","")</f>
      </c>
      <c r="BC70" s="56" t="str">
        <f>IF(COUNTIFS('LANÇAMENTOS DIÁRIOS'!$G$5:$G$500,"G",'LANÇAMENTOS DIÁRIOS'!$C$5:$C$500,$A70,'LANÇAMENTOS DIÁRIOS'!$O$5:$O$500,"&lt;=122779",'LANÇAMENTOS DIÁRIOS'!$P$5:$P$500,"&gt;=122680")&gt;0,"X","")</f>
      </c>
      <c r="BD70" s="56" t="str">
        <f>IF(COUNTIFS('LANÇAMENTOS DIÁRIOS'!$G$5:$G$500,"G",'LANÇAMENTOS DIÁRIOS'!$C$5:$C$500,$A70,'LANÇAMENTOS DIÁRIOS'!$O$5:$O$500,"&lt;=122879",'LANÇAMENTOS DIÁRIOS'!$P$5:$P$500,"&gt;=122780")&gt;0,"X","")</f>
      </c>
      <c r="BE70" s="56" t="str">
        <f>IF(COUNTIFS('LANÇAMENTOS DIÁRIOS'!$G$5:$G$500,"G",'LANÇAMENTOS DIÁRIOS'!$C$5:$C$500,$A70,'LANÇAMENTOS DIÁRIOS'!$O$5:$O$500,"&lt;=122979",'LANÇAMENTOS DIÁRIOS'!$P$5:$P$500,"&gt;=122880")&gt;0,"X","")</f>
      </c>
      <c r="BF70" s="56" t="str">
        <f>IF(COUNTIFS('LANÇAMENTOS DIÁRIOS'!$G$5:$G$500,"G",'LANÇAMENTOS DIÁRIOS'!$C$5:$C$500,$A70,'LANÇAMENTOS DIÁRIOS'!$O$5:$O$500,"&lt;=123079",'LANÇAMENTOS DIÁRIOS'!$P$5:$P$500,"&gt;=122980")&gt;0,"X","")</f>
      </c>
      <c r="BG70" s="56" t="str">
        <f>IF(COUNTIFS('LANÇAMENTOS DIÁRIOS'!$G$5:$G$500,"G",'LANÇAMENTOS DIÁRIOS'!$C$5:$C$500,$A70,'LANÇAMENTOS DIÁRIOS'!$O$5:$O$500,"&lt;=123179",'LANÇAMENTOS DIÁRIOS'!$P$5:$P$500,"&gt;=123080")&gt;0,"X","")</f>
      </c>
      <c r="BH70" s="56" t="str">
        <f>IF(COUNTIFS('LANÇAMENTOS DIÁRIOS'!$G$5:$G$500,"G",'LANÇAMENTOS DIÁRIOS'!$C$5:$C$500,$A70,'LANÇAMENTOS DIÁRIOS'!$O$5:$O$500,"&lt;=123279",'LANÇAMENTOS DIÁRIOS'!$P$5:$P$500,"&gt;=123180")&gt;0,"X","")</f>
      </c>
      <c r="BI70" s="56" t="str">
        <f>IF(COUNTIFS('LANÇAMENTOS DIÁRIOS'!$G$5:$G$500,"G",'LANÇAMENTOS DIÁRIOS'!$C$5:$C$500,$A70,'LANÇAMENTOS DIÁRIOS'!$O$5:$O$500,"&lt;=123379",'LANÇAMENTOS DIÁRIOS'!$P$5:$P$500,"&gt;=123280")&gt;0,"X","")</f>
      </c>
      <c r="BJ70" s="56" t="str">
        <f>IF(COUNTIFS('LANÇAMENTOS DIÁRIOS'!$G$5:$G$500,"G",'LANÇAMENTOS DIÁRIOS'!$C$5:$C$500,$A70,'LANÇAMENTOS DIÁRIOS'!$O$5:$O$500,"&lt;=123479",'LANÇAMENTOS DIÁRIOS'!$P$5:$P$500,"&gt;=123380")&gt;0,"X","")</f>
      </c>
      <c r="BK70" s="56" t="str">
        <f>IF(COUNTIFS('LANÇAMENTOS DIÁRIOS'!$G$5:$G$500,"G",'LANÇAMENTOS DIÁRIOS'!$C$5:$C$500,$A70,'LANÇAMENTOS DIÁRIOS'!$O$5:$O$500,"&lt;=123480",'LANÇAMENTOS DIÁRIOS'!$P$5:$P$500,"&gt;=123480")&gt;0,"X","")</f>
      </c>
    </row>
    <row r="71">
      <c r="A71" s="51" t="str">
        <v>Inclinômetro</v>
      </c>
      <c r="B71" s="56" t="str">
        <f>IF(COUNTIFS('LANÇAMENTOS DIÁRIOS'!$G$5:$G$500,"G",'LANÇAMENTOS DIÁRIOS'!$C$5:$C$500,$A71,'LANÇAMENTOS DIÁRIOS'!$O$5:$O$500,"&lt;=117479",'LANÇAMENTOS DIÁRIOS'!$P$5:$P$500,"&gt;=117380")&gt;0,"X","")</f>
      </c>
      <c r="C71" s="56" t="str">
        <f>IF(COUNTIFS('LANÇAMENTOS DIÁRIOS'!$G$5:$G$500,"G",'LANÇAMENTOS DIÁRIOS'!$C$5:$C$500,$A71,'LANÇAMENTOS DIÁRIOS'!$O$5:$O$500,"&lt;=117579",'LANÇAMENTOS DIÁRIOS'!$P$5:$P$500,"&gt;=117480")&gt;0,"X","")</f>
      </c>
      <c r="D71" s="56" t="str">
        <f>IF(COUNTIFS('LANÇAMENTOS DIÁRIOS'!$G$5:$G$500,"G",'LANÇAMENTOS DIÁRIOS'!$C$5:$C$500,$A71,'LANÇAMENTOS DIÁRIOS'!$O$5:$O$500,"&lt;=117679",'LANÇAMENTOS DIÁRIOS'!$P$5:$P$500,"&gt;=117580")&gt;0,"X","")</f>
      </c>
      <c r="E71" s="56" t="str">
        <f>IF(COUNTIFS('LANÇAMENTOS DIÁRIOS'!$G$5:$G$500,"G",'LANÇAMENTOS DIÁRIOS'!$C$5:$C$500,$A71,'LANÇAMENTOS DIÁRIOS'!$O$5:$O$500,"&lt;=117779",'LANÇAMENTOS DIÁRIOS'!$P$5:$P$500,"&gt;=117680")&gt;0,"X","")</f>
      </c>
      <c r="F71" s="56" t="str">
        <f>IF(COUNTIFS('LANÇAMENTOS DIÁRIOS'!$G$5:$G$500,"G",'LANÇAMENTOS DIÁRIOS'!$C$5:$C$500,$A71,'LANÇAMENTOS DIÁRIOS'!$O$5:$O$500,"&lt;=117879",'LANÇAMENTOS DIÁRIOS'!$P$5:$P$500,"&gt;=117780")&gt;0,"X","")</f>
      </c>
      <c r="G71" s="56" t="str">
        <f>IF(COUNTIFS('LANÇAMENTOS DIÁRIOS'!$G$5:$G$500,"G",'LANÇAMENTOS DIÁRIOS'!$C$5:$C$500,$A71,'LANÇAMENTOS DIÁRIOS'!$O$5:$O$500,"&lt;=117979",'LANÇAMENTOS DIÁRIOS'!$P$5:$P$500,"&gt;=117880")&gt;0,"X","")</f>
      </c>
      <c r="H71" s="56" t="str">
        <f>IF(COUNTIFS('LANÇAMENTOS DIÁRIOS'!$G$5:$G$500,"G",'LANÇAMENTOS DIÁRIOS'!$C$5:$C$500,$A71,'LANÇAMENTOS DIÁRIOS'!$O$5:$O$500,"&lt;=118079",'LANÇAMENTOS DIÁRIOS'!$P$5:$P$500,"&gt;=117980")&gt;0,"X","")</f>
      </c>
      <c r="I71" s="56" t="str">
        <f>IF(COUNTIFS('LANÇAMENTOS DIÁRIOS'!$G$5:$G$500,"G",'LANÇAMENTOS DIÁRIOS'!$C$5:$C$500,$A71,'LANÇAMENTOS DIÁRIOS'!$O$5:$O$500,"&lt;=118179",'LANÇAMENTOS DIÁRIOS'!$P$5:$P$500,"&gt;=118080")&gt;0,"X","")</f>
      </c>
      <c r="J71" s="56" t="str">
        <f>IF(COUNTIFS('LANÇAMENTOS DIÁRIOS'!$G$5:$G$500,"G",'LANÇAMENTOS DIÁRIOS'!$C$5:$C$500,$A71,'LANÇAMENTOS DIÁRIOS'!$O$5:$O$500,"&lt;=118279",'LANÇAMENTOS DIÁRIOS'!$P$5:$P$500,"&gt;=118180")&gt;0,"X","")</f>
      </c>
      <c r="K71" s="56" t="str">
        <f>IF(COUNTIFS('LANÇAMENTOS DIÁRIOS'!$G$5:$G$500,"G",'LANÇAMENTOS DIÁRIOS'!$C$5:$C$500,$A71,'LANÇAMENTOS DIÁRIOS'!$O$5:$O$500,"&lt;=118379",'LANÇAMENTOS DIÁRIOS'!$P$5:$P$500,"&gt;=118280")&gt;0,"X","")</f>
      </c>
      <c r="L71" s="56" t="str">
        <f>IF(COUNTIFS('LANÇAMENTOS DIÁRIOS'!$G$5:$G$500,"G",'LANÇAMENTOS DIÁRIOS'!$C$5:$C$500,$A71,'LANÇAMENTOS DIÁRIOS'!$O$5:$O$500,"&lt;=118479",'LANÇAMENTOS DIÁRIOS'!$P$5:$P$500,"&gt;=118380")&gt;0,"X","")</f>
      </c>
      <c r="M71" s="56" t="str">
        <f>IF(COUNTIFS('LANÇAMENTOS DIÁRIOS'!$G$5:$G$500,"G",'LANÇAMENTOS DIÁRIOS'!$C$5:$C$500,$A71,'LANÇAMENTOS DIÁRIOS'!$O$5:$O$500,"&lt;=118579",'LANÇAMENTOS DIÁRIOS'!$P$5:$P$500,"&gt;=118480")&gt;0,"X","")</f>
      </c>
      <c r="N71" s="56" t="str">
        <f>IF(COUNTIFS('LANÇAMENTOS DIÁRIOS'!$G$5:$G$500,"G",'LANÇAMENTOS DIÁRIOS'!$C$5:$C$500,$A71,'LANÇAMENTOS DIÁRIOS'!$O$5:$O$500,"&lt;=118679",'LANÇAMENTOS DIÁRIOS'!$P$5:$P$500,"&gt;=118580")&gt;0,"X","")</f>
      </c>
      <c r="O71" s="56" t="str">
        <f>IF(COUNTIFS('LANÇAMENTOS DIÁRIOS'!$G$5:$G$500,"G",'LANÇAMENTOS DIÁRIOS'!$C$5:$C$500,$A71,'LANÇAMENTOS DIÁRIOS'!$O$5:$O$500,"&lt;=118779",'LANÇAMENTOS DIÁRIOS'!$P$5:$P$500,"&gt;=118680")&gt;0,"X","")</f>
      </c>
      <c r="P71" s="56" t="str">
        <f>IF(COUNTIFS('LANÇAMENTOS DIÁRIOS'!$G$5:$G$500,"G",'LANÇAMENTOS DIÁRIOS'!$C$5:$C$500,$A71,'LANÇAMENTOS DIÁRIOS'!$O$5:$O$500,"&lt;=118879",'LANÇAMENTOS DIÁRIOS'!$P$5:$P$500,"&gt;=118780")&gt;0,"X","")</f>
      </c>
      <c r="Q71" s="56" t="str">
        <f>IF(COUNTIFS('LANÇAMENTOS DIÁRIOS'!$G$5:$G$500,"G",'LANÇAMENTOS DIÁRIOS'!$C$5:$C$500,$A71,'LANÇAMENTOS DIÁRIOS'!$O$5:$O$500,"&lt;=118979",'LANÇAMENTOS DIÁRIOS'!$P$5:$P$500,"&gt;=118880")&gt;0,"X","")</f>
      </c>
      <c r="R71" s="56" t="str">
        <f>IF(COUNTIFS('LANÇAMENTOS DIÁRIOS'!$G$5:$G$500,"G",'LANÇAMENTOS DIÁRIOS'!$C$5:$C$500,$A71,'LANÇAMENTOS DIÁRIOS'!$O$5:$O$500,"&lt;=119079",'LANÇAMENTOS DIÁRIOS'!$P$5:$P$500,"&gt;=118980")&gt;0,"X","")</f>
      </c>
      <c r="S71" s="56" t="str">
        <f>IF(COUNTIFS('LANÇAMENTOS DIÁRIOS'!$G$5:$G$500,"G",'LANÇAMENTOS DIÁRIOS'!$C$5:$C$500,$A71,'LANÇAMENTOS DIÁRIOS'!$O$5:$O$500,"&lt;=119179",'LANÇAMENTOS DIÁRIOS'!$P$5:$P$500,"&gt;=119080")&gt;0,"X","")</f>
      </c>
      <c r="T71" s="56" t="str">
        <f>IF(COUNTIFS('LANÇAMENTOS DIÁRIOS'!$G$5:$G$500,"G",'LANÇAMENTOS DIÁRIOS'!$C$5:$C$500,$A71,'LANÇAMENTOS DIÁRIOS'!$O$5:$O$500,"&lt;=119279",'LANÇAMENTOS DIÁRIOS'!$P$5:$P$500,"&gt;=119180")&gt;0,"X","")</f>
      </c>
      <c r="U71" s="56" t="str">
        <f>IF(COUNTIFS('LANÇAMENTOS DIÁRIOS'!$G$5:$G$500,"G",'LANÇAMENTOS DIÁRIOS'!$C$5:$C$500,$A71,'LANÇAMENTOS DIÁRIOS'!$O$5:$O$500,"&lt;=119379",'LANÇAMENTOS DIÁRIOS'!$P$5:$P$500,"&gt;=119280")&gt;0,"X","")</f>
      </c>
      <c r="V71" s="56" t="str">
        <f>IF(COUNTIFS('LANÇAMENTOS DIÁRIOS'!$G$5:$G$500,"G",'LANÇAMENTOS DIÁRIOS'!$C$5:$C$500,$A71,'LANÇAMENTOS DIÁRIOS'!$O$5:$O$500,"&lt;=119479",'LANÇAMENTOS DIÁRIOS'!$P$5:$P$500,"&gt;=119380")&gt;0,"X","")</f>
      </c>
      <c r="W71" s="56" t="str">
        <f>IF(COUNTIFS('LANÇAMENTOS DIÁRIOS'!$G$5:$G$500,"G",'LANÇAMENTOS DIÁRIOS'!$C$5:$C$500,$A71,'LANÇAMENTOS DIÁRIOS'!$O$5:$O$500,"&lt;=119579",'LANÇAMENTOS DIÁRIOS'!$P$5:$P$500,"&gt;=119480")&gt;0,"X","")</f>
      </c>
      <c r="X71" s="56" t="str">
        <f>IF(COUNTIFS('LANÇAMENTOS DIÁRIOS'!$G$5:$G$500,"G",'LANÇAMENTOS DIÁRIOS'!$C$5:$C$500,$A71,'LANÇAMENTOS DIÁRIOS'!$O$5:$O$500,"&lt;=119679",'LANÇAMENTOS DIÁRIOS'!$P$5:$P$500,"&gt;=119580")&gt;0,"X","")</f>
      </c>
      <c r="Y71" s="56" t="str">
        <f>IF(COUNTIFS('LANÇAMENTOS DIÁRIOS'!$G$5:$G$500,"G",'LANÇAMENTOS DIÁRIOS'!$C$5:$C$500,$A71,'LANÇAMENTOS DIÁRIOS'!$O$5:$O$500,"&lt;=119779",'LANÇAMENTOS DIÁRIOS'!$P$5:$P$500,"&gt;=119680")&gt;0,"X","")</f>
      </c>
      <c r="Z71" s="56" t="str">
        <f>IF(COUNTIFS('LANÇAMENTOS DIÁRIOS'!$G$5:$G$500,"G",'LANÇAMENTOS DIÁRIOS'!$C$5:$C$500,$A71,'LANÇAMENTOS DIÁRIOS'!$O$5:$O$500,"&lt;=119879",'LANÇAMENTOS DIÁRIOS'!$P$5:$P$500,"&gt;=119780")&gt;0,"X","")</f>
      </c>
      <c r="AA71" s="56" t="str">
        <f>IF(COUNTIFS('LANÇAMENTOS DIÁRIOS'!$G$5:$G$500,"G",'LANÇAMENTOS DIÁRIOS'!$C$5:$C$500,$A71,'LANÇAMENTOS DIÁRIOS'!$O$5:$O$500,"&lt;=119979",'LANÇAMENTOS DIÁRIOS'!$P$5:$P$500,"&gt;=119880")&gt;0,"X","")</f>
      </c>
      <c r="AB71" s="56" t="str">
        <f>IF(COUNTIFS('LANÇAMENTOS DIÁRIOS'!$G$5:$G$500,"G",'LANÇAMENTOS DIÁRIOS'!$C$5:$C$500,$A71,'LANÇAMENTOS DIÁRIOS'!$O$5:$O$500,"&lt;=120079",'LANÇAMENTOS DIÁRIOS'!$P$5:$P$500,"&gt;=119980")&gt;0,"X","")</f>
      </c>
      <c r="AC71" s="56" t="str">
        <f>IF(COUNTIFS('LANÇAMENTOS DIÁRIOS'!$G$5:$G$500,"G",'LANÇAMENTOS DIÁRIOS'!$C$5:$C$500,$A71,'LANÇAMENTOS DIÁRIOS'!$O$5:$O$500,"&lt;=120179",'LANÇAMENTOS DIÁRIOS'!$P$5:$P$500,"&gt;=120080")&gt;0,"X","")</f>
      </c>
      <c r="AD71" s="56" t="str">
        <f>IF(COUNTIFS('LANÇAMENTOS DIÁRIOS'!$G$5:$G$500,"G",'LANÇAMENTOS DIÁRIOS'!$C$5:$C$500,$A71,'LANÇAMENTOS DIÁRIOS'!$O$5:$O$500,"&lt;=120279",'LANÇAMENTOS DIÁRIOS'!$P$5:$P$500,"&gt;=120180")&gt;0,"X","")</f>
      </c>
      <c r="AE71" s="56" t="str">
        <f>IF(COUNTIFS('LANÇAMENTOS DIÁRIOS'!$G$5:$G$500,"G",'LANÇAMENTOS DIÁRIOS'!$C$5:$C$500,$A71,'LANÇAMENTOS DIÁRIOS'!$O$5:$O$500,"&lt;=120379",'LANÇAMENTOS DIÁRIOS'!$P$5:$P$500,"&gt;=120280")&gt;0,"X","")</f>
      </c>
      <c r="AF71" s="56" t="str">
        <f>IF(COUNTIFS('LANÇAMENTOS DIÁRIOS'!$G$5:$G$500,"G",'LANÇAMENTOS DIÁRIOS'!$C$5:$C$500,$A71,'LANÇAMENTOS DIÁRIOS'!$O$5:$O$500,"&lt;=120479",'LANÇAMENTOS DIÁRIOS'!$P$5:$P$500,"&gt;=120380")&gt;0,"X","")</f>
      </c>
      <c r="AG71" s="56" t="str">
        <f>IF(COUNTIFS('LANÇAMENTOS DIÁRIOS'!$G$5:$G$500,"G",'LANÇAMENTOS DIÁRIOS'!$C$5:$C$500,$A71,'LANÇAMENTOS DIÁRIOS'!$O$5:$O$500,"&lt;=120579",'LANÇAMENTOS DIÁRIOS'!$P$5:$P$500,"&gt;=120480")&gt;0,"X","")</f>
      </c>
      <c r="AH71" s="56" t="str">
        <f>IF(COUNTIFS('LANÇAMENTOS DIÁRIOS'!$G$5:$G$500,"G",'LANÇAMENTOS DIÁRIOS'!$C$5:$C$500,$A71,'LANÇAMENTOS DIÁRIOS'!$O$5:$O$500,"&lt;=120679",'LANÇAMENTOS DIÁRIOS'!$P$5:$P$500,"&gt;=120580")&gt;0,"X","")</f>
      </c>
      <c r="AI71" s="56" t="str">
        <f>IF(COUNTIFS('LANÇAMENTOS DIÁRIOS'!$G$5:$G$500,"G",'LANÇAMENTOS DIÁRIOS'!$C$5:$C$500,$A71,'LANÇAMENTOS DIÁRIOS'!$O$5:$O$500,"&lt;=120779",'LANÇAMENTOS DIÁRIOS'!$P$5:$P$500,"&gt;=120680")&gt;0,"X","")</f>
      </c>
      <c r="AJ71" s="56" t="str">
        <f>IF(COUNTIFS('LANÇAMENTOS DIÁRIOS'!$G$5:$G$500,"G",'LANÇAMENTOS DIÁRIOS'!$C$5:$C$500,$A71,'LANÇAMENTOS DIÁRIOS'!$O$5:$O$500,"&lt;=120879",'LANÇAMENTOS DIÁRIOS'!$P$5:$P$500,"&gt;=120780")&gt;0,"X","")</f>
      </c>
      <c r="AK71" s="56" t="str">
        <f>IF(COUNTIFS('LANÇAMENTOS DIÁRIOS'!$G$5:$G$500,"G",'LANÇAMENTOS DIÁRIOS'!$C$5:$C$500,$A71,'LANÇAMENTOS DIÁRIOS'!$O$5:$O$500,"&lt;=120979",'LANÇAMENTOS DIÁRIOS'!$P$5:$P$500,"&gt;=120880")&gt;0,"X","")</f>
      </c>
      <c r="AL71" s="56" t="str">
        <f>IF(COUNTIFS('LANÇAMENTOS DIÁRIOS'!$G$5:$G$500,"G",'LANÇAMENTOS DIÁRIOS'!$C$5:$C$500,$A71,'LANÇAMENTOS DIÁRIOS'!$O$5:$O$500,"&lt;=121079",'LANÇAMENTOS DIÁRIOS'!$P$5:$P$500,"&gt;=120980")&gt;0,"X","")</f>
      </c>
      <c r="AM71" s="56" t="str">
        <f>IF(COUNTIFS('LANÇAMENTOS DIÁRIOS'!$G$5:$G$500,"G",'LANÇAMENTOS DIÁRIOS'!$C$5:$C$500,$A71,'LANÇAMENTOS DIÁRIOS'!$O$5:$O$500,"&lt;=121179",'LANÇAMENTOS DIÁRIOS'!$P$5:$P$500,"&gt;=121080")&gt;0,"X","")</f>
      </c>
      <c r="AN71" s="56" t="str">
        <f>IF(COUNTIFS('LANÇAMENTOS DIÁRIOS'!$G$5:$G$500,"G",'LANÇAMENTOS DIÁRIOS'!$C$5:$C$500,$A71,'LANÇAMENTOS DIÁRIOS'!$O$5:$O$500,"&lt;=121279",'LANÇAMENTOS DIÁRIOS'!$P$5:$P$500,"&gt;=121180")&gt;0,"X","")</f>
      </c>
      <c r="AO71" s="56" t="str">
        <f>IF(COUNTIFS('LANÇAMENTOS DIÁRIOS'!$G$5:$G$500,"G",'LANÇAMENTOS DIÁRIOS'!$C$5:$C$500,$A71,'LANÇAMENTOS DIÁRIOS'!$O$5:$O$500,"&lt;=121379",'LANÇAMENTOS DIÁRIOS'!$P$5:$P$500,"&gt;=121280")&gt;0,"X","")</f>
      </c>
      <c r="AP71" s="56" t="str">
        <f>IF(COUNTIFS('LANÇAMENTOS DIÁRIOS'!$G$5:$G$500,"G",'LANÇAMENTOS DIÁRIOS'!$C$5:$C$500,$A71,'LANÇAMENTOS DIÁRIOS'!$O$5:$O$500,"&lt;=121479",'LANÇAMENTOS DIÁRIOS'!$P$5:$P$500,"&gt;=121380")&gt;0,"X","")</f>
      </c>
      <c r="AQ71" s="56" t="str">
        <f>IF(COUNTIFS('LANÇAMENTOS DIÁRIOS'!$G$5:$G$500,"G",'LANÇAMENTOS DIÁRIOS'!$C$5:$C$500,$A71,'LANÇAMENTOS DIÁRIOS'!$O$5:$O$500,"&lt;=121579",'LANÇAMENTOS DIÁRIOS'!$P$5:$P$500,"&gt;=121480")&gt;0,"X","")</f>
      </c>
      <c r="AR71" s="56" t="str">
        <f>IF(COUNTIFS('LANÇAMENTOS DIÁRIOS'!$G$5:$G$500,"G",'LANÇAMENTOS DIÁRIOS'!$C$5:$C$500,$A71,'LANÇAMENTOS DIÁRIOS'!$O$5:$O$500,"&lt;=121679",'LANÇAMENTOS DIÁRIOS'!$P$5:$P$500,"&gt;=121580")&gt;0,"X","")</f>
      </c>
      <c r="AS71" s="56" t="str">
        <f>IF(COUNTIFS('LANÇAMENTOS DIÁRIOS'!$G$5:$G$500,"G",'LANÇAMENTOS DIÁRIOS'!$C$5:$C$500,$A71,'LANÇAMENTOS DIÁRIOS'!$O$5:$O$500,"&lt;=121779",'LANÇAMENTOS DIÁRIOS'!$P$5:$P$500,"&gt;=121680")&gt;0,"X","")</f>
      </c>
      <c r="AT71" s="56" t="str">
        <f>IF(COUNTIFS('LANÇAMENTOS DIÁRIOS'!$G$5:$G$500,"G",'LANÇAMENTOS DIÁRIOS'!$C$5:$C$500,$A71,'LANÇAMENTOS DIÁRIOS'!$O$5:$O$500,"&lt;=121879",'LANÇAMENTOS DIÁRIOS'!$P$5:$P$500,"&gt;=121780")&gt;0,"X","")</f>
      </c>
      <c r="AU71" s="56" t="str">
        <f>IF(COUNTIFS('LANÇAMENTOS DIÁRIOS'!$G$5:$G$500,"G",'LANÇAMENTOS DIÁRIOS'!$C$5:$C$500,$A71,'LANÇAMENTOS DIÁRIOS'!$O$5:$O$500,"&lt;=121979",'LANÇAMENTOS DIÁRIOS'!$P$5:$P$500,"&gt;=121880")&gt;0,"X","")</f>
      </c>
      <c r="AV71" s="56" t="str">
        <f>IF(COUNTIFS('LANÇAMENTOS DIÁRIOS'!$G$5:$G$500,"G",'LANÇAMENTOS DIÁRIOS'!$C$5:$C$500,$A71,'LANÇAMENTOS DIÁRIOS'!$O$5:$O$500,"&lt;=122079",'LANÇAMENTOS DIÁRIOS'!$P$5:$P$500,"&gt;=121980")&gt;0,"X","")</f>
      </c>
      <c r="AW71" s="56" t="str">
        <f>IF(COUNTIFS('LANÇAMENTOS DIÁRIOS'!$G$5:$G$500,"G",'LANÇAMENTOS DIÁRIOS'!$C$5:$C$500,$A71,'LANÇAMENTOS DIÁRIOS'!$O$5:$O$500,"&lt;=122179",'LANÇAMENTOS DIÁRIOS'!$P$5:$P$500,"&gt;=122080")&gt;0,"X","")</f>
      </c>
      <c r="AX71" s="56" t="str">
        <f>IF(COUNTIFS('LANÇAMENTOS DIÁRIOS'!$G$5:$G$500,"G",'LANÇAMENTOS DIÁRIOS'!$C$5:$C$500,$A71,'LANÇAMENTOS DIÁRIOS'!$O$5:$O$500,"&lt;=122279",'LANÇAMENTOS DIÁRIOS'!$P$5:$P$500,"&gt;=122180")&gt;0,"X","")</f>
      </c>
      <c r="AY71" s="56" t="str">
        <f>IF(COUNTIFS('LANÇAMENTOS DIÁRIOS'!$G$5:$G$500,"G",'LANÇAMENTOS DIÁRIOS'!$C$5:$C$500,$A71,'LANÇAMENTOS DIÁRIOS'!$O$5:$O$500,"&lt;=122379",'LANÇAMENTOS DIÁRIOS'!$P$5:$P$500,"&gt;=122280")&gt;0,"X","")</f>
      </c>
      <c r="AZ71" s="56" t="str">
        <f>IF(COUNTIFS('LANÇAMENTOS DIÁRIOS'!$G$5:$G$500,"G",'LANÇAMENTOS DIÁRIOS'!$C$5:$C$500,$A71,'LANÇAMENTOS DIÁRIOS'!$O$5:$O$500,"&lt;=122479",'LANÇAMENTOS DIÁRIOS'!$P$5:$P$500,"&gt;=122380")&gt;0,"X","")</f>
      </c>
      <c r="BA71" s="56" t="str">
        <f>IF(COUNTIFS('LANÇAMENTOS DIÁRIOS'!$G$5:$G$500,"G",'LANÇAMENTOS DIÁRIOS'!$C$5:$C$500,$A71,'LANÇAMENTOS DIÁRIOS'!$O$5:$O$500,"&lt;=122579",'LANÇAMENTOS DIÁRIOS'!$P$5:$P$500,"&gt;=122480")&gt;0,"X","")</f>
      </c>
      <c r="BB71" s="56" t="str">
        <f>IF(COUNTIFS('LANÇAMENTOS DIÁRIOS'!$G$5:$G$500,"G",'LANÇAMENTOS DIÁRIOS'!$C$5:$C$500,$A71,'LANÇAMENTOS DIÁRIOS'!$O$5:$O$500,"&lt;=122679",'LANÇAMENTOS DIÁRIOS'!$P$5:$P$500,"&gt;=122580")&gt;0,"X","")</f>
      </c>
      <c r="BC71" s="56" t="str">
        <f>IF(COUNTIFS('LANÇAMENTOS DIÁRIOS'!$G$5:$G$500,"G",'LANÇAMENTOS DIÁRIOS'!$C$5:$C$500,$A71,'LANÇAMENTOS DIÁRIOS'!$O$5:$O$500,"&lt;=122779",'LANÇAMENTOS DIÁRIOS'!$P$5:$P$500,"&gt;=122680")&gt;0,"X","")</f>
      </c>
      <c r="BD71" s="56" t="str">
        <f>IF(COUNTIFS('LANÇAMENTOS DIÁRIOS'!$G$5:$G$500,"G",'LANÇAMENTOS DIÁRIOS'!$C$5:$C$500,$A71,'LANÇAMENTOS DIÁRIOS'!$O$5:$O$500,"&lt;=122879",'LANÇAMENTOS DIÁRIOS'!$P$5:$P$500,"&gt;=122780")&gt;0,"X","")</f>
      </c>
      <c r="BE71" s="56" t="str">
        <f>IF(COUNTIFS('LANÇAMENTOS DIÁRIOS'!$G$5:$G$500,"G",'LANÇAMENTOS DIÁRIOS'!$C$5:$C$500,$A71,'LANÇAMENTOS DIÁRIOS'!$O$5:$O$500,"&lt;=122979",'LANÇAMENTOS DIÁRIOS'!$P$5:$P$500,"&gt;=122880")&gt;0,"X","")</f>
      </c>
      <c r="BF71" s="56" t="str">
        <f>IF(COUNTIFS('LANÇAMENTOS DIÁRIOS'!$G$5:$G$500,"G",'LANÇAMENTOS DIÁRIOS'!$C$5:$C$500,$A71,'LANÇAMENTOS DIÁRIOS'!$O$5:$O$500,"&lt;=123079",'LANÇAMENTOS DIÁRIOS'!$P$5:$P$500,"&gt;=122980")&gt;0,"X","")</f>
      </c>
      <c r="BG71" s="56" t="str">
        <f>IF(COUNTIFS('LANÇAMENTOS DIÁRIOS'!$G$5:$G$500,"G",'LANÇAMENTOS DIÁRIOS'!$C$5:$C$500,$A71,'LANÇAMENTOS DIÁRIOS'!$O$5:$O$500,"&lt;=123179",'LANÇAMENTOS DIÁRIOS'!$P$5:$P$500,"&gt;=123080")&gt;0,"X","")</f>
      </c>
      <c r="BH71" s="56" t="str">
        <f>IF(COUNTIFS('LANÇAMENTOS DIÁRIOS'!$G$5:$G$500,"G",'LANÇAMENTOS DIÁRIOS'!$C$5:$C$500,$A71,'LANÇAMENTOS DIÁRIOS'!$O$5:$O$500,"&lt;=123279",'LANÇAMENTOS DIÁRIOS'!$P$5:$P$500,"&gt;=123180")&gt;0,"X","")</f>
      </c>
      <c r="BI71" s="56" t="str">
        <f>IF(COUNTIFS('LANÇAMENTOS DIÁRIOS'!$G$5:$G$500,"G",'LANÇAMENTOS DIÁRIOS'!$C$5:$C$500,$A71,'LANÇAMENTOS DIÁRIOS'!$O$5:$O$500,"&lt;=123379",'LANÇAMENTOS DIÁRIOS'!$P$5:$P$500,"&gt;=123280")&gt;0,"X","")</f>
      </c>
      <c r="BJ71" s="56" t="str">
        <f>IF(COUNTIFS('LANÇAMENTOS DIÁRIOS'!$G$5:$G$500,"G",'LANÇAMENTOS DIÁRIOS'!$C$5:$C$500,$A71,'LANÇAMENTOS DIÁRIOS'!$O$5:$O$500,"&lt;=123479",'LANÇAMENTOS DIÁRIOS'!$P$5:$P$500,"&gt;=123380")&gt;0,"X","")</f>
      </c>
      <c r="BK71" s="56" t="str">
        <f>IF(COUNTIFS('LANÇAMENTOS DIÁRIOS'!$G$5:$G$500,"G",'LANÇAMENTOS DIÁRIOS'!$C$5:$C$500,$A71,'LANÇAMENTOS DIÁRIOS'!$O$5:$O$500,"&lt;=123480",'LANÇAMENTOS DIÁRIOS'!$P$5:$P$500,"&gt;=123480")&gt;0,"X","")</f>
      </c>
    </row>
    <row r="72">
      <c r="A72" s="51" t="str">
        <v>Monitoramento de Instrumentação</v>
      </c>
      <c r="B72" s="56" t="str">
        <f>IF(COUNTIFS('LANÇAMENTOS DIÁRIOS'!$G$5:$G$500,"G",'LANÇAMENTOS DIÁRIOS'!$C$5:$C$500,$A72,'LANÇAMENTOS DIÁRIOS'!$O$5:$O$500,"&lt;=117479",'LANÇAMENTOS DIÁRIOS'!$P$5:$P$500,"&gt;=117380")&gt;0,"X","")</f>
      </c>
      <c r="C72" s="56" t="str">
        <f>IF(COUNTIFS('LANÇAMENTOS DIÁRIOS'!$G$5:$G$500,"G",'LANÇAMENTOS DIÁRIOS'!$C$5:$C$500,$A72,'LANÇAMENTOS DIÁRIOS'!$O$5:$O$500,"&lt;=117579",'LANÇAMENTOS DIÁRIOS'!$P$5:$P$500,"&gt;=117480")&gt;0,"X","")</f>
      </c>
      <c r="D72" s="56" t="str">
        <f>IF(COUNTIFS('LANÇAMENTOS DIÁRIOS'!$G$5:$G$500,"G",'LANÇAMENTOS DIÁRIOS'!$C$5:$C$500,$A72,'LANÇAMENTOS DIÁRIOS'!$O$5:$O$500,"&lt;=117679",'LANÇAMENTOS DIÁRIOS'!$P$5:$P$500,"&gt;=117580")&gt;0,"X","")</f>
      </c>
      <c r="E72" s="56" t="str">
        <f>IF(COUNTIFS('LANÇAMENTOS DIÁRIOS'!$G$5:$G$500,"G",'LANÇAMENTOS DIÁRIOS'!$C$5:$C$500,$A72,'LANÇAMENTOS DIÁRIOS'!$O$5:$O$500,"&lt;=117779",'LANÇAMENTOS DIÁRIOS'!$P$5:$P$500,"&gt;=117680")&gt;0,"X","")</f>
      </c>
      <c r="F72" s="56" t="str">
        <f>IF(COUNTIFS('LANÇAMENTOS DIÁRIOS'!$G$5:$G$500,"G",'LANÇAMENTOS DIÁRIOS'!$C$5:$C$500,$A72,'LANÇAMENTOS DIÁRIOS'!$O$5:$O$500,"&lt;=117879",'LANÇAMENTOS DIÁRIOS'!$P$5:$P$500,"&gt;=117780")&gt;0,"X","")</f>
      </c>
      <c r="G72" s="56" t="str">
        <f>IF(COUNTIFS('LANÇAMENTOS DIÁRIOS'!$G$5:$G$500,"G",'LANÇAMENTOS DIÁRIOS'!$C$5:$C$500,$A72,'LANÇAMENTOS DIÁRIOS'!$O$5:$O$500,"&lt;=117979",'LANÇAMENTOS DIÁRIOS'!$P$5:$P$500,"&gt;=117880")&gt;0,"X","")</f>
      </c>
      <c r="H72" s="56" t="str">
        <f>IF(COUNTIFS('LANÇAMENTOS DIÁRIOS'!$G$5:$G$500,"G",'LANÇAMENTOS DIÁRIOS'!$C$5:$C$500,$A72,'LANÇAMENTOS DIÁRIOS'!$O$5:$O$500,"&lt;=118079",'LANÇAMENTOS DIÁRIOS'!$P$5:$P$500,"&gt;=117980")&gt;0,"X","")</f>
      </c>
      <c r="I72" s="56" t="str">
        <f>IF(COUNTIFS('LANÇAMENTOS DIÁRIOS'!$G$5:$G$500,"G",'LANÇAMENTOS DIÁRIOS'!$C$5:$C$500,$A72,'LANÇAMENTOS DIÁRIOS'!$O$5:$O$500,"&lt;=118179",'LANÇAMENTOS DIÁRIOS'!$P$5:$P$500,"&gt;=118080")&gt;0,"X","")</f>
      </c>
      <c r="J72" s="56" t="str">
        <f>IF(COUNTIFS('LANÇAMENTOS DIÁRIOS'!$G$5:$G$500,"G",'LANÇAMENTOS DIÁRIOS'!$C$5:$C$500,$A72,'LANÇAMENTOS DIÁRIOS'!$O$5:$O$500,"&lt;=118279",'LANÇAMENTOS DIÁRIOS'!$P$5:$P$500,"&gt;=118180")&gt;0,"X","")</f>
      </c>
      <c r="K72" s="56" t="str">
        <f>IF(COUNTIFS('LANÇAMENTOS DIÁRIOS'!$G$5:$G$500,"G",'LANÇAMENTOS DIÁRIOS'!$C$5:$C$500,$A72,'LANÇAMENTOS DIÁRIOS'!$O$5:$O$500,"&lt;=118379",'LANÇAMENTOS DIÁRIOS'!$P$5:$P$500,"&gt;=118280")&gt;0,"X","")</f>
      </c>
      <c r="L72" s="56" t="str">
        <f>IF(COUNTIFS('LANÇAMENTOS DIÁRIOS'!$G$5:$G$500,"G",'LANÇAMENTOS DIÁRIOS'!$C$5:$C$500,$A72,'LANÇAMENTOS DIÁRIOS'!$O$5:$O$500,"&lt;=118479",'LANÇAMENTOS DIÁRIOS'!$P$5:$P$500,"&gt;=118380")&gt;0,"X","")</f>
      </c>
      <c r="M72" s="56" t="str">
        <f>IF(COUNTIFS('LANÇAMENTOS DIÁRIOS'!$G$5:$G$500,"G",'LANÇAMENTOS DIÁRIOS'!$C$5:$C$500,$A72,'LANÇAMENTOS DIÁRIOS'!$O$5:$O$500,"&lt;=118579",'LANÇAMENTOS DIÁRIOS'!$P$5:$P$500,"&gt;=118480")&gt;0,"X","")</f>
      </c>
      <c r="N72" s="56" t="str">
        <f>IF(COUNTIFS('LANÇAMENTOS DIÁRIOS'!$G$5:$G$500,"G",'LANÇAMENTOS DIÁRIOS'!$C$5:$C$500,$A72,'LANÇAMENTOS DIÁRIOS'!$O$5:$O$500,"&lt;=118679",'LANÇAMENTOS DIÁRIOS'!$P$5:$P$500,"&gt;=118580")&gt;0,"X","")</f>
      </c>
      <c r="O72" s="56" t="str">
        <f>IF(COUNTIFS('LANÇAMENTOS DIÁRIOS'!$G$5:$G$500,"G",'LANÇAMENTOS DIÁRIOS'!$C$5:$C$500,$A72,'LANÇAMENTOS DIÁRIOS'!$O$5:$O$500,"&lt;=118779",'LANÇAMENTOS DIÁRIOS'!$P$5:$P$500,"&gt;=118680")&gt;0,"X","")</f>
      </c>
      <c r="P72" s="56" t="str">
        <f>IF(COUNTIFS('LANÇAMENTOS DIÁRIOS'!$G$5:$G$500,"G",'LANÇAMENTOS DIÁRIOS'!$C$5:$C$500,$A72,'LANÇAMENTOS DIÁRIOS'!$O$5:$O$500,"&lt;=118879",'LANÇAMENTOS DIÁRIOS'!$P$5:$P$500,"&gt;=118780")&gt;0,"X","")</f>
      </c>
      <c r="Q72" s="56" t="str">
        <f>IF(COUNTIFS('LANÇAMENTOS DIÁRIOS'!$G$5:$G$500,"G",'LANÇAMENTOS DIÁRIOS'!$C$5:$C$500,$A72,'LANÇAMENTOS DIÁRIOS'!$O$5:$O$500,"&lt;=118979",'LANÇAMENTOS DIÁRIOS'!$P$5:$P$500,"&gt;=118880")&gt;0,"X","")</f>
      </c>
      <c r="R72" s="56" t="str">
        <f>IF(COUNTIFS('LANÇAMENTOS DIÁRIOS'!$G$5:$G$500,"G",'LANÇAMENTOS DIÁRIOS'!$C$5:$C$500,$A72,'LANÇAMENTOS DIÁRIOS'!$O$5:$O$500,"&lt;=119079",'LANÇAMENTOS DIÁRIOS'!$P$5:$P$500,"&gt;=118980")&gt;0,"X","")</f>
      </c>
      <c r="S72" s="56" t="str">
        <f>IF(COUNTIFS('LANÇAMENTOS DIÁRIOS'!$G$5:$G$500,"G",'LANÇAMENTOS DIÁRIOS'!$C$5:$C$500,$A72,'LANÇAMENTOS DIÁRIOS'!$O$5:$O$500,"&lt;=119179",'LANÇAMENTOS DIÁRIOS'!$P$5:$P$500,"&gt;=119080")&gt;0,"X","")</f>
      </c>
      <c r="T72" s="56" t="str">
        <f>IF(COUNTIFS('LANÇAMENTOS DIÁRIOS'!$G$5:$G$500,"G",'LANÇAMENTOS DIÁRIOS'!$C$5:$C$500,$A72,'LANÇAMENTOS DIÁRIOS'!$O$5:$O$500,"&lt;=119279",'LANÇAMENTOS DIÁRIOS'!$P$5:$P$500,"&gt;=119180")&gt;0,"X","")</f>
      </c>
      <c r="U72" s="56" t="str">
        <f>IF(COUNTIFS('LANÇAMENTOS DIÁRIOS'!$G$5:$G$500,"G",'LANÇAMENTOS DIÁRIOS'!$C$5:$C$500,$A72,'LANÇAMENTOS DIÁRIOS'!$O$5:$O$500,"&lt;=119379",'LANÇAMENTOS DIÁRIOS'!$P$5:$P$500,"&gt;=119280")&gt;0,"X","")</f>
      </c>
      <c r="V72" s="56" t="str">
        <f>IF(COUNTIFS('LANÇAMENTOS DIÁRIOS'!$G$5:$G$500,"G",'LANÇAMENTOS DIÁRIOS'!$C$5:$C$500,$A72,'LANÇAMENTOS DIÁRIOS'!$O$5:$O$500,"&lt;=119479",'LANÇAMENTOS DIÁRIOS'!$P$5:$P$500,"&gt;=119380")&gt;0,"X","")</f>
      </c>
      <c r="W72" s="56" t="str">
        <f>IF(COUNTIFS('LANÇAMENTOS DIÁRIOS'!$G$5:$G$500,"G",'LANÇAMENTOS DIÁRIOS'!$C$5:$C$500,$A72,'LANÇAMENTOS DIÁRIOS'!$O$5:$O$500,"&lt;=119579",'LANÇAMENTOS DIÁRIOS'!$P$5:$P$500,"&gt;=119480")&gt;0,"X","")</f>
      </c>
      <c r="X72" s="56" t="str">
        <f>IF(COUNTIFS('LANÇAMENTOS DIÁRIOS'!$G$5:$G$500,"G",'LANÇAMENTOS DIÁRIOS'!$C$5:$C$500,$A72,'LANÇAMENTOS DIÁRIOS'!$O$5:$O$500,"&lt;=119679",'LANÇAMENTOS DIÁRIOS'!$P$5:$P$500,"&gt;=119580")&gt;0,"X","")</f>
      </c>
      <c r="Y72" s="56" t="str">
        <f>IF(COUNTIFS('LANÇAMENTOS DIÁRIOS'!$G$5:$G$500,"G",'LANÇAMENTOS DIÁRIOS'!$C$5:$C$500,$A72,'LANÇAMENTOS DIÁRIOS'!$O$5:$O$500,"&lt;=119779",'LANÇAMENTOS DIÁRIOS'!$P$5:$P$500,"&gt;=119680")&gt;0,"X","")</f>
      </c>
      <c r="Z72" s="56" t="str">
        <f>IF(COUNTIFS('LANÇAMENTOS DIÁRIOS'!$G$5:$G$500,"G",'LANÇAMENTOS DIÁRIOS'!$C$5:$C$500,$A72,'LANÇAMENTOS DIÁRIOS'!$O$5:$O$500,"&lt;=119879",'LANÇAMENTOS DIÁRIOS'!$P$5:$P$500,"&gt;=119780")&gt;0,"X","")</f>
      </c>
      <c r="AA72" s="56" t="str">
        <f>IF(COUNTIFS('LANÇAMENTOS DIÁRIOS'!$G$5:$G$500,"G",'LANÇAMENTOS DIÁRIOS'!$C$5:$C$500,$A72,'LANÇAMENTOS DIÁRIOS'!$O$5:$O$500,"&lt;=119979",'LANÇAMENTOS DIÁRIOS'!$P$5:$P$500,"&gt;=119880")&gt;0,"X","")</f>
      </c>
      <c r="AB72" s="56" t="str">
        <f>IF(COUNTIFS('LANÇAMENTOS DIÁRIOS'!$G$5:$G$500,"G",'LANÇAMENTOS DIÁRIOS'!$C$5:$C$500,$A72,'LANÇAMENTOS DIÁRIOS'!$O$5:$O$500,"&lt;=120079",'LANÇAMENTOS DIÁRIOS'!$P$5:$P$500,"&gt;=119980")&gt;0,"X","")</f>
      </c>
      <c r="AC72" s="56" t="str">
        <f>IF(COUNTIFS('LANÇAMENTOS DIÁRIOS'!$G$5:$G$500,"G",'LANÇAMENTOS DIÁRIOS'!$C$5:$C$500,$A72,'LANÇAMENTOS DIÁRIOS'!$O$5:$O$500,"&lt;=120179",'LANÇAMENTOS DIÁRIOS'!$P$5:$P$500,"&gt;=120080")&gt;0,"X","")</f>
      </c>
      <c r="AD72" s="56" t="str">
        <f>IF(COUNTIFS('LANÇAMENTOS DIÁRIOS'!$G$5:$G$500,"G",'LANÇAMENTOS DIÁRIOS'!$C$5:$C$500,$A72,'LANÇAMENTOS DIÁRIOS'!$O$5:$O$500,"&lt;=120279",'LANÇAMENTOS DIÁRIOS'!$P$5:$P$500,"&gt;=120180")&gt;0,"X","")</f>
      </c>
      <c r="AE72" s="56" t="str">
        <f>IF(COUNTIFS('LANÇAMENTOS DIÁRIOS'!$G$5:$G$500,"G",'LANÇAMENTOS DIÁRIOS'!$C$5:$C$500,$A72,'LANÇAMENTOS DIÁRIOS'!$O$5:$O$500,"&lt;=120379",'LANÇAMENTOS DIÁRIOS'!$P$5:$P$500,"&gt;=120280")&gt;0,"X","")</f>
      </c>
      <c r="AF72" s="56" t="str">
        <f>IF(COUNTIFS('LANÇAMENTOS DIÁRIOS'!$G$5:$G$500,"G",'LANÇAMENTOS DIÁRIOS'!$C$5:$C$500,$A72,'LANÇAMENTOS DIÁRIOS'!$O$5:$O$500,"&lt;=120479",'LANÇAMENTOS DIÁRIOS'!$P$5:$P$500,"&gt;=120380")&gt;0,"X","")</f>
      </c>
      <c r="AG72" s="56" t="str">
        <f>IF(COUNTIFS('LANÇAMENTOS DIÁRIOS'!$G$5:$G$500,"G",'LANÇAMENTOS DIÁRIOS'!$C$5:$C$500,$A72,'LANÇAMENTOS DIÁRIOS'!$O$5:$O$500,"&lt;=120579",'LANÇAMENTOS DIÁRIOS'!$P$5:$P$500,"&gt;=120480")&gt;0,"X","")</f>
      </c>
      <c r="AH72" s="56" t="str">
        <f>IF(COUNTIFS('LANÇAMENTOS DIÁRIOS'!$G$5:$G$500,"G",'LANÇAMENTOS DIÁRIOS'!$C$5:$C$500,$A72,'LANÇAMENTOS DIÁRIOS'!$O$5:$O$500,"&lt;=120679",'LANÇAMENTOS DIÁRIOS'!$P$5:$P$500,"&gt;=120580")&gt;0,"X","")</f>
      </c>
      <c r="AI72" s="56" t="str">
        <f>IF(COUNTIFS('LANÇAMENTOS DIÁRIOS'!$G$5:$G$500,"G",'LANÇAMENTOS DIÁRIOS'!$C$5:$C$500,$A72,'LANÇAMENTOS DIÁRIOS'!$O$5:$O$500,"&lt;=120779",'LANÇAMENTOS DIÁRIOS'!$P$5:$P$500,"&gt;=120680")&gt;0,"X","")</f>
      </c>
      <c r="AJ72" s="56" t="str">
        <f>IF(COUNTIFS('LANÇAMENTOS DIÁRIOS'!$G$5:$G$500,"G",'LANÇAMENTOS DIÁRIOS'!$C$5:$C$500,$A72,'LANÇAMENTOS DIÁRIOS'!$O$5:$O$500,"&lt;=120879",'LANÇAMENTOS DIÁRIOS'!$P$5:$P$500,"&gt;=120780")&gt;0,"X","")</f>
      </c>
      <c r="AK72" s="56" t="str">
        <f>IF(COUNTIFS('LANÇAMENTOS DIÁRIOS'!$G$5:$G$500,"G",'LANÇAMENTOS DIÁRIOS'!$C$5:$C$500,$A72,'LANÇAMENTOS DIÁRIOS'!$O$5:$O$500,"&lt;=120979",'LANÇAMENTOS DIÁRIOS'!$P$5:$P$500,"&gt;=120880")&gt;0,"X","")</f>
      </c>
      <c r="AL72" s="56" t="str">
        <f>IF(COUNTIFS('LANÇAMENTOS DIÁRIOS'!$G$5:$G$500,"G",'LANÇAMENTOS DIÁRIOS'!$C$5:$C$500,$A72,'LANÇAMENTOS DIÁRIOS'!$O$5:$O$500,"&lt;=121079",'LANÇAMENTOS DIÁRIOS'!$P$5:$P$500,"&gt;=120980")&gt;0,"X","")</f>
      </c>
      <c r="AM72" s="56" t="str">
        <f>IF(COUNTIFS('LANÇAMENTOS DIÁRIOS'!$G$5:$G$500,"G",'LANÇAMENTOS DIÁRIOS'!$C$5:$C$500,$A72,'LANÇAMENTOS DIÁRIOS'!$O$5:$O$500,"&lt;=121179",'LANÇAMENTOS DIÁRIOS'!$P$5:$P$500,"&gt;=121080")&gt;0,"X","")</f>
      </c>
      <c r="AN72" s="56" t="str">
        <f>IF(COUNTIFS('LANÇAMENTOS DIÁRIOS'!$G$5:$G$500,"G",'LANÇAMENTOS DIÁRIOS'!$C$5:$C$500,$A72,'LANÇAMENTOS DIÁRIOS'!$O$5:$O$500,"&lt;=121279",'LANÇAMENTOS DIÁRIOS'!$P$5:$P$500,"&gt;=121180")&gt;0,"X","")</f>
      </c>
      <c r="AO72" s="56" t="str">
        <f>IF(COUNTIFS('LANÇAMENTOS DIÁRIOS'!$G$5:$G$500,"G",'LANÇAMENTOS DIÁRIOS'!$C$5:$C$500,$A72,'LANÇAMENTOS DIÁRIOS'!$O$5:$O$500,"&lt;=121379",'LANÇAMENTOS DIÁRIOS'!$P$5:$P$500,"&gt;=121280")&gt;0,"X","")</f>
      </c>
      <c r="AP72" s="56" t="str">
        <f>IF(COUNTIFS('LANÇAMENTOS DIÁRIOS'!$G$5:$G$500,"G",'LANÇAMENTOS DIÁRIOS'!$C$5:$C$500,$A72,'LANÇAMENTOS DIÁRIOS'!$O$5:$O$500,"&lt;=121479",'LANÇAMENTOS DIÁRIOS'!$P$5:$P$500,"&gt;=121380")&gt;0,"X","")</f>
      </c>
      <c r="AQ72" s="56" t="str">
        <f>IF(COUNTIFS('LANÇAMENTOS DIÁRIOS'!$G$5:$G$500,"G",'LANÇAMENTOS DIÁRIOS'!$C$5:$C$500,$A72,'LANÇAMENTOS DIÁRIOS'!$O$5:$O$500,"&lt;=121579",'LANÇAMENTOS DIÁRIOS'!$P$5:$P$500,"&gt;=121480")&gt;0,"X","")</f>
      </c>
      <c r="AR72" s="56" t="str">
        <f>IF(COUNTIFS('LANÇAMENTOS DIÁRIOS'!$G$5:$G$500,"G",'LANÇAMENTOS DIÁRIOS'!$C$5:$C$500,$A72,'LANÇAMENTOS DIÁRIOS'!$O$5:$O$500,"&lt;=121679",'LANÇAMENTOS DIÁRIOS'!$P$5:$P$500,"&gt;=121580")&gt;0,"X","")</f>
      </c>
      <c r="AS72" s="56" t="str">
        <f>IF(COUNTIFS('LANÇAMENTOS DIÁRIOS'!$G$5:$G$500,"G",'LANÇAMENTOS DIÁRIOS'!$C$5:$C$500,$A72,'LANÇAMENTOS DIÁRIOS'!$O$5:$O$500,"&lt;=121779",'LANÇAMENTOS DIÁRIOS'!$P$5:$P$500,"&gt;=121680")&gt;0,"X","")</f>
      </c>
      <c r="AT72" s="56" t="str">
        <f>IF(COUNTIFS('LANÇAMENTOS DIÁRIOS'!$G$5:$G$500,"G",'LANÇAMENTOS DIÁRIOS'!$C$5:$C$500,$A72,'LANÇAMENTOS DIÁRIOS'!$O$5:$O$500,"&lt;=121879",'LANÇAMENTOS DIÁRIOS'!$P$5:$P$500,"&gt;=121780")&gt;0,"X","")</f>
      </c>
      <c r="AU72" s="56" t="str">
        <f>IF(COUNTIFS('LANÇAMENTOS DIÁRIOS'!$G$5:$G$500,"G",'LANÇAMENTOS DIÁRIOS'!$C$5:$C$500,$A72,'LANÇAMENTOS DIÁRIOS'!$O$5:$O$500,"&lt;=121979",'LANÇAMENTOS DIÁRIOS'!$P$5:$P$500,"&gt;=121880")&gt;0,"X","")</f>
      </c>
      <c r="AV72" s="56" t="str">
        <f>IF(COUNTIFS('LANÇAMENTOS DIÁRIOS'!$G$5:$G$500,"G",'LANÇAMENTOS DIÁRIOS'!$C$5:$C$500,$A72,'LANÇAMENTOS DIÁRIOS'!$O$5:$O$500,"&lt;=122079",'LANÇAMENTOS DIÁRIOS'!$P$5:$P$500,"&gt;=121980")&gt;0,"X","")</f>
      </c>
      <c r="AW72" s="56" t="str">
        <f>IF(COUNTIFS('LANÇAMENTOS DIÁRIOS'!$G$5:$G$500,"G",'LANÇAMENTOS DIÁRIOS'!$C$5:$C$500,$A72,'LANÇAMENTOS DIÁRIOS'!$O$5:$O$500,"&lt;=122179",'LANÇAMENTOS DIÁRIOS'!$P$5:$P$500,"&gt;=122080")&gt;0,"X","")</f>
      </c>
      <c r="AX72" s="56" t="str">
        <f>IF(COUNTIFS('LANÇAMENTOS DIÁRIOS'!$G$5:$G$500,"G",'LANÇAMENTOS DIÁRIOS'!$C$5:$C$500,$A72,'LANÇAMENTOS DIÁRIOS'!$O$5:$O$500,"&lt;=122279",'LANÇAMENTOS DIÁRIOS'!$P$5:$P$500,"&gt;=122180")&gt;0,"X","")</f>
      </c>
      <c r="AY72" s="56" t="str">
        <f>IF(COUNTIFS('LANÇAMENTOS DIÁRIOS'!$G$5:$G$500,"G",'LANÇAMENTOS DIÁRIOS'!$C$5:$C$500,$A72,'LANÇAMENTOS DIÁRIOS'!$O$5:$O$500,"&lt;=122379",'LANÇAMENTOS DIÁRIOS'!$P$5:$P$500,"&gt;=122280")&gt;0,"X","")</f>
      </c>
      <c r="AZ72" s="56" t="str">
        <f>IF(COUNTIFS('LANÇAMENTOS DIÁRIOS'!$G$5:$G$500,"G",'LANÇAMENTOS DIÁRIOS'!$C$5:$C$500,$A72,'LANÇAMENTOS DIÁRIOS'!$O$5:$O$500,"&lt;=122479",'LANÇAMENTOS DIÁRIOS'!$P$5:$P$500,"&gt;=122380")&gt;0,"X","")</f>
      </c>
      <c r="BA72" s="56" t="str">
        <f>IF(COUNTIFS('LANÇAMENTOS DIÁRIOS'!$G$5:$G$500,"G",'LANÇAMENTOS DIÁRIOS'!$C$5:$C$500,$A72,'LANÇAMENTOS DIÁRIOS'!$O$5:$O$500,"&lt;=122579",'LANÇAMENTOS DIÁRIOS'!$P$5:$P$500,"&gt;=122480")&gt;0,"X","")</f>
      </c>
      <c r="BB72" s="56" t="str">
        <f>IF(COUNTIFS('LANÇAMENTOS DIÁRIOS'!$G$5:$G$500,"G",'LANÇAMENTOS DIÁRIOS'!$C$5:$C$500,$A72,'LANÇAMENTOS DIÁRIOS'!$O$5:$O$500,"&lt;=122679",'LANÇAMENTOS DIÁRIOS'!$P$5:$P$500,"&gt;=122580")&gt;0,"X","")</f>
      </c>
      <c r="BC72" s="56" t="str">
        <f>IF(COUNTIFS('LANÇAMENTOS DIÁRIOS'!$G$5:$G$500,"G",'LANÇAMENTOS DIÁRIOS'!$C$5:$C$500,$A72,'LANÇAMENTOS DIÁRIOS'!$O$5:$O$500,"&lt;=122779",'LANÇAMENTOS DIÁRIOS'!$P$5:$P$500,"&gt;=122680")&gt;0,"X","")</f>
      </c>
      <c r="BD72" s="56" t="str">
        <f>IF(COUNTIFS('LANÇAMENTOS DIÁRIOS'!$G$5:$G$500,"G",'LANÇAMENTOS DIÁRIOS'!$C$5:$C$500,$A72,'LANÇAMENTOS DIÁRIOS'!$O$5:$O$500,"&lt;=122879",'LANÇAMENTOS DIÁRIOS'!$P$5:$P$500,"&gt;=122780")&gt;0,"X","")</f>
      </c>
      <c r="BE72" s="56" t="str">
        <f>IF(COUNTIFS('LANÇAMENTOS DIÁRIOS'!$G$5:$G$500,"G",'LANÇAMENTOS DIÁRIOS'!$C$5:$C$500,$A72,'LANÇAMENTOS DIÁRIOS'!$O$5:$O$500,"&lt;=122979",'LANÇAMENTOS DIÁRIOS'!$P$5:$P$500,"&gt;=122880")&gt;0,"X","")</f>
      </c>
      <c r="BF72" s="56" t="str">
        <f>IF(COUNTIFS('LANÇAMENTOS DIÁRIOS'!$G$5:$G$500,"G",'LANÇAMENTOS DIÁRIOS'!$C$5:$C$500,$A72,'LANÇAMENTOS DIÁRIOS'!$O$5:$O$500,"&lt;=123079",'LANÇAMENTOS DIÁRIOS'!$P$5:$P$500,"&gt;=122980")&gt;0,"X","")</f>
      </c>
      <c r="BG72" s="56" t="str">
        <f>IF(COUNTIFS('LANÇAMENTOS DIÁRIOS'!$G$5:$G$500,"G",'LANÇAMENTOS DIÁRIOS'!$C$5:$C$500,$A72,'LANÇAMENTOS DIÁRIOS'!$O$5:$O$500,"&lt;=123179",'LANÇAMENTOS DIÁRIOS'!$P$5:$P$500,"&gt;=123080")&gt;0,"X","")</f>
      </c>
      <c r="BH72" s="56" t="str">
        <f>IF(COUNTIFS('LANÇAMENTOS DIÁRIOS'!$G$5:$G$500,"G",'LANÇAMENTOS DIÁRIOS'!$C$5:$C$500,$A72,'LANÇAMENTOS DIÁRIOS'!$O$5:$O$500,"&lt;=123279",'LANÇAMENTOS DIÁRIOS'!$P$5:$P$500,"&gt;=123180")&gt;0,"X","")</f>
      </c>
      <c r="BI72" s="56" t="str">
        <f>IF(COUNTIFS('LANÇAMENTOS DIÁRIOS'!$G$5:$G$500,"G",'LANÇAMENTOS DIÁRIOS'!$C$5:$C$500,$A72,'LANÇAMENTOS DIÁRIOS'!$O$5:$O$500,"&lt;=123379",'LANÇAMENTOS DIÁRIOS'!$P$5:$P$500,"&gt;=123280")&gt;0,"X","")</f>
      </c>
      <c r="BJ72" s="56" t="str">
        <f>IF(COUNTIFS('LANÇAMENTOS DIÁRIOS'!$G$5:$G$500,"G",'LANÇAMENTOS DIÁRIOS'!$C$5:$C$500,$A72,'LANÇAMENTOS DIÁRIOS'!$O$5:$O$500,"&lt;=123479",'LANÇAMENTOS DIÁRIOS'!$P$5:$P$500,"&gt;=123380")&gt;0,"X","")</f>
      </c>
      <c r="BK72" s="56" t="str">
        <f>IF(COUNTIFS('LANÇAMENTOS DIÁRIOS'!$G$5:$G$500,"G",'LANÇAMENTOS DIÁRIOS'!$C$5:$C$500,$A72,'LANÇAMENTOS DIÁRIOS'!$O$5:$O$500,"&lt;=123480",'LANÇAMENTOS DIÁRIOS'!$P$5:$P$500,"&gt;=123480")&gt;0,"X","")</f>
      </c>
    </row>
    <row r="73" ht="21" customHeight="1">
      <c r="A73" s="60" t="str">
        <v>Pavimentação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</row>
    <row r="74" ht="19" customHeight="1">
      <c r="A74" s="68" t="str">
        <v>Demolição do pavimento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</row>
    <row r="75">
      <c r="A75" s="51" t="str">
        <v>Demolição de pavimento, revestimento betuminoso</v>
      </c>
      <c r="B75" s="56" t="str">
        <f>IF(COUNTIFS('LANÇAMENTOS DIÁRIOS'!$G$5:$G$500,"G",'LANÇAMENTOS DIÁRIOS'!$C$5:$C$500,$A75,'LANÇAMENTOS DIÁRIOS'!$O$5:$O$500,"&lt;=117479",'LANÇAMENTOS DIÁRIOS'!$P$5:$P$500,"&gt;=117380")&gt;0,"X","")</f>
      </c>
      <c r="C75" s="56" t="str">
        <f>IF(COUNTIFS('LANÇAMENTOS DIÁRIOS'!$G$5:$G$500,"G",'LANÇAMENTOS DIÁRIOS'!$C$5:$C$500,$A75,'LANÇAMENTOS DIÁRIOS'!$O$5:$O$500,"&lt;=117579",'LANÇAMENTOS DIÁRIOS'!$P$5:$P$500,"&gt;=117480")&gt;0,"X","")</f>
      </c>
      <c r="D75" s="56" t="str">
        <f>IF(COUNTIFS('LANÇAMENTOS DIÁRIOS'!$G$5:$G$500,"G",'LANÇAMENTOS DIÁRIOS'!$C$5:$C$500,$A75,'LANÇAMENTOS DIÁRIOS'!$O$5:$O$500,"&lt;=117679",'LANÇAMENTOS DIÁRIOS'!$P$5:$P$500,"&gt;=117580")&gt;0,"X","")</f>
      </c>
      <c r="E75" s="56" t="str">
        <f>IF(COUNTIFS('LANÇAMENTOS DIÁRIOS'!$G$5:$G$500,"G",'LANÇAMENTOS DIÁRIOS'!$C$5:$C$500,$A75,'LANÇAMENTOS DIÁRIOS'!$O$5:$O$500,"&lt;=117779",'LANÇAMENTOS DIÁRIOS'!$P$5:$P$500,"&gt;=117680")&gt;0,"X","")</f>
      </c>
      <c r="F75" s="56" t="str">
        <f>IF(COUNTIFS('LANÇAMENTOS DIÁRIOS'!$G$5:$G$500,"G",'LANÇAMENTOS DIÁRIOS'!$C$5:$C$500,$A75,'LANÇAMENTOS DIÁRIOS'!$O$5:$O$500,"&lt;=117879",'LANÇAMENTOS DIÁRIOS'!$P$5:$P$500,"&gt;=117780")&gt;0,"X","")</f>
      </c>
      <c r="G75" s="56" t="str">
        <f>IF(COUNTIFS('LANÇAMENTOS DIÁRIOS'!$G$5:$G$500,"G",'LANÇAMENTOS DIÁRIOS'!$C$5:$C$500,$A75,'LANÇAMENTOS DIÁRIOS'!$O$5:$O$500,"&lt;=117979",'LANÇAMENTOS DIÁRIOS'!$P$5:$P$500,"&gt;=117880")&gt;0,"X","")</f>
      </c>
      <c r="H75" s="56" t="str">
        <f>IF(COUNTIFS('LANÇAMENTOS DIÁRIOS'!$G$5:$G$500,"G",'LANÇAMENTOS DIÁRIOS'!$C$5:$C$500,$A75,'LANÇAMENTOS DIÁRIOS'!$O$5:$O$500,"&lt;=118079",'LANÇAMENTOS DIÁRIOS'!$P$5:$P$500,"&gt;=117980")&gt;0,"X","")</f>
      </c>
      <c r="I75" s="56" t="str">
        <f>IF(COUNTIFS('LANÇAMENTOS DIÁRIOS'!$G$5:$G$500,"G",'LANÇAMENTOS DIÁRIOS'!$C$5:$C$500,$A75,'LANÇAMENTOS DIÁRIOS'!$O$5:$O$500,"&lt;=118179",'LANÇAMENTOS DIÁRIOS'!$P$5:$P$500,"&gt;=118080")&gt;0,"X","")</f>
      </c>
      <c r="J75" s="56" t="str">
        <f>IF(COUNTIFS('LANÇAMENTOS DIÁRIOS'!$G$5:$G$500,"G",'LANÇAMENTOS DIÁRIOS'!$C$5:$C$500,$A75,'LANÇAMENTOS DIÁRIOS'!$O$5:$O$500,"&lt;=118279",'LANÇAMENTOS DIÁRIOS'!$P$5:$P$500,"&gt;=118180")&gt;0,"X","")</f>
      </c>
      <c r="K75" s="56" t="str">
        <f>IF(COUNTIFS('LANÇAMENTOS DIÁRIOS'!$G$5:$G$500,"G",'LANÇAMENTOS DIÁRIOS'!$C$5:$C$500,$A75,'LANÇAMENTOS DIÁRIOS'!$O$5:$O$500,"&lt;=118379",'LANÇAMENTOS DIÁRIOS'!$P$5:$P$500,"&gt;=118280")&gt;0,"X","")</f>
      </c>
      <c r="L75" s="56" t="str">
        <f>IF(COUNTIFS('LANÇAMENTOS DIÁRIOS'!$G$5:$G$500,"G",'LANÇAMENTOS DIÁRIOS'!$C$5:$C$500,$A75,'LANÇAMENTOS DIÁRIOS'!$O$5:$O$500,"&lt;=118479",'LANÇAMENTOS DIÁRIOS'!$P$5:$P$500,"&gt;=118380")&gt;0,"X","")</f>
      </c>
      <c r="M75" s="56" t="str">
        <f>IF(COUNTIFS('LANÇAMENTOS DIÁRIOS'!$G$5:$G$500,"G",'LANÇAMENTOS DIÁRIOS'!$C$5:$C$500,$A75,'LANÇAMENTOS DIÁRIOS'!$O$5:$O$500,"&lt;=118579",'LANÇAMENTOS DIÁRIOS'!$P$5:$P$500,"&gt;=118480")&gt;0,"X","")</f>
      </c>
      <c r="N75" s="56" t="str">
        <f>IF(COUNTIFS('LANÇAMENTOS DIÁRIOS'!$G$5:$G$500,"G",'LANÇAMENTOS DIÁRIOS'!$C$5:$C$500,$A75,'LANÇAMENTOS DIÁRIOS'!$O$5:$O$500,"&lt;=118679",'LANÇAMENTOS DIÁRIOS'!$P$5:$P$500,"&gt;=118580")&gt;0,"X","")</f>
      </c>
      <c r="O75" s="56" t="str">
        <f>IF(COUNTIFS('LANÇAMENTOS DIÁRIOS'!$G$5:$G$500,"G",'LANÇAMENTOS DIÁRIOS'!$C$5:$C$500,$A75,'LANÇAMENTOS DIÁRIOS'!$O$5:$O$500,"&lt;=118779",'LANÇAMENTOS DIÁRIOS'!$P$5:$P$500,"&gt;=118680")&gt;0,"X","")</f>
      </c>
      <c r="P75" s="56" t="str">
        <f>IF(COUNTIFS('LANÇAMENTOS DIÁRIOS'!$G$5:$G$500,"G",'LANÇAMENTOS DIÁRIOS'!$C$5:$C$500,$A75,'LANÇAMENTOS DIÁRIOS'!$O$5:$O$500,"&lt;=118879",'LANÇAMENTOS DIÁRIOS'!$P$5:$P$500,"&gt;=118780")&gt;0,"X","")</f>
      </c>
      <c r="Q75" s="56" t="str">
        <f>IF(COUNTIFS('LANÇAMENTOS DIÁRIOS'!$G$5:$G$500,"G",'LANÇAMENTOS DIÁRIOS'!$C$5:$C$500,$A75,'LANÇAMENTOS DIÁRIOS'!$O$5:$O$500,"&lt;=118979",'LANÇAMENTOS DIÁRIOS'!$P$5:$P$500,"&gt;=118880")&gt;0,"X","")</f>
      </c>
      <c r="R75" s="56" t="str">
        <f>IF(COUNTIFS('LANÇAMENTOS DIÁRIOS'!$G$5:$G$500,"G",'LANÇAMENTOS DIÁRIOS'!$C$5:$C$500,$A75,'LANÇAMENTOS DIÁRIOS'!$O$5:$O$500,"&lt;=119079",'LANÇAMENTOS DIÁRIOS'!$P$5:$P$500,"&gt;=118980")&gt;0,"X","")</f>
      </c>
      <c r="S75" s="56" t="str">
        <f>IF(COUNTIFS('LANÇAMENTOS DIÁRIOS'!$G$5:$G$500,"G",'LANÇAMENTOS DIÁRIOS'!$C$5:$C$500,$A75,'LANÇAMENTOS DIÁRIOS'!$O$5:$O$500,"&lt;=119179",'LANÇAMENTOS DIÁRIOS'!$P$5:$P$500,"&gt;=119080")&gt;0,"X","")</f>
      </c>
      <c r="T75" s="56" t="str">
        <f>IF(COUNTIFS('LANÇAMENTOS DIÁRIOS'!$G$5:$G$500,"G",'LANÇAMENTOS DIÁRIOS'!$C$5:$C$500,$A75,'LANÇAMENTOS DIÁRIOS'!$O$5:$O$500,"&lt;=119279",'LANÇAMENTOS DIÁRIOS'!$P$5:$P$500,"&gt;=119180")&gt;0,"X","")</f>
      </c>
      <c r="U75" s="56" t="str">
        <f>IF(COUNTIFS('LANÇAMENTOS DIÁRIOS'!$G$5:$G$500,"G",'LANÇAMENTOS DIÁRIOS'!$C$5:$C$500,$A75,'LANÇAMENTOS DIÁRIOS'!$O$5:$O$500,"&lt;=119379",'LANÇAMENTOS DIÁRIOS'!$P$5:$P$500,"&gt;=119280")&gt;0,"X","")</f>
      </c>
      <c r="V75" s="56" t="str">
        <f>IF(COUNTIFS('LANÇAMENTOS DIÁRIOS'!$G$5:$G$500,"G",'LANÇAMENTOS DIÁRIOS'!$C$5:$C$500,$A75,'LANÇAMENTOS DIÁRIOS'!$O$5:$O$500,"&lt;=119479",'LANÇAMENTOS DIÁRIOS'!$P$5:$P$500,"&gt;=119380")&gt;0,"X","")</f>
      </c>
      <c r="W75" s="56" t="str">
        <f>IF(COUNTIFS('LANÇAMENTOS DIÁRIOS'!$G$5:$G$500,"G",'LANÇAMENTOS DIÁRIOS'!$C$5:$C$500,$A75,'LANÇAMENTOS DIÁRIOS'!$O$5:$O$500,"&lt;=119579",'LANÇAMENTOS DIÁRIOS'!$P$5:$P$500,"&gt;=119480")&gt;0,"X","")</f>
      </c>
      <c r="X75" s="56" t="str">
        <f>IF(COUNTIFS('LANÇAMENTOS DIÁRIOS'!$G$5:$G$500,"G",'LANÇAMENTOS DIÁRIOS'!$C$5:$C$500,$A75,'LANÇAMENTOS DIÁRIOS'!$O$5:$O$500,"&lt;=119679",'LANÇAMENTOS DIÁRIOS'!$P$5:$P$500,"&gt;=119580")&gt;0,"X","")</f>
      </c>
      <c r="Y75" s="56" t="str">
        <f>IF(COUNTIFS('LANÇAMENTOS DIÁRIOS'!$G$5:$G$500,"G",'LANÇAMENTOS DIÁRIOS'!$C$5:$C$500,$A75,'LANÇAMENTOS DIÁRIOS'!$O$5:$O$500,"&lt;=119779",'LANÇAMENTOS DIÁRIOS'!$P$5:$P$500,"&gt;=119680")&gt;0,"X","")</f>
      </c>
      <c r="Z75" s="56" t="str">
        <f>IF(COUNTIFS('LANÇAMENTOS DIÁRIOS'!$G$5:$G$500,"G",'LANÇAMENTOS DIÁRIOS'!$C$5:$C$500,$A75,'LANÇAMENTOS DIÁRIOS'!$O$5:$O$500,"&lt;=119879",'LANÇAMENTOS DIÁRIOS'!$P$5:$P$500,"&gt;=119780")&gt;0,"X","")</f>
      </c>
      <c r="AA75" s="56" t="str">
        <f>IF(COUNTIFS('LANÇAMENTOS DIÁRIOS'!$G$5:$G$500,"G",'LANÇAMENTOS DIÁRIOS'!$C$5:$C$500,$A75,'LANÇAMENTOS DIÁRIOS'!$O$5:$O$500,"&lt;=119979",'LANÇAMENTOS DIÁRIOS'!$P$5:$P$500,"&gt;=119880")&gt;0,"X","")</f>
      </c>
      <c r="AB75" s="56" t="str">
        <f>IF(COUNTIFS('LANÇAMENTOS DIÁRIOS'!$G$5:$G$500,"G",'LANÇAMENTOS DIÁRIOS'!$C$5:$C$500,$A75,'LANÇAMENTOS DIÁRIOS'!$O$5:$O$500,"&lt;=120079",'LANÇAMENTOS DIÁRIOS'!$P$5:$P$500,"&gt;=119980")&gt;0,"X","")</f>
      </c>
      <c r="AC75" s="56" t="str">
        <f>IF(COUNTIFS('LANÇAMENTOS DIÁRIOS'!$G$5:$G$500,"G",'LANÇAMENTOS DIÁRIOS'!$C$5:$C$500,$A75,'LANÇAMENTOS DIÁRIOS'!$O$5:$O$500,"&lt;=120179",'LANÇAMENTOS DIÁRIOS'!$P$5:$P$500,"&gt;=120080")&gt;0,"X","")</f>
      </c>
      <c r="AD75" s="56" t="str">
        <f>IF(COUNTIFS('LANÇAMENTOS DIÁRIOS'!$G$5:$G$500,"G",'LANÇAMENTOS DIÁRIOS'!$C$5:$C$500,$A75,'LANÇAMENTOS DIÁRIOS'!$O$5:$O$500,"&lt;=120279",'LANÇAMENTOS DIÁRIOS'!$P$5:$P$500,"&gt;=120180")&gt;0,"X","")</f>
      </c>
      <c r="AE75" s="56" t="str">
        <f>IF(COUNTIFS('LANÇAMENTOS DIÁRIOS'!$G$5:$G$500,"G",'LANÇAMENTOS DIÁRIOS'!$C$5:$C$500,$A75,'LANÇAMENTOS DIÁRIOS'!$O$5:$O$500,"&lt;=120379",'LANÇAMENTOS DIÁRIOS'!$P$5:$P$500,"&gt;=120280")&gt;0,"X","")</f>
      </c>
      <c r="AF75" s="56" t="str">
        <f>IF(COUNTIFS('LANÇAMENTOS DIÁRIOS'!$G$5:$G$500,"G",'LANÇAMENTOS DIÁRIOS'!$C$5:$C$500,$A75,'LANÇAMENTOS DIÁRIOS'!$O$5:$O$500,"&lt;=120479",'LANÇAMENTOS DIÁRIOS'!$P$5:$P$500,"&gt;=120380")&gt;0,"X","")</f>
      </c>
      <c r="AG75" s="56" t="str">
        <f>IF(COUNTIFS('LANÇAMENTOS DIÁRIOS'!$G$5:$G$500,"G",'LANÇAMENTOS DIÁRIOS'!$C$5:$C$500,$A75,'LANÇAMENTOS DIÁRIOS'!$O$5:$O$500,"&lt;=120579",'LANÇAMENTOS DIÁRIOS'!$P$5:$P$500,"&gt;=120480")&gt;0,"X","")</f>
      </c>
      <c r="AH75" s="56" t="str">
        <f>IF(COUNTIFS('LANÇAMENTOS DIÁRIOS'!$G$5:$G$500,"G",'LANÇAMENTOS DIÁRIOS'!$C$5:$C$500,$A75,'LANÇAMENTOS DIÁRIOS'!$O$5:$O$500,"&lt;=120679",'LANÇAMENTOS DIÁRIOS'!$P$5:$P$500,"&gt;=120580")&gt;0,"X","")</f>
      </c>
      <c r="AI75" s="56" t="str">
        <f>IF(COUNTIFS('LANÇAMENTOS DIÁRIOS'!$G$5:$G$500,"G",'LANÇAMENTOS DIÁRIOS'!$C$5:$C$500,$A75,'LANÇAMENTOS DIÁRIOS'!$O$5:$O$500,"&lt;=120779",'LANÇAMENTOS DIÁRIOS'!$P$5:$P$500,"&gt;=120680")&gt;0,"X","")</f>
      </c>
      <c r="AJ75" s="56" t="str">
        <f>IF(COUNTIFS('LANÇAMENTOS DIÁRIOS'!$G$5:$G$500,"G",'LANÇAMENTOS DIÁRIOS'!$C$5:$C$500,$A75,'LANÇAMENTOS DIÁRIOS'!$O$5:$O$500,"&lt;=120879",'LANÇAMENTOS DIÁRIOS'!$P$5:$P$500,"&gt;=120780")&gt;0,"X","")</f>
      </c>
      <c r="AK75" s="56" t="str">
        <f>IF(COUNTIFS('LANÇAMENTOS DIÁRIOS'!$G$5:$G$500,"G",'LANÇAMENTOS DIÁRIOS'!$C$5:$C$500,$A75,'LANÇAMENTOS DIÁRIOS'!$O$5:$O$500,"&lt;=120979",'LANÇAMENTOS DIÁRIOS'!$P$5:$P$500,"&gt;=120880")&gt;0,"X","")</f>
      </c>
      <c r="AL75" s="56" t="str">
        <f>IF(COUNTIFS('LANÇAMENTOS DIÁRIOS'!$G$5:$G$500,"G",'LANÇAMENTOS DIÁRIOS'!$C$5:$C$500,$A75,'LANÇAMENTOS DIÁRIOS'!$O$5:$O$500,"&lt;=121079",'LANÇAMENTOS DIÁRIOS'!$P$5:$P$500,"&gt;=120980")&gt;0,"X","")</f>
      </c>
      <c r="AM75" s="56" t="str">
        <f>IF(COUNTIFS('LANÇAMENTOS DIÁRIOS'!$G$5:$G$500,"G",'LANÇAMENTOS DIÁRIOS'!$C$5:$C$500,$A75,'LANÇAMENTOS DIÁRIOS'!$O$5:$O$500,"&lt;=121179",'LANÇAMENTOS DIÁRIOS'!$P$5:$P$500,"&gt;=121080")&gt;0,"X","")</f>
      </c>
      <c r="AN75" s="56" t="str">
        <f>IF(COUNTIFS('LANÇAMENTOS DIÁRIOS'!$G$5:$G$500,"G",'LANÇAMENTOS DIÁRIOS'!$C$5:$C$500,$A75,'LANÇAMENTOS DIÁRIOS'!$O$5:$O$500,"&lt;=121279",'LANÇAMENTOS DIÁRIOS'!$P$5:$P$500,"&gt;=121180")&gt;0,"X","")</f>
      </c>
      <c r="AO75" s="56" t="str">
        <f>IF(COUNTIFS('LANÇAMENTOS DIÁRIOS'!$G$5:$G$500,"G",'LANÇAMENTOS DIÁRIOS'!$C$5:$C$500,$A75,'LANÇAMENTOS DIÁRIOS'!$O$5:$O$500,"&lt;=121379",'LANÇAMENTOS DIÁRIOS'!$P$5:$P$500,"&gt;=121280")&gt;0,"X","")</f>
      </c>
      <c r="AP75" s="56" t="str">
        <f>IF(COUNTIFS('LANÇAMENTOS DIÁRIOS'!$G$5:$G$500,"G",'LANÇAMENTOS DIÁRIOS'!$C$5:$C$500,$A75,'LANÇAMENTOS DIÁRIOS'!$O$5:$O$500,"&lt;=121479",'LANÇAMENTOS DIÁRIOS'!$P$5:$P$500,"&gt;=121380")&gt;0,"X","")</f>
      </c>
      <c r="AQ75" s="56" t="str">
        <f>IF(COUNTIFS('LANÇAMENTOS DIÁRIOS'!$G$5:$G$500,"G",'LANÇAMENTOS DIÁRIOS'!$C$5:$C$500,$A75,'LANÇAMENTOS DIÁRIOS'!$O$5:$O$500,"&lt;=121579",'LANÇAMENTOS DIÁRIOS'!$P$5:$P$500,"&gt;=121480")&gt;0,"X","")</f>
      </c>
      <c r="AR75" s="56" t="str">
        <f>IF(COUNTIFS('LANÇAMENTOS DIÁRIOS'!$G$5:$G$500,"G",'LANÇAMENTOS DIÁRIOS'!$C$5:$C$500,$A75,'LANÇAMENTOS DIÁRIOS'!$O$5:$O$500,"&lt;=121679",'LANÇAMENTOS DIÁRIOS'!$P$5:$P$500,"&gt;=121580")&gt;0,"X","")</f>
      </c>
      <c r="AS75" s="56" t="str">
        <f>IF(COUNTIFS('LANÇAMENTOS DIÁRIOS'!$G$5:$G$500,"G",'LANÇAMENTOS DIÁRIOS'!$C$5:$C$500,$A75,'LANÇAMENTOS DIÁRIOS'!$O$5:$O$500,"&lt;=121779",'LANÇAMENTOS DIÁRIOS'!$P$5:$P$500,"&gt;=121680")&gt;0,"X","")</f>
      </c>
      <c r="AT75" s="56" t="str">
        <f>IF(COUNTIFS('LANÇAMENTOS DIÁRIOS'!$G$5:$G$500,"G",'LANÇAMENTOS DIÁRIOS'!$C$5:$C$500,$A75,'LANÇAMENTOS DIÁRIOS'!$O$5:$O$500,"&lt;=121879",'LANÇAMENTOS DIÁRIOS'!$P$5:$P$500,"&gt;=121780")&gt;0,"X","")</f>
      </c>
      <c r="AU75" s="56" t="str">
        <f>IF(COUNTIFS('LANÇAMENTOS DIÁRIOS'!$G$5:$G$500,"G",'LANÇAMENTOS DIÁRIOS'!$C$5:$C$500,$A75,'LANÇAMENTOS DIÁRIOS'!$O$5:$O$500,"&lt;=121979",'LANÇAMENTOS DIÁRIOS'!$P$5:$P$500,"&gt;=121880")&gt;0,"X","")</f>
      </c>
      <c r="AV75" s="56" t="str">
        <f>IF(COUNTIFS('LANÇAMENTOS DIÁRIOS'!$G$5:$G$500,"G",'LANÇAMENTOS DIÁRIOS'!$C$5:$C$500,$A75,'LANÇAMENTOS DIÁRIOS'!$O$5:$O$500,"&lt;=122079",'LANÇAMENTOS DIÁRIOS'!$P$5:$P$500,"&gt;=121980")&gt;0,"X","")</f>
      </c>
      <c r="AW75" s="56" t="str">
        <f>IF(COUNTIFS('LANÇAMENTOS DIÁRIOS'!$G$5:$G$500,"G",'LANÇAMENTOS DIÁRIOS'!$C$5:$C$500,$A75,'LANÇAMENTOS DIÁRIOS'!$O$5:$O$500,"&lt;=122179",'LANÇAMENTOS DIÁRIOS'!$P$5:$P$500,"&gt;=122080")&gt;0,"X","")</f>
      </c>
      <c r="AX75" s="56" t="str">
        <f>IF(COUNTIFS('LANÇAMENTOS DIÁRIOS'!$G$5:$G$500,"G",'LANÇAMENTOS DIÁRIOS'!$C$5:$C$500,$A75,'LANÇAMENTOS DIÁRIOS'!$O$5:$O$500,"&lt;=122279",'LANÇAMENTOS DIÁRIOS'!$P$5:$P$500,"&gt;=122180")&gt;0,"X","")</f>
      </c>
      <c r="AY75" s="56" t="str">
        <f>IF(COUNTIFS('LANÇAMENTOS DIÁRIOS'!$G$5:$G$500,"G",'LANÇAMENTOS DIÁRIOS'!$C$5:$C$500,$A75,'LANÇAMENTOS DIÁRIOS'!$O$5:$O$500,"&lt;=122379",'LANÇAMENTOS DIÁRIOS'!$P$5:$P$500,"&gt;=122280")&gt;0,"X","")</f>
      </c>
      <c r="AZ75" s="56" t="str">
        <f>IF(COUNTIFS('LANÇAMENTOS DIÁRIOS'!$G$5:$G$500,"G",'LANÇAMENTOS DIÁRIOS'!$C$5:$C$500,$A75,'LANÇAMENTOS DIÁRIOS'!$O$5:$O$500,"&lt;=122479",'LANÇAMENTOS DIÁRIOS'!$P$5:$P$500,"&gt;=122380")&gt;0,"X","")</f>
      </c>
      <c r="BA75" s="56" t="str">
        <f>IF(COUNTIFS('LANÇAMENTOS DIÁRIOS'!$G$5:$G$500,"G",'LANÇAMENTOS DIÁRIOS'!$C$5:$C$500,$A75,'LANÇAMENTOS DIÁRIOS'!$O$5:$O$500,"&lt;=122579",'LANÇAMENTOS DIÁRIOS'!$P$5:$P$500,"&gt;=122480")&gt;0,"X","")</f>
      </c>
      <c r="BB75" s="56" t="str">
        <f>IF(COUNTIFS('LANÇAMENTOS DIÁRIOS'!$G$5:$G$500,"G",'LANÇAMENTOS DIÁRIOS'!$C$5:$C$500,$A75,'LANÇAMENTOS DIÁRIOS'!$O$5:$O$500,"&lt;=122679",'LANÇAMENTOS DIÁRIOS'!$P$5:$P$500,"&gt;=122580")&gt;0,"X","")</f>
      </c>
      <c r="BC75" s="56" t="str">
        <f>IF(COUNTIFS('LANÇAMENTOS DIÁRIOS'!$G$5:$G$500,"G",'LANÇAMENTOS DIÁRIOS'!$C$5:$C$500,$A75,'LANÇAMENTOS DIÁRIOS'!$O$5:$O$500,"&lt;=122779",'LANÇAMENTOS DIÁRIOS'!$P$5:$P$500,"&gt;=122680")&gt;0,"X","")</f>
      </c>
      <c r="BD75" s="56" t="str">
        <f>IF(COUNTIFS('LANÇAMENTOS DIÁRIOS'!$G$5:$G$500,"G",'LANÇAMENTOS DIÁRIOS'!$C$5:$C$500,$A75,'LANÇAMENTOS DIÁRIOS'!$O$5:$O$500,"&lt;=122879",'LANÇAMENTOS DIÁRIOS'!$P$5:$P$500,"&gt;=122780")&gt;0,"X","")</f>
      </c>
      <c r="BE75" s="56" t="str">
        <f>IF(COUNTIFS('LANÇAMENTOS DIÁRIOS'!$G$5:$G$500,"G",'LANÇAMENTOS DIÁRIOS'!$C$5:$C$500,$A75,'LANÇAMENTOS DIÁRIOS'!$O$5:$O$500,"&lt;=122979",'LANÇAMENTOS DIÁRIOS'!$P$5:$P$500,"&gt;=122880")&gt;0,"X","")</f>
      </c>
      <c r="BF75" s="56" t="str">
        <f>IF(COUNTIFS('LANÇAMENTOS DIÁRIOS'!$G$5:$G$500,"G",'LANÇAMENTOS DIÁRIOS'!$C$5:$C$500,$A75,'LANÇAMENTOS DIÁRIOS'!$O$5:$O$500,"&lt;=123079",'LANÇAMENTOS DIÁRIOS'!$P$5:$P$500,"&gt;=122980")&gt;0,"X","")</f>
      </c>
      <c r="BG75" s="56" t="str">
        <f>IF(COUNTIFS('LANÇAMENTOS DIÁRIOS'!$G$5:$G$500,"G",'LANÇAMENTOS DIÁRIOS'!$C$5:$C$500,$A75,'LANÇAMENTOS DIÁRIOS'!$O$5:$O$500,"&lt;=123179",'LANÇAMENTOS DIÁRIOS'!$P$5:$P$500,"&gt;=123080")&gt;0,"X","")</f>
      </c>
      <c r="BH75" s="56" t="str">
        <f>IF(COUNTIFS('LANÇAMENTOS DIÁRIOS'!$G$5:$G$500,"G",'LANÇAMENTOS DIÁRIOS'!$C$5:$C$500,$A75,'LANÇAMENTOS DIÁRIOS'!$O$5:$O$500,"&lt;=123279",'LANÇAMENTOS DIÁRIOS'!$P$5:$P$500,"&gt;=123180")&gt;0,"X","")</f>
      </c>
      <c r="BI75" s="56" t="str">
        <f>IF(COUNTIFS('LANÇAMENTOS DIÁRIOS'!$G$5:$G$500,"G",'LANÇAMENTOS DIÁRIOS'!$C$5:$C$500,$A75,'LANÇAMENTOS DIÁRIOS'!$O$5:$O$500,"&lt;=123379",'LANÇAMENTOS DIÁRIOS'!$P$5:$P$500,"&gt;=123280")&gt;0,"X","")</f>
      </c>
      <c r="BJ75" s="56" t="str">
        <f>IF(COUNTIFS('LANÇAMENTOS DIÁRIOS'!$G$5:$G$500,"G",'LANÇAMENTOS DIÁRIOS'!$C$5:$C$500,$A75,'LANÇAMENTOS DIÁRIOS'!$O$5:$O$500,"&lt;=123479",'LANÇAMENTOS DIÁRIOS'!$P$5:$P$500,"&gt;=123380")&gt;0,"X","")</f>
      </c>
      <c r="BK75" s="56" t="str">
        <f>IF(COUNTIFS('LANÇAMENTOS DIÁRIOS'!$G$5:$G$500,"G",'LANÇAMENTOS DIÁRIOS'!$C$5:$C$500,$A75,'LANÇAMENTOS DIÁRIOS'!$O$5:$O$500,"&lt;=123480",'LANÇAMENTOS DIÁRIOS'!$P$5:$P$500,"&gt;=123480")&gt;0,"X","")</f>
      </c>
    </row>
    <row r="76">
      <c r="A76" s="51" t="str">
        <v>Demolição de pavimento, camada granular</v>
      </c>
      <c r="B76" s="56" t="str">
        <f>IF(COUNTIFS('LANÇAMENTOS DIÁRIOS'!$G$5:$G$500,"G",'LANÇAMENTOS DIÁRIOS'!$C$5:$C$500,$A76,'LANÇAMENTOS DIÁRIOS'!$O$5:$O$500,"&lt;=117479",'LANÇAMENTOS DIÁRIOS'!$P$5:$P$500,"&gt;=117380")&gt;0,"X","")</f>
      </c>
      <c r="C76" s="56" t="str">
        <f>IF(COUNTIFS('LANÇAMENTOS DIÁRIOS'!$G$5:$G$500,"G",'LANÇAMENTOS DIÁRIOS'!$C$5:$C$500,$A76,'LANÇAMENTOS DIÁRIOS'!$O$5:$O$500,"&lt;=117579",'LANÇAMENTOS DIÁRIOS'!$P$5:$P$500,"&gt;=117480")&gt;0,"X","")</f>
      </c>
      <c r="D76" s="56" t="str">
        <f>IF(COUNTIFS('LANÇAMENTOS DIÁRIOS'!$G$5:$G$500,"G",'LANÇAMENTOS DIÁRIOS'!$C$5:$C$500,$A76,'LANÇAMENTOS DIÁRIOS'!$O$5:$O$500,"&lt;=117679",'LANÇAMENTOS DIÁRIOS'!$P$5:$P$500,"&gt;=117580")&gt;0,"X","")</f>
      </c>
      <c r="E76" s="56" t="str">
        <f>IF(COUNTIFS('LANÇAMENTOS DIÁRIOS'!$G$5:$G$500,"G",'LANÇAMENTOS DIÁRIOS'!$C$5:$C$500,$A76,'LANÇAMENTOS DIÁRIOS'!$O$5:$O$500,"&lt;=117779",'LANÇAMENTOS DIÁRIOS'!$P$5:$P$500,"&gt;=117680")&gt;0,"X","")</f>
      </c>
      <c r="F76" s="56" t="str">
        <f>IF(COUNTIFS('LANÇAMENTOS DIÁRIOS'!$G$5:$G$500,"G",'LANÇAMENTOS DIÁRIOS'!$C$5:$C$500,$A76,'LANÇAMENTOS DIÁRIOS'!$O$5:$O$500,"&lt;=117879",'LANÇAMENTOS DIÁRIOS'!$P$5:$P$500,"&gt;=117780")&gt;0,"X","")</f>
      </c>
      <c r="G76" s="56" t="str">
        <f>IF(COUNTIFS('LANÇAMENTOS DIÁRIOS'!$G$5:$G$500,"G",'LANÇAMENTOS DIÁRIOS'!$C$5:$C$500,$A76,'LANÇAMENTOS DIÁRIOS'!$O$5:$O$500,"&lt;=117979",'LANÇAMENTOS DIÁRIOS'!$P$5:$P$500,"&gt;=117880")&gt;0,"X","")</f>
      </c>
      <c r="H76" s="56" t="str">
        <f>IF(COUNTIFS('LANÇAMENTOS DIÁRIOS'!$G$5:$G$500,"G",'LANÇAMENTOS DIÁRIOS'!$C$5:$C$500,$A76,'LANÇAMENTOS DIÁRIOS'!$O$5:$O$500,"&lt;=118079",'LANÇAMENTOS DIÁRIOS'!$P$5:$P$500,"&gt;=117980")&gt;0,"X","")</f>
      </c>
      <c r="I76" s="56" t="str">
        <f>IF(COUNTIFS('LANÇAMENTOS DIÁRIOS'!$G$5:$G$500,"G",'LANÇAMENTOS DIÁRIOS'!$C$5:$C$500,$A76,'LANÇAMENTOS DIÁRIOS'!$O$5:$O$500,"&lt;=118179",'LANÇAMENTOS DIÁRIOS'!$P$5:$P$500,"&gt;=118080")&gt;0,"X","")</f>
      </c>
      <c r="J76" s="56" t="str">
        <f>IF(COUNTIFS('LANÇAMENTOS DIÁRIOS'!$G$5:$G$500,"G",'LANÇAMENTOS DIÁRIOS'!$C$5:$C$500,$A76,'LANÇAMENTOS DIÁRIOS'!$O$5:$O$500,"&lt;=118279",'LANÇAMENTOS DIÁRIOS'!$P$5:$P$500,"&gt;=118180")&gt;0,"X","")</f>
      </c>
      <c r="K76" s="56" t="str">
        <f>IF(COUNTIFS('LANÇAMENTOS DIÁRIOS'!$G$5:$G$500,"G",'LANÇAMENTOS DIÁRIOS'!$C$5:$C$500,$A76,'LANÇAMENTOS DIÁRIOS'!$O$5:$O$500,"&lt;=118379",'LANÇAMENTOS DIÁRIOS'!$P$5:$P$500,"&gt;=118280")&gt;0,"X","")</f>
      </c>
      <c r="L76" s="56" t="str">
        <f>IF(COUNTIFS('LANÇAMENTOS DIÁRIOS'!$G$5:$G$500,"G",'LANÇAMENTOS DIÁRIOS'!$C$5:$C$500,$A76,'LANÇAMENTOS DIÁRIOS'!$O$5:$O$500,"&lt;=118479",'LANÇAMENTOS DIÁRIOS'!$P$5:$P$500,"&gt;=118380")&gt;0,"X","")</f>
      </c>
      <c r="M76" s="56" t="str">
        <f>IF(COUNTIFS('LANÇAMENTOS DIÁRIOS'!$G$5:$G$500,"G",'LANÇAMENTOS DIÁRIOS'!$C$5:$C$500,$A76,'LANÇAMENTOS DIÁRIOS'!$O$5:$O$500,"&lt;=118579",'LANÇAMENTOS DIÁRIOS'!$P$5:$P$500,"&gt;=118480")&gt;0,"X","")</f>
      </c>
      <c r="N76" s="56" t="str">
        <f>IF(COUNTIFS('LANÇAMENTOS DIÁRIOS'!$G$5:$G$500,"G",'LANÇAMENTOS DIÁRIOS'!$C$5:$C$500,$A76,'LANÇAMENTOS DIÁRIOS'!$O$5:$O$500,"&lt;=118679",'LANÇAMENTOS DIÁRIOS'!$P$5:$P$500,"&gt;=118580")&gt;0,"X","")</f>
      </c>
      <c r="O76" s="56" t="str">
        <f>IF(COUNTIFS('LANÇAMENTOS DIÁRIOS'!$G$5:$G$500,"G",'LANÇAMENTOS DIÁRIOS'!$C$5:$C$500,$A76,'LANÇAMENTOS DIÁRIOS'!$O$5:$O$500,"&lt;=118779",'LANÇAMENTOS DIÁRIOS'!$P$5:$P$500,"&gt;=118680")&gt;0,"X","")</f>
      </c>
      <c r="P76" s="56" t="str">
        <f>IF(COUNTIFS('LANÇAMENTOS DIÁRIOS'!$G$5:$G$500,"G",'LANÇAMENTOS DIÁRIOS'!$C$5:$C$500,$A76,'LANÇAMENTOS DIÁRIOS'!$O$5:$O$500,"&lt;=118879",'LANÇAMENTOS DIÁRIOS'!$P$5:$P$500,"&gt;=118780")&gt;0,"X","")</f>
      </c>
      <c r="Q76" s="56" t="str">
        <f>IF(COUNTIFS('LANÇAMENTOS DIÁRIOS'!$G$5:$G$500,"G",'LANÇAMENTOS DIÁRIOS'!$C$5:$C$500,$A76,'LANÇAMENTOS DIÁRIOS'!$O$5:$O$500,"&lt;=118979",'LANÇAMENTOS DIÁRIOS'!$P$5:$P$500,"&gt;=118880")&gt;0,"X","")</f>
      </c>
      <c r="R76" s="56" t="str">
        <f>IF(COUNTIFS('LANÇAMENTOS DIÁRIOS'!$G$5:$G$500,"G",'LANÇAMENTOS DIÁRIOS'!$C$5:$C$500,$A76,'LANÇAMENTOS DIÁRIOS'!$O$5:$O$500,"&lt;=119079",'LANÇAMENTOS DIÁRIOS'!$P$5:$P$500,"&gt;=118980")&gt;0,"X","")</f>
      </c>
      <c r="S76" s="56" t="str">
        <f>IF(COUNTIFS('LANÇAMENTOS DIÁRIOS'!$G$5:$G$500,"G",'LANÇAMENTOS DIÁRIOS'!$C$5:$C$500,$A76,'LANÇAMENTOS DIÁRIOS'!$O$5:$O$500,"&lt;=119179",'LANÇAMENTOS DIÁRIOS'!$P$5:$P$500,"&gt;=119080")&gt;0,"X","")</f>
      </c>
      <c r="T76" s="56" t="str">
        <f>IF(COUNTIFS('LANÇAMENTOS DIÁRIOS'!$G$5:$G$500,"G",'LANÇAMENTOS DIÁRIOS'!$C$5:$C$500,$A76,'LANÇAMENTOS DIÁRIOS'!$O$5:$O$500,"&lt;=119279",'LANÇAMENTOS DIÁRIOS'!$P$5:$P$500,"&gt;=119180")&gt;0,"X","")</f>
      </c>
      <c r="U76" s="56" t="str">
        <f>IF(COUNTIFS('LANÇAMENTOS DIÁRIOS'!$G$5:$G$500,"G",'LANÇAMENTOS DIÁRIOS'!$C$5:$C$500,$A76,'LANÇAMENTOS DIÁRIOS'!$O$5:$O$500,"&lt;=119379",'LANÇAMENTOS DIÁRIOS'!$P$5:$P$500,"&gt;=119280")&gt;0,"X","")</f>
      </c>
      <c r="V76" s="56" t="str">
        <f>IF(COUNTIFS('LANÇAMENTOS DIÁRIOS'!$G$5:$G$500,"G",'LANÇAMENTOS DIÁRIOS'!$C$5:$C$500,$A76,'LANÇAMENTOS DIÁRIOS'!$O$5:$O$500,"&lt;=119479",'LANÇAMENTOS DIÁRIOS'!$P$5:$P$500,"&gt;=119380")&gt;0,"X","")</f>
      </c>
      <c r="W76" s="56" t="str">
        <f>IF(COUNTIFS('LANÇAMENTOS DIÁRIOS'!$G$5:$G$500,"G",'LANÇAMENTOS DIÁRIOS'!$C$5:$C$500,$A76,'LANÇAMENTOS DIÁRIOS'!$O$5:$O$500,"&lt;=119579",'LANÇAMENTOS DIÁRIOS'!$P$5:$P$500,"&gt;=119480")&gt;0,"X","")</f>
      </c>
      <c r="X76" s="56" t="str">
        <f>IF(COUNTIFS('LANÇAMENTOS DIÁRIOS'!$G$5:$G$500,"G",'LANÇAMENTOS DIÁRIOS'!$C$5:$C$500,$A76,'LANÇAMENTOS DIÁRIOS'!$O$5:$O$500,"&lt;=119679",'LANÇAMENTOS DIÁRIOS'!$P$5:$P$500,"&gt;=119580")&gt;0,"X","")</f>
      </c>
      <c r="Y76" s="56" t="str">
        <f>IF(COUNTIFS('LANÇAMENTOS DIÁRIOS'!$G$5:$G$500,"G",'LANÇAMENTOS DIÁRIOS'!$C$5:$C$500,$A76,'LANÇAMENTOS DIÁRIOS'!$O$5:$O$500,"&lt;=119779",'LANÇAMENTOS DIÁRIOS'!$P$5:$P$500,"&gt;=119680")&gt;0,"X","")</f>
      </c>
      <c r="Z76" s="56" t="str">
        <f>IF(COUNTIFS('LANÇAMENTOS DIÁRIOS'!$G$5:$G$500,"G",'LANÇAMENTOS DIÁRIOS'!$C$5:$C$500,$A76,'LANÇAMENTOS DIÁRIOS'!$O$5:$O$500,"&lt;=119879",'LANÇAMENTOS DIÁRIOS'!$P$5:$P$500,"&gt;=119780")&gt;0,"X","")</f>
      </c>
      <c r="AA76" s="56" t="str">
        <f>IF(COUNTIFS('LANÇAMENTOS DIÁRIOS'!$G$5:$G$500,"G",'LANÇAMENTOS DIÁRIOS'!$C$5:$C$500,$A76,'LANÇAMENTOS DIÁRIOS'!$O$5:$O$500,"&lt;=119979",'LANÇAMENTOS DIÁRIOS'!$P$5:$P$500,"&gt;=119880")&gt;0,"X","")</f>
      </c>
      <c r="AB76" s="56" t="str">
        <f>IF(COUNTIFS('LANÇAMENTOS DIÁRIOS'!$G$5:$G$500,"G",'LANÇAMENTOS DIÁRIOS'!$C$5:$C$500,$A76,'LANÇAMENTOS DIÁRIOS'!$O$5:$O$500,"&lt;=120079",'LANÇAMENTOS DIÁRIOS'!$P$5:$P$500,"&gt;=119980")&gt;0,"X","")</f>
      </c>
      <c r="AC76" s="56" t="str">
        <f>IF(COUNTIFS('LANÇAMENTOS DIÁRIOS'!$G$5:$G$500,"G",'LANÇAMENTOS DIÁRIOS'!$C$5:$C$500,$A76,'LANÇAMENTOS DIÁRIOS'!$O$5:$O$500,"&lt;=120179",'LANÇAMENTOS DIÁRIOS'!$P$5:$P$500,"&gt;=120080")&gt;0,"X","")</f>
      </c>
      <c r="AD76" s="56" t="str">
        <f>IF(COUNTIFS('LANÇAMENTOS DIÁRIOS'!$G$5:$G$500,"G",'LANÇAMENTOS DIÁRIOS'!$C$5:$C$500,$A76,'LANÇAMENTOS DIÁRIOS'!$O$5:$O$500,"&lt;=120279",'LANÇAMENTOS DIÁRIOS'!$P$5:$P$500,"&gt;=120180")&gt;0,"X","")</f>
      </c>
      <c r="AE76" s="56" t="str">
        <f>IF(COUNTIFS('LANÇAMENTOS DIÁRIOS'!$G$5:$G$500,"G",'LANÇAMENTOS DIÁRIOS'!$C$5:$C$500,$A76,'LANÇAMENTOS DIÁRIOS'!$O$5:$O$500,"&lt;=120379",'LANÇAMENTOS DIÁRIOS'!$P$5:$P$500,"&gt;=120280")&gt;0,"X","")</f>
      </c>
      <c r="AF76" s="56" t="str">
        <f>IF(COUNTIFS('LANÇAMENTOS DIÁRIOS'!$G$5:$G$500,"G",'LANÇAMENTOS DIÁRIOS'!$C$5:$C$500,$A76,'LANÇAMENTOS DIÁRIOS'!$O$5:$O$500,"&lt;=120479",'LANÇAMENTOS DIÁRIOS'!$P$5:$P$500,"&gt;=120380")&gt;0,"X","")</f>
      </c>
      <c r="AG76" s="56" t="str">
        <f>IF(COUNTIFS('LANÇAMENTOS DIÁRIOS'!$G$5:$G$500,"G",'LANÇAMENTOS DIÁRIOS'!$C$5:$C$500,$A76,'LANÇAMENTOS DIÁRIOS'!$O$5:$O$500,"&lt;=120579",'LANÇAMENTOS DIÁRIOS'!$P$5:$P$500,"&gt;=120480")&gt;0,"X","")</f>
      </c>
      <c r="AH76" s="56" t="str">
        <f>IF(COUNTIFS('LANÇAMENTOS DIÁRIOS'!$G$5:$G$500,"G",'LANÇAMENTOS DIÁRIOS'!$C$5:$C$500,$A76,'LANÇAMENTOS DIÁRIOS'!$O$5:$O$500,"&lt;=120679",'LANÇAMENTOS DIÁRIOS'!$P$5:$P$500,"&gt;=120580")&gt;0,"X","")</f>
      </c>
      <c r="AI76" s="56" t="str">
        <f>IF(COUNTIFS('LANÇAMENTOS DIÁRIOS'!$G$5:$G$500,"G",'LANÇAMENTOS DIÁRIOS'!$C$5:$C$500,$A76,'LANÇAMENTOS DIÁRIOS'!$O$5:$O$500,"&lt;=120779",'LANÇAMENTOS DIÁRIOS'!$P$5:$P$500,"&gt;=120680")&gt;0,"X","")</f>
      </c>
      <c r="AJ76" s="56" t="str">
        <f>IF(COUNTIFS('LANÇAMENTOS DIÁRIOS'!$G$5:$G$500,"G",'LANÇAMENTOS DIÁRIOS'!$C$5:$C$500,$A76,'LANÇAMENTOS DIÁRIOS'!$O$5:$O$500,"&lt;=120879",'LANÇAMENTOS DIÁRIOS'!$P$5:$P$500,"&gt;=120780")&gt;0,"X","")</f>
      </c>
      <c r="AK76" s="56" t="str">
        <f>IF(COUNTIFS('LANÇAMENTOS DIÁRIOS'!$G$5:$G$500,"G",'LANÇAMENTOS DIÁRIOS'!$C$5:$C$500,$A76,'LANÇAMENTOS DIÁRIOS'!$O$5:$O$500,"&lt;=120979",'LANÇAMENTOS DIÁRIOS'!$P$5:$P$500,"&gt;=120880")&gt;0,"X","")</f>
      </c>
      <c r="AL76" s="56" t="str">
        <f>IF(COUNTIFS('LANÇAMENTOS DIÁRIOS'!$G$5:$G$500,"G",'LANÇAMENTOS DIÁRIOS'!$C$5:$C$500,$A76,'LANÇAMENTOS DIÁRIOS'!$O$5:$O$500,"&lt;=121079",'LANÇAMENTOS DIÁRIOS'!$P$5:$P$500,"&gt;=120980")&gt;0,"X","")</f>
      </c>
      <c r="AM76" s="56" t="str">
        <f>IF(COUNTIFS('LANÇAMENTOS DIÁRIOS'!$G$5:$G$500,"G",'LANÇAMENTOS DIÁRIOS'!$C$5:$C$500,$A76,'LANÇAMENTOS DIÁRIOS'!$O$5:$O$500,"&lt;=121179",'LANÇAMENTOS DIÁRIOS'!$P$5:$P$500,"&gt;=121080")&gt;0,"X","")</f>
      </c>
      <c r="AN76" s="56" t="str">
        <f>IF(COUNTIFS('LANÇAMENTOS DIÁRIOS'!$G$5:$G$500,"G",'LANÇAMENTOS DIÁRIOS'!$C$5:$C$500,$A76,'LANÇAMENTOS DIÁRIOS'!$O$5:$O$500,"&lt;=121279",'LANÇAMENTOS DIÁRIOS'!$P$5:$P$500,"&gt;=121180")&gt;0,"X","")</f>
      </c>
      <c r="AO76" s="56" t="str">
        <f>IF(COUNTIFS('LANÇAMENTOS DIÁRIOS'!$G$5:$G$500,"G",'LANÇAMENTOS DIÁRIOS'!$C$5:$C$500,$A76,'LANÇAMENTOS DIÁRIOS'!$O$5:$O$500,"&lt;=121379",'LANÇAMENTOS DIÁRIOS'!$P$5:$P$500,"&gt;=121280")&gt;0,"X","")</f>
      </c>
      <c r="AP76" s="56" t="str">
        <f>IF(COUNTIFS('LANÇAMENTOS DIÁRIOS'!$G$5:$G$500,"G",'LANÇAMENTOS DIÁRIOS'!$C$5:$C$500,$A76,'LANÇAMENTOS DIÁRIOS'!$O$5:$O$500,"&lt;=121479",'LANÇAMENTOS DIÁRIOS'!$P$5:$P$500,"&gt;=121380")&gt;0,"X","")</f>
      </c>
      <c r="AQ76" s="56" t="str">
        <f>IF(COUNTIFS('LANÇAMENTOS DIÁRIOS'!$G$5:$G$500,"G",'LANÇAMENTOS DIÁRIOS'!$C$5:$C$500,$A76,'LANÇAMENTOS DIÁRIOS'!$O$5:$O$500,"&lt;=121579",'LANÇAMENTOS DIÁRIOS'!$P$5:$P$500,"&gt;=121480")&gt;0,"X","")</f>
      </c>
      <c r="AR76" s="56" t="str">
        <f>IF(COUNTIFS('LANÇAMENTOS DIÁRIOS'!$G$5:$G$500,"G",'LANÇAMENTOS DIÁRIOS'!$C$5:$C$500,$A76,'LANÇAMENTOS DIÁRIOS'!$O$5:$O$500,"&lt;=121679",'LANÇAMENTOS DIÁRIOS'!$P$5:$P$500,"&gt;=121580")&gt;0,"X","")</f>
      </c>
      <c r="AS76" s="56" t="str">
        <f>IF(COUNTIFS('LANÇAMENTOS DIÁRIOS'!$G$5:$G$500,"G",'LANÇAMENTOS DIÁRIOS'!$C$5:$C$500,$A76,'LANÇAMENTOS DIÁRIOS'!$O$5:$O$500,"&lt;=121779",'LANÇAMENTOS DIÁRIOS'!$P$5:$P$500,"&gt;=121680")&gt;0,"X","")</f>
      </c>
      <c r="AT76" s="56" t="str">
        <f>IF(COUNTIFS('LANÇAMENTOS DIÁRIOS'!$G$5:$G$500,"G",'LANÇAMENTOS DIÁRIOS'!$C$5:$C$500,$A76,'LANÇAMENTOS DIÁRIOS'!$O$5:$O$500,"&lt;=121879",'LANÇAMENTOS DIÁRIOS'!$P$5:$P$500,"&gt;=121780")&gt;0,"X","")</f>
      </c>
      <c r="AU76" s="56" t="str">
        <f>IF(COUNTIFS('LANÇAMENTOS DIÁRIOS'!$G$5:$G$500,"G",'LANÇAMENTOS DIÁRIOS'!$C$5:$C$500,$A76,'LANÇAMENTOS DIÁRIOS'!$O$5:$O$500,"&lt;=121979",'LANÇAMENTOS DIÁRIOS'!$P$5:$P$500,"&gt;=121880")&gt;0,"X","")</f>
      </c>
      <c r="AV76" s="56" t="str">
        <f>IF(COUNTIFS('LANÇAMENTOS DIÁRIOS'!$G$5:$G$500,"G",'LANÇAMENTOS DIÁRIOS'!$C$5:$C$500,$A76,'LANÇAMENTOS DIÁRIOS'!$O$5:$O$500,"&lt;=122079",'LANÇAMENTOS DIÁRIOS'!$P$5:$P$500,"&gt;=121980")&gt;0,"X","")</f>
      </c>
      <c r="AW76" s="56" t="str">
        <f>IF(COUNTIFS('LANÇAMENTOS DIÁRIOS'!$G$5:$G$500,"G",'LANÇAMENTOS DIÁRIOS'!$C$5:$C$500,$A76,'LANÇAMENTOS DIÁRIOS'!$O$5:$O$500,"&lt;=122179",'LANÇAMENTOS DIÁRIOS'!$P$5:$P$500,"&gt;=122080")&gt;0,"X","")</f>
      </c>
      <c r="AX76" s="56" t="str">
        <f>IF(COUNTIFS('LANÇAMENTOS DIÁRIOS'!$G$5:$G$500,"G",'LANÇAMENTOS DIÁRIOS'!$C$5:$C$500,$A76,'LANÇAMENTOS DIÁRIOS'!$O$5:$O$500,"&lt;=122279",'LANÇAMENTOS DIÁRIOS'!$P$5:$P$500,"&gt;=122180")&gt;0,"X","")</f>
      </c>
      <c r="AY76" s="56" t="str">
        <f>IF(COUNTIFS('LANÇAMENTOS DIÁRIOS'!$G$5:$G$500,"G",'LANÇAMENTOS DIÁRIOS'!$C$5:$C$500,$A76,'LANÇAMENTOS DIÁRIOS'!$O$5:$O$500,"&lt;=122379",'LANÇAMENTOS DIÁRIOS'!$P$5:$P$500,"&gt;=122280")&gt;0,"X","")</f>
      </c>
      <c r="AZ76" s="56" t="str">
        <f>IF(COUNTIFS('LANÇAMENTOS DIÁRIOS'!$G$5:$G$500,"G",'LANÇAMENTOS DIÁRIOS'!$C$5:$C$500,$A76,'LANÇAMENTOS DIÁRIOS'!$O$5:$O$500,"&lt;=122479",'LANÇAMENTOS DIÁRIOS'!$P$5:$P$500,"&gt;=122380")&gt;0,"X","")</f>
      </c>
      <c r="BA76" s="56" t="str">
        <f>IF(COUNTIFS('LANÇAMENTOS DIÁRIOS'!$G$5:$G$500,"G",'LANÇAMENTOS DIÁRIOS'!$C$5:$C$500,$A76,'LANÇAMENTOS DIÁRIOS'!$O$5:$O$500,"&lt;=122579",'LANÇAMENTOS DIÁRIOS'!$P$5:$P$500,"&gt;=122480")&gt;0,"X","")</f>
      </c>
      <c r="BB76" s="56" t="str">
        <f>IF(COUNTIFS('LANÇAMENTOS DIÁRIOS'!$G$5:$G$500,"G",'LANÇAMENTOS DIÁRIOS'!$C$5:$C$500,$A76,'LANÇAMENTOS DIÁRIOS'!$O$5:$O$500,"&lt;=122679",'LANÇAMENTOS DIÁRIOS'!$P$5:$P$500,"&gt;=122580")&gt;0,"X","")</f>
      </c>
      <c r="BC76" s="56" t="str">
        <f>IF(COUNTIFS('LANÇAMENTOS DIÁRIOS'!$G$5:$G$500,"G",'LANÇAMENTOS DIÁRIOS'!$C$5:$C$500,$A76,'LANÇAMENTOS DIÁRIOS'!$O$5:$O$500,"&lt;=122779",'LANÇAMENTOS DIÁRIOS'!$P$5:$P$500,"&gt;=122680")&gt;0,"X","")</f>
      </c>
      <c r="BD76" s="56" t="str">
        <f>IF(COUNTIFS('LANÇAMENTOS DIÁRIOS'!$G$5:$G$500,"G",'LANÇAMENTOS DIÁRIOS'!$C$5:$C$500,$A76,'LANÇAMENTOS DIÁRIOS'!$O$5:$O$500,"&lt;=122879",'LANÇAMENTOS DIÁRIOS'!$P$5:$P$500,"&gt;=122780")&gt;0,"X","")</f>
      </c>
      <c r="BE76" s="56" t="str">
        <f>IF(COUNTIFS('LANÇAMENTOS DIÁRIOS'!$G$5:$G$500,"G",'LANÇAMENTOS DIÁRIOS'!$C$5:$C$500,$A76,'LANÇAMENTOS DIÁRIOS'!$O$5:$O$500,"&lt;=122979",'LANÇAMENTOS DIÁRIOS'!$P$5:$P$500,"&gt;=122880")&gt;0,"X","")</f>
      </c>
      <c r="BF76" s="56" t="str">
        <f>IF(COUNTIFS('LANÇAMENTOS DIÁRIOS'!$G$5:$G$500,"G",'LANÇAMENTOS DIÁRIOS'!$C$5:$C$500,$A76,'LANÇAMENTOS DIÁRIOS'!$O$5:$O$500,"&lt;=123079",'LANÇAMENTOS DIÁRIOS'!$P$5:$P$500,"&gt;=122980")&gt;0,"X","")</f>
      </c>
      <c r="BG76" s="56" t="str">
        <f>IF(COUNTIFS('LANÇAMENTOS DIÁRIOS'!$G$5:$G$500,"G",'LANÇAMENTOS DIÁRIOS'!$C$5:$C$500,$A76,'LANÇAMENTOS DIÁRIOS'!$O$5:$O$500,"&lt;=123179",'LANÇAMENTOS DIÁRIOS'!$P$5:$P$500,"&gt;=123080")&gt;0,"X","")</f>
      </c>
      <c r="BH76" s="56" t="str">
        <f>IF(COUNTIFS('LANÇAMENTOS DIÁRIOS'!$G$5:$G$500,"G",'LANÇAMENTOS DIÁRIOS'!$C$5:$C$500,$A76,'LANÇAMENTOS DIÁRIOS'!$O$5:$O$500,"&lt;=123279",'LANÇAMENTOS DIÁRIOS'!$P$5:$P$500,"&gt;=123180")&gt;0,"X","")</f>
      </c>
      <c r="BI76" s="56" t="str">
        <f>IF(COUNTIFS('LANÇAMENTOS DIÁRIOS'!$G$5:$G$500,"G",'LANÇAMENTOS DIÁRIOS'!$C$5:$C$500,$A76,'LANÇAMENTOS DIÁRIOS'!$O$5:$O$500,"&lt;=123379",'LANÇAMENTOS DIÁRIOS'!$P$5:$P$500,"&gt;=123280")&gt;0,"X","")</f>
      </c>
      <c r="BJ76" s="56" t="str">
        <f>IF(COUNTIFS('LANÇAMENTOS DIÁRIOS'!$G$5:$G$500,"G",'LANÇAMENTOS DIÁRIOS'!$C$5:$C$500,$A76,'LANÇAMENTOS DIÁRIOS'!$O$5:$O$500,"&lt;=123479",'LANÇAMENTOS DIÁRIOS'!$P$5:$P$500,"&gt;=123380")&gt;0,"X","")</f>
      </c>
      <c r="BK76" s="56" t="str">
        <f>IF(COUNTIFS('LANÇAMENTOS DIÁRIOS'!$G$5:$G$500,"G",'LANÇAMENTOS DIÁRIOS'!$C$5:$C$500,$A76,'LANÇAMENTOS DIÁRIOS'!$O$5:$O$500,"&lt;=123480",'LANÇAMENTOS DIÁRIOS'!$P$5:$P$500,"&gt;=123480")&gt;0,"X","")</f>
      </c>
    </row>
    <row r="77">
      <c r="A77" s="51" t="str">
        <v>Fresagem contínua do pavimento</v>
      </c>
      <c r="B77" s="56" t="str">
        <f>IF(COUNTIFS('LANÇAMENTOS DIÁRIOS'!$G$5:$G$500,"G",'LANÇAMENTOS DIÁRIOS'!$C$5:$C$500,$A77,'LANÇAMENTOS DIÁRIOS'!$O$5:$O$500,"&lt;=117479",'LANÇAMENTOS DIÁRIOS'!$P$5:$P$500,"&gt;=117380")&gt;0,"X","")</f>
      </c>
      <c r="C77" s="56" t="str">
        <f>IF(COUNTIFS('LANÇAMENTOS DIÁRIOS'!$G$5:$G$500,"G",'LANÇAMENTOS DIÁRIOS'!$C$5:$C$500,$A77,'LANÇAMENTOS DIÁRIOS'!$O$5:$O$500,"&lt;=117579",'LANÇAMENTOS DIÁRIOS'!$P$5:$P$500,"&gt;=117480")&gt;0,"X","")</f>
      </c>
      <c r="D77" s="56" t="str">
        <f>IF(COUNTIFS('LANÇAMENTOS DIÁRIOS'!$G$5:$G$500,"G",'LANÇAMENTOS DIÁRIOS'!$C$5:$C$500,$A77,'LANÇAMENTOS DIÁRIOS'!$O$5:$O$500,"&lt;=117679",'LANÇAMENTOS DIÁRIOS'!$P$5:$P$500,"&gt;=117580")&gt;0,"X","")</f>
      </c>
      <c r="E77" s="56" t="str">
        <f>IF(COUNTIFS('LANÇAMENTOS DIÁRIOS'!$G$5:$G$500,"G",'LANÇAMENTOS DIÁRIOS'!$C$5:$C$500,$A77,'LANÇAMENTOS DIÁRIOS'!$O$5:$O$500,"&lt;=117779",'LANÇAMENTOS DIÁRIOS'!$P$5:$P$500,"&gt;=117680")&gt;0,"X","")</f>
      </c>
      <c r="F77" s="56" t="str">
        <f>IF(COUNTIFS('LANÇAMENTOS DIÁRIOS'!$G$5:$G$500,"G",'LANÇAMENTOS DIÁRIOS'!$C$5:$C$500,$A77,'LANÇAMENTOS DIÁRIOS'!$O$5:$O$500,"&lt;=117879",'LANÇAMENTOS DIÁRIOS'!$P$5:$P$500,"&gt;=117780")&gt;0,"X","")</f>
      </c>
      <c r="G77" s="56" t="str">
        <f>IF(COUNTIFS('LANÇAMENTOS DIÁRIOS'!$G$5:$G$500,"G",'LANÇAMENTOS DIÁRIOS'!$C$5:$C$500,$A77,'LANÇAMENTOS DIÁRIOS'!$O$5:$O$500,"&lt;=117979",'LANÇAMENTOS DIÁRIOS'!$P$5:$P$500,"&gt;=117880")&gt;0,"X","")</f>
      </c>
      <c r="H77" s="56" t="str">
        <f>IF(COUNTIFS('LANÇAMENTOS DIÁRIOS'!$G$5:$G$500,"G",'LANÇAMENTOS DIÁRIOS'!$C$5:$C$500,$A77,'LANÇAMENTOS DIÁRIOS'!$O$5:$O$500,"&lt;=118079",'LANÇAMENTOS DIÁRIOS'!$P$5:$P$500,"&gt;=117980")&gt;0,"X","")</f>
      </c>
      <c r="I77" s="56" t="str">
        <f>IF(COUNTIFS('LANÇAMENTOS DIÁRIOS'!$G$5:$G$500,"G",'LANÇAMENTOS DIÁRIOS'!$C$5:$C$500,$A77,'LANÇAMENTOS DIÁRIOS'!$O$5:$O$500,"&lt;=118179",'LANÇAMENTOS DIÁRIOS'!$P$5:$P$500,"&gt;=118080")&gt;0,"X","")</f>
      </c>
      <c r="J77" s="56" t="str">
        <f>IF(COUNTIFS('LANÇAMENTOS DIÁRIOS'!$G$5:$G$500,"G",'LANÇAMENTOS DIÁRIOS'!$C$5:$C$500,$A77,'LANÇAMENTOS DIÁRIOS'!$O$5:$O$500,"&lt;=118279",'LANÇAMENTOS DIÁRIOS'!$P$5:$P$500,"&gt;=118180")&gt;0,"X","")</f>
      </c>
      <c r="K77" s="56" t="str">
        <f>IF(COUNTIFS('LANÇAMENTOS DIÁRIOS'!$G$5:$G$500,"G",'LANÇAMENTOS DIÁRIOS'!$C$5:$C$500,$A77,'LANÇAMENTOS DIÁRIOS'!$O$5:$O$500,"&lt;=118379",'LANÇAMENTOS DIÁRIOS'!$P$5:$P$500,"&gt;=118280")&gt;0,"X","")</f>
      </c>
      <c r="L77" s="56" t="str">
        <f>IF(COUNTIFS('LANÇAMENTOS DIÁRIOS'!$G$5:$G$500,"G",'LANÇAMENTOS DIÁRIOS'!$C$5:$C$500,$A77,'LANÇAMENTOS DIÁRIOS'!$O$5:$O$500,"&lt;=118479",'LANÇAMENTOS DIÁRIOS'!$P$5:$P$500,"&gt;=118380")&gt;0,"X","")</f>
      </c>
      <c r="M77" s="56" t="str">
        <f>IF(COUNTIFS('LANÇAMENTOS DIÁRIOS'!$G$5:$G$500,"G",'LANÇAMENTOS DIÁRIOS'!$C$5:$C$500,$A77,'LANÇAMENTOS DIÁRIOS'!$O$5:$O$500,"&lt;=118579",'LANÇAMENTOS DIÁRIOS'!$P$5:$P$500,"&gt;=118480")&gt;0,"X","")</f>
      </c>
      <c r="N77" s="56" t="str">
        <f>IF(COUNTIFS('LANÇAMENTOS DIÁRIOS'!$G$5:$G$500,"G",'LANÇAMENTOS DIÁRIOS'!$C$5:$C$500,$A77,'LANÇAMENTOS DIÁRIOS'!$O$5:$O$500,"&lt;=118679",'LANÇAMENTOS DIÁRIOS'!$P$5:$P$500,"&gt;=118580")&gt;0,"X","")</f>
      </c>
      <c r="O77" s="56" t="str">
        <f>IF(COUNTIFS('LANÇAMENTOS DIÁRIOS'!$G$5:$G$500,"G",'LANÇAMENTOS DIÁRIOS'!$C$5:$C$500,$A77,'LANÇAMENTOS DIÁRIOS'!$O$5:$O$500,"&lt;=118779",'LANÇAMENTOS DIÁRIOS'!$P$5:$P$500,"&gt;=118680")&gt;0,"X","")</f>
      </c>
      <c r="P77" s="56" t="str">
        <f>IF(COUNTIFS('LANÇAMENTOS DIÁRIOS'!$G$5:$G$500,"G",'LANÇAMENTOS DIÁRIOS'!$C$5:$C$500,$A77,'LANÇAMENTOS DIÁRIOS'!$O$5:$O$500,"&lt;=118879",'LANÇAMENTOS DIÁRIOS'!$P$5:$P$500,"&gt;=118780")&gt;0,"X","")</f>
      </c>
      <c r="Q77" s="56" t="str">
        <f>IF(COUNTIFS('LANÇAMENTOS DIÁRIOS'!$G$5:$G$500,"G",'LANÇAMENTOS DIÁRIOS'!$C$5:$C$500,$A77,'LANÇAMENTOS DIÁRIOS'!$O$5:$O$500,"&lt;=118979",'LANÇAMENTOS DIÁRIOS'!$P$5:$P$500,"&gt;=118880")&gt;0,"X","")</f>
      </c>
      <c r="R77" s="56" t="str">
        <f>IF(COUNTIFS('LANÇAMENTOS DIÁRIOS'!$G$5:$G$500,"G",'LANÇAMENTOS DIÁRIOS'!$C$5:$C$500,$A77,'LANÇAMENTOS DIÁRIOS'!$O$5:$O$500,"&lt;=119079",'LANÇAMENTOS DIÁRIOS'!$P$5:$P$500,"&gt;=118980")&gt;0,"X","")</f>
      </c>
      <c r="S77" s="56" t="str">
        <f>IF(COUNTIFS('LANÇAMENTOS DIÁRIOS'!$G$5:$G$500,"G",'LANÇAMENTOS DIÁRIOS'!$C$5:$C$500,$A77,'LANÇAMENTOS DIÁRIOS'!$O$5:$O$500,"&lt;=119179",'LANÇAMENTOS DIÁRIOS'!$P$5:$P$500,"&gt;=119080")&gt;0,"X","")</f>
      </c>
      <c r="T77" s="56" t="str">
        <f>IF(COUNTIFS('LANÇAMENTOS DIÁRIOS'!$G$5:$G$500,"G",'LANÇAMENTOS DIÁRIOS'!$C$5:$C$500,$A77,'LANÇAMENTOS DIÁRIOS'!$O$5:$O$500,"&lt;=119279",'LANÇAMENTOS DIÁRIOS'!$P$5:$P$500,"&gt;=119180")&gt;0,"X","")</f>
      </c>
      <c r="U77" s="56" t="str">
        <f>IF(COUNTIFS('LANÇAMENTOS DIÁRIOS'!$G$5:$G$500,"G",'LANÇAMENTOS DIÁRIOS'!$C$5:$C$500,$A77,'LANÇAMENTOS DIÁRIOS'!$O$5:$O$500,"&lt;=119379",'LANÇAMENTOS DIÁRIOS'!$P$5:$P$500,"&gt;=119280")&gt;0,"X","")</f>
      </c>
      <c r="V77" s="56" t="str">
        <f>IF(COUNTIFS('LANÇAMENTOS DIÁRIOS'!$G$5:$G$500,"G",'LANÇAMENTOS DIÁRIOS'!$C$5:$C$500,$A77,'LANÇAMENTOS DIÁRIOS'!$O$5:$O$500,"&lt;=119479",'LANÇAMENTOS DIÁRIOS'!$P$5:$P$500,"&gt;=119380")&gt;0,"X","")</f>
      </c>
      <c r="W77" s="56" t="str">
        <f>IF(COUNTIFS('LANÇAMENTOS DIÁRIOS'!$G$5:$G$500,"G",'LANÇAMENTOS DIÁRIOS'!$C$5:$C$500,$A77,'LANÇAMENTOS DIÁRIOS'!$O$5:$O$500,"&lt;=119579",'LANÇAMENTOS DIÁRIOS'!$P$5:$P$500,"&gt;=119480")&gt;0,"X","")</f>
      </c>
      <c r="X77" s="56" t="str">
        <f>IF(COUNTIFS('LANÇAMENTOS DIÁRIOS'!$G$5:$G$500,"G",'LANÇAMENTOS DIÁRIOS'!$C$5:$C$500,$A77,'LANÇAMENTOS DIÁRIOS'!$O$5:$O$500,"&lt;=119679",'LANÇAMENTOS DIÁRIOS'!$P$5:$P$500,"&gt;=119580")&gt;0,"X","")</f>
      </c>
      <c r="Y77" s="56" t="str">
        <f>IF(COUNTIFS('LANÇAMENTOS DIÁRIOS'!$G$5:$G$500,"G",'LANÇAMENTOS DIÁRIOS'!$C$5:$C$500,$A77,'LANÇAMENTOS DIÁRIOS'!$O$5:$O$500,"&lt;=119779",'LANÇAMENTOS DIÁRIOS'!$P$5:$P$500,"&gt;=119680")&gt;0,"X","")</f>
      </c>
      <c r="Z77" s="56" t="str">
        <f>IF(COUNTIFS('LANÇAMENTOS DIÁRIOS'!$G$5:$G$500,"G",'LANÇAMENTOS DIÁRIOS'!$C$5:$C$500,$A77,'LANÇAMENTOS DIÁRIOS'!$O$5:$O$500,"&lt;=119879",'LANÇAMENTOS DIÁRIOS'!$P$5:$P$500,"&gt;=119780")&gt;0,"X","")</f>
      </c>
      <c r="AA77" s="56" t="str">
        <f>IF(COUNTIFS('LANÇAMENTOS DIÁRIOS'!$G$5:$G$500,"G",'LANÇAMENTOS DIÁRIOS'!$C$5:$C$500,$A77,'LANÇAMENTOS DIÁRIOS'!$O$5:$O$500,"&lt;=119979",'LANÇAMENTOS DIÁRIOS'!$P$5:$P$500,"&gt;=119880")&gt;0,"X","")</f>
      </c>
      <c r="AB77" s="56" t="str">
        <f>IF(COUNTIFS('LANÇAMENTOS DIÁRIOS'!$G$5:$G$500,"G",'LANÇAMENTOS DIÁRIOS'!$C$5:$C$500,$A77,'LANÇAMENTOS DIÁRIOS'!$O$5:$O$500,"&lt;=120079",'LANÇAMENTOS DIÁRIOS'!$P$5:$P$500,"&gt;=119980")&gt;0,"X","")</f>
      </c>
      <c r="AC77" s="56" t="str">
        <f>IF(COUNTIFS('LANÇAMENTOS DIÁRIOS'!$G$5:$G$500,"G",'LANÇAMENTOS DIÁRIOS'!$C$5:$C$500,$A77,'LANÇAMENTOS DIÁRIOS'!$O$5:$O$500,"&lt;=120179",'LANÇAMENTOS DIÁRIOS'!$P$5:$P$500,"&gt;=120080")&gt;0,"X","")</f>
      </c>
      <c r="AD77" s="56" t="str">
        <f>IF(COUNTIFS('LANÇAMENTOS DIÁRIOS'!$G$5:$G$500,"G",'LANÇAMENTOS DIÁRIOS'!$C$5:$C$500,$A77,'LANÇAMENTOS DIÁRIOS'!$O$5:$O$500,"&lt;=120279",'LANÇAMENTOS DIÁRIOS'!$P$5:$P$500,"&gt;=120180")&gt;0,"X","")</f>
      </c>
      <c r="AE77" s="56" t="str">
        <f>IF(COUNTIFS('LANÇAMENTOS DIÁRIOS'!$G$5:$G$500,"G",'LANÇAMENTOS DIÁRIOS'!$C$5:$C$500,$A77,'LANÇAMENTOS DIÁRIOS'!$O$5:$O$500,"&lt;=120379",'LANÇAMENTOS DIÁRIOS'!$P$5:$P$500,"&gt;=120280")&gt;0,"X","")</f>
      </c>
      <c r="AF77" s="56" t="str">
        <f>IF(COUNTIFS('LANÇAMENTOS DIÁRIOS'!$G$5:$G$500,"G",'LANÇAMENTOS DIÁRIOS'!$C$5:$C$500,$A77,'LANÇAMENTOS DIÁRIOS'!$O$5:$O$500,"&lt;=120479",'LANÇAMENTOS DIÁRIOS'!$P$5:$P$500,"&gt;=120380")&gt;0,"X","")</f>
      </c>
      <c r="AG77" s="56" t="str">
        <f>IF(COUNTIFS('LANÇAMENTOS DIÁRIOS'!$G$5:$G$500,"G",'LANÇAMENTOS DIÁRIOS'!$C$5:$C$500,$A77,'LANÇAMENTOS DIÁRIOS'!$O$5:$O$500,"&lt;=120579",'LANÇAMENTOS DIÁRIOS'!$P$5:$P$500,"&gt;=120480")&gt;0,"X","")</f>
      </c>
      <c r="AH77" s="56" t="str">
        <f>IF(COUNTIFS('LANÇAMENTOS DIÁRIOS'!$G$5:$G$500,"G",'LANÇAMENTOS DIÁRIOS'!$C$5:$C$500,$A77,'LANÇAMENTOS DIÁRIOS'!$O$5:$O$500,"&lt;=120679",'LANÇAMENTOS DIÁRIOS'!$P$5:$P$500,"&gt;=120580")&gt;0,"X","")</f>
      </c>
      <c r="AI77" s="56" t="str">
        <f>IF(COUNTIFS('LANÇAMENTOS DIÁRIOS'!$G$5:$G$500,"G",'LANÇAMENTOS DIÁRIOS'!$C$5:$C$500,$A77,'LANÇAMENTOS DIÁRIOS'!$O$5:$O$500,"&lt;=120779",'LANÇAMENTOS DIÁRIOS'!$P$5:$P$500,"&gt;=120680")&gt;0,"X","")</f>
      </c>
      <c r="AJ77" s="56" t="str">
        <f>IF(COUNTIFS('LANÇAMENTOS DIÁRIOS'!$G$5:$G$500,"G",'LANÇAMENTOS DIÁRIOS'!$C$5:$C$500,$A77,'LANÇAMENTOS DIÁRIOS'!$O$5:$O$500,"&lt;=120879",'LANÇAMENTOS DIÁRIOS'!$P$5:$P$500,"&gt;=120780")&gt;0,"X","")</f>
      </c>
      <c r="AK77" s="56" t="str">
        <f>IF(COUNTIFS('LANÇAMENTOS DIÁRIOS'!$G$5:$G$500,"G",'LANÇAMENTOS DIÁRIOS'!$C$5:$C$500,$A77,'LANÇAMENTOS DIÁRIOS'!$O$5:$O$500,"&lt;=120979",'LANÇAMENTOS DIÁRIOS'!$P$5:$P$500,"&gt;=120880")&gt;0,"X","")</f>
      </c>
      <c r="AL77" s="56" t="str">
        <f>IF(COUNTIFS('LANÇAMENTOS DIÁRIOS'!$G$5:$G$500,"G",'LANÇAMENTOS DIÁRIOS'!$C$5:$C$500,$A77,'LANÇAMENTOS DIÁRIOS'!$O$5:$O$500,"&lt;=121079",'LANÇAMENTOS DIÁRIOS'!$P$5:$P$500,"&gt;=120980")&gt;0,"X","")</f>
      </c>
      <c r="AM77" s="56" t="str">
        <f>IF(COUNTIFS('LANÇAMENTOS DIÁRIOS'!$G$5:$G$500,"G",'LANÇAMENTOS DIÁRIOS'!$C$5:$C$500,$A77,'LANÇAMENTOS DIÁRIOS'!$O$5:$O$500,"&lt;=121179",'LANÇAMENTOS DIÁRIOS'!$P$5:$P$500,"&gt;=121080")&gt;0,"X","")</f>
      </c>
      <c r="AN77" s="56" t="str">
        <f>IF(COUNTIFS('LANÇAMENTOS DIÁRIOS'!$G$5:$G$500,"G",'LANÇAMENTOS DIÁRIOS'!$C$5:$C$500,$A77,'LANÇAMENTOS DIÁRIOS'!$O$5:$O$500,"&lt;=121279",'LANÇAMENTOS DIÁRIOS'!$P$5:$P$500,"&gt;=121180")&gt;0,"X","")</f>
      </c>
      <c r="AO77" s="56" t="str">
        <f>IF(COUNTIFS('LANÇAMENTOS DIÁRIOS'!$G$5:$G$500,"G",'LANÇAMENTOS DIÁRIOS'!$C$5:$C$500,$A77,'LANÇAMENTOS DIÁRIOS'!$O$5:$O$500,"&lt;=121379",'LANÇAMENTOS DIÁRIOS'!$P$5:$P$500,"&gt;=121280")&gt;0,"X","")</f>
      </c>
      <c r="AP77" s="56" t="str">
        <f>IF(COUNTIFS('LANÇAMENTOS DIÁRIOS'!$G$5:$G$500,"G",'LANÇAMENTOS DIÁRIOS'!$C$5:$C$500,$A77,'LANÇAMENTOS DIÁRIOS'!$O$5:$O$500,"&lt;=121479",'LANÇAMENTOS DIÁRIOS'!$P$5:$P$500,"&gt;=121380")&gt;0,"X","")</f>
      </c>
      <c r="AQ77" s="56" t="str">
        <f>IF(COUNTIFS('LANÇAMENTOS DIÁRIOS'!$G$5:$G$500,"G",'LANÇAMENTOS DIÁRIOS'!$C$5:$C$500,$A77,'LANÇAMENTOS DIÁRIOS'!$O$5:$O$500,"&lt;=121579",'LANÇAMENTOS DIÁRIOS'!$P$5:$P$500,"&gt;=121480")&gt;0,"X","")</f>
      </c>
      <c r="AR77" s="56" t="str">
        <f>IF(COUNTIFS('LANÇAMENTOS DIÁRIOS'!$G$5:$G$500,"G",'LANÇAMENTOS DIÁRIOS'!$C$5:$C$500,$A77,'LANÇAMENTOS DIÁRIOS'!$O$5:$O$500,"&lt;=121679",'LANÇAMENTOS DIÁRIOS'!$P$5:$P$500,"&gt;=121580")&gt;0,"X","")</f>
      </c>
      <c r="AS77" s="56" t="str">
        <f>IF(COUNTIFS('LANÇAMENTOS DIÁRIOS'!$G$5:$G$500,"G",'LANÇAMENTOS DIÁRIOS'!$C$5:$C$500,$A77,'LANÇAMENTOS DIÁRIOS'!$O$5:$O$500,"&lt;=121779",'LANÇAMENTOS DIÁRIOS'!$P$5:$P$500,"&gt;=121680")&gt;0,"X","")</f>
      </c>
      <c r="AT77" s="56" t="str">
        <f>IF(COUNTIFS('LANÇAMENTOS DIÁRIOS'!$G$5:$G$500,"G",'LANÇAMENTOS DIÁRIOS'!$C$5:$C$500,$A77,'LANÇAMENTOS DIÁRIOS'!$O$5:$O$500,"&lt;=121879",'LANÇAMENTOS DIÁRIOS'!$P$5:$P$500,"&gt;=121780")&gt;0,"X","")</f>
      </c>
      <c r="AU77" s="56" t="str">
        <f>IF(COUNTIFS('LANÇAMENTOS DIÁRIOS'!$G$5:$G$500,"G",'LANÇAMENTOS DIÁRIOS'!$C$5:$C$500,$A77,'LANÇAMENTOS DIÁRIOS'!$O$5:$O$500,"&lt;=121979",'LANÇAMENTOS DIÁRIOS'!$P$5:$P$500,"&gt;=121880")&gt;0,"X","")</f>
      </c>
      <c r="AV77" s="56" t="str">
        <f>IF(COUNTIFS('LANÇAMENTOS DIÁRIOS'!$G$5:$G$500,"G",'LANÇAMENTOS DIÁRIOS'!$C$5:$C$500,$A77,'LANÇAMENTOS DIÁRIOS'!$O$5:$O$500,"&lt;=122079",'LANÇAMENTOS DIÁRIOS'!$P$5:$P$500,"&gt;=121980")&gt;0,"X","")</f>
      </c>
      <c r="AW77" s="56" t="str">
        <f>IF(COUNTIFS('LANÇAMENTOS DIÁRIOS'!$G$5:$G$500,"G",'LANÇAMENTOS DIÁRIOS'!$C$5:$C$500,$A77,'LANÇAMENTOS DIÁRIOS'!$O$5:$O$500,"&lt;=122179",'LANÇAMENTOS DIÁRIOS'!$P$5:$P$500,"&gt;=122080")&gt;0,"X","")</f>
      </c>
      <c r="AX77" s="56" t="str">
        <f>IF(COUNTIFS('LANÇAMENTOS DIÁRIOS'!$G$5:$G$500,"G",'LANÇAMENTOS DIÁRIOS'!$C$5:$C$500,$A77,'LANÇAMENTOS DIÁRIOS'!$O$5:$O$500,"&lt;=122279",'LANÇAMENTOS DIÁRIOS'!$P$5:$P$500,"&gt;=122180")&gt;0,"X","")</f>
      </c>
      <c r="AY77" s="56" t="str">
        <f>IF(COUNTIFS('LANÇAMENTOS DIÁRIOS'!$G$5:$G$500,"G",'LANÇAMENTOS DIÁRIOS'!$C$5:$C$500,$A77,'LANÇAMENTOS DIÁRIOS'!$O$5:$O$500,"&lt;=122379",'LANÇAMENTOS DIÁRIOS'!$P$5:$P$500,"&gt;=122280")&gt;0,"X","")</f>
      </c>
      <c r="AZ77" s="56" t="str">
        <f>IF(COUNTIFS('LANÇAMENTOS DIÁRIOS'!$G$5:$G$500,"G",'LANÇAMENTOS DIÁRIOS'!$C$5:$C$500,$A77,'LANÇAMENTOS DIÁRIOS'!$O$5:$O$500,"&lt;=122479",'LANÇAMENTOS DIÁRIOS'!$P$5:$P$500,"&gt;=122380")&gt;0,"X","")</f>
      </c>
      <c r="BA77" s="56" t="str">
        <f>IF(COUNTIFS('LANÇAMENTOS DIÁRIOS'!$G$5:$G$500,"G",'LANÇAMENTOS DIÁRIOS'!$C$5:$C$500,$A77,'LANÇAMENTOS DIÁRIOS'!$O$5:$O$500,"&lt;=122579",'LANÇAMENTOS DIÁRIOS'!$P$5:$P$500,"&gt;=122480")&gt;0,"X","")</f>
      </c>
      <c r="BB77" s="56" t="str">
        <f>IF(COUNTIFS('LANÇAMENTOS DIÁRIOS'!$G$5:$G$500,"G",'LANÇAMENTOS DIÁRIOS'!$C$5:$C$500,$A77,'LANÇAMENTOS DIÁRIOS'!$O$5:$O$500,"&lt;=122679",'LANÇAMENTOS DIÁRIOS'!$P$5:$P$500,"&gt;=122580")&gt;0,"X","")</f>
      </c>
      <c r="BC77" s="56" t="str">
        <f>IF(COUNTIFS('LANÇAMENTOS DIÁRIOS'!$G$5:$G$500,"G",'LANÇAMENTOS DIÁRIOS'!$C$5:$C$500,$A77,'LANÇAMENTOS DIÁRIOS'!$O$5:$O$500,"&lt;=122779",'LANÇAMENTOS DIÁRIOS'!$P$5:$P$500,"&gt;=122680")&gt;0,"X","")</f>
      </c>
      <c r="BD77" s="56" t="str">
        <f>IF(COUNTIFS('LANÇAMENTOS DIÁRIOS'!$G$5:$G$500,"G",'LANÇAMENTOS DIÁRIOS'!$C$5:$C$500,$A77,'LANÇAMENTOS DIÁRIOS'!$O$5:$O$500,"&lt;=122879",'LANÇAMENTOS DIÁRIOS'!$P$5:$P$500,"&gt;=122780")&gt;0,"X","")</f>
      </c>
      <c r="BE77" s="56" t="str">
        <f>IF(COUNTIFS('LANÇAMENTOS DIÁRIOS'!$G$5:$G$500,"G",'LANÇAMENTOS DIÁRIOS'!$C$5:$C$500,$A77,'LANÇAMENTOS DIÁRIOS'!$O$5:$O$500,"&lt;=122979",'LANÇAMENTOS DIÁRIOS'!$P$5:$P$500,"&gt;=122880")&gt;0,"X","")</f>
      </c>
      <c r="BF77" s="56" t="str">
        <f>IF(COUNTIFS('LANÇAMENTOS DIÁRIOS'!$G$5:$G$500,"G",'LANÇAMENTOS DIÁRIOS'!$C$5:$C$500,$A77,'LANÇAMENTOS DIÁRIOS'!$O$5:$O$500,"&lt;=123079",'LANÇAMENTOS DIÁRIOS'!$P$5:$P$500,"&gt;=122980")&gt;0,"X","")</f>
      </c>
      <c r="BG77" s="56" t="str">
        <f>IF(COUNTIFS('LANÇAMENTOS DIÁRIOS'!$G$5:$G$500,"G",'LANÇAMENTOS DIÁRIOS'!$C$5:$C$500,$A77,'LANÇAMENTOS DIÁRIOS'!$O$5:$O$500,"&lt;=123179",'LANÇAMENTOS DIÁRIOS'!$P$5:$P$500,"&gt;=123080")&gt;0,"X","")</f>
      </c>
      <c r="BH77" s="56" t="str">
        <f>IF(COUNTIFS('LANÇAMENTOS DIÁRIOS'!$G$5:$G$500,"G",'LANÇAMENTOS DIÁRIOS'!$C$5:$C$500,$A77,'LANÇAMENTOS DIÁRIOS'!$O$5:$O$500,"&lt;=123279",'LANÇAMENTOS DIÁRIOS'!$P$5:$P$500,"&gt;=123180")&gt;0,"X","")</f>
      </c>
      <c r="BI77" s="56" t="str">
        <f>IF(COUNTIFS('LANÇAMENTOS DIÁRIOS'!$G$5:$G$500,"G",'LANÇAMENTOS DIÁRIOS'!$C$5:$C$500,$A77,'LANÇAMENTOS DIÁRIOS'!$O$5:$O$500,"&lt;=123379",'LANÇAMENTOS DIÁRIOS'!$P$5:$P$500,"&gt;=123280")&gt;0,"X","")</f>
      </c>
      <c r="BJ77" s="56" t="str">
        <f>IF(COUNTIFS('LANÇAMENTOS DIÁRIOS'!$G$5:$G$500,"G",'LANÇAMENTOS DIÁRIOS'!$C$5:$C$500,$A77,'LANÇAMENTOS DIÁRIOS'!$O$5:$O$500,"&lt;=123479",'LANÇAMENTOS DIÁRIOS'!$P$5:$P$500,"&gt;=123380")&gt;0,"X","")</f>
      </c>
      <c r="BK77" s="56" t="str">
        <f>IF(COUNTIFS('LANÇAMENTOS DIÁRIOS'!$G$5:$G$500,"G",'LANÇAMENTOS DIÁRIOS'!$C$5:$C$500,$A77,'LANÇAMENTOS DIÁRIOS'!$O$5:$O$500,"&lt;=123480",'LANÇAMENTOS DIÁRIOS'!$P$5:$P$500,"&gt;=123480")&gt;0,"X","")</f>
      </c>
    </row>
    <row r="78" ht="19" customHeight="1">
      <c r="A78" s="68" t="str">
        <v>Construção da sub-base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</row>
    <row r="79">
      <c r="A79" s="51" t="str">
        <v>Solo cimento com adição de 3% cimento,mistura in situ- Recicladora</v>
      </c>
      <c r="B79" s="56" t="str">
        <f>IF(COUNTIFS('LANÇAMENTOS DIÁRIOS'!$G$5:$G$500,"G",'LANÇAMENTOS DIÁRIOS'!$C$5:$C$500,$A79,'LANÇAMENTOS DIÁRIOS'!$O$5:$O$500,"&lt;=117479",'LANÇAMENTOS DIÁRIOS'!$P$5:$P$500,"&gt;=117380")&gt;0,"X","")</f>
      </c>
      <c r="C79" s="56" t="str">
        <f>IF(COUNTIFS('LANÇAMENTOS DIÁRIOS'!$G$5:$G$500,"G",'LANÇAMENTOS DIÁRIOS'!$C$5:$C$500,$A79,'LANÇAMENTOS DIÁRIOS'!$O$5:$O$500,"&lt;=117579",'LANÇAMENTOS DIÁRIOS'!$P$5:$P$500,"&gt;=117480")&gt;0,"X","")</f>
      </c>
      <c r="D79" s="56" t="str">
        <f>IF(COUNTIFS('LANÇAMENTOS DIÁRIOS'!$G$5:$G$500,"G",'LANÇAMENTOS DIÁRIOS'!$C$5:$C$500,$A79,'LANÇAMENTOS DIÁRIOS'!$O$5:$O$500,"&lt;=117679",'LANÇAMENTOS DIÁRIOS'!$P$5:$P$500,"&gt;=117580")&gt;0,"X","")</f>
      </c>
      <c r="E79" s="56" t="str">
        <f>IF(COUNTIFS('LANÇAMENTOS DIÁRIOS'!$G$5:$G$500,"G",'LANÇAMENTOS DIÁRIOS'!$C$5:$C$500,$A79,'LANÇAMENTOS DIÁRIOS'!$O$5:$O$500,"&lt;=117779",'LANÇAMENTOS DIÁRIOS'!$P$5:$P$500,"&gt;=117680")&gt;0,"X","")</f>
      </c>
      <c r="F79" s="56" t="str">
        <f>IF(COUNTIFS('LANÇAMENTOS DIÁRIOS'!$G$5:$G$500,"G",'LANÇAMENTOS DIÁRIOS'!$C$5:$C$500,$A79,'LANÇAMENTOS DIÁRIOS'!$O$5:$O$500,"&lt;=117879",'LANÇAMENTOS DIÁRIOS'!$P$5:$P$500,"&gt;=117780")&gt;0,"X","")</f>
      </c>
      <c r="G79" s="56" t="str">
        <f>IF(COUNTIFS('LANÇAMENTOS DIÁRIOS'!$G$5:$G$500,"G",'LANÇAMENTOS DIÁRIOS'!$C$5:$C$500,$A79,'LANÇAMENTOS DIÁRIOS'!$O$5:$O$500,"&lt;=117979",'LANÇAMENTOS DIÁRIOS'!$P$5:$P$500,"&gt;=117880")&gt;0,"X","")</f>
      </c>
      <c r="H79" s="56" t="str">
        <f>IF(COUNTIFS('LANÇAMENTOS DIÁRIOS'!$G$5:$G$500,"G",'LANÇAMENTOS DIÁRIOS'!$C$5:$C$500,$A79,'LANÇAMENTOS DIÁRIOS'!$O$5:$O$500,"&lt;=118079",'LANÇAMENTOS DIÁRIOS'!$P$5:$P$500,"&gt;=117980")&gt;0,"X","")</f>
      </c>
      <c r="I79" s="56" t="str">
        <f>IF(COUNTIFS('LANÇAMENTOS DIÁRIOS'!$G$5:$G$500,"G",'LANÇAMENTOS DIÁRIOS'!$C$5:$C$500,$A79,'LANÇAMENTOS DIÁRIOS'!$O$5:$O$500,"&lt;=118179",'LANÇAMENTOS DIÁRIOS'!$P$5:$P$500,"&gt;=118080")&gt;0,"X","")</f>
      </c>
      <c r="J79" s="56" t="str">
        <f>IF(COUNTIFS('LANÇAMENTOS DIÁRIOS'!$G$5:$G$500,"G",'LANÇAMENTOS DIÁRIOS'!$C$5:$C$500,$A79,'LANÇAMENTOS DIÁRIOS'!$O$5:$O$500,"&lt;=118279",'LANÇAMENTOS DIÁRIOS'!$P$5:$P$500,"&gt;=118180")&gt;0,"X","")</f>
      </c>
      <c r="K79" s="56" t="str">
        <f>IF(COUNTIFS('LANÇAMENTOS DIÁRIOS'!$G$5:$G$500,"G",'LANÇAMENTOS DIÁRIOS'!$C$5:$C$500,$A79,'LANÇAMENTOS DIÁRIOS'!$O$5:$O$500,"&lt;=118379",'LANÇAMENTOS DIÁRIOS'!$P$5:$P$500,"&gt;=118280")&gt;0,"X","")</f>
      </c>
      <c r="L79" s="56" t="str">
        <f>IF(COUNTIFS('LANÇAMENTOS DIÁRIOS'!$G$5:$G$500,"G",'LANÇAMENTOS DIÁRIOS'!$C$5:$C$500,$A79,'LANÇAMENTOS DIÁRIOS'!$O$5:$O$500,"&lt;=118479",'LANÇAMENTOS DIÁRIOS'!$P$5:$P$500,"&gt;=118380")&gt;0,"X","")</f>
      </c>
      <c r="M79" s="56" t="str">
        <f>IF(COUNTIFS('LANÇAMENTOS DIÁRIOS'!$G$5:$G$500,"G",'LANÇAMENTOS DIÁRIOS'!$C$5:$C$500,$A79,'LANÇAMENTOS DIÁRIOS'!$O$5:$O$500,"&lt;=118579",'LANÇAMENTOS DIÁRIOS'!$P$5:$P$500,"&gt;=118480")&gt;0,"X","")</f>
      </c>
      <c r="N79" s="56" t="str">
        <f>IF(COUNTIFS('LANÇAMENTOS DIÁRIOS'!$G$5:$G$500,"G",'LANÇAMENTOS DIÁRIOS'!$C$5:$C$500,$A79,'LANÇAMENTOS DIÁRIOS'!$O$5:$O$500,"&lt;=118679",'LANÇAMENTOS DIÁRIOS'!$P$5:$P$500,"&gt;=118580")&gt;0,"X","")</f>
      </c>
      <c r="O79" s="56" t="str">
        <f>IF(COUNTIFS('LANÇAMENTOS DIÁRIOS'!$G$5:$G$500,"G",'LANÇAMENTOS DIÁRIOS'!$C$5:$C$500,$A79,'LANÇAMENTOS DIÁRIOS'!$O$5:$O$500,"&lt;=118779",'LANÇAMENTOS DIÁRIOS'!$P$5:$P$500,"&gt;=118680")&gt;0,"X","")</f>
      </c>
      <c r="P79" s="56" t="str">
        <f>IF(COUNTIFS('LANÇAMENTOS DIÁRIOS'!$G$5:$G$500,"G",'LANÇAMENTOS DIÁRIOS'!$C$5:$C$500,$A79,'LANÇAMENTOS DIÁRIOS'!$O$5:$O$500,"&lt;=118879",'LANÇAMENTOS DIÁRIOS'!$P$5:$P$500,"&gt;=118780")&gt;0,"X","")</f>
      </c>
      <c r="Q79" s="56" t="str">
        <f>IF(COUNTIFS('LANÇAMENTOS DIÁRIOS'!$G$5:$G$500,"G",'LANÇAMENTOS DIÁRIOS'!$C$5:$C$500,$A79,'LANÇAMENTOS DIÁRIOS'!$O$5:$O$500,"&lt;=118979",'LANÇAMENTOS DIÁRIOS'!$P$5:$P$500,"&gt;=118880")&gt;0,"X","")</f>
      </c>
      <c r="R79" s="56" t="str">
        <f>IF(COUNTIFS('LANÇAMENTOS DIÁRIOS'!$G$5:$G$500,"G",'LANÇAMENTOS DIÁRIOS'!$C$5:$C$500,$A79,'LANÇAMENTOS DIÁRIOS'!$O$5:$O$500,"&lt;=119079",'LANÇAMENTOS DIÁRIOS'!$P$5:$P$500,"&gt;=118980")&gt;0,"X","")</f>
      </c>
      <c r="S79" s="56" t="str">
        <f>IF(COUNTIFS('LANÇAMENTOS DIÁRIOS'!$G$5:$G$500,"G",'LANÇAMENTOS DIÁRIOS'!$C$5:$C$500,$A79,'LANÇAMENTOS DIÁRIOS'!$O$5:$O$500,"&lt;=119179",'LANÇAMENTOS DIÁRIOS'!$P$5:$P$500,"&gt;=119080")&gt;0,"X","")</f>
      </c>
      <c r="T79" s="56" t="str">
        <f>IF(COUNTIFS('LANÇAMENTOS DIÁRIOS'!$G$5:$G$500,"G",'LANÇAMENTOS DIÁRIOS'!$C$5:$C$500,$A79,'LANÇAMENTOS DIÁRIOS'!$O$5:$O$500,"&lt;=119279",'LANÇAMENTOS DIÁRIOS'!$P$5:$P$500,"&gt;=119180")&gt;0,"X","")</f>
      </c>
      <c r="U79" s="56" t="str">
        <f>IF(COUNTIFS('LANÇAMENTOS DIÁRIOS'!$G$5:$G$500,"G",'LANÇAMENTOS DIÁRIOS'!$C$5:$C$500,$A79,'LANÇAMENTOS DIÁRIOS'!$O$5:$O$500,"&lt;=119379",'LANÇAMENTOS DIÁRIOS'!$P$5:$P$500,"&gt;=119280")&gt;0,"X","")</f>
      </c>
      <c r="V79" s="56" t="str">
        <f>IF(COUNTIFS('LANÇAMENTOS DIÁRIOS'!$G$5:$G$500,"G",'LANÇAMENTOS DIÁRIOS'!$C$5:$C$500,$A79,'LANÇAMENTOS DIÁRIOS'!$O$5:$O$500,"&lt;=119479",'LANÇAMENTOS DIÁRIOS'!$P$5:$P$500,"&gt;=119380")&gt;0,"X","")</f>
      </c>
      <c r="W79" s="56" t="str">
        <f>IF(COUNTIFS('LANÇAMENTOS DIÁRIOS'!$G$5:$G$500,"G",'LANÇAMENTOS DIÁRIOS'!$C$5:$C$500,$A79,'LANÇAMENTOS DIÁRIOS'!$O$5:$O$500,"&lt;=119579",'LANÇAMENTOS DIÁRIOS'!$P$5:$P$500,"&gt;=119480")&gt;0,"X","")</f>
      </c>
      <c r="X79" s="56" t="str">
        <f>IF(COUNTIFS('LANÇAMENTOS DIÁRIOS'!$G$5:$G$500,"G",'LANÇAMENTOS DIÁRIOS'!$C$5:$C$500,$A79,'LANÇAMENTOS DIÁRIOS'!$O$5:$O$500,"&lt;=119679",'LANÇAMENTOS DIÁRIOS'!$P$5:$P$500,"&gt;=119580")&gt;0,"X","")</f>
      </c>
      <c r="Y79" s="56" t="str">
        <f>IF(COUNTIFS('LANÇAMENTOS DIÁRIOS'!$G$5:$G$500,"G",'LANÇAMENTOS DIÁRIOS'!$C$5:$C$500,$A79,'LANÇAMENTOS DIÁRIOS'!$O$5:$O$500,"&lt;=119779",'LANÇAMENTOS DIÁRIOS'!$P$5:$P$500,"&gt;=119680")&gt;0,"X","")</f>
      </c>
      <c r="Z79" s="56" t="str">
        <f>IF(COUNTIFS('LANÇAMENTOS DIÁRIOS'!$G$5:$G$500,"G",'LANÇAMENTOS DIÁRIOS'!$C$5:$C$500,$A79,'LANÇAMENTOS DIÁRIOS'!$O$5:$O$500,"&lt;=119879",'LANÇAMENTOS DIÁRIOS'!$P$5:$P$500,"&gt;=119780")&gt;0,"X","")</f>
      </c>
      <c r="AA79" s="56" t="str">
        <f>IF(COUNTIFS('LANÇAMENTOS DIÁRIOS'!$G$5:$G$500,"G",'LANÇAMENTOS DIÁRIOS'!$C$5:$C$500,$A79,'LANÇAMENTOS DIÁRIOS'!$O$5:$O$500,"&lt;=119979",'LANÇAMENTOS DIÁRIOS'!$P$5:$P$500,"&gt;=119880")&gt;0,"X","")</f>
      </c>
      <c r="AB79" s="56" t="str">
        <f>IF(COUNTIFS('LANÇAMENTOS DIÁRIOS'!$G$5:$G$500,"G",'LANÇAMENTOS DIÁRIOS'!$C$5:$C$500,$A79,'LANÇAMENTOS DIÁRIOS'!$O$5:$O$500,"&lt;=120079",'LANÇAMENTOS DIÁRIOS'!$P$5:$P$500,"&gt;=119980")&gt;0,"X","")</f>
      </c>
      <c r="AC79" s="56" t="str">
        <f>IF(COUNTIFS('LANÇAMENTOS DIÁRIOS'!$G$5:$G$500,"G",'LANÇAMENTOS DIÁRIOS'!$C$5:$C$500,$A79,'LANÇAMENTOS DIÁRIOS'!$O$5:$O$500,"&lt;=120179",'LANÇAMENTOS DIÁRIOS'!$P$5:$P$500,"&gt;=120080")&gt;0,"X","")</f>
      </c>
      <c r="AD79" s="56" t="str">
        <f>IF(COUNTIFS('LANÇAMENTOS DIÁRIOS'!$G$5:$G$500,"G",'LANÇAMENTOS DIÁRIOS'!$C$5:$C$500,$A79,'LANÇAMENTOS DIÁRIOS'!$O$5:$O$500,"&lt;=120279",'LANÇAMENTOS DIÁRIOS'!$P$5:$P$500,"&gt;=120180")&gt;0,"X","")</f>
      </c>
      <c r="AE79" s="56" t="str">
        <f>IF(COUNTIFS('LANÇAMENTOS DIÁRIOS'!$G$5:$G$500,"G",'LANÇAMENTOS DIÁRIOS'!$C$5:$C$500,$A79,'LANÇAMENTOS DIÁRIOS'!$O$5:$O$500,"&lt;=120379",'LANÇAMENTOS DIÁRIOS'!$P$5:$P$500,"&gt;=120280")&gt;0,"X","")</f>
      </c>
      <c r="AF79" s="56" t="str">
        <f>IF(COUNTIFS('LANÇAMENTOS DIÁRIOS'!$G$5:$G$500,"G",'LANÇAMENTOS DIÁRIOS'!$C$5:$C$500,$A79,'LANÇAMENTOS DIÁRIOS'!$O$5:$O$500,"&lt;=120479",'LANÇAMENTOS DIÁRIOS'!$P$5:$P$500,"&gt;=120380")&gt;0,"X","")</f>
      </c>
      <c r="AG79" s="56" t="str">
        <f>IF(COUNTIFS('LANÇAMENTOS DIÁRIOS'!$G$5:$G$500,"G",'LANÇAMENTOS DIÁRIOS'!$C$5:$C$500,$A79,'LANÇAMENTOS DIÁRIOS'!$O$5:$O$500,"&lt;=120579",'LANÇAMENTOS DIÁRIOS'!$P$5:$P$500,"&gt;=120480")&gt;0,"X","")</f>
      </c>
      <c r="AH79" s="56" t="str">
        <f>IF(COUNTIFS('LANÇAMENTOS DIÁRIOS'!$G$5:$G$500,"G",'LANÇAMENTOS DIÁRIOS'!$C$5:$C$500,$A79,'LANÇAMENTOS DIÁRIOS'!$O$5:$O$500,"&lt;=120679",'LANÇAMENTOS DIÁRIOS'!$P$5:$P$500,"&gt;=120580")&gt;0,"X","")</f>
      </c>
      <c r="AI79" s="56" t="str">
        <f>IF(COUNTIFS('LANÇAMENTOS DIÁRIOS'!$G$5:$G$500,"G",'LANÇAMENTOS DIÁRIOS'!$C$5:$C$500,$A79,'LANÇAMENTOS DIÁRIOS'!$O$5:$O$500,"&lt;=120779",'LANÇAMENTOS DIÁRIOS'!$P$5:$P$500,"&gt;=120680")&gt;0,"X","")</f>
      </c>
      <c r="AJ79" s="56" t="str">
        <f>IF(COUNTIFS('LANÇAMENTOS DIÁRIOS'!$G$5:$G$500,"G",'LANÇAMENTOS DIÁRIOS'!$C$5:$C$500,$A79,'LANÇAMENTOS DIÁRIOS'!$O$5:$O$500,"&lt;=120879",'LANÇAMENTOS DIÁRIOS'!$P$5:$P$500,"&gt;=120780")&gt;0,"X","")</f>
      </c>
      <c r="AK79" s="56" t="str">
        <f>IF(COUNTIFS('LANÇAMENTOS DIÁRIOS'!$G$5:$G$500,"G",'LANÇAMENTOS DIÁRIOS'!$C$5:$C$500,$A79,'LANÇAMENTOS DIÁRIOS'!$O$5:$O$500,"&lt;=120979",'LANÇAMENTOS DIÁRIOS'!$P$5:$P$500,"&gt;=120880")&gt;0,"X","")</f>
      </c>
      <c r="AL79" s="56" t="str">
        <f>IF(COUNTIFS('LANÇAMENTOS DIÁRIOS'!$G$5:$G$500,"G",'LANÇAMENTOS DIÁRIOS'!$C$5:$C$500,$A79,'LANÇAMENTOS DIÁRIOS'!$O$5:$O$500,"&lt;=121079",'LANÇAMENTOS DIÁRIOS'!$P$5:$P$500,"&gt;=120980")&gt;0,"X","")</f>
      </c>
      <c r="AM79" s="56" t="str">
        <f>IF(COUNTIFS('LANÇAMENTOS DIÁRIOS'!$G$5:$G$500,"G",'LANÇAMENTOS DIÁRIOS'!$C$5:$C$500,$A79,'LANÇAMENTOS DIÁRIOS'!$O$5:$O$500,"&lt;=121179",'LANÇAMENTOS DIÁRIOS'!$P$5:$P$500,"&gt;=121080")&gt;0,"X","")</f>
      </c>
      <c r="AN79" s="56" t="str">
        <f>IF(COUNTIFS('LANÇAMENTOS DIÁRIOS'!$G$5:$G$500,"G",'LANÇAMENTOS DIÁRIOS'!$C$5:$C$500,$A79,'LANÇAMENTOS DIÁRIOS'!$O$5:$O$500,"&lt;=121279",'LANÇAMENTOS DIÁRIOS'!$P$5:$P$500,"&gt;=121180")&gt;0,"X","")</f>
      </c>
      <c r="AO79" s="56" t="str">
        <f>IF(COUNTIFS('LANÇAMENTOS DIÁRIOS'!$G$5:$G$500,"G",'LANÇAMENTOS DIÁRIOS'!$C$5:$C$500,$A79,'LANÇAMENTOS DIÁRIOS'!$O$5:$O$500,"&lt;=121379",'LANÇAMENTOS DIÁRIOS'!$P$5:$P$500,"&gt;=121280")&gt;0,"X","")</f>
      </c>
      <c r="AP79" s="56" t="str">
        <f>IF(COUNTIFS('LANÇAMENTOS DIÁRIOS'!$G$5:$G$500,"G",'LANÇAMENTOS DIÁRIOS'!$C$5:$C$500,$A79,'LANÇAMENTOS DIÁRIOS'!$O$5:$O$500,"&lt;=121479",'LANÇAMENTOS DIÁRIOS'!$P$5:$P$500,"&gt;=121380")&gt;0,"X","")</f>
      </c>
      <c r="AQ79" s="56" t="str">
        <f>IF(COUNTIFS('LANÇAMENTOS DIÁRIOS'!$G$5:$G$500,"G",'LANÇAMENTOS DIÁRIOS'!$C$5:$C$500,$A79,'LANÇAMENTOS DIÁRIOS'!$O$5:$O$500,"&lt;=121579",'LANÇAMENTOS DIÁRIOS'!$P$5:$P$500,"&gt;=121480")&gt;0,"X","")</f>
      </c>
      <c r="AR79" s="56" t="str">
        <f>IF(COUNTIFS('LANÇAMENTOS DIÁRIOS'!$G$5:$G$500,"G",'LANÇAMENTOS DIÁRIOS'!$C$5:$C$500,$A79,'LANÇAMENTOS DIÁRIOS'!$O$5:$O$500,"&lt;=121679",'LANÇAMENTOS DIÁRIOS'!$P$5:$P$500,"&gt;=121580")&gt;0,"X","")</f>
      </c>
      <c r="AS79" s="56" t="str">
        <f>IF(COUNTIFS('LANÇAMENTOS DIÁRIOS'!$G$5:$G$500,"G",'LANÇAMENTOS DIÁRIOS'!$C$5:$C$500,$A79,'LANÇAMENTOS DIÁRIOS'!$O$5:$O$500,"&lt;=121779",'LANÇAMENTOS DIÁRIOS'!$P$5:$P$500,"&gt;=121680")&gt;0,"X","")</f>
      </c>
      <c r="AT79" s="56" t="str">
        <f>IF(COUNTIFS('LANÇAMENTOS DIÁRIOS'!$G$5:$G$500,"G",'LANÇAMENTOS DIÁRIOS'!$C$5:$C$500,$A79,'LANÇAMENTOS DIÁRIOS'!$O$5:$O$500,"&lt;=121879",'LANÇAMENTOS DIÁRIOS'!$P$5:$P$500,"&gt;=121780")&gt;0,"X","")</f>
      </c>
      <c r="AU79" s="56" t="str">
        <f>IF(COUNTIFS('LANÇAMENTOS DIÁRIOS'!$G$5:$G$500,"G",'LANÇAMENTOS DIÁRIOS'!$C$5:$C$500,$A79,'LANÇAMENTOS DIÁRIOS'!$O$5:$O$500,"&lt;=121979",'LANÇAMENTOS DIÁRIOS'!$P$5:$P$500,"&gt;=121880")&gt;0,"X","")</f>
      </c>
      <c r="AV79" s="56" t="str">
        <f>IF(COUNTIFS('LANÇAMENTOS DIÁRIOS'!$G$5:$G$500,"G",'LANÇAMENTOS DIÁRIOS'!$C$5:$C$500,$A79,'LANÇAMENTOS DIÁRIOS'!$O$5:$O$500,"&lt;=122079",'LANÇAMENTOS DIÁRIOS'!$P$5:$P$500,"&gt;=121980")&gt;0,"X","")</f>
      </c>
      <c r="AW79" s="56" t="str">
        <f>IF(COUNTIFS('LANÇAMENTOS DIÁRIOS'!$G$5:$G$500,"G",'LANÇAMENTOS DIÁRIOS'!$C$5:$C$500,$A79,'LANÇAMENTOS DIÁRIOS'!$O$5:$O$500,"&lt;=122179",'LANÇAMENTOS DIÁRIOS'!$P$5:$P$500,"&gt;=122080")&gt;0,"X","")</f>
      </c>
      <c r="AX79" s="56" t="str">
        <f>IF(COUNTIFS('LANÇAMENTOS DIÁRIOS'!$G$5:$G$500,"G",'LANÇAMENTOS DIÁRIOS'!$C$5:$C$500,$A79,'LANÇAMENTOS DIÁRIOS'!$O$5:$O$500,"&lt;=122279",'LANÇAMENTOS DIÁRIOS'!$P$5:$P$500,"&gt;=122180")&gt;0,"X","")</f>
      </c>
      <c r="AY79" s="56" t="str">
        <f>IF(COUNTIFS('LANÇAMENTOS DIÁRIOS'!$G$5:$G$500,"G",'LANÇAMENTOS DIÁRIOS'!$C$5:$C$500,$A79,'LANÇAMENTOS DIÁRIOS'!$O$5:$O$500,"&lt;=122379",'LANÇAMENTOS DIÁRIOS'!$P$5:$P$500,"&gt;=122280")&gt;0,"X","")</f>
      </c>
      <c r="AZ79" s="56" t="str">
        <f>IF(COUNTIFS('LANÇAMENTOS DIÁRIOS'!$G$5:$G$500,"G",'LANÇAMENTOS DIÁRIOS'!$C$5:$C$500,$A79,'LANÇAMENTOS DIÁRIOS'!$O$5:$O$500,"&lt;=122479",'LANÇAMENTOS DIÁRIOS'!$P$5:$P$500,"&gt;=122380")&gt;0,"X","")</f>
      </c>
      <c r="BA79" s="56" t="str">
        <f>IF(COUNTIFS('LANÇAMENTOS DIÁRIOS'!$G$5:$G$500,"G",'LANÇAMENTOS DIÁRIOS'!$C$5:$C$500,$A79,'LANÇAMENTOS DIÁRIOS'!$O$5:$O$500,"&lt;=122579",'LANÇAMENTOS DIÁRIOS'!$P$5:$P$500,"&gt;=122480")&gt;0,"X","")</f>
      </c>
      <c r="BB79" s="56" t="str">
        <f>IF(COUNTIFS('LANÇAMENTOS DIÁRIOS'!$G$5:$G$500,"G",'LANÇAMENTOS DIÁRIOS'!$C$5:$C$500,$A79,'LANÇAMENTOS DIÁRIOS'!$O$5:$O$500,"&lt;=122679",'LANÇAMENTOS DIÁRIOS'!$P$5:$P$500,"&gt;=122580")&gt;0,"X","")</f>
      </c>
      <c r="BC79" s="56" t="str">
        <f>IF(COUNTIFS('LANÇAMENTOS DIÁRIOS'!$G$5:$G$500,"G",'LANÇAMENTOS DIÁRIOS'!$C$5:$C$500,$A79,'LANÇAMENTOS DIÁRIOS'!$O$5:$O$500,"&lt;=122779",'LANÇAMENTOS DIÁRIOS'!$P$5:$P$500,"&gt;=122680")&gt;0,"X","")</f>
      </c>
      <c r="BD79" s="56" t="str">
        <f>IF(COUNTIFS('LANÇAMENTOS DIÁRIOS'!$G$5:$G$500,"G",'LANÇAMENTOS DIÁRIOS'!$C$5:$C$500,$A79,'LANÇAMENTOS DIÁRIOS'!$O$5:$O$500,"&lt;=122879",'LANÇAMENTOS DIÁRIOS'!$P$5:$P$500,"&gt;=122780")&gt;0,"X","")</f>
      </c>
      <c r="BE79" s="56" t="str">
        <f>IF(COUNTIFS('LANÇAMENTOS DIÁRIOS'!$G$5:$G$500,"G",'LANÇAMENTOS DIÁRIOS'!$C$5:$C$500,$A79,'LANÇAMENTOS DIÁRIOS'!$O$5:$O$500,"&lt;=122979",'LANÇAMENTOS DIÁRIOS'!$P$5:$P$500,"&gt;=122880")&gt;0,"X","")</f>
      </c>
      <c r="BF79" s="56" t="str">
        <f>IF(COUNTIFS('LANÇAMENTOS DIÁRIOS'!$G$5:$G$500,"G",'LANÇAMENTOS DIÁRIOS'!$C$5:$C$500,$A79,'LANÇAMENTOS DIÁRIOS'!$O$5:$O$500,"&lt;=123079",'LANÇAMENTOS DIÁRIOS'!$P$5:$P$500,"&gt;=122980")&gt;0,"X","")</f>
      </c>
      <c r="BG79" s="56" t="str">
        <f>IF(COUNTIFS('LANÇAMENTOS DIÁRIOS'!$G$5:$G$500,"G",'LANÇAMENTOS DIÁRIOS'!$C$5:$C$500,$A79,'LANÇAMENTOS DIÁRIOS'!$O$5:$O$500,"&lt;=123179",'LANÇAMENTOS DIÁRIOS'!$P$5:$P$500,"&gt;=123080")&gt;0,"X","")</f>
      </c>
      <c r="BH79" s="56" t="str">
        <f>IF(COUNTIFS('LANÇAMENTOS DIÁRIOS'!$G$5:$G$500,"G",'LANÇAMENTOS DIÁRIOS'!$C$5:$C$500,$A79,'LANÇAMENTOS DIÁRIOS'!$O$5:$O$500,"&lt;=123279",'LANÇAMENTOS DIÁRIOS'!$P$5:$P$500,"&gt;=123180")&gt;0,"X","")</f>
      </c>
      <c r="BI79" s="56" t="str">
        <f>IF(COUNTIFS('LANÇAMENTOS DIÁRIOS'!$G$5:$G$500,"G",'LANÇAMENTOS DIÁRIOS'!$C$5:$C$500,$A79,'LANÇAMENTOS DIÁRIOS'!$O$5:$O$500,"&lt;=123379",'LANÇAMENTOS DIÁRIOS'!$P$5:$P$500,"&gt;=123280")&gt;0,"X","")</f>
      </c>
      <c r="BJ79" s="56" t="str">
        <f>IF(COUNTIFS('LANÇAMENTOS DIÁRIOS'!$G$5:$G$500,"G",'LANÇAMENTOS DIÁRIOS'!$C$5:$C$500,$A79,'LANÇAMENTOS DIÁRIOS'!$O$5:$O$500,"&lt;=123479",'LANÇAMENTOS DIÁRIOS'!$P$5:$P$500,"&gt;=123380")&gt;0,"X","")</f>
      </c>
      <c r="BK79" s="56" t="str">
        <f>IF(COUNTIFS('LANÇAMENTOS DIÁRIOS'!$G$5:$G$500,"G",'LANÇAMENTOS DIÁRIOS'!$C$5:$C$500,$A79,'LANÇAMENTOS DIÁRIOS'!$O$5:$O$500,"&lt;=123480",'LANÇAMENTOS DIÁRIOS'!$P$5:$P$500,"&gt;=123480")&gt;0,"X","")</f>
      </c>
    </row>
    <row r="80" ht="19" customHeight="1">
      <c r="A80" s="68" t="str">
        <v>Construção da base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</row>
    <row r="81">
      <c r="A81" s="51" t="str">
        <v>Solo brita 30/70 cimento 4%</v>
      </c>
      <c r="B81" s="56" t="str">
        <f>IF(COUNTIFS('LANÇAMENTOS DIÁRIOS'!$G$5:$G$500,"G",'LANÇAMENTOS DIÁRIOS'!$C$5:$C$500,$A81,'LANÇAMENTOS DIÁRIOS'!$O$5:$O$500,"&lt;=117479",'LANÇAMENTOS DIÁRIOS'!$P$5:$P$500,"&gt;=117380")&gt;0,"X","")</f>
      </c>
      <c r="C81" s="56" t="str">
        <f>IF(COUNTIFS('LANÇAMENTOS DIÁRIOS'!$G$5:$G$500,"G",'LANÇAMENTOS DIÁRIOS'!$C$5:$C$500,$A81,'LANÇAMENTOS DIÁRIOS'!$O$5:$O$500,"&lt;=117579",'LANÇAMENTOS DIÁRIOS'!$P$5:$P$500,"&gt;=117480")&gt;0,"X","")</f>
      </c>
      <c r="D81" s="56" t="str">
        <f>IF(COUNTIFS('LANÇAMENTOS DIÁRIOS'!$G$5:$G$500,"G",'LANÇAMENTOS DIÁRIOS'!$C$5:$C$500,$A81,'LANÇAMENTOS DIÁRIOS'!$O$5:$O$500,"&lt;=117679",'LANÇAMENTOS DIÁRIOS'!$P$5:$P$500,"&gt;=117580")&gt;0,"X","")</f>
      </c>
      <c r="E81" s="56" t="str">
        <f>IF(COUNTIFS('LANÇAMENTOS DIÁRIOS'!$G$5:$G$500,"G",'LANÇAMENTOS DIÁRIOS'!$C$5:$C$500,$A81,'LANÇAMENTOS DIÁRIOS'!$O$5:$O$500,"&lt;=117779",'LANÇAMENTOS DIÁRIOS'!$P$5:$P$500,"&gt;=117680")&gt;0,"X","")</f>
      </c>
      <c r="F81" s="56" t="str">
        <f>IF(COUNTIFS('LANÇAMENTOS DIÁRIOS'!$G$5:$G$500,"G",'LANÇAMENTOS DIÁRIOS'!$C$5:$C$500,$A81,'LANÇAMENTOS DIÁRIOS'!$O$5:$O$500,"&lt;=117879",'LANÇAMENTOS DIÁRIOS'!$P$5:$P$500,"&gt;=117780")&gt;0,"X","")</f>
      </c>
      <c r="G81" s="56" t="str">
        <f>IF(COUNTIFS('LANÇAMENTOS DIÁRIOS'!$G$5:$G$500,"G",'LANÇAMENTOS DIÁRIOS'!$C$5:$C$500,$A81,'LANÇAMENTOS DIÁRIOS'!$O$5:$O$500,"&lt;=117979",'LANÇAMENTOS DIÁRIOS'!$P$5:$P$500,"&gt;=117880")&gt;0,"X","")</f>
      </c>
      <c r="H81" s="56" t="str">
        <f>IF(COUNTIFS('LANÇAMENTOS DIÁRIOS'!$G$5:$G$500,"G",'LANÇAMENTOS DIÁRIOS'!$C$5:$C$500,$A81,'LANÇAMENTOS DIÁRIOS'!$O$5:$O$500,"&lt;=118079",'LANÇAMENTOS DIÁRIOS'!$P$5:$P$500,"&gt;=117980")&gt;0,"X","")</f>
      </c>
      <c r="I81" s="56" t="str">
        <f>IF(COUNTIFS('LANÇAMENTOS DIÁRIOS'!$G$5:$G$500,"G",'LANÇAMENTOS DIÁRIOS'!$C$5:$C$500,$A81,'LANÇAMENTOS DIÁRIOS'!$O$5:$O$500,"&lt;=118179",'LANÇAMENTOS DIÁRIOS'!$P$5:$P$500,"&gt;=118080")&gt;0,"X","")</f>
      </c>
      <c r="J81" s="56" t="str">
        <f>IF(COUNTIFS('LANÇAMENTOS DIÁRIOS'!$G$5:$G$500,"G",'LANÇAMENTOS DIÁRIOS'!$C$5:$C$500,$A81,'LANÇAMENTOS DIÁRIOS'!$O$5:$O$500,"&lt;=118279",'LANÇAMENTOS DIÁRIOS'!$P$5:$P$500,"&gt;=118180")&gt;0,"X","")</f>
      </c>
      <c r="K81" s="56" t="str">
        <f>IF(COUNTIFS('LANÇAMENTOS DIÁRIOS'!$G$5:$G$500,"G",'LANÇAMENTOS DIÁRIOS'!$C$5:$C$500,$A81,'LANÇAMENTOS DIÁRIOS'!$O$5:$O$500,"&lt;=118379",'LANÇAMENTOS DIÁRIOS'!$P$5:$P$500,"&gt;=118280")&gt;0,"X","")</f>
      </c>
      <c r="L81" s="56" t="str">
        <f>IF(COUNTIFS('LANÇAMENTOS DIÁRIOS'!$G$5:$G$500,"G",'LANÇAMENTOS DIÁRIOS'!$C$5:$C$500,$A81,'LANÇAMENTOS DIÁRIOS'!$O$5:$O$500,"&lt;=118479",'LANÇAMENTOS DIÁRIOS'!$P$5:$P$500,"&gt;=118380")&gt;0,"X","")</f>
      </c>
      <c r="M81" s="56" t="str">
        <f>IF(COUNTIFS('LANÇAMENTOS DIÁRIOS'!$G$5:$G$500,"G",'LANÇAMENTOS DIÁRIOS'!$C$5:$C$500,$A81,'LANÇAMENTOS DIÁRIOS'!$O$5:$O$500,"&lt;=118579",'LANÇAMENTOS DIÁRIOS'!$P$5:$P$500,"&gt;=118480")&gt;0,"X","")</f>
      </c>
      <c r="N81" s="56" t="str">
        <f>IF(COUNTIFS('LANÇAMENTOS DIÁRIOS'!$G$5:$G$500,"G",'LANÇAMENTOS DIÁRIOS'!$C$5:$C$500,$A81,'LANÇAMENTOS DIÁRIOS'!$O$5:$O$500,"&lt;=118679",'LANÇAMENTOS DIÁRIOS'!$P$5:$P$500,"&gt;=118580")&gt;0,"X","")</f>
      </c>
      <c r="O81" s="56" t="str">
        <f>IF(COUNTIFS('LANÇAMENTOS DIÁRIOS'!$G$5:$G$500,"G",'LANÇAMENTOS DIÁRIOS'!$C$5:$C$500,$A81,'LANÇAMENTOS DIÁRIOS'!$O$5:$O$500,"&lt;=118779",'LANÇAMENTOS DIÁRIOS'!$P$5:$P$500,"&gt;=118680")&gt;0,"X","")</f>
      </c>
      <c r="P81" s="56" t="str">
        <f>IF(COUNTIFS('LANÇAMENTOS DIÁRIOS'!$G$5:$G$500,"G",'LANÇAMENTOS DIÁRIOS'!$C$5:$C$500,$A81,'LANÇAMENTOS DIÁRIOS'!$O$5:$O$500,"&lt;=118879",'LANÇAMENTOS DIÁRIOS'!$P$5:$P$500,"&gt;=118780")&gt;0,"X","")</f>
      </c>
      <c r="Q81" s="56" t="str">
        <f>IF(COUNTIFS('LANÇAMENTOS DIÁRIOS'!$G$5:$G$500,"G",'LANÇAMENTOS DIÁRIOS'!$C$5:$C$500,$A81,'LANÇAMENTOS DIÁRIOS'!$O$5:$O$500,"&lt;=118979",'LANÇAMENTOS DIÁRIOS'!$P$5:$P$500,"&gt;=118880")&gt;0,"X","")</f>
      </c>
      <c r="R81" s="56" t="str">
        <f>IF(COUNTIFS('LANÇAMENTOS DIÁRIOS'!$G$5:$G$500,"G",'LANÇAMENTOS DIÁRIOS'!$C$5:$C$500,$A81,'LANÇAMENTOS DIÁRIOS'!$O$5:$O$500,"&lt;=119079",'LANÇAMENTOS DIÁRIOS'!$P$5:$P$500,"&gt;=118980")&gt;0,"X","")</f>
      </c>
      <c r="S81" s="56" t="str">
        <f>IF(COUNTIFS('LANÇAMENTOS DIÁRIOS'!$G$5:$G$500,"G",'LANÇAMENTOS DIÁRIOS'!$C$5:$C$500,$A81,'LANÇAMENTOS DIÁRIOS'!$O$5:$O$500,"&lt;=119179",'LANÇAMENTOS DIÁRIOS'!$P$5:$P$500,"&gt;=119080")&gt;0,"X","")</f>
      </c>
      <c r="T81" s="56" t="str">
        <f>IF(COUNTIFS('LANÇAMENTOS DIÁRIOS'!$G$5:$G$500,"G",'LANÇAMENTOS DIÁRIOS'!$C$5:$C$500,$A81,'LANÇAMENTOS DIÁRIOS'!$O$5:$O$500,"&lt;=119279",'LANÇAMENTOS DIÁRIOS'!$P$5:$P$500,"&gt;=119180")&gt;0,"X","")</f>
      </c>
      <c r="U81" s="56" t="str">
        <f>IF(COUNTIFS('LANÇAMENTOS DIÁRIOS'!$G$5:$G$500,"G",'LANÇAMENTOS DIÁRIOS'!$C$5:$C$500,$A81,'LANÇAMENTOS DIÁRIOS'!$O$5:$O$500,"&lt;=119379",'LANÇAMENTOS DIÁRIOS'!$P$5:$P$500,"&gt;=119280")&gt;0,"X","")</f>
      </c>
      <c r="V81" s="56" t="str">
        <f>IF(COUNTIFS('LANÇAMENTOS DIÁRIOS'!$G$5:$G$500,"G",'LANÇAMENTOS DIÁRIOS'!$C$5:$C$500,$A81,'LANÇAMENTOS DIÁRIOS'!$O$5:$O$500,"&lt;=119479",'LANÇAMENTOS DIÁRIOS'!$P$5:$P$500,"&gt;=119380")&gt;0,"X","")</f>
      </c>
      <c r="W81" s="56" t="str">
        <f>IF(COUNTIFS('LANÇAMENTOS DIÁRIOS'!$G$5:$G$500,"G",'LANÇAMENTOS DIÁRIOS'!$C$5:$C$500,$A81,'LANÇAMENTOS DIÁRIOS'!$O$5:$O$500,"&lt;=119579",'LANÇAMENTOS DIÁRIOS'!$P$5:$P$500,"&gt;=119480")&gt;0,"X","")</f>
      </c>
      <c r="X81" s="56" t="str">
        <f>IF(COUNTIFS('LANÇAMENTOS DIÁRIOS'!$G$5:$G$500,"G",'LANÇAMENTOS DIÁRIOS'!$C$5:$C$500,$A81,'LANÇAMENTOS DIÁRIOS'!$O$5:$O$500,"&lt;=119679",'LANÇAMENTOS DIÁRIOS'!$P$5:$P$500,"&gt;=119580")&gt;0,"X","")</f>
      </c>
      <c r="Y81" s="56" t="str">
        <f>IF(COUNTIFS('LANÇAMENTOS DIÁRIOS'!$G$5:$G$500,"G",'LANÇAMENTOS DIÁRIOS'!$C$5:$C$500,$A81,'LANÇAMENTOS DIÁRIOS'!$O$5:$O$500,"&lt;=119779",'LANÇAMENTOS DIÁRIOS'!$P$5:$P$500,"&gt;=119680")&gt;0,"X","")</f>
      </c>
      <c r="Z81" s="56" t="str">
        <f>IF(COUNTIFS('LANÇAMENTOS DIÁRIOS'!$G$5:$G$500,"G",'LANÇAMENTOS DIÁRIOS'!$C$5:$C$500,$A81,'LANÇAMENTOS DIÁRIOS'!$O$5:$O$500,"&lt;=119879",'LANÇAMENTOS DIÁRIOS'!$P$5:$P$500,"&gt;=119780")&gt;0,"X","")</f>
      </c>
      <c r="AA81" s="56" t="str">
        <f>IF(COUNTIFS('LANÇAMENTOS DIÁRIOS'!$G$5:$G$500,"G",'LANÇAMENTOS DIÁRIOS'!$C$5:$C$500,$A81,'LANÇAMENTOS DIÁRIOS'!$O$5:$O$500,"&lt;=119979",'LANÇAMENTOS DIÁRIOS'!$P$5:$P$500,"&gt;=119880")&gt;0,"X","")</f>
      </c>
      <c r="AB81" s="56" t="str">
        <f>IF(COUNTIFS('LANÇAMENTOS DIÁRIOS'!$G$5:$G$500,"G",'LANÇAMENTOS DIÁRIOS'!$C$5:$C$500,$A81,'LANÇAMENTOS DIÁRIOS'!$O$5:$O$500,"&lt;=120079",'LANÇAMENTOS DIÁRIOS'!$P$5:$P$500,"&gt;=119980")&gt;0,"X","")</f>
      </c>
      <c r="AC81" s="56" t="str">
        <f>IF(COUNTIFS('LANÇAMENTOS DIÁRIOS'!$G$5:$G$500,"G",'LANÇAMENTOS DIÁRIOS'!$C$5:$C$500,$A81,'LANÇAMENTOS DIÁRIOS'!$O$5:$O$500,"&lt;=120179",'LANÇAMENTOS DIÁRIOS'!$P$5:$P$500,"&gt;=120080")&gt;0,"X","")</f>
      </c>
      <c r="AD81" s="56" t="str">
        <f>IF(COUNTIFS('LANÇAMENTOS DIÁRIOS'!$G$5:$G$500,"G",'LANÇAMENTOS DIÁRIOS'!$C$5:$C$500,$A81,'LANÇAMENTOS DIÁRIOS'!$O$5:$O$500,"&lt;=120279",'LANÇAMENTOS DIÁRIOS'!$P$5:$P$500,"&gt;=120180")&gt;0,"X","")</f>
      </c>
      <c r="AE81" s="56" t="str">
        <f>IF(COUNTIFS('LANÇAMENTOS DIÁRIOS'!$G$5:$G$500,"G",'LANÇAMENTOS DIÁRIOS'!$C$5:$C$500,$A81,'LANÇAMENTOS DIÁRIOS'!$O$5:$O$500,"&lt;=120379",'LANÇAMENTOS DIÁRIOS'!$P$5:$P$500,"&gt;=120280")&gt;0,"X","")</f>
      </c>
      <c r="AF81" s="56" t="str">
        <f>IF(COUNTIFS('LANÇAMENTOS DIÁRIOS'!$G$5:$G$500,"G",'LANÇAMENTOS DIÁRIOS'!$C$5:$C$500,$A81,'LANÇAMENTOS DIÁRIOS'!$O$5:$O$500,"&lt;=120479",'LANÇAMENTOS DIÁRIOS'!$P$5:$P$500,"&gt;=120380")&gt;0,"X","")</f>
      </c>
      <c r="AG81" s="56" t="str">
        <f>IF(COUNTIFS('LANÇAMENTOS DIÁRIOS'!$G$5:$G$500,"G",'LANÇAMENTOS DIÁRIOS'!$C$5:$C$500,$A81,'LANÇAMENTOS DIÁRIOS'!$O$5:$O$500,"&lt;=120579",'LANÇAMENTOS DIÁRIOS'!$P$5:$P$500,"&gt;=120480")&gt;0,"X","")</f>
      </c>
      <c r="AH81" s="56" t="str">
        <f>IF(COUNTIFS('LANÇAMENTOS DIÁRIOS'!$G$5:$G$500,"G",'LANÇAMENTOS DIÁRIOS'!$C$5:$C$500,$A81,'LANÇAMENTOS DIÁRIOS'!$O$5:$O$500,"&lt;=120679",'LANÇAMENTOS DIÁRIOS'!$P$5:$P$500,"&gt;=120580")&gt;0,"X","")</f>
      </c>
      <c r="AI81" s="56" t="str">
        <f>IF(COUNTIFS('LANÇAMENTOS DIÁRIOS'!$G$5:$G$500,"G",'LANÇAMENTOS DIÁRIOS'!$C$5:$C$500,$A81,'LANÇAMENTOS DIÁRIOS'!$O$5:$O$500,"&lt;=120779",'LANÇAMENTOS DIÁRIOS'!$P$5:$P$500,"&gt;=120680")&gt;0,"X","")</f>
      </c>
      <c r="AJ81" s="56" t="str">
        <f>IF(COUNTIFS('LANÇAMENTOS DIÁRIOS'!$G$5:$G$500,"G",'LANÇAMENTOS DIÁRIOS'!$C$5:$C$500,$A81,'LANÇAMENTOS DIÁRIOS'!$O$5:$O$500,"&lt;=120879",'LANÇAMENTOS DIÁRIOS'!$P$5:$P$500,"&gt;=120780")&gt;0,"X","")</f>
      </c>
      <c r="AK81" s="56" t="str">
        <f>IF(COUNTIFS('LANÇAMENTOS DIÁRIOS'!$G$5:$G$500,"G",'LANÇAMENTOS DIÁRIOS'!$C$5:$C$500,$A81,'LANÇAMENTOS DIÁRIOS'!$O$5:$O$500,"&lt;=120979",'LANÇAMENTOS DIÁRIOS'!$P$5:$P$500,"&gt;=120880")&gt;0,"X","")</f>
      </c>
      <c r="AL81" s="56" t="str">
        <f>IF(COUNTIFS('LANÇAMENTOS DIÁRIOS'!$G$5:$G$500,"G",'LANÇAMENTOS DIÁRIOS'!$C$5:$C$500,$A81,'LANÇAMENTOS DIÁRIOS'!$O$5:$O$500,"&lt;=121079",'LANÇAMENTOS DIÁRIOS'!$P$5:$P$500,"&gt;=120980")&gt;0,"X","")</f>
      </c>
      <c r="AM81" s="56" t="str">
        <f>IF(COUNTIFS('LANÇAMENTOS DIÁRIOS'!$G$5:$G$500,"G",'LANÇAMENTOS DIÁRIOS'!$C$5:$C$500,$A81,'LANÇAMENTOS DIÁRIOS'!$O$5:$O$500,"&lt;=121179",'LANÇAMENTOS DIÁRIOS'!$P$5:$P$500,"&gt;=121080")&gt;0,"X","")</f>
      </c>
      <c r="AN81" s="56" t="str">
        <f>IF(COUNTIFS('LANÇAMENTOS DIÁRIOS'!$G$5:$G$500,"G",'LANÇAMENTOS DIÁRIOS'!$C$5:$C$500,$A81,'LANÇAMENTOS DIÁRIOS'!$O$5:$O$500,"&lt;=121279",'LANÇAMENTOS DIÁRIOS'!$P$5:$P$500,"&gt;=121180")&gt;0,"X","")</f>
      </c>
      <c r="AO81" s="56" t="str">
        <f>IF(COUNTIFS('LANÇAMENTOS DIÁRIOS'!$G$5:$G$500,"G",'LANÇAMENTOS DIÁRIOS'!$C$5:$C$500,$A81,'LANÇAMENTOS DIÁRIOS'!$O$5:$O$500,"&lt;=121379",'LANÇAMENTOS DIÁRIOS'!$P$5:$P$500,"&gt;=121280")&gt;0,"X","")</f>
      </c>
      <c r="AP81" s="56" t="str">
        <f>IF(COUNTIFS('LANÇAMENTOS DIÁRIOS'!$G$5:$G$500,"G",'LANÇAMENTOS DIÁRIOS'!$C$5:$C$500,$A81,'LANÇAMENTOS DIÁRIOS'!$O$5:$O$500,"&lt;=121479",'LANÇAMENTOS DIÁRIOS'!$P$5:$P$500,"&gt;=121380")&gt;0,"X","")</f>
      </c>
      <c r="AQ81" s="56" t="str">
        <f>IF(COUNTIFS('LANÇAMENTOS DIÁRIOS'!$G$5:$G$500,"G",'LANÇAMENTOS DIÁRIOS'!$C$5:$C$500,$A81,'LANÇAMENTOS DIÁRIOS'!$O$5:$O$500,"&lt;=121579",'LANÇAMENTOS DIÁRIOS'!$P$5:$P$500,"&gt;=121480")&gt;0,"X","")</f>
      </c>
      <c r="AR81" s="56" t="str">
        <f>IF(COUNTIFS('LANÇAMENTOS DIÁRIOS'!$G$5:$G$500,"G",'LANÇAMENTOS DIÁRIOS'!$C$5:$C$500,$A81,'LANÇAMENTOS DIÁRIOS'!$O$5:$O$500,"&lt;=121679",'LANÇAMENTOS DIÁRIOS'!$P$5:$P$500,"&gt;=121580")&gt;0,"X","")</f>
      </c>
      <c r="AS81" s="56" t="str">
        <f>IF(COUNTIFS('LANÇAMENTOS DIÁRIOS'!$G$5:$G$500,"G",'LANÇAMENTOS DIÁRIOS'!$C$5:$C$500,$A81,'LANÇAMENTOS DIÁRIOS'!$O$5:$O$500,"&lt;=121779",'LANÇAMENTOS DIÁRIOS'!$P$5:$P$500,"&gt;=121680")&gt;0,"X","")</f>
      </c>
      <c r="AT81" s="56" t="str">
        <f>IF(COUNTIFS('LANÇAMENTOS DIÁRIOS'!$G$5:$G$500,"G",'LANÇAMENTOS DIÁRIOS'!$C$5:$C$500,$A81,'LANÇAMENTOS DIÁRIOS'!$O$5:$O$500,"&lt;=121879",'LANÇAMENTOS DIÁRIOS'!$P$5:$P$500,"&gt;=121780")&gt;0,"X","")</f>
      </c>
      <c r="AU81" s="56" t="str">
        <f>IF(COUNTIFS('LANÇAMENTOS DIÁRIOS'!$G$5:$G$500,"G",'LANÇAMENTOS DIÁRIOS'!$C$5:$C$500,$A81,'LANÇAMENTOS DIÁRIOS'!$O$5:$O$500,"&lt;=121979",'LANÇAMENTOS DIÁRIOS'!$P$5:$P$500,"&gt;=121880")&gt;0,"X","")</f>
      </c>
      <c r="AV81" s="56" t="str">
        <f>IF(COUNTIFS('LANÇAMENTOS DIÁRIOS'!$G$5:$G$500,"G",'LANÇAMENTOS DIÁRIOS'!$C$5:$C$500,$A81,'LANÇAMENTOS DIÁRIOS'!$O$5:$O$500,"&lt;=122079",'LANÇAMENTOS DIÁRIOS'!$P$5:$P$500,"&gt;=121980")&gt;0,"X","")</f>
      </c>
      <c r="AW81" s="56" t="str">
        <f>IF(COUNTIFS('LANÇAMENTOS DIÁRIOS'!$G$5:$G$500,"G",'LANÇAMENTOS DIÁRIOS'!$C$5:$C$500,$A81,'LANÇAMENTOS DIÁRIOS'!$O$5:$O$500,"&lt;=122179",'LANÇAMENTOS DIÁRIOS'!$P$5:$P$500,"&gt;=122080")&gt;0,"X","")</f>
      </c>
      <c r="AX81" s="56" t="str">
        <f>IF(COUNTIFS('LANÇAMENTOS DIÁRIOS'!$G$5:$G$500,"G",'LANÇAMENTOS DIÁRIOS'!$C$5:$C$500,$A81,'LANÇAMENTOS DIÁRIOS'!$O$5:$O$500,"&lt;=122279",'LANÇAMENTOS DIÁRIOS'!$P$5:$P$500,"&gt;=122180")&gt;0,"X","")</f>
      </c>
      <c r="AY81" s="56" t="str">
        <f>IF(COUNTIFS('LANÇAMENTOS DIÁRIOS'!$G$5:$G$500,"G",'LANÇAMENTOS DIÁRIOS'!$C$5:$C$500,$A81,'LANÇAMENTOS DIÁRIOS'!$O$5:$O$500,"&lt;=122379",'LANÇAMENTOS DIÁRIOS'!$P$5:$P$500,"&gt;=122280")&gt;0,"X","")</f>
      </c>
      <c r="AZ81" s="56" t="str">
        <f>IF(COUNTIFS('LANÇAMENTOS DIÁRIOS'!$G$5:$G$500,"G",'LANÇAMENTOS DIÁRIOS'!$C$5:$C$500,$A81,'LANÇAMENTOS DIÁRIOS'!$O$5:$O$500,"&lt;=122479",'LANÇAMENTOS DIÁRIOS'!$P$5:$P$500,"&gt;=122380")&gt;0,"X","")</f>
      </c>
      <c r="BA81" s="56" t="str">
        <f>IF(COUNTIFS('LANÇAMENTOS DIÁRIOS'!$G$5:$G$500,"G",'LANÇAMENTOS DIÁRIOS'!$C$5:$C$500,$A81,'LANÇAMENTOS DIÁRIOS'!$O$5:$O$500,"&lt;=122579",'LANÇAMENTOS DIÁRIOS'!$P$5:$P$500,"&gt;=122480")&gt;0,"X","")</f>
      </c>
      <c r="BB81" s="56" t="str">
        <f>IF(COUNTIFS('LANÇAMENTOS DIÁRIOS'!$G$5:$G$500,"G",'LANÇAMENTOS DIÁRIOS'!$C$5:$C$500,$A81,'LANÇAMENTOS DIÁRIOS'!$O$5:$O$500,"&lt;=122679",'LANÇAMENTOS DIÁRIOS'!$P$5:$P$500,"&gt;=122580")&gt;0,"X","")</f>
      </c>
      <c r="BC81" s="56" t="str">
        <f>IF(COUNTIFS('LANÇAMENTOS DIÁRIOS'!$G$5:$G$500,"G",'LANÇAMENTOS DIÁRIOS'!$C$5:$C$500,$A81,'LANÇAMENTOS DIÁRIOS'!$O$5:$O$500,"&lt;=122779",'LANÇAMENTOS DIÁRIOS'!$P$5:$P$500,"&gt;=122680")&gt;0,"X","")</f>
      </c>
      <c r="BD81" s="56" t="str">
        <f>IF(COUNTIFS('LANÇAMENTOS DIÁRIOS'!$G$5:$G$500,"G",'LANÇAMENTOS DIÁRIOS'!$C$5:$C$500,$A81,'LANÇAMENTOS DIÁRIOS'!$O$5:$O$500,"&lt;=122879",'LANÇAMENTOS DIÁRIOS'!$P$5:$P$500,"&gt;=122780")&gt;0,"X","")</f>
      </c>
      <c r="BE81" s="56" t="str">
        <f>IF(COUNTIFS('LANÇAMENTOS DIÁRIOS'!$G$5:$G$500,"G",'LANÇAMENTOS DIÁRIOS'!$C$5:$C$500,$A81,'LANÇAMENTOS DIÁRIOS'!$O$5:$O$500,"&lt;=122979",'LANÇAMENTOS DIÁRIOS'!$P$5:$P$500,"&gt;=122880")&gt;0,"X","")</f>
      </c>
      <c r="BF81" s="56" t="str">
        <f>IF(COUNTIFS('LANÇAMENTOS DIÁRIOS'!$G$5:$G$500,"G",'LANÇAMENTOS DIÁRIOS'!$C$5:$C$500,$A81,'LANÇAMENTOS DIÁRIOS'!$O$5:$O$500,"&lt;=123079",'LANÇAMENTOS DIÁRIOS'!$P$5:$P$500,"&gt;=122980")&gt;0,"X","")</f>
      </c>
      <c r="BG81" s="56" t="str">
        <f>IF(COUNTIFS('LANÇAMENTOS DIÁRIOS'!$G$5:$G$500,"G",'LANÇAMENTOS DIÁRIOS'!$C$5:$C$500,$A81,'LANÇAMENTOS DIÁRIOS'!$O$5:$O$500,"&lt;=123179",'LANÇAMENTOS DIÁRIOS'!$P$5:$P$500,"&gt;=123080")&gt;0,"X","")</f>
      </c>
      <c r="BH81" s="56" t="str">
        <f>IF(COUNTIFS('LANÇAMENTOS DIÁRIOS'!$G$5:$G$500,"G",'LANÇAMENTOS DIÁRIOS'!$C$5:$C$500,$A81,'LANÇAMENTOS DIÁRIOS'!$O$5:$O$500,"&lt;=123279",'LANÇAMENTOS DIÁRIOS'!$P$5:$P$500,"&gt;=123180")&gt;0,"X","")</f>
      </c>
      <c r="BI81" s="56" t="str">
        <f>IF(COUNTIFS('LANÇAMENTOS DIÁRIOS'!$G$5:$G$500,"G",'LANÇAMENTOS DIÁRIOS'!$C$5:$C$500,$A81,'LANÇAMENTOS DIÁRIOS'!$O$5:$O$500,"&lt;=123379",'LANÇAMENTOS DIÁRIOS'!$P$5:$P$500,"&gt;=123280")&gt;0,"X","")</f>
      </c>
      <c r="BJ81" s="56" t="str">
        <f>IF(COUNTIFS('LANÇAMENTOS DIÁRIOS'!$G$5:$G$500,"G",'LANÇAMENTOS DIÁRIOS'!$C$5:$C$500,$A81,'LANÇAMENTOS DIÁRIOS'!$O$5:$O$500,"&lt;=123479",'LANÇAMENTOS DIÁRIOS'!$P$5:$P$500,"&gt;=123380")&gt;0,"X","")</f>
      </c>
      <c r="BK81" s="56" t="str">
        <f>IF(COUNTIFS('LANÇAMENTOS DIÁRIOS'!$G$5:$G$500,"G",'LANÇAMENTOS DIÁRIOS'!$C$5:$C$500,$A81,'LANÇAMENTOS DIÁRIOS'!$O$5:$O$500,"&lt;=123480",'LANÇAMENTOS DIÁRIOS'!$P$5:$P$500,"&gt;=123480")&gt;0,"X","")</f>
      </c>
    </row>
    <row r="82">
      <c r="A82" s="51" t="str">
        <v>Solo brita 30/70</v>
      </c>
      <c r="B82" s="56" t="str">
        <f>IF(COUNTIFS('LANÇAMENTOS DIÁRIOS'!$G$5:$G$500,"G",'LANÇAMENTOS DIÁRIOS'!$C$5:$C$500,$A82,'LANÇAMENTOS DIÁRIOS'!$O$5:$O$500,"&lt;=117479",'LANÇAMENTOS DIÁRIOS'!$P$5:$P$500,"&gt;=117380")&gt;0,"X","")</f>
      </c>
      <c r="C82" s="56" t="str">
        <f>IF(COUNTIFS('LANÇAMENTOS DIÁRIOS'!$G$5:$G$500,"G",'LANÇAMENTOS DIÁRIOS'!$C$5:$C$500,$A82,'LANÇAMENTOS DIÁRIOS'!$O$5:$O$500,"&lt;=117579",'LANÇAMENTOS DIÁRIOS'!$P$5:$P$500,"&gt;=117480")&gt;0,"X","")</f>
      </c>
      <c r="D82" s="56" t="str">
        <f>IF(COUNTIFS('LANÇAMENTOS DIÁRIOS'!$G$5:$G$500,"G",'LANÇAMENTOS DIÁRIOS'!$C$5:$C$500,$A82,'LANÇAMENTOS DIÁRIOS'!$O$5:$O$500,"&lt;=117679",'LANÇAMENTOS DIÁRIOS'!$P$5:$P$500,"&gt;=117580")&gt;0,"X","")</f>
      </c>
      <c r="E82" s="56" t="str">
        <f>IF(COUNTIFS('LANÇAMENTOS DIÁRIOS'!$G$5:$G$500,"G",'LANÇAMENTOS DIÁRIOS'!$C$5:$C$500,$A82,'LANÇAMENTOS DIÁRIOS'!$O$5:$O$500,"&lt;=117779",'LANÇAMENTOS DIÁRIOS'!$P$5:$P$500,"&gt;=117680")&gt;0,"X","")</f>
      </c>
      <c r="F82" s="56" t="str">
        <f>IF(COUNTIFS('LANÇAMENTOS DIÁRIOS'!$G$5:$G$500,"G",'LANÇAMENTOS DIÁRIOS'!$C$5:$C$500,$A82,'LANÇAMENTOS DIÁRIOS'!$O$5:$O$500,"&lt;=117879",'LANÇAMENTOS DIÁRIOS'!$P$5:$P$500,"&gt;=117780")&gt;0,"X","")</f>
      </c>
      <c r="G82" s="56" t="str">
        <f>IF(COUNTIFS('LANÇAMENTOS DIÁRIOS'!$G$5:$G$500,"G",'LANÇAMENTOS DIÁRIOS'!$C$5:$C$500,$A82,'LANÇAMENTOS DIÁRIOS'!$O$5:$O$500,"&lt;=117979",'LANÇAMENTOS DIÁRIOS'!$P$5:$P$500,"&gt;=117880")&gt;0,"X","")</f>
      </c>
      <c r="H82" s="56" t="str">
        <f>IF(COUNTIFS('LANÇAMENTOS DIÁRIOS'!$G$5:$G$500,"G",'LANÇAMENTOS DIÁRIOS'!$C$5:$C$500,$A82,'LANÇAMENTOS DIÁRIOS'!$O$5:$O$500,"&lt;=118079",'LANÇAMENTOS DIÁRIOS'!$P$5:$P$500,"&gt;=117980")&gt;0,"X","")</f>
      </c>
      <c r="I82" s="56" t="str">
        <f>IF(COUNTIFS('LANÇAMENTOS DIÁRIOS'!$G$5:$G$500,"G",'LANÇAMENTOS DIÁRIOS'!$C$5:$C$500,$A82,'LANÇAMENTOS DIÁRIOS'!$O$5:$O$500,"&lt;=118179",'LANÇAMENTOS DIÁRIOS'!$P$5:$P$500,"&gt;=118080")&gt;0,"X","")</f>
      </c>
      <c r="J82" s="56" t="str">
        <f>IF(COUNTIFS('LANÇAMENTOS DIÁRIOS'!$G$5:$G$500,"G",'LANÇAMENTOS DIÁRIOS'!$C$5:$C$500,$A82,'LANÇAMENTOS DIÁRIOS'!$O$5:$O$500,"&lt;=118279",'LANÇAMENTOS DIÁRIOS'!$P$5:$P$500,"&gt;=118180")&gt;0,"X","")</f>
      </c>
      <c r="K82" s="56" t="str">
        <f>IF(COUNTIFS('LANÇAMENTOS DIÁRIOS'!$G$5:$G$500,"G",'LANÇAMENTOS DIÁRIOS'!$C$5:$C$500,$A82,'LANÇAMENTOS DIÁRIOS'!$O$5:$O$500,"&lt;=118379",'LANÇAMENTOS DIÁRIOS'!$P$5:$P$500,"&gt;=118280")&gt;0,"X","")</f>
      </c>
      <c r="L82" s="56" t="str">
        <f>IF(COUNTIFS('LANÇAMENTOS DIÁRIOS'!$G$5:$G$500,"G",'LANÇAMENTOS DIÁRIOS'!$C$5:$C$500,$A82,'LANÇAMENTOS DIÁRIOS'!$O$5:$O$500,"&lt;=118479",'LANÇAMENTOS DIÁRIOS'!$P$5:$P$500,"&gt;=118380")&gt;0,"X","")</f>
      </c>
      <c r="M82" s="56" t="str">
        <f>IF(COUNTIFS('LANÇAMENTOS DIÁRIOS'!$G$5:$G$500,"G",'LANÇAMENTOS DIÁRIOS'!$C$5:$C$500,$A82,'LANÇAMENTOS DIÁRIOS'!$O$5:$O$500,"&lt;=118579",'LANÇAMENTOS DIÁRIOS'!$P$5:$P$500,"&gt;=118480")&gt;0,"X","")</f>
      </c>
      <c r="N82" s="56" t="str">
        <f>IF(COUNTIFS('LANÇAMENTOS DIÁRIOS'!$G$5:$G$500,"G",'LANÇAMENTOS DIÁRIOS'!$C$5:$C$500,$A82,'LANÇAMENTOS DIÁRIOS'!$O$5:$O$500,"&lt;=118679",'LANÇAMENTOS DIÁRIOS'!$P$5:$P$500,"&gt;=118580")&gt;0,"X","")</f>
      </c>
      <c r="O82" s="56" t="str">
        <f>IF(COUNTIFS('LANÇAMENTOS DIÁRIOS'!$G$5:$G$500,"G",'LANÇAMENTOS DIÁRIOS'!$C$5:$C$500,$A82,'LANÇAMENTOS DIÁRIOS'!$O$5:$O$500,"&lt;=118779",'LANÇAMENTOS DIÁRIOS'!$P$5:$P$500,"&gt;=118680")&gt;0,"X","")</f>
      </c>
      <c r="P82" s="56" t="str">
        <f>IF(COUNTIFS('LANÇAMENTOS DIÁRIOS'!$G$5:$G$500,"G",'LANÇAMENTOS DIÁRIOS'!$C$5:$C$500,$A82,'LANÇAMENTOS DIÁRIOS'!$O$5:$O$500,"&lt;=118879",'LANÇAMENTOS DIÁRIOS'!$P$5:$P$500,"&gt;=118780")&gt;0,"X","")</f>
      </c>
      <c r="Q82" s="56" t="str">
        <f>IF(COUNTIFS('LANÇAMENTOS DIÁRIOS'!$G$5:$G$500,"G",'LANÇAMENTOS DIÁRIOS'!$C$5:$C$500,$A82,'LANÇAMENTOS DIÁRIOS'!$O$5:$O$500,"&lt;=118979",'LANÇAMENTOS DIÁRIOS'!$P$5:$P$500,"&gt;=118880")&gt;0,"X","")</f>
      </c>
      <c r="R82" s="56" t="str">
        <f>IF(COUNTIFS('LANÇAMENTOS DIÁRIOS'!$G$5:$G$500,"G",'LANÇAMENTOS DIÁRIOS'!$C$5:$C$500,$A82,'LANÇAMENTOS DIÁRIOS'!$O$5:$O$500,"&lt;=119079",'LANÇAMENTOS DIÁRIOS'!$P$5:$P$500,"&gt;=118980")&gt;0,"X","")</f>
      </c>
      <c r="S82" s="56" t="str">
        <f>IF(COUNTIFS('LANÇAMENTOS DIÁRIOS'!$G$5:$G$500,"G",'LANÇAMENTOS DIÁRIOS'!$C$5:$C$500,$A82,'LANÇAMENTOS DIÁRIOS'!$O$5:$O$500,"&lt;=119179",'LANÇAMENTOS DIÁRIOS'!$P$5:$P$500,"&gt;=119080")&gt;0,"X","")</f>
      </c>
      <c r="T82" s="56" t="str">
        <f>IF(COUNTIFS('LANÇAMENTOS DIÁRIOS'!$G$5:$G$500,"G",'LANÇAMENTOS DIÁRIOS'!$C$5:$C$500,$A82,'LANÇAMENTOS DIÁRIOS'!$O$5:$O$500,"&lt;=119279",'LANÇAMENTOS DIÁRIOS'!$P$5:$P$500,"&gt;=119180")&gt;0,"X","")</f>
      </c>
      <c r="U82" s="56" t="str">
        <f>IF(COUNTIFS('LANÇAMENTOS DIÁRIOS'!$G$5:$G$500,"G",'LANÇAMENTOS DIÁRIOS'!$C$5:$C$500,$A82,'LANÇAMENTOS DIÁRIOS'!$O$5:$O$500,"&lt;=119379",'LANÇAMENTOS DIÁRIOS'!$P$5:$P$500,"&gt;=119280")&gt;0,"X","")</f>
      </c>
      <c r="V82" s="56" t="str">
        <f>IF(COUNTIFS('LANÇAMENTOS DIÁRIOS'!$G$5:$G$500,"G",'LANÇAMENTOS DIÁRIOS'!$C$5:$C$500,$A82,'LANÇAMENTOS DIÁRIOS'!$O$5:$O$500,"&lt;=119479",'LANÇAMENTOS DIÁRIOS'!$P$5:$P$500,"&gt;=119380")&gt;0,"X","")</f>
      </c>
      <c r="W82" s="56" t="str">
        <f>IF(COUNTIFS('LANÇAMENTOS DIÁRIOS'!$G$5:$G$500,"G",'LANÇAMENTOS DIÁRIOS'!$C$5:$C$500,$A82,'LANÇAMENTOS DIÁRIOS'!$O$5:$O$500,"&lt;=119579",'LANÇAMENTOS DIÁRIOS'!$P$5:$P$500,"&gt;=119480")&gt;0,"X","")</f>
      </c>
      <c r="X82" s="56" t="str">
        <f>IF(COUNTIFS('LANÇAMENTOS DIÁRIOS'!$G$5:$G$500,"G",'LANÇAMENTOS DIÁRIOS'!$C$5:$C$500,$A82,'LANÇAMENTOS DIÁRIOS'!$O$5:$O$500,"&lt;=119679",'LANÇAMENTOS DIÁRIOS'!$P$5:$P$500,"&gt;=119580")&gt;0,"X","")</f>
      </c>
      <c r="Y82" s="56" t="str">
        <f>IF(COUNTIFS('LANÇAMENTOS DIÁRIOS'!$G$5:$G$500,"G",'LANÇAMENTOS DIÁRIOS'!$C$5:$C$500,$A82,'LANÇAMENTOS DIÁRIOS'!$O$5:$O$500,"&lt;=119779",'LANÇAMENTOS DIÁRIOS'!$P$5:$P$500,"&gt;=119680")&gt;0,"X","")</f>
      </c>
      <c r="Z82" s="56" t="str">
        <f>IF(COUNTIFS('LANÇAMENTOS DIÁRIOS'!$G$5:$G$500,"G",'LANÇAMENTOS DIÁRIOS'!$C$5:$C$500,$A82,'LANÇAMENTOS DIÁRIOS'!$O$5:$O$500,"&lt;=119879",'LANÇAMENTOS DIÁRIOS'!$P$5:$P$500,"&gt;=119780")&gt;0,"X","")</f>
      </c>
      <c r="AA82" s="56" t="str">
        <f>IF(COUNTIFS('LANÇAMENTOS DIÁRIOS'!$G$5:$G$500,"G",'LANÇAMENTOS DIÁRIOS'!$C$5:$C$500,$A82,'LANÇAMENTOS DIÁRIOS'!$O$5:$O$500,"&lt;=119979",'LANÇAMENTOS DIÁRIOS'!$P$5:$P$500,"&gt;=119880")&gt;0,"X","")</f>
      </c>
      <c r="AB82" s="56" t="str">
        <f>IF(COUNTIFS('LANÇAMENTOS DIÁRIOS'!$G$5:$G$500,"G",'LANÇAMENTOS DIÁRIOS'!$C$5:$C$500,$A82,'LANÇAMENTOS DIÁRIOS'!$O$5:$O$500,"&lt;=120079",'LANÇAMENTOS DIÁRIOS'!$P$5:$P$500,"&gt;=119980")&gt;0,"X","")</f>
      </c>
      <c r="AC82" s="56" t="str">
        <f>IF(COUNTIFS('LANÇAMENTOS DIÁRIOS'!$G$5:$G$500,"G",'LANÇAMENTOS DIÁRIOS'!$C$5:$C$500,$A82,'LANÇAMENTOS DIÁRIOS'!$O$5:$O$500,"&lt;=120179",'LANÇAMENTOS DIÁRIOS'!$P$5:$P$500,"&gt;=120080")&gt;0,"X","")</f>
      </c>
      <c r="AD82" s="56" t="str">
        <f>IF(COUNTIFS('LANÇAMENTOS DIÁRIOS'!$G$5:$G$500,"G",'LANÇAMENTOS DIÁRIOS'!$C$5:$C$500,$A82,'LANÇAMENTOS DIÁRIOS'!$O$5:$O$500,"&lt;=120279",'LANÇAMENTOS DIÁRIOS'!$P$5:$P$500,"&gt;=120180")&gt;0,"X","")</f>
      </c>
      <c r="AE82" s="56" t="str">
        <f>IF(COUNTIFS('LANÇAMENTOS DIÁRIOS'!$G$5:$G$500,"G",'LANÇAMENTOS DIÁRIOS'!$C$5:$C$500,$A82,'LANÇAMENTOS DIÁRIOS'!$O$5:$O$500,"&lt;=120379",'LANÇAMENTOS DIÁRIOS'!$P$5:$P$500,"&gt;=120280")&gt;0,"X","")</f>
      </c>
      <c r="AF82" s="56" t="str">
        <f>IF(COUNTIFS('LANÇAMENTOS DIÁRIOS'!$G$5:$G$500,"G",'LANÇAMENTOS DIÁRIOS'!$C$5:$C$500,$A82,'LANÇAMENTOS DIÁRIOS'!$O$5:$O$500,"&lt;=120479",'LANÇAMENTOS DIÁRIOS'!$P$5:$P$500,"&gt;=120380")&gt;0,"X","")</f>
      </c>
      <c r="AG82" s="56" t="str">
        <f>IF(COUNTIFS('LANÇAMENTOS DIÁRIOS'!$G$5:$G$500,"G",'LANÇAMENTOS DIÁRIOS'!$C$5:$C$500,$A82,'LANÇAMENTOS DIÁRIOS'!$O$5:$O$500,"&lt;=120579",'LANÇAMENTOS DIÁRIOS'!$P$5:$P$500,"&gt;=120480")&gt;0,"X","")</f>
      </c>
      <c r="AH82" s="56" t="str">
        <f>IF(COUNTIFS('LANÇAMENTOS DIÁRIOS'!$G$5:$G$500,"G",'LANÇAMENTOS DIÁRIOS'!$C$5:$C$500,$A82,'LANÇAMENTOS DIÁRIOS'!$O$5:$O$500,"&lt;=120679",'LANÇAMENTOS DIÁRIOS'!$P$5:$P$500,"&gt;=120580")&gt;0,"X","")</f>
      </c>
      <c r="AI82" s="56" t="str">
        <f>IF(COUNTIFS('LANÇAMENTOS DIÁRIOS'!$G$5:$G$500,"G",'LANÇAMENTOS DIÁRIOS'!$C$5:$C$500,$A82,'LANÇAMENTOS DIÁRIOS'!$O$5:$O$500,"&lt;=120779",'LANÇAMENTOS DIÁRIOS'!$P$5:$P$500,"&gt;=120680")&gt;0,"X","")</f>
      </c>
      <c r="AJ82" s="56" t="str">
        <f>IF(COUNTIFS('LANÇAMENTOS DIÁRIOS'!$G$5:$G$500,"G",'LANÇAMENTOS DIÁRIOS'!$C$5:$C$500,$A82,'LANÇAMENTOS DIÁRIOS'!$O$5:$O$500,"&lt;=120879",'LANÇAMENTOS DIÁRIOS'!$P$5:$P$500,"&gt;=120780")&gt;0,"X","")</f>
      </c>
      <c r="AK82" s="56" t="str">
        <f>IF(COUNTIFS('LANÇAMENTOS DIÁRIOS'!$G$5:$G$500,"G",'LANÇAMENTOS DIÁRIOS'!$C$5:$C$500,$A82,'LANÇAMENTOS DIÁRIOS'!$O$5:$O$500,"&lt;=120979",'LANÇAMENTOS DIÁRIOS'!$P$5:$P$500,"&gt;=120880")&gt;0,"X","")</f>
      </c>
      <c r="AL82" s="56" t="str">
        <f>IF(COUNTIFS('LANÇAMENTOS DIÁRIOS'!$G$5:$G$500,"G",'LANÇAMENTOS DIÁRIOS'!$C$5:$C$500,$A82,'LANÇAMENTOS DIÁRIOS'!$O$5:$O$500,"&lt;=121079",'LANÇAMENTOS DIÁRIOS'!$P$5:$P$500,"&gt;=120980")&gt;0,"X","")</f>
      </c>
      <c r="AM82" s="56" t="str">
        <f>IF(COUNTIFS('LANÇAMENTOS DIÁRIOS'!$G$5:$G$500,"G",'LANÇAMENTOS DIÁRIOS'!$C$5:$C$500,$A82,'LANÇAMENTOS DIÁRIOS'!$O$5:$O$500,"&lt;=121179",'LANÇAMENTOS DIÁRIOS'!$P$5:$P$500,"&gt;=121080")&gt;0,"X","")</f>
      </c>
      <c r="AN82" s="56" t="str">
        <f>IF(COUNTIFS('LANÇAMENTOS DIÁRIOS'!$G$5:$G$500,"G",'LANÇAMENTOS DIÁRIOS'!$C$5:$C$500,$A82,'LANÇAMENTOS DIÁRIOS'!$O$5:$O$500,"&lt;=121279",'LANÇAMENTOS DIÁRIOS'!$P$5:$P$500,"&gt;=121180")&gt;0,"X","")</f>
      </c>
      <c r="AO82" s="56" t="str">
        <f>IF(COUNTIFS('LANÇAMENTOS DIÁRIOS'!$G$5:$G$500,"G",'LANÇAMENTOS DIÁRIOS'!$C$5:$C$500,$A82,'LANÇAMENTOS DIÁRIOS'!$O$5:$O$500,"&lt;=121379",'LANÇAMENTOS DIÁRIOS'!$P$5:$P$500,"&gt;=121280")&gt;0,"X","")</f>
      </c>
      <c r="AP82" s="56" t="str">
        <f>IF(COUNTIFS('LANÇAMENTOS DIÁRIOS'!$G$5:$G$500,"G",'LANÇAMENTOS DIÁRIOS'!$C$5:$C$500,$A82,'LANÇAMENTOS DIÁRIOS'!$O$5:$O$500,"&lt;=121479",'LANÇAMENTOS DIÁRIOS'!$P$5:$P$500,"&gt;=121380")&gt;0,"X","")</f>
      </c>
      <c r="AQ82" s="56" t="str">
        <f>IF(COUNTIFS('LANÇAMENTOS DIÁRIOS'!$G$5:$G$500,"G",'LANÇAMENTOS DIÁRIOS'!$C$5:$C$500,$A82,'LANÇAMENTOS DIÁRIOS'!$O$5:$O$500,"&lt;=121579",'LANÇAMENTOS DIÁRIOS'!$P$5:$P$500,"&gt;=121480")&gt;0,"X","")</f>
      </c>
      <c r="AR82" s="56" t="str">
        <f>IF(COUNTIFS('LANÇAMENTOS DIÁRIOS'!$G$5:$G$500,"G",'LANÇAMENTOS DIÁRIOS'!$C$5:$C$500,$A82,'LANÇAMENTOS DIÁRIOS'!$O$5:$O$500,"&lt;=121679",'LANÇAMENTOS DIÁRIOS'!$P$5:$P$500,"&gt;=121580")&gt;0,"X","")</f>
      </c>
      <c r="AS82" s="56" t="str">
        <f>IF(COUNTIFS('LANÇAMENTOS DIÁRIOS'!$G$5:$G$500,"G",'LANÇAMENTOS DIÁRIOS'!$C$5:$C$500,$A82,'LANÇAMENTOS DIÁRIOS'!$O$5:$O$500,"&lt;=121779",'LANÇAMENTOS DIÁRIOS'!$P$5:$P$500,"&gt;=121680")&gt;0,"X","")</f>
      </c>
      <c r="AT82" s="56" t="str">
        <f>IF(COUNTIFS('LANÇAMENTOS DIÁRIOS'!$G$5:$G$500,"G",'LANÇAMENTOS DIÁRIOS'!$C$5:$C$500,$A82,'LANÇAMENTOS DIÁRIOS'!$O$5:$O$500,"&lt;=121879",'LANÇAMENTOS DIÁRIOS'!$P$5:$P$500,"&gt;=121780")&gt;0,"X","")</f>
      </c>
      <c r="AU82" s="56" t="str">
        <f>IF(COUNTIFS('LANÇAMENTOS DIÁRIOS'!$G$5:$G$500,"G",'LANÇAMENTOS DIÁRIOS'!$C$5:$C$500,$A82,'LANÇAMENTOS DIÁRIOS'!$O$5:$O$500,"&lt;=121979",'LANÇAMENTOS DIÁRIOS'!$P$5:$P$500,"&gt;=121880")&gt;0,"X","")</f>
      </c>
      <c r="AV82" s="56" t="str">
        <f>IF(COUNTIFS('LANÇAMENTOS DIÁRIOS'!$G$5:$G$500,"G",'LANÇAMENTOS DIÁRIOS'!$C$5:$C$500,$A82,'LANÇAMENTOS DIÁRIOS'!$O$5:$O$500,"&lt;=122079",'LANÇAMENTOS DIÁRIOS'!$P$5:$P$500,"&gt;=121980")&gt;0,"X","")</f>
      </c>
      <c r="AW82" s="56" t="str">
        <f>IF(COUNTIFS('LANÇAMENTOS DIÁRIOS'!$G$5:$G$500,"G",'LANÇAMENTOS DIÁRIOS'!$C$5:$C$500,$A82,'LANÇAMENTOS DIÁRIOS'!$O$5:$O$500,"&lt;=122179",'LANÇAMENTOS DIÁRIOS'!$P$5:$P$500,"&gt;=122080")&gt;0,"X","")</f>
      </c>
      <c r="AX82" s="56" t="str">
        <f>IF(COUNTIFS('LANÇAMENTOS DIÁRIOS'!$G$5:$G$500,"G",'LANÇAMENTOS DIÁRIOS'!$C$5:$C$500,$A82,'LANÇAMENTOS DIÁRIOS'!$O$5:$O$500,"&lt;=122279",'LANÇAMENTOS DIÁRIOS'!$P$5:$P$500,"&gt;=122180")&gt;0,"X","")</f>
      </c>
      <c r="AY82" s="56" t="str">
        <f>IF(COUNTIFS('LANÇAMENTOS DIÁRIOS'!$G$5:$G$500,"G",'LANÇAMENTOS DIÁRIOS'!$C$5:$C$500,$A82,'LANÇAMENTOS DIÁRIOS'!$O$5:$O$500,"&lt;=122379",'LANÇAMENTOS DIÁRIOS'!$P$5:$P$500,"&gt;=122280")&gt;0,"X","")</f>
      </c>
      <c r="AZ82" s="56" t="str">
        <f>IF(COUNTIFS('LANÇAMENTOS DIÁRIOS'!$G$5:$G$500,"G",'LANÇAMENTOS DIÁRIOS'!$C$5:$C$500,$A82,'LANÇAMENTOS DIÁRIOS'!$O$5:$O$500,"&lt;=122479",'LANÇAMENTOS DIÁRIOS'!$P$5:$P$500,"&gt;=122380")&gt;0,"X","")</f>
      </c>
      <c r="BA82" s="56" t="str">
        <f>IF(COUNTIFS('LANÇAMENTOS DIÁRIOS'!$G$5:$G$500,"G",'LANÇAMENTOS DIÁRIOS'!$C$5:$C$500,$A82,'LANÇAMENTOS DIÁRIOS'!$O$5:$O$500,"&lt;=122579",'LANÇAMENTOS DIÁRIOS'!$P$5:$P$500,"&gt;=122480")&gt;0,"X","")</f>
      </c>
      <c r="BB82" s="56" t="str">
        <f>IF(COUNTIFS('LANÇAMENTOS DIÁRIOS'!$G$5:$G$500,"G",'LANÇAMENTOS DIÁRIOS'!$C$5:$C$500,$A82,'LANÇAMENTOS DIÁRIOS'!$O$5:$O$500,"&lt;=122679",'LANÇAMENTOS DIÁRIOS'!$P$5:$P$500,"&gt;=122580")&gt;0,"X","")</f>
      </c>
      <c r="BC82" s="56" t="str">
        <f>IF(COUNTIFS('LANÇAMENTOS DIÁRIOS'!$G$5:$G$500,"G",'LANÇAMENTOS DIÁRIOS'!$C$5:$C$500,$A82,'LANÇAMENTOS DIÁRIOS'!$O$5:$O$500,"&lt;=122779",'LANÇAMENTOS DIÁRIOS'!$P$5:$P$500,"&gt;=122680")&gt;0,"X","")</f>
      </c>
      <c r="BD82" s="56" t="str">
        <f>IF(COUNTIFS('LANÇAMENTOS DIÁRIOS'!$G$5:$G$500,"G",'LANÇAMENTOS DIÁRIOS'!$C$5:$C$500,$A82,'LANÇAMENTOS DIÁRIOS'!$O$5:$O$500,"&lt;=122879",'LANÇAMENTOS DIÁRIOS'!$P$5:$P$500,"&gt;=122780")&gt;0,"X","")</f>
      </c>
      <c r="BE82" s="56" t="str">
        <f>IF(COUNTIFS('LANÇAMENTOS DIÁRIOS'!$G$5:$G$500,"G",'LANÇAMENTOS DIÁRIOS'!$C$5:$C$500,$A82,'LANÇAMENTOS DIÁRIOS'!$O$5:$O$500,"&lt;=122979",'LANÇAMENTOS DIÁRIOS'!$P$5:$P$500,"&gt;=122880")&gt;0,"X","")</f>
      </c>
      <c r="BF82" s="56" t="str">
        <f>IF(COUNTIFS('LANÇAMENTOS DIÁRIOS'!$G$5:$G$500,"G",'LANÇAMENTOS DIÁRIOS'!$C$5:$C$500,$A82,'LANÇAMENTOS DIÁRIOS'!$O$5:$O$500,"&lt;=123079",'LANÇAMENTOS DIÁRIOS'!$P$5:$P$500,"&gt;=122980")&gt;0,"X","")</f>
      </c>
      <c r="BG82" s="56" t="str">
        <f>IF(COUNTIFS('LANÇAMENTOS DIÁRIOS'!$G$5:$G$500,"G",'LANÇAMENTOS DIÁRIOS'!$C$5:$C$500,$A82,'LANÇAMENTOS DIÁRIOS'!$O$5:$O$500,"&lt;=123179",'LANÇAMENTOS DIÁRIOS'!$P$5:$P$500,"&gt;=123080")&gt;0,"X","")</f>
      </c>
      <c r="BH82" s="56" t="str">
        <f>IF(COUNTIFS('LANÇAMENTOS DIÁRIOS'!$G$5:$G$500,"G",'LANÇAMENTOS DIÁRIOS'!$C$5:$C$500,$A82,'LANÇAMENTOS DIÁRIOS'!$O$5:$O$500,"&lt;=123279",'LANÇAMENTOS DIÁRIOS'!$P$5:$P$500,"&gt;=123180")&gt;0,"X","")</f>
      </c>
      <c r="BI82" s="56" t="str">
        <f>IF(COUNTIFS('LANÇAMENTOS DIÁRIOS'!$G$5:$G$500,"G",'LANÇAMENTOS DIÁRIOS'!$C$5:$C$500,$A82,'LANÇAMENTOS DIÁRIOS'!$O$5:$O$500,"&lt;=123379",'LANÇAMENTOS DIÁRIOS'!$P$5:$P$500,"&gt;=123280")&gt;0,"X","")</f>
      </c>
      <c r="BJ82" s="56" t="str">
        <f>IF(COUNTIFS('LANÇAMENTOS DIÁRIOS'!$G$5:$G$500,"G",'LANÇAMENTOS DIÁRIOS'!$C$5:$C$500,$A82,'LANÇAMENTOS DIÁRIOS'!$O$5:$O$500,"&lt;=123479",'LANÇAMENTOS DIÁRIOS'!$P$5:$P$500,"&gt;=123380")&gt;0,"X","")</f>
      </c>
      <c r="BK82" s="56" t="str">
        <f>IF(COUNTIFS('LANÇAMENTOS DIÁRIOS'!$G$5:$G$500,"G",'LANÇAMENTOS DIÁRIOS'!$C$5:$C$500,$A82,'LANÇAMENTOS DIÁRIOS'!$O$5:$O$500,"&lt;=123480",'LANÇAMENTOS DIÁRIOS'!$P$5:$P$500,"&gt;=123480")&gt;0,"X","")</f>
      </c>
    </row>
    <row r="83" ht="19" customHeight="1">
      <c r="A83" s="68" t="str">
        <v>Construção da camada de revestimento</v>
      </c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</row>
    <row r="84">
      <c r="A84" s="51" t="str">
        <v>Imprimadura impermeabilizante com EAI - Sem o fornecimento dos materias</v>
      </c>
      <c r="B84" s="56" t="str">
        <f>IF(COUNTIFS('LANÇAMENTOS DIÁRIOS'!$G$5:$G$500,"G",'LANÇAMENTOS DIÁRIOS'!$C$5:$C$500,$A84,'LANÇAMENTOS DIÁRIOS'!$O$5:$O$500,"&lt;=117479",'LANÇAMENTOS DIÁRIOS'!$P$5:$P$500,"&gt;=117380")&gt;0,"X","")</f>
      </c>
      <c r="C84" s="56" t="str">
        <f>IF(COUNTIFS('LANÇAMENTOS DIÁRIOS'!$G$5:$G$500,"G",'LANÇAMENTOS DIÁRIOS'!$C$5:$C$500,$A84,'LANÇAMENTOS DIÁRIOS'!$O$5:$O$500,"&lt;=117579",'LANÇAMENTOS DIÁRIOS'!$P$5:$P$500,"&gt;=117480")&gt;0,"X","")</f>
      </c>
      <c r="D84" s="56" t="str">
        <f>IF(COUNTIFS('LANÇAMENTOS DIÁRIOS'!$G$5:$G$500,"G",'LANÇAMENTOS DIÁRIOS'!$C$5:$C$500,$A84,'LANÇAMENTOS DIÁRIOS'!$O$5:$O$500,"&lt;=117679",'LANÇAMENTOS DIÁRIOS'!$P$5:$P$500,"&gt;=117580")&gt;0,"X","")</f>
      </c>
      <c r="E84" s="56" t="str">
        <f>IF(COUNTIFS('LANÇAMENTOS DIÁRIOS'!$G$5:$G$500,"G",'LANÇAMENTOS DIÁRIOS'!$C$5:$C$500,$A84,'LANÇAMENTOS DIÁRIOS'!$O$5:$O$500,"&lt;=117779",'LANÇAMENTOS DIÁRIOS'!$P$5:$P$500,"&gt;=117680")&gt;0,"X","")</f>
      </c>
      <c r="F84" s="56" t="str">
        <f>IF(COUNTIFS('LANÇAMENTOS DIÁRIOS'!$G$5:$G$500,"G",'LANÇAMENTOS DIÁRIOS'!$C$5:$C$500,$A84,'LANÇAMENTOS DIÁRIOS'!$O$5:$O$500,"&lt;=117879",'LANÇAMENTOS DIÁRIOS'!$P$5:$P$500,"&gt;=117780")&gt;0,"X","")</f>
      </c>
      <c r="G84" s="56" t="str">
        <f>IF(COUNTIFS('LANÇAMENTOS DIÁRIOS'!$G$5:$G$500,"G",'LANÇAMENTOS DIÁRIOS'!$C$5:$C$500,$A84,'LANÇAMENTOS DIÁRIOS'!$O$5:$O$500,"&lt;=117979",'LANÇAMENTOS DIÁRIOS'!$P$5:$P$500,"&gt;=117880")&gt;0,"X","")</f>
      </c>
      <c r="H84" s="56" t="str">
        <f>IF(COUNTIFS('LANÇAMENTOS DIÁRIOS'!$G$5:$G$500,"G",'LANÇAMENTOS DIÁRIOS'!$C$5:$C$500,$A84,'LANÇAMENTOS DIÁRIOS'!$O$5:$O$500,"&lt;=118079",'LANÇAMENTOS DIÁRIOS'!$P$5:$P$500,"&gt;=117980")&gt;0,"X","")</f>
      </c>
      <c r="I84" s="56" t="str">
        <f>IF(COUNTIFS('LANÇAMENTOS DIÁRIOS'!$G$5:$G$500,"G",'LANÇAMENTOS DIÁRIOS'!$C$5:$C$500,$A84,'LANÇAMENTOS DIÁRIOS'!$O$5:$O$500,"&lt;=118179",'LANÇAMENTOS DIÁRIOS'!$P$5:$P$500,"&gt;=118080")&gt;0,"X","")</f>
      </c>
      <c r="J84" s="56" t="str">
        <f>IF(COUNTIFS('LANÇAMENTOS DIÁRIOS'!$G$5:$G$500,"G",'LANÇAMENTOS DIÁRIOS'!$C$5:$C$500,$A84,'LANÇAMENTOS DIÁRIOS'!$O$5:$O$500,"&lt;=118279",'LANÇAMENTOS DIÁRIOS'!$P$5:$P$500,"&gt;=118180")&gt;0,"X","")</f>
      </c>
      <c r="K84" s="56" t="str">
        <f>IF(COUNTIFS('LANÇAMENTOS DIÁRIOS'!$G$5:$G$500,"G",'LANÇAMENTOS DIÁRIOS'!$C$5:$C$500,$A84,'LANÇAMENTOS DIÁRIOS'!$O$5:$O$500,"&lt;=118379",'LANÇAMENTOS DIÁRIOS'!$P$5:$P$500,"&gt;=118280")&gt;0,"X","")</f>
      </c>
      <c r="L84" s="56" t="str">
        <f>IF(COUNTIFS('LANÇAMENTOS DIÁRIOS'!$G$5:$G$500,"G",'LANÇAMENTOS DIÁRIOS'!$C$5:$C$500,$A84,'LANÇAMENTOS DIÁRIOS'!$O$5:$O$500,"&lt;=118479",'LANÇAMENTOS DIÁRIOS'!$P$5:$P$500,"&gt;=118380")&gt;0,"X","")</f>
      </c>
      <c r="M84" s="56" t="str">
        <f>IF(COUNTIFS('LANÇAMENTOS DIÁRIOS'!$G$5:$G$500,"G",'LANÇAMENTOS DIÁRIOS'!$C$5:$C$500,$A84,'LANÇAMENTOS DIÁRIOS'!$O$5:$O$500,"&lt;=118579",'LANÇAMENTOS DIÁRIOS'!$P$5:$P$500,"&gt;=118480")&gt;0,"X","")</f>
      </c>
      <c r="N84" s="56" t="str">
        <f>IF(COUNTIFS('LANÇAMENTOS DIÁRIOS'!$G$5:$G$500,"G",'LANÇAMENTOS DIÁRIOS'!$C$5:$C$500,$A84,'LANÇAMENTOS DIÁRIOS'!$O$5:$O$500,"&lt;=118679",'LANÇAMENTOS DIÁRIOS'!$P$5:$P$500,"&gt;=118580")&gt;0,"X","")</f>
      </c>
      <c r="O84" s="56" t="str">
        <f>IF(COUNTIFS('LANÇAMENTOS DIÁRIOS'!$G$5:$G$500,"G",'LANÇAMENTOS DIÁRIOS'!$C$5:$C$500,$A84,'LANÇAMENTOS DIÁRIOS'!$O$5:$O$500,"&lt;=118779",'LANÇAMENTOS DIÁRIOS'!$P$5:$P$500,"&gt;=118680")&gt;0,"X","")</f>
      </c>
      <c r="P84" s="56" t="str">
        <f>IF(COUNTIFS('LANÇAMENTOS DIÁRIOS'!$G$5:$G$500,"G",'LANÇAMENTOS DIÁRIOS'!$C$5:$C$500,$A84,'LANÇAMENTOS DIÁRIOS'!$O$5:$O$500,"&lt;=118879",'LANÇAMENTOS DIÁRIOS'!$P$5:$P$500,"&gt;=118780")&gt;0,"X","")</f>
      </c>
      <c r="Q84" s="56" t="str">
        <f>IF(COUNTIFS('LANÇAMENTOS DIÁRIOS'!$G$5:$G$500,"G",'LANÇAMENTOS DIÁRIOS'!$C$5:$C$500,$A84,'LANÇAMENTOS DIÁRIOS'!$O$5:$O$500,"&lt;=118979",'LANÇAMENTOS DIÁRIOS'!$P$5:$P$500,"&gt;=118880")&gt;0,"X","")</f>
      </c>
      <c r="R84" s="56" t="str">
        <f>IF(COUNTIFS('LANÇAMENTOS DIÁRIOS'!$G$5:$G$500,"G",'LANÇAMENTOS DIÁRIOS'!$C$5:$C$500,$A84,'LANÇAMENTOS DIÁRIOS'!$O$5:$O$500,"&lt;=119079",'LANÇAMENTOS DIÁRIOS'!$P$5:$P$500,"&gt;=118980")&gt;0,"X","")</f>
      </c>
      <c r="S84" s="56" t="str">
        <f>IF(COUNTIFS('LANÇAMENTOS DIÁRIOS'!$G$5:$G$500,"G",'LANÇAMENTOS DIÁRIOS'!$C$5:$C$500,$A84,'LANÇAMENTOS DIÁRIOS'!$O$5:$O$500,"&lt;=119179",'LANÇAMENTOS DIÁRIOS'!$P$5:$P$500,"&gt;=119080")&gt;0,"X","")</f>
      </c>
      <c r="T84" s="56" t="str">
        <f>IF(COUNTIFS('LANÇAMENTOS DIÁRIOS'!$G$5:$G$500,"G",'LANÇAMENTOS DIÁRIOS'!$C$5:$C$500,$A84,'LANÇAMENTOS DIÁRIOS'!$O$5:$O$500,"&lt;=119279",'LANÇAMENTOS DIÁRIOS'!$P$5:$P$500,"&gt;=119180")&gt;0,"X","")</f>
      </c>
      <c r="U84" s="56" t="str">
        <f>IF(COUNTIFS('LANÇAMENTOS DIÁRIOS'!$G$5:$G$500,"G",'LANÇAMENTOS DIÁRIOS'!$C$5:$C$500,$A84,'LANÇAMENTOS DIÁRIOS'!$O$5:$O$500,"&lt;=119379",'LANÇAMENTOS DIÁRIOS'!$P$5:$P$500,"&gt;=119280")&gt;0,"X","")</f>
      </c>
      <c r="V84" s="56" t="str">
        <f>IF(COUNTIFS('LANÇAMENTOS DIÁRIOS'!$G$5:$G$500,"G",'LANÇAMENTOS DIÁRIOS'!$C$5:$C$500,$A84,'LANÇAMENTOS DIÁRIOS'!$O$5:$O$500,"&lt;=119479",'LANÇAMENTOS DIÁRIOS'!$P$5:$P$500,"&gt;=119380")&gt;0,"X","")</f>
      </c>
      <c r="W84" s="56" t="str">
        <f>IF(COUNTIFS('LANÇAMENTOS DIÁRIOS'!$G$5:$G$500,"G",'LANÇAMENTOS DIÁRIOS'!$C$5:$C$500,$A84,'LANÇAMENTOS DIÁRIOS'!$O$5:$O$500,"&lt;=119579",'LANÇAMENTOS DIÁRIOS'!$P$5:$P$500,"&gt;=119480")&gt;0,"X","")</f>
      </c>
      <c r="X84" s="56" t="str">
        <f>IF(COUNTIFS('LANÇAMENTOS DIÁRIOS'!$G$5:$G$500,"G",'LANÇAMENTOS DIÁRIOS'!$C$5:$C$500,$A84,'LANÇAMENTOS DIÁRIOS'!$O$5:$O$500,"&lt;=119679",'LANÇAMENTOS DIÁRIOS'!$P$5:$P$500,"&gt;=119580")&gt;0,"X","")</f>
      </c>
      <c r="Y84" s="56" t="str">
        <f>IF(COUNTIFS('LANÇAMENTOS DIÁRIOS'!$G$5:$G$500,"G",'LANÇAMENTOS DIÁRIOS'!$C$5:$C$500,$A84,'LANÇAMENTOS DIÁRIOS'!$O$5:$O$500,"&lt;=119779",'LANÇAMENTOS DIÁRIOS'!$P$5:$P$500,"&gt;=119680")&gt;0,"X","")</f>
      </c>
      <c r="Z84" s="56" t="str">
        <f>IF(COUNTIFS('LANÇAMENTOS DIÁRIOS'!$G$5:$G$500,"G",'LANÇAMENTOS DIÁRIOS'!$C$5:$C$500,$A84,'LANÇAMENTOS DIÁRIOS'!$O$5:$O$500,"&lt;=119879",'LANÇAMENTOS DIÁRIOS'!$P$5:$P$500,"&gt;=119780")&gt;0,"X","")</f>
      </c>
      <c r="AA84" s="56" t="str">
        <f>IF(COUNTIFS('LANÇAMENTOS DIÁRIOS'!$G$5:$G$500,"G",'LANÇAMENTOS DIÁRIOS'!$C$5:$C$500,$A84,'LANÇAMENTOS DIÁRIOS'!$O$5:$O$500,"&lt;=119979",'LANÇAMENTOS DIÁRIOS'!$P$5:$P$500,"&gt;=119880")&gt;0,"X","")</f>
      </c>
      <c r="AB84" s="56" t="str">
        <f>IF(COUNTIFS('LANÇAMENTOS DIÁRIOS'!$G$5:$G$500,"G",'LANÇAMENTOS DIÁRIOS'!$C$5:$C$500,$A84,'LANÇAMENTOS DIÁRIOS'!$O$5:$O$500,"&lt;=120079",'LANÇAMENTOS DIÁRIOS'!$P$5:$P$500,"&gt;=119980")&gt;0,"X","")</f>
      </c>
      <c r="AC84" s="56" t="str">
        <f>IF(COUNTIFS('LANÇAMENTOS DIÁRIOS'!$G$5:$G$500,"G",'LANÇAMENTOS DIÁRIOS'!$C$5:$C$500,$A84,'LANÇAMENTOS DIÁRIOS'!$O$5:$O$500,"&lt;=120179",'LANÇAMENTOS DIÁRIOS'!$P$5:$P$500,"&gt;=120080")&gt;0,"X","")</f>
      </c>
      <c r="AD84" s="56" t="str">
        <f>IF(COUNTIFS('LANÇAMENTOS DIÁRIOS'!$G$5:$G$500,"G",'LANÇAMENTOS DIÁRIOS'!$C$5:$C$500,$A84,'LANÇAMENTOS DIÁRIOS'!$O$5:$O$500,"&lt;=120279",'LANÇAMENTOS DIÁRIOS'!$P$5:$P$500,"&gt;=120180")&gt;0,"X","")</f>
      </c>
      <c r="AE84" s="56" t="str">
        <f>IF(COUNTIFS('LANÇAMENTOS DIÁRIOS'!$G$5:$G$500,"G",'LANÇAMENTOS DIÁRIOS'!$C$5:$C$500,$A84,'LANÇAMENTOS DIÁRIOS'!$O$5:$O$500,"&lt;=120379",'LANÇAMENTOS DIÁRIOS'!$P$5:$P$500,"&gt;=120280")&gt;0,"X","")</f>
      </c>
      <c r="AF84" s="56" t="str">
        <f>IF(COUNTIFS('LANÇAMENTOS DIÁRIOS'!$G$5:$G$500,"G",'LANÇAMENTOS DIÁRIOS'!$C$5:$C$500,$A84,'LANÇAMENTOS DIÁRIOS'!$O$5:$O$500,"&lt;=120479",'LANÇAMENTOS DIÁRIOS'!$P$5:$P$500,"&gt;=120380")&gt;0,"X","")</f>
      </c>
      <c r="AG84" s="56" t="str">
        <f>IF(COUNTIFS('LANÇAMENTOS DIÁRIOS'!$G$5:$G$500,"G",'LANÇAMENTOS DIÁRIOS'!$C$5:$C$500,$A84,'LANÇAMENTOS DIÁRIOS'!$O$5:$O$500,"&lt;=120579",'LANÇAMENTOS DIÁRIOS'!$P$5:$P$500,"&gt;=120480")&gt;0,"X","")</f>
      </c>
      <c r="AH84" s="56" t="str">
        <f>IF(COUNTIFS('LANÇAMENTOS DIÁRIOS'!$G$5:$G$500,"G",'LANÇAMENTOS DIÁRIOS'!$C$5:$C$500,$A84,'LANÇAMENTOS DIÁRIOS'!$O$5:$O$500,"&lt;=120679",'LANÇAMENTOS DIÁRIOS'!$P$5:$P$500,"&gt;=120580")&gt;0,"X","")</f>
      </c>
      <c r="AI84" s="56" t="str">
        <f>IF(COUNTIFS('LANÇAMENTOS DIÁRIOS'!$G$5:$G$500,"G",'LANÇAMENTOS DIÁRIOS'!$C$5:$C$500,$A84,'LANÇAMENTOS DIÁRIOS'!$O$5:$O$500,"&lt;=120779",'LANÇAMENTOS DIÁRIOS'!$P$5:$P$500,"&gt;=120680")&gt;0,"X","")</f>
      </c>
      <c r="AJ84" s="56" t="str">
        <f>IF(COUNTIFS('LANÇAMENTOS DIÁRIOS'!$G$5:$G$500,"G",'LANÇAMENTOS DIÁRIOS'!$C$5:$C$500,$A84,'LANÇAMENTOS DIÁRIOS'!$O$5:$O$500,"&lt;=120879",'LANÇAMENTOS DIÁRIOS'!$P$5:$P$500,"&gt;=120780")&gt;0,"X","")</f>
      </c>
      <c r="AK84" s="56" t="str">
        <f>IF(COUNTIFS('LANÇAMENTOS DIÁRIOS'!$G$5:$G$500,"G",'LANÇAMENTOS DIÁRIOS'!$C$5:$C$500,$A84,'LANÇAMENTOS DIÁRIOS'!$O$5:$O$500,"&lt;=120979",'LANÇAMENTOS DIÁRIOS'!$P$5:$P$500,"&gt;=120880")&gt;0,"X","")</f>
      </c>
      <c r="AL84" s="56" t="str">
        <f>IF(COUNTIFS('LANÇAMENTOS DIÁRIOS'!$G$5:$G$500,"G",'LANÇAMENTOS DIÁRIOS'!$C$5:$C$500,$A84,'LANÇAMENTOS DIÁRIOS'!$O$5:$O$500,"&lt;=121079",'LANÇAMENTOS DIÁRIOS'!$P$5:$P$500,"&gt;=120980")&gt;0,"X","")</f>
      </c>
      <c r="AM84" s="56" t="str">
        <f>IF(COUNTIFS('LANÇAMENTOS DIÁRIOS'!$G$5:$G$500,"G",'LANÇAMENTOS DIÁRIOS'!$C$5:$C$500,$A84,'LANÇAMENTOS DIÁRIOS'!$O$5:$O$500,"&lt;=121179",'LANÇAMENTOS DIÁRIOS'!$P$5:$P$500,"&gt;=121080")&gt;0,"X","")</f>
      </c>
      <c r="AN84" s="56" t="str">
        <f>IF(COUNTIFS('LANÇAMENTOS DIÁRIOS'!$G$5:$G$500,"G",'LANÇAMENTOS DIÁRIOS'!$C$5:$C$500,$A84,'LANÇAMENTOS DIÁRIOS'!$O$5:$O$500,"&lt;=121279",'LANÇAMENTOS DIÁRIOS'!$P$5:$P$500,"&gt;=121180")&gt;0,"X","")</f>
      </c>
      <c r="AO84" s="56" t="str">
        <f>IF(COUNTIFS('LANÇAMENTOS DIÁRIOS'!$G$5:$G$500,"G",'LANÇAMENTOS DIÁRIOS'!$C$5:$C$500,$A84,'LANÇAMENTOS DIÁRIOS'!$O$5:$O$500,"&lt;=121379",'LANÇAMENTOS DIÁRIOS'!$P$5:$P$500,"&gt;=121280")&gt;0,"X","")</f>
      </c>
      <c r="AP84" s="56" t="str">
        <f>IF(COUNTIFS('LANÇAMENTOS DIÁRIOS'!$G$5:$G$500,"G",'LANÇAMENTOS DIÁRIOS'!$C$5:$C$500,$A84,'LANÇAMENTOS DIÁRIOS'!$O$5:$O$500,"&lt;=121479",'LANÇAMENTOS DIÁRIOS'!$P$5:$P$500,"&gt;=121380")&gt;0,"X","")</f>
      </c>
      <c r="AQ84" s="56" t="str">
        <f>IF(COUNTIFS('LANÇAMENTOS DIÁRIOS'!$G$5:$G$500,"G",'LANÇAMENTOS DIÁRIOS'!$C$5:$C$500,$A84,'LANÇAMENTOS DIÁRIOS'!$O$5:$O$500,"&lt;=121579",'LANÇAMENTOS DIÁRIOS'!$P$5:$P$500,"&gt;=121480")&gt;0,"X","")</f>
      </c>
      <c r="AR84" s="56" t="str">
        <f>IF(COUNTIFS('LANÇAMENTOS DIÁRIOS'!$G$5:$G$500,"G",'LANÇAMENTOS DIÁRIOS'!$C$5:$C$500,$A84,'LANÇAMENTOS DIÁRIOS'!$O$5:$O$500,"&lt;=121679",'LANÇAMENTOS DIÁRIOS'!$P$5:$P$500,"&gt;=121580")&gt;0,"X","")</f>
      </c>
      <c r="AS84" s="56" t="str">
        <f>IF(COUNTIFS('LANÇAMENTOS DIÁRIOS'!$G$5:$G$500,"G",'LANÇAMENTOS DIÁRIOS'!$C$5:$C$500,$A84,'LANÇAMENTOS DIÁRIOS'!$O$5:$O$500,"&lt;=121779",'LANÇAMENTOS DIÁRIOS'!$P$5:$P$500,"&gt;=121680")&gt;0,"X","")</f>
      </c>
      <c r="AT84" s="56" t="str">
        <f>IF(COUNTIFS('LANÇAMENTOS DIÁRIOS'!$G$5:$G$500,"G",'LANÇAMENTOS DIÁRIOS'!$C$5:$C$500,$A84,'LANÇAMENTOS DIÁRIOS'!$O$5:$O$500,"&lt;=121879",'LANÇAMENTOS DIÁRIOS'!$P$5:$P$500,"&gt;=121780")&gt;0,"X","")</f>
      </c>
      <c r="AU84" s="56" t="str">
        <f>IF(COUNTIFS('LANÇAMENTOS DIÁRIOS'!$G$5:$G$500,"G",'LANÇAMENTOS DIÁRIOS'!$C$5:$C$500,$A84,'LANÇAMENTOS DIÁRIOS'!$O$5:$O$500,"&lt;=121979",'LANÇAMENTOS DIÁRIOS'!$P$5:$P$500,"&gt;=121880")&gt;0,"X","")</f>
      </c>
      <c r="AV84" s="56" t="str">
        <f>IF(COUNTIFS('LANÇAMENTOS DIÁRIOS'!$G$5:$G$500,"G",'LANÇAMENTOS DIÁRIOS'!$C$5:$C$500,$A84,'LANÇAMENTOS DIÁRIOS'!$O$5:$O$500,"&lt;=122079",'LANÇAMENTOS DIÁRIOS'!$P$5:$P$500,"&gt;=121980")&gt;0,"X","")</f>
      </c>
      <c r="AW84" s="56" t="str">
        <f>IF(COUNTIFS('LANÇAMENTOS DIÁRIOS'!$G$5:$G$500,"G",'LANÇAMENTOS DIÁRIOS'!$C$5:$C$500,$A84,'LANÇAMENTOS DIÁRIOS'!$O$5:$O$500,"&lt;=122179",'LANÇAMENTOS DIÁRIOS'!$P$5:$P$500,"&gt;=122080")&gt;0,"X","")</f>
      </c>
      <c r="AX84" s="56" t="str">
        <f>IF(COUNTIFS('LANÇAMENTOS DIÁRIOS'!$G$5:$G$500,"G",'LANÇAMENTOS DIÁRIOS'!$C$5:$C$500,$A84,'LANÇAMENTOS DIÁRIOS'!$O$5:$O$500,"&lt;=122279",'LANÇAMENTOS DIÁRIOS'!$P$5:$P$500,"&gt;=122180")&gt;0,"X","")</f>
      </c>
      <c r="AY84" s="56" t="str">
        <f>IF(COUNTIFS('LANÇAMENTOS DIÁRIOS'!$G$5:$G$500,"G",'LANÇAMENTOS DIÁRIOS'!$C$5:$C$500,$A84,'LANÇAMENTOS DIÁRIOS'!$O$5:$O$500,"&lt;=122379",'LANÇAMENTOS DIÁRIOS'!$P$5:$P$500,"&gt;=122280")&gt;0,"X","")</f>
      </c>
      <c r="AZ84" s="56" t="str">
        <f>IF(COUNTIFS('LANÇAMENTOS DIÁRIOS'!$G$5:$G$500,"G",'LANÇAMENTOS DIÁRIOS'!$C$5:$C$500,$A84,'LANÇAMENTOS DIÁRIOS'!$O$5:$O$500,"&lt;=122479",'LANÇAMENTOS DIÁRIOS'!$P$5:$P$500,"&gt;=122380")&gt;0,"X","")</f>
      </c>
      <c r="BA84" s="56" t="str">
        <f>IF(COUNTIFS('LANÇAMENTOS DIÁRIOS'!$G$5:$G$500,"G",'LANÇAMENTOS DIÁRIOS'!$C$5:$C$500,$A84,'LANÇAMENTOS DIÁRIOS'!$O$5:$O$500,"&lt;=122579",'LANÇAMENTOS DIÁRIOS'!$P$5:$P$500,"&gt;=122480")&gt;0,"X","")</f>
      </c>
      <c r="BB84" s="56" t="str">
        <f>IF(COUNTIFS('LANÇAMENTOS DIÁRIOS'!$G$5:$G$500,"G",'LANÇAMENTOS DIÁRIOS'!$C$5:$C$500,$A84,'LANÇAMENTOS DIÁRIOS'!$O$5:$O$500,"&lt;=122679",'LANÇAMENTOS DIÁRIOS'!$P$5:$P$500,"&gt;=122580")&gt;0,"X","")</f>
      </c>
      <c r="BC84" s="56" t="str">
        <f>IF(COUNTIFS('LANÇAMENTOS DIÁRIOS'!$G$5:$G$500,"G",'LANÇAMENTOS DIÁRIOS'!$C$5:$C$500,$A84,'LANÇAMENTOS DIÁRIOS'!$O$5:$O$500,"&lt;=122779",'LANÇAMENTOS DIÁRIOS'!$P$5:$P$500,"&gt;=122680")&gt;0,"X","")</f>
      </c>
      <c r="BD84" s="56" t="str">
        <f>IF(COUNTIFS('LANÇAMENTOS DIÁRIOS'!$G$5:$G$500,"G",'LANÇAMENTOS DIÁRIOS'!$C$5:$C$500,$A84,'LANÇAMENTOS DIÁRIOS'!$O$5:$O$500,"&lt;=122879",'LANÇAMENTOS DIÁRIOS'!$P$5:$P$500,"&gt;=122780")&gt;0,"X","")</f>
      </c>
      <c r="BE84" s="56" t="str">
        <f>IF(COUNTIFS('LANÇAMENTOS DIÁRIOS'!$G$5:$G$500,"G",'LANÇAMENTOS DIÁRIOS'!$C$5:$C$500,$A84,'LANÇAMENTOS DIÁRIOS'!$O$5:$O$500,"&lt;=122979",'LANÇAMENTOS DIÁRIOS'!$P$5:$P$500,"&gt;=122880")&gt;0,"X","")</f>
      </c>
      <c r="BF84" s="56" t="str">
        <f>IF(COUNTIFS('LANÇAMENTOS DIÁRIOS'!$G$5:$G$500,"G",'LANÇAMENTOS DIÁRIOS'!$C$5:$C$500,$A84,'LANÇAMENTOS DIÁRIOS'!$O$5:$O$500,"&lt;=123079",'LANÇAMENTOS DIÁRIOS'!$P$5:$P$500,"&gt;=122980")&gt;0,"X","")</f>
      </c>
      <c r="BG84" s="56" t="str">
        <f>IF(COUNTIFS('LANÇAMENTOS DIÁRIOS'!$G$5:$G$500,"G",'LANÇAMENTOS DIÁRIOS'!$C$5:$C$500,$A84,'LANÇAMENTOS DIÁRIOS'!$O$5:$O$500,"&lt;=123179",'LANÇAMENTOS DIÁRIOS'!$P$5:$P$500,"&gt;=123080")&gt;0,"X","")</f>
      </c>
      <c r="BH84" s="56" t="str">
        <f>IF(COUNTIFS('LANÇAMENTOS DIÁRIOS'!$G$5:$G$500,"G",'LANÇAMENTOS DIÁRIOS'!$C$5:$C$500,$A84,'LANÇAMENTOS DIÁRIOS'!$O$5:$O$500,"&lt;=123279",'LANÇAMENTOS DIÁRIOS'!$P$5:$P$500,"&gt;=123180")&gt;0,"X","")</f>
      </c>
      <c r="BI84" s="56" t="str">
        <f>IF(COUNTIFS('LANÇAMENTOS DIÁRIOS'!$G$5:$G$500,"G",'LANÇAMENTOS DIÁRIOS'!$C$5:$C$500,$A84,'LANÇAMENTOS DIÁRIOS'!$O$5:$O$500,"&lt;=123379",'LANÇAMENTOS DIÁRIOS'!$P$5:$P$500,"&gt;=123280")&gt;0,"X","")</f>
      </c>
      <c r="BJ84" s="56" t="str">
        <f>IF(COUNTIFS('LANÇAMENTOS DIÁRIOS'!$G$5:$G$500,"G",'LANÇAMENTOS DIÁRIOS'!$C$5:$C$500,$A84,'LANÇAMENTOS DIÁRIOS'!$O$5:$O$500,"&lt;=123479",'LANÇAMENTOS DIÁRIOS'!$P$5:$P$500,"&gt;=123380")&gt;0,"X","")</f>
      </c>
      <c r="BK84" s="56" t="str">
        <f>IF(COUNTIFS('LANÇAMENTOS DIÁRIOS'!$G$5:$G$500,"G",'LANÇAMENTOS DIÁRIOS'!$C$5:$C$500,$A84,'LANÇAMENTOS DIÁRIOS'!$O$5:$O$500,"&lt;=123480",'LANÇAMENTOS DIÁRIOS'!$P$5:$P$500,"&gt;=123480")&gt;0,"X","")</f>
      </c>
    </row>
    <row r="85">
      <c r="A85" s="51" t="str">
        <v>Imprimadura ligante (Cura) - sem o fornecimento dos materiais</v>
      </c>
      <c r="B85" s="56" t="str">
        <f>IF(COUNTIFS('LANÇAMENTOS DIÁRIOS'!$G$5:$G$500,"G",'LANÇAMENTOS DIÁRIOS'!$C$5:$C$500,$A85,'LANÇAMENTOS DIÁRIOS'!$O$5:$O$500,"&lt;=117479",'LANÇAMENTOS DIÁRIOS'!$P$5:$P$500,"&gt;=117380")&gt;0,"X","")</f>
      </c>
      <c r="C85" s="56" t="str">
        <f>IF(COUNTIFS('LANÇAMENTOS DIÁRIOS'!$G$5:$G$500,"G",'LANÇAMENTOS DIÁRIOS'!$C$5:$C$500,$A85,'LANÇAMENTOS DIÁRIOS'!$O$5:$O$500,"&lt;=117579",'LANÇAMENTOS DIÁRIOS'!$P$5:$P$500,"&gt;=117480")&gt;0,"X","")</f>
      </c>
      <c r="D85" s="56" t="str">
        <f>IF(COUNTIFS('LANÇAMENTOS DIÁRIOS'!$G$5:$G$500,"G",'LANÇAMENTOS DIÁRIOS'!$C$5:$C$500,$A85,'LANÇAMENTOS DIÁRIOS'!$O$5:$O$500,"&lt;=117679",'LANÇAMENTOS DIÁRIOS'!$P$5:$P$500,"&gt;=117580")&gt;0,"X","")</f>
      </c>
      <c r="E85" s="56" t="str">
        <f>IF(COUNTIFS('LANÇAMENTOS DIÁRIOS'!$G$5:$G$500,"G",'LANÇAMENTOS DIÁRIOS'!$C$5:$C$500,$A85,'LANÇAMENTOS DIÁRIOS'!$O$5:$O$500,"&lt;=117779",'LANÇAMENTOS DIÁRIOS'!$P$5:$P$500,"&gt;=117680")&gt;0,"X","")</f>
      </c>
      <c r="F85" s="56" t="str">
        <f>IF(COUNTIFS('LANÇAMENTOS DIÁRIOS'!$G$5:$G$500,"G",'LANÇAMENTOS DIÁRIOS'!$C$5:$C$500,$A85,'LANÇAMENTOS DIÁRIOS'!$O$5:$O$500,"&lt;=117879",'LANÇAMENTOS DIÁRIOS'!$P$5:$P$500,"&gt;=117780")&gt;0,"X","")</f>
      </c>
      <c r="G85" s="56" t="str">
        <f>IF(COUNTIFS('LANÇAMENTOS DIÁRIOS'!$G$5:$G$500,"G",'LANÇAMENTOS DIÁRIOS'!$C$5:$C$500,$A85,'LANÇAMENTOS DIÁRIOS'!$O$5:$O$500,"&lt;=117979",'LANÇAMENTOS DIÁRIOS'!$P$5:$P$500,"&gt;=117880")&gt;0,"X","")</f>
      </c>
      <c r="H85" s="56" t="str">
        <f>IF(COUNTIFS('LANÇAMENTOS DIÁRIOS'!$G$5:$G$500,"G",'LANÇAMENTOS DIÁRIOS'!$C$5:$C$500,$A85,'LANÇAMENTOS DIÁRIOS'!$O$5:$O$500,"&lt;=118079",'LANÇAMENTOS DIÁRIOS'!$P$5:$P$500,"&gt;=117980")&gt;0,"X","")</f>
      </c>
      <c r="I85" s="56" t="str">
        <f>IF(COUNTIFS('LANÇAMENTOS DIÁRIOS'!$G$5:$G$500,"G",'LANÇAMENTOS DIÁRIOS'!$C$5:$C$500,$A85,'LANÇAMENTOS DIÁRIOS'!$O$5:$O$500,"&lt;=118179",'LANÇAMENTOS DIÁRIOS'!$P$5:$P$500,"&gt;=118080")&gt;0,"X","")</f>
      </c>
      <c r="J85" s="56" t="str">
        <f>IF(COUNTIFS('LANÇAMENTOS DIÁRIOS'!$G$5:$G$500,"G",'LANÇAMENTOS DIÁRIOS'!$C$5:$C$500,$A85,'LANÇAMENTOS DIÁRIOS'!$O$5:$O$500,"&lt;=118279",'LANÇAMENTOS DIÁRIOS'!$P$5:$P$500,"&gt;=118180")&gt;0,"X","")</f>
      </c>
      <c r="K85" s="56" t="str">
        <f>IF(COUNTIFS('LANÇAMENTOS DIÁRIOS'!$G$5:$G$500,"G",'LANÇAMENTOS DIÁRIOS'!$C$5:$C$500,$A85,'LANÇAMENTOS DIÁRIOS'!$O$5:$O$500,"&lt;=118379",'LANÇAMENTOS DIÁRIOS'!$P$5:$P$500,"&gt;=118280")&gt;0,"X","")</f>
      </c>
      <c r="L85" s="56" t="str">
        <f>IF(COUNTIFS('LANÇAMENTOS DIÁRIOS'!$G$5:$G$500,"G",'LANÇAMENTOS DIÁRIOS'!$C$5:$C$500,$A85,'LANÇAMENTOS DIÁRIOS'!$O$5:$O$500,"&lt;=118479",'LANÇAMENTOS DIÁRIOS'!$P$5:$P$500,"&gt;=118380")&gt;0,"X","")</f>
      </c>
      <c r="M85" s="56" t="str">
        <f>IF(COUNTIFS('LANÇAMENTOS DIÁRIOS'!$G$5:$G$500,"G",'LANÇAMENTOS DIÁRIOS'!$C$5:$C$500,$A85,'LANÇAMENTOS DIÁRIOS'!$O$5:$O$500,"&lt;=118579",'LANÇAMENTOS DIÁRIOS'!$P$5:$P$500,"&gt;=118480")&gt;0,"X","")</f>
      </c>
      <c r="N85" s="56" t="str">
        <f>IF(COUNTIFS('LANÇAMENTOS DIÁRIOS'!$G$5:$G$500,"G",'LANÇAMENTOS DIÁRIOS'!$C$5:$C$500,$A85,'LANÇAMENTOS DIÁRIOS'!$O$5:$O$500,"&lt;=118679",'LANÇAMENTOS DIÁRIOS'!$P$5:$P$500,"&gt;=118580")&gt;0,"X","")</f>
      </c>
      <c r="O85" s="56" t="str">
        <f>IF(COUNTIFS('LANÇAMENTOS DIÁRIOS'!$G$5:$G$500,"G",'LANÇAMENTOS DIÁRIOS'!$C$5:$C$500,$A85,'LANÇAMENTOS DIÁRIOS'!$O$5:$O$500,"&lt;=118779",'LANÇAMENTOS DIÁRIOS'!$P$5:$P$500,"&gt;=118680")&gt;0,"X","")</f>
      </c>
      <c r="P85" s="56" t="str">
        <f>IF(COUNTIFS('LANÇAMENTOS DIÁRIOS'!$G$5:$G$500,"G",'LANÇAMENTOS DIÁRIOS'!$C$5:$C$500,$A85,'LANÇAMENTOS DIÁRIOS'!$O$5:$O$500,"&lt;=118879",'LANÇAMENTOS DIÁRIOS'!$P$5:$P$500,"&gt;=118780")&gt;0,"X","")</f>
      </c>
      <c r="Q85" s="56" t="str">
        <f>IF(COUNTIFS('LANÇAMENTOS DIÁRIOS'!$G$5:$G$500,"G",'LANÇAMENTOS DIÁRIOS'!$C$5:$C$500,$A85,'LANÇAMENTOS DIÁRIOS'!$O$5:$O$500,"&lt;=118979",'LANÇAMENTOS DIÁRIOS'!$P$5:$P$500,"&gt;=118880")&gt;0,"X","")</f>
      </c>
      <c r="R85" s="56" t="str">
        <f>IF(COUNTIFS('LANÇAMENTOS DIÁRIOS'!$G$5:$G$500,"G",'LANÇAMENTOS DIÁRIOS'!$C$5:$C$500,$A85,'LANÇAMENTOS DIÁRIOS'!$O$5:$O$500,"&lt;=119079",'LANÇAMENTOS DIÁRIOS'!$P$5:$P$500,"&gt;=118980")&gt;0,"X","")</f>
      </c>
      <c r="S85" s="56" t="str">
        <f>IF(COUNTIFS('LANÇAMENTOS DIÁRIOS'!$G$5:$G$500,"G",'LANÇAMENTOS DIÁRIOS'!$C$5:$C$500,$A85,'LANÇAMENTOS DIÁRIOS'!$O$5:$O$500,"&lt;=119179",'LANÇAMENTOS DIÁRIOS'!$P$5:$P$500,"&gt;=119080")&gt;0,"X","")</f>
      </c>
      <c r="T85" s="56" t="str">
        <f>IF(COUNTIFS('LANÇAMENTOS DIÁRIOS'!$G$5:$G$500,"G",'LANÇAMENTOS DIÁRIOS'!$C$5:$C$500,$A85,'LANÇAMENTOS DIÁRIOS'!$O$5:$O$500,"&lt;=119279",'LANÇAMENTOS DIÁRIOS'!$P$5:$P$500,"&gt;=119180")&gt;0,"X","")</f>
      </c>
      <c r="U85" s="56" t="str">
        <f>IF(COUNTIFS('LANÇAMENTOS DIÁRIOS'!$G$5:$G$500,"G",'LANÇAMENTOS DIÁRIOS'!$C$5:$C$500,$A85,'LANÇAMENTOS DIÁRIOS'!$O$5:$O$500,"&lt;=119379",'LANÇAMENTOS DIÁRIOS'!$P$5:$P$500,"&gt;=119280")&gt;0,"X","")</f>
      </c>
      <c r="V85" s="56" t="str">
        <f>IF(COUNTIFS('LANÇAMENTOS DIÁRIOS'!$G$5:$G$500,"G",'LANÇAMENTOS DIÁRIOS'!$C$5:$C$500,$A85,'LANÇAMENTOS DIÁRIOS'!$O$5:$O$500,"&lt;=119479",'LANÇAMENTOS DIÁRIOS'!$P$5:$P$500,"&gt;=119380")&gt;0,"X","")</f>
      </c>
      <c r="W85" s="56" t="str">
        <f>IF(COUNTIFS('LANÇAMENTOS DIÁRIOS'!$G$5:$G$500,"G",'LANÇAMENTOS DIÁRIOS'!$C$5:$C$500,$A85,'LANÇAMENTOS DIÁRIOS'!$O$5:$O$500,"&lt;=119579",'LANÇAMENTOS DIÁRIOS'!$P$5:$P$500,"&gt;=119480")&gt;0,"X","")</f>
      </c>
      <c r="X85" s="56" t="str">
        <f>IF(COUNTIFS('LANÇAMENTOS DIÁRIOS'!$G$5:$G$500,"G",'LANÇAMENTOS DIÁRIOS'!$C$5:$C$500,$A85,'LANÇAMENTOS DIÁRIOS'!$O$5:$O$500,"&lt;=119679",'LANÇAMENTOS DIÁRIOS'!$P$5:$P$500,"&gt;=119580")&gt;0,"X","")</f>
      </c>
      <c r="Y85" s="56" t="str">
        <f>IF(COUNTIFS('LANÇAMENTOS DIÁRIOS'!$G$5:$G$500,"G",'LANÇAMENTOS DIÁRIOS'!$C$5:$C$500,$A85,'LANÇAMENTOS DIÁRIOS'!$O$5:$O$500,"&lt;=119779",'LANÇAMENTOS DIÁRIOS'!$P$5:$P$500,"&gt;=119680")&gt;0,"X","")</f>
      </c>
      <c r="Z85" s="56" t="str">
        <f>IF(COUNTIFS('LANÇAMENTOS DIÁRIOS'!$G$5:$G$500,"G",'LANÇAMENTOS DIÁRIOS'!$C$5:$C$500,$A85,'LANÇAMENTOS DIÁRIOS'!$O$5:$O$500,"&lt;=119879",'LANÇAMENTOS DIÁRIOS'!$P$5:$P$500,"&gt;=119780")&gt;0,"X","")</f>
      </c>
      <c r="AA85" s="56" t="str">
        <f>IF(COUNTIFS('LANÇAMENTOS DIÁRIOS'!$G$5:$G$500,"G",'LANÇAMENTOS DIÁRIOS'!$C$5:$C$500,$A85,'LANÇAMENTOS DIÁRIOS'!$O$5:$O$500,"&lt;=119979",'LANÇAMENTOS DIÁRIOS'!$P$5:$P$500,"&gt;=119880")&gt;0,"X","")</f>
      </c>
      <c r="AB85" s="56" t="str">
        <f>IF(COUNTIFS('LANÇAMENTOS DIÁRIOS'!$G$5:$G$500,"G",'LANÇAMENTOS DIÁRIOS'!$C$5:$C$500,$A85,'LANÇAMENTOS DIÁRIOS'!$O$5:$O$500,"&lt;=120079",'LANÇAMENTOS DIÁRIOS'!$P$5:$P$500,"&gt;=119980")&gt;0,"X","")</f>
      </c>
      <c r="AC85" s="56" t="str">
        <f>IF(COUNTIFS('LANÇAMENTOS DIÁRIOS'!$G$5:$G$500,"G",'LANÇAMENTOS DIÁRIOS'!$C$5:$C$500,$A85,'LANÇAMENTOS DIÁRIOS'!$O$5:$O$500,"&lt;=120179",'LANÇAMENTOS DIÁRIOS'!$P$5:$P$500,"&gt;=120080")&gt;0,"X","")</f>
      </c>
      <c r="AD85" s="56" t="str">
        <f>IF(COUNTIFS('LANÇAMENTOS DIÁRIOS'!$G$5:$G$500,"G",'LANÇAMENTOS DIÁRIOS'!$C$5:$C$500,$A85,'LANÇAMENTOS DIÁRIOS'!$O$5:$O$500,"&lt;=120279",'LANÇAMENTOS DIÁRIOS'!$P$5:$P$500,"&gt;=120180")&gt;0,"X","")</f>
      </c>
      <c r="AE85" s="56" t="str">
        <f>IF(COUNTIFS('LANÇAMENTOS DIÁRIOS'!$G$5:$G$500,"G",'LANÇAMENTOS DIÁRIOS'!$C$5:$C$500,$A85,'LANÇAMENTOS DIÁRIOS'!$O$5:$O$500,"&lt;=120379",'LANÇAMENTOS DIÁRIOS'!$P$5:$P$500,"&gt;=120280")&gt;0,"X","")</f>
      </c>
      <c r="AF85" s="56" t="str">
        <f>IF(COUNTIFS('LANÇAMENTOS DIÁRIOS'!$G$5:$G$500,"G",'LANÇAMENTOS DIÁRIOS'!$C$5:$C$500,$A85,'LANÇAMENTOS DIÁRIOS'!$O$5:$O$500,"&lt;=120479",'LANÇAMENTOS DIÁRIOS'!$P$5:$P$500,"&gt;=120380")&gt;0,"X","")</f>
      </c>
      <c r="AG85" s="56" t="str">
        <f>IF(COUNTIFS('LANÇAMENTOS DIÁRIOS'!$G$5:$G$500,"G",'LANÇAMENTOS DIÁRIOS'!$C$5:$C$500,$A85,'LANÇAMENTOS DIÁRIOS'!$O$5:$O$500,"&lt;=120579",'LANÇAMENTOS DIÁRIOS'!$P$5:$P$500,"&gt;=120480")&gt;0,"X","")</f>
      </c>
      <c r="AH85" s="56" t="str">
        <f>IF(COUNTIFS('LANÇAMENTOS DIÁRIOS'!$G$5:$G$500,"G",'LANÇAMENTOS DIÁRIOS'!$C$5:$C$500,$A85,'LANÇAMENTOS DIÁRIOS'!$O$5:$O$500,"&lt;=120679",'LANÇAMENTOS DIÁRIOS'!$P$5:$P$500,"&gt;=120580")&gt;0,"X","")</f>
      </c>
      <c r="AI85" s="56" t="str">
        <f>IF(COUNTIFS('LANÇAMENTOS DIÁRIOS'!$G$5:$G$500,"G",'LANÇAMENTOS DIÁRIOS'!$C$5:$C$500,$A85,'LANÇAMENTOS DIÁRIOS'!$O$5:$O$500,"&lt;=120779",'LANÇAMENTOS DIÁRIOS'!$P$5:$P$500,"&gt;=120680")&gt;0,"X","")</f>
      </c>
      <c r="AJ85" s="56" t="str">
        <f>IF(COUNTIFS('LANÇAMENTOS DIÁRIOS'!$G$5:$G$500,"G",'LANÇAMENTOS DIÁRIOS'!$C$5:$C$500,$A85,'LANÇAMENTOS DIÁRIOS'!$O$5:$O$500,"&lt;=120879",'LANÇAMENTOS DIÁRIOS'!$P$5:$P$500,"&gt;=120780")&gt;0,"X","")</f>
      </c>
      <c r="AK85" s="56" t="str">
        <f>IF(COUNTIFS('LANÇAMENTOS DIÁRIOS'!$G$5:$G$500,"G",'LANÇAMENTOS DIÁRIOS'!$C$5:$C$500,$A85,'LANÇAMENTOS DIÁRIOS'!$O$5:$O$500,"&lt;=120979",'LANÇAMENTOS DIÁRIOS'!$P$5:$P$500,"&gt;=120880")&gt;0,"X","")</f>
      </c>
      <c r="AL85" s="56" t="str">
        <f>IF(COUNTIFS('LANÇAMENTOS DIÁRIOS'!$G$5:$G$500,"G",'LANÇAMENTOS DIÁRIOS'!$C$5:$C$500,$A85,'LANÇAMENTOS DIÁRIOS'!$O$5:$O$500,"&lt;=121079",'LANÇAMENTOS DIÁRIOS'!$P$5:$P$500,"&gt;=120980")&gt;0,"X","")</f>
      </c>
      <c r="AM85" s="56" t="str">
        <f>IF(COUNTIFS('LANÇAMENTOS DIÁRIOS'!$G$5:$G$500,"G",'LANÇAMENTOS DIÁRIOS'!$C$5:$C$500,$A85,'LANÇAMENTOS DIÁRIOS'!$O$5:$O$500,"&lt;=121179",'LANÇAMENTOS DIÁRIOS'!$P$5:$P$500,"&gt;=121080")&gt;0,"X","")</f>
      </c>
      <c r="AN85" s="56" t="str">
        <f>IF(COUNTIFS('LANÇAMENTOS DIÁRIOS'!$G$5:$G$500,"G",'LANÇAMENTOS DIÁRIOS'!$C$5:$C$500,$A85,'LANÇAMENTOS DIÁRIOS'!$O$5:$O$500,"&lt;=121279",'LANÇAMENTOS DIÁRIOS'!$P$5:$P$500,"&gt;=121180")&gt;0,"X","")</f>
      </c>
      <c r="AO85" s="56" t="str">
        <f>IF(COUNTIFS('LANÇAMENTOS DIÁRIOS'!$G$5:$G$500,"G",'LANÇAMENTOS DIÁRIOS'!$C$5:$C$500,$A85,'LANÇAMENTOS DIÁRIOS'!$O$5:$O$500,"&lt;=121379",'LANÇAMENTOS DIÁRIOS'!$P$5:$P$500,"&gt;=121280")&gt;0,"X","")</f>
      </c>
      <c r="AP85" s="56" t="str">
        <f>IF(COUNTIFS('LANÇAMENTOS DIÁRIOS'!$G$5:$G$500,"G",'LANÇAMENTOS DIÁRIOS'!$C$5:$C$500,$A85,'LANÇAMENTOS DIÁRIOS'!$O$5:$O$500,"&lt;=121479",'LANÇAMENTOS DIÁRIOS'!$P$5:$P$500,"&gt;=121380")&gt;0,"X","")</f>
      </c>
      <c r="AQ85" s="56" t="str">
        <f>IF(COUNTIFS('LANÇAMENTOS DIÁRIOS'!$G$5:$G$500,"G",'LANÇAMENTOS DIÁRIOS'!$C$5:$C$500,$A85,'LANÇAMENTOS DIÁRIOS'!$O$5:$O$500,"&lt;=121579",'LANÇAMENTOS DIÁRIOS'!$P$5:$P$500,"&gt;=121480")&gt;0,"X","")</f>
      </c>
      <c r="AR85" s="56" t="str">
        <f>IF(COUNTIFS('LANÇAMENTOS DIÁRIOS'!$G$5:$G$500,"G",'LANÇAMENTOS DIÁRIOS'!$C$5:$C$500,$A85,'LANÇAMENTOS DIÁRIOS'!$O$5:$O$500,"&lt;=121679",'LANÇAMENTOS DIÁRIOS'!$P$5:$P$500,"&gt;=121580")&gt;0,"X","")</f>
      </c>
      <c r="AS85" s="56" t="str">
        <f>IF(COUNTIFS('LANÇAMENTOS DIÁRIOS'!$G$5:$G$500,"G",'LANÇAMENTOS DIÁRIOS'!$C$5:$C$500,$A85,'LANÇAMENTOS DIÁRIOS'!$O$5:$O$500,"&lt;=121779",'LANÇAMENTOS DIÁRIOS'!$P$5:$P$500,"&gt;=121680")&gt;0,"X","")</f>
      </c>
      <c r="AT85" s="56" t="str">
        <f>IF(COUNTIFS('LANÇAMENTOS DIÁRIOS'!$G$5:$G$500,"G",'LANÇAMENTOS DIÁRIOS'!$C$5:$C$500,$A85,'LANÇAMENTOS DIÁRIOS'!$O$5:$O$500,"&lt;=121879",'LANÇAMENTOS DIÁRIOS'!$P$5:$P$500,"&gt;=121780")&gt;0,"X","")</f>
      </c>
      <c r="AU85" s="56" t="str">
        <f>IF(COUNTIFS('LANÇAMENTOS DIÁRIOS'!$G$5:$G$500,"G",'LANÇAMENTOS DIÁRIOS'!$C$5:$C$500,$A85,'LANÇAMENTOS DIÁRIOS'!$O$5:$O$500,"&lt;=121979",'LANÇAMENTOS DIÁRIOS'!$P$5:$P$500,"&gt;=121880")&gt;0,"X","")</f>
      </c>
      <c r="AV85" s="56" t="str">
        <f>IF(COUNTIFS('LANÇAMENTOS DIÁRIOS'!$G$5:$G$500,"G",'LANÇAMENTOS DIÁRIOS'!$C$5:$C$500,$A85,'LANÇAMENTOS DIÁRIOS'!$O$5:$O$500,"&lt;=122079",'LANÇAMENTOS DIÁRIOS'!$P$5:$P$500,"&gt;=121980")&gt;0,"X","")</f>
      </c>
      <c r="AW85" s="56" t="str">
        <f>IF(COUNTIFS('LANÇAMENTOS DIÁRIOS'!$G$5:$G$500,"G",'LANÇAMENTOS DIÁRIOS'!$C$5:$C$500,$A85,'LANÇAMENTOS DIÁRIOS'!$O$5:$O$500,"&lt;=122179",'LANÇAMENTOS DIÁRIOS'!$P$5:$P$500,"&gt;=122080")&gt;0,"X","")</f>
      </c>
      <c r="AX85" s="56" t="str">
        <f>IF(COUNTIFS('LANÇAMENTOS DIÁRIOS'!$G$5:$G$500,"G",'LANÇAMENTOS DIÁRIOS'!$C$5:$C$500,$A85,'LANÇAMENTOS DIÁRIOS'!$O$5:$O$500,"&lt;=122279",'LANÇAMENTOS DIÁRIOS'!$P$5:$P$500,"&gt;=122180")&gt;0,"X","")</f>
      </c>
      <c r="AY85" s="56" t="str">
        <f>IF(COUNTIFS('LANÇAMENTOS DIÁRIOS'!$G$5:$G$500,"G",'LANÇAMENTOS DIÁRIOS'!$C$5:$C$500,$A85,'LANÇAMENTOS DIÁRIOS'!$O$5:$O$500,"&lt;=122379",'LANÇAMENTOS DIÁRIOS'!$P$5:$P$500,"&gt;=122280")&gt;0,"X","")</f>
      </c>
      <c r="AZ85" s="56" t="str">
        <f>IF(COUNTIFS('LANÇAMENTOS DIÁRIOS'!$G$5:$G$500,"G",'LANÇAMENTOS DIÁRIOS'!$C$5:$C$500,$A85,'LANÇAMENTOS DIÁRIOS'!$O$5:$O$500,"&lt;=122479",'LANÇAMENTOS DIÁRIOS'!$P$5:$P$500,"&gt;=122380")&gt;0,"X","")</f>
      </c>
      <c r="BA85" s="56" t="str">
        <f>IF(COUNTIFS('LANÇAMENTOS DIÁRIOS'!$G$5:$G$500,"G",'LANÇAMENTOS DIÁRIOS'!$C$5:$C$500,$A85,'LANÇAMENTOS DIÁRIOS'!$O$5:$O$500,"&lt;=122579",'LANÇAMENTOS DIÁRIOS'!$P$5:$P$500,"&gt;=122480")&gt;0,"X","")</f>
      </c>
      <c r="BB85" s="56" t="str">
        <f>IF(COUNTIFS('LANÇAMENTOS DIÁRIOS'!$G$5:$G$500,"G",'LANÇAMENTOS DIÁRIOS'!$C$5:$C$500,$A85,'LANÇAMENTOS DIÁRIOS'!$O$5:$O$500,"&lt;=122679",'LANÇAMENTOS DIÁRIOS'!$P$5:$P$500,"&gt;=122580")&gt;0,"X","")</f>
      </c>
      <c r="BC85" s="56" t="str">
        <f>IF(COUNTIFS('LANÇAMENTOS DIÁRIOS'!$G$5:$G$500,"G",'LANÇAMENTOS DIÁRIOS'!$C$5:$C$500,$A85,'LANÇAMENTOS DIÁRIOS'!$O$5:$O$500,"&lt;=122779",'LANÇAMENTOS DIÁRIOS'!$P$5:$P$500,"&gt;=122680")&gt;0,"X","")</f>
      </c>
      <c r="BD85" s="56" t="str">
        <f>IF(COUNTIFS('LANÇAMENTOS DIÁRIOS'!$G$5:$G$500,"G",'LANÇAMENTOS DIÁRIOS'!$C$5:$C$500,$A85,'LANÇAMENTOS DIÁRIOS'!$O$5:$O$500,"&lt;=122879",'LANÇAMENTOS DIÁRIOS'!$P$5:$P$500,"&gt;=122780")&gt;0,"X","")</f>
      </c>
      <c r="BE85" s="56" t="str">
        <f>IF(COUNTIFS('LANÇAMENTOS DIÁRIOS'!$G$5:$G$500,"G",'LANÇAMENTOS DIÁRIOS'!$C$5:$C$500,$A85,'LANÇAMENTOS DIÁRIOS'!$O$5:$O$500,"&lt;=122979",'LANÇAMENTOS DIÁRIOS'!$P$5:$P$500,"&gt;=122880")&gt;0,"X","")</f>
      </c>
      <c r="BF85" s="56" t="str">
        <f>IF(COUNTIFS('LANÇAMENTOS DIÁRIOS'!$G$5:$G$500,"G",'LANÇAMENTOS DIÁRIOS'!$C$5:$C$500,$A85,'LANÇAMENTOS DIÁRIOS'!$O$5:$O$500,"&lt;=123079",'LANÇAMENTOS DIÁRIOS'!$P$5:$P$500,"&gt;=122980")&gt;0,"X","")</f>
      </c>
      <c r="BG85" s="56" t="str">
        <f>IF(COUNTIFS('LANÇAMENTOS DIÁRIOS'!$G$5:$G$500,"G",'LANÇAMENTOS DIÁRIOS'!$C$5:$C$500,$A85,'LANÇAMENTOS DIÁRIOS'!$O$5:$O$500,"&lt;=123179",'LANÇAMENTOS DIÁRIOS'!$P$5:$P$500,"&gt;=123080")&gt;0,"X","")</f>
      </c>
      <c r="BH85" s="56" t="str">
        <f>IF(COUNTIFS('LANÇAMENTOS DIÁRIOS'!$G$5:$G$500,"G",'LANÇAMENTOS DIÁRIOS'!$C$5:$C$500,$A85,'LANÇAMENTOS DIÁRIOS'!$O$5:$O$500,"&lt;=123279",'LANÇAMENTOS DIÁRIOS'!$P$5:$P$500,"&gt;=123180")&gt;0,"X","")</f>
      </c>
      <c r="BI85" s="56" t="str">
        <f>IF(COUNTIFS('LANÇAMENTOS DIÁRIOS'!$G$5:$G$500,"G",'LANÇAMENTOS DIÁRIOS'!$C$5:$C$500,$A85,'LANÇAMENTOS DIÁRIOS'!$O$5:$O$500,"&lt;=123379",'LANÇAMENTOS DIÁRIOS'!$P$5:$P$500,"&gt;=123280")&gt;0,"X","")</f>
      </c>
      <c r="BJ85" s="56" t="str">
        <f>IF(COUNTIFS('LANÇAMENTOS DIÁRIOS'!$G$5:$G$500,"G",'LANÇAMENTOS DIÁRIOS'!$C$5:$C$500,$A85,'LANÇAMENTOS DIÁRIOS'!$O$5:$O$500,"&lt;=123479",'LANÇAMENTOS DIÁRIOS'!$P$5:$P$500,"&gt;=123380")&gt;0,"X","")</f>
      </c>
      <c r="BK85" s="56" t="str">
        <f>IF(COUNTIFS('LANÇAMENTOS DIÁRIOS'!$G$5:$G$500,"G",'LANÇAMENTOS DIÁRIOS'!$C$5:$C$500,$A85,'LANÇAMENTOS DIÁRIOS'!$O$5:$O$500,"&lt;=123480",'LANÇAMENTOS DIÁRIOS'!$P$5:$P$500,"&gt;=123480")&gt;0,"X","")</f>
      </c>
    </row>
    <row r="86">
      <c r="A86" s="51" t="str">
        <v>Imprimadura ligante, sem fornecimento de materiais</v>
      </c>
      <c r="B86" s="56" t="str">
        <f>IF(COUNTIFS('LANÇAMENTOS DIÁRIOS'!$G$5:$G$500,"G",'LANÇAMENTOS DIÁRIOS'!$C$5:$C$500,$A86,'LANÇAMENTOS DIÁRIOS'!$O$5:$O$500,"&lt;=117479",'LANÇAMENTOS DIÁRIOS'!$P$5:$P$500,"&gt;=117380")&gt;0,"X","")</f>
      </c>
      <c r="C86" s="56" t="str">
        <f>IF(COUNTIFS('LANÇAMENTOS DIÁRIOS'!$G$5:$G$500,"G",'LANÇAMENTOS DIÁRIOS'!$C$5:$C$500,$A86,'LANÇAMENTOS DIÁRIOS'!$O$5:$O$500,"&lt;=117579",'LANÇAMENTOS DIÁRIOS'!$P$5:$P$500,"&gt;=117480")&gt;0,"X","")</f>
      </c>
      <c r="D86" s="56" t="str">
        <f>IF(COUNTIFS('LANÇAMENTOS DIÁRIOS'!$G$5:$G$500,"G",'LANÇAMENTOS DIÁRIOS'!$C$5:$C$500,$A86,'LANÇAMENTOS DIÁRIOS'!$O$5:$O$500,"&lt;=117679",'LANÇAMENTOS DIÁRIOS'!$P$5:$P$500,"&gt;=117580")&gt;0,"X","")</f>
      </c>
      <c r="E86" s="56" t="str">
        <f>IF(COUNTIFS('LANÇAMENTOS DIÁRIOS'!$G$5:$G$500,"G",'LANÇAMENTOS DIÁRIOS'!$C$5:$C$500,$A86,'LANÇAMENTOS DIÁRIOS'!$O$5:$O$500,"&lt;=117779",'LANÇAMENTOS DIÁRIOS'!$P$5:$P$500,"&gt;=117680")&gt;0,"X","")</f>
      </c>
      <c r="F86" s="56" t="str">
        <f>IF(COUNTIFS('LANÇAMENTOS DIÁRIOS'!$G$5:$G$500,"G",'LANÇAMENTOS DIÁRIOS'!$C$5:$C$500,$A86,'LANÇAMENTOS DIÁRIOS'!$O$5:$O$500,"&lt;=117879",'LANÇAMENTOS DIÁRIOS'!$P$5:$P$500,"&gt;=117780")&gt;0,"X","")</f>
      </c>
      <c r="G86" s="56" t="str">
        <f>IF(COUNTIFS('LANÇAMENTOS DIÁRIOS'!$G$5:$G$500,"G",'LANÇAMENTOS DIÁRIOS'!$C$5:$C$500,$A86,'LANÇAMENTOS DIÁRIOS'!$O$5:$O$500,"&lt;=117979",'LANÇAMENTOS DIÁRIOS'!$P$5:$P$500,"&gt;=117880")&gt;0,"X","")</f>
      </c>
      <c r="H86" s="56" t="str">
        <f>IF(COUNTIFS('LANÇAMENTOS DIÁRIOS'!$G$5:$G$500,"G",'LANÇAMENTOS DIÁRIOS'!$C$5:$C$500,$A86,'LANÇAMENTOS DIÁRIOS'!$O$5:$O$500,"&lt;=118079",'LANÇAMENTOS DIÁRIOS'!$P$5:$P$500,"&gt;=117980")&gt;0,"X","")</f>
      </c>
      <c r="I86" s="56" t="str">
        <f>IF(COUNTIFS('LANÇAMENTOS DIÁRIOS'!$G$5:$G$500,"G",'LANÇAMENTOS DIÁRIOS'!$C$5:$C$500,$A86,'LANÇAMENTOS DIÁRIOS'!$O$5:$O$500,"&lt;=118179",'LANÇAMENTOS DIÁRIOS'!$P$5:$P$500,"&gt;=118080")&gt;0,"X","")</f>
      </c>
      <c r="J86" s="56" t="str">
        <f>IF(COUNTIFS('LANÇAMENTOS DIÁRIOS'!$G$5:$G$500,"G",'LANÇAMENTOS DIÁRIOS'!$C$5:$C$500,$A86,'LANÇAMENTOS DIÁRIOS'!$O$5:$O$500,"&lt;=118279",'LANÇAMENTOS DIÁRIOS'!$P$5:$P$500,"&gt;=118180")&gt;0,"X","")</f>
      </c>
      <c r="K86" s="56" t="str">
        <f>IF(COUNTIFS('LANÇAMENTOS DIÁRIOS'!$G$5:$G$500,"G",'LANÇAMENTOS DIÁRIOS'!$C$5:$C$500,$A86,'LANÇAMENTOS DIÁRIOS'!$O$5:$O$500,"&lt;=118379",'LANÇAMENTOS DIÁRIOS'!$P$5:$P$500,"&gt;=118280")&gt;0,"X","")</f>
      </c>
      <c r="L86" s="56" t="str">
        <f>IF(COUNTIFS('LANÇAMENTOS DIÁRIOS'!$G$5:$G$500,"G",'LANÇAMENTOS DIÁRIOS'!$C$5:$C$500,$A86,'LANÇAMENTOS DIÁRIOS'!$O$5:$O$500,"&lt;=118479",'LANÇAMENTOS DIÁRIOS'!$P$5:$P$500,"&gt;=118380")&gt;0,"X","")</f>
      </c>
      <c r="M86" s="56" t="str">
        <f>IF(COUNTIFS('LANÇAMENTOS DIÁRIOS'!$G$5:$G$500,"G",'LANÇAMENTOS DIÁRIOS'!$C$5:$C$500,$A86,'LANÇAMENTOS DIÁRIOS'!$O$5:$O$500,"&lt;=118579",'LANÇAMENTOS DIÁRIOS'!$P$5:$P$500,"&gt;=118480")&gt;0,"X","")</f>
      </c>
      <c r="N86" s="56" t="str">
        <f>IF(COUNTIFS('LANÇAMENTOS DIÁRIOS'!$G$5:$G$500,"G",'LANÇAMENTOS DIÁRIOS'!$C$5:$C$500,$A86,'LANÇAMENTOS DIÁRIOS'!$O$5:$O$500,"&lt;=118679",'LANÇAMENTOS DIÁRIOS'!$P$5:$P$500,"&gt;=118580")&gt;0,"X","")</f>
      </c>
      <c r="O86" s="56" t="str">
        <f>IF(COUNTIFS('LANÇAMENTOS DIÁRIOS'!$G$5:$G$500,"G",'LANÇAMENTOS DIÁRIOS'!$C$5:$C$500,$A86,'LANÇAMENTOS DIÁRIOS'!$O$5:$O$500,"&lt;=118779",'LANÇAMENTOS DIÁRIOS'!$P$5:$P$500,"&gt;=118680")&gt;0,"X","")</f>
      </c>
      <c r="P86" s="56" t="str">
        <f>IF(COUNTIFS('LANÇAMENTOS DIÁRIOS'!$G$5:$G$500,"G",'LANÇAMENTOS DIÁRIOS'!$C$5:$C$500,$A86,'LANÇAMENTOS DIÁRIOS'!$O$5:$O$500,"&lt;=118879",'LANÇAMENTOS DIÁRIOS'!$P$5:$P$500,"&gt;=118780")&gt;0,"X","")</f>
      </c>
      <c r="Q86" s="56" t="str">
        <f>IF(COUNTIFS('LANÇAMENTOS DIÁRIOS'!$G$5:$G$500,"G",'LANÇAMENTOS DIÁRIOS'!$C$5:$C$500,$A86,'LANÇAMENTOS DIÁRIOS'!$O$5:$O$500,"&lt;=118979",'LANÇAMENTOS DIÁRIOS'!$P$5:$P$500,"&gt;=118880")&gt;0,"X","")</f>
      </c>
      <c r="R86" s="56" t="str">
        <f>IF(COUNTIFS('LANÇAMENTOS DIÁRIOS'!$G$5:$G$500,"G",'LANÇAMENTOS DIÁRIOS'!$C$5:$C$500,$A86,'LANÇAMENTOS DIÁRIOS'!$O$5:$O$500,"&lt;=119079",'LANÇAMENTOS DIÁRIOS'!$P$5:$P$500,"&gt;=118980")&gt;0,"X","")</f>
      </c>
      <c r="S86" s="56" t="str">
        <f>IF(COUNTIFS('LANÇAMENTOS DIÁRIOS'!$G$5:$G$500,"G",'LANÇAMENTOS DIÁRIOS'!$C$5:$C$500,$A86,'LANÇAMENTOS DIÁRIOS'!$O$5:$O$500,"&lt;=119179",'LANÇAMENTOS DIÁRIOS'!$P$5:$P$500,"&gt;=119080")&gt;0,"X","")</f>
      </c>
      <c r="T86" s="56" t="str">
        <f>IF(COUNTIFS('LANÇAMENTOS DIÁRIOS'!$G$5:$G$500,"G",'LANÇAMENTOS DIÁRIOS'!$C$5:$C$500,$A86,'LANÇAMENTOS DIÁRIOS'!$O$5:$O$500,"&lt;=119279",'LANÇAMENTOS DIÁRIOS'!$P$5:$P$500,"&gt;=119180")&gt;0,"X","")</f>
      </c>
      <c r="U86" s="56" t="str">
        <f>IF(COUNTIFS('LANÇAMENTOS DIÁRIOS'!$G$5:$G$500,"G",'LANÇAMENTOS DIÁRIOS'!$C$5:$C$500,$A86,'LANÇAMENTOS DIÁRIOS'!$O$5:$O$500,"&lt;=119379",'LANÇAMENTOS DIÁRIOS'!$P$5:$P$500,"&gt;=119280")&gt;0,"X","")</f>
      </c>
      <c r="V86" s="56" t="str">
        <f>IF(COUNTIFS('LANÇAMENTOS DIÁRIOS'!$G$5:$G$500,"G",'LANÇAMENTOS DIÁRIOS'!$C$5:$C$500,$A86,'LANÇAMENTOS DIÁRIOS'!$O$5:$O$500,"&lt;=119479",'LANÇAMENTOS DIÁRIOS'!$P$5:$P$500,"&gt;=119380")&gt;0,"X","")</f>
      </c>
      <c r="W86" s="56" t="str">
        <f>IF(COUNTIFS('LANÇAMENTOS DIÁRIOS'!$G$5:$G$500,"G",'LANÇAMENTOS DIÁRIOS'!$C$5:$C$500,$A86,'LANÇAMENTOS DIÁRIOS'!$O$5:$O$500,"&lt;=119579",'LANÇAMENTOS DIÁRIOS'!$P$5:$P$500,"&gt;=119480")&gt;0,"X","")</f>
      </c>
      <c r="X86" s="56" t="str">
        <f>IF(COUNTIFS('LANÇAMENTOS DIÁRIOS'!$G$5:$G$500,"G",'LANÇAMENTOS DIÁRIOS'!$C$5:$C$500,$A86,'LANÇAMENTOS DIÁRIOS'!$O$5:$O$500,"&lt;=119679",'LANÇAMENTOS DIÁRIOS'!$P$5:$P$500,"&gt;=119580")&gt;0,"X","")</f>
      </c>
      <c r="Y86" s="56" t="str">
        <f>IF(COUNTIFS('LANÇAMENTOS DIÁRIOS'!$G$5:$G$500,"G",'LANÇAMENTOS DIÁRIOS'!$C$5:$C$500,$A86,'LANÇAMENTOS DIÁRIOS'!$O$5:$O$500,"&lt;=119779",'LANÇAMENTOS DIÁRIOS'!$P$5:$P$500,"&gt;=119680")&gt;0,"X","")</f>
      </c>
      <c r="Z86" s="56" t="str">
        <f>IF(COUNTIFS('LANÇAMENTOS DIÁRIOS'!$G$5:$G$500,"G",'LANÇAMENTOS DIÁRIOS'!$C$5:$C$500,$A86,'LANÇAMENTOS DIÁRIOS'!$O$5:$O$500,"&lt;=119879",'LANÇAMENTOS DIÁRIOS'!$P$5:$P$500,"&gt;=119780")&gt;0,"X","")</f>
      </c>
      <c r="AA86" s="56" t="str">
        <f>IF(COUNTIFS('LANÇAMENTOS DIÁRIOS'!$G$5:$G$500,"G",'LANÇAMENTOS DIÁRIOS'!$C$5:$C$500,$A86,'LANÇAMENTOS DIÁRIOS'!$O$5:$O$500,"&lt;=119979",'LANÇAMENTOS DIÁRIOS'!$P$5:$P$500,"&gt;=119880")&gt;0,"X","")</f>
      </c>
      <c r="AB86" s="56" t="str">
        <f>IF(COUNTIFS('LANÇAMENTOS DIÁRIOS'!$G$5:$G$500,"G",'LANÇAMENTOS DIÁRIOS'!$C$5:$C$500,$A86,'LANÇAMENTOS DIÁRIOS'!$O$5:$O$500,"&lt;=120079",'LANÇAMENTOS DIÁRIOS'!$P$5:$P$500,"&gt;=119980")&gt;0,"X","")</f>
      </c>
      <c r="AC86" s="56" t="str">
        <f>IF(COUNTIFS('LANÇAMENTOS DIÁRIOS'!$G$5:$G$500,"G",'LANÇAMENTOS DIÁRIOS'!$C$5:$C$500,$A86,'LANÇAMENTOS DIÁRIOS'!$O$5:$O$500,"&lt;=120179",'LANÇAMENTOS DIÁRIOS'!$P$5:$P$500,"&gt;=120080")&gt;0,"X","")</f>
      </c>
      <c r="AD86" s="56" t="str">
        <f>IF(COUNTIFS('LANÇAMENTOS DIÁRIOS'!$G$5:$G$500,"G",'LANÇAMENTOS DIÁRIOS'!$C$5:$C$500,$A86,'LANÇAMENTOS DIÁRIOS'!$O$5:$O$500,"&lt;=120279",'LANÇAMENTOS DIÁRIOS'!$P$5:$P$500,"&gt;=120180")&gt;0,"X","")</f>
      </c>
      <c r="AE86" s="56" t="str">
        <f>IF(COUNTIFS('LANÇAMENTOS DIÁRIOS'!$G$5:$G$500,"G",'LANÇAMENTOS DIÁRIOS'!$C$5:$C$500,$A86,'LANÇAMENTOS DIÁRIOS'!$O$5:$O$500,"&lt;=120379",'LANÇAMENTOS DIÁRIOS'!$P$5:$P$500,"&gt;=120280")&gt;0,"X","")</f>
      </c>
      <c r="AF86" s="56" t="str">
        <f>IF(COUNTIFS('LANÇAMENTOS DIÁRIOS'!$G$5:$G$500,"G",'LANÇAMENTOS DIÁRIOS'!$C$5:$C$500,$A86,'LANÇAMENTOS DIÁRIOS'!$O$5:$O$500,"&lt;=120479",'LANÇAMENTOS DIÁRIOS'!$P$5:$P$500,"&gt;=120380")&gt;0,"X","")</f>
      </c>
      <c r="AG86" s="56" t="str">
        <f>IF(COUNTIFS('LANÇAMENTOS DIÁRIOS'!$G$5:$G$500,"G",'LANÇAMENTOS DIÁRIOS'!$C$5:$C$500,$A86,'LANÇAMENTOS DIÁRIOS'!$O$5:$O$500,"&lt;=120579",'LANÇAMENTOS DIÁRIOS'!$P$5:$P$500,"&gt;=120480")&gt;0,"X","")</f>
      </c>
      <c r="AH86" s="56" t="str">
        <f>IF(COUNTIFS('LANÇAMENTOS DIÁRIOS'!$G$5:$G$500,"G",'LANÇAMENTOS DIÁRIOS'!$C$5:$C$500,$A86,'LANÇAMENTOS DIÁRIOS'!$O$5:$O$500,"&lt;=120679",'LANÇAMENTOS DIÁRIOS'!$P$5:$P$500,"&gt;=120580")&gt;0,"X","")</f>
      </c>
      <c r="AI86" s="56" t="str">
        <f>IF(COUNTIFS('LANÇAMENTOS DIÁRIOS'!$G$5:$G$500,"G",'LANÇAMENTOS DIÁRIOS'!$C$5:$C$500,$A86,'LANÇAMENTOS DIÁRIOS'!$O$5:$O$500,"&lt;=120779",'LANÇAMENTOS DIÁRIOS'!$P$5:$P$500,"&gt;=120680")&gt;0,"X","")</f>
      </c>
      <c r="AJ86" s="56" t="str">
        <f>IF(COUNTIFS('LANÇAMENTOS DIÁRIOS'!$G$5:$G$500,"G",'LANÇAMENTOS DIÁRIOS'!$C$5:$C$500,$A86,'LANÇAMENTOS DIÁRIOS'!$O$5:$O$500,"&lt;=120879",'LANÇAMENTOS DIÁRIOS'!$P$5:$P$500,"&gt;=120780")&gt;0,"X","")</f>
      </c>
      <c r="AK86" s="56" t="str">
        <f>IF(COUNTIFS('LANÇAMENTOS DIÁRIOS'!$G$5:$G$500,"G",'LANÇAMENTOS DIÁRIOS'!$C$5:$C$500,$A86,'LANÇAMENTOS DIÁRIOS'!$O$5:$O$500,"&lt;=120979",'LANÇAMENTOS DIÁRIOS'!$P$5:$P$500,"&gt;=120880")&gt;0,"X","")</f>
      </c>
      <c r="AL86" s="56" t="str">
        <f>IF(COUNTIFS('LANÇAMENTOS DIÁRIOS'!$G$5:$G$500,"G",'LANÇAMENTOS DIÁRIOS'!$C$5:$C$500,$A86,'LANÇAMENTOS DIÁRIOS'!$O$5:$O$500,"&lt;=121079",'LANÇAMENTOS DIÁRIOS'!$P$5:$P$500,"&gt;=120980")&gt;0,"X","")</f>
      </c>
      <c r="AM86" s="56" t="str">
        <f>IF(COUNTIFS('LANÇAMENTOS DIÁRIOS'!$G$5:$G$500,"G",'LANÇAMENTOS DIÁRIOS'!$C$5:$C$500,$A86,'LANÇAMENTOS DIÁRIOS'!$O$5:$O$500,"&lt;=121179",'LANÇAMENTOS DIÁRIOS'!$P$5:$P$500,"&gt;=121080")&gt;0,"X","")</f>
      </c>
      <c r="AN86" s="56" t="str">
        <f>IF(COUNTIFS('LANÇAMENTOS DIÁRIOS'!$G$5:$G$500,"G",'LANÇAMENTOS DIÁRIOS'!$C$5:$C$500,$A86,'LANÇAMENTOS DIÁRIOS'!$O$5:$O$500,"&lt;=121279",'LANÇAMENTOS DIÁRIOS'!$P$5:$P$500,"&gt;=121180")&gt;0,"X","")</f>
      </c>
      <c r="AO86" s="56" t="str">
        <f>IF(COUNTIFS('LANÇAMENTOS DIÁRIOS'!$G$5:$G$500,"G",'LANÇAMENTOS DIÁRIOS'!$C$5:$C$500,$A86,'LANÇAMENTOS DIÁRIOS'!$O$5:$O$500,"&lt;=121379",'LANÇAMENTOS DIÁRIOS'!$P$5:$P$500,"&gt;=121280")&gt;0,"X","")</f>
      </c>
      <c r="AP86" s="56" t="str">
        <f>IF(COUNTIFS('LANÇAMENTOS DIÁRIOS'!$G$5:$G$500,"G",'LANÇAMENTOS DIÁRIOS'!$C$5:$C$500,$A86,'LANÇAMENTOS DIÁRIOS'!$O$5:$O$500,"&lt;=121479",'LANÇAMENTOS DIÁRIOS'!$P$5:$P$500,"&gt;=121380")&gt;0,"X","")</f>
      </c>
      <c r="AQ86" s="56" t="str">
        <f>IF(COUNTIFS('LANÇAMENTOS DIÁRIOS'!$G$5:$G$500,"G",'LANÇAMENTOS DIÁRIOS'!$C$5:$C$500,$A86,'LANÇAMENTOS DIÁRIOS'!$O$5:$O$500,"&lt;=121579",'LANÇAMENTOS DIÁRIOS'!$P$5:$P$500,"&gt;=121480")&gt;0,"X","")</f>
      </c>
      <c r="AR86" s="56" t="str">
        <f>IF(COUNTIFS('LANÇAMENTOS DIÁRIOS'!$G$5:$G$500,"G",'LANÇAMENTOS DIÁRIOS'!$C$5:$C$500,$A86,'LANÇAMENTOS DIÁRIOS'!$O$5:$O$500,"&lt;=121679",'LANÇAMENTOS DIÁRIOS'!$P$5:$P$500,"&gt;=121580")&gt;0,"X","")</f>
      </c>
      <c r="AS86" s="56" t="str">
        <f>IF(COUNTIFS('LANÇAMENTOS DIÁRIOS'!$G$5:$G$500,"G",'LANÇAMENTOS DIÁRIOS'!$C$5:$C$500,$A86,'LANÇAMENTOS DIÁRIOS'!$O$5:$O$500,"&lt;=121779",'LANÇAMENTOS DIÁRIOS'!$P$5:$P$500,"&gt;=121680")&gt;0,"X","")</f>
      </c>
      <c r="AT86" s="56" t="str">
        <f>IF(COUNTIFS('LANÇAMENTOS DIÁRIOS'!$G$5:$G$500,"G",'LANÇAMENTOS DIÁRIOS'!$C$5:$C$500,$A86,'LANÇAMENTOS DIÁRIOS'!$O$5:$O$500,"&lt;=121879",'LANÇAMENTOS DIÁRIOS'!$P$5:$P$500,"&gt;=121780")&gt;0,"X","")</f>
      </c>
      <c r="AU86" s="56" t="str">
        <f>IF(COUNTIFS('LANÇAMENTOS DIÁRIOS'!$G$5:$G$500,"G",'LANÇAMENTOS DIÁRIOS'!$C$5:$C$500,$A86,'LANÇAMENTOS DIÁRIOS'!$O$5:$O$500,"&lt;=121979",'LANÇAMENTOS DIÁRIOS'!$P$5:$P$500,"&gt;=121880")&gt;0,"X","")</f>
      </c>
      <c r="AV86" s="56" t="str">
        <f>IF(COUNTIFS('LANÇAMENTOS DIÁRIOS'!$G$5:$G$500,"G",'LANÇAMENTOS DIÁRIOS'!$C$5:$C$500,$A86,'LANÇAMENTOS DIÁRIOS'!$O$5:$O$500,"&lt;=122079",'LANÇAMENTOS DIÁRIOS'!$P$5:$P$500,"&gt;=121980")&gt;0,"X","")</f>
      </c>
      <c r="AW86" s="56" t="str">
        <f>IF(COUNTIFS('LANÇAMENTOS DIÁRIOS'!$G$5:$G$500,"G",'LANÇAMENTOS DIÁRIOS'!$C$5:$C$500,$A86,'LANÇAMENTOS DIÁRIOS'!$O$5:$O$500,"&lt;=122179",'LANÇAMENTOS DIÁRIOS'!$P$5:$P$500,"&gt;=122080")&gt;0,"X","")</f>
      </c>
      <c r="AX86" s="56" t="str">
        <f>IF(COUNTIFS('LANÇAMENTOS DIÁRIOS'!$G$5:$G$500,"G",'LANÇAMENTOS DIÁRIOS'!$C$5:$C$500,$A86,'LANÇAMENTOS DIÁRIOS'!$O$5:$O$500,"&lt;=122279",'LANÇAMENTOS DIÁRIOS'!$P$5:$P$500,"&gt;=122180")&gt;0,"X","")</f>
      </c>
      <c r="AY86" s="56" t="str">
        <f>IF(COUNTIFS('LANÇAMENTOS DIÁRIOS'!$G$5:$G$500,"G",'LANÇAMENTOS DIÁRIOS'!$C$5:$C$500,$A86,'LANÇAMENTOS DIÁRIOS'!$O$5:$O$500,"&lt;=122379",'LANÇAMENTOS DIÁRIOS'!$P$5:$P$500,"&gt;=122280")&gt;0,"X","")</f>
      </c>
      <c r="AZ86" s="56" t="str">
        <f>IF(COUNTIFS('LANÇAMENTOS DIÁRIOS'!$G$5:$G$500,"G",'LANÇAMENTOS DIÁRIOS'!$C$5:$C$500,$A86,'LANÇAMENTOS DIÁRIOS'!$O$5:$O$500,"&lt;=122479",'LANÇAMENTOS DIÁRIOS'!$P$5:$P$500,"&gt;=122380")&gt;0,"X","")</f>
      </c>
      <c r="BA86" s="56" t="str">
        <f>IF(COUNTIFS('LANÇAMENTOS DIÁRIOS'!$G$5:$G$500,"G",'LANÇAMENTOS DIÁRIOS'!$C$5:$C$500,$A86,'LANÇAMENTOS DIÁRIOS'!$O$5:$O$500,"&lt;=122579",'LANÇAMENTOS DIÁRIOS'!$P$5:$P$500,"&gt;=122480")&gt;0,"X","")</f>
      </c>
      <c r="BB86" s="56" t="str">
        <f>IF(COUNTIFS('LANÇAMENTOS DIÁRIOS'!$G$5:$G$500,"G",'LANÇAMENTOS DIÁRIOS'!$C$5:$C$500,$A86,'LANÇAMENTOS DIÁRIOS'!$O$5:$O$500,"&lt;=122679",'LANÇAMENTOS DIÁRIOS'!$P$5:$P$500,"&gt;=122580")&gt;0,"X","")</f>
      </c>
      <c r="BC86" s="56" t="str">
        <f>IF(COUNTIFS('LANÇAMENTOS DIÁRIOS'!$G$5:$G$500,"G",'LANÇAMENTOS DIÁRIOS'!$C$5:$C$500,$A86,'LANÇAMENTOS DIÁRIOS'!$O$5:$O$500,"&lt;=122779",'LANÇAMENTOS DIÁRIOS'!$P$5:$P$500,"&gt;=122680")&gt;0,"X","")</f>
      </c>
      <c r="BD86" s="56" t="str">
        <f>IF(COUNTIFS('LANÇAMENTOS DIÁRIOS'!$G$5:$G$500,"G",'LANÇAMENTOS DIÁRIOS'!$C$5:$C$500,$A86,'LANÇAMENTOS DIÁRIOS'!$O$5:$O$500,"&lt;=122879",'LANÇAMENTOS DIÁRIOS'!$P$5:$P$500,"&gt;=122780")&gt;0,"X","")</f>
      </c>
      <c r="BE86" s="56" t="str">
        <f>IF(COUNTIFS('LANÇAMENTOS DIÁRIOS'!$G$5:$G$500,"G",'LANÇAMENTOS DIÁRIOS'!$C$5:$C$500,$A86,'LANÇAMENTOS DIÁRIOS'!$O$5:$O$500,"&lt;=122979",'LANÇAMENTOS DIÁRIOS'!$P$5:$P$500,"&gt;=122880")&gt;0,"X","")</f>
      </c>
      <c r="BF86" s="56" t="str">
        <f>IF(COUNTIFS('LANÇAMENTOS DIÁRIOS'!$G$5:$G$500,"G",'LANÇAMENTOS DIÁRIOS'!$C$5:$C$500,$A86,'LANÇAMENTOS DIÁRIOS'!$O$5:$O$500,"&lt;=123079",'LANÇAMENTOS DIÁRIOS'!$P$5:$P$500,"&gt;=122980")&gt;0,"X","")</f>
      </c>
      <c r="BG86" s="56" t="str">
        <f>IF(COUNTIFS('LANÇAMENTOS DIÁRIOS'!$G$5:$G$500,"G",'LANÇAMENTOS DIÁRIOS'!$C$5:$C$500,$A86,'LANÇAMENTOS DIÁRIOS'!$O$5:$O$500,"&lt;=123179",'LANÇAMENTOS DIÁRIOS'!$P$5:$P$500,"&gt;=123080")&gt;0,"X","")</f>
      </c>
      <c r="BH86" s="56" t="str">
        <f>IF(COUNTIFS('LANÇAMENTOS DIÁRIOS'!$G$5:$G$500,"G",'LANÇAMENTOS DIÁRIOS'!$C$5:$C$500,$A86,'LANÇAMENTOS DIÁRIOS'!$O$5:$O$500,"&lt;=123279",'LANÇAMENTOS DIÁRIOS'!$P$5:$P$500,"&gt;=123180")&gt;0,"X","")</f>
      </c>
      <c r="BI86" s="56" t="str">
        <f>IF(COUNTIFS('LANÇAMENTOS DIÁRIOS'!$G$5:$G$500,"G",'LANÇAMENTOS DIÁRIOS'!$C$5:$C$500,$A86,'LANÇAMENTOS DIÁRIOS'!$O$5:$O$500,"&lt;=123379",'LANÇAMENTOS DIÁRIOS'!$P$5:$P$500,"&gt;=123280")&gt;0,"X","")</f>
      </c>
      <c r="BJ86" s="56" t="str">
        <f>IF(COUNTIFS('LANÇAMENTOS DIÁRIOS'!$G$5:$G$500,"G",'LANÇAMENTOS DIÁRIOS'!$C$5:$C$500,$A86,'LANÇAMENTOS DIÁRIOS'!$O$5:$O$500,"&lt;=123479",'LANÇAMENTOS DIÁRIOS'!$P$5:$P$500,"&gt;=123380")&gt;0,"X","")</f>
      </c>
      <c r="BK86" s="56" t="str">
        <f>IF(COUNTIFS('LANÇAMENTOS DIÁRIOS'!$G$5:$G$500,"G",'LANÇAMENTOS DIÁRIOS'!$C$5:$C$500,$A86,'LANÇAMENTOS DIÁRIOS'!$O$5:$O$500,"&lt;=123480",'LANÇAMENTOS DIÁRIOS'!$P$5:$P$500,"&gt;=123480")&gt;0,"X","")</f>
      </c>
    </row>
    <row r="87">
      <c r="A87" s="51" t="str">
        <v>Concreto betuminoso usinado a quente SPV 16 mm, modificado por borracha, sem o fornecimento de CAP</v>
      </c>
      <c r="B87" s="56" t="str">
        <f>IF(COUNTIFS('LANÇAMENTOS DIÁRIOS'!$G$5:$G$500,"G",'LANÇAMENTOS DIÁRIOS'!$C$5:$C$500,$A87,'LANÇAMENTOS DIÁRIOS'!$O$5:$O$500,"&lt;=117479",'LANÇAMENTOS DIÁRIOS'!$P$5:$P$500,"&gt;=117380")&gt;0,"X","")</f>
      </c>
      <c r="C87" s="56" t="str">
        <f>IF(COUNTIFS('LANÇAMENTOS DIÁRIOS'!$G$5:$G$500,"G",'LANÇAMENTOS DIÁRIOS'!$C$5:$C$500,$A87,'LANÇAMENTOS DIÁRIOS'!$O$5:$O$500,"&lt;=117579",'LANÇAMENTOS DIÁRIOS'!$P$5:$P$500,"&gt;=117480")&gt;0,"X","")</f>
      </c>
      <c r="D87" s="56" t="str">
        <f>IF(COUNTIFS('LANÇAMENTOS DIÁRIOS'!$G$5:$G$500,"G",'LANÇAMENTOS DIÁRIOS'!$C$5:$C$500,$A87,'LANÇAMENTOS DIÁRIOS'!$O$5:$O$500,"&lt;=117679",'LANÇAMENTOS DIÁRIOS'!$P$5:$P$500,"&gt;=117580")&gt;0,"X","")</f>
      </c>
      <c r="E87" s="56" t="str">
        <f>IF(COUNTIFS('LANÇAMENTOS DIÁRIOS'!$G$5:$G$500,"G",'LANÇAMENTOS DIÁRIOS'!$C$5:$C$500,$A87,'LANÇAMENTOS DIÁRIOS'!$O$5:$O$500,"&lt;=117779",'LANÇAMENTOS DIÁRIOS'!$P$5:$P$500,"&gt;=117680")&gt;0,"X","")</f>
      </c>
      <c r="F87" s="56" t="str">
        <f>IF(COUNTIFS('LANÇAMENTOS DIÁRIOS'!$G$5:$G$500,"G",'LANÇAMENTOS DIÁRIOS'!$C$5:$C$500,$A87,'LANÇAMENTOS DIÁRIOS'!$O$5:$O$500,"&lt;=117879",'LANÇAMENTOS DIÁRIOS'!$P$5:$P$500,"&gt;=117780")&gt;0,"X","")</f>
      </c>
      <c r="G87" s="56" t="str">
        <f>IF(COUNTIFS('LANÇAMENTOS DIÁRIOS'!$G$5:$G$500,"G",'LANÇAMENTOS DIÁRIOS'!$C$5:$C$500,$A87,'LANÇAMENTOS DIÁRIOS'!$O$5:$O$500,"&lt;=117979",'LANÇAMENTOS DIÁRIOS'!$P$5:$P$500,"&gt;=117880")&gt;0,"X","")</f>
      </c>
      <c r="H87" s="56" t="str">
        <f>IF(COUNTIFS('LANÇAMENTOS DIÁRIOS'!$G$5:$G$500,"G",'LANÇAMENTOS DIÁRIOS'!$C$5:$C$500,$A87,'LANÇAMENTOS DIÁRIOS'!$O$5:$O$500,"&lt;=118079",'LANÇAMENTOS DIÁRIOS'!$P$5:$P$500,"&gt;=117980")&gt;0,"X","")</f>
      </c>
      <c r="I87" s="56" t="str">
        <f>IF(COUNTIFS('LANÇAMENTOS DIÁRIOS'!$G$5:$G$500,"G",'LANÇAMENTOS DIÁRIOS'!$C$5:$C$500,$A87,'LANÇAMENTOS DIÁRIOS'!$O$5:$O$500,"&lt;=118179",'LANÇAMENTOS DIÁRIOS'!$P$5:$P$500,"&gt;=118080")&gt;0,"X","")</f>
      </c>
      <c r="J87" s="56" t="str">
        <f>IF(COUNTIFS('LANÇAMENTOS DIÁRIOS'!$G$5:$G$500,"G",'LANÇAMENTOS DIÁRIOS'!$C$5:$C$500,$A87,'LANÇAMENTOS DIÁRIOS'!$O$5:$O$500,"&lt;=118279",'LANÇAMENTOS DIÁRIOS'!$P$5:$P$500,"&gt;=118180")&gt;0,"X","")</f>
      </c>
      <c r="K87" s="56" t="str">
        <f>IF(COUNTIFS('LANÇAMENTOS DIÁRIOS'!$G$5:$G$500,"G",'LANÇAMENTOS DIÁRIOS'!$C$5:$C$500,$A87,'LANÇAMENTOS DIÁRIOS'!$O$5:$O$500,"&lt;=118379",'LANÇAMENTOS DIÁRIOS'!$P$5:$P$500,"&gt;=118280")&gt;0,"X","")</f>
      </c>
      <c r="L87" s="56" t="str">
        <f>IF(COUNTIFS('LANÇAMENTOS DIÁRIOS'!$G$5:$G$500,"G",'LANÇAMENTOS DIÁRIOS'!$C$5:$C$500,$A87,'LANÇAMENTOS DIÁRIOS'!$O$5:$O$500,"&lt;=118479",'LANÇAMENTOS DIÁRIOS'!$P$5:$P$500,"&gt;=118380")&gt;0,"X","")</f>
      </c>
      <c r="M87" s="56" t="str">
        <f>IF(COUNTIFS('LANÇAMENTOS DIÁRIOS'!$G$5:$G$500,"G",'LANÇAMENTOS DIÁRIOS'!$C$5:$C$500,$A87,'LANÇAMENTOS DIÁRIOS'!$O$5:$O$500,"&lt;=118579",'LANÇAMENTOS DIÁRIOS'!$P$5:$P$500,"&gt;=118480")&gt;0,"X","")</f>
      </c>
      <c r="N87" s="56" t="str">
        <f>IF(COUNTIFS('LANÇAMENTOS DIÁRIOS'!$G$5:$G$500,"G",'LANÇAMENTOS DIÁRIOS'!$C$5:$C$500,$A87,'LANÇAMENTOS DIÁRIOS'!$O$5:$O$500,"&lt;=118679",'LANÇAMENTOS DIÁRIOS'!$P$5:$P$500,"&gt;=118580")&gt;0,"X","")</f>
      </c>
      <c r="O87" s="56" t="str">
        <f>IF(COUNTIFS('LANÇAMENTOS DIÁRIOS'!$G$5:$G$500,"G",'LANÇAMENTOS DIÁRIOS'!$C$5:$C$500,$A87,'LANÇAMENTOS DIÁRIOS'!$O$5:$O$500,"&lt;=118779",'LANÇAMENTOS DIÁRIOS'!$P$5:$P$500,"&gt;=118680")&gt;0,"X","")</f>
      </c>
      <c r="P87" s="56" t="str">
        <f>IF(COUNTIFS('LANÇAMENTOS DIÁRIOS'!$G$5:$G$500,"G",'LANÇAMENTOS DIÁRIOS'!$C$5:$C$500,$A87,'LANÇAMENTOS DIÁRIOS'!$O$5:$O$500,"&lt;=118879",'LANÇAMENTOS DIÁRIOS'!$P$5:$P$500,"&gt;=118780")&gt;0,"X","")</f>
      </c>
      <c r="Q87" s="56" t="str">
        <f>IF(COUNTIFS('LANÇAMENTOS DIÁRIOS'!$G$5:$G$500,"G",'LANÇAMENTOS DIÁRIOS'!$C$5:$C$500,$A87,'LANÇAMENTOS DIÁRIOS'!$O$5:$O$500,"&lt;=118979",'LANÇAMENTOS DIÁRIOS'!$P$5:$P$500,"&gt;=118880")&gt;0,"X","")</f>
      </c>
      <c r="R87" s="56" t="str">
        <f>IF(COUNTIFS('LANÇAMENTOS DIÁRIOS'!$G$5:$G$500,"G",'LANÇAMENTOS DIÁRIOS'!$C$5:$C$500,$A87,'LANÇAMENTOS DIÁRIOS'!$O$5:$O$500,"&lt;=119079",'LANÇAMENTOS DIÁRIOS'!$P$5:$P$500,"&gt;=118980")&gt;0,"X","")</f>
      </c>
      <c r="S87" s="56" t="str">
        <f>IF(COUNTIFS('LANÇAMENTOS DIÁRIOS'!$G$5:$G$500,"G",'LANÇAMENTOS DIÁRIOS'!$C$5:$C$500,$A87,'LANÇAMENTOS DIÁRIOS'!$O$5:$O$500,"&lt;=119179",'LANÇAMENTOS DIÁRIOS'!$P$5:$P$500,"&gt;=119080")&gt;0,"X","")</f>
      </c>
      <c r="T87" s="56" t="str">
        <f>IF(COUNTIFS('LANÇAMENTOS DIÁRIOS'!$G$5:$G$500,"G",'LANÇAMENTOS DIÁRIOS'!$C$5:$C$500,$A87,'LANÇAMENTOS DIÁRIOS'!$O$5:$O$500,"&lt;=119279",'LANÇAMENTOS DIÁRIOS'!$P$5:$P$500,"&gt;=119180")&gt;0,"X","")</f>
      </c>
      <c r="U87" s="56" t="str">
        <f>IF(COUNTIFS('LANÇAMENTOS DIÁRIOS'!$G$5:$G$500,"G",'LANÇAMENTOS DIÁRIOS'!$C$5:$C$500,$A87,'LANÇAMENTOS DIÁRIOS'!$O$5:$O$500,"&lt;=119379",'LANÇAMENTOS DIÁRIOS'!$P$5:$P$500,"&gt;=119280")&gt;0,"X","")</f>
      </c>
      <c r="V87" s="56" t="str">
        <f>IF(COUNTIFS('LANÇAMENTOS DIÁRIOS'!$G$5:$G$500,"G",'LANÇAMENTOS DIÁRIOS'!$C$5:$C$500,$A87,'LANÇAMENTOS DIÁRIOS'!$O$5:$O$500,"&lt;=119479",'LANÇAMENTOS DIÁRIOS'!$P$5:$P$500,"&gt;=119380")&gt;0,"X","")</f>
      </c>
      <c r="W87" s="56" t="str">
        <f>IF(COUNTIFS('LANÇAMENTOS DIÁRIOS'!$G$5:$G$500,"G",'LANÇAMENTOS DIÁRIOS'!$C$5:$C$500,$A87,'LANÇAMENTOS DIÁRIOS'!$O$5:$O$500,"&lt;=119579",'LANÇAMENTOS DIÁRIOS'!$P$5:$P$500,"&gt;=119480")&gt;0,"X","")</f>
      </c>
      <c r="X87" s="56" t="str">
        <f>IF(COUNTIFS('LANÇAMENTOS DIÁRIOS'!$G$5:$G$500,"G",'LANÇAMENTOS DIÁRIOS'!$C$5:$C$500,$A87,'LANÇAMENTOS DIÁRIOS'!$O$5:$O$500,"&lt;=119679",'LANÇAMENTOS DIÁRIOS'!$P$5:$P$500,"&gt;=119580")&gt;0,"X","")</f>
      </c>
      <c r="Y87" s="56" t="str">
        <f>IF(COUNTIFS('LANÇAMENTOS DIÁRIOS'!$G$5:$G$500,"G",'LANÇAMENTOS DIÁRIOS'!$C$5:$C$500,$A87,'LANÇAMENTOS DIÁRIOS'!$O$5:$O$500,"&lt;=119779",'LANÇAMENTOS DIÁRIOS'!$P$5:$P$500,"&gt;=119680")&gt;0,"X","")</f>
      </c>
      <c r="Z87" s="56" t="str">
        <f>IF(COUNTIFS('LANÇAMENTOS DIÁRIOS'!$G$5:$G$500,"G",'LANÇAMENTOS DIÁRIOS'!$C$5:$C$500,$A87,'LANÇAMENTOS DIÁRIOS'!$O$5:$O$500,"&lt;=119879",'LANÇAMENTOS DIÁRIOS'!$P$5:$P$500,"&gt;=119780")&gt;0,"X","")</f>
      </c>
      <c r="AA87" s="56" t="str">
        <f>IF(COUNTIFS('LANÇAMENTOS DIÁRIOS'!$G$5:$G$500,"G",'LANÇAMENTOS DIÁRIOS'!$C$5:$C$500,$A87,'LANÇAMENTOS DIÁRIOS'!$O$5:$O$500,"&lt;=119979",'LANÇAMENTOS DIÁRIOS'!$P$5:$P$500,"&gt;=119880")&gt;0,"X","")</f>
      </c>
      <c r="AB87" s="56" t="str">
        <f>IF(COUNTIFS('LANÇAMENTOS DIÁRIOS'!$G$5:$G$500,"G",'LANÇAMENTOS DIÁRIOS'!$C$5:$C$500,$A87,'LANÇAMENTOS DIÁRIOS'!$O$5:$O$500,"&lt;=120079",'LANÇAMENTOS DIÁRIOS'!$P$5:$P$500,"&gt;=119980")&gt;0,"X","")</f>
      </c>
      <c r="AC87" s="56" t="str">
        <f>IF(COUNTIFS('LANÇAMENTOS DIÁRIOS'!$G$5:$G$500,"G",'LANÇAMENTOS DIÁRIOS'!$C$5:$C$500,$A87,'LANÇAMENTOS DIÁRIOS'!$O$5:$O$500,"&lt;=120179",'LANÇAMENTOS DIÁRIOS'!$P$5:$P$500,"&gt;=120080")&gt;0,"X","")</f>
      </c>
      <c r="AD87" s="56" t="str">
        <f>IF(COUNTIFS('LANÇAMENTOS DIÁRIOS'!$G$5:$G$500,"G",'LANÇAMENTOS DIÁRIOS'!$C$5:$C$500,$A87,'LANÇAMENTOS DIÁRIOS'!$O$5:$O$500,"&lt;=120279",'LANÇAMENTOS DIÁRIOS'!$P$5:$P$500,"&gt;=120180")&gt;0,"X","")</f>
      </c>
      <c r="AE87" s="56" t="str">
        <f>IF(COUNTIFS('LANÇAMENTOS DIÁRIOS'!$G$5:$G$500,"G",'LANÇAMENTOS DIÁRIOS'!$C$5:$C$500,$A87,'LANÇAMENTOS DIÁRIOS'!$O$5:$O$500,"&lt;=120379",'LANÇAMENTOS DIÁRIOS'!$P$5:$P$500,"&gt;=120280")&gt;0,"X","")</f>
      </c>
      <c r="AF87" s="56" t="str">
        <f>IF(COUNTIFS('LANÇAMENTOS DIÁRIOS'!$G$5:$G$500,"G",'LANÇAMENTOS DIÁRIOS'!$C$5:$C$500,$A87,'LANÇAMENTOS DIÁRIOS'!$O$5:$O$500,"&lt;=120479",'LANÇAMENTOS DIÁRIOS'!$P$5:$P$500,"&gt;=120380")&gt;0,"X","")</f>
      </c>
      <c r="AG87" s="56" t="str">
        <f>IF(COUNTIFS('LANÇAMENTOS DIÁRIOS'!$G$5:$G$500,"G",'LANÇAMENTOS DIÁRIOS'!$C$5:$C$500,$A87,'LANÇAMENTOS DIÁRIOS'!$O$5:$O$500,"&lt;=120579",'LANÇAMENTOS DIÁRIOS'!$P$5:$P$500,"&gt;=120480")&gt;0,"X","")</f>
      </c>
      <c r="AH87" s="56" t="str">
        <f>IF(COUNTIFS('LANÇAMENTOS DIÁRIOS'!$G$5:$G$500,"G",'LANÇAMENTOS DIÁRIOS'!$C$5:$C$500,$A87,'LANÇAMENTOS DIÁRIOS'!$O$5:$O$500,"&lt;=120679",'LANÇAMENTOS DIÁRIOS'!$P$5:$P$500,"&gt;=120580")&gt;0,"X","")</f>
      </c>
      <c r="AI87" s="56" t="str">
        <f>IF(COUNTIFS('LANÇAMENTOS DIÁRIOS'!$G$5:$G$500,"G",'LANÇAMENTOS DIÁRIOS'!$C$5:$C$500,$A87,'LANÇAMENTOS DIÁRIOS'!$O$5:$O$500,"&lt;=120779",'LANÇAMENTOS DIÁRIOS'!$P$5:$P$500,"&gt;=120680")&gt;0,"X","")</f>
      </c>
      <c r="AJ87" s="56" t="str">
        <f>IF(COUNTIFS('LANÇAMENTOS DIÁRIOS'!$G$5:$G$500,"G",'LANÇAMENTOS DIÁRIOS'!$C$5:$C$500,$A87,'LANÇAMENTOS DIÁRIOS'!$O$5:$O$500,"&lt;=120879",'LANÇAMENTOS DIÁRIOS'!$P$5:$P$500,"&gt;=120780")&gt;0,"X","")</f>
      </c>
      <c r="AK87" s="56" t="str">
        <f>IF(COUNTIFS('LANÇAMENTOS DIÁRIOS'!$G$5:$G$500,"G",'LANÇAMENTOS DIÁRIOS'!$C$5:$C$500,$A87,'LANÇAMENTOS DIÁRIOS'!$O$5:$O$500,"&lt;=120979",'LANÇAMENTOS DIÁRIOS'!$P$5:$P$500,"&gt;=120880")&gt;0,"X","")</f>
      </c>
      <c r="AL87" s="56" t="str">
        <f>IF(COUNTIFS('LANÇAMENTOS DIÁRIOS'!$G$5:$G$500,"G",'LANÇAMENTOS DIÁRIOS'!$C$5:$C$500,$A87,'LANÇAMENTOS DIÁRIOS'!$O$5:$O$500,"&lt;=121079",'LANÇAMENTOS DIÁRIOS'!$P$5:$P$500,"&gt;=120980")&gt;0,"X","")</f>
      </c>
      <c r="AM87" s="56" t="str">
        <f>IF(COUNTIFS('LANÇAMENTOS DIÁRIOS'!$G$5:$G$500,"G",'LANÇAMENTOS DIÁRIOS'!$C$5:$C$500,$A87,'LANÇAMENTOS DIÁRIOS'!$O$5:$O$500,"&lt;=121179",'LANÇAMENTOS DIÁRIOS'!$P$5:$P$500,"&gt;=121080")&gt;0,"X","")</f>
      </c>
      <c r="AN87" s="56" t="str">
        <f>IF(COUNTIFS('LANÇAMENTOS DIÁRIOS'!$G$5:$G$500,"G",'LANÇAMENTOS DIÁRIOS'!$C$5:$C$500,$A87,'LANÇAMENTOS DIÁRIOS'!$O$5:$O$500,"&lt;=121279",'LANÇAMENTOS DIÁRIOS'!$P$5:$P$500,"&gt;=121180")&gt;0,"X","")</f>
      </c>
      <c r="AO87" s="56" t="str">
        <f>IF(COUNTIFS('LANÇAMENTOS DIÁRIOS'!$G$5:$G$500,"G",'LANÇAMENTOS DIÁRIOS'!$C$5:$C$500,$A87,'LANÇAMENTOS DIÁRIOS'!$O$5:$O$500,"&lt;=121379",'LANÇAMENTOS DIÁRIOS'!$P$5:$P$500,"&gt;=121280")&gt;0,"X","")</f>
      </c>
      <c r="AP87" s="56" t="str">
        <f>IF(COUNTIFS('LANÇAMENTOS DIÁRIOS'!$G$5:$G$500,"G",'LANÇAMENTOS DIÁRIOS'!$C$5:$C$500,$A87,'LANÇAMENTOS DIÁRIOS'!$O$5:$O$500,"&lt;=121479",'LANÇAMENTOS DIÁRIOS'!$P$5:$P$500,"&gt;=121380")&gt;0,"X","")</f>
      </c>
      <c r="AQ87" s="56" t="str">
        <f>IF(COUNTIFS('LANÇAMENTOS DIÁRIOS'!$G$5:$G$500,"G",'LANÇAMENTOS DIÁRIOS'!$C$5:$C$500,$A87,'LANÇAMENTOS DIÁRIOS'!$O$5:$O$500,"&lt;=121579",'LANÇAMENTOS DIÁRIOS'!$P$5:$P$500,"&gt;=121480")&gt;0,"X","")</f>
      </c>
      <c r="AR87" s="56" t="str">
        <f>IF(COUNTIFS('LANÇAMENTOS DIÁRIOS'!$G$5:$G$500,"G",'LANÇAMENTOS DIÁRIOS'!$C$5:$C$500,$A87,'LANÇAMENTOS DIÁRIOS'!$O$5:$O$500,"&lt;=121679",'LANÇAMENTOS DIÁRIOS'!$P$5:$P$500,"&gt;=121580")&gt;0,"X","")</f>
      </c>
      <c r="AS87" s="56" t="str">
        <f>IF(COUNTIFS('LANÇAMENTOS DIÁRIOS'!$G$5:$G$500,"G",'LANÇAMENTOS DIÁRIOS'!$C$5:$C$500,$A87,'LANÇAMENTOS DIÁRIOS'!$O$5:$O$500,"&lt;=121779",'LANÇAMENTOS DIÁRIOS'!$P$5:$P$500,"&gt;=121680")&gt;0,"X","")</f>
      </c>
      <c r="AT87" s="56" t="str">
        <f>IF(COUNTIFS('LANÇAMENTOS DIÁRIOS'!$G$5:$G$500,"G",'LANÇAMENTOS DIÁRIOS'!$C$5:$C$500,$A87,'LANÇAMENTOS DIÁRIOS'!$O$5:$O$500,"&lt;=121879",'LANÇAMENTOS DIÁRIOS'!$P$5:$P$500,"&gt;=121780")&gt;0,"X","")</f>
      </c>
      <c r="AU87" s="56" t="str">
        <f>IF(COUNTIFS('LANÇAMENTOS DIÁRIOS'!$G$5:$G$500,"G",'LANÇAMENTOS DIÁRIOS'!$C$5:$C$500,$A87,'LANÇAMENTOS DIÁRIOS'!$O$5:$O$500,"&lt;=121979",'LANÇAMENTOS DIÁRIOS'!$P$5:$P$500,"&gt;=121880")&gt;0,"X","")</f>
      </c>
      <c r="AV87" s="56" t="str">
        <f>IF(COUNTIFS('LANÇAMENTOS DIÁRIOS'!$G$5:$G$500,"G",'LANÇAMENTOS DIÁRIOS'!$C$5:$C$500,$A87,'LANÇAMENTOS DIÁRIOS'!$O$5:$O$500,"&lt;=122079",'LANÇAMENTOS DIÁRIOS'!$P$5:$P$500,"&gt;=121980")&gt;0,"X","")</f>
      </c>
      <c r="AW87" s="56" t="str">
        <f>IF(COUNTIFS('LANÇAMENTOS DIÁRIOS'!$G$5:$G$500,"G",'LANÇAMENTOS DIÁRIOS'!$C$5:$C$500,$A87,'LANÇAMENTOS DIÁRIOS'!$O$5:$O$500,"&lt;=122179",'LANÇAMENTOS DIÁRIOS'!$P$5:$P$500,"&gt;=122080")&gt;0,"X","")</f>
      </c>
      <c r="AX87" s="56" t="str">
        <f>IF(COUNTIFS('LANÇAMENTOS DIÁRIOS'!$G$5:$G$500,"G",'LANÇAMENTOS DIÁRIOS'!$C$5:$C$500,$A87,'LANÇAMENTOS DIÁRIOS'!$O$5:$O$500,"&lt;=122279",'LANÇAMENTOS DIÁRIOS'!$P$5:$P$500,"&gt;=122180")&gt;0,"X","")</f>
      </c>
      <c r="AY87" s="56" t="str">
        <f>IF(COUNTIFS('LANÇAMENTOS DIÁRIOS'!$G$5:$G$500,"G",'LANÇAMENTOS DIÁRIOS'!$C$5:$C$500,$A87,'LANÇAMENTOS DIÁRIOS'!$O$5:$O$500,"&lt;=122379",'LANÇAMENTOS DIÁRIOS'!$P$5:$P$500,"&gt;=122280")&gt;0,"X","")</f>
      </c>
      <c r="AZ87" s="56" t="str">
        <f>IF(COUNTIFS('LANÇAMENTOS DIÁRIOS'!$G$5:$G$500,"G",'LANÇAMENTOS DIÁRIOS'!$C$5:$C$500,$A87,'LANÇAMENTOS DIÁRIOS'!$O$5:$O$500,"&lt;=122479",'LANÇAMENTOS DIÁRIOS'!$P$5:$P$500,"&gt;=122380")&gt;0,"X","")</f>
      </c>
      <c r="BA87" s="56" t="str">
        <f>IF(COUNTIFS('LANÇAMENTOS DIÁRIOS'!$G$5:$G$500,"G",'LANÇAMENTOS DIÁRIOS'!$C$5:$C$500,$A87,'LANÇAMENTOS DIÁRIOS'!$O$5:$O$500,"&lt;=122579",'LANÇAMENTOS DIÁRIOS'!$P$5:$P$500,"&gt;=122480")&gt;0,"X","")</f>
      </c>
      <c r="BB87" s="56" t="str">
        <f>IF(COUNTIFS('LANÇAMENTOS DIÁRIOS'!$G$5:$G$500,"G",'LANÇAMENTOS DIÁRIOS'!$C$5:$C$500,$A87,'LANÇAMENTOS DIÁRIOS'!$O$5:$O$500,"&lt;=122679",'LANÇAMENTOS DIÁRIOS'!$P$5:$P$500,"&gt;=122580")&gt;0,"X","")</f>
      </c>
      <c r="BC87" s="56" t="str">
        <f>IF(COUNTIFS('LANÇAMENTOS DIÁRIOS'!$G$5:$G$500,"G",'LANÇAMENTOS DIÁRIOS'!$C$5:$C$500,$A87,'LANÇAMENTOS DIÁRIOS'!$O$5:$O$500,"&lt;=122779",'LANÇAMENTOS DIÁRIOS'!$P$5:$P$500,"&gt;=122680")&gt;0,"X","")</f>
      </c>
      <c r="BD87" s="56" t="str">
        <f>IF(COUNTIFS('LANÇAMENTOS DIÁRIOS'!$G$5:$G$500,"G",'LANÇAMENTOS DIÁRIOS'!$C$5:$C$500,$A87,'LANÇAMENTOS DIÁRIOS'!$O$5:$O$500,"&lt;=122879",'LANÇAMENTOS DIÁRIOS'!$P$5:$P$500,"&gt;=122780")&gt;0,"X","")</f>
      </c>
      <c r="BE87" s="56" t="str">
        <f>IF(COUNTIFS('LANÇAMENTOS DIÁRIOS'!$G$5:$G$500,"G",'LANÇAMENTOS DIÁRIOS'!$C$5:$C$500,$A87,'LANÇAMENTOS DIÁRIOS'!$O$5:$O$500,"&lt;=122979",'LANÇAMENTOS DIÁRIOS'!$P$5:$P$500,"&gt;=122880")&gt;0,"X","")</f>
      </c>
      <c r="BF87" s="56" t="str">
        <f>IF(COUNTIFS('LANÇAMENTOS DIÁRIOS'!$G$5:$G$500,"G",'LANÇAMENTOS DIÁRIOS'!$C$5:$C$500,$A87,'LANÇAMENTOS DIÁRIOS'!$O$5:$O$500,"&lt;=123079",'LANÇAMENTOS DIÁRIOS'!$P$5:$P$500,"&gt;=122980")&gt;0,"X","")</f>
      </c>
      <c r="BG87" s="56" t="str">
        <f>IF(COUNTIFS('LANÇAMENTOS DIÁRIOS'!$G$5:$G$500,"G",'LANÇAMENTOS DIÁRIOS'!$C$5:$C$500,$A87,'LANÇAMENTOS DIÁRIOS'!$O$5:$O$500,"&lt;=123179",'LANÇAMENTOS DIÁRIOS'!$P$5:$P$500,"&gt;=123080")&gt;0,"X","")</f>
      </c>
      <c r="BH87" s="56" t="str">
        <f>IF(COUNTIFS('LANÇAMENTOS DIÁRIOS'!$G$5:$G$500,"G",'LANÇAMENTOS DIÁRIOS'!$C$5:$C$500,$A87,'LANÇAMENTOS DIÁRIOS'!$O$5:$O$500,"&lt;=123279",'LANÇAMENTOS DIÁRIOS'!$P$5:$P$500,"&gt;=123180")&gt;0,"X","")</f>
      </c>
      <c r="BI87" s="56" t="str">
        <f>IF(COUNTIFS('LANÇAMENTOS DIÁRIOS'!$G$5:$G$500,"G",'LANÇAMENTOS DIÁRIOS'!$C$5:$C$500,$A87,'LANÇAMENTOS DIÁRIOS'!$O$5:$O$500,"&lt;=123379",'LANÇAMENTOS DIÁRIOS'!$P$5:$P$500,"&gt;=123280")&gt;0,"X","")</f>
      </c>
      <c r="BJ87" s="56" t="str">
        <f>IF(COUNTIFS('LANÇAMENTOS DIÁRIOS'!$G$5:$G$500,"G",'LANÇAMENTOS DIÁRIOS'!$C$5:$C$500,$A87,'LANÇAMENTOS DIÁRIOS'!$O$5:$O$500,"&lt;=123479",'LANÇAMENTOS DIÁRIOS'!$P$5:$P$500,"&gt;=123380")&gt;0,"X","")</f>
      </c>
      <c r="BK87" s="56" t="str">
        <f>IF(COUNTIFS('LANÇAMENTOS DIÁRIOS'!$G$5:$G$500,"G",'LANÇAMENTOS DIÁRIOS'!$C$5:$C$500,$A87,'LANÇAMENTOS DIÁRIOS'!$O$5:$O$500,"&lt;=123480",'LANÇAMENTOS DIÁRIOS'!$P$5:$P$500,"&gt;=123480")&gt;0,"X","")</f>
      </c>
    </row>
    <row r="88">
      <c r="A88" s="51" t="str">
        <v>Microrrevestimento asfáltico a frio adaptado para acostamentos - Espessura de 25 mm - sem fornecimento de emulsão</v>
      </c>
      <c r="B88" s="56" t="str">
        <f>IF(COUNTIFS('LANÇAMENTOS DIÁRIOS'!$G$5:$G$500,"G",'LANÇAMENTOS DIÁRIOS'!$C$5:$C$500,$A88,'LANÇAMENTOS DIÁRIOS'!$O$5:$O$500,"&lt;=117479",'LANÇAMENTOS DIÁRIOS'!$P$5:$P$500,"&gt;=117380")&gt;0,"X","")</f>
      </c>
      <c r="C88" s="56" t="str">
        <f>IF(COUNTIFS('LANÇAMENTOS DIÁRIOS'!$G$5:$G$500,"G",'LANÇAMENTOS DIÁRIOS'!$C$5:$C$500,$A88,'LANÇAMENTOS DIÁRIOS'!$O$5:$O$500,"&lt;=117579",'LANÇAMENTOS DIÁRIOS'!$P$5:$P$500,"&gt;=117480")&gt;0,"X","")</f>
      </c>
      <c r="D88" s="56" t="str">
        <f>IF(COUNTIFS('LANÇAMENTOS DIÁRIOS'!$G$5:$G$500,"G",'LANÇAMENTOS DIÁRIOS'!$C$5:$C$500,$A88,'LANÇAMENTOS DIÁRIOS'!$O$5:$O$500,"&lt;=117679",'LANÇAMENTOS DIÁRIOS'!$P$5:$P$500,"&gt;=117580")&gt;0,"X","")</f>
      </c>
      <c r="E88" s="56" t="str">
        <f>IF(COUNTIFS('LANÇAMENTOS DIÁRIOS'!$G$5:$G$500,"G",'LANÇAMENTOS DIÁRIOS'!$C$5:$C$500,$A88,'LANÇAMENTOS DIÁRIOS'!$O$5:$O$500,"&lt;=117779",'LANÇAMENTOS DIÁRIOS'!$P$5:$P$500,"&gt;=117680")&gt;0,"X","")</f>
      </c>
      <c r="F88" s="56" t="str">
        <f>IF(COUNTIFS('LANÇAMENTOS DIÁRIOS'!$G$5:$G$500,"G",'LANÇAMENTOS DIÁRIOS'!$C$5:$C$500,$A88,'LANÇAMENTOS DIÁRIOS'!$O$5:$O$500,"&lt;=117879",'LANÇAMENTOS DIÁRIOS'!$P$5:$P$500,"&gt;=117780")&gt;0,"X","")</f>
      </c>
      <c r="G88" s="56" t="str">
        <f>IF(COUNTIFS('LANÇAMENTOS DIÁRIOS'!$G$5:$G$500,"G",'LANÇAMENTOS DIÁRIOS'!$C$5:$C$500,$A88,'LANÇAMENTOS DIÁRIOS'!$O$5:$O$500,"&lt;=117979",'LANÇAMENTOS DIÁRIOS'!$P$5:$P$500,"&gt;=117880")&gt;0,"X","")</f>
      </c>
      <c r="H88" s="56" t="str">
        <f>IF(COUNTIFS('LANÇAMENTOS DIÁRIOS'!$G$5:$G$500,"G",'LANÇAMENTOS DIÁRIOS'!$C$5:$C$500,$A88,'LANÇAMENTOS DIÁRIOS'!$O$5:$O$500,"&lt;=118079",'LANÇAMENTOS DIÁRIOS'!$P$5:$P$500,"&gt;=117980")&gt;0,"X","")</f>
      </c>
      <c r="I88" s="56" t="str">
        <f>IF(COUNTIFS('LANÇAMENTOS DIÁRIOS'!$G$5:$G$500,"G",'LANÇAMENTOS DIÁRIOS'!$C$5:$C$500,$A88,'LANÇAMENTOS DIÁRIOS'!$O$5:$O$500,"&lt;=118179",'LANÇAMENTOS DIÁRIOS'!$P$5:$P$500,"&gt;=118080")&gt;0,"X","")</f>
      </c>
      <c r="J88" s="56" t="str">
        <f>IF(COUNTIFS('LANÇAMENTOS DIÁRIOS'!$G$5:$G$500,"G",'LANÇAMENTOS DIÁRIOS'!$C$5:$C$500,$A88,'LANÇAMENTOS DIÁRIOS'!$O$5:$O$500,"&lt;=118279",'LANÇAMENTOS DIÁRIOS'!$P$5:$P$500,"&gt;=118180")&gt;0,"X","")</f>
      </c>
      <c r="K88" s="56" t="str">
        <f>IF(COUNTIFS('LANÇAMENTOS DIÁRIOS'!$G$5:$G$500,"G",'LANÇAMENTOS DIÁRIOS'!$C$5:$C$500,$A88,'LANÇAMENTOS DIÁRIOS'!$O$5:$O$500,"&lt;=118379",'LANÇAMENTOS DIÁRIOS'!$P$5:$P$500,"&gt;=118280")&gt;0,"X","")</f>
      </c>
      <c r="L88" s="56" t="str">
        <f>IF(COUNTIFS('LANÇAMENTOS DIÁRIOS'!$G$5:$G$500,"G",'LANÇAMENTOS DIÁRIOS'!$C$5:$C$500,$A88,'LANÇAMENTOS DIÁRIOS'!$O$5:$O$500,"&lt;=118479",'LANÇAMENTOS DIÁRIOS'!$P$5:$P$500,"&gt;=118380")&gt;0,"X","")</f>
      </c>
      <c r="M88" s="56" t="str">
        <f>IF(COUNTIFS('LANÇAMENTOS DIÁRIOS'!$G$5:$G$500,"G",'LANÇAMENTOS DIÁRIOS'!$C$5:$C$500,$A88,'LANÇAMENTOS DIÁRIOS'!$O$5:$O$500,"&lt;=118579",'LANÇAMENTOS DIÁRIOS'!$P$5:$P$500,"&gt;=118480")&gt;0,"X","")</f>
      </c>
      <c r="N88" s="56" t="str">
        <f>IF(COUNTIFS('LANÇAMENTOS DIÁRIOS'!$G$5:$G$500,"G",'LANÇAMENTOS DIÁRIOS'!$C$5:$C$500,$A88,'LANÇAMENTOS DIÁRIOS'!$O$5:$O$500,"&lt;=118679",'LANÇAMENTOS DIÁRIOS'!$P$5:$P$500,"&gt;=118580")&gt;0,"X","")</f>
      </c>
      <c r="O88" s="56" t="str">
        <f>IF(COUNTIFS('LANÇAMENTOS DIÁRIOS'!$G$5:$G$500,"G",'LANÇAMENTOS DIÁRIOS'!$C$5:$C$500,$A88,'LANÇAMENTOS DIÁRIOS'!$O$5:$O$500,"&lt;=118779",'LANÇAMENTOS DIÁRIOS'!$P$5:$P$500,"&gt;=118680")&gt;0,"X","")</f>
      </c>
      <c r="P88" s="56" t="str">
        <f>IF(COUNTIFS('LANÇAMENTOS DIÁRIOS'!$G$5:$G$500,"G",'LANÇAMENTOS DIÁRIOS'!$C$5:$C$500,$A88,'LANÇAMENTOS DIÁRIOS'!$O$5:$O$500,"&lt;=118879",'LANÇAMENTOS DIÁRIOS'!$P$5:$P$500,"&gt;=118780")&gt;0,"X","")</f>
      </c>
      <c r="Q88" s="56" t="str">
        <f>IF(COUNTIFS('LANÇAMENTOS DIÁRIOS'!$G$5:$G$500,"G",'LANÇAMENTOS DIÁRIOS'!$C$5:$C$500,$A88,'LANÇAMENTOS DIÁRIOS'!$O$5:$O$500,"&lt;=118979",'LANÇAMENTOS DIÁRIOS'!$P$5:$P$500,"&gt;=118880")&gt;0,"X","")</f>
      </c>
      <c r="R88" s="56" t="str">
        <f>IF(COUNTIFS('LANÇAMENTOS DIÁRIOS'!$G$5:$G$500,"G",'LANÇAMENTOS DIÁRIOS'!$C$5:$C$500,$A88,'LANÇAMENTOS DIÁRIOS'!$O$5:$O$500,"&lt;=119079",'LANÇAMENTOS DIÁRIOS'!$P$5:$P$500,"&gt;=118980")&gt;0,"X","")</f>
      </c>
      <c r="S88" s="56" t="str">
        <f>IF(COUNTIFS('LANÇAMENTOS DIÁRIOS'!$G$5:$G$500,"G",'LANÇAMENTOS DIÁRIOS'!$C$5:$C$500,$A88,'LANÇAMENTOS DIÁRIOS'!$O$5:$O$500,"&lt;=119179",'LANÇAMENTOS DIÁRIOS'!$P$5:$P$500,"&gt;=119080")&gt;0,"X","")</f>
      </c>
      <c r="T88" s="56" t="str">
        <f>IF(COUNTIFS('LANÇAMENTOS DIÁRIOS'!$G$5:$G$500,"G",'LANÇAMENTOS DIÁRIOS'!$C$5:$C$500,$A88,'LANÇAMENTOS DIÁRIOS'!$O$5:$O$500,"&lt;=119279",'LANÇAMENTOS DIÁRIOS'!$P$5:$P$500,"&gt;=119180")&gt;0,"X","")</f>
      </c>
      <c r="U88" s="56" t="str">
        <f>IF(COUNTIFS('LANÇAMENTOS DIÁRIOS'!$G$5:$G$500,"G",'LANÇAMENTOS DIÁRIOS'!$C$5:$C$500,$A88,'LANÇAMENTOS DIÁRIOS'!$O$5:$O$500,"&lt;=119379",'LANÇAMENTOS DIÁRIOS'!$P$5:$P$500,"&gt;=119280")&gt;0,"X","")</f>
      </c>
      <c r="V88" s="56" t="str">
        <f>IF(COUNTIFS('LANÇAMENTOS DIÁRIOS'!$G$5:$G$500,"G",'LANÇAMENTOS DIÁRIOS'!$C$5:$C$500,$A88,'LANÇAMENTOS DIÁRIOS'!$O$5:$O$500,"&lt;=119479",'LANÇAMENTOS DIÁRIOS'!$P$5:$P$500,"&gt;=119380")&gt;0,"X","")</f>
      </c>
      <c r="W88" s="56" t="str">
        <f>IF(COUNTIFS('LANÇAMENTOS DIÁRIOS'!$G$5:$G$500,"G",'LANÇAMENTOS DIÁRIOS'!$C$5:$C$500,$A88,'LANÇAMENTOS DIÁRIOS'!$O$5:$O$500,"&lt;=119579",'LANÇAMENTOS DIÁRIOS'!$P$5:$P$500,"&gt;=119480")&gt;0,"X","")</f>
      </c>
      <c r="X88" s="56" t="str">
        <f>IF(COUNTIFS('LANÇAMENTOS DIÁRIOS'!$G$5:$G$500,"G",'LANÇAMENTOS DIÁRIOS'!$C$5:$C$500,$A88,'LANÇAMENTOS DIÁRIOS'!$O$5:$O$500,"&lt;=119679",'LANÇAMENTOS DIÁRIOS'!$P$5:$P$500,"&gt;=119580")&gt;0,"X","")</f>
      </c>
      <c r="Y88" s="56" t="str">
        <f>IF(COUNTIFS('LANÇAMENTOS DIÁRIOS'!$G$5:$G$500,"G",'LANÇAMENTOS DIÁRIOS'!$C$5:$C$500,$A88,'LANÇAMENTOS DIÁRIOS'!$O$5:$O$500,"&lt;=119779",'LANÇAMENTOS DIÁRIOS'!$P$5:$P$500,"&gt;=119680")&gt;0,"X","")</f>
      </c>
      <c r="Z88" s="56" t="str">
        <f>IF(COUNTIFS('LANÇAMENTOS DIÁRIOS'!$G$5:$G$500,"G",'LANÇAMENTOS DIÁRIOS'!$C$5:$C$500,$A88,'LANÇAMENTOS DIÁRIOS'!$O$5:$O$500,"&lt;=119879",'LANÇAMENTOS DIÁRIOS'!$P$5:$P$500,"&gt;=119780")&gt;0,"X","")</f>
      </c>
      <c r="AA88" s="56" t="str">
        <f>IF(COUNTIFS('LANÇAMENTOS DIÁRIOS'!$G$5:$G$500,"G",'LANÇAMENTOS DIÁRIOS'!$C$5:$C$500,$A88,'LANÇAMENTOS DIÁRIOS'!$O$5:$O$500,"&lt;=119979",'LANÇAMENTOS DIÁRIOS'!$P$5:$P$500,"&gt;=119880")&gt;0,"X","")</f>
      </c>
      <c r="AB88" s="56" t="str">
        <f>IF(COUNTIFS('LANÇAMENTOS DIÁRIOS'!$G$5:$G$500,"G",'LANÇAMENTOS DIÁRIOS'!$C$5:$C$500,$A88,'LANÇAMENTOS DIÁRIOS'!$O$5:$O$500,"&lt;=120079",'LANÇAMENTOS DIÁRIOS'!$P$5:$P$500,"&gt;=119980")&gt;0,"X","")</f>
      </c>
      <c r="AC88" s="56" t="str">
        <f>IF(COUNTIFS('LANÇAMENTOS DIÁRIOS'!$G$5:$G$500,"G",'LANÇAMENTOS DIÁRIOS'!$C$5:$C$500,$A88,'LANÇAMENTOS DIÁRIOS'!$O$5:$O$500,"&lt;=120179",'LANÇAMENTOS DIÁRIOS'!$P$5:$P$500,"&gt;=120080")&gt;0,"X","")</f>
      </c>
      <c r="AD88" s="56" t="str">
        <f>IF(COUNTIFS('LANÇAMENTOS DIÁRIOS'!$G$5:$G$500,"G",'LANÇAMENTOS DIÁRIOS'!$C$5:$C$500,$A88,'LANÇAMENTOS DIÁRIOS'!$O$5:$O$500,"&lt;=120279",'LANÇAMENTOS DIÁRIOS'!$P$5:$P$500,"&gt;=120180")&gt;0,"X","")</f>
      </c>
      <c r="AE88" s="56" t="str">
        <f>IF(COUNTIFS('LANÇAMENTOS DIÁRIOS'!$G$5:$G$500,"G",'LANÇAMENTOS DIÁRIOS'!$C$5:$C$500,$A88,'LANÇAMENTOS DIÁRIOS'!$O$5:$O$500,"&lt;=120379",'LANÇAMENTOS DIÁRIOS'!$P$5:$P$500,"&gt;=120280")&gt;0,"X","")</f>
      </c>
      <c r="AF88" s="56" t="str">
        <f>IF(COUNTIFS('LANÇAMENTOS DIÁRIOS'!$G$5:$G$500,"G",'LANÇAMENTOS DIÁRIOS'!$C$5:$C$500,$A88,'LANÇAMENTOS DIÁRIOS'!$O$5:$O$500,"&lt;=120479",'LANÇAMENTOS DIÁRIOS'!$P$5:$P$500,"&gt;=120380")&gt;0,"X","")</f>
      </c>
      <c r="AG88" s="56" t="str">
        <f>IF(COUNTIFS('LANÇAMENTOS DIÁRIOS'!$G$5:$G$500,"G",'LANÇAMENTOS DIÁRIOS'!$C$5:$C$500,$A88,'LANÇAMENTOS DIÁRIOS'!$O$5:$O$500,"&lt;=120579",'LANÇAMENTOS DIÁRIOS'!$P$5:$P$500,"&gt;=120480")&gt;0,"X","")</f>
      </c>
      <c r="AH88" s="56" t="str">
        <f>IF(COUNTIFS('LANÇAMENTOS DIÁRIOS'!$G$5:$G$500,"G",'LANÇAMENTOS DIÁRIOS'!$C$5:$C$500,$A88,'LANÇAMENTOS DIÁRIOS'!$O$5:$O$500,"&lt;=120679",'LANÇAMENTOS DIÁRIOS'!$P$5:$P$500,"&gt;=120580")&gt;0,"X","")</f>
      </c>
      <c r="AI88" s="56" t="str">
        <f>IF(COUNTIFS('LANÇAMENTOS DIÁRIOS'!$G$5:$G$500,"G",'LANÇAMENTOS DIÁRIOS'!$C$5:$C$500,$A88,'LANÇAMENTOS DIÁRIOS'!$O$5:$O$500,"&lt;=120779",'LANÇAMENTOS DIÁRIOS'!$P$5:$P$500,"&gt;=120680")&gt;0,"X","")</f>
      </c>
      <c r="AJ88" s="56" t="str">
        <f>IF(COUNTIFS('LANÇAMENTOS DIÁRIOS'!$G$5:$G$500,"G",'LANÇAMENTOS DIÁRIOS'!$C$5:$C$500,$A88,'LANÇAMENTOS DIÁRIOS'!$O$5:$O$500,"&lt;=120879",'LANÇAMENTOS DIÁRIOS'!$P$5:$P$500,"&gt;=120780")&gt;0,"X","")</f>
      </c>
      <c r="AK88" s="56" t="str">
        <f>IF(COUNTIFS('LANÇAMENTOS DIÁRIOS'!$G$5:$G$500,"G",'LANÇAMENTOS DIÁRIOS'!$C$5:$C$500,$A88,'LANÇAMENTOS DIÁRIOS'!$O$5:$O$500,"&lt;=120979",'LANÇAMENTOS DIÁRIOS'!$P$5:$P$500,"&gt;=120880")&gt;0,"X","")</f>
      </c>
      <c r="AL88" s="56" t="str">
        <f>IF(COUNTIFS('LANÇAMENTOS DIÁRIOS'!$G$5:$G$500,"G",'LANÇAMENTOS DIÁRIOS'!$C$5:$C$500,$A88,'LANÇAMENTOS DIÁRIOS'!$O$5:$O$500,"&lt;=121079",'LANÇAMENTOS DIÁRIOS'!$P$5:$P$500,"&gt;=120980")&gt;0,"X","")</f>
      </c>
      <c r="AM88" s="56" t="str">
        <f>IF(COUNTIFS('LANÇAMENTOS DIÁRIOS'!$G$5:$G$500,"G",'LANÇAMENTOS DIÁRIOS'!$C$5:$C$500,$A88,'LANÇAMENTOS DIÁRIOS'!$O$5:$O$500,"&lt;=121179",'LANÇAMENTOS DIÁRIOS'!$P$5:$P$500,"&gt;=121080")&gt;0,"X","")</f>
      </c>
      <c r="AN88" s="56" t="str">
        <f>IF(COUNTIFS('LANÇAMENTOS DIÁRIOS'!$G$5:$G$500,"G",'LANÇAMENTOS DIÁRIOS'!$C$5:$C$500,$A88,'LANÇAMENTOS DIÁRIOS'!$O$5:$O$500,"&lt;=121279",'LANÇAMENTOS DIÁRIOS'!$P$5:$P$500,"&gt;=121180")&gt;0,"X","")</f>
      </c>
      <c r="AO88" s="56" t="str">
        <f>IF(COUNTIFS('LANÇAMENTOS DIÁRIOS'!$G$5:$G$500,"G",'LANÇAMENTOS DIÁRIOS'!$C$5:$C$500,$A88,'LANÇAMENTOS DIÁRIOS'!$O$5:$O$500,"&lt;=121379",'LANÇAMENTOS DIÁRIOS'!$P$5:$P$500,"&gt;=121280")&gt;0,"X","")</f>
      </c>
      <c r="AP88" s="56" t="str">
        <f>IF(COUNTIFS('LANÇAMENTOS DIÁRIOS'!$G$5:$G$500,"G",'LANÇAMENTOS DIÁRIOS'!$C$5:$C$500,$A88,'LANÇAMENTOS DIÁRIOS'!$O$5:$O$500,"&lt;=121479",'LANÇAMENTOS DIÁRIOS'!$P$5:$P$500,"&gt;=121380")&gt;0,"X","")</f>
      </c>
      <c r="AQ88" s="56" t="str">
        <f>IF(COUNTIFS('LANÇAMENTOS DIÁRIOS'!$G$5:$G$500,"G",'LANÇAMENTOS DIÁRIOS'!$C$5:$C$500,$A88,'LANÇAMENTOS DIÁRIOS'!$O$5:$O$500,"&lt;=121579",'LANÇAMENTOS DIÁRIOS'!$P$5:$P$500,"&gt;=121480")&gt;0,"X","")</f>
      </c>
      <c r="AR88" s="56" t="str">
        <f>IF(COUNTIFS('LANÇAMENTOS DIÁRIOS'!$G$5:$G$500,"G",'LANÇAMENTOS DIÁRIOS'!$C$5:$C$500,$A88,'LANÇAMENTOS DIÁRIOS'!$O$5:$O$500,"&lt;=121679",'LANÇAMENTOS DIÁRIOS'!$P$5:$P$500,"&gt;=121580")&gt;0,"X","")</f>
      </c>
      <c r="AS88" s="56" t="str">
        <f>IF(COUNTIFS('LANÇAMENTOS DIÁRIOS'!$G$5:$G$500,"G",'LANÇAMENTOS DIÁRIOS'!$C$5:$C$500,$A88,'LANÇAMENTOS DIÁRIOS'!$O$5:$O$500,"&lt;=121779",'LANÇAMENTOS DIÁRIOS'!$P$5:$P$500,"&gt;=121680")&gt;0,"X","")</f>
      </c>
      <c r="AT88" s="56" t="str">
        <f>IF(COUNTIFS('LANÇAMENTOS DIÁRIOS'!$G$5:$G$500,"G",'LANÇAMENTOS DIÁRIOS'!$C$5:$C$500,$A88,'LANÇAMENTOS DIÁRIOS'!$O$5:$O$500,"&lt;=121879",'LANÇAMENTOS DIÁRIOS'!$P$5:$P$500,"&gt;=121780")&gt;0,"X","")</f>
      </c>
      <c r="AU88" s="56" t="str">
        <f>IF(COUNTIFS('LANÇAMENTOS DIÁRIOS'!$G$5:$G$500,"G",'LANÇAMENTOS DIÁRIOS'!$C$5:$C$500,$A88,'LANÇAMENTOS DIÁRIOS'!$O$5:$O$500,"&lt;=121979",'LANÇAMENTOS DIÁRIOS'!$P$5:$P$500,"&gt;=121880")&gt;0,"X","")</f>
      </c>
      <c r="AV88" s="56" t="str">
        <f>IF(COUNTIFS('LANÇAMENTOS DIÁRIOS'!$G$5:$G$500,"G",'LANÇAMENTOS DIÁRIOS'!$C$5:$C$500,$A88,'LANÇAMENTOS DIÁRIOS'!$O$5:$O$500,"&lt;=122079",'LANÇAMENTOS DIÁRIOS'!$P$5:$P$500,"&gt;=121980")&gt;0,"X","")</f>
      </c>
      <c r="AW88" s="56" t="str">
        <f>IF(COUNTIFS('LANÇAMENTOS DIÁRIOS'!$G$5:$G$500,"G",'LANÇAMENTOS DIÁRIOS'!$C$5:$C$500,$A88,'LANÇAMENTOS DIÁRIOS'!$O$5:$O$500,"&lt;=122179",'LANÇAMENTOS DIÁRIOS'!$P$5:$P$500,"&gt;=122080")&gt;0,"X","")</f>
      </c>
      <c r="AX88" s="56" t="str">
        <f>IF(COUNTIFS('LANÇAMENTOS DIÁRIOS'!$G$5:$G$500,"G",'LANÇAMENTOS DIÁRIOS'!$C$5:$C$500,$A88,'LANÇAMENTOS DIÁRIOS'!$O$5:$O$500,"&lt;=122279",'LANÇAMENTOS DIÁRIOS'!$P$5:$P$500,"&gt;=122180")&gt;0,"X","")</f>
      </c>
      <c r="AY88" s="56" t="str">
        <f>IF(COUNTIFS('LANÇAMENTOS DIÁRIOS'!$G$5:$G$500,"G",'LANÇAMENTOS DIÁRIOS'!$C$5:$C$500,$A88,'LANÇAMENTOS DIÁRIOS'!$O$5:$O$500,"&lt;=122379",'LANÇAMENTOS DIÁRIOS'!$P$5:$P$500,"&gt;=122280")&gt;0,"X","")</f>
      </c>
      <c r="AZ88" s="56" t="str">
        <f>IF(COUNTIFS('LANÇAMENTOS DIÁRIOS'!$G$5:$G$500,"G",'LANÇAMENTOS DIÁRIOS'!$C$5:$C$500,$A88,'LANÇAMENTOS DIÁRIOS'!$O$5:$O$500,"&lt;=122479",'LANÇAMENTOS DIÁRIOS'!$P$5:$P$500,"&gt;=122380")&gt;0,"X","")</f>
      </c>
      <c r="BA88" s="56" t="str">
        <f>IF(COUNTIFS('LANÇAMENTOS DIÁRIOS'!$G$5:$G$500,"G",'LANÇAMENTOS DIÁRIOS'!$C$5:$C$500,$A88,'LANÇAMENTOS DIÁRIOS'!$O$5:$O$500,"&lt;=122579",'LANÇAMENTOS DIÁRIOS'!$P$5:$P$500,"&gt;=122480")&gt;0,"X","")</f>
      </c>
      <c r="BB88" s="56" t="str">
        <f>IF(COUNTIFS('LANÇAMENTOS DIÁRIOS'!$G$5:$G$500,"G",'LANÇAMENTOS DIÁRIOS'!$C$5:$C$500,$A88,'LANÇAMENTOS DIÁRIOS'!$O$5:$O$500,"&lt;=122679",'LANÇAMENTOS DIÁRIOS'!$P$5:$P$500,"&gt;=122580")&gt;0,"X","")</f>
      </c>
      <c r="BC88" s="56" t="str">
        <f>IF(COUNTIFS('LANÇAMENTOS DIÁRIOS'!$G$5:$G$500,"G",'LANÇAMENTOS DIÁRIOS'!$C$5:$C$500,$A88,'LANÇAMENTOS DIÁRIOS'!$O$5:$O$500,"&lt;=122779",'LANÇAMENTOS DIÁRIOS'!$P$5:$P$500,"&gt;=122680")&gt;0,"X","")</f>
      </c>
      <c r="BD88" s="56" t="str">
        <f>IF(COUNTIFS('LANÇAMENTOS DIÁRIOS'!$G$5:$G$500,"G",'LANÇAMENTOS DIÁRIOS'!$C$5:$C$500,$A88,'LANÇAMENTOS DIÁRIOS'!$O$5:$O$500,"&lt;=122879",'LANÇAMENTOS DIÁRIOS'!$P$5:$P$500,"&gt;=122780")&gt;0,"X","")</f>
      </c>
      <c r="BE88" s="56" t="str">
        <f>IF(COUNTIFS('LANÇAMENTOS DIÁRIOS'!$G$5:$G$500,"G",'LANÇAMENTOS DIÁRIOS'!$C$5:$C$500,$A88,'LANÇAMENTOS DIÁRIOS'!$O$5:$O$500,"&lt;=122979",'LANÇAMENTOS DIÁRIOS'!$P$5:$P$500,"&gt;=122880")&gt;0,"X","")</f>
      </c>
      <c r="BF88" s="56" t="str">
        <f>IF(COUNTIFS('LANÇAMENTOS DIÁRIOS'!$G$5:$G$500,"G",'LANÇAMENTOS DIÁRIOS'!$C$5:$C$500,$A88,'LANÇAMENTOS DIÁRIOS'!$O$5:$O$500,"&lt;=123079",'LANÇAMENTOS DIÁRIOS'!$P$5:$P$500,"&gt;=122980")&gt;0,"X","")</f>
      </c>
      <c r="BG88" s="56" t="str">
        <f>IF(COUNTIFS('LANÇAMENTOS DIÁRIOS'!$G$5:$G$500,"G",'LANÇAMENTOS DIÁRIOS'!$C$5:$C$500,$A88,'LANÇAMENTOS DIÁRIOS'!$O$5:$O$500,"&lt;=123179",'LANÇAMENTOS DIÁRIOS'!$P$5:$P$500,"&gt;=123080")&gt;0,"X","")</f>
      </c>
      <c r="BH88" s="56" t="str">
        <f>IF(COUNTIFS('LANÇAMENTOS DIÁRIOS'!$G$5:$G$500,"G",'LANÇAMENTOS DIÁRIOS'!$C$5:$C$500,$A88,'LANÇAMENTOS DIÁRIOS'!$O$5:$O$500,"&lt;=123279",'LANÇAMENTOS DIÁRIOS'!$P$5:$P$500,"&gt;=123180")&gt;0,"X","")</f>
      </c>
      <c r="BI88" s="56" t="str">
        <f>IF(COUNTIFS('LANÇAMENTOS DIÁRIOS'!$G$5:$G$500,"G",'LANÇAMENTOS DIÁRIOS'!$C$5:$C$500,$A88,'LANÇAMENTOS DIÁRIOS'!$O$5:$O$500,"&lt;=123379",'LANÇAMENTOS DIÁRIOS'!$P$5:$P$500,"&gt;=123280")&gt;0,"X","")</f>
      </c>
      <c r="BJ88" s="56" t="str">
        <f>IF(COUNTIFS('LANÇAMENTOS DIÁRIOS'!$G$5:$G$500,"G",'LANÇAMENTOS DIÁRIOS'!$C$5:$C$500,$A88,'LANÇAMENTOS DIÁRIOS'!$O$5:$O$500,"&lt;=123479",'LANÇAMENTOS DIÁRIOS'!$P$5:$P$500,"&gt;=123380")&gt;0,"X","")</f>
      </c>
      <c r="BK88" s="56" t="str">
        <f>IF(COUNTIFS('LANÇAMENTOS DIÁRIOS'!$G$5:$G$500,"G",'LANÇAMENTOS DIÁRIOS'!$C$5:$C$500,$A88,'LANÇAMENTOS DIÁRIOS'!$O$5:$O$500,"&lt;=123480",'LANÇAMENTOS DIÁRIOS'!$P$5:$P$500,"&gt;=123480")&gt;0,"X","")</f>
      </c>
    </row>
    <row r="89">
      <c r="A89" s="51" t="str">
        <v>Reciclagem de pavimento com adicao de 30% de brita</v>
      </c>
      <c r="B89" s="56" t="str">
        <f>IF(COUNTIFS('LANÇAMENTOS DIÁRIOS'!$G$5:$G$500,"G",'LANÇAMENTOS DIÁRIOS'!$C$5:$C$500,$A89,'LANÇAMENTOS DIÁRIOS'!$O$5:$O$500,"&lt;=117479",'LANÇAMENTOS DIÁRIOS'!$P$5:$P$500,"&gt;=117380")&gt;0,"X","")</f>
      </c>
      <c r="C89" s="56" t="str">
        <f>IF(COUNTIFS('LANÇAMENTOS DIÁRIOS'!$G$5:$G$500,"G",'LANÇAMENTOS DIÁRIOS'!$C$5:$C$500,$A89,'LANÇAMENTOS DIÁRIOS'!$O$5:$O$500,"&lt;=117579",'LANÇAMENTOS DIÁRIOS'!$P$5:$P$500,"&gt;=117480")&gt;0,"X","")</f>
      </c>
      <c r="D89" s="56" t="str">
        <f>IF(COUNTIFS('LANÇAMENTOS DIÁRIOS'!$G$5:$G$500,"G",'LANÇAMENTOS DIÁRIOS'!$C$5:$C$500,$A89,'LANÇAMENTOS DIÁRIOS'!$O$5:$O$500,"&lt;=117679",'LANÇAMENTOS DIÁRIOS'!$P$5:$P$500,"&gt;=117580")&gt;0,"X","")</f>
      </c>
      <c r="E89" s="56" t="str">
        <f>IF(COUNTIFS('LANÇAMENTOS DIÁRIOS'!$G$5:$G$500,"G",'LANÇAMENTOS DIÁRIOS'!$C$5:$C$500,$A89,'LANÇAMENTOS DIÁRIOS'!$O$5:$O$500,"&lt;=117779",'LANÇAMENTOS DIÁRIOS'!$P$5:$P$500,"&gt;=117680")&gt;0,"X","")</f>
      </c>
      <c r="F89" s="56" t="str">
        <f>IF(COUNTIFS('LANÇAMENTOS DIÁRIOS'!$G$5:$G$500,"G",'LANÇAMENTOS DIÁRIOS'!$C$5:$C$500,$A89,'LANÇAMENTOS DIÁRIOS'!$O$5:$O$500,"&lt;=117879",'LANÇAMENTOS DIÁRIOS'!$P$5:$P$500,"&gt;=117780")&gt;0,"X","")</f>
      </c>
      <c r="G89" s="56" t="str">
        <f>IF(COUNTIFS('LANÇAMENTOS DIÁRIOS'!$G$5:$G$500,"G",'LANÇAMENTOS DIÁRIOS'!$C$5:$C$500,$A89,'LANÇAMENTOS DIÁRIOS'!$O$5:$O$500,"&lt;=117979",'LANÇAMENTOS DIÁRIOS'!$P$5:$P$500,"&gt;=117880")&gt;0,"X","")</f>
      </c>
      <c r="H89" s="56" t="str">
        <f>IF(COUNTIFS('LANÇAMENTOS DIÁRIOS'!$G$5:$G$500,"G",'LANÇAMENTOS DIÁRIOS'!$C$5:$C$500,$A89,'LANÇAMENTOS DIÁRIOS'!$O$5:$O$500,"&lt;=118079",'LANÇAMENTOS DIÁRIOS'!$P$5:$P$500,"&gt;=117980")&gt;0,"X","")</f>
      </c>
      <c r="I89" s="56" t="str">
        <f>IF(COUNTIFS('LANÇAMENTOS DIÁRIOS'!$G$5:$G$500,"G",'LANÇAMENTOS DIÁRIOS'!$C$5:$C$500,$A89,'LANÇAMENTOS DIÁRIOS'!$O$5:$O$500,"&lt;=118179",'LANÇAMENTOS DIÁRIOS'!$P$5:$P$500,"&gt;=118080")&gt;0,"X","")</f>
      </c>
      <c r="J89" s="56" t="str">
        <f>IF(COUNTIFS('LANÇAMENTOS DIÁRIOS'!$G$5:$G$500,"G",'LANÇAMENTOS DIÁRIOS'!$C$5:$C$500,$A89,'LANÇAMENTOS DIÁRIOS'!$O$5:$O$500,"&lt;=118279",'LANÇAMENTOS DIÁRIOS'!$P$5:$P$500,"&gt;=118180")&gt;0,"X","")</f>
      </c>
      <c r="K89" s="56" t="str">
        <f>IF(COUNTIFS('LANÇAMENTOS DIÁRIOS'!$G$5:$G$500,"G",'LANÇAMENTOS DIÁRIOS'!$C$5:$C$500,$A89,'LANÇAMENTOS DIÁRIOS'!$O$5:$O$500,"&lt;=118379",'LANÇAMENTOS DIÁRIOS'!$P$5:$P$500,"&gt;=118280")&gt;0,"X","")</f>
      </c>
      <c r="L89" s="56" t="str">
        <f>IF(COUNTIFS('LANÇAMENTOS DIÁRIOS'!$G$5:$G$500,"G",'LANÇAMENTOS DIÁRIOS'!$C$5:$C$500,$A89,'LANÇAMENTOS DIÁRIOS'!$O$5:$O$500,"&lt;=118479",'LANÇAMENTOS DIÁRIOS'!$P$5:$P$500,"&gt;=118380")&gt;0,"X","")</f>
      </c>
      <c r="M89" s="56" t="str">
        <f>IF(COUNTIFS('LANÇAMENTOS DIÁRIOS'!$G$5:$G$500,"G",'LANÇAMENTOS DIÁRIOS'!$C$5:$C$500,$A89,'LANÇAMENTOS DIÁRIOS'!$O$5:$O$500,"&lt;=118579",'LANÇAMENTOS DIÁRIOS'!$P$5:$P$500,"&gt;=118480")&gt;0,"X","")</f>
      </c>
      <c r="N89" s="56" t="str">
        <f>IF(COUNTIFS('LANÇAMENTOS DIÁRIOS'!$G$5:$G$500,"G",'LANÇAMENTOS DIÁRIOS'!$C$5:$C$500,$A89,'LANÇAMENTOS DIÁRIOS'!$O$5:$O$500,"&lt;=118679",'LANÇAMENTOS DIÁRIOS'!$P$5:$P$500,"&gt;=118580")&gt;0,"X","")</f>
      </c>
      <c r="O89" s="56" t="str">
        <f>IF(COUNTIFS('LANÇAMENTOS DIÁRIOS'!$G$5:$G$500,"G",'LANÇAMENTOS DIÁRIOS'!$C$5:$C$500,$A89,'LANÇAMENTOS DIÁRIOS'!$O$5:$O$500,"&lt;=118779",'LANÇAMENTOS DIÁRIOS'!$P$5:$P$500,"&gt;=118680")&gt;0,"X","")</f>
      </c>
      <c r="P89" s="56" t="str">
        <f>IF(COUNTIFS('LANÇAMENTOS DIÁRIOS'!$G$5:$G$500,"G",'LANÇAMENTOS DIÁRIOS'!$C$5:$C$500,$A89,'LANÇAMENTOS DIÁRIOS'!$O$5:$O$500,"&lt;=118879",'LANÇAMENTOS DIÁRIOS'!$P$5:$P$500,"&gt;=118780")&gt;0,"X","")</f>
      </c>
      <c r="Q89" s="56" t="str">
        <f>IF(COUNTIFS('LANÇAMENTOS DIÁRIOS'!$G$5:$G$500,"G",'LANÇAMENTOS DIÁRIOS'!$C$5:$C$500,$A89,'LANÇAMENTOS DIÁRIOS'!$O$5:$O$500,"&lt;=118979",'LANÇAMENTOS DIÁRIOS'!$P$5:$P$500,"&gt;=118880")&gt;0,"X","")</f>
      </c>
      <c r="R89" s="56" t="str">
        <f>IF(COUNTIFS('LANÇAMENTOS DIÁRIOS'!$G$5:$G$500,"G",'LANÇAMENTOS DIÁRIOS'!$C$5:$C$500,$A89,'LANÇAMENTOS DIÁRIOS'!$O$5:$O$500,"&lt;=119079",'LANÇAMENTOS DIÁRIOS'!$P$5:$P$500,"&gt;=118980")&gt;0,"X","")</f>
      </c>
      <c r="S89" s="56" t="str">
        <f>IF(COUNTIFS('LANÇAMENTOS DIÁRIOS'!$G$5:$G$500,"G",'LANÇAMENTOS DIÁRIOS'!$C$5:$C$500,$A89,'LANÇAMENTOS DIÁRIOS'!$O$5:$O$500,"&lt;=119179",'LANÇAMENTOS DIÁRIOS'!$P$5:$P$500,"&gt;=119080")&gt;0,"X","")</f>
      </c>
      <c r="T89" s="56" t="str">
        <f>IF(COUNTIFS('LANÇAMENTOS DIÁRIOS'!$G$5:$G$500,"G",'LANÇAMENTOS DIÁRIOS'!$C$5:$C$500,$A89,'LANÇAMENTOS DIÁRIOS'!$O$5:$O$500,"&lt;=119279",'LANÇAMENTOS DIÁRIOS'!$P$5:$P$500,"&gt;=119180")&gt;0,"X","")</f>
      </c>
      <c r="U89" s="56" t="str">
        <f>IF(COUNTIFS('LANÇAMENTOS DIÁRIOS'!$G$5:$G$500,"G",'LANÇAMENTOS DIÁRIOS'!$C$5:$C$500,$A89,'LANÇAMENTOS DIÁRIOS'!$O$5:$O$500,"&lt;=119379",'LANÇAMENTOS DIÁRIOS'!$P$5:$P$500,"&gt;=119280")&gt;0,"X","")</f>
      </c>
      <c r="V89" s="56" t="str">
        <f>IF(COUNTIFS('LANÇAMENTOS DIÁRIOS'!$G$5:$G$500,"G",'LANÇAMENTOS DIÁRIOS'!$C$5:$C$500,$A89,'LANÇAMENTOS DIÁRIOS'!$O$5:$O$500,"&lt;=119479",'LANÇAMENTOS DIÁRIOS'!$P$5:$P$500,"&gt;=119380")&gt;0,"X","")</f>
      </c>
      <c r="W89" s="56" t="str">
        <f>IF(COUNTIFS('LANÇAMENTOS DIÁRIOS'!$G$5:$G$500,"G",'LANÇAMENTOS DIÁRIOS'!$C$5:$C$500,$A89,'LANÇAMENTOS DIÁRIOS'!$O$5:$O$500,"&lt;=119579",'LANÇAMENTOS DIÁRIOS'!$P$5:$P$500,"&gt;=119480")&gt;0,"X","")</f>
      </c>
      <c r="X89" s="56" t="str">
        <f>IF(COUNTIFS('LANÇAMENTOS DIÁRIOS'!$G$5:$G$500,"G",'LANÇAMENTOS DIÁRIOS'!$C$5:$C$500,$A89,'LANÇAMENTOS DIÁRIOS'!$O$5:$O$500,"&lt;=119679",'LANÇAMENTOS DIÁRIOS'!$P$5:$P$500,"&gt;=119580")&gt;0,"X","")</f>
      </c>
      <c r="Y89" s="56" t="str">
        <f>IF(COUNTIFS('LANÇAMENTOS DIÁRIOS'!$G$5:$G$500,"G",'LANÇAMENTOS DIÁRIOS'!$C$5:$C$500,$A89,'LANÇAMENTOS DIÁRIOS'!$O$5:$O$500,"&lt;=119779",'LANÇAMENTOS DIÁRIOS'!$P$5:$P$500,"&gt;=119680")&gt;0,"X","")</f>
      </c>
      <c r="Z89" s="56" t="str">
        <f>IF(COUNTIFS('LANÇAMENTOS DIÁRIOS'!$G$5:$G$500,"G",'LANÇAMENTOS DIÁRIOS'!$C$5:$C$500,$A89,'LANÇAMENTOS DIÁRIOS'!$O$5:$O$500,"&lt;=119879",'LANÇAMENTOS DIÁRIOS'!$P$5:$P$500,"&gt;=119780")&gt;0,"X","")</f>
      </c>
      <c r="AA89" s="56" t="str">
        <f>IF(COUNTIFS('LANÇAMENTOS DIÁRIOS'!$G$5:$G$500,"G",'LANÇAMENTOS DIÁRIOS'!$C$5:$C$500,$A89,'LANÇAMENTOS DIÁRIOS'!$O$5:$O$500,"&lt;=119979",'LANÇAMENTOS DIÁRIOS'!$P$5:$P$500,"&gt;=119880")&gt;0,"X","")</f>
      </c>
      <c r="AB89" s="56" t="str">
        <f>IF(COUNTIFS('LANÇAMENTOS DIÁRIOS'!$G$5:$G$500,"G",'LANÇAMENTOS DIÁRIOS'!$C$5:$C$500,$A89,'LANÇAMENTOS DIÁRIOS'!$O$5:$O$500,"&lt;=120079",'LANÇAMENTOS DIÁRIOS'!$P$5:$P$500,"&gt;=119980")&gt;0,"X","")</f>
      </c>
      <c r="AC89" s="56" t="str">
        <f>IF(COUNTIFS('LANÇAMENTOS DIÁRIOS'!$G$5:$G$500,"G",'LANÇAMENTOS DIÁRIOS'!$C$5:$C$500,$A89,'LANÇAMENTOS DIÁRIOS'!$O$5:$O$500,"&lt;=120179",'LANÇAMENTOS DIÁRIOS'!$P$5:$P$500,"&gt;=120080")&gt;0,"X","")</f>
      </c>
      <c r="AD89" s="56" t="str">
        <f>IF(COUNTIFS('LANÇAMENTOS DIÁRIOS'!$G$5:$G$500,"G",'LANÇAMENTOS DIÁRIOS'!$C$5:$C$500,$A89,'LANÇAMENTOS DIÁRIOS'!$O$5:$O$500,"&lt;=120279",'LANÇAMENTOS DIÁRIOS'!$P$5:$P$500,"&gt;=120180")&gt;0,"X","")</f>
      </c>
      <c r="AE89" s="56" t="str">
        <f>IF(COUNTIFS('LANÇAMENTOS DIÁRIOS'!$G$5:$G$500,"G",'LANÇAMENTOS DIÁRIOS'!$C$5:$C$500,$A89,'LANÇAMENTOS DIÁRIOS'!$O$5:$O$500,"&lt;=120379",'LANÇAMENTOS DIÁRIOS'!$P$5:$P$500,"&gt;=120280")&gt;0,"X","")</f>
      </c>
      <c r="AF89" s="56" t="str">
        <f>IF(COUNTIFS('LANÇAMENTOS DIÁRIOS'!$G$5:$G$500,"G",'LANÇAMENTOS DIÁRIOS'!$C$5:$C$500,$A89,'LANÇAMENTOS DIÁRIOS'!$O$5:$O$500,"&lt;=120479",'LANÇAMENTOS DIÁRIOS'!$P$5:$P$500,"&gt;=120380")&gt;0,"X","")</f>
      </c>
      <c r="AG89" s="56" t="str">
        <f>IF(COUNTIFS('LANÇAMENTOS DIÁRIOS'!$G$5:$G$500,"G",'LANÇAMENTOS DIÁRIOS'!$C$5:$C$500,$A89,'LANÇAMENTOS DIÁRIOS'!$O$5:$O$500,"&lt;=120579",'LANÇAMENTOS DIÁRIOS'!$P$5:$P$500,"&gt;=120480")&gt;0,"X","")</f>
      </c>
      <c r="AH89" s="56" t="str">
        <f>IF(COUNTIFS('LANÇAMENTOS DIÁRIOS'!$G$5:$G$500,"G",'LANÇAMENTOS DIÁRIOS'!$C$5:$C$500,$A89,'LANÇAMENTOS DIÁRIOS'!$O$5:$O$500,"&lt;=120679",'LANÇAMENTOS DIÁRIOS'!$P$5:$P$500,"&gt;=120580")&gt;0,"X","")</f>
      </c>
      <c r="AI89" s="56" t="str">
        <f>IF(COUNTIFS('LANÇAMENTOS DIÁRIOS'!$G$5:$G$500,"G",'LANÇAMENTOS DIÁRIOS'!$C$5:$C$500,$A89,'LANÇAMENTOS DIÁRIOS'!$O$5:$O$500,"&lt;=120779",'LANÇAMENTOS DIÁRIOS'!$P$5:$P$500,"&gt;=120680")&gt;0,"X","")</f>
      </c>
      <c r="AJ89" s="56" t="str">
        <f>IF(COUNTIFS('LANÇAMENTOS DIÁRIOS'!$G$5:$G$500,"G",'LANÇAMENTOS DIÁRIOS'!$C$5:$C$500,$A89,'LANÇAMENTOS DIÁRIOS'!$O$5:$O$500,"&lt;=120879",'LANÇAMENTOS DIÁRIOS'!$P$5:$P$500,"&gt;=120780")&gt;0,"X","")</f>
      </c>
      <c r="AK89" s="56" t="str">
        <f>IF(COUNTIFS('LANÇAMENTOS DIÁRIOS'!$G$5:$G$500,"G",'LANÇAMENTOS DIÁRIOS'!$C$5:$C$500,$A89,'LANÇAMENTOS DIÁRIOS'!$O$5:$O$500,"&lt;=120979",'LANÇAMENTOS DIÁRIOS'!$P$5:$P$500,"&gt;=120880")&gt;0,"X","")</f>
      </c>
      <c r="AL89" s="56" t="str">
        <f>IF(COUNTIFS('LANÇAMENTOS DIÁRIOS'!$G$5:$G$500,"G",'LANÇAMENTOS DIÁRIOS'!$C$5:$C$500,$A89,'LANÇAMENTOS DIÁRIOS'!$O$5:$O$500,"&lt;=121079",'LANÇAMENTOS DIÁRIOS'!$P$5:$P$500,"&gt;=120980")&gt;0,"X","")</f>
      </c>
      <c r="AM89" s="56" t="str">
        <f>IF(COUNTIFS('LANÇAMENTOS DIÁRIOS'!$G$5:$G$500,"G",'LANÇAMENTOS DIÁRIOS'!$C$5:$C$500,$A89,'LANÇAMENTOS DIÁRIOS'!$O$5:$O$500,"&lt;=121179",'LANÇAMENTOS DIÁRIOS'!$P$5:$P$500,"&gt;=121080")&gt;0,"X","")</f>
      </c>
      <c r="AN89" s="56" t="str">
        <f>IF(COUNTIFS('LANÇAMENTOS DIÁRIOS'!$G$5:$G$500,"G",'LANÇAMENTOS DIÁRIOS'!$C$5:$C$500,$A89,'LANÇAMENTOS DIÁRIOS'!$O$5:$O$500,"&lt;=121279",'LANÇAMENTOS DIÁRIOS'!$P$5:$P$500,"&gt;=121180")&gt;0,"X","")</f>
      </c>
      <c r="AO89" s="56" t="str">
        <f>IF(COUNTIFS('LANÇAMENTOS DIÁRIOS'!$G$5:$G$500,"G",'LANÇAMENTOS DIÁRIOS'!$C$5:$C$500,$A89,'LANÇAMENTOS DIÁRIOS'!$O$5:$O$500,"&lt;=121379",'LANÇAMENTOS DIÁRIOS'!$P$5:$P$500,"&gt;=121280")&gt;0,"X","")</f>
      </c>
      <c r="AP89" s="56" t="str">
        <f>IF(COUNTIFS('LANÇAMENTOS DIÁRIOS'!$G$5:$G$500,"G",'LANÇAMENTOS DIÁRIOS'!$C$5:$C$500,$A89,'LANÇAMENTOS DIÁRIOS'!$O$5:$O$500,"&lt;=121479",'LANÇAMENTOS DIÁRIOS'!$P$5:$P$500,"&gt;=121380")&gt;0,"X","")</f>
      </c>
      <c r="AQ89" s="56" t="str">
        <f>IF(COUNTIFS('LANÇAMENTOS DIÁRIOS'!$G$5:$G$500,"G",'LANÇAMENTOS DIÁRIOS'!$C$5:$C$500,$A89,'LANÇAMENTOS DIÁRIOS'!$O$5:$O$500,"&lt;=121579",'LANÇAMENTOS DIÁRIOS'!$P$5:$P$500,"&gt;=121480")&gt;0,"X","")</f>
      </c>
      <c r="AR89" s="56" t="str">
        <f>IF(COUNTIFS('LANÇAMENTOS DIÁRIOS'!$G$5:$G$500,"G",'LANÇAMENTOS DIÁRIOS'!$C$5:$C$500,$A89,'LANÇAMENTOS DIÁRIOS'!$O$5:$O$500,"&lt;=121679",'LANÇAMENTOS DIÁRIOS'!$P$5:$P$500,"&gt;=121580")&gt;0,"X","")</f>
      </c>
      <c r="AS89" s="56" t="str">
        <f>IF(COUNTIFS('LANÇAMENTOS DIÁRIOS'!$G$5:$G$500,"G",'LANÇAMENTOS DIÁRIOS'!$C$5:$C$500,$A89,'LANÇAMENTOS DIÁRIOS'!$O$5:$O$500,"&lt;=121779",'LANÇAMENTOS DIÁRIOS'!$P$5:$P$500,"&gt;=121680")&gt;0,"X","")</f>
      </c>
      <c r="AT89" s="56" t="str">
        <f>IF(COUNTIFS('LANÇAMENTOS DIÁRIOS'!$G$5:$G$500,"G",'LANÇAMENTOS DIÁRIOS'!$C$5:$C$500,$A89,'LANÇAMENTOS DIÁRIOS'!$O$5:$O$500,"&lt;=121879",'LANÇAMENTOS DIÁRIOS'!$P$5:$P$500,"&gt;=121780")&gt;0,"X","")</f>
      </c>
      <c r="AU89" s="56" t="str">
        <f>IF(COUNTIFS('LANÇAMENTOS DIÁRIOS'!$G$5:$G$500,"G",'LANÇAMENTOS DIÁRIOS'!$C$5:$C$500,$A89,'LANÇAMENTOS DIÁRIOS'!$O$5:$O$500,"&lt;=121979",'LANÇAMENTOS DIÁRIOS'!$P$5:$P$500,"&gt;=121880")&gt;0,"X","")</f>
      </c>
      <c r="AV89" s="56" t="str">
        <f>IF(COUNTIFS('LANÇAMENTOS DIÁRIOS'!$G$5:$G$500,"G",'LANÇAMENTOS DIÁRIOS'!$C$5:$C$500,$A89,'LANÇAMENTOS DIÁRIOS'!$O$5:$O$500,"&lt;=122079",'LANÇAMENTOS DIÁRIOS'!$P$5:$P$500,"&gt;=121980")&gt;0,"X","")</f>
      </c>
      <c r="AW89" s="56" t="str">
        <f>IF(COUNTIFS('LANÇAMENTOS DIÁRIOS'!$G$5:$G$500,"G",'LANÇAMENTOS DIÁRIOS'!$C$5:$C$500,$A89,'LANÇAMENTOS DIÁRIOS'!$O$5:$O$500,"&lt;=122179",'LANÇAMENTOS DIÁRIOS'!$P$5:$P$500,"&gt;=122080")&gt;0,"X","")</f>
      </c>
      <c r="AX89" s="56" t="str">
        <f>IF(COUNTIFS('LANÇAMENTOS DIÁRIOS'!$G$5:$G$500,"G",'LANÇAMENTOS DIÁRIOS'!$C$5:$C$500,$A89,'LANÇAMENTOS DIÁRIOS'!$O$5:$O$500,"&lt;=122279",'LANÇAMENTOS DIÁRIOS'!$P$5:$P$500,"&gt;=122180")&gt;0,"X","")</f>
      </c>
      <c r="AY89" s="56" t="str">
        <f>IF(COUNTIFS('LANÇAMENTOS DIÁRIOS'!$G$5:$G$500,"G",'LANÇAMENTOS DIÁRIOS'!$C$5:$C$500,$A89,'LANÇAMENTOS DIÁRIOS'!$O$5:$O$500,"&lt;=122379",'LANÇAMENTOS DIÁRIOS'!$P$5:$P$500,"&gt;=122280")&gt;0,"X","")</f>
      </c>
      <c r="AZ89" s="56" t="str">
        <f>IF(COUNTIFS('LANÇAMENTOS DIÁRIOS'!$G$5:$G$500,"G",'LANÇAMENTOS DIÁRIOS'!$C$5:$C$500,$A89,'LANÇAMENTOS DIÁRIOS'!$O$5:$O$500,"&lt;=122479",'LANÇAMENTOS DIÁRIOS'!$P$5:$P$500,"&gt;=122380")&gt;0,"X","")</f>
      </c>
      <c r="BA89" s="56" t="str">
        <f>IF(COUNTIFS('LANÇAMENTOS DIÁRIOS'!$G$5:$G$500,"G",'LANÇAMENTOS DIÁRIOS'!$C$5:$C$500,$A89,'LANÇAMENTOS DIÁRIOS'!$O$5:$O$500,"&lt;=122579",'LANÇAMENTOS DIÁRIOS'!$P$5:$P$500,"&gt;=122480")&gt;0,"X","")</f>
      </c>
      <c r="BB89" s="56" t="str">
        <f>IF(COUNTIFS('LANÇAMENTOS DIÁRIOS'!$G$5:$G$500,"G",'LANÇAMENTOS DIÁRIOS'!$C$5:$C$500,$A89,'LANÇAMENTOS DIÁRIOS'!$O$5:$O$500,"&lt;=122679",'LANÇAMENTOS DIÁRIOS'!$P$5:$P$500,"&gt;=122580")&gt;0,"X","")</f>
      </c>
      <c r="BC89" s="56" t="str">
        <f>IF(COUNTIFS('LANÇAMENTOS DIÁRIOS'!$G$5:$G$500,"G",'LANÇAMENTOS DIÁRIOS'!$C$5:$C$500,$A89,'LANÇAMENTOS DIÁRIOS'!$O$5:$O$500,"&lt;=122779",'LANÇAMENTOS DIÁRIOS'!$P$5:$P$500,"&gt;=122680")&gt;0,"X","")</f>
      </c>
      <c r="BD89" s="56" t="str">
        <f>IF(COUNTIFS('LANÇAMENTOS DIÁRIOS'!$G$5:$G$500,"G",'LANÇAMENTOS DIÁRIOS'!$C$5:$C$500,$A89,'LANÇAMENTOS DIÁRIOS'!$O$5:$O$500,"&lt;=122879",'LANÇAMENTOS DIÁRIOS'!$P$5:$P$500,"&gt;=122780")&gt;0,"X","")</f>
      </c>
      <c r="BE89" s="56" t="str">
        <f>IF(COUNTIFS('LANÇAMENTOS DIÁRIOS'!$G$5:$G$500,"G",'LANÇAMENTOS DIÁRIOS'!$C$5:$C$500,$A89,'LANÇAMENTOS DIÁRIOS'!$O$5:$O$500,"&lt;=122979",'LANÇAMENTOS DIÁRIOS'!$P$5:$P$500,"&gt;=122880")&gt;0,"X","")</f>
      </c>
      <c r="BF89" s="56" t="str">
        <f>IF(COUNTIFS('LANÇAMENTOS DIÁRIOS'!$G$5:$G$500,"G",'LANÇAMENTOS DIÁRIOS'!$C$5:$C$500,$A89,'LANÇAMENTOS DIÁRIOS'!$O$5:$O$500,"&lt;=123079",'LANÇAMENTOS DIÁRIOS'!$P$5:$P$500,"&gt;=122980")&gt;0,"X","")</f>
      </c>
      <c r="BG89" s="56" t="str">
        <f>IF(COUNTIFS('LANÇAMENTOS DIÁRIOS'!$G$5:$G$500,"G",'LANÇAMENTOS DIÁRIOS'!$C$5:$C$500,$A89,'LANÇAMENTOS DIÁRIOS'!$O$5:$O$500,"&lt;=123179",'LANÇAMENTOS DIÁRIOS'!$P$5:$P$500,"&gt;=123080")&gt;0,"X","")</f>
      </c>
      <c r="BH89" s="56" t="str">
        <f>IF(COUNTIFS('LANÇAMENTOS DIÁRIOS'!$G$5:$G$500,"G",'LANÇAMENTOS DIÁRIOS'!$C$5:$C$500,$A89,'LANÇAMENTOS DIÁRIOS'!$O$5:$O$500,"&lt;=123279",'LANÇAMENTOS DIÁRIOS'!$P$5:$P$500,"&gt;=123180")&gt;0,"X","")</f>
      </c>
      <c r="BI89" s="56" t="str">
        <f>IF(COUNTIFS('LANÇAMENTOS DIÁRIOS'!$G$5:$G$500,"G",'LANÇAMENTOS DIÁRIOS'!$C$5:$C$500,$A89,'LANÇAMENTOS DIÁRIOS'!$O$5:$O$500,"&lt;=123379",'LANÇAMENTOS DIÁRIOS'!$P$5:$P$500,"&gt;=123280")&gt;0,"X","")</f>
      </c>
      <c r="BJ89" s="56" t="str">
        <f>IF(COUNTIFS('LANÇAMENTOS DIÁRIOS'!$G$5:$G$500,"G",'LANÇAMENTOS DIÁRIOS'!$C$5:$C$500,$A89,'LANÇAMENTOS DIÁRIOS'!$O$5:$O$500,"&lt;=123479",'LANÇAMENTOS DIÁRIOS'!$P$5:$P$500,"&gt;=123380")&gt;0,"X","")</f>
      </c>
      <c r="BK89" s="56" t="str">
        <f>IF(COUNTIFS('LANÇAMENTOS DIÁRIOS'!$G$5:$G$500,"G",'LANÇAMENTOS DIÁRIOS'!$C$5:$C$500,$A89,'LANÇAMENTOS DIÁRIOS'!$O$5:$O$500,"&lt;=123480",'LANÇAMENTOS DIÁRIOS'!$P$5:$P$500,"&gt;=123480")&gt;0,"X","")</f>
      </c>
    </row>
    <row r="90">
      <c r="A90" s="51" t="str">
        <v>Geogrelha Hatelit - Sem o fornecimento de materiais</v>
      </c>
      <c r="B90" s="56" t="str">
        <f>IF(COUNTIFS('LANÇAMENTOS DIÁRIOS'!$G$5:$G$500,"G",'LANÇAMENTOS DIÁRIOS'!$C$5:$C$500,$A90,'LANÇAMENTOS DIÁRIOS'!$O$5:$O$500,"&lt;=117479",'LANÇAMENTOS DIÁRIOS'!$P$5:$P$500,"&gt;=117380")&gt;0,"X","")</f>
      </c>
      <c r="C90" s="56" t="str">
        <f>IF(COUNTIFS('LANÇAMENTOS DIÁRIOS'!$G$5:$G$500,"G",'LANÇAMENTOS DIÁRIOS'!$C$5:$C$500,$A90,'LANÇAMENTOS DIÁRIOS'!$O$5:$O$500,"&lt;=117579",'LANÇAMENTOS DIÁRIOS'!$P$5:$P$500,"&gt;=117480")&gt;0,"X","")</f>
      </c>
      <c r="D90" s="56" t="str">
        <f>IF(COUNTIFS('LANÇAMENTOS DIÁRIOS'!$G$5:$G$500,"G",'LANÇAMENTOS DIÁRIOS'!$C$5:$C$500,$A90,'LANÇAMENTOS DIÁRIOS'!$O$5:$O$500,"&lt;=117679",'LANÇAMENTOS DIÁRIOS'!$P$5:$P$500,"&gt;=117580")&gt;0,"X","")</f>
      </c>
      <c r="E90" s="56" t="str">
        <f>IF(COUNTIFS('LANÇAMENTOS DIÁRIOS'!$G$5:$G$500,"G",'LANÇAMENTOS DIÁRIOS'!$C$5:$C$500,$A90,'LANÇAMENTOS DIÁRIOS'!$O$5:$O$500,"&lt;=117779",'LANÇAMENTOS DIÁRIOS'!$P$5:$P$500,"&gt;=117680")&gt;0,"X","")</f>
      </c>
      <c r="F90" s="56" t="str">
        <f>IF(COUNTIFS('LANÇAMENTOS DIÁRIOS'!$G$5:$G$500,"G",'LANÇAMENTOS DIÁRIOS'!$C$5:$C$500,$A90,'LANÇAMENTOS DIÁRIOS'!$O$5:$O$500,"&lt;=117879",'LANÇAMENTOS DIÁRIOS'!$P$5:$P$500,"&gt;=117780")&gt;0,"X","")</f>
      </c>
      <c r="G90" s="56" t="str">
        <f>IF(COUNTIFS('LANÇAMENTOS DIÁRIOS'!$G$5:$G$500,"G",'LANÇAMENTOS DIÁRIOS'!$C$5:$C$500,$A90,'LANÇAMENTOS DIÁRIOS'!$O$5:$O$500,"&lt;=117979",'LANÇAMENTOS DIÁRIOS'!$P$5:$P$500,"&gt;=117880")&gt;0,"X","")</f>
      </c>
      <c r="H90" s="56" t="str">
        <f>IF(COUNTIFS('LANÇAMENTOS DIÁRIOS'!$G$5:$G$500,"G",'LANÇAMENTOS DIÁRIOS'!$C$5:$C$500,$A90,'LANÇAMENTOS DIÁRIOS'!$O$5:$O$500,"&lt;=118079",'LANÇAMENTOS DIÁRIOS'!$P$5:$P$500,"&gt;=117980")&gt;0,"X","")</f>
      </c>
      <c r="I90" s="56" t="str">
        <f>IF(COUNTIFS('LANÇAMENTOS DIÁRIOS'!$G$5:$G$500,"G",'LANÇAMENTOS DIÁRIOS'!$C$5:$C$500,$A90,'LANÇAMENTOS DIÁRIOS'!$O$5:$O$500,"&lt;=118179",'LANÇAMENTOS DIÁRIOS'!$P$5:$P$500,"&gt;=118080")&gt;0,"X","")</f>
      </c>
      <c r="J90" s="56" t="str">
        <f>IF(COUNTIFS('LANÇAMENTOS DIÁRIOS'!$G$5:$G$500,"G",'LANÇAMENTOS DIÁRIOS'!$C$5:$C$500,$A90,'LANÇAMENTOS DIÁRIOS'!$O$5:$O$500,"&lt;=118279",'LANÇAMENTOS DIÁRIOS'!$P$5:$P$500,"&gt;=118180")&gt;0,"X","")</f>
      </c>
      <c r="K90" s="56" t="str">
        <f>IF(COUNTIFS('LANÇAMENTOS DIÁRIOS'!$G$5:$G$500,"G",'LANÇAMENTOS DIÁRIOS'!$C$5:$C$500,$A90,'LANÇAMENTOS DIÁRIOS'!$O$5:$O$500,"&lt;=118379",'LANÇAMENTOS DIÁRIOS'!$P$5:$P$500,"&gt;=118280")&gt;0,"X","")</f>
      </c>
      <c r="L90" s="56" t="str">
        <f>IF(COUNTIFS('LANÇAMENTOS DIÁRIOS'!$G$5:$G$500,"G",'LANÇAMENTOS DIÁRIOS'!$C$5:$C$500,$A90,'LANÇAMENTOS DIÁRIOS'!$O$5:$O$500,"&lt;=118479",'LANÇAMENTOS DIÁRIOS'!$P$5:$P$500,"&gt;=118380")&gt;0,"X","")</f>
      </c>
      <c r="M90" s="56" t="str">
        <f>IF(COUNTIFS('LANÇAMENTOS DIÁRIOS'!$G$5:$G$500,"G",'LANÇAMENTOS DIÁRIOS'!$C$5:$C$500,$A90,'LANÇAMENTOS DIÁRIOS'!$O$5:$O$500,"&lt;=118579",'LANÇAMENTOS DIÁRIOS'!$P$5:$P$500,"&gt;=118480")&gt;0,"X","")</f>
      </c>
      <c r="N90" s="56" t="str">
        <f>IF(COUNTIFS('LANÇAMENTOS DIÁRIOS'!$G$5:$G$500,"G",'LANÇAMENTOS DIÁRIOS'!$C$5:$C$500,$A90,'LANÇAMENTOS DIÁRIOS'!$O$5:$O$500,"&lt;=118679",'LANÇAMENTOS DIÁRIOS'!$P$5:$P$500,"&gt;=118580")&gt;0,"X","")</f>
      </c>
      <c r="O90" s="56" t="str">
        <f>IF(COUNTIFS('LANÇAMENTOS DIÁRIOS'!$G$5:$G$500,"G",'LANÇAMENTOS DIÁRIOS'!$C$5:$C$500,$A90,'LANÇAMENTOS DIÁRIOS'!$O$5:$O$500,"&lt;=118779",'LANÇAMENTOS DIÁRIOS'!$P$5:$P$500,"&gt;=118680")&gt;0,"X","")</f>
      </c>
      <c r="P90" s="56" t="str">
        <f>IF(COUNTIFS('LANÇAMENTOS DIÁRIOS'!$G$5:$G$500,"G",'LANÇAMENTOS DIÁRIOS'!$C$5:$C$500,$A90,'LANÇAMENTOS DIÁRIOS'!$O$5:$O$500,"&lt;=118879",'LANÇAMENTOS DIÁRIOS'!$P$5:$P$500,"&gt;=118780")&gt;0,"X","")</f>
      </c>
      <c r="Q90" s="56" t="str">
        <f>IF(COUNTIFS('LANÇAMENTOS DIÁRIOS'!$G$5:$G$500,"G",'LANÇAMENTOS DIÁRIOS'!$C$5:$C$500,$A90,'LANÇAMENTOS DIÁRIOS'!$O$5:$O$500,"&lt;=118979",'LANÇAMENTOS DIÁRIOS'!$P$5:$P$500,"&gt;=118880")&gt;0,"X","")</f>
      </c>
      <c r="R90" s="56" t="str">
        <f>IF(COUNTIFS('LANÇAMENTOS DIÁRIOS'!$G$5:$G$500,"G",'LANÇAMENTOS DIÁRIOS'!$C$5:$C$500,$A90,'LANÇAMENTOS DIÁRIOS'!$O$5:$O$500,"&lt;=119079",'LANÇAMENTOS DIÁRIOS'!$P$5:$P$500,"&gt;=118980")&gt;0,"X","")</f>
      </c>
      <c r="S90" s="56" t="str">
        <f>IF(COUNTIFS('LANÇAMENTOS DIÁRIOS'!$G$5:$G$500,"G",'LANÇAMENTOS DIÁRIOS'!$C$5:$C$500,$A90,'LANÇAMENTOS DIÁRIOS'!$O$5:$O$500,"&lt;=119179",'LANÇAMENTOS DIÁRIOS'!$P$5:$P$500,"&gt;=119080")&gt;0,"X","")</f>
      </c>
      <c r="T90" s="56" t="str">
        <f>IF(COUNTIFS('LANÇAMENTOS DIÁRIOS'!$G$5:$G$500,"G",'LANÇAMENTOS DIÁRIOS'!$C$5:$C$500,$A90,'LANÇAMENTOS DIÁRIOS'!$O$5:$O$500,"&lt;=119279",'LANÇAMENTOS DIÁRIOS'!$P$5:$P$500,"&gt;=119180")&gt;0,"X","")</f>
      </c>
      <c r="U90" s="56" t="str">
        <f>IF(COUNTIFS('LANÇAMENTOS DIÁRIOS'!$G$5:$G$500,"G",'LANÇAMENTOS DIÁRIOS'!$C$5:$C$500,$A90,'LANÇAMENTOS DIÁRIOS'!$O$5:$O$500,"&lt;=119379",'LANÇAMENTOS DIÁRIOS'!$P$5:$P$500,"&gt;=119280")&gt;0,"X","")</f>
      </c>
      <c r="V90" s="56" t="str">
        <f>IF(COUNTIFS('LANÇAMENTOS DIÁRIOS'!$G$5:$G$500,"G",'LANÇAMENTOS DIÁRIOS'!$C$5:$C$500,$A90,'LANÇAMENTOS DIÁRIOS'!$O$5:$O$500,"&lt;=119479",'LANÇAMENTOS DIÁRIOS'!$P$5:$P$500,"&gt;=119380")&gt;0,"X","")</f>
      </c>
      <c r="W90" s="56" t="str">
        <f>IF(COUNTIFS('LANÇAMENTOS DIÁRIOS'!$G$5:$G$500,"G",'LANÇAMENTOS DIÁRIOS'!$C$5:$C$500,$A90,'LANÇAMENTOS DIÁRIOS'!$O$5:$O$500,"&lt;=119579",'LANÇAMENTOS DIÁRIOS'!$P$5:$P$500,"&gt;=119480")&gt;0,"X","")</f>
      </c>
      <c r="X90" s="56" t="str">
        <f>IF(COUNTIFS('LANÇAMENTOS DIÁRIOS'!$G$5:$G$500,"G",'LANÇAMENTOS DIÁRIOS'!$C$5:$C$500,$A90,'LANÇAMENTOS DIÁRIOS'!$O$5:$O$500,"&lt;=119679",'LANÇAMENTOS DIÁRIOS'!$P$5:$P$500,"&gt;=119580")&gt;0,"X","")</f>
      </c>
      <c r="Y90" s="56" t="str">
        <f>IF(COUNTIFS('LANÇAMENTOS DIÁRIOS'!$G$5:$G$500,"G",'LANÇAMENTOS DIÁRIOS'!$C$5:$C$500,$A90,'LANÇAMENTOS DIÁRIOS'!$O$5:$O$500,"&lt;=119779",'LANÇAMENTOS DIÁRIOS'!$P$5:$P$500,"&gt;=119680")&gt;0,"X","")</f>
      </c>
      <c r="Z90" s="56" t="str">
        <f>IF(COUNTIFS('LANÇAMENTOS DIÁRIOS'!$G$5:$G$500,"G",'LANÇAMENTOS DIÁRIOS'!$C$5:$C$500,$A90,'LANÇAMENTOS DIÁRIOS'!$O$5:$O$500,"&lt;=119879",'LANÇAMENTOS DIÁRIOS'!$P$5:$P$500,"&gt;=119780")&gt;0,"X","")</f>
      </c>
      <c r="AA90" s="56" t="str">
        <f>IF(COUNTIFS('LANÇAMENTOS DIÁRIOS'!$G$5:$G$500,"G",'LANÇAMENTOS DIÁRIOS'!$C$5:$C$500,$A90,'LANÇAMENTOS DIÁRIOS'!$O$5:$O$500,"&lt;=119979",'LANÇAMENTOS DIÁRIOS'!$P$5:$P$500,"&gt;=119880")&gt;0,"X","")</f>
      </c>
      <c r="AB90" s="56" t="str">
        <f>IF(COUNTIFS('LANÇAMENTOS DIÁRIOS'!$G$5:$G$500,"G",'LANÇAMENTOS DIÁRIOS'!$C$5:$C$500,$A90,'LANÇAMENTOS DIÁRIOS'!$O$5:$O$500,"&lt;=120079",'LANÇAMENTOS DIÁRIOS'!$P$5:$P$500,"&gt;=119980")&gt;0,"X","")</f>
      </c>
      <c r="AC90" s="56" t="str">
        <f>IF(COUNTIFS('LANÇAMENTOS DIÁRIOS'!$G$5:$G$500,"G",'LANÇAMENTOS DIÁRIOS'!$C$5:$C$500,$A90,'LANÇAMENTOS DIÁRIOS'!$O$5:$O$500,"&lt;=120179",'LANÇAMENTOS DIÁRIOS'!$P$5:$P$500,"&gt;=120080")&gt;0,"X","")</f>
      </c>
      <c r="AD90" s="56" t="str">
        <f>IF(COUNTIFS('LANÇAMENTOS DIÁRIOS'!$G$5:$G$500,"G",'LANÇAMENTOS DIÁRIOS'!$C$5:$C$500,$A90,'LANÇAMENTOS DIÁRIOS'!$O$5:$O$500,"&lt;=120279",'LANÇAMENTOS DIÁRIOS'!$P$5:$P$500,"&gt;=120180")&gt;0,"X","")</f>
      </c>
      <c r="AE90" s="56" t="str">
        <f>IF(COUNTIFS('LANÇAMENTOS DIÁRIOS'!$G$5:$G$500,"G",'LANÇAMENTOS DIÁRIOS'!$C$5:$C$500,$A90,'LANÇAMENTOS DIÁRIOS'!$O$5:$O$500,"&lt;=120379",'LANÇAMENTOS DIÁRIOS'!$P$5:$P$500,"&gt;=120280")&gt;0,"X","")</f>
      </c>
      <c r="AF90" s="56" t="str">
        <f>IF(COUNTIFS('LANÇAMENTOS DIÁRIOS'!$G$5:$G$500,"G",'LANÇAMENTOS DIÁRIOS'!$C$5:$C$500,$A90,'LANÇAMENTOS DIÁRIOS'!$O$5:$O$500,"&lt;=120479",'LANÇAMENTOS DIÁRIOS'!$P$5:$P$500,"&gt;=120380")&gt;0,"X","")</f>
      </c>
      <c r="AG90" s="56" t="str">
        <f>IF(COUNTIFS('LANÇAMENTOS DIÁRIOS'!$G$5:$G$500,"G",'LANÇAMENTOS DIÁRIOS'!$C$5:$C$500,$A90,'LANÇAMENTOS DIÁRIOS'!$O$5:$O$500,"&lt;=120579",'LANÇAMENTOS DIÁRIOS'!$P$5:$P$500,"&gt;=120480")&gt;0,"X","")</f>
      </c>
      <c r="AH90" s="56" t="str">
        <f>IF(COUNTIFS('LANÇAMENTOS DIÁRIOS'!$G$5:$G$500,"G",'LANÇAMENTOS DIÁRIOS'!$C$5:$C$500,$A90,'LANÇAMENTOS DIÁRIOS'!$O$5:$O$500,"&lt;=120679",'LANÇAMENTOS DIÁRIOS'!$P$5:$P$500,"&gt;=120580")&gt;0,"X","")</f>
      </c>
      <c r="AI90" s="56" t="str">
        <f>IF(COUNTIFS('LANÇAMENTOS DIÁRIOS'!$G$5:$G$500,"G",'LANÇAMENTOS DIÁRIOS'!$C$5:$C$500,$A90,'LANÇAMENTOS DIÁRIOS'!$O$5:$O$500,"&lt;=120779",'LANÇAMENTOS DIÁRIOS'!$P$5:$P$500,"&gt;=120680")&gt;0,"X","")</f>
      </c>
      <c r="AJ90" s="56" t="str">
        <f>IF(COUNTIFS('LANÇAMENTOS DIÁRIOS'!$G$5:$G$500,"G",'LANÇAMENTOS DIÁRIOS'!$C$5:$C$500,$A90,'LANÇAMENTOS DIÁRIOS'!$O$5:$O$500,"&lt;=120879",'LANÇAMENTOS DIÁRIOS'!$P$5:$P$500,"&gt;=120780")&gt;0,"X","")</f>
      </c>
      <c r="AK90" s="56" t="str">
        <f>IF(COUNTIFS('LANÇAMENTOS DIÁRIOS'!$G$5:$G$500,"G",'LANÇAMENTOS DIÁRIOS'!$C$5:$C$500,$A90,'LANÇAMENTOS DIÁRIOS'!$O$5:$O$500,"&lt;=120979",'LANÇAMENTOS DIÁRIOS'!$P$5:$P$500,"&gt;=120880")&gt;0,"X","")</f>
      </c>
      <c r="AL90" s="56" t="str">
        <f>IF(COUNTIFS('LANÇAMENTOS DIÁRIOS'!$G$5:$G$500,"G",'LANÇAMENTOS DIÁRIOS'!$C$5:$C$500,$A90,'LANÇAMENTOS DIÁRIOS'!$O$5:$O$500,"&lt;=121079",'LANÇAMENTOS DIÁRIOS'!$P$5:$P$500,"&gt;=120980")&gt;0,"X","")</f>
      </c>
      <c r="AM90" s="56" t="str">
        <f>IF(COUNTIFS('LANÇAMENTOS DIÁRIOS'!$G$5:$G$500,"G",'LANÇAMENTOS DIÁRIOS'!$C$5:$C$500,$A90,'LANÇAMENTOS DIÁRIOS'!$O$5:$O$500,"&lt;=121179",'LANÇAMENTOS DIÁRIOS'!$P$5:$P$500,"&gt;=121080")&gt;0,"X","")</f>
      </c>
      <c r="AN90" s="56" t="str">
        <f>IF(COUNTIFS('LANÇAMENTOS DIÁRIOS'!$G$5:$G$500,"G",'LANÇAMENTOS DIÁRIOS'!$C$5:$C$500,$A90,'LANÇAMENTOS DIÁRIOS'!$O$5:$O$500,"&lt;=121279",'LANÇAMENTOS DIÁRIOS'!$P$5:$P$500,"&gt;=121180")&gt;0,"X","")</f>
      </c>
      <c r="AO90" s="56" t="str">
        <f>IF(COUNTIFS('LANÇAMENTOS DIÁRIOS'!$G$5:$G$500,"G",'LANÇAMENTOS DIÁRIOS'!$C$5:$C$500,$A90,'LANÇAMENTOS DIÁRIOS'!$O$5:$O$500,"&lt;=121379",'LANÇAMENTOS DIÁRIOS'!$P$5:$P$500,"&gt;=121280")&gt;0,"X","")</f>
      </c>
      <c r="AP90" s="56" t="str">
        <f>IF(COUNTIFS('LANÇAMENTOS DIÁRIOS'!$G$5:$G$500,"G",'LANÇAMENTOS DIÁRIOS'!$C$5:$C$500,$A90,'LANÇAMENTOS DIÁRIOS'!$O$5:$O$500,"&lt;=121479",'LANÇAMENTOS DIÁRIOS'!$P$5:$P$500,"&gt;=121380")&gt;0,"X","")</f>
      </c>
      <c r="AQ90" s="56" t="str">
        <f>IF(COUNTIFS('LANÇAMENTOS DIÁRIOS'!$G$5:$G$500,"G",'LANÇAMENTOS DIÁRIOS'!$C$5:$C$500,$A90,'LANÇAMENTOS DIÁRIOS'!$O$5:$O$500,"&lt;=121579",'LANÇAMENTOS DIÁRIOS'!$P$5:$P$500,"&gt;=121480")&gt;0,"X","")</f>
      </c>
      <c r="AR90" s="56" t="str">
        <f>IF(COUNTIFS('LANÇAMENTOS DIÁRIOS'!$G$5:$G$500,"G",'LANÇAMENTOS DIÁRIOS'!$C$5:$C$500,$A90,'LANÇAMENTOS DIÁRIOS'!$O$5:$O$500,"&lt;=121679",'LANÇAMENTOS DIÁRIOS'!$P$5:$P$500,"&gt;=121580")&gt;0,"X","")</f>
      </c>
      <c r="AS90" s="56" t="str">
        <f>IF(COUNTIFS('LANÇAMENTOS DIÁRIOS'!$G$5:$G$500,"G",'LANÇAMENTOS DIÁRIOS'!$C$5:$C$500,$A90,'LANÇAMENTOS DIÁRIOS'!$O$5:$O$500,"&lt;=121779",'LANÇAMENTOS DIÁRIOS'!$P$5:$P$500,"&gt;=121680")&gt;0,"X","")</f>
      </c>
      <c r="AT90" s="56" t="str">
        <f>IF(COUNTIFS('LANÇAMENTOS DIÁRIOS'!$G$5:$G$500,"G",'LANÇAMENTOS DIÁRIOS'!$C$5:$C$500,$A90,'LANÇAMENTOS DIÁRIOS'!$O$5:$O$500,"&lt;=121879",'LANÇAMENTOS DIÁRIOS'!$P$5:$P$500,"&gt;=121780")&gt;0,"X","")</f>
      </c>
      <c r="AU90" s="56" t="str">
        <f>IF(COUNTIFS('LANÇAMENTOS DIÁRIOS'!$G$5:$G$500,"G",'LANÇAMENTOS DIÁRIOS'!$C$5:$C$500,$A90,'LANÇAMENTOS DIÁRIOS'!$O$5:$O$500,"&lt;=121979",'LANÇAMENTOS DIÁRIOS'!$P$5:$P$500,"&gt;=121880")&gt;0,"X","")</f>
      </c>
      <c r="AV90" s="56" t="str">
        <f>IF(COUNTIFS('LANÇAMENTOS DIÁRIOS'!$G$5:$G$500,"G",'LANÇAMENTOS DIÁRIOS'!$C$5:$C$500,$A90,'LANÇAMENTOS DIÁRIOS'!$O$5:$O$500,"&lt;=122079",'LANÇAMENTOS DIÁRIOS'!$P$5:$P$500,"&gt;=121980")&gt;0,"X","")</f>
      </c>
      <c r="AW90" s="56" t="str">
        <f>IF(COUNTIFS('LANÇAMENTOS DIÁRIOS'!$G$5:$G$500,"G",'LANÇAMENTOS DIÁRIOS'!$C$5:$C$500,$A90,'LANÇAMENTOS DIÁRIOS'!$O$5:$O$500,"&lt;=122179",'LANÇAMENTOS DIÁRIOS'!$P$5:$P$500,"&gt;=122080")&gt;0,"X","")</f>
      </c>
      <c r="AX90" s="56" t="str">
        <f>IF(COUNTIFS('LANÇAMENTOS DIÁRIOS'!$G$5:$G$500,"G",'LANÇAMENTOS DIÁRIOS'!$C$5:$C$500,$A90,'LANÇAMENTOS DIÁRIOS'!$O$5:$O$500,"&lt;=122279",'LANÇAMENTOS DIÁRIOS'!$P$5:$P$500,"&gt;=122180")&gt;0,"X","")</f>
      </c>
      <c r="AY90" s="56" t="str">
        <f>IF(COUNTIFS('LANÇAMENTOS DIÁRIOS'!$G$5:$G$500,"G",'LANÇAMENTOS DIÁRIOS'!$C$5:$C$500,$A90,'LANÇAMENTOS DIÁRIOS'!$O$5:$O$500,"&lt;=122379",'LANÇAMENTOS DIÁRIOS'!$P$5:$P$500,"&gt;=122280")&gt;0,"X","")</f>
      </c>
      <c r="AZ90" s="56" t="str">
        <f>IF(COUNTIFS('LANÇAMENTOS DIÁRIOS'!$G$5:$G$500,"G",'LANÇAMENTOS DIÁRIOS'!$C$5:$C$500,$A90,'LANÇAMENTOS DIÁRIOS'!$O$5:$O$500,"&lt;=122479",'LANÇAMENTOS DIÁRIOS'!$P$5:$P$500,"&gt;=122380")&gt;0,"X","")</f>
      </c>
      <c r="BA90" s="56" t="str">
        <f>IF(COUNTIFS('LANÇAMENTOS DIÁRIOS'!$G$5:$G$500,"G",'LANÇAMENTOS DIÁRIOS'!$C$5:$C$500,$A90,'LANÇAMENTOS DIÁRIOS'!$O$5:$O$500,"&lt;=122579",'LANÇAMENTOS DIÁRIOS'!$P$5:$P$500,"&gt;=122480")&gt;0,"X","")</f>
      </c>
      <c r="BB90" s="56" t="str">
        <f>IF(COUNTIFS('LANÇAMENTOS DIÁRIOS'!$G$5:$G$500,"G",'LANÇAMENTOS DIÁRIOS'!$C$5:$C$500,$A90,'LANÇAMENTOS DIÁRIOS'!$O$5:$O$500,"&lt;=122679",'LANÇAMENTOS DIÁRIOS'!$P$5:$P$500,"&gt;=122580")&gt;0,"X","")</f>
      </c>
      <c r="BC90" s="56" t="str">
        <f>IF(COUNTIFS('LANÇAMENTOS DIÁRIOS'!$G$5:$G$500,"G",'LANÇAMENTOS DIÁRIOS'!$C$5:$C$500,$A90,'LANÇAMENTOS DIÁRIOS'!$O$5:$O$500,"&lt;=122779",'LANÇAMENTOS DIÁRIOS'!$P$5:$P$500,"&gt;=122680")&gt;0,"X","")</f>
      </c>
      <c r="BD90" s="56" t="str">
        <f>IF(COUNTIFS('LANÇAMENTOS DIÁRIOS'!$G$5:$G$500,"G",'LANÇAMENTOS DIÁRIOS'!$C$5:$C$500,$A90,'LANÇAMENTOS DIÁRIOS'!$O$5:$O$500,"&lt;=122879",'LANÇAMENTOS DIÁRIOS'!$P$5:$P$500,"&gt;=122780")&gt;0,"X","")</f>
      </c>
      <c r="BE90" s="56" t="str">
        <f>IF(COUNTIFS('LANÇAMENTOS DIÁRIOS'!$G$5:$G$500,"G",'LANÇAMENTOS DIÁRIOS'!$C$5:$C$500,$A90,'LANÇAMENTOS DIÁRIOS'!$O$5:$O$500,"&lt;=122979",'LANÇAMENTOS DIÁRIOS'!$P$5:$P$500,"&gt;=122880")&gt;0,"X","")</f>
      </c>
      <c r="BF90" s="56" t="str">
        <f>IF(COUNTIFS('LANÇAMENTOS DIÁRIOS'!$G$5:$G$500,"G",'LANÇAMENTOS DIÁRIOS'!$C$5:$C$500,$A90,'LANÇAMENTOS DIÁRIOS'!$O$5:$O$500,"&lt;=123079",'LANÇAMENTOS DIÁRIOS'!$P$5:$P$500,"&gt;=122980")&gt;0,"X","")</f>
      </c>
      <c r="BG90" s="56" t="str">
        <f>IF(COUNTIFS('LANÇAMENTOS DIÁRIOS'!$G$5:$G$500,"G",'LANÇAMENTOS DIÁRIOS'!$C$5:$C$500,$A90,'LANÇAMENTOS DIÁRIOS'!$O$5:$O$500,"&lt;=123179",'LANÇAMENTOS DIÁRIOS'!$P$5:$P$500,"&gt;=123080")&gt;0,"X","")</f>
      </c>
      <c r="BH90" s="56" t="str">
        <f>IF(COUNTIFS('LANÇAMENTOS DIÁRIOS'!$G$5:$G$500,"G",'LANÇAMENTOS DIÁRIOS'!$C$5:$C$500,$A90,'LANÇAMENTOS DIÁRIOS'!$O$5:$O$500,"&lt;=123279",'LANÇAMENTOS DIÁRIOS'!$P$5:$P$500,"&gt;=123180")&gt;0,"X","")</f>
      </c>
      <c r="BI90" s="56" t="str">
        <f>IF(COUNTIFS('LANÇAMENTOS DIÁRIOS'!$G$5:$G$500,"G",'LANÇAMENTOS DIÁRIOS'!$C$5:$C$500,$A90,'LANÇAMENTOS DIÁRIOS'!$O$5:$O$500,"&lt;=123379",'LANÇAMENTOS DIÁRIOS'!$P$5:$P$500,"&gt;=123280")&gt;0,"X","")</f>
      </c>
      <c r="BJ90" s="56" t="str">
        <f>IF(COUNTIFS('LANÇAMENTOS DIÁRIOS'!$G$5:$G$500,"G",'LANÇAMENTOS DIÁRIOS'!$C$5:$C$500,$A90,'LANÇAMENTOS DIÁRIOS'!$O$5:$O$500,"&lt;=123479",'LANÇAMENTOS DIÁRIOS'!$P$5:$P$500,"&gt;=123380")&gt;0,"X","")</f>
      </c>
      <c r="BK90" s="56" t="str">
        <f>IF(COUNTIFS('LANÇAMENTOS DIÁRIOS'!$G$5:$G$500,"G",'LANÇAMENTOS DIÁRIOS'!$C$5:$C$500,$A90,'LANÇAMENTOS DIÁRIOS'!$O$5:$O$500,"&lt;=123480",'LANÇAMENTOS DIÁRIOS'!$P$5:$P$500,"&gt;=123480")&gt;0,"X","")</f>
      </c>
    </row>
    <row r="91">
      <c r="A91" s="51" t="str">
        <v>Imprimadura impermeabilizante, sem fornecimento de material</v>
      </c>
      <c r="B91" s="56" t="str">
        <f>IF(COUNTIFS('LANÇAMENTOS DIÁRIOS'!$G$5:$G$500,"G",'LANÇAMENTOS DIÁRIOS'!$C$5:$C$500,$A91,'LANÇAMENTOS DIÁRIOS'!$O$5:$O$500,"&lt;=117479",'LANÇAMENTOS DIÁRIOS'!$P$5:$P$500,"&gt;=117380")&gt;0,"X","")</f>
      </c>
      <c r="C91" s="56" t="str">
        <f>IF(COUNTIFS('LANÇAMENTOS DIÁRIOS'!$G$5:$G$500,"G",'LANÇAMENTOS DIÁRIOS'!$C$5:$C$500,$A91,'LANÇAMENTOS DIÁRIOS'!$O$5:$O$500,"&lt;=117579",'LANÇAMENTOS DIÁRIOS'!$P$5:$P$500,"&gt;=117480")&gt;0,"X","")</f>
      </c>
      <c r="D91" s="56" t="str">
        <f>IF(COUNTIFS('LANÇAMENTOS DIÁRIOS'!$G$5:$G$500,"G",'LANÇAMENTOS DIÁRIOS'!$C$5:$C$500,$A91,'LANÇAMENTOS DIÁRIOS'!$O$5:$O$500,"&lt;=117679",'LANÇAMENTOS DIÁRIOS'!$P$5:$P$500,"&gt;=117580")&gt;0,"X","")</f>
      </c>
      <c r="E91" s="56" t="str">
        <f>IF(COUNTIFS('LANÇAMENTOS DIÁRIOS'!$G$5:$G$500,"G",'LANÇAMENTOS DIÁRIOS'!$C$5:$C$500,$A91,'LANÇAMENTOS DIÁRIOS'!$O$5:$O$500,"&lt;=117779",'LANÇAMENTOS DIÁRIOS'!$P$5:$P$500,"&gt;=117680")&gt;0,"X","")</f>
      </c>
      <c r="F91" s="56" t="str">
        <f>IF(COUNTIFS('LANÇAMENTOS DIÁRIOS'!$G$5:$G$500,"G",'LANÇAMENTOS DIÁRIOS'!$C$5:$C$500,$A91,'LANÇAMENTOS DIÁRIOS'!$O$5:$O$500,"&lt;=117879",'LANÇAMENTOS DIÁRIOS'!$P$5:$P$500,"&gt;=117780")&gt;0,"X","")</f>
      </c>
      <c r="G91" s="56" t="str">
        <f>IF(COUNTIFS('LANÇAMENTOS DIÁRIOS'!$G$5:$G$500,"G",'LANÇAMENTOS DIÁRIOS'!$C$5:$C$500,$A91,'LANÇAMENTOS DIÁRIOS'!$O$5:$O$500,"&lt;=117979",'LANÇAMENTOS DIÁRIOS'!$P$5:$P$500,"&gt;=117880")&gt;0,"X","")</f>
      </c>
      <c r="H91" s="56" t="str">
        <f>IF(COUNTIFS('LANÇAMENTOS DIÁRIOS'!$G$5:$G$500,"G",'LANÇAMENTOS DIÁRIOS'!$C$5:$C$500,$A91,'LANÇAMENTOS DIÁRIOS'!$O$5:$O$500,"&lt;=118079",'LANÇAMENTOS DIÁRIOS'!$P$5:$P$500,"&gt;=117980")&gt;0,"X","")</f>
      </c>
      <c r="I91" s="56" t="str">
        <f>IF(COUNTIFS('LANÇAMENTOS DIÁRIOS'!$G$5:$G$500,"G",'LANÇAMENTOS DIÁRIOS'!$C$5:$C$500,$A91,'LANÇAMENTOS DIÁRIOS'!$O$5:$O$500,"&lt;=118179",'LANÇAMENTOS DIÁRIOS'!$P$5:$P$500,"&gt;=118080")&gt;0,"X","")</f>
      </c>
      <c r="J91" s="56" t="str">
        <f>IF(COUNTIFS('LANÇAMENTOS DIÁRIOS'!$G$5:$G$500,"G",'LANÇAMENTOS DIÁRIOS'!$C$5:$C$500,$A91,'LANÇAMENTOS DIÁRIOS'!$O$5:$O$500,"&lt;=118279",'LANÇAMENTOS DIÁRIOS'!$P$5:$P$500,"&gt;=118180")&gt;0,"X","")</f>
      </c>
      <c r="K91" s="56" t="str">
        <f>IF(COUNTIFS('LANÇAMENTOS DIÁRIOS'!$G$5:$G$500,"G",'LANÇAMENTOS DIÁRIOS'!$C$5:$C$500,$A91,'LANÇAMENTOS DIÁRIOS'!$O$5:$O$500,"&lt;=118379",'LANÇAMENTOS DIÁRIOS'!$P$5:$P$500,"&gt;=118280")&gt;0,"X","")</f>
      </c>
      <c r="L91" s="56" t="str">
        <f>IF(COUNTIFS('LANÇAMENTOS DIÁRIOS'!$G$5:$G$500,"G",'LANÇAMENTOS DIÁRIOS'!$C$5:$C$500,$A91,'LANÇAMENTOS DIÁRIOS'!$O$5:$O$500,"&lt;=118479",'LANÇAMENTOS DIÁRIOS'!$P$5:$P$500,"&gt;=118380")&gt;0,"X","")</f>
      </c>
      <c r="M91" s="56" t="str">
        <f>IF(COUNTIFS('LANÇAMENTOS DIÁRIOS'!$G$5:$G$500,"G",'LANÇAMENTOS DIÁRIOS'!$C$5:$C$500,$A91,'LANÇAMENTOS DIÁRIOS'!$O$5:$O$500,"&lt;=118579",'LANÇAMENTOS DIÁRIOS'!$P$5:$P$500,"&gt;=118480")&gt;0,"X","")</f>
      </c>
      <c r="N91" s="56" t="str">
        <f>IF(COUNTIFS('LANÇAMENTOS DIÁRIOS'!$G$5:$G$500,"G",'LANÇAMENTOS DIÁRIOS'!$C$5:$C$500,$A91,'LANÇAMENTOS DIÁRIOS'!$O$5:$O$500,"&lt;=118679",'LANÇAMENTOS DIÁRIOS'!$P$5:$P$500,"&gt;=118580")&gt;0,"X","")</f>
      </c>
      <c r="O91" s="56" t="str">
        <f>IF(COUNTIFS('LANÇAMENTOS DIÁRIOS'!$G$5:$G$500,"G",'LANÇAMENTOS DIÁRIOS'!$C$5:$C$500,$A91,'LANÇAMENTOS DIÁRIOS'!$O$5:$O$500,"&lt;=118779",'LANÇAMENTOS DIÁRIOS'!$P$5:$P$500,"&gt;=118680")&gt;0,"X","")</f>
      </c>
      <c r="P91" s="56" t="str">
        <f>IF(COUNTIFS('LANÇAMENTOS DIÁRIOS'!$G$5:$G$500,"G",'LANÇAMENTOS DIÁRIOS'!$C$5:$C$500,$A91,'LANÇAMENTOS DIÁRIOS'!$O$5:$O$500,"&lt;=118879",'LANÇAMENTOS DIÁRIOS'!$P$5:$P$500,"&gt;=118780")&gt;0,"X","")</f>
      </c>
      <c r="Q91" s="56" t="str">
        <f>IF(COUNTIFS('LANÇAMENTOS DIÁRIOS'!$G$5:$G$500,"G",'LANÇAMENTOS DIÁRIOS'!$C$5:$C$500,$A91,'LANÇAMENTOS DIÁRIOS'!$O$5:$O$500,"&lt;=118979",'LANÇAMENTOS DIÁRIOS'!$P$5:$P$500,"&gt;=118880")&gt;0,"X","")</f>
      </c>
      <c r="R91" s="56" t="str">
        <f>IF(COUNTIFS('LANÇAMENTOS DIÁRIOS'!$G$5:$G$500,"G",'LANÇAMENTOS DIÁRIOS'!$C$5:$C$500,$A91,'LANÇAMENTOS DIÁRIOS'!$O$5:$O$500,"&lt;=119079",'LANÇAMENTOS DIÁRIOS'!$P$5:$P$500,"&gt;=118980")&gt;0,"X","")</f>
      </c>
      <c r="S91" s="56" t="str">
        <f>IF(COUNTIFS('LANÇAMENTOS DIÁRIOS'!$G$5:$G$500,"G",'LANÇAMENTOS DIÁRIOS'!$C$5:$C$500,$A91,'LANÇAMENTOS DIÁRIOS'!$O$5:$O$500,"&lt;=119179",'LANÇAMENTOS DIÁRIOS'!$P$5:$P$500,"&gt;=119080")&gt;0,"X","")</f>
      </c>
      <c r="T91" s="56" t="str">
        <f>IF(COUNTIFS('LANÇAMENTOS DIÁRIOS'!$G$5:$G$500,"G",'LANÇAMENTOS DIÁRIOS'!$C$5:$C$500,$A91,'LANÇAMENTOS DIÁRIOS'!$O$5:$O$500,"&lt;=119279",'LANÇAMENTOS DIÁRIOS'!$P$5:$P$500,"&gt;=119180")&gt;0,"X","")</f>
      </c>
      <c r="U91" s="56" t="str">
        <f>IF(COUNTIFS('LANÇAMENTOS DIÁRIOS'!$G$5:$G$500,"G",'LANÇAMENTOS DIÁRIOS'!$C$5:$C$500,$A91,'LANÇAMENTOS DIÁRIOS'!$O$5:$O$500,"&lt;=119379",'LANÇAMENTOS DIÁRIOS'!$P$5:$P$500,"&gt;=119280")&gt;0,"X","")</f>
      </c>
      <c r="V91" s="56" t="str">
        <f>IF(COUNTIFS('LANÇAMENTOS DIÁRIOS'!$G$5:$G$500,"G",'LANÇAMENTOS DIÁRIOS'!$C$5:$C$500,$A91,'LANÇAMENTOS DIÁRIOS'!$O$5:$O$500,"&lt;=119479",'LANÇAMENTOS DIÁRIOS'!$P$5:$P$500,"&gt;=119380")&gt;0,"X","")</f>
      </c>
      <c r="W91" s="56" t="str">
        <f>IF(COUNTIFS('LANÇAMENTOS DIÁRIOS'!$G$5:$G$500,"G",'LANÇAMENTOS DIÁRIOS'!$C$5:$C$500,$A91,'LANÇAMENTOS DIÁRIOS'!$O$5:$O$500,"&lt;=119579",'LANÇAMENTOS DIÁRIOS'!$P$5:$P$500,"&gt;=119480")&gt;0,"X","")</f>
      </c>
      <c r="X91" s="56" t="str">
        <f>IF(COUNTIFS('LANÇAMENTOS DIÁRIOS'!$G$5:$G$500,"G",'LANÇAMENTOS DIÁRIOS'!$C$5:$C$500,$A91,'LANÇAMENTOS DIÁRIOS'!$O$5:$O$500,"&lt;=119679",'LANÇAMENTOS DIÁRIOS'!$P$5:$P$500,"&gt;=119580")&gt;0,"X","")</f>
      </c>
      <c r="Y91" s="56" t="str">
        <f>IF(COUNTIFS('LANÇAMENTOS DIÁRIOS'!$G$5:$G$500,"G",'LANÇAMENTOS DIÁRIOS'!$C$5:$C$500,$A91,'LANÇAMENTOS DIÁRIOS'!$O$5:$O$500,"&lt;=119779",'LANÇAMENTOS DIÁRIOS'!$P$5:$P$500,"&gt;=119680")&gt;0,"X","")</f>
      </c>
      <c r="Z91" s="56" t="str">
        <f>IF(COUNTIFS('LANÇAMENTOS DIÁRIOS'!$G$5:$G$500,"G",'LANÇAMENTOS DIÁRIOS'!$C$5:$C$500,$A91,'LANÇAMENTOS DIÁRIOS'!$O$5:$O$500,"&lt;=119879",'LANÇAMENTOS DIÁRIOS'!$P$5:$P$500,"&gt;=119780")&gt;0,"X","")</f>
      </c>
      <c r="AA91" s="56" t="str">
        <f>IF(COUNTIFS('LANÇAMENTOS DIÁRIOS'!$G$5:$G$500,"G",'LANÇAMENTOS DIÁRIOS'!$C$5:$C$500,$A91,'LANÇAMENTOS DIÁRIOS'!$O$5:$O$500,"&lt;=119979",'LANÇAMENTOS DIÁRIOS'!$P$5:$P$500,"&gt;=119880")&gt;0,"X","")</f>
      </c>
      <c r="AB91" s="56" t="str">
        <f>IF(COUNTIFS('LANÇAMENTOS DIÁRIOS'!$G$5:$G$500,"G",'LANÇAMENTOS DIÁRIOS'!$C$5:$C$500,$A91,'LANÇAMENTOS DIÁRIOS'!$O$5:$O$500,"&lt;=120079",'LANÇAMENTOS DIÁRIOS'!$P$5:$P$500,"&gt;=119980")&gt;0,"X","")</f>
      </c>
      <c r="AC91" s="56" t="str">
        <f>IF(COUNTIFS('LANÇAMENTOS DIÁRIOS'!$G$5:$G$500,"G",'LANÇAMENTOS DIÁRIOS'!$C$5:$C$500,$A91,'LANÇAMENTOS DIÁRIOS'!$O$5:$O$500,"&lt;=120179",'LANÇAMENTOS DIÁRIOS'!$P$5:$P$500,"&gt;=120080")&gt;0,"X","")</f>
      </c>
      <c r="AD91" s="56" t="str">
        <f>IF(COUNTIFS('LANÇAMENTOS DIÁRIOS'!$G$5:$G$500,"G",'LANÇAMENTOS DIÁRIOS'!$C$5:$C$500,$A91,'LANÇAMENTOS DIÁRIOS'!$O$5:$O$500,"&lt;=120279",'LANÇAMENTOS DIÁRIOS'!$P$5:$P$500,"&gt;=120180")&gt;0,"X","")</f>
      </c>
      <c r="AE91" s="56" t="str">
        <f>IF(COUNTIFS('LANÇAMENTOS DIÁRIOS'!$G$5:$G$500,"G",'LANÇAMENTOS DIÁRIOS'!$C$5:$C$500,$A91,'LANÇAMENTOS DIÁRIOS'!$O$5:$O$500,"&lt;=120379",'LANÇAMENTOS DIÁRIOS'!$P$5:$P$500,"&gt;=120280")&gt;0,"X","")</f>
      </c>
      <c r="AF91" s="56" t="str">
        <f>IF(COUNTIFS('LANÇAMENTOS DIÁRIOS'!$G$5:$G$500,"G",'LANÇAMENTOS DIÁRIOS'!$C$5:$C$500,$A91,'LANÇAMENTOS DIÁRIOS'!$O$5:$O$500,"&lt;=120479",'LANÇAMENTOS DIÁRIOS'!$P$5:$P$500,"&gt;=120380")&gt;0,"X","")</f>
      </c>
      <c r="AG91" s="56" t="str">
        <f>IF(COUNTIFS('LANÇAMENTOS DIÁRIOS'!$G$5:$G$500,"G",'LANÇAMENTOS DIÁRIOS'!$C$5:$C$500,$A91,'LANÇAMENTOS DIÁRIOS'!$O$5:$O$500,"&lt;=120579",'LANÇAMENTOS DIÁRIOS'!$P$5:$P$500,"&gt;=120480")&gt;0,"X","")</f>
      </c>
      <c r="AH91" s="56" t="str">
        <f>IF(COUNTIFS('LANÇAMENTOS DIÁRIOS'!$G$5:$G$500,"G",'LANÇAMENTOS DIÁRIOS'!$C$5:$C$500,$A91,'LANÇAMENTOS DIÁRIOS'!$O$5:$O$500,"&lt;=120679",'LANÇAMENTOS DIÁRIOS'!$P$5:$P$500,"&gt;=120580")&gt;0,"X","")</f>
      </c>
      <c r="AI91" s="56" t="str">
        <f>IF(COUNTIFS('LANÇAMENTOS DIÁRIOS'!$G$5:$G$500,"G",'LANÇAMENTOS DIÁRIOS'!$C$5:$C$500,$A91,'LANÇAMENTOS DIÁRIOS'!$O$5:$O$500,"&lt;=120779",'LANÇAMENTOS DIÁRIOS'!$P$5:$P$500,"&gt;=120680")&gt;0,"X","")</f>
      </c>
      <c r="AJ91" s="56" t="str">
        <f>IF(COUNTIFS('LANÇAMENTOS DIÁRIOS'!$G$5:$G$500,"G",'LANÇAMENTOS DIÁRIOS'!$C$5:$C$500,$A91,'LANÇAMENTOS DIÁRIOS'!$O$5:$O$500,"&lt;=120879",'LANÇAMENTOS DIÁRIOS'!$P$5:$P$500,"&gt;=120780")&gt;0,"X","")</f>
      </c>
      <c r="AK91" s="56" t="str">
        <f>IF(COUNTIFS('LANÇAMENTOS DIÁRIOS'!$G$5:$G$500,"G",'LANÇAMENTOS DIÁRIOS'!$C$5:$C$500,$A91,'LANÇAMENTOS DIÁRIOS'!$O$5:$O$500,"&lt;=120979",'LANÇAMENTOS DIÁRIOS'!$P$5:$P$500,"&gt;=120880")&gt;0,"X","")</f>
      </c>
      <c r="AL91" s="56" t="str">
        <f>IF(COUNTIFS('LANÇAMENTOS DIÁRIOS'!$G$5:$G$500,"G",'LANÇAMENTOS DIÁRIOS'!$C$5:$C$500,$A91,'LANÇAMENTOS DIÁRIOS'!$O$5:$O$500,"&lt;=121079",'LANÇAMENTOS DIÁRIOS'!$P$5:$P$500,"&gt;=120980")&gt;0,"X","")</f>
      </c>
      <c r="AM91" s="56" t="str">
        <f>IF(COUNTIFS('LANÇAMENTOS DIÁRIOS'!$G$5:$G$500,"G",'LANÇAMENTOS DIÁRIOS'!$C$5:$C$500,$A91,'LANÇAMENTOS DIÁRIOS'!$O$5:$O$500,"&lt;=121179",'LANÇAMENTOS DIÁRIOS'!$P$5:$P$500,"&gt;=121080")&gt;0,"X","")</f>
      </c>
      <c r="AN91" s="56" t="str">
        <f>IF(COUNTIFS('LANÇAMENTOS DIÁRIOS'!$G$5:$G$500,"G",'LANÇAMENTOS DIÁRIOS'!$C$5:$C$500,$A91,'LANÇAMENTOS DIÁRIOS'!$O$5:$O$500,"&lt;=121279",'LANÇAMENTOS DIÁRIOS'!$P$5:$P$500,"&gt;=121180")&gt;0,"X","")</f>
      </c>
      <c r="AO91" s="56" t="str">
        <f>IF(COUNTIFS('LANÇAMENTOS DIÁRIOS'!$G$5:$G$500,"G",'LANÇAMENTOS DIÁRIOS'!$C$5:$C$500,$A91,'LANÇAMENTOS DIÁRIOS'!$O$5:$O$500,"&lt;=121379",'LANÇAMENTOS DIÁRIOS'!$P$5:$P$500,"&gt;=121280")&gt;0,"X","")</f>
      </c>
      <c r="AP91" s="56" t="str">
        <f>IF(COUNTIFS('LANÇAMENTOS DIÁRIOS'!$G$5:$G$500,"G",'LANÇAMENTOS DIÁRIOS'!$C$5:$C$500,$A91,'LANÇAMENTOS DIÁRIOS'!$O$5:$O$500,"&lt;=121479",'LANÇAMENTOS DIÁRIOS'!$P$5:$P$500,"&gt;=121380")&gt;0,"X","")</f>
      </c>
      <c r="AQ91" s="56" t="str">
        <f>IF(COUNTIFS('LANÇAMENTOS DIÁRIOS'!$G$5:$G$500,"G",'LANÇAMENTOS DIÁRIOS'!$C$5:$C$500,$A91,'LANÇAMENTOS DIÁRIOS'!$O$5:$O$500,"&lt;=121579",'LANÇAMENTOS DIÁRIOS'!$P$5:$P$500,"&gt;=121480")&gt;0,"X","")</f>
      </c>
      <c r="AR91" s="56" t="str">
        <f>IF(COUNTIFS('LANÇAMENTOS DIÁRIOS'!$G$5:$G$500,"G",'LANÇAMENTOS DIÁRIOS'!$C$5:$C$500,$A91,'LANÇAMENTOS DIÁRIOS'!$O$5:$O$500,"&lt;=121679",'LANÇAMENTOS DIÁRIOS'!$P$5:$P$500,"&gt;=121580")&gt;0,"X","")</f>
      </c>
      <c r="AS91" s="56" t="str">
        <f>IF(COUNTIFS('LANÇAMENTOS DIÁRIOS'!$G$5:$G$500,"G",'LANÇAMENTOS DIÁRIOS'!$C$5:$C$500,$A91,'LANÇAMENTOS DIÁRIOS'!$O$5:$O$500,"&lt;=121779",'LANÇAMENTOS DIÁRIOS'!$P$5:$P$500,"&gt;=121680")&gt;0,"X","")</f>
      </c>
      <c r="AT91" s="56" t="str">
        <f>IF(COUNTIFS('LANÇAMENTOS DIÁRIOS'!$G$5:$G$500,"G",'LANÇAMENTOS DIÁRIOS'!$C$5:$C$500,$A91,'LANÇAMENTOS DIÁRIOS'!$O$5:$O$500,"&lt;=121879",'LANÇAMENTOS DIÁRIOS'!$P$5:$P$500,"&gt;=121780")&gt;0,"X","")</f>
      </c>
      <c r="AU91" s="56" t="str">
        <f>IF(COUNTIFS('LANÇAMENTOS DIÁRIOS'!$G$5:$G$500,"G",'LANÇAMENTOS DIÁRIOS'!$C$5:$C$500,$A91,'LANÇAMENTOS DIÁRIOS'!$O$5:$O$500,"&lt;=121979",'LANÇAMENTOS DIÁRIOS'!$P$5:$P$500,"&gt;=121880")&gt;0,"X","")</f>
      </c>
      <c r="AV91" s="56" t="str">
        <f>IF(COUNTIFS('LANÇAMENTOS DIÁRIOS'!$G$5:$G$500,"G",'LANÇAMENTOS DIÁRIOS'!$C$5:$C$500,$A91,'LANÇAMENTOS DIÁRIOS'!$O$5:$O$500,"&lt;=122079",'LANÇAMENTOS DIÁRIOS'!$P$5:$P$500,"&gt;=121980")&gt;0,"X","")</f>
      </c>
      <c r="AW91" s="56" t="str">
        <f>IF(COUNTIFS('LANÇAMENTOS DIÁRIOS'!$G$5:$G$500,"G",'LANÇAMENTOS DIÁRIOS'!$C$5:$C$500,$A91,'LANÇAMENTOS DIÁRIOS'!$O$5:$O$500,"&lt;=122179",'LANÇAMENTOS DIÁRIOS'!$P$5:$P$500,"&gt;=122080")&gt;0,"X","")</f>
      </c>
      <c r="AX91" s="56" t="str">
        <f>IF(COUNTIFS('LANÇAMENTOS DIÁRIOS'!$G$5:$G$500,"G",'LANÇAMENTOS DIÁRIOS'!$C$5:$C$500,$A91,'LANÇAMENTOS DIÁRIOS'!$O$5:$O$500,"&lt;=122279",'LANÇAMENTOS DIÁRIOS'!$P$5:$P$500,"&gt;=122180")&gt;0,"X","")</f>
      </c>
      <c r="AY91" s="56" t="str">
        <f>IF(COUNTIFS('LANÇAMENTOS DIÁRIOS'!$G$5:$G$500,"G",'LANÇAMENTOS DIÁRIOS'!$C$5:$C$500,$A91,'LANÇAMENTOS DIÁRIOS'!$O$5:$O$500,"&lt;=122379",'LANÇAMENTOS DIÁRIOS'!$P$5:$P$500,"&gt;=122280")&gt;0,"X","")</f>
      </c>
      <c r="AZ91" s="56" t="str">
        <f>IF(COUNTIFS('LANÇAMENTOS DIÁRIOS'!$G$5:$G$500,"G",'LANÇAMENTOS DIÁRIOS'!$C$5:$C$500,$A91,'LANÇAMENTOS DIÁRIOS'!$O$5:$O$500,"&lt;=122479",'LANÇAMENTOS DIÁRIOS'!$P$5:$P$500,"&gt;=122380")&gt;0,"X","")</f>
      </c>
      <c r="BA91" s="56" t="str">
        <f>IF(COUNTIFS('LANÇAMENTOS DIÁRIOS'!$G$5:$G$500,"G",'LANÇAMENTOS DIÁRIOS'!$C$5:$C$500,$A91,'LANÇAMENTOS DIÁRIOS'!$O$5:$O$500,"&lt;=122579",'LANÇAMENTOS DIÁRIOS'!$P$5:$P$500,"&gt;=122480")&gt;0,"X","")</f>
      </c>
      <c r="BB91" s="56" t="str">
        <f>IF(COUNTIFS('LANÇAMENTOS DIÁRIOS'!$G$5:$G$500,"G",'LANÇAMENTOS DIÁRIOS'!$C$5:$C$500,$A91,'LANÇAMENTOS DIÁRIOS'!$O$5:$O$500,"&lt;=122679",'LANÇAMENTOS DIÁRIOS'!$P$5:$P$500,"&gt;=122580")&gt;0,"X","")</f>
      </c>
      <c r="BC91" s="56" t="str">
        <f>IF(COUNTIFS('LANÇAMENTOS DIÁRIOS'!$G$5:$G$500,"G",'LANÇAMENTOS DIÁRIOS'!$C$5:$C$500,$A91,'LANÇAMENTOS DIÁRIOS'!$O$5:$O$500,"&lt;=122779",'LANÇAMENTOS DIÁRIOS'!$P$5:$P$500,"&gt;=122680")&gt;0,"X","")</f>
      </c>
      <c r="BD91" s="56" t="str">
        <f>IF(COUNTIFS('LANÇAMENTOS DIÁRIOS'!$G$5:$G$500,"G",'LANÇAMENTOS DIÁRIOS'!$C$5:$C$500,$A91,'LANÇAMENTOS DIÁRIOS'!$O$5:$O$500,"&lt;=122879",'LANÇAMENTOS DIÁRIOS'!$P$5:$P$500,"&gt;=122780")&gt;0,"X","")</f>
      </c>
      <c r="BE91" s="56" t="str">
        <f>IF(COUNTIFS('LANÇAMENTOS DIÁRIOS'!$G$5:$G$500,"G",'LANÇAMENTOS DIÁRIOS'!$C$5:$C$500,$A91,'LANÇAMENTOS DIÁRIOS'!$O$5:$O$500,"&lt;=122979",'LANÇAMENTOS DIÁRIOS'!$P$5:$P$500,"&gt;=122880")&gt;0,"X","")</f>
      </c>
      <c r="BF91" s="56" t="str">
        <f>IF(COUNTIFS('LANÇAMENTOS DIÁRIOS'!$G$5:$G$500,"G",'LANÇAMENTOS DIÁRIOS'!$C$5:$C$500,$A91,'LANÇAMENTOS DIÁRIOS'!$O$5:$O$500,"&lt;=123079",'LANÇAMENTOS DIÁRIOS'!$P$5:$P$500,"&gt;=122980")&gt;0,"X","")</f>
      </c>
      <c r="BG91" s="56" t="str">
        <f>IF(COUNTIFS('LANÇAMENTOS DIÁRIOS'!$G$5:$G$500,"G",'LANÇAMENTOS DIÁRIOS'!$C$5:$C$500,$A91,'LANÇAMENTOS DIÁRIOS'!$O$5:$O$500,"&lt;=123179",'LANÇAMENTOS DIÁRIOS'!$P$5:$P$500,"&gt;=123080")&gt;0,"X","")</f>
      </c>
      <c r="BH91" s="56" t="str">
        <f>IF(COUNTIFS('LANÇAMENTOS DIÁRIOS'!$G$5:$G$500,"G",'LANÇAMENTOS DIÁRIOS'!$C$5:$C$500,$A91,'LANÇAMENTOS DIÁRIOS'!$O$5:$O$500,"&lt;=123279",'LANÇAMENTOS DIÁRIOS'!$P$5:$P$500,"&gt;=123180")&gt;0,"X","")</f>
      </c>
      <c r="BI91" s="56" t="str">
        <f>IF(COUNTIFS('LANÇAMENTOS DIÁRIOS'!$G$5:$G$500,"G",'LANÇAMENTOS DIÁRIOS'!$C$5:$C$500,$A91,'LANÇAMENTOS DIÁRIOS'!$O$5:$O$500,"&lt;=123379",'LANÇAMENTOS DIÁRIOS'!$P$5:$P$500,"&gt;=123280")&gt;0,"X","")</f>
      </c>
      <c r="BJ91" s="56" t="str">
        <f>IF(COUNTIFS('LANÇAMENTOS DIÁRIOS'!$G$5:$G$500,"G",'LANÇAMENTOS DIÁRIOS'!$C$5:$C$500,$A91,'LANÇAMENTOS DIÁRIOS'!$O$5:$O$500,"&lt;=123479",'LANÇAMENTOS DIÁRIOS'!$P$5:$P$500,"&gt;=123380")&gt;0,"X","")</f>
      </c>
      <c r="BK91" s="56" t="str">
        <f>IF(COUNTIFS('LANÇAMENTOS DIÁRIOS'!$G$5:$G$500,"G",'LANÇAMENTOS DIÁRIOS'!$C$5:$C$500,$A91,'LANÇAMENTOS DIÁRIOS'!$O$5:$O$500,"&lt;=123480",'LANÇAMENTOS DIÁRIOS'!$P$5:$P$500,"&gt;=123480")&gt;0,"X","")</f>
      </c>
    </row>
    <row r="92" ht="21" customHeight="1">
      <c r="A92" s="60" t="str">
        <v>Drenagem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</row>
    <row r="93" ht="19" customHeight="1">
      <c r="A93" s="68" t="str">
        <v>Obras de drenagem profunda. Galerias e Bueiros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</row>
    <row r="94">
      <c r="A94" s="51" t="str">
        <v>Obras de drenagem profunda. Galerias e Bueiros</v>
      </c>
      <c r="B94" s="56" t="str">
        <f>IF(COUNTIFS('LANÇAMENTOS DIÁRIOS'!$G$5:$G$500,"G",'LANÇAMENTOS DIÁRIOS'!$C$5:$C$500,$A94,'LANÇAMENTOS DIÁRIOS'!$O$5:$O$500,"&lt;=117479",'LANÇAMENTOS DIÁRIOS'!$P$5:$P$500,"&gt;=117380")&gt;0,"X","")</f>
      </c>
      <c r="C94" s="56" t="str">
        <f>IF(COUNTIFS('LANÇAMENTOS DIÁRIOS'!$G$5:$G$500,"G",'LANÇAMENTOS DIÁRIOS'!$C$5:$C$500,$A94,'LANÇAMENTOS DIÁRIOS'!$O$5:$O$500,"&lt;=117579",'LANÇAMENTOS DIÁRIOS'!$P$5:$P$500,"&gt;=117480")&gt;0,"X","")</f>
      </c>
      <c r="D94" s="56" t="str">
        <f>IF(COUNTIFS('LANÇAMENTOS DIÁRIOS'!$G$5:$G$500,"G",'LANÇAMENTOS DIÁRIOS'!$C$5:$C$500,$A94,'LANÇAMENTOS DIÁRIOS'!$O$5:$O$500,"&lt;=117679",'LANÇAMENTOS DIÁRIOS'!$P$5:$P$500,"&gt;=117580")&gt;0,"X","")</f>
      </c>
      <c r="E94" s="56" t="str">
        <f>IF(COUNTIFS('LANÇAMENTOS DIÁRIOS'!$G$5:$G$500,"G",'LANÇAMENTOS DIÁRIOS'!$C$5:$C$500,$A94,'LANÇAMENTOS DIÁRIOS'!$O$5:$O$500,"&lt;=117779",'LANÇAMENTOS DIÁRIOS'!$P$5:$P$500,"&gt;=117680")&gt;0,"X","")</f>
      </c>
      <c r="F94" s="56" t="str">
        <f>IF(COUNTIFS('LANÇAMENTOS DIÁRIOS'!$G$5:$G$500,"G",'LANÇAMENTOS DIÁRIOS'!$C$5:$C$500,$A94,'LANÇAMENTOS DIÁRIOS'!$O$5:$O$500,"&lt;=117879",'LANÇAMENTOS DIÁRIOS'!$P$5:$P$500,"&gt;=117780")&gt;0,"X","")</f>
      </c>
      <c r="G94" s="56" t="str">
        <f>IF(COUNTIFS('LANÇAMENTOS DIÁRIOS'!$G$5:$G$500,"G",'LANÇAMENTOS DIÁRIOS'!$C$5:$C$500,$A94,'LANÇAMENTOS DIÁRIOS'!$O$5:$O$500,"&lt;=117979",'LANÇAMENTOS DIÁRIOS'!$P$5:$P$500,"&gt;=117880")&gt;0,"X","")</f>
      </c>
      <c r="H94" s="56" t="str">
        <f>IF(COUNTIFS('LANÇAMENTOS DIÁRIOS'!$G$5:$G$500,"G",'LANÇAMENTOS DIÁRIOS'!$C$5:$C$500,$A94,'LANÇAMENTOS DIÁRIOS'!$O$5:$O$500,"&lt;=118079",'LANÇAMENTOS DIÁRIOS'!$P$5:$P$500,"&gt;=117980")&gt;0,"X","")</f>
      </c>
      <c r="I94" s="56" t="str">
        <f>IF(COUNTIFS('LANÇAMENTOS DIÁRIOS'!$G$5:$G$500,"G",'LANÇAMENTOS DIÁRIOS'!$C$5:$C$500,$A94,'LANÇAMENTOS DIÁRIOS'!$O$5:$O$500,"&lt;=118179",'LANÇAMENTOS DIÁRIOS'!$P$5:$P$500,"&gt;=118080")&gt;0,"X","")</f>
      </c>
      <c r="J94" s="56" t="str">
        <f>IF(COUNTIFS('LANÇAMENTOS DIÁRIOS'!$G$5:$G$500,"G",'LANÇAMENTOS DIÁRIOS'!$C$5:$C$500,$A94,'LANÇAMENTOS DIÁRIOS'!$O$5:$O$500,"&lt;=118279",'LANÇAMENTOS DIÁRIOS'!$P$5:$P$500,"&gt;=118180")&gt;0,"X","")</f>
      </c>
      <c r="K94" s="56" t="str">
        <f>IF(COUNTIFS('LANÇAMENTOS DIÁRIOS'!$G$5:$G$500,"G",'LANÇAMENTOS DIÁRIOS'!$C$5:$C$500,$A94,'LANÇAMENTOS DIÁRIOS'!$O$5:$O$500,"&lt;=118379",'LANÇAMENTOS DIÁRIOS'!$P$5:$P$500,"&gt;=118280")&gt;0,"X","")</f>
      </c>
      <c r="L94" s="56" t="str">
        <f>IF(COUNTIFS('LANÇAMENTOS DIÁRIOS'!$G$5:$G$500,"G",'LANÇAMENTOS DIÁRIOS'!$C$5:$C$500,$A94,'LANÇAMENTOS DIÁRIOS'!$O$5:$O$500,"&lt;=118479",'LANÇAMENTOS DIÁRIOS'!$P$5:$P$500,"&gt;=118380")&gt;0,"X","")</f>
      </c>
      <c r="M94" s="56" t="str">
        <f>IF(COUNTIFS('LANÇAMENTOS DIÁRIOS'!$G$5:$G$500,"G",'LANÇAMENTOS DIÁRIOS'!$C$5:$C$500,$A94,'LANÇAMENTOS DIÁRIOS'!$O$5:$O$500,"&lt;=118579",'LANÇAMENTOS DIÁRIOS'!$P$5:$P$500,"&gt;=118480")&gt;0,"X","")</f>
      </c>
      <c r="N94" s="56" t="str">
        <f>IF(COUNTIFS('LANÇAMENTOS DIÁRIOS'!$G$5:$G$500,"G",'LANÇAMENTOS DIÁRIOS'!$C$5:$C$500,$A94,'LANÇAMENTOS DIÁRIOS'!$O$5:$O$500,"&lt;=118679",'LANÇAMENTOS DIÁRIOS'!$P$5:$P$500,"&gt;=118580")&gt;0,"X","")</f>
      </c>
      <c r="O94" s="56" t="str">
        <f>IF(COUNTIFS('LANÇAMENTOS DIÁRIOS'!$G$5:$G$500,"G",'LANÇAMENTOS DIÁRIOS'!$C$5:$C$500,$A94,'LANÇAMENTOS DIÁRIOS'!$O$5:$O$500,"&lt;=118779",'LANÇAMENTOS DIÁRIOS'!$P$5:$P$500,"&gt;=118680")&gt;0,"X","")</f>
      </c>
      <c r="P94" s="56" t="str">
        <f>IF(COUNTIFS('LANÇAMENTOS DIÁRIOS'!$G$5:$G$500,"G",'LANÇAMENTOS DIÁRIOS'!$C$5:$C$500,$A94,'LANÇAMENTOS DIÁRIOS'!$O$5:$O$500,"&lt;=118879",'LANÇAMENTOS DIÁRIOS'!$P$5:$P$500,"&gt;=118780")&gt;0,"X","")</f>
      </c>
      <c r="Q94" s="56" t="str">
        <f>IF(COUNTIFS('LANÇAMENTOS DIÁRIOS'!$G$5:$G$500,"G",'LANÇAMENTOS DIÁRIOS'!$C$5:$C$500,$A94,'LANÇAMENTOS DIÁRIOS'!$O$5:$O$500,"&lt;=118979",'LANÇAMENTOS DIÁRIOS'!$P$5:$P$500,"&gt;=118880")&gt;0,"X","")</f>
      </c>
      <c r="R94" s="56" t="str">
        <f>IF(COUNTIFS('LANÇAMENTOS DIÁRIOS'!$G$5:$G$500,"G",'LANÇAMENTOS DIÁRIOS'!$C$5:$C$500,$A94,'LANÇAMENTOS DIÁRIOS'!$O$5:$O$500,"&lt;=119079",'LANÇAMENTOS DIÁRIOS'!$P$5:$P$500,"&gt;=118980")&gt;0,"X","")</f>
      </c>
      <c r="S94" s="56" t="str">
        <f>IF(COUNTIFS('LANÇAMENTOS DIÁRIOS'!$G$5:$G$500,"G",'LANÇAMENTOS DIÁRIOS'!$C$5:$C$500,$A94,'LANÇAMENTOS DIÁRIOS'!$O$5:$O$500,"&lt;=119179",'LANÇAMENTOS DIÁRIOS'!$P$5:$P$500,"&gt;=119080")&gt;0,"X","")</f>
      </c>
      <c r="T94" s="56" t="str">
        <f>IF(COUNTIFS('LANÇAMENTOS DIÁRIOS'!$G$5:$G$500,"G",'LANÇAMENTOS DIÁRIOS'!$C$5:$C$500,$A94,'LANÇAMENTOS DIÁRIOS'!$O$5:$O$500,"&lt;=119279",'LANÇAMENTOS DIÁRIOS'!$P$5:$P$500,"&gt;=119180")&gt;0,"X","")</f>
      </c>
      <c r="U94" s="56" t="str">
        <f>IF(COUNTIFS('LANÇAMENTOS DIÁRIOS'!$G$5:$G$500,"G",'LANÇAMENTOS DIÁRIOS'!$C$5:$C$500,$A94,'LANÇAMENTOS DIÁRIOS'!$O$5:$O$500,"&lt;=119379",'LANÇAMENTOS DIÁRIOS'!$P$5:$P$500,"&gt;=119280")&gt;0,"X","")</f>
      </c>
      <c r="V94" s="56" t="str">
        <f>IF(COUNTIFS('LANÇAMENTOS DIÁRIOS'!$G$5:$G$500,"G",'LANÇAMENTOS DIÁRIOS'!$C$5:$C$500,$A94,'LANÇAMENTOS DIÁRIOS'!$O$5:$O$500,"&lt;=119479",'LANÇAMENTOS DIÁRIOS'!$P$5:$P$500,"&gt;=119380")&gt;0,"X","")</f>
      </c>
      <c r="W94" s="56" t="str">
        <f>IF(COUNTIFS('LANÇAMENTOS DIÁRIOS'!$G$5:$G$500,"G",'LANÇAMENTOS DIÁRIOS'!$C$5:$C$500,$A94,'LANÇAMENTOS DIÁRIOS'!$O$5:$O$500,"&lt;=119579",'LANÇAMENTOS DIÁRIOS'!$P$5:$P$500,"&gt;=119480")&gt;0,"X","")</f>
      </c>
      <c r="X94" s="56" t="str">
        <f>IF(COUNTIFS('LANÇAMENTOS DIÁRIOS'!$G$5:$G$500,"G",'LANÇAMENTOS DIÁRIOS'!$C$5:$C$500,$A94,'LANÇAMENTOS DIÁRIOS'!$O$5:$O$500,"&lt;=119679",'LANÇAMENTOS DIÁRIOS'!$P$5:$P$500,"&gt;=119580")&gt;0,"X","")</f>
      </c>
      <c r="Y94" s="56" t="str">
        <f>IF(COUNTIFS('LANÇAMENTOS DIÁRIOS'!$G$5:$G$500,"G",'LANÇAMENTOS DIÁRIOS'!$C$5:$C$500,$A94,'LANÇAMENTOS DIÁRIOS'!$O$5:$O$500,"&lt;=119779",'LANÇAMENTOS DIÁRIOS'!$P$5:$P$500,"&gt;=119680")&gt;0,"X","")</f>
      </c>
      <c r="Z94" s="56" t="str">
        <f>IF(COUNTIFS('LANÇAMENTOS DIÁRIOS'!$G$5:$G$500,"G",'LANÇAMENTOS DIÁRIOS'!$C$5:$C$500,$A94,'LANÇAMENTOS DIÁRIOS'!$O$5:$O$500,"&lt;=119879",'LANÇAMENTOS DIÁRIOS'!$P$5:$P$500,"&gt;=119780")&gt;0,"X","")</f>
      </c>
      <c r="AA94" s="56" t="str">
        <f>IF(COUNTIFS('LANÇAMENTOS DIÁRIOS'!$G$5:$G$500,"G",'LANÇAMENTOS DIÁRIOS'!$C$5:$C$500,$A94,'LANÇAMENTOS DIÁRIOS'!$O$5:$O$500,"&lt;=119979",'LANÇAMENTOS DIÁRIOS'!$P$5:$P$500,"&gt;=119880")&gt;0,"X","")</f>
      </c>
      <c r="AB94" s="56" t="str">
        <f>IF(COUNTIFS('LANÇAMENTOS DIÁRIOS'!$G$5:$G$500,"G",'LANÇAMENTOS DIÁRIOS'!$C$5:$C$500,$A94,'LANÇAMENTOS DIÁRIOS'!$O$5:$O$500,"&lt;=120079",'LANÇAMENTOS DIÁRIOS'!$P$5:$P$500,"&gt;=119980")&gt;0,"X","")</f>
      </c>
      <c r="AC94" s="56" t="str">
        <f>IF(COUNTIFS('LANÇAMENTOS DIÁRIOS'!$G$5:$G$500,"G",'LANÇAMENTOS DIÁRIOS'!$C$5:$C$500,$A94,'LANÇAMENTOS DIÁRIOS'!$O$5:$O$500,"&lt;=120179",'LANÇAMENTOS DIÁRIOS'!$P$5:$P$500,"&gt;=120080")&gt;0,"X","")</f>
      </c>
      <c r="AD94" s="56" t="str">
        <f>IF(COUNTIFS('LANÇAMENTOS DIÁRIOS'!$G$5:$G$500,"G",'LANÇAMENTOS DIÁRIOS'!$C$5:$C$500,$A94,'LANÇAMENTOS DIÁRIOS'!$O$5:$O$500,"&lt;=120279",'LANÇAMENTOS DIÁRIOS'!$P$5:$P$500,"&gt;=120180")&gt;0,"X","")</f>
      </c>
      <c r="AE94" s="56" t="str">
        <f>IF(COUNTIFS('LANÇAMENTOS DIÁRIOS'!$G$5:$G$500,"G",'LANÇAMENTOS DIÁRIOS'!$C$5:$C$500,$A94,'LANÇAMENTOS DIÁRIOS'!$O$5:$O$500,"&lt;=120379",'LANÇAMENTOS DIÁRIOS'!$P$5:$P$500,"&gt;=120280")&gt;0,"X","")</f>
      </c>
      <c r="AF94" s="56" t="str">
        <f>IF(COUNTIFS('LANÇAMENTOS DIÁRIOS'!$G$5:$G$500,"G",'LANÇAMENTOS DIÁRIOS'!$C$5:$C$500,$A94,'LANÇAMENTOS DIÁRIOS'!$O$5:$O$500,"&lt;=120479",'LANÇAMENTOS DIÁRIOS'!$P$5:$P$500,"&gt;=120380")&gt;0,"X","")</f>
      </c>
      <c r="AG94" s="56" t="str">
        <f>IF(COUNTIFS('LANÇAMENTOS DIÁRIOS'!$G$5:$G$500,"G",'LANÇAMENTOS DIÁRIOS'!$C$5:$C$500,$A94,'LANÇAMENTOS DIÁRIOS'!$O$5:$O$500,"&lt;=120579",'LANÇAMENTOS DIÁRIOS'!$P$5:$P$500,"&gt;=120480")&gt;0,"X","")</f>
      </c>
      <c r="AH94" s="56" t="str">
        <f>IF(COUNTIFS('LANÇAMENTOS DIÁRIOS'!$G$5:$G$500,"G",'LANÇAMENTOS DIÁRIOS'!$C$5:$C$500,$A94,'LANÇAMENTOS DIÁRIOS'!$O$5:$O$500,"&lt;=120679",'LANÇAMENTOS DIÁRIOS'!$P$5:$P$500,"&gt;=120580")&gt;0,"X","")</f>
      </c>
      <c r="AI94" s="56" t="str">
        <f>IF(COUNTIFS('LANÇAMENTOS DIÁRIOS'!$G$5:$G$500,"G",'LANÇAMENTOS DIÁRIOS'!$C$5:$C$500,$A94,'LANÇAMENTOS DIÁRIOS'!$O$5:$O$500,"&lt;=120779",'LANÇAMENTOS DIÁRIOS'!$P$5:$P$500,"&gt;=120680")&gt;0,"X","")</f>
      </c>
      <c r="AJ94" s="56" t="str">
        <f>IF(COUNTIFS('LANÇAMENTOS DIÁRIOS'!$G$5:$G$500,"G",'LANÇAMENTOS DIÁRIOS'!$C$5:$C$500,$A94,'LANÇAMENTOS DIÁRIOS'!$O$5:$O$500,"&lt;=120879",'LANÇAMENTOS DIÁRIOS'!$P$5:$P$500,"&gt;=120780")&gt;0,"X","")</f>
      </c>
      <c r="AK94" s="56" t="str">
        <f>IF(COUNTIFS('LANÇAMENTOS DIÁRIOS'!$G$5:$G$500,"G",'LANÇAMENTOS DIÁRIOS'!$C$5:$C$500,$A94,'LANÇAMENTOS DIÁRIOS'!$O$5:$O$500,"&lt;=120979",'LANÇAMENTOS DIÁRIOS'!$P$5:$P$500,"&gt;=120880")&gt;0,"X","")</f>
      </c>
      <c r="AL94" s="56" t="str">
        <f>IF(COUNTIFS('LANÇAMENTOS DIÁRIOS'!$G$5:$G$500,"G",'LANÇAMENTOS DIÁRIOS'!$C$5:$C$500,$A94,'LANÇAMENTOS DIÁRIOS'!$O$5:$O$500,"&lt;=121079",'LANÇAMENTOS DIÁRIOS'!$P$5:$P$500,"&gt;=120980")&gt;0,"X","")</f>
      </c>
      <c r="AM94" s="56" t="str">
        <f>IF(COUNTIFS('LANÇAMENTOS DIÁRIOS'!$G$5:$G$500,"G",'LANÇAMENTOS DIÁRIOS'!$C$5:$C$500,$A94,'LANÇAMENTOS DIÁRIOS'!$O$5:$O$500,"&lt;=121179",'LANÇAMENTOS DIÁRIOS'!$P$5:$P$500,"&gt;=121080")&gt;0,"X","")</f>
      </c>
      <c r="AN94" s="56" t="str">
        <f>IF(COUNTIFS('LANÇAMENTOS DIÁRIOS'!$G$5:$G$500,"G",'LANÇAMENTOS DIÁRIOS'!$C$5:$C$500,$A94,'LANÇAMENTOS DIÁRIOS'!$O$5:$O$500,"&lt;=121279",'LANÇAMENTOS DIÁRIOS'!$P$5:$P$500,"&gt;=121180")&gt;0,"X","")</f>
      </c>
      <c r="AO94" s="56" t="str">
        <f>IF(COUNTIFS('LANÇAMENTOS DIÁRIOS'!$G$5:$G$500,"G",'LANÇAMENTOS DIÁRIOS'!$C$5:$C$500,$A94,'LANÇAMENTOS DIÁRIOS'!$O$5:$O$500,"&lt;=121379",'LANÇAMENTOS DIÁRIOS'!$P$5:$P$500,"&gt;=121280")&gt;0,"X","")</f>
      </c>
      <c r="AP94" s="56" t="str">
        <f>IF(COUNTIFS('LANÇAMENTOS DIÁRIOS'!$G$5:$G$500,"G",'LANÇAMENTOS DIÁRIOS'!$C$5:$C$500,$A94,'LANÇAMENTOS DIÁRIOS'!$O$5:$O$500,"&lt;=121479",'LANÇAMENTOS DIÁRIOS'!$P$5:$P$500,"&gt;=121380")&gt;0,"X","")</f>
      </c>
      <c r="AQ94" s="56" t="str">
        <f>IF(COUNTIFS('LANÇAMENTOS DIÁRIOS'!$G$5:$G$500,"G",'LANÇAMENTOS DIÁRIOS'!$C$5:$C$500,$A94,'LANÇAMENTOS DIÁRIOS'!$O$5:$O$500,"&lt;=121579",'LANÇAMENTOS DIÁRIOS'!$P$5:$P$500,"&gt;=121480")&gt;0,"X","")</f>
      </c>
      <c r="AR94" s="56" t="str">
        <f>IF(COUNTIFS('LANÇAMENTOS DIÁRIOS'!$G$5:$G$500,"G",'LANÇAMENTOS DIÁRIOS'!$C$5:$C$500,$A94,'LANÇAMENTOS DIÁRIOS'!$O$5:$O$500,"&lt;=121679",'LANÇAMENTOS DIÁRIOS'!$P$5:$P$500,"&gt;=121580")&gt;0,"X","")</f>
      </c>
      <c r="AS94" s="56" t="str">
        <f>IF(COUNTIFS('LANÇAMENTOS DIÁRIOS'!$G$5:$G$500,"G",'LANÇAMENTOS DIÁRIOS'!$C$5:$C$500,$A94,'LANÇAMENTOS DIÁRIOS'!$O$5:$O$500,"&lt;=121779",'LANÇAMENTOS DIÁRIOS'!$P$5:$P$500,"&gt;=121680")&gt;0,"X","")</f>
      </c>
      <c r="AT94" s="56" t="str">
        <f>IF(COUNTIFS('LANÇAMENTOS DIÁRIOS'!$G$5:$G$500,"G",'LANÇAMENTOS DIÁRIOS'!$C$5:$C$500,$A94,'LANÇAMENTOS DIÁRIOS'!$O$5:$O$500,"&lt;=121879",'LANÇAMENTOS DIÁRIOS'!$P$5:$P$500,"&gt;=121780")&gt;0,"X","")</f>
      </c>
      <c r="AU94" s="56" t="str">
        <f>IF(COUNTIFS('LANÇAMENTOS DIÁRIOS'!$G$5:$G$500,"G",'LANÇAMENTOS DIÁRIOS'!$C$5:$C$500,$A94,'LANÇAMENTOS DIÁRIOS'!$O$5:$O$500,"&lt;=121979",'LANÇAMENTOS DIÁRIOS'!$P$5:$P$500,"&gt;=121880")&gt;0,"X","")</f>
      </c>
      <c r="AV94" s="56" t="str">
        <f>IF(COUNTIFS('LANÇAMENTOS DIÁRIOS'!$G$5:$G$500,"G",'LANÇAMENTOS DIÁRIOS'!$C$5:$C$500,$A94,'LANÇAMENTOS DIÁRIOS'!$O$5:$O$500,"&lt;=122079",'LANÇAMENTOS DIÁRIOS'!$P$5:$P$500,"&gt;=121980")&gt;0,"X","")</f>
      </c>
      <c r="AW94" s="56" t="str">
        <f>IF(COUNTIFS('LANÇAMENTOS DIÁRIOS'!$G$5:$G$500,"G",'LANÇAMENTOS DIÁRIOS'!$C$5:$C$500,$A94,'LANÇAMENTOS DIÁRIOS'!$O$5:$O$500,"&lt;=122179",'LANÇAMENTOS DIÁRIOS'!$P$5:$P$500,"&gt;=122080")&gt;0,"X","")</f>
      </c>
      <c r="AX94" s="56" t="str">
        <f>IF(COUNTIFS('LANÇAMENTOS DIÁRIOS'!$G$5:$G$500,"G",'LANÇAMENTOS DIÁRIOS'!$C$5:$C$500,$A94,'LANÇAMENTOS DIÁRIOS'!$O$5:$O$500,"&lt;=122279",'LANÇAMENTOS DIÁRIOS'!$P$5:$P$500,"&gt;=122180")&gt;0,"X","")</f>
      </c>
      <c r="AY94" s="56" t="str">
        <f>IF(COUNTIFS('LANÇAMENTOS DIÁRIOS'!$G$5:$G$500,"G",'LANÇAMENTOS DIÁRIOS'!$C$5:$C$500,$A94,'LANÇAMENTOS DIÁRIOS'!$O$5:$O$500,"&lt;=122379",'LANÇAMENTOS DIÁRIOS'!$P$5:$P$500,"&gt;=122280")&gt;0,"X","")</f>
      </c>
      <c r="AZ94" s="56" t="str">
        <f>IF(COUNTIFS('LANÇAMENTOS DIÁRIOS'!$G$5:$G$500,"G",'LANÇAMENTOS DIÁRIOS'!$C$5:$C$500,$A94,'LANÇAMENTOS DIÁRIOS'!$O$5:$O$500,"&lt;=122479",'LANÇAMENTOS DIÁRIOS'!$P$5:$P$500,"&gt;=122380")&gt;0,"X","")</f>
      </c>
      <c r="BA94" s="56" t="str">
        <f>IF(COUNTIFS('LANÇAMENTOS DIÁRIOS'!$G$5:$G$500,"G",'LANÇAMENTOS DIÁRIOS'!$C$5:$C$500,$A94,'LANÇAMENTOS DIÁRIOS'!$O$5:$O$500,"&lt;=122579",'LANÇAMENTOS DIÁRIOS'!$P$5:$P$500,"&gt;=122480")&gt;0,"X","")</f>
      </c>
      <c r="BB94" s="56" t="str">
        <f>IF(COUNTIFS('LANÇAMENTOS DIÁRIOS'!$G$5:$G$500,"G",'LANÇAMENTOS DIÁRIOS'!$C$5:$C$500,$A94,'LANÇAMENTOS DIÁRIOS'!$O$5:$O$500,"&lt;=122679",'LANÇAMENTOS DIÁRIOS'!$P$5:$P$500,"&gt;=122580")&gt;0,"X","")</f>
      </c>
      <c r="BC94" s="56" t="str">
        <f>IF(COUNTIFS('LANÇAMENTOS DIÁRIOS'!$G$5:$G$500,"G",'LANÇAMENTOS DIÁRIOS'!$C$5:$C$500,$A94,'LANÇAMENTOS DIÁRIOS'!$O$5:$O$500,"&lt;=122779",'LANÇAMENTOS DIÁRIOS'!$P$5:$P$500,"&gt;=122680")&gt;0,"X","")</f>
      </c>
      <c r="BD94" s="56" t="str">
        <f>IF(COUNTIFS('LANÇAMENTOS DIÁRIOS'!$G$5:$G$500,"G",'LANÇAMENTOS DIÁRIOS'!$C$5:$C$500,$A94,'LANÇAMENTOS DIÁRIOS'!$O$5:$O$500,"&lt;=122879",'LANÇAMENTOS DIÁRIOS'!$P$5:$P$500,"&gt;=122780")&gt;0,"X","")</f>
      </c>
      <c r="BE94" s="56" t="str">
        <f>IF(COUNTIFS('LANÇAMENTOS DIÁRIOS'!$G$5:$G$500,"G",'LANÇAMENTOS DIÁRIOS'!$C$5:$C$500,$A94,'LANÇAMENTOS DIÁRIOS'!$O$5:$O$500,"&lt;=122979",'LANÇAMENTOS DIÁRIOS'!$P$5:$P$500,"&gt;=122880")&gt;0,"X","")</f>
      </c>
      <c r="BF94" s="56" t="str">
        <f>IF(COUNTIFS('LANÇAMENTOS DIÁRIOS'!$G$5:$G$500,"G",'LANÇAMENTOS DIÁRIOS'!$C$5:$C$500,$A94,'LANÇAMENTOS DIÁRIOS'!$O$5:$O$500,"&lt;=123079",'LANÇAMENTOS DIÁRIOS'!$P$5:$P$500,"&gt;=122980")&gt;0,"X","")</f>
      </c>
      <c r="BG94" s="56" t="str">
        <f>IF(COUNTIFS('LANÇAMENTOS DIÁRIOS'!$G$5:$G$500,"G",'LANÇAMENTOS DIÁRIOS'!$C$5:$C$500,$A94,'LANÇAMENTOS DIÁRIOS'!$O$5:$O$500,"&lt;=123179",'LANÇAMENTOS DIÁRIOS'!$P$5:$P$500,"&gt;=123080")&gt;0,"X","")</f>
      </c>
      <c r="BH94" s="56" t="str">
        <f>IF(COUNTIFS('LANÇAMENTOS DIÁRIOS'!$G$5:$G$500,"G",'LANÇAMENTOS DIÁRIOS'!$C$5:$C$500,$A94,'LANÇAMENTOS DIÁRIOS'!$O$5:$O$500,"&lt;=123279",'LANÇAMENTOS DIÁRIOS'!$P$5:$P$500,"&gt;=123180")&gt;0,"X","")</f>
      </c>
      <c r="BI94" s="56" t="str">
        <f>IF(COUNTIFS('LANÇAMENTOS DIÁRIOS'!$G$5:$G$500,"G",'LANÇAMENTOS DIÁRIOS'!$C$5:$C$500,$A94,'LANÇAMENTOS DIÁRIOS'!$O$5:$O$500,"&lt;=123379",'LANÇAMENTOS DIÁRIOS'!$P$5:$P$500,"&gt;=123280")&gt;0,"X","")</f>
      </c>
      <c r="BJ94" s="56" t="str">
        <f>IF(COUNTIFS('LANÇAMENTOS DIÁRIOS'!$G$5:$G$500,"G",'LANÇAMENTOS DIÁRIOS'!$C$5:$C$500,$A94,'LANÇAMENTOS DIÁRIOS'!$O$5:$O$500,"&lt;=123479",'LANÇAMENTOS DIÁRIOS'!$P$5:$P$500,"&gt;=123380")&gt;0,"X","")</f>
      </c>
      <c r="BK94" s="56" t="str">
        <f>IF(COUNTIFS('LANÇAMENTOS DIÁRIOS'!$G$5:$G$500,"G",'LANÇAMENTOS DIÁRIOS'!$C$5:$C$500,$A94,'LANÇAMENTOS DIÁRIOS'!$O$5:$O$500,"&lt;=123480",'LANÇAMENTOS DIÁRIOS'!$P$5:$P$500,"&gt;=123480")&gt;0,"X","")</f>
      </c>
    </row>
    <row r="95" ht="19" customHeight="1">
      <c r="A95" s="68" t="str">
        <v>Obras de drenagem superficiais. Sarjetas e Valetas</v>
      </c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</row>
    <row r="96">
      <c r="A96" s="51" t="str">
        <v>Obras de drenagem superficiais. Sarjetas e Valetas</v>
      </c>
      <c r="B96" s="56" t="str">
        <f>IF(COUNTIFS('LANÇAMENTOS DIÁRIOS'!$G$5:$G$500,"G",'LANÇAMENTOS DIÁRIOS'!$C$5:$C$500,$A96,'LANÇAMENTOS DIÁRIOS'!$O$5:$O$500,"&lt;=117479",'LANÇAMENTOS DIÁRIOS'!$P$5:$P$500,"&gt;=117380")&gt;0,"X","")</f>
      </c>
      <c r="C96" s="56" t="str">
        <f>IF(COUNTIFS('LANÇAMENTOS DIÁRIOS'!$G$5:$G$500,"G",'LANÇAMENTOS DIÁRIOS'!$C$5:$C$500,$A96,'LANÇAMENTOS DIÁRIOS'!$O$5:$O$500,"&lt;=117579",'LANÇAMENTOS DIÁRIOS'!$P$5:$P$500,"&gt;=117480")&gt;0,"X","")</f>
      </c>
      <c r="D96" s="56" t="str">
        <f>IF(COUNTIFS('LANÇAMENTOS DIÁRIOS'!$G$5:$G$500,"G",'LANÇAMENTOS DIÁRIOS'!$C$5:$C$500,$A96,'LANÇAMENTOS DIÁRIOS'!$O$5:$O$500,"&lt;=117679",'LANÇAMENTOS DIÁRIOS'!$P$5:$P$500,"&gt;=117580")&gt;0,"X","")</f>
      </c>
      <c r="E96" s="56" t="str">
        <f>IF(COUNTIFS('LANÇAMENTOS DIÁRIOS'!$G$5:$G$500,"G",'LANÇAMENTOS DIÁRIOS'!$C$5:$C$500,$A96,'LANÇAMENTOS DIÁRIOS'!$O$5:$O$500,"&lt;=117779",'LANÇAMENTOS DIÁRIOS'!$P$5:$P$500,"&gt;=117680")&gt;0,"X","")</f>
      </c>
      <c r="F96" s="56" t="str">
        <f>IF(COUNTIFS('LANÇAMENTOS DIÁRIOS'!$G$5:$G$500,"G",'LANÇAMENTOS DIÁRIOS'!$C$5:$C$500,$A96,'LANÇAMENTOS DIÁRIOS'!$O$5:$O$500,"&lt;=117879",'LANÇAMENTOS DIÁRIOS'!$P$5:$P$500,"&gt;=117780")&gt;0,"X","")</f>
      </c>
      <c r="G96" s="56" t="str">
        <f>IF(COUNTIFS('LANÇAMENTOS DIÁRIOS'!$G$5:$G$500,"G",'LANÇAMENTOS DIÁRIOS'!$C$5:$C$500,$A96,'LANÇAMENTOS DIÁRIOS'!$O$5:$O$500,"&lt;=117979",'LANÇAMENTOS DIÁRIOS'!$P$5:$P$500,"&gt;=117880")&gt;0,"X","")</f>
      </c>
      <c r="H96" s="56" t="str">
        <f>IF(COUNTIFS('LANÇAMENTOS DIÁRIOS'!$G$5:$G$500,"G",'LANÇAMENTOS DIÁRIOS'!$C$5:$C$500,$A96,'LANÇAMENTOS DIÁRIOS'!$O$5:$O$500,"&lt;=118079",'LANÇAMENTOS DIÁRIOS'!$P$5:$P$500,"&gt;=117980")&gt;0,"X","")</f>
      </c>
      <c r="I96" s="56" t="str">
        <f>IF(COUNTIFS('LANÇAMENTOS DIÁRIOS'!$G$5:$G$500,"G",'LANÇAMENTOS DIÁRIOS'!$C$5:$C$500,$A96,'LANÇAMENTOS DIÁRIOS'!$O$5:$O$500,"&lt;=118179",'LANÇAMENTOS DIÁRIOS'!$P$5:$P$500,"&gt;=118080")&gt;0,"X","")</f>
      </c>
      <c r="J96" s="56" t="str">
        <f>IF(COUNTIFS('LANÇAMENTOS DIÁRIOS'!$G$5:$G$500,"G",'LANÇAMENTOS DIÁRIOS'!$C$5:$C$500,$A96,'LANÇAMENTOS DIÁRIOS'!$O$5:$O$500,"&lt;=118279",'LANÇAMENTOS DIÁRIOS'!$P$5:$P$500,"&gt;=118180")&gt;0,"X","")</f>
      </c>
      <c r="K96" s="56" t="str">
        <f>IF(COUNTIFS('LANÇAMENTOS DIÁRIOS'!$G$5:$G$500,"G",'LANÇAMENTOS DIÁRIOS'!$C$5:$C$500,$A96,'LANÇAMENTOS DIÁRIOS'!$O$5:$O$500,"&lt;=118379",'LANÇAMENTOS DIÁRIOS'!$P$5:$P$500,"&gt;=118280")&gt;0,"X","")</f>
      </c>
      <c r="L96" s="56" t="str">
        <f>IF(COUNTIFS('LANÇAMENTOS DIÁRIOS'!$G$5:$G$500,"G",'LANÇAMENTOS DIÁRIOS'!$C$5:$C$500,$A96,'LANÇAMENTOS DIÁRIOS'!$O$5:$O$500,"&lt;=118479",'LANÇAMENTOS DIÁRIOS'!$P$5:$P$500,"&gt;=118380")&gt;0,"X","")</f>
      </c>
      <c r="M96" s="56" t="str">
        <f>IF(COUNTIFS('LANÇAMENTOS DIÁRIOS'!$G$5:$G$500,"G",'LANÇAMENTOS DIÁRIOS'!$C$5:$C$500,$A96,'LANÇAMENTOS DIÁRIOS'!$O$5:$O$500,"&lt;=118579",'LANÇAMENTOS DIÁRIOS'!$P$5:$P$500,"&gt;=118480")&gt;0,"X","")</f>
      </c>
      <c r="N96" s="56" t="str">
        <f>IF(COUNTIFS('LANÇAMENTOS DIÁRIOS'!$G$5:$G$500,"G",'LANÇAMENTOS DIÁRIOS'!$C$5:$C$500,$A96,'LANÇAMENTOS DIÁRIOS'!$O$5:$O$500,"&lt;=118679",'LANÇAMENTOS DIÁRIOS'!$P$5:$P$500,"&gt;=118580")&gt;0,"X","")</f>
      </c>
      <c r="O96" s="56" t="str">
        <f>IF(COUNTIFS('LANÇAMENTOS DIÁRIOS'!$G$5:$G$500,"G",'LANÇAMENTOS DIÁRIOS'!$C$5:$C$500,$A96,'LANÇAMENTOS DIÁRIOS'!$O$5:$O$500,"&lt;=118779",'LANÇAMENTOS DIÁRIOS'!$P$5:$P$500,"&gt;=118680")&gt;0,"X","")</f>
      </c>
      <c r="P96" s="56" t="str">
        <f>IF(COUNTIFS('LANÇAMENTOS DIÁRIOS'!$G$5:$G$500,"G",'LANÇAMENTOS DIÁRIOS'!$C$5:$C$500,$A96,'LANÇAMENTOS DIÁRIOS'!$O$5:$O$500,"&lt;=118879",'LANÇAMENTOS DIÁRIOS'!$P$5:$P$500,"&gt;=118780")&gt;0,"X","")</f>
      </c>
      <c r="Q96" s="56" t="str">
        <f>IF(COUNTIFS('LANÇAMENTOS DIÁRIOS'!$G$5:$G$500,"G",'LANÇAMENTOS DIÁRIOS'!$C$5:$C$500,$A96,'LANÇAMENTOS DIÁRIOS'!$O$5:$O$500,"&lt;=118979",'LANÇAMENTOS DIÁRIOS'!$P$5:$P$500,"&gt;=118880")&gt;0,"X","")</f>
      </c>
      <c r="R96" s="56" t="str">
        <f>IF(COUNTIFS('LANÇAMENTOS DIÁRIOS'!$G$5:$G$500,"G",'LANÇAMENTOS DIÁRIOS'!$C$5:$C$500,$A96,'LANÇAMENTOS DIÁRIOS'!$O$5:$O$500,"&lt;=119079",'LANÇAMENTOS DIÁRIOS'!$P$5:$P$500,"&gt;=118980")&gt;0,"X","")</f>
      </c>
      <c r="S96" s="56" t="str">
        <f>IF(COUNTIFS('LANÇAMENTOS DIÁRIOS'!$G$5:$G$500,"G",'LANÇAMENTOS DIÁRIOS'!$C$5:$C$500,$A96,'LANÇAMENTOS DIÁRIOS'!$O$5:$O$500,"&lt;=119179",'LANÇAMENTOS DIÁRIOS'!$P$5:$P$500,"&gt;=119080")&gt;0,"X","")</f>
      </c>
      <c r="T96" s="56" t="str">
        <f>IF(COUNTIFS('LANÇAMENTOS DIÁRIOS'!$G$5:$G$500,"G",'LANÇAMENTOS DIÁRIOS'!$C$5:$C$500,$A96,'LANÇAMENTOS DIÁRIOS'!$O$5:$O$500,"&lt;=119279",'LANÇAMENTOS DIÁRIOS'!$P$5:$P$500,"&gt;=119180")&gt;0,"X","")</f>
      </c>
      <c r="U96" s="56" t="str">
        <f>IF(COUNTIFS('LANÇAMENTOS DIÁRIOS'!$G$5:$G$500,"G",'LANÇAMENTOS DIÁRIOS'!$C$5:$C$500,$A96,'LANÇAMENTOS DIÁRIOS'!$O$5:$O$500,"&lt;=119379",'LANÇAMENTOS DIÁRIOS'!$P$5:$P$500,"&gt;=119280")&gt;0,"X","")</f>
      </c>
      <c r="V96" s="56" t="str">
        <f>IF(COUNTIFS('LANÇAMENTOS DIÁRIOS'!$G$5:$G$500,"G",'LANÇAMENTOS DIÁRIOS'!$C$5:$C$500,$A96,'LANÇAMENTOS DIÁRIOS'!$O$5:$O$500,"&lt;=119479",'LANÇAMENTOS DIÁRIOS'!$P$5:$P$500,"&gt;=119380")&gt;0,"X","")</f>
      </c>
      <c r="W96" s="56" t="str">
        <f>IF(COUNTIFS('LANÇAMENTOS DIÁRIOS'!$G$5:$G$500,"G",'LANÇAMENTOS DIÁRIOS'!$C$5:$C$500,$A96,'LANÇAMENTOS DIÁRIOS'!$O$5:$O$500,"&lt;=119579",'LANÇAMENTOS DIÁRIOS'!$P$5:$P$500,"&gt;=119480")&gt;0,"X","")</f>
      </c>
      <c r="X96" s="56" t="str">
        <f>IF(COUNTIFS('LANÇAMENTOS DIÁRIOS'!$G$5:$G$500,"G",'LANÇAMENTOS DIÁRIOS'!$C$5:$C$500,$A96,'LANÇAMENTOS DIÁRIOS'!$O$5:$O$500,"&lt;=119679",'LANÇAMENTOS DIÁRIOS'!$P$5:$P$500,"&gt;=119580")&gt;0,"X","")</f>
      </c>
      <c r="Y96" s="56" t="str">
        <f>IF(COUNTIFS('LANÇAMENTOS DIÁRIOS'!$G$5:$G$500,"G",'LANÇAMENTOS DIÁRIOS'!$C$5:$C$500,$A96,'LANÇAMENTOS DIÁRIOS'!$O$5:$O$500,"&lt;=119779",'LANÇAMENTOS DIÁRIOS'!$P$5:$P$500,"&gt;=119680")&gt;0,"X","")</f>
      </c>
      <c r="Z96" s="56" t="str">
        <f>IF(COUNTIFS('LANÇAMENTOS DIÁRIOS'!$G$5:$G$500,"G",'LANÇAMENTOS DIÁRIOS'!$C$5:$C$500,$A96,'LANÇAMENTOS DIÁRIOS'!$O$5:$O$500,"&lt;=119879",'LANÇAMENTOS DIÁRIOS'!$P$5:$P$500,"&gt;=119780")&gt;0,"X","")</f>
      </c>
      <c r="AA96" s="56" t="str">
        <f>IF(COUNTIFS('LANÇAMENTOS DIÁRIOS'!$G$5:$G$500,"G",'LANÇAMENTOS DIÁRIOS'!$C$5:$C$500,$A96,'LANÇAMENTOS DIÁRIOS'!$O$5:$O$500,"&lt;=119979",'LANÇAMENTOS DIÁRIOS'!$P$5:$P$500,"&gt;=119880")&gt;0,"X","")</f>
      </c>
      <c r="AB96" s="56" t="str">
        <f>IF(COUNTIFS('LANÇAMENTOS DIÁRIOS'!$G$5:$G$500,"G",'LANÇAMENTOS DIÁRIOS'!$C$5:$C$500,$A96,'LANÇAMENTOS DIÁRIOS'!$O$5:$O$500,"&lt;=120079",'LANÇAMENTOS DIÁRIOS'!$P$5:$P$500,"&gt;=119980")&gt;0,"X","")</f>
      </c>
      <c r="AC96" s="56" t="str">
        <f>IF(COUNTIFS('LANÇAMENTOS DIÁRIOS'!$G$5:$G$500,"G",'LANÇAMENTOS DIÁRIOS'!$C$5:$C$500,$A96,'LANÇAMENTOS DIÁRIOS'!$O$5:$O$500,"&lt;=120179",'LANÇAMENTOS DIÁRIOS'!$P$5:$P$500,"&gt;=120080")&gt;0,"X","")</f>
      </c>
      <c r="AD96" s="56" t="str">
        <f>IF(COUNTIFS('LANÇAMENTOS DIÁRIOS'!$G$5:$G$500,"G",'LANÇAMENTOS DIÁRIOS'!$C$5:$C$500,$A96,'LANÇAMENTOS DIÁRIOS'!$O$5:$O$500,"&lt;=120279",'LANÇAMENTOS DIÁRIOS'!$P$5:$P$500,"&gt;=120180")&gt;0,"X","")</f>
      </c>
      <c r="AE96" s="56" t="str">
        <f>IF(COUNTIFS('LANÇAMENTOS DIÁRIOS'!$G$5:$G$500,"G",'LANÇAMENTOS DIÁRIOS'!$C$5:$C$500,$A96,'LANÇAMENTOS DIÁRIOS'!$O$5:$O$500,"&lt;=120379",'LANÇAMENTOS DIÁRIOS'!$P$5:$P$500,"&gt;=120280")&gt;0,"X","")</f>
      </c>
      <c r="AF96" s="56" t="str">
        <f>IF(COUNTIFS('LANÇAMENTOS DIÁRIOS'!$G$5:$G$500,"G",'LANÇAMENTOS DIÁRIOS'!$C$5:$C$500,$A96,'LANÇAMENTOS DIÁRIOS'!$O$5:$O$500,"&lt;=120479",'LANÇAMENTOS DIÁRIOS'!$P$5:$P$500,"&gt;=120380")&gt;0,"X","")</f>
      </c>
      <c r="AG96" s="56" t="str">
        <f>IF(COUNTIFS('LANÇAMENTOS DIÁRIOS'!$G$5:$G$500,"G",'LANÇAMENTOS DIÁRIOS'!$C$5:$C$500,$A96,'LANÇAMENTOS DIÁRIOS'!$O$5:$O$500,"&lt;=120579",'LANÇAMENTOS DIÁRIOS'!$P$5:$P$500,"&gt;=120480")&gt;0,"X","")</f>
      </c>
      <c r="AH96" s="56" t="str">
        <f>IF(COUNTIFS('LANÇAMENTOS DIÁRIOS'!$G$5:$G$500,"G",'LANÇAMENTOS DIÁRIOS'!$C$5:$C$500,$A96,'LANÇAMENTOS DIÁRIOS'!$O$5:$O$500,"&lt;=120679",'LANÇAMENTOS DIÁRIOS'!$P$5:$P$500,"&gt;=120580")&gt;0,"X","")</f>
      </c>
      <c r="AI96" s="56" t="str">
        <f>IF(COUNTIFS('LANÇAMENTOS DIÁRIOS'!$G$5:$G$500,"G",'LANÇAMENTOS DIÁRIOS'!$C$5:$C$500,$A96,'LANÇAMENTOS DIÁRIOS'!$O$5:$O$500,"&lt;=120779",'LANÇAMENTOS DIÁRIOS'!$P$5:$P$500,"&gt;=120680")&gt;0,"X","")</f>
      </c>
      <c r="AJ96" s="56" t="str">
        <f>IF(COUNTIFS('LANÇAMENTOS DIÁRIOS'!$G$5:$G$500,"G",'LANÇAMENTOS DIÁRIOS'!$C$5:$C$500,$A96,'LANÇAMENTOS DIÁRIOS'!$O$5:$O$500,"&lt;=120879",'LANÇAMENTOS DIÁRIOS'!$P$5:$P$500,"&gt;=120780")&gt;0,"X","")</f>
      </c>
      <c r="AK96" s="56" t="str">
        <f>IF(COUNTIFS('LANÇAMENTOS DIÁRIOS'!$G$5:$G$500,"G",'LANÇAMENTOS DIÁRIOS'!$C$5:$C$500,$A96,'LANÇAMENTOS DIÁRIOS'!$O$5:$O$500,"&lt;=120979",'LANÇAMENTOS DIÁRIOS'!$P$5:$P$500,"&gt;=120880")&gt;0,"X","")</f>
      </c>
      <c r="AL96" s="56" t="str">
        <f>IF(COUNTIFS('LANÇAMENTOS DIÁRIOS'!$G$5:$G$500,"G",'LANÇAMENTOS DIÁRIOS'!$C$5:$C$500,$A96,'LANÇAMENTOS DIÁRIOS'!$O$5:$O$500,"&lt;=121079",'LANÇAMENTOS DIÁRIOS'!$P$5:$P$500,"&gt;=120980")&gt;0,"X","")</f>
      </c>
      <c r="AM96" s="56" t="str">
        <f>IF(COUNTIFS('LANÇAMENTOS DIÁRIOS'!$G$5:$G$500,"G",'LANÇAMENTOS DIÁRIOS'!$C$5:$C$500,$A96,'LANÇAMENTOS DIÁRIOS'!$O$5:$O$500,"&lt;=121179",'LANÇAMENTOS DIÁRIOS'!$P$5:$P$500,"&gt;=121080")&gt;0,"X","")</f>
      </c>
      <c r="AN96" s="56" t="str">
        <f>IF(COUNTIFS('LANÇAMENTOS DIÁRIOS'!$G$5:$G$500,"G",'LANÇAMENTOS DIÁRIOS'!$C$5:$C$500,$A96,'LANÇAMENTOS DIÁRIOS'!$O$5:$O$500,"&lt;=121279",'LANÇAMENTOS DIÁRIOS'!$P$5:$P$500,"&gt;=121180")&gt;0,"X","")</f>
      </c>
      <c r="AO96" s="56" t="str">
        <f>IF(COUNTIFS('LANÇAMENTOS DIÁRIOS'!$G$5:$G$500,"G",'LANÇAMENTOS DIÁRIOS'!$C$5:$C$500,$A96,'LANÇAMENTOS DIÁRIOS'!$O$5:$O$500,"&lt;=121379",'LANÇAMENTOS DIÁRIOS'!$P$5:$P$500,"&gt;=121280")&gt;0,"X","")</f>
      </c>
      <c r="AP96" s="56" t="str">
        <f>IF(COUNTIFS('LANÇAMENTOS DIÁRIOS'!$G$5:$G$500,"G",'LANÇAMENTOS DIÁRIOS'!$C$5:$C$500,$A96,'LANÇAMENTOS DIÁRIOS'!$O$5:$O$500,"&lt;=121479",'LANÇAMENTOS DIÁRIOS'!$P$5:$P$500,"&gt;=121380")&gt;0,"X","")</f>
      </c>
      <c r="AQ96" s="56" t="str">
        <f>IF(COUNTIFS('LANÇAMENTOS DIÁRIOS'!$G$5:$G$500,"G",'LANÇAMENTOS DIÁRIOS'!$C$5:$C$500,$A96,'LANÇAMENTOS DIÁRIOS'!$O$5:$O$500,"&lt;=121579",'LANÇAMENTOS DIÁRIOS'!$P$5:$P$500,"&gt;=121480")&gt;0,"X","")</f>
      </c>
      <c r="AR96" s="56" t="str">
        <f>IF(COUNTIFS('LANÇAMENTOS DIÁRIOS'!$G$5:$G$500,"G",'LANÇAMENTOS DIÁRIOS'!$C$5:$C$500,$A96,'LANÇAMENTOS DIÁRIOS'!$O$5:$O$500,"&lt;=121679",'LANÇAMENTOS DIÁRIOS'!$P$5:$P$500,"&gt;=121580")&gt;0,"X","")</f>
      </c>
      <c r="AS96" s="56" t="str">
        <f>IF(COUNTIFS('LANÇAMENTOS DIÁRIOS'!$G$5:$G$500,"G",'LANÇAMENTOS DIÁRIOS'!$C$5:$C$500,$A96,'LANÇAMENTOS DIÁRIOS'!$O$5:$O$500,"&lt;=121779",'LANÇAMENTOS DIÁRIOS'!$P$5:$P$500,"&gt;=121680")&gt;0,"X","")</f>
      </c>
      <c r="AT96" s="56" t="str">
        <f>IF(COUNTIFS('LANÇAMENTOS DIÁRIOS'!$G$5:$G$500,"G",'LANÇAMENTOS DIÁRIOS'!$C$5:$C$500,$A96,'LANÇAMENTOS DIÁRIOS'!$O$5:$O$500,"&lt;=121879",'LANÇAMENTOS DIÁRIOS'!$P$5:$P$500,"&gt;=121780")&gt;0,"X","")</f>
      </c>
      <c r="AU96" s="56" t="str">
        <f>IF(COUNTIFS('LANÇAMENTOS DIÁRIOS'!$G$5:$G$500,"G",'LANÇAMENTOS DIÁRIOS'!$C$5:$C$500,$A96,'LANÇAMENTOS DIÁRIOS'!$O$5:$O$500,"&lt;=121979",'LANÇAMENTOS DIÁRIOS'!$P$5:$P$500,"&gt;=121880")&gt;0,"X","")</f>
      </c>
      <c r="AV96" s="56" t="str">
        <f>IF(COUNTIFS('LANÇAMENTOS DIÁRIOS'!$G$5:$G$500,"G",'LANÇAMENTOS DIÁRIOS'!$C$5:$C$500,$A96,'LANÇAMENTOS DIÁRIOS'!$O$5:$O$500,"&lt;=122079",'LANÇAMENTOS DIÁRIOS'!$P$5:$P$500,"&gt;=121980")&gt;0,"X","")</f>
      </c>
      <c r="AW96" s="56" t="str">
        <f>IF(COUNTIFS('LANÇAMENTOS DIÁRIOS'!$G$5:$G$500,"G",'LANÇAMENTOS DIÁRIOS'!$C$5:$C$500,$A96,'LANÇAMENTOS DIÁRIOS'!$O$5:$O$500,"&lt;=122179",'LANÇAMENTOS DIÁRIOS'!$P$5:$P$500,"&gt;=122080")&gt;0,"X","")</f>
      </c>
      <c r="AX96" s="56" t="str">
        <f>IF(COUNTIFS('LANÇAMENTOS DIÁRIOS'!$G$5:$G$500,"G",'LANÇAMENTOS DIÁRIOS'!$C$5:$C$500,$A96,'LANÇAMENTOS DIÁRIOS'!$O$5:$O$500,"&lt;=122279",'LANÇAMENTOS DIÁRIOS'!$P$5:$P$500,"&gt;=122180")&gt;0,"X","")</f>
      </c>
      <c r="AY96" s="56" t="str">
        <f>IF(COUNTIFS('LANÇAMENTOS DIÁRIOS'!$G$5:$G$500,"G",'LANÇAMENTOS DIÁRIOS'!$C$5:$C$500,$A96,'LANÇAMENTOS DIÁRIOS'!$O$5:$O$500,"&lt;=122379",'LANÇAMENTOS DIÁRIOS'!$P$5:$P$500,"&gt;=122280")&gt;0,"X","")</f>
      </c>
      <c r="AZ96" s="56" t="str">
        <f>IF(COUNTIFS('LANÇAMENTOS DIÁRIOS'!$G$5:$G$500,"G",'LANÇAMENTOS DIÁRIOS'!$C$5:$C$500,$A96,'LANÇAMENTOS DIÁRIOS'!$O$5:$O$500,"&lt;=122479",'LANÇAMENTOS DIÁRIOS'!$P$5:$P$500,"&gt;=122380")&gt;0,"X","")</f>
      </c>
      <c r="BA96" s="56" t="str">
        <f>IF(COUNTIFS('LANÇAMENTOS DIÁRIOS'!$G$5:$G$500,"G",'LANÇAMENTOS DIÁRIOS'!$C$5:$C$500,$A96,'LANÇAMENTOS DIÁRIOS'!$O$5:$O$500,"&lt;=122579",'LANÇAMENTOS DIÁRIOS'!$P$5:$P$500,"&gt;=122480")&gt;0,"X","")</f>
      </c>
      <c r="BB96" s="56" t="str">
        <f>IF(COUNTIFS('LANÇAMENTOS DIÁRIOS'!$G$5:$G$500,"G",'LANÇAMENTOS DIÁRIOS'!$C$5:$C$500,$A96,'LANÇAMENTOS DIÁRIOS'!$O$5:$O$500,"&lt;=122679",'LANÇAMENTOS DIÁRIOS'!$P$5:$P$500,"&gt;=122580")&gt;0,"X","")</f>
      </c>
      <c r="BC96" s="56" t="str">
        <f>IF(COUNTIFS('LANÇAMENTOS DIÁRIOS'!$G$5:$G$500,"G",'LANÇAMENTOS DIÁRIOS'!$C$5:$C$500,$A96,'LANÇAMENTOS DIÁRIOS'!$O$5:$O$500,"&lt;=122779",'LANÇAMENTOS DIÁRIOS'!$P$5:$P$500,"&gt;=122680")&gt;0,"X","")</f>
      </c>
      <c r="BD96" s="56" t="str">
        <f>IF(COUNTIFS('LANÇAMENTOS DIÁRIOS'!$G$5:$G$500,"G",'LANÇAMENTOS DIÁRIOS'!$C$5:$C$500,$A96,'LANÇAMENTOS DIÁRIOS'!$O$5:$O$500,"&lt;=122879",'LANÇAMENTOS DIÁRIOS'!$P$5:$P$500,"&gt;=122780")&gt;0,"X","")</f>
      </c>
      <c r="BE96" s="56" t="str">
        <f>IF(COUNTIFS('LANÇAMENTOS DIÁRIOS'!$G$5:$G$500,"G",'LANÇAMENTOS DIÁRIOS'!$C$5:$C$500,$A96,'LANÇAMENTOS DIÁRIOS'!$O$5:$O$500,"&lt;=122979",'LANÇAMENTOS DIÁRIOS'!$P$5:$P$500,"&gt;=122880")&gt;0,"X","")</f>
      </c>
      <c r="BF96" s="56" t="str">
        <f>IF(COUNTIFS('LANÇAMENTOS DIÁRIOS'!$G$5:$G$500,"G",'LANÇAMENTOS DIÁRIOS'!$C$5:$C$500,$A96,'LANÇAMENTOS DIÁRIOS'!$O$5:$O$500,"&lt;=123079",'LANÇAMENTOS DIÁRIOS'!$P$5:$P$500,"&gt;=122980")&gt;0,"X","")</f>
      </c>
      <c r="BG96" s="56" t="str">
        <f>IF(COUNTIFS('LANÇAMENTOS DIÁRIOS'!$G$5:$G$500,"G",'LANÇAMENTOS DIÁRIOS'!$C$5:$C$500,$A96,'LANÇAMENTOS DIÁRIOS'!$O$5:$O$500,"&lt;=123179",'LANÇAMENTOS DIÁRIOS'!$P$5:$P$500,"&gt;=123080")&gt;0,"X","")</f>
      </c>
      <c r="BH96" s="56" t="str">
        <f>IF(COUNTIFS('LANÇAMENTOS DIÁRIOS'!$G$5:$G$500,"G",'LANÇAMENTOS DIÁRIOS'!$C$5:$C$500,$A96,'LANÇAMENTOS DIÁRIOS'!$O$5:$O$500,"&lt;=123279",'LANÇAMENTOS DIÁRIOS'!$P$5:$P$500,"&gt;=123180")&gt;0,"X","")</f>
      </c>
      <c r="BI96" s="56" t="str">
        <f>IF(COUNTIFS('LANÇAMENTOS DIÁRIOS'!$G$5:$G$500,"G",'LANÇAMENTOS DIÁRIOS'!$C$5:$C$500,$A96,'LANÇAMENTOS DIÁRIOS'!$O$5:$O$500,"&lt;=123379",'LANÇAMENTOS DIÁRIOS'!$P$5:$P$500,"&gt;=123280")&gt;0,"X","")</f>
      </c>
      <c r="BJ96" s="56" t="str">
        <f>IF(COUNTIFS('LANÇAMENTOS DIÁRIOS'!$G$5:$G$500,"G",'LANÇAMENTOS DIÁRIOS'!$C$5:$C$500,$A96,'LANÇAMENTOS DIÁRIOS'!$O$5:$O$500,"&lt;=123479",'LANÇAMENTOS DIÁRIOS'!$P$5:$P$500,"&gt;=123380")&gt;0,"X","")</f>
      </c>
      <c r="BK96" s="56" t="str">
        <f>IF(COUNTIFS('LANÇAMENTOS DIÁRIOS'!$G$5:$G$500,"G",'LANÇAMENTOS DIÁRIOS'!$C$5:$C$500,$A96,'LANÇAMENTOS DIÁRIOS'!$O$5:$O$500,"&lt;=123480",'LANÇAMENTOS DIÁRIOS'!$P$5:$P$500,"&gt;=123480")&gt;0,"X","")</f>
      </c>
    </row>
    <row r="97" ht="19" customHeight="1">
      <c r="A97" s="68" t="str">
        <v>Execução de dreno de pavimento e de plataforma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</row>
    <row r="98">
      <c r="A98" s="51" t="str">
        <v>Execução de dreno de pavimento e de plataforma</v>
      </c>
      <c r="B98" s="56" t="str">
        <f>IF(COUNTIFS('LANÇAMENTOS DIÁRIOS'!$G$5:$G$500,"G",'LANÇAMENTOS DIÁRIOS'!$C$5:$C$500,$A98,'LANÇAMENTOS DIÁRIOS'!$O$5:$O$500,"&lt;=117479",'LANÇAMENTOS DIÁRIOS'!$P$5:$P$500,"&gt;=117380")&gt;0,"X","")</f>
      </c>
      <c r="C98" s="56" t="str">
        <f>IF(COUNTIFS('LANÇAMENTOS DIÁRIOS'!$G$5:$G$500,"G",'LANÇAMENTOS DIÁRIOS'!$C$5:$C$500,$A98,'LANÇAMENTOS DIÁRIOS'!$O$5:$O$500,"&lt;=117579",'LANÇAMENTOS DIÁRIOS'!$P$5:$P$500,"&gt;=117480")&gt;0,"X","")</f>
      </c>
      <c r="D98" s="56" t="str">
        <f>IF(COUNTIFS('LANÇAMENTOS DIÁRIOS'!$G$5:$G$500,"G",'LANÇAMENTOS DIÁRIOS'!$C$5:$C$500,$A98,'LANÇAMENTOS DIÁRIOS'!$O$5:$O$500,"&lt;=117679",'LANÇAMENTOS DIÁRIOS'!$P$5:$P$500,"&gt;=117580")&gt;0,"X","")</f>
      </c>
      <c r="E98" s="56" t="str">
        <f>IF(COUNTIFS('LANÇAMENTOS DIÁRIOS'!$G$5:$G$500,"G",'LANÇAMENTOS DIÁRIOS'!$C$5:$C$500,$A98,'LANÇAMENTOS DIÁRIOS'!$O$5:$O$500,"&lt;=117779",'LANÇAMENTOS DIÁRIOS'!$P$5:$P$500,"&gt;=117680")&gt;0,"X","")</f>
      </c>
      <c r="F98" s="56" t="str">
        <f>IF(COUNTIFS('LANÇAMENTOS DIÁRIOS'!$G$5:$G$500,"G",'LANÇAMENTOS DIÁRIOS'!$C$5:$C$500,$A98,'LANÇAMENTOS DIÁRIOS'!$O$5:$O$500,"&lt;=117879",'LANÇAMENTOS DIÁRIOS'!$P$5:$P$500,"&gt;=117780")&gt;0,"X","")</f>
      </c>
      <c r="G98" s="56" t="str">
        <f>IF(COUNTIFS('LANÇAMENTOS DIÁRIOS'!$G$5:$G$500,"G",'LANÇAMENTOS DIÁRIOS'!$C$5:$C$500,$A98,'LANÇAMENTOS DIÁRIOS'!$O$5:$O$500,"&lt;=117979",'LANÇAMENTOS DIÁRIOS'!$P$5:$P$500,"&gt;=117880")&gt;0,"X","")</f>
      </c>
      <c r="H98" s="56" t="str">
        <f>IF(COUNTIFS('LANÇAMENTOS DIÁRIOS'!$G$5:$G$500,"G",'LANÇAMENTOS DIÁRIOS'!$C$5:$C$500,$A98,'LANÇAMENTOS DIÁRIOS'!$O$5:$O$500,"&lt;=118079",'LANÇAMENTOS DIÁRIOS'!$P$5:$P$500,"&gt;=117980")&gt;0,"X","")</f>
      </c>
      <c r="I98" s="56" t="str">
        <f>IF(COUNTIFS('LANÇAMENTOS DIÁRIOS'!$G$5:$G$500,"G",'LANÇAMENTOS DIÁRIOS'!$C$5:$C$500,$A98,'LANÇAMENTOS DIÁRIOS'!$O$5:$O$500,"&lt;=118179",'LANÇAMENTOS DIÁRIOS'!$P$5:$P$500,"&gt;=118080")&gt;0,"X","")</f>
      </c>
      <c r="J98" s="56" t="str">
        <f>IF(COUNTIFS('LANÇAMENTOS DIÁRIOS'!$G$5:$G$500,"G",'LANÇAMENTOS DIÁRIOS'!$C$5:$C$500,$A98,'LANÇAMENTOS DIÁRIOS'!$O$5:$O$500,"&lt;=118279",'LANÇAMENTOS DIÁRIOS'!$P$5:$P$500,"&gt;=118180")&gt;0,"X","")</f>
      </c>
      <c r="K98" s="56" t="str">
        <f>IF(COUNTIFS('LANÇAMENTOS DIÁRIOS'!$G$5:$G$500,"G",'LANÇAMENTOS DIÁRIOS'!$C$5:$C$500,$A98,'LANÇAMENTOS DIÁRIOS'!$O$5:$O$500,"&lt;=118379",'LANÇAMENTOS DIÁRIOS'!$P$5:$P$500,"&gt;=118280")&gt;0,"X","")</f>
      </c>
      <c r="L98" s="56" t="str">
        <f>IF(COUNTIFS('LANÇAMENTOS DIÁRIOS'!$G$5:$G$500,"G",'LANÇAMENTOS DIÁRIOS'!$C$5:$C$500,$A98,'LANÇAMENTOS DIÁRIOS'!$O$5:$O$500,"&lt;=118479",'LANÇAMENTOS DIÁRIOS'!$P$5:$P$500,"&gt;=118380")&gt;0,"X","")</f>
      </c>
      <c r="M98" s="56" t="str">
        <f>IF(COUNTIFS('LANÇAMENTOS DIÁRIOS'!$G$5:$G$500,"G",'LANÇAMENTOS DIÁRIOS'!$C$5:$C$500,$A98,'LANÇAMENTOS DIÁRIOS'!$O$5:$O$500,"&lt;=118579",'LANÇAMENTOS DIÁRIOS'!$P$5:$P$500,"&gt;=118480")&gt;0,"X","")</f>
      </c>
      <c r="N98" s="56" t="str">
        <f>IF(COUNTIFS('LANÇAMENTOS DIÁRIOS'!$G$5:$G$500,"G",'LANÇAMENTOS DIÁRIOS'!$C$5:$C$500,$A98,'LANÇAMENTOS DIÁRIOS'!$O$5:$O$500,"&lt;=118679",'LANÇAMENTOS DIÁRIOS'!$P$5:$P$500,"&gt;=118580")&gt;0,"X","")</f>
      </c>
      <c r="O98" s="56" t="str">
        <f>IF(COUNTIFS('LANÇAMENTOS DIÁRIOS'!$G$5:$G$500,"G",'LANÇAMENTOS DIÁRIOS'!$C$5:$C$500,$A98,'LANÇAMENTOS DIÁRIOS'!$O$5:$O$500,"&lt;=118779",'LANÇAMENTOS DIÁRIOS'!$P$5:$P$500,"&gt;=118680")&gt;0,"X","")</f>
      </c>
      <c r="P98" s="56" t="str">
        <f>IF(COUNTIFS('LANÇAMENTOS DIÁRIOS'!$G$5:$G$500,"G",'LANÇAMENTOS DIÁRIOS'!$C$5:$C$500,$A98,'LANÇAMENTOS DIÁRIOS'!$O$5:$O$500,"&lt;=118879",'LANÇAMENTOS DIÁRIOS'!$P$5:$P$500,"&gt;=118780")&gt;0,"X","")</f>
      </c>
      <c r="Q98" s="56" t="str">
        <f>IF(COUNTIFS('LANÇAMENTOS DIÁRIOS'!$G$5:$G$500,"G",'LANÇAMENTOS DIÁRIOS'!$C$5:$C$500,$A98,'LANÇAMENTOS DIÁRIOS'!$O$5:$O$500,"&lt;=118979",'LANÇAMENTOS DIÁRIOS'!$P$5:$P$500,"&gt;=118880")&gt;0,"X","")</f>
      </c>
      <c r="R98" s="56" t="str">
        <f>IF(COUNTIFS('LANÇAMENTOS DIÁRIOS'!$G$5:$G$500,"G",'LANÇAMENTOS DIÁRIOS'!$C$5:$C$500,$A98,'LANÇAMENTOS DIÁRIOS'!$O$5:$O$500,"&lt;=119079",'LANÇAMENTOS DIÁRIOS'!$P$5:$P$500,"&gt;=118980")&gt;0,"X","")</f>
      </c>
      <c r="S98" s="56" t="str">
        <f>IF(COUNTIFS('LANÇAMENTOS DIÁRIOS'!$G$5:$G$500,"G",'LANÇAMENTOS DIÁRIOS'!$C$5:$C$500,$A98,'LANÇAMENTOS DIÁRIOS'!$O$5:$O$500,"&lt;=119179",'LANÇAMENTOS DIÁRIOS'!$P$5:$P$500,"&gt;=119080")&gt;0,"X","")</f>
      </c>
      <c r="T98" s="56" t="str">
        <f>IF(COUNTIFS('LANÇAMENTOS DIÁRIOS'!$G$5:$G$500,"G",'LANÇAMENTOS DIÁRIOS'!$C$5:$C$500,$A98,'LANÇAMENTOS DIÁRIOS'!$O$5:$O$500,"&lt;=119279",'LANÇAMENTOS DIÁRIOS'!$P$5:$P$500,"&gt;=119180")&gt;0,"X","")</f>
      </c>
      <c r="U98" s="56" t="str">
        <f>IF(COUNTIFS('LANÇAMENTOS DIÁRIOS'!$G$5:$G$500,"G",'LANÇAMENTOS DIÁRIOS'!$C$5:$C$500,$A98,'LANÇAMENTOS DIÁRIOS'!$O$5:$O$500,"&lt;=119379",'LANÇAMENTOS DIÁRIOS'!$P$5:$P$500,"&gt;=119280")&gt;0,"X","")</f>
      </c>
      <c r="V98" s="56" t="str">
        <f>IF(COUNTIFS('LANÇAMENTOS DIÁRIOS'!$G$5:$G$500,"G",'LANÇAMENTOS DIÁRIOS'!$C$5:$C$500,$A98,'LANÇAMENTOS DIÁRIOS'!$O$5:$O$500,"&lt;=119479",'LANÇAMENTOS DIÁRIOS'!$P$5:$P$500,"&gt;=119380")&gt;0,"X","")</f>
      </c>
      <c r="W98" s="56" t="str">
        <f>IF(COUNTIFS('LANÇAMENTOS DIÁRIOS'!$G$5:$G$500,"G",'LANÇAMENTOS DIÁRIOS'!$C$5:$C$500,$A98,'LANÇAMENTOS DIÁRIOS'!$O$5:$O$500,"&lt;=119579",'LANÇAMENTOS DIÁRIOS'!$P$5:$P$500,"&gt;=119480")&gt;0,"X","")</f>
      </c>
      <c r="X98" s="56" t="str">
        <f>IF(COUNTIFS('LANÇAMENTOS DIÁRIOS'!$G$5:$G$500,"G",'LANÇAMENTOS DIÁRIOS'!$C$5:$C$500,$A98,'LANÇAMENTOS DIÁRIOS'!$O$5:$O$500,"&lt;=119679",'LANÇAMENTOS DIÁRIOS'!$P$5:$P$500,"&gt;=119580")&gt;0,"X","")</f>
      </c>
      <c r="Y98" s="56" t="str">
        <f>IF(COUNTIFS('LANÇAMENTOS DIÁRIOS'!$G$5:$G$500,"G",'LANÇAMENTOS DIÁRIOS'!$C$5:$C$500,$A98,'LANÇAMENTOS DIÁRIOS'!$O$5:$O$500,"&lt;=119779",'LANÇAMENTOS DIÁRIOS'!$P$5:$P$500,"&gt;=119680")&gt;0,"X","")</f>
      </c>
      <c r="Z98" s="56" t="str">
        <f>IF(COUNTIFS('LANÇAMENTOS DIÁRIOS'!$G$5:$G$500,"G",'LANÇAMENTOS DIÁRIOS'!$C$5:$C$500,$A98,'LANÇAMENTOS DIÁRIOS'!$O$5:$O$500,"&lt;=119879",'LANÇAMENTOS DIÁRIOS'!$P$5:$P$500,"&gt;=119780")&gt;0,"X","")</f>
      </c>
      <c r="AA98" s="56" t="str">
        <f>IF(COUNTIFS('LANÇAMENTOS DIÁRIOS'!$G$5:$G$500,"G",'LANÇAMENTOS DIÁRIOS'!$C$5:$C$500,$A98,'LANÇAMENTOS DIÁRIOS'!$O$5:$O$500,"&lt;=119979",'LANÇAMENTOS DIÁRIOS'!$P$5:$P$500,"&gt;=119880")&gt;0,"X","")</f>
      </c>
      <c r="AB98" s="56" t="str">
        <f>IF(COUNTIFS('LANÇAMENTOS DIÁRIOS'!$G$5:$G$500,"G",'LANÇAMENTOS DIÁRIOS'!$C$5:$C$500,$A98,'LANÇAMENTOS DIÁRIOS'!$O$5:$O$500,"&lt;=120079",'LANÇAMENTOS DIÁRIOS'!$P$5:$P$500,"&gt;=119980")&gt;0,"X","")</f>
      </c>
      <c r="AC98" s="56" t="str">
        <f>IF(COUNTIFS('LANÇAMENTOS DIÁRIOS'!$G$5:$G$500,"G",'LANÇAMENTOS DIÁRIOS'!$C$5:$C$500,$A98,'LANÇAMENTOS DIÁRIOS'!$O$5:$O$500,"&lt;=120179",'LANÇAMENTOS DIÁRIOS'!$P$5:$P$500,"&gt;=120080")&gt;0,"X","")</f>
      </c>
      <c r="AD98" s="56" t="str">
        <f>IF(COUNTIFS('LANÇAMENTOS DIÁRIOS'!$G$5:$G$500,"G",'LANÇAMENTOS DIÁRIOS'!$C$5:$C$500,$A98,'LANÇAMENTOS DIÁRIOS'!$O$5:$O$500,"&lt;=120279",'LANÇAMENTOS DIÁRIOS'!$P$5:$P$500,"&gt;=120180")&gt;0,"X","")</f>
      </c>
      <c r="AE98" s="56" t="str">
        <f>IF(COUNTIFS('LANÇAMENTOS DIÁRIOS'!$G$5:$G$500,"G",'LANÇAMENTOS DIÁRIOS'!$C$5:$C$500,$A98,'LANÇAMENTOS DIÁRIOS'!$O$5:$O$500,"&lt;=120379",'LANÇAMENTOS DIÁRIOS'!$P$5:$P$500,"&gt;=120280")&gt;0,"X","")</f>
      </c>
      <c r="AF98" s="56" t="str">
        <f>IF(COUNTIFS('LANÇAMENTOS DIÁRIOS'!$G$5:$G$500,"G",'LANÇAMENTOS DIÁRIOS'!$C$5:$C$500,$A98,'LANÇAMENTOS DIÁRIOS'!$O$5:$O$500,"&lt;=120479",'LANÇAMENTOS DIÁRIOS'!$P$5:$P$500,"&gt;=120380")&gt;0,"X","")</f>
      </c>
      <c r="AG98" s="56" t="str">
        <f>IF(COUNTIFS('LANÇAMENTOS DIÁRIOS'!$G$5:$G$500,"G",'LANÇAMENTOS DIÁRIOS'!$C$5:$C$500,$A98,'LANÇAMENTOS DIÁRIOS'!$O$5:$O$500,"&lt;=120579",'LANÇAMENTOS DIÁRIOS'!$P$5:$P$500,"&gt;=120480")&gt;0,"X","")</f>
      </c>
      <c r="AH98" s="56" t="str">
        <f>IF(COUNTIFS('LANÇAMENTOS DIÁRIOS'!$G$5:$G$500,"G",'LANÇAMENTOS DIÁRIOS'!$C$5:$C$500,$A98,'LANÇAMENTOS DIÁRIOS'!$O$5:$O$500,"&lt;=120679",'LANÇAMENTOS DIÁRIOS'!$P$5:$P$500,"&gt;=120580")&gt;0,"X","")</f>
      </c>
      <c r="AI98" s="56" t="str">
        <f>IF(COUNTIFS('LANÇAMENTOS DIÁRIOS'!$G$5:$G$500,"G",'LANÇAMENTOS DIÁRIOS'!$C$5:$C$500,$A98,'LANÇAMENTOS DIÁRIOS'!$O$5:$O$500,"&lt;=120779",'LANÇAMENTOS DIÁRIOS'!$P$5:$P$500,"&gt;=120680")&gt;0,"X","")</f>
      </c>
      <c r="AJ98" s="56" t="str">
        <f>IF(COUNTIFS('LANÇAMENTOS DIÁRIOS'!$G$5:$G$500,"G",'LANÇAMENTOS DIÁRIOS'!$C$5:$C$500,$A98,'LANÇAMENTOS DIÁRIOS'!$O$5:$O$500,"&lt;=120879",'LANÇAMENTOS DIÁRIOS'!$P$5:$P$500,"&gt;=120780")&gt;0,"X","")</f>
      </c>
      <c r="AK98" s="56" t="str">
        <f>IF(COUNTIFS('LANÇAMENTOS DIÁRIOS'!$G$5:$G$500,"G",'LANÇAMENTOS DIÁRIOS'!$C$5:$C$500,$A98,'LANÇAMENTOS DIÁRIOS'!$O$5:$O$500,"&lt;=120979",'LANÇAMENTOS DIÁRIOS'!$P$5:$P$500,"&gt;=120880")&gt;0,"X","")</f>
      </c>
      <c r="AL98" s="56" t="str">
        <f>IF(COUNTIFS('LANÇAMENTOS DIÁRIOS'!$G$5:$G$500,"G",'LANÇAMENTOS DIÁRIOS'!$C$5:$C$500,$A98,'LANÇAMENTOS DIÁRIOS'!$O$5:$O$500,"&lt;=121079",'LANÇAMENTOS DIÁRIOS'!$P$5:$P$500,"&gt;=120980")&gt;0,"X","")</f>
      </c>
      <c r="AM98" s="56" t="str">
        <f>IF(COUNTIFS('LANÇAMENTOS DIÁRIOS'!$G$5:$G$500,"G",'LANÇAMENTOS DIÁRIOS'!$C$5:$C$500,$A98,'LANÇAMENTOS DIÁRIOS'!$O$5:$O$500,"&lt;=121179",'LANÇAMENTOS DIÁRIOS'!$P$5:$P$500,"&gt;=121080")&gt;0,"X","")</f>
      </c>
      <c r="AN98" s="56" t="str">
        <f>IF(COUNTIFS('LANÇAMENTOS DIÁRIOS'!$G$5:$G$500,"G",'LANÇAMENTOS DIÁRIOS'!$C$5:$C$500,$A98,'LANÇAMENTOS DIÁRIOS'!$O$5:$O$500,"&lt;=121279",'LANÇAMENTOS DIÁRIOS'!$P$5:$P$500,"&gt;=121180")&gt;0,"X","")</f>
      </c>
      <c r="AO98" s="56" t="str">
        <f>IF(COUNTIFS('LANÇAMENTOS DIÁRIOS'!$G$5:$G$500,"G",'LANÇAMENTOS DIÁRIOS'!$C$5:$C$500,$A98,'LANÇAMENTOS DIÁRIOS'!$O$5:$O$500,"&lt;=121379",'LANÇAMENTOS DIÁRIOS'!$P$5:$P$500,"&gt;=121280")&gt;0,"X","")</f>
      </c>
      <c r="AP98" s="56" t="str">
        <f>IF(COUNTIFS('LANÇAMENTOS DIÁRIOS'!$G$5:$G$500,"G",'LANÇAMENTOS DIÁRIOS'!$C$5:$C$500,$A98,'LANÇAMENTOS DIÁRIOS'!$O$5:$O$500,"&lt;=121479",'LANÇAMENTOS DIÁRIOS'!$P$5:$P$500,"&gt;=121380")&gt;0,"X","")</f>
      </c>
      <c r="AQ98" s="56" t="str">
        <f>IF(COUNTIFS('LANÇAMENTOS DIÁRIOS'!$G$5:$G$500,"G",'LANÇAMENTOS DIÁRIOS'!$C$5:$C$500,$A98,'LANÇAMENTOS DIÁRIOS'!$O$5:$O$500,"&lt;=121579",'LANÇAMENTOS DIÁRIOS'!$P$5:$P$500,"&gt;=121480")&gt;0,"X","")</f>
      </c>
      <c r="AR98" s="56" t="str">
        <f>IF(COUNTIFS('LANÇAMENTOS DIÁRIOS'!$G$5:$G$500,"G",'LANÇAMENTOS DIÁRIOS'!$C$5:$C$500,$A98,'LANÇAMENTOS DIÁRIOS'!$O$5:$O$500,"&lt;=121679",'LANÇAMENTOS DIÁRIOS'!$P$5:$P$500,"&gt;=121580")&gt;0,"X","")</f>
      </c>
      <c r="AS98" s="56" t="str">
        <f>IF(COUNTIFS('LANÇAMENTOS DIÁRIOS'!$G$5:$G$500,"G",'LANÇAMENTOS DIÁRIOS'!$C$5:$C$500,$A98,'LANÇAMENTOS DIÁRIOS'!$O$5:$O$500,"&lt;=121779",'LANÇAMENTOS DIÁRIOS'!$P$5:$P$500,"&gt;=121680")&gt;0,"X","")</f>
      </c>
      <c r="AT98" s="56" t="str">
        <f>IF(COUNTIFS('LANÇAMENTOS DIÁRIOS'!$G$5:$G$500,"G",'LANÇAMENTOS DIÁRIOS'!$C$5:$C$500,$A98,'LANÇAMENTOS DIÁRIOS'!$O$5:$O$500,"&lt;=121879",'LANÇAMENTOS DIÁRIOS'!$P$5:$P$500,"&gt;=121780")&gt;0,"X","")</f>
      </c>
      <c r="AU98" s="56" t="str">
        <f>IF(COUNTIFS('LANÇAMENTOS DIÁRIOS'!$G$5:$G$500,"G",'LANÇAMENTOS DIÁRIOS'!$C$5:$C$500,$A98,'LANÇAMENTOS DIÁRIOS'!$O$5:$O$500,"&lt;=121979",'LANÇAMENTOS DIÁRIOS'!$P$5:$P$500,"&gt;=121880")&gt;0,"X","")</f>
      </c>
      <c r="AV98" s="56" t="str">
        <f>IF(COUNTIFS('LANÇAMENTOS DIÁRIOS'!$G$5:$G$500,"G",'LANÇAMENTOS DIÁRIOS'!$C$5:$C$500,$A98,'LANÇAMENTOS DIÁRIOS'!$O$5:$O$500,"&lt;=122079",'LANÇAMENTOS DIÁRIOS'!$P$5:$P$500,"&gt;=121980")&gt;0,"X","")</f>
      </c>
      <c r="AW98" s="56" t="str">
        <f>IF(COUNTIFS('LANÇAMENTOS DIÁRIOS'!$G$5:$G$500,"G",'LANÇAMENTOS DIÁRIOS'!$C$5:$C$500,$A98,'LANÇAMENTOS DIÁRIOS'!$O$5:$O$500,"&lt;=122179",'LANÇAMENTOS DIÁRIOS'!$P$5:$P$500,"&gt;=122080")&gt;0,"X","")</f>
      </c>
      <c r="AX98" s="56" t="str">
        <f>IF(COUNTIFS('LANÇAMENTOS DIÁRIOS'!$G$5:$G$500,"G",'LANÇAMENTOS DIÁRIOS'!$C$5:$C$500,$A98,'LANÇAMENTOS DIÁRIOS'!$O$5:$O$500,"&lt;=122279",'LANÇAMENTOS DIÁRIOS'!$P$5:$P$500,"&gt;=122180")&gt;0,"X","")</f>
      </c>
      <c r="AY98" s="56" t="str">
        <f>IF(COUNTIFS('LANÇAMENTOS DIÁRIOS'!$G$5:$G$500,"G",'LANÇAMENTOS DIÁRIOS'!$C$5:$C$500,$A98,'LANÇAMENTOS DIÁRIOS'!$O$5:$O$500,"&lt;=122379",'LANÇAMENTOS DIÁRIOS'!$P$5:$P$500,"&gt;=122280")&gt;0,"X","")</f>
      </c>
      <c r="AZ98" s="56" t="str">
        <f>IF(COUNTIFS('LANÇAMENTOS DIÁRIOS'!$G$5:$G$500,"G",'LANÇAMENTOS DIÁRIOS'!$C$5:$C$500,$A98,'LANÇAMENTOS DIÁRIOS'!$O$5:$O$500,"&lt;=122479",'LANÇAMENTOS DIÁRIOS'!$P$5:$P$500,"&gt;=122380")&gt;0,"X","")</f>
      </c>
      <c r="BA98" s="56" t="str">
        <f>IF(COUNTIFS('LANÇAMENTOS DIÁRIOS'!$G$5:$G$500,"G",'LANÇAMENTOS DIÁRIOS'!$C$5:$C$500,$A98,'LANÇAMENTOS DIÁRIOS'!$O$5:$O$500,"&lt;=122579",'LANÇAMENTOS DIÁRIOS'!$P$5:$P$500,"&gt;=122480")&gt;0,"X","")</f>
      </c>
      <c r="BB98" s="56" t="str">
        <f>IF(COUNTIFS('LANÇAMENTOS DIÁRIOS'!$G$5:$G$500,"G",'LANÇAMENTOS DIÁRIOS'!$C$5:$C$500,$A98,'LANÇAMENTOS DIÁRIOS'!$O$5:$O$500,"&lt;=122679",'LANÇAMENTOS DIÁRIOS'!$P$5:$P$500,"&gt;=122580")&gt;0,"X","")</f>
      </c>
      <c r="BC98" s="56" t="str">
        <f>IF(COUNTIFS('LANÇAMENTOS DIÁRIOS'!$G$5:$G$500,"G",'LANÇAMENTOS DIÁRIOS'!$C$5:$C$500,$A98,'LANÇAMENTOS DIÁRIOS'!$O$5:$O$500,"&lt;=122779",'LANÇAMENTOS DIÁRIOS'!$P$5:$P$500,"&gt;=122680")&gt;0,"X","")</f>
      </c>
      <c r="BD98" s="56" t="str">
        <f>IF(COUNTIFS('LANÇAMENTOS DIÁRIOS'!$G$5:$G$500,"G",'LANÇAMENTOS DIÁRIOS'!$C$5:$C$500,$A98,'LANÇAMENTOS DIÁRIOS'!$O$5:$O$500,"&lt;=122879",'LANÇAMENTOS DIÁRIOS'!$P$5:$P$500,"&gt;=122780")&gt;0,"X","")</f>
      </c>
      <c r="BE98" s="56" t="str">
        <f>IF(COUNTIFS('LANÇAMENTOS DIÁRIOS'!$G$5:$G$500,"G",'LANÇAMENTOS DIÁRIOS'!$C$5:$C$500,$A98,'LANÇAMENTOS DIÁRIOS'!$O$5:$O$500,"&lt;=122979",'LANÇAMENTOS DIÁRIOS'!$P$5:$P$500,"&gt;=122880")&gt;0,"X","")</f>
      </c>
      <c r="BF98" s="56" t="str">
        <f>IF(COUNTIFS('LANÇAMENTOS DIÁRIOS'!$G$5:$G$500,"G",'LANÇAMENTOS DIÁRIOS'!$C$5:$C$500,$A98,'LANÇAMENTOS DIÁRIOS'!$O$5:$O$500,"&lt;=123079",'LANÇAMENTOS DIÁRIOS'!$P$5:$P$500,"&gt;=122980")&gt;0,"X","")</f>
      </c>
      <c r="BG98" s="56" t="str">
        <f>IF(COUNTIFS('LANÇAMENTOS DIÁRIOS'!$G$5:$G$500,"G",'LANÇAMENTOS DIÁRIOS'!$C$5:$C$500,$A98,'LANÇAMENTOS DIÁRIOS'!$O$5:$O$500,"&lt;=123179",'LANÇAMENTOS DIÁRIOS'!$P$5:$P$500,"&gt;=123080")&gt;0,"X","")</f>
      </c>
      <c r="BH98" s="56" t="str">
        <f>IF(COUNTIFS('LANÇAMENTOS DIÁRIOS'!$G$5:$G$500,"G",'LANÇAMENTOS DIÁRIOS'!$C$5:$C$500,$A98,'LANÇAMENTOS DIÁRIOS'!$O$5:$O$500,"&lt;=123279",'LANÇAMENTOS DIÁRIOS'!$P$5:$P$500,"&gt;=123180")&gt;0,"X","")</f>
      </c>
      <c r="BI98" s="56" t="str">
        <f>IF(COUNTIFS('LANÇAMENTOS DIÁRIOS'!$G$5:$G$500,"G",'LANÇAMENTOS DIÁRIOS'!$C$5:$C$500,$A98,'LANÇAMENTOS DIÁRIOS'!$O$5:$O$500,"&lt;=123379",'LANÇAMENTOS DIÁRIOS'!$P$5:$P$500,"&gt;=123280")&gt;0,"X","")</f>
      </c>
      <c r="BJ98" s="56" t="str">
        <f>IF(COUNTIFS('LANÇAMENTOS DIÁRIOS'!$G$5:$G$500,"G",'LANÇAMENTOS DIÁRIOS'!$C$5:$C$500,$A98,'LANÇAMENTOS DIÁRIOS'!$O$5:$O$500,"&lt;=123479",'LANÇAMENTOS DIÁRIOS'!$P$5:$P$500,"&gt;=123380")&gt;0,"X","")</f>
      </c>
      <c r="BK98" s="56" t="str">
        <f>IF(COUNTIFS('LANÇAMENTOS DIÁRIOS'!$G$5:$G$500,"G",'LANÇAMENTOS DIÁRIOS'!$C$5:$C$500,$A98,'LANÇAMENTOS DIÁRIOS'!$O$5:$O$500,"&lt;=123480",'LANÇAMENTOS DIÁRIOS'!$P$5:$P$500,"&gt;=123480")&gt;0,"X","")</f>
      </c>
    </row>
    <row r="99" ht="21" customHeight="1">
      <c r="A99" s="60" t="str">
        <v>Obras complementares exigidas</v>
      </c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</row>
    <row r="100" ht="19" customHeight="1">
      <c r="A100" s="68" t="str">
        <v>Passagens de fauna e melhorias no habitat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</row>
    <row r="101">
      <c r="A101" s="51" t="str">
        <v>Passagem de fauna adaptada em bueiro</v>
      </c>
      <c r="B101" s="56" t="str">
        <f>IF(COUNTIFS('LANÇAMENTOS DIÁRIOS'!$G$5:$G$500,"G",'LANÇAMENTOS DIÁRIOS'!$C$5:$C$500,$A101,'LANÇAMENTOS DIÁRIOS'!$O$5:$O$500,"&lt;=117479",'LANÇAMENTOS DIÁRIOS'!$P$5:$P$500,"&gt;=117380")&gt;0,"X","")</f>
      </c>
      <c r="C101" s="56" t="str">
        <f>IF(COUNTIFS('LANÇAMENTOS DIÁRIOS'!$G$5:$G$500,"G",'LANÇAMENTOS DIÁRIOS'!$C$5:$C$500,$A101,'LANÇAMENTOS DIÁRIOS'!$O$5:$O$500,"&lt;=117579",'LANÇAMENTOS DIÁRIOS'!$P$5:$P$500,"&gt;=117480")&gt;0,"X","")</f>
      </c>
      <c r="D101" s="56" t="str">
        <f>IF(COUNTIFS('LANÇAMENTOS DIÁRIOS'!$G$5:$G$500,"G",'LANÇAMENTOS DIÁRIOS'!$C$5:$C$500,$A101,'LANÇAMENTOS DIÁRIOS'!$O$5:$O$500,"&lt;=117679",'LANÇAMENTOS DIÁRIOS'!$P$5:$P$500,"&gt;=117580")&gt;0,"X","")</f>
      </c>
      <c r="E101" s="56" t="str">
        <f>IF(COUNTIFS('LANÇAMENTOS DIÁRIOS'!$G$5:$G$500,"G",'LANÇAMENTOS DIÁRIOS'!$C$5:$C$500,$A101,'LANÇAMENTOS DIÁRIOS'!$O$5:$O$500,"&lt;=117779",'LANÇAMENTOS DIÁRIOS'!$P$5:$P$500,"&gt;=117680")&gt;0,"X","")</f>
      </c>
      <c r="F101" s="56" t="str">
        <f>IF(COUNTIFS('LANÇAMENTOS DIÁRIOS'!$G$5:$G$500,"G",'LANÇAMENTOS DIÁRIOS'!$C$5:$C$500,$A101,'LANÇAMENTOS DIÁRIOS'!$O$5:$O$500,"&lt;=117879",'LANÇAMENTOS DIÁRIOS'!$P$5:$P$500,"&gt;=117780")&gt;0,"X","")</f>
      </c>
      <c r="G101" s="56" t="str">
        <f>IF(COUNTIFS('LANÇAMENTOS DIÁRIOS'!$G$5:$G$500,"G",'LANÇAMENTOS DIÁRIOS'!$C$5:$C$500,$A101,'LANÇAMENTOS DIÁRIOS'!$O$5:$O$500,"&lt;=117979",'LANÇAMENTOS DIÁRIOS'!$P$5:$P$500,"&gt;=117880")&gt;0,"X","")</f>
      </c>
      <c r="H101" s="56" t="str">
        <f>IF(COUNTIFS('LANÇAMENTOS DIÁRIOS'!$G$5:$G$500,"G",'LANÇAMENTOS DIÁRIOS'!$C$5:$C$500,$A101,'LANÇAMENTOS DIÁRIOS'!$O$5:$O$500,"&lt;=118079",'LANÇAMENTOS DIÁRIOS'!$P$5:$P$500,"&gt;=117980")&gt;0,"X","")</f>
      </c>
      <c r="I101" s="56" t="str">
        <f>IF(COUNTIFS('LANÇAMENTOS DIÁRIOS'!$G$5:$G$500,"G",'LANÇAMENTOS DIÁRIOS'!$C$5:$C$500,$A101,'LANÇAMENTOS DIÁRIOS'!$O$5:$O$500,"&lt;=118179",'LANÇAMENTOS DIÁRIOS'!$P$5:$P$500,"&gt;=118080")&gt;0,"X","")</f>
      </c>
      <c r="J101" s="56" t="str">
        <f>IF(COUNTIFS('LANÇAMENTOS DIÁRIOS'!$G$5:$G$500,"G",'LANÇAMENTOS DIÁRIOS'!$C$5:$C$500,$A101,'LANÇAMENTOS DIÁRIOS'!$O$5:$O$500,"&lt;=118279",'LANÇAMENTOS DIÁRIOS'!$P$5:$P$500,"&gt;=118180")&gt;0,"X","")</f>
      </c>
      <c r="K101" s="56" t="str">
        <f>IF(COUNTIFS('LANÇAMENTOS DIÁRIOS'!$G$5:$G$500,"G",'LANÇAMENTOS DIÁRIOS'!$C$5:$C$500,$A101,'LANÇAMENTOS DIÁRIOS'!$O$5:$O$500,"&lt;=118379",'LANÇAMENTOS DIÁRIOS'!$P$5:$P$500,"&gt;=118280")&gt;0,"X","")</f>
      </c>
      <c r="L101" s="56" t="str">
        <f>IF(COUNTIFS('LANÇAMENTOS DIÁRIOS'!$G$5:$G$500,"G",'LANÇAMENTOS DIÁRIOS'!$C$5:$C$500,$A101,'LANÇAMENTOS DIÁRIOS'!$O$5:$O$500,"&lt;=118479",'LANÇAMENTOS DIÁRIOS'!$P$5:$P$500,"&gt;=118380")&gt;0,"X","")</f>
      </c>
      <c r="M101" s="56" t="str">
        <f>IF(COUNTIFS('LANÇAMENTOS DIÁRIOS'!$G$5:$G$500,"G",'LANÇAMENTOS DIÁRIOS'!$C$5:$C$500,$A101,'LANÇAMENTOS DIÁRIOS'!$O$5:$O$500,"&lt;=118579",'LANÇAMENTOS DIÁRIOS'!$P$5:$P$500,"&gt;=118480")&gt;0,"X","")</f>
      </c>
      <c r="N101" s="56" t="str">
        <f>IF(COUNTIFS('LANÇAMENTOS DIÁRIOS'!$G$5:$G$500,"G",'LANÇAMENTOS DIÁRIOS'!$C$5:$C$500,$A101,'LANÇAMENTOS DIÁRIOS'!$O$5:$O$500,"&lt;=118679",'LANÇAMENTOS DIÁRIOS'!$P$5:$P$500,"&gt;=118580")&gt;0,"X","")</f>
      </c>
      <c r="O101" s="56" t="str">
        <f>IF(COUNTIFS('LANÇAMENTOS DIÁRIOS'!$G$5:$G$500,"G",'LANÇAMENTOS DIÁRIOS'!$C$5:$C$500,$A101,'LANÇAMENTOS DIÁRIOS'!$O$5:$O$500,"&lt;=118779",'LANÇAMENTOS DIÁRIOS'!$P$5:$P$500,"&gt;=118680")&gt;0,"X","")</f>
      </c>
      <c r="P101" s="56" t="str">
        <f>IF(COUNTIFS('LANÇAMENTOS DIÁRIOS'!$G$5:$G$500,"G",'LANÇAMENTOS DIÁRIOS'!$C$5:$C$500,$A101,'LANÇAMENTOS DIÁRIOS'!$O$5:$O$500,"&lt;=118879",'LANÇAMENTOS DIÁRIOS'!$P$5:$P$500,"&gt;=118780")&gt;0,"X","")</f>
      </c>
      <c r="Q101" s="56" t="str">
        <f>IF(COUNTIFS('LANÇAMENTOS DIÁRIOS'!$G$5:$G$500,"G",'LANÇAMENTOS DIÁRIOS'!$C$5:$C$500,$A101,'LANÇAMENTOS DIÁRIOS'!$O$5:$O$500,"&lt;=118979",'LANÇAMENTOS DIÁRIOS'!$P$5:$P$500,"&gt;=118880")&gt;0,"X","")</f>
      </c>
      <c r="R101" s="56" t="str">
        <f>IF(COUNTIFS('LANÇAMENTOS DIÁRIOS'!$G$5:$G$500,"G",'LANÇAMENTOS DIÁRIOS'!$C$5:$C$500,$A101,'LANÇAMENTOS DIÁRIOS'!$O$5:$O$500,"&lt;=119079",'LANÇAMENTOS DIÁRIOS'!$P$5:$P$500,"&gt;=118980")&gt;0,"X","")</f>
      </c>
      <c r="S101" s="56" t="str">
        <f>IF(COUNTIFS('LANÇAMENTOS DIÁRIOS'!$G$5:$G$500,"G",'LANÇAMENTOS DIÁRIOS'!$C$5:$C$500,$A101,'LANÇAMENTOS DIÁRIOS'!$O$5:$O$500,"&lt;=119179",'LANÇAMENTOS DIÁRIOS'!$P$5:$P$500,"&gt;=119080")&gt;0,"X","")</f>
      </c>
      <c r="T101" s="56" t="str">
        <f>IF(COUNTIFS('LANÇAMENTOS DIÁRIOS'!$G$5:$G$500,"G",'LANÇAMENTOS DIÁRIOS'!$C$5:$C$500,$A101,'LANÇAMENTOS DIÁRIOS'!$O$5:$O$500,"&lt;=119279",'LANÇAMENTOS DIÁRIOS'!$P$5:$P$500,"&gt;=119180")&gt;0,"X","")</f>
      </c>
      <c r="U101" s="56" t="str">
        <f>IF(COUNTIFS('LANÇAMENTOS DIÁRIOS'!$G$5:$G$500,"G",'LANÇAMENTOS DIÁRIOS'!$C$5:$C$500,$A101,'LANÇAMENTOS DIÁRIOS'!$O$5:$O$500,"&lt;=119379",'LANÇAMENTOS DIÁRIOS'!$P$5:$P$500,"&gt;=119280")&gt;0,"X","")</f>
      </c>
      <c r="V101" s="56" t="str">
        <f>IF(COUNTIFS('LANÇAMENTOS DIÁRIOS'!$G$5:$G$500,"G",'LANÇAMENTOS DIÁRIOS'!$C$5:$C$500,$A101,'LANÇAMENTOS DIÁRIOS'!$O$5:$O$500,"&lt;=119479",'LANÇAMENTOS DIÁRIOS'!$P$5:$P$500,"&gt;=119380")&gt;0,"X","")</f>
      </c>
      <c r="W101" s="56" t="str">
        <f>IF(COUNTIFS('LANÇAMENTOS DIÁRIOS'!$G$5:$G$500,"G",'LANÇAMENTOS DIÁRIOS'!$C$5:$C$500,$A101,'LANÇAMENTOS DIÁRIOS'!$O$5:$O$500,"&lt;=119579",'LANÇAMENTOS DIÁRIOS'!$P$5:$P$500,"&gt;=119480")&gt;0,"X","")</f>
      </c>
      <c r="X101" s="56" t="str">
        <f>IF(COUNTIFS('LANÇAMENTOS DIÁRIOS'!$G$5:$G$500,"G",'LANÇAMENTOS DIÁRIOS'!$C$5:$C$500,$A101,'LANÇAMENTOS DIÁRIOS'!$O$5:$O$500,"&lt;=119679",'LANÇAMENTOS DIÁRIOS'!$P$5:$P$500,"&gt;=119580")&gt;0,"X","")</f>
      </c>
      <c r="Y101" s="56" t="str">
        <f>IF(COUNTIFS('LANÇAMENTOS DIÁRIOS'!$G$5:$G$500,"G",'LANÇAMENTOS DIÁRIOS'!$C$5:$C$500,$A101,'LANÇAMENTOS DIÁRIOS'!$O$5:$O$500,"&lt;=119779",'LANÇAMENTOS DIÁRIOS'!$P$5:$P$500,"&gt;=119680")&gt;0,"X","")</f>
      </c>
      <c r="Z101" s="56" t="str">
        <f>IF(COUNTIFS('LANÇAMENTOS DIÁRIOS'!$G$5:$G$500,"G",'LANÇAMENTOS DIÁRIOS'!$C$5:$C$500,$A101,'LANÇAMENTOS DIÁRIOS'!$O$5:$O$500,"&lt;=119879",'LANÇAMENTOS DIÁRIOS'!$P$5:$P$500,"&gt;=119780")&gt;0,"X","")</f>
      </c>
      <c r="AA101" s="56" t="str">
        <f>IF(COUNTIFS('LANÇAMENTOS DIÁRIOS'!$G$5:$G$500,"G",'LANÇAMENTOS DIÁRIOS'!$C$5:$C$500,$A101,'LANÇAMENTOS DIÁRIOS'!$O$5:$O$500,"&lt;=119979",'LANÇAMENTOS DIÁRIOS'!$P$5:$P$500,"&gt;=119880")&gt;0,"X","")</f>
      </c>
      <c r="AB101" s="56" t="str">
        <f>IF(COUNTIFS('LANÇAMENTOS DIÁRIOS'!$G$5:$G$500,"G",'LANÇAMENTOS DIÁRIOS'!$C$5:$C$500,$A101,'LANÇAMENTOS DIÁRIOS'!$O$5:$O$500,"&lt;=120079",'LANÇAMENTOS DIÁRIOS'!$P$5:$P$500,"&gt;=119980")&gt;0,"X","")</f>
      </c>
      <c r="AC101" s="56" t="str">
        <f>IF(COUNTIFS('LANÇAMENTOS DIÁRIOS'!$G$5:$G$500,"G",'LANÇAMENTOS DIÁRIOS'!$C$5:$C$500,$A101,'LANÇAMENTOS DIÁRIOS'!$O$5:$O$500,"&lt;=120179",'LANÇAMENTOS DIÁRIOS'!$P$5:$P$500,"&gt;=120080")&gt;0,"X","")</f>
      </c>
      <c r="AD101" s="56" t="str">
        <f>IF(COUNTIFS('LANÇAMENTOS DIÁRIOS'!$G$5:$G$500,"G",'LANÇAMENTOS DIÁRIOS'!$C$5:$C$500,$A101,'LANÇAMENTOS DIÁRIOS'!$O$5:$O$500,"&lt;=120279",'LANÇAMENTOS DIÁRIOS'!$P$5:$P$500,"&gt;=120180")&gt;0,"X","")</f>
      </c>
      <c r="AE101" s="56" t="str">
        <f>IF(COUNTIFS('LANÇAMENTOS DIÁRIOS'!$G$5:$G$500,"G",'LANÇAMENTOS DIÁRIOS'!$C$5:$C$500,$A101,'LANÇAMENTOS DIÁRIOS'!$O$5:$O$500,"&lt;=120379",'LANÇAMENTOS DIÁRIOS'!$P$5:$P$500,"&gt;=120280")&gt;0,"X","")</f>
      </c>
      <c r="AF101" s="56" t="str">
        <f>IF(COUNTIFS('LANÇAMENTOS DIÁRIOS'!$G$5:$G$500,"G",'LANÇAMENTOS DIÁRIOS'!$C$5:$C$500,$A101,'LANÇAMENTOS DIÁRIOS'!$O$5:$O$500,"&lt;=120479",'LANÇAMENTOS DIÁRIOS'!$P$5:$P$500,"&gt;=120380")&gt;0,"X","")</f>
      </c>
      <c r="AG101" s="56" t="str">
        <f>IF(COUNTIFS('LANÇAMENTOS DIÁRIOS'!$G$5:$G$500,"G",'LANÇAMENTOS DIÁRIOS'!$C$5:$C$500,$A101,'LANÇAMENTOS DIÁRIOS'!$O$5:$O$500,"&lt;=120579",'LANÇAMENTOS DIÁRIOS'!$P$5:$P$500,"&gt;=120480")&gt;0,"X","")</f>
      </c>
      <c r="AH101" s="56" t="str">
        <f>IF(COUNTIFS('LANÇAMENTOS DIÁRIOS'!$G$5:$G$500,"G",'LANÇAMENTOS DIÁRIOS'!$C$5:$C$500,$A101,'LANÇAMENTOS DIÁRIOS'!$O$5:$O$500,"&lt;=120679",'LANÇAMENTOS DIÁRIOS'!$P$5:$P$500,"&gt;=120580")&gt;0,"X","")</f>
      </c>
      <c r="AI101" s="56" t="str">
        <f>IF(COUNTIFS('LANÇAMENTOS DIÁRIOS'!$G$5:$G$500,"G",'LANÇAMENTOS DIÁRIOS'!$C$5:$C$500,$A101,'LANÇAMENTOS DIÁRIOS'!$O$5:$O$500,"&lt;=120779",'LANÇAMENTOS DIÁRIOS'!$P$5:$P$500,"&gt;=120680")&gt;0,"X","")</f>
      </c>
      <c r="AJ101" s="56" t="str">
        <f>IF(COUNTIFS('LANÇAMENTOS DIÁRIOS'!$G$5:$G$500,"G",'LANÇAMENTOS DIÁRIOS'!$C$5:$C$500,$A101,'LANÇAMENTOS DIÁRIOS'!$O$5:$O$500,"&lt;=120879",'LANÇAMENTOS DIÁRIOS'!$P$5:$P$500,"&gt;=120780")&gt;0,"X","")</f>
      </c>
      <c r="AK101" s="56" t="str">
        <f>IF(COUNTIFS('LANÇAMENTOS DIÁRIOS'!$G$5:$G$500,"G",'LANÇAMENTOS DIÁRIOS'!$C$5:$C$500,$A101,'LANÇAMENTOS DIÁRIOS'!$O$5:$O$500,"&lt;=120979",'LANÇAMENTOS DIÁRIOS'!$P$5:$P$500,"&gt;=120880")&gt;0,"X","")</f>
      </c>
      <c r="AL101" s="56" t="str">
        <f>IF(COUNTIFS('LANÇAMENTOS DIÁRIOS'!$G$5:$G$500,"G",'LANÇAMENTOS DIÁRIOS'!$C$5:$C$500,$A101,'LANÇAMENTOS DIÁRIOS'!$O$5:$O$500,"&lt;=121079",'LANÇAMENTOS DIÁRIOS'!$P$5:$P$500,"&gt;=120980")&gt;0,"X","")</f>
      </c>
      <c r="AM101" s="56" t="str">
        <f>IF(COUNTIFS('LANÇAMENTOS DIÁRIOS'!$G$5:$G$500,"G",'LANÇAMENTOS DIÁRIOS'!$C$5:$C$500,$A101,'LANÇAMENTOS DIÁRIOS'!$O$5:$O$500,"&lt;=121179",'LANÇAMENTOS DIÁRIOS'!$P$5:$P$500,"&gt;=121080")&gt;0,"X","")</f>
      </c>
      <c r="AN101" s="56" t="str">
        <f>IF(COUNTIFS('LANÇAMENTOS DIÁRIOS'!$G$5:$G$500,"G",'LANÇAMENTOS DIÁRIOS'!$C$5:$C$500,$A101,'LANÇAMENTOS DIÁRIOS'!$O$5:$O$500,"&lt;=121279",'LANÇAMENTOS DIÁRIOS'!$P$5:$P$500,"&gt;=121180")&gt;0,"X","")</f>
      </c>
      <c r="AO101" s="56" t="str">
        <f>IF(COUNTIFS('LANÇAMENTOS DIÁRIOS'!$G$5:$G$500,"G",'LANÇAMENTOS DIÁRIOS'!$C$5:$C$500,$A101,'LANÇAMENTOS DIÁRIOS'!$O$5:$O$500,"&lt;=121379",'LANÇAMENTOS DIÁRIOS'!$P$5:$P$500,"&gt;=121280")&gt;0,"X","")</f>
      </c>
      <c r="AP101" s="56" t="str">
        <f>IF(COUNTIFS('LANÇAMENTOS DIÁRIOS'!$G$5:$G$500,"G",'LANÇAMENTOS DIÁRIOS'!$C$5:$C$500,$A101,'LANÇAMENTOS DIÁRIOS'!$O$5:$O$500,"&lt;=121479",'LANÇAMENTOS DIÁRIOS'!$P$5:$P$500,"&gt;=121380")&gt;0,"X","")</f>
      </c>
      <c r="AQ101" s="56" t="str">
        <f>IF(COUNTIFS('LANÇAMENTOS DIÁRIOS'!$G$5:$G$500,"G",'LANÇAMENTOS DIÁRIOS'!$C$5:$C$500,$A101,'LANÇAMENTOS DIÁRIOS'!$O$5:$O$500,"&lt;=121579",'LANÇAMENTOS DIÁRIOS'!$P$5:$P$500,"&gt;=121480")&gt;0,"X","")</f>
      </c>
      <c r="AR101" s="56" t="str">
        <f>IF(COUNTIFS('LANÇAMENTOS DIÁRIOS'!$G$5:$G$500,"G",'LANÇAMENTOS DIÁRIOS'!$C$5:$C$500,$A101,'LANÇAMENTOS DIÁRIOS'!$O$5:$O$500,"&lt;=121679",'LANÇAMENTOS DIÁRIOS'!$P$5:$P$500,"&gt;=121580")&gt;0,"X","")</f>
      </c>
      <c r="AS101" s="56" t="str">
        <f>IF(COUNTIFS('LANÇAMENTOS DIÁRIOS'!$G$5:$G$500,"G",'LANÇAMENTOS DIÁRIOS'!$C$5:$C$500,$A101,'LANÇAMENTOS DIÁRIOS'!$O$5:$O$500,"&lt;=121779",'LANÇAMENTOS DIÁRIOS'!$P$5:$P$500,"&gt;=121680")&gt;0,"X","")</f>
      </c>
      <c r="AT101" s="56" t="str">
        <f>IF(COUNTIFS('LANÇAMENTOS DIÁRIOS'!$G$5:$G$500,"G",'LANÇAMENTOS DIÁRIOS'!$C$5:$C$500,$A101,'LANÇAMENTOS DIÁRIOS'!$O$5:$O$500,"&lt;=121879",'LANÇAMENTOS DIÁRIOS'!$P$5:$P$500,"&gt;=121780")&gt;0,"X","")</f>
      </c>
      <c r="AU101" s="56" t="str">
        <f>IF(COUNTIFS('LANÇAMENTOS DIÁRIOS'!$G$5:$G$500,"G",'LANÇAMENTOS DIÁRIOS'!$C$5:$C$500,$A101,'LANÇAMENTOS DIÁRIOS'!$O$5:$O$500,"&lt;=121979",'LANÇAMENTOS DIÁRIOS'!$P$5:$P$500,"&gt;=121880")&gt;0,"X","")</f>
      </c>
      <c r="AV101" s="56" t="str">
        <f>IF(COUNTIFS('LANÇAMENTOS DIÁRIOS'!$G$5:$G$500,"G",'LANÇAMENTOS DIÁRIOS'!$C$5:$C$500,$A101,'LANÇAMENTOS DIÁRIOS'!$O$5:$O$500,"&lt;=122079",'LANÇAMENTOS DIÁRIOS'!$P$5:$P$500,"&gt;=121980")&gt;0,"X","")</f>
      </c>
      <c r="AW101" s="56" t="str">
        <f>IF(COUNTIFS('LANÇAMENTOS DIÁRIOS'!$G$5:$G$500,"G",'LANÇAMENTOS DIÁRIOS'!$C$5:$C$500,$A101,'LANÇAMENTOS DIÁRIOS'!$O$5:$O$500,"&lt;=122179",'LANÇAMENTOS DIÁRIOS'!$P$5:$P$500,"&gt;=122080")&gt;0,"X","")</f>
      </c>
      <c r="AX101" s="56" t="str">
        <f>IF(COUNTIFS('LANÇAMENTOS DIÁRIOS'!$G$5:$G$500,"G",'LANÇAMENTOS DIÁRIOS'!$C$5:$C$500,$A101,'LANÇAMENTOS DIÁRIOS'!$O$5:$O$500,"&lt;=122279",'LANÇAMENTOS DIÁRIOS'!$P$5:$P$500,"&gt;=122180")&gt;0,"X","")</f>
      </c>
      <c r="AY101" s="56" t="str">
        <f>IF(COUNTIFS('LANÇAMENTOS DIÁRIOS'!$G$5:$G$500,"G",'LANÇAMENTOS DIÁRIOS'!$C$5:$C$500,$A101,'LANÇAMENTOS DIÁRIOS'!$O$5:$O$500,"&lt;=122379",'LANÇAMENTOS DIÁRIOS'!$P$5:$P$500,"&gt;=122280")&gt;0,"X","")</f>
      </c>
      <c r="AZ101" s="56" t="str">
        <f>IF(COUNTIFS('LANÇAMENTOS DIÁRIOS'!$G$5:$G$500,"G",'LANÇAMENTOS DIÁRIOS'!$C$5:$C$500,$A101,'LANÇAMENTOS DIÁRIOS'!$O$5:$O$500,"&lt;=122479",'LANÇAMENTOS DIÁRIOS'!$P$5:$P$500,"&gt;=122380")&gt;0,"X","")</f>
      </c>
      <c r="BA101" s="56" t="str">
        <f>IF(COUNTIFS('LANÇAMENTOS DIÁRIOS'!$G$5:$G$500,"G",'LANÇAMENTOS DIÁRIOS'!$C$5:$C$500,$A101,'LANÇAMENTOS DIÁRIOS'!$O$5:$O$500,"&lt;=122579",'LANÇAMENTOS DIÁRIOS'!$P$5:$P$500,"&gt;=122480")&gt;0,"X","")</f>
      </c>
      <c r="BB101" s="56" t="str">
        <f>IF(COUNTIFS('LANÇAMENTOS DIÁRIOS'!$G$5:$G$500,"G",'LANÇAMENTOS DIÁRIOS'!$C$5:$C$500,$A101,'LANÇAMENTOS DIÁRIOS'!$O$5:$O$500,"&lt;=122679",'LANÇAMENTOS DIÁRIOS'!$P$5:$P$500,"&gt;=122580")&gt;0,"X","")</f>
      </c>
      <c r="BC101" s="56" t="str">
        <f>IF(COUNTIFS('LANÇAMENTOS DIÁRIOS'!$G$5:$G$500,"G",'LANÇAMENTOS DIÁRIOS'!$C$5:$C$500,$A101,'LANÇAMENTOS DIÁRIOS'!$O$5:$O$500,"&lt;=122779",'LANÇAMENTOS DIÁRIOS'!$P$5:$P$500,"&gt;=122680")&gt;0,"X","")</f>
      </c>
      <c r="BD101" s="56" t="str">
        <f>IF(COUNTIFS('LANÇAMENTOS DIÁRIOS'!$G$5:$G$500,"G",'LANÇAMENTOS DIÁRIOS'!$C$5:$C$500,$A101,'LANÇAMENTOS DIÁRIOS'!$O$5:$O$500,"&lt;=122879",'LANÇAMENTOS DIÁRIOS'!$P$5:$P$500,"&gt;=122780")&gt;0,"X","")</f>
      </c>
      <c r="BE101" s="56" t="str">
        <f>IF(COUNTIFS('LANÇAMENTOS DIÁRIOS'!$G$5:$G$500,"G",'LANÇAMENTOS DIÁRIOS'!$C$5:$C$500,$A101,'LANÇAMENTOS DIÁRIOS'!$O$5:$O$500,"&lt;=122979",'LANÇAMENTOS DIÁRIOS'!$P$5:$P$500,"&gt;=122880")&gt;0,"X","")</f>
      </c>
      <c r="BF101" s="56" t="str">
        <f>IF(COUNTIFS('LANÇAMENTOS DIÁRIOS'!$G$5:$G$500,"G",'LANÇAMENTOS DIÁRIOS'!$C$5:$C$500,$A101,'LANÇAMENTOS DIÁRIOS'!$O$5:$O$500,"&lt;=123079",'LANÇAMENTOS DIÁRIOS'!$P$5:$P$500,"&gt;=122980")&gt;0,"X","")</f>
      </c>
      <c r="BG101" s="56" t="str">
        <f>IF(COUNTIFS('LANÇAMENTOS DIÁRIOS'!$G$5:$G$500,"G",'LANÇAMENTOS DIÁRIOS'!$C$5:$C$500,$A101,'LANÇAMENTOS DIÁRIOS'!$O$5:$O$500,"&lt;=123179",'LANÇAMENTOS DIÁRIOS'!$P$5:$P$500,"&gt;=123080")&gt;0,"X","")</f>
      </c>
      <c r="BH101" s="56" t="str">
        <f>IF(COUNTIFS('LANÇAMENTOS DIÁRIOS'!$G$5:$G$500,"G",'LANÇAMENTOS DIÁRIOS'!$C$5:$C$500,$A101,'LANÇAMENTOS DIÁRIOS'!$O$5:$O$500,"&lt;=123279",'LANÇAMENTOS DIÁRIOS'!$P$5:$P$500,"&gt;=123180")&gt;0,"X","")</f>
      </c>
      <c r="BI101" s="56" t="str">
        <f>IF(COUNTIFS('LANÇAMENTOS DIÁRIOS'!$G$5:$G$500,"G",'LANÇAMENTOS DIÁRIOS'!$C$5:$C$500,$A101,'LANÇAMENTOS DIÁRIOS'!$O$5:$O$500,"&lt;=123379",'LANÇAMENTOS DIÁRIOS'!$P$5:$P$500,"&gt;=123280")&gt;0,"X","")</f>
      </c>
      <c r="BJ101" s="56" t="str">
        <f>IF(COUNTIFS('LANÇAMENTOS DIÁRIOS'!$G$5:$G$500,"G",'LANÇAMENTOS DIÁRIOS'!$C$5:$C$500,$A101,'LANÇAMENTOS DIÁRIOS'!$O$5:$O$500,"&lt;=123479",'LANÇAMENTOS DIÁRIOS'!$P$5:$P$500,"&gt;=123380")&gt;0,"X","")</f>
      </c>
      <c r="BK101" s="56" t="str">
        <f>IF(COUNTIFS('LANÇAMENTOS DIÁRIOS'!$G$5:$G$500,"G",'LANÇAMENTOS DIÁRIOS'!$C$5:$C$500,$A101,'LANÇAMENTOS DIÁRIOS'!$O$5:$O$500,"&lt;=123480",'LANÇAMENTOS DIÁRIOS'!$P$5:$P$500,"&gt;=123480")&gt;0,"X","")</f>
      </c>
    </row>
    <row r="102" ht="21" customHeight="1">
      <c r="A102" s="60" t="str">
        <v>Segurança viária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</row>
    <row r="103" ht="19" customHeight="1">
      <c r="A103" s="68" t="str">
        <v>Instalação de barreira de concreto</v>
      </c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</row>
    <row r="104">
      <c r="A104" s="51" t="str">
        <v>Barreira rígida dupla baixa</v>
      </c>
      <c r="B104" s="56" t="str">
        <f>IF(COUNTIFS('LANÇAMENTOS DIÁRIOS'!$G$5:$G$500,"G",'LANÇAMENTOS DIÁRIOS'!$C$5:$C$500,$A104,'LANÇAMENTOS DIÁRIOS'!$O$5:$O$500,"&lt;=117479",'LANÇAMENTOS DIÁRIOS'!$P$5:$P$500,"&gt;=117380")&gt;0,"X","")</f>
      </c>
      <c r="C104" s="56" t="str">
        <f>IF(COUNTIFS('LANÇAMENTOS DIÁRIOS'!$G$5:$G$500,"G",'LANÇAMENTOS DIÁRIOS'!$C$5:$C$500,$A104,'LANÇAMENTOS DIÁRIOS'!$O$5:$O$500,"&lt;=117579",'LANÇAMENTOS DIÁRIOS'!$P$5:$P$500,"&gt;=117480")&gt;0,"X","")</f>
      </c>
      <c r="D104" s="56" t="str">
        <f>IF(COUNTIFS('LANÇAMENTOS DIÁRIOS'!$G$5:$G$500,"G",'LANÇAMENTOS DIÁRIOS'!$C$5:$C$500,$A104,'LANÇAMENTOS DIÁRIOS'!$O$5:$O$500,"&lt;=117679",'LANÇAMENTOS DIÁRIOS'!$P$5:$P$500,"&gt;=117580")&gt;0,"X","")</f>
      </c>
      <c r="E104" s="56" t="str">
        <f>IF(COUNTIFS('LANÇAMENTOS DIÁRIOS'!$G$5:$G$500,"G",'LANÇAMENTOS DIÁRIOS'!$C$5:$C$500,$A104,'LANÇAMENTOS DIÁRIOS'!$O$5:$O$500,"&lt;=117779",'LANÇAMENTOS DIÁRIOS'!$P$5:$P$500,"&gt;=117680")&gt;0,"X","")</f>
      </c>
      <c r="F104" s="56" t="str">
        <f>IF(COUNTIFS('LANÇAMENTOS DIÁRIOS'!$G$5:$G$500,"G",'LANÇAMENTOS DIÁRIOS'!$C$5:$C$500,$A104,'LANÇAMENTOS DIÁRIOS'!$O$5:$O$500,"&lt;=117879",'LANÇAMENTOS DIÁRIOS'!$P$5:$P$500,"&gt;=117780")&gt;0,"X","")</f>
      </c>
      <c r="G104" s="56" t="str">
        <f>IF(COUNTIFS('LANÇAMENTOS DIÁRIOS'!$G$5:$G$500,"G",'LANÇAMENTOS DIÁRIOS'!$C$5:$C$500,$A104,'LANÇAMENTOS DIÁRIOS'!$O$5:$O$500,"&lt;=117979",'LANÇAMENTOS DIÁRIOS'!$P$5:$P$500,"&gt;=117880")&gt;0,"X","")</f>
      </c>
      <c r="H104" s="56" t="str">
        <f>IF(COUNTIFS('LANÇAMENTOS DIÁRIOS'!$G$5:$G$500,"G",'LANÇAMENTOS DIÁRIOS'!$C$5:$C$500,$A104,'LANÇAMENTOS DIÁRIOS'!$O$5:$O$500,"&lt;=118079",'LANÇAMENTOS DIÁRIOS'!$P$5:$P$500,"&gt;=117980")&gt;0,"X","")</f>
      </c>
      <c r="I104" s="56" t="str">
        <f>IF(COUNTIFS('LANÇAMENTOS DIÁRIOS'!$G$5:$G$500,"G",'LANÇAMENTOS DIÁRIOS'!$C$5:$C$500,$A104,'LANÇAMENTOS DIÁRIOS'!$O$5:$O$500,"&lt;=118179",'LANÇAMENTOS DIÁRIOS'!$P$5:$P$500,"&gt;=118080")&gt;0,"X","")</f>
      </c>
      <c r="J104" s="56" t="str">
        <f>IF(COUNTIFS('LANÇAMENTOS DIÁRIOS'!$G$5:$G$500,"G",'LANÇAMENTOS DIÁRIOS'!$C$5:$C$500,$A104,'LANÇAMENTOS DIÁRIOS'!$O$5:$O$500,"&lt;=118279",'LANÇAMENTOS DIÁRIOS'!$P$5:$P$500,"&gt;=118180")&gt;0,"X","")</f>
      </c>
      <c r="K104" s="56" t="str">
        <f>IF(COUNTIFS('LANÇAMENTOS DIÁRIOS'!$G$5:$G$500,"G",'LANÇAMENTOS DIÁRIOS'!$C$5:$C$500,$A104,'LANÇAMENTOS DIÁRIOS'!$O$5:$O$500,"&lt;=118379",'LANÇAMENTOS DIÁRIOS'!$P$5:$P$500,"&gt;=118280")&gt;0,"X","")</f>
      </c>
      <c r="L104" s="56" t="str">
        <f>IF(COUNTIFS('LANÇAMENTOS DIÁRIOS'!$G$5:$G$500,"G",'LANÇAMENTOS DIÁRIOS'!$C$5:$C$500,$A104,'LANÇAMENTOS DIÁRIOS'!$O$5:$O$500,"&lt;=118479",'LANÇAMENTOS DIÁRIOS'!$P$5:$P$500,"&gt;=118380")&gt;0,"X","")</f>
      </c>
      <c r="M104" s="56" t="str">
        <f>IF(COUNTIFS('LANÇAMENTOS DIÁRIOS'!$G$5:$G$500,"G",'LANÇAMENTOS DIÁRIOS'!$C$5:$C$500,$A104,'LANÇAMENTOS DIÁRIOS'!$O$5:$O$500,"&lt;=118579",'LANÇAMENTOS DIÁRIOS'!$P$5:$P$500,"&gt;=118480")&gt;0,"X","")</f>
      </c>
      <c r="N104" s="56" t="str">
        <f>IF(COUNTIFS('LANÇAMENTOS DIÁRIOS'!$G$5:$G$500,"G",'LANÇAMENTOS DIÁRIOS'!$C$5:$C$500,$A104,'LANÇAMENTOS DIÁRIOS'!$O$5:$O$500,"&lt;=118679",'LANÇAMENTOS DIÁRIOS'!$P$5:$P$500,"&gt;=118580")&gt;0,"X","")</f>
      </c>
      <c r="O104" s="56" t="str">
        <f>IF(COUNTIFS('LANÇAMENTOS DIÁRIOS'!$G$5:$G$500,"G",'LANÇAMENTOS DIÁRIOS'!$C$5:$C$500,$A104,'LANÇAMENTOS DIÁRIOS'!$O$5:$O$500,"&lt;=118779",'LANÇAMENTOS DIÁRIOS'!$P$5:$P$500,"&gt;=118680")&gt;0,"X","")</f>
      </c>
      <c r="P104" s="56" t="str">
        <f>IF(COUNTIFS('LANÇAMENTOS DIÁRIOS'!$G$5:$G$500,"G",'LANÇAMENTOS DIÁRIOS'!$C$5:$C$500,$A104,'LANÇAMENTOS DIÁRIOS'!$O$5:$O$500,"&lt;=118879",'LANÇAMENTOS DIÁRIOS'!$P$5:$P$500,"&gt;=118780")&gt;0,"X","")</f>
      </c>
      <c r="Q104" s="56" t="str">
        <f>IF(COUNTIFS('LANÇAMENTOS DIÁRIOS'!$G$5:$G$500,"G",'LANÇAMENTOS DIÁRIOS'!$C$5:$C$500,$A104,'LANÇAMENTOS DIÁRIOS'!$O$5:$O$500,"&lt;=118979",'LANÇAMENTOS DIÁRIOS'!$P$5:$P$500,"&gt;=118880")&gt;0,"X","")</f>
      </c>
      <c r="R104" s="56" t="str">
        <f>IF(COUNTIFS('LANÇAMENTOS DIÁRIOS'!$G$5:$G$500,"G",'LANÇAMENTOS DIÁRIOS'!$C$5:$C$500,$A104,'LANÇAMENTOS DIÁRIOS'!$O$5:$O$500,"&lt;=119079",'LANÇAMENTOS DIÁRIOS'!$P$5:$P$500,"&gt;=118980")&gt;0,"X","")</f>
      </c>
      <c r="S104" s="56" t="str">
        <f>IF(COUNTIFS('LANÇAMENTOS DIÁRIOS'!$G$5:$G$500,"G",'LANÇAMENTOS DIÁRIOS'!$C$5:$C$500,$A104,'LANÇAMENTOS DIÁRIOS'!$O$5:$O$500,"&lt;=119179",'LANÇAMENTOS DIÁRIOS'!$P$5:$P$500,"&gt;=119080")&gt;0,"X","")</f>
      </c>
      <c r="T104" s="56" t="str">
        <f>IF(COUNTIFS('LANÇAMENTOS DIÁRIOS'!$G$5:$G$500,"G",'LANÇAMENTOS DIÁRIOS'!$C$5:$C$500,$A104,'LANÇAMENTOS DIÁRIOS'!$O$5:$O$500,"&lt;=119279",'LANÇAMENTOS DIÁRIOS'!$P$5:$P$500,"&gt;=119180")&gt;0,"X","")</f>
      </c>
      <c r="U104" s="56" t="str">
        <f>IF(COUNTIFS('LANÇAMENTOS DIÁRIOS'!$G$5:$G$500,"G",'LANÇAMENTOS DIÁRIOS'!$C$5:$C$500,$A104,'LANÇAMENTOS DIÁRIOS'!$O$5:$O$500,"&lt;=119379",'LANÇAMENTOS DIÁRIOS'!$P$5:$P$500,"&gt;=119280")&gt;0,"X","")</f>
      </c>
      <c r="V104" s="56" t="str">
        <f>IF(COUNTIFS('LANÇAMENTOS DIÁRIOS'!$G$5:$G$500,"G",'LANÇAMENTOS DIÁRIOS'!$C$5:$C$500,$A104,'LANÇAMENTOS DIÁRIOS'!$O$5:$O$500,"&lt;=119479",'LANÇAMENTOS DIÁRIOS'!$P$5:$P$500,"&gt;=119380")&gt;0,"X","")</f>
      </c>
      <c r="W104" s="56" t="str">
        <f>IF(COUNTIFS('LANÇAMENTOS DIÁRIOS'!$G$5:$G$500,"G",'LANÇAMENTOS DIÁRIOS'!$C$5:$C$500,$A104,'LANÇAMENTOS DIÁRIOS'!$O$5:$O$500,"&lt;=119579",'LANÇAMENTOS DIÁRIOS'!$P$5:$P$500,"&gt;=119480")&gt;0,"X","")</f>
      </c>
      <c r="X104" s="56" t="str">
        <f>IF(COUNTIFS('LANÇAMENTOS DIÁRIOS'!$G$5:$G$500,"G",'LANÇAMENTOS DIÁRIOS'!$C$5:$C$500,$A104,'LANÇAMENTOS DIÁRIOS'!$O$5:$O$500,"&lt;=119679",'LANÇAMENTOS DIÁRIOS'!$P$5:$P$500,"&gt;=119580")&gt;0,"X","")</f>
      </c>
      <c r="Y104" s="56" t="str">
        <f>IF(COUNTIFS('LANÇAMENTOS DIÁRIOS'!$G$5:$G$500,"G",'LANÇAMENTOS DIÁRIOS'!$C$5:$C$500,$A104,'LANÇAMENTOS DIÁRIOS'!$O$5:$O$500,"&lt;=119779",'LANÇAMENTOS DIÁRIOS'!$P$5:$P$500,"&gt;=119680")&gt;0,"X","")</f>
      </c>
      <c r="Z104" s="56" t="str">
        <f>IF(COUNTIFS('LANÇAMENTOS DIÁRIOS'!$G$5:$G$500,"G",'LANÇAMENTOS DIÁRIOS'!$C$5:$C$500,$A104,'LANÇAMENTOS DIÁRIOS'!$O$5:$O$500,"&lt;=119879",'LANÇAMENTOS DIÁRIOS'!$P$5:$P$500,"&gt;=119780")&gt;0,"X","")</f>
      </c>
      <c r="AA104" s="56" t="str">
        <f>IF(COUNTIFS('LANÇAMENTOS DIÁRIOS'!$G$5:$G$500,"G",'LANÇAMENTOS DIÁRIOS'!$C$5:$C$500,$A104,'LANÇAMENTOS DIÁRIOS'!$O$5:$O$500,"&lt;=119979",'LANÇAMENTOS DIÁRIOS'!$P$5:$P$500,"&gt;=119880")&gt;0,"X","")</f>
      </c>
      <c r="AB104" s="56" t="str">
        <f>IF(COUNTIFS('LANÇAMENTOS DIÁRIOS'!$G$5:$G$500,"G",'LANÇAMENTOS DIÁRIOS'!$C$5:$C$500,$A104,'LANÇAMENTOS DIÁRIOS'!$O$5:$O$500,"&lt;=120079",'LANÇAMENTOS DIÁRIOS'!$P$5:$P$500,"&gt;=119980")&gt;0,"X","")</f>
      </c>
      <c r="AC104" s="56" t="str">
        <f>IF(COUNTIFS('LANÇAMENTOS DIÁRIOS'!$G$5:$G$500,"G",'LANÇAMENTOS DIÁRIOS'!$C$5:$C$500,$A104,'LANÇAMENTOS DIÁRIOS'!$O$5:$O$500,"&lt;=120179",'LANÇAMENTOS DIÁRIOS'!$P$5:$P$500,"&gt;=120080")&gt;0,"X","")</f>
      </c>
      <c r="AD104" s="56" t="str">
        <f>IF(COUNTIFS('LANÇAMENTOS DIÁRIOS'!$G$5:$G$500,"G",'LANÇAMENTOS DIÁRIOS'!$C$5:$C$500,$A104,'LANÇAMENTOS DIÁRIOS'!$O$5:$O$500,"&lt;=120279",'LANÇAMENTOS DIÁRIOS'!$P$5:$P$500,"&gt;=120180")&gt;0,"X","")</f>
      </c>
      <c r="AE104" s="56" t="str">
        <f>IF(COUNTIFS('LANÇAMENTOS DIÁRIOS'!$G$5:$G$500,"G",'LANÇAMENTOS DIÁRIOS'!$C$5:$C$500,$A104,'LANÇAMENTOS DIÁRIOS'!$O$5:$O$500,"&lt;=120379",'LANÇAMENTOS DIÁRIOS'!$P$5:$P$500,"&gt;=120280")&gt;0,"X","")</f>
      </c>
      <c r="AF104" s="56" t="str">
        <f>IF(COUNTIFS('LANÇAMENTOS DIÁRIOS'!$G$5:$G$500,"G",'LANÇAMENTOS DIÁRIOS'!$C$5:$C$500,$A104,'LANÇAMENTOS DIÁRIOS'!$O$5:$O$500,"&lt;=120479",'LANÇAMENTOS DIÁRIOS'!$P$5:$P$500,"&gt;=120380")&gt;0,"X","")</f>
      </c>
      <c r="AG104" s="56" t="str">
        <f>IF(COUNTIFS('LANÇAMENTOS DIÁRIOS'!$G$5:$G$500,"G",'LANÇAMENTOS DIÁRIOS'!$C$5:$C$500,$A104,'LANÇAMENTOS DIÁRIOS'!$O$5:$O$500,"&lt;=120579",'LANÇAMENTOS DIÁRIOS'!$P$5:$P$500,"&gt;=120480")&gt;0,"X","")</f>
      </c>
      <c r="AH104" s="56" t="str">
        <f>IF(COUNTIFS('LANÇAMENTOS DIÁRIOS'!$G$5:$G$500,"G",'LANÇAMENTOS DIÁRIOS'!$C$5:$C$500,$A104,'LANÇAMENTOS DIÁRIOS'!$O$5:$O$500,"&lt;=120679",'LANÇAMENTOS DIÁRIOS'!$P$5:$P$500,"&gt;=120580")&gt;0,"X","")</f>
      </c>
      <c r="AI104" s="56" t="str">
        <f>IF(COUNTIFS('LANÇAMENTOS DIÁRIOS'!$G$5:$G$500,"G",'LANÇAMENTOS DIÁRIOS'!$C$5:$C$500,$A104,'LANÇAMENTOS DIÁRIOS'!$O$5:$O$500,"&lt;=120779",'LANÇAMENTOS DIÁRIOS'!$P$5:$P$500,"&gt;=120680")&gt;0,"X","")</f>
      </c>
      <c r="AJ104" s="56" t="str">
        <f>IF(COUNTIFS('LANÇAMENTOS DIÁRIOS'!$G$5:$G$500,"G",'LANÇAMENTOS DIÁRIOS'!$C$5:$C$500,$A104,'LANÇAMENTOS DIÁRIOS'!$O$5:$O$500,"&lt;=120879",'LANÇAMENTOS DIÁRIOS'!$P$5:$P$500,"&gt;=120780")&gt;0,"X","")</f>
      </c>
      <c r="AK104" s="56" t="str">
        <f>IF(COUNTIFS('LANÇAMENTOS DIÁRIOS'!$G$5:$G$500,"G",'LANÇAMENTOS DIÁRIOS'!$C$5:$C$500,$A104,'LANÇAMENTOS DIÁRIOS'!$O$5:$O$500,"&lt;=120979",'LANÇAMENTOS DIÁRIOS'!$P$5:$P$500,"&gt;=120880")&gt;0,"X","")</f>
      </c>
      <c r="AL104" s="56" t="str">
        <f>IF(COUNTIFS('LANÇAMENTOS DIÁRIOS'!$G$5:$G$500,"G",'LANÇAMENTOS DIÁRIOS'!$C$5:$C$500,$A104,'LANÇAMENTOS DIÁRIOS'!$O$5:$O$500,"&lt;=121079",'LANÇAMENTOS DIÁRIOS'!$P$5:$P$500,"&gt;=120980")&gt;0,"X","")</f>
      </c>
      <c r="AM104" s="56" t="str">
        <f>IF(COUNTIFS('LANÇAMENTOS DIÁRIOS'!$G$5:$G$500,"G",'LANÇAMENTOS DIÁRIOS'!$C$5:$C$500,$A104,'LANÇAMENTOS DIÁRIOS'!$O$5:$O$500,"&lt;=121179",'LANÇAMENTOS DIÁRIOS'!$P$5:$P$500,"&gt;=121080")&gt;0,"X","")</f>
      </c>
      <c r="AN104" s="56" t="str">
        <f>IF(COUNTIFS('LANÇAMENTOS DIÁRIOS'!$G$5:$G$500,"G",'LANÇAMENTOS DIÁRIOS'!$C$5:$C$500,$A104,'LANÇAMENTOS DIÁRIOS'!$O$5:$O$500,"&lt;=121279",'LANÇAMENTOS DIÁRIOS'!$P$5:$P$500,"&gt;=121180")&gt;0,"X","")</f>
      </c>
      <c r="AO104" s="56" t="str">
        <f>IF(COUNTIFS('LANÇAMENTOS DIÁRIOS'!$G$5:$G$500,"G",'LANÇAMENTOS DIÁRIOS'!$C$5:$C$500,$A104,'LANÇAMENTOS DIÁRIOS'!$O$5:$O$500,"&lt;=121379",'LANÇAMENTOS DIÁRIOS'!$P$5:$P$500,"&gt;=121280")&gt;0,"X","")</f>
      </c>
      <c r="AP104" s="56" t="str">
        <f>IF(COUNTIFS('LANÇAMENTOS DIÁRIOS'!$G$5:$G$500,"G",'LANÇAMENTOS DIÁRIOS'!$C$5:$C$500,$A104,'LANÇAMENTOS DIÁRIOS'!$O$5:$O$500,"&lt;=121479",'LANÇAMENTOS DIÁRIOS'!$P$5:$P$500,"&gt;=121380")&gt;0,"X","")</f>
      </c>
      <c r="AQ104" s="56" t="str">
        <f>IF(COUNTIFS('LANÇAMENTOS DIÁRIOS'!$G$5:$G$500,"G",'LANÇAMENTOS DIÁRIOS'!$C$5:$C$500,$A104,'LANÇAMENTOS DIÁRIOS'!$O$5:$O$500,"&lt;=121579",'LANÇAMENTOS DIÁRIOS'!$P$5:$P$500,"&gt;=121480")&gt;0,"X","")</f>
      </c>
      <c r="AR104" s="56" t="str">
        <f>IF(COUNTIFS('LANÇAMENTOS DIÁRIOS'!$G$5:$G$500,"G",'LANÇAMENTOS DIÁRIOS'!$C$5:$C$500,$A104,'LANÇAMENTOS DIÁRIOS'!$O$5:$O$500,"&lt;=121679",'LANÇAMENTOS DIÁRIOS'!$P$5:$P$500,"&gt;=121580")&gt;0,"X","")</f>
      </c>
      <c r="AS104" s="56" t="str">
        <f>IF(COUNTIFS('LANÇAMENTOS DIÁRIOS'!$G$5:$G$500,"G",'LANÇAMENTOS DIÁRIOS'!$C$5:$C$500,$A104,'LANÇAMENTOS DIÁRIOS'!$O$5:$O$500,"&lt;=121779",'LANÇAMENTOS DIÁRIOS'!$P$5:$P$500,"&gt;=121680")&gt;0,"X","")</f>
      </c>
      <c r="AT104" s="56" t="str">
        <f>IF(COUNTIFS('LANÇAMENTOS DIÁRIOS'!$G$5:$G$500,"G",'LANÇAMENTOS DIÁRIOS'!$C$5:$C$500,$A104,'LANÇAMENTOS DIÁRIOS'!$O$5:$O$500,"&lt;=121879",'LANÇAMENTOS DIÁRIOS'!$P$5:$P$500,"&gt;=121780")&gt;0,"X","")</f>
      </c>
      <c r="AU104" s="56" t="str">
        <f>IF(COUNTIFS('LANÇAMENTOS DIÁRIOS'!$G$5:$G$500,"G",'LANÇAMENTOS DIÁRIOS'!$C$5:$C$500,$A104,'LANÇAMENTOS DIÁRIOS'!$O$5:$O$500,"&lt;=121979",'LANÇAMENTOS DIÁRIOS'!$P$5:$P$500,"&gt;=121880")&gt;0,"X","")</f>
      </c>
      <c r="AV104" s="56" t="str">
        <f>IF(COUNTIFS('LANÇAMENTOS DIÁRIOS'!$G$5:$G$500,"G",'LANÇAMENTOS DIÁRIOS'!$C$5:$C$500,$A104,'LANÇAMENTOS DIÁRIOS'!$O$5:$O$500,"&lt;=122079",'LANÇAMENTOS DIÁRIOS'!$P$5:$P$500,"&gt;=121980")&gt;0,"X","")</f>
      </c>
      <c r="AW104" s="56" t="str">
        <f>IF(COUNTIFS('LANÇAMENTOS DIÁRIOS'!$G$5:$G$500,"G",'LANÇAMENTOS DIÁRIOS'!$C$5:$C$500,$A104,'LANÇAMENTOS DIÁRIOS'!$O$5:$O$500,"&lt;=122179",'LANÇAMENTOS DIÁRIOS'!$P$5:$P$500,"&gt;=122080")&gt;0,"X","")</f>
      </c>
      <c r="AX104" s="56" t="str">
        <f>IF(COUNTIFS('LANÇAMENTOS DIÁRIOS'!$G$5:$G$500,"G",'LANÇAMENTOS DIÁRIOS'!$C$5:$C$500,$A104,'LANÇAMENTOS DIÁRIOS'!$O$5:$O$500,"&lt;=122279",'LANÇAMENTOS DIÁRIOS'!$P$5:$P$500,"&gt;=122180")&gt;0,"X","")</f>
      </c>
      <c r="AY104" s="56" t="str">
        <f>IF(COUNTIFS('LANÇAMENTOS DIÁRIOS'!$G$5:$G$500,"G",'LANÇAMENTOS DIÁRIOS'!$C$5:$C$500,$A104,'LANÇAMENTOS DIÁRIOS'!$O$5:$O$500,"&lt;=122379",'LANÇAMENTOS DIÁRIOS'!$P$5:$P$500,"&gt;=122280")&gt;0,"X","")</f>
      </c>
      <c r="AZ104" s="56" t="str">
        <f>IF(COUNTIFS('LANÇAMENTOS DIÁRIOS'!$G$5:$G$500,"G",'LANÇAMENTOS DIÁRIOS'!$C$5:$C$500,$A104,'LANÇAMENTOS DIÁRIOS'!$O$5:$O$500,"&lt;=122479",'LANÇAMENTOS DIÁRIOS'!$P$5:$P$500,"&gt;=122380")&gt;0,"X","")</f>
      </c>
      <c r="BA104" s="56" t="str">
        <f>IF(COUNTIFS('LANÇAMENTOS DIÁRIOS'!$G$5:$G$500,"G",'LANÇAMENTOS DIÁRIOS'!$C$5:$C$500,$A104,'LANÇAMENTOS DIÁRIOS'!$O$5:$O$500,"&lt;=122579",'LANÇAMENTOS DIÁRIOS'!$P$5:$P$500,"&gt;=122480")&gt;0,"X","")</f>
      </c>
      <c r="BB104" s="56" t="str">
        <f>IF(COUNTIFS('LANÇAMENTOS DIÁRIOS'!$G$5:$G$500,"G",'LANÇAMENTOS DIÁRIOS'!$C$5:$C$500,$A104,'LANÇAMENTOS DIÁRIOS'!$O$5:$O$500,"&lt;=122679",'LANÇAMENTOS DIÁRIOS'!$P$5:$P$500,"&gt;=122580")&gt;0,"X","")</f>
      </c>
      <c r="BC104" s="56" t="str">
        <f>IF(COUNTIFS('LANÇAMENTOS DIÁRIOS'!$G$5:$G$500,"G",'LANÇAMENTOS DIÁRIOS'!$C$5:$C$500,$A104,'LANÇAMENTOS DIÁRIOS'!$O$5:$O$500,"&lt;=122779",'LANÇAMENTOS DIÁRIOS'!$P$5:$P$500,"&gt;=122680")&gt;0,"X","")</f>
      </c>
      <c r="BD104" s="56" t="str">
        <f>IF(COUNTIFS('LANÇAMENTOS DIÁRIOS'!$G$5:$G$500,"G",'LANÇAMENTOS DIÁRIOS'!$C$5:$C$500,$A104,'LANÇAMENTOS DIÁRIOS'!$O$5:$O$500,"&lt;=122879",'LANÇAMENTOS DIÁRIOS'!$P$5:$P$500,"&gt;=122780")&gt;0,"X","")</f>
      </c>
      <c r="BE104" s="56" t="str">
        <f>IF(COUNTIFS('LANÇAMENTOS DIÁRIOS'!$G$5:$G$500,"G",'LANÇAMENTOS DIÁRIOS'!$C$5:$C$500,$A104,'LANÇAMENTOS DIÁRIOS'!$O$5:$O$500,"&lt;=122979",'LANÇAMENTOS DIÁRIOS'!$P$5:$P$500,"&gt;=122880")&gt;0,"X","")</f>
      </c>
      <c r="BF104" s="56" t="str">
        <f>IF(COUNTIFS('LANÇAMENTOS DIÁRIOS'!$G$5:$G$500,"G",'LANÇAMENTOS DIÁRIOS'!$C$5:$C$500,$A104,'LANÇAMENTOS DIÁRIOS'!$O$5:$O$500,"&lt;=123079",'LANÇAMENTOS DIÁRIOS'!$P$5:$P$500,"&gt;=122980")&gt;0,"X","")</f>
      </c>
      <c r="BG104" s="56" t="str">
        <f>IF(COUNTIFS('LANÇAMENTOS DIÁRIOS'!$G$5:$G$500,"G",'LANÇAMENTOS DIÁRIOS'!$C$5:$C$500,$A104,'LANÇAMENTOS DIÁRIOS'!$O$5:$O$500,"&lt;=123179",'LANÇAMENTOS DIÁRIOS'!$P$5:$P$500,"&gt;=123080")&gt;0,"X","")</f>
      </c>
      <c r="BH104" s="56" t="str">
        <f>IF(COUNTIFS('LANÇAMENTOS DIÁRIOS'!$G$5:$G$500,"G",'LANÇAMENTOS DIÁRIOS'!$C$5:$C$500,$A104,'LANÇAMENTOS DIÁRIOS'!$O$5:$O$500,"&lt;=123279",'LANÇAMENTOS DIÁRIOS'!$P$5:$P$500,"&gt;=123180")&gt;0,"X","")</f>
      </c>
      <c r="BI104" s="56" t="str">
        <f>IF(COUNTIFS('LANÇAMENTOS DIÁRIOS'!$G$5:$G$500,"G",'LANÇAMENTOS DIÁRIOS'!$C$5:$C$500,$A104,'LANÇAMENTOS DIÁRIOS'!$O$5:$O$500,"&lt;=123379",'LANÇAMENTOS DIÁRIOS'!$P$5:$P$500,"&gt;=123280")&gt;0,"X","")</f>
      </c>
      <c r="BJ104" s="56" t="str">
        <f>IF(COUNTIFS('LANÇAMENTOS DIÁRIOS'!$G$5:$G$500,"G",'LANÇAMENTOS DIÁRIOS'!$C$5:$C$500,$A104,'LANÇAMENTOS DIÁRIOS'!$O$5:$O$500,"&lt;=123479",'LANÇAMENTOS DIÁRIOS'!$P$5:$P$500,"&gt;=123380")&gt;0,"X","")</f>
      </c>
      <c r="BK104" s="56" t="str">
        <f>IF(COUNTIFS('LANÇAMENTOS DIÁRIOS'!$G$5:$G$500,"G",'LANÇAMENTOS DIÁRIOS'!$C$5:$C$500,$A104,'LANÇAMENTOS DIÁRIOS'!$O$5:$O$500,"&lt;=123480",'LANÇAMENTOS DIÁRIOS'!$P$5:$P$500,"&gt;=123480")&gt;0,"X","")</f>
      </c>
    </row>
    <row r="105">
      <c r="A105" s="51" t="str">
        <v>Barreira rígida simples baixa</v>
      </c>
      <c r="B105" s="56" t="str">
        <f>IF(COUNTIFS('LANÇAMENTOS DIÁRIOS'!$G$5:$G$500,"G",'LANÇAMENTOS DIÁRIOS'!$C$5:$C$500,$A105,'LANÇAMENTOS DIÁRIOS'!$O$5:$O$500,"&lt;=117479",'LANÇAMENTOS DIÁRIOS'!$P$5:$P$500,"&gt;=117380")&gt;0,"X","")</f>
      </c>
      <c r="C105" s="56" t="str">
        <f>IF(COUNTIFS('LANÇAMENTOS DIÁRIOS'!$G$5:$G$500,"G",'LANÇAMENTOS DIÁRIOS'!$C$5:$C$500,$A105,'LANÇAMENTOS DIÁRIOS'!$O$5:$O$500,"&lt;=117579",'LANÇAMENTOS DIÁRIOS'!$P$5:$P$500,"&gt;=117480")&gt;0,"X","")</f>
      </c>
      <c r="D105" s="56" t="str">
        <f>IF(COUNTIFS('LANÇAMENTOS DIÁRIOS'!$G$5:$G$500,"G",'LANÇAMENTOS DIÁRIOS'!$C$5:$C$500,$A105,'LANÇAMENTOS DIÁRIOS'!$O$5:$O$500,"&lt;=117679",'LANÇAMENTOS DIÁRIOS'!$P$5:$P$500,"&gt;=117580")&gt;0,"X","")</f>
      </c>
      <c r="E105" s="56" t="str">
        <f>IF(COUNTIFS('LANÇAMENTOS DIÁRIOS'!$G$5:$G$500,"G",'LANÇAMENTOS DIÁRIOS'!$C$5:$C$500,$A105,'LANÇAMENTOS DIÁRIOS'!$O$5:$O$500,"&lt;=117779",'LANÇAMENTOS DIÁRIOS'!$P$5:$P$500,"&gt;=117680")&gt;0,"X","")</f>
      </c>
      <c r="F105" s="56" t="str">
        <f>IF(COUNTIFS('LANÇAMENTOS DIÁRIOS'!$G$5:$G$500,"G",'LANÇAMENTOS DIÁRIOS'!$C$5:$C$500,$A105,'LANÇAMENTOS DIÁRIOS'!$O$5:$O$500,"&lt;=117879",'LANÇAMENTOS DIÁRIOS'!$P$5:$P$500,"&gt;=117780")&gt;0,"X","")</f>
      </c>
      <c r="G105" s="56" t="str">
        <f>IF(COUNTIFS('LANÇAMENTOS DIÁRIOS'!$G$5:$G$500,"G",'LANÇAMENTOS DIÁRIOS'!$C$5:$C$500,$A105,'LANÇAMENTOS DIÁRIOS'!$O$5:$O$500,"&lt;=117979",'LANÇAMENTOS DIÁRIOS'!$P$5:$P$500,"&gt;=117880")&gt;0,"X","")</f>
      </c>
      <c r="H105" s="56" t="str">
        <f>IF(COUNTIFS('LANÇAMENTOS DIÁRIOS'!$G$5:$G$500,"G",'LANÇAMENTOS DIÁRIOS'!$C$5:$C$500,$A105,'LANÇAMENTOS DIÁRIOS'!$O$5:$O$500,"&lt;=118079",'LANÇAMENTOS DIÁRIOS'!$P$5:$P$500,"&gt;=117980")&gt;0,"X","")</f>
      </c>
      <c r="I105" s="56" t="str">
        <f>IF(COUNTIFS('LANÇAMENTOS DIÁRIOS'!$G$5:$G$500,"G",'LANÇAMENTOS DIÁRIOS'!$C$5:$C$500,$A105,'LANÇAMENTOS DIÁRIOS'!$O$5:$O$500,"&lt;=118179",'LANÇAMENTOS DIÁRIOS'!$P$5:$P$500,"&gt;=118080")&gt;0,"X","")</f>
      </c>
      <c r="J105" s="56" t="str">
        <f>IF(COUNTIFS('LANÇAMENTOS DIÁRIOS'!$G$5:$G$500,"G",'LANÇAMENTOS DIÁRIOS'!$C$5:$C$500,$A105,'LANÇAMENTOS DIÁRIOS'!$O$5:$O$500,"&lt;=118279",'LANÇAMENTOS DIÁRIOS'!$P$5:$P$500,"&gt;=118180")&gt;0,"X","")</f>
      </c>
      <c r="K105" s="56" t="str">
        <f>IF(COUNTIFS('LANÇAMENTOS DIÁRIOS'!$G$5:$G$500,"G",'LANÇAMENTOS DIÁRIOS'!$C$5:$C$500,$A105,'LANÇAMENTOS DIÁRIOS'!$O$5:$O$500,"&lt;=118379",'LANÇAMENTOS DIÁRIOS'!$P$5:$P$500,"&gt;=118280")&gt;0,"X","")</f>
      </c>
      <c r="L105" s="56" t="str">
        <f>IF(COUNTIFS('LANÇAMENTOS DIÁRIOS'!$G$5:$G$500,"G",'LANÇAMENTOS DIÁRIOS'!$C$5:$C$500,$A105,'LANÇAMENTOS DIÁRIOS'!$O$5:$O$500,"&lt;=118479",'LANÇAMENTOS DIÁRIOS'!$P$5:$P$500,"&gt;=118380")&gt;0,"X","")</f>
      </c>
      <c r="M105" s="56" t="str">
        <f>IF(COUNTIFS('LANÇAMENTOS DIÁRIOS'!$G$5:$G$500,"G",'LANÇAMENTOS DIÁRIOS'!$C$5:$C$500,$A105,'LANÇAMENTOS DIÁRIOS'!$O$5:$O$500,"&lt;=118579",'LANÇAMENTOS DIÁRIOS'!$P$5:$P$500,"&gt;=118480")&gt;0,"X","")</f>
      </c>
      <c r="N105" s="56" t="str">
        <f>IF(COUNTIFS('LANÇAMENTOS DIÁRIOS'!$G$5:$G$500,"G",'LANÇAMENTOS DIÁRIOS'!$C$5:$C$500,$A105,'LANÇAMENTOS DIÁRIOS'!$O$5:$O$500,"&lt;=118679",'LANÇAMENTOS DIÁRIOS'!$P$5:$P$500,"&gt;=118580")&gt;0,"X","")</f>
      </c>
      <c r="O105" s="56" t="str">
        <f>IF(COUNTIFS('LANÇAMENTOS DIÁRIOS'!$G$5:$G$500,"G",'LANÇAMENTOS DIÁRIOS'!$C$5:$C$500,$A105,'LANÇAMENTOS DIÁRIOS'!$O$5:$O$500,"&lt;=118779",'LANÇAMENTOS DIÁRIOS'!$P$5:$P$500,"&gt;=118680")&gt;0,"X","")</f>
      </c>
      <c r="P105" s="56" t="str">
        <f>IF(COUNTIFS('LANÇAMENTOS DIÁRIOS'!$G$5:$G$500,"G",'LANÇAMENTOS DIÁRIOS'!$C$5:$C$500,$A105,'LANÇAMENTOS DIÁRIOS'!$O$5:$O$500,"&lt;=118879",'LANÇAMENTOS DIÁRIOS'!$P$5:$P$500,"&gt;=118780")&gt;0,"X","")</f>
      </c>
      <c r="Q105" s="56" t="str">
        <f>IF(COUNTIFS('LANÇAMENTOS DIÁRIOS'!$G$5:$G$500,"G",'LANÇAMENTOS DIÁRIOS'!$C$5:$C$500,$A105,'LANÇAMENTOS DIÁRIOS'!$O$5:$O$500,"&lt;=118979",'LANÇAMENTOS DIÁRIOS'!$P$5:$P$500,"&gt;=118880")&gt;0,"X","")</f>
      </c>
      <c r="R105" s="56" t="str">
        <f>IF(COUNTIFS('LANÇAMENTOS DIÁRIOS'!$G$5:$G$500,"G",'LANÇAMENTOS DIÁRIOS'!$C$5:$C$500,$A105,'LANÇAMENTOS DIÁRIOS'!$O$5:$O$500,"&lt;=119079",'LANÇAMENTOS DIÁRIOS'!$P$5:$P$500,"&gt;=118980")&gt;0,"X","")</f>
      </c>
      <c r="S105" s="56" t="str">
        <f>IF(COUNTIFS('LANÇAMENTOS DIÁRIOS'!$G$5:$G$500,"G",'LANÇAMENTOS DIÁRIOS'!$C$5:$C$500,$A105,'LANÇAMENTOS DIÁRIOS'!$O$5:$O$500,"&lt;=119179",'LANÇAMENTOS DIÁRIOS'!$P$5:$P$500,"&gt;=119080")&gt;0,"X","")</f>
      </c>
      <c r="T105" s="56" t="str">
        <f>IF(COUNTIFS('LANÇAMENTOS DIÁRIOS'!$G$5:$G$500,"G",'LANÇAMENTOS DIÁRIOS'!$C$5:$C$500,$A105,'LANÇAMENTOS DIÁRIOS'!$O$5:$O$500,"&lt;=119279",'LANÇAMENTOS DIÁRIOS'!$P$5:$P$500,"&gt;=119180")&gt;0,"X","")</f>
      </c>
      <c r="U105" s="56" t="str">
        <f>IF(COUNTIFS('LANÇAMENTOS DIÁRIOS'!$G$5:$G$500,"G",'LANÇAMENTOS DIÁRIOS'!$C$5:$C$500,$A105,'LANÇAMENTOS DIÁRIOS'!$O$5:$O$500,"&lt;=119379",'LANÇAMENTOS DIÁRIOS'!$P$5:$P$500,"&gt;=119280")&gt;0,"X","")</f>
      </c>
      <c r="V105" s="56" t="str">
        <f>IF(COUNTIFS('LANÇAMENTOS DIÁRIOS'!$G$5:$G$500,"G",'LANÇAMENTOS DIÁRIOS'!$C$5:$C$500,$A105,'LANÇAMENTOS DIÁRIOS'!$O$5:$O$500,"&lt;=119479",'LANÇAMENTOS DIÁRIOS'!$P$5:$P$500,"&gt;=119380")&gt;0,"X","")</f>
      </c>
      <c r="W105" s="56" t="str">
        <f>IF(COUNTIFS('LANÇAMENTOS DIÁRIOS'!$G$5:$G$500,"G",'LANÇAMENTOS DIÁRIOS'!$C$5:$C$500,$A105,'LANÇAMENTOS DIÁRIOS'!$O$5:$O$500,"&lt;=119579",'LANÇAMENTOS DIÁRIOS'!$P$5:$P$500,"&gt;=119480")&gt;0,"X","")</f>
      </c>
      <c r="X105" s="56" t="str">
        <f>IF(COUNTIFS('LANÇAMENTOS DIÁRIOS'!$G$5:$G$500,"G",'LANÇAMENTOS DIÁRIOS'!$C$5:$C$500,$A105,'LANÇAMENTOS DIÁRIOS'!$O$5:$O$500,"&lt;=119679",'LANÇAMENTOS DIÁRIOS'!$P$5:$P$500,"&gt;=119580")&gt;0,"X","")</f>
      </c>
      <c r="Y105" s="56" t="str">
        <f>IF(COUNTIFS('LANÇAMENTOS DIÁRIOS'!$G$5:$G$500,"G",'LANÇAMENTOS DIÁRIOS'!$C$5:$C$500,$A105,'LANÇAMENTOS DIÁRIOS'!$O$5:$O$500,"&lt;=119779",'LANÇAMENTOS DIÁRIOS'!$P$5:$P$500,"&gt;=119680")&gt;0,"X","")</f>
      </c>
      <c r="Z105" s="56" t="str">
        <f>IF(COUNTIFS('LANÇAMENTOS DIÁRIOS'!$G$5:$G$500,"G",'LANÇAMENTOS DIÁRIOS'!$C$5:$C$500,$A105,'LANÇAMENTOS DIÁRIOS'!$O$5:$O$500,"&lt;=119879",'LANÇAMENTOS DIÁRIOS'!$P$5:$P$500,"&gt;=119780")&gt;0,"X","")</f>
      </c>
      <c r="AA105" s="56" t="str">
        <f>IF(COUNTIFS('LANÇAMENTOS DIÁRIOS'!$G$5:$G$500,"G",'LANÇAMENTOS DIÁRIOS'!$C$5:$C$500,$A105,'LANÇAMENTOS DIÁRIOS'!$O$5:$O$500,"&lt;=119979",'LANÇAMENTOS DIÁRIOS'!$P$5:$P$500,"&gt;=119880")&gt;0,"X","")</f>
      </c>
      <c r="AB105" s="56" t="str">
        <f>IF(COUNTIFS('LANÇAMENTOS DIÁRIOS'!$G$5:$G$500,"G",'LANÇAMENTOS DIÁRIOS'!$C$5:$C$500,$A105,'LANÇAMENTOS DIÁRIOS'!$O$5:$O$500,"&lt;=120079",'LANÇAMENTOS DIÁRIOS'!$P$5:$P$500,"&gt;=119980")&gt;0,"X","")</f>
      </c>
      <c r="AC105" s="56" t="str">
        <f>IF(COUNTIFS('LANÇAMENTOS DIÁRIOS'!$G$5:$G$500,"G",'LANÇAMENTOS DIÁRIOS'!$C$5:$C$500,$A105,'LANÇAMENTOS DIÁRIOS'!$O$5:$O$500,"&lt;=120179",'LANÇAMENTOS DIÁRIOS'!$P$5:$P$500,"&gt;=120080")&gt;0,"X","")</f>
      </c>
      <c r="AD105" s="56" t="str">
        <f>IF(COUNTIFS('LANÇAMENTOS DIÁRIOS'!$G$5:$G$500,"G",'LANÇAMENTOS DIÁRIOS'!$C$5:$C$500,$A105,'LANÇAMENTOS DIÁRIOS'!$O$5:$O$500,"&lt;=120279",'LANÇAMENTOS DIÁRIOS'!$P$5:$P$500,"&gt;=120180")&gt;0,"X","")</f>
      </c>
      <c r="AE105" s="56" t="str">
        <f>IF(COUNTIFS('LANÇAMENTOS DIÁRIOS'!$G$5:$G$500,"G",'LANÇAMENTOS DIÁRIOS'!$C$5:$C$500,$A105,'LANÇAMENTOS DIÁRIOS'!$O$5:$O$500,"&lt;=120379",'LANÇAMENTOS DIÁRIOS'!$P$5:$P$500,"&gt;=120280")&gt;0,"X","")</f>
      </c>
      <c r="AF105" s="56" t="str">
        <f>IF(COUNTIFS('LANÇAMENTOS DIÁRIOS'!$G$5:$G$500,"G",'LANÇAMENTOS DIÁRIOS'!$C$5:$C$500,$A105,'LANÇAMENTOS DIÁRIOS'!$O$5:$O$500,"&lt;=120479",'LANÇAMENTOS DIÁRIOS'!$P$5:$P$500,"&gt;=120380")&gt;0,"X","")</f>
      </c>
      <c r="AG105" s="56" t="str">
        <f>IF(COUNTIFS('LANÇAMENTOS DIÁRIOS'!$G$5:$G$500,"G",'LANÇAMENTOS DIÁRIOS'!$C$5:$C$500,$A105,'LANÇAMENTOS DIÁRIOS'!$O$5:$O$500,"&lt;=120579",'LANÇAMENTOS DIÁRIOS'!$P$5:$P$500,"&gt;=120480")&gt;0,"X","")</f>
      </c>
      <c r="AH105" s="56" t="str">
        <f>IF(COUNTIFS('LANÇAMENTOS DIÁRIOS'!$G$5:$G$500,"G",'LANÇAMENTOS DIÁRIOS'!$C$5:$C$500,$A105,'LANÇAMENTOS DIÁRIOS'!$O$5:$O$500,"&lt;=120679",'LANÇAMENTOS DIÁRIOS'!$P$5:$P$500,"&gt;=120580")&gt;0,"X","")</f>
      </c>
      <c r="AI105" s="56" t="str">
        <f>IF(COUNTIFS('LANÇAMENTOS DIÁRIOS'!$G$5:$G$500,"G",'LANÇAMENTOS DIÁRIOS'!$C$5:$C$500,$A105,'LANÇAMENTOS DIÁRIOS'!$O$5:$O$500,"&lt;=120779",'LANÇAMENTOS DIÁRIOS'!$P$5:$P$500,"&gt;=120680")&gt;0,"X","")</f>
      </c>
      <c r="AJ105" s="56" t="str">
        <f>IF(COUNTIFS('LANÇAMENTOS DIÁRIOS'!$G$5:$G$500,"G",'LANÇAMENTOS DIÁRIOS'!$C$5:$C$500,$A105,'LANÇAMENTOS DIÁRIOS'!$O$5:$O$500,"&lt;=120879",'LANÇAMENTOS DIÁRIOS'!$P$5:$P$500,"&gt;=120780")&gt;0,"X","")</f>
      </c>
      <c r="AK105" s="56" t="str">
        <f>IF(COUNTIFS('LANÇAMENTOS DIÁRIOS'!$G$5:$G$500,"G",'LANÇAMENTOS DIÁRIOS'!$C$5:$C$500,$A105,'LANÇAMENTOS DIÁRIOS'!$O$5:$O$500,"&lt;=120979",'LANÇAMENTOS DIÁRIOS'!$P$5:$P$500,"&gt;=120880")&gt;0,"X","")</f>
      </c>
      <c r="AL105" s="56" t="str">
        <f>IF(COUNTIFS('LANÇAMENTOS DIÁRIOS'!$G$5:$G$500,"G",'LANÇAMENTOS DIÁRIOS'!$C$5:$C$500,$A105,'LANÇAMENTOS DIÁRIOS'!$O$5:$O$500,"&lt;=121079",'LANÇAMENTOS DIÁRIOS'!$P$5:$P$500,"&gt;=120980")&gt;0,"X","")</f>
      </c>
      <c r="AM105" s="56" t="str">
        <f>IF(COUNTIFS('LANÇAMENTOS DIÁRIOS'!$G$5:$G$500,"G",'LANÇAMENTOS DIÁRIOS'!$C$5:$C$500,$A105,'LANÇAMENTOS DIÁRIOS'!$O$5:$O$500,"&lt;=121179",'LANÇAMENTOS DIÁRIOS'!$P$5:$P$500,"&gt;=121080")&gt;0,"X","")</f>
      </c>
      <c r="AN105" s="56" t="str">
        <f>IF(COUNTIFS('LANÇAMENTOS DIÁRIOS'!$G$5:$G$500,"G",'LANÇAMENTOS DIÁRIOS'!$C$5:$C$500,$A105,'LANÇAMENTOS DIÁRIOS'!$O$5:$O$500,"&lt;=121279",'LANÇAMENTOS DIÁRIOS'!$P$5:$P$500,"&gt;=121180")&gt;0,"X","")</f>
      </c>
      <c r="AO105" s="56" t="str">
        <f>IF(COUNTIFS('LANÇAMENTOS DIÁRIOS'!$G$5:$G$500,"G",'LANÇAMENTOS DIÁRIOS'!$C$5:$C$500,$A105,'LANÇAMENTOS DIÁRIOS'!$O$5:$O$500,"&lt;=121379",'LANÇAMENTOS DIÁRIOS'!$P$5:$P$500,"&gt;=121280")&gt;0,"X","")</f>
      </c>
      <c r="AP105" s="56" t="str">
        <f>IF(COUNTIFS('LANÇAMENTOS DIÁRIOS'!$G$5:$G$500,"G",'LANÇAMENTOS DIÁRIOS'!$C$5:$C$500,$A105,'LANÇAMENTOS DIÁRIOS'!$O$5:$O$500,"&lt;=121479",'LANÇAMENTOS DIÁRIOS'!$P$5:$P$500,"&gt;=121380")&gt;0,"X","")</f>
      </c>
      <c r="AQ105" s="56" t="str">
        <f>IF(COUNTIFS('LANÇAMENTOS DIÁRIOS'!$G$5:$G$500,"G",'LANÇAMENTOS DIÁRIOS'!$C$5:$C$500,$A105,'LANÇAMENTOS DIÁRIOS'!$O$5:$O$500,"&lt;=121579",'LANÇAMENTOS DIÁRIOS'!$P$5:$P$500,"&gt;=121480")&gt;0,"X","")</f>
      </c>
      <c r="AR105" s="56" t="str">
        <f>IF(COUNTIFS('LANÇAMENTOS DIÁRIOS'!$G$5:$G$500,"G",'LANÇAMENTOS DIÁRIOS'!$C$5:$C$500,$A105,'LANÇAMENTOS DIÁRIOS'!$O$5:$O$500,"&lt;=121679",'LANÇAMENTOS DIÁRIOS'!$P$5:$P$500,"&gt;=121580")&gt;0,"X","")</f>
      </c>
      <c r="AS105" s="56" t="str">
        <f>IF(COUNTIFS('LANÇAMENTOS DIÁRIOS'!$G$5:$G$500,"G",'LANÇAMENTOS DIÁRIOS'!$C$5:$C$500,$A105,'LANÇAMENTOS DIÁRIOS'!$O$5:$O$500,"&lt;=121779",'LANÇAMENTOS DIÁRIOS'!$P$5:$P$500,"&gt;=121680")&gt;0,"X","")</f>
      </c>
      <c r="AT105" s="56" t="str">
        <f>IF(COUNTIFS('LANÇAMENTOS DIÁRIOS'!$G$5:$G$500,"G",'LANÇAMENTOS DIÁRIOS'!$C$5:$C$500,$A105,'LANÇAMENTOS DIÁRIOS'!$O$5:$O$500,"&lt;=121879",'LANÇAMENTOS DIÁRIOS'!$P$5:$P$500,"&gt;=121780")&gt;0,"X","")</f>
      </c>
      <c r="AU105" s="56" t="str">
        <f>IF(COUNTIFS('LANÇAMENTOS DIÁRIOS'!$G$5:$G$500,"G",'LANÇAMENTOS DIÁRIOS'!$C$5:$C$500,$A105,'LANÇAMENTOS DIÁRIOS'!$O$5:$O$500,"&lt;=121979",'LANÇAMENTOS DIÁRIOS'!$P$5:$P$500,"&gt;=121880")&gt;0,"X","")</f>
      </c>
      <c r="AV105" s="56" t="str">
        <f>IF(COUNTIFS('LANÇAMENTOS DIÁRIOS'!$G$5:$G$500,"G",'LANÇAMENTOS DIÁRIOS'!$C$5:$C$500,$A105,'LANÇAMENTOS DIÁRIOS'!$O$5:$O$500,"&lt;=122079",'LANÇAMENTOS DIÁRIOS'!$P$5:$P$500,"&gt;=121980")&gt;0,"X","")</f>
      </c>
      <c r="AW105" s="56" t="str">
        <f>IF(COUNTIFS('LANÇAMENTOS DIÁRIOS'!$G$5:$G$500,"G",'LANÇAMENTOS DIÁRIOS'!$C$5:$C$500,$A105,'LANÇAMENTOS DIÁRIOS'!$O$5:$O$500,"&lt;=122179",'LANÇAMENTOS DIÁRIOS'!$P$5:$P$500,"&gt;=122080")&gt;0,"X","")</f>
      </c>
      <c r="AX105" s="56" t="str">
        <f>IF(COUNTIFS('LANÇAMENTOS DIÁRIOS'!$G$5:$G$500,"G",'LANÇAMENTOS DIÁRIOS'!$C$5:$C$500,$A105,'LANÇAMENTOS DIÁRIOS'!$O$5:$O$500,"&lt;=122279",'LANÇAMENTOS DIÁRIOS'!$P$5:$P$500,"&gt;=122180")&gt;0,"X","")</f>
      </c>
      <c r="AY105" s="56" t="str">
        <f>IF(COUNTIFS('LANÇAMENTOS DIÁRIOS'!$G$5:$G$500,"G",'LANÇAMENTOS DIÁRIOS'!$C$5:$C$500,$A105,'LANÇAMENTOS DIÁRIOS'!$O$5:$O$500,"&lt;=122379",'LANÇAMENTOS DIÁRIOS'!$P$5:$P$500,"&gt;=122280")&gt;0,"X","")</f>
      </c>
      <c r="AZ105" s="56" t="str">
        <f>IF(COUNTIFS('LANÇAMENTOS DIÁRIOS'!$G$5:$G$500,"G",'LANÇAMENTOS DIÁRIOS'!$C$5:$C$500,$A105,'LANÇAMENTOS DIÁRIOS'!$O$5:$O$500,"&lt;=122479",'LANÇAMENTOS DIÁRIOS'!$P$5:$P$500,"&gt;=122380")&gt;0,"X","")</f>
      </c>
      <c r="BA105" s="56" t="str">
        <f>IF(COUNTIFS('LANÇAMENTOS DIÁRIOS'!$G$5:$G$500,"G",'LANÇAMENTOS DIÁRIOS'!$C$5:$C$500,$A105,'LANÇAMENTOS DIÁRIOS'!$O$5:$O$500,"&lt;=122579",'LANÇAMENTOS DIÁRIOS'!$P$5:$P$500,"&gt;=122480")&gt;0,"X","")</f>
      </c>
      <c r="BB105" s="56" t="str">
        <f>IF(COUNTIFS('LANÇAMENTOS DIÁRIOS'!$G$5:$G$500,"G",'LANÇAMENTOS DIÁRIOS'!$C$5:$C$500,$A105,'LANÇAMENTOS DIÁRIOS'!$O$5:$O$500,"&lt;=122679",'LANÇAMENTOS DIÁRIOS'!$P$5:$P$500,"&gt;=122580")&gt;0,"X","")</f>
      </c>
      <c r="BC105" s="56" t="str">
        <f>IF(COUNTIFS('LANÇAMENTOS DIÁRIOS'!$G$5:$G$500,"G",'LANÇAMENTOS DIÁRIOS'!$C$5:$C$500,$A105,'LANÇAMENTOS DIÁRIOS'!$O$5:$O$500,"&lt;=122779",'LANÇAMENTOS DIÁRIOS'!$P$5:$P$500,"&gt;=122680")&gt;0,"X","")</f>
      </c>
      <c r="BD105" s="56" t="str">
        <f>IF(COUNTIFS('LANÇAMENTOS DIÁRIOS'!$G$5:$G$500,"G",'LANÇAMENTOS DIÁRIOS'!$C$5:$C$500,$A105,'LANÇAMENTOS DIÁRIOS'!$O$5:$O$500,"&lt;=122879",'LANÇAMENTOS DIÁRIOS'!$P$5:$P$500,"&gt;=122780")&gt;0,"X","")</f>
      </c>
      <c r="BE105" s="56" t="str">
        <f>IF(COUNTIFS('LANÇAMENTOS DIÁRIOS'!$G$5:$G$500,"G",'LANÇAMENTOS DIÁRIOS'!$C$5:$C$500,$A105,'LANÇAMENTOS DIÁRIOS'!$O$5:$O$500,"&lt;=122979",'LANÇAMENTOS DIÁRIOS'!$P$5:$P$500,"&gt;=122880")&gt;0,"X","")</f>
      </c>
      <c r="BF105" s="56" t="str">
        <f>IF(COUNTIFS('LANÇAMENTOS DIÁRIOS'!$G$5:$G$500,"G",'LANÇAMENTOS DIÁRIOS'!$C$5:$C$500,$A105,'LANÇAMENTOS DIÁRIOS'!$O$5:$O$500,"&lt;=123079",'LANÇAMENTOS DIÁRIOS'!$P$5:$P$500,"&gt;=122980")&gt;0,"X","")</f>
      </c>
      <c r="BG105" s="56" t="str">
        <f>IF(COUNTIFS('LANÇAMENTOS DIÁRIOS'!$G$5:$G$500,"G",'LANÇAMENTOS DIÁRIOS'!$C$5:$C$500,$A105,'LANÇAMENTOS DIÁRIOS'!$O$5:$O$500,"&lt;=123179",'LANÇAMENTOS DIÁRIOS'!$P$5:$P$500,"&gt;=123080")&gt;0,"X","")</f>
      </c>
      <c r="BH105" s="56" t="str">
        <f>IF(COUNTIFS('LANÇAMENTOS DIÁRIOS'!$G$5:$G$500,"G",'LANÇAMENTOS DIÁRIOS'!$C$5:$C$500,$A105,'LANÇAMENTOS DIÁRIOS'!$O$5:$O$500,"&lt;=123279",'LANÇAMENTOS DIÁRIOS'!$P$5:$P$500,"&gt;=123180")&gt;0,"X","")</f>
      </c>
      <c r="BI105" s="56" t="str">
        <f>IF(COUNTIFS('LANÇAMENTOS DIÁRIOS'!$G$5:$G$500,"G",'LANÇAMENTOS DIÁRIOS'!$C$5:$C$500,$A105,'LANÇAMENTOS DIÁRIOS'!$O$5:$O$500,"&lt;=123379",'LANÇAMENTOS DIÁRIOS'!$P$5:$P$500,"&gt;=123280")&gt;0,"X","")</f>
      </c>
      <c r="BJ105" s="56" t="str">
        <f>IF(COUNTIFS('LANÇAMENTOS DIÁRIOS'!$G$5:$G$500,"G",'LANÇAMENTOS DIÁRIOS'!$C$5:$C$500,$A105,'LANÇAMENTOS DIÁRIOS'!$O$5:$O$500,"&lt;=123479",'LANÇAMENTOS DIÁRIOS'!$P$5:$P$500,"&gt;=123380")&gt;0,"X","")</f>
      </c>
      <c r="BK105" s="56" t="str">
        <f>IF(COUNTIFS('LANÇAMENTOS DIÁRIOS'!$G$5:$G$500,"G",'LANÇAMENTOS DIÁRIOS'!$C$5:$C$500,$A105,'LANÇAMENTOS DIÁRIOS'!$O$5:$O$500,"&lt;=123480",'LANÇAMENTOS DIÁRIOS'!$P$5:$P$500,"&gt;=123480")&gt;0,"X","")</f>
      </c>
    </row>
  </sheetData>
  <conditionalFormatting sqref="B3:BK105">
    <cfRule type="expression" dxfId="4" priority="1">
      <formula>B3="X"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FormatPr defaultRowHeight="15"/>
  <cols>
    <col min="1" max="1" width="54" hidden="0" customWidth="1"/>
    <col min="2" max="2" width="10" hidden="0" customWidth="1"/>
    <col min="3" max="3" width="10" hidden="0" customWidth="1"/>
    <col min="4" max="4" width="10" hidden="0" customWidth="1"/>
    <col min="5" max="5" width="10" hidden="0" customWidth="1"/>
    <col min="6" max="6" width="10" hidden="0" customWidth="1"/>
    <col min="7" max="7" width="10" hidden="0" customWidth="1"/>
    <col min="8" max="8" width="10" hidden="0" customWidth="1"/>
    <col min="9" max="9" width="10" hidden="0" customWidth="1"/>
    <col min="10" max="10" width="10" hidden="0" customWidth="1"/>
    <col min="11" max="11" width="10" hidden="0" customWidth="1"/>
    <col min="12" max="12" width="10" hidden="0" customWidth="1"/>
    <col min="13" max="13" width="10" hidden="0" customWidth="1"/>
    <col min="14" max="14" width="10" hidden="0" customWidth="1"/>
    <col min="15" max="15" width="10" hidden="0" customWidth="1"/>
    <col min="16" max="16" width="10" hidden="0" customWidth="1"/>
    <col min="17" max="17" width="10" hidden="0" customWidth="1"/>
    <col min="18" max="18" width="10" hidden="0" customWidth="1"/>
    <col min="19" max="19" width="10" hidden="0" customWidth="1"/>
    <col min="20" max="20" width="10" hidden="0" customWidth="1"/>
    <col min="21" max="21" width="10" hidden="0" customWidth="1"/>
    <col min="22" max="22" width="10" hidden="0" customWidth="1"/>
    <col min="23" max="23" width="10" hidden="0" customWidth="1"/>
    <col min="24" max="24" width="10" hidden="0" customWidth="1"/>
    <col min="25" max="25" width="10" hidden="0" customWidth="1"/>
    <col min="26" max="26" width="10" hidden="0" customWidth="1"/>
    <col min="27" max="27" width="10" hidden="0" customWidth="1"/>
    <col min="28" max="28" width="10" hidden="0" customWidth="1"/>
    <col min="29" max="29" width="10" hidden="0" customWidth="1"/>
    <col min="30" max="30" width="10" hidden="0" customWidth="1"/>
    <col min="31" max="31" width="10" hidden="0" customWidth="1"/>
    <col min="32" max="32" width="10" hidden="0" customWidth="1"/>
    <col min="33" max="33" width="10" hidden="0" customWidth="1"/>
    <col min="34" max="34" width="10" hidden="0" customWidth="1"/>
    <col min="35" max="35" width="10" hidden="0" customWidth="1"/>
    <col min="36" max="36" width="10" hidden="0" customWidth="1"/>
    <col min="37" max="37" width="10" hidden="0" customWidth="1"/>
    <col min="38" max="38" width="10" hidden="0" customWidth="1"/>
    <col min="39" max="39" width="10" hidden="0" customWidth="1"/>
    <col min="40" max="40" width="10" hidden="0" customWidth="1"/>
    <col min="41" max="41" width="10" hidden="0" customWidth="1"/>
    <col min="42" max="42" width="10" hidden="0" customWidth="1"/>
    <col min="43" max="43" width="10" hidden="0" customWidth="1"/>
    <col min="44" max="44" width="10" hidden="0" customWidth="1"/>
    <col min="45" max="45" width="10" hidden="0" customWidth="1"/>
    <col min="46" max="46" width="10" hidden="0" customWidth="1"/>
    <col min="47" max="47" width="10" hidden="0" customWidth="1"/>
    <col min="48" max="48" width="10" hidden="0" customWidth="1"/>
    <col min="49" max="49" width="10" hidden="0" customWidth="1"/>
    <col min="50" max="50" width="10" hidden="0" customWidth="1"/>
    <col min="51" max="51" width="10" hidden="0" customWidth="1"/>
    <col min="52" max="52" width="10" hidden="0" customWidth="1"/>
  </cols>
  <sheetData>
    <row r="1" ht="26" customHeight="1">
      <c r="A1" s="38" t="str">
        <v>RETIGRÁFICO — FRENTE H | KM 124+400 A 129+400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</row>
    <row r="2" ht="26" customHeight="1">
      <c r="A2" s="43" t="str">
        <v>ATIVIDADE / ITEM</v>
      </c>
      <c r="B2" s="43" t="str">
        <v>124+400</v>
      </c>
      <c r="C2" s="43" t="str">
        <v>124+500</v>
      </c>
      <c r="D2" s="43" t="str">
        <v>124+600</v>
      </c>
      <c r="E2" s="43" t="str">
        <v>124+700</v>
      </c>
      <c r="F2" s="43" t="str">
        <v>124+800</v>
      </c>
      <c r="G2" s="43" t="str">
        <v>124+900</v>
      </c>
      <c r="H2" s="43" t="str">
        <v>125+000</v>
      </c>
      <c r="I2" s="43" t="str">
        <v>125+100</v>
      </c>
      <c r="J2" s="43" t="str">
        <v>125+200</v>
      </c>
      <c r="K2" s="43" t="str">
        <v>125+300</v>
      </c>
      <c r="L2" s="43" t="str">
        <v>125+400</v>
      </c>
      <c r="M2" s="43" t="str">
        <v>125+500</v>
      </c>
      <c r="N2" s="43" t="str">
        <v>125+600</v>
      </c>
      <c r="O2" s="43" t="str">
        <v>125+700</v>
      </c>
      <c r="P2" s="43" t="str">
        <v>125+800</v>
      </c>
      <c r="Q2" s="43" t="str">
        <v>125+900</v>
      </c>
      <c r="R2" s="43" t="str">
        <v>126+000</v>
      </c>
      <c r="S2" s="43" t="str">
        <v>126+100</v>
      </c>
      <c r="T2" s="43" t="str">
        <v>126+200</v>
      </c>
      <c r="U2" s="43" t="str">
        <v>126+300</v>
      </c>
      <c r="V2" s="43" t="str">
        <v>126+400</v>
      </c>
      <c r="W2" s="43" t="str">
        <v>126+500</v>
      </c>
      <c r="X2" s="43" t="str">
        <v>126+600</v>
      </c>
      <c r="Y2" s="43" t="str">
        <v>126+700</v>
      </c>
      <c r="Z2" s="43" t="str">
        <v>126+800</v>
      </c>
      <c r="AA2" s="43" t="str">
        <v>126+900</v>
      </c>
      <c r="AB2" s="43" t="str">
        <v>127+000</v>
      </c>
      <c r="AC2" s="43" t="str">
        <v>127+100</v>
      </c>
      <c r="AD2" s="43" t="str">
        <v>127+200</v>
      </c>
      <c r="AE2" s="43" t="str">
        <v>127+300</v>
      </c>
      <c r="AF2" s="43" t="str">
        <v>127+400</v>
      </c>
      <c r="AG2" s="43" t="str">
        <v>127+500</v>
      </c>
      <c r="AH2" s="43" t="str">
        <v>127+600</v>
      </c>
      <c r="AI2" s="43" t="str">
        <v>127+700</v>
      </c>
      <c r="AJ2" s="43" t="str">
        <v>127+800</v>
      </c>
      <c r="AK2" s="43" t="str">
        <v>127+900</v>
      </c>
      <c r="AL2" s="43" t="str">
        <v>128+000</v>
      </c>
      <c r="AM2" s="43" t="str">
        <v>128+100</v>
      </c>
      <c r="AN2" s="43" t="str">
        <v>128+200</v>
      </c>
      <c r="AO2" s="43" t="str">
        <v>128+300</v>
      </c>
      <c r="AP2" s="43" t="str">
        <v>128+400</v>
      </c>
      <c r="AQ2" s="43" t="str">
        <v>128+500</v>
      </c>
      <c r="AR2" s="43" t="str">
        <v>128+600</v>
      </c>
      <c r="AS2" s="43" t="str">
        <v>128+700</v>
      </c>
      <c r="AT2" s="43" t="str">
        <v>128+800</v>
      </c>
      <c r="AU2" s="43" t="str">
        <v>128+900</v>
      </c>
      <c r="AV2" s="43" t="str">
        <v>129+000</v>
      </c>
      <c r="AW2" s="43" t="str">
        <v>129+100</v>
      </c>
      <c r="AX2" s="43" t="str">
        <v>129+200</v>
      </c>
      <c r="AY2" s="43" t="str">
        <v>129+300</v>
      </c>
      <c r="AZ2" s="43" t="str">
        <v>129+400</v>
      </c>
    </row>
    <row r="3" ht="21" customHeight="1">
      <c r="A3" s="60" t="str">
        <v>Serviços preliminares e conclusivos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</row>
    <row r="4" ht="19" customHeight="1">
      <c r="A4" s="68" t="str">
        <v>Demolições e remoções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</row>
    <row r="5">
      <c r="A5" s="51" t="str">
        <v>Remoção de cerca</v>
      </c>
      <c r="B5" s="56" t="str">
        <f>IF(COUNTIFS('LANÇAMENTOS DIÁRIOS'!$G$5:$G$500,"H",'LANÇAMENTOS DIÁRIOS'!$C$5:$C$500,$A5,'LANÇAMENTOS DIÁRIOS'!$O$5:$O$500,"&lt;=124499",'LANÇAMENTOS DIÁRIOS'!$P$5:$P$500,"&gt;=124400")&gt;0,"X","")</f>
      </c>
      <c r="C5" s="56" t="str">
        <f>IF(COUNTIFS('LANÇAMENTOS DIÁRIOS'!$G$5:$G$500,"H",'LANÇAMENTOS DIÁRIOS'!$C$5:$C$500,$A5,'LANÇAMENTOS DIÁRIOS'!$O$5:$O$500,"&lt;=124599",'LANÇAMENTOS DIÁRIOS'!$P$5:$P$500,"&gt;=124500")&gt;0,"X","")</f>
      </c>
      <c r="D5" s="56" t="str">
        <f>IF(COUNTIFS('LANÇAMENTOS DIÁRIOS'!$G$5:$G$500,"H",'LANÇAMENTOS DIÁRIOS'!$C$5:$C$500,$A5,'LANÇAMENTOS DIÁRIOS'!$O$5:$O$500,"&lt;=124699",'LANÇAMENTOS DIÁRIOS'!$P$5:$P$500,"&gt;=124600")&gt;0,"X","")</f>
      </c>
      <c r="E5" s="56" t="str">
        <f>IF(COUNTIFS('LANÇAMENTOS DIÁRIOS'!$G$5:$G$500,"H",'LANÇAMENTOS DIÁRIOS'!$C$5:$C$500,$A5,'LANÇAMENTOS DIÁRIOS'!$O$5:$O$500,"&lt;=124799",'LANÇAMENTOS DIÁRIOS'!$P$5:$P$500,"&gt;=124700")&gt;0,"X","")</f>
      </c>
      <c r="F5" s="56" t="str">
        <f>IF(COUNTIFS('LANÇAMENTOS DIÁRIOS'!$G$5:$G$500,"H",'LANÇAMENTOS DIÁRIOS'!$C$5:$C$500,$A5,'LANÇAMENTOS DIÁRIOS'!$O$5:$O$500,"&lt;=124899",'LANÇAMENTOS DIÁRIOS'!$P$5:$P$500,"&gt;=124800")&gt;0,"X","")</f>
      </c>
      <c r="G5" s="56" t="str">
        <f>IF(COUNTIFS('LANÇAMENTOS DIÁRIOS'!$G$5:$G$500,"H",'LANÇAMENTOS DIÁRIOS'!$C$5:$C$500,$A5,'LANÇAMENTOS DIÁRIOS'!$O$5:$O$500,"&lt;=124999",'LANÇAMENTOS DIÁRIOS'!$P$5:$P$500,"&gt;=124900")&gt;0,"X","")</f>
      </c>
      <c r="H5" s="56" t="str">
        <f>IF(COUNTIFS('LANÇAMENTOS DIÁRIOS'!$G$5:$G$500,"H",'LANÇAMENTOS DIÁRIOS'!$C$5:$C$500,$A5,'LANÇAMENTOS DIÁRIOS'!$O$5:$O$500,"&lt;=125099",'LANÇAMENTOS DIÁRIOS'!$P$5:$P$500,"&gt;=125000")&gt;0,"X","")</f>
      </c>
      <c r="I5" s="56" t="str">
        <f>IF(COUNTIFS('LANÇAMENTOS DIÁRIOS'!$G$5:$G$500,"H",'LANÇAMENTOS DIÁRIOS'!$C$5:$C$500,$A5,'LANÇAMENTOS DIÁRIOS'!$O$5:$O$500,"&lt;=125199",'LANÇAMENTOS DIÁRIOS'!$P$5:$P$500,"&gt;=125100")&gt;0,"X","")</f>
      </c>
      <c r="J5" s="56" t="str">
        <f>IF(COUNTIFS('LANÇAMENTOS DIÁRIOS'!$G$5:$G$500,"H",'LANÇAMENTOS DIÁRIOS'!$C$5:$C$500,$A5,'LANÇAMENTOS DIÁRIOS'!$O$5:$O$500,"&lt;=125299",'LANÇAMENTOS DIÁRIOS'!$P$5:$P$500,"&gt;=125200")&gt;0,"X","")</f>
      </c>
      <c r="K5" s="56" t="str">
        <f>IF(COUNTIFS('LANÇAMENTOS DIÁRIOS'!$G$5:$G$500,"H",'LANÇAMENTOS DIÁRIOS'!$C$5:$C$500,$A5,'LANÇAMENTOS DIÁRIOS'!$O$5:$O$500,"&lt;=125399",'LANÇAMENTOS DIÁRIOS'!$P$5:$P$500,"&gt;=125300")&gt;0,"X","")</f>
      </c>
      <c r="L5" s="56" t="str">
        <f>IF(COUNTIFS('LANÇAMENTOS DIÁRIOS'!$G$5:$G$500,"H",'LANÇAMENTOS DIÁRIOS'!$C$5:$C$500,$A5,'LANÇAMENTOS DIÁRIOS'!$O$5:$O$500,"&lt;=125499",'LANÇAMENTOS DIÁRIOS'!$P$5:$P$500,"&gt;=125400")&gt;0,"X","")</f>
      </c>
      <c r="M5" s="56" t="str">
        <f>IF(COUNTIFS('LANÇAMENTOS DIÁRIOS'!$G$5:$G$500,"H",'LANÇAMENTOS DIÁRIOS'!$C$5:$C$500,$A5,'LANÇAMENTOS DIÁRIOS'!$O$5:$O$500,"&lt;=125599",'LANÇAMENTOS DIÁRIOS'!$P$5:$P$500,"&gt;=125500")&gt;0,"X","")</f>
      </c>
      <c r="N5" s="56" t="str">
        <f>IF(COUNTIFS('LANÇAMENTOS DIÁRIOS'!$G$5:$G$500,"H",'LANÇAMENTOS DIÁRIOS'!$C$5:$C$500,$A5,'LANÇAMENTOS DIÁRIOS'!$O$5:$O$500,"&lt;=125699",'LANÇAMENTOS DIÁRIOS'!$P$5:$P$500,"&gt;=125600")&gt;0,"X","")</f>
      </c>
      <c r="O5" s="56" t="str">
        <f>IF(COUNTIFS('LANÇAMENTOS DIÁRIOS'!$G$5:$G$500,"H",'LANÇAMENTOS DIÁRIOS'!$C$5:$C$500,$A5,'LANÇAMENTOS DIÁRIOS'!$O$5:$O$500,"&lt;=125799",'LANÇAMENTOS DIÁRIOS'!$P$5:$P$500,"&gt;=125700")&gt;0,"X","")</f>
      </c>
      <c r="P5" s="56" t="str">
        <f>IF(COUNTIFS('LANÇAMENTOS DIÁRIOS'!$G$5:$G$500,"H",'LANÇAMENTOS DIÁRIOS'!$C$5:$C$500,$A5,'LANÇAMENTOS DIÁRIOS'!$O$5:$O$500,"&lt;=125899",'LANÇAMENTOS DIÁRIOS'!$P$5:$P$500,"&gt;=125800")&gt;0,"X","")</f>
      </c>
      <c r="Q5" s="56" t="str">
        <f>IF(COUNTIFS('LANÇAMENTOS DIÁRIOS'!$G$5:$G$500,"H",'LANÇAMENTOS DIÁRIOS'!$C$5:$C$500,$A5,'LANÇAMENTOS DIÁRIOS'!$O$5:$O$500,"&lt;=125999",'LANÇAMENTOS DIÁRIOS'!$P$5:$P$500,"&gt;=125900")&gt;0,"X","")</f>
      </c>
      <c r="R5" s="56" t="str">
        <f>IF(COUNTIFS('LANÇAMENTOS DIÁRIOS'!$G$5:$G$500,"H",'LANÇAMENTOS DIÁRIOS'!$C$5:$C$500,$A5,'LANÇAMENTOS DIÁRIOS'!$O$5:$O$500,"&lt;=126099",'LANÇAMENTOS DIÁRIOS'!$P$5:$P$500,"&gt;=126000")&gt;0,"X","")</f>
      </c>
      <c r="S5" s="56" t="str">
        <f>IF(COUNTIFS('LANÇAMENTOS DIÁRIOS'!$G$5:$G$500,"H",'LANÇAMENTOS DIÁRIOS'!$C$5:$C$500,$A5,'LANÇAMENTOS DIÁRIOS'!$O$5:$O$500,"&lt;=126199",'LANÇAMENTOS DIÁRIOS'!$P$5:$P$500,"&gt;=126100")&gt;0,"X","")</f>
      </c>
      <c r="T5" s="56" t="str">
        <f>IF(COUNTIFS('LANÇAMENTOS DIÁRIOS'!$G$5:$G$500,"H",'LANÇAMENTOS DIÁRIOS'!$C$5:$C$500,$A5,'LANÇAMENTOS DIÁRIOS'!$O$5:$O$500,"&lt;=126299",'LANÇAMENTOS DIÁRIOS'!$P$5:$P$500,"&gt;=126200")&gt;0,"X","")</f>
      </c>
      <c r="U5" s="56" t="str">
        <f>IF(COUNTIFS('LANÇAMENTOS DIÁRIOS'!$G$5:$G$500,"H",'LANÇAMENTOS DIÁRIOS'!$C$5:$C$500,$A5,'LANÇAMENTOS DIÁRIOS'!$O$5:$O$500,"&lt;=126399",'LANÇAMENTOS DIÁRIOS'!$P$5:$P$500,"&gt;=126300")&gt;0,"X","")</f>
      </c>
      <c r="V5" s="56" t="str">
        <f>IF(COUNTIFS('LANÇAMENTOS DIÁRIOS'!$G$5:$G$500,"H",'LANÇAMENTOS DIÁRIOS'!$C$5:$C$500,$A5,'LANÇAMENTOS DIÁRIOS'!$O$5:$O$500,"&lt;=126499",'LANÇAMENTOS DIÁRIOS'!$P$5:$P$500,"&gt;=126400")&gt;0,"X","")</f>
      </c>
      <c r="W5" s="56" t="str">
        <f>IF(COUNTIFS('LANÇAMENTOS DIÁRIOS'!$G$5:$G$500,"H",'LANÇAMENTOS DIÁRIOS'!$C$5:$C$500,$A5,'LANÇAMENTOS DIÁRIOS'!$O$5:$O$500,"&lt;=126599",'LANÇAMENTOS DIÁRIOS'!$P$5:$P$500,"&gt;=126500")&gt;0,"X","")</f>
      </c>
      <c r="X5" s="56" t="str">
        <f>IF(COUNTIFS('LANÇAMENTOS DIÁRIOS'!$G$5:$G$500,"H",'LANÇAMENTOS DIÁRIOS'!$C$5:$C$500,$A5,'LANÇAMENTOS DIÁRIOS'!$O$5:$O$500,"&lt;=126699",'LANÇAMENTOS DIÁRIOS'!$P$5:$P$500,"&gt;=126600")&gt;0,"X","")</f>
      </c>
      <c r="Y5" s="56" t="str">
        <f>IF(COUNTIFS('LANÇAMENTOS DIÁRIOS'!$G$5:$G$500,"H",'LANÇAMENTOS DIÁRIOS'!$C$5:$C$500,$A5,'LANÇAMENTOS DIÁRIOS'!$O$5:$O$500,"&lt;=126799",'LANÇAMENTOS DIÁRIOS'!$P$5:$P$500,"&gt;=126700")&gt;0,"X","")</f>
      </c>
      <c r="Z5" s="56" t="str">
        <f>IF(COUNTIFS('LANÇAMENTOS DIÁRIOS'!$G$5:$G$500,"H",'LANÇAMENTOS DIÁRIOS'!$C$5:$C$500,$A5,'LANÇAMENTOS DIÁRIOS'!$O$5:$O$500,"&lt;=126899",'LANÇAMENTOS DIÁRIOS'!$P$5:$P$500,"&gt;=126800")&gt;0,"X","")</f>
      </c>
      <c r="AA5" s="56" t="str">
        <f>IF(COUNTIFS('LANÇAMENTOS DIÁRIOS'!$G$5:$G$500,"H",'LANÇAMENTOS DIÁRIOS'!$C$5:$C$500,$A5,'LANÇAMENTOS DIÁRIOS'!$O$5:$O$500,"&lt;=126999",'LANÇAMENTOS DIÁRIOS'!$P$5:$P$500,"&gt;=126900")&gt;0,"X","")</f>
      </c>
      <c r="AB5" s="56" t="str">
        <f>IF(COUNTIFS('LANÇAMENTOS DIÁRIOS'!$G$5:$G$500,"H",'LANÇAMENTOS DIÁRIOS'!$C$5:$C$500,$A5,'LANÇAMENTOS DIÁRIOS'!$O$5:$O$500,"&lt;=127099",'LANÇAMENTOS DIÁRIOS'!$P$5:$P$500,"&gt;=127000")&gt;0,"X","")</f>
      </c>
      <c r="AC5" s="56" t="str">
        <f>IF(COUNTIFS('LANÇAMENTOS DIÁRIOS'!$G$5:$G$500,"H",'LANÇAMENTOS DIÁRIOS'!$C$5:$C$500,$A5,'LANÇAMENTOS DIÁRIOS'!$O$5:$O$500,"&lt;=127199",'LANÇAMENTOS DIÁRIOS'!$P$5:$P$500,"&gt;=127100")&gt;0,"X","")</f>
      </c>
      <c r="AD5" s="56" t="str">
        <f>IF(COUNTIFS('LANÇAMENTOS DIÁRIOS'!$G$5:$G$500,"H",'LANÇAMENTOS DIÁRIOS'!$C$5:$C$500,$A5,'LANÇAMENTOS DIÁRIOS'!$O$5:$O$500,"&lt;=127299",'LANÇAMENTOS DIÁRIOS'!$P$5:$P$500,"&gt;=127200")&gt;0,"X","")</f>
      </c>
      <c r="AE5" s="56" t="str">
        <f>IF(COUNTIFS('LANÇAMENTOS DIÁRIOS'!$G$5:$G$500,"H",'LANÇAMENTOS DIÁRIOS'!$C$5:$C$500,$A5,'LANÇAMENTOS DIÁRIOS'!$O$5:$O$500,"&lt;=127399",'LANÇAMENTOS DIÁRIOS'!$P$5:$P$500,"&gt;=127300")&gt;0,"X","")</f>
      </c>
      <c r="AF5" s="56" t="str">
        <f>IF(COUNTIFS('LANÇAMENTOS DIÁRIOS'!$G$5:$G$500,"H",'LANÇAMENTOS DIÁRIOS'!$C$5:$C$500,$A5,'LANÇAMENTOS DIÁRIOS'!$O$5:$O$500,"&lt;=127499",'LANÇAMENTOS DIÁRIOS'!$P$5:$P$500,"&gt;=127400")&gt;0,"X","")</f>
      </c>
      <c r="AG5" s="56" t="str">
        <f>IF(COUNTIFS('LANÇAMENTOS DIÁRIOS'!$G$5:$G$500,"H",'LANÇAMENTOS DIÁRIOS'!$C$5:$C$500,$A5,'LANÇAMENTOS DIÁRIOS'!$O$5:$O$500,"&lt;=127599",'LANÇAMENTOS DIÁRIOS'!$P$5:$P$500,"&gt;=127500")&gt;0,"X","")</f>
      </c>
      <c r="AH5" s="56" t="str">
        <f>IF(COUNTIFS('LANÇAMENTOS DIÁRIOS'!$G$5:$G$500,"H",'LANÇAMENTOS DIÁRIOS'!$C$5:$C$500,$A5,'LANÇAMENTOS DIÁRIOS'!$O$5:$O$500,"&lt;=127699",'LANÇAMENTOS DIÁRIOS'!$P$5:$P$500,"&gt;=127600")&gt;0,"X","")</f>
      </c>
      <c r="AI5" s="56" t="str">
        <f>IF(COUNTIFS('LANÇAMENTOS DIÁRIOS'!$G$5:$G$500,"H",'LANÇAMENTOS DIÁRIOS'!$C$5:$C$500,$A5,'LANÇAMENTOS DIÁRIOS'!$O$5:$O$500,"&lt;=127799",'LANÇAMENTOS DIÁRIOS'!$P$5:$P$500,"&gt;=127700")&gt;0,"X","")</f>
      </c>
      <c r="AJ5" s="56" t="str">
        <f>IF(COUNTIFS('LANÇAMENTOS DIÁRIOS'!$G$5:$G$500,"H",'LANÇAMENTOS DIÁRIOS'!$C$5:$C$500,$A5,'LANÇAMENTOS DIÁRIOS'!$O$5:$O$500,"&lt;=127899",'LANÇAMENTOS DIÁRIOS'!$P$5:$P$500,"&gt;=127800")&gt;0,"X","")</f>
      </c>
      <c r="AK5" s="56" t="str">
        <f>IF(COUNTIFS('LANÇAMENTOS DIÁRIOS'!$G$5:$G$500,"H",'LANÇAMENTOS DIÁRIOS'!$C$5:$C$500,$A5,'LANÇAMENTOS DIÁRIOS'!$O$5:$O$500,"&lt;=127999",'LANÇAMENTOS DIÁRIOS'!$P$5:$P$500,"&gt;=127900")&gt;0,"X","")</f>
      </c>
      <c r="AL5" s="56" t="str">
        <f>IF(COUNTIFS('LANÇAMENTOS DIÁRIOS'!$G$5:$G$500,"H",'LANÇAMENTOS DIÁRIOS'!$C$5:$C$500,$A5,'LANÇAMENTOS DIÁRIOS'!$O$5:$O$500,"&lt;=128099",'LANÇAMENTOS DIÁRIOS'!$P$5:$P$500,"&gt;=128000")&gt;0,"X","")</f>
      </c>
      <c r="AM5" s="56" t="str">
        <f>IF(COUNTIFS('LANÇAMENTOS DIÁRIOS'!$G$5:$G$500,"H",'LANÇAMENTOS DIÁRIOS'!$C$5:$C$500,$A5,'LANÇAMENTOS DIÁRIOS'!$O$5:$O$500,"&lt;=128199",'LANÇAMENTOS DIÁRIOS'!$P$5:$P$500,"&gt;=128100")&gt;0,"X","")</f>
      </c>
      <c r="AN5" s="56" t="str">
        <f>IF(COUNTIFS('LANÇAMENTOS DIÁRIOS'!$G$5:$G$500,"H",'LANÇAMENTOS DIÁRIOS'!$C$5:$C$500,$A5,'LANÇAMENTOS DIÁRIOS'!$O$5:$O$500,"&lt;=128299",'LANÇAMENTOS DIÁRIOS'!$P$5:$P$500,"&gt;=128200")&gt;0,"X","")</f>
      </c>
      <c r="AO5" s="56" t="str">
        <f>IF(COUNTIFS('LANÇAMENTOS DIÁRIOS'!$G$5:$G$500,"H",'LANÇAMENTOS DIÁRIOS'!$C$5:$C$500,$A5,'LANÇAMENTOS DIÁRIOS'!$O$5:$O$500,"&lt;=128399",'LANÇAMENTOS DIÁRIOS'!$P$5:$P$500,"&gt;=128300")&gt;0,"X","")</f>
      </c>
      <c r="AP5" s="56" t="str">
        <f>IF(COUNTIFS('LANÇAMENTOS DIÁRIOS'!$G$5:$G$500,"H",'LANÇAMENTOS DIÁRIOS'!$C$5:$C$500,$A5,'LANÇAMENTOS DIÁRIOS'!$O$5:$O$500,"&lt;=128499",'LANÇAMENTOS DIÁRIOS'!$P$5:$P$500,"&gt;=128400")&gt;0,"X","")</f>
      </c>
      <c r="AQ5" s="56" t="str">
        <f>IF(COUNTIFS('LANÇAMENTOS DIÁRIOS'!$G$5:$G$500,"H",'LANÇAMENTOS DIÁRIOS'!$C$5:$C$500,$A5,'LANÇAMENTOS DIÁRIOS'!$O$5:$O$500,"&lt;=128599",'LANÇAMENTOS DIÁRIOS'!$P$5:$P$500,"&gt;=128500")&gt;0,"X","")</f>
      </c>
      <c r="AR5" s="56" t="str">
        <f>IF(COUNTIFS('LANÇAMENTOS DIÁRIOS'!$G$5:$G$500,"H",'LANÇAMENTOS DIÁRIOS'!$C$5:$C$500,$A5,'LANÇAMENTOS DIÁRIOS'!$O$5:$O$500,"&lt;=128699",'LANÇAMENTOS DIÁRIOS'!$P$5:$P$500,"&gt;=128600")&gt;0,"X","")</f>
      </c>
      <c r="AS5" s="56" t="str">
        <f>IF(COUNTIFS('LANÇAMENTOS DIÁRIOS'!$G$5:$G$500,"H",'LANÇAMENTOS DIÁRIOS'!$C$5:$C$500,$A5,'LANÇAMENTOS DIÁRIOS'!$O$5:$O$500,"&lt;=128799",'LANÇAMENTOS DIÁRIOS'!$P$5:$P$500,"&gt;=128700")&gt;0,"X","")</f>
      </c>
      <c r="AT5" s="56" t="str">
        <f>IF(COUNTIFS('LANÇAMENTOS DIÁRIOS'!$G$5:$G$500,"H",'LANÇAMENTOS DIÁRIOS'!$C$5:$C$500,$A5,'LANÇAMENTOS DIÁRIOS'!$O$5:$O$500,"&lt;=128899",'LANÇAMENTOS DIÁRIOS'!$P$5:$P$500,"&gt;=128800")&gt;0,"X","")</f>
      </c>
      <c r="AU5" s="56" t="str">
        <f>IF(COUNTIFS('LANÇAMENTOS DIÁRIOS'!$G$5:$G$500,"H",'LANÇAMENTOS DIÁRIOS'!$C$5:$C$500,$A5,'LANÇAMENTOS DIÁRIOS'!$O$5:$O$500,"&lt;=128999",'LANÇAMENTOS DIÁRIOS'!$P$5:$P$500,"&gt;=128900")&gt;0,"X","")</f>
      </c>
      <c r="AV5" s="56" t="str">
        <f>IF(COUNTIFS('LANÇAMENTOS DIÁRIOS'!$G$5:$G$500,"H",'LANÇAMENTOS DIÁRIOS'!$C$5:$C$500,$A5,'LANÇAMENTOS DIÁRIOS'!$O$5:$O$500,"&lt;=129099",'LANÇAMENTOS DIÁRIOS'!$P$5:$P$500,"&gt;=129000")&gt;0,"X","")</f>
      </c>
      <c r="AW5" s="56" t="str">
        <f>IF(COUNTIFS('LANÇAMENTOS DIÁRIOS'!$G$5:$G$500,"H",'LANÇAMENTOS DIÁRIOS'!$C$5:$C$500,$A5,'LANÇAMENTOS DIÁRIOS'!$O$5:$O$500,"&lt;=129199",'LANÇAMENTOS DIÁRIOS'!$P$5:$P$500,"&gt;=129100")&gt;0,"X","")</f>
      </c>
      <c r="AX5" s="56" t="str">
        <f>IF(COUNTIFS('LANÇAMENTOS DIÁRIOS'!$G$5:$G$500,"H",'LANÇAMENTOS DIÁRIOS'!$C$5:$C$500,$A5,'LANÇAMENTOS DIÁRIOS'!$O$5:$O$500,"&lt;=129299",'LANÇAMENTOS DIÁRIOS'!$P$5:$P$500,"&gt;=129200")&gt;0,"X","")</f>
      </c>
      <c r="AY5" s="56" t="str">
        <f>IF(COUNTIFS('LANÇAMENTOS DIÁRIOS'!$G$5:$G$500,"H",'LANÇAMENTOS DIÁRIOS'!$C$5:$C$500,$A5,'LANÇAMENTOS DIÁRIOS'!$O$5:$O$500,"&lt;=129399",'LANÇAMENTOS DIÁRIOS'!$P$5:$P$500,"&gt;=129300")&gt;0,"X","")</f>
      </c>
      <c r="AZ5" s="56" t="str">
        <f>IF(COUNTIFS('LANÇAMENTOS DIÁRIOS'!$G$5:$G$500,"H",'LANÇAMENTOS DIÁRIOS'!$C$5:$C$500,$A5,'LANÇAMENTOS DIÁRIOS'!$O$5:$O$500,"&lt;=129400",'LANÇAMENTOS DIÁRIOS'!$P$5:$P$500,"&gt;=129400")&gt;0,"X","")</f>
      </c>
    </row>
    <row r="6">
      <c r="A6" s="51" t="str">
        <v>Remoção de defensa metálica</v>
      </c>
      <c r="B6" s="56" t="str">
        <f>IF(COUNTIFS('LANÇAMENTOS DIÁRIOS'!$G$5:$G$500,"H",'LANÇAMENTOS DIÁRIOS'!$C$5:$C$500,$A6,'LANÇAMENTOS DIÁRIOS'!$O$5:$O$500,"&lt;=124499",'LANÇAMENTOS DIÁRIOS'!$P$5:$P$500,"&gt;=124400")&gt;0,"X","")</f>
      </c>
      <c r="C6" s="56" t="str">
        <f>IF(COUNTIFS('LANÇAMENTOS DIÁRIOS'!$G$5:$G$500,"H",'LANÇAMENTOS DIÁRIOS'!$C$5:$C$500,$A6,'LANÇAMENTOS DIÁRIOS'!$O$5:$O$500,"&lt;=124599",'LANÇAMENTOS DIÁRIOS'!$P$5:$P$500,"&gt;=124500")&gt;0,"X","")</f>
      </c>
      <c r="D6" s="56" t="str">
        <f>IF(COUNTIFS('LANÇAMENTOS DIÁRIOS'!$G$5:$G$500,"H",'LANÇAMENTOS DIÁRIOS'!$C$5:$C$500,$A6,'LANÇAMENTOS DIÁRIOS'!$O$5:$O$500,"&lt;=124699",'LANÇAMENTOS DIÁRIOS'!$P$5:$P$500,"&gt;=124600")&gt;0,"X","")</f>
      </c>
      <c r="E6" s="56" t="str">
        <f>IF(COUNTIFS('LANÇAMENTOS DIÁRIOS'!$G$5:$G$500,"H",'LANÇAMENTOS DIÁRIOS'!$C$5:$C$500,$A6,'LANÇAMENTOS DIÁRIOS'!$O$5:$O$500,"&lt;=124799",'LANÇAMENTOS DIÁRIOS'!$P$5:$P$500,"&gt;=124700")&gt;0,"X","")</f>
      </c>
      <c r="F6" s="56" t="str">
        <f>IF(COUNTIFS('LANÇAMENTOS DIÁRIOS'!$G$5:$G$500,"H",'LANÇAMENTOS DIÁRIOS'!$C$5:$C$500,$A6,'LANÇAMENTOS DIÁRIOS'!$O$5:$O$500,"&lt;=124899",'LANÇAMENTOS DIÁRIOS'!$P$5:$P$500,"&gt;=124800")&gt;0,"X","")</f>
      </c>
      <c r="G6" s="56" t="str">
        <f>IF(COUNTIFS('LANÇAMENTOS DIÁRIOS'!$G$5:$G$500,"H",'LANÇAMENTOS DIÁRIOS'!$C$5:$C$500,$A6,'LANÇAMENTOS DIÁRIOS'!$O$5:$O$500,"&lt;=124999",'LANÇAMENTOS DIÁRIOS'!$P$5:$P$500,"&gt;=124900")&gt;0,"X","")</f>
      </c>
      <c r="H6" s="56" t="str">
        <f>IF(COUNTIFS('LANÇAMENTOS DIÁRIOS'!$G$5:$G$500,"H",'LANÇAMENTOS DIÁRIOS'!$C$5:$C$500,$A6,'LANÇAMENTOS DIÁRIOS'!$O$5:$O$500,"&lt;=125099",'LANÇAMENTOS DIÁRIOS'!$P$5:$P$500,"&gt;=125000")&gt;0,"X","")</f>
      </c>
      <c r="I6" s="56" t="str">
        <f>IF(COUNTIFS('LANÇAMENTOS DIÁRIOS'!$G$5:$G$500,"H",'LANÇAMENTOS DIÁRIOS'!$C$5:$C$500,$A6,'LANÇAMENTOS DIÁRIOS'!$O$5:$O$500,"&lt;=125199",'LANÇAMENTOS DIÁRIOS'!$P$5:$P$500,"&gt;=125100")&gt;0,"X","")</f>
      </c>
      <c r="J6" s="56" t="str">
        <f>IF(COUNTIFS('LANÇAMENTOS DIÁRIOS'!$G$5:$G$500,"H",'LANÇAMENTOS DIÁRIOS'!$C$5:$C$500,$A6,'LANÇAMENTOS DIÁRIOS'!$O$5:$O$500,"&lt;=125299",'LANÇAMENTOS DIÁRIOS'!$P$5:$P$500,"&gt;=125200")&gt;0,"X","")</f>
      </c>
      <c r="K6" s="56" t="str">
        <f>IF(COUNTIFS('LANÇAMENTOS DIÁRIOS'!$G$5:$G$500,"H",'LANÇAMENTOS DIÁRIOS'!$C$5:$C$500,$A6,'LANÇAMENTOS DIÁRIOS'!$O$5:$O$500,"&lt;=125399",'LANÇAMENTOS DIÁRIOS'!$P$5:$P$500,"&gt;=125300")&gt;0,"X","")</f>
      </c>
      <c r="L6" s="56" t="str">
        <f>IF(COUNTIFS('LANÇAMENTOS DIÁRIOS'!$G$5:$G$500,"H",'LANÇAMENTOS DIÁRIOS'!$C$5:$C$500,$A6,'LANÇAMENTOS DIÁRIOS'!$O$5:$O$500,"&lt;=125499",'LANÇAMENTOS DIÁRIOS'!$P$5:$P$500,"&gt;=125400")&gt;0,"X","")</f>
      </c>
      <c r="M6" s="56" t="str">
        <f>IF(COUNTIFS('LANÇAMENTOS DIÁRIOS'!$G$5:$G$500,"H",'LANÇAMENTOS DIÁRIOS'!$C$5:$C$500,$A6,'LANÇAMENTOS DIÁRIOS'!$O$5:$O$500,"&lt;=125599",'LANÇAMENTOS DIÁRIOS'!$P$5:$P$500,"&gt;=125500")&gt;0,"X","")</f>
      </c>
      <c r="N6" s="56" t="str">
        <f>IF(COUNTIFS('LANÇAMENTOS DIÁRIOS'!$G$5:$G$500,"H",'LANÇAMENTOS DIÁRIOS'!$C$5:$C$500,$A6,'LANÇAMENTOS DIÁRIOS'!$O$5:$O$500,"&lt;=125699",'LANÇAMENTOS DIÁRIOS'!$P$5:$P$500,"&gt;=125600")&gt;0,"X","")</f>
      </c>
      <c r="O6" s="56" t="str">
        <f>IF(COUNTIFS('LANÇAMENTOS DIÁRIOS'!$G$5:$G$500,"H",'LANÇAMENTOS DIÁRIOS'!$C$5:$C$500,$A6,'LANÇAMENTOS DIÁRIOS'!$O$5:$O$500,"&lt;=125799",'LANÇAMENTOS DIÁRIOS'!$P$5:$P$500,"&gt;=125700")&gt;0,"X","")</f>
      </c>
      <c r="P6" s="56" t="str">
        <f>IF(COUNTIFS('LANÇAMENTOS DIÁRIOS'!$G$5:$G$500,"H",'LANÇAMENTOS DIÁRIOS'!$C$5:$C$500,$A6,'LANÇAMENTOS DIÁRIOS'!$O$5:$O$500,"&lt;=125899",'LANÇAMENTOS DIÁRIOS'!$P$5:$P$500,"&gt;=125800")&gt;0,"X","")</f>
      </c>
      <c r="Q6" s="56" t="str">
        <f>IF(COUNTIFS('LANÇAMENTOS DIÁRIOS'!$G$5:$G$500,"H",'LANÇAMENTOS DIÁRIOS'!$C$5:$C$500,$A6,'LANÇAMENTOS DIÁRIOS'!$O$5:$O$500,"&lt;=125999",'LANÇAMENTOS DIÁRIOS'!$P$5:$P$500,"&gt;=125900")&gt;0,"X","")</f>
      </c>
      <c r="R6" s="56" t="str">
        <f>IF(COUNTIFS('LANÇAMENTOS DIÁRIOS'!$G$5:$G$500,"H",'LANÇAMENTOS DIÁRIOS'!$C$5:$C$500,$A6,'LANÇAMENTOS DIÁRIOS'!$O$5:$O$500,"&lt;=126099",'LANÇAMENTOS DIÁRIOS'!$P$5:$P$500,"&gt;=126000")&gt;0,"X","")</f>
      </c>
      <c r="S6" s="56" t="str">
        <f>IF(COUNTIFS('LANÇAMENTOS DIÁRIOS'!$G$5:$G$500,"H",'LANÇAMENTOS DIÁRIOS'!$C$5:$C$500,$A6,'LANÇAMENTOS DIÁRIOS'!$O$5:$O$500,"&lt;=126199",'LANÇAMENTOS DIÁRIOS'!$P$5:$P$500,"&gt;=126100")&gt;0,"X","")</f>
      </c>
      <c r="T6" s="56" t="str">
        <f>IF(COUNTIFS('LANÇAMENTOS DIÁRIOS'!$G$5:$G$500,"H",'LANÇAMENTOS DIÁRIOS'!$C$5:$C$500,$A6,'LANÇAMENTOS DIÁRIOS'!$O$5:$O$500,"&lt;=126299",'LANÇAMENTOS DIÁRIOS'!$P$5:$P$500,"&gt;=126200")&gt;0,"X","")</f>
      </c>
      <c r="U6" s="56" t="str">
        <f>IF(COUNTIFS('LANÇAMENTOS DIÁRIOS'!$G$5:$G$500,"H",'LANÇAMENTOS DIÁRIOS'!$C$5:$C$500,$A6,'LANÇAMENTOS DIÁRIOS'!$O$5:$O$500,"&lt;=126399",'LANÇAMENTOS DIÁRIOS'!$P$5:$P$500,"&gt;=126300")&gt;0,"X","")</f>
      </c>
      <c r="V6" s="56" t="str">
        <f>IF(COUNTIFS('LANÇAMENTOS DIÁRIOS'!$G$5:$G$500,"H",'LANÇAMENTOS DIÁRIOS'!$C$5:$C$500,$A6,'LANÇAMENTOS DIÁRIOS'!$O$5:$O$500,"&lt;=126499",'LANÇAMENTOS DIÁRIOS'!$P$5:$P$500,"&gt;=126400")&gt;0,"X","")</f>
      </c>
      <c r="W6" s="56" t="str">
        <f>IF(COUNTIFS('LANÇAMENTOS DIÁRIOS'!$G$5:$G$500,"H",'LANÇAMENTOS DIÁRIOS'!$C$5:$C$500,$A6,'LANÇAMENTOS DIÁRIOS'!$O$5:$O$500,"&lt;=126599",'LANÇAMENTOS DIÁRIOS'!$P$5:$P$500,"&gt;=126500")&gt;0,"X","")</f>
      </c>
      <c r="X6" s="56" t="str">
        <f>IF(COUNTIFS('LANÇAMENTOS DIÁRIOS'!$G$5:$G$500,"H",'LANÇAMENTOS DIÁRIOS'!$C$5:$C$500,$A6,'LANÇAMENTOS DIÁRIOS'!$O$5:$O$500,"&lt;=126699",'LANÇAMENTOS DIÁRIOS'!$P$5:$P$500,"&gt;=126600")&gt;0,"X","")</f>
      </c>
      <c r="Y6" s="56" t="str">
        <f>IF(COUNTIFS('LANÇAMENTOS DIÁRIOS'!$G$5:$G$500,"H",'LANÇAMENTOS DIÁRIOS'!$C$5:$C$500,$A6,'LANÇAMENTOS DIÁRIOS'!$O$5:$O$500,"&lt;=126799",'LANÇAMENTOS DIÁRIOS'!$P$5:$P$500,"&gt;=126700")&gt;0,"X","")</f>
      </c>
      <c r="Z6" s="56" t="str">
        <f>IF(COUNTIFS('LANÇAMENTOS DIÁRIOS'!$G$5:$G$500,"H",'LANÇAMENTOS DIÁRIOS'!$C$5:$C$500,$A6,'LANÇAMENTOS DIÁRIOS'!$O$5:$O$500,"&lt;=126899",'LANÇAMENTOS DIÁRIOS'!$P$5:$P$500,"&gt;=126800")&gt;0,"X","")</f>
      </c>
      <c r="AA6" s="56" t="str">
        <f>IF(COUNTIFS('LANÇAMENTOS DIÁRIOS'!$G$5:$G$500,"H",'LANÇAMENTOS DIÁRIOS'!$C$5:$C$500,$A6,'LANÇAMENTOS DIÁRIOS'!$O$5:$O$500,"&lt;=126999",'LANÇAMENTOS DIÁRIOS'!$P$5:$P$500,"&gt;=126900")&gt;0,"X","")</f>
      </c>
      <c r="AB6" s="56" t="str">
        <f>IF(COUNTIFS('LANÇAMENTOS DIÁRIOS'!$G$5:$G$500,"H",'LANÇAMENTOS DIÁRIOS'!$C$5:$C$500,$A6,'LANÇAMENTOS DIÁRIOS'!$O$5:$O$500,"&lt;=127099",'LANÇAMENTOS DIÁRIOS'!$P$5:$P$500,"&gt;=127000")&gt;0,"X","")</f>
      </c>
      <c r="AC6" s="56" t="str">
        <f>IF(COUNTIFS('LANÇAMENTOS DIÁRIOS'!$G$5:$G$500,"H",'LANÇAMENTOS DIÁRIOS'!$C$5:$C$500,$A6,'LANÇAMENTOS DIÁRIOS'!$O$5:$O$500,"&lt;=127199",'LANÇAMENTOS DIÁRIOS'!$P$5:$P$500,"&gt;=127100")&gt;0,"X","")</f>
      </c>
      <c r="AD6" s="56" t="str">
        <f>IF(COUNTIFS('LANÇAMENTOS DIÁRIOS'!$G$5:$G$500,"H",'LANÇAMENTOS DIÁRIOS'!$C$5:$C$500,$A6,'LANÇAMENTOS DIÁRIOS'!$O$5:$O$500,"&lt;=127299",'LANÇAMENTOS DIÁRIOS'!$P$5:$P$500,"&gt;=127200")&gt;0,"X","")</f>
      </c>
      <c r="AE6" s="56" t="str">
        <f>IF(COUNTIFS('LANÇAMENTOS DIÁRIOS'!$G$5:$G$500,"H",'LANÇAMENTOS DIÁRIOS'!$C$5:$C$500,$A6,'LANÇAMENTOS DIÁRIOS'!$O$5:$O$500,"&lt;=127399",'LANÇAMENTOS DIÁRIOS'!$P$5:$P$500,"&gt;=127300")&gt;0,"X","")</f>
      </c>
      <c r="AF6" s="56" t="str">
        <f>IF(COUNTIFS('LANÇAMENTOS DIÁRIOS'!$G$5:$G$500,"H",'LANÇAMENTOS DIÁRIOS'!$C$5:$C$500,$A6,'LANÇAMENTOS DIÁRIOS'!$O$5:$O$500,"&lt;=127499",'LANÇAMENTOS DIÁRIOS'!$P$5:$P$500,"&gt;=127400")&gt;0,"X","")</f>
      </c>
      <c r="AG6" s="56" t="str">
        <f>IF(COUNTIFS('LANÇAMENTOS DIÁRIOS'!$G$5:$G$500,"H",'LANÇAMENTOS DIÁRIOS'!$C$5:$C$500,$A6,'LANÇAMENTOS DIÁRIOS'!$O$5:$O$500,"&lt;=127599",'LANÇAMENTOS DIÁRIOS'!$P$5:$P$500,"&gt;=127500")&gt;0,"X","")</f>
      </c>
      <c r="AH6" s="56" t="str">
        <f>IF(COUNTIFS('LANÇAMENTOS DIÁRIOS'!$G$5:$G$500,"H",'LANÇAMENTOS DIÁRIOS'!$C$5:$C$500,$A6,'LANÇAMENTOS DIÁRIOS'!$O$5:$O$500,"&lt;=127699",'LANÇAMENTOS DIÁRIOS'!$P$5:$P$500,"&gt;=127600")&gt;0,"X","")</f>
      </c>
      <c r="AI6" s="56" t="str">
        <f>IF(COUNTIFS('LANÇAMENTOS DIÁRIOS'!$G$5:$G$500,"H",'LANÇAMENTOS DIÁRIOS'!$C$5:$C$500,$A6,'LANÇAMENTOS DIÁRIOS'!$O$5:$O$500,"&lt;=127799",'LANÇAMENTOS DIÁRIOS'!$P$5:$P$500,"&gt;=127700")&gt;0,"X","")</f>
      </c>
      <c r="AJ6" s="56" t="str">
        <f>IF(COUNTIFS('LANÇAMENTOS DIÁRIOS'!$G$5:$G$500,"H",'LANÇAMENTOS DIÁRIOS'!$C$5:$C$500,$A6,'LANÇAMENTOS DIÁRIOS'!$O$5:$O$500,"&lt;=127899",'LANÇAMENTOS DIÁRIOS'!$P$5:$P$500,"&gt;=127800")&gt;0,"X","")</f>
      </c>
      <c r="AK6" s="56" t="str">
        <f>IF(COUNTIFS('LANÇAMENTOS DIÁRIOS'!$G$5:$G$500,"H",'LANÇAMENTOS DIÁRIOS'!$C$5:$C$500,$A6,'LANÇAMENTOS DIÁRIOS'!$O$5:$O$500,"&lt;=127999",'LANÇAMENTOS DIÁRIOS'!$P$5:$P$500,"&gt;=127900")&gt;0,"X","")</f>
      </c>
      <c r="AL6" s="56" t="str">
        <f>IF(COUNTIFS('LANÇAMENTOS DIÁRIOS'!$G$5:$G$500,"H",'LANÇAMENTOS DIÁRIOS'!$C$5:$C$500,$A6,'LANÇAMENTOS DIÁRIOS'!$O$5:$O$500,"&lt;=128099",'LANÇAMENTOS DIÁRIOS'!$P$5:$P$500,"&gt;=128000")&gt;0,"X","")</f>
      </c>
      <c r="AM6" s="56" t="str">
        <f>IF(COUNTIFS('LANÇAMENTOS DIÁRIOS'!$G$5:$G$500,"H",'LANÇAMENTOS DIÁRIOS'!$C$5:$C$500,$A6,'LANÇAMENTOS DIÁRIOS'!$O$5:$O$500,"&lt;=128199",'LANÇAMENTOS DIÁRIOS'!$P$5:$P$500,"&gt;=128100")&gt;0,"X","")</f>
      </c>
      <c r="AN6" s="56" t="str">
        <f>IF(COUNTIFS('LANÇAMENTOS DIÁRIOS'!$G$5:$G$500,"H",'LANÇAMENTOS DIÁRIOS'!$C$5:$C$500,$A6,'LANÇAMENTOS DIÁRIOS'!$O$5:$O$500,"&lt;=128299",'LANÇAMENTOS DIÁRIOS'!$P$5:$P$500,"&gt;=128200")&gt;0,"X","")</f>
      </c>
      <c r="AO6" s="56" t="str">
        <f>IF(COUNTIFS('LANÇAMENTOS DIÁRIOS'!$G$5:$G$500,"H",'LANÇAMENTOS DIÁRIOS'!$C$5:$C$500,$A6,'LANÇAMENTOS DIÁRIOS'!$O$5:$O$500,"&lt;=128399",'LANÇAMENTOS DIÁRIOS'!$P$5:$P$500,"&gt;=128300")&gt;0,"X","")</f>
      </c>
      <c r="AP6" s="56" t="str">
        <f>IF(COUNTIFS('LANÇAMENTOS DIÁRIOS'!$G$5:$G$500,"H",'LANÇAMENTOS DIÁRIOS'!$C$5:$C$500,$A6,'LANÇAMENTOS DIÁRIOS'!$O$5:$O$500,"&lt;=128499",'LANÇAMENTOS DIÁRIOS'!$P$5:$P$500,"&gt;=128400")&gt;0,"X","")</f>
      </c>
      <c r="AQ6" s="56" t="str">
        <f>IF(COUNTIFS('LANÇAMENTOS DIÁRIOS'!$G$5:$G$500,"H",'LANÇAMENTOS DIÁRIOS'!$C$5:$C$500,$A6,'LANÇAMENTOS DIÁRIOS'!$O$5:$O$500,"&lt;=128599",'LANÇAMENTOS DIÁRIOS'!$P$5:$P$500,"&gt;=128500")&gt;0,"X","")</f>
      </c>
      <c r="AR6" s="56" t="str">
        <f>IF(COUNTIFS('LANÇAMENTOS DIÁRIOS'!$G$5:$G$500,"H",'LANÇAMENTOS DIÁRIOS'!$C$5:$C$500,$A6,'LANÇAMENTOS DIÁRIOS'!$O$5:$O$500,"&lt;=128699",'LANÇAMENTOS DIÁRIOS'!$P$5:$P$500,"&gt;=128600")&gt;0,"X","")</f>
      </c>
      <c r="AS6" s="56" t="str">
        <f>IF(COUNTIFS('LANÇAMENTOS DIÁRIOS'!$G$5:$G$500,"H",'LANÇAMENTOS DIÁRIOS'!$C$5:$C$500,$A6,'LANÇAMENTOS DIÁRIOS'!$O$5:$O$500,"&lt;=128799",'LANÇAMENTOS DIÁRIOS'!$P$5:$P$500,"&gt;=128700")&gt;0,"X","")</f>
      </c>
      <c r="AT6" s="56" t="str">
        <f>IF(COUNTIFS('LANÇAMENTOS DIÁRIOS'!$G$5:$G$500,"H",'LANÇAMENTOS DIÁRIOS'!$C$5:$C$500,$A6,'LANÇAMENTOS DIÁRIOS'!$O$5:$O$500,"&lt;=128899",'LANÇAMENTOS DIÁRIOS'!$P$5:$P$500,"&gt;=128800")&gt;0,"X","")</f>
      </c>
      <c r="AU6" s="56" t="str">
        <f>IF(COUNTIFS('LANÇAMENTOS DIÁRIOS'!$G$5:$G$500,"H",'LANÇAMENTOS DIÁRIOS'!$C$5:$C$500,$A6,'LANÇAMENTOS DIÁRIOS'!$O$5:$O$500,"&lt;=128999",'LANÇAMENTOS DIÁRIOS'!$P$5:$P$500,"&gt;=128900")&gt;0,"X","")</f>
      </c>
      <c r="AV6" s="56" t="str">
        <f>IF(COUNTIFS('LANÇAMENTOS DIÁRIOS'!$G$5:$G$500,"H",'LANÇAMENTOS DIÁRIOS'!$C$5:$C$500,$A6,'LANÇAMENTOS DIÁRIOS'!$O$5:$O$500,"&lt;=129099",'LANÇAMENTOS DIÁRIOS'!$P$5:$P$500,"&gt;=129000")&gt;0,"X","")</f>
      </c>
      <c r="AW6" s="56" t="str">
        <f>IF(COUNTIFS('LANÇAMENTOS DIÁRIOS'!$G$5:$G$500,"H",'LANÇAMENTOS DIÁRIOS'!$C$5:$C$500,$A6,'LANÇAMENTOS DIÁRIOS'!$O$5:$O$500,"&lt;=129199",'LANÇAMENTOS DIÁRIOS'!$P$5:$P$500,"&gt;=129100")&gt;0,"X","")</f>
      </c>
      <c r="AX6" s="56" t="str">
        <f>IF(COUNTIFS('LANÇAMENTOS DIÁRIOS'!$G$5:$G$500,"H",'LANÇAMENTOS DIÁRIOS'!$C$5:$C$500,$A6,'LANÇAMENTOS DIÁRIOS'!$O$5:$O$500,"&lt;=129299",'LANÇAMENTOS DIÁRIOS'!$P$5:$P$500,"&gt;=129200")&gt;0,"X","")</f>
      </c>
      <c r="AY6" s="56" t="str">
        <f>IF(COUNTIFS('LANÇAMENTOS DIÁRIOS'!$G$5:$G$500,"H",'LANÇAMENTOS DIÁRIOS'!$C$5:$C$500,$A6,'LANÇAMENTOS DIÁRIOS'!$O$5:$O$500,"&lt;=129399",'LANÇAMENTOS DIÁRIOS'!$P$5:$P$500,"&gt;=129300")&gt;0,"X","")</f>
      </c>
      <c r="AZ6" s="56" t="str">
        <f>IF(COUNTIFS('LANÇAMENTOS DIÁRIOS'!$G$5:$G$500,"H",'LANÇAMENTOS DIÁRIOS'!$C$5:$C$500,$A6,'LANÇAMENTOS DIÁRIOS'!$O$5:$O$500,"&lt;=129400",'LANÇAMENTOS DIÁRIOS'!$P$5:$P$500,"&gt;=129400")&gt;0,"X","")</f>
      </c>
    </row>
    <row r="7">
      <c r="A7" s="51" t="str">
        <v>Remoção de placa de sinalização vertical instalada no solo</v>
      </c>
      <c r="B7" s="56" t="str">
        <f>IF(COUNTIFS('LANÇAMENTOS DIÁRIOS'!$G$5:$G$500,"H",'LANÇAMENTOS DIÁRIOS'!$C$5:$C$500,$A7,'LANÇAMENTOS DIÁRIOS'!$O$5:$O$500,"&lt;=124499",'LANÇAMENTOS DIÁRIOS'!$P$5:$P$500,"&gt;=124400")&gt;0,"X","")</f>
      </c>
      <c r="C7" s="56" t="str">
        <f>IF(COUNTIFS('LANÇAMENTOS DIÁRIOS'!$G$5:$G$500,"H",'LANÇAMENTOS DIÁRIOS'!$C$5:$C$500,$A7,'LANÇAMENTOS DIÁRIOS'!$O$5:$O$500,"&lt;=124599",'LANÇAMENTOS DIÁRIOS'!$P$5:$P$500,"&gt;=124500")&gt;0,"X","")</f>
      </c>
      <c r="D7" s="56" t="str">
        <f>IF(COUNTIFS('LANÇAMENTOS DIÁRIOS'!$G$5:$G$500,"H",'LANÇAMENTOS DIÁRIOS'!$C$5:$C$500,$A7,'LANÇAMENTOS DIÁRIOS'!$O$5:$O$500,"&lt;=124699",'LANÇAMENTOS DIÁRIOS'!$P$5:$P$500,"&gt;=124600")&gt;0,"X","")</f>
      </c>
      <c r="E7" s="56" t="str">
        <f>IF(COUNTIFS('LANÇAMENTOS DIÁRIOS'!$G$5:$G$500,"H",'LANÇAMENTOS DIÁRIOS'!$C$5:$C$500,$A7,'LANÇAMENTOS DIÁRIOS'!$O$5:$O$500,"&lt;=124799",'LANÇAMENTOS DIÁRIOS'!$P$5:$P$500,"&gt;=124700")&gt;0,"X","")</f>
      </c>
      <c r="F7" s="56" t="str">
        <f>IF(COUNTIFS('LANÇAMENTOS DIÁRIOS'!$G$5:$G$500,"H",'LANÇAMENTOS DIÁRIOS'!$C$5:$C$500,$A7,'LANÇAMENTOS DIÁRIOS'!$O$5:$O$500,"&lt;=124899",'LANÇAMENTOS DIÁRIOS'!$P$5:$P$500,"&gt;=124800")&gt;0,"X","")</f>
      </c>
      <c r="G7" s="56" t="str">
        <f>IF(COUNTIFS('LANÇAMENTOS DIÁRIOS'!$G$5:$G$500,"H",'LANÇAMENTOS DIÁRIOS'!$C$5:$C$500,$A7,'LANÇAMENTOS DIÁRIOS'!$O$5:$O$500,"&lt;=124999",'LANÇAMENTOS DIÁRIOS'!$P$5:$P$500,"&gt;=124900")&gt;0,"X","")</f>
      </c>
      <c r="H7" s="56" t="str">
        <f>IF(COUNTIFS('LANÇAMENTOS DIÁRIOS'!$G$5:$G$500,"H",'LANÇAMENTOS DIÁRIOS'!$C$5:$C$500,$A7,'LANÇAMENTOS DIÁRIOS'!$O$5:$O$500,"&lt;=125099",'LANÇAMENTOS DIÁRIOS'!$P$5:$P$500,"&gt;=125000")&gt;0,"X","")</f>
      </c>
      <c r="I7" s="56" t="str">
        <f>IF(COUNTIFS('LANÇAMENTOS DIÁRIOS'!$G$5:$G$500,"H",'LANÇAMENTOS DIÁRIOS'!$C$5:$C$500,$A7,'LANÇAMENTOS DIÁRIOS'!$O$5:$O$500,"&lt;=125199",'LANÇAMENTOS DIÁRIOS'!$P$5:$P$500,"&gt;=125100")&gt;0,"X","")</f>
      </c>
      <c r="J7" s="56" t="str">
        <f>IF(COUNTIFS('LANÇAMENTOS DIÁRIOS'!$G$5:$G$500,"H",'LANÇAMENTOS DIÁRIOS'!$C$5:$C$500,$A7,'LANÇAMENTOS DIÁRIOS'!$O$5:$O$500,"&lt;=125299",'LANÇAMENTOS DIÁRIOS'!$P$5:$P$500,"&gt;=125200")&gt;0,"X","")</f>
      </c>
      <c r="K7" s="56" t="str">
        <f>IF(COUNTIFS('LANÇAMENTOS DIÁRIOS'!$G$5:$G$500,"H",'LANÇAMENTOS DIÁRIOS'!$C$5:$C$500,$A7,'LANÇAMENTOS DIÁRIOS'!$O$5:$O$500,"&lt;=125399",'LANÇAMENTOS DIÁRIOS'!$P$5:$P$500,"&gt;=125300")&gt;0,"X","")</f>
      </c>
      <c r="L7" s="56" t="str">
        <f>IF(COUNTIFS('LANÇAMENTOS DIÁRIOS'!$G$5:$G$500,"H",'LANÇAMENTOS DIÁRIOS'!$C$5:$C$500,$A7,'LANÇAMENTOS DIÁRIOS'!$O$5:$O$500,"&lt;=125499",'LANÇAMENTOS DIÁRIOS'!$P$5:$P$500,"&gt;=125400")&gt;0,"X","")</f>
      </c>
      <c r="M7" s="56" t="str">
        <f>IF(COUNTIFS('LANÇAMENTOS DIÁRIOS'!$G$5:$G$500,"H",'LANÇAMENTOS DIÁRIOS'!$C$5:$C$500,$A7,'LANÇAMENTOS DIÁRIOS'!$O$5:$O$500,"&lt;=125599",'LANÇAMENTOS DIÁRIOS'!$P$5:$P$500,"&gt;=125500")&gt;0,"X","")</f>
      </c>
      <c r="N7" s="56" t="str">
        <f>IF(COUNTIFS('LANÇAMENTOS DIÁRIOS'!$G$5:$G$500,"H",'LANÇAMENTOS DIÁRIOS'!$C$5:$C$500,$A7,'LANÇAMENTOS DIÁRIOS'!$O$5:$O$500,"&lt;=125699",'LANÇAMENTOS DIÁRIOS'!$P$5:$P$500,"&gt;=125600")&gt;0,"X","")</f>
      </c>
      <c r="O7" s="56" t="str">
        <f>IF(COUNTIFS('LANÇAMENTOS DIÁRIOS'!$G$5:$G$500,"H",'LANÇAMENTOS DIÁRIOS'!$C$5:$C$500,$A7,'LANÇAMENTOS DIÁRIOS'!$O$5:$O$500,"&lt;=125799",'LANÇAMENTOS DIÁRIOS'!$P$5:$P$500,"&gt;=125700")&gt;0,"X","")</f>
      </c>
      <c r="P7" s="56" t="str">
        <f>IF(COUNTIFS('LANÇAMENTOS DIÁRIOS'!$G$5:$G$500,"H",'LANÇAMENTOS DIÁRIOS'!$C$5:$C$500,$A7,'LANÇAMENTOS DIÁRIOS'!$O$5:$O$500,"&lt;=125899",'LANÇAMENTOS DIÁRIOS'!$P$5:$P$500,"&gt;=125800")&gt;0,"X","")</f>
      </c>
      <c r="Q7" s="56" t="str">
        <f>IF(COUNTIFS('LANÇAMENTOS DIÁRIOS'!$G$5:$G$500,"H",'LANÇAMENTOS DIÁRIOS'!$C$5:$C$500,$A7,'LANÇAMENTOS DIÁRIOS'!$O$5:$O$500,"&lt;=125999",'LANÇAMENTOS DIÁRIOS'!$P$5:$P$500,"&gt;=125900")&gt;0,"X","")</f>
      </c>
      <c r="R7" s="56" t="str">
        <f>IF(COUNTIFS('LANÇAMENTOS DIÁRIOS'!$G$5:$G$500,"H",'LANÇAMENTOS DIÁRIOS'!$C$5:$C$500,$A7,'LANÇAMENTOS DIÁRIOS'!$O$5:$O$500,"&lt;=126099",'LANÇAMENTOS DIÁRIOS'!$P$5:$P$500,"&gt;=126000")&gt;0,"X","")</f>
      </c>
      <c r="S7" s="56" t="str">
        <f>IF(COUNTIFS('LANÇAMENTOS DIÁRIOS'!$G$5:$G$500,"H",'LANÇAMENTOS DIÁRIOS'!$C$5:$C$500,$A7,'LANÇAMENTOS DIÁRIOS'!$O$5:$O$500,"&lt;=126199",'LANÇAMENTOS DIÁRIOS'!$P$5:$P$500,"&gt;=126100")&gt;0,"X","")</f>
      </c>
      <c r="T7" s="56" t="str">
        <f>IF(COUNTIFS('LANÇAMENTOS DIÁRIOS'!$G$5:$G$500,"H",'LANÇAMENTOS DIÁRIOS'!$C$5:$C$500,$A7,'LANÇAMENTOS DIÁRIOS'!$O$5:$O$500,"&lt;=126299",'LANÇAMENTOS DIÁRIOS'!$P$5:$P$500,"&gt;=126200")&gt;0,"X","")</f>
      </c>
      <c r="U7" s="56" t="str">
        <f>IF(COUNTIFS('LANÇAMENTOS DIÁRIOS'!$G$5:$G$500,"H",'LANÇAMENTOS DIÁRIOS'!$C$5:$C$500,$A7,'LANÇAMENTOS DIÁRIOS'!$O$5:$O$500,"&lt;=126399",'LANÇAMENTOS DIÁRIOS'!$P$5:$P$500,"&gt;=126300")&gt;0,"X","")</f>
      </c>
      <c r="V7" s="56" t="str">
        <f>IF(COUNTIFS('LANÇAMENTOS DIÁRIOS'!$G$5:$G$500,"H",'LANÇAMENTOS DIÁRIOS'!$C$5:$C$500,$A7,'LANÇAMENTOS DIÁRIOS'!$O$5:$O$500,"&lt;=126499",'LANÇAMENTOS DIÁRIOS'!$P$5:$P$500,"&gt;=126400")&gt;0,"X","")</f>
      </c>
      <c r="W7" s="56" t="str">
        <f>IF(COUNTIFS('LANÇAMENTOS DIÁRIOS'!$G$5:$G$500,"H",'LANÇAMENTOS DIÁRIOS'!$C$5:$C$500,$A7,'LANÇAMENTOS DIÁRIOS'!$O$5:$O$500,"&lt;=126599",'LANÇAMENTOS DIÁRIOS'!$P$5:$P$500,"&gt;=126500")&gt;0,"X","")</f>
      </c>
      <c r="X7" s="56" t="str">
        <f>IF(COUNTIFS('LANÇAMENTOS DIÁRIOS'!$G$5:$G$500,"H",'LANÇAMENTOS DIÁRIOS'!$C$5:$C$500,$A7,'LANÇAMENTOS DIÁRIOS'!$O$5:$O$500,"&lt;=126699",'LANÇAMENTOS DIÁRIOS'!$P$5:$P$500,"&gt;=126600")&gt;0,"X","")</f>
      </c>
      <c r="Y7" s="56" t="str">
        <f>IF(COUNTIFS('LANÇAMENTOS DIÁRIOS'!$G$5:$G$500,"H",'LANÇAMENTOS DIÁRIOS'!$C$5:$C$500,$A7,'LANÇAMENTOS DIÁRIOS'!$O$5:$O$500,"&lt;=126799",'LANÇAMENTOS DIÁRIOS'!$P$5:$P$500,"&gt;=126700")&gt;0,"X","")</f>
      </c>
      <c r="Z7" s="56" t="str">
        <f>IF(COUNTIFS('LANÇAMENTOS DIÁRIOS'!$G$5:$G$500,"H",'LANÇAMENTOS DIÁRIOS'!$C$5:$C$500,$A7,'LANÇAMENTOS DIÁRIOS'!$O$5:$O$500,"&lt;=126899",'LANÇAMENTOS DIÁRIOS'!$P$5:$P$500,"&gt;=126800")&gt;0,"X","")</f>
      </c>
      <c r="AA7" s="56" t="str">
        <f>IF(COUNTIFS('LANÇAMENTOS DIÁRIOS'!$G$5:$G$500,"H",'LANÇAMENTOS DIÁRIOS'!$C$5:$C$500,$A7,'LANÇAMENTOS DIÁRIOS'!$O$5:$O$500,"&lt;=126999",'LANÇAMENTOS DIÁRIOS'!$P$5:$P$500,"&gt;=126900")&gt;0,"X","")</f>
      </c>
      <c r="AB7" s="56" t="str">
        <f>IF(COUNTIFS('LANÇAMENTOS DIÁRIOS'!$G$5:$G$500,"H",'LANÇAMENTOS DIÁRIOS'!$C$5:$C$500,$A7,'LANÇAMENTOS DIÁRIOS'!$O$5:$O$500,"&lt;=127099",'LANÇAMENTOS DIÁRIOS'!$P$5:$P$500,"&gt;=127000")&gt;0,"X","")</f>
      </c>
      <c r="AC7" s="56" t="str">
        <f>IF(COUNTIFS('LANÇAMENTOS DIÁRIOS'!$G$5:$G$500,"H",'LANÇAMENTOS DIÁRIOS'!$C$5:$C$500,$A7,'LANÇAMENTOS DIÁRIOS'!$O$5:$O$500,"&lt;=127199",'LANÇAMENTOS DIÁRIOS'!$P$5:$P$500,"&gt;=127100")&gt;0,"X","")</f>
      </c>
      <c r="AD7" s="56" t="str">
        <f>IF(COUNTIFS('LANÇAMENTOS DIÁRIOS'!$G$5:$G$500,"H",'LANÇAMENTOS DIÁRIOS'!$C$5:$C$500,$A7,'LANÇAMENTOS DIÁRIOS'!$O$5:$O$500,"&lt;=127299",'LANÇAMENTOS DIÁRIOS'!$P$5:$P$500,"&gt;=127200")&gt;0,"X","")</f>
      </c>
      <c r="AE7" s="56" t="str">
        <f>IF(COUNTIFS('LANÇAMENTOS DIÁRIOS'!$G$5:$G$500,"H",'LANÇAMENTOS DIÁRIOS'!$C$5:$C$500,$A7,'LANÇAMENTOS DIÁRIOS'!$O$5:$O$500,"&lt;=127399",'LANÇAMENTOS DIÁRIOS'!$P$5:$P$500,"&gt;=127300")&gt;0,"X","")</f>
      </c>
      <c r="AF7" s="56" t="str">
        <f>IF(COUNTIFS('LANÇAMENTOS DIÁRIOS'!$G$5:$G$500,"H",'LANÇAMENTOS DIÁRIOS'!$C$5:$C$500,$A7,'LANÇAMENTOS DIÁRIOS'!$O$5:$O$500,"&lt;=127499",'LANÇAMENTOS DIÁRIOS'!$P$5:$P$500,"&gt;=127400")&gt;0,"X","")</f>
      </c>
      <c r="AG7" s="56" t="str">
        <f>IF(COUNTIFS('LANÇAMENTOS DIÁRIOS'!$G$5:$G$500,"H",'LANÇAMENTOS DIÁRIOS'!$C$5:$C$500,$A7,'LANÇAMENTOS DIÁRIOS'!$O$5:$O$500,"&lt;=127599",'LANÇAMENTOS DIÁRIOS'!$P$5:$P$500,"&gt;=127500")&gt;0,"X","")</f>
      </c>
      <c r="AH7" s="56" t="str">
        <f>IF(COUNTIFS('LANÇAMENTOS DIÁRIOS'!$G$5:$G$500,"H",'LANÇAMENTOS DIÁRIOS'!$C$5:$C$500,$A7,'LANÇAMENTOS DIÁRIOS'!$O$5:$O$500,"&lt;=127699",'LANÇAMENTOS DIÁRIOS'!$P$5:$P$500,"&gt;=127600")&gt;0,"X","")</f>
      </c>
      <c r="AI7" s="56" t="str">
        <f>IF(COUNTIFS('LANÇAMENTOS DIÁRIOS'!$G$5:$G$500,"H",'LANÇAMENTOS DIÁRIOS'!$C$5:$C$500,$A7,'LANÇAMENTOS DIÁRIOS'!$O$5:$O$500,"&lt;=127799",'LANÇAMENTOS DIÁRIOS'!$P$5:$P$500,"&gt;=127700")&gt;0,"X","")</f>
      </c>
      <c r="AJ7" s="56" t="str">
        <f>IF(COUNTIFS('LANÇAMENTOS DIÁRIOS'!$G$5:$G$500,"H",'LANÇAMENTOS DIÁRIOS'!$C$5:$C$500,$A7,'LANÇAMENTOS DIÁRIOS'!$O$5:$O$500,"&lt;=127899",'LANÇAMENTOS DIÁRIOS'!$P$5:$P$500,"&gt;=127800")&gt;0,"X","")</f>
      </c>
      <c r="AK7" s="56" t="str">
        <f>IF(COUNTIFS('LANÇAMENTOS DIÁRIOS'!$G$5:$G$500,"H",'LANÇAMENTOS DIÁRIOS'!$C$5:$C$500,$A7,'LANÇAMENTOS DIÁRIOS'!$O$5:$O$500,"&lt;=127999",'LANÇAMENTOS DIÁRIOS'!$P$5:$P$500,"&gt;=127900")&gt;0,"X","")</f>
      </c>
      <c r="AL7" s="56" t="str">
        <f>IF(COUNTIFS('LANÇAMENTOS DIÁRIOS'!$G$5:$G$500,"H",'LANÇAMENTOS DIÁRIOS'!$C$5:$C$500,$A7,'LANÇAMENTOS DIÁRIOS'!$O$5:$O$500,"&lt;=128099",'LANÇAMENTOS DIÁRIOS'!$P$5:$P$500,"&gt;=128000")&gt;0,"X","")</f>
      </c>
      <c r="AM7" s="56" t="str">
        <f>IF(COUNTIFS('LANÇAMENTOS DIÁRIOS'!$G$5:$G$500,"H",'LANÇAMENTOS DIÁRIOS'!$C$5:$C$500,$A7,'LANÇAMENTOS DIÁRIOS'!$O$5:$O$500,"&lt;=128199",'LANÇAMENTOS DIÁRIOS'!$P$5:$P$500,"&gt;=128100")&gt;0,"X","")</f>
      </c>
      <c r="AN7" s="56" t="str">
        <f>IF(COUNTIFS('LANÇAMENTOS DIÁRIOS'!$G$5:$G$500,"H",'LANÇAMENTOS DIÁRIOS'!$C$5:$C$500,$A7,'LANÇAMENTOS DIÁRIOS'!$O$5:$O$500,"&lt;=128299",'LANÇAMENTOS DIÁRIOS'!$P$5:$P$500,"&gt;=128200")&gt;0,"X","")</f>
      </c>
      <c r="AO7" s="56" t="str">
        <f>IF(COUNTIFS('LANÇAMENTOS DIÁRIOS'!$G$5:$G$500,"H",'LANÇAMENTOS DIÁRIOS'!$C$5:$C$500,$A7,'LANÇAMENTOS DIÁRIOS'!$O$5:$O$500,"&lt;=128399",'LANÇAMENTOS DIÁRIOS'!$P$5:$P$500,"&gt;=128300")&gt;0,"X","")</f>
      </c>
      <c r="AP7" s="56" t="str">
        <f>IF(COUNTIFS('LANÇAMENTOS DIÁRIOS'!$G$5:$G$500,"H",'LANÇAMENTOS DIÁRIOS'!$C$5:$C$500,$A7,'LANÇAMENTOS DIÁRIOS'!$O$5:$O$500,"&lt;=128499",'LANÇAMENTOS DIÁRIOS'!$P$5:$P$500,"&gt;=128400")&gt;0,"X","")</f>
      </c>
      <c r="AQ7" s="56" t="str">
        <f>IF(COUNTIFS('LANÇAMENTOS DIÁRIOS'!$G$5:$G$500,"H",'LANÇAMENTOS DIÁRIOS'!$C$5:$C$500,$A7,'LANÇAMENTOS DIÁRIOS'!$O$5:$O$500,"&lt;=128599",'LANÇAMENTOS DIÁRIOS'!$P$5:$P$500,"&gt;=128500")&gt;0,"X","")</f>
      </c>
      <c r="AR7" s="56" t="str">
        <f>IF(COUNTIFS('LANÇAMENTOS DIÁRIOS'!$G$5:$G$500,"H",'LANÇAMENTOS DIÁRIOS'!$C$5:$C$500,$A7,'LANÇAMENTOS DIÁRIOS'!$O$5:$O$500,"&lt;=128699",'LANÇAMENTOS DIÁRIOS'!$P$5:$P$500,"&gt;=128600")&gt;0,"X","")</f>
      </c>
      <c r="AS7" s="56" t="str">
        <f>IF(COUNTIFS('LANÇAMENTOS DIÁRIOS'!$G$5:$G$500,"H",'LANÇAMENTOS DIÁRIOS'!$C$5:$C$500,$A7,'LANÇAMENTOS DIÁRIOS'!$O$5:$O$500,"&lt;=128799",'LANÇAMENTOS DIÁRIOS'!$P$5:$P$500,"&gt;=128700")&gt;0,"X","")</f>
      </c>
      <c r="AT7" s="56" t="str">
        <f>IF(COUNTIFS('LANÇAMENTOS DIÁRIOS'!$G$5:$G$500,"H",'LANÇAMENTOS DIÁRIOS'!$C$5:$C$500,$A7,'LANÇAMENTOS DIÁRIOS'!$O$5:$O$500,"&lt;=128899",'LANÇAMENTOS DIÁRIOS'!$P$5:$P$500,"&gt;=128800")&gt;0,"X","")</f>
      </c>
      <c r="AU7" s="56" t="str">
        <f>IF(COUNTIFS('LANÇAMENTOS DIÁRIOS'!$G$5:$G$500,"H",'LANÇAMENTOS DIÁRIOS'!$C$5:$C$500,$A7,'LANÇAMENTOS DIÁRIOS'!$O$5:$O$500,"&lt;=128999",'LANÇAMENTOS DIÁRIOS'!$P$5:$P$500,"&gt;=128900")&gt;0,"X","")</f>
      </c>
      <c r="AV7" s="56" t="str">
        <f>IF(COUNTIFS('LANÇAMENTOS DIÁRIOS'!$G$5:$G$500,"H",'LANÇAMENTOS DIÁRIOS'!$C$5:$C$500,$A7,'LANÇAMENTOS DIÁRIOS'!$O$5:$O$500,"&lt;=129099",'LANÇAMENTOS DIÁRIOS'!$P$5:$P$500,"&gt;=129000")&gt;0,"X","")</f>
      </c>
      <c r="AW7" s="56" t="str">
        <f>IF(COUNTIFS('LANÇAMENTOS DIÁRIOS'!$G$5:$G$500,"H",'LANÇAMENTOS DIÁRIOS'!$C$5:$C$500,$A7,'LANÇAMENTOS DIÁRIOS'!$O$5:$O$500,"&lt;=129199",'LANÇAMENTOS DIÁRIOS'!$P$5:$P$500,"&gt;=129100")&gt;0,"X","")</f>
      </c>
      <c r="AX7" s="56" t="str">
        <f>IF(COUNTIFS('LANÇAMENTOS DIÁRIOS'!$G$5:$G$500,"H",'LANÇAMENTOS DIÁRIOS'!$C$5:$C$500,$A7,'LANÇAMENTOS DIÁRIOS'!$O$5:$O$500,"&lt;=129299",'LANÇAMENTOS DIÁRIOS'!$P$5:$P$500,"&gt;=129200")&gt;0,"X","")</f>
      </c>
      <c r="AY7" s="56" t="str">
        <f>IF(COUNTIFS('LANÇAMENTOS DIÁRIOS'!$G$5:$G$500,"H",'LANÇAMENTOS DIÁRIOS'!$C$5:$C$500,$A7,'LANÇAMENTOS DIÁRIOS'!$O$5:$O$500,"&lt;=129399",'LANÇAMENTOS DIÁRIOS'!$P$5:$P$500,"&gt;=129300")&gt;0,"X","")</f>
      </c>
      <c r="AZ7" s="56" t="str">
        <f>IF(COUNTIFS('LANÇAMENTOS DIÁRIOS'!$G$5:$G$500,"H",'LANÇAMENTOS DIÁRIOS'!$C$5:$C$500,$A7,'LANÇAMENTOS DIÁRIOS'!$O$5:$O$500,"&lt;=129400",'LANÇAMENTOS DIÁRIOS'!$P$5:$P$500,"&gt;=129400")&gt;0,"X","")</f>
      </c>
    </row>
    <row r="8">
      <c r="A8" s="51" t="str">
        <v>Demolição de OAE (Km 84+100)</v>
      </c>
      <c r="B8" s="56" t="str">
        <f>IF(COUNTIFS('LANÇAMENTOS DIÁRIOS'!$G$5:$G$500,"H",'LANÇAMENTOS DIÁRIOS'!$C$5:$C$500,$A8,'LANÇAMENTOS DIÁRIOS'!$O$5:$O$500,"&lt;=124499",'LANÇAMENTOS DIÁRIOS'!$P$5:$P$500,"&gt;=124400")&gt;0,"X","")</f>
      </c>
      <c r="C8" s="56" t="str">
        <f>IF(COUNTIFS('LANÇAMENTOS DIÁRIOS'!$G$5:$G$500,"H",'LANÇAMENTOS DIÁRIOS'!$C$5:$C$500,$A8,'LANÇAMENTOS DIÁRIOS'!$O$5:$O$500,"&lt;=124599",'LANÇAMENTOS DIÁRIOS'!$P$5:$P$500,"&gt;=124500")&gt;0,"X","")</f>
      </c>
      <c r="D8" s="56" t="str">
        <f>IF(COUNTIFS('LANÇAMENTOS DIÁRIOS'!$G$5:$G$500,"H",'LANÇAMENTOS DIÁRIOS'!$C$5:$C$500,$A8,'LANÇAMENTOS DIÁRIOS'!$O$5:$O$500,"&lt;=124699",'LANÇAMENTOS DIÁRIOS'!$P$5:$P$500,"&gt;=124600")&gt;0,"X","")</f>
      </c>
      <c r="E8" s="56" t="str">
        <f>IF(COUNTIFS('LANÇAMENTOS DIÁRIOS'!$G$5:$G$500,"H",'LANÇAMENTOS DIÁRIOS'!$C$5:$C$500,$A8,'LANÇAMENTOS DIÁRIOS'!$O$5:$O$500,"&lt;=124799",'LANÇAMENTOS DIÁRIOS'!$P$5:$P$500,"&gt;=124700")&gt;0,"X","")</f>
      </c>
      <c r="F8" s="56" t="str">
        <f>IF(COUNTIFS('LANÇAMENTOS DIÁRIOS'!$G$5:$G$500,"H",'LANÇAMENTOS DIÁRIOS'!$C$5:$C$500,$A8,'LANÇAMENTOS DIÁRIOS'!$O$5:$O$500,"&lt;=124899",'LANÇAMENTOS DIÁRIOS'!$P$5:$P$500,"&gt;=124800")&gt;0,"X","")</f>
      </c>
      <c r="G8" s="56" t="str">
        <f>IF(COUNTIFS('LANÇAMENTOS DIÁRIOS'!$G$5:$G$500,"H",'LANÇAMENTOS DIÁRIOS'!$C$5:$C$500,$A8,'LANÇAMENTOS DIÁRIOS'!$O$5:$O$500,"&lt;=124999",'LANÇAMENTOS DIÁRIOS'!$P$5:$P$500,"&gt;=124900")&gt;0,"X","")</f>
      </c>
      <c r="H8" s="56" t="str">
        <f>IF(COUNTIFS('LANÇAMENTOS DIÁRIOS'!$G$5:$G$500,"H",'LANÇAMENTOS DIÁRIOS'!$C$5:$C$500,$A8,'LANÇAMENTOS DIÁRIOS'!$O$5:$O$500,"&lt;=125099",'LANÇAMENTOS DIÁRIOS'!$P$5:$P$500,"&gt;=125000")&gt;0,"X","")</f>
      </c>
      <c r="I8" s="56" t="str">
        <f>IF(COUNTIFS('LANÇAMENTOS DIÁRIOS'!$G$5:$G$500,"H",'LANÇAMENTOS DIÁRIOS'!$C$5:$C$500,$A8,'LANÇAMENTOS DIÁRIOS'!$O$5:$O$500,"&lt;=125199",'LANÇAMENTOS DIÁRIOS'!$P$5:$P$500,"&gt;=125100")&gt;0,"X","")</f>
      </c>
      <c r="J8" s="56" t="str">
        <f>IF(COUNTIFS('LANÇAMENTOS DIÁRIOS'!$G$5:$G$500,"H",'LANÇAMENTOS DIÁRIOS'!$C$5:$C$500,$A8,'LANÇAMENTOS DIÁRIOS'!$O$5:$O$500,"&lt;=125299",'LANÇAMENTOS DIÁRIOS'!$P$5:$P$500,"&gt;=125200")&gt;0,"X","")</f>
      </c>
      <c r="K8" s="56" t="str">
        <f>IF(COUNTIFS('LANÇAMENTOS DIÁRIOS'!$G$5:$G$500,"H",'LANÇAMENTOS DIÁRIOS'!$C$5:$C$500,$A8,'LANÇAMENTOS DIÁRIOS'!$O$5:$O$500,"&lt;=125399",'LANÇAMENTOS DIÁRIOS'!$P$5:$P$500,"&gt;=125300")&gt;0,"X","")</f>
      </c>
      <c r="L8" s="56" t="str">
        <f>IF(COUNTIFS('LANÇAMENTOS DIÁRIOS'!$G$5:$G$500,"H",'LANÇAMENTOS DIÁRIOS'!$C$5:$C$500,$A8,'LANÇAMENTOS DIÁRIOS'!$O$5:$O$500,"&lt;=125499",'LANÇAMENTOS DIÁRIOS'!$P$5:$P$500,"&gt;=125400")&gt;0,"X","")</f>
      </c>
      <c r="M8" s="56" t="str">
        <f>IF(COUNTIFS('LANÇAMENTOS DIÁRIOS'!$G$5:$G$500,"H",'LANÇAMENTOS DIÁRIOS'!$C$5:$C$500,$A8,'LANÇAMENTOS DIÁRIOS'!$O$5:$O$500,"&lt;=125599",'LANÇAMENTOS DIÁRIOS'!$P$5:$P$500,"&gt;=125500")&gt;0,"X","")</f>
      </c>
      <c r="N8" s="56" t="str">
        <f>IF(COUNTIFS('LANÇAMENTOS DIÁRIOS'!$G$5:$G$500,"H",'LANÇAMENTOS DIÁRIOS'!$C$5:$C$500,$A8,'LANÇAMENTOS DIÁRIOS'!$O$5:$O$500,"&lt;=125699",'LANÇAMENTOS DIÁRIOS'!$P$5:$P$500,"&gt;=125600")&gt;0,"X","")</f>
      </c>
      <c r="O8" s="56" t="str">
        <f>IF(COUNTIFS('LANÇAMENTOS DIÁRIOS'!$G$5:$G$500,"H",'LANÇAMENTOS DIÁRIOS'!$C$5:$C$500,$A8,'LANÇAMENTOS DIÁRIOS'!$O$5:$O$500,"&lt;=125799",'LANÇAMENTOS DIÁRIOS'!$P$5:$P$500,"&gt;=125700")&gt;0,"X","")</f>
      </c>
      <c r="P8" s="56" t="str">
        <f>IF(COUNTIFS('LANÇAMENTOS DIÁRIOS'!$G$5:$G$500,"H",'LANÇAMENTOS DIÁRIOS'!$C$5:$C$500,$A8,'LANÇAMENTOS DIÁRIOS'!$O$5:$O$500,"&lt;=125899",'LANÇAMENTOS DIÁRIOS'!$P$5:$P$500,"&gt;=125800")&gt;0,"X","")</f>
      </c>
      <c r="Q8" s="56" t="str">
        <f>IF(COUNTIFS('LANÇAMENTOS DIÁRIOS'!$G$5:$G$500,"H",'LANÇAMENTOS DIÁRIOS'!$C$5:$C$500,$A8,'LANÇAMENTOS DIÁRIOS'!$O$5:$O$500,"&lt;=125999",'LANÇAMENTOS DIÁRIOS'!$P$5:$P$500,"&gt;=125900")&gt;0,"X","")</f>
      </c>
      <c r="R8" s="56" t="str">
        <f>IF(COUNTIFS('LANÇAMENTOS DIÁRIOS'!$G$5:$G$500,"H",'LANÇAMENTOS DIÁRIOS'!$C$5:$C$500,$A8,'LANÇAMENTOS DIÁRIOS'!$O$5:$O$500,"&lt;=126099",'LANÇAMENTOS DIÁRIOS'!$P$5:$P$500,"&gt;=126000")&gt;0,"X","")</f>
      </c>
      <c r="S8" s="56" t="str">
        <f>IF(COUNTIFS('LANÇAMENTOS DIÁRIOS'!$G$5:$G$500,"H",'LANÇAMENTOS DIÁRIOS'!$C$5:$C$500,$A8,'LANÇAMENTOS DIÁRIOS'!$O$5:$O$500,"&lt;=126199",'LANÇAMENTOS DIÁRIOS'!$P$5:$P$500,"&gt;=126100")&gt;0,"X","")</f>
      </c>
      <c r="T8" s="56" t="str">
        <f>IF(COUNTIFS('LANÇAMENTOS DIÁRIOS'!$G$5:$G$500,"H",'LANÇAMENTOS DIÁRIOS'!$C$5:$C$500,$A8,'LANÇAMENTOS DIÁRIOS'!$O$5:$O$500,"&lt;=126299",'LANÇAMENTOS DIÁRIOS'!$P$5:$P$500,"&gt;=126200")&gt;0,"X","")</f>
      </c>
      <c r="U8" s="56" t="str">
        <f>IF(COUNTIFS('LANÇAMENTOS DIÁRIOS'!$G$5:$G$500,"H",'LANÇAMENTOS DIÁRIOS'!$C$5:$C$500,$A8,'LANÇAMENTOS DIÁRIOS'!$O$5:$O$500,"&lt;=126399",'LANÇAMENTOS DIÁRIOS'!$P$5:$P$500,"&gt;=126300")&gt;0,"X","")</f>
      </c>
      <c r="V8" s="56" t="str">
        <f>IF(COUNTIFS('LANÇAMENTOS DIÁRIOS'!$G$5:$G$500,"H",'LANÇAMENTOS DIÁRIOS'!$C$5:$C$500,$A8,'LANÇAMENTOS DIÁRIOS'!$O$5:$O$500,"&lt;=126499",'LANÇAMENTOS DIÁRIOS'!$P$5:$P$500,"&gt;=126400")&gt;0,"X","")</f>
      </c>
      <c r="W8" s="56" t="str">
        <f>IF(COUNTIFS('LANÇAMENTOS DIÁRIOS'!$G$5:$G$500,"H",'LANÇAMENTOS DIÁRIOS'!$C$5:$C$500,$A8,'LANÇAMENTOS DIÁRIOS'!$O$5:$O$500,"&lt;=126599",'LANÇAMENTOS DIÁRIOS'!$P$5:$P$500,"&gt;=126500")&gt;0,"X","")</f>
      </c>
      <c r="X8" s="56" t="str">
        <f>IF(COUNTIFS('LANÇAMENTOS DIÁRIOS'!$G$5:$G$500,"H",'LANÇAMENTOS DIÁRIOS'!$C$5:$C$500,$A8,'LANÇAMENTOS DIÁRIOS'!$O$5:$O$500,"&lt;=126699",'LANÇAMENTOS DIÁRIOS'!$P$5:$P$500,"&gt;=126600")&gt;0,"X","")</f>
      </c>
      <c r="Y8" s="56" t="str">
        <f>IF(COUNTIFS('LANÇAMENTOS DIÁRIOS'!$G$5:$G$500,"H",'LANÇAMENTOS DIÁRIOS'!$C$5:$C$500,$A8,'LANÇAMENTOS DIÁRIOS'!$O$5:$O$500,"&lt;=126799",'LANÇAMENTOS DIÁRIOS'!$P$5:$P$500,"&gt;=126700")&gt;0,"X","")</f>
      </c>
      <c r="Z8" s="56" t="str">
        <f>IF(COUNTIFS('LANÇAMENTOS DIÁRIOS'!$G$5:$G$500,"H",'LANÇAMENTOS DIÁRIOS'!$C$5:$C$500,$A8,'LANÇAMENTOS DIÁRIOS'!$O$5:$O$500,"&lt;=126899",'LANÇAMENTOS DIÁRIOS'!$P$5:$P$500,"&gt;=126800")&gt;0,"X","")</f>
      </c>
      <c r="AA8" s="56" t="str">
        <f>IF(COUNTIFS('LANÇAMENTOS DIÁRIOS'!$G$5:$G$500,"H",'LANÇAMENTOS DIÁRIOS'!$C$5:$C$500,$A8,'LANÇAMENTOS DIÁRIOS'!$O$5:$O$500,"&lt;=126999",'LANÇAMENTOS DIÁRIOS'!$P$5:$P$500,"&gt;=126900")&gt;0,"X","")</f>
      </c>
      <c r="AB8" s="56" t="str">
        <f>IF(COUNTIFS('LANÇAMENTOS DIÁRIOS'!$G$5:$G$500,"H",'LANÇAMENTOS DIÁRIOS'!$C$5:$C$500,$A8,'LANÇAMENTOS DIÁRIOS'!$O$5:$O$500,"&lt;=127099",'LANÇAMENTOS DIÁRIOS'!$P$5:$P$500,"&gt;=127000")&gt;0,"X","")</f>
      </c>
      <c r="AC8" s="56" t="str">
        <f>IF(COUNTIFS('LANÇAMENTOS DIÁRIOS'!$G$5:$G$500,"H",'LANÇAMENTOS DIÁRIOS'!$C$5:$C$500,$A8,'LANÇAMENTOS DIÁRIOS'!$O$5:$O$500,"&lt;=127199",'LANÇAMENTOS DIÁRIOS'!$P$5:$P$500,"&gt;=127100")&gt;0,"X","")</f>
      </c>
      <c r="AD8" s="56" t="str">
        <f>IF(COUNTIFS('LANÇAMENTOS DIÁRIOS'!$G$5:$G$500,"H",'LANÇAMENTOS DIÁRIOS'!$C$5:$C$500,$A8,'LANÇAMENTOS DIÁRIOS'!$O$5:$O$500,"&lt;=127299",'LANÇAMENTOS DIÁRIOS'!$P$5:$P$500,"&gt;=127200")&gt;0,"X","")</f>
      </c>
      <c r="AE8" s="56" t="str">
        <f>IF(COUNTIFS('LANÇAMENTOS DIÁRIOS'!$G$5:$G$500,"H",'LANÇAMENTOS DIÁRIOS'!$C$5:$C$500,$A8,'LANÇAMENTOS DIÁRIOS'!$O$5:$O$500,"&lt;=127399",'LANÇAMENTOS DIÁRIOS'!$P$5:$P$500,"&gt;=127300")&gt;0,"X","")</f>
      </c>
      <c r="AF8" s="56" t="str">
        <f>IF(COUNTIFS('LANÇAMENTOS DIÁRIOS'!$G$5:$G$500,"H",'LANÇAMENTOS DIÁRIOS'!$C$5:$C$500,$A8,'LANÇAMENTOS DIÁRIOS'!$O$5:$O$500,"&lt;=127499",'LANÇAMENTOS DIÁRIOS'!$P$5:$P$500,"&gt;=127400")&gt;0,"X","")</f>
      </c>
      <c r="AG8" s="56" t="str">
        <f>IF(COUNTIFS('LANÇAMENTOS DIÁRIOS'!$G$5:$G$500,"H",'LANÇAMENTOS DIÁRIOS'!$C$5:$C$500,$A8,'LANÇAMENTOS DIÁRIOS'!$O$5:$O$500,"&lt;=127599",'LANÇAMENTOS DIÁRIOS'!$P$5:$P$500,"&gt;=127500")&gt;0,"X","")</f>
      </c>
      <c r="AH8" s="56" t="str">
        <f>IF(COUNTIFS('LANÇAMENTOS DIÁRIOS'!$G$5:$G$500,"H",'LANÇAMENTOS DIÁRIOS'!$C$5:$C$500,$A8,'LANÇAMENTOS DIÁRIOS'!$O$5:$O$500,"&lt;=127699",'LANÇAMENTOS DIÁRIOS'!$P$5:$P$500,"&gt;=127600")&gt;0,"X","")</f>
      </c>
      <c r="AI8" s="56" t="str">
        <f>IF(COUNTIFS('LANÇAMENTOS DIÁRIOS'!$G$5:$G$500,"H",'LANÇAMENTOS DIÁRIOS'!$C$5:$C$500,$A8,'LANÇAMENTOS DIÁRIOS'!$O$5:$O$500,"&lt;=127799",'LANÇAMENTOS DIÁRIOS'!$P$5:$P$500,"&gt;=127700")&gt;0,"X","")</f>
      </c>
      <c r="AJ8" s="56" t="str">
        <f>IF(COUNTIFS('LANÇAMENTOS DIÁRIOS'!$G$5:$G$500,"H",'LANÇAMENTOS DIÁRIOS'!$C$5:$C$500,$A8,'LANÇAMENTOS DIÁRIOS'!$O$5:$O$500,"&lt;=127899",'LANÇAMENTOS DIÁRIOS'!$P$5:$P$500,"&gt;=127800")&gt;0,"X","")</f>
      </c>
      <c r="AK8" s="56" t="str">
        <f>IF(COUNTIFS('LANÇAMENTOS DIÁRIOS'!$G$5:$G$500,"H",'LANÇAMENTOS DIÁRIOS'!$C$5:$C$500,$A8,'LANÇAMENTOS DIÁRIOS'!$O$5:$O$500,"&lt;=127999",'LANÇAMENTOS DIÁRIOS'!$P$5:$P$500,"&gt;=127900")&gt;0,"X","")</f>
      </c>
      <c r="AL8" s="56" t="str">
        <f>IF(COUNTIFS('LANÇAMENTOS DIÁRIOS'!$G$5:$G$500,"H",'LANÇAMENTOS DIÁRIOS'!$C$5:$C$500,$A8,'LANÇAMENTOS DIÁRIOS'!$O$5:$O$500,"&lt;=128099",'LANÇAMENTOS DIÁRIOS'!$P$5:$P$500,"&gt;=128000")&gt;0,"X","")</f>
      </c>
      <c r="AM8" s="56" t="str">
        <f>IF(COUNTIFS('LANÇAMENTOS DIÁRIOS'!$G$5:$G$500,"H",'LANÇAMENTOS DIÁRIOS'!$C$5:$C$500,$A8,'LANÇAMENTOS DIÁRIOS'!$O$5:$O$500,"&lt;=128199",'LANÇAMENTOS DIÁRIOS'!$P$5:$P$500,"&gt;=128100")&gt;0,"X","")</f>
      </c>
      <c r="AN8" s="56" t="str">
        <f>IF(COUNTIFS('LANÇAMENTOS DIÁRIOS'!$G$5:$G$500,"H",'LANÇAMENTOS DIÁRIOS'!$C$5:$C$500,$A8,'LANÇAMENTOS DIÁRIOS'!$O$5:$O$500,"&lt;=128299",'LANÇAMENTOS DIÁRIOS'!$P$5:$P$500,"&gt;=128200")&gt;0,"X","")</f>
      </c>
      <c r="AO8" s="56" t="str">
        <f>IF(COUNTIFS('LANÇAMENTOS DIÁRIOS'!$G$5:$G$500,"H",'LANÇAMENTOS DIÁRIOS'!$C$5:$C$500,$A8,'LANÇAMENTOS DIÁRIOS'!$O$5:$O$500,"&lt;=128399",'LANÇAMENTOS DIÁRIOS'!$P$5:$P$500,"&gt;=128300")&gt;0,"X","")</f>
      </c>
      <c r="AP8" s="56" t="str">
        <f>IF(COUNTIFS('LANÇAMENTOS DIÁRIOS'!$G$5:$G$500,"H",'LANÇAMENTOS DIÁRIOS'!$C$5:$C$500,$A8,'LANÇAMENTOS DIÁRIOS'!$O$5:$O$500,"&lt;=128499",'LANÇAMENTOS DIÁRIOS'!$P$5:$P$500,"&gt;=128400")&gt;0,"X","")</f>
      </c>
      <c r="AQ8" s="56" t="str">
        <f>IF(COUNTIFS('LANÇAMENTOS DIÁRIOS'!$G$5:$G$500,"H",'LANÇAMENTOS DIÁRIOS'!$C$5:$C$500,$A8,'LANÇAMENTOS DIÁRIOS'!$O$5:$O$500,"&lt;=128599",'LANÇAMENTOS DIÁRIOS'!$P$5:$P$500,"&gt;=128500")&gt;0,"X","")</f>
      </c>
      <c r="AR8" s="56" t="str">
        <f>IF(COUNTIFS('LANÇAMENTOS DIÁRIOS'!$G$5:$G$500,"H",'LANÇAMENTOS DIÁRIOS'!$C$5:$C$500,$A8,'LANÇAMENTOS DIÁRIOS'!$O$5:$O$500,"&lt;=128699",'LANÇAMENTOS DIÁRIOS'!$P$5:$P$500,"&gt;=128600")&gt;0,"X","")</f>
      </c>
      <c r="AS8" s="56" t="str">
        <f>IF(COUNTIFS('LANÇAMENTOS DIÁRIOS'!$G$5:$G$500,"H",'LANÇAMENTOS DIÁRIOS'!$C$5:$C$500,$A8,'LANÇAMENTOS DIÁRIOS'!$O$5:$O$500,"&lt;=128799",'LANÇAMENTOS DIÁRIOS'!$P$5:$P$500,"&gt;=128700")&gt;0,"X","")</f>
      </c>
      <c r="AT8" s="56" t="str">
        <f>IF(COUNTIFS('LANÇAMENTOS DIÁRIOS'!$G$5:$G$500,"H",'LANÇAMENTOS DIÁRIOS'!$C$5:$C$500,$A8,'LANÇAMENTOS DIÁRIOS'!$O$5:$O$500,"&lt;=128899",'LANÇAMENTOS DIÁRIOS'!$P$5:$P$500,"&gt;=128800")&gt;0,"X","")</f>
      </c>
      <c r="AU8" s="56" t="str">
        <f>IF(COUNTIFS('LANÇAMENTOS DIÁRIOS'!$G$5:$G$500,"H",'LANÇAMENTOS DIÁRIOS'!$C$5:$C$500,$A8,'LANÇAMENTOS DIÁRIOS'!$O$5:$O$500,"&lt;=128999",'LANÇAMENTOS DIÁRIOS'!$P$5:$P$500,"&gt;=128900")&gt;0,"X","")</f>
      </c>
      <c r="AV8" s="56" t="str">
        <f>IF(COUNTIFS('LANÇAMENTOS DIÁRIOS'!$G$5:$G$500,"H",'LANÇAMENTOS DIÁRIOS'!$C$5:$C$500,$A8,'LANÇAMENTOS DIÁRIOS'!$O$5:$O$500,"&lt;=129099",'LANÇAMENTOS DIÁRIOS'!$P$5:$P$500,"&gt;=129000")&gt;0,"X","")</f>
      </c>
      <c r="AW8" s="56" t="str">
        <f>IF(COUNTIFS('LANÇAMENTOS DIÁRIOS'!$G$5:$G$500,"H",'LANÇAMENTOS DIÁRIOS'!$C$5:$C$500,$A8,'LANÇAMENTOS DIÁRIOS'!$O$5:$O$500,"&lt;=129199",'LANÇAMENTOS DIÁRIOS'!$P$5:$P$500,"&gt;=129100")&gt;0,"X","")</f>
      </c>
      <c r="AX8" s="56" t="str">
        <f>IF(COUNTIFS('LANÇAMENTOS DIÁRIOS'!$G$5:$G$500,"H",'LANÇAMENTOS DIÁRIOS'!$C$5:$C$500,$A8,'LANÇAMENTOS DIÁRIOS'!$O$5:$O$500,"&lt;=129299",'LANÇAMENTOS DIÁRIOS'!$P$5:$P$500,"&gt;=129200")&gt;0,"X","")</f>
      </c>
      <c r="AY8" s="56" t="str">
        <f>IF(COUNTIFS('LANÇAMENTOS DIÁRIOS'!$G$5:$G$500,"H",'LANÇAMENTOS DIÁRIOS'!$C$5:$C$500,$A8,'LANÇAMENTOS DIÁRIOS'!$O$5:$O$500,"&lt;=129399",'LANÇAMENTOS DIÁRIOS'!$P$5:$P$500,"&gt;=129300")&gt;0,"X","")</f>
      </c>
      <c r="AZ8" s="56" t="str">
        <f>IF(COUNTIFS('LANÇAMENTOS DIÁRIOS'!$G$5:$G$500,"H",'LANÇAMENTOS DIÁRIOS'!$C$5:$C$500,$A8,'LANÇAMENTOS DIÁRIOS'!$O$5:$O$500,"&lt;=129400",'LANÇAMENTOS DIÁRIOS'!$P$5:$P$500,"&gt;=129400")&gt;0,"X","")</f>
      </c>
    </row>
    <row r="9">
      <c r="A9" s="51" t="str">
        <v>Remoção de postes com luminárias</v>
      </c>
      <c r="B9" s="56" t="str">
        <f>IF(COUNTIFS('LANÇAMENTOS DIÁRIOS'!$G$5:$G$500,"H",'LANÇAMENTOS DIÁRIOS'!$C$5:$C$500,$A9,'LANÇAMENTOS DIÁRIOS'!$O$5:$O$500,"&lt;=124499",'LANÇAMENTOS DIÁRIOS'!$P$5:$P$500,"&gt;=124400")&gt;0,"X","")</f>
      </c>
      <c r="C9" s="56" t="str">
        <f>IF(COUNTIFS('LANÇAMENTOS DIÁRIOS'!$G$5:$G$500,"H",'LANÇAMENTOS DIÁRIOS'!$C$5:$C$500,$A9,'LANÇAMENTOS DIÁRIOS'!$O$5:$O$500,"&lt;=124599",'LANÇAMENTOS DIÁRIOS'!$P$5:$P$500,"&gt;=124500")&gt;0,"X","")</f>
      </c>
      <c r="D9" s="56" t="str">
        <f>IF(COUNTIFS('LANÇAMENTOS DIÁRIOS'!$G$5:$G$500,"H",'LANÇAMENTOS DIÁRIOS'!$C$5:$C$500,$A9,'LANÇAMENTOS DIÁRIOS'!$O$5:$O$500,"&lt;=124699",'LANÇAMENTOS DIÁRIOS'!$P$5:$P$500,"&gt;=124600")&gt;0,"X","")</f>
      </c>
      <c r="E9" s="56" t="str">
        <f>IF(COUNTIFS('LANÇAMENTOS DIÁRIOS'!$G$5:$G$500,"H",'LANÇAMENTOS DIÁRIOS'!$C$5:$C$500,$A9,'LANÇAMENTOS DIÁRIOS'!$O$5:$O$500,"&lt;=124799",'LANÇAMENTOS DIÁRIOS'!$P$5:$P$500,"&gt;=124700")&gt;0,"X","")</f>
      </c>
      <c r="F9" s="56" t="str">
        <f>IF(COUNTIFS('LANÇAMENTOS DIÁRIOS'!$G$5:$G$500,"H",'LANÇAMENTOS DIÁRIOS'!$C$5:$C$500,$A9,'LANÇAMENTOS DIÁRIOS'!$O$5:$O$500,"&lt;=124899",'LANÇAMENTOS DIÁRIOS'!$P$5:$P$500,"&gt;=124800")&gt;0,"X","")</f>
      </c>
      <c r="G9" s="56" t="str">
        <f>IF(COUNTIFS('LANÇAMENTOS DIÁRIOS'!$G$5:$G$500,"H",'LANÇAMENTOS DIÁRIOS'!$C$5:$C$500,$A9,'LANÇAMENTOS DIÁRIOS'!$O$5:$O$500,"&lt;=124999",'LANÇAMENTOS DIÁRIOS'!$P$5:$P$500,"&gt;=124900")&gt;0,"X","")</f>
      </c>
      <c r="H9" s="56" t="str">
        <f>IF(COUNTIFS('LANÇAMENTOS DIÁRIOS'!$G$5:$G$500,"H",'LANÇAMENTOS DIÁRIOS'!$C$5:$C$500,$A9,'LANÇAMENTOS DIÁRIOS'!$O$5:$O$500,"&lt;=125099",'LANÇAMENTOS DIÁRIOS'!$P$5:$P$500,"&gt;=125000")&gt;0,"X","")</f>
      </c>
      <c r="I9" s="56" t="str">
        <f>IF(COUNTIFS('LANÇAMENTOS DIÁRIOS'!$G$5:$G$500,"H",'LANÇAMENTOS DIÁRIOS'!$C$5:$C$500,$A9,'LANÇAMENTOS DIÁRIOS'!$O$5:$O$500,"&lt;=125199",'LANÇAMENTOS DIÁRIOS'!$P$5:$P$500,"&gt;=125100")&gt;0,"X","")</f>
      </c>
      <c r="J9" s="56" t="str">
        <f>IF(COUNTIFS('LANÇAMENTOS DIÁRIOS'!$G$5:$G$500,"H",'LANÇAMENTOS DIÁRIOS'!$C$5:$C$500,$A9,'LANÇAMENTOS DIÁRIOS'!$O$5:$O$500,"&lt;=125299",'LANÇAMENTOS DIÁRIOS'!$P$5:$P$500,"&gt;=125200")&gt;0,"X","")</f>
      </c>
      <c r="K9" s="56" t="str">
        <f>IF(COUNTIFS('LANÇAMENTOS DIÁRIOS'!$G$5:$G$500,"H",'LANÇAMENTOS DIÁRIOS'!$C$5:$C$500,$A9,'LANÇAMENTOS DIÁRIOS'!$O$5:$O$500,"&lt;=125399",'LANÇAMENTOS DIÁRIOS'!$P$5:$P$500,"&gt;=125300")&gt;0,"X","")</f>
      </c>
      <c r="L9" s="56" t="str">
        <f>IF(COUNTIFS('LANÇAMENTOS DIÁRIOS'!$G$5:$G$500,"H",'LANÇAMENTOS DIÁRIOS'!$C$5:$C$500,$A9,'LANÇAMENTOS DIÁRIOS'!$O$5:$O$500,"&lt;=125499",'LANÇAMENTOS DIÁRIOS'!$P$5:$P$500,"&gt;=125400")&gt;0,"X","")</f>
      </c>
      <c r="M9" s="56" t="str">
        <f>IF(COUNTIFS('LANÇAMENTOS DIÁRIOS'!$G$5:$G$500,"H",'LANÇAMENTOS DIÁRIOS'!$C$5:$C$500,$A9,'LANÇAMENTOS DIÁRIOS'!$O$5:$O$500,"&lt;=125599",'LANÇAMENTOS DIÁRIOS'!$P$5:$P$500,"&gt;=125500")&gt;0,"X","")</f>
      </c>
      <c r="N9" s="56" t="str">
        <f>IF(COUNTIFS('LANÇAMENTOS DIÁRIOS'!$G$5:$G$500,"H",'LANÇAMENTOS DIÁRIOS'!$C$5:$C$500,$A9,'LANÇAMENTOS DIÁRIOS'!$O$5:$O$500,"&lt;=125699",'LANÇAMENTOS DIÁRIOS'!$P$5:$P$500,"&gt;=125600")&gt;0,"X","")</f>
      </c>
      <c r="O9" s="56" t="str">
        <f>IF(COUNTIFS('LANÇAMENTOS DIÁRIOS'!$G$5:$G$500,"H",'LANÇAMENTOS DIÁRIOS'!$C$5:$C$500,$A9,'LANÇAMENTOS DIÁRIOS'!$O$5:$O$500,"&lt;=125799",'LANÇAMENTOS DIÁRIOS'!$P$5:$P$500,"&gt;=125700")&gt;0,"X","")</f>
      </c>
      <c r="P9" s="56" t="str">
        <f>IF(COUNTIFS('LANÇAMENTOS DIÁRIOS'!$G$5:$G$500,"H",'LANÇAMENTOS DIÁRIOS'!$C$5:$C$500,$A9,'LANÇAMENTOS DIÁRIOS'!$O$5:$O$500,"&lt;=125899",'LANÇAMENTOS DIÁRIOS'!$P$5:$P$500,"&gt;=125800")&gt;0,"X","")</f>
      </c>
      <c r="Q9" s="56" t="str">
        <f>IF(COUNTIFS('LANÇAMENTOS DIÁRIOS'!$G$5:$G$500,"H",'LANÇAMENTOS DIÁRIOS'!$C$5:$C$500,$A9,'LANÇAMENTOS DIÁRIOS'!$O$5:$O$500,"&lt;=125999",'LANÇAMENTOS DIÁRIOS'!$P$5:$P$500,"&gt;=125900")&gt;0,"X","")</f>
      </c>
      <c r="R9" s="56" t="str">
        <f>IF(COUNTIFS('LANÇAMENTOS DIÁRIOS'!$G$5:$G$500,"H",'LANÇAMENTOS DIÁRIOS'!$C$5:$C$500,$A9,'LANÇAMENTOS DIÁRIOS'!$O$5:$O$500,"&lt;=126099",'LANÇAMENTOS DIÁRIOS'!$P$5:$P$500,"&gt;=126000")&gt;0,"X","")</f>
      </c>
      <c r="S9" s="56" t="str">
        <f>IF(COUNTIFS('LANÇAMENTOS DIÁRIOS'!$G$5:$G$500,"H",'LANÇAMENTOS DIÁRIOS'!$C$5:$C$500,$A9,'LANÇAMENTOS DIÁRIOS'!$O$5:$O$500,"&lt;=126199",'LANÇAMENTOS DIÁRIOS'!$P$5:$P$500,"&gt;=126100")&gt;0,"X","")</f>
      </c>
      <c r="T9" s="56" t="str">
        <f>IF(COUNTIFS('LANÇAMENTOS DIÁRIOS'!$G$5:$G$500,"H",'LANÇAMENTOS DIÁRIOS'!$C$5:$C$500,$A9,'LANÇAMENTOS DIÁRIOS'!$O$5:$O$500,"&lt;=126299",'LANÇAMENTOS DIÁRIOS'!$P$5:$P$500,"&gt;=126200")&gt;0,"X","")</f>
      </c>
      <c r="U9" s="56" t="str">
        <f>IF(COUNTIFS('LANÇAMENTOS DIÁRIOS'!$G$5:$G$500,"H",'LANÇAMENTOS DIÁRIOS'!$C$5:$C$500,$A9,'LANÇAMENTOS DIÁRIOS'!$O$5:$O$500,"&lt;=126399",'LANÇAMENTOS DIÁRIOS'!$P$5:$P$500,"&gt;=126300")&gt;0,"X","")</f>
      </c>
      <c r="V9" s="56" t="str">
        <f>IF(COUNTIFS('LANÇAMENTOS DIÁRIOS'!$G$5:$G$500,"H",'LANÇAMENTOS DIÁRIOS'!$C$5:$C$500,$A9,'LANÇAMENTOS DIÁRIOS'!$O$5:$O$500,"&lt;=126499",'LANÇAMENTOS DIÁRIOS'!$P$5:$P$500,"&gt;=126400")&gt;0,"X","")</f>
      </c>
      <c r="W9" s="56" t="str">
        <f>IF(COUNTIFS('LANÇAMENTOS DIÁRIOS'!$G$5:$G$500,"H",'LANÇAMENTOS DIÁRIOS'!$C$5:$C$500,$A9,'LANÇAMENTOS DIÁRIOS'!$O$5:$O$500,"&lt;=126599",'LANÇAMENTOS DIÁRIOS'!$P$5:$P$500,"&gt;=126500")&gt;0,"X","")</f>
      </c>
      <c r="X9" s="56" t="str">
        <f>IF(COUNTIFS('LANÇAMENTOS DIÁRIOS'!$G$5:$G$500,"H",'LANÇAMENTOS DIÁRIOS'!$C$5:$C$500,$A9,'LANÇAMENTOS DIÁRIOS'!$O$5:$O$500,"&lt;=126699",'LANÇAMENTOS DIÁRIOS'!$P$5:$P$500,"&gt;=126600")&gt;0,"X","")</f>
      </c>
      <c r="Y9" s="56" t="str">
        <f>IF(COUNTIFS('LANÇAMENTOS DIÁRIOS'!$G$5:$G$500,"H",'LANÇAMENTOS DIÁRIOS'!$C$5:$C$500,$A9,'LANÇAMENTOS DIÁRIOS'!$O$5:$O$500,"&lt;=126799",'LANÇAMENTOS DIÁRIOS'!$P$5:$P$500,"&gt;=126700")&gt;0,"X","")</f>
      </c>
      <c r="Z9" s="56" t="str">
        <f>IF(COUNTIFS('LANÇAMENTOS DIÁRIOS'!$G$5:$G$500,"H",'LANÇAMENTOS DIÁRIOS'!$C$5:$C$500,$A9,'LANÇAMENTOS DIÁRIOS'!$O$5:$O$500,"&lt;=126899",'LANÇAMENTOS DIÁRIOS'!$P$5:$P$500,"&gt;=126800")&gt;0,"X","")</f>
      </c>
      <c r="AA9" s="56" t="str">
        <f>IF(COUNTIFS('LANÇAMENTOS DIÁRIOS'!$G$5:$G$500,"H",'LANÇAMENTOS DIÁRIOS'!$C$5:$C$500,$A9,'LANÇAMENTOS DIÁRIOS'!$O$5:$O$500,"&lt;=126999",'LANÇAMENTOS DIÁRIOS'!$P$5:$P$500,"&gt;=126900")&gt;0,"X","")</f>
      </c>
      <c r="AB9" s="56" t="str">
        <f>IF(COUNTIFS('LANÇAMENTOS DIÁRIOS'!$G$5:$G$500,"H",'LANÇAMENTOS DIÁRIOS'!$C$5:$C$500,$A9,'LANÇAMENTOS DIÁRIOS'!$O$5:$O$500,"&lt;=127099",'LANÇAMENTOS DIÁRIOS'!$P$5:$P$500,"&gt;=127000")&gt;0,"X","")</f>
      </c>
      <c r="AC9" s="56" t="str">
        <f>IF(COUNTIFS('LANÇAMENTOS DIÁRIOS'!$G$5:$G$500,"H",'LANÇAMENTOS DIÁRIOS'!$C$5:$C$500,$A9,'LANÇAMENTOS DIÁRIOS'!$O$5:$O$500,"&lt;=127199",'LANÇAMENTOS DIÁRIOS'!$P$5:$P$500,"&gt;=127100")&gt;0,"X","")</f>
      </c>
      <c r="AD9" s="56" t="str">
        <f>IF(COUNTIFS('LANÇAMENTOS DIÁRIOS'!$G$5:$G$500,"H",'LANÇAMENTOS DIÁRIOS'!$C$5:$C$500,$A9,'LANÇAMENTOS DIÁRIOS'!$O$5:$O$500,"&lt;=127299",'LANÇAMENTOS DIÁRIOS'!$P$5:$P$500,"&gt;=127200")&gt;0,"X","")</f>
      </c>
      <c r="AE9" s="56" t="str">
        <f>IF(COUNTIFS('LANÇAMENTOS DIÁRIOS'!$G$5:$G$500,"H",'LANÇAMENTOS DIÁRIOS'!$C$5:$C$500,$A9,'LANÇAMENTOS DIÁRIOS'!$O$5:$O$500,"&lt;=127399",'LANÇAMENTOS DIÁRIOS'!$P$5:$P$500,"&gt;=127300")&gt;0,"X","")</f>
      </c>
      <c r="AF9" s="56" t="str">
        <f>IF(COUNTIFS('LANÇAMENTOS DIÁRIOS'!$G$5:$G$500,"H",'LANÇAMENTOS DIÁRIOS'!$C$5:$C$500,$A9,'LANÇAMENTOS DIÁRIOS'!$O$5:$O$500,"&lt;=127499",'LANÇAMENTOS DIÁRIOS'!$P$5:$P$500,"&gt;=127400")&gt;0,"X","")</f>
      </c>
      <c r="AG9" s="56" t="str">
        <f>IF(COUNTIFS('LANÇAMENTOS DIÁRIOS'!$G$5:$G$500,"H",'LANÇAMENTOS DIÁRIOS'!$C$5:$C$500,$A9,'LANÇAMENTOS DIÁRIOS'!$O$5:$O$500,"&lt;=127599",'LANÇAMENTOS DIÁRIOS'!$P$5:$P$500,"&gt;=127500")&gt;0,"X","")</f>
      </c>
      <c r="AH9" s="56" t="str">
        <f>IF(COUNTIFS('LANÇAMENTOS DIÁRIOS'!$G$5:$G$500,"H",'LANÇAMENTOS DIÁRIOS'!$C$5:$C$500,$A9,'LANÇAMENTOS DIÁRIOS'!$O$5:$O$500,"&lt;=127699",'LANÇAMENTOS DIÁRIOS'!$P$5:$P$500,"&gt;=127600")&gt;0,"X","")</f>
      </c>
      <c r="AI9" s="56" t="str">
        <f>IF(COUNTIFS('LANÇAMENTOS DIÁRIOS'!$G$5:$G$500,"H",'LANÇAMENTOS DIÁRIOS'!$C$5:$C$500,$A9,'LANÇAMENTOS DIÁRIOS'!$O$5:$O$500,"&lt;=127799",'LANÇAMENTOS DIÁRIOS'!$P$5:$P$500,"&gt;=127700")&gt;0,"X","")</f>
      </c>
      <c r="AJ9" s="56" t="str">
        <f>IF(COUNTIFS('LANÇAMENTOS DIÁRIOS'!$G$5:$G$500,"H",'LANÇAMENTOS DIÁRIOS'!$C$5:$C$500,$A9,'LANÇAMENTOS DIÁRIOS'!$O$5:$O$500,"&lt;=127899",'LANÇAMENTOS DIÁRIOS'!$P$5:$P$500,"&gt;=127800")&gt;0,"X","")</f>
      </c>
      <c r="AK9" s="56" t="str">
        <f>IF(COUNTIFS('LANÇAMENTOS DIÁRIOS'!$G$5:$G$500,"H",'LANÇAMENTOS DIÁRIOS'!$C$5:$C$500,$A9,'LANÇAMENTOS DIÁRIOS'!$O$5:$O$500,"&lt;=127999",'LANÇAMENTOS DIÁRIOS'!$P$5:$P$500,"&gt;=127900")&gt;0,"X","")</f>
      </c>
      <c r="AL9" s="56" t="str">
        <f>IF(COUNTIFS('LANÇAMENTOS DIÁRIOS'!$G$5:$G$500,"H",'LANÇAMENTOS DIÁRIOS'!$C$5:$C$500,$A9,'LANÇAMENTOS DIÁRIOS'!$O$5:$O$500,"&lt;=128099",'LANÇAMENTOS DIÁRIOS'!$P$5:$P$500,"&gt;=128000")&gt;0,"X","")</f>
      </c>
      <c r="AM9" s="56" t="str">
        <f>IF(COUNTIFS('LANÇAMENTOS DIÁRIOS'!$G$5:$G$500,"H",'LANÇAMENTOS DIÁRIOS'!$C$5:$C$500,$A9,'LANÇAMENTOS DIÁRIOS'!$O$5:$O$500,"&lt;=128199",'LANÇAMENTOS DIÁRIOS'!$P$5:$P$500,"&gt;=128100")&gt;0,"X","")</f>
      </c>
      <c r="AN9" s="56" t="str">
        <f>IF(COUNTIFS('LANÇAMENTOS DIÁRIOS'!$G$5:$G$500,"H",'LANÇAMENTOS DIÁRIOS'!$C$5:$C$500,$A9,'LANÇAMENTOS DIÁRIOS'!$O$5:$O$500,"&lt;=128299",'LANÇAMENTOS DIÁRIOS'!$P$5:$P$500,"&gt;=128200")&gt;0,"X","")</f>
      </c>
      <c r="AO9" s="56" t="str">
        <f>IF(COUNTIFS('LANÇAMENTOS DIÁRIOS'!$G$5:$G$500,"H",'LANÇAMENTOS DIÁRIOS'!$C$5:$C$500,$A9,'LANÇAMENTOS DIÁRIOS'!$O$5:$O$500,"&lt;=128399",'LANÇAMENTOS DIÁRIOS'!$P$5:$P$500,"&gt;=128300")&gt;0,"X","")</f>
      </c>
      <c r="AP9" s="56" t="str">
        <f>IF(COUNTIFS('LANÇAMENTOS DIÁRIOS'!$G$5:$G$500,"H",'LANÇAMENTOS DIÁRIOS'!$C$5:$C$500,$A9,'LANÇAMENTOS DIÁRIOS'!$O$5:$O$500,"&lt;=128499",'LANÇAMENTOS DIÁRIOS'!$P$5:$P$500,"&gt;=128400")&gt;0,"X","")</f>
      </c>
      <c r="AQ9" s="56" t="str">
        <f>IF(COUNTIFS('LANÇAMENTOS DIÁRIOS'!$G$5:$G$500,"H",'LANÇAMENTOS DIÁRIOS'!$C$5:$C$500,$A9,'LANÇAMENTOS DIÁRIOS'!$O$5:$O$500,"&lt;=128599",'LANÇAMENTOS DIÁRIOS'!$P$5:$P$500,"&gt;=128500")&gt;0,"X","")</f>
      </c>
      <c r="AR9" s="56" t="str">
        <f>IF(COUNTIFS('LANÇAMENTOS DIÁRIOS'!$G$5:$G$500,"H",'LANÇAMENTOS DIÁRIOS'!$C$5:$C$500,$A9,'LANÇAMENTOS DIÁRIOS'!$O$5:$O$500,"&lt;=128699",'LANÇAMENTOS DIÁRIOS'!$P$5:$P$500,"&gt;=128600")&gt;0,"X","")</f>
      </c>
      <c r="AS9" s="56" t="str">
        <f>IF(COUNTIFS('LANÇAMENTOS DIÁRIOS'!$G$5:$G$500,"H",'LANÇAMENTOS DIÁRIOS'!$C$5:$C$500,$A9,'LANÇAMENTOS DIÁRIOS'!$O$5:$O$500,"&lt;=128799",'LANÇAMENTOS DIÁRIOS'!$P$5:$P$500,"&gt;=128700")&gt;0,"X","")</f>
      </c>
      <c r="AT9" s="56" t="str">
        <f>IF(COUNTIFS('LANÇAMENTOS DIÁRIOS'!$G$5:$G$500,"H",'LANÇAMENTOS DIÁRIOS'!$C$5:$C$500,$A9,'LANÇAMENTOS DIÁRIOS'!$O$5:$O$500,"&lt;=128899",'LANÇAMENTOS DIÁRIOS'!$P$5:$P$500,"&gt;=128800")&gt;0,"X","")</f>
      </c>
      <c r="AU9" s="56" t="str">
        <f>IF(COUNTIFS('LANÇAMENTOS DIÁRIOS'!$G$5:$G$500,"H",'LANÇAMENTOS DIÁRIOS'!$C$5:$C$500,$A9,'LANÇAMENTOS DIÁRIOS'!$O$5:$O$500,"&lt;=128999",'LANÇAMENTOS DIÁRIOS'!$P$5:$P$500,"&gt;=128900")&gt;0,"X","")</f>
      </c>
      <c r="AV9" s="56" t="str">
        <f>IF(COUNTIFS('LANÇAMENTOS DIÁRIOS'!$G$5:$G$500,"H",'LANÇAMENTOS DIÁRIOS'!$C$5:$C$500,$A9,'LANÇAMENTOS DIÁRIOS'!$O$5:$O$500,"&lt;=129099",'LANÇAMENTOS DIÁRIOS'!$P$5:$P$500,"&gt;=129000")&gt;0,"X","")</f>
      </c>
      <c r="AW9" s="56" t="str">
        <f>IF(COUNTIFS('LANÇAMENTOS DIÁRIOS'!$G$5:$G$500,"H",'LANÇAMENTOS DIÁRIOS'!$C$5:$C$500,$A9,'LANÇAMENTOS DIÁRIOS'!$O$5:$O$500,"&lt;=129199",'LANÇAMENTOS DIÁRIOS'!$P$5:$P$500,"&gt;=129100")&gt;0,"X","")</f>
      </c>
      <c r="AX9" s="56" t="str">
        <f>IF(COUNTIFS('LANÇAMENTOS DIÁRIOS'!$G$5:$G$500,"H",'LANÇAMENTOS DIÁRIOS'!$C$5:$C$500,$A9,'LANÇAMENTOS DIÁRIOS'!$O$5:$O$500,"&lt;=129299",'LANÇAMENTOS DIÁRIOS'!$P$5:$P$500,"&gt;=129200")&gt;0,"X","")</f>
      </c>
      <c r="AY9" s="56" t="str">
        <f>IF(COUNTIFS('LANÇAMENTOS DIÁRIOS'!$G$5:$G$500,"H",'LANÇAMENTOS DIÁRIOS'!$C$5:$C$500,$A9,'LANÇAMENTOS DIÁRIOS'!$O$5:$O$500,"&lt;=129399",'LANÇAMENTOS DIÁRIOS'!$P$5:$P$500,"&gt;=129300")&gt;0,"X","")</f>
      </c>
      <c r="AZ9" s="56" t="str">
        <f>IF(COUNTIFS('LANÇAMENTOS DIÁRIOS'!$G$5:$G$500,"H",'LANÇAMENTOS DIÁRIOS'!$C$5:$C$500,$A9,'LANÇAMENTOS DIÁRIOS'!$O$5:$O$500,"&lt;=129400",'LANÇAMENTOS DIÁRIOS'!$P$5:$P$500,"&gt;=129400")&gt;0,"X","")</f>
      </c>
    </row>
    <row r="10">
      <c r="A10" s="51" t="str">
        <v>Remoção de bueiro</v>
      </c>
      <c r="B10" s="56" t="str">
        <f>IF(COUNTIFS('LANÇAMENTOS DIÁRIOS'!$G$5:$G$500,"H",'LANÇAMENTOS DIÁRIOS'!$C$5:$C$500,$A10,'LANÇAMENTOS DIÁRIOS'!$O$5:$O$500,"&lt;=124499",'LANÇAMENTOS DIÁRIOS'!$P$5:$P$500,"&gt;=124400")&gt;0,"X","")</f>
      </c>
      <c r="C10" s="56" t="str">
        <f>IF(COUNTIFS('LANÇAMENTOS DIÁRIOS'!$G$5:$G$500,"H",'LANÇAMENTOS DIÁRIOS'!$C$5:$C$500,$A10,'LANÇAMENTOS DIÁRIOS'!$O$5:$O$500,"&lt;=124599",'LANÇAMENTOS DIÁRIOS'!$P$5:$P$500,"&gt;=124500")&gt;0,"X","")</f>
      </c>
      <c r="D10" s="56" t="str">
        <f>IF(COUNTIFS('LANÇAMENTOS DIÁRIOS'!$G$5:$G$500,"H",'LANÇAMENTOS DIÁRIOS'!$C$5:$C$500,$A10,'LANÇAMENTOS DIÁRIOS'!$O$5:$O$500,"&lt;=124699",'LANÇAMENTOS DIÁRIOS'!$P$5:$P$500,"&gt;=124600")&gt;0,"X","")</f>
      </c>
      <c r="E10" s="56" t="str">
        <f>IF(COUNTIFS('LANÇAMENTOS DIÁRIOS'!$G$5:$G$500,"H",'LANÇAMENTOS DIÁRIOS'!$C$5:$C$500,$A10,'LANÇAMENTOS DIÁRIOS'!$O$5:$O$500,"&lt;=124799",'LANÇAMENTOS DIÁRIOS'!$P$5:$P$500,"&gt;=124700")&gt;0,"X","")</f>
      </c>
      <c r="F10" s="56" t="str">
        <f>IF(COUNTIFS('LANÇAMENTOS DIÁRIOS'!$G$5:$G$500,"H",'LANÇAMENTOS DIÁRIOS'!$C$5:$C$500,$A10,'LANÇAMENTOS DIÁRIOS'!$O$5:$O$500,"&lt;=124899",'LANÇAMENTOS DIÁRIOS'!$P$5:$P$500,"&gt;=124800")&gt;0,"X","")</f>
      </c>
      <c r="G10" s="56" t="str">
        <f>IF(COUNTIFS('LANÇAMENTOS DIÁRIOS'!$G$5:$G$500,"H",'LANÇAMENTOS DIÁRIOS'!$C$5:$C$500,$A10,'LANÇAMENTOS DIÁRIOS'!$O$5:$O$500,"&lt;=124999",'LANÇAMENTOS DIÁRIOS'!$P$5:$P$500,"&gt;=124900")&gt;0,"X","")</f>
      </c>
      <c r="H10" s="56" t="str">
        <f>IF(COUNTIFS('LANÇAMENTOS DIÁRIOS'!$G$5:$G$500,"H",'LANÇAMENTOS DIÁRIOS'!$C$5:$C$500,$A10,'LANÇAMENTOS DIÁRIOS'!$O$5:$O$500,"&lt;=125099",'LANÇAMENTOS DIÁRIOS'!$P$5:$P$500,"&gt;=125000")&gt;0,"X","")</f>
      </c>
      <c r="I10" s="56" t="str">
        <f>IF(COUNTIFS('LANÇAMENTOS DIÁRIOS'!$G$5:$G$500,"H",'LANÇAMENTOS DIÁRIOS'!$C$5:$C$500,$A10,'LANÇAMENTOS DIÁRIOS'!$O$5:$O$500,"&lt;=125199",'LANÇAMENTOS DIÁRIOS'!$P$5:$P$500,"&gt;=125100")&gt;0,"X","")</f>
      </c>
      <c r="J10" s="56" t="str">
        <f>IF(COUNTIFS('LANÇAMENTOS DIÁRIOS'!$G$5:$G$500,"H",'LANÇAMENTOS DIÁRIOS'!$C$5:$C$500,$A10,'LANÇAMENTOS DIÁRIOS'!$O$5:$O$500,"&lt;=125299",'LANÇAMENTOS DIÁRIOS'!$P$5:$P$500,"&gt;=125200")&gt;0,"X","")</f>
      </c>
      <c r="K10" s="56" t="str">
        <f>IF(COUNTIFS('LANÇAMENTOS DIÁRIOS'!$G$5:$G$500,"H",'LANÇAMENTOS DIÁRIOS'!$C$5:$C$500,$A10,'LANÇAMENTOS DIÁRIOS'!$O$5:$O$500,"&lt;=125399",'LANÇAMENTOS DIÁRIOS'!$P$5:$P$500,"&gt;=125300")&gt;0,"X","")</f>
      </c>
      <c r="L10" s="56" t="str">
        <f>IF(COUNTIFS('LANÇAMENTOS DIÁRIOS'!$G$5:$G$500,"H",'LANÇAMENTOS DIÁRIOS'!$C$5:$C$500,$A10,'LANÇAMENTOS DIÁRIOS'!$O$5:$O$500,"&lt;=125499",'LANÇAMENTOS DIÁRIOS'!$P$5:$P$500,"&gt;=125400")&gt;0,"X","")</f>
      </c>
      <c r="M10" s="56" t="str">
        <f>IF(COUNTIFS('LANÇAMENTOS DIÁRIOS'!$G$5:$G$500,"H",'LANÇAMENTOS DIÁRIOS'!$C$5:$C$500,$A10,'LANÇAMENTOS DIÁRIOS'!$O$5:$O$500,"&lt;=125599",'LANÇAMENTOS DIÁRIOS'!$P$5:$P$500,"&gt;=125500")&gt;0,"X","")</f>
      </c>
      <c r="N10" s="56" t="str">
        <f>IF(COUNTIFS('LANÇAMENTOS DIÁRIOS'!$G$5:$G$500,"H",'LANÇAMENTOS DIÁRIOS'!$C$5:$C$500,$A10,'LANÇAMENTOS DIÁRIOS'!$O$5:$O$500,"&lt;=125699",'LANÇAMENTOS DIÁRIOS'!$P$5:$P$500,"&gt;=125600")&gt;0,"X","")</f>
      </c>
      <c r="O10" s="56" t="str">
        <f>IF(COUNTIFS('LANÇAMENTOS DIÁRIOS'!$G$5:$G$500,"H",'LANÇAMENTOS DIÁRIOS'!$C$5:$C$500,$A10,'LANÇAMENTOS DIÁRIOS'!$O$5:$O$500,"&lt;=125799",'LANÇAMENTOS DIÁRIOS'!$P$5:$P$500,"&gt;=125700")&gt;0,"X","")</f>
      </c>
      <c r="P10" s="56" t="str">
        <f>IF(COUNTIFS('LANÇAMENTOS DIÁRIOS'!$G$5:$G$500,"H",'LANÇAMENTOS DIÁRIOS'!$C$5:$C$500,$A10,'LANÇAMENTOS DIÁRIOS'!$O$5:$O$500,"&lt;=125899",'LANÇAMENTOS DIÁRIOS'!$P$5:$P$500,"&gt;=125800")&gt;0,"X","")</f>
      </c>
      <c r="Q10" s="56" t="str">
        <f>IF(COUNTIFS('LANÇAMENTOS DIÁRIOS'!$G$5:$G$500,"H",'LANÇAMENTOS DIÁRIOS'!$C$5:$C$500,$A10,'LANÇAMENTOS DIÁRIOS'!$O$5:$O$500,"&lt;=125999",'LANÇAMENTOS DIÁRIOS'!$P$5:$P$500,"&gt;=125900")&gt;0,"X","")</f>
      </c>
      <c r="R10" s="56" t="str">
        <f>IF(COUNTIFS('LANÇAMENTOS DIÁRIOS'!$G$5:$G$500,"H",'LANÇAMENTOS DIÁRIOS'!$C$5:$C$500,$A10,'LANÇAMENTOS DIÁRIOS'!$O$5:$O$500,"&lt;=126099",'LANÇAMENTOS DIÁRIOS'!$P$5:$P$500,"&gt;=126000")&gt;0,"X","")</f>
      </c>
      <c r="S10" s="56" t="str">
        <f>IF(COUNTIFS('LANÇAMENTOS DIÁRIOS'!$G$5:$G$500,"H",'LANÇAMENTOS DIÁRIOS'!$C$5:$C$500,$A10,'LANÇAMENTOS DIÁRIOS'!$O$5:$O$500,"&lt;=126199",'LANÇAMENTOS DIÁRIOS'!$P$5:$P$500,"&gt;=126100")&gt;0,"X","")</f>
      </c>
      <c r="T10" s="56" t="str">
        <f>IF(COUNTIFS('LANÇAMENTOS DIÁRIOS'!$G$5:$G$500,"H",'LANÇAMENTOS DIÁRIOS'!$C$5:$C$500,$A10,'LANÇAMENTOS DIÁRIOS'!$O$5:$O$500,"&lt;=126299",'LANÇAMENTOS DIÁRIOS'!$P$5:$P$500,"&gt;=126200")&gt;0,"X","")</f>
      </c>
      <c r="U10" s="56" t="str">
        <f>IF(COUNTIFS('LANÇAMENTOS DIÁRIOS'!$G$5:$G$500,"H",'LANÇAMENTOS DIÁRIOS'!$C$5:$C$500,$A10,'LANÇAMENTOS DIÁRIOS'!$O$5:$O$500,"&lt;=126399",'LANÇAMENTOS DIÁRIOS'!$P$5:$P$500,"&gt;=126300")&gt;0,"X","")</f>
      </c>
      <c r="V10" s="56" t="str">
        <f>IF(COUNTIFS('LANÇAMENTOS DIÁRIOS'!$G$5:$G$500,"H",'LANÇAMENTOS DIÁRIOS'!$C$5:$C$500,$A10,'LANÇAMENTOS DIÁRIOS'!$O$5:$O$500,"&lt;=126499",'LANÇAMENTOS DIÁRIOS'!$P$5:$P$500,"&gt;=126400")&gt;0,"X","")</f>
      </c>
      <c r="W10" s="56" t="str">
        <f>IF(COUNTIFS('LANÇAMENTOS DIÁRIOS'!$G$5:$G$500,"H",'LANÇAMENTOS DIÁRIOS'!$C$5:$C$500,$A10,'LANÇAMENTOS DIÁRIOS'!$O$5:$O$500,"&lt;=126599",'LANÇAMENTOS DIÁRIOS'!$P$5:$P$500,"&gt;=126500")&gt;0,"X","")</f>
      </c>
      <c r="X10" s="56" t="str">
        <f>IF(COUNTIFS('LANÇAMENTOS DIÁRIOS'!$G$5:$G$500,"H",'LANÇAMENTOS DIÁRIOS'!$C$5:$C$500,$A10,'LANÇAMENTOS DIÁRIOS'!$O$5:$O$500,"&lt;=126699",'LANÇAMENTOS DIÁRIOS'!$P$5:$P$500,"&gt;=126600")&gt;0,"X","")</f>
      </c>
      <c r="Y10" s="56" t="str">
        <f>IF(COUNTIFS('LANÇAMENTOS DIÁRIOS'!$G$5:$G$500,"H",'LANÇAMENTOS DIÁRIOS'!$C$5:$C$500,$A10,'LANÇAMENTOS DIÁRIOS'!$O$5:$O$500,"&lt;=126799",'LANÇAMENTOS DIÁRIOS'!$P$5:$P$500,"&gt;=126700")&gt;0,"X","")</f>
      </c>
      <c r="Z10" s="56" t="str">
        <f>IF(COUNTIFS('LANÇAMENTOS DIÁRIOS'!$G$5:$G$500,"H",'LANÇAMENTOS DIÁRIOS'!$C$5:$C$500,$A10,'LANÇAMENTOS DIÁRIOS'!$O$5:$O$500,"&lt;=126899",'LANÇAMENTOS DIÁRIOS'!$P$5:$P$500,"&gt;=126800")&gt;0,"X","")</f>
      </c>
      <c r="AA10" s="56" t="str">
        <f>IF(COUNTIFS('LANÇAMENTOS DIÁRIOS'!$G$5:$G$500,"H",'LANÇAMENTOS DIÁRIOS'!$C$5:$C$500,$A10,'LANÇAMENTOS DIÁRIOS'!$O$5:$O$500,"&lt;=126999",'LANÇAMENTOS DIÁRIOS'!$P$5:$P$500,"&gt;=126900")&gt;0,"X","")</f>
      </c>
      <c r="AB10" s="56" t="str">
        <f>IF(COUNTIFS('LANÇAMENTOS DIÁRIOS'!$G$5:$G$500,"H",'LANÇAMENTOS DIÁRIOS'!$C$5:$C$500,$A10,'LANÇAMENTOS DIÁRIOS'!$O$5:$O$500,"&lt;=127099",'LANÇAMENTOS DIÁRIOS'!$P$5:$P$500,"&gt;=127000")&gt;0,"X","")</f>
      </c>
      <c r="AC10" s="56" t="str">
        <f>IF(COUNTIFS('LANÇAMENTOS DIÁRIOS'!$G$5:$G$500,"H",'LANÇAMENTOS DIÁRIOS'!$C$5:$C$500,$A10,'LANÇAMENTOS DIÁRIOS'!$O$5:$O$500,"&lt;=127199",'LANÇAMENTOS DIÁRIOS'!$P$5:$P$500,"&gt;=127100")&gt;0,"X","")</f>
      </c>
      <c r="AD10" s="56" t="str">
        <f>IF(COUNTIFS('LANÇAMENTOS DIÁRIOS'!$G$5:$G$500,"H",'LANÇAMENTOS DIÁRIOS'!$C$5:$C$500,$A10,'LANÇAMENTOS DIÁRIOS'!$O$5:$O$500,"&lt;=127299",'LANÇAMENTOS DIÁRIOS'!$P$5:$P$500,"&gt;=127200")&gt;0,"X","")</f>
      </c>
      <c r="AE10" s="56" t="str">
        <f>IF(COUNTIFS('LANÇAMENTOS DIÁRIOS'!$G$5:$G$500,"H",'LANÇAMENTOS DIÁRIOS'!$C$5:$C$500,$A10,'LANÇAMENTOS DIÁRIOS'!$O$5:$O$500,"&lt;=127399",'LANÇAMENTOS DIÁRIOS'!$P$5:$P$500,"&gt;=127300")&gt;0,"X","")</f>
      </c>
      <c r="AF10" s="56" t="str">
        <f>IF(COUNTIFS('LANÇAMENTOS DIÁRIOS'!$G$5:$G$500,"H",'LANÇAMENTOS DIÁRIOS'!$C$5:$C$500,$A10,'LANÇAMENTOS DIÁRIOS'!$O$5:$O$500,"&lt;=127499",'LANÇAMENTOS DIÁRIOS'!$P$5:$P$500,"&gt;=127400")&gt;0,"X","")</f>
      </c>
      <c r="AG10" s="56" t="str">
        <f>IF(COUNTIFS('LANÇAMENTOS DIÁRIOS'!$G$5:$G$500,"H",'LANÇAMENTOS DIÁRIOS'!$C$5:$C$500,$A10,'LANÇAMENTOS DIÁRIOS'!$O$5:$O$500,"&lt;=127599",'LANÇAMENTOS DIÁRIOS'!$P$5:$P$500,"&gt;=127500")&gt;0,"X","")</f>
      </c>
      <c r="AH10" s="56" t="str">
        <f>IF(COUNTIFS('LANÇAMENTOS DIÁRIOS'!$G$5:$G$500,"H",'LANÇAMENTOS DIÁRIOS'!$C$5:$C$500,$A10,'LANÇAMENTOS DIÁRIOS'!$O$5:$O$500,"&lt;=127699",'LANÇAMENTOS DIÁRIOS'!$P$5:$P$500,"&gt;=127600")&gt;0,"X","")</f>
      </c>
      <c r="AI10" s="56" t="str">
        <f>IF(COUNTIFS('LANÇAMENTOS DIÁRIOS'!$G$5:$G$500,"H",'LANÇAMENTOS DIÁRIOS'!$C$5:$C$500,$A10,'LANÇAMENTOS DIÁRIOS'!$O$5:$O$500,"&lt;=127799",'LANÇAMENTOS DIÁRIOS'!$P$5:$P$500,"&gt;=127700")&gt;0,"X","")</f>
      </c>
      <c r="AJ10" s="56" t="str">
        <f>IF(COUNTIFS('LANÇAMENTOS DIÁRIOS'!$G$5:$G$500,"H",'LANÇAMENTOS DIÁRIOS'!$C$5:$C$500,$A10,'LANÇAMENTOS DIÁRIOS'!$O$5:$O$500,"&lt;=127899",'LANÇAMENTOS DIÁRIOS'!$P$5:$P$500,"&gt;=127800")&gt;0,"X","")</f>
      </c>
      <c r="AK10" s="56" t="str">
        <f>IF(COUNTIFS('LANÇAMENTOS DIÁRIOS'!$G$5:$G$500,"H",'LANÇAMENTOS DIÁRIOS'!$C$5:$C$500,$A10,'LANÇAMENTOS DIÁRIOS'!$O$5:$O$500,"&lt;=127999",'LANÇAMENTOS DIÁRIOS'!$P$5:$P$500,"&gt;=127900")&gt;0,"X","")</f>
      </c>
      <c r="AL10" s="56" t="str">
        <f>IF(COUNTIFS('LANÇAMENTOS DIÁRIOS'!$G$5:$G$500,"H",'LANÇAMENTOS DIÁRIOS'!$C$5:$C$500,$A10,'LANÇAMENTOS DIÁRIOS'!$O$5:$O$500,"&lt;=128099",'LANÇAMENTOS DIÁRIOS'!$P$5:$P$500,"&gt;=128000")&gt;0,"X","")</f>
      </c>
      <c r="AM10" s="56" t="str">
        <f>IF(COUNTIFS('LANÇAMENTOS DIÁRIOS'!$G$5:$G$500,"H",'LANÇAMENTOS DIÁRIOS'!$C$5:$C$500,$A10,'LANÇAMENTOS DIÁRIOS'!$O$5:$O$500,"&lt;=128199",'LANÇAMENTOS DIÁRIOS'!$P$5:$P$500,"&gt;=128100")&gt;0,"X","")</f>
      </c>
      <c r="AN10" s="56" t="str">
        <f>IF(COUNTIFS('LANÇAMENTOS DIÁRIOS'!$G$5:$G$500,"H",'LANÇAMENTOS DIÁRIOS'!$C$5:$C$500,$A10,'LANÇAMENTOS DIÁRIOS'!$O$5:$O$500,"&lt;=128299",'LANÇAMENTOS DIÁRIOS'!$P$5:$P$500,"&gt;=128200")&gt;0,"X","")</f>
      </c>
      <c r="AO10" s="56" t="str">
        <f>IF(COUNTIFS('LANÇAMENTOS DIÁRIOS'!$G$5:$G$500,"H",'LANÇAMENTOS DIÁRIOS'!$C$5:$C$500,$A10,'LANÇAMENTOS DIÁRIOS'!$O$5:$O$500,"&lt;=128399",'LANÇAMENTOS DIÁRIOS'!$P$5:$P$500,"&gt;=128300")&gt;0,"X","")</f>
      </c>
      <c r="AP10" s="56" t="str">
        <f>IF(COUNTIFS('LANÇAMENTOS DIÁRIOS'!$G$5:$G$500,"H",'LANÇAMENTOS DIÁRIOS'!$C$5:$C$500,$A10,'LANÇAMENTOS DIÁRIOS'!$O$5:$O$500,"&lt;=128499",'LANÇAMENTOS DIÁRIOS'!$P$5:$P$500,"&gt;=128400")&gt;0,"X","")</f>
      </c>
      <c r="AQ10" s="56" t="str">
        <f>IF(COUNTIFS('LANÇAMENTOS DIÁRIOS'!$G$5:$G$500,"H",'LANÇAMENTOS DIÁRIOS'!$C$5:$C$500,$A10,'LANÇAMENTOS DIÁRIOS'!$O$5:$O$500,"&lt;=128599",'LANÇAMENTOS DIÁRIOS'!$P$5:$P$500,"&gt;=128500")&gt;0,"X","")</f>
      </c>
      <c r="AR10" s="56" t="str">
        <f>IF(COUNTIFS('LANÇAMENTOS DIÁRIOS'!$G$5:$G$500,"H",'LANÇAMENTOS DIÁRIOS'!$C$5:$C$500,$A10,'LANÇAMENTOS DIÁRIOS'!$O$5:$O$500,"&lt;=128699",'LANÇAMENTOS DIÁRIOS'!$P$5:$P$500,"&gt;=128600")&gt;0,"X","")</f>
      </c>
      <c r="AS10" s="56" t="str">
        <f>IF(COUNTIFS('LANÇAMENTOS DIÁRIOS'!$G$5:$G$500,"H",'LANÇAMENTOS DIÁRIOS'!$C$5:$C$500,$A10,'LANÇAMENTOS DIÁRIOS'!$O$5:$O$500,"&lt;=128799",'LANÇAMENTOS DIÁRIOS'!$P$5:$P$500,"&gt;=128700")&gt;0,"X","")</f>
      </c>
      <c r="AT10" s="56" t="str">
        <f>IF(COUNTIFS('LANÇAMENTOS DIÁRIOS'!$G$5:$G$500,"H",'LANÇAMENTOS DIÁRIOS'!$C$5:$C$500,$A10,'LANÇAMENTOS DIÁRIOS'!$O$5:$O$500,"&lt;=128899",'LANÇAMENTOS DIÁRIOS'!$P$5:$P$500,"&gt;=128800")&gt;0,"X","")</f>
      </c>
      <c r="AU10" s="56" t="str">
        <f>IF(COUNTIFS('LANÇAMENTOS DIÁRIOS'!$G$5:$G$500,"H",'LANÇAMENTOS DIÁRIOS'!$C$5:$C$500,$A10,'LANÇAMENTOS DIÁRIOS'!$O$5:$O$500,"&lt;=128999",'LANÇAMENTOS DIÁRIOS'!$P$5:$P$500,"&gt;=128900")&gt;0,"X","")</f>
      </c>
      <c r="AV10" s="56" t="str">
        <f>IF(COUNTIFS('LANÇAMENTOS DIÁRIOS'!$G$5:$G$500,"H",'LANÇAMENTOS DIÁRIOS'!$C$5:$C$500,$A10,'LANÇAMENTOS DIÁRIOS'!$O$5:$O$500,"&lt;=129099",'LANÇAMENTOS DIÁRIOS'!$P$5:$P$500,"&gt;=129000")&gt;0,"X","")</f>
      </c>
      <c r="AW10" s="56" t="str">
        <f>IF(COUNTIFS('LANÇAMENTOS DIÁRIOS'!$G$5:$G$500,"H",'LANÇAMENTOS DIÁRIOS'!$C$5:$C$500,$A10,'LANÇAMENTOS DIÁRIOS'!$O$5:$O$500,"&lt;=129199",'LANÇAMENTOS DIÁRIOS'!$P$5:$P$500,"&gt;=129100")&gt;0,"X","")</f>
      </c>
      <c r="AX10" s="56" t="str">
        <f>IF(COUNTIFS('LANÇAMENTOS DIÁRIOS'!$G$5:$G$500,"H",'LANÇAMENTOS DIÁRIOS'!$C$5:$C$500,$A10,'LANÇAMENTOS DIÁRIOS'!$O$5:$O$500,"&lt;=129299",'LANÇAMENTOS DIÁRIOS'!$P$5:$P$500,"&gt;=129200")&gt;0,"X","")</f>
      </c>
      <c r="AY10" s="56" t="str">
        <f>IF(COUNTIFS('LANÇAMENTOS DIÁRIOS'!$G$5:$G$500,"H",'LANÇAMENTOS DIÁRIOS'!$C$5:$C$500,$A10,'LANÇAMENTOS DIÁRIOS'!$O$5:$O$500,"&lt;=129399",'LANÇAMENTOS DIÁRIOS'!$P$5:$P$500,"&gt;=129300")&gt;0,"X","")</f>
      </c>
      <c r="AZ10" s="56" t="str">
        <f>IF(COUNTIFS('LANÇAMENTOS DIÁRIOS'!$G$5:$G$500,"H",'LANÇAMENTOS DIÁRIOS'!$C$5:$C$500,$A10,'LANÇAMENTOS DIÁRIOS'!$O$5:$O$500,"&lt;=129400",'LANÇAMENTOS DIÁRIOS'!$P$5:$P$500,"&gt;=129400")&gt;0,"X","")</f>
      </c>
    </row>
    <row r="11">
      <c r="A11" s="51" t="str">
        <v>Demolição de dispositivos de concreto armado</v>
      </c>
      <c r="B11" s="56" t="str">
        <f>IF(COUNTIFS('LANÇAMENTOS DIÁRIOS'!$G$5:$G$500,"H",'LANÇAMENTOS DIÁRIOS'!$C$5:$C$500,$A11,'LANÇAMENTOS DIÁRIOS'!$O$5:$O$500,"&lt;=124499",'LANÇAMENTOS DIÁRIOS'!$P$5:$P$500,"&gt;=124400")&gt;0,"X","")</f>
      </c>
      <c r="C11" s="56" t="str">
        <f>IF(COUNTIFS('LANÇAMENTOS DIÁRIOS'!$G$5:$G$500,"H",'LANÇAMENTOS DIÁRIOS'!$C$5:$C$500,$A11,'LANÇAMENTOS DIÁRIOS'!$O$5:$O$500,"&lt;=124599",'LANÇAMENTOS DIÁRIOS'!$P$5:$P$500,"&gt;=124500")&gt;0,"X","")</f>
      </c>
      <c r="D11" s="56" t="str">
        <f>IF(COUNTIFS('LANÇAMENTOS DIÁRIOS'!$G$5:$G$500,"H",'LANÇAMENTOS DIÁRIOS'!$C$5:$C$500,$A11,'LANÇAMENTOS DIÁRIOS'!$O$5:$O$500,"&lt;=124699",'LANÇAMENTOS DIÁRIOS'!$P$5:$P$500,"&gt;=124600")&gt;0,"X","")</f>
      </c>
      <c r="E11" s="56" t="str">
        <f>IF(COUNTIFS('LANÇAMENTOS DIÁRIOS'!$G$5:$G$500,"H",'LANÇAMENTOS DIÁRIOS'!$C$5:$C$500,$A11,'LANÇAMENTOS DIÁRIOS'!$O$5:$O$500,"&lt;=124799",'LANÇAMENTOS DIÁRIOS'!$P$5:$P$500,"&gt;=124700")&gt;0,"X","")</f>
      </c>
      <c r="F11" s="56" t="str">
        <f>IF(COUNTIFS('LANÇAMENTOS DIÁRIOS'!$G$5:$G$500,"H",'LANÇAMENTOS DIÁRIOS'!$C$5:$C$500,$A11,'LANÇAMENTOS DIÁRIOS'!$O$5:$O$500,"&lt;=124899",'LANÇAMENTOS DIÁRIOS'!$P$5:$P$500,"&gt;=124800")&gt;0,"X","")</f>
      </c>
      <c r="G11" s="56" t="str">
        <f>IF(COUNTIFS('LANÇAMENTOS DIÁRIOS'!$G$5:$G$500,"H",'LANÇAMENTOS DIÁRIOS'!$C$5:$C$500,$A11,'LANÇAMENTOS DIÁRIOS'!$O$5:$O$500,"&lt;=124999",'LANÇAMENTOS DIÁRIOS'!$P$5:$P$500,"&gt;=124900")&gt;0,"X","")</f>
      </c>
      <c r="H11" s="56" t="str">
        <f>IF(COUNTIFS('LANÇAMENTOS DIÁRIOS'!$G$5:$G$500,"H",'LANÇAMENTOS DIÁRIOS'!$C$5:$C$500,$A11,'LANÇAMENTOS DIÁRIOS'!$O$5:$O$500,"&lt;=125099",'LANÇAMENTOS DIÁRIOS'!$P$5:$P$500,"&gt;=125000")&gt;0,"X","")</f>
      </c>
      <c r="I11" s="56" t="str">
        <f>IF(COUNTIFS('LANÇAMENTOS DIÁRIOS'!$G$5:$G$500,"H",'LANÇAMENTOS DIÁRIOS'!$C$5:$C$500,$A11,'LANÇAMENTOS DIÁRIOS'!$O$5:$O$500,"&lt;=125199",'LANÇAMENTOS DIÁRIOS'!$P$5:$P$500,"&gt;=125100")&gt;0,"X","")</f>
      </c>
      <c r="J11" s="56" t="str">
        <f>IF(COUNTIFS('LANÇAMENTOS DIÁRIOS'!$G$5:$G$500,"H",'LANÇAMENTOS DIÁRIOS'!$C$5:$C$500,$A11,'LANÇAMENTOS DIÁRIOS'!$O$5:$O$500,"&lt;=125299",'LANÇAMENTOS DIÁRIOS'!$P$5:$P$500,"&gt;=125200")&gt;0,"X","")</f>
      </c>
      <c r="K11" s="56" t="str">
        <f>IF(COUNTIFS('LANÇAMENTOS DIÁRIOS'!$G$5:$G$500,"H",'LANÇAMENTOS DIÁRIOS'!$C$5:$C$500,$A11,'LANÇAMENTOS DIÁRIOS'!$O$5:$O$500,"&lt;=125399",'LANÇAMENTOS DIÁRIOS'!$P$5:$P$500,"&gt;=125300")&gt;0,"X","")</f>
      </c>
      <c r="L11" s="56" t="str">
        <f>IF(COUNTIFS('LANÇAMENTOS DIÁRIOS'!$G$5:$G$500,"H",'LANÇAMENTOS DIÁRIOS'!$C$5:$C$500,$A11,'LANÇAMENTOS DIÁRIOS'!$O$5:$O$500,"&lt;=125499",'LANÇAMENTOS DIÁRIOS'!$P$5:$P$500,"&gt;=125400")&gt;0,"X","")</f>
      </c>
      <c r="M11" s="56" t="str">
        <f>IF(COUNTIFS('LANÇAMENTOS DIÁRIOS'!$G$5:$G$500,"H",'LANÇAMENTOS DIÁRIOS'!$C$5:$C$500,$A11,'LANÇAMENTOS DIÁRIOS'!$O$5:$O$500,"&lt;=125599",'LANÇAMENTOS DIÁRIOS'!$P$5:$P$500,"&gt;=125500")&gt;0,"X","")</f>
      </c>
      <c r="N11" s="56" t="str">
        <f>IF(COUNTIFS('LANÇAMENTOS DIÁRIOS'!$G$5:$G$500,"H",'LANÇAMENTOS DIÁRIOS'!$C$5:$C$500,$A11,'LANÇAMENTOS DIÁRIOS'!$O$5:$O$500,"&lt;=125699",'LANÇAMENTOS DIÁRIOS'!$P$5:$P$500,"&gt;=125600")&gt;0,"X","")</f>
      </c>
      <c r="O11" s="56" t="str">
        <f>IF(COUNTIFS('LANÇAMENTOS DIÁRIOS'!$G$5:$G$500,"H",'LANÇAMENTOS DIÁRIOS'!$C$5:$C$500,$A11,'LANÇAMENTOS DIÁRIOS'!$O$5:$O$500,"&lt;=125799",'LANÇAMENTOS DIÁRIOS'!$P$5:$P$500,"&gt;=125700")&gt;0,"X","")</f>
      </c>
      <c r="P11" s="56" t="str">
        <f>IF(COUNTIFS('LANÇAMENTOS DIÁRIOS'!$G$5:$G$500,"H",'LANÇAMENTOS DIÁRIOS'!$C$5:$C$500,$A11,'LANÇAMENTOS DIÁRIOS'!$O$5:$O$500,"&lt;=125899",'LANÇAMENTOS DIÁRIOS'!$P$5:$P$500,"&gt;=125800")&gt;0,"X","")</f>
      </c>
      <c r="Q11" s="56" t="str">
        <f>IF(COUNTIFS('LANÇAMENTOS DIÁRIOS'!$G$5:$G$500,"H",'LANÇAMENTOS DIÁRIOS'!$C$5:$C$500,$A11,'LANÇAMENTOS DIÁRIOS'!$O$5:$O$500,"&lt;=125999",'LANÇAMENTOS DIÁRIOS'!$P$5:$P$500,"&gt;=125900")&gt;0,"X","")</f>
      </c>
      <c r="R11" s="56" t="str">
        <f>IF(COUNTIFS('LANÇAMENTOS DIÁRIOS'!$G$5:$G$500,"H",'LANÇAMENTOS DIÁRIOS'!$C$5:$C$500,$A11,'LANÇAMENTOS DIÁRIOS'!$O$5:$O$500,"&lt;=126099",'LANÇAMENTOS DIÁRIOS'!$P$5:$P$500,"&gt;=126000")&gt;0,"X","")</f>
      </c>
      <c r="S11" s="56" t="str">
        <f>IF(COUNTIFS('LANÇAMENTOS DIÁRIOS'!$G$5:$G$500,"H",'LANÇAMENTOS DIÁRIOS'!$C$5:$C$500,$A11,'LANÇAMENTOS DIÁRIOS'!$O$5:$O$500,"&lt;=126199",'LANÇAMENTOS DIÁRIOS'!$P$5:$P$500,"&gt;=126100")&gt;0,"X","")</f>
      </c>
      <c r="T11" s="56" t="str">
        <f>IF(COUNTIFS('LANÇAMENTOS DIÁRIOS'!$G$5:$G$500,"H",'LANÇAMENTOS DIÁRIOS'!$C$5:$C$500,$A11,'LANÇAMENTOS DIÁRIOS'!$O$5:$O$500,"&lt;=126299",'LANÇAMENTOS DIÁRIOS'!$P$5:$P$500,"&gt;=126200")&gt;0,"X","")</f>
      </c>
      <c r="U11" s="56" t="str">
        <f>IF(COUNTIFS('LANÇAMENTOS DIÁRIOS'!$G$5:$G$500,"H",'LANÇAMENTOS DIÁRIOS'!$C$5:$C$500,$A11,'LANÇAMENTOS DIÁRIOS'!$O$5:$O$500,"&lt;=126399",'LANÇAMENTOS DIÁRIOS'!$P$5:$P$500,"&gt;=126300")&gt;0,"X","")</f>
      </c>
      <c r="V11" s="56" t="str">
        <f>IF(COUNTIFS('LANÇAMENTOS DIÁRIOS'!$G$5:$G$500,"H",'LANÇAMENTOS DIÁRIOS'!$C$5:$C$500,$A11,'LANÇAMENTOS DIÁRIOS'!$O$5:$O$500,"&lt;=126499",'LANÇAMENTOS DIÁRIOS'!$P$5:$P$500,"&gt;=126400")&gt;0,"X","")</f>
      </c>
      <c r="W11" s="56" t="str">
        <f>IF(COUNTIFS('LANÇAMENTOS DIÁRIOS'!$G$5:$G$500,"H",'LANÇAMENTOS DIÁRIOS'!$C$5:$C$500,$A11,'LANÇAMENTOS DIÁRIOS'!$O$5:$O$500,"&lt;=126599",'LANÇAMENTOS DIÁRIOS'!$P$5:$P$500,"&gt;=126500")&gt;0,"X","")</f>
      </c>
      <c r="X11" s="56" t="str">
        <f>IF(COUNTIFS('LANÇAMENTOS DIÁRIOS'!$G$5:$G$500,"H",'LANÇAMENTOS DIÁRIOS'!$C$5:$C$500,$A11,'LANÇAMENTOS DIÁRIOS'!$O$5:$O$500,"&lt;=126699",'LANÇAMENTOS DIÁRIOS'!$P$5:$P$500,"&gt;=126600")&gt;0,"X","")</f>
      </c>
      <c r="Y11" s="56" t="str">
        <f>IF(COUNTIFS('LANÇAMENTOS DIÁRIOS'!$G$5:$G$500,"H",'LANÇAMENTOS DIÁRIOS'!$C$5:$C$500,$A11,'LANÇAMENTOS DIÁRIOS'!$O$5:$O$500,"&lt;=126799",'LANÇAMENTOS DIÁRIOS'!$P$5:$P$500,"&gt;=126700")&gt;0,"X","")</f>
      </c>
      <c r="Z11" s="56" t="str">
        <f>IF(COUNTIFS('LANÇAMENTOS DIÁRIOS'!$G$5:$G$500,"H",'LANÇAMENTOS DIÁRIOS'!$C$5:$C$500,$A11,'LANÇAMENTOS DIÁRIOS'!$O$5:$O$500,"&lt;=126899",'LANÇAMENTOS DIÁRIOS'!$P$5:$P$500,"&gt;=126800")&gt;0,"X","")</f>
      </c>
      <c r="AA11" s="56" t="str">
        <f>IF(COUNTIFS('LANÇAMENTOS DIÁRIOS'!$G$5:$G$500,"H",'LANÇAMENTOS DIÁRIOS'!$C$5:$C$500,$A11,'LANÇAMENTOS DIÁRIOS'!$O$5:$O$500,"&lt;=126999",'LANÇAMENTOS DIÁRIOS'!$P$5:$P$500,"&gt;=126900")&gt;0,"X","")</f>
      </c>
      <c r="AB11" s="56" t="str">
        <f>IF(COUNTIFS('LANÇAMENTOS DIÁRIOS'!$G$5:$G$500,"H",'LANÇAMENTOS DIÁRIOS'!$C$5:$C$500,$A11,'LANÇAMENTOS DIÁRIOS'!$O$5:$O$500,"&lt;=127099",'LANÇAMENTOS DIÁRIOS'!$P$5:$P$500,"&gt;=127000")&gt;0,"X","")</f>
      </c>
      <c r="AC11" s="56" t="str">
        <f>IF(COUNTIFS('LANÇAMENTOS DIÁRIOS'!$G$5:$G$500,"H",'LANÇAMENTOS DIÁRIOS'!$C$5:$C$500,$A11,'LANÇAMENTOS DIÁRIOS'!$O$5:$O$500,"&lt;=127199",'LANÇAMENTOS DIÁRIOS'!$P$5:$P$500,"&gt;=127100")&gt;0,"X","")</f>
      </c>
      <c r="AD11" s="56" t="str">
        <f>IF(COUNTIFS('LANÇAMENTOS DIÁRIOS'!$G$5:$G$500,"H",'LANÇAMENTOS DIÁRIOS'!$C$5:$C$500,$A11,'LANÇAMENTOS DIÁRIOS'!$O$5:$O$500,"&lt;=127299",'LANÇAMENTOS DIÁRIOS'!$P$5:$P$500,"&gt;=127200")&gt;0,"X","")</f>
      </c>
      <c r="AE11" s="56" t="str">
        <f>IF(COUNTIFS('LANÇAMENTOS DIÁRIOS'!$G$5:$G$500,"H",'LANÇAMENTOS DIÁRIOS'!$C$5:$C$500,$A11,'LANÇAMENTOS DIÁRIOS'!$O$5:$O$500,"&lt;=127399",'LANÇAMENTOS DIÁRIOS'!$P$5:$P$500,"&gt;=127300")&gt;0,"X","")</f>
      </c>
      <c r="AF11" s="56" t="str">
        <f>IF(COUNTIFS('LANÇAMENTOS DIÁRIOS'!$G$5:$G$500,"H",'LANÇAMENTOS DIÁRIOS'!$C$5:$C$500,$A11,'LANÇAMENTOS DIÁRIOS'!$O$5:$O$500,"&lt;=127499",'LANÇAMENTOS DIÁRIOS'!$P$5:$P$500,"&gt;=127400")&gt;0,"X","")</f>
      </c>
      <c r="AG11" s="56" t="str">
        <f>IF(COUNTIFS('LANÇAMENTOS DIÁRIOS'!$G$5:$G$500,"H",'LANÇAMENTOS DIÁRIOS'!$C$5:$C$500,$A11,'LANÇAMENTOS DIÁRIOS'!$O$5:$O$500,"&lt;=127599",'LANÇAMENTOS DIÁRIOS'!$P$5:$P$500,"&gt;=127500")&gt;0,"X","")</f>
      </c>
      <c r="AH11" s="56" t="str">
        <f>IF(COUNTIFS('LANÇAMENTOS DIÁRIOS'!$G$5:$G$500,"H",'LANÇAMENTOS DIÁRIOS'!$C$5:$C$500,$A11,'LANÇAMENTOS DIÁRIOS'!$O$5:$O$500,"&lt;=127699",'LANÇAMENTOS DIÁRIOS'!$P$5:$P$500,"&gt;=127600")&gt;0,"X","")</f>
      </c>
      <c r="AI11" s="56" t="str">
        <f>IF(COUNTIFS('LANÇAMENTOS DIÁRIOS'!$G$5:$G$500,"H",'LANÇAMENTOS DIÁRIOS'!$C$5:$C$500,$A11,'LANÇAMENTOS DIÁRIOS'!$O$5:$O$500,"&lt;=127799",'LANÇAMENTOS DIÁRIOS'!$P$5:$P$500,"&gt;=127700")&gt;0,"X","")</f>
      </c>
      <c r="AJ11" s="56" t="str">
        <f>IF(COUNTIFS('LANÇAMENTOS DIÁRIOS'!$G$5:$G$500,"H",'LANÇAMENTOS DIÁRIOS'!$C$5:$C$500,$A11,'LANÇAMENTOS DIÁRIOS'!$O$5:$O$500,"&lt;=127899",'LANÇAMENTOS DIÁRIOS'!$P$5:$P$500,"&gt;=127800")&gt;0,"X","")</f>
      </c>
      <c r="AK11" s="56" t="str">
        <f>IF(COUNTIFS('LANÇAMENTOS DIÁRIOS'!$G$5:$G$500,"H",'LANÇAMENTOS DIÁRIOS'!$C$5:$C$500,$A11,'LANÇAMENTOS DIÁRIOS'!$O$5:$O$500,"&lt;=127999",'LANÇAMENTOS DIÁRIOS'!$P$5:$P$500,"&gt;=127900")&gt;0,"X","")</f>
      </c>
      <c r="AL11" s="56" t="str">
        <f>IF(COUNTIFS('LANÇAMENTOS DIÁRIOS'!$G$5:$G$500,"H",'LANÇAMENTOS DIÁRIOS'!$C$5:$C$500,$A11,'LANÇAMENTOS DIÁRIOS'!$O$5:$O$500,"&lt;=128099",'LANÇAMENTOS DIÁRIOS'!$P$5:$P$500,"&gt;=128000")&gt;0,"X","")</f>
      </c>
      <c r="AM11" s="56" t="str">
        <f>IF(COUNTIFS('LANÇAMENTOS DIÁRIOS'!$G$5:$G$500,"H",'LANÇAMENTOS DIÁRIOS'!$C$5:$C$500,$A11,'LANÇAMENTOS DIÁRIOS'!$O$5:$O$500,"&lt;=128199",'LANÇAMENTOS DIÁRIOS'!$P$5:$P$500,"&gt;=128100")&gt;0,"X","")</f>
      </c>
      <c r="AN11" s="56" t="str">
        <f>IF(COUNTIFS('LANÇAMENTOS DIÁRIOS'!$G$5:$G$500,"H",'LANÇAMENTOS DIÁRIOS'!$C$5:$C$500,$A11,'LANÇAMENTOS DIÁRIOS'!$O$5:$O$500,"&lt;=128299",'LANÇAMENTOS DIÁRIOS'!$P$5:$P$500,"&gt;=128200")&gt;0,"X","")</f>
      </c>
      <c r="AO11" s="56" t="str">
        <f>IF(COUNTIFS('LANÇAMENTOS DIÁRIOS'!$G$5:$G$500,"H",'LANÇAMENTOS DIÁRIOS'!$C$5:$C$500,$A11,'LANÇAMENTOS DIÁRIOS'!$O$5:$O$500,"&lt;=128399",'LANÇAMENTOS DIÁRIOS'!$P$5:$P$500,"&gt;=128300")&gt;0,"X","")</f>
      </c>
      <c r="AP11" s="56" t="str">
        <f>IF(COUNTIFS('LANÇAMENTOS DIÁRIOS'!$G$5:$G$500,"H",'LANÇAMENTOS DIÁRIOS'!$C$5:$C$500,$A11,'LANÇAMENTOS DIÁRIOS'!$O$5:$O$500,"&lt;=128499",'LANÇAMENTOS DIÁRIOS'!$P$5:$P$500,"&gt;=128400")&gt;0,"X","")</f>
      </c>
      <c r="AQ11" s="56" t="str">
        <f>IF(COUNTIFS('LANÇAMENTOS DIÁRIOS'!$G$5:$G$500,"H",'LANÇAMENTOS DIÁRIOS'!$C$5:$C$500,$A11,'LANÇAMENTOS DIÁRIOS'!$O$5:$O$500,"&lt;=128599",'LANÇAMENTOS DIÁRIOS'!$P$5:$P$500,"&gt;=128500")&gt;0,"X","")</f>
      </c>
      <c r="AR11" s="56" t="str">
        <f>IF(COUNTIFS('LANÇAMENTOS DIÁRIOS'!$G$5:$G$500,"H",'LANÇAMENTOS DIÁRIOS'!$C$5:$C$500,$A11,'LANÇAMENTOS DIÁRIOS'!$O$5:$O$500,"&lt;=128699",'LANÇAMENTOS DIÁRIOS'!$P$5:$P$500,"&gt;=128600")&gt;0,"X","")</f>
      </c>
      <c r="AS11" s="56" t="str">
        <f>IF(COUNTIFS('LANÇAMENTOS DIÁRIOS'!$G$5:$G$500,"H",'LANÇAMENTOS DIÁRIOS'!$C$5:$C$500,$A11,'LANÇAMENTOS DIÁRIOS'!$O$5:$O$500,"&lt;=128799",'LANÇAMENTOS DIÁRIOS'!$P$5:$P$500,"&gt;=128700")&gt;0,"X","")</f>
      </c>
      <c r="AT11" s="56" t="str">
        <f>IF(COUNTIFS('LANÇAMENTOS DIÁRIOS'!$G$5:$G$500,"H",'LANÇAMENTOS DIÁRIOS'!$C$5:$C$500,$A11,'LANÇAMENTOS DIÁRIOS'!$O$5:$O$500,"&lt;=128899",'LANÇAMENTOS DIÁRIOS'!$P$5:$P$500,"&gt;=128800")&gt;0,"X","")</f>
      </c>
      <c r="AU11" s="56" t="str">
        <f>IF(COUNTIFS('LANÇAMENTOS DIÁRIOS'!$G$5:$G$500,"H",'LANÇAMENTOS DIÁRIOS'!$C$5:$C$500,$A11,'LANÇAMENTOS DIÁRIOS'!$O$5:$O$500,"&lt;=128999",'LANÇAMENTOS DIÁRIOS'!$P$5:$P$500,"&gt;=128900")&gt;0,"X","")</f>
      </c>
      <c r="AV11" s="56" t="str">
        <f>IF(COUNTIFS('LANÇAMENTOS DIÁRIOS'!$G$5:$G$500,"H",'LANÇAMENTOS DIÁRIOS'!$C$5:$C$500,$A11,'LANÇAMENTOS DIÁRIOS'!$O$5:$O$500,"&lt;=129099",'LANÇAMENTOS DIÁRIOS'!$P$5:$P$500,"&gt;=129000")&gt;0,"X","")</f>
      </c>
      <c r="AW11" s="56" t="str">
        <f>IF(COUNTIFS('LANÇAMENTOS DIÁRIOS'!$G$5:$G$500,"H",'LANÇAMENTOS DIÁRIOS'!$C$5:$C$500,$A11,'LANÇAMENTOS DIÁRIOS'!$O$5:$O$500,"&lt;=129199",'LANÇAMENTOS DIÁRIOS'!$P$5:$P$500,"&gt;=129100")&gt;0,"X","")</f>
      </c>
      <c r="AX11" s="56" t="str">
        <f>IF(COUNTIFS('LANÇAMENTOS DIÁRIOS'!$G$5:$G$500,"H",'LANÇAMENTOS DIÁRIOS'!$C$5:$C$500,$A11,'LANÇAMENTOS DIÁRIOS'!$O$5:$O$500,"&lt;=129299",'LANÇAMENTOS DIÁRIOS'!$P$5:$P$500,"&gt;=129200")&gt;0,"X","")</f>
      </c>
      <c r="AY11" s="56" t="str">
        <f>IF(COUNTIFS('LANÇAMENTOS DIÁRIOS'!$G$5:$G$500,"H",'LANÇAMENTOS DIÁRIOS'!$C$5:$C$500,$A11,'LANÇAMENTOS DIÁRIOS'!$O$5:$O$500,"&lt;=129399",'LANÇAMENTOS DIÁRIOS'!$P$5:$P$500,"&gt;=129300")&gt;0,"X","")</f>
      </c>
      <c r="AZ11" s="56" t="str">
        <f>IF(COUNTIFS('LANÇAMENTOS DIÁRIOS'!$G$5:$G$500,"H",'LANÇAMENTOS DIÁRIOS'!$C$5:$C$500,$A11,'LANÇAMENTOS DIÁRIOS'!$O$5:$O$500,"&lt;=129400",'LANÇAMENTOS DIÁRIOS'!$P$5:$P$500,"&gt;=129400")&gt;0,"X","")</f>
      </c>
    </row>
    <row r="12">
      <c r="A12" s="51" t="str">
        <v>Demolição de dispositivos de concreto simples</v>
      </c>
      <c r="B12" s="56" t="str">
        <f>IF(COUNTIFS('LANÇAMENTOS DIÁRIOS'!$G$5:$G$500,"H",'LANÇAMENTOS DIÁRIOS'!$C$5:$C$500,$A12,'LANÇAMENTOS DIÁRIOS'!$O$5:$O$500,"&lt;=124499",'LANÇAMENTOS DIÁRIOS'!$P$5:$P$500,"&gt;=124400")&gt;0,"X","")</f>
      </c>
      <c r="C12" s="56" t="str">
        <f>IF(COUNTIFS('LANÇAMENTOS DIÁRIOS'!$G$5:$G$500,"H",'LANÇAMENTOS DIÁRIOS'!$C$5:$C$500,$A12,'LANÇAMENTOS DIÁRIOS'!$O$5:$O$500,"&lt;=124599",'LANÇAMENTOS DIÁRIOS'!$P$5:$P$500,"&gt;=124500")&gt;0,"X","")</f>
      </c>
      <c r="D12" s="56" t="str">
        <f>IF(COUNTIFS('LANÇAMENTOS DIÁRIOS'!$G$5:$G$500,"H",'LANÇAMENTOS DIÁRIOS'!$C$5:$C$500,$A12,'LANÇAMENTOS DIÁRIOS'!$O$5:$O$500,"&lt;=124699",'LANÇAMENTOS DIÁRIOS'!$P$5:$P$500,"&gt;=124600")&gt;0,"X","")</f>
      </c>
      <c r="E12" s="56" t="str">
        <f>IF(COUNTIFS('LANÇAMENTOS DIÁRIOS'!$G$5:$G$500,"H",'LANÇAMENTOS DIÁRIOS'!$C$5:$C$500,$A12,'LANÇAMENTOS DIÁRIOS'!$O$5:$O$500,"&lt;=124799",'LANÇAMENTOS DIÁRIOS'!$P$5:$P$500,"&gt;=124700")&gt;0,"X","")</f>
      </c>
      <c r="F12" s="56" t="str">
        <f>IF(COUNTIFS('LANÇAMENTOS DIÁRIOS'!$G$5:$G$500,"H",'LANÇAMENTOS DIÁRIOS'!$C$5:$C$500,$A12,'LANÇAMENTOS DIÁRIOS'!$O$5:$O$500,"&lt;=124899",'LANÇAMENTOS DIÁRIOS'!$P$5:$P$500,"&gt;=124800")&gt;0,"X","")</f>
      </c>
      <c r="G12" s="56" t="str">
        <f>IF(COUNTIFS('LANÇAMENTOS DIÁRIOS'!$G$5:$G$500,"H",'LANÇAMENTOS DIÁRIOS'!$C$5:$C$500,$A12,'LANÇAMENTOS DIÁRIOS'!$O$5:$O$500,"&lt;=124999",'LANÇAMENTOS DIÁRIOS'!$P$5:$P$500,"&gt;=124900")&gt;0,"X","")</f>
      </c>
      <c r="H12" s="56" t="str">
        <f>IF(COUNTIFS('LANÇAMENTOS DIÁRIOS'!$G$5:$G$500,"H",'LANÇAMENTOS DIÁRIOS'!$C$5:$C$500,$A12,'LANÇAMENTOS DIÁRIOS'!$O$5:$O$500,"&lt;=125099",'LANÇAMENTOS DIÁRIOS'!$P$5:$P$500,"&gt;=125000")&gt;0,"X","")</f>
      </c>
      <c r="I12" s="56" t="str">
        <f>IF(COUNTIFS('LANÇAMENTOS DIÁRIOS'!$G$5:$G$500,"H",'LANÇAMENTOS DIÁRIOS'!$C$5:$C$500,$A12,'LANÇAMENTOS DIÁRIOS'!$O$5:$O$500,"&lt;=125199",'LANÇAMENTOS DIÁRIOS'!$P$5:$P$500,"&gt;=125100")&gt;0,"X","")</f>
      </c>
      <c r="J12" s="56" t="str">
        <f>IF(COUNTIFS('LANÇAMENTOS DIÁRIOS'!$G$5:$G$500,"H",'LANÇAMENTOS DIÁRIOS'!$C$5:$C$500,$A12,'LANÇAMENTOS DIÁRIOS'!$O$5:$O$500,"&lt;=125299",'LANÇAMENTOS DIÁRIOS'!$P$5:$P$500,"&gt;=125200")&gt;0,"X","")</f>
      </c>
      <c r="K12" s="56" t="str">
        <f>IF(COUNTIFS('LANÇAMENTOS DIÁRIOS'!$G$5:$G$500,"H",'LANÇAMENTOS DIÁRIOS'!$C$5:$C$500,$A12,'LANÇAMENTOS DIÁRIOS'!$O$5:$O$500,"&lt;=125399",'LANÇAMENTOS DIÁRIOS'!$P$5:$P$500,"&gt;=125300")&gt;0,"X","")</f>
      </c>
      <c r="L12" s="56" t="str">
        <f>IF(COUNTIFS('LANÇAMENTOS DIÁRIOS'!$G$5:$G$500,"H",'LANÇAMENTOS DIÁRIOS'!$C$5:$C$500,$A12,'LANÇAMENTOS DIÁRIOS'!$O$5:$O$500,"&lt;=125499",'LANÇAMENTOS DIÁRIOS'!$P$5:$P$500,"&gt;=125400")&gt;0,"X","")</f>
      </c>
      <c r="M12" s="56" t="str">
        <f>IF(COUNTIFS('LANÇAMENTOS DIÁRIOS'!$G$5:$G$500,"H",'LANÇAMENTOS DIÁRIOS'!$C$5:$C$500,$A12,'LANÇAMENTOS DIÁRIOS'!$O$5:$O$500,"&lt;=125599",'LANÇAMENTOS DIÁRIOS'!$P$5:$P$500,"&gt;=125500")&gt;0,"X","")</f>
      </c>
      <c r="N12" s="56" t="str">
        <f>IF(COUNTIFS('LANÇAMENTOS DIÁRIOS'!$G$5:$G$500,"H",'LANÇAMENTOS DIÁRIOS'!$C$5:$C$500,$A12,'LANÇAMENTOS DIÁRIOS'!$O$5:$O$500,"&lt;=125699",'LANÇAMENTOS DIÁRIOS'!$P$5:$P$500,"&gt;=125600")&gt;0,"X","")</f>
      </c>
      <c r="O12" s="56" t="str">
        <f>IF(COUNTIFS('LANÇAMENTOS DIÁRIOS'!$G$5:$G$500,"H",'LANÇAMENTOS DIÁRIOS'!$C$5:$C$500,$A12,'LANÇAMENTOS DIÁRIOS'!$O$5:$O$500,"&lt;=125799",'LANÇAMENTOS DIÁRIOS'!$P$5:$P$500,"&gt;=125700")&gt;0,"X","")</f>
      </c>
      <c r="P12" s="56" t="str">
        <f>IF(COUNTIFS('LANÇAMENTOS DIÁRIOS'!$G$5:$G$500,"H",'LANÇAMENTOS DIÁRIOS'!$C$5:$C$500,$A12,'LANÇAMENTOS DIÁRIOS'!$O$5:$O$500,"&lt;=125899",'LANÇAMENTOS DIÁRIOS'!$P$5:$P$500,"&gt;=125800")&gt;0,"X","")</f>
      </c>
      <c r="Q12" s="56" t="str">
        <f>IF(COUNTIFS('LANÇAMENTOS DIÁRIOS'!$G$5:$G$500,"H",'LANÇAMENTOS DIÁRIOS'!$C$5:$C$500,$A12,'LANÇAMENTOS DIÁRIOS'!$O$5:$O$500,"&lt;=125999",'LANÇAMENTOS DIÁRIOS'!$P$5:$P$500,"&gt;=125900")&gt;0,"X","")</f>
      </c>
      <c r="R12" s="56" t="str">
        <f>IF(COUNTIFS('LANÇAMENTOS DIÁRIOS'!$G$5:$G$500,"H",'LANÇAMENTOS DIÁRIOS'!$C$5:$C$500,$A12,'LANÇAMENTOS DIÁRIOS'!$O$5:$O$500,"&lt;=126099",'LANÇAMENTOS DIÁRIOS'!$P$5:$P$500,"&gt;=126000")&gt;0,"X","")</f>
      </c>
      <c r="S12" s="56" t="str">
        <f>IF(COUNTIFS('LANÇAMENTOS DIÁRIOS'!$G$5:$G$500,"H",'LANÇAMENTOS DIÁRIOS'!$C$5:$C$500,$A12,'LANÇAMENTOS DIÁRIOS'!$O$5:$O$500,"&lt;=126199",'LANÇAMENTOS DIÁRIOS'!$P$5:$P$500,"&gt;=126100")&gt;0,"X","")</f>
      </c>
      <c r="T12" s="56" t="str">
        <f>IF(COUNTIFS('LANÇAMENTOS DIÁRIOS'!$G$5:$G$500,"H",'LANÇAMENTOS DIÁRIOS'!$C$5:$C$500,$A12,'LANÇAMENTOS DIÁRIOS'!$O$5:$O$500,"&lt;=126299",'LANÇAMENTOS DIÁRIOS'!$P$5:$P$500,"&gt;=126200")&gt;0,"X","")</f>
      </c>
      <c r="U12" s="56" t="str">
        <f>IF(COUNTIFS('LANÇAMENTOS DIÁRIOS'!$G$5:$G$500,"H",'LANÇAMENTOS DIÁRIOS'!$C$5:$C$500,$A12,'LANÇAMENTOS DIÁRIOS'!$O$5:$O$500,"&lt;=126399",'LANÇAMENTOS DIÁRIOS'!$P$5:$P$500,"&gt;=126300")&gt;0,"X","")</f>
      </c>
      <c r="V12" s="56" t="str">
        <f>IF(COUNTIFS('LANÇAMENTOS DIÁRIOS'!$G$5:$G$500,"H",'LANÇAMENTOS DIÁRIOS'!$C$5:$C$500,$A12,'LANÇAMENTOS DIÁRIOS'!$O$5:$O$500,"&lt;=126499",'LANÇAMENTOS DIÁRIOS'!$P$5:$P$500,"&gt;=126400")&gt;0,"X","")</f>
      </c>
      <c r="W12" s="56" t="str">
        <f>IF(COUNTIFS('LANÇAMENTOS DIÁRIOS'!$G$5:$G$500,"H",'LANÇAMENTOS DIÁRIOS'!$C$5:$C$500,$A12,'LANÇAMENTOS DIÁRIOS'!$O$5:$O$500,"&lt;=126599",'LANÇAMENTOS DIÁRIOS'!$P$5:$P$500,"&gt;=126500")&gt;0,"X","")</f>
      </c>
      <c r="X12" s="56" t="str">
        <f>IF(COUNTIFS('LANÇAMENTOS DIÁRIOS'!$G$5:$G$500,"H",'LANÇAMENTOS DIÁRIOS'!$C$5:$C$500,$A12,'LANÇAMENTOS DIÁRIOS'!$O$5:$O$500,"&lt;=126699",'LANÇAMENTOS DIÁRIOS'!$P$5:$P$500,"&gt;=126600")&gt;0,"X","")</f>
      </c>
      <c r="Y12" s="56" t="str">
        <f>IF(COUNTIFS('LANÇAMENTOS DIÁRIOS'!$G$5:$G$500,"H",'LANÇAMENTOS DIÁRIOS'!$C$5:$C$500,$A12,'LANÇAMENTOS DIÁRIOS'!$O$5:$O$500,"&lt;=126799",'LANÇAMENTOS DIÁRIOS'!$P$5:$P$500,"&gt;=126700")&gt;0,"X","")</f>
      </c>
      <c r="Z12" s="56" t="str">
        <f>IF(COUNTIFS('LANÇAMENTOS DIÁRIOS'!$G$5:$G$500,"H",'LANÇAMENTOS DIÁRIOS'!$C$5:$C$500,$A12,'LANÇAMENTOS DIÁRIOS'!$O$5:$O$500,"&lt;=126899",'LANÇAMENTOS DIÁRIOS'!$P$5:$P$500,"&gt;=126800")&gt;0,"X","")</f>
      </c>
      <c r="AA12" s="56" t="str">
        <f>IF(COUNTIFS('LANÇAMENTOS DIÁRIOS'!$G$5:$G$500,"H",'LANÇAMENTOS DIÁRIOS'!$C$5:$C$500,$A12,'LANÇAMENTOS DIÁRIOS'!$O$5:$O$500,"&lt;=126999",'LANÇAMENTOS DIÁRIOS'!$P$5:$P$500,"&gt;=126900")&gt;0,"X","")</f>
      </c>
      <c r="AB12" s="56" t="str">
        <f>IF(COUNTIFS('LANÇAMENTOS DIÁRIOS'!$G$5:$G$500,"H",'LANÇAMENTOS DIÁRIOS'!$C$5:$C$500,$A12,'LANÇAMENTOS DIÁRIOS'!$O$5:$O$500,"&lt;=127099",'LANÇAMENTOS DIÁRIOS'!$P$5:$P$500,"&gt;=127000")&gt;0,"X","")</f>
      </c>
      <c r="AC12" s="56" t="str">
        <f>IF(COUNTIFS('LANÇAMENTOS DIÁRIOS'!$G$5:$G$500,"H",'LANÇAMENTOS DIÁRIOS'!$C$5:$C$500,$A12,'LANÇAMENTOS DIÁRIOS'!$O$5:$O$500,"&lt;=127199",'LANÇAMENTOS DIÁRIOS'!$P$5:$P$500,"&gt;=127100")&gt;0,"X","")</f>
      </c>
      <c r="AD12" s="56" t="str">
        <f>IF(COUNTIFS('LANÇAMENTOS DIÁRIOS'!$G$5:$G$500,"H",'LANÇAMENTOS DIÁRIOS'!$C$5:$C$500,$A12,'LANÇAMENTOS DIÁRIOS'!$O$5:$O$500,"&lt;=127299",'LANÇAMENTOS DIÁRIOS'!$P$5:$P$500,"&gt;=127200")&gt;0,"X","")</f>
      </c>
      <c r="AE12" s="56" t="str">
        <f>IF(COUNTIFS('LANÇAMENTOS DIÁRIOS'!$G$5:$G$500,"H",'LANÇAMENTOS DIÁRIOS'!$C$5:$C$500,$A12,'LANÇAMENTOS DIÁRIOS'!$O$5:$O$500,"&lt;=127399",'LANÇAMENTOS DIÁRIOS'!$P$5:$P$500,"&gt;=127300")&gt;0,"X","")</f>
      </c>
      <c r="AF12" s="56" t="str">
        <f>IF(COUNTIFS('LANÇAMENTOS DIÁRIOS'!$G$5:$G$500,"H",'LANÇAMENTOS DIÁRIOS'!$C$5:$C$500,$A12,'LANÇAMENTOS DIÁRIOS'!$O$5:$O$500,"&lt;=127499",'LANÇAMENTOS DIÁRIOS'!$P$5:$P$500,"&gt;=127400")&gt;0,"X","")</f>
      </c>
      <c r="AG12" s="56" t="str">
        <f>IF(COUNTIFS('LANÇAMENTOS DIÁRIOS'!$G$5:$G$500,"H",'LANÇAMENTOS DIÁRIOS'!$C$5:$C$500,$A12,'LANÇAMENTOS DIÁRIOS'!$O$5:$O$500,"&lt;=127599",'LANÇAMENTOS DIÁRIOS'!$P$5:$P$500,"&gt;=127500")&gt;0,"X","")</f>
      </c>
      <c r="AH12" s="56" t="str">
        <f>IF(COUNTIFS('LANÇAMENTOS DIÁRIOS'!$G$5:$G$500,"H",'LANÇAMENTOS DIÁRIOS'!$C$5:$C$500,$A12,'LANÇAMENTOS DIÁRIOS'!$O$5:$O$500,"&lt;=127699",'LANÇAMENTOS DIÁRIOS'!$P$5:$P$500,"&gt;=127600")&gt;0,"X","")</f>
      </c>
      <c r="AI12" s="56" t="str">
        <f>IF(COUNTIFS('LANÇAMENTOS DIÁRIOS'!$G$5:$G$500,"H",'LANÇAMENTOS DIÁRIOS'!$C$5:$C$500,$A12,'LANÇAMENTOS DIÁRIOS'!$O$5:$O$500,"&lt;=127799",'LANÇAMENTOS DIÁRIOS'!$P$5:$P$500,"&gt;=127700")&gt;0,"X","")</f>
      </c>
      <c r="AJ12" s="56" t="str">
        <f>IF(COUNTIFS('LANÇAMENTOS DIÁRIOS'!$G$5:$G$500,"H",'LANÇAMENTOS DIÁRIOS'!$C$5:$C$500,$A12,'LANÇAMENTOS DIÁRIOS'!$O$5:$O$500,"&lt;=127899",'LANÇAMENTOS DIÁRIOS'!$P$5:$P$500,"&gt;=127800")&gt;0,"X","")</f>
      </c>
      <c r="AK12" s="56" t="str">
        <f>IF(COUNTIFS('LANÇAMENTOS DIÁRIOS'!$G$5:$G$500,"H",'LANÇAMENTOS DIÁRIOS'!$C$5:$C$500,$A12,'LANÇAMENTOS DIÁRIOS'!$O$5:$O$500,"&lt;=127999",'LANÇAMENTOS DIÁRIOS'!$P$5:$P$500,"&gt;=127900")&gt;0,"X","")</f>
      </c>
      <c r="AL12" s="56" t="str">
        <f>IF(COUNTIFS('LANÇAMENTOS DIÁRIOS'!$G$5:$G$500,"H",'LANÇAMENTOS DIÁRIOS'!$C$5:$C$500,$A12,'LANÇAMENTOS DIÁRIOS'!$O$5:$O$500,"&lt;=128099",'LANÇAMENTOS DIÁRIOS'!$P$5:$P$500,"&gt;=128000")&gt;0,"X","")</f>
      </c>
      <c r="AM12" s="56" t="str">
        <f>IF(COUNTIFS('LANÇAMENTOS DIÁRIOS'!$G$5:$G$500,"H",'LANÇAMENTOS DIÁRIOS'!$C$5:$C$500,$A12,'LANÇAMENTOS DIÁRIOS'!$O$5:$O$500,"&lt;=128199",'LANÇAMENTOS DIÁRIOS'!$P$5:$P$500,"&gt;=128100")&gt;0,"X","")</f>
      </c>
      <c r="AN12" s="56" t="str">
        <f>IF(COUNTIFS('LANÇAMENTOS DIÁRIOS'!$G$5:$G$500,"H",'LANÇAMENTOS DIÁRIOS'!$C$5:$C$500,$A12,'LANÇAMENTOS DIÁRIOS'!$O$5:$O$500,"&lt;=128299",'LANÇAMENTOS DIÁRIOS'!$P$5:$P$500,"&gt;=128200")&gt;0,"X","")</f>
      </c>
      <c r="AO12" s="56" t="str">
        <f>IF(COUNTIFS('LANÇAMENTOS DIÁRIOS'!$G$5:$G$500,"H",'LANÇAMENTOS DIÁRIOS'!$C$5:$C$500,$A12,'LANÇAMENTOS DIÁRIOS'!$O$5:$O$500,"&lt;=128399",'LANÇAMENTOS DIÁRIOS'!$P$5:$P$500,"&gt;=128300")&gt;0,"X","")</f>
      </c>
      <c r="AP12" s="56" t="str">
        <f>IF(COUNTIFS('LANÇAMENTOS DIÁRIOS'!$G$5:$G$500,"H",'LANÇAMENTOS DIÁRIOS'!$C$5:$C$500,$A12,'LANÇAMENTOS DIÁRIOS'!$O$5:$O$500,"&lt;=128499",'LANÇAMENTOS DIÁRIOS'!$P$5:$P$500,"&gt;=128400")&gt;0,"X","")</f>
      </c>
      <c r="AQ12" s="56" t="str">
        <f>IF(COUNTIFS('LANÇAMENTOS DIÁRIOS'!$G$5:$G$500,"H",'LANÇAMENTOS DIÁRIOS'!$C$5:$C$500,$A12,'LANÇAMENTOS DIÁRIOS'!$O$5:$O$500,"&lt;=128599",'LANÇAMENTOS DIÁRIOS'!$P$5:$P$500,"&gt;=128500")&gt;0,"X","")</f>
      </c>
      <c r="AR12" s="56" t="str">
        <f>IF(COUNTIFS('LANÇAMENTOS DIÁRIOS'!$G$5:$G$500,"H",'LANÇAMENTOS DIÁRIOS'!$C$5:$C$500,$A12,'LANÇAMENTOS DIÁRIOS'!$O$5:$O$500,"&lt;=128699",'LANÇAMENTOS DIÁRIOS'!$P$5:$P$500,"&gt;=128600")&gt;0,"X","")</f>
      </c>
      <c r="AS12" s="56" t="str">
        <f>IF(COUNTIFS('LANÇAMENTOS DIÁRIOS'!$G$5:$G$500,"H",'LANÇAMENTOS DIÁRIOS'!$C$5:$C$500,$A12,'LANÇAMENTOS DIÁRIOS'!$O$5:$O$500,"&lt;=128799",'LANÇAMENTOS DIÁRIOS'!$P$5:$P$500,"&gt;=128700")&gt;0,"X","")</f>
      </c>
      <c r="AT12" s="56" t="str">
        <f>IF(COUNTIFS('LANÇAMENTOS DIÁRIOS'!$G$5:$G$500,"H",'LANÇAMENTOS DIÁRIOS'!$C$5:$C$500,$A12,'LANÇAMENTOS DIÁRIOS'!$O$5:$O$500,"&lt;=128899",'LANÇAMENTOS DIÁRIOS'!$P$5:$P$500,"&gt;=128800")&gt;0,"X","")</f>
      </c>
      <c r="AU12" s="56" t="str">
        <f>IF(COUNTIFS('LANÇAMENTOS DIÁRIOS'!$G$5:$G$500,"H",'LANÇAMENTOS DIÁRIOS'!$C$5:$C$500,$A12,'LANÇAMENTOS DIÁRIOS'!$O$5:$O$500,"&lt;=128999",'LANÇAMENTOS DIÁRIOS'!$P$5:$P$500,"&gt;=128900")&gt;0,"X","")</f>
      </c>
      <c r="AV12" s="56" t="str">
        <f>IF(COUNTIFS('LANÇAMENTOS DIÁRIOS'!$G$5:$G$500,"H",'LANÇAMENTOS DIÁRIOS'!$C$5:$C$500,$A12,'LANÇAMENTOS DIÁRIOS'!$O$5:$O$500,"&lt;=129099",'LANÇAMENTOS DIÁRIOS'!$P$5:$P$500,"&gt;=129000")&gt;0,"X","")</f>
      </c>
      <c r="AW12" s="56" t="str">
        <f>IF(COUNTIFS('LANÇAMENTOS DIÁRIOS'!$G$5:$G$500,"H",'LANÇAMENTOS DIÁRIOS'!$C$5:$C$500,$A12,'LANÇAMENTOS DIÁRIOS'!$O$5:$O$500,"&lt;=129199",'LANÇAMENTOS DIÁRIOS'!$P$5:$P$500,"&gt;=129100")&gt;0,"X","")</f>
      </c>
      <c r="AX12" s="56" t="str">
        <f>IF(COUNTIFS('LANÇAMENTOS DIÁRIOS'!$G$5:$G$500,"H",'LANÇAMENTOS DIÁRIOS'!$C$5:$C$500,$A12,'LANÇAMENTOS DIÁRIOS'!$O$5:$O$500,"&lt;=129299",'LANÇAMENTOS DIÁRIOS'!$P$5:$P$500,"&gt;=129200")&gt;0,"X","")</f>
      </c>
      <c r="AY12" s="56" t="str">
        <f>IF(COUNTIFS('LANÇAMENTOS DIÁRIOS'!$G$5:$G$500,"H",'LANÇAMENTOS DIÁRIOS'!$C$5:$C$500,$A12,'LANÇAMENTOS DIÁRIOS'!$O$5:$O$500,"&lt;=129399",'LANÇAMENTOS DIÁRIOS'!$P$5:$P$500,"&gt;=129300")&gt;0,"X","")</f>
      </c>
      <c r="AZ12" s="56" t="str">
        <f>IF(COUNTIFS('LANÇAMENTOS DIÁRIOS'!$G$5:$G$500,"H",'LANÇAMENTOS DIÁRIOS'!$C$5:$C$500,$A12,'LANÇAMENTOS DIÁRIOS'!$O$5:$O$500,"&lt;=129400",'LANÇAMENTOS DIÁRIOS'!$P$5:$P$500,"&gt;=129400")&gt;0,"X","")</f>
      </c>
    </row>
    <row r="13">
      <c r="A13" s="51" t="str">
        <v>Remoção de barreira rígida de concreto</v>
      </c>
      <c r="B13" s="56" t="str">
        <f>IF(COUNTIFS('LANÇAMENTOS DIÁRIOS'!$G$5:$G$500,"H",'LANÇAMENTOS DIÁRIOS'!$C$5:$C$500,$A13,'LANÇAMENTOS DIÁRIOS'!$O$5:$O$500,"&lt;=124499",'LANÇAMENTOS DIÁRIOS'!$P$5:$P$500,"&gt;=124400")&gt;0,"X","")</f>
      </c>
      <c r="C13" s="56" t="str">
        <f>IF(COUNTIFS('LANÇAMENTOS DIÁRIOS'!$G$5:$G$500,"H",'LANÇAMENTOS DIÁRIOS'!$C$5:$C$500,$A13,'LANÇAMENTOS DIÁRIOS'!$O$5:$O$500,"&lt;=124599",'LANÇAMENTOS DIÁRIOS'!$P$5:$P$500,"&gt;=124500")&gt;0,"X","")</f>
      </c>
      <c r="D13" s="56" t="str">
        <f>IF(COUNTIFS('LANÇAMENTOS DIÁRIOS'!$G$5:$G$500,"H",'LANÇAMENTOS DIÁRIOS'!$C$5:$C$500,$A13,'LANÇAMENTOS DIÁRIOS'!$O$5:$O$500,"&lt;=124699",'LANÇAMENTOS DIÁRIOS'!$P$5:$P$500,"&gt;=124600")&gt;0,"X","")</f>
      </c>
      <c r="E13" s="56" t="str">
        <f>IF(COUNTIFS('LANÇAMENTOS DIÁRIOS'!$G$5:$G$500,"H",'LANÇAMENTOS DIÁRIOS'!$C$5:$C$500,$A13,'LANÇAMENTOS DIÁRIOS'!$O$5:$O$500,"&lt;=124799",'LANÇAMENTOS DIÁRIOS'!$P$5:$P$500,"&gt;=124700")&gt;0,"X","")</f>
      </c>
      <c r="F13" s="56" t="str">
        <f>IF(COUNTIFS('LANÇAMENTOS DIÁRIOS'!$G$5:$G$500,"H",'LANÇAMENTOS DIÁRIOS'!$C$5:$C$500,$A13,'LANÇAMENTOS DIÁRIOS'!$O$5:$O$500,"&lt;=124899",'LANÇAMENTOS DIÁRIOS'!$P$5:$P$500,"&gt;=124800")&gt;0,"X","")</f>
      </c>
      <c r="G13" s="56" t="str">
        <f>IF(COUNTIFS('LANÇAMENTOS DIÁRIOS'!$G$5:$G$500,"H",'LANÇAMENTOS DIÁRIOS'!$C$5:$C$500,$A13,'LANÇAMENTOS DIÁRIOS'!$O$5:$O$500,"&lt;=124999",'LANÇAMENTOS DIÁRIOS'!$P$5:$P$500,"&gt;=124900")&gt;0,"X","")</f>
      </c>
      <c r="H13" s="56" t="str">
        <f>IF(COUNTIFS('LANÇAMENTOS DIÁRIOS'!$G$5:$G$500,"H",'LANÇAMENTOS DIÁRIOS'!$C$5:$C$500,$A13,'LANÇAMENTOS DIÁRIOS'!$O$5:$O$500,"&lt;=125099",'LANÇAMENTOS DIÁRIOS'!$P$5:$P$500,"&gt;=125000")&gt;0,"X","")</f>
      </c>
      <c r="I13" s="56" t="str">
        <f>IF(COUNTIFS('LANÇAMENTOS DIÁRIOS'!$G$5:$G$500,"H",'LANÇAMENTOS DIÁRIOS'!$C$5:$C$500,$A13,'LANÇAMENTOS DIÁRIOS'!$O$5:$O$500,"&lt;=125199",'LANÇAMENTOS DIÁRIOS'!$P$5:$P$500,"&gt;=125100")&gt;0,"X","")</f>
      </c>
      <c r="J13" s="56" t="str">
        <f>IF(COUNTIFS('LANÇAMENTOS DIÁRIOS'!$G$5:$G$500,"H",'LANÇAMENTOS DIÁRIOS'!$C$5:$C$500,$A13,'LANÇAMENTOS DIÁRIOS'!$O$5:$O$500,"&lt;=125299",'LANÇAMENTOS DIÁRIOS'!$P$5:$P$500,"&gt;=125200")&gt;0,"X","")</f>
      </c>
      <c r="K13" s="56" t="str">
        <f>IF(COUNTIFS('LANÇAMENTOS DIÁRIOS'!$G$5:$G$500,"H",'LANÇAMENTOS DIÁRIOS'!$C$5:$C$500,$A13,'LANÇAMENTOS DIÁRIOS'!$O$5:$O$500,"&lt;=125399",'LANÇAMENTOS DIÁRIOS'!$P$5:$P$500,"&gt;=125300")&gt;0,"X","")</f>
      </c>
      <c r="L13" s="56" t="str">
        <f>IF(COUNTIFS('LANÇAMENTOS DIÁRIOS'!$G$5:$G$500,"H",'LANÇAMENTOS DIÁRIOS'!$C$5:$C$500,$A13,'LANÇAMENTOS DIÁRIOS'!$O$5:$O$500,"&lt;=125499",'LANÇAMENTOS DIÁRIOS'!$P$5:$P$500,"&gt;=125400")&gt;0,"X","")</f>
      </c>
      <c r="M13" s="56" t="str">
        <f>IF(COUNTIFS('LANÇAMENTOS DIÁRIOS'!$G$5:$G$500,"H",'LANÇAMENTOS DIÁRIOS'!$C$5:$C$500,$A13,'LANÇAMENTOS DIÁRIOS'!$O$5:$O$500,"&lt;=125599",'LANÇAMENTOS DIÁRIOS'!$P$5:$P$500,"&gt;=125500")&gt;0,"X","")</f>
      </c>
      <c r="N13" s="56" t="str">
        <f>IF(COUNTIFS('LANÇAMENTOS DIÁRIOS'!$G$5:$G$500,"H",'LANÇAMENTOS DIÁRIOS'!$C$5:$C$500,$A13,'LANÇAMENTOS DIÁRIOS'!$O$5:$O$500,"&lt;=125699",'LANÇAMENTOS DIÁRIOS'!$P$5:$P$500,"&gt;=125600")&gt;0,"X","")</f>
      </c>
      <c r="O13" s="56" t="str">
        <f>IF(COUNTIFS('LANÇAMENTOS DIÁRIOS'!$G$5:$G$500,"H",'LANÇAMENTOS DIÁRIOS'!$C$5:$C$500,$A13,'LANÇAMENTOS DIÁRIOS'!$O$5:$O$500,"&lt;=125799",'LANÇAMENTOS DIÁRIOS'!$P$5:$P$500,"&gt;=125700")&gt;0,"X","")</f>
      </c>
      <c r="P13" s="56" t="str">
        <f>IF(COUNTIFS('LANÇAMENTOS DIÁRIOS'!$G$5:$G$500,"H",'LANÇAMENTOS DIÁRIOS'!$C$5:$C$500,$A13,'LANÇAMENTOS DIÁRIOS'!$O$5:$O$500,"&lt;=125899",'LANÇAMENTOS DIÁRIOS'!$P$5:$P$500,"&gt;=125800")&gt;0,"X","")</f>
      </c>
      <c r="Q13" s="56" t="str">
        <f>IF(COUNTIFS('LANÇAMENTOS DIÁRIOS'!$G$5:$G$500,"H",'LANÇAMENTOS DIÁRIOS'!$C$5:$C$500,$A13,'LANÇAMENTOS DIÁRIOS'!$O$5:$O$500,"&lt;=125999",'LANÇAMENTOS DIÁRIOS'!$P$5:$P$500,"&gt;=125900")&gt;0,"X","")</f>
      </c>
      <c r="R13" s="56" t="str">
        <f>IF(COUNTIFS('LANÇAMENTOS DIÁRIOS'!$G$5:$G$500,"H",'LANÇAMENTOS DIÁRIOS'!$C$5:$C$500,$A13,'LANÇAMENTOS DIÁRIOS'!$O$5:$O$500,"&lt;=126099",'LANÇAMENTOS DIÁRIOS'!$P$5:$P$500,"&gt;=126000")&gt;0,"X","")</f>
      </c>
      <c r="S13" s="56" t="str">
        <f>IF(COUNTIFS('LANÇAMENTOS DIÁRIOS'!$G$5:$G$500,"H",'LANÇAMENTOS DIÁRIOS'!$C$5:$C$500,$A13,'LANÇAMENTOS DIÁRIOS'!$O$5:$O$500,"&lt;=126199",'LANÇAMENTOS DIÁRIOS'!$P$5:$P$500,"&gt;=126100")&gt;0,"X","")</f>
      </c>
      <c r="T13" s="56" t="str">
        <f>IF(COUNTIFS('LANÇAMENTOS DIÁRIOS'!$G$5:$G$500,"H",'LANÇAMENTOS DIÁRIOS'!$C$5:$C$500,$A13,'LANÇAMENTOS DIÁRIOS'!$O$5:$O$500,"&lt;=126299",'LANÇAMENTOS DIÁRIOS'!$P$5:$P$500,"&gt;=126200")&gt;0,"X","")</f>
      </c>
      <c r="U13" s="56" t="str">
        <f>IF(COUNTIFS('LANÇAMENTOS DIÁRIOS'!$G$5:$G$500,"H",'LANÇAMENTOS DIÁRIOS'!$C$5:$C$500,$A13,'LANÇAMENTOS DIÁRIOS'!$O$5:$O$500,"&lt;=126399",'LANÇAMENTOS DIÁRIOS'!$P$5:$P$500,"&gt;=126300")&gt;0,"X","")</f>
      </c>
      <c r="V13" s="56" t="str">
        <f>IF(COUNTIFS('LANÇAMENTOS DIÁRIOS'!$G$5:$G$500,"H",'LANÇAMENTOS DIÁRIOS'!$C$5:$C$500,$A13,'LANÇAMENTOS DIÁRIOS'!$O$5:$O$500,"&lt;=126499",'LANÇAMENTOS DIÁRIOS'!$P$5:$P$500,"&gt;=126400")&gt;0,"X","")</f>
      </c>
      <c r="W13" s="56" t="str">
        <f>IF(COUNTIFS('LANÇAMENTOS DIÁRIOS'!$G$5:$G$500,"H",'LANÇAMENTOS DIÁRIOS'!$C$5:$C$500,$A13,'LANÇAMENTOS DIÁRIOS'!$O$5:$O$500,"&lt;=126599",'LANÇAMENTOS DIÁRIOS'!$P$5:$P$500,"&gt;=126500")&gt;0,"X","")</f>
      </c>
      <c r="X13" s="56" t="str">
        <f>IF(COUNTIFS('LANÇAMENTOS DIÁRIOS'!$G$5:$G$500,"H",'LANÇAMENTOS DIÁRIOS'!$C$5:$C$500,$A13,'LANÇAMENTOS DIÁRIOS'!$O$5:$O$500,"&lt;=126699",'LANÇAMENTOS DIÁRIOS'!$P$5:$P$500,"&gt;=126600")&gt;0,"X","")</f>
      </c>
      <c r="Y13" s="56" t="str">
        <f>IF(COUNTIFS('LANÇAMENTOS DIÁRIOS'!$G$5:$G$500,"H",'LANÇAMENTOS DIÁRIOS'!$C$5:$C$500,$A13,'LANÇAMENTOS DIÁRIOS'!$O$5:$O$500,"&lt;=126799",'LANÇAMENTOS DIÁRIOS'!$P$5:$P$500,"&gt;=126700")&gt;0,"X","")</f>
      </c>
      <c r="Z13" s="56" t="str">
        <f>IF(COUNTIFS('LANÇAMENTOS DIÁRIOS'!$G$5:$G$500,"H",'LANÇAMENTOS DIÁRIOS'!$C$5:$C$500,$A13,'LANÇAMENTOS DIÁRIOS'!$O$5:$O$500,"&lt;=126899",'LANÇAMENTOS DIÁRIOS'!$P$5:$P$500,"&gt;=126800")&gt;0,"X","")</f>
      </c>
      <c r="AA13" s="56" t="str">
        <f>IF(COUNTIFS('LANÇAMENTOS DIÁRIOS'!$G$5:$G$500,"H",'LANÇAMENTOS DIÁRIOS'!$C$5:$C$500,$A13,'LANÇAMENTOS DIÁRIOS'!$O$5:$O$500,"&lt;=126999",'LANÇAMENTOS DIÁRIOS'!$P$5:$P$500,"&gt;=126900")&gt;0,"X","")</f>
      </c>
      <c r="AB13" s="56" t="str">
        <f>IF(COUNTIFS('LANÇAMENTOS DIÁRIOS'!$G$5:$G$500,"H",'LANÇAMENTOS DIÁRIOS'!$C$5:$C$500,$A13,'LANÇAMENTOS DIÁRIOS'!$O$5:$O$500,"&lt;=127099",'LANÇAMENTOS DIÁRIOS'!$P$5:$P$500,"&gt;=127000")&gt;0,"X","")</f>
      </c>
      <c r="AC13" s="56" t="str">
        <f>IF(COUNTIFS('LANÇAMENTOS DIÁRIOS'!$G$5:$G$500,"H",'LANÇAMENTOS DIÁRIOS'!$C$5:$C$500,$A13,'LANÇAMENTOS DIÁRIOS'!$O$5:$O$500,"&lt;=127199",'LANÇAMENTOS DIÁRIOS'!$P$5:$P$500,"&gt;=127100")&gt;0,"X","")</f>
      </c>
      <c r="AD13" s="56" t="str">
        <f>IF(COUNTIFS('LANÇAMENTOS DIÁRIOS'!$G$5:$G$500,"H",'LANÇAMENTOS DIÁRIOS'!$C$5:$C$500,$A13,'LANÇAMENTOS DIÁRIOS'!$O$5:$O$500,"&lt;=127299",'LANÇAMENTOS DIÁRIOS'!$P$5:$P$500,"&gt;=127200")&gt;0,"X","")</f>
      </c>
      <c r="AE13" s="56" t="str">
        <f>IF(COUNTIFS('LANÇAMENTOS DIÁRIOS'!$G$5:$G$500,"H",'LANÇAMENTOS DIÁRIOS'!$C$5:$C$500,$A13,'LANÇAMENTOS DIÁRIOS'!$O$5:$O$500,"&lt;=127399",'LANÇAMENTOS DIÁRIOS'!$P$5:$P$500,"&gt;=127300")&gt;0,"X","")</f>
      </c>
      <c r="AF13" s="56" t="str">
        <f>IF(COUNTIFS('LANÇAMENTOS DIÁRIOS'!$G$5:$G$500,"H",'LANÇAMENTOS DIÁRIOS'!$C$5:$C$500,$A13,'LANÇAMENTOS DIÁRIOS'!$O$5:$O$500,"&lt;=127499",'LANÇAMENTOS DIÁRIOS'!$P$5:$P$500,"&gt;=127400")&gt;0,"X","")</f>
      </c>
      <c r="AG13" s="56" t="str">
        <f>IF(COUNTIFS('LANÇAMENTOS DIÁRIOS'!$G$5:$G$500,"H",'LANÇAMENTOS DIÁRIOS'!$C$5:$C$500,$A13,'LANÇAMENTOS DIÁRIOS'!$O$5:$O$500,"&lt;=127599",'LANÇAMENTOS DIÁRIOS'!$P$5:$P$500,"&gt;=127500")&gt;0,"X","")</f>
      </c>
      <c r="AH13" s="56" t="str">
        <f>IF(COUNTIFS('LANÇAMENTOS DIÁRIOS'!$G$5:$G$500,"H",'LANÇAMENTOS DIÁRIOS'!$C$5:$C$500,$A13,'LANÇAMENTOS DIÁRIOS'!$O$5:$O$500,"&lt;=127699",'LANÇAMENTOS DIÁRIOS'!$P$5:$P$500,"&gt;=127600")&gt;0,"X","")</f>
      </c>
      <c r="AI13" s="56" t="str">
        <f>IF(COUNTIFS('LANÇAMENTOS DIÁRIOS'!$G$5:$G$500,"H",'LANÇAMENTOS DIÁRIOS'!$C$5:$C$500,$A13,'LANÇAMENTOS DIÁRIOS'!$O$5:$O$500,"&lt;=127799",'LANÇAMENTOS DIÁRIOS'!$P$5:$P$500,"&gt;=127700")&gt;0,"X","")</f>
      </c>
      <c r="AJ13" s="56" t="str">
        <f>IF(COUNTIFS('LANÇAMENTOS DIÁRIOS'!$G$5:$G$500,"H",'LANÇAMENTOS DIÁRIOS'!$C$5:$C$500,$A13,'LANÇAMENTOS DIÁRIOS'!$O$5:$O$500,"&lt;=127899",'LANÇAMENTOS DIÁRIOS'!$P$5:$P$500,"&gt;=127800")&gt;0,"X","")</f>
      </c>
      <c r="AK13" s="56" t="str">
        <f>IF(COUNTIFS('LANÇAMENTOS DIÁRIOS'!$G$5:$G$500,"H",'LANÇAMENTOS DIÁRIOS'!$C$5:$C$500,$A13,'LANÇAMENTOS DIÁRIOS'!$O$5:$O$500,"&lt;=127999",'LANÇAMENTOS DIÁRIOS'!$P$5:$P$500,"&gt;=127900")&gt;0,"X","")</f>
      </c>
      <c r="AL13" s="56" t="str">
        <f>IF(COUNTIFS('LANÇAMENTOS DIÁRIOS'!$G$5:$G$500,"H",'LANÇAMENTOS DIÁRIOS'!$C$5:$C$500,$A13,'LANÇAMENTOS DIÁRIOS'!$O$5:$O$500,"&lt;=128099",'LANÇAMENTOS DIÁRIOS'!$P$5:$P$500,"&gt;=128000")&gt;0,"X","")</f>
      </c>
      <c r="AM13" s="56" t="str">
        <f>IF(COUNTIFS('LANÇAMENTOS DIÁRIOS'!$G$5:$G$500,"H",'LANÇAMENTOS DIÁRIOS'!$C$5:$C$500,$A13,'LANÇAMENTOS DIÁRIOS'!$O$5:$O$500,"&lt;=128199",'LANÇAMENTOS DIÁRIOS'!$P$5:$P$500,"&gt;=128100")&gt;0,"X","")</f>
      </c>
      <c r="AN13" s="56" t="str">
        <f>IF(COUNTIFS('LANÇAMENTOS DIÁRIOS'!$G$5:$G$500,"H",'LANÇAMENTOS DIÁRIOS'!$C$5:$C$500,$A13,'LANÇAMENTOS DIÁRIOS'!$O$5:$O$500,"&lt;=128299",'LANÇAMENTOS DIÁRIOS'!$P$5:$P$500,"&gt;=128200")&gt;0,"X","")</f>
      </c>
      <c r="AO13" s="56" t="str">
        <f>IF(COUNTIFS('LANÇAMENTOS DIÁRIOS'!$G$5:$G$500,"H",'LANÇAMENTOS DIÁRIOS'!$C$5:$C$500,$A13,'LANÇAMENTOS DIÁRIOS'!$O$5:$O$500,"&lt;=128399",'LANÇAMENTOS DIÁRIOS'!$P$5:$P$500,"&gt;=128300")&gt;0,"X","")</f>
      </c>
      <c r="AP13" s="56" t="str">
        <f>IF(COUNTIFS('LANÇAMENTOS DIÁRIOS'!$G$5:$G$500,"H",'LANÇAMENTOS DIÁRIOS'!$C$5:$C$500,$A13,'LANÇAMENTOS DIÁRIOS'!$O$5:$O$500,"&lt;=128499",'LANÇAMENTOS DIÁRIOS'!$P$5:$P$500,"&gt;=128400")&gt;0,"X","")</f>
      </c>
      <c r="AQ13" s="56" t="str">
        <f>IF(COUNTIFS('LANÇAMENTOS DIÁRIOS'!$G$5:$G$500,"H",'LANÇAMENTOS DIÁRIOS'!$C$5:$C$500,$A13,'LANÇAMENTOS DIÁRIOS'!$O$5:$O$500,"&lt;=128599",'LANÇAMENTOS DIÁRIOS'!$P$5:$P$500,"&gt;=128500")&gt;0,"X","")</f>
      </c>
      <c r="AR13" s="56" t="str">
        <f>IF(COUNTIFS('LANÇAMENTOS DIÁRIOS'!$G$5:$G$500,"H",'LANÇAMENTOS DIÁRIOS'!$C$5:$C$500,$A13,'LANÇAMENTOS DIÁRIOS'!$O$5:$O$500,"&lt;=128699",'LANÇAMENTOS DIÁRIOS'!$P$5:$P$500,"&gt;=128600")&gt;0,"X","")</f>
      </c>
      <c r="AS13" s="56" t="str">
        <f>IF(COUNTIFS('LANÇAMENTOS DIÁRIOS'!$G$5:$G$500,"H",'LANÇAMENTOS DIÁRIOS'!$C$5:$C$500,$A13,'LANÇAMENTOS DIÁRIOS'!$O$5:$O$500,"&lt;=128799",'LANÇAMENTOS DIÁRIOS'!$P$5:$P$500,"&gt;=128700")&gt;0,"X","")</f>
      </c>
      <c r="AT13" s="56" t="str">
        <f>IF(COUNTIFS('LANÇAMENTOS DIÁRIOS'!$G$5:$G$500,"H",'LANÇAMENTOS DIÁRIOS'!$C$5:$C$500,$A13,'LANÇAMENTOS DIÁRIOS'!$O$5:$O$500,"&lt;=128899",'LANÇAMENTOS DIÁRIOS'!$P$5:$P$500,"&gt;=128800")&gt;0,"X","")</f>
      </c>
      <c r="AU13" s="56" t="str">
        <f>IF(COUNTIFS('LANÇAMENTOS DIÁRIOS'!$G$5:$G$500,"H",'LANÇAMENTOS DIÁRIOS'!$C$5:$C$500,$A13,'LANÇAMENTOS DIÁRIOS'!$O$5:$O$500,"&lt;=128999",'LANÇAMENTOS DIÁRIOS'!$P$5:$P$500,"&gt;=128900")&gt;0,"X","")</f>
      </c>
      <c r="AV13" s="56" t="str">
        <f>IF(COUNTIFS('LANÇAMENTOS DIÁRIOS'!$G$5:$G$500,"H",'LANÇAMENTOS DIÁRIOS'!$C$5:$C$500,$A13,'LANÇAMENTOS DIÁRIOS'!$O$5:$O$500,"&lt;=129099",'LANÇAMENTOS DIÁRIOS'!$P$5:$P$500,"&gt;=129000")&gt;0,"X","")</f>
      </c>
      <c r="AW13" s="56" t="str">
        <f>IF(COUNTIFS('LANÇAMENTOS DIÁRIOS'!$G$5:$G$500,"H",'LANÇAMENTOS DIÁRIOS'!$C$5:$C$500,$A13,'LANÇAMENTOS DIÁRIOS'!$O$5:$O$500,"&lt;=129199",'LANÇAMENTOS DIÁRIOS'!$P$5:$P$500,"&gt;=129100")&gt;0,"X","")</f>
      </c>
      <c r="AX13" s="56" t="str">
        <f>IF(COUNTIFS('LANÇAMENTOS DIÁRIOS'!$G$5:$G$500,"H",'LANÇAMENTOS DIÁRIOS'!$C$5:$C$500,$A13,'LANÇAMENTOS DIÁRIOS'!$O$5:$O$500,"&lt;=129299",'LANÇAMENTOS DIÁRIOS'!$P$5:$P$500,"&gt;=129200")&gt;0,"X","")</f>
      </c>
      <c r="AY13" s="56" t="str">
        <f>IF(COUNTIFS('LANÇAMENTOS DIÁRIOS'!$G$5:$G$500,"H",'LANÇAMENTOS DIÁRIOS'!$C$5:$C$500,$A13,'LANÇAMENTOS DIÁRIOS'!$O$5:$O$500,"&lt;=129399",'LANÇAMENTOS DIÁRIOS'!$P$5:$P$500,"&gt;=129300")&gt;0,"X","")</f>
      </c>
      <c r="AZ13" s="56" t="str">
        <f>IF(COUNTIFS('LANÇAMENTOS DIÁRIOS'!$G$5:$G$500,"H",'LANÇAMENTOS DIÁRIOS'!$C$5:$C$500,$A13,'LANÇAMENTOS DIÁRIOS'!$O$5:$O$500,"&lt;=129400",'LANÇAMENTOS DIÁRIOS'!$P$5:$P$500,"&gt;=129400")&gt;0,"X","")</f>
      </c>
    </row>
    <row r="14">
      <c r="A14" s="51" t="str">
        <v>Remoção de terminal absorvedor de energia</v>
      </c>
      <c r="B14" s="56" t="str">
        <f>IF(COUNTIFS('LANÇAMENTOS DIÁRIOS'!$G$5:$G$500,"H",'LANÇAMENTOS DIÁRIOS'!$C$5:$C$500,$A14,'LANÇAMENTOS DIÁRIOS'!$O$5:$O$500,"&lt;=124499",'LANÇAMENTOS DIÁRIOS'!$P$5:$P$500,"&gt;=124400")&gt;0,"X","")</f>
      </c>
      <c r="C14" s="56" t="str">
        <f>IF(COUNTIFS('LANÇAMENTOS DIÁRIOS'!$G$5:$G$500,"H",'LANÇAMENTOS DIÁRIOS'!$C$5:$C$500,$A14,'LANÇAMENTOS DIÁRIOS'!$O$5:$O$500,"&lt;=124599",'LANÇAMENTOS DIÁRIOS'!$P$5:$P$500,"&gt;=124500")&gt;0,"X","")</f>
      </c>
      <c r="D14" s="56" t="str">
        <f>IF(COUNTIFS('LANÇAMENTOS DIÁRIOS'!$G$5:$G$500,"H",'LANÇAMENTOS DIÁRIOS'!$C$5:$C$500,$A14,'LANÇAMENTOS DIÁRIOS'!$O$5:$O$500,"&lt;=124699",'LANÇAMENTOS DIÁRIOS'!$P$5:$P$500,"&gt;=124600")&gt;0,"X","")</f>
      </c>
      <c r="E14" s="56" t="str">
        <f>IF(COUNTIFS('LANÇAMENTOS DIÁRIOS'!$G$5:$G$500,"H",'LANÇAMENTOS DIÁRIOS'!$C$5:$C$500,$A14,'LANÇAMENTOS DIÁRIOS'!$O$5:$O$500,"&lt;=124799",'LANÇAMENTOS DIÁRIOS'!$P$5:$P$500,"&gt;=124700")&gt;0,"X","")</f>
      </c>
      <c r="F14" s="56" t="str">
        <f>IF(COUNTIFS('LANÇAMENTOS DIÁRIOS'!$G$5:$G$500,"H",'LANÇAMENTOS DIÁRIOS'!$C$5:$C$500,$A14,'LANÇAMENTOS DIÁRIOS'!$O$5:$O$500,"&lt;=124899",'LANÇAMENTOS DIÁRIOS'!$P$5:$P$500,"&gt;=124800")&gt;0,"X","")</f>
      </c>
      <c r="G14" s="56" t="str">
        <f>IF(COUNTIFS('LANÇAMENTOS DIÁRIOS'!$G$5:$G$500,"H",'LANÇAMENTOS DIÁRIOS'!$C$5:$C$500,$A14,'LANÇAMENTOS DIÁRIOS'!$O$5:$O$500,"&lt;=124999",'LANÇAMENTOS DIÁRIOS'!$P$5:$P$500,"&gt;=124900")&gt;0,"X","")</f>
      </c>
      <c r="H14" s="56" t="str">
        <f>IF(COUNTIFS('LANÇAMENTOS DIÁRIOS'!$G$5:$G$500,"H",'LANÇAMENTOS DIÁRIOS'!$C$5:$C$500,$A14,'LANÇAMENTOS DIÁRIOS'!$O$5:$O$500,"&lt;=125099",'LANÇAMENTOS DIÁRIOS'!$P$5:$P$500,"&gt;=125000")&gt;0,"X","")</f>
      </c>
      <c r="I14" s="56" t="str">
        <f>IF(COUNTIFS('LANÇAMENTOS DIÁRIOS'!$G$5:$G$500,"H",'LANÇAMENTOS DIÁRIOS'!$C$5:$C$500,$A14,'LANÇAMENTOS DIÁRIOS'!$O$5:$O$500,"&lt;=125199",'LANÇAMENTOS DIÁRIOS'!$P$5:$P$500,"&gt;=125100")&gt;0,"X","")</f>
      </c>
      <c r="J14" s="56" t="str">
        <f>IF(COUNTIFS('LANÇAMENTOS DIÁRIOS'!$G$5:$G$500,"H",'LANÇAMENTOS DIÁRIOS'!$C$5:$C$500,$A14,'LANÇAMENTOS DIÁRIOS'!$O$5:$O$500,"&lt;=125299",'LANÇAMENTOS DIÁRIOS'!$P$5:$P$500,"&gt;=125200")&gt;0,"X","")</f>
      </c>
      <c r="K14" s="56" t="str">
        <f>IF(COUNTIFS('LANÇAMENTOS DIÁRIOS'!$G$5:$G$500,"H",'LANÇAMENTOS DIÁRIOS'!$C$5:$C$500,$A14,'LANÇAMENTOS DIÁRIOS'!$O$5:$O$500,"&lt;=125399",'LANÇAMENTOS DIÁRIOS'!$P$5:$P$500,"&gt;=125300")&gt;0,"X","")</f>
      </c>
      <c r="L14" s="56" t="str">
        <f>IF(COUNTIFS('LANÇAMENTOS DIÁRIOS'!$G$5:$G$500,"H",'LANÇAMENTOS DIÁRIOS'!$C$5:$C$500,$A14,'LANÇAMENTOS DIÁRIOS'!$O$5:$O$500,"&lt;=125499",'LANÇAMENTOS DIÁRIOS'!$P$5:$P$500,"&gt;=125400")&gt;0,"X","")</f>
      </c>
      <c r="M14" s="56" t="str">
        <f>IF(COUNTIFS('LANÇAMENTOS DIÁRIOS'!$G$5:$G$500,"H",'LANÇAMENTOS DIÁRIOS'!$C$5:$C$500,$A14,'LANÇAMENTOS DIÁRIOS'!$O$5:$O$500,"&lt;=125599",'LANÇAMENTOS DIÁRIOS'!$P$5:$P$500,"&gt;=125500")&gt;0,"X","")</f>
      </c>
      <c r="N14" s="56" t="str">
        <f>IF(COUNTIFS('LANÇAMENTOS DIÁRIOS'!$G$5:$G$500,"H",'LANÇAMENTOS DIÁRIOS'!$C$5:$C$500,$A14,'LANÇAMENTOS DIÁRIOS'!$O$5:$O$500,"&lt;=125699",'LANÇAMENTOS DIÁRIOS'!$P$5:$P$500,"&gt;=125600")&gt;0,"X","")</f>
      </c>
      <c r="O14" s="56" t="str">
        <f>IF(COUNTIFS('LANÇAMENTOS DIÁRIOS'!$G$5:$G$500,"H",'LANÇAMENTOS DIÁRIOS'!$C$5:$C$500,$A14,'LANÇAMENTOS DIÁRIOS'!$O$5:$O$500,"&lt;=125799",'LANÇAMENTOS DIÁRIOS'!$P$5:$P$500,"&gt;=125700")&gt;0,"X","")</f>
      </c>
      <c r="P14" s="56" t="str">
        <f>IF(COUNTIFS('LANÇAMENTOS DIÁRIOS'!$G$5:$G$500,"H",'LANÇAMENTOS DIÁRIOS'!$C$5:$C$500,$A14,'LANÇAMENTOS DIÁRIOS'!$O$5:$O$500,"&lt;=125899",'LANÇAMENTOS DIÁRIOS'!$P$5:$P$500,"&gt;=125800")&gt;0,"X","")</f>
      </c>
      <c r="Q14" s="56" t="str">
        <f>IF(COUNTIFS('LANÇAMENTOS DIÁRIOS'!$G$5:$G$500,"H",'LANÇAMENTOS DIÁRIOS'!$C$5:$C$500,$A14,'LANÇAMENTOS DIÁRIOS'!$O$5:$O$500,"&lt;=125999",'LANÇAMENTOS DIÁRIOS'!$P$5:$P$500,"&gt;=125900")&gt;0,"X","")</f>
      </c>
      <c r="R14" s="56" t="str">
        <f>IF(COUNTIFS('LANÇAMENTOS DIÁRIOS'!$G$5:$G$500,"H",'LANÇAMENTOS DIÁRIOS'!$C$5:$C$500,$A14,'LANÇAMENTOS DIÁRIOS'!$O$5:$O$500,"&lt;=126099",'LANÇAMENTOS DIÁRIOS'!$P$5:$P$500,"&gt;=126000")&gt;0,"X","")</f>
      </c>
      <c r="S14" s="56" t="str">
        <f>IF(COUNTIFS('LANÇAMENTOS DIÁRIOS'!$G$5:$G$500,"H",'LANÇAMENTOS DIÁRIOS'!$C$5:$C$500,$A14,'LANÇAMENTOS DIÁRIOS'!$O$5:$O$500,"&lt;=126199",'LANÇAMENTOS DIÁRIOS'!$P$5:$P$500,"&gt;=126100")&gt;0,"X","")</f>
      </c>
      <c r="T14" s="56" t="str">
        <f>IF(COUNTIFS('LANÇAMENTOS DIÁRIOS'!$G$5:$G$500,"H",'LANÇAMENTOS DIÁRIOS'!$C$5:$C$500,$A14,'LANÇAMENTOS DIÁRIOS'!$O$5:$O$500,"&lt;=126299",'LANÇAMENTOS DIÁRIOS'!$P$5:$P$500,"&gt;=126200")&gt;0,"X","")</f>
      </c>
      <c r="U14" s="56" t="str">
        <f>IF(COUNTIFS('LANÇAMENTOS DIÁRIOS'!$G$5:$G$500,"H",'LANÇAMENTOS DIÁRIOS'!$C$5:$C$500,$A14,'LANÇAMENTOS DIÁRIOS'!$O$5:$O$500,"&lt;=126399",'LANÇAMENTOS DIÁRIOS'!$P$5:$P$500,"&gt;=126300")&gt;0,"X","")</f>
      </c>
      <c r="V14" s="56" t="str">
        <f>IF(COUNTIFS('LANÇAMENTOS DIÁRIOS'!$G$5:$G$500,"H",'LANÇAMENTOS DIÁRIOS'!$C$5:$C$500,$A14,'LANÇAMENTOS DIÁRIOS'!$O$5:$O$500,"&lt;=126499",'LANÇAMENTOS DIÁRIOS'!$P$5:$P$500,"&gt;=126400")&gt;0,"X","")</f>
      </c>
      <c r="W14" s="56" t="str">
        <f>IF(COUNTIFS('LANÇAMENTOS DIÁRIOS'!$G$5:$G$500,"H",'LANÇAMENTOS DIÁRIOS'!$C$5:$C$500,$A14,'LANÇAMENTOS DIÁRIOS'!$O$5:$O$500,"&lt;=126599",'LANÇAMENTOS DIÁRIOS'!$P$5:$P$500,"&gt;=126500")&gt;0,"X","")</f>
      </c>
      <c r="X14" s="56" t="str">
        <f>IF(COUNTIFS('LANÇAMENTOS DIÁRIOS'!$G$5:$G$500,"H",'LANÇAMENTOS DIÁRIOS'!$C$5:$C$500,$A14,'LANÇAMENTOS DIÁRIOS'!$O$5:$O$500,"&lt;=126699",'LANÇAMENTOS DIÁRIOS'!$P$5:$P$500,"&gt;=126600")&gt;0,"X","")</f>
      </c>
      <c r="Y14" s="56" t="str">
        <f>IF(COUNTIFS('LANÇAMENTOS DIÁRIOS'!$G$5:$G$500,"H",'LANÇAMENTOS DIÁRIOS'!$C$5:$C$500,$A14,'LANÇAMENTOS DIÁRIOS'!$O$5:$O$500,"&lt;=126799",'LANÇAMENTOS DIÁRIOS'!$P$5:$P$500,"&gt;=126700")&gt;0,"X","")</f>
      </c>
      <c r="Z14" s="56" t="str">
        <f>IF(COUNTIFS('LANÇAMENTOS DIÁRIOS'!$G$5:$G$500,"H",'LANÇAMENTOS DIÁRIOS'!$C$5:$C$500,$A14,'LANÇAMENTOS DIÁRIOS'!$O$5:$O$500,"&lt;=126899",'LANÇAMENTOS DIÁRIOS'!$P$5:$P$500,"&gt;=126800")&gt;0,"X","")</f>
      </c>
      <c r="AA14" s="56" t="str">
        <f>IF(COUNTIFS('LANÇAMENTOS DIÁRIOS'!$G$5:$G$500,"H",'LANÇAMENTOS DIÁRIOS'!$C$5:$C$500,$A14,'LANÇAMENTOS DIÁRIOS'!$O$5:$O$500,"&lt;=126999",'LANÇAMENTOS DIÁRIOS'!$P$5:$P$500,"&gt;=126900")&gt;0,"X","")</f>
      </c>
      <c r="AB14" s="56" t="str">
        <f>IF(COUNTIFS('LANÇAMENTOS DIÁRIOS'!$G$5:$G$500,"H",'LANÇAMENTOS DIÁRIOS'!$C$5:$C$500,$A14,'LANÇAMENTOS DIÁRIOS'!$O$5:$O$500,"&lt;=127099",'LANÇAMENTOS DIÁRIOS'!$P$5:$P$500,"&gt;=127000")&gt;0,"X","")</f>
      </c>
      <c r="AC14" s="56" t="str">
        <f>IF(COUNTIFS('LANÇAMENTOS DIÁRIOS'!$G$5:$G$500,"H",'LANÇAMENTOS DIÁRIOS'!$C$5:$C$500,$A14,'LANÇAMENTOS DIÁRIOS'!$O$5:$O$500,"&lt;=127199",'LANÇAMENTOS DIÁRIOS'!$P$5:$P$500,"&gt;=127100")&gt;0,"X","")</f>
      </c>
      <c r="AD14" s="56" t="str">
        <f>IF(COUNTIFS('LANÇAMENTOS DIÁRIOS'!$G$5:$G$500,"H",'LANÇAMENTOS DIÁRIOS'!$C$5:$C$500,$A14,'LANÇAMENTOS DIÁRIOS'!$O$5:$O$500,"&lt;=127299",'LANÇAMENTOS DIÁRIOS'!$P$5:$P$500,"&gt;=127200")&gt;0,"X","")</f>
      </c>
      <c r="AE14" s="56" t="str">
        <f>IF(COUNTIFS('LANÇAMENTOS DIÁRIOS'!$G$5:$G$500,"H",'LANÇAMENTOS DIÁRIOS'!$C$5:$C$500,$A14,'LANÇAMENTOS DIÁRIOS'!$O$5:$O$500,"&lt;=127399",'LANÇAMENTOS DIÁRIOS'!$P$5:$P$500,"&gt;=127300")&gt;0,"X","")</f>
      </c>
      <c r="AF14" s="56" t="str">
        <f>IF(COUNTIFS('LANÇAMENTOS DIÁRIOS'!$G$5:$G$500,"H",'LANÇAMENTOS DIÁRIOS'!$C$5:$C$500,$A14,'LANÇAMENTOS DIÁRIOS'!$O$5:$O$500,"&lt;=127499",'LANÇAMENTOS DIÁRIOS'!$P$5:$P$500,"&gt;=127400")&gt;0,"X","")</f>
      </c>
      <c r="AG14" s="56" t="str">
        <f>IF(COUNTIFS('LANÇAMENTOS DIÁRIOS'!$G$5:$G$500,"H",'LANÇAMENTOS DIÁRIOS'!$C$5:$C$500,$A14,'LANÇAMENTOS DIÁRIOS'!$O$5:$O$500,"&lt;=127599",'LANÇAMENTOS DIÁRIOS'!$P$5:$P$500,"&gt;=127500")&gt;0,"X","")</f>
      </c>
      <c r="AH14" s="56" t="str">
        <f>IF(COUNTIFS('LANÇAMENTOS DIÁRIOS'!$G$5:$G$500,"H",'LANÇAMENTOS DIÁRIOS'!$C$5:$C$500,$A14,'LANÇAMENTOS DIÁRIOS'!$O$5:$O$500,"&lt;=127699",'LANÇAMENTOS DIÁRIOS'!$P$5:$P$500,"&gt;=127600")&gt;0,"X","")</f>
      </c>
      <c r="AI14" s="56" t="str">
        <f>IF(COUNTIFS('LANÇAMENTOS DIÁRIOS'!$G$5:$G$500,"H",'LANÇAMENTOS DIÁRIOS'!$C$5:$C$500,$A14,'LANÇAMENTOS DIÁRIOS'!$O$5:$O$500,"&lt;=127799",'LANÇAMENTOS DIÁRIOS'!$P$5:$P$500,"&gt;=127700")&gt;0,"X","")</f>
      </c>
      <c r="AJ14" s="56" t="str">
        <f>IF(COUNTIFS('LANÇAMENTOS DIÁRIOS'!$G$5:$G$500,"H",'LANÇAMENTOS DIÁRIOS'!$C$5:$C$500,$A14,'LANÇAMENTOS DIÁRIOS'!$O$5:$O$500,"&lt;=127899",'LANÇAMENTOS DIÁRIOS'!$P$5:$P$500,"&gt;=127800")&gt;0,"X","")</f>
      </c>
      <c r="AK14" s="56" t="str">
        <f>IF(COUNTIFS('LANÇAMENTOS DIÁRIOS'!$G$5:$G$500,"H",'LANÇAMENTOS DIÁRIOS'!$C$5:$C$500,$A14,'LANÇAMENTOS DIÁRIOS'!$O$5:$O$500,"&lt;=127999",'LANÇAMENTOS DIÁRIOS'!$P$5:$P$500,"&gt;=127900")&gt;0,"X","")</f>
      </c>
      <c r="AL14" s="56" t="str">
        <f>IF(COUNTIFS('LANÇAMENTOS DIÁRIOS'!$G$5:$G$500,"H",'LANÇAMENTOS DIÁRIOS'!$C$5:$C$500,$A14,'LANÇAMENTOS DIÁRIOS'!$O$5:$O$500,"&lt;=128099",'LANÇAMENTOS DIÁRIOS'!$P$5:$P$500,"&gt;=128000")&gt;0,"X","")</f>
      </c>
      <c r="AM14" s="56" t="str">
        <f>IF(COUNTIFS('LANÇAMENTOS DIÁRIOS'!$G$5:$G$500,"H",'LANÇAMENTOS DIÁRIOS'!$C$5:$C$500,$A14,'LANÇAMENTOS DIÁRIOS'!$O$5:$O$500,"&lt;=128199",'LANÇAMENTOS DIÁRIOS'!$P$5:$P$500,"&gt;=128100")&gt;0,"X","")</f>
      </c>
      <c r="AN14" s="56" t="str">
        <f>IF(COUNTIFS('LANÇAMENTOS DIÁRIOS'!$G$5:$G$500,"H",'LANÇAMENTOS DIÁRIOS'!$C$5:$C$500,$A14,'LANÇAMENTOS DIÁRIOS'!$O$5:$O$500,"&lt;=128299",'LANÇAMENTOS DIÁRIOS'!$P$5:$P$500,"&gt;=128200")&gt;0,"X","")</f>
      </c>
      <c r="AO14" s="56" t="str">
        <f>IF(COUNTIFS('LANÇAMENTOS DIÁRIOS'!$G$5:$G$500,"H",'LANÇAMENTOS DIÁRIOS'!$C$5:$C$500,$A14,'LANÇAMENTOS DIÁRIOS'!$O$5:$O$500,"&lt;=128399",'LANÇAMENTOS DIÁRIOS'!$P$5:$P$500,"&gt;=128300")&gt;0,"X","")</f>
      </c>
      <c r="AP14" s="56" t="str">
        <f>IF(COUNTIFS('LANÇAMENTOS DIÁRIOS'!$G$5:$G$500,"H",'LANÇAMENTOS DIÁRIOS'!$C$5:$C$500,$A14,'LANÇAMENTOS DIÁRIOS'!$O$5:$O$500,"&lt;=128499",'LANÇAMENTOS DIÁRIOS'!$P$5:$P$500,"&gt;=128400")&gt;0,"X","")</f>
      </c>
      <c r="AQ14" s="56" t="str">
        <f>IF(COUNTIFS('LANÇAMENTOS DIÁRIOS'!$G$5:$G$500,"H",'LANÇAMENTOS DIÁRIOS'!$C$5:$C$500,$A14,'LANÇAMENTOS DIÁRIOS'!$O$5:$O$500,"&lt;=128599",'LANÇAMENTOS DIÁRIOS'!$P$5:$P$500,"&gt;=128500")&gt;0,"X","")</f>
      </c>
      <c r="AR14" s="56" t="str">
        <f>IF(COUNTIFS('LANÇAMENTOS DIÁRIOS'!$G$5:$G$500,"H",'LANÇAMENTOS DIÁRIOS'!$C$5:$C$500,$A14,'LANÇAMENTOS DIÁRIOS'!$O$5:$O$500,"&lt;=128699",'LANÇAMENTOS DIÁRIOS'!$P$5:$P$500,"&gt;=128600")&gt;0,"X","")</f>
      </c>
      <c r="AS14" s="56" t="str">
        <f>IF(COUNTIFS('LANÇAMENTOS DIÁRIOS'!$G$5:$G$500,"H",'LANÇAMENTOS DIÁRIOS'!$C$5:$C$500,$A14,'LANÇAMENTOS DIÁRIOS'!$O$5:$O$500,"&lt;=128799",'LANÇAMENTOS DIÁRIOS'!$P$5:$P$500,"&gt;=128700")&gt;0,"X","")</f>
      </c>
      <c r="AT14" s="56" t="str">
        <f>IF(COUNTIFS('LANÇAMENTOS DIÁRIOS'!$G$5:$G$500,"H",'LANÇAMENTOS DIÁRIOS'!$C$5:$C$500,$A14,'LANÇAMENTOS DIÁRIOS'!$O$5:$O$500,"&lt;=128899",'LANÇAMENTOS DIÁRIOS'!$P$5:$P$500,"&gt;=128800")&gt;0,"X","")</f>
      </c>
      <c r="AU14" s="56" t="str">
        <f>IF(COUNTIFS('LANÇAMENTOS DIÁRIOS'!$G$5:$G$500,"H",'LANÇAMENTOS DIÁRIOS'!$C$5:$C$500,$A14,'LANÇAMENTOS DIÁRIOS'!$O$5:$O$500,"&lt;=128999",'LANÇAMENTOS DIÁRIOS'!$P$5:$P$500,"&gt;=128900")&gt;0,"X","")</f>
      </c>
      <c r="AV14" s="56" t="str">
        <f>IF(COUNTIFS('LANÇAMENTOS DIÁRIOS'!$G$5:$G$500,"H",'LANÇAMENTOS DIÁRIOS'!$C$5:$C$500,$A14,'LANÇAMENTOS DIÁRIOS'!$O$5:$O$500,"&lt;=129099",'LANÇAMENTOS DIÁRIOS'!$P$5:$P$500,"&gt;=129000")&gt;0,"X","")</f>
      </c>
      <c r="AW14" s="56" t="str">
        <f>IF(COUNTIFS('LANÇAMENTOS DIÁRIOS'!$G$5:$G$500,"H",'LANÇAMENTOS DIÁRIOS'!$C$5:$C$500,$A14,'LANÇAMENTOS DIÁRIOS'!$O$5:$O$500,"&lt;=129199",'LANÇAMENTOS DIÁRIOS'!$P$5:$P$500,"&gt;=129100")&gt;0,"X","")</f>
      </c>
      <c r="AX14" s="56" t="str">
        <f>IF(COUNTIFS('LANÇAMENTOS DIÁRIOS'!$G$5:$G$500,"H",'LANÇAMENTOS DIÁRIOS'!$C$5:$C$500,$A14,'LANÇAMENTOS DIÁRIOS'!$O$5:$O$500,"&lt;=129299",'LANÇAMENTOS DIÁRIOS'!$P$5:$P$500,"&gt;=129200")&gt;0,"X","")</f>
      </c>
      <c r="AY14" s="56" t="str">
        <f>IF(COUNTIFS('LANÇAMENTOS DIÁRIOS'!$G$5:$G$500,"H",'LANÇAMENTOS DIÁRIOS'!$C$5:$C$500,$A14,'LANÇAMENTOS DIÁRIOS'!$O$5:$O$500,"&lt;=129399",'LANÇAMENTOS DIÁRIOS'!$P$5:$P$500,"&gt;=129300")&gt;0,"X","")</f>
      </c>
      <c r="AZ14" s="56" t="str">
        <f>IF(COUNTIFS('LANÇAMENTOS DIÁRIOS'!$G$5:$G$500,"H",'LANÇAMENTOS DIÁRIOS'!$C$5:$C$500,$A14,'LANÇAMENTOS DIÁRIOS'!$O$5:$O$500,"&lt;=129400",'LANÇAMENTOS DIÁRIOS'!$P$5:$P$500,"&gt;=129400")&gt;0,"X","")</f>
      </c>
    </row>
    <row r="15">
      <c r="A15" s="51" t="str">
        <v>Remoção de terminal absorvedor de energia.m</v>
      </c>
      <c r="B15" s="56" t="str">
        <f>IF(COUNTIFS('LANÇAMENTOS DIÁRIOS'!$G$5:$G$500,"H",'LANÇAMENTOS DIÁRIOS'!$C$5:$C$500,$A15,'LANÇAMENTOS DIÁRIOS'!$O$5:$O$500,"&lt;=124499",'LANÇAMENTOS DIÁRIOS'!$P$5:$P$500,"&gt;=124400")&gt;0,"X","")</f>
      </c>
      <c r="C15" s="56" t="str">
        <f>IF(COUNTIFS('LANÇAMENTOS DIÁRIOS'!$G$5:$G$500,"H",'LANÇAMENTOS DIÁRIOS'!$C$5:$C$500,$A15,'LANÇAMENTOS DIÁRIOS'!$O$5:$O$500,"&lt;=124599",'LANÇAMENTOS DIÁRIOS'!$P$5:$P$500,"&gt;=124500")&gt;0,"X","")</f>
      </c>
      <c r="D15" s="56" t="str">
        <f>IF(COUNTIFS('LANÇAMENTOS DIÁRIOS'!$G$5:$G$500,"H",'LANÇAMENTOS DIÁRIOS'!$C$5:$C$500,$A15,'LANÇAMENTOS DIÁRIOS'!$O$5:$O$500,"&lt;=124699",'LANÇAMENTOS DIÁRIOS'!$P$5:$P$500,"&gt;=124600")&gt;0,"X","")</f>
      </c>
      <c r="E15" s="56" t="str">
        <f>IF(COUNTIFS('LANÇAMENTOS DIÁRIOS'!$G$5:$G$500,"H",'LANÇAMENTOS DIÁRIOS'!$C$5:$C$500,$A15,'LANÇAMENTOS DIÁRIOS'!$O$5:$O$500,"&lt;=124799",'LANÇAMENTOS DIÁRIOS'!$P$5:$P$500,"&gt;=124700")&gt;0,"X","")</f>
      </c>
      <c r="F15" s="56" t="str">
        <f>IF(COUNTIFS('LANÇAMENTOS DIÁRIOS'!$G$5:$G$500,"H",'LANÇAMENTOS DIÁRIOS'!$C$5:$C$500,$A15,'LANÇAMENTOS DIÁRIOS'!$O$5:$O$500,"&lt;=124899",'LANÇAMENTOS DIÁRIOS'!$P$5:$P$500,"&gt;=124800")&gt;0,"X","")</f>
      </c>
      <c r="G15" s="56" t="str">
        <f>IF(COUNTIFS('LANÇAMENTOS DIÁRIOS'!$G$5:$G$500,"H",'LANÇAMENTOS DIÁRIOS'!$C$5:$C$500,$A15,'LANÇAMENTOS DIÁRIOS'!$O$5:$O$500,"&lt;=124999",'LANÇAMENTOS DIÁRIOS'!$P$5:$P$500,"&gt;=124900")&gt;0,"X","")</f>
      </c>
      <c r="H15" s="56" t="str">
        <f>IF(COUNTIFS('LANÇAMENTOS DIÁRIOS'!$G$5:$G$500,"H",'LANÇAMENTOS DIÁRIOS'!$C$5:$C$500,$A15,'LANÇAMENTOS DIÁRIOS'!$O$5:$O$500,"&lt;=125099",'LANÇAMENTOS DIÁRIOS'!$P$5:$P$500,"&gt;=125000")&gt;0,"X","")</f>
      </c>
      <c r="I15" s="56" t="str">
        <f>IF(COUNTIFS('LANÇAMENTOS DIÁRIOS'!$G$5:$G$500,"H",'LANÇAMENTOS DIÁRIOS'!$C$5:$C$500,$A15,'LANÇAMENTOS DIÁRIOS'!$O$5:$O$500,"&lt;=125199",'LANÇAMENTOS DIÁRIOS'!$P$5:$P$500,"&gt;=125100")&gt;0,"X","")</f>
      </c>
      <c r="J15" s="56" t="str">
        <f>IF(COUNTIFS('LANÇAMENTOS DIÁRIOS'!$G$5:$G$500,"H",'LANÇAMENTOS DIÁRIOS'!$C$5:$C$500,$A15,'LANÇAMENTOS DIÁRIOS'!$O$5:$O$500,"&lt;=125299",'LANÇAMENTOS DIÁRIOS'!$P$5:$P$500,"&gt;=125200")&gt;0,"X","")</f>
      </c>
      <c r="K15" s="56" t="str">
        <f>IF(COUNTIFS('LANÇAMENTOS DIÁRIOS'!$G$5:$G$500,"H",'LANÇAMENTOS DIÁRIOS'!$C$5:$C$500,$A15,'LANÇAMENTOS DIÁRIOS'!$O$5:$O$500,"&lt;=125399",'LANÇAMENTOS DIÁRIOS'!$P$5:$P$500,"&gt;=125300")&gt;0,"X","")</f>
      </c>
      <c r="L15" s="56" t="str">
        <f>IF(COUNTIFS('LANÇAMENTOS DIÁRIOS'!$G$5:$G$500,"H",'LANÇAMENTOS DIÁRIOS'!$C$5:$C$500,$A15,'LANÇAMENTOS DIÁRIOS'!$O$5:$O$500,"&lt;=125499",'LANÇAMENTOS DIÁRIOS'!$P$5:$P$500,"&gt;=125400")&gt;0,"X","")</f>
      </c>
      <c r="M15" s="56" t="str">
        <f>IF(COUNTIFS('LANÇAMENTOS DIÁRIOS'!$G$5:$G$500,"H",'LANÇAMENTOS DIÁRIOS'!$C$5:$C$500,$A15,'LANÇAMENTOS DIÁRIOS'!$O$5:$O$500,"&lt;=125599",'LANÇAMENTOS DIÁRIOS'!$P$5:$P$500,"&gt;=125500")&gt;0,"X","")</f>
      </c>
      <c r="N15" s="56" t="str">
        <f>IF(COUNTIFS('LANÇAMENTOS DIÁRIOS'!$G$5:$G$500,"H",'LANÇAMENTOS DIÁRIOS'!$C$5:$C$500,$A15,'LANÇAMENTOS DIÁRIOS'!$O$5:$O$500,"&lt;=125699",'LANÇAMENTOS DIÁRIOS'!$P$5:$P$500,"&gt;=125600")&gt;0,"X","")</f>
      </c>
      <c r="O15" s="56" t="str">
        <f>IF(COUNTIFS('LANÇAMENTOS DIÁRIOS'!$G$5:$G$500,"H",'LANÇAMENTOS DIÁRIOS'!$C$5:$C$500,$A15,'LANÇAMENTOS DIÁRIOS'!$O$5:$O$500,"&lt;=125799",'LANÇAMENTOS DIÁRIOS'!$P$5:$P$500,"&gt;=125700")&gt;0,"X","")</f>
      </c>
      <c r="P15" s="56" t="str">
        <f>IF(COUNTIFS('LANÇAMENTOS DIÁRIOS'!$G$5:$G$500,"H",'LANÇAMENTOS DIÁRIOS'!$C$5:$C$500,$A15,'LANÇAMENTOS DIÁRIOS'!$O$5:$O$500,"&lt;=125899",'LANÇAMENTOS DIÁRIOS'!$P$5:$P$500,"&gt;=125800")&gt;0,"X","")</f>
      </c>
      <c r="Q15" s="56" t="str">
        <f>IF(COUNTIFS('LANÇAMENTOS DIÁRIOS'!$G$5:$G$500,"H",'LANÇAMENTOS DIÁRIOS'!$C$5:$C$500,$A15,'LANÇAMENTOS DIÁRIOS'!$O$5:$O$500,"&lt;=125999",'LANÇAMENTOS DIÁRIOS'!$P$5:$P$500,"&gt;=125900")&gt;0,"X","")</f>
      </c>
      <c r="R15" s="56" t="str">
        <f>IF(COUNTIFS('LANÇAMENTOS DIÁRIOS'!$G$5:$G$500,"H",'LANÇAMENTOS DIÁRIOS'!$C$5:$C$500,$A15,'LANÇAMENTOS DIÁRIOS'!$O$5:$O$500,"&lt;=126099",'LANÇAMENTOS DIÁRIOS'!$P$5:$P$500,"&gt;=126000")&gt;0,"X","")</f>
      </c>
      <c r="S15" s="56" t="str">
        <f>IF(COUNTIFS('LANÇAMENTOS DIÁRIOS'!$G$5:$G$500,"H",'LANÇAMENTOS DIÁRIOS'!$C$5:$C$500,$A15,'LANÇAMENTOS DIÁRIOS'!$O$5:$O$500,"&lt;=126199",'LANÇAMENTOS DIÁRIOS'!$P$5:$P$500,"&gt;=126100")&gt;0,"X","")</f>
      </c>
      <c r="T15" s="56" t="str">
        <f>IF(COUNTIFS('LANÇAMENTOS DIÁRIOS'!$G$5:$G$500,"H",'LANÇAMENTOS DIÁRIOS'!$C$5:$C$500,$A15,'LANÇAMENTOS DIÁRIOS'!$O$5:$O$500,"&lt;=126299",'LANÇAMENTOS DIÁRIOS'!$P$5:$P$500,"&gt;=126200")&gt;0,"X","")</f>
      </c>
      <c r="U15" s="56" t="str">
        <f>IF(COUNTIFS('LANÇAMENTOS DIÁRIOS'!$G$5:$G$500,"H",'LANÇAMENTOS DIÁRIOS'!$C$5:$C$500,$A15,'LANÇAMENTOS DIÁRIOS'!$O$5:$O$500,"&lt;=126399",'LANÇAMENTOS DIÁRIOS'!$P$5:$P$500,"&gt;=126300")&gt;0,"X","")</f>
      </c>
      <c r="V15" s="56" t="str">
        <f>IF(COUNTIFS('LANÇAMENTOS DIÁRIOS'!$G$5:$G$500,"H",'LANÇAMENTOS DIÁRIOS'!$C$5:$C$500,$A15,'LANÇAMENTOS DIÁRIOS'!$O$5:$O$500,"&lt;=126499",'LANÇAMENTOS DIÁRIOS'!$P$5:$P$500,"&gt;=126400")&gt;0,"X","")</f>
      </c>
      <c r="W15" s="56" t="str">
        <f>IF(COUNTIFS('LANÇAMENTOS DIÁRIOS'!$G$5:$G$500,"H",'LANÇAMENTOS DIÁRIOS'!$C$5:$C$500,$A15,'LANÇAMENTOS DIÁRIOS'!$O$5:$O$500,"&lt;=126599",'LANÇAMENTOS DIÁRIOS'!$P$5:$P$500,"&gt;=126500")&gt;0,"X","")</f>
      </c>
      <c r="X15" s="56" t="str">
        <f>IF(COUNTIFS('LANÇAMENTOS DIÁRIOS'!$G$5:$G$500,"H",'LANÇAMENTOS DIÁRIOS'!$C$5:$C$500,$A15,'LANÇAMENTOS DIÁRIOS'!$O$5:$O$500,"&lt;=126699",'LANÇAMENTOS DIÁRIOS'!$P$5:$P$500,"&gt;=126600")&gt;0,"X","")</f>
      </c>
      <c r="Y15" s="56" t="str">
        <f>IF(COUNTIFS('LANÇAMENTOS DIÁRIOS'!$G$5:$G$500,"H",'LANÇAMENTOS DIÁRIOS'!$C$5:$C$500,$A15,'LANÇAMENTOS DIÁRIOS'!$O$5:$O$500,"&lt;=126799",'LANÇAMENTOS DIÁRIOS'!$P$5:$P$500,"&gt;=126700")&gt;0,"X","")</f>
      </c>
      <c r="Z15" s="56" t="str">
        <f>IF(COUNTIFS('LANÇAMENTOS DIÁRIOS'!$G$5:$G$500,"H",'LANÇAMENTOS DIÁRIOS'!$C$5:$C$500,$A15,'LANÇAMENTOS DIÁRIOS'!$O$5:$O$500,"&lt;=126899",'LANÇAMENTOS DIÁRIOS'!$P$5:$P$500,"&gt;=126800")&gt;0,"X","")</f>
      </c>
      <c r="AA15" s="56" t="str">
        <f>IF(COUNTIFS('LANÇAMENTOS DIÁRIOS'!$G$5:$G$500,"H",'LANÇAMENTOS DIÁRIOS'!$C$5:$C$500,$A15,'LANÇAMENTOS DIÁRIOS'!$O$5:$O$500,"&lt;=126999",'LANÇAMENTOS DIÁRIOS'!$P$5:$P$500,"&gt;=126900")&gt;0,"X","")</f>
      </c>
      <c r="AB15" s="56" t="str">
        <f>IF(COUNTIFS('LANÇAMENTOS DIÁRIOS'!$G$5:$G$500,"H",'LANÇAMENTOS DIÁRIOS'!$C$5:$C$500,$A15,'LANÇAMENTOS DIÁRIOS'!$O$5:$O$500,"&lt;=127099",'LANÇAMENTOS DIÁRIOS'!$P$5:$P$500,"&gt;=127000")&gt;0,"X","")</f>
      </c>
      <c r="AC15" s="56" t="str">
        <f>IF(COUNTIFS('LANÇAMENTOS DIÁRIOS'!$G$5:$G$500,"H",'LANÇAMENTOS DIÁRIOS'!$C$5:$C$500,$A15,'LANÇAMENTOS DIÁRIOS'!$O$5:$O$500,"&lt;=127199",'LANÇAMENTOS DIÁRIOS'!$P$5:$P$500,"&gt;=127100")&gt;0,"X","")</f>
      </c>
      <c r="AD15" s="56" t="str">
        <f>IF(COUNTIFS('LANÇAMENTOS DIÁRIOS'!$G$5:$G$500,"H",'LANÇAMENTOS DIÁRIOS'!$C$5:$C$500,$A15,'LANÇAMENTOS DIÁRIOS'!$O$5:$O$500,"&lt;=127299",'LANÇAMENTOS DIÁRIOS'!$P$5:$P$500,"&gt;=127200")&gt;0,"X","")</f>
      </c>
      <c r="AE15" s="56" t="str">
        <f>IF(COUNTIFS('LANÇAMENTOS DIÁRIOS'!$G$5:$G$500,"H",'LANÇAMENTOS DIÁRIOS'!$C$5:$C$500,$A15,'LANÇAMENTOS DIÁRIOS'!$O$5:$O$500,"&lt;=127399",'LANÇAMENTOS DIÁRIOS'!$P$5:$P$500,"&gt;=127300")&gt;0,"X","")</f>
      </c>
      <c r="AF15" s="56" t="str">
        <f>IF(COUNTIFS('LANÇAMENTOS DIÁRIOS'!$G$5:$G$500,"H",'LANÇAMENTOS DIÁRIOS'!$C$5:$C$500,$A15,'LANÇAMENTOS DIÁRIOS'!$O$5:$O$500,"&lt;=127499",'LANÇAMENTOS DIÁRIOS'!$P$5:$P$500,"&gt;=127400")&gt;0,"X","")</f>
      </c>
      <c r="AG15" s="56" t="str">
        <f>IF(COUNTIFS('LANÇAMENTOS DIÁRIOS'!$G$5:$G$500,"H",'LANÇAMENTOS DIÁRIOS'!$C$5:$C$500,$A15,'LANÇAMENTOS DIÁRIOS'!$O$5:$O$500,"&lt;=127599",'LANÇAMENTOS DIÁRIOS'!$P$5:$P$500,"&gt;=127500")&gt;0,"X","")</f>
      </c>
      <c r="AH15" s="56" t="str">
        <f>IF(COUNTIFS('LANÇAMENTOS DIÁRIOS'!$G$5:$G$500,"H",'LANÇAMENTOS DIÁRIOS'!$C$5:$C$500,$A15,'LANÇAMENTOS DIÁRIOS'!$O$5:$O$500,"&lt;=127699",'LANÇAMENTOS DIÁRIOS'!$P$5:$P$500,"&gt;=127600")&gt;0,"X","")</f>
      </c>
      <c r="AI15" s="56" t="str">
        <f>IF(COUNTIFS('LANÇAMENTOS DIÁRIOS'!$G$5:$G$500,"H",'LANÇAMENTOS DIÁRIOS'!$C$5:$C$500,$A15,'LANÇAMENTOS DIÁRIOS'!$O$5:$O$500,"&lt;=127799",'LANÇAMENTOS DIÁRIOS'!$P$5:$P$500,"&gt;=127700")&gt;0,"X","")</f>
      </c>
      <c r="AJ15" s="56" t="str">
        <f>IF(COUNTIFS('LANÇAMENTOS DIÁRIOS'!$G$5:$G$500,"H",'LANÇAMENTOS DIÁRIOS'!$C$5:$C$500,$A15,'LANÇAMENTOS DIÁRIOS'!$O$5:$O$500,"&lt;=127899",'LANÇAMENTOS DIÁRIOS'!$P$5:$P$500,"&gt;=127800")&gt;0,"X","")</f>
      </c>
      <c r="AK15" s="56" t="str">
        <f>IF(COUNTIFS('LANÇAMENTOS DIÁRIOS'!$G$5:$G$500,"H",'LANÇAMENTOS DIÁRIOS'!$C$5:$C$500,$A15,'LANÇAMENTOS DIÁRIOS'!$O$5:$O$500,"&lt;=127999",'LANÇAMENTOS DIÁRIOS'!$P$5:$P$500,"&gt;=127900")&gt;0,"X","")</f>
      </c>
      <c r="AL15" s="56" t="str">
        <f>IF(COUNTIFS('LANÇAMENTOS DIÁRIOS'!$G$5:$G$500,"H",'LANÇAMENTOS DIÁRIOS'!$C$5:$C$500,$A15,'LANÇAMENTOS DIÁRIOS'!$O$5:$O$500,"&lt;=128099",'LANÇAMENTOS DIÁRIOS'!$P$5:$P$500,"&gt;=128000")&gt;0,"X","")</f>
      </c>
      <c r="AM15" s="56" t="str">
        <f>IF(COUNTIFS('LANÇAMENTOS DIÁRIOS'!$G$5:$G$500,"H",'LANÇAMENTOS DIÁRIOS'!$C$5:$C$500,$A15,'LANÇAMENTOS DIÁRIOS'!$O$5:$O$500,"&lt;=128199",'LANÇAMENTOS DIÁRIOS'!$P$5:$P$500,"&gt;=128100")&gt;0,"X","")</f>
      </c>
      <c r="AN15" s="56" t="str">
        <f>IF(COUNTIFS('LANÇAMENTOS DIÁRIOS'!$G$5:$G$500,"H",'LANÇAMENTOS DIÁRIOS'!$C$5:$C$500,$A15,'LANÇAMENTOS DIÁRIOS'!$O$5:$O$500,"&lt;=128299",'LANÇAMENTOS DIÁRIOS'!$P$5:$P$500,"&gt;=128200")&gt;0,"X","")</f>
      </c>
      <c r="AO15" s="56" t="str">
        <f>IF(COUNTIFS('LANÇAMENTOS DIÁRIOS'!$G$5:$G$500,"H",'LANÇAMENTOS DIÁRIOS'!$C$5:$C$500,$A15,'LANÇAMENTOS DIÁRIOS'!$O$5:$O$500,"&lt;=128399",'LANÇAMENTOS DIÁRIOS'!$P$5:$P$500,"&gt;=128300")&gt;0,"X","")</f>
      </c>
      <c r="AP15" s="56" t="str">
        <f>IF(COUNTIFS('LANÇAMENTOS DIÁRIOS'!$G$5:$G$500,"H",'LANÇAMENTOS DIÁRIOS'!$C$5:$C$500,$A15,'LANÇAMENTOS DIÁRIOS'!$O$5:$O$500,"&lt;=128499",'LANÇAMENTOS DIÁRIOS'!$P$5:$P$500,"&gt;=128400")&gt;0,"X","")</f>
      </c>
      <c r="AQ15" s="56" t="str">
        <f>IF(COUNTIFS('LANÇAMENTOS DIÁRIOS'!$G$5:$G$500,"H",'LANÇAMENTOS DIÁRIOS'!$C$5:$C$500,$A15,'LANÇAMENTOS DIÁRIOS'!$O$5:$O$500,"&lt;=128599",'LANÇAMENTOS DIÁRIOS'!$P$5:$P$500,"&gt;=128500")&gt;0,"X","")</f>
      </c>
      <c r="AR15" s="56" t="str">
        <f>IF(COUNTIFS('LANÇAMENTOS DIÁRIOS'!$G$5:$G$500,"H",'LANÇAMENTOS DIÁRIOS'!$C$5:$C$500,$A15,'LANÇAMENTOS DIÁRIOS'!$O$5:$O$500,"&lt;=128699",'LANÇAMENTOS DIÁRIOS'!$P$5:$P$500,"&gt;=128600")&gt;0,"X","")</f>
      </c>
      <c r="AS15" s="56" t="str">
        <f>IF(COUNTIFS('LANÇAMENTOS DIÁRIOS'!$G$5:$G$500,"H",'LANÇAMENTOS DIÁRIOS'!$C$5:$C$500,$A15,'LANÇAMENTOS DIÁRIOS'!$O$5:$O$500,"&lt;=128799",'LANÇAMENTOS DIÁRIOS'!$P$5:$P$500,"&gt;=128700")&gt;0,"X","")</f>
      </c>
      <c r="AT15" s="56" t="str">
        <f>IF(COUNTIFS('LANÇAMENTOS DIÁRIOS'!$G$5:$G$500,"H",'LANÇAMENTOS DIÁRIOS'!$C$5:$C$500,$A15,'LANÇAMENTOS DIÁRIOS'!$O$5:$O$500,"&lt;=128899",'LANÇAMENTOS DIÁRIOS'!$P$5:$P$500,"&gt;=128800")&gt;0,"X","")</f>
      </c>
      <c r="AU15" s="56" t="str">
        <f>IF(COUNTIFS('LANÇAMENTOS DIÁRIOS'!$G$5:$G$500,"H",'LANÇAMENTOS DIÁRIOS'!$C$5:$C$500,$A15,'LANÇAMENTOS DIÁRIOS'!$O$5:$O$500,"&lt;=128999",'LANÇAMENTOS DIÁRIOS'!$P$5:$P$500,"&gt;=128900")&gt;0,"X","")</f>
      </c>
      <c r="AV15" s="56" t="str">
        <f>IF(COUNTIFS('LANÇAMENTOS DIÁRIOS'!$G$5:$G$500,"H",'LANÇAMENTOS DIÁRIOS'!$C$5:$C$500,$A15,'LANÇAMENTOS DIÁRIOS'!$O$5:$O$500,"&lt;=129099",'LANÇAMENTOS DIÁRIOS'!$P$5:$P$500,"&gt;=129000")&gt;0,"X","")</f>
      </c>
      <c r="AW15" s="56" t="str">
        <f>IF(COUNTIFS('LANÇAMENTOS DIÁRIOS'!$G$5:$G$500,"H",'LANÇAMENTOS DIÁRIOS'!$C$5:$C$500,$A15,'LANÇAMENTOS DIÁRIOS'!$O$5:$O$500,"&lt;=129199",'LANÇAMENTOS DIÁRIOS'!$P$5:$P$500,"&gt;=129100")&gt;0,"X","")</f>
      </c>
      <c r="AX15" s="56" t="str">
        <f>IF(COUNTIFS('LANÇAMENTOS DIÁRIOS'!$G$5:$G$500,"H",'LANÇAMENTOS DIÁRIOS'!$C$5:$C$500,$A15,'LANÇAMENTOS DIÁRIOS'!$O$5:$O$500,"&lt;=129299",'LANÇAMENTOS DIÁRIOS'!$P$5:$P$500,"&gt;=129200")&gt;0,"X","")</f>
      </c>
      <c r="AY15" s="56" t="str">
        <f>IF(COUNTIFS('LANÇAMENTOS DIÁRIOS'!$G$5:$G$500,"H",'LANÇAMENTOS DIÁRIOS'!$C$5:$C$500,$A15,'LANÇAMENTOS DIÁRIOS'!$O$5:$O$500,"&lt;=129399",'LANÇAMENTOS DIÁRIOS'!$P$5:$P$500,"&gt;=129300")&gt;0,"X","")</f>
      </c>
      <c r="AZ15" s="56" t="str">
        <f>IF(COUNTIFS('LANÇAMENTOS DIÁRIOS'!$G$5:$G$500,"H",'LANÇAMENTOS DIÁRIOS'!$C$5:$C$500,$A15,'LANÇAMENTOS DIÁRIOS'!$O$5:$O$500,"&lt;=129400",'LANÇAMENTOS DIÁRIOS'!$P$5:$P$500,"&gt;=129400")&gt;0,"X","")</f>
      </c>
    </row>
    <row r="16" ht="19" customHeight="1">
      <c r="A16" s="68" t="str">
        <v>Desvio de tráfego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</row>
    <row r="17">
      <c r="A17" s="51" t="str">
        <v>Desvio de tráfego</v>
      </c>
      <c r="B17" s="56" t="str">
        <f>IF(COUNTIFS('LANÇAMENTOS DIÁRIOS'!$G$5:$G$500,"H",'LANÇAMENTOS DIÁRIOS'!$C$5:$C$500,$A17,'LANÇAMENTOS DIÁRIOS'!$O$5:$O$500,"&lt;=124499",'LANÇAMENTOS DIÁRIOS'!$P$5:$P$500,"&gt;=124400")&gt;0,"X","")</f>
      </c>
      <c r="C17" s="56" t="str">
        <f>IF(COUNTIFS('LANÇAMENTOS DIÁRIOS'!$G$5:$G$500,"H",'LANÇAMENTOS DIÁRIOS'!$C$5:$C$500,$A17,'LANÇAMENTOS DIÁRIOS'!$O$5:$O$500,"&lt;=124599",'LANÇAMENTOS DIÁRIOS'!$P$5:$P$500,"&gt;=124500")&gt;0,"X","")</f>
      </c>
      <c r="D17" s="56" t="str">
        <f>IF(COUNTIFS('LANÇAMENTOS DIÁRIOS'!$G$5:$G$500,"H",'LANÇAMENTOS DIÁRIOS'!$C$5:$C$500,$A17,'LANÇAMENTOS DIÁRIOS'!$O$5:$O$500,"&lt;=124699",'LANÇAMENTOS DIÁRIOS'!$P$5:$P$500,"&gt;=124600")&gt;0,"X","")</f>
      </c>
      <c r="E17" s="56" t="str">
        <f>IF(COUNTIFS('LANÇAMENTOS DIÁRIOS'!$G$5:$G$500,"H",'LANÇAMENTOS DIÁRIOS'!$C$5:$C$500,$A17,'LANÇAMENTOS DIÁRIOS'!$O$5:$O$500,"&lt;=124799",'LANÇAMENTOS DIÁRIOS'!$P$5:$P$500,"&gt;=124700")&gt;0,"X","")</f>
      </c>
      <c r="F17" s="56" t="str">
        <f>IF(COUNTIFS('LANÇAMENTOS DIÁRIOS'!$G$5:$G$500,"H",'LANÇAMENTOS DIÁRIOS'!$C$5:$C$500,$A17,'LANÇAMENTOS DIÁRIOS'!$O$5:$O$500,"&lt;=124899",'LANÇAMENTOS DIÁRIOS'!$P$5:$P$500,"&gt;=124800")&gt;0,"X","")</f>
      </c>
      <c r="G17" s="56" t="str">
        <f>IF(COUNTIFS('LANÇAMENTOS DIÁRIOS'!$G$5:$G$500,"H",'LANÇAMENTOS DIÁRIOS'!$C$5:$C$500,$A17,'LANÇAMENTOS DIÁRIOS'!$O$5:$O$500,"&lt;=124999",'LANÇAMENTOS DIÁRIOS'!$P$5:$P$500,"&gt;=124900")&gt;0,"X","")</f>
      </c>
      <c r="H17" s="56" t="str">
        <f>IF(COUNTIFS('LANÇAMENTOS DIÁRIOS'!$G$5:$G$500,"H",'LANÇAMENTOS DIÁRIOS'!$C$5:$C$500,$A17,'LANÇAMENTOS DIÁRIOS'!$O$5:$O$500,"&lt;=125099",'LANÇAMENTOS DIÁRIOS'!$P$5:$P$500,"&gt;=125000")&gt;0,"X","")</f>
      </c>
      <c r="I17" s="56" t="str">
        <f>IF(COUNTIFS('LANÇAMENTOS DIÁRIOS'!$G$5:$G$500,"H",'LANÇAMENTOS DIÁRIOS'!$C$5:$C$500,$A17,'LANÇAMENTOS DIÁRIOS'!$O$5:$O$500,"&lt;=125199",'LANÇAMENTOS DIÁRIOS'!$P$5:$P$500,"&gt;=125100")&gt;0,"X","")</f>
      </c>
      <c r="J17" s="56" t="str">
        <f>IF(COUNTIFS('LANÇAMENTOS DIÁRIOS'!$G$5:$G$500,"H",'LANÇAMENTOS DIÁRIOS'!$C$5:$C$500,$A17,'LANÇAMENTOS DIÁRIOS'!$O$5:$O$500,"&lt;=125299",'LANÇAMENTOS DIÁRIOS'!$P$5:$P$500,"&gt;=125200")&gt;0,"X","")</f>
      </c>
      <c r="K17" s="56" t="str">
        <f>IF(COUNTIFS('LANÇAMENTOS DIÁRIOS'!$G$5:$G$500,"H",'LANÇAMENTOS DIÁRIOS'!$C$5:$C$500,$A17,'LANÇAMENTOS DIÁRIOS'!$O$5:$O$500,"&lt;=125399",'LANÇAMENTOS DIÁRIOS'!$P$5:$P$500,"&gt;=125300")&gt;0,"X","")</f>
      </c>
      <c r="L17" s="56" t="str">
        <f>IF(COUNTIFS('LANÇAMENTOS DIÁRIOS'!$G$5:$G$500,"H",'LANÇAMENTOS DIÁRIOS'!$C$5:$C$500,$A17,'LANÇAMENTOS DIÁRIOS'!$O$5:$O$500,"&lt;=125499",'LANÇAMENTOS DIÁRIOS'!$P$5:$P$500,"&gt;=125400")&gt;0,"X","")</f>
      </c>
      <c r="M17" s="56" t="str">
        <f>IF(COUNTIFS('LANÇAMENTOS DIÁRIOS'!$G$5:$G$500,"H",'LANÇAMENTOS DIÁRIOS'!$C$5:$C$500,$A17,'LANÇAMENTOS DIÁRIOS'!$O$5:$O$500,"&lt;=125599",'LANÇAMENTOS DIÁRIOS'!$P$5:$P$500,"&gt;=125500")&gt;0,"X","")</f>
      </c>
      <c r="N17" s="56" t="str">
        <f>IF(COUNTIFS('LANÇAMENTOS DIÁRIOS'!$G$5:$G$500,"H",'LANÇAMENTOS DIÁRIOS'!$C$5:$C$500,$A17,'LANÇAMENTOS DIÁRIOS'!$O$5:$O$500,"&lt;=125699",'LANÇAMENTOS DIÁRIOS'!$P$5:$P$500,"&gt;=125600")&gt;0,"X","")</f>
      </c>
      <c r="O17" s="56" t="str">
        <f>IF(COUNTIFS('LANÇAMENTOS DIÁRIOS'!$G$5:$G$500,"H",'LANÇAMENTOS DIÁRIOS'!$C$5:$C$500,$A17,'LANÇAMENTOS DIÁRIOS'!$O$5:$O$500,"&lt;=125799",'LANÇAMENTOS DIÁRIOS'!$P$5:$P$500,"&gt;=125700")&gt;0,"X","")</f>
      </c>
      <c r="P17" s="56" t="str">
        <f>IF(COUNTIFS('LANÇAMENTOS DIÁRIOS'!$G$5:$G$500,"H",'LANÇAMENTOS DIÁRIOS'!$C$5:$C$500,$A17,'LANÇAMENTOS DIÁRIOS'!$O$5:$O$500,"&lt;=125899",'LANÇAMENTOS DIÁRIOS'!$P$5:$P$500,"&gt;=125800")&gt;0,"X","")</f>
      </c>
      <c r="Q17" s="56" t="str">
        <f>IF(COUNTIFS('LANÇAMENTOS DIÁRIOS'!$G$5:$G$500,"H",'LANÇAMENTOS DIÁRIOS'!$C$5:$C$500,$A17,'LANÇAMENTOS DIÁRIOS'!$O$5:$O$500,"&lt;=125999",'LANÇAMENTOS DIÁRIOS'!$P$5:$P$500,"&gt;=125900")&gt;0,"X","")</f>
      </c>
      <c r="R17" s="56" t="str">
        <f>IF(COUNTIFS('LANÇAMENTOS DIÁRIOS'!$G$5:$G$500,"H",'LANÇAMENTOS DIÁRIOS'!$C$5:$C$500,$A17,'LANÇAMENTOS DIÁRIOS'!$O$5:$O$500,"&lt;=126099",'LANÇAMENTOS DIÁRIOS'!$P$5:$P$500,"&gt;=126000")&gt;0,"X","")</f>
      </c>
      <c r="S17" s="56" t="str">
        <f>IF(COUNTIFS('LANÇAMENTOS DIÁRIOS'!$G$5:$G$500,"H",'LANÇAMENTOS DIÁRIOS'!$C$5:$C$500,$A17,'LANÇAMENTOS DIÁRIOS'!$O$5:$O$500,"&lt;=126199",'LANÇAMENTOS DIÁRIOS'!$P$5:$P$500,"&gt;=126100")&gt;0,"X","")</f>
      </c>
      <c r="T17" s="56" t="str">
        <f>IF(COUNTIFS('LANÇAMENTOS DIÁRIOS'!$G$5:$G$500,"H",'LANÇAMENTOS DIÁRIOS'!$C$5:$C$500,$A17,'LANÇAMENTOS DIÁRIOS'!$O$5:$O$500,"&lt;=126299",'LANÇAMENTOS DIÁRIOS'!$P$5:$P$500,"&gt;=126200")&gt;0,"X","")</f>
      </c>
      <c r="U17" s="56" t="str">
        <f>IF(COUNTIFS('LANÇAMENTOS DIÁRIOS'!$G$5:$G$500,"H",'LANÇAMENTOS DIÁRIOS'!$C$5:$C$500,$A17,'LANÇAMENTOS DIÁRIOS'!$O$5:$O$500,"&lt;=126399",'LANÇAMENTOS DIÁRIOS'!$P$5:$P$500,"&gt;=126300")&gt;0,"X","")</f>
      </c>
      <c r="V17" s="56" t="str">
        <f>IF(COUNTIFS('LANÇAMENTOS DIÁRIOS'!$G$5:$G$500,"H",'LANÇAMENTOS DIÁRIOS'!$C$5:$C$500,$A17,'LANÇAMENTOS DIÁRIOS'!$O$5:$O$500,"&lt;=126499",'LANÇAMENTOS DIÁRIOS'!$P$5:$P$500,"&gt;=126400")&gt;0,"X","")</f>
      </c>
      <c r="W17" s="56" t="str">
        <f>IF(COUNTIFS('LANÇAMENTOS DIÁRIOS'!$G$5:$G$500,"H",'LANÇAMENTOS DIÁRIOS'!$C$5:$C$500,$A17,'LANÇAMENTOS DIÁRIOS'!$O$5:$O$500,"&lt;=126599",'LANÇAMENTOS DIÁRIOS'!$P$5:$P$500,"&gt;=126500")&gt;0,"X","")</f>
      </c>
      <c r="X17" s="56" t="str">
        <f>IF(COUNTIFS('LANÇAMENTOS DIÁRIOS'!$G$5:$G$500,"H",'LANÇAMENTOS DIÁRIOS'!$C$5:$C$500,$A17,'LANÇAMENTOS DIÁRIOS'!$O$5:$O$500,"&lt;=126699",'LANÇAMENTOS DIÁRIOS'!$P$5:$P$500,"&gt;=126600")&gt;0,"X","")</f>
      </c>
      <c r="Y17" s="56" t="str">
        <f>IF(COUNTIFS('LANÇAMENTOS DIÁRIOS'!$G$5:$G$500,"H",'LANÇAMENTOS DIÁRIOS'!$C$5:$C$500,$A17,'LANÇAMENTOS DIÁRIOS'!$O$5:$O$500,"&lt;=126799",'LANÇAMENTOS DIÁRIOS'!$P$5:$P$500,"&gt;=126700")&gt;0,"X","")</f>
      </c>
      <c r="Z17" s="56" t="str">
        <f>IF(COUNTIFS('LANÇAMENTOS DIÁRIOS'!$G$5:$G$500,"H",'LANÇAMENTOS DIÁRIOS'!$C$5:$C$500,$A17,'LANÇAMENTOS DIÁRIOS'!$O$5:$O$500,"&lt;=126899",'LANÇAMENTOS DIÁRIOS'!$P$5:$P$500,"&gt;=126800")&gt;0,"X","")</f>
      </c>
      <c r="AA17" s="56" t="str">
        <f>IF(COUNTIFS('LANÇAMENTOS DIÁRIOS'!$G$5:$G$500,"H",'LANÇAMENTOS DIÁRIOS'!$C$5:$C$500,$A17,'LANÇAMENTOS DIÁRIOS'!$O$5:$O$500,"&lt;=126999",'LANÇAMENTOS DIÁRIOS'!$P$5:$P$500,"&gt;=126900")&gt;0,"X","")</f>
      </c>
      <c r="AB17" s="56" t="str">
        <f>IF(COUNTIFS('LANÇAMENTOS DIÁRIOS'!$G$5:$G$500,"H",'LANÇAMENTOS DIÁRIOS'!$C$5:$C$500,$A17,'LANÇAMENTOS DIÁRIOS'!$O$5:$O$500,"&lt;=127099",'LANÇAMENTOS DIÁRIOS'!$P$5:$P$500,"&gt;=127000")&gt;0,"X","")</f>
      </c>
      <c r="AC17" s="56" t="str">
        <f>IF(COUNTIFS('LANÇAMENTOS DIÁRIOS'!$G$5:$G$500,"H",'LANÇAMENTOS DIÁRIOS'!$C$5:$C$500,$A17,'LANÇAMENTOS DIÁRIOS'!$O$5:$O$500,"&lt;=127199",'LANÇAMENTOS DIÁRIOS'!$P$5:$P$500,"&gt;=127100")&gt;0,"X","")</f>
      </c>
      <c r="AD17" s="56" t="str">
        <f>IF(COUNTIFS('LANÇAMENTOS DIÁRIOS'!$G$5:$G$500,"H",'LANÇAMENTOS DIÁRIOS'!$C$5:$C$500,$A17,'LANÇAMENTOS DIÁRIOS'!$O$5:$O$500,"&lt;=127299",'LANÇAMENTOS DIÁRIOS'!$P$5:$P$500,"&gt;=127200")&gt;0,"X","")</f>
      </c>
      <c r="AE17" s="56" t="str">
        <f>IF(COUNTIFS('LANÇAMENTOS DIÁRIOS'!$G$5:$G$500,"H",'LANÇAMENTOS DIÁRIOS'!$C$5:$C$500,$A17,'LANÇAMENTOS DIÁRIOS'!$O$5:$O$500,"&lt;=127399",'LANÇAMENTOS DIÁRIOS'!$P$5:$P$500,"&gt;=127300")&gt;0,"X","")</f>
      </c>
      <c r="AF17" s="56" t="str">
        <f>IF(COUNTIFS('LANÇAMENTOS DIÁRIOS'!$G$5:$G$500,"H",'LANÇAMENTOS DIÁRIOS'!$C$5:$C$500,$A17,'LANÇAMENTOS DIÁRIOS'!$O$5:$O$500,"&lt;=127499",'LANÇAMENTOS DIÁRIOS'!$P$5:$P$500,"&gt;=127400")&gt;0,"X","")</f>
      </c>
      <c r="AG17" s="56" t="str">
        <f>IF(COUNTIFS('LANÇAMENTOS DIÁRIOS'!$G$5:$G$500,"H",'LANÇAMENTOS DIÁRIOS'!$C$5:$C$500,$A17,'LANÇAMENTOS DIÁRIOS'!$O$5:$O$500,"&lt;=127599",'LANÇAMENTOS DIÁRIOS'!$P$5:$P$500,"&gt;=127500")&gt;0,"X","")</f>
      </c>
      <c r="AH17" s="56" t="str">
        <f>IF(COUNTIFS('LANÇAMENTOS DIÁRIOS'!$G$5:$G$500,"H",'LANÇAMENTOS DIÁRIOS'!$C$5:$C$500,$A17,'LANÇAMENTOS DIÁRIOS'!$O$5:$O$500,"&lt;=127699",'LANÇAMENTOS DIÁRIOS'!$P$5:$P$500,"&gt;=127600")&gt;0,"X","")</f>
      </c>
      <c r="AI17" s="56" t="str">
        <f>IF(COUNTIFS('LANÇAMENTOS DIÁRIOS'!$G$5:$G$500,"H",'LANÇAMENTOS DIÁRIOS'!$C$5:$C$500,$A17,'LANÇAMENTOS DIÁRIOS'!$O$5:$O$500,"&lt;=127799",'LANÇAMENTOS DIÁRIOS'!$P$5:$P$500,"&gt;=127700")&gt;0,"X","")</f>
      </c>
      <c r="AJ17" s="56" t="str">
        <f>IF(COUNTIFS('LANÇAMENTOS DIÁRIOS'!$G$5:$G$500,"H",'LANÇAMENTOS DIÁRIOS'!$C$5:$C$500,$A17,'LANÇAMENTOS DIÁRIOS'!$O$5:$O$500,"&lt;=127899",'LANÇAMENTOS DIÁRIOS'!$P$5:$P$500,"&gt;=127800")&gt;0,"X","")</f>
      </c>
      <c r="AK17" s="56" t="str">
        <f>IF(COUNTIFS('LANÇAMENTOS DIÁRIOS'!$G$5:$G$500,"H",'LANÇAMENTOS DIÁRIOS'!$C$5:$C$500,$A17,'LANÇAMENTOS DIÁRIOS'!$O$5:$O$500,"&lt;=127999",'LANÇAMENTOS DIÁRIOS'!$P$5:$P$500,"&gt;=127900")&gt;0,"X","")</f>
      </c>
      <c r="AL17" s="56" t="str">
        <f>IF(COUNTIFS('LANÇAMENTOS DIÁRIOS'!$G$5:$G$500,"H",'LANÇAMENTOS DIÁRIOS'!$C$5:$C$500,$A17,'LANÇAMENTOS DIÁRIOS'!$O$5:$O$500,"&lt;=128099",'LANÇAMENTOS DIÁRIOS'!$P$5:$P$500,"&gt;=128000")&gt;0,"X","")</f>
      </c>
      <c r="AM17" s="56" t="str">
        <f>IF(COUNTIFS('LANÇAMENTOS DIÁRIOS'!$G$5:$G$500,"H",'LANÇAMENTOS DIÁRIOS'!$C$5:$C$500,$A17,'LANÇAMENTOS DIÁRIOS'!$O$5:$O$500,"&lt;=128199",'LANÇAMENTOS DIÁRIOS'!$P$5:$P$500,"&gt;=128100")&gt;0,"X","")</f>
      </c>
      <c r="AN17" s="56" t="str">
        <f>IF(COUNTIFS('LANÇAMENTOS DIÁRIOS'!$G$5:$G$500,"H",'LANÇAMENTOS DIÁRIOS'!$C$5:$C$500,$A17,'LANÇAMENTOS DIÁRIOS'!$O$5:$O$500,"&lt;=128299",'LANÇAMENTOS DIÁRIOS'!$P$5:$P$500,"&gt;=128200")&gt;0,"X","")</f>
      </c>
      <c r="AO17" s="56" t="str">
        <f>IF(COUNTIFS('LANÇAMENTOS DIÁRIOS'!$G$5:$G$500,"H",'LANÇAMENTOS DIÁRIOS'!$C$5:$C$500,$A17,'LANÇAMENTOS DIÁRIOS'!$O$5:$O$500,"&lt;=128399",'LANÇAMENTOS DIÁRIOS'!$P$5:$P$500,"&gt;=128300")&gt;0,"X","")</f>
      </c>
      <c r="AP17" s="56" t="str">
        <f>IF(COUNTIFS('LANÇAMENTOS DIÁRIOS'!$G$5:$G$500,"H",'LANÇAMENTOS DIÁRIOS'!$C$5:$C$500,$A17,'LANÇAMENTOS DIÁRIOS'!$O$5:$O$500,"&lt;=128499",'LANÇAMENTOS DIÁRIOS'!$P$5:$P$500,"&gt;=128400")&gt;0,"X","")</f>
      </c>
      <c r="AQ17" s="56" t="str">
        <f>IF(COUNTIFS('LANÇAMENTOS DIÁRIOS'!$G$5:$G$500,"H",'LANÇAMENTOS DIÁRIOS'!$C$5:$C$500,$A17,'LANÇAMENTOS DIÁRIOS'!$O$5:$O$500,"&lt;=128599",'LANÇAMENTOS DIÁRIOS'!$P$5:$P$500,"&gt;=128500")&gt;0,"X","")</f>
      </c>
      <c r="AR17" s="56" t="str">
        <f>IF(COUNTIFS('LANÇAMENTOS DIÁRIOS'!$G$5:$G$500,"H",'LANÇAMENTOS DIÁRIOS'!$C$5:$C$500,$A17,'LANÇAMENTOS DIÁRIOS'!$O$5:$O$500,"&lt;=128699",'LANÇAMENTOS DIÁRIOS'!$P$5:$P$500,"&gt;=128600")&gt;0,"X","")</f>
      </c>
      <c r="AS17" s="56" t="str">
        <f>IF(COUNTIFS('LANÇAMENTOS DIÁRIOS'!$G$5:$G$500,"H",'LANÇAMENTOS DIÁRIOS'!$C$5:$C$500,$A17,'LANÇAMENTOS DIÁRIOS'!$O$5:$O$500,"&lt;=128799",'LANÇAMENTOS DIÁRIOS'!$P$5:$P$500,"&gt;=128700")&gt;0,"X","")</f>
      </c>
      <c r="AT17" s="56" t="str">
        <f>IF(COUNTIFS('LANÇAMENTOS DIÁRIOS'!$G$5:$G$500,"H",'LANÇAMENTOS DIÁRIOS'!$C$5:$C$500,$A17,'LANÇAMENTOS DIÁRIOS'!$O$5:$O$500,"&lt;=128899",'LANÇAMENTOS DIÁRIOS'!$P$5:$P$500,"&gt;=128800")&gt;0,"X","")</f>
      </c>
      <c r="AU17" s="56" t="str">
        <f>IF(COUNTIFS('LANÇAMENTOS DIÁRIOS'!$G$5:$G$500,"H",'LANÇAMENTOS DIÁRIOS'!$C$5:$C$500,$A17,'LANÇAMENTOS DIÁRIOS'!$O$5:$O$500,"&lt;=128999",'LANÇAMENTOS DIÁRIOS'!$P$5:$P$500,"&gt;=128900")&gt;0,"X","")</f>
      </c>
      <c r="AV17" s="56" t="str">
        <f>IF(COUNTIFS('LANÇAMENTOS DIÁRIOS'!$G$5:$G$500,"H",'LANÇAMENTOS DIÁRIOS'!$C$5:$C$500,$A17,'LANÇAMENTOS DIÁRIOS'!$O$5:$O$500,"&lt;=129099",'LANÇAMENTOS DIÁRIOS'!$P$5:$P$500,"&gt;=129000")&gt;0,"X","")</f>
      </c>
      <c r="AW17" s="56" t="str">
        <f>IF(COUNTIFS('LANÇAMENTOS DIÁRIOS'!$G$5:$G$500,"H",'LANÇAMENTOS DIÁRIOS'!$C$5:$C$500,$A17,'LANÇAMENTOS DIÁRIOS'!$O$5:$O$500,"&lt;=129199",'LANÇAMENTOS DIÁRIOS'!$P$5:$P$500,"&gt;=129100")&gt;0,"X","")</f>
      </c>
      <c r="AX17" s="56" t="str">
        <f>IF(COUNTIFS('LANÇAMENTOS DIÁRIOS'!$G$5:$G$500,"H",'LANÇAMENTOS DIÁRIOS'!$C$5:$C$500,$A17,'LANÇAMENTOS DIÁRIOS'!$O$5:$O$500,"&lt;=129299",'LANÇAMENTOS DIÁRIOS'!$P$5:$P$500,"&gt;=129200")&gt;0,"X","")</f>
      </c>
      <c r="AY17" s="56" t="str">
        <f>IF(COUNTIFS('LANÇAMENTOS DIÁRIOS'!$G$5:$G$500,"H",'LANÇAMENTOS DIÁRIOS'!$C$5:$C$500,$A17,'LANÇAMENTOS DIÁRIOS'!$O$5:$O$500,"&lt;=129399",'LANÇAMENTOS DIÁRIOS'!$P$5:$P$500,"&gt;=129300")&gt;0,"X","")</f>
      </c>
      <c r="AZ17" s="56" t="str">
        <f>IF(COUNTIFS('LANÇAMENTOS DIÁRIOS'!$G$5:$G$500,"H",'LANÇAMENTOS DIÁRIOS'!$C$5:$C$500,$A17,'LANÇAMENTOS DIÁRIOS'!$O$5:$O$500,"&lt;=129400",'LANÇAMENTOS DIÁRIOS'!$P$5:$P$500,"&gt;=129400")&gt;0,"X","")</f>
      </c>
    </row>
    <row r="18" ht="19" customHeight="1">
      <c r="A18" s="68" t="str">
        <v>Acondicionamento da faixa de domínio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</row>
    <row r="19">
      <c r="A19" s="51" t="str">
        <v>Remanejamento de placa de sinalização instalada no solo, suporte de madeira</v>
      </c>
      <c r="B19" s="56" t="str">
        <f>IF(COUNTIFS('LANÇAMENTOS DIÁRIOS'!$G$5:$G$500,"H",'LANÇAMENTOS DIÁRIOS'!$C$5:$C$500,$A19,'LANÇAMENTOS DIÁRIOS'!$O$5:$O$500,"&lt;=124499",'LANÇAMENTOS DIÁRIOS'!$P$5:$P$500,"&gt;=124400")&gt;0,"X","")</f>
      </c>
      <c r="C19" s="56" t="str">
        <f>IF(COUNTIFS('LANÇAMENTOS DIÁRIOS'!$G$5:$G$500,"H",'LANÇAMENTOS DIÁRIOS'!$C$5:$C$500,$A19,'LANÇAMENTOS DIÁRIOS'!$O$5:$O$500,"&lt;=124599",'LANÇAMENTOS DIÁRIOS'!$P$5:$P$500,"&gt;=124500")&gt;0,"X","")</f>
      </c>
      <c r="D19" s="56" t="str">
        <f>IF(COUNTIFS('LANÇAMENTOS DIÁRIOS'!$G$5:$G$500,"H",'LANÇAMENTOS DIÁRIOS'!$C$5:$C$500,$A19,'LANÇAMENTOS DIÁRIOS'!$O$5:$O$500,"&lt;=124699",'LANÇAMENTOS DIÁRIOS'!$P$5:$P$500,"&gt;=124600")&gt;0,"X","")</f>
      </c>
      <c r="E19" s="56" t="str">
        <f>IF(COUNTIFS('LANÇAMENTOS DIÁRIOS'!$G$5:$G$500,"H",'LANÇAMENTOS DIÁRIOS'!$C$5:$C$500,$A19,'LANÇAMENTOS DIÁRIOS'!$O$5:$O$500,"&lt;=124799",'LANÇAMENTOS DIÁRIOS'!$P$5:$P$500,"&gt;=124700")&gt;0,"X","")</f>
      </c>
      <c r="F19" s="56" t="str">
        <f>IF(COUNTIFS('LANÇAMENTOS DIÁRIOS'!$G$5:$G$500,"H",'LANÇAMENTOS DIÁRIOS'!$C$5:$C$500,$A19,'LANÇAMENTOS DIÁRIOS'!$O$5:$O$500,"&lt;=124899",'LANÇAMENTOS DIÁRIOS'!$P$5:$P$500,"&gt;=124800")&gt;0,"X","")</f>
      </c>
      <c r="G19" s="56" t="str">
        <f>IF(COUNTIFS('LANÇAMENTOS DIÁRIOS'!$G$5:$G$500,"H",'LANÇAMENTOS DIÁRIOS'!$C$5:$C$500,$A19,'LANÇAMENTOS DIÁRIOS'!$O$5:$O$500,"&lt;=124999",'LANÇAMENTOS DIÁRIOS'!$P$5:$P$500,"&gt;=124900")&gt;0,"X","")</f>
      </c>
      <c r="H19" s="56" t="str">
        <f>IF(COUNTIFS('LANÇAMENTOS DIÁRIOS'!$G$5:$G$500,"H",'LANÇAMENTOS DIÁRIOS'!$C$5:$C$500,$A19,'LANÇAMENTOS DIÁRIOS'!$O$5:$O$500,"&lt;=125099",'LANÇAMENTOS DIÁRIOS'!$P$5:$P$500,"&gt;=125000")&gt;0,"X","")</f>
      </c>
      <c r="I19" s="56" t="str">
        <f>IF(COUNTIFS('LANÇAMENTOS DIÁRIOS'!$G$5:$G$500,"H",'LANÇAMENTOS DIÁRIOS'!$C$5:$C$500,$A19,'LANÇAMENTOS DIÁRIOS'!$O$5:$O$500,"&lt;=125199",'LANÇAMENTOS DIÁRIOS'!$P$5:$P$500,"&gt;=125100")&gt;0,"X","")</f>
      </c>
      <c r="J19" s="56" t="str">
        <f>IF(COUNTIFS('LANÇAMENTOS DIÁRIOS'!$G$5:$G$500,"H",'LANÇAMENTOS DIÁRIOS'!$C$5:$C$500,$A19,'LANÇAMENTOS DIÁRIOS'!$O$5:$O$500,"&lt;=125299",'LANÇAMENTOS DIÁRIOS'!$P$5:$P$500,"&gt;=125200")&gt;0,"X","")</f>
      </c>
      <c r="K19" s="56" t="str">
        <f>IF(COUNTIFS('LANÇAMENTOS DIÁRIOS'!$G$5:$G$500,"H",'LANÇAMENTOS DIÁRIOS'!$C$5:$C$500,$A19,'LANÇAMENTOS DIÁRIOS'!$O$5:$O$500,"&lt;=125399",'LANÇAMENTOS DIÁRIOS'!$P$5:$P$500,"&gt;=125300")&gt;0,"X","")</f>
      </c>
      <c r="L19" s="56" t="str">
        <f>IF(COUNTIFS('LANÇAMENTOS DIÁRIOS'!$G$5:$G$500,"H",'LANÇAMENTOS DIÁRIOS'!$C$5:$C$500,$A19,'LANÇAMENTOS DIÁRIOS'!$O$5:$O$500,"&lt;=125499",'LANÇAMENTOS DIÁRIOS'!$P$5:$P$500,"&gt;=125400")&gt;0,"X","")</f>
      </c>
      <c r="M19" s="56" t="str">
        <f>IF(COUNTIFS('LANÇAMENTOS DIÁRIOS'!$G$5:$G$500,"H",'LANÇAMENTOS DIÁRIOS'!$C$5:$C$500,$A19,'LANÇAMENTOS DIÁRIOS'!$O$5:$O$500,"&lt;=125599",'LANÇAMENTOS DIÁRIOS'!$P$5:$P$500,"&gt;=125500")&gt;0,"X","")</f>
      </c>
      <c r="N19" s="56" t="str">
        <f>IF(COUNTIFS('LANÇAMENTOS DIÁRIOS'!$G$5:$G$500,"H",'LANÇAMENTOS DIÁRIOS'!$C$5:$C$500,$A19,'LANÇAMENTOS DIÁRIOS'!$O$5:$O$500,"&lt;=125699",'LANÇAMENTOS DIÁRIOS'!$P$5:$P$500,"&gt;=125600")&gt;0,"X","")</f>
      </c>
      <c r="O19" s="56" t="str">
        <f>IF(COUNTIFS('LANÇAMENTOS DIÁRIOS'!$G$5:$G$500,"H",'LANÇAMENTOS DIÁRIOS'!$C$5:$C$500,$A19,'LANÇAMENTOS DIÁRIOS'!$O$5:$O$500,"&lt;=125799",'LANÇAMENTOS DIÁRIOS'!$P$5:$P$500,"&gt;=125700")&gt;0,"X","")</f>
      </c>
      <c r="P19" s="56" t="str">
        <f>IF(COUNTIFS('LANÇAMENTOS DIÁRIOS'!$G$5:$G$500,"H",'LANÇAMENTOS DIÁRIOS'!$C$5:$C$500,$A19,'LANÇAMENTOS DIÁRIOS'!$O$5:$O$500,"&lt;=125899",'LANÇAMENTOS DIÁRIOS'!$P$5:$P$500,"&gt;=125800")&gt;0,"X","")</f>
      </c>
      <c r="Q19" s="56" t="str">
        <f>IF(COUNTIFS('LANÇAMENTOS DIÁRIOS'!$G$5:$G$500,"H",'LANÇAMENTOS DIÁRIOS'!$C$5:$C$500,$A19,'LANÇAMENTOS DIÁRIOS'!$O$5:$O$500,"&lt;=125999",'LANÇAMENTOS DIÁRIOS'!$P$5:$P$500,"&gt;=125900")&gt;0,"X","")</f>
      </c>
      <c r="R19" s="56" t="str">
        <f>IF(COUNTIFS('LANÇAMENTOS DIÁRIOS'!$G$5:$G$500,"H",'LANÇAMENTOS DIÁRIOS'!$C$5:$C$500,$A19,'LANÇAMENTOS DIÁRIOS'!$O$5:$O$500,"&lt;=126099",'LANÇAMENTOS DIÁRIOS'!$P$5:$P$500,"&gt;=126000")&gt;0,"X","")</f>
      </c>
      <c r="S19" s="56" t="str">
        <f>IF(COUNTIFS('LANÇAMENTOS DIÁRIOS'!$G$5:$G$500,"H",'LANÇAMENTOS DIÁRIOS'!$C$5:$C$500,$A19,'LANÇAMENTOS DIÁRIOS'!$O$5:$O$500,"&lt;=126199",'LANÇAMENTOS DIÁRIOS'!$P$5:$P$500,"&gt;=126100")&gt;0,"X","")</f>
      </c>
      <c r="T19" s="56" t="str">
        <f>IF(COUNTIFS('LANÇAMENTOS DIÁRIOS'!$G$5:$G$500,"H",'LANÇAMENTOS DIÁRIOS'!$C$5:$C$500,$A19,'LANÇAMENTOS DIÁRIOS'!$O$5:$O$500,"&lt;=126299",'LANÇAMENTOS DIÁRIOS'!$P$5:$P$500,"&gt;=126200")&gt;0,"X","")</f>
      </c>
      <c r="U19" s="56" t="str">
        <f>IF(COUNTIFS('LANÇAMENTOS DIÁRIOS'!$G$5:$G$500,"H",'LANÇAMENTOS DIÁRIOS'!$C$5:$C$500,$A19,'LANÇAMENTOS DIÁRIOS'!$O$5:$O$500,"&lt;=126399",'LANÇAMENTOS DIÁRIOS'!$P$5:$P$500,"&gt;=126300")&gt;0,"X","")</f>
      </c>
      <c r="V19" s="56" t="str">
        <f>IF(COUNTIFS('LANÇAMENTOS DIÁRIOS'!$G$5:$G$500,"H",'LANÇAMENTOS DIÁRIOS'!$C$5:$C$500,$A19,'LANÇAMENTOS DIÁRIOS'!$O$5:$O$500,"&lt;=126499",'LANÇAMENTOS DIÁRIOS'!$P$5:$P$500,"&gt;=126400")&gt;0,"X","")</f>
      </c>
      <c r="W19" s="56" t="str">
        <f>IF(COUNTIFS('LANÇAMENTOS DIÁRIOS'!$G$5:$G$500,"H",'LANÇAMENTOS DIÁRIOS'!$C$5:$C$500,$A19,'LANÇAMENTOS DIÁRIOS'!$O$5:$O$500,"&lt;=126599",'LANÇAMENTOS DIÁRIOS'!$P$5:$P$500,"&gt;=126500")&gt;0,"X","")</f>
      </c>
      <c r="X19" s="56" t="str">
        <f>IF(COUNTIFS('LANÇAMENTOS DIÁRIOS'!$G$5:$G$500,"H",'LANÇAMENTOS DIÁRIOS'!$C$5:$C$500,$A19,'LANÇAMENTOS DIÁRIOS'!$O$5:$O$500,"&lt;=126699",'LANÇAMENTOS DIÁRIOS'!$P$5:$P$500,"&gt;=126600")&gt;0,"X","")</f>
      </c>
      <c r="Y19" s="56" t="str">
        <f>IF(COUNTIFS('LANÇAMENTOS DIÁRIOS'!$G$5:$G$500,"H",'LANÇAMENTOS DIÁRIOS'!$C$5:$C$500,$A19,'LANÇAMENTOS DIÁRIOS'!$O$5:$O$500,"&lt;=126799",'LANÇAMENTOS DIÁRIOS'!$P$5:$P$500,"&gt;=126700")&gt;0,"X","")</f>
      </c>
      <c r="Z19" s="56" t="str">
        <f>IF(COUNTIFS('LANÇAMENTOS DIÁRIOS'!$G$5:$G$500,"H",'LANÇAMENTOS DIÁRIOS'!$C$5:$C$500,$A19,'LANÇAMENTOS DIÁRIOS'!$O$5:$O$500,"&lt;=126899",'LANÇAMENTOS DIÁRIOS'!$P$5:$P$500,"&gt;=126800")&gt;0,"X","")</f>
      </c>
      <c r="AA19" s="56" t="str">
        <f>IF(COUNTIFS('LANÇAMENTOS DIÁRIOS'!$G$5:$G$500,"H",'LANÇAMENTOS DIÁRIOS'!$C$5:$C$500,$A19,'LANÇAMENTOS DIÁRIOS'!$O$5:$O$500,"&lt;=126999",'LANÇAMENTOS DIÁRIOS'!$P$5:$P$500,"&gt;=126900")&gt;0,"X","")</f>
      </c>
      <c r="AB19" s="56" t="str">
        <f>IF(COUNTIFS('LANÇAMENTOS DIÁRIOS'!$G$5:$G$500,"H",'LANÇAMENTOS DIÁRIOS'!$C$5:$C$500,$A19,'LANÇAMENTOS DIÁRIOS'!$O$5:$O$500,"&lt;=127099",'LANÇAMENTOS DIÁRIOS'!$P$5:$P$500,"&gt;=127000")&gt;0,"X","")</f>
      </c>
      <c r="AC19" s="56" t="str">
        <f>IF(COUNTIFS('LANÇAMENTOS DIÁRIOS'!$G$5:$G$500,"H",'LANÇAMENTOS DIÁRIOS'!$C$5:$C$500,$A19,'LANÇAMENTOS DIÁRIOS'!$O$5:$O$500,"&lt;=127199",'LANÇAMENTOS DIÁRIOS'!$P$5:$P$500,"&gt;=127100")&gt;0,"X","")</f>
      </c>
      <c r="AD19" s="56" t="str">
        <f>IF(COUNTIFS('LANÇAMENTOS DIÁRIOS'!$G$5:$G$500,"H",'LANÇAMENTOS DIÁRIOS'!$C$5:$C$500,$A19,'LANÇAMENTOS DIÁRIOS'!$O$5:$O$500,"&lt;=127299",'LANÇAMENTOS DIÁRIOS'!$P$5:$P$500,"&gt;=127200")&gt;0,"X","")</f>
      </c>
      <c r="AE19" s="56" t="str">
        <f>IF(COUNTIFS('LANÇAMENTOS DIÁRIOS'!$G$5:$G$500,"H",'LANÇAMENTOS DIÁRIOS'!$C$5:$C$500,$A19,'LANÇAMENTOS DIÁRIOS'!$O$5:$O$500,"&lt;=127399",'LANÇAMENTOS DIÁRIOS'!$P$5:$P$500,"&gt;=127300")&gt;0,"X","")</f>
      </c>
      <c r="AF19" s="56" t="str">
        <f>IF(COUNTIFS('LANÇAMENTOS DIÁRIOS'!$G$5:$G$500,"H",'LANÇAMENTOS DIÁRIOS'!$C$5:$C$500,$A19,'LANÇAMENTOS DIÁRIOS'!$O$5:$O$500,"&lt;=127499",'LANÇAMENTOS DIÁRIOS'!$P$5:$P$500,"&gt;=127400")&gt;0,"X","")</f>
      </c>
      <c r="AG19" s="56" t="str">
        <f>IF(COUNTIFS('LANÇAMENTOS DIÁRIOS'!$G$5:$G$500,"H",'LANÇAMENTOS DIÁRIOS'!$C$5:$C$500,$A19,'LANÇAMENTOS DIÁRIOS'!$O$5:$O$500,"&lt;=127599",'LANÇAMENTOS DIÁRIOS'!$P$5:$P$500,"&gt;=127500")&gt;0,"X","")</f>
      </c>
      <c r="AH19" s="56" t="str">
        <f>IF(COUNTIFS('LANÇAMENTOS DIÁRIOS'!$G$5:$G$500,"H",'LANÇAMENTOS DIÁRIOS'!$C$5:$C$500,$A19,'LANÇAMENTOS DIÁRIOS'!$O$5:$O$500,"&lt;=127699",'LANÇAMENTOS DIÁRIOS'!$P$5:$P$500,"&gt;=127600")&gt;0,"X","")</f>
      </c>
      <c r="AI19" s="56" t="str">
        <f>IF(COUNTIFS('LANÇAMENTOS DIÁRIOS'!$G$5:$G$500,"H",'LANÇAMENTOS DIÁRIOS'!$C$5:$C$500,$A19,'LANÇAMENTOS DIÁRIOS'!$O$5:$O$500,"&lt;=127799",'LANÇAMENTOS DIÁRIOS'!$P$5:$P$500,"&gt;=127700")&gt;0,"X","")</f>
      </c>
      <c r="AJ19" s="56" t="str">
        <f>IF(COUNTIFS('LANÇAMENTOS DIÁRIOS'!$G$5:$G$500,"H",'LANÇAMENTOS DIÁRIOS'!$C$5:$C$500,$A19,'LANÇAMENTOS DIÁRIOS'!$O$5:$O$500,"&lt;=127899",'LANÇAMENTOS DIÁRIOS'!$P$5:$P$500,"&gt;=127800")&gt;0,"X","")</f>
      </c>
      <c r="AK19" s="56" t="str">
        <f>IF(COUNTIFS('LANÇAMENTOS DIÁRIOS'!$G$5:$G$500,"H",'LANÇAMENTOS DIÁRIOS'!$C$5:$C$500,$A19,'LANÇAMENTOS DIÁRIOS'!$O$5:$O$500,"&lt;=127999",'LANÇAMENTOS DIÁRIOS'!$P$5:$P$500,"&gt;=127900")&gt;0,"X","")</f>
      </c>
      <c r="AL19" s="56" t="str">
        <f>IF(COUNTIFS('LANÇAMENTOS DIÁRIOS'!$G$5:$G$500,"H",'LANÇAMENTOS DIÁRIOS'!$C$5:$C$500,$A19,'LANÇAMENTOS DIÁRIOS'!$O$5:$O$500,"&lt;=128099",'LANÇAMENTOS DIÁRIOS'!$P$5:$P$500,"&gt;=128000")&gt;0,"X","")</f>
      </c>
      <c r="AM19" s="56" t="str">
        <f>IF(COUNTIFS('LANÇAMENTOS DIÁRIOS'!$G$5:$G$500,"H",'LANÇAMENTOS DIÁRIOS'!$C$5:$C$500,$A19,'LANÇAMENTOS DIÁRIOS'!$O$5:$O$500,"&lt;=128199",'LANÇAMENTOS DIÁRIOS'!$P$5:$P$500,"&gt;=128100")&gt;0,"X","")</f>
      </c>
      <c r="AN19" s="56" t="str">
        <f>IF(COUNTIFS('LANÇAMENTOS DIÁRIOS'!$G$5:$G$500,"H",'LANÇAMENTOS DIÁRIOS'!$C$5:$C$500,$A19,'LANÇAMENTOS DIÁRIOS'!$O$5:$O$500,"&lt;=128299",'LANÇAMENTOS DIÁRIOS'!$P$5:$P$500,"&gt;=128200")&gt;0,"X","")</f>
      </c>
      <c r="AO19" s="56" t="str">
        <f>IF(COUNTIFS('LANÇAMENTOS DIÁRIOS'!$G$5:$G$500,"H",'LANÇAMENTOS DIÁRIOS'!$C$5:$C$500,$A19,'LANÇAMENTOS DIÁRIOS'!$O$5:$O$500,"&lt;=128399",'LANÇAMENTOS DIÁRIOS'!$P$5:$P$500,"&gt;=128300")&gt;0,"X","")</f>
      </c>
      <c r="AP19" s="56" t="str">
        <f>IF(COUNTIFS('LANÇAMENTOS DIÁRIOS'!$G$5:$G$500,"H",'LANÇAMENTOS DIÁRIOS'!$C$5:$C$500,$A19,'LANÇAMENTOS DIÁRIOS'!$O$5:$O$500,"&lt;=128499",'LANÇAMENTOS DIÁRIOS'!$P$5:$P$500,"&gt;=128400")&gt;0,"X","")</f>
      </c>
      <c r="AQ19" s="56" t="str">
        <f>IF(COUNTIFS('LANÇAMENTOS DIÁRIOS'!$G$5:$G$500,"H",'LANÇAMENTOS DIÁRIOS'!$C$5:$C$500,$A19,'LANÇAMENTOS DIÁRIOS'!$O$5:$O$500,"&lt;=128599",'LANÇAMENTOS DIÁRIOS'!$P$5:$P$500,"&gt;=128500")&gt;0,"X","")</f>
      </c>
      <c r="AR19" s="56" t="str">
        <f>IF(COUNTIFS('LANÇAMENTOS DIÁRIOS'!$G$5:$G$500,"H",'LANÇAMENTOS DIÁRIOS'!$C$5:$C$500,$A19,'LANÇAMENTOS DIÁRIOS'!$O$5:$O$500,"&lt;=128699",'LANÇAMENTOS DIÁRIOS'!$P$5:$P$500,"&gt;=128600")&gt;0,"X","")</f>
      </c>
      <c r="AS19" s="56" t="str">
        <f>IF(COUNTIFS('LANÇAMENTOS DIÁRIOS'!$G$5:$G$500,"H",'LANÇAMENTOS DIÁRIOS'!$C$5:$C$500,$A19,'LANÇAMENTOS DIÁRIOS'!$O$5:$O$500,"&lt;=128799",'LANÇAMENTOS DIÁRIOS'!$P$5:$P$500,"&gt;=128700")&gt;0,"X","")</f>
      </c>
      <c r="AT19" s="56" t="str">
        <f>IF(COUNTIFS('LANÇAMENTOS DIÁRIOS'!$G$5:$G$500,"H",'LANÇAMENTOS DIÁRIOS'!$C$5:$C$500,$A19,'LANÇAMENTOS DIÁRIOS'!$O$5:$O$500,"&lt;=128899",'LANÇAMENTOS DIÁRIOS'!$P$5:$P$500,"&gt;=128800")&gt;0,"X","")</f>
      </c>
      <c r="AU19" s="56" t="str">
        <f>IF(COUNTIFS('LANÇAMENTOS DIÁRIOS'!$G$5:$G$500,"H",'LANÇAMENTOS DIÁRIOS'!$C$5:$C$500,$A19,'LANÇAMENTOS DIÁRIOS'!$O$5:$O$500,"&lt;=128999",'LANÇAMENTOS DIÁRIOS'!$P$5:$P$500,"&gt;=128900")&gt;0,"X","")</f>
      </c>
      <c r="AV19" s="56" t="str">
        <f>IF(COUNTIFS('LANÇAMENTOS DIÁRIOS'!$G$5:$G$500,"H",'LANÇAMENTOS DIÁRIOS'!$C$5:$C$500,$A19,'LANÇAMENTOS DIÁRIOS'!$O$5:$O$500,"&lt;=129099",'LANÇAMENTOS DIÁRIOS'!$P$5:$P$500,"&gt;=129000")&gt;0,"X","")</f>
      </c>
      <c r="AW19" s="56" t="str">
        <f>IF(COUNTIFS('LANÇAMENTOS DIÁRIOS'!$G$5:$G$500,"H",'LANÇAMENTOS DIÁRIOS'!$C$5:$C$500,$A19,'LANÇAMENTOS DIÁRIOS'!$O$5:$O$500,"&lt;=129199",'LANÇAMENTOS DIÁRIOS'!$P$5:$P$500,"&gt;=129100")&gt;0,"X","")</f>
      </c>
      <c r="AX19" s="56" t="str">
        <f>IF(COUNTIFS('LANÇAMENTOS DIÁRIOS'!$G$5:$G$500,"H",'LANÇAMENTOS DIÁRIOS'!$C$5:$C$500,$A19,'LANÇAMENTOS DIÁRIOS'!$O$5:$O$500,"&lt;=129299",'LANÇAMENTOS DIÁRIOS'!$P$5:$P$500,"&gt;=129200")&gt;0,"X","")</f>
      </c>
      <c r="AY19" s="56" t="str">
        <f>IF(COUNTIFS('LANÇAMENTOS DIÁRIOS'!$G$5:$G$500,"H",'LANÇAMENTOS DIÁRIOS'!$C$5:$C$500,$A19,'LANÇAMENTOS DIÁRIOS'!$O$5:$O$500,"&lt;=129399",'LANÇAMENTOS DIÁRIOS'!$P$5:$P$500,"&gt;=129300")&gt;0,"X","")</f>
      </c>
      <c r="AZ19" s="56" t="str">
        <f>IF(COUNTIFS('LANÇAMENTOS DIÁRIOS'!$G$5:$G$500,"H",'LANÇAMENTOS DIÁRIOS'!$C$5:$C$500,$A19,'LANÇAMENTOS DIÁRIOS'!$O$5:$O$500,"&lt;=129400",'LANÇAMENTOS DIÁRIOS'!$P$5:$P$500,"&gt;=129400")&gt;0,"X","")</f>
      </c>
    </row>
    <row r="20">
      <c r="A20" s="51" t="str">
        <v>Remanejamento de semi-pórtico</v>
      </c>
      <c r="B20" s="56" t="str">
        <f>IF(COUNTIFS('LANÇAMENTOS DIÁRIOS'!$G$5:$G$500,"H",'LANÇAMENTOS DIÁRIOS'!$C$5:$C$500,$A20,'LANÇAMENTOS DIÁRIOS'!$O$5:$O$500,"&lt;=124499",'LANÇAMENTOS DIÁRIOS'!$P$5:$P$500,"&gt;=124400")&gt;0,"X","")</f>
      </c>
      <c r="C20" s="56" t="str">
        <f>IF(COUNTIFS('LANÇAMENTOS DIÁRIOS'!$G$5:$G$500,"H",'LANÇAMENTOS DIÁRIOS'!$C$5:$C$500,$A20,'LANÇAMENTOS DIÁRIOS'!$O$5:$O$500,"&lt;=124599",'LANÇAMENTOS DIÁRIOS'!$P$5:$P$500,"&gt;=124500")&gt;0,"X","")</f>
      </c>
      <c r="D20" s="56" t="str">
        <f>IF(COUNTIFS('LANÇAMENTOS DIÁRIOS'!$G$5:$G$500,"H",'LANÇAMENTOS DIÁRIOS'!$C$5:$C$500,$A20,'LANÇAMENTOS DIÁRIOS'!$O$5:$O$500,"&lt;=124699",'LANÇAMENTOS DIÁRIOS'!$P$5:$P$500,"&gt;=124600")&gt;0,"X","")</f>
      </c>
      <c r="E20" s="56" t="str">
        <f>IF(COUNTIFS('LANÇAMENTOS DIÁRIOS'!$G$5:$G$500,"H",'LANÇAMENTOS DIÁRIOS'!$C$5:$C$500,$A20,'LANÇAMENTOS DIÁRIOS'!$O$5:$O$500,"&lt;=124799",'LANÇAMENTOS DIÁRIOS'!$P$5:$P$500,"&gt;=124700")&gt;0,"X","")</f>
      </c>
      <c r="F20" s="56" t="str">
        <f>IF(COUNTIFS('LANÇAMENTOS DIÁRIOS'!$G$5:$G$500,"H",'LANÇAMENTOS DIÁRIOS'!$C$5:$C$500,$A20,'LANÇAMENTOS DIÁRIOS'!$O$5:$O$500,"&lt;=124899",'LANÇAMENTOS DIÁRIOS'!$P$5:$P$500,"&gt;=124800")&gt;0,"X","")</f>
      </c>
      <c r="G20" s="56" t="str">
        <f>IF(COUNTIFS('LANÇAMENTOS DIÁRIOS'!$G$5:$G$500,"H",'LANÇAMENTOS DIÁRIOS'!$C$5:$C$500,$A20,'LANÇAMENTOS DIÁRIOS'!$O$5:$O$500,"&lt;=124999",'LANÇAMENTOS DIÁRIOS'!$P$5:$P$500,"&gt;=124900")&gt;0,"X","")</f>
      </c>
      <c r="H20" s="56" t="str">
        <f>IF(COUNTIFS('LANÇAMENTOS DIÁRIOS'!$G$5:$G$500,"H",'LANÇAMENTOS DIÁRIOS'!$C$5:$C$500,$A20,'LANÇAMENTOS DIÁRIOS'!$O$5:$O$500,"&lt;=125099",'LANÇAMENTOS DIÁRIOS'!$P$5:$P$500,"&gt;=125000")&gt;0,"X","")</f>
      </c>
      <c r="I20" s="56" t="str">
        <f>IF(COUNTIFS('LANÇAMENTOS DIÁRIOS'!$G$5:$G$500,"H",'LANÇAMENTOS DIÁRIOS'!$C$5:$C$500,$A20,'LANÇAMENTOS DIÁRIOS'!$O$5:$O$500,"&lt;=125199",'LANÇAMENTOS DIÁRIOS'!$P$5:$P$500,"&gt;=125100")&gt;0,"X","")</f>
      </c>
      <c r="J20" s="56" t="str">
        <f>IF(COUNTIFS('LANÇAMENTOS DIÁRIOS'!$G$5:$G$500,"H",'LANÇAMENTOS DIÁRIOS'!$C$5:$C$500,$A20,'LANÇAMENTOS DIÁRIOS'!$O$5:$O$500,"&lt;=125299",'LANÇAMENTOS DIÁRIOS'!$P$5:$P$500,"&gt;=125200")&gt;0,"X","")</f>
      </c>
      <c r="K20" s="56" t="str">
        <f>IF(COUNTIFS('LANÇAMENTOS DIÁRIOS'!$G$5:$G$500,"H",'LANÇAMENTOS DIÁRIOS'!$C$5:$C$500,$A20,'LANÇAMENTOS DIÁRIOS'!$O$5:$O$500,"&lt;=125399",'LANÇAMENTOS DIÁRIOS'!$P$5:$P$500,"&gt;=125300")&gt;0,"X","")</f>
      </c>
      <c r="L20" s="56" t="str">
        <f>IF(COUNTIFS('LANÇAMENTOS DIÁRIOS'!$G$5:$G$500,"H",'LANÇAMENTOS DIÁRIOS'!$C$5:$C$500,$A20,'LANÇAMENTOS DIÁRIOS'!$O$5:$O$500,"&lt;=125499",'LANÇAMENTOS DIÁRIOS'!$P$5:$P$500,"&gt;=125400")&gt;0,"X","")</f>
      </c>
      <c r="M20" s="56" t="str">
        <f>IF(COUNTIFS('LANÇAMENTOS DIÁRIOS'!$G$5:$G$500,"H",'LANÇAMENTOS DIÁRIOS'!$C$5:$C$500,$A20,'LANÇAMENTOS DIÁRIOS'!$O$5:$O$500,"&lt;=125599",'LANÇAMENTOS DIÁRIOS'!$P$5:$P$500,"&gt;=125500")&gt;0,"X","")</f>
      </c>
      <c r="N20" s="56" t="str">
        <f>IF(COUNTIFS('LANÇAMENTOS DIÁRIOS'!$G$5:$G$500,"H",'LANÇAMENTOS DIÁRIOS'!$C$5:$C$500,$A20,'LANÇAMENTOS DIÁRIOS'!$O$5:$O$500,"&lt;=125699",'LANÇAMENTOS DIÁRIOS'!$P$5:$P$500,"&gt;=125600")&gt;0,"X","")</f>
      </c>
      <c r="O20" s="56" t="str">
        <f>IF(COUNTIFS('LANÇAMENTOS DIÁRIOS'!$G$5:$G$500,"H",'LANÇAMENTOS DIÁRIOS'!$C$5:$C$500,$A20,'LANÇAMENTOS DIÁRIOS'!$O$5:$O$500,"&lt;=125799",'LANÇAMENTOS DIÁRIOS'!$P$5:$P$500,"&gt;=125700")&gt;0,"X","")</f>
      </c>
      <c r="P20" s="56" t="str">
        <f>IF(COUNTIFS('LANÇAMENTOS DIÁRIOS'!$G$5:$G$500,"H",'LANÇAMENTOS DIÁRIOS'!$C$5:$C$500,$A20,'LANÇAMENTOS DIÁRIOS'!$O$5:$O$500,"&lt;=125899",'LANÇAMENTOS DIÁRIOS'!$P$5:$P$500,"&gt;=125800")&gt;0,"X","")</f>
      </c>
      <c r="Q20" s="56" t="str">
        <f>IF(COUNTIFS('LANÇAMENTOS DIÁRIOS'!$G$5:$G$500,"H",'LANÇAMENTOS DIÁRIOS'!$C$5:$C$500,$A20,'LANÇAMENTOS DIÁRIOS'!$O$5:$O$500,"&lt;=125999",'LANÇAMENTOS DIÁRIOS'!$P$5:$P$500,"&gt;=125900")&gt;0,"X","")</f>
      </c>
      <c r="R20" s="56" t="str">
        <f>IF(COUNTIFS('LANÇAMENTOS DIÁRIOS'!$G$5:$G$500,"H",'LANÇAMENTOS DIÁRIOS'!$C$5:$C$500,$A20,'LANÇAMENTOS DIÁRIOS'!$O$5:$O$500,"&lt;=126099",'LANÇAMENTOS DIÁRIOS'!$P$5:$P$500,"&gt;=126000")&gt;0,"X","")</f>
      </c>
      <c r="S20" s="56" t="str">
        <f>IF(COUNTIFS('LANÇAMENTOS DIÁRIOS'!$G$5:$G$500,"H",'LANÇAMENTOS DIÁRIOS'!$C$5:$C$500,$A20,'LANÇAMENTOS DIÁRIOS'!$O$5:$O$500,"&lt;=126199",'LANÇAMENTOS DIÁRIOS'!$P$5:$P$500,"&gt;=126100")&gt;0,"X","")</f>
      </c>
      <c r="T20" s="56" t="str">
        <f>IF(COUNTIFS('LANÇAMENTOS DIÁRIOS'!$G$5:$G$500,"H",'LANÇAMENTOS DIÁRIOS'!$C$5:$C$500,$A20,'LANÇAMENTOS DIÁRIOS'!$O$5:$O$500,"&lt;=126299",'LANÇAMENTOS DIÁRIOS'!$P$5:$P$500,"&gt;=126200")&gt;0,"X","")</f>
      </c>
      <c r="U20" s="56" t="str">
        <f>IF(COUNTIFS('LANÇAMENTOS DIÁRIOS'!$G$5:$G$500,"H",'LANÇAMENTOS DIÁRIOS'!$C$5:$C$500,$A20,'LANÇAMENTOS DIÁRIOS'!$O$5:$O$500,"&lt;=126399",'LANÇAMENTOS DIÁRIOS'!$P$5:$P$500,"&gt;=126300")&gt;0,"X","")</f>
      </c>
      <c r="V20" s="56" t="str">
        <f>IF(COUNTIFS('LANÇAMENTOS DIÁRIOS'!$G$5:$G$500,"H",'LANÇAMENTOS DIÁRIOS'!$C$5:$C$500,$A20,'LANÇAMENTOS DIÁRIOS'!$O$5:$O$500,"&lt;=126499",'LANÇAMENTOS DIÁRIOS'!$P$5:$P$500,"&gt;=126400")&gt;0,"X","")</f>
      </c>
      <c r="W20" s="56" t="str">
        <f>IF(COUNTIFS('LANÇAMENTOS DIÁRIOS'!$G$5:$G$500,"H",'LANÇAMENTOS DIÁRIOS'!$C$5:$C$500,$A20,'LANÇAMENTOS DIÁRIOS'!$O$5:$O$500,"&lt;=126599",'LANÇAMENTOS DIÁRIOS'!$P$5:$P$500,"&gt;=126500")&gt;0,"X","")</f>
      </c>
      <c r="X20" s="56" t="str">
        <f>IF(COUNTIFS('LANÇAMENTOS DIÁRIOS'!$G$5:$G$500,"H",'LANÇAMENTOS DIÁRIOS'!$C$5:$C$500,$A20,'LANÇAMENTOS DIÁRIOS'!$O$5:$O$500,"&lt;=126699",'LANÇAMENTOS DIÁRIOS'!$P$5:$P$500,"&gt;=126600")&gt;0,"X","")</f>
      </c>
      <c r="Y20" s="56" t="str">
        <f>IF(COUNTIFS('LANÇAMENTOS DIÁRIOS'!$G$5:$G$500,"H",'LANÇAMENTOS DIÁRIOS'!$C$5:$C$500,$A20,'LANÇAMENTOS DIÁRIOS'!$O$5:$O$500,"&lt;=126799",'LANÇAMENTOS DIÁRIOS'!$P$5:$P$500,"&gt;=126700")&gt;0,"X","")</f>
      </c>
      <c r="Z20" s="56" t="str">
        <f>IF(COUNTIFS('LANÇAMENTOS DIÁRIOS'!$G$5:$G$500,"H",'LANÇAMENTOS DIÁRIOS'!$C$5:$C$500,$A20,'LANÇAMENTOS DIÁRIOS'!$O$5:$O$500,"&lt;=126899",'LANÇAMENTOS DIÁRIOS'!$P$5:$P$500,"&gt;=126800")&gt;0,"X","")</f>
      </c>
      <c r="AA20" s="56" t="str">
        <f>IF(COUNTIFS('LANÇAMENTOS DIÁRIOS'!$G$5:$G$500,"H",'LANÇAMENTOS DIÁRIOS'!$C$5:$C$500,$A20,'LANÇAMENTOS DIÁRIOS'!$O$5:$O$500,"&lt;=126999",'LANÇAMENTOS DIÁRIOS'!$P$5:$P$500,"&gt;=126900")&gt;0,"X","")</f>
      </c>
      <c r="AB20" s="56" t="str">
        <f>IF(COUNTIFS('LANÇAMENTOS DIÁRIOS'!$G$5:$G$500,"H",'LANÇAMENTOS DIÁRIOS'!$C$5:$C$500,$A20,'LANÇAMENTOS DIÁRIOS'!$O$5:$O$500,"&lt;=127099",'LANÇAMENTOS DIÁRIOS'!$P$5:$P$500,"&gt;=127000")&gt;0,"X","")</f>
      </c>
      <c r="AC20" s="56" t="str">
        <f>IF(COUNTIFS('LANÇAMENTOS DIÁRIOS'!$G$5:$G$500,"H",'LANÇAMENTOS DIÁRIOS'!$C$5:$C$500,$A20,'LANÇAMENTOS DIÁRIOS'!$O$5:$O$500,"&lt;=127199",'LANÇAMENTOS DIÁRIOS'!$P$5:$P$500,"&gt;=127100")&gt;0,"X","")</f>
      </c>
      <c r="AD20" s="56" t="str">
        <f>IF(COUNTIFS('LANÇAMENTOS DIÁRIOS'!$G$5:$G$500,"H",'LANÇAMENTOS DIÁRIOS'!$C$5:$C$500,$A20,'LANÇAMENTOS DIÁRIOS'!$O$5:$O$500,"&lt;=127299",'LANÇAMENTOS DIÁRIOS'!$P$5:$P$500,"&gt;=127200")&gt;0,"X","")</f>
      </c>
      <c r="AE20" s="56" t="str">
        <f>IF(COUNTIFS('LANÇAMENTOS DIÁRIOS'!$G$5:$G$500,"H",'LANÇAMENTOS DIÁRIOS'!$C$5:$C$500,$A20,'LANÇAMENTOS DIÁRIOS'!$O$5:$O$500,"&lt;=127399",'LANÇAMENTOS DIÁRIOS'!$P$5:$P$500,"&gt;=127300")&gt;0,"X","")</f>
      </c>
      <c r="AF20" s="56" t="str">
        <f>IF(COUNTIFS('LANÇAMENTOS DIÁRIOS'!$G$5:$G$500,"H",'LANÇAMENTOS DIÁRIOS'!$C$5:$C$500,$A20,'LANÇAMENTOS DIÁRIOS'!$O$5:$O$500,"&lt;=127499",'LANÇAMENTOS DIÁRIOS'!$P$5:$P$500,"&gt;=127400")&gt;0,"X","")</f>
      </c>
      <c r="AG20" s="56" t="str">
        <f>IF(COUNTIFS('LANÇAMENTOS DIÁRIOS'!$G$5:$G$500,"H",'LANÇAMENTOS DIÁRIOS'!$C$5:$C$500,$A20,'LANÇAMENTOS DIÁRIOS'!$O$5:$O$500,"&lt;=127599",'LANÇAMENTOS DIÁRIOS'!$P$5:$P$500,"&gt;=127500")&gt;0,"X","")</f>
      </c>
      <c r="AH20" s="56" t="str">
        <f>IF(COUNTIFS('LANÇAMENTOS DIÁRIOS'!$G$5:$G$500,"H",'LANÇAMENTOS DIÁRIOS'!$C$5:$C$500,$A20,'LANÇAMENTOS DIÁRIOS'!$O$5:$O$500,"&lt;=127699",'LANÇAMENTOS DIÁRIOS'!$P$5:$P$500,"&gt;=127600")&gt;0,"X","")</f>
      </c>
      <c r="AI20" s="56" t="str">
        <f>IF(COUNTIFS('LANÇAMENTOS DIÁRIOS'!$G$5:$G$500,"H",'LANÇAMENTOS DIÁRIOS'!$C$5:$C$500,$A20,'LANÇAMENTOS DIÁRIOS'!$O$5:$O$500,"&lt;=127799",'LANÇAMENTOS DIÁRIOS'!$P$5:$P$500,"&gt;=127700")&gt;0,"X","")</f>
      </c>
      <c r="AJ20" s="56" t="str">
        <f>IF(COUNTIFS('LANÇAMENTOS DIÁRIOS'!$G$5:$G$500,"H",'LANÇAMENTOS DIÁRIOS'!$C$5:$C$500,$A20,'LANÇAMENTOS DIÁRIOS'!$O$5:$O$500,"&lt;=127899",'LANÇAMENTOS DIÁRIOS'!$P$5:$P$500,"&gt;=127800")&gt;0,"X","")</f>
      </c>
      <c r="AK20" s="56" t="str">
        <f>IF(COUNTIFS('LANÇAMENTOS DIÁRIOS'!$G$5:$G$500,"H",'LANÇAMENTOS DIÁRIOS'!$C$5:$C$500,$A20,'LANÇAMENTOS DIÁRIOS'!$O$5:$O$500,"&lt;=127999",'LANÇAMENTOS DIÁRIOS'!$P$5:$P$500,"&gt;=127900")&gt;0,"X","")</f>
      </c>
      <c r="AL20" s="56" t="str">
        <f>IF(COUNTIFS('LANÇAMENTOS DIÁRIOS'!$G$5:$G$500,"H",'LANÇAMENTOS DIÁRIOS'!$C$5:$C$500,$A20,'LANÇAMENTOS DIÁRIOS'!$O$5:$O$500,"&lt;=128099",'LANÇAMENTOS DIÁRIOS'!$P$5:$P$500,"&gt;=128000")&gt;0,"X","")</f>
      </c>
      <c r="AM20" s="56" t="str">
        <f>IF(COUNTIFS('LANÇAMENTOS DIÁRIOS'!$G$5:$G$500,"H",'LANÇAMENTOS DIÁRIOS'!$C$5:$C$500,$A20,'LANÇAMENTOS DIÁRIOS'!$O$5:$O$500,"&lt;=128199",'LANÇAMENTOS DIÁRIOS'!$P$5:$P$500,"&gt;=128100")&gt;0,"X","")</f>
      </c>
      <c r="AN20" s="56" t="str">
        <f>IF(COUNTIFS('LANÇAMENTOS DIÁRIOS'!$G$5:$G$500,"H",'LANÇAMENTOS DIÁRIOS'!$C$5:$C$500,$A20,'LANÇAMENTOS DIÁRIOS'!$O$5:$O$500,"&lt;=128299",'LANÇAMENTOS DIÁRIOS'!$P$5:$P$500,"&gt;=128200")&gt;0,"X","")</f>
      </c>
      <c r="AO20" s="56" t="str">
        <f>IF(COUNTIFS('LANÇAMENTOS DIÁRIOS'!$G$5:$G$500,"H",'LANÇAMENTOS DIÁRIOS'!$C$5:$C$500,$A20,'LANÇAMENTOS DIÁRIOS'!$O$5:$O$500,"&lt;=128399",'LANÇAMENTOS DIÁRIOS'!$P$5:$P$500,"&gt;=128300")&gt;0,"X","")</f>
      </c>
      <c r="AP20" s="56" t="str">
        <f>IF(COUNTIFS('LANÇAMENTOS DIÁRIOS'!$G$5:$G$500,"H",'LANÇAMENTOS DIÁRIOS'!$C$5:$C$500,$A20,'LANÇAMENTOS DIÁRIOS'!$O$5:$O$500,"&lt;=128499",'LANÇAMENTOS DIÁRIOS'!$P$5:$P$500,"&gt;=128400")&gt;0,"X","")</f>
      </c>
      <c r="AQ20" s="56" t="str">
        <f>IF(COUNTIFS('LANÇAMENTOS DIÁRIOS'!$G$5:$G$500,"H",'LANÇAMENTOS DIÁRIOS'!$C$5:$C$500,$A20,'LANÇAMENTOS DIÁRIOS'!$O$5:$O$500,"&lt;=128599",'LANÇAMENTOS DIÁRIOS'!$P$5:$P$500,"&gt;=128500")&gt;0,"X","")</f>
      </c>
      <c r="AR20" s="56" t="str">
        <f>IF(COUNTIFS('LANÇAMENTOS DIÁRIOS'!$G$5:$G$500,"H",'LANÇAMENTOS DIÁRIOS'!$C$5:$C$500,$A20,'LANÇAMENTOS DIÁRIOS'!$O$5:$O$500,"&lt;=128699",'LANÇAMENTOS DIÁRIOS'!$P$5:$P$500,"&gt;=128600")&gt;0,"X","")</f>
      </c>
      <c r="AS20" s="56" t="str">
        <f>IF(COUNTIFS('LANÇAMENTOS DIÁRIOS'!$G$5:$G$500,"H",'LANÇAMENTOS DIÁRIOS'!$C$5:$C$500,$A20,'LANÇAMENTOS DIÁRIOS'!$O$5:$O$500,"&lt;=128799",'LANÇAMENTOS DIÁRIOS'!$P$5:$P$500,"&gt;=128700")&gt;0,"X","")</f>
      </c>
      <c r="AT20" s="56" t="str">
        <f>IF(COUNTIFS('LANÇAMENTOS DIÁRIOS'!$G$5:$G$500,"H",'LANÇAMENTOS DIÁRIOS'!$C$5:$C$500,$A20,'LANÇAMENTOS DIÁRIOS'!$O$5:$O$500,"&lt;=128899",'LANÇAMENTOS DIÁRIOS'!$P$5:$P$500,"&gt;=128800")&gt;0,"X","")</f>
      </c>
      <c r="AU20" s="56" t="str">
        <f>IF(COUNTIFS('LANÇAMENTOS DIÁRIOS'!$G$5:$G$500,"H",'LANÇAMENTOS DIÁRIOS'!$C$5:$C$500,$A20,'LANÇAMENTOS DIÁRIOS'!$O$5:$O$500,"&lt;=128999",'LANÇAMENTOS DIÁRIOS'!$P$5:$P$500,"&gt;=128900")&gt;0,"X","")</f>
      </c>
      <c r="AV20" s="56" t="str">
        <f>IF(COUNTIFS('LANÇAMENTOS DIÁRIOS'!$G$5:$G$500,"H",'LANÇAMENTOS DIÁRIOS'!$C$5:$C$500,$A20,'LANÇAMENTOS DIÁRIOS'!$O$5:$O$500,"&lt;=129099",'LANÇAMENTOS DIÁRIOS'!$P$5:$P$500,"&gt;=129000")&gt;0,"X","")</f>
      </c>
      <c r="AW20" s="56" t="str">
        <f>IF(COUNTIFS('LANÇAMENTOS DIÁRIOS'!$G$5:$G$500,"H",'LANÇAMENTOS DIÁRIOS'!$C$5:$C$500,$A20,'LANÇAMENTOS DIÁRIOS'!$O$5:$O$500,"&lt;=129199",'LANÇAMENTOS DIÁRIOS'!$P$5:$P$500,"&gt;=129100")&gt;0,"X","")</f>
      </c>
      <c r="AX20" s="56" t="str">
        <f>IF(COUNTIFS('LANÇAMENTOS DIÁRIOS'!$G$5:$G$500,"H",'LANÇAMENTOS DIÁRIOS'!$C$5:$C$500,$A20,'LANÇAMENTOS DIÁRIOS'!$O$5:$O$500,"&lt;=129299",'LANÇAMENTOS DIÁRIOS'!$P$5:$P$500,"&gt;=129200")&gt;0,"X","")</f>
      </c>
      <c r="AY20" s="56" t="str">
        <f>IF(COUNTIFS('LANÇAMENTOS DIÁRIOS'!$G$5:$G$500,"H",'LANÇAMENTOS DIÁRIOS'!$C$5:$C$500,$A20,'LANÇAMENTOS DIÁRIOS'!$O$5:$O$500,"&lt;=129399",'LANÇAMENTOS DIÁRIOS'!$P$5:$P$500,"&gt;=129300")&gt;0,"X","")</f>
      </c>
      <c r="AZ20" s="56" t="str">
        <f>IF(COUNTIFS('LANÇAMENTOS DIÁRIOS'!$G$5:$G$500,"H",'LANÇAMENTOS DIÁRIOS'!$C$5:$C$500,$A20,'LANÇAMENTOS DIÁRIOS'!$O$5:$O$500,"&lt;=129400",'LANÇAMENTOS DIÁRIOS'!$P$5:$P$500,"&gt;=129400")&gt;0,"X","")</f>
      </c>
    </row>
    <row r="21">
      <c r="A21" s="51" t="str">
        <v>Remanejamento de placa de sinalização instalada no solo, suporte metálico</v>
      </c>
      <c r="B21" s="56" t="str">
        <f>IF(COUNTIFS('LANÇAMENTOS DIÁRIOS'!$G$5:$G$500,"H",'LANÇAMENTOS DIÁRIOS'!$C$5:$C$500,$A21,'LANÇAMENTOS DIÁRIOS'!$O$5:$O$500,"&lt;=124499",'LANÇAMENTOS DIÁRIOS'!$P$5:$P$500,"&gt;=124400")&gt;0,"X","")</f>
      </c>
      <c r="C21" s="56" t="str">
        <f>IF(COUNTIFS('LANÇAMENTOS DIÁRIOS'!$G$5:$G$500,"H",'LANÇAMENTOS DIÁRIOS'!$C$5:$C$500,$A21,'LANÇAMENTOS DIÁRIOS'!$O$5:$O$500,"&lt;=124599",'LANÇAMENTOS DIÁRIOS'!$P$5:$P$500,"&gt;=124500")&gt;0,"X","")</f>
      </c>
      <c r="D21" s="56" t="str">
        <f>IF(COUNTIFS('LANÇAMENTOS DIÁRIOS'!$G$5:$G$500,"H",'LANÇAMENTOS DIÁRIOS'!$C$5:$C$500,$A21,'LANÇAMENTOS DIÁRIOS'!$O$5:$O$500,"&lt;=124699",'LANÇAMENTOS DIÁRIOS'!$P$5:$P$500,"&gt;=124600")&gt;0,"X","")</f>
      </c>
      <c r="E21" s="56" t="str">
        <f>IF(COUNTIFS('LANÇAMENTOS DIÁRIOS'!$G$5:$G$500,"H",'LANÇAMENTOS DIÁRIOS'!$C$5:$C$500,$A21,'LANÇAMENTOS DIÁRIOS'!$O$5:$O$500,"&lt;=124799",'LANÇAMENTOS DIÁRIOS'!$P$5:$P$500,"&gt;=124700")&gt;0,"X","")</f>
      </c>
      <c r="F21" s="56" t="str">
        <f>IF(COUNTIFS('LANÇAMENTOS DIÁRIOS'!$G$5:$G$500,"H",'LANÇAMENTOS DIÁRIOS'!$C$5:$C$500,$A21,'LANÇAMENTOS DIÁRIOS'!$O$5:$O$500,"&lt;=124899",'LANÇAMENTOS DIÁRIOS'!$P$5:$P$500,"&gt;=124800")&gt;0,"X","")</f>
      </c>
      <c r="G21" s="56" t="str">
        <f>IF(COUNTIFS('LANÇAMENTOS DIÁRIOS'!$G$5:$G$500,"H",'LANÇAMENTOS DIÁRIOS'!$C$5:$C$500,$A21,'LANÇAMENTOS DIÁRIOS'!$O$5:$O$500,"&lt;=124999",'LANÇAMENTOS DIÁRIOS'!$P$5:$P$500,"&gt;=124900")&gt;0,"X","")</f>
      </c>
      <c r="H21" s="56" t="str">
        <f>IF(COUNTIFS('LANÇAMENTOS DIÁRIOS'!$G$5:$G$500,"H",'LANÇAMENTOS DIÁRIOS'!$C$5:$C$500,$A21,'LANÇAMENTOS DIÁRIOS'!$O$5:$O$500,"&lt;=125099",'LANÇAMENTOS DIÁRIOS'!$P$5:$P$500,"&gt;=125000")&gt;0,"X","")</f>
      </c>
      <c r="I21" s="56" t="str">
        <f>IF(COUNTIFS('LANÇAMENTOS DIÁRIOS'!$G$5:$G$500,"H",'LANÇAMENTOS DIÁRIOS'!$C$5:$C$500,$A21,'LANÇAMENTOS DIÁRIOS'!$O$5:$O$500,"&lt;=125199",'LANÇAMENTOS DIÁRIOS'!$P$5:$P$500,"&gt;=125100")&gt;0,"X","")</f>
      </c>
      <c r="J21" s="56" t="str">
        <f>IF(COUNTIFS('LANÇAMENTOS DIÁRIOS'!$G$5:$G$500,"H",'LANÇAMENTOS DIÁRIOS'!$C$5:$C$500,$A21,'LANÇAMENTOS DIÁRIOS'!$O$5:$O$500,"&lt;=125299",'LANÇAMENTOS DIÁRIOS'!$P$5:$P$500,"&gt;=125200")&gt;0,"X","")</f>
      </c>
      <c r="K21" s="56" t="str">
        <f>IF(COUNTIFS('LANÇAMENTOS DIÁRIOS'!$G$5:$G$500,"H",'LANÇAMENTOS DIÁRIOS'!$C$5:$C$500,$A21,'LANÇAMENTOS DIÁRIOS'!$O$5:$O$500,"&lt;=125399",'LANÇAMENTOS DIÁRIOS'!$P$5:$P$500,"&gt;=125300")&gt;0,"X","")</f>
      </c>
      <c r="L21" s="56" t="str">
        <f>IF(COUNTIFS('LANÇAMENTOS DIÁRIOS'!$G$5:$G$500,"H",'LANÇAMENTOS DIÁRIOS'!$C$5:$C$500,$A21,'LANÇAMENTOS DIÁRIOS'!$O$5:$O$500,"&lt;=125499",'LANÇAMENTOS DIÁRIOS'!$P$5:$P$500,"&gt;=125400")&gt;0,"X","")</f>
      </c>
      <c r="M21" s="56" t="str">
        <f>IF(COUNTIFS('LANÇAMENTOS DIÁRIOS'!$G$5:$G$500,"H",'LANÇAMENTOS DIÁRIOS'!$C$5:$C$500,$A21,'LANÇAMENTOS DIÁRIOS'!$O$5:$O$500,"&lt;=125599",'LANÇAMENTOS DIÁRIOS'!$P$5:$P$500,"&gt;=125500")&gt;0,"X","")</f>
      </c>
      <c r="N21" s="56" t="str">
        <f>IF(COUNTIFS('LANÇAMENTOS DIÁRIOS'!$G$5:$G$500,"H",'LANÇAMENTOS DIÁRIOS'!$C$5:$C$500,$A21,'LANÇAMENTOS DIÁRIOS'!$O$5:$O$500,"&lt;=125699",'LANÇAMENTOS DIÁRIOS'!$P$5:$P$500,"&gt;=125600")&gt;0,"X","")</f>
      </c>
      <c r="O21" s="56" t="str">
        <f>IF(COUNTIFS('LANÇAMENTOS DIÁRIOS'!$G$5:$G$500,"H",'LANÇAMENTOS DIÁRIOS'!$C$5:$C$500,$A21,'LANÇAMENTOS DIÁRIOS'!$O$5:$O$500,"&lt;=125799",'LANÇAMENTOS DIÁRIOS'!$P$5:$P$500,"&gt;=125700")&gt;0,"X","")</f>
      </c>
      <c r="P21" s="56" t="str">
        <f>IF(COUNTIFS('LANÇAMENTOS DIÁRIOS'!$G$5:$G$500,"H",'LANÇAMENTOS DIÁRIOS'!$C$5:$C$500,$A21,'LANÇAMENTOS DIÁRIOS'!$O$5:$O$500,"&lt;=125899",'LANÇAMENTOS DIÁRIOS'!$P$5:$P$500,"&gt;=125800")&gt;0,"X","")</f>
      </c>
      <c r="Q21" s="56" t="str">
        <f>IF(COUNTIFS('LANÇAMENTOS DIÁRIOS'!$G$5:$G$500,"H",'LANÇAMENTOS DIÁRIOS'!$C$5:$C$500,$A21,'LANÇAMENTOS DIÁRIOS'!$O$5:$O$500,"&lt;=125999",'LANÇAMENTOS DIÁRIOS'!$P$5:$P$500,"&gt;=125900")&gt;0,"X","")</f>
      </c>
      <c r="R21" s="56" t="str">
        <f>IF(COUNTIFS('LANÇAMENTOS DIÁRIOS'!$G$5:$G$500,"H",'LANÇAMENTOS DIÁRIOS'!$C$5:$C$500,$A21,'LANÇAMENTOS DIÁRIOS'!$O$5:$O$500,"&lt;=126099",'LANÇAMENTOS DIÁRIOS'!$P$5:$P$500,"&gt;=126000")&gt;0,"X","")</f>
      </c>
      <c r="S21" s="56" t="str">
        <f>IF(COUNTIFS('LANÇAMENTOS DIÁRIOS'!$G$5:$G$500,"H",'LANÇAMENTOS DIÁRIOS'!$C$5:$C$500,$A21,'LANÇAMENTOS DIÁRIOS'!$O$5:$O$500,"&lt;=126199",'LANÇAMENTOS DIÁRIOS'!$P$5:$P$500,"&gt;=126100")&gt;0,"X","")</f>
      </c>
      <c r="T21" s="56" t="str">
        <f>IF(COUNTIFS('LANÇAMENTOS DIÁRIOS'!$G$5:$G$500,"H",'LANÇAMENTOS DIÁRIOS'!$C$5:$C$500,$A21,'LANÇAMENTOS DIÁRIOS'!$O$5:$O$500,"&lt;=126299",'LANÇAMENTOS DIÁRIOS'!$P$5:$P$500,"&gt;=126200")&gt;0,"X","")</f>
      </c>
      <c r="U21" s="56" t="str">
        <f>IF(COUNTIFS('LANÇAMENTOS DIÁRIOS'!$G$5:$G$500,"H",'LANÇAMENTOS DIÁRIOS'!$C$5:$C$500,$A21,'LANÇAMENTOS DIÁRIOS'!$O$5:$O$500,"&lt;=126399",'LANÇAMENTOS DIÁRIOS'!$P$5:$P$500,"&gt;=126300")&gt;0,"X","")</f>
      </c>
      <c r="V21" s="56" t="str">
        <f>IF(COUNTIFS('LANÇAMENTOS DIÁRIOS'!$G$5:$G$500,"H",'LANÇAMENTOS DIÁRIOS'!$C$5:$C$500,$A21,'LANÇAMENTOS DIÁRIOS'!$O$5:$O$500,"&lt;=126499",'LANÇAMENTOS DIÁRIOS'!$P$5:$P$500,"&gt;=126400")&gt;0,"X","")</f>
      </c>
      <c r="W21" s="56" t="str">
        <f>IF(COUNTIFS('LANÇAMENTOS DIÁRIOS'!$G$5:$G$500,"H",'LANÇAMENTOS DIÁRIOS'!$C$5:$C$500,$A21,'LANÇAMENTOS DIÁRIOS'!$O$5:$O$500,"&lt;=126599",'LANÇAMENTOS DIÁRIOS'!$P$5:$P$500,"&gt;=126500")&gt;0,"X","")</f>
      </c>
      <c r="X21" s="56" t="str">
        <f>IF(COUNTIFS('LANÇAMENTOS DIÁRIOS'!$G$5:$G$500,"H",'LANÇAMENTOS DIÁRIOS'!$C$5:$C$500,$A21,'LANÇAMENTOS DIÁRIOS'!$O$5:$O$500,"&lt;=126699",'LANÇAMENTOS DIÁRIOS'!$P$5:$P$500,"&gt;=126600")&gt;0,"X","")</f>
      </c>
      <c r="Y21" s="56" t="str">
        <f>IF(COUNTIFS('LANÇAMENTOS DIÁRIOS'!$G$5:$G$500,"H",'LANÇAMENTOS DIÁRIOS'!$C$5:$C$500,$A21,'LANÇAMENTOS DIÁRIOS'!$O$5:$O$500,"&lt;=126799",'LANÇAMENTOS DIÁRIOS'!$P$5:$P$500,"&gt;=126700")&gt;0,"X","")</f>
      </c>
      <c r="Z21" s="56" t="str">
        <f>IF(COUNTIFS('LANÇAMENTOS DIÁRIOS'!$G$5:$G$500,"H",'LANÇAMENTOS DIÁRIOS'!$C$5:$C$500,$A21,'LANÇAMENTOS DIÁRIOS'!$O$5:$O$500,"&lt;=126899",'LANÇAMENTOS DIÁRIOS'!$P$5:$P$500,"&gt;=126800")&gt;0,"X","")</f>
      </c>
      <c r="AA21" s="56" t="str">
        <f>IF(COUNTIFS('LANÇAMENTOS DIÁRIOS'!$G$5:$G$500,"H",'LANÇAMENTOS DIÁRIOS'!$C$5:$C$500,$A21,'LANÇAMENTOS DIÁRIOS'!$O$5:$O$500,"&lt;=126999",'LANÇAMENTOS DIÁRIOS'!$P$5:$P$500,"&gt;=126900")&gt;0,"X","")</f>
      </c>
      <c r="AB21" s="56" t="str">
        <f>IF(COUNTIFS('LANÇAMENTOS DIÁRIOS'!$G$5:$G$500,"H",'LANÇAMENTOS DIÁRIOS'!$C$5:$C$500,$A21,'LANÇAMENTOS DIÁRIOS'!$O$5:$O$500,"&lt;=127099",'LANÇAMENTOS DIÁRIOS'!$P$5:$P$500,"&gt;=127000")&gt;0,"X","")</f>
      </c>
      <c r="AC21" s="56" t="str">
        <f>IF(COUNTIFS('LANÇAMENTOS DIÁRIOS'!$G$5:$G$500,"H",'LANÇAMENTOS DIÁRIOS'!$C$5:$C$500,$A21,'LANÇAMENTOS DIÁRIOS'!$O$5:$O$500,"&lt;=127199",'LANÇAMENTOS DIÁRIOS'!$P$5:$P$500,"&gt;=127100")&gt;0,"X","")</f>
      </c>
      <c r="AD21" s="56" t="str">
        <f>IF(COUNTIFS('LANÇAMENTOS DIÁRIOS'!$G$5:$G$500,"H",'LANÇAMENTOS DIÁRIOS'!$C$5:$C$500,$A21,'LANÇAMENTOS DIÁRIOS'!$O$5:$O$500,"&lt;=127299",'LANÇAMENTOS DIÁRIOS'!$P$5:$P$500,"&gt;=127200")&gt;0,"X","")</f>
      </c>
      <c r="AE21" s="56" t="str">
        <f>IF(COUNTIFS('LANÇAMENTOS DIÁRIOS'!$G$5:$G$500,"H",'LANÇAMENTOS DIÁRIOS'!$C$5:$C$500,$A21,'LANÇAMENTOS DIÁRIOS'!$O$5:$O$500,"&lt;=127399",'LANÇAMENTOS DIÁRIOS'!$P$5:$P$500,"&gt;=127300")&gt;0,"X","")</f>
      </c>
      <c r="AF21" s="56" t="str">
        <f>IF(COUNTIFS('LANÇAMENTOS DIÁRIOS'!$G$5:$G$500,"H",'LANÇAMENTOS DIÁRIOS'!$C$5:$C$500,$A21,'LANÇAMENTOS DIÁRIOS'!$O$5:$O$500,"&lt;=127499",'LANÇAMENTOS DIÁRIOS'!$P$5:$P$500,"&gt;=127400")&gt;0,"X","")</f>
      </c>
      <c r="AG21" s="56" t="str">
        <f>IF(COUNTIFS('LANÇAMENTOS DIÁRIOS'!$G$5:$G$500,"H",'LANÇAMENTOS DIÁRIOS'!$C$5:$C$500,$A21,'LANÇAMENTOS DIÁRIOS'!$O$5:$O$500,"&lt;=127599",'LANÇAMENTOS DIÁRIOS'!$P$5:$P$500,"&gt;=127500")&gt;0,"X","")</f>
      </c>
      <c r="AH21" s="56" t="str">
        <f>IF(COUNTIFS('LANÇAMENTOS DIÁRIOS'!$G$5:$G$500,"H",'LANÇAMENTOS DIÁRIOS'!$C$5:$C$500,$A21,'LANÇAMENTOS DIÁRIOS'!$O$5:$O$500,"&lt;=127699",'LANÇAMENTOS DIÁRIOS'!$P$5:$P$500,"&gt;=127600")&gt;0,"X","")</f>
      </c>
      <c r="AI21" s="56" t="str">
        <f>IF(COUNTIFS('LANÇAMENTOS DIÁRIOS'!$G$5:$G$500,"H",'LANÇAMENTOS DIÁRIOS'!$C$5:$C$500,$A21,'LANÇAMENTOS DIÁRIOS'!$O$5:$O$500,"&lt;=127799",'LANÇAMENTOS DIÁRIOS'!$P$5:$P$500,"&gt;=127700")&gt;0,"X","")</f>
      </c>
      <c r="AJ21" s="56" t="str">
        <f>IF(COUNTIFS('LANÇAMENTOS DIÁRIOS'!$G$5:$G$500,"H",'LANÇAMENTOS DIÁRIOS'!$C$5:$C$500,$A21,'LANÇAMENTOS DIÁRIOS'!$O$5:$O$500,"&lt;=127899",'LANÇAMENTOS DIÁRIOS'!$P$5:$P$500,"&gt;=127800")&gt;0,"X","")</f>
      </c>
      <c r="AK21" s="56" t="str">
        <f>IF(COUNTIFS('LANÇAMENTOS DIÁRIOS'!$G$5:$G$500,"H",'LANÇAMENTOS DIÁRIOS'!$C$5:$C$500,$A21,'LANÇAMENTOS DIÁRIOS'!$O$5:$O$500,"&lt;=127999",'LANÇAMENTOS DIÁRIOS'!$P$5:$P$500,"&gt;=127900")&gt;0,"X","")</f>
      </c>
      <c r="AL21" s="56" t="str">
        <f>IF(COUNTIFS('LANÇAMENTOS DIÁRIOS'!$G$5:$G$500,"H",'LANÇAMENTOS DIÁRIOS'!$C$5:$C$500,$A21,'LANÇAMENTOS DIÁRIOS'!$O$5:$O$500,"&lt;=128099",'LANÇAMENTOS DIÁRIOS'!$P$5:$P$500,"&gt;=128000")&gt;0,"X","")</f>
      </c>
      <c r="AM21" s="56" t="str">
        <f>IF(COUNTIFS('LANÇAMENTOS DIÁRIOS'!$G$5:$G$500,"H",'LANÇAMENTOS DIÁRIOS'!$C$5:$C$500,$A21,'LANÇAMENTOS DIÁRIOS'!$O$5:$O$500,"&lt;=128199",'LANÇAMENTOS DIÁRIOS'!$P$5:$P$500,"&gt;=128100")&gt;0,"X","")</f>
      </c>
      <c r="AN21" s="56" t="str">
        <f>IF(COUNTIFS('LANÇAMENTOS DIÁRIOS'!$G$5:$G$500,"H",'LANÇAMENTOS DIÁRIOS'!$C$5:$C$500,$A21,'LANÇAMENTOS DIÁRIOS'!$O$5:$O$500,"&lt;=128299",'LANÇAMENTOS DIÁRIOS'!$P$5:$P$500,"&gt;=128200")&gt;0,"X","")</f>
      </c>
      <c r="AO21" s="56" t="str">
        <f>IF(COUNTIFS('LANÇAMENTOS DIÁRIOS'!$G$5:$G$500,"H",'LANÇAMENTOS DIÁRIOS'!$C$5:$C$500,$A21,'LANÇAMENTOS DIÁRIOS'!$O$5:$O$500,"&lt;=128399",'LANÇAMENTOS DIÁRIOS'!$P$5:$P$500,"&gt;=128300")&gt;0,"X","")</f>
      </c>
      <c r="AP21" s="56" t="str">
        <f>IF(COUNTIFS('LANÇAMENTOS DIÁRIOS'!$G$5:$G$500,"H",'LANÇAMENTOS DIÁRIOS'!$C$5:$C$500,$A21,'LANÇAMENTOS DIÁRIOS'!$O$5:$O$500,"&lt;=128499",'LANÇAMENTOS DIÁRIOS'!$P$5:$P$500,"&gt;=128400")&gt;0,"X","")</f>
      </c>
      <c r="AQ21" s="56" t="str">
        <f>IF(COUNTIFS('LANÇAMENTOS DIÁRIOS'!$G$5:$G$500,"H",'LANÇAMENTOS DIÁRIOS'!$C$5:$C$500,$A21,'LANÇAMENTOS DIÁRIOS'!$O$5:$O$500,"&lt;=128599",'LANÇAMENTOS DIÁRIOS'!$P$5:$P$500,"&gt;=128500")&gt;0,"X","")</f>
      </c>
      <c r="AR21" s="56" t="str">
        <f>IF(COUNTIFS('LANÇAMENTOS DIÁRIOS'!$G$5:$G$500,"H",'LANÇAMENTOS DIÁRIOS'!$C$5:$C$500,$A21,'LANÇAMENTOS DIÁRIOS'!$O$5:$O$500,"&lt;=128699",'LANÇAMENTOS DIÁRIOS'!$P$5:$P$500,"&gt;=128600")&gt;0,"X","")</f>
      </c>
      <c r="AS21" s="56" t="str">
        <f>IF(COUNTIFS('LANÇAMENTOS DIÁRIOS'!$G$5:$G$500,"H",'LANÇAMENTOS DIÁRIOS'!$C$5:$C$500,$A21,'LANÇAMENTOS DIÁRIOS'!$O$5:$O$500,"&lt;=128799",'LANÇAMENTOS DIÁRIOS'!$P$5:$P$500,"&gt;=128700")&gt;0,"X","")</f>
      </c>
      <c r="AT21" s="56" t="str">
        <f>IF(COUNTIFS('LANÇAMENTOS DIÁRIOS'!$G$5:$G$500,"H",'LANÇAMENTOS DIÁRIOS'!$C$5:$C$500,$A21,'LANÇAMENTOS DIÁRIOS'!$O$5:$O$500,"&lt;=128899",'LANÇAMENTOS DIÁRIOS'!$P$5:$P$500,"&gt;=128800")&gt;0,"X","")</f>
      </c>
      <c r="AU21" s="56" t="str">
        <f>IF(COUNTIFS('LANÇAMENTOS DIÁRIOS'!$G$5:$G$500,"H",'LANÇAMENTOS DIÁRIOS'!$C$5:$C$500,$A21,'LANÇAMENTOS DIÁRIOS'!$O$5:$O$500,"&lt;=128999",'LANÇAMENTOS DIÁRIOS'!$P$5:$P$500,"&gt;=128900")&gt;0,"X","")</f>
      </c>
      <c r="AV21" s="56" t="str">
        <f>IF(COUNTIFS('LANÇAMENTOS DIÁRIOS'!$G$5:$G$500,"H",'LANÇAMENTOS DIÁRIOS'!$C$5:$C$500,$A21,'LANÇAMENTOS DIÁRIOS'!$O$5:$O$500,"&lt;=129099",'LANÇAMENTOS DIÁRIOS'!$P$5:$P$500,"&gt;=129000")&gt;0,"X","")</f>
      </c>
      <c r="AW21" s="56" t="str">
        <f>IF(COUNTIFS('LANÇAMENTOS DIÁRIOS'!$G$5:$G$500,"H",'LANÇAMENTOS DIÁRIOS'!$C$5:$C$500,$A21,'LANÇAMENTOS DIÁRIOS'!$O$5:$O$500,"&lt;=129199",'LANÇAMENTOS DIÁRIOS'!$P$5:$P$500,"&gt;=129100")&gt;0,"X","")</f>
      </c>
      <c r="AX21" s="56" t="str">
        <f>IF(COUNTIFS('LANÇAMENTOS DIÁRIOS'!$G$5:$G$500,"H",'LANÇAMENTOS DIÁRIOS'!$C$5:$C$500,$A21,'LANÇAMENTOS DIÁRIOS'!$O$5:$O$500,"&lt;=129299",'LANÇAMENTOS DIÁRIOS'!$P$5:$P$500,"&gt;=129200")&gt;0,"X","")</f>
      </c>
      <c r="AY21" s="56" t="str">
        <f>IF(COUNTIFS('LANÇAMENTOS DIÁRIOS'!$G$5:$G$500,"H",'LANÇAMENTOS DIÁRIOS'!$C$5:$C$500,$A21,'LANÇAMENTOS DIÁRIOS'!$O$5:$O$500,"&lt;=129399",'LANÇAMENTOS DIÁRIOS'!$P$5:$P$500,"&gt;=129300")&gt;0,"X","")</f>
      </c>
      <c r="AZ21" s="56" t="str">
        <f>IF(COUNTIFS('LANÇAMENTOS DIÁRIOS'!$G$5:$G$500,"H",'LANÇAMENTOS DIÁRIOS'!$C$5:$C$500,$A21,'LANÇAMENTOS DIÁRIOS'!$O$5:$O$500,"&lt;=129400",'LANÇAMENTOS DIÁRIOS'!$P$5:$P$500,"&gt;=129400")&gt;0,"X","")</f>
      </c>
    </row>
    <row r="22">
      <c r="A22" s="51" t="str">
        <v>Remanejamento de placa de sinalização, solo</v>
      </c>
      <c r="B22" s="56" t="str">
        <f>IF(COUNTIFS('LANÇAMENTOS DIÁRIOS'!$G$5:$G$500,"H",'LANÇAMENTOS DIÁRIOS'!$C$5:$C$500,$A22,'LANÇAMENTOS DIÁRIOS'!$O$5:$O$500,"&lt;=124499",'LANÇAMENTOS DIÁRIOS'!$P$5:$P$500,"&gt;=124400")&gt;0,"X","")</f>
      </c>
      <c r="C22" s="56" t="str">
        <f>IF(COUNTIFS('LANÇAMENTOS DIÁRIOS'!$G$5:$G$500,"H",'LANÇAMENTOS DIÁRIOS'!$C$5:$C$500,$A22,'LANÇAMENTOS DIÁRIOS'!$O$5:$O$500,"&lt;=124599",'LANÇAMENTOS DIÁRIOS'!$P$5:$P$500,"&gt;=124500")&gt;0,"X","")</f>
      </c>
      <c r="D22" s="56" t="str">
        <f>IF(COUNTIFS('LANÇAMENTOS DIÁRIOS'!$G$5:$G$500,"H",'LANÇAMENTOS DIÁRIOS'!$C$5:$C$500,$A22,'LANÇAMENTOS DIÁRIOS'!$O$5:$O$500,"&lt;=124699",'LANÇAMENTOS DIÁRIOS'!$P$5:$P$500,"&gt;=124600")&gt;0,"X","")</f>
      </c>
      <c r="E22" s="56" t="str">
        <f>IF(COUNTIFS('LANÇAMENTOS DIÁRIOS'!$G$5:$G$500,"H",'LANÇAMENTOS DIÁRIOS'!$C$5:$C$500,$A22,'LANÇAMENTOS DIÁRIOS'!$O$5:$O$500,"&lt;=124799",'LANÇAMENTOS DIÁRIOS'!$P$5:$P$500,"&gt;=124700")&gt;0,"X","")</f>
      </c>
      <c r="F22" s="56" t="str">
        <f>IF(COUNTIFS('LANÇAMENTOS DIÁRIOS'!$G$5:$G$500,"H",'LANÇAMENTOS DIÁRIOS'!$C$5:$C$500,$A22,'LANÇAMENTOS DIÁRIOS'!$O$5:$O$500,"&lt;=124899",'LANÇAMENTOS DIÁRIOS'!$P$5:$P$500,"&gt;=124800")&gt;0,"X","")</f>
      </c>
      <c r="G22" s="56" t="str">
        <f>IF(COUNTIFS('LANÇAMENTOS DIÁRIOS'!$G$5:$G$500,"H",'LANÇAMENTOS DIÁRIOS'!$C$5:$C$500,$A22,'LANÇAMENTOS DIÁRIOS'!$O$5:$O$500,"&lt;=124999",'LANÇAMENTOS DIÁRIOS'!$P$5:$P$500,"&gt;=124900")&gt;0,"X","")</f>
      </c>
      <c r="H22" s="56" t="str">
        <f>IF(COUNTIFS('LANÇAMENTOS DIÁRIOS'!$G$5:$G$500,"H",'LANÇAMENTOS DIÁRIOS'!$C$5:$C$500,$A22,'LANÇAMENTOS DIÁRIOS'!$O$5:$O$500,"&lt;=125099",'LANÇAMENTOS DIÁRIOS'!$P$5:$P$500,"&gt;=125000")&gt;0,"X","")</f>
      </c>
      <c r="I22" s="56" t="str">
        <f>IF(COUNTIFS('LANÇAMENTOS DIÁRIOS'!$G$5:$G$500,"H",'LANÇAMENTOS DIÁRIOS'!$C$5:$C$500,$A22,'LANÇAMENTOS DIÁRIOS'!$O$5:$O$500,"&lt;=125199",'LANÇAMENTOS DIÁRIOS'!$P$5:$P$500,"&gt;=125100")&gt;0,"X","")</f>
      </c>
      <c r="J22" s="56" t="str">
        <f>IF(COUNTIFS('LANÇAMENTOS DIÁRIOS'!$G$5:$G$500,"H",'LANÇAMENTOS DIÁRIOS'!$C$5:$C$500,$A22,'LANÇAMENTOS DIÁRIOS'!$O$5:$O$500,"&lt;=125299",'LANÇAMENTOS DIÁRIOS'!$P$5:$P$500,"&gt;=125200")&gt;0,"X","")</f>
      </c>
      <c r="K22" s="56" t="str">
        <f>IF(COUNTIFS('LANÇAMENTOS DIÁRIOS'!$G$5:$G$500,"H",'LANÇAMENTOS DIÁRIOS'!$C$5:$C$500,$A22,'LANÇAMENTOS DIÁRIOS'!$O$5:$O$500,"&lt;=125399",'LANÇAMENTOS DIÁRIOS'!$P$5:$P$500,"&gt;=125300")&gt;0,"X","")</f>
      </c>
      <c r="L22" s="56" t="str">
        <f>IF(COUNTIFS('LANÇAMENTOS DIÁRIOS'!$G$5:$G$500,"H",'LANÇAMENTOS DIÁRIOS'!$C$5:$C$500,$A22,'LANÇAMENTOS DIÁRIOS'!$O$5:$O$500,"&lt;=125499",'LANÇAMENTOS DIÁRIOS'!$P$5:$P$500,"&gt;=125400")&gt;0,"X","")</f>
      </c>
      <c r="M22" s="56" t="str">
        <f>IF(COUNTIFS('LANÇAMENTOS DIÁRIOS'!$G$5:$G$500,"H",'LANÇAMENTOS DIÁRIOS'!$C$5:$C$500,$A22,'LANÇAMENTOS DIÁRIOS'!$O$5:$O$500,"&lt;=125599",'LANÇAMENTOS DIÁRIOS'!$P$5:$P$500,"&gt;=125500")&gt;0,"X","")</f>
      </c>
      <c r="N22" s="56" t="str">
        <f>IF(COUNTIFS('LANÇAMENTOS DIÁRIOS'!$G$5:$G$500,"H",'LANÇAMENTOS DIÁRIOS'!$C$5:$C$500,$A22,'LANÇAMENTOS DIÁRIOS'!$O$5:$O$500,"&lt;=125699",'LANÇAMENTOS DIÁRIOS'!$P$5:$P$500,"&gt;=125600")&gt;0,"X","")</f>
      </c>
      <c r="O22" s="56" t="str">
        <f>IF(COUNTIFS('LANÇAMENTOS DIÁRIOS'!$G$5:$G$500,"H",'LANÇAMENTOS DIÁRIOS'!$C$5:$C$500,$A22,'LANÇAMENTOS DIÁRIOS'!$O$5:$O$500,"&lt;=125799",'LANÇAMENTOS DIÁRIOS'!$P$5:$P$500,"&gt;=125700")&gt;0,"X","")</f>
      </c>
      <c r="P22" s="56" t="str">
        <f>IF(COUNTIFS('LANÇAMENTOS DIÁRIOS'!$G$5:$G$500,"H",'LANÇAMENTOS DIÁRIOS'!$C$5:$C$500,$A22,'LANÇAMENTOS DIÁRIOS'!$O$5:$O$500,"&lt;=125899",'LANÇAMENTOS DIÁRIOS'!$P$5:$P$500,"&gt;=125800")&gt;0,"X","")</f>
      </c>
      <c r="Q22" s="56" t="str">
        <f>IF(COUNTIFS('LANÇAMENTOS DIÁRIOS'!$G$5:$G$500,"H",'LANÇAMENTOS DIÁRIOS'!$C$5:$C$500,$A22,'LANÇAMENTOS DIÁRIOS'!$O$5:$O$500,"&lt;=125999",'LANÇAMENTOS DIÁRIOS'!$P$5:$P$500,"&gt;=125900")&gt;0,"X","")</f>
      </c>
      <c r="R22" s="56" t="str">
        <f>IF(COUNTIFS('LANÇAMENTOS DIÁRIOS'!$G$5:$G$500,"H",'LANÇAMENTOS DIÁRIOS'!$C$5:$C$500,$A22,'LANÇAMENTOS DIÁRIOS'!$O$5:$O$500,"&lt;=126099",'LANÇAMENTOS DIÁRIOS'!$P$5:$P$500,"&gt;=126000")&gt;0,"X","")</f>
      </c>
      <c r="S22" s="56" t="str">
        <f>IF(COUNTIFS('LANÇAMENTOS DIÁRIOS'!$G$5:$G$500,"H",'LANÇAMENTOS DIÁRIOS'!$C$5:$C$500,$A22,'LANÇAMENTOS DIÁRIOS'!$O$5:$O$500,"&lt;=126199",'LANÇAMENTOS DIÁRIOS'!$P$5:$P$500,"&gt;=126100")&gt;0,"X","")</f>
      </c>
      <c r="T22" s="56" t="str">
        <f>IF(COUNTIFS('LANÇAMENTOS DIÁRIOS'!$G$5:$G$500,"H",'LANÇAMENTOS DIÁRIOS'!$C$5:$C$500,$A22,'LANÇAMENTOS DIÁRIOS'!$O$5:$O$500,"&lt;=126299",'LANÇAMENTOS DIÁRIOS'!$P$5:$P$500,"&gt;=126200")&gt;0,"X","")</f>
      </c>
      <c r="U22" s="56" t="str">
        <f>IF(COUNTIFS('LANÇAMENTOS DIÁRIOS'!$G$5:$G$500,"H",'LANÇAMENTOS DIÁRIOS'!$C$5:$C$500,$A22,'LANÇAMENTOS DIÁRIOS'!$O$5:$O$500,"&lt;=126399",'LANÇAMENTOS DIÁRIOS'!$P$5:$P$500,"&gt;=126300")&gt;0,"X","")</f>
      </c>
      <c r="V22" s="56" t="str">
        <f>IF(COUNTIFS('LANÇAMENTOS DIÁRIOS'!$G$5:$G$500,"H",'LANÇAMENTOS DIÁRIOS'!$C$5:$C$500,$A22,'LANÇAMENTOS DIÁRIOS'!$O$5:$O$500,"&lt;=126499",'LANÇAMENTOS DIÁRIOS'!$P$5:$P$500,"&gt;=126400")&gt;0,"X","")</f>
      </c>
      <c r="W22" s="56" t="str">
        <f>IF(COUNTIFS('LANÇAMENTOS DIÁRIOS'!$G$5:$G$500,"H",'LANÇAMENTOS DIÁRIOS'!$C$5:$C$500,$A22,'LANÇAMENTOS DIÁRIOS'!$O$5:$O$500,"&lt;=126599",'LANÇAMENTOS DIÁRIOS'!$P$5:$P$500,"&gt;=126500")&gt;0,"X","")</f>
      </c>
      <c r="X22" s="56" t="str">
        <f>IF(COUNTIFS('LANÇAMENTOS DIÁRIOS'!$G$5:$G$500,"H",'LANÇAMENTOS DIÁRIOS'!$C$5:$C$500,$A22,'LANÇAMENTOS DIÁRIOS'!$O$5:$O$500,"&lt;=126699",'LANÇAMENTOS DIÁRIOS'!$P$5:$P$500,"&gt;=126600")&gt;0,"X","")</f>
      </c>
      <c r="Y22" s="56" t="str">
        <f>IF(COUNTIFS('LANÇAMENTOS DIÁRIOS'!$G$5:$G$500,"H",'LANÇAMENTOS DIÁRIOS'!$C$5:$C$500,$A22,'LANÇAMENTOS DIÁRIOS'!$O$5:$O$500,"&lt;=126799",'LANÇAMENTOS DIÁRIOS'!$P$5:$P$500,"&gt;=126700")&gt;0,"X","")</f>
      </c>
      <c r="Z22" s="56" t="str">
        <f>IF(COUNTIFS('LANÇAMENTOS DIÁRIOS'!$G$5:$G$500,"H",'LANÇAMENTOS DIÁRIOS'!$C$5:$C$500,$A22,'LANÇAMENTOS DIÁRIOS'!$O$5:$O$500,"&lt;=126899",'LANÇAMENTOS DIÁRIOS'!$P$5:$P$500,"&gt;=126800")&gt;0,"X","")</f>
      </c>
      <c r="AA22" s="56" t="str">
        <f>IF(COUNTIFS('LANÇAMENTOS DIÁRIOS'!$G$5:$G$500,"H",'LANÇAMENTOS DIÁRIOS'!$C$5:$C$500,$A22,'LANÇAMENTOS DIÁRIOS'!$O$5:$O$500,"&lt;=126999",'LANÇAMENTOS DIÁRIOS'!$P$5:$P$500,"&gt;=126900")&gt;0,"X","")</f>
      </c>
      <c r="AB22" s="56" t="str">
        <f>IF(COUNTIFS('LANÇAMENTOS DIÁRIOS'!$G$5:$G$500,"H",'LANÇAMENTOS DIÁRIOS'!$C$5:$C$500,$A22,'LANÇAMENTOS DIÁRIOS'!$O$5:$O$500,"&lt;=127099",'LANÇAMENTOS DIÁRIOS'!$P$5:$P$500,"&gt;=127000")&gt;0,"X","")</f>
      </c>
      <c r="AC22" s="56" t="str">
        <f>IF(COUNTIFS('LANÇAMENTOS DIÁRIOS'!$G$5:$G$500,"H",'LANÇAMENTOS DIÁRIOS'!$C$5:$C$500,$A22,'LANÇAMENTOS DIÁRIOS'!$O$5:$O$500,"&lt;=127199",'LANÇAMENTOS DIÁRIOS'!$P$5:$P$500,"&gt;=127100")&gt;0,"X","")</f>
      </c>
      <c r="AD22" s="56" t="str">
        <f>IF(COUNTIFS('LANÇAMENTOS DIÁRIOS'!$G$5:$G$500,"H",'LANÇAMENTOS DIÁRIOS'!$C$5:$C$500,$A22,'LANÇAMENTOS DIÁRIOS'!$O$5:$O$500,"&lt;=127299",'LANÇAMENTOS DIÁRIOS'!$P$5:$P$500,"&gt;=127200")&gt;0,"X","")</f>
      </c>
      <c r="AE22" s="56" t="str">
        <f>IF(COUNTIFS('LANÇAMENTOS DIÁRIOS'!$G$5:$G$500,"H",'LANÇAMENTOS DIÁRIOS'!$C$5:$C$500,$A22,'LANÇAMENTOS DIÁRIOS'!$O$5:$O$500,"&lt;=127399",'LANÇAMENTOS DIÁRIOS'!$P$5:$P$500,"&gt;=127300")&gt;0,"X","")</f>
      </c>
      <c r="AF22" s="56" t="str">
        <f>IF(COUNTIFS('LANÇAMENTOS DIÁRIOS'!$G$5:$G$500,"H",'LANÇAMENTOS DIÁRIOS'!$C$5:$C$500,$A22,'LANÇAMENTOS DIÁRIOS'!$O$5:$O$500,"&lt;=127499",'LANÇAMENTOS DIÁRIOS'!$P$5:$P$500,"&gt;=127400")&gt;0,"X","")</f>
      </c>
      <c r="AG22" s="56" t="str">
        <f>IF(COUNTIFS('LANÇAMENTOS DIÁRIOS'!$G$5:$G$500,"H",'LANÇAMENTOS DIÁRIOS'!$C$5:$C$500,$A22,'LANÇAMENTOS DIÁRIOS'!$O$5:$O$500,"&lt;=127599",'LANÇAMENTOS DIÁRIOS'!$P$5:$P$500,"&gt;=127500")&gt;0,"X","")</f>
      </c>
      <c r="AH22" s="56" t="str">
        <f>IF(COUNTIFS('LANÇAMENTOS DIÁRIOS'!$G$5:$G$500,"H",'LANÇAMENTOS DIÁRIOS'!$C$5:$C$500,$A22,'LANÇAMENTOS DIÁRIOS'!$O$5:$O$500,"&lt;=127699",'LANÇAMENTOS DIÁRIOS'!$P$5:$P$500,"&gt;=127600")&gt;0,"X","")</f>
      </c>
      <c r="AI22" s="56" t="str">
        <f>IF(COUNTIFS('LANÇAMENTOS DIÁRIOS'!$G$5:$G$500,"H",'LANÇAMENTOS DIÁRIOS'!$C$5:$C$500,$A22,'LANÇAMENTOS DIÁRIOS'!$O$5:$O$500,"&lt;=127799",'LANÇAMENTOS DIÁRIOS'!$P$5:$P$500,"&gt;=127700")&gt;0,"X","")</f>
      </c>
      <c r="AJ22" s="56" t="str">
        <f>IF(COUNTIFS('LANÇAMENTOS DIÁRIOS'!$G$5:$G$500,"H",'LANÇAMENTOS DIÁRIOS'!$C$5:$C$500,$A22,'LANÇAMENTOS DIÁRIOS'!$O$5:$O$500,"&lt;=127899",'LANÇAMENTOS DIÁRIOS'!$P$5:$P$500,"&gt;=127800")&gt;0,"X","")</f>
      </c>
      <c r="AK22" s="56" t="str">
        <f>IF(COUNTIFS('LANÇAMENTOS DIÁRIOS'!$G$5:$G$500,"H",'LANÇAMENTOS DIÁRIOS'!$C$5:$C$500,$A22,'LANÇAMENTOS DIÁRIOS'!$O$5:$O$500,"&lt;=127999",'LANÇAMENTOS DIÁRIOS'!$P$5:$P$500,"&gt;=127900")&gt;0,"X","")</f>
      </c>
      <c r="AL22" s="56" t="str">
        <f>IF(COUNTIFS('LANÇAMENTOS DIÁRIOS'!$G$5:$G$500,"H",'LANÇAMENTOS DIÁRIOS'!$C$5:$C$500,$A22,'LANÇAMENTOS DIÁRIOS'!$O$5:$O$500,"&lt;=128099",'LANÇAMENTOS DIÁRIOS'!$P$5:$P$500,"&gt;=128000")&gt;0,"X","")</f>
      </c>
      <c r="AM22" s="56" t="str">
        <f>IF(COUNTIFS('LANÇAMENTOS DIÁRIOS'!$G$5:$G$500,"H",'LANÇAMENTOS DIÁRIOS'!$C$5:$C$500,$A22,'LANÇAMENTOS DIÁRIOS'!$O$5:$O$500,"&lt;=128199",'LANÇAMENTOS DIÁRIOS'!$P$5:$P$500,"&gt;=128100")&gt;0,"X","")</f>
      </c>
      <c r="AN22" s="56" t="str">
        <f>IF(COUNTIFS('LANÇAMENTOS DIÁRIOS'!$G$5:$G$500,"H",'LANÇAMENTOS DIÁRIOS'!$C$5:$C$500,$A22,'LANÇAMENTOS DIÁRIOS'!$O$5:$O$500,"&lt;=128299",'LANÇAMENTOS DIÁRIOS'!$P$5:$P$500,"&gt;=128200")&gt;0,"X","")</f>
      </c>
      <c r="AO22" s="56" t="str">
        <f>IF(COUNTIFS('LANÇAMENTOS DIÁRIOS'!$G$5:$G$500,"H",'LANÇAMENTOS DIÁRIOS'!$C$5:$C$500,$A22,'LANÇAMENTOS DIÁRIOS'!$O$5:$O$500,"&lt;=128399",'LANÇAMENTOS DIÁRIOS'!$P$5:$P$500,"&gt;=128300")&gt;0,"X","")</f>
      </c>
      <c r="AP22" s="56" t="str">
        <f>IF(COUNTIFS('LANÇAMENTOS DIÁRIOS'!$G$5:$G$500,"H",'LANÇAMENTOS DIÁRIOS'!$C$5:$C$500,$A22,'LANÇAMENTOS DIÁRIOS'!$O$5:$O$500,"&lt;=128499",'LANÇAMENTOS DIÁRIOS'!$P$5:$P$500,"&gt;=128400")&gt;0,"X","")</f>
      </c>
      <c r="AQ22" s="56" t="str">
        <f>IF(COUNTIFS('LANÇAMENTOS DIÁRIOS'!$G$5:$G$500,"H",'LANÇAMENTOS DIÁRIOS'!$C$5:$C$500,$A22,'LANÇAMENTOS DIÁRIOS'!$O$5:$O$500,"&lt;=128599",'LANÇAMENTOS DIÁRIOS'!$P$5:$P$500,"&gt;=128500")&gt;0,"X","")</f>
      </c>
      <c r="AR22" s="56" t="str">
        <f>IF(COUNTIFS('LANÇAMENTOS DIÁRIOS'!$G$5:$G$500,"H",'LANÇAMENTOS DIÁRIOS'!$C$5:$C$500,$A22,'LANÇAMENTOS DIÁRIOS'!$O$5:$O$500,"&lt;=128699",'LANÇAMENTOS DIÁRIOS'!$P$5:$P$500,"&gt;=128600")&gt;0,"X","")</f>
      </c>
      <c r="AS22" s="56" t="str">
        <f>IF(COUNTIFS('LANÇAMENTOS DIÁRIOS'!$G$5:$G$500,"H",'LANÇAMENTOS DIÁRIOS'!$C$5:$C$500,$A22,'LANÇAMENTOS DIÁRIOS'!$O$5:$O$500,"&lt;=128799",'LANÇAMENTOS DIÁRIOS'!$P$5:$P$500,"&gt;=128700")&gt;0,"X","")</f>
      </c>
      <c r="AT22" s="56" t="str">
        <f>IF(COUNTIFS('LANÇAMENTOS DIÁRIOS'!$G$5:$G$500,"H",'LANÇAMENTOS DIÁRIOS'!$C$5:$C$500,$A22,'LANÇAMENTOS DIÁRIOS'!$O$5:$O$500,"&lt;=128899",'LANÇAMENTOS DIÁRIOS'!$P$5:$P$500,"&gt;=128800")&gt;0,"X","")</f>
      </c>
      <c r="AU22" s="56" t="str">
        <f>IF(COUNTIFS('LANÇAMENTOS DIÁRIOS'!$G$5:$G$500,"H",'LANÇAMENTOS DIÁRIOS'!$C$5:$C$500,$A22,'LANÇAMENTOS DIÁRIOS'!$O$5:$O$500,"&lt;=128999",'LANÇAMENTOS DIÁRIOS'!$P$5:$P$500,"&gt;=128900")&gt;0,"X","")</f>
      </c>
      <c r="AV22" s="56" t="str">
        <f>IF(COUNTIFS('LANÇAMENTOS DIÁRIOS'!$G$5:$G$500,"H",'LANÇAMENTOS DIÁRIOS'!$C$5:$C$500,$A22,'LANÇAMENTOS DIÁRIOS'!$O$5:$O$500,"&lt;=129099",'LANÇAMENTOS DIÁRIOS'!$P$5:$P$500,"&gt;=129000")&gt;0,"X","")</f>
      </c>
      <c r="AW22" s="56" t="str">
        <f>IF(COUNTIFS('LANÇAMENTOS DIÁRIOS'!$G$5:$G$500,"H",'LANÇAMENTOS DIÁRIOS'!$C$5:$C$500,$A22,'LANÇAMENTOS DIÁRIOS'!$O$5:$O$500,"&lt;=129199",'LANÇAMENTOS DIÁRIOS'!$P$5:$P$500,"&gt;=129100")&gt;0,"X","")</f>
      </c>
      <c r="AX22" s="56" t="str">
        <f>IF(COUNTIFS('LANÇAMENTOS DIÁRIOS'!$G$5:$G$500,"H",'LANÇAMENTOS DIÁRIOS'!$C$5:$C$500,$A22,'LANÇAMENTOS DIÁRIOS'!$O$5:$O$500,"&lt;=129299",'LANÇAMENTOS DIÁRIOS'!$P$5:$P$500,"&gt;=129200")&gt;0,"X","")</f>
      </c>
      <c r="AY22" s="56" t="str">
        <f>IF(COUNTIFS('LANÇAMENTOS DIÁRIOS'!$G$5:$G$500,"H",'LANÇAMENTOS DIÁRIOS'!$C$5:$C$500,$A22,'LANÇAMENTOS DIÁRIOS'!$O$5:$O$500,"&lt;=129399",'LANÇAMENTOS DIÁRIOS'!$P$5:$P$500,"&gt;=129300")&gt;0,"X","")</f>
      </c>
      <c r="AZ22" s="56" t="str">
        <f>IF(COUNTIFS('LANÇAMENTOS DIÁRIOS'!$G$5:$G$500,"H",'LANÇAMENTOS DIÁRIOS'!$C$5:$C$500,$A22,'LANÇAMENTOS DIÁRIOS'!$O$5:$O$500,"&lt;=129400",'LANÇAMENTOS DIÁRIOS'!$P$5:$P$500,"&gt;=129400")&gt;0,"X","")</f>
      </c>
    </row>
    <row r="23">
      <c r="A23" s="51" t="str">
        <v>Remoção de placa de sinalização vertical instalada no solo</v>
      </c>
      <c r="B23" s="56" t="str">
        <f>IF(COUNTIFS('LANÇAMENTOS DIÁRIOS'!$G$5:$G$500,"H",'LANÇAMENTOS DIÁRIOS'!$C$5:$C$500,$A23,'LANÇAMENTOS DIÁRIOS'!$O$5:$O$500,"&lt;=124499",'LANÇAMENTOS DIÁRIOS'!$P$5:$P$500,"&gt;=124400")&gt;0,"X","")</f>
      </c>
      <c r="C23" s="56" t="str">
        <f>IF(COUNTIFS('LANÇAMENTOS DIÁRIOS'!$G$5:$G$500,"H",'LANÇAMENTOS DIÁRIOS'!$C$5:$C$500,$A23,'LANÇAMENTOS DIÁRIOS'!$O$5:$O$500,"&lt;=124599",'LANÇAMENTOS DIÁRIOS'!$P$5:$P$500,"&gt;=124500")&gt;0,"X","")</f>
      </c>
      <c r="D23" s="56" t="str">
        <f>IF(COUNTIFS('LANÇAMENTOS DIÁRIOS'!$G$5:$G$500,"H",'LANÇAMENTOS DIÁRIOS'!$C$5:$C$500,$A23,'LANÇAMENTOS DIÁRIOS'!$O$5:$O$500,"&lt;=124699",'LANÇAMENTOS DIÁRIOS'!$P$5:$P$500,"&gt;=124600")&gt;0,"X","")</f>
      </c>
      <c r="E23" s="56" t="str">
        <f>IF(COUNTIFS('LANÇAMENTOS DIÁRIOS'!$G$5:$G$500,"H",'LANÇAMENTOS DIÁRIOS'!$C$5:$C$500,$A23,'LANÇAMENTOS DIÁRIOS'!$O$5:$O$500,"&lt;=124799",'LANÇAMENTOS DIÁRIOS'!$P$5:$P$500,"&gt;=124700")&gt;0,"X","")</f>
      </c>
      <c r="F23" s="56" t="str">
        <f>IF(COUNTIFS('LANÇAMENTOS DIÁRIOS'!$G$5:$G$500,"H",'LANÇAMENTOS DIÁRIOS'!$C$5:$C$500,$A23,'LANÇAMENTOS DIÁRIOS'!$O$5:$O$500,"&lt;=124899",'LANÇAMENTOS DIÁRIOS'!$P$5:$P$500,"&gt;=124800")&gt;0,"X","")</f>
      </c>
      <c r="G23" s="56" t="str">
        <f>IF(COUNTIFS('LANÇAMENTOS DIÁRIOS'!$G$5:$G$500,"H",'LANÇAMENTOS DIÁRIOS'!$C$5:$C$500,$A23,'LANÇAMENTOS DIÁRIOS'!$O$5:$O$500,"&lt;=124999",'LANÇAMENTOS DIÁRIOS'!$P$5:$P$500,"&gt;=124900")&gt;0,"X","")</f>
      </c>
      <c r="H23" s="56" t="str">
        <f>IF(COUNTIFS('LANÇAMENTOS DIÁRIOS'!$G$5:$G$500,"H",'LANÇAMENTOS DIÁRIOS'!$C$5:$C$500,$A23,'LANÇAMENTOS DIÁRIOS'!$O$5:$O$500,"&lt;=125099",'LANÇAMENTOS DIÁRIOS'!$P$5:$P$500,"&gt;=125000")&gt;0,"X","")</f>
      </c>
      <c r="I23" s="56" t="str">
        <f>IF(COUNTIFS('LANÇAMENTOS DIÁRIOS'!$G$5:$G$500,"H",'LANÇAMENTOS DIÁRIOS'!$C$5:$C$500,$A23,'LANÇAMENTOS DIÁRIOS'!$O$5:$O$500,"&lt;=125199",'LANÇAMENTOS DIÁRIOS'!$P$5:$P$500,"&gt;=125100")&gt;0,"X","")</f>
      </c>
      <c r="J23" s="56" t="str">
        <f>IF(COUNTIFS('LANÇAMENTOS DIÁRIOS'!$G$5:$G$500,"H",'LANÇAMENTOS DIÁRIOS'!$C$5:$C$500,$A23,'LANÇAMENTOS DIÁRIOS'!$O$5:$O$500,"&lt;=125299",'LANÇAMENTOS DIÁRIOS'!$P$5:$P$500,"&gt;=125200")&gt;0,"X","")</f>
      </c>
      <c r="K23" s="56" t="str">
        <f>IF(COUNTIFS('LANÇAMENTOS DIÁRIOS'!$G$5:$G$500,"H",'LANÇAMENTOS DIÁRIOS'!$C$5:$C$500,$A23,'LANÇAMENTOS DIÁRIOS'!$O$5:$O$500,"&lt;=125399",'LANÇAMENTOS DIÁRIOS'!$P$5:$P$500,"&gt;=125300")&gt;0,"X","")</f>
      </c>
      <c r="L23" s="56" t="str">
        <f>IF(COUNTIFS('LANÇAMENTOS DIÁRIOS'!$G$5:$G$500,"H",'LANÇAMENTOS DIÁRIOS'!$C$5:$C$500,$A23,'LANÇAMENTOS DIÁRIOS'!$O$5:$O$500,"&lt;=125499",'LANÇAMENTOS DIÁRIOS'!$P$5:$P$500,"&gt;=125400")&gt;0,"X","")</f>
      </c>
      <c r="M23" s="56" t="str">
        <f>IF(COUNTIFS('LANÇAMENTOS DIÁRIOS'!$G$5:$G$500,"H",'LANÇAMENTOS DIÁRIOS'!$C$5:$C$500,$A23,'LANÇAMENTOS DIÁRIOS'!$O$5:$O$500,"&lt;=125599",'LANÇAMENTOS DIÁRIOS'!$P$5:$P$500,"&gt;=125500")&gt;0,"X","")</f>
      </c>
      <c r="N23" s="56" t="str">
        <f>IF(COUNTIFS('LANÇAMENTOS DIÁRIOS'!$G$5:$G$500,"H",'LANÇAMENTOS DIÁRIOS'!$C$5:$C$500,$A23,'LANÇAMENTOS DIÁRIOS'!$O$5:$O$500,"&lt;=125699",'LANÇAMENTOS DIÁRIOS'!$P$5:$P$500,"&gt;=125600")&gt;0,"X","")</f>
      </c>
      <c r="O23" s="56" t="str">
        <f>IF(COUNTIFS('LANÇAMENTOS DIÁRIOS'!$G$5:$G$500,"H",'LANÇAMENTOS DIÁRIOS'!$C$5:$C$500,$A23,'LANÇAMENTOS DIÁRIOS'!$O$5:$O$500,"&lt;=125799",'LANÇAMENTOS DIÁRIOS'!$P$5:$P$500,"&gt;=125700")&gt;0,"X","")</f>
      </c>
      <c r="P23" s="56" t="str">
        <f>IF(COUNTIFS('LANÇAMENTOS DIÁRIOS'!$G$5:$G$500,"H",'LANÇAMENTOS DIÁRIOS'!$C$5:$C$500,$A23,'LANÇAMENTOS DIÁRIOS'!$O$5:$O$500,"&lt;=125899",'LANÇAMENTOS DIÁRIOS'!$P$5:$P$500,"&gt;=125800")&gt;0,"X","")</f>
      </c>
      <c r="Q23" s="56" t="str">
        <f>IF(COUNTIFS('LANÇAMENTOS DIÁRIOS'!$G$5:$G$500,"H",'LANÇAMENTOS DIÁRIOS'!$C$5:$C$500,$A23,'LANÇAMENTOS DIÁRIOS'!$O$5:$O$500,"&lt;=125999",'LANÇAMENTOS DIÁRIOS'!$P$5:$P$500,"&gt;=125900")&gt;0,"X","")</f>
      </c>
      <c r="R23" s="56" t="str">
        <f>IF(COUNTIFS('LANÇAMENTOS DIÁRIOS'!$G$5:$G$500,"H",'LANÇAMENTOS DIÁRIOS'!$C$5:$C$500,$A23,'LANÇAMENTOS DIÁRIOS'!$O$5:$O$500,"&lt;=126099",'LANÇAMENTOS DIÁRIOS'!$P$5:$P$500,"&gt;=126000")&gt;0,"X","")</f>
      </c>
      <c r="S23" s="56" t="str">
        <f>IF(COUNTIFS('LANÇAMENTOS DIÁRIOS'!$G$5:$G$500,"H",'LANÇAMENTOS DIÁRIOS'!$C$5:$C$500,$A23,'LANÇAMENTOS DIÁRIOS'!$O$5:$O$500,"&lt;=126199",'LANÇAMENTOS DIÁRIOS'!$P$5:$P$500,"&gt;=126100")&gt;0,"X","")</f>
      </c>
      <c r="T23" s="56" t="str">
        <f>IF(COUNTIFS('LANÇAMENTOS DIÁRIOS'!$G$5:$G$500,"H",'LANÇAMENTOS DIÁRIOS'!$C$5:$C$500,$A23,'LANÇAMENTOS DIÁRIOS'!$O$5:$O$500,"&lt;=126299",'LANÇAMENTOS DIÁRIOS'!$P$5:$P$500,"&gt;=126200")&gt;0,"X","")</f>
      </c>
      <c r="U23" s="56" t="str">
        <f>IF(COUNTIFS('LANÇAMENTOS DIÁRIOS'!$G$5:$G$500,"H",'LANÇAMENTOS DIÁRIOS'!$C$5:$C$500,$A23,'LANÇAMENTOS DIÁRIOS'!$O$5:$O$500,"&lt;=126399",'LANÇAMENTOS DIÁRIOS'!$P$5:$P$500,"&gt;=126300")&gt;0,"X","")</f>
      </c>
      <c r="V23" s="56" t="str">
        <f>IF(COUNTIFS('LANÇAMENTOS DIÁRIOS'!$G$5:$G$500,"H",'LANÇAMENTOS DIÁRIOS'!$C$5:$C$500,$A23,'LANÇAMENTOS DIÁRIOS'!$O$5:$O$500,"&lt;=126499",'LANÇAMENTOS DIÁRIOS'!$P$5:$P$500,"&gt;=126400")&gt;0,"X","")</f>
      </c>
      <c r="W23" s="56" t="str">
        <f>IF(COUNTIFS('LANÇAMENTOS DIÁRIOS'!$G$5:$G$500,"H",'LANÇAMENTOS DIÁRIOS'!$C$5:$C$500,$A23,'LANÇAMENTOS DIÁRIOS'!$O$5:$O$500,"&lt;=126599",'LANÇAMENTOS DIÁRIOS'!$P$5:$P$500,"&gt;=126500")&gt;0,"X","")</f>
      </c>
      <c r="X23" s="56" t="str">
        <f>IF(COUNTIFS('LANÇAMENTOS DIÁRIOS'!$G$5:$G$500,"H",'LANÇAMENTOS DIÁRIOS'!$C$5:$C$500,$A23,'LANÇAMENTOS DIÁRIOS'!$O$5:$O$500,"&lt;=126699",'LANÇAMENTOS DIÁRIOS'!$P$5:$P$500,"&gt;=126600")&gt;0,"X","")</f>
      </c>
      <c r="Y23" s="56" t="str">
        <f>IF(COUNTIFS('LANÇAMENTOS DIÁRIOS'!$G$5:$G$500,"H",'LANÇAMENTOS DIÁRIOS'!$C$5:$C$500,$A23,'LANÇAMENTOS DIÁRIOS'!$O$5:$O$500,"&lt;=126799",'LANÇAMENTOS DIÁRIOS'!$P$5:$P$500,"&gt;=126700")&gt;0,"X","")</f>
      </c>
      <c r="Z23" s="56" t="str">
        <f>IF(COUNTIFS('LANÇAMENTOS DIÁRIOS'!$G$5:$G$500,"H",'LANÇAMENTOS DIÁRIOS'!$C$5:$C$500,$A23,'LANÇAMENTOS DIÁRIOS'!$O$5:$O$500,"&lt;=126899",'LANÇAMENTOS DIÁRIOS'!$P$5:$P$500,"&gt;=126800")&gt;0,"X","")</f>
      </c>
      <c r="AA23" s="56" t="str">
        <f>IF(COUNTIFS('LANÇAMENTOS DIÁRIOS'!$G$5:$G$500,"H",'LANÇAMENTOS DIÁRIOS'!$C$5:$C$500,$A23,'LANÇAMENTOS DIÁRIOS'!$O$5:$O$500,"&lt;=126999",'LANÇAMENTOS DIÁRIOS'!$P$5:$P$500,"&gt;=126900")&gt;0,"X","")</f>
      </c>
      <c r="AB23" s="56" t="str">
        <f>IF(COUNTIFS('LANÇAMENTOS DIÁRIOS'!$G$5:$G$500,"H",'LANÇAMENTOS DIÁRIOS'!$C$5:$C$500,$A23,'LANÇAMENTOS DIÁRIOS'!$O$5:$O$500,"&lt;=127099",'LANÇAMENTOS DIÁRIOS'!$P$5:$P$500,"&gt;=127000")&gt;0,"X","")</f>
      </c>
      <c r="AC23" s="56" t="str">
        <f>IF(COUNTIFS('LANÇAMENTOS DIÁRIOS'!$G$5:$G$500,"H",'LANÇAMENTOS DIÁRIOS'!$C$5:$C$500,$A23,'LANÇAMENTOS DIÁRIOS'!$O$5:$O$500,"&lt;=127199",'LANÇAMENTOS DIÁRIOS'!$P$5:$P$500,"&gt;=127100")&gt;0,"X","")</f>
      </c>
      <c r="AD23" s="56" t="str">
        <f>IF(COUNTIFS('LANÇAMENTOS DIÁRIOS'!$G$5:$G$500,"H",'LANÇAMENTOS DIÁRIOS'!$C$5:$C$500,$A23,'LANÇAMENTOS DIÁRIOS'!$O$5:$O$500,"&lt;=127299",'LANÇAMENTOS DIÁRIOS'!$P$5:$P$500,"&gt;=127200")&gt;0,"X","")</f>
      </c>
      <c r="AE23" s="56" t="str">
        <f>IF(COUNTIFS('LANÇAMENTOS DIÁRIOS'!$G$5:$G$500,"H",'LANÇAMENTOS DIÁRIOS'!$C$5:$C$500,$A23,'LANÇAMENTOS DIÁRIOS'!$O$5:$O$500,"&lt;=127399",'LANÇAMENTOS DIÁRIOS'!$P$5:$P$500,"&gt;=127300")&gt;0,"X","")</f>
      </c>
      <c r="AF23" s="56" t="str">
        <f>IF(COUNTIFS('LANÇAMENTOS DIÁRIOS'!$G$5:$G$500,"H",'LANÇAMENTOS DIÁRIOS'!$C$5:$C$500,$A23,'LANÇAMENTOS DIÁRIOS'!$O$5:$O$500,"&lt;=127499",'LANÇAMENTOS DIÁRIOS'!$P$5:$P$500,"&gt;=127400")&gt;0,"X","")</f>
      </c>
      <c r="AG23" s="56" t="str">
        <f>IF(COUNTIFS('LANÇAMENTOS DIÁRIOS'!$G$5:$G$500,"H",'LANÇAMENTOS DIÁRIOS'!$C$5:$C$500,$A23,'LANÇAMENTOS DIÁRIOS'!$O$5:$O$500,"&lt;=127599",'LANÇAMENTOS DIÁRIOS'!$P$5:$P$500,"&gt;=127500")&gt;0,"X","")</f>
      </c>
      <c r="AH23" s="56" t="str">
        <f>IF(COUNTIFS('LANÇAMENTOS DIÁRIOS'!$G$5:$G$500,"H",'LANÇAMENTOS DIÁRIOS'!$C$5:$C$500,$A23,'LANÇAMENTOS DIÁRIOS'!$O$5:$O$500,"&lt;=127699",'LANÇAMENTOS DIÁRIOS'!$P$5:$P$500,"&gt;=127600")&gt;0,"X","")</f>
      </c>
      <c r="AI23" s="56" t="str">
        <f>IF(COUNTIFS('LANÇAMENTOS DIÁRIOS'!$G$5:$G$500,"H",'LANÇAMENTOS DIÁRIOS'!$C$5:$C$500,$A23,'LANÇAMENTOS DIÁRIOS'!$O$5:$O$500,"&lt;=127799",'LANÇAMENTOS DIÁRIOS'!$P$5:$P$500,"&gt;=127700")&gt;0,"X","")</f>
      </c>
      <c r="AJ23" s="56" t="str">
        <f>IF(COUNTIFS('LANÇAMENTOS DIÁRIOS'!$G$5:$G$500,"H",'LANÇAMENTOS DIÁRIOS'!$C$5:$C$500,$A23,'LANÇAMENTOS DIÁRIOS'!$O$5:$O$500,"&lt;=127899",'LANÇAMENTOS DIÁRIOS'!$P$5:$P$500,"&gt;=127800")&gt;0,"X","")</f>
      </c>
      <c r="AK23" s="56" t="str">
        <f>IF(COUNTIFS('LANÇAMENTOS DIÁRIOS'!$G$5:$G$500,"H",'LANÇAMENTOS DIÁRIOS'!$C$5:$C$500,$A23,'LANÇAMENTOS DIÁRIOS'!$O$5:$O$500,"&lt;=127999",'LANÇAMENTOS DIÁRIOS'!$P$5:$P$500,"&gt;=127900")&gt;0,"X","")</f>
      </c>
      <c r="AL23" s="56" t="str">
        <f>IF(COUNTIFS('LANÇAMENTOS DIÁRIOS'!$G$5:$G$500,"H",'LANÇAMENTOS DIÁRIOS'!$C$5:$C$500,$A23,'LANÇAMENTOS DIÁRIOS'!$O$5:$O$500,"&lt;=128099",'LANÇAMENTOS DIÁRIOS'!$P$5:$P$500,"&gt;=128000")&gt;0,"X","")</f>
      </c>
      <c r="AM23" s="56" t="str">
        <f>IF(COUNTIFS('LANÇAMENTOS DIÁRIOS'!$G$5:$G$500,"H",'LANÇAMENTOS DIÁRIOS'!$C$5:$C$500,$A23,'LANÇAMENTOS DIÁRIOS'!$O$5:$O$500,"&lt;=128199",'LANÇAMENTOS DIÁRIOS'!$P$5:$P$500,"&gt;=128100")&gt;0,"X","")</f>
      </c>
      <c r="AN23" s="56" t="str">
        <f>IF(COUNTIFS('LANÇAMENTOS DIÁRIOS'!$G$5:$G$500,"H",'LANÇAMENTOS DIÁRIOS'!$C$5:$C$500,$A23,'LANÇAMENTOS DIÁRIOS'!$O$5:$O$500,"&lt;=128299",'LANÇAMENTOS DIÁRIOS'!$P$5:$P$500,"&gt;=128200")&gt;0,"X","")</f>
      </c>
      <c r="AO23" s="56" t="str">
        <f>IF(COUNTIFS('LANÇAMENTOS DIÁRIOS'!$G$5:$G$500,"H",'LANÇAMENTOS DIÁRIOS'!$C$5:$C$500,$A23,'LANÇAMENTOS DIÁRIOS'!$O$5:$O$500,"&lt;=128399",'LANÇAMENTOS DIÁRIOS'!$P$5:$P$500,"&gt;=128300")&gt;0,"X","")</f>
      </c>
      <c r="AP23" s="56" t="str">
        <f>IF(COUNTIFS('LANÇAMENTOS DIÁRIOS'!$G$5:$G$500,"H",'LANÇAMENTOS DIÁRIOS'!$C$5:$C$500,$A23,'LANÇAMENTOS DIÁRIOS'!$O$5:$O$500,"&lt;=128499",'LANÇAMENTOS DIÁRIOS'!$P$5:$P$500,"&gt;=128400")&gt;0,"X","")</f>
      </c>
      <c r="AQ23" s="56" t="str">
        <f>IF(COUNTIFS('LANÇAMENTOS DIÁRIOS'!$G$5:$G$500,"H",'LANÇAMENTOS DIÁRIOS'!$C$5:$C$500,$A23,'LANÇAMENTOS DIÁRIOS'!$O$5:$O$500,"&lt;=128599",'LANÇAMENTOS DIÁRIOS'!$P$5:$P$500,"&gt;=128500")&gt;0,"X","")</f>
      </c>
      <c r="AR23" s="56" t="str">
        <f>IF(COUNTIFS('LANÇAMENTOS DIÁRIOS'!$G$5:$G$500,"H",'LANÇAMENTOS DIÁRIOS'!$C$5:$C$500,$A23,'LANÇAMENTOS DIÁRIOS'!$O$5:$O$500,"&lt;=128699",'LANÇAMENTOS DIÁRIOS'!$P$5:$P$500,"&gt;=128600")&gt;0,"X","")</f>
      </c>
      <c r="AS23" s="56" t="str">
        <f>IF(COUNTIFS('LANÇAMENTOS DIÁRIOS'!$G$5:$G$500,"H",'LANÇAMENTOS DIÁRIOS'!$C$5:$C$500,$A23,'LANÇAMENTOS DIÁRIOS'!$O$5:$O$500,"&lt;=128799",'LANÇAMENTOS DIÁRIOS'!$P$5:$P$500,"&gt;=128700")&gt;0,"X","")</f>
      </c>
      <c r="AT23" s="56" t="str">
        <f>IF(COUNTIFS('LANÇAMENTOS DIÁRIOS'!$G$5:$G$500,"H",'LANÇAMENTOS DIÁRIOS'!$C$5:$C$500,$A23,'LANÇAMENTOS DIÁRIOS'!$O$5:$O$500,"&lt;=128899",'LANÇAMENTOS DIÁRIOS'!$P$5:$P$500,"&gt;=128800")&gt;0,"X","")</f>
      </c>
      <c r="AU23" s="56" t="str">
        <f>IF(COUNTIFS('LANÇAMENTOS DIÁRIOS'!$G$5:$G$500,"H",'LANÇAMENTOS DIÁRIOS'!$C$5:$C$500,$A23,'LANÇAMENTOS DIÁRIOS'!$O$5:$O$500,"&lt;=128999",'LANÇAMENTOS DIÁRIOS'!$P$5:$P$500,"&gt;=128900")&gt;0,"X","")</f>
      </c>
      <c r="AV23" s="56" t="str">
        <f>IF(COUNTIFS('LANÇAMENTOS DIÁRIOS'!$G$5:$G$500,"H",'LANÇAMENTOS DIÁRIOS'!$C$5:$C$500,$A23,'LANÇAMENTOS DIÁRIOS'!$O$5:$O$500,"&lt;=129099",'LANÇAMENTOS DIÁRIOS'!$P$5:$P$500,"&gt;=129000")&gt;0,"X","")</f>
      </c>
      <c r="AW23" s="56" t="str">
        <f>IF(COUNTIFS('LANÇAMENTOS DIÁRIOS'!$G$5:$G$500,"H",'LANÇAMENTOS DIÁRIOS'!$C$5:$C$500,$A23,'LANÇAMENTOS DIÁRIOS'!$O$5:$O$500,"&lt;=129199",'LANÇAMENTOS DIÁRIOS'!$P$5:$P$500,"&gt;=129100")&gt;0,"X","")</f>
      </c>
      <c r="AX23" s="56" t="str">
        <f>IF(COUNTIFS('LANÇAMENTOS DIÁRIOS'!$G$5:$G$500,"H",'LANÇAMENTOS DIÁRIOS'!$C$5:$C$500,$A23,'LANÇAMENTOS DIÁRIOS'!$O$5:$O$500,"&lt;=129299",'LANÇAMENTOS DIÁRIOS'!$P$5:$P$500,"&gt;=129200")&gt;0,"X","")</f>
      </c>
      <c r="AY23" s="56" t="str">
        <f>IF(COUNTIFS('LANÇAMENTOS DIÁRIOS'!$G$5:$G$500,"H",'LANÇAMENTOS DIÁRIOS'!$C$5:$C$500,$A23,'LANÇAMENTOS DIÁRIOS'!$O$5:$O$500,"&lt;=129399",'LANÇAMENTOS DIÁRIOS'!$P$5:$P$500,"&gt;=129300")&gt;0,"X","")</f>
      </c>
      <c r="AZ23" s="56" t="str">
        <f>IF(COUNTIFS('LANÇAMENTOS DIÁRIOS'!$G$5:$G$500,"H",'LANÇAMENTOS DIÁRIOS'!$C$5:$C$500,$A23,'LANÇAMENTOS DIÁRIOS'!$O$5:$O$500,"&lt;=129400",'LANÇAMENTOS DIÁRIOS'!$P$5:$P$500,"&gt;=129400")&gt;0,"X","")</f>
      </c>
    </row>
    <row r="24" ht="21" customHeight="1">
      <c r="A24" s="60" t="str">
        <v>Terraplenagem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</row>
    <row r="25" ht="19" customHeight="1">
      <c r="A25" s="68" t="str">
        <v>Desmatamento e limpeza do terreno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</row>
    <row r="26">
      <c r="A26" s="51" t="str">
        <v>Limpeza do terreno com destocamento de árvore d=&lt;0,15m</v>
      </c>
      <c r="B26" s="56" t="str">
        <f>IF(COUNTIFS('LANÇAMENTOS DIÁRIOS'!$G$5:$G$500,"H",'LANÇAMENTOS DIÁRIOS'!$C$5:$C$500,$A26,'LANÇAMENTOS DIÁRIOS'!$O$5:$O$500,"&lt;=124499",'LANÇAMENTOS DIÁRIOS'!$P$5:$P$500,"&gt;=124400")&gt;0,"X","")</f>
      </c>
      <c r="C26" s="56" t="str">
        <f>IF(COUNTIFS('LANÇAMENTOS DIÁRIOS'!$G$5:$G$500,"H",'LANÇAMENTOS DIÁRIOS'!$C$5:$C$500,$A26,'LANÇAMENTOS DIÁRIOS'!$O$5:$O$500,"&lt;=124599",'LANÇAMENTOS DIÁRIOS'!$P$5:$P$500,"&gt;=124500")&gt;0,"X","")</f>
      </c>
      <c r="D26" s="56" t="str">
        <f>IF(COUNTIFS('LANÇAMENTOS DIÁRIOS'!$G$5:$G$500,"H",'LANÇAMENTOS DIÁRIOS'!$C$5:$C$500,$A26,'LANÇAMENTOS DIÁRIOS'!$O$5:$O$500,"&lt;=124699",'LANÇAMENTOS DIÁRIOS'!$P$5:$P$500,"&gt;=124600")&gt;0,"X","")</f>
      </c>
      <c r="E26" s="56" t="str">
        <f>IF(COUNTIFS('LANÇAMENTOS DIÁRIOS'!$G$5:$G$500,"H",'LANÇAMENTOS DIÁRIOS'!$C$5:$C$500,$A26,'LANÇAMENTOS DIÁRIOS'!$O$5:$O$500,"&lt;=124799",'LANÇAMENTOS DIÁRIOS'!$P$5:$P$500,"&gt;=124700")&gt;0,"X","")</f>
      </c>
      <c r="F26" s="56" t="str">
        <f>IF(COUNTIFS('LANÇAMENTOS DIÁRIOS'!$G$5:$G$500,"H",'LANÇAMENTOS DIÁRIOS'!$C$5:$C$500,$A26,'LANÇAMENTOS DIÁRIOS'!$O$5:$O$500,"&lt;=124899",'LANÇAMENTOS DIÁRIOS'!$P$5:$P$500,"&gt;=124800")&gt;0,"X","")</f>
      </c>
      <c r="G26" s="56" t="str">
        <f>IF(COUNTIFS('LANÇAMENTOS DIÁRIOS'!$G$5:$G$500,"H",'LANÇAMENTOS DIÁRIOS'!$C$5:$C$500,$A26,'LANÇAMENTOS DIÁRIOS'!$O$5:$O$500,"&lt;=124999",'LANÇAMENTOS DIÁRIOS'!$P$5:$P$500,"&gt;=124900")&gt;0,"X","")</f>
      </c>
      <c r="H26" s="56" t="str">
        <f>IF(COUNTIFS('LANÇAMENTOS DIÁRIOS'!$G$5:$G$500,"H",'LANÇAMENTOS DIÁRIOS'!$C$5:$C$500,$A26,'LANÇAMENTOS DIÁRIOS'!$O$5:$O$500,"&lt;=125099",'LANÇAMENTOS DIÁRIOS'!$P$5:$P$500,"&gt;=125000")&gt;0,"X","")</f>
      </c>
      <c r="I26" s="56" t="str">
        <f>IF(COUNTIFS('LANÇAMENTOS DIÁRIOS'!$G$5:$G$500,"H",'LANÇAMENTOS DIÁRIOS'!$C$5:$C$500,$A26,'LANÇAMENTOS DIÁRIOS'!$O$5:$O$500,"&lt;=125199",'LANÇAMENTOS DIÁRIOS'!$P$5:$P$500,"&gt;=125100")&gt;0,"X","")</f>
      </c>
      <c r="J26" s="56" t="str">
        <f>IF(COUNTIFS('LANÇAMENTOS DIÁRIOS'!$G$5:$G$500,"H",'LANÇAMENTOS DIÁRIOS'!$C$5:$C$500,$A26,'LANÇAMENTOS DIÁRIOS'!$O$5:$O$500,"&lt;=125299",'LANÇAMENTOS DIÁRIOS'!$P$5:$P$500,"&gt;=125200")&gt;0,"X","")</f>
      </c>
      <c r="K26" s="56" t="str">
        <f>IF(COUNTIFS('LANÇAMENTOS DIÁRIOS'!$G$5:$G$500,"H",'LANÇAMENTOS DIÁRIOS'!$C$5:$C$500,$A26,'LANÇAMENTOS DIÁRIOS'!$O$5:$O$500,"&lt;=125399",'LANÇAMENTOS DIÁRIOS'!$P$5:$P$500,"&gt;=125300")&gt;0,"X","")</f>
      </c>
      <c r="L26" s="56" t="str">
        <f>IF(COUNTIFS('LANÇAMENTOS DIÁRIOS'!$G$5:$G$500,"H",'LANÇAMENTOS DIÁRIOS'!$C$5:$C$500,$A26,'LANÇAMENTOS DIÁRIOS'!$O$5:$O$500,"&lt;=125499",'LANÇAMENTOS DIÁRIOS'!$P$5:$P$500,"&gt;=125400")&gt;0,"X","")</f>
      </c>
      <c r="M26" s="56" t="str">
        <f>IF(COUNTIFS('LANÇAMENTOS DIÁRIOS'!$G$5:$G$500,"H",'LANÇAMENTOS DIÁRIOS'!$C$5:$C$500,$A26,'LANÇAMENTOS DIÁRIOS'!$O$5:$O$500,"&lt;=125599",'LANÇAMENTOS DIÁRIOS'!$P$5:$P$500,"&gt;=125500")&gt;0,"X","")</f>
      </c>
      <c r="N26" s="56" t="str">
        <f>IF(COUNTIFS('LANÇAMENTOS DIÁRIOS'!$G$5:$G$500,"H",'LANÇAMENTOS DIÁRIOS'!$C$5:$C$500,$A26,'LANÇAMENTOS DIÁRIOS'!$O$5:$O$500,"&lt;=125699",'LANÇAMENTOS DIÁRIOS'!$P$5:$P$500,"&gt;=125600")&gt;0,"X","")</f>
      </c>
      <c r="O26" s="56" t="str">
        <f>IF(COUNTIFS('LANÇAMENTOS DIÁRIOS'!$G$5:$G$500,"H",'LANÇAMENTOS DIÁRIOS'!$C$5:$C$500,$A26,'LANÇAMENTOS DIÁRIOS'!$O$5:$O$500,"&lt;=125799",'LANÇAMENTOS DIÁRIOS'!$P$5:$P$500,"&gt;=125700")&gt;0,"X","")</f>
      </c>
      <c r="P26" s="56" t="str">
        <f>IF(COUNTIFS('LANÇAMENTOS DIÁRIOS'!$G$5:$G$500,"H",'LANÇAMENTOS DIÁRIOS'!$C$5:$C$500,$A26,'LANÇAMENTOS DIÁRIOS'!$O$5:$O$500,"&lt;=125899",'LANÇAMENTOS DIÁRIOS'!$P$5:$P$500,"&gt;=125800")&gt;0,"X","")</f>
      </c>
      <c r="Q26" s="56" t="str">
        <f>IF(COUNTIFS('LANÇAMENTOS DIÁRIOS'!$G$5:$G$500,"H",'LANÇAMENTOS DIÁRIOS'!$C$5:$C$500,$A26,'LANÇAMENTOS DIÁRIOS'!$O$5:$O$500,"&lt;=125999",'LANÇAMENTOS DIÁRIOS'!$P$5:$P$500,"&gt;=125900")&gt;0,"X","")</f>
      </c>
      <c r="R26" s="56" t="str">
        <f>IF(COUNTIFS('LANÇAMENTOS DIÁRIOS'!$G$5:$G$500,"H",'LANÇAMENTOS DIÁRIOS'!$C$5:$C$500,$A26,'LANÇAMENTOS DIÁRIOS'!$O$5:$O$500,"&lt;=126099",'LANÇAMENTOS DIÁRIOS'!$P$5:$P$500,"&gt;=126000")&gt;0,"X","")</f>
      </c>
      <c r="S26" s="56" t="str">
        <f>IF(COUNTIFS('LANÇAMENTOS DIÁRIOS'!$G$5:$G$500,"H",'LANÇAMENTOS DIÁRIOS'!$C$5:$C$500,$A26,'LANÇAMENTOS DIÁRIOS'!$O$5:$O$500,"&lt;=126199",'LANÇAMENTOS DIÁRIOS'!$P$5:$P$500,"&gt;=126100")&gt;0,"X","")</f>
      </c>
      <c r="T26" s="56" t="str">
        <f>IF(COUNTIFS('LANÇAMENTOS DIÁRIOS'!$G$5:$G$500,"H",'LANÇAMENTOS DIÁRIOS'!$C$5:$C$500,$A26,'LANÇAMENTOS DIÁRIOS'!$O$5:$O$500,"&lt;=126299",'LANÇAMENTOS DIÁRIOS'!$P$5:$P$500,"&gt;=126200")&gt;0,"X","")</f>
      </c>
      <c r="U26" s="56" t="str">
        <f>IF(COUNTIFS('LANÇAMENTOS DIÁRIOS'!$G$5:$G$500,"H",'LANÇAMENTOS DIÁRIOS'!$C$5:$C$500,$A26,'LANÇAMENTOS DIÁRIOS'!$O$5:$O$500,"&lt;=126399",'LANÇAMENTOS DIÁRIOS'!$P$5:$P$500,"&gt;=126300")&gt;0,"X","")</f>
      </c>
      <c r="V26" s="56" t="str">
        <f>IF(COUNTIFS('LANÇAMENTOS DIÁRIOS'!$G$5:$G$500,"H",'LANÇAMENTOS DIÁRIOS'!$C$5:$C$500,$A26,'LANÇAMENTOS DIÁRIOS'!$O$5:$O$500,"&lt;=126499",'LANÇAMENTOS DIÁRIOS'!$P$5:$P$500,"&gt;=126400")&gt;0,"X","")</f>
      </c>
      <c r="W26" s="56" t="str">
        <f>IF(COUNTIFS('LANÇAMENTOS DIÁRIOS'!$G$5:$G$500,"H",'LANÇAMENTOS DIÁRIOS'!$C$5:$C$500,$A26,'LANÇAMENTOS DIÁRIOS'!$O$5:$O$500,"&lt;=126599",'LANÇAMENTOS DIÁRIOS'!$P$5:$P$500,"&gt;=126500")&gt;0,"X","")</f>
      </c>
      <c r="X26" s="56" t="str">
        <f>IF(COUNTIFS('LANÇAMENTOS DIÁRIOS'!$G$5:$G$500,"H",'LANÇAMENTOS DIÁRIOS'!$C$5:$C$500,$A26,'LANÇAMENTOS DIÁRIOS'!$O$5:$O$500,"&lt;=126699",'LANÇAMENTOS DIÁRIOS'!$P$5:$P$500,"&gt;=126600")&gt;0,"X","")</f>
      </c>
      <c r="Y26" s="56" t="str">
        <f>IF(COUNTIFS('LANÇAMENTOS DIÁRIOS'!$G$5:$G$500,"H",'LANÇAMENTOS DIÁRIOS'!$C$5:$C$500,$A26,'LANÇAMENTOS DIÁRIOS'!$O$5:$O$500,"&lt;=126799",'LANÇAMENTOS DIÁRIOS'!$P$5:$P$500,"&gt;=126700")&gt;0,"X","")</f>
      </c>
      <c r="Z26" s="56" t="str">
        <f>IF(COUNTIFS('LANÇAMENTOS DIÁRIOS'!$G$5:$G$500,"H",'LANÇAMENTOS DIÁRIOS'!$C$5:$C$500,$A26,'LANÇAMENTOS DIÁRIOS'!$O$5:$O$500,"&lt;=126899",'LANÇAMENTOS DIÁRIOS'!$P$5:$P$500,"&gt;=126800")&gt;0,"X","")</f>
      </c>
      <c r="AA26" s="56" t="str">
        <f>IF(COUNTIFS('LANÇAMENTOS DIÁRIOS'!$G$5:$G$500,"H",'LANÇAMENTOS DIÁRIOS'!$C$5:$C$500,$A26,'LANÇAMENTOS DIÁRIOS'!$O$5:$O$500,"&lt;=126999",'LANÇAMENTOS DIÁRIOS'!$P$5:$P$500,"&gt;=126900")&gt;0,"X","")</f>
      </c>
      <c r="AB26" s="56" t="str">
        <f>IF(COUNTIFS('LANÇAMENTOS DIÁRIOS'!$G$5:$G$500,"H",'LANÇAMENTOS DIÁRIOS'!$C$5:$C$500,$A26,'LANÇAMENTOS DIÁRIOS'!$O$5:$O$500,"&lt;=127099",'LANÇAMENTOS DIÁRIOS'!$P$5:$P$500,"&gt;=127000")&gt;0,"X","")</f>
      </c>
      <c r="AC26" s="56" t="str">
        <f>IF(COUNTIFS('LANÇAMENTOS DIÁRIOS'!$G$5:$G$500,"H",'LANÇAMENTOS DIÁRIOS'!$C$5:$C$500,$A26,'LANÇAMENTOS DIÁRIOS'!$O$5:$O$500,"&lt;=127199",'LANÇAMENTOS DIÁRIOS'!$P$5:$P$500,"&gt;=127100")&gt;0,"X","")</f>
      </c>
      <c r="AD26" s="56" t="str">
        <f>IF(COUNTIFS('LANÇAMENTOS DIÁRIOS'!$G$5:$G$500,"H",'LANÇAMENTOS DIÁRIOS'!$C$5:$C$500,$A26,'LANÇAMENTOS DIÁRIOS'!$O$5:$O$500,"&lt;=127299",'LANÇAMENTOS DIÁRIOS'!$P$5:$P$500,"&gt;=127200")&gt;0,"X","")</f>
      </c>
      <c r="AE26" s="56" t="str">
        <f>IF(COUNTIFS('LANÇAMENTOS DIÁRIOS'!$G$5:$G$500,"H",'LANÇAMENTOS DIÁRIOS'!$C$5:$C$500,$A26,'LANÇAMENTOS DIÁRIOS'!$O$5:$O$500,"&lt;=127399",'LANÇAMENTOS DIÁRIOS'!$P$5:$P$500,"&gt;=127300")&gt;0,"X","")</f>
      </c>
      <c r="AF26" s="56" t="str">
        <f>IF(COUNTIFS('LANÇAMENTOS DIÁRIOS'!$G$5:$G$500,"H",'LANÇAMENTOS DIÁRIOS'!$C$5:$C$500,$A26,'LANÇAMENTOS DIÁRIOS'!$O$5:$O$500,"&lt;=127499",'LANÇAMENTOS DIÁRIOS'!$P$5:$P$500,"&gt;=127400")&gt;0,"X","")</f>
      </c>
      <c r="AG26" s="56" t="str">
        <f>IF(COUNTIFS('LANÇAMENTOS DIÁRIOS'!$G$5:$G$500,"H",'LANÇAMENTOS DIÁRIOS'!$C$5:$C$500,$A26,'LANÇAMENTOS DIÁRIOS'!$O$5:$O$500,"&lt;=127599",'LANÇAMENTOS DIÁRIOS'!$P$5:$P$500,"&gt;=127500")&gt;0,"X","")</f>
      </c>
      <c r="AH26" s="56" t="str">
        <f>IF(COUNTIFS('LANÇAMENTOS DIÁRIOS'!$G$5:$G$500,"H",'LANÇAMENTOS DIÁRIOS'!$C$5:$C$500,$A26,'LANÇAMENTOS DIÁRIOS'!$O$5:$O$500,"&lt;=127699",'LANÇAMENTOS DIÁRIOS'!$P$5:$P$500,"&gt;=127600")&gt;0,"X","")</f>
      </c>
      <c r="AI26" s="56" t="str">
        <f>IF(COUNTIFS('LANÇAMENTOS DIÁRIOS'!$G$5:$G$500,"H",'LANÇAMENTOS DIÁRIOS'!$C$5:$C$500,$A26,'LANÇAMENTOS DIÁRIOS'!$O$5:$O$500,"&lt;=127799",'LANÇAMENTOS DIÁRIOS'!$P$5:$P$500,"&gt;=127700")&gt;0,"X","")</f>
      </c>
      <c r="AJ26" s="56" t="str">
        <f>IF(COUNTIFS('LANÇAMENTOS DIÁRIOS'!$G$5:$G$500,"H",'LANÇAMENTOS DIÁRIOS'!$C$5:$C$500,$A26,'LANÇAMENTOS DIÁRIOS'!$O$5:$O$500,"&lt;=127899",'LANÇAMENTOS DIÁRIOS'!$P$5:$P$500,"&gt;=127800")&gt;0,"X","")</f>
      </c>
      <c r="AK26" s="56" t="str">
        <f>IF(COUNTIFS('LANÇAMENTOS DIÁRIOS'!$G$5:$G$500,"H",'LANÇAMENTOS DIÁRIOS'!$C$5:$C$500,$A26,'LANÇAMENTOS DIÁRIOS'!$O$5:$O$500,"&lt;=127999",'LANÇAMENTOS DIÁRIOS'!$P$5:$P$500,"&gt;=127900")&gt;0,"X","")</f>
      </c>
      <c r="AL26" s="56" t="str">
        <f>IF(COUNTIFS('LANÇAMENTOS DIÁRIOS'!$G$5:$G$500,"H",'LANÇAMENTOS DIÁRIOS'!$C$5:$C$500,$A26,'LANÇAMENTOS DIÁRIOS'!$O$5:$O$500,"&lt;=128099",'LANÇAMENTOS DIÁRIOS'!$P$5:$P$500,"&gt;=128000")&gt;0,"X","")</f>
      </c>
      <c r="AM26" s="56" t="str">
        <f>IF(COUNTIFS('LANÇAMENTOS DIÁRIOS'!$G$5:$G$500,"H",'LANÇAMENTOS DIÁRIOS'!$C$5:$C$500,$A26,'LANÇAMENTOS DIÁRIOS'!$O$5:$O$500,"&lt;=128199",'LANÇAMENTOS DIÁRIOS'!$P$5:$P$500,"&gt;=128100")&gt;0,"X","")</f>
      </c>
      <c r="AN26" s="56" t="str">
        <f>IF(COUNTIFS('LANÇAMENTOS DIÁRIOS'!$G$5:$G$500,"H",'LANÇAMENTOS DIÁRIOS'!$C$5:$C$500,$A26,'LANÇAMENTOS DIÁRIOS'!$O$5:$O$500,"&lt;=128299",'LANÇAMENTOS DIÁRIOS'!$P$5:$P$500,"&gt;=128200")&gt;0,"X","")</f>
      </c>
      <c r="AO26" s="56" t="str">
        <f>IF(COUNTIFS('LANÇAMENTOS DIÁRIOS'!$G$5:$G$500,"H",'LANÇAMENTOS DIÁRIOS'!$C$5:$C$500,$A26,'LANÇAMENTOS DIÁRIOS'!$O$5:$O$500,"&lt;=128399",'LANÇAMENTOS DIÁRIOS'!$P$5:$P$500,"&gt;=128300")&gt;0,"X","")</f>
      </c>
      <c r="AP26" s="56" t="str">
        <f>IF(COUNTIFS('LANÇAMENTOS DIÁRIOS'!$G$5:$G$500,"H",'LANÇAMENTOS DIÁRIOS'!$C$5:$C$500,$A26,'LANÇAMENTOS DIÁRIOS'!$O$5:$O$500,"&lt;=128499",'LANÇAMENTOS DIÁRIOS'!$P$5:$P$500,"&gt;=128400")&gt;0,"X","")</f>
      </c>
      <c r="AQ26" s="56" t="str">
        <f>IF(COUNTIFS('LANÇAMENTOS DIÁRIOS'!$G$5:$G$500,"H",'LANÇAMENTOS DIÁRIOS'!$C$5:$C$500,$A26,'LANÇAMENTOS DIÁRIOS'!$O$5:$O$500,"&lt;=128599",'LANÇAMENTOS DIÁRIOS'!$P$5:$P$500,"&gt;=128500")&gt;0,"X","")</f>
      </c>
      <c r="AR26" s="56" t="str">
        <f>IF(COUNTIFS('LANÇAMENTOS DIÁRIOS'!$G$5:$G$500,"H",'LANÇAMENTOS DIÁRIOS'!$C$5:$C$500,$A26,'LANÇAMENTOS DIÁRIOS'!$O$5:$O$500,"&lt;=128699",'LANÇAMENTOS DIÁRIOS'!$P$5:$P$500,"&gt;=128600")&gt;0,"X","")</f>
      </c>
      <c r="AS26" s="56" t="str">
        <f>IF(COUNTIFS('LANÇAMENTOS DIÁRIOS'!$G$5:$G$500,"H",'LANÇAMENTOS DIÁRIOS'!$C$5:$C$500,$A26,'LANÇAMENTOS DIÁRIOS'!$O$5:$O$500,"&lt;=128799",'LANÇAMENTOS DIÁRIOS'!$P$5:$P$500,"&gt;=128700")&gt;0,"X","")</f>
      </c>
      <c r="AT26" s="56" t="str">
        <f>IF(COUNTIFS('LANÇAMENTOS DIÁRIOS'!$G$5:$G$500,"H",'LANÇAMENTOS DIÁRIOS'!$C$5:$C$500,$A26,'LANÇAMENTOS DIÁRIOS'!$O$5:$O$500,"&lt;=128899",'LANÇAMENTOS DIÁRIOS'!$P$5:$P$500,"&gt;=128800")&gt;0,"X","")</f>
      </c>
      <c r="AU26" s="56" t="str">
        <f>IF(COUNTIFS('LANÇAMENTOS DIÁRIOS'!$G$5:$G$500,"H",'LANÇAMENTOS DIÁRIOS'!$C$5:$C$500,$A26,'LANÇAMENTOS DIÁRIOS'!$O$5:$O$500,"&lt;=128999",'LANÇAMENTOS DIÁRIOS'!$P$5:$P$500,"&gt;=128900")&gt;0,"X","")</f>
      </c>
      <c r="AV26" s="56" t="str">
        <f>IF(COUNTIFS('LANÇAMENTOS DIÁRIOS'!$G$5:$G$500,"H",'LANÇAMENTOS DIÁRIOS'!$C$5:$C$500,$A26,'LANÇAMENTOS DIÁRIOS'!$O$5:$O$500,"&lt;=129099",'LANÇAMENTOS DIÁRIOS'!$P$5:$P$500,"&gt;=129000")&gt;0,"X","")</f>
      </c>
      <c r="AW26" s="56" t="str">
        <f>IF(COUNTIFS('LANÇAMENTOS DIÁRIOS'!$G$5:$G$500,"H",'LANÇAMENTOS DIÁRIOS'!$C$5:$C$500,$A26,'LANÇAMENTOS DIÁRIOS'!$O$5:$O$500,"&lt;=129199",'LANÇAMENTOS DIÁRIOS'!$P$5:$P$500,"&gt;=129100")&gt;0,"X","")</f>
      </c>
      <c r="AX26" s="56" t="str">
        <f>IF(COUNTIFS('LANÇAMENTOS DIÁRIOS'!$G$5:$G$500,"H",'LANÇAMENTOS DIÁRIOS'!$C$5:$C$500,$A26,'LANÇAMENTOS DIÁRIOS'!$O$5:$O$500,"&lt;=129299",'LANÇAMENTOS DIÁRIOS'!$P$5:$P$500,"&gt;=129200")&gt;0,"X","")</f>
      </c>
      <c r="AY26" s="56" t="str">
        <f>IF(COUNTIFS('LANÇAMENTOS DIÁRIOS'!$G$5:$G$500,"H",'LANÇAMENTOS DIÁRIOS'!$C$5:$C$500,$A26,'LANÇAMENTOS DIÁRIOS'!$O$5:$O$500,"&lt;=129399",'LANÇAMENTOS DIÁRIOS'!$P$5:$P$500,"&gt;=129300")&gt;0,"X","")</f>
      </c>
      <c r="AZ26" s="56" t="str">
        <f>IF(COUNTIFS('LANÇAMENTOS DIÁRIOS'!$G$5:$G$500,"H",'LANÇAMENTOS DIÁRIOS'!$C$5:$C$500,$A26,'LANÇAMENTOS DIÁRIOS'!$O$5:$O$500,"&lt;=129400",'LANÇAMENTOS DIÁRIOS'!$P$5:$P$500,"&gt;=129400")&gt;0,"X","")</f>
      </c>
    </row>
    <row r="27">
      <c r="A27" s="51" t="str">
        <v>Destocamento de árvore 0,10m&lt;d&lt;0,30m</v>
      </c>
      <c r="B27" s="56" t="str">
        <f>IF(COUNTIFS('LANÇAMENTOS DIÁRIOS'!$G$5:$G$500,"H",'LANÇAMENTOS DIÁRIOS'!$C$5:$C$500,$A27,'LANÇAMENTOS DIÁRIOS'!$O$5:$O$500,"&lt;=124499",'LANÇAMENTOS DIÁRIOS'!$P$5:$P$500,"&gt;=124400")&gt;0,"X","")</f>
      </c>
      <c r="C27" s="56" t="str">
        <f>IF(COUNTIFS('LANÇAMENTOS DIÁRIOS'!$G$5:$G$500,"H",'LANÇAMENTOS DIÁRIOS'!$C$5:$C$500,$A27,'LANÇAMENTOS DIÁRIOS'!$O$5:$O$500,"&lt;=124599",'LANÇAMENTOS DIÁRIOS'!$P$5:$P$500,"&gt;=124500")&gt;0,"X","")</f>
      </c>
      <c r="D27" s="56" t="str">
        <f>IF(COUNTIFS('LANÇAMENTOS DIÁRIOS'!$G$5:$G$500,"H",'LANÇAMENTOS DIÁRIOS'!$C$5:$C$500,$A27,'LANÇAMENTOS DIÁRIOS'!$O$5:$O$500,"&lt;=124699",'LANÇAMENTOS DIÁRIOS'!$P$5:$P$500,"&gt;=124600")&gt;0,"X","")</f>
      </c>
      <c r="E27" s="56" t="str">
        <f>IF(COUNTIFS('LANÇAMENTOS DIÁRIOS'!$G$5:$G$500,"H",'LANÇAMENTOS DIÁRIOS'!$C$5:$C$500,$A27,'LANÇAMENTOS DIÁRIOS'!$O$5:$O$500,"&lt;=124799",'LANÇAMENTOS DIÁRIOS'!$P$5:$P$500,"&gt;=124700")&gt;0,"X","")</f>
      </c>
      <c r="F27" s="56" t="str">
        <f>IF(COUNTIFS('LANÇAMENTOS DIÁRIOS'!$G$5:$G$500,"H",'LANÇAMENTOS DIÁRIOS'!$C$5:$C$500,$A27,'LANÇAMENTOS DIÁRIOS'!$O$5:$O$500,"&lt;=124899",'LANÇAMENTOS DIÁRIOS'!$P$5:$P$500,"&gt;=124800")&gt;0,"X","")</f>
      </c>
      <c r="G27" s="56" t="str">
        <f>IF(COUNTIFS('LANÇAMENTOS DIÁRIOS'!$G$5:$G$500,"H",'LANÇAMENTOS DIÁRIOS'!$C$5:$C$500,$A27,'LANÇAMENTOS DIÁRIOS'!$O$5:$O$500,"&lt;=124999",'LANÇAMENTOS DIÁRIOS'!$P$5:$P$500,"&gt;=124900")&gt;0,"X","")</f>
      </c>
      <c r="H27" s="56" t="str">
        <f>IF(COUNTIFS('LANÇAMENTOS DIÁRIOS'!$G$5:$G$500,"H",'LANÇAMENTOS DIÁRIOS'!$C$5:$C$500,$A27,'LANÇAMENTOS DIÁRIOS'!$O$5:$O$500,"&lt;=125099",'LANÇAMENTOS DIÁRIOS'!$P$5:$P$500,"&gt;=125000")&gt;0,"X","")</f>
      </c>
      <c r="I27" s="56" t="str">
        <f>IF(COUNTIFS('LANÇAMENTOS DIÁRIOS'!$G$5:$G$500,"H",'LANÇAMENTOS DIÁRIOS'!$C$5:$C$500,$A27,'LANÇAMENTOS DIÁRIOS'!$O$5:$O$500,"&lt;=125199",'LANÇAMENTOS DIÁRIOS'!$P$5:$P$500,"&gt;=125100")&gt;0,"X","")</f>
      </c>
      <c r="J27" s="56" t="str">
        <f>IF(COUNTIFS('LANÇAMENTOS DIÁRIOS'!$G$5:$G$500,"H",'LANÇAMENTOS DIÁRIOS'!$C$5:$C$500,$A27,'LANÇAMENTOS DIÁRIOS'!$O$5:$O$500,"&lt;=125299",'LANÇAMENTOS DIÁRIOS'!$P$5:$P$500,"&gt;=125200")&gt;0,"X","")</f>
      </c>
      <c r="K27" s="56" t="str">
        <f>IF(COUNTIFS('LANÇAMENTOS DIÁRIOS'!$G$5:$G$500,"H",'LANÇAMENTOS DIÁRIOS'!$C$5:$C$500,$A27,'LANÇAMENTOS DIÁRIOS'!$O$5:$O$500,"&lt;=125399",'LANÇAMENTOS DIÁRIOS'!$P$5:$P$500,"&gt;=125300")&gt;0,"X","")</f>
      </c>
      <c r="L27" s="56" t="str">
        <f>IF(COUNTIFS('LANÇAMENTOS DIÁRIOS'!$G$5:$G$500,"H",'LANÇAMENTOS DIÁRIOS'!$C$5:$C$500,$A27,'LANÇAMENTOS DIÁRIOS'!$O$5:$O$500,"&lt;=125499",'LANÇAMENTOS DIÁRIOS'!$P$5:$P$500,"&gt;=125400")&gt;0,"X","")</f>
      </c>
      <c r="M27" s="56" t="str">
        <f>IF(COUNTIFS('LANÇAMENTOS DIÁRIOS'!$G$5:$G$500,"H",'LANÇAMENTOS DIÁRIOS'!$C$5:$C$500,$A27,'LANÇAMENTOS DIÁRIOS'!$O$5:$O$500,"&lt;=125599",'LANÇAMENTOS DIÁRIOS'!$P$5:$P$500,"&gt;=125500")&gt;0,"X","")</f>
      </c>
      <c r="N27" s="56" t="str">
        <f>IF(COUNTIFS('LANÇAMENTOS DIÁRIOS'!$G$5:$G$500,"H",'LANÇAMENTOS DIÁRIOS'!$C$5:$C$500,$A27,'LANÇAMENTOS DIÁRIOS'!$O$5:$O$500,"&lt;=125699",'LANÇAMENTOS DIÁRIOS'!$P$5:$P$500,"&gt;=125600")&gt;0,"X","")</f>
      </c>
      <c r="O27" s="56" t="str">
        <f>IF(COUNTIFS('LANÇAMENTOS DIÁRIOS'!$G$5:$G$500,"H",'LANÇAMENTOS DIÁRIOS'!$C$5:$C$500,$A27,'LANÇAMENTOS DIÁRIOS'!$O$5:$O$500,"&lt;=125799",'LANÇAMENTOS DIÁRIOS'!$P$5:$P$500,"&gt;=125700")&gt;0,"X","")</f>
      </c>
      <c r="P27" s="56" t="str">
        <f>IF(COUNTIFS('LANÇAMENTOS DIÁRIOS'!$G$5:$G$500,"H",'LANÇAMENTOS DIÁRIOS'!$C$5:$C$500,$A27,'LANÇAMENTOS DIÁRIOS'!$O$5:$O$500,"&lt;=125899",'LANÇAMENTOS DIÁRIOS'!$P$5:$P$500,"&gt;=125800")&gt;0,"X","")</f>
      </c>
      <c r="Q27" s="56" t="str">
        <f>IF(COUNTIFS('LANÇAMENTOS DIÁRIOS'!$G$5:$G$500,"H",'LANÇAMENTOS DIÁRIOS'!$C$5:$C$500,$A27,'LANÇAMENTOS DIÁRIOS'!$O$5:$O$500,"&lt;=125999",'LANÇAMENTOS DIÁRIOS'!$P$5:$P$500,"&gt;=125900")&gt;0,"X","")</f>
      </c>
      <c r="R27" s="56" t="str">
        <f>IF(COUNTIFS('LANÇAMENTOS DIÁRIOS'!$G$5:$G$500,"H",'LANÇAMENTOS DIÁRIOS'!$C$5:$C$500,$A27,'LANÇAMENTOS DIÁRIOS'!$O$5:$O$500,"&lt;=126099",'LANÇAMENTOS DIÁRIOS'!$P$5:$P$500,"&gt;=126000")&gt;0,"X","")</f>
      </c>
      <c r="S27" s="56" t="str">
        <f>IF(COUNTIFS('LANÇAMENTOS DIÁRIOS'!$G$5:$G$500,"H",'LANÇAMENTOS DIÁRIOS'!$C$5:$C$500,$A27,'LANÇAMENTOS DIÁRIOS'!$O$5:$O$500,"&lt;=126199",'LANÇAMENTOS DIÁRIOS'!$P$5:$P$500,"&gt;=126100")&gt;0,"X","")</f>
      </c>
      <c r="T27" s="56" t="str">
        <f>IF(COUNTIFS('LANÇAMENTOS DIÁRIOS'!$G$5:$G$500,"H",'LANÇAMENTOS DIÁRIOS'!$C$5:$C$500,$A27,'LANÇAMENTOS DIÁRIOS'!$O$5:$O$500,"&lt;=126299",'LANÇAMENTOS DIÁRIOS'!$P$5:$P$500,"&gt;=126200")&gt;0,"X","")</f>
      </c>
      <c r="U27" s="56" t="str">
        <f>IF(COUNTIFS('LANÇAMENTOS DIÁRIOS'!$G$5:$G$500,"H",'LANÇAMENTOS DIÁRIOS'!$C$5:$C$500,$A27,'LANÇAMENTOS DIÁRIOS'!$O$5:$O$500,"&lt;=126399",'LANÇAMENTOS DIÁRIOS'!$P$5:$P$500,"&gt;=126300")&gt;0,"X","")</f>
      </c>
      <c r="V27" s="56" t="str">
        <f>IF(COUNTIFS('LANÇAMENTOS DIÁRIOS'!$G$5:$G$500,"H",'LANÇAMENTOS DIÁRIOS'!$C$5:$C$500,$A27,'LANÇAMENTOS DIÁRIOS'!$O$5:$O$500,"&lt;=126499",'LANÇAMENTOS DIÁRIOS'!$P$5:$P$500,"&gt;=126400")&gt;0,"X","")</f>
      </c>
      <c r="W27" s="56" t="str">
        <f>IF(COUNTIFS('LANÇAMENTOS DIÁRIOS'!$G$5:$G$500,"H",'LANÇAMENTOS DIÁRIOS'!$C$5:$C$500,$A27,'LANÇAMENTOS DIÁRIOS'!$O$5:$O$500,"&lt;=126599",'LANÇAMENTOS DIÁRIOS'!$P$5:$P$500,"&gt;=126500")&gt;0,"X","")</f>
      </c>
      <c r="X27" s="56" t="str">
        <f>IF(COUNTIFS('LANÇAMENTOS DIÁRIOS'!$G$5:$G$500,"H",'LANÇAMENTOS DIÁRIOS'!$C$5:$C$500,$A27,'LANÇAMENTOS DIÁRIOS'!$O$5:$O$500,"&lt;=126699",'LANÇAMENTOS DIÁRIOS'!$P$5:$P$500,"&gt;=126600")&gt;0,"X","")</f>
      </c>
      <c r="Y27" s="56" t="str">
        <f>IF(COUNTIFS('LANÇAMENTOS DIÁRIOS'!$G$5:$G$500,"H",'LANÇAMENTOS DIÁRIOS'!$C$5:$C$500,$A27,'LANÇAMENTOS DIÁRIOS'!$O$5:$O$500,"&lt;=126799",'LANÇAMENTOS DIÁRIOS'!$P$5:$P$500,"&gt;=126700")&gt;0,"X","")</f>
      </c>
      <c r="Z27" s="56" t="str">
        <f>IF(COUNTIFS('LANÇAMENTOS DIÁRIOS'!$G$5:$G$500,"H",'LANÇAMENTOS DIÁRIOS'!$C$5:$C$500,$A27,'LANÇAMENTOS DIÁRIOS'!$O$5:$O$500,"&lt;=126899",'LANÇAMENTOS DIÁRIOS'!$P$5:$P$500,"&gt;=126800")&gt;0,"X","")</f>
      </c>
      <c r="AA27" s="56" t="str">
        <f>IF(COUNTIFS('LANÇAMENTOS DIÁRIOS'!$G$5:$G$500,"H",'LANÇAMENTOS DIÁRIOS'!$C$5:$C$500,$A27,'LANÇAMENTOS DIÁRIOS'!$O$5:$O$500,"&lt;=126999",'LANÇAMENTOS DIÁRIOS'!$P$5:$P$500,"&gt;=126900")&gt;0,"X","")</f>
      </c>
      <c r="AB27" s="56" t="str">
        <f>IF(COUNTIFS('LANÇAMENTOS DIÁRIOS'!$G$5:$G$500,"H",'LANÇAMENTOS DIÁRIOS'!$C$5:$C$500,$A27,'LANÇAMENTOS DIÁRIOS'!$O$5:$O$500,"&lt;=127099",'LANÇAMENTOS DIÁRIOS'!$P$5:$P$500,"&gt;=127000")&gt;0,"X","")</f>
      </c>
      <c r="AC27" s="56" t="str">
        <f>IF(COUNTIFS('LANÇAMENTOS DIÁRIOS'!$G$5:$G$500,"H",'LANÇAMENTOS DIÁRIOS'!$C$5:$C$500,$A27,'LANÇAMENTOS DIÁRIOS'!$O$5:$O$500,"&lt;=127199",'LANÇAMENTOS DIÁRIOS'!$P$5:$P$500,"&gt;=127100")&gt;0,"X","")</f>
      </c>
      <c r="AD27" s="56" t="str">
        <f>IF(COUNTIFS('LANÇAMENTOS DIÁRIOS'!$G$5:$G$500,"H",'LANÇAMENTOS DIÁRIOS'!$C$5:$C$500,$A27,'LANÇAMENTOS DIÁRIOS'!$O$5:$O$500,"&lt;=127299",'LANÇAMENTOS DIÁRIOS'!$P$5:$P$500,"&gt;=127200")&gt;0,"X","")</f>
      </c>
      <c r="AE27" s="56" t="str">
        <f>IF(COUNTIFS('LANÇAMENTOS DIÁRIOS'!$G$5:$G$500,"H",'LANÇAMENTOS DIÁRIOS'!$C$5:$C$500,$A27,'LANÇAMENTOS DIÁRIOS'!$O$5:$O$500,"&lt;=127399",'LANÇAMENTOS DIÁRIOS'!$P$5:$P$500,"&gt;=127300")&gt;0,"X","")</f>
      </c>
      <c r="AF27" s="56" t="str">
        <f>IF(COUNTIFS('LANÇAMENTOS DIÁRIOS'!$G$5:$G$500,"H",'LANÇAMENTOS DIÁRIOS'!$C$5:$C$500,$A27,'LANÇAMENTOS DIÁRIOS'!$O$5:$O$500,"&lt;=127499",'LANÇAMENTOS DIÁRIOS'!$P$5:$P$500,"&gt;=127400")&gt;0,"X","")</f>
      </c>
      <c r="AG27" s="56" t="str">
        <f>IF(COUNTIFS('LANÇAMENTOS DIÁRIOS'!$G$5:$G$500,"H",'LANÇAMENTOS DIÁRIOS'!$C$5:$C$500,$A27,'LANÇAMENTOS DIÁRIOS'!$O$5:$O$500,"&lt;=127599",'LANÇAMENTOS DIÁRIOS'!$P$5:$P$500,"&gt;=127500")&gt;0,"X","")</f>
      </c>
      <c r="AH27" s="56" t="str">
        <f>IF(COUNTIFS('LANÇAMENTOS DIÁRIOS'!$G$5:$G$500,"H",'LANÇAMENTOS DIÁRIOS'!$C$5:$C$500,$A27,'LANÇAMENTOS DIÁRIOS'!$O$5:$O$500,"&lt;=127699",'LANÇAMENTOS DIÁRIOS'!$P$5:$P$500,"&gt;=127600")&gt;0,"X","")</f>
      </c>
      <c r="AI27" s="56" t="str">
        <f>IF(COUNTIFS('LANÇAMENTOS DIÁRIOS'!$G$5:$G$500,"H",'LANÇAMENTOS DIÁRIOS'!$C$5:$C$500,$A27,'LANÇAMENTOS DIÁRIOS'!$O$5:$O$500,"&lt;=127799",'LANÇAMENTOS DIÁRIOS'!$P$5:$P$500,"&gt;=127700")&gt;0,"X","")</f>
      </c>
      <c r="AJ27" s="56" t="str">
        <f>IF(COUNTIFS('LANÇAMENTOS DIÁRIOS'!$G$5:$G$500,"H",'LANÇAMENTOS DIÁRIOS'!$C$5:$C$500,$A27,'LANÇAMENTOS DIÁRIOS'!$O$5:$O$500,"&lt;=127899",'LANÇAMENTOS DIÁRIOS'!$P$5:$P$500,"&gt;=127800")&gt;0,"X","")</f>
      </c>
      <c r="AK27" s="56" t="str">
        <f>IF(COUNTIFS('LANÇAMENTOS DIÁRIOS'!$G$5:$G$500,"H",'LANÇAMENTOS DIÁRIOS'!$C$5:$C$500,$A27,'LANÇAMENTOS DIÁRIOS'!$O$5:$O$500,"&lt;=127999",'LANÇAMENTOS DIÁRIOS'!$P$5:$P$500,"&gt;=127900")&gt;0,"X","")</f>
      </c>
      <c r="AL27" s="56" t="str">
        <f>IF(COUNTIFS('LANÇAMENTOS DIÁRIOS'!$G$5:$G$500,"H",'LANÇAMENTOS DIÁRIOS'!$C$5:$C$500,$A27,'LANÇAMENTOS DIÁRIOS'!$O$5:$O$500,"&lt;=128099",'LANÇAMENTOS DIÁRIOS'!$P$5:$P$500,"&gt;=128000")&gt;0,"X","")</f>
      </c>
      <c r="AM27" s="56" t="str">
        <f>IF(COUNTIFS('LANÇAMENTOS DIÁRIOS'!$G$5:$G$500,"H",'LANÇAMENTOS DIÁRIOS'!$C$5:$C$500,$A27,'LANÇAMENTOS DIÁRIOS'!$O$5:$O$500,"&lt;=128199",'LANÇAMENTOS DIÁRIOS'!$P$5:$P$500,"&gt;=128100")&gt;0,"X","")</f>
      </c>
      <c r="AN27" s="56" t="str">
        <f>IF(COUNTIFS('LANÇAMENTOS DIÁRIOS'!$G$5:$G$500,"H",'LANÇAMENTOS DIÁRIOS'!$C$5:$C$500,$A27,'LANÇAMENTOS DIÁRIOS'!$O$5:$O$500,"&lt;=128299",'LANÇAMENTOS DIÁRIOS'!$P$5:$P$500,"&gt;=128200")&gt;0,"X","")</f>
      </c>
      <c r="AO27" s="56" t="str">
        <f>IF(COUNTIFS('LANÇAMENTOS DIÁRIOS'!$G$5:$G$500,"H",'LANÇAMENTOS DIÁRIOS'!$C$5:$C$500,$A27,'LANÇAMENTOS DIÁRIOS'!$O$5:$O$500,"&lt;=128399",'LANÇAMENTOS DIÁRIOS'!$P$5:$P$500,"&gt;=128300")&gt;0,"X","")</f>
      </c>
      <c r="AP27" s="56" t="str">
        <f>IF(COUNTIFS('LANÇAMENTOS DIÁRIOS'!$G$5:$G$500,"H",'LANÇAMENTOS DIÁRIOS'!$C$5:$C$500,$A27,'LANÇAMENTOS DIÁRIOS'!$O$5:$O$500,"&lt;=128499",'LANÇAMENTOS DIÁRIOS'!$P$5:$P$500,"&gt;=128400")&gt;0,"X","")</f>
      </c>
      <c r="AQ27" s="56" t="str">
        <f>IF(COUNTIFS('LANÇAMENTOS DIÁRIOS'!$G$5:$G$500,"H",'LANÇAMENTOS DIÁRIOS'!$C$5:$C$500,$A27,'LANÇAMENTOS DIÁRIOS'!$O$5:$O$500,"&lt;=128599",'LANÇAMENTOS DIÁRIOS'!$P$5:$P$500,"&gt;=128500")&gt;0,"X","")</f>
      </c>
      <c r="AR27" s="56" t="str">
        <f>IF(COUNTIFS('LANÇAMENTOS DIÁRIOS'!$G$5:$G$500,"H",'LANÇAMENTOS DIÁRIOS'!$C$5:$C$500,$A27,'LANÇAMENTOS DIÁRIOS'!$O$5:$O$500,"&lt;=128699",'LANÇAMENTOS DIÁRIOS'!$P$5:$P$500,"&gt;=128600")&gt;0,"X","")</f>
      </c>
      <c r="AS27" s="56" t="str">
        <f>IF(COUNTIFS('LANÇAMENTOS DIÁRIOS'!$G$5:$G$500,"H",'LANÇAMENTOS DIÁRIOS'!$C$5:$C$500,$A27,'LANÇAMENTOS DIÁRIOS'!$O$5:$O$500,"&lt;=128799",'LANÇAMENTOS DIÁRIOS'!$P$5:$P$500,"&gt;=128700")&gt;0,"X","")</f>
      </c>
      <c r="AT27" s="56" t="str">
        <f>IF(COUNTIFS('LANÇAMENTOS DIÁRIOS'!$G$5:$G$500,"H",'LANÇAMENTOS DIÁRIOS'!$C$5:$C$500,$A27,'LANÇAMENTOS DIÁRIOS'!$O$5:$O$500,"&lt;=128899",'LANÇAMENTOS DIÁRIOS'!$P$5:$P$500,"&gt;=128800")&gt;0,"X","")</f>
      </c>
      <c r="AU27" s="56" t="str">
        <f>IF(COUNTIFS('LANÇAMENTOS DIÁRIOS'!$G$5:$G$500,"H",'LANÇAMENTOS DIÁRIOS'!$C$5:$C$500,$A27,'LANÇAMENTOS DIÁRIOS'!$O$5:$O$500,"&lt;=128999",'LANÇAMENTOS DIÁRIOS'!$P$5:$P$500,"&gt;=128900")&gt;0,"X","")</f>
      </c>
      <c r="AV27" s="56" t="str">
        <f>IF(COUNTIFS('LANÇAMENTOS DIÁRIOS'!$G$5:$G$500,"H",'LANÇAMENTOS DIÁRIOS'!$C$5:$C$500,$A27,'LANÇAMENTOS DIÁRIOS'!$O$5:$O$500,"&lt;=129099",'LANÇAMENTOS DIÁRIOS'!$P$5:$P$500,"&gt;=129000")&gt;0,"X","")</f>
      </c>
      <c r="AW27" s="56" t="str">
        <f>IF(COUNTIFS('LANÇAMENTOS DIÁRIOS'!$G$5:$G$500,"H",'LANÇAMENTOS DIÁRIOS'!$C$5:$C$500,$A27,'LANÇAMENTOS DIÁRIOS'!$O$5:$O$500,"&lt;=129199",'LANÇAMENTOS DIÁRIOS'!$P$5:$P$500,"&gt;=129100")&gt;0,"X","")</f>
      </c>
      <c r="AX27" s="56" t="str">
        <f>IF(COUNTIFS('LANÇAMENTOS DIÁRIOS'!$G$5:$G$500,"H",'LANÇAMENTOS DIÁRIOS'!$C$5:$C$500,$A27,'LANÇAMENTOS DIÁRIOS'!$O$5:$O$500,"&lt;=129299",'LANÇAMENTOS DIÁRIOS'!$P$5:$P$500,"&gt;=129200")&gt;0,"X","")</f>
      </c>
      <c r="AY27" s="56" t="str">
        <f>IF(COUNTIFS('LANÇAMENTOS DIÁRIOS'!$G$5:$G$500,"H",'LANÇAMENTOS DIÁRIOS'!$C$5:$C$500,$A27,'LANÇAMENTOS DIÁRIOS'!$O$5:$O$500,"&lt;=129399",'LANÇAMENTOS DIÁRIOS'!$P$5:$P$500,"&gt;=129300")&gt;0,"X","")</f>
      </c>
      <c r="AZ27" s="56" t="str">
        <f>IF(COUNTIFS('LANÇAMENTOS DIÁRIOS'!$G$5:$G$500,"H",'LANÇAMENTOS DIÁRIOS'!$C$5:$C$500,$A27,'LANÇAMENTOS DIÁRIOS'!$O$5:$O$500,"&lt;=129400",'LANÇAMENTOS DIÁRIOS'!$P$5:$P$500,"&gt;=129400")&gt;0,"X","")</f>
      </c>
    </row>
    <row r="28">
      <c r="A28" s="51" t="str">
        <v>Destocamento de árvore d&gt;0,30m</v>
      </c>
      <c r="B28" s="56" t="str">
        <f>IF(COUNTIFS('LANÇAMENTOS DIÁRIOS'!$G$5:$G$500,"H",'LANÇAMENTOS DIÁRIOS'!$C$5:$C$500,$A28,'LANÇAMENTOS DIÁRIOS'!$O$5:$O$500,"&lt;=124499",'LANÇAMENTOS DIÁRIOS'!$P$5:$P$500,"&gt;=124400")&gt;0,"X","")</f>
      </c>
      <c r="C28" s="56" t="str">
        <f>IF(COUNTIFS('LANÇAMENTOS DIÁRIOS'!$G$5:$G$500,"H",'LANÇAMENTOS DIÁRIOS'!$C$5:$C$500,$A28,'LANÇAMENTOS DIÁRIOS'!$O$5:$O$500,"&lt;=124599",'LANÇAMENTOS DIÁRIOS'!$P$5:$P$500,"&gt;=124500")&gt;0,"X","")</f>
      </c>
      <c r="D28" s="56" t="str">
        <f>IF(COUNTIFS('LANÇAMENTOS DIÁRIOS'!$G$5:$G$500,"H",'LANÇAMENTOS DIÁRIOS'!$C$5:$C$500,$A28,'LANÇAMENTOS DIÁRIOS'!$O$5:$O$500,"&lt;=124699",'LANÇAMENTOS DIÁRIOS'!$P$5:$P$500,"&gt;=124600")&gt;0,"X","")</f>
      </c>
      <c r="E28" s="56" t="str">
        <f>IF(COUNTIFS('LANÇAMENTOS DIÁRIOS'!$G$5:$G$500,"H",'LANÇAMENTOS DIÁRIOS'!$C$5:$C$500,$A28,'LANÇAMENTOS DIÁRIOS'!$O$5:$O$500,"&lt;=124799",'LANÇAMENTOS DIÁRIOS'!$P$5:$P$500,"&gt;=124700")&gt;0,"X","")</f>
      </c>
      <c r="F28" s="56" t="str">
        <f>IF(COUNTIFS('LANÇAMENTOS DIÁRIOS'!$G$5:$G$500,"H",'LANÇAMENTOS DIÁRIOS'!$C$5:$C$500,$A28,'LANÇAMENTOS DIÁRIOS'!$O$5:$O$500,"&lt;=124899",'LANÇAMENTOS DIÁRIOS'!$P$5:$P$500,"&gt;=124800")&gt;0,"X","")</f>
      </c>
      <c r="G28" s="56" t="str">
        <f>IF(COUNTIFS('LANÇAMENTOS DIÁRIOS'!$G$5:$G$500,"H",'LANÇAMENTOS DIÁRIOS'!$C$5:$C$500,$A28,'LANÇAMENTOS DIÁRIOS'!$O$5:$O$500,"&lt;=124999",'LANÇAMENTOS DIÁRIOS'!$P$5:$P$500,"&gt;=124900")&gt;0,"X","")</f>
      </c>
      <c r="H28" s="56" t="str">
        <f>IF(COUNTIFS('LANÇAMENTOS DIÁRIOS'!$G$5:$G$500,"H",'LANÇAMENTOS DIÁRIOS'!$C$5:$C$500,$A28,'LANÇAMENTOS DIÁRIOS'!$O$5:$O$500,"&lt;=125099",'LANÇAMENTOS DIÁRIOS'!$P$5:$P$500,"&gt;=125000")&gt;0,"X","")</f>
      </c>
      <c r="I28" s="56" t="str">
        <f>IF(COUNTIFS('LANÇAMENTOS DIÁRIOS'!$G$5:$G$500,"H",'LANÇAMENTOS DIÁRIOS'!$C$5:$C$500,$A28,'LANÇAMENTOS DIÁRIOS'!$O$5:$O$500,"&lt;=125199",'LANÇAMENTOS DIÁRIOS'!$P$5:$P$500,"&gt;=125100")&gt;0,"X","")</f>
      </c>
      <c r="J28" s="56" t="str">
        <f>IF(COUNTIFS('LANÇAMENTOS DIÁRIOS'!$G$5:$G$500,"H",'LANÇAMENTOS DIÁRIOS'!$C$5:$C$500,$A28,'LANÇAMENTOS DIÁRIOS'!$O$5:$O$500,"&lt;=125299",'LANÇAMENTOS DIÁRIOS'!$P$5:$P$500,"&gt;=125200")&gt;0,"X","")</f>
      </c>
      <c r="K28" s="56" t="str">
        <f>IF(COUNTIFS('LANÇAMENTOS DIÁRIOS'!$G$5:$G$500,"H",'LANÇAMENTOS DIÁRIOS'!$C$5:$C$500,$A28,'LANÇAMENTOS DIÁRIOS'!$O$5:$O$500,"&lt;=125399",'LANÇAMENTOS DIÁRIOS'!$P$5:$P$500,"&gt;=125300")&gt;0,"X","")</f>
      </c>
      <c r="L28" s="56" t="str">
        <f>IF(COUNTIFS('LANÇAMENTOS DIÁRIOS'!$G$5:$G$500,"H",'LANÇAMENTOS DIÁRIOS'!$C$5:$C$500,$A28,'LANÇAMENTOS DIÁRIOS'!$O$5:$O$500,"&lt;=125499",'LANÇAMENTOS DIÁRIOS'!$P$5:$P$500,"&gt;=125400")&gt;0,"X","")</f>
      </c>
      <c r="M28" s="56" t="str">
        <f>IF(COUNTIFS('LANÇAMENTOS DIÁRIOS'!$G$5:$G$500,"H",'LANÇAMENTOS DIÁRIOS'!$C$5:$C$500,$A28,'LANÇAMENTOS DIÁRIOS'!$O$5:$O$500,"&lt;=125599",'LANÇAMENTOS DIÁRIOS'!$P$5:$P$500,"&gt;=125500")&gt;0,"X","")</f>
      </c>
      <c r="N28" s="56" t="str">
        <f>IF(COUNTIFS('LANÇAMENTOS DIÁRIOS'!$G$5:$G$500,"H",'LANÇAMENTOS DIÁRIOS'!$C$5:$C$500,$A28,'LANÇAMENTOS DIÁRIOS'!$O$5:$O$500,"&lt;=125699",'LANÇAMENTOS DIÁRIOS'!$P$5:$P$500,"&gt;=125600")&gt;0,"X","")</f>
      </c>
      <c r="O28" s="56" t="str">
        <f>IF(COUNTIFS('LANÇAMENTOS DIÁRIOS'!$G$5:$G$500,"H",'LANÇAMENTOS DIÁRIOS'!$C$5:$C$500,$A28,'LANÇAMENTOS DIÁRIOS'!$O$5:$O$500,"&lt;=125799",'LANÇAMENTOS DIÁRIOS'!$P$5:$P$500,"&gt;=125700")&gt;0,"X","")</f>
      </c>
      <c r="P28" s="56" t="str">
        <f>IF(COUNTIFS('LANÇAMENTOS DIÁRIOS'!$G$5:$G$500,"H",'LANÇAMENTOS DIÁRIOS'!$C$5:$C$500,$A28,'LANÇAMENTOS DIÁRIOS'!$O$5:$O$500,"&lt;=125899",'LANÇAMENTOS DIÁRIOS'!$P$5:$P$500,"&gt;=125800")&gt;0,"X","")</f>
      </c>
      <c r="Q28" s="56" t="str">
        <f>IF(COUNTIFS('LANÇAMENTOS DIÁRIOS'!$G$5:$G$500,"H",'LANÇAMENTOS DIÁRIOS'!$C$5:$C$500,$A28,'LANÇAMENTOS DIÁRIOS'!$O$5:$O$500,"&lt;=125999",'LANÇAMENTOS DIÁRIOS'!$P$5:$P$500,"&gt;=125900")&gt;0,"X","")</f>
      </c>
      <c r="R28" s="56" t="str">
        <f>IF(COUNTIFS('LANÇAMENTOS DIÁRIOS'!$G$5:$G$500,"H",'LANÇAMENTOS DIÁRIOS'!$C$5:$C$500,$A28,'LANÇAMENTOS DIÁRIOS'!$O$5:$O$500,"&lt;=126099",'LANÇAMENTOS DIÁRIOS'!$P$5:$P$500,"&gt;=126000")&gt;0,"X","")</f>
      </c>
      <c r="S28" s="56" t="str">
        <f>IF(COUNTIFS('LANÇAMENTOS DIÁRIOS'!$G$5:$G$500,"H",'LANÇAMENTOS DIÁRIOS'!$C$5:$C$500,$A28,'LANÇAMENTOS DIÁRIOS'!$O$5:$O$500,"&lt;=126199",'LANÇAMENTOS DIÁRIOS'!$P$5:$P$500,"&gt;=126100")&gt;0,"X","")</f>
      </c>
      <c r="T28" s="56" t="str">
        <f>IF(COUNTIFS('LANÇAMENTOS DIÁRIOS'!$G$5:$G$500,"H",'LANÇAMENTOS DIÁRIOS'!$C$5:$C$500,$A28,'LANÇAMENTOS DIÁRIOS'!$O$5:$O$500,"&lt;=126299",'LANÇAMENTOS DIÁRIOS'!$P$5:$P$500,"&gt;=126200")&gt;0,"X","")</f>
      </c>
      <c r="U28" s="56" t="str">
        <f>IF(COUNTIFS('LANÇAMENTOS DIÁRIOS'!$G$5:$G$500,"H",'LANÇAMENTOS DIÁRIOS'!$C$5:$C$500,$A28,'LANÇAMENTOS DIÁRIOS'!$O$5:$O$500,"&lt;=126399",'LANÇAMENTOS DIÁRIOS'!$P$5:$P$500,"&gt;=126300")&gt;0,"X","")</f>
      </c>
      <c r="V28" s="56" t="str">
        <f>IF(COUNTIFS('LANÇAMENTOS DIÁRIOS'!$G$5:$G$500,"H",'LANÇAMENTOS DIÁRIOS'!$C$5:$C$500,$A28,'LANÇAMENTOS DIÁRIOS'!$O$5:$O$500,"&lt;=126499",'LANÇAMENTOS DIÁRIOS'!$P$5:$P$500,"&gt;=126400")&gt;0,"X","")</f>
      </c>
      <c r="W28" s="56" t="str">
        <f>IF(COUNTIFS('LANÇAMENTOS DIÁRIOS'!$G$5:$G$500,"H",'LANÇAMENTOS DIÁRIOS'!$C$5:$C$500,$A28,'LANÇAMENTOS DIÁRIOS'!$O$5:$O$500,"&lt;=126599",'LANÇAMENTOS DIÁRIOS'!$P$5:$P$500,"&gt;=126500")&gt;0,"X","")</f>
      </c>
      <c r="X28" s="56" t="str">
        <f>IF(COUNTIFS('LANÇAMENTOS DIÁRIOS'!$G$5:$G$500,"H",'LANÇAMENTOS DIÁRIOS'!$C$5:$C$500,$A28,'LANÇAMENTOS DIÁRIOS'!$O$5:$O$500,"&lt;=126699",'LANÇAMENTOS DIÁRIOS'!$P$5:$P$500,"&gt;=126600")&gt;0,"X","")</f>
      </c>
      <c r="Y28" s="56" t="str">
        <f>IF(COUNTIFS('LANÇAMENTOS DIÁRIOS'!$G$5:$G$500,"H",'LANÇAMENTOS DIÁRIOS'!$C$5:$C$500,$A28,'LANÇAMENTOS DIÁRIOS'!$O$5:$O$500,"&lt;=126799",'LANÇAMENTOS DIÁRIOS'!$P$5:$P$500,"&gt;=126700")&gt;0,"X","")</f>
      </c>
      <c r="Z28" s="56" t="str">
        <f>IF(COUNTIFS('LANÇAMENTOS DIÁRIOS'!$G$5:$G$500,"H",'LANÇAMENTOS DIÁRIOS'!$C$5:$C$500,$A28,'LANÇAMENTOS DIÁRIOS'!$O$5:$O$500,"&lt;=126899",'LANÇAMENTOS DIÁRIOS'!$P$5:$P$500,"&gt;=126800")&gt;0,"X","")</f>
      </c>
      <c r="AA28" s="56" t="str">
        <f>IF(COUNTIFS('LANÇAMENTOS DIÁRIOS'!$G$5:$G$500,"H",'LANÇAMENTOS DIÁRIOS'!$C$5:$C$500,$A28,'LANÇAMENTOS DIÁRIOS'!$O$5:$O$500,"&lt;=126999",'LANÇAMENTOS DIÁRIOS'!$P$5:$P$500,"&gt;=126900")&gt;0,"X","")</f>
      </c>
      <c r="AB28" s="56" t="str">
        <f>IF(COUNTIFS('LANÇAMENTOS DIÁRIOS'!$G$5:$G$500,"H",'LANÇAMENTOS DIÁRIOS'!$C$5:$C$500,$A28,'LANÇAMENTOS DIÁRIOS'!$O$5:$O$500,"&lt;=127099",'LANÇAMENTOS DIÁRIOS'!$P$5:$P$500,"&gt;=127000")&gt;0,"X","")</f>
      </c>
      <c r="AC28" s="56" t="str">
        <f>IF(COUNTIFS('LANÇAMENTOS DIÁRIOS'!$G$5:$G$500,"H",'LANÇAMENTOS DIÁRIOS'!$C$5:$C$500,$A28,'LANÇAMENTOS DIÁRIOS'!$O$5:$O$500,"&lt;=127199",'LANÇAMENTOS DIÁRIOS'!$P$5:$P$500,"&gt;=127100")&gt;0,"X","")</f>
      </c>
      <c r="AD28" s="56" t="str">
        <f>IF(COUNTIFS('LANÇAMENTOS DIÁRIOS'!$G$5:$G$500,"H",'LANÇAMENTOS DIÁRIOS'!$C$5:$C$500,$A28,'LANÇAMENTOS DIÁRIOS'!$O$5:$O$500,"&lt;=127299",'LANÇAMENTOS DIÁRIOS'!$P$5:$P$500,"&gt;=127200")&gt;0,"X","")</f>
      </c>
      <c r="AE28" s="56" t="str">
        <f>IF(COUNTIFS('LANÇAMENTOS DIÁRIOS'!$G$5:$G$500,"H",'LANÇAMENTOS DIÁRIOS'!$C$5:$C$500,$A28,'LANÇAMENTOS DIÁRIOS'!$O$5:$O$500,"&lt;=127399",'LANÇAMENTOS DIÁRIOS'!$P$5:$P$500,"&gt;=127300")&gt;0,"X","")</f>
      </c>
      <c r="AF28" s="56" t="str">
        <f>IF(COUNTIFS('LANÇAMENTOS DIÁRIOS'!$G$5:$G$500,"H",'LANÇAMENTOS DIÁRIOS'!$C$5:$C$500,$A28,'LANÇAMENTOS DIÁRIOS'!$O$5:$O$500,"&lt;=127499",'LANÇAMENTOS DIÁRIOS'!$P$5:$P$500,"&gt;=127400")&gt;0,"X","")</f>
      </c>
      <c r="AG28" s="56" t="str">
        <f>IF(COUNTIFS('LANÇAMENTOS DIÁRIOS'!$G$5:$G$500,"H",'LANÇAMENTOS DIÁRIOS'!$C$5:$C$500,$A28,'LANÇAMENTOS DIÁRIOS'!$O$5:$O$500,"&lt;=127599",'LANÇAMENTOS DIÁRIOS'!$P$5:$P$500,"&gt;=127500")&gt;0,"X","")</f>
      </c>
      <c r="AH28" s="56" t="str">
        <f>IF(COUNTIFS('LANÇAMENTOS DIÁRIOS'!$G$5:$G$500,"H",'LANÇAMENTOS DIÁRIOS'!$C$5:$C$500,$A28,'LANÇAMENTOS DIÁRIOS'!$O$5:$O$500,"&lt;=127699",'LANÇAMENTOS DIÁRIOS'!$P$5:$P$500,"&gt;=127600")&gt;0,"X","")</f>
      </c>
      <c r="AI28" s="56" t="str">
        <f>IF(COUNTIFS('LANÇAMENTOS DIÁRIOS'!$G$5:$G$500,"H",'LANÇAMENTOS DIÁRIOS'!$C$5:$C$500,$A28,'LANÇAMENTOS DIÁRIOS'!$O$5:$O$500,"&lt;=127799",'LANÇAMENTOS DIÁRIOS'!$P$5:$P$500,"&gt;=127700")&gt;0,"X","")</f>
      </c>
      <c r="AJ28" s="56" t="str">
        <f>IF(COUNTIFS('LANÇAMENTOS DIÁRIOS'!$G$5:$G$500,"H",'LANÇAMENTOS DIÁRIOS'!$C$5:$C$500,$A28,'LANÇAMENTOS DIÁRIOS'!$O$5:$O$500,"&lt;=127899",'LANÇAMENTOS DIÁRIOS'!$P$5:$P$500,"&gt;=127800")&gt;0,"X","")</f>
      </c>
      <c r="AK28" s="56" t="str">
        <f>IF(COUNTIFS('LANÇAMENTOS DIÁRIOS'!$G$5:$G$500,"H",'LANÇAMENTOS DIÁRIOS'!$C$5:$C$500,$A28,'LANÇAMENTOS DIÁRIOS'!$O$5:$O$500,"&lt;=127999",'LANÇAMENTOS DIÁRIOS'!$P$5:$P$500,"&gt;=127900")&gt;0,"X","")</f>
      </c>
      <c r="AL28" s="56" t="str">
        <f>IF(COUNTIFS('LANÇAMENTOS DIÁRIOS'!$G$5:$G$500,"H",'LANÇAMENTOS DIÁRIOS'!$C$5:$C$500,$A28,'LANÇAMENTOS DIÁRIOS'!$O$5:$O$500,"&lt;=128099",'LANÇAMENTOS DIÁRIOS'!$P$5:$P$500,"&gt;=128000")&gt;0,"X","")</f>
      </c>
      <c r="AM28" s="56" t="str">
        <f>IF(COUNTIFS('LANÇAMENTOS DIÁRIOS'!$G$5:$G$500,"H",'LANÇAMENTOS DIÁRIOS'!$C$5:$C$500,$A28,'LANÇAMENTOS DIÁRIOS'!$O$5:$O$500,"&lt;=128199",'LANÇAMENTOS DIÁRIOS'!$P$5:$P$500,"&gt;=128100")&gt;0,"X","")</f>
      </c>
      <c r="AN28" s="56" t="str">
        <f>IF(COUNTIFS('LANÇAMENTOS DIÁRIOS'!$G$5:$G$500,"H",'LANÇAMENTOS DIÁRIOS'!$C$5:$C$500,$A28,'LANÇAMENTOS DIÁRIOS'!$O$5:$O$500,"&lt;=128299",'LANÇAMENTOS DIÁRIOS'!$P$5:$P$500,"&gt;=128200")&gt;0,"X","")</f>
      </c>
      <c r="AO28" s="56" t="str">
        <f>IF(COUNTIFS('LANÇAMENTOS DIÁRIOS'!$G$5:$G$500,"H",'LANÇAMENTOS DIÁRIOS'!$C$5:$C$500,$A28,'LANÇAMENTOS DIÁRIOS'!$O$5:$O$500,"&lt;=128399",'LANÇAMENTOS DIÁRIOS'!$P$5:$P$500,"&gt;=128300")&gt;0,"X","")</f>
      </c>
      <c r="AP28" s="56" t="str">
        <f>IF(COUNTIFS('LANÇAMENTOS DIÁRIOS'!$G$5:$G$500,"H",'LANÇAMENTOS DIÁRIOS'!$C$5:$C$500,$A28,'LANÇAMENTOS DIÁRIOS'!$O$5:$O$500,"&lt;=128499",'LANÇAMENTOS DIÁRIOS'!$P$5:$P$500,"&gt;=128400")&gt;0,"X","")</f>
      </c>
      <c r="AQ28" s="56" t="str">
        <f>IF(COUNTIFS('LANÇAMENTOS DIÁRIOS'!$G$5:$G$500,"H",'LANÇAMENTOS DIÁRIOS'!$C$5:$C$500,$A28,'LANÇAMENTOS DIÁRIOS'!$O$5:$O$500,"&lt;=128599",'LANÇAMENTOS DIÁRIOS'!$P$5:$P$500,"&gt;=128500")&gt;0,"X","")</f>
      </c>
      <c r="AR28" s="56" t="str">
        <f>IF(COUNTIFS('LANÇAMENTOS DIÁRIOS'!$G$5:$G$500,"H",'LANÇAMENTOS DIÁRIOS'!$C$5:$C$500,$A28,'LANÇAMENTOS DIÁRIOS'!$O$5:$O$500,"&lt;=128699",'LANÇAMENTOS DIÁRIOS'!$P$5:$P$500,"&gt;=128600")&gt;0,"X","")</f>
      </c>
      <c r="AS28" s="56" t="str">
        <f>IF(COUNTIFS('LANÇAMENTOS DIÁRIOS'!$G$5:$G$500,"H",'LANÇAMENTOS DIÁRIOS'!$C$5:$C$500,$A28,'LANÇAMENTOS DIÁRIOS'!$O$5:$O$500,"&lt;=128799",'LANÇAMENTOS DIÁRIOS'!$P$5:$P$500,"&gt;=128700")&gt;0,"X","")</f>
      </c>
      <c r="AT28" s="56" t="str">
        <f>IF(COUNTIFS('LANÇAMENTOS DIÁRIOS'!$G$5:$G$500,"H",'LANÇAMENTOS DIÁRIOS'!$C$5:$C$500,$A28,'LANÇAMENTOS DIÁRIOS'!$O$5:$O$500,"&lt;=128899",'LANÇAMENTOS DIÁRIOS'!$P$5:$P$500,"&gt;=128800")&gt;0,"X","")</f>
      </c>
      <c r="AU28" s="56" t="str">
        <f>IF(COUNTIFS('LANÇAMENTOS DIÁRIOS'!$G$5:$G$500,"H",'LANÇAMENTOS DIÁRIOS'!$C$5:$C$500,$A28,'LANÇAMENTOS DIÁRIOS'!$O$5:$O$500,"&lt;=128999",'LANÇAMENTOS DIÁRIOS'!$P$5:$P$500,"&gt;=128900")&gt;0,"X","")</f>
      </c>
      <c r="AV28" s="56" t="str">
        <f>IF(COUNTIFS('LANÇAMENTOS DIÁRIOS'!$G$5:$G$500,"H",'LANÇAMENTOS DIÁRIOS'!$C$5:$C$500,$A28,'LANÇAMENTOS DIÁRIOS'!$O$5:$O$500,"&lt;=129099",'LANÇAMENTOS DIÁRIOS'!$P$5:$P$500,"&gt;=129000")&gt;0,"X","")</f>
      </c>
      <c r="AW28" s="56" t="str">
        <f>IF(COUNTIFS('LANÇAMENTOS DIÁRIOS'!$G$5:$G$500,"H",'LANÇAMENTOS DIÁRIOS'!$C$5:$C$500,$A28,'LANÇAMENTOS DIÁRIOS'!$O$5:$O$500,"&lt;=129199",'LANÇAMENTOS DIÁRIOS'!$P$5:$P$500,"&gt;=129100")&gt;0,"X","")</f>
      </c>
      <c r="AX28" s="56" t="str">
        <f>IF(COUNTIFS('LANÇAMENTOS DIÁRIOS'!$G$5:$G$500,"H",'LANÇAMENTOS DIÁRIOS'!$C$5:$C$500,$A28,'LANÇAMENTOS DIÁRIOS'!$O$5:$O$500,"&lt;=129299",'LANÇAMENTOS DIÁRIOS'!$P$5:$P$500,"&gt;=129200")&gt;0,"X","")</f>
      </c>
      <c r="AY28" s="56" t="str">
        <f>IF(COUNTIFS('LANÇAMENTOS DIÁRIOS'!$G$5:$G$500,"H",'LANÇAMENTOS DIÁRIOS'!$C$5:$C$500,$A28,'LANÇAMENTOS DIÁRIOS'!$O$5:$O$500,"&lt;=129399",'LANÇAMENTOS DIÁRIOS'!$P$5:$P$500,"&gt;=129300")&gt;0,"X","")</f>
      </c>
      <c r="AZ28" s="56" t="str">
        <f>IF(COUNTIFS('LANÇAMENTOS DIÁRIOS'!$G$5:$G$500,"H",'LANÇAMENTOS DIÁRIOS'!$C$5:$C$500,$A28,'LANÇAMENTOS DIÁRIOS'!$O$5:$O$500,"&lt;=129400",'LANÇAMENTOS DIÁRIOS'!$P$5:$P$500,"&gt;=129400")&gt;0,"X","")</f>
      </c>
    </row>
    <row r="29">
      <c r="A29" s="51" t="str">
        <v>Derrubada e destocamento arv. c/ diâmetro &gt; 0,15 m</v>
      </c>
      <c r="B29" s="56" t="str">
        <f>IF(COUNTIFS('LANÇAMENTOS DIÁRIOS'!$G$5:$G$500,"H",'LANÇAMENTOS DIÁRIOS'!$C$5:$C$500,$A29,'LANÇAMENTOS DIÁRIOS'!$O$5:$O$500,"&lt;=124499",'LANÇAMENTOS DIÁRIOS'!$P$5:$P$500,"&gt;=124400")&gt;0,"X","")</f>
      </c>
      <c r="C29" s="56" t="str">
        <f>IF(COUNTIFS('LANÇAMENTOS DIÁRIOS'!$G$5:$G$500,"H",'LANÇAMENTOS DIÁRIOS'!$C$5:$C$500,$A29,'LANÇAMENTOS DIÁRIOS'!$O$5:$O$500,"&lt;=124599",'LANÇAMENTOS DIÁRIOS'!$P$5:$P$500,"&gt;=124500")&gt;0,"X","")</f>
      </c>
      <c r="D29" s="56" t="str">
        <f>IF(COUNTIFS('LANÇAMENTOS DIÁRIOS'!$G$5:$G$500,"H",'LANÇAMENTOS DIÁRIOS'!$C$5:$C$500,$A29,'LANÇAMENTOS DIÁRIOS'!$O$5:$O$500,"&lt;=124699",'LANÇAMENTOS DIÁRIOS'!$P$5:$P$500,"&gt;=124600")&gt;0,"X","")</f>
      </c>
      <c r="E29" s="56" t="str">
        <f>IF(COUNTIFS('LANÇAMENTOS DIÁRIOS'!$G$5:$G$500,"H",'LANÇAMENTOS DIÁRIOS'!$C$5:$C$500,$A29,'LANÇAMENTOS DIÁRIOS'!$O$5:$O$500,"&lt;=124799",'LANÇAMENTOS DIÁRIOS'!$P$5:$P$500,"&gt;=124700")&gt;0,"X","")</f>
      </c>
      <c r="F29" s="56" t="str">
        <f>IF(COUNTIFS('LANÇAMENTOS DIÁRIOS'!$G$5:$G$500,"H",'LANÇAMENTOS DIÁRIOS'!$C$5:$C$500,$A29,'LANÇAMENTOS DIÁRIOS'!$O$5:$O$500,"&lt;=124899",'LANÇAMENTOS DIÁRIOS'!$P$5:$P$500,"&gt;=124800")&gt;0,"X","")</f>
      </c>
      <c r="G29" s="56" t="str">
        <f>IF(COUNTIFS('LANÇAMENTOS DIÁRIOS'!$G$5:$G$500,"H",'LANÇAMENTOS DIÁRIOS'!$C$5:$C$500,$A29,'LANÇAMENTOS DIÁRIOS'!$O$5:$O$500,"&lt;=124999",'LANÇAMENTOS DIÁRIOS'!$P$5:$P$500,"&gt;=124900")&gt;0,"X","")</f>
      </c>
      <c r="H29" s="56" t="str">
        <f>IF(COUNTIFS('LANÇAMENTOS DIÁRIOS'!$G$5:$G$500,"H",'LANÇAMENTOS DIÁRIOS'!$C$5:$C$500,$A29,'LANÇAMENTOS DIÁRIOS'!$O$5:$O$500,"&lt;=125099",'LANÇAMENTOS DIÁRIOS'!$P$5:$P$500,"&gt;=125000")&gt;0,"X","")</f>
      </c>
      <c r="I29" s="56" t="str">
        <f>IF(COUNTIFS('LANÇAMENTOS DIÁRIOS'!$G$5:$G$500,"H",'LANÇAMENTOS DIÁRIOS'!$C$5:$C$500,$A29,'LANÇAMENTOS DIÁRIOS'!$O$5:$O$500,"&lt;=125199",'LANÇAMENTOS DIÁRIOS'!$P$5:$P$500,"&gt;=125100")&gt;0,"X","")</f>
      </c>
      <c r="J29" s="56" t="str">
        <f>IF(COUNTIFS('LANÇAMENTOS DIÁRIOS'!$G$5:$G$500,"H",'LANÇAMENTOS DIÁRIOS'!$C$5:$C$500,$A29,'LANÇAMENTOS DIÁRIOS'!$O$5:$O$500,"&lt;=125299",'LANÇAMENTOS DIÁRIOS'!$P$5:$P$500,"&gt;=125200")&gt;0,"X","")</f>
      </c>
      <c r="K29" s="56" t="str">
        <f>IF(COUNTIFS('LANÇAMENTOS DIÁRIOS'!$G$5:$G$500,"H",'LANÇAMENTOS DIÁRIOS'!$C$5:$C$500,$A29,'LANÇAMENTOS DIÁRIOS'!$O$5:$O$500,"&lt;=125399",'LANÇAMENTOS DIÁRIOS'!$P$5:$P$500,"&gt;=125300")&gt;0,"X","")</f>
      </c>
      <c r="L29" s="56" t="str">
        <f>IF(COUNTIFS('LANÇAMENTOS DIÁRIOS'!$G$5:$G$500,"H",'LANÇAMENTOS DIÁRIOS'!$C$5:$C$500,$A29,'LANÇAMENTOS DIÁRIOS'!$O$5:$O$500,"&lt;=125499",'LANÇAMENTOS DIÁRIOS'!$P$5:$P$500,"&gt;=125400")&gt;0,"X","")</f>
      </c>
      <c r="M29" s="56" t="str">
        <f>IF(COUNTIFS('LANÇAMENTOS DIÁRIOS'!$G$5:$G$500,"H",'LANÇAMENTOS DIÁRIOS'!$C$5:$C$500,$A29,'LANÇAMENTOS DIÁRIOS'!$O$5:$O$500,"&lt;=125599",'LANÇAMENTOS DIÁRIOS'!$P$5:$P$500,"&gt;=125500")&gt;0,"X","")</f>
      </c>
      <c r="N29" s="56" t="str">
        <f>IF(COUNTIFS('LANÇAMENTOS DIÁRIOS'!$G$5:$G$500,"H",'LANÇAMENTOS DIÁRIOS'!$C$5:$C$500,$A29,'LANÇAMENTOS DIÁRIOS'!$O$5:$O$500,"&lt;=125699",'LANÇAMENTOS DIÁRIOS'!$P$5:$P$500,"&gt;=125600")&gt;0,"X","")</f>
      </c>
      <c r="O29" s="56" t="str">
        <f>IF(COUNTIFS('LANÇAMENTOS DIÁRIOS'!$G$5:$G$500,"H",'LANÇAMENTOS DIÁRIOS'!$C$5:$C$500,$A29,'LANÇAMENTOS DIÁRIOS'!$O$5:$O$500,"&lt;=125799",'LANÇAMENTOS DIÁRIOS'!$P$5:$P$500,"&gt;=125700")&gt;0,"X","")</f>
      </c>
      <c r="P29" s="56" t="str">
        <f>IF(COUNTIFS('LANÇAMENTOS DIÁRIOS'!$G$5:$G$500,"H",'LANÇAMENTOS DIÁRIOS'!$C$5:$C$500,$A29,'LANÇAMENTOS DIÁRIOS'!$O$5:$O$500,"&lt;=125899",'LANÇAMENTOS DIÁRIOS'!$P$5:$P$500,"&gt;=125800")&gt;0,"X","")</f>
      </c>
      <c r="Q29" s="56" t="str">
        <f>IF(COUNTIFS('LANÇAMENTOS DIÁRIOS'!$G$5:$G$500,"H",'LANÇAMENTOS DIÁRIOS'!$C$5:$C$500,$A29,'LANÇAMENTOS DIÁRIOS'!$O$5:$O$500,"&lt;=125999",'LANÇAMENTOS DIÁRIOS'!$P$5:$P$500,"&gt;=125900")&gt;0,"X","")</f>
      </c>
      <c r="R29" s="56" t="str">
        <f>IF(COUNTIFS('LANÇAMENTOS DIÁRIOS'!$G$5:$G$500,"H",'LANÇAMENTOS DIÁRIOS'!$C$5:$C$500,$A29,'LANÇAMENTOS DIÁRIOS'!$O$5:$O$500,"&lt;=126099",'LANÇAMENTOS DIÁRIOS'!$P$5:$P$500,"&gt;=126000")&gt;0,"X","")</f>
      </c>
      <c r="S29" s="56" t="str">
        <f>IF(COUNTIFS('LANÇAMENTOS DIÁRIOS'!$G$5:$G$500,"H",'LANÇAMENTOS DIÁRIOS'!$C$5:$C$500,$A29,'LANÇAMENTOS DIÁRIOS'!$O$5:$O$500,"&lt;=126199",'LANÇAMENTOS DIÁRIOS'!$P$5:$P$500,"&gt;=126100")&gt;0,"X","")</f>
      </c>
      <c r="T29" s="56" t="str">
        <f>IF(COUNTIFS('LANÇAMENTOS DIÁRIOS'!$G$5:$G$500,"H",'LANÇAMENTOS DIÁRIOS'!$C$5:$C$500,$A29,'LANÇAMENTOS DIÁRIOS'!$O$5:$O$500,"&lt;=126299",'LANÇAMENTOS DIÁRIOS'!$P$5:$P$500,"&gt;=126200")&gt;0,"X","")</f>
      </c>
      <c r="U29" s="56" t="str">
        <f>IF(COUNTIFS('LANÇAMENTOS DIÁRIOS'!$G$5:$G$500,"H",'LANÇAMENTOS DIÁRIOS'!$C$5:$C$500,$A29,'LANÇAMENTOS DIÁRIOS'!$O$5:$O$500,"&lt;=126399",'LANÇAMENTOS DIÁRIOS'!$P$5:$P$500,"&gt;=126300")&gt;0,"X","")</f>
      </c>
      <c r="V29" s="56" t="str">
        <f>IF(COUNTIFS('LANÇAMENTOS DIÁRIOS'!$G$5:$G$500,"H",'LANÇAMENTOS DIÁRIOS'!$C$5:$C$500,$A29,'LANÇAMENTOS DIÁRIOS'!$O$5:$O$500,"&lt;=126499",'LANÇAMENTOS DIÁRIOS'!$P$5:$P$500,"&gt;=126400")&gt;0,"X","")</f>
      </c>
      <c r="W29" s="56" t="str">
        <f>IF(COUNTIFS('LANÇAMENTOS DIÁRIOS'!$G$5:$G$500,"H",'LANÇAMENTOS DIÁRIOS'!$C$5:$C$500,$A29,'LANÇAMENTOS DIÁRIOS'!$O$5:$O$500,"&lt;=126599",'LANÇAMENTOS DIÁRIOS'!$P$5:$P$500,"&gt;=126500")&gt;0,"X","")</f>
      </c>
      <c r="X29" s="56" t="str">
        <f>IF(COUNTIFS('LANÇAMENTOS DIÁRIOS'!$G$5:$G$500,"H",'LANÇAMENTOS DIÁRIOS'!$C$5:$C$500,$A29,'LANÇAMENTOS DIÁRIOS'!$O$5:$O$500,"&lt;=126699",'LANÇAMENTOS DIÁRIOS'!$P$5:$P$500,"&gt;=126600")&gt;0,"X","")</f>
      </c>
      <c r="Y29" s="56" t="str">
        <f>IF(COUNTIFS('LANÇAMENTOS DIÁRIOS'!$G$5:$G$500,"H",'LANÇAMENTOS DIÁRIOS'!$C$5:$C$500,$A29,'LANÇAMENTOS DIÁRIOS'!$O$5:$O$500,"&lt;=126799",'LANÇAMENTOS DIÁRIOS'!$P$5:$P$500,"&gt;=126700")&gt;0,"X","")</f>
      </c>
      <c r="Z29" s="56" t="str">
        <f>IF(COUNTIFS('LANÇAMENTOS DIÁRIOS'!$G$5:$G$500,"H",'LANÇAMENTOS DIÁRIOS'!$C$5:$C$500,$A29,'LANÇAMENTOS DIÁRIOS'!$O$5:$O$500,"&lt;=126899",'LANÇAMENTOS DIÁRIOS'!$P$5:$P$500,"&gt;=126800")&gt;0,"X","")</f>
      </c>
      <c r="AA29" s="56" t="str">
        <f>IF(COUNTIFS('LANÇAMENTOS DIÁRIOS'!$G$5:$G$500,"H",'LANÇAMENTOS DIÁRIOS'!$C$5:$C$500,$A29,'LANÇAMENTOS DIÁRIOS'!$O$5:$O$500,"&lt;=126999",'LANÇAMENTOS DIÁRIOS'!$P$5:$P$500,"&gt;=126900")&gt;0,"X","")</f>
      </c>
      <c r="AB29" s="56" t="str">
        <f>IF(COUNTIFS('LANÇAMENTOS DIÁRIOS'!$G$5:$G$500,"H",'LANÇAMENTOS DIÁRIOS'!$C$5:$C$500,$A29,'LANÇAMENTOS DIÁRIOS'!$O$5:$O$500,"&lt;=127099",'LANÇAMENTOS DIÁRIOS'!$P$5:$P$500,"&gt;=127000")&gt;0,"X","")</f>
      </c>
      <c r="AC29" s="56" t="str">
        <f>IF(COUNTIFS('LANÇAMENTOS DIÁRIOS'!$G$5:$G$500,"H",'LANÇAMENTOS DIÁRIOS'!$C$5:$C$500,$A29,'LANÇAMENTOS DIÁRIOS'!$O$5:$O$500,"&lt;=127199",'LANÇAMENTOS DIÁRIOS'!$P$5:$P$500,"&gt;=127100")&gt;0,"X","")</f>
      </c>
      <c r="AD29" s="56" t="str">
        <f>IF(COUNTIFS('LANÇAMENTOS DIÁRIOS'!$G$5:$G$500,"H",'LANÇAMENTOS DIÁRIOS'!$C$5:$C$500,$A29,'LANÇAMENTOS DIÁRIOS'!$O$5:$O$500,"&lt;=127299",'LANÇAMENTOS DIÁRIOS'!$P$5:$P$500,"&gt;=127200")&gt;0,"X","")</f>
      </c>
      <c r="AE29" s="56" t="str">
        <f>IF(COUNTIFS('LANÇAMENTOS DIÁRIOS'!$G$5:$G$500,"H",'LANÇAMENTOS DIÁRIOS'!$C$5:$C$500,$A29,'LANÇAMENTOS DIÁRIOS'!$O$5:$O$500,"&lt;=127399",'LANÇAMENTOS DIÁRIOS'!$P$5:$P$500,"&gt;=127300")&gt;0,"X","")</f>
      </c>
      <c r="AF29" s="56" t="str">
        <f>IF(COUNTIFS('LANÇAMENTOS DIÁRIOS'!$G$5:$G$500,"H",'LANÇAMENTOS DIÁRIOS'!$C$5:$C$500,$A29,'LANÇAMENTOS DIÁRIOS'!$O$5:$O$500,"&lt;=127499",'LANÇAMENTOS DIÁRIOS'!$P$5:$P$500,"&gt;=127400")&gt;0,"X","")</f>
      </c>
      <c r="AG29" s="56" t="str">
        <f>IF(COUNTIFS('LANÇAMENTOS DIÁRIOS'!$G$5:$G$500,"H",'LANÇAMENTOS DIÁRIOS'!$C$5:$C$500,$A29,'LANÇAMENTOS DIÁRIOS'!$O$5:$O$500,"&lt;=127599",'LANÇAMENTOS DIÁRIOS'!$P$5:$P$500,"&gt;=127500")&gt;0,"X","")</f>
      </c>
      <c r="AH29" s="56" t="str">
        <f>IF(COUNTIFS('LANÇAMENTOS DIÁRIOS'!$G$5:$G$500,"H",'LANÇAMENTOS DIÁRIOS'!$C$5:$C$500,$A29,'LANÇAMENTOS DIÁRIOS'!$O$5:$O$500,"&lt;=127699",'LANÇAMENTOS DIÁRIOS'!$P$5:$P$500,"&gt;=127600")&gt;0,"X","")</f>
      </c>
      <c r="AI29" s="56" t="str">
        <f>IF(COUNTIFS('LANÇAMENTOS DIÁRIOS'!$G$5:$G$500,"H",'LANÇAMENTOS DIÁRIOS'!$C$5:$C$500,$A29,'LANÇAMENTOS DIÁRIOS'!$O$5:$O$500,"&lt;=127799",'LANÇAMENTOS DIÁRIOS'!$P$5:$P$500,"&gt;=127700")&gt;0,"X","")</f>
      </c>
      <c r="AJ29" s="56" t="str">
        <f>IF(COUNTIFS('LANÇAMENTOS DIÁRIOS'!$G$5:$G$500,"H",'LANÇAMENTOS DIÁRIOS'!$C$5:$C$500,$A29,'LANÇAMENTOS DIÁRIOS'!$O$5:$O$500,"&lt;=127899",'LANÇAMENTOS DIÁRIOS'!$P$5:$P$500,"&gt;=127800")&gt;0,"X","")</f>
      </c>
      <c r="AK29" s="56" t="str">
        <f>IF(COUNTIFS('LANÇAMENTOS DIÁRIOS'!$G$5:$G$500,"H",'LANÇAMENTOS DIÁRIOS'!$C$5:$C$500,$A29,'LANÇAMENTOS DIÁRIOS'!$O$5:$O$500,"&lt;=127999",'LANÇAMENTOS DIÁRIOS'!$P$5:$P$500,"&gt;=127900")&gt;0,"X","")</f>
      </c>
      <c r="AL29" s="56" t="str">
        <f>IF(COUNTIFS('LANÇAMENTOS DIÁRIOS'!$G$5:$G$500,"H",'LANÇAMENTOS DIÁRIOS'!$C$5:$C$500,$A29,'LANÇAMENTOS DIÁRIOS'!$O$5:$O$500,"&lt;=128099",'LANÇAMENTOS DIÁRIOS'!$P$5:$P$500,"&gt;=128000")&gt;0,"X","")</f>
      </c>
      <c r="AM29" s="56" t="str">
        <f>IF(COUNTIFS('LANÇAMENTOS DIÁRIOS'!$G$5:$G$500,"H",'LANÇAMENTOS DIÁRIOS'!$C$5:$C$500,$A29,'LANÇAMENTOS DIÁRIOS'!$O$5:$O$500,"&lt;=128199",'LANÇAMENTOS DIÁRIOS'!$P$5:$P$500,"&gt;=128100")&gt;0,"X","")</f>
      </c>
      <c r="AN29" s="56" t="str">
        <f>IF(COUNTIFS('LANÇAMENTOS DIÁRIOS'!$G$5:$G$500,"H",'LANÇAMENTOS DIÁRIOS'!$C$5:$C$500,$A29,'LANÇAMENTOS DIÁRIOS'!$O$5:$O$500,"&lt;=128299",'LANÇAMENTOS DIÁRIOS'!$P$5:$P$500,"&gt;=128200")&gt;0,"X","")</f>
      </c>
      <c r="AO29" s="56" t="str">
        <f>IF(COUNTIFS('LANÇAMENTOS DIÁRIOS'!$G$5:$G$500,"H",'LANÇAMENTOS DIÁRIOS'!$C$5:$C$500,$A29,'LANÇAMENTOS DIÁRIOS'!$O$5:$O$500,"&lt;=128399",'LANÇAMENTOS DIÁRIOS'!$P$5:$P$500,"&gt;=128300")&gt;0,"X","")</f>
      </c>
      <c r="AP29" s="56" t="str">
        <f>IF(COUNTIFS('LANÇAMENTOS DIÁRIOS'!$G$5:$G$500,"H",'LANÇAMENTOS DIÁRIOS'!$C$5:$C$500,$A29,'LANÇAMENTOS DIÁRIOS'!$O$5:$O$500,"&lt;=128499",'LANÇAMENTOS DIÁRIOS'!$P$5:$P$500,"&gt;=128400")&gt;0,"X","")</f>
      </c>
      <c r="AQ29" s="56" t="str">
        <f>IF(COUNTIFS('LANÇAMENTOS DIÁRIOS'!$G$5:$G$500,"H",'LANÇAMENTOS DIÁRIOS'!$C$5:$C$500,$A29,'LANÇAMENTOS DIÁRIOS'!$O$5:$O$500,"&lt;=128599",'LANÇAMENTOS DIÁRIOS'!$P$5:$P$500,"&gt;=128500")&gt;0,"X","")</f>
      </c>
      <c r="AR29" s="56" t="str">
        <f>IF(COUNTIFS('LANÇAMENTOS DIÁRIOS'!$G$5:$G$500,"H",'LANÇAMENTOS DIÁRIOS'!$C$5:$C$500,$A29,'LANÇAMENTOS DIÁRIOS'!$O$5:$O$500,"&lt;=128699",'LANÇAMENTOS DIÁRIOS'!$P$5:$P$500,"&gt;=128600")&gt;0,"X","")</f>
      </c>
      <c r="AS29" s="56" t="str">
        <f>IF(COUNTIFS('LANÇAMENTOS DIÁRIOS'!$G$5:$G$500,"H",'LANÇAMENTOS DIÁRIOS'!$C$5:$C$500,$A29,'LANÇAMENTOS DIÁRIOS'!$O$5:$O$500,"&lt;=128799",'LANÇAMENTOS DIÁRIOS'!$P$5:$P$500,"&gt;=128700")&gt;0,"X","")</f>
      </c>
      <c r="AT29" s="56" t="str">
        <f>IF(COUNTIFS('LANÇAMENTOS DIÁRIOS'!$G$5:$G$500,"H",'LANÇAMENTOS DIÁRIOS'!$C$5:$C$500,$A29,'LANÇAMENTOS DIÁRIOS'!$O$5:$O$500,"&lt;=128899",'LANÇAMENTOS DIÁRIOS'!$P$5:$P$500,"&gt;=128800")&gt;0,"X","")</f>
      </c>
      <c r="AU29" s="56" t="str">
        <f>IF(COUNTIFS('LANÇAMENTOS DIÁRIOS'!$G$5:$G$500,"H",'LANÇAMENTOS DIÁRIOS'!$C$5:$C$500,$A29,'LANÇAMENTOS DIÁRIOS'!$O$5:$O$500,"&lt;=128999",'LANÇAMENTOS DIÁRIOS'!$P$5:$P$500,"&gt;=128900")&gt;0,"X","")</f>
      </c>
      <c r="AV29" s="56" t="str">
        <f>IF(COUNTIFS('LANÇAMENTOS DIÁRIOS'!$G$5:$G$500,"H",'LANÇAMENTOS DIÁRIOS'!$C$5:$C$500,$A29,'LANÇAMENTOS DIÁRIOS'!$O$5:$O$500,"&lt;=129099",'LANÇAMENTOS DIÁRIOS'!$P$5:$P$500,"&gt;=129000")&gt;0,"X","")</f>
      </c>
      <c r="AW29" s="56" t="str">
        <f>IF(COUNTIFS('LANÇAMENTOS DIÁRIOS'!$G$5:$G$500,"H",'LANÇAMENTOS DIÁRIOS'!$C$5:$C$500,$A29,'LANÇAMENTOS DIÁRIOS'!$O$5:$O$500,"&lt;=129199",'LANÇAMENTOS DIÁRIOS'!$P$5:$P$500,"&gt;=129100")&gt;0,"X","")</f>
      </c>
      <c r="AX29" s="56" t="str">
        <f>IF(COUNTIFS('LANÇAMENTOS DIÁRIOS'!$G$5:$G$500,"H",'LANÇAMENTOS DIÁRIOS'!$C$5:$C$500,$A29,'LANÇAMENTOS DIÁRIOS'!$O$5:$O$500,"&lt;=129299",'LANÇAMENTOS DIÁRIOS'!$P$5:$P$500,"&gt;=129200")&gt;0,"X","")</f>
      </c>
      <c r="AY29" s="56" t="str">
        <f>IF(COUNTIFS('LANÇAMENTOS DIÁRIOS'!$G$5:$G$500,"H",'LANÇAMENTOS DIÁRIOS'!$C$5:$C$500,$A29,'LANÇAMENTOS DIÁRIOS'!$O$5:$O$500,"&lt;=129399",'LANÇAMENTOS DIÁRIOS'!$P$5:$P$500,"&gt;=129300")&gt;0,"X","")</f>
      </c>
      <c r="AZ29" s="56" t="str">
        <f>IF(COUNTIFS('LANÇAMENTOS DIÁRIOS'!$G$5:$G$500,"H",'LANÇAMENTOS DIÁRIOS'!$C$5:$C$500,$A29,'LANÇAMENTOS DIÁRIOS'!$O$5:$O$500,"&lt;=129400",'LANÇAMENTOS DIÁRIOS'!$P$5:$P$500,"&gt;=129400")&gt;0,"X","")</f>
      </c>
    </row>
    <row r="30">
      <c r="A30" s="51" t="str">
        <v>Derrubada e destocamento.arv. c/ diâmetro 20&lt;&gt;30cm, com limpeza da área</v>
      </c>
      <c r="B30" s="56" t="str">
        <f>IF(COUNTIFS('LANÇAMENTOS DIÁRIOS'!$G$5:$G$500,"H",'LANÇAMENTOS DIÁRIOS'!$C$5:$C$500,$A30,'LANÇAMENTOS DIÁRIOS'!$O$5:$O$500,"&lt;=124499",'LANÇAMENTOS DIÁRIOS'!$P$5:$P$500,"&gt;=124400")&gt;0,"X","")</f>
      </c>
      <c r="C30" s="56" t="str">
        <f>IF(COUNTIFS('LANÇAMENTOS DIÁRIOS'!$G$5:$G$500,"H",'LANÇAMENTOS DIÁRIOS'!$C$5:$C$500,$A30,'LANÇAMENTOS DIÁRIOS'!$O$5:$O$500,"&lt;=124599",'LANÇAMENTOS DIÁRIOS'!$P$5:$P$500,"&gt;=124500")&gt;0,"X","")</f>
      </c>
      <c r="D30" s="56" t="str">
        <f>IF(COUNTIFS('LANÇAMENTOS DIÁRIOS'!$G$5:$G$500,"H",'LANÇAMENTOS DIÁRIOS'!$C$5:$C$500,$A30,'LANÇAMENTOS DIÁRIOS'!$O$5:$O$500,"&lt;=124699",'LANÇAMENTOS DIÁRIOS'!$P$5:$P$500,"&gt;=124600")&gt;0,"X","")</f>
      </c>
      <c r="E30" s="56" t="str">
        <f>IF(COUNTIFS('LANÇAMENTOS DIÁRIOS'!$G$5:$G$500,"H",'LANÇAMENTOS DIÁRIOS'!$C$5:$C$500,$A30,'LANÇAMENTOS DIÁRIOS'!$O$5:$O$500,"&lt;=124799",'LANÇAMENTOS DIÁRIOS'!$P$5:$P$500,"&gt;=124700")&gt;0,"X","")</f>
      </c>
      <c r="F30" s="56" t="str">
        <f>IF(COUNTIFS('LANÇAMENTOS DIÁRIOS'!$G$5:$G$500,"H",'LANÇAMENTOS DIÁRIOS'!$C$5:$C$500,$A30,'LANÇAMENTOS DIÁRIOS'!$O$5:$O$500,"&lt;=124899",'LANÇAMENTOS DIÁRIOS'!$P$5:$P$500,"&gt;=124800")&gt;0,"X","")</f>
      </c>
      <c r="G30" s="56" t="str">
        <f>IF(COUNTIFS('LANÇAMENTOS DIÁRIOS'!$G$5:$G$500,"H",'LANÇAMENTOS DIÁRIOS'!$C$5:$C$500,$A30,'LANÇAMENTOS DIÁRIOS'!$O$5:$O$500,"&lt;=124999",'LANÇAMENTOS DIÁRIOS'!$P$5:$P$500,"&gt;=124900")&gt;0,"X","")</f>
      </c>
      <c r="H30" s="56" t="str">
        <f>IF(COUNTIFS('LANÇAMENTOS DIÁRIOS'!$G$5:$G$500,"H",'LANÇAMENTOS DIÁRIOS'!$C$5:$C$500,$A30,'LANÇAMENTOS DIÁRIOS'!$O$5:$O$500,"&lt;=125099",'LANÇAMENTOS DIÁRIOS'!$P$5:$P$500,"&gt;=125000")&gt;0,"X","")</f>
      </c>
      <c r="I30" s="56" t="str">
        <f>IF(COUNTIFS('LANÇAMENTOS DIÁRIOS'!$G$5:$G$500,"H",'LANÇAMENTOS DIÁRIOS'!$C$5:$C$500,$A30,'LANÇAMENTOS DIÁRIOS'!$O$5:$O$500,"&lt;=125199",'LANÇAMENTOS DIÁRIOS'!$P$5:$P$500,"&gt;=125100")&gt;0,"X","")</f>
      </c>
      <c r="J30" s="56" t="str">
        <f>IF(COUNTIFS('LANÇAMENTOS DIÁRIOS'!$G$5:$G$500,"H",'LANÇAMENTOS DIÁRIOS'!$C$5:$C$500,$A30,'LANÇAMENTOS DIÁRIOS'!$O$5:$O$500,"&lt;=125299",'LANÇAMENTOS DIÁRIOS'!$P$5:$P$500,"&gt;=125200")&gt;0,"X","")</f>
      </c>
      <c r="K30" s="56" t="str">
        <f>IF(COUNTIFS('LANÇAMENTOS DIÁRIOS'!$G$5:$G$500,"H",'LANÇAMENTOS DIÁRIOS'!$C$5:$C$500,$A30,'LANÇAMENTOS DIÁRIOS'!$O$5:$O$500,"&lt;=125399",'LANÇAMENTOS DIÁRIOS'!$P$5:$P$500,"&gt;=125300")&gt;0,"X","")</f>
      </c>
      <c r="L30" s="56" t="str">
        <f>IF(COUNTIFS('LANÇAMENTOS DIÁRIOS'!$G$5:$G$500,"H",'LANÇAMENTOS DIÁRIOS'!$C$5:$C$500,$A30,'LANÇAMENTOS DIÁRIOS'!$O$5:$O$500,"&lt;=125499",'LANÇAMENTOS DIÁRIOS'!$P$5:$P$500,"&gt;=125400")&gt;0,"X","")</f>
      </c>
      <c r="M30" s="56" t="str">
        <f>IF(COUNTIFS('LANÇAMENTOS DIÁRIOS'!$G$5:$G$500,"H",'LANÇAMENTOS DIÁRIOS'!$C$5:$C$500,$A30,'LANÇAMENTOS DIÁRIOS'!$O$5:$O$500,"&lt;=125599",'LANÇAMENTOS DIÁRIOS'!$P$5:$P$500,"&gt;=125500")&gt;0,"X","")</f>
      </c>
      <c r="N30" s="56" t="str">
        <f>IF(COUNTIFS('LANÇAMENTOS DIÁRIOS'!$G$5:$G$500,"H",'LANÇAMENTOS DIÁRIOS'!$C$5:$C$500,$A30,'LANÇAMENTOS DIÁRIOS'!$O$5:$O$500,"&lt;=125699",'LANÇAMENTOS DIÁRIOS'!$P$5:$P$500,"&gt;=125600")&gt;0,"X","")</f>
      </c>
      <c r="O30" s="56" t="str">
        <f>IF(COUNTIFS('LANÇAMENTOS DIÁRIOS'!$G$5:$G$500,"H",'LANÇAMENTOS DIÁRIOS'!$C$5:$C$500,$A30,'LANÇAMENTOS DIÁRIOS'!$O$5:$O$500,"&lt;=125799",'LANÇAMENTOS DIÁRIOS'!$P$5:$P$500,"&gt;=125700")&gt;0,"X","")</f>
      </c>
      <c r="P30" s="56" t="str">
        <f>IF(COUNTIFS('LANÇAMENTOS DIÁRIOS'!$G$5:$G$500,"H",'LANÇAMENTOS DIÁRIOS'!$C$5:$C$500,$A30,'LANÇAMENTOS DIÁRIOS'!$O$5:$O$500,"&lt;=125899",'LANÇAMENTOS DIÁRIOS'!$P$5:$P$500,"&gt;=125800")&gt;0,"X","")</f>
      </c>
      <c r="Q30" s="56" t="str">
        <f>IF(COUNTIFS('LANÇAMENTOS DIÁRIOS'!$G$5:$G$500,"H",'LANÇAMENTOS DIÁRIOS'!$C$5:$C$500,$A30,'LANÇAMENTOS DIÁRIOS'!$O$5:$O$500,"&lt;=125999",'LANÇAMENTOS DIÁRIOS'!$P$5:$P$500,"&gt;=125900")&gt;0,"X","")</f>
      </c>
      <c r="R30" s="56" t="str">
        <f>IF(COUNTIFS('LANÇAMENTOS DIÁRIOS'!$G$5:$G$500,"H",'LANÇAMENTOS DIÁRIOS'!$C$5:$C$500,$A30,'LANÇAMENTOS DIÁRIOS'!$O$5:$O$500,"&lt;=126099",'LANÇAMENTOS DIÁRIOS'!$P$5:$P$500,"&gt;=126000")&gt;0,"X","")</f>
      </c>
      <c r="S30" s="56" t="str">
        <f>IF(COUNTIFS('LANÇAMENTOS DIÁRIOS'!$G$5:$G$500,"H",'LANÇAMENTOS DIÁRIOS'!$C$5:$C$500,$A30,'LANÇAMENTOS DIÁRIOS'!$O$5:$O$500,"&lt;=126199",'LANÇAMENTOS DIÁRIOS'!$P$5:$P$500,"&gt;=126100")&gt;0,"X","")</f>
      </c>
      <c r="T30" s="56" t="str">
        <f>IF(COUNTIFS('LANÇAMENTOS DIÁRIOS'!$G$5:$G$500,"H",'LANÇAMENTOS DIÁRIOS'!$C$5:$C$500,$A30,'LANÇAMENTOS DIÁRIOS'!$O$5:$O$500,"&lt;=126299",'LANÇAMENTOS DIÁRIOS'!$P$5:$P$500,"&gt;=126200")&gt;0,"X","")</f>
      </c>
      <c r="U30" s="56" t="str">
        <f>IF(COUNTIFS('LANÇAMENTOS DIÁRIOS'!$G$5:$G$500,"H",'LANÇAMENTOS DIÁRIOS'!$C$5:$C$500,$A30,'LANÇAMENTOS DIÁRIOS'!$O$5:$O$500,"&lt;=126399",'LANÇAMENTOS DIÁRIOS'!$P$5:$P$500,"&gt;=126300")&gt;0,"X","")</f>
      </c>
      <c r="V30" s="56" t="str">
        <f>IF(COUNTIFS('LANÇAMENTOS DIÁRIOS'!$G$5:$G$500,"H",'LANÇAMENTOS DIÁRIOS'!$C$5:$C$500,$A30,'LANÇAMENTOS DIÁRIOS'!$O$5:$O$500,"&lt;=126499",'LANÇAMENTOS DIÁRIOS'!$P$5:$P$500,"&gt;=126400")&gt;0,"X","")</f>
      </c>
      <c r="W30" s="56" t="str">
        <f>IF(COUNTIFS('LANÇAMENTOS DIÁRIOS'!$G$5:$G$500,"H",'LANÇAMENTOS DIÁRIOS'!$C$5:$C$500,$A30,'LANÇAMENTOS DIÁRIOS'!$O$5:$O$500,"&lt;=126599",'LANÇAMENTOS DIÁRIOS'!$P$5:$P$500,"&gt;=126500")&gt;0,"X","")</f>
      </c>
      <c r="X30" s="56" t="str">
        <f>IF(COUNTIFS('LANÇAMENTOS DIÁRIOS'!$G$5:$G$500,"H",'LANÇAMENTOS DIÁRIOS'!$C$5:$C$500,$A30,'LANÇAMENTOS DIÁRIOS'!$O$5:$O$500,"&lt;=126699",'LANÇAMENTOS DIÁRIOS'!$P$5:$P$500,"&gt;=126600")&gt;0,"X","")</f>
      </c>
      <c r="Y30" s="56" t="str">
        <f>IF(COUNTIFS('LANÇAMENTOS DIÁRIOS'!$G$5:$G$500,"H",'LANÇAMENTOS DIÁRIOS'!$C$5:$C$500,$A30,'LANÇAMENTOS DIÁRIOS'!$O$5:$O$500,"&lt;=126799",'LANÇAMENTOS DIÁRIOS'!$P$5:$P$500,"&gt;=126700")&gt;0,"X","")</f>
      </c>
      <c r="Z30" s="56" t="str">
        <f>IF(COUNTIFS('LANÇAMENTOS DIÁRIOS'!$G$5:$G$500,"H",'LANÇAMENTOS DIÁRIOS'!$C$5:$C$500,$A30,'LANÇAMENTOS DIÁRIOS'!$O$5:$O$500,"&lt;=126899",'LANÇAMENTOS DIÁRIOS'!$P$5:$P$500,"&gt;=126800")&gt;0,"X","")</f>
      </c>
      <c r="AA30" s="56" t="str">
        <f>IF(COUNTIFS('LANÇAMENTOS DIÁRIOS'!$G$5:$G$500,"H",'LANÇAMENTOS DIÁRIOS'!$C$5:$C$500,$A30,'LANÇAMENTOS DIÁRIOS'!$O$5:$O$500,"&lt;=126999",'LANÇAMENTOS DIÁRIOS'!$P$5:$P$500,"&gt;=126900")&gt;0,"X","")</f>
      </c>
      <c r="AB30" s="56" t="str">
        <f>IF(COUNTIFS('LANÇAMENTOS DIÁRIOS'!$G$5:$G$500,"H",'LANÇAMENTOS DIÁRIOS'!$C$5:$C$500,$A30,'LANÇAMENTOS DIÁRIOS'!$O$5:$O$500,"&lt;=127099",'LANÇAMENTOS DIÁRIOS'!$P$5:$P$500,"&gt;=127000")&gt;0,"X","")</f>
      </c>
      <c r="AC30" s="56" t="str">
        <f>IF(COUNTIFS('LANÇAMENTOS DIÁRIOS'!$G$5:$G$500,"H",'LANÇAMENTOS DIÁRIOS'!$C$5:$C$500,$A30,'LANÇAMENTOS DIÁRIOS'!$O$5:$O$500,"&lt;=127199",'LANÇAMENTOS DIÁRIOS'!$P$5:$P$500,"&gt;=127100")&gt;0,"X","")</f>
      </c>
      <c r="AD30" s="56" t="str">
        <f>IF(COUNTIFS('LANÇAMENTOS DIÁRIOS'!$G$5:$G$500,"H",'LANÇAMENTOS DIÁRIOS'!$C$5:$C$500,$A30,'LANÇAMENTOS DIÁRIOS'!$O$5:$O$500,"&lt;=127299",'LANÇAMENTOS DIÁRIOS'!$P$5:$P$500,"&gt;=127200")&gt;0,"X","")</f>
      </c>
      <c r="AE30" s="56" t="str">
        <f>IF(COUNTIFS('LANÇAMENTOS DIÁRIOS'!$G$5:$G$500,"H",'LANÇAMENTOS DIÁRIOS'!$C$5:$C$500,$A30,'LANÇAMENTOS DIÁRIOS'!$O$5:$O$500,"&lt;=127399",'LANÇAMENTOS DIÁRIOS'!$P$5:$P$500,"&gt;=127300")&gt;0,"X","")</f>
      </c>
      <c r="AF30" s="56" t="str">
        <f>IF(COUNTIFS('LANÇAMENTOS DIÁRIOS'!$G$5:$G$500,"H",'LANÇAMENTOS DIÁRIOS'!$C$5:$C$500,$A30,'LANÇAMENTOS DIÁRIOS'!$O$5:$O$500,"&lt;=127499",'LANÇAMENTOS DIÁRIOS'!$P$5:$P$500,"&gt;=127400")&gt;0,"X","")</f>
      </c>
      <c r="AG30" s="56" t="str">
        <f>IF(COUNTIFS('LANÇAMENTOS DIÁRIOS'!$G$5:$G$500,"H",'LANÇAMENTOS DIÁRIOS'!$C$5:$C$500,$A30,'LANÇAMENTOS DIÁRIOS'!$O$5:$O$500,"&lt;=127599",'LANÇAMENTOS DIÁRIOS'!$P$5:$P$500,"&gt;=127500")&gt;0,"X","")</f>
      </c>
      <c r="AH30" s="56" t="str">
        <f>IF(COUNTIFS('LANÇAMENTOS DIÁRIOS'!$G$5:$G$500,"H",'LANÇAMENTOS DIÁRIOS'!$C$5:$C$500,$A30,'LANÇAMENTOS DIÁRIOS'!$O$5:$O$500,"&lt;=127699",'LANÇAMENTOS DIÁRIOS'!$P$5:$P$500,"&gt;=127600")&gt;0,"X","")</f>
      </c>
      <c r="AI30" s="56" t="str">
        <f>IF(COUNTIFS('LANÇAMENTOS DIÁRIOS'!$G$5:$G$500,"H",'LANÇAMENTOS DIÁRIOS'!$C$5:$C$500,$A30,'LANÇAMENTOS DIÁRIOS'!$O$5:$O$500,"&lt;=127799",'LANÇAMENTOS DIÁRIOS'!$P$5:$P$500,"&gt;=127700")&gt;0,"X","")</f>
      </c>
      <c r="AJ30" s="56" t="str">
        <f>IF(COUNTIFS('LANÇAMENTOS DIÁRIOS'!$G$5:$G$500,"H",'LANÇAMENTOS DIÁRIOS'!$C$5:$C$500,$A30,'LANÇAMENTOS DIÁRIOS'!$O$5:$O$500,"&lt;=127899",'LANÇAMENTOS DIÁRIOS'!$P$5:$P$500,"&gt;=127800")&gt;0,"X","")</f>
      </c>
      <c r="AK30" s="56" t="str">
        <f>IF(COUNTIFS('LANÇAMENTOS DIÁRIOS'!$G$5:$G$500,"H",'LANÇAMENTOS DIÁRIOS'!$C$5:$C$500,$A30,'LANÇAMENTOS DIÁRIOS'!$O$5:$O$500,"&lt;=127999",'LANÇAMENTOS DIÁRIOS'!$P$5:$P$500,"&gt;=127900")&gt;0,"X","")</f>
      </c>
      <c r="AL30" s="56" t="str">
        <f>IF(COUNTIFS('LANÇAMENTOS DIÁRIOS'!$G$5:$G$500,"H",'LANÇAMENTOS DIÁRIOS'!$C$5:$C$500,$A30,'LANÇAMENTOS DIÁRIOS'!$O$5:$O$500,"&lt;=128099",'LANÇAMENTOS DIÁRIOS'!$P$5:$P$500,"&gt;=128000")&gt;0,"X","")</f>
      </c>
      <c r="AM30" s="56" t="str">
        <f>IF(COUNTIFS('LANÇAMENTOS DIÁRIOS'!$G$5:$G$500,"H",'LANÇAMENTOS DIÁRIOS'!$C$5:$C$500,$A30,'LANÇAMENTOS DIÁRIOS'!$O$5:$O$500,"&lt;=128199",'LANÇAMENTOS DIÁRIOS'!$P$5:$P$500,"&gt;=128100")&gt;0,"X","")</f>
      </c>
      <c r="AN30" s="56" t="str">
        <f>IF(COUNTIFS('LANÇAMENTOS DIÁRIOS'!$G$5:$G$500,"H",'LANÇAMENTOS DIÁRIOS'!$C$5:$C$500,$A30,'LANÇAMENTOS DIÁRIOS'!$O$5:$O$500,"&lt;=128299",'LANÇAMENTOS DIÁRIOS'!$P$5:$P$500,"&gt;=128200")&gt;0,"X","")</f>
      </c>
      <c r="AO30" s="56" t="str">
        <f>IF(COUNTIFS('LANÇAMENTOS DIÁRIOS'!$G$5:$G$500,"H",'LANÇAMENTOS DIÁRIOS'!$C$5:$C$500,$A30,'LANÇAMENTOS DIÁRIOS'!$O$5:$O$500,"&lt;=128399",'LANÇAMENTOS DIÁRIOS'!$P$5:$P$500,"&gt;=128300")&gt;0,"X","")</f>
      </c>
      <c r="AP30" s="56" t="str">
        <f>IF(COUNTIFS('LANÇAMENTOS DIÁRIOS'!$G$5:$G$500,"H",'LANÇAMENTOS DIÁRIOS'!$C$5:$C$500,$A30,'LANÇAMENTOS DIÁRIOS'!$O$5:$O$500,"&lt;=128499",'LANÇAMENTOS DIÁRIOS'!$P$5:$P$500,"&gt;=128400")&gt;0,"X","")</f>
      </c>
      <c r="AQ30" s="56" t="str">
        <f>IF(COUNTIFS('LANÇAMENTOS DIÁRIOS'!$G$5:$G$500,"H",'LANÇAMENTOS DIÁRIOS'!$C$5:$C$500,$A30,'LANÇAMENTOS DIÁRIOS'!$O$5:$O$500,"&lt;=128599",'LANÇAMENTOS DIÁRIOS'!$P$5:$P$500,"&gt;=128500")&gt;0,"X","")</f>
      </c>
      <c r="AR30" s="56" t="str">
        <f>IF(COUNTIFS('LANÇAMENTOS DIÁRIOS'!$G$5:$G$500,"H",'LANÇAMENTOS DIÁRIOS'!$C$5:$C$500,$A30,'LANÇAMENTOS DIÁRIOS'!$O$5:$O$500,"&lt;=128699",'LANÇAMENTOS DIÁRIOS'!$P$5:$P$500,"&gt;=128600")&gt;0,"X","")</f>
      </c>
      <c r="AS30" s="56" t="str">
        <f>IF(COUNTIFS('LANÇAMENTOS DIÁRIOS'!$G$5:$G$500,"H",'LANÇAMENTOS DIÁRIOS'!$C$5:$C$500,$A30,'LANÇAMENTOS DIÁRIOS'!$O$5:$O$500,"&lt;=128799",'LANÇAMENTOS DIÁRIOS'!$P$5:$P$500,"&gt;=128700")&gt;0,"X","")</f>
      </c>
      <c r="AT30" s="56" t="str">
        <f>IF(COUNTIFS('LANÇAMENTOS DIÁRIOS'!$G$5:$G$500,"H",'LANÇAMENTOS DIÁRIOS'!$C$5:$C$500,$A30,'LANÇAMENTOS DIÁRIOS'!$O$5:$O$500,"&lt;=128899",'LANÇAMENTOS DIÁRIOS'!$P$5:$P$500,"&gt;=128800")&gt;0,"X","")</f>
      </c>
      <c r="AU30" s="56" t="str">
        <f>IF(COUNTIFS('LANÇAMENTOS DIÁRIOS'!$G$5:$G$500,"H",'LANÇAMENTOS DIÁRIOS'!$C$5:$C$500,$A30,'LANÇAMENTOS DIÁRIOS'!$O$5:$O$500,"&lt;=128999",'LANÇAMENTOS DIÁRIOS'!$P$5:$P$500,"&gt;=128900")&gt;0,"X","")</f>
      </c>
      <c r="AV30" s="56" t="str">
        <f>IF(COUNTIFS('LANÇAMENTOS DIÁRIOS'!$G$5:$G$500,"H",'LANÇAMENTOS DIÁRIOS'!$C$5:$C$500,$A30,'LANÇAMENTOS DIÁRIOS'!$O$5:$O$500,"&lt;=129099",'LANÇAMENTOS DIÁRIOS'!$P$5:$P$500,"&gt;=129000")&gt;0,"X","")</f>
      </c>
      <c r="AW30" s="56" t="str">
        <f>IF(COUNTIFS('LANÇAMENTOS DIÁRIOS'!$G$5:$G$500,"H",'LANÇAMENTOS DIÁRIOS'!$C$5:$C$500,$A30,'LANÇAMENTOS DIÁRIOS'!$O$5:$O$500,"&lt;=129199",'LANÇAMENTOS DIÁRIOS'!$P$5:$P$500,"&gt;=129100")&gt;0,"X","")</f>
      </c>
      <c r="AX30" s="56" t="str">
        <f>IF(COUNTIFS('LANÇAMENTOS DIÁRIOS'!$G$5:$G$500,"H",'LANÇAMENTOS DIÁRIOS'!$C$5:$C$500,$A30,'LANÇAMENTOS DIÁRIOS'!$O$5:$O$500,"&lt;=129299",'LANÇAMENTOS DIÁRIOS'!$P$5:$P$500,"&gt;=129200")&gt;0,"X","")</f>
      </c>
      <c r="AY30" s="56" t="str">
        <f>IF(COUNTIFS('LANÇAMENTOS DIÁRIOS'!$G$5:$G$500,"H",'LANÇAMENTOS DIÁRIOS'!$C$5:$C$500,$A30,'LANÇAMENTOS DIÁRIOS'!$O$5:$O$500,"&lt;=129399",'LANÇAMENTOS DIÁRIOS'!$P$5:$P$500,"&gt;=129300")&gt;0,"X","")</f>
      </c>
      <c r="AZ30" s="56" t="str">
        <f>IF(COUNTIFS('LANÇAMENTOS DIÁRIOS'!$G$5:$G$500,"H",'LANÇAMENTOS DIÁRIOS'!$C$5:$C$500,$A30,'LANÇAMENTOS DIÁRIOS'!$O$5:$O$500,"&lt;=129400",'LANÇAMENTOS DIÁRIOS'!$P$5:$P$500,"&gt;=129400")&gt;0,"X","")</f>
      </c>
    </row>
    <row r="31">
      <c r="A31" s="51" t="str">
        <v>Derrubada e destocamento.arv. c/ diâmetro 30&lt;&gt;40cm, com limpeza da área</v>
      </c>
      <c r="B31" s="56" t="str">
        <f>IF(COUNTIFS('LANÇAMENTOS DIÁRIOS'!$G$5:$G$500,"H",'LANÇAMENTOS DIÁRIOS'!$C$5:$C$500,$A31,'LANÇAMENTOS DIÁRIOS'!$O$5:$O$500,"&lt;=124499",'LANÇAMENTOS DIÁRIOS'!$P$5:$P$500,"&gt;=124400")&gt;0,"X","")</f>
      </c>
      <c r="C31" s="56" t="str">
        <f>IF(COUNTIFS('LANÇAMENTOS DIÁRIOS'!$G$5:$G$500,"H",'LANÇAMENTOS DIÁRIOS'!$C$5:$C$500,$A31,'LANÇAMENTOS DIÁRIOS'!$O$5:$O$500,"&lt;=124599",'LANÇAMENTOS DIÁRIOS'!$P$5:$P$500,"&gt;=124500")&gt;0,"X","")</f>
      </c>
      <c r="D31" s="56" t="str">
        <f>IF(COUNTIFS('LANÇAMENTOS DIÁRIOS'!$G$5:$G$500,"H",'LANÇAMENTOS DIÁRIOS'!$C$5:$C$500,$A31,'LANÇAMENTOS DIÁRIOS'!$O$5:$O$500,"&lt;=124699",'LANÇAMENTOS DIÁRIOS'!$P$5:$P$500,"&gt;=124600")&gt;0,"X","")</f>
      </c>
      <c r="E31" s="56" t="str">
        <f>IF(COUNTIFS('LANÇAMENTOS DIÁRIOS'!$G$5:$G$500,"H",'LANÇAMENTOS DIÁRIOS'!$C$5:$C$500,$A31,'LANÇAMENTOS DIÁRIOS'!$O$5:$O$500,"&lt;=124799",'LANÇAMENTOS DIÁRIOS'!$P$5:$P$500,"&gt;=124700")&gt;0,"X","")</f>
      </c>
      <c r="F31" s="56" t="str">
        <f>IF(COUNTIFS('LANÇAMENTOS DIÁRIOS'!$G$5:$G$500,"H",'LANÇAMENTOS DIÁRIOS'!$C$5:$C$500,$A31,'LANÇAMENTOS DIÁRIOS'!$O$5:$O$500,"&lt;=124899",'LANÇAMENTOS DIÁRIOS'!$P$5:$P$500,"&gt;=124800")&gt;0,"X","")</f>
      </c>
      <c r="G31" s="56" t="str">
        <f>IF(COUNTIFS('LANÇAMENTOS DIÁRIOS'!$G$5:$G$500,"H",'LANÇAMENTOS DIÁRIOS'!$C$5:$C$500,$A31,'LANÇAMENTOS DIÁRIOS'!$O$5:$O$500,"&lt;=124999",'LANÇAMENTOS DIÁRIOS'!$P$5:$P$500,"&gt;=124900")&gt;0,"X","")</f>
      </c>
      <c r="H31" s="56" t="str">
        <f>IF(COUNTIFS('LANÇAMENTOS DIÁRIOS'!$G$5:$G$500,"H",'LANÇAMENTOS DIÁRIOS'!$C$5:$C$500,$A31,'LANÇAMENTOS DIÁRIOS'!$O$5:$O$500,"&lt;=125099",'LANÇAMENTOS DIÁRIOS'!$P$5:$P$500,"&gt;=125000")&gt;0,"X","")</f>
      </c>
      <c r="I31" s="56" t="str">
        <f>IF(COUNTIFS('LANÇAMENTOS DIÁRIOS'!$G$5:$G$500,"H",'LANÇAMENTOS DIÁRIOS'!$C$5:$C$500,$A31,'LANÇAMENTOS DIÁRIOS'!$O$5:$O$500,"&lt;=125199",'LANÇAMENTOS DIÁRIOS'!$P$5:$P$500,"&gt;=125100")&gt;0,"X","")</f>
      </c>
      <c r="J31" s="56" t="str">
        <f>IF(COUNTIFS('LANÇAMENTOS DIÁRIOS'!$G$5:$G$500,"H",'LANÇAMENTOS DIÁRIOS'!$C$5:$C$500,$A31,'LANÇAMENTOS DIÁRIOS'!$O$5:$O$500,"&lt;=125299",'LANÇAMENTOS DIÁRIOS'!$P$5:$P$500,"&gt;=125200")&gt;0,"X","")</f>
      </c>
      <c r="K31" s="56" t="str">
        <f>IF(COUNTIFS('LANÇAMENTOS DIÁRIOS'!$G$5:$G$500,"H",'LANÇAMENTOS DIÁRIOS'!$C$5:$C$500,$A31,'LANÇAMENTOS DIÁRIOS'!$O$5:$O$500,"&lt;=125399",'LANÇAMENTOS DIÁRIOS'!$P$5:$P$500,"&gt;=125300")&gt;0,"X","")</f>
      </c>
      <c r="L31" s="56" t="str">
        <f>IF(COUNTIFS('LANÇAMENTOS DIÁRIOS'!$G$5:$G$500,"H",'LANÇAMENTOS DIÁRIOS'!$C$5:$C$500,$A31,'LANÇAMENTOS DIÁRIOS'!$O$5:$O$500,"&lt;=125499",'LANÇAMENTOS DIÁRIOS'!$P$5:$P$500,"&gt;=125400")&gt;0,"X","")</f>
      </c>
      <c r="M31" s="56" t="str">
        <f>IF(COUNTIFS('LANÇAMENTOS DIÁRIOS'!$G$5:$G$500,"H",'LANÇAMENTOS DIÁRIOS'!$C$5:$C$500,$A31,'LANÇAMENTOS DIÁRIOS'!$O$5:$O$500,"&lt;=125599",'LANÇAMENTOS DIÁRIOS'!$P$5:$P$500,"&gt;=125500")&gt;0,"X","")</f>
      </c>
      <c r="N31" s="56" t="str">
        <f>IF(COUNTIFS('LANÇAMENTOS DIÁRIOS'!$G$5:$G$500,"H",'LANÇAMENTOS DIÁRIOS'!$C$5:$C$500,$A31,'LANÇAMENTOS DIÁRIOS'!$O$5:$O$500,"&lt;=125699",'LANÇAMENTOS DIÁRIOS'!$P$5:$P$500,"&gt;=125600")&gt;0,"X","")</f>
      </c>
      <c r="O31" s="56" t="str">
        <f>IF(COUNTIFS('LANÇAMENTOS DIÁRIOS'!$G$5:$G$500,"H",'LANÇAMENTOS DIÁRIOS'!$C$5:$C$500,$A31,'LANÇAMENTOS DIÁRIOS'!$O$5:$O$500,"&lt;=125799",'LANÇAMENTOS DIÁRIOS'!$P$5:$P$500,"&gt;=125700")&gt;0,"X","")</f>
      </c>
      <c r="P31" s="56" t="str">
        <f>IF(COUNTIFS('LANÇAMENTOS DIÁRIOS'!$G$5:$G$500,"H",'LANÇAMENTOS DIÁRIOS'!$C$5:$C$500,$A31,'LANÇAMENTOS DIÁRIOS'!$O$5:$O$500,"&lt;=125899",'LANÇAMENTOS DIÁRIOS'!$P$5:$P$500,"&gt;=125800")&gt;0,"X","")</f>
      </c>
      <c r="Q31" s="56" t="str">
        <f>IF(COUNTIFS('LANÇAMENTOS DIÁRIOS'!$G$5:$G$500,"H",'LANÇAMENTOS DIÁRIOS'!$C$5:$C$500,$A31,'LANÇAMENTOS DIÁRIOS'!$O$5:$O$500,"&lt;=125999",'LANÇAMENTOS DIÁRIOS'!$P$5:$P$500,"&gt;=125900")&gt;0,"X","")</f>
      </c>
      <c r="R31" s="56" t="str">
        <f>IF(COUNTIFS('LANÇAMENTOS DIÁRIOS'!$G$5:$G$500,"H",'LANÇAMENTOS DIÁRIOS'!$C$5:$C$500,$A31,'LANÇAMENTOS DIÁRIOS'!$O$5:$O$500,"&lt;=126099",'LANÇAMENTOS DIÁRIOS'!$P$5:$P$500,"&gt;=126000")&gt;0,"X","")</f>
      </c>
      <c r="S31" s="56" t="str">
        <f>IF(COUNTIFS('LANÇAMENTOS DIÁRIOS'!$G$5:$G$500,"H",'LANÇAMENTOS DIÁRIOS'!$C$5:$C$500,$A31,'LANÇAMENTOS DIÁRIOS'!$O$5:$O$500,"&lt;=126199",'LANÇAMENTOS DIÁRIOS'!$P$5:$P$500,"&gt;=126100")&gt;0,"X","")</f>
      </c>
      <c r="T31" s="56" t="str">
        <f>IF(COUNTIFS('LANÇAMENTOS DIÁRIOS'!$G$5:$G$500,"H",'LANÇAMENTOS DIÁRIOS'!$C$5:$C$500,$A31,'LANÇAMENTOS DIÁRIOS'!$O$5:$O$500,"&lt;=126299",'LANÇAMENTOS DIÁRIOS'!$P$5:$P$500,"&gt;=126200")&gt;0,"X","")</f>
      </c>
      <c r="U31" s="56" t="str">
        <f>IF(COUNTIFS('LANÇAMENTOS DIÁRIOS'!$G$5:$G$500,"H",'LANÇAMENTOS DIÁRIOS'!$C$5:$C$500,$A31,'LANÇAMENTOS DIÁRIOS'!$O$5:$O$500,"&lt;=126399",'LANÇAMENTOS DIÁRIOS'!$P$5:$P$500,"&gt;=126300")&gt;0,"X","")</f>
      </c>
      <c r="V31" s="56" t="str">
        <f>IF(COUNTIFS('LANÇAMENTOS DIÁRIOS'!$G$5:$G$500,"H",'LANÇAMENTOS DIÁRIOS'!$C$5:$C$500,$A31,'LANÇAMENTOS DIÁRIOS'!$O$5:$O$500,"&lt;=126499",'LANÇAMENTOS DIÁRIOS'!$P$5:$P$500,"&gt;=126400")&gt;0,"X","")</f>
      </c>
      <c r="W31" s="56" t="str">
        <f>IF(COUNTIFS('LANÇAMENTOS DIÁRIOS'!$G$5:$G$500,"H",'LANÇAMENTOS DIÁRIOS'!$C$5:$C$500,$A31,'LANÇAMENTOS DIÁRIOS'!$O$5:$O$500,"&lt;=126599",'LANÇAMENTOS DIÁRIOS'!$P$5:$P$500,"&gt;=126500")&gt;0,"X","")</f>
      </c>
      <c r="X31" s="56" t="str">
        <f>IF(COUNTIFS('LANÇAMENTOS DIÁRIOS'!$G$5:$G$500,"H",'LANÇAMENTOS DIÁRIOS'!$C$5:$C$500,$A31,'LANÇAMENTOS DIÁRIOS'!$O$5:$O$500,"&lt;=126699",'LANÇAMENTOS DIÁRIOS'!$P$5:$P$500,"&gt;=126600")&gt;0,"X","")</f>
      </c>
      <c r="Y31" s="56" t="str">
        <f>IF(COUNTIFS('LANÇAMENTOS DIÁRIOS'!$G$5:$G$500,"H",'LANÇAMENTOS DIÁRIOS'!$C$5:$C$500,$A31,'LANÇAMENTOS DIÁRIOS'!$O$5:$O$500,"&lt;=126799",'LANÇAMENTOS DIÁRIOS'!$P$5:$P$500,"&gt;=126700")&gt;0,"X","")</f>
      </c>
      <c r="Z31" s="56" t="str">
        <f>IF(COUNTIFS('LANÇAMENTOS DIÁRIOS'!$G$5:$G$500,"H",'LANÇAMENTOS DIÁRIOS'!$C$5:$C$500,$A31,'LANÇAMENTOS DIÁRIOS'!$O$5:$O$500,"&lt;=126899",'LANÇAMENTOS DIÁRIOS'!$P$5:$P$500,"&gt;=126800")&gt;0,"X","")</f>
      </c>
      <c r="AA31" s="56" t="str">
        <f>IF(COUNTIFS('LANÇAMENTOS DIÁRIOS'!$G$5:$G$500,"H",'LANÇAMENTOS DIÁRIOS'!$C$5:$C$500,$A31,'LANÇAMENTOS DIÁRIOS'!$O$5:$O$500,"&lt;=126999",'LANÇAMENTOS DIÁRIOS'!$P$5:$P$500,"&gt;=126900")&gt;0,"X","")</f>
      </c>
      <c r="AB31" s="56" t="str">
        <f>IF(COUNTIFS('LANÇAMENTOS DIÁRIOS'!$G$5:$G$500,"H",'LANÇAMENTOS DIÁRIOS'!$C$5:$C$500,$A31,'LANÇAMENTOS DIÁRIOS'!$O$5:$O$500,"&lt;=127099",'LANÇAMENTOS DIÁRIOS'!$P$5:$P$500,"&gt;=127000")&gt;0,"X","")</f>
      </c>
      <c r="AC31" s="56" t="str">
        <f>IF(COUNTIFS('LANÇAMENTOS DIÁRIOS'!$G$5:$G$500,"H",'LANÇAMENTOS DIÁRIOS'!$C$5:$C$500,$A31,'LANÇAMENTOS DIÁRIOS'!$O$5:$O$500,"&lt;=127199",'LANÇAMENTOS DIÁRIOS'!$P$5:$P$500,"&gt;=127100")&gt;0,"X","")</f>
      </c>
      <c r="AD31" s="56" t="str">
        <f>IF(COUNTIFS('LANÇAMENTOS DIÁRIOS'!$G$5:$G$500,"H",'LANÇAMENTOS DIÁRIOS'!$C$5:$C$500,$A31,'LANÇAMENTOS DIÁRIOS'!$O$5:$O$500,"&lt;=127299",'LANÇAMENTOS DIÁRIOS'!$P$5:$P$500,"&gt;=127200")&gt;0,"X","")</f>
      </c>
      <c r="AE31" s="56" t="str">
        <f>IF(COUNTIFS('LANÇAMENTOS DIÁRIOS'!$G$5:$G$500,"H",'LANÇAMENTOS DIÁRIOS'!$C$5:$C$500,$A31,'LANÇAMENTOS DIÁRIOS'!$O$5:$O$500,"&lt;=127399",'LANÇAMENTOS DIÁRIOS'!$P$5:$P$500,"&gt;=127300")&gt;0,"X","")</f>
      </c>
      <c r="AF31" s="56" t="str">
        <f>IF(COUNTIFS('LANÇAMENTOS DIÁRIOS'!$G$5:$G$500,"H",'LANÇAMENTOS DIÁRIOS'!$C$5:$C$500,$A31,'LANÇAMENTOS DIÁRIOS'!$O$5:$O$500,"&lt;=127499",'LANÇAMENTOS DIÁRIOS'!$P$5:$P$500,"&gt;=127400")&gt;0,"X","")</f>
      </c>
      <c r="AG31" s="56" t="str">
        <f>IF(COUNTIFS('LANÇAMENTOS DIÁRIOS'!$G$5:$G$500,"H",'LANÇAMENTOS DIÁRIOS'!$C$5:$C$500,$A31,'LANÇAMENTOS DIÁRIOS'!$O$5:$O$500,"&lt;=127599",'LANÇAMENTOS DIÁRIOS'!$P$5:$P$500,"&gt;=127500")&gt;0,"X","")</f>
      </c>
      <c r="AH31" s="56" t="str">
        <f>IF(COUNTIFS('LANÇAMENTOS DIÁRIOS'!$G$5:$G$500,"H",'LANÇAMENTOS DIÁRIOS'!$C$5:$C$500,$A31,'LANÇAMENTOS DIÁRIOS'!$O$5:$O$500,"&lt;=127699",'LANÇAMENTOS DIÁRIOS'!$P$5:$P$500,"&gt;=127600")&gt;0,"X","")</f>
      </c>
      <c r="AI31" s="56" t="str">
        <f>IF(COUNTIFS('LANÇAMENTOS DIÁRIOS'!$G$5:$G$500,"H",'LANÇAMENTOS DIÁRIOS'!$C$5:$C$500,$A31,'LANÇAMENTOS DIÁRIOS'!$O$5:$O$500,"&lt;=127799",'LANÇAMENTOS DIÁRIOS'!$P$5:$P$500,"&gt;=127700")&gt;0,"X","")</f>
      </c>
      <c r="AJ31" s="56" t="str">
        <f>IF(COUNTIFS('LANÇAMENTOS DIÁRIOS'!$G$5:$G$500,"H",'LANÇAMENTOS DIÁRIOS'!$C$5:$C$500,$A31,'LANÇAMENTOS DIÁRIOS'!$O$5:$O$500,"&lt;=127899",'LANÇAMENTOS DIÁRIOS'!$P$5:$P$500,"&gt;=127800")&gt;0,"X","")</f>
      </c>
      <c r="AK31" s="56" t="str">
        <f>IF(COUNTIFS('LANÇAMENTOS DIÁRIOS'!$G$5:$G$500,"H",'LANÇAMENTOS DIÁRIOS'!$C$5:$C$500,$A31,'LANÇAMENTOS DIÁRIOS'!$O$5:$O$500,"&lt;=127999",'LANÇAMENTOS DIÁRIOS'!$P$5:$P$500,"&gt;=127900")&gt;0,"X","")</f>
      </c>
      <c r="AL31" s="56" t="str">
        <f>IF(COUNTIFS('LANÇAMENTOS DIÁRIOS'!$G$5:$G$500,"H",'LANÇAMENTOS DIÁRIOS'!$C$5:$C$500,$A31,'LANÇAMENTOS DIÁRIOS'!$O$5:$O$500,"&lt;=128099",'LANÇAMENTOS DIÁRIOS'!$P$5:$P$500,"&gt;=128000")&gt;0,"X","")</f>
      </c>
      <c r="AM31" s="56" t="str">
        <f>IF(COUNTIFS('LANÇAMENTOS DIÁRIOS'!$G$5:$G$500,"H",'LANÇAMENTOS DIÁRIOS'!$C$5:$C$500,$A31,'LANÇAMENTOS DIÁRIOS'!$O$5:$O$500,"&lt;=128199",'LANÇAMENTOS DIÁRIOS'!$P$5:$P$500,"&gt;=128100")&gt;0,"X","")</f>
      </c>
      <c r="AN31" s="56" t="str">
        <f>IF(COUNTIFS('LANÇAMENTOS DIÁRIOS'!$G$5:$G$500,"H",'LANÇAMENTOS DIÁRIOS'!$C$5:$C$500,$A31,'LANÇAMENTOS DIÁRIOS'!$O$5:$O$500,"&lt;=128299",'LANÇAMENTOS DIÁRIOS'!$P$5:$P$500,"&gt;=128200")&gt;0,"X","")</f>
      </c>
      <c r="AO31" s="56" t="str">
        <f>IF(COUNTIFS('LANÇAMENTOS DIÁRIOS'!$G$5:$G$500,"H",'LANÇAMENTOS DIÁRIOS'!$C$5:$C$500,$A31,'LANÇAMENTOS DIÁRIOS'!$O$5:$O$500,"&lt;=128399",'LANÇAMENTOS DIÁRIOS'!$P$5:$P$500,"&gt;=128300")&gt;0,"X","")</f>
      </c>
      <c r="AP31" s="56" t="str">
        <f>IF(COUNTIFS('LANÇAMENTOS DIÁRIOS'!$G$5:$G$500,"H",'LANÇAMENTOS DIÁRIOS'!$C$5:$C$500,$A31,'LANÇAMENTOS DIÁRIOS'!$O$5:$O$500,"&lt;=128499",'LANÇAMENTOS DIÁRIOS'!$P$5:$P$500,"&gt;=128400")&gt;0,"X","")</f>
      </c>
      <c r="AQ31" s="56" t="str">
        <f>IF(COUNTIFS('LANÇAMENTOS DIÁRIOS'!$G$5:$G$500,"H",'LANÇAMENTOS DIÁRIOS'!$C$5:$C$500,$A31,'LANÇAMENTOS DIÁRIOS'!$O$5:$O$500,"&lt;=128599",'LANÇAMENTOS DIÁRIOS'!$P$5:$P$500,"&gt;=128500")&gt;0,"X","")</f>
      </c>
      <c r="AR31" s="56" t="str">
        <f>IF(COUNTIFS('LANÇAMENTOS DIÁRIOS'!$G$5:$G$500,"H",'LANÇAMENTOS DIÁRIOS'!$C$5:$C$500,$A31,'LANÇAMENTOS DIÁRIOS'!$O$5:$O$500,"&lt;=128699",'LANÇAMENTOS DIÁRIOS'!$P$5:$P$500,"&gt;=128600")&gt;0,"X","")</f>
      </c>
      <c r="AS31" s="56" t="str">
        <f>IF(COUNTIFS('LANÇAMENTOS DIÁRIOS'!$G$5:$G$500,"H",'LANÇAMENTOS DIÁRIOS'!$C$5:$C$500,$A31,'LANÇAMENTOS DIÁRIOS'!$O$5:$O$500,"&lt;=128799",'LANÇAMENTOS DIÁRIOS'!$P$5:$P$500,"&gt;=128700")&gt;0,"X","")</f>
      </c>
      <c r="AT31" s="56" t="str">
        <f>IF(COUNTIFS('LANÇAMENTOS DIÁRIOS'!$G$5:$G$500,"H",'LANÇAMENTOS DIÁRIOS'!$C$5:$C$500,$A31,'LANÇAMENTOS DIÁRIOS'!$O$5:$O$500,"&lt;=128899",'LANÇAMENTOS DIÁRIOS'!$P$5:$P$500,"&gt;=128800")&gt;0,"X","")</f>
      </c>
      <c r="AU31" s="56" t="str">
        <f>IF(COUNTIFS('LANÇAMENTOS DIÁRIOS'!$G$5:$G$500,"H",'LANÇAMENTOS DIÁRIOS'!$C$5:$C$500,$A31,'LANÇAMENTOS DIÁRIOS'!$O$5:$O$500,"&lt;=128999",'LANÇAMENTOS DIÁRIOS'!$P$5:$P$500,"&gt;=128900")&gt;0,"X","")</f>
      </c>
      <c r="AV31" s="56" t="str">
        <f>IF(COUNTIFS('LANÇAMENTOS DIÁRIOS'!$G$5:$G$500,"H",'LANÇAMENTOS DIÁRIOS'!$C$5:$C$500,$A31,'LANÇAMENTOS DIÁRIOS'!$O$5:$O$500,"&lt;=129099",'LANÇAMENTOS DIÁRIOS'!$P$5:$P$500,"&gt;=129000")&gt;0,"X","")</f>
      </c>
      <c r="AW31" s="56" t="str">
        <f>IF(COUNTIFS('LANÇAMENTOS DIÁRIOS'!$G$5:$G$500,"H",'LANÇAMENTOS DIÁRIOS'!$C$5:$C$500,$A31,'LANÇAMENTOS DIÁRIOS'!$O$5:$O$500,"&lt;=129199",'LANÇAMENTOS DIÁRIOS'!$P$5:$P$500,"&gt;=129100")&gt;0,"X","")</f>
      </c>
      <c r="AX31" s="56" t="str">
        <f>IF(COUNTIFS('LANÇAMENTOS DIÁRIOS'!$G$5:$G$500,"H",'LANÇAMENTOS DIÁRIOS'!$C$5:$C$500,$A31,'LANÇAMENTOS DIÁRIOS'!$O$5:$O$500,"&lt;=129299",'LANÇAMENTOS DIÁRIOS'!$P$5:$P$500,"&gt;=129200")&gt;0,"X","")</f>
      </c>
      <c r="AY31" s="56" t="str">
        <f>IF(COUNTIFS('LANÇAMENTOS DIÁRIOS'!$G$5:$G$500,"H",'LANÇAMENTOS DIÁRIOS'!$C$5:$C$500,$A31,'LANÇAMENTOS DIÁRIOS'!$O$5:$O$500,"&lt;=129399",'LANÇAMENTOS DIÁRIOS'!$P$5:$P$500,"&gt;=129300")&gt;0,"X","")</f>
      </c>
      <c r="AZ31" s="56" t="str">
        <f>IF(COUNTIFS('LANÇAMENTOS DIÁRIOS'!$G$5:$G$500,"H",'LANÇAMENTOS DIÁRIOS'!$C$5:$C$500,$A31,'LANÇAMENTOS DIÁRIOS'!$O$5:$O$500,"&lt;=129400",'LANÇAMENTOS DIÁRIOS'!$P$5:$P$500,"&gt;=129400")&gt;0,"X","")</f>
      </c>
    </row>
    <row r="32">
      <c r="A32" s="51" t="str">
        <v>Derrubada e destocamento.arv. c/ diâmetro 40&lt;&gt;50cm, com limpeza da área</v>
      </c>
      <c r="B32" s="56" t="str">
        <f>IF(COUNTIFS('LANÇAMENTOS DIÁRIOS'!$G$5:$G$500,"H",'LANÇAMENTOS DIÁRIOS'!$C$5:$C$500,$A32,'LANÇAMENTOS DIÁRIOS'!$O$5:$O$500,"&lt;=124499",'LANÇAMENTOS DIÁRIOS'!$P$5:$P$500,"&gt;=124400")&gt;0,"X","")</f>
      </c>
      <c r="C32" s="56" t="str">
        <f>IF(COUNTIFS('LANÇAMENTOS DIÁRIOS'!$G$5:$G$500,"H",'LANÇAMENTOS DIÁRIOS'!$C$5:$C$500,$A32,'LANÇAMENTOS DIÁRIOS'!$O$5:$O$500,"&lt;=124599",'LANÇAMENTOS DIÁRIOS'!$P$5:$P$500,"&gt;=124500")&gt;0,"X","")</f>
      </c>
      <c r="D32" s="56" t="str">
        <f>IF(COUNTIFS('LANÇAMENTOS DIÁRIOS'!$G$5:$G$500,"H",'LANÇAMENTOS DIÁRIOS'!$C$5:$C$500,$A32,'LANÇAMENTOS DIÁRIOS'!$O$5:$O$500,"&lt;=124699",'LANÇAMENTOS DIÁRIOS'!$P$5:$P$500,"&gt;=124600")&gt;0,"X","")</f>
      </c>
      <c r="E32" s="56" t="str">
        <f>IF(COUNTIFS('LANÇAMENTOS DIÁRIOS'!$G$5:$G$500,"H",'LANÇAMENTOS DIÁRIOS'!$C$5:$C$500,$A32,'LANÇAMENTOS DIÁRIOS'!$O$5:$O$500,"&lt;=124799",'LANÇAMENTOS DIÁRIOS'!$P$5:$P$500,"&gt;=124700")&gt;0,"X","")</f>
      </c>
      <c r="F32" s="56" t="str">
        <f>IF(COUNTIFS('LANÇAMENTOS DIÁRIOS'!$G$5:$G$500,"H",'LANÇAMENTOS DIÁRIOS'!$C$5:$C$500,$A32,'LANÇAMENTOS DIÁRIOS'!$O$5:$O$500,"&lt;=124899",'LANÇAMENTOS DIÁRIOS'!$P$5:$P$500,"&gt;=124800")&gt;0,"X","")</f>
      </c>
      <c r="G32" s="56" t="str">
        <f>IF(COUNTIFS('LANÇAMENTOS DIÁRIOS'!$G$5:$G$500,"H",'LANÇAMENTOS DIÁRIOS'!$C$5:$C$500,$A32,'LANÇAMENTOS DIÁRIOS'!$O$5:$O$500,"&lt;=124999",'LANÇAMENTOS DIÁRIOS'!$P$5:$P$500,"&gt;=124900")&gt;0,"X","")</f>
      </c>
      <c r="H32" s="56" t="str">
        <f>IF(COUNTIFS('LANÇAMENTOS DIÁRIOS'!$G$5:$G$500,"H",'LANÇAMENTOS DIÁRIOS'!$C$5:$C$500,$A32,'LANÇAMENTOS DIÁRIOS'!$O$5:$O$500,"&lt;=125099",'LANÇAMENTOS DIÁRIOS'!$P$5:$P$500,"&gt;=125000")&gt;0,"X","")</f>
      </c>
      <c r="I32" s="56" t="str">
        <f>IF(COUNTIFS('LANÇAMENTOS DIÁRIOS'!$G$5:$G$500,"H",'LANÇAMENTOS DIÁRIOS'!$C$5:$C$500,$A32,'LANÇAMENTOS DIÁRIOS'!$O$5:$O$500,"&lt;=125199",'LANÇAMENTOS DIÁRIOS'!$P$5:$P$500,"&gt;=125100")&gt;0,"X","")</f>
      </c>
      <c r="J32" s="56" t="str">
        <f>IF(COUNTIFS('LANÇAMENTOS DIÁRIOS'!$G$5:$G$500,"H",'LANÇAMENTOS DIÁRIOS'!$C$5:$C$500,$A32,'LANÇAMENTOS DIÁRIOS'!$O$5:$O$500,"&lt;=125299",'LANÇAMENTOS DIÁRIOS'!$P$5:$P$500,"&gt;=125200")&gt;0,"X","")</f>
      </c>
      <c r="K32" s="56" t="str">
        <f>IF(COUNTIFS('LANÇAMENTOS DIÁRIOS'!$G$5:$G$500,"H",'LANÇAMENTOS DIÁRIOS'!$C$5:$C$500,$A32,'LANÇAMENTOS DIÁRIOS'!$O$5:$O$500,"&lt;=125399",'LANÇAMENTOS DIÁRIOS'!$P$5:$P$500,"&gt;=125300")&gt;0,"X","")</f>
      </c>
      <c r="L32" s="56" t="str">
        <f>IF(COUNTIFS('LANÇAMENTOS DIÁRIOS'!$G$5:$G$500,"H",'LANÇAMENTOS DIÁRIOS'!$C$5:$C$500,$A32,'LANÇAMENTOS DIÁRIOS'!$O$5:$O$500,"&lt;=125499",'LANÇAMENTOS DIÁRIOS'!$P$5:$P$500,"&gt;=125400")&gt;0,"X","")</f>
      </c>
      <c r="M32" s="56" t="str">
        <f>IF(COUNTIFS('LANÇAMENTOS DIÁRIOS'!$G$5:$G$500,"H",'LANÇAMENTOS DIÁRIOS'!$C$5:$C$500,$A32,'LANÇAMENTOS DIÁRIOS'!$O$5:$O$500,"&lt;=125599",'LANÇAMENTOS DIÁRIOS'!$P$5:$P$500,"&gt;=125500")&gt;0,"X","")</f>
      </c>
      <c r="N32" s="56" t="str">
        <f>IF(COUNTIFS('LANÇAMENTOS DIÁRIOS'!$G$5:$G$500,"H",'LANÇAMENTOS DIÁRIOS'!$C$5:$C$500,$A32,'LANÇAMENTOS DIÁRIOS'!$O$5:$O$500,"&lt;=125699",'LANÇAMENTOS DIÁRIOS'!$P$5:$P$500,"&gt;=125600")&gt;0,"X","")</f>
      </c>
      <c r="O32" s="56" t="str">
        <f>IF(COUNTIFS('LANÇAMENTOS DIÁRIOS'!$G$5:$G$500,"H",'LANÇAMENTOS DIÁRIOS'!$C$5:$C$500,$A32,'LANÇAMENTOS DIÁRIOS'!$O$5:$O$500,"&lt;=125799",'LANÇAMENTOS DIÁRIOS'!$P$5:$P$500,"&gt;=125700")&gt;0,"X","")</f>
      </c>
      <c r="P32" s="56" t="str">
        <f>IF(COUNTIFS('LANÇAMENTOS DIÁRIOS'!$G$5:$G$500,"H",'LANÇAMENTOS DIÁRIOS'!$C$5:$C$500,$A32,'LANÇAMENTOS DIÁRIOS'!$O$5:$O$500,"&lt;=125899",'LANÇAMENTOS DIÁRIOS'!$P$5:$P$500,"&gt;=125800")&gt;0,"X","")</f>
      </c>
      <c r="Q32" s="56" t="str">
        <f>IF(COUNTIFS('LANÇAMENTOS DIÁRIOS'!$G$5:$G$500,"H",'LANÇAMENTOS DIÁRIOS'!$C$5:$C$500,$A32,'LANÇAMENTOS DIÁRIOS'!$O$5:$O$500,"&lt;=125999",'LANÇAMENTOS DIÁRIOS'!$P$5:$P$500,"&gt;=125900")&gt;0,"X","")</f>
      </c>
      <c r="R32" s="56" t="str">
        <f>IF(COUNTIFS('LANÇAMENTOS DIÁRIOS'!$G$5:$G$500,"H",'LANÇAMENTOS DIÁRIOS'!$C$5:$C$500,$A32,'LANÇAMENTOS DIÁRIOS'!$O$5:$O$500,"&lt;=126099",'LANÇAMENTOS DIÁRIOS'!$P$5:$P$500,"&gt;=126000")&gt;0,"X","")</f>
      </c>
      <c r="S32" s="56" t="str">
        <f>IF(COUNTIFS('LANÇAMENTOS DIÁRIOS'!$G$5:$G$500,"H",'LANÇAMENTOS DIÁRIOS'!$C$5:$C$500,$A32,'LANÇAMENTOS DIÁRIOS'!$O$5:$O$500,"&lt;=126199",'LANÇAMENTOS DIÁRIOS'!$P$5:$P$500,"&gt;=126100")&gt;0,"X","")</f>
      </c>
      <c r="T32" s="56" t="str">
        <f>IF(COUNTIFS('LANÇAMENTOS DIÁRIOS'!$G$5:$G$500,"H",'LANÇAMENTOS DIÁRIOS'!$C$5:$C$500,$A32,'LANÇAMENTOS DIÁRIOS'!$O$5:$O$500,"&lt;=126299",'LANÇAMENTOS DIÁRIOS'!$P$5:$P$500,"&gt;=126200")&gt;0,"X","")</f>
      </c>
      <c r="U32" s="56" t="str">
        <f>IF(COUNTIFS('LANÇAMENTOS DIÁRIOS'!$G$5:$G$500,"H",'LANÇAMENTOS DIÁRIOS'!$C$5:$C$500,$A32,'LANÇAMENTOS DIÁRIOS'!$O$5:$O$500,"&lt;=126399",'LANÇAMENTOS DIÁRIOS'!$P$5:$P$500,"&gt;=126300")&gt;0,"X","")</f>
      </c>
      <c r="V32" s="56" t="str">
        <f>IF(COUNTIFS('LANÇAMENTOS DIÁRIOS'!$G$5:$G$500,"H",'LANÇAMENTOS DIÁRIOS'!$C$5:$C$500,$A32,'LANÇAMENTOS DIÁRIOS'!$O$5:$O$500,"&lt;=126499",'LANÇAMENTOS DIÁRIOS'!$P$5:$P$500,"&gt;=126400")&gt;0,"X","")</f>
      </c>
      <c r="W32" s="56" t="str">
        <f>IF(COUNTIFS('LANÇAMENTOS DIÁRIOS'!$G$5:$G$500,"H",'LANÇAMENTOS DIÁRIOS'!$C$5:$C$500,$A32,'LANÇAMENTOS DIÁRIOS'!$O$5:$O$500,"&lt;=126599",'LANÇAMENTOS DIÁRIOS'!$P$5:$P$500,"&gt;=126500")&gt;0,"X","")</f>
      </c>
      <c r="X32" s="56" t="str">
        <f>IF(COUNTIFS('LANÇAMENTOS DIÁRIOS'!$G$5:$G$500,"H",'LANÇAMENTOS DIÁRIOS'!$C$5:$C$500,$A32,'LANÇAMENTOS DIÁRIOS'!$O$5:$O$500,"&lt;=126699",'LANÇAMENTOS DIÁRIOS'!$P$5:$P$500,"&gt;=126600")&gt;0,"X","")</f>
      </c>
      <c r="Y32" s="56" t="str">
        <f>IF(COUNTIFS('LANÇAMENTOS DIÁRIOS'!$G$5:$G$500,"H",'LANÇAMENTOS DIÁRIOS'!$C$5:$C$500,$A32,'LANÇAMENTOS DIÁRIOS'!$O$5:$O$500,"&lt;=126799",'LANÇAMENTOS DIÁRIOS'!$P$5:$P$500,"&gt;=126700")&gt;0,"X","")</f>
      </c>
      <c r="Z32" s="56" t="str">
        <f>IF(COUNTIFS('LANÇAMENTOS DIÁRIOS'!$G$5:$G$500,"H",'LANÇAMENTOS DIÁRIOS'!$C$5:$C$500,$A32,'LANÇAMENTOS DIÁRIOS'!$O$5:$O$500,"&lt;=126899",'LANÇAMENTOS DIÁRIOS'!$P$5:$P$500,"&gt;=126800")&gt;0,"X","")</f>
      </c>
      <c r="AA32" s="56" t="str">
        <f>IF(COUNTIFS('LANÇAMENTOS DIÁRIOS'!$G$5:$G$500,"H",'LANÇAMENTOS DIÁRIOS'!$C$5:$C$500,$A32,'LANÇAMENTOS DIÁRIOS'!$O$5:$O$500,"&lt;=126999",'LANÇAMENTOS DIÁRIOS'!$P$5:$P$500,"&gt;=126900")&gt;0,"X","")</f>
      </c>
      <c r="AB32" s="56" t="str">
        <f>IF(COUNTIFS('LANÇAMENTOS DIÁRIOS'!$G$5:$G$500,"H",'LANÇAMENTOS DIÁRIOS'!$C$5:$C$500,$A32,'LANÇAMENTOS DIÁRIOS'!$O$5:$O$500,"&lt;=127099",'LANÇAMENTOS DIÁRIOS'!$P$5:$P$500,"&gt;=127000")&gt;0,"X","")</f>
      </c>
      <c r="AC32" s="56" t="str">
        <f>IF(COUNTIFS('LANÇAMENTOS DIÁRIOS'!$G$5:$G$500,"H",'LANÇAMENTOS DIÁRIOS'!$C$5:$C$500,$A32,'LANÇAMENTOS DIÁRIOS'!$O$5:$O$500,"&lt;=127199",'LANÇAMENTOS DIÁRIOS'!$P$5:$P$500,"&gt;=127100")&gt;0,"X","")</f>
      </c>
      <c r="AD32" s="56" t="str">
        <f>IF(COUNTIFS('LANÇAMENTOS DIÁRIOS'!$G$5:$G$500,"H",'LANÇAMENTOS DIÁRIOS'!$C$5:$C$500,$A32,'LANÇAMENTOS DIÁRIOS'!$O$5:$O$500,"&lt;=127299",'LANÇAMENTOS DIÁRIOS'!$P$5:$P$500,"&gt;=127200")&gt;0,"X","")</f>
      </c>
      <c r="AE32" s="56" t="str">
        <f>IF(COUNTIFS('LANÇAMENTOS DIÁRIOS'!$G$5:$G$500,"H",'LANÇAMENTOS DIÁRIOS'!$C$5:$C$500,$A32,'LANÇAMENTOS DIÁRIOS'!$O$5:$O$500,"&lt;=127399",'LANÇAMENTOS DIÁRIOS'!$P$5:$P$500,"&gt;=127300")&gt;0,"X","")</f>
      </c>
      <c r="AF32" s="56" t="str">
        <f>IF(COUNTIFS('LANÇAMENTOS DIÁRIOS'!$G$5:$G$500,"H",'LANÇAMENTOS DIÁRIOS'!$C$5:$C$500,$A32,'LANÇAMENTOS DIÁRIOS'!$O$5:$O$500,"&lt;=127499",'LANÇAMENTOS DIÁRIOS'!$P$5:$P$500,"&gt;=127400")&gt;0,"X","")</f>
      </c>
      <c r="AG32" s="56" t="str">
        <f>IF(COUNTIFS('LANÇAMENTOS DIÁRIOS'!$G$5:$G$500,"H",'LANÇAMENTOS DIÁRIOS'!$C$5:$C$500,$A32,'LANÇAMENTOS DIÁRIOS'!$O$5:$O$500,"&lt;=127599",'LANÇAMENTOS DIÁRIOS'!$P$5:$P$500,"&gt;=127500")&gt;0,"X","")</f>
      </c>
      <c r="AH32" s="56" t="str">
        <f>IF(COUNTIFS('LANÇAMENTOS DIÁRIOS'!$G$5:$G$500,"H",'LANÇAMENTOS DIÁRIOS'!$C$5:$C$500,$A32,'LANÇAMENTOS DIÁRIOS'!$O$5:$O$500,"&lt;=127699",'LANÇAMENTOS DIÁRIOS'!$P$5:$P$500,"&gt;=127600")&gt;0,"X","")</f>
      </c>
      <c r="AI32" s="56" t="str">
        <f>IF(COUNTIFS('LANÇAMENTOS DIÁRIOS'!$G$5:$G$500,"H",'LANÇAMENTOS DIÁRIOS'!$C$5:$C$500,$A32,'LANÇAMENTOS DIÁRIOS'!$O$5:$O$500,"&lt;=127799",'LANÇAMENTOS DIÁRIOS'!$P$5:$P$500,"&gt;=127700")&gt;0,"X","")</f>
      </c>
      <c r="AJ32" s="56" t="str">
        <f>IF(COUNTIFS('LANÇAMENTOS DIÁRIOS'!$G$5:$G$500,"H",'LANÇAMENTOS DIÁRIOS'!$C$5:$C$500,$A32,'LANÇAMENTOS DIÁRIOS'!$O$5:$O$500,"&lt;=127899",'LANÇAMENTOS DIÁRIOS'!$P$5:$P$500,"&gt;=127800")&gt;0,"X","")</f>
      </c>
      <c r="AK32" s="56" t="str">
        <f>IF(COUNTIFS('LANÇAMENTOS DIÁRIOS'!$G$5:$G$500,"H",'LANÇAMENTOS DIÁRIOS'!$C$5:$C$500,$A32,'LANÇAMENTOS DIÁRIOS'!$O$5:$O$500,"&lt;=127999",'LANÇAMENTOS DIÁRIOS'!$P$5:$P$500,"&gt;=127900")&gt;0,"X","")</f>
      </c>
      <c r="AL32" s="56" t="str">
        <f>IF(COUNTIFS('LANÇAMENTOS DIÁRIOS'!$G$5:$G$500,"H",'LANÇAMENTOS DIÁRIOS'!$C$5:$C$500,$A32,'LANÇAMENTOS DIÁRIOS'!$O$5:$O$500,"&lt;=128099",'LANÇAMENTOS DIÁRIOS'!$P$5:$P$500,"&gt;=128000")&gt;0,"X","")</f>
      </c>
      <c r="AM32" s="56" t="str">
        <f>IF(COUNTIFS('LANÇAMENTOS DIÁRIOS'!$G$5:$G$500,"H",'LANÇAMENTOS DIÁRIOS'!$C$5:$C$500,$A32,'LANÇAMENTOS DIÁRIOS'!$O$5:$O$500,"&lt;=128199",'LANÇAMENTOS DIÁRIOS'!$P$5:$P$500,"&gt;=128100")&gt;0,"X","")</f>
      </c>
      <c r="AN32" s="56" t="str">
        <f>IF(COUNTIFS('LANÇAMENTOS DIÁRIOS'!$G$5:$G$500,"H",'LANÇAMENTOS DIÁRIOS'!$C$5:$C$500,$A32,'LANÇAMENTOS DIÁRIOS'!$O$5:$O$500,"&lt;=128299",'LANÇAMENTOS DIÁRIOS'!$P$5:$P$500,"&gt;=128200")&gt;0,"X","")</f>
      </c>
      <c r="AO32" s="56" t="str">
        <f>IF(COUNTIFS('LANÇAMENTOS DIÁRIOS'!$G$5:$G$500,"H",'LANÇAMENTOS DIÁRIOS'!$C$5:$C$500,$A32,'LANÇAMENTOS DIÁRIOS'!$O$5:$O$500,"&lt;=128399",'LANÇAMENTOS DIÁRIOS'!$P$5:$P$500,"&gt;=128300")&gt;0,"X","")</f>
      </c>
      <c r="AP32" s="56" t="str">
        <f>IF(COUNTIFS('LANÇAMENTOS DIÁRIOS'!$G$5:$G$500,"H",'LANÇAMENTOS DIÁRIOS'!$C$5:$C$500,$A32,'LANÇAMENTOS DIÁRIOS'!$O$5:$O$500,"&lt;=128499",'LANÇAMENTOS DIÁRIOS'!$P$5:$P$500,"&gt;=128400")&gt;0,"X","")</f>
      </c>
      <c r="AQ32" s="56" t="str">
        <f>IF(COUNTIFS('LANÇAMENTOS DIÁRIOS'!$G$5:$G$500,"H",'LANÇAMENTOS DIÁRIOS'!$C$5:$C$500,$A32,'LANÇAMENTOS DIÁRIOS'!$O$5:$O$500,"&lt;=128599",'LANÇAMENTOS DIÁRIOS'!$P$5:$P$500,"&gt;=128500")&gt;0,"X","")</f>
      </c>
      <c r="AR32" s="56" t="str">
        <f>IF(COUNTIFS('LANÇAMENTOS DIÁRIOS'!$G$5:$G$500,"H",'LANÇAMENTOS DIÁRIOS'!$C$5:$C$500,$A32,'LANÇAMENTOS DIÁRIOS'!$O$5:$O$500,"&lt;=128699",'LANÇAMENTOS DIÁRIOS'!$P$5:$P$500,"&gt;=128600")&gt;0,"X","")</f>
      </c>
      <c r="AS32" s="56" t="str">
        <f>IF(COUNTIFS('LANÇAMENTOS DIÁRIOS'!$G$5:$G$500,"H",'LANÇAMENTOS DIÁRIOS'!$C$5:$C$500,$A32,'LANÇAMENTOS DIÁRIOS'!$O$5:$O$500,"&lt;=128799",'LANÇAMENTOS DIÁRIOS'!$P$5:$P$500,"&gt;=128700")&gt;0,"X","")</f>
      </c>
      <c r="AT32" s="56" t="str">
        <f>IF(COUNTIFS('LANÇAMENTOS DIÁRIOS'!$G$5:$G$500,"H",'LANÇAMENTOS DIÁRIOS'!$C$5:$C$500,$A32,'LANÇAMENTOS DIÁRIOS'!$O$5:$O$500,"&lt;=128899",'LANÇAMENTOS DIÁRIOS'!$P$5:$P$500,"&gt;=128800")&gt;0,"X","")</f>
      </c>
      <c r="AU32" s="56" t="str">
        <f>IF(COUNTIFS('LANÇAMENTOS DIÁRIOS'!$G$5:$G$500,"H",'LANÇAMENTOS DIÁRIOS'!$C$5:$C$500,$A32,'LANÇAMENTOS DIÁRIOS'!$O$5:$O$500,"&lt;=128999",'LANÇAMENTOS DIÁRIOS'!$P$5:$P$500,"&gt;=128900")&gt;0,"X","")</f>
      </c>
      <c r="AV32" s="56" t="str">
        <f>IF(COUNTIFS('LANÇAMENTOS DIÁRIOS'!$G$5:$G$500,"H",'LANÇAMENTOS DIÁRIOS'!$C$5:$C$500,$A32,'LANÇAMENTOS DIÁRIOS'!$O$5:$O$500,"&lt;=129099",'LANÇAMENTOS DIÁRIOS'!$P$5:$P$500,"&gt;=129000")&gt;0,"X","")</f>
      </c>
      <c r="AW32" s="56" t="str">
        <f>IF(COUNTIFS('LANÇAMENTOS DIÁRIOS'!$G$5:$G$500,"H",'LANÇAMENTOS DIÁRIOS'!$C$5:$C$500,$A32,'LANÇAMENTOS DIÁRIOS'!$O$5:$O$500,"&lt;=129199",'LANÇAMENTOS DIÁRIOS'!$P$5:$P$500,"&gt;=129100")&gt;0,"X","")</f>
      </c>
      <c r="AX32" s="56" t="str">
        <f>IF(COUNTIFS('LANÇAMENTOS DIÁRIOS'!$G$5:$G$500,"H",'LANÇAMENTOS DIÁRIOS'!$C$5:$C$500,$A32,'LANÇAMENTOS DIÁRIOS'!$O$5:$O$500,"&lt;=129299",'LANÇAMENTOS DIÁRIOS'!$P$5:$P$500,"&gt;=129200")&gt;0,"X","")</f>
      </c>
      <c r="AY32" s="56" t="str">
        <f>IF(COUNTIFS('LANÇAMENTOS DIÁRIOS'!$G$5:$G$500,"H",'LANÇAMENTOS DIÁRIOS'!$C$5:$C$500,$A32,'LANÇAMENTOS DIÁRIOS'!$O$5:$O$500,"&lt;=129399",'LANÇAMENTOS DIÁRIOS'!$P$5:$P$500,"&gt;=129300")&gt;0,"X","")</f>
      </c>
      <c r="AZ32" s="56" t="str">
        <f>IF(COUNTIFS('LANÇAMENTOS DIÁRIOS'!$G$5:$G$500,"H",'LANÇAMENTOS DIÁRIOS'!$C$5:$C$500,$A32,'LANÇAMENTOS DIÁRIOS'!$O$5:$O$500,"&lt;=129400",'LANÇAMENTOS DIÁRIOS'!$P$5:$P$500,"&gt;=129400")&gt;0,"X","")</f>
      </c>
    </row>
    <row r="33">
      <c r="A33" s="51" t="str">
        <v>Derrubada e destocamento.arv. c/ diâmetro 50&lt;&gt;60cm, com limpeza da área</v>
      </c>
      <c r="B33" s="56" t="str">
        <f>IF(COUNTIFS('LANÇAMENTOS DIÁRIOS'!$G$5:$G$500,"H",'LANÇAMENTOS DIÁRIOS'!$C$5:$C$500,$A33,'LANÇAMENTOS DIÁRIOS'!$O$5:$O$500,"&lt;=124499",'LANÇAMENTOS DIÁRIOS'!$P$5:$P$500,"&gt;=124400")&gt;0,"X","")</f>
      </c>
      <c r="C33" s="56" t="str">
        <f>IF(COUNTIFS('LANÇAMENTOS DIÁRIOS'!$G$5:$G$500,"H",'LANÇAMENTOS DIÁRIOS'!$C$5:$C$500,$A33,'LANÇAMENTOS DIÁRIOS'!$O$5:$O$500,"&lt;=124599",'LANÇAMENTOS DIÁRIOS'!$P$5:$P$500,"&gt;=124500")&gt;0,"X","")</f>
      </c>
      <c r="D33" s="56" t="str">
        <f>IF(COUNTIFS('LANÇAMENTOS DIÁRIOS'!$G$5:$G$500,"H",'LANÇAMENTOS DIÁRIOS'!$C$5:$C$500,$A33,'LANÇAMENTOS DIÁRIOS'!$O$5:$O$500,"&lt;=124699",'LANÇAMENTOS DIÁRIOS'!$P$5:$P$500,"&gt;=124600")&gt;0,"X","")</f>
      </c>
      <c r="E33" s="56" t="str">
        <f>IF(COUNTIFS('LANÇAMENTOS DIÁRIOS'!$G$5:$G$500,"H",'LANÇAMENTOS DIÁRIOS'!$C$5:$C$500,$A33,'LANÇAMENTOS DIÁRIOS'!$O$5:$O$500,"&lt;=124799",'LANÇAMENTOS DIÁRIOS'!$P$5:$P$500,"&gt;=124700")&gt;0,"X","")</f>
      </c>
      <c r="F33" s="56" t="str">
        <f>IF(COUNTIFS('LANÇAMENTOS DIÁRIOS'!$G$5:$G$500,"H",'LANÇAMENTOS DIÁRIOS'!$C$5:$C$500,$A33,'LANÇAMENTOS DIÁRIOS'!$O$5:$O$500,"&lt;=124899",'LANÇAMENTOS DIÁRIOS'!$P$5:$P$500,"&gt;=124800")&gt;0,"X","")</f>
      </c>
      <c r="G33" s="56" t="str">
        <f>IF(COUNTIFS('LANÇAMENTOS DIÁRIOS'!$G$5:$G$500,"H",'LANÇAMENTOS DIÁRIOS'!$C$5:$C$500,$A33,'LANÇAMENTOS DIÁRIOS'!$O$5:$O$500,"&lt;=124999",'LANÇAMENTOS DIÁRIOS'!$P$5:$P$500,"&gt;=124900")&gt;0,"X","")</f>
      </c>
      <c r="H33" s="56" t="str">
        <f>IF(COUNTIFS('LANÇAMENTOS DIÁRIOS'!$G$5:$G$500,"H",'LANÇAMENTOS DIÁRIOS'!$C$5:$C$500,$A33,'LANÇAMENTOS DIÁRIOS'!$O$5:$O$500,"&lt;=125099",'LANÇAMENTOS DIÁRIOS'!$P$5:$P$500,"&gt;=125000")&gt;0,"X","")</f>
      </c>
      <c r="I33" s="56" t="str">
        <f>IF(COUNTIFS('LANÇAMENTOS DIÁRIOS'!$G$5:$G$500,"H",'LANÇAMENTOS DIÁRIOS'!$C$5:$C$500,$A33,'LANÇAMENTOS DIÁRIOS'!$O$5:$O$500,"&lt;=125199",'LANÇAMENTOS DIÁRIOS'!$P$5:$P$500,"&gt;=125100")&gt;0,"X","")</f>
      </c>
      <c r="J33" s="56" t="str">
        <f>IF(COUNTIFS('LANÇAMENTOS DIÁRIOS'!$G$5:$G$500,"H",'LANÇAMENTOS DIÁRIOS'!$C$5:$C$500,$A33,'LANÇAMENTOS DIÁRIOS'!$O$5:$O$500,"&lt;=125299",'LANÇAMENTOS DIÁRIOS'!$P$5:$P$500,"&gt;=125200")&gt;0,"X","")</f>
      </c>
      <c r="K33" s="56" t="str">
        <f>IF(COUNTIFS('LANÇAMENTOS DIÁRIOS'!$G$5:$G$500,"H",'LANÇAMENTOS DIÁRIOS'!$C$5:$C$500,$A33,'LANÇAMENTOS DIÁRIOS'!$O$5:$O$500,"&lt;=125399",'LANÇAMENTOS DIÁRIOS'!$P$5:$P$500,"&gt;=125300")&gt;0,"X","")</f>
      </c>
      <c r="L33" s="56" t="str">
        <f>IF(COUNTIFS('LANÇAMENTOS DIÁRIOS'!$G$5:$G$500,"H",'LANÇAMENTOS DIÁRIOS'!$C$5:$C$500,$A33,'LANÇAMENTOS DIÁRIOS'!$O$5:$O$500,"&lt;=125499",'LANÇAMENTOS DIÁRIOS'!$P$5:$P$500,"&gt;=125400")&gt;0,"X","")</f>
      </c>
      <c r="M33" s="56" t="str">
        <f>IF(COUNTIFS('LANÇAMENTOS DIÁRIOS'!$G$5:$G$500,"H",'LANÇAMENTOS DIÁRIOS'!$C$5:$C$500,$A33,'LANÇAMENTOS DIÁRIOS'!$O$5:$O$500,"&lt;=125599",'LANÇAMENTOS DIÁRIOS'!$P$5:$P$500,"&gt;=125500")&gt;0,"X","")</f>
      </c>
      <c r="N33" s="56" t="str">
        <f>IF(COUNTIFS('LANÇAMENTOS DIÁRIOS'!$G$5:$G$500,"H",'LANÇAMENTOS DIÁRIOS'!$C$5:$C$500,$A33,'LANÇAMENTOS DIÁRIOS'!$O$5:$O$500,"&lt;=125699",'LANÇAMENTOS DIÁRIOS'!$P$5:$P$500,"&gt;=125600")&gt;0,"X","")</f>
      </c>
      <c r="O33" s="56" t="str">
        <f>IF(COUNTIFS('LANÇAMENTOS DIÁRIOS'!$G$5:$G$500,"H",'LANÇAMENTOS DIÁRIOS'!$C$5:$C$500,$A33,'LANÇAMENTOS DIÁRIOS'!$O$5:$O$500,"&lt;=125799",'LANÇAMENTOS DIÁRIOS'!$P$5:$P$500,"&gt;=125700")&gt;0,"X","")</f>
      </c>
      <c r="P33" s="56" t="str">
        <f>IF(COUNTIFS('LANÇAMENTOS DIÁRIOS'!$G$5:$G$500,"H",'LANÇAMENTOS DIÁRIOS'!$C$5:$C$500,$A33,'LANÇAMENTOS DIÁRIOS'!$O$5:$O$500,"&lt;=125899",'LANÇAMENTOS DIÁRIOS'!$P$5:$P$500,"&gt;=125800")&gt;0,"X","")</f>
      </c>
      <c r="Q33" s="56" t="str">
        <f>IF(COUNTIFS('LANÇAMENTOS DIÁRIOS'!$G$5:$G$500,"H",'LANÇAMENTOS DIÁRIOS'!$C$5:$C$500,$A33,'LANÇAMENTOS DIÁRIOS'!$O$5:$O$500,"&lt;=125999",'LANÇAMENTOS DIÁRIOS'!$P$5:$P$500,"&gt;=125900")&gt;0,"X","")</f>
      </c>
      <c r="R33" s="56" t="str">
        <f>IF(COUNTIFS('LANÇAMENTOS DIÁRIOS'!$G$5:$G$500,"H",'LANÇAMENTOS DIÁRIOS'!$C$5:$C$500,$A33,'LANÇAMENTOS DIÁRIOS'!$O$5:$O$500,"&lt;=126099",'LANÇAMENTOS DIÁRIOS'!$P$5:$P$500,"&gt;=126000")&gt;0,"X","")</f>
      </c>
      <c r="S33" s="56" t="str">
        <f>IF(COUNTIFS('LANÇAMENTOS DIÁRIOS'!$G$5:$G$500,"H",'LANÇAMENTOS DIÁRIOS'!$C$5:$C$500,$A33,'LANÇAMENTOS DIÁRIOS'!$O$5:$O$500,"&lt;=126199",'LANÇAMENTOS DIÁRIOS'!$P$5:$P$500,"&gt;=126100")&gt;0,"X","")</f>
      </c>
      <c r="T33" s="56" t="str">
        <f>IF(COUNTIFS('LANÇAMENTOS DIÁRIOS'!$G$5:$G$500,"H",'LANÇAMENTOS DIÁRIOS'!$C$5:$C$500,$A33,'LANÇAMENTOS DIÁRIOS'!$O$5:$O$500,"&lt;=126299",'LANÇAMENTOS DIÁRIOS'!$P$5:$P$500,"&gt;=126200")&gt;0,"X","")</f>
      </c>
      <c r="U33" s="56" t="str">
        <f>IF(COUNTIFS('LANÇAMENTOS DIÁRIOS'!$G$5:$G$500,"H",'LANÇAMENTOS DIÁRIOS'!$C$5:$C$500,$A33,'LANÇAMENTOS DIÁRIOS'!$O$5:$O$500,"&lt;=126399",'LANÇAMENTOS DIÁRIOS'!$P$5:$P$500,"&gt;=126300")&gt;0,"X","")</f>
      </c>
      <c r="V33" s="56" t="str">
        <f>IF(COUNTIFS('LANÇAMENTOS DIÁRIOS'!$G$5:$G$500,"H",'LANÇAMENTOS DIÁRIOS'!$C$5:$C$500,$A33,'LANÇAMENTOS DIÁRIOS'!$O$5:$O$500,"&lt;=126499",'LANÇAMENTOS DIÁRIOS'!$P$5:$P$500,"&gt;=126400")&gt;0,"X","")</f>
      </c>
      <c r="W33" s="56" t="str">
        <f>IF(COUNTIFS('LANÇAMENTOS DIÁRIOS'!$G$5:$G$500,"H",'LANÇAMENTOS DIÁRIOS'!$C$5:$C$500,$A33,'LANÇAMENTOS DIÁRIOS'!$O$5:$O$500,"&lt;=126599",'LANÇAMENTOS DIÁRIOS'!$P$5:$P$500,"&gt;=126500")&gt;0,"X","")</f>
      </c>
      <c r="X33" s="56" t="str">
        <f>IF(COUNTIFS('LANÇAMENTOS DIÁRIOS'!$G$5:$G$500,"H",'LANÇAMENTOS DIÁRIOS'!$C$5:$C$500,$A33,'LANÇAMENTOS DIÁRIOS'!$O$5:$O$500,"&lt;=126699",'LANÇAMENTOS DIÁRIOS'!$P$5:$P$500,"&gt;=126600")&gt;0,"X","")</f>
      </c>
      <c r="Y33" s="56" t="str">
        <f>IF(COUNTIFS('LANÇAMENTOS DIÁRIOS'!$G$5:$G$500,"H",'LANÇAMENTOS DIÁRIOS'!$C$5:$C$500,$A33,'LANÇAMENTOS DIÁRIOS'!$O$5:$O$500,"&lt;=126799",'LANÇAMENTOS DIÁRIOS'!$P$5:$P$500,"&gt;=126700")&gt;0,"X","")</f>
      </c>
      <c r="Z33" s="56" t="str">
        <f>IF(COUNTIFS('LANÇAMENTOS DIÁRIOS'!$G$5:$G$500,"H",'LANÇAMENTOS DIÁRIOS'!$C$5:$C$500,$A33,'LANÇAMENTOS DIÁRIOS'!$O$5:$O$500,"&lt;=126899",'LANÇAMENTOS DIÁRIOS'!$P$5:$P$500,"&gt;=126800")&gt;0,"X","")</f>
      </c>
      <c r="AA33" s="56" t="str">
        <f>IF(COUNTIFS('LANÇAMENTOS DIÁRIOS'!$G$5:$G$500,"H",'LANÇAMENTOS DIÁRIOS'!$C$5:$C$500,$A33,'LANÇAMENTOS DIÁRIOS'!$O$5:$O$500,"&lt;=126999",'LANÇAMENTOS DIÁRIOS'!$P$5:$P$500,"&gt;=126900")&gt;0,"X","")</f>
      </c>
      <c r="AB33" s="56" t="str">
        <f>IF(COUNTIFS('LANÇAMENTOS DIÁRIOS'!$G$5:$G$500,"H",'LANÇAMENTOS DIÁRIOS'!$C$5:$C$500,$A33,'LANÇAMENTOS DIÁRIOS'!$O$5:$O$500,"&lt;=127099",'LANÇAMENTOS DIÁRIOS'!$P$5:$P$500,"&gt;=127000")&gt;0,"X","")</f>
      </c>
      <c r="AC33" s="56" t="str">
        <f>IF(COUNTIFS('LANÇAMENTOS DIÁRIOS'!$G$5:$G$500,"H",'LANÇAMENTOS DIÁRIOS'!$C$5:$C$500,$A33,'LANÇAMENTOS DIÁRIOS'!$O$5:$O$500,"&lt;=127199",'LANÇAMENTOS DIÁRIOS'!$P$5:$P$500,"&gt;=127100")&gt;0,"X","")</f>
      </c>
      <c r="AD33" s="56" t="str">
        <f>IF(COUNTIFS('LANÇAMENTOS DIÁRIOS'!$G$5:$G$500,"H",'LANÇAMENTOS DIÁRIOS'!$C$5:$C$500,$A33,'LANÇAMENTOS DIÁRIOS'!$O$5:$O$500,"&lt;=127299",'LANÇAMENTOS DIÁRIOS'!$P$5:$P$500,"&gt;=127200")&gt;0,"X","")</f>
      </c>
      <c r="AE33" s="56" t="str">
        <f>IF(COUNTIFS('LANÇAMENTOS DIÁRIOS'!$G$5:$G$500,"H",'LANÇAMENTOS DIÁRIOS'!$C$5:$C$500,$A33,'LANÇAMENTOS DIÁRIOS'!$O$5:$O$500,"&lt;=127399",'LANÇAMENTOS DIÁRIOS'!$P$5:$P$500,"&gt;=127300")&gt;0,"X","")</f>
      </c>
      <c r="AF33" s="56" t="str">
        <f>IF(COUNTIFS('LANÇAMENTOS DIÁRIOS'!$G$5:$G$500,"H",'LANÇAMENTOS DIÁRIOS'!$C$5:$C$500,$A33,'LANÇAMENTOS DIÁRIOS'!$O$5:$O$500,"&lt;=127499",'LANÇAMENTOS DIÁRIOS'!$P$5:$P$500,"&gt;=127400")&gt;0,"X","")</f>
      </c>
      <c r="AG33" s="56" t="str">
        <f>IF(COUNTIFS('LANÇAMENTOS DIÁRIOS'!$G$5:$G$500,"H",'LANÇAMENTOS DIÁRIOS'!$C$5:$C$500,$A33,'LANÇAMENTOS DIÁRIOS'!$O$5:$O$500,"&lt;=127599",'LANÇAMENTOS DIÁRIOS'!$P$5:$P$500,"&gt;=127500")&gt;0,"X","")</f>
      </c>
      <c r="AH33" s="56" t="str">
        <f>IF(COUNTIFS('LANÇAMENTOS DIÁRIOS'!$G$5:$G$500,"H",'LANÇAMENTOS DIÁRIOS'!$C$5:$C$500,$A33,'LANÇAMENTOS DIÁRIOS'!$O$5:$O$500,"&lt;=127699",'LANÇAMENTOS DIÁRIOS'!$P$5:$P$500,"&gt;=127600")&gt;0,"X","")</f>
      </c>
      <c r="AI33" s="56" t="str">
        <f>IF(COUNTIFS('LANÇAMENTOS DIÁRIOS'!$G$5:$G$500,"H",'LANÇAMENTOS DIÁRIOS'!$C$5:$C$500,$A33,'LANÇAMENTOS DIÁRIOS'!$O$5:$O$500,"&lt;=127799",'LANÇAMENTOS DIÁRIOS'!$P$5:$P$500,"&gt;=127700")&gt;0,"X","")</f>
      </c>
      <c r="AJ33" s="56" t="str">
        <f>IF(COUNTIFS('LANÇAMENTOS DIÁRIOS'!$G$5:$G$500,"H",'LANÇAMENTOS DIÁRIOS'!$C$5:$C$500,$A33,'LANÇAMENTOS DIÁRIOS'!$O$5:$O$500,"&lt;=127899",'LANÇAMENTOS DIÁRIOS'!$P$5:$P$500,"&gt;=127800")&gt;0,"X","")</f>
      </c>
      <c r="AK33" s="56" t="str">
        <f>IF(COUNTIFS('LANÇAMENTOS DIÁRIOS'!$G$5:$G$500,"H",'LANÇAMENTOS DIÁRIOS'!$C$5:$C$500,$A33,'LANÇAMENTOS DIÁRIOS'!$O$5:$O$500,"&lt;=127999",'LANÇAMENTOS DIÁRIOS'!$P$5:$P$500,"&gt;=127900")&gt;0,"X","")</f>
      </c>
      <c r="AL33" s="56" t="str">
        <f>IF(COUNTIFS('LANÇAMENTOS DIÁRIOS'!$G$5:$G$500,"H",'LANÇAMENTOS DIÁRIOS'!$C$5:$C$500,$A33,'LANÇAMENTOS DIÁRIOS'!$O$5:$O$500,"&lt;=128099",'LANÇAMENTOS DIÁRIOS'!$P$5:$P$500,"&gt;=128000")&gt;0,"X","")</f>
      </c>
      <c r="AM33" s="56" t="str">
        <f>IF(COUNTIFS('LANÇAMENTOS DIÁRIOS'!$G$5:$G$500,"H",'LANÇAMENTOS DIÁRIOS'!$C$5:$C$500,$A33,'LANÇAMENTOS DIÁRIOS'!$O$5:$O$500,"&lt;=128199",'LANÇAMENTOS DIÁRIOS'!$P$5:$P$500,"&gt;=128100")&gt;0,"X","")</f>
      </c>
      <c r="AN33" s="56" t="str">
        <f>IF(COUNTIFS('LANÇAMENTOS DIÁRIOS'!$G$5:$G$500,"H",'LANÇAMENTOS DIÁRIOS'!$C$5:$C$500,$A33,'LANÇAMENTOS DIÁRIOS'!$O$5:$O$500,"&lt;=128299",'LANÇAMENTOS DIÁRIOS'!$P$5:$P$500,"&gt;=128200")&gt;0,"X","")</f>
      </c>
      <c r="AO33" s="56" t="str">
        <f>IF(COUNTIFS('LANÇAMENTOS DIÁRIOS'!$G$5:$G$500,"H",'LANÇAMENTOS DIÁRIOS'!$C$5:$C$500,$A33,'LANÇAMENTOS DIÁRIOS'!$O$5:$O$500,"&lt;=128399",'LANÇAMENTOS DIÁRIOS'!$P$5:$P$500,"&gt;=128300")&gt;0,"X","")</f>
      </c>
      <c r="AP33" s="56" t="str">
        <f>IF(COUNTIFS('LANÇAMENTOS DIÁRIOS'!$G$5:$G$500,"H",'LANÇAMENTOS DIÁRIOS'!$C$5:$C$500,$A33,'LANÇAMENTOS DIÁRIOS'!$O$5:$O$500,"&lt;=128499",'LANÇAMENTOS DIÁRIOS'!$P$5:$P$500,"&gt;=128400")&gt;0,"X","")</f>
      </c>
      <c r="AQ33" s="56" t="str">
        <f>IF(COUNTIFS('LANÇAMENTOS DIÁRIOS'!$G$5:$G$500,"H",'LANÇAMENTOS DIÁRIOS'!$C$5:$C$500,$A33,'LANÇAMENTOS DIÁRIOS'!$O$5:$O$500,"&lt;=128599",'LANÇAMENTOS DIÁRIOS'!$P$5:$P$500,"&gt;=128500")&gt;0,"X","")</f>
      </c>
      <c r="AR33" s="56" t="str">
        <f>IF(COUNTIFS('LANÇAMENTOS DIÁRIOS'!$G$5:$G$500,"H",'LANÇAMENTOS DIÁRIOS'!$C$5:$C$500,$A33,'LANÇAMENTOS DIÁRIOS'!$O$5:$O$500,"&lt;=128699",'LANÇAMENTOS DIÁRIOS'!$P$5:$P$500,"&gt;=128600")&gt;0,"X","")</f>
      </c>
      <c r="AS33" s="56" t="str">
        <f>IF(COUNTIFS('LANÇAMENTOS DIÁRIOS'!$G$5:$G$500,"H",'LANÇAMENTOS DIÁRIOS'!$C$5:$C$500,$A33,'LANÇAMENTOS DIÁRIOS'!$O$5:$O$500,"&lt;=128799",'LANÇAMENTOS DIÁRIOS'!$P$5:$P$500,"&gt;=128700")&gt;0,"X","")</f>
      </c>
      <c r="AT33" s="56" t="str">
        <f>IF(COUNTIFS('LANÇAMENTOS DIÁRIOS'!$G$5:$G$500,"H",'LANÇAMENTOS DIÁRIOS'!$C$5:$C$500,$A33,'LANÇAMENTOS DIÁRIOS'!$O$5:$O$500,"&lt;=128899",'LANÇAMENTOS DIÁRIOS'!$P$5:$P$500,"&gt;=128800")&gt;0,"X","")</f>
      </c>
      <c r="AU33" s="56" t="str">
        <f>IF(COUNTIFS('LANÇAMENTOS DIÁRIOS'!$G$5:$G$500,"H",'LANÇAMENTOS DIÁRIOS'!$C$5:$C$500,$A33,'LANÇAMENTOS DIÁRIOS'!$O$5:$O$500,"&lt;=128999",'LANÇAMENTOS DIÁRIOS'!$P$5:$P$500,"&gt;=128900")&gt;0,"X","")</f>
      </c>
      <c r="AV33" s="56" t="str">
        <f>IF(COUNTIFS('LANÇAMENTOS DIÁRIOS'!$G$5:$G$500,"H",'LANÇAMENTOS DIÁRIOS'!$C$5:$C$500,$A33,'LANÇAMENTOS DIÁRIOS'!$O$5:$O$500,"&lt;=129099",'LANÇAMENTOS DIÁRIOS'!$P$5:$P$500,"&gt;=129000")&gt;0,"X","")</f>
      </c>
      <c r="AW33" s="56" t="str">
        <f>IF(COUNTIFS('LANÇAMENTOS DIÁRIOS'!$G$5:$G$500,"H",'LANÇAMENTOS DIÁRIOS'!$C$5:$C$500,$A33,'LANÇAMENTOS DIÁRIOS'!$O$5:$O$500,"&lt;=129199",'LANÇAMENTOS DIÁRIOS'!$P$5:$P$500,"&gt;=129100")&gt;0,"X","")</f>
      </c>
      <c r="AX33" s="56" t="str">
        <f>IF(COUNTIFS('LANÇAMENTOS DIÁRIOS'!$G$5:$G$500,"H",'LANÇAMENTOS DIÁRIOS'!$C$5:$C$500,$A33,'LANÇAMENTOS DIÁRIOS'!$O$5:$O$500,"&lt;=129299",'LANÇAMENTOS DIÁRIOS'!$P$5:$P$500,"&gt;=129200")&gt;0,"X","")</f>
      </c>
      <c r="AY33" s="56" t="str">
        <f>IF(COUNTIFS('LANÇAMENTOS DIÁRIOS'!$G$5:$G$500,"H",'LANÇAMENTOS DIÁRIOS'!$C$5:$C$500,$A33,'LANÇAMENTOS DIÁRIOS'!$O$5:$O$500,"&lt;=129399",'LANÇAMENTOS DIÁRIOS'!$P$5:$P$500,"&gt;=129300")&gt;0,"X","")</f>
      </c>
      <c r="AZ33" s="56" t="str">
        <f>IF(COUNTIFS('LANÇAMENTOS DIÁRIOS'!$G$5:$G$500,"H",'LANÇAMENTOS DIÁRIOS'!$C$5:$C$500,$A33,'LANÇAMENTOS DIÁRIOS'!$O$5:$O$500,"&lt;=129400",'LANÇAMENTOS DIÁRIOS'!$P$5:$P$500,"&gt;=129400")&gt;0,"X","")</f>
      </c>
    </row>
    <row r="34">
      <c r="A34" s="51" t="str">
        <v>Derrubada e destocamento.arv. c/ diâmetro 60&lt;&gt;70cm, com limpeza da área</v>
      </c>
      <c r="B34" s="56" t="str">
        <f>IF(COUNTIFS('LANÇAMENTOS DIÁRIOS'!$G$5:$G$500,"H",'LANÇAMENTOS DIÁRIOS'!$C$5:$C$500,$A34,'LANÇAMENTOS DIÁRIOS'!$O$5:$O$500,"&lt;=124499",'LANÇAMENTOS DIÁRIOS'!$P$5:$P$500,"&gt;=124400")&gt;0,"X","")</f>
      </c>
      <c r="C34" s="56" t="str">
        <f>IF(COUNTIFS('LANÇAMENTOS DIÁRIOS'!$G$5:$G$500,"H",'LANÇAMENTOS DIÁRIOS'!$C$5:$C$500,$A34,'LANÇAMENTOS DIÁRIOS'!$O$5:$O$500,"&lt;=124599",'LANÇAMENTOS DIÁRIOS'!$P$5:$P$500,"&gt;=124500")&gt;0,"X","")</f>
      </c>
      <c r="D34" s="56" t="str">
        <f>IF(COUNTIFS('LANÇAMENTOS DIÁRIOS'!$G$5:$G$500,"H",'LANÇAMENTOS DIÁRIOS'!$C$5:$C$500,$A34,'LANÇAMENTOS DIÁRIOS'!$O$5:$O$500,"&lt;=124699",'LANÇAMENTOS DIÁRIOS'!$P$5:$P$500,"&gt;=124600")&gt;0,"X","")</f>
      </c>
      <c r="E34" s="56" t="str">
        <f>IF(COUNTIFS('LANÇAMENTOS DIÁRIOS'!$G$5:$G$500,"H",'LANÇAMENTOS DIÁRIOS'!$C$5:$C$500,$A34,'LANÇAMENTOS DIÁRIOS'!$O$5:$O$500,"&lt;=124799",'LANÇAMENTOS DIÁRIOS'!$P$5:$P$500,"&gt;=124700")&gt;0,"X","")</f>
      </c>
      <c r="F34" s="56" t="str">
        <f>IF(COUNTIFS('LANÇAMENTOS DIÁRIOS'!$G$5:$G$500,"H",'LANÇAMENTOS DIÁRIOS'!$C$5:$C$500,$A34,'LANÇAMENTOS DIÁRIOS'!$O$5:$O$500,"&lt;=124899",'LANÇAMENTOS DIÁRIOS'!$P$5:$P$500,"&gt;=124800")&gt;0,"X","")</f>
      </c>
      <c r="G34" s="56" t="str">
        <f>IF(COUNTIFS('LANÇAMENTOS DIÁRIOS'!$G$5:$G$500,"H",'LANÇAMENTOS DIÁRIOS'!$C$5:$C$500,$A34,'LANÇAMENTOS DIÁRIOS'!$O$5:$O$500,"&lt;=124999",'LANÇAMENTOS DIÁRIOS'!$P$5:$P$500,"&gt;=124900")&gt;0,"X","")</f>
      </c>
      <c r="H34" s="56" t="str">
        <f>IF(COUNTIFS('LANÇAMENTOS DIÁRIOS'!$G$5:$G$500,"H",'LANÇAMENTOS DIÁRIOS'!$C$5:$C$500,$A34,'LANÇAMENTOS DIÁRIOS'!$O$5:$O$500,"&lt;=125099",'LANÇAMENTOS DIÁRIOS'!$P$5:$P$500,"&gt;=125000")&gt;0,"X","")</f>
      </c>
      <c r="I34" s="56" t="str">
        <f>IF(COUNTIFS('LANÇAMENTOS DIÁRIOS'!$G$5:$G$500,"H",'LANÇAMENTOS DIÁRIOS'!$C$5:$C$500,$A34,'LANÇAMENTOS DIÁRIOS'!$O$5:$O$500,"&lt;=125199",'LANÇAMENTOS DIÁRIOS'!$P$5:$P$500,"&gt;=125100")&gt;0,"X","")</f>
      </c>
      <c r="J34" s="56" t="str">
        <f>IF(COUNTIFS('LANÇAMENTOS DIÁRIOS'!$G$5:$G$500,"H",'LANÇAMENTOS DIÁRIOS'!$C$5:$C$500,$A34,'LANÇAMENTOS DIÁRIOS'!$O$5:$O$500,"&lt;=125299",'LANÇAMENTOS DIÁRIOS'!$P$5:$P$500,"&gt;=125200")&gt;0,"X","")</f>
      </c>
      <c r="K34" s="56" t="str">
        <f>IF(COUNTIFS('LANÇAMENTOS DIÁRIOS'!$G$5:$G$500,"H",'LANÇAMENTOS DIÁRIOS'!$C$5:$C$500,$A34,'LANÇAMENTOS DIÁRIOS'!$O$5:$O$500,"&lt;=125399",'LANÇAMENTOS DIÁRIOS'!$P$5:$P$500,"&gt;=125300")&gt;0,"X","")</f>
      </c>
      <c r="L34" s="56" t="str">
        <f>IF(COUNTIFS('LANÇAMENTOS DIÁRIOS'!$G$5:$G$500,"H",'LANÇAMENTOS DIÁRIOS'!$C$5:$C$500,$A34,'LANÇAMENTOS DIÁRIOS'!$O$5:$O$500,"&lt;=125499",'LANÇAMENTOS DIÁRIOS'!$P$5:$P$500,"&gt;=125400")&gt;0,"X","")</f>
      </c>
      <c r="M34" s="56" t="str">
        <f>IF(COUNTIFS('LANÇAMENTOS DIÁRIOS'!$G$5:$G$500,"H",'LANÇAMENTOS DIÁRIOS'!$C$5:$C$500,$A34,'LANÇAMENTOS DIÁRIOS'!$O$5:$O$500,"&lt;=125599",'LANÇAMENTOS DIÁRIOS'!$P$5:$P$500,"&gt;=125500")&gt;0,"X","")</f>
      </c>
      <c r="N34" s="56" t="str">
        <f>IF(COUNTIFS('LANÇAMENTOS DIÁRIOS'!$G$5:$G$500,"H",'LANÇAMENTOS DIÁRIOS'!$C$5:$C$500,$A34,'LANÇAMENTOS DIÁRIOS'!$O$5:$O$500,"&lt;=125699",'LANÇAMENTOS DIÁRIOS'!$P$5:$P$500,"&gt;=125600")&gt;0,"X","")</f>
      </c>
      <c r="O34" s="56" t="str">
        <f>IF(COUNTIFS('LANÇAMENTOS DIÁRIOS'!$G$5:$G$500,"H",'LANÇAMENTOS DIÁRIOS'!$C$5:$C$500,$A34,'LANÇAMENTOS DIÁRIOS'!$O$5:$O$500,"&lt;=125799",'LANÇAMENTOS DIÁRIOS'!$P$5:$P$500,"&gt;=125700")&gt;0,"X","")</f>
      </c>
      <c r="P34" s="56" t="str">
        <f>IF(COUNTIFS('LANÇAMENTOS DIÁRIOS'!$G$5:$G$500,"H",'LANÇAMENTOS DIÁRIOS'!$C$5:$C$500,$A34,'LANÇAMENTOS DIÁRIOS'!$O$5:$O$500,"&lt;=125899",'LANÇAMENTOS DIÁRIOS'!$P$5:$P$500,"&gt;=125800")&gt;0,"X","")</f>
      </c>
      <c r="Q34" s="56" t="str">
        <f>IF(COUNTIFS('LANÇAMENTOS DIÁRIOS'!$G$5:$G$500,"H",'LANÇAMENTOS DIÁRIOS'!$C$5:$C$500,$A34,'LANÇAMENTOS DIÁRIOS'!$O$5:$O$500,"&lt;=125999",'LANÇAMENTOS DIÁRIOS'!$P$5:$P$500,"&gt;=125900")&gt;0,"X","")</f>
      </c>
      <c r="R34" s="56" t="str">
        <f>IF(COUNTIFS('LANÇAMENTOS DIÁRIOS'!$G$5:$G$500,"H",'LANÇAMENTOS DIÁRIOS'!$C$5:$C$500,$A34,'LANÇAMENTOS DIÁRIOS'!$O$5:$O$500,"&lt;=126099",'LANÇAMENTOS DIÁRIOS'!$P$5:$P$500,"&gt;=126000")&gt;0,"X","")</f>
      </c>
      <c r="S34" s="56" t="str">
        <f>IF(COUNTIFS('LANÇAMENTOS DIÁRIOS'!$G$5:$G$500,"H",'LANÇAMENTOS DIÁRIOS'!$C$5:$C$500,$A34,'LANÇAMENTOS DIÁRIOS'!$O$5:$O$500,"&lt;=126199",'LANÇAMENTOS DIÁRIOS'!$P$5:$P$500,"&gt;=126100")&gt;0,"X","")</f>
      </c>
      <c r="T34" s="56" t="str">
        <f>IF(COUNTIFS('LANÇAMENTOS DIÁRIOS'!$G$5:$G$500,"H",'LANÇAMENTOS DIÁRIOS'!$C$5:$C$500,$A34,'LANÇAMENTOS DIÁRIOS'!$O$5:$O$500,"&lt;=126299",'LANÇAMENTOS DIÁRIOS'!$P$5:$P$500,"&gt;=126200")&gt;0,"X","")</f>
      </c>
      <c r="U34" s="56" t="str">
        <f>IF(COUNTIFS('LANÇAMENTOS DIÁRIOS'!$G$5:$G$500,"H",'LANÇAMENTOS DIÁRIOS'!$C$5:$C$500,$A34,'LANÇAMENTOS DIÁRIOS'!$O$5:$O$500,"&lt;=126399",'LANÇAMENTOS DIÁRIOS'!$P$5:$P$500,"&gt;=126300")&gt;0,"X","")</f>
      </c>
      <c r="V34" s="56" t="str">
        <f>IF(COUNTIFS('LANÇAMENTOS DIÁRIOS'!$G$5:$G$500,"H",'LANÇAMENTOS DIÁRIOS'!$C$5:$C$500,$A34,'LANÇAMENTOS DIÁRIOS'!$O$5:$O$500,"&lt;=126499",'LANÇAMENTOS DIÁRIOS'!$P$5:$P$500,"&gt;=126400")&gt;0,"X","")</f>
      </c>
      <c r="W34" s="56" t="str">
        <f>IF(COUNTIFS('LANÇAMENTOS DIÁRIOS'!$G$5:$G$500,"H",'LANÇAMENTOS DIÁRIOS'!$C$5:$C$500,$A34,'LANÇAMENTOS DIÁRIOS'!$O$5:$O$500,"&lt;=126599",'LANÇAMENTOS DIÁRIOS'!$P$5:$P$500,"&gt;=126500")&gt;0,"X","")</f>
      </c>
      <c r="X34" s="56" t="str">
        <f>IF(COUNTIFS('LANÇAMENTOS DIÁRIOS'!$G$5:$G$500,"H",'LANÇAMENTOS DIÁRIOS'!$C$5:$C$500,$A34,'LANÇAMENTOS DIÁRIOS'!$O$5:$O$500,"&lt;=126699",'LANÇAMENTOS DIÁRIOS'!$P$5:$P$500,"&gt;=126600")&gt;0,"X","")</f>
      </c>
      <c r="Y34" s="56" t="str">
        <f>IF(COUNTIFS('LANÇAMENTOS DIÁRIOS'!$G$5:$G$500,"H",'LANÇAMENTOS DIÁRIOS'!$C$5:$C$500,$A34,'LANÇAMENTOS DIÁRIOS'!$O$5:$O$500,"&lt;=126799",'LANÇAMENTOS DIÁRIOS'!$P$5:$P$500,"&gt;=126700")&gt;0,"X","")</f>
      </c>
      <c r="Z34" s="56" t="str">
        <f>IF(COUNTIFS('LANÇAMENTOS DIÁRIOS'!$G$5:$G$500,"H",'LANÇAMENTOS DIÁRIOS'!$C$5:$C$500,$A34,'LANÇAMENTOS DIÁRIOS'!$O$5:$O$500,"&lt;=126899",'LANÇAMENTOS DIÁRIOS'!$P$5:$P$500,"&gt;=126800")&gt;0,"X","")</f>
      </c>
      <c r="AA34" s="56" t="str">
        <f>IF(COUNTIFS('LANÇAMENTOS DIÁRIOS'!$G$5:$G$500,"H",'LANÇAMENTOS DIÁRIOS'!$C$5:$C$500,$A34,'LANÇAMENTOS DIÁRIOS'!$O$5:$O$500,"&lt;=126999",'LANÇAMENTOS DIÁRIOS'!$P$5:$P$500,"&gt;=126900")&gt;0,"X","")</f>
      </c>
      <c r="AB34" s="56" t="str">
        <f>IF(COUNTIFS('LANÇAMENTOS DIÁRIOS'!$G$5:$G$500,"H",'LANÇAMENTOS DIÁRIOS'!$C$5:$C$500,$A34,'LANÇAMENTOS DIÁRIOS'!$O$5:$O$500,"&lt;=127099",'LANÇAMENTOS DIÁRIOS'!$P$5:$P$500,"&gt;=127000")&gt;0,"X","")</f>
      </c>
      <c r="AC34" s="56" t="str">
        <f>IF(COUNTIFS('LANÇAMENTOS DIÁRIOS'!$G$5:$G$500,"H",'LANÇAMENTOS DIÁRIOS'!$C$5:$C$500,$A34,'LANÇAMENTOS DIÁRIOS'!$O$5:$O$500,"&lt;=127199",'LANÇAMENTOS DIÁRIOS'!$P$5:$P$500,"&gt;=127100")&gt;0,"X","")</f>
      </c>
      <c r="AD34" s="56" t="str">
        <f>IF(COUNTIFS('LANÇAMENTOS DIÁRIOS'!$G$5:$G$500,"H",'LANÇAMENTOS DIÁRIOS'!$C$5:$C$500,$A34,'LANÇAMENTOS DIÁRIOS'!$O$5:$O$500,"&lt;=127299",'LANÇAMENTOS DIÁRIOS'!$P$5:$P$500,"&gt;=127200")&gt;0,"X","")</f>
      </c>
      <c r="AE34" s="56" t="str">
        <f>IF(COUNTIFS('LANÇAMENTOS DIÁRIOS'!$G$5:$G$500,"H",'LANÇAMENTOS DIÁRIOS'!$C$5:$C$500,$A34,'LANÇAMENTOS DIÁRIOS'!$O$5:$O$500,"&lt;=127399",'LANÇAMENTOS DIÁRIOS'!$P$5:$P$500,"&gt;=127300")&gt;0,"X","")</f>
      </c>
      <c r="AF34" s="56" t="str">
        <f>IF(COUNTIFS('LANÇAMENTOS DIÁRIOS'!$G$5:$G$500,"H",'LANÇAMENTOS DIÁRIOS'!$C$5:$C$500,$A34,'LANÇAMENTOS DIÁRIOS'!$O$5:$O$500,"&lt;=127499",'LANÇAMENTOS DIÁRIOS'!$P$5:$P$500,"&gt;=127400")&gt;0,"X","")</f>
      </c>
      <c r="AG34" s="56" t="str">
        <f>IF(COUNTIFS('LANÇAMENTOS DIÁRIOS'!$G$5:$G$500,"H",'LANÇAMENTOS DIÁRIOS'!$C$5:$C$500,$A34,'LANÇAMENTOS DIÁRIOS'!$O$5:$O$500,"&lt;=127599",'LANÇAMENTOS DIÁRIOS'!$P$5:$P$500,"&gt;=127500")&gt;0,"X","")</f>
      </c>
      <c r="AH34" s="56" t="str">
        <f>IF(COUNTIFS('LANÇAMENTOS DIÁRIOS'!$G$5:$G$500,"H",'LANÇAMENTOS DIÁRIOS'!$C$5:$C$500,$A34,'LANÇAMENTOS DIÁRIOS'!$O$5:$O$500,"&lt;=127699",'LANÇAMENTOS DIÁRIOS'!$P$5:$P$500,"&gt;=127600")&gt;0,"X","")</f>
      </c>
      <c r="AI34" s="56" t="str">
        <f>IF(COUNTIFS('LANÇAMENTOS DIÁRIOS'!$G$5:$G$500,"H",'LANÇAMENTOS DIÁRIOS'!$C$5:$C$500,$A34,'LANÇAMENTOS DIÁRIOS'!$O$5:$O$500,"&lt;=127799",'LANÇAMENTOS DIÁRIOS'!$P$5:$P$500,"&gt;=127700")&gt;0,"X","")</f>
      </c>
      <c r="AJ34" s="56" t="str">
        <f>IF(COUNTIFS('LANÇAMENTOS DIÁRIOS'!$G$5:$G$500,"H",'LANÇAMENTOS DIÁRIOS'!$C$5:$C$500,$A34,'LANÇAMENTOS DIÁRIOS'!$O$5:$O$500,"&lt;=127899",'LANÇAMENTOS DIÁRIOS'!$P$5:$P$500,"&gt;=127800")&gt;0,"X","")</f>
      </c>
      <c r="AK34" s="56" t="str">
        <f>IF(COUNTIFS('LANÇAMENTOS DIÁRIOS'!$G$5:$G$500,"H",'LANÇAMENTOS DIÁRIOS'!$C$5:$C$500,$A34,'LANÇAMENTOS DIÁRIOS'!$O$5:$O$500,"&lt;=127999",'LANÇAMENTOS DIÁRIOS'!$P$5:$P$500,"&gt;=127900")&gt;0,"X","")</f>
      </c>
      <c r="AL34" s="56" t="str">
        <f>IF(COUNTIFS('LANÇAMENTOS DIÁRIOS'!$G$5:$G$500,"H",'LANÇAMENTOS DIÁRIOS'!$C$5:$C$500,$A34,'LANÇAMENTOS DIÁRIOS'!$O$5:$O$500,"&lt;=128099",'LANÇAMENTOS DIÁRIOS'!$P$5:$P$500,"&gt;=128000")&gt;0,"X","")</f>
      </c>
      <c r="AM34" s="56" t="str">
        <f>IF(COUNTIFS('LANÇAMENTOS DIÁRIOS'!$G$5:$G$500,"H",'LANÇAMENTOS DIÁRIOS'!$C$5:$C$500,$A34,'LANÇAMENTOS DIÁRIOS'!$O$5:$O$500,"&lt;=128199",'LANÇAMENTOS DIÁRIOS'!$P$5:$P$500,"&gt;=128100")&gt;0,"X","")</f>
      </c>
      <c r="AN34" s="56" t="str">
        <f>IF(COUNTIFS('LANÇAMENTOS DIÁRIOS'!$G$5:$G$500,"H",'LANÇAMENTOS DIÁRIOS'!$C$5:$C$500,$A34,'LANÇAMENTOS DIÁRIOS'!$O$5:$O$500,"&lt;=128299",'LANÇAMENTOS DIÁRIOS'!$P$5:$P$500,"&gt;=128200")&gt;0,"X","")</f>
      </c>
      <c r="AO34" s="56" t="str">
        <f>IF(COUNTIFS('LANÇAMENTOS DIÁRIOS'!$G$5:$G$500,"H",'LANÇAMENTOS DIÁRIOS'!$C$5:$C$500,$A34,'LANÇAMENTOS DIÁRIOS'!$O$5:$O$500,"&lt;=128399",'LANÇAMENTOS DIÁRIOS'!$P$5:$P$500,"&gt;=128300")&gt;0,"X","")</f>
      </c>
      <c r="AP34" s="56" t="str">
        <f>IF(COUNTIFS('LANÇAMENTOS DIÁRIOS'!$G$5:$G$500,"H",'LANÇAMENTOS DIÁRIOS'!$C$5:$C$500,$A34,'LANÇAMENTOS DIÁRIOS'!$O$5:$O$500,"&lt;=128499",'LANÇAMENTOS DIÁRIOS'!$P$5:$P$500,"&gt;=128400")&gt;0,"X","")</f>
      </c>
      <c r="AQ34" s="56" t="str">
        <f>IF(COUNTIFS('LANÇAMENTOS DIÁRIOS'!$G$5:$G$500,"H",'LANÇAMENTOS DIÁRIOS'!$C$5:$C$500,$A34,'LANÇAMENTOS DIÁRIOS'!$O$5:$O$500,"&lt;=128599",'LANÇAMENTOS DIÁRIOS'!$P$5:$P$500,"&gt;=128500")&gt;0,"X","")</f>
      </c>
      <c r="AR34" s="56" t="str">
        <f>IF(COUNTIFS('LANÇAMENTOS DIÁRIOS'!$G$5:$G$500,"H",'LANÇAMENTOS DIÁRIOS'!$C$5:$C$500,$A34,'LANÇAMENTOS DIÁRIOS'!$O$5:$O$500,"&lt;=128699",'LANÇAMENTOS DIÁRIOS'!$P$5:$P$500,"&gt;=128600")&gt;0,"X","")</f>
      </c>
      <c r="AS34" s="56" t="str">
        <f>IF(COUNTIFS('LANÇAMENTOS DIÁRIOS'!$G$5:$G$500,"H",'LANÇAMENTOS DIÁRIOS'!$C$5:$C$500,$A34,'LANÇAMENTOS DIÁRIOS'!$O$5:$O$500,"&lt;=128799",'LANÇAMENTOS DIÁRIOS'!$P$5:$P$500,"&gt;=128700")&gt;0,"X","")</f>
      </c>
      <c r="AT34" s="56" t="str">
        <f>IF(COUNTIFS('LANÇAMENTOS DIÁRIOS'!$G$5:$G$500,"H",'LANÇAMENTOS DIÁRIOS'!$C$5:$C$500,$A34,'LANÇAMENTOS DIÁRIOS'!$O$5:$O$500,"&lt;=128899",'LANÇAMENTOS DIÁRIOS'!$P$5:$P$500,"&gt;=128800")&gt;0,"X","")</f>
      </c>
      <c r="AU34" s="56" t="str">
        <f>IF(COUNTIFS('LANÇAMENTOS DIÁRIOS'!$G$5:$G$500,"H",'LANÇAMENTOS DIÁRIOS'!$C$5:$C$500,$A34,'LANÇAMENTOS DIÁRIOS'!$O$5:$O$500,"&lt;=128999",'LANÇAMENTOS DIÁRIOS'!$P$5:$P$500,"&gt;=128900")&gt;0,"X","")</f>
      </c>
      <c r="AV34" s="56" t="str">
        <f>IF(COUNTIFS('LANÇAMENTOS DIÁRIOS'!$G$5:$G$500,"H",'LANÇAMENTOS DIÁRIOS'!$C$5:$C$500,$A34,'LANÇAMENTOS DIÁRIOS'!$O$5:$O$500,"&lt;=129099",'LANÇAMENTOS DIÁRIOS'!$P$5:$P$500,"&gt;=129000")&gt;0,"X","")</f>
      </c>
      <c r="AW34" s="56" t="str">
        <f>IF(COUNTIFS('LANÇAMENTOS DIÁRIOS'!$G$5:$G$500,"H",'LANÇAMENTOS DIÁRIOS'!$C$5:$C$500,$A34,'LANÇAMENTOS DIÁRIOS'!$O$5:$O$500,"&lt;=129199",'LANÇAMENTOS DIÁRIOS'!$P$5:$P$500,"&gt;=129100")&gt;0,"X","")</f>
      </c>
      <c r="AX34" s="56" t="str">
        <f>IF(COUNTIFS('LANÇAMENTOS DIÁRIOS'!$G$5:$G$500,"H",'LANÇAMENTOS DIÁRIOS'!$C$5:$C$500,$A34,'LANÇAMENTOS DIÁRIOS'!$O$5:$O$500,"&lt;=129299",'LANÇAMENTOS DIÁRIOS'!$P$5:$P$500,"&gt;=129200")&gt;0,"X","")</f>
      </c>
      <c r="AY34" s="56" t="str">
        <f>IF(COUNTIFS('LANÇAMENTOS DIÁRIOS'!$G$5:$G$500,"H",'LANÇAMENTOS DIÁRIOS'!$C$5:$C$500,$A34,'LANÇAMENTOS DIÁRIOS'!$O$5:$O$500,"&lt;=129399",'LANÇAMENTOS DIÁRIOS'!$P$5:$P$500,"&gt;=129300")&gt;0,"X","")</f>
      </c>
      <c r="AZ34" s="56" t="str">
        <f>IF(COUNTIFS('LANÇAMENTOS DIÁRIOS'!$G$5:$G$500,"H",'LANÇAMENTOS DIÁRIOS'!$C$5:$C$500,$A34,'LANÇAMENTOS DIÁRIOS'!$O$5:$O$500,"&lt;=129400",'LANÇAMENTOS DIÁRIOS'!$P$5:$P$500,"&gt;=129400")&gt;0,"X","")</f>
      </c>
    </row>
    <row r="35">
      <c r="A35" s="51" t="str">
        <v>Derrubada e destocamento.arv. c/ diâmetro 70&lt;&gt; 80cm, com limpeza da área</v>
      </c>
      <c r="B35" s="56" t="str">
        <f>IF(COUNTIFS('LANÇAMENTOS DIÁRIOS'!$G$5:$G$500,"H",'LANÇAMENTOS DIÁRIOS'!$C$5:$C$500,$A35,'LANÇAMENTOS DIÁRIOS'!$O$5:$O$500,"&lt;=124499",'LANÇAMENTOS DIÁRIOS'!$P$5:$P$500,"&gt;=124400")&gt;0,"X","")</f>
      </c>
      <c r="C35" s="56" t="str">
        <f>IF(COUNTIFS('LANÇAMENTOS DIÁRIOS'!$G$5:$G$500,"H",'LANÇAMENTOS DIÁRIOS'!$C$5:$C$500,$A35,'LANÇAMENTOS DIÁRIOS'!$O$5:$O$500,"&lt;=124599",'LANÇAMENTOS DIÁRIOS'!$P$5:$P$500,"&gt;=124500")&gt;0,"X","")</f>
      </c>
      <c r="D35" s="56" t="str">
        <f>IF(COUNTIFS('LANÇAMENTOS DIÁRIOS'!$G$5:$G$500,"H",'LANÇAMENTOS DIÁRIOS'!$C$5:$C$500,$A35,'LANÇAMENTOS DIÁRIOS'!$O$5:$O$500,"&lt;=124699",'LANÇAMENTOS DIÁRIOS'!$P$5:$P$500,"&gt;=124600")&gt;0,"X","")</f>
      </c>
      <c r="E35" s="56" t="str">
        <f>IF(COUNTIFS('LANÇAMENTOS DIÁRIOS'!$G$5:$G$500,"H",'LANÇAMENTOS DIÁRIOS'!$C$5:$C$500,$A35,'LANÇAMENTOS DIÁRIOS'!$O$5:$O$500,"&lt;=124799",'LANÇAMENTOS DIÁRIOS'!$P$5:$P$500,"&gt;=124700")&gt;0,"X","")</f>
      </c>
      <c r="F35" s="56" t="str">
        <f>IF(COUNTIFS('LANÇAMENTOS DIÁRIOS'!$G$5:$G$500,"H",'LANÇAMENTOS DIÁRIOS'!$C$5:$C$500,$A35,'LANÇAMENTOS DIÁRIOS'!$O$5:$O$500,"&lt;=124899",'LANÇAMENTOS DIÁRIOS'!$P$5:$P$500,"&gt;=124800")&gt;0,"X","")</f>
      </c>
      <c r="G35" s="56" t="str">
        <f>IF(COUNTIFS('LANÇAMENTOS DIÁRIOS'!$G$5:$G$500,"H",'LANÇAMENTOS DIÁRIOS'!$C$5:$C$500,$A35,'LANÇAMENTOS DIÁRIOS'!$O$5:$O$500,"&lt;=124999",'LANÇAMENTOS DIÁRIOS'!$P$5:$P$500,"&gt;=124900")&gt;0,"X","")</f>
      </c>
      <c r="H35" s="56" t="str">
        <f>IF(COUNTIFS('LANÇAMENTOS DIÁRIOS'!$G$5:$G$500,"H",'LANÇAMENTOS DIÁRIOS'!$C$5:$C$500,$A35,'LANÇAMENTOS DIÁRIOS'!$O$5:$O$500,"&lt;=125099",'LANÇAMENTOS DIÁRIOS'!$P$5:$P$500,"&gt;=125000")&gt;0,"X","")</f>
      </c>
      <c r="I35" s="56" t="str">
        <f>IF(COUNTIFS('LANÇAMENTOS DIÁRIOS'!$G$5:$G$500,"H",'LANÇAMENTOS DIÁRIOS'!$C$5:$C$500,$A35,'LANÇAMENTOS DIÁRIOS'!$O$5:$O$500,"&lt;=125199",'LANÇAMENTOS DIÁRIOS'!$P$5:$P$500,"&gt;=125100")&gt;0,"X","")</f>
      </c>
      <c r="J35" s="56" t="str">
        <f>IF(COUNTIFS('LANÇAMENTOS DIÁRIOS'!$G$5:$G$500,"H",'LANÇAMENTOS DIÁRIOS'!$C$5:$C$500,$A35,'LANÇAMENTOS DIÁRIOS'!$O$5:$O$500,"&lt;=125299",'LANÇAMENTOS DIÁRIOS'!$P$5:$P$500,"&gt;=125200")&gt;0,"X","")</f>
      </c>
      <c r="K35" s="56" t="str">
        <f>IF(COUNTIFS('LANÇAMENTOS DIÁRIOS'!$G$5:$G$500,"H",'LANÇAMENTOS DIÁRIOS'!$C$5:$C$500,$A35,'LANÇAMENTOS DIÁRIOS'!$O$5:$O$500,"&lt;=125399",'LANÇAMENTOS DIÁRIOS'!$P$5:$P$500,"&gt;=125300")&gt;0,"X","")</f>
      </c>
      <c r="L35" s="56" t="str">
        <f>IF(COUNTIFS('LANÇAMENTOS DIÁRIOS'!$G$5:$G$500,"H",'LANÇAMENTOS DIÁRIOS'!$C$5:$C$500,$A35,'LANÇAMENTOS DIÁRIOS'!$O$5:$O$500,"&lt;=125499",'LANÇAMENTOS DIÁRIOS'!$P$5:$P$500,"&gt;=125400")&gt;0,"X","")</f>
      </c>
      <c r="M35" s="56" t="str">
        <f>IF(COUNTIFS('LANÇAMENTOS DIÁRIOS'!$G$5:$G$500,"H",'LANÇAMENTOS DIÁRIOS'!$C$5:$C$500,$A35,'LANÇAMENTOS DIÁRIOS'!$O$5:$O$500,"&lt;=125599",'LANÇAMENTOS DIÁRIOS'!$P$5:$P$500,"&gt;=125500")&gt;0,"X","")</f>
      </c>
      <c r="N35" s="56" t="str">
        <f>IF(COUNTIFS('LANÇAMENTOS DIÁRIOS'!$G$5:$G$500,"H",'LANÇAMENTOS DIÁRIOS'!$C$5:$C$500,$A35,'LANÇAMENTOS DIÁRIOS'!$O$5:$O$500,"&lt;=125699",'LANÇAMENTOS DIÁRIOS'!$P$5:$P$500,"&gt;=125600")&gt;0,"X","")</f>
      </c>
      <c r="O35" s="56" t="str">
        <f>IF(COUNTIFS('LANÇAMENTOS DIÁRIOS'!$G$5:$G$500,"H",'LANÇAMENTOS DIÁRIOS'!$C$5:$C$500,$A35,'LANÇAMENTOS DIÁRIOS'!$O$5:$O$500,"&lt;=125799",'LANÇAMENTOS DIÁRIOS'!$P$5:$P$500,"&gt;=125700")&gt;0,"X","")</f>
      </c>
      <c r="P35" s="56" t="str">
        <f>IF(COUNTIFS('LANÇAMENTOS DIÁRIOS'!$G$5:$G$500,"H",'LANÇAMENTOS DIÁRIOS'!$C$5:$C$500,$A35,'LANÇAMENTOS DIÁRIOS'!$O$5:$O$500,"&lt;=125899",'LANÇAMENTOS DIÁRIOS'!$P$5:$P$500,"&gt;=125800")&gt;0,"X","")</f>
      </c>
      <c r="Q35" s="56" t="str">
        <f>IF(COUNTIFS('LANÇAMENTOS DIÁRIOS'!$G$5:$G$500,"H",'LANÇAMENTOS DIÁRIOS'!$C$5:$C$500,$A35,'LANÇAMENTOS DIÁRIOS'!$O$5:$O$500,"&lt;=125999",'LANÇAMENTOS DIÁRIOS'!$P$5:$P$500,"&gt;=125900")&gt;0,"X","")</f>
      </c>
      <c r="R35" s="56" t="str">
        <f>IF(COUNTIFS('LANÇAMENTOS DIÁRIOS'!$G$5:$G$500,"H",'LANÇAMENTOS DIÁRIOS'!$C$5:$C$500,$A35,'LANÇAMENTOS DIÁRIOS'!$O$5:$O$500,"&lt;=126099",'LANÇAMENTOS DIÁRIOS'!$P$5:$P$500,"&gt;=126000")&gt;0,"X","")</f>
      </c>
      <c r="S35" s="56" t="str">
        <f>IF(COUNTIFS('LANÇAMENTOS DIÁRIOS'!$G$5:$G$500,"H",'LANÇAMENTOS DIÁRIOS'!$C$5:$C$500,$A35,'LANÇAMENTOS DIÁRIOS'!$O$5:$O$500,"&lt;=126199",'LANÇAMENTOS DIÁRIOS'!$P$5:$P$500,"&gt;=126100")&gt;0,"X","")</f>
      </c>
      <c r="T35" s="56" t="str">
        <f>IF(COUNTIFS('LANÇAMENTOS DIÁRIOS'!$G$5:$G$500,"H",'LANÇAMENTOS DIÁRIOS'!$C$5:$C$500,$A35,'LANÇAMENTOS DIÁRIOS'!$O$5:$O$500,"&lt;=126299",'LANÇAMENTOS DIÁRIOS'!$P$5:$P$500,"&gt;=126200")&gt;0,"X","")</f>
      </c>
      <c r="U35" s="56" t="str">
        <f>IF(COUNTIFS('LANÇAMENTOS DIÁRIOS'!$G$5:$G$500,"H",'LANÇAMENTOS DIÁRIOS'!$C$5:$C$500,$A35,'LANÇAMENTOS DIÁRIOS'!$O$5:$O$500,"&lt;=126399",'LANÇAMENTOS DIÁRIOS'!$P$5:$P$500,"&gt;=126300")&gt;0,"X","")</f>
      </c>
      <c r="V35" s="56" t="str">
        <f>IF(COUNTIFS('LANÇAMENTOS DIÁRIOS'!$G$5:$G$500,"H",'LANÇAMENTOS DIÁRIOS'!$C$5:$C$500,$A35,'LANÇAMENTOS DIÁRIOS'!$O$5:$O$500,"&lt;=126499",'LANÇAMENTOS DIÁRIOS'!$P$5:$P$500,"&gt;=126400")&gt;0,"X","")</f>
      </c>
      <c r="W35" s="56" t="str">
        <f>IF(COUNTIFS('LANÇAMENTOS DIÁRIOS'!$G$5:$G$500,"H",'LANÇAMENTOS DIÁRIOS'!$C$5:$C$500,$A35,'LANÇAMENTOS DIÁRIOS'!$O$5:$O$500,"&lt;=126599",'LANÇAMENTOS DIÁRIOS'!$P$5:$P$500,"&gt;=126500")&gt;0,"X","")</f>
      </c>
      <c r="X35" s="56" t="str">
        <f>IF(COUNTIFS('LANÇAMENTOS DIÁRIOS'!$G$5:$G$500,"H",'LANÇAMENTOS DIÁRIOS'!$C$5:$C$500,$A35,'LANÇAMENTOS DIÁRIOS'!$O$5:$O$500,"&lt;=126699",'LANÇAMENTOS DIÁRIOS'!$P$5:$P$500,"&gt;=126600")&gt;0,"X","")</f>
      </c>
      <c r="Y35" s="56" t="str">
        <f>IF(COUNTIFS('LANÇAMENTOS DIÁRIOS'!$G$5:$G$500,"H",'LANÇAMENTOS DIÁRIOS'!$C$5:$C$500,$A35,'LANÇAMENTOS DIÁRIOS'!$O$5:$O$500,"&lt;=126799",'LANÇAMENTOS DIÁRIOS'!$P$5:$P$500,"&gt;=126700")&gt;0,"X","")</f>
      </c>
      <c r="Z35" s="56" t="str">
        <f>IF(COUNTIFS('LANÇAMENTOS DIÁRIOS'!$G$5:$G$500,"H",'LANÇAMENTOS DIÁRIOS'!$C$5:$C$500,$A35,'LANÇAMENTOS DIÁRIOS'!$O$5:$O$500,"&lt;=126899",'LANÇAMENTOS DIÁRIOS'!$P$5:$P$500,"&gt;=126800")&gt;0,"X","")</f>
      </c>
      <c r="AA35" s="56" t="str">
        <f>IF(COUNTIFS('LANÇAMENTOS DIÁRIOS'!$G$5:$G$500,"H",'LANÇAMENTOS DIÁRIOS'!$C$5:$C$500,$A35,'LANÇAMENTOS DIÁRIOS'!$O$5:$O$500,"&lt;=126999",'LANÇAMENTOS DIÁRIOS'!$P$5:$P$500,"&gt;=126900")&gt;0,"X","")</f>
      </c>
      <c r="AB35" s="56" t="str">
        <f>IF(COUNTIFS('LANÇAMENTOS DIÁRIOS'!$G$5:$G$500,"H",'LANÇAMENTOS DIÁRIOS'!$C$5:$C$500,$A35,'LANÇAMENTOS DIÁRIOS'!$O$5:$O$500,"&lt;=127099",'LANÇAMENTOS DIÁRIOS'!$P$5:$P$500,"&gt;=127000")&gt;0,"X","")</f>
      </c>
      <c r="AC35" s="56" t="str">
        <f>IF(COUNTIFS('LANÇAMENTOS DIÁRIOS'!$G$5:$G$500,"H",'LANÇAMENTOS DIÁRIOS'!$C$5:$C$500,$A35,'LANÇAMENTOS DIÁRIOS'!$O$5:$O$500,"&lt;=127199",'LANÇAMENTOS DIÁRIOS'!$P$5:$P$500,"&gt;=127100")&gt;0,"X","")</f>
      </c>
      <c r="AD35" s="56" t="str">
        <f>IF(COUNTIFS('LANÇAMENTOS DIÁRIOS'!$G$5:$G$500,"H",'LANÇAMENTOS DIÁRIOS'!$C$5:$C$500,$A35,'LANÇAMENTOS DIÁRIOS'!$O$5:$O$500,"&lt;=127299",'LANÇAMENTOS DIÁRIOS'!$P$5:$P$500,"&gt;=127200")&gt;0,"X","")</f>
      </c>
      <c r="AE35" s="56" t="str">
        <f>IF(COUNTIFS('LANÇAMENTOS DIÁRIOS'!$G$5:$G$500,"H",'LANÇAMENTOS DIÁRIOS'!$C$5:$C$500,$A35,'LANÇAMENTOS DIÁRIOS'!$O$5:$O$500,"&lt;=127399",'LANÇAMENTOS DIÁRIOS'!$P$5:$P$500,"&gt;=127300")&gt;0,"X","")</f>
      </c>
      <c r="AF35" s="56" t="str">
        <f>IF(COUNTIFS('LANÇAMENTOS DIÁRIOS'!$G$5:$G$500,"H",'LANÇAMENTOS DIÁRIOS'!$C$5:$C$500,$A35,'LANÇAMENTOS DIÁRIOS'!$O$5:$O$500,"&lt;=127499",'LANÇAMENTOS DIÁRIOS'!$P$5:$P$500,"&gt;=127400")&gt;0,"X","")</f>
      </c>
      <c r="AG35" s="56" t="str">
        <f>IF(COUNTIFS('LANÇAMENTOS DIÁRIOS'!$G$5:$G$500,"H",'LANÇAMENTOS DIÁRIOS'!$C$5:$C$500,$A35,'LANÇAMENTOS DIÁRIOS'!$O$5:$O$500,"&lt;=127599",'LANÇAMENTOS DIÁRIOS'!$P$5:$P$500,"&gt;=127500")&gt;0,"X","")</f>
      </c>
      <c r="AH35" s="56" t="str">
        <f>IF(COUNTIFS('LANÇAMENTOS DIÁRIOS'!$G$5:$G$500,"H",'LANÇAMENTOS DIÁRIOS'!$C$5:$C$500,$A35,'LANÇAMENTOS DIÁRIOS'!$O$5:$O$500,"&lt;=127699",'LANÇAMENTOS DIÁRIOS'!$P$5:$P$500,"&gt;=127600")&gt;0,"X","")</f>
      </c>
      <c r="AI35" s="56" t="str">
        <f>IF(COUNTIFS('LANÇAMENTOS DIÁRIOS'!$G$5:$G$500,"H",'LANÇAMENTOS DIÁRIOS'!$C$5:$C$500,$A35,'LANÇAMENTOS DIÁRIOS'!$O$5:$O$500,"&lt;=127799",'LANÇAMENTOS DIÁRIOS'!$P$5:$P$500,"&gt;=127700")&gt;0,"X","")</f>
      </c>
      <c r="AJ35" s="56" t="str">
        <f>IF(COUNTIFS('LANÇAMENTOS DIÁRIOS'!$G$5:$G$500,"H",'LANÇAMENTOS DIÁRIOS'!$C$5:$C$500,$A35,'LANÇAMENTOS DIÁRIOS'!$O$5:$O$500,"&lt;=127899",'LANÇAMENTOS DIÁRIOS'!$P$5:$P$500,"&gt;=127800")&gt;0,"X","")</f>
      </c>
      <c r="AK35" s="56" t="str">
        <f>IF(COUNTIFS('LANÇAMENTOS DIÁRIOS'!$G$5:$G$500,"H",'LANÇAMENTOS DIÁRIOS'!$C$5:$C$500,$A35,'LANÇAMENTOS DIÁRIOS'!$O$5:$O$500,"&lt;=127999",'LANÇAMENTOS DIÁRIOS'!$P$5:$P$500,"&gt;=127900")&gt;0,"X","")</f>
      </c>
      <c r="AL35" s="56" t="str">
        <f>IF(COUNTIFS('LANÇAMENTOS DIÁRIOS'!$G$5:$G$500,"H",'LANÇAMENTOS DIÁRIOS'!$C$5:$C$500,$A35,'LANÇAMENTOS DIÁRIOS'!$O$5:$O$500,"&lt;=128099",'LANÇAMENTOS DIÁRIOS'!$P$5:$P$500,"&gt;=128000")&gt;0,"X","")</f>
      </c>
      <c r="AM35" s="56" t="str">
        <f>IF(COUNTIFS('LANÇAMENTOS DIÁRIOS'!$G$5:$G$500,"H",'LANÇAMENTOS DIÁRIOS'!$C$5:$C$500,$A35,'LANÇAMENTOS DIÁRIOS'!$O$5:$O$500,"&lt;=128199",'LANÇAMENTOS DIÁRIOS'!$P$5:$P$500,"&gt;=128100")&gt;0,"X","")</f>
      </c>
      <c r="AN35" s="56" t="str">
        <f>IF(COUNTIFS('LANÇAMENTOS DIÁRIOS'!$G$5:$G$500,"H",'LANÇAMENTOS DIÁRIOS'!$C$5:$C$500,$A35,'LANÇAMENTOS DIÁRIOS'!$O$5:$O$500,"&lt;=128299",'LANÇAMENTOS DIÁRIOS'!$P$5:$P$500,"&gt;=128200")&gt;0,"X","")</f>
      </c>
      <c r="AO35" s="56" t="str">
        <f>IF(COUNTIFS('LANÇAMENTOS DIÁRIOS'!$G$5:$G$500,"H",'LANÇAMENTOS DIÁRIOS'!$C$5:$C$500,$A35,'LANÇAMENTOS DIÁRIOS'!$O$5:$O$500,"&lt;=128399",'LANÇAMENTOS DIÁRIOS'!$P$5:$P$500,"&gt;=128300")&gt;0,"X","")</f>
      </c>
      <c r="AP35" s="56" t="str">
        <f>IF(COUNTIFS('LANÇAMENTOS DIÁRIOS'!$G$5:$G$500,"H",'LANÇAMENTOS DIÁRIOS'!$C$5:$C$500,$A35,'LANÇAMENTOS DIÁRIOS'!$O$5:$O$500,"&lt;=128499",'LANÇAMENTOS DIÁRIOS'!$P$5:$P$500,"&gt;=128400")&gt;0,"X","")</f>
      </c>
      <c r="AQ35" s="56" t="str">
        <f>IF(COUNTIFS('LANÇAMENTOS DIÁRIOS'!$G$5:$G$500,"H",'LANÇAMENTOS DIÁRIOS'!$C$5:$C$500,$A35,'LANÇAMENTOS DIÁRIOS'!$O$5:$O$500,"&lt;=128599",'LANÇAMENTOS DIÁRIOS'!$P$5:$P$500,"&gt;=128500")&gt;0,"X","")</f>
      </c>
      <c r="AR35" s="56" t="str">
        <f>IF(COUNTIFS('LANÇAMENTOS DIÁRIOS'!$G$5:$G$500,"H",'LANÇAMENTOS DIÁRIOS'!$C$5:$C$500,$A35,'LANÇAMENTOS DIÁRIOS'!$O$5:$O$500,"&lt;=128699",'LANÇAMENTOS DIÁRIOS'!$P$5:$P$500,"&gt;=128600")&gt;0,"X","")</f>
      </c>
      <c r="AS35" s="56" t="str">
        <f>IF(COUNTIFS('LANÇAMENTOS DIÁRIOS'!$G$5:$G$500,"H",'LANÇAMENTOS DIÁRIOS'!$C$5:$C$500,$A35,'LANÇAMENTOS DIÁRIOS'!$O$5:$O$500,"&lt;=128799",'LANÇAMENTOS DIÁRIOS'!$P$5:$P$500,"&gt;=128700")&gt;0,"X","")</f>
      </c>
      <c r="AT35" s="56" t="str">
        <f>IF(COUNTIFS('LANÇAMENTOS DIÁRIOS'!$G$5:$G$500,"H",'LANÇAMENTOS DIÁRIOS'!$C$5:$C$500,$A35,'LANÇAMENTOS DIÁRIOS'!$O$5:$O$500,"&lt;=128899",'LANÇAMENTOS DIÁRIOS'!$P$5:$P$500,"&gt;=128800")&gt;0,"X","")</f>
      </c>
      <c r="AU35" s="56" t="str">
        <f>IF(COUNTIFS('LANÇAMENTOS DIÁRIOS'!$G$5:$G$500,"H",'LANÇAMENTOS DIÁRIOS'!$C$5:$C$500,$A35,'LANÇAMENTOS DIÁRIOS'!$O$5:$O$500,"&lt;=128999",'LANÇAMENTOS DIÁRIOS'!$P$5:$P$500,"&gt;=128900")&gt;0,"X","")</f>
      </c>
      <c r="AV35" s="56" t="str">
        <f>IF(COUNTIFS('LANÇAMENTOS DIÁRIOS'!$G$5:$G$500,"H",'LANÇAMENTOS DIÁRIOS'!$C$5:$C$500,$A35,'LANÇAMENTOS DIÁRIOS'!$O$5:$O$500,"&lt;=129099",'LANÇAMENTOS DIÁRIOS'!$P$5:$P$500,"&gt;=129000")&gt;0,"X","")</f>
      </c>
      <c r="AW35" s="56" t="str">
        <f>IF(COUNTIFS('LANÇAMENTOS DIÁRIOS'!$G$5:$G$500,"H",'LANÇAMENTOS DIÁRIOS'!$C$5:$C$500,$A35,'LANÇAMENTOS DIÁRIOS'!$O$5:$O$500,"&lt;=129199",'LANÇAMENTOS DIÁRIOS'!$P$5:$P$500,"&gt;=129100")&gt;0,"X","")</f>
      </c>
      <c r="AX35" s="56" t="str">
        <f>IF(COUNTIFS('LANÇAMENTOS DIÁRIOS'!$G$5:$G$500,"H",'LANÇAMENTOS DIÁRIOS'!$C$5:$C$500,$A35,'LANÇAMENTOS DIÁRIOS'!$O$5:$O$500,"&lt;=129299",'LANÇAMENTOS DIÁRIOS'!$P$5:$P$500,"&gt;=129200")&gt;0,"X","")</f>
      </c>
      <c r="AY35" s="56" t="str">
        <f>IF(COUNTIFS('LANÇAMENTOS DIÁRIOS'!$G$5:$G$500,"H",'LANÇAMENTOS DIÁRIOS'!$C$5:$C$500,$A35,'LANÇAMENTOS DIÁRIOS'!$O$5:$O$500,"&lt;=129399",'LANÇAMENTOS DIÁRIOS'!$P$5:$P$500,"&gt;=129300")&gt;0,"X","")</f>
      </c>
      <c r="AZ35" s="56" t="str">
        <f>IF(COUNTIFS('LANÇAMENTOS DIÁRIOS'!$G$5:$G$500,"H",'LANÇAMENTOS DIÁRIOS'!$C$5:$C$500,$A35,'LANÇAMENTOS DIÁRIOS'!$O$5:$O$500,"&lt;=129400",'LANÇAMENTOS DIÁRIOS'!$P$5:$P$500,"&gt;=129400")&gt;0,"X","")</f>
      </c>
    </row>
    <row r="36">
      <c r="A36" s="51" t="str">
        <v>Derrubada e destocamento.arv. c/ diâmetro &gt; 80cm, com limpeza da área</v>
      </c>
      <c r="B36" s="56" t="str">
        <f>IF(COUNTIFS('LANÇAMENTOS DIÁRIOS'!$G$5:$G$500,"H",'LANÇAMENTOS DIÁRIOS'!$C$5:$C$500,$A36,'LANÇAMENTOS DIÁRIOS'!$O$5:$O$500,"&lt;=124499",'LANÇAMENTOS DIÁRIOS'!$P$5:$P$500,"&gt;=124400")&gt;0,"X","")</f>
      </c>
      <c r="C36" s="56" t="str">
        <f>IF(COUNTIFS('LANÇAMENTOS DIÁRIOS'!$G$5:$G$500,"H",'LANÇAMENTOS DIÁRIOS'!$C$5:$C$500,$A36,'LANÇAMENTOS DIÁRIOS'!$O$5:$O$500,"&lt;=124599",'LANÇAMENTOS DIÁRIOS'!$P$5:$P$500,"&gt;=124500")&gt;0,"X","")</f>
      </c>
      <c r="D36" s="56" t="str">
        <f>IF(COUNTIFS('LANÇAMENTOS DIÁRIOS'!$G$5:$G$500,"H",'LANÇAMENTOS DIÁRIOS'!$C$5:$C$500,$A36,'LANÇAMENTOS DIÁRIOS'!$O$5:$O$500,"&lt;=124699",'LANÇAMENTOS DIÁRIOS'!$P$5:$P$500,"&gt;=124600")&gt;0,"X","")</f>
      </c>
      <c r="E36" s="56" t="str">
        <f>IF(COUNTIFS('LANÇAMENTOS DIÁRIOS'!$G$5:$G$500,"H",'LANÇAMENTOS DIÁRIOS'!$C$5:$C$500,$A36,'LANÇAMENTOS DIÁRIOS'!$O$5:$O$500,"&lt;=124799",'LANÇAMENTOS DIÁRIOS'!$P$5:$P$500,"&gt;=124700")&gt;0,"X","")</f>
      </c>
      <c r="F36" s="56" t="str">
        <f>IF(COUNTIFS('LANÇAMENTOS DIÁRIOS'!$G$5:$G$500,"H",'LANÇAMENTOS DIÁRIOS'!$C$5:$C$500,$A36,'LANÇAMENTOS DIÁRIOS'!$O$5:$O$500,"&lt;=124899",'LANÇAMENTOS DIÁRIOS'!$P$5:$P$500,"&gt;=124800")&gt;0,"X","")</f>
      </c>
      <c r="G36" s="56" t="str">
        <f>IF(COUNTIFS('LANÇAMENTOS DIÁRIOS'!$G$5:$G$500,"H",'LANÇAMENTOS DIÁRIOS'!$C$5:$C$500,$A36,'LANÇAMENTOS DIÁRIOS'!$O$5:$O$500,"&lt;=124999",'LANÇAMENTOS DIÁRIOS'!$P$5:$P$500,"&gt;=124900")&gt;0,"X","")</f>
      </c>
      <c r="H36" s="56" t="str">
        <f>IF(COUNTIFS('LANÇAMENTOS DIÁRIOS'!$G$5:$G$500,"H",'LANÇAMENTOS DIÁRIOS'!$C$5:$C$500,$A36,'LANÇAMENTOS DIÁRIOS'!$O$5:$O$500,"&lt;=125099",'LANÇAMENTOS DIÁRIOS'!$P$5:$P$500,"&gt;=125000")&gt;0,"X","")</f>
      </c>
      <c r="I36" s="56" t="str">
        <f>IF(COUNTIFS('LANÇAMENTOS DIÁRIOS'!$G$5:$G$500,"H",'LANÇAMENTOS DIÁRIOS'!$C$5:$C$500,$A36,'LANÇAMENTOS DIÁRIOS'!$O$5:$O$500,"&lt;=125199",'LANÇAMENTOS DIÁRIOS'!$P$5:$P$500,"&gt;=125100")&gt;0,"X","")</f>
      </c>
      <c r="J36" s="56" t="str">
        <f>IF(COUNTIFS('LANÇAMENTOS DIÁRIOS'!$G$5:$G$500,"H",'LANÇAMENTOS DIÁRIOS'!$C$5:$C$500,$A36,'LANÇAMENTOS DIÁRIOS'!$O$5:$O$500,"&lt;=125299",'LANÇAMENTOS DIÁRIOS'!$P$5:$P$500,"&gt;=125200")&gt;0,"X","")</f>
      </c>
      <c r="K36" s="56" t="str">
        <f>IF(COUNTIFS('LANÇAMENTOS DIÁRIOS'!$G$5:$G$500,"H",'LANÇAMENTOS DIÁRIOS'!$C$5:$C$500,$A36,'LANÇAMENTOS DIÁRIOS'!$O$5:$O$500,"&lt;=125399",'LANÇAMENTOS DIÁRIOS'!$P$5:$P$500,"&gt;=125300")&gt;0,"X","")</f>
      </c>
      <c r="L36" s="56" t="str">
        <f>IF(COUNTIFS('LANÇAMENTOS DIÁRIOS'!$G$5:$G$500,"H",'LANÇAMENTOS DIÁRIOS'!$C$5:$C$500,$A36,'LANÇAMENTOS DIÁRIOS'!$O$5:$O$500,"&lt;=125499",'LANÇAMENTOS DIÁRIOS'!$P$5:$P$500,"&gt;=125400")&gt;0,"X","")</f>
      </c>
      <c r="M36" s="56" t="str">
        <f>IF(COUNTIFS('LANÇAMENTOS DIÁRIOS'!$G$5:$G$500,"H",'LANÇAMENTOS DIÁRIOS'!$C$5:$C$500,$A36,'LANÇAMENTOS DIÁRIOS'!$O$5:$O$500,"&lt;=125599",'LANÇAMENTOS DIÁRIOS'!$P$5:$P$500,"&gt;=125500")&gt;0,"X","")</f>
      </c>
      <c r="N36" s="56" t="str">
        <f>IF(COUNTIFS('LANÇAMENTOS DIÁRIOS'!$G$5:$G$500,"H",'LANÇAMENTOS DIÁRIOS'!$C$5:$C$500,$A36,'LANÇAMENTOS DIÁRIOS'!$O$5:$O$500,"&lt;=125699",'LANÇAMENTOS DIÁRIOS'!$P$5:$P$500,"&gt;=125600")&gt;0,"X","")</f>
      </c>
      <c r="O36" s="56" t="str">
        <f>IF(COUNTIFS('LANÇAMENTOS DIÁRIOS'!$G$5:$G$500,"H",'LANÇAMENTOS DIÁRIOS'!$C$5:$C$500,$A36,'LANÇAMENTOS DIÁRIOS'!$O$5:$O$500,"&lt;=125799",'LANÇAMENTOS DIÁRIOS'!$P$5:$P$500,"&gt;=125700")&gt;0,"X","")</f>
      </c>
      <c r="P36" s="56" t="str">
        <f>IF(COUNTIFS('LANÇAMENTOS DIÁRIOS'!$G$5:$G$500,"H",'LANÇAMENTOS DIÁRIOS'!$C$5:$C$500,$A36,'LANÇAMENTOS DIÁRIOS'!$O$5:$O$500,"&lt;=125899",'LANÇAMENTOS DIÁRIOS'!$P$5:$P$500,"&gt;=125800")&gt;0,"X","")</f>
      </c>
      <c r="Q36" s="56" t="str">
        <f>IF(COUNTIFS('LANÇAMENTOS DIÁRIOS'!$G$5:$G$500,"H",'LANÇAMENTOS DIÁRIOS'!$C$5:$C$500,$A36,'LANÇAMENTOS DIÁRIOS'!$O$5:$O$500,"&lt;=125999",'LANÇAMENTOS DIÁRIOS'!$P$5:$P$500,"&gt;=125900")&gt;0,"X","")</f>
      </c>
      <c r="R36" s="56" t="str">
        <f>IF(COUNTIFS('LANÇAMENTOS DIÁRIOS'!$G$5:$G$500,"H",'LANÇAMENTOS DIÁRIOS'!$C$5:$C$500,$A36,'LANÇAMENTOS DIÁRIOS'!$O$5:$O$500,"&lt;=126099",'LANÇAMENTOS DIÁRIOS'!$P$5:$P$500,"&gt;=126000")&gt;0,"X","")</f>
      </c>
      <c r="S36" s="56" t="str">
        <f>IF(COUNTIFS('LANÇAMENTOS DIÁRIOS'!$G$5:$G$500,"H",'LANÇAMENTOS DIÁRIOS'!$C$5:$C$500,$A36,'LANÇAMENTOS DIÁRIOS'!$O$5:$O$500,"&lt;=126199",'LANÇAMENTOS DIÁRIOS'!$P$5:$P$500,"&gt;=126100")&gt;0,"X","")</f>
      </c>
      <c r="T36" s="56" t="str">
        <f>IF(COUNTIFS('LANÇAMENTOS DIÁRIOS'!$G$5:$G$500,"H",'LANÇAMENTOS DIÁRIOS'!$C$5:$C$500,$A36,'LANÇAMENTOS DIÁRIOS'!$O$5:$O$500,"&lt;=126299",'LANÇAMENTOS DIÁRIOS'!$P$5:$P$500,"&gt;=126200")&gt;0,"X","")</f>
      </c>
      <c r="U36" s="56" t="str">
        <f>IF(COUNTIFS('LANÇAMENTOS DIÁRIOS'!$G$5:$G$500,"H",'LANÇAMENTOS DIÁRIOS'!$C$5:$C$500,$A36,'LANÇAMENTOS DIÁRIOS'!$O$5:$O$500,"&lt;=126399",'LANÇAMENTOS DIÁRIOS'!$P$5:$P$500,"&gt;=126300")&gt;0,"X","")</f>
      </c>
      <c r="V36" s="56" t="str">
        <f>IF(COUNTIFS('LANÇAMENTOS DIÁRIOS'!$G$5:$G$500,"H",'LANÇAMENTOS DIÁRIOS'!$C$5:$C$500,$A36,'LANÇAMENTOS DIÁRIOS'!$O$5:$O$500,"&lt;=126499",'LANÇAMENTOS DIÁRIOS'!$P$5:$P$500,"&gt;=126400")&gt;0,"X","")</f>
      </c>
      <c r="W36" s="56" t="str">
        <f>IF(COUNTIFS('LANÇAMENTOS DIÁRIOS'!$G$5:$G$500,"H",'LANÇAMENTOS DIÁRIOS'!$C$5:$C$500,$A36,'LANÇAMENTOS DIÁRIOS'!$O$5:$O$500,"&lt;=126599",'LANÇAMENTOS DIÁRIOS'!$P$5:$P$500,"&gt;=126500")&gt;0,"X","")</f>
      </c>
      <c r="X36" s="56" t="str">
        <f>IF(COUNTIFS('LANÇAMENTOS DIÁRIOS'!$G$5:$G$500,"H",'LANÇAMENTOS DIÁRIOS'!$C$5:$C$500,$A36,'LANÇAMENTOS DIÁRIOS'!$O$5:$O$500,"&lt;=126699",'LANÇAMENTOS DIÁRIOS'!$P$5:$P$500,"&gt;=126600")&gt;0,"X","")</f>
      </c>
      <c r="Y36" s="56" t="str">
        <f>IF(COUNTIFS('LANÇAMENTOS DIÁRIOS'!$G$5:$G$500,"H",'LANÇAMENTOS DIÁRIOS'!$C$5:$C$500,$A36,'LANÇAMENTOS DIÁRIOS'!$O$5:$O$500,"&lt;=126799",'LANÇAMENTOS DIÁRIOS'!$P$5:$P$500,"&gt;=126700")&gt;0,"X","")</f>
      </c>
      <c r="Z36" s="56" t="str">
        <f>IF(COUNTIFS('LANÇAMENTOS DIÁRIOS'!$G$5:$G$500,"H",'LANÇAMENTOS DIÁRIOS'!$C$5:$C$500,$A36,'LANÇAMENTOS DIÁRIOS'!$O$5:$O$500,"&lt;=126899",'LANÇAMENTOS DIÁRIOS'!$P$5:$P$500,"&gt;=126800")&gt;0,"X","")</f>
      </c>
      <c r="AA36" s="56" t="str">
        <f>IF(COUNTIFS('LANÇAMENTOS DIÁRIOS'!$G$5:$G$500,"H",'LANÇAMENTOS DIÁRIOS'!$C$5:$C$500,$A36,'LANÇAMENTOS DIÁRIOS'!$O$5:$O$500,"&lt;=126999",'LANÇAMENTOS DIÁRIOS'!$P$5:$P$500,"&gt;=126900")&gt;0,"X","")</f>
      </c>
      <c r="AB36" s="56" t="str">
        <f>IF(COUNTIFS('LANÇAMENTOS DIÁRIOS'!$G$5:$G$500,"H",'LANÇAMENTOS DIÁRIOS'!$C$5:$C$500,$A36,'LANÇAMENTOS DIÁRIOS'!$O$5:$O$500,"&lt;=127099",'LANÇAMENTOS DIÁRIOS'!$P$5:$P$500,"&gt;=127000")&gt;0,"X","")</f>
      </c>
      <c r="AC36" s="56" t="str">
        <f>IF(COUNTIFS('LANÇAMENTOS DIÁRIOS'!$G$5:$G$500,"H",'LANÇAMENTOS DIÁRIOS'!$C$5:$C$500,$A36,'LANÇAMENTOS DIÁRIOS'!$O$5:$O$500,"&lt;=127199",'LANÇAMENTOS DIÁRIOS'!$P$5:$P$500,"&gt;=127100")&gt;0,"X","")</f>
      </c>
      <c r="AD36" s="56" t="str">
        <f>IF(COUNTIFS('LANÇAMENTOS DIÁRIOS'!$G$5:$G$500,"H",'LANÇAMENTOS DIÁRIOS'!$C$5:$C$500,$A36,'LANÇAMENTOS DIÁRIOS'!$O$5:$O$500,"&lt;=127299",'LANÇAMENTOS DIÁRIOS'!$P$5:$P$500,"&gt;=127200")&gt;0,"X","")</f>
      </c>
      <c r="AE36" s="56" t="str">
        <f>IF(COUNTIFS('LANÇAMENTOS DIÁRIOS'!$G$5:$G$500,"H",'LANÇAMENTOS DIÁRIOS'!$C$5:$C$500,$A36,'LANÇAMENTOS DIÁRIOS'!$O$5:$O$500,"&lt;=127399",'LANÇAMENTOS DIÁRIOS'!$P$5:$P$500,"&gt;=127300")&gt;0,"X","")</f>
      </c>
      <c r="AF36" s="56" t="str">
        <f>IF(COUNTIFS('LANÇAMENTOS DIÁRIOS'!$G$5:$G$500,"H",'LANÇAMENTOS DIÁRIOS'!$C$5:$C$500,$A36,'LANÇAMENTOS DIÁRIOS'!$O$5:$O$500,"&lt;=127499",'LANÇAMENTOS DIÁRIOS'!$P$5:$P$500,"&gt;=127400")&gt;0,"X","")</f>
      </c>
      <c r="AG36" s="56" t="str">
        <f>IF(COUNTIFS('LANÇAMENTOS DIÁRIOS'!$G$5:$G$500,"H",'LANÇAMENTOS DIÁRIOS'!$C$5:$C$500,$A36,'LANÇAMENTOS DIÁRIOS'!$O$5:$O$500,"&lt;=127599",'LANÇAMENTOS DIÁRIOS'!$P$5:$P$500,"&gt;=127500")&gt;0,"X","")</f>
      </c>
      <c r="AH36" s="56" t="str">
        <f>IF(COUNTIFS('LANÇAMENTOS DIÁRIOS'!$G$5:$G$500,"H",'LANÇAMENTOS DIÁRIOS'!$C$5:$C$500,$A36,'LANÇAMENTOS DIÁRIOS'!$O$5:$O$500,"&lt;=127699",'LANÇAMENTOS DIÁRIOS'!$P$5:$P$500,"&gt;=127600")&gt;0,"X","")</f>
      </c>
      <c r="AI36" s="56" t="str">
        <f>IF(COUNTIFS('LANÇAMENTOS DIÁRIOS'!$G$5:$G$500,"H",'LANÇAMENTOS DIÁRIOS'!$C$5:$C$500,$A36,'LANÇAMENTOS DIÁRIOS'!$O$5:$O$500,"&lt;=127799",'LANÇAMENTOS DIÁRIOS'!$P$5:$P$500,"&gt;=127700")&gt;0,"X","")</f>
      </c>
      <c r="AJ36" s="56" t="str">
        <f>IF(COUNTIFS('LANÇAMENTOS DIÁRIOS'!$G$5:$G$500,"H",'LANÇAMENTOS DIÁRIOS'!$C$5:$C$500,$A36,'LANÇAMENTOS DIÁRIOS'!$O$5:$O$500,"&lt;=127899",'LANÇAMENTOS DIÁRIOS'!$P$5:$P$500,"&gt;=127800")&gt;0,"X","")</f>
      </c>
      <c r="AK36" s="56" t="str">
        <f>IF(COUNTIFS('LANÇAMENTOS DIÁRIOS'!$G$5:$G$500,"H",'LANÇAMENTOS DIÁRIOS'!$C$5:$C$500,$A36,'LANÇAMENTOS DIÁRIOS'!$O$5:$O$500,"&lt;=127999",'LANÇAMENTOS DIÁRIOS'!$P$5:$P$500,"&gt;=127900")&gt;0,"X","")</f>
      </c>
      <c r="AL36" s="56" t="str">
        <f>IF(COUNTIFS('LANÇAMENTOS DIÁRIOS'!$G$5:$G$500,"H",'LANÇAMENTOS DIÁRIOS'!$C$5:$C$500,$A36,'LANÇAMENTOS DIÁRIOS'!$O$5:$O$500,"&lt;=128099",'LANÇAMENTOS DIÁRIOS'!$P$5:$P$500,"&gt;=128000")&gt;0,"X","")</f>
      </c>
      <c r="AM36" s="56" t="str">
        <f>IF(COUNTIFS('LANÇAMENTOS DIÁRIOS'!$G$5:$G$500,"H",'LANÇAMENTOS DIÁRIOS'!$C$5:$C$500,$A36,'LANÇAMENTOS DIÁRIOS'!$O$5:$O$500,"&lt;=128199",'LANÇAMENTOS DIÁRIOS'!$P$5:$P$500,"&gt;=128100")&gt;0,"X","")</f>
      </c>
      <c r="AN36" s="56" t="str">
        <f>IF(COUNTIFS('LANÇAMENTOS DIÁRIOS'!$G$5:$G$500,"H",'LANÇAMENTOS DIÁRIOS'!$C$5:$C$500,$A36,'LANÇAMENTOS DIÁRIOS'!$O$5:$O$500,"&lt;=128299",'LANÇAMENTOS DIÁRIOS'!$P$5:$P$500,"&gt;=128200")&gt;0,"X","")</f>
      </c>
      <c r="AO36" s="56" t="str">
        <f>IF(COUNTIFS('LANÇAMENTOS DIÁRIOS'!$G$5:$G$500,"H",'LANÇAMENTOS DIÁRIOS'!$C$5:$C$500,$A36,'LANÇAMENTOS DIÁRIOS'!$O$5:$O$500,"&lt;=128399",'LANÇAMENTOS DIÁRIOS'!$P$5:$P$500,"&gt;=128300")&gt;0,"X","")</f>
      </c>
      <c r="AP36" s="56" t="str">
        <f>IF(COUNTIFS('LANÇAMENTOS DIÁRIOS'!$G$5:$G$500,"H",'LANÇAMENTOS DIÁRIOS'!$C$5:$C$500,$A36,'LANÇAMENTOS DIÁRIOS'!$O$5:$O$500,"&lt;=128499",'LANÇAMENTOS DIÁRIOS'!$P$5:$P$500,"&gt;=128400")&gt;0,"X","")</f>
      </c>
      <c r="AQ36" s="56" t="str">
        <f>IF(COUNTIFS('LANÇAMENTOS DIÁRIOS'!$G$5:$G$500,"H",'LANÇAMENTOS DIÁRIOS'!$C$5:$C$500,$A36,'LANÇAMENTOS DIÁRIOS'!$O$5:$O$500,"&lt;=128599",'LANÇAMENTOS DIÁRIOS'!$P$5:$P$500,"&gt;=128500")&gt;0,"X","")</f>
      </c>
      <c r="AR36" s="56" t="str">
        <f>IF(COUNTIFS('LANÇAMENTOS DIÁRIOS'!$G$5:$G$500,"H",'LANÇAMENTOS DIÁRIOS'!$C$5:$C$500,$A36,'LANÇAMENTOS DIÁRIOS'!$O$5:$O$500,"&lt;=128699",'LANÇAMENTOS DIÁRIOS'!$P$5:$P$500,"&gt;=128600")&gt;0,"X","")</f>
      </c>
      <c r="AS36" s="56" t="str">
        <f>IF(COUNTIFS('LANÇAMENTOS DIÁRIOS'!$G$5:$G$500,"H",'LANÇAMENTOS DIÁRIOS'!$C$5:$C$500,$A36,'LANÇAMENTOS DIÁRIOS'!$O$5:$O$500,"&lt;=128799",'LANÇAMENTOS DIÁRIOS'!$P$5:$P$500,"&gt;=128700")&gt;0,"X","")</f>
      </c>
      <c r="AT36" s="56" t="str">
        <f>IF(COUNTIFS('LANÇAMENTOS DIÁRIOS'!$G$5:$G$500,"H",'LANÇAMENTOS DIÁRIOS'!$C$5:$C$500,$A36,'LANÇAMENTOS DIÁRIOS'!$O$5:$O$500,"&lt;=128899",'LANÇAMENTOS DIÁRIOS'!$P$5:$P$500,"&gt;=128800")&gt;0,"X","")</f>
      </c>
      <c r="AU36" s="56" t="str">
        <f>IF(COUNTIFS('LANÇAMENTOS DIÁRIOS'!$G$5:$G$500,"H",'LANÇAMENTOS DIÁRIOS'!$C$5:$C$500,$A36,'LANÇAMENTOS DIÁRIOS'!$O$5:$O$500,"&lt;=128999",'LANÇAMENTOS DIÁRIOS'!$P$5:$P$500,"&gt;=128900")&gt;0,"X","")</f>
      </c>
      <c r="AV36" s="56" t="str">
        <f>IF(COUNTIFS('LANÇAMENTOS DIÁRIOS'!$G$5:$G$500,"H",'LANÇAMENTOS DIÁRIOS'!$C$5:$C$500,$A36,'LANÇAMENTOS DIÁRIOS'!$O$5:$O$500,"&lt;=129099",'LANÇAMENTOS DIÁRIOS'!$P$5:$P$500,"&gt;=129000")&gt;0,"X","")</f>
      </c>
      <c r="AW36" s="56" t="str">
        <f>IF(COUNTIFS('LANÇAMENTOS DIÁRIOS'!$G$5:$G$500,"H",'LANÇAMENTOS DIÁRIOS'!$C$5:$C$500,$A36,'LANÇAMENTOS DIÁRIOS'!$O$5:$O$500,"&lt;=129199",'LANÇAMENTOS DIÁRIOS'!$P$5:$P$500,"&gt;=129100")&gt;0,"X","")</f>
      </c>
      <c r="AX36" s="56" t="str">
        <f>IF(COUNTIFS('LANÇAMENTOS DIÁRIOS'!$G$5:$G$500,"H",'LANÇAMENTOS DIÁRIOS'!$C$5:$C$500,$A36,'LANÇAMENTOS DIÁRIOS'!$O$5:$O$500,"&lt;=129299",'LANÇAMENTOS DIÁRIOS'!$P$5:$P$500,"&gt;=129200")&gt;0,"X","")</f>
      </c>
      <c r="AY36" s="56" t="str">
        <f>IF(COUNTIFS('LANÇAMENTOS DIÁRIOS'!$G$5:$G$500,"H",'LANÇAMENTOS DIÁRIOS'!$C$5:$C$500,$A36,'LANÇAMENTOS DIÁRIOS'!$O$5:$O$500,"&lt;=129399",'LANÇAMENTOS DIÁRIOS'!$P$5:$P$500,"&gt;=129300")&gt;0,"X","")</f>
      </c>
      <c r="AZ36" s="56" t="str">
        <f>IF(COUNTIFS('LANÇAMENTOS DIÁRIOS'!$G$5:$G$500,"H",'LANÇAMENTOS DIÁRIOS'!$C$5:$C$500,$A36,'LANÇAMENTOS DIÁRIOS'!$O$5:$O$500,"&lt;=129400",'LANÇAMENTOS DIÁRIOS'!$P$5:$P$500,"&gt;=129400")&gt;0,"X","")</f>
      </c>
    </row>
    <row r="37" ht="19" customHeight="1">
      <c r="A37" s="68" t="str">
        <v>Corte em rocha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</row>
    <row r="38">
      <c r="A38" s="51" t="str">
        <v>Escavação de material de 3ª categoria a fogo-S/ Transporte</v>
      </c>
      <c r="B38" s="56" t="str">
        <f>IF(COUNTIFS('LANÇAMENTOS DIÁRIOS'!$G$5:$G$500,"H",'LANÇAMENTOS DIÁRIOS'!$C$5:$C$500,$A38,'LANÇAMENTOS DIÁRIOS'!$O$5:$O$500,"&lt;=124499",'LANÇAMENTOS DIÁRIOS'!$P$5:$P$500,"&gt;=124400")&gt;0,"X","")</f>
      </c>
      <c r="C38" s="56" t="str">
        <f>IF(COUNTIFS('LANÇAMENTOS DIÁRIOS'!$G$5:$G$500,"H",'LANÇAMENTOS DIÁRIOS'!$C$5:$C$500,$A38,'LANÇAMENTOS DIÁRIOS'!$O$5:$O$500,"&lt;=124599",'LANÇAMENTOS DIÁRIOS'!$P$5:$P$500,"&gt;=124500")&gt;0,"X","")</f>
      </c>
      <c r="D38" s="56" t="str">
        <f>IF(COUNTIFS('LANÇAMENTOS DIÁRIOS'!$G$5:$G$500,"H",'LANÇAMENTOS DIÁRIOS'!$C$5:$C$500,$A38,'LANÇAMENTOS DIÁRIOS'!$O$5:$O$500,"&lt;=124699",'LANÇAMENTOS DIÁRIOS'!$P$5:$P$500,"&gt;=124600")&gt;0,"X","")</f>
      </c>
      <c r="E38" s="56" t="str">
        <f>IF(COUNTIFS('LANÇAMENTOS DIÁRIOS'!$G$5:$G$500,"H",'LANÇAMENTOS DIÁRIOS'!$C$5:$C$500,$A38,'LANÇAMENTOS DIÁRIOS'!$O$5:$O$500,"&lt;=124799",'LANÇAMENTOS DIÁRIOS'!$P$5:$P$500,"&gt;=124700")&gt;0,"X","")</f>
      </c>
      <c r="F38" s="56" t="str">
        <f>IF(COUNTIFS('LANÇAMENTOS DIÁRIOS'!$G$5:$G$500,"H",'LANÇAMENTOS DIÁRIOS'!$C$5:$C$500,$A38,'LANÇAMENTOS DIÁRIOS'!$O$5:$O$500,"&lt;=124899",'LANÇAMENTOS DIÁRIOS'!$P$5:$P$500,"&gt;=124800")&gt;0,"X","")</f>
      </c>
      <c r="G38" s="56" t="str">
        <f>IF(COUNTIFS('LANÇAMENTOS DIÁRIOS'!$G$5:$G$500,"H",'LANÇAMENTOS DIÁRIOS'!$C$5:$C$500,$A38,'LANÇAMENTOS DIÁRIOS'!$O$5:$O$500,"&lt;=124999",'LANÇAMENTOS DIÁRIOS'!$P$5:$P$500,"&gt;=124900")&gt;0,"X","")</f>
      </c>
      <c r="H38" s="56" t="str">
        <f>IF(COUNTIFS('LANÇAMENTOS DIÁRIOS'!$G$5:$G$500,"H",'LANÇAMENTOS DIÁRIOS'!$C$5:$C$500,$A38,'LANÇAMENTOS DIÁRIOS'!$O$5:$O$500,"&lt;=125099",'LANÇAMENTOS DIÁRIOS'!$P$5:$P$500,"&gt;=125000")&gt;0,"X","")</f>
      </c>
      <c r="I38" s="56" t="str">
        <f>IF(COUNTIFS('LANÇAMENTOS DIÁRIOS'!$G$5:$G$500,"H",'LANÇAMENTOS DIÁRIOS'!$C$5:$C$500,$A38,'LANÇAMENTOS DIÁRIOS'!$O$5:$O$500,"&lt;=125199",'LANÇAMENTOS DIÁRIOS'!$P$5:$P$500,"&gt;=125100")&gt;0,"X","")</f>
      </c>
      <c r="J38" s="56" t="str">
        <f>IF(COUNTIFS('LANÇAMENTOS DIÁRIOS'!$G$5:$G$500,"H",'LANÇAMENTOS DIÁRIOS'!$C$5:$C$500,$A38,'LANÇAMENTOS DIÁRIOS'!$O$5:$O$500,"&lt;=125299",'LANÇAMENTOS DIÁRIOS'!$P$5:$P$500,"&gt;=125200")&gt;0,"X","")</f>
      </c>
      <c r="K38" s="56" t="str">
        <f>IF(COUNTIFS('LANÇAMENTOS DIÁRIOS'!$G$5:$G$500,"H",'LANÇAMENTOS DIÁRIOS'!$C$5:$C$500,$A38,'LANÇAMENTOS DIÁRIOS'!$O$5:$O$500,"&lt;=125399",'LANÇAMENTOS DIÁRIOS'!$P$5:$P$500,"&gt;=125300")&gt;0,"X","")</f>
      </c>
      <c r="L38" s="56" t="str">
        <f>IF(COUNTIFS('LANÇAMENTOS DIÁRIOS'!$G$5:$G$500,"H",'LANÇAMENTOS DIÁRIOS'!$C$5:$C$500,$A38,'LANÇAMENTOS DIÁRIOS'!$O$5:$O$500,"&lt;=125499",'LANÇAMENTOS DIÁRIOS'!$P$5:$P$500,"&gt;=125400")&gt;0,"X","")</f>
      </c>
      <c r="M38" s="56" t="str">
        <f>IF(COUNTIFS('LANÇAMENTOS DIÁRIOS'!$G$5:$G$500,"H",'LANÇAMENTOS DIÁRIOS'!$C$5:$C$500,$A38,'LANÇAMENTOS DIÁRIOS'!$O$5:$O$500,"&lt;=125599",'LANÇAMENTOS DIÁRIOS'!$P$5:$P$500,"&gt;=125500")&gt;0,"X","")</f>
      </c>
      <c r="N38" s="56" t="str">
        <f>IF(COUNTIFS('LANÇAMENTOS DIÁRIOS'!$G$5:$G$500,"H",'LANÇAMENTOS DIÁRIOS'!$C$5:$C$500,$A38,'LANÇAMENTOS DIÁRIOS'!$O$5:$O$500,"&lt;=125699",'LANÇAMENTOS DIÁRIOS'!$P$5:$P$500,"&gt;=125600")&gt;0,"X","")</f>
      </c>
      <c r="O38" s="56" t="str">
        <f>IF(COUNTIFS('LANÇAMENTOS DIÁRIOS'!$G$5:$G$500,"H",'LANÇAMENTOS DIÁRIOS'!$C$5:$C$500,$A38,'LANÇAMENTOS DIÁRIOS'!$O$5:$O$500,"&lt;=125799",'LANÇAMENTOS DIÁRIOS'!$P$5:$P$500,"&gt;=125700")&gt;0,"X","")</f>
      </c>
      <c r="P38" s="56" t="str">
        <f>IF(COUNTIFS('LANÇAMENTOS DIÁRIOS'!$G$5:$G$500,"H",'LANÇAMENTOS DIÁRIOS'!$C$5:$C$500,$A38,'LANÇAMENTOS DIÁRIOS'!$O$5:$O$500,"&lt;=125899",'LANÇAMENTOS DIÁRIOS'!$P$5:$P$500,"&gt;=125800")&gt;0,"X","")</f>
      </c>
      <c r="Q38" s="56" t="str">
        <f>IF(COUNTIFS('LANÇAMENTOS DIÁRIOS'!$G$5:$G$500,"H",'LANÇAMENTOS DIÁRIOS'!$C$5:$C$500,$A38,'LANÇAMENTOS DIÁRIOS'!$O$5:$O$500,"&lt;=125999",'LANÇAMENTOS DIÁRIOS'!$P$5:$P$500,"&gt;=125900")&gt;0,"X","")</f>
      </c>
      <c r="R38" s="56" t="str">
        <f>IF(COUNTIFS('LANÇAMENTOS DIÁRIOS'!$G$5:$G$500,"H",'LANÇAMENTOS DIÁRIOS'!$C$5:$C$500,$A38,'LANÇAMENTOS DIÁRIOS'!$O$5:$O$500,"&lt;=126099",'LANÇAMENTOS DIÁRIOS'!$P$5:$P$500,"&gt;=126000")&gt;0,"X","")</f>
      </c>
      <c r="S38" s="56" t="str">
        <f>IF(COUNTIFS('LANÇAMENTOS DIÁRIOS'!$G$5:$G$500,"H",'LANÇAMENTOS DIÁRIOS'!$C$5:$C$500,$A38,'LANÇAMENTOS DIÁRIOS'!$O$5:$O$500,"&lt;=126199",'LANÇAMENTOS DIÁRIOS'!$P$5:$P$500,"&gt;=126100")&gt;0,"X","")</f>
      </c>
      <c r="T38" s="56" t="str">
        <f>IF(COUNTIFS('LANÇAMENTOS DIÁRIOS'!$G$5:$G$500,"H",'LANÇAMENTOS DIÁRIOS'!$C$5:$C$500,$A38,'LANÇAMENTOS DIÁRIOS'!$O$5:$O$500,"&lt;=126299",'LANÇAMENTOS DIÁRIOS'!$P$5:$P$500,"&gt;=126200")&gt;0,"X","")</f>
      </c>
      <c r="U38" s="56" t="str">
        <f>IF(COUNTIFS('LANÇAMENTOS DIÁRIOS'!$G$5:$G$500,"H",'LANÇAMENTOS DIÁRIOS'!$C$5:$C$500,$A38,'LANÇAMENTOS DIÁRIOS'!$O$5:$O$500,"&lt;=126399",'LANÇAMENTOS DIÁRIOS'!$P$5:$P$500,"&gt;=126300")&gt;0,"X","")</f>
      </c>
      <c r="V38" s="56" t="str">
        <f>IF(COUNTIFS('LANÇAMENTOS DIÁRIOS'!$G$5:$G$500,"H",'LANÇAMENTOS DIÁRIOS'!$C$5:$C$500,$A38,'LANÇAMENTOS DIÁRIOS'!$O$5:$O$500,"&lt;=126499",'LANÇAMENTOS DIÁRIOS'!$P$5:$P$500,"&gt;=126400")&gt;0,"X","")</f>
      </c>
      <c r="W38" s="56" t="str">
        <f>IF(COUNTIFS('LANÇAMENTOS DIÁRIOS'!$G$5:$G$500,"H",'LANÇAMENTOS DIÁRIOS'!$C$5:$C$500,$A38,'LANÇAMENTOS DIÁRIOS'!$O$5:$O$500,"&lt;=126599",'LANÇAMENTOS DIÁRIOS'!$P$5:$P$500,"&gt;=126500")&gt;0,"X","")</f>
      </c>
      <c r="X38" s="56" t="str">
        <f>IF(COUNTIFS('LANÇAMENTOS DIÁRIOS'!$G$5:$G$500,"H",'LANÇAMENTOS DIÁRIOS'!$C$5:$C$500,$A38,'LANÇAMENTOS DIÁRIOS'!$O$5:$O$500,"&lt;=126699",'LANÇAMENTOS DIÁRIOS'!$P$5:$P$500,"&gt;=126600")&gt;0,"X","")</f>
      </c>
      <c r="Y38" s="56" t="str">
        <f>IF(COUNTIFS('LANÇAMENTOS DIÁRIOS'!$G$5:$G$500,"H",'LANÇAMENTOS DIÁRIOS'!$C$5:$C$500,$A38,'LANÇAMENTOS DIÁRIOS'!$O$5:$O$500,"&lt;=126799",'LANÇAMENTOS DIÁRIOS'!$P$5:$P$500,"&gt;=126700")&gt;0,"X","")</f>
      </c>
      <c r="Z38" s="56" t="str">
        <f>IF(COUNTIFS('LANÇAMENTOS DIÁRIOS'!$G$5:$G$500,"H",'LANÇAMENTOS DIÁRIOS'!$C$5:$C$500,$A38,'LANÇAMENTOS DIÁRIOS'!$O$5:$O$500,"&lt;=126899",'LANÇAMENTOS DIÁRIOS'!$P$5:$P$500,"&gt;=126800")&gt;0,"X","")</f>
      </c>
      <c r="AA38" s="56" t="str">
        <f>IF(COUNTIFS('LANÇAMENTOS DIÁRIOS'!$G$5:$G$500,"H",'LANÇAMENTOS DIÁRIOS'!$C$5:$C$500,$A38,'LANÇAMENTOS DIÁRIOS'!$O$5:$O$500,"&lt;=126999",'LANÇAMENTOS DIÁRIOS'!$P$5:$P$500,"&gt;=126900")&gt;0,"X","")</f>
      </c>
      <c r="AB38" s="56" t="str">
        <f>IF(COUNTIFS('LANÇAMENTOS DIÁRIOS'!$G$5:$G$500,"H",'LANÇAMENTOS DIÁRIOS'!$C$5:$C$500,$A38,'LANÇAMENTOS DIÁRIOS'!$O$5:$O$500,"&lt;=127099",'LANÇAMENTOS DIÁRIOS'!$P$5:$P$500,"&gt;=127000")&gt;0,"X","")</f>
      </c>
      <c r="AC38" s="56" t="str">
        <f>IF(COUNTIFS('LANÇAMENTOS DIÁRIOS'!$G$5:$G$500,"H",'LANÇAMENTOS DIÁRIOS'!$C$5:$C$500,$A38,'LANÇAMENTOS DIÁRIOS'!$O$5:$O$500,"&lt;=127199",'LANÇAMENTOS DIÁRIOS'!$P$5:$P$500,"&gt;=127100")&gt;0,"X","")</f>
      </c>
      <c r="AD38" s="56" t="str">
        <f>IF(COUNTIFS('LANÇAMENTOS DIÁRIOS'!$G$5:$G$500,"H",'LANÇAMENTOS DIÁRIOS'!$C$5:$C$500,$A38,'LANÇAMENTOS DIÁRIOS'!$O$5:$O$500,"&lt;=127299",'LANÇAMENTOS DIÁRIOS'!$P$5:$P$500,"&gt;=127200")&gt;0,"X","")</f>
      </c>
      <c r="AE38" s="56" t="str">
        <f>IF(COUNTIFS('LANÇAMENTOS DIÁRIOS'!$G$5:$G$500,"H",'LANÇAMENTOS DIÁRIOS'!$C$5:$C$500,$A38,'LANÇAMENTOS DIÁRIOS'!$O$5:$O$500,"&lt;=127399",'LANÇAMENTOS DIÁRIOS'!$P$5:$P$500,"&gt;=127300")&gt;0,"X","")</f>
      </c>
      <c r="AF38" s="56" t="str">
        <f>IF(COUNTIFS('LANÇAMENTOS DIÁRIOS'!$G$5:$G$500,"H",'LANÇAMENTOS DIÁRIOS'!$C$5:$C$500,$A38,'LANÇAMENTOS DIÁRIOS'!$O$5:$O$500,"&lt;=127499",'LANÇAMENTOS DIÁRIOS'!$P$5:$P$500,"&gt;=127400")&gt;0,"X","")</f>
      </c>
      <c r="AG38" s="56" t="str">
        <f>IF(COUNTIFS('LANÇAMENTOS DIÁRIOS'!$G$5:$G$500,"H",'LANÇAMENTOS DIÁRIOS'!$C$5:$C$500,$A38,'LANÇAMENTOS DIÁRIOS'!$O$5:$O$500,"&lt;=127599",'LANÇAMENTOS DIÁRIOS'!$P$5:$P$500,"&gt;=127500")&gt;0,"X","")</f>
      </c>
      <c r="AH38" s="56" t="str">
        <f>IF(COUNTIFS('LANÇAMENTOS DIÁRIOS'!$G$5:$G$500,"H",'LANÇAMENTOS DIÁRIOS'!$C$5:$C$500,$A38,'LANÇAMENTOS DIÁRIOS'!$O$5:$O$500,"&lt;=127699",'LANÇAMENTOS DIÁRIOS'!$P$5:$P$500,"&gt;=127600")&gt;0,"X","")</f>
      </c>
      <c r="AI38" s="56" t="str">
        <f>IF(COUNTIFS('LANÇAMENTOS DIÁRIOS'!$G$5:$G$500,"H",'LANÇAMENTOS DIÁRIOS'!$C$5:$C$500,$A38,'LANÇAMENTOS DIÁRIOS'!$O$5:$O$500,"&lt;=127799",'LANÇAMENTOS DIÁRIOS'!$P$5:$P$500,"&gt;=127700")&gt;0,"X","")</f>
      </c>
      <c r="AJ38" s="56" t="str">
        <f>IF(COUNTIFS('LANÇAMENTOS DIÁRIOS'!$G$5:$G$500,"H",'LANÇAMENTOS DIÁRIOS'!$C$5:$C$500,$A38,'LANÇAMENTOS DIÁRIOS'!$O$5:$O$500,"&lt;=127899",'LANÇAMENTOS DIÁRIOS'!$P$5:$P$500,"&gt;=127800")&gt;0,"X","")</f>
      </c>
      <c r="AK38" s="56" t="str">
        <f>IF(COUNTIFS('LANÇAMENTOS DIÁRIOS'!$G$5:$G$500,"H",'LANÇAMENTOS DIÁRIOS'!$C$5:$C$500,$A38,'LANÇAMENTOS DIÁRIOS'!$O$5:$O$500,"&lt;=127999",'LANÇAMENTOS DIÁRIOS'!$P$5:$P$500,"&gt;=127900")&gt;0,"X","")</f>
      </c>
      <c r="AL38" s="56" t="str">
        <f>IF(COUNTIFS('LANÇAMENTOS DIÁRIOS'!$G$5:$G$500,"H",'LANÇAMENTOS DIÁRIOS'!$C$5:$C$500,$A38,'LANÇAMENTOS DIÁRIOS'!$O$5:$O$500,"&lt;=128099",'LANÇAMENTOS DIÁRIOS'!$P$5:$P$500,"&gt;=128000")&gt;0,"X","")</f>
      </c>
      <c r="AM38" s="56" t="str">
        <f>IF(COUNTIFS('LANÇAMENTOS DIÁRIOS'!$G$5:$G$500,"H",'LANÇAMENTOS DIÁRIOS'!$C$5:$C$500,$A38,'LANÇAMENTOS DIÁRIOS'!$O$5:$O$500,"&lt;=128199",'LANÇAMENTOS DIÁRIOS'!$P$5:$P$500,"&gt;=128100")&gt;0,"X","")</f>
      </c>
      <c r="AN38" s="56" t="str">
        <f>IF(COUNTIFS('LANÇAMENTOS DIÁRIOS'!$G$5:$G$500,"H",'LANÇAMENTOS DIÁRIOS'!$C$5:$C$500,$A38,'LANÇAMENTOS DIÁRIOS'!$O$5:$O$500,"&lt;=128299",'LANÇAMENTOS DIÁRIOS'!$P$5:$P$500,"&gt;=128200")&gt;0,"X","")</f>
      </c>
      <c r="AO38" s="56" t="str">
        <f>IF(COUNTIFS('LANÇAMENTOS DIÁRIOS'!$G$5:$G$500,"H",'LANÇAMENTOS DIÁRIOS'!$C$5:$C$500,$A38,'LANÇAMENTOS DIÁRIOS'!$O$5:$O$500,"&lt;=128399",'LANÇAMENTOS DIÁRIOS'!$P$5:$P$500,"&gt;=128300")&gt;0,"X","")</f>
      </c>
      <c r="AP38" s="56" t="str">
        <f>IF(COUNTIFS('LANÇAMENTOS DIÁRIOS'!$G$5:$G$500,"H",'LANÇAMENTOS DIÁRIOS'!$C$5:$C$500,$A38,'LANÇAMENTOS DIÁRIOS'!$O$5:$O$500,"&lt;=128499",'LANÇAMENTOS DIÁRIOS'!$P$5:$P$500,"&gt;=128400")&gt;0,"X","")</f>
      </c>
      <c r="AQ38" s="56" t="str">
        <f>IF(COUNTIFS('LANÇAMENTOS DIÁRIOS'!$G$5:$G$500,"H",'LANÇAMENTOS DIÁRIOS'!$C$5:$C$500,$A38,'LANÇAMENTOS DIÁRIOS'!$O$5:$O$500,"&lt;=128599",'LANÇAMENTOS DIÁRIOS'!$P$5:$P$500,"&gt;=128500")&gt;0,"X","")</f>
      </c>
      <c r="AR38" s="56" t="str">
        <f>IF(COUNTIFS('LANÇAMENTOS DIÁRIOS'!$G$5:$G$500,"H",'LANÇAMENTOS DIÁRIOS'!$C$5:$C$500,$A38,'LANÇAMENTOS DIÁRIOS'!$O$5:$O$500,"&lt;=128699",'LANÇAMENTOS DIÁRIOS'!$P$5:$P$500,"&gt;=128600")&gt;0,"X","")</f>
      </c>
      <c r="AS38" s="56" t="str">
        <f>IF(COUNTIFS('LANÇAMENTOS DIÁRIOS'!$G$5:$G$500,"H",'LANÇAMENTOS DIÁRIOS'!$C$5:$C$500,$A38,'LANÇAMENTOS DIÁRIOS'!$O$5:$O$500,"&lt;=128799",'LANÇAMENTOS DIÁRIOS'!$P$5:$P$500,"&gt;=128700")&gt;0,"X","")</f>
      </c>
      <c r="AT38" s="56" t="str">
        <f>IF(COUNTIFS('LANÇAMENTOS DIÁRIOS'!$G$5:$G$500,"H",'LANÇAMENTOS DIÁRIOS'!$C$5:$C$500,$A38,'LANÇAMENTOS DIÁRIOS'!$O$5:$O$500,"&lt;=128899",'LANÇAMENTOS DIÁRIOS'!$P$5:$P$500,"&gt;=128800")&gt;0,"X","")</f>
      </c>
      <c r="AU38" s="56" t="str">
        <f>IF(COUNTIFS('LANÇAMENTOS DIÁRIOS'!$G$5:$G$500,"H",'LANÇAMENTOS DIÁRIOS'!$C$5:$C$500,$A38,'LANÇAMENTOS DIÁRIOS'!$O$5:$O$500,"&lt;=128999",'LANÇAMENTOS DIÁRIOS'!$P$5:$P$500,"&gt;=128900")&gt;0,"X","")</f>
      </c>
      <c r="AV38" s="56" t="str">
        <f>IF(COUNTIFS('LANÇAMENTOS DIÁRIOS'!$G$5:$G$500,"H",'LANÇAMENTOS DIÁRIOS'!$C$5:$C$500,$A38,'LANÇAMENTOS DIÁRIOS'!$O$5:$O$500,"&lt;=129099",'LANÇAMENTOS DIÁRIOS'!$P$5:$P$500,"&gt;=129000")&gt;0,"X","")</f>
      </c>
      <c r="AW38" s="56" t="str">
        <f>IF(COUNTIFS('LANÇAMENTOS DIÁRIOS'!$G$5:$G$500,"H",'LANÇAMENTOS DIÁRIOS'!$C$5:$C$500,$A38,'LANÇAMENTOS DIÁRIOS'!$O$5:$O$500,"&lt;=129199",'LANÇAMENTOS DIÁRIOS'!$P$5:$P$500,"&gt;=129100")&gt;0,"X","")</f>
      </c>
      <c r="AX38" s="56" t="str">
        <f>IF(COUNTIFS('LANÇAMENTOS DIÁRIOS'!$G$5:$G$500,"H",'LANÇAMENTOS DIÁRIOS'!$C$5:$C$500,$A38,'LANÇAMENTOS DIÁRIOS'!$O$5:$O$500,"&lt;=129299",'LANÇAMENTOS DIÁRIOS'!$P$5:$P$500,"&gt;=129200")&gt;0,"X","")</f>
      </c>
      <c r="AY38" s="56" t="str">
        <f>IF(COUNTIFS('LANÇAMENTOS DIÁRIOS'!$G$5:$G$500,"H",'LANÇAMENTOS DIÁRIOS'!$C$5:$C$500,$A38,'LANÇAMENTOS DIÁRIOS'!$O$5:$O$500,"&lt;=129399",'LANÇAMENTOS DIÁRIOS'!$P$5:$P$500,"&gt;=129300")&gt;0,"X","")</f>
      </c>
      <c r="AZ38" s="56" t="str">
        <f>IF(COUNTIFS('LANÇAMENTOS DIÁRIOS'!$G$5:$G$500,"H",'LANÇAMENTOS DIÁRIOS'!$C$5:$C$500,$A38,'LANÇAMENTOS DIÁRIOS'!$O$5:$O$500,"&lt;=129400",'LANÇAMENTOS DIÁRIOS'!$P$5:$P$500,"&gt;=129400")&gt;0,"X","")</f>
      </c>
    </row>
    <row r="39">
      <c r="A39" s="51" t="str">
        <v>Escavação e carga de material de 3ª categoria a, com a utilização de equipamento hidráulico (picão) - Sem Transporte</v>
      </c>
      <c r="B39" s="56" t="str">
        <f>IF(COUNTIFS('LANÇAMENTOS DIÁRIOS'!$G$5:$G$500,"H",'LANÇAMENTOS DIÁRIOS'!$C$5:$C$500,$A39,'LANÇAMENTOS DIÁRIOS'!$O$5:$O$500,"&lt;=124499",'LANÇAMENTOS DIÁRIOS'!$P$5:$P$500,"&gt;=124400")&gt;0,"X","")</f>
      </c>
      <c r="C39" s="56" t="str">
        <f>IF(COUNTIFS('LANÇAMENTOS DIÁRIOS'!$G$5:$G$500,"H",'LANÇAMENTOS DIÁRIOS'!$C$5:$C$500,$A39,'LANÇAMENTOS DIÁRIOS'!$O$5:$O$500,"&lt;=124599",'LANÇAMENTOS DIÁRIOS'!$P$5:$P$500,"&gt;=124500")&gt;0,"X","")</f>
      </c>
      <c r="D39" s="56" t="str">
        <f>IF(COUNTIFS('LANÇAMENTOS DIÁRIOS'!$G$5:$G$500,"H",'LANÇAMENTOS DIÁRIOS'!$C$5:$C$500,$A39,'LANÇAMENTOS DIÁRIOS'!$O$5:$O$500,"&lt;=124699",'LANÇAMENTOS DIÁRIOS'!$P$5:$P$500,"&gt;=124600")&gt;0,"X","")</f>
      </c>
      <c r="E39" s="56" t="str">
        <f>IF(COUNTIFS('LANÇAMENTOS DIÁRIOS'!$G$5:$G$500,"H",'LANÇAMENTOS DIÁRIOS'!$C$5:$C$500,$A39,'LANÇAMENTOS DIÁRIOS'!$O$5:$O$500,"&lt;=124799",'LANÇAMENTOS DIÁRIOS'!$P$5:$P$500,"&gt;=124700")&gt;0,"X","")</f>
      </c>
      <c r="F39" s="56" t="str">
        <f>IF(COUNTIFS('LANÇAMENTOS DIÁRIOS'!$G$5:$G$500,"H",'LANÇAMENTOS DIÁRIOS'!$C$5:$C$500,$A39,'LANÇAMENTOS DIÁRIOS'!$O$5:$O$500,"&lt;=124899",'LANÇAMENTOS DIÁRIOS'!$P$5:$P$500,"&gt;=124800")&gt;0,"X","")</f>
      </c>
      <c r="G39" s="56" t="str">
        <f>IF(COUNTIFS('LANÇAMENTOS DIÁRIOS'!$G$5:$G$500,"H",'LANÇAMENTOS DIÁRIOS'!$C$5:$C$500,$A39,'LANÇAMENTOS DIÁRIOS'!$O$5:$O$500,"&lt;=124999",'LANÇAMENTOS DIÁRIOS'!$P$5:$P$500,"&gt;=124900")&gt;0,"X","")</f>
      </c>
      <c r="H39" s="56" t="str">
        <f>IF(COUNTIFS('LANÇAMENTOS DIÁRIOS'!$G$5:$G$500,"H",'LANÇAMENTOS DIÁRIOS'!$C$5:$C$500,$A39,'LANÇAMENTOS DIÁRIOS'!$O$5:$O$500,"&lt;=125099",'LANÇAMENTOS DIÁRIOS'!$P$5:$P$500,"&gt;=125000")&gt;0,"X","")</f>
      </c>
      <c r="I39" s="56" t="str">
        <f>IF(COUNTIFS('LANÇAMENTOS DIÁRIOS'!$G$5:$G$500,"H",'LANÇAMENTOS DIÁRIOS'!$C$5:$C$500,$A39,'LANÇAMENTOS DIÁRIOS'!$O$5:$O$500,"&lt;=125199",'LANÇAMENTOS DIÁRIOS'!$P$5:$P$500,"&gt;=125100")&gt;0,"X","")</f>
      </c>
      <c r="J39" s="56" t="str">
        <f>IF(COUNTIFS('LANÇAMENTOS DIÁRIOS'!$G$5:$G$500,"H",'LANÇAMENTOS DIÁRIOS'!$C$5:$C$500,$A39,'LANÇAMENTOS DIÁRIOS'!$O$5:$O$500,"&lt;=125299",'LANÇAMENTOS DIÁRIOS'!$P$5:$P$500,"&gt;=125200")&gt;0,"X","")</f>
      </c>
      <c r="K39" s="56" t="str">
        <f>IF(COUNTIFS('LANÇAMENTOS DIÁRIOS'!$G$5:$G$500,"H",'LANÇAMENTOS DIÁRIOS'!$C$5:$C$500,$A39,'LANÇAMENTOS DIÁRIOS'!$O$5:$O$500,"&lt;=125399",'LANÇAMENTOS DIÁRIOS'!$P$5:$P$500,"&gt;=125300")&gt;0,"X","")</f>
      </c>
      <c r="L39" s="56" t="str">
        <f>IF(COUNTIFS('LANÇAMENTOS DIÁRIOS'!$G$5:$G$500,"H",'LANÇAMENTOS DIÁRIOS'!$C$5:$C$500,$A39,'LANÇAMENTOS DIÁRIOS'!$O$5:$O$500,"&lt;=125499",'LANÇAMENTOS DIÁRIOS'!$P$5:$P$500,"&gt;=125400")&gt;0,"X","")</f>
      </c>
      <c r="M39" s="56" t="str">
        <f>IF(COUNTIFS('LANÇAMENTOS DIÁRIOS'!$G$5:$G$500,"H",'LANÇAMENTOS DIÁRIOS'!$C$5:$C$500,$A39,'LANÇAMENTOS DIÁRIOS'!$O$5:$O$500,"&lt;=125599",'LANÇAMENTOS DIÁRIOS'!$P$5:$P$500,"&gt;=125500")&gt;0,"X","")</f>
      </c>
      <c r="N39" s="56" t="str">
        <f>IF(COUNTIFS('LANÇAMENTOS DIÁRIOS'!$G$5:$G$500,"H",'LANÇAMENTOS DIÁRIOS'!$C$5:$C$500,$A39,'LANÇAMENTOS DIÁRIOS'!$O$5:$O$500,"&lt;=125699",'LANÇAMENTOS DIÁRIOS'!$P$5:$P$500,"&gt;=125600")&gt;0,"X","")</f>
      </c>
      <c r="O39" s="56" t="str">
        <f>IF(COUNTIFS('LANÇAMENTOS DIÁRIOS'!$G$5:$G$500,"H",'LANÇAMENTOS DIÁRIOS'!$C$5:$C$500,$A39,'LANÇAMENTOS DIÁRIOS'!$O$5:$O$500,"&lt;=125799",'LANÇAMENTOS DIÁRIOS'!$P$5:$P$500,"&gt;=125700")&gt;0,"X","")</f>
      </c>
      <c r="P39" s="56" t="str">
        <f>IF(COUNTIFS('LANÇAMENTOS DIÁRIOS'!$G$5:$G$500,"H",'LANÇAMENTOS DIÁRIOS'!$C$5:$C$500,$A39,'LANÇAMENTOS DIÁRIOS'!$O$5:$O$500,"&lt;=125899",'LANÇAMENTOS DIÁRIOS'!$P$5:$P$500,"&gt;=125800")&gt;0,"X","")</f>
      </c>
      <c r="Q39" s="56" t="str">
        <f>IF(COUNTIFS('LANÇAMENTOS DIÁRIOS'!$G$5:$G$500,"H",'LANÇAMENTOS DIÁRIOS'!$C$5:$C$500,$A39,'LANÇAMENTOS DIÁRIOS'!$O$5:$O$500,"&lt;=125999",'LANÇAMENTOS DIÁRIOS'!$P$5:$P$500,"&gt;=125900")&gt;0,"X","")</f>
      </c>
      <c r="R39" s="56" t="str">
        <f>IF(COUNTIFS('LANÇAMENTOS DIÁRIOS'!$G$5:$G$500,"H",'LANÇAMENTOS DIÁRIOS'!$C$5:$C$500,$A39,'LANÇAMENTOS DIÁRIOS'!$O$5:$O$500,"&lt;=126099",'LANÇAMENTOS DIÁRIOS'!$P$5:$P$500,"&gt;=126000")&gt;0,"X","")</f>
      </c>
      <c r="S39" s="56" t="str">
        <f>IF(COUNTIFS('LANÇAMENTOS DIÁRIOS'!$G$5:$G$500,"H",'LANÇAMENTOS DIÁRIOS'!$C$5:$C$500,$A39,'LANÇAMENTOS DIÁRIOS'!$O$5:$O$500,"&lt;=126199",'LANÇAMENTOS DIÁRIOS'!$P$5:$P$500,"&gt;=126100")&gt;0,"X","")</f>
      </c>
      <c r="T39" s="56" t="str">
        <f>IF(COUNTIFS('LANÇAMENTOS DIÁRIOS'!$G$5:$G$500,"H",'LANÇAMENTOS DIÁRIOS'!$C$5:$C$500,$A39,'LANÇAMENTOS DIÁRIOS'!$O$5:$O$500,"&lt;=126299",'LANÇAMENTOS DIÁRIOS'!$P$5:$P$500,"&gt;=126200")&gt;0,"X","")</f>
      </c>
      <c r="U39" s="56" t="str">
        <f>IF(COUNTIFS('LANÇAMENTOS DIÁRIOS'!$G$5:$G$500,"H",'LANÇAMENTOS DIÁRIOS'!$C$5:$C$500,$A39,'LANÇAMENTOS DIÁRIOS'!$O$5:$O$500,"&lt;=126399",'LANÇAMENTOS DIÁRIOS'!$P$5:$P$500,"&gt;=126300")&gt;0,"X","")</f>
      </c>
      <c r="V39" s="56" t="str">
        <f>IF(COUNTIFS('LANÇAMENTOS DIÁRIOS'!$G$5:$G$500,"H",'LANÇAMENTOS DIÁRIOS'!$C$5:$C$500,$A39,'LANÇAMENTOS DIÁRIOS'!$O$5:$O$500,"&lt;=126499",'LANÇAMENTOS DIÁRIOS'!$P$5:$P$500,"&gt;=126400")&gt;0,"X","")</f>
      </c>
      <c r="W39" s="56" t="str">
        <f>IF(COUNTIFS('LANÇAMENTOS DIÁRIOS'!$G$5:$G$500,"H",'LANÇAMENTOS DIÁRIOS'!$C$5:$C$500,$A39,'LANÇAMENTOS DIÁRIOS'!$O$5:$O$500,"&lt;=126599",'LANÇAMENTOS DIÁRIOS'!$P$5:$P$500,"&gt;=126500")&gt;0,"X","")</f>
      </c>
      <c r="X39" s="56" t="str">
        <f>IF(COUNTIFS('LANÇAMENTOS DIÁRIOS'!$G$5:$G$500,"H",'LANÇAMENTOS DIÁRIOS'!$C$5:$C$500,$A39,'LANÇAMENTOS DIÁRIOS'!$O$5:$O$500,"&lt;=126699",'LANÇAMENTOS DIÁRIOS'!$P$5:$P$500,"&gt;=126600")&gt;0,"X","")</f>
      </c>
      <c r="Y39" s="56" t="str">
        <f>IF(COUNTIFS('LANÇAMENTOS DIÁRIOS'!$G$5:$G$500,"H",'LANÇAMENTOS DIÁRIOS'!$C$5:$C$500,$A39,'LANÇAMENTOS DIÁRIOS'!$O$5:$O$500,"&lt;=126799",'LANÇAMENTOS DIÁRIOS'!$P$5:$P$500,"&gt;=126700")&gt;0,"X","")</f>
      </c>
      <c r="Z39" s="56" t="str">
        <f>IF(COUNTIFS('LANÇAMENTOS DIÁRIOS'!$G$5:$G$500,"H",'LANÇAMENTOS DIÁRIOS'!$C$5:$C$500,$A39,'LANÇAMENTOS DIÁRIOS'!$O$5:$O$500,"&lt;=126899",'LANÇAMENTOS DIÁRIOS'!$P$5:$P$500,"&gt;=126800")&gt;0,"X","")</f>
      </c>
      <c r="AA39" s="56" t="str">
        <f>IF(COUNTIFS('LANÇAMENTOS DIÁRIOS'!$G$5:$G$500,"H",'LANÇAMENTOS DIÁRIOS'!$C$5:$C$500,$A39,'LANÇAMENTOS DIÁRIOS'!$O$5:$O$500,"&lt;=126999",'LANÇAMENTOS DIÁRIOS'!$P$5:$P$500,"&gt;=126900")&gt;0,"X","")</f>
      </c>
      <c r="AB39" s="56" t="str">
        <f>IF(COUNTIFS('LANÇAMENTOS DIÁRIOS'!$G$5:$G$500,"H",'LANÇAMENTOS DIÁRIOS'!$C$5:$C$500,$A39,'LANÇAMENTOS DIÁRIOS'!$O$5:$O$500,"&lt;=127099",'LANÇAMENTOS DIÁRIOS'!$P$5:$P$500,"&gt;=127000")&gt;0,"X","")</f>
      </c>
      <c r="AC39" s="56" t="str">
        <f>IF(COUNTIFS('LANÇAMENTOS DIÁRIOS'!$G$5:$G$500,"H",'LANÇAMENTOS DIÁRIOS'!$C$5:$C$500,$A39,'LANÇAMENTOS DIÁRIOS'!$O$5:$O$500,"&lt;=127199",'LANÇAMENTOS DIÁRIOS'!$P$5:$P$500,"&gt;=127100")&gt;0,"X","")</f>
      </c>
      <c r="AD39" s="56" t="str">
        <f>IF(COUNTIFS('LANÇAMENTOS DIÁRIOS'!$G$5:$G$500,"H",'LANÇAMENTOS DIÁRIOS'!$C$5:$C$500,$A39,'LANÇAMENTOS DIÁRIOS'!$O$5:$O$500,"&lt;=127299",'LANÇAMENTOS DIÁRIOS'!$P$5:$P$500,"&gt;=127200")&gt;0,"X","")</f>
      </c>
      <c r="AE39" s="56" t="str">
        <f>IF(COUNTIFS('LANÇAMENTOS DIÁRIOS'!$G$5:$G$500,"H",'LANÇAMENTOS DIÁRIOS'!$C$5:$C$500,$A39,'LANÇAMENTOS DIÁRIOS'!$O$5:$O$500,"&lt;=127399",'LANÇAMENTOS DIÁRIOS'!$P$5:$P$500,"&gt;=127300")&gt;0,"X","")</f>
      </c>
      <c r="AF39" s="56" t="str">
        <f>IF(COUNTIFS('LANÇAMENTOS DIÁRIOS'!$G$5:$G$500,"H",'LANÇAMENTOS DIÁRIOS'!$C$5:$C$500,$A39,'LANÇAMENTOS DIÁRIOS'!$O$5:$O$500,"&lt;=127499",'LANÇAMENTOS DIÁRIOS'!$P$5:$P$500,"&gt;=127400")&gt;0,"X","")</f>
      </c>
      <c r="AG39" s="56" t="str">
        <f>IF(COUNTIFS('LANÇAMENTOS DIÁRIOS'!$G$5:$G$500,"H",'LANÇAMENTOS DIÁRIOS'!$C$5:$C$500,$A39,'LANÇAMENTOS DIÁRIOS'!$O$5:$O$500,"&lt;=127599",'LANÇAMENTOS DIÁRIOS'!$P$5:$P$500,"&gt;=127500")&gt;0,"X","")</f>
      </c>
      <c r="AH39" s="56" t="str">
        <f>IF(COUNTIFS('LANÇAMENTOS DIÁRIOS'!$G$5:$G$500,"H",'LANÇAMENTOS DIÁRIOS'!$C$5:$C$500,$A39,'LANÇAMENTOS DIÁRIOS'!$O$5:$O$500,"&lt;=127699",'LANÇAMENTOS DIÁRIOS'!$P$5:$P$500,"&gt;=127600")&gt;0,"X","")</f>
      </c>
      <c r="AI39" s="56" t="str">
        <f>IF(COUNTIFS('LANÇAMENTOS DIÁRIOS'!$G$5:$G$500,"H",'LANÇAMENTOS DIÁRIOS'!$C$5:$C$500,$A39,'LANÇAMENTOS DIÁRIOS'!$O$5:$O$500,"&lt;=127799",'LANÇAMENTOS DIÁRIOS'!$P$5:$P$500,"&gt;=127700")&gt;0,"X","")</f>
      </c>
      <c r="AJ39" s="56" t="str">
        <f>IF(COUNTIFS('LANÇAMENTOS DIÁRIOS'!$G$5:$G$500,"H",'LANÇAMENTOS DIÁRIOS'!$C$5:$C$500,$A39,'LANÇAMENTOS DIÁRIOS'!$O$5:$O$500,"&lt;=127899",'LANÇAMENTOS DIÁRIOS'!$P$5:$P$500,"&gt;=127800")&gt;0,"X","")</f>
      </c>
      <c r="AK39" s="56" t="str">
        <f>IF(COUNTIFS('LANÇAMENTOS DIÁRIOS'!$G$5:$G$500,"H",'LANÇAMENTOS DIÁRIOS'!$C$5:$C$500,$A39,'LANÇAMENTOS DIÁRIOS'!$O$5:$O$500,"&lt;=127999",'LANÇAMENTOS DIÁRIOS'!$P$5:$P$500,"&gt;=127900")&gt;0,"X","")</f>
      </c>
      <c r="AL39" s="56" t="str">
        <f>IF(COUNTIFS('LANÇAMENTOS DIÁRIOS'!$G$5:$G$500,"H",'LANÇAMENTOS DIÁRIOS'!$C$5:$C$500,$A39,'LANÇAMENTOS DIÁRIOS'!$O$5:$O$500,"&lt;=128099",'LANÇAMENTOS DIÁRIOS'!$P$5:$P$500,"&gt;=128000")&gt;0,"X","")</f>
      </c>
      <c r="AM39" s="56" t="str">
        <f>IF(COUNTIFS('LANÇAMENTOS DIÁRIOS'!$G$5:$G$500,"H",'LANÇAMENTOS DIÁRIOS'!$C$5:$C$500,$A39,'LANÇAMENTOS DIÁRIOS'!$O$5:$O$500,"&lt;=128199",'LANÇAMENTOS DIÁRIOS'!$P$5:$P$500,"&gt;=128100")&gt;0,"X","")</f>
      </c>
      <c r="AN39" s="56" t="str">
        <f>IF(COUNTIFS('LANÇAMENTOS DIÁRIOS'!$G$5:$G$500,"H",'LANÇAMENTOS DIÁRIOS'!$C$5:$C$500,$A39,'LANÇAMENTOS DIÁRIOS'!$O$5:$O$500,"&lt;=128299",'LANÇAMENTOS DIÁRIOS'!$P$5:$P$500,"&gt;=128200")&gt;0,"X","")</f>
      </c>
      <c r="AO39" s="56" t="str">
        <f>IF(COUNTIFS('LANÇAMENTOS DIÁRIOS'!$G$5:$G$500,"H",'LANÇAMENTOS DIÁRIOS'!$C$5:$C$500,$A39,'LANÇAMENTOS DIÁRIOS'!$O$5:$O$500,"&lt;=128399",'LANÇAMENTOS DIÁRIOS'!$P$5:$P$500,"&gt;=128300")&gt;0,"X","")</f>
      </c>
      <c r="AP39" s="56" t="str">
        <f>IF(COUNTIFS('LANÇAMENTOS DIÁRIOS'!$G$5:$G$500,"H",'LANÇAMENTOS DIÁRIOS'!$C$5:$C$500,$A39,'LANÇAMENTOS DIÁRIOS'!$O$5:$O$500,"&lt;=128499",'LANÇAMENTOS DIÁRIOS'!$P$5:$P$500,"&gt;=128400")&gt;0,"X","")</f>
      </c>
      <c r="AQ39" s="56" t="str">
        <f>IF(COUNTIFS('LANÇAMENTOS DIÁRIOS'!$G$5:$G$500,"H",'LANÇAMENTOS DIÁRIOS'!$C$5:$C$500,$A39,'LANÇAMENTOS DIÁRIOS'!$O$5:$O$500,"&lt;=128599",'LANÇAMENTOS DIÁRIOS'!$P$5:$P$500,"&gt;=128500")&gt;0,"X","")</f>
      </c>
      <c r="AR39" s="56" t="str">
        <f>IF(COUNTIFS('LANÇAMENTOS DIÁRIOS'!$G$5:$G$500,"H",'LANÇAMENTOS DIÁRIOS'!$C$5:$C$500,$A39,'LANÇAMENTOS DIÁRIOS'!$O$5:$O$500,"&lt;=128699",'LANÇAMENTOS DIÁRIOS'!$P$5:$P$500,"&gt;=128600")&gt;0,"X","")</f>
      </c>
      <c r="AS39" s="56" t="str">
        <f>IF(COUNTIFS('LANÇAMENTOS DIÁRIOS'!$G$5:$G$500,"H",'LANÇAMENTOS DIÁRIOS'!$C$5:$C$500,$A39,'LANÇAMENTOS DIÁRIOS'!$O$5:$O$500,"&lt;=128799",'LANÇAMENTOS DIÁRIOS'!$P$5:$P$500,"&gt;=128700")&gt;0,"X","")</f>
      </c>
      <c r="AT39" s="56" t="str">
        <f>IF(COUNTIFS('LANÇAMENTOS DIÁRIOS'!$G$5:$G$500,"H",'LANÇAMENTOS DIÁRIOS'!$C$5:$C$500,$A39,'LANÇAMENTOS DIÁRIOS'!$O$5:$O$500,"&lt;=128899",'LANÇAMENTOS DIÁRIOS'!$P$5:$P$500,"&gt;=128800")&gt;0,"X","")</f>
      </c>
      <c r="AU39" s="56" t="str">
        <f>IF(COUNTIFS('LANÇAMENTOS DIÁRIOS'!$G$5:$G$500,"H",'LANÇAMENTOS DIÁRIOS'!$C$5:$C$500,$A39,'LANÇAMENTOS DIÁRIOS'!$O$5:$O$500,"&lt;=128999",'LANÇAMENTOS DIÁRIOS'!$P$5:$P$500,"&gt;=128900")&gt;0,"X","")</f>
      </c>
      <c r="AV39" s="56" t="str">
        <f>IF(COUNTIFS('LANÇAMENTOS DIÁRIOS'!$G$5:$G$500,"H",'LANÇAMENTOS DIÁRIOS'!$C$5:$C$500,$A39,'LANÇAMENTOS DIÁRIOS'!$O$5:$O$500,"&lt;=129099",'LANÇAMENTOS DIÁRIOS'!$P$5:$P$500,"&gt;=129000")&gt;0,"X","")</f>
      </c>
      <c r="AW39" s="56" t="str">
        <f>IF(COUNTIFS('LANÇAMENTOS DIÁRIOS'!$G$5:$G$500,"H",'LANÇAMENTOS DIÁRIOS'!$C$5:$C$500,$A39,'LANÇAMENTOS DIÁRIOS'!$O$5:$O$500,"&lt;=129199",'LANÇAMENTOS DIÁRIOS'!$P$5:$P$500,"&gt;=129100")&gt;0,"X","")</f>
      </c>
      <c r="AX39" s="56" t="str">
        <f>IF(COUNTIFS('LANÇAMENTOS DIÁRIOS'!$G$5:$G$500,"H",'LANÇAMENTOS DIÁRIOS'!$C$5:$C$500,$A39,'LANÇAMENTOS DIÁRIOS'!$O$5:$O$500,"&lt;=129299",'LANÇAMENTOS DIÁRIOS'!$P$5:$P$500,"&gt;=129200")&gt;0,"X","")</f>
      </c>
      <c r="AY39" s="56" t="str">
        <f>IF(COUNTIFS('LANÇAMENTOS DIÁRIOS'!$G$5:$G$500,"H",'LANÇAMENTOS DIÁRIOS'!$C$5:$C$500,$A39,'LANÇAMENTOS DIÁRIOS'!$O$5:$O$500,"&lt;=129399",'LANÇAMENTOS DIÁRIOS'!$P$5:$P$500,"&gt;=129300")&gt;0,"X","")</f>
      </c>
      <c r="AZ39" s="56" t="str">
        <f>IF(COUNTIFS('LANÇAMENTOS DIÁRIOS'!$G$5:$G$500,"H",'LANÇAMENTOS DIÁRIOS'!$C$5:$C$500,$A39,'LANÇAMENTOS DIÁRIOS'!$O$5:$O$500,"&lt;=129400",'LANÇAMENTOS DIÁRIOS'!$P$5:$P$500,"&gt;=129400")&gt;0,"X","")</f>
      </c>
    </row>
    <row r="40" ht="19" customHeight="1">
      <c r="A40" s="68" t="str">
        <v>Corte em solo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</row>
    <row r="41">
      <c r="A41" s="51" t="str">
        <v>Escavação de material de 1ª e 2ª categoria - Sem transporte</v>
      </c>
      <c r="B41" s="56" t="str">
        <f>IF(COUNTIFS('LANÇAMENTOS DIÁRIOS'!$G$5:$G$500,"H",'LANÇAMENTOS DIÁRIOS'!$C$5:$C$500,$A41,'LANÇAMENTOS DIÁRIOS'!$O$5:$O$500,"&lt;=124499",'LANÇAMENTOS DIÁRIOS'!$P$5:$P$500,"&gt;=124400")&gt;0,"X","")</f>
      </c>
      <c r="C41" s="56" t="str">
        <f>IF(COUNTIFS('LANÇAMENTOS DIÁRIOS'!$G$5:$G$500,"H",'LANÇAMENTOS DIÁRIOS'!$C$5:$C$500,$A41,'LANÇAMENTOS DIÁRIOS'!$O$5:$O$500,"&lt;=124599",'LANÇAMENTOS DIÁRIOS'!$P$5:$P$500,"&gt;=124500")&gt;0,"X","")</f>
      </c>
      <c r="D41" s="56" t="str">
        <f>IF(COUNTIFS('LANÇAMENTOS DIÁRIOS'!$G$5:$G$500,"H",'LANÇAMENTOS DIÁRIOS'!$C$5:$C$500,$A41,'LANÇAMENTOS DIÁRIOS'!$O$5:$O$500,"&lt;=124699",'LANÇAMENTOS DIÁRIOS'!$P$5:$P$500,"&gt;=124600")&gt;0,"X","")</f>
      </c>
      <c r="E41" s="56" t="str">
        <f>IF(COUNTIFS('LANÇAMENTOS DIÁRIOS'!$G$5:$G$500,"H",'LANÇAMENTOS DIÁRIOS'!$C$5:$C$500,$A41,'LANÇAMENTOS DIÁRIOS'!$O$5:$O$500,"&lt;=124799",'LANÇAMENTOS DIÁRIOS'!$P$5:$P$500,"&gt;=124700")&gt;0,"X","")</f>
      </c>
      <c r="F41" s="56" t="str">
        <f>IF(COUNTIFS('LANÇAMENTOS DIÁRIOS'!$G$5:$G$500,"H",'LANÇAMENTOS DIÁRIOS'!$C$5:$C$500,$A41,'LANÇAMENTOS DIÁRIOS'!$O$5:$O$500,"&lt;=124899",'LANÇAMENTOS DIÁRIOS'!$P$5:$P$500,"&gt;=124800")&gt;0,"X","")</f>
      </c>
      <c r="G41" s="56" t="str">
        <f>IF(COUNTIFS('LANÇAMENTOS DIÁRIOS'!$G$5:$G$500,"H",'LANÇAMENTOS DIÁRIOS'!$C$5:$C$500,$A41,'LANÇAMENTOS DIÁRIOS'!$O$5:$O$500,"&lt;=124999",'LANÇAMENTOS DIÁRIOS'!$P$5:$P$500,"&gt;=124900")&gt;0,"X","")</f>
      </c>
      <c r="H41" s="56" t="str">
        <f>IF(COUNTIFS('LANÇAMENTOS DIÁRIOS'!$G$5:$G$500,"H",'LANÇAMENTOS DIÁRIOS'!$C$5:$C$500,$A41,'LANÇAMENTOS DIÁRIOS'!$O$5:$O$500,"&lt;=125099",'LANÇAMENTOS DIÁRIOS'!$P$5:$P$500,"&gt;=125000")&gt;0,"X","")</f>
      </c>
      <c r="I41" s="56" t="str">
        <f>IF(COUNTIFS('LANÇAMENTOS DIÁRIOS'!$G$5:$G$500,"H",'LANÇAMENTOS DIÁRIOS'!$C$5:$C$500,$A41,'LANÇAMENTOS DIÁRIOS'!$O$5:$O$500,"&lt;=125199",'LANÇAMENTOS DIÁRIOS'!$P$5:$P$500,"&gt;=125100")&gt;0,"X","")</f>
      </c>
      <c r="J41" s="56" t="str">
        <f>IF(COUNTIFS('LANÇAMENTOS DIÁRIOS'!$G$5:$G$500,"H",'LANÇAMENTOS DIÁRIOS'!$C$5:$C$500,$A41,'LANÇAMENTOS DIÁRIOS'!$O$5:$O$500,"&lt;=125299",'LANÇAMENTOS DIÁRIOS'!$P$5:$P$500,"&gt;=125200")&gt;0,"X","")</f>
      </c>
      <c r="K41" s="56" t="str">
        <f>IF(COUNTIFS('LANÇAMENTOS DIÁRIOS'!$G$5:$G$500,"H",'LANÇAMENTOS DIÁRIOS'!$C$5:$C$500,$A41,'LANÇAMENTOS DIÁRIOS'!$O$5:$O$500,"&lt;=125399",'LANÇAMENTOS DIÁRIOS'!$P$5:$P$500,"&gt;=125300")&gt;0,"X","")</f>
      </c>
      <c r="L41" s="56" t="str">
        <f>IF(COUNTIFS('LANÇAMENTOS DIÁRIOS'!$G$5:$G$500,"H",'LANÇAMENTOS DIÁRIOS'!$C$5:$C$500,$A41,'LANÇAMENTOS DIÁRIOS'!$O$5:$O$500,"&lt;=125499",'LANÇAMENTOS DIÁRIOS'!$P$5:$P$500,"&gt;=125400")&gt;0,"X","")</f>
      </c>
      <c r="M41" s="56" t="str">
        <f>IF(COUNTIFS('LANÇAMENTOS DIÁRIOS'!$G$5:$G$500,"H",'LANÇAMENTOS DIÁRIOS'!$C$5:$C$500,$A41,'LANÇAMENTOS DIÁRIOS'!$O$5:$O$500,"&lt;=125599",'LANÇAMENTOS DIÁRIOS'!$P$5:$P$500,"&gt;=125500")&gt;0,"X","")</f>
      </c>
      <c r="N41" s="56" t="str">
        <f>IF(COUNTIFS('LANÇAMENTOS DIÁRIOS'!$G$5:$G$500,"H",'LANÇAMENTOS DIÁRIOS'!$C$5:$C$500,$A41,'LANÇAMENTOS DIÁRIOS'!$O$5:$O$500,"&lt;=125699",'LANÇAMENTOS DIÁRIOS'!$P$5:$P$500,"&gt;=125600")&gt;0,"X","")</f>
      </c>
      <c r="O41" s="56" t="str">
        <f>IF(COUNTIFS('LANÇAMENTOS DIÁRIOS'!$G$5:$G$500,"H",'LANÇAMENTOS DIÁRIOS'!$C$5:$C$500,$A41,'LANÇAMENTOS DIÁRIOS'!$O$5:$O$500,"&lt;=125799",'LANÇAMENTOS DIÁRIOS'!$P$5:$P$500,"&gt;=125700")&gt;0,"X","")</f>
      </c>
      <c r="P41" s="56" t="str">
        <f>IF(COUNTIFS('LANÇAMENTOS DIÁRIOS'!$G$5:$G$500,"H",'LANÇAMENTOS DIÁRIOS'!$C$5:$C$500,$A41,'LANÇAMENTOS DIÁRIOS'!$O$5:$O$500,"&lt;=125899",'LANÇAMENTOS DIÁRIOS'!$P$5:$P$500,"&gt;=125800")&gt;0,"X","")</f>
      </c>
      <c r="Q41" s="56" t="str">
        <f>IF(COUNTIFS('LANÇAMENTOS DIÁRIOS'!$G$5:$G$500,"H",'LANÇAMENTOS DIÁRIOS'!$C$5:$C$500,$A41,'LANÇAMENTOS DIÁRIOS'!$O$5:$O$500,"&lt;=125999",'LANÇAMENTOS DIÁRIOS'!$P$5:$P$500,"&gt;=125900")&gt;0,"X","")</f>
      </c>
      <c r="R41" s="56" t="str">
        <f>IF(COUNTIFS('LANÇAMENTOS DIÁRIOS'!$G$5:$G$500,"H",'LANÇAMENTOS DIÁRIOS'!$C$5:$C$500,$A41,'LANÇAMENTOS DIÁRIOS'!$O$5:$O$500,"&lt;=126099",'LANÇAMENTOS DIÁRIOS'!$P$5:$P$500,"&gt;=126000")&gt;0,"X","")</f>
      </c>
      <c r="S41" s="56" t="str">
        <f>IF(COUNTIFS('LANÇAMENTOS DIÁRIOS'!$G$5:$G$500,"H",'LANÇAMENTOS DIÁRIOS'!$C$5:$C$500,$A41,'LANÇAMENTOS DIÁRIOS'!$O$5:$O$500,"&lt;=126199",'LANÇAMENTOS DIÁRIOS'!$P$5:$P$500,"&gt;=126100")&gt;0,"X","")</f>
      </c>
      <c r="T41" s="56" t="str">
        <f>IF(COUNTIFS('LANÇAMENTOS DIÁRIOS'!$G$5:$G$500,"H",'LANÇAMENTOS DIÁRIOS'!$C$5:$C$500,$A41,'LANÇAMENTOS DIÁRIOS'!$O$5:$O$500,"&lt;=126299",'LANÇAMENTOS DIÁRIOS'!$P$5:$P$500,"&gt;=126200")&gt;0,"X","")</f>
      </c>
      <c r="U41" s="56" t="str">
        <f>IF(COUNTIFS('LANÇAMENTOS DIÁRIOS'!$G$5:$G$500,"H",'LANÇAMENTOS DIÁRIOS'!$C$5:$C$500,$A41,'LANÇAMENTOS DIÁRIOS'!$O$5:$O$500,"&lt;=126399",'LANÇAMENTOS DIÁRIOS'!$P$5:$P$500,"&gt;=126300")&gt;0,"X","")</f>
      </c>
      <c r="V41" s="56" t="str">
        <f>IF(COUNTIFS('LANÇAMENTOS DIÁRIOS'!$G$5:$G$500,"H",'LANÇAMENTOS DIÁRIOS'!$C$5:$C$500,$A41,'LANÇAMENTOS DIÁRIOS'!$O$5:$O$500,"&lt;=126499",'LANÇAMENTOS DIÁRIOS'!$P$5:$P$500,"&gt;=126400")&gt;0,"X","")</f>
      </c>
      <c r="W41" s="56" t="str">
        <f>IF(COUNTIFS('LANÇAMENTOS DIÁRIOS'!$G$5:$G$500,"H",'LANÇAMENTOS DIÁRIOS'!$C$5:$C$500,$A41,'LANÇAMENTOS DIÁRIOS'!$O$5:$O$500,"&lt;=126599",'LANÇAMENTOS DIÁRIOS'!$P$5:$P$500,"&gt;=126500")&gt;0,"X","")</f>
      </c>
      <c r="X41" s="56" t="str">
        <f>IF(COUNTIFS('LANÇAMENTOS DIÁRIOS'!$G$5:$G$500,"H",'LANÇAMENTOS DIÁRIOS'!$C$5:$C$500,$A41,'LANÇAMENTOS DIÁRIOS'!$O$5:$O$500,"&lt;=126699",'LANÇAMENTOS DIÁRIOS'!$P$5:$P$500,"&gt;=126600")&gt;0,"X","")</f>
      </c>
      <c r="Y41" s="56" t="str">
        <f>IF(COUNTIFS('LANÇAMENTOS DIÁRIOS'!$G$5:$G$500,"H",'LANÇAMENTOS DIÁRIOS'!$C$5:$C$500,$A41,'LANÇAMENTOS DIÁRIOS'!$O$5:$O$500,"&lt;=126799",'LANÇAMENTOS DIÁRIOS'!$P$5:$P$500,"&gt;=126700")&gt;0,"X","")</f>
      </c>
      <c r="Z41" s="56" t="str">
        <f>IF(COUNTIFS('LANÇAMENTOS DIÁRIOS'!$G$5:$G$500,"H",'LANÇAMENTOS DIÁRIOS'!$C$5:$C$500,$A41,'LANÇAMENTOS DIÁRIOS'!$O$5:$O$500,"&lt;=126899",'LANÇAMENTOS DIÁRIOS'!$P$5:$P$500,"&gt;=126800")&gt;0,"X","")</f>
      </c>
      <c r="AA41" s="56" t="str">
        <f>IF(COUNTIFS('LANÇAMENTOS DIÁRIOS'!$G$5:$G$500,"H",'LANÇAMENTOS DIÁRIOS'!$C$5:$C$500,$A41,'LANÇAMENTOS DIÁRIOS'!$O$5:$O$500,"&lt;=126999",'LANÇAMENTOS DIÁRIOS'!$P$5:$P$500,"&gt;=126900")&gt;0,"X","")</f>
      </c>
      <c r="AB41" s="56" t="str">
        <f>IF(COUNTIFS('LANÇAMENTOS DIÁRIOS'!$G$5:$G$500,"H",'LANÇAMENTOS DIÁRIOS'!$C$5:$C$500,$A41,'LANÇAMENTOS DIÁRIOS'!$O$5:$O$500,"&lt;=127099",'LANÇAMENTOS DIÁRIOS'!$P$5:$P$500,"&gt;=127000")&gt;0,"X","")</f>
      </c>
      <c r="AC41" s="56" t="str">
        <f>IF(COUNTIFS('LANÇAMENTOS DIÁRIOS'!$G$5:$G$500,"H",'LANÇAMENTOS DIÁRIOS'!$C$5:$C$500,$A41,'LANÇAMENTOS DIÁRIOS'!$O$5:$O$500,"&lt;=127199",'LANÇAMENTOS DIÁRIOS'!$P$5:$P$500,"&gt;=127100")&gt;0,"X","")</f>
      </c>
      <c r="AD41" s="56" t="str">
        <f>IF(COUNTIFS('LANÇAMENTOS DIÁRIOS'!$G$5:$G$500,"H",'LANÇAMENTOS DIÁRIOS'!$C$5:$C$500,$A41,'LANÇAMENTOS DIÁRIOS'!$O$5:$O$500,"&lt;=127299",'LANÇAMENTOS DIÁRIOS'!$P$5:$P$500,"&gt;=127200")&gt;0,"X","")</f>
      </c>
      <c r="AE41" s="56" t="str">
        <f>IF(COUNTIFS('LANÇAMENTOS DIÁRIOS'!$G$5:$G$500,"H",'LANÇAMENTOS DIÁRIOS'!$C$5:$C$500,$A41,'LANÇAMENTOS DIÁRIOS'!$O$5:$O$500,"&lt;=127399",'LANÇAMENTOS DIÁRIOS'!$P$5:$P$500,"&gt;=127300")&gt;0,"X","")</f>
      </c>
      <c r="AF41" s="56" t="str">
        <f>IF(COUNTIFS('LANÇAMENTOS DIÁRIOS'!$G$5:$G$500,"H",'LANÇAMENTOS DIÁRIOS'!$C$5:$C$500,$A41,'LANÇAMENTOS DIÁRIOS'!$O$5:$O$500,"&lt;=127499",'LANÇAMENTOS DIÁRIOS'!$P$5:$P$500,"&gt;=127400")&gt;0,"X","")</f>
      </c>
      <c r="AG41" s="56" t="str">
        <f>IF(COUNTIFS('LANÇAMENTOS DIÁRIOS'!$G$5:$G$500,"H",'LANÇAMENTOS DIÁRIOS'!$C$5:$C$500,$A41,'LANÇAMENTOS DIÁRIOS'!$O$5:$O$500,"&lt;=127599",'LANÇAMENTOS DIÁRIOS'!$P$5:$P$500,"&gt;=127500")&gt;0,"X","")</f>
      </c>
      <c r="AH41" s="56" t="str">
        <f>IF(COUNTIFS('LANÇAMENTOS DIÁRIOS'!$G$5:$G$500,"H",'LANÇAMENTOS DIÁRIOS'!$C$5:$C$500,$A41,'LANÇAMENTOS DIÁRIOS'!$O$5:$O$500,"&lt;=127699",'LANÇAMENTOS DIÁRIOS'!$P$5:$P$500,"&gt;=127600")&gt;0,"X","")</f>
      </c>
      <c r="AI41" s="56" t="str">
        <f>IF(COUNTIFS('LANÇAMENTOS DIÁRIOS'!$G$5:$G$500,"H",'LANÇAMENTOS DIÁRIOS'!$C$5:$C$500,$A41,'LANÇAMENTOS DIÁRIOS'!$O$5:$O$500,"&lt;=127799",'LANÇAMENTOS DIÁRIOS'!$P$5:$P$500,"&gt;=127700")&gt;0,"X","")</f>
      </c>
      <c r="AJ41" s="56" t="str">
        <f>IF(COUNTIFS('LANÇAMENTOS DIÁRIOS'!$G$5:$G$500,"H",'LANÇAMENTOS DIÁRIOS'!$C$5:$C$500,$A41,'LANÇAMENTOS DIÁRIOS'!$O$5:$O$500,"&lt;=127899",'LANÇAMENTOS DIÁRIOS'!$P$5:$P$500,"&gt;=127800")&gt;0,"X","")</f>
      </c>
      <c r="AK41" s="56" t="str">
        <f>IF(COUNTIFS('LANÇAMENTOS DIÁRIOS'!$G$5:$G$500,"H",'LANÇAMENTOS DIÁRIOS'!$C$5:$C$500,$A41,'LANÇAMENTOS DIÁRIOS'!$O$5:$O$500,"&lt;=127999",'LANÇAMENTOS DIÁRIOS'!$P$5:$P$500,"&gt;=127900")&gt;0,"X","")</f>
      </c>
      <c r="AL41" s="56" t="str">
        <f>IF(COUNTIFS('LANÇAMENTOS DIÁRIOS'!$G$5:$G$500,"H",'LANÇAMENTOS DIÁRIOS'!$C$5:$C$500,$A41,'LANÇAMENTOS DIÁRIOS'!$O$5:$O$500,"&lt;=128099",'LANÇAMENTOS DIÁRIOS'!$P$5:$P$500,"&gt;=128000")&gt;0,"X","")</f>
      </c>
      <c r="AM41" s="56" t="str">
        <f>IF(COUNTIFS('LANÇAMENTOS DIÁRIOS'!$G$5:$G$500,"H",'LANÇAMENTOS DIÁRIOS'!$C$5:$C$500,$A41,'LANÇAMENTOS DIÁRIOS'!$O$5:$O$500,"&lt;=128199",'LANÇAMENTOS DIÁRIOS'!$P$5:$P$500,"&gt;=128100")&gt;0,"X","")</f>
      </c>
      <c r="AN41" s="56" t="str">
        <f>IF(COUNTIFS('LANÇAMENTOS DIÁRIOS'!$G$5:$G$500,"H",'LANÇAMENTOS DIÁRIOS'!$C$5:$C$500,$A41,'LANÇAMENTOS DIÁRIOS'!$O$5:$O$500,"&lt;=128299",'LANÇAMENTOS DIÁRIOS'!$P$5:$P$500,"&gt;=128200")&gt;0,"X","")</f>
      </c>
      <c r="AO41" s="56" t="str">
        <f>IF(COUNTIFS('LANÇAMENTOS DIÁRIOS'!$G$5:$G$500,"H",'LANÇAMENTOS DIÁRIOS'!$C$5:$C$500,$A41,'LANÇAMENTOS DIÁRIOS'!$O$5:$O$500,"&lt;=128399",'LANÇAMENTOS DIÁRIOS'!$P$5:$P$500,"&gt;=128300")&gt;0,"X","")</f>
      </c>
      <c r="AP41" s="56" t="str">
        <f>IF(COUNTIFS('LANÇAMENTOS DIÁRIOS'!$G$5:$G$500,"H",'LANÇAMENTOS DIÁRIOS'!$C$5:$C$500,$A41,'LANÇAMENTOS DIÁRIOS'!$O$5:$O$500,"&lt;=128499",'LANÇAMENTOS DIÁRIOS'!$P$5:$P$500,"&gt;=128400")&gt;0,"X","")</f>
      </c>
      <c r="AQ41" s="56" t="str">
        <f>IF(COUNTIFS('LANÇAMENTOS DIÁRIOS'!$G$5:$G$500,"H",'LANÇAMENTOS DIÁRIOS'!$C$5:$C$500,$A41,'LANÇAMENTOS DIÁRIOS'!$O$5:$O$500,"&lt;=128599",'LANÇAMENTOS DIÁRIOS'!$P$5:$P$500,"&gt;=128500")&gt;0,"X","")</f>
      </c>
      <c r="AR41" s="56" t="str">
        <f>IF(COUNTIFS('LANÇAMENTOS DIÁRIOS'!$G$5:$G$500,"H",'LANÇAMENTOS DIÁRIOS'!$C$5:$C$500,$A41,'LANÇAMENTOS DIÁRIOS'!$O$5:$O$500,"&lt;=128699",'LANÇAMENTOS DIÁRIOS'!$P$5:$P$500,"&gt;=128600")&gt;0,"X","")</f>
      </c>
      <c r="AS41" s="56" t="str">
        <f>IF(COUNTIFS('LANÇAMENTOS DIÁRIOS'!$G$5:$G$500,"H",'LANÇAMENTOS DIÁRIOS'!$C$5:$C$500,$A41,'LANÇAMENTOS DIÁRIOS'!$O$5:$O$500,"&lt;=128799",'LANÇAMENTOS DIÁRIOS'!$P$5:$P$500,"&gt;=128700")&gt;0,"X","")</f>
      </c>
      <c r="AT41" s="56" t="str">
        <f>IF(COUNTIFS('LANÇAMENTOS DIÁRIOS'!$G$5:$G$500,"H",'LANÇAMENTOS DIÁRIOS'!$C$5:$C$500,$A41,'LANÇAMENTOS DIÁRIOS'!$O$5:$O$500,"&lt;=128899",'LANÇAMENTOS DIÁRIOS'!$P$5:$P$500,"&gt;=128800")&gt;0,"X","")</f>
      </c>
      <c r="AU41" s="56" t="str">
        <f>IF(COUNTIFS('LANÇAMENTOS DIÁRIOS'!$G$5:$G$500,"H",'LANÇAMENTOS DIÁRIOS'!$C$5:$C$500,$A41,'LANÇAMENTOS DIÁRIOS'!$O$5:$O$500,"&lt;=128999",'LANÇAMENTOS DIÁRIOS'!$P$5:$P$500,"&gt;=128900")&gt;0,"X","")</f>
      </c>
      <c r="AV41" s="56" t="str">
        <f>IF(COUNTIFS('LANÇAMENTOS DIÁRIOS'!$G$5:$G$500,"H",'LANÇAMENTOS DIÁRIOS'!$C$5:$C$500,$A41,'LANÇAMENTOS DIÁRIOS'!$O$5:$O$500,"&lt;=129099",'LANÇAMENTOS DIÁRIOS'!$P$5:$P$500,"&gt;=129000")&gt;0,"X","")</f>
      </c>
      <c r="AW41" s="56" t="str">
        <f>IF(COUNTIFS('LANÇAMENTOS DIÁRIOS'!$G$5:$G$500,"H",'LANÇAMENTOS DIÁRIOS'!$C$5:$C$500,$A41,'LANÇAMENTOS DIÁRIOS'!$O$5:$O$500,"&lt;=129199",'LANÇAMENTOS DIÁRIOS'!$P$5:$P$500,"&gt;=129100")&gt;0,"X","")</f>
      </c>
      <c r="AX41" s="56" t="str">
        <f>IF(COUNTIFS('LANÇAMENTOS DIÁRIOS'!$G$5:$G$500,"H",'LANÇAMENTOS DIÁRIOS'!$C$5:$C$500,$A41,'LANÇAMENTOS DIÁRIOS'!$O$5:$O$500,"&lt;=129299",'LANÇAMENTOS DIÁRIOS'!$P$5:$P$500,"&gt;=129200")&gt;0,"X","")</f>
      </c>
      <c r="AY41" s="56" t="str">
        <f>IF(COUNTIFS('LANÇAMENTOS DIÁRIOS'!$G$5:$G$500,"H",'LANÇAMENTOS DIÁRIOS'!$C$5:$C$500,$A41,'LANÇAMENTOS DIÁRIOS'!$O$5:$O$500,"&lt;=129399",'LANÇAMENTOS DIÁRIOS'!$P$5:$P$500,"&gt;=129300")&gt;0,"X","")</f>
      </c>
      <c r="AZ41" s="56" t="str">
        <f>IF(COUNTIFS('LANÇAMENTOS DIÁRIOS'!$G$5:$G$500,"H",'LANÇAMENTOS DIÁRIOS'!$C$5:$C$500,$A41,'LANÇAMENTOS DIÁRIOS'!$O$5:$O$500,"&lt;=129400",'LANÇAMENTOS DIÁRIOS'!$P$5:$P$500,"&gt;=129400")&gt;0,"X","")</f>
      </c>
    </row>
    <row r="42">
      <c r="A42" s="51" t="str">
        <v>Escavação de material de 1ª e 2ª categoria, sem transporte</v>
      </c>
      <c r="B42" s="56" t="str">
        <f>IF(COUNTIFS('LANÇAMENTOS DIÁRIOS'!$G$5:$G$500,"H",'LANÇAMENTOS DIÁRIOS'!$C$5:$C$500,$A42,'LANÇAMENTOS DIÁRIOS'!$O$5:$O$500,"&lt;=124499",'LANÇAMENTOS DIÁRIOS'!$P$5:$P$500,"&gt;=124400")&gt;0,"X","")</f>
      </c>
      <c r="C42" s="56" t="str">
        <f>IF(COUNTIFS('LANÇAMENTOS DIÁRIOS'!$G$5:$G$500,"H",'LANÇAMENTOS DIÁRIOS'!$C$5:$C$500,$A42,'LANÇAMENTOS DIÁRIOS'!$O$5:$O$500,"&lt;=124599",'LANÇAMENTOS DIÁRIOS'!$P$5:$P$500,"&gt;=124500")&gt;0,"X","")</f>
      </c>
      <c r="D42" s="56" t="str">
        <f>IF(COUNTIFS('LANÇAMENTOS DIÁRIOS'!$G$5:$G$500,"H",'LANÇAMENTOS DIÁRIOS'!$C$5:$C$500,$A42,'LANÇAMENTOS DIÁRIOS'!$O$5:$O$500,"&lt;=124699",'LANÇAMENTOS DIÁRIOS'!$P$5:$P$500,"&gt;=124600")&gt;0,"X","")</f>
      </c>
      <c r="E42" s="56" t="str">
        <f>IF(COUNTIFS('LANÇAMENTOS DIÁRIOS'!$G$5:$G$500,"H",'LANÇAMENTOS DIÁRIOS'!$C$5:$C$500,$A42,'LANÇAMENTOS DIÁRIOS'!$O$5:$O$500,"&lt;=124799",'LANÇAMENTOS DIÁRIOS'!$P$5:$P$500,"&gt;=124700")&gt;0,"X","")</f>
      </c>
      <c r="F42" s="56" t="str">
        <f>IF(COUNTIFS('LANÇAMENTOS DIÁRIOS'!$G$5:$G$500,"H",'LANÇAMENTOS DIÁRIOS'!$C$5:$C$500,$A42,'LANÇAMENTOS DIÁRIOS'!$O$5:$O$500,"&lt;=124899",'LANÇAMENTOS DIÁRIOS'!$P$5:$P$500,"&gt;=124800")&gt;0,"X","")</f>
      </c>
      <c r="G42" s="56" t="str">
        <f>IF(COUNTIFS('LANÇAMENTOS DIÁRIOS'!$G$5:$G$500,"H",'LANÇAMENTOS DIÁRIOS'!$C$5:$C$500,$A42,'LANÇAMENTOS DIÁRIOS'!$O$5:$O$500,"&lt;=124999",'LANÇAMENTOS DIÁRIOS'!$P$5:$P$500,"&gt;=124900")&gt;0,"X","")</f>
      </c>
      <c r="H42" s="56" t="str">
        <f>IF(COUNTIFS('LANÇAMENTOS DIÁRIOS'!$G$5:$G$500,"H",'LANÇAMENTOS DIÁRIOS'!$C$5:$C$500,$A42,'LANÇAMENTOS DIÁRIOS'!$O$5:$O$500,"&lt;=125099",'LANÇAMENTOS DIÁRIOS'!$P$5:$P$500,"&gt;=125000")&gt;0,"X","")</f>
      </c>
      <c r="I42" s="56" t="str">
        <f>IF(COUNTIFS('LANÇAMENTOS DIÁRIOS'!$G$5:$G$500,"H",'LANÇAMENTOS DIÁRIOS'!$C$5:$C$500,$A42,'LANÇAMENTOS DIÁRIOS'!$O$5:$O$500,"&lt;=125199",'LANÇAMENTOS DIÁRIOS'!$P$5:$P$500,"&gt;=125100")&gt;0,"X","")</f>
      </c>
      <c r="J42" s="56" t="str">
        <f>IF(COUNTIFS('LANÇAMENTOS DIÁRIOS'!$G$5:$G$500,"H",'LANÇAMENTOS DIÁRIOS'!$C$5:$C$500,$A42,'LANÇAMENTOS DIÁRIOS'!$O$5:$O$500,"&lt;=125299",'LANÇAMENTOS DIÁRIOS'!$P$5:$P$500,"&gt;=125200")&gt;0,"X","")</f>
      </c>
      <c r="K42" s="56" t="str">
        <f>IF(COUNTIFS('LANÇAMENTOS DIÁRIOS'!$G$5:$G$500,"H",'LANÇAMENTOS DIÁRIOS'!$C$5:$C$500,$A42,'LANÇAMENTOS DIÁRIOS'!$O$5:$O$500,"&lt;=125399",'LANÇAMENTOS DIÁRIOS'!$P$5:$P$500,"&gt;=125300")&gt;0,"X","")</f>
      </c>
      <c r="L42" s="56" t="str">
        <f>IF(COUNTIFS('LANÇAMENTOS DIÁRIOS'!$G$5:$G$500,"H",'LANÇAMENTOS DIÁRIOS'!$C$5:$C$500,$A42,'LANÇAMENTOS DIÁRIOS'!$O$5:$O$500,"&lt;=125499",'LANÇAMENTOS DIÁRIOS'!$P$5:$P$500,"&gt;=125400")&gt;0,"X","")</f>
      </c>
      <c r="M42" s="56" t="str">
        <f>IF(COUNTIFS('LANÇAMENTOS DIÁRIOS'!$G$5:$G$500,"H",'LANÇAMENTOS DIÁRIOS'!$C$5:$C$500,$A42,'LANÇAMENTOS DIÁRIOS'!$O$5:$O$500,"&lt;=125599",'LANÇAMENTOS DIÁRIOS'!$P$5:$P$500,"&gt;=125500")&gt;0,"X","")</f>
      </c>
      <c r="N42" s="56" t="str">
        <f>IF(COUNTIFS('LANÇAMENTOS DIÁRIOS'!$G$5:$G$500,"H",'LANÇAMENTOS DIÁRIOS'!$C$5:$C$500,$A42,'LANÇAMENTOS DIÁRIOS'!$O$5:$O$500,"&lt;=125699",'LANÇAMENTOS DIÁRIOS'!$P$5:$P$500,"&gt;=125600")&gt;0,"X","")</f>
      </c>
      <c r="O42" s="56" t="str">
        <f>IF(COUNTIFS('LANÇAMENTOS DIÁRIOS'!$G$5:$G$500,"H",'LANÇAMENTOS DIÁRIOS'!$C$5:$C$500,$A42,'LANÇAMENTOS DIÁRIOS'!$O$5:$O$500,"&lt;=125799",'LANÇAMENTOS DIÁRIOS'!$P$5:$P$500,"&gt;=125700")&gt;0,"X","")</f>
      </c>
      <c r="P42" s="56" t="str">
        <f>IF(COUNTIFS('LANÇAMENTOS DIÁRIOS'!$G$5:$G$500,"H",'LANÇAMENTOS DIÁRIOS'!$C$5:$C$500,$A42,'LANÇAMENTOS DIÁRIOS'!$O$5:$O$500,"&lt;=125899",'LANÇAMENTOS DIÁRIOS'!$P$5:$P$500,"&gt;=125800")&gt;0,"X","")</f>
      </c>
      <c r="Q42" s="56" t="str">
        <f>IF(COUNTIFS('LANÇAMENTOS DIÁRIOS'!$G$5:$G$500,"H",'LANÇAMENTOS DIÁRIOS'!$C$5:$C$500,$A42,'LANÇAMENTOS DIÁRIOS'!$O$5:$O$500,"&lt;=125999",'LANÇAMENTOS DIÁRIOS'!$P$5:$P$500,"&gt;=125900")&gt;0,"X","")</f>
      </c>
      <c r="R42" s="56" t="str">
        <f>IF(COUNTIFS('LANÇAMENTOS DIÁRIOS'!$G$5:$G$500,"H",'LANÇAMENTOS DIÁRIOS'!$C$5:$C$500,$A42,'LANÇAMENTOS DIÁRIOS'!$O$5:$O$500,"&lt;=126099",'LANÇAMENTOS DIÁRIOS'!$P$5:$P$500,"&gt;=126000")&gt;0,"X","")</f>
      </c>
      <c r="S42" s="56" t="str">
        <f>IF(COUNTIFS('LANÇAMENTOS DIÁRIOS'!$G$5:$G$500,"H",'LANÇAMENTOS DIÁRIOS'!$C$5:$C$500,$A42,'LANÇAMENTOS DIÁRIOS'!$O$5:$O$500,"&lt;=126199",'LANÇAMENTOS DIÁRIOS'!$P$5:$P$500,"&gt;=126100")&gt;0,"X","")</f>
      </c>
      <c r="T42" s="56" t="str">
        <f>IF(COUNTIFS('LANÇAMENTOS DIÁRIOS'!$G$5:$G$500,"H",'LANÇAMENTOS DIÁRIOS'!$C$5:$C$500,$A42,'LANÇAMENTOS DIÁRIOS'!$O$5:$O$500,"&lt;=126299",'LANÇAMENTOS DIÁRIOS'!$P$5:$P$500,"&gt;=126200")&gt;0,"X","")</f>
      </c>
      <c r="U42" s="56" t="str">
        <f>IF(COUNTIFS('LANÇAMENTOS DIÁRIOS'!$G$5:$G$500,"H",'LANÇAMENTOS DIÁRIOS'!$C$5:$C$500,$A42,'LANÇAMENTOS DIÁRIOS'!$O$5:$O$500,"&lt;=126399",'LANÇAMENTOS DIÁRIOS'!$P$5:$P$500,"&gt;=126300")&gt;0,"X","")</f>
      </c>
      <c r="V42" s="56" t="str">
        <f>IF(COUNTIFS('LANÇAMENTOS DIÁRIOS'!$G$5:$G$500,"H",'LANÇAMENTOS DIÁRIOS'!$C$5:$C$500,$A42,'LANÇAMENTOS DIÁRIOS'!$O$5:$O$500,"&lt;=126499",'LANÇAMENTOS DIÁRIOS'!$P$5:$P$500,"&gt;=126400")&gt;0,"X","")</f>
      </c>
      <c r="W42" s="56" t="str">
        <f>IF(COUNTIFS('LANÇAMENTOS DIÁRIOS'!$G$5:$G$500,"H",'LANÇAMENTOS DIÁRIOS'!$C$5:$C$500,$A42,'LANÇAMENTOS DIÁRIOS'!$O$5:$O$500,"&lt;=126599",'LANÇAMENTOS DIÁRIOS'!$P$5:$P$500,"&gt;=126500")&gt;0,"X","")</f>
      </c>
      <c r="X42" s="56" t="str">
        <f>IF(COUNTIFS('LANÇAMENTOS DIÁRIOS'!$G$5:$G$500,"H",'LANÇAMENTOS DIÁRIOS'!$C$5:$C$500,$A42,'LANÇAMENTOS DIÁRIOS'!$O$5:$O$500,"&lt;=126699",'LANÇAMENTOS DIÁRIOS'!$P$5:$P$500,"&gt;=126600")&gt;0,"X","")</f>
      </c>
      <c r="Y42" s="56" t="str">
        <f>IF(COUNTIFS('LANÇAMENTOS DIÁRIOS'!$G$5:$G$500,"H",'LANÇAMENTOS DIÁRIOS'!$C$5:$C$500,$A42,'LANÇAMENTOS DIÁRIOS'!$O$5:$O$500,"&lt;=126799",'LANÇAMENTOS DIÁRIOS'!$P$5:$P$500,"&gt;=126700")&gt;0,"X","")</f>
      </c>
      <c r="Z42" s="56" t="str">
        <f>IF(COUNTIFS('LANÇAMENTOS DIÁRIOS'!$G$5:$G$500,"H",'LANÇAMENTOS DIÁRIOS'!$C$5:$C$500,$A42,'LANÇAMENTOS DIÁRIOS'!$O$5:$O$500,"&lt;=126899",'LANÇAMENTOS DIÁRIOS'!$P$5:$P$500,"&gt;=126800")&gt;0,"X","")</f>
      </c>
      <c r="AA42" s="56" t="str">
        <f>IF(COUNTIFS('LANÇAMENTOS DIÁRIOS'!$G$5:$G$500,"H",'LANÇAMENTOS DIÁRIOS'!$C$5:$C$500,$A42,'LANÇAMENTOS DIÁRIOS'!$O$5:$O$500,"&lt;=126999",'LANÇAMENTOS DIÁRIOS'!$P$5:$P$500,"&gt;=126900")&gt;0,"X","")</f>
      </c>
      <c r="AB42" s="56" t="str">
        <f>IF(COUNTIFS('LANÇAMENTOS DIÁRIOS'!$G$5:$G$500,"H",'LANÇAMENTOS DIÁRIOS'!$C$5:$C$500,$A42,'LANÇAMENTOS DIÁRIOS'!$O$5:$O$500,"&lt;=127099",'LANÇAMENTOS DIÁRIOS'!$P$5:$P$500,"&gt;=127000")&gt;0,"X","")</f>
      </c>
      <c r="AC42" s="56" t="str">
        <f>IF(COUNTIFS('LANÇAMENTOS DIÁRIOS'!$G$5:$G$500,"H",'LANÇAMENTOS DIÁRIOS'!$C$5:$C$500,$A42,'LANÇAMENTOS DIÁRIOS'!$O$5:$O$500,"&lt;=127199",'LANÇAMENTOS DIÁRIOS'!$P$5:$P$500,"&gt;=127100")&gt;0,"X","")</f>
      </c>
      <c r="AD42" s="56" t="str">
        <f>IF(COUNTIFS('LANÇAMENTOS DIÁRIOS'!$G$5:$G$500,"H",'LANÇAMENTOS DIÁRIOS'!$C$5:$C$500,$A42,'LANÇAMENTOS DIÁRIOS'!$O$5:$O$500,"&lt;=127299",'LANÇAMENTOS DIÁRIOS'!$P$5:$P$500,"&gt;=127200")&gt;0,"X","")</f>
      </c>
      <c r="AE42" s="56" t="str">
        <f>IF(COUNTIFS('LANÇAMENTOS DIÁRIOS'!$G$5:$G$500,"H",'LANÇAMENTOS DIÁRIOS'!$C$5:$C$500,$A42,'LANÇAMENTOS DIÁRIOS'!$O$5:$O$500,"&lt;=127399",'LANÇAMENTOS DIÁRIOS'!$P$5:$P$500,"&gt;=127300")&gt;0,"X","")</f>
      </c>
      <c r="AF42" s="56" t="str">
        <f>IF(COUNTIFS('LANÇAMENTOS DIÁRIOS'!$G$5:$G$500,"H",'LANÇAMENTOS DIÁRIOS'!$C$5:$C$500,$A42,'LANÇAMENTOS DIÁRIOS'!$O$5:$O$500,"&lt;=127499",'LANÇAMENTOS DIÁRIOS'!$P$5:$P$500,"&gt;=127400")&gt;0,"X","")</f>
      </c>
      <c r="AG42" s="56" t="str">
        <f>IF(COUNTIFS('LANÇAMENTOS DIÁRIOS'!$G$5:$G$500,"H",'LANÇAMENTOS DIÁRIOS'!$C$5:$C$500,$A42,'LANÇAMENTOS DIÁRIOS'!$O$5:$O$500,"&lt;=127599",'LANÇAMENTOS DIÁRIOS'!$P$5:$P$500,"&gt;=127500")&gt;0,"X","")</f>
      </c>
      <c r="AH42" s="56" t="str">
        <f>IF(COUNTIFS('LANÇAMENTOS DIÁRIOS'!$G$5:$G$500,"H",'LANÇAMENTOS DIÁRIOS'!$C$5:$C$500,$A42,'LANÇAMENTOS DIÁRIOS'!$O$5:$O$500,"&lt;=127699",'LANÇAMENTOS DIÁRIOS'!$P$5:$P$500,"&gt;=127600")&gt;0,"X","")</f>
      </c>
      <c r="AI42" s="56" t="str">
        <f>IF(COUNTIFS('LANÇAMENTOS DIÁRIOS'!$G$5:$G$500,"H",'LANÇAMENTOS DIÁRIOS'!$C$5:$C$500,$A42,'LANÇAMENTOS DIÁRIOS'!$O$5:$O$500,"&lt;=127799",'LANÇAMENTOS DIÁRIOS'!$P$5:$P$500,"&gt;=127700")&gt;0,"X","")</f>
      </c>
      <c r="AJ42" s="56" t="str">
        <f>IF(COUNTIFS('LANÇAMENTOS DIÁRIOS'!$G$5:$G$500,"H",'LANÇAMENTOS DIÁRIOS'!$C$5:$C$500,$A42,'LANÇAMENTOS DIÁRIOS'!$O$5:$O$500,"&lt;=127899",'LANÇAMENTOS DIÁRIOS'!$P$5:$P$500,"&gt;=127800")&gt;0,"X","")</f>
      </c>
      <c r="AK42" s="56" t="str">
        <f>IF(COUNTIFS('LANÇAMENTOS DIÁRIOS'!$G$5:$G$500,"H",'LANÇAMENTOS DIÁRIOS'!$C$5:$C$500,$A42,'LANÇAMENTOS DIÁRIOS'!$O$5:$O$500,"&lt;=127999",'LANÇAMENTOS DIÁRIOS'!$P$5:$P$500,"&gt;=127900")&gt;0,"X","")</f>
      </c>
      <c r="AL42" s="56" t="str">
        <f>IF(COUNTIFS('LANÇAMENTOS DIÁRIOS'!$G$5:$G$500,"H",'LANÇAMENTOS DIÁRIOS'!$C$5:$C$500,$A42,'LANÇAMENTOS DIÁRIOS'!$O$5:$O$500,"&lt;=128099",'LANÇAMENTOS DIÁRIOS'!$P$5:$P$500,"&gt;=128000")&gt;0,"X","")</f>
      </c>
      <c r="AM42" s="56" t="str">
        <f>IF(COUNTIFS('LANÇAMENTOS DIÁRIOS'!$G$5:$G$500,"H",'LANÇAMENTOS DIÁRIOS'!$C$5:$C$500,$A42,'LANÇAMENTOS DIÁRIOS'!$O$5:$O$500,"&lt;=128199",'LANÇAMENTOS DIÁRIOS'!$P$5:$P$500,"&gt;=128100")&gt;0,"X","")</f>
      </c>
      <c r="AN42" s="56" t="str">
        <f>IF(COUNTIFS('LANÇAMENTOS DIÁRIOS'!$G$5:$G$500,"H",'LANÇAMENTOS DIÁRIOS'!$C$5:$C$500,$A42,'LANÇAMENTOS DIÁRIOS'!$O$5:$O$500,"&lt;=128299",'LANÇAMENTOS DIÁRIOS'!$P$5:$P$500,"&gt;=128200")&gt;0,"X","")</f>
      </c>
      <c r="AO42" s="56" t="str">
        <f>IF(COUNTIFS('LANÇAMENTOS DIÁRIOS'!$G$5:$G$500,"H",'LANÇAMENTOS DIÁRIOS'!$C$5:$C$500,$A42,'LANÇAMENTOS DIÁRIOS'!$O$5:$O$500,"&lt;=128399",'LANÇAMENTOS DIÁRIOS'!$P$5:$P$500,"&gt;=128300")&gt;0,"X","")</f>
      </c>
      <c r="AP42" s="56" t="str">
        <f>IF(COUNTIFS('LANÇAMENTOS DIÁRIOS'!$G$5:$G$500,"H",'LANÇAMENTOS DIÁRIOS'!$C$5:$C$500,$A42,'LANÇAMENTOS DIÁRIOS'!$O$5:$O$500,"&lt;=128499",'LANÇAMENTOS DIÁRIOS'!$P$5:$P$500,"&gt;=128400")&gt;0,"X","")</f>
      </c>
      <c r="AQ42" s="56" t="str">
        <f>IF(COUNTIFS('LANÇAMENTOS DIÁRIOS'!$G$5:$G$500,"H",'LANÇAMENTOS DIÁRIOS'!$C$5:$C$500,$A42,'LANÇAMENTOS DIÁRIOS'!$O$5:$O$500,"&lt;=128599",'LANÇAMENTOS DIÁRIOS'!$P$5:$P$500,"&gt;=128500")&gt;0,"X","")</f>
      </c>
      <c r="AR42" s="56" t="str">
        <f>IF(COUNTIFS('LANÇAMENTOS DIÁRIOS'!$G$5:$G$500,"H",'LANÇAMENTOS DIÁRIOS'!$C$5:$C$500,$A42,'LANÇAMENTOS DIÁRIOS'!$O$5:$O$500,"&lt;=128699",'LANÇAMENTOS DIÁRIOS'!$P$5:$P$500,"&gt;=128600")&gt;0,"X","")</f>
      </c>
      <c r="AS42" s="56" t="str">
        <f>IF(COUNTIFS('LANÇAMENTOS DIÁRIOS'!$G$5:$G$500,"H",'LANÇAMENTOS DIÁRIOS'!$C$5:$C$500,$A42,'LANÇAMENTOS DIÁRIOS'!$O$5:$O$500,"&lt;=128799",'LANÇAMENTOS DIÁRIOS'!$P$5:$P$500,"&gt;=128700")&gt;0,"X","")</f>
      </c>
      <c r="AT42" s="56" t="str">
        <f>IF(COUNTIFS('LANÇAMENTOS DIÁRIOS'!$G$5:$G$500,"H",'LANÇAMENTOS DIÁRIOS'!$C$5:$C$500,$A42,'LANÇAMENTOS DIÁRIOS'!$O$5:$O$500,"&lt;=128899",'LANÇAMENTOS DIÁRIOS'!$P$5:$P$500,"&gt;=128800")&gt;0,"X","")</f>
      </c>
      <c r="AU42" s="56" t="str">
        <f>IF(COUNTIFS('LANÇAMENTOS DIÁRIOS'!$G$5:$G$500,"H",'LANÇAMENTOS DIÁRIOS'!$C$5:$C$500,$A42,'LANÇAMENTOS DIÁRIOS'!$O$5:$O$500,"&lt;=128999",'LANÇAMENTOS DIÁRIOS'!$P$5:$P$500,"&gt;=128900")&gt;0,"X","")</f>
      </c>
      <c r="AV42" s="56" t="str">
        <f>IF(COUNTIFS('LANÇAMENTOS DIÁRIOS'!$G$5:$G$500,"H",'LANÇAMENTOS DIÁRIOS'!$C$5:$C$500,$A42,'LANÇAMENTOS DIÁRIOS'!$O$5:$O$500,"&lt;=129099",'LANÇAMENTOS DIÁRIOS'!$P$5:$P$500,"&gt;=129000")&gt;0,"X","")</f>
      </c>
      <c r="AW42" s="56" t="str">
        <f>IF(COUNTIFS('LANÇAMENTOS DIÁRIOS'!$G$5:$G$500,"H",'LANÇAMENTOS DIÁRIOS'!$C$5:$C$500,$A42,'LANÇAMENTOS DIÁRIOS'!$O$5:$O$500,"&lt;=129199",'LANÇAMENTOS DIÁRIOS'!$P$5:$P$500,"&gt;=129100")&gt;0,"X","")</f>
      </c>
      <c r="AX42" s="56" t="str">
        <f>IF(COUNTIFS('LANÇAMENTOS DIÁRIOS'!$G$5:$G$500,"H",'LANÇAMENTOS DIÁRIOS'!$C$5:$C$500,$A42,'LANÇAMENTOS DIÁRIOS'!$O$5:$O$500,"&lt;=129299",'LANÇAMENTOS DIÁRIOS'!$P$5:$P$500,"&gt;=129200")&gt;0,"X","")</f>
      </c>
      <c r="AY42" s="56" t="str">
        <f>IF(COUNTIFS('LANÇAMENTOS DIÁRIOS'!$G$5:$G$500,"H",'LANÇAMENTOS DIÁRIOS'!$C$5:$C$500,$A42,'LANÇAMENTOS DIÁRIOS'!$O$5:$O$500,"&lt;=129399",'LANÇAMENTOS DIÁRIOS'!$P$5:$P$500,"&gt;=129300")&gt;0,"X","")</f>
      </c>
      <c r="AZ42" s="56" t="str">
        <f>IF(COUNTIFS('LANÇAMENTOS DIÁRIOS'!$G$5:$G$500,"H",'LANÇAMENTOS DIÁRIOS'!$C$5:$C$500,$A42,'LANÇAMENTOS DIÁRIOS'!$O$5:$O$500,"&lt;=129400",'LANÇAMENTOS DIÁRIOS'!$P$5:$P$500,"&gt;=129400")&gt;0,"X","")</f>
      </c>
    </row>
    <row r="43">
      <c r="A43" s="51" t="str">
        <v>Escavação de material de 1ª e 2ª categoria</v>
      </c>
      <c r="B43" s="56" t="str">
        <f>IF(COUNTIFS('LANÇAMENTOS DIÁRIOS'!$G$5:$G$500,"H",'LANÇAMENTOS DIÁRIOS'!$C$5:$C$500,$A43,'LANÇAMENTOS DIÁRIOS'!$O$5:$O$500,"&lt;=124499",'LANÇAMENTOS DIÁRIOS'!$P$5:$P$500,"&gt;=124400")&gt;0,"X","")</f>
      </c>
      <c r="C43" s="56" t="str">
        <f>IF(COUNTIFS('LANÇAMENTOS DIÁRIOS'!$G$5:$G$500,"H",'LANÇAMENTOS DIÁRIOS'!$C$5:$C$500,$A43,'LANÇAMENTOS DIÁRIOS'!$O$5:$O$500,"&lt;=124599",'LANÇAMENTOS DIÁRIOS'!$P$5:$P$500,"&gt;=124500")&gt;0,"X","")</f>
      </c>
      <c r="D43" s="56" t="str">
        <f>IF(COUNTIFS('LANÇAMENTOS DIÁRIOS'!$G$5:$G$500,"H",'LANÇAMENTOS DIÁRIOS'!$C$5:$C$500,$A43,'LANÇAMENTOS DIÁRIOS'!$O$5:$O$500,"&lt;=124699",'LANÇAMENTOS DIÁRIOS'!$P$5:$P$500,"&gt;=124600")&gt;0,"X","")</f>
      </c>
      <c r="E43" s="56" t="str">
        <f>IF(COUNTIFS('LANÇAMENTOS DIÁRIOS'!$G$5:$G$500,"H",'LANÇAMENTOS DIÁRIOS'!$C$5:$C$500,$A43,'LANÇAMENTOS DIÁRIOS'!$O$5:$O$500,"&lt;=124799",'LANÇAMENTOS DIÁRIOS'!$P$5:$P$500,"&gt;=124700")&gt;0,"X","")</f>
      </c>
      <c r="F43" s="56" t="str">
        <f>IF(COUNTIFS('LANÇAMENTOS DIÁRIOS'!$G$5:$G$500,"H",'LANÇAMENTOS DIÁRIOS'!$C$5:$C$500,$A43,'LANÇAMENTOS DIÁRIOS'!$O$5:$O$500,"&lt;=124899",'LANÇAMENTOS DIÁRIOS'!$P$5:$P$500,"&gt;=124800")&gt;0,"X","")</f>
      </c>
      <c r="G43" s="56" t="str">
        <f>IF(COUNTIFS('LANÇAMENTOS DIÁRIOS'!$G$5:$G$500,"H",'LANÇAMENTOS DIÁRIOS'!$C$5:$C$500,$A43,'LANÇAMENTOS DIÁRIOS'!$O$5:$O$500,"&lt;=124999",'LANÇAMENTOS DIÁRIOS'!$P$5:$P$500,"&gt;=124900")&gt;0,"X","")</f>
      </c>
      <c r="H43" s="56" t="str">
        <f>IF(COUNTIFS('LANÇAMENTOS DIÁRIOS'!$G$5:$G$500,"H",'LANÇAMENTOS DIÁRIOS'!$C$5:$C$500,$A43,'LANÇAMENTOS DIÁRIOS'!$O$5:$O$500,"&lt;=125099",'LANÇAMENTOS DIÁRIOS'!$P$5:$P$500,"&gt;=125000")&gt;0,"X","")</f>
      </c>
      <c r="I43" s="56" t="str">
        <f>IF(COUNTIFS('LANÇAMENTOS DIÁRIOS'!$G$5:$G$500,"H",'LANÇAMENTOS DIÁRIOS'!$C$5:$C$500,$A43,'LANÇAMENTOS DIÁRIOS'!$O$5:$O$500,"&lt;=125199",'LANÇAMENTOS DIÁRIOS'!$P$5:$P$500,"&gt;=125100")&gt;0,"X","")</f>
      </c>
      <c r="J43" s="56" t="str">
        <f>IF(COUNTIFS('LANÇAMENTOS DIÁRIOS'!$G$5:$G$500,"H",'LANÇAMENTOS DIÁRIOS'!$C$5:$C$500,$A43,'LANÇAMENTOS DIÁRIOS'!$O$5:$O$500,"&lt;=125299",'LANÇAMENTOS DIÁRIOS'!$P$5:$P$500,"&gt;=125200")&gt;0,"X","")</f>
      </c>
      <c r="K43" s="56" t="str">
        <f>IF(COUNTIFS('LANÇAMENTOS DIÁRIOS'!$G$5:$G$500,"H",'LANÇAMENTOS DIÁRIOS'!$C$5:$C$500,$A43,'LANÇAMENTOS DIÁRIOS'!$O$5:$O$500,"&lt;=125399",'LANÇAMENTOS DIÁRIOS'!$P$5:$P$500,"&gt;=125300")&gt;0,"X","")</f>
      </c>
      <c r="L43" s="56" t="str">
        <f>IF(COUNTIFS('LANÇAMENTOS DIÁRIOS'!$G$5:$G$500,"H",'LANÇAMENTOS DIÁRIOS'!$C$5:$C$500,$A43,'LANÇAMENTOS DIÁRIOS'!$O$5:$O$500,"&lt;=125499",'LANÇAMENTOS DIÁRIOS'!$P$5:$P$500,"&gt;=125400")&gt;0,"X","")</f>
      </c>
      <c r="M43" s="56" t="str">
        <f>IF(COUNTIFS('LANÇAMENTOS DIÁRIOS'!$G$5:$G$500,"H",'LANÇAMENTOS DIÁRIOS'!$C$5:$C$500,$A43,'LANÇAMENTOS DIÁRIOS'!$O$5:$O$500,"&lt;=125599",'LANÇAMENTOS DIÁRIOS'!$P$5:$P$500,"&gt;=125500")&gt;0,"X","")</f>
      </c>
      <c r="N43" s="56" t="str">
        <f>IF(COUNTIFS('LANÇAMENTOS DIÁRIOS'!$G$5:$G$500,"H",'LANÇAMENTOS DIÁRIOS'!$C$5:$C$500,$A43,'LANÇAMENTOS DIÁRIOS'!$O$5:$O$500,"&lt;=125699",'LANÇAMENTOS DIÁRIOS'!$P$5:$P$500,"&gt;=125600")&gt;0,"X","")</f>
      </c>
      <c r="O43" s="56" t="str">
        <f>IF(COUNTIFS('LANÇAMENTOS DIÁRIOS'!$G$5:$G$500,"H",'LANÇAMENTOS DIÁRIOS'!$C$5:$C$500,$A43,'LANÇAMENTOS DIÁRIOS'!$O$5:$O$500,"&lt;=125799",'LANÇAMENTOS DIÁRIOS'!$P$5:$P$500,"&gt;=125700")&gt;0,"X","")</f>
      </c>
      <c r="P43" s="56" t="str">
        <f>IF(COUNTIFS('LANÇAMENTOS DIÁRIOS'!$G$5:$G$500,"H",'LANÇAMENTOS DIÁRIOS'!$C$5:$C$500,$A43,'LANÇAMENTOS DIÁRIOS'!$O$5:$O$500,"&lt;=125899",'LANÇAMENTOS DIÁRIOS'!$P$5:$P$500,"&gt;=125800")&gt;0,"X","")</f>
      </c>
      <c r="Q43" s="56" t="str">
        <f>IF(COUNTIFS('LANÇAMENTOS DIÁRIOS'!$G$5:$G$500,"H",'LANÇAMENTOS DIÁRIOS'!$C$5:$C$500,$A43,'LANÇAMENTOS DIÁRIOS'!$O$5:$O$500,"&lt;=125999",'LANÇAMENTOS DIÁRIOS'!$P$5:$P$500,"&gt;=125900")&gt;0,"X","")</f>
      </c>
      <c r="R43" s="56" t="str">
        <f>IF(COUNTIFS('LANÇAMENTOS DIÁRIOS'!$G$5:$G$500,"H",'LANÇAMENTOS DIÁRIOS'!$C$5:$C$500,$A43,'LANÇAMENTOS DIÁRIOS'!$O$5:$O$500,"&lt;=126099",'LANÇAMENTOS DIÁRIOS'!$P$5:$P$500,"&gt;=126000")&gt;0,"X","")</f>
      </c>
      <c r="S43" s="56" t="str">
        <f>IF(COUNTIFS('LANÇAMENTOS DIÁRIOS'!$G$5:$G$500,"H",'LANÇAMENTOS DIÁRIOS'!$C$5:$C$500,$A43,'LANÇAMENTOS DIÁRIOS'!$O$5:$O$500,"&lt;=126199",'LANÇAMENTOS DIÁRIOS'!$P$5:$P$500,"&gt;=126100")&gt;0,"X","")</f>
      </c>
      <c r="T43" s="56" t="str">
        <f>IF(COUNTIFS('LANÇAMENTOS DIÁRIOS'!$G$5:$G$500,"H",'LANÇAMENTOS DIÁRIOS'!$C$5:$C$500,$A43,'LANÇAMENTOS DIÁRIOS'!$O$5:$O$500,"&lt;=126299",'LANÇAMENTOS DIÁRIOS'!$P$5:$P$500,"&gt;=126200")&gt;0,"X","")</f>
      </c>
      <c r="U43" s="56" t="str">
        <f>IF(COUNTIFS('LANÇAMENTOS DIÁRIOS'!$G$5:$G$500,"H",'LANÇAMENTOS DIÁRIOS'!$C$5:$C$500,$A43,'LANÇAMENTOS DIÁRIOS'!$O$5:$O$500,"&lt;=126399",'LANÇAMENTOS DIÁRIOS'!$P$5:$P$500,"&gt;=126300")&gt;0,"X","")</f>
      </c>
      <c r="V43" s="56" t="str">
        <f>IF(COUNTIFS('LANÇAMENTOS DIÁRIOS'!$G$5:$G$500,"H",'LANÇAMENTOS DIÁRIOS'!$C$5:$C$500,$A43,'LANÇAMENTOS DIÁRIOS'!$O$5:$O$500,"&lt;=126499",'LANÇAMENTOS DIÁRIOS'!$P$5:$P$500,"&gt;=126400")&gt;0,"X","")</f>
      </c>
      <c r="W43" s="56" t="str">
        <f>IF(COUNTIFS('LANÇAMENTOS DIÁRIOS'!$G$5:$G$500,"H",'LANÇAMENTOS DIÁRIOS'!$C$5:$C$500,$A43,'LANÇAMENTOS DIÁRIOS'!$O$5:$O$500,"&lt;=126599",'LANÇAMENTOS DIÁRIOS'!$P$5:$P$500,"&gt;=126500")&gt;0,"X","")</f>
      </c>
      <c r="X43" s="56" t="str">
        <f>IF(COUNTIFS('LANÇAMENTOS DIÁRIOS'!$G$5:$G$500,"H",'LANÇAMENTOS DIÁRIOS'!$C$5:$C$500,$A43,'LANÇAMENTOS DIÁRIOS'!$O$5:$O$500,"&lt;=126699",'LANÇAMENTOS DIÁRIOS'!$P$5:$P$500,"&gt;=126600")&gt;0,"X","")</f>
      </c>
      <c r="Y43" s="56" t="str">
        <f>IF(COUNTIFS('LANÇAMENTOS DIÁRIOS'!$G$5:$G$500,"H",'LANÇAMENTOS DIÁRIOS'!$C$5:$C$500,$A43,'LANÇAMENTOS DIÁRIOS'!$O$5:$O$500,"&lt;=126799",'LANÇAMENTOS DIÁRIOS'!$P$5:$P$500,"&gt;=126700")&gt;0,"X","")</f>
      </c>
      <c r="Z43" s="56" t="str">
        <f>IF(COUNTIFS('LANÇAMENTOS DIÁRIOS'!$G$5:$G$500,"H",'LANÇAMENTOS DIÁRIOS'!$C$5:$C$500,$A43,'LANÇAMENTOS DIÁRIOS'!$O$5:$O$500,"&lt;=126899",'LANÇAMENTOS DIÁRIOS'!$P$5:$P$500,"&gt;=126800")&gt;0,"X","")</f>
      </c>
      <c r="AA43" s="56" t="str">
        <f>IF(COUNTIFS('LANÇAMENTOS DIÁRIOS'!$G$5:$G$500,"H",'LANÇAMENTOS DIÁRIOS'!$C$5:$C$500,$A43,'LANÇAMENTOS DIÁRIOS'!$O$5:$O$500,"&lt;=126999",'LANÇAMENTOS DIÁRIOS'!$P$5:$P$500,"&gt;=126900")&gt;0,"X","")</f>
      </c>
      <c r="AB43" s="56" t="str">
        <f>IF(COUNTIFS('LANÇAMENTOS DIÁRIOS'!$G$5:$G$500,"H",'LANÇAMENTOS DIÁRIOS'!$C$5:$C$500,$A43,'LANÇAMENTOS DIÁRIOS'!$O$5:$O$500,"&lt;=127099",'LANÇAMENTOS DIÁRIOS'!$P$5:$P$500,"&gt;=127000")&gt;0,"X","")</f>
      </c>
      <c r="AC43" s="56" t="str">
        <f>IF(COUNTIFS('LANÇAMENTOS DIÁRIOS'!$G$5:$G$500,"H",'LANÇAMENTOS DIÁRIOS'!$C$5:$C$500,$A43,'LANÇAMENTOS DIÁRIOS'!$O$5:$O$500,"&lt;=127199",'LANÇAMENTOS DIÁRIOS'!$P$5:$P$500,"&gt;=127100")&gt;0,"X","")</f>
      </c>
      <c r="AD43" s="56" t="str">
        <f>IF(COUNTIFS('LANÇAMENTOS DIÁRIOS'!$G$5:$G$500,"H",'LANÇAMENTOS DIÁRIOS'!$C$5:$C$500,$A43,'LANÇAMENTOS DIÁRIOS'!$O$5:$O$500,"&lt;=127299",'LANÇAMENTOS DIÁRIOS'!$P$5:$P$500,"&gt;=127200")&gt;0,"X","")</f>
      </c>
      <c r="AE43" s="56" t="str">
        <f>IF(COUNTIFS('LANÇAMENTOS DIÁRIOS'!$G$5:$G$500,"H",'LANÇAMENTOS DIÁRIOS'!$C$5:$C$500,$A43,'LANÇAMENTOS DIÁRIOS'!$O$5:$O$500,"&lt;=127399",'LANÇAMENTOS DIÁRIOS'!$P$5:$P$500,"&gt;=127300")&gt;0,"X","")</f>
      </c>
      <c r="AF43" s="56" t="str">
        <f>IF(COUNTIFS('LANÇAMENTOS DIÁRIOS'!$G$5:$G$500,"H",'LANÇAMENTOS DIÁRIOS'!$C$5:$C$500,$A43,'LANÇAMENTOS DIÁRIOS'!$O$5:$O$500,"&lt;=127499",'LANÇAMENTOS DIÁRIOS'!$P$5:$P$500,"&gt;=127400")&gt;0,"X","")</f>
      </c>
      <c r="AG43" s="56" t="str">
        <f>IF(COUNTIFS('LANÇAMENTOS DIÁRIOS'!$G$5:$G$500,"H",'LANÇAMENTOS DIÁRIOS'!$C$5:$C$500,$A43,'LANÇAMENTOS DIÁRIOS'!$O$5:$O$500,"&lt;=127599",'LANÇAMENTOS DIÁRIOS'!$P$5:$P$500,"&gt;=127500")&gt;0,"X","")</f>
      </c>
      <c r="AH43" s="56" t="str">
        <f>IF(COUNTIFS('LANÇAMENTOS DIÁRIOS'!$G$5:$G$500,"H",'LANÇAMENTOS DIÁRIOS'!$C$5:$C$500,$A43,'LANÇAMENTOS DIÁRIOS'!$O$5:$O$500,"&lt;=127699",'LANÇAMENTOS DIÁRIOS'!$P$5:$P$500,"&gt;=127600")&gt;0,"X","")</f>
      </c>
      <c r="AI43" s="56" t="str">
        <f>IF(COUNTIFS('LANÇAMENTOS DIÁRIOS'!$G$5:$G$500,"H",'LANÇAMENTOS DIÁRIOS'!$C$5:$C$500,$A43,'LANÇAMENTOS DIÁRIOS'!$O$5:$O$500,"&lt;=127799",'LANÇAMENTOS DIÁRIOS'!$P$5:$P$500,"&gt;=127700")&gt;0,"X","")</f>
      </c>
      <c r="AJ43" s="56" t="str">
        <f>IF(COUNTIFS('LANÇAMENTOS DIÁRIOS'!$G$5:$G$500,"H",'LANÇAMENTOS DIÁRIOS'!$C$5:$C$500,$A43,'LANÇAMENTOS DIÁRIOS'!$O$5:$O$500,"&lt;=127899",'LANÇAMENTOS DIÁRIOS'!$P$5:$P$500,"&gt;=127800")&gt;0,"X","")</f>
      </c>
      <c r="AK43" s="56" t="str">
        <f>IF(COUNTIFS('LANÇAMENTOS DIÁRIOS'!$G$5:$G$500,"H",'LANÇAMENTOS DIÁRIOS'!$C$5:$C$500,$A43,'LANÇAMENTOS DIÁRIOS'!$O$5:$O$500,"&lt;=127999",'LANÇAMENTOS DIÁRIOS'!$P$5:$P$500,"&gt;=127900")&gt;0,"X","")</f>
      </c>
      <c r="AL43" s="56" t="str">
        <f>IF(COUNTIFS('LANÇAMENTOS DIÁRIOS'!$G$5:$G$500,"H",'LANÇAMENTOS DIÁRIOS'!$C$5:$C$500,$A43,'LANÇAMENTOS DIÁRIOS'!$O$5:$O$500,"&lt;=128099",'LANÇAMENTOS DIÁRIOS'!$P$5:$P$500,"&gt;=128000")&gt;0,"X","")</f>
      </c>
      <c r="AM43" s="56" t="str">
        <f>IF(COUNTIFS('LANÇAMENTOS DIÁRIOS'!$G$5:$G$500,"H",'LANÇAMENTOS DIÁRIOS'!$C$5:$C$500,$A43,'LANÇAMENTOS DIÁRIOS'!$O$5:$O$500,"&lt;=128199",'LANÇAMENTOS DIÁRIOS'!$P$5:$P$500,"&gt;=128100")&gt;0,"X","")</f>
      </c>
      <c r="AN43" s="56" t="str">
        <f>IF(COUNTIFS('LANÇAMENTOS DIÁRIOS'!$G$5:$G$500,"H",'LANÇAMENTOS DIÁRIOS'!$C$5:$C$500,$A43,'LANÇAMENTOS DIÁRIOS'!$O$5:$O$500,"&lt;=128299",'LANÇAMENTOS DIÁRIOS'!$P$5:$P$500,"&gt;=128200")&gt;0,"X","")</f>
      </c>
      <c r="AO43" s="56" t="str">
        <f>IF(COUNTIFS('LANÇAMENTOS DIÁRIOS'!$G$5:$G$500,"H",'LANÇAMENTOS DIÁRIOS'!$C$5:$C$500,$A43,'LANÇAMENTOS DIÁRIOS'!$O$5:$O$500,"&lt;=128399",'LANÇAMENTOS DIÁRIOS'!$P$5:$P$500,"&gt;=128300")&gt;0,"X","")</f>
      </c>
      <c r="AP43" s="56" t="str">
        <f>IF(COUNTIFS('LANÇAMENTOS DIÁRIOS'!$G$5:$G$500,"H",'LANÇAMENTOS DIÁRIOS'!$C$5:$C$500,$A43,'LANÇAMENTOS DIÁRIOS'!$O$5:$O$500,"&lt;=128499",'LANÇAMENTOS DIÁRIOS'!$P$5:$P$500,"&gt;=128400")&gt;0,"X","")</f>
      </c>
      <c r="AQ43" s="56" t="str">
        <f>IF(COUNTIFS('LANÇAMENTOS DIÁRIOS'!$G$5:$G$500,"H",'LANÇAMENTOS DIÁRIOS'!$C$5:$C$500,$A43,'LANÇAMENTOS DIÁRIOS'!$O$5:$O$500,"&lt;=128599",'LANÇAMENTOS DIÁRIOS'!$P$5:$P$500,"&gt;=128500")&gt;0,"X","")</f>
      </c>
      <c r="AR43" s="56" t="str">
        <f>IF(COUNTIFS('LANÇAMENTOS DIÁRIOS'!$G$5:$G$500,"H",'LANÇAMENTOS DIÁRIOS'!$C$5:$C$500,$A43,'LANÇAMENTOS DIÁRIOS'!$O$5:$O$500,"&lt;=128699",'LANÇAMENTOS DIÁRIOS'!$P$5:$P$500,"&gt;=128600")&gt;0,"X","")</f>
      </c>
      <c r="AS43" s="56" t="str">
        <f>IF(COUNTIFS('LANÇAMENTOS DIÁRIOS'!$G$5:$G$500,"H",'LANÇAMENTOS DIÁRIOS'!$C$5:$C$500,$A43,'LANÇAMENTOS DIÁRIOS'!$O$5:$O$500,"&lt;=128799",'LANÇAMENTOS DIÁRIOS'!$P$5:$P$500,"&gt;=128700")&gt;0,"X","")</f>
      </c>
      <c r="AT43" s="56" t="str">
        <f>IF(COUNTIFS('LANÇAMENTOS DIÁRIOS'!$G$5:$G$500,"H",'LANÇAMENTOS DIÁRIOS'!$C$5:$C$500,$A43,'LANÇAMENTOS DIÁRIOS'!$O$5:$O$500,"&lt;=128899",'LANÇAMENTOS DIÁRIOS'!$P$5:$P$500,"&gt;=128800")&gt;0,"X","")</f>
      </c>
      <c r="AU43" s="56" t="str">
        <f>IF(COUNTIFS('LANÇAMENTOS DIÁRIOS'!$G$5:$G$500,"H",'LANÇAMENTOS DIÁRIOS'!$C$5:$C$500,$A43,'LANÇAMENTOS DIÁRIOS'!$O$5:$O$500,"&lt;=128999",'LANÇAMENTOS DIÁRIOS'!$P$5:$P$500,"&gt;=128900")&gt;0,"X","")</f>
      </c>
      <c r="AV43" s="56" t="str">
        <f>IF(COUNTIFS('LANÇAMENTOS DIÁRIOS'!$G$5:$G$500,"H",'LANÇAMENTOS DIÁRIOS'!$C$5:$C$500,$A43,'LANÇAMENTOS DIÁRIOS'!$O$5:$O$500,"&lt;=129099",'LANÇAMENTOS DIÁRIOS'!$P$5:$P$500,"&gt;=129000")&gt;0,"X","")</f>
      </c>
      <c r="AW43" s="56" t="str">
        <f>IF(COUNTIFS('LANÇAMENTOS DIÁRIOS'!$G$5:$G$500,"H",'LANÇAMENTOS DIÁRIOS'!$C$5:$C$500,$A43,'LANÇAMENTOS DIÁRIOS'!$O$5:$O$500,"&lt;=129199",'LANÇAMENTOS DIÁRIOS'!$P$5:$P$500,"&gt;=129100")&gt;0,"X","")</f>
      </c>
      <c r="AX43" s="56" t="str">
        <f>IF(COUNTIFS('LANÇAMENTOS DIÁRIOS'!$G$5:$G$500,"H",'LANÇAMENTOS DIÁRIOS'!$C$5:$C$500,$A43,'LANÇAMENTOS DIÁRIOS'!$O$5:$O$500,"&lt;=129299",'LANÇAMENTOS DIÁRIOS'!$P$5:$P$500,"&gt;=129200")&gt;0,"X","")</f>
      </c>
      <c r="AY43" s="56" t="str">
        <f>IF(COUNTIFS('LANÇAMENTOS DIÁRIOS'!$G$5:$G$500,"H",'LANÇAMENTOS DIÁRIOS'!$C$5:$C$500,$A43,'LANÇAMENTOS DIÁRIOS'!$O$5:$O$500,"&lt;=129399",'LANÇAMENTOS DIÁRIOS'!$P$5:$P$500,"&gt;=129300")&gt;0,"X","")</f>
      </c>
      <c r="AZ43" s="56" t="str">
        <f>IF(COUNTIFS('LANÇAMENTOS DIÁRIOS'!$G$5:$G$500,"H",'LANÇAMENTOS DIÁRIOS'!$C$5:$C$500,$A43,'LANÇAMENTOS DIÁRIOS'!$O$5:$O$500,"&lt;=129400",'LANÇAMENTOS DIÁRIOS'!$P$5:$P$500,"&gt;=129400")&gt;0,"X","")</f>
      </c>
    </row>
    <row r="44" ht="19" customHeight="1">
      <c r="A44" s="68" t="str">
        <v>Aterro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</row>
    <row r="45">
      <c r="A45" s="51" t="str">
        <v>Compactação de aterro a 95% do proctor normal</v>
      </c>
      <c r="B45" s="56" t="str">
        <f>IF(COUNTIFS('LANÇAMENTOS DIÁRIOS'!$G$5:$G$500,"H",'LANÇAMENTOS DIÁRIOS'!$C$5:$C$500,$A45,'LANÇAMENTOS DIÁRIOS'!$O$5:$O$500,"&lt;=124499",'LANÇAMENTOS DIÁRIOS'!$P$5:$P$500,"&gt;=124400")&gt;0,"X","")</f>
      </c>
      <c r="C45" s="56" t="str">
        <f>IF(COUNTIFS('LANÇAMENTOS DIÁRIOS'!$G$5:$G$500,"H",'LANÇAMENTOS DIÁRIOS'!$C$5:$C$500,$A45,'LANÇAMENTOS DIÁRIOS'!$O$5:$O$500,"&lt;=124599",'LANÇAMENTOS DIÁRIOS'!$P$5:$P$500,"&gt;=124500")&gt;0,"X","")</f>
      </c>
      <c r="D45" s="56" t="str">
        <f>IF(COUNTIFS('LANÇAMENTOS DIÁRIOS'!$G$5:$G$500,"H",'LANÇAMENTOS DIÁRIOS'!$C$5:$C$500,$A45,'LANÇAMENTOS DIÁRIOS'!$O$5:$O$500,"&lt;=124699",'LANÇAMENTOS DIÁRIOS'!$P$5:$P$500,"&gt;=124600")&gt;0,"X","")</f>
      </c>
      <c r="E45" s="56" t="str">
        <f>IF(COUNTIFS('LANÇAMENTOS DIÁRIOS'!$G$5:$G$500,"H",'LANÇAMENTOS DIÁRIOS'!$C$5:$C$500,$A45,'LANÇAMENTOS DIÁRIOS'!$O$5:$O$500,"&lt;=124799",'LANÇAMENTOS DIÁRIOS'!$P$5:$P$500,"&gt;=124700")&gt;0,"X","")</f>
      </c>
      <c r="F45" s="56" t="str">
        <f>IF(COUNTIFS('LANÇAMENTOS DIÁRIOS'!$G$5:$G$500,"H",'LANÇAMENTOS DIÁRIOS'!$C$5:$C$500,$A45,'LANÇAMENTOS DIÁRIOS'!$O$5:$O$500,"&lt;=124899",'LANÇAMENTOS DIÁRIOS'!$P$5:$P$500,"&gt;=124800")&gt;0,"X","")</f>
      </c>
      <c r="G45" s="56" t="str">
        <f>IF(COUNTIFS('LANÇAMENTOS DIÁRIOS'!$G$5:$G$500,"H",'LANÇAMENTOS DIÁRIOS'!$C$5:$C$500,$A45,'LANÇAMENTOS DIÁRIOS'!$O$5:$O$500,"&lt;=124999",'LANÇAMENTOS DIÁRIOS'!$P$5:$P$500,"&gt;=124900")&gt;0,"X","")</f>
      </c>
      <c r="H45" s="56" t="str">
        <f>IF(COUNTIFS('LANÇAMENTOS DIÁRIOS'!$G$5:$G$500,"H",'LANÇAMENTOS DIÁRIOS'!$C$5:$C$500,$A45,'LANÇAMENTOS DIÁRIOS'!$O$5:$O$500,"&lt;=125099",'LANÇAMENTOS DIÁRIOS'!$P$5:$P$500,"&gt;=125000")&gt;0,"X","")</f>
      </c>
      <c r="I45" s="56" t="str">
        <f>IF(COUNTIFS('LANÇAMENTOS DIÁRIOS'!$G$5:$G$500,"H",'LANÇAMENTOS DIÁRIOS'!$C$5:$C$500,$A45,'LANÇAMENTOS DIÁRIOS'!$O$5:$O$500,"&lt;=125199",'LANÇAMENTOS DIÁRIOS'!$P$5:$P$500,"&gt;=125100")&gt;0,"X","")</f>
      </c>
      <c r="J45" s="56" t="str">
        <f>IF(COUNTIFS('LANÇAMENTOS DIÁRIOS'!$G$5:$G$500,"H",'LANÇAMENTOS DIÁRIOS'!$C$5:$C$500,$A45,'LANÇAMENTOS DIÁRIOS'!$O$5:$O$500,"&lt;=125299",'LANÇAMENTOS DIÁRIOS'!$P$5:$P$500,"&gt;=125200")&gt;0,"X","")</f>
      </c>
      <c r="K45" s="56" t="str">
        <f>IF(COUNTIFS('LANÇAMENTOS DIÁRIOS'!$G$5:$G$500,"H",'LANÇAMENTOS DIÁRIOS'!$C$5:$C$500,$A45,'LANÇAMENTOS DIÁRIOS'!$O$5:$O$500,"&lt;=125399",'LANÇAMENTOS DIÁRIOS'!$P$5:$P$500,"&gt;=125300")&gt;0,"X","")</f>
      </c>
      <c r="L45" s="56" t="str">
        <f>IF(COUNTIFS('LANÇAMENTOS DIÁRIOS'!$G$5:$G$500,"H",'LANÇAMENTOS DIÁRIOS'!$C$5:$C$500,$A45,'LANÇAMENTOS DIÁRIOS'!$O$5:$O$500,"&lt;=125499",'LANÇAMENTOS DIÁRIOS'!$P$5:$P$500,"&gt;=125400")&gt;0,"X","")</f>
      </c>
      <c r="M45" s="56" t="str">
        <f>IF(COUNTIFS('LANÇAMENTOS DIÁRIOS'!$G$5:$G$500,"H",'LANÇAMENTOS DIÁRIOS'!$C$5:$C$500,$A45,'LANÇAMENTOS DIÁRIOS'!$O$5:$O$500,"&lt;=125599",'LANÇAMENTOS DIÁRIOS'!$P$5:$P$500,"&gt;=125500")&gt;0,"X","")</f>
      </c>
      <c r="N45" s="56" t="str">
        <f>IF(COUNTIFS('LANÇAMENTOS DIÁRIOS'!$G$5:$G$500,"H",'LANÇAMENTOS DIÁRIOS'!$C$5:$C$500,$A45,'LANÇAMENTOS DIÁRIOS'!$O$5:$O$500,"&lt;=125699",'LANÇAMENTOS DIÁRIOS'!$P$5:$P$500,"&gt;=125600")&gt;0,"X","")</f>
      </c>
      <c r="O45" s="56" t="str">
        <f>IF(COUNTIFS('LANÇAMENTOS DIÁRIOS'!$G$5:$G$500,"H",'LANÇAMENTOS DIÁRIOS'!$C$5:$C$500,$A45,'LANÇAMENTOS DIÁRIOS'!$O$5:$O$500,"&lt;=125799",'LANÇAMENTOS DIÁRIOS'!$P$5:$P$500,"&gt;=125700")&gt;0,"X","")</f>
      </c>
      <c r="P45" s="56" t="str">
        <f>IF(COUNTIFS('LANÇAMENTOS DIÁRIOS'!$G$5:$G$500,"H",'LANÇAMENTOS DIÁRIOS'!$C$5:$C$500,$A45,'LANÇAMENTOS DIÁRIOS'!$O$5:$O$500,"&lt;=125899",'LANÇAMENTOS DIÁRIOS'!$P$5:$P$500,"&gt;=125800")&gt;0,"X","")</f>
      </c>
      <c r="Q45" s="56" t="str">
        <f>IF(COUNTIFS('LANÇAMENTOS DIÁRIOS'!$G$5:$G$500,"H",'LANÇAMENTOS DIÁRIOS'!$C$5:$C$500,$A45,'LANÇAMENTOS DIÁRIOS'!$O$5:$O$500,"&lt;=125999",'LANÇAMENTOS DIÁRIOS'!$P$5:$P$500,"&gt;=125900")&gt;0,"X","")</f>
      </c>
      <c r="R45" s="56" t="str">
        <f>IF(COUNTIFS('LANÇAMENTOS DIÁRIOS'!$G$5:$G$500,"H",'LANÇAMENTOS DIÁRIOS'!$C$5:$C$500,$A45,'LANÇAMENTOS DIÁRIOS'!$O$5:$O$500,"&lt;=126099",'LANÇAMENTOS DIÁRIOS'!$P$5:$P$500,"&gt;=126000")&gt;0,"X","")</f>
      </c>
      <c r="S45" s="56" t="str">
        <f>IF(COUNTIFS('LANÇAMENTOS DIÁRIOS'!$G$5:$G$500,"H",'LANÇAMENTOS DIÁRIOS'!$C$5:$C$500,$A45,'LANÇAMENTOS DIÁRIOS'!$O$5:$O$500,"&lt;=126199",'LANÇAMENTOS DIÁRIOS'!$P$5:$P$500,"&gt;=126100")&gt;0,"X","")</f>
      </c>
      <c r="T45" s="56" t="str">
        <f>IF(COUNTIFS('LANÇAMENTOS DIÁRIOS'!$G$5:$G$500,"H",'LANÇAMENTOS DIÁRIOS'!$C$5:$C$500,$A45,'LANÇAMENTOS DIÁRIOS'!$O$5:$O$500,"&lt;=126299",'LANÇAMENTOS DIÁRIOS'!$P$5:$P$500,"&gt;=126200")&gt;0,"X","")</f>
      </c>
      <c r="U45" s="56" t="str">
        <f>IF(COUNTIFS('LANÇAMENTOS DIÁRIOS'!$G$5:$G$500,"H",'LANÇAMENTOS DIÁRIOS'!$C$5:$C$500,$A45,'LANÇAMENTOS DIÁRIOS'!$O$5:$O$500,"&lt;=126399",'LANÇAMENTOS DIÁRIOS'!$P$5:$P$500,"&gt;=126300")&gt;0,"X","")</f>
      </c>
      <c r="V45" s="56" t="str">
        <f>IF(COUNTIFS('LANÇAMENTOS DIÁRIOS'!$G$5:$G$500,"H",'LANÇAMENTOS DIÁRIOS'!$C$5:$C$500,$A45,'LANÇAMENTOS DIÁRIOS'!$O$5:$O$500,"&lt;=126499",'LANÇAMENTOS DIÁRIOS'!$P$5:$P$500,"&gt;=126400")&gt;0,"X","")</f>
      </c>
      <c r="W45" s="56" t="str">
        <f>IF(COUNTIFS('LANÇAMENTOS DIÁRIOS'!$G$5:$G$500,"H",'LANÇAMENTOS DIÁRIOS'!$C$5:$C$500,$A45,'LANÇAMENTOS DIÁRIOS'!$O$5:$O$500,"&lt;=126599",'LANÇAMENTOS DIÁRIOS'!$P$5:$P$500,"&gt;=126500")&gt;0,"X","")</f>
      </c>
      <c r="X45" s="56" t="str">
        <f>IF(COUNTIFS('LANÇAMENTOS DIÁRIOS'!$G$5:$G$500,"H",'LANÇAMENTOS DIÁRIOS'!$C$5:$C$500,$A45,'LANÇAMENTOS DIÁRIOS'!$O$5:$O$500,"&lt;=126699",'LANÇAMENTOS DIÁRIOS'!$P$5:$P$500,"&gt;=126600")&gt;0,"X","")</f>
      </c>
      <c r="Y45" s="56" t="str">
        <f>IF(COUNTIFS('LANÇAMENTOS DIÁRIOS'!$G$5:$G$500,"H",'LANÇAMENTOS DIÁRIOS'!$C$5:$C$500,$A45,'LANÇAMENTOS DIÁRIOS'!$O$5:$O$500,"&lt;=126799",'LANÇAMENTOS DIÁRIOS'!$P$5:$P$500,"&gt;=126700")&gt;0,"X","")</f>
      </c>
      <c r="Z45" s="56" t="str">
        <f>IF(COUNTIFS('LANÇAMENTOS DIÁRIOS'!$G$5:$G$500,"H",'LANÇAMENTOS DIÁRIOS'!$C$5:$C$500,$A45,'LANÇAMENTOS DIÁRIOS'!$O$5:$O$500,"&lt;=126899",'LANÇAMENTOS DIÁRIOS'!$P$5:$P$500,"&gt;=126800")&gt;0,"X","")</f>
      </c>
      <c r="AA45" s="56" t="str">
        <f>IF(COUNTIFS('LANÇAMENTOS DIÁRIOS'!$G$5:$G$500,"H",'LANÇAMENTOS DIÁRIOS'!$C$5:$C$500,$A45,'LANÇAMENTOS DIÁRIOS'!$O$5:$O$500,"&lt;=126999",'LANÇAMENTOS DIÁRIOS'!$P$5:$P$500,"&gt;=126900")&gt;0,"X","")</f>
      </c>
      <c r="AB45" s="56" t="str">
        <f>IF(COUNTIFS('LANÇAMENTOS DIÁRIOS'!$G$5:$G$500,"H",'LANÇAMENTOS DIÁRIOS'!$C$5:$C$500,$A45,'LANÇAMENTOS DIÁRIOS'!$O$5:$O$500,"&lt;=127099",'LANÇAMENTOS DIÁRIOS'!$P$5:$P$500,"&gt;=127000")&gt;0,"X","")</f>
      </c>
      <c r="AC45" s="56" t="str">
        <f>IF(COUNTIFS('LANÇAMENTOS DIÁRIOS'!$G$5:$G$500,"H",'LANÇAMENTOS DIÁRIOS'!$C$5:$C$500,$A45,'LANÇAMENTOS DIÁRIOS'!$O$5:$O$500,"&lt;=127199",'LANÇAMENTOS DIÁRIOS'!$P$5:$P$500,"&gt;=127100")&gt;0,"X","")</f>
      </c>
      <c r="AD45" s="56" t="str">
        <f>IF(COUNTIFS('LANÇAMENTOS DIÁRIOS'!$G$5:$G$500,"H",'LANÇAMENTOS DIÁRIOS'!$C$5:$C$500,$A45,'LANÇAMENTOS DIÁRIOS'!$O$5:$O$500,"&lt;=127299",'LANÇAMENTOS DIÁRIOS'!$P$5:$P$500,"&gt;=127200")&gt;0,"X","")</f>
      </c>
      <c r="AE45" s="56" t="str">
        <f>IF(COUNTIFS('LANÇAMENTOS DIÁRIOS'!$G$5:$G$500,"H",'LANÇAMENTOS DIÁRIOS'!$C$5:$C$500,$A45,'LANÇAMENTOS DIÁRIOS'!$O$5:$O$500,"&lt;=127399",'LANÇAMENTOS DIÁRIOS'!$P$5:$P$500,"&gt;=127300")&gt;0,"X","")</f>
      </c>
      <c r="AF45" s="56" t="str">
        <f>IF(COUNTIFS('LANÇAMENTOS DIÁRIOS'!$G$5:$G$500,"H",'LANÇAMENTOS DIÁRIOS'!$C$5:$C$500,$A45,'LANÇAMENTOS DIÁRIOS'!$O$5:$O$500,"&lt;=127499",'LANÇAMENTOS DIÁRIOS'!$P$5:$P$500,"&gt;=127400")&gt;0,"X","")</f>
      </c>
      <c r="AG45" s="56" t="str">
        <f>IF(COUNTIFS('LANÇAMENTOS DIÁRIOS'!$G$5:$G$500,"H",'LANÇAMENTOS DIÁRIOS'!$C$5:$C$500,$A45,'LANÇAMENTOS DIÁRIOS'!$O$5:$O$500,"&lt;=127599",'LANÇAMENTOS DIÁRIOS'!$P$5:$P$500,"&gt;=127500")&gt;0,"X","")</f>
      </c>
      <c r="AH45" s="56" t="str">
        <f>IF(COUNTIFS('LANÇAMENTOS DIÁRIOS'!$G$5:$G$500,"H",'LANÇAMENTOS DIÁRIOS'!$C$5:$C$500,$A45,'LANÇAMENTOS DIÁRIOS'!$O$5:$O$500,"&lt;=127699",'LANÇAMENTOS DIÁRIOS'!$P$5:$P$500,"&gt;=127600")&gt;0,"X","")</f>
      </c>
      <c r="AI45" s="56" t="str">
        <f>IF(COUNTIFS('LANÇAMENTOS DIÁRIOS'!$G$5:$G$500,"H",'LANÇAMENTOS DIÁRIOS'!$C$5:$C$500,$A45,'LANÇAMENTOS DIÁRIOS'!$O$5:$O$500,"&lt;=127799",'LANÇAMENTOS DIÁRIOS'!$P$5:$P$500,"&gt;=127700")&gt;0,"X","")</f>
      </c>
      <c r="AJ45" s="56" t="str">
        <f>IF(COUNTIFS('LANÇAMENTOS DIÁRIOS'!$G$5:$G$500,"H",'LANÇAMENTOS DIÁRIOS'!$C$5:$C$500,$A45,'LANÇAMENTOS DIÁRIOS'!$O$5:$O$500,"&lt;=127899",'LANÇAMENTOS DIÁRIOS'!$P$5:$P$500,"&gt;=127800")&gt;0,"X","")</f>
      </c>
      <c r="AK45" s="56" t="str">
        <f>IF(COUNTIFS('LANÇAMENTOS DIÁRIOS'!$G$5:$G$500,"H",'LANÇAMENTOS DIÁRIOS'!$C$5:$C$500,$A45,'LANÇAMENTOS DIÁRIOS'!$O$5:$O$500,"&lt;=127999",'LANÇAMENTOS DIÁRIOS'!$P$5:$P$500,"&gt;=127900")&gt;0,"X","")</f>
      </c>
      <c r="AL45" s="56" t="str">
        <f>IF(COUNTIFS('LANÇAMENTOS DIÁRIOS'!$G$5:$G$500,"H",'LANÇAMENTOS DIÁRIOS'!$C$5:$C$500,$A45,'LANÇAMENTOS DIÁRIOS'!$O$5:$O$500,"&lt;=128099",'LANÇAMENTOS DIÁRIOS'!$P$5:$P$500,"&gt;=128000")&gt;0,"X","")</f>
      </c>
      <c r="AM45" s="56" t="str">
        <f>IF(COUNTIFS('LANÇAMENTOS DIÁRIOS'!$G$5:$G$500,"H",'LANÇAMENTOS DIÁRIOS'!$C$5:$C$500,$A45,'LANÇAMENTOS DIÁRIOS'!$O$5:$O$500,"&lt;=128199",'LANÇAMENTOS DIÁRIOS'!$P$5:$P$500,"&gt;=128100")&gt;0,"X","")</f>
      </c>
      <c r="AN45" s="56" t="str">
        <f>IF(COUNTIFS('LANÇAMENTOS DIÁRIOS'!$G$5:$G$500,"H",'LANÇAMENTOS DIÁRIOS'!$C$5:$C$500,$A45,'LANÇAMENTOS DIÁRIOS'!$O$5:$O$500,"&lt;=128299",'LANÇAMENTOS DIÁRIOS'!$P$5:$P$500,"&gt;=128200")&gt;0,"X","")</f>
      </c>
      <c r="AO45" s="56" t="str">
        <f>IF(COUNTIFS('LANÇAMENTOS DIÁRIOS'!$G$5:$G$500,"H",'LANÇAMENTOS DIÁRIOS'!$C$5:$C$500,$A45,'LANÇAMENTOS DIÁRIOS'!$O$5:$O$500,"&lt;=128399",'LANÇAMENTOS DIÁRIOS'!$P$5:$P$500,"&gt;=128300")&gt;0,"X","")</f>
      </c>
      <c r="AP45" s="56" t="str">
        <f>IF(COUNTIFS('LANÇAMENTOS DIÁRIOS'!$G$5:$G$500,"H",'LANÇAMENTOS DIÁRIOS'!$C$5:$C$500,$A45,'LANÇAMENTOS DIÁRIOS'!$O$5:$O$500,"&lt;=128499",'LANÇAMENTOS DIÁRIOS'!$P$5:$P$500,"&gt;=128400")&gt;0,"X","")</f>
      </c>
      <c r="AQ45" s="56" t="str">
        <f>IF(COUNTIFS('LANÇAMENTOS DIÁRIOS'!$G$5:$G$500,"H",'LANÇAMENTOS DIÁRIOS'!$C$5:$C$500,$A45,'LANÇAMENTOS DIÁRIOS'!$O$5:$O$500,"&lt;=128599",'LANÇAMENTOS DIÁRIOS'!$P$5:$P$500,"&gt;=128500")&gt;0,"X","")</f>
      </c>
      <c r="AR45" s="56" t="str">
        <f>IF(COUNTIFS('LANÇAMENTOS DIÁRIOS'!$G$5:$G$500,"H",'LANÇAMENTOS DIÁRIOS'!$C$5:$C$500,$A45,'LANÇAMENTOS DIÁRIOS'!$O$5:$O$500,"&lt;=128699",'LANÇAMENTOS DIÁRIOS'!$P$5:$P$500,"&gt;=128600")&gt;0,"X","")</f>
      </c>
      <c r="AS45" s="56" t="str">
        <f>IF(COUNTIFS('LANÇAMENTOS DIÁRIOS'!$G$5:$G$500,"H",'LANÇAMENTOS DIÁRIOS'!$C$5:$C$500,$A45,'LANÇAMENTOS DIÁRIOS'!$O$5:$O$500,"&lt;=128799",'LANÇAMENTOS DIÁRIOS'!$P$5:$P$500,"&gt;=128700")&gt;0,"X","")</f>
      </c>
      <c r="AT45" s="56" t="str">
        <f>IF(COUNTIFS('LANÇAMENTOS DIÁRIOS'!$G$5:$G$500,"H",'LANÇAMENTOS DIÁRIOS'!$C$5:$C$500,$A45,'LANÇAMENTOS DIÁRIOS'!$O$5:$O$500,"&lt;=128899",'LANÇAMENTOS DIÁRIOS'!$P$5:$P$500,"&gt;=128800")&gt;0,"X","")</f>
      </c>
      <c r="AU45" s="56" t="str">
        <f>IF(COUNTIFS('LANÇAMENTOS DIÁRIOS'!$G$5:$G$500,"H",'LANÇAMENTOS DIÁRIOS'!$C$5:$C$500,$A45,'LANÇAMENTOS DIÁRIOS'!$O$5:$O$500,"&lt;=128999",'LANÇAMENTOS DIÁRIOS'!$P$5:$P$500,"&gt;=128900")&gt;0,"X","")</f>
      </c>
      <c r="AV45" s="56" t="str">
        <f>IF(COUNTIFS('LANÇAMENTOS DIÁRIOS'!$G$5:$G$500,"H",'LANÇAMENTOS DIÁRIOS'!$C$5:$C$500,$A45,'LANÇAMENTOS DIÁRIOS'!$O$5:$O$500,"&lt;=129099",'LANÇAMENTOS DIÁRIOS'!$P$5:$P$500,"&gt;=129000")&gt;0,"X","")</f>
      </c>
      <c r="AW45" s="56" t="str">
        <f>IF(COUNTIFS('LANÇAMENTOS DIÁRIOS'!$G$5:$G$500,"H",'LANÇAMENTOS DIÁRIOS'!$C$5:$C$500,$A45,'LANÇAMENTOS DIÁRIOS'!$O$5:$O$500,"&lt;=129199",'LANÇAMENTOS DIÁRIOS'!$P$5:$P$500,"&gt;=129100")&gt;0,"X","")</f>
      </c>
      <c r="AX45" s="56" t="str">
        <f>IF(COUNTIFS('LANÇAMENTOS DIÁRIOS'!$G$5:$G$500,"H",'LANÇAMENTOS DIÁRIOS'!$C$5:$C$500,$A45,'LANÇAMENTOS DIÁRIOS'!$O$5:$O$500,"&lt;=129299",'LANÇAMENTOS DIÁRIOS'!$P$5:$P$500,"&gt;=129200")&gt;0,"X","")</f>
      </c>
      <c r="AY45" s="56" t="str">
        <f>IF(COUNTIFS('LANÇAMENTOS DIÁRIOS'!$G$5:$G$500,"H",'LANÇAMENTOS DIÁRIOS'!$C$5:$C$500,$A45,'LANÇAMENTOS DIÁRIOS'!$O$5:$O$500,"&lt;=129399",'LANÇAMENTOS DIÁRIOS'!$P$5:$P$500,"&gt;=129300")&gt;0,"X","")</f>
      </c>
      <c r="AZ45" s="56" t="str">
        <f>IF(COUNTIFS('LANÇAMENTOS DIÁRIOS'!$G$5:$G$500,"H",'LANÇAMENTOS DIÁRIOS'!$C$5:$C$500,$A45,'LANÇAMENTOS DIÁRIOS'!$O$5:$O$500,"&lt;=129400",'LANÇAMENTOS DIÁRIOS'!$P$5:$P$500,"&gt;=129400")&gt;0,"X","")</f>
      </c>
    </row>
    <row r="46">
      <c r="A46" s="51" t="str">
        <v>Compactação de aterro a 100% do proctor intermediário</v>
      </c>
      <c r="B46" s="56" t="str">
        <f>IF(COUNTIFS('LANÇAMENTOS DIÁRIOS'!$G$5:$G$500,"H",'LANÇAMENTOS DIÁRIOS'!$C$5:$C$500,$A46,'LANÇAMENTOS DIÁRIOS'!$O$5:$O$500,"&lt;=124499",'LANÇAMENTOS DIÁRIOS'!$P$5:$P$500,"&gt;=124400")&gt;0,"X","")</f>
      </c>
      <c r="C46" s="56" t="str">
        <f>IF(COUNTIFS('LANÇAMENTOS DIÁRIOS'!$G$5:$G$500,"H",'LANÇAMENTOS DIÁRIOS'!$C$5:$C$500,$A46,'LANÇAMENTOS DIÁRIOS'!$O$5:$O$500,"&lt;=124599",'LANÇAMENTOS DIÁRIOS'!$P$5:$P$500,"&gt;=124500")&gt;0,"X","")</f>
      </c>
      <c r="D46" s="56" t="str">
        <f>IF(COUNTIFS('LANÇAMENTOS DIÁRIOS'!$G$5:$G$500,"H",'LANÇAMENTOS DIÁRIOS'!$C$5:$C$500,$A46,'LANÇAMENTOS DIÁRIOS'!$O$5:$O$500,"&lt;=124699",'LANÇAMENTOS DIÁRIOS'!$P$5:$P$500,"&gt;=124600")&gt;0,"X","")</f>
      </c>
      <c r="E46" s="56" t="str">
        <f>IF(COUNTIFS('LANÇAMENTOS DIÁRIOS'!$G$5:$G$500,"H",'LANÇAMENTOS DIÁRIOS'!$C$5:$C$500,$A46,'LANÇAMENTOS DIÁRIOS'!$O$5:$O$500,"&lt;=124799",'LANÇAMENTOS DIÁRIOS'!$P$5:$P$500,"&gt;=124700")&gt;0,"X","")</f>
      </c>
      <c r="F46" s="56" t="str">
        <f>IF(COUNTIFS('LANÇAMENTOS DIÁRIOS'!$G$5:$G$500,"H",'LANÇAMENTOS DIÁRIOS'!$C$5:$C$500,$A46,'LANÇAMENTOS DIÁRIOS'!$O$5:$O$500,"&lt;=124899",'LANÇAMENTOS DIÁRIOS'!$P$5:$P$500,"&gt;=124800")&gt;0,"X","")</f>
      </c>
      <c r="G46" s="56" t="str">
        <f>IF(COUNTIFS('LANÇAMENTOS DIÁRIOS'!$G$5:$G$500,"H",'LANÇAMENTOS DIÁRIOS'!$C$5:$C$500,$A46,'LANÇAMENTOS DIÁRIOS'!$O$5:$O$500,"&lt;=124999",'LANÇAMENTOS DIÁRIOS'!$P$5:$P$500,"&gt;=124900")&gt;0,"X","")</f>
      </c>
      <c r="H46" s="56" t="str">
        <f>IF(COUNTIFS('LANÇAMENTOS DIÁRIOS'!$G$5:$G$500,"H",'LANÇAMENTOS DIÁRIOS'!$C$5:$C$500,$A46,'LANÇAMENTOS DIÁRIOS'!$O$5:$O$500,"&lt;=125099",'LANÇAMENTOS DIÁRIOS'!$P$5:$P$500,"&gt;=125000")&gt;0,"X","")</f>
      </c>
      <c r="I46" s="56" t="str">
        <f>IF(COUNTIFS('LANÇAMENTOS DIÁRIOS'!$G$5:$G$500,"H",'LANÇAMENTOS DIÁRIOS'!$C$5:$C$500,$A46,'LANÇAMENTOS DIÁRIOS'!$O$5:$O$500,"&lt;=125199",'LANÇAMENTOS DIÁRIOS'!$P$5:$P$500,"&gt;=125100")&gt;0,"X","")</f>
      </c>
      <c r="J46" s="56" t="str">
        <f>IF(COUNTIFS('LANÇAMENTOS DIÁRIOS'!$G$5:$G$500,"H",'LANÇAMENTOS DIÁRIOS'!$C$5:$C$500,$A46,'LANÇAMENTOS DIÁRIOS'!$O$5:$O$500,"&lt;=125299",'LANÇAMENTOS DIÁRIOS'!$P$5:$P$500,"&gt;=125200")&gt;0,"X","")</f>
      </c>
      <c r="K46" s="56" t="str">
        <f>IF(COUNTIFS('LANÇAMENTOS DIÁRIOS'!$G$5:$G$500,"H",'LANÇAMENTOS DIÁRIOS'!$C$5:$C$500,$A46,'LANÇAMENTOS DIÁRIOS'!$O$5:$O$500,"&lt;=125399",'LANÇAMENTOS DIÁRIOS'!$P$5:$P$500,"&gt;=125300")&gt;0,"X","")</f>
      </c>
      <c r="L46" s="56" t="str">
        <f>IF(COUNTIFS('LANÇAMENTOS DIÁRIOS'!$G$5:$G$500,"H",'LANÇAMENTOS DIÁRIOS'!$C$5:$C$500,$A46,'LANÇAMENTOS DIÁRIOS'!$O$5:$O$500,"&lt;=125499",'LANÇAMENTOS DIÁRIOS'!$P$5:$P$500,"&gt;=125400")&gt;0,"X","")</f>
      </c>
      <c r="M46" s="56" t="str">
        <f>IF(COUNTIFS('LANÇAMENTOS DIÁRIOS'!$G$5:$G$500,"H",'LANÇAMENTOS DIÁRIOS'!$C$5:$C$500,$A46,'LANÇAMENTOS DIÁRIOS'!$O$5:$O$500,"&lt;=125599",'LANÇAMENTOS DIÁRIOS'!$P$5:$P$500,"&gt;=125500")&gt;0,"X","")</f>
      </c>
      <c r="N46" s="56" t="str">
        <f>IF(COUNTIFS('LANÇAMENTOS DIÁRIOS'!$G$5:$G$500,"H",'LANÇAMENTOS DIÁRIOS'!$C$5:$C$500,$A46,'LANÇAMENTOS DIÁRIOS'!$O$5:$O$500,"&lt;=125699",'LANÇAMENTOS DIÁRIOS'!$P$5:$P$500,"&gt;=125600")&gt;0,"X","")</f>
      </c>
      <c r="O46" s="56" t="str">
        <f>IF(COUNTIFS('LANÇAMENTOS DIÁRIOS'!$G$5:$G$500,"H",'LANÇAMENTOS DIÁRIOS'!$C$5:$C$500,$A46,'LANÇAMENTOS DIÁRIOS'!$O$5:$O$500,"&lt;=125799",'LANÇAMENTOS DIÁRIOS'!$P$5:$P$500,"&gt;=125700")&gt;0,"X","")</f>
      </c>
      <c r="P46" s="56" t="str">
        <f>IF(COUNTIFS('LANÇAMENTOS DIÁRIOS'!$G$5:$G$500,"H",'LANÇAMENTOS DIÁRIOS'!$C$5:$C$500,$A46,'LANÇAMENTOS DIÁRIOS'!$O$5:$O$500,"&lt;=125899",'LANÇAMENTOS DIÁRIOS'!$P$5:$P$500,"&gt;=125800")&gt;0,"X","")</f>
      </c>
      <c r="Q46" s="56" t="str">
        <f>IF(COUNTIFS('LANÇAMENTOS DIÁRIOS'!$G$5:$G$500,"H",'LANÇAMENTOS DIÁRIOS'!$C$5:$C$500,$A46,'LANÇAMENTOS DIÁRIOS'!$O$5:$O$500,"&lt;=125999",'LANÇAMENTOS DIÁRIOS'!$P$5:$P$500,"&gt;=125900")&gt;0,"X","")</f>
      </c>
      <c r="R46" s="56" t="str">
        <f>IF(COUNTIFS('LANÇAMENTOS DIÁRIOS'!$G$5:$G$500,"H",'LANÇAMENTOS DIÁRIOS'!$C$5:$C$500,$A46,'LANÇAMENTOS DIÁRIOS'!$O$5:$O$500,"&lt;=126099",'LANÇAMENTOS DIÁRIOS'!$P$5:$P$500,"&gt;=126000")&gt;0,"X","")</f>
      </c>
      <c r="S46" s="56" t="str">
        <f>IF(COUNTIFS('LANÇAMENTOS DIÁRIOS'!$G$5:$G$500,"H",'LANÇAMENTOS DIÁRIOS'!$C$5:$C$500,$A46,'LANÇAMENTOS DIÁRIOS'!$O$5:$O$500,"&lt;=126199",'LANÇAMENTOS DIÁRIOS'!$P$5:$P$500,"&gt;=126100")&gt;0,"X","")</f>
      </c>
      <c r="T46" s="56" t="str">
        <f>IF(COUNTIFS('LANÇAMENTOS DIÁRIOS'!$G$5:$G$500,"H",'LANÇAMENTOS DIÁRIOS'!$C$5:$C$500,$A46,'LANÇAMENTOS DIÁRIOS'!$O$5:$O$500,"&lt;=126299",'LANÇAMENTOS DIÁRIOS'!$P$5:$P$500,"&gt;=126200")&gt;0,"X","")</f>
      </c>
      <c r="U46" s="56" t="str">
        <f>IF(COUNTIFS('LANÇAMENTOS DIÁRIOS'!$G$5:$G$500,"H",'LANÇAMENTOS DIÁRIOS'!$C$5:$C$500,$A46,'LANÇAMENTOS DIÁRIOS'!$O$5:$O$500,"&lt;=126399",'LANÇAMENTOS DIÁRIOS'!$P$5:$P$500,"&gt;=126300")&gt;0,"X","")</f>
      </c>
      <c r="V46" s="56" t="str">
        <f>IF(COUNTIFS('LANÇAMENTOS DIÁRIOS'!$G$5:$G$500,"H",'LANÇAMENTOS DIÁRIOS'!$C$5:$C$500,$A46,'LANÇAMENTOS DIÁRIOS'!$O$5:$O$500,"&lt;=126499",'LANÇAMENTOS DIÁRIOS'!$P$5:$P$500,"&gt;=126400")&gt;0,"X","")</f>
      </c>
      <c r="W46" s="56" t="str">
        <f>IF(COUNTIFS('LANÇAMENTOS DIÁRIOS'!$G$5:$G$500,"H",'LANÇAMENTOS DIÁRIOS'!$C$5:$C$500,$A46,'LANÇAMENTOS DIÁRIOS'!$O$5:$O$500,"&lt;=126599",'LANÇAMENTOS DIÁRIOS'!$P$5:$P$500,"&gt;=126500")&gt;0,"X","")</f>
      </c>
      <c r="X46" s="56" t="str">
        <f>IF(COUNTIFS('LANÇAMENTOS DIÁRIOS'!$G$5:$G$500,"H",'LANÇAMENTOS DIÁRIOS'!$C$5:$C$500,$A46,'LANÇAMENTOS DIÁRIOS'!$O$5:$O$500,"&lt;=126699",'LANÇAMENTOS DIÁRIOS'!$P$5:$P$500,"&gt;=126600")&gt;0,"X","")</f>
      </c>
      <c r="Y46" s="56" t="str">
        <f>IF(COUNTIFS('LANÇAMENTOS DIÁRIOS'!$G$5:$G$500,"H",'LANÇAMENTOS DIÁRIOS'!$C$5:$C$500,$A46,'LANÇAMENTOS DIÁRIOS'!$O$5:$O$500,"&lt;=126799",'LANÇAMENTOS DIÁRIOS'!$P$5:$P$500,"&gt;=126700")&gt;0,"X","")</f>
      </c>
      <c r="Z46" s="56" t="str">
        <f>IF(COUNTIFS('LANÇAMENTOS DIÁRIOS'!$G$5:$G$500,"H",'LANÇAMENTOS DIÁRIOS'!$C$5:$C$500,$A46,'LANÇAMENTOS DIÁRIOS'!$O$5:$O$500,"&lt;=126899",'LANÇAMENTOS DIÁRIOS'!$P$5:$P$500,"&gt;=126800")&gt;0,"X","")</f>
      </c>
      <c r="AA46" s="56" t="str">
        <f>IF(COUNTIFS('LANÇAMENTOS DIÁRIOS'!$G$5:$G$500,"H",'LANÇAMENTOS DIÁRIOS'!$C$5:$C$500,$A46,'LANÇAMENTOS DIÁRIOS'!$O$5:$O$500,"&lt;=126999",'LANÇAMENTOS DIÁRIOS'!$P$5:$P$500,"&gt;=126900")&gt;0,"X","")</f>
      </c>
      <c r="AB46" s="56" t="str">
        <f>IF(COUNTIFS('LANÇAMENTOS DIÁRIOS'!$G$5:$G$500,"H",'LANÇAMENTOS DIÁRIOS'!$C$5:$C$500,$A46,'LANÇAMENTOS DIÁRIOS'!$O$5:$O$500,"&lt;=127099",'LANÇAMENTOS DIÁRIOS'!$P$5:$P$500,"&gt;=127000")&gt;0,"X","")</f>
      </c>
      <c r="AC46" s="56" t="str">
        <f>IF(COUNTIFS('LANÇAMENTOS DIÁRIOS'!$G$5:$G$500,"H",'LANÇAMENTOS DIÁRIOS'!$C$5:$C$500,$A46,'LANÇAMENTOS DIÁRIOS'!$O$5:$O$500,"&lt;=127199",'LANÇAMENTOS DIÁRIOS'!$P$5:$P$500,"&gt;=127100")&gt;0,"X","")</f>
      </c>
      <c r="AD46" s="56" t="str">
        <f>IF(COUNTIFS('LANÇAMENTOS DIÁRIOS'!$G$5:$G$500,"H",'LANÇAMENTOS DIÁRIOS'!$C$5:$C$500,$A46,'LANÇAMENTOS DIÁRIOS'!$O$5:$O$500,"&lt;=127299",'LANÇAMENTOS DIÁRIOS'!$P$5:$P$500,"&gt;=127200")&gt;0,"X","")</f>
      </c>
      <c r="AE46" s="56" t="str">
        <f>IF(COUNTIFS('LANÇAMENTOS DIÁRIOS'!$G$5:$G$500,"H",'LANÇAMENTOS DIÁRIOS'!$C$5:$C$500,$A46,'LANÇAMENTOS DIÁRIOS'!$O$5:$O$500,"&lt;=127399",'LANÇAMENTOS DIÁRIOS'!$P$5:$P$500,"&gt;=127300")&gt;0,"X","")</f>
      </c>
      <c r="AF46" s="56" t="str">
        <f>IF(COUNTIFS('LANÇAMENTOS DIÁRIOS'!$G$5:$G$500,"H",'LANÇAMENTOS DIÁRIOS'!$C$5:$C$500,$A46,'LANÇAMENTOS DIÁRIOS'!$O$5:$O$500,"&lt;=127499",'LANÇAMENTOS DIÁRIOS'!$P$5:$P$500,"&gt;=127400")&gt;0,"X","")</f>
      </c>
      <c r="AG46" s="56" t="str">
        <f>IF(COUNTIFS('LANÇAMENTOS DIÁRIOS'!$G$5:$G$500,"H",'LANÇAMENTOS DIÁRIOS'!$C$5:$C$500,$A46,'LANÇAMENTOS DIÁRIOS'!$O$5:$O$500,"&lt;=127599",'LANÇAMENTOS DIÁRIOS'!$P$5:$P$500,"&gt;=127500")&gt;0,"X","")</f>
      </c>
      <c r="AH46" s="56" t="str">
        <f>IF(COUNTIFS('LANÇAMENTOS DIÁRIOS'!$G$5:$G$500,"H",'LANÇAMENTOS DIÁRIOS'!$C$5:$C$500,$A46,'LANÇAMENTOS DIÁRIOS'!$O$5:$O$500,"&lt;=127699",'LANÇAMENTOS DIÁRIOS'!$P$5:$P$500,"&gt;=127600")&gt;0,"X","")</f>
      </c>
      <c r="AI46" s="56" t="str">
        <f>IF(COUNTIFS('LANÇAMENTOS DIÁRIOS'!$G$5:$G$500,"H",'LANÇAMENTOS DIÁRIOS'!$C$5:$C$500,$A46,'LANÇAMENTOS DIÁRIOS'!$O$5:$O$500,"&lt;=127799",'LANÇAMENTOS DIÁRIOS'!$P$5:$P$500,"&gt;=127700")&gt;0,"X","")</f>
      </c>
      <c r="AJ46" s="56" t="str">
        <f>IF(COUNTIFS('LANÇAMENTOS DIÁRIOS'!$G$5:$G$500,"H",'LANÇAMENTOS DIÁRIOS'!$C$5:$C$500,$A46,'LANÇAMENTOS DIÁRIOS'!$O$5:$O$500,"&lt;=127899",'LANÇAMENTOS DIÁRIOS'!$P$5:$P$500,"&gt;=127800")&gt;0,"X","")</f>
      </c>
      <c r="AK46" s="56" t="str">
        <f>IF(COUNTIFS('LANÇAMENTOS DIÁRIOS'!$G$5:$G$500,"H",'LANÇAMENTOS DIÁRIOS'!$C$5:$C$500,$A46,'LANÇAMENTOS DIÁRIOS'!$O$5:$O$500,"&lt;=127999",'LANÇAMENTOS DIÁRIOS'!$P$5:$P$500,"&gt;=127900")&gt;0,"X","")</f>
      </c>
      <c r="AL46" s="56" t="str">
        <f>IF(COUNTIFS('LANÇAMENTOS DIÁRIOS'!$G$5:$G$500,"H",'LANÇAMENTOS DIÁRIOS'!$C$5:$C$500,$A46,'LANÇAMENTOS DIÁRIOS'!$O$5:$O$500,"&lt;=128099",'LANÇAMENTOS DIÁRIOS'!$P$5:$P$500,"&gt;=128000")&gt;0,"X","")</f>
      </c>
      <c r="AM46" s="56" t="str">
        <f>IF(COUNTIFS('LANÇAMENTOS DIÁRIOS'!$G$5:$G$500,"H",'LANÇAMENTOS DIÁRIOS'!$C$5:$C$500,$A46,'LANÇAMENTOS DIÁRIOS'!$O$5:$O$500,"&lt;=128199",'LANÇAMENTOS DIÁRIOS'!$P$5:$P$500,"&gt;=128100")&gt;0,"X","")</f>
      </c>
      <c r="AN46" s="56" t="str">
        <f>IF(COUNTIFS('LANÇAMENTOS DIÁRIOS'!$G$5:$G$500,"H",'LANÇAMENTOS DIÁRIOS'!$C$5:$C$500,$A46,'LANÇAMENTOS DIÁRIOS'!$O$5:$O$500,"&lt;=128299",'LANÇAMENTOS DIÁRIOS'!$P$5:$P$500,"&gt;=128200")&gt;0,"X","")</f>
      </c>
      <c r="AO46" s="56" t="str">
        <f>IF(COUNTIFS('LANÇAMENTOS DIÁRIOS'!$G$5:$G$500,"H",'LANÇAMENTOS DIÁRIOS'!$C$5:$C$500,$A46,'LANÇAMENTOS DIÁRIOS'!$O$5:$O$500,"&lt;=128399",'LANÇAMENTOS DIÁRIOS'!$P$5:$P$500,"&gt;=128300")&gt;0,"X","")</f>
      </c>
      <c r="AP46" s="56" t="str">
        <f>IF(COUNTIFS('LANÇAMENTOS DIÁRIOS'!$G$5:$G$500,"H",'LANÇAMENTOS DIÁRIOS'!$C$5:$C$500,$A46,'LANÇAMENTOS DIÁRIOS'!$O$5:$O$500,"&lt;=128499",'LANÇAMENTOS DIÁRIOS'!$P$5:$P$500,"&gt;=128400")&gt;0,"X","")</f>
      </c>
      <c r="AQ46" s="56" t="str">
        <f>IF(COUNTIFS('LANÇAMENTOS DIÁRIOS'!$G$5:$G$500,"H",'LANÇAMENTOS DIÁRIOS'!$C$5:$C$500,$A46,'LANÇAMENTOS DIÁRIOS'!$O$5:$O$500,"&lt;=128599",'LANÇAMENTOS DIÁRIOS'!$P$5:$P$500,"&gt;=128500")&gt;0,"X","")</f>
      </c>
      <c r="AR46" s="56" t="str">
        <f>IF(COUNTIFS('LANÇAMENTOS DIÁRIOS'!$G$5:$G$500,"H",'LANÇAMENTOS DIÁRIOS'!$C$5:$C$500,$A46,'LANÇAMENTOS DIÁRIOS'!$O$5:$O$500,"&lt;=128699",'LANÇAMENTOS DIÁRIOS'!$P$5:$P$500,"&gt;=128600")&gt;0,"X","")</f>
      </c>
      <c r="AS46" s="56" t="str">
        <f>IF(COUNTIFS('LANÇAMENTOS DIÁRIOS'!$G$5:$G$500,"H",'LANÇAMENTOS DIÁRIOS'!$C$5:$C$500,$A46,'LANÇAMENTOS DIÁRIOS'!$O$5:$O$500,"&lt;=128799",'LANÇAMENTOS DIÁRIOS'!$P$5:$P$500,"&gt;=128700")&gt;0,"X","")</f>
      </c>
      <c r="AT46" s="56" t="str">
        <f>IF(COUNTIFS('LANÇAMENTOS DIÁRIOS'!$G$5:$G$500,"H",'LANÇAMENTOS DIÁRIOS'!$C$5:$C$500,$A46,'LANÇAMENTOS DIÁRIOS'!$O$5:$O$500,"&lt;=128899",'LANÇAMENTOS DIÁRIOS'!$P$5:$P$500,"&gt;=128800")&gt;0,"X","")</f>
      </c>
      <c r="AU46" s="56" t="str">
        <f>IF(COUNTIFS('LANÇAMENTOS DIÁRIOS'!$G$5:$G$500,"H",'LANÇAMENTOS DIÁRIOS'!$C$5:$C$500,$A46,'LANÇAMENTOS DIÁRIOS'!$O$5:$O$500,"&lt;=128999",'LANÇAMENTOS DIÁRIOS'!$P$5:$P$500,"&gt;=128900")&gt;0,"X","")</f>
      </c>
      <c r="AV46" s="56" t="str">
        <f>IF(COUNTIFS('LANÇAMENTOS DIÁRIOS'!$G$5:$G$500,"H",'LANÇAMENTOS DIÁRIOS'!$C$5:$C$500,$A46,'LANÇAMENTOS DIÁRIOS'!$O$5:$O$500,"&lt;=129099",'LANÇAMENTOS DIÁRIOS'!$P$5:$P$500,"&gt;=129000")&gt;0,"X","")</f>
      </c>
      <c r="AW46" s="56" t="str">
        <f>IF(COUNTIFS('LANÇAMENTOS DIÁRIOS'!$G$5:$G$500,"H",'LANÇAMENTOS DIÁRIOS'!$C$5:$C$500,$A46,'LANÇAMENTOS DIÁRIOS'!$O$5:$O$500,"&lt;=129199",'LANÇAMENTOS DIÁRIOS'!$P$5:$P$500,"&gt;=129100")&gt;0,"X","")</f>
      </c>
      <c r="AX46" s="56" t="str">
        <f>IF(COUNTIFS('LANÇAMENTOS DIÁRIOS'!$G$5:$G$500,"H",'LANÇAMENTOS DIÁRIOS'!$C$5:$C$500,$A46,'LANÇAMENTOS DIÁRIOS'!$O$5:$O$500,"&lt;=129299",'LANÇAMENTOS DIÁRIOS'!$P$5:$P$500,"&gt;=129200")&gt;0,"X","")</f>
      </c>
      <c r="AY46" s="56" t="str">
        <f>IF(COUNTIFS('LANÇAMENTOS DIÁRIOS'!$G$5:$G$500,"H",'LANÇAMENTOS DIÁRIOS'!$C$5:$C$500,$A46,'LANÇAMENTOS DIÁRIOS'!$O$5:$O$500,"&lt;=129399",'LANÇAMENTOS DIÁRIOS'!$P$5:$P$500,"&gt;=129300")&gt;0,"X","")</f>
      </c>
      <c r="AZ46" s="56" t="str">
        <f>IF(COUNTIFS('LANÇAMENTOS DIÁRIOS'!$G$5:$G$500,"H",'LANÇAMENTOS DIÁRIOS'!$C$5:$C$500,$A46,'LANÇAMENTOS DIÁRIOS'!$O$5:$O$500,"&lt;=129400",'LANÇAMENTOS DIÁRIOS'!$P$5:$P$500,"&gt;=129400")&gt;0,"X","")</f>
      </c>
    </row>
    <row r="47" ht="19" customHeight="1">
      <c r="A47" s="68" t="str">
        <v>Trocas e melhorias de solo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</row>
    <row r="48">
      <c r="A48" s="51" t="str">
        <v>Escavação de solo com baixa capacidade de suporte</v>
      </c>
      <c r="B48" s="56" t="str">
        <f>IF(COUNTIFS('LANÇAMENTOS DIÁRIOS'!$G$5:$G$500,"H",'LANÇAMENTOS DIÁRIOS'!$C$5:$C$500,$A48,'LANÇAMENTOS DIÁRIOS'!$O$5:$O$500,"&lt;=124499",'LANÇAMENTOS DIÁRIOS'!$P$5:$P$500,"&gt;=124400")&gt;0,"X","")</f>
      </c>
      <c r="C48" s="56" t="str">
        <f>IF(COUNTIFS('LANÇAMENTOS DIÁRIOS'!$G$5:$G$500,"H",'LANÇAMENTOS DIÁRIOS'!$C$5:$C$500,$A48,'LANÇAMENTOS DIÁRIOS'!$O$5:$O$500,"&lt;=124599",'LANÇAMENTOS DIÁRIOS'!$P$5:$P$500,"&gt;=124500")&gt;0,"X","")</f>
      </c>
      <c r="D48" s="56" t="str">
        <f>IF(COUNTIFS('LANÇAMENTOS DIÁRIOS'!$G$5:$G$500,"H",'LANÇAMENTOS DIÁRIOS'!$C$5:$C$500,$A48,'LANÇAMENTOS DIÁRIOS'!$O$5:$O$500,"&lt;=124699",'LANÇAMENTOS DIÁRIOS'!$P$5:$P$500,"&gt;=124600")&gt;0,"X","")</f>
      </c>
      <c r="E48" s="56" t="str">
        <f>IF(COUNTIFS('LANÇAMENTOS DIÁRIOS'!$G$5:$G$500,"H",'LANÇAMENTOS DIÁRIOS'!$C$5:$C$500,$A48,'LANÇAMENTOS DIÁRIOS'!$O$5:$O$500,"&lt;=124799",'LANÇAMENTOS DIÁRIOS'!$P$5:$P$500,"&gt;=124700")&gt;0,"X","")</f>
      </c>
      <c r="F48" s="56" t="str">
        <f>IF(COUNTIFS('LANÇAMENTOS DIÁRIOS'!$G$5:$G$500,"H",'LANÇAMENTOS DIÁRIOS'!$C$5:$C$500,$A48,'LANÇAMENTOS DIÁRIOS'!$O$5:$O$500,"&lt;=124899",'LANÇAMENTOS DIÁRIOS'!$P$5:$P$500,"&gt;=124800")&gt;0,"X","")</f>
      </c>
      <c r="G48" s="56" t="str">
        <f>IF(COUNTIFS('LANÇAMENTOS DIÁRIOS'!$G$5:$G$500,"H",'LANÇAMENTOS DIÁRIOS'!$C$5:$C$500,$A48,'LANÇAMENTOS DIÁRIOS'!$O$5:$O$500,"&lt;=124999",'LANÇAMENTOS DIÁRIOS'!$P$5:$P$500,"&gt;=124900")&gt;0,"X","")</f>
      </c>
      <c r="H48" s="56" t="str">
        <f>IF(COUNTIFS('LANÇAMENTOS DIÁRIOS'!$G$5:$G$500,"H",'LANÇAMENTOS DIÁRIOS'!$C$5:$C$500,$A48,'LANÇAMENTOS DIÁRIOS'!$O$5:$O$500,"&lt;=125099",'LANÇAMENTOS DIÁRIOS'!$P$5:$P$500,"&gt;=125000")&gt;0,"X","")</f>
      </c>
      <c r="I48" s="56" t="str">
        <f>IF(COUNTIFS('LANÇAMENTOS DIÁRIOS'!$G$5:$G$500,"H",'LANÇAMENTOS DIÁRIOS'!$C$5:$C$500,$A48,'LANÇAMENTOS DIÁRIOS'!$O$5:$O$500,"&lt;=125199",'LANÇAMENTOS DIÁRIOS'!$P$5:$P$500,"&gt;=125100")&gt;0,"X","")</f>
      </c>
      <c r="J48" s="56" t="str">
        <f>IF(COUNTIFS('LANÇAMENTOS DIÁRIOS'!$G$5:$G$500,"H",'LANÇAMENTOS DIÁRIOS'!$C$5:$C$500,$A48,'LANÇAMENTOS DIÁRIOS'!$O$5:$O$500,"&lt;=125299",'LANÇAMENTOS DIÁRIOS'!$P$5:$P$500,"&gt;=125200")&gt;0,"X","")</f>
      </c>
      <c r="K48" s="56" t="str">
        <f>IF(COUNTIFS('LANÇAMENTOS DIÁRIOS'!$G$5:$G$500,"H",'LANÇAMENTOS DIÁRIOS'!$C$5:$C$500,$A48,'LANÇAMENTOS DIÁRIOS'!$O$5:$O$500,"&lt;=125399",'LANÇAMENTOS DIÁRIOS'!$P$5:$P$500,"&gt;=125300")&gt;0,"X","")</f>
      </c>
      <c r="L48" s="56" t="str">
        <f>IF(COUNTIFS('LANÇAMENTOS DIÁRIOS'!$G$5:$G$500,"H",'LANÇAMENTOS DIÁRIOS'!$C$5:$C$500,$A48,'LANÇAMENTOS DIÁRIOS'!$O$5:$O$500,"&lt;=125499",'LANÇAMENTOS DIÁRIOS'!$P$5:$P$500,"&gt;=125400")&gt;0,"X","")</f>
      </c>
      <c r="M48" s="56" t="str">
        <f>IF(COUNTIFS('LANÇAMENTOS DIÁRIOS'!$G$5:$G$500,"H",'LANÇAMENTOS DIÁRIOS'!$C$5:$C$500,$A48,'LANÇAMENTOS DIÁRIOS'!$O$5:$O$500,"&lt;=125599",'LANÇAMENTOS DIÁRIOS'!$P$5:$P$500,"&gt;=125500")&gt;0,"X","")</f>
      </c>
      <c r="N48" s="56" t="str">
        <f>IF(COUNTIFS('LANÇAMENTOS DIÁRIOS'!$G$5:$G$500,"H",'LANÇAMENTOS DIÁRIOS'!$C$5:$C$500,$A48,'LANÇAMENTOS DIÁRIOS'!$O$5:$O$500,"&lt;=125699",'LANÇAMENTOS DIÁRIOS'!$P$5:$P$500,"&gt;=125600")&gt;0,"X","")</f>
      </c>
      <c r="O48" s="56" t="str">
        <f>IF(COUNTIFS('LANÇAMENTOS DIÁRIOS'!$G$5:$G$500,"H",'LANÇAMENTOS DIÁRIOS'!$C$5:$C$500,$A48,'LANÇAMENTOS DIÁRIOS'!$O$5:$O$500,"&lt;=125799",'LANÇAMENTOS DIÁRIOS'!$P$5:$P$500,"&gt;=125700")&gt;0,"X","")</f>
      </c>
      <c r="P48" s="56" t="str">
        <f>IF(COUNTIFS('LANÇAMENTOS DIÁRIOS'!$G$5:$G$500,"H",'LANÇAMENTOS DIÁRIOS'!$C$5:$C$500,$A48,'LANÇAMENTOS DIÁRIOS'!$O$5:$O$500,"&lt;=125899",'LANÇAMENTOS DIÁRIOS'!$P$5:$P$500,"&gt;=125800")&gt;0,"X","")</f>
      </c>
      <c r="Q48" s="56" t="str">
        <f>IF(COUNTIFS('LANÇAMENTOS DIÁRIOS'!$G$5:$G$500,"H",'LANÇAMENTOS DIÁRIOS'!$C$5:$C$500,$A48,'LANÇAMENTOS DIÁRIOS'!$O$5:$O$500,"&lt;=125999",'LANÇAMENTOS DIÁRIOS'!$P$5:$P$500,"&gt;=125900")&gt;0,"X","")</f>
      </c>
      <c r="R48" s="56" t="str">
        <f>IF(COUNTIFS('LANÇAMENTOS DIÁRIOS'!$G$5:$G$500,"H",'LANÇAMENTOS DIÁRIOS'!$C$5:$C$500,$A48,'LANÇAMENTOS DIÁRIOS'!$O$5:$O$500,"&lt;=126099",'LANÇAMENTOS DIÁRIOS'!$P$5:$P$500,"&gt;=126000")&gt;0,"X","")</f>
      </c>
      <c r="S48" s="56" t="str">
        <f>IF(COUNTIFS('LANÇAMENTOS DIÁRIOS'!$G$5:$G$500,"H",'LANÇAMENTOS DIÁRIOS'!$C$5:$C$500,$A48,'LANÇAMENTOS DIÁRIOS'!$O$5:$O$500,"&lt;=126199",'LANÇAMENTOS DIÁRIOS'!$P$5:$P$500,"&gt;=126100")&gt;0,"X","")</f>
      </c>
      <c r="T48" s="56" t="str">
        <f>IF(COUNTIFS('LANÇAMENTOS DIÁRIOS'!$G$5:$G$500,"H",'LANÇAMENTOS DIÁRIOS'!$C$5:$C$500,$A48,'LANÇAMENTOS DIÁRIOS'!$O$5:$O$500,"&lt;=126299",'LANÇAMENTOS DIÁRIOS'!$P$5:$P$500,"&gt;=126200")&gt;0,"X","")</f>
      </c>
      <c r="U48" s="56" t="str">
        <f>IF(COUNTIFS('LANÇAMENTOS DIÁRIOS'!$G$5:$G$500,"H",'LANÇAMENTOS DIÁRIOS'!$C$5:$C$500,$A48,'LANÇAMENTOS DIÁRIOS'!$O$5:$O$500,"&lt;=126399",'LANÇAMENTOS DIÁRIOS'!$P$5:$P$500,"&gt;=126300")&gt;0,"X","")</f>
      </c>
      <c r="V48" s="56" t="str">
        <f>IF(COUNTIFS('LANÇAMENTOS DIÁRIOS'!$G$5:$G$500,"H",'LANÇAMENTOS DIÁRIOS'!$C$5:$C$500,$A48,'LANÇAMENTOS DIÁRIOS'!$O$5:$O$500,"&lt;=126499",'LANÇAMENTOS DIÁRIOS'!$P$5:$P$500,"&gt;=126400")&gt;0,"X","")</f>
      </c>
      <c r="W48" s="56" t="str">
        <f>IF(COUNTIFS('LANÇAMENTOS DIÁRIOS'!$G$5:$G$500,"H",'LANÇAMENTOS DIÁRIOS'!$C$5:$C$500,$A48,'LANÇAMENTOS DIÁRIOS'!$O$5:$O$500,"&lt;=126599",'LANÇAMENTOS DIÁRIOS'!$P$5:$P$500,"&gt;=126500")&gt;0,"X","")</f>
      </c>
      <c r="X48" s="56" t="str">
        <f>IF(COUNTIFS('LANÇAMENTOS DIÁRIOS'!$G$5:$G$500,"H",'LANÇAMENTOS DIÁRIOS'!$C$5:$C$500,$A48,'LANÇAMENTOS DIÁRIOS'!$O$5:$O$500,"&lt;=126699",'LANÇAMENTOS DIÁRIOS'!$P$5:$P$500,"&gt;=126600")&gt;0,"X","")</f>
      </c>
      <c r="Y48" s="56" t="str">
        <f>IF(COUNTIFS('LANÇAMENTOS DIÁRIOS'!$G$5:$G$500,"H",'LANÇAMENTOS DIÁRIOS'!$C$5:$C$500,$A48,'LANÇAMENTOS DIÁRIOS'!$O$5:$O$500,"&lt;=126799",'LANÇAMENTOS DIÁRIOS'!$P$5:$P$500,"&gt;=126700")&gt;0,"X","")</f>
      </c>
      <c r="Z48" s="56" t="str">
        <f>IF(COUNTIFS('LANÇAMENTOS DIÁRIOS'!$G$5:$G$500,"H",'LANÇAMENTOS DIÁRIOS'!$C$5:$C$500,$A48,'LANÇAMENTOS DIÁRIOS'!$O$5:$O$500,"&lt;=126899",'LANÇAMENTOS DIÁRIOS'!$P$5:$P$500,"&gt;=126800")&gt;0,"X","")</f>
      </c>
      <c r="AA48" s="56" t="str">
        <f>IF(COUNTIFS('LANÇAMENTOS DIÁRIOS'!$G$5:$G$500,"H",'LANÇAMENTOS DIÁRIOS'!$C$5:$C$500,$A48,'LANÇAMENTOS DIÁRIOS'!$O$5:$O$500,"&lt;=126999",'LANÇAMENTOS DIÁRIOS'!$P$5:$P$500,"&gt;=126900")&gt;0,"X","")</f>
      </c>
      <c r="AB48" s="56" t="str">
        <f>IF(COUNTIFS('LANÇAMENTOS DIÁRIOS'!$G$5:$G$500,"H",'LANÇAMENTOS DIÁRIOS'!$C$5:$C$500,$A48,'LANÇAMENTOS DIÁRIOS'!$O$5:$O$500,"&lt;=127099",'LANÇAMENTOS DIÁRIOS'!$P$5:$P$500,"&gt;=127000")&gt;0,"X","")</f>
      </c>
      <c r="AC48" s="56" t="str">
        <f>IF(COUNTIFS('LANÇAMENTOS DIÁRIOS'!$G$5:$G$500,"H",'LANÇAMENTOS DIÁRIOS'!$C$5:$C$500,$A48,'LANÇAMENTOS DIÁRIOS'!$O$5:$O$500,"&lt;=127199",'LANÇAMENTOS DIÁRIOS'!$P$5:$P$500,"&gt;=127100")&gt;0,"X","")</f>
      </c>
      <c r="AD48" s="56" t="str">
        <f>IF(COUNTIFS('LANÇAMENTOS DIÁRIOS'!$G$5:$G$500,"H",'LANÇAMENTOS DIÁRIOS'!$C$5:$C$500,$A48,'LANÇAMENTOS DIÁRIOS'!$O$5:$O$500,"&lt;=127299",'LANÇAMENTOS DIÁRIOS'!$P$5:$P$500,"&gt;=127200")&gt;0,"X","")</f>
      </c>
      <c r="AE48" s="56" t="str">
        <f>IF(COUNTIFS('LANÇAMENTOS DIÁRIOS'!$G$5:$G$500,"H",'LANÇAMENTOS DIÁRIOS'!$C$5:$C$500,$A48,'LANÇAMENTOS DIÁRIOS'!$O$5:$O$500,"&lt;=127399",'LANÇAMENTOS DIÁRIOS'!$P$5:$P$500,"&gt;=127300")&gt;0,"X","")</f>
      </c>
      <c r="AF48" s="56" t="str">
        <f>IF(COUNTIFS('LANÇAMENTOS DIÁRIOS'!$G$5:$G$500,"H",'LANÇAMENTOS DIÁRIOS'!$C$5:$C$500,$A48,'LANÇAMENTOS DIÁRIOS'!$O$5:$O$500,"&lt;=127499",'LANÇAMENTOS DIÁRIOS'!$P$5:$P$500,"&gt;=127400")&gt;0,"X","")</f>
      </c>
      <c r="AG48" s="56" t="str">
        <f>IF(COUNTIFS('LANÇAMENTOS DIÁRIOS'!$G$5:$G$500,"H",'LANÇAMENTOS DIÁRIOS'!$C$5:$C$500,$A48,'LANÇAMENTOS DIÁRIOS'!$O$5:$O$500,"&lt;=127599",'LANÇAMENTOS DIÁRIOS'!$P$5:$P$500,"&gt;=127500")&gt;0,"X","")</f>
      </c>
      <c r="AH48" s="56" t="str">
        <f>IF(COUNTIFS('LANÇAMENTOS DIÁRIOS'!$G$5:$G$500,"H",'LANÇAMENTOS DIÁRIOS'!$C$5:$C$500,$A48,'LANÇAMENTOS DIÁRIOS'!$O$5:$O$500,"&lt;=127699",'LANÇAMENTOS DIÁRIOS'!$P$5:$P$500,"&gt;=127600")&gt;0,"X","")</f>
      </c>
      <c r="AI48" s="56" t="str">
        <f>IF(COUNTIFS('LANÇAMENTOS DIÁRIOS'!$G$5:$G$500,"H",'LANÇAMENTOS DIÁRIOS'!$C$5:$C$500,$A48,'LANÇAMENTOS DIÁRIOS'!$O$5:$O$500,"&lt;=127799",'LANÇAMENTOS DIÁRIOS'!$P$5:$P$500,"&gt;=127700")&gt;0,"X","")</f>
      </c>
      <c r="AJ48" s="56" t="str">
        <f>IF(COUNTIFS('LANÇAMENTOS DIÁRIOS'!$G$5:$G$500,"H",'LANÇAMENTOS DIÁRIOS'!$C$5:$C$500,$A48,'LANÇAMENTOS DIÁRIOS'!$O$5:$O$500,"&lt;=127899",'LANÇAMENTOS DIÁRIOS'!$P$5:$P$500,"&gt;=127800")&gt;0,"X","")</f>
      </c>
      <c r="AK48" s="56" t="str">
        <f>IF(COUNTIFS('LANÇAMENTOS DIÁRIOS'!$G$5:$G$500,"H",'LANÇAMENTOS DIÁRIOS'!$C$5:$C$500,$A48,'LANÇAMENTOS DIÁRIOS'!$O$5:$O$500,"&lt;=127999",'LANÇAMENTOS DIÁRIOS'!$P$5:$P$500,"&gt;=127900")&gt;0,"X","")</f>
      </c>
      <c r="AL48" s="56" t="str">
        <f>IF(COUNTIFS('LANÇAMENTOS DIÁRIOS'!$G$5:$G$500,"H",'LANÇAMENTOS DIÁRIOS'!$C$5:$C$500,$A48,'LANÇAMENTOS DIÁRIOS'!$O$5:$O$500,"&lt;=128099",'LANÇAMENTOS DIÁRIOS'!$P$5:$P$500,"&gt;=128000")&gt;0,"X","")</f>
      </c>
      <c r="AM48" s="56" t="str">
        <f>IF(COUNTIFS('LANÇAMENTOS DIÁRIOS'!$G$5:$G$500,"H",'LANÇAMENTOS DIÁRIOS'!$C$5:$C$500,$A48,'LANÇAMENTOS DIÁRIOS'!$O$5:$O$500,"&lt;=128199",'LANÇAMENTOS DIÁRIOS'!$P$5:$P$500,"&gt;=128100")&gt;0,"X","")</f>
      </c>
      <c r="AN48" s="56" t="str">
        <f>IF(COUNTIFS('LANÇAMENTOS DIÁRIOS'!$G$5:$G$500,"H",'LANÇAMENTOS DIÁRIOS'!$C$5:$C$500,$A48,'LANÇAMENTOS DIÁRIOS'!$O$5:$O$500,"&lt;=128299",'LANÇAMENTOS DIÁRIOS'!$P$5:$P$500,"&gt;=128200")&gt;0,"X","")</f>
      </c>
      <c r="AO48" s="56" t="str">
        <f>IF(COUNTIFS('LANÇAMENTOS DIÁRIOS'!$G$5:$G$500,"H",'LANÇAMENTOS DIÁRIOS'!$C$5:$C$500,$A48,'LANÇAMENTOS DIÁRIOS'!$O$5:$O$500,"&lt;=128399",'LANÇAMENTOS DIÁRIOS'!$P$5:$P$500,"&gt;=128300")&gt;0,"X","")</f>
      </c>
      <c r="AP48" s="56" t="str">
        <f>IF(COUNTIFS('LANÇAMENTOS DIÁRIOS'!$G$5:$G$500,"H",'LANÇAMENTOS DIÁRIOS'!$C$5:$C$500,$A48,'LANÇAMENTOS DIÁRIOS'!$O$5:$O$500,"&lt;=128499",'LANÇAMENTOS DIÁRIOS'!$P$5:$P$500,"&gt;=128400")&gt;0,"X","")</f>
      </c>
      <c r="AQ48" s="56" t="str">
        <f>IF(COUNTIFS('LANÇAMENTOS DIÁRIOS'!$G$5:$G$500,"H",'LANÇAMENTOS DIÁRIOS'!$C$5:$C$500,$A48,'LANÇAMENTOS DIÁRIOS'!$O$5:$O$500,"&lt;=128599",'LANÇAMENTOS DIÁRIOS'!$P$5:$P$500,"&gt;=128500")&gt;0,"X","")</f>
      </c>
      <c r="AR48" s="56" t="str">
        <f>IF(COUNTIFS('LANÇAMENTOS DIÁRIOS'!$G$5:$G$500,"H",'LANÇAMENTOS DIÁRIOS'!$C$5:$C$500,$A48,'LANÇAMENTOS DIÁRIOS'!$O$5:$O$500,"&lt;=128699",'LANÇAMENTOS DIÁRIOS'!$P$5:$P$500,"&gt;=128600")&gt;0,"X","")</f>
      </c>
      <c r="AS48" s="56" t="str">
        <f>IF(COUNTIFS('LANÇAMENTOS DIÁRIOS'!$G$5:$G$500,"H",'LANÇAMENTOS DIÁRIOS'!$C$5:$C$500,$A48,'LANÇAMENTOS DIÁRIOS'!$O$5:$O$500,"&lt;=128799",'LANÇAMENTOS DIÁRIOS'!$P$5:$P$500,"&gt;=128700")&gt;0,"X","")</f>
      </c>
      <c r="AT48" s="56" t="str">
        <f>IF(COUNTIFS('LANÇAMENTOS DIÁRIOS'!$G$5:$G$500,"H",'LANÇAMENTOS DIÁRIOS'!$C$5:$C$500,$A48,'LANÇAMENTOS DIÁRIOS'!$O$5:$O$500,"&lt;=128899",'LANÇAMENTOS DIÁRIOS'!$P$5:$P$500,"&gt;=128800")&gt;0,"X","")</f>
      </c>
      <c r="AU48" s="56" t="str">
        <f>IF(COUNTIFS('LANÇAMENTOS DIÁRIOS'!$G$5:$G$500,"H",'LANÇAMENTOS DIÁRIOS'!$C$5:$C$500,$A48,'LANÇAMENTOS DIÁRIOS'!$O$5:$O$500,"&lt;=128999",'LANÇAMENTOS DIÁRIOS'!$P$5:$P$500,"&gt;=128900")&gt;0,"X","")</f>
      </c>
      <c r="AV48" s="56" t="str">
        <f>IF(COUNTIFS('LANÇAMENTOS DIÁRIOS'!$G$5:$G$500,"H",'LANÇAMENTOS DIÁRIOS'!$C$5:$C$500,$A48,'LANÇAMENTOS DIÁRIOS'!$O$5:$O$500,"&lt;=129099",'LANÇAMENTOS DIÁRIOS'!$P$5:$P$500,"&gt;=129000")&gt;0,"X","")</f>
      </c>
      <c r="AW48" s="56" t="str">
        <f>IF(COUNTIFS('LANÇAMENTOS DIÁRIOS'!$G$5:$G$500,"H",'LANÇAMENTOS DIÁRIOS'!$C$5:$C$500,$A48,'LANÇAMENTOS DIÁRIOS'!$O$5:$O$500,"&lt;=129199",'LANÇAMENTOS DIÁRIOS'!$P$5:$P$500,"&gt;=129100")&gt;0,"X","")</f>
      </c>
      <c r="AX48" s="56" t="str">
        <f>IF(COUNTIFS('LANÇAMENTOS DIÁRIOS'!$G$5:$G$500,"H",'LANÇAMENTOS DIÁRIOS'!$C$5:$C$500,$A48,'LANÇAMENTOS DIÁRIOS'!$O$5:$O$500,"&lt;=129299",'LANÇAMENTOS DIÁRIOS'!$P$5:$P$500,"&gt;=129200")&gt;0,"X","")</f>
      </c>
      <c r="AY48" s="56" t="str">
        <f>IF(COUNTIFS('LANÇAMENTOS DIÁRIOS'!$G$5:$G$500,"H",'LANÇAMENTOS DIÁRIOS'!$C$5:$C$500,$A48,'LANÇAMENTOS DIÁRIOS'!$O$5:$O$500,"&lt;=129399",'LANÇAMENTOS DIÁRIOS'!$P$5:$P$500,"&gt;=129300")&gt;0,"X","")</f>
      </c>
      <c r="AZ48" s="56" t="str">
        <f>IF(COUNTIFS('LANÇAMENTOS DIÁRIOS'!$G$5:$G$500,"H",'LANÇAMENTOS DIÁRIOS'!$C$5:$C$500,$A48,'LANÇAMENTOS DIÁRIOS'!$O$5:$O$500,"&lt;=129400",'LANÇAMENTOS DIÁRIOS'!$P$5:$P$500,"&gt;=129400")&gt;0,"X","")</f>
      </c>
    </row>
    <row r="49">
      <c r="A49" s="51" t="str">
        <v>Fundação / reaterro com solo</v>
      </c>
      <c r="B49" s="56" t="str">
        <f>IF(COUNTIFS('LANÇAMENTOS DIÁRIOS'!$G$5:$G$500,"H",'LANÇAMENTOS DIÁRIOS'!$C$5:$C$500,$A49,'LANÇAMENTOS DIÁRIOS'!$O$5:$O$500,"&lt;=124499",'LANÇAMENTOS DIÁRIOS'!$P$5:$P$500,"&gt;=124400")&gt;0,"X","")</f>
      </c>
      <c r="C49" s="56" t="str">
        <f>IF(COUNTIFS('LANÇAMENTOS DIÁRIOS'!$G$5:$G$500,"H",'LANÇAMENTOS DIÁRIOS'!$C$5:$C$500,$A49,'LANÇAMENTOS DIÁRIOS'!$O$5:$O$500,"&lt;=124599",'LANÇAMENTOS DIÁRIOS'!$P$5:$P$500,"&gt;=124500")&gt;0,"X","")</f>
      </c>
      <c r="D49" s="56" t="str">
        <f>IF(COUNTIFS('LANÇAMENTOS DIÁRIOS'!$G$5:$G$500,"H",'LANÇAMENTOS DIÁRIOS'!$C$5:$C$500,$A49,'LANÇAMENTOS DIÁRIOS'!$O$5:$O$500,"&lt;=124699",'LANÇAMENTOS DIÁRIOS'!$P$5:$P$500,"&gt;=124600")&gt;0,"X","")</f>
      </c>
      <c r="E49" s="56" t="str">
        <f>IF(COUNTIFS('LANÇAMENTOS DIÁRIOS'!$G$5:$G$500,"H",'LANÇAMENTOS DIÁRIOS'!$C$5:$C$500,$A49,'LANÇAMENTOS DIÁRIOS'!$O$5:$O$500,"&lt;=124799",'LANÇAMENTOS DIÁRIOS'!$P$5:$P$500,"&gt;=124700")&gt;0,"X","")</f>
      </c>
      <c r="F49" s="56" t="str">
        <f>IF(COUNTIFS('LANÇAMENTOS DIÁRIOS'!$G$5:$G$500,"H",'LANÇAMENTOS DIÁRIOS'!$C$5:$C$500,$A49,'LANÇAMENTOS DIÁRIOS'!$O$5:$O$500,"&lt;=124899",'LANÇAMENTOS DIÁRIOS'!$P$5:$P$500,"&gt;=124800")&gt;0,"X","")</f>
      </c>
      <c r="G49" s="56" t="str">
        <f>IF(COUNTIFS('LANÇAMENTOS DIÁRIOS'!$G$5:$G$500,"H",'LANÇAMENTOS DIÁRIOS'!$C$5:$C$500,$A49,'LANÇAMENTOS DIÁRIOS'!$O$5:$O$500,"&lt;=124999",'LANÇAMENTOS DIÁRIOS'!$P$5:$P$500,"&gt;=124900")&gt;0,"X","")</f>
      </c>
      <c r="H49" s="56" t="str">
        <f>IF(COUNTIFS('LANÇAMENTOS DIÁRIOS'!$G$5:$G$500,"H",'LANÇAMENTOS DIÁRIOS'!$C$5:$C$500,$A49,'LANÇAMENTOS DIÁRIOS'!$O$5:$O$500,"&lt;=125099",'LANÇAMENTOS DIÁRIOS'!$P$5:$P$500,"&gt;=125000")&gt;0,"X","")</f>
      </c>
      <c r="I49" s="56" t="str">
        <f>IF(COUNTIFS('LANÇAMENTOS DIÁRIOS'!$G$5:$G$500,"H",'LANÇAMENTOS DIÁRIOS'!$C$5:$C$500,$A49,'LANÇAMENTOS DIÁRIOS'!$O$5:$O$500,"&lt;=125199",'LANÇAMENTOS DIÁRIOS'!$P$5:$P$500,"&gt;=125100")&gt;0,"X","")</f>
      </c>
      <c r="J49" s="56" t="str">
        <f>IF(COUNTIFS('LANÇAMENTOS DIÁRIOS'!$G$5:$G$500,"H",'LANÇAMENTOS DIÁRIOS'!$C$5:$C$500,$A49,'LANÇAMENTOS DIÁRIOS'!$O$5:$O$500,"&lt;=125299",'LANÇAMENTOS DIÁRIOS'!$P$5:$P$500,"&gt;=125200")&gt;0,"X","")</f>
      </c>
      <c r="K49" s="56" t="str">
        <f>IF(COUNTIFS('LANÇAMENTOS DIÁRIOS'!$G$5:$G$500,"H",'LANÇAMENTOS DIÁRIOS'!$C$5:$C$500,$A49,'LANÇAMENTOS DIÁRIOS'!$O$5:$O$500,"&lt;=125399",'LANÇAMENTOS DIÁRIOS'!$P$5:$P$500,"&gt;=125300")&gt;0,"X","")</f>
      </c>
      <c r="L49" s="56" t="str">
        <f>IF(COUNTIFS('LANÇAMENTOS DIÁRIOS'!$G$5:$G$500,"H",'LANÇAMENTOS DIÁRIOS'!$C$5:$C$500,$A49,'LANÇAMENTOS DIÁRIOS'!$O$5:$O$500,"&lt;=125499",'LANÇAMENTOS DIÁRIOS'!$P$5:$P$500,"&gt;=125400")&gt;0,"X","")</f>
      </c>
      <c r="M49" s="56" t="str">
        <f>IF(COUNTIFS('LANÇAMENTOS DIÁRIOS'!$G$5:$G$500,"H",'LANÇAMENTOS DIÁRIOS'!$C$5:$C$500,$A49,'LANÇAMENTOS DIÁRIOS'!$O$5:$O$500,"&lt;=125599",'LANÇAMENTOS DIÁRIOS'!$P$5:$P$500,"&gt;=125500")&gt;0,"X","")</f>
      </c>
      <c r="N49" s="56" t="str">
        <f>IF(COUNTIFS('LANÇAMENTOS DIÁRIOS'!$G$5:$G$500,"H",'LANÇAMENTOS DIÁRIOS'!$C$5:$C$500,$A49,'LANÇAMENTOS DIÁRIOS'!$O$5:$O$500,"&lt;=125699",'LANÇAMENTOS DIÁRIOS'!$P$5:$P$500,"&gt;=125600")&gt;0,"X","")</f>
      </c>
      <c r="O49" s="56" t="str">
        <f>IF(COUNTIFS('LANÇAMENTOS DIÁRIOS'!$G$5:$G$500,"H",'LANÇAMENTOS DIÁRIOS'!$C$5:$C$500,$A49,'LANÇAMENTOS DIÁRIOS'!$O$5:$O$500,"&lt;=125799",'LANÇAMENTOS DIÁRIOS'!$P$5:$P$500,"&gt;=125700")&gt;0,"X","")</f>
      </c>
      <c r="P49" s="56" t="str">
        <f>IF(COUNTIFS('LANÇAMENTOS DIÁRIOS'!$G$5:$G$500,"H",'LANÇAMENTOS DIÁRIOS'!$C$5:$C$500,$A49,'LANÇAMENTOS DIÁRIOS'!$O$5:$O$500,"&lt;=125899",'LANÇAMENTOS DIÁRIOS'!$P$5:$P$500,"&gt;=125800")&gt;0,"X","")</f>
      </c>
      <c r="Q49" s="56" t="str">
        <f>IF(COUNTIFS('LANÇAMENTOS DIÁRIOS'!$G$5:$G$500,"H",'LANÇAMENTOS DIÁRIOS'!$C$5:$C$500,$A49,'LANÇAMENTOS DIÁRIOS'!$O$5:$O$500,"&lt;=125999",'LANÇAMENTOS DIÁRIOS'!$P$5:$P$500,"&gt;=125900")&gt;0,"X","")</f>
      </c>
      <c r="R49" s="56" t="str">
        <f>IF(COUNTIFS('LANÇAMENTOS DIÁRIOS'!$G$5:$G$500,"H",'LANÇAMENTOS DIÁRIOS'!$C$5:$C$500,$A49,'LANÇAMENTOS DIÁRIOS'!$O$5:$O$500,"&lt;=126099",'LANÇAMENTOS DIÁRIOS'!$P$5:$P$500,"&gt;=126000")&gt;0,"X","")</f>
      </c>
      <c r="S49" s="56" t="str">
        <f>IF(COUNTIFS('LANÇAMENTOS DIÁRIOS'!$G$5:$G$500,"H",'LANÇAMENTOS DIÁRIOS'!$C$5:$C$500,$A49,'LANÇAMENTOS DIÁRIOS'!$O$5:$O$500,"&lt;=126199",'LANÇAMENTOS DIÁRIOS'!$P$5:$P$500,"&gt;=126100")&gt;0,"X","")</f>
      </c>
      <c r="T49" s="56" t="str">
        <f>IF(COUNTIFS('LANÇAMENTOS DIÁRIOS'!$G$5:$G$500,"H",'LANÇAMENTOS DIÁRIOS'!$C$5:$C$500,$A49,'LANÇAMENTOS DIÁRIOS'!$O$5:$O$500,"&lt;=126299",'LANÇAMENTOS DIÁRIOS'!$P$5:$P$500,"&gt;=126200")&gt;0,"X","")</f>
      </c>
      <c r="U49" s="56" t="str">
        <f>IF(COUNTIFS('LANÇAMENTOS DIÁRIOS'!$G$5:$G$500,"H",'LANÇAMENTOS DIÁRIOS'!$C$5:$C$500,$A49,'LANÇAMENTOS DIÁRIOS'!$O$5:$O$500,"&lt;=126399",'LANÇAMENTOS DIÁRIOS'!$P$5:$P$500,"&gt;=126300")&gt;0,"X","")</f>
      </c>
      <c r="V49" s="56" t="str">
        <f>IF(COUNTIFS('LANÇAMENTOS DIÁRIOS'!$G$5:$G$500,"H",'LANÇAMENTOS DIÁRIOS'!$C$5:$C$500,$A49,'LANÇAMENTOS DIÁRIOS'!$O$5:$O$500,"&lt;=126499",'LANÇAMENTOS DIÁRIOS'!$P$5:$P$500,"&gt;=126400")&gt;0,"X","")</f>
      </c>
      <c r="W49" s="56" t="str">
        <f>IF(COUNTIFS('LANÇAMENTOS DIÁRIOS'!$G$5:$G$500,"H",'LANÇAMENTOS DIÁRIOS'!$C$5:$C$500,$A49,'LANÇAMENTOS DIÁRIOS'!$O$5:$O$500,"&lt;=126599",'LANÇAMENTOS DIÁRIOS'!$P$5:$P$500,"&gt;=126500")&gt;0,"X","")</f>
      </c>
      <c r="X49" s="56" t="str">
        <f>IF(COUNTIFS('LANÇAMENTOS DIÁRIOS'!$G$5:$G$500,"H",'LANÇAMENTOS DIÁRIOS'!$C$5:$C$500,$A49,'LANÇAMENTOS DIÁRIOS'!$O$5:$O$500,"&lt;=126699",'LANÇAMENTOS DIÁRIOS'!$P$5:$P$500,"&gt;=126600")&gt;0,"X","")</f>
      </c>
      <c r="Y49" s="56" t="str">
        <f>IF(COUNTIFS('LANÇAMENTOS DIÁRIOS'!$G$5:$G$500,"H",'LANÇAMENTOS DIÁRIOS'!$C$5:$C$500,$A49,'LANÇAMENTOS DIÁRIOS'!$O$5:$O$500,"&lt;=126799",'LANÇAMENTOS DIÁRIOS'!$P$5:$P$500,"&gt;=126700")&gt;0,"X","")</f>
      </c>
      <c r="Z49" s="56" t="str">
        <f>IF(COUNTIFS('LANÇAMENTOS DIÁRIOS'!$G$5:$G$500,"H",'LANÇAMENTOS DIÁRIOS'!$C$5:$C$500,$A49,'LANÇAMENTOS DIÁRIOS'!$O$5:$O$500,"&lt;=126899",'LANÇAMENTOS DIÁRIOS'!$P$5:$P$500,"&gt;=126800")&gt;0,"X","")</f>
      </c>
      <c r="AA49" s="56" t="str">
        <f>IF(COUNTIFS('LANÇAMENTOS DIÁRIOS'!$G$5:$G$500,"H",'LANÇAMENTOS DIÁRIOS'!$C$5:$C$500,$A49,'LANÇAMENTOS DIÁRIOS'!$O$5:$O$500,"&lt;=126999",'LANÇAMENTOS DIÁRIOS'!$P$5:$P$500,"&gt;=126900")&gt;0,"X","")</f>
      </c>
      <c r="AB49" s="56" t="str">
        <f>IF(COUNTIFS('LANÇAMENTOS DIÁRIOS'!$G$5:$G$500,"H",'LANÇAMENTOS DIÁRIOS'!$C$5:$C$500,$A49,'LANÇAMENTOS DIÁRIOS'!$O$5:$O$500,"&lt;=127099",'LANÇAMENTOS DIÁRIOS'!$P$5:$P$500,"&gt;=127000")&gt;0,"X","")</f>
      </c>
      <c r="AC49" s="56" t="str">
        <f>IF(COUNTIFS('LANÇAMENTOS DIÁRIOS'!$G$5:$G$500,"H",'LANÇAMENTOS DIÁRIOS'!$C$5:$C$500,$A49,'LANÇAMENTOS DIÁRIOS'!$O$5:$O$500,"&lt;=127199",'LANÇAMENTOS DIÁRIOS'!$P$5:$P$500,"&gt;=127100")&gt;0,"X","")</f>
      </c>
      <c r="AD49" s="56" t="str">
        <f>IF(COUNTIFS('LANÇAMENTOS DIÁRIOS'!$G$5:$G$500,"H",'LANÇAMENTOS DIÁRIOS'!$C$5:$C$500,$A49,'LANÇAMENTOS DIÁRIOS'!$O$5:$O$500,"&lt;=127299",'LANÇAMENTOS DIÁRIOS'!$P$5:$P$500,"&gt;=127200")&gt;0,"X","")</f>
      </c>
      <c r="AE49" s="56" t="str">
        <f>IF(COUNTIFS('LANÇAMENTOS DIÁRIOS'!$G$5:$G$500,"H",'LANÇAMENTOS DIÁRIOS'!$C$5:$C$500,$A49,'LANÇAMENTOS DIÁRIOS'!$O$5:$O$500,"&lt;=127399",'LANÇAMENTOS DIÁRIOS'!$P$5:$P$500,"&gt;=127300")&gt;0,"X","")</f>
      </c>
      <c r="AF49" s="56" t="str">
        <f>IF(COUNTIFS('LANÇAMENTOS DIÁRIOS'!$G$5:$G$500,"H",'LANÇAMENTOS DIÁRIOS'!$C$5:$C$500,$A49,'LANÇAMENTOS DIÁRIOS'!$O$5:$O$500,"&lt;=127499",'LANÇAMENTOS DIÁRIOS'!$P$5:$P$500,"&gt;=127400")&gt;0,"X","")</f>
      </c>
      <c r="AG49" s="56" t="str">
        <f>IF(COUNTIFS('LANÇAMENTOS DIÁRIOS'!$G$5:$G$500,"H",'LANÇAMENTOS DIÁRIOS'!$C$5:$C$500,$A49,'LANÇAMENTOS DIÁRIOS'!$O$5:$O$500,"&lt;=127599",'LANÇAMENTOS DIÁRIOS'!$P$5:$P$500,"&gt;=127500")&gt;0,"X","")</f>
      </c>
      <c r="AH49" s="56" t="str">
        <f>IF(COUNTIFS('LANÇAMENTOS DIÁRIOS'!$G$5:$G$500,"H",'LANÇAMENTOS DIÁRIOS'!$C$5:$C$500,$A49,'LANÇAMENTOS DIÁRIOS'!$O$5:$O$500,"&lt;=127699",'LANÇAMENTOS DIÁRIOS'!$P$5:$P$500,"&gt;=127600")&gt;0,"X","")</f>
      </c>
      <c r="AI49" s="56" t="str">
        <f>IF(COUNTIFS('LANÇAMENTOS DIÁRIOS'!$G$5:$G$500,"H",'LANÇAMENTOS DIÁRIOS'!$C$5:$C$500,$A49,'LANÇAMENTOS DIÁRIOS'!$O$5:$O$500,"&lt;=127799",'LANÇAMENTOS DIÁRIOS'!$P$5:$P$500,"&gt;=127700")&gt;0,"X","")</f>
      </c>
      <c r="AJ49" s="56" t="str">
        <f>IF(COUNTIFS('LANÇAMENTOS DIÁRIOS'!$G$5:$G$500,"H",'LANÇAMENTOS DIÁRIOS'!$C$5:$C$500,$A49,'LANÇAMENTOS DIÁRIOS'!$O$5:$O$500,"&lt;=127899",'LANÇAMENTOS DIÁRIOS'!$P$5:$P$500,"&gt;=127800")&gt;0,"X","")</f>
      </c>
      <c r="AK49" s="56" t="str">
        <f>IF(COUNTIFS('LANÇAMENTOS DIÁRIOS'!$G$5:$G$500,"H",'LANÇAMENTOS DIÁRIOS'!$C$5:$C$500,$A49,'LANÇAMENTOS DIÁRIOS'!$O$5:$O$500,"&lt;=127999",'LANÇAMENTOS DIÁRIOS'!$P$5:$P$500,"&gt;=127900")&gt;0,"X","")</f>
      </c>
      <c r="AL49" s="56" t="str">
        <f>IF(COUNTIFS('LANÇAMENTOS DIÁRIOS'!$G$5:$G$500,"H",'LANÇAMENTOS DIÁRIOS'!$C$5:$C$500,$A49,'LANÇAMENTOS DIÁRIOS'!$O$5:$O$500,"&lt;=128099",'LANÇAMENTOS DIÁRIOS'!$P$5:$P$500,"&gt;=128000")&gt;0,"X","")</f>
      </c>
      <c r="AM49" s="56" t="str">
        <f>IF(COUNTIFS('LANÇAMENTOS DIÁRIOS'!$G$5:$G$500,"H",'LANÇAMENTOS DIÁRIOS'!$C$5:$C$500,$A49,'LANÇAMENTOS DIÁRIOS'!$O$5:$O$500,"&lt;=128199",'LANÇAMENTOS DIÁRIOS'!$P$5:$P$500,"&gt;=128100")&gt;0,"X","")</f>
      </c>
      <c r="AN49" s="56" t="str">
        <f>IF(COUNTIFS('LANÇAMENTOS DIÁRIOS'!$G$5:$G$500,"H",'LANÇAMENTOS DIÁRIOS'!$C$5:$C$500,$A49,'LANÇAMENTOS DIÁRIOS'!$O$5:$O$500,"&lt;=128299",'LANÇAMENTOS DIÁRIOS'!$P$5:$P$500,"&gt;=128200")&gt;0,"X","")</f>
      </c>
      <c r="AO49" s="56" t="str">
        <f>IF(COUNTIFS('LANÇAMENTOS DIÁRIOS'!$G$5:$G$500,"H",'LANÇAMENTOS DIÁRIOS'!$C$5:$C$500,$A49,'LANÇAMENTOS DIÁRIOS'!$O$5:$O$500,"&lt;=128399",'LANÇAMENTOS DIÁRIOS'!$P$5:$P$500,"&gt;=128300")&gt;0,"X","")</f>
      </c>
      <c r="AP49" s="56" t="str">
        <f>IF(COUNTIFS('LANÇAMENTOS DIÁRIOS'!$G$5:$G$500,"H",'LANÇAMENTOS DIÁRIOS'!$C$5:$C$500,$A49,'LANÇAMENTOS DIÁRIOS'!$O$5:$O$500,"&lt;=128499",'LANÇAMENTOS DIÁRIOS'!$P$5:$P$500,"&gt;=128400")&gt;0,"X","")</f>
      </c>
      <c r="AQ49" s="56" t="str">
        <f>IF(COUNTIFS('LANÇAMENTOS DIÁRIOS'!$G$5:$G$500,"H",'LANÇAMENTOS DIÁRIOS'!$C$5:$C$500,$A49,'LANÇAMENTOS DIÁRIOS'!$O$5:$O$500,"&lt;=128599",'LANÇAMENTOS DIÁRIOS'!$P$5:$P$500,"&gt;=128500")&gt;0,"X","")</f>
      </c>
      <c r="AR49" s="56" t="str">
        <f>IF(COUNTIFS('LANÇAMENTOS DIÁRIOS'!$G$5:$G$500,"H",'LANÇAMENTOS DIÁRIOS'!$C$5:$C$500,$A49,'LANÇAMENTOS DIÁRIOS'!$O$5:$O$500,"&lt;=128699",'LANÇAMENTOS DIÁRIOS'!$P$5:$P$500,"&gt;=128600")&gt;0,"X","")</f>
      </c>
      <c r="AS49" s="56" t="str">
        <f>IF(COUNTIFS('LANÇAMENTOS DIÁRIOS'!$G$5:$G$500,"H",'LANÇAMENTOS DIÁRIOS'!$C$5:$C$500,$A49,'LANÇAMENTOS DIÁRIOS'!$O$5:$O$500,"&lt;=128799",'LANÇAMENTOS DIÁRIOS'!$P$5:$P$500,"&gt;=128700")&gt;0,"X","")</f>
      </c>
      <c r="AT49" s="56" t="str">
        <f>IF(COUNTIFS('LANÇAMENTOS DIÁRIOS'!$G$5:$G$500,"H",'LANÇAMENTOS DIÁRIOS'!$C$5:$C$500,$A49,'LANÇAMENTOS DIÁRIOS'!$O$5:$O$500,"&lt;=128899",'LANÇAMENTOS DIÁRIOS'!$P$5:$P$500,"&gt;=128800")&gt;0,"X","")</f>
      </c>
      <c r="AU49" s="56" t="str">
        <f>IF(COUNTIFS('LANÇAMENTOS DIÁRIOS'!$G$5:$G$500,"H",'LANÇAMENTOS DIÁRIOS'!$C$5:$C$500,$A49,'LANÇAMENTOS DIÁRIOS'!$O$5:$O$500,"&lt;=128999",'LANÇAMENTOS DIÁRIOS'!$P$5:$P$500,"&gt;=128900")&gt;0,"X","")</f>
      </c>
      <c r="AV49" s="56" t="str">
        <f>IF(COUNTIFS('LANÇAMENTOS DIÁRIOS'!$G$5:$G$500,"H",'LANÇAMENTOS DIÁRIOS'!$C$5:$C$500,$A49,'LANÇAMENTOS DIÁRIOS'!$O$5:$O$500,"&lt;=129099",'LANÇAMENTOS DIÁRIOS'!$P$5:$P$500,"&gt;=129000")&gt;0,"X","")</f>
      </c>
      <c r="AW49" s="56" t="str">
        <f>IF(COUNTIFS('LANÇAMENTOS DIÁRIOS'!$G$5:$G$500,"H",'LANÇAMENTOS DIÁRIOS'!$C$5:$C$500,$A49,'LANÇAMENTOS DIÁRIOS'!$O$5:$O$500,"&lt;=129199",'LANÇAMENTOS DIÁRIOS'!$P$5:$P$500,"&gt;=129100")&gt;0,"X","")</f>
      </c>
      <c r="AX49" s="56" t="str">
        <f>IF(COUNTIFS('LANÇAMENTOS DIÁRIOS'!$G$5:$G$500,"H",'LANÇAMENTOS DIÁRIOS'!$C$5:$C$500,$A49,'LANÇAMENTOS DIÁRIOS'!$O$5:$O$500,"&lt;=129299",'LANÇAMENTOS DIÁRIOS'!$P$5:$P$500,"&gt;=129200")&gt;0,"X","")</f>
      </c>
      <c r="AY49" s="56" t="str">
        <f>IF(COUNTIFS('LANÇAMENTOS DIÁRIOS'!$G$5:$G$500,"H",'LANÇAMENTOS DIÁRIOS'!$C$5:$C$500,$A49,'LANÇAMENTOS DIÁRIOS'!$O$5:$O$500,"&lt;=129399",'LANÇAMENTOS DIÁRIOS'!$P$5:$P$500,"&gt;=129300")&gt;0,"X","")</f>
      </c>
      <c r="AZ49" s="56" t="str">
        <f>IF(COUNTIFS('LANÇAMENTOS DIÁRIOS'!$G$5:$G$500,"H",'LANÇAMENTOS DIÁRIOS'!$C$5:$C$500,$A49,'LANÇAMENTOS DIÁRIOS'!$O$5:$O$500,"&lt;=129400",'LANÇAMENTOS DIÁRIOS'!$P$5:$P$500,"&gt;=129400")&gt;0,"X","")</f>
      </c>
    </row>
    <row r="50">
      <c r="A50" s="51" t="str">
        <v>Escavação de solo mole</v>
      </c>
      <c r="B50" s="56" t="str">
        <f>IF(COUNTIFS('LANÇAMENTOS DIÁRIOS'!$G$5:$G$500,"H",'LANÇAMENTOS DIÁRIOS'!$C$5:$C$500,$A50,'LANÇAMENTOS DIÁRIOS'!$O$5:$O$500,"&lt;=124499",'LANÇAMENTOS DIÁRIOS'!$P$5:$P$500,"&gt;=124400")&gt;0,"X","")</f>
      </c>
      <c r="C50" s="56" t="str">
        <f>IF(COUNTIFS('LANÇAMENTOS DIÁRIOS'!$G$5:$G$500,"H",'LANÇAMENTOS DIÁRIOS'!$C$5:$C$500,$A50,'LANÇAMENTOS DIÁRIOS'!$O$5:$O$500,"&lt;=124599",'LANÇAMENTOS DIÁRIOS'!$P$5:$P$500,"&gt;=124500")&gt;0,"X","")</f>
      </c>
      <c r="D50" s="56" t="str">
        <f>IF(COUNTIFS('LANÇAMENTOS DIÁRIOS'!$G$5:$G$500,"H",'LANÇAMENTOS DIÁRIOS'!$C$5:$C$500,$A50,'LANÇAMENTOS DIÁRIOS'!$O$5:$O$500,"&lt;=124699",'LANÇAMENTOS DIÁRIOS'!$P$5:$P$500,"&gt;=124600")&gt;0,"X","")</f>
      </c>
      <c r="E50" s="56" t="str">
        <f>IF(COUNTIFS('LANÇAMENTOS DIÁRIOS'!$G$5:$G$500,"H",'LANÇAMENTOS DIÁRIOS'!$C$5:$C$500,$A50,'LANÇAMENTOS DIÁRIOS'!$O$5:$O$500,"&lt;=124799",'LANÇAMENTOS DIÁRIOS'!$P$5:$P$500,"&gt;=124700")&gt;0,"X","")</f>
      </c>
      <c r="F50" s="56" t="str">
        <f>IF(COUNTIFS('LANÇAMENTOS DIÁRIOS'!$G$5:$G$500,"H",'LANÇAMENTOS DIÁRIOS'!$C$5:$C$500,$A50,'LANÇAMENTOS DIÁRIOS'!$O$5:$O$500,"&lt;=124899",'LANÇAMENTOS DIÁRIOS'!$P$5:$P$500,"&gt;=124800")&gt;0,"X","")</f>
      </c>
      <c r="G50" s="56" t="str">
        <f>IF(COUNTIFS('LANÇAMENTOS DIÁRIOS'!$G$5:$G$500,"H",'LANÇAMENTOS DIÁRIOS'!$C$5:$C$500,$A50,'LANÇAMENTOS DIÁRIOS'!$O$5:$O$500,"&lt;=124999",'LANÇAMENTOS DIÁRIOS'!$P$5:$P$500,"&gt;=124900")&gt;0,"X","")</f>
      </c>
      <c r="H50" s="56" t="str">
        <f>IF(COUNTIFS('LANÇAMENTOS DIÁRIOS'!$G$5:$G$500,"H",'LANÇAMENTOS DIÁRIOS'!$C$5:$C$500,$A50,'LANÇAMENTOS DIÁRIOS'!$O$5:$O$500,"&lt;=125099",'LANÇAMENTOS DIÁRIOS'!$P$5:$P$500,"&gt;=125000")&gt;0,"X","")</f>
      </c>
      <c r="I50" s="56" t="str">
        <f>IF(COUNTIFS('LANÇAMENTOS DIÁRIOS'!$G$5:$G$500,"H",'LANÇAMENTOS DIÁRIOS'!$C$5:$C$500,$A50,'LANÇAMENTOS DIÁRIOS'!$O$5:$O$500,"&lt;=125199",'LANÇAMENTOS DIÁRIOS'!$P$5:$P$500,"&gt;=125100")&gt;0,"X","")</f>
      </c>
      <c r="J50" s="56" t="str">
        <f>IF(COUNTIFS('LANÇAMENTOS DIÁRIOS'!$G$5:$G$500,"H",'LANÇAMENTOS DIÁRIOS'!$C$5:$C$500,$A50,'LANÇAMENTOS DIÁRIOS'!$O$5:$O$500,"&lt;=125299",'LANÇAMENTOS DIÁRIOS'!$P$5:$P$500,"&gt;=125200")&gt;0,"X","")</f>
      </c>
      <c r="K50" s="56" t="str">
        <f>IF(COUNTIFS('LANÇAMENTOS DIÁRIOS'!$G$5:$G$500,"H",'LANÇAMENTOS DIÁRIOS'!$C$5:$C$500,$A50,'LANÇAMENTOS DIÁRIOS'!$O$5:$O$500,"&lt;=125399",'LANÇAMENTOS DIÁRIOS'!$P$5:$P$500,"&gt;=125300")&gt;0,"X","")</f>
      </c>
      <c r="L50" s="56" t="str">
        <f>IF(COUNTIFS('LANÇAMENTOS DIÁRIOS'!$G$5:$G$500,"H",'LANÇAMENTOS DIÁRIOS'!$C$5:$C$500,$A50,'LANÇAMENTOS DIÁRIOS'!$O$5:$O$500,"&lt;=125499",'LANÇAMENTOS DIÁRIOS'!$P$5:$P$500,"&gt;=125400")&gt;0,"X","")</f>
      </c>
      <c r="M50" s="56" t="str">
        <f>IF(COUNTIFS('LANÇAMENTOS DIÁRIOS'!$G$5:$G$500,"H",'LANÇAMENTOS DIÁRIOS'!$C$5:$C$500,$A50,'LANÇAMENTOS DIÁRIOS'!$O$5:$O$500,"&lt;=125599",'LANÇAMENTOS DIÁRIOS'!$P$5:$P$500,"&gt;=125500")&gt;0,"X","")</f>
      </c>
      <c r="N50" s="56" t="str">
        <f>IF(COUNTIFS('LANÇAMENTOS DIÁRIOS'!$G$5:$G$500,"H",'LANÇAMENTOS DIÁRIOS'!$C$5:$C$500,$A50,'LANÇAMENTOS DIÁRIOS'!$O$5:$O$500,"&lt;=125699",'LANÇAMENTOS DIÁRIOS'!$P$5:$P$500,"&gt;=125600")&gt;0,"X","")</f>
      </c>
      <c r="O50" s="56" t="str">
        <f>IF(COUNTIFS('LANÇAMENTOS DIÁRIOS'!$G$5:$G$500,"H",'LANÇAMENTOS DIÁRIOS'!$C$5:$C$500,$A50,'LANÇAMENTOS DIÁRIOS'!$O$5:$O$500,"&lt;=125799",'LANÇAMENTOS DIÁRIOS'!$P$5:$P$500,"&gt;=125700")&gt;0,"X","")</f>
      </c>
      <c r="P50" s="56" t="str">
        <f>IF(COUNTIFS('LANÇAMENTOS DIÁRIOS'!$G$5:$G$500,"H",'LANÇAMENTOS DIÁRIOS'!$C$5:$C$500,$A50,'LANÇAMENTOS DIÁRIOS'!$O$5:$O$500,"&lt;=125899",'LANÇAMENTOS DIÁRIOS'!$P$5:$P$500,"&gt;=125800")&gt;0,"X","")</f>
      </c>
      <c r="Q50" s="56" t="str">
        <f>IF(COUNTIFS('LANÇAMENTOS DIÁRIOS'!$G$5:$G$500,"H",'LANÇAMENTOS DIÁRIOS'!$C$5:$C$500,$A50,'LANÇAMENTOS DIÁRIOS'!$O$5:$O$500,"&lt;=125999",'LANÇAMENTOS DIÁRIOS'!$P$5:$P$500,"&gt;=125900")&gt;0,"X","")</f>
      </c>
      <c r="R50" s="56" t="str">
        <f>IF(COUNTIFS('LANÇAMENTOS DIÁRIOS'!$G$5:$G$500,"H",'LANÇAMENTOS DIÁRIOS'!$C$5:$C$500,$A50,'LANÇAMENTOS DIÁRIOS'!$O$5:$O$500,"&lt;=126099",'LANÇAMENTOS DIÁRIOS'!$P$5:$P$500,"&gt;=126000")&gt;0,"X","")</f>
      </c>
      <c r="S50" s="56" t="str">
        <f>IF(COUNTIFS('LANÇAMENTOS DIÁRIOS'!$G$5:$G$500,"H",'LANÇAMENTOS DIÁRIOS'!$C$5:$C$500,$A50,'LANÇAMENTOS DIÁRIOS'!$O$5:$O$500,"&lt;=126199",'LANÇAMENTOS DIÁRIOS'!$P$5:$P$500,"&gt;=126100")&gt;0,"X","")</f>
      </c>
      <c r="T50" s="56" t="str">
        <f>IF(COUNTIFS('LANÇAMENTOS DIÁRIOS'!$G$5:$G$500,"H",'LANÇAMENTOS DIÁRIOS'!$C$5:$C$500,$A50,'LANÇAMENTOS DIÁRIOS'!$O$5:$O$500,"&lt;=126299",'LANÇAMENTOS DIÁRIOS'!$P$5:$P$500,"&gt;=126200")&gt;0,"X","")</f>
      </c>
      <c r="U50" s="56" t="str">
        <f>IF(COUNTIFS('LANÇAMENTOS DIÁRIOS'!$G$5:$G$500,"H",'LANÇAMENTOS DIÁRIOS'!$C$5:$C$500,$A50,'LANÇAMENTOS DIÁRIOS'!$O$5:$O$500,"&lt;=126399",'LANÇAMENTOS DIÁRIOS'!$P$5:$P$500,"&gt;=126300")&gt;0,"X","")</f>
      </c>
      <c r="V50" s="56" t="str">
        <f>IF(COUNTIFS('LANÇAMENTOS DIÁRIOS'!$G$5:$G$500,"H",'LANÇAMENTOS DIÁRIOS'!$C$5:$C$500,$A50,'LANÇAMENTOS DIÁRIOS'!$O$5:$O$500,"&lt;=126499",'LANÇAMENTOS DIÁRIOS'!$P$5:$P$500,"&gt;=126400")&gt;0,"X","")</f>
      </c>
      <c r="W50" s="56" t="str">
        <f>IF(COUNTIFS('LANÇAMENTOS DIÁRIOS'!$G$5:$G$500,"H",'LANÇAMENTOS DIÁRIOS'!$C$5:$C$500,$A50,'LANÇAMENTOS DIÁRIOS'!$O$5:$O$500,"&lt;=126599",'LANÇAMENTOS DIÁRIOS'!$P$5:$P$500,"&gt;=126500")&gt;0,"X","")</f>
      </c>
      <c r="X50" s="56" t="str">
        <f>IF(COUNTIFS('LANÇAMENTOS DIÁRIOS'!$G$5:$G$500,"H",'LANÇAMENTOS DIÁRIOS'!$C$5:$C$500,$A50,'LANÇAMENTOS DIÁRIOS'!$O$5:$O$500,"&lt;=126699",'LANÇAMENTOS DIÁRIOS'!$P$5:$P$500,"&gt;=126600")&gt;0,"X","")</f>
      </c>
      <c r="Y50" s="56" t="str">
        <f>IF(COUNTIFS('LANÇAMENTOS DIÁRIOS'!$G$5:$G$500,"H",'LANÇAMENTOS DIÁRIOS'!$C$5:$C$500,$A50,'LANÇAMENTOS DIÁRIOS'!$O$5:$O$500,"&lt;=126799",'LANÇAMENTOS DIÁRIOS'!$P$5:$P$500,"&gt;=126700")&gt;0,"X","")</f>
      </c>
      <c r="Z50" s="56" t="str">
        <f>IF(COUNTIFS('LANÇAMENTOS DIÁRIOS'!$G$5:$G$500,"H",'LANÇAMENTOS DIÁRIOS'!$C$5:$C$500,$A50,'LANÇAMENTOS DIÁRIOS'!$O$5:$O$500,"&lt;=126899",'LANÇAMENTOS DIÁRIOS'!$P$5:$P$500,"&gt;=126800")&gt;0,"X","")</f>
      </c>
      <c r="AA50" s="56" t="str">
        <f>IF(COUNTIFS('LANÇAMENTOS DIÁRIOS'!$G$5:$G$500,"H",'LANÇAMENTOS DIÁRIOS'!$C$5:$C$500,$A50,'LANÇAMENTOS DIÁRIOS'!$O$5:$O$500,"&lt;=126999",'LANÇAMENTOS DIÁRIOS'!$P$5:$P$500,"&gt;=126900")&gt;0,"X","")</f>
      </c>
      <c r="AB50" s="56" t="str">
        <f>IF(COUNTIFS('LANÇAMENTOS DIÁRIOS'!$G$5:$G$500,"H",'LANÇAMENTOS DIÁRIOS'!$C$5:$C$500,$A50,'LANÇAMENTOS DIÁRIOS'!$O$5:$O$500,"&lt;=127099",'LANÇAMENTOS DIÁRIOS'!$P$5:$P$500,"&gt;=127000")&gt;0,"X","")</f>
      </c>
      <c r="AC50" s="56" t="str">
        <f>IF(COUNTIFS('LANÇAMENTOS DIÁRIOS'!$G$5:$G$500,"H",'LANÇAMENTOS DIÁRIOS'!$C$5:$C$500,$A50,'LANÇAMENTOS DIÁRIOS'!$O$5:$O$500,"&lt;=127199",'LANÇAMENTOS DIÁRIOS'!$P$5:$P$500,"&gt;=127100")&gt;0,"X","")</f>
      </c>
      <c r="AD50" s="56" t="str">
        <f>IF(COUNTIFS('LANÇAMENTOS DIÁRIOS'!$G$5:$G$500,"H",'LANÇAMENTOS DIÁRIOS'!$C$5:$C$500,$A50,'LANÇAMENTOS DIÁRIOS'!$O$5:$O$500,"&lt;=127299",'LANÇAMENTOS DIÁRIOS'!$P$5:$P$500,"&gt;=127200")&gt;0,"X","")</f>
      </c>
      <c r="AE50" s="56" t="str">
        <f>IF(COUNTIFS('LANÇAMENTOS DIÁRIOS'!$G$5:$G$500,"H",'LANÇAMENTOS DIÁRIOS'!$C$5:$C$500,$A50,'LANÇAMENTOS DIÁRIOS'!$O$5:$O$500,"&lt;=127399",'LANÇAMENTOS DIÁRIOS'!$P$5:$P$500,"&gt;=127300")&gt;0,"X","")</f>
      </c>
      <c r="AF50" s="56" t="str">
        <f>IF(COUNTIFS('LANÇAMENTOS DIÁRIOS'!$G$5:$G$500,"H",'LANÇAMENTOS DIÁRIOS'!$C$5:$C$500,$A50,'LANÇAMENTOS DIÁRIOS'!$O$5:$O$500,"&lt;=127499",'LANÇAMENTOS DIÁRIOS'!$P$5:$P$500,"&gt;=127400")&gt;0,"X","")</f>
      </c>
      <c r="AG50" s="56" t="str">
        <f>IF(COUNTIFS('LANÇAMENTOS DIÁRIOS'!$G$5:$G$500,"H",'LANÇAMENTOS DIÁRIOS'!$C$5:$C$500,$A50,'LANÇAMENTOS DIÁRIOS'!$O$5:$O$500,"&lt;=127599",'LANÇAMENTOS DIÁRIOS'!$P$5:$P$500,"&gt;=127500")&gt;0,"X","")</f>
      </c>
      <c r="AH50" s="56" t="str">
        <f>IF(COUNTIFS('LANÇAMENTOS DIÁRIOS'!$G$5:$G$500,"H",'LANÇAMENTOS DIÁRIOS'!$C$5:$C$500,$A50,'LANÇAMENTOS DIÁRIOS'!$O$5:$O$500,"&lt;=127699",'LANÇAMENTOS DIÁRIOS'!$P$5:$P$500,"&gt;=127600")&gt;0,"X","")</f>
      </c>
      <c r="AI50" s="56" t="str">
        <f>IF(COUNTIFS('LANÇAMENTOS DIÁRIOS'!$G$5:$G$500,"H",'LANÇAMENTOS DIÁRIOS'!$C$5:$C$500,$A50,'LANÇAMENTOS DIÁRIOS'!$O$5:$O$500,"&lt;=127799",'LANÇAMENTOS DIÁRIOS'!$P$5:$P$500,"&gt;=127700")&gt;0,"X","")</f>
      </c>
      <c r="AJ50" s="56" t="str">
        <f>IF(COUNTIFS('LANÇAMENTOS DIÁRIOS'!$G$5:$G$500,"H",'LANÇAMENTOS DIÁRIOS'!$C$5:$C$500,$A50,'LANÇAMENTOS DIÁRIOS'!$O$5:$O$500,"&lt;=127899",'LANÇAMENTOS DIÁRIOS'!$P$5:$P$500,"&gt;=127800")&gt;0,"X","")</f>
      </c>
      <c r="AK50" s="56" t="str">
        <f>IF(COUNTIFS('LANÇAMENTOS DIÁRIOS'!$G$5:$G$500,"H",'LANÇAMENTOS DIÁRIOS'!$C$5:$C$500,$A50,'LANÇAMENTOS DIÁRIOS'!$O$5:$O$500,"&lt;=127999",'LANÇAMENTOS DIÁRIOS'!$P$5:$P$500,"&gt;=127900")&gt;0,"X","")</f>
      </c>
      <c r="AL50" s="56" t="str">
        <f>IF(COUNTIFS('LANÇAMENTOS DIÁRIOS'!$G$5:$G$500,"H",'LANÇAMENTOS DIÁRIOS'!$C$5:$C$500,$A50,'LANÇAMENTOS DIÁRIOS'!$O$5:$O$500,"&lt;=128099",'LANÇAMENTOS DIÁRIOS'!$P$5:$P$500,"&gt;=128000")&gt;0,"X","")</f>
      </c>
      <c r="AM50" s="56" t="str">
        <f>IF(COUNTIFS('LANÇAMENTOS DIÁRIOS'!$G$5:$G$500,"H",'LANÇAMENTOS DIÁRIOS'!$C$5:$C$500,$A50,'LANÇAMENTOS DIÁRIOS'!$O$5:$O$500,"&lt;=128199",'LANÇAMENTOS DIÁRIOS'!$P$5:$P$500,"&gt;=128100")&gt;0,"X","")</f>
      </c>
      <c r="AN50" s="56" t="str">
        <f>IF(COUNTIFS('LANÇAMENTOS DIÁRIOS'!$G$5:$G$500,"H",'LANÇAMENTOS DIÁRIOS'!$C$5:$C$500,$A50,'LANÇAMENTOS DIÁRIOS'!$O$5:$O$500,"&lt;=128299",'LANÇAMENTOS DIÁRIOS'!$P$5:$P$500,"&gt;=128200")&gt;0,"X","")</f>
      </c>
      <c r="AO50" s="56" t="str">
        <f>IF(COUNTIFS('LANÇAMENTOS DIÁRIOS'!$G$5:$G$500,"H",'LANÇAMENTOS DIÁRIOS'!$C$5:$C$500,$A50,'LANÇAMENTOS DIÁRIOS'!$O$5:$O$500,"&lt;=128399",'LANÇAMENTOS DIÁRIOS'!$P$5:$P$500,"&gt;=128300")&gt;0,"X","")</f>
      </c>
      <c r="AP50" s="56" t="str">
        <f>IF(COUNTIFS('LANÇAMENTOS DIÁRIOS'!$G$5:$G$500,"H",'LANÇAMENTOS DIÁRIOS'!$C$5:$C$500,$A50,'LANÇAMENTOS DIÁRIOS'!$O$5:$O$500,"&lt;=128499",'LANÇAMENTOS DIÁRIOS'!$P$5:$P$500,"&gt;=128400")&gt;0,"X","")</f>
      </c>
      <c r="AQ50" s="56" t="str">
        <f>IF(COUNTIFS('LANÇAMENTOS DIÁRIOS'!$G$5:$G$500,"H",'LANÇAMENTOS DIÁRIOS'!$C$5:$C$500,$A50,'LANÇAMENTOS DIÁRIOS'!$O$5:$O$500,"&lt;=128599",'LANÇAMENTOS DIÁRIOS'!$P$5:$P$500,"&gt;=128500")&gt;0,"X","")</f>
      </c>
      <c r="AR50" s="56" t="str">
        <f>IF(COUNTIFS('LANÇAMENTOS DIÁRIOS'!$G$5:$G$500,"H",'LANÇAMENTOS DIÁRIOS'!$C$5:$C$500,$A50,'LANÇAMENTOS DIÁRIOS'!$O$5:$O$500,"&lt;=128699",'LANÇAMENTOS DIÁRIOS'!$P$5:$P$500,"&gt;=128600")&gt;0,"X","")</f>
      </c>
      <c r="AS50" s="56" t="str">
        <f>IF(COUNTIFS('LANÇAMENTOS DIÁRIOS'!$G$5:$G$500,"H",'LANÇAMENTOS DIÁRIOS'!$C$5:$C$500,$A50,'LANÇAMENTOS DIÁRIOS'!$O$5:$O$500,"&lt;=128799",'LANÇAMENTOS DIÁRIOS'!$P$5:$P$500,"&gt;=128700")&gt;0,"X","")</f>
      </c>
      <c r="AT50" s="56" t="str">
        <f>IF(COUNTIFS('LANÇAMENTOS DIÁRIOS'!$G$5:$G$500,"H",'LANÇAMENTOS DIÁRIOS'!$C$5:$C$500,$A50,'LANÇAMENTOS DIÁRIOS'!$O$5:$O$500,"&lt;=128899",'LANÇAMENTOS DIÁRIOS'!$P$5:$P$500,"&gt;=128800")&gt;0,"X","")</f>
      </c>
      <c r="AU50" s="56" t="str">
        <f>IF(COUNTIFS('LANÇAMENTOS DIÁRIOS'!$G$5:$G$500,"H",'LANÇAMENTOS DIÁRIOS'!$C$5:$C$500,$A50,'LANÇAMENTOS DIÁRIOS'!$O$5:$O$500,"&lt;=128999",'LANÇAMENTOS DIÁRIOS'!$P$5:$P$500,"&gt;=128900")&gt;0,"X","")</f>
      </c>
      <c r="AV50" s="56" t="str">
        <f>IF(COUNTIFS('LANÇAMENTOS DIÁRIOS'!$G$5:$G$500,"H",'LANÇAMENTOS DIÁRIOS'!$C$5:$C$500,$A50,'LANÇAMENTOS DIÁRIOS'!$O$5:$O$500,"&lt;=129099",'LANÇAMENTOS DIÁRIOS'!$P$5:$P$500,"&gt;=129000")&gt;0,"X","")</f>
      </c>
      <c r="AW50" s="56" t="str">
        <f>IF(COUNTIFS('LANÇAMENTOS DIÁRIOS'!$G$5:$G$500,"H",'LANÇAMENTOS DIÁRIOS'!$C$5:$C$500,$A50,'LANÇAMENTOS DIÁRIOS'!$O$5:$O$500,"&lt;=129199",'LANÇAMENTOS DIÁRIOS'!$P$5:$P$500,"&gt;=129100")&gt;0,"X","")</f>
      </c>
      <c r="AX50" s="56" t="str">
        <f>IF(COUNTIFS('LANÇAMENTOS DIÁRIOS'!$G$5:$G$500,"H",'LANÇAMENTOS DIÁRIOS'!$C$5:$C$500,$A50,'LANÇAMENTOS DIÁRIOS'!$O$5:$O$500,"&lt;=129299",'LANÇAMENTOS DIÁRIOS'!$P$5:$P$500,"&gt;=129200")&gt;0,"X","")</f>
      </c>
      <c r="AY50" s="56" t="str">
        <f>IF(COUNTIFS('LANÇAMENTOS DIÁRIOS'!$G$5:$G$500,"H",'LANÇAMENTOS DIÁRIOS'!$C$5:$C$500,$A50,'LANÇAMENTOS DIÁRIOS'!$O$5:$O$500,"&lt;=129399",'LANÇAMENTOS DIÁRIOS'!$P$5:$P$500,"&gt;=129300")&gt;0,"X","")</f>
      </c>
      <c r="AZ50" s="56" t="str">
        <f>IF(COUNTIFS('LANÇAMENTOS DIÁRIOS'!$G$5:$G$500,"H",'LANÇAMENTOS DIÁRIOS'!$C$5:$C$500,$A50,'LANÇAMENTOS DIÁRIOS'!$O$5:$O$500,"&lt;=129400",'LANÇAMENTOS DIÁRIOS'!$P$5:$P$500,"&gt;=129400")&gt;0,"X","")</f>
      </c>
    </row>
    <row r="51">
      <c r="A51" s="51" t="str">
        <v>Fundação / reaterro com pedra rachão</v>
      </c>
      <c r="B51" s="56" t="str">
        <f>IF(COUNTIFS('LANÇAMENTOS DIÁRIOS'!$G$5:$G$500,"H",'LANÇAMENTOS DIÁRIOS'!$C$5:$C$500,$A51,'LANÇAMENTOS DIÁRIOS'!$O$5:$O$500,"&lt;=124499",'LANÇAMENTOS DIÁRIOS'!$P$5:$P$500,"&gt;=124400")&gt;0,"X","")</f>
      </c>
      <c r="C51" s="56" t="str">
        <f>IF(COUNTIFS('LANÇAMENTOS DIÁRIOS'!$G$5:$G$500,"H",'LANÇAMENTOS DIÁRIOS'!$C$5:$C$500,$A51,'LANÇAMENTOS DIÁRIOS'!$O$5:$O$500,"&lt;=124599",'LANÇAMENTOS DIÁRIOS'!$P$5:$P$500,"&gt;=124500")&gt;0,"X","")</f>
      </c>
      <c r="D51" s="56" t="str">
        <f>IF(COUNTIFS('LANÇAMENTOS DIÁRIOS'!$G$5:$G$500,"H",'LANÇAMENTOS DIÁRIOS'!$C$5:$C$500,$A51,'LANÇAMENTOS DIÁRIOS'!$O$5:$O$500,"&lt;=124699",'LANÇAMENTOS DIÁRIOS'!$P$5:$P$500,"&gt;=124600")&gt;0,"X","")</f>
      </c>
      <c r="E51" s="56" t="str">
        <f>IF(COUNTIFS('LANÇAMENTOS DIÁRIOS'!$G$5:$G$500,"H",'LANÇAMENTOS DIÁRIOS'!$C$5:$C$500,$A51,'LANÇAMENTOS DIÁRIOS'!$O$5:$O$500,"&lt;=124799",'LANÇAMENTOS DIÁRIOS'!$P$5:$P$500,"&gt;=124700")&gt;0,"X","")</f>
      </c>
      <c r="F51" s="56" t="str">
        <f>IF(COUNTIFS('LANÇAMENTOS DIÁRIOS'!$G$5:$G$500,"H",'LANÇAMENTOS DIÁRIOS'!$C$5:$C$500,$A51,'LANÇAMENTOS DIÁRIOS'!$O$5:$O$500,"&lt;=124899",'LANÇAMENTOS DIÁRIOS'!$P$5:$P$500,"&gt;=124800")&gt;0,"X","")</f>
      </c>
      <c r="G51" s="56" t="str">
        <f>IF(COUNTIFS('LANÇAMENTOS DIÁRIOS'!$G$5:$G$500,"H",'LANÇAMENTOS DIÁRIOS'!$C$5:$C$500,$A51,'LANÇAMENTOS DIÁRIOS'!$O$5:$O$500,"&lt;=124999",'LANÇAMENTOS DIÁRIOS'!$P$5:$P$500,"&gt;=124900")&gt;0,"X","")</f>
      </c>
      <c r="H51" s="56" t="str">
        <f>IF(COUNTIFS('LANÇAMENTOS DIÁRIOS'!$G$5:$G$500,"H",'LANÇAMENTOS DIÁRIOS'!$C$5:$C$500,$A51,'LANÇAMENTOS DIÁRIOS'!$O$5:$O$500,"&lt;=125099",'LANÇAMENTOS DIÁRIOS'!$P$5:$P$500,"&gt;=125000")&gt;0,"X","")</f>
      </c>
      <c r="I51" s="56" t="str">
        <f>IF(COUNTIFS('LANÇAMENTOS DIÁRIOS'!$G$5:$G$500,"H",'LANÇAMENTOS DIÁRIOS'!$C$5:$C$500,$A51,'LANÇAMENTOS DIÁRIOS'!$O$5:$O$500,"&lt;=125199",'LANÇAMENTOS DIÁRIOS'!$P$5:$P$500,"&gt;=125100")&gt;0,"X","")</f>
      </c>
      <c r="J51" s="56" t="str">
        <f>IF(COUNTIFS('LANÇAMENTOS DIÁRIOS'!$G$5:$G$500,"H",'LANÇAMENTOS DIÁRIOS'!$C$5:$C$500,$A51,'LANÇAMENTOS DIÁRIOS'!$O$5:$O$500,"&lt;=125299",'LANÇAMENTOS DIÁRIOS'!$P$5:$P$500,"&gt;=125200")&gt;0,"X","")</f>
      </c>
      <c r="K51" s="56" t="str">
        <f>IF(COUNTIFS('LANÇAMENTOS DIÁRIOS'!$G$5:$G$500,"H",'LANÇAMENTOS DIÁRIOS'!$C$5:$C$500,$A51,'LANÇAMENTOS DIÁRIOS'!$O$5:$O$500,"&lt;=125399",'LANÇAMENTOS DIÁRIOS'!$P$5:$P$500,"&gt;=125300")&gt;0,"X","")</f>
      </c>
      <c r="L51" s="56" t="str">
        <f>IF(COUNTIFS('LANÇAMENTOS DIÁRIOS'!$G$5:$G$500,"H",'LANÇAMENTOS DIÁRIOS'!$C$5:$C$500,$A51,'LANÇAMENTOS DIÁRIOS'!$O$5:$O$500,"&lt;=125499",'LANÇAMENTOS DIÁRIOS'!$P$5:$P$500,"&gt;=125400")&gt;0,"X","")</f>
      </c>
      <c r="M51" s="56" t="str">
        <f>IF(COUNTIFS('LANÇAMENTOS DIÁRIOS'!$G$5:$G$500,"H",'LANÇAMENTOS DIÁRIOS'!$C$5:$C$500,$A51,'LANÇAMENTOS DIÁRIOS'!$O$5:$O$500,"&lt;=125599",'LANÇAMENTOS DIÁRIOS'!$P$5:$P$500,"&gt;=125500")&gt;0,"X","")</f>
      </c>
      <c r="N51" s="56" t="str">
        <f>IF(COUNTIFS('LANÇAMENTOS DIÁRIOS'!$G$5:$G$500,"H",'LANÇAMENTOS DIÁRIOS'!$C$5:$C$500,$A51,'LANÇAMENTOS DIÁRIOS'!$O$5:$O$500,"&lt;=125699",'LANÇAMENTOS DIÁRIOS'!$P$5:$P$500,"&gt;=125600")&gt;0,"X","")</f>
      </c>
      <c r="O51" s="56" t="str">
        <f>IF(COUNTIFS('LANÇAMENTOS DIÁRIOS'!$G$5:$G$500,"H",'LANÇAMENTOS DIÁRIOS'!$C$5:$C$500,$A51,'LANÇAMENTOS DIÁRIOS'!$O$5:$O$500,"&lt;=125799",'LANÇAMENTOS DIÁRIOS'!$P$5:$P$500,"&gt;=125700")&gt;0,"X","")</f>
      </c>
      <c r="P51" s="56" t="str">
        <f>IF(COUNTIFS('LANÇAMENTOS DIÁRIOS'!$G$5:$G$500,"H",'LANÇAMENTOS DIÁRIOS'!$C$5:$C$500,$A51,'LANÇAMENTOS DIÁRIOS'!$O$5:$O$500,"&lt;=125899",'LANÇAMENTOS DIÁRIOS'!$P$5:$P$500,"&gt;=125800")&gt;0,"X","")</f>
      </c>
      <c r="Q51" s="56" t="str">
        <f>IF(COUNTIFS('LANÇAMENTOS DIÁRIOS'!$G$5:$G$500,"H",'LANÇAMENTOS DIÁRIOS'!$C$5:$C$500,$A51,'LANÇAMENTOS DIÁRIOS'!$O$5:$O$500,"&lt;=125999",'LANÇAMENTOS DIÁRIOS'!$P$5:$P$500,"&gt;=125900")&gt;0,"X","")</f>
      </c>
      <c r="R51" s="56" t="str">
        <f>IF(COUNTIFS('LANÇAMENTOS DIÁRIOS'!$G$5:$G$500,"H",'LANÇAMENTOS DIÁRIOS'!$C$5:$C$500,$A51,'LANÇAMENTOS DIÁRIOS'!$O$5:$O$500,"&lt;=126099",'LANÇAMENTOS DIÁRIOS'!$P$5:$P$500,"&gt;=126000")&gt;0,"X","")</f>
      </c>
      <c r="S51" s="56" t="str">
        <f>IF(COUNTIFS('LANÇAMENTOS DIÁRIOS'!$G$5:$G$500,"H",'LANÇAMENTOS DIÁRIOS'!$C$5:$C$500,$A51,'LANÇAMENTOS DIÁRIOS'!$O$5:$O$500,"&lt;=126199",'LANÇAMENTOS DIÁRIOS'!$P$5:$P$500,"&gt;=126100")&gt;0,"X","")</f>
      </c>
      <c r="T51" s="56" t="str">
        <f>IF(COUNTIFS('LANÇAMENTOS DIÁRIOS'!$G$5:$G$500,"H",'LANÇAMENTOS DIÁRIOS'!$C$5:$C$500,$A51,'LANÇAMENTOS DIÁRIOS'!$O$5:$O$500,"&lt;=126299",'LANÇAMENTOS DIÁRIOS'!$P$5:$P$500,"&gt;=126200")&gt;0,"X","")</f>
      </c>
      <c r="U51" s="56" t="str">
        <f>IF(COUNTIFS('LANÇAMENTOS DIÁRIOS'!$G$5:$G$500,"H",'LANÇAMENTOS DIÁRIOS'!$C$5:$C$500,$A51,'LANÇAMENTOS DIÁRIOS'!$O$5:$O$500,"&lt;=126399",'LANÇAMENTOS DIÁRIOS'!$P$5:$P$500,"&gt;=126300")&gt;0,"X","")</f>
      </c>
      <c r="V51" s="56" t="str">
        <f>IF(COUNTIFS('LANÇAMENTOS DIÁRIOS'!$G$5:$G$500,"H",'LANÇAMENTOS DIÁRIOS'!$C$5:$C$500,$A51,'LANÇAMENTOS DIÁRIOS'!$O$5:$O$500,"&lt;=126499",'LANÇAMENTOS DIÁRIOS'!$P$5:$P$500,"&gt;=126400")&gt;0,"X","")</f>
      </c>
      <c r="W51" s="56" t="str">
        <f>IF(COUNTIFS('LANÇAMENTOS DIÁRIOS'!$G$5:$G$500,"H",'LANÇAMENTOS DIÁRIOS'!$C$5:$C$500,$A51,'LANÇAMENTOS DIÁRIOS'!$O$5:$O$500,"&lt;=126599",'LANÇAMENTOS DIÁRIOS'!$P$5:$P$500,"&gt;=126500")&gt;0,"X","")</f>
      </c>
      <c r="X51" s="56" t="str">
        <f>IF(COUNTIFS('LANÇAMENTOS DIÁRIOS'!$G$5:$G$500,"H",'LANÇAMENTOS DIÁRIOS'!$C$5:$C$500,$A51,'LANÇAMENTOS DIÁRIOS'!$O$5:$O$500,"&lt;=126699",'LANÇAMENTOS DIÁRIOS'!$P$5:$P$500,"&gt;=126600")&gt;0,"X","")</f>
      </c>
      <c r="Y51" s="56" t="str">
        <f>IF(COUNTIFS('LANÇAMENTOS DIÁRIOS'!$G$5:$G$500,"H",'LANÇAMENTOS DIÁRIOS'!$C$5:$C$500,$A51,'LANÇAMENTOS DIÁRIOS'!$O$5:$O$500,"&lt;=126799",'LANÇAMENTOS DIÁRIOS'!$P$5:$P$500,"&gt;=126700")&gt;0,"X","")</f>
      </c>
      <c r="Z51" s="56" t="str">
        <f>IF(COUNTIFS('LANÇAMENTOS DIÁRIOS'!$G$5:$G$500,"H",'LANÇAMENTOS DIÁRIOS'!$C$5:$C$500,$A51,'LANÇAMENTOS DIÁRIOS'!$O$5:$O$500,"&lt;=126899",'LANÇAMENTOS DIÁRIOS'!$P$5:$P$500,"&gt;=126800")&gt;0,"X","")</f>
      </c>
      <c r="AA51" s="56" t="str">
        <f>IF(COUNTIFS('LANÇAMENTOS DIÁRIOS'!$G$5:$G$500,"H",'LANÇAMENTOS DIÁRIOS'!$C$5:$C$500,$A51,'LANÇAMENTOS DIÁRIOS'!$O$5:$O$500,"&lt;=126999",'LANÇAMENTOS DIÁRIOS'!$P$5:$P$500,"&gt;=126900")&gt;0,"X","")</f>
      </c>
      <c r="AB51" s="56" t="str">
        <f>IF(COUNTIFS('LANÇAMENTOS DIÁRIOS'!$G$5:$G$500,"H",'LANÇAMENTOS DIÁRIOS'!$C$5:$C$500,$A51,'LANÇAMENTOS DIÁRIOS'!$O$5:$O$500,"&lt;=127099",'LANÇAMENTOS DIÁRIOS'!$P$5:$P$500,"&gt;=127000")&gt;0,"X","")</f>
      </c>
      <c r="AC51" s="56" t="str">
        <f>IF(COUNTIFS('LANÇAMENTOS DIÁRIOS'!$G$5:$G$500,"H",'LANÇAMENTOS DIÁRIOS'!$C$5:$C$500,$A51,'LANÇAMENTOS DIÁRIOS'!$O$5:$O$500,"&lt;=127199",'LANÇAMENTOS DIÁRIOS'!$P$5:$P$500,"&gt;=127100")&gt;0,"X","")</f>
      </c>
      <c r="AD51" s="56" t="str">
        <f>IF(COUNTIFS('LANÇAMENTOS DIÁRIOS'!$G$5:$G$500,"H",'LANÇAMENTOS DIÁRIOS'!$C$5:$C$500,$A51,'LANÇAMENTOS DIÁRIOS'!$O$5:$O$500,"&lt;=127299",'LANÇAMENTOS DIÁRIOS'!$P$5:$P$500,"&gt;=127200")&gt;0,"X","")</f>
      </c>
      <c r="AE51" s="56" t="str">
        <f>IF(COUNTIFS('LANÇAMENTOS DIÁRIOS'!$G$5:$G$500,"H",'LANÇAMENTOS DIÁRIOS'!$C$5:$C$500,$A51,'LANÇAMENTOS DIÁRIOS'!$O$5:$O$500,"&lt;=127399",'LANÇAMENTOS DIÁRIOS'!$P$5:$P$500,"&gt;=127300")&gt;0,"X","")</f>
      </c>
      <c r="AF51" s="56" t="str">
        <f>IF(COUNTIFS('LANÇAMENTOS DIÁRIOS'!$G$5:$G$500,"H",'LANÇAMENTOS DIÁRIOS'!$C$5:$C$500,$A51,'LANÇAMENTOS DIÁRIOS'!$O$5:$O$500,"&lt;=127499",'LANÇAMENTOS DIÁRIOS'!$P$5:$P$500,"&gt;=127400")&gt;0,"X","")</f>
      </c>
      <c r="AG51" s="56" t="str">
        <f>IF(COUNTIFS('LANÇAMENTOS DIÁRIOS'!$G$5:$G$500,"H",'LANÇAMENTOS DIÁRIOS'!$C$5:$C$500,$A51,'LANÇAMENTOS DIÁRIOS'!$O$5:$O$500,"&lt;=127599",'LANÇAMENTOS DIÁRIOS'!$P$5:$P$500,"&gt;=127500")&gt;0,"X","")</f>
      </c>
      <c r="AH51" s="56" t="str">
        <f>IF(COUNTIFS('LANÇAMENTOS DIÁRIOS'!$G$5:$G$500,"H",'LANÇAMENTOS DIÁRIOS'!$C$5:$C$500,$A51,'LANÇAMENTOS DIÁRIOS'!$O$5:$O$500,"&lt;=127699",'LANÇAMENTOS DIÁRIOS'!$P$5:$P$500,"&gt;=127600")&gt;0,"X","")</f>
      </c>
      <c r="AI51" s="56" t="str">
        <f>IF(COUNTIFS('LANÇAMENTOS DIÁRIOS'!$G$5:$G$500,"H",'LANÇAMENTOS DIÁRIOS'!$C$5:$C$500,$A51,'LANÇAMENTOS DIÁRIOS'!$O$5:$O$500,"&lt;=127799",'LANÇAMENTOS DIÁRIOS'!$P$5:$P$500,"&gt;=127700")&gt;0,"X","")</f>
      </c>
      <c r="AJ51" s="56" t="str">
        <f>IF(COUNTIFS('LANÇAMENTOS DIÁRIOS'!$G$5:$G$500,"H",'LANÇAMENTOS DIÁRIOS'!$C$5:$C$500,$A51,'LANÇAMENTOS DIÁRIOS'!$O$5:$O$500,"&lt;=127899",'LANÇAMENTOS DIÁRIOS'!$P$5:$P$500,"&gt;=127800")&gt;0,"X","")</f>
      </c>
      <c r="AK51" s="56" t="str">
        <f>IF(COUNTIFS('LANÇAMENTOS DIÁRIOS'!$G$5:$G$500,"H",'LANÇAMENTOS DIÁRIOS'!$C$5:$C$500,$A51,'LANÇAMENTOS DIÁRIOS'!$O$5:$O$500,"&lt;=127999",'LANÇAMENTOS DIÁRIOS'!$P$5:$P$500,"&gt;=127900")&gt;0,"X","")</f>
      </c>
      <c r="AL51" s="56" t="str">
        <f>IF(COUNTIFS('LANÇAMENTOS DIÁRIOS'!$G$5:$G$500,"H",'LANÇAMENTOS DIÁRIOS'!$C$5:$C$500,$A51,'LANÇAMENTOS DIÁRIOS'!$O$5:$O$500,"&lt;=128099",'LANÇAMENTOS DIÁRIOS'!$P$5:$P$500,"&gt;=128000")&gt;0,"X","")</f>
      </c>
      <c r="AM51" s="56" t="str">
        <f>IF(COUNTIFS('LANÇAMENTOS DIÁRIOS'!$G$5:$G$500,"H",'LANÇAMENTOS DIÁRIOS'!$C$5:$C$500,$A51,'LANÇAMENTOS DIÁRIOS'!$O$5:$O$500,"&lt;=128199",'LANÇAMENTOS DIÁRIOS'!$P$5:$P$500,"&gt;=128100")&gt;0,"X","")</f>
      </c>
      <c r="AN51" s="56" t="str">
        <f>IF(COUNTIFS('LANÇAMENTOS DIÁRIOS'!$G$5:$G$500,"H",'LANÇAMENTOS DIÁRIOS'!$C$5:$C$500,$A51,'LANÇAMENTOS DIÁRIOS'!$O$5:$O$500,"&lt;=128299",'LANÇAMENTOS DIÁRIOS'!$P$5:$P$500,"&gt;=128200")&gt;0,"X","")</f>
      </c>
      <c r="AO51" s="56" t="str">
        <f>IF(COUNTIFS('LANÇAMENTOS DIÁRIOS'!$G$5:$G$500,"H",'LANÇAMENTOS DIÁRIOS'!$C$5:$C$500,$A51,'LANÇAMENTOS DIÁRIOS'!$O$5:$O$500,"&lt;=128399",'LANÇAMENTOS DIÁRIOS'!$P$5:$P$500,"&gt;=128300")&gt;0,"X","")</f>
      </c>
      <c r="AP51" s="56" t="str">
        <f>IF(COUNTIFS('LANÇAMENTOS DIÁRIOS'!$G$5:$G$500,"H",'LANÇAMENTOS DIÁRIOS'!$C$5:$C$500,$A51,'LANÇAMENTOS DIÁRIOS'!$O$5:$O$500,"&lt;=128499",'LANÇAMENTOS DIÁRIOS'!$P$5:$P$500,"&gt;=128400")&gt;0,"X","")</f>
      </c>
      <c r="AQ51" s="56" t="str">
        <f>IF(COUNTIFS('LANÇAMENTOS DIÁRIOS'!$G$5:$G$500,"H",'LANÇAMENTOS DIÁRIOS'!$C$5:$C$500,$A51,'LANÇAMENTOS DIÁRIOS'!$O$5:$O$500,"&lt;=128599",'LANÇAMENTOS DIÁRIOS'!$P$5:$P$500,"&gt;=128500")&gt;0,"X","")</f>
      </c>
      <c r="AR51" s="56" t="str">
        <f>IF(COUNTIFS('LANÇAMENTOS DIÁRIOS'!$G$5:$G$500,"H",'LANÇAMENTOS DIÁRIOS'!$C$5:$C$500,$A51,'LANÇAMENTOS DIÁRIOS'!$O$5:$O$500,"&lt;=128699",'LANÇAMENTOS DIÁRIOS'!$P$5:$P$500,"&gt;=128600")&gt;0,"X","")</f>
      </c>
      <c r="AS51" s="56" t="str">
        <f>IF(COUNTIFS('LANÇAMENTOS DIÁRIOS'!$G$5:$G$500,"H",'LANÇAMENTOS DIÁRIOS'!$C$5:$C$500,$A51,'LANÇAMENTOS DIÁRIOS'!$O$5:$O$500,"&lt;=128799",'LANÇAMENTOS DIÁRIOS'!$P$5:$P$500,"&gt;=128700")&gt;0,"X","")</f>
      </c>
      <c r="AT51" s="56" t="str">
        <f>IF(COUNTIFS('LANÇAMENTOS DIÁRIOS'!$G$5:$G$500,"H",'LANÇAMENTOS DIÁRIOS'!$C$5:$C$500,$A51,'LANÇAMENTOS DIÁRIOS'!$O$5:$O$500,"&lt;=128899",'LANÇAMENTOS DIÁRIOS'!$P$5:$P$500,"&gt;=128800")&gt;0,"X","")</f>
      </c>
      <c r="AU51" s="56" t="str">
        <f>IF(COUNTIFS('LANÇAMENTOS DIÁRIOS'!$G$5:$G$500,"H",'LANÇAMENTOS DIÁRIOS'!$C$5:$C$500,$A51,'LANÇAMENTOS DIÁRIOS'!$O$5:$O$500,"&lt;=128999",'LANÇAMENTOS DIÁRIOS'!$P$5:$P$500,"&gt;=128900")&gt;0,"X","")</f>
      </c>
      <c r="AV51" s="56" t="str">
        <f>IF(COUNTIFS('LANÇAMENTOS DIÁRIOS'!$G$5:$G$500,"H",'LANÇAMENTOS DIÁRIOS'!$C$5:$C$500,$A51,'LANÇAMENTOS DIÁRIOS'!$O$5:$O$500,"&lt;=129099",'LANÇAMENTOS DIÁRIOS'!$P$5:$P$500,"&gt;=129000")&gt;0,"X","")</f>
      </c>
      <c r="AW51" s="56" t="str">
        <f>IF(COUNTIFS('LANÇAMENTOS DIÁRIOS'!$G$5:$G$500,"H",'LANÇAMENTOS DIÁRIOS'!$C$5:$C$500,$A51,'LANÇAMENTOS DIÁRIOS'!$O$5:$O$500,"&lt;=129199",'LANÇAMENTOS DIÁRIOS'!$P$5:$P$500,"&gt;=129100")&gt;0,"X","")</f>
      </c>
      <c r="AX51" s="56" t="str">
        <f>IF(COUNTIFS('LANÇAMENTOS DIÁRIOS'!$G$5:$G$500,"H",'LANÇAMENTOS DIÁRIOS'!$C$5:$C$500,$A51,'LANÇAMENTOS DIÁRIOS'!$O$5:$O$500,"&lt;=129299",'LANÇAMENTOS DIÁRIOS'!$P$5:$P$500,"&gt;=129200")&gt;0,"X","")</f>
      </c>
      <c r="AY51" s="56" t="str">
        <f>IF(COUNTIFS('LANÇAMENTOS DIÁRIOS'!$G$5:$G$500,"H",'LANÇAMENTOS DIÁRIOS'!$C$5:$C$500,$A51,'LANÇAMENTOS DIÁRIOS'!$O$5:$O$500,"&lt;=129399",'LANÇAMENTOS DIÁRIOS'!$P$5:$P$500,"&gt;=129300")&gt;0,"X","")</f>
      </c>
      <c r="AZ51" s="56" t="str">
        <f>IF(COUNTIFS('LANÇAMENTOS DIÁRIOS'!$G$5:$G$500,"H",'LANÇAMENTOS DIÁRIOS'!$C$5:$C$500,$A51,'LANÇAMENTOS DIÁRIOS'!$O$5:$O$500,"&lt;=129400",'LANÇAMENTOS DIÁRIOS'!$P$5:$P$500,"&gt;=129400")&gt;0,"X","")</f>
      </c>
    </row>
    <row r="52">
      <c r="A52" s="51" t="str">
        <v>Fundação / reaterro com areia média a grossa</v>
      </c>
      <c r="B52" s="56" t="str">
        <f>IF(COUNTIFS('LANÇAMENTOS DIÁRIOS'!$G$5:$G$500,"H",'LANÇAMENTOS DIÁRIOS'!$C$5:$C$500,$A52,'LANÇAMENTOS DIÁRIOS'!$O$5:$O$500,"&lt;=124499",'LANÇAMENTOS DIÁRIOS'!$P$5:$P$500,"&gt;=124400")&gt;0,"X","")</f>
      </c>
      <c r="C52" s="56" t="str">
        <f>IF(COUNTIFS('LANÇAMENTOS DIÁRIOS'!$G$5:$G$500,"H",'LANÇAMENTOS DIÁRIOS'!$C$5:$C$500,$A52,'LANÇAMENTOS DIÁRIOS'!$O$5:$O$500,"&lt;=124599",'LANÇAMENTOS DIÁRIOS'!$P$5:$P$500,"&gt;=124500")&gt;0,"X","")</f>
      </c>
      <c r="D52" s="56" t="str">
        <f>IF(COUNTIFS('LANÇAMENTOS DIÁRIOS'!$G$5:$G$500,"H",'LANÇAMENTOS DIÁRIOS'!$C$5:$C$500,$A52,'LANÇAMENTOS DIÁRIOS'!$O$5:$O$500,"&lt;=124699",'LANÇAMENTOS DIÁRIOS'!$P$5:$P$500,"&gt;=124600")&gt;0,"X","")</f>
      </c>
      <c r="E52" s="56" t="str">
        <f>IF(COUNTIFS('LANÇAMENTOS DIÁRIOS'!$G$5:$G$500,"H",'LANÇAMENTOS DIÁRIOS'!$C$5:$C$500,$A52,'LANÇAMENTOS DIÁRIOS'!$O$5:$O$500,"&lt;=124799",'LANÇAMENTOS DIÁRIOS'!$P$5:$P$500,"&gt;=124700")&gt;0,"X","")</f>
      </c>
      <c r="F52" s="56" t="str">
        <f>IF(COUNTIFS('LANÇAMENTOS DIÁRIOS'!$G$5:$G$500,"H",'LANÇAMENTOS DIÁRIOS'!$C$5:$C$500,$A52,'LANÇAMENTOS DIÁRIOS'!$O$5:$O$500,"&lt;=124899",'LANÇAMENTOS DIÁRIOS'!$P$5:$P$500,"&gt;=124800")&gt;0,"X","")</f>
      </c>
      <c r="G52" s="56" t="str">
        <f>IF(COUNTIFS('LANÇAMENTOS DIÁRIOS'!$G$5:$G$500,"H",'LANÇAMENTOS DIÁRIOS'!$C$5:$C$500,$A52,'LANÇAMENTOS DIÁRIOS'!$O$5:$O$500,"&lt;=124999",'LANÇAMENTOS DIÁRIOS'!$P$5:$P$500,"&gt;=124900")&gt;0,"X","")</f>
      </c>
      <c r="H52" s="56" t="str">
        <f>IF(COUNTIFS('LANÇAMENTOS DIÁRIOS'!$G$5:$G$500,"H",'LANÇAMENTOS DIÁRIOS'!$C$5:$C$500,$A52,'LANÇAMENTOS DIÁRIOS'!$O$5:$O$500,"&lt;=125099",'LANÇAMENTOS DIÁRIOS'!$P$5:$P$500,"&gt;=125000")&gt;0,"X","")</f>
      </c>
      <c r="I52" s="56" t="str">
        <f>IF(COUNTIFS('LANÇAMENTOS DIÁRIOS'!$G$5:$G$500,"H",'LANÇAMENTOS DIÁRIOS'!$C$5:$C$500,$A52,'LANÇAMENTOS DIÁRIOS'!$O$5:$O$500,"&lt;=125199",'LANÇAMENTOS DIÁRIOS'!$P$5:$P$500,"&gt;=125100")&gt;0,"X","")</f>
      </c>
      <c r="J52" s="56" t="str">
        <f>IF(COUNTIFS('LANÇAMENTOS DIÁRIOS'!$G$5:$G$500,"H",'LANÇAMENTOS DIÁRIOS'!$C$5:$C$500,$A52,'LANÇAMENTOS DIÁRIOS'!$O$5:$O$500,"&lt;=125299",'LANÇAMENTOS DIÁRIOS'!$P$5:$P$500,"&gt;=125200")&gt;0,"X","")</f>
      </c>
      <c r="K52" s="56" t="str">
        <f>IF(COUNTIFS('LANÇAMENTOS DIÁRIOS'!$G$5:$G$500,"H",'LANÇAMENTOS DIÁRIOS'!$C$5:$C$500,$A52,'LANÇAMENTOS DIÁRIOS'!$O$5:$O$500,"&lt;=125399",'LANÇAMENTOS DIÁRIOS'!$P$5:$P$500,"&gt;=125300")&gt;0,"X","")</f>
      </c>
      <c r="L52" s="56" t="str">
        <f>IF(COUNTIFS('LANÇAMENTOS DIÁRIOS'!$G$5:$G$500,"H",'LANÇAMENTOS DIÁRIOS'!$C$5:$C$500,$A52,'LANÇAMENTOS DIÁRIOS'!$O$5:$O$500,"&lt;=125499",'LANÇAMENTOS DIÁRIOS'!$P$5:$P$500,"&gt;=125400")&gt;0,"X","")</f>
      </c>
      <c r="M52" s="56" t="str">
        <f>IF(COUNTIFS('LANÇAMENTOS DIÁRIOS'!$G$5:$G$500,"H",'LANÇAMENTOS DIÁRIOS'!$C$5:$C$500,$A52,'LANÇAMENTOS DIÁRIOS'!$O$5:$O$500,"&lt;=125599",'LANÇAMENTOS DIÁRIOS'!$P$5:$P$500,"&gt;=125500")&gt;0,"X","")</f>
      </c>
      <c r="N52" s="56" t="str">
        <f>IF(COUNTIFS('LANÇAMENTOS DIÁRIOS'!$G$5:$G$500,"H",'LANÇAMENTOS DIÁRIOS'!$C$5:$C$500,$A52,'LANÇAMENTOS DIÁRIOS'!$O$5:$O$500,"&lt;=125699",'LANÇAMENTOS DIÁRIOS'!$P$5:$P$500,"&gt;=125600")&gt;0,"X","")</f>
      </c>
      <c r="O52" s="56" t="str">
        <f>IF(COUNTIFS('LANÇAMENTOS DIÁRIOS'!$G$5:$G$500,"H",'LANÇAMENTOS DIÁRIOS'!$C$5:$C$500,$A52,'LANÇAMENTOS DIÁRIOS'!$O$5:$O$500,"&lt;=125799",'LANÇAMENTOS DIÁRIOS'!$P$5:$P$500,"&gt;=125700")&gt;0,"X","")</f>
      </c>
      <c r="P52" s="56" t="str">
        <f>IF(COUNTIFS('LANÇAMENTOS DIÁRIOS'!$G$5:$G$500,"H",'LANÇAMENTOS DIÁRIOS'!$C$5:$C$500,$A52,'LANÇAMENTOS DIÁRIOS'!$O$5:$O$500,"&lt;=125899",'LANÇAMENTOS DIÁRIOS'!$P$5:$P$500,"&gt;=125800")&gt;0,"X","")</f>
      </c>
      <c r="Q52" s="56" t="str">
        <f>IF(COUNTIFS('LANÇAMENTOS DIÁRIOS'!$G$5:$G$500,"H",'LANÇAMENTOS DIÁRIOS'!$C$5:$C$500,$A52,'LANÇAMENTOS DIÁRIOS'!$O$5:$O$500,"&lt;=125999",'LANÇAMENTOS DIÁRIOS'!$P$5:$P$500,"&gt;=125900")&gt;0,"X","")</f>
      </c>
      <c r="R52" s="56" t="str">
        <f>IF(COUNTIFS('LANÇAMENTOS DIÁRIOS'!$G$5:$G$500,"H",'LANÇAMENTOS DIÁRIOS'!$C$5:$C$500,$A52,'LANÇAMENTOS DIÁRIOS'!$O$5:$O$500,"&lt;=126099",'LANÇAMENTOS DIÁRIOS'!$P$5:$P$500,"&gt;=126000")&gt;0,"X","")</f>
      </c>
      <c r="S52" s="56" t="str">
        <f>IF(COUNTIFS('LANÇAMENTOS DIÁRIOS'!$G$5:$G$500,"H",'LANÇAMENTOS DIÁRIOS'!$C$5:$C$500,$A52,'LANÇAMENTOS DIÁRIOS'!$O$5:$O$500,"&lt;=126199",'LANÇAMENTOS DIÁRIOS'!$P$5:$P$500,"&gt;=126100")&gt;0,"X","")</f>
      </c>
      <c r="T52" s="56" t="str">
        <f>IF(COUNTIFS('LANÇAMENTOS DIÁRIOS'!$G$5:$G$500,"H",'LANÇAMENTOS DIÁRIOS'!$C$5:$C$500,$A52,'LANÇAMENTOS DIÁRIOS'!$O$5:$O$500,"&lt;=126299",'LANÇAMENTOS DIÁRIOS'!$P$5:$P$500,"&gt;=126200")&gt;0,"X","")</f>
      </c>
      <c r="U52" s="56" t="str">
        <f>IF(COUNTIFS('LANÇAMENTOS DIÁRIOS'!$G$5:$G$500,"H",'LANÇAMENTOS DIÁRIOS'!$C$5:$C$500,$A52,'LANÇAMENTOS DIÁRIOS'!$O$5:$O$500,"&lt;=126399",'LANÇAMENTOS DIÁRIOS'!$P$5:$P$500,"&gt;=126300")&gt;0,"X","")</f>
      </c>
      <c r="V52" s="56" t="str">
        <f>IF(COUNTIFS('LANÇAMENTOS DIÁRIOS'!$G$5:$G$500,"H",'LANÇAMENTOS DIÁRIOS'!$C$5:$C$500,$A52,'LANÇAMENTOS DIÁRIOS'!$O$5:$O$500,"&lt;=126499",'LANÇAMENTOS DIÁRIOS'!$P$5:$P$500,"&gt;=126400")&gt;0,"X","")</f>
      </c>
      <c r="W52" s="56" t="str">
        <f>IF(COUNTIFS('LANÇAMENTOS DIÁRIOS'!$G$5:$G$500,"H",'LANÇAMENTOS DIÁRIOS'!$C$5:$C$500,$A52,'LANÇAMENTOS DIÁRIOS'!$O$5:$O$500,"&lt;=126599",'LANÇAMENTOS DIÁRIOS'!$P$5:$P$500,"&gt;=126500")&gt;0,"X","")</f>
      </c>
      <c r="X52" s="56" t="str">
        <f>IF(COUNTIFS('LANÇAMENTOS DIÁRIOS'!$G$5:$G$500,"H",'LANÇAMENTOS DIÁRIOS'!$C$5:$C$500,$A52,'LANÇAMENTOS DIÁRIOS'!$O$5:$O$500,"&lt;=126699",'LANÇAMENTOS DIÁRIOS'!$P$5:$P$500,"&gt;=126600")&gt;0,"X","")</f>
      </c>
      <c r="Y52" s="56" t="str">
        <f>IF(COUNTIFS('LANÇAMENTOS DIÁRIOS'!$G$5:$G$500,"H",'LANÇAMENTOS DIÁRIOS'!$C$5:$C$500,$A52,'LANÇAMENTOS DIÁRIOS'!$O$5:$O$500,"&lt;=126799",'LANÇAMENTOS DIÁRIOS'!$P$5:$P$500,"&gt;=126700")&gt;0,"X","")</f>
      </c>
      <c r="Z52" s="56" t="str">
        <f>IF(COUNTIFS('LANÇAMENTOS DIÁRIOS'!$G$5:$G$500,"H",'LANÇAMENTOS DIÁRIOS'!$C$5:$C$500,$A52,'LANÇAMENTOS DIÁRIOS'!$O$5:$O$500,"&lt;=126899",'LANÇAMENTOS DIÁRIOS'!$P$5:$P$500,"&gt;=126800")&gt;0,"X","")</f>
      </c>
      <c r="AA52" s="56" t="str">
        <f>IF(COUNTIFS('LANÇAMENTOS DIÁRIOS'!$G$5:$G$500,"H",'LANÇAMENTOS DIÁRIOS'!$C$5:$C$500,$A52,'LANÇAMENTOS DIÁRIOS'!$O$5:$O$500,"&lt;=126999",'LANÇAMENTOS DIÁRIOS'!$P$5:$P$500,"&gt;=126900")&gt;0,"X","")</f>
      </c>
      <c r="AB52" s="56" t="str">
        <f>IF(COUNTIFS('LANÇAMENTOS DIÁRIOS'!$G$5:$G$500,"H",'LANÇAMENTOS DIÁRIOS'!$C$5:$C$500,$A52,'LANÇAMENTOS DIÁRIOS'!$O$5:$O$500,"&lt;=127099",'LANÇAMENTOS DIÁRIOS'!$P$5:$P$500,"&gt;=127000")&gt;0,"X","")</f>
      </c>
      <c r="AC52" s="56" t="str">
        <f>IF(COUNTIFS('LANÇAMENTOS DIÁRIOS'!$G$5:$G$500,"H",'LANÇAMENTOS DIÁRIOS'!$C$5:$C$500,$A52,'LANÇAMENTOS DIÁRIOS'!$O$5:$O$500,"&lt;=127199",'LANÇAMENTOS DIÁRIOS'!$P$5:$P$500,"&gt;=127100")&gt;0,"X","")</f>
      </c>
      <c r="AD52" s="56" t="str">
        <f>IF(COUNTIFS('LANÇAMENTOS DIÁRIOS'!$G$5:$G$500,"H",'LANÇAMENTOS DIÁRIOS'!$C$5:$C$500,$A52,'LANÇAMENTOS DIÁRIOS'!$O$5:$O$500,"&lt;=127299",'LANÇAMENTOS DIÁRIOS'!$P$5:$P$500,"&gt;=127200")&gt;0,"X","")</f>
      </c>
      <c r="AE52" s="56" t="str">
        <f>IF(COUNTIFS('LANÇAMENTOS DIÁRIOS'!$G$5:$G$500,"H",'LANÇAMENTOS DIÁRIOS'!$C$5:$C$500,$A52,'LANÇAMENTOS DIÁRIOS'!$O$5:$O$500,"&lt;=127399",'LANÇAMENTOS DIÁRIOS'!$P$5:$P$500,"&gt;=127300")&gt;0,"X","")</f>
      </c>
      <c r="AF52" s="56" t="str">
        <f>IF(COUNTIFS('LANÇAMENTOS DIÁRIOS'!$G$5:$G$500,"H",'LANÇAMENTOS DIÁRIOS'!$C$5:$C$500,$A52,'LANÇAMENTOS DIÁRIOS'!$O$5:$O$500,"&lt;=127499",'LANÇAMENTOS DIÁRIOS'!$P$5:$P$500,"&gt;=127400")&gt;0,"X","")</f>
      </c>
      <c r="AG52" s="56" t="str">
        <f>IF(COUNTIFS('LANÇAMENTOS DIÁRIOS'!$G$5:$G$500,"H",'LANÇAMENTOS DIÁRIOS'!$C$5:$C$500,$A52,'LANÇAMENTOS DIÁRIOS'!$O$5:$O$500,"&lt;=127599",'LANÇAMENTOS DIÁRIOS'!$P$5:$P$500,"&gt;=127500")&gt;0,"X","")</f>
      </c>
      <c r="AH52" s="56" t="str">
        <f>IF(COUNTIFS('LANÇAMENTOS DIÁRIOS'!$G$5:$G$500,"H",'LANÇAMENTOS DIÁRIOS'!$C$5:$C$500,$A52,'LANÇAMENTOS DIÁRIOS'!$O$5:$O$500,"&lt;=127699",'LANÇAMENTOS DIÁRIOS'!$P$5:$P$500,"&gt;=127600")&gt;0,"X","")</f>
      </c>
      <c r="AI52" s="56" t="str">
        <f>IF(COUNTIFS('LANÇAMENTOS DIÁRIOS'!$G$5:$G$500,"H",'LANÇAMENTOS DIÁRIOS'!$C$5:$C$500,$A52,'LANÇAMENTOS DIÁRIOS'!$O$5:$O$500,"&lt;=127799",'LANÇAMENTOS DIÁRIOS'!$P$5:$P$500,"&gt;=127700")&gt;0,"X","")</f>
      </c>
      <c r="AJ52" s="56" t="str">
        <f>IF(COUNTIFS('LANÇAMENTOS DIÁRIOS'!$G$5:$G$500,"H",'LANÇAMENTOS DIÁRIOS'!$C$5:$C$500,$A52,'LANÇAMENTOS DIÁRIOS'!$O$5:$O$500,"&lt;=127899",'LANÇAMENTOS DIÁRIOS'!$P$5:$P$500,"&gt;=127800")&gt;0,"X","")</f>
      </c>
      <c r="AK52" s="56" t="str">
        <f>IF(COUNTIFS('LANÇAMENTOS DIÁRIOS'!$G$5:$G$500,"H",'LANÇAMENTOS DIÁRIOS'!$C$5:$C$500,$A52,'LANÇAMENTOS DIÁRIOS'!$O$5:$O$500,"&lt;=127999",'LANÇAMENTOS DIÁRIOS'!$P$5:$P$500,"&gt;=127900")&gt;0,"X","")</f>
      </c>
      <c r="AL52" s="56" t="str">
        <f>IF(COUNTIFS('LANÇAMENTOS DIÁRIOS'!$G$5:$G$500,"H",'LANÇAMENTOS DIÁRIOS'!$C$5:$C$500,$A52,'LANÇAMENTOS DIÁRIOS'!$O$5:$O$500,"&lt;=128099",'LANÇAMENTOS DIÁRIOS'!$P$5:$P$500,"&gt;=128000")&gt;0,"X","")</f>
      </c>
      <c r="AM52" s="56" t="str">
        <f>IF(COUNTIFS('LANÇAMENTOS DIÁRIOS'!$G$5:$G$500,"H",'LANÇAMENTOS DIÁRIOS'!$C$5:$C$500,$A52,'LANÇAMENTOS DIÁRIOS'!$O$5:$O$500,"&lt;=128199",'LANÇAMENTOS DIÁRIOS'!$P$5:$P$500,"&gt;=128100")&gt;0,"X","")</f>
      </c>
      <c r="AN52" s="56" t="str">
        <f>IF(COUNTIFS('LANÇAMENTOS DIÁRIOS'!$G$5:$G$500,"H",'LANÇAMENTOS DIÁRIOS'!$C$5:$C$500,$A52,'LANÇAMENTOS DIÁRIOS'!$O$5:$O$500,"&lt;=128299",'LANÇAMENTOS DIÁRIOS'!$P$5:$P$500,"&gt;=128200")&gt;0,"X","")</f>
      </c>
      <c r="AO52" s="56" t="str">
        <f>IF(COUNTIFS('LANÇAMENTOS DIÁRIOS'!$G$5:$G$500,"H",'LANÇAMENTOS DIÁRIOS'!$C$5:$C$500,$A52,'LANÇAMENTOS DIÁRIOS'!$O$5:$O$500,"&lt;=128399",'LANÇAMENTOS DIÁRIOS'!$P$5:$P$500,"&gt;=128300")&gt;0,"X","")</f>
      </c>
      <c r="AP52" s="56" t="str">
        <f>IF(COUNTIFS('LANÇAMENTOS DIÁRIOS'!$G$5:$G$500,"H",'LANÇAMENTOS DIÁRIOS'!$C$5:$C$500,$A52,'LANÇAMENTOS DIÁRIOS'!$O$5:$O$500,"&lt;=128499",'LANÇAMENTOS DIÁRIOS'!$P$5:$P$500,"&gt;=128400")&gt;0,"X","")</f>
      </c>
      <c r="AQ52" s="56" t="str">
        <f>IF(COUNTIFS('LANÇAMENTOS DIÁRIOS'!$G$5:$G$500,"H",'LANÇAMENTOS DIÁRIOS'!$C$5:$C$500,$A52,'LANÇAMENTOS DIÁRIOS'!$O$5:$O$500,"&lt;=128599",'LANÇAMENTOS DIÁRIOS'!$P$5:$P$500,"&gt;=128500")&gt;0,"X","")</f>
      </c>
      <c r="AR52" s="56" t="str">
        <f>IF(COUNTIFS('LANÇAMENTOS DIÁRIOS'!$G$5:$G$500,"H",'LANÇAMENTOS DIÁRIOS'!$C$5:$C$500,$A52,'LANÇAMENTOS DIÁRIOS'!$O$5:$O$500,"&lt;=128699",'LANÇAMENTOS DIÁRIOS'!$P$5:$P$500,"&gt;=128600")&gt;0,"X","")</f>
      </c>
      <c r="AS52" s="56" t="str">
        <f>IF(COUNTIFS('LANÇAMENTOS DIÁRIOS'!$G$5:$G$500,"H",'LANÇAMENTOS DIÁRIOS'!$C$5:$C$500,$A52,'LANÇAMENTOS DIÁRIOS'!$O$5:$O$500,"&lt;=128799",'LANÇAMENTOS DIÁRIOS'!$P$5:$P$500,"&gt;=128700")&gt;0,"X","")</f>
      </c>
      <c r="AT52" s="56" t="str">
        <f>IF(COUNTIFS('LANÇAMENTOS DIÁRIOS'!$G$5:$G$500,"H",'LANÇAMENTOS DIÁRIOS'!$C$5:$C$500,$A52,'LANÇAMENTOS DIÁRIOS'!$O$5:$O$500,"&lt;=128899",'LANÇAMENTOS DIÁRIOS'!$P$5:$P$500,"&gt;=128800")&gt;0,"X","")</f>
      </c>
      <c r="AU52" s="56" t="str">
        <f>IF(COUNTIFS('LANÇAMENTOS DIÁRIOS'!$G$5:$G$500,"H",'LANÇAMENTOS DIÁRIOS'!$C$5:$C$500,$A52,'LANÇAMENTOS DIÁRIOS'!$O$5:$O$500,"&lt;=128999",'LANÇAMENTOS DIÁRIOS'!$P$5:$P$500,"&gt;=128900")&gt;0,"X","")</f>
      </c>
      <c r="AV52" s="56" t="str">
        <f>IF(COUNTIFS('LANÇAMENTOS DIÁRIOS'!$G$5:$G$500,"H",'LANÇAMENTOS DIÁRIOS'!$C$5:$C$500,$A52,'LANÇAMENTOS DIÁRIOS'!$O$5:$O$500,"&lt;=129099",'LANÇAMENTOS DIÁRIOS'!$P$5:$P$500,"&gt;=129000")&gt;0,"X","")</f>
      </c>
      <c r="AW52" s="56" t="str">
        <f>IF(COUNTIFS('LANÇAMENTOS DIÁRIOS'!$G$5:$G$500,"H",'LANÇAMENTOS DIÁRIOS'!$C$5:$C$500,$A52,'LANÇAMENTOS DIÁRIOS'!$O$5:$O$500,"&lt;=129199",'LANÇAMENTOS DIÁRIOS'!$P$5:$P$500,"&gt;=129100")&gt;0,"X","")</f>
      </c>
      <c r="AX52" s="56" t="str">
        <f>IF(COUNTIFS('LANÇAMENTOS DIÁRIOS'!$G$5:$G$500,"H",'LANÇAMENTOS DIÁRIOS'!$C$5:$C$500,$A52,'LANÇAMENTOS DIÁRIOS'!$O$5:$O$500,"&lt;=129299",'LANÇAMENTOS DIÁRIOS'!$P$5:$P$500,"&gt;=129200")&gt;0,"X","")</f>
      </c>
      <c r="AY52" s="56" t="str">
        <f>IF(COUNTIFS('LANÇAMENTOS DIÁRIOS'!$G$5:$G$500,"H",'LANÇAMENTOS DIÁRIOS'!$C$5:$C$500,$A52,'LANÇAMENTOS DIÁRIOS'!$O$5:$O$500,"&lt;=129399",'LANÇAMENTOS DIÁRIOS'!$P$5:$P$500,"&gt;=129300")&gt;0,"X","")</f>
      </c>
      <c r="AZ52" s="56" t="str">
        <f>IF(COUNTIFS('LANÇAMENTOS DIÁRIOS'!$G$5:$G$500,"H",'LANÇAMENTOS DIÁRIOS'!$C$5:$C$500,$A52,'LANÇAMENTOS DIÁRIOS'!$O$5:$O$500,"&lt;=129400",'LANÇAMENTOS DIÁRIOS'!$P$5:$P$500,"&gt;=129400")&gt;0,"X","")</f>
      </c>
    </row>
    <row r="53">
      <c r="A53" s="51" t="str">
        <v>Fundação / reaterro com brita graduada simples/pedrisco</v>
      </c>
      <c r="B53" s="56" t="str">
        <f>IF(COUNTIFS('LANÇAMENTOS DIÁRIOS'!$G$5:$G$500,"H",'LANÇAMENTOS DIÁRIOS'!$C$5:$C$500,$A53,'LANÇAMENTOS DIÁRIOS'!$O$5:$O$500,"&lt;=124499",'LANÇAMENTOS DIÁRIOS'!$P$5:$P$500,"&gt;=124400")&gt;0,"X","")</f>
      </c>
      <c r="C53" s="56" t="str">
        <f>IF(COUNTIFS('LANÇAMENTOS DIÁRIOS'!$G$5:$G$500,"H",'LANÇAMENTOS DIÁRIOS'!$C$5:$C$500,$A53,'LANÇAMENTOS DIÁRIOS'!$O$5:$O$500,"&lt;=124599",'LANÇAMENTOS DIÁRIOS'!$P$5:$P$500,"&gt;=124500")&gt;0,"X","")</f>
      </c>
      <c r="D53" s="56" t="str">
        <f>IF(COUNTIFS('LANÇAMENTOS DIÁRIOS'!$G$5:$G$500,"H",'LANÇAMENTOS DIÁRIOS'!$C$5:$C$500,$A53,'LANÇAMENTOS DIÁRIOS'!$O$5:$O$500,"&lt;=124699",'LANÇAMENTOS DIÁRIOS'!$P$5:$P$500,"&gt;=124600")&gt;0,"X","")</f>
      </c>
      <c r="E53" s="56" t="str">
        <f>IF(COUNTIFS('LANÇAMENTOS DIÁRIOS'!$G$5:$G$500,"H",'LANÇAMENTOS DIÁRIOS'!$C$5:$C$500,$A53,'LANÇAMENTOS DIÁRIOS'!$O$5:$O$500,"&lt;=124799",'LANÇAMENTOS DIÁRIOS'!$P$5:$P$500,"&gt;=124700")&gt;0,"X","")</f>
      </c>
      <c r="F53" s="56" t="str">
        <f>IF(COUNTIFS('LANÇAMENTOS DIÁRIOS'!$G$5:$G$500,"H",'LANÇAMENTOS DIÁRIOS'!$C$5:$C$500,$A53,'LANÇAMENTOS DIÁRIOS'!$O$5:$O$500,"&lt;=124899",'LANÇAMENTOS DIÁRIOS'!$P$5:$P$500,"&gt;=124800")&gt;0,"X","")</f>
      </c>
      <c r="G53" s="56" t="str">
        <f>IF(COUNTIFS('LANÇAMENTOS DIÁRIOS'!$G$5:$G$500,"H",'LANÇAMENTOS DIÁRIOS'!$C$5:$C$500,$A53,'LANÇAMENTOS DIÁRIOS'!$O$5:$O$500,"&lt;=124999",'LANÇAMENTOS DIÁRIOS'!$P$5:$P$500,"&gt;=124900")&gt;0,"X","")</f>
      </c>
      <c r="H53" s="56" t="str">
        <f>IF(COUNTIFS('LANÇAMENTOS DIÁRIOS'!$G$5:$G$500,"H",'LANÇAMENTOS DIÁRIOS'!$C$5:$C$500,$A53,'LANÇAMENTOS DIÁRIOS'!$O$5:$O$500,"&lt;=125099",'LANÇAMENTOS DIÁRIOS'!$P$5:$P$500,"&gt;=125000")&gt;0,"X","")</f>
      </c>
      <c r="I53" s="56" t="str">
        <f>IF(COUNTIFS('LANÇAMENTOS DIÁRIOS'!$G$5:$G$500,"H",'LANÇAMENTOS DIÁRIOS'!$C$5:$C$500,$A53,'LANÇAMENTOS DIÁRIOS'!$O$5:$O$500,"&lt;=125199",'LANÇAMENTOS DIÁRIOS'!$P$5:$P$500,"&gt;=125100")&gt;0,"X","")</f>
      </c>
      <c r="J53" s="56" t="str">
        <f>IF(COUNTIFS('LANÇAMENTOS DIÁRIOS'!$G$5:$G$500,"H",'LANÇAMENTOS DIÁRIOS'!$C$5:$C$500,$A53,'LANÇAMENTOS DIÁRIOS'!$O$5:$O$500,"&lt;=125299",'LANÇAMENTOS DIÁRIOS'!$P$5:$P$500,"&gt;=125200")&gt;0,"X","")</f>
      </c>
      <c r="K53" s="56" t="str">
        <f>IF(COUNTIFS('LANÇAMENTOS DIÁRIOS'!$G$5:$G$500,"H",'LANÇAMENTOS DIÁRIOS'!$C$5:$C$500,$A53,'LANÇAMENTOS DIÁRIOS'!$O$5:$O$500,"&lt;=125399",'LANÇAMENTOS DIÁRIOS'!$P$5:$P$500,"&gt;=125300")&gt;0,"X","")</f>
      </c>
      <c r="L53" s="56" t="str">
        <f>IF(COUNTIFS('LANÇAMENTOS DIÁRIOS'!$G$5:$G$500,"H",'LANÇAMENTOS DIÁRIOS'!$C$5:$C$500,$A53,'LANÇAMENTOS DIÁRIOS'!$O$5:$O$500,"&lt;=125499",'LANÇAMENTOS DIÁRIOS'!$P$5:$P$500,"&gt;=125400")&gt;0,"X","")</f>
      </c>
      <c r="M53" s="56" t="str">
        <f>IF(COUNTIFS('LANÇAMENTOS DIÁRIOS'!$G$5:$G$500,"H",'LANÇAMENTOS DIÁRIOS'!$C$5:$C$500,$A53,'LANÇAMENTOS DIÁRIOS'!$O$5:$O$500,"&lt;=125599",'LANÇAMENTOS DIÁRIOS'!$P$5:$P$500,"&gt;=125500")&gt;0,"X","")</f>
      </c>
      <c r="N53" s="56" t="str">
        <f>IF(COUNTIFS('LANÇAMENTOS DIÁRIOS'!$G$5:$G$500,"H",'LANÇAMENTOS DIÁRIOS'!$C$5:$C$500,$A53,'LANÇAMENTOS DIÁRIOS'!$O$5:$O$500,"&lt;=125699",'LANÇAMENTOS DIÁRIOS'!$P$5:$P$500,"&gt;=125600")&gt;0,"X","")</f>
      </c>
      <c r="O53" s="56" t="str">
        <f>IF(COUNTIFS('LANÇAMENTOS DIÁRIOS'!$G$5:$G$500,"H",'LANÇAMENTOS DIÁRIOS'!$C$5:$C$500,$A53,'LANÇAMENTOS DIÁRIOS'!$O$5:$O$500,"&lt;=125799",'LANÇAMENTOS DIÁRIOS'!$P$5:$P$500,"&gt;=125700")&gt;0,"X","")</f>
      </c>
      <c r="P53" s="56" t="str">
        <f>IF(COUNTIFS('LANÇAMENTOS DIÁRIOS'!$G$5:$G$500,"H",'LANÇAMENTOS DIÁRIOS'!$C$5:$C$500,$A53,'LANÇAMENTOS DIÁRIOS'!$O$5:$O$500,"&lt;=125899",'LANÇAMENTOS DIÁRIOS'!$P$5:$P$500,"&gt;=125800")&gt;0,"X","")</f>
      </c>
      <c r="Q53" s="56" t="str">
        <f>IF(COUNTIFS('LANÇAMENTOS DIÁRIOS'!$G$5:$G$500,"H",'LANÇAMENTOS DIÁRIOS'!$C$5:$C$500,$A53,'LANÇAMENTOS DIÁRIOS'!$O$5:$O$500,"&lt;=125999",'LANÇAMENTOS DIÁRIOS'!$P$5:$P$500,"&gt;=125900")&gt;0,"X","")</f>
      </c>
      <c r="R53" s="56" t="str">
        <f>IF(COUNTIFS('LANÇAMENTOS DIÁRIOS'!$G$5:$G$500,"H",'LANÇAMENTOS DIÁRIOS'!$C$5:$C$500,$A53,'LANÇAMENTOS DIÁRIOS'!$O$5:$O$500,"&lt;=126099",'LANÇAMENTOS DIÁRIOS'!$P$5:$P$500,"&gt;=126000")&gt;0,"X","")</f>
      </c>
      <c r="S53" s="56" t="str">
        <f>IF(COUNTIFS('LANÇAMENTOS DIÁRIOS'!$G$5:$G$500,"H",'LANÇAMENTOS DIÁRIOS'!$C$5:$C$500,$A53,'LANÇAMENTOS DIÁRIOS'!$O$5:$O$500,"&lt;=126199",'LANÇAMENTOS DIÁRIOS'!$P$5:$P$500,"&gt;=126100")&gt;0,"X","")</f>
      </c>
      <c r="T53" s="56" t="str">
        <f>IF(COUNTIFS('LANÇAMENTOS DIÁRIOS'!$G$5:$G$500,"H",'LANÇAMENTOS DIÁRIOS'!$C$5:$C$500,$A53,'LANÇAMENTOS DIÁRIOS'!$O$5:$O$500,"&lt;=126299",'LANÇAMENTOS DIÁRIOS'!$P$5:$P$500,"&gt;=126200")&gt;0,"X","")</f>
      </c>
      <c r="U53" s="56" t="str">
        <f>IF(COUNTIFS('LANÇAMENTOS DIÁRIOS'!$G$5:$G$500,"H",'LANÇAMENTOS DIÁRIOS'!$C$5:$C$500,$A53,'LANÇAMENTOS DIÁRIOS'!$O$5:$O$500,"&lt;=126399",'LANÇAMENTOS DIÁRIOS'!$P$5:$P$500,"&gt;=126300")&gt;0,"X","")</f>
      </c>
      <c r="V53" s="56" t="str">
        <f>IF(COUNTIFS('LANÇAMENTOS DIÁRIOS'!$G$5:$G$500,"H",'LANÇAMENTOS DIÁRIOS'!$C$5:$C$500,$A53,'LANÇAMENTOS DIÁRIOS'!$O$5:$O$500,"&lt;=126499",'LANÇAMENTOS DIÁRIOS'!$P$5:$P$500,"&gt;=126400")&gt;0,"X","")</f>
      </c>
      <c r="W53" s="56" t="str">
        <f>IF(COUNTIFS('LANÇAMENTOS DIÁRIOS'!$G$5:$G$500,"H",'LANÇAMENTOS DIÁRIOS'!$C$5:$C$500,$A53,'LANÇAMENTOS DIÁRIOS'!$O$5:$O$500,"&lt;=126599",'LANÇAMENTOS DIÁRIOS'!$P$5:$P$500,"&gt;=126500")&gt;0,"X","")</f>
      </c>
      <c r="X53" s="56" t="str">
        <f>IF(COUNTIFS('LANÇAMENTOS DIÁRIOS'!$G$5:$G$500,"H",'LANÇAMENTOS DIÁRIOS'!$C$5:$C$500,$A53,'LANÇAMENTOS DIÁRIOS'!$O$5:$O$500,"&lt;=126699",'LANÇAMENTOS DIÁRIOS'!$P$5:$P$500,"&gt;=126600")&gt;0,"X","")</f>
      </c>
      <c r="Y53" s="56" t="str">
        <f>IF(COUNTIFS('LANÇAMENTOS DIÁRIOS'!$G$5:$G$500,"H",'LANÇAMENTOS DIÁRIOS'!$C$5:$C$500,$A53,'LANÇAMENTOS DIÁRIOS'!$O$5:$O$500,"&lt;=126799",'LANÇAMENTOS DIÁRIOS'!$P$5:$P$500,"&gt;=126700")&gt;0,"X","")</f>
      </c>
      <c r="Z53" s="56" t="str">
        <f>IF(COUNTIFS('LANÇAMENTOS DIÁRIOS'!$G$5:$G$500,"H",'LANÇAMENTOS DIÁRIOS'!$C$5:$C$500,$A53,'LANÇAMENTOS DIÁRIOS'!$O$5:$O$500,"&lt;=126899",'LANÇAMENTOS DIÁRIOS'!$P$5:$P$500,"&gt;=126800")&gt;0,"X","")</f>
      </c>
      <c r="AA53" s="56" t="str">
        <f>IF(COUNTIFS('LANÇAMENTOS DIÁRIOS'!$G$5:$G$500,"H",'LANÇAMENTOS DIÁRIOS'!$C$5:$C$500,$A53,'LANÇAMENTOS DIÁRIOS'!$O$5:$O$500,"&lt;=126999",'LANÇAMENTOS DIÁRIOS'!$P$5:$P$500,"&gt;=126900")&gt;0,"X","")</f>
      </c>
      <c r="AB53" s="56" t="str">
        <f>IF(COUNTIFS('LANÇAMENTOS DIÁRIOS'!$G$5:$G$500,"H",'LANÇAMENTOS DIÁRIOS'!$C$5:$C$500,$A53,'LANÇAMENTOS DIÁRIOS'!$O$5:$O$500,"&lt;=127099",'LANÇAMENTOS DIÁRIOS'!$P$5:$P$500,"&gt;=127000")&gt;0,"X","")</f>
      </c>
      <c r="AC53" s="56" t="str">
        <f>IF(COUNTIFS('LANÇAMENTOS DIÁRIOS'!$G$5:$G$500,"H",'LANÇAMENTOS DIÁRIOS'!$C$5:$C$500,$A53,'LANÇAMENTOS DIÁRIOS'!$O$5:$O$500,"&lt;=127199",'LANÇAMENTOS DIÁRIOS'!$P$5:$P$500,"&gt;=127100")&gt;0,"X","")</f>
      </c>
      <c r="AD53" s="56" t="str">
        <f>IF(COUNTIFS('LANÇAMENTOS DIÁRIOS'!$G$5:$G$500,"H",'LANÇAMENTOS DIÁRIOS'!$C$5:$C$500,$A53,'LANÇAMENTOS DIÁRIOS'!$O$5:$O$500,"&lt;=127299",'LANÇAMENTOS DIÁRIOS'!$P$5:$P$500,"&gt;=127200")&gt;0,"X","")</f>
      </c>
      <c r="AE53" s="56" t="str">
        <f>IF(COUNTIFS('LANÇAMENTOS DIÁRIOS'!$G$5:$G$500,"H",'LANÇAMENTOS DIÁRIOS'!$C$5:$C$500,$A53,'LANÇAMENTOS DIÁRIOS'!$O$5:$O$500,"&lt;=127399",'LANÇAMENTOS DIÁRIOS'!$P$5:$P$500,"&gt;=127300")&gt;0,"X","")</f>
      </c>
      <c r="AF53" s="56" t="str">
        <f>IF(COUNTIFS('LANÇAMENTOS DIÁRIOS'!$G$5:$G$500,"H",'LANÇAMENTOS DIÁRIOS'!$C$5:$C$500,$A53,'LANÇAMENTOS DIÁRIOS'!$O$5:$O$500,"&lt;=127499",'LANÇAMENTOS DIÁRIOS'!$P$5:$P$500,"&gt;=127400")&gt;0,"X","")</f>
      </c>
      <c r="AG53" s="56" t="str">
        <f>IF(COUNTIFS('LANÇAMENTOS DIÁRIOS'!$G$5:$G$500,"H",'LANÇAMENTOS DIÁRIOS'!$C$5:$C$500,$A53,'LANÇAMENTOS DIÁRIOS'!$O$5:$O$500,"&lt;=127599",'LANÇAMENTOS DIÁRIOS'!$P$5:$P$500,"&gt;=127500")&gt;0,"X","")</f>
      </c>
      <c r="AH53" s="56" t="str">
        <f>IF(COUNTIFS('LANÇAMENTOS DIÁRIOS'!$G$5:$G$500,"H",'LANÇAMENTOS DIÁRIOS'!$C$5:$C$500,$A53,'LANÇAMENTOS DIÁRIOS'!$O$5:$O$500,"&lt;=127699",'LANÇAMENTOS DIÁRIOS'!$P$5:$P$500,"&gt;=127600")&gt;0,"X","")</f>
      </c>
      <c r="AI53" s="56" t="str">
        <f>IF(COUNTIFS('LANÇAMENTOS DIÁRIOS'!$G$5:$G$500,"H",'LANÇAMENTOS DIÁRIOS'!$C$5:$C$500,$A53,'LANÇAMENTOS DIÁRIOS'!$O$5:$O$500,"&lt;=127799",'LANÇAMENTOS DIÁRIOS'!$P$5:$P$500,"&gt;=127700")&gt;0,"X","")</f>
      </c>
      <c r="AJ53" s="56" t="str">
        <f>IF(COUNTIFS('LANÇAMENTOS DIÁRIOS'!$G$5:$G$500,"H",'LANÇAMENTOS DIÁRIOS'!$C$5:$C$500,$A53,'LANÇAMENTOS DIÁRIOS'!$O$5:$O$500,"&lt;=127899",'LANÇAMENTOS DIÁRIOS'!$P$5:$P$500,"&gt;=127800")&gt;0,"X","")</f>
      </c>
      <c r="AK53" s="56" t="str">
        <f>IF(COUNTIFS('LANÇAMENTOS DIÁRIOS'!$G$5:$G$500,"H",'LANÇAMENTOS DIÁRIOS'!$C$5:$C$500,$A53,'LANÇAMENTOS DIÁRIOS'!$O$5:$O$500,"&lt;=127999",'LANÇAMENTOS DIÁRIOS'!$P$5:$P$500,"&gt;=127900")&gt;0,"X","")</f>
      </c>
      <c r="AL53" s="56" t="str">
        <f>IF(COUNTIFS('LANÇAMENTOS DIÁRIOS'!$G$5:$G$500,"H",'LANÇAMENTOS DIÁRIOS'!$C$5:$C$500,$A53,'LANÇAMENTOS DIÁRIOS'!$O$5:$O$500,"&lt;=128099",'LANÇAMENTOS DIÁRIOS'!$P$5:$P$500,"&gt;=128000")&gt;0,"X","")</f>
      </c>
      <c r="AM53" s="56" t="str">
        <f>IF(COUNTIFS('LANÇAMENTOS DIÁRIOS'!$G$5:$G$500,"H",'LANÇAMENTOS DIÁRIOS'!$C$5:$C$500,$A53,'LANÇAMENTOS DIÁRIOS'!$O$5:$O$500,"&lt;=128199",'LANÇAMENTOS DIÁRIOS'!$P$5:$P$500,"&gt;=128100")&gt;0,"X","")</f>
      </c>
      <c r="AN53" s="56" t="str">
        <f>IF(COUNTIFS('LANÇAMENTOS DIÁRIOS'!$G$5:$G$500,"H",'LANÇAMENTOS DIÁRIOS'!$C$5:$C$500,$A53,'LANÇAMENTOS DIÁRIOS'!$O$5:$O$500,"&lt;=128299",'LANÇAMENTOS DIÁRIOS'!$P$5:$P$500,"&gt;=128200")&gt;0,"X","")</f>
      </c>
      <c r="AO53" s="56" t="str">
        <f>IF(COUNTIFS('LANÇAMENTOS DIÁRIOS'!$G$5:$G$500,"H",'LANÇAMENTOS DIÁRIOS'!$C$5:$C$500,$A53,'LANÇAMENTOS DIÁRIOS'!$O$5:$O$500,"&lt;=128399",'LANÇAMENTOS DIÁRIOS'!$P$5:$P$500,"&gt;=128300")&gt;0,"X","")</f>
      </c>
      <c r="AP53" s="56" t="str">
        <f>IF(COUNTIFS('LANÇAMENTOS DIÁRIOS'!$G$5:$G$500,"H",'LANÇAMENTOS DIÁRIOS'!$C$5:$C$500,$A53,'LANÇAMENTOS DIÁRIOS'!$O$5:$O$500,"&lt;=128499",'LANÇAMENTOS DIÁRIOS'!$P$5:$P$500,"&gt;=128400")&gt;0,"X","")</f>
      </c>
      <c r="AQ53" s="56" t="str">
        <f>IF(COUNTIFS('LANÇAMENTOS DIÁRIOS'!$G$5:$G$500,"H",'LANÇAMENTOS DIÁRIOS'!$C$5:$C$500,$A53,'LANÇAMENTOS DIÁRIOS'!$O$5:$O$500,"&lt;=128599",'LANÇAMENTOS DIÁRIOS'!$P$5:$P$500,"&gt;=128500")&gt;0,"X","")</f>
      </c>
      <c r="AR53" s="56" t="str">
        <f>IF(COUNTIFS('LANÇAMENTOS DIÁRIOS'!$G$5:$G$500,"H",'LANÇAMENTOS DIÁRIOS'!$C$5:$C$500,$A53,'LANÇAMENTOS DIÁRIOS'!$O$5:$O$500,"&lt;=128699",'LANÇAMENTOS DIÁRIOS'!$P$5:$P$500,"&gt;=128600")&gt;0,"X","")</f>
      </c>
      <c r="AS53" s="56" t="str">
        <f>IF(COUNTIFS('LANÇAMENTOS DIÁRIOS'!$G$5:$G$500,"H",'LANÇAMENTOS DIÁRIOS'!$C$5:$C$500,$A53,'LANÇAMENTOS DIÁRIOS'!$O$5:$O$500,"&lt;=128799",'LANÇAMENTOS DIÁRIOS'!$P$5:$P$500,"&gt;=128700")&gt;0,"X","")</f>
      </c>
      <c r="AT53" s="56" t="str">
        <f>IF(COUNTIFS('LANÇAMENTOS DIÁRIOS'!$G$5:$G$500,"H",'LANÇAMENTOS DIÁRIOS'!$C$5:$C$500,$A53,'LANÇAMENTOS DIÁRIOS'!$O$5:$O$500,"&lt;=128899",'LANÇAMENTOS DIÁRIOS'!$P$5:$P$500,"&gt;=128800")&gt;0,"X","")</f>
      </c>
      <c r="AU53" s="56" t="str">
        <f>IF(COUNTIFS('LANÇAMENTOS DIÁRIOS'!$G$5:$G$500,"H",'LANÇAMENTOS DIÁRIOS'!$C$5:$C$500,$A53,'LANÇAMENTOS DIÁRIOS'!$O$5:$O$500,"&lt;=128999",'LANÇAMENTOS DIÁRIOS'!$P$5:$P$500,"&gt;=128900")&gt;0,"X","")</f>
      </c>
      <c r="AV53" s="56" t="str">
        <f>IF(COUNTIFS('LANÇAMENTOS DIÁRIOS'!$G$5:$G$500,"H",'LANÇAMENTOS DIÁRIOS'!$C$5:$C$500,$A53,'LANÇAMENTOS DIÁRIOS'!$O$5:$O$500,"&lt;=129099",'LANÇAMENTOS DIÁRIOS'!$P$5:$P$500,"&gt;=129000")&gt;0,"X","")</f>
      </c>
      <c r="AW53" s="56" t="str">
        <f>IF(COUNTIFS('LANÇAMENTOS DIÁRIOS'!$G$5:$G$500,"H",'LANÇAMENTOS DIÁRIOS'!$C$5:$C$500,$A53,'LANÇAMENTOS DIÁRIOS'!$O$5:$O$500,"&lt;=129199",'LANÇAMENTOS DIÁRIOS'!$P$5:$P$500,"&gt;=129100")&gt;0,"X","")</f>
      </c>
      <c r="AX53" s="56" t="str">
        <f>IF(COUNTIFS('LANÇAMENTOS DIÁRIOS'!$G$5:$G$500,"H",'LANÇAMENTOS DIÁRIOS'!$C$5:$C$500,$A53,'LANÇAMENTOS DIÁRIOS'!$O$5:$O$500,"&lt;=129299",'LANÇAMENTOS DIÁRIOS'!$P$5:$P$500,"&gt;=129200")&gt;0,"X","")</f>
      </c>
      <c r="AY53" s="56" t="str">
        <f>IF(COUNTIFS('LANÇAMENTOS DIÁRIOS'!$G$5:$G$500,"H",'LANÇAMENTOS DIÁRIOS'!$C$5:$C$500,$A53,'LANÇAMENTOS DIÁRIOS'!$O$5:$O$500,"&lt;=129399",'LANÇAMENTOS DIÁRIOS'!$P$5:$P$500,"&gt;=129300")&gt;0,"X","")</f>
      </c>
      <c r="AZ53" s="56" t="str">
        <f>IF(COUNTIFS('LANÇAMENTOS DIÁRIOS'!$G$5:$G$500,"H",'LANÇAMENTOS DIÁRIOS'!$C$5:$C$500,$A53,'LANÇAMENTOS DIÁRIOS'!$O$5:$O$500,"&lt;=129400",'LANÇAMENTOS DIÁRIOS'!$P$5:$P$500,"&gt;=129400")&gt;0,"X","")</f>
      </c>
    </row>
    <row r="54">
      <c r="A54" s="51" t="str">
        <v>Fundação / reaterro com bica corrida</v>
      </c>
      <c r="B54" s="56" t="str">
        <f>IF(COUNTIFS('LANÇAMENTOS DIÁRIOS'!$G$5:$G$500,"H",'LANÇAMENTOS DIÁRIOS'!$C$5:$C$500,$A54,'LANÇAMENTOS DIÁRIOS'!$O$5:$O$500,"&lt;=124499",'LANÇAMENTOS DIÁRIOS'!$P$5:$P$500,"&gt;=124400")&gt;0,"X","")</f>
      </c>
      <c r="C54" s="56" t="str">
        <f>IF(COUNTIFS('LANÇAMENTOS DIÁRIOS'!$G$5:$G$500,"H",'LANÇAMENTOS DIÁRIOS'!$C$5:$C$500,$A54,'LANÇAMENTOS DIÁRIOS'!$O$5:$O$500,"&lt;=124599",'LANÇAMENTOS DIÁRIOS'!$P$5:$P$500,"&gt;=124500")&gt;0,"X","")</f>
      </c>
      <c r="D54" s="56" t="str">
        <f>IF(COUNTIFS('LANÇAMENTOS DIÁRIOS'!$G$5:$G$500,"H",'LANÇAMENTOS DIÁRIOS'!$C$5:$C$500,$A54,'LANÇAMENTOS DIÁRIOS'!$O$5:$O$500,"&lt;=124699",'LANÇAMENTOS DIÁRIOS'!$P$5:$P$500,"&gt;=124600")&gt;0,"X","")</f>
      </c>
      <c r="E54" s="56" t="str">
        <f>IF(COUNTIFS('LANÇAMENTOS DIÁRIOS'!$G$5:$G$500,"H",'LANÇAMENTOS DIÁRIOS'!$C$5:$C$500,$A54,'LANÇAMENTOS DIÁRIOS'!$O$5:$O$500,"&lt;=124799",'LANÇAMENTOS DIÁRIOS'!$P$5:$P$500,"&gt;=124700")&gt;0,"X","")</f>
      </c>
      <c r="F54" s="56" t="str">
        <f>IF(COUNTIFS('LANÇAMENTOS DIÁRIOS'!$G$5:$G$500,"H",'LANÇAMENTOS DIÁRIOS'!$C$5:$C$500,$A54,'LANÇAMENTOS DIÁRIOS'!$O$5:$O$500,"&lt;=124899",'LANÇAMENTOS DIÁRIOS'!$P$5:$P$500,"&gt;=124800")&gt;0,"X","")</f>
      </c>
      <c r="G54" s="56" t="str">
        <f>IF(COUNTIFS('LANÇAMENTOS DIÁRIOS'!$G$5:$G$500,"H",'LANÇAMENTOS DIÁRIOS'!$C$5:$C$500,$A54,'LANÇAMENTOS DIÁRIOS'!$O$5:$O$500,"&lt;=124999",'LANÇAMENTOS DIÁRIOS'!$P$5:$P$500,"&gt;=124900")&gt;0,"X","")</f>
      </c>
      <c r="H54" s="56" t="str">
        <f>IF(COUNTIFS('LANÇAMENTOS DIÁRIOS'!$G$5:$G$500,"H",'LANÇAMENTOS DIÁRIOS'!$C$5:$C$500,$A54,'LANÇAMENTOS DIÁRIOS'!$O$5:$O$500,"&lt;=125099",'LANÇAMENTOS DIÁRIOS'!$P$5:$P$500,"&gt;=125000")&gt;0,"X","")</f>
      </c>
      <c r="I54" s="56" t="str">
        <f>IF(COUNTIFS('LANÇAMENTOS DIÁRIOS'!$G$5:$G$500,"H",'LANÇAMENTOS DIÁRIOS'!$C$5:$C$500,$A54,'LANÇAMENTOS DIÁRIOS'!$O$5:$O$500,"&lt;=125199",'LANÇAMENTOS DIÁRIOS'!$P$5:$P$500,"&gt;=125100")&gt;0,"X","")</f>
      </c>
      <c r="J54" s="56" t="str">
        <f>IF(COUNTIFS('LANÇAMENTOS DIÁRIOS'!$G$5:$G$500,"H",'LANÇAMENTOS DIÁRIOS'!$C$5:$C$500,$A54,'LANÇAMENTOS DIÁRIOS'!$O$5:$O$500,"&lt;=125299",'LANÇAMENTOS DIÁRIOS'!$P$5:$P$500,"&gt;=125200")&gt;0,"X","")</f>
      </c>
      <c r="K54" s="56" t="str">
        <f>IF(COUNTIFS('LANÇAMENTOS DIÁRIOS'!$G$5:$G$500,"H",'LANÇAMENTOS DIÁRIOS'!$C$5:$C$500,$A54,'LANÇAMENTOS DIÁRIOS'!$O$5:$O$500,"&lt;=125399",'LANÇAMENTOS DIÁRIOS'!$P$5:$P$500,"&gt;=125300")&gt;0,"X","")</f>
      </c>
      <c r="L54" s="56" t="str">
        <f>IF(COUNTIFS('LANÇAMENTOS DIÁRIOS'!$G$5:$G$500,"H",'LANÇAMENTOS DIÁRIOS'!$C$5:$C$500,$A54,'LANÇAMENTOS DIÁRIOS'!$O$5:$O$500,"&lt;=125499",'LANÇAMENTOS DIÁRIOS'!$P$5:$P$500,"&gt;=125400")&gt;0,"X","")</f>
      </c>
      <c r="M54" s="56" t="str">
        <f>IF(COUNTIFS('LANÇAMENTOS DIÁRIOS'!$G$5:$G$500,"H",'LANÇAMENTOS DIÁRIOS'!$C$5:$C$500,$A54,'LANÇAMENTOS DIÁRIOS'!$O$5:$O$500,"&lt;=125599",'LANÇAMENTOS DIÁRIOS'!$P$5:$P$500,"&gt;=125500")&gt;0,"X","")</f>
      </c>
      <c r="N54" s="56" t="str">
        <f>IF(COUNTIFS('LANÇAMENTOS DIÁRIOS'!$G$5:$G$500,"H",'LANÇAMENTOS DIÁRIOS'!$C$5:$C$500,$A54,'LANÇAMENTOS DIÁRIOS'!$O$5:$O$500,"&lt;=125699",'LANÇAMENTOS DIÁRIOS'!$P$5:$P$500,"&gt;=125600")&gt;0,"X","")</f>
      </c>
      <c r="O54" s="56" t="str">
        <f>IF(COUNTIFS('LANÇAMENTOS DIÁRIOS'!$G$5:$G$500,"H",'LANÇAMENTOS DIÁRIOS'!$C$5:$C$500,$A54,'LANÇAMENTOS DIÁRIOS'!$O$5:$O$500,"&lt;=125799",'LANÇAMENTOS DIÁRIOS'!$P$5:$P$500,"&gt;=125700")&gt;0,"X","")</f>
      </c>
      <c r="P54" s="56" t="str">
        <f>IF(COUNTIFS('LANÇAMENTOS DIÁRIOS'!$G$5:$G$500,"H",'LANÇAMENTOS DIÁRIOS'!$C$5:$C$500,$A54,'LANÇAMENTOS DIÁRIOS'!$O$5:$O$500,"&lt;=125899",'LANÇAMENTOS DIÁRIOS'!$P$5:$P$500,"&gt;=125800")&gt;0,"X","")</f>
      </c>
      <c r="Q54" s="56" t="str">
        <f>IF(COUNTIFS('LANÇAMENTOS DIÁRIOS'!$G$5:$G$500,"H",'LANÇAMENTOS DIÁRIOS'!$C$5:$C$500,$A54,'LANÇAMENTOS DIÁRIOS'!$O$5:$O$500,"&lt;=125999",'LANÇAMENTOS DIÁRIOS'!$P$5:$P$500,"&gt;=125900")&gt;0,"X","")</f>
      </c>
      <c r="R54" s="56" t="str">
        <f>IF(COUNTIFS('LANÇAMENTOS DIÁRIOS'!$G$5:$G$500,"H",'LANÇAMENTOS DIÁRIOS'!$C$5:$C$500,$A54,'LANÇAMENTOS DIÁRIOS'!$O$5:$O$500,"&lt;=126099",'LANÇAMENTOS DIÁRIOS'!$P$5:$P$500,"&gt;=126000")&gt;0,"X","")</f>
      </c>
      <c r="S54" s="56" t="str">
        <f>IF(COUNTIFS('LANÇAMENTOS DIÁRIOS'!$G$5:$G$500,"H",'LANÇAMENTOS DIÁRIOS'!$C$5:$C$500,$A54,'LANÇAMENTOS DIÁRIOS'!$O$5:$O$500,"&lt;=126199",'LANÇAMENTOS DIÁRIOS'!$P$5:$P$500,"&gt;=126100")&gt;0,"X","")</f>
      </c>
      <c r="T54" s="56" t="str">
        <f>IF(COUNTIFS('LANÇAMENTOS DIÁRIOS'!$G$5:$G$500,"H",'LANÇAMENTOS DIÁRIOS'!$C$5:$C$500,$A54,'LANÇAMENTOS DIÁRIOS'!$O$5:$O$500,"&lt;=126299",'LANÇAMENTOS DIÁRIOS'!$P$5:$P$500,"&gt;=126200")&gt;0,"X","")</f>
      </c>
      <c r="U54" s="56" t="str">
        <f>IF(COUNTIFS('LANÇAMENTOS DIÁRIOS'!$G$5:$G$500,"H",'LANÇAMENTOS DIÁRIOS'!$C$5:$C$500,$A54,'LANÇAMENTOS DIÁRIOS'!$O$5:$O$500,"&lt;=126399",'LANÇAMENTOS DIÁRIOS'!$P$5:$P$500,"&gt;=126300")&gt;0,"X","")</f>
      </c>
      <c r="V54" s="56" t="str">
        <f>IF(COUNTIFS('LANÇAMENTOS DIÁRIOS'!$G$5:$G$500,"H",'LANÇAMENTOS DIÁRIOS'!$C$5:$C$500,$A54,'LANÇAMENTOS DIÁRIOS'!$O$5:$O$500,"&lt;=126499",'LANÇAMENTOS DIÁRIOS'!$P$5:$P$500,"&gt;=126400")&gt;0,"X","")</f>
      </c>
      <c r="W54" s="56" t="str">
        <f>IF(COUNTIFS('LANÇAMENTOS DIÁRIOS'!$G$5:$G$500,"H",'LANÇAMENTOS DIÁRIOS'!$C$5:$C$500,$A54,'LANÇAMENTOS DIÁRIOS'!$O$5:$O$500,"&lt;=126599",'LANÇAMENTOS DIÁRIOS'!$P$5:$P$500,"&gt;=126500")&gt;0,"X","")</f>
      </c>
      <c r="X54" s="56" t="str">
        <f>IF(COUNTIFS('LANÇAMENTOS DIÁRIOS'!$G$5:$G$500,"H",'LANÇAMENTOS DIÁRIOS'!$C$5:$C$500,$A54,'LANÇAMENTOS DIÁRIOS'!$O$5:$O$500,"&lt;=126699",'LANÇAMENTOS DIÁRIOS'!$P$5:$P$500,"&gt;=126600")&gt;0,"X","")</f>
      </c>
      <c r="Y54" s="56" t="str">
        <f>IF(COUNTIFS('LANÇAMENTOS DIÁRIOS'!$G$5:$G$500,"H",'LANÇAMENTOS DIÁRIOS'!$C$5:$C$500,$A54,'LANÇAMENTOS DIÁRIOS'!$O$5:$O$500,"&lt;=126799",'LANÇAMENTOS DIÁRIOS'!$P$5:$P$500,"&gt;=126700")&gt;0,"X","")</f>
      </c>
      <c r="Z54" s="56" t="str">
        <f>IF(COUNTIFS('LANÇAMENTOS DIÁRIOS'!$G$5:$G$500,"H",'LANÇAMENTOS DIÁRIOS'!$C$5:$C$500,$A54,'LANÇAMENTOS DIÁRIOS'!$O$5:$O$500,"&lt;=126899",'LANÇAMENTOS DIÁRIOS'!$P$5:$P$500,"&gt;=126800")&gt;0,"X","")</f>
      </c>
      <c r="AA54" s="56" t="str">
        <f>IF(COUNTIFS('LANÇAMENTOS DIÁRIOS'!$G$5:$G$500,"H",'LANÇAMENTOS DIÁRIOS'!$C$5:$C$500,$A54,'LANÇAMENTOS DIÁRIOS'!$O$5:$O$500,"&lt;=126999",'LANÇAMENTOS DIÁRIOS'!$P$5:$P$500,"&gt;=126900")&gt;0,"X","")</f>
      </c>
      <c r="AB54" s="56" t="str">
        <f>IF(COUNTIFS('LANÇAMENTOS DIÁRIOS'!$G$5:$G$500,"H",'LANÇAMENTOS DIÁRIOS'!$C$5:$C$500,$A54,'LANÇAMENTOS DIÁRIOS'!$O$5:$O$500,"&lt;=127099",'LANÇAMENTOS DIÁRIOS'!$P$5:$P$500,"&gt;=127000")&gt;0,"X","")</f>
      </c>
      <c r="AC54" s="56" t="str">
        <f>IF(COUNTIFS('LANÇAMENTOS DIÁRIOS'!$G$5:$G$500,"H",'LANÇAMENTOS DIÁRIOS'!$C$5:$C$500,$A54,'LANÇAMENTOS DIÁRIOS'!$O$5:$O$500,"&lt;=127199",'LANÇAMENTOS DIÁRIOS'!$P$5:$P$500,"&gt;=127100")&gt;0,"X","")</f>
      </c>
      <c r="AD54" s="56" t="str">
        <f>IF(COUNTIFS('LANÇAMENTOS DIÁRIOS'!$G$5:$G$500,"H",'LANÇAMENTOS DIÁRIOS'!$C$5:$C$500,$A54,'LANÇAMENTOS DIÁRIOS'!$O$5:$O$500,"&lt;=127299",'LANÇAMENTOS DIÁRIOS'!$P$5:$P$500,"&gt;=127200")&gt;0,"X","")</f>
      </c>
      <c r="AE54" s="56" t="str">
        <f>IF(COUNTIFS('LANÇAMENTOS DIÁRIOS'!$G$5:$G$500,"H",'LANÇAMENTOS DIÁRIOS'!$C$5:$C$500,$A54,'LANÇAMENTOS DIÁRIOS'!$O$5:$O$500,"&lt;=127399",'LANÇAMENTOS DIÁRIOS'!$P$5:$P$500,"&gt;=127300")&gt;0,"X","")</f>
      </c>
      <c r="AF54" s="56" t="str">
        <f>IF(COUNTIFS('LANÇAMENTOS DIÁRIOS'!$G$5:$G$500,"H",'LANÇAMENTOS DIÁRIOS'!$C$5:$C$500,$A54,'LANÇAMENTOS DIÁRIOS'!$O$5:$O$500,"&lt;=127499",'LANÇAMENTOS DIÁRIOS'!$P$5:$P$500,"&gt;=127400")&gt;0,"X","")</f>
      </c>
      <c r="AG54" s="56" t="str">
        <f>IF(COUNTIFS('LANÇAMENTOS DIÁRIOS'!$G$5:$G$500,"H",'LANÇAMENTOS DIÁRIOS'!$C$5:$C$500,$A54,'LANÇAMENTOS DIÁRIOS'!$O$5:$O$500,"&lt;=127599",'LANÇAMENTOS DIÁRIOS'!$P$5:$P$500,"&gt;=127500")&gt;0,"X","")</f>
      </c>
      <c r="AH54" s="56" t="str">
        <f>IF(COUNTIFS('LANÇAMENTOS DIÁRIOS'!$G$5:$G$500,"H",'LANÇAMENTOS DIÁRIOS'!$C$5:$C$500,$A54,'LANÇAMENTOS DIÁRIOS'!$O$5:$O$500,"&lt;=127699",'LANÇAMENTOS DIÁRIOS'!$P$5:$P$500,"&gt;=127600")&gt;0,"X","")</f>
      </c>
      <c r="AI54" s="56" t="str">
        <f>IF(COUNTIFS('LANÇAMENTOS DIÁRIOS'!$G$5:$G$500,"H",'LANÇAMENTOS DIÁRIOS'!$C$5:$C$500,$A54,'LANÇAMENTOS DIÁRIOS'!$O$5:$O$500,"&lt;=127799",'LANÇAMENTOS DIÁRIOS'!$P$5:$P$500,"&gt;=127700")&gt;0,"X","")</f>
      </c>
      <c r="AJ54" s="56" t="str">
        <f>IF(COUNTIFS('LANÇAMENTOS DIÁRIOS'!$G$5:$G$500,"H",'LANÇAMENTOS DIÁRIOS'!$C$5:$C$500,$A54,'LANÇAMENTOS DIÁRIOS'!$O$5:$O$500,"&lt;=127899",'LANÇAMENTOS DIÁRIOS'!$P$5:$P$500,"&gt;=127800")&gt;0,"X","")</f>
      </c>
      <c r="AK54" s="56" t="str">
        <f>IF(COUNTIFS('LANÇAMENTOS DIÁRIOS'!$G$5:$G$500,"H",'LANÇAMENTOS DIÁRIOS'!$C$5:$C$500,$A54,'LANÇAMENTOS DIÁRIOS'!$O$5:$O$500,"&lt;=127999",'LANÇAMENTOS DIÁRIOS'!$P$5:$P$500,"&gt;=127900")&gt;0,"X","")</f>
      </c>
      <c r="AL54" s="56" t="str">
        <f>IF(COUNTIFS('LANÇAMENTOS DIÁRIOS'!$G$5:$G$500,"H",'LANÇAMENTOS DIÁRIOS'!$C$5:$C$500,$A54,'LANÇAMENTOS DIÁRIOS'!$O$5:$O$500,"&lt;=128099",'LANÇAMENTOS DIÁRIOS'!$P$5:$P$500,"&gt;=128000")&gt;0,"X","")</f>
      </c>
      <c r="AM54" s="56" t="str">
        <f>IF(COUNTIFS('LANÇAMENTOS DIÁRIOS'!$G$5:$G$500,"H",'LANÇAMENTOS DIÁRIOS'!$C$5:$C$500,$A54,'LANÇAMENTOS DIÁRIOS'!$O$5:$O$500,"&lt;=128199",'LANÇAMENTOS DIÁRIOS'!$P$5:$P$500,"&gt;=128100")&gt;0,"X","")</f>
      </c>
      <c r="AN54" s="56" t="str">
        <f>IF(COUNTIFS('LANÇAMENTOS DIÁRIOS'!$G$5:$G$500,"H",'LANÇAMENTOS DIÁRIOS'!$C$5:$C$500,$A54,'LANÇAMENTOS DIÁRIOS'!$O$5:$O$500,"&lt;=128299",'LANÇAMENTOS DIÁRIOS'!$P$5:$P$500,"&gt;=128200")&gt;0,"X","")</f>
      </c>
      <c r="AO54" s="56" t="str">
        <f>IF(COUNTIFS('LANÇAMENTOS DIÁRIOS'!$G$5:$G$500,"H",'LANÇAMENTOS DIÁRIOS'!$C$5:$C$500,$A54,'LANÇAMENTOS DIÁRIOS'!$O$5:$O$500,"&lt;=128399",'LANÇAMENTOS DIÁRIOS'!$P$5:$P$500,"&gt;=128300")&gt;0,"X","")</f>
      </c>
      <c r="AP54" s="56" t="str">
        <f>IF(COUNTIFS('LANÇAMENTOS DIÁRIOS'!$G$5:$G$500,"H",'LANÇAMENTOS DIÁRIOS'!$C$5:$C$500,$A54,'LANÇAMENTOS DIÁRIOS'!$O$5:$O$500,"&lt;=128499",'LANÇAMENTOS DIÁRIOS'!$P$5:$P$500,"&gt;=128400")&gt;0,"X","")</f>
      </c>
      <c r="AQ54" s="56" t="str">
        <f>IF(COUNTIFS('LANÇAMENTOS DIÁRIOS'!$G$5:$G$500,"H",'LANÇAMENTOS DIÁRIOS'!$C$5:$C$500,$A54,'LANÇAMENTOS DIÁRIOS'!$O$5:$O$500,"&lt;=128599",'LANÇAMENTOS DIÁRIOS'!$P$5:$P$500,"&gt;=128500")&gt;0,"X","")</f>
      </c>
      <c r="AR54" s="56" t="str">
        <f>IF(COUNTIFS('LANÇAMENTOS DIÁRIOS'!$G$5:$G$500,"H",'LANÇAMENTOS DIÁRIOS'!$C$5:$C$500,$A54,'LANÇAMENTOS DIÁRIOS'!$O$5:$O$500,"&lt;=128699",'LANÇAMENTOS DIÁRIOS'!$P$5:$P$500,"&gt;=128600")&gt;0,"X","")</f>
      </c>
      <c r="AS54" s="56" t="str">
        <f>IF(COUNTIFS('LANÇAMENTOS DIÁRIOS'!$G$5:$G$500,"H",'LANÇAMENTOS DIÁRIOS'!$C$5:$C$500,$A54,'LANÇAMENTOS DIÁRIOS'!$O$5:$O$500,"&lt;=128799",'LANÇAMENTOS DIÁRIOS'!$P$5:$P$500,"&gt;=128700")&gt;0,"X","")</f>
      </c>
      <c r="AT54" s="56" t="str">
        <f>IF(COUNTIFS('LANÇAMENTOS DIÁRIOS'!$G$5:$G$500,"H",'LANÇAMENTOS DIÁRIOS'!$C$5:$C$500,$A54,'LANÇAMENTOS DIÁRIOS'!$O$5:$O$500,"&lt;=128899",'LANÇAMENTOS DIÁRIOS'!$P$5:$P$500,"&gt;=128800")&gt;0,"X","")</f>
      </c>
      <c r="AU54" s="56" t="str">
        <f>IF(COUNTIFS('LANÇAMENTOS DIÁRIOS'!$G$5:$G$500,"H",'LANÇAMENTOS DIÁRIOS'!$C$5:$C$500,$A54,'LANÇAMENTOS DIÁRIOS'!$O$5:$O$500,"&lt;=128999",'LANÇAMENTOS DIÁRIOS'!$P$5:$P$500,"&gt;=128900")&gt;0,"X","")</f>
      </c>
      <c r="AV54" s="56" t="str">
        <f>IF(COUNTIFS('LANÇAMENTOS DIÁRIOS'!$G$5:$G$500,"H",'LANÇAMENTOS DIÁRIOS'!$C$5:$C$500,$A54,'LANÇAMENTOS DIÁRIOS'!$O$5:$O$500,"&lt;=129099",'LANÇAMENTOS DIÁRIOS'!$P$5:$P$500,"&gt;=129000")&gt;0,"X","")</f>
      </c>
      <c r="AW54" s="56" t="str">
        <f>IF(COUNTIFS('LANÇAMENTOS DIÁRIOS'!$G$5:$G$500,"H",'LANÇAMENTOS DIÁRIOS'!$C$5:$C$500,$A54,'LANÇAMENTOS DIÁRIOS'!$O$5:$O$500,"&lt;=129199",'LANÇAMENTOS DIÁRIOS'!$P$5:$P$500,"&gt;=129100")&gt;0,"X","")</f>
      </c>
      <c r="AX54" s="56" t="str">
        <f>IF(COUNTIFS('LANÇAMENTOS DIÁRIOS'!$G$5:$G$500,"H",'LANÇAMENTOS DIÁRIOS'!$C$5:$C$500,$A54,'LANÇAMENTOS DIÁRIOS'!$O$5:$O$500,"&lt;=129299",'LANÇAMENTOS DIÁRIOS'!$P$5:$P$500,"&gt;=129200")&gt;0,"X","")</f>
      </c>
      <c r="AY54" s="56" t="str">
        <f>IF(COUNTIFS('LANÇAMENTOS DIÁRIOS'!$G$5:$G$500,"H",'LANÇAMENTOS DIÁRIOS'!$C$5:$C$500,$A54,'LANÇAMENTOS DIÁRIOS'!$O$5:$O$500,"&lt;=129399",'LANÇAMENTOS DIÁRIOS'!$P$5:$P$500,"&gt;=129300")&gt;0,"X","")</f>
      </c>
      <c r="AZ54" s="56" t="str">
        <f>IF(COUNTIFS('LANÇAMENTOS DIÁRIOS'!$G$5:$G$500,"H",'LANÇAMENTOS DIÁRIOS'!$C$5:$C$500,$A54,'LANÇAMENTOS DIÁRIOS'!$O$5:$O$500,"&lt;=129400",'LANÇAMENTOS DIÁRIOS'!$P$5:$P$500,"&gt;=129400")&gt;0,"X","")</f>
      </c>
    </row>
    <row r="55">
      <c r="A55" s="51" t="str">
        <v>Camada drenante Brita 3/4" a 1 1/2"</v>
      </c>
      <c r="B55" s="56" t="str">
        <f>IF(COUNTIFS('LANÇAMENTOS DIÁRIOS'!$G$5:$G$500,"H",'LANÇAMENTOS DIÁRIOS'!$C$5:$C$500,$A55,'LANÇAMENTOS DIÁRIOS'!$O$5:$O$500,"&lt;=124499",'LANÇAMENTOS DIÁRIOS'!$P$5:$P$500,"&gt;=124400")&gt;0,"X","")</f>
      </c>
      <c r="C55" s="56" t="str">
        <f>IF(COUNTIFS('LANÇAMENTOS DIÁRIOS'!$G$5:$G$500,"H",'LANÇAMENTOS DIÁRIOS'!$C$5:$C$500,$A55,'LANÇAMENTOS DIÁRIOS'!$O$5:$O$500,"&lt;=124599",'LANÇAMENTOS DIÁRIOS'!$P$5:$P$500,"&gt;=124500")&gt;0,"X","")</f>
      </c>
      <c r="D55" s="56" t="str">
        <f>IF(COUNTIFS('LANÇAMENTOS DIÁRIOS'!$G$5:$G$500,"H",'LANÇAMENTOS DIÁRIOS'!$C$5:$C$500,$A55,'LANÇAMENTOS DIÁRIOS'!$O$5:$O$500,"&lt;=124699",'LANÇAMENTOS DIÁRIOS'!$P$5:$P$500,"&gt;=124600")&gt;0,"X","")</f>
      </c>
      <c r="E55" s="56" t="str">
        <f>IF(COUNTIFS('LANÇAMENTOS DIÁRIOS'!$G$5:$G$500,"H",'LANÇAMENTOS DIÁRIOS'!$C$5:$C$500,$A55,'LANÇAMENTOS DIÁRIOS'!$O$5:$O$500,"&lt;=124799",'LANÇAMENTOS DIÁRIOS'!$P$5:$P$500,"&gt;=124700")&gt;0,"X","")</f>
      </c>
      <c r="F55" s="56" t="str">
        <f>IF(COUNTIFS('LANÇAMENTOS DIÁRIOS'!$G$5:$G$500,"H",'LANÇAMENTOS DIÁRIOS'!$C$5:$C$500,$A55,'LANÇAMENTOS DIÁRIOS'!$O$5:$O$500,"&lt;=124899",'LANÇAMENTOS DIÁRIOS'!$P$5:$P$500,"&gt;=124800")&gt;0,"X","")</f>
      </c>
      <c r="G55" s="56" t="str">
        <f>IF(COUNTIFS('LANÇAMENTOS DIÁRIOS'!$G$5:$G$500,"H",'LANÇAMENTOS DIÁRIOS'!$C$5:$C$500,$A55,'LANÇAMENTOS DIÁRIOS'!$O$5:$O$500,"&lt;=124999",'LANÇAMENTOS DIÁRIOS'!$P$5:$P$500,"&gt;=124900")&gt;0,"X","")</f>
      </c>
      <c r="H55" s="56" t="str">
        <f>IF(COUNTIFS('LANÇAMENTOS DIÁRIOS'!$G$5:$G$500,"H",'LANÇAMENTOS DIÁRIOS'!$C$5:$C$500,$A55,'LANÇAMENTOS DIÁRIOS'!$O$5:$O$500,"&lt;=125099",'LANÇAMENTOS DIÁRIOS'!$P$5:$P$500,"&gt;=125000")&gt;0,"X","")</f>
      </c>
      <c r="I55" s="56" t="str">
        <f>IF(COUNTIFS('LANÇAMENTOS DIÁRIOS'!$G$5:$G$500,"H",'LANÇAMENTOS DIÁRIOS'!$C$5:$C$500,$A55,'LANÇAMENTOS DIÁRIOS'!$O$5:$O$500,"&lt;=125199",'LANÇAMENTOS DIÁRIOS'!$P$5:$P$500,"&gt;=125100")&gt;0,"X","")</f>
      </c>
      <c r="J55" s="56" t="str">
        <f>IF(COUNTIFS('LANÇAMENTOS DIÁRIOS'!$G$5:$G$500,"H",'LANÇAMENTOS DIÁRIOS'!$C$5:$C$500,$A55,'LANÇAMENTOS DIÁRIOS'!$O$5:$O$500,"&lt;=125299",'LANÇAMENTOS DIÁRIOS'!$P$5:$P$500,"&gt;=125200")&gt;0,"X","")</f>
      </c>
      <c r="K55" s="56" t="str">
        <f>IF(COUNTIFS('LANÇAMENTOS DIÁRIOS'!$G$5:$G$500,"H",'LANÇAMENTOS DIÁRIOS'!$C$5:$C$500,$A55,'LANÇAMENTOS DIÁRIOS'!$O$5:$O$500,"&lt;=125399",'LANÇAMENTOS DIÁRIOS'!$P$5:$P$500,"&gt;=125300")&gt;0,"X","")</f>
      </c>
      <c r="L55" s="56" t="str">
        <f>IF(COUNTIFS('LANÇAMENTOS DIÁRIOS'!$G$5:$G$500,"H",'LANÇAMENTOS DIÁRIOS'!$C$5:$C$500,$A55,'LANÇAMENTOS DIÁRIOS'!$O$5:$O$500,"&lt;=125499",'LANÇAMENTOS DIÁRIOS'!$P$5:$P$500,"&gt;=125400")&gt;0,"X","")</f>
      </c>
      <c r="M55" s="56" t="str">
        <f>IF(COUNTIFS('LANÇAMENTOS DIÁRIOS'!$G$5:$G$500,"H",'LANÇAMENTOS DIÁRIOS'!$C$5:$C$500,$A55,'LANÇAMENTOS DIÁRIOS'!$O$5:$O$500,"&lt;=125599",'LANÇAMENTOS DIÁRIOS'!$P$5:$P$500,"&gt;=125500")&gt;0,"X","")</f>
      </c>
      <c r="N55" s="56" t="str">
        <f>IF(COUNTIFS('LANÇAMENTOS DIÁRIOS'!$G$5:$G$500,"H",'LANÇAMENTOS DIÁRIOS'!$C$5:$C$500,$A55,'LANÇAMENTOS DIÁRIOS'!$O$5:$O$500,"&lt;=125699",'LANÇAMENTOS DIÁRIOS'!$P$5:$P$500,"&gt;=125600")&gt;0,"X","")</f>
      </c>
      <c r="O55" s="56" t="str">
        <f>IF(COUNTIFS('LANÇAMENTOS DIÁRIOS'!$G$5:$G$500,"H",'LANÇAMENTOS DIÁRIOS'!$C$5:$C$500,$A55,'LANÇAMENTOS DIÁRIOS'!$O$5:$O$500,"&lt;=125799",'LANÇAMENTOS DIÁRIOS'!$P$5:$P$500,"&gt;=125700")&gt;0,"X","")</f>
      </c>
      <c r="P55" s="56" t="str">
        <f>IF(COUNTIFS('LANÇAMENTOS DIÁRIOS'!$G$5:$G$500,"H",'LANÇAMENTOS DIÁRIOS'!$C$5:$C$500,$A55,'LANÇAMENTOS DIÁRIOS'!$O$5:$O$500,"&lt;=125899",'LANÇAMENTOS DIÁRIOS'!$P$5:$P$500,"&gt;=125800")&gt;0,"X","")</f>
      </c>
      <c r="Q55" s="56" t="str">
        <f>IF(COUNTIFS('LANÇAMENTOS DIÁRIOS'!$G$5:$G$500,"H",'LANÇAMENTOS DIÁRIOS'!$C$5:$C$500,$A55,'LANÇAMENTOS DIÁRIOS'!$O$5:$O$500,"&lt;=125999",'LANÇAMENTOS DIÁRIOS'!$P$5:$P$500,"&gt;=125900")&gt;0,"X","")</f>
      </c>
      <c r="R55" s="56" t="str">
        <f>IF(COUNTIFS('LANÇAMENTOS DIÁRIOS'!$G$5:$G$500,"H",'LANÇAMENTOS DIÁRIOS'!$C$5:$C$500,$A55,'LANÇAMENTOS DIÁRIOS'!$O$5:$O$500,"&lt;=126099",'LANÇAMENTOS DIÁRIOS'!$P$5:$P$500,"&gt;=126000")&gt;0,"X","")</f>
      </c>
      <c r="S55" s="56" t="str">
        <f>IF(COUNTIFS('LANÇAMENTOS DIÁRIOS'!$G$5:$G$500,"H",'LANÇAMENTOS DIÁRIOS'!$C$5:$C$500,$A55,'LANÇAMENTOS DIÁRIOS'!$O$5:$O$500,"&lt;=126199",'LANÇAMENTOS DIÁRIOS'!$P$5:$P$500,"&gt;=126100")&gt;0,"X","")</f>
      </c>
      <c r="T55" s="56" t="str">
        <f>IF(COUNTIFS('LANÇAMENTOS DIÁRIOS'!$G$5:$G$500,"H",'LANÇAMENTOS DIÁRIOS'!$C$5:$C$500,$A55,'LANÇAMENTOS DIÁRIOS'!$O$5:$O$500,"&lt;=126299",'LANÇAMENTOS DIÁRIOS'!$P$5:$P$500,"&gt;=126200")&gt;0,"X","")</f>
      </c>
      <c r="U55" s="56" t="str">
        <f>IF(COUNTIFS('LANÇAMENTOS DIÁRIOS'!$G$5:$G$500,"H",'LANÇAMENTOS DIÁRIOS'!$C$5:$C$500,$A55,'LANÇAMENTOS DIÁRIOS'!$O$5:$O$500,"&lt;=126399",'LANÇAMENTOS DIÁRIOS'!$P$5:$P$500,"&gt;=126300")&gt;0,"X","")</f>
      </c>
      <c r="V55" s="56" t="str">
        <f>IF(COUNTIFS('LANÇAMENTOS DIÁRIOS'!$G$5:$G$500,"H",'LANÇAMENTOS DIÁRIOS'!$C$5:$C$500,$A55,'LANÇAMENTOS DIÁRIOS'!$O$5:$O$500,"&lt;=126499",'LANÇAMENTOS DIÁRIOS'!$P$5:$P$500,"&gt;=126400")&gt;0,"X","")</f>
      </c>
      <c r="W55" s="56" t="str">
        <f>IF(COUNTIFS('LANÇAMENTOS DIÁRIOS'!$G$5:$G$500,"H",'LANÇAMENTOS DIÁRIOS'!$C$5:$C$500,$A55,'LANÇAMENTOS DIÁRIOS'!$O$5:$O$500,"&lt;=126599",'LANÇAMENTOS DIÁRIOS'!$P$5:$P$500,"&gt;=126500")&gt;0,"X","")</f>
      </c>
      <c r="X55" s="56" t="str">
        <f>IF(COUNTIFS('LANÇAMENTOS DIÁRIOS'!$G$5:$G$500,"H",'LANÇAMENTOS DIÁRIOS'!$C$5:$C$500,$A55,'LANÇAMENTOS DIÁRIOS'!$O$5:$O$500,"&lt;=126699",'LANÇAMENTOS DIÁRIOS'!$P$5:$P$500,"&gt;=126600")&gt;0,"X","")</f>
      </c>
      <c r="Y55" s="56" t="str">
        <f>IF(COUNTIFS('LANÇAMENTOS DIÁRIOS'!$G$5:$G$500,"H",'LANÇAMENTOS DIÁRIOS'!$C$5:$C$500,$A55,'LANÇAMENTOS DIÁRIOS'!$O$5:$O$500,"&lt;=126799",'LANÇAMENTOS DIÁRIOS'!$P$5:$P$500,"&gt;=126700")&gt;0,"X","")</f>
      </c>
      <c r="Z55" s="56" t="str">
        <f>IF(COUNTIFS('LANÇAMENTOS DIÁRIOS'!$G$5:$G$500,"H",'LANÇAMENTOS DIÁRIOS'!$C$5:$C$500,$A55,'LANÇAMENTOS DIÁRIOS'!$O$5:$O$500,"&lt;=126899",'LANÇAMENTOS DIÁRIOS'!$P$5:$P$500,"&gt;=126800")&gt;0,"X","")</f>
      </c>
      <c r="AA55" s="56" t="str">
        <f>IF(COUNTIFS('LANÇAMENTOS DIÁRIOS'!$G$5:$G$500,"H",'LANÇAMENTOS DIÁRIOS'!$C$5:$C$500,$A55,'LANÇAMENTOS DIÁRIOS'!$O$5:$O$500,"&lt;=126999",'LANÇAMENTOS DIÁRIOS'!$P$5:$P$500,"&gt;=126900")&gt;0,"X","")</f>
      </c>
      <c r="AB55" s="56" t="str">
        <f>IF(COUNTIFS('LANÇAMENTOS DIÁRIOS'!$G$5:$G$500,"H",'LANÇAMENTOS DIÁRIOS'!$C$5:$C$500,$A55,'LANÇAMENTOS DIÁRIOS'!$O$5:$O$500,"&lt;=127099",'LANÇAMENTOS DIÁRIOS'!$P$5:$P$500,"&gt;=127000")&gt;0,"X","")</f>
      </c>
      <c r="AC55" s="56" t="str">
        <f>IF(COUNTIFS('LANÇAMENTOS DIÁRIOS'!$G$5:$G$500,"H",'LANÇAMENTOS DIÁRIOS'!$C$5:$C$500,$A55,'LANÇAMENTOS DIÁRIOS'!$O$5:$O$500,"&lt;=127199",'LANÇAMENTOS DIÁRIOS'!$P$5:$P$500,"&gt;=127100")&gt;0,"X","")</f>
      </c>
      <c r="AD55" s="56" t="str">
        <f>IF(COUNTIFS('LANÇAMENTOS DIÁRIOS'!$G$5:$G$500,"H",'LANÇAMENTOS DIÁRIOS'!$C$5:$C$500,$A55,'LANÇAMENTOS DIÁRIOS'!$O$5:$O$500,"&lt;=127299",'LANÇAMENTOS DIÁRIOS'!$P$5:$P$500,"&gt;=127200")&gt;0,"X","")</f>
      </c>
      <c r="AE55" s="56" t="str">
        <f>IF(COUNTIFS('LANÇAMENTOS DIÁRIOS'!$G$5:$G$500,"H",'LANÇAMENTOS DIÁRIOS'!$C$5:$C$500,$A55,'LANÇAMENTOS DIÁRIOS'!$O$5:$O$500,"&lt;=127399",'LANÇAMENTOS DIÁRIOS'!$P$5:$P$500,"&gt;=127300")&gt;0,"X","")</f>
      </c>
      <c r="AF55" s="56" t="str">
        <f>IF(COUNTIFS('LANÇAMENTOS DIÁRIOS'!$G$5:$G$500,"H",'LANÇAMENTOS DIÁRIOS'!$C$5:$C$500,$A55,'LANÇAMENTOS DIÁRIOS'!$O$5:$O$500,"&lt;=127499",'LANÇAMENTOS DIÁRIOS'!$P$5:$P$500,"&gt;=127400")&gt;0,"X","")</f>
      </c>
      <c r="AG55" s="56" t="str">
        <f>IF(COUNTIFS('LANÇAMENTOS DIÁRIOS'!$G$5:$G$500,"H",'LANÇAMENTOS DIÁRIOS'!$C$5:$C$500,$A55,'LANÇAMENTOS DIÁRIOS'!$O$5:$O$500,"&lt;=127599",'LANÇAMENTOS DIÁRIOS'!$P$5:$P$500,"&gt;=127500")&gt;0,"X","")</f>
      </c>
      <c r="AH55" s="56" t="str">
        <f>IF(COUNTIFS('LANÇAMENTOS DIÁRIOS'!$G$5:$G$500,"H",'LANÇAMENTOS DIÁRIOS'!$C$5:$C$500,$A55,'LANÇAMENTOS DIÁRIOS'!$O$5:$O$500,"&lt;=127699",'LANÇAMENTOS DIÁRIOS'!$P$5:$P$500,"&gt;=127600")&gt;0,"X","")</f>
      </c>
      <c r="AI55" s="56" t="str">
        <f>IF(COUNTIFS('LANÇAMENTOS DIÁRIOS'!$G$5:$G$500,"H",'LANÇAMENTOS DIÁRIOS'!$C$5:$C$500,$A55,'LANÇAMENTOS DIÁRIOS'!$O$5:$O$500,"&lt;=127799",'LANÇAMENTOS DIÁRIOS'!$P$5:$P$500,"&gt;=127700")&gt;0,"X","")</f>
      </c>
      <c r="AJ55" s="56" t="str">
        <f>IF(COUNTIFS('LANÇAMENTOS DIÁRIOS'!$G$5:$G$500,"H",'LANÇAMENTOS DIÁRIOS'!$C$5:$C$500,$A55,'LANÇAMENTOS DIÁRIOS'!$O$5:$O$500,"&lt;=127899",'LANÇAMENTOS DIÁRIOS'!$P$5:$P$500,"&gt;=127800")&gt;0,"X","")</f>
      </c>
      <c r="AK55" s="56" t="str">
        <f>IF(COUNTIFS('LANÇAMENTOS DIÁRIOS'!$G$5:$G$500,"H",'LANÇAMENTOS DIÁRIOS'!$C$5:$C$500,$A55,'LANÇAMENTOS DIÁRIOS'!$O$5:$O$500,"&lt;=127999",'LANÇAMENTOS DIÁRIOS'!$P$5:$P$500,"&gt;=127900")&gt;0,"X","")</f>
      </c>
      <c r="AL55" s="56" t="str">
        <f>IF(COUNTIFS('LANÇAMENTOS DIÁRIOS'!$G$5:$G$500,"H",'LANÇAMENTOS DIÁRIOS'!$C$5:$C$500,$A55,'LANÇAMENTOS DIÁRIOS'!$O$5:$O$500,"&lt;=128099",'LANÇAMENTOS DIÁRIOS'!$P$5:$P$500,"&gt;=128000")&gt;0,"X","")</f>
      </c>
      <c r="AM55" s="56" t="str">
        <f>IF(COUNTIFS('LANÇAMENTOS DIÁRIOS'!$G$5:$G$500,"H",'LANÇAMENTOS DIÁRIOS'!$C$5:$C$500,$A55,'LANÇAMENTOS DIÁRIOS'!$O$5:$O$500,"&lt;=128199",'LANÇAMENTOS DIÁRIOS'!$P$5:$P$500,"&gt;=128100")&gt;0,"X","")</f>
      </c>
      <c r="AN55" s="56" t="str">
        <f>IF(COUNTIFS('LANÇAMENTOS DIÁRIOS'!$G$5:$G$500,"H",'LANÇAMENTOS DIÁRIOS'!$C$5:$C$500,$A55,'LANÇAMENTOS DIÁRIOS'!$O$5:$O$500,"&lt;=128299",'LANÇAMENTOS DIÁRIOS'!$P$5:$P$500,"&gt;=128200")&gt;0,"X","")</f>
      </c>
      <c r="AO55" s="56" t="str">
        <f>IF(COUNTIFS('LANÇAMENTOS DIÁRIOS'!$G$5:$G$500,"H",'LANÇAMENTOS DIÁRIOS'!$C$5:$C$500,$A55,'LANÇAMENTOS DIÁRIOS'!$O$5:$O$500,"&lt;=128399",'LANÇAMENTOS DIÁRIOS'!$P$5:$P$500,"&gt;=128300")&gt;0,"X","")</f>
      </c>
      <c r="AP55" s="56" t="str">
        <f>IF(COUNTIFS('LANÇAMENTOS DIÁRIOS'!$G$5:$G$500,"H",'LANÇAMENTOS DIÁRIOS'!$C$5:$C$500,$A55,'LANÇAMENTOS DIÁRIOS'!$O$5:$O$500,"&lt;=128499",'LANÇAMENTOS DIÁRIOS'!$P$5:$P$500,"&gt;=128400")&gt;0,"X","")</f>
      </c>
      <c r="AQ55" s="56" t="str">
        <f>IF(COUNTIFS('LANÇAMENTOS DIÁRIOS'!$G$5:$G$500,"H",'LANÇAMENTOS DIÁRIOS'!$C$5:$C$500,$A55,'LANÇAMENTOS DIÁRIOS'!$O$5:$O$500,"&lt;=128599",'LANÇAMENTOS DIÁRIOS'!$P$5:$P$500,"&gt;=128500")&gt;0,"X","")</f>
      </c>
      <c r="AR55" s="56" t="str">
        <f>IF(COUNTIFS('LANÇAMENTOS DIÁRIOS'!$G$5:$G$500,"H",'LANÇAMENTOS DIÁRIOS'!$C$5:$C$500,$A55,'LANÇAMENTOS DIÁRIOS'!$O$5:$O$500,"&lt;=128699",'LANÇAMENTOS DIÁRIOS'!$P$5:$P$500,"&gt;=128600")&gt;0,"X","")</f>
      </c>
      <c r="AS55" s="56" t="str">
        <f>IF(COUNTIFS('LANÇAMENTOS DIÁRIOS'!$G$5:$G$500,"H",'LANÇAMENTOS DIÁRIOS'!$C$5:$C$500,$A55,'LANÇAMENTOS DIÁRIOS'!$O$5:$O$500,"&lt;=128799",'LANÇAMENTOS DIÁRIOS'!$P$5:$P$500,"&gt;=128700")&gt;0,"X","")</f>
      </c>
      <c r="AT55" s="56" t="str">
        <f>IF(COUNTIFS('LANÇAMENTOS DIÁRIOS'!$G$5:$G$500,"H",'LANÇAMENTOS DIÁRIOS'!$C$5:$C$500,$A55,'LANÇAMENTOS DIÁRIOS'!$O$5:$O$500,"&lt;=128899",'LANÇAMENTOS DIÁRIOS'!$P$5:$P$500,"&gt;=128800")&gt;0,"X","")</f>
      </c>
      <c r="AU55" s="56" t="str">
        <f>IF(COUNTIFS('LANÇAMENTOS DIÁRIOS'!$G$5:$G$500,"H",'LANÇAMENTOS DIÁRIOS'!$C$5:$C$500,$A55,'LANÇAMENTOS DIÁRIOS'!$O$5:$O$500,"&lt;=128999",'LANÇAMENTOS DIÁRIOS'!$P$5:$P$500,"&gt;=128900")&gt;0,"X","")</f>
      </c>
      <c r="AV55" s="56" t="str">
        <f>IF(COUNTIFS('LANÇAMENTOS DIÁRIOS'!$G$5:$G$500,"H",'LANÇAMENTOS DIÁRIOS'!$C$5:$C$500,$A55,'LANÇAMENTOS DIÁRIOS'!$O$5:$O$500,"&lt;=129099",'LANÇAMENTOS DIÁRIOS'!$P$5:$P$500,"&gt;=129000")&gt;0,"X","")</f>
      </c>
      <c r="AW55" s="56" t="str">
        <f>IF(COUNTIFS('LANÇAMENTOS DIÁRIOS'!$G$5:$G$500,"H",'LANÇAMENTOS DIÁRIOS'!$C$5:$C$500,$A55,'LANÇAMENTOS DIÁRIOS'!$O$5:$O$500,"&lt;=129199",'LANÇAMENTOS DIÁRIOS'!$P$5:$P$500,"&gt;=129100")&gt;0,"X","")</f>
      </c>
      <c r="AX55" s="56" t="str">
        <f>IF(COUNTIFS('LANÇAMENTOS DIÁRIOS'!$G$5:$G$500,"H",'LANÇAMENTOS DIÁRIOS'!$C$5:$C$500,$A55,'LANÇAMENTOS DIÁRIOS'!$O$5:$O$500,"&lt;=129299",'LANÇAMENTOS DIÁRIOS'!$P$5:$P$500,"&gt;=129200")&gt;0,"X","")</f>
      </c>
      <c r="AY55" s="56" t="str">
        <f>IF(COUNTIFS('LANÇAMENTOS DIÁRIOS'!$G$5:$G$500,"H",'LANÇAMENTOS DIÁRIOS'!$C$5:$C$500,$A55,'LANÇAMENTOS DIÁRIOS'!$O$5:$O$500,"&lt;=129399",'LANÇAMENTOS DIÁRIOS'!$P$5:$P$500,"&gt;=129300")&gt;0,"X","")</f>
      </c>
      <c r="AZ55" s="56" t="str">
        <f>IF(COUNTIFS('LANÇAMENTOS DIÁRIOS'!$G$5:$G$500,"H",'LANÇAMENTOS DIÁRIOS'!$C$5:$C$500,$A55,'LANÇAMENTOS DIÁRIOS'!$O$5:$O$500,"&lt;=129400",'LANÇAMENTOS DIÁRIOS'!$P$5:$P$500,"&gt;=129400")&gt;0,"X","")</f>
      </c>
    </row>
    <row r="56">
      <c r="A56" s="51" t="str">
        <v>Estaca de brita ø 0,80 m</v>
      </c>
      <c r="B56" s="56" t="str">
        <f>IF(COUNTIFS('LANÇAMENTOS DIÁRIOS'!$G$5:$G$500,"H",'LANÇAMENTOS DIÁRIOS'!$C$5:$C$500,$A56,'LANÇAMENTOS DIÁRIOS'!$O$5:$O$500,"&lt;=124499",'LANÇAMENTOS DIÁRIOS'!$P$5:$P$500,"&gt;=124400")&gt;0,"X","")</f>
      </c>
      <c r="C56" s="56" t="str">
        <f>IF(COUNTIFS('LANÇAMENTOS DIÁRIOS'!$G$5:$G$500,"H",'LANÇAMENTOS DIÁRIOS'!$C$5:$C$500,$A56,'LANÇAMENTOS DIÁRIOS'!$O$5:$O$500,"&lt;=124599",'LANÇAMENTOS DIÁRIOS'!$P$5:$P$500,"&gt;=124500")&gt;0,"X","")</f>
      </c>
      <c r="D56" s="56" t="str">
        <f>IF(COUNTIFS('LANÇAMENTOS DIÁRIOS'!$G$5:$G$500,"H",'LANÇAMENTOS DIÁRIOS'!$C$5:$C$500,$A56,'LANÇAMENTOS DIÁRIOS'!$O$5:$O$500,"&lt;=124699",'LANÇAMENTOS DIÁRIOS'!$P$5:$P$500,"&gt;=124600")&gt;0,"X","")</f>
      </c>
      <c r="E56" s="56" t="str">
        <f>IF(COUNTIFS('LANÇAMENTOS DIÁRIOS'!$G$5:$G$500,"H",'LANÇAMENTOS DIÁRIOS'!$C$5:$C$500,$A56,'LANÇAMENTOS DIÁRIOS'!$O$5:$O$500,"&lt;=124799",'LANÇAMENTOS DIÁRIOS'!$P$5:$P$500,"&gt;=124700")&gt;0,"X","")</f>
      </c>
      <c r="F56" s="56" t="str">
        <f>IF(COUNTIFS('LANÇAMENTOS DIÁRIOS'!$G$5:$G$500,"H",'LANÇAMENTOS DIÁRIOS'!$C$5:$C$500,$A56,'LANÇAMENTOS DIÁRIOS'!$O$5:$O$500,"&lt;=124899",'LANÇAMENTOS DIÁRIOS'!$P$5:$P$500,"&gt;=124800")&gt;0,"X","")</f>
      </c>
      <c r="G56" s="56" t="str">
        <f>IF(COUNTIFS('LANÇAMENTOS DIÁRIOS'!$G$5:$G$500,"H",'LANÇAMENTOS DIÁRIOS'!$C$5:$C$500,$A56,'LANÇAMENTOS DIÁRIOS'!$O$5:$O$500,"&lt;=124999",'LANÇAMENTOS DIÁRIOS'!$P$5:$P$500,"&gt;=124900")&gt;0,"X","")</f>
      </c>
      <c r="H56" s="56" t="str">
        <f>IF(COUNTIFS('LANÇAMENTOS DIÁRIOS'!$G$5:$G$500,"H",'LANÇAMENTOS DIÁRIOS'!$C$5:$C$500,$A56,'LANÇAMENTOS DIÁRIOS'!$O$5:$O$500,"&lt;=125099",'LANÇAMENTOS DIÁRIOS'!$P$5:$P$500,"&gt;=125000")&gt;0,"X","")</f>
      </c>
      <c r="I56" s="56" t="str">
        <f>IF(COUNTIFS('LANÇAMENTOS DIÁRIOS'!$G$5:$G$500,"H",'LANÇAMENTOS DIÁRIOS'!$C$5:$C$500,$A56,'LANÇAMENTOS DIÁRIOS'!$O$5:$O$500,"&lt;=125199",'LANÇAMENTOS DIÁRIOS'!$P$5:$P$500,"&gt;=125100")&gt;0,"X","")</f>
      </c>
      <c r="J56" s="56" t="str">
        <f>IF(COUNTIFS('LANÇAMENTOS DIÁRIOS'!$G$5:$G$500,"H",'LANÇAMENTOS DIÁRIOS'!$C$5:$C$500,$A56,'LANÇAMENTOS DIÁRIOS'!$O$5:$O$500,"&lt;=125299",'LANÇAMENTOS DIÁRIOS'!$P$5:$P$500,"&gt;=125200")&gt;0,"X","")</f>
      </c>
      <c r="K56" s="56" t="str">
        <f>IF(COUNTIFS('LANÇAMENTOS DIÁRIOS'!$G$5:$G$500,"H",'LANÇAMENTOS DIÁRIOS'!$C$5:$C$500,$A56,'LANÇAMENTOS DIÁRIOS'!$O$5:$O$500,"&lt;=125399",'LANÇAMENTOS DIÁRIOS'!$P$5:$P$500,"&gt;=125300")&gt;0,"X","")</f>
      </c>
      <c r="L56" s="56" t="str">
        <f>IF(COUNTIFS('LANÇAMENTOS DIÁRIOS'!$G$5:$G$500,"H",'LANÇAMENTOS DIÁRIOS'!$C$5:$C$500,$A56,'LANÇAMENTOS DIÁRIOS'!$O$5:$O$500,"&lt;=125499",'LANÇAMENTOS DIÁRIOS'!$P$5:$P$500,"&gt;=125400")&gt;0,"X","")</f>
      </c>
      <c r="M56" s="56" t="str">
        <f>IF(COUNTIFS('LANÇAMENTOS DIÁRIOS'!$G$5:$G$500,"H",'LANÇAMENTOS DIÁRIOS'!$C$5:$C$500,$A56,'LANÇAMENTOS DIÁRIOS'!$O$5:$O$500,"&lt;=125599",'LANÇAMENTOS DIÁRIOS'!$P$5:$P$500,"&gt;=125500")&gt;0,"X","")</f>
      </c>
      <c r="N56" s="56" t="str">
        <f>IF(COUNTIFS('LANÇAMENTOS DIÁRIOS'!$G$5:$G$500,"H",'LANÇAMENTOS DIÁRIOS'!$C$5:$C$500,$A56,'LANÇAMENTOS DIÁRIOS'!$O$5:$O$500,"&lt;=125699",'LANÇAMENTOS DIÁRIOS'!$P$5:$P$500,"&gt;=125600")&gt;0,"X","")</f>
      </c>
      <c r="O56" s="56" t="str">
        <f>IF(COUNTIFS('LANÇAMENTOS DIÁRIOS'!$G$5:$G$500,"H",'LANÇAMENTOS DIÁRIOS'!$C$5:$C$500,$A56,'LANÇAMENTOS DIÁRIOS'!$O$5:$O$500,"&lt;=125799",'LANÇAMENTOS DIÁRIOS'!$P$5:$P$500,"&gt;=125700")&gt;0,"X","")</f>
      </c>
      <c r="P56" s="56" t="str">
        <f>IF(COUNTIFS('LANÇAMENTOS DIÁRIOS'!$G$5:$G$500,"H",'LANÇAMENTOS DIÁRIOS'!$C$5:$C$500,$A56,'LANÇAMENTOS DIÁRIOS'!$O$5:$O$500,"&lt;=125899",'LANÇAMENTOS DIÁRIOS'!$P$5:$P$500,"&gt;=125800")&gt;0,"X","")</f>
      </c>
      <c r="Q56" s="56" t="str">
        <f>IF(COUNTIFS('LANÇAMENTOS DIÁRIOS'!$G$5:$G$500,"H",'LANÇAMENTOS DIÁRIOS'!$C$5:$C$500,$A56,'LANÇAMENTOS DIÁRIOS'!$O$5:$O$500,"&lt;=125999",'LANÇAMENTOS DIÁRIOS'!$P$5:$P$500,"&gt;=125900")&gt;0,"X","")</f>
      </c>
      <c r="R56" s="56" t="str">
        <f>IF(COUNTIFS('LANÇAMENTOS DIÁRIOS'!$G$5:$G$500,"H",'LANÇAMENTOS DIÁRIOS'!$C$5:$C$500,$A56,'LANÇAMENTOS DIÁRIOS'!$O$5:$O$500,"&lt;=126099",'LANÇAMENTOS DIÁRIOS'!$P$5:$P$500,"&gt;=126000")&gt;0,"X","")</f>
      </c>
      <c r="S56" s="56" t="str">
        <f>IF(COUNTIFS('LANÇAMENTOS DIÁRIOS'!$G$5:$G$500,"H",'LANÇAMENTOS DIÁRIOS'!$C$5:$C$500,$A56,'LANÇAMENTOS DIÁRIOS'!$O$5:$O$500,"&lt;=126199",'LANÇAMENTOS DIÁRIOS'!$P$5:$P$500,"&gt;=126100")&gt;0,"X","")</f>
      </c>
      <c r="T56" s="56" t="str">
        <f>IF(COUNTIFS('LANÇAMENTOS DIÁRIOS'!$G$5:$G$500,"H",'LANÇAMENTOS DIÁRIOS'!$C$5:$C$500,$A56,'LANÇAMENTOS DIÁRIOS'!$O$5:$O$500,"&lt;=126299",'LANÇAMENTOS DIÁRIOS'!$P$5:$P$500,"&gt;=126200")&gt;0,"X","")</f>
      </c>
      <c r="U56" s="56" t="str">
        <f>IF(COUNTIFS('LANÇAMENTOS DIÁRIOS'!$G$5:$G$500,"H",'LANÇAMENTOS DIÁRIOS'!$C$5:$C$500,$A56,'LANÇAMENTOS DIÁRIOS'!$O$5:$O$500,"&lt;=126399",'LANÇAMENTOS DIÁRIOS'!$P$5:$P$500,"&gt;=126300")&gt;0,"X","")</f>
      </c>
      <c r="V56" s="56" t="str">
        <f>IF(COUNTIFS('LANÇAMENTOS DIÁRIOS'!$G$5:$G$500,"H",'LANÇAMENTOS DIÁRIOS'!$C$5:$C$500,$A56,'LANÇAMENTOS DIÁRIOS'!$O$5:$O$500,"&lt;=126499",'LANÇAMENTOS DIÁRIOS'!$P$5:$P$500,"&gt;=126400")&gt;0,"X","")</f>
      </c>
      <c r="W56" s="56" t="str">
        <f>IF(COUNTIFS('LANÇAMENTOS DIÁRIOS'!$G$5:$G$500,"H",'LANÇAMENTOS DIÁRIOS'!$C$5:$C$500,$A56,'LANÇAMENTOS DIÁRIOS'!$O$5:$O$500,"&lt;=126599",'LANÇAMENTOS DIÁRIOS'!$P$5:$P$500,"&gt;=126500")&gt;0,"X","")</f>
      </c>
      <c r="X56" s="56" t="str">
        <f>IF(COUNTIFS('LANÇAMENTOS DIÁRIOS'!$G$5:$G$500,"H",'LANÇAMENTOS DIÁRIOS'!$C$5:$C$500,$A56,'LANÇAMENTOS DIÁRIOS'!$O$5:$O$500,"&lt;=126699",'LANÇAMENTOS DIÁRIOS'!$P$5:$P$500,"&gt;=126600")&gt;0,"X","")</f>
      </c>
      <c r="Y56" s="56" t="str">
        <f>IF(COUNTIFS('LANÇAMENTOS DIÁRIOS'!$G$5:$G$500,"H",'LANÇAMENTOS DIÁRIOS'!$C$5:$C$500,$A56,'LANÇAMENTOS DIÁRIOS'!$O$5:$O$500,"&lt;=126799",'LANÇAMENTOS DIÁRIOS'!$P$5:$P$500,"&gt;=126700")&gt;0,"X","")</f>
      </c>
      <c r="Z56" s="56" t="str">
        <f>IF(COUNTIFS('LANÇAMENTOS DIÁRIOS'!$G$5:$G$500,"H",'LANÇAMENTOS DIÁRIOS'!$C$5:$C$500,$A56,'LANÇAMENTOS DIÁRIOS'!$O$5:$O$500,"&lt;=126899",'LANÇAMENTOS DIÁRIOS'!$P$5:$P$500,"&gt;=126800")&gt;0,"X","")</f>
      </c>
      <c r="AA56" s="56" t="str">
        <f>IF(COUNTIFS('LANÇAMENTOS DIÁRIOS'!$G$5:$G$500,"H",'LANÇAMENTOS DIÁRIOS'!$C$5:$C$500,$A56,'LANÇAMENTOS DIÁRIOS'!$O$5:$O$500,"&lt;=126999",'LANÇAMENTOS DIÁRIOS'!$P$5:$P$500,"&gt;=126900")&gt;0,"X","")</f>
      </c>
      <c r="AB56" s="56" t="str">
        <f>IF(COUNTIFS('LANÇAMENTOS DIÁRIOS'!$G$5:$G$500,"H",'LANÇAMENTOS DIÁRIOS'!$C$5:$C$500,$A56,'LANÇAMENTOS DIÁRIOS'!$O$5:$O$500,"&lt;=127099",'LANÇAMENTOS DIÁRIOS'!$P$5:$P$500,"&gt;=127000")&gt;0,"X","")</f>
      </c>
      <c r="AC56" s="56" t="str">
        <f>IF(COUNTIFS('LANÇAMENTOS DIÁRIOS'!$G$5:$G$500,"H",'LANÇAMENTOS DIÁRIOS'!$C$5:$C$500,$A56,'LANÇAMENTOS DIÁRIOS'!$O$5:$O$500,"&lt;=127199",'LANÇAMENTOS DIÁRIOS'!$P$5:$P$500,"&gt;=127100")&gt;0,"X","")</f>
      </c>
      <c r="AD56" s="56" t="str">
        <f>IF(COUNTIFS('LANÇAMENTOS DIÁRIOS'!$G$5:$G$500,"H",'LANÇAMENTOS DIÁRIOS'!$C$5:$C$500,$A56,'LANÇAMENTOS DIÁRIOS'!$O$5:$O$500,"&lt;=127299",'LANÇAMENTOS DIÁRIOS'!$P$5:$P$500,"&gt;=127200")&gt;0,"X","")</f>
      </c>
      <c r="AE56" s="56" t="str">
        <f>IF(COUNTIFS('LANÇAMENTOS DIÁRIOS'!$G$5:$G$500,"H",'LANÇAMENTOS DIÁRIOS'!$C$5:$C$500,$A56,'LANÇAMENTOS DIÁRIOS'!$O$5:$O$500,"&lt;=127399",'LANÇAMENTOS DIÁRIOS'!$P$5:$P$500,"&gt;=127300")&gt;0,"X","")</f>
      </c>
      <c r="AF56" s="56" t="str">
        <f>IF(COUNTIFS('LANÇAMENTOS DIÁRIOS'!$G$5:$G$500,"H",'LANÇAMENTOS DIÁRIOS'!$C$5:$C$500,$A56,'LANÇAMENTOS DIÁRIOS'!$O$5:$O$500,"&lt;=127499",'LANÇAMENTOS DIÁRIOS'!$P$5:$P$500,"&gt;=127400")&gt;0,"X","")</f>
      </c>
      <c r="AG56" s="56" t="str">
        <f>IF(COUNTIFS('LANÇAMENTOS DIÁRIOS'!$G$5:$G$500,"H",'LANÇAMENTOS DIÁRIOS'!$C$5:$C$500,$A56,'LANÇAMENTOS DIÁRIOS'!$O$5:$O$500,"&lt;=127599",'LANÇAMENTOS DIÁRIOS'!$P$5:$P$500,"&gt;=127500")&gt;0,"X","")</f>
      </c>
      <c r="AH56" s="56" t="str">
        <f>IF(COUNTIFS('LANÇAMENTOS DIÁRIOS'!$G$5:$G$500,"H",'LANÇAMENTOS DIÁRIOS'!$C$5:$C$500,$A56,'LANÇAMENTOS DIÁRIOS'!$O$5:$O$500,"&lt;=127699",'LANÇAMENTOS DIÁRIOS'!$P$5:$P$500,"&gt;=127600")&gt;0,"X","")</f>
      </c>
      <c r="AI56" s="56" t="str">
        <f>IF(COUNTIFS('LANÇAMENTOS DIÁRIOS'!$G$5:$G$500,"H",'LANÇAMENTOS DIÁRIOS'!$C$5:$C$500,$A56,'LANÇAMENTOS DIÁRIOS'!$O$5:$O$500,"&lt;=127799",'LANÇAMENTOS DIÁRIOS'!$P$5:$P$500,"&gt;=127700")&gt;0,"X","")</f>
      </c>
      <c r="AJ56" s="56" t="str">
        <f>IF(COUNTIFS('LANÇAMENTOS DIÁRIOS'!$G$5:$G$500,"H",'LANÇAMENTOS DIÁRIOS'!$C$5:$C$500,$A56,'LANÇAMENTOS DIÁRIOS'!$O$5:$O$500,"&lt;=127899",'LANÇAMENTOS DIÁRIOS'!$P$5:$P$500,"&gt;=127800")&gt;0,"X","")</f>
      </c>
      <c r="AK56" s="56" t="str">
        <f>IF(COUNTIFS('LANÇAMENTOS DIÁRIOS'!$G$5:$G$500,"H",'LANÇAMENTOS DIÁRIOS'!$C$5:$C$500,$A56,'LANÇAMENTOS DIÁRIOS'!$O$5:$O$500,"&lt;=127999",'LANÇAMENTOS DIÁRIOS'!$P$5:$P$500,"&gt;=127900")&gt;0,"X","")</f>
      </c>
      <c r="AL56" s="56" t="str">
        <f>IF(COUNTIFS('LANÇAMENTOS DIÁRIOS'!$G$5:$G$500,"H",'LANÇAMENTOS DIÁRIOS'!$C$5:$C$500,$A56,'LANÇAMENTOS DIÁRIOS'!$O$5:$O$500,"&lt;=128099",'LANÇAMENTOS DIÁRIOS'!$P$5:$P$500,"&gt;=128000")&gt;0,"X","")</f>
      </c>
      <c r="AM56" s="56" t="str">
        <f>IF(COUNTIFS('LANÇAMENTOS DIÁRIOS'!$G$5:$G$500,"H",'LANÇAMENTOS DIÁRIOS'!$C$5:$C$500,$A56,'LANÇAMENTOS DIÁRIOS'!$O$5:$O$500,"&lt;=128199",'LANÇAMENTOS DIÁRIOS'!$P$5:$P$500,"&gt;=128100")&gt;0,"X","")</f>
      </c>
      <c r="AN56" s="56" t="str">
        <f>IF(COUNTIFS('LANÇAMENTOS DIÁRIOS'!$G$5:$G$500,"H",'LANÇAMENTOS DIÁRIOS'!$C$5:$C$500,$A56,'LANÇAMENTOS DIÁRIOS'!$O$5:$O$500,"&lt;=128299",'LANÇAMENTOS DIÁRIOS'!$P$5:$P$500,"&gt;=128200")&gt;0,"X","")</f>
      </c>
      <c r="AO56" s="56" t="str">
        <f>IF(COUNTIFS('LANÇAMENTOS DIÁRIOS'!$G$5:$G$500,"H",'LANÇAMENTOS DIÁRIOS'!$C$5:$C$500,$A56,'LANÇAMENTOS DIÁRIOS'!$O$5:$O$500,"&lt;=128399",'LANÇAMENTOS DIÁRIOS'!$P$5:$P$500,"&gt;=128300")&gt;0,"X","")</f>
      </c>
      <c r="AP56" s="56" t="str">
        <f>IF(COUNTIFS('LANÇAMENTOS DIÁRIOS'!$G$5:$G$500,"H",'LANÇAMENTOS DIÁRIOS'!$C$5:$C$500,$A56,'LANÇAMENTOS DIÁRIOS'!$O$5:$O$500,"&lt;=128499",'LANÇAMENTOS DIÁRIOS'!$P$5:$P$500,"&gt;=128400")&gt;0,"X","")</f>
      </c>
      <c r="AQ56" s="56" t="str">
        <f>IF(COUNTIFS('LANÇAMENTOS DIÁRIOS'!$G$5:$G$500,"H",'LANÇAMENTOS DIÁRIOS'!$C$5:$C$500,$A56,'LANÇAMENTOS DIÁRIOS'!$O$5:$O$500,"&lt;=128599",'LANÇAMENTOS DIÁRIOS'!$P$5:$P$500,"&gt;=128500")&gt;0,"X","")</f>
      </c>
      <c r="AR56" s="56" t="str">
        <f>IF(COUNTIFS('LANÇAMENTOS DIÁRIOS'!$G$5:$G$500,"H",'LANÇAMENTOS DIÁRIOS'!$C$5:$C$500,$A56,'LANÇAMENTOS DIÁRIOS'!$O$5:$O$500,"&lt;=128699",'LANÇAMENTOS DIÁRIOS'!$P$5:$P$500,"&gt;=128600")&gt;0,"X","")</f>
      </c>
      <c r="AS56" s="56" t="str">
        <f>IF(COUNTIFS('LANÇAMENTOS DIÁRIOS'!$G$5:$G$500,"H",'LANÇAMENTOS DIÁRIOS'!$C$5:$C$500,$A56,'LANÇAMENTOS DIÁRIOS'!$O$5:$O$500,"&lt;=128799",'LANÇAMENTOS DIÁRIOS'!$P$5:$P$500,"&gt;=128700")&gt;0,"X","")</f>
      </c>
      <c r="AT56" s="56" t="str">
        <f>IF(COUNTIFS('LANÇAMENTOS DIÁRIOS'!$G$5:$G$500,"H",'LANÇAMENTOS DIÁRIOS'!$C$5:$C$500,$A56,'LANÇAMENTOS DIÁRIOS'!$O$5:$O$500,"&lt;=128899",'LANÇAMENTOS DIÁRIOS'!$P$5:$P$500,"&gt;=128800")&gt;0,"X","")</f>
      </c>
      <c r="AU56" s="56" t="str">
        <f>IF(COUNTIFS('LANÇAMENTOS DIÁRIOS'!$G$5:$G$500,"H",'LANÇAMENTOS DIÁRIOS'!$C$5:$C$500,$A56,'LANÇAMENTOS DIÁRIOS'!$O$5:$O$500,"&lt;=128999",'LANÇAMENTOS DIÁRIOS'!$P$5:$P$500,"&gt;=128900")&gt;0,"X","")</f>
      </c>
      <c r="AV56" s="56" t="str">
        <f>IF(COUNTIFS('LANÇAMENTOS DIÁRIOS'!$G$5:$G$500,"H",'LANÇAMENTOS DIÁRIOS'!$C$5:$C$500,$A56,'LANÇAMENTOS DIÁRIOS'!$O$5:$O$500,"&lt;=129099",'LANÇAMENTOS DIÁRIOS'!$P$5:$P$500,"&gt;=129000")&gt;0,"X","")</f>
      </c>
      <c r="AW56" s="56" t="str">
        <f>IF(COUNTIFS('LANÇAMENTOS DIÁRIOS'!$G$5:$G$500,"H",'LANÇAMENTOS DIÁRIOS'!$C$5:$C$500,$A56,'LANÇAMENTOS DIÁRIOS'!$O$5:$O$500,"&lt;=129199",'LANÇAMENTOS DIÁRIOS'!$P$5:$P$500,"&gt;=129100")&gt;0,"X","")</f>
      </c>
      <c r="AX56" s="56" t="str">
        <f>IF(COUNTIFS('LANÇAMENTOS DIÁRIOS'!$G$5:$G$500,"H",'LANÇAMENTOS DIÁRIOS'!$C$5:$C$500,$A56,'LANÇAMENTOS DIÁRIOS'!$O$5:$O$500,"&lt;=129299",'LANÇAMENTOS DIÁRIOS'!$P$5:$P$500,"&gt;=129200")&gt;0,"X","")</f>
      </c>
      <c r="AY56" s="56" t="str">
        <f>IF(COUNTIFS('LANÇAMENTOS DIÁRIOS'!$G$5:$G$500,"H",'LANÇAMENTOS DIÁRIOS'!$C$5:$C$500,$A56,'LANÇAMENTOS DIÁRIOS'!$O$5:$O$500,"&lt;=129399",'LANÇAMENTOS DIÁRIOS'!$P$5:$P$500,"&gt;=129300")&gt;0,"X","")</f>
      </c>
      <c r="AZ56" s="56" t="str">
        <f>IF(COUNTIFS('LANÇAMENTOS DIÁRIOS'!$G$5:$G$500,"H",'LANÇAMENTOS DIÁRIOS'!$C$5:$C$500,$A56,'LANÇAMENTOS DIÁRIOS'!$O$5:$O$500,"&lt;=129400",'LANÇAMENTOS DIÁRIOS'!$P$5:$P$500,"&gt;=129400")&gt;0,"X","")</f>
      </c>
    </row>
    <row r="57">
      <c r="A57" s="51" t="str">
        <v>Compactação de aterro a 100% do proctor normal (*)</v>
      </c>
      <c r="B57" s="56" t="str">
        <f>IF(COUNTIFS('LANÇAMENTOS DIÁRIOS'!$G$5:$G$500,"H",'LANÇAMENTOS DIÁRIOS'!$C$5:$C$500,$A57,'LANÇAMENTOS DIÁRIOS'!$O$5:$O$500,"&lt;=124499",'LANÇAMENTOS DIÁRIOS'!$P$5:$P$500,"&gt;=124400")&gt;0,"X","")</f>
      </c>
      <c r="C57" s="56" t="str">
        <f>IF(COUNTIFS('LANÇAMENTOS DIÁRIOS'!$G$5:$G$500,"H",'LANÇAMENTOS DIÁRIOS'!$C$5:$C$500,$A57,'LANÇAMENTOS DIÁRIOS'!$O$5:$O$500,"&lt;=124599",'LANÇAMENTOS DIÁRIOS'!$P$5:$P$500,"&gt;=124500")&gt;0,"X","")</f>
      </c>
      <c r="D57" s="56" t="str">
        <f>IF(COUNTIFS('LANÇAMENTOS DIÁRIOS'!$G$5:$G$500,"H",'LANÇAMENTOS DIÁRIOS'!$C$5:$C$500,$A57,'LANÇAMENTOS DIÁRIOS'!$O$5:$O$500,"&lt;=124699",'LANÇAMENTOS DIÁRIOS'!$P$5:$P$500,"&gt;=124600")&gt;0,"X","")</f>
      </c>
      <c r="E57" s="56" t="str">
        <f>IF(COUNTIFS('LANÇAMENTOS DIÁRIOS'!$G$5:$G$500,"H",'LANÇAMENTOS DIÁRIOS'!$C$5:$C$500,$A57,'LANÇAMENTOS DIÁRIOS'!$O$5:$O$500,"&lt;=124799",'LANÇAMENTOS DIÁRIOS'!$P$5:$P$500,"&gt;=124700")&gt;0,"X","")</f>
      </c>
      <c r="F57" s="56" t="str">
        <f>IF(COUNTIFS('LANÇAMENTOS DIÁRIOS'!$G$5:$G$500,"H",'LANÇAMENTOS DIÁRIOS'!$C$5:$C$500,$A57,'LANÇAMENTOS DIÁRIOS'!$O$5:$O$500,"&lt;=124899",'LANÇAMENTOS DIÁRIOS'!$P$5:$P$500,"&gt;=124800")&gt;0,"X","")</f>
      </c>
      <c r="G57" s="56" t="str">
        <f>IF(COUNTIFS('LANÇAMENTOS DIÁRIOS'!$G$5:$G$500,"H",'LANÇAMENTOS DIÁRIOS'!$C$5:$C$500,$A57,'LANÇAMENTOS DIÁRIOS'!$O$5:$O$500,"&lt;=124999",'LANÇAMENTOS DIÁRIOS'!$P$5:$P$500,"&gt;=124900")&gt;0,"X","")</f>
      </c>
      <c r="H57" s="56" t="str">
        <f>IF(COUNTIFS('LANÇAMENTOS DIÁRIOS'!$G$5:$G$500,"H",'LANÇAMENTOS DIÁRIOS'!$C$5:$C$500,$A57,'LANÇAMENTOS DIÁRIOS'!$O$5:$O$500,"&lt;=125099",'LANÇAMENTOS DIÁRIOS'!$P$5:$P$500,"&gt;=125000")&gt;0,"X","")</f>
      </c>
      <c r="I57" s="56" t="str">
        <f>IF(COUNTIFS('LANÇAMENTOS DIÁRIOS'!$G$5:$G$500,"H",'LANÇAMENTOS DIÁRIOS'!$C$5:$C$500,$A57,'LANÇAMENTOS DIÁRIOS'!$O$5:$O$500,"&lt;=125199",'LANÇAMENTOS DIÁRIOS'!$P$5:$P$500,"&gt;=125100")&gt;0,"X","")</f>
      </c>
      <c r="J57" s="56" t="str">
        <f>IF(COUNTIFS('LANÇAMENTOS DIÁRIOS'!$G$5:$G$500,"H",'LANÇAMENTOS DIÁRIOS'!$C$5:$C$500,$A57,'LANÇAMENTOS DIÁRIOS'!$O$5:$O$500,"&lt;=125299",'LANÇAMENTOS DIÁRIOS'!$P$5:$P$500,"&gt;=125200")&gt;0,"X","")</f>
      </c>
      <c r="K57" s="56" t="str">
        <f>IF(COUNTIFS('LANÇAMENTOS DIÁRIOS'!$G$5:$G$500,"H",'LANÇAMENTOS DIÁRIOS'!$C$5:$C$500,$A57,'LANÇAMENTOS DIÁRIOS'!$O$5:$O$500,"&lt;=125399",'LANÇAMENTOS DIÁRIOS'!$P$5:$P$500,"&gt;=125300")&gt;0,"X","")</f>
      </c>
      <c r="L57" s="56" t="str">
        <f>IF(COUNTIFS('LANÇAMENTOS DIÁRIOS'!$G$5:$G$500,"H",'LANÇAMENTOS DIÁRIOS'!$C$5:$C$500,$A57,'LANÇAMENTOS DIÁRIOS'!$O$5:$O$500,"&lt;=125499",'LANÇAMENTOS DIÁRIOS'!$P$5:$P$500,"&gt;=125400")&gt;0,"X","")</f>
      </c>
      <c r="M57" s="56" t="str">
        <f>IF(COUNTIFS('LANÇAMENTOS DIÁRIOS'!$G$5:$G$500,"H",'LANÇAMENTOS DIÁRIOS'!$C$5:$C$500,$A57,'LANÇAMENTOS DIÁRIOS'!$O$5:$O$500,"&lt;=125599",'LANÇAMENTOS DIÁRIOS'!$P$5:$P$500,"&gt;=125500")&gt;0,"X","")</f>
      </c>
      <c r="N57" s="56" t="str">
        <f>IF(COUNTIFS('LANÇAMENTOS DIÁRIOS'!$G$5:$G$500,"H",'LANÇAMENTOS DIÁRIOS'!$C$5:$C$500,$A57,'LANÇAMENTOS DIÁRIOS'!$O$5:$O$500,"&lt;=125699",'LANÇAMENTOS DIÁRIOS'!$P$5:$P$500,"&gt;=125600")&gt;0,"X","")</f>
      </c>
      <c r="O57" s="56" t="str">
        <f>IF(COUNTIFS('LANÇAMENTOS DIÁRIOS'!$G$5:$G$500,"H",'LANÇAMENTOS DIÁRIOS'!$C$5:$C$500,$A57,'LANÇAMENTOS DIÁRIOS'!$O$5:$O$500,"&lt;=125799",'LANÇAMENTOS DIÁRIOS'!$P$5:$P$500,"&gt;=125700")&gt;0,"X","")</f>
      </c>
      <c r="P57" s="56" t="str">
        <f>IF(COUNTIFS('LANÇAMENTOS DIÁRIOS'!$G$5:$G$500,"H",'LANÇAMENTOS DIÁRIOS'!$C$5:$C$500,$A57,'LANÇAMENTOS DIÁRIOS'!$O$5:$O$500,"&lt;=125899",'LANÇAMENTOS DIÁRIOS'!$P$5:$P$500,"&gt;=125800")&gt;0,"X","")</f>
      </c>
      <c r="Q57" s="56" t="str">
        <f>IF(COUNTIFS('LANÇAMENTOS DIÁRIOS'!$G$5:$G$500,"H",'LANÇAMENTOS DIÁRIOS'!$C$5:$C$500,$A57,'LANÇAMENTOS DIÁRIOS'!$O$5:$O$500,"&lt;=125999",'LANÇAMENTOS DIÁRIOS'!$P$5:$P$500,"&gt;=125900")&gt;0,"X","")</f>
      </c>
      <c r="R57" s="56" t="str">
        <f>IF(COUNTIFS('LANÇAMENTOS DIÁRIOS'!$G$5:$G$500,"H",'LANÇAMENTOS DIÁRIOS'!$C$5:$C$500,$A57,'LANÇAMENTOS DIÁRIOS'!$O$5:$O$500,"&lt;=126099",'LANÇAMENTOS DIÁRIOS'!$P$5:$P$500,"&gt;=126000")&gt;0,"X","")</f>
      </c>
      <c r="S57" s="56" t="str">
        <f>IF(COUNTIFS('LANÇAMENTOS DIÁRIOS'!$G$5:$G$500,"H",'LANÇAMENTOS DIÁRIOS'!$C$5:$C$500,$A57,'LANÇAMENTOS DIÁRIOS'!$O$5:$O$500,"&lt;=126199",'LANÇAMENTOS DIÁRIOS'!$P$5:$P$500,"&gt;=126100")&gt;0,"X","")</f>
      </c>
      <c r="T57" s="56" t="str">
        <f>IF(COUNTIFS('LANÇAMENTOS DIÁRIOS'!$G$5:$G$500,"H",'LANÇAMENTOS DIÁRIOS'!$C$5:$C$500,$A57,'LANÇAMENTOS DIÁRIOS'!$O$5:$O$500,"&lt;=126299",'LANÇAMENTOS DIÁRIOS'!$P$5:$P$500,"&gt;=126200")&gt;0,"X","")</f>
      </c>
      <c r="U57" s="56" t="str">
        <f>IF(COUNTIFS('LANÇAMENTOS DIÁRIOS'!$G$5:$G$500,"H",'LANÇAMENTOS DIÁRIOS'!$C$5:$C$500,$A57,'LANÇAMENTOS DIÁRIOS'!$O$5:$O$500,"&lt;=126399",'LANÇAMENTOS DIÁRIOS'!$P$5:$P$500,"&gt;=126300")&gt;0,"X","")</f>
      </c>
      <c r="V57" s="56" t="str">
        <f>IF(COUNTIFS('LANÇAMENTOS DIÁRIOS'!$G$5:$G$500,"H",'LANÇAMENTOS DIÁRIOS'!$C$5:$C$500,$A57,'LANÇAMENTOS DIÁRIOS'!$O$5:$O$500,"&lt;=126499",'LANÇAMENTOS DIÁRIOS'!$P$5:$P$500,"&gt;=126400")&gt;0,"X","")</f>
      </c>
      <c r="W57" s="56" t="str">
        <f>IF(COUNTIFS('LANÇAMENTOS DIÁRIOS'!$G$5:$G$500,"H",'LANÇAMENTOS DIÁRIOS'!$C$5:$C$500,$A57,'LANÇAMENTOS DIÁRIOS'!$O$5:$O$500,"&lt;=126599",'LANÇAMENTOS DIÁRIOS'!$P$5:$P$500,"&gt;=126500")&gt;0,"X","")</f>
      </c>
      <c r="X57" s="56" t="str">
        <f>IF(COUNTIFS('LANÇAMENTOS DIÁRIOS'!$G$5:$G$500,"H",'LANÇAMENTOS DIÁRIOS'!$C$5:$C$500,$A57,'LANÇAMENTOS DIÁRIOS'!$O$5:$O$500,"&lt;=126699",'LANÇAMENTOS DIÁRIOS'!$P$5:$P$500,"&gt;=126600")&gt;0,"X","")</f>
      </c>
      <c r="Y57" s="56" t="str">
        <f>IF(COUNTIFS('LANÇAMENTOS DIÁRIOS'!$G$5:$G$500,"H",'LANÇAMENTOS DIÁRIOS'!$C$5:$C$500,$A57,'LANÇAMENTOS DIÁRIOS'!$O$5:$O$500,"&lt;=126799",'LANÇAMENTOS DIÁRIOS'!$P$5:$P$500,"&gt;=126700")&gt;0,"X","")</f>
      </c>
      <c r="Z57" s="56" t="str">
        <f>IF(COUNTIFS('LANÇAMENTOS DIÁRIOS'!$G$5:$G$500,"H",'LANÇAMENTOS DIÁRIOS'!$C$5:$C$500,$A57,'LANÇAMENTOS DIÁRIOS'!$O$5:$O$500,"&lt;=126899",'LANÇAMENTOS DIÁRIOS'!$P$5:$P$500,"&gt;=126800")&gt;0,"X","")</f>
      </c>
      <c r="AA57" s="56" t="str">
        <f>IF(COUNTIFS('LANÇAMENTOS DIÁRIOS'!$G$5:$G$500,"H",'LANÇAMENTOS DIÁRIOS'!$C$5:$C$500,$A57,'LANÇAMENTOS DIÁRIOS'!$O$5:$O$500,"&lt;=126999",'LANÇAMENTOS DIÁRIOS'!$P$5:$P$500,"&gt;=126900")&gt;0,"X","")</f>
      </c>
      <c r="AB57" s="56" t="str">
        <f>IF(COUNTIFS('LANÇAMENTOS DIÁRIOS'!$G$5:$G$500,"H",'LANÇAMENTOS DIÁRIOS'!$C$5:$C$500,$A57,'LANÇAMENTOS DIÁRIOS'!$O$5:$O$500,"&lt;=127099",'LANÇAMENTOS DIÁRIOS'!$P$5:$P$500,"&gt;=127000")&gt;0,"X","")</f>
      </c>
      <c r="AC57" s="56" t="str">
        <f>IF(COUNTIFS('LANÇAMENTOS DIÁRIOS'!$G$5:$G$500,"H",'LANÇAMENTOS DIÁRIOS'!$C$5:$C$500,$A57,'LANÇAMENTOS DIÁRIOS'!$O$5:$O$500,"&lt;=127199",'LANÇAMENTOS DIÁRIOS'!$P$5:$P$500,"&gt;=127100")&gt;0,"X","")</f>
      </c>
      <c r="AD57" s="56" t="str">
        <f>IF(COUNTIFS('LANÇAMENTOS DIÁRIOS'!$G$5:$G$500,"H",'LANÇAMENTOS DIÁRIOS'!$C$5:$C$500,$A57,'LANÇAMENTOS DIÁRIOS'!$O$5:$O$500,"&lt;=127299",'LANÇAMENTOS DIÁRIOS'!$P$5:$P$500,"&gt;=127200")&gt;0,"X","")</f>
      </c>
      <c r="AE57" s="56" t="str">
        <f>IF(COUNTIFS('LANÇAMENTOS DIÁRIOS'!$G$5:$G$500,"H",'LANÇAMENTOS DIÁRIOS'!$C$5:$C$500,$A57,'LANÇAMENTOS DIÁRIOS'!$O$5:$O$500,"&lt;=127399",'LANÇAMENTOS DIÁRIOS'!$P$5:$P$500,"&gt;=127300")&gt;0,"X","")</f>
      </c>
      <c r="AF57" s="56" t="str">
        <f>IF(COUNTIFS('LANÇAMENTOS DIÁRIOS'!$G$5:$G$500,"H",'LANÇAMENTOS DIÁRIOS'!$C$5:$C$500,$A57,'LANÇAMENTOS DIÁRIOS'!$O$5:$O$500,"&lt;=127499",'LANÇAMENTOS DIÁRIOS'!$P$5:$P$500,"&gt;=127400")&gt;0,"X","")</f>
      </c>
      <c r="AG57" s="56" t="str">
        <f>IF(COUNTIFS('LANÇAMENTOS DIÁRIOS'!$G$5:$G$500,"H",'LANÇAMENTOS DIÁRIOS'!$C$5:$C$500,$A57,'LANÇAMENTOS DIÁRIOS'!$O$5:$O$500,"&lt;=127599",'LANÇAMENTOS DIÁRIOS'!$P$5:$P$500,"&gt;=127500")&gt;0,"X","")</f>
      </c>
      <c r="AH57" s="56" t="str">
        <f>IF(COUNTIFS('LANÇAMENTOS DIÁRIOS'!$G$5:$G$500,"H",'LANÇAMENTOS DIÁRIOS'!$C$5:$C$500,$A57,'LANÇAMENTOS DIÁRIOS'!$O$5:$O$500,"&lt;=127699",'LANÇAMENTOS DIÁRIOS'!$P$5:$P$500,"&gt;=127600")&gt;0,"X","")</f>
      </c>
      <c r="AI57" s="56" t="str">
        <f>IF(COUNTIFS('LANÇAMENTOS DIÁRIOS'!$G$5:$G$500,"H",'LANÇAMENTOS DIÁRIOS'!$C$5:$C$500,$A57,'LANÇAMENTOS DIÁRIOS'!$O$5:$O$500,"&lt;=127799",'LANÇAMENTOS DIÁRIOS'!$P$5:$P$500,"&gt;=127700")&gt;0,"X","")</f>
      </c>
      <c r="AJ57" s="56" t="str">
        <f>IF(COUNTIFS('LANÇAMENTOS DIÁRIOS'!$G$5:$G$500,"H",'LANÇAMENTOS DIÁRIOS'!$C$5:$C$500,$A57,'LANÇAMENTOS DIÁRIOS'!$O$5:$O$500,"&lt;=127899",'LANÇAMENTOS DIÁRIOS'!$P$5:$P$500,"&gt;=127800")&gt;0,"X","")</f>
      </c>
      <c r="AK57" s="56" t="str">
        <f>IF(COUNTIFS('LANÇAMENTOS DIÁRIOS'!$G$5:$G$500,"H",'LANÇAMENTOS DIÁRIOS'!$C$5:$C$500,$A57,'LANÇAMENTOS DIÁRIOS'!$O$5:$O$500,"&lt;=127999",'LANÇAMENTOS DIÁRIOS'!$P$5:$P$500,"&gt;=127900")&gt;0,"X","")</f>
      </c>
      <c r="AL57" s="56" t="str">
        <f>IF(COUNTIFS('LANÇAMENTOS DIÁRIOS'!$G$5:$G$500,"H",'LANÇAMENTOS DIÁRIOS'!$C$5:$C$500,$A57,'LANÇAMENTOS DIÁRIOS'!$O$5:$O$500,"&lt;=128099",'LANÇAMENTOS DIÁRIOS'!$P$5:$P$500,"&gt;=128000")&gt;0,"X","")</f>
      </c>
      <c r="AM57" s="56" t="str">
        <f>IF(COUNTIFS('LANÇAMENTOS DIÁRIOS'!$G$5:$G$500,"H",'LANÇAMENTOS DIÁRIOS'!$C$5:$C$500,$A57,'LANÇAMENTOS DIÁRIOS'!$O$5:$O$500,"&lt;=128199",'LANÇAMENTOS DIÁRIOS'!$P$5:$P$500,"&gt;=128100")&gt;0,"X","")</f>
      </c>
      <c r="AN57" s="56" t="str">
        <f>IF(COUNTIFS('LANÇAMENTOS DIÁRIOS'!$G$5:$G$500,"H",'LANÇAMENTOS DIÁRIOS'!$C$5:$C$500,$A57,'LANÇAMENTOS DIÁRIOS'!$O$5:$O$500,"&lt;=128299",'LANÇAMENTOS DIÁRIOS'!$P$5:$P$500,"&gt;=128200")&gt;0,"X","")</f>
      </c>
      <c r="AO57" s="56" t="str">
        <f>IF(COUNTIFS('LANÇAMENTOS DIÁRIOS'!$G$5:$G$500,"H",'LANÇAMENTOS DIÁRIOS'!$C$5:$C$500,$A57,'LANÇAMENTOS DIÁRIOS'!$O$5:$O$500,"&lt;=128399",'LANÇAMENTOS DIÁRIOS'!$P$5:$P$500,"&gt;=128300")&gt;0,"X","")</f>
      </c>
      <c r="AP57" s="56" t="str">
        <f>IF(COUNTIFS('LANÇAMENTOS DIÁRIOS'!$G$5:$G$500,"H",'LANÇAMENTOS DIÁRIOS'!$C$5:$C$500,$A57,'LANÇAMENTOS DIÁRIOS'!$O$5:$O$500,"&lt;=128499",'LANÇAMENTOS DIÁRIOS'!$P$5:$P$500,"&gt;=128400")&gt;0,"X","")</f>
      </c>
      <c r="AQ57" s="56" t="str">
        <f>IF(COUNTIFS('LANÇAMENTOS DIÁRIOS'!$G$5:$G$500,"H",'LANÇAMENTOS DIÁRIOS'!$C$5:$C$500,$A57,'LANÇAMENTOS DIÁRIOS'!$O$5:$O$500,"&lt;=128599",'LANÇAMENTOS DIÁRIOS'!$P$5:$P$500,"&gt;=128500")&gt;0,"X","")</f>
      </c>
      <c r="AR57" s="56" t="str">
        <f>IF(COUNTIFS('LANÇAMENTOS DIÁRIOS'!$G$5:$G$500,"H",'LANÇAMENTOS DIÁRIOS'!$C$5:$C$500,$A57,'LANÇAMENTOS DIÁRIOS'!$O$5:$O$500,"&lt;=128699",'LANÇAMENTOS DIÁRIOS'!$P$5:$P$500,"&gt;=128600")&gt;0,"X","")</f>
      </c>
      <c r="AS57" s="56" t="str">
        <f>IF(COUNTIFS('LANÇAMENTOS DIÁRIOS'!$G$5:$G$500,"H",'LANÇAMENTOS DIÁRIOS'!$C$5:$C$500,$A57,'LANÇAMENTOS DIÁRIOS'!$O$5:$O$500,"&lt;=128799",'LANÇAMENTOS DIÁRIOS'!$P$5:$P$500,"&gt;=128700")&gt;0,"X","")</f>
      </c>
      <c r="AT57" s="56" t="str">
        <f>IF(COUNTIFS('LANÇAMENTOS DIÁRIOS'!$G$5:$G$500,"H",'LANÇAMENTOS DIÁRIOS'!$C$5:$C$500,$A57,'LANÇAMENTOS DIÁRIOS'!$O$5:$O$500,"&lt;=128899",'LANÇAMENTOS DIÁRIOS'!$P$5:$P$500,"&gt;=128800")&gt;0,"X","")</f>
      </c>
      <c r="AU57" s="56" t="str">
        <f>IF(COUNTIFS('LANÇAMENTOS DIÁRIOS'!$G$5:$G$500,"H",'LANÇAMENTOS DIÁRIOS'!$C$5:$C$500,$A57,'LANÇAMENTOS DIÁRIOS'!$O$5:$O$500,"&lt;=128999",'LANÇAMENTOS DIÁRIOS'!$P$5:$P$500,"&gt;=128900")&gt;0,"X","")</f>
      </c>
      <c r="AV57" s="56" t="str">
        <f>IF(COUNTIFS('LANÇAMENTOS DIÁRIOS'!$G$5:$G$500,"H",'LANÇAMENTOS DIÁRIOS'!$C$5:$C$500,$A57,'LANÇAMENTOS DIÁRIOS'!$O$5:$O$500,"&lt;=129099",'LANÇAMENTOS DIÁRIOS'!$P$5:$P$500,"&gt;=129000")&gt;0,"X","")</f>
      </c>
      <c r="AW57" s="56" t="str">
        <f>IF(COUNTIFS('LANÇAMENTOS DIÁRIOS'!$G$5:$G$500,"H",'LANÇAMENTOS DIÁRIOS'!$C$5:$C$500,$A57,'LANÇAMENTOS DIÁRIOS'!$O$5:$O$500,"&lt;=129199",'LANÇAMENTOS DIÁRIOS'!$P$5:$P$500,"&gt;=129100")&gt;0,"X","")</f>
      </c>
      <c r="AX57" s="56" t="str">
        <f>IF(COUNTIFS('LANÇAMENTOS DIÁRIOS'!$G$5:$G$500,"H",'LANÇAMENTOS DIÁRIOS'!$C$5:$C$500,$A57,'LANÇAMENTOS DIÁRIOS'!$O$5:$O$500,"&lt;=129299",'LANÇAMENTOS DIÁRIOS'!$P$5:$P$500,"&gt;=129200")&gt;0,"X","")</f>
      </c>
      <c r="AY57" s="56" t="str">
        <f>IF(COUNTIFS('LANÇAMENTOS DIÁRIOS'!$G$5:$G$500,"H",'LANÇAMENTOS DIÁRIOS'!$C$5:$C$500,$A57,'LANÇAMENTOS DIÁRIOS'!$O$5:$O$500,"&lt;=129399",'LANÇAMENTOS DIÁRIOS'!$P$5:$P$500,"&gt;=129300")&gt;0,"X","")</f>
      </c>
      <c r="AZ57" s="56" t="str">
        <f>IF(COUNTIFS('LANÇAMENTOS DIÁRIOS'!$G$5:$G$500,"H",'LANÇAMENTOS DIÁRIOS'!$C$5:$C$500,$A57,'LANÇAMENTOS DIÁRIOS'!$O$5:$O$500,"&lt;=129400",'LANÇAMENTOS DIÁRIOS'!$P$5:$P$500,"&gt;=129400")&gt;0,"X","")</f>
      </c>
    </row>
    <row r="58">
      <c r="A58" s="51" t="str">
        <v>Rede metálica de alta resistência StellGrid HR 100 ou Similiar (Perfuração e instalação)</v>
      </c>
      <c r="B58" s="56" t="str">
        <f>IF(COUNTIFS('LANÇAMENTOS DIÁRIOS'!$G$5:$G$500,"H",'LANÇAMENTOS DIÁRIOS'!$C$5:$C$500,$A58,'LANÇAMENTOS DIÁRIOS'!$O$5:$O$500,"&lt;=124499",'LANÇAMENTOS DIÁRIOS'!$P$5:$P$500,"&gt;=124400")&gt;0,"X","")</f>
      </c>
      <c r="C58" s="56" t="str">
        <f>IF(COUNTIFS('LANÇAMENTOS DIÁRIOS'!$G$5:$G$500,"H",'LANÇAMENTOS DIÁRIOS'!$C$5:$C$500,$A58,'LANÇAMENTOS DIÁRIOS'!$O$5:$O$500,"&lt;=124599",'LANÇAMENTOS DIÁRIOS'!$P$5:$P$500,"&gt;=124500")&gt;0,"X","")</f>
      </c>
      <c r="D58" s="56" t="str">
        <f>IF(COUNTIFS('LANÇAMENTOS DIÁRIOS'!$G$5:$G$500,"H",'LANÇAMENTOS DIÁRIOS'!$C$5:$C$500,$A58,'LANÇAMENTOS DIÁRIOS'!$O$5:$O$500,"&lt;=124699",'LANÇAMENTOS DIÁRIOS'!$P$5:$P$500,"&gt;=124600")&gt;0,"X","")</f>
      </c>
      <c r="E58" s="56" t="str">
        <f>IF(COUNTIFS('LANÇAMENTOS DIÁRIOS'!$G$5:$G$500,"H",'LANÇAMENTOS DIÁRIOS'!$C$5:$C$500,$A58,'LANÇAMENTOS DIÁRIOS'!$O$5:$O$500,"&lt;=124799",'LANÇAMENTOS DIÁRIOS'!$P$5:$P$500,"&gt;=124700")&gt;0,"X","")</f>
      </c>
      <c r="F58" s="56" t="str">
        <f>IF(COUNTIFS('LANÇAMENTOS DIÁRIOS'!$G$5:$G$500,"H",'LANÇAMENTOS DIÁRIOS'!$C$5:$C$500,$A58,'LANÇAMENTOS DIÁRIOS'!$O$5:$O$500,"&lt;=124899",'LANÇAMENTOS DIÁRIOS'!$P$5:$P$500,"&gt;=124800")&gt;0,"X","")</f>
      </c>
      <c r="G58" s="56" t="str">
        <f>IF(COUNTIFS('LANÇAMENTOS DIÁRIOS'!$G$5:$G$500,"H",'LANÇAMENTOS DIÁRIOS'!$C$5:$C$500,$A58,'LANÇAMENTOS DIÁRIOS'!$O$5:$O$500,"&lt;=124999",'LANÇAMENTOS DIÁRIOS'!$P$5:$P$500,"&gt;=124900")&gt;0,"X","")</f>
      </c>
      <c r="H58" s="56" t="str">
        <f>IF(COUNTIFS('LANÇAMENTOS DIÁRIOS'!$G$5:$G$500,"H",'LANÇAMENTOS DIÁRIOS'!$C$5:$C$500,$A58,'LANÇAMENTOS DIÁRIOS'!$O$5:$O$500,"&lt;=125099",'LANÇAMENTOS DIÁRIOS'!$P$5:$P$500,"&gt;=125000")&gt;0,"X","")</f>
      </c>
      <c r="I58" s="56" t="str">
        <f>IF(COUNTIFS('LANÇAMENTOS DIÁRIOS'!$G$5:$G$500,"H",'LANÇAMENTOS DIÁRIOS'!$C$5:$C$500,$A58,'LANÇAMENTOS DIÁRIOS'!$O$5:$O$500,"&lt;=125199",'LANÇAMENTOS DIÁRIOS'!$P$5:$P$500,"&gt;=125100")&gt;0,"X","")</f>
      </c>
      <c r="J58" s="56" t="str">
        <f>IF(COUNTIFS('LANÇAMENTOS DIÁRIOS'!$G$5:$G$500,"H",'LANÇAMENTOS DIÁRIOS'!$C$5:$C$500,$A58,'LANÇAMENTOS DIÁRIOS'!$O$5:$O$500,"&lt;=125299",'LANÇAMENTOS DIÁRIOS'!$P$5:$P$500,"&gt;=125200")&gt;0,"X","")</f>
      </c>
      <c r="K58" s="56" t="str">
        <f>IF(COUNTIFS('LANÇAMENTOS DIÁRIOS'!$G$5:$G$500,"H",'LANÇAMENTOS DIÁRIOS'!$C$5:$C$500,$A58,'LANÇAMENTOS DIÁRIOS'!$O$5:$O$500,"&lt;=125399",'LANÇAMENTOS DIÁRIOS'!$P$5:$P$500,"&gt;=125300")&gt;0,"X","")</f>
      </c>
      <c r="L58" s="56" t="str">
        <f>IF(COUNTIFS('LANÇAMENTOS DIÁRIOS'!$G$5:$G$500,"H",'LANÇAMENTOS DIÁRIOS'!$C$5:$C$500,$A58,'LANÇAMENTOS DIÁRIOS'!$O$5:$O$500,"&lt;=125499",'LANÇAMENTOS DIÁRIOS'!$P$5:$P$500,"&gt;=125400")&gt;0,"X","")</f>
      </c>
      <c r="M58" s="56" t="str">
        <f>IF(COUNTIFS('LANÇAMENTOS DIÁRIOS'!$G$5:$G$500,"H",'LANÇAMENTOS DIÁRIOS'!$C$5:$C$500,$A58,'LANÇAMENTOS DIÁRIOS'!$O$5:$O$500,"&lt;=125599",'LANÇAMENTOS DIÁRIOS'!$P$5:$P$500,"&gt;=125500")&gt;0,"X","")</f>
      </c>
      <c r="N58" s="56" t="str">
        <f>IF(COUNTIFS('LANÇAMENTOS DIÁRIOS'!$G$5:$G$500,"H",'LANÇAMENTOS DIÁRIOS'!$C$5:$C$500,$A58,'LANÇAMENTOS DIÁRIOS'!$O$5:$O$500,"&lt;=125699",'LANÇAMENTOS DIÁRIOS'!$P$5:$P$500,"&gt;=125600")&gt;0,"X","")</f>
      </c>
      <c r="O58" s="56" t="str">
        <f>IF(COUNTIFS('LANÇAMENTOS DIÁRIOS'!$G$5:$G$500,"H",'LANÇAMENTOS DIÁRIOS'!$C$5:$C$500,$A58,'LANÇAMENTOS DIÁRIOS'!$O$5:$O$500,"&lt;=125799",'LANÇAMENTOS DIÁRIOS'!$P$5:$P$500,"&gt;=125700")&gt;0,"X","")</f>
      </c>
      <c r="P58" s="56" t="str">
        <f>IF(COUNTIFS('LANÇAMENTOS DIÁRIOS'!$G$5:$G$500,"H",'LANÇAMENTOS DIÁRIOS'!$C$5:$C$500,$A58,'LANÇAMENTOS DIÁRIOS'!$O$5:$O$500,"&lt;=125899",'LANÇAMENTOS DIÁRIOS'!$P$5:$P$500,"&gt;=125800")&gt;0,"X","")</f>
      </c>
      <c r="Q58" s="56" t="str">
        <f>IF(COUNTIFS('LANÇAMENTOS DIÁRIOS'!$G$5:$G$500,"H",'LANÇAMENTOS DIÁRIOS'!$C$5:$C$500,$A58,'LANÇAMENTOS DIÁRIOS'!$O$5:$O$500,"&lt;=125999",'LANÇAMENTOS DIÁRIOS'!$P$5:$P$500,"&gt;=125900")&gt;0,"X","")</f>
      </c>
      <c r="R58" s="56" t="str">
        <f>IF(COUNTIFS('LANÇAMENTOS DIÁRIOS'!$G$5:$G$500,"H",'LANÇAMENTOS DIÁRIOS'!$C$5:$C$500,$A58,'LANÇAMENTOS DIÁRIOS'!$O$5:$O$500,"&lt;=126099",'LANÇAMENTOS DIÁRIOS'!$P$5:$P$500,"&gt;=126000")&gt;0,"X","")</f>
      </c>
      <c r="S58" s="56" t="str">
        <f>IF(COUNTIFS('LANÇAMENTOS DIÁRIOS'!$G$5:$G$500,"H",'LANÇAMENTOS DIÁRIOS'!$C$5:$C$500,$A58,'LANÇAMENTOS DIÁRIOS'!$O$5:$O$500,"&lt;=126199",'LANÇAMENTOS DIÁRIOS'!$P$5:$P$500,"&gt;=126100")&gt;0,"X","")</f>
      </c>
      <c r="T58" s="56" t="str">
        <f>IF(COUNTIFS('LANÇAMENTOS DIÁRIOS'!$G$5:$G$500,"H",'LANÇAMENTOS DIÁRIOS'!$C$5:$C$500,$A58,'LANÇAMENTOS DIÁRIOS'!$O$5:$O$500,"&lt;=126299",'LANÇAMENTOS DIÁRIOS'!$P$5:$P$500,"&gt;=126200")&gt;0,"X","")</f>
      </c>
      <c r="U58" s="56" t="str">
        <f>IF(COUNTIFS('LANÇAMENTOS DIÁRIOS'!$G$5:$G$500,"H",'LANÇAMENTOS DIÁRIOS'!$C$5:$C$500,$A58,'LANÇAMENTOS DIÁRIOS'!$O$5:$O$500,"&lt;=126399",'LANÇAMENTOS DIÁRIOS'!$P$5:$P$500,"&gt;=126300")&gt;0,"X","")</f>
      </c>
      <c r="V58" s="56" t="str">
        <f>IF(COUNTIFS('LANÇAMENTOS DIÁRIOS'!$G$5:$G$500,"H",'LANÇAMENTOS DIÁRIOS'!$C$5:$C$500,$A58,'LANÇAMENTOS DIÁRIOS'!$O$5:$O$500,"&lt;=126499",'LANÇAMENTOS DIÁRIOS'!$P$5:$P$500,"&gt;=126400")&gt;0,"X","")</f>
      </c>
      <c r="W58" s="56" t="str">
        <f>IF(COUNTIFS('LANÇAMENTOS DIÁRIOS'!$G$5:$G$500,"H",'LANÇAMENTOS DIÁRIOS'!$C$5:$C$500,$A58,'LANÇAMENTOS DIÁRIOS'!$O$5:$O$500,"&lt;=126599",'LANÇAMENTOS DIÁRIOS'!$P$5:$P$500,"&gt;=126500")&gt;0,"X","")</f>
      </c>
      <c r="X58" s="56" t="str">
        <f>IF(COUNTIFS('LANÇAMENTOS DIÁRIOS'!$G$5:$G$500,"H",'LANÇAMENTOS DIÁRIOS'!$C$5:$C$500,$A58,'LANÇAMENTOS DIÁRIOS'!$O$5:$O$500,"&lt;=126699",'LANÇAMENTOS DIÁRIOS'!$P$5:$P$500,"&gt;=126600")&gt;0,"X","")</f>
      </c>
      <c r="Y58" s="56" t="str">
        <f>IF(COUNTIFS('LANÇAMENTOS DIÁRIOS'!$G$5:$G$500,"H",'LANÇAMENTOS DIÁRIOS'!$C$5:$C$500,$A58,'LANÇAMENTOS DIÁRIOS'!$O$5:$O$500,"&lt;=126799",'LANÇAMENTOS DIÁRIOS'!$P$5:$P$500,"&gt;=126700")&gt;0,"X","")</f>
      </c>
      <c r="Z58" s="56" t="str">
        <f>IF(COUNTIFS('LANÇAMENTOS DIÁRIOS'!$G$5:$G$500,"H",'LANÇAMENTOS DIÁRIOS'!$C$5:$C$500,$A58,'LANÇAMENTOS DIÁRIOS'!$O$5:$O$500,"&lt;=126899",'LANÇAMENTOS DIÁRIOS'!$P$5:$P$500,"&gt;=126800")&gt;0,"X","")</f>
      </c>
      <c r="AA58" s="56" t="str">
        <f>IF(COUNTIFS('LANÇAMENTOS DIÁRIOS'!$G$5:$G$500,"H",'LANÇAMENTOS DIÁRIOS'!$C$5:$C$500,$A58,'LANÇAMENTOS DIÁRIOS'!$O$5:$O$500,"&lt;=126999",'LANÇAMENTOS DIÁRIOS'!$P$5:$P$500,"&gt;=126900")&gt;0,"X","")</f>
      </c>
      <c r="AB58" s="56" t="str">
        <f>IF(COUNTIFS('LANÇAMENTOS DIÁRIOS'!$G$5:$G$500,"H",'LANÇAMENTOS DIÁRIOS'!$C$5:$C$500,$A58,'LANÇAMENTOS DIÁRIOS'!$O$5:$O$500,"&lt;=127099",'LANÇAMENTOS DIÁRIOS'!$P$5:$P$500,"&gt;=127000")&gt;0,"X","")</f>
      </c>
      <c r="AC58" s="56" t="str">
        <f>IF(COUNTIFS('LANÇAMENTOS DIÁRIOS'!$G$5:$G$500,"H",'LANÇAMENTOS DIÁRIOS'!$C$5:$C$500,$A58,'LANÇAMENTOS DIÁRIOS'!$O$5:$O$500,"&lt;=127199",'LANÇAMENTOS DIÁRIOS'!$P$5:$P$500,"&gt;=127100")&gt;0,"X","")</f>
      </c>
      <c r="AD58" s="56" t="str">
        <f>IF(COUNTIFS('LANÇAMENTOS DIÁRIOS'!$G$5:$G$500,"H",'LANÇAMENTOS DIÁRIOS'!$C$5:$C$500,$A58,'LANÇAMENTOS DIÁRIOS'!$O$5:$O$500,"&lt;=127299",'LANÇAMENTOS DIÁRIOS'!$P$5:$P$500,"&gt;=127200")&gt;0,"X","")</f>
      </c>
      <c r="AE58" s="56" t="str">
        <f>IF(COUNTIFS('LANÇAMENTOS DIÁRIOS'!$G$5:$G$500,"H",'LANÇAMENTOS DIÁRIOS'!$C$5:$C$500,$A58,'LANÇAMENTOS DIÁRIOS'!$O$5:$O$500,"&lt;=127399",'LANÇAMENTOS DIÁRIOS'!$P$5:$P$500,"&gt;=127300")&gt;0,"X","")</f>
      </c>
      <c r="AF58" s="56" t="str">
        <f>IF(COUNTIFS('LANÇAMENTOS DIÁRIOS'!$G$5:$G$500,"H",'LANÇAMENTOS DIÁRIOS'!$C$5:$C$500,$A58,'LANÇAMENTOS DIÁRIOS'!$O$5:$O$500,"&lt;=127499",'LANÇAMENTOS DIÁRIOS'!$P$5:$P$500,"&gt;=127400")&gt;0,"X","")</f>
      </c>
      <c r="AG58" s="56" t="str">
        <f>IF(COUNTIFS('LANÇAMENTOS DIÁRIOS'!$G$5:$G$500,"H",'LANÇAMENTOS DIÁRIOS'!$C$5:$C$500,$A58,'LANÇAMENTOS DIÁRIOS'!$O$5:$O$500,"&lt;=127599",'LANÇAMENTOS DIÁRIOS'!$P$5:$P$500,"&gt;=127500")&gt;0,"X","")</f>
      </c>
      <c r="AH58" s="56" t="str">
        <f>IF(COUNTIFS('LANÇAMENTOS DIÁRIOS'!$G$5:$G$500,"H",'LANÇAMENTOS DIÁRIOS'!$C$5:$C$500,$A58,'LANÇAMENTOS DIÁRIOS'!$O$5:$O$500,"&lt;=127699",'LANÇAMENTOS DIÁRIOS'!$P$5:$P$500,"&gt;=127600")&gt;0,"X","")</f>
      </c>
      <c r="AI58" s="56" t="str">
        <f>IF(COUNTIFS('LANÇAMENTOS DIÁRIOS'!$G$5:$G$500,"H",'LANÇAMENTOS DIÁRIOS'!$C$5:$C$500,$A58,'LANÇAMENTOS DIÁRIOS'!$O$5:$O$500,"&lt;=127799",'LANÇAMENTOS DIÁRIOS'!$P$5:$P$500,"&gt;=127700")&gt;0,"X","")</f>
      </c>
      <c r="AJ58" s="56" t="str">
        <f>IF(COUNTIFS('LANÇAMENTOS DIÁRIOS'!$G$5:$G$500,"H",'LANÇAMENTOS DIÁRIOS'!$C$5:$C$500,$A58,'LANÇAMENTOS DIÁRIOS'!$O$5:$O$500,"&lt;=127899",'LANÇAMENTOS DIÁRIOS'!$P$5:$P$500,"&gt;=127800")&gt;0,"X","")</f>
      </c>
      <c r="AK58" s="56" t="str">
        <f>IF(COUNTIFS('LANÇAMENTOS DIÁRIOS'!$G$5:$G$500,"H",'LANÇAMENTOS DIÁRIOS'!$C$5:$C$500,$A58,'LANÇAMENTOS DIÁRIOS'!$O$5:$O$500,"&lt;=127999",'LANÇAMENTOS DIÁRIOS'!$P$5:$P$500,"&gt;=127900")&gt;0,"X","")</f>
      </c>
      <c r="AL58" s="56" t="str">
        <f>IF(COUNTIFS('LANÇAMENTOS DIÁRIOS'!$G$5:$G$500,"H",'LANÇAMENTOS DIÁRIOS'!$C$5:$C$500,$A58,'LANÇAMENTOS DIÁRIOS'!$O$5:$O$500,"&lt;=128099",'LANÇAMENTOS DIÁRIOS'!$P$5:$P$500,"&gt;=128000")&gt;0,"X","")</f>
      </c>
      <c r="AM58" s="56" t="str">
        <f>IF(COUNTIFS('LANÇAMENTOS DIÁRIOS'!$G$5:$G$500,"H",'LANÇAMENTOS DIÁRIOS'!$C$5:$C$500,$A58,'LANÇAMENTOS DIÁRIOS'!$O$5:$O$500,"&lt;=128199",'LANÇAMENTOS DIÁRIOS'!$P$5:$P$500,"&gt;=128100")&gt;0,"X","")</f>
      </c>
      <c r="AN58" s="56" t="str">
        <f>IF(COUNTIFS('LANÇAMENTOS DIÁRIOS'!$G$5:$G$500,"H",'LANÇAMENTOS DIÁRIOS'!$C$5:$C$500,$A58,'LANÇAMENTOS DIÁRIOS'!$O$5:$O$500,"&lt;=128299",'LANÇAMENTOS DIÁRIOS'!$P$5:$P$500,"&gt;=128200")&gt;0,"X","")</f>
      </c>
      <c r="AO58" s="56" t="str">
        <f>IF(COUNTIFS('LANÇAMENTOS DIÁRIOS'!$G$5:$G$500,"H",'LANÇAMENTOS DIÁRIOS'!$C$5:$C$500,$A58,'LANÇAMENTOS DIÁRIOS'!$O$5:$O$500,"&lt;=128399",'LANÇAMENTOS DIÁRIOS'!$P$5:$P$500,"&gt;=128300")&gt;0,"X","")</f>
      </c>
      <c r="AP58" s="56" t="str">
        <f>IF(COUNTIFS('LANÇAMENTOS DIÁRIOS'!$G$5:$G$500,"H",'LANÇAMENTOS DIÁRIOS'!$C$5:$C$500,$A58,'LANÇAMENTOS DIÁRIOS'!$O$5:$O$500,"&lt;=128499",'LANÇAMENTOS DIÁRIOS'!$P$5:$P$500,"&gt;=128400")&gt;0,"X","")</f>
      </c>
      <c r="AQ58" s="56" t="str">
        <f>IF(COUNTIFS('LANÇAMENTOS DIÁRIOS'!$G$5:$G$500,"H",'LANÇAMENTOS DIÁRIOS'!$C$5:$C$500,$A58,'LANÇAMENTOS DIÁRIOS'!$O$5:$O$500,"&lt;=128599",'LANÇAMENTOS DIÁRIOS'!$P$5:$P$500,"&gt;=128500")&gt;0,"X","")</f>
      </c>
      <c r="AR58" s="56" t="str">
        <f>IF(COUNTIFS('LANÇAMENTOS DIÁRIOS'!$G$5:$G$500,"H",'LANÇAMENTOS DIÁRIOS'!$C$5:$C$500,$A58,'LANÇAMENTOS DIÁRIOS'!$O$5:$O$500,"&lt;=128699",'LANÇAMENTOS DIÁRIOS'!$P$5:$P$500,"&gt;=128600")&gt;0,"X","")</f>
      </c>
      <c r="AS58" s="56" t="str">
        <f>IF(COUNTIFS('LANÇAMENTOS DIÁRIOS'!$G$5:$G$500,"H",'LANÇAMENTOS DIÁRIOS'!$C$5:$C$500,$A58,'LANÇAMENTOS DIÁRIOS'!$O$5:$O$500,"&lt;=128799",'LANÇAMENTOS DIÁRIOS'!$P$5:$P$500,"&gt;=128700")&gt;0,"X","")</f>
      </c>
      <c r="AT58" s="56" t="str">
        <f>IF(COUNTIFS('LANÇAMENTOS DIÁRIOS'!$G$5:$G$500,"H",'LANÇAMENTOS DIÁRIOS'!$C$5:$C$500,$A58,'LANÇAMENTOS DIÁRIOS'!$O$5:$O$500,"&lt;=128899",'LANÇAMENTOS DIÁRIOS'!$P$5:$P$500,"&gt;=128800")&gt;0,"X","")</f>
      </c>
      <c r="AU58" s="56" t="str">
        <f>IF(COUNTIFS('LANÇAMENTOS DIÁRIOS'!$G$5:$G$500,"H",'LANÇAMENTOS DIÁRIOS'!$C$5:$C$500,$A58,'LANÇAMENTOS DIÁRIOS'!$O$5:$O$500,"&lt;=128999",'LANÇAMENTOS DIÁRIOS'!$P$5:$P$500,"&gt;=128900")&gt;0,"X","")</f>
      </c>
      <c r="AV58" s="56" t="str">
        <f>IF(COUNTIFS('LANÇAMENTOS DIÁRIOS'!$G$5:$G$500,"H",'LANÇAMENTOS DIÁRIOS'!$C$5:$C$500,$A58,'LANÇAMENTOS DIÁRIOS'!$O$5:$O$500,"&lt;=129099",'LANÇAMENTOS DIÁRIOS'!$P$5:$P$500,"&gt;=129000")&gt;0,"X","")</f>
      </c>
      <c r="AW58" s="56" t="str">
        <f>IF(COUNTIFS('LANÇAMENTOS DIÁRIOS'!$G$5:$G$500,"H",'LANÇAMENTOS DIÁRIOS'!$C$5:$C$500,$A58,'LANÇAMENTOS DIÁRIOS'!$O$5:$O$500,"&lt;=129199",'LANÇAMENTOS DIÁRIOS'!$P$5:$P$500,"&gt;=129100")&gt;0,"X","")</f>
      </c>
      <c r="AX58" s="56" t="str">
        <f>IF(COUNTIFS('LANÇAMENTOS DIÁRIOS'!$G$5:$G$500,"H",'LANÇAMENTOS DIÁRIOS'!$C$5:$C$500,$A58,'LANÇAMENTOS DIÁRIOS'!$O$5:$O$500,"&lt;=129299",'LANÇAMENTOS DIÁRIOS'!$P$5:$P$500,"&gt;=129200")&gt;0,"X","")</f>
      </c>
      <c r="AY58" s="56" t="str">
        <f>IF(COUNTIFS('LANÇAMENTOS DIÁRIOS'!$G$5:$G$500,"H",'LANÇAMENTOS DIÁRIOS'!$C$5:$C$500,$A58,'LANÇAMENTOS DIÁRIOS'!$O$5:$O$500,"&lt;=129399",'LANÇAMENTOS DIÁRIOS'!$P$5:$P$500,"&gt;=129300")&gt;0,"X","")</f>
      </c>
      <c r="AZ58" s="56" t="str">
        <f>IF(COUNTIFS('LANÇAMENTOS DIÁRIOS'!$G$5:$G$500,"H",'LANÇAMENTOS DIÁRIOS'!$C$5:$C$500,$A58,'LANÇAMENTOS DIÁRIOS'!$O$5:$O$500,"&lt;=129400",'LANÇAMENTOS DIÁRIOS'!$P$5:$P$500,"&gt;=129400")&gt;0,"X","")</f>
      </c>
    </row>
    <row r="59" ht="19" customHeight="1">
      <c r="A59" s="68" t="str">
        <v>Construção do subleito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</row>
    <row r="60">
      <c r="A60" s="51" t="str">
        <v>Regularização do subleito</v>
      </c>
      <c r="B60" s="56" t="str">
        <f>IF(COUNTIFS('LANÇAMENTOS DIÁRIOS'!$G$5:$G$500,"H",'LANÇAMENTOS DIÁRIOS'!$C$5:$C$500,$A60,'LANÇAMENTOS DIÁRIOS'!$O$5:$O$500,"&lt;=124499",'LANÇAMENTOS DIÁRIOS'!$P$5:$P$500,"&gt;=124400")&gt;0,"X","")</f>
      </c>
      <c r="C60" s="56" t="str">
        <f>IF(COUNTIFS('LANÇAMENTOS DIÁRIOS'!$G$5:$G$500,"H",'LANÇAMENTOS DIÁRIOS'!$C$5:$C$500,$A60,'LANÇAMENTOS DIÁRIOS'!$O$5:$O$500,"&lt;=124599",'LANÇAMENTOS DIÁRIOS'!$P$5:$P$500,"&gt;=124500")&gt;0,"X","")</f>
      </c>
      <c r="D60" s="56" t="str">
        <f>IF(COUNTIFS('LANÇAMENTOS DIÁRIOS'!$G$5:$G$500,"H",'LANÇAMENTOS DIÁRIOS'!$C$5:$C$500,$A60,'LANÇAMENTOS DIÁRIOS'!$O$5:$O$500,"&lt;=124699",'LANÇAMENTOS DIÁRIOS'!$P$5:$P$500,"&gt;=124600")&gt;0,"X","")</f>
      </c>
      <c r="E60" s="56" t="str">
        <f>IF(COUNTIFS('LANÇAMENTOS DIÁRIOS'!$G$5:$G$500,"H",'LANÇAMENTOS DIÁRIOS'!$C$5:$C$500,$A60,'LANÇAMENTOS DIÁRIOS'!$O$5:$O$500,"&lt;=124799",'LANÇAMENTOS DIÁRIOS'!$P$5:$P$500,"&gt;=124700")&gt;0,"X","")</f>
      </c>
      <c r="F60" s="56" t="str">
        <f>IF(COUNTIFS('LANÇAMENTOS DIÁRIOS'!$G$5:$G$500,"H",'LANÇAMENTOS DIÁRIOS'!$C$5:$C$500,$A60,'LANÇAMENTOS DIÁRIOS'!$O$5:$O$500,"&lt;=124899",'LANÇAMENTOS DIÁRIOS'!$P$5:$P$500,"&gt;=124800")&gt;0,"X","")</f>
      </c>
      <c r="G60" s="56" t="str">
        <f>IF(COUNTIFS('LANÇAMENTOS DIÁRIOS'!$G$5:$G$500,"H",'LANÇAMENTOS DIÁRIOS'!$C$5:$C$500,$A60,'LANÇAMENTOS DIÁRIOS'!$O$5:$O$500,"&lt;=124999",'LANÇAMENTOS DIÁRIOS'!$P$5:$P$500,"&gt;=124900")&gt;0,"X","")</f>
      </c>
      <c r="H60" s="56" t="str">
        <f>IF(COUNTIFS('LANÇAMENTOS DIÁRIOS'!$G$5:$G$500,"H",'LANÇAMENTOS DIÁRIOS'!$C$5:$C$500,$A60,'LANÇAMENTOS DIÁRIOS'!$O$5:$O$500,"&lt;=125099",'LANÇAMENTOS DIÁRIOS'!$P$5:$P$500,"&gt;=125000")&gt;0,"X","")</f>
      </c>
      <c r="I60" s="56" t="str">
        <f>IF(COUNTIFS('LANÇAMENTOS DIÁRIOS'!$G$5:$G$500,"H",'LANÇAMENTOS DIÁRIOS'!$C$5:$C$500,$A60,'LANÇAMENTOS DIÁRIOS'!$O$5:$O$500,"&lt;=125199",'LANÇAMENTOS DIÁRIOS'!$P$5:$P$500,"&gt;=125100")&gt;0,"X","")</f>
      </c>
      <c r="J60" s="56" t="str">
        <f>IF(COUNTIFS('LANÇAMENTOS DIÁRIOS'!$G$5:$G$500,"H",'LANÇAMENTOS DIÁRIOS'!$C$5:$C$500,$A60,'LANÇAMENTOS DIÁRIOS'!$O$5:$O$500,"&lt;=125299",'LANÇAMENTOS DIÁRIOS'!$P$5:$P$500,"&gt;=125200")&gt;0,"X","")</f>
      </c>
      <c r="K60" s="56" t="str">
        <f>IF(COUNTIFS('LANÇAMENTOS DIÁRIOS'!$G$5:$G$500,"H",'LANÇAMENTOS DIÁRIOS'!$C$5:$C$500,$A60,'LANÇAMENTOS DIÁRIOS'!$O$5:$O$500,"&lt;=125399",'LANÇAMENTOS DIÁRIOS'!$P$5:$P$500,"&gt;=125300")&gt;0,"X","")</f>
      </c>
      <c r="L60" s="56" t="str">
        <f>IF(COUNTIFS('LANÇAMENTOS DIÁRIOS'!$G$5:$G$500,"H",'LANÇAMENTOS DIÁRIOS'!$C$5:$C$500,$A60,'LANÇAMENTOS DIÁRIOS'!$O$5:$O$500,"&lt;=125499",'LANÇAMENTOS DIÁRIOS'!$P$5:$P$500,"&gt;=125400")&gt;0,"X","")</f>
      </c>
      <c r="M60" s="56" t="str">
        <f>IF(COUNTIFS('LANÇAMENTOS DIÁRIOS'!$G$5:$G$500,"H",'LANÇAMENTOS DIÁRIOS'!$C$5:$C$500,$A60,'LANÇAMENTOS DIÁRIOS'!$O$5:$O$500,"&lt;=125599",'LANÇAMENTOS DIÁRIOS'!$P$5:$P$500,"&gt;=125500")&gt;0,"X","")</f>
      </c>
      <c r="N60" s="56" t="str">
        <f>IF(COUNTIFS('LANÇAMENTOS DIÁRIOS'!$G$5:$G$500,"H",'LANÇAMENTOS DIÁRIOS'!$C$5:$C$500,$A60,'LANÇAMENTOS DIÁRIOS'!$O$5:$O$500,"&lt;=125699",'LANÇAMENTOS DIÁRIOS'!$P$5:$P$500,"&gt;=125600")&gt;0,"X","")</f>
      </c>
      <c r="O60" s="56" t="str">
        <f>IF(COUNTIFS('LANÇAMENTOS DIÁRIOS'!$G$5:$G$500,"H",'LANÇAMENTOS DIÁRIOS'!$C$5:$C$500,$A60,'LANÇAMENTOS DIÁRIOS'!$O$5:$O$500,"&lt;=125799",'LANÇAMENTOS DIÁRIOS'!$P$5:$P$500,"&gt;=125700")&gt;0,"X","")</f>
      </c>
      <c r="P60" s="56" t="str">
        <f>IF(COUNTIFS('LANÇAMENTOS DIÁRIOS'!$G$5:$G$500,"H",'LANÇAMENTOS DIÁRIOS'!$C$5:$C$500,$A60,'LANÇAMENTOS DIÁRIOS'!$O$5:$O$500,"&lt;=125899",'LANÇAMENTOS DIÁRIOS'!$P$5:$P$500,"&gt;=125800")&gt;0,"X","")</f>
      </c>
      <c r="Q60" s="56" t="str">
        <f>IF(COUNTIFS('LANÇAMENTOS DIÁRIOS'!$G$5:$G$500,"H",'LANÇAMENTOS DIÁRIOS'!$C$5:$C$500,$A60,'LANÇAMENTOS DIÁRIOS'!$O$5:$O$500,"&lt;=125999",'LANÇAMENTOS DIÁRIOS'!$P$5:$P$500,"&gt;=125900")&gt;0,"X","")</f>
      </c>
      <c r="R60" s="56" t="str">
        <f>IF(COUNTIFS('LANÇAMENTOS DIÁRIOS'!$G$5:$G$500,"H",'LANÇAMENTOS DIÁRIOS'!$C$5:$C$500,$A60,'LANÇAMENTOS DIÁRIOS'!$O$5:$O$500,"&lt;=126099",'LANÇAMENTOS DIÁRIOS'!$P$5:$P$500,"&gt;=126000")&gt;0,"X","")</f>
      </c>
      <c r="S60" s="56" t="str">
        <f>IF(COUNTIFS('LANÇAMENTOS DIÁRIOS'!$G$5:$G$500,"H",'LANÇAMENTOS DIÁRIOS'!$C$5:$C$500,$A60,'LANÇAMENTOS DIÁRIOS'!$O$5:$O$500,"&lt;=126199",'LANÇAMENTOS DIÁRIOS'!$P$5:$P$500,"&gt;=126100")&gt;0,"X","")</f>
      </c>
      <c r="T60" s="56" t="str">
        <f>IF(COUNTIFS('LANÇAMENTOS DIÁRIOS'!$G$5:$G$500,"H",'LANÇAMENTOS DIÁRIOS'!$C$5:$C$500,$A60,'LANÇAMENTOS DIÁRIOS'!$O$5:$O$500,"&lt;=126299",'LANÇAMENTOS DIÁRIOS'!$P$5:$P$500,"&gt;=126200")&gt;0,"X","")</f>
      </c>
      <c r="U60" s="56" t="str">
        <f>IF(COUNTIFS('LANÇAMENTOS DIÁRIOS'!$G$5:$G$500,"H",'LANÇAMENTOS DIÁRIOS'!$C$5:$C$500,$A60,'LANÇAMENTOS DIÁRIOS'!$O$5:$O$500,"&lt;=126399",'LANÇAMENTOS DIÁRIOS'!$P$5:$P$500,"&gt;=126300")&gt;0,"X","")</f>
      </c>
      <c r="V60" s="56" t="str">
        <f>IF(COUNTIFS('LANÇAMENTOS DIÁRIOS'!$G$5:$G$500,"H",'LANÇAMENTOS DIÁRIOS'!$C$5:$C$500,$A60,'LANÇAMENTOS DIÁRIOS'!$O$5:$O$500,"&lt;=126499",'LANÇAMENTOS DIÁRIOS'!$P$5:$P$500,"&gt;=126400")&gt;0,"X","")</f>
      </c>
      <c r="W60" s="56" t="str">
        <f>IF(COUNTIFS('LANÇAMENTOS DIÁRIOS'!$G$5:$G$500,"H",'LANÇAMENTOS DIÁRIOS'!$C$5:$C$500,$A60,'LANÇAMENTOS DIÁRIOS'!$O$5:$O$500,"&lt;=126599",'LANÇAMENTOS DIÁRIOS'!$P$5:$P$500,"&gt;=126500")&gt;0,"X","")</f>
      </c>
      <c r="X60" s="56" t="str">
        <f>IF(COUNTIFS('LANÇAMENTOS DIÁRIOS'!$G$5:$G$500,"H",'LANÇAMENTOS DIÁRIOS'!$C$5:$C$500,$A60,'LANÇAMENTOS DIÁRIOS'!$O$5:$O$500,"&lt;=126699",'LANÇAMENTOS DIÁRIOS'!$P$5:$P$500,"&gt;=126600")&gt;0,"X","")</f>
      </c>
      <c r="Y60" s="56" t="str">
        <f>IF(COUNTIFS('LANÇAMENTOS DIÁRIOS'!$G$5:$G$500,"H",'LANÇAMENTOS DIÁRIOS'!$C$5:$C$500,$A60,'LANÇAMENTOS DIÁRIOS'!$O$5:$O$500,"&lt;=126799",'LANÇAMENTOS DIÁRIOS'!$P$5:$P$500,"&gt;=126700")&gt;0,"X","")</f>
      </c>
      <c r="Z60" s="56" t="str">
        <f>IF(COUNTIFS('LANÇAMENTOS DIÁRIOS'!$G$5:$G$500,"H",'LANÇAMENTOS DIÁRIOS'!$C$5:$C$500,$A60,'LANÇAMENTOS DIÁRIOS'!$O$5:$O$500,"&lt;=126899",'LANÇAMENTOS DIÁRIOS'!$P$5:$P$500,"&gt;=126800")&gt;0,"X","")</f>
      </c>
      <c r="AA60" s="56" t="str">
        <f>IF(COUNTIFS('LANÇAMENTOS DIÁRIOS'!$G$5:$G$500,"H",'LANÇAMENTOS DIÁRIOS'!$C$5:$C$500,$A60,'LANÇAMENTOS DIÁRIOS'!$O$5:$O$500,"&lt;=126999",'LANÇAMENTOS DIÁRIOS'!$P$5:$P$500,"&gt;=126900")&gt;0,"X","")</f>
      </c>
      <c r="AB60" s="56" t="str">
        <f>IF(COUNTIFS('LANÇAMENTOS DIÁRIOS'!$G$5:$G$500,"H",'LANÇAMENTOS DIÁRIOS'!$C$5:$C$500,$A60,'LANÇAMENTOS DIÁRIOS'!$O$5:$O$500,"&lt;=127099",'LANÇAMENTOS DIÁRIOS'!$P$5:$P$500,"&gt;=127000")&gt;0,"X","")</f>
      </c>
      <c r="AC60" s="56" t="str">
        <f>IF(COUNTIFS('LANÇAMENTOS DIÁRIOS'!$G$5:$G$500,"H",'LANÇAMENTOS DIÁRIOS'!$C$5:$C$500,$A60,'LANÇAMENTOS DIÁRIOS'!$O$5:$O$500,"&lt;=127199",'LANÇAMENTOS DIÁRIOS'!$P$5:$P$500,"&gt;=127100")&gt;0,"X","")</f>
      </c>
      <c r="AD60" s="56" t="str">
        <f>IF(COUNTIFS('LANÇAMENTOS DIÁRIOS'!$G$5:$G$500,"H",'LANÇAMENTOS DIÁRIOS'!$C$5:$C$500,$A60,'LANÇAMENTOS DIÁRIOS'!$O$5:$O$500,"&lt;=127299",'LANÇAMENTOS DIÁRIOS'!$P$5:$P$500,"&gt;=127200")&gt;0,"X","")</f>
      </c>
      <c r="AE60" s="56" t="str">
        <f>IF(COUNTIFS('LANÇAMENTOS DIÁRIOS'!$G$5:$G$500,"H",'LANÇAMENTOS DIÁRIOS'!$C$5:$C$500,$A60,'LANÇAMENTOS DIÁRIOS'!$O$5:$O$500,"&lt;=127399",'LANÇAMENTOS DIÁRIOS'!$P$5:$P$500,"&gt;=127300")&gt;0,"X","")</f>
      </c>
      <c r="AF60" s="56" t="str">
        <f>IF(COUNTIFS('LANÇAMENTOS DIÁRIOS'!$G$5:$G$500,"H",'LANÇAMENTOS DIÁRIOS'!$C$5:$C$500,$A60,'LANÇAMENTOS DIÁRIOS'!$O$5:$O$500,"&lt;=127499",'LANÇAMENTOS DIÁRIOS'!$P$5:$P$500,"&gt;=127400")&gt;0,"X","")</f>
      </c>
      <c r="AG60" s="56" t="str">
        <f>IF(COUNTIFS('LANÇAMENTOS DIÁRIOS'!$G$5:$G$500,"H",'LANÇAMENTOS DIÁRIOS'!$C$5:$C$500,$A60,'LANÇAMENTOS DIÁRIOS'!$O$5:$O$500,"&lt;=127599",'LANÇAMENTOS DIÁRIOS'!$P$5:$P$500,"&gt;=127500")&gt;0,"X","")</f>
      </c>
      <c r="AH60" s="56" t="str">
        <f>IF(COUNTIFS('LANÇAMENTOS DIÁRIOS'!$G$5:$G$500,"H",'LANÇAMENTOS DIÁRIOS'!$C$5:$C$500,$A60,'LANÇAMENTOS DIÁRIOS'!$O$5:$O$500,"&lt;=127699",'LANÇAMENTOS DIÁRIOS'!$P$5:$P$500,"&gt;=127600")&gt;0,"X","")</f>
      </c>
      <c r="AI60" s="56" t="str">
        <f>IF(COUNTIFS('LANÇAMENTOS DIÁRIOS'!$G$5:$G$500,"H",'LANÇAMENTOS DIÁRIOS'!$C$5:$C$500,$A60,'LANÇAMENTOS DIÁRIOS'!$O$5:$O$500,"&lt;=127799",'LANÇAMENTOS DIÁRIOS'!$P$5:$P$500,"&gt;=127700")&gt;0,"X","")</f>
      </c>
      <c r="AJ60" s="56" t="str">
        <f>IF(COUNTIFS('LANÇAMENTOS DIÁRIOS'!$G$5:$G$500,"H",'LANÇAMENTOS DIÁRIOS'!$C$5:$C$500,$A60,'LANÇAMENTOS DIÁRIOS'!$O$5:$O$500,"&lt;=127899",'LANÇAMENTOS DIÁRIOS'!$P$5:$P$500,"&gt;=127800")&gt;0,"X","")</f>
      </c>
      <c r="AK60" s="56" t="str">
        <f>IF(COUNTIFS('LANÇAMENTOS DIÁRIOS'!$G$5:$G$500,"H",'LANÇAMENTOS DIÁRIOS'!$C$5:$C$500,$A60,'LANÇAMENTOS DIÁRIOS'!$O$5:$O$500,"&lt;=127999",'LANÇAMENTOS DIÁRIOS'!$P$5:$P$500,"&gt;=127900")&gt;0,"X","")</f>
      </c>
      <c r="AL60" s="56" t="str">
        <f>IF(COUNTIFS('LANÇAMENTOS DIÁRIOS'!$G$5:$G$500,"H",'LANÇAMENTOS DIÁRIOS'!$C$5:$C$500,$A60,'LANÇAMENTOS DIÁRIOS'!$O$5:$O$500,"&lt;=128099",'LANÇAMENTOS DIÁRIOS'!$P$5:$P$500,"&gt;=128000")&gt;0,"X","")</f>
      </c>
      <c r="AM60" s="56" t="str">
        <f>IF(COUNTIFS('LANÇAMENTOS DIÁRIOS'!$G$5:$G$500,"H",'LANÇAMENTOS DIÁRIOS'!$C$5:$C$500,$A60,'LANÇAMENTOS DIÁRIOS'!$O$5:$O$500,"&lt;=128199",'LANÇAMENTOS DIÁRIOS'!$P$5:$P$500,"&gt;=128100")&gt;0,"X","")</f>
      </c>
      <c r="AN60" s="56" t="str">
        <f>IF(COUNTIFS('LANÇAMENTOS DIÁRIOS'!$G$5:$G$500,"H",'LANÇAMENTOS DIÁRIOS'!$C$5:$C$500,$A60,'LANÇAMENTOS DIÁRIOS'!$O$5:$O$500,"&lt;=128299",'LANÇAMENTOS DIÁRIOS'!$P$5:$P$500,"&gt;=128200")&gt;0,"X","")</f>
      </c>
      <c r="AO60" s="56" t="str">
        <f>IF(COUNTIFS('LANÇAMENTOS DIÁRIOS'!$G$5:$G$500,"H",'LANÇAMENTOS DIÁRIOS'!$C$5:$C$500,$A60,'LANÇAMENTOS DIÁRIOS'!$O$5:$O$500,"&lt;=128399",'LANÇAMENTOS DIÁRIOS'!$P$5:$P$500,"&gt;=128300")&gt;0,"X","")</f>
      </c>
      <c r="AP60" s="56" t="str">
        <f>IF(COUNTIFS('LANÇAMENTOS DIÁRIOS'!$G$5:$G$500,"H",'LANÇAMENTOS DIÁRIOS'!$C$5:$C$500,$A60,'LANÇAMENTOS DIÁRIOS'!$O$5:$O$500,"&lt;=128499",'LANÇAMENTOS DIÁRIOS'!$P$5:$P$500,"&gt;=128400")&gt;0,"X","")</f>
      </c>
      <c r="AQ60" s="56" t="str">
        <f>IF(COUNTIFS('LANÇAMENTOS DIÁRIOS'!$G$5:$G$500,"H",'LANÇAMENTOS DIÁRIOS'!$C$5:$C$500,$A60,'LANÇAMENTOS DIÁRIOS'!$O$5:$O$500,"&lt;=128599",'LANÇAMENTOS DIÁRIOS'!$P$5:$P$500,"&gt;=128500")&gt;0,"X","")</f>
      </c>
      <c r="AR60" s="56" t="str">
        <f>IF(COUNTIFS('LANÇAMENTOS DIÁRIOS'!$G$5:$G$500,"H",'LANÇAMENTOS DIÁRIOS'!$C$5:$C$500,$A60,'LANÇAMENTOS DIÁRIOS'!$O$5:$O$500,"&lt;=128699",'LANÇAMENTOS DIÁRIOS'!$P$5:$P$500,"&gt;=128600")&gt;0,"X","")</f>
      </c>
      <c r="AS60" s="56" t="str">
        <f>IF(COUNTIFS('LANÇAMENTOS DIÁRIOS'!$G$5:$G$500,"H",'LANÇAMENTOS DIÁRIOS'!$C$5:$C$500,$A60,'LANÇAMENTOS DIÁRIOS'!$O$5:$O$500,"&lt;=128799",'LANÇAMENTOS DIÁRIOS'!$P$5:$P$500,"&gt;=128700")&gt;0,"X","")</f>
      </c>
      <c r="AT60" s="56" t="str">
        <f>IF(COUNTIFS('LANÇAMENTOS DIÁRIOS'!$G$5:$G$500,"H",'LANÇAMENTOS DIÁRIOS'!$C$5:$C$500,$A60,'LANÇAMENTOS DIÁRIOS'!$O$5:$O$500,"&lt;=128899",'LANÇAMENTOS DIÁRIOS'!$P$5:$P$500,"&gt;=128800")&gt;0,"X","")</f>
      </c>
      <c r="AU60" s="56" t="str">
        <f>IF(COUNTIFS('LANÇAMENTOS DIÁRIOS'!$G$5:$G$500,"H",'LANÇAMENTOS DIÁRIOS'!$C$5:$C$500,$A60,'LANÇAMENTOS DIÁRIOS'!$O$5:$O$500,"&lt;=128999",'LANÇAMENTOS DIÁRIOS'!$P$5:$P$500,"&gt;=128900")&gt;0,"X","")</f>
      </c>
      <c r="AV60" s="56" t="str">
        <f>IF(COUNTIFS('LANÇAMENTOS DIÁRIOS'!$G$5:$G$500,"H",'LANÇAMENTOS DIÁRIOS'!$C$5:$C$500,$A60,'LANÇAMENTOS DIÁRIOS'!$O$5:$O$500,"&lt;=129099",'LANÇAMENTOS DIÁRIOS'!$P$5:$P$500,"&gt;=129000")&gt;0,"X","")</f>
      </c>
      <c r="AW60" s="56" t="str">
        <f>IF(COUNTIFS('LANÇAMENTOS DIÁRIOS'!$G$5:$G$500,"H",'LANÇAMENTOS DIÁRIOS'!$C$5:$C$500,$A60,'LANÇAMENTOS DIÁRIOS'!$O$5:$O$500,"&lt;=129199",'LANÇAMENTOS DIÁRIOS'!$P$5:$P$500,"&gt;=129100")&gt;0,"X","")</f>
      </c>
      <c r="AX60" s="56" t="str">
        <f>IF(COUNTIFS('LANÇAMENTOS DIÁRIOS'!$G$5:$G$500,"H",'LANÇAMENTOS DIÁRIOS'!$C$5:$C$500,$A60,'LANÇAMENTOS DIÁRIOS'!$O$5:$O$500,"&lt;=129299",'LANÇAMENTOS DIÁRIOS'!$P$5:$P$500,"&gt;=129200")&gt;0,"X","")</f>
      </c>
      <c r="AY60" s="56" t="str">
        <f>IF(COUNTIFS('LANÇAMENTOS DIÁRIOS'!$G$5:$G$500,"H",'LANÇAMENTOS DIÁRIOS'!$C$5:$C$500,$A60,'LANÇAMENTOS DIÁRIOS'!$O$5:$O$500,"&lt;=129399",'LANÇAMENTOS DIÁRIOS'!$P$5:$P$500,"&gt;=129300")&gt;0,"X","")</f>
      </c>
      <c r="AZ60" s="56" t="str">
        <f>IF(COUNTIFS('LANÇAMENTOS DIÁRIOS'!$G$5:$G$500,"H",'LANÇAMENTOS DIÁRIOS'!$C$5:$C$500,$A60,'LANÇAMENTOS DIÁRIOS'!$O$5:$O$500,"&lt;=129400",'LANÇAMENTOS DIÁRIOS'!$P$5:$P$500,"&gt;=129400")&gt;0,"X","")</f>
      </c>
    </row>
    <row r="61">
      <c r="A61" s="51" t="str">
        <v>Escavação de material de 1ª e 2ª categoria (*)</v>
      </c>
      <c r="B61" s="56" t="str">
        <f>IF(COUNTIFS('LANÇAMENTOS DIÁRIOS'!$G$5:$G$500,"H",'LANÇAMENTOS DIÁRIOS'!$C$5:$C$500,$A61,'LANÇAMENTOS DIÁRIOS'!$O$5:$O$500,"&lt;=124499",'LANÇAMENTOS DIÁRIOS'!$P$5:$P$500,"&gt;=124400")&gt;0,"X","")</f>
      </c>
      <c r="C61" s="56" t="str">
        <f>IF(COUNTIFS('LANÇAMENTOS DIÁRIOS'!$G$5:$G$500,"H",'LANÇAMENTOS DIÁRIOS'!$C$5:$C$500,$A61,'LANÇAMENTOS DIÁRIOS'!$O$5:$O$500,"&lt;=124599",'LANÇAMENTOS DIÁRIOS'!$P$5:$P$500,"&gt;=124500")&gt;0,"X","")</f>
      </c>
      <c r="D61" s="56" t="str">
        <f>IF(COUNTIFS('LANÇAMENTOS DIÁRIOS'!$G$5:$G$500,"H",'LANÇAMENTOS DIÁRIOS'!$C$5:$C$500,$A61,'LANÇAMENTOS DIÁRIOS'!$O$5:$O$500,"&lt;=124699",'LANÇAMENTOS DIÁRIOS'!$P$5:$P$500,"&gt;=124600")&gt;0,"X","")</f>
      </c>
      <c r="E61" s="56" t="str">
        <f>IF(COUNTIFS('LANÇAMENTOS DIÁRIOS'!$G$5:$G$500,"H",'LANÇAMENTOS DIÁRIOS'!$C$5:$C$500,$A61,'LANÇAMENTOS DIÁRIOS'!$O$5:$O$500,"&lt;=124799",'LANÇAMENTOS DIÁRIOS'!$P$5:$P$500,"&gt;=124700")&gt;0,"X","")</f>
      </c>
      <c r="F61" s="56" t="str">
        <f>IF(COUNTIFS('LANÇAMENTOS DIÁRIOS'!$G$5:$G$500,"H",'LANÇAMENTOS DIÁRIOS'!$C$5:$C$500,$A61,'LANÇAMENTOS DIÁRIOS'!$O$5:$O$500,"&lt;=124899",'LANÇAMENTOS DIÁRIOS'!$P$5:$P$500,"&gt;=124800")&gt;0,"X","")</f>
      </c>
      <c r="G61" s="56" t="str">
        <f>IF(COUNTIFS('LANÇAMENTOS DIÁRIOS'!$G$5:$G$500,"H",'LANÇAMENTOS DIÁRIOS'!$C$5:$C$500,$A61,'LANÇAMENTOS DIÁRIOS'!$O$5:$O$500,"&lt;=124999",'LANÇAMENTOS DIÁRIOS'!$P$5:$P$500,"&gt;=124900")&gt;0,"X","")</f>
      </c>
      <c r="H61" s="56" t="str">
        <f>IF(COUNTIFS('LANÇAMENTOS DIÁRIOS'!$G$5:$G$500,"H",'LANÇAMENTOS DIÁRIOS'!$C$5:$C$500,$A61,'LANÇAMENTOS DIÁRIOS'!$O$5:$O$500,"&lt;=125099",'LANÇAMENTOS DIÁRIOS'!$P$5:$P$500,"&gt;=125000")&gt;0,"X","")</f>
      </c>
      <c r="I61" s="56" t="str">
        <f>IF(COUNTIFS('LANÇAMENTOS DIÁRIOS'!$G$5:$G$500,"H",'LANÇAMENTOS DIÁRIOS'!$C$5:$C$500,$A61,'LANÇAMENTOS DIÁRIOS'!$O$5:$O$500,"&lt;=125199",'LANÇAMENTOS DIÁRIOS'!$P$5:$P$500,"&gt;=125100")&gt;0,"X","")</f>
      </c>
      <c r="J61" s="56" t="str">
        <f>IF(COUNTIFS('LANÇAMENTOS DIÁRIOS'!$G$5:$G$500,"H",'LANÇAMENTOS DIÁRIOS'!$C$5:$C$500,$A61,'LANÇAMENTOS DIÁRIOS'!$O$5:$O$500,"&lt;=125299",'LANÇAMENTOS DIÁRIOS'!$P$5:$P$500,"&gt;=125200")&gt;0,"X","")</f>
      </c>
      <c r="K61" s="56" t="str">
        <f>IF(COUNTIFS('LANÇAMENTOS DIÁRIOS'!$G$5:$G$500,"H",'LANÇAMENTOS DIÁRIOS'!$C$5:$C$500,$A61,'LANÇAMENTOS DIÁRIOS'!$O$5:$O$500,"&lt;=125399",'LANÇAMENTOS DIÁRIOS'!$P$5:$P$500,"&gt;=125300")&gt;0,"X","")</f>
      </c>
      <c r="L61" s="56" t="str">
        <f>IF(COUNTIFS('LANÇAMENTOS DIÁRIOS'!$G$5:$G$500,"H",'LANÇAMENTOS DIÁRIOS'!$C$5:$C$500,$A61,'LANÇAMENTOS DIÁRIOS'!$O$5:$O$500,"&lt;=125499",'LANÇAMENTOS DIÁRIOS'!$P$5:$P$500,"&gt;=125400")&gt;0,"X","")</f>
      </c>
      <c r="M61" s="56" t="str">
        <f>IF(COUNTIFS('LANÇAMENTOS DIÁRIOS'!$G$5:$G$500,"H",'LANÇAMENTOS DIÁRIOS'!$C$5:$C$500,$A61,'LANÇAMENTOS DIÁRIOS'!$O$5:$O$500,"&lt;=125599",'LANÇAMENTOS DIÁRIOS'!$P$5:$P$500,"&gt;=125500")&gt;0,"X","")</f>
      </c>
      <c r="N61" s="56" t="str">
        <f>IF(COUNTIFS('LANÇAMENTOS DIÁRIOS'!$G$5:$G$500,"H",'LANÇAMENTOS DIÁRIOS'!$C$5:$C$500,$A61,'LANÇAMENTOS DIÁRIOS'!$O$5:$O$500,"&lt;=125699",'LANÇAMENTOS DIÁRIOS'!$P$5:$P$500,"&gt;=125600")&gt;0,"X","")</f>
      </c>
      <c r="O61" s="56" t="str">
        <f>IF(COUNTIFS('LANÇAMENTOS DIÁRIOS'!$G$5:$G$500,"H",'LANÇAMENTOS DIÁRIOS'!$C$5:$C$500,$A61,'LANÇAMENTOS DIÁRIOS'!$O$5:$O$500,"&lt;=125799",'LANÇAMENTOS DIÁRIOS'!$P$5:$P$500,"&gt;=125700")&gt;0,"X","")</f>
      </c>
      <c r="P61" s="56" t="str">
        <f>IF(COUNTIFS('LANÇAMENTOS DIÁRIOS'!$G$5:$G$500,"H",'LANÇAMENTOS DIÁRIOS'!$C$5:$C$500,$A61,'LANÇAMENTOS DIÁRIOS'!$O$5:$O$500,"&lt;=125899",'LANÇAMENTOS DIÁRIOS'!$P$5:$P$500,"&gt;=125800")&gt;0,"X","")</f>
      </c>
      <c r="Q61" s="56" t="str">
        <f>IF(COUNTIFS('LANÇAMENTOS DIÁRIOS'!$G$5:$G$500,"H",'LANÇAMENTOS DIÁRIOS'!$C$5:$C$500,$A61,'LANÇAMENTOS DIÁRIOS'!$O$5:$O$500,"&lt;=125999",'LANÇAMENTOS DIÁRIOS'!$P$5:$P$500,"&gt;=125900")&gt;0,"X","")</f>
      </c>
      <c r="R61" s="56" t="str">
        <f>IF(COUNTIFS('LANÇAMENTOS DIÁRIOS'!$G$5:$G$500,"H",'LANÇAMENTOS DIÁRIOS'!$C$5:$C$500,$A61,'LANÇAMENTOS DIÁRIOS'!$O$5:$O$500,"&lt;=126099",'LANÇAMENTOS DIÁRIOS'!$P$5:$P$500,"&gt;=126000")&gt;0,"X","")</f>
      </c>
      <c r="S61" s="56" t="str">
        <f>IF(COUNTIFS('LANÇAMENTOS DIÁRIOS'!$G$5:$G$500,"H",'LANÇAMENTOS DIÁRIOS'!$C$5:$C$500,$A61,'LANÇAMENTOS DIÁRIOS'!$O$5:$O$500,"&lt;=126199",'LANÇAMENTOS DIÁRIOS'!$P$5:$P$500,"&gt;=126100")&gt;0,"X","")</f>
      </c>
      <c r="T61" s="56" t="str">
        <f>IF(COUNTIFS('LANÇAMENTOS DIÁRIOS'!$G$5:$G$500,"H",'LANÇAMENTOS DIÁRIOS'!$C$5:$C$500,$A61,'LANÇAMENTOS DIÁRIOS'!$O$5:$O$500,"&lt;=126299",'LANÇAMENTOS DIÁRIOS'!$P$5:$P$500,"&gt;=126200")&gt;0,"X","")</f>
      </c>
      <c r="U61" s="56" t="str">
        <f>IF(COUNTIFS('LANÇAMENTOS DIÁRIOS'!$G$5:$G$500,"H",'LANÇAMENTOS DIÁRIOS'!$C$5:$C$500,$A61,'LANÇAMENTOS DIÁRIOS'!$O$5:$O$500,"&lt;=126399",'LANÇAMENTOS DIÁRIOS'!$P$5:$P$500,"&gt;=126300")&gt;0,"X","")</f>
      </c>
      <c r="V61" s="56" t="str">
        <f>IF(COUNTIFS('LANÇAMENTOS DIÁRIOS'!$G$5:$G$500,"H",'LANÇAMENTOS DIÁRIOS'!$C$5:$C$500,$A61,'LANÇAMENTOS DIÁRIOS'!$O$5:$O$500,"&lt;=126499",'LANÇAMENTOS DIÁRIOS'!$P$5:$P$500,"&gt;=126400")&gt;0,"X","")</f>
      </c>
      <c r="W61" s="56" t="str">
        <f>IF(COUNTIFS('LANÇAMENTOS DIÁRIOS'!$G$5:$G$500,"H",'LANÇAMENTOS DIÁRIOS'!$C$5:$C$500,$A61,'LANÇAMENTOS DIÁRIOS'!$O$5:$O$500,"&lt;=126599",'LANÇAMENTOS DIÁRIOS'!$P$5:$P$500,"&gt;=126500")&gt;0,"X","")</f>
      </c>
      <c r="X61" s="56" t="str">
        <f>IF(COUNTIFS('LANÇAMENTOS DIÁRIOS'!$G$5:$G$500,"H",'LANÇAMENTOS DIÁRIOS'!$C$5:$C$500,$A61,'LANÇAMENTOS DIÁRIOS'!$O$5:$O$500,"&lt;=126699",'LANÇAMENTOS DIÁRIOS'!$P$5:$P$500,"&gt;=126600")&gt;0,"X","")</f>
      </c>
      <c r="Y61" s="56" t="str">
        <f>IF(COUNTIFS('LANÇAMENTOS DIÁRIOS'!$G$5:$G$500,"H",'LANÇAMENTOS DIÁRIOS'!$C$5:$C$500,$A61,'LANÇAMENTOS DIÁRIOS'!$O$5:$O$500,"&lt;=126799",'LANÇAMENTOS DIÁRIOS'!$P$5:$P$500,"&gt;=126700")&gt;0,"X","")</f>
      </c>
      <c r="Z61" s="56" t="str">
        <f>IF(COUNTIFS('LANÇAMENTOS DIÁRIOS'!$G$5:$G$500,"H",'LANÇAMENTOS DIÁRIOS'!$C$5:$C$500,$A61,'LANÇAMENTOS DIÁRIOS'!$O$5:$O$500,"&lt;=126899",'LANÇAMENTOS DIÁRIOS'!$P$5:$P$500,"&gt;=126800")&gt;0,"X","")</f>
      </c>
      <c r="AA61" s="56" t="str">
        <f>IF(COUNTIFS('LANÇAMENTOS DIÁRIOS'!$G$5:$G$500,"H",'LANÇAMENTOS DIÁRIOS'!$C$5:$C$500,$A61,'LANÇAMENTOS DIÁRIOS'!$O$5:$O$500,"&lt;=126999",'LANÇAMENTOS DIÁRIOS'!$P$5:$P$500,"&gt;=126900")&gt;0,"X","")</f>
      </c>
      <c r="AB61" s="56" t="str">
        <f>IF(COUNTIFS('LANÇAMENTOS DIÁRIOS'!$G$5:$G$500,"H",'LANÇAMENTOS DIÁRIOS'!$C$5:$C$500,$A61,'LANÇAMENTOS DIÁRIOS'!$O$5:$O$500,"&lt;=127099",'LANÇAMENTOS DIÁRIOS'!$P$5:$P$500,"&gt;=127000")&gt;0,"X","")</f>
      </c>
      <c r="AC61" s="56" t="str">
        <f>IF(COUNTIFS('LANÇAMENTOS DIÁRIOS'!$G$5:$G$500,"H",'LANÇAMENTOS DIÁRIOS'!$C$5:$C$500,$A61,'LANÇAMENTOS DIÁRIOS'!$O$5:$O$500,"&lt;=127199",'LANÇAMENTOS DIÁRIOS'!$P$5:$P$500,"&gt;=127100")&gt;0,"X","")</f>
      </c>
      <c r="AD61" s="56" t="str">
        <f>IF(COUNTIFS('LANÇAMENTOS DIÁRIOS'!$G$5:$G$500,"H",'LANÇAMENTOS DIÁRIOS'!$C$5:$C$500,$A61,'LANÇAMENTOS DIÁRIOS'!$O$5:$O$500,"&lt;=127299",'LANÇAMENTOS DIÁRIOS'!$P$5:$P$500,"&gt;=127200")&gt;0,"X","")</f>
      </c>
      <c r="AE61" s="56" t="str">
        <f>IF(COUNTIFS('LANÇAMENTOS DIÁRIOS'!$G$5:$G$500,"H",'LANÇAMENTOS DIÁRIOS'!$C$5:$C$500,$A61,'LANÇAMENTOS DIÁRIOS'!$O$5:$O$500,"&lt;=127399",'LANÇAMENTOS DIÁRIOS'!$P$5:$P$500,"&gt;=127300")&gt;0,"X","")</f>
      </c>
      <c r="AF61" s="56" t="str">
        <f>IF(COUNTIFS('LANÇAMENTOS DIÁRIOS'!$G$5:$G$500,"H",'LANÇAMENTOS DIÁRIOS'!$C$5:$C$500,$A61,'LANÇAMENTOS DIÁRIOS'!$O$5:$O$500,"&lt;=127499",'LANÇAMENTOS DIÁRIOS'!$P$5:$P$500,"&gt;=127400")&gt;0,"X","")</f>
      </c>
      <c r="AG61" s="56" t="str">
        <f>IF(COUNTIFS('LANÇAMENTOS DIÁRIOS'!$G$5:$G$500,"H",'LANÇAMENTOS DIÁRIOS'!$C$5:$C$500,$A61,'LANÇAMENTOS DIÁRIOS'!$O$5:$O$500,"&lt;=127599",'LANÇAMENTOS DIÁRIOS'!$P$5:$P$500,"&gt;=127500")&gt;0,"X","")</f>
      </c>
      <c r="AH61" s="56" t="str">
        <f>IF(COUNTIFS('LANÇAMENTOS DIÁRIOS'!$G$5:$G$500,"H",'LANÇAMENTOS DIÁRIOS'!$C$5:$C$500,$A61,'LANÇAMENTOS DIÁRIOS'!$O$5:$O$500,"&lt;=127699",'LANÇAMENTOS DIÁRIOS'!$P$5:$P$500,"&gt;=127600")&gt;0,"X","")</f>
      </c>
      <c r="AI61" s="56" t="str">
        <f>IF(COUNTIFS('LANÇAMENTOS DIÁRIOS'!$G$5:$G$500,"H",'LANÇAMENTOS DIÁRIOS'!$C$5:$C$500,$A61,'LANÇAMENTOS DIÁRIOS'!$O$5:$O$500,"&lt;=127799",'LANÇAMENTOS DIÁRIOS'!$P$5:$P$500,"&gt;=127700")&gt;0,"X","")</f>
      </c>
      <c r="AJ61" s="56" t="str">
        <f>IF(COUNTIFS('LANÇAMENTOS DIÁRIOS'!$G$5:$G$500,"H",'LANÇAMENTOS DIÁRIOS'!$C$5:$C$500,$A61,'LANÇAMENTOS DIÁRIOS'!$O$5:$O$500,"&lt;=127899",'LANÇAMENTOS DIÁRIOS'!$P$5:$P$500,"&gt;=127800")&gt;0,"X","")</f>
      </c>
      <c r="AK61" s="56" t="str">
        <f>IF(COUNTIFS('LANÇAMENTOS DIÁRIOS'!$G$5:$G$500,"H",'LANÇAMENTOS DIÁRIOS'!$C$5:$C$500,$A61,'LANÇAMENTOS DIÁRIOS'!$O$5:$O$500,"&lt;=127999",'LANÇAMENTOS DIÁRIOS'!$P$5:$P$500,"&gt;=127900")&gt;0,"X","")</f>
      </c>
      <c r="AL61" s="56" t="str">
        <f>IF(COUNTIFS('LANÇAMENTOS DIÁRIOS'!$G$5:$G$500,"H",'LANÇAMENTOS DIÁRIOS'!$C$5:$C$500,$A61,'LANÇAMENTOS DIÁRIOS'!$O$5:$O$500,"&lt;=128099",'LANÇAMENTOS DIÁRIOS'!$P$5:$P$500,"&gt;=128000")&gt;0,"X","")</f>
      </c>
      <c r="AM61" s="56" t="str">
        <f>IF(COUNTIFS('LANÇAMENTOS DIÁRIOS'!$G$5:$G$500,"H",'LANÇAMENTOS DIÁRIOS'!$C$5:$C$500,$A61,'LANÇAMENTOS DIÁRIOS'!$O$5:$O$500,"&lt;=128199",'LANÇAMENTOS DIÁRIOS'!$P$5:$P$500,"&gt;=128100")&gt;0,"X","")</f>
      </c>
      <c r="AN61" s="56" t="str">
        <f>IF(COUNTIFS('LANÇAMENTOS DIÁRIOS'!$G$5:$G$500,"H",'LANÇAMENTOS DIÁRIOS'!$C$5:$C$500,$A61,'LANÇAMENTOS DIÁRIOS'!$O$5:$O$500,"&lt;=128299",'LANÇAMENTOS DIÁRIOS'!$P$5:$P$500,"&gt;=128200")&gt;0,"X","")</f>
      </c>
      <c r="AO61" s="56" t="str">
        <f>IF(COUNTIFS('LANÇAMENTOS DIÁRIOS'!$G$5:$G$500,"H",'LANÇAMENTOS DIÁRIOS'!$C$5:$C$500,$A61,'LANÇAMENTOS DIÁRIOS'!$O$5:$O$500,"&lt;=128399",'LANÇAMENTOS DIÁRIOS'!$P$5:$P$500,"&gt;=128300")&gt;0,"X","")</f>
      </c>
      <c r="AP61" s="56" t="str">
        <f>IF(COUNTIFS('LANÇAMENTOS DIÁRIOS'!$G$5:$G$500,"H",'LANÇAMENTOS DIÁRIOS'!$C$5:$C$500,$A61,'LANÇAMENTOS DIÁRIOS'!$O$5:$O$500,"&lt;=128499",'LANÇAMENTOS DIÁRIOS'!$P$5:$P$500,"&gt;=128400")&gt;0,"X","")</f>
      </c>
      <c r="AQ61" s="56" t="str">
        <f>IF(COUNTIFS('LANÇAMENTOS DIÁRIOS'!$G$5:$G$500,"H",'LANÇAMENTOS DIÁRIOS'!$C$5:$C$500,$A61,'LANÇAMENTOS DIÁRIOS'!$O$5:$O$500,"&lt;=128599",'LANÇAMENTOS DIÁRIOS'!$P$5:$P$500,"&gt;=128500")&gt;0,"X","")</f>
      </c>
      <c r="AR61" s="56" t="str">
        <f>IF(COUNTIFS('LANÇAMENTOS DIÁRIOS'!$G$5:$G$500,"H",'LANÇAMENTOS DIÁRIOS'!$C$5:$C$500,$A61,'LANÇAMENTOS DIÁRIOS'!$O$5:$O$500,"&lt;=128699",'LANÇAMENTOS DIÁRIOS'!$P$5:$P$500,"&gt;=128600")&gt;0,"X","")</f>
      </c>
      <c r="AS61" s="56" t="str">
        <f>IF(COUNTIFS('LANÇAMENTOS DIÁRIOS'!$G$5:$G$500,"H",'LANÇAMENTOS DIÁRIOS'!$C$5:$C$500,$A61,'LANÇAMENTOS DIÁRIOS'!$O$5:$O$500,"&lt;=128799",'LANÇAMENTOS DIÁRIOS'!$P$5:$P$500,"&gt;=128700")&gt;0,"X","")</f>
      </c>
      <c r="AT61" s="56" t="str">
        <f>IF(COUNTIFS('LANÇAMENTOS DIÁRIOS'!$G$5:$G$500,"H",'LANÇAMENTOS DIÁRIOS'!$C$5:$C$500,$A61,'LANÇAMENTOS DIÁRIOS'!$O$5:$O$500,"&lt;=128899",'LANÇAMENTOS DIÁRIOS'!$P$5:$P$500,"&gt;=128800")&gt;0,"X","")</f>
      </c>
      <c r="AU61" s="56" t="str">
        <f>IF(COUNTIFS('LANÇAMENTOS DIÁRIOS'!$G$5:$G$500,"H",'LANÇAMENTOS DIÁRIOS'!$C$5:$C$500,$A61,'LANÇAMENTOS DIÁRIOS'!$O$5:$O$500,"&lt;=128999",'LANÇAMENTOS DIÁRIOS'!$P$5:$P$500,"&gt;=128900")&gt;0,"X","")</f>
      </c>
      <c r="AV61" s="56" t="str">
        <f>IF(COUNTIFS('LANÇAMENTOS DIÁRIOS'!$G$5:$G$500,"H",'LANÇAMENTOS DIÁRIOS'!$C$5:$C$500,$A61,'LANÇAMENTOS DIÁRIOS'!$O$5:$O$500,"&lt;=129099",'LANÇAMENTOS DIÁRIOS'!$P$5:$P$500,"&gt;=129000")&gt;0,"X","")</f>
      </c>
      <c r="AW61" s="56" t="str">
        <f>IF(COUNTIFS('LANÇAMENTOS DIÁRIOS'!$G$5:$G$500,"H",'LANÇAMENTOS DIÁRIOS'!$C$5:$C$500,$A61,'LANÇAMENTOS DIÁRIOS'!$O$5:$O$500,"&lt;=129199",'LANÇAMENTOS DIÁRIOS'!$P$5:$P$500,"&gt;=129100")&gt;0,"X","")</f>
      </c>
      <c r="AX61" s="56" t="str">
        <f>IF(COUNTIFS('LANÇAMENTOS DIÁRIOS'!$G$5:$G$500,"H",'LANÇAMENTOS DIÁRIOS'!$C$5:$C$500,$A61,'LANÇAMENTOS DIÁRIOS'!$O$5:$O$500,"&lt;=129299",'LANÇAMENTOS DIÁRIOS'!$P$5:$P$500,"&gt;=129200")&gt;0,"X","")</f>
      </c>
      <c r="AY61" s="56" t="str">
        <f>IF(COUNTIFS('LANÇAMENTOS DIÁRIOS'!$G$5:$G$500,"H",'LANÇAMENTOS DIÁRIOS'!$C$5:$C$500,$A61,'LANÇAMENTOS DIÁRIOS'!$O$5:$O$500,"&lt;=129399",'LANÇAMENTOS DIÁRIOS'!$P$5:$P$500,"&gt;=129300")&gt;0,"X","")</f>
      </c>
      <c r="AZ61" s="56" t="str">
        <f>IF(COUNTIFS('LANÇAMENTOS DIÁRIOS'!$G$5:$G$500,"H",'LANÇAMENTOS DIÁRIOS'!$C$5:$C$500,$A61,'LANÇAMENTOS DIÁRIOS'!$O$5:$O$500,"&lt;=129400",'LANÇAMENTOS DIÁRIOS'!$P$5:$P$500,"&gt;=129400")&gt;0,"X","")</f>
      </c>
    </row>
    <row r="62">
      <c r="A62" s="51" t="str">
        <v>Regularização do subleito (*)</v>
      </c>
      <c r="B62" s="56" t="str">
        <f>IF(COUNTIFS('LANÇAMENTOS DIÁRIOS'!$G$5:$G$500,"H",'LANÇAMENTOS DIÁRIOS'!$C$5:$C$500,$A62,'LANÇAMENTOS DIÁRIOS'!$O$5:$O$500,"&lt;=124499",'LANÇAMENTOS DIÁRIOS'!$P$5:$P$500,"&gt;=124400")&gt;0,"X","")</f>
      </c>
      <c r="C62" s="56" t="str">
        <f>IF(COUNTIFS('LANÇAMENTOS DIÁRIOS'!$G$5:$G$500,"H",'LANÇAMENTOS DIÁRIOS'!$C$5:$C$500,$A62,'LANÇAMENTOS DIÁRIOS'!$O$5:$O$500,"&lt;=124599",'LANÇAMENTOS DIÁRIOS'!$P$5:$P$500,"&gt;=124500")&gt;0,"X","")</f>
      </c>
      <c r="D62" s="56" t="str">
        <f>IF(COUNTIFS('LANÇAMENTOS DIÁRIOS'!$G$5:$G$500,"H",'LANÇAMENTOS DIÁRIOS'!$C$5:$C$500,$A62,'LANÇAMENTOS DIÁRIOS'!$O$5:$O$500,"&lt;=124699",'LANÇAMENTOS DIÁRIOS'!$P$5:$P$500,"&gt;=124600")&gt;0,"X","")</f>
      </c>
      <c r="E62" s="56" t="str">
        <f>IF(COUNTIFS('LANÇAMENTOS DIÁRIOS'!$G$5:$G$500,"H",'LANÇAMENTOS DIÁRIOS'!$C$5:$C$500,$A62,'LANÇAMENTOS DIÁRIOS'!$O$5:$O$500,"&lt;=124799",'LANÇAMENTOS DIÁRIOS'!$P$5:$P$500,"&gt;=124700")&gt;0,"X","")</f>
      </c>
      <c r="F62" s="56" t="str">
        <f>IF(COUNTIFS('LANÇAMENTOS DIÁRIOS'!$G$5:$G$500,"H",'LANÇAMENTOS DIÁRIOS'!$C$5:$C$500,$A62,'LANÇAMENTOS DIÁRIOS'!$O$5:$O$500,"&lt;=124899",'LANÇAMENTOS DIÁRIOS'!$P$5:$P$500,"&gt;=124800")&gt;0,"X","")</f>
      </c>
      <c r="G62" s="56" t="str">
        <f>IF(COUNTIFS('LANÇAMENTOS DIÁRIOS'!$G$5:$G$500,"H",'LANÇAMENTOS DIÁRIOS'!$C$5:$C$500,$A62,'LANÇAMENTOS DIÁRIOS'!$O$5:$O$500,"&lt;=124999",'LANÇAMENTOS DIÁRIOS'!$P$5:$P$500,"&gt;=124900")&gt;0,"X","")</f>
      </c>
      <c r="H62" s="56" t="str">
        <f>IF(COUNTIFS('LANÇAMENTOS DIÁRIOS'!$G$5:$G$500,"H",'LANÇAMENTOS DIÁRIOS'!$C$5:$C$500,$A62,'LANÇAMENTOS DIÁRIOS'!$O$5:$O$500,"&lt;=125099",'LANÇAMENTOS DIÁRIOS'!$P$5:$P$500,"&gt;=125000")&gt;0,"X","")</f>
      </c>
      <c r="I62" s="56" t="str">
        <f>IF(COUNTIFS('LANÇAMENTOS DIÁRIOS'!$G$5:$G$500,"H",'LANÇAMENTOS DIÁRIOS'!$C$5:$C$500,$A62,'LANÇAMENTOS DIÁRIOS'!$O$5:$O$500,"&lt;=125199",'LANÇAMENTOS DIÁRIOS'!$P$5:$P$500,"&gt;=125100")&gt;0,"X","")</f>
      </c>
      <c r="J62" s="56" t="str">
        <f>IF(COUNTIFS('LANÇAMENTOS DIÁRIOS'!$G$5:$G$500,"H",'LANÇAMENTOS DIÁRIOS'!$C$5:$C$500,$A62,'LANÇAMENTOS DIÁRIOS'!$O$5:$O$500,"&lt;=125299",'LANÇAMENTOS DIÁRIOS'!$P$5:$P$500,"&gt;=125200")&gt;0,"X","")</f>
      </c>
      <c r="K62" s="56" t="str">
        <f>IF(COUNTIFS('LANÇAMENTOS DIÁRIOS'!$G$5:$G$500,"H",'LANÇAMENTOS DIÁRIOS'!$C$5:$C$500,$A62,'LANÇAMENTOS DIÁRIOS'!$O$5:$O$500,"&lt;=125399",'LANÇAMENTOS DIÁRIOS'!$P$5:$P$500,"&gt;=125300")&gt;0,"X","")</f>
      </c>
      <c r="L62" s="56" t="str">
        <f>IF(COUNTIFS('LANÇAMENTOS DIÁRIOS'!$G$5:$G$500,"H",'LANÇAMENTOS DIÁRIOS'!$C$5:$C$500,$A62,'LANÇAMENTOS DIÁRIOS'!$O$5:$O$500,"&lt;=125499",'LANÇAMENTOS DIÁRIOS'!$P$5:$P$500,"&gt;=125400")&gt;0,"X","")</f>
      </c>
      <c r="M62" s="56" t="str">
        <f>IF(COUNTIFS('LANÇAMENTOS DIÁRIOS'!$G$5:$G$500,"H",'LANÇAMENTOS DIÁRIOS'!$C$5:$C$500,$A62,'LANÇAMENTOS DIÁRIOS'!$O$5:$O$500,"&lt;=125599",'LANÇAMENTOS DIÁRIOS'!$P$5:$P$500,"&gt;=125500")&gt;0,"X","")</f>
      </c>
      <c r="N62" s="56" t="str">
        <f>IF(COUNTIFS('LANÇAMENTOS DIÁRIOS'!$G$5:$G$500,"H",'LANÇAMENTOS DIÁRIOS'!$C$5:$C$500,$A62,'LANÇAMENTOS DIÁRIOS'!$O$5:$O$500,"&lt;=125699",'LANÇAMENTOS DIÁRIOS'!$P$5:$P$500,"&gt;=125600")&gt;0,"X","")</f>
      </c>
      <c r="O62" s="56" t="str">
        <f>IF(COUNTIFS('LANÇAMENTOS DIÁRIOS'!$G$5:$G$500,"H",'LANÇAMENTOS DIÁRIOS'!$C$5:$C$500,$A62,'LANÇAMENTOS DIÁRIOS'!$O$5:$O$500,"&lt;=125799",'LANÇAMENTOS DIÁRIOS'!$P$5:$P$500,"&gt;=125700")&gt;0,"X","")</f>
      </c>
      <c r="P62" s="56" t="str">
        <f>IF(COUNTIFS('LANÇAMENTOS DIÁRIOS'!$G$5:$G$500,"H",'LANÇAMENTOS DIÁRIOS'!$C$5:$C$500,$A62,'LANÇAMENTOS DIÁRIOS'!$O$5:$O$500,"&lt;=125899",'LANÇAMENTOS DIÁRIOS'!$P$5:$P$500,"&gt;=125800")&gt;0,"X","")</f>
      </c>
      <c r="Q62" s="56" t="str">
        <f>IF(COUNTIFS('LANÇAMENTOS DIÁRIOS'!$G$5:$G$500,"H",'LANÇAMENTOS DIÁRIOS'!$C$5:$C$500,$A62,'LANÇAMENTOS DIÁRIOS'!$O$5:$O$500,"&lt;=125999",'LANÇAMENTOS DIÁRIOS'!$P$5:$P$500,"&gt;=125900")&gt;0,"X","")</f>
      </c>
      <c r="R62" s="56" t="str">
        <f>IF(COUNTIFS('LANÇAMENTOS DIÁRIOS'!$G$5:$G$500,"H",'LANÇAMENTOS DIÁRIOS'!$C$5:$C$500,$A62,'LANÇAMENTOS DIÁRIOS'!$O$5:$O$500,"&lt;=126099",'LANÇAMENTOS DIÁRIOS'!$P$5:$P$500,"&gt;=126000")&gt;0,"X","")</f>
      </c>
      <c r="S62" s="56" t="str">
        <f>IF(COUNTIFS('LANÇAMENTOS DIÁRIOS'!$G$5:$G$500,"H",'LANÇAMENTOS DIÁRIOS'!$C$5:$C$500,$A62,'LANÇAMENTOS DIÁRIOS'!$O$5:$O$500,"&lt;=126199",'LANÇAMENTOS DIÁRIOS'!$P$5:$P$500,"&gt;=126100")&gt;0,"X","")</f>
      </c>
      <c r="T62" s="56" t="str">
        <f>IF(COUNTIFS('LANÇAMENTOS DIÁRIOS'!$G$5:$G$500,"H",'LANÇAMENTOS DIÁRIOS'!$C$5:$C$500,$A62,'LANÇAMENTOS DIÁRIOS'!$O$5:$O$500,"&lt;=126299",'LANÇAMENTOS DIÁRIOS'!$P$5:$P$500,"&gt;=126200")&gt;0,"X","")</f>
      </c>
      <c r="U62" s="56" t="str">
        <f>IF(COUNTIFS('LANÇAMENTOS DIÁRIOS'!$G$5:$G$500,"H",'LANÇAMENTOS DIÁRIOS'!$C$5:$C$500,$A62,'LANÇAMENTOS DIÁRIOS'!$O$5:$O$500,"&lt;=126399",'LANÇAMENTOS DIÁRIOS'!$P$5:$P$500,"&gt;=126300")&gt;0,"X","")</f>
      </c>
      <c r="V62" s="56" t="str">
        <f>IF(COUNTIFS('LANÇAMENTOS DIÁRIOS'!$G$5:$G$500,"H",'LANÇAMENTOS DIÁRIOS'!$C$5:$C$500,$A62,'LANÇAMENTOS DIÁRIOS'!$O$5:$O$500,"&lt;=126499",'LANÇAMENTOS DIÁRIOS'!$P$5:$P$500,"&gt;=126400")&gt;0,"X","")</f>
      </c>
      <c r="W62" s="56" t="str">
        <f>IF(COUNTIFS('LANÇAMENTOS DIÁRIOS'!$G$5:$G$500,"H",'LANÇAMENTOS DIÁRIOS'!$C$5:$C$500,$A62,'LANÇAMENTOS DIÁRIOS'!$O$5:$O$500,"&lt;=126599",'LANÇAMENTOS DIÁRIOS'!$P$5:$P$500,"&gt;=126500")&gt;0,"X","")</f>
      </c>
      <c r="X62" s="56" t="str">
        <f>IF(COUNTIFS('LANÇAMENTOS DIÁRIOS'!$G$5:$G$500,"H",'LANÇAMENTOS DIÁRIOS'!$C$5:$C$500,$A62,'LANÇAMENTOS DIÁRIOS'!$O$5:$O$500,"&lt;=126699",'LANÇAMENTOS DIÁRIOS'!$P$5:$P$500,"&gt;=126600")&gt;0,"X","")</f>
      </c>
      <c r="Y62" s="56" t="str">
        <f>IF(COUNTIFS('LANÇAMENTOS DIÁRIOS'!$G$5:$G$500,"H",'LANÇAMENTOS DIÁRIOS'!$C$5:$C$500,$A62,'LANÇAMENTOS DIÁRIOS'!$O$5:$O$500,"&lt;=126799",'LANÇAMENTOS DIÁRIOS'!$P$5:$P$500,"&gt;=126700")&gt;0,"X","")</f>
      </c>
      <c r="Z62" s="56" t="str">
        <f>IF(COUNTIFS('LANÇAMENTOS DIÁRIOS'!$G$5:$G$500,"H",'LANÇAMENTOS DIÁRIOS'!$C$5:$C$500,$A62,'LANÇAMENTOS DIÁRIOS'!$O$5:$O$500,"&lt;=126899",'LANÇAMENTOS DIÁRIOS'!$P$5:$P$500,"&gt;=126800")&gt;0,"X","")</f>
      </c>
      <c r="AA62" s="56" t="str">
        <f>IF(COUNTIFS('LANÇAMENTOS DIÁRIOS'!$G$5:$G$500,"H",'LANÇAMENTOS DIÁRIOS'!$C$5:$C$500,$A62,'LANÇAMENTOS DIÁRIOS'!$O$5:$O$500,"&lt;=126999",'LANÇAMENTOS DIÁRIOS'!$P$5:$P$500,"&gt;=126900")&gt;0,"X","")</f>
      </c>
      <c r="AB62" s="56" t="str">
        <f>IF(COUNTIFS('LANÇAMENTOS DIÁRIOS'!$G$5:$G$500,"H",'LANÇAMENTOS DIÁRIOS'!$C$5:$C$500,$A62,'LANÇAMENTOS DIÁRIOS'!$O$5:$O$500,"&lt;=127099",'LANÇAMENTOS DIÁRIOS'!$P$5:$P$500,"&gt;=127000")&gt;0,"X","")</f>
      </c>
      <c r="AC62" s="56" t="str">
        <f>IF(COUNTIFS('LANÇAMENTOS DIÁRIOS'!$G$5:$G$500,"H",'LANÇAMENTOS DIÁRIOS'!$C$5:$C$500,$A62,'LANÇAMENTOS DIÁRIOS'!$O$5:$O$500,"&lt;=127199",'LANÇAMENTOS DIÁRIOS'!$P$5:$P$500,"&gt;=127100")&gt;0,"X","")</f>
      </c>
      <c r="AD62" s="56" t="str">
        <f>IF(COUNTIFS('LANÇAMENTOS DIÁRIOS'!$G$5:$G$500,"H",'LANÇAMENTOS DIÁRIOS'!$C$5:$C$500,$A62,'LANÇAMENTOS DIÁRIOS'!$O$5:$O$500,"&lt;=127299",'LANÇAMENTOS DIÁRIOS'!$P$5:$P$500,"&gt;=127200")&gt;0,"X","")</f>
      </c>
      <c r="AE62" s="56" t="str">
        <f>IF(COUNTIFS('LANÇAMENTOS DIÁRIOS'!$G$5:$G$500,"H",'LANÇAMENTOS DIÁRIOS'!$C$5:$C$500,$A62,'LANÇAMENTOS DIÁRIOS'!$O$5:$O$500,"&lt;=127399",'LANÇAMENTOS DIÁRIOS'!$P$5:$P$500,"&gt;=127300")&gt;0,"X","")</f>
      </c>
      <c r="AF62" s="56" t="str">
        <f>IF(COUNTIFS('LANÇAMENTOS DIÁRIOS'!$G$5:$G$500,"H",'LANÇAMENTOS DIÁRIOS'!$C$5:$C$500,$A62,'LANÇAMENTOS DIÁRIOS'!$O$5:$O$500,"&lt;=127499",'LANÇAMENTOS DIÁRIOS'!$P$5:$P$500,"&gt;=127400")&gt;0,"X","")</f>
      </c>
      <c r="AG62" s="56" t="str">
        <f>IF(COUNTIFS('LANÇAMENTOS DIÁRIOS'!$G$5:$G$500,"H",'LANÇAMENTOS DIÁRIOS'!$C$5:$C$500,$A62,'LANÇAMENTOS DIÁRIOS'!$O$5:$O$500,"&lt;=127599",'LANÇAMENTOS DIÁRIOS'!$P$5:$P$500,"&gt;=127500")&gt;0,"X","")</f>
      </c>
      <c r="AH62" s="56" t="str">
        <f>IF(COUNTIFS('LANÇAMENTOS DIÁRIOS'!$G$5:$G$500,"H",'LANÇAMENTOS DIÁRIOS'!$C$5:$C$500,$A62,'LANÇAMENTOS DIÁRIOS'!$O$5:$O$500,"&lt;=127699",'LANÇAMENTOS DIÁRIOS'!$P$5:$P$500,"&gt;=127600")&gt;0,"X","")</f>
      </c>
      <c r="AI62" s="56" t="str">
        <f>IF(COUNTIFS('LANÇAMENTOS DIÁRIOS'!$G$5:$G$500,"H",'LANÇAMENTOS DIÁRIOS'!$C$5:$C$500,$A62,'LANÇAMENTOS DIÁRIOS'!$O$5:$O$500,"&lt;=127799",'LANÇAMENTOS DIÁRIOS'!$P$5:$P$500,"&gt;=127700")&gt;0,"X","")</f>
      </c>
      <c r="AJ62" s="56" t="str">
        <f>IF(COUNTIFS('LANÇAMENTOS DIÁRIOS'!$G$5:$G$500,"H",'LANÇAMENTOS DIÁRIOS'!$C$5:$C$500,$A62,'LANÇAMENTOS DIÁRIOS'!$O$5:$O$500,"&lt;=127899",'LANÇAMENTOS DIÁRIOS'!$P$5:$P$500,"&gt;=127800")&gt;0,"X","")</f>
      </c>
      <c r="AK62" s="56" t="str">
        <f>IF(COUNTIFS('LANÇAMENTOS DIÁRIOS'!$G$5:$G$500,"H",'LANÇAMENTOS DIÁRIOS'!$C$5:$C$500,$A62,'LANÇAMENTOS DIÁRIOS'!$O$5:$O$500,"&lt;=127999",'LANÇAMENTOS DIÁRIOS'!$P$5:$P$500,"&gt;=127900")&gt;0,"X","")</f>
      </c>
      <c r="AL62" s="56" t="str">
        <f>IF(COUNTIFS('LANÇAMENTOS DIÁRIOS'!$G$5:$G$500,"H",'LANÇAMENTOS DIÁRIOS'!$C$5:$C$500,$A62,'LANÇAMENTOS DIÁRIOS'!$O$5:$O$500,"&lt;=128099",'LANÇAMENTOS DIÁRIOS'!$P$5:$P$500,"&gt;=128000")&gt;0,"X","")</f>
      </c>
      <c r="AM62" s="56" t="str">
        <f>IF(COUNTIFS('LANÇAMENTOS DIÁRIOS'!$G$5:$G$500,"H",'LANÇAMENTOS DIÁRIOS'!$C$5:$C$500,$A62,'LANÇAMENTOS DIÁRIOS'!$O$5:$O$500,"&lt;=128199",'LANÇAMENTOS DIÁRIOS'!$P$5:$P$500,"&gt;=128100")&gt;0,"X","")</f>
      </c>
      <c r="AN62" s="56" t="str">
        <f>IF(COUNTIFS('LANÇAMENTOS DIÁRIOS'!$G$5:$G$500,"H",'LANÇAMENTOS DIÁRIOS'!$C$5:$C$500,$A62,'LANÇAMENTOS DIÁRIOS'!$O$5:$O$500,"&lt;=128299",'LANÇAMENTOS DIÁRIOS'!$P$5:$P$500,"&gt;=128200")&gt;0,"X","")</f>
      </c>
      <c r="AO62" s="56" t="str">
        <f>IF(COUNTIFS('LANÇAMENTOS DIÁRIOS'!$G$5:$G$500,"H",'LANÇAMENTOS DIÁRIOS'!$C$5:$C$500,$A62,'LANÇAMENTOS DIÁRIOS'!$O$5:$O$500,"&lt;=128399",'LANÇAMENTOS DIÁRIOS'!$P$5:$P$500,"&gt;=128300")&gt;0,"X","")</f>
      </c>
      <c r="AP62" s="56" t="str">
        <f>IF(COUNTIFS('LANÇAMENTOS DIÁRIOS'!$G$5:$G$500,"H",'LANÇAMENTOS DIÁRIOS'!$C$5:$C$500,$A62,'LANÇAMENTOS DIÁRIOS'!$O$5:$O$500,"&lt;=128499",'LANÇAMENTOS DIÁRIOS'!$P$5:$P$500,"&gt;=128400")&gt;0,"X","")</f>
      </c>
      <c r="AQ62" s="56" t="str">
        <f>IF(COUNTIFS('LANÇAMENTOS DIÁRIOS'!$G$5:$G$500,"H",'LANÇAMENTOS DIÁRIOS'!$C$5:$C$500,$A62,'LANÇAMENTOS DIÁRIOS'!$O$5:$O$500,"&lt;=128599",'LANÇAMENTOS DIÁRIOS'!$P$5:$P$500,"&gt;=128500")&gt;0,"X","")</f>
      </c>
      <c r="AR62" s="56" t="str">
        <f>IF(COUNTIFS('LANÇAMENTOS DIÁRIOS'!$G$5:$G$500,"H",'LANÇAMENTOS DIÁRIOS'!$C$5:$C$500,$A62,'LANÇAMENTOS DIÁRIOS'!$O$5:$O$500,"&lt;=128699",'LANÇAMENTOS DIÁRIOS'!$P$5:$P$500,"&gt;=128600")&gt;0,"X","")</f>
      </c>
      <c r="AS62" s="56" t="str">
        <f>IF(COUNTIFS('LANÇAMENTOS DIÁRIOS'!$G$5:$G$500,"H",'LANÇAMENTOS DIÁRIOS'!$C$5:$C$500,$A62,'LANÇAMENTOS DIÁRIOS'!$O$5:$O$500,"&lt;=128799",'LANÇAMENTOS DIÁRIOS'!$P$5:$P$500,"&gt;=128700")&gt;0,"X","")</f>
      </c>
      <c r="AT62" s="56" t="str">
        <f>IF(COUNTIFS('LANÇAMENTOS DIÁRIOS'!$G$5:$G$500,"H",'LANÇAMENTOS DIÁRIOS'!$C$5:$C$500,$A62,'LANÇAMENTOS DIÁRIOS'!$O$5:$O$500,"&lt;=128899",'LANÇAMENTOS DIÁRIOS'!$P$5:$P$500,"&gt;=128800")&gt;0,"X","")</f>
      </c>
      <c r="AU62" s="56" t="str">
        <f>IF(COUNTIFS('LANÇAMENTOS DIÁRIOS'!$G$5:$G$500,"H",'LANÇAMENTOS DIÁRIOS'!$C$5:$C$500,$A62,'LANÇAMENTOS DIÁRIOS'!$O$5:$O$500,"&lt;=128999",'LANÇAMENTOS DIÁRIOS'!$P$5:$P$500,"&gt;=128900")&gt;0,"X","")</f>
      </c>
      <c r="AV62" s="56" t="str">
        <f>IF(COUNTIFS('LANÇAMENTOS DIÁRIOS'!$G$5:$G$500,"H",'LANÇAMENTOS DIÁRIOS'!$C$5:$C$500,$A62,'LANÇAMENTOS DIÁRIOS'!$O$5:$O$500,"&lt;=129099",'LANÇAMENTOS DIÁRIOS'!$P$5:$P$500,"&gt;=129000")&gt;0,"X","")</f>
      </c>
      <c r="AW62" s="56" t="str">
        <f>IF(COUNTIFS('LANÇAMENTOS DIÁRIOS'!$G$5:$G$500,"H",'LANÇAMENTOS DIÁRIOS'!$C$5:$C$500,$A62,'LANÇAMENTOS DIÁRIOS'!$O$5:$O$500,"&lt;=129199",'LANÇAMENTOS DIÁRIOS'!$P$5:$P$500,"&gt;=129100")&gt;0,"X","")</f>
      </c>
      <c r="AX62" s="56" t="str">
        <f>IF(COUNTIFS('LANÇAMENTOS DIÁRIOS'!$G$5:$G$500,"H",'LANÇAMENTOS DIÁRIOS'!$C$5:$C$500,$A62,'LANÇAMENTOS DIÁRIOS'!$O$5:$O$500,"&lt;=129299",'LANÇAMENTOS DIÁRIOS'!$P$5:$P$500,"&gt;=129200")&gt;0,"X","")</f>
      </c>
      <c r="AY62" s="56" t="str">
        <f>IF(COUNTIFS('LANÇAMENTOS DIÁRIOS'!$G$5:$G$500,"H",'LANÇAMENTOS DIÁRIOS'!$C$5:$C$500,$A62,'LANÇAMENTOS DIÁRIOS'!$O$5:$O$500,"&lt;=129399",'LANÇAMENTOS DIÁRIOS'!$P$5:$P$500,"&gt;=129300")&gt;0,"X","")</f>
      </c>
      <c r="AZ62" s="56" t="str">
        <f>IF(COUNTIFS('LANÇAMENTOS DIÁRIOS'!$G$5:$G$500,"H",'LANÇAMENTOS DIÁRIOS'!$C$5:$C$500,$A62,'LANÇAMENTOS DIÁRIOS'!$O$5:$O$500,"&lt;=129400",'LANÇAMENTOS DIÁRIOS'!$P$5:$P$500,"&gt;=129400")&gt;0,"X","")</f>
      </c>
    </row>
    <row r="63">
      <c r="A63" s="51" t="str">
        <v>Compactação de aterro a 100% do proctor intermediário (*)</v>
      </c>
      <c r="B63" s="56" t="str">
        <f>IF(COUNTIFS('LANÇAMENTOS DIÁRIOS'!$G$5:$G$500,"H",'LANÇAMENTOS DIÁRIOS'!$C$5:$C$500,$A63,'LANÇAMENTOS DIÁRIOS'!$O$5:$O$500,"&lt;=124499",'LANÇAMENTOS DIÁRIOS'!$P$5:$P$500,"&gt;=124400")&gt;0,"X","")</f>
      </c>
      <c r="C63" s="56" t="str">
        <f>IF(COUNTIFS('LANÇAMENTOS DIÁRIOS'!$G$5:$G$500,"H",'LANÇAMENTOS DIÁRIOS'!$C$5:$C$500,$A63,'LANÇAMENTOS DIÁRIOS'!$O$5:$O$500,"&lt;=124599",'LANÇAMENTOS DIÁRIOS'!$P$5:$P$500,"&gt;=124500")&gt;0,"X","")</f>
      </c>
      <c r="D63" s="56" t="str">
        <f>IF(COUNTIFS('LANÇAMENTOS DIÁRIOS'!$G$5:$G$500,"H",'LANÇAMENTOS DIÁRIOS'!$C$5:$C$500,$A63,'LANÇAMENTOS DIÁRIOS'!$O$5:$O$500,"&lt;=124699",'LANÇAMENTOS DIÁRIOS'!$P$5:$P$500,"&gt;=124600")&gt;0,"X","")</f>
      </c>
      <c r="E63" s="56" t="str">
        <f>IF(COUNTIFS('LANÇAMENTOS DIÁRIOS'!$G$5:$G$500,"H",'LANÇAMENTOS DIÁRIOS'!$C$5:$C$500,$A63,'LANÇAMENTOS DIÁRIOS'!$O$5:$O$500,"&lt;=124799",'LANÇAMENTOS DIÁRIOS'!$P$5:$P$500,"&gt;=124700")&gt;0,"X","")</f>
      </c>
      <c r="F63" s="56" t="str">
        <f>IF(COUNTIFS('LANÇAMENTOS DIÁRIOS'!$G$5:$G$500,"H",'LANÇAMENTOS DIÁRIOS'!$C$5:$C$500,$A63,'LANÇAMENTOS DIÁRIOS'!$O$5:$O$500,"&lt;=124899",'LANÇAMENTOS DIÁRIOS'!$P$5:$P$500,"&gt;=124800")&gt;0,"X","")</f>
      </c>
      <c r="G63" s="56" t="str">
        <f>IF(COUNTIFS('LANÇAMENTOS DIÁRIOS'!$G$5:$G$500,"H",'LANÇAMENTOS DIÁRIOS'!$C$5:$C$500,$A63,'LANÇAMENTOS DIÁRIOS'!$O$5:$O$500,"&lt;=124999",'LANÇAMENTOS DIÁRIOS'!$P$5:$P$500,"&gt;=124900")&gt;0,"X","")</f>
      </c>
      <c r="H63" s="56" t="str">
        <f>IF(COUNTIFS('LANÇAMENTOS DIÁRIOS'!$G$5:$G$500,"H",'LANÇAMENTOS DIÁRIOS'!$C$5:$C$500,$A63,'LANÇAMENTOS DIÁRIOS'!$O$5:$O$500,"&lt;=125099",'LANÇAMENTOS DIÁRIOS'!$P$5:$P$500,"&gt;=125000")&gt;0,"X","")</f>
      </c>
      <c r="I63" s="56" t="str">
        <f>IF(COUNTIFS('LANÇAMENTOS DIÁRIOS'!$G$5:$G$500,"H",'LANÇAMENTOS DIÁRIOS'!$C$5:$C$500,$A63,'LANÇAMENTOS DIÁRIOS'!$O$5:$O$500,"&lt;=125199",'LANÇAMENTOS DIÁRIOS'!$P$5:$P$500,"&gt;=125100")&gt;0,"X","")</f>
      </c>
      <c r="J63" s="56" t="str">
        <f>IF(COUNTIFS('LANÇAMENTOS DIÁRIOS'!$G$5:$G$500,"H",'LANÇAMENTOS DIÁRIOS'!$C$5:$C$500,$A63,'LANÇAMENTOS DIÁRIOS'!$O$5:$O$500,"&lt;=125299",'LANÇAMENTOS DIÁRIOS'!$P$5:$P$500,"&gt;=125200")&gt;0,"X","")</f>
      </c>
      <c r="K63" s="56" t="str">
        <f>IF(COUNTIFS('LANÇAMENTOS DIÁRIOS'!$G$5:$G$500,"H",'LANÇAMENTOS DIÁRIOS'!$C$5:$C$500,$A63,'LANÇAMENTOS DIÁRIOS'!$O$5:$O$500,"&lt;=125399",'LANÇAMENTOS DIÁRIOS'!$P$5:$P$500,"&gt;=125300")&gt;0,"X","")</f>
      </c>
      <c r="L63" s="56" t="str">
        <f>IF(COUNTIFS('LANÇAMENTOS DIÁRIOS'!$G$5:$G$500,"H",'LANÇAMENTOS DIÁRIOS'!$C$5:$C$500,$A63,'LANÇAMENTOS DIÁRIOS'!$O$5:$O$500,"&lt;=125499",'LANÇAMENTOS DIÁRIOS'!$P$5:$P$500,"&gt;=125400")&gt;0,"X","")</f>
      </c>
      <c r="M63" s="56" t="str">
        <f>IF(COUNTIFS('LANÇAMENTOS DIÁRIOS'!$G$5:$G$500,"H",'LANÇAMENTOS DIÁRIOS'!$C$5:$C$500,$A63,'LANÇAMENTOS DIÁRIOS'!$O$5:$O$500,"&lt;=125599",'LANÇAMENTOS DIÁRIOS'!$P$5:$P$500,"&gt;=125500")&gt;0,"X","")</f>
      </c>
      <c r="N63" s="56" t="str">
        <f>IF(COUNTIFS('LANÇAMENTOS DIÁRIOS'!$G$5:$G$500,"H",'LANÇAMENTOS DIÁRIOS'!$C$5:$C$500,$A63,'LANÇAMENTOS DIÁRIOS'!$O$5:$O$500,"&lt;=125699",'LANÇAMENTOS DIÁRIOS'!$P$5:$P$500,"&gt;=125600")&gt;0,"X","")</f>
      </c>
      <c r="O63" s="56" t="str">
        <f>IF(COUNTIFS('LANÇAMENTOS DIÁRIOS'!$G$5:$G$500,"H",'LANÇAMENTOS DIÁRIOS'!$C$5:$C$500,$A63,'LANÇAMENTOS DIÁRIOS'!$O$5:$O$500,"&lt;=125799",'LANÇAMENTOS DIÁRIOS'!$P$5:$P$500,"&gt;=125700")&gt;0,"X","")</f>
      </c>
      <c r="P63" s="56" t="str">
        <f>IF(COUNTIFS('LANÇAMENTOS DIÁRIOS'!$G$5:$G$500,"H",'LANÇAMENTOS DIÁRIOS'!$C$5:$C$500,$A63,'LANÇAMENTOS DIÁRIOS'!$O$5:$O$500,"&lt;=125899",'LANÇAMENTOS DIÁRIOS'!$P$5:$P$500,"&gt;=125800")&gt;0,"X","")</f>
      </c>
      <c r="Q63" s="56" t="str">
        <f>IF(COUNTIFS('LANÇAMENTOS DIÁRIOS'!$G$5:$G$500,"H",'LANÇAMENTOS DIÁRIOS'!$C$5:$C$500,$A63,'LANÇAMENTOS DIÁRIOS'!$O$5:$O$500,"&lt;=125999",'LANÇAMENTOS DIÁRIOS'!$P$5:$P$500,"&gt;=125900")&gt;0,"X","")</f>
      </c>
      <c r="R63" s="56" t="str">
        <f>IF(COUNTIFS('LANÇAMENTOS DIÁRIOS'!$G$5:$G$500,"H",'LANÇAMENTOS DIÁRIOS'!$C$5:$C$500,$A63,'LANÇAMENTOS DIÁRIOS'!$O$5:$O$500,"&lt;=126099",'LANÇAMENTOS DIÁRIOS'!$P$5:$P$500,"&gt;=126000")&gt;0,"X","")</f>
      </c>
      <c r="S63" s="56" t="str">
        <f>IF(COUNTIFS('LANÇAMENTOS DIÁRIOS'!$G$5:$G$500,"H",'LANÇAMENTOS DIÁRIOS'!$C$5:$C$500,$A63,'LANÇAMENTOS DIÁRIOS'!$O$5:$O$500,"&lt;=126199",'LANÇAMENTOS DIÁRIOS'!$P$5:$P$500,"&gt;=126100")&gt;0,"X","")</f>
      </c>
      <c r="T63" s="56" t="str">
        <f>IF(COUNTIFS('LANÇAMENTOS DIÁRIOS'!$G$5:$G$500,"H",'LANÇAMENTOS DIÁRIOS'!$C$5:$C$500,$A63,'LANÇAMENTOS DIÁRIOS'!$O$5:$O$500,"&lt;=126299",'LANÇAMENTOS DIÁRIOS'!$P$5:$P$500,"&gt;=126200")&gt;0,"X","")</f>
      </c>
      <c r="U63" s="56" t="str">
        <f>IF(COUNTIFS('LANÇAMENTOS DIÁRIOS'!$G$5:$G$500,"H",'LANÇAMENTOS DIÁRIOS'!$C$5:$C$500,$A63,'LANÇAMENTOS DIÁRIOS'!$O$5:$O$500,"&lt;=126399",'LANÇAMENTOS DIÁRIOS'!$P$5:$P$500,"&gt;=126300")&gt;0,"X","")</f>
      </c>
      <c r="V63" s="56" t="str">
        <f>IF(COUNTIFS('LANÇAMENTOS DIÁRIOS'!$G$5:$G$500,"H",'LANÇAMENTOS DIÁRIOS'!$C$5:$C$500,$A63,'LANÇAMENTOS DIÁRIOS'!$O$5:$O$500,"&lt;=126499",'LANÇAMENTOS DIÁRIOS'!$P$5:$P$500,"&gt;=126400")&gt;0,"X","")</f>
      </c>
      <c r="W63" s="56" t="str">
        <f>IF(COUNTIFS('LANÇAMENTOS DIÁRIOS'!$G$5:$G$500,"H",'LANÇAMENTOS DIÁRIOS'!$C$5:$C$500,$A63,'LANÇAMENTOS DIÁRIOS'!$O$5:$O$500,"&lt;=126599",'LANÇAMENTOS DIÁRIOS'!$P$5:$P$500,"&gt;=126500")&gt;0,"X","")</f>
      </c>
      <c r="X63" s="56" t="str">
        <f>IF(COUNTIFS('LANÇAMENTOS DIÁRIOS'!$G$5:$G$500,"H",'LANÇAMENTOS DIÁRIOS'!$C$5:$C$500,$A63,'LANÇAMENTOS DIÁRIOS'!$O$5:$O$500,"&lt;=126699",'LANÇAMENTOS DIÁRIOS'!$P$5:$P$500,"&gt;=126600")&gt;0,"X","")</f>
      </c>
      <c r="Y63" s="56" t="str">
        <f>IF(COUNTIFS('LANÇAMENTOS DIÁRIOS'!$G$5:$G$500,"H",'LANÇAMENTOS DIÁRIOS'!$C$5:$C$500,$A63,'LANÇAMENTOS DIÁRIOS'!$O$5:$O$500,"&lt;=126799",'LANÇAMENTOS DIÁRIOS'!$P$5:$P$500,"&gt;=126700")&gt;0,"X","")</f>
      </c>
      <c r="Z63" s="56" t="str">
        <f>IF(COUNTIFS('LANÇAMENTOS DIÁRIOS'!$G$5:$G$500,"H",'LANÇAMENTOS DIÁRIOS'!$C$5:$C$500,$A63,'LANÇAMENTOS DIÁRIOS'!$O$5:$O$500,"&lt;=126899",'LANÇAMENTOS DIÁRIOS'!$P$5:$P$500,"&gt;=126800")&gt;0,"X","")</f>
      </c>
      <c r="AA63" s="56" t="str">
        <f>IF(COUNTIFS('LANÇAMENTOS DIÁRIOS'!$G$5:$G$500,"H",'LANÇAMENTOS DIÁRIOS'!$C$5:$C$500,$A63,'LANÇAMENTOS DIÁRIOS'!$O$5:$O$500,"&lt;=126999",'LANÇAMENTOS DIÁRIOS'!$P$5:$P$500,"&gt;=126900")&gt;0,"X","")</f>
      </c>
      <c r="AB63" s="56" t="str">
        <f>IF(COUNTIFS('LANÇAMENTOS DIÁRIOS'!$G$5:$G$500,"H",'LANÇAMENTOS DIÁRIOS'!$C$5:$C$500,$A63,'LANÇAMENTOS DIÁRIOS'!$O$5:$O$500,"&lt;=127099",'LANÇAMENTOS DIÁRIOS'!$P$5:$P$500,"&gt;=127000")&gt;0,"X","")</f>
      </c>
      <c r="AC63" s="56" t="str">
        <f>IF(COUNTIFS('LANÇAMENTOS DIÁRIOS'!$G$5:$G$500,"H",'LANÇAMENTOS DIÁRIOS'!$C$5:$C$500,$A63,'LANÇAMENTOS DIÁRIOS'!$O$5:$O$500,"&lt;=127199",'LANÇAMENTOS DIÁRIOS'!$P$5:$P$500,"&gt;=127100")&gt;0,"X","")</f>
      </c>
      <c r="AD63" s="56" t="str">
        <f>IF(COUNTIFS('LANÇAMENTOS DIÁRIOS'!$G$5:$G$500,"H",'LANÇAMENTOS DIÁRIOS'!$C$5:$C$500,$A63,'LANÇAMENTOS DIÁRIOS'!$O$5:$O$500,"&lt;=127299",'LANÇAMENTOS DIÁRIOS'!$P$5:$P$500,"&gt;=127200")&gt;0,"X","")</f>
      </c>
      <c r="AE63" s="56" t="str">
        <f>IF(COUNTIFS('LANÇAMENTOS DIÁRIOS'!$G$5:$G$500,"H",'LANÇAMENTOS DIÁRIOS'!$C$5:$C$500,$A63,'LANÇAMENTOS DIÁRIOS'!$O$5:$O$500,"&lt;=127399",'LANÇAMENTOS DIÁRIOS'!$P$5:$P$500,"&gt;=127300")&gt;0,"X","")</f>
      </c>
      <c r="AF63" s="56" t="str">
        <f>IF(COUNTIFS('LANÇAMENTOS DIÁRIOS'!$G$5:$G$500,"H",'LANÇAMENTOS DIÁRIOS'!$C$5:$C$500,$A63,'LANÇAMENTOS DIÁRIOS'!$O$5:$O$500,"&lt;=127499",'LANÇAMENTOS DIÁRIOS'!$P$5:$P$500,"&gt;=127400")&gt;0,"X","")</f>
      </c>
      <c r="AG63" s="56" t="str">
        <f>IF(COUNTIFS('LANÇAMENTOS DIÁRIOS'!$G$5:$G$500,"H",'LANÇAMENTOS DIÁRIOS'!$C$5:$C$500,$A63,'LANÇAMENTOS DIÁRIOS'!$O$5:$O$500,"&lt;=127599",'LANÇAMENTOS DIÁRIOS'!$P$5:$P$500,"&gt;=127500")&gt;0,"X","")</f>
      </c>
      <c r="AH63" s="56" t="str">
        <f>IF(COUNTIFS('LANÇAMENTOS DIÁRIOS'!$G$5:$G$500,"H",'LANÇAMENTOS DIÁRIOS'!$C$5:$C$500,$A63,'LANÇAMENTOS DIÁRIOS'!$O$5:$O$500,"&lt;=127699",'LANÇAMENTOS DIÁRIOS'!$P$5:$P$500,"&gt;=127600")&gt;0,"X","")</f>
      </c>
      <c r="AI63" s="56" t="str">
        <f>IF(COUNTIFS('LANÇAMENTOS DIÁRIOS'!$G$5:$G$500,"H",'LANÇAMENTOS DIÁRIOS'!$C$5:$C$500,$A63,'LANÇAMENTOS DIÁRIOS'!$O$5:$O$500,"&lt;=127799",'LANÇAMENTOS DIÁRIOS'!$P$5:$P$500,"&gt;=127700")&gt;0,"X","")</f>
      </c>
      <c r="AJ63" s="56" t="str">
        <f>IF(COUNTIFS('LANÇAMENTOS DIÁRIOS'!$G$5:$G$500,"H",'LANÇAMENTOS DIÁRIOS'!$C$5:$C$500,$A63,'LANÇAMENTOS DIÁRIOS'!$O$5:$O$500,"&lt;=127899",'LANÇAMENTOS DIÁRIOS'!$P$5:$P$500,"&gt;=127800")&gt;0,"X","")</f>
      </c>
      <c r="AK63" s="56" t="str">
        <f>IF(COUNTIFS('LANÇAMENTOS DIÁRIOS'!$G$5:$G$500,"H",'LANÇAMENTOS DIÁRIOS'!$C$5:$C$500,$A63,'LANÇAMENTOS DIÁRIOS'!$O$5:$O$500,"&lt;=127999",'LANÇAMENTOS DIÁRIOS'!$P$5:$P$500,"&gt;=127900")&gt;0,"X","")</f>
      </c>
      <c r="AL63" s="56" t="str">
        <f>IF(COUNTIFS('LANÇAMENTOS DIÁRIOS'!$G$5:$G$500,"H",'LANÇAMENTOS DIÁRIOS'!$C$5:$C$500,$A63,'LANÇAMENTOS DIÁRIOS'!$O$5:$O$500,"&lt;=128099",'LANÇAMENTOS DIÁRIOS'!$P$5:$P$500,"&gt;=128000")&gt;0,"X","")</f>
      </c>
      <c r="AM63" s="56" t="str">
        <f>IF(COUNTIFS('LANÇAMENTOS DIÁRIOS'!$G$5:$G$500,"H",'LANÇAMENTOS DIÁRIOS'!$C$5:$C$500,$A63,'LANÇAMENTOS DIÁRIOS'!$O$5:$O$500,"&lt;=128199",'LANÇAMENTOS DIÁRIOS'!$P$5:$P$500,"&gt;=128100")&gt;0,"X","")</f>
      </c>
      <c r="AN63" s="56" t="str">
        <f>IF(COUNTIFS('LANÇAMENTOS DIÁRIOS'!$G$5:$G$500,"H",'LANÇAMENTOS DIÁRIOS'!$C$5:$C$500,$A63,'LANÇAMENTOS DIÁRIOS'!$O$5:$O$500,"&lt;=128299",'LANÇAMENTOS DIÁRIOS'!$P$5:$P$500,"&gt;=128200")&gt;0,"X","")</f>
      </c>
      <c r="AO63" s="56" t="str">
        <f>IF(COUNTIFS('LANÇAMENTOS DIÁRIOS'!$G$5:$G$500,"H",'LANÇAMENTOS DIÁRIOS'!$C$5:$C$500,$A63,'LANÇAMENTOS DIÁRIOS'!$O$5:$O$500,"&lt;=128399",'LANÇAMENTOS DIÁRIOS'!$P$5:$P$500,"&gt;=128300")&gt;0,"X","")</f>
      </c>
      <c r="AP63" s="56" t="str">
        <f>IF(COUNTIFS('LANÇAMENTOS DIÁRIOS'!$G$5:$G$500,"H",'LANÇAMENTOS DIÁRIOS'!$C$5:$C$500,$A63,'LANÇAMENTOS DIÁRIOS'!$O$5:$O$500,"&lt;=128499",'LANÇAMENTOS DIÁRIOS'!$P$5:$P$500,"&gt;=128400")&gt;0,"X","")</f>
      </c>
      <c r="AQ63" s="56" t="str">
        <f>IF(COUNTIFS('LANÇAMENTOS DIÁRIOS'!$G$5:$G$500,"H",'LANÇAMENTOS DIÁRIOS'!$C$5:$C$500,$A63,'LANÇAMENTOS DIÁRIOS'!$O$5:$O$500,"&lt;=128599",'LANÇAMENTOS DIÁRIOS'!$P$5:$P$500,"&gt;=128500")&gt;0,"X","")</f>
      </c>
      <c r="AR63" s="56" t="str">
        <f>IF(COUNTIFS('LANÇAMENTOS DIÁRIOS'!$G$5:$G$500,"H",'LANÇAMENTOS DIÁRIOS'!$C$5:$C$500,$A63,'LANÇAMENTOS DIÁRIOS'!$O$5:$O$500,"&lt;=128699",'LANÇAMENTOS DIÁRIOS'!$P$5:$P$500,"&gt;=128600")&gt;0,"X","")</f>
      </c>
      <c r="AS63" s="56" t="str">
        <f>IF(COUNTIFS('LANÇAMENTOS DIÁRIOS'!$G$5:$G$500,"H",'LANÇAMENTOS DIÁRIOS'!$C$5:$C$500,$A63,'LANÇAMENTOS DIÁRIOS'!$O$5:$O$500,"&lt;=128799",'LANÇAMENTOS DIÁRIOS'!$P$5:$P$500,"&gt;=128700")&gt;0,"X","")</f>
      </c>
      <c r="AT63" s="56" t="str">
        <f>IF(COUNTIFS('LANÇAMENTOS DIÁRIOS'!$G$5:$G$500,"H",'LANÇAMENTOS DIÁRIOS'!$C$5:$C$500,$A63,'LANÇAMENTOS DIÁRIOS'!$O$5:$O$500,"&lt;=128899",'LANÇAMENTOS DIÁRIOS'!$P$5:$P$500,"&gt;=128800")&gt;0,"X","")</f>
      </c>
      <c r="AU63" s="56" t="str">
        <f>IF(COUNTIFS('LANÇAMENTOS DIÁRIOS'!$G$5:$G$500,"H",'LANÇAMENTOS DIÁRIOS'!$C$5:$C$500,$A63,'LANÇAMENTOS DIÁRIOS'!$O$5:$O$500,"&lt;=128999",'LANÇAMENTOS DIÁRIOS'!$P$5:$P$500,"&gt;=128900")&gt;0,"X","")</f>
      </c>
      <c r="AV63" s="56" t="str">
        <f>IF(COUNTIFS('LANÇAMENTOS DIÁRIOS'!$G$5:$G$500,"H",'LANÇAMENTOS DIÁRIOS'!$C$5:$C$500,$A63,'LANÇAMENTOS DIÁRIOS'!$O$5:$O$500,"&lt;=129099",'LANÇAMENTOS DIÁRIOS'!$P$5:$P$500,"&gt;=129000")&gt;0,"X","")</f>
      </c>
      <c r="AW63" s="56" t="str">
        <f>IF(COUNTIFS('LANÇAMENTOS DIÁRIOS'!$G$5:$G$500,"H",'LANÇAMENTOS DIÁRIOS'!$C$5:$C$500,$A63,'LANÇAMENTOS DIÁRIOS'!$O$5:$O$500,"&lt;=129199",'LANÇAMENTOS DIÁRIOS'!$P$5:$P$500,"&gt;=129100")&gt;0,"X","")</f>
      </c>
      <c r="AX63" s="56" t="str">
        <f>IF(COUNTIFS('LANÇAMENTOS DIÁRIOS'!$G$5:$G$500,"H",'LANÇAMENTOS DIÁRIOS'!$C$5:$C$500,$A63,'LANÇAMENTOS DIÁRIOS'!$O$5:$O$500,"&lt;=129299",'LANÇAMENTOS DIÁRIOS'!$P$5:$P$500,"&gt;=129200")&gt;0,"X","")</f>
      </c>
      <c r="AY63" s="56" t="str">
        <f>IF(COUNTIFS('LANÇAMENTOS DIÁRIOS'!$G$5:$G$500,"H",'LANÇAMENTOS DIÁRIOS'!$C$5:$C$500,$A63,'LANÇAMENTOS DIÁRIOS'!$O$5:$O$500,"&lt;=129399",'LANÇAMENTOS DIÁRIOS'!$P$5:$P$500,"&gt;=129300")&gt;0,"X","")</f>
      </c>
      <c r="AZ63" s="56" t="str">
        <f>IF(COUNTIFS('LANÇAMENTOS DIÁRIOS'!$G$5:$G$500,"H",'LANÇAMENTOS DIÁRIOS'!$C$5:$C$500,$A63,'LANÇAMENTOS DIÁRIOS'!$O$5:$O$500,"&lt;=129400",'LANÇAMENTOS DIÁRIOS'!$P$5:$P$500,"&gt;=129400")&gt;0,"X","")</f>
      </c>
    </row>
    <row r="64" ht="19" customHeight="1">
      <c r="A64" s="68" t="str">
        <v>Aplicação de geomanta e geogrelha</v>
      </c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</row>
    <row r="65">
      <c r="A65" s="51" t="str">
        <v>Geogrelha uniaxial com deformação máxima de 10% e resistência nominal de 100kN/m - Sem o fronecimento de materiais</v>
      </c>
      <c r="B65" s="56" t="str">
        <f>IF(COUNTIFS('LANÇAMENTOS DIÁRIOS'!$G$5:$G$500,"H",'LANÇAMENTOS DIÁRIOS'!$C$5:$C$500,$A65,'LANÇAMENTOS DIÁRIOS'!$O$5:$O$500,"&lt;=124499",'LANÇAMENTOS DIÁRIOS'!$P$5:$P$500,"&gt;=124400")&gt;0,"X","")</f>
      </c>
      <c r="C65" s="56" t="str">
        <f>IF(COUNTIFS('LANÇAMENTOS DIÁRIOS'!$G$5:$G$500,"H",'LANÇAMENTOS DIÁRIOS'!$C$5:$C$500,$A65,'LANÇAMENTOS DIÁRIOS'!$O$5:$O$500,"&lt;=124599",'LANÇAMENTOS DIÁRIOS'!$P$5:$P$500,"&gt;=124500")&gt;0,"X","")</f>
      </c>
      <c r="D65" s="56" t="str">
        <f>IF(COUNTIFS('LANÇAMENTOS DIÁRIOS'!$G$5:$G$500,"H",'LANÇAMENTOS DIÁRIOS'!$C$5:$C$500,$A65,'LANÇAMENTOS DIÁRIOS'!$O$5:$O$500,"&lt;=124699",'LANÇAMENTOS DIÁRIOS'!$P$5:$P$500,"&gt;=124600")&gt;0,"X","")</f>
      </c>
      <c r="E65" s="56" t="str">
        <f>IF(COUNTIFS('LANÇAMENTOS DIÁRIOS'!$G$5:$G$500,"H",'LANÇAMENTOS DIÁRIOS'!$C$5:$C$500,$A65,'LANÇAMENTOS DIÁRIOS'!$O$5:$O$500,"&lt;=124799",'LANÇAMENTOS DIÁRIOS'!$P$5:$P$500,"&gt;=124700")&gt;0,"X","")</f>
      </c>
      <c r="F65" s="56" t="str">
        <f>IF(COUNTIFS('LANÇAMENTOS DIÁRIOS'!$G$5:$G$500,"H",'LANÇAMENTOS DIÁRIOS'!$C$5:$C$500,$A65,'LANÇAMENTOS DIÁRIOS'!$O$5:$O$500,"&lt;=124899",'LANÇAMENTOS DIÁRIOS'!$P$5:$P$500,"&gt;=124800")&gt;0,"X","")</f>
      </c>
      <c r="G65" s="56" t="str">
        <f>IF(COUNTIFS('LANÇAMENTOS DIÁRIOS'!$G$5:$G$500,"H",'LANÇAMENTOS DIÁRIOS'!$C$5:$C$500,$A65,'LANÇAMENTOS DIÁRIOS'!$O$5:$O$500,"&lt;=124999",'LANÇAMENTOS DIÁRIOS'!$P$5:$P$500,"&gt;=124900")&gt;0,"X","")</f>
      </c>
      <c r="H65" s="56" t="str">
        <f>IF(COUNTIFS('LANÇAMENTOS DIÁRIOS'!$G$5:$G$500,"H",'LANÇAMENTOS DIÁRIOS'!$C$5:$C$500,$A65,'LANÇAMENTOS DIÁRIOS'!$O$5:$O$500,"&lt;=125099",'LANÇAMENTOS DIÁRIOS'!$P$5:$P$500,"&gt;=125000")&gt;0,"X","")</f>
      </c>
      <c r="I65" s="56" t="str">
        <f>IF(COUNTIFS('LANÇAMENTOS DIÁRIOS'!$G$5:$G$500,"H",'LANÇAMENTOS DIÁRIOS'!$C$5:$C$500,$A65,'LANÇAMENTOS DIÁRIOS'!$O$5:$O$500,"&lt;=125199",'LANÇAMENTOS DIÁRIOS'!$P$5:$P$500,"&gt;=125100")&gt;0,"X","")</f>
      </c>
      <c r="J65" s="56" t="str">
        <f>IF(COUNTIFS('LANÇAMENTOS DIÁRIOS'!$G$5:$G$500,"H",'LANÇAMENTOS DIÁRIOS'!$C$5:$C$500,$A65,'LANÇAMENTOS DIÁRIOS'!$O$5:$O$500,"&lt;=125299",'LANÇAMENTOS DIÁRIOS'!$P$5:$P$500,"&gt;=125200")&gt;0,"X","")</f>
      </c>
      <c r="K65" s="56" t="str">
        <f>IF(COUNTIFS('LANÇAMENTOS DIÁRIOS'!$G$5:$G$500,"H",'LANÇAMENTOS DIÁRIOS'!$C$5:$C$500,$A65,'LANÇAMENTOS DIÁRIOS'!$O$5:$O$500,"&lt;=125399",'LANÇAMENTOS DIÁRIOS'!$P$5:$P$500,"&gt;=125300")&gt;0,"X","")</f>
      </c>
      <c r="L65" s="56" t="str">
        <f>IF(COUNTIFS('LANÇAMENTOS DIÁRIOS'!$G$5:$G$500,"H",'LANÇAMENTOS DIÁRIOS'!$C$5:$C$500,$A65,'LANÇAMENTOS DIÁRIOS'!$O$5:$O$500,"&lt;=125499",'LANÇAMENTOS DIÁRIOS'!$P$5:$P$500,"&gt;=125400")&gt;0,"X","")</f>
      </c>
      <c r="M65" s="56" t="str">
        <f>IF(COUNTIFS('LANÇAMENTOS DIÁRIOS'!$G$5:$G$500,"H",'LANÇAMENTOS DIÁRIOS'!$C$5:$C$500,$A65,'LANÇAMENTOS DIÁRIOS'!$O$5:$O$500,"&lt;=125599",'LANÇAMENTOS DIÁRIOS'!$P$5:$P$500,"&gt;=125500")&gt;0,"X","")</f>
      </c>
      <c r="N65" s="56" t="str">
        <f>IF(COUNTIFS('LANÇAMENTOS DIÁRIOS'!$G$5:$G$500,"H",'LANÇAMENTOS DIÁRIOS'!$C$5:$C$500,$A65,'LANÇAMENTOS DIÁRIOS'!$O$5:$O$500,"&lt;=125699",'LANÇAMENTOS DIÁRIOS'!$P$5:$P$500,"&gt;=125600")&gt;0,"X","")</f>
      </c>
      <c r="O65" s="56" t="str">
        <f>IF(COUNTIFS('LANÇAMENTOS DIÁRIOS'!$G$5:$G$500,"H",'LANÇAMENTOS DIÁRIOS'!$C$5:$C$500,$A65,'LANÇAMENTOS DIÁRIOS'!$O$5:$O$500,"&lt;=125799",'LANÇAMENTOS DIÁRIOS'!$P$5:$P$500,"&gt;=125700")&gt;0,"X","")</f>
      </c>
      <c r="P65" s="56" t="str">
        <f>IF(COUNTIFS('LANÇAMENTOS DIÁRIOS'!$G$5:$G$500,"H",'LANÇAMENTOS DIÁRIOS'!$C$5:$C$500,$A65,'LANÇAMENTOS DIÁRIOS'!$O$5:$O$500,"&lt;=125899",'LANÇAMENTOS DIÁRIOS'!$P$5:$P$500,"&gt;=125800")&gt;0,"X","")</f>
      </c>
      <c r="Q65" s="56" t="str">
        <f>IF(COUNTIFS('LANÇAMENTOS DIÁRIOS'!$G$5:$G$500,"H",'LANÇAMENTOS DIÁRIOS'!$C$5:$C$500,$A65,'LANÇAMENTOS DIÁRIOS'!$O$5:$O$500,"&lt;=125999",'LANÇAMENTOS DIÁRIOS'!$P$5:$P$500,"&gt;=125900")&gt;0,"X","")</f>
      </c>
      <c r="R65" s="56" t="str">
        <f>IF(COUNTIFS('LANÇAMENTOS DIÁRIOS'!$G$5:$G$500,"H",'LANÇAMENTOS DIÁRIOS'!$C$5:$C$500,$A65,'LANÇAMENTOS DIÁRIOS'!$O$5:$O$500,"&lt;=126099",'LANÇAMENTOS DIÁRIOS'!$P$5:$P$500,"&gt;=126000")&gt;0,"X","")</f>
      </c>
      <c r="S65" s="56" t="str">
        <f>IF(COUNTIFS('LANÇAMENTOS DIÁRIOS'!$G$5:$G$500,"H",'LANÇAMENTOS DIÁRIOS'!$C$5:$C$500,$A65,'LANÇAMENTOS DIÁRIOS'!$O$5:$O$500,"&lt;=126199",'LANÇAMENTOS DIÁRIOS'!$P$5:$P$500,"&gt;=126100")&gt;0,"X","")</f>
      </c>
      <c r="T65" s="56" t="str">
        <f>IF(COUNTIFS('LANÇAMENTOS DIÁRIOS'!$G$5:$G$500,"H",'LANÇAMENTOS DIÁRIOS'!$C$5:$C$500,$A65,'LANÇAMENTOS DIÁRIOS'!$O$5:$O$500,"&lt;=126299",'LANÇAMENTOS DIÁRIOS'!$P$5:$P$500,"&gt;=126200")&gt;0,"X","")</f>
      </c>
      <c r="U65" s="56" t="str">
        <f>IF(COUNTIFS('LANÇAMENTOS DIÁRIOS'!$G$5:$G$500,"H",'LANÇAMENTOS DIÁRIOS'!$C$5:$C$500,$A65,'LANÇAMENTOS DIÁRIOS'!$O$5:$O$500,"&lt;=126399",'LANÇAMENTOS DIÁRIOS'!$P$5:$P$500,"&gt;=126300")&gt;0,"X","")</f>
      </c>
      <c r="V65" s="56" t="str">
        <f>IF(COUNTIFS('LANÇAMENTOS DIÁRIOS'!$G$5:$G$500,"H",'LANÇAMENTOS DIÁRIOS'!$C$5:$C$500,$A65,'LANÇAMENTOS DIÁRIOS'!$O$5:$O$500,"&lt;=126499",'LANÇAMENTOS DIÁRIOS'!$P$5:$P$500,"&gt;=126400")&gt;0,"X","")</f>
      </c>
      <c r="W65" s="56" t="str">
        <f>IF(COUNTIFS('LANÇAMENTOS DIÁRIOS'!$G$5:$G$500,"H",'LANÇAMENTOS DIÁRIOS'!$C$5:$C$500,$A65,'LANÇAMENTOS DIÁRIOS'!$O$5:$O$500,"&lt;=126599",'LANÇAMENTOS DIÁRIOS'!$P$5:$P$500,"&gt;=126500")&gt;0,"X","")</f>
      </c>
      <c r="X65" s="56" t="str">
        <f>IF(COUNTIFS('LANÇAMENTOS DIÁRIOS'!$G$5:$G$500,"H",'LANÇAMENTOS DIÁRIOS'!$C$5:$C$500,$A65,'LANÇAMENTOS DIÁRIOS'!$O$5:$O$500,"&lt;=126699",'LANÇAMENTOS DIÁRIOS'!$P$5:$P$500,"&gt;=126600")&gt;0,"X","")</f>
      </c>
      <c r="Y65" s="56" t="str">
        <f>IF(COUNTIFS('LANÇAMENTOS DIÁRIOS'!$G$5:$G$500,"H",'LANÇAMENTOS DIÁRIOS'!$C$5:$C$500,$A65,'LANÇAMENTOS DIÁRIOS'!$O$5:$O$500,"&lt;=126799",'LANÇAMENTOS DIÁRIOS'!$P$5:$P$500,"&gt;=126700")&gt;0,"X","")</f>
      </c>
      <c r="Z65" s="56" t="str">
        <f>IF(COUNTIFS('LANÇAMENTOS DIÁRIOS'!$G$5:$G$500,"H",'LANÇAMENTOS DIÁRIOS'!$C$5:$C$500,$A65,'LANÇAMENTOS DIÁRIOS'!$O$5:$O$500,"&lt;=126899",'LANÇAMENTOS DIÁRIOS'!$P$5:$P$500,"&gt;=126800")&gt;0,"X","")</f>
      </c>
      <c r="AA65" s="56" t="str">
        <f>IF(COUNTIFS('LANÇAMENTOS DIÁRIOS'!$G$5:$G$500,"H",'LANÇAMENTOS DIÁRIOS'!$C$5:$C$500,$A65,'LANÇAMENTOS DIÁRIOS'!$O$5:$O$500,"&lt;=126999",'LANÇAMENTOS DIÁRIOS'!$P$5:$P$500,"&gt;=126900")&gt;0,"X","")</f>
      </c>
      <c r="AB65" s="56" t="str">
        <f>IF(COUNTIFS('LANÇAMENTOS DIÁRIOS'!$G$5:$G$500,"H",'LANÇAMENTOS DIÁRIOS'!$C$5:$C$500,$A65,'LANÇAMENTOS DIÁRIOS'!$O$5:$O$500,"&lt;=127099",'LANÇAMENTOS DIÁRIOS'!$P$5:$P$500,"&gt;=127000")&gt;0,"X","")</f>
      </c>
      <c r="AC65" s="56" t="str">
        <f>IF(COUNTIFS('LANÇAMENTOS DIÁRIOS'!$G$5:$G$500,"H",'LANÇAMENTOS DIÁRIOS'!$C$5:$C$500,$A65,'LANÇAMENTOS DIÁRIOS'!$O$5:$O$500,"&lt;=127199",'LANÇAMENTOS DIÁRIOS'!$P$5:$P$500,"&gt;=127100")&gt;0,"X","")</f>
      </c>
      <c r="AD65" s="56" t="str">
        <f>IF(COUNTIFS('LANÇAMENTOS DIÁRIOS'!$G$5:$G$500,"H",'LANÇAMENTOS DIÁRIOS'!$C$5:$C$500,$A65,'LANÇAMENTOS DIÁRIOS'!$O$5:$O$500,"&lt;=127299",'LANÇAMENTOS DIÁRIOS'!$P$5:$P$500,"&gt;=127200")&gt;0,"X","")</f>
      </c>
      <c r="AE65" s="56" t="str">
        <f>IF(COUNTIFS('LANÇAMENTOS DIÁRIOS'!$G$5:$G$500,"H",'LANÇAMENTOS DIÁRIOS'!$C$5:$C$500,$A65,'LANÇAMENTOS DIÁRIOS'!$O$5:$O$500,"&lt;=127399",'LANÇAMENTOS DIÁRIOS'!$P$5:$P$500,"&gt;=127300")&gt;0,"X","")</f>
      </c>
      <c r="AF65" s="56" t="str">
        <f>IF(COUNTIFS('LANÇAMENTOS DIÁRIOS'!$G$5:$G$500,"H",'LANÇAMENTOS DIÁRIOS'!$C$5:$C$500,$A65,'LANÇAMENTOS DIÁRIOS'!$O$5:$O$500,"&lt;=127499",'LANÇAMENTOS DIÁRIOS'!$P$5:$P$500,"&gt;=127400")&gt;0,"X","")</f>
      </c>
      <c r="AG65" s="56" t="str">
        <f>IF(COUNTIFS('LANÇAMENTOS DIÁRIOS'!$G$5:$G$500,"H",'LANÇAMENTOS DIÁRIOS'!$C$5:$C$500,$A65,'LANÇAMENTOS DIÁRIOS'!$O$5:$O$500,"&lt;=127599",'LANÇAMENTOS DIÁRIOS'!$P$5:$P$500,"&gt;=127500")&gt;0,"X","")</f>
      </c>
      <c r="AH65" s="56" t="str">
        <f>IF(COUNTIFS('LANÇAMENTOS DIÁRIOS'!$G$5:$G$500,"H",'LANÇAMENTOS DIÁRIOS'!$C$5:$C$500,$A65,'LANÇAMENTOS DIÁRIOS'!$O$5:$O$500,"&lt;=127699",'LANÇAMENTOS DIÁRIOS'!$P$5:$P$500,"&gt;=127600")&gt;0,"X","")</f>
      </c>
      <c r="AI65" s="56" t="str">
        <f>IF(COUNTIFS('LANÇAMENTOS DIÁRIOS'!$G$5:$G$500,"H",'LANÇAMENTOS DIÁRIOS'!$C$5:$C$500,$A65,'LANÇAMENTOS DIÁRIOS'!$O$5:$O$500,"&lt;=127799",'LANÇAMENTOS DIÁRIOS'!$P$5:$P$500,"&gt;=127700")&gt;0,"X","")</f>
      </c>
      <c r="AJ65" s="56" t="str">
        <f>IF(COUNTIFS('LANÇAMENTOS DIÁRIOS'!$G$5:$G$500,"H",'LANÇAMENTOS DIÁRIOS'!$C$5:$C$500,$A65,'LANÇAMENTOS DIÁRIOS'!$O$5:$O$500,"&lt;=127899",'LANÇAMENTOS DIÁRIOS'!$P$5:$P$500,"&gt;=127800")&gt;0,"X","")</f>
      </c>
      <c r="AK65" s="56" t="str">
        <f>IF(COUNTIFS('LANÇAMENTOS DIÁRIOS'!$G$5:$G$500,"H",'LANÇAMENTOS DIÁRIOS'!$C$5:$C$500,$A65,'LANÇAMENTOS DIÁRIOS'!$O$5:$O$500,"&lt;=127999",'LANÇAMENTOS DIÁRIOS'!$P$5:$P$500,"&gt;=127900")&gt;0,"X","")</f>
      </c>
      <c r="AL65" s="56" t="str">
        <f>IF(COUNTIFS('LANÇAMENTOS DIÁRIOS'!$G$5:$G$500,"H",'LANÇAMENTOS DIÁRIOS'!$C$5:$C$500,$A65,'LANÇAMENTOS DIÁRIOS'!$O$5:$O$500,"&lt;=128099",'LANÇAMENTOS DIÁRIOS'!$P$5:$P$500,"&gt;=128000")&gt;0,"X","")</f>
      </c>
      <c r="AM65" s="56" t="str">
        <f>IF(COUNTIFS('LANÇAMENTOS DIÁRIOS'!$G$5:$G$500,"H",'LANÇAMENTOS DIÁRIOS'!$C$5:$C$500,$A65,'LANÇAMENTOS DIÁRIOS'!$O$5:$O$500,"&lt;=128199",'LANÇAMENTOS DIÁRIOS'!$P$5:$P$500,"&gt;=128100")&gt;0,"X","")</f>
      </c>
      <c r="AN65" s="56" t="str">
        <f>IF(COUNTIFS('LANÇAMENTOS DIÁRIOS'!$G$5:$G$500,"H",'LANÇAMENTOS DIÁRIOS'!$C$5:$C$500,$A65,'LANÇAMENTOS DIÁRIOS'!$O$5:$O$500,"&lt;=128299",'LANÇAMENTOS DIÁRIOS'!$P$5:$P$500,"&gt;=128200")&gt;0,"X","")</f>
      </c>
      <c r="AO65" s="56" t="str">
        <f>IF(COUNTIFS('LANÇAMENTOS DIÁRIOS'!$G$5:$G$500,"H",'LANÇAMENTOS DIÁRIOS'!$C$5:$C$500,$A65,'LANÇAMENTOS DIÁRIOS'!$O$5:$O$500,"&lt;=128399",'LANÇAMENTOS DIÁRIOS'!$P$5:$P$500,"&gt;=128300")&gt;0,"X","")</f>
      </c>
      <c r="AP65" s="56" t="str">
        <f>IF(COUNTIFS('LANÇAMENTOS DIÁRIOS'!$G$5:$G$500,"H",'LANÇAMENTOS DIÁRIOS'!$C$5:$C$500,$A65,'LANÇAMENTOS DIÁRIOS'!$O$5:$O$500,"&lt;=128499",'LANÇAMENTOS DIÁRIOS'!$P$5:$P$500,"&gt;=128400")&gt;0,"X","")</f>
      </c>
      <c r="AQ65" s="56" t="str">
        <f>IF(COUNTIFS('LANÇAMENTOS DIÁRIOS'!$G$5:$G$500,"H",'LANÇAMENTOS DIÁRIOS'!$C$5:$C$500,$A65,'LANÇAMENTOS DIÁRIOS'!$O$5:$O$500,"&lt;=128599",'LANÇAMENTOS DIÁRIOS'!$P$5:$P$500,"&gt;=128500")&gt;0,"X","")</f>
      </c>
      <c r="AR65" s="56" t="str">
        <f>IF(COUNTIFS('LANÇAMENTOS DIÁRIOS'!$G$5:$G$500,"H",'LANÇAMENTOS DIÁRIOS'!$C$5:$C$500,$A65,'LANÇAMENTOS DIÁRIOS'!$O$5:$O$500,"&lt;=128699",'LANÇAMENTOS DIÁRIOS'!$P$5:$P$500,"&gt;=128600")&gt;0,"X","")</f>
      </c>
      <c r="AS65" s="56" t="str">
        <f>IF(COUNTIFS('LANÇAMENTOS DIÁRIOS'!$G$5:$G$500,"H",'LANÇAMENTOS DIÁRIOS'!$C$5:$C$500,$A65,'LANÇAMENTOS DIÁRIOS'!$O$5:$O$500,"&lt;=128799",'LANÇAMENTOS DIÁRIOS'!$P$5:$P$500,"&gt;=128700")&gt;0,"X","")</f>
      </c>
      <c r="AT65" s="56" t="str">
        <f>IF(COUNTIFS('LANÇAMENTOS DIÁRIOS'!$G$5:$G$500,"H",'LANÇAMENTOS DIÁRIOS'!$C$5:$C$500,$A65,'LANÇAMENTOS DIÁRIOS'!$O$5:$O$500,"&lt;=128899",'LANÇAMENTOS DIÁRIOS'!$P$5:$P$500,"&gt;=128800")&gt;0,"X","")</f>
      </c>
      <c r="AU65" s="56" t="str">
        <f>IF(COUNTIFS('LANÇAMENTOS DIÁRIOS'!$G$5:$G$500,"H",'LANÇAMENTOS DIÁRIOS'!$C$5:$C$500,$A65,'LANÇAMENTOS DIÁRIOS'!$O$5:$O$500,"&lt;=128999",'LANÇAMENTOS DIÁRIOS'!$P$5:$P$500,"&gt;=128900")&gt;0,"X","")</f>
      </c>
      <c r="AV65" s="56" t="str">
        <f>IF(COUNTIFS('LANÇAMENTOS DIÁRIOS'!$G$5:$G$500,"H",'LANÇAMENTOS DIÁRIOS'!$C$5:$C$500,$A65,'LANÇAMENTOS DIÁRIOS'!$O$5:$O$500,"&lt;=129099",'LANÇAMENTOS DIÁRIOS'!$P$5:$P$500,"&gt;=129000")&gt;0,"X","")</f>
      </c>
      <c r="AW65" s="56" t="str">
        <f>IF(COUNTIFS('LANÇAMENTOS DIÁRIOS'!$G$5:$G$500,"H",'LANÇAMENTOS DIÁRIOS'!$C$5:$C$500,$A65,'LANÇAMENTOS DIÁRIOS'!$O$5:$O$500,"&lt;=129199",'LANÇAMENTOS DIÁRIOS'!$P$5:$P$500,"&gt;=129100")&gt;0,"X","")</f>
      </c>
      <c r="AX65" s="56" t="str">
        <f>IF(COUNTIFS('LANÇAMENTOS DIÁRIOS'!$G$5:$G$500,"H",'LANÇAMENTOS DIÁRIOS'!$C$5:$C$500,$A65,'LANÇAMENTOS DIÁRIOS'!$O$5:$O$500,"&lt;=129299",'LANÇAMENTOS DIÁRIOS'!$P$5:$P$500,"&gt;=129200")&gt;0,"X","")</f>
      </c>
      <c r="AY65" s="56" t="str">
        <f>IF(COUNTIFS('LANÇAMENTOS DIÁRIOS'!$G$5:$G$500,"H",'LANÇAMENTOS DIÁRIOS'!$C$5:$C$500,$A65,'LANÇAMENTOS DIÁRIOS'!$O$5:$O$500,"&lt;=129399",'LANÇAMENTOS DIÁRIOS'!$P$5:$P$500,"&gt;=129300")&gt;0,"X","")</f>
      </c>
      <c r="AZ65" s="56" t="str">
        <f>IF(COUNTIFS('LANÇAMENTOS DIÁRIOS'!$G$5:$G$500,"H",'LANÇAMENTOS DIÁRIOS'!$C$5:$C$500,$A65,'LANÇAMENTOS DIÁRIOS'!$O$5:$O$500,"&lt;=129400",'LANÇAMENTOS DIÁRIOS'!$P$5:$P$500,"&gt;=129400")&gt;0,"X","")</f>
      </c>
    </row>
    <row r="66">
      <c r="A66" s="51" t="str">
        <v>Geogrelha uniaxial com deformação máxima de 5% e resistência nominal de 225kN/m - Sem o fornecimento dos materias</v>
      </c>
      <c r="B66" s="56" t="str">
        <f>IF(COUNTIFS('LANÇAMENTOS DIÁRIOS'!$G$5:$G$500,"H",'LANÇAMENTOS DIÁRIOS'!$C$5:$C$500,$A66,'LANÇAMENTOS DIÁRIOS'!$O$5:$O$500,"&lt;=124499",'LANÇAMENTOS DIÁRIOS'!$P$5:$P$500,"&gt;=124400")&gt;0,"X","")</f>
      </c>
      <c r="C66" s="56" t="str">
        <f>IF(COUNTIFS('LANÇAMENTOS DIÁRIOS'!$G$5:$G$500,"H",'LANÇAMENTOS DIÁRIOS'!$C$5:$C$500,$A66,'LANÇAMENTOS DIÁRIOS'!$O$5:$O$500,"&lt;=124599",'LANÇAMENTOS DIÁRIOS'!$P$5:$P$500,"&gt;=124500")&gt;0,"X","")</f>
      </c>
      <c r="D66" s="56" t="str">
        <f>IF(COUNTIFS('LANÇAMENTOS DIÁRIOS'!$G$5:$G$500,"H",'LANÇAMENTOS DIÁRIOS'!$C$5:$C$500,$A66,'LANÇAMENTOS DIÁRIOS'!$O$5:$O$500,"&lt;=124699",'LANÇAMENTOS DIÁRIOS'!$P$5:$P$500,"&gt;=124600")&gt;0,"X","")</f>
      </c>
      <c r="E66" s="56" t="str">
        <f>IF(COUNTIFS('LANÇAMENTOS DIÁRIOS'!$G$5:$G$500,"H",'LANÇAMENTOS DIÁRIOS'!$C$5:$C$500,$A66,'LANÇAMENTOS DIÁRIOS'!$O$5:$O$500,"&lt;=124799",'LANÇAMENTOS DIÁRIOS'!$P$5:$P$500,"&gt;=124700")&gt;0,"X","")</f>
      </c>
      <c r="F66" s="56" t="str">
        <f>IF(COUNTIFS('LANÇAMENTOS DIÁRIOS'!$G$5:$G$500,"H",'LANÇAMENTOS DIÁRIOS'!$C$5:$C$500,$A66,'LANÇAMENTOS DIÁRIOS'!$O$5:$O$500,"&lt;=124899",'LANÇAMENTOS DIÁRIOS'!$P$5:$P$500,"&gt;=124800")&gt;0,"X","")</f>
      </c>
      <c r="G66" s="56" t="str">
        <f>IF(COUNTIFS('LANÇAMENTOS DIÁRIOS'!$G$5:$G$500,"H",'LANÇAMENTOS DIÁRIOS'!$C$5:$C$500,$A66,'LANÇAMENTOS DIÁRIOS'!$O$5:$O$500,"&lt;=124999",'LANÇAMENTOS DIÁRIOS'!$P$5:$P$500,"&gt;=124900")&gt;0,"X","")</f>
      </c>
      <c r="H66" s="56" t="str">
        <f>IF(COUNTIFS('LANÇAMENTOS DIÁRIOS'!$G$5:$G$500,"H",'LANÇAMENTOS DIÁRIOS'!$C$5:$C$500,$A66,'LANÇAMENTOS DIÁRIOS'!$O$5:$O$500,"&lt;=125099",'LANÇAMENTOS DIÁRIOS'!$P$5:$P$500,"&gt;=125000")&gt;0,"X","")</f>
      </c>
      <c r="I66" s="56" t="str">
        <f>IF(COUNTIFS('LANÇAMENTOS DIÁRIOS'!$G$5:$G$500,"H",'LANÇAMENTOS DIÁRIOS'!$C$5:$C$500,$A66,'LANÇAMENTOS DIÁRIOS'!$O$5:$O$500,"&lt;=125199",'LANÇAMENTOS DIÁRIOS'!$P$5:$P$500,"&gt;=125100")&gt;0,"X","")</f>
      </c>
      <c r="J66" s="56" t="str">
        <f>IF(COUNTIFS('LANÇAMENTOS DIÁRIOS'!$G$5:$G$500,"H",'LANÇAMENTOS DIÁRIOS'!$C$5:$C$500,$A66,'LANÇAMENTOS DIÁRIOS'!$O$5:$O$500,"&lt;=125299",'LANÇAMENTOS DIÁRIOS'!$P$5:$P$500,"&gt;=125200")&gt;0,"X","")</f>
      </c>
      <c r="K66" s="56" t="str">
        <f>IF(COUNTIFS('LANÇAMENTOS DIÁRIOS'!$G$5:$G$500,"H",'LANÇAMENTOS DIÁRIOS'!$C$5:$C$500,$A66,'LANÇAMENTOS DIÁRIOS'!$O$5:$O$500,"&lt;=125399",'LANÇAMENTOS DIÁRIOS'!$P$5:$P$500,"&gt;=125300")&gt;0,"X","")</f>
      </c>
      <c r="L66" s="56" t="str">
        <f>IF(COUNTIFS('LANÇAMENTOS DIÁRIOS'!$G$5:$G$500,"H",'LANÇAMENTOS DIÁRIOS'!$C$5:$C$500,$A66,'LANÇAMENTOS DIÁRIOS'!$O$5:$O$500,"&lt;=125499",'LANÇAMENTOS DIÁRIOS'!$P$5:$P$500,"&gt;=125400")&gt;0,"X","")</f>
      </c>
      <c r="M66" s="56" t="str">
        <f>IF(COUNTIFS('LANÇAMENTOS DIÁRIOS'!$G$5:$G$500,"H",'LANÇAMENTOS DIÁRIOS'!$C$5:$C$500,$A66,'LANÇAMENTOS DIÁRIOS'!$O$5:$O$500,"&lt;=125599",'LANÇAMENTOS DIÁRIOS'!$P$5:$P$500,"&gt;=125500")&gt;0,"X","")</f>
      </c>
      <c r="N66" s="56" t="str">
        <f>IF(COUNTIFS('LANÇAMENTOS DIÁRIOS'!$G$5:$G$500,"H",'LANÇAMENTOS DIÁRIOS'!$C$5:$C$500,$A66,'LANÇAMENTOS DIÁRIOS'!$O$5:$O$500,"&lt;=125699",'LANÇAMENTOS DIÁRIOS'!$P$5:$P$500,"&gt;=125600")&gt;0,"X","")</f>
      </c>
      <c r="O66" s="56" t="str">
        <f>IF(COUNTIFS('LANÇAMENTOS DIÁRIOS'!$G$5:$G$500,"H",'LANÇAMENTOS DIÁRIOS'!$C$5:$C$500,$A66,'LANÇAMENTOS DIÁRIOS'!$O$5:$O$500,"&lt;=125799",'LANÇAMENTOS DIÁRIOS'!$P$5:$P$500,"&gt;=125700")&gt;0,"X","")</f>
      </c>
      <c r="P66" s="56" t="str">
        <f>IF(COUNTIFS('LANÇAMENTOS DIÁRIOS'!$G$5:$G$500,"H",'LANÇAMENTOS DIÁRIOS'!$C$5:$C$500,$A66,'LANÇAMENTOS DIÁRIOS'!$O$5:$O$500,"&lt;=125899",'LANÇAMENTOS DIÁRIOS'!$P$5:$P$500,"&gt;=125800")&gt;0,"X","")</f>
      </c>
      <c r="Q66" s="56" t="str">
        <f>IF(COUNTIFS('LANÇAMENTOS DIÁRIOS'!$G$5:$G$500,"H",'LANÇAMENTOS DIÁRIOS'!$C$5:$C$500,$A66,'LANÇAMENTOS DIÁRIOS'!$O$5:$O$500,"&lt;=125999",'LANÇAMENTOS DIÁRIOS'!$P$5:$P$500,"&gt;=125900")&gt;0,"X","")</f>
      </c>
      <c r="R66" s="56" t="str">
        <f>IF(COUNTIFS('LANÇAMENTOS DIÁRIOS'!$G$5:$G$500,"H",'LANÇAMENTOS DIÁRIOS'!$C$5:$C$500,$A66,'LANÇAMENTOS DIÁRIOS'!$O$5:$O$500,"&lt;=126099",'LANÇAMENTOS DIÁRIOS'!$P$5:$P$500,"&gt;=126000")&gt;0,"X","")</f>
      </c>
      <c r="S66" s="56" t="str">
        <f>IF(COUNTIFS('LANÇAMENTOS DIÁRIOS'!$G$5:$G$500,"H",'LANÇAMENTOS DIÁRIOS'!$C$5:$C$500,$A66,'LANÇAMENTOS DIÁRIOS'!$O$5:$O$500,"&lt;=126199",'LANÇAMENTOS DIÁRIOS'!$P$5:$P$500,"&gt;=126100")&gt;0,"X","")</f>
      </c>
      <c r="T66" s="56" t="str">
        <f>IF(COUNTIFS('LANÇAMENTOS DIÁRIOS'!$G$5:$G$500,"H",'LANÇAMENTOS DIÁRIOS'!$C$5:$C$500,$A66,'LANÇAMENTOS DIÁRIOS'!$O$5:$O$500,"&lt;=126299",'LANÇAMENTOS DIÁRIOS'!$P$5:$P$500,"&gt;=126200")&gt;0,"X","")</f>
      </c>
      <c r="U66" s="56" t="str">
        <f>IF(COUNTIFS('LANÇAMENTOS DIÁRIOS'!$G$5:$G$500,"H",'LANÇAMENTOS DIÁRIOS'!$C$5:$C$500,$A66,'LANÇAMENTOS DIÁRIOS'!$O$5:$O$500,"&lt;=126399",'LANÇAMENTOS DIÁRIOS'!$P$5:$P$500,"&gt;=126300")&gt;0,"X","")</f>
      </c>
      <c r="V66" s="56" t="str">
        <f>IF(COUNTIFS('LANÇAMENTOS DIÁRIOS'!$G$5:$G$500,"H",'LANÇAMENTOS DIÁRIOS'!$C$5:$C$500,$A66,'LANÇAMENTOS DIÁRIOS'!$O$5:$O$500,"&lt;=126499",'LANÇAMENTOS DIÁRIOS'!$P$5:$P$500,"&gt;=126400")&gt;0,"X","")</f>
      </c>
      <c r="W66" s="56" t="str">
        <f>IF(COUNTIFS('LANÇAMENTOS DIÁRIOS'!$G$5:$G$500,"H",'LANÇAMENTOS DIÁRIOS'!$C$5:$C$500,$A66,'LANÇAMENTOS DIÁRIOS'!$O$5:$O$500,"&lt;=126599",'LANÇAMENTOS DIÁRIOS'!$P$5:$P$500,"&gt;=126500")&gt;0,"X","")</f>
      </c>
      <c r="X66" s="56" t="str">
        <f>IF(COUNTIFS('LANÇAMENTOS DIÁRIOS'!$G$5:$G$500,"H",'LANÇAMENTOS DIÁRIOS'!$C$5:$C$500,$A66,'LANÇAMENTOS DIÁRIOS'!$O$5:$O$500,"&lt;=126699",'LANÇAMENTOS DIÁRIOS'!$P$5:$P$500,"&gt;=126600")&gt;0,"X","")</f>
      </c>
      <c r="Y66" s="56" t="str">
        <f>IF(COUNTIFS('LANÇAMENTOS DIÁRIOS'!$G$5:$G$500,"H",'LANÇAMENTOS DIÁRIOS'!$C$5:$C$500,$A66,'LANÇAMENTOS DIÁRIOS'!$O$5:$O$500,"&lt;=126799",'LANÇAMENTOS DIÁRIOS'!$P$5:$P$500,"&gt;=126700")&gt;0,"X","")</f>
      </c>
      <c r="Z66" s="56" t="str">
        <f>IF(COUNTIFS('LANÇAMENTOS DIÁRIOS'!$G$5:$G$500,"H",'LANÇAMENTOS DIÁRIOS'!$C$5:$C$500,$A66,'LANÇAMENTOS DIÁRIOS'!$O$5:$O$500,"&lt;=126899",'LANÇAMENTOS DIÁRIOS'!$P$5:$P$500,"&gt;=126800")&gt;0,"X","")</f>
      </c>
      <c r="AA66" s="56" t="str">
        <f>IF(COUNTIFS('LANÇAMENTOS DIÁRIOS'!$G$5:$G$500,"H",'LANÇAMENTOS DIÁRIOS'!$C$5:$C$500,$A66,'LANÇAMENTOS DIÁRIOS'!$O$5:$O$500,"&lt;=126999",'LANÇAMENTOS DIÁRIOS'!$P$5:$P$500,"&gt;=126900")&gt;0,"X","")</f>
      </c>
      <c r="AB66" s="56" t="str">
        <f>IF(COUNTIFS('LANÇAMENTOS DIÁRIOS'!$G$5:$G$500,"H",'LANÇAMENTOS DIÁRIOS'!$C$5:$C$500,$A66,'LANÇAMENTOS DIÁRIOS'!$O$5:$O$500,"&lt;=127099",'LANÇAMENTOS DIÁRIOS'!$P$5:$P$500,"&gt;=127000")&gt;0,"X","")</f>
      </c>
      <c r="AC66" s="56" t="str">
        <f>IF(COUNTIFS('LANÇAMENTOS DIÁRIOS'!$G$5:$G$500,"H",'LANÇAMENTOS DIÁRIOS'!$C$5:$C$500,$A66,'LANÇAMENTOS DIÁRIOS'!$O$5:$O$500,"&lt;=127199",'LANÇAMENTOS DIÁRIOS'!$P$5:$P$500,"&gt;=127100")&gt;0,"X","")</f>
      </c>
      <c r="AD66" s="56" t="str">
        <f>IF(COUNTIFS('LANÇAMENTOS DIÁRIOS'!$G$5:$G$500,"H",'LANÇAMENTOS DIÁRIOS'!$C$5:$C$500,$A66,'LANÇAMENTOS DIÁRIOS'!$O$5:$O$500,"&lt;=127299",'LANÇAMENTOS DIÁRIOS'!$P$5:$P$500,"&gt;=127200")&gt;0,"X","")</f>
      </c>
      <c r="AE66" s="56" t="str">
        <f>IF(COUNTIFS('LANÇAMENTOS DIÁRIOS'!$G$5:$G$500,"H",'LANÇAMENTOS DIÁRIOS'!$C$5:$C$500,$A66,'LANÇAMENTOS DIÁRIOS'!$O$5:$O$500,"&lt;=127399",'LANÇAMENTOS DIÁRIOS'!$P$5:$P$500,"&gt;=127300")&gt;0,"X","")</f>
      </c>
      <c r="AF66" s="56" t="str">
        <f>IF(COUNTIFS('LANÇAMENTOS DIÁRIOS'!$G$5:$G$500,"H",'LANÇAMENTOS DIÁRIOS'!$C$5:$C$500,$A66,'LANÇAMENTOS DIÁRIOS'!$O$5:$O$500,"&lt;=127499",'LANÇAMENTOS DIÁRIOS'!$P$5:$P$500,"&gt;=127400")&gt;0,"X","")</f>
      </c>
      <c r="AG66" s="56" t="str">
        <f>IF(COUNTIFS('LANÇAMENTOS DIÁRIOS'!$G$5:$G$500,"H",'LANÇAMENTOS DIÁRIOS'!$C$5:$C$500,$A66,'LANÇAMENTOS DIÁRIOS'!$O$5:$O$500,"&lt;=127599",'LANÇAMENTOS DIÁRIOS'!$P$5:$P$500,"&gt;=127500")&gt;0,"X","")</f>
      </c>
      <c r="AH66" s="56" t="str">
        <f>IF(COUNTIFS('LANÇAMENTOS DIÁRIOS'!$G$5:$G$500,"H",'LANÇAMENTOS DIÁRIOS'!$C$5:$C$500,$A66,'LANÇAMENTOS DIÁRIOS'!$O$5:$O$500,"&lt;=127699",'LANÇAMENTOS DIÁRIOS'!$P$5:$P$500,"&gt;=127600")&gt;0,"X","")</f>
      </c>
      <c r="AI66" s="56" t="str">
        <f>IF(COUNTIFS('LANÇAMENTOS DIÁRIOS'!$G$5:$G$500,"H",'LANÇAMENTOS DIÁRIOS'!$C$5:$C$500,$A66,'LANÇAMENTOS DIÁRIOS'!$O$5:$O$500,"&lt;=127799",'LANÇAMENTOS DIÁRIOS'!$P$5:$P$500,"&gt;=127700")&gt;0,"X","")</f>
      </c>
      <c r="AJ66" s="56" t="str">
        <f>IF(COUNTIFS('LANÇAMENTOS DIÁRIOS'!$G$5:$G$500,"H",'LANÇAMENTOS DIÁRIOS'!$C$5:$C$500,$A66,'LANÇAMENTOS DIÁRIOS'!$O$5:$O$500,"&lt;=127899",'LANÇAMENTOS DIÁRIOS'!$P$5:$P$500,"&gt;=127800")&gt;0,"X","")</f>
      </c>
      <c r="AK66" s="56" t="str">
        <f>IF(COUNTIFS('LANÇAMENTOS DIÁRIOS'!$G$5:$G$500,"H",'LANÇAMENTOS DIÁRIOS'!$C$5:$C$500,$A66,'LANÇAMENTOS DIÁRIOS'!$O$5:$O$500,"&lt;=127999",'LANÇAMENTOS DIÁRIOS'!$P$5:$P$500,"&gt;=127900")&gt;0,"X","")</f>
      </c>
      <c r="AL66" s="56" t="str">
        <f>IF(COUNTIFS('LANÇAMENTOS DIÁRIOS'!$G$5:$G$500,"H",'LANÇAMENTOS DIÁRIOS'!$C$5:$C$500,$A66,'LANÇAMENTOS DIÁRIOS'!$O$5:$O$500,"&lt;=128099",'LANÇAMENTOS DIÁRIOS'!$P$5:$P$500,"&gt;=128000")&gt;0,"X","")</f>
      </c>
      <c r="AM66" s="56" t="str">
        <f>IF(COUNTIFS('LANÇAMENTOS DIÁRIOS'!$G$5:$G$500,"H",'LANÇAMENTOS DIÁRIOS'!$C$5:$C$500,$A66,'LANÇAMENTOS DIÁRIOS'!$O$5:$O$500,"&lt;=128199",'LANÇAMENTOS DIÁRIOS'!$P$5:$P$500,"&gt;=128100")&gt;0,"X","")</f>
      </c>
      <c r="AN66" s="56" t="str">
        <f>IF(COUNTIFS('LANÇAMENTOS DIÁRIOS'!$G$5:$G$500,"H",'LANÇAMENTOS DIÁRIOS'!$C$5:$C$500,$A66,'LANÇAMENTOS DIÁRIOS'!$O$5:$O$500,"&lt;=128299",'LANÇAMENTOS DIÁRIOS'!$P$5:$P$500,"&gt;=128200")&gt;0,"X","")</f>
      </c>
      <c r="AO66" s="56" t="str">
        <f>IF(COUNTIFS('LANÇAMENTOS DIÁRIOS'!$G$5:$G$500,"H",'LANÇAMENTOS DIÁRIOS'!$C$5:$C$500,$A66,'LANÇAMENTOS DIÁRIOS'!$O$5:$O$500,"&lt;=128399",'LANÇAMENTOS DIÁRIOS'!$P$5:$P$500,"&gt;=128300")&gt;0,"X","")</f>
      </c>
      <c r="AP66" s="56" t="str">
        <f>IF(COUNTIFS('LANÇAMENTOS DIÁRIOS'!$G$5:$G$500,"H",'LANÇAMENTOS DIÁRIOS'!$C$5:$C$500,$A66,'LANÇAMENTOS DIÁRIOS'!$O$5:$O$500,"&lt;=128499",'LANÇAMENTOS DIÁRIOS'!$P$5:$P$500,"&gt;=128400")&gt;0,"X","")</f>
      </c>
      <c r="AQ66" s="56" t="str">
        <f>IF(COUNTIFS('LANÇAMENTOS DIÁRIOS'!$G$5:$G$500,"H",'LANÇAMENTOS DIÁRIOS'!$C$5:$C$500,$A66,'LANÇAMENTOS DIÁRIOS'!$O$5:$O$500,"&lt;=128599",'LANÇAMENTOS DIÁRIOS'!$P$5:$P$500,"&gt;=128500")&gt;0,"X","")</f>
      </c>
      <c r="AR66" s="56" t="str">
        <f>IF(COUNTIFS('LANÇAMENTOS DIÁRIOS'!$G$5:$G$500,"H",'LANÇAMENTOS DIÁRIOS'!$C$5:$C$500,$A66,'LANÇAMENTOS DIÁRIOS'!$O$5:$O$500,"&lt;=128699",'LANÇAMENTOS DIÁRIOS'!$P$5:$P$500,"&gt;=128600")&gt;0,"X","")</f>
      </c>
      <c r="AS66" s="56" t="str">
        <f>IF(COUNTIFS('LANÇAMENTOS DIÁRIOS'!$G$5:$G$500,"H",'LANÇAMENTOS DIÁRIOS'!$C$5:$C$500,$A66,'LANÇAMENTOS DIÁRIOS'!$O$5:$O$500,"&lt;=128799",'LANÇAMENTOS DIÁRIOS'!$P$5:$P$500,"&gt;=128700")&gt;0,"X","")</f>
      </c>
      <c r="AT66" s="56" t="str">
        <f>IF(COUNTIFS('LANÇAMENTOS DIÁRIOS'!$G$5:$G$500,"H",'LANÇAMENTOS DIÁRIOS'!$C$5:$C$500,$A66,'LANÇAMENTOS DIÁRIOS'!$O$5:$O$500,"&lt;=128899",'LANÇAMENTOS DIÁRIOS'!$P$5:$P$500,"&gt;=128800")&gt;0,"X","")</f>
      </c>
      <c r="AU66" s="56" t="str">
        <f>IF(COUNTIFS('LANÇAMENTOS DIÁRIOS'!$G$5:$G$500,"H",'LANÇAMENTOS DIÁRIOS'!$C$5:$C$500,$A66,'LANÇAMENTOS DIÁRIOS'!$O$5:$O$500,"&lt;=128999",'LANÇAMENTOS DIÁRIOS'!$P$5:$P$500,"&gt;=128900")&gt;0,"X","")</f>
      </c>
      <c r="AV66" s="56" t="str">
        <f>IF(COUNTIFS('LANÇAMENTOS DIÁRIOS'!$G$5:$G$500,"H",'LANÇAMENTOS DIÁRIOS'!$C$5:$C$500,$A66,'LANÇAMENTOS DIÁRIOS'!$O$5:$O$500,"&lt;=129099",'LANÇAMENTOS DIÁRIOS'!$P$5:$P$500,"&gt;=129000")&gt;0,"X","")</f>
      </c>
      <c r="AW66" s="56" t="str">
        <f>IF(COUNTIFS('LANÇAMENTOS DIÁRIOS'!$G$5:$G$500,"H",'LANÇAMENTOS DIÁRIOS'!$C$5:$C$500,$A66,'LANÇAMENTOS DIÁRIOS'!$O$5:$O$500,"&lt;=129199",'LANÇAMENTOS DIÁRIOS'!$P$5:$P$500,"&gt;=129100")&gt;0,"X","")</f>
      </c>
      <c r="AX66" s="56" t="str">
        <f>IF(COUNTIFS('LANÇAMENTOS DIÁRIOS'!$G$5:$G$500,"H",'LANÇAMENTOS DIÁRIOS'!$C$5:$C$500,$A66,'LANÇAMENTOS DIÁRIOS'!$O$5:$O$500,"&lt;=129299",'LANÇAMENTOS DIÁRIOS'!$P$5:$P$500,"&gt;=129200")&gt;0,"X","")</f>
      </c>
      <c r="AY66" s="56" t="str">
        <f>IF(COUNTIFS('LANÇAMENTOS DIÁRIOS'!$G$5:$G$500,"H",'LANÇAMENTOS DIÁRIOS'!$C$5:$C$500,$A66,'LANÇAMENTOS DIÁRIOS'!$O$5:$O$500,"&lt;=129399",'LANÇAMENTOS DIÁRIOS'!$P$5:$P$500,"&gt;=129300")&gt;0,"X","")</f>
      </c>
      <c r="AZ66" s="56" t="str">
        <f>IF(COUNTIFS('LANÇAMENTOS DIÁRIOS'!$G$5:$G$500,"H",'LANÇAMENTOS DIÁRIOS'!$C$5:$C$500,$A66,'LANÇAMENTOS DIÁRIOS'!$O$5:$O$500,"&lt;=129400",'LANÇAMENTOS DIÁRIOS'!$P$5:$P$500,"&gt;=129400")&gt;0,"X","")</f>
      </c>
    </row>
    <row r="67">
      <c r="A67" s="51" t="str">
        <v>Geogrelha uniaxial com deformação máxima de 5% e resistência nominal de 300kN/m (*) - Sem o fornecimento de materiais</v>
      </c>
      <c r="B67" s="56" t="str">
        <f>IF(COUNTIFS('LANÇAMENTOS DIÁRIOS'!$G$5:$G$500,"H",'LANÇAMENTOS DIÁRIOS'!$C$5:$C$500,$A67,'LANÇAMENTOS DIÁRIOS'!$O$5:$O$500,"&lt;=124499",'LANÇAMENTOS DIÁRIOS'!$P$5:$P$500,"&gt;=124400")&gt;0,"X","")</f>
      </c>
      <c r="C67" s="56" t="str">
        <f>IF(COUNTIFS('LANÇAMENTOS DIÁRIOS'!$G$5:$G$500,"H",'LANÇAMENTOS DIÁRIOS'!$C$5:$C$500,$A67,'LANÇAMENTOS DIÁRIOS'!$O$5:$O$500,"&lt;=124599",'LANÇAMENTOS DIÁRIOS'!$P$5:$P$500,"&gt;=124500")&gt;0,"X","")</f>
      </c>
      <c r="D67" s="56" t="str">
        <f>IF(COUNTIFS('LANÇAMENTOS DIÁRIOS'!$G$5:$G$500,"H",'LANÇAMENTOS DIÁRIOS'!$C$5:$C$500,$A67,'LANÇAMENTOS DIÁRIOS'!$O$5:$O$500,"&lt;=124699",'LANÇAMENTOS DIÁRIOS'!$P$5:$P$500,"&gt;=124600")&gt;0,"X","")</f>
      </c>
      <c r="E67" s="56" t="str">
        <f>IF(COUNTIFS('LANÇAMENTOS DIÁRIOS'!$G$5:$G$500,"H",'LANÇAMENTOS DIÁRIOS'!$C$5:$C$500,$A67,'LANÇAMENTOS DIÁRIOS'!$O$5:$O$500,"&lt;=124799",'LANÇAMENTOS DIÁRIOS'!$P$5:$P$500,"&gt;=124700")&gt;0,"X","")</f>
      </c>
      <c r="F67" s="56" t="str">
        <f>IF(COUNTIFS('LANÇAMENTOS DIÁRIOS'!$G$5:$G$500,"H",'LANÇAMENTOS DIÁRIOS'!$C$5:$C$500,$A67,'LANÇAMENTOS DIÁRIOS'!$O$5:$O$500,"&lt;=124899",'LANÇAMENTOS DIÁRIOS'!$P$5:$P$500,"&gt;=124800")&gt;0,"X","")</f>
      </c>
      <c r="G67" s="56" t="str">
        <f>IF(COUNTIFS('LANÇAMENTOS DIÁRIOS'!$G$5:$G$500,"H",'LANÇAMENTOS DIÁRIOS'!$C$5:$C$500,$A67,'LANÇAMENTOS DIÁRIOS'!$O$5:$O$500,"&lt;=124999",'LANÇAMENTOS DIÁRIOS'!$P$5:$P$500,"&gt;=124900")&gt;0,"X","")</f>
      </c>
      <c r="H67" s="56" t="str">
        <f>IF(COUNTIFS('LANÇAMENTOS DIÁRIOS'!$G$5:$G$500,"H",'LANÇAMENTOS DIÁRIOS'!$C$5:$C$500,$A67,'LANÇAMENTOS DIÁRIOS'!$O$5:$O$500,"&lt;=125099",'LANÇAMENTOS DIÁRIOS'!$P$5:$P$500,"&gt;=125000")&gt;0,"X","")</f>
      </c>
      <c r="I67" s="56" t="str">
        <f>IF(COUNTIFS('LANÇAMENTOS DIÁRIOS'!$G$5:$G$500,"H",'LANÇAMENTOS DIÁRIOS'!$C$5:$C$500,$A67,'LANÇAMENTOS DIÁRIOS'!$O$5:$O$500,"&lt;=125199",'LANÇAMENTOS DIÁRIOS'!$P$5:$P$500,"&gt;=125100")&gt;0,"X","")</f>
      </c>
      <c r="J67" s="56" t="str">
        <f>IF(COUNTIFS('LANÇAMENTOS DIÁRIOS'!$G$5:$G$500,"H",'LANÇAMENTOS DIÁRIOS'!$C$5:$C$500,$A67,'LANÇAMENTOS DIÁRIOS'!$O$5:$O$500,"&lt;=125299",'LANÇAMENTOS DIÁRIOS'!$P$5:$P$500,"&gt;=125200")&gt;0,"X","")</f>
      </c>
      <c r="K67" s="56" t="str">
        <f>IF(COUNTIFS('LANÇAMENTOS DIÁRIOS'!$G$5:$G$500,"H",'LANÇAMENTOS DIÁRIOS'!$C$5:$C$500,$A67,'LANÇAMENTOS DIÁRIOS'!$O$5:$O$500,"&lt;=125399",'LANÇAMENTOS DIÁRIOS'!$P$5:$P$500,"&gt;=125300")&gt;0,"X","")</f>
      </c>
      <c r="L67" s="56" t="str">
        <f>IF(COUNTIFS('LANÇAMENTOS DIÁRIOS'!$G$5:$G$500,"H",'LANÇAMENTOS DIÁRIOS'!$C$5:$C$500,$A67,'LANÇAMENTOS DIÁRIOS'!$O$5:$O$500,"&lt;=125499",'LANÇAMENTOS DIÁRIOS'!$P$5:$P$500,"&gt;=125400")&gt;0,"X","")</f>
      </c>
      <c r="M67" s="56" t="str">
        <f>IF(COUNTIFS('LANÇAMENTOS DIÁRIOS'!$G$5:$G$500,"H",'LANÇAMENTOS DIÁRIOS'!$C$5:$C$500,$A67,'LANÇAMENTOS DIÁRIOS'!$O$5:$O$500,"&lt;=125599",'LANÇAMENTOS DIÁRIOS'!$P$5:$P$500,"&gt;=125500")&gt;0,"X","")</f>
      </c>
      <c r="N67" s="56" t="str">
        <f>IF(COUNTIFS('LANÇAMENTOS DIÁRIOS'!$G$5:$G$500,"H",'LANÇAMENTOS DIÁRIOS'!$C$5:$C$500,$A67,'LANÇAMENTOS DIÁRIOS'!$O$5:$O$500,"&lt;=125699",'LANÇAMENTOS DIÁRIOS'!$P$5:$P$500,"&gt;=125600")&gt;0,"X","")</f>
      </c>
      <c r="O67" s="56" t="str">
        <f>IF(COUNTIFS('LANÇAMENTOS DIÁRIOS'!$G$5:$G$500,"H",'LANÇAMENTOS DIÁRIOS'!$C$5:$C$500,$A67,'LANÇAMENTOS DIÁRIOS'!$O$5:$O$500,"&lt;=125799",'LANÇAMENTOS DIÁRIOS'!$P$5:$P$500,"&gt;=125700")&gt;0,"X","")</f>
      </c>
      <c r="P67" s="56" t="str">
        <f>IF(COUNTIFS('LANÇAMENTOS DIÁRIOS'!$G$5:$G$500,"H",'LANÇAMENTOS DIÁRIOS'!$C$5:$C$500,$A67,'LANÇAMENTOS DIÁRIOS'!$O$5:$O$500,"&lt;=125899",'LANÇAMENTOS DIÁRIOS'!$P$5:$P$500,"&gt;=125800")&gt;0,"X","")</f>
      </c>
      <c r="Q67" s="56" t="str">
        <f>IF(COUNTIFS('LANÇAMENTOS DIÁRIOS'!$G$5:$G$500,"H",'LANÇAMENTOS DIÁRIOS'!$C$5:$C$500,$A67,'LANÇAMENTOS DIÁRIOS'!$O$5:$O$500,"&lt;=125999",'LANÇAMENTOS DIÁRIOS'!$P$5:$P$500,"&gt;=125900")&gt;0,"X","")</f>
      </c>
      <c r="R67" s="56" t="str">
        <f>IF(COUNTIFS('LANÇAMENTOS DIÁRIOS'!$G$5:$G$500,"H",'LANÇAMENTOS DIÁRIOS'!$C$5:$C$500,$A67,'LANÇAMENTOS DIÁRIOS'!$O$5:$O$500,"&lt;=126099",'LANÇAMENTOS DIÁRIOS'!$P$5:$P$500,"&gt;=126000")&gt;0,"X","")</f>
      </c>
      <c r="S67" s="56" t="str">
        <f>IF(COUNTIFS('LANÇAMENTOS DIÁRIOS'!$G$5:$G$500,"H",'LANÇAMENTOS DIÁRIOS'!$C$5:$C$500,$A67,'LANÇAMENTOS DIÁRIOS'!$O$5:$O$500,"&lt;=126199",'LANÇAMENTOS DIÁRIOS'!$P$5:$P$500,"&gt;=126100")&gt;0,"X","")</f>
      </c>
      <c r="T67" s="56" t="str">
        <f>IF(COUNTIFS('LANÇAMENTOS DIÁRIOS'!$G$5:$G$500,"H",'LANÇAMENTOS DIÁRIOS'!$C$5:$C$500,$A67,'LANÇAMENTOS DIÁRIOS'!$O$5:$O$500,"&lt;=126299",'LANÇAMENTOS DIÁRIOS'!$P$5:$P$500,"&gt;=126200")&gt;0,"X","")</f>
      </c>
      <c r="U67" s="56" t="str">
        <f>IF(COUNTIFS('LANÇAMENTOS DIÁRIOS'!$G$5:$G$500,"H",'LANÇAMENTOS DIÁRIOS'!$C$5:$C$500,$A67,'LANÇAMENTOS DIÁRIOS'!$O$5:$O$500,"&lt;=126399",'LANÇAMENTOS DIÁRIOS'!$P$5:$P$500,"&gt;=126300")&gt;0,"X","")</f>
      </c>
      <c r="V67" s="56" t="str">
        <f>IF(COUNTIFS('LANÇAMENTOS DIÁRIOS'!$G$5:$G$500,"H",'LANÇAMENTOS DIÁRIOS'!$C$5:$C$500,$A67,'LANÇAMENTOS DIÁRIOS'!$O$5:$O$500,"&lt;=126499",'LANÇAMENTOS DIÁRIOS'!$P$5:$P$500,"&gt;=126400")&gt;0,"X","")</f>
      </c>
      <c r="W67" s="56" t="str">
        <f>IF(COUNTIFS('LANÇAMENTOS DIÁRIOS'!$G$5:$G$500,"H",'LANÇAMENTOS DIÁRIOS'!$C$5:$C$500,$A67,'LANÇAMENTOS DIÁRIOS'!$O$5:$O$500,"&lt;=126599",'LANÇAMENTOS DIÁRIOS'!$P$5:$P$500,"&gt;=126500")&gt;0,"X","")</f>
      </c>
      <c r="X67" s="56" t="str">
        <f>IF(COUNTIFS('LANÇAMENTOS DIÁRIOS'!$G$5:$G$500,"H",'LANÇAMENTOS DIÁRIOS'!$C$5:$C$500,$A67,'LANÇAMENTOS DIÁRIOS'!$O$5:$O$500,"&lt;=126699",'LANÇAMENTOS DIÁRIOS'!$P$5:$P$500,"&gt;=126600")&gt;0,"X","")</f>
      </c>
      <c r="Y67" s="56" t="str">
        <f>IF(COUNTIFS('LANÇAMENTOS DIÁRIOS'!$G$5:$G$500,"H",'LANÇAMENTOS DIÁRIOS'!$C$5:$C$500,$A67,'LANÇAMENTOS DIÁRIOS'!$O$5:$O$500,"&lt;=126799",'LANÇAMENTOS DIÁRIOS'!$P$5:$P$500,"&gt;=126700")&gt;0,"X","")</f>
      </c>
      <c r="Z67" s="56" t="str">
        <f>IF(COUNTIFS('LANÇAMENTOS DIÁRIOS'!$G$5:$G$500,"H",'LANÇAMENTOS DIÁRIOS'!$C$5:$C$500,$A67,'LANÇAMENTOS DIÁRIOS'!$O$5:$O$500,"&lt;=126899",'LANÇAMENTOS DIÁRIOS'!$P$5:$P$500,"&gt;=126800")&gt;0,"X","")</f>
      </c>
      <c r="AA67" s="56" t="str">
        <f>IF(COUNTIFS('LANÇAMENTOS DIÁRIOS'!$G$5:$G$500,"H",'LANÇAMENTOS DIÁRIOS'!$C$5:$C$500,$A67,'LANÇAMENTOS DIÁRIOS'!$O$5:$O$500,"&lt;=126999",'LANÇAMENTOS DIÁRIOS'!$P$5:$P$500,"&gt;=126900")&gt;0,"X","")</f>
      </c>
      <c r="AB67" s="56" t="str">
        <f>IF(COUNTIFS('LANÇAMENTOS DIÁRIOS'!$G$5:$G$500,"H",'LANÇAMENTOS DIÁRIOS'!$C$5:$C$500,$A67,'LANÇAMENTOS DIÁRIOS'!$O$5:$O$500,"&lt;=127099",'LANÇAMENTOS DIÁRIOS'!$P$5:$P$500,"&gt;=127000")&gt;0,"X","")</f>
      </c>
      <c r="AC67" s="56" t="str">
        <f>IF(COUNTIFS('LANÇAMENTOS DIÁRIOS'!$G$5:$G$500,"H",'LANÇAMENTOS DIÁRIOS'!$C$5:$C$500,$A67,'LANÇAMENTOS DIÁRIOS'!$O$5:$O$500,"&lt;=127199",'LANÇAMENTOS DIÁRIOS'!$P$5:$P$500,"&gt;=127100")&gt;0,"X","")</f>
      </c>
      <c r="AD67" s="56" t="str">
        <f>IF(COUNTIFS('LANÇAMENTOS DIÁRIOS'!$G$5:$G$500,"H",'LANÇAMENTOS DIÁRIOS'!$C$5:$C$500,$A67,'LANÇAMENTOS DIÁRIOS'!$O$5:$O$500,"&lt;=127299",'LANÇAMENTOS DIÁRIOS'!$P$5:$P$500,"&gt;=127200")&gt;0,"X","")</f>
      </c>
      <c r="AE67" s="56" t="str">
        <f>IF(COUNTIFS('LANÇAMENTOS DIÁRIOS'!$G$5:$G$500,"H",'LANÇAMENTOS DIÁRIOS'!$C$5:$C$500,$A67,'LANÇAMENTOS DIÁRIOS'!$O$5:$O$500,"&lt;=127399",'LANÇAMENTOS DIÁRIOS'!$P$5:$P$500,"&gt;=127300")&gt;0,"X","")</f>
      </c>
      <c r="AF67" s="56" t="str">
        <f>IF(COUNTIFS('LANÇAMENTOS DIÁRIOS'!$G$5:$G$500,"H",'LANÇAMENTOS DIÁRIOS'!$C$5:$C$500,$A67,'LANÇAMENTOS DIÁRIOS'!$O$5:$O$500,"&lt;=127499",'LANÇAMENTOS DIÁRIOS'!$P$5:$P$500,"&gt;=127400")&gt;0,"X","")</f>
      </c>
      <c r="AG67" s="56" t="str">
        <f>IF(COUNTIFS('LANÇAMENTOS DIÁRIOS'!$G$5:$G$500,"H",'LANÇAMENTOS DIÁRIOS'!$C$5:$C$500,$A67,'LANÇAMENTOS DIÁRIOS'!$O$5:$O$500,"&lt;=127599",'LANÇAMENTOS DIÁRIOS'!$P$5:$P$500,"&gt;=127500")&gt;0,"X","")</f>
      </c>
      <c r="AH67" s="56" t="str">
        <f>IF(COUNTIFS('LANÇAMENTOS DIÁRIOS'!$G$5:$G$500,"H",'LANÇAMENTOS DIÁRIOS'!$C$5:$C$500,$A67,'LANÇAMENTOS DIÁRIOS'!$O$5:$O$500,"&lt;=127699",'LANÇAMENTOS DIÁRIOS'!$P$5:$P$500,"&gt;=127600")&gt;0,"X","")</f>
      </c>
      <c r="AI67" s="56" t="str">
        <f>IF(COUNTIFS('LANÇAMENTOS DIÁRIOS'!$G$5:$G$500,"H",'LANÇAMENTOS DIÁRIOS'!$C$5:$C$500,$A67,'LANÇAMENTOS DIÁRIOS'!$O$5:$O$500,"&lt;=127799",'LANÇAMENTOS DIÁRIOS'!$P$5:$P$500,"&gt;=127700")&gt;0,"X","")</f>
      </c>
      <c r="AJ67" s="56" t="str">
        <f>IF(COUNTIFS('LANÇAMENTOS DIÁRIOS'!$G$5:$G$500,"H",'LANÇAMENTOS DIÁRIOS'!$C$5:$C$500,$A67,'LANÇAMENTOS DIÁRIOS'!$O$5:$O$500,"&lt;=127899",'LANÇAMENTOS DIÁRIOS'!$P$5:$P$500,"&gt;=127800")&gt;0,"X","")</f>
      </c>
      <c r="AK67" s="56" t="str">
        <f>IF(COUNTIFS('LANÇAMENTOS DIÁRIOS'!$G$5:$G$500,"H",'LANÇAMENTOS DIÁRIOS'!$C$5:$C$500,$A67,'LANÇAMENTOS DIÁRIOS'!$O$5:$O$500,"&lt;=127999",'LANÇAMENTOS DIÁRIOS'!$P$5:$P$500,"&gt;=127900")&gt;0,"X","")</f>
      </c>
      <c r="AL67" s="56" t="str">
        <f>IF(COUNTIFS('LANÇAMENTOS DIÁRIOS'!$G$5:$G$500,"H",'LANÇAMENTOS DIÁRIOS'!$C$5:$C$500,$A67,'LANÇAMENTOS DIÁRIOS'!$O$5:$O$500,"&lt;=128099",'LANÇAMENTOS DIÁRIOS'!$P$5:$P$500,"&gt;=128000")&gt;0,"X","")</f>
      </c>
      <c r="AM67" s="56" t="str">
        <f>IF(COUNTIFS('LANÇAMENTOS DIÁRIOS'!$G$5:$G$500,"H",'LANÇAMENTOS DIÁRIOS'!$C$5:$C$500,$A67,'LANÇAMENTOS DIÁRIOS'!$O$5:$O$500,"&lt;=128199",'LANÇAMENTOS DIÁRIOS'!$P$5:$P$500,"&gt;=128100")&gt;0,"X","")</f>
      </c>
      <c r="AN67" s="56" t="str">
        <f>IF(COUNTIFS('LANÇAMENTOS DIÁRIOS'!$G$5:$G$500,"H",'LANÇAMENTOS DIÁRIOS'!$C$5:$C$500,$A67,'LANÇAMENTOS DIÁRIOS'!$O$5:$O$500,"&lt;=128299",'LANÇAMENTOS DIÁRIOS'!$P$5:$P$500,"&gt;=128200")&gt;0,"X","")</f>
      </c>
      <c r="AO67" s="56" t="str">
        <f>IF(COUNTIFS('LANÇAMENTOS DIÁRIOS'!$G$5:$G$500,"H",'LANÇAMENTOS DIÁRIOS'!$C$5:$C$500,$A67,'LANÇAMENTOS DIÁRIOS'!$O$5:$O$500,"&lt;=128399",'LANÇAMENTOS DIÁRIOS'!$P$5:$P$500,"&gt;=128300")&gt;0,"X","")</f>
      </c>
      <c r="AP67" s="56" t="str">
        <f>IF(COUNTIFS('LANÇAMENTOS DIÁRIOS'!$G$5:$G$500,"H",'LANÇAMENTOS DIÁRIOS'!$C$5:$C$500,$A67,'LANÇAMENTOS DIÁRIOS'!$O$5:$O$500,"&lt;=128499",'LANÇAMENTOS DIÁRIOS'!$P$5:$P$500,"&gt;=128400")&gt;0,"X","")</f>
      </c>
      <c r="AQ67" s="56" t="str">
        <f>IF(COUNTIFS('LANÇAMENTOS DIÁRIOS'!$G$5:$G$500,"H",'LANÇAMENTOS DIÁRIOS'!$C$5:$C$500,$A67,'LANÇAMENTOS DIÁRIOS'!$O$5:$O$500,"&lt;=128599",'LANÇAMENTOS DIÁRIOS'!$P$5:$P$500,"&gt;=128500")&gt;0,"X","")</f>
      </c>
      <c r="AR67" s="56" t="str">
        <f>IF(COUNTIFS('LANÇAMENTOS DIÁRIOS'!$G$5:$G$500,"H",'LANÇAMENTOS DIÁRIOS'!$C$5:$C$500,$A67,'LANÇAMENTOS DIÁRIOS'!$O$5:$O$500,"&lt;=128699",'LANÇAMENTOS DIÁRIOS'!$P$5:$P$500,"&gt;=128600")&gt;0,"X","")</f>
      </c>
      <c r="AS67" s="56" t="str">
        <f>IF(COUNTIFS('LANÇAMENTOS DIÁRIOS'!$G$5:$G$500,"H",'LANÇAMENTOS DIÁRIOS'!$C$5:$C$500,$A67,'LANÇAMENTOS DIÁRIOS'!$O$5:$O$500,"&lt;=128799",'LANÇAMENTOS DIÁRIOS'!$P$5:$P$500,"&gt;=128700")&gt;0,"X","")</f>
      </c>
      <c r="AT67" s="56" t="str">
        <f>IF(COUNTIFS('LANÇAMENTOS DIÁRIOS'!$G$5:$G$500,"H",'LANÇAMENTOS DIÁRIOS'!$C$5:$C$500,$A67,'LANÇAMENTOS DIÁRIOS'!$O$5:$O$500,"&lt;=128899",'LANÇAMENTOS DIÁRIOS'!$P$5:$P$500,"&gt;=128800")&gt;0,"X","")</f>
      </c>
      <c r="AU67" s="56" t="str">
        <f>IF(COUNTIFS('LANÇAMENTOS DIÁRIOS'!$G$5:$G$500,"H",'LANÇAMENTOS DIÁRIOS'!$C$5:$C$500,$A67,'LANÇAMENTOS DIÁRIOS'!$O$5:$O$500,"&lt;=128999",'LANÇAMENTOS DIÁRIOS'!$P$5:$P$500,"&gt;=128900")&gt;0,"X","")</f>
      </c>
      <c r="AV67" s="56" t="str">
        <f>IF(COUNTIFS('LANÇAMENTOS DIÁRIOS'!$G$5:$G$500,"H",'LANÇAMENTOS DIÁRIOS'!$C$5:$C$500,$A67,'LANÇAMENTOS DIÁRIOS'!$O$5:$O$500,"&lt;=129099",'LANÇAMENTOS DIÁRIOS'!$P$5:$P$500,"&gt;=129000")&gt;0,"X","")</f>
      </c>
      <c r="AW67" s="56" t="str">
        <f>IF(COUNTIFS('LANÇAMENTOS DIÁRIOS'!$G$5:$G$500,"H",'LANÇAMENTOS DIÁRIOS'!$C$5:$C$500,$A67,'LANÇAMENTOS DIÁRIOS'!$O$5:$O$500,"&lt;=129199",'LANÇAMENTOS DIÁRIOS'!$P$5:$P$500,"&gt;=129100")&gt;0,"X","")</f>
      </c>
      <c r="AX67" s="56" t="str">
        <f>IF(COUNTIFS('LANÇAMENTOS DIÁRIOS'!$G$5:$G$500,"H",'LANÇAMENTOS DIÁRIOS'!$C$5:$C$500,$A67,'LANÇAMENTOS DIÁRIOS'!$O$5:$O$500,"&lt;=129299",'LANÇAMENTOS DIÁRIOS'!$P$5:$P$500,"&gt;=129200")&gt;0,"X","")</f>
      </c>
      <c r="AY67" s="56" t="str">
        <f>IF(COUNTIFS('LANÇAMENTOS DIÁRIOS'!$G$5:$G$500,"H",'LANÇAMENTOS DIÁRIOS'!$C$5:$C$500,$A67,'LANÇAMENTOS DIÁRIOS'!$O$5:$O$500,"&lt;=129399",'LANÇAMENTOS DIÁRIOS'!$P$5:$P$500,"&gt;=129300")&gt;0,"X","")</f>
      </c>
      <c r="AZ67" s="56" t="str">
        <f>IF(COUNTIFS('LANÇAMENTOS DIÁRIOS'!$G$5:$G$500,"H",'LANÇAMENTOS DIÁRIOS'!$C$5:$C$500,$A67,'LANÇAMENTOS DIÁRIOS'!$O$5:$O$500,"&lt;=129400",'LANÇAMENTOS DIÁRIOS'!$P$5:$P$500,"&gt;=129400")&gt;0,"X","")</f>
      </c>
    </row>
    <row r="68" ht="19" customHeight="1">
      <c r="A68" s="68" t="str">
        <v>Instrumentação geotécnica para Terraplenagem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</row>
    <row r="69">
      <c r="A69" s="51" t="str">
        <v>Placa de recalque</v>
      </c>
      <c r="B69" s="56" t="str">
        <f>IF(COUNTIFS('LANÇAMENTOS DIÁRIOS'!$G$5:$G$500,"H",'LANÇAMENTOS DIÁRIOS'!$C$5:$C$500,$A69,'LANÇAMENTOS DIÁRIOS'!$O$5:$O$500,"&lt;=124499",'LANÇAMENTOS DIÁRIOS'!$P$5:$P$500,"&gt;=124400")&gt;0,"X","")</f>
      </c>
      <c r="C69" s="56" t="str">
        <f>IF(COUNTIFS('LANÇAMENTOS DIÁRIOS'!$G$5:$G$500,"H",'LANÇAMENTOS DIÁRIOS'!$C$5:$C$500,$A69,'LANÇAMENTOS DIÁRIOS'!$O$5:$O$500,"&lt;=124599",'LANÇAMENTOS DIÁRIOS'!$P$5:$P$500,"&gt;=124500")&gt;0,"X","")</f>
      </c>
      <c r="D69" s="56" t="str">
        <f>IF(COUNTIFS('LANÇAMENTOS DIÁRIOS'!$G$5:$G$500,"H",'LANÇAMENTOS DIÁRIOS'!$C$5:$C$500,$A69,'LANÇAMENTOS DIÁRIOS'!$O$5:$O$500,"&lt;=124699",'LANÇAMENTOS DIÁRIOS'!$P$5:$P$500,"&gt;=124600")&gt;0,"X","")</f>
      </c>
      <c r="E69" s="56" t="str">
        <f>IF(COUNTIFS('LANÇAMENTOS DIÁRIOS'!$G$5:$G$500,"H",'LANÇAMENTOS DIÁRIOS'!$C$5:$C$500,$A69,'LANÇAMENTOS DIÁRIOS'!$O$5:$O$500,"&lt;=124799",'LANÇAMENTOS DIÁRIOS'!$P$5:$P$500,"&gt;=124700")&gt;0,"X","")</f>
      </c>
      <c r="F69" s="56" t="str">
        <f>IF(COUNTIFS('LANÇAMENTOS DIÁRIOS'!$G$5:$G$500,"H",'LANÇAMENTOS DIÁRIOS'!$C$5:$C$500,$A69,'LANÇAMENTOS DIÁRIOS'!$O$5:$O$500,"&lt;=124899",'LANÇAMENTOS DIÁRIOS'!$P$5:$P$500,"&gt;=124800")&gt;0,"X","")</f>
      </c>
      <c r="G69" s="56" t="str">
        <f>IF(COUNTIFS('LANÇAMENTOS DIÁRIOS'!$G$5:$G$500,"H",'LANÇAMENTOS DIÁRIOS'!$C$5:$C$500,$A69,'LANÇAMENTOS DIÁRIOS'!$O$5:$O$500,"&lt;=124999",'LANÇAMENTOS DIÁRIOS'!$P$5:$P$500,"&gt;=124900")&gt;0,"X","")</f>
      </c>
      <c r="H69" s="56" t="str">
        <f>IF(COUNTIFS('LANÇAMENTOS DIÁRIOS'!$G$5:$G$500,"H",'LANÇAMENTOS DIÁRIOS'!$C$5:$C$500,$A69,'LANÇAMENTOS DIÁRIOS'!$O$5:$O$500,"&lt;=125099",'LANÇAMENTOS DIÁRIOS'!$P$5:$P$500,"&gt;=125000")&gt;0,"X","")</f>
      </c>
      <c r="I69" s="56" t="str">
        <f>IF(COUNTIFS('LANÇAMENTOS DIÁRIOS'!$G$5:$G$500,"H",'LANÇAMENTOS DIÁRIOS'!$C$5:$C$500,$A69,'LANÇAMENTOS DIÁRIOS'!$O$5:$O$500,"&lt;=125199",'LANÇAMENTOS DIÁRIOS'!$P$5:$P$500,"&gt;=125100")&gt;0,"X","")</f>
      </c>
      <c r="J69" s="56" t="str">
        <f>IF(COUNTIFS('LANÇAMENTOS DIÁRIOS'!$G$5:$G$500,"H",'LANÇAMENTOS DIÁRIOS'!$C$5:$C$500,$A69,'LANÇAMENTOS DIÁRIOS'!$O$5:$O$500,"&lt;=125299",'LANÇAMENTOS DIÁRIOS'!$P$5:$P$500,"&gt;=125200")&gt;0,"X","")</f>
      </c>
      <c r="K69" s="56" t="str">
        <f>IF(COUNTIFS('LANÇAMENTOS DIÁRIOS'!$G$5:$G$500,"H",'LANÇAMENTOS DIÁRIOS'!$C$5:$C$500,$A69,'LANÇAMENTOS DIÁRIOS'!$O$5:$O$500,"&lt;=125399",'LANÇAMENTOS DIÁRIOS'!$P$5:$P$500,"&gt;=125300")&gt;0,"X","")</f>
      </c>
      <c r="L69" s="56" t="str">
        <f>IF(COUNTIFS('LANÇAMENTOS DIÁRIOS'!$G$5:$G$500,"H",'LANÇAMENTOS DIÁRIOS'!$C$5:$C$500,$A69,'LANÇAMENTOS DIÁRIOS'!$O$5:$O$500,"&lt;=125499",'LANÇAMENTOS DIÁRIOS'!$P$5:$P$500,"&gt;=125400")&gt;0,"X","")</f>
      </c>
      <c r="M69" s="56" t="str">
        <f>IF(COUNTIFS('LANÇAMENTOS DIÁRIOS'!$G$5:$G$500,"H",'LANÇAMENTOS DIÁRIOS'!$C$5:$C$500,$A69,'LANÇAMENTOS DIÁRIOS'!$O$5:$O$500,"&lt;=125599",'LANÇAMENTOS DIÁRIOS'!$P$5:$P$500,"&gt;=125500")&gt;0,"X","")</f>
      </c>
      <c r="N69" s="56" t="str">
        <f>IF(COUNTIFS('LANÇAMENTOS DIÁRIOS'!$G$5:$G$500,"H",'LANÇAMENTOS DIÁRIOS'!$C$5:$C$500,$A69,'LANÇAMENTOS DIÁRIOS'!$O$5:$O$500,"&lt;=125699",'LANÇAMENTOS DIÁRIOS'!$P$5:$P$500,"&gt;=125600")&gt;0,"X","")</f>
      </c>
      <c r="O69" s="56" t="str">
        <f>IF(COUNTIFS('LANÇAMENTOS DIÁRIOS'!$G$5:$G$500,"H",'LANÇAMENTOS DIÁRIOS'!$C$5:$C$500,$A69,'LANÇAMENTOS DIÁRIOS'!$O$5:$O$500,"&lt;=125799",'LANÇAMENTOS DIÁRIOS'!$P$5:$P$500,"&gt;=125700")&gt;0,"X","")</f>
      </c>
      <c r="P69" s="56" t="str">
        <f>IF(COUNTIFS('LANÇAMENTOS DIÁRIOS'!$G$5:$G$500,"H",'LANÇAMENTOS DIÁRIOS'!$C$5:$C$500,$A69,'LANÇAMENTOS DIÁRIOS'!$O$5:$O$500,"&lt;=125899",'LANÇAMENTOS DIÁRIOS'!$P$5:$P$500,"&gt;=125800")&gt;0,"X","")</f>
      </c>
      <c r="Q69" s="56" t="str">
        <f>IF(COUNTIFS('LANÇAMENTOS DIÁRIOS'!$G$5:$G$500,"H",'LANÇAMENTOS DIÁRIOS'!$C$5:$C$500,$A69,'LANÇAMENTOS DIÁRIOS'!$O$5:$O$500,"&lt;=125999",'LANÇAMENTOS DIÁRIOS'!$P$5:$P$500,"&gt;=125900")&gt;0,"X","")</f>
      </c>
      <c r="R69" s="56" t="str">
        <f>IF(COUNTIFS('LANÇAMENTOS DIÁRIOS'!$G$5:$G$500,"H",'LANÇAMENTOS DIÁRIOS'!$C$5:$C$500,$A69,'LANÇAMENTOS DIÁRIOS'!$O$5:$O$500,"&lt;=126099",'LANÇAMENTOS DIÁRIOS'!$P$5:$P$500,"&gt;=126000")&gt;0,"X","")</f>
      </c>
      <c r="S69" s="56" t="str">
        <f>IF(COUNTIFS('LANÇAMENTOS DIÁRIOS'!$G$5:$G$500,"H",'LANÇAMENTOS DIÁRIOS'!$C$5:$C$500,$A69,'LANÇAMENTOS DIÁRIOS'!$O$5:$O$500,"&lt;=126199",'LANÇAMENTOS DIÁRIOS'!$P$5:$P$500,"&gt;=126100")&gt;0,"X","")</f>
      </c>
      <c r="T69" s="56" t="str">
        <f>IF(COUNTIFS('LANÇAMENTOS DIÁRIOS'!$G$5:$G$500,"H",'LANÇAMENTOS DIÁRIOS'!$C$5:$C$500,$A69,'LANÇAMENTOS DIÁRIOS'!$O$5:$O$500,"&lt;=126299",'LANÇAMENTOS DIÁRIOS'!$P$5:$P$500,"&gt;=126200")&gt;0,"X","")</f>
      </c>
      <c r="U69" s="56" t="str">
        <f>IF(COUNTIFS('LANÇAMENTOS DIÁRIOS'!$G$5:$G$500,"H",'LANÇAMENTOS DIÁRIOS'!$C$5:$C$500,$A69,'LANÇAMENTOS DIÁRIOS'!$O$5:$O$500,"&lt;=126399",'LANÇAMENTOS DIÁRIOS'!$P$5:$P$500,"&gt;=126300")&gt;0,"X","")</f>
      </c>
      <c r="V69" s="56" t="str">
        <f>IF(COUNTIFS('LANÇAMENTOS DIÁRIOS'!$G$5:$G$500,"H",'LANÇAMENTOS DIÁRIOS'!$C$5:$C$500,$A69,'LANÇAMENTOS DIÁRIOS'!$O$5:$O$500,"&lt;=126499",'LANÇAMENTOS DIÁRIOS'!$P$5:$P$500,"&gt;=126400")&gt;0,"X","")</f>
      </c>
      <c r="W69" s="56" t="str">
        <f>IF(COUNTIFS('LANÇAMENTOS DIÁRIOS'!$G$5:$G$500,"H",'LANÇAMENTOS DIÁRIOS'!$C$5:$C$500,$A69,'LANÇAMENTOS DIÁRIOS'!$O$5:$O$500,"&lt;=126599",'LANÇAMENTOS DIÁRIOS'!$P$5:$P$500,"&gt;=126500")&gt;0,"X","")</f>
      </c>
      <c r="X69" s="56" t="str">
        <f>IF(COUNTIFS('LANÇAMENTOS DIÁRIOS'!$G$5:$G$500,"H",'LANÇAMENTOS DIÁRIOS'!$C$5:$C$500,$A69,'LANÇAMENTOS DIÁRIOS'!$O$5:$O$500,"&lt;=126699",'LANÇAMENTOS DIÁRIOS'!$P$5:$P$500,"&gt;=126600")&gt;0,"X","")</f>
      </c>
      <c r="Y69" s="56" t="str">
        <f>IF(COUNTIFS('LANÇAMENTOS DIÁRIOS'!$G$5:$G$500,"H",'LANÇAMENTOS DIÁRIOS'!$C$5:$C$500,$A69,'LANÇAMENTOS DIÁRIOS'!$O$5:$O$500,"&lt;=126799",'LANÇAMENTOS DIÁRIOS'!$P$5:$P$500,"&gt;=126700")&gt;0,"X","")</f>
      </c>
      <c r="Z69" s="56" t="str">
        <f>IF(COUNTIFS('LANÇAMENTOS DIÁRIOS'!$G$5:$G$500,"H",'LANÇAMENTOS DIÁRIOS'!$C$5:$C$500,$A69,'LANÇAMENTOS DIÁRIOS'!$O$5:$O$500,"&lt;=126899",'LANÇAMENTOS DIÁRIOS'!$P$5:$P$500,"&gt;=126800")&gt;0,"X","")</f>
      </c>
      <c r="AA69" s="56" t="str">
        <f>IF(COUNTIFS('LANÇAMENTOS DIÁRIOS'!$G$5:$G$500,"H",'LANÇAMENTOS DIÁRIOS'!$C$5:$C$500,$A69,'LANÇAMENTOS DIÁRIOS'!$O$5:$O$500,"&lt;=126999",'LANÇAMENTOS DIÁRIOS'!$P$5:$P$500,"&gt;=126900")&gt;0,"X","")</f>
      </c>
      <c r="AB69" s="56" t="str">
        <f>IF(COUNTIFS('LANÇAMENTOS DIÁRIOS'!$G$5:$G$500,"H",'LANÇAMENTOS DIÁRIOS'!$C$5:$C$500,$A69,'LANÇAMENTOS DIÁRIOS'!$O$5:$O$500,"&lt;=127099",'LANÇAMENTOS DIÁRIOS'!$P$5:$P$500,"&gt;=127000")&gt;0,"X","")</f>
      </c>
      <c r="AC69" s="56" t="str">
        <f>IF(COUNTIFS('LANÇAMENTOS DIÁRIOS'!$G$5:$G$500,"H",'LANÇAMENTOS DIÁRIOS'!$C$5:$C$500,$A69,'LANÇAMENTOS DIÁRIOS'!$O$5:$O$500,"&lt;=127199",'LANÇAMENTOS DIÁRIOS'!$P$5:$P$500,"&gt;=127100")&gt;0,"X","")</f>
      </c>
      <c r="AD69" s="56" t="str">
        <f>IF(COUNTIFS('LANÇAMENTOS DIÁRIOS'!$G$5:$G$500,"H",'LANÇAMENTOS DIÁRIOS'!$C$5:$C$500,$A69,'LANÇAMENTOS DIÁRIOS'!$O$5:$O$500,"&lt;=127299",'LANÇAMENTOS DIÁRIOS'!$P$5:$P$500,"&gt;=127200")&gt;0,"X","")</f>
      </c>
      <c r="AE69" s="56" t="str">
        <f>IF(COUNTIFS('LANÇAMENTOS DIÁRIOS'!$G$5:$G$500,"H",'LANÇAMENTOS DIÁRIOS'!$C$5:$C$500,$A69,'LANÇAMENTOS DIÁRIOS'!$O$5:$O$500,"&lt;=127399",'LANÇAMENTOS DIÁRIOS'!$P$5:$P$500,"&gt;=127300")&gt;0,"X","")</f>
      </c>
      <c r="AF69" s="56" t="str">
        <f>IF(COUNTIFS('LANÇAMENTOS DIÁRIOS'!$G$5:$G$500,"H",'LANÇAMENTOS DIÁRIOS'!$C$5:$C$500,$A69,'LANÇAMENTOS DIÁRIOS'!$O$5:$O$500,"&lt;=127499",'LANÇAMENTOS DIÁRIOS'!$P$5:$P$500,"&gt;=127400")&gt;0,"X","")</f>
      </c>
      <c r="AG69" s="56" t="str">
        <f>IF(COUNTIFS('LANÇAMENTOS DIÁRIOS'!$G$5:$G$500,"H",'LANÇAMENTOS DIÁRIOS'!$C$5:$C$500,$A69,'LANÇAMENTOS DIÁRIOS'!$O$5:$O$500,"&lt;=127599",'LANÇAMENTOS DIÁRIOS'!$P$5:$P$500,"&gt;=127500")&gt;0,"X","")</f>
      </c>
      <c r="AH69" s="56" t="str">
        <f>IF(COUNTIFS('LANÇAMENTOS DIÁRIOS'!$G$5:$G$500,"H",'LANÇAMENTOS DIÁRIOS'!$C$5:$C$500,$A69,'LANÇAMENTOS DIÁRIOS'!$O$5:$O$500,"&lt;=127699",'LANÇAMENTOS DIÁRIOS'!$P$5:$P$500,"&gt;=127600")&gt;0,"X","")</f>
      </c>
      <c r="AI69" s="56" t="str">
        <f>IF(COUNTIFS('LANÇAMENTOS DIÁRIOS'!$G$5:$G$500,"H",'LANÇAMENTOS DIÁRIOS'!$C$5:$C$500,$A69,'LANÇAMENTOS DIÁRIOS'!$O$5:$O$500,"&lt;=127799",'LANÇAMENTOS DIÁRIOS'!$P$5:$P$500,"&gt;=127700")&gt;0,"X","")</f>
      </c>
      <c r="AJ69" s="56" t="str">
        <f>IF(COUNTIFS('LANÇAMENTOS DIÁRIOS'!$G$5:$G$500,"H",'LANÇAMENTOS DIÁRIOS'!$C$5:$C$500,$A69,'LANÇAMENTOS DIÁRIOS'!$O$5:$O$500,"&lt;=127899",'LANÇAMENTOS DIÁRIOS'!$P$5:$P$500,"&gt;=127800")&gt;0,"X","")</f>
      </c>
      <c r="AK69" s="56" t="str">
        <f>IF(COUNTIFS('LANÇAMENTOS DIÁRIOS'!$G$5:$G$500,"H",'LANÇAMENTOS DIÁRIOS'!$C$5:$C$500,$A69,'LANÇAMENTOS DIÁRIOS'!$O$5:$O$500,"&lt;=127999",'LANÇAMENTOS DIÁRIOS'!$P$5:$P$500,"&gt;=127900")&gt;0,"X","")</f>
      </c>
      <c r="AL69" s="56" t="str">
        <f>IF(COUNTIFS('LANÇAMENTOS DIÁRIOS'!$G$5:$G$500,"H",'LANÇAMENTOS DIÁRIOS'!$C$5:$C$500,$A69,'LANÇAMENTOS DIÁRIOS'!$O$5:$O$500,"&lt;=128099",'LANÇAMENTOS DIÁRIOS'!$P$5:$P$500,"&gt;=128000")&gt;0,"X","")</f>
      </c>
      <c r="AM69" s="56" t="str">
        <f>IF(COUNTIFS('LANÇAMENTOS DIÁRIOS'!$G$5:$G$500,"H",'LANÇAMENTOS DIÁRIOS'!$C$5:$C$500,$A69,'LANÇAMENTOS DIÁRIOS'!$O$5:$O$500,"&lt;=128199",'LANÇAMENTOS DIÁRIOS'!$P$5:$P$500,"&gt;=128100")&gt;0,"X","")</f>
      </c>
      <c r="AN69" s="56" t="str">
        <f>IF(COUNTIFS('LANÇAMENTOS DIÁRIOS'!$G$5:$G$500,"H",'LANÇAMENTOS DIÁRIOS'!$C$5:$C$500,$A69,'LANÇAMENTOS DIÁRIOS'!$O$5:$O$500,"&lt;=128299",'LANÇAMENTOS DIÁRIOS'!$P$5:$P$500,"&gt;=128200")&gt;0,"X","")</f>
      </c>
      <c r="AO69" s="56" t="str">
        <f>IF(COUNTIFS('LANÇAMENTOS DIÁRIOS'!$G$5:$G$500,"H",'LANÇAMENTOS DIÁRIOS'!$C$5:$C$500,$A69,'LANÇAMENTOS DIÁRIOS'!$O$5:$O$500,"&lt;=128399",'LANÇAMENTOS DIÁRIOS'!$P$5:$P$500,"&gt;=128300")&gt;0,"X","")</f>
      </c>
      <c r="AP69" s="56" t="str">
        <f>IF(COUNTIFS('LANÇAMENTOS DIÁRIOS'!$G$5:$G$500,"H",'LANÇAMENTOS DIÁRIOS'!$C$5:$C$500,$A69,'LANÇAMENTOS DIÁRIOS'!$O$5:$O$500,"&lt;=128499",'LANÇAMENTOS DIÁRIOS'!$P$5:$P$500,"&gt;=128400")&gt;0,"X","")</f>
      </c>
      <c r="AQ69" s="56" t="str">
        <f>IF(COUNTIFS('LANÇAMENTOS DIÁRIOS'!$G$5:$G$500,"H",'LANÇAMENTOS DIÁRIOS'!$C$5:$C$500,$A69,'LANÇAMENTOS DIÁRIOS'!$O$5:$O$500,"&lt;=128599",'LANÇAMENTOS DIÁRIOS'!$P$5:$P$500,"&gt;=128500")&gt;0,"X","")</f>
      </c>
      <c r="AR69" s="56" t="str">
        <f>IF(COUNTIFS('LANÇAMENTOS DIÁRIOS'!$G$5:$G$500,"H",'LANÇAMENTOS DIÁRIOS'!$C$5:$C$500,$A69,'LANÇAMENTOS DIÁRIOS'!$O$5:$O$500,"&lt;=128699",'LANÇAMENTOS DIÁRIOS'!$P$5:$P$500,"&gt;=128600")&gt;0,"X","")</f>
      </c>
      <c r="AS69" s="56" t="str">
        <f>IF(COUNTIFS('LANÇAMENTOS DIÁRIOS'!$G$5:$G$500,"H",'LANÇAMENTOS DIÁRIOS'!$C$5:$C$500,$A69,'LANÇAMENTOS DIÁRIOS'!$O$5:$O$500,"&lt;=128799",'LANÇAMENTOS DIÁRIOS'!$P$5:$P$500,"&gt;=128700")&gt;0,"X","")</f>
      </c>
      <c r="AT69" s="56" t="str">
        <f>IF(COUNTIFS('LANÇAMENTOS DIÁRIOS'!$G$5:$G$500,"H",'LANÇAMENTOS DIÁRIOS'!$C$5:$C$500,$A69,'LANÇAMENTOS DIÁRIOS'!$O$5:$O$500,"&lt;=128899",'LANÇAMENTOS DIÁRIOS'!$P$5:$P$500,"&gt;=128800")&gt;0,"X","")</f>
      </c>
      <c r="AU69" s="56" t="str">
        <f>IF(COUNTIFS('LANÇAMENTOS DIÁRIOS'!$G$5:$G$500,"H",'LANÇAMENTOS DIÁRIOS'!$C$5:$C$500,$A69,'LANÇAMENTOS DIÁRIOS'!$O$5:$O$500,"&lt;=128999",'LANÇAMENTOS DIÁRIOS'!$P$5:$P$500,"&gt;=128900")&gt;0,"X","")</f>
      </c>
      <c r="AV69" s="56" t="str">
        <f>IF(COUNTIFS('LANÇAMENTOS DIÁRIOS'!$G$5:$G$500,"H",'LANÇAMENTOS DIÁRIOS'!$C$5:$C$500,$A69,'LANÇAMENTOS DIÁRIOS'!$O$5:$O$500,"&lt;=129099",'LANÇAMENTOS DIÁRIOS'!$P$5:$P$500,"&gt;=129000")&gt;0,"X","")</f>
      </c>
      <c r="AW69" s="56" t="str">
        <f>IF(COUNTIFS('LANÇAMENTOS DIÁRIOS'!$G$5:$G$500,"H",'LANÇAMENTOS DIÁRIOS'!$C$5:$C$500,$A69,'LANÇAMENTOS DIÁRIOS'!$O$5:$O$500,"&lt;=129199",'LANÇAMENTOS DIÁRIOS'!$P$5:$P$500,"&gt;=129100")&gt;0,"X","")</f>
      </c>
      <c r="AX69" s="56" t="str">
        <f>IF(COUNTIFS('LANÇAMENTOS DIÁRIOS'!$G$5:$G$500,"H",'LANÇAMENTOS DIÁRIOS'!$C$5:$C$500,$A69,'LANÇAMENTOS DIÁRIOS'!$O$5:$O$500,"&lt;=129299",'LANÇAMENTOS DIÁRIOS'!$P$5:$P$500,"&gt;=129200")&gt;0,"X","")</f>
      </c>
      <c r="AY69" s="56" t="str">
        <f>IF(COUNTIFS('LANÇAMENTOS DIÁRIOS'!$G$5:$G$500,"H",'LANÇAMENTOS DIÁRIOS'!$C$5:$C$500,$A69,'LANÇAMENTOS DIÁRIOS'!$O$5:$O$500,"&lt;=129399",'LANÇAMENTOS DIÁRIOS'!$P$5:$P$500,"&gt;=129300")&gt;0,"X","")</f>
      </c>
      <c r="AZ69" s="56" t="str">
        <f>IF(COUNTIFS('LANÇAMENTOS DIÁRIOS'!$G$5:$G$500,"H",'LANÇAMENTOS DIÁRIOS'!$C$5:$C$500,$A69,'LANÇAMENTOS DIÁRIOS'!$O$5:$O$500,"&lt;=129400",'LANÇAMENTOS DIÁRIOS'!$P$5:$P$500,"&gt;=129400")&gt;0,"X","")</f>
      </c>
    </row>
    <row r="70">
      <c r="A70" s="51" t="str">
        <v>Marco Superficial</v>
      </c>
      <c r="B70" s="56" t="str">
        <f>IF(COUNTIFS('LANÇAMENTOS DIÁRIOS'!$G$5:$G$500,"H",'LANÇAMENTOS DIÁRIOS'!$C$5:$C$500,$A70,'LANÇAMENTOS DIÁRIOS'!$O$5:$O$500,"&lt;=124499",'LANÇAMENTOS DIÁRIOS'!$P$5:$P$500,"&gt;=124400")&gt;0,"X","")</f>
      </c>
      <c r="C70" s="56" t="str">
        <f>IF(COUNTIFS('LANÇAMENTOS DIÁRIOS'!$G$5:$G$500,"H",'LANÇAMENTOS DIÁRIOS'!$C$5:$C$500,$A70,'LANÇAMENTOS DIÁRIOS'!$O$5:$O$500,"&lt;=124599",'LANÇAMENTOS DIÁRIOS'!$P$5:$P$500,"&gt;=124500")&gt;0,"X","")</f>
      </c>
      <c r="D70" s="56" t="str">
        <f>IF(COUNTIFS('LANÇAMENTOS DIÁRIOS'!$G$5:$G$500,"H",'LANÇAMENTOS DIÁRIOS'!$C$5:$C$500,$A70,'LANÇAMENTOS DIÁRIOS'!$O$5:$O$500,"&lt;=124699",'LANÇAMENTOS DIÁRIOS'!$P$5:$P$500,"&gt;=124600")&gt;0,"X","")</f>
      </c>
      <c r="E70" s="56" t="str">
        <f>IF(COUNTIFS('LANÇAMENTOS DIÁRIOS'!$G$5:$G$500,"H",'LANÇAMENTOS DIÁRIOS'!$C$5:$C$500,$A70,'LANÇAMENTOS DIÁRIOS'!$O$5:$O$500,"&lt;=124799",'LANÇAMENTOS DIÁRIOS'!$P$5:$P$500,"&gt;=124700")&gt;0,"X","")</f>
      </c>
      <c r="F70" s="56" t="str">
        <f>IF(COUNTIFS('LANÇAMENTOS DIÁRIOS'!$G$5:$G$500,"H",'LANÇAMENTOS DIÁRIOS'!$C$5:$C$500,$A70,'LANÇAMENTOS DIÁRIOS'!$O$5:$O$500,"&lt;=124899",'LANÇAMENTOS DIÁRIOS'!$P$5:$P$500,"&gt;=124800")&gt;0,"X","")</f>
      </c>
      <c r="G70" s="56" t="str">
        <f>IF(COUNTIFS('LANÇAMENTOS DIÁRIOS'!$G$5:$G$500,"H",'LANÇAMENTOS DIÁRIOS'!$C$5:$C$500,$A70,'LANÇAMENTOS DIÁRIOS'!$O$5:$O$500,"&lt;=124999",'LANÇAMENTOS DIÁRIOS'!$P$5:$P$500,"&gt;=124900")&gt;0,"X","")</f>
      </c>
      <c r="H70" s="56" t="str">
        <f>IF(COUNTIFS('LANÇAMENTOS DIÁRIOS'!$G$5:$G$500,"H",'LANÇAMENTOS DIÁRIOS'!$C$5:$C$500,$A70,'LANÇAMENTOS DIÁRIOS'!$O$5:$O$500,"&lt;=125099",'LANÇAMENTOS DIÁRIOS'!$P$5:$P$500,"&gt;=125000")&gt;0,"X","")</f>
      </c>
      <c r="I70" s="56" t="str">
        <f>IF(COUNTIFS('LANÇAMENTOS DIÁRIOS'!$G$5:$G$500,"H",'LANÇAMENTOS DIÁRIOS'!$C$5:$C$500,$A70,'LANÇAMENTOS DIÁRIOS'!$O$5:$O$500,"&lt;=125199",'LANÇAMENTOS DIÁRIOS'!$P$5:$P$500,"&gt;=125100")&gt;0,"X","")</f>
      </c>
      <c r="J70" s="56" t="str">
        <f>IF(COUNTIFS('LANÇAMENTOS DIÁRIOS'!$G$5:$G$500,"H",'LANÇAMENTOS DIÁRIOS'!$C$5:$C$500,$A70,'LANÇAMENTOS DIÁRIOS'!$O$5:$O$500,"&lt;=125299",'LANÇAMENTOS DIÁRIOS'!$P$5:$P$500,"&gt;=125200")&gt;0,"X","")</f>
      </c>
      <c r="K70" s="56" t="str">
        <f>IF(COUNTIFS('LANÇAMENTOS DIÁRIOS'!$G$5:$G$500,"H",'LANÇAMENTOS DIÁRIOS'!$C$5:$C$500,$A70,'LANÇAMENTOS DIÁRIOS'!$O$5:$O$500,"&lt;=125399",'LANÇAMENTOS DIÁRIOS'!$P$5:$P$500,"&gt;=125300")&gt;0,"X","")</f>
      </c>
      <c r="L70" s="56" t="str">
        <f>IF(COUNTIFS('LANÇAMENTOS DIÁRIOS'!$G$5:$G$500,"H",'LANÇAMENTOS DIÁRIOS'!$C$5:$C$500,$A70,'LANÇAMENTOS DIÁRIOS'!$O$5:$O$500,"&lt;=125499",'LANÇAMENTOS DIÁRIOS'!$P$5:$P$500,"&gt;=125400")&gt;0,"X","")</f>
      </c>
      <c r="M70" s="56" t="str">
        <f>IF(COUNTIFS('LANÇAMENTOS DIÁRIOS'!$G$5:$G$500,"H",'LANÇAMENTOS DIÁRIOS'!$C$5:$C$500,$A70,'LANÇAMENTOS DIÁRIOS'!$O$5:$O$500,"&lt;=125599",'LANÇAMENTOS DIÁRIOS'!$P$5:$P$500,"&gt;=125500")&gt;0,"X","")</f>
      </c>
      <c r="N70" s="56" t="str">
        <f>IF(COUNTIFS('LANÇAMENTOS DIÁRIOS'!$G$5:$G$500,"H",'LANÇAMENTOS DIÁRIOS'!$C$5:$C$500,$A70,'LANÇAMENTOS DIÁRIOS'!$O$5:$O$500,"&lt;=125699",'LANÇAMENTOS DIÁRIOS'!$P$5:$P$500,"&gt;=125600")&gt;0,"X","")</f>
      </c>
      <c r="O70" s="56" t="str">
        <f>IF(COUNTIFS('LANÇAMENTOS DIÁRIOS'!$G$5:$G$500,"H",'LANÇAMENTOS DIÁRIOS'!$C$5:$C$500,$A70,'LANÇAMENTOS DIÁRIOS'!$O$5:$O$500,"&lt;=125799",'LANÇAMENTOS DIÁRIOS'!$P$5:$P$500,"&gt;=125700")&gt;0,"X","")</f>
      </c>
      <c r="P70" s="56" t="str">
        <f>IF(COUNTIFS('LANÇAMENTOS DIÁRIOS'!$G$5:$G$500,"H",'LANÇAMENTOS DIÁRIOS'!$C$5:$C$500,$A70,'LANÇAMENTOS DIÁRIOS'!$O$5:$O$500,"&lt;=125899",'LANÇAMENTOS DIÁRIOS'!$P$5:$P$500,"&gt;=125800")&gt;0,"X","")</f>
      </c>
      <c r="Q70" s="56" t="str">
        <f>IF(COUNTIFS('LANÇAMENTOS DIÁRIOS'!$G$5:$G$500,"H",'LANÇAMENTOS DIÁRIOS'!$C$5:$C$500,$A70,'LANÇAMENTOS DIÁRIOS'!$O$5:$O$500,"&lt;=125999",'LANÇAMENTOS DIÁRIOS'!$P$5:$P$500,"&gt;=125900")&gt;0,"X","")</f>
      </c>
      <c r="R70" s="56" t="str">
        <f>IF(COUNTIFS('LANÇAMENTOS DIÁRIOS'!$G$5:$G$500,"H",'LANÇAMENTOS DIÁRIOS'!$C$5:$C$500,$A70,'LANÇAMENTOS DIÁRIOS'!$O$5:$O$500,"&lt;=126099",'LANÇAMENTOS DIÁRIOS'!$P$5:$P$500,"&gt;=126000")&gt;0,"X","")</f>
      </c>
      <c r="S70" s="56" t="str">
        <f>IF(COUNTIFS('LANÇAMENTOS DIÁRIOS'!$G$5:$G$500,"H",'LANÇAMENTOS DIÁRIOS'!$C$5:$C$500,$A70,'LANÇAMENTOS DIÁRIOS'!$O$5:$O$500,"&lt;=126199",'LANÇAMENTOS DIÁRIOS'!$P$5:$P$500,"&gt;=126100")&gt;0,"X","")</f>
      </c>
      <c r="T70" s="56" t="str">
        <f>IF(COUNTIFS('LANÇAMENTOS DIÁRIOS'!$G$5:$G$500,"H",'LANÇAMENTOS DIÁRIOS'!$C$5:$C$500,$A70,'LANÇAMENTOS DIÁRIOS'!$O$5:$O$500,"&lt;=126299",'LANÇAMENTOS DIÁRIOS'!$P$5:$P$500,"&gt;=126200")&gt;0,"X","")</f>
      </c>
      <c r="U70" s="56" t="str">
        <f>IF(COUNTIFS('LANÇAMENTOS DIÁRIOS'!$G$5:$G$500,"H",'LANÇAMENTOS DIÁRIOS'!$C$5:$C$500,$A70,'LANÇAMENTOS DIÁRIOS'!$O$5:$O$500,"&lt;=126399",'LANÇAMENTOS DIÁRIOS'!$P$5:$P$500,"&gt;=126300")&gt;0,"X","")</f>
      </c>
      <c r="V70" s="56" t="str">
        <f>IF(COUNTIFS('LANÇAMENTOS DIÁRIOS'!$G$5:$G$500,"H",'LANÇAMENTOS DIÁRIOS'!$C$5:$C$500,$A70,'LANÇAMENTOS DIÁRIOS'!$O$5:$O$500,"&lt;=126499",'LANÇAMENTOS DIÁRIOS'!$P$5:$P$500,"&gt;=126400")&gt;0,"X","")</f>
      </c>
      <c r="W70" s="56" t="str">
        <f>IF(COUNTIFS('LANÇAMENTOS DIÁRIOS'!$G$5:$G$500,"H",'LANÇAMENTOS DIÁRIOS'!$C$5:$C$500,$A70,'LANÇAMENTOS DIÁRIOS'!$O$5:$O$500,"&lt;=126599",'LANÇAMENTOS DIÁRIOS'!$P$5:$P$500,"&gt;=126500")&gt;0,"X","")</f>
      </c>
      <c r="X70" s="56" t="str">
        <f>IF(COUNTIFS('LANÇAMENTOS DIÁRIOS'!$G$5:$G$500,"H",'LANÇAMENTOS DIÁRIOS'!$C$5:$C$500,$A70,'LANÇAMENTOS DIÁRIOS'!$O$5:$O$500,"&lt;=126699",'LANÇAMENTOS DIÁRIOS'!$P$5:$P$500,"&gt;=126600")&gt;0,"X","")</f>
      </c>
      <c r="Y70" s="56" t="str">
        <f>IF(COUNTIFS('LANÇAMENTOS DIÁRIOS'!$G$5:$G$500,"H",'LANÇAMENTOS DIÁRIOS'!$C$5:$C$500,$A70,'LANÇAMENTOS DIÁRIOS'!$O$5:$O$500,"&lt;=126799",'LANÇAMENTOS DIÁRIOS'!$P$5:$P$500,"&gt;=126700")&gt;0,"X","")</f>
      </c>
      <c r="Z70" s="56" t="str">
        <f>IF(COUNTIFS('LANÇAMENTOS DIÁRIOS'!$G$5:$G$500,"H",'LANÇAMENTOS DIÁRIOS'!$C$5:$C$500,$A70,'LANÇAMENTOS DIÁRIOS'!$O$5:$O$500,"&lt;=126899",'LANÇAMENTOS DIÁRIOS'!$P$5:$P$500,"&gt;=126800")&gt;0,"X","")</f>
      </c>
      <c r="AA70" s="56" t="str">
        <f>IF(COUNTIFS('LANÇAMENTOS DIÁRIOS'!$G$5:$G$500,"H",'LANÇAMENTOS DIÁRIOS'!$C$5:$C$500,$A70,'LANÇAMENTOS DIÁRIOS'!$O$5:$O$500,"&lt;=126999",'LANÇAMENTOS DIÁRIOS'!$P$5:$P$500,"&gt;=126900")&gt;0,"X","")</f>
      </c>
      <c r="AB70" s="56" t="str">
        <f>IF(COUNTIFS('LANÇAMENTOS DIÁRIOS'!$G$5:$G$500,"H",'LANÇAMENTOS DIÁRIOS'!$C$5:$C$500,$A70,'LANÇAMENTOS DIÁRIOS'!$O$5:$O$500,"&lt;=127099",'LANÇAMENTOS DIÁRIOS'!$P$5:$P$500,"&gt;=127000")&gt;0,"X","")</f>
      </c>
      <c r="AC70" s="56" t="str">
        <f>IF(COUNTIFS('LANÇAMENTOS DIÁRIOS'!$G$5:$G$500,"H",'LANÇAMENTOS DIÁRIOS'!$C$5:$C$500,$A70,'LANÇAMENTOS DIÁRIOS'!$O$5:$O$500,"&lt;=127199",'LANÇAMENTOS DIÁRIOS'!$P$5:$P$500,"&gt;=127100")&gt;0,"X","")</f>
      </c>
      <c r="AD70" s="56" t="str">
        <f>IF(COUNTIFS('LANÇAMENTOS DIÁRIOS'!$G$5:$G$500,"H",'LANÇAMENTOS DIÁRIOS'!$C$5:$C$500,$A70,'LANÇAMENTOS DIÁRIOS'!$O$5:$O$500,"&lt;=127299",'LANÇAMENTOS DIÁRIOS'!$P$5:$P$500,"&gt;=127200")&gt;0,"X","")</f>
      </c>
      <c r="AE70" s="56" t="str">
        <f>IF(COUNTIFS('LANÇAMENTOS DIÁRIOS'!$G$5:$G$500,"H",'LANÇAMENTOS DIÁRIOS'!$C$5:$C$500,$A70,'LANÇAMENTOS DIÁRIOS'!$O$5:$O$500,"&lt;=127399",'LANÇAMENTOS DIÁRIOS'!$P$5:$P$500,"&gt;=127300")&gt;0,"X","")</f>
      </c>
      <c r="AF70" s="56" t="str">
        <f>IF(COUNTIFS('LANÇAMENTOS DIÁRIOS'!$G$5:$G$500,"H",'LANÇAMENTOS DIÁRIOS'!$C$5:$C$500,$A70,'LANÇAMENTOS DIÁRIOS'!$O$5:$O$500,"&lt;=127499",'LANÇAMENTOS DIÁRIOS'!$P$5:$P$500,"&gt;=127400")&gt;0,"X","")</f>
      </c>
      <c r="AG70" s="56" t="str">
        <f>IF(COUNTIFS('LANÇAMENTOS DIÁRIOS'!$G$5:$G$500,"H",'LANÇAMENTOS DIÁRIOS'!$C$5:$C$500,$A70,'LANÇAMENTOS DIÁRIOS'!$O$5:$O$500,"&lt;=127599",'LANÇAMENTOS DIÁRIOS'!$P$5:$P$500,"&gt;=127500")&gt;0,"X","")</f>
      </c>
      <c r="AH70" s="56" t="str">
        <f>IF(COUNTIFS('LANÇAMENTOS DIÁRIOS'!$G$5:$G$500,"H",'LANÇAMENTOS DIÁRIOS'!$C$5:$C$500,$A70,'LANÇAMENTOS DIÁRIOS'!$O$5:$O$500,"&lt;=127699",'LANÇAMENTOS DIÁRIOS'!$P$5:$P$500,"&gt;=127600")&gt;0,"X","")</f>
      </c>
      <c r="AI70" s="56" t="str">
        <f>IF(COUNTIFS('LANÇAMENTOS DIÁRIOS'!$G$5:$G$500,"H",'LANÇAMENTOS DIÁRIOS'!$C$5:$C$500,$A70,'LANÇAMENTOS DIÁRIOS'!$O$5:$O$500,"&lt;=127799",'LANÇAMENTOS DIÁRIOS'!$P$5:$P$500,"&gt;=127700")&gt;0,"X","")</f>
      </c>
      <c r="AJ70" s="56" t="str">
        <f>IF(COUNTIFS('LANÇAMENTOS DIÁRIOS'!$G$5:$G$500,"H",'LANÇAMENTOS DIÁRIOS'!$C$5:$C$500,$A70,'LANÇAMENTOS DIÁRIOS'!$O$5:$O$500,"&lt;=127899",'LANÇAMENTOS DIÁRIOS'!$P$5:$P$500,"&gt;=127800")&gt;0,"X","")</f>
      </c>
      <c r="AK70" s="56" t="str">
        <f>IF(COUNTIFS('LANÇAMENTOS DIÁRIOS'!$G$5:$G$500,"H",'LANÇAMENTOS DIÁRIOS'!$C$5:$C$500,$A70,'LANÇAMENTOS DIÁRIOS'!$O$5:$O$500,"&lt;=127999",'LANÇAMENTOS DIÁRIOS'!$P$5:$P$500,"&gt;=127900")&gt;0,"X","")</f>
      </c>
      <c r="AL70" s="56" t="str">
        <f>IF(COUNTIFS('LANÇAMENTOS DIÁRIOS'!$G$5:$G$500,"H",'LANÇAMENTOS DIÁRIOS'!$C$5:$C$500,$A70,'LANÇAMENTOS DIÁRIOS'!$O$5:$O$500,"&lt;=128099",'LANÇAMENTOS DIÁRIOS'!$P$5:$P$500,"&gt;=128000")&gt;0,"X","")</f>
      </c>
      <c r="AM70" s="56" t="str">
        <f>IF(COUNTIFS('LANÇAMENTOS DIÁRIOS'!$G$5:$G$500,"H",'LANÇAMENTOS DIÁRIOS'!$C$5:$C$500,$A70,'LANÇAMENTOS DIÁRIOS'!$O$5:$O$500,"&lt;=128199",'LANÇAMENTOS DIÁRIOS'!$P$5:$P$500,"&gt;=128100")&gt;0,"X","")</f>
      </c>
      <c r="AN70" s="56" t="str">
        <f>IF(COUNTIFS('LANÇAMENTOS DIÁRIOS'!$G$5:$G$500,"H",'LANÇAMENTOS DIÁRIOS'!$C$5:$C$500,$A70,'LANÇAMENTOS DIÁRIOS'!$O$5:$O$500,"&lt;=128299",'LANÇAMENTOS DIÁRIOS'!$P$5:$P$500,"&gt;=128200")&gt;0,"X","")</f>
      </c>
      <c r="AO70" s="56" t="str">
        <f>IF(COUNTIFS('LANÇAMENTOS DIÁRIOS'!$G$5:$G$500,"H",'LANÇAMENTOS DIÁRIOS'!$C$5:$C$500,$A70,'LANÇAMENTOS DIÁRIOS'!$O$5:$O$500,"&lt;=128399",'LANÇAMENTOS DIÁRIOS'!$P$5:$P$500,"&gt;=128300")&gt;0,"X","")</f>
      </c>
      <c r="AP70" s="56" t="str">
        <f>IF(COUNTIFS('LANÇAMENTOS DIÁRIOS'!$G$5:$G$500,"H",'LANÇAMENTOS DIÁRIOS'!$C$5:$C$500,$A70,'LANÇAMENTOS DIÁRIOS'!$O$5:$O$500,"&lt;=128499",'LANÇAMENTOS DIÁRIOS'!$P$5:$P$500,"&gt;=128400")&gt;0,"X","")</f>
      </c>
      <c r="AQ70" s="56" t="str">
        <f>IF(COUNTIFS('LANÇAMENTOS DIÁRIOS'!$G$5:$G$500,"H",'LANÇAMENTOS DIÁRIOS'!$C$5:$C$500,$A70,'LANÇAMENTOS DIÁRIOS'!$O$5:$O$500,"&lt;=128599",'LANÇAMENTOS DIÁRIOS'!$P$5:$P$500,"&gt;=128500")&gt;0,"X","")</f>
      </c>
      <c r="AR70" s="56" t="str">
        <f>IF(COUNTIFS('LANÇAMENTOS DIÁRIOS'!$G$5:$G$500,"H",'LANÇAMENTOS DIÁRIOS'!$C$5:$C$500,$A70,'LANÇAMENTOS DIÁRIOS'!$O$5:$O$500,"&lt;=128699",'LANÇAMENTOS DIÁRIOS'!$P$5:$P$500,"&gt;=128600")&gt;0,"X","")</f>
      </c>
      <c r="AS70" s="56" t="str">
        <f>IF(COUNTIFS('LANÇAMENTOS DIÁRIOS'!$G$5:$G$500,"H",'LANÇAMENTOS DIÁRIOS'!$C$5:$C$500,$A70,'LANÇAMENTOS DIÁRIOS'!$O$5:$O$500,"&lt;=128799",'LANÇAMENTOS DIÁRIOS'!$P$5:$P$500,"&gt;=128700")&gt;0,"X","")</f>
      </c>
      <c r="AT70" s="56" t="str">
        <f>IF(COUNTIFS('LANÇAMENTOS DIÁRIOS'!$G$5:$G$500,"H",'LANÇAMENTOS DIÁRIOS'!$C$5:$C$500,$A70,'LANÇAMENTOS DIÁRIOS'!$O$5:$O$500,"&lt;=128899",'LANÇAMENTOS DIÁRIOS'!$P$5:$P$500,"&gt;=128800")&gt;0,"X","")</f>
      </c>
      <c r="AU70" s="56" t="str">
        <f>IF(COUNTIFS('LANÇAMENTOS DIÁRIOS'!$G$5:$G$500,"H",'LANÇAMENTOS DIÁRIOS'!$C$5:$C$500,$A70,'LANÇAMENTOS DIÁRIOS'!$O$5:$O$500,"&lt;=128999",'LANÇAMENTOS DIÁRIOS'!$P$5:$P$500,"&gt;=128900")&gt;0,"X","")</f>
      </c>
      <c r="AV70" s="56" t="str">
        <f>IF(COUNTIFS('LANÇAMENTOS DIÁRIOS'!$G$5:$G$500,"H",'LANÇAMENTOS DIÁRIOS'!$C$5:$C$500,$A70,'LANÇAMENTOS DIÁRIOS'!$O$5:$O$500,"&lt;=129099",'LANÇAMENTOS DIÁRIOS'!$P$5:$P$500,"&gt;=129000")&gt;0,"X","")</f>
      </c>
      <c r="AW70" s="56" t="str">
        <f>IF(COUNTIFS('LANÇAMENTOS DIÁRIOS'!$G$5:$G$500,"H",'LANÇAMENTOS DIÁRIOS'!$C$5:$C$500,$A70,'LANÇAMENTOS DIÁRIOS'!$O$5:$O$500,"&lt;=129199",'LANÇAMENTOS DIÁRIOS'!$P$5:$P$500,"&gt;=129100")&gt;0,"X","")</f>
      </c>
      <c r="AX70" s="56" t="str">
        <f>IF(COUNTIFS('LANÇAMENTOS DIÁRIOS'!$G$5:$G$500,"H",'LANÇAMENTOS DIÁRIOS'!$C$5:$C$500,$A70,'LANÇAMENTOS DIÁRIOS'!$O$5:$O$500,"&lt;=129299",'LANÇAMENTOS DIÁRIOS'!$P$5:$P$500,"&gt;=129200")&gt;0,"X","")</f>
      </c>
      <c r="AY70" s="56" t="str">
        <f>IF(COUNTIFS('LANÇAMENTOS DIÁRIOS'!$G$5:$G$500,"H",'LANÇAMENTOS DIÁRIOS'!$C$5:$C$500,$A70,'LANÇAMENTOS DIÁRIOS'!$O$5:$O$500,"&lt;=129399",'LANÇAMENTOS DIÁRIOS'!$P$5:$P$500,"&gt;=129300")&gt;0,"X","")</f>
      </c>
      <c r="AZ70" s="56" t="str">
        <f>IF(COUNTIFS('LANÇAMENTOS DIÁRIOS'!$G$5:$G$500,"H",'LANÇAMENTOS DIÁRIOS'!$C$5:$C$500,$A70,'LANÇAMENTOS DIÁRIOS'!$O$5:$O$500,"&lt;=129400",'LANÇAMENTOS DIÁRIOS'!$P$5:$P$500,"&gt;=129400")&gt;0,"X","")</f>
      </c>
    </row>
    <row r="71">
      <c r="A71" s="51" t="str">
        <v>Inclinômetro</v>
      </c>
      <c r="B71" s="56" t="str">
        <f>IF(COUNTIFS('LANÇAMENTOS DIÁRIOS'!$G$5:$G$500,"H",'LANÇAMENTOS DIÁRIOS'!$C$5:$C$500,$A71,'LANÇAMENTOS DIÁRIOS'!$O$5:$O$500,"&lt;=124499",'LANÇAMENTOS DIÁRIOS'!$P$5:$P$500,"&gt;=124400")&gt;0,"X","")</f>
      </c>
      <c r="C71" s="56" t="str">
        <f>IF(COUNTIFS('LANÇAMENTOS DIÁRIOS'!$G$5:$G$500,"H",'LANÇAMENTOS DIÁRIOS'!$C$5:$C$500,$A71,'LANÇAMENTOS DIÁRIOS'!$O$5:$O$500,"&lt;=124599",'LANÇAMENTOS DIÁRIOS'!$P$5:$P$500,"&gt;=124500")&gt;0,"X","")</f>
      </c>
      <c r="D71" s="56" t="str">
        <f>IF(COUNTIFS('LANÇAMENTOS DIÁRIOS'!$G$5:$G$500,"H",'LANÇAMENTOS DIÁRIOS'!$C$5:$C$500,$A71,'LANÇAMENTOS DIÁRIOS'!$O$5:$O$500,"&lt;=124699",'LANÇAMENTOS DIÁRIOS'!$P$5:$P$500,"&gt;=124600")&gt;0,"X","")</f>
      </c>
      <c r="E71" s="56" t="str">
        <f>IF(COUNTIFS('LANÇAMENTOS DIÁRIOS'!$G$5:$G$500,"H",'LANÇAMENTOS DIÁRIOS'!$C$5:$C$500,$A71,'LANÇAMENTOS DIÁRIOS'!$O$5:$O$500,"&lt;=124799",'LANÇAMENTOS DIÁRIOS'!$P$5:$P$500,"&gt;=124700")&gt;0,"X","")</f>
      </c>
      <c r="F71" s="56" t="str">
        <f>IF(COUNTIFS('LANÇAMENTOS DIÁRIOS'!$G$5:$G$500,"H",'LANÇAMENTOS DIÁRIOS'!$C$5:$C$500,$A71,'LANÇAMENTOS DIÁRIOS'!$O$5:$O$500,"&lt;=124899",'LANÇAMENTOS DIÁRIOS'!$P$5:$P$500,"&gt;=124800")&gt;0,"X","")</f>
      </c>
      <c r="G71" s="56" t="str">
        <f>IF(COUNTIFS('LANÇAMENTOS DIÁRIOS'!$G$5:$G$500,"H",'LANÇAMENTOS DIÁRIOS'!$C$5:$C$500,$A71,'LANÇAMENTOS DIÁRIOS'!$O$5:$O$500,"&lt;=124999",'LANÇAMENTOS DIÁRIOS'!$P$5:$P$500,"&gt;=124900")&gt;0,"X","")</f>
      </c>
      <c r="H71" s="56" t="str">
        <f>IF(COUNTIFS('LANÇAMENTOS DIÁRIOS'!$G$5:$G$500,"H",'LANÇAMENTOS DIÁRIOS'!$C$5:$C$500,$A71,'LANÇAMENTOS DIÁRIOS'!$O$5:$O$500,"&lt;=125099",'LANÇAMENTOS DIÁRIOS'!$P$5:$P$500,"&gt;=125000")&gt;0,"X","")</f>
      </c>
      <c r="I71" s="56" t="str">
        <f>IF(COUNTIFS('LANÇAMENTOS DIÁRIOS'!$G$5:$G$500,"H",'LANÇAMENTOS DIÁRIOS'!$C$5:$C$500,$A71,'LANÇAMENTOS DIÁRIOS'!$O$5:$O$500,"&lt;=125199",'LANÇAMENTOS DIÁRIOS'!$P$5:$P$500,"&gt;=125100")&gt;0,"X","")</f>
      </c>
      <c r="J71" s="56" t="str">
        <f>IF(COUNTIFS('LANÇAMENTOS DIÁRIOS'!$G$5:$G$500,"H",'LANÇAMENTOS DIÁRIOS'!$C$5:$C$500,$A71,'LANÇAMENTOS DIÁRIOS'!$O$5:$O$500,"&lt;=125299",'LANÇAMENTOS DIÁRIOS'!$P$5:$P$500,"&gt;=125200")&gt;0,"X","")</f>
      </c>
      <c r="K71" s="56" t="str">
        <f>IF(COUNTIFS('LANÇAMENTOS DIÁRIOS'!$G$5:$G$500,"H",'LANÇAMENTOS DIÁRIOS'!$C$5:$C$500,$A71,'LANÇAMENTOS DIÁRIOS'!$O$5:$O$500,"&lt;=125399",'LANÇAMENTOS DIÁRIOS'!$P$5:$P$500,"&gt;=125300")&gt;0,"X","")</f>
      </c>
      <c r="L71" s="56" t="str">
        <f>IF(COUNTIFS('LANÇAMENTOS DIÁRIOS'!$G$5:$G$500,"H",'LANÇAMENTOS DIÁRIOS'!$C$5:$C$500,$A71,'LANÇAMENTOS DIÁRIOS'!$O$5:$O$500,"&lt;=125499",'LANÇAMENTOS DIÁRIOS'!$P$5:$P$500,"&gt;=125400")&gt;0,"X","")</f>
      </c>
      <c r="M71" s="56" t="str">
        <f>IF(COUNTIFS('LANÇAMENTOS DIÁRIOS'!$G$5:$G$500,"H",'LANÇAMENTOS DIÁRIOS'!$C$5:$C$500,$A71,'LANÇAMENTOS DIÁRIOS'!$O$5:$O$500,"&lt;=125599",'LANÇAMENTOS DIÁRIOS'!$P$5:$P$500,"&gt;=125500")&gt;0,"X","")</f>
      </c>
      <c r="N71" s="56" t="str">
        <f>IF(COUNTIFS('LANÇAMENTOS DIÁRIOS'!$G$5:$G$500,"H",'LANÇAMENTOS DIÁRIOS'!$C$5:$C$500,$A71,'LANÇAMENTOS DIÁRIOS'!$O$5:$O$500,"&lt;=125699",'LANÇAMENTOS DIÁRIOS'!$P$5:$P$500,"&gt;=125600")&gt;0,"X","")</f>
      </c>
      <c r="O71" s="56" t="str">
        <f>IF(COUNTIFS('LANÇAMENTOS DIÁRIOS'!$G$5:$G$500,"H",'LANÇAMENTOS DIÁRIOS'!$C$5:$C$500,$A71,'LANÇAMENTOS DIÁRIOS'!$O$5:$O$500,"&lt;=125799",'LANÇAMENTOS DIÁRIOS'!$P$5:$P$500,"&gt;=125700")&gt;0,"X","")</f>
      </c>
      <c r="P71" s="56" t="str">
        <f>IF(COUNTIFS('LANÇAMENTOS DIÁRIOS'!$G$5:$G$500,"H",'LANÇAMENTOS DIÁRIOS'!$C$5:$C$500,$A71,'LANÇAMENTOS DIÁRIOS'!$O$5:$O$500,"&lt;=125899",'LANÇAMENTOS DIÁRIOS'!$P$5:$P$500,"&gt;=125800")&gt;0,"X","")</f>
      </c>
      <c r="Q71" s="56" t="str">
        <f>IF(COUNTIFS('LANÇAMENTOS DIÁRIOS'!$G$5:$G$500,"H",'LANÇAMENTOS DIÁRIOS'!$C$5:$C$500,$A71,'LANÇAMENTOS DIÁRIOS'!$O$5:$O$500,"&lt;=125999",'LANÇAMENTOS DIÁRIOS'!$P$5:$P$500,"&gt;=125900")&gt;0,"X","")</f>
      </c>
      <c r="R71" s="56" t="str">
        <f>IF(COUNTIFS('LANÇAMENTOS DIÁRIOS'!$G$5:$G$500,"H",'LANÇAMENTOS DIÁRIOS'!$C$5:$C$500,$A71,'LANÇAMENTOS DIÁRIOS'!$O$5:$O$500,"&lt;=126099",'LANÇAMENTOS DIÁRIOS'!$P$5:$P$500,"&gt;=126000")&gt;0,"X","")</f>
      </c>
      <c r="S71" s="56" t="str">
        <f>IF(COUNTIFS('LANÇAMENTOS DIÁRIOS'!$G$5:$G$500,"H",'LANÇAMENTOS DIÁRIOS'!$C$5:$C$500,$A71,'LANÇAMENTOS DIÁRIOS'!$O$5:$O$500,"&lt;=126199",'LANÇAMENTOS DIÁRIOS'!$P$5:$P$500,"&gt;=126100")&gt;0,"X","")</f>
      </c>
      <c r="T71" s="56" t="str">
        <f>IF(COUNTIFS('LANÇAMENTOS DIÁRIOS'!$G$5:$G$500,"H",'LANÇAMENTOS DIÁRIOS'!$C$5:$C$500,$A71,'LANÇAMENTOS DIÁRIOS'!$O$5:$O$500,"&lt;=126299",'LANÇAMENTOS DIÁRIOS'!$P$5:$P$500,"&gt;=126200")&gt;0,"X","")</f>
      </c>
      <c r="U71" s="56" t="str">
        <f>IF(COUNTIFS('LANÇAMENTOS DIÁRIOS'!$G$5:$G$500,"H",'LANÇAMENTOS DIÁRIOS'!$C$5:$C$500,$A71,'LANÇAMENTOS DIÁRIOS'!$O$5:$O$500,"&lt;=126399",'LANÇAMENTOS DIÁRIOS'!$P$5:$P$500,"&gt;=126300")&gt;0,"X","")</f>
      </c>
      <c r="V71" s="56" t="str">
        <f>IF(COUNTIFS('LANÇAMENTOS DIÁRIOS'!$G$5:$G$500,"H",'LANÇAMENTOS DIÁRIOS'!$C$5:$C$500,$A71,'LANÇAMENTOS DIÁRIOS'!$O$5:$O$500,"&lt;=126499",'LANÇAMENTOS DIÁRIOS'!$P$5:$P$500,"&gt;=126400")&gt;0,"X","")</f>
      </c>
      <c r="W71" s="56" t="str">
        <f>IF(COUNTIFS('LANÇAMENTOS DIÁRIOS'!$G$5:$G$500,"H",'LANÇAMENTOS DIÁRIOS'!$C$5:$C$500,$A71,'LANÇAMENTOS DIÁRIOS'!$O$5:$O$500,"&lt;=126599",'LANÇAMENTOS DIÁRIOS'!$P$5:$P$500,"&gt;=126500")&gt;0,"X","")</f>
      </c>
      <c r="X71" s="56" t="str">
        <f>IF(COUNTIFS('LANÇAMENTOS DIÁRIOS'!$G$5:$G$500,"H",'LANÇAMENTOS DIÁRIOS'!$C$5:$C$500,$A71,'LANÇAMENTOS DIÁRIOS'!$O$5:$O$500,"&lt;=126699",'LANÇAMENTOS DIÁRIOS'!$P$5:$P$500,"&gt;=126600")&gt;0,"X","")</f>
      </c>
      <c r="Y71" s="56" t="str">
        <f>IF(COUNTIFS('LANÇAMENTOS DIÁRIOS'!$G$5:$G$500,"H",'LANÇAMENTOS DIÁRIOS'!$C$5:$C$500,$A71,'LANÇAMENTOS DIÁRIOS'!$O$5:$O$500,"&lt;=126799",'LANÇAMENTOS DIÁRIOS'!$P$5:$P$500,"&gt;=126700")&gt;0,"X","")</f>
      </c>
      <c r="Z71" s="56" t="str">
        <f>IF(COUNTIFS('LANÇAMENTOS DIÁRIOS'!$G$5:$G$500,"H",'LANÇAMENTOS DIÁRIOS'!$C$5:$C$500,$A71,'LANÇAMENTOS DIÁRIOS'!$O$5:$O$500,"&lt;=126899",'LANÇAMENTOS DIÁRIOS'!$P$5:$P$500,"&gt;=126800")&gt;0,"X","")</f>
      </c>
      <c r="AA71" s="56" t="str">
        <f>IF(COUNTIFS('LANÇAMENTOS DIÁRIOS'!$G$5:$G$500,"H",'LANÇAMENTOS DIÁRIOS'!$C$5:$C$500,$A71,'LANÇAMENTOS DIÁRIOS'!$O$5:$O$500,"&lt;=126999",'LANÇAMENTOS DIÁRIOS'!$P$5:$P$500,"&gt;=126900")&gt;0,"X","")</f>
      </c>
      <c r="AB71" s="56" t="str">
        <f>IF(COUNTIFS('LANÇAMENTOS DIÁRIOS'!$G$5:$G$500,"H",'LANÇAMENTOS DIÁRIOS'!$C$5:$C$500,$A71,'LANÇAMENTOS DIÁRIOS'!$O$5:$O$500,"&lt;=127099",'LANÇAMENTOS DIÁRIOS'!$P$5:$P$500,"&gt;=127000")&gt;0,"X","")</f>
      </c>
      <c r="AC71" s="56" t="str">
        <f>IF(COUNTIFS('LANÇAMENTOS DIÁRIOS'!$G$5:$G$500,"H",'LANÇAMENTOS DIÁRIOS'!$C$5:$C$500,$A71,'LANÇAMENTOS DIÁRIOS'!$O$5:$O$500,"&lt;=127199",'LANÇAMENTOS DIÁRIOS'!$P$5:$P$500,"&gt;=127100")&gt;0,"X","")</f>
      </c>
      <c r="AD71" s="56" t="str">
        <f>IF(COUNTIFS('LANÇAMENTOS DIÁRIOS'!$G$5:$G$500,"H",'LANÇAMENTOS DIÁRIOS'!$C$5:$C$500,$A71,'LANÇAMENTOS DIÁRIOS'!$O$5:$O$500,"&lt;=127299",'LANÇAMENTOS DIÁRIOS'!$P$5:$P$500,"&gt;=127200")&gt;0,"X","")</f>
      </c>
      <c r="AE71" s="56" t="str">
        <f>IF(COUNTIFS('LANÇAMENTOS DIÁRIOS'!$G$5:$G$500,"H",'LANÇAMENTOS DIÁRIOS'!$C$5:$C$500,$A71,'LANÇAMENTOS DIÁRIOS'!$O$5:$O$500,"&lt;=127399",'LANÇAMENTOS DIÁRIOS'!$P$5:$P$500,"&gt;=127300")&gt;0,"X","")</f>
      </c>
      <c r="AF71" s="56" t="str">
        <f>IF(COUNTIFS('LANÇAMENTOS DIÁRIOS'!$G$5:$G$500,"H",'LANÇAMENTOS DIÁRIOS'!$C$5:$C$500,$A71,'LANÇAMENTOS DIÁRIOS'!$O$5:$O$500,"&lt;=127499",'LANÇAMENTOS DIÁRIOS'!$P$5:$P$500,"&gt;=127400")&gt;0,"X","")</f>
      </c>
      <c r="AG71" s="56" t="str">
        <f>IF(COUNTIFS('LANÇAMENTOS DIÁRIOS'!$G$5:$G$500,"H",'LANÇAMENTOS DIÁRIOS'!$C$5:$C$500,$A71,'LANÇAMENTOS DIÁRIOS'!$O$5:$O$500,"&lt;=127599",'LANÇAMENTOS DIÁRIOS'!$P$5:$P$500,"&gt;=127500")&gt;0,"X","")</f>
      </c>
      <c r="AH71" s="56" t="str">
        <f>IF(COUNTIFS('LANÇAMENTOS DIÁRIOS'!$G$5:$G$500,"H",'LANÇAMENTOS DIÁRIOS'!$C$5:$C$500,$A71,'LANÇAMENTOS DIÁRIOS'!$O$5:$O$500,"&lt;=127699",'LANÇAMENTOS DIÁRIOS'!$P$5:$P$500,"&gt;=127600")&gt;0,"X","")</f>
      </c>
      <c r="AI71" s="56" t="str">
        <f>IF(COUNTIFS('LANÇAMENTOS DIÁRIOS'!$G$5:$G$500,"H",'LANÇAMENTOS DIÁRIOS'!$C$5:$C$500,$A71,'LANÇAMENTOS DIÁRIOS'!$O$5:$O$500,"&lt;=127799",'LANÇAMENTOS DIÁRIOS'!$P$5:$P$500,"&gt;=127700")&gt;0,"X","")</f>
      </c>
      <c r="AJ71" s="56" t="str">
        <f>IF(COUNTIFS('LANÇAMENTOS DIÁRIOS'!$G$5:$G$500,"H",'LANÇAMENTOS DIÁRIOS'!$C$5:$C$500,$A71,'LANÇAMENTOS DIÁRIOS'!$O$5:$O$500,"&lt;=127899",'LANÇAMENTOS DIÁRIOS'!$P$5:$P$500,"&gt;=127800")&gt;0,"X","")</f>
      </c>
      <c r="AK71" s="56" t="str">
        <f>IF(COUNTIFS('LANÇAMENTOS DIÁRIOS'!$G$5:$G$500,"H",'LANÇAMENTOS DIÁRIOS'!$C$5:$C$500,$A71,'LANÇAMENTOS DIÁRIOS'!$O$5:$O$500,"&lt;=127999",'LANÇAMENTOS DIÁRIOS'!$P$5:$P$500,"&gt;=127900")&gt;0,"X","")</f>
      </c>
      <c r="AL71" s="56" t="str">
        <f>IF(COUNTIFS('LANÇAMENTOS DIÁRIOS'!$G$5:$G$500,"H",'LANÇAMENTOS DIÁRIOS'!$C$5:$C$500,$A71,'LANÇAMENTOS DIÁRIOS'!$O$5:$O$500,"&lt;=128099",'LANÇAMENTOS DIÁRIOS'!$P$5:$P$500,"&gt;=128000")&gt;0,"X","")</f>
      </c>
      <c r="AM71" s="56" t="str">
        <f>IF(COUNTIFS('LANÇAMENTOS DIÁRIOS'!$G$5:$G$500,"H",'LANÇAMENTOS DIÁRIOS'!$C$5:$C$500,$A71,'LANÇAMENTOS DIÁRIOS'!$O$5:$O$500,"&lt;=128199",'LANÇAMENTOS DIÁRIOS'!$P$5:$P$500,"&gt;=128100")&gt;0,"X","")</f>
      </c>
      <c r="AN71" s="56" t="str">
        <f>IF(COUNTIFS('LANÇAMENTOS DIÁRIOS'!$G$5:$G$500,"H",'LANÇAMENTOS DIÁRIOS'!$C$5:$C$500,$A71,'LANÇAMENTOS DIÁRIOS'!$O$5:$O$500,"&lt;=128299",'LANÇAMENTOS DIÁRIOS'!$P$5:$P$500,"&gt;=128200")&gt;0,"X","")</f>
      </c>
      <c r="AO71" s="56" t="str">
        <f>IF(COUNTIFS('LANÇAMENTOS DIÁRIOS'!$G$5:$G$500,"H",'LANÇAMENTOS DIÁRIOS'!$C$5:$C$500,$A71,'LANÇAMENTOS DIÁRIOS'!$O$5:$O$500,"&lt;=128399",'LANÇAMENTOS DIÁRIOS'!$P$5:$P$500,"&gt;=128300")&gt;0,"X","")</f>
      </c>
      <c r="AP71" s="56" t="str">
        <f>IF(COUNTIFS('LANÇAMENTOS DIÁRIOS'!$G$5:$G$500,"H",'LANÇAMENTOS DIÁRIOS'!$C$5:$C$500,$A71,'LANÇAMENTOS DIÁRIOS'!$O$5:$O$500,"&lt;=128499",'LANÇAMENTOS DIÁRIOS'!$P$5:$P$500,"&gt;=128400")&gt;0,"X","")</f>
      </c>
      <c r="AQ71" s="56" t="str">
        <f>IF(COUNTIFS('LANÇAMENTOS DIÁRIOS'!$G$5:$G$500,"H",'LANÇAMENTOS DIÁRIOS'!$C$5:$C$500,$A71,'LANÇAMENTOS DIÁRIOS'!$O$5:$O$500,"&lt;=128599",'LANÇAMENTOS DIÁRIOS'!$P$5:$P$500,"&gt;=128500")&gt;0,"X","")</f>
      </c>
      <c r="AR71" s="56" t="str">
        <f>IF(COUNTIFS('LANÇAMENTOS DIÁRIOS'!$G$5:$G$500,"H",'LANÇAMENTOS DIÁRIOS'!$C$5:$C$500,$A71,'LANÇAMENTOS DIÁRIOS'!$O$5:$O$500,"&lt;=128699",'LANÇAMENTOS DIÁRIOS'!$P$5:$P$500,"&gt;=128600")&gt;0,"X","")</f>
      </c>
      <c r="AS71" s="56" t="str">
        <f>IF(COUNTIFS('LANÇAMENTOS DIÁRIOS'!$G$5:$G$500,"H",'LANÇAMENTOS DIÁRIOS'!$C$5:$C$500,$A71,'LANÇAMENTOS DIÁRIOS'!$O$5:$O$500,"&lt;=128799",'LANÇAMENTOS DIÁRIOS'!$P$5:$P$500,"&gt;=128700")&gt;0,"X","")</f>
      </c>
      <c r="AT71" s="56" t="str">
        <f>IF(COUNTIFS('LANÇAMENTOS DIÁRIOS'!$G$5:$G$500,"H",'LANÇAMENTOS DIÁRIOS'!$C$5:$C$500,$A71,'LANÇAMENTOS DIÁRIOS'!$O$5:$O$500,"&lt;=128899",'LANÇAMENTOS DIÁRIOS'!$P$5:$P$500,"&gt;=128800")&gt;0,"X","")</f>
      </c>
      <c r="AU71" s="56" t="str">
        <f>IF(COUNTIFS('LANÇAMENTOS DIÁRIOS'!$G$5:$G$500,"H",'LANÇAMENTOS DIÁRIOS'!$C$5:$C$500,$A71,'LANÇAMENTOS DIÁRIOS'!$O$5:$O$500,"&lt;=128999",'LANÇAMENTOS DIÁRIOS'!$P$5:$P$500,"&gt;=128900")&gt;0,"X","")</f>
      </c>
      <c r="AV71" s="56" t="str">
        <f>IF(COUNTIFS('LANÇAMENTOS DIÁRIOS'!$G$5:$G$500,"H",'LANÇAMENTOS DIÁRIOS'!$C$5:$C$500,$A71,'LANÇAMENTOS DIÁRIOS'!$O$5:$O$500,"&lt;=129099",'LANÇAMENTOS DIÁRIOS'!$P$5:$P$500,"&gt;=129000")&gt;0,"X","")</f>
      </c>
      <c r="AW71" s="56" t="str">
        <f>IF(COUNTIFS('LANÇAMENTOS DIÁRIOS'!$G$5:$G$500,"H",'LANÇAMENTOS DIÁRIOS'!$C$5:$C$500,$A71,'LANÇAMENTOS DIÁRIOS'!$O$5:$O$500,"&lt;=129199",'LANÇAMENTOS DIÁRIOS'!$P$5:$P$500,"&gt;=129100")&gt;0,"X","")</f>
      </c>
      <c r="AX71" s="56" t="str">
        <f>IF(COUNTIFS('LANÇAMENTOS DIÁRIOS'!$G$5:$G$500,"H",'LANÇAMENTOS DIÁRIOS'!$C$5:$C$500,$A71,'LANÇAMENTOS DIÁRIOS'!$O$5:$O$500,"&lt;=129299",'LANÇAMENTOS DIÁRIOS'!$P$5:$P$500,"&gt;=129200")&gt;0,"X","")</f>
      </c>
      <c r="AY71" s="56" t="str">
        <f>IF(COUNTIFS('LANÇAMENTOS DIÁRIOS'!$G$5:$G$500,"H",'LANÇAMENTOS DIÁRIOS'!$C$5:$C$500,$A71,'LANÇAMENTOS DIÁRIOS'!$O$5:$O$500,"&lt;=129399",'LANÇAMENTOS DIÁRIOS'!$P$5:$P$500,"&gt;=129300")&gt;0,"X","")</f>
      </c>
      <c r="AZ71" s="56" t="str">
        <f>IF(COUNTIFS('LANÇAMENTOS DIÁRIOS'!$G$5:$G$500,"H",'LANÇAMENTOS DIÁRIOS'!$C$5:$C$500,$A71,'LANÇAMENTOS DIÁRIOS'!$O$5:$O$500,"&lt;=129400",'LANÇAMENTOS DIÁRIOS'!$P$5:$P$500,"&gt;=129400")&gt;0,"X","")</f>
      </c>
    </row>
    <row r="72">
      <c r="A72" s="51" t="str">
        <v>Monitoramento de Instrumentação</v>
      </c>
      <c r="B72" s="56" t="str">
        <f>IF(COUNTIFS('LANÇAMENTOS DIÁRIOS'!$G$5:$G$500,"H",'LANÇAMENTOS DIÁRIOS'!$C$5:$C$500,$A72,'LANÇAMENTOS DIÁRIOS'!$O$5:$O$500,"&lt;=124499",'LANÇAMENTOS DIÁRIOS'!$P$5:$P$500,"&gt;=124400")&gt;0,"X","")</f>
      </c>
      <c r="C72" s="56" t="str">
        <f>IF(COUNTIFS('LANÇAMENTOS DIÁRIOS'!$G$5:$G$500,"H",'LANÇAMENTOS DIÁRIOS'!$C$5:$C$500,$A72,'LANÇAMENTOS DIÁRIOS'!$O$5:$O$500,"&lt;=124599",'LANÇAMENTOS DIÁRIOS'!$P$5:$P$500,"&gt;=124500")&gt;0,"X","")</f>
      </c>
      <c r="D72" s="56" t="str">
        <f>IF(COUNTIFS('LANÇAMENTOS DIÁRIOS'!$G$5:$G$500,"H",'LANÇAMENTOS DIÁRIOS'!$C$5:$C$500,$A72,'LANÇAMENTOS DIÁRIOS'!$O$5:$O$500,"&lt;=124699",'LANÇAMENTOS DIÁRIOS'!$P$5:$P$500,"&gt;=124600")&gt;0,"X","")</f>
      </c>
      <c r="E72" s="56" t="str">
        <f>IF(COUNTIFS('LANÇAMENTOS DIÁRIOS'!$G$5:$G$500,"H",'LANÇAMENTOS DIÁRIOS'!$C$5:$C$500,$A72,'LANÇAMENTOS DIÁRIOS'!$O$5:$O$500,"&lt;=124799",'LANÇAMENTOS DIÁRIOS'!$P$5:$P$500,"&gt;=124700")&gt;0,"X","")</f>
      </c>
      <c r="F72" s="56" t="str">
        <f>IF(COUNTIFS('LANÇAMENTOS DIÁRIOS'!$G$5:$G$500,"H",'LANÇAMENTOS DIÁRIOS'!$C$5:$C$500,$A72,'LANÇAMENTOS DIÁRIOS'!$O$5:$O$500,"&lt;=124899",'LANÇAMENTOS DIÁRIOS'!$P$5:$P$500,"&gt;=124800")&gt;0,"X","")</f>
      </c>
      <c r="G72" s="56" t="str">
        <f>IF(COUNTIFS('LANÇAMENTOS DIÁRIOS'!$G$5:$G$500,"H",'LANÇAMENTOS DIÁRIOS'!$C$5:$C$500,$A72,'LANÇAMENTOS DIÁRIOS'!$O$5:$O$500,"&lt;=124999",'LANÇAMENTOS DIÁRIOS'!$P$5:$P$500,"&gt;=124900")&gt;0,"X","")</f>
      </c>
      <c r="H72" s="56" t="str">
        <f>IF(COUNTIFS('LANÇAMENTOS DIÁRIOS'!$G$5:$G$500,"H",'LANÇAMENTOS DIÁRIOS'!$C$5:$C$500,$A72,'LANÇAMENTOS DIÁRIOS'!$O$5:$O$500,"&lt;=125099",'LANÇAMENTOS DIÁRIOS'!$P$5:$P$500,"&gt;=125000")&gt;0,"X","")</f>
      </c>
      <c r="I72" s="56" t="str">
        <f>IF(COUNTIFS('LANÇAMENTOS DIÁRIOS'!$G$5:$G$500,"H",'LANÇAMENTOS DIÁRIOS'!$C$5:$C$500,$A72,'LANÇAMENTOS DIÁRIOS'!$O$5:$O$500,"&lt;=125199",'LANÇAMENTOS DIÁRIOS'!$P$5:$P$500,"&gt;=125100")&gt;0,"X","")</f>
      </c>
      <c r="J72" s="56" t="str">
        <f>IF(COUNTIFS('LANÇAMENTOS DIÁRIOS'!$G$5:$G$500,"H",'LANÇAMENTOS DIÁRIOS'!$C$5:$C$500,$A72,'LANÇAMENTOS DIÁRIOS'!$O$5:$O$500,"&lt;=125299",'LANÇAMENTOS DIÁRIOS'!$P$5:$P$500,"&gt;=125200")&gt;0,"X","")</f>
      </c>
      <c r="K72" s="56" t="str">
        <f>IF(COUNTIFS('LANÇAMENTOS DIÁRIOS'!$G$5:$G$500,"H",'LANÇAMENTOS DIÁRIOS'!$C$5:$C$500,$A72,'LANÇAMENTOS DIÁRIOS'!$O$5:$O$500,"&lt;=125399",'LANÇAMENTOS DIÁRIOS'!$P$5:$P$500,"&gt;=125300")&gt;0,"X","")</f>
      </c>
      <c r="L72" s="56" t="str">
        <f>IF(COUNTIFS('LANÇAMENTOS DIÁRIOS'!$G$5:$G$500,"H",'LANÇAMENTOS DIÁRIOS'!$C$5:$C$500,$A72,'LANÇAMENTOS DIÁRIOS'!$O$5:$O$500,"&lt;=125499",'LANÇAMENTOS DIÁRIOS'!$P$5:$P$500,"&gt;=125400")&gt;0,"X","")</f>
      </c>
      <c r="M72" s="56" t="str">
        <f>IF(COUNTIFS('LANÇAMENTOS DIÁRIOS'!$G$5:$G$500,"H",'LANÇAMENTOS DIÁRIOS'!$C$5:$C$500,$A72,'LANÇAMENTOS DIÁRIOS'!$O$5:$O$500,"&lt;=125599",'LANÇAMENTOS DIÁRIOS'!$P$5:$P$500,"&gt;=125500")&gt;0,"X","")</f>
      </c>
      <c r="N72" s="56" t="str">
        <f>IF(COUNTIFS('LANÇAMENTOS DIÁRIOS'!$G$5:$G$500,"H",'LANÇAMENTOS DIÁRIOS'!$C$5:$C$500,$A72,'LANÇAMENTOS DIÁRIOS'!$O$5:$O$500,"&lt;=125699",'LANÇAMENTOS DIÁRIOS'!$P$5:$P$500,"&gt;=125600")&gt;0,"X","")</f>
      </c>
      <c r="O72" s="56" t="str">
        <f>IF(COUNTIFS('LANÇAMENTOS DIÁRIOS'!$G$5:$G$500,"H",'LANÇAMENTOS DIÁRIOS'!$C$5:$C$500,$A72,'LANÇAMENTOS DIÁRIOS'!$O$5:$O$500,"&lt;=125799",'LANÇAMENTOS DIÁRIOS'!$P$5:$P$500,"&gt;=125700")&gt;0,"X","")</f>
      </c>
      <c r="P72" s="56" t="str">
        <f>IF(COUNTIFS('LANÇAMENTOS DIÁRIOS'!$G$5:$G$500,"H",'LANÇAMENTOS DIÁRIOS'!$C$5:$C$500,$A72,'LANÇAMENTOS DIÁRIOS'!$O$5:$O$500,"&lt;=125899",'LANÇAMENTOS DIÁRIOS'!$P$5:$P$500,"&gt;=125800")&gt;0,"X","")</f>
      </c>
      <c r="Q72" s="56" t="str">
        <f>IF(COUNTIFS('LANÇAMENTOS DIÁRIOS'!$G$5:$G$500,"H",'LANÇAMENTOS DIÁRIOS'!$C$5:$C$500,$A72,'LANÇAMENTOS DIÁRIOS'!$O$5:$O$500,"&lt;=125999",'LANÇAMENTOS DIÁRIOS'!$P$5:$P$500,"&gt;=125900")&gt;0,"X","")</f>
      </c>
      <c r="R72" s="56" t="str">
        <f>IF(COUNTIFS('LANÇAMENTOS DIÁRIOS'!$G$5:$G$500,"H",'LANÇAMENTOS DIÁRIOS'!$C$5:$C$500,$A72,'LANÇAMENTOS DIÁRIOS'!$O$5:$O$500,"&lt;=126099",'LANÇAMENTOS DIÁRIOS'!$P$5:$P$500,"&gt;=126000")&gt;0,"X","")</f>
      </c>
      <c r="S72" s="56" t="str">
        <f>IF(COUNTIFS('LANÇAMENTOS DIÁRIOS'!$G$5:$G$500,"H",'LANÇAMENTOS DIÁRIOS'!$C$5:$C$500,$A72,'LANÇAMENTOS DIÁRIOS'!$O$5:$O$500,"&lt;=126199",'LANÇAMENTOS DIÁRIOS'!$P$5:$P$500,"&gt;=126100")&gt;0,"X","")</f>
      </c>
      <c r="T72" s="56" t="str">
        <f>IF(COUNTIFS('LANÇAMENTOS DIÁRIOS'!$G$5:$G$500,"H",'LANÇAMENTOS DIÁRIOS'!$C$5:$C$500,$A72,'LANÇAMENTOS DIÁRIOS'!$O$5:$O$500,"&lt;=126299",'LANÇAMENTOS DIÁRIOS'!$P$5:$P$500,"&gt;=126200")&gt;0,"X","")</f>
      </c>
      <c r="U72" s="56" t="str">
        <f>IF(COUNTIFS('LANÇAMENTOS DIÁRIOS'!$G$5:$G$500,"H",'LANÇAMENTOS DIÁRIOS'!$C$5:$C$500,$A72,'LANÇAMENTOS DIÁRIOS'!$O$5:$O$500,"&lt;=126399",'LANÇAMENTOS DIÁRIOS'!$P$5:$P$500,"&gt;=126300")&gt;0,"X","")</f>
      </c>
      <c r="V72" s="56" t="str">
        <f>IF(COUNTIFS('LANÇAMENTOS DIÁRIOS'!$G$5:$G$500,"H",'LANÇAMENTOS DIÁRIOS'!$C$5:$C$500,$A72,'LANÇAMENTOS DIÁRIOS'!$O$5:$O$500,"&lt;=126499",'LANÇAMENTOS DIÁRIOS'!$P$5:$P$500,"&gt;=126400")&gt;0,"X","")</f>
      </c>
      <c r="W72" s="56" t="str">
        <f>IF(COUNTIFS('LANÇAMENTOS DIÁRIOS'!$G$5:$G$500,"H",'LANÇAMENTOS DIÁRIOS'!$C$5:$C$500,$A72,'LANÇAMENTOS DIÁRIOS'!$O$5:$O$500,"&lt;=126599",'LANÇAMENTOS DIÁRIOS'!$P$5:$P$500,"&gt;=126500")&gt;0,"X","")</f>
      </c>
      <c r="X72" s="56" t="str">
        <f>IF(COUNTIFS('LANÇAMENTOS DIÁRIOS'!$G$5:$G$500,"H",'LANÇAMENTOS DIÁRIOS'!$C$5:$C$500,$A72,'LANÇAMENTOS DIÁRIOS'!$O$5:$O$500,"&lt;=126699",'LANÇAMENTOS DIÁRIOS'!$P$5:$P$500,"&gt;=126600")&gt;0,"X","")</f>
      </c>
      <c r="Y72" s="56" t="str">
        <f>IF(COUNTIFS('LANÇAMENTOS DIÁRIOS'!$G$5:$G$500,"H",'LANÇAMENTOS DIÁRIOS'!$C$5:$C$500,$A72,'LANÇAMENTOS DIÁRIOS'!$O$5:$O$500,"&lt;=126799",'LANÇAMENTOS DIÁRIOS'!$P$5:$P$500,"&gt;=126700")&gt;0,"X","")</f>
      </c>
      <c r="Z72" s="56" t="str">
        <f>IF(COUNTIFS('LANÇAMENTOS DIÁRIOS'!$G$5:$G$500,"H",'LANÇAMENTOS DIÁRIOS'!$C$5:$C$500,$A72,'LANÇAMENTOS DIÁRIOS'!$O$5:$O$500,"&lt;=126899",'LANÇAMENTOS DIÁRIOS'!$P$5:$P$500,"&gt;=126800")&gt;0,"X","")</f>
      </c>
      <c r="AA72" s="56" t="str">
        <f>IF(COUNTIFS('LANÇAMENTOS DIÁRIOS'!$G$5:$G$500,"H",'LANÇAMENTOS DIÁRIOS'!$C$5:$C$500,$A72,'LANÇAMENTOS DIÁRIOS'!$O$5:$O$500,"&lt;=126999",'LANÇAMENTOS DIÁRIOS'!$P$5:$P$500,"&gt;=126900")&gt;0,"X","")</f>
      </c>
      <c r="AB72" s="56" t="str">
        <f>IF(COUNTIFS('LANÇAMENTOS DIÁRIOS'!$G$5:$G$500,"H",'LANÇAMENTOS DIÁRIOS'!$C$5:$C$500,$A72,'LANÇAMENTOS DIÁRIOS'!$O$5:$O$500,"&lt;=127099",'LANÇAMENTOS DIÁRIOS'!$P$5:$P$500,"&gt;=127000")&gt;0,"X","")</f>
      </c>
      <c r="AC72" s="56" t="str">
        <f>IF(COUNTIFS('LANÇAMENTOS DIÁRIOS'!$G$5:$G$500,"H",'LANÇAMENTOS DIÁRIOS'!$C$5:$C$500,$A72,'LANÇAMENTOS DIÁRIOS'!$O$5:$O$500,"&lt;=127199",'LANÇAMENTOS DIÁRIOS'!$P$5:$P$500,"&gt;=127100")&gt;0,"X","")</f>
      </c>
      <c r="AD72" s="56" t="str">
        <f>IF(COUNTIFS('LANÇAMENTOS DIÁRIOS'!$G$5:$G$500,"H",'LANÇAMENTOS DIÁRIOS'!$C$5:$C$500,$A72,'LANÇAMENTOS DIÁRIOS'!$O$5:$O$500,"&lt;=127299",'LANÇAMENTOS DIÁRIOS'!$P$5:$P$500,"&gt;=127200")&gt;0,"X","")</f>
      </c>
      <c r="AE72" s="56" t="str">
        <f>IF(COUNTIFS('LANÇAMENTOS DIÁRIOS'!$G$5:$G$500,"H",'LANÇAMENTOS DIÁRIOS'!$C$5:$C$500,$A72,'LANÇAMENTOS DIÁRIOS'!$O$5:$O$500,"&lt;=127399",'LANÇAMENTOS DIÁRIOS'!$P$5:$P$500,"&gt;=127300")&gt;0,"X","")</f>
      </c>
      <c r="AF72" s="56" t="str">
        <f>IF(COUNTIFS('LANÇAMENTOS DIÁRIOS'!$G$5:$G$500,"H",'LANÇAMENTOS DIÁRIOS'!$C$5:$C$500,$A72,'LANÇAMENTOS DIÁRIOS'!$O$5:$O$500,"&lt;=127499",'LANÇAMENTOS DIÁRIOS'!$P$5:$P$500,"&gt;=127400")&gt;0,"X","")</f>
      </c>
      <c r="AG72" s="56" t="str">
        <f>IF(COUNTIFS('LANÇAMENTOS DIÁRIOS'!$G$5:$G$500,"H",'LANÇAMENTOS DIÁRIOS'!$C$5:$C$500,$A72,'LANÇAMENTOS DIÁRIOS'!$O$5:$O$500,"&lt;=127599",'LANÇAMENTOS DIÁRIOS'!$P$5:$P$500,"&gt;=127500")&gt;0,"X","")</f>
      </c>
      <c r="AH72" s="56" t="str">
        <f>IF(COUNTIFS('LANÇAMENTOS DIÁRIOS'!$G$5:$G$500,"H",'LANÇAMENTOS DIÁRIOS'!$C$5:$C$500,$A72,'LANÇAMENTOS DIÁRIOS'!$O$5:$O$500,"&lt;=127699",'LANÇAMENTOS DIÁRIOS'!$P$5:$P$500,"&gt;=127600")&gt;0,"X","")</f>
      </c>
      <c r="AI72" s="56" t="str">
        <f>IF(COUNTIFS('LANÇAMENTOS DIÁRIOS'!$G$5:$G$500,"H",'LANÇAMENTOS DIÁRIOS'!$C$5:$C$500,$A72,'LANÇAMENTOS DIÁRIOS'!$O$5:$O$500,"&lt;=127799",'LANÇAMENTOS DIÁRIOS'!$P$5:$P$500,"&gt;=127700")&gt;0,"X","")</f>
      </c>
      <c r="AJ72" s="56" t="str">
        <f>IF(COUNTIFS('LANÇAMENTOS DIÁRIOS'!$G$5:$G$500,"H",'LANÇAMENTOS DIÁRIOS'!$C$5:$C$500,$A72,'LANÇAMENTOS DIÁRIOS'!$O$5:$O$500,"&lt;=127899",'LANÇAMENTOS DIÁRIOS'!$P$5:$P$500,"&gt;=127800")&gt;0,"X","")</f>
      </c>
      <c r="AK72" s="56" t="str">
        <f>IF(COUNTIFS('LANÇAMENTOS DIÁRIOS'!$G$5:$G$500,"H",'LANÇAMENTOS DIÁRIOS'!$C$5:$C$500,$A72,'LANÇAMENTOS DIÁRIOS'!$O$5:$O$500,"&lt;=127999",'LANÇAMENTOS DIÁRIOS'!$P$5:$P$500,"&gt;=127900")&gt;0,"X","")</f>
      </c>
      <c r="AL72" s="56" t="str">
        <f>IF(COUNTIFS('LANÇAMENTOS DIÁRIOS'!$G$5:$G$500,"H",'LANÇAMENTOS DIÁRIOS'!$C$5:$C$500,$A72,'LANÇAMENTOS DIÁRIOS'!$O$5:$O$500,"&lt;=128099",'LANÇAMENTOS DIÁRIOS'!$P$5:$P$500,"&gt;=128000")&gt;0,"X","")</f>
      </c>
      <c r="AM72" s="56" t="str">
        <f>IF(COUNTIFS('LANÇAMENTOS DIÁRIOS'!$G$5:$G$500,"H",'LANÇAMENTOS DIÁRIOS'!$C$5:$C$500,$A72,'LANÇAMENTOS DIÁRIOS'!$O$5:$O$500,"&lt;=128199",'LANÇAMENTOS DIÁRIOS'!$P$5:$P$500,"&gt;=128100")&gt;0,"X","")</f>
      </c>
      <c r="AN72" s="56" t="str">
        <f>IF(COUNTIFS('LANÇAMENTOS DIÁRIOS'!$G$5:$G$500,"H",'LANÇAMENTOS DIÁRIOS'!$C$5:$C$500,$A72,'LANÇAMENTOS DIÁRIOS'!$O$5:$O$500,"&lt;=128299",'LANÇAMENTOS DIÁRIOS'!$P$5:$P$500,"&gt;=128200")&gt;0,"X","")</f>
      </c>
      <c r="AO72" s="56" t="str">
        <f>IF(COUNTIFS('LANÇAMENTOS DIÁRIOS'!$G$5:$G$500,"H",'LANÇAMENTOS DIÁRIOS'!$C$5:$C$500,$A72,'LANÇAMENTOS DIÁRIOS'!$O$5:$O$500,"&lt;=128399",'LANÇAMENTOS DIÁRIOS'!$P$5:$P$500,"&gt;=128300")&gt;0,"X","")</f>
      </c>
      <c r="AP72" s="56" t="str">
        <f>IF(COUNTIFS('LANÇAMENTOS DIÁRIOS'!$G$5:$G$500,"H",'LANÇAMENTOS DIÁRIOS'!$C$5:$C$500,$A72,'LANÇAMENTOS DIÁRIOS'!$O$5:$O$500,"&lt;=128499",'LANÇAMENTOS DIÁRIOS'!$P$5:$P$500,"&gt;=128400")&gt;0,"X","")</f>
      </c>
      <c r="AQ72" s="56" t="str">
        <f>IF(COUNTIFS('LANÇAMENTOS DIÁRIOS'!$G$5:$G$500,"H",'LANÇAMENTOS DIÁRIOS'!$C$5:$C$500,$A72,'LANÇAMENTOS DIÁRIOS'!$O$5:$O$500,"&lt;=128599",'LANÇAMENTOS DIÁRIOS'!$P$5:$P$500,"&gt;=128500")&gt;0,"X","")</f>
      </c>
      <c r="AR72" s="56" t="str">
        <f>IF(COUNTIFS('LANÇAMENTOS DIÁRIOS'!$G$5:$G$500,"H",'LANÇAMENTOS DIÁRIOS'!$C$5:$C$500,$A72,'LANÇAMENTOS DIÁRIOS'!$O$5:$O$500,"&lt;=128699",'LANÇAMENTOS DIÁRIOS'!$P$5:$P$500,"&gt;=128600")&gt;0,"X","")</f>
      </c>
      <c r="AS72" s="56" t="str">
        <f>IF(COUNTIFS('LANÇAMENTOS DIÁRIOS'!$G$5:$G$500,"H",'LANÇAMENTOS DIÁRIOS'!$C$5:$C$500,$A72,'LANÇAMENTOS DIÁRIOS'!$O$5:$O$500,"&lt;=128799",'LANÇAMENTOS DIÁRIOS'!$P$5:$P$500,"&gt;=128700")&gt;0,"X","")</f>
      </c>
      <c r="AT72" s="56" t="str">
        <f>IF(COUNTIFS('LANÇAMENTOS DIÁRIOS'!$G$5:$G$500,"H",'LANÇAMENTOS DIÁRIOS'!$C$5:$C$500,$A72,'LANÇAMENTOS DIÁRIOS'!$O$5:$O$500,"&lt;=128899",'LANÇAMENTOS DIÁRIOS'!$P$5:$P$500,"&gt;=128800")&gt;0,"X","")</f>
      </c>
      <c r="AU72" s="56" t="str">
        <f>IF(COUNTIFS('LANÇAMENTOS DIÁRIOS'!$G$5:$G$500,"H",'LANÇAMENTOS DIÁRIOS'!$C$5:$C$500,$A72,'LANÇAMENTOS DIÁRIOS'!$O$5:$O$500,"&lt;=128999",'LANÇAMENTOS DIÁRIOS'!$P$5:$P$500,"&gt;=128900")&gt;0,"X","")</f>
      </c>
      <c r="AV72" s="56" t="str">
        <f>IF(COUNTIFS('LANÇAMENTOS DIÁRIOS'!$G$5:$G$500,"H",'LANÇAMENTOS DIÁRIOS'!$C$5:$C$500,$A72,'LANÇAMENTOS DIÁRIOS'!$O$5:$O$500,"&lt;=129099",'LANÇAMENTOS DIÁRIOS'!$P$5:$P$500,"&gt;=129000")&gt;0,"X","")</f>
      </c>
      <c r="AW72" s="56" t="str">
        <f>IF(COUNTIFS('LANÇAMENTOS DIÁRIOS'!$G$5:$G$500,"H",'LANÇAMENTOS DIÁRIOS'!$C$5:$C$500,$A72,'LANÇAMENTOS DIÁRIOS'!$O$5:$O$500,"&lt;=129199",'LANÇAMENTOS DIÁRIOS'!$P$5:$P$500,"&gt;=129100")&gt;0,"X","")</f>
      </c>
      <c r="AX72" s="56" t="str">
        <f>IF(COUNTIFS('LANÇAMENTOS DIÁRIOS'!$G$5:$G$500,"H",'LANÇAMENTOS DIÁRIOS'!$C$5:$C$500,$A72,'LANÇAMENTOS DIÁRIOS'!$O$5:$O$500,"&lt;=129299",'LANÇAMENTOS DIÁRIOS'!$P$5:$P$500,"&gt;=129200")&gt;0,"X","")</f>
      </c>
      <c r="AY72" s="56" t="str">
        <f>IF(COUNTIFS('LANÇAMENTOS DIÁRIOS'!$G$5:$G$500,"H",'LANÇAMENTOS DIÁRIOS'!$C$5:$C$500,$A72,'LANÇAMENTOS DIÁRIOS'!$O$5:$O$500,"&lt;=129399",'LANÇAMENTOS DIÁRIOS'!$P$5:$P$500,"&gt;=129300")&gt;0,"X","")</f>
      </c>
      <c r="AZ72" s="56" t="str">
        <f>IF(COUNTIFS('LANÇAMENTOS DIÁRIOS'!$G$5:$G$500,"H",'LANÇAMENTOS DIÁRIOS'!$C$5:$C$500,$A72,'LANÇAMENTOS DIÁRIOS'!$O$5:$O$500,"&lt;=129400",'LANÇAMENTOS DIÁRIOS'!$P$5:$P$500,"&gt;=129400")&gt;0,"X","")</f>
      </c>
    </row>
    <row r="73" ht="21" customHeight="1">
      <c r="A73" s="60" t="str">
        <v>Pavimentação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</row>
    <row r="74" ht="19" customHeight="1">
      <c r="A74" s="68" t="str">
        <v>Demolição do pavimento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</row>
    <row r="75">
      <c r="A75" s="51" t="str">
        <v>Demolição de pavimento, revestimento betuminoso</v>
      </c>
      <c r="B75" s="56" t="str">
        <f>IF(COUNTIFS('LANÇAMENTOS DIÁRIOS'!$G$5:$G$500,"H",'LANÇAMENTOS DIÁRIOS'!$C$5:$C$500,$A75,'LANÇAMENTOS DIÁRIOS'!$O$5:$O$500,"&lt;=124499",'LANÇAMENTOS DIÁRIOS'!$P$5:$P$500,"&gt;=124400")&gt;0,"X","")</f>
      </c>
      <c r="C75" s="56" t="str">
        <f>IF(COUNTIFS('LANÇAMENTOS DIÁRIOS'!$G$5:$G$500,"H",'LANÇAMENTOS DIÁRIOS'!$C$5:$C$500,$A75,'LANÇAMENTOS DIÁRIOS'!$O$5:$O$500,"&lt;=124599",'LANÇAMENTOS DIÁRIOS'!$P$5:$P$500,"&gt;=124500")&gt;0,"X","")</f>
      </c>
      <c r="D75" s="56" t="str">
        <f>IF(COUNTIFS('LANÇAMENTOS DIÁRIOS'!$G$5:$G$500,"H",'LANÇAMENTOS DIÁRIOS'!$C$5:$C$500,$A75,'LANÇAMENTOS DIÁRIOS'!$O$5:$O$500,"&lt;=124699",'LANÇAMENTOS DIÁRIOS'!$P$5:$P$500,"&gt;=124600")&gt;0,"X","")</f>
      </c>
      <c r="E75" s="56" t="str">
        <f>IF(COUNTIFS('LANÇAMENTOS DIÁRIOS'!$G$5:$G$500,"H",'LANÇAMENTOS DIÁRIOS'!$C$5:$C$500,$A75,'LANÇAMENTOS DIÁRIOS'!$O$5:$O$500,"&lt;=124799",'LANÇAMENTOS DIÁRIOS'!$P$5:$P$500,"&gt;=124700")&gt;0,"X","")</f>
      </c>
      <c r="F75" s="56" t="str">
        <f>IF(COUNTIFS('LANÇAMENTOS DIÁRIOS'!$G$5:$G$500,"H",'LANÇAMENTOS DIÁRIOS'!$C$5:$C$500,$A75,'LANÇAMENTOS DIÁRIOS'!$O$5:$O$500,"&lt;=124899",'LANÇAMENTOS DIÁRIOS'!$P$5:$P$500,"&gt;=124800")&gt;0,"X","")</f>
      </c>
      <c r="G75" s="56" t="str">
        <f>IF(COUNTIFS('LANÇAMENTOS DIÁRIOS'!$G$5:$G$500,"H",'LANÇAMENTOS DIÁRIOS'!$C$5:$C$500,$A75,'LANÇAMENTOS DIÁRIOS'!$O$5:$O$500,"&lt;=124999",'LANÇAMENTOS DIÁRIOS'!$P$5:$P$500,"&gt;=124900")&gt;0,"X","")</f>
      </c>
      <c r="H75" s="56" t="str">
        <f>IF(COUNTIFS('LANÇAMENTOS DIÁRIOS'!$G$5:$G$500,"H",'LANÇAMENTOS DIÁRIOS'!$C$5:$C$500,$A75,'LANÇAMENTOS DIÁRIOS'!$O$5:$O$500,"&lt;=125099",'LANÇAMENTOS DIÁRIOS'!$P$5:$P$500,"&gt;=125000")&gt;0,"X","")</f>
      </c>
      <c r="I75" s="56" t="str">
        <f>IF(COUNTIFS('LANÇAMENTOS DIÁRIOS'!$G$5:$G$500,"H",'LANÇAMENTOS DIÁRIOS'!$C$5:$C$500,$A75,'LANÇAMENTOS DIÁRIOS'!$O$5:$O$500,"&lt;=125199",'LANÇAMENTOS DIÁRIOS'!$P$5:$P$500,"&gt;=125100")&gt;0,"X","")</f>
      </c>
      <c r="J75" s="56" t="str">
        <f>IF(COUNTIFS('LANÇAMENTOS DIÁRIOS'!$G$5:$G$500,"H",'LANÇAMENTOS DIÁRIOS'!$C$5:$C$500,$A75,'LANÇAMENTOS DIÁRIOS'!$O$5:$O$500,"&lt;=125299",'LANÇAMENTOS DIÁRIOS'!$P$5:$P$500,"&gt;=125200")&gt;0,"X","")</f>
      </c>
      <c r="K75" s="56" t="str">
        <f>IF(COUNTIFS('LANÇAMENTOS DIÁRIOS'!$G$5:$G$500,"H",'LANÇAMENTOS DIÁRIOS'!$C$5:$C$500,$A75,'LANÇAMENTOS DIÁRIOS'!$O$5:$O$500,"&lt;=125399",'LANÇAMENTOS DIÁRIOS'!$P$5:$P$500,"&gt;=125300")&gt;0,"X","")</f>
      </c>
      <c r="L75" s="56" t="str">
        <f>IF(COUNTIFS('LANÇAMENTOS DIÁRIOS'!$G$5:$G$500,"H",'LANÇAMENTOS DIÁRIOS'!$C$5:$C$500,$A75,'LANÇAMENTOS DIÁRIOS'!$O$5:$O$500,"&lt;=125499",'LANÇAMENTOS DIÁRIOS'!$P$5:$P$500,"&gt;=125400")&gt;0,"X","")</f>
      </c>
      <c r="M75" s="56" t="str">
        <f>IF(COUNTIFS('LANÇAMENTOS DIÁRIOS'!$G$5:$G$500,"H",'LANÇAMENTOS DIÁRIOS'!$C$5:$C$500,$A75,'LANÇAMENTOS DIÁRIOS'!$O$5:$O$500,"&lt;=125599",'LANÇAMENTOS DIÁRIOS'!$P$5:$P$500,"&gt;=125500")&gt;0,"X","")</f>
      </c>
      <c r="N75" s="56" t="str">
        <f>IF(COUNTIFS('LANÇAMENTOS DIÁRIOS'!$G$5:$G$500,"H",'LANÇAMENTOS DIÁRIOS'!$C$5:$C$500,$A75,'LANÇAMENTOS DIÁRIOS'!$O$5:$O$500,"&lt;=125699",'LANÇAMENTOS DIÁRIOS'!$P$5:$P$500,"&gt;=125600")&gt;0,"X","")</f>
      </c>
      <c r="O75" s="56" t="str">
        <f>IF(COUNTIFS('LANÇAMENTOS DIÁRIOS'!$G$5:$G$500,"H",'LANÇAMENTOS DIÁRIOS'!$C$5:$C$500,$A75,'LANÇAMENTOS DIÁRIOS'!$O$5:$O$500,"&lt;=125799",'LANÇAMENTOS DIÁRIOS'!$P$5:$P$500,"&gt;=125700")&gt;0,"X","")</f>
      </c>
      <c r="P75" s="56" t="str">
        <f>IF(COUNTIFS('LANÇAMENTOS DIÁRIOS'!$G$5:$G$500,"H",'LANÇAMENTOS DIÁRIOS'!$C$5:$C$500,$A75,'LANÇAMENTOS DIÁRIOS'!$O$5:$O$500,"&lt;=125899",'LANÇAMENTOS DIÁRIOS'!$P$5:$P$500,"&gt;=125800")&gt;0,"X","")</f>
      </c>
      <c r="Q75" s="56" t="str">
        <f>IF(COUNTIFS('LANÇAMENTOS DIÁRIOS'!$G$5:$G$500,"H",'LANÇAMENTOS DIÁRIOS'!$C$5:$C$500,$A75,'LANÇAMENTOS DIÁRIOS'!$O$5:$O$500,"&lt;=125999",'LANÇAMENTOS DIÁRIOS'!$P$5:$P$500,"&gt;=125900")&gt;0,"X","")</f>
      </c>
      <c r="R75" s="56" t="str">
        <f>IF(COUNTIFS('LANÇAMENTOS DIÁRIOS'!$G$5:$G$500,"H",'LANÇAMENTOS DIÁRIOS'!$C$5:$C$500,$A75,'LANÇAMENTOS DIÁRIOS'!$O$5:$O$500,"&lt;=126099",'LANÇAMENTOS DIÁRIOS'!$P$5:$P$500,"&gt;=126000")&gt;0,"X","")</f>
      </c>
      <c r="S75" s="56" t="str">
        <f>IF(COUNTIFS('LANÇAMENTOS DIÁRIOS'!$G$5:$G$500,"H",'LANÇAMENTOS DIÁRIOS'!$C$5:$C$500,$A75,'LANÇAMENTOS DIÁRIOS'!$O$5:$O$500,"&lt;=126199",'LANÇAMENTOS DIÁRIOS'!$P$5:$P$500,"&gt;=126100")&gt;0,"X","")</f>
      </c>
      <c r="T75" s="56" t="str">
        <f>IF(COUNTIFS('LANÇAMENTOS DIÁRIOS'!$G$5:$G$500,"H",'LANÇAMENTOS DIÁRIOS'!$C$5:$C$500,$A75,'LANÇAMENTOS DIÁRIOS'!$O$5:$O$500,"&lt;=126299",'LANÇAMENTOS DIÁRIOS'!$P$5:$P$500,"&gt;=126200")&gt;0,"X","")</f>
      </c>
      <c r="U75" s="56" t="str">
        <f>IF(COUNTIFS('LANÇAMENTOS DIÁRIOS'!$G$5:$G$500,"H",'LANÇAMENTOS DIÁRIOS'!$C$5:$C$500,$A75,'LANÇAMENTOS DIÁRIOS'!$O$5:$O$500,"&lt;=126399",'LANÇAMENTOS DIÁRIOS'!$P$5:$P$500,"&gt;=126300")&gt;0,"X","")</f>
      </c>
      <c r="V75" s="56" t="str">
        <f>IF(COUNTIFS('LANÇAMENTOS DIÁRIOS'!$G$5:$G$500,"H",'LANÇAMENTOS DIÁRIOS'!$C$5:$C$500,$A75,'LANÇAMENTOS DIÁRIOS'!$O$5:$O$500,"&lt;=126499",'LANÇAMENTOS DIÁRIOS'!$P$5:$P$500,"&gt;=126400")&gt;0,"X","")</f>
      </c>
      <c r="W75" s="56" t="str">
        <f>IF(COUNTIFS('LANÇAMENTOS DIÁRIOS'!$G$5:$G$500,"H",'LANÇAMENTOS DIÁRIOS'!$C$5:$C$500,$A75,'LANÇAMENTOS DIÁRIOS'!$O$5:$O$500,"&lt;=126599",'LANÇAMENTOS DIÁRIOS'!$P$5:$P$500,"&gt;=126500")&gt;0,"X","")</f>
      </c>
      <c r="X75" s="56" t="str">
        <f>IF(COUNTIFS('LANÇAMENTOS DIÁRIOS'!$G$5:$G$500,"H",'LANÇAMENTOS DIÁRIOS'!$C$5:$C$500,$A75,'LANÇAMENTOS DIÁRIOS'!$O$5:$O$500,"&lt;=126699",'LANÇAMENTOS DIÁRIOS'!$P$5:$P$500,"&gt;=126600")&gt;0,"X","")</f>
      </c>
      <c r="Y75" s="56" t="str">
        <f>IF(COUNTIFS('LANÇAMENTOS DIÁRIOS'!$G$5:$G$500,"H",'LANÇAMENTOS DIÁRIOS'!$C$5:$C$500,$A75,'LANÇAMENTOS DIÁRIOS'!$O$5:$O$500,"&lt;=126799",'LANÇAMENTOS DIÁRIOS'!$P$5:$P$500,"&gt;=126700")&gt;0,"X","")</f>
      </c>
      <c r="Z75" s="56" t="str">
        <f>IF(COUNTIFS('LANÇAMENTOS DIÁRIOS'!$G$5:$G$500,"H",'LANÇAMENTOS DIÁRIOS'!$C$5:$C$500,$A75,'LANÇAMENTOS DIÁRIOS'!$O$5:$O$500,"&lt;=126899",'LANÇAMENTOS DIÁRIOS'!$P$5:$P$500,"&gt;=126800")&gt;0,"X","")</f>
      </c>
      <c r="AA75" s="56" t="str">
        <f>IF(COUNTIFS('LANÇAMENTOS DIÁRIOS'!$G$5:$G$500,"H",'LANÇAMENTOS DIÁRIOS'!$C$5:$C$500,$A75,'LANÇAMENTOS DIÁRIOS'!$O$5:$O$500,"&lt;=126999",'LANÇAMENTOS DIÁRIOS'!$P$5:$P$500,"&gt;=126900")&gt;0,"X","")</f>
      </c>
      <c r="AB75" s="56" t="str">
        <f>IF(COUNTIFS('LANÇAMENTOS DIÁRIOS'!$G$5:$G$500,"H",'LANÇAMENTOS DIÁRIOS'!$C$5:$C$500,$A75,'LANÇAMENTOS DIÁRIOS'!$O$5:$O$500,"&lt;=127099",'LANÇAMENTOS DIÁRIOS'!$P$5:$P$500,"&gt;=127000")&gt;0,"X","")</f>
      </c>
      <c r="AC75" s="56" t="str">
        <f>IF(COUNTIFS('LANÇAMENTOS DIÁRIOS'!$G$5:$G$500,"H",'LANÇAMENTOS DIÁRIOS'!$C$5:$C$500,$A75,'LANÇAMENTOS DIÁRIOS'!$O$5:$O$500,"&lt;=127199",'LANÇAMENTOS DIÁRIOS'!$P$5:$P$500,"&gt;=127100")&gt;0,"X","")</f>
      </c>
      <c r="AD75" s="56" t="str">
        <f>IF(COUNTIFS('LANÇAMENTOS DIÁRIOS'!$G$5:$G$500,"H",'LANÇAMENTOS DIÁRIOS'!$C$5:$C$500,$A75,'LANÇAMENTOS DIÁRIOS'!$O$5:$O$500,"&lt;=127299",'LANÇAMENTOS DIÁRIOS'!$P$5:$P$500,"&gt;=127200")&gt;0,"X","")</f>
      </c>
      <c r="AE75" s="56" t="str">
        <f>IF(COUNTIFS('LANÇAMENTOS DIÁRIOS'!$G$5:$G$500,"H",'LANÇAMENTOS DIÁRIOS'!$C$5:$C$500,$A75,'LANÇAMENTOS DIÁRIOS'!$O$5:$O$500,"&lt;=127399",'LANÇAMENTOS DIÁRIOS'!$P$5:$P$500,"&gt;=127300")&gt;0,"X","")</f>
      </c>
      <c r="AF75" s="56" t="str">
        <f>IF(COUNTIFS('LANÇAMENTOS DIÁRIOS'!$G$5:$G$500,"H",'LANÇAMENTOS DIÁRIOS'!$C$5:$C$500,$A75,'LANÇAMENTOS DIÁRIOS'!$O$5:$O$500,"&lt;=127499",'LANÇAMENTOS DIÁRIOS'!$P$5:$P$500,"&gt;=127400")&gt;0,"X","")</f>
      </c>
      <c r="AG75" s="56" t="str">
        <f>IF(COUNTIFS('LANÇAMENTOS DIÁRIOS'!$G$5:$G$500,"H",'LANÇAMENTOS DIÁRIOS'!$C$5:$C$500,$A75,'LANÇAMENTOS DIÁRIOS'!$O$5:$O$500,"&lt;=127599",'LANÇAMENTOS DIÁRIOS'!$P$5:$P$500,"&gt;=127500")&gt;0,"X","")</f>
      </c>
      <c r="AH75" s="56" t="str">
        <f>IF(COUNTIFS('LANÇAMENTOS DIÁRIOS'!$G$5:$G$500,"H",'LANÇAMENTOS DIÁRIOS'!$C$5:$C$500,$A75,'LANÇAMENTOS DIÁRIOS'!$O$5:$O$500,"&lt;=127699",'LANÇAMENTOS DIÁRIOS'!$P$5:$P$500,"&gt;=127600")&gt;0,"X","")</f>
      </c>
      <c r="AI75" s="56" t="str">
        <f>IF(COUNTIFS('LANÇAMENTOS DIÁRIOS'!$G$5:$G$500,"H",'LANÇAMENTOS DIÁRIOS'!$C$5:$C$500,$A75,'LANÇAMENTOS DIÁRIOS'!$O$5:$O$500,"&lt;=127799",'LANÇAMENTOS DIÁRIOS'!$P$5:$P$500,"&gt;=127700")&gt;0,"X","")</f>
      </c>
      <c r="AJ75" s="56" t="str">
        <f>IF(COUNTIFS('LANÇAMENTOS DIÁRIOS'!$G$5:$G$500,"H",'LANÇAMENTOS DIÁRIOS'!$C$5:$C$500,$A75,'LANÇAMENTOS DIÁRIOS'!$O$5:$O$500,"&lt;=127899",'LANÇAMENTOS DIÁRIOS'!$P$5:$P$500,"&gt;=127800")&gt;0,"X","")</f>
      </c>
      <c r="AK75" s="56" t="str">
        <f>IF(COUNTIFS('LANÇAMENTOS DIÁRIOS'!$G$5:$G$500,"H",'LANÇAMENTOS DIÁRIOS'!$C$5:$C$500,$A75,'LANÇAMENTOS DIÁRIOS'!$O$5:$O$500,"&lt;=127999",'LANÇAMENTOS DIÁRIOS'!$P$5:$P$500,"&gt;=127900")&gt;0,"X","")</f>
      </c>
      <c r="AL75" s="56" t="str">
        <f>IF(COUNTIFS('LANÇAMENTOS DIÁRIOS'!$G$5:$G$500,"H",'LANÇAMENTOS DIÁRIOS'!$C$5:$C$500,$A75,'LANÇAMENTOS DIÁRIOS'!$O$5:$O$500,"&lt;=128099",'LANÇAMENTOS DIÁRIOS'!$P$5:$P$500,"&gt;=128000")&gt;0,"X","")</f>
      </c>
      <c r="AM75" s="56" t="str">
        <f>IF(COUNTIFS('LANÇAMENTOS DIÁRIOS'!$G$5:$G$500,"H",'LANÇAMENTOS DIÁRIOS'!$C$5:$C$500,$A75,'LANÇAMENTOS DIÁRIOS'!$O$5:$O$500,"&lt;=128199",'LANÇAMENTOS DIÁRIOS'!$P$5:$P$500,"&gt;=128100")&gt;0,"X","")</f>
      </c>
      <c r="AN75" s="56" t="str">
        <f>IF(COUNTIFS('LANÇAMENTOS DIÁRIOS'!$G$5:$G$500,"H",'LANÇAMENTOS DIÁRIOS'!$C$5:$C$500,$A75,'LANÇAMENTOS DIÁRIOS'!$O$5:$O$500,"&lt;=128299",'LANÇAMENTOS DIÁRIOS'!$P$5:$P$500,"&gt;=128200")&gt;0,"X","")</f>
      </c>
      <c r="AO75" s="56" t="str">
        <f>IF(COUNTIFS('LANÇAMENTOS DIÁRIOS'!$G$5:$G$500,"H",'LANÇAMENTOS DIÁRIOS'!$C$5:$C$500,$A75,'LANÇAMENTOS DIÁRIOS'!$O$5:$O$500,"&lt;=128399",'LANÇAMENTOS DIÁRIOS'!$P$5:$P$500,"&gt;=128300")&gt;0,"X","")</f>
      </c>
      <c r="AP75" s="56" t="str">
        <f>IF(COUNTIFS('LANÇAMENTOS DIÁRIOS'!$G$5:$G$500,"H",'LANÇAMENTOS DIÁRIOS'!$C$5:$C$500,$A75,'LANÇAMENTOS DIÁRIOS'!$O$5:$O$500,"&lt;=128499",'LANÇAMENTOS DIÁRIOS'!$P$5:$P$500,"&gt;=128400")&gt;0,"X","")</f>
      </c>
      <c r="AQ75" s="56" t="str">
        <f>IF(COUNTIFS('LANÇAMENTOS DIÁRIOS'!$G$5:$G$500,"H",'LANÇAMENTOS DIÁRIOS'!$C$5:$C$500,$A75,'LANÇAMENTOS DIÁRIOS'!$O$5:$O$500,"&lt;=128599",'LANÇAMENTOS DIÁRIOS'!$P$5:$P$500,"&gt;=128500")&gt;0,"X","")</f>
      </c>
      <c r="AR75" s="56" t="str">
        <f>IF(COUNTIFS('LANÇAMENTOS DIÁRIOS'!$G$5:$G$500,"H",'LANÇAMENTOS DIÁRIOS'!$C$5:$C$500,$A75,'LANÇAMENTOS DIÁRIOS'!$O$5:$O$500,"&lt;=128699",'LANÇAMENTOS DIÁRIOS'!$P$5:$P$500,"&gt;=128600")&gt;0,"X","")</f>
      </c>
      <c r="AS75" s="56" t="str">
        <f>IF(COUNTIFS('LANÇAMENTOS DIÁRIOS'!$G$5:$G$500,"H",'LANÇAMENTOS DIÁRIOS'!$C$5:$C$500,$A75,'LANÇAMENTOS DIÁRIOS'!$O$5:$O$500,"&lt;=128799",'LANÇAMENTOS DIÁRIOS'!$P$5:$P$500,"&gt;=128700")&gt;0,"X","")</f>
      </c>
      <c r="AT75" s="56" t="str">
        <f>IF(COUNTIFS('LANÇAMENTOS DIÁRIOS'!$G$5:$G$500,"H",'LANÇAMENTOS DIÁRIOS'!$C$5:$C$500,$A75,'LANÇAMENTOS DIÁRIOS'!$O$5:$O$500,"&lt;=128899",'LANÇAMENTOS DIÁRIOS'!$P$5:$P$500,"&gt;=128800")&gt;0,"X","")</f>
      </c>
      <c r="AU75" s="56" t="str">
        <f>IF(COUNTIFS('LANÇAMENTOS DIÁRIOS'!$G$5:$G$500,"H",'LANÇAMENTOS DIÁRIOS'!$C$5:$C$500,$A75,'LANÇAMENTOS DIÁRIOS'!$O$5:$O$500,"&lt;=128999",'LANÇAMENTOS DIÁRIOS'!$P$5:$P$500,"&gt;=128900")&gt;0,"X","")</f>
      </c>
      <c r="AV75" s="56" t="str">
        <f>IF(COUNTIFS('LANÇAMENTOS DIÁRIOS'!$G$5:$G$500,"H",'LANÇAMENTOS DIÁRIOS'!$C$5:$C$500,$A75,'LANÇAMENTOS DIÁRIOS'!$O$5:$O$500,"&lt;=129099",'LANÇAMENTOS DIÁRIOS'!$P$5:$P$500,"&gt;=129000")&gt;0,"X","")</f>
      </c>
      <c r="AW75" s="56" t="str">
        <f>IF(COUNTIFS('LANÇAMENTOS DIÁRIOS'!$G$5:$G$500,"H",'LANÇAMENTOS DIÁRIOS'!$C$5:$C$500,$A75,'LANÇAMENTOS DIÁRIOS'!$O$5:$O$500,"&lt;=129199",'LANÇAMENTOS DIÁRIOS'!$P$5:$P$500,"&gt;=129100")&gt;0,"X","")</f>
      </c>
      <c r="AX75" s="56" t="str">
        <f>IF(COUNTIFS('LANÇAMENTOS DIÁRIOS'!$G$5:$G$500,"H",'LANÇAMENTOS DIÁRIOS'!$C$5:$C$500,$A75,'LANÇAMENTOS DIÁRIOS'!$O$5:$O$500,"&lt;=129299",'LANÇAMENTOS DIÁRIOS'!$P$5:$P$500,"&gt;=129200")&gt;0,"X","")</f>
      </c>
      <c r="AY75" s="56" t="str">
        <f>IF(COUNTIFS('LANÇAMENTOS DIÁRIOS'!$G$5:$G$500,"H",'LANÇAMENTOS DIÁRIOS'!$C$5:$C$500,$A75,'LANÇAMENTOS DIÁRIOS'!$O$5:$O$500,"&lt;=129399",'LANÇAMENTOS DIÁRIOS'!$P$5:$P$500,"&gt;=129300")&gt;0,"X","")</f>
      </c>
      <c r="AZ75" s="56" t="str">
        <f>IF(COUNTIFS('LANÇAMENTOS DIÁRIOS'!$G$5:$G$500,"H",'LANÇAMENTOS DIÁRIOS'!$C$5:$C$500,$A75,'LANÇAMENTOS DIÁRIOS'!$O$5:$O$500,"&lt;=129400",'LANÇAMENTOS DIÁRIOS'!$P$5:$P$500,"&gt;=129400")&gt;0,"X","")</f>
      </c>
    </row>
    <row r="76">
      <c r="A76" s="51" t="str">
        <v>Demolição de pavimento, camada granular</v>
      </c>
      <c r="B76" s="56" t="str">
        <f>IF(COUNTIFS('LANÇAMENTOS DIÁRIOS'!$G$5:$G$500,"H",'LANÇAMENTOS DIÁRIOS'!$C$5:$C$500,$A76,'LANÇAMENTOS DIÁRIOS'!$O$5:$O$500,"&lt;=124499",'LANÇAMENTOS DIÁRIOS'!$P$5:$P$500,"&gt;=124400")&gt;0,"X","")</f>
      </c>
      <c r="C76" s="56" t="str">
        <f>IF(COUNTIFS('LANÇAMENTOS DIÁRIOS'!$G$5:$G$500,"H",'LANÇAMENTOS DIÁRIOS'!$C$5:$C$500,$A76,'LANÇAMENTOS DIÁRIOS'!$O$5:$O$500,"&lt;=124599",'LANÇAMENTOS DIÁRIOS'!$P$5:$P$500,"&gt;=124500")&gt;0,"X","")</f>
      </c>
      <c r="D76" s="56" t="str">
        <f>IF(COUNTIFS('LANÇAMENTOS DIÁRIOS'!$G$5:$G$500,"H",'LANÇAMENTOS DIÁRIOS'!$C$5:$C$500,$A76,'LANÇAMENTOS DIÁRIOS'!$O$5:$O$500,"&lt;=124699",'LANÇAMENTOS DIÁRIOS'!$P$5:$P$500,"&gt;=124600")&gt;0,"X","")</f>
      </c>
      <c r="E76" s="56" t="str">
        <f>IF(COUNTIFS('LANÇAMENTOS DIÁRIOS'!$G$5:$G$500,"H",'LANÇAMENTOS DIÁRIOS'!$C$5:$C$500,$A76,'LANÇAMENTOS DIÁRIOS'!$O$5:$O$500,"&lt;=124799",'LANÇAMENTOS DIÁRIOS'!$P$5:$P$500,"&gt;=124700")&gt;0,"X","")</f>
      </c>
      <c r="F76" s="56" t="str">
        <f>IF(COUNTIFS('LANÇAMENTOS DIÁRIOS'!$G$5:$G$500,"H",'LANÇAMENTOS DIÁRIOS'!$C$5:$C$500,$A76,'LANÇAMENTOS DIÁRIOS'!$O$5:$O$500,"&lt;=124899",'LANÇAMENTOS DIÁRIOS'!$P$5:$P$500,"&gt;=124800")&gt;0,"X","")</f>
      </c>
      <c r="G76" s="56" t="str">
        <f>IF(COUNTIFS('LANÇAMENTOS DIÁRIOS'!$G$5:$G$500,"H",'LANÇAMENTOS DIÁRIOS'!$C$5:$C$500,$A76,'LANÇAMENTOS DIÁRIOS'!$O$5:$O$500,"&lt;=124999",'LANÇAMENTOS DIÁRIOS'!$P$5:$P$500,"&gt;=124900")&gt;0,"X","")</f>
      </c>
      <c r="H76" s="56" t="str">
        <f>IF(COUNTIFS('LANÇAMENTOS DIÁRIOS'!$G$5:$G$500,"H",'LANÇAMENTOS DIÁRIOS'!$C$5:$C$500,$A76,'LANÇAMENTOS DIÁRIOS'!$O$5:$O$500,"&lt;=125099",'LANÇAMENTOS DIÁRIOS'!$P$5:$P$500,"&gt;=125000")&gt;0,"X","")</f>
      </c>
      <c r="I76" s="56" t="str">
        <f>IF(COUNTIFS('LANÇAMENTOS DIÁRIOS'!$G$5:$G$500,"H",'LANÇAMENTOS DIÁRIOS'!$C$5:$C$500,$A76,'LANÇAMENTOS DIÁRIOS'!$O$5:$O$500,"&lt;=125199",'LANÇAMENTOS DIÁRIOS'!$P$5:$P$500,"&gt;=125100")&gt;0,"X","")</f>
      </c>
      <c r="J76" s="56" t="str">
        <f>IF(COUNTIFS('LANÇAMENTOS DIÁRIOS'!$G$5:$G$500,"H",'LANÇAMENTOS DIÁRIOS'!$C$5:$C$500,$A76,'LANÇAMENTOS DIÁRIOS'!$O$5:$O$500,"&lt;=125299",'LANÇAMENTOS DIÁRIOS'!$P$5:$P$500,"&gt;=125200")&gt;0,"X","")</f>
      </c>
      <c r="K76" s="56" t="str">
        <f>IF(COUNTIFS('LANÇAMENTOS DIÁRIOS'!$G$5:$G$500,"H",'LANÇAMENTOS DIÁRIOS'!$C$5:$C$500,$A76,'LANÇAMENTOS DIÁRIOS'!$O$5:$O$500,"&lt;=125399",'LANÇAMENTOS DIÁRIOS'!$P$5:$P$500,"&gt;=125300")&gt;0,"X","")</f>
      </c>
      <c r="L76" s="56" t="str">
        <f>IF(COUNTIFS('LANÇAMENTOS DIÁRIOS'!$G$5:$G$500,"H",'LANÇAMENTOS DIÁRIOS'!$C$5:$C$500,$A76,'LANÇAMENTOS DIÁRIOS'!$O$5:$O$500,"&lt;=125499",'LANÇAMENTOS DIÁRIOS'!$P$5:$P$500,"&gt;=125400")&gt;0,"X","")</f>
      </c>
      <c r="M76" s="56" t="str">
        <f>IF(COUNTIFS('LANÇAMENTOS DIÁRIOS'!$G$5:$G$500,"H",'LANÇAMENTOS DIÁRIOS'!$C$5:$C$500,$A76,'LANÇAMENTOS DIÁRIOS'!$O$5:$O$500,"&lt;=125599",'LANÇAMENTOS DIÁRIOS'!$P$5:$P$500,"&gt;=125500")&gt;0,"X","")</f>
      </c>
      <c r="N76" s="56" t="str">
        <f>IF(COUNTIFS('LANÇAMENTOS DIÁRIOS'!$G$5:$G$500,"H",'LANÇAMENTOS DIÁRIOS'!$C$5:$C$500,$A76,'LANÇAMENTOS DIÁRIOS'!$O$5:$O$500,"&lt;=125699",'LANÇAMENTOS DIÁRIOS'!$P$5:$P$500,"&gt;=125600")&gt;0,"X","")</f>
      </c>
      <c r="O76" s="56" t="str">
        <f>IF(COUNTIFS('LANÇAMENTOS DIÁRIOS'!$G$5:$G$500,"H",'LANÇAMENTOS DIÁRIOS'!$C$5:$C$500,$A76,'LANÇAMENTOS DIÁRIOS'!$O$5:$O$500,"&lt;=125799",'LANÇAMENTOS DIÁRIOS'!$P$5:$P$500,"&gt;=125700")&gt;0,"X","")</f>
      </c>
      <c r="P76" s="56" t="str">
        <f>IF(COUNTIFS('LANÇAMENTOS DIÁRIOS'!$G$5:$G$500,"H",'LANÇAMENTOS DIÁRIOS'!$C$5:$C$500,$A76,'LANÇAMENTOS DIÁRIOS'!$O$5:$O$500,"&lt;=125899",'LANÇAMENTOS DIÁRIOS'!$P$5:$P$500,"&gt;=125800")&gt;0,"X","")</f>
      </c>
      <c r="Q76" s="56" t="str">
        <f>IF(COUNTIFS('LANÇAMENTOS DIÁRIOS'!$G$5:$G$500,"H",'LANÇAMENTOS DIÁRIOS'!$C$5:$C$500,$A76,'LANÇAMENTOS DIÁRIOS'!$O$5:$O$500,"&lt;=125999",'LANÇAMENTOS DIÁRIOS'!$P$5:$P$500,"&gt;=125900")&gt;0,"X","")</f>
      </c>
      <c r="R76" s="56" t="str">
        <f>IF(COUNTIFS('LANÇAMENTOS DIÁRIOS'!$G$5:$G$500,"H",'LANÇAMENTOS DIÁRIOS'!$C$5:$C$500,$A76,'LANÇAMENTOS DIÁRIOS'!$O$5:$O$500,"&lt;=126099",'LANÇAMENTOS DIÁRIOS'!$P$5:$P$500,"&gt;=126000")&gt;0,"X","")</f>
      </c>
      <c r="S76" s="56" t="str">
        <f>IF(COUNTIFS('LANÇAMENTOS DIÁRIOS'!$G$5:$G$500,"H",'LANÇAMENTOS DIÁRIOS'!$C$5:$C$500,$A76,'LANÇAMENTOS DIÁRIOS'!$O$5:$O$500,"&lt;=126199",'LANÇAMENTOS DIÁRIOS'!$P$5:$P$500,"&gt;=126100")&gt;0,"X","")</f>
      </c>
      <c r="T76" s="56" t="str">
        <f>IF(COUNTIFS('LANÇAMENTOS DIÁRIOS'!$G$5:$G$500,"H",'LANÇAMENTOS DIÁRIOS'!$C$5:$C$500,$A76,'LANÇAMENTOS DIÁRIOS'!$O$5:$O$500,"&lt;=126299",'LANÇAMENTOS DIÁRIOS'!$P$5:$P$500,"&gt;=126200")&gt;0,"X","")</f>
      </c>
      <c r="U76" s="56" t="str">
        <f>IF(COUNTIFS('LANÇAMENTOS DIÁRIOS'!$G$5:$G$500,"H",'LANÇAMENTOS DIÁRIOS'!$C$5:$C$500,$A76,'LANÇAMENTOS DIÁRIOS'!$O$5:$O$500,"&lt;=126399",'LANÇAMENTOS DIÁRIOS'!$P$5:$P$500,"&gt;=126300")&gt;0,"X","")</f>
      </c>
      <c r="V76" s="56" t="str">
        <f>IF(COUNTIFS('LANÇAMENTOS DIÁRIOS'!$G$5:$G$500,"H",'LANÇAMENTOS DIÁRIOS'!$C$5:$C$500,$A76,'LANÇAMENTOS DIÁRIOS'!$O$5:$O$500,"&lt;=126499",'LANÇAMENTOS DIÁRIOS'!$P$5:$P$500,"&gt;=126400")&gt;0,"X","")</f>
      </c>
      <c r="W76" s="56" t="str">
        <f>IF(COUNTIFS('LANÇAMENTOS DIÁRIOS'!$G$5:$G$500,"H",'LANÇAMENTOS DIÁRIOS'!$C$5:$C$500,$A76,'LANÇAMENTOS DIÁRIOS'!$O$5:$O$500,"&lt;=126599",'LANÇAMENTOS DIÁRIOS'!$P$5:$P$500,"&gt;=126500")&gt;0,"X","")</f>
      </c>
      <c r="X76" s="56" t="str">
        <f>IF(COUNTIFS('LANÇAMENTOS DIÁRIOS'!$G$5:$G$500,"H",'LANÇAMENTOS DIÁRIOS'!$C$5:$C$500,$A76,'LANÇAMENTOS DIÁRIOS'!$O$5:$O$500,"&lt;=126699",'LANÇAMENTOS DIÁRIOS'!$P$5:$P$500,"&gt;=126600")&gt;0,"X","")</f>
      </c>
      <c r="Y76" s="56" t="str">
        <f>IF(COUNTIFS('LANÇAMENTOS DIÁRIOS'!$G$5:$G$500,"H",'LANÇAMENTOS DIÁRIOS'!$C$5:$C$500,$A76,'LANÇAMENTOS DIÁRIOS'!$O$5:$O$500,"&lt;=126799",'LANÇAMENTOS DIÁRIOS'!$P$5:$P$500,"&gt;=126700")&gt;0,"X","")</f>
      </c>
      <c r="Z76" s="56" t="str">
        <f>IF(COUNTIFS('LANÇAMENTOS DIÁRIOS'!$G$5:$G$500,"H",'LANÇAMENTOS DIÁRIOS'!$C$5:$C$500,$A76,'LANÇAMENTOS DIÁRIOS'!$O$5:$O$500,"&lt;=126899",'LANÇAMENTOS DIÁRIOS'!$P$5:$P$500,"&gt;=126800")&gt;0,"X","")</f>
      </c>
      <c r="AA76" s="56" t="str">
        <f>IF(COUNTIFS('LANÇAMENTOS DIÁRIOS'!$G$5:$G$500,"H",'LANÇAMENTOS DIÁRIOS'!$C$5:$C$500,$A76,'LANÇAMENTOS DIÁRIOS'!$O$5:$O$500,"&lt;=126999",'LANÇAMENTOS DIÁRIOS'!$P$5:$P$500,"&gt;=126900")&gt;0,"X","")</f>
      </c>
      <c r="AB76" s="56" t="str">
        <f>IF(COUNTIFS('LANÇAMENTOS DIÁRIOS'!$G$5:$G$500,"H",'LANÇAMENTOS DIÁRIOS'!$C$5:$C$500,$A76,'LANÇAMENTOS DIÁRIOS'!$O$5:$O$500,"&lt;=127099",'LANÇAMENTOS DIÁRIOS'!$P$5:$P$500,"&gt;=127000")&gt;0,"X","")</f>
      </c>
      <c r="AC76" s="56" t="str">
        <f>IF(COUNTIFS('LANÇAMENTOS DIÁRIOS'!$G$5:$G$500,"H",'LANÇAMENTOS DIÁRIOS'!$C$5:$C$500,$A76,'LANÇAMENTOS DIÁRIOS'!$O$5:$O$500,"&lt;=127199",'LANÇAMENTOS DIÁRIOS'!$P$5:$P$500,"&gt;=127100")&gt;0,"X","")</f>
      </c>
      <c r="AD76" s="56" t="str">
        <f>IF(COUNTIFS('LANÇAMENTOS DIÁRIOS'!$G$5:$G$500,"H",'LANÇAMENTOS DIÁRIOS'!$C$5:$C$500,$A76,'LANÇAMENTOS DIÁRIOS'!$O$5:$O$500,"&lt;=127299",'LANÇAMENTOS DIÁRIOS'!$P$5:$P$500,"&gt;=127200")&gt;0,"X","")</f>
      </c>
      <c r="AE76" s="56" t="str">
        <f>IF(COUNTIFS('LANÇAMENTOS DIÁRIOS'!$G$5:$G$500,"H",'LANÇAMENTOS DIÁRIOS'!$C$5:$C$500,$A76,'LANÇAMENTOS DIÁRIOS'!$O$5:$O$500,"&lt;=127399",'LANÇAMENTOS DIÁRIOS'!$P$5:$P$500,"&gt;=127300")&gt;0,"X","")</f>
      </c>
      <c r="AF76" s="56" t="str">
        <f>IF(COUNTIFS('LANÇAMENTOS DIÁRIOS'!$G$5:$G$500,"H",'LANÇAMENTOS DIÁRIOS'!$C$5:$C$500,$A76,'LANÇAMENTOS DIÁRIOS'!$O$5:$O$500,"&lt;=127499",'LANÇAMENTOS DIÁRIOS'!$P$5:$P$500,"&gt;=127400")&gt;0,"X","")</f>
      </c>
      <c r="AG76" s="56" t="str">
        <f>IF(COUNTIFS('LANÇAMENTOS DIÁRIOS'!$G$5:$G$500,"H",'LANÇAMENTOS DIÁRIOS'!$C$5:$C$500,$A76,'LANÇAMENTOS DIÁRIOS'!$O$5:$O$500,"&lt;=127599",'LANÇAMENTOS DIÁRIOS'!$P$5:$P$500,"&gt;=127500")&gt;0,"X","")</f>
      </c>
      <c r="AH76" s="56" t="str">
        <f>IF(COUNTIFS('LANÇAMENTOS DIÁRIOS'!$G$5:$G$500,"H",'LANÇAMENTOS DIÁRIOS'!$C$5:$C$500,$A76,'LANÇAMENTOS DIÁRIOS'!$O$5:$O$500,"&lt;=127699",'LANÇAMENTOS DIÁRIOS'!$P$5:$P$500,"&gt;=127600")&gt;0,"X","")</f>
      </c>
      <c r="AI76" s="56" t="str">
        <f>IF(COUNTIFS('LANÇAMENTOS DIÁRIOS'!$G$5:$G$500,"H",'LANÇAMENTOS DIÁRIOS'!$C$5:$C$500,$A76,'LANÇAMENTOS DIÁRIOS'!$O$5:$O$500,"&lt;=127799",'LANÇAMENTOS DIÁRIOS'!$P$5:$P$500,"&gt;=127700")&gt;0,"X","")</f>
      </c>
      <c r="AJ76" s="56" t="str">
        <f>IF(COUNTIFS('LANÇAMENTOS DIÁRIOS'!$G$5:$G$500,"H",'LANÇAMENTOS DIÁRIOS'!$C$5:$C$500,$A76,'LANÇAMENTOS DIÁRIOS'!$O$5:$O$500,"&lt;=127899",'LANÇAMENTOS DIÁRIOS'!$P$5:$P$500,"&gt;=127800")&gt;0,"X","")</f>
      </c>
      <c r="AK76" s="56" t="str">
        <f>IF(COUNTIFS('LANÇAMENTOS DIÁRIOS'!$G$5:$G$500,"H",'LANÇAMENTOS DIÁRIOS'!$C$5:$C$500,$A76,'LANÇAMENTOS DIÁRIOS'!$O$5:$O$500,"&lt;=127999",'LANÇAMENTOS DIÁRIOS'!$P$5:$P$500,"&gt;=127900")&gt;0,"X","")</f>
      </c>
      <c r="AL76" s="56" t="str">
        <f>IF(COUNTIFS('LANÇAMENTOS DIÁRIOS'!$G$5:$G$500,"H",'LANÇAMENTOS DIÁRIOS'!$C$5:$C$500,$A76,'LANÇAMENTOS DIÁRIOS'!$O$5:$O$500,"&lt;=128099",'LANÇAMENTOS DIÁRIOS'!$P$5:$P$500,"&gt;=128000")&gt;0,"X","")</f>
      </c>
      <c r="AM76" s="56" t="str">
        <f>IF(COUNTIFS('LANÇAMENTOS DIÁRIOS'!$G$5:$G$500,"H",'LANÇAMENTOS DIÁRIOS'!$C$5:$C$500,$A76,'LANÇAMENTOS DIÁRIOS'!$O$5:$O$500,"&lt;=128199",'LANÇAMENTOS DIÁRIOS'!$P$5:$P$500,"&gt;=128100")&gt;0,"X","")</f>
      </c>
      <c r="AN76" s="56" t="str">
        <f>IF(COUNTIFS('LANÇAMENTOS DIÁRIOS'!$G$5:$G$500,"H",'LANÇAMENTOS DIÁRIOS'!$C$5:$C$500,$A76,'LANÇAMENTOS DIÁRIOS'!$O$5:$O$500,"&lt;=128299",'LANÇAMENTOS DIÁRIOS'!$P$5:$P$500,"&gt;=128200")&gt;0,"X","")</f>
      </c>
      <c r="AO76" s="56" t="str">
        <f>IF(COUNTIFS('LANÇAMENTOS DIÁRIOS'!$G$5:$G$500,"H",'LANÇAMENTOS DIÁRIOS'!$C$5:$C$500,$A76,'LANÇAMENTOS DIÁRIOS'!$O$5:$O$500,"&lt;=128399",'LANÇAMENTOS DIÁRIOS'!$P$5:$P$500,"&gt;=128300")&gt;0,"X","")</f>
      </c>
      <c r="AP76" s="56" t="str">
        <f>IF(COUNTIFS('LANÇAMENTOS DIÁRIOS'!$G$5:$G$500,"H",'LANÇAMENTOS DIÁRIOS'!$C$5:$C$500,$A76,'LANÇAMENTOS DIÁRIOS'!$O$5:$O$500,"&lt;=128499",'LANÇAMENTOS DIÁRIOS'!$P$5:$P$500,"&gt;=128400")&gt;0,"X","")</f>
      </c>
      <c r="AQ76" s="56" t="str">
        <f>IF(COUNTIFS('LANÇAMENTOS DIÁRIOS'!$G$5:$G$500,"H",'LANÇAMENTOS DIÁRIOS'!$C$5:$C$500,$A76,'LANÇAMENTOS DIÁRIOS'!$O$5:$O$500,"&lt;=128599",'LANÇAMENTOS DIÁRIOS'!$P$5:$P$500,"&gt;=128500")&gt;0,"X","")</f>
      </c>
      <c r="AR76" s="56" t="str">
        <f>IF(COUNTIFS('LANÇAMENTOS DIÁRIOS'!$G$5:$G$500,"H",'LANÇAMENTOS DIÁRIOS'!$C$5:$C$500,$A76,'LANÇAMENTOS DIÁRIOS'!$O$5:$O$500,"&lt;=128699",'LANÇAMENTOS DIÁRIOS'!$P$5:$P$500,"&gt;=128600")&gt;0,"X","")</f>
      </c>
      <c r="AS76" s="56" t="str">
        <f>IF(COUNTIFS('LANÇAMENTOS DIÁRIOS'!$G$5:$G$500,"H",'LANÇAMENTOS DIÁRIOS'!$C$5:$C$500,$A76,'LANÇAMENTOS DIÁRIOS'!$O$5:$O$500,"&lt;=128799",'LANÇAMENTOS DIÁRIOS'!$P$5:$P$500,"&gt;=128700")&gt;0,"X","")</f>
      </c>
      <c r="AT76" s="56" t="str">
        <f>IF(COUNTIFS('LANÇAMENTOS DIÁRIOS'!$G$5:$G$500,"H",'LANÇAMENTOS DIÁRIOS'!$C$5:$C$500,$A76,'LANÇAMENTOS DIÁRIOS'!$O$5:$O$500,"&lt;=128899",'LANÇAMENTOS DIÁRIOS'!$P$5:$P$500,"&gt;=128800")&gt;0,"X","")</f>
      </c>
      <c r="AU76" s="56" t="str">
        <f>IF(COUNTIFS('LANÇAMENTOS DIÁRIOS'!$G$5:$G$500,"H",'LANÇAMENTOS DIÁRIOS'!$C$5:$C$500,$A76,'LANÇAMENTOS DIÁRIOS'!$O$5:$O$500,"&lt;=128999",'LANÇAMENTOS DIÁRIOS'!$P$5:$P$500,"&gt;=128900")&gt;0,"X","")</f>
      </c>
      <c r="AV76" s="56" t="str">
        <f>IF(COUNTIFS('LANÇAMENTOS DIÁRIOS'!$G$5:$G$500,"H",'LANÇAMENTOS DIÁRIOS'!$C$5:$C$500,$A76,'LANÇAMENTOS DIÁRIOS'!$O$5:$O$500,"&lt;=129099",'LANÇAMENTOS DIÁRIOS'!$P$5:$P$500,"&gt;=129000")&gt;0,"X","")</f>
      </c>
      <c r="AW76" s="56" t="str">
        <f>IF(COUNTIFS('LANÇAMENTOS DIÁRIOS'!$G$5:$G$500,"H",'LANÇAMENTOS DIÁRIOS'!$C$5:$C$500,$A76,'LANÇAMENTOS DIÁRIOS'!$O$5:$O$500,"&lt;=129199",'LANÇAMENTOS DIÁRIOS'!$P$5:$P$500,"&gt;=129100")&gt;0,"X","")</f>
      </c>
      <c r="AX76" s="56" t="str">
        <f>IF(COUNTIFS('LANÇAMENTOS DIÁRIOS'!$G$5:$G$500,"H",'LANÇAMENTOS DIÁRIOS'!$C$5:$C$500,$A76,'LANÇAMENTOS DIÁRIOS'!$O$5:$O$500,"&lt;=129299",'LANÇAMENTOS DIÁRIOS'!$P$5:$P$500,"&gt;=129200")&gt;0,"X","")</f>
      </c>
      <c r="AY76" s="56" t="str">
        <f>IF(COUNTIFS('LANÇAMENTOS DIÁRIOS'!$G$5:$G$500,"H",'LANÇAMENTOS DIÁRIOS'!$C$5:$C$500,$A76,'LANÇAMENTOS DIÁRIOS'!$O$5:$O$500,"&lt;=129399",'LANÇAMENTOS DIÁRIOS'!$P$5:$P$500,"&gt;=129300")&gt;0,"X","")</f>
      </c>
      <c r="AZ76" s="56" t="str">
        <f>IF(COUNTIFS('LANÇAMENTOS DIÁRIOS'!$G$5:$G$500,"H",'LANÇAMENTOS DIÁRIOS'!$C$5:$C$500,$A76,'LANÇAMENTOS DIÁRIOS'!$O$5:$O$500,"&lt;=129400",'LANÇAMENTOS DIÁRIOS'!$P$5:$P$500,"&gt;=129400")&gt;0,"X","")</f>
      </c>
    </row>
    <row r="77">
      <c r="A77" s="51" t="str">
        <v>Fresagem contínua do pavimento</v>
      </c>
      <c r="B77" s="56" t="str">
        <f>IF(COUNTIFS('LANÇAMENTOS DIÁRIOS'!$G$5:$G$500,"H",'LANÇAMENTOS DIÁRIOS'!$C$5:$C$500,$A77,'LANÇAMENTOS DIÁRIOS'!$O$5:$O$500,"&lt;=124499",'LANÇAMENTOS DIÁRIOS'!$P$5:$P$500,"&gt;=124400")&gt;0,"X","")</f>
      </c>
      <c r="C77" s="56" t="str">
        <f>IF(COUNTIFS('LANÇAMENTOS DIÁRIOS'!$G$5:$G$500,"H",'LANÇAMENTOS DIÁRIOS'!$C$5:$C$500,$A77,'LANÇAMENTOS DIÁRIOS'!$O$5:$O$500,"&lt;=124599",'LANÇAMENTOS DIÁRIOS'!$P$5:$P$500,"&gt;=124500")&gt;0,"X","")</f>
      </c>
      <c r="D77" s="56" t="str">
        <f>IF(COUNTIFS('LANÇAMENTOS DIÁRIOS'!$G$5:$G$500,"H",'LANÇAMENTOS DIÁRIOS'!$C$5:$C$500,$A77,'LANÇAMENTOS DIÁRIOS'!$O$5:$O$500,"&lt;=124699",'LANÇAMENTOS DIÁRIOS'!$P$5:$P$500,"&gt;=124600")&gt;0,"X","")</f>
      </c>
      <c r="E77" s="56" t="str">
        <f>IF(COUNTIFS('LANÇAMENTOS DIÁRIOS'!$G$5:$G$500,"H",'LANÇAMENTOS DIÁRIOS'!$C$5:$C$500,$A77,'LANÇAMENTOS DIÁRIOS'!$O$5:$O$500,"&lt;=124799",'LANÇAMENTOS DIÁRIOS'!$P$5:$P$500,"&gt;=124700")&gt;0,"X","")</f>
      </c>
      <c r="F77" s="56" t="str">
        <f>IF(COUNTIFS('LANÇAMENTOS DIÁRIOS'!$G$5:$G$500,"H",'LANÇAMENTOS DIÁRIOS'!$C$5:$C$500,$A77,'LANÇAMENTOS DIÁRIOS'!$O$5:$O$500,"&lt;=124899",'LANÇAMENTOS DIÁRIOS'!$P$5:$P$500,"&gt;=124800")&gt;0,"X","")</f>
      </c>
      <c r="G77" s="56" t="str">
        <f>IF(COUNTIFS('LANÇAMENTOS DIÁRIOS'!$G$5:$G$500,"H",'LANÇAMENTOS DIÁRIOS'!$C$5:$C$500,$A77,'LANÇAMENTOS DIÁRIOS'!$O$5:$O$500,"&lt;=124999",'LANÇAMENTOS DIÁRIOS'!$P$5:$P$500,"&gt;=124900")&gt;0,"X","")</f>
      </c>
      <c r="H77" s="56" t="str">
        <f>IF(COUNTIFS('LANÇAMENTOS DIÁRIOS'!$G$5:$G$500,"H",'LANÇAMENTOS DIÁRIOS'!$C$5:$C$500,$A77,'LANÇAMENTOS DIÁRIOS'!$O$5:$O$500,"&lt;=125099",'LANÇAMENTOS DIÁRIOS'!$P$5:$P$500,"&gt;=125000")&gt;0,"X","")</f>
      </c>
      <c r="I77" s="56" t="str">
        <f>IF(COUNTIFS('LANÇAMENTOS DIÁRIOS'!$G$5:$G$500,"H",'LANÇAMENTOS DIÁRIOS'!$C$5:$C$500,$A77,'LANÇAMENTOS DIÁRIOS'!$O$5:$O$500,"&lt;=125199",'LANÇAMENTOS DIÁRIOS'!$P$5:$P$500,"&gt;=125100")&gt;0,"X","")</f>
      </c>
      <c r="J77" s="56" t="str">
        <f>IF(COUNTIFS('LANÇAMENTOS DIÁRIOS'!$G$5:$G$500,"H",'LANÇAMENTOS DIÁRIOS'!$C$5:$C$500,$A77,'LANÇAMENTOS DIÁRIOS'!$O$5:$O$500,"&lt;=125299",'LANÇAMENTOS DIÁRIOS'!$P$5:$P$500,"&gt;=125200")&gt;0,"X","")</f>
      </c>
      <c r="K77" s="56" t="str">
        <f>IF(COUNTIFS('LANÇAMENTOS DIÁRIOS'!$G$5:$G$500,"H",'LANÇAMENTOS DIÁRIOS'!$C$5:$C$500,$A77,'LANÇAMENTOS DIÁRIOS'!$O$5:$O$500,"&lt;=125399",'LANÇAMENTOS DIÁRIOS'!$P$5:$P$500,"&gt;=125300")&gt;0,"X","")</f>
      </c>
      <c r="L77" s="56" t="str">
        <f>IF(COUNTIFS('LANÇAMENTOS DIÁRIOS'!$G$5:$G$500,"H",'LANÇAMENTOS DIÁRIOS'!$C$5:$C$500,$A77,'LANÇAMENTOS DIÁRIOS'!$O$5:$O$500,"&lt;=125499",'LANÇAMENTOS DIÁRIOS'!$P$5:$P$500,"&gt;=125400")&gt;0,"X","")</f>
      </c>
      <c r="M77" s="56" t="str">
        <f>IF(COUNTIFS('LANÇAMENTOS DIÁRIOS'!$G$5:$G$500,"H",'LANÇAMENTOS DIÁRIOS'!$C$5:$C$500,$A77,'LANÇAMENTOS DIÁRIOS'!$O$5:$O$500,"&lt;=125599",'LANÇAMENTOS DIÁRIOS'!$P$5:$P$500,"&gt;=125500")&gt;0,"X","")</f>
      </c>
      <c r="N77" s="56" t="str">
        <f>IF(COUNTIFS('LANÇAMENTOS DIÁRIOS'!$G$5:$G$500,"H",'LANÇAMENTOS DIÁRIOS'!$C$5:$C$500,$A77,'LANÇAMENTOS DIÁRIOS'!$O$5:$O$500,"&lt;=125699",'LANÇAMENTOS DIÁRIOS'!$P$5:$P$500,"&gt;=125600")&gt;0,"X","")</f>
      </c>
      <c r="O77" s="56" t="str">
        <f>IF(COUNTIFS('LANÇAMENTOS DIÁRIOS'!$G$5:$G$500,"H",'LANÇAMENTOS DIÁRIOS'!$C$5:$C$500,$A77,'LANÇAMENTOS DIÁRIOS'!$O$5:$O$500,"&lt;=125799",'LANÇAMENTOS DIÁRIOS'!$P$5:$P$500,"&gt;=125700")&gt;0,"X","")</f>
      </c>
      <c r="P77" s="56" t="str">
        <f>IF(COUNTIFS('LANÇAMENTOS DIÁRIOS'!$G$5:$G$500,"H",'LANÇAMENTOS DIÁRIOS'!$C$5:$C$500,$A77,'LANÇAMENTOS DIÁRIOS'!$O$5:$O$500,"&lt;=125899",'LANÇAMENTOS DIÁRIOS'!$P$5:$P$500,"&gt;=125800")&gt;0,"X","")</f>
      </c>
      <c r="Q77" s="56" t="str">
        <f>IF(COUNTIFS('LANÇAMENTOS DIÁRIOS'!$G$5:$G$500,"H",'LANÇAMENTOS DIÁRIOS'!$C$5:$C$500,$A77,'LANÇAMENTOS DIÁRIOS'!$O$5:$O$500,"&lt;=125999",'LANÇAMENTOS DIÁRIOS'!$P$5:$P$500,"&gt;=125900")&gt;0,"X","")</f>
      </c>
      <c r="R77" s="56" t="str">
        <f>IF(COUNTIFS('LANÇAMENTOS DIÁRIOS'!$G$5:$G$500,"H",'LANÇAMENTOS DIÁRIOS'!$C$5:$C$500,$A77,'LANÇAMENTOS DIÁRIOS'!$O$5:$O$500,"&lt;=126099",'LANÇAMENTOS DIÁRIOS'!$P$5:$P$500,"&gt;=126000")&gt;0,"X","")</f>
      </c>
      <c r="S77" s="56" t="str">
        <f>IF(COUNTIFS('LANÇAMENTOS DIÁRIOS'!$G$5:$G$500,"H",'LANÇAMENTOS DIÁRIOS'!$C$5:$C$500,$A77,'LANÇAMENTOS DIÁRIOS'!$O$5:$O$500,"&lt;=126199",'LANÇAMENTOS DIÁRIOS'!$P$5:$P$500,"&gt;=126100")&gt;0,"X","")</f>
      </c>
      <c r="T77" s="56" t="str">
        <f>IF(COUNTIFS('LANÇAMENTOS DIÁRIOS'!$G$5:$G$500,"H",'LANÇAMENTOS DIÁRIOS'!$C$5:$C$500,$A77,'LANÇAMENTOS DIÁRIOS'!$O$5:$O$500,"&lt;=126299",'LANÇAMENTOS DIÁRIOS'!$P$5:$P$500,"&gt;=126200")&gt;0,"X","")</f>
      </c>
      <c r="U77" s="56" t="str">
        <f>IF(COUNTIFS('LANÇAMENTOS DIÁRIOS'!$G$5:$G$500,"H",'LANÇAMENTOS DIÁRIOS'!$C$5:$C$500,$A77,'LANÇAMENTOS DIÁRIOS'!$O$5:$O$500,"&lt;=126399",'LANÇAMENTOS DIÁRIOS'!$P$5:$P$500,"&gt;=126300")&gt;0,"X","")</f>
      </c>
      <c r="V77" s="56" t="str">
        <f>IF(COUNTIFS('LANÇAMENTOS DIÁRIOS'!$G$5:$G$500,"H",'LANÇAMENTOS DIÁRIOS'!$C$5:$C$500,$A77,'LANÇAMENTOS DIÁRIOS'!$O$5:$O$500,"&lt;=126499",'LANÇAMENTOS DIÁRIOS'!$P$5:$P$500,"&gt;=126400")&gt;0,"X","")</f>
      </c>
      <c r="W77" s="56" t="str">
        <f>IF(COUNTIFS('LANÇAMENTOS DIÁRIOS'!$G$5:$G$500,"H",'LANÇAMENTOS DIÁRIOS'!$C$5:$C$500,$A77,'LANÇAMENTOS DIÁRIOS'!$O$5:$O$500,"&lt;=126599",'LANÇAMENTOS DIÁRIOS'!$P$5:$P$500,"&gt;=126500")&gt;0,"X","")</f>
      </c>
      <c r="X77" s="56" t="str">
        <f>IF(COUNTIFS('LANÇAMENTOS DIÁRIOS'!$G$5:$G$500,"H",'LANÇAMENTOS DIÁRIOS'!$C$5:$C$500,$A77,'LANÇAMENTOS DIÁRIOS'!$O$5:$O$500,"&lt;=126699",'LANÇAMENTOS DIÁRIOS'!$P$5:$P$500,"&gt;=126600")&gt;0,"X","")</f>
      </c>
      <c r="Y77" s="56" t="str">
        <f>IF(COUNTIFS('LANÇAMENTOS DIÁRIOS'!$G$5:$G$500,"H",'LANÇAMENTOS DIÁRIOS'!$C$5:$C$500,$A77,'LANÇAMENTOS DIÁRIOS'!$O$5:$O$500,"&lt;=126799",'LANÇAMENTOS DIÁRIOS'!$P$5:$P$500,"&gt;=126700")&gt;0,"X","")</f>
      </c>
      <c r="Z77" s="56" t="str">
        <f>IF(COUNTIFS('LANÇAMENTOS DIÁRIOS'!$G$5:$G$500,"H",'LANÇAMENTOS DIÁRIOS'!$C$5:$C$500,$A77,'LANÇAMENTOS DIÁRIOS'!$O$5:$O$500,"&lt;=126899",'LANÇAMENTOS DIÁRIOS'!$P$5:$P$500,"&gt;=126800")&gt;0,"X","")</f>
      </c>
      <c r="AA77" s="56" t="str">
        <f>IF(COUNTIFS('LANÇAMENTOS DIÁRIOS'!$G$5:$G$500,"H",'LANÇAMENTOS DIÁRIOS'!$C$5:$C$500,$A77,'LANÇAMENTOS DIÁRIOS'!$O$5:$O$500,"&lt;=126999",'LANÇAMENTOS DIÁRIOS'!$P$5:$P$500,"&gt;=126900")&gt;0,"X","")</f>
      </c>
      <c r="AB77" s="56" t="str">
        <f>IF(COUNTIFS('LANÇAMENTOS DIÁRIOS'!$G$5:$G$500,"H",'LANÇAMENTOS DIÁRIOS'!$C$5:$C$500,$A77,'LANÇAMENTOS DIÁRIOS'!$O$5:$O$500,"&lt;=127099",'LANÇAMENTOS DIÁRIOS'!$P$5:$P$500,"&gt;=127000")&gt;0,"X","")</f>
      </c>
      <c r="AC77" s="56" t="str">
        <f>IF(COUNTIFS('LANÇAMENTOS DIÁRIOS'!$G$5:$G$500,"H",'LANÇAMENTOS DIÁRIOS'!$C$5:$C$500,$A77,'LANÇAMENTOS DIÁRIOS'!$O$5:$O$500,"&lt;=127199",'LANÇAMENTOS DIÁRIOS'!$P$5:$P$500,"&gt;=127100")&gt;0,"X","")</f>
      </c>
      <c r="AD77" s="56" t="str">
        <f>IF(COUNTIFS('LANÇAMENTOS DIÁRIOS'!$G$5:$G$500,"H",'LANÇAMENTOS DIÁRIOS'!$C$5:$C$500,$A77,'LANÇAMENTOS DIÁRIOS'!$O$5:$O$500,"&lt;=127299",'LANÇAMENTOS DIÁRIOS'!$P$5:$P$500,"&gt;=127200")&gt;0,"X","")</f>
      </c>
      <c r="AE77" s="56" t="str">
        <f>IF(COUNTIFS('LANÇAMENTOS DIÁRIOS'!$G$5:$G$500,"H",'LANÇAMENTOS DIÁRIOS'!$C$5:$C$500,$A77,'LANÇAMENTOS DIÁRIOS'!$O$5:$O$500,"&lt;=127399",'LANÇAMENTOS DIÁRIOS'!$P$5:$P$500,"&gt;=127300")&gt;0,"X","")</f>
      </c>
      <c r="AF77" s="56" t="str">
        <f>IF(COUNTIFS('LANÇAMENTOS DIÁRIOS'!$G$5:$G$500,"H",'LANÇAMENTOS DIÁRIOS'!$C$5:$C$500,$A77,'LANÇAMENTOS DIÁRIOS'!$O$5:$O$500,"&lt;=127499",'LANÇAMENTOS DIÁRIOS'!$P$5:$P$500,"&gt;=127400")&gt;0,"X","")</f>
      </c>
      <c r="AG77" s="56" t="str">
        <f>IF(COUNTIFS('LANÇAMENTOS DIÁRIOS'!$G$5:$G$500,"H",'LANÇAMENTOS DIÁRIOS'!$C$5:$C$500,$A77,'LANÇAMENTOS DIÁRIOS'!$O$5:$O$500,"&lt;=127599",'LANÇAMENTOS DIÁRIOS'!$P$5:$P$500,"&gt;=127500")&gt;0,"X","")</f>
      </c>
      <c r="AH77" s="56" t="str">
        <f>IF(COUNTIFS('LANÇAMENTOS DIÁRIOS'!$G$5:$G$500,"H",'LANÇAMENTOS DIÁRIOS'!$C$5:$C$500,$A77,'LANÇAMENTOS DIÁRIOS'!$O$5:$O$500,"&lt;=127699",'LANÇAMENTOS DIÁRIOS'!$P$5:$P$500,"&gt;=127600")&gt;0,"X","")</f>
      </c>
      <c r="AI77" s="56" t="str">
        <f>IF(COUNTIFS('LANÇAMENTOS DIÁRIOS'!$G$5:$G$500,"H",'LANÇAMENTOS DIÁRIOS'!$C$5:$C$500,$A77,'LANÇAMENTOS DIÁRIOS'!$O$5:$O$500,"&lt;=127799",'LANÇAMENTOS DIÁRIOS'!$P$5:$P$500,"&gt;=127700")&gt;0,"X","")</f>
      </c>
      <c r="AJ77" s="56" t="str">
        <f>IF(COUNTIFS('LANÇAMENTOS DIÁRIOS'!$G$5:$G$500,"H",'LANÇAMENTOS DIÁRIOS'!$C$5:$C$500,$A77,'LANÇAMENTOS DIÁRIOS'!$O$5:$O$500,"&lt;=127899",'LANÇAMENTOS DIÁRIOS'!$P$5:$P$500,"&gt;=127800")&gt;0,"X","")</f>
      </c>
      <c r="AK77" s="56" t="str">
        <f>IF(COUNTIFS('LANÇAMENTOS DIÁRIOS'!$G$5:$G$500,"H",'LANÇAMENTOS DIÁRIOS'!$C$5:$C$500,$A77,'LANÇAMENTOS DIÁRIOS'!$O$5:$O$500,"&lt;=127999",'LANÇAMENTOS DIÁRIOS'!$P$5:$P$500,"&gt;=127900")&gt;0,"X","")</f>
      </c>
      <c r="AL77" s="56" t="str">
        <f>IF(COUNTIFS('LANÇAMENTOS DIÁRIOS'!$G$5:$G$500,"H",'LANÇAMENTOS DIÁRIOS'!$C$5:$C$500,$A77,'LANÇAMENTOS DIÁRIOS'!$O$5:$O$500,"&lt;=128099",'LANÇAMENTOS DIÁRIOS'!$P$5:$P$500,"&gt;=128000")&gt;0,"X","")</f>
      </c>
      <c r="AM77" s="56" t="str">
        <f>IF(COUNTIFS('LANÇAMENTOS DIÁRIOS'!$G$5:$G$500,"H",'LANÇAMENTOS DIÁRIOS'!$C$5:$C$500,$A77,'LANÇAMENTOS DIÁRIOS'!$O$5:$O$500,"&lt;=128199",'LANÇAMENTOS DIÁRIOS'!$P$5:$P$500,"&gt;=128100")&gt;0,"X","")</f>
      </c>
      <c r="AN77" s="56" t="str">
        <f>IF(COUNTIFS('LANÇAMENTOS DIÁRIOS'!$G$5:$G$500,"H",'LANÇAMENTOS DIÁRIOS'!$C$5:$C$500,$A77,'LANÇAMENTOS DIÁRIOS'!$O$5:$O$500,"&lt;=128299",'LANÇAMENTOS DIÁRIOS'!$P$5:$P$500,"&gt;=128200")&gt;0,"X","")</f>
      </c>
      <c r="AO77" s="56" t="str">
        <f>IF(COUNTIFS('LANÇAMENTOS DIÁRIOS'!$G$5:$G$500,"H",'LANÇAMENTOS DIÁRIOS'!$C$5:$C$500,$A77,'LANÇAMENTOS DIÁRIOS'!$O$5:$O$500,"&lt;=128399",'LANÇAMENTOS DIÁRIOS'!$P$5:$P$500,"&gt;=128300")&gt;0,"X","")</f>
      </c>
      <c r="AP77" s="56" t="str">
        <f>IF(COUNTIFS('LANÇAMENTOS DIÁRIOS'!$G$5:$G$500,"H",'LANÇAMENTOS DIÁRIOS'!$C$5:$C$500,$A77,'LANÇAMENTOS DIÁRIOS'!$O$5:$O$500,"&lt;=128499",'LANÇAMENTOS DIÁRIOS'!$P$5:$P$500,"&gt;=128400")&gt;0,"X","")</f>
      </c>
      <c r="AQ77" s="56" t="str">
        <f>IF(COUNTIFS('LANÇAMENTOS DIÁRIOS'!$G$5:$G$500,"H",'LANÇAMENTOS DIÁRIOS'!$C$5:$C$500,$A77,'LANÇAMENTOS DIÁRIOS'!$O$5:$O$500,"&lt;=128599",'LANÇAMENTOS DIÁRIOS'!$P$5:$P$500,"&gt;=128500")&gt;0,"X","")</f>
      </c>
      <c r="AR77" s="56" t="str">
        <f>IF(COUNTIFS('LANÇAMENTOS DIÁRIOS'!$G$5:$G$500,"H",'LANÇAMENTOS DIÁRIOS'!$C$5:$C$500,$A77,'LANÇAMENTOS DIÁRIOS'!$O$5:$O$500,"&lt;=128699",'LANÇAMENTOS DIÁRIOS'!$P$5:$P$500,"&gt;=128600")&gt;0,"X","")</f>
      </c>
      <c r="AS77" s="56" t="str">
        <f>IF(COUNTIFS('LANÇAMENTOS DIÁRIOS'!$G$5:$G$500,"H",'LANÇAMENTOS DIÁRIOS'!$C$5:$C$500,$A77,'LANÇAMENTOS DIÁRIOS'!$O$5:$O$500,"&lt;=128799",'LANÇAMENTOS DIÁRIOS'!$P$5:$P$500,"&gt;=128700")&gt;0,"X","")</f>
      </c>
      <c r="AT77" s="56" t="str">
        <f>IF(COUNTIFS('LANÇAMENTOS DIÁRIOS'!$G$5:$G$500,"H",'LANÇAMENTOS DIÁRIOS'!$C$5:$C$500,$A77,'LANÇAMENTOS DIÁRIOS'!$O$5:$O$500,"&lt;=128899",'LANÇAMENTOS DIÁRIOS'!$P$5:$P$500,"&gt;=128800")&gt;0,"X","")</f>
      </c>
      <c r="AU77" s="56" t="str">
        <f>IF(COUNTIFS('LANÇAMENTOS DIÁRIOS'!$G$5:$G$500,"H",'LANÇAMENTOS DIÁRIOS'!$C$5:$C$500,$A77,'LANÇAMENTOS DIÁRIOS'!$O$5:$O$500,"&lt;=128999",'LANÇAMENTOS DIÁRIOS'!$P$5:$P$500,"&gt;=128900")&gt;0,"X","")</f>
      </c>
      <c r="AV77" s="56" t="str">
        <f>IF(COUNTIFS('LANÇAMENTOS DIÁRIOS'!$G$5:$G$500,"H",'LANÇAMENTOS DIÁRIOS'!$C$5:$C$500,$A77,'LANÇAMENTOS DIÁRIOS'!$O$5:$O$500,"&lt;=129099",'LANÇAMENTOS DIÁRIOS'!$P$5:$P$500,"&gt;=129000")&gt;0,"X","")</f>
      </c>
      <c r="AW77" s="56" t="str">
        <f>IF(COUNTIFS('LANÇAMENTOS DIÁRIOS'!$G$5:$G$500,"H",'LANÇAMENTOS DIÁRIOS'!$C$5:$C$500,$A77,'LANÇAMENTOS DIÁRIOS'!$O$5:$O$500,"&lt;=129199",'LANÇAMENTOS DIÁRIOS'!$P$5:$P$500,"&gt;=129100")&gt;0,"X","")</f>
      </c>
      <c r="AX77" s="56" t="str">
        <f>IF(COUNTIFS('LANÇAMENTOS DIÁRIOS'!$G$5:$G$500,"H",'LANÇAMENTOS DIÁRIOS'!$C$5:$C$500,$A77,'LANÇAMENTOS DIÁRIOS'!$O$5:$O$500,"&lt;=129299",'LANÇAMENTOS DIÁRIOS'!$P$5:$P$500,"&gt;=129200")&gt;0,"X","")</f>
      </c>
      <c r="AY77" s="56" t="str">
        <f>IF(COUNTIFS('LANÇAMENTOS DIÁRIOS'!$G$5:$G$500,"H",'LANÇAMENTOS DIÁRIOS'!$C$5:$C$500,$A77,'LANÇAMENTOS DIÁRIOS'!$O$5:$O$500,"&lt;=129399",'LANÇAMENTOS DIÁRIOS'!$P$5:$P$500,"&gt;=129300")&gt;0,"X","")</f>
      </c>
      <c r="AZ77" s="56" t="str">
        <f>IF(COUNTIFS('LANÇAMENTOS DIÁRIOS'!$G$5:$G$500,"H",'LANÇAMENTOS DIÁRIOS'!$C$5:$C$500,$A77,'LANÇAMENTOS DIÁRIOS'!$O$5:$O$500,"&lt;=129400",'LANÇAMENTOS DIÁRIOS'!$P$5:$P$500,"&gt;=129400")&gt;0,"X","")</f>
      </c>
    </row>
    <row r="78" ht="19" customHeight="1">
      <c r="A78" s="68" t="str">
        <v>Construção da sub-base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</row>
    <row r="79">
      <c r="A79" s="51" t="str">
        <v>Solo cimento com adição de 3% cimento,mistura in situ- Recicladora</v>
      </c>
      <c r="B79" s="56" t="str">
        <f>IF(COUNTIFS('LANÇAMENTOS DIÁRIOS'!$G$5:$G$500,"H",'LANÇAMENTOS DIÁRIOS'!$C$5:$C$500,$A79,'LANÇAMENTOS DIÁRIOS'!$O$5:$O$500,"&lt;=124499",'LANÇAMENTOS DIÁRIOS'!$P$5:$P$500,"&gt;=124400")&gt;0,"X","")</f>
      </c>
      <c r="C79" s="56" t="str">
        <f>IF(COUNTIFS('LANÇAMENTOS DIÁRIOS'!$G$5:$G$500,"H",'LANÇAMENTOS DIÁRIOS'!$C$5:$C$500,$A79,'LANÇAMENTOS DIÁRIOS'!$O$5:$O$500,"&lt;=124599",'LANÇAMENTOS DIÁRIOS'!$P$5:$P$500,"&gt;=124500")&gt;0,"X","")</f>
      </c>
      <c r="D79" s="56" t="str">
        <f>IF(COUNTIFS('LANÇAMENTOS DIÁRIOS'!$G$5:$G$500,"H",'LANÇAMENTOS DIÁRIOS'!$C$5:$C$500,$A79,'LANÇAMENTOS DIÁRIOS'!$O$5:$O$500,"&lt;=124699",'LANÇAMENTOS DIÁRIOS'!$P$5:$P$500,"&gt;=124600")&gt;0,"X","")</f>
      </c>
      <c r="E79" s="56" t="str">
        <f>IF(COUNTIFS('LANÇAMENTOS DIÁRIOS'!$G$5:$G$500,"H",'LANÇAMENTOS DIÁRIOS'!$C$5:$C$500,$A79,'LANÇAMENTOS DIÁRIOS'!$O$5:$O$500,"&lt;=124799",'LANÇAMENTOS DIÁRIOS'!$P$5:$P$500,"&gt;=124700")&gt;0,"X","")</f>
      </c>
      <c r="F79" s="56" t="str">
        <f>IF(COUNTIFS('LANÇAMENTOS DIÁRIOS'!$G$5:$G$500,"H",'LANÇAMENTOS DIÁRIOS'!$C$5:$C$500,$A79,'LANÇAMENTOS DIÁRIOS'!$O$5:$O$500,"&lt;=124899",'LANÇAMENTOS DIÁRIOS'!$P$5:$P$500,"&gt;=124800")&gt;0,"X","")</f>
      </c>
      <c r="G79" s="56" t="str">
        <f>IF(COUNTIFS('LANÇAMENTOS DIÁRIOS'!$G$5:$G$500,"H",'LANÇAMENTOS DIÁRIOS'!$C$5:$C$500,$A79,'LANÇAMENTOS DIÁRIOS'!$O$5:$O$500,"&lt;=124999",'LANÇAMENTOS DIÁRIOS'!$P$5:$P$500,"&gt;=124900")&gt;0,"X","")</f>
      </c>
      <c r="H79" s="56" t="str">
        <f>IF(COUNTIFS('LANÇAMENTOS DIÁRIOS'!$G$5:$G$500,"H",'LANÇAMENTOS DIÁRIOS'!$C$5:$C$500,$A79,'LANÇAMENTOS DIÁRIOS'!$O$5:$O$500,"&lt;=125099",'LANÇAMENTOS DIÁRIOS'!$P$5:$P$500,"&gt;=125000")&gt;0,"X","")</f>
      </c>
      <c r="I79" s="56" t="str">
        <f>IF(COUNTIFS('LANÇAMENTOS DIÁRIOS'!$G$5:$G$500,"H",'LANÇAMENTOS DIÁRIOS'!$C$5:$C$500,$A79,'LANÇAMENTOS DIÁRIOS'!$O$5:$O$500,"&lt;=125199",'LANÇAMENTOS DIÁRIOS'!$P$5:$P$500,"&gt;=125100")&gt;0,"X","")</f>
      </c>
      <c r="J79" s="56" t="str">
        <f>IF(COUNTIFS('LANÇAMENTOS DIÁRIOS'!$G$5:$G$500,"H",'LANÇAMENTOS DIÁRIOS'!$C$5:$C$500,$A79,'LANÇAMENTOS DIÁRIOS'!$O$5:$O$500,"&lt;=125299",'LANÇAMENTOS DIÁRIOS'!$P$5:$P$500,"&gt;=125200")&gt;0,"X","")</f>
      </c>
      <c r="K79" s="56" t="str">
        <f>IF(COUNTIFS('LANÇAMENTOS DIÁRIOS'!$G$5:$G$500,"H",'LANÇAMENTOS DIÁRIOS'!$C$5:$C$500,$A79,'LANÇAMENTOS DIÁRIOS'!$O$5:$O$500,"&lt;=125399",'LANÇAMENTOS DIÁRIOS'!$P$5:$P$500,"&gt;=125300")&gt;0,"X","")</f>
      </c>
      <c r="L79" s="56" t="str">
        <f>IF(COUNTIFS('LANÇAMENTOS DIÁRIOS'!$G$5:$G$500,"H",'LANÇAMENTOS DIÁRIOS'!$C$5:$C$500,$A79,'LANÇAMENTOS DIÁRIOS'!$O$5:$O$500,"&lt;=125499",'LANÇAMENTOS DIÁRIOS'!$P$5:$P$500,"&gt;=125400")&gt;0,"X","")</f>
      </c>
      <c r="M79" s="56" t="str">
        <f>IF(COUNTIFS('LANÇAMENTOS DIÁRIOS'!$G$5:$G$500,"H",'LANÇAMENTOS DIÁRIOS'!$C$5:$C$500,$A79,'LANÇAMENTOS DIÁRIOS'!$O$5:$O$500,"&lt;=125599",'LANÇAMENTOS DIÁRIOS'!$P$5:$P$500,"&gt;=125500")&gt;0,"X","")</f>
      </c>
      <c r="N79" s="56" t="str">
        <f>IF(COUNTIFS('LANÇAMENTOS DIÁRIOS'!$G$5:$G$500,"H",'LANÇAMENTOS DIÁRIOS'!$C$5:$C$500,$A79,'LANÇAMENTOS DIÁRIOS'!$O$5:$O$500,"&lt;=125699",'LANÇAMENTOS DIÁRIOS'!$P$5:$P$500,"&gt;=125600")&gt;0,"X","")</f>
      </c>
      <c r="O79" s="56" t="str">
        <f>IF(COUNTIFS('LANÇAMENTOS DIÁRIOS'!$G$5:$G$500,"H",'LANÇAMENTOS DIÁRIOS'!$C$5:$C$500,$A79,'LANÇAMENTOS DIÁRIOS'!$O$5:$O$500,"&lt;=125799",'LANÇAMENTOS DIÁRIOS'!$P$5:$P$500,"&gt;=125700")&gt;0,"X","")</f>
      </c>
      <c r="P79" s="56" t="str">
        <f>IF(COUNTIFS('LANÇAMENTOS DIÁRIOS'!$G$5:$G$500,"H",'LANÇAMENTOS DIÁRIOS'!$C$5:$C$500,$A79,'LANÇAMENTOS DIÁRIOS'!$O$5:$O$500,"&lt;=125899",'LANÇAMENTOS DIÁRIOS'!$P$5:$P$500,"&gt;=125800")&gt;0,"X","")</f>
      </c>
      <c r="Q79" s="56" t="str">
        <f>IF(COUNTIFS('LANÇAMENTOS DIÁRIOS'!$G$5:$G$500,"H",'LANÇAMENTOS DIÁRIOS'!$C$5:$C$500,$A79,'LANÇAMENTOS DIÁRIOS'!$O$5:$O$500,"&lt;=125999",'LANÇAMENTOS DIÁRIOS'!$P$5:$P$500,"&gt;=125900")&gt;0,"X","")</f>
      </c>
      <c r="R79" s="56" t="str">
        <f>IF(COUNTIFS('LANÇAMENTOS DIÁRIOS'!$G$5:$G$500,"H",'LANÇAMENTOS DIÁRIOS'!$C$5:$C$500,$A79,'LANÇAMENTOS DIÁRIOS'!$O$5:$O$500,"&lt;=126099",'LANÇAMENTOS DIÁRIOS'!$P$5:$P$500,"&gt;=126000")&gt;0,"X","")</f>
      </c>
      <c r="S79" s="56" t="str">
        <f>IF(COUNTIFS('LANÇAMENTOS DIÁRIOS'!$G$5:$G$500,"H",'LANÇAMENTOS DIÁRIOS'!$C$5:$C$500,$A79,'LANÇAMENTOS DIÁRIOS'!$O$5:$O$500,"&lt;=126199",'LANÇAMENTOS DIÁRIOS'!$P$5:$P$500,"&gt;=126100")&gt;0,"X","")</f>
      </c>
      <c r="T79" s="56" t="str">
        <f>IF(COUNTIFS('LANÇAMENTOS DIÁRIOS'!$G$5:$G$500,"H",'LANÇAMENTOS DIÁRIOS'!$C$5:$C$500,$A79,'LANÇAMENTOS DIÁRIOS'!$O$5:$O$500,"&lt;=126299",'LANÇAMENTOS DIÁRIOS'!$P$5:$P$500,"&gt;=126200")&gt;0,"X","")</f>
      </c>
      <c r="U79" s="56" t="str">
        <f>IF(COUNTIFS('LANÇAMENTOS DIÁRIOS'!$G$5:$G$500,"H",'LANÇAMENTOS DIÁRIOS'!$C$5:$C$500,$A79,'LANÇAMENTOS DIÁRIOS'!$O$5:$O$500,"&lt;=126399",'LANÇAMENTOS DIÁRIOS'!$P$5:$P$500,"&gt;=126300")&gt;0,"X","")</f>
      </c>
      <c r="V79" s="56" t="str">
        <f>IF(COUNTIFS('LANÇAMENTOS DIÁRIOS'!$G$5:$G$500,"H",'LANÇAMENTOS DIÁRIOS'!$C$5:$C$500,$A79,'LANÇAMENTOS DIÁRIOS'!$O$5:$O$500,"&lt;=126499",'LANÇAMENTOS DIÁRIOS'!$P$5:$P$500,"&gt;=126400")&gt;0,"X","")</f>
      </c>
      <c r="W79" s="56" t="str">
        <f>IF(COUNTIFS('LANÇAMENTOS DIÁRIOS'!$G$5:$G$500,"H",'LANÇAMENTOS DIÁRIOS'!$C$5:$C$500,$A79,'LANÇAMENTOS DIÁRIOS'!$O$5:$O$500,"&lt;=126599",'LANÇAMENTOS DIÁRIOS'!$P$5:$P$500,"&gt;=126500")&gt;0,"X","")</f>
      </c>
      <c r="X79" s="56" t="str">
        <f>IF(COUNTIFS('LANÇAMENTOS DIÁRIOS'!$G$5:$G$500,"H",'LANÇAMENTOS DIÁRIOS'!$C$5:$C$500,$A79,'LANÇAMENTOS DIÁRIOS'!$O$5:$O$500,"&lt;=126699",'LANÇAMENTOS DIÁRIOS'!$P$5:$P$500,"&gt;=126600")&gt;0,"X","")</f>
      </c>
      <c r="Y79" s="56" t="str">
        <f>IF(COUNTIFS('LANÇAMENTOS DIÁRIOS'!$G$5:$G$500,"H",'LANÇAMENTOS DIÁRIOS'!$C$5:$C$500,$A79,'LANÇAMENTOS DIÁRIOS'!$O$5:$O$500,"&lt;=126799",'LANÇAMENTOS DIÁRIOS'!$P$5:$P$500,"&gt;=126700")&gt;0,"X","")</f>
      </c>
      <c r="Z79" s="56" t="str">
        <f>IF(COUNTIFS('LANÇAMENTOS DIÁRIOS'!$G$5:$G$500,"H",'LANÇAMENTOS DIÁRIOS'!$C$5:$C$500,$A79,'LANÇAMENTOS DIÁRIOS'!$O$5:$O$500,"&lt;=126899",'LANÇAMENTOS DIÁRIOS'!$P$5:$P$500,"&gt;=126800")&gt;0,"X","")</f>
      </c>
      <c r="AA79" s="56" t="str">
        <f>IF(COUNTIFS('LANÇAMENTOS DIÁRIOS'!$G$5:$G$500,"H",'LANÇAMENTOS DIÁRIOS'!$C$5:$C$500,$A79,'LANÇAMENTOS DIÁRIOS'!$O$5:$O$500,"&lt;=126999",'LANÇAMENTOS DIÁRIOS'!$P$5:$P$500,"&gt;=126900")&gt;0,"X","")</f>
      </c>
      <c r="AB79" s="56" t="str">
        <f>IF(COUNTIFS('LANÇAMENTOS DIÁRIOS'!$G$5:$G$500,"H",'LANÇAMENTOS DIÁRIOS'!$C$5:$C$500,$A79,'LANÇAMENTOS DIÁRIOS'!$O$5:$O$500,"&lt;=127099",'LANÇAMENTOS DIÁRIOS'!$P$5:$P$500,"&gt;=127000")&gt;0,"X","")</f>
      </c>
      <c r="AC79" s="56" t="str">
        <f>IF(COUNTIFS('LANÇAMENTOS DIÁRIOS'!$G$5:$G$500,"H",'LANÇAMENTOS DIÁRIOS'!$C$5:$C$500,$A79,'LANÇAMENTOS DIÁRIOS'!$O$5:$O$500,"&lt;=127199",'LANÇAMENTOS DIÁRIOS'!$P$5:$P$500,"&gt;=127100")&gt;0,"X","")</f>
      </c>
      <c r="AD79" s="56" t="str">
        <f>IF(COUNTIFS('LANÇAMENTOS DIÁRIOS'!$G$5:$G$500,"H",'LANÇAMENTOS DIÁRIOS'!$C$5:$C$500,$A79,'LANÇAMENTOS DIÁRIOS'!$O$5:$O$500,"&lt;=127299",'LANÇAMENTOS DIÁRIOS'!$P$5:$P$500,"&gt;=127200")&gt;0,"X","")</f>
      </c>
      <c r="AE79" s="56" t="str">
        <f>IF(COUNTIFS('LANÇAMENTOS DIÁRIOS'!$G$5:$G$500,"H",'LANÇAMENTOS DIÁRIOS'!$C$5:$C$500,$A79,'LANÇAMENTOS DIÁRIOS'!$O$5:$O$500,"&lt;=127399",'LANÇAMENTOS DIÁRIOS'!$P$5:$P$500,"&gt;=127300")&gt;0,"X","")</f>
      </c>
      <c r="AF79" s="56" t="str">
        <f>IF(COUNTIFS('LANÇAMENTOS DIÁRIOS'!$G$5:$G$500,"H",'LANÇAMENTOS DIÁRIOS'!$C$5:$C$500,$A79,'LANÇAMENTOS DIÁRIOS'!$O$5:$O$500,"&lt;=127499",'LANÇAMENTOS DIÁRIOS'!$P$5:$P$500,"&gt;=127400")&gt;0,"X","")</f>
      </c>
      <c r="AG79" s="56" t="str">
        <f>IF(COUNTIFS('LANÇAMENTOS DIÁRIOS'!$G$5:$G$500,"H",'LANÇAMENTOS DIÁRIOS'!$C$5:$C$500,$A79,'LANÇAMENTOS DIÁRIOS'!$O$5:$O$500,"&lt;=127599",'LANÇAMENTOS DIÁRIOS'!$P$5:$P$500,"&gt;=127500")&gt;0,"X","")</f>
      </c>
      <c r="AH79" s="56" t="str">
        <f>IF(COUNTIFS('LANÇAMENTOS DIÁRIOS'!$G$5:$G$500,"H",'LANÇAMENTOS DIÁRIOS'!$C$5:$C$500,$A79,'LANÇAMENTOS DIÁRIOS'!$O$5:$O$500,"&lt;=127699",'LANÇAMENTOS DIÁRIOS'!$P$5:$P$500,"&gt;=127600")&gt;0,"X","")</f>
      </c>
      <c r="AI79" s="56" t="str">
        <f>IF(COUNTIFS('LANÇAMENTOS DIÁRIOS'!$G$5:$G$500,"H",'LANÇAMENTOS DIÁRIOS'!$C$5:$C$500,$A79,'LANÇAMENTOS DIÁRIOS'!$O$5:$O$500,"&lt;=127799",'LANÇAMENTOS DIÁRIOS'!$P$5:$P$500,"&gt;=127700")&gt;0,"X","")</f>
      </c>
      <c r="AJ79" s="56" t="str">
        <f>IF(COUNTIFS('LANÇAMENTOS DIÁRIOS'!$G$5:$G$500,"H",'LANÇAMENTOS DIÁRIOS'!$C$5:$C$500,$A79,'LANÇAMENTOS DIÁRIOS'!$O$5:$O$500,"&lt;=127899",'LANÇAMENTOS DIÁRIOS'!$P$5:$P$500,"&gt;=127800")&gt;0,"X","")</f>
      </c>
      <c r="AK79" s="56" t="str">
        <f>IF(COUNTIFS('LANÇAMENTOS DIÁRIOS'!$G$5:$G$500,"H",'LANÇAMENTOS DIÁRIOS'!$C$5:$C$500,$A79,'LANÇAMENTOS DIÁRIOS'!$O$5:$O$500,"&lt;=127999",'LANÇAMENTOS DIÁRIOS'!$P$5:$P$500,"&gt;=127900")&gt;0,"X","")</f>
      </c>
      <c r="AL79" s="56" t="str">
        <f>IF(COUNTIFS('LANÇAMENTOS DIÁRIOS'!$G$5:$G$500,"H",'LANÇAMENTOS DIÁRIOS'!$C$5:$C$500,$A79,'LANÇAMENTOS DIÁRIOS'!$O$5:$O$500,"&lt;=128099",'LANÇAMENTOS DIÁRIOS'!$P$5:$P$500,"&gt;=128000")&gt;0,"X","")</f>
      </c>
      <c r="AM79" s="56" t="str">
        <f>IF(COUNTIFS('LANÇAMENTOS DIÁRIOS'!$G$5:$G$500,"H",'LANÇAMENTOS DIÁRIOS'!$C$5:$C$500,$A79,'LANÇAMENTOS DIÁRIOS'!$O$5:$O$500,"&lt;=128199",'LANÇAMENTOS DIÁRIOS'!$P$5:$P$500,"&gt;=128100")&gt;0,"X","")</f>
      </c>
      <c r="AN79" s="56" t="str">
        <f>IF(COUNTIFS('LANÇAMENTOS DIÁRIOS'!$G$5:$G$500,"H",'LANÇAMENTOS DIÁRIOS'!$C$5:$C$500,$A79,'LANÇAMENTOS DIÁRIOS'!$O$5:$O$500,"&lt;=128299",'LANÇAMENTOS DIÁRIOS'!$P$5:$P$500,"&gt;=128200")&gt;0,"X","")</f>
      </c>
      <c r="AO79" s="56" t="str">
        <f>IF(COUNTIFS('LANÇAMENTOS DIÁRIOS'!$G$5:$G$500,"H",'LANÇAMENTOS DIÁRIOS'!$C$5:$C$500,$A79,'LANÇAMENTOS DIÁRIOS'!$O$5:$O$500,"&lt;=128399",'LANÇAMENTOS DIÁRIOS'!$P$5:$P$500,"&gt;=128300")&gt;0,"X","")</f>
      </c>
      <c r="AP79" s="56" t="str">
        <f>IF(COUNTIFS('LANÇAMENTOS DIÁRIOS'!$G$5:$G$500,"H",'LANÇAMENTOS DIÁRIOS'!$C$5:$C$500,$A79,'LANÇAMENTOS DIÁRIOS'!$O$5:$O$500,"&lt;=128499",'LANÇAMENTOS DIÁRIOS'!$P$5:$P$500,"&gt;=128400")&gt;0,"X","")</f>
      </c>
      <c r="AQ79" s="56" t="str">
        <f>IF(COUNTIFS('LANÇAMENTOS DIÁRIOS'!$G$5:$G$500,"H",'LANÇAMENTOS DIÁRIOS'!$C$5:$C$500,$A79,'LANÇAMENTOS DIÁRIOS'!$O$5:$O$500,"&lt;=128599",'LANÇAMENTOS DIÁRIOS'!$P$5:$P$500,"&gt;=128500")&gt;0,"X","")</f>
      </c>
      <c r="AR79" s="56" t="str">
        <f>IF(COUNTIFS('LANÇAMENTOS DIÁRIOS'!$G$5:$G$500,"H",'LANÇAMENTOS DIÁRIOS'!$C$5:$C$500,$A79,'LANÇAMENTOS DIÁRIOS'!$O$5:$O$500,"&lt;=128699",'LANÇAMENTOS DIÁRIOS'!$P$5:$P$500,"&gt;=128600")&gt;0,"X","")</f>
      </c>
      <c r="AS79" s="56" t="str">
        <f>IF(COUNTIFS('LANÇAMENTOS DIÁRIOS'!$G$5:$G$500,"H",'LANÇAMENTOS DIÁRIOS'!$C$5:$C$500,$A79,'LANÇAMENTOS DIÁRIOS'!$O$5:$O$500,"&lt;=128799",'LANÇAMENTOS DIÁRIOS'!$P$5:$P$500,"&gt;=128700")&gt;0,"X","")</f>
      </c>
      <c r="AT79" s="56" t="str">
        <f>IF(COUNTIFS('LANÇAMENTOS DIÁRIOS'!$G$5:$G$500,"H",'LANÇAMENTOS DIÁRIOS'!$C$5:$C$500,$A79,'LANÇAMENTOS DIÁRIOS'!$O$5:$O$500,"&lt;=128899",'LANÇAMENTOS DIÁRIOS'!$P$5:$P$500,"&gt;=128800")&gt;0,"X","")</f>
      </c>
      <c r="AU79" s="56" t="str">
        <f>IF(COUNTIFS('LANÇAMENTOS DIÁRIOS'!$G$5:$G$500,"H",'LANÇAMENTOS DIÁRIOS'!$C$5:$C$500,$A79,'LANÇAMENTOS DIÁRIOS'!$O$5:$O$500,"&lt;=128999",'LANÇAMENTOS DIÁRIOS'!$P$5:$P$500,"&gt;=128900")&gt;0,"X","")</f>
      </c>
      <c r="AV79" s="56" t="str">
        <f>IF(COUNTIFS('LANÇAMENTOS DIÁRIOS'!$G$5:$G$500,"H",'LANÇAMENTOS DIÁRIOS'!$C$5:$C$500,$A79,'LANÇAMENTOS DIÁRIOS'!$O$5:$O$500,"&lt;=129099",'LANÇAMENTOS DIÁRIOS'!$P$5:$P$500,"&gt;=129000")&gt;0,"X","")</f>
      </c>
      <c r="AW79" s="56" t="str">
        <f>IF(COUNTIFS('LANÇAMENTOS DIÁRIOS'!$G$5:$G$500,"H",'LANÇAMENTOS DIÁRIOS'!$C$5:$C$500,$A79,'LANÇAMENTOS DIÁRIOS'!$O$5:$O$500,"&lt;=129199",'LANÇAMENTOS DIÁRIOS'!$P$5:$P$500,"&gt;=129100")&gt;0,"X","")</f>
      </c>
      <c r="AX79" s="56" t="str">
        <f>IF(COUNTIFS('LANÇAMENTOS DIÁRIOS'!$G$5:$G$500,"H",'LANÇAMENTOS DIÁRIOS'!$C$5:$C$500,$A79,'LANÇAMENTOS DIÁRIOS'!$O$5:$O$500,"&lt;=129299",'LANÇAMENTOS DIÁRIOS'!$P$5:$P$500,"&gt;=129200")&gt;0,"X","")</f>
      </c>
      <c r="AY79" s="56" t="str">
        <f>IF(COUNTIFS('LANÇAMENTOS DIÁRIOS'!$G$5:$G$500,"H",'LANÇAMENTOS DIÁRIOS'!$C$5:$C$500,$A79,'LANÇAMENTOS DIÁRIOS'!$O$5:$O$500,"&lt;=129399",'LANÇAMENTOS DIÁRIOS'!$P$5:$P$500,"&gt;=129300")&gt;0,"X","")</f>
      </c>
      <c r="AZ79" s="56" t="str">
        <f>IF(COUNTIFS('LANÇAMENTOS DIÁRIOS'!$G$5:$G$500,"H",'LANÇAMENTOS DIÁRIOS'!$C$5:$C$500,$A79,'LANÇAMENTOS DIÁRIOS'!$O$5:$O$500,"&lt;=129400",'LANÇAMENTOS DIÁRIOS'!$P$5:$P$500,"&gt;=129400")&gt;0,"X","")</f>
      </c>
    </row>
    <row r="80" ht="19" customHeight="1">
      <c r="A80" s="68" t="str">
        <v>Construção da base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</row>
    <row r="81">
      <c r="A81" s="51" t="str">
        <v>Solo brita 30/70 cimento 4%</v>
      </c>
      <c r="B81" s="56" t="str">
        <f>IF(COUNTIFS('LANÇAMENTOS DIÁRIOS'!$G$5:$G$500,"H",'LANÇAMENTOS DIÁRIOS'!$C$5:$C$500,$A81,'LANÇAMENTOS DIÁRIOS'!$O$5:$O$500,"&lt;=124499",'LANÇAMENTOS DIÁRIOS'!$P$5:$P$500,"&gt;=124400")&gt;0,"X","")</f>
      </c>
      <c r="C81" s="56" t="str">
        <f>IF(COUNTIFS('LANÇAMENTOS DIÁRIOS'!$G$5:$G$500,"H",'LANÇAMENTOS DIÁRIOS'!$C$5:$C$500,$A81,'LANÇAMENTOS DIÁRIOS'!$O$5:$O$500,"&lt;=124599",'LANÇAMENTOS DIÁRIOS'!$P$5:$P$500,"&gt;=124500")&gt;0,"X","")</f>
      </c>
      <c r="D81" s="56" t="str">
        <f>IF(COUNTIFS('LANÇAMENTOS DIÁRIOS'!$G$5:$G$500,"H",'LANÇAMENTOS DIÁRIOS'!$C$5:$C$500,$A81,'LANÇAMENTOS DIÁRIOS'!$O$5:$O$500,"&lt;=124699",'LANÇAMENTOS DIÁRIOS'!$P$5:$P$500,"&gt;=124600")&gt;0,"X","")</f>
      </c>
      <c r="E81" s="56" t="str">
        <f>IF(COUNTIFS('LANÇAMENTOS DIÁRIOS'!$G$5:$G$500,"H",'LANÇAMENTOS DIÁRIOS'!$C$5:$C$500,$A81,'LANÇAMENTOS DIÁRIOS'!$O$5:$O$500,"&lt;=124799",'LANÇAMENTOS DIÁRIOS'!$P$5:$P$500,"&gt;=124700")&gt;0,"X","")</f>
      </c>
      <c r="F81" s="56" t="str">
        <f>IF(COUNTIFS('LANÇAMENTOS DIÁRIOS'!$G$5:$G$500,"H",'LANÇAMENTOS DIÁRIOS'!$C$5:$C$500,$A81,'LANÇAMENTOS DIÁRIOS'!$O$5:$O$500,"&lt;=124899",'LANÇAMENTOS DIÁRIOS'!$P$5:$P$500,"&gt;=124800")&gt;0,"X","")</f>
      </c>
      <c r="G81" s="56" t="str">
        <f>IF(COUNTIFS('LANÇAMENTOS DIÁRIOS'!$G$5:$G$500,"H",'LANÇAMENTOS DIÁRIOS'!$C$5:$C$500,$A81,'LANÇAMENTOS DIÁRIOS'!$O$5:$O$500,"&lt;=124999",'LANÇAMENTOS DIÁRIOS'!$P$5:$P$500,"&gt;=124900")&gt;0,"X","")</f>
      </c>
      <c r="H81" s="56" t="str">
        <f>IF(COUNTIFS('LANÇAMENTOS DIÁRIOS'!$G$5:$G$500,"H",'LANÇAMENTOS DIÁRIOS'!$C$5:$C$500,$A81,'LANÇAMENTOS DIÁRIOS'!$O$5:$O$500,"&lt;=125099",'LANÇAMENTOS DIÁRIOS'!$P$5:$P$500,"&gt;=125000")&gt;0,"X","")</f>
      </c>
      <c r="I81" s="56" t="str">
        <f>IF(COUNTIFS('LANÇAMENTOS DIÁRIOS'!$G$5:$G$500,"H",'LANÇAMENTOS DIÁRIOS'!$C$5:$C$500,$A81,'LANÇAMENTOS DIÁRIOS'!$O$5:$O$500,"&lt;=125199",'LANÇAMENTOS DIÁRIOS'!$P$5:$P$500,"&gt;=125100")&gt;0,"X","")</f>
      </c>
      <c r="J81" s="56" t="str">
        <f>IF(COUNTIFS('LANÇAMENTOS DIÁRIOS'!$G$5:$G$500,"H",'LANÇAMENTOS DIÁRIOS'!$C$5:$C$500,$A81,'LANÇAMENTOS DIÁRIOS'!$O$5:$O$500,"&lt;=125299",'LANÇAMENTOS DIÁRIOS'!$P$5:$P$500,"&gt;=125200")&gt;0,"X","")</f>
      </c>
      <c r="K81" s="56" t="str">
        <f>IF(COUNTIFS('LANÇAMENTOS DIÁRIOS'!$G$5:$G$500,"H",'LANÇAMENTOS DIÁRIOS'!$C$5:$C$500,$A81,'LANÇAMENTOS DIÁRIOS'!$O$5:$O$500,"&lt;=125399",'LANÇAMENTOS DIÁRIOS'!$P$5:$P$500,"&gt;=125300")&gt;0,"X","")</f>
      </c>
      <c r="L81" s="56" t="str">
        <f>IF(COUNTIFS('LANÇAMENTOS DIÁRIOS'!$G$5:$G$500,"H",'LANÇAMENTOS DIÁRIOS'!$C$5:$C$500,$A81,'LANÇAMENTOS DIÁRIOS'!$O$5:$O$500,"&lt;=125499",'LANÇAMENTOS DIÁRIOS'!$P$5:$P$500,"&gt;=125400")&gt;0,"X","")</f>
      </c>
      <c r="M81" s="56" t="str">
        <f>IF(COUNTIFS('LANÇAMENTOS DIÁRIOS'!$G$5:$G$500,"H",'LANÇAMENTOS DIÁRIOS'!$C$5:$C$500,$A81,'LANÇAMENTOS DIÁRIOS'!$O$5:$O$500,"&lt;=125599",'LANÇAMENTOS DIÁRIOS'!$P$5:$P$500,"&gt;=125500")&gt;0,"X","")</f>
      </c>
      <c r="N81" s="56" t="str">
        <f>IF(COUNTIFS('LANÇAMENTOS DIÁRIOS'!$G$5:$G$500,"H",'LANÇAMENTOS DIÁRIOS'!$C$5:$C$500,$A81,'LANÇAMENTOS DIÁRIOS'!$O$5:$O$500,"&lt;=125699",'LANÇAMENTOS DIÁRIOS'!$P$5:$P$500,"&gt;=125600")&gt;0,"X","")</f>
      </c>
      <c r="O81" s="56" t="str">
        <f>IF(COUNTIFS('LANÇAMENTOS DIÁRIOS'!$G$5:$G$500,"H",'LANÇAMENTOS DIÁRIOS'!$C$5:$C$500,$A81,'LANÇAMENTOS DIÁRIOS'!$O$5:$O$500,"&lt;=125799",'LANÇAMENTOS DIÁRIOS'!$P$5:$P$500,"&gt;=125700")&gt;0,"X","")</f>
      </c>
      <c r="P81" s="56" t="str">
        <f>IF(COUNTIFS('LANÇAMENTOS DIÁRIOS'!$G$5:$G$500,"H",'LANÇAMENTOS DIÁRIOS'!$C$5:$C$500,$A81,'LANÇAMENTOS DIÁRIOS'!$O$5:$O$500,"&lt;=125899",'LANÇAMENTOS DIÁRIOS'!$P$5:$P$500,"&gt;=125800")&gt;0,"X","")</f>
      </c>
      <c r="Q81" s="56" t="str">
        <f>IF(COUNTIFS('LANÇAMENTOS DIÁRIOS'!$G$5:$G$500,"H",'LANÇAMENTOS DIÁRIOS'!$C$5:$C$500,$A81,'LANÇAMENTOS DIÁRIOS'!$O$5:$O$500,"&lt;=125999",'LANÇAMENTOS DIÁRIOS'!$P$5:$P$500,"&gt;=125900")&gt;0,"X","")</f>
      </c>
      <c r="R81" s="56" t="str">
        <f>IF(COUNTIFS('LANÇAMENTOS DIÁRIOS'!$G$5:$G$500,"H",'LANÇAMENTOS DIÁRIOS'!$C$5:$C$500,$A81,'LANÇAMENTOS DIÁRIOS'!$O$5:$O$500,"&lt;=126099",'LANÇAMENTOS DIÁRIOS'!$P$5:$P$500,"&gt;=126000")&gt;0,"X","")</f>
      </c>
      <c r="S81" s="56" t="str">
        <f>IF(COUNTIFS('LANÇAMENTOS DIÁRIOS'!$G$5:$G$500,"H",'LANÇAMENTOS DIÁRIOS'!$C$5:$C$500,$A81,'LANÇAMENTOS DIÁRIOS'!$O$5:$O$500,"&lt;=126199",'LANÇAMENTOS DIÁRIOS'!$P$5:$P$500,"&gt;=126100")&gt;0,"X","")</f>
      </c>
      <c r="T81" s="56" t="str">
        <f>IF(COUNTIFS('LANÇAMENTOS DIÁRIOS'!$G$5:$G$500,"H",'LANÇAMENTOS DIÁRIOS'!$C$5:$C$500,$A81,'LANÇAMENTOS DIÁRIOS'!$O$5:$O$500,"&lt;=126299",'LANÇAMENTOS DIÁRIOS'!$P$5:$P$500,"&gt;=126200")&gt;0,"X","")</f>
      </c>
      <c r="U81" s="56" t="str">
        <f>IF(COUNTIFS('LANÇAMENTOS DIÁRIOS'!$G$5:$G$500,"H",'LANÇAMENTOS DIÁRIOS'!$C$5:$C$500,$A81,'LANÇAMENTOS DIÁRIOS'!$O$5:$O$500,"&lt;=126399",'LANÇAMENTOS DIÁRIOS'!$P$5:$P$500,"&gt;=126300")&gt;0,"X","")</f>
      </c>
      <c r="V81" s="56" t="str">
        <f>IF(COUNTIFS('LANÇAMENTOS DIÁRIOS'!$G$5:$G$500,"H",'LANÇAMENTOS DIÁRIOS'!$C$5:$C$500,$A81,'LANÇAMENTOS DIÁRIOS'!$O$5:$O$500,"&lt;=126499",'LANÇAMENTOS DIÁRIOS'!$P$5:$P$500,"&gt;=126400")&gt;0,"X","")</f>
      </c>
      <c r="W81" s="56" t="str">
        <f>IF(COUNTIFS('LANÇAMENTOS DIÁRIOS'!$G$5:$G$500,"H",'LANÇAMENTOS DIÁRIOS'!$C$5:$C$500,$A81,'LANÇAMENTOS DIÁRIOS'!$O$5:$O$500,"&lt;=126599",'LANÇAMENTOS DIÁRIOS'!$P$5:$P$500,"&gt;=126500")&gt;0,"X","")</f>
      </c>
      <c r="X81" s="56" t="str">
        <f>IF(COUNTIFS('LANÇAMENTOS DIÁRIOS'!$G$5:$G$500,"H",'LANÇAMENTOS DIÁRIOS'!$C$5:$C$500,$A81,'LANÇAMENTOS DIÁRIOS'!$O$5:$O$500,"&lt;=126699",'LANÇAMENTOS DIÁRIOS'!$P$5:$P$500,"&gt;=126600")&gt;0,"X","")</f>
      </c>
      <c r="Y81" s="56" t="str">
        <f>IF(COUNTIFS('LANÇAMENTOS DIÁRIOS'!$G$5:$G$500,"H",'LANÇAMENTOS DIÁRIOS'!$C$5:$C$500,$A81,'LANÇAMENTOS DIÁRIOS'!$O$5:$O$500,"&lt;=126799",'LANÇAMENTOS DIÁRIOS'!$P$5:$P$500,"&gt;=126700")&gt;0,"X","")</f>
      </c>
      <c r="Z81" s="56" t="str">
        <f>IF(COUNTIFS('LANÇAMENTOS DIÁRIOS'!$G$5:$G$500,"H",'LANÇAMENTOS DIÁRIOS'!$C$5:$C$500,$A81,'LANÇAMENTOS DIÁRIOS'!$O$5:$O$500,"&lt;=126899",'LANÇAMENTOS DIÁRIOS'!$P$5:$P$500,"&gt;=126800")&gt;0,"X","")</f>
      </c>
      <c r="AA81" s="56" t="str">
        <f>IF(COUNTIFS('LANÇAMENTOS DIÁRIOS'!$G$5:$G$500,"H",'LANÇAMENTOS DIÁRIOS'!$C$5:$C$500,$A81,'LANÇAMENTOS DIÁRIOS'!$O$5:$O$500,"&lt;=126999",'LANÇAMENTOS DIÁRIOS'!$P$5:$P$500,"&gt;=126900")&gt;0,"X","")</f>
      </c>
      <c r="AB81" s="56" t="str">
        <f>IF(COUNTIFS('LANÇAMENTOS DIÁRIOS'!$G$5:$G$500,"H",'LANÇAMENTOS DIÁRIOS'!$C$5:$C$500,$A81,'LANÇAMENTOS DIÁRIOS'!$O$5:$O$500,"&lt;=127099",'LANÇAMENTOS DIÁRIOS'!$P$5:$P$500,"&gt;=127000")&gt;0,"X","")</f>
      </c>
      <c r="AC81" s="56" t="str">
        <f>IF(COUNTIFS('LANÇAMENTOS DIÁRIOS'!$G$5:$G$500,"H",'LANÇAMENTOS DIÁRIOS'!$C$5:$C$500,$A81,'LANÇAMENTOS DIÁRIOS'!$O$5:$O$500,"&lt;=127199",'LANÇAMENTOS DIÁRIOS'!$P$5:$P$500,"&gt;=127100")&gt;0,"X","")</f>
      </c>
      <c r="AD81" s="56" t="str">
        <f>IF(COUNTIFS('LANÇAMENTOS DIÁRIOS'!$G$5:$G$500,"H",'LANÇAMENTOS DIÁRIOS'!$C$5:$C$500,$A81,'LANÇAMENTOS DIÁRIOS'!$O$5:$O$500,"&lt;=127299",'LANÇAMENTOS DIÁRIOS'!$P$5:$P$500,"&gt;=127200")&gt;0,"X","")</f>
      </c>
      <c r="AE81" s="56" t="str">
        <f>IF(COUNTIFS('LANÇAMENTOS DIÁRIOS'!$G$5:$G$500,"H",'LANÇAMENTOS DIÁRIOS'!$C$5:$C$500,$A81,'LANÇAMENTOS DIÁRIOS'!$O$5:$O$500,"&lt;=127399",'LANÇAMENTOS DIÁRIOS'!$P$5:$P$500,"&gt;=127300")&gt;0,"X","")</f>
      </c>
      <c r="AF81" s="56" t="str">
        <f>IF(COUNTIFS('LANÇAMENTOS DIÁRIOS'!$G$5:$G$500,"H",'LANÇAMENTOS DIÁRIOS'!$C$5:$C$500,$A81,'LANÇAMENTOS DIÁRIOS'!$O$5:$O$500,"&lt;=127499",'LANÇAMENTOS DIÁRIOS'!$P$5:$P$500,"&gt;=127400")&gt;0,"X","")</f>
      </c>
      <c r="AG81" s="56" t="str">
        <f>IF(COUNTIFS('LANÇAMENTOS DIÁRIOS'!$G$5:$G$500,"H",'LANÇAMENTOS DIÁRIOS'!$C$5:$C$500,$A81,'LANÇAMENTOS DIÁRIOS'!$O$5:$O$500,"&lt;=127599",'LANÇAMENTOS DIÁRIOS'!$P$5:$P$500,"&gt;=127500")&gt;0,"X","")</f>
      </c>
      <c r="AH81" s="56" t="str">
        <f>IF(COUNTIFS('LANÇAMENTOS DIÁRIOS'!$G$5:$G$500,"H",'LANÇAMENTOS DIÁRIOS'!$C$5:$C$500,$A81,'LANÇAMENTOS DIÁRIOS'!$O$5:$O$500,"&lt;=127699",'LANÇAMENTOS DIÁRIOS'!$P$5:$P$500,"&gt;=127600")&gt;0,"X","")</f>
      </c>
      <c r="AI81" s="56" t="str">
        <f>IF(COUNTIFS('LANÇAMENTOS DIÁRIOS'!$G$5:$G$500,"H",'LANÇAMENTOS DIÁRIOS'!$C$5:$C$500,$A81,'LANÇAMENTOS DIÁRIOS'!$O$5:$O$500,"&lt;=127799",'LANÇAMENTOS DIÁRIOS'!$P$5:$P$500,"&gt;=127700")&gt;0,"X","")</f>
      </c>
      <c r="AJ81" s="56" t="str">
        <f>IF(COUNTIFS('LANÇAMENTOS DIÁRIOS'!$G$5:$G$500,"H",'LANÇAMENTOS DIÁRIOS'!$C$5:$C$500,$A81,'LANÇAMENTOS DIÁRIOS'!$O$5:$O$500,"&lt;=127899",'LANÇAMENTOS DIÁRIOS'!$P$5:$P$500,"&gt;=127800")&gt;0,"X","")</f>
      </c>
      <c r="AK81" s="56" t="str">
        <f>IF(COUNTIFS('LANÇAMENTOS DIÁRIOS'!$G$5:$G$500,"H",'LANÇAMENTOS DIÁRIOS'!$C$5:$C$500,$A81,'LANÇAMENTOS DIÁRIOS'!$O$5:$O$500,"&lt;=127999",'LANÇAMENTOS DIÁRIOS'!$P$5:$P$500,"&gt;=127900")&gt;0,"X","")</f>
      </c>
      <c r="AL81" s="56" t="str">
        <f>IF(COUNTIFS('LANÇAMENTOS DIÁRIOS'!$G$5:$G$500,"H",'LANÇAMENTOS DIÁRIOS'!$C$5:$C$500,$A81,'LANÇAMENTOS DIÁRIOS'!$O$5:$O$500,"&lt;=128099",'LANÇAMENTOS DIÁRIOS'!$P$5:$P$500,"&gt;=128000")&gt;0,"X","")</f>
      </c>
      <c r="AM81" s="56" t="str">
        <f>IF(COUNTIFS('LANÇAMENTOS DIÁRIOS'!$G$5:$G$500,"H",'LANÇAMENTOS DIÁRIOS'!$C$5:$C$500,$A81,'LANÇAMENTOS DIÁRIOS'!$O$5:$O$500,"&lt;=128199",'LANÇAMENTOS DIÁRIOS'!$P$5:$P$500,"&gt;=128100")&gt;0,"X","")</f>
      </c>
      <c r="AN81" s="56" t="str">
        <f>IF(COUNTIFS('LANÇAMENTOS DIÁRIOS'!$G$5:$G$500,"H",'LANÇAMENTOS DIÁRIOS'!$C$5:$C$500,$A81,'LANÇAMENTOS DIÁRIOS'!$O$5:$O$500,"&lt;=128299",'LANÇAMENTOS DIÁRIOS'!$P$5:$P$500,"&gt;=128200")&gt;0,"X","")</f>
      </c>
      <c r="AO81" s="56" t="str">
        <f>IF(COUNTIFS('LANÇAMENTOS DIÁRIOS'!$G$5:$G$500,"H",'LANÇAMENTOS DIÁRIOS'!$C$5:$C$500,$A81,'LANÇAMENTOS DIÁRIOS'!$O$5:$O$500,"&lt;=128399",'LANÇAMENTOS DIÁRIOS'!$P$5:$P$500,"&gt;=128300")&gt;0,"X","")</f>
      </c>
      <c r="AP81" s="56" t="str">
        <f>IF(COUNTIFS('LANÇAMENTOS DIÁRIOS'!$G$5:$G$500,"H",'LANÇAMENTOS DIÁRIOS'!$C$5:$C$500,$A81,'LANÇAMENTOS DIÁRIOS'!$O$5:$O$500,"&lt;=128499",'LANÇAMENTOS DIÁRIOS'!$P$5:$P$500,"&gt;=128400")&gt;0,"X","")</f>
      </c>
      <c r="AQ81" s="56" t="str">
        <f>IF(COUNTIFS('LANÇAMENTOS DIÁRIOS'!$G$5:$G$500,"H",'LANÇAMENTOS DIÁRIOS'!$C$5:$C$500,$A81,'LANÇAMENTOS DIÁRIOS'!$O$5:$O$500,"&lt;=128599",'LANÇAMENTOS DIÁRIOS'!$P$5:$P$500,"&gt;=128500")&gt;0,"X","")</f>
      </c>
      <c r="AR81" s="56" t="str">
        <f>IF(COUNTIFS('LANÇAMENTOS DIÁRIOS'!$G$5:$G$500,"H",'LANÇAMENTOS DIÁRIOS'!$C$5:$C$500,$A81,'LANÇAMENTOS DIÁRIOS'!$O$5:$O$500,"&lt;=128699",'LANÇAMENTOS DIÁRIOS'!$P$5:$P$500,"&gt;=128600")&gt;0,"X","")</f>
      </c>
      <c r="AS81" s="56" t="str">
        <f>IF(COUNTIFS('LANÇAMENTOS DIÁRIOS'!$G$5:$G$500,"H",'LANÇAMENTOS DIÁRIOS'!$C$5:$C$500,$A81,'LANÇAMENTOS DIÁRIOS'!$O$5:$O$500,"&lt;=128799",'LANÇAMENTOS DIÁRIOS'!$P$5:$P$500,"&gt;=128700")&gt;0,"X","")</f>
      </c>
      <c r="AT81" s="56" t="str">
        <f>IF(COUNTIFS('LANÇAMENTOS DIÁRIOS'!$G$5:$G$500,"H",'LANÇAMENTOS DIÁRIOS'!$C$5:$C$500,$A81,'LANÇAMENTOS DIÁRIOS'!$O$5:$O$500,"&lt;=128899",'LANÇAMENTOS DIÁRIOS'!$P$5:$P$500,"&gt;=128800")&gt;0,"X","")</f>
      </c>
      <c r="AU81" s="56" t="str">
        <f>IF(COUNTIFS('LANÇAMENTOS DIÁRIOS'!$G$5:$G$500,"H",'LANÇAMENTOS DIÁRIOS'!$C$5:$C$500,$A81,'LANÇAMENTOS DIÁRIOS'!$O$5:$O$500,"&lt;=128999",'LANÇAMENTOS DIÁRIOS'!$P$5:$P$500,"&gt;=128900")&gt;0,"X","")</f>
      </c>
      <c r="AV81" s="56" t="str">
        <f>IF(COUNTIFS('LANÇAMENTOS DIÁRIOS'!$G$5:$G$500,"H",'LANÇAMENTOS DIÁRIOS'!$C$5:$C$500,$A81,'LANÇAMENTOS DIÁRIOS'!$O$5:$O$500,"&lt;=129099",'LANÇAMENTOS DIÁRIOS'!$P$5:$P$500,"&gt;=129000")&gt;0,"X","")</f>
      </c>
      <c r="AW81" s="56" t="str">
        <f>IF(COUNTIFS('LANÇAMENTOS DIÁRIOS'!$G$5:$G$500,"H",'LANÇAMENTOS DIÁRIOS'!$C$5:$C$500,$A81,'LANÇAMENTOS DIÁRIOS'!$O$5:$O$500,"&lt;=129199",'LANÇAMENTOS DIÁRIOS'!$P$5:$P$500,"&gt;=129100")&gt;0,"X","")</f>
      </c>
      <c r="AX81" s="56" t="str">
        <f>IF(COUNTIFS('LANÇAMENTOS DIÁRIOS'!$G$5:$G$500,"H",'LANÇAMENTOS DIÁRIOS'!$C$5:$C$500,$A81,'LANÇAMENTOS DIÁRIOS'!$O$5:$O$500,"&lt;=129299",'LANÇAMENTOS DIÁRIOS'!$P$5:$P$500,"&gt;=129200")&gt;0,"X","")</f>
      </c>
      <c r="AY81" s="56" t="str">
        <f>IF(COUNTIFS('LANÇAMENTOS DIÁRIOS'!$G$5:$G$500,"H",'LANÇAMENTOS DIÁRIOS'!$C$5:$C$500,$A81,'LANÇAMENTOS DIÁRIOS'!$O$5:$O$500,"&lt;=129399",'LANÇAMENTOS DIÁRIOS'!$P$5:$P$500,"&gt;=129300")&gt;0,"X","")</f>
      </c>
      <c r="AZ81" s="56" t="str">
        <f>IF(COUNTIFS('LANÇAMENTOS DIÁRIOS'!$G$5:$G$500,"H",'LANÇAMENTOS DIÁRIOS'!$C$5:$C$500,$A81,'LANÇAMENTOS DIÁRIOS'!$O$5:$O$500,"&lt;=129400",'LANÇAMENTOS DIÁRIOS'!$P$5:$P$500,"&gt;=129400")&gt;0,"X","")</f>
      </c>
    </row>
    <row r="82">
      <c r="A82" s="51" t="str">
        <v>Solo brita 30/70</v>
      </c>
      <c r="B82" s="56" t="str">
        <f>IF(COUNTIFS('LANÇAMENTOS DIÁRIOS'!$G$5:$G$500,"H",'LANÇAMENTOS DIÁRIOS'!$C$5:$C$500,$A82,'LANÇAMENTOS DIÁRIOS'!$O$5:$O$500,"&lt;=124499",'LANÇAMENTOS DIÁRIOS'!$P$5:$P$500,"&gt;=124400")&gt;0,"X","")</f>
      </c>
      <c r="C82" s="56" t="str">
        <f>IF(COUNTIFS('LANÇAMENTOS DIÁRIOS'!$G$5:$G$500,"H",'LANÇAMENTOS DIÁRIOS'!$C$5:$C$500,$A82,'LANÇAMENTOS DIÁRIOS'!$O$5:$O$500,"&lt;=124599",'LANÇAMENTOS DIÁRIOS'!$P$5:$P$500,"&gt;=124500")&gt;0,"X","")</f>
      </c>
      <c r="D82" s="56" t="str">
        <f>IF(COUNTIFS('LANÇAMENTOS DIÁRIOS'!$G$5:$G$500,"H",'LANÇAMENTOS DIÁRIOS'!$C$5:$C$500,$A82,'LANÇAMENTOS DIÁRIOS'!$O$5:$O$500,"&lt;=124699",'LANÇAMENTOS DIÁRIOS'!$P$5:$P$500,"&gt;=124600")&gt;0,"X","")</f>
      </c>
      <c r="E82" s="56" t="str">
        <f>IF(COUNTIFS('LANÇAMENTOS DIÁRIOS'!$G$5:$G$500,"H",'LANÇAMENTOS DIÁRIOS'!$C$5:$C$500,$A82,'LANÇAMENTOS DIÁRIOS'!$O$5:$O$500,"&lt;=124799",'LANÇAMENTOS DIÁRIOS'!$P$5:$P$500,"&gt;=124700")&gt;0,"X","")</f>
      </c>
      <c r="F82" s="56" t="str">
        <f>IF(COUNTIFS('LANÇAMENTOS DIÁRIOS'!$G$5:$G$500,"H",'LANÇAMENTOS DIÁRIOS'!$C$5:$C$500,$A82,'LANÇAMENTOS DIÁRIOS'!$O$5:$O$500,"&lt;=124899",'LANÇAMENTOS DIÁRIOS'!$P$5:$P$500,"&gt;=124800")&gt;0,"X","")</f>
      </c>
      <c r="G82" s="56" t="str">
        <f>IF(COUNTIFS('LANÇAMENTOS DIÁRIOS'!$G$5:$G$500,"H",'LANÇAMENTOS DIÁRIOS'!$C$5:$C$500,$A82,'LANÇAMENTOS DIÁRIOS'!$O$5:$O$500,"&lt;=124999",'LANÇAMENTOS DIÁRIOS'!$P$5:$P$500,"&gt;=124900")&gt;0,"X","")</f>
      </c>
      <c r="H82" s="56" t="str">
        <f>IF(COUNTIFS('LANÇAMENTOS DIÁRIOS'!$G$5:$G$500,"H",'LANÇAMENTOS DIÁRIOS'!$C$5:$C$500,$A82,'LANÇAMENTOS DIÁRIOS'!$O$5:$O$500,"&lt;=125099",'LANÇAMENTOS DIÁRIOS'!$P$5:$P$500,"&gt;=125000")&gt;0,"X","")</f>
      </c>
      <c r="I82" s="56" t="str">
        <f>IF(COUNTIFS('LANÇAMENTOS DIÁRIOS'!$G$5:$G$500,"H",'LANÇAMENTOS DIÁRIOS'!$C$5:$C$500,$A82,'LANÇAMENTOS DIÁRIOS'!$O$5:$O$500,"&lt;=125199",'LANÇAMENTOS DIÁRIOS'!$P$5:$P$500,"&gt;=125100")&gt;0,"X","")</f>
      </c>
      <c r="J82" s="56" t="str">
        <f>IF(COUNTIFS('LANÇAMENTOS DIÁRIOS'!$G$5:$G$500,"H",'LANÇAMENTOS DIÁRIOS'!$C$5:$C$500,$A82,'LANÇAMENTOS DIÁRIOS'!$O$5:$O$500,"&lt;=125299",'LANÇAMENTOS DIÁRIOS'!$P$5:$P$500,"&gt;=125200")&gt;0,"X","")</f>
      </c>
      <c r="K82" s="56" t="str">
        <f>IF(COUNTIFS('LANÇAMENTOS DIÁRIOS'!$G$5:$G$500,"H",'LANÇAMENTOS DIÁRIOS'!$C$5:$C$500,$A82,'LANÇAMENTOS DIÁRIOS'!$O$5:$O$500,"&lt;=125399",'LANÇAMENTOS DIÁRIOS'!$P$5:$P$500,"&gt;=125300")&gt;0,"X","")</f>
      </c>
      <c r="L82" s="56" t="str">
        <f>IF(COUNTIFS('LANÇAMENTOS DIÁRIOS'!$G$5:$G$500,"H",'LANÇAMENTOS DIÁRIOS'!$C$5:$C$500,$A82,'LANÇAMENTOS DIÁRIOS'!$O$5:$O$500,"&lt;=125499",'LANÇAMENTOS DIÁRIOS'!$P$5:$P$500,"&gt;=125400")&gt;0,"X","")</f>
      </c>
      <c r="M82" s="56" t="str">
        <f>IF(COUNTIFS('LANÇAMENTOS DIÁRIOS'!$G$5:$G$500,"H",'LANÇAMENTOS DIÁRIOS'!$C$5:$C$500,$A82,'LANÇAMENTOS DIÁRIOS'!$O$5:$O$500,"&lt;=125599",'LANÇAMENTOS DIÁRIOS'!$P$5:$P$500,"&gt;=125500")&gt;0,"X","")</f>
      </c>
      <c r="N82" s="56" t="str">
        <f>IF(COUNTIFS('LANÇAMENTOS DIÁRIOS'!$G$5:$G$500,"H",'LANÇAMENTOS DIÁRIOS'!$C$5:$C$500,$A82,'LANÇAMENTOS DIÁRIOS'!$O$5:$O$500,"&lt;=125699",'LANÇAMENTOS DIÁRIOS'!$P$5:$P$500,"&gt;=125600")&gt;0,"X","")</f>
      </c>
      <c r="O82" s="56" t="str">
        <f>IF(COUNTIFS('LANÇAMENTOS DIÁRIOS'!$G$5:$G$500,"H",'LANÇAMENTOS DIÁRIOS'!$C$5:$C$500,$A82,'LANÇAMENTOS DIÁRIOS'!$O$5:$O$500,"&lt;=125799",'LANÇAMENTOS DIÁRIOS'!$P$5:$P$500,"&gt;=125700")&gt;0,"X","")</f>
      </c>
      <c r="P82" s="56" t="str">
        <f>IF(COUNTIFS('LANÇAMENTOS DIÁRIOS'!$G$5:$G$500,"H",'LANÇAMENTOS DIÁRIOS'!$C$5:$C$500,$A82,'LANÇAMENTOS DIÁRIOS'!$O$5:$O$500,"&lt;=125899",'LANÇAMENTOS DIÁRIOS'!$P$5:$P$500,"&gt;=125800")&gt;0,"X","")</f>
      </c>
      <c r="Q82" s="56" t="str">
        <f>IF(COUNTIFS('LANÇAMENTOS DIÁRIOS'!$G$5:$G$500,"H",'LANÇAMENTOS DIÁRIOS'!$C$5:$C$500,$A82,'LANÇAMENTOS DIÁRIOS'!$O$5:$O$500,"&lt;=125999",'LANÇAMENTOS DIÁRIOS'!$P$5:$P$500,"&gt;=125900")&gt;0,"X","")</f>
      </c>
      <c r="R82" s="56" t="str">
        <f>IF(COUNTIFS('LANÇAMENTOS DIÁRIOS'!$G$5:$G$500,"H",'LANÇAMENTOS DIÁRIOS'!$C$5:$C$500,$A82,'LANÇAMENTOS DIÁRIOS'!$O$5:$O$500,"&lt;=126099",'LANÇAMENTOS DIÁRIOS'!$P$5:$P$500,"&gt;=126000")&gt;0,"X","")</f>
      </c>
      <c r="S82" s="56" t="str">
        <f>IF(COUNTIFS('LANÇAMENTOS DIÁRIOS'!$G$5:$G$500,"H",'LANÇAMENTOS DIÁRIOS'!$C$5:$C$500,$A82,'LANÇAMENTOS DIÁRIOS'!$O$5:$O$500,"&lt;=126199",'LANÇAMENTOS DIÁRIOS'!$P$5:$P$500,"&gt;=126100")&gt;0,"X","")</f>
      </c>
      <c r="T82" s="56" t="str">
        <f>IF(COUNTIFS('LANÇAMENTOS DIÁRIOS'!$G$5:$G$500,"H",'LANÇAMENTOS DIÁRIOS'!$C$5:$C$500,$A82,'LANÇAMENTOS DIÁRIOS'!$O$5:$O$500,"&lt;=126299",'LANÇAMENTOS DIÁRIOS'!$P$5:$P$500,"&gt;=126200")&gt;0,"X","")</f>
      </c>
      <c r="U82" s="56" t="str">
        <f>IF(COUNTIFS('LANÇAMENTOS DIÁRIOS'!$G$5:$G$500,"H",'LANÇAMENTOS DIÁRIOS'!$C$5:$C$500,$A82,'LANÇAMENTOS DIÁRIOS'!$O$5:$O$500,"&lt;=126399",'LANÇAMENTOS DIÁRIOS'!$P$5:$P$500,"&gt;=126300")&gt;0,"X","")</f>
      </c>
      <c r="V82" s="56" t="str">
        <f>IF(COUNTIFS('LANÇAMENTOS DIÁRIOS'!$G$5:$G$500,"H",'LANÇAMENTOS DIÁRIOS'!$C$5:$C$500,$A82,'LANÇAMENTOS DIÁRIOS'!$O$5:$O$500,"&lt;=126499",'LANÇAMENTOS DIÁRIOS'!$P$5:$P$500,"&gt;=126400")&gt;0,"X","")</f>
      </c>
      <c r="W82" s="56" t="str">
        <f>IF(COUNTIFS('LANÇAMENTOS DIÁRIOS'!$G$5:$G$500,"H",'LANÇAMENTOS DIÁRIOS'!$C$5:$C$500,$A82,'LANÇAMENTOS DIÁRIOS'!$O$5:$O$500,"&lt;=126599",'LANÇAMENTOS DIÁRIOS'!$P$5:$P$500,"&gt;=126500")&gt;0,"X","")</f>
      </c>
      <c r="X82" s="56" t="str">
        <f>IF(COUNTIFS('LANÇAMENTOS DIÁRIOS'!$G$5:$G$500,"H",'LANÇAMENTOS DIÁRIOS'!$C$5:$C$500,$A82,'LANÇAMENTOS DIÁRIOS'!$O$5:$O$500,"&lt;=126699",'LANÇAMENTOS DIÁRIOS'!$P$5:$P$500,"&gt;=126600")&gt;0,"X","")</f>
      </c>
      <c r="Y82" s="56" t="str">
        <f>IF(COUNTIFS('LANÇAMENTOS DIÁRIOS'!$G$5:$G$500,"H",'LANÇAMENTOS DIÁRIOS'!$C$5:$C$500,$A82,'LANÇAMENTOS DIÁRIOS'!$O$5:$O$500,"&lt;=126799",'LANÇAMENTOS DIÁRIOS'!$P$5:$P$500,"&gt;=126700")&gt;0,"X","")</f>
      </c>
      <c r="Z82" s="56" t="str">
        <f>IF(COUNTIFS('LANÇAMENTOS DIÁRIOS'!$G$5:$G$500,"H",'LANÇAMENTOS DIÁRIOS'!$C$5:$C$500,$A82,'LANÇAMENTOS DIÁRIOS'!$O$5:$O$500,"&lt;=126899",'LANÇAMENTOS DIÁRIOS'!$P$5:$P$500,"&gt;=126800")&gt;0,"X","")</f>
      </c>
      <c r="AA82" s="56" t="str">
        <f>IF(COUNTIFS('LANÇAMENTOS DIÁRIOS'!$G$5:$G$500,"H",'LANÇAMENTOS DIÁRIOS'!$C$5:$C$500,$A82,'LANÇAMENTOS DIÁRIOS'!$O$5:$O$500,"&lt;=126999",'LANÇAMENTOS DIÁRIOS'!$P$5:$P$500,"&gt;=126900")&gt;0,"X","")</f>
      </c>
      <c r="AB82" s="56" t="str">
        <f>IF(COUNTIFS('LANÇAMENTOS DIÁRIOS'!$G$5:$G$500,"H",'LANÇAMENTOS DIÁRIOS'!$C$5:$C$500,$A82,'LANÇAMENTOS DIÁRIOS'!$O$5:$O$500,"&lt;=127099",'LANÇAMENTOS DIÁRIOS'!$P$5:$P$500,"&gt;=127000")&gt;0,"X","")</f>
      </c>
      <c r="AC82" s="56" t="str">
        <f>IF(COUNTIFS('LANÇAMENTOS DIÁRIOS'!$G$5:$G$500,"H",'LANÇAMENTOS DIÁRIOS'!$C$5:$C$500,$A82,'LANÇAMENTOS DIÁRIOS'!$O$5:$O$500,"&lt;=127199",'LANÇAMENTOS DIÁRIOS'!$P$5:$P$500,"&gt;=127100")&gt;0,"X","")</f>
      </c>
      <c r="AD82" s="56" t="str">
        <f>IF(COUNTIFS('LANÇAMENTOS DIÁRIOS'!$G$5:$G$500,"H",'LANÇAMENTOS DIÁRIOS'!$C$5:$C$500,$A82,'LANÇAMENTOS DIÁRIOS'!$O$5:$O$500,"&lt;=127299",'LANÇAMENTOS DIÁRIOS'!$P$5:$P$500,"&gt;=127200")&gt;0,"X","")</f>
      </c>
      <c r="AE82" s="56" t="str">
        <f>IF(COUNTIFS('LANÇAMENTOS DIÁRIOS'!$G$5:$G$500,"H",'LANÇAMENTOS DIÁRIOS'!$C$5:$C$500,$A82,'LANÇAMENTOS DIÁRIOS'!$O$5:$O$500,"&lt;=127399",'LANÇAMENTOS DIÁRIOS'!$P$5:$P$500,"&gt;=127300")&gt;0,"X","")</f>
      </c>
      <c r="AF82" s="56" t="str">
        <f>IF(COUNTIFS('LANÇAMENTOS DIÁRIOS'!$G$5:$G$500,"H",'LANÇAMENTOS DIÁRIOS'!$C$5:$C$500,$A82,'LANÇAMENTOS DIÁRIOS'!$O$5:$O$500,"&lt;=127499",'LANÇAMENTOS DIÁRIOS'!$P$5:$P$500,"&gt;=127400")&gt;0,"X","")</f>
      </c>
      <c r="AG82" s="56" t="str">
        <f>IF(COUNTIFS('LANÇAMENTOS DIÁRIOS'!$G$5:$G$500,"H",'LANÇAMENTOS DIÁRIOS'!$C$5:$C$500,$A82,'LANÇAMENTOS DIÁRIOS'!$O$5:$O$500,"&lt;=127599",'LANÇAMENTOS DIÁRIOS'!$P$5:$P$500,"&gt;=127500")&gt;0,"X","")</f>
      </c>
      <c r="AH82" s="56" t="str">
        <f>IF(COUNTIFS('LANÇAMENTOS DIÁRIOS'!$G$5:$G$500,"H",'LANÇAMENTOS DIÁRIOS'!$C$5:$C$500,$A82,'LANÇAMENTOS DIÁRIOS'!$O$5:$O$500,"&lt;=127699",'LANÇAMENTOS DIÁRIOS'!$P$5:$P$500,"&gt;=127600")&gt;0,"X","")</f>
      </c>
      <c r="AI82" s="56" t="str">
        <f>IF(COUNTIFS('LANÇAMENTOS DIÁRIOS'!$G$5:$G$500,"H",'LANÇAMENTOS DIÁRIOS'!$C$5:$C$500,$A82,'LANÇAMENTOS DIÁRIOS'!$O$5:$O$500,"&lt;=127799",'LANÇAMENTOS DIÁRIOS'!$P$5:$P$500,"&gt;=127700")&gt;0,"X","")</f>
      </c>
      <c r="AJ82" s="56" t="str">
        <f>IF(COUNTIFS('LANÇAMENTOS DIÁRIOS'!$G$5:$G$500,"H",'LANÇAMENTOS DIÁRIOS'!$C$5:$C$500,$A82,'LANÇAMENTOS DIÁRIOS'!$O$5:$O$500,"&lt;=127899",'LANÇAMENTOS DIÁRIOS'!$P$5:$P$500,"&gt;=127800")&gt;0,"X","")</f>
      </c>
      <c r="AK82" s="56" t="str">
        <f>IF(COUNTIFS('LANÇAMENTOS DIÁRIOS'!$G$5:$G$500,"H",'LANÇAMENTOS DIÁRIOS'!$C$5:$C$500,$A82,'LANÇAMENTOS DIÁRIOS'!$O$5:$O$500,"&lt;=127999",'LANÇAMENTOS DIÁRIOS'!$P$5:$P$500,"&gt;=127900")&gt;0,"X","")</f>
      </c>
      <c r="AL82" s="56" t="str">
        <f>IF(COUNTIFS('LANÇAMENTOS DIÁRIOS'!$G$5:$G$500,"H",'LANÇAMENTOS DIÁRIOS'!$C$5:$C$500,$A82,'LANÇAMENTOS DIÁRIOS'!$O$5:$O$500,"&lt;=128099",'LANÇAMENTOS DIÁRIOS'!$P$5:$P$500,"&gt;=128000")&gt;0,"X","")</f>
      </c>
      <c r="AM82" s="56" t="str">
        <f>IF(COUNTIFS('LANÇAMENTOS DIÁRIOS'!$G$5:$G$500,"H",'LANÇAMENTOS DIÁRIOS'!$C$5:$C$500,$A82,'LANÇAMENTOS DIÁRIOS'!$O$5:$O$500,"&lt;=128199",'LANÇAMENTOS DIÁRIOS'!$P$5:$P$500,"&gt;=128100")&gt;0,"X","")</f>
      </c>
      <c r="AN82" s="56" t="str">
        <f>IF(COUNTIFS('LANÇAMENTOS DIÁRIOS'!$G$5:$G$500,"H",'LANÇAMENTOS DIÁRIOS'!$C$5:$C$500,$A82,'LANÇAMENTOS DIÁRIOS'!$O$5:$O$500,"&lt;=128299",'LANÇAMENTOS DIÁRIOS'!$P$5:$P$500,"&gt;=128200")&gt;0,"X","")</f>
      </c>
      <c r="AO82" s="56" t="str">
        <f>IF(COUNTIFS('LANÇAMENTOS DIÁRIOS'!$G$5:$G$500,"H",'LANÇAMENTOS DIÁRIOS'!$C$5:$C$500,$A82,'LANÇAMENTOS DIÁRIOS'!$O$5:$O$500,"&lt;=128399",'LANÇAMENTOS DIÁRIOS'!$P$5:$P$500,"&gt;=128300")&gt;0,"X","")</f>
      </c>
      <c r="AP82" s="56" t="str">
        <f>IF(COUNTIFS('LANÇAMENTOS DIÁRIOS'!$G$5:$G$500,"H",'LANÇAMENTOS DIÁRIOS'!$C$5:$C$500,$A82,'LANÇAMENTOS DIÁRIOS'!$O$5:$O$500,"&lt;=128499",'LANÇAMENTOS DIÁRIOS'!$P$5:$P$500,"&gt;=128400")&gt;0,"X","")</f>
      </c>
      <c r="AQ82" s="56" t="str">
        <f>IF(COUNTIFS('LANÇAMENTOS DIÁRIOS'!$G$5:$G$500,"H",'LANÇAMENTOS DIÁRIOS'!$C$5:$C$500,$A82,'LANÇAMENTOS DIÁRIOS'!$O$5:$O$500,"&lt;=128599",'LANÇAMENTOS DIÁRIOS'!$P$5:$P$500,"&gt;=128500")&gt;0,"X","")</f>
      </c>
      <c r="AR82" s="56" t="str">
        <f>IF(COUNTIFS('LANÇAMENTOS DIÁRIOS'!$G$5:$G$500,"H",'LANÇAMENTOS DIÁRIOS'!$C$5:$C$500,$A82,'LANÇAMENTOS DIÁRIOS'!$O$5:$O$500,"&lt;=128699",'LANÇAMENTOS DIÁRIOS'!$P$5:$P$500,"&gt;=128600")&gt;0,"X","")</f>
      </c>
      <c r="AS82" s="56" t="str">
        <f>IF(COUNTIFS('LANÇAMENTOS DIÁRIOS'!$G$5:$G$500,"H",'LANÇAMENTOS DIÁRIOS'!$C$5:$C$500,$A82,'LANÇAMENTOS DIÁRIOS'!$O$5:$O$500,"&lt;=128799",'LANÇAMENTOS DIÁRIOS'!$P$5:$P$500,"&gt;=128700")&gt;0,"X","")</f>
      </c>
      <c r="AT82" s="56" t="str">
        <f>IF(COUNTIFS('LANÇAMENTOS DIÁRIOS'!$G$5:$G$500,"H",'LANÇAMENTOS DIÁRIOS'!$C$5:$C$500,$A82,'LANÇAMENTOS DIÁRIOS'!$O$5:$O$500,"&lt;=128899",'LANÇAMENTOS DIÁRIOS'!$P$5:$P$500,"&gt;=128800")&gt;0,"X","")</f>
      </c>
      <c r="AU82" s="56" t="str">
        <f>IF(COUNTIFS('LANÇAMENTOS DIÁRIOS'!$G$5:$G$500,"H",'LANÇAMENTOS DIÁRIOS'!$C$5:$C$500,$A82,'LANÇAMENTOS DIÁRIOS'!$O$5:$O$500,"&lt;=128999",'LANÇAMENTOS DIÁRIOS'!$P$5:$P$500,"&gt;=128900")&gt;0,"X","")</f>
      </c>
      <c r="AV82" s="56" t="str">
        <f>IF(COUNTIFS('LANÇAMENTOS DIÁRIOS'!$G$5:$G$500,"H",'LANÇAMENTOS DIÁRIOS'!$C$5:$C$500,$A82,'LANÇAMENTOS DIÁRIOS'!$O$5:$O$500,"&lt;=129099",'LANÇAMENTOS DIÁRIOS'!$P$5:$P$500,"&gt;=129000")&gt;0,"X","")</f>
      </c>
      <c r="AW82" s="56" t="str">
        <f>IF(COUNTIFS('LANÇAMENTOS DIÁRIOS'!$G$5:$G$500,"H",'LANÇAMENTOS DIÁRIOS'!$C$5:$C$500,$A82,'LANÇAMENTOS DIÁRIOS'!$O$5:$O$500,"&lt;=129199",'LANÇAMENTOS DIÁRIOS'!$P$5:$P$500,"&gt;=129100")&gt;0,"X","")</f>
      </c>
      <c r="AX82" s="56" t="str">
        <f>IF(COUNTIFS('LANÇAMENTOS DIÁRIOS'!$G$5:$G$500,"H",'LANÇAMENTOS DIÁRIOS'!$C$5:$C$500,$A82,'LANÇAMENTOS DIÁRIOS'!$O$5:$O$500,"&lt;=129299",'LANÇAMENTOS DIÁRIOS'!$P$5:$P$500,"&gt;=129200")&gt;0,"X","")</f>
      </c>
      <c r="AY82" s="56" t="str">
        <f>IF(COUNTIFS('LANÇAMENTOS DIÁRIOS'!$G$5:$G$500,"H",'LANÇAMENTOS DIÁRIOS'!$C$5:$C$500,$A82,'LANÇAMENTOS DIÁRIOS'!$O$5:$O$500,"&lt;=129399",'LANÇAMENTOS DIÁRIOS'!$P$5:$P$500,"&gt;=129300")&gt;0,"X","")</f>
      </c>
      <c r="AZ82" s="56" t="str">
        <f>IF(COUNTIFS('LANÇAMENTOS DIÁRIOS'!$G$5:$G$500,"H",'LANÇAMENTOS DIÁRIOS'!$C$5:$C$500,$A82,'LANÇAMENTOS DIÁRIOS'!$O$5:$O$500,"&lt;=129400",'LANÇAMENTOS DIÁRIOS'!$P$5:$P$500,"&gt;=129400")&gt;0,"X","")</f>
      </c>
    </row>
    <row r="83" ht="19" customHeight="1">
      <c r="A83" s="68" t="str">
        <v>Construção da camada de revestimento</v>
      </c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</row>
    <row r="84">
      <c r="A84" s="51" t="str">
        <v>Imprimadura impermeabilizante com EAI - Sem o fornecimento dos materias</v>
      </c>
      <c r="B84" s="56" t="str">
        <f>IF(COUNTIFS('LANÇAMENTOS DIÁRIOS'!$G$5:$G$500,"H",'LANÇAMENTOS DIÁRIOS'!$C$5:$C$500,$A84,'LANÇAMENTOS DIÁRIOS'!$O$5:$O$500,"&lt;=124499",'LANÇAMENTOS DIÁRIOS'!$P$5:$P$500,"&gt;=124400")&gt;0,"X","")</f>
      </c>
      <c r="C84" s="56" t="str">
        <f>IF(COUNTIFS('LANÇAMENTOS DIÁRIOS'!$G$5:$G$500,"H",'LANÇAMENTOS DIÁRIOS'!$C$5:$C$500,$A84,'LANÇAMENTOS DIÁRIOS'!$O$5:$O$500,"&lt;=124599",'LANÇAMENTOS DIÁRIOS'!$P$5:$P$500,"&gt;=124500")&gt;0,"X","")</f>
      </c>
      <c r="D84" s="56" t="str">
        <f>IF(COUNTIFS('LANÇAMENTOS DIÁRIOS'!$G$5:$G$500,"H",'LANÇAMENTOS DIÁRIOS'!$C$5:$C$500,$A84,'LANÇAMENTOS DIÁRIOS'!$O$5:$O$500,"&lt;=124699",'LANÇAMENTOS DIÁRIOS'!$P$5:$P$500,"&gt;=124600")&gt;0,"X","")</f>
      </c>
      <c r="E84" s="56" t="str">
        <f>IF(COUNTIFS('LANÇAMENTOS DIÁRIOS'!$G$5:$G$500,"H",'LANÇAMENTOS DIÁRIOS'!$C$5:$C$500,$A84,'LANÇAMENTOS DIÁRIOS'!$O$5:$O$500,"&lt;=124799",'LANÇAMENTOS DIÁRIOS'!$P$5:$P$500,"&gt;=124700")&gt;0,"X","")</f>
      </c>
      <c r="F84" s="56" t="str">
        <f>IF(COUNTIFS('LANÇAMENTOS DIÁRIOS'!$G$5:$G$500,"H",'LANÇAMENTOS DIÁRIOS'!$C$5:$C$500,$A84,'LANÇAMENTOS DIÁRIOS'!$O$5:$O$500,"&lt;=124899",'LANÇAMENTOS DIÁRIOS'!$P$5:$P$500,"&gt;=124800")&gt;0,"X","")</f>
      </c>
      <c r="G84" s="56" t="str">
        <f>IF(COUNTIFS('LANÇAMENTOS DIÁRIOS'!$G$5:$G$500,"H",'LANÇAMENTOS DIÁRIOS'!$C$5:$C$500,$A84,'LANÇAMENTOS DIÁRIOS'!$O$5:$O$500,"&lt;=124999",'LANÇAMENTOS DIÁRIOS'!$P$5:$P$500,"&gt;=124900")&gt;0,"X","")</f>
      </c>
      <c r="H84" s="56" t="str">
        <f>IF(COUNTIFS('LANÇAMENTOS DIÁRIOS'!$G$5:$G$500,"H",'LANÇAMENTOS DIÁRIOS'!$C$5:$C$500,$A84,'LANÇAMENTOS DIÁRIOS'!$O$5:$O$500,"&lt;=125099",'LANÇAMENTOS DIÁRIOS'!$P$5:$P$500,"&gt;=125000")&gt;0,"X","")</f>
      </c>
      <c r="I84" s="56" t="str">
        <f>IF(COUNTIFS('LANÇAMENTOS DIÁRIOS'!$G$5:$G$500,"H",'LANÇAMENTOS DIÁRIOS'!$C$5:$C$500,$A84,'LANÇAMENTOS DIÁRIOS'!$O$5:$O$500,"&lt;=125199",'LANÇAMENTOS DIÁRIOS'!$P$5:$P$500,"&gt;=125100")&gt;0,"X","")</f>
      </c>
      <c r="J84" s="56" t="str">
        <f>IF(COUNTIFS('LANÇAMENTOS DIÁRIOS'!$G$5:$G$500,"H",'LANÇAMENTOS DIÁRIOS'!$C$5:$C$500,$A84,'LANÇAMENTOS DIÁRIOS'!$O$5:$O$500,"&lt;=125299",'LANÇAMENTOS DIÁRIOS'!$P$5:$P$500,"&gt;=125200")&gt;0,"X","")</f>
      </c>
      <c r="K84" s="56" t="str">
        <f>IF(COUNTIFS('LANÇAMENTOS DIÁRIOS'!$G$5:$G$500,"H",'LANÇAMENTOS DIÁRIOS'!$C$5:$C$500,$A84,'LANÇAMENTOS DIÁRIOS'!$O$5:$O$500,"&lt;=125399",'LANÇAMENTOS DIÁRIOS'!$P$5:$P$500,"&gt;=125300")&gt;0,"X","")</f>
      </c>
      <c r="L84" s="56" t="str">
        <f>IF(COUNTIFS('LANÇAMENTOS DIÁRIOS'!$G$5:$G$500,"H",'LANÇAMENTOS DIÁRIOS'!$C$5:$C$500,$A84,'LANÇAMENTOS DIÁRIOS'!$O$5:$O$500,"&lt;=125499",'LANÇAMENTOS DIÁRIOS'!$P$5:$P$500,"&gt;=125400")&gt;0,"X","")</f>
      </c>
      <c r="M84" s="56" t="str">
        <f>IF(COUNTIFS('LANÇAMENTOS DIÁRIOS'!$G$5:$G$500,"H",'LANÇAMENTOS DIÁRIOS'!$C$5:$C$500,$A84,'LANÇAMENTOS DIÁRIOS'!$O$5:$O$500,"&lt;=125599",'LANÇAMENTOS DIÁRIOS'!$P$5:$P$500,"&gt;=125500")&gt;0,"X","")</f>
      </c>
      <c r="N84" s="56" t="str">
        <f>IF(COUNTIFS('LANÇAMENTOS DIÁRIOS'!$G$5:$G$500,"H",'LANÇAMENTOS DIÁRIOS'!$C$5:$C$500,$A84,'LANÇAMENTOS DIÁRIOS'!$O$5:$O$500,"&lt;=125699",'LANÇAMENTOS DIÁRIOS'!$P$5:$P$500,"&gt;=125600")&gt;0,"X","")</f>
      </c>
      <c r="O84" s="56" t="str">
        <f>IF(COUNTIFS('LANÇAMENTOS DIÁRIOS'!$G$5:$G$500,"H",'LANÇAMENTOS DIÁRIOS'!$C$5:$C$500,$A84,'LANÇAMENTOS DIÁRIOS'!$O$5:$O$500,"&lt;=125799",'LANÇAMENTOS DIÁRIOS'!$P$5:$P$500,"&gt;=125700")&gt;0,"X","")</f>
      </c>
      <c r="P84" s="56" t="str">
        <f>IF(COUNTIFS('LANÇAMENTOS DIÁRIOS'!$G$5:$G$500,"H",'LANÇAMENTOS DIÁRIOS'!$C$5:$C$500,$A84,'LANÇAMENTOS DIÁRIOS'!$O$5:$O$500,"&lt;=125899",'LANÇAMENTOS DIÁRIOS'!$P$5:$P$500,"&gt;=125800")&gt;0,"X","")</f>
      </c>
      <c r="Q84" s="56" t="str">
        <f>IF(COUNTIFS('LANÇAMENTOS DIÁRIOS'!$G$5:$G$500,"H",'LANÇAMENTOS DIÁRIOS'!$C$5:$C$500,$A84,'LANÇAMENTOS DIÁRIOS'!$O$5:$O$500,"&lt;=125999",'LANÇAMENTOS DIÁRIOS'!$P$5:$P$500,"&gt;=125900")&gt;0,"X","")</f>
      </c>
      <c r="R84" s="56" t="str">
        <f>IF(COUNTIFS('LANÇAMENTOS DIÁRIOS'!$G$5:$G$500,"H",'LANÇAMENTOS DIÁRIOS'!$C$5:$C$500,$A84,'LANÇAMENTOS DIÁRIOS'!$O$5:$O$500,"&lt;=126099",'LANÇAMENTOS DIÁRIOS'!$P$5:$P$500,"&gt;=126000")&gt;0,"X","")</f>
      </c>
      <c r="S84" s="56" t="str">
        <f>IF(COUNTIFS('LANÇAMENTOS DIÁRIOS'!$G$5:$G$500,"H",'LANÇAMENTOS DIÁRIOS'!$C$5:$C$500,$A84,'LANÇAMENTOS DIÁRIOS'!$O$5:$O$500,"&lt;=126199",'LANÇAMENTOS DIÁRIOS'!$P$5:$P$500,"&gt;=126100")&gt;0,"X","")</f>
      </c>
      <c r="T84" s="56" t="str">
        <f>IF(COUNTIFS('LANÇAMENTOS DIÁRIOS'!$G$5:$G$500,"H",'LANÇAMENTOS DIÁRIOS'!$C$5:$C$500,$A84,'LANÇAMENTOS DIÁRIOS'!$O$5:$O$500,"&lt;=126299",'LANÇAMENTOS DIÁRIOS'!$P$5:$P$500,"&gt;=126200")&gt;0,"X","")</f>
      </c>
      <c r="U84" s="56" t="str">
        <f>IF(COUNTIFS('LANÇAMENTOS DIÁRIOS'!$G$5:$G$500,"H",'LANÇAMENTOS DIÁRIOS'!$C$5:$C$500,$A84,'LANÇAMENTOS DIÁRIOS'!$O$5:$O$500,"&lt;=126399",'LANÇAMENTOS DIÁRIOS'!$P$5:$P$500,"&gt;=126300")&gt;0,"X","")</f>
      </c>
      <c r="V84" s="56" t="str">
        <f>IF(COUNTIFS('LANÇAMENTOS DIÁRIOS'!$G$5:$G$500,"H",'LANÇAMENTOS DIÁRIOS'!$C$5:$C$500,$A84,'LANÇAMENTOS DIÁRIOS'!$O$5:$O$500,"&lt;=126499",'LANÇAMENTOS DIÁRIOS'!$P$5:$P$500,"&gt;=126400")&gt;0,"X","")</f>
      </c>
      <c r="W84" s="56" t="str">
        <f>IF(COUNTIFS('LANÇAMENTOS DIÁRIOS'!$G$5:$G$500,"H",'LANÇAMENTOS DIÁRIOS'!$C$5:$C$500,$A84,'LANÇAMENTOS DIÁRIOS'!$O$5:$O$500,"&lt;=126599",'LANÇAMENTOS DIÁRIOS'!$P$5:$P$500,"&gt;=126500")&gt;0,"X","")</f>
      </c>
      <c r="X84" s="56" t="str">
        <f>IF(COUNTIFS('LANÇAMENTOS DIÁRIOS'!$G$5:$G$500,"H",'LANÇAMENTOS DIÁRIOS'!$C$5:$C$500,$A84,'LANÇAMENTOS DIÁRIOS'!$O$5:$O$500,"&lt;=126699",'LANÇAMENTOS DIÁRIOS'!$P$5:$P$500,"&gt;=126600")&gt;0,"X","")</f>
      </c>
      <c r="Y84" s="56" t="str">
        <f>IF(COUNTIFS('LANÇAMENTOS DIÁRIOS'!$G$5:$G$500,"H",'LANÇAMENTOS DIÁRIOS'!$C$5:$C$500,$A84,'LANÇAMENTOS DIÁRIOS'!$O$5:$O$500,"&lt;=126799",'LANÇAMENTOS DIÁRIOS'!$P$5:$P$500,"&gt;=126700")&gt;0,"X","")</f>
      </c>
      <c r="Z84" s="56" t="str">
        <f>IF(COUNTIFS('LANÇAMENTOS DIÁRIOS'!$G$5:$G$500,"H",'LANÇAMENTOS DIÁRIOS'!$C$5:$C$500,$A84,'LANÇAMENTOS DIÁRIOS'!$O$5:$O$500,"&lt;=126899",'LANÇAMENTOS DIÁRIOS'!$P$5:$P$500,"&gt;=126800")&gt;0,"X","")</f>
      </c>
      <c r="AA84" s="56" t="str">
        <f>IF(COUNTIFS('LANÇAMENTOS DIÁRIOS'!$G$5:$G$500,"H",'LANÇAMENTOS DIÁRIOS'!$C$5:$C$500,$A84,'LANÇAMENTOS DIÁRIOS'!$O$5:$O$500,"&lt;=126999",'LANÇAMENTOS DIÁRIOS'!$P$5:$P$500,"&gt;=126900")&gt;0,"X","")</f>
      </c>
      <c r="AB84" s="56" t="str">
        <f>IF(COUNTIFS('LANÇAMENTOS DIÁRIOS'!$G$5:$G$500,"H",'LANÇAMENTOS DIÁRIOS'!$C$5:$C$500,$A84,'LANÇAMENTOS DIÁRIOS'!$O$5:$O$500,"&lt;=127099",'LANÇAMENTOS DIÁRIOS'!$P$5:$P$500,"&gt;=127000")&gt;0,"X","")</f>
      </c>
      <c r="AC84" s="56" t="str">
        <f>IF(COUNTIFS('LANÇAMENTOS DIÁRIOS'!$G$5:$G$500,"H",'LANÇAMENTOS DIÁRIOS'!$C$5:$C$500,$A84,'LANÇAMENTOS DIÁRIOS'!$O$5:$O$500,"&lt;=127199",'LANÇAMENTOS DIÁRIOS'!$P$5:$P$500,"&gt;=127100")&gt;0,"X","")</f>
      </c>
      <c r="AD84" s="56" t="str">
        <f>IF(COUNTIFS('LANÇAMENTOS DIÁRIOS'!$G$5:$G$500,"H",'LANÇAMENTOS DIÁRIOS'!$C$5:$C$500,$A84,'LANÇAMENTOS DIÁRIOS'!$O$5:$O$500,"&lt;=127299",'LANÇAMENTOS DIÁRIOS'!$P$5:$P$500,"&gt;=127200")&gt;0,"X","")</f>
      </c>
      <c r="AE84" s="56" t="str">
        <f>IF(COUNTIFS('LANÇAMENTOS DIÁRIOS'!$G$5:$G$500,"H",'LANÇAMENTOS DIÁRIOS'!$C$5:$C$500,$A84,'LANÇAMENTOS DIÁRIOS'!$O$5:$O$500,"&lt;=127399",'LANÇAMENTOS DIÁRIOS'!$P$5:$P$500,"&gt;=127300")&gt;0,"X","")</f>
      </c>
      <c r="AF84" s="56" t="str">
        <f>IF(COUNTIFS('LANÇAMENTOS DIÁRIOS'!$G$5:$G$500,"H",'LANÇAMENTOS DIÁRIOS'!$C$5:$C$500,$A84,'LANÇAMENTOS DIÁRIOS'!$O$5:$O$500,"&lt;=127499",'LANÇAMENTOS DIÁRIOS'!$P$5:$P$500,"&gt;=127400")&gt;0,"X","")</f>
      </c>
      <c r="AG84" s="56" t="str">
        <f>IF(COUNTIFS('LANÇAMENTOS DIÁRIOS'!$G$5:$G$500,"H",'LANÇAMENTOS DIÁRIOS'!$C$5:$C$500,$A84,'LANÇAMENTOS DIÁRIOS'!$O$5:$O$500,"&lt;=127599",'LANÇAMENTOS DIÁRIOS'!$P$5:$P$500,"&gt;=127500")&gt;0,"X","")</f>
      </c>
      <c r="AH84" s="56" t="str">
        <f>IF(COUNTIFS('LANÇAMENTOS DIÁRIOS'!$G$5:$G$500,"H",'LANÇAMENTOS DIÁRIOS'!$C$5:$C$500,$A84,'LANÇAMENTOS DIÁRIOS'!$O$5:$O$500,"&lt;=127699",'LANÇAMENTOS DIÁRIOS'!$P$5:$P$500,"&gt;=127600")&gt;0,"X","")</f>
      </c>
      <c r="AI84" s="56" t="str">
        <f>IF(COUNTIFS('LANÇAMENTOS DIÁRIOS'!$G$5:$G$500,"H",'LANÇAMENTOS DIÁRIOS'!$C$5:$C$500,$A84,'LANÇAMENTOS DIÁRIOS'!$O$5:$O$500,"&lt;=127799",'LANÇAMENTOS DIÁRIOS'!$P$5:$P$500,"&gt;=127700")&gt;0,"X","")</f>
      </c>
      <c r="AJ84" s="56" t="str">
        <f>IF(COUNTIFS('LANÇAMENTOS DIÁRIOS'!$G$5:$G$500,"H",'LANÇAMENTOS DIÁRIOS'!$C$5:$C$500,$A84,'LANÇAMENTOS DIÁRIOS'!$O$5:$O$500,"&lt;=127899",'LANÇAMENTOS DIÁRIOS'!$P$5:$P$500,"&gt;=127800")&gt;0,"X","")</f>
      </c>
      <c r="AK84" s="56" t="str">
        <f>IF(COUNTIFS('LANÇAMENTOS DIÁRIOS'!$G$5:$G$500,"H",'LANÇAMENTOS DIÁRIOS'!$C$5:$C$500,$A84,'LANÇAMENTOS DIÁRIOS'!$O$5:$O$500,"&lt;=127999",'LANÇAMENTOS DIÁRIOS'!$P$5:$P$500,"&gt;=127900")&gt;0,"X","")</f>
      </c>
      <c r="AL84" s="56" t="str">
        <f>IF(COUNTIFS('LANÇAMENTOS DIÁRIOS'!$G$5:$G$500,"H",'LANÇAMENTOS DIÁRIOS'!$C$5:$C$500,$A84,'LANÇAMENTOS DIÁRIOS'!$O$5:$O$500,"&lt;=128099",'LANÇAMENTOS DIÁRIOS'!$P$5:$P$500,"&gt;=128000")&gt;0,"X","")</f>
      </c>
      <c r="AM84" s="56" t="str">
        <f>IF(COUNTIFS('LANÇAMENTOS DIÁRIOS'!$G$5:$G$500,"H",'LANÇAMENTOS DIÁRIOS'!$C$5:$C$500,$A84,'LANÇAMENTOS DIÁRIOS'!$O$5:$O$500,"&lt;=128199",'LANÇAMENTOS DIÁRIOS'!$P$5:$P$500,"&gt;=128100")&gt;0,"X","")</f>
      </c>
      <c r="AN84" s="56" t="str">
        <f>IF(COUNTIFS('LANÇAMENTOS DIÁRIOS'!$G$5:$G$500,"H",'LANÇAMENTOS DIÁRIOS'!$C$5:$C$500,$A84,'LANÇAMENTOS DIÁRIOS'!$O$5:$O$500,"&lt;=128299",'LANÇAMENTOS DIÁRIOS'!$P$5:$P$500,"&gt;=128200")&gt;0,"X","")</f>
      </c>
      <c r="AO84" s="56" t="str">
        <f>IF(COUNTIFS('LANÇAMENTOS DIÁRIOS'!$G$5:$G$500,"H",'LANÇAMENTOS DIÁRIOS'!$C$5:$C$500,$A84,'LANÇAMENTOS DIÁRIOS'!$O$5:$O$500,"&lt;=128399",'LANÇAMENTOS DIÁRIOS'!$P$5:$P$500,"&gt;=128300")&gt;0,"X","")</f>
      </c>
      <c r="AP84" s="56" t="str">
        <f>IF(COUNTIFS('LANÇAMENTOS DIÁRIOS'!$G$5:$G$500,"H",'LANÇAMENTOS DIÁRIOS'!$C$5:$C$500,$A84,'LANÇAMENTOS DIÁRIOS'!$O$5:$O$500,"&lt;=128499",'LANÇAMENTOS DIÁRIOS'!$P$5:$P$500,"&gt;=128400")&gt;0,"X","")</f>
      </c>
      <c r="AQ84" s="56" t="str">
        <f>IF(COUNTIFS('LANÇAMENTOS DIÁRIOS'!$G$5:$G$500,"H",'LANÇAMENTOS DIÁRIOS'!$C$5:$C$500,$A84,'LANÇAMENTOS DIÁRIOS'!$O$5:$O$500,"&lt;=128599",'LANÇAMENTOS DIÁRIOS'!$P$5:$P$500,"&gt;=128500")&gt;0,"X","")</f>
      </c>
      <c r="AR84" s="56" t="str">
        <f>IF(COUNTIFS('LANÇAMENTOS DIÁRIOS'!$G$5:$G$500,"H",'LANÇAMENTOS DIÁRIOS'!$C$5:$C$500,$A84,'LANÇAMENTOS DIÁRIOS'!$O$5:$O$500,"&lt;=128699",'LANÇAMENTOS DIÁRIOS'!$P$5:$P$500,"&gt;=128600")&gt;0,"X","")</f>
      </c>
      <c r="AS84" s="56" t="str">
        <f>IF(COUNTIFS('LANÇAMENTOS DIÁRIOS'!$G$5:$G$500,"H",'LANÇAMENTOS DIÁRIOS'!$C$5:$C$500,$A84,'LANÇAMENTOS DIÁRIOS'!$O$5:$O$500,"&lt;=128799",'LANÇAMENTOS DIÁRIOS'!$P$5:$P$500,"&gt;=128700")&gt;0,"X","")</f>
      </c>
      <c r="AT84" s="56" t="str">
        <f>IF(COUNTIFS('LANÇAMENTOS DIÁRIOS'!$G$5:$G$500,"H",'LANÇAMENTOS DIÁRIOS'!$C$5:$C$500,$A84,'LANÇAMENTOS DIÁRIOS'!$O$5:$O$500,"&lt;=128899",'LANÇAMENTOS DIÁRIOS'!$P$5:$P$500,"&gt;=128800")&gt;0,"X","")</f>
      </c>
      <c r="AU84" s="56" t="str">
        <f>IF(COUNTIFS('LANÇAMENTOS DIÁRIOS'!$G$5:$G$500,"H",'LANÇAMENTOS DIÁRIOS'!$C$5:$C$500,$A84,'LANÇAMENTOS DIÁRIOS'!$O$5:$O$500,"&lt;=128999",'LANÇAMENTOS DIÁRIOS'!$P$5:$P$500,"&gt;=128900")&gt;0,"X","")</f>
      </c>
      <c r="AV84" s="56" t="str">
        <f>IF(COUNTIFS('LANÇAMENTOS DIÁRIOS'!$G$5:$G$500,"H",'LANÇAMENTOS DIÁRIOS'!$C$5:$C$500,$A84,'LANÇAMENTOS DIÁRIOS'!$O$5:$O$500,"&lt;=129099",'LANÇAMENTOS DIÁRIOS'!$P$5:$P$500,"&gt;=129000")&gt;0,"X","")</f>
      </c>
      <c r="AW84" s="56" t="str">
        <f>IF(COUNTIFS('LANÇAMENTOS DIÁRIOS'!$G$5:$G$500,"H",'LANÇAMENTOS DIÁRIOS'!$C$5:$C$500,$A84,'LANÇAMENTOS DIÁRIOS'!$O$5:$O$500,"&lt;=129199",'LANÇAMENTOS DIÁRIOS'!$P$5:$P$500,"&gt;=129100")&gt;0,"X","")</f>
      </c>
      <c r="AX84" s="56" t="str">
        <f>IF(COUNTIFS('LANÇAMENTOS DIÁRIOS'!$G$5:$G$500,"H",'LANÇAMENTOS DIÁRIOS'!$C$5:$C$500,$A84,'LANÇAMENTOS DIÁRIOS'!$O$5:$O$500,"&lt;=129299",'LANÇAMENTOS DIÁRIOS'!$P$5:$P$500,"&gt;=129200")&gt;0,"X","")</f>
      </c>
      <c r="AY84" s="56" t="str">
        <f>IF(COUNTIFS('LANÇAMENTOS DIÁRIOS'!$G$5:$G$500,"H",'LANÇAMENTOS DIÁRIOS'!$C$5:$C$500,$A84,'LANÇAMENTOS DIÁRIOS'!$O$5:$O$500,"&lt;=129399",'LANÇAMENTOS DIÁRIOS'!$P$5:$P$500,"&gt;=129300")&gt;0,"X","")</f>
      </c>
      <c r="AZ84" s="56" t="str">
        <f>IF(COUNTIFS('LANÇAMENTOS DIÁRIOS'!$G$5:$G$500,"H",'LANÇAMENTOS DIÁRIOS'!$C$5:$C$500,$A84,'LANÇAMENTOS DIÁRIOS'!$O$5:$O$500,"&lt;=129400",'LANÇAMENTOS DIÁRIOS'!$P$5:$P$500,"&gt;=129400")&gt;0,"X","")</f>
      </c>
    </row>
    <row r="85">
      <c r="A85" s="51" t="str">
        <v>Imprimadura ligante (Cura) - sem o fornecimento dos materiais</v>
      </c>
      <c r="B85" s="56" t="str">
        <f>IF(COUNTIFS('LANÇAMENTOS DIÁRIOS'!$G$5:$G$500,"H",'LANÇAMENTOS DIÁRIOS'!$C$5:$C$500,$A85,'LANÇAMENTOS DIÁRIOS'!$O$5:$O$500,"&lt;=124499",'LANÇAMENTOS DIÁRIOS'!$P$5:$P$500,"&gt;=124400")&gt;0,"X","")</f>
      </c>
      <c r="C85" s="56" t="str">
        <f>IF(COUNTIFS('LANÇAMENTOS DIÁRIOS'!$G$5:$G$500,"H",'LANÇAMENTOS DIÁRIOS'!$C$5:$C$500,$A85,'LANÇAMENTOS DIÁRIOS'!$O$5:$O$500,"&lt;=124599",'LANÇAMENTOS DIÁRIOS'!$P$5:$P$500,"&gt;=124500")&gt;0,"X","")</f>
      </c>
      <c r="D85" s="56" t="str">
        <f>IF(COUNTIFS('LANÇAMENTOS DIÁRIOS'!$G$5:$G$500,"H",'LANÇAMENTOS DIÁRIOS'!$C$5:$C$500,$A85,'LANÇAMENTOS DIÁRIOS'!$O$5:$O$500,"&lt;=124699",'LANÇAMENTOS DIÁRIOS'!$P$5:$P$500,"&gt;=124600")&gt;0,"X","")</f>
      </c>
      <c r="E85" s="56" t="str">
        <f>IF(COUNTIFS('LANÇAMENTOS DIÁRIOS'!$G$5:$G$500,"H",'LANÇAMENTOS DIÁRIOS'!$C$5:$C$500,$A85,'LANÇAMENTOS DIÁRIOS'!$O$5:$O$500,"&lt;=124799",'LANÇAMENTOS DIÁRIOS'!$P$5:$P$500,"&gt;=124700")&gt;0,"X","")</f>
      </c>
      <c r="F85" s="56" t="str">
        <f>IF(COUNTIFS('LANÇAMENTOS DIÁRIOS'!$G$5:$G$500,"H",'LANÇAMENTOS DIÁRIOS'!$C$5:$C$500,$A85,'LANÇAMENTOS DIÁRIOS'!$O$5:$O$500,"&lt;=124899",'LANÇAMENTOS DIÁRIOS'!$P$5:$P$500,"&gt;=124800")&gt;0,"X","")</f>
      </c>
      <c r="G85" s="56" t="str">
        <f>IF(COUNTIFS('LANÇAMENTOS DIÁRIOS'!$G$5:$G$500,"H",'LANÇAMENTOS DIÁRIOS'!$C$5:$C$500,$A85,'LANÇAMENTOS DIÁRIOS'!$O$5:$O$500,"&lt;=124999",'LANÇAMENTOS DIÁRIOS'!$P$5:$P$500,"&gt;=124900")&gt;0,"X","")</f>
      </c>
      <c r="H85" s="56" t="str">
        <f>IF(COUNTIFS('LANÇAMENTOS DIÁRIOS'!$G$5:$G$500,"H",'LANÇAMENTOS DIÁRIOS'!$C$5:$C$500,$A85,'LANÇAMENTOS DIÁRIOS'!$O$5:$O$500,"&lt;=125099",'LANÇAMENTOS DIÁRIOS'!$P$5:$P$500,"&gt;=125000")&gt;0,"X","")</f>
      </c>
      <c r="I85" s="56" t="str">
        <f>IF(COUNTIFS('LANÇAMENTOS DIÁRIOS'!$G$5:$G$500,"H",'LANÇAMENTOS DIÁRIOS'!$C$5:$C$500,$A85,'LANÇAMENTOS DIÁRIOS'!$O$5:$O$500,"&lt;=125199",'LANÇAMENTOS DIÁRIOS'!$P$5:$P$500,"&gt;=125100")&gt;0,"X","")</f>
      </c>
      <c r="J85" s="56" t="str">
        <f>IF(COUNTIFS('LANÇAMENTOS DIÁRIOS'!$G$5:$G$500,"H",'LANÇAMENTOS DIÁRIOS'!$C$5:$C$500,$A85,'LANÇAMENTOS DIÁRIOS'!$O$5:$O$500,"&lt;=125299",'LANÇAMENTOS DIÁRIOS'!$P$5:$P$500,"&gt;=125200")&gt;0,"X","")</f>
      </c>
      <c r="K85" s="56" t="str">
        <f>IF(COUNTIFS('LANÇAMENTOS DIÁRIOS'!$G$5:$G$500,"H",'LANÇAMENTOS DIÁRIOS'!$C$5:$C$500,$A85,'LANÇAMENTOS DIÁRIOS'!$O$5:$O$500,"&lt;=125399",'LANÇAMENTOS DIÁRIOS'!$P$5:$P$500,"&gt;=125300")&gt;0,"X","")</f>
      </c>
      <c r="L85" s="56" t="str">
        <f>IF(COUNTIFS('LANÇAMENTOS DIÁRIOS'!$G$5:$G$500,"H",'LANÇAMENTOS DIÁRIOS'!$C$5:$C$500,$A85,'LANÇAMENTOS DIÁRIOS'!$O$5:$O$500,"&lt;=125499",'LANÇAMENTOS DIÁRIOS'!$P$5:$P$500,"&gt;=125400")&gt;0,"X","")</f>
      </c>
      <c r="M85" s="56" t="str">
        <f>IF(COUNTIFS('LANÇAMENTOS DIÁRIOS'!$G$5:$G$500,"H",'LANÇAMENTOS DIÁRIOS'!$C$5:$C$500,$A85,'LANÇAMENTOS DIÁRIOS'!$O$5:$O$500,"&lt;=125599",'LANÇAMENTOS DIÁRIOS'!$P$5:$P$500,"&gt;=125500")&gt;0,"X","")</f>
      </c>
      <c r="N85" s="56" t="str">
        <f>IF(COUNTIFS('LANÇAMENTOS DIÁRIOS'!$G$5:$G$500,"H",'LANÇAMENTOS DIÁRIOS'!$C$5:$C$500,$A85,'LANÇAMENTOS DIÁRIOS'!$O$5:$O$500,"&lt;=125699",'LANÇAMENTOS DIÁRIOS'!$P$5:$P$500,"&gt;=125600")&gt;0,"X","")</f>
      </c>
      <c r="O85" s="56" t="str">
        <f>IF(COUNTIFS('LANÇAMENTOS DIÁRIOS'!$G$5:$G$500,"H",'LANÇAMENTOS DIÁRIOS'!$C$5:$C$500,$A85,'LANÇAMENTOS DIÁRIOS'!$O$5:$O$500,"&lt;=125799",'LANÇAMENTOS DIÁRIOS'!$P$5:$P$500,"&gt;=125700")&gt;0,"X","")</f>
      </c>
      <c r="P85" s="56" t="str">
        <f>IF(COUNTIFS('LANÇAMENTOS DIÁRIOS'!$G$5:$G$500,"H",'LANÇAMENTOS DIÁRIOS'!$C$5:$C$500,$A85,'LANÇAMENTOS DIÁRIOS'!$O$5:$O$500,"&lt;=125899",'LANÇAMENTOS DIÁRIOS'!$P$5:$P$500,"&gt;=125800")&gt;0,"X","")</f>
      </c>
      <c r="Q85" s="56" t="str">
        <f>IF(COUNTIFS('LANÇAMENTOS DIÁRIOS'!$G$5:$G$500,"H",'LANÇAMENTOS DIÁRIOS'!$C$5:$C$500,$A85,'LANÇAMENTOS DIÁRIOS'!$O$5:$O$500,"&lt;=125999",'LANÇAMENTOS DIÁRIOS'!$P$5:$P$500,"&gt;=125900")&gt;0,"X","")</f>
      </c>
      <c r="R85" s="56" t="str">
        <f>IF(COUNTIFS('LANÇAMENTOS DIÁRIOS'!$G$5:$G$500,"H",'LANÇAMENTOS DIÁRIOS'!$C$5:$C$500,$A85,'LANÇAMENTOS DIÁRIOS'!$O$5:$O$500,"&lt;=126099",'LANÇAMENTOS DIÁRIOS'!$P$5:$P$500,"&gt;=126000")&gt;0,"X","")</f>
      </c>
      <c r="S85" s="56" t="str">
        <f>IF(COUNTIFS('LANÇAMENTOS DIÁRIOS'!$G$5:$G$500,"H",'LANÇAMENTOS DIÁRIOS'!$C$5:$C$500,$A85,'LANÇAMENTOS DIÁRIOS'!$O$5:$O$500,"&lt;=126199",'LANÇAMENTOS DIÁRIOS'!$P$5:$P$500,"&gt;=126100")&gt;0,"X","")</f>
      </c>
      <c r="T85" s="56" t="str">
        <f>IF(COUNTIFS('LANÇAMENTOS DIÁRIOS'!$G$5:$G$500,"H",'LANÇAMENTOS DIÁRIOS'!$C$5:$C$500,$A85,'LANÇAMENTOS DIÁRIOS'!$O$5:$O$500,"&lt;=126299",'LANÇAMENTOS DIÁRIOS'!$P$5:$P$500,"&gt;=126200")&gt;0,"X","")</f>
      </c>
      <c r="U85" s="56" t="str">
        <f>IF(COUNTIFS('LANÇAMENTOS DIÁRIOS'!$G$5:$G$500,"H",'LANÇAMENTOS DIÁRIOS'!$C$5:$C$500,$A85,'LANÇAMENTOS DIÁRIOS'!$O$5:$O$500,"&lt;=126399",'LANÇAMENTOS DIÁRIOS'!$P$5:$P$500,"&gt;=126300")&gt;0,"X","")</f>
      </c>
      <c r="V85" s="56" t="str">
        <f>IF(COUNTIFS('LANÇAMENTOS DIÁRIOS'!$G$5:$G$500,"H",'LANÇAMENTOS DIÁRIOS'!$C$5:$C$500,$A85,'LANÇAMENTOS DIÁRIOS'!$O$5:$O$500,"&lt;=126499",'LANÇAMENTOS DIÁRIOS'!$P$5:$P$500,"&gt;=126400")&gt;0,"X","")</f>
      </c>
      <c r="W85" s="56" t="str">
        <f>IF(COUNTIFS('LANÇAMENTOS DIÁRIOS'!$G$5:$G$500,"H",'LANÇAMENTOS DIÁRIOS'!$C$5:$C$500,$A85,'LANÇAMENTOS DIÁRIOS'!$O$5:$O$500,"&lt;=126599",'LANÇAMENTOS DIÁRIOS'!$P$5:$P$500,"&gt;=126500")&gt;0,"X","")</f>
      </c>
      <c r="X85" s="56" t="str">
        <f>IF(COUNTIFS('LANÇAMENTOS DIÁRIOS'!$G$5:$G$500,"H",'LANÇAMENTOS DIÁRIOS'!$C$5:$C$500,$A85,'LANÇAMENTOS DIÁRIOS'!$O$5:$O$500,"&lt;=126699",'LANÇAMENTOS DIÁRIOS'!$P$5:$P$500,"&gt;=126600")&gt;0,"X","")</f>
      </c>
      <c r="Y85" s="56" t="str">
        <f>IF(COUNTIFS('LANÇAMENTOS DIÁRIOS'!$G$5:$G$500,"H",'LANÇAMENTOS DIÁRIOS'!$C$5:$C$500,$A85,'LANÇAMENTOS DIÁRIOS'!$O$5:$O$500,"&lt;=126799",'LANÇAMENTOS DIÁRIOS'!$P$5:$P$500,"&gt;=126700")&gt;0,"X","")</f>
      </c>
      <c r="Z85" s="56" t="str">
        <f>IF(COUNTIFS('LANÇAMENTOS DIÁRIOS'!$G$5:$G$500,"H",'LANÇAMENTOS DIÁRIOS'!$C$5:$C$500,$A85,'LANÇAMENTOS DIÁRIOS'!$O$5:$O$500,"&lt;=126899",'LANÇAMENTOS DIÁRIOS'!$P$5:$P$500,"&gt;=126800")&gt;0,"X","")</f>
      </c>
      <c r="AA85" s="56" t="str">
        <f>IF(COUNTIFS('LANÇAMENTOS DIÁRIOS'!$G$5:$G$500,"H",'LANÇAMENTOS DIÁRIOS'!$C$5:$C$500,$A85,'LANÇAMENTOS DIÁRIOS'!$O$5:$O$500,"&lt;=126999",'LANÇAMENTOS DIÁRIOS'!$P$5:$P$500,"&gt;=126900")&gt;0,"X","")</f>
      </c>
      <c r="AB85" s="56" t="str">
        <f>IF(COUNTIFS('LANÇAMENTOS DIÁRIOS'!$G$5:$G$500,"H",'LANÇAMENTOS DIÁRIOS'!$C$5:$C$500,$A85,'LANÇAMENTOS DIÁRIOS'!$O$5:$O$500,"&lt;=127099",'LANÇAMENTOS DIÁRIOS'!$P$5:$P$500,"&gt;=127000")&gt;0,"X","")</f>
      </c>
      <c r="AC85" s="56" t="str">
        <f>IF(COUNTIFS('LANÇAMENTOS DIÁRIOS'!$G$5:$G$500,"H",'LANÇAMENTOS DIÁRIOS'!$C$5:$C$500,$A85,'LANÇAMENTOS DIÁRIOS'!$O$5:$O$500,"&lt;=127199",'LANÇAMENTOS DIÁRIOS'!$P$5:$P$500,"&gt;=127100")&gt;0,"X","")</f>
      </c>
      <c r="AD85" s="56" t="str">
        <f>IF(COUNTIFS('LANÇAMENTOS DIÁRIOS'!$G$5:$G$500,"H",'LANÇAMENTOS DIÁRIOS'!$C$5:$C$500,$A85,'LANÇAMENTOS DIÁRIOS'!$O$5:$O$500,"&lt;=127299",'LANÇAMENTOS DIÁRIOS'!$P$5:$P$500,"&gt;=127200")&gt;0,"X","")</f>
      </c>
      <c r="AE85" s="56" t="str">
        <f>IF(COUNTIFS('LANÇAMENTOS DIÁRIOS'!$G$5:$G$500,"H",'LANÇAMENTOS DIÁRIOS'!$C$5:$C$500,$A85,'LANÇAMENTOS DIÁRIOS'!$O$5:$O$500,"&lt;=127399",'LANÇAMENTOS DIÁRIOS'!$P$5:$P$500,"&gt;=127300")&gt;0,"X","")</f>
      </c>
      <c r="AF85" s="56" t="str">
        <f>IF(COUNTIFS('LANÇAMENTOS DIÁRIOS'!$G$5:$G$500,"H",'LANÇAMENTOS DIÁRIOS'!$C$5:$C$500,$A85,'LANÇAMENTOS DIÁRIOS'!$O$5:$O$500,"&lt;=127499",'LANÇAMENTOS DIÁRIOS'!$P$5:$P$500,"&gt;=127400")&gt;0,"X","")</f>
      </c>
      <c r="AG85" s="56" t="str">
        <f>IF(COUNTIFS('LANÇAMENTOS DIÁRIOS'!$G$5:$G$500,"H",'LANÇAMENTOS DIÁRIOS'!$C$5:$C$500,$A85,'LANÇAMENTOS DIÁRIOS'!$O$5:$O$500,"&lt;=127599",'LANÇAMENTOS DIÁRIOS'!$P$5:$P$500,"&gt;=127500")&gt;0,"X","")</f>
      </c>
      <c r="AH85" s="56" t="str">
        <f>IF(COUNTIFS('LANÇAMENTOS DIÁRIOS'!$G$5:$G$500,"H",'LANÇAMENTOS DIÁRIOS'!$C$5:$C$500,$A85,'LANÇAMENTOS DIÁRIOS'!$O$5:$O$500,"&lt;=127699",'LANÇAMENTOS DIÁRIOS'!$P$5:$P$500,"&gt;=127600")&gt;0,"X","")</f>
      </c>
      <c r="AI85" s="56" t="str">
        <f>IF(COUNTIFS('LANÇAMENTOS DIÁRIOS'!$G$5:$G$500,"H",'LANÇAMENTOS DIÁRIOS'!$C$5:$C$500,$A85,'LANÇAMENTOS DIÁRIOS'!$O$5:$O$500,"&lt;=127799",'LANÇAMENTOS DIÁRIOS'!$P$5:$P$500,"&gt;=127700")&gt;0,"X","")</f>
      </c>
      <c r="AJ85" s="56" t="str">
        <f>IF(COUNTIFS('LANÇAMENTOS DIÁRIOS'!$G$5:$G$500,"H",'LANÇAMENTOS DIÁRIOS'!$C$5:$C$500,$A85,'LANÇAMENTOS DIÁRIOS'!$O$5:$O$500,"&lt;=127899",'LANÇAMENTOS DIÁRIOS'!$P$5:$P$500,"&gt;=127800")&gt;0,"X","")</f>
      </c>
      <c r="AK85" s="56" t="str">
        <f>IF(COUNTIFS('LANÇAMENTOS DIÁRIOS'!$G$5:$G$500,"H",'LANÇAMENTOS DIÁRIOS'!$C$5:$C$500,$A85,'LANÇAMENTOS DIÁRIOS'!$O$5:$O$500,"&lt;=127999",'LANÇAMENTOS DIÁRIOS'!$P$5:$P$500,"&gt;=127900")&gt;0,"X","")</f>
      </c>
      <c r="AL85" s="56" t="str">
        <f>IF(COUNTIFS('LANÇAMENTOS DIÁRIOS'!$G$5:$G$500,"H",'LANÇAMENTOS DIÁRIOS'!$C$5:$C$500,$A85,'LANÇAMENTOS DIÁRIOS'!$O$5:$O$500,"&lt;=128099",'LANÇAMENTOS DIÁRIOS'!$P$5:$P$500,"&gt;=128000")&gt;0,"X","")</f>
      </c>
      <c r="AM85" s="56" t="str">
        <f>IF(COUNTIFS('LANÇAMENTOS DIÁRIOS'!$G$5:$G$500,"H",'LANÇAMENTOS DIÁRIOS'!$C$5:$C$500,$A85,'LANÇAMENTOS DIÁRIOS'!$O$5:$O$500,"&lt;=128199",'LANÇAMENTOS DIÁRIOS'!$P$5:$P$500,"&gt;=128100")&gt;0,"X","")</f>
      </c>
      <c r="AN85" s="56" t="str">
        <f>IF(COUNTIFS('LANÇAMENTOS DIÁRIOS'!$G$5:$G$500,"H",'LANÇAMENTOS DIÁRIOS'!$C$5:$C$500,$A85,'LANÇAMENTOS DIÁRIOS'!$O$5:$O$500,"&lt;=128299",'LANÇAMENTOS DIÁRIOS'!$P$5:$P$500,"&gt;=128200")&gt;0,"X","")</f>
      </c>
      <c r="AO85" s="56" t="str">
        <f>IF(COUNTIFS('LANÇAMENTOS DIÁRIOS'!$G$5:$G$500,"H",'LANÇAMENTOS DIÁRIOS'!$C$5:$C$500,$A85,'LANÇAMENTOS DIÁRIOS'!$O$5:$O$500,"&lt;=128399",'LANÇAMENTOS DIÁRIOS'!$P$5:$P$500,"&gt;=128300")&gt;0,"X","")</f>
      </c>
      <c r="AP85" s="56" t="str">
        <f>IF(COUNTIFS('LANÇAMENTOS DIÁRIOS'!$G$5:$G$500,"H",'LANÇAMENTOS DIÁRIOS'!$C$5:$C$500,$A85,'LANÇAMENTOS DIÁRIOS'!$O$5:$O$500,"&lt;=128499",'LANÇAMENTOS DIÁRIOS'!$P$5:$P$500,"&gt;=128400")&gt;0,"X","")</f>
      </c>
      <c r="AQ85" s="56" t="str">
        <f>IF(COUNTIFS('LANÇAMENTOS DIÁRIOS'!$G$5:$G$500,"H",'LANÇAMENTOS DIÁRIOS'!$C$5:$C$500,$A85,'LANÇAMENTOS DIÁRIOS'!$O$5:$O$500,"&lt;=128599",'LANÇAMENTOS DIÁRIOS'!$P$5:$P$500,"&gt;=128500")&gt;0,"X","")</f>
      </c>
      <c r="AR85" s="56" t="str">
        <f>IF(COUNTIFS('LANÇAMENTOS DIÁRIOS'!$G$5:$G$500,"H",'LANÇAMENTOS DIÁRIOS'!$C$5:$C$500,$A85,'LANÇAMENTOS DIÁRIOS'!$O$5:$O$500,"&lt;=128699",'LANÇAMENTOS DIÁRIOS'!$P$5:$P$500,"&gt;=128600")&gt;0,"X","")</f>
      </c>
      <c r="AS85" s="56" t="str">
        <f>IF(COUNTIFS('LANÇAMENTOS DIÁRIOS'!$G$5:$G$500,"H",'LANÇAMENTOS DIÁRIOS'!$C$5:$C$500,$A85,'LANÇAMENTOS DIÁRIOS'!$O$5:$O$500,"&lt;=128799",'LANÇAMENTOS DIÁRIOS'!$P$5:$P$500,"&gt;=128700")&gt;0,"X","")</f>
      </c>
      <c r="AT85" s="56" t="str">
        <f>IF(COUNTIFS('LANÇAMENTOS DIÁRIOS'!$G$5:$G$500,"H",'LANÇAMENTOS DIÁRIOS'!$C$5:$C$500,$A85,'LANÇAMENTOS DIÁRIOS'!$O$5:$O$500,"&lt;=128899",'LANÇAMENTOS DIÁRIOS'!$P$5:$P$500,"&gt;=128800")&gt;0,"X","")</f>
      </c>
      <c r="AU85" s="56" t="str">
        <f>IF(COUNTIFS('LANÇAMENTOS DIÁRIOS'!$G$5:$G$500,"H",'LANÇAMENTOS DIÁRIOS'!$C$5:$C$500,$A85,'LANÇAMENTOS DIÁRIOS'!$O$5:$O$500,"&lt;=128999",'LANÇAMENTOS DIÁRIOS'!$P$5:$P$500,"&gt;=128900")&gt;0,"X","")</f>
      </c>
      <c r="AV85" s="56" t="str">
        <f>IF(COUNTIFS('LANÇAMENTOS DIÁRIOS'!$G$5:$G$500,"H",'LANÇAMENTOS DIÁRIOS'!$C$5:$C$500,$A85,'LANÇAMENTOS DIÁRIOS'!$O$5:$O$500,"&lt;=129099",'LANÇAMENTOS DIÁRIOS'!$P$5:$P$500,"&gt;=129000")&gt;0,"X","")</f>
      </c>
      <c r="AW85" s="56" t="str">
        <f>IF(COUNTIFS('LANÇAMENTOS DIÁRIOS'!$G$5:$G$500,"H",'LANÇAMENTOS DIÁRIOS'!$C$5:$C$500,$A85,'LANÇAMENTOS DIÁRIOS'!$O$5:$O$500,"&lt;=129199",'LANÇAMENTOS DIÁRIOS'!$P$5:$P$500,"&gt;=129100")&gt;0,"X","")</f>
      </c>
      <c r="AX85" s="56" t="str">
        <f>IF(COUNTIFS('LANÇAMENTOS DIÁRIOS'!$G$5:$G$500,"H",'LANÇAMENTOS DIÁRIOS'!$C$5:$C$500,$A85,'LANÇAMENTOS DIÁRIOS'!$O$5:$O$500,"&lt;=129299",'LANÇAMENTOS DIÁRIOS'!$P$5:$P$500,"&gt;=129200")&gt;0,"X","")</f>
      </c>
      <c r="AY85" s="56" t="str">
        <f>IF(COUNTIFS('LANÇAMENTOS DIÁRIOS'!$G$5:$G$500,"H",'LANÇAMENTOS DIÁRIOS'!$C$5:$C$500,$A85,'LANÇAMENTOS DIÁRIOS'!$O$5:$O$500,"&lt;=129399",'LANÇAMENTOS DIÁRIOS'!$P$5:$P$500,"&gt;=129300")&gt;0,"X","")</f>
      </c>
      <c r="AZ85" s="56" t="str">
        <f>IF(COUNTIFS('LANÇAMENTOS DIÁRIOS'!$G$5:$G$500,"H",'LANÇAMENTOS DIÁRIOS'!$C$5:$C$500,$A85,'LANÇAMENTOS DIÁRIOS'!$O$5:$O$500,"&lt;=129400",'LANÇAMENTOS DIÁRIOS'!$P$5:$P$500,"&gt;=129400")&gt;0,"X","")</f>
      </c>
    </row>
    <row r="86">
      <c r="A86" s="51" t="str">
        <v>Imprimadura ligante, sem fornecimento de materiais</v>
      </c>
      <c r="B86" s="56" t="str">
        <f>IF(COUNTIFS('LANÇAMENTOS DIÁRIOS'!$G$5:$G$500,"H",'LANÇAMENTOS DIÁRIOS'!$C$5:$C$500,$A86,'LANÇAMENTOS DIÁRIOS'!$O$5:$O$500,"&lt;=124499",'LANÇAMENTOS DIÁRIOS'!$P$5:$P$500,"&gt;=124400")&gt;0,"X","")</f>
      </c>
      <c r="C86" s="56" t="str">
        <f>IF(COUNTIFS('LANÇAMENTOS DIÁRIOS'!$G$5:$G$500,"H",'LANÇAMENTOS DIÁRIOS'!$C$5:$C$500,$A86,'LANÇAMENTOS DIÁRIOS'!$O$5:$O$500,"&lt;=124599",'LANÇAMENTOS DIÁRIOS'!$P$5:$P$500,"&gt;=124500")&gt;0,"X","")</f>
      </c>
      <c r="D86" s="56" t="str">
        <f>IF(COUNTIFS('LANÇAMENTOS DIÁRIOS'!$G$5:$G$500,"H",'LANÇAMENTOS DIÁRIOS'!$C$5:$C$500,$A86,'LANÇAMENTOS DIÁRIOS'!$O$5:$O$500,"&lt;=124699",'LANÇAMENTOS DIÁRIOS'!$P$5:$P$500,"&gt;=124600")&gt;0,"X","")</f>
      </c>
      <c r="E86" s="56" t="str">
        <f>IF(COUNTIFS('LANÇAMENTOS DIÁRIOS'!$G$5:$G$500,"H",'LANÇAMENTOS DIÁRIOS'!$C$5:$C$500,$A86,'LANÇAMENTOS DIÁRIOS'!$O$5:$O$500,"&lt;=124799",'LANÇAMENTOS DIÁRIOS'!$P$5:$P$500,"&gt;=124700")&gt;0,"X","")</f>
      </c>
      <c r="F86" s="56" t="str">
        <f>IF(COUNTIFS('LANÇAMENTOS DIÁRIOS'!$G$5:$G$500,"H",'LANÇAMENTOS DIÁRIOS'!$C$5:$C$500,$A86,'LANÇAMENTOS DIÁRIOS'!$O$5:$O$500,"&lt;=124899",'LANÇAMENTOS DIÁRIOS'!$P$5:$P$500,"&gt;=124800")&gt;0,"X","")</f>
      </c>
      <c r="G86" s="56" t="str">
        <f>IF(COUNTIFS('LANÇAMENTOS DIÁRIOS'!$G$5:$G$500,"H",'LANÇAMENTOS DIÁRIOS'!$C$5:$C$500,$A86,'LANÇAMENTOS DIÁRIOS'!$O$5:$O$500,"&lt;=124999",'LANÇAMENTOS DIÁRIOS'!$P$5:$P$500,"&gt;=124900")&gt;0,"X","")</f>
      </c>
      <c r="H86" s="56" t="str">
        <f>IF(COUNTIFS('LANÇAMENTOS DIÁRIOS'!$G$5:$G$500,"H",'LANÇAMENTOS DIÁRIOS'!$C$5:$C$500,$A86,'LANÇAMENTOS DIÁRIOS'!$O$5:$O$500,"&lt;=125099",'LANÇAMENTOS DIÁRIOS'!$P$5:$P$500,"&gt;=125000")&gt;0,"X","")</f>
      </c>
      <c r="I86" s="56" t="str">
        <f>IF(COUNTIFS('LANÇAMENTOS DIÁRIOS'!$G$5:$G$500,"H",'LANÇAMENTOS DIÁRIOS'!$C$5:$C$500,$A86,'LANÇAMENTOS DIÁRIOS'!$O$5:$O$500,"&lt;=125199",'LANÇAMENTOS DIÁRIOS'!$P$5:$P$500,"&gt;=125100")&gt;0,"X","")</f>
      </c>
      <c r="J86" s="56" t="str">
        <f>IF(COUNTIFS('LANÇAMENTOS DIÁRIOS'!$G$5:$G$500,"H",'LANÇAMENTOS DIÁRIOS'!$C$5:$C$500,$A86,'LANÇAMENTOS DIÁRIOS'!$O$5:$O$500,"&lt;=125299",'LANÇAMENTOS DIÁRIOS'!$P$5:$P$500,"&gt;=125200")&gt;0,"X","")</f>
      </c>
      <c r="K86" s="56" t="str">
        <f>IF(COUNTIFS('LANÇAMENTOS DIÁRIOS'!$G$5:$G$500,"H",'LANÇAMENTOS DIÁRIOS'!$C$5:$C$500,$A86,'LANÇAMENTOS DIÁRIOS'!$O$5:$O$500,"&lt;=125399",'LANÇAMENTOS DIÁRIOS'!$P$5:$P$500,"&gt;=125300")&gt;0,"X","")</f>
      </c>
      <c r="L86" s="56" t="str">
        <f>IF(COUNTIFS('LANÇAMENTOS DIÁRIOS'!$G$5:$G$500,"H",'LANÇAMENTOS DIÁRIOS'!$C$5:$C$500,$A86,'LANÇAMENTOS DIÁRIOS'!$O$5:$O$500,"&lt;=125499",'LANÇAMENTOS DIÁRIOS'!$P$5:$P$500,"&gt;=125400")&gt;0,"X","")</f>
      </c>
      <c r="M86" s="56" t="str">
        <f>IF(COUNTIFS('LANÇAMENTOS DIÁRIOS'!$G$5:$G$500,"H",'LANÇAMENTOS DIÁRIOS'!$C$5:$C$500,$A86,'LANÇAMENTOS DIÁRIOS'!$O$5:$O$500,"&lt;=125599",'LANÇAMENTOS DIÁRIOS'!$P$5:$P$500,"&gt;=125500")&gt;0,"X","")</f>
      </c>
      <c r="N86" s="56" t="str">
        <f>IF(COUNTIFS('LANÇAMENTOS DIÁRIOS'!$G$5:$G$500,"H",'LANÇAMENTOS DIÁRIOS'!$C$5:$C$500,$A86,'LANÇAMENTOS DIÁRIOS'!$O$5:$O$500,"&lt;=125699",'LANÇAMENTOS DIÁRIOS'!$P$5:$P$500,"&gt;=125600")&gt;0,"X","")</f>
      </c>
      <c r="O86" s="56" t="str">
        <f>IF(COUNTIFS('LANÇAMENTOS DIÁRIOS'!$G$5:$G$500,"H",'LANÇAMENTOS DIÁRIOS'!$C$5:$C$500,$A86,'LANÇAMENTOS DIÁRIOS'!$O$5:$O$500,"&lt;=125799",'LANÇAMENTOS DIÁRIOS'!$P$5:$P$500,"&gt;=125700")&gt;0,"X","")</f>
      </c>
      <c r="P86" s="56" t="str">
        <f>IF(COUNTIFS('LANÇAMENTOS DIÁRIOS'!$G$5:$G$500,"H",'LANÇAMENTOS DIÁRIOS'!$C$5:$C$500,$A86,'LANÇAMENTOS DIÁRIOS'!$O$5:$O$500,"&lt;=125899",'LANÇAMENTOS DIÁRIOS'!$P$5:$P$500,"&gt;=125800")&gt;0,"X","")</f>
      </c>
      <c r="Q86" s="56" t="str">
        <f>IF(COUNTIFS('LANÇAMENTOS DIÁRIOS'!$G$5:$G$500,"H",'LANÇAMENTOS DIÁRIOS'!$C$5:$C$500,$A86,'LANÇAMENTOS DIÁRIOS'!$O$5:$O$500,"&lt;=125999",'LANÇAMENTOS DIÁRIOS'!$P$5:$P$500,"&gt;=125900")&gt;0,"X","")</f>
      </c>
      <c r="R86" s="56" t="str">
        <f>IF(COUNTIFS('LANÇAMENTOS DIÁRIOS'!$G$5:$G$500,"H",'LANÇAMENTOS DIÁRIOS'!$C$5:$C$500,$A86,'LANÇAMENTOS DIÁRIOS'!$O$5:$O$500,"&lt;=126099",'LANÇAMENTOS DIÁRIOS'!$P$5:$P$500,"&gt;=126000")&gt;0,"X","")</f>
      </c>
      <c r="S86" s="56" t="str">
        <f>IF(COUNTIFS('LANÇAMENTOS DIÁRIOS'!$G$5:$G$500,"H",'LANÇAMENTOS DIÁRIOS'!$C$5:$C$500,$A86,'LANÇAMENTOS DIÁRIOS'!$O$5:$O$500,"&lt;=126199",'LANÇAMENTOS DIÁRIOS'!$P$5:$P$500,"&gt;=126100")&gt;0,"X","")</f>
      </c>
      <c r="T86" s="56" t="str">
        <f>IF(COUNTIFS('LANÇAMENTOS DIÁRIOS'!$G$5:$G$500,"H",'LANÇAMENTOS DIÁRIOS'!$C$5:$C$500,$A86,'LANÇAMENTOS DIÁRIOS'!$O$5:$O$500,"&lt;=126299",'LANÇAMENTOS DIÁRIOS'!$P$5:$P$500,"&gt;=126200")&gt;0,"X","")</f>
      </c>
      <c r="U86" s="56" t="str">
        <f>IF(COUNTIFS('LANÇAMENTOS DIÁRIOS'!$G$5:$G$500,"H",'LANÇAMENTOS DIÁRIOS'!$C$5:$C$500,$A86,'LANÇAMENTOS DIÁRIOS'!$O$5:$O$500,"&lt;=126399",'LANÇAMENTOS DIÁRIOS'!$P$5:$P$500,"&gt;=126300")&gt;0,"X","")</f>
      </c>
      <c r="V86" s="56" t="str">
        <f>IF(COUNTIFS('LANÇAMENTOS DIÁRIOS'!$G$5:$G$500,"H",'LANÇAMENTOS DIÁRIOS'!$C$5:$C$500,$A86,'LANÇAMENTOS DIÁRIOS'!$O$5:$O$500,"&lt;=126499",'LANÇAMENTOS DIÁRIOS'!$P$5:$P$500,"&gt;=126400")&gt;0,"X","")</f>
      </c>
      <c r="W86" s="56" t="str">
        <f>IF(COUNTIFS('LANÇAMENTOS DIÁRIOS'!$G$5:$G$500,"H",'LANÇAMENTOS DIÁRIOS'!$C$5:$C$500,$A86,'LANÇAMENTOS DIÁRIOS'!$O$5:$O$500,"&lt;=126599",'LANÇAMENTOS DIÁRIOS'!$P$5:$P$500,"&gt;=126500")&gt;0,"X","")</f>
      </c>
      <c r="X86" s="56" t="str">
        <f>IF(COUNTIFS('LANÇAMENTOS DIÁRIOS'!$G$5:$G$500,"H",'LANÇAMENTOS DIÁRIOS'!$C$5:$C$500,$A86,'LANÇAMENTOS DIÁRIOS'!$O$5:$O$500,"&lt;=126699",'LANÇAMENTOS DIÁRIOS'!$P$5:$P$500,"&gt;=126600")&gt;0,"X","")</f>
      </c>
      <c r="Y86" s="56" t="str">
        <f>IF(COUNTIFS('LANÇAMENTOS DIÁRIOS'!$G$5:$G$500,"H",'LANÇAMENTOS DIÁRIOS'!$C$5:$C$500,$A86,'LANÇAMENTOS DIÁRIOS'!$O$5:$O$500,"&lt;=126799",'LANÇAMENTOS DIÁRIOS'!$P$5:$P$500,"&gt;=126700")&gt;0,"X","")</f>
      </c>
      <c r="Z86" s="56" t="str">
        <f>IF(COUNTIFS('LANÇAMENTOS DIÁRIOS'!$G$5:$G$500,"H",'LANÇAMENTOS DIÁRIOS'!$C$5:$C$500,$A86,'LANÇAMENTOS DIÁRIOS'!$O$5:$O$500,"&lt;=126899",'LANÇAMENTOS DIÁRIOS'!$P$5:$P$500,"&gt;=126800")&gt;0,"X","")</f>
      </c>
      <c r="AA86" s="56" t="str">
        <f>IF(COUNTIFS('LANÇAMENTOS DIÁRIOS'!$G$5:$G$500,"H",'LANÇAMENTOS DIÁRIOS'!$C$5:$C$500,$A86,'LANÇAMENTOS DIÁRIOS'!$O$5:$O$500,"&lt;=126999",'LANÇAMENTOS DIÁRIOS'!$P$5:$P$500,"&gt;=126900")&gt;0,"X","")</f>
      </c>
      <c r="AB86" s="56" t="str">
        <f>IF(COUNTIFS('LANÇAMENTOS DIÁRIOS'!$G$5:$G$500,"H",'LANÇAMENTOS DIÁRIOS'!$C$5:$C$500,$A86,'LANÇAMENTOS DIÁRIOS'!$O$5:$O$500,"&lt;=127099",'LANÇAMENTOS DIÁRIOS'!$P$5:$P$500,"&gt;=127000")&gt;0,"X","")</f>
      </c>
      <c r="AC86" s="56" t="str">
        <f>IF(COUNTIFS('LANÇAMENTOS DIÁRIOS'!$G$5:$G$500,"H",'LANÇAMENTOS DIÁRIOS'!$C$5:$C$500,$A86,'LANÇAMENTOS DIÁRIOS'!$O$5:$O$500,"&lt;=127199",'LANÇAMENTOS DIÁRIOS'!$P$5:$P$500,"&gt;=127100")&gt;0,"X","")</f>
      </c>
      <c r="AD86" s="56" t="str">
        <f>IF(COUNTIFS('LANÇAMENTOS DIÁRIOS'!$G$5:$G$500,"H",'LANÇAMENTOS DIÁRIOS'!$C$5:$C$500,$A86,'LANÇAMENTOS DIÁRIOS'!$O$5:$O$500,"&lt;=127299",'LANÇAMENTOS DIÁRIOS'!$P$5:$P$500,"&gt;=127200")&gt;0,"X","")</f>
      </c>
      <c r="AE86" s="56" t="str">
        <f>IF(COUNTIFS('LANÇAMENTOS DIÁRIOS'!$G$5:$G$500,"H",'LANÇAMENTOS DIÁRIOS'!$C$5:$C$500,$A86,'LANÇAMENTOS DIÁRIOS'!$O$5:$O$500,"&lt;=127399",'LANÇAMENTOS DIÁRIOS'!$P$5:$P$500,"&gt;=127300")&gt;0,"X","")</f>
      </c>
      <c r="AF86" s="56" t="str">
        <f>IF(COUNTIFS('LANÇAMENTOS DIÁRIOS'!$G$5:$G$500,"H",'LANÇAMENTOS DIÁRIOS'!$C$5:$C$500,$A86,'LANÇAMENTOS DIÁRIOS'!$O$5:$O$500,"&lt;=127499",'LANÇAMENTOS DIÁRIOS'!$P$5:$P$500,"&gt;=127400")&gt;0,"X","")</f>
      </c>
      <c r="AG86" s="56" t="str">
        <f>IF(COUNTIFS('LANÇAMENTOS DIÁRIOS'!$G$5:$G$500,"H",'LANÇAMENTOS DIÁRIOS'!$C$5:$C$500,$A86,'LANÇAMENTOS DIÁRIOS'!$O$5:$O$500,"&lt;=127599",'LANÇAMENTOS DIÁRIOS'!$P$5:$P$500,"&gt;=127500")&gt;0,"X","")</f>
      </c>
      <c r="AH86" s="56" t="str">
        <f>IF(COUNTIFS('LANÇAMENTOS DIÁRIOS'!$G$5:$G$500,"H",'LANÇAMENTOS DIÁRIOS'!$C$5:$C$500,$A86,'LANÇAMENTOS DIÁRIOS'!$O$5:$O$500,"&lt;=127699",'LANÇAMENTOS DIÁRIOS'!$P$5:$P$500,"&gt;=127600")&gt;0,"X","")</f>
      </c>
      <c r="AI86" s="56" t="str">
        <f>IF(COUNTIFS('LANÇAMENTOS DIÁRIOS'!$G$5:$G$500,"H",'LANÇAMENTOS DIÁRIOS'!$C$5:$C$500,$A86,'LANÇAMENTOS DIÁRIOS'!$O$5:$O$500,"&lt;=127799",'LANÇAMENTOS DIÁRIOS'!$P$5:$P$500,"&gt;=127700")&gt;0,"X","")</f>
      </c>
      <c r="AJ86" s="56" t="str">
        <f>IF(COUNTIFS('LANÇAMENTOS DIÁRIOS'!$G$5:$G$500,"H",'LANÇAMENTOS DIÁRIOS'!$C$5:$C$500,$A86,'LANÇAMENTOS DIÁRIOS'!$O$5:$O$500,"&lt;=127899",'LANÇAMENTOS DIÁRIOS'!$P$5:$P$500,"&gt;=127800")&gt;0,"X","")</f>
      </c>
      <c r="AK86" s="56" t="str">
        <f>IF(COUNTIFS('LANÇAMENTOS DIÁRIOS'!$G$5:$G$500,"H",'LANÇAMENTOS DIÁRIOS'!$C$5:$C$500,$A86,'LANÇAMENTOS DIÁRIOS'!$O$5:$O$500,"&lt;=127999",'LANÇAMENTOS DIÁRIOS'!$P$5:$P$500,"&gt;=127900")&gt;0,"X","")</f>
      </c>
      <c r="AL86" s="56" t="str">
        <f>IF(COUNTIFS('LANÇAMENTOS DIÁRIOS'!$G$5:$G$500,"H",'LANÇAMENTOS DIÁRIOS'!$C$5:$C$500,$A86,'LANÇAMENTOS DIÁRIOS'!$O$5:$O$500,"&lt;=128099",'LANÇAMENTOS DIÁRIOS'!$P$5:$P$500,"&gt;=128000")&gt;0,"X","")</f>
      </c>
      <c r="AM86" s="56" t="str">
        <f>IF(COUNTIFS('LANÇAMENTOS DIÁRIOS'!$G$5:$G$500,"H",'LANÇAMENTOS DIÁRIOS'!$C$5:$C$500,$A86,'LANÇAMENTOS DIÁRIOS'!$O$5:$O$500,"&lt;=128199",'LANÇAMENTOS DIÁRIOS'!$P$5:$P$500,"&gt;=128100")&gt;0,"X","")</f>
      </c>
      <c r="AN86" s="56" t="str">
        <f>IF(COUNTIFS('LANÇAMENTOS DIÁRIOS'!$G$5:$G$500,"H",'LANÇAMENTOS DIÁRIOS'!$C$5:$C$500,$A86,'LANÇAMENTOS DIÁRIOS'!$O$5:$O$500,"&lt;=128299",'LANÇAMENTOS DIÁRIOS'!$P$5:$P$500,"&gt;=128200")&gt;0,"X","")</f>
      </c>
      <c r="AO86" s="56" t="str">
        <f>IF(COUNTIFS('LANÇAMENTOS DIÁRIOS'!$G$5:$G$500,"H",'LANÇAMENTOS DIÁRIOS'!$C$5:$C$500,$A86,'LANÇAMENTOS DIÁRIOS'!$O$5:$O$500,"&lt;=128399",'LANÇAMENTOS DIÁRIOS'!$P$5:$P$500,"&gt;=128300")&gt;0,"X","")</f>
      </c>
      <c r="AP86" s="56" t="str">
        <f>IF(COUNTIFS('LANÇAMENTOS DIÁRIOS'!$G$5:$G$500,"H",'LANÇAMENTOS DIÁRIOS'!$C$5:$C$500,$A86,'LANÇAMENTOS DIÁRIOS'!$O$5:$O$500,"&lt;=128499",'LANÇAMENTOS DIÁRIOS'!$P$5:$P$500,"&gt;=128400")&gt;0,"X","")</f>
      </c>
      <c r="AQ86" s="56" t="str">
        <f>IF(COUNTIFS('LANÇAMENTOS DIÁRIOS'!$G$5:$G$500,"H",'LANÇAMENTOS DIÁRIOS'!$C$5:$C$500,$A86,'LANÇAMENTOS DIÁRIOS'!$O$5:$O$500,"&lt;=128599",'LANÇAMENTOS DIÁRIOS'!$P$5:$P$500,"&gt;=128500")&gt;0,"X","")</f>
      </c>
      <c r="AR86" s="56" t="str">
        <f>IF(COUNTIFS('LANÇAMENTOS DIÁRIOS'!$G$5:$G$500,"H",'LANÇAMENTOS DIÁRIOS'!$C$5:$C$500,$A86,'LANÇAMENTOS DIÁRIOS'!$O$5:$O$500,"&lt;=128699",'LANÇAMENTOS DIÁRIOS'!$P$5:$P$500,"&gt;=128600")&gt;0,"X","")</f>
      </c>
      <c r="AS86" s="56" t="str">
        <f>IF(COUNTIFS('LANÇAMENTOS DIÁRIOS'!$G$5:$G$500,"H",'LANÇAMENTOS DIÁRIOS'!$C$5:$C$500,$A86,'LANÇAMENTOS DIÁRIOS'!$O$5:$O$500,"&lt;=128799",'LANÇAMENTOS DIÁRIOS'!$P$5:$P$500,"&gt;=128700")&gt;0,"X","")</f>
      </c>
      <c r="AT86" s="56" t="str">
        <f>IF(COUNTIFS('LANÇAMENTOS DIÁRIOS'!$G$5:$G$500,"H",'LANÇAMENTOS DIÁRIOS'!$C$5:$C$500,$A86,'LANÇAMENTOS DIÁRIOS'!$O$5:$O$500,"&lt;=128899",'LANÇAMENTOS DIÁRIOS'!$P$5:$P$500,"&gt;=128800")&gt;0,"X","")</f>
      </c>
      <c r="AU86" s="56" t="str">
        <f>IF(COUNTIFS('LANÇAMENTOS DIÁRIOS'!$G$5:$G$500,"H",'LANÇAMENTOS DIÁRIOS'!$C$5:$C$500,$A86,'LANÇAMENTOS DIÁRIOS'!$O$5:$O$500,"&lt;=128999",'LANÇAMENTOS DIÁRIOS'!$P$5:$P$500,"&gt;=128900")&gt;0,"X","")</f>
      </c>
      <c r="AV86" s="56" t="str">
        <f>IF(COUNTIFS('LANÇAMENTOS DIÁRIOS'!$G$5:$G$500,"H",'LANÇAMENTOS DIÁRIOS'!$C$5:$C$500,$A86,'LANÇAMENTOS DIÁRIOS'!$O$5:$O$500,"&lt;=129099",'LANÇAMENTOS DIÁRIOS'!$P$5:$P$500,"&gt;=129000")&gt;0,"X","")</f>
      </c>
      <c r="AW86" s="56" t="str">
        <f>IF(COUNTIFS('LANÇAMENTOS DIÁRIOS'!$G$5:$G$500,"H",'LANÇAMENTOS DIÁRIOS'!$C$5:$C$500,$A86,'LANÇAMENTOS DIÁRIOS'!$O$5:$O$500,"&lt;=129199",'LANÇAMENTOS DIÁRIOS'!$P$5:$P$500,"&gt;=129100")&gt;0,"X","")</f>
      </c>
      <c r="AX86" s="56" t="str">
        <f>IF(COUNTIFS('LANÇAMENTOS DIÁRIOS'!$G$5:$G$500,"H",'LANÇAMENTOS DIÁRIOS'!$C$5:$C$500,$A86,'LANÇAMENTOS DIÁRIOS'!$O$5:$O$500,"&lt;=129299",'LANÇAMENTOS DIÁRIOS'!$P$5:$P$500,"&gt;=129200")&gt;0,"X","")</f>
      </c>
      <c r="AY86" s="56" t="str">
        <f>IF(COUNTIFS('LANÇAMENTOS DIÁRIOS'!$G$5:$G$500,"H",'LANÇAMENTOS DIÁRIOS'!$C$5:$C$500,$A86,'LANÇAMENTOS DIÁRIOS'!$O$5:$O$500,"&lt;=129399",'LANÇAMENTOS DIÁRIOS'!$P$5:$P$500,"&gt;=129300")&gt;0,"X","")</f>
      </c>
      <c r="AZ86" s="56" t="str">
        <f>IF(COUNTIFS('LANÇAMENTOS DIÁRIOS'!$G$5:$G$500,"H",'LANÇAMENTOS DIÁRIOS'!$C$5:$C$500,$A86,'LANÇAMENTOS DIÁRIOS'!$O$5:$O$500,"&lt;=129400",'LANÇAMENTOS DIÁRIOS'!$P$5:$P$500,"&gt;=129400")&gt;0,"X","")</f>
      </c>
    </row>
    <row r="87">
      <c r="A87" s="51" t="str">
        <v>Concreto betuminoso usinado a quente SPV 16 mm, modificado por borracha, sem o fornecimento de CAP</v>
      </c>
      <c r="B87" s="56" t="str">
        <f>IF(COUNTIFS('LANÇAMENTOS DIÁRIOS'!$G$5:$G$500,"H",'LANÇAMENTOS DIÁRIOS'!$C$5:$C$500,$A87,'LANÇAMENTOS DIÁRIOS'!$O$5:$O$500,"&lt;=124499",'LANÇAMENTOS DIÁRIOS'!$P$5:$P$500,"&gt;=124400")&gt;0,"X","")</f>
      </c>
      <c r="C87" s="56" t="str">
        <f>IF(COUNTIFS('LANÇAMENTOS DIÁRIOS'!$G$5:$G$500,"H",'LANÇAMENTOS DIÁRIOS'!$C$5:$C$500,$A87,'LANÇAMENTOS DIÁRIOS'!$O$5:$O$500,"&lt;=124599",'LANÇAMENTOS DIÁRIOS'!$P$5:$P$500,"&gt;=124500")&gt;0,"X","")</f>
      </c>
      <c r="D87" s="56" t="str">
        <f>IF(COUNTIFS('LANÇAMENTOS DIÁRIOS'!$G$5:$G$500,"H",'LANÇAMENTOS DIÁRIOS'!$C$5:$C$500,$A87,'LANÇAMENTOS DIÁRIOS'!$O$5:$O$500,"&lt;=124699",'LANÇAMENTOS DIÁRIOS'!$P$5:$P$500,"&gt;=124600")&gt;0,"X","")</f>
      </c>
      <c r="E87" s="56" t="str">
        <f>IF(COUNTIFS('LANÇAMENTOS DIÁRIOS'!$G$5:$G$500,"H",'LANÇAMENTOS DIÁRIOS'!$C$5:$C$500,$A87,'LANÇAMENTOS DIÁRIOS'!$O$5:$O$500,"&lt;=124799",'LANÇAMENTOS DIÁRIOS'!$P$5:$P$500,"&gt;=124700")&gt;0,"X","")</f>
      </c>
      <c r="F87" s="56" t="str">
        <f>IF(COUNTIFS('LANÇAMENTOS DIÁRIOS'!$G$5:$G$500,"H",'LANÇAMENTOS DIÁRIOS'!$C$5:$C$500,$A87,'LANÇAMENTOS DIÁRIOS'!$O$5:$O$500,"&lt;=124899",'LANÇAMENTOS DIÁRIOS'!$P$5:$P$500,"&gt;=124800")&gt;0,"X","")</f>
      </c>
      <c r="G87" s="56" t="str">
        <f>IF(COUNTIFS('LANÇAMENTOS DIÁRIOS'!$G$5:$G$500,"H",'LANÇAMENTOS DIÁRIOS'!$C$5:$C$500,$A87,'LANÇAMENTOS DIÁRIOS'!$O$5:$O$500,"&lt;=124999",'LANÇAMENTOS DIÁRIOS'!$P$5:$P$500,"&gt;=124900")&gt;0,"X","")</f>
      </c>
      <c r="H87" s="56" t="str">
        <f>IF(COUNTIFS('LANÇAMENTOS DIÁRIOS'!$G$5:$G$500,"H",'LANÇAMENTOS DIÁRIOS'!$C$5:$C$500,$A87,'LANÇAMENTOS DIÁRIOS'!$O$5:$O$500,"&lt;=125099",'LANÇAMENTOS DIÁRIOS'!$P$5:$P$500,"&gt;=125000")&gt;0,"X","")</f>
      </c>
      <c r="I87" s="56" t="str">
        <f>IF(COUNTIFS('LANÇAMENTOS DIÁRIOS'!$G$5:$G$500,"H",'LANÇAMENTOS DIÁRIOS'!$C$5:$C$500,$A87,'LANÇAMENTOS DIÁRIOS'!$O$5:$O$500,"&lt;=125199",'LANÇAMENTOS DIÁRIOS'!$P$5:$P$500,"&gt;=125100")&gt;0,"X","")</f>
      </c>
      <c r="J87" s="56" t="str">
        <f>IF(COUNTIFS('LANÇAMENTOS DIÁRIOS'!$G$5:$G$500,"H",'LANÇAMENTOS DIÁRIOS'!$C$5:$C$500,$A87,'LANÇAMENTOS DIÁRIOS'!$O$5:$O$500,"&lt;=125299",'LANÇAMENTOS DIÁRIOS'!$P$5:$P$500,"&gt;=125200")&gt;0,"X","")</f>
      </c>
      <c r="K87" s="56" t="str">
        <f>IF(COUNTIFS('LANÇAMENTOS DIÁRIOS'!$G$5:$G$500,"H",'LANÇAMENTOS DIÁRIOS'!$C$5:$C$500,$A87,'LANÇAMENTOS DIÁRIOS'!$O$5:$O$500,"&lt;=125399",'LANÇAMENTOS DIÁRIOS'!$P$5:$P$500,"&gt;=125300")&gt;0,"X","")</f>
      </c>
      <c r="L87" s="56" t="str">
        <f>IF(COUNTIFS('LANÇAMENTOS DIÁRIOS'!$G$5:$G$500,"H",'LANÇAMENTOS DIÁRIOS'!$C$5:$C$500,$A87,'LANÇAMENTOS DIÁRIOS'!$O$5:$O$500,"&lt;=125499",'LANÇAMENTOS DIÁRIOS'!$P$5:$P$500,"&gt;=125400")&gt;0,"X","")</f>
      </c>
      <c r="M87" s="56" t="str">
        <f>IF(COUNTIFS('LANÇAMENTOS DIÁRIOS'!$G$5:$G$500,"H",'LANÇAMENTOS DIÁRIOS'!$C$5:$C$500,$A87,'LANÇAMENTOS DIÁRIOS'!$O$5:$O$500,"&lt;=125599",'LANÇAMENTOS DIÁRIOS'!$P$5:$P$500,"&gt;=125500")&gt;0,"X","")</f>
      </c>
      <c r="N87" s="56" t="str">
        <f>IF(COUNTIFS('LANÇAMENTOS DIÁRIOS'!$G$5:$G$500,"H",'LANÇAMENTOS DIÁRIOS'!$C$5:$C$500,$A87,'LANÇAMENTOS DIÁRIOS'!$O$5:$O$500,"&lt;=125699",'LANÇAMENTOS DIÁRIOS'!$P$5:$P$500,"&gt;=125600")&gt;0,"X","")</f>
      </c>
      <c r="O87" s="56" t="str">
        <f>IF(COUNTIFS('LANÇAMENTOS DIÁRIOS'!$G$5:$G$500,"H",'LANÇAMENTOS DIÁRIOS'!$C$5:$C$500,$A87,'LANÇAMENTOS DIÁRIOS'!$O$5:$O$500,"&lt;=125799",'LANÇAMENTOS DIÁRIOS'!$P$5:$P$500,"&gt;=125700")&gt;0,"X","")</f>
      </c>
      <c r="P87" s="56" t="str">
        <f>IF(COUNTIFS('LANÇAMENTOS DIÁRIOS'!$G$5:$G$500,"H",'LANÇAMENTOS DIÁRIOS'!$C$5:$C$500,$A87,'LANÇAMENTOS DIÁRIOS'!$O$5:$O$500,"&lt;=125899",'LANÇAMENTOS DIÁRIOS'!$P$5:$P$500,"&gt;=125800")&gt;0,"X","")</f>
      </c>
      <c r="Q87" s="56" t="str">
        <f>IF(COUNTIFS('LANÇAMENTOS DIÁRIOS'!$G$5:$G$500,"H",'LANÇAMENTOS DIÁRIOS'!$C$5:$C$500,$A87,'LANÇAMENTOS DIÁRIOS'!$O$5:$O$500,"&lt;=125999",'LANÇAMENTOS DIÁRIOS'!$P$5:$P$500,"&gt;=125900")&gt;0,"X","")</f>
      </c>
      <c r="R87" s="56" t="str">
        <f>IF(COUNTIFS('LANÇAMENTOS DIÁRIOS'!$G$5:$G$500,"H",'LANÇAMENTOS DIÁRIOS'!$C$5:$C$500,$A87,'LANÇAMENTOS DIÁRIOS'!$O$5:$O$500,"&lt;=126099",'LANÇAMENTOS DIÁRIOS'!$P$5:$P$500,"&gt;=126000")&gt;0,"X","")</f>
      </c>
      <c r="S87" s="56" t="str">
        <f>IF(COUNTIFS('LANÇAMENTOS DIÁRIOS'!$G$5:$G$500,"H",'LANÇAMENTOS DIÁRIOS'!$C$5:$C$500,$A87,'LANÇAMENTOS DIÁRIOS'!$O$5:$O$500,"&lt;=126199",'LANÇAMENTOS DIÁRIOS'!$P$5:$P$500,"&gt;=126100")&gt;0,"X","")</f>
      </c>
      <c r="T87" s="56" t="str">
        <f>IF(COUNTIFS('LANÇAMENTOS DIÁRIOS'!$G$5:$G$500,"H",'LANÇAMENTOS DIÁRIOS'!$C$5:$C$500,$A87,'LANÇAMENTOS DIÁRIOS'!$O$5:$O$500,"&lt;=126299",'LANÇAMENTOS DIÁRIOS'!$P$5:$P$500,"&gt;=126200")&gt;0,"X","")</f>
      </c>
      <c r="U87" s="56" t="str">
        <f>IF(COUNTIFS('LANÇAMENTOS DIÁRIOS'!$G$5:$G$500,"H",'LANÇAMENTOS DIÁRIOS'!$C$5:$C$500,$A87,'LANÇAMENTOS DIÁRIOS'!$O$5:$O$500,"&lt;=126399",'LANÇAMENTOS DIÁRIOS'!$P$5:$P$500,"&gt;=126300")&gt;0,"X","")</f>
      </c>
      <c r="V87" s="56" t="str">
        <f>IF(COUNTIFS('LANÇAMENTOS DIÁRIOS'!$G$5:$G$500,"H",'LANÇAMENTOS DIÁRIOS'!$C$5:$C$500,$A87,'LANÇAMENTOS DIÁRIOS'!$O$5:$O$500,"&lt;=126499",'LANÇAMENTOS DIÁRIOS'!$P$5:$P$500,"&gt;=126400")&gt;0,"X","")</f>
      </c>
      <c r="W87" s="56" t="str">
        <f>IF(COUNTIFS('LANÇAMENTOS DIÁRIOS'!$G$5:$G$500,"H",'LANÇAMENTOS DIÁRIOS'!$C$5:$C$500,$A87,'LANÇAMENTOS DIÁRIOS'!$O$5:$O$500,"&lt;=126599",'LANÇAMENTOS DIÁRIOS'!$P$5:$P$500,"&gt;=126500")&gt;0,"X","")</f>
      </c>
      <c r="X87" s="56" t="str">
        <f>IF(COUNTIFS('LANÇAMENTOS DIÁRIOS'!$G$5:$G$500,"H",'LANÇAMENTOS DIÁRIOS'!$C$5:$C$500,$A87,'LANÇAMENTOS DIÁRIOS'!$O$5:$O$500,"&lt;=126699",'LANÇAMENTOS DIÁRIOS'!$P$5:$P$500,"&gt;=126600")&gt;0,"X","")</f>
      </c>
      <c r="Y87" s="56" t="str">
        <f>IF(COUNTIFS('LANÇAMENTOS DIÁRIOS'!$G$5:$G$500,"H",'LANÇAMENTOS DIÁRIOS'!$C$5:$C$500,$A87,'LANÇAMENTOS DIÁRIOS'!$O$5:$O$500,"&lt;=126799",'LANÇAMENTOS DIÁRIOS'!$P$5:$P$500,"&gt;=126700")&gt;0,"X","")</f>
      </c>
      <c r="Z87" s="56" t="str">
        <f>IF(COUNTIFS('LANÇAMENTOS DIÁRIOS'!$G$5:$G$500,"H",'LANÇAMENTOS DIÁRIOS'!$C$5:$C$500,$A87,'LANÇAMENTOS DIÁRIOS'!$O$5:$O$500,"&lt;=126899",'LANÇAMENTOS DIÁRIOS'!$P$5:$P$500,"&gt;=126800")&gt;0,"X","")</f>
      </c>
      <c r="AA87" s="56" t="str">
        <f>IF(COUNTIFS('LANÇAMENTOS DIÁRIOS'!$G$5:$G$500,"H",'LANÇAMENTOS DIÁRIOS'!$C$5:$C$500,$A87,'LANÇAMENTOS DIÁRIOS'!$O$5:$O$500,"&lt;=126999",'LANÇAMENTOS DIÁRIOS'!$P$5:$P$500,"&gt;=126900")&gt;0,"X","")</f>
      </c>
      <c r="AB87" s="56" t="str">
        <f>IF(COUNTIFS('LANÇAMENTOS DIÁRIOS'!$G$5:$G$500,"H",'LANÇAMENTOS DIÁRIOS'!$C$5:$C$500,$A87,'LANÇAMENTOS DIÁRIOS'!$O$5:$O$500,"&lt;=127099",'LANÇAMENTOS DIÁRIOS'!$P$5:$P$500,"&gt;=127000")&gt;0,"X","")</f>
      </c>
      <c r="AC87" s="56" t="str">
        <f>IF(COUNTIFS('LANÇAMENTOS DIÁRIOS'!$G$5:$G$500,"H",'LANÇAMENTOS DIÁRIOS'!$C$5:$C$500,$A87,'LANÇAMENTOS DIÁRIOS'!$O$5:$O$500,"&lt;=127199",'LANÇAMENTOS DIÁRIOS'!$P$5:$P$500,"&gt;=127100")&gt;0,"X","")</f>
      </c>
      <c r="AD87" s="56" t="str">
        <f>IF(COUNTIFS('LANÇAMENTOS DIÁRIOS'!$G$5:$G$500,"H",'LANÇAMENTOS DIÁRIOS'!$C$5:$C$500,$A87,'LANÇAMENTOS DIÁRIOS'!$O$5:$O$500,"&lt;=127299",'LANÇAMENTOS DIÁRIOS'!$P$5:$P$500,"&gt;=127200")&gt;0,"X","")</f>
      </c>
      <c r="AE87" s="56" t="str">
        <f>IF(COUNTIFS('LANÇAMENTOS DIÁRIOS'!$G$5:$G$500,"H",'LANÇAMENTOS DIÁRIOS'!$C$5:$C$500,$A87,'LANÇAMENTOS DIÁRIOS'!$O$5:$O$500,"&lt;=127399",'LANÇAMENTOS DIÁRIOS'!$P$5:$P$500,"&gt;=127300")&gt;0,"X","")</f>
      </c>
      <c r="AF87" s="56" t="str">
        <f>IF(COUNTIFS('LANÇAMENTOS DIÁRIOS'!$G$5:$G$500,"H",'LANÇAMENTOS DIÁRIOS'!$C$5:$C$500,$A87,'LANÇAMENTOS DIÁRIOS'!$O$5:$O$500,"&lt;=127499",'LANÇAMENTOS DIÁRIOS'!$P$5:$P$500,"&gt;=127400")&gt;0,"X","")</f>
      </c>
      <c r="AG87" s="56" t="str">
        <f>IF(COUNTIFS('LANÇAMENTOS DIÁRIOS'!$G$5:$G$500,"H",'LANÇAMENTOS DIÁRIOS'!$C$5:$C$500,$A87,'LANÇAMENTOS DIÁRIOS'!$O$5:$O$500,"&lt;=127599",'LANÇAMENTOS DIÁRIOS'!$P$5:$P$500,"&gt;=127500")&gt;0,"X","")</f>
      </c>
      <c r="AH87" s="56" t="str">
        <f>IF(COUNTIFS('LANÇAMENTOS DIÁRIOS'!$G$5:$G$500,"H",'LANÇAMENTOS DIÁRIOS'!$C$5:$C$500,$A87,'LANÇAMENTOS DIÁRIOS'!$O$5:$O$500,"&lt;=127699",'LANÇAMENTOS DIÁRIOS'!$P$5:$P$500,"&gt;=127600")&gt;0,"X","")</f>
      </c>
      <c r="AI87" s="56" t="str">
        <f>IF(COUNTIFS('LANÇAMENTOS DIÁRIOS'!$G$5:$G$500,"H",'LANÇAMENTOS DIÁRIOS'!$C$5:$C$500,$A87,'LANÇAMENTOS DIÁRIOS'!$O$5:$O$500,"&lt;=127799",'LANÇAMENTOS DIÁRIOS'!$P$5:$P$500,"&gt;=127700")&gt;0,"X","")</f>
      </c>
      <c r="AJ87" s="56" t="str">
        <f>IF(COUNTIFS('LANÇAMENTOS DIÁRIOS'!$G$5:$G$500,"H",'LANÇAMENTOS DIÁRIOS'!$C$5:$C$500,$A87,'LANÇAMENTOS DIÁRIOS'!$O$5:$O$500,"&lt;=127899",'LANÇAMENTOS DIÁRIOS'!$P$5:$P$500,"&gt;=127800")&gt;0,"X","")</f>
      </c>
      <c r="AK87" s="56" t="str">
        <f>IF(COUNTIFS('LANÇAMENTOS DIÁRIOS'!$G$5:$G$500,"H",'LANÇAMENTOS DIÁRIOS'!$C$5:$C$500,$A87,'LANÇAMENTOS DIÁRIOS'!$O$5:$O$500,"&lt;=127999",'LANÇAMENTOS DIÁRIOS'!$P$5:$P$500,"&gt;=127900")&gt;0,"X","")</f>
      </c>
      <c r="AL87" s="56" t="str">
        <f>IF(COUNTIFS('LANÇAMENTOS DIÁRIOS'!$G$5:$G$500,"H",'LANÇAMENTOS DIÁRIOS'!$C$5:$C$500,$A87,'LANÇAMENTOS DIÁRIOS'!$O$5:$O$500,"&lt;=128099",'LANÇAMENTOS DIÁRIOS'!$P$5:$P$500,"&gt;=128000")&gt;0,"X","")</f>
      </c>
      <c r="AM87" s="56" t="str">
        <f>IF(COUNTIFS('LANÇAMENTOS DIÁRIOS'!$G$5:$G$500,"H",'LANÇAMENTOS DIÁRIOS'!$C$5:$C$500,$A87,'LANÇAMENTOS DIÁRIOS'!$O$5:$O$500,"&lt;=128199",'LANÇAMENTOS DIÁRIOS'!$P$5:$P$500,"&gt;=128100")&gt;0,"X","")</f>
      </c>
      <c r="AN87" s="56" t="str">
        <f>IF(COUNTIFS('LANÇAMENTOS DIÁRIOS'!$G$5:$G$500,"H",'LANÇAMENTOS DIÁRIOS'!$C$5:$C$500,$A87,'LANÇAMENTOS DIÁRIOS'!$O$5:$O$500,"&lt;=128299",'LANÇAMENTOS DIÁRIOS'!$P$5:$P$500,"&gt;=128200")&gt;0,"X","")</f>
      </c>
      <c r="AO87" s="56" t="str">
        <f>IF(COUNTIFS('LANÇAMENTOS DIÁRIOS'!$G$5:$G$500,"H",'LANÇAMENTOS DIÁRIOS'!$C$5:$C$500,$A87,'LANÇAMENTOS DIÁRIOS'!$O$5:$O$500,"&lt;=128399",'LANÇAMENTOS DIÁRIOS'!$P$5:$P$500,"&gt;=128300")&gt;0,"X","")</f>
      </c>
      <c r="AP87" s="56" t="str">
        <f>IF(COUNTIFS('LANÇAMENTOS DIÁRIOS'!$G$5:$G$500,"H",'LANÇAMENTOS DIÁRIOS'!$C$5:$C$500,$A87,'LANÇAMENTOS DIÁRIOS'!$O$5:$O$500,"&lt;=128499",'LANÇAMENTOS DIÁRIOS'!$P$5:$P$500,"&gt;=128400")&gt;0,"X","")</f>
      </c>
      <c r="AQ87" s="56" t="str">
        <f>IF(COUNTIFS('LANÇAMENTOS DIÁRIOS'!$G$5:$G$500,"H",'LANÇAMENTOS DIÁRIOS'!$C$5:$C$500,$A87,'LANÇAMENTOS DIÁRIOS'!$O$5:$O$500,"&lt;=128599",'LANÇAMENTOS DIÁRIOS'!$P$5:$P$500,"&gt;=128500")&gt;0,"X","")</f>
      </c>
      <c r="AR87" s="56" t="str">
        <f>IF(COUNTIFS('LANÇAMENTOS DIÁRIOS'!$G$5:$G$500,"H",'LANÇAMENTOS DIÁRIOS'!$C$5:$C$500,$A87,'LANÇAMENTOS DIÁRIOS'!$O$5:$O$500,"&lt;=128699",'LANÇAMENTOS DIÁRIOS'!$P$5:$P$500,"&gt;=128600")&gt;0,"X","")</f>
      </c>
      <c r="AS87" s="56" t="str">
        <f>IF(COUNTIFS('LANÇAMENTOS DIÁRIOS'!$G$5:$G$500,"H",'LANÇAMENTOS DIÁRIOS'!$C$5:$C$500,$A87,'LANÇAMENTOS DIÁRIOS'!$O$5:$O$500,"&lt;=128799",'LANÇAMENTOS DIÁRIOS'!$P$5:$P$500,"&gt;=128700")&gt;0,"X","")</f>
      </c>
      <c r="AT87" s="56" t="str">
        <f>IF(COUNTIFS('LANÇAMENTOS DIÁRIOS'!$G$5:$G$500,"H",'LANÇAMENTOS DIÁRIOS'!$C$5:$C$500,$A87,'LANÇAMENTOS DIÁRIOS'!$O$5:$O$500,"&lt;=128899",'LANÇAMENTOS DIÁRIOS'!$P$5:$P$500,"&gt;=128800")&gt;0,"X","")</f>
      </c>
      <c r="AU87" s="56" t="str">
        <f>IF(COUNTIFS('LANÇAMENTOS DIÁRIOS'!$G$5:$G$500,"H",'LANÇAMENTOS DIÁRIOS'!$C$5:$C$500,$A87,'LANÇAMENTOS DIÁRIOS'!$O$5:$O$500,"&lt;=128999",'LANÇAMENTOS DIÁRIOS'!$P$5:$P$500,"&gt;=128900")&gt;0,"X","")</f>
      </c>
      <c r="AV87" s="56" t="str">
        <f>IF(COUNTIFS('LANÇAMENTOS DIÁRIOS'!$G$5:$G$500,"H",'LANÇAMENTOS DIÁRIOS'!$C$5:$C$500,$A87,'LANÇAMENTOS DIÁRIOS'!$O$5:$O$500,"&lt;=129099",'LANÇAMENTOS DIÁRIOS'!$P$5:$P$500,"&gt;=129000")&gt;0,"X","")</f>
      </c>
      <c r="AW87" s="56" t="str">
        <f>IF(COUNTIFS('LANÇAMENTOS DIÁRIOS'!$G$5:$G$500,"H",'LANÇAMENTOS DIÁRIOS'!$C$5:$C$500,$A87,'LANÇAMENTOS DIÁRIOS'!$O$5:$O$500,"&lt;=129199",'LANÇAMENTOS DIÁRIOS'!$P$5:$P$500,"&gt;=129100")&gt;0,"X","")</f>
      </c>
      <c r="AX87" s="56" t="str">
        <f>IF(COUNTIFS('LANÇAMENTOS DIÁRIOS'!$G$5:$G$500,"H",'LANÇAMENTOS DIÁRIOS'!$C$5:$C$500,$A87,'LANÇAMENTOS DIÁRIOS'!$O$5:$O$500,"&lt;=129299",'LANÇAMENTOS DIÁRIOS'!$P$5:$P$500,"&gt;=129200")&gt;0,"X","")</f>
      </c>
      <c r="AY87" s="56" t="str">
        <f>IF(COUNTIFS('LANÇAMENTOS DIÁRIOS'!$G$5:$G$500,"H",'LANÇAMENTOS DIÁRIOS'!$C$5:$C$500,$A87,'LANÇAMENTOS DIÁRIOS'!$O$5:$O$500,"&lt;=129399",'LANÇAMENTOS DIÁRIOS'!$P$5:$P$500,"&gt;=129300")&gt;0,"X","")</f>
      </c>
      <c r="AZ87" s="56" t="str">
        <f>IF(COUNTIFS('LANÇAMENTOS DIÁRIOS'!$G$5:$G$500,"H",'LANÇAMENTOS DIÁRIOS'!$C$5:$C$500,$A87,'LANÇAMENTOS DIÁRIOS'!$O$5:$O$500,"&lt;=129400",'LANÇAMENTOS DIÁRIOS'!$P$5:$P$500,"&gt;=129400")&gt;0,"X","")</f>
      </c>
    </row>
    <row r="88">
      <c r="A88" s="51" t="str">
        <v>Microrrevestimento asfáltico a frio adaptado para acostamentos - Espessura de 25 mm - sem fornecimento de emulsão</v>
      </c>
      <c r="B88" s="56" t="str">
        <f>IF(COUNTIFS('LANÇAMENTOS DIÁRIOS'!$G$5:$G$500,"H",'LANÇAMENTOS DIÁRIOS'!$C$5:$C$500,$A88,'LANÇAMENTOS DIÁRIOS'!$O$5:$O$500,"&lt;=124499",'LANÇAMENTOS DIÁRIOS'!$P$5:$P$500,"&gt;=124400")&gt;0,"X","")</f>
      </c>
      <c r="C88" s="56" t="str">
        <f>IF(COUNTIFS('LANÇAMENTOS DIÁRIOS'!$G$5:$G$500,"H",'LANÇAMENTOS DIÁRIOS'!$C$5:$C$500,$A88,'LANÇAMENTOS DIÁRIOS'!$O$5:$O$500,"&lt;=124599",'LANÇAMENTOS DIÁRIOS'!$P$5:$P$500,"&gt;=124500")&gt;0,"X","")</f>
      </c>
      <c r="D88" s="56" t="str">
        <f>IF(COUNTIFS('LANÇAMENTOS DIÁRIOS'!$G$5:$G$500,"H",'LANÇAMENTOS DIÁRIOS'!$C$5:$C$500,$A88,'LANÇAMENTOS DIÁRIOS'!$O$5:$O$500,"&lt;=124699",'LANÇAMENTOS DIÁRIOS'!$P$5:$P$500,"&gt;=124600")&gt;0,"X","")</f>
      </c>
      <c r="E88" s="56" t="str">
        <f>IF(COUNTIFS('LANÇAMENTOS DIÁRIOS'!$G$5:$G$500,"H",'LANÇAMENTOS DIÁRIOS'!$C$5:$C$500,$A88,'LANÇAMENTOS DIÁRIOS'!$O$5:$O$500,"&lt;=124799",'LANÇAMENTOS DIÁRIOS'!$P$5:$P$500,"&gt;=124700")&gt;0,"X","")</f>
      </c>
      <c r="F88" s="56" t="str">
        <f>IF(COUNTIFS('LANÇAMENTOS DIÁRIOS'!$G$5:$G$500,"H",'LANÇAMENTOS DIÁRIOS'!$C$5:$C$500,$A88,'LANÇAMENTOS DIÁRIOS'!$O$5:$O$500,"&lt;=124899",'LANÇAMENTOS DIÁRIOS'!$P$5:$P$500,"&gt;=124800")&gt;0,"X","")</f>
      </c>
      <c r="G88" s="56" t="str">
        <f>IF(COUNTIFS('LANÇAMENTOS DIÁRIOS'!$G$5:$G$500,"H",'LANÇAMENTOS DIÁRIOS'!$C$5:$C$500,$A88,'LANÇAMENTOS DIÁRIOS'!$O$5:$O$500,"&lt;=124999",'LANÇAMENTOS DIÁRIOS'!$P$5:$P$500,"&gt;=124900")&gt;0,"X","")</f>
      </c>
      <c r="H88" s="56" t="str">
        <f>IF(COUNTIFS('LANÇAMENTOS DIÁRIOS'!$G$5:$G$500,"H",'LANÇAMENTOS DIÁRIOS'!$C$5:$C$500,$A88,'LANÇAMENTOS DIÁRIOS'!$O$5:$O$500,"&lt;=125099",'LANÇAMENTOS DIÁRIOS'!$P$5:$P$500,"&gt;=125000")&gt;0,"X","")</f>
      </c>
      <c r="I88" s="56" t="str">
        <f>IF(COUNTIFS('LANÇAMENTOS DIÁRIOS'!$G$5:$G$500,"H",'LANÇAMENTOS DIÁRIOS'!$C$5:$C$500,$A88,'LANÇAMENTOS DIÁRIOS'!$O$5:$O$500,"&lt;=125199",'LANÇAMENTOS DIÁRIOS'!$P$5:$P$500,"&gt;=125100")&gt;0,"X","")</f>
      </c>
      <c r="J88" s="56" t="str">
        <f>IF(COUNTIFS('LANÇAMENTOS DIÁRIOS'!$G$5:$G$500,"H",'LANÇAMENTOS DIÁRIOS'!$C$5:$C$500,$A88,'LANÇAMENTOS DIÁRIOS'!$O$5:$O$500,"&lt;=125299",'LANÇAMENTOS DIÁRIOS'!$P$5:$P$500,"&gt;=125200")&gt;0,"X","")</f>
      </c>
      <c r="K88" s="56" t="str">
        <f>IF(COUNTIFS('LANÇAMENTOS DIÁRIOS'!$G$5:$G$500,"H",'LANÇAMENTOS DIÁRIOS'!$C$5:$C$500,$A88,'LANÇAMENTOS DIÁRIOS'!$O$5:$O$500,"&lt;=125399",'LANÇAMENTOS DIÁRIOS'!$P$5:$P$500,"&gt;=125300")&gt;0,"X","")</f>
      </c>
      <c r="L88" s="56" t="str">
        <f>IF(COUNTIFS('LANÇAMENTOS DIÁRIOS'!$G$5:$G$500,"H",'LANÇAMENTOS DIÁRIOS'!$C$5:$C$500,$A88,'LANÇAMENTOS DIÁRIOS'!$O$5:$O$500,"&lt;=125499",'LANÇAMENTOS DIÁRIOS'!$P$5:$P$500,"&gt;=125400")&gt;0,"X","")</f>
      </c>
      <c r="M88" s="56" t="str">
        <f>IF(COUNTIFS('LANÇAMENTOS DIÁRIOS'!$G$5:$G$500,"H",'LANÇAMENTOS DIÁRIOS'!$C$5:$C$500,$A88,'LANÇAMENTOS DIÁRIOS'!$O$5:$O$500,"&lt;=125599",'LANÇAMENTOS DIÁRIOS'!$P$5:$P$500,"&gt;=125500")&gt;0,"X","")</f>
      </c>
      <c r="N88" s="56" t="str">
        <f>IF(COUNTIFS('LANÇAMENTOS DIÁRIOS'!$G$5:$G$500,"H",'LANÇAMENTOS DIÁRIOS'!$C$5:$C$500,$A88,'LANÇAMENTOS DIÁRIOS'!$O$5:$O$500,"&lt;=125699",'LANÇAMENTOS DIÁRIOS'!$P$5:$P$500,"&gt;=125600")&gt;0,"X","")</f>
      </c>
      <c r="O88" s="56" t="str">
        <f>IF(COUNTIFS('LANÇAMENTOS DIÁRIOS'!$G$5:$G$500,"H",'LANÇAMENTOS DIÁRIOS'!$C$5:$C$500,$A88,'LANÇAMENTOS DIÁRIOS'!$O$5:$O$500,"&lt;=125799",'LANÇAMENTOS DIÁRIOS'!$P$5:$P$500,"&gt;=125700")&gt;0,"X","")</f>
      </c>
      <c r="P88" s="56" t="str">
        <f>IF(COUNTIFS('LANÇAMENTOS DIÁRIOS'!$G$5:$G$500,"H",'LANÇAMENTOS DIÁRIOS'!$C$5:$C$500,$A88,'LANÇAMENTOS DIÁRIOS'!$O$5:$O$500,"&lt;=125899",'LANÇAMENTOS DIÁRIOS'!$P$5:$P$500,"&gt;=125800")&gt;0,"X","")</f>
      </c>
      <c r="Q88" s="56" t="str">
        <f>IF(COUNTIFS('LANÇAMENTOS DIÁRIOS'!$G$5:$G$500,"H",'LANÇAMENTOS DIÁRIOS'!$C$5:$C$500,$A88,'LANÇAMENTOS DIÁRIOS'!$O$5:$O$500,"&lt;=125999",'LANÇAMENTOS DIÁRIOS'!$P$5:$P$500,"&gt;=125900")&gt;0,"X","")</f>
      </c>
      <c r="R88" s="56" t="str">
        <f>IF(COUNTIFS('LANÇAMENTOS DIÁRIOS'!$G$5:$G$500,"H",'LANÇAMENTOS DIÁRIOS'!$C$5:$C$500,$A88,'LANÇAMENTOS DIÁRIOS'!$O$5:$O$500,"&lt;=126099",'LANÇAMENTOS DIÁRIOS'!$P$5:$P$500,"&gt;=126000")&gt;0,"X","")</f>
      </c>
      <c r="S88" s="56" t="str">
        <f>IF(COUNTIFS('LANÇAMENTOS DIÁRIOS'!$G$5:$G$500,"H",'LANÇAMENTOS DIÁRIOS'!$C$5:$C$500,$A88,'LANÇAMENTOS DIÁRIOS'!$O$5:$O$500,"&lt;=126199",'LANÇAMENTOS DIÁRIOS'!$P$5:$P$500,"&gt;=126100")&gt;0,"X","")</f>
      </c>
      <c r="T88" s="56" t="str">
        <f>IF(COUNTIFS('LANÇAMENTOS DIÁRIOS'!$G$5:$G$500,"H",'LANÇAMENTOS DIÁRIOS'!$C$5:$C$500,$A88,'LANÇAMENTOS DIÁRIOS'!$O$5:$O$500,"&lt;=126299",'LANÇAMENTOS DIÁRIOS'!$P$5:$P$500,"&gt;=126200")&gt;0,"X","")</f>
      </c>
      <c r="U88" s="56" t="str">
        <f>IF(COUNTIFS('LANÇAMENTOS DIÁRIOS'!$G$5:$G$500,"H",'LANÇAMENTOS DIÁRIOS'!$C$5:$C$500,$A88,'LANÇAMENTOS DIÁRIOS'!$O$5:$O$500,"&lt;=126399",'LANÇAMENTOS DIÁRIOS'!$P$5:$P$500,"&gt;=126300")&gt;0,"X","")</f>
      </c>
      <c r="V88" s="56" t="str">
        <f>IF(COUNTIFS('LANÇAMENTOS DIÁRIOS'!$G$5:$G$500,"H",'LANÇAMENTOS DIÁRIOS'!$C$5:$C$500,$A88,'LANÇAMENTOS DIÁRIOS'!$O$5:$O$500,"&lt;=126499",'LANÇAMENTOS DIÁRIOS'!$P$5:$P$500,"&gt;=126400")&gt;0,"X","")</f>
      </c>
      <c r="W88" s="56" t="str">
        <f>IF(COUNTIFS('LANÇAMENTOS DIÁRIOS'!$G$5:$G$500,"H",'LANÇAMENTOS DIÁRIOS'!$C$5:$C$500,$A88,'LANÇAMENTOS DIÁRIOS'!$O$5:$O$500,"&lt;=126599",'LANÇAMENTOS DIÁRIOS'!$P$5:$P$500,"&gt;=126500")&gt;0,"X","")</f>
      </c>
      <c r="X88" s="56" t="str">
        <f>IF(COUNTIFS('LANÇAMENTOS DIÁRIOS'!$G$5:$G$500,"H",'LANÇAMENTOS DIÁRIOS'!$C$5:$C$500,$A88,'LANÇAMENTOS DIÁRIOS'!$O$5:$O$500,"&lt;=126699",'LANÇAMENTOS DIÁRIOS'!$P$5:$P$500,"&gt;=126600")&gt;0,"X","")</f>
      </c>
      <c r="Y88" s="56" t="str">
        <f>IF(COUNTIFS('LANÇAMENTOS DIÁRIOS'!$G$5:$G$500,"H",'LANÇAMENTOS DIÁRIOS'!$C$5:$C$500,$A88,'LANÇAMENTOS DIÁRIOS'!$O$5:$O$500,"&lt;=126799",'LANÇAMENTOS DIÁRIOS'!$P$5:$P$500,"&gt;=126700")&gt;0,"X","")</f>
      </c>
      <c r="Z88" s="56" t="str">
        <f>IF(COUNTIFS('LANÇAMENTOS DIÁRIOS'!$G$5:$G$500,"H",'LANÇAMENTOS DIÁRIOS'!$C$5:$C$500,$A88,'LANÇAMENTOS DIÁRIOS'!$O$5:$O$500,"&lt;=126899",'LANÇAMENTOS DIÁRIOS'!$P$5:$P$500,"&gt;=126800")&gt;0,"X","")</f>
      </c>
      <c r="AA88" s="56" t="str">
        <f>IF(COUNTIFS('LANÇAMENTOS DIÁRIOS'!$G$5:$G$500,"H",'LANÇAMENTOS DIÁRIOS'!$C$5:$C$500,$A88,'LANÇAMENTOS DIÁRIOS'!$O$5:$O$500,"&lt;=126999",'LANÇAMENTOS DIÁRIOS'!$P$5:$P$500,"&gt;=126900")&gt;0,"X","")</f>
      </c>
      <c r="AB88" s="56" t="str">
        <f>IF(COUNTIFS('LANÇAMENTOS DIÁRIOS'!$G$5:$G$500,"H",'LANÇAMENTOS DIÁRIOS'!$C$5:$C$500,$A88,'LANÇAMENTOS DIÁRIOS'!$O$5:$O$500,"&lt;=127099",'LANÇAMENTOS DIÁRIOS'!$P$5:$P$500,"&gt;=127000")&gt;0,"X","")</f>
      </c>
      <c r="AC88" s="56" t="str">
        <f>IF(COUNTIFS('LANÇAMENTOS DIÁRIOS'!$G$5:$G$500,"H",'LANÇAMENTOS DIÁRIOS'!$C$5:$C$500,$A88,'LANÇAMENTOS DIÁRIOS'!$O$5:$O$500,"&lt;=127199",'LANÇAMENTOS DIÁRIOS'!$P$5:$P$500,"&gt;=127100")&gt;0,"X","")</f>
      </c>
      <c r="AD88" s="56" t="str">
        <f>IF(COUNTIFS('LANÇAMENTOS DIÁRIOS'!$G$5:$G$500,"H",'LANÇAMENTOS DIÁRIOS'!$C$5:$C$500,$A88,'LANÇAMENTOS DIÁRIOS'!$O$5:$O$500,"&lt;=127299",'LANÇAMENTOS DIÁRIOS'!$P$5:$P$500,"&gt;=127200")&gt;0,"X","")</f>
      </c>
      <c r="AE88" s="56" t="str">
        <f>IF(COUNTIFS('LANÇAMENTOS DIÁRIOS'!$G$5:$G$500,"H",'LANÇAMENTOS DIÁRIOS'!$C$5:$C$500,$A88,'LANÇAMENTOS DIÁRIOS'!$O$5:$O$500,"&lt;=127399",'LANÇAMENTOS DIÁRIOS'!$P$5:$P$500,"&gt;=127300")&gt;0,"X","")</f>
      </c>
      <c r="AF88" s="56" t="str">
        <f>IF(COUNTIFS('LANÇAMENTOS DIÁRIOS'!$G$5:$G$500,"H",'LANÇAMENTOS DIÁRIOS'!$C$5:$C$500,$A88,'LANÇAMENTOS DIÁRIOS'!$O$5:$O$500,"&lt;=127499",'LANÇAMENTOS DIÁRIOS'!$P$5:$P$500,"&gt;=127400")&gt;0,"X","")</f>
      </c>
      <c r="AG88" s="56" t="str">
        <f>IF(COUNTIFS('LANÇAMENTOS DIÁRIOS'!$G$5:$G$500,"H",'LANÇAMENTOS DIÁRIOS'!$C$5:$C$500,$A88,'LANÇAMENTOS DIÁRIOS'!$O$5:$O$500,"&lt;=127599",'LANÇAMENTOS DIÁRIOS'!$P$5:$P$500,"&gt;=127500")&gt;0,"X","")</f>
      </c>
      <c r="AH88" s="56" t="str">
        <f>IF(COUNTIFS('LANÇAMENTOS DIÁRIOS'!$G$5:$G$500,"H",'LANÇAMENTOS DIÁRIOS'!$C$5:$C$500,$A88,'LANÇAMENTOS DIÁRIOS'!$O$5:$O$500,"&lt;=127699",'LANÇAMENTOS DIÁRIOS'!$P$5:$P$500,"&gt;=127600")&gt;0,"X","")</f>
      </c>
      <c r="AI88" s="56" t="str">
        <f>IF(COUNTIFS('LANÇAMENTOS DIÁRIOS'!$G$5:$G$500,"H",'LANÇAMENTOS DIÁRIOS'!$C$5:$C$500,$A88,'LANÇAMENTOS DIÁRIOS'!$O$5:$O$500,"&lt;=127799",'LANÇAMENTOS DIÁRIOS'!$P$5:$P$500,"&gt;=127700")&gt;0,"X","")</f>
      </c>
      <c r="AJ88" s="56" t="str">
        <f>IF(COUNTIFS('LANÇAMENTOS DIÁRIOS'!$G$5:$G$500,"H",'LANÇAMENTOS DIÁRIOS'!$C$5:$C$500,$A88,'LANÇAMENTOS DIÁRIOS'!$O$5:$O$500,"&lt;=127899",'LANÇAMENTOS DIÁRIOS'!$P$5:$P$500,"&gt;=127800")&gt;0,"X","")</f>
      </c>
      <c r="AK88" s="56" t="str">
        <f>IF(COUNTIFS('LANÇAMENTOS DIÁRIOS'!$G$5:$G$500,"H",'LANÇAMENTOS DIÁRIOS'!$C$5:$C$500,$A88,'LANÇAMENTOS DIÁRIOS'!$O$5:$O$500,"&lt;=127999",'LANÇAMENTOS DIÁRIOS'!$P$5:$P$500,"&gt;=127900")&gt;0,"X","")</f>
      </c>
      <c r="AL88" s="56" t="str">
        <f>IF(COUNTIFS('LANÇAMENTOS DIÁRIOS'!$G$5:$G$500,"H",'LANÇAMENTOS DIÁRIOS'!$C$5:$C$500,$A88,'LANÇAMENTOS DIÁRIOS'!$O$5:$O$500,"&lt;=128099",'LANÇAMENTOS DIÁRIOS'!$P$5:$P$500,"&gt;=128000")&gt;0,"X","")</f>
      </c>
      <c r="AM88" s="56" t="str">
        <f>IF(COUNTIFS('LANÇAMENTOS DIÁRIOS'!$G$5:$G$500,"H",'LANÇAMENTOS DIÁRIOS'!$C$5:$C$500,$A88,'LANÇAMENTOS DIÁRIOS'!$O$5:$O$500,"&lt;=128199",'LANÇAMENTOS DIÁRIOS'!$P$5:$P$500,"&gt;=128100")&gt;0,"X","")</f>
      </c>
      <c r="AN88" s="56" t="str">
        <f>IF(COUNTIFS('LANÇAMENTOS DIÁRIOS'!$G$5:$G$500,"H",'LANÇAMENTOS DIÁRIOS'!$C$5:$C$500,$A88,'LANÇAMENTOS DIÁRIOS'!$O$5:$O$500,"&lt;=128299",'LANÇAMENTOS DIÁRIOS'!$P$5:$P$500,"&gt;=128200")&gt;0,"X","")</f>
      </c>
      <c r="AO88" s="56" t="str">
        <f>IF(COUNTIFS('LANÇAMENTOS DIÁRIOS'!$G$5:$G$500,"H",'LANÇAMENTOS DIÁRIOS'!$C$5:$C$500,$A88,'LANÇAMENTOS DIÁRIOS'!$O$5:$O$500,"&lt;=128399",'LANÇAMENTOS DIÁRIOS'!$P$5:$P$500,"&gt;=128300")&gt;0,"X","")</f>
      </c>
      <c r="AP88" s="56" t="str">
        <f>IF(COUNTIFS('LANÇAMENTOS DIÁRIOS'!$G$5:$G$500,"H",'LANÇAMENTOS DIÁRIOS'!$C$5:$C$500,$A88,'LANÇAMENTOS DIÁRIOS'!$O$5:$O$500,"&lt;=128499",'LANÇAMENTOS DIÁRIOS'!$P$5:$P$500,"&gt;=128400")&gt;0,"X","")</f>
      </c>
      <c r="AQ88" s="56" t="str">
        <f>IF(COUNTIFS('LANÇAMENTOS DIÁRIOS'!$G$5:$G$500,"H",'LANÇAMENTOS DIÁRIOS'!$C$5:$C$500,$A88,'LANÇAMENTOS DIÁRIOS'!$O$5:$O$500,"&lt;=128599",'LANÇAMENTOS DIÁRIOS'!$P$5:$P$500,"&gt;=128500")&gt;0,"X","")</f>
      </c>
      <c r="AR88" s="56" t="str">
        <f>IF(COUNTIFS('LANÇAMENTOS DIÁRIOS'!$G$5:$G$500,"H",'LANÇAMENTOS DIÁRIOS'!$C$5:$C$500,$A88,'LANÇAMENTOS DIÁRIOS'!$O$5:$O$500,"&lt;=128699",'LANÇAMENTOS DIÁRIOS'!$P$5:$P$500,"&gt;=128600")&gt;0,"X","")</f>
      </c>
      <c r="AS88" s="56" t="str">
        <f>IF(COUNTIFS('LANÇAMENTOS DIÁRIOS'!$G$5:$G$500,"H",'LANÇAMENTOS DIÁRIOS'!$C$5:$C$500,$A88,'LANÇAMENTOS DIÁRIOS'!$O$5:$O$500,"&lt;=128799",'LANÇAMENTOS DIÁRIOS'!$P$5:$P$500,"&gt;=128700")&gt;0,"X","")</f>
      </c>
      <c r="AT88" s="56" t="str">
        <f>IF(COUNTIFS('LANÇAMENTOS DIÁRIOS'!$G$5:$G$500,"H",'LANÇAMENTOS DIÁRIOS'!$C$5:$C$500,$A88,'LANÇAMENTOS DIÁRIOS'!$O$5:$O$500,"&lt;=128899",'LANÇAMENTOS DIÁRIOS'!$P$5:$P$500,"&gt;=128800")&gt;0,"X","")</f>
      </c>
      <c r="AU88" s="56" t="str">
        <f>IF(COUNTIFS('LANÇAMENTOS DIÁRIOS'!$G$5:$G$500,"H",'LANÇAMENTOS DIÁRIOS'!$C$5:$C$500,$A88,'LANÇAMENTOS DIÁRIOS'!$O$5:$O$500,"&lt;=128999",'LANÇAMENTOS DIÁRIOS'!$P$5:$P$500,"&gt;=128900")&gt;0,"X","")</f>
      </c>
      <c r="AV88" s="56" t="str">
        <f>IF(COUNTIFS('LANÇAMENTOS DIÁRIOS'!$G$5:$G$500,"H",'LANÇAMENTOS DIÁRIOS'!$C$5:$C$500,$A88,'LANÇAMENTOS DIÁRIOS'!$O$5:$O$500,"&lt;=129099",'LANÇAMENTOS DIÁRIOS'!$P$5:$P$500,"&gt;=129000")&gt;0,"X","")</f>
      </c>
      <c r="AW88" s="56" t="str">
        <f>IF(COUNTIFS('LANÇAMENTOS DIÁRIOS'!$G$5:$G$500,"H",'LANÇAMENTOS DIÁRIOS'!$C$5:$C$500,$A88,'LANÇAMENTOS DIÁRIOS'!$O$5:$O$500,"&lt;=129199",'LANÇAMENTOS DIÁRIOS'!$P$5:$P$500,"&gt;=129100")&gt;0,"X","")</f>
      </c>
      <c r="AX88" s="56" t="str">
        <f>IF(COUNTIFS('LANÇAMENTOS DIÁRIOS'!$G$5:$G$500,"H",'LANÇAMENTOS DIÁRIOS'!$C$5:$C$500,$A88,'LANÇAMENTOS DIÁRIOS'!$O$5:$O$500,"&lt;=129299",'LANÇAMENTOS DIÁRIOS'!$P$5:$P$500,"&gt;=129200")&gt;0,"X","")</f>
      </c>
      <c r="AY88" s="56" t="str">
        <f>IF(COUNTIFS('LANÇAMENTOS DIÁRIOS'!$G$5:$G$500,"H",'LANÇAMENTOS DIÁRIOS'!$C$5:$C$500,$A88,'LANÇAMENTOS DIÁRIOS'!$O$5:$O$500,"&lt;=129399",'LANÇAMENTOS DIÁRIOS'!$P$5:$P$500,"&gt;=129300")&gt;0,"X","")</f>
      </c>
      <c r="AZ88" s="56" t="str">
        <f>IF(COUNTIFS('LANÇAMENTOS DIÁRIOS'!$G$5:$G$500,"H",'LANÇAMENTOS DIÁRIOS'!$C$5:$C$500,$A88,'LANÇAMENTOS DIÁRIOS'!$O$5:$O$500,"&lt;=129400",'LANÇAMENTOS DIÁRIOS'!$P$5:$P$500,"&gt;=129400")&gt;0,"X","")</f>
      </c>
    </row>
    <row r="89">
      <c r="A89" s="51" t="str">
        <v>Reciclagem de pavimento com adicao de 30% de brita</v>
      </c>
      <c r="B89" s="56" t="str">
        <f>IF(COUNTIFS('LANÇAMENTOS DIÁRIOS'!$G$5:$G$500,"H",'LANÇAMENTOS DIÁRIOS'!$C$5:$C$500,$A89,'LANÇAMENTOS DIÁRIOS'!$O$5:$O$500,"&lt;=124499",'LANÇAMENTOS DIÁRIOS'!$P$5:$P$500,"&gt;=124400")&gt;0,"X","")</f>
      </c>
      <c r="C89" s="56" t="str">
        <f>IF(COUNTIFS('LANÇAMENTOS DIÁRIOS'!$G$5:$G$500,"H",'LANÇAMENTOS DIÁRIOS'!$C$5:$C$500,$A89,'LANÇAMENTOS DIÁRIOS'!$O$5:$O$500,"&lt;=124599",'LANÇAMENTOS DIÁRIOS'!$P$5:$P$500,"&gt;=124500")&gt;0,"X","")</f>
      </c>
      <c r="D89" s="56" t="str">
        <f>IF(COUNTIFS('LANÇAMENTOS DIÁRIOS'!$G$5:$G$500,"H",'LANÇAMENTOS DIÁRIOS'!$C$5:$C$500,$A89,'LANÇAMENTOS DIÁRIOS'!$O$5:$O$500,"&lt;=124699",'LANÇAMENTOS DIÁRIOS'!$P$5:$P$500,"&gt;=124600")&gt;0,"X","")</f>
      </c>
      <c r="E89" s="56" t="str">
        <f>IF(COUNTIFS('LANÇAMENTOS DIÁRIOS'!$G$5:$G$500,"H",'LANÇAMENTOS DIÁRIOS'!$C$5:$C$500,$A89,'LANÇAMENTOS DIÁRIOS'!$O$5:$O$500,"&lt;=124799",'LANÇAMENTOS DIÁRIOS'!$P$5:$P$500,"&gt;=124700")&gt;0,"X","")</f>
      </c>
      <c r="F89" s="56" t="str">
        <f>IF(COUNTIFS('LANÇAMENTOS DIÁRIOS'!$G$5:$G$500,"H",'LANÇAMENTOS DIÁRIOS'!$C$5:$C$500,$A89,'LANÇAMENTOS DIÁRIOS'!$O$5:$O$500,"&lt;=124899",'LANÇAMENTOS DIÁRIOS'!$P$5:$P$500,"&gt;=124800")&gt;0,"X","")</f>
      </c>
      <c r="G89" s="56" t="str">
        <f>IF(COUNTIFS('LANÇAMENTOS DIÁRIOS'!$G$5:$G$500,"H",'LANÇAMENTOS DIÁRIOS'!$C$5:$C$500,$A89,'LANÇAMENTOS DIÁRIOS'!$O$5:$O$500,"&lt;=124999",'LANÇAMENTOS DIÁRIOS'!$P$5:$P$500,"&gt;=124900")&gt;0,"X","")</f>
      </c>
      <c r="H89" s="56" t="str">
        <f>IF(COUNTIFS('LANÇAMENTOS DIÁRIOS'!$G$5:$G$500,"H",'LANÇAMENTOS DIÁRIOS'!$C$5:$C$500,$A89,'LANÇAMENTOS DIÁRIOS'!$O$5:$O$500,"&lt;=125099",'LANÇAMENTOS DIÁRIOS'!$P$5:$P$500,"&gt;=125000")&gt;0,"X","")</f>
      </c>
      <c r="I89" s="56" t="str">
        <f>IF(COUNTIFS('LANÇAMENTOS DIÁRIOS'!$G$5:$G$500,"H",'LANÇAMENTOS DIÁRIOS'!$C$5:$C$500,$A89,'LANÇAMENTOS DIÁRIOS'!$O$5:$O$500,"&lt;=125199",'LANÇAMENTOS DIÁRIOS'!$P$5:$P$500,"&gt;=125100")&gt;0,"X","")</f>
      </c>
      <c r="J89" s="56" t="str">
        <f>IF(COUNTIFS('LANÇAMENTOS DIÁRIOS'!$G$5:$G$500,"H",'LANÇAMENTOS DIÁRIOS'!$C$5:$C$500,$A89,'LANÇAMENTOS DIÁRIOS'!$O$5:$O$500,"&lt;=125299",'LANÇAMENTOS DIÁRIOS'!$P$5:$P$500,"&gt;=125200")&gt;0,"X","")</f>
      </c>
      <c r="K89" s="56" t="str">
        <f>IF(COUNTIFS('LANÇAMENTOS DIÁRIOS'!$G$5:$G$500,"H",'LANÇAMENTOS DIÁRIOS'!$C$5:$C$500,$A89,'LANÇAMENTOS DIÁRIOS'!$O$5:$O$500,"&lt;=125399",'LANÇAMENTOS DIÁRIOS'!$P$5:$P$500,"&gt;=125300")&gt;0,"X","")</f>
      </c>
      <c r="L89" s="56" t="str">
        <f>IF(COUNTIFS('LANÇAMENTOS DIÁRIOS'!$G$5:$G$500,"H",'LANÇAMENTOS DIÁRIOS'!$C$5:$C$500,$A89,'LANÇAMENTOS DIÁRIOS'!$O$5:$O$500,"&lt;=125499",'LANÇAMENTOS DIÁRIOS'!$P$5:$P$500,"&gt;=125400")&gt;0,"X","")</f>
      </c>
      <c r="M89" s="56" t="str">
        <f>IF(COUNTIFS('LANÇAMENTOS DIÁRIOS'!$G$5:$G$500,"H",'LANÇAMENTOS DIÁRIOS'!$C$5:$C$500,$A89,'LANÇAMENTOS DIÁRIOS'!$O$5:$O$500,"&lt;=125599",'LANÇAMENTOS DIÁRIOS'!$P$5:$P$500,"&gt;=125500")&gt;0,"X","")</f>
      </c>
      <c r="N89" s="56" t="str">
        <f>IF(COUNTIFS('LANÇAMENTOS DIÁRIOS'!$G$5:$G$500,"H",'LANÇAMENTOS DIÁRIOS'!$C$5:$C$500,$A89,'LANÇAMENTOS DIÁRIOS'!$O$5:$O$500,"&lt;=125699",'LANÇAMENTOS DIÁRIOS'!$P$5:$P$500,"&gt;=125600")&gt;0,"X","")</f>
      </c>
      <c r="O89" s="56" t="str">
        <f>IF(COUNTIFS('LANÇAMENTOS DIÁRIOS'!$G$5:$G$500,"H",'LANÇAMENTOS DIÁRIOS'!$C$5:$C$500,$A89,'LANÇAMENTOS DIÁRIOS'!$O$5:$O$500,"&lt;=125799",'LANÇAMENTOS DIÁRIOS'!$P$5:$P$500,"&gt;=125700")&gt;0,"X","")</f>
      </c>
      <c r="P89" s="56" t="str">
        <f>IF(COUNTIFS('LANÇAMENTOS DIÁRIOS'!$G$5:$G$500,"H",'LANÇAMENTOS DIÁRIOS'!$C$5:$C$500,$A89,'LANÇAMENTOS DIÁRIOS'!$O$5:$O$500,"&lt;=125899",'LANÇAMENTOS DIÁRIOS'!$P$5:$P$500,"&gt;=125800")&gt;0,"X","")</f>
      </c>
      <c r="Q89" s="56" t="str">
        <f>IF(COUNTIFS('LANÇAMENTOS DIÁRIOS'!$G$5:$G$500,"H",'LANÇAMENTOS DIÁRIOS'!$C$5:$C$500,$A89,'LANÇAMENTOS DIÁRIOS'!$O$5:$O$500,"&lt;=125999",'LANÇAMENTOS DIÁRIOS'!$P$5:$P$500,"&gt;=125900")&gt;0,"X","")</f>
      </c>
      <c r="R89" s="56" t="str">
        <f>IF(COUNTIFS('LANÇAMENTOS DIÁRIOS'!$G$5:$G$500,"H",'LANÇAMENTOS DIÁRIOS'!$C$5:$C$500,$A89,'LANÇAMENTOS DIÁRIOS'!$O$5:$O$500,"&lt;=126099",'LANÇAMENTOS DIÁRIOS'!$P$5:$P$500,"&gt;=126000")&gt;0,"X","")</f>
      </c>
      <c r="S89" s="56" t="str">
        <f>IF(COUNTIFS('LANÇAMENTOS DIÁRIOS'!$G$5:$G$500,"H",'LANÇAMENTOS DIÁRIOS'!$C$5:$C$500,$A89,'LANÇAMENTOS DIÁRIOS'!$O$5:$O$500,"&lt;=126199",'LANÇAMENTOS DIÁRIOS'!$P$5:$P$500,"&gt;=126100")&gt;0,"X","")</f>
      </c>
      <c r="T89" s="56" t="str">
        <f>IF(COUNTIFS('LANÇAMENTOS DIÁRIOS'!$G$5:$G$500,"H",'LANÇAMENTOS DIÁRIOS'!$C$5:$C$500,$A89,'LANÇAMENTOS DIÁRIOS'!$O$5:$O$500,"&lt;=126299",'LANÇAMENTOS DIÁRIOS'!$P$5:$P$500,"&gt;=126200")&gt;0,"X","")</f>
      </c>
      <c r="U89" s="56" t="str">
        <f>IF(COUNTIFS('LANÇAMENTOS DIÁRIOS'!$G$5:$G$500,"H",'LANÇAMENTOS DIÁRIOS'!$C$5:$C$500,$A89,'LANÇAMENTOS DIÁRIOS'!$O$5:$O$500,"&lt;=126399",'LANÇAMENTOS DIÁRIOS'!$P$5:$P$500,"&gt;=126300")&gt;0,"X","")</f>
      </c>
      <c r="V89" s="56" t="str">
        <f>IF(COUNTIFS('LANÇAMENTOS DIÁRIOS'!$G$5:$G$500,"H",'LANÇAMENTOS DIÁRIOS'!$C$5:$C$500,$A89,'LANÇAMENTOS DIÁRIOS'!$O$5:$O$500,"&lt;=126499",'LANÇAMENTOS DIÁRIOS'!$P$5:$P$500,"&gt;=126400")&gt;0,"X","")</f>
      </c>
      <c r="W89" s="56" t="str">
        <f>IF(COUNTIFS('LANÇAMENTOS DIÁRIOS'!$G$5:$G$500,"H",'LANÇAMENTOS DIÁRIOS'!$C$5:$C$500,$A89,'LANÇAMENTOS DIÁRIOS'!$O$5:$O$500,"&lt;=126599",'LANÇAMENTOS DIÁRIOS'!$P$5:$P$500,"&gt;=126500")&gt;0,"X","")</f>
      </c>
      <c r="X89" s="56" t="str">
        <f>IF(COUNTIFS('LANÇAMENTOS DIÁRIOS'!$G$5:$G$500,"H",'LANÇAMENTOS DIÁRIOS'!$C$5:$C$500,$A89,'LANÇAMENTOS DIÁRIOS'!$O$5:$O$500,"&lt;=126699",'LANÇAMENTOS DIÁRIOS'!$P$5:$P$500,"&gt;=126600")&gt;0,"X","")</f>
      </c>
      <c r="Y89" s="56" t="str">
        <f>IF(COUNTIFS('LANÇAMENTOS DIÁRIOS'!$G$5:$G$500,"H",'LANÇAMENTOS DIÁRIOS'!$C$5:$C$500,$A89,'LANÇAMENTOS DIÁRIOS'!$O$5:$O$500,"&lt;=126799",'LANÇAMENTOS DIÁRIOS'!$P$5:$P$500,"&gt;=126700")&gt;0,"X","")</f>
      </c>
      <c r="Z89" s="56" t="str">
        <f>IF(COUNTIFS('LANÇAMENTOS DIÁRIOS'!$G$5:$G$500,"H",'LANÇAMENTOS DIÁRIOS'!$C$5:$C$500,$A89,'LANÇAMENTOS DIÁRIOS'!$O$5:$O$500,"&lt;=126899",'LANÇAMENTOS DIÁRIOS'!$P$5:$P$500,"&gt;=126800")&gt;0,"X","")</f>
      </c>
      <c r="AA89" s="56" t="str">
        <f>IF(COUNTIFS('LANÇAMENTOS DIÁRIOS'!$G$5:$G$500,"H",'LANÇAMENTOS DIÁRIOS'!$C$5:$C$500,$A89,'LANÇAMENTOS DIÁRIOS'!$O$5:$O$500,"&lt;=126999",'LANÇAMENTOS DIÁRIOS'!$P$5:$P$500,"&gt;=126900")&gt;0,"X","")</f>
      </c>
      <c r="AB89" s="56" t="str">
        <f>IF(COUNTIFS('LANÇAMENTOS DIÁRIOS'!$G$5:$G$500,"H",'LANÇAMENTOS DIÁRIOS'!$C$5:$C$500,$A89,'LANÇAMENTOS DIÁRIOS'!$O$5:$O$500,"&lt;=127099",'LANÇAMENTOS DIÁRIOS'!$P$5:$P$500,"&gt;=127000")&gt;0,"X","")</f>
      </c>
      <c r="AC89" s="56" t="str">
        <f>IF(COUNTIFS('LANÇAMENTOS DIÁRIOS'!$G$5:$G$500,"H",'LANÇAMENTOS DIÁRIOS'!$C$5:$C$500,$A89,'LANÇAMENTOS DIÁRIOS'!$O$5:$O$500,"&lt;=127199",'LANÇAMENTOS DIÁRIOS'!$P$5:$P$500,"&gt;=127100")&gt;0,"X","")</f>
      </c>
      <c r="AD89" s="56" t="str">
        <f>IF(COUNTIFS('LANÇAMENTOS DIÁRIOS'!$G$5:$G$500,"H",'LANÇAMENTOS DIÁRIOS'!$C$5:$C$500,$A89,'LANÇAMENTOS DIÁRIOS'!$O$5:$O$500,"&lt;=127299",'LANÇAMENTOS DIÁRIOS'!$P$5:$P$500,"&gt;=127200")&gt;0,"X","")</f>
      </c>
      <c r="AE89" s="56" t="str">
        <f>IF(COUNTIFS('LANÇAMENTOS DIÁRIOS'!$G$5:$G$500,"H",'LANÇAMENTOS DIÁRIOS'!$C$5:$C$500,$A89,'LANÇAMENTOS DIÁRIOS'!$O$5:$O$500,"&lt;=127399",'LANÇAMENTOS DIÁRIOS'!$P$5:$P$500,"&gt;=127300")&gt;0,"X","")</f>
      </c>
      <c r="AF89" s="56" t="str">
        <f>IF(COUNTIFS('LANÇAMENTOS DIÁRIOS'!$G$5:$G$500,"H",'LANÇAMENTOS DIÁRIOS'!$C$5:$C$500,$A89,'LANÇAMENTOS DIÁRIOS'!$O$5:$O$500,"&lt;=127499",'LANÇAMENTOS DIÁRIOS'!$P$5:$P$500,"&gt;=127400")&gt;0,"X","")</f>
      </c>
      <c r="AG89" s="56" t="str">
        <f>IF(COUNTIFS('LANÇAMENTOS DIÁRIOS'!$G$5:$G$500,"H",'LANÇAMENTOS DIÁRIOS'!$C$5:$C$500,$A89,'LANÇAMENTOS DIÁRIOS'!$O$5:$O$500,"&lt;=127599",'LANÇAMENTOS DIÁRIOS'!$P$5:$P$500,"&gt;=127500")&gt;0,"X","")</f>
      </c>
      <c r="AH89" s="56" t="str">
        <f>IF(COUNTIFS('LANÇAMENTOS DIÁRIOS'!$G$5:$G$500,"H",'LANÇAMENTOS DIÁRIOS'!$C$5:$C$500,$A89,'LANÇAMENTOS DIÁRIOS'!$O$5:$O$500,"&lt;=127699",'LANÇAMENTOS DIÁRIOS'!$P$5:$P$500,"&gt;=127600")&gt;0,"X","")</f>
      </c>
      <c r="AI89" s="56" t="str">
        <f>IF(COUNTIFS('LANÇAMENTOS DIÁRIOS'!$G$5:$G$500,"H",'LANÇAMENTOS DIÁRIOS'!$C$5:$C$500,$A89,'LANÇAMENTOS DIÁRIOS'!$O$5:$O$500,"&lt;=127799",'LANÇAMENTOS DIÁRIOS'!$P$5:$P$500,"&gt;=127700")&gt;0,"X","")</f>
      </c>
      <c r="AJ89" s="56" t="str">
        <f>IF(COUNTIFS('LANÇAMENTOS DIÁRIOS'!$G$5:$G$500,"H",'LANÇAMENTOS DIÁRIOS'!$C$5:$C$500,$A89,'LANÇAMENTOS DIÁRIOS'!$O$5:$O$500,"&lt;=127899",'LANÇAMENTOS DIÁRIOS'!$P$5:$P$500,"&gt;=127800")&gt;0,"X","")</f>
      </c>
      <c r="AK89" s="56" t="str">
        <f>IF(COUNTIFS('LANÇAMENTOS DIÁRIOS'!$G$5:$G$500,"H",'LANÇAMENTOS DIÁRIOS'!$C$5:$C$500,$A89,'LANÇAMENTOS DIÁRIOS'!$O$5:$O$500,"&lt;=127999",'LANÇAMENTOS DIÁRIOS'!$P$5:$P$500,"&gt;=127900")&gt;0,"X","")</f>
      </c>
      <c r="AL89" s="56" t="str">
        <f>IF(COUNTIFS('LANÇAMENTOS DIÁRIOS'!$G$5:$G$500,"H",'LANÇAMENTOS DIÁRIOS'!$C$5:$C$500,$A89,'LANÇAMENTOS DIÁRIOS'!$O$5:$O$500,"&lt;=128099",'LANÇAMENTOS DIÁRIOS'!$P$5:$P$500,"&gt;=128000")&gt;0,"X","")</f>
      </c>
      <c r="AM89" s="56" t="str">
        <f>IF(COUNTIFS('LANÇAMENTOS DIÁRIOS'!$G$5:$G$500,"H",'LANÇAMENTOS DIÁRIOS'!$C$5:$C$500,$A89,'LANÇAMENTOS DIÁRIOS'!$O$5:$O$500,"&lt;=128199",'LANÇAMENTOS DIÁRIOS'!$P$5:$P$500,"&gt;=128100")&gt;0,"X","")</f>
      </c>
      <c r="AN89" s="56" t="str">
        <f>IF(COUNTIFS('LANÇAMENTOS DIÁRIOS'!$G$5:$G$500,"H",'LANÇAMENTOS DIÁRIOS'!$C$5:$C$500,$A89,'LANÇAMENTOS DIÁRIOS'!$O$5:$O$500,"&lt;=128299",'LANÇAMENTOS DIÁRIOS'!$P$5:$P$500,"&gt;=128200")&gt;0,"X","")</f>
      </c>
      <c r="AO89" s="56" t="str">
        <f>IF(COUNTIFS('LANÇAMENTOS DIÁRIOS'!$G$5:$G$500,"H",'LANÇAMENTOS DIÁRIOS'!$C$5:$C$500,$A89,'LANÇAMENTOS DIÁRIOS'!$O$5:$O$500,"&lt;=128399",'LANÇAMENTOS DIÁRIOS'!$P$5:$P$500,"&gt;=128300")&gt;0,"X","")</f>
      </c>
      <c r="AP89" s="56" t="str">
        <f>IF(COUNTIFS('LANÇAMENTOS DIÁRIOS'!$G$5:$G$500,"H",'LANÇAMENTOS DIÁRIOS'!$C$5:$C$500,$A89,'LANÇAMENTOS DIÁRIOS'!$O$5:$O$500,"&lt;=128499",'LANÇAMENTOS DIÁRIOS'!$P$5:$P$500,"&gt;=128400")&gt;0,"X","")</f>
      </c>
      <c r="AQ89" s="56" t="str">
        <f>IF(COUNTIFS('LANÇAMENTOS DIÁRIOS'!$G$5:$G$500,"H",'LANÇAMENTOS DIÁRIOS'!$C$5:$C$500,$A89,'LANÇAMENTOS DIÁRIOS'!$O$5:$O$500,"&lt;=128599",'LANÇAMENTOS DIÁRIOS'!$P$5:$P$500,"&gt;=128500")&gt;0,"X","")</f>
      </c>
      <c r="AR89" s="56" t="str">
        <f>IF(COUNTIFS('LANÇAMENTOS DIÁRIOS'!$G$5:$G$500,"H",'LANÇAMENTOS DIÁRIOS'!$C$5:$C$500,$A89,'LANÇAMENTOS DIÁRIOS'!$O$5:$O$500,"&lt;=128699",'LANÇAMENTOS DIÁRIOS'!$P$5:$P$500,"&gt;=128600")&gt;0,"X","")</f>
      </c>
      <c r="AS89" s="56" t="str">
        <f>IF(COUNTIFS('LANÇAMENTOS DIÁRIOS'!$G$5:$G$500,"H",'LANÇAMENTOS DIÁRIOS'!$C$5:$C$500,$A89,'LANÇAMENTOS DIÁRIOS'!$O$5:$O$500,"&lt;=128799",'LANÇAMENTOS DIÁRIOS'!$P$5:$P$500,"&gt;=128700")&gt;0,"X","")</f>
      </c>
      <c r="AT89" s="56" t="str">
        <f>IF(COUNTIFS('LANÇAMENTOS DIÁRIOS'!$G$5:$G$500,"H",'LANÇAMENTOS DIÁRIOS'!$C$5:$C$500,$A89,'LANÇAMENTOS DIÁRIOS'!$O$5:$O$500,"&lt;=128899",'LANÇAMENTOS DIÁRIOS'!$P$5:$P$500,"&gt;=128800")&gt;0,"X","")</f>
      </c>
      <c r="AU89" s="56" t="str">
        <f>IF(COUNTIFS('LANÇAMENTOS DIÁRIOS'!$G$5:$G$500,"H",'LANÇAMENTOS DIÁRIOS'!$C$5:$C$500,$A89,'LANÇAMENTOS DIÁRIOS'!$O$5:$O$500,"&lt;=128999",'LANÇAMENTOS DIÁRIOS'!$P$5:$P$500,"&gt;=128900")&gt;0,"X","")</f>
      </c>
      <c r="AV89" s="56" t="str">
        <f>IF(COUNTIFS('LANÇAMENTOS DIÁRIOS'!$G$5:$G$500,"H",'LANÇAMENTOS DIÁRIOS'!$C$5:$C$500,$A89,'LANÇAMENTOS DIÁRIOS'!$O$5:$O$500,"&lt;=129099",'LANÇAMENTOS DIÁRIOS'!$P$5:$P$500,"&gt;=129000")&gt;0,"X","")</f>
      </c>
      <c r="AW89" s="56" t="str">
        <f>IF(COUNTIFS('LANÇAMENTOS DIÁRIOS'!$G$5:$G$500,"H",'LANÇAMENTOS DIÁRIOS'!$C$5:$C$500,$A89,'LANÇAMENTOS DIÁRIOS'!$O$5:$O$500,"&lt;=129199",'LANÇAMENTOS DIÁRIOS'!$P$5:$P$500,"&gt;=129100")&gt;0,"X","")</f>
      </c>
      <c r="AX89" s="56" t="str">
        <f>IF(COUNTIFS('LANÇAMENTOS DIÁRIOS'!$G$5:$G$500,"H",'LANÇAMENTOS DIÁRIOS'!$C$5:$C$500,$A89,'LANÇAMENTOS DIÁRIOS'!$O$5:$O$500,"&lt;=129299",'LANÇAMENTOS DIÁRIOS'!$P$5:$P$500,"&gt;=129200")&gt;0,"X","")</f>
      </c>
      <c r="AY89" s="56" t="str">
        <f>IF(COUNTIFS('LANÇAMENTOS DIÁRIOS'!$G$5:$G$500,"H",'LANÇAMENTOS DIÁRIOS'!$C$5:$C$500,$A89,'LANÇAMENTOS DIÁRIOS'!$O$5:$O$500,"&lt;=129399",'LANÇAMENTOS DIÁRIOS'!$P$5:$P$500,"&gt;=129300")&gt;0,"X","")</f>
      </c>
      <c r="AZ89" s="56" t="str">
        <f>IF(COUNTIFS('LANÇAMENTOS DIÁRIOS'!$G$5:$G$500,"H",'LANÇAMENTOS DIÁRIOS'!$C$5:$C$500,$A89,'LANÇAMENTOS DIÁRIOS'!$O$5:$O$500,"&lt;=129400",'LANÇAMENTOS DIÁRIOS'!$P$5:$P$500,"&gt;=129400")&gt;0,"X","")</f>
      </c>
    </row>
    <row r="90">
      <c r="A90" s="51" t="str">
        <v>Geogrelha Hatelit - Sem o fornecimento de materiais</v>
      </c>
      <c r="B90" s="56" t="str">
        <f>IF(COUNTIFS('LANÇAMENTOS DIÁRIOS'!$G$5:$G$500,"H",'LANÇAMENTOS DIÁRIOS'!$C$5:$C$500,$A90,'LANÇAMENTOS DIÁRIOS'!$O$5:$O$500,"&lt;=124499",'LANÇAMENTOS DIÁRIOS'!$P$5:$P$500,"&gt;=124400")&gt;0,"X","")</f>
      </c>
      <c r="C90" s="56" t="str">
        <f>IF(COUNTIFS('LANÇAMENTOS DIÁRIOS'!$G$5:$G$500,"H",'LANÇAMENTOS DIÁRIOS'!$C$5:$C$500,$A90,'LANÇAMENTOS DIÁRIOS'!$O$5:$O$500,"&lt;=124599",'LANÇAMENTOS DIÁRIOS'!$P$5:$P$500,"&gt;=124500")&gt;0,"X","")</f>
      </c>
      <c r="D90" s="56" t="str">
        <f>IF(COUNTIFS('LANÇAMENTOS DIÁRIOS'!$G$5:$G$500,"H",'LANÇAMENTOS DIÁRIOS'!$C$5:$C$500,$A90,'LANÇAMENTOS DIÁRIOS'!$O$5:$O$500,"&lt;=124699",'LANÇAMENTOS DIÁRIOS'!$P$5:$P$500,"&gt;=124600")&gt;0,"X","")</f>
      </c>
      <c r="E90" s="56" t="str">
        <f>IF(COUNTIFS('LANÇAMENTOS DIÁRIOS'!$G$5:$G$500,"H",'LANÇAMENTOS DIÁRIOS'!$C$5:$C$500,$A90,'LANÇAMENTOS DIÁRIOS'!$O$5:$O$500,"&lt;=124799",'LANÇAMENTOS DIÁRIOS'!$P$5:$P$500,"&gt;=124700")&gt;0,"X","")</f>
      </c>
      <c r="F90" s="56" t="str">
        <f>IF(COUNTIFS('LANÇAMENTOS DIÁRIOS'!$G$5:$G$500,"H",'LANÇAMENTOS DIÁRIOS'!$C$5:$C$500,$A90,'LANÇAMENTOS DIÁRIOS'!$O$5:$O$500,"&lt;=124899",'LANÇAMENTOS DIÁRIOS'!$P$5:$P$500,"&gt;=124800")&gt;0,"X","")</f>
      </c>
      <c r="G90" s="56" t="str">
        <f>IF(COUNTIFS('LANÇAMENTOS DIÁRIOS'!$G$5:$G$500,"H",'LANÇAMENTOS DIÁRIOS'!$C$5:$C$500,$A90,'LANÇAMENTOS DIÁRIOS'!$O$5:$O$500,"&lt;=124999",'LANÇAMENTOS DIÁRIOS'!$P$5:$P$500,"&gt;=124900")&gt;0,"X","")</f>
      </c>
      <c r="H90" s="56" t="str">
        <f>IF(COUNTIFS('LANÇAMENTOS DIÁRIOS'!$G$5:$G$500,"H",'LANÇAMENTOS DIÁRIOS'!$C$5:$C$500,$A90,'LANÇAMENTOS DIÁRIOS'!$O$5:$O$500,"&lt;=125099",'LANÇAMENTOS DIÁRIOS'!$P$5:$P$500,"&gt;=125000")&gt;0,"X","")</f>
      </c>
      <c r="I90" s="56" t="str">
        <f>IF(COUNTIFS('LANÇAMENTOS DIÁRIOS'!$G$5:$G$500,"H",'LANÇAMENTOS DIÁRIOS'!$C$5:$C$500,$A90,'LANÇAMENTOS DIÁRIOS'!$O$5:$O$500,"&lt;=125199",'LANÇAMENTOS DIÁRIOS'!$P$5:$P$500,"&gt;=125100")&gt;0,"X","")</f>
      </c>
      <c r="J90" s="56" t="str">
        <f>IF(COUNTIFS('LANÇAMENTOS DIÁRIOS'!$G$5:$G$500,"H",'LANÇAMENTOS DIÁRIOS'!$C$5:$C$500,$A90,'LANÇAMENTOS DIÁRIOS'!$O$5:$O$500,"&lt;=125299",'LANÇAMENTOS DIÁRIOS'!$P$5:$P$500,"&gt;=125200")&gt;0,"X","")</f>
      </c>
      <c r="K90" s="56" t="str">
        <f>IF(COUNTIFS('LANÇAMENTOS DIÁRIOS'!$G$5:$G$500,"H",'LANÇAMENTOS DIÁRIOS'!$C$5:$C$500,$A90,'LANÇAMENTOS DIÁRIOS'!$O$5:$O$500,"&lt;=125399",'LANÇAMENTOS DIÁRIOS'!$P$5:$P$500,"&gt;=125300")&gt;0,"X","")</f>
      </c>
      <c r="L90" s="56" t="str">
        <f>IF(COUNTIFS('LANÇAMENTOS DIÁRIOS'!$G$5:$G$500,"H",'LANÇAMENTOS DIÁRIOS'!$C$5:$C$500,$A90,'LANÇAMENTOS DIÁRIOS'!$O$5:$O$500,"&lt;=125499",'LANÇAMENTOS DIÁRIOS'!$P$5:$P$500,"&gt;=125400")&gt;0,"X","")</f>
      </c>
      <c r="M90" s="56" t="str">
        <f>IF(COUNTIFS('LANÇAMENTOS DIÁRIOS'!$G$5:$G$500,"H",'LANÇAMENTOS DIÁRIOS'!$C$5:$C$500,$A90,'LANÇAMENTOS DIÁRIOS'!$O$5:$O$500,"&lt;=125599",'LANÇAMENTOS DIÁRIOS'!$P$5:$P$500,"&gt;=125500")&gt;0,"X","")</f>
      </c>
      <c r="N90" s="56" t="str">
        <f>IF(COUNTIFS('LANÇAMENTOS DIÁRIOS'!$G$5:$G$500,"H",'LANÇAMENTOS DIÁRIOS'!$C$5:$C$500,$A90,'LANÇAMENTOS DIÁRIOS'!$O$5:$O$500,"&lt;=125699",'LANÇAMENTOS DIÁRIOS'!$P$5:$P$500,"&gt;=125600")&gt;0,"X","")</f>
      </c>
      <c r="O90" s="56" t="str">
        <f>IF(COUNTIFS('LANÇAMENTOS DIÁRIOS'!$G$5:$G$500,"H",'LANÇAMENTOS DIÁRIOS'!$C$5:$C$500,$A90,'LANÇAMENTOS DIÁRIOS'!$O$5:$O$500,"&lt;=125799",'LANÇAMENTOS DIÁRIOS'!$P$5:$P$500,"&gt;=125700")&gt;0,"X","")</f>
      </c>
      <c r="P90" s="56" t="str">
        <f>IF(COUNTIFS('LANÇAMENTOS DIÁRIOS'!$G$5:$G$500,"H",'LANÇAMENTOS DIÁRIOS'!$C$5:$C$500,$A90,'LANÇAMENTOS DIÁRIOS'!$O$5:$O$500,"&lt;=125899",'LANÇAMENTOS DIÁRIOS'!$P$5:$P$500,"&gt;=125800")&gt;0,"X","")</f>
      </c>
      <c r="Q90" s="56" t="str">
        <f>IF(COUNTIFS('LANÇAMENTOS DIÁRIOS'!$G$5:$G$500,"H",'LANÇAMENTOS DIÁRIOS'!$C$5:$C$500,$A90,'LANÇAMENTOS DIÁRIOS'!$O$5:$O$500,"&lt;=125999",'LANÇAMENTOS DIÁRIOS'!$P$5:$P$500,"&gt;=125900")&gt;0,"X","")</f>
      </c>
      <c r="R90" s="56" t="str">
        <f>IF(COUNTIFS('LANÇAMENTOS DIÁRIOS'!$G$5:$G$500,"H",'LANÇAMENTOS DIÁRIOS'!$C$5:$C$500,$A90,'LANÇAMENTOS DIÁRIOS'!$O$5:$O$500,"&lt;=126099",'LANÇAMENTOS DIÁRIOS'!$P$5:$P$500,"&gt;=126000")&gt;0,"X","")</f>
      </c>
      <c r="S90" s="56" t="str">
        <f>IF(COUNTIFS('LANÇAMENTOS DIÁRIOS'!$G$5:$G$500,"H",'LANÇAMENTOS DIÁRIOS'!$C$5:$C$500,$A90,'LANÇAMENTOS DIÁRIOS'!$O$5:$O$500,"&lt;=126199",'LANÇAMENTOS DIÁRIOS'!$P$5:$P$500,"&gt;=126100")&gt;0,"X","")</f>
      </c>
      <c r="T90" s="56" t="str">
        <f>IF(COUNTIFS('LANÇAMENTOS DIÁRIOS'!$G$5:$G$500,"H",'LANÇAMENTOS DIÁRIOS'!$C$5:$C$500,$A90,'LANÇAMENTOS DIÁRIOS'!$O$5:$O$500,"&lt;=126299",'LANÇAMENTOS DIÁRIOS'!$P$5:$P$500,"&gt;=126200")&gt;0,"X","")</f>
      </c>
      <c r="U90" s="56" t="str">
        <f>IF(COUNTIFS('LANÇAMENTOS DIÁRIOS'!$G$5:$G$500,"H",'LANÇAMENTOS DIÁRIOS'!$C$5:$C$500,$A90,'LANÇAMENTOS DIÁRIOS'!$O$5:$O$500,"&lt;=126399",'LANÇAMENTOS DIÁRIOS'!$P$5:$P$500,"&gt;=126300")&gt;0,"X","")</f>
      </c>
      <c r="V90" s="56" t="str">
        <f>IF(COUNTIFS('LANÇAMENTOS DIÁRIOS'!$G$5:$G$500,"H",'LANÇAMENTOS DIÁRIOS'!$C$5:$C$500,$A90,'LANÇAMENTOS DIÁRIOS'!$O$5:$O$500,"&lt;=126499",'LANÇAMENTOS DIÁRIOS'!$P$5:$P$500,"&gt;=126400")&gt;0,"X","")</f>
      </c>
      <c r="W90" s="56" t="str">
        <f>IF(COUNTIFS('LANÇAMENTOS DIÁRIOS'!$G$5:$G$500,"H",'LANÇAMENTOS DIÁRIOS'!$C$5:$C$500,$A90,'LANÇAMENTOS DIÁRIOS'!$O$5:$O$500,"&lt;=126599",'LANÇAMENTOS DIÁRIOS'!$P$5:$P$500,"&gt;=126500")&gt;0,"X","")</f>
      </c>
      <c r="X90" s="56" t="str">
        <f>IF(COUNTIFS('LANÇAMENTOS DIÁRIOS'!$G$5:$G$500,"H",'LANÇAMENTOS DIÁRIOS'!$C$5:$C$500,$A90,'LANÇAMENTOS DIÁRIOS'!$O$5:$O$500,"&lt;=126699",'LANÇAMENTOS DIÁRIOS'!$P$5:$P$500,"&gt;=126600")&gt;0,"X","")</f>
      </c>
      <c r="Y90" s="56" t="str">
        <f>IF(COUNTIFS('LANÇAMENTOS DIÁRIOS'!$G$5:$G$500,"H",'LANÇAMENTOS DIÁRIOS'!$C$5:$C$500,$A90,'LANÇAMENTOS DIÁRIOS'!$O$5:$O$500,"&lt;=126799",'LANÇAMENTOS DIÁRIOS'!$P$5:$P$500,"&gt;=126700")&gt;0,"X","")</f>
      </c>
      <c r="Z90" s="56" t="str">
        <f>IF(COUNTIFS('LANÇAMENTOS DIÁRIOS'!$G$5:$G$500,"H",'LANÇAMENTOS DIÁRIOS'!$C$5:$C$500,$A90,'LANÇAMENTOS DIÁRIOS'!$O$5:$O$500,"&lt;=126899",'LANÇAMENTOS DIÁRIOS'!$P$5:$P$500,"&gt;=126800")&gt;0,"X","")</f>
      </c>
      <c r="AA90" s="56" t="str">
        <f>IF(COUNTIFS('LANÇAMENTOS DIÁRIOS'!$G$5:$G$500,"H",'LANÇAMENTOS DIÁRIOS'!$C$5:$C$500,$A90,'LANÇAMENTOS DIÁRIOS'!$O$5:$O$500,"&lt;=126999",'LANÇAMENTOS DIÁRIOS'!$P$5:$P$500,"&gt;=126900")&gt;0,"X","")</f>
      </c>
      <c r="AB90" s="56" t="str">
        <f>IF(COUNTIFS('LANÇAMENTOS DIÁRIOS'!$G$5:$G$500,"H",'LANÇAMENTOS DIÁRIOS'!$C$5:$C$500,$A90,'LANÇAMENTOS DIÁRIOS'!$O$5:$O$500,"&lt;=127099",'LANÇAMENTOS DIÁRIOS'!$P$5:$P$500,"&gt;=127000")&gt;0,"X","")</f>
      </c>
      <c r="AC90" s="56" t="str">
        <f>IF(COUNTIFS('LANÇAMENTOS DIÁRIOS'!$G$5:$G$500,"H",'LANÇAMENTOS DIÁRIOS'!$C$5:$C$500,$A90,'LANÇAMENTOS DIÁRIOS'!$O$5:$O$500,"&lt;=127199",'LANÇAMENTOS DIÁRIOS'!$P$5:$P$500,"&gt;=127100")&gt;0,"X","")</f>
      </c>
      <c r="AD90" s="56" t="str">
        <f>IF(COUNTIFS('LANÇAMENTOS DIÁRIOS'!$G$5:$G$500,"H",'LANÇAMENTOS DIÁRIOS'!$C$5:$C$500,$A90,'LANÇAMENTOS DIÁRIOS'!$O$5:$O$500,"&lt;=127299",'LANÇAMENTOS DIÁRIOS'!$P$5:$P$500,"&gt;=127200")&gt;0,"X","")</f>
      </c>
      <c r="AE90" s="56" t="str">
        <f>IF(COUNTIFS('LANÇAMENTOS DIÁRIOS'!$G$5:$G$500,"H",'LANÇAMENTOS DIÁRIOS'!$C$5:$C$500,$A90,'LANÇAMENTOS DIÁRIOS'!$O$5:$O$500,"&lt;=127399",'LANÇAMENTOS DIÁRIOS'!$P$5:$P$500,"&gt;=127300")&gt;0,"X","")</f>
      </c>
      <c r="AF90" s="56" t="str">
        <f>IF(COUNTIFS('LANÇAMENTOS DIÁRIOS'!$G$5:$G$500,"H",'LANÇAMENTOS DIÁRIOS'!$C$5:$C$500,$A90,'LANÇAMENTOS DIÁRIOS'!$O$5:$O$500,"&lt;=127499",'LANÇAMENTOS DIÁRIOS'!$P$5:$P$500,"&gt;=127400")&gt;0,"X","")</f>
      </c>
      <c r="AG90" s="56" t="str">
        <f>IF(COUNTIFS('LANÇAMENTOS DIÁRIOS'!$G$5:$G$500,"H",'LANÇAMENTOS DIÁRIOS'!$C$5:$C$500,$A90,'LANÇAMENTOS DIÁRIOS'!$O$5:$O$500,"&lt;=127599",'LANÇAMENTOS DIÁRIOS'!$P$5:$P$500,"&gt;=127500")&gt;0,"X","")</f>
      </c>
      <c r="AH90" s="56" t="str">
        <f>IF(COUNTIFS('LANÇAMENTOS DIÁRIOS'!$G$5:$G$500,"H",'LANÇAMENTOS DIÁRIOS'!$C$5:$C$500,$A90,'LANÇAMENTOS DIÁRIOS'!$O$5:$O$500,"&lt;=127699",'LANÇAMENTOS DIÁRIOS'!$P$5:$P$500,"&gt;=127600")&gt;0,"X","")</f>
      </c>
      <c r="AI90" s="56" t="str">
        <f>IF(COUNTIFS('LANÇAMENTOS DIÁRIOS'!$G$5:$G$500,"H",'LANÇAMENTOS DIÁRIOS'!$C$5:$C$500,$A90,'LANÇAMENTOS DIÁRIOS'!$O$5:$O$500,"&lt;=127799",'LANÇAMENTOS DIÁRIOS'!$P$5:$P$500,"&gt;=127700")&gt;0,"X","")</f>
      </c>
      <c r="AJ90" s="56" t="str">
        <f>IF(COUNTIFS('LANÇAMENTOS DIÁRIOS'!$G$5:$G$500,"H",'LANÇAMENTOS DIÁRIOS'!$C$5:$C$500,$A90,'LANÇAMENTOS DIÁRIOS'!$O$5:$O$500,"&lt;=127899",'LANÇAMENTOS DIÁRIOS'!$P$5:$P$500,"&gt;=127800")&gt;0,"X","")</f>
      </c>
      <c r="AK90" s="56" t="str">
        <f>IF(COUNTIFS('LANÇAMENTOS DIÁRIOS'!$G$5:$G$500,"H",'LANÇAMENTOS DIÁRIOS'!$C$5:$C$500,$A90,'LANÇAMENTOS DIÁRIOS'!$O$5:$O$500,"&lt;=127999",'LANÇAMENTOS DIÁRIOS'!$P$5:$P$500,"&gt;=127900")&gt;0,"X","")</f>
      </c>
      <c r="AL90" s="56" t="str">
        <f>IF(COUNTIFS('LANÇAMENTOS DIÁRIOS'!$G$5:$G$500,"H",'LANÇAMENTOS DIÁRIOS'!$C$5:$C$500,$A90,'LANÇAMENTOS DIÁRIOS'!$O$5:$O$500,"&lt;=128099",'LANÇAMENTOS DIÁRIOS'!$P$5:$P$500,"&gt;=128000")&gt;0,"X","")</f>
      </c>
      <c r="AM90" s="56" t="str">
        <f>IF(COUNTIFS('LANÇAMENTOS DIÁRIOS'!$G$5:$G$500,"H",'LANÇAMENTOS DIÁRIOS'!$C$5:$C$500,$A90,'LANÇAMENTOS DIÁRIOS'!$O$5:$O$500,"&lt;=128199",'LANÇAMENTOS DIÁRIOS'!$P$5:$P$500,"&gt;=128100")&gt;0,"X","")</f>
      </c>
      <c r="AN90" s="56" t="str">
        <f>IF(COUNTIFS('LANÇAMENTOS DIÁRIOS'!$G$5:$G$500,"H",'LANÇAMENTOS DIÁRIOS'!$C$5:$C$500,$A90,'LANÇAMENTOS DIÁRIOS'!$O$5:$O$500,"&lt;=128299",'LANÇAMENTOS DIÁRIOS'!$P$5:$P$500,"&gt;=128200")&gt;0,"X","")</f>
      </c>
      <c r="AO90" s="56" t="str">
        <f>IF(COUNTIFS('LANÇAMENTOS DIÁRIOS'!$G$5:$G$500,"H",'LANÇAMENTOS DIÁRIOS'!$C$5:$C$500,$A90,'LANÇAMENTOS DIÁRIOS'!$O$5:$O$500,"&lt;=128399",'LANÇAMENTOS DIÁRIOS'!$P$5:$P$500,"&gt;=128300")&gt;0,"X","")</f>
      </c>
      <c r="AP90" s="56" t="str">
        <f>IF(COUNTIFS('LANÇAMENTOS DIÁRIOS'!$G$5:$G$500,"H",'LANÇAMENTOS DIÁRIOS'!$C$5:$C$500,$A90,'LANÇAMENTOS DIÁRIOS'!$O$5:$O$500,"&lt;=128499",'LANÇAMENTOS DIÁRIOS'!$P$5:$P$500,"&gt;=128400")&gt;0,"X","")</f>
      </c>
      <c r="AQ90" s="56" t="str">
        <f>IF(COUNTIFS('LANÇAMENTOS DIÁRIOS'!$G$5:$G$500,"H",'LANÇAMENTOS DIÁRIOS'!$C$5:$C$500,$A90,'LANÇAMENTOS DIÁRIOS'!$O$5:$O$500,"&lt;=128599",'LANÇAMENTOS DIÁRIOS'!$P$5:$P$500,"&gt;=128500")&gt;0,"X","")</f>
      </c>
      <c r="AR90" s="56" t="str">
        <f>IF(COUNTIFS('LANÇAMENTOS DIÁRIOS'!$G$5:$G$500,"H",'LANÇAMENTOS DIÁRIOS'!$C$5:$C$500,$A90,'LANÇAMENTOS DIÁRIOS'!$O$5:$O$500,"&lt;=128699",'LANÇAMENTOS DIÁRIOS'!$P$5:$P$500,"&gt;=128600")&gt;0,"X","")</f>
      </c>
      <c r="AS90" s="56" t="str">
        <f>IF(COUNTIFS('LANÇAMENTOS DIÁRIOS'!$G$5:$G$500,"H",'LANÇAMENTOS DIÁRIOS'!$C$5:$C$500,$A90,'LANÇAMENTOS DIÁRIOS'!$O$5:$O$500,"&lt;=128799",'LANÇAMENTOS DIÁRIOS'!$P$5:$P$500,"&gt;=128700")&gt;0,"X","")</f>
      </c>
      <c r="AT90" s="56" t="str">
        <f>IF(COUNTIFS('LANÇAMENTOS DIÁRIOS'!$G$5:$G$500,"H",'LANÇAMENTOS DIÁRIOS'!$C$5:$C$500,$A90,'LANÇAMENTOS DIÁRIOS'!$O$5:$O$500,"&lt;=128899",'LANÇAMENTOS DIÁRIOS'!$P$5:$P$500,"&gt;=128800")&gt;0,"X","")</f>
      </c>
      <c r="AU90" s="56" t="str">
        <f>IF(COUNTIFS('LANÇAMENTOS DIÁRIOS'!$G$5:$G$500,"H",'LANÇAMENTOS DIÁRIOS'!$C$5:$C$500,$A90,'LANÇAMENTOS DIÁRIOS'!$O$5:$O$500,"&lt;=128999",'LANÇAMENTOS DIÁRIOS'!$P$5:$P$500,"&gt;=128900")&gt;0,"X","")</f>
      </c>
      <c r="AV90" s="56" t="str">
        <f>IF(COUNTIFS('LANÇAMENTOS DIÁRIOS'!$G$5:$G$500,"H",'LANÇAMENTOS DIÁRIOS'!$C$5:$C$500,$A90,'LANÇAMENTOS DIÁRIOS'!$O$5:$O$500,"&lt;=129099",'LANÇAMENTOS DIÁRIOS'!$P$5:$P$500,"&gt;=129000")&gt;0,"X","")</f>
      </c>
      <c r="AW90" s="56" t="str">
        <f>IF(COUNTIFS('LANÇAMENTOS DIÁRIOS'!$G$5:$G$500,"H",'LANÇAMENTOS DIÁRIOS'!$C$5:$C$500,$A90,'LANÇAMENTOS DIÁRIOS'!$O$5:$O$500,"&lt;=129199",'LANÇAMENTOS DIÁRIOS'!$P$5:$P$500,"&gt;=129100")&gt;0,"X","")</f>
      </c>
      <c r="AX90" s="56" t="str">
        <f>IF(COUNTIFS('LANÇAMENTOS DIÁRIOS'!$G$5:$G$500,"H",'LANÇAMENTOS DIÁRIOS'!$C$5:$C$500,$A90,'LANÇAMENTOS DIÁRIOS'!$O$5:$O$500,"&lt;=129299",'LANÇAMENTOS DIÁRIOS'!$P$5:$P$500,"&gt;=129200")&gt;0,"X","")</f>
      </c>
      <c r="AY90" s="56" t="str">
        <f>IF(COUNTIFS('LANÇAMENTOS DIÁRIOS'!$G$5:$G$500,"H",'LANÇAMENTOS DIÁRIOS'!$C$5:$C$500,$A90,'LANÇAMENTOS DIÁRIOS'!$O$5:$O$500,"&lt;=129399",'LANÇAMENTOS DIÁRIOS'!$P$5:$P$500,"&gt;=129300")&gt;0,"X","")</f>
      </c>
      <c r="AZ90" s="56" t="str">
        <f>IF(COUNTIFS('LANÇAMENTOS DIÁRIOS'!$G$5:$G$500,"H",'LANÇAMENTOS DIÁRIOS'!$C$5:$C$500,$A90,'LANÇAMENTOS DIÁRIOS'!$O$5:$O$500,"&lt;=129400",'LANÇAMENTOS DIÁRIOS'!$P$5:$P$500,"&gt;=129400")&gt;0,"X","")</f>
      </c>
    </row>
    <row r="91">
      <c r="A91" s="51" t="str">
        <v>Imprimadura impermeabilizante, sem fornecimento de material</v>
      </c>
      <c r="B91" s="56" t="str">
        <f>IF(COUNTIFS('LANÇAMENTOS DIÁRIOS'!$G$5:$G$500,"H",'LANÇAMENTOS DIÁRIOS'!$C$5:$C$500,$A91,'LANÇAMENTOS DIÁRIOS'!$O$5:$O$500,"&lt;=124499",'LANÇAMENTOS DIÁRIOS'!$P$5:$P$500,"&gt;=124400")&gt;0,"X","")</f>
      </c>
      <c r="C91" s="56" t="str">
        <f>IF(COUNTIFS('LANÇAMENTOS DIÁRIOS'!$G$5:$G$500,"H",'LANÇAMENTOS DIÁRIOS'!$C$5:$C$500,$A91,'LANÇAMENTOS DIÁRIOS'!$O$5:$O$500,"&lt;=124599",'LANÇAMENTOS DIÁRIOS'!$P$5:$P$500,"&gt;=124500")&gt;0,"X","")</f>
      </c>
      <c r="D91" s="56" t="str">
        <f>IF(COUNTIFS('LANÇAMENTOS DIÁRIOS'!$G$5:$G$500,"H",'LANÇAMENTOS DIÁRIOS'!$C$5:$C$500,$A91,'LANÇAMENTOS DIÁRIOS'!$O$5:$O$500,"&lt;=124699",'LANÇAMENTOS DIÁRIOS'!$P$5:$P$500,"&gt;=124600")&gt;0,"X","")</f>
      </c>
      <c r="E91" s="56" t="str">
        <f>IF(COUNTIFS('LANÇAMENTOS DIÁRIOS'!$G$5:$G$500,"H",'LANÇAMENTOS DIÁRIOS'!$C$5:$C$500,$A91,'LANÇAMENTOS DIÁRIOS'!$O$5:$O$500,"&lt;=124799",'LANÇAMENTOS DIÁRIOS'!$P$5:$P$500,"&gt;=124700")&gt;0,"X","")</f>
      </c>
      <c r="F91" s="56" t="str">
        <f>IF(COUNTIFS('LANÇAMENTOS DIÁRIOS'!$G$5:$G$500,"H",'LANÇAMENTOS DIÁRIOS'!$C$5:$C$500,$A91,'LANÇAMENTOS DIÁRIOS'!$O$5:$O$500,"&lt;=124899",'LANÇAMENTOS DIÁRIOS'!$P$5:$P$500,"&gt;=124800")&gt;0,"X","")</f>
      </c>
      <c r="G91" s="56" t="str">
        <f>IF(COUNTIFS('LANÇAMENTOS DIÁRIOS'!$G$5:$G$500,"H",'LANÇAMENTOS DIÁRIOS'!$C$5:$C$500,$A91,'LANÇAMENTOS DIÁRIOS'!$O$5:$O$500,"&lt;=124999",'LANÇAMENTOS DIÁRIOS'!$P$5:$P$500,"&gt;=124900")&gt;0,"X","")</f>
      </c>
      <c r="H91" s="56" t="str">
        <f>IF(COUNTIFS('LANÇAMENTOS DIÁRIOS'!$G$5:$G$500,"H",'LANÇAMENTOS DIÁRIOS'!$C$5:$C$500,$A91,'LANÇAMENTOS DIÁRIOS'!$O$5:$O$500,"&lt;=125099",'LANÇAMENTOS DIÁRIOS'!$P$5:$P$500,"&gt;=125000")&gt;0,"X","")</f>
      </c>
      <c r="I91" s="56" t="str">
        <f>IF(COUNTIFS('LANÇAMENTOS DIÁRIOS'!$G$5:$G$500,"H",'LANÇAMENTOS DIÁRIOS'!$C$5:$C$500,$A91,'LANÇAMENTOS DIÁRIOS'!$O$5:$O$500,"&lt;=125199",'LANÇAMENTOS DIÁRIOS'!$P$5:$P$500,"&gt;=125100")&gt;0,"X","")</f>
      </c>
      <c r="J91" s="56" t="str">
        <f>IF(COUNTIFS('LANÇAMENTOS DIÁRIOS'!$G$5:$G$500,"H",'LANÇAMENTOS DIÁRIOS'!$C$5:$C$500,$A91,'LANÇAMENTOS DIÁRIOS'!$O$5:$O$500,"&lt;=125299",'LANÇAMENTOS DIÁRIOS'!$P$5:$P$500,"&gt;=125200")&gt;0,"X","")</f>
      </c>
      <c r="K91" s="56" t="str">
        <f>IF(COUNTIFS('LANÇAMENTOS DIÁRIOS'!$G$5:$G$500,"H",'LANÇAMENTOS DIÁRIOS'!$C$5:$C$500,$A91,'LANÇAMENTOS DIÁRIOS'!$O$5:$O$500,"&lt;=125399",'LANÇAMENTOS DIÁRIOS'!$P$5:$P$500,"&gt;=125300")&gt;0,"X","")</f>
      </c>
      <c r="L91" s="56" t="str">
        <f>IF(COUNTIFS('LANÇAMENTOS DIÁRIOS'!$G$5:$G$500,"H",'LANÇAMENTOS DIÁRIOS'!$C$5:$C$500,$A91,'LANÇAMENTOS DIÁRIOS'!$O$5:$O$500,"&lt;=125499",'LANÇAMENTOS DIÁRIOS'!$P$5:$P$500,"&gt;=125400")&gt;0,"X","")</f>
      </c>
      <c r="M91" s="56" t="str">
        <f>IF(COUNTIFS('LANÇAMENTOS DIÁRIOS'!$G$5:$G$500,"H",'LANÇAMENTOS DIÁRIOS'!$C$5:$C$500,$A91,'LANÇAMENTOS DIÁRIOS'!$O$5:$O$500,"&lt;=125599",'LANÇAMENTOS DIÁRIOS'!$P$5:$P$500,"&gt;=125500")&gt;0,"X","")</f>
      </c>
      <c r="N91" s="56" t="str">
        <f>IF(COUNTIFS('LANÇAMENTOS DIÁRIOS'!$G$5:$G$500,"H",'LANÇAMENTOS DIÁRIOS'!$C$5:$C$500,$A91,'LANÇAMENTOS DIÁRIOS'!$O$5:$O$500,"&lt;=125699",'LANÇAMENTOS DIÁRIOS'!$P$5:$P$500,"&gt;=125600")&gt;0,"X","")</f>
      </c>
      <c r="O91" s="56" t="str">
        <f>IF(COUNTIFS('LANÇAMENTOS DIÁRIOS'!$G$5:$G$500,"H",'LANÇAMENTOS DIÁRIOS'!$C$5:$C$500,$A91,'LANÇAMENTOS DIÁRIOS'!$O$5:$O$500,"&lt;=125799",'LANÇAMENTOS DIÁRIOS'!$P$5:$P$500,"&gt;=125700")&gt;0,"X","")</f>
      </c>
      <c r="P91" s="56" t="str">
        <f>IF(COUNTIFS('LANÇAMENTOS DIÁRIOS'!$G$5:$G$500,"H",'LANÇAMENTOS DIÁRIOS'!$C$5:$C$500,$A91,'LANÇAMENTOS DIÁRIOS'!$O$5:$O$500,"&lt;=125899",'LANÇAMENTOS DIÁRIOS'!$P$5:$P$500,"&gt;=125800")&gt;0,"X","")</f>
      </c>
      <c r="Q91" s="56" t="str">
        <f>IF(COUNTIFS('LANÇAMENTOS DIÁRIOS'!$G$5:$G$500,"H",'LANÇAMENTOS DIÁRIOS'!$C$5:$C$500,$A91,'LANÇAMENTOS DIÁRIOS'!$O$5:$O$500,"&lt;=125999",'LANÇAMENTOS DIÁRIOS'!$P$5:$P$500,"&gt;=125900")&gt;0,"X","")</f>
      </c>
      <c r="R91" s="56" t="str">
        <f>IF(COUNTIFS('LANÇAMENTOS DIÁRIOS'!$G$5:$G$500,"H",'LANÇAMENTOS DIÁRIOS'!$C$5:$C$500,$A91,'LANÇAMENTOS DIÁRIOS'!$O$5:$O$500,"&lt;=126099",'LANÇAMENTOS DIÁRIOS'!$P$5:$P$500,"&gt;=126000")&gt;0,"X","")</f>
      </c>
      <c r="S91" s="56" t="str">
        <f>IF(COUNTIFS('LANÇAMENTOS DIÁRIOS'!$G$5:$G$500,"H",'LANÇAMENTOS DIÁRIOS'!$C$5:$C$500,$A91,'LANÇAMENTOS DIÁRIOS'!$O$5:$O$500,"&lt;=126199",'LANÇAMENTOS DIÁRIOS'!$P$5:$P$500,"&gt;=126100")&gt;0,"X","")</f>
      </c>
      <c r="T91" s="56" t="str">
        <f>IF(COUNTIFS('LANÇAMENTOS DIÁRIOS'!$G$5:$G$500,"H",'LANÇAMENTOS DIÁRIOS'!$C$5:$C$500,$A91,'LANÇAMENTOS DIÁRIOS'!$O$5:$O$500,"&lt;=126299",'LANÇAMENTOS DIÁRIOS'!$P$5:$P$500,"&gt;=126200")&gt;0,"X","")</f>
      </c>
      <c r="U91" s="56" t="str">
        <f>IF(COUNTIFS('LANÇAMENTOS DIÁRIOS'!$G$5:$G$500,"H",'LANÇAMENTOS DIÁRIOS'!$C$5:$C$500,$A91,'LANÇAMENTOS DIÁRIOS'!$O$5:$O$500,"&lt;=126399",'LANÇAMENTOS DIÁRIOS'!$P$5:$P$500,"&gt;=126300")&gt;0,"X","")</f>
      </c>
      <c r="V91" s="56" t="str">
        <f>IF(COUNTIFS('LANÇAMENTOS DIÁRIOS'!$G$5:$G$500,"H",'LANÇAMENTOS DIÁRIOS'!$C$5:$C$500,$A91,'LANÇAMENTOS DIÁRIOS'!$O$5:$O$500,"&lt;=126499",'LANÇAMENTOS DIÁRIOS'!$P$5:$P$500,"&gt;=126400")&gt;0,"X","")</f>
      </c>
      <c r="W91" s="56" t="str">
        <f>IF(COUNTIFS('LANÇAMENTOS DIÁRIOS'!$G$5:$G$500,"H",'LANÇAMENTOS DIÁRIOS'!$C$5:$C$500,$A91,'LANÇAMENTOS DIÁRIOS'!$O$5:$O$500,"&lt;=126599",'LANÇAMENTOS DIÁRIOS'!$P$5:$P$500,"&gt;=126500")&gt;0,"X","")</f>
      </c>
      <c r="X91" s="56" t="str">
        <f>IF(COUNTIFS('LANÇAMENTOS DIÁRIOS'!$G$5:$G$500,"H",'LANÇAMENTOS DIÁRIOS'!$C$5:$C$500,$A91,'LANÇAMENTOS DIÁRIOS'!$O$5:$O$500,"&lt;=126699",'LANÇAMENTOS DIÁRIOS'!$P$5:$P$500,"&gt;=126600")&gt;0,"X","")</f>
      </c>
      <c r="Y91" s="56" t="str">
        <f>IF(COUNTIFS('LANÇAMENTOS DIÁRIOS'!$G$5:$G$500,"H",'LANÇAMENTOS DIÁRIOS'!$C$5:$C$500,$A91,'LANÇAMENTOS DIÁRIOS'!$O$5:$O$500,"&lt;=126799",'LANÇAMENTOS DIÁRIOS'!$P$5:$P$500,"&gt;=126700")&gt;0,"X","")</f>
      </c>
      <c r="Z91" s="56" t="str">
        <f>IF(COUNTIFS('LANÇAMENTOS DIÁRIOS'!$G$5:$G$500,"H",'LANÇAMENTOS DIÁRIOS'!$C$5:$C$500,$A91,'LANÇAMENTOS DIÁRIOS'!$O$5:$O$500,"&lt;=126899",'LANÇAMENTOS DIÁRIOS'!$P$5:$P$500,"&gt;=126800")&gt;0,"X","")</f>
      </c>
      <c r="AA91" s="56" t="str">
        <f>IF(COUNTIFS('LANÇAMENTOS DIÁRIOS'!$G$5:$G$500,"H",'LANÇAMENTOS DIÁRIOS'!$C$5:$C$500,$A91,'LANÇAMENTOS DIÁRIOS'!$O$5:$O$500,"&lt;=126999",'LANÇAMENTOS DIÁRIOS'!$P$5:$P$500,"&gt;=126900")&gt;0,"X","")</f>
      </c>
      <c r="AB91" s="56" t="str">
        <f>IF(COUNTIFS('LANÇAMENTOS DIÁRIOS'!$G$5:$G$500,"H",'LANÇAMENTOS DIÁRIOS'!$C$5:$C$500,$A91,'LANÇAMENTOS DIÁRIOS'!$O$5:$O$500,"&lt;=127099",'LANÇAMENTOS DIÁRIOS'!$P$5:$P$500,"&gt;=127000")&gt;0,"X","")</f>
      </c>
      <c r="AC91" s="56" t="str">
        <f>IF(COUNTIFS('LANÇAMENTOS DIÁRIOS'!$G$5:$G$500,"H",'LANÇAMENTOS DIÁRIOS'!$C$5:$C$500,$A91,'LANÇAMENTOS DIÁRIOS'!$O$5:$O$500,"&lt;=127199",'LANÇAMENTOS DIÁRIOS'!$P$5:$P$500,"&gt;=127100")&gt;0,"X","")</f>
      </c>
      <c r="AD91" s="56" t="str">
        <f>IF(COUNTIFS('LANÇAMENTOS DIÁRIOS'!$G$5:$G$500,"H",'LANÇAMENTOS DIÁRIOS'!$C$5:$C$500,$A91,'LANÇAMENTOS DIÁRIOS'!$O$5:$O$500,"&lt;=127299",'LANÇAMENTOS DIÁRIOS'!$P$5:$P$500,"&gt;=127200")&gt;0,"X","")</f>
      </c>
      <c r="AE91" s="56" t="str">
        <f>IF(COUNTIFS('LANÇAMENTOS DIÁRIOS'!$G$5:$G$500,"H",'LANÇAMENTOS DIÁRIOS'!$C$5:$C$500,$A91,'LANÇAMENTOS DIÁRIOS'!$O$5:$O$500,"&lt;=127399",'LANÇAMENTOS DIÁRIOS'!$P$5:$P$500,"&gt;=127300")&gt;0,"X","")</f>
      </c>
      <c r="AF91" s="56" t="str">
        <f>IF(COUNTIFS('LANÇAMENTOS DIÁRIOS'!$G$5:$G$500,"H",'LANÇAMENTOS DIÁRIOS'!$C$5:$C$500,$A91,'LANÇAMENTOS DIÁRIOS'!$O$5:$O$500,"&lt;=127499",'LANÇAMENTOS DIÁRIOS'!$P$5:$P$500,"&gt;=127400")&gt;0,"X","")</f>
      </c>
      <c r="AG91" s="56" t="str">
        <f>IF(COUNTIFS('LANÇAMENTOS DIÁRIOS'!$G$5:$G$500,"H",'LANÇAMENTOS DIÁRIOS'!$C$5:$C$500,$A91,'LANÇAMENTOS DIÁRIOS'!$O$5:$O$500,"&lt;=127599",'LANÇAMENTOS DIÁRIOS'!$P$5:$P$500,"&gt;=127500")&gt;0,"X","")</f>
      </c>
      <c r="AH91" s="56" t="str">
        <f>IF(COUNTIFS('LANÇAMENTOS DIÁRIOS'!$G$5:$G$500,"H",'LANÇAMENTOS DIÁRIOS'!$C$5:$C$500,$A91,'LANÇAMENTOS DIÁRIOS'!$O$5:$O$500,"&lt;=127699",'LANÇAMENTOS DIÁRIOS'!$P$5:$P$500,"&gt;=127600")&gt;0,"X","")</f>
      </c>
      <c r="AI91" s="56" t="str">
        <f>IF(COUNTIFS('LANÇAMENTOS DIÁRIOS'!$G$5:$G$500,"H",'LANÇAMENTOS DIÁRIOS'!$C$5:$C$500,$A91,'LANÇAMENTOS DIÁRIOS'!$O$5:$O$500,"&lt;=127799",'LANÇAMENTOS DIÁRIOS'!$P$5:$P$500,"&gt;=127700")&gt;0,"X","")</f>
      </c>
      <c r="AJ91" s="56" t="str">
        <f>IF(COUNTIFS('LANÇAMENTOS DIÁRIOS'!$G$5:$G$500,"H",'LANÇAMENTOS DIÁRIOS'!$C$5:$C$500,$A91,'LANÇAMENTOS DIÁRIOS'!$O$5:$O$500,"&lt;=127899",'LANÇAMENTOS DIÁRIOS'!$P$5:$P$500,"&gt;=127800")&gt;0,"X","")</f>
      </c>
      <c r="AK91" s="56" t="str">
        <f>IF(COUNTIFS('LANÇAMENTOS DIÁRIOS'!$G$5:$G$500,"H",'LANÇAMENTOS DIÁRIOS'!$C$5:$C$500,$A91,'LANÇAMENTOS DIÁRIOS'!$O$5:$O$500,"&lt;=127999",'LANÇAMENTOS DIÁRIOS'!$P$5:$P$500,"&gt;=127900")&gt;0,"X","")</f>
      </c>
      <c r="AL91" s="56" t="str">
        <f>IF(COUNTIFS('LANÇAMENTOS DIÁRIOS'!$G$5:$G$500,"H",'LANÇAMENTOS DIÁRIOS'!$C$5:$C$500,$A91,'LANÇAMENTOS DIÁRIOS'!$O$5:$O$500,"&lt;=128099",'LANÇAMENTOS DIÁRIOS'!$P$5:$P$500,"&gt;=128000")&gt;0,"X","")</f>
      </c>
      <c r="AM91" s="56" t="str">
        <f>IF(COUNTIFS('LANÇAMENTOS DIÁRIOS'!$G$5:$G$500,"H",'LANÇAMENTOS DIÁRIOS'!$C$5:$C$500,$A91,'LANÇAMENTOS DIÁRIOS'!$O$5:$O$500,"&lt;=128199",'LANÇAMENTOS DIÁRIOS'!$P$5:$P$500,"&gt;=128100")&gt;0,"X","")</f>
      </c>
      <c r="AN91" s="56" t="str">
        <f>IF(COUNTIFS('LANÇAMENTOS DIÁRIOS'!$G$5:$G$500,"H",'LANÇAMENTOS DIÁRIOS'!$C$5:$C$500,$A91,'LANÇAMENTOS DIÁRIOS'!$O$5:$O$500,"&lt;=128299",'LANÇAMENTOS DIÁRIOS'!$P$5:$P$500,"&gt;=128200")&gt;0,"X","")</f>
      </c>
      <c r="AO91" s="56" t="str">
        <f>IF(COUNTIFS('LANÇAMENTOS DIÁRIOS'!$G$5:$G$500,"H",'LANÇAMENTOS DIÁRIOS'!$C$5:$C$500,$A91,'LANÇAMENTOS DIÁRIOS'!$O$5:$O$500,"&lt;=128399",'LANÇAMENTOS DIÁRIOS'!$P$5:$P$500,"&gt;=128300")&gt;0,"X","")</f>
      </c>
      <c r="AP91" s="56" t="str">
        <f>IF(COUNTIFS('LANÇAMENTOS DIÁRIOS'!$G$5:$G$500,"H",'LANÇAMENTOS DIÁRIOS'!$C$5:$C$500,$A91,'LANÇAMENTOS DIÁRIOS'!$O$5:$O$500,"&lt;=128499",'LANÇAMENTOS DIÁRIOS'!$P$5:$P$500,"&gt;=128400")&gt;0,"X","")</f>
      </c>
      <c r="AQ91" s="56" t="str">
        <f>IF(COUNTIFS('LANÇAMENTOS DIÁRIOS'!$G$5:$G$500,"H",'LANÇAMENTOS DIÁRIOS'!$C$5:$C$500,$A91,'LANÇAMENTOS DIÁRIOS'!$O$5:$O$500,"&lt;=128599",'LANÇAMENTOS DIÁRIOS'!$P$5:$P$500,"&gt;=128500")&gt;0,"X","")</f>
      </c>
      <c r="AR91" s="56" t="str">
        <f>IF(COUNTIFS('LANÇAMENTOS DIÁRIOS'!$G$5:$G$500,"H",'LANÇAMENTOS DIÁRIOS'!$C$5:$C$500,$A91,'LANÇAMENTOS DIÁRIOS'!$O$5:$O$500,"&lt;=128699",'LANÇAMENTOS DIÁRIOS'!$P$5:$P$500,"&gt;=128600")&gt;0,"X","")</f>
      </c>
      <c r="AS91" s="56" t="str">
        <f>IF(COUNTIFS('LANÇAMENTOS DIÁRIOS'!$G$5:$G$500,"H",'LANÇAMENTOS DIÁRIOS'!$C$5:$C$500,$A91,'LANÇAMENTOS DIÁRIOS'!$O$5:$O$500,"&lt;=128799",'LANÇAMENTOS DIÁRIOS'!$P$5:$P$500,"&gt;=128700")&gt;0,"X","")</f>
      </c>
      <c r="AT91" s="56" t="str">
        <f>IF(COUNTIFS('LANÇAMENTOS DIÁRIOS'!$G$5:$G$500,"H",'LANÇAMENTOS DIÁRIOS'!$C$5:$C$500,$A91,'LANÇAMENTOS DIÁRIOS'!$O$5:$O$500,"&lt;=128899",'LANÇAMENTOS DIÁRIOS'!$P$5:$P$500,"&gt;=128800")&gt;0,"X","")</f>
      </c>
      <c r="AU91" s="56" t="str">
        <f>IF(COUNTIFS('LANÇAMENTOS DIÁRIOS'!$G$5:$G$500,"H",'LANÇAMENTOS DIÁRIOS'!$C$5:$C$500,$A91,'LANÇAMENTOS DIÁRIOS'!$O$5:$O$500,"&lt;=128999",'LANÇAMENTOS DIÁRIOS'!$P$5:$P$500,"&gt;=128900")&gt;0,"X","")</f>
      </c>
      <c r="AV91" s="56" t="str">
        <f>IF(COUNTIFS('LANÇAMENTOS DIÁRIOS'!$G$5:$G$500,"H",'LANÇAMENTOS DIÁRIOS'!$C$5:$C$500,$A91,'LANÇAMENTOS DIÁRIOS'!$O$5:$O$500,"&lt;=129099",'LANÇAMENTOS DIÁRIOS'!$P$5:$P$500,"&gt;=129000")&gt;0,"X","")</f>
      </c>
      <c r="AW91" s="56" t="str">
        <f>IF(COUNTIFS('LANÇAMENTOS DIÁRIOS'!$G$5:$G$500,"H",'LANÇAMENTOS DIÁRIOS'!$C$5:$C$500,$A91,'LANÇAMENTOS DIÁRIOS'!$O$5:$O$500,"&lt;=129199",'LANÇAMENTOS DIÁRIOS'!$P$5:$P$500,"&gt;=129100")&gt;0,"X","")</f>
      </c>
      <c r="AX91" s="56" t="str">
        <f>IF(COUNTIFS('LANÇAMENTOS DIÁRIOS'!$G$5:$G$500,"H",'LANÇAMENTOS DIÁRIOS'!$C$5:$C$500,$A91,'LANÇAMENTOS DIÁRIOS'!$O$5:$O$500,"&lt;=129299",'LANÇAMENTOS DIÁRIOS'!$P$5:$P$500,"&gt;=129200")&gt;0,"X","")</f>
      </c>
      <c r="AY91" s="56" t="str">
        <f>IF(COUNTIFS('LANÇAMENTOS DIÁRIOS'!$G$5:$G$500,"H",'LANÇAMENTOS DIÁRIOS'!$C$5:$C$500,$A91,'LANÇAMENTOS DIÁRIOS'!$O$5:$O$500,"&lt;=129399",'LANÇAMENTOS DIÁRIOS'!$P$5:$P$500,"&gt;=129300")&gt;0,"X","")</f>
      </c>
      <c r="AZ91" s="56" t="str">
        <f>IF(COUNTIFS('LANÇAMENTOS DIÁRIOS'!$G$5:$G$500,"H",'LANÇAMENTOS DIÁRIOS'!$C$5:$C$500,$A91,'LANÇAMENTOS DIÁRIOS'!$O$5:$O$500,"&lt;=129400",'LANÇAMENTOS DIÁRIOS'!$P$5:$P$500,"&gt;=129400")&gt;0,"X","")</f>
      </c>
    </row>
    <row r="92" ht="21" customHeight="1">
      <c r="A92" s="60" t="str">
        <v>Drenagem</v>
      </c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</row>
    <row r="93" ht="19" customHeight="1">
      <c r="A93" s="68" t="str">
        <v>Obras de drenagem profunda. Galerias e Bueiros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</row>
    <row r="94">
      <c r="A94" s="51" t="str">
        <v>Obras de drenagem profunda. Galerias e Bueiros</v>
      </c>
      <c r="B94" s="56" t="str">
        <f>IF(COUNTIFS('LANÇAMENTOS DIÁRIOS'!$G$5:$G$500,"H",'LANÇAMENTOS DIÁRIOS'!$C$5:$C$500,$A94,'LANÇAMENTOS DIÁRIOS'!$O$5:$O$500,"&lt;=124499",'LANÇAMENTOS DIÁRIOS'!$P$5:$P$500,"&gt;=124400")&gt;0,"X","")</f>
      </c>
      <c r="C94" s="56" t="str">
        <f>IF(COUNTIFS('LANÇAMENTOS DIÁRIOS'!$G$5:$G$500,"H",'LANÇAMENTOS DIÁRIOS'!$C$5:$C$500,$A94,'LANÇAMENTOS DIÁRIOS'!$O$5:$O$500,"&lt;=124599",'LANÇAMENTOS DIÁRIOS'!$P$5:$P$500,"&gt;=124500")&gt;0,"X","")</f>
      </c>
      <c r="D94" s="56" t="str">
        <f>IF(COUNTIFS('LANÇAMENTOS DIÁRIOS'!$G$5:$G$500,"H",'LANÇAMENTOS DIÁRIOS'!$C$5:$C$500,$A94,'LANÇAMENTOS DIÁRIOS'!$O$5:$O$500,"&lt;=124699",'LANÇAMENTOS DIÁRIOS'!$P$5:$P$500,"&gt;=124600")&gt;0,"X","")</f>
      </c>
      <c r="E94" s="56" t="str">
        <f>IF(COUNTIFS('LANÇAMENTOS DIÁRIOS'!$G$5:$G$500,"H",'LANÇAMENTOS DIÁRIOS'!$C$5:$C$500,$A94,'LANÇAMENTOS DIÁRIOS'!$O$5:$O$500,"&lt;=124799",'LANÇAMENTOS DIÁRIOS'!$P$5:$P$500,"&gt;=124700")&gt;0,"X","")</f>
      </c>
      <c r="F94" s="56" t="str">
        <f>IF(COUNTIFS('LANÇAMENTOS DIÁRIOS'!$G$5:$G$500,"H",'LANÇAMENTOS DIÁRIOS'!$C$5:$C$500,$A94,'LANÇAMENTOS DIÁRIOS'!$O$5:$O$500,"&lt;=124899",'LANÇAMENTOS DIÁRIOS'!$P$5:$P$500,"&gt;=124800")&gt;0,"X","")</f>
      </c>
      <c r="G94" s="56" t="str">
        <f>IF(COUNTIFS('LANÇAMENTOS DIÁRIOS'!$G$5:$G$500,"H",'LANÇAMENTOS DIÁRIOS'!$C$5:$C$500,$A94,'LANÇAMENTOS DIÁRIOS'!$O$5:$O$500,"&lt;=124999",'LANÇAMENTOS DIÁRIOS'!$P$5:$P$500,"&gt;=124900")&gt;0,"X","")</f>
      </c>
      <c r="H94" s="56" t="str">
        <f>IF(COUNTIFS('LANÇAMENTOS DIÁRIOS'!$G$5:$G$500,"H",'LANÇAMENTOS DIÁRIOS'!$C$5:$C$500,$A94,'LANÇAMENTOS DIÁRIOS'!$O$5:$O$500,"&lt;=125099",'LANÇAMENTOS DIÁRIOS'!$P$5:$P$500,"&gt;=125000")&gt;0,"X","")</f>
      </c>
      <c r="I94" s="56" t="str">
        <f>IF(COUNTIFS('LANÇAMENTOS DIÁRIOS'!$G$5:$G$500,"H",'LANÇAMENTOS DIÁRIOS'!$C$5:$C$500,$A94,'LANÇAMENTOS DIÁRIOS'!$O$5:$O$500,"&lt;=125199",'LANÇAMENTOS DIÁRIOS'!$P$5:$P$500,"&gt;=125100")&gt;0,"X","")</f>
      </c>
      <c r="J94" s="56" t="str">
        <f>IF(COUNTIFS('LANÇAMENTOS DIÁRIOS'!$G$5:$G$500,"H",'LANÇAMENTOS DIÁRIOS'!$C$5:$C$500,$A94,'LANÇAMENTOS DIÁRIOS'!$O$5:$O$500,"&lt;=125299",'LANÇAMENTOS DIÁRIOS'!$P$5:$P$500,"&gt;=125200")&gt;0,"X","")</f>
      </c>
      <c r="K94" s="56" t="str">
        <f>IF(COUNTIFS('LANÇAMENTOS DIÁRIOS'!$G$5:$G$500,"H",'LANÇAMENTOS DIÁRIOS'!$C$5:$C$500,$A94,'LANÇAMENTOS DIÁRIOS'!$O$5:$O$500,"&lt;=125399",'LANÇAMENTOS DIÁRIOS'!$P$5:$P$500,"&gt;=125300")&gt;0,"X","")</f>
      </c>
      <c r="L94" s="56" t="str">
        <f>IF(COUNTIFS('LANÇAMENTOS DIÁRIOS'!$G$5:$G$500,"H",'LANÇAMENTOS DIÁRIOS'!$C$5:$C$500,$A94,'LANÇAMENTOS DIÁRIOS'!$O$5:$O$500,"&lt;=125499",'LANÇAMENTOS DIÁRIOS'!$P$5:$P$500,"&gt;=125400")&gt;0,"X","")</f>
      </c>
      <c r="M94" s="56" t="str">
        <f>IF(COUNTIFS('LANÇAMENTOS DIÁRIOS'!$G$5:$G$500,"H",'LANÇAMENTOS DIÁRIOS'!$C$5:$C$500,$A94,'LANÇAMENTOS DIÁRIOS'!$O$5:$O$500,"&lt;=125599",'LANÇAMENTOS DIÁRIOS'!$P$5:$P$500,"&gt;=125500")&gt;0,"X","")</f>
      </c>
      <c r="N94" s="56" t="str">
        <f>IF(COUNTIFS('LANÇAMENTOS DIÁRIOS'!$G$5:$G$500,"H",'LANÇAMENTOS DIÁRIOS'!$C$5:$C$500,$A94,'LANÇAMENTOS DIÁRIOS'!$O$5:$O$500,"&lt;=125699",'LANÇAMENTOS DIÁRIOS'!$P$5:$P$500,"&gt;=125600")&gt;0,"X","")</f>
      </c>
      <c r="O94" s="56" t="str">
        <f>IF(COUNTIFS('LANÇAMENTOS DIÁRIOS'!$G$5:$G$500,"H",'LANÇAMENTOS DIÁRIOS'!$C$5:$C$500,$A94,'LANÇAMENTOS DIÁRIOS'!$O$5:$O$500,"&lt;=125799",'LANÇAMENTOS DIÁRIOS'!$P$5:$P$500,"&gt;=125700")&gt;0,"X","")</f>
      </c>
      <c r="P94" s="56" t="str">
        <f>IF(COUNTIFS('LANÇAMENTOS DIÁRIOS'!$G$5:$G$500,"H",'LANÇAMENTOS DIÁRIOS'!$C$5:$C$500,$A94,'LANÇAMENTOS DIÁRIOS'!$O$5:$O$500,"&lt;=125899",'LANÇAMENTOS DIÁRIOS'!$P$5:$P$500,"&gt;=125800")&gt;0,"X","")</f>
      </c>
      <c r="Q94" s="56" t="str">
        <f>IF(COUNTIFS('LANÇAMENTOS DIÁRIOS'!$G$5:$G$500,"H",'LANÇAMENTOS DIÁRIOS'!$C$5:$C$500,$A94,'LANÇAMENTOS DIÁRIOS'!$O$5:$O$500,"&lt;=125999",'LANÇAMENTOS DIÁRIOS'!$P$5:$P$500,"&gt;=125900")&gt;0,"X","")</f>
      </c>
      <c r="R94" s="56" t="str">
        <f>IF(COUNTIFS('LANÇAMENTOS DIÁRIOS'!$G$5:$G$500,"H",'LANÇAMENTOS DIÁRIOS'!$C$5:$C$500,$A94,'LANÇAMENTOS DIÁRIOS'!$O$5:$O$500,"&lt;=126099",'LANÇAMENTOS DIÁRIOS'!$P$5:$P$500,"&gt;=126000")&gt;0,"X","")</f>
      </c>
      <c r="S94" s="56" t="str">
        <f>IF(COUNTIFS('LANÇAMENTOS DIÁRIOS'!$G$5:$G$500,"H",'LANÇAMENTOS DIÁRIOS'!$C$5:$C$500,$A94,'LANÇAMENTOS DIÁRIOS'!$O$5:$O$500,"&lt;=126199",'LANÇAMENTOS DIÁRIOS'!$P$5:$P$500,"&gt;=126100")&gt;0,"X","")</f>
      </c>
      <c r="T94" s="56" t="str">
        <f>IF(COUNTIFS('LANÇAMENTOS DIÁRIOS'!$G$5:$G$500,"H",'LANÇAMENTOS DIÁRIOS'!$C$5:$C$500,$A94,'LANÇAMENTOS DIÁRIOS'!$O$5:$O$500,"&lt;=126299",'LANÇAMENTOS DIÁRIOS'!$P$5:$P$500,"&gt;=126200")&gt;0,"X","")</f>
      </c>
      <c r="U94" s="56" t="str">
        <f>IF(COUNTIFS('LANÇAMENTOS DIÁRIOS'!$G$5:$G$500,"H",'LANÇAMENTOS DIÁRIOS'!$C$5:$C$500,$A94,'LANÇAMENTOS DIÁRIOS'!$O$5:$O$500,"&lt;=126399",'LANÇAMENTOS DIÁRIOS'!$P$5:$P$500,"&gt;=126300")&gt;0,"X","")</f>
      </c>
      <c r="V94" s="56" t="str">
        <f>IF(COUNTIFS('LANÇAMENTOS DIÁRIOS'!$G$5:$G$500,"H",'LANÇAMENTOS DIÁRIOS'!$C$5:$C$500,$A94,'LANÇAMENTOS DIÁRIOS'!$O$5:$O$500,"&lt;=126499",'LANÇAMENTOS DIÁRIOS'!$P$5:$P$500,"&gt;=126400")&gt;0,"X","")</f>
      </c>
      <c r="W94" s="56" t="str">
        <f>IF(COUNTIFS('LANÇAMENTOS DIÁRIOS'!$G$5:$G$500,"H",'LANÇAMENTOS DIÁRIOS'!$C$5:$C$500,$A94,'LANÇAMENTOS DIÁRIOS'!$O$5:$O$500,"&lt;=126599",'LANÇAMENTOS DIÁRIOS'!$P$5:$P$500,"&gt;=126500")&gt;0,"X","")</f>
      </c>
      <c r="X94" s="56" t="str">
        <f>IF(COUNTIFS('LANÇAMENTOS DIÁRIOS'!$G$5:$G$500,"H",'LANÇAMENTOS DIÁRIOS'!$C$5:$C$500,$A94,'LANÇAMENTOS DIÁRIOS'!$O$5:$O$500,"&lt;=126699",'LANÇAMENTOS DIÁRIOS'!$P$5:$P$500,"&gt;=126600")&gt;0,"X","")</f>
      </c>
      <c r="Y94" s="56" t="str">
        <f>IF(COUNTIFS('LANÇAMENTOS DIÁRIOS'!$G$5:$G$500,"H",'LANÇAMENTOS DIÁRIOS'!$C$5:$C$500,$A94,'LANÇAMENTOS DIÁRIOS'!$O$5:$O$500,"&lt;=126799",'LANÇAMENTOS DIÁRIOS'!$P$5:$P$500,"&gt;=126700")&gt;0,"X","")</f>
      </c>
      <c r="Z94" s="56" t="str">
        <f>IF(COUNTIFS('LANÇAMENTOS DIÁRIOS'!$G$5:$G$500,"H",'LANÇAMENTOS DIÁRIOS'!$C$5:$C$500,$A94,'LANÇAMENTOS DIÁRIOS'!$O$5:$O$500,"&lt;=126899",'LANÇAMENTOS DIÁRIOS'!$P$5:$P$500,"&gt;=126800")&gt;0,"X","")</f>
      </c>
      <c r="AA94" s="56" t="str">
        <f>IF(COUNTIFS('LANÇAMENTOS DIÁRIOS'!$G$5:$G$500,"H",'LANÇAMENTOS DIÁRIOS'!$C$5:$C$500,$A94,'LANÇAMENTOS DIÁRIOS'!$O$5:$O$500,"&lt;=126999",'LANÇAMENTOS DIÁRIOS'!$P$5:$P$500,"&gt;=126900")&gt;0,"X","")</f>
      </c>
      <c r="AB94" s="56" t="str">
        <f>IF(COUNTIFS('LANÇAMENTOS DIÁRIOS'!$G$5:$G$500,"H",'LANÇAMENTOS DIÁRIOS'!$C$5:$C$500,$A94,'LANÇAMENTOS DIÁRIOS'!$O$5:$O$500,"&lt;=127099",'LANÇAMENTOS DIÁRIOS'!$P$5:$P$500,"&gt;=127000")&gt;0,"X","")</f>
      </c>
      <c r="AC94" s="56" t="str">
        <f>IF(COUNTIFS('LANÇAMENTOS DIÁRIOS'!$G$5:$G$500,"H",'LANÇAMENTOS DIÁRIOS'!$C$5:$C$500,$A94,'LANÇAMENTOS DIÁRIOS'!$O$5:$O$500,"&lt;=127199",'LANÇAMENTOS DIÁRIOS'!$P$5:$P$500,"&gt;=127100")&gt;0,"X","")</f>
      </c>
      <c r="AD94" s="56" t="str">
        <f>IF(COUNTIFS('LANÇAMENTOS DIÁRIOS'!$G$5:$G$500,"H",'LANÇAMENTOS DIÁRIOS'!$C$5:$C$500,$A94,'LANÇAMENTOS DIÁRIOS'!$O$5:$O$500,"&lt;=127299",'LANÇAMENTOS DIÁRIOS'!$P$5:$P$500,"&gt;=127200")&gt;0,"X","")</f>
      </c>
      <c r="AE94" s="56" t="str">
        <f>IF(COUNTIFS('LANÇAMENTOS DIÁRIOS'!$G$5:$G$500,"H",'LANÇAMENTOS DIÁRIOS'!$C$5:$C$500,$A94,'LANÇAMENTOS DIÁRIOS'!$O$5:$O$500,"&lt;=127399",'LANÇAMENTOS DIÁRIOS'!$P$5:$P$500,"&gt;=127300")&gt;0,"X","")</f>
      </c>
      <c r="AF94" s="56" t="str">
        <f>IF(COUNTIFS('LANÇAMENTOS DIÁRIOS'!$G$5:$G$500,"H",'LANÇAMENTOS DIÁRIOS'!$C$5:$C$500,$A94,'LANÇAMENTOS DIÁRIOS'!$O$5:$O$500,"&lt;=127499",'LANÇAMENTOS DIÁRIOS'!$P$5:$P$500,"&gt;=127400")&gt;0,"X","")</f>
      </c>
      <c r="AG94" s="56" t="str">
        <f>IF(COUNTIFS('LANÇAMENTOS DIÁRIOS'!$G$5:$G$500,"H",'LANÇAMENTOS DIÁRIOS'!$C$5:$C$500,$A94,'LANÇAMENTOS DIÁRIOS'!$O$5:$O$500,"&lt;=127599",'LANÇAMENTOS DIÁRIOS'!$P$5:$P$500,"&gt;=127500")&gt;0,"X","")</f>
      </c>
      <c r="AH94" s="56" t="str">
        <f>IF(COUNTIFS('LANÇAMENTOS DIÁRIOS'!$G$5:$G$500,"H",'LANÇAMENTOS DIÁRIOS'!$C$5:$C$500,$A94,'LANÇAMENTOS DIÁRIOS'!$O$5:$O$500,"&lt;=127699",'LANÇAMENTOS DIÁRIOS'!$P$5:$P$500,"&gt;=127600")&gt;0,"X","")</f>
      </c>
      <c r="AI94" s="56" t="str">
        <f>IF(COUNTIFS('LANÇAMENTOS DIÁRIOS'!$G$5:$G$500,"H",'LANÇAMENTOS DIÁRIOS'!$C$5:$C$500,$A94,'LANÇAMENTOS DIÁRIOS'!$O$5:$O$500,"&lt;=127799",'LANÇAMENTOS DIÁRIOS'!$P$5:$P$500,"&gt;=127700")&gt;0,"X","")</f>
      </c>
      <c r="AJ94" s="56" t="str">
        <f>IF(COUNTIFS('LANÇAMENTOS DIÁRIOS'!$G$5:$G$500,"H",'LANÇAMENTOS DIÁRIOS'!$C$5:$C$500,$A94,'LANÇAMENTOS DIÁRIOS'!$O$5:$O$500,"&lt;=127899",'LANÇAMENTOS DIÁRIOS'!$P$5:$P$500,"&gt;=127800")&gt;0,"X","")</f>
      </c>
      <c r="AK94" s="56" t="str">
        <f>IF(COUNTIFS('LANÇAMENTOS DIÁRIOS'!$G$5:$G$500,"H",'LANÇAMENTOS DIÁRIOS'!$C$5:$C$500,$A94,'LANÇAMENTOS DIÁRIOS'!$O$5:$O$500,"&lt;=127999",'LANÇAMENTOS DIÁRIOS'!$P$5:$P$500,"&gt;=127900")&gt;0,"X","")</f>
      </c>
      <c r="AL94" s="56" t="str">
        <f>IF(COUNTIFS('LANÇAMENTOS DIÁRIOS'!$G$5:$G$500,"H",'LANÇAMENTOS DIÁRIOS'!$C$5:$C$500,$A94,'LANÇAMENTOS DIÁRIOS'!$O$5:$O$500,"&lt;=128099",'LANÇAMENTOS DIÁRIOS'!$P$5:$P$500,"&gt;=128000")&gt;0,"X","")</f>
      </c>
      <c r="AM94" s="56" t="str">
        <f>IF(COUNTIFS('LANÇAMENTOS DIÁRIOS'!$G$5:$G$500,"H",'LANÇAMENTOS DIÁRIOS'!$C$5:$C$500,$A94,'LANÇAMENTOS DIÁRIOS'!$O$5:$O$500,"&lt;=128199",'LANÇAMENTOS DIÁRIOS'!$P$5:$P$500,"&gt;=128100")&gt;0,"X","")</f>
      </c>
      <c r="AN94" s="56" t="str">
        <f>IF(COUNTIFS('LANÇAMENTOS DIÁRIOS'!$G$5:$G$500,"H",'LANÇAMENTOS DIÁRIOS'!$C$5:$C$500,$A94,'LANÇAMENTOS DIÁRIOS'!$O$5:$O$500,"&lt;=128299",'LANÇAMENTOS DIÁRIOS'!$P$5:$P$500,"&gt;=128200")&gt;0,"X","")</f>
      </c>
      <c r="AO94" s="56" t="str">
        <f>IF(COUNTIFS('LANÇAMENTOS DIÁRIOS'!$G$5:$G$500,"H",'LANÇAMENTOS DIÁRIOS'!$C$5:$C$500,$A94,'LANÇAMENTOS DIÁRIOS'!$O$5:$O$500,"&lt;=128399",'LANÇAMENTOS DIÁRIOS'!$P$5:$P$500,"&gt;=128300")&gt;0,"X","")</f>
      </c>
      <c r="AP94" s="56" t="str">
        <f>IF(COUNTIFS('LANÇAMENTOS DIÁRIOS'!$G$5:$G$500,"H",'LANÇAMENTOS DIÁRIOS'!$C$5:$C$500,$A94,'LANÇAMENTOS DIÁRIOS'!$O$5:$O$500,"&lt;=128499",'LANÇAMENTOS DIÁRIOS'!$P$5:$P$500,"&gt;=128400")&gt;0,"X","")</f>
      </c>
      <c r="AQ94" s="56" t="str">
        <f>IF(COUNTIFS('LANÇAMENTOS DIÁRIOS'!$G$5:$G$500,"H",'LANÇAMENTOS DIÁRIOS'!$C$5:$C$500,$A94,'LANÇAMENTOS DIÁRIOS'!$O$5:$O$500,"&lt;=128599",'LANÇAMENTOS DIÁRIOS'!$P$5:$P$500,"&gt;=128500")&gt;0,"X","")</f>
      </c>
      <c r="AR94" s="56" t="str">
        <f>IF(COUNTIFS('LANÇAMENTOS DIÁRIOS'!$G$5:$G$500,"H",'LANÇAMENTOS DIÁRIOS'!$C$5:$C$500,$A94,'LANÇAMENTOS DIÁRIOS'!$O$5:$O$500,"&lt;=128699",'LANÇAMENTOS DIÁRIOS'!$P$5:$P$500,"&gt;=128600")&gt;0,"X","")</f>
      </c>
      <c r="AS94" s="56" t="str">
        <f>IF(COUNTIFS('LANÇAMENTOS DIÁRIOS'!$G$5:$G$500,"H",'LANÇAMENTOS DIÁRIOS'!$C$5:$C$500,$A94,'LANÇAMENTOS DIÁRIOS'!$O$5:$O$500,"&lt;=128799",'LANÇAMENTOS DIÁRIOS'!$P$5:$P$500,"&gt;=128700")&gt;0,"X","")</f>
      </c>
      <c r="AT94" s="56" t="str">
        <f>IF(COUNTIFS('LANÇAMENTOS DIÁRIOS'!$G$5:$G$500,"H",'LANÇAMENTOS DIÁRIOS'!$C$5:$C$500,$A94,'LANÇAMENTOS DIÁRIOS'!$O$5:$O$500,"&lt;=128899",'LANÇAMENTOS DIÁRIOS'!$P$5:$P$500,"&gt;=128800")&gt;0,"X","")</f>
      </c>
      <c r="AU94" s="56" t="str">
        <f>IF(COUNTIFS('LANÇAMENTOS DIÁRIOS'!$G$5:$G$500,"H",'LANÇAMENTOS DIÁRIOS'!$C$5:$C$500,$A94,'LANÇAMENTOS DIÁRIOS'!$O$5:$O$500,"&lt;=128999",'LANÇAMENTOS DIÁRIOS'!$P$5:$P$500,"&gt;=128900")&gt;0,"X","")</f>
      </c>
      <c r="AV94" s="56" t="str">
        <f>IF(COUNTIFS('LANÇAMENTOS DIÁRIOS'!$G$5:$G$500,"H",'LANÇAMENTOS DIÁRIOS'!$C$5:$C$500,$A94,'LANÇAMENTOS DIÁRIOS'!$O$5:$O$500,"&lt;=129099",'LANÇAMENTOS DIÁRIOS'!$P$5:$P$500,"&gt;=129000")&gt;0,"X","")</f>
      </c>
      <c r="AW94" s="56" t="str">
        <f>IF(COUNTIFS('LANÇAMENTOS DIÁRIOS'!$G$5:$G$500,"H",'LANÇAMENTOS DIÁRIOS'!$C$5:$C$500,$A94,'LANÇAMENTOS DIÁRIOS'!$O$5:$O$500,"&lt;=129199",'LANÇAMENTOS DIÁRIOS'!$P$5:$P$500,"&gt;=129100")&gt;0,"X","")</f>
      </c>
      <c r="AX94" s="56" t="str">
        <f>IF(COUNTIFS('LANÇAMENTOS DIÁRIOS'!$G$5:$G$500,"H",'LANÇAMENTOS DIÁRIOS'!$C$5:$C$500,$A94,'LANÇAMENTOS DIÁRIOS'!$O$5:$O$500,"&lt;=129299",'LANÇAMENTOS DIÁRIOS'!$P$5:$P$500,"&gt;=129200")&gt;0,"X","")</f>
      </c>
      <c r="AY94" s="56" t="str">
        <f>IF(COUNTIFS('LANÇAMENTOS DIÁRIOS'!$G$5:$G$500,"H",'LANÇAMENTOS DIÁRIOS'!$C$5:$C$500,$A94,'LANÇAMENTOS DIÁRIOS'!$O$5:$O$500,"&lt;=129399",'LANÇAMENTOS DIÁRIOS'!$P$5:$P$500,"&gt;=129300")&gt;0,"X","")</f>
      </c>
      <c r="AZ94" s="56" t="str">
        <f>IF(COUNTIFS('LANÇAMENTOS DIÁRIOS'!$G$5:$G$500,"H",'LANÇAMENTOS DIÁRIOS'!$C$5:$C$500,$A94,'LANÇAMENTOS DIÁRIOS'!$O$5:$O$500,"&lt;=129400",'LANÇAMENTOS DIÁRIOS'!$P$5:$P$500,"&gt;=129400")&gt;0,"X","")</f>
      </c>
    </row>
    <row r="95" ht="19" customHeight="1">
      <c r="A95" s="68" t="str">
        <v>Obras de drenagem superficiais. Sarjetas e Valetas</v>
      </c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</row>
    <row r="96">
      <c r="A96" s="51" t="str">
        <v>Obras de drenagem superficiais. Sarjetas e Valetas</v>
      </c>
      <c r="B96" s="56" t="str">
        <f>IF(COUNTIFS('LANÇAMENTOS DIÁRIOS'!$G$5:$G$500,"H",'LANÇAMENTOS DIÁRIOS'!$C$5:$C$500,$A96,'LANÇAMENTOS DIÁRIOS'!$O$5:$O$500,"&lt;=124499",'LANÇAMENTOS DIÁRIOS'!$P$5:$P$500,"&gt;=124400")&gt;0,"X","")</f>
      </c>
      <c r="C96" s="56" t="str">
        <f>IF(COUNTIFS('LANÇAMENTOS DIÁRIOS'!$G$5:$G$500,"H",'LANÇAMENTOS DIÁRIOS'!$C$5:$C$500,$A96,'LANÇAMENTOS DIÁRIOS'!$O$5:$O$500,"&lt;=124599",'LANÇAMENTOS DIÁRIOS'!$P$5:$P$500,"&gt;=124500")&gt;0,"X","")</f>
      </c>
      <c r="D96" s="56" t="str">
        <f>IF(COUNTIFS('LANÇAMENTOS DIÁRIOS'!$G$5:$G$500,"H",'LANÇAMENTOS DIÁRIOS'!$C$5:$C$500,$A96,'LANÇAMENTOS DIÁRIOS'!$O$5:$O$500,"&lt;=124699",'LANÇAMENTOS DIÁRIOS'!$P$5:$P$500,"&gt;=124600")&gt;0,"X","")</f>
      </c>
      <c r="E96" s="56" t="str">
        <f>IF(COUNTIFS('LANÇAMENTOS DIÁRIOS'!$G$5:$G$500,"H",'LANÇAMENTOS DIÁRIOS'!$C$5:$C$500,$A96,'LANÇAMENTOS DIÁRIOS'!$O$5:$O$500,"&lt;=124799",'LANÇAMENTOS DIÁRIOS'!$P$5:$P$500,"&gt;=124700")&gt;0,"X","")</f>
      </c>
      <c r="F96" s="56" t="str">
        <f>IF(COUNTIFS('LANÇAMENTOS DIÁRIOS'!$G$5:$G$500,"H",'LANÇAMENTOS DIÁRIOS'!$C$5:$C$500,$A96,'LANÇAMENTOS DIÁRIOS'!$O$5:$O$500,"&lt;=124899",'LANÇAMENTOS DIÁRIOS'!$P$5:$P$500,"&gt;=124800")&gt;0,"X","")</f>
      </c>
      <c r="G96" s="56" t="str">
        <f>IF(COUNTIFS('LANÇAMENTOS DIÁRIOS'!$G$5:$G$500,"H",'LANÇAMENTOS DIÁRIOS'!$C$5:$C$500,$A96,'LANÇAMENTOS DIÁRIOS'!$O$5:$O$500,"&lt;=124999",'LANÇAMENTOS DIÁRIOS'!$P$5:$P$500,"&gt;=124900")&gt;0,"X","")</f>
      </c>
      <c r="H96" s="56" t="str">
        <f>IF(COUNTIFS('LANÇAMENTOS DIÁRIOS'!$G$5:$G$500,"H",'LANÇAMENTOS DIÁRIOS'!$C$5:$C$500,$A96,'LANÇAMENTOS DIÁRIOS'!$O$5:$O$500,"&lt;=125099",'LANÇAMENTOS DIÁRIOS'!$P$5:$P$500,"&gt;=125000")&gt;0,"X","")</f>
      </c>
      <c r="I96" s="56" t="str">
        <f>IF(COUNTIFS('LANÇAMENTOS DIÁRIOS'!$G$5:$G$500,"H",'LANÇAMENTOS DIÁRIOS'!$C$5:$C$500,$A96,'LANÇAMENTOS DIÁRIOS'!$O$5:$O$500,"&lt;=125199",'LANÇAMENTOS DIÁRIOS'!$P$5:$P$500,"&gt;=125100")&gt;0,"X","")</f>
      </c>
      <c r="J96" s="56" t="str">
        <f>IF(COUNTIFS('LANÇAMENTOS DIÁRIOS'!$G$5:$G$500,"H",'LANÇAMENTOS DIÁRIOS'!$C$5:$C$500,$A96,'LANÇAMENTOS DIÁRIOS'!$O$5:$O$500,"&lt;=125299",'LANÇAMENTOS DIÁRIOS'!$P$5:$P$500,"&gt;=125200")&gt;0,"X","")</f>
      </c>
      <c r="K96" s="56" t="str">
        <f>IF(COUNTIFS('LANÇAMENTOS DIÁRIOS'!$G$5:$G$500,"H",'LANÇAMENTOS DIÁRIOS'!$C$5:$C$500,$A96,'LANÇAMENTOS DIÁRIOS'!$O$5:$O$500,"&lt;=125399",'LANÇAMENTOS DIÁRIOS'!$P$5:$P$500,"&gt;=125300")&gt;0,"X","")</f>
      </c>
      <c r="L96" s="56" t="str">
        <f>IF(COUNTIFS('LANÇAMENTOS DIÁRIOS'!$G$5:$G$500,"H",'LANÇAMENTOS DIÁRIOS'!$C$5:$C$500,$A96,'LANÇAMENTOS DIÁRIOS'!$O$5:$O$500,"&lt;=125499",'LANÇAMENTOS DIÁRIOS'!$P$5:$P$500,"&gt;=125400")&gt;0,"X","")</f>
      </c>
      <c r="M96" s="56" t="str">
        <f>IF(COUNTIFS('LANÇAMENTOS DIÁRIOS'!$G$5:$G$500,"H",'LANÇAMENTOS DIÁRIOS'!$C$5:$C$500,$A96,'LANÇAMENTOS DIÁRIOS'!$O$5:$O$500,"&lt;=125599",'LANÇAMENTOS DIÁRIOS'!$P$5:$P$500,"&gt;=125500")&gt;0,"X","")</f>
      </c>
      <c r="N96" s="56" t="str">
        <f>IF(COUNTIFS('LANÇAMENTOS DIÁRIOS'!$G$5:$G$500,"H",'LANÇAMENTOS DIÁRIOS'!$C$5:$C$500,$A96,'LANÇAMENTOS DIÁRIOS'!$O$5:$O$500,"&lt;=125699",'LANÇAMENTOS DIÁRIOS'!$P$5:$P$500,"&gt;=125600")&gt;0,"X","")</f>
      </c>
      <c r="O96" s="56" t="str">
        <f>IF(COUNTIFS('LANÇAMENTOS DIÁRIOS'!$G$5:$G$500,"H",'LANÇAMENTOS DIÁRIOS'!$C$5:$C$500,$A96,'LANÇAMENTOS DIÁRIOS'!$O$5:$O$500,"&lt;=125799",'LANÇAMENTOS DIÁRIOS'!$P$5:$P$500,"&gt;=125700")&gt;0,"X","")</f>
      </c>
      <c r="P96" s="56" t="str">
        <f>IF(COUNTIFS('LANÇAMENTOS DIÁRIOS'!$G$5:$G$500,"H",'LANÇAMENTOS DIÁRIOS'!$C$5:$C$500,$A96,'LANÇAMENTOS DIÁRIOS'!$O$5:$O$500,"&lt;=125899",'LANÇAMENTOS DIÁRIOS'!$P$5:$P$500,"&gt;=125800")&gt;0,"X","")</f>
      </c>
      <c r="Q96" s="56" t="str">
        <f>IF(COUNTIFS('LANÇAMENTOS DIÁRIOS'!$G$5:$G$500,"H",'LANÇAMENTOS DIÁRIOS'!$C$5:$C$500,$A96,'LANÇAMENTOS DIÁRIOS'!$O$5:$O$500,"&lt;=125999",'LANÇAMENTOS DIÁRIOS'!$P$5:$P$500,"&gt;=125900")&gt;0,"X","")</f>
      </c>
      <c r="R96" s="56" t="str">
        <f>IF(COUNTIFS('LANÇAMENTOS DIÁRIOS'!$G$5:$G$500,"H",'LANÇAMENTOS DIÁRIOS'!$C$5:$C$500,$A96,'LANÇAMENTOS DIÁRIOS'!$O$5:$O$500,"&lt;=126099",'LANÇAMENTOS DIÁRIOS'!$P$5:$P$500,"&gt;=126000")&gt;0,"X","")</f>
      </c>
      <c r="S96" s="56" t="str">
        <f>IF(COUNTIFS('LANÇAMENTOS DIÁRIOS'!$G$5:$G$500,"H",'LANÇAMENTOS DIÁRIOS'!$C$5:$C$500,$A96,'LANÇAMENTOS DIÁRIOS'!$O$5:$O$500,"&lt;=126199",'LANÇAMENTOS DIÁRIOS'!$P$5:$P$500,"&gt;=126100")&gt;0,"X","")</f>
      </c>
      <c r="T96" s="56" t="str">
        <f>IF(COUNTIFS('LANÇAMENTOS DIÁRIOS'!$G$5:$G$500,"H",'LANÇAMENTOS DIÁRIOS'!$C$5:$C$500,$A96,'LANÇAMENTOS DIÁRIOS'!$O$5:$O$500,"&lt;=126299",'LANÇAMENTOS DIÁRIOS'!$P$5:$P$500,"&gt;=126200")&gt;0,"X","")</f>
      </c>
      <c r="U96" s="56" t="str">
        <f>IF(COUNTIFS('LANÇAMENTOS DIÁRIOS'!$G$5:$G$500,"H",'LANÇAMENTOS DIÁRIOS'!$C$5:$C$500,$A96,'LANÇAMENTOS DIÁRIOS'!$O$5:$O$500,"&lt;=126399",'LANÇAMENTOS DIÁRIOS'!$P$5:$P$500,"&gt;=126300")&gt;0,"X","")</f>
      </c>
      <c r="V96" s="56" t="str">
        <f>IF(COUNTIFS('LANÇAMENTOS DIÁRIOS'!$G$5:$G$500,"H",'LANÇAMENTOS DIÁRIOS'!$C$5:$C$500,$A96,'LANÇAMENTOS DIÁRIOS'!$O$5:$O$500,"&lt;=126499",'LANÇAMENTOS DIÁRIOS'!$P$5:$P$500,"&gt;=126400")&gt;0,"X","")</f>
      </c>
      <c r="W96" s="56" t="str">
        <f>IF(COUNTIFS('LANÇAMENTOS DIÁRIOS'!$G$5:$G$500,"H",'LANÇAMENTOS DIÁRIOS'!$C$5:$C$500,$A96,'LANÇAMENTOS DIÁRIOS'!$O$5:$O$500,"&lt;=126599",'LANÇAMENTOS DIÁRIOS'!$P$5:$P$500,"&gt;=126500")&gt;0,"X","")</f>
      </c>
      <c r="X96" s="56" t="str">
        <f>IF(COUNTIFS('LANÇAMENTOS DIÁRIOS'!$G$5:$G$500,"H",'LANÇAMENTOS DIÁRIOS'!$C$5:$C$500,$A96,'LANÇAMENTOS DIÁRIOS'!$O$5:$O$500,"&lt;=126699",'LANÇAMENTOS DIÁRIOS'!$P$5:$P$500,"&gt;=126600")&gt;0,"X","")</f>
      </c>
      <c r="Y96" s="56" t="str">
        <f>IF(COUNTIFS('LANÇAMENTOS DIÁRIOS'!$G$5:$G$500,"H",'LANÇAMENTOS DIÁRIOS'!$C$5:$C$500,$A96,'LANÇAMENTOS DIÁRIOS'!$O$5:$O$500,"&lt;=126799",'LANÇAMENTOS DIÁRIOS'!$P$5:$P$500,"&gt;=126700")&gt;0,"X","")</f>
      </c>
      <c r="Z96" s="56" t="str">
        <f>IF(COUNTIFS('LANÇAMENTOS DIÁRIOS'!$G$5:$G$500,"H",'LANÇAMENTOS DIÁRIOS'!$C$5:$C$500,$A96,'LANÇAMENTOS DIÁRIOS'!$O$5:$O$500,"&lt;=126899",'LANÇAMENTOS DIÁRIOS'!$P$5:$P$500,"&gt;=126800")&gt;0,"X","")</f>
      </c>
      <c r="AA96" s="56" t="str">
        <f>IF(COUNTIFS('LANÇAMENTOS DIÁRIOS'!$G$5:$G$500,"H",'LANÇAMENTOS DIÁRIOS'!$C$5:$C$500,$A96,'LANÇAMENTOS DIÁRIOS'!$O$5:$O$500,"&lt;=126999",'LANÇAMENTOS DIÁRIOS'!$P$5:$P$500,"&gt;=126900")&gt;0,"X","")</f>
      </c>
      <c r="AB96" s="56" t="str">
        <f>IF(COUNTIFS('LANÇAMENTOS DIÁRIOS'!$G$5:$G$500,"H",'LANÇAMENTOS DIÁRIOS'!$C$5:$C$500,$A96,'LANÇAMENTOS DIÁRIOS'!$O$5:$O$500,"&lt;=127099",'LANÇAMENTOS DIÁRIOS'!$P$5:$P$500,"&gt;=127000")&gt;0,"X","")</f>
      </c>
      <c r="AC96" s="56" t="str">
        <f>IF(COUNTIFS('LANÇAMENTOS DIÁRIOS'!$G$5:$G$500,"H",'LANÇAMENTOS DIÁRIOS'!$C$5:$C$500,$A96,'LANÇAMENTOS DIÁRIOS'!$O$5:$O$500,"&lt;=127199",'LANÇAMENTOS DIÁRIOS'!$P$5:$P$500,"&gt;=127100")&gt;0,"X","")</f>
      </c>
      <c r="AD96" s="56" t="str">
        <f>IF(COUNTIFS('LANÇAMENTOS DIÁRIOS'!$G$5:$G$500,"H",'LANÇAMENTOS DIÁRIOS'!$C$5:$C$500,$A96,'LANÇAMENTOS DIÁRIOS'!$O$5:$O$500,"&lt;=127299",'LANÇAMENTOS DIÁRIOS'!$P$5:$P$500,"&gt;=127200")&gt;0,"X","")</f>
      </c>
      <c r="AE96" s="56" t="str">
        <f>IF(COUNTIFS('LANÇAMENTOS DIÁRIOS'!$G$5:$G$500,"H",'LANÇAMENTOS DIÁRIOS'!$C$5:$C$500,$A96,'LANÇAMENTOS DIÁRIOS'!$O$5:$O$500,"&lt;=127399",'LANÇAMENTOS DIÁRIOS'!$P$5:$P$500,"&gt;=127300")&gt;0,"X","")</f>
      </c>
      <c r="AF96" s="56" t="str">
        <f>IF(COUNTIFS('LANÇAMENTOS DIÁRIOS'!$G$5:$G$500,"H",'LANÇAMENTOS DIÁRIOS'!$C$5:$C$500,$A96,'LANÇAMENTOS DIÁRIOS'!$O$5:$O$500,"&lt;=127499",'LANÇAMENTOS DIÁRIOS'!$P$5:$P$500,"&gt;=127400")&gt;0,"X","")</f>
      </c>
      <c r="AG96" s="56" t="str">
        <f>IF(COUNTIFS('LANÇAMENTOS DIÁRIOS'!$G$5:$G$500,"H",'LANÇAMENTOS DIÁRIOS'!$C$5:$C$500,$A96,'LANÇAMENTOS DIÁRIOS'!$O$5:$O$500,"&lt;=127599",'LANÇAMENTOS DIÁRIOS'!$P$5:$P$500,"&gt;=127500")&gt;0,"X","")</f>
      </c>
      <c r="AH96" s="56" t="str">
        <f>IF(COUNTIFS('LANÇAMENTOS DIÁRIOS'!$G$5:$G$500,"H",'LANÇAMENTOS DIÁRIOS'!$C$5:$C$500,$A96,'LANÇAMENTOS DIÁRIOS'!$O$5:$O$500,"&lt;=127699",'LANÇAMENTOS DIÁRIOS'!$P$5:$P$500,"&gt;=127600")&gt;0,"X","")</f>
      </c>
      <c r="AI96" s="56" t="str">
        <f>IF(COUNTIFS('LANÇAMENTOS DIÁRIOS'!$G$5:$G$500,"H",'LANÇAMENTOS DIÁRIOS'!$C$5:$C$500,$A96,'LANÇAMENTOS DIÁRIOS'!$O$5:$O$500,"&lt;=127799",'LANÇAMENTOS DIÁRIOS'!$P$5:$P$500,"&gt;=127700")&gt;0,"X","")</f>
      </c>
      <c r="AJ96" s="56" t="str">
        <f>IF(COUNTIFS('LANÇAMENTOS DIÁRIOS'!$G$5:$G$500,"H",'LANÇAMENTOS DIÁRIOS'!$C$5:$C$500,$A96,'LANÇAMENTOS DIÁRIOS'!$O$5:$O$500,"&lt;=127899",'LANÇAMENTOS DIÁRIOS'!$P$5:$P$500,"&gt;=127800")&gt;0,"X","")</f>
      </c>
      <c r="AK96" s="56" t="str">
        <f>IF(COUNTIFS('LANÇAMENTOS DIÁRIOS'!$G$5:$G$500,"H",'LANÇAMENTOS DIÁRIOS'!$C$5:$C$500,$A96,'LANÇAMENTOS DIÁRIOS'!$O$5:$O$500,"&lt;=127999",'LANÇAMENTOS DIÁRIOS'!$P$5:$P$500,"&gt;=127900")&gt;0,"X","")</f>
      </c>
      <c r="AL96" s="56" t="str">
        <f>IF(COUNTIFS('LANÇAMENTOS DIÁRIOS'!$G$5:$G$500,"H",'LANÇAMENTOS DIÁRIOS'!$C$5:$C$500,$A96,'LANÇAMENTOS DIÁRIOS'!$O$5:$O$500,"&lt;=128099",'LANÇAMENTOS DIÁRIOS'!$P$5:$P$500,"&gt;=128000")&gt;0,"X","")</f>
      </c>
      <c r="AM96" s="56" t="str">
        <f>IF(COUNTIFS('LANÇAMENTOS DIÁRIOS'!$G$5:$G$500,"H",'LANÇAMENTOS DIÁRIOS'!$C$5:$C$500,$A96,'LANÇAMENTOS DIÁRIOS'!$O$5:$O$500,"&lt;=128199",'LANÇAMENTOS DIÁRIOS'!$P$5:$P$500,"&gt;=128100")&gt;0,"X","")</f>
      </c>
      <c r="AN96" s="56" t="str">
        <f>IF(COUNTIFS('LANÇAMENTOS DIÁRIOS'!$G$5:$G$500,"H",'LANÇAMENTOS DIÁRIOS'!$C$5:$C$500,$A96,'LANÇAMENTOS DIÁRIOS'!$O$5:$O$500,"&lt;=128299",'LANÇAMENTOS DIÁRIOS'!$P$5:$P$500,"&gt;=128200")&gt;0,"X","")</f>
      </c>
      <c r="AO96" s="56" t="str">
        <f>IF(COUNTIFS('LANÇAMENTOS DIÁRIOS'!$G$5:$G$500,"H",'LANÇAMENTOS DIÁRIOS'!$C$5:$C$500,$A96,'LANÇAMENTOS DIÁRIOS'!$O$5:$O$500,"&lt;=128399",'LANÇAMENTOS DIÁRIOS'!$P$5:$P$500,"&gt;=128300")&gt;0,"X","")</f>
      </c>
      <c r="AP96" s="56" t="str">
        <f>IF(COUNTIFS('LANÇAMENTOS DIÁRIOS'!$G$5:$G$500,"H",'LANÇAMENTOS DIÁRIOS'!$C$5:$C$500,$A96,'LANÇAMENTOS DIÁRIOS'!$O$5:$O$500,"&lt;=128499",'LANÇAMENTOS DIÁRIOS'!$P$5:$P$500,"&gt;=128400")&gt;0,"X","")</f>
      </c>
      <c r="AQ96" s="56" t="str">
        <f>IF(COUNTIFS('LANÇAMENTOS DIÁRIOS'!$G$5:$G$500,"H",'LANÇAMENTOS DIÁRIOS'!$C$5:$C$500,$A96,'LANÇAMENTOS DIÁRIOS'!$O$5:$O$500,"&lt;=128599",'LANÇAMENTOS DIÁRIOS'!$P$5:$P$500,"&gt;=128500")&gt;0,"X","")</f>
      </c>
      <c r="AR96" s="56" t="str">
        <f>IF(COUNTIFS('LANÇAMENTOS DIÁRIOS'!$G$5:$G$500,"H",'LANÇAMENTOS DIÁRIOS'!$C$5:$C$500,$A96,'LANÇAMENTOS DIÁRIOS'!$O$5:$O$500,"&lt;=128699",'LANÇAMENTOS DIÁRIOS'!$P$5:$P$500,"&gt;=128600")&gt;0,"X","")</f>
      </c>
      <c r="AS96" s="56" t="str">
        <f>IF(COUNTIFS('LANÇAMENTOS DIÁRIOS'!$G$5:$G$500,"H",'LANÇAMENTOS DIÁRIOS'!$C$5:$C$500,$A96,'LANÇAMENTOS DIÁRIOS'!$O$5:$O$500,"&lt;=128799",'LANÇAMENTOS DIÁRIOS'!$P$5:$P$500,"&gt;=128700")&gt;0,"X","")</f>
      </c>
      <c r="AT96" s="56" t="str">
        <f>IF(COUNTIFS('LANÇAMENTOS DIÁRIOS'!$G$5:$G$500,"H",'LANÇAMENTOS DIÁRIOS'!$C$5:$C$500,$A96,'LANÇAMENTOS DIÁRIOS'!$O$5:$O$500,"&lt;=128899",'LANÇAMENTOS DIÁRIOS'!$P$5:$P$500,"&gt;=128800")&gt;0,"X","")</f>
      </c>
      <c r="AU96" s="56" t="str">
        <f>IF(COUNTIFS('LANÇAMENTOS DIÁRIOS'!$G$5:$G$500,"H",'LANÇAMENTOS DIÁRIOS'!$C$5:$C$500,$A96,'LANÇAMENTOS DIÁRIOS'!$O$5:$O$500,"&lt;=128999",'LANÇAMENTOS DIÁRIOS'!$P$5:$P$500,"&gt;=128900")&gt;0,"X","")</f>
      </c>
      <c r="AV96" s="56" t="str">
        <f>IF(COUNTIFS('LANÇAMENTOS DIÁRIOS'!$G$5:$G$500,"H",'LANÇAMENTOS DIÁRIOS'!$C$5:$C$500,$A96,'LANÇAMENTOS DIÁRIOS'!$O$5:$O$500,"&lt;=129099",'LANÇAMENTOS DIÁRIOS'!$P$5:$P$500,"&gt;=129000")&gt;0,"X","")</f>
      </c>
      <c r="AW96" s="56" t="str">
        <f>IF(COUNTIFS('LANÇAMENTOS DIÁRIOS'!$G$5:$G$500,"H",'LANÇAMENTOS DIÁRIOS'!$C$5:$C$500,$A96,'LANÇAMENTOS DIÁRIOS'!$O$5:$O$500,"&lt;=129199",'LANÇAMENTOS DIÁRIOS'!$P$5:$P$500,"&gt;=129100")&gt;0,"X","")</f>
      </c>
      <c r="AX96" s="56" t="str">
        <f>IF(COUNTIFS('LANÇAMENTOS DIÁRIOS'!$G$5:$G$500,"H",'LANÇAMENTOS DIÁRIOS'!$C$5:$C$500,$A96,'LANÇAMENTOS DIÁRIOS'!$O$5:$O$500,"&lt;=129299",'LANÇAMENTOS DIÁRIOS'!$P$5:$P$500,"&gt;=129200")&gt;0,"X","")</f>
      </c>
      <c r="AY96" s="56" t="str">
        <f>IF(COUNTIFS('LANÇAMENTOS DIÁRIOS'!$G$5:$G$500,"H",'LANÇAMENTOS DIÁRIOS'!$C$5:$C$500,$A96,'LANÇAMENTOS DIÁRIOS'!$O$5:$O$500,"&lt;=129399",'LANÇAMENTOS DIÁRIOS'!$P$5:$P$500,"&gt;=129300")&gt;0,"X","")</f>
      </c>
      <c r="AZ96" s="56" t="str">
        <f>IF(COUNTIFS('LANÇAMENTOS DIÁRIOS'!$G$5:$G$500,"H",'LANÇAMENTOS DIÁRIOS'!$C$5:$C$500,$A96,'LANÇAMENTOS DIÁRIOS'!$O$5:$O$500,"&lt;=129400",'LANÇAMENTOS DIÁRIOS'!$P$5:$P$500,"&gt;=129400")&gt;0,"X","")</f>
      </c>
    </row>
    <row r="97" ht="19" customHeight="1">
      <c r="A97" s="68" t="str">
        <v>Execução de dreno de pavimento e de plataforma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</row>
    <row r="98">
      <c r="A98" s="51" t="str">
        <v>Execução de dreno de pavimento e de plataforma</v>
      </c>
      <c r="B98" s="56" t="str">
        <f>IF(COUNTIFS('LANÇAMENTOS DIÁRIOS'!$G$5:$G$500,"H",'LANÇAMENTOS DIÁRIOS'!$C$5:$C$500,$A98,'LANÇAMENTOS DIÁRIOS'!$O$5:$O$500,"&lt;=124499",'LANÇAMENTOS DIÁRIOS'!$P$5:$P$500,"&gt;=124400")&gt;0,"X","")</f>
      </c>
      <c r="C98" s="56" t="str">
        <f>IF(COUNTIFS('LANÇAMENTOS DIÁRIOS'!$G$5:$G$500,"H",'LANÇAMENTOS DIÁRIOS'!$C$5:$C$500,$A98,'LANÇAMENTOS DIÁRIOS'!$O$5:$O$500,"&lt;=124599",'LANÇAMENTOS DIÁRIOS'!$P$5:$P$500,"&gt;=124500")&gt;0,"X","")</f>
      </c>
      <c r="D98" s="56" t="str">
        <f>IF(COUNTIFS('LANÇAMENTOS DIÁRIOS'!$G$5:$G$500,"H",'LANÇAMENTOS DIÁRIOS'!$C$5:$C$500,$A98,'LANÇAMENTOS DIÁRIOS'!$O$5:$O$500,"&lt;=124699",'LANÇAMENTOS DIÁRIOS'!$P$5:$P$500,"&gt;=124600")&gt;0,"X","")</f>
      </c>
      <c r="E98" s="56" t="str">
        <f>IF(COUNTIFS('LANÇAMENTOS DIÁRIOS'!$G$5:$G$500,"H",'LANÇAMENTOS DIÁRIOS'!$C$5:$C$500,$A98,'LANÇAMENTOS DIÁRIOS'!$O$5:$O$500,"&lt;=124799",'LANÇAMENTOS DIÁRIOS'!$P$5:$P$500,"&gt;=124700")&gt;0,"X","")</f>
      </c>
      <c r="F98" s="56" t="str">
        <f>IF(COUNTIFS('LANÇAMENTOS DIÁRIOS'!$G$5:$G$500,"H",'LANÇAMENTOS DIÁRIOS'!$C$5:$C$500,$A98,'LANÇAMENTOS DIÁRIOS'!$O$5:$O$500,"&lt;=124899",'LANÇAMENTOS DIÁRIOS'!$P$5:$P$500,"&gt;=124800")&gt;0,"X","")</f>
      </c>
      <c r="G98" s="56" t="str">
        <f>IF(COUNTIFS('LANÇAMENTOS DIÁRIOS'!$G$5:$G$500,"H",'LANÇAMENTOS DIÁRIOS'!$C$5:$C$500,$A98,'LANÇAMENTOS DIÁRIOS'!$O$5:$O$500,"&lt;=124999",'LANÇAMENTOS DIÁRIOS'!$P$5:$P$500,"&gt;=124900")&gt;0,"X","")</f>
      </c>
      <c r="H98" s="56" t="str">
        <f>IF(COUNTIFS('LANÇAMENTOS DIÁRIOS'!$G$5:$G$500,"H",'LANÇAMENTOS DIÁRIOS'!$C$5:$C$500,$A98,'LANÇAMENTOS DIÁRIOS'!$O$5:$O$500,"&lt;=125099",'LANÇAMENTOS DIÁRIOS'!$P$5:$P$500,"&gt;=125000")&gt;0,"X","")</f>
      </c>
      <c r="I98" s="56" t="str">
        <f>IF(COUNTIFS('LANÇAMENTOS DIÁRIOS'!$G$5:$G$500,"H",'LANÇAMENTOS DIÁRIOS'!$C$5:$C$500,$A98,'LANÇAMENTOS DIÁRIOS'!$O$5:$O$500,"&lt;=125199",'LANÇAMENTOS DIÁRIOS'!$P$5:$P$500,"&gt;=125100")&gt;0,"X","")</f>
      </c>
      <c r="J98" s="56" t="str">
        <f>IF(COUNTIFS('LANÇAMENTOS DIÁRIOS'!$G$5:$G$500,"H",'LANÇAMENTOS DIÁRIOS'!$C$5:$C$500,$A98,'LANÇAMENTOS DIÁRIOS'!$O$5:$O$500,"&lt;=125299",'LANÇAMENTOS DIÁRIOS'!$P$5:$P$500,"&gt;=125200")&gt;0,"X","")</f>
      </c>
      <c r="K98" s="56" t="str">
        <f>IF(COUNTIFS('LANÇAMENTOS DIÁRIOS'!$G$5:$G$500,"H",'LANÇAMENTOS DIÁRIOS'!$C$5:$C$500,$A98,'LANÇAMENTOS DIÁRIOS'!$O$5:$O$500,"&lt;=125399",'LANÇAMENTOS DIÁRIOS'!$P$5:$P$500,"&gt;=125300")&gt;0,"X","")</f>
      </c>
      <c r="L98" s="56" t="str">
        <f>IF(COUNTIFS('LANÇAMENTOS DIÁRIOS'!$G$5:$G$500,"H",'LANÇAMENTOS DIÁRIOS'!$C$5:$C$500,$A98,'LANÇAMENTOS DIÁRIOS'!$O$5:$O$500,"&lt;=125499",'LANÇAMENTOS DIÁRIOS'!$P$5:$P$500,"&gt;=125400")&gt;0,"X","")</f>
      </c>
      <c r="M98" s="56" t="str">
        <f>IF(COUNTIFS('LANÇAMENTOS DIÁRIOS'!$G$5:$G$500,"H",'LANÇAMENTOS DIÁRIOS'!$C$5:$C$500,$A98,'LANÇAMENTOS DIÁRIOS'!$O$5:$O$500,"&lt;=125599",'LANÇAMENTOS DIÁRIOS'!$P$5:$P$500,"&gt;=125500")&gt;0,"X","")</f>
      </c>
      <c r="N98" s="56" t="str">
        <f>IF(COUNTIFS('LANÇAMENTOS DIÁRIOS'!$G$5:$G$500,"H",'LANÇAMENTOS DIÁRIOS'!$C$5:$C$500,$A98,'LANÇAMENTOS DIÁRIOS'!$O$5:$O$500,"&lt;=125699",'LANÇAMENTOS DIÁRIOS'!$P$5:$P$500,"&gt;=125600")&gt;0,"X","")</f>
      </c>
      <c r="O98" s="56" t="str">
        <f>IF(COUNTIFS('LANÇAMENTOS DIÁRIOS'!$G$5:$G$500,"H",'LANÇAMENTOS DIÁRIOS'!$C$5:$C$500,$A98,'LANÇAMENTOS DIÁRIOS'!$O$5:$O$500,"&lt;=125799",'LANÇAMENTOS DIÁRIOS'!$P$5:$P$500,"&gt;=125700")&gt;0,"X","")</f>
      </c>
      <c r="P98" s="56" t="str">
        <f>IF(COUNTIFS('LANÇAMENTOS DIÁRIOS'!$G$5:$G$500,"H",'LANÇAMENTOS DIÁRIOS'!$C$5:$C$500,$A98,'LANÇAMENTOS DIÁRIOS'!$O$5:$O$500,"&lt;=125899",'LANÇAMENTOS DIÁRIOS'!$P$5:$P$500,"&gt;=125800")&gt;0,"X","")</f>
      </c>
      <c r="Q98" s="56" t="str">
        <f>IF(COUNTIFS('LANÇAMENTOS DIÁRIOS'!$G$5:$G$500,"H",'LANÇAMENTOS DIÁRIOS'!$C$5:$C$500,$A98,'LANÇAMENTOS DIÁRIOS'!$O$5:$O$500,"&lt;=125999",'LANÇAMENTOS DIÁRIOS'!$P$5:$P$500,"&gt;=125900")&gt;0,"X","")</f>
      </c>
      <c r="R98" s="56" t="str">
        <f>IF(COUNTIFS('LANÇAMENTOS DIÁRIOS'!$G$5:$G$500,"H",'LANÇAMENTOS DIÁRIOS'!$C$5:$C$500,$A98,'LANÇAMENTOS DIÁRIOS'!$O$5:$O$500,"&lt;=126099",'LANÇAMENTOS DIÁRIOS'!$P$5:$P$500,"&gt;=126000")&gt;0,"X","")</f>
      </c>
      <c r="S98" s="56" t="str">
        <f>IF(COUNTIFS('LANÇAMENTOS DIÁRIOS'!$G$5:$G$500,"H",'LANÇAMENTOS DIÁRIOS'!$C$5:$C$500,$A98,'LANÇAMENTOS DIÁRIOS'!$O$5:$O$500,"&lt;=126199",'LANÇAMENTOS DIÁRIOS'!$P$5:$P$500,"&gt;=126100")&gt;0,"X","")</f>
      </c>
      <c r="T98" s="56" t="str">
        <f>IF(COUNTIFS('LANÇAMENTOS DIÁRIOS'!$G$5:$G$500,"H",'LANÇAMENTOS DIÁRIOS'!$C$5:$C$500,$A98,'LANÇAMENTOS DIÁRIOS'!$O$5:$O$500,"&lt;=126299",'LANÇAMENTOS DIÁRIOS'!$P$5:$P$500,"&gt;=126200")&gt;0,"X","")</f>
      </c>
      <c r="U98" s="56" t="str">
        <f>IF(COUNTIFS('LANÇAMENTOS DIÁRIOS'!$G$5:$G$500,"H",'LANÇAMENTOS DIÁRIOS'!$C$5:$C$500,$A98,'LANÇAMENTOS DIÁRIOS'!$O$5:$O$500,"&lt;=126399",'LANÇAMENTOS DIÁRIOS'!$P$5:$P$500,"&gt;=126300")&gt;0,"X","")</f>
      </c>
      <c r="V98" s="56" t="str">
        <f>IF(COUNTIFS('LANÇAMENTOS DIÁRIOS'!$G$5:$G$500,"H",'LANÇAMENTOS DIÁRIOS'!$C$5:$C$500,$A98,'LANÇAMENTOS DIÁRIOS'!$O$5:$O$500,"&lt;=126499",'LANÇAMENTOS DIÁRIOS'!$P$5:$P$500,"&gt;=126400")&gt;0,"X","")</f>
      </c>
      <c r="W98" s="56" t="str">
        <f>IF(COUNTIFS('LANÇAMENTOS DIÁRIOS'!$G$5:$G$500,"H",'LANÇAMENTOS DIÁRIOS'!$C$5:$C$500,$A98,'LANÇAMENTOS DIÁRIOS'!$O$5:$O$500,"&lt;=126599",'LANÇAMENTOS DIÁRIOS'!$P$5:$P$500,"&gt;=126500")&gt;0,"X","")</f>
      </c>
      <c r="X98" s="56" t="str">
        <f>IF(COUNTIFS('LANÇAMENTOS DIÁRIOS'!$G$5:$G$500,"H",'LANÇAMENTOS DIÁRIOS'!$C$5:$C$500,$A98,'LANÇAMENTOS DIÁRIOS'!$O$5:$O$500,"&lt;=126699",'LANÇAMENTOS DIÁRIOS'!$P$5:$P$500,"&gt;=126600")&gt;0,"X","")</f>
      </c>
      <c r="Y98" s="56" t="str">
        <f>IF(COUNTIFS('LANÇAMENTOS DIÁRIOS'!$G$5:$G$500,"H",'LANÇAMENTOS DIÁRIOS'!$C$5:$C$500,$A98,'LANÇAMENTOS DIÁRIOS'!$O$5:$O$500,"&lt;=126799",'LANÇAMENTOS DIÁRIOS'!$P$5:$P$500,"&gt;=126700")&gt;0,"X","")</f>
      </c>
      <c r="Z98" s="56" t="str">
        <f>IF(COUNTIFS('LANÇAMENTOS DIÁRIOS'!$G$5:$G$500,"H",'LANÇAMENTOS DIÁRIOS'!$C$5:$C$500,$A98,'LANÇAMENTOS DIÁRIOS'!$O$5:$O$500,"&lt;=126899",'LANÇAMENTOS DIÁRIOS'!$P$5:$P$500,"&gt;=126800")&gt;0,"X","")</f>
      </c>
      <c r="AA98" s="56" t="str">
        <f>IF(COUNTIFS('LANÇAMENTOS DIÁRIOS'!$G$5:$G$500,"H",'LANÇAMENTOS DIÁRIOS'!$C$5:$C$500,$A98,'LANÇAMENTOS DIÁRIOS'!$O$5:$O$500,"&lt;=126999",'LANÇAMENTOS DIÁRIOS'!$P$5:$P$500,"&gt;=126900")&gt;0,"X","")</f>
      </c>
      <c r="AB98" s="56" t="str">
        <f>IF(COUNTIFS('LANÇAMENTOS DIÁRIOS'!$G$5:$G$500,"H",'LANÇAMENTOS DIÁRIOS'!$C$5:$C$500,$A98,'LANÇAMENTOS DIÁRIOS'!$O$5:$O$500,"&lt;=127099",'LANÇAMENTOS DIÁRIOS'!$P$5:$P$500,"&gt;=127000")&gt;0,"X","")</f>
      </c>
      <c r="AC98" s="56" t="str">
        <f>IF(COUNTIFS('LANÇAMENTOS DIÁRIOS'!$G$5:$G$500,"H",'LANÇAMENTOS DIÁRIOS'!$C$5:$C$500,$A98,'LANÇAMENTOS DIÁRIOS'!$O$5:$O$500,"&lt;=127199",'LANÇAMENTOS DIÁRIOS'!$P$5:$P$500,"&gt;=127100")&gt;0,"X","")</f>
      </c>
      <c r="AD98" s="56" t="str">
        <f>IF(COUNTIFS('LANÇAMENTOS DIÁRIOS'!$G$5:$G$500,"H",'LANÇAMENTOS DIÁRIOS'!$C$5:$C$500,$A98,'LANÇAMENTOS DIÁRIOS'!$O$5:$O$500,"&lt;=127299",'LANÇAMENTOS DIÁRIOS'!$P$5:$P$500,"&gt;=127200")&gt;0,"X","")</f>
      </c>
      <c r="AE98" s="56" t="str">
        <f>IF(COUNTIFS('LANÇAMENTOS DIÁRIOS'!$G$5:$G$500,"H",'LANÇAMENTOS DIÁRIOS'!$C$5:$C$500,$A98,'LANÇAMENTOS DIÁRIOS'!$O$5:$O$500,"&lt;=127399",'LANÇAMENTOS DIÁRIOS'!$P$5:$P$500,"&gt;=127300")&gt;0,"X","")</f>
      </c>
      <c r="AF98" s="56" t="str">
        <f>IF(COUNTIFS('LANÇAMENTOS DIÁRIOS'!$G$5:$G$500,"H",'LANÇAMENTOS DIÁRIOS'!$C$5:$C$500,$A98,'LANÇAMENTOS DIÁRIOS'!$O$5:$O$500,"&lt;=127499",'LANÇAMENTOS DIÁRIOS'!$P$5:$P$500,"&gt;=127400")&gt;0,"X","")</f>
      </c>
      <c r="AG98" s="56" t="str">
        <f>IF(COUNTIFS('LANÇAMENTOS DIÁRIOS'!$G$5:$G$500,"H",'LANÇAMENTOS DIÁRIOS'!$C$5:$C$500,$A98,'LANÇAMENTOS DIÁRIOS'!$O$5:$O$500,"&lt;=127599",'LANÇAMENTOS DIÁRIOS'!$P$5:$P$500,"&gt;=127500")&gt;0,"X","")</f>
      </c>
      <c r="AH98" s="56" t="str">
        <f>IF(COUNTIFS('LANÇAMENTOS DIÁRIOS'!$G$5:$G$500,"H",'LANÇAMENTOS DIÁRIOS'!$C$5:$C$500,$A98,'LANÇAMENTOS DIÁRIOS'!$O$5:$O$500,"&lt;=127699",'LANÇAMENTOS DIÁRIOS'!$P$5:$P$500,"&gt;=127600")&gt;0,"X","")</f>
      </c>
      <c r="AI98" s="56" t="str">
        <f>IF(COUNTIFS('LANÇAMENTOS DIÁRIOS'!$G$5:$G$500,"H",'LANÇAMENTOS DIÁRIOS'!$C$5:$C$500,$A98,'LANÇAMENTOS DIÁRIOS'!$O$5:$O$500,"&lt;=127799",'LANÇAMENTOS DIÁRIOS'!$P$5:$P$500,"&gt;=127700")&gt;0,"X","")</f>
      </c>
      <c r="AJ98" s="56" t="str">
        <f>IF(COUNTIFS('LANÇAMENTOS DIÁRIOS'!$G$5:$G$500,"H",'LANÇAMENTOS DIÁRIOS'!$C$5:$C$500,$A98,'LANÇAMENTOS DIÁRIOS'!$O$5:$O$500,"&lt;=127899",'LANÇAMENTOS DIÁRIOS'!$P$5:$P$500,"&gt;=127800")&gt;0,"X","")</f>
      </c>
      <c r="AK98" s="56" t="str">
        <f>IF(COUNTIFS('LANÇAMENTOS DIÁRIOS'!$G$5:$G$500,"H",'LANÇAMENTOS DIÁRIOS'!$C$5:$C$500,$A98,'LANÇAMENTOS DIÁRIOS'!$O$5:$O$500,"&lt;=127999",'LANÇAMENTOS DIÁRIOS'!$P$5:$P$500,"&gt;=127900")&gt;0,"X","")</f>
      </c>
      <c r="AL98" s="56" t="str">
        <f>IF(COUNTIFS('LANÇAMENTOS DIÁRIOS'!$G$5:$G$500,"H",'LANÇAMENTOS DIÁRIOS'!$C$5:$C$500,$A98,'LANÇAMENTOS DIÁRIOS'!$O$5:$O$500,"&lt;=128099",'LANÇAMENTOS DIÁRIOS'!$P$5:$P$500,"&gt;=128000")&gt;0,"X","")</f>
      </c>
      <c r="AM98" s="56" t="str">
        <f>IF(COUNTIFS('LANÇAMENTOS DIÁRIOS'!$G$5:$G$500,"H",'LANÇAMENTOS DIÁRIOS'!$C$5:$C$500,$A98,'LANÇAMENTOS DIÁRIOS'!$O$5:$O$500,"&lt;=128199",'LANÇAMENTOS DIÁRIOS'!$P$5:$P$500,"&gt;=128100")&gt;0,"X","")</f>
      </c>
      <c r="AN98" s="56" t="str">
        <f>IF(COUNTIFS('LANÇAMENTOS DIÁRIOS'!$G$5:$G$500,"H",'LANÇAMENTOS DIÁRIOS'!$C$5:$C$500,$A98,'LANÇAMENTOS DIÁRIOS'!$O$5:$O$500,"&lt;=128299",'LANÇAMENTOS DIÁRIOS'!$P$5:$P$500,"&gt;=128200")&gt;0,"X","")</f>
      </c>
      <c r="AO98" s="56" t="str">
        <f>IF(COUNTIFS('LANÇAMENTOS DIÁRIOS'!$G$5:$G$500,"H",'LANÇAMENTOS DIÁRIOS'!$C$5:$C$500,$A98,'LANÇAMENTOS DIÁRIOS'!$O$5:$O$500,"&lt;=128399",'LANÇAMENTOS DIÁRIOS'!$P$5:$P$500,"&gt;=128300")&gt;0,"X","")</f>
      </c>
      <c r="AP98" s="56" t="str">
        <f>IF(COUNTIFS('LANÇAMENTOS DIÁRIOS'!$G$5:$G$500,"H",'LANÇAMENTOS DIÁRIOS'!$C$5:$C$500,$A98,'LANÇAMENTOS DIÁRIOS'!$O$5:$O$500,"&lt;=128499",'LANÇAMENTOS DIÁRIOS'!$P$5:$P$500,"&gt;=128400")&gt;0,"X","")</f>
      </c>
      <c r="AQ98" s="56" t="str">
        <f>IF(COUNTIFS('LANÇAMENTOS DIÁRIOS'!$G$5:$G$500,"H",'LANÇAMENTOS DIÁRIOS'!$C$5:$C$500,$A98,'LANÇAMENTOS DIÁRIOS'!$O$5:$O$500,"&lt;=128599",'LANÇAMENTOS DIÁRIOS'!$P$5:$P$500,"&gt;=128500")&gt;0,"X","")</f>
      </c>
      <c r="AR98" s="56" t="str">
        <f>IF(COUNTIFS('LANÇAMENTOS DIÁRIOS'!$G$5:$G$500,"H",'LANÇAMENTOS DIÁRIOS'!$C$5:$C$500,$A98,'LANÇAMENTOS DIÁRIOS'!$O$5:$O$500,"&lt;=128699",'LANÇAMENTOS DIÁRIOS'!$P$5:$P$500,"&gt;=128600")&gt;0,"X","")</f>
      </c>
      <c r="AS98" s="56" t="str">
        <f>IF(COUNTIFS('LANÇAMENTOS DIÁRIOS'!$G$5:$G$500,"H",'LANÇAMENTOS DIÁRIOS'!$C$5:$C$500,$A98,'LANÇAMENTOS DIÁRIOS'!$O$5:$O$500,"&lt;=128799",'LANÇAMENTOS DIÁRIOS'!$P$5:$P$500,"&gt;=128700")&gt;0,"X","")</f>
      </c>
      <c r="AT98" s="56" t="str">
        <f>IF(COUNTIFS('LANÇAMENTOS DIÁRIOS'!$G$5:$G$500,"H",'LANÇAMENTOS DIÁRIOS'!$C$5:$C$500,$A98,'LANÇAMENTOS DIÁRIOS'!$O$5:$O$500,"&lt;=128899",'LANÇAMENTOS DIÁRIOS'!$P$5:$P$500,"&gt;=128800")&gt;0,"X","")</f>
      </c>
      <c r="AU98" s="56" t="str">
        <f>IF(COUNTIFS('LANÇAMENTOS DIÁRIOS'!$G$5:$G$500,"H",'LANÇAMENTOS DIÁRIOS'!$C$5:$C$500,$A98,'LANÇAMENTOS DIÁRIOS'!$O$5:$O$500,"&lt;=128999",'LANÇAMENTOS DIÁRIOS'!$P$5:$P$500,"&gt;=128900")&gt;0,"X","")</f>
      </c>
      <c r="AV98" s="56" t="str">
        <f>IF(COUNTIFS('LANÇAMENTOS DIÁRIOS'!$G$5:$G$500,"H",'LANÇAMENTOS DIÁRIOS'!$C$5:$C$500,$A98,'LANÇAMENTOS DIÁRIOS'!$O$5:$O$500,"&lt;=129099",'LANÇAMENTOS DIÁRIOS'!$P$5:$P$500,"&gt;=129000")&gt;0,"X","")</f>
      </c>
      <c r="AW98" s="56" t="str">
        <f>IF(COUNTIFS('LANÇAMENTOS DIÁRIOS'!$G$5:$G$500,"H",'LANÇAMENTOS DIÁRIOS'!$C$5:$C$500,$A98,'LANÇAMENTOS DIÁRIOS'!$O$5:$O$500,"&lt;=129199",'LANÇAMENTOS DIÁRIOS'!$P$5:$P$500,"&gt;=129100")&gt;0,"X","")</f>
      </c>
      <c r="AX98" s="56" t="str">
        <f>IF(COUNTIFS('LANÇAMENTOS DIÁRIOS'!$G$5:$G$500,"H",'LANÇAMENTOS DIÁRIOS'!$C$5:$C$500,$A98,'LANÇAMENTOS DIÁRIOS'!$O$5:$O$500,"&lt;=129299",'LANÇAMENTOS DIÁRIOS'!$P$5:$P$500,"&gt;=129200")&gt;0,"X","")</f>
      </c>
      <c r="AY98" s="56" t="str">
        <f>IF(COUNTIFS('LANÇAMENTOS DIÁRIOS'!$G$5:$G$500,"H",'LANÇAMENTOS DIÁRIOS'!$C$5:$C$500,$A98,'LANÇAMENTOS DIÁRIOS'!$O$5:$O$500,"&lt;=129399",'LANÇAMENTOS DIÁRIOS'!$P$5:$P$500,"&gt;=129300")&gt;0,"X","")</f>
      </c>
      <c r="AZ98" s="56" t="str">
        <f>IF(COUNTIFS('LANÇAMENTOS DIÁRIOS'!$G$5:$G$500,"H",'LANÇAMENTOS DIÁRIOS'!$C$5:$C$500,$A98,'LANÇAMENTOS DIÁRIOS'!$O$5:$O$500,"&lt;=129400",'LANÇAMENTOS DIÁRIOS'!$P$5:$P$500,"&gt;=129400")&gt;0,"X","")</f>
      </c>
    </row>
    <row r="99" ht="21" customHeight="1">
      <c r="A99" s="60" t="str">
        <v>Obras complementares exigidas</v>
      </c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</row>
    <row r="100" ht="19" customHeight="1">
      <c r="A100" s="68" t="str">
        <v>Passagens de fauna e melhorias no habitat</v>
      </c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</row>
    <row r="101">
      <c r="A101" s="51" t="str">
        <v>Passagem de fauna adaptada em bueiro</v>
      </c>
      <c r="B101" s="56" t="str">
        <f>IF(COUNTIFS('LANÇAMENTOS DIÁRIOS'!$G$5:$G$500,"H",'LANÇAMENTOS DIÁRIOS'!$C$5:$C$500,$A101,'LANÇAMENTOS DIÁRIOS'!$O$5:$O$500,"&lt;=124499",'LANÇAMENTOS DIÁRIOS'!$P$5:$P$500,"&gt;=124400")&gt;0,"X","")</f>
      </c>
      <c r="C101" s="56" t="str">
        <f>IF(COUNTIFS('LANÇAMENTOS DIÁRIOS'!$G$5:$G$500,"H",'LANÇAMENTOS DIÁRIOS'!$C$5:$C$500,$A101,'LANÇAMENTOS DIÁRIOS'!$O$5:$O$500,"&lt;=124599",'LANÇAMENTOS DIÁRIOS'!$P$5:$P$500,"&gt;=124500")&gt;0,"X","")</f>
      </c>
      <c r="D101" s="56" t="str">
        <f>IF(COUNTIFS('LANÇAMENTOS DIÁRIOS'!$G$5:$G$500,"H",'LANÇAMENTOS DIÁRIOS'!$C$5:$C$500,$A101,'LANÇAMENTOS DIÁRIOS'!$O$5:$O$500,"&lt;=124699",'LANÇAMENTOS DIÁRIOS'!$P$5:$P$500,"&gt;=124600")&gt;0,"X","")</f>
      </c>
      <c r="E101" s="56" t="str">
        <f>IF(COUNTIFS('LANÇAMENTOS DIÁRIOS'!$G$5:$G$500,"H",'LANÇAMENTOS DIÁRIOS'!$C$5:$C$500,$A101,'LANÇAMENTOS DIÁRIOS'!$O$5:$O$500,"&lt;=124799",'LANÇAMENTOS DIÁRIOS'!$P$5:$P$500,"&gt;=124700")&gt;0,"X","")</f>
      </c>
      <c r="F101" s="56" t="str">
        <f>IF(COUNTIFS('LANÇAMENTOS DIÁRIOS'!$G$5:$G$500,"H",'LANÇAMENTOS DIÁRIOS'!$C$5:$C$500,$A101,'LANÇAMENTOS DIÁRIOS'!$O$5:$O$500,"&lt;=124899",'LANÇAMENTOS DIÁRIOS'!$P$5:$P$500,"&gt;=124800")&gt;0,"X","")</f>
      </c>
      <c r="G101" s="56" t="str">
        <f>IF(COUNTIFS('LANÇAMENTOS DIÁRIOS'!$G$5:$G$500,"H",'LANÇAMENTOS DIÁRIOS'!$C$5:$C$500,$A101,'LANÇAMENTOS DIÁRIOS'!$O$5:$O$500,"&lt;=124999",'LANÇAMENTOS DIÁRIOS'!$P$5:$P$500,"&gt;=124900")&gt;0,"X","")</f>
      </c>
      <c r="H101" s="56" t="str">
        <f>IF(COUNTIFS('LANÇAMENTOS DIÁRIOS'!$G$5:$G$500,"H",'LANÇAMENTOS DIÁRIOS'!$C$5:$C$500,$A101,'LANÇAMENTOS DIÁRIOS'!$O$5:$O$500,"&lt;=125099",'LANÇAMENTOS DIÁRIOS'!$P$5:$P$500,"&gt;=125000")&gt;0,"X","")</f>
      </c>
      <c r="I101" s="56" t="str">
        <f>IF(COUNTIFS('LANÇAMENTOS DIÁRIOS'!$G$5:$G$500,"H",'LANÇAMENTOS DIÁRIOS'!$C$5:$C$500,$A101,'LANÇAMENTOS DIÁRIOS'!$O$5:$O$500,"&lt;=125199",'LANÇAMENTOS DIÁRIOS'!$P$5:$P$500,"&gt;=125100")&gt;0,"X","")</f>
      </c>
      <c r="J101" s="56" t="str">
        <f>IF(COUNTIFS('LANÇAMENTOS DIÁRIOS'!$G$5:$G$500,"H",'LANÇAMENTOS DIÁRIOS'!$C$5:$C$500,$A101,'LANÇAMENTOS DIÁRIOS'!$O$5:$O$500,"&lt;=125299",'LANÇAMENTOS DIÁRIOS'!$P$5:$P$500,"&gt;=125200")&gt;0,"X","")</f>
      </c>
      <c r="K101" s="56" t="str">
        <f>IF(COUNTIFS('LANÇAMENTOS DIÁRIOS'!$G$5:$G$500,"H",'LANÇAMENTOS DIÁRIOS'!$C$5:$C$500,$A101,'LANÇAMENTOS DIÁRIOS'!$O$5:$O$500,"&lt;=125399",'LANÇAMENTOS DIÁRIOS'!$P$5:$P$500,"&gt;=125300")&gt;0,"X","")</f>
      </c>
      <c r="L101" s="56" t="str">
        <f>IF(COUNTIFS('LANÇAMENTOS DIÁRIOS'!$G$5:$G$500,"H",'LANÇAMENTOS DIÁRIOS'!$C$5:$C$500,$A101,'LANÇAMENTOS DIÁRIOS'!$O$5:$O$500,"&lt;=125499",'LANÇAMENTOS DIÁRIOS'!$P$5:$P$500,"&gt;=125400")&gt;0,"X","")</f>
      </c>
      <c r="M101" s="56" t="str">
        <f>IF(COUNTIFS('LANÇAMENTOS DIÁRIOS'!$G$5:$G$500,"H",'LANÇAMENTOS DIÁRIOS'!$C$5:$C$500,$A101,'LANÇAMENTOS DIÁRIOS'!$O$5:$O$500,"&lt;=125599",'LANÇAMENTOS DIÁRIOS'!$P$5:$P$500,"&gt;=125500")&gt;0,"X","")</f>
      </c>
      <c r="N101" s="56" t="str">
        <f>IF(COUNTIFS('LANÇAMENTOS DIÁRIOS'!$G$5:$G$500,"H",'LANÇAMENTOS DIÁRIOS'!$C$5:$C$500,$A101,'LANÇAMENTOS DIÁRIOS'!$O$5:$O$500,"&lt;=125699",'LANÇAMENTOS DIÁRIOS'!$P$5:$P$500,"&gt;=125600")&gt;0,"X","")</f>
      </c>
      <c r="O101" s="56" t="str">
        <f>IF(COUNTIFS('LANÇAMENTOS DIÁRIOS'!$G$5:$G$500,"H",'LANÇAMENTOS DIÁRIOS'!$C$5:$C$500,$A101,'LANÇAMENTOS DIÁRIOS'!$O$5:$O$500,"&lt;=125799",'LANÇAMENTOS DIÁRIOS'!$P$5:$P$500,"&gt;=125700")&gt;0,"X","")</f>
      </c>
      <c r="P101" s="56" t="str">
        <f>IF(COUNTIFS('LANÇAMENTOS DIÁRIOS'!$G$5:$G$500,"H",'LANÇAMENTOS DIÁRIOS'!$C$5:$C$500,$A101,'LANÇAMENTOS DIÁRIOS'!$O$5:$O$500,"&lt;=125899",'LANÇAMENTOS DIÁRIOS'!$P$5:$P$500,"&gt;=125800")&gt;0,"X","")</f>
      </c>
      <c r="Q101" s="56" t="str">
        <f>IF(COUNTIFS('LANÇAMENTOS DIÁRIOS'!$G$5:$G$500,"H",'LANÇAMENTOS DIÁRIOS'!$C$5:$C$500,$A101,'LANÇAMENTOS DIÁRIOS'!$O$5:$O$500,"&lt;=125999",'LANÇAMENTOS DIÁRIOS'!$P$5:$P$500,"&gt;=125900")&gt;0,"X","")</f>
      </c>
      <c r="R101" s="56" t="str">
        <f>IF(COUNTIFS('LANÇAMENTOS DIÁRIOS'!$G$5:$G$500,"H",'LANÇAMENTOS DIÁRIOS'!$C$5:$C$500,$A101,'LANÇAMENTOS DIÁRIOS'!$O$5:$O$500,"&lt;=126099",'LANÇAMENTOS DIÁRIOS'!$P$5:$P$500,"&gt;=126000")&gt;0,"X","")</f>
      </c>
      <c r="S101" s="56" t="str">
        <f>IF(COUNTIFS('LANÇAMENTOS DIÁRIOS'!$G$5:$G$500,"H",'LANÇAMENTOS DIÁRIOS'!$C$5:$C$500,$A101,'LANÇAMENTOS DIÁRIOS'!$O$5:$O$500,"&lt;=126199",'LANÇAMENTOS DIÁRIOS'!$P$5:$P$500,"&gt;=126100")&gt;0,"X","")</f>
      </c>
      <c r="T101" s="56" t="str">
        <f>IF(COUNTIFS('LANÇAMENTOS DIÁRIOS'!$G$5:$G$500,"H",'LANÇAMENTOS DIÁRIOS'!$C$5:$C$500,$A101,'LANÇAMENTOS DIÁRIOS'!$O$5:$O$500,"&lt;=126299",'LANÇAMENTOS DIÁRIOS'!$P$5:$P$500,"&gt;=126200")&gt;0,"X","")</f>
      </c>
      <c r="U101" s="56" t="str">
        <f>IF(COUNTIFS('LANÇAMENTOS DIÁRIOS'!$G$5:$G$500,"H",'LANÇAMENTOS DIÁRIOS'!$C$5:$C$500,$A101,'LANÇAMENTOS DIÁRIOS'!$O$5:$O$500,"&lt;=126399",'LANÇAMENTOS DIÁRIOS'!$P$5:$P$500,"&gt;=126300")&gt;0,"X","")</f>
      </c>
      <c r="V101" s="56" t="str">
        <f>IF(COUNTIFS('LANÇAMENTOS DIÁRIOS'!$G$5:$G$500,"H",'LANÇAMENTOS DIÁRIOS'!$C$5:$C$500,$A101,'LANÇAMENTOS DIÁRIOS'!$O$5:$O$500,"&lt;=126499",'LANÇAMENTOS DIÁRIOS'!$P$5:$P$500,"&gt;=126400")&gt;0,"X","")</f>
      </c>
      <c r="W101" s="56" t="str">
        <f>IF(COUNTIFS('LANÇAMENTOS DIÁRIOS'!$G$5:$G$500,"H",'LANÇAMENTOS DIÁRIOS'!$C$5:$C$500,$A101,'LANÇAMENTOS DIÁRIOS'!$O$5:$O$500,"&lt;=126599",'LANÇAMENTOS DIÁRIOS'!$P$5:$P$500,"&gt;=126500")&gt;0,"X","")</f>
      </c>
      <c r="X101" s="56" t="str">
        <f>IF(COUNTIFS('LANÇAMENTOS DIÁRIOS'!$G$5:$G$500,"H",'LANÇAMENTOS DIÁRIOS'!$C$5:$C$500,$A101,'LANÇAMENTOS DIÁRIOS'!$O$5:$O$500,"&lt;=126699",'LANÇAMENTOS DIÁRIOS'!$P$5:$P$500,"&gt;=126600")&gt;0,"X","")</f>
      </c>
      <c r="Y101" s="56" t="str">
        <f>IF(COUNTIFS('LANÇAMENTOS DIÁRIOS'!$G$5:$G$500,"H",'LANÇAMENTOS DIÁRIOS'!$C$5:$C$500,$A101,'LANÇAMENTOS DIÁRIOS'!$O$5:$O$500,"&lt;=126799",'LANÇAMENTOS DIÁRIOS'!$P$5:$P$500,"&gt;=126700")&gt;0,"X","")</f>
      </c>
      <c r="Z101" s="56" t="str">
        <f>IF(COUNTIFS('LANÇAMENTOS DIÁRIOS'!$G$5:$G$500,"H",'LANÇAMENTOS DIÁRIOS'!$C$5:$C$500,$A101,'LANÇAMENTOS DIÁRIOS'!$O$5:$O$500,"&lt;=126899",'LANÇAMENTOS DIÁRIOS'!$P$5:$P$500,"&gt;=126800")&gt;0,"X","")</f>
      </c>
      <c r="AA101" s="56" t="str">
        <f>IF(COUNTIFS('LANÇAMENTOS DIÁRIOS'!$G$5:$G$500,"H",'LANÇAMENTOS DIÁRIOS'!$C$5:$C$500,$A101,'LANÇAMENTOS DIÁRIOS'!$O$5:$O$500,"&lt;=126999",'LANÇAMENTOS DIÁRIOS'!$P$5:$P$500,"&gt;=126900")&gt;0,"X","")</f>
      </c>
      <c r="AB101" s="56" t="str">
        <f>IF(COUNTIFS('LANÇAMENTOS DIÁRIOS'!$G$5:$G$500,"H",'LANÇAMENTOS DIÁRIOS'!$C$5:$C$500,$A101,'LANÇAMENTOS DIÁRIOS'!$O$5:$O$500,"&lt;=127099",'LANÇAMENTOS DIÁRIOS'!$P$5:$P$500,"&gt;=127000")&gt;0,"X","")</f>
      </c>
      <c r="AC101" s="56" t="str">
        <f>IF(COUNTIFS('LANÇAMENTOS DIÁRIOS'!$G$5:$G$500,"H",'LANÇAMENTOS DIÁRIOS'!$C$5:$C$500,$A101,'LANÇAMENTOS DIÁRIOS'!$O$5:$O$500,"&lt;=127199",'LANÇAMENTOS DIÁRIOS'!$P$5:$P$500,"&gt;=127100")&gt;0,"X","")</f>
      </c>
      <c r="AD101" s="56" t="str">
        <f>IF(COUNTIFS('LANÇAMENTOS DIÁRIOS'!$G$5:$G$500,"H",'LANÇAMENTOS DIÁRIOS'!$C$5:$C$500,$A101,'LANÇAMENTOS DIÁRIOS'!$O$5:$O$500,"&lt;=127299",'LANÇAMENTOS DIÁRIOS'!$P$5:$P$500,"&gt;=127200")&gt;0,"X","")</f>
      </c>
      <c r="AE101" s="56" t="str">
        <f>IF(COUNTIFS('LANÇAMENTOS DIÁRIOS'!$G$5:$G$500,"H",'LANÇAMENTOS DIÁRIOS'!$C$5:$C$500,$A101,'LANÇAMENTOS DIÁRIOS'!$O$5:$O$500,"&lt;=127399",'LANÇAMENTOS DIÁRIOS'!$P$5:$P$500,"&gt;=127300")&gt;0,"X","")</f>
      </c>
      <c r="AF101" s="56" t="str">
        <f>IF(COUNTIFS('LANÇAMENTOS DIÁRIOS'!$G$5:$G$500,"H",'LANÇAMENTOS DIÁRIOS'!$C$5:$C$500,$A101,'LANÇAMENTOS DIÁRIOS'!$O$5:$O$500,"&lt;=127499",'LANÇAMENTOS DIÁRIOS'!$P$5:$P$500,"&gt;=127400")&gt;0,"X","")</f>
      </c>
      <c r="AG101" s="56" t="str">
        <f>IF(COUNTIFS('LANÇAMENTOS DIÁRIOS'!$G$5:$G$500,"H",'LANÇAMENTOS DIÁRIOS'!$C$5:$C$500,$A101,'LANÇAMENTOS DIÁRIOS'!$O$5:$O$500,"&lt;=127599",'LANÇAMENTOS DIÁRIOS'!$P$5:$P$500,"&gt;=127500")&gt;0,"X","")</f>
      </c>
      <c r="AH101" s="56" t="str">
        <f>IF(COUNTIFS('LANÇAMENTOS DIÁRIOS'!$G$5:$G$500,"H",'LANÇAMENTOS DIÁRIOS'!$C$5:$C$500,$A101,'LANÇAMENTOS DIÁRIOS'!$O$5:$O$500,"&lt;=127699",'LANÇAMENTOS DIÁRIOS'!$P$5:$P$500,"&gt;=127600")&gt;0,"X","")</f>
      </c>
      <c r="AI101" s="56" t="str">
        <f>IF(COUNTIFS('LANÇAMENTOS DIÁRIOS'!$G$5:$G$500,"H",'LANÇAMENTOS DIÁRIOS'!$C$5:$C$500,$A101,'LANÇAMENTOS DIÁRIOS'!$O$5:$O$500,"&lt;=127799",'LANÇAMENTOS DIÁRIOS'!$P$5:$P$500,"&gt;=127700")&gt;0,"X","")</f>
      </c>
      <c r="AJ101" s="56" t="str">
        <f>IF(COUNTIFS('LANÇAMENTOS DIÁRIOS'!$G$5:$G$500,"H",'LANÇAMENTOS DIÁRIOS'!$C$5:$C$500,$A101,'LANÇAMENTOS DIÁRIOS'!$O$5:$O$500,"&lt;=127899",'LANÇAMENTOS DIÁRIOS'!$P$5:$P$500,"&gt;=127800")&gt;0,"X","")</f>
      </c>
      <c r="AK101" s="56" t="str">
        <f>IF(COUNTIFS('LANÇAMENTOS DIÁRIOS'!$G$5:$G$500,"H",'LANÇAMENTOS DIÁRIOS'!$C$5:$C$500,$A101,'LANÇAMENTOS DIÁRIOS'!$O$5:$O$500,"&lt;=127999",'LANÇAMENTOS DIÁRIOS'!$P$5:$P$500,"&gt;=127900")&gt;0,"X","")</f>
      </c>
      <c r="AL101" s="56" t="str">
        <f>IF(COUNTIFS('LANÇAMENTOS DIÁRIOS'!$G$5:$G$500,"H",'LANÇAMENTOS DIÁRIOS'!$C$5:$C$500,$A101,'LANÇAMENTOS DIÁRIOS'!$O$5:$O$500,"&lt;=128099",'LANÇAMENTOS DIÁRIOS'!$P$5:$P$500,"&gt;=128000")&gt;0,"X","")</f>
      </c>
      <c r="AM101" s="56" t="str">
        <f>IF(COUNTIFS('LANÇAMENTOS DIÁRIOS'!$G$5:$G$500,"H",'LANÇAMENTOS DIÁRIOS'!$C$5:$C$500,$A101,'LANÇAMENTOS DIÁRIOS'!$O$5:$O$500,"&lt;=128199",'LANÇAMENTOS DIÁRIOS'!$P$5:$P$500,"&gt;=128100")&gt;0,"X","")</f>
      </c>
      <c r="AN101" s="56" t="str">
        <f>IF(COUNTIFS('LANÇAMENTOS DIÁRIOS'!$G$5:$G$500,"H",'LANÇAMENTOS DIÁRIOS'!$C$5:$C$500,$A101,'LANÇAMENTOS DIÁRIOS'!$O$5:$O$500,"&lt;=128299",'LANÇAMENTOS DIÁRIOS'!$P$5:$P$500,"&gt;=128200")&gt;0,"X","")</f>
      </c>
      <c r="AO101" s="56" t="str">
        <f>IF(COUNTIFS('LANÇAMENTOS DIÁRIOS'!$G$5:$G$500,"H",'LANÇAMENTOS DIÁRIOS'!$C$5:$C$500,$A101,'LANÇAMENTOS DIÁRIOS'!$O$5:$O$500,"&lt;=128399",'LANÇAMENTOS DIÁRIOS'!$P$5:$P$500,"&gt;=128300")&gt;0,"X","")</f>
      </c>
      <c r="AP101" s="56" t="str">
        <f>IF(COUNTIFS('LANÇAMENTOS DIÁRIOS'!$G$5:$G$500,"H",'LANÇAMENTOS DIÁRIOS'!$C$5:$C$500,$A101,'LANÇAMENTOS DIÁRIOS'!$O$5:$O$500,"&lt;=128499",'LANÇAMENTOS DIÁRIOS'!$P$5:$P$500,"&gt;=128400")&gt;0,"X","")</f>
      </c>
      <c r="AQ101" s="56" t="str">
        <f>IF(COUNTIFS('LANÇAMENTOS DIÁRIOS'!$G$5:$G$500,"H",'LANÇAMENTOS DIÁRIOS'!$C$5:$C$500,$A101,'LANÇAMENTOS DIÁRIOS'!$O$5:$O$500,"&lt;=128599",'LANÇAMENTOS DIÁRIOS'!$P$5:$P$500,"&gt;=128500")&gt;0,"X","")</f>
      </c>
      <c r="AR101" s="56" t="str">
        <f>IF(COUNTIFS('LANÇAMENTOS DIÁRIOS'!$G$5:$G$500,"H",'LANÇAMENTOS DIÁRIOS'!$C$5:$C$500,$A101,'LANÇAMENTOS DIÁRIOS'!$O$5:$O$500,"&lt;=128699",'LANÇAMENTOS DIÁRIOS'!$P$5:$P$500,"&gt;=128600")&gt;0,"X","")</f>
      </c>
      <c r="AS101" s="56" t="str">
        <f>IF(COUNTIFS('LANÇAMENTOS DIÁRIOS'!$G$5:$G$500,"H",'LANÇAMENTOS DIÁRIOS'!$C$5:$C$500,$A101,'LANÇAMENTOS DIÁRIOS'!$O$5:$O$500,"&lt;=128799",'LANÇAMENTOS DIÁRIOS'!$P$5:$P$500,"&gt;=128700")&gt;0,"X","")</f>
      </c>
      <c r="AT101" s="56" t="str">
        <f>IF(COUNTIFS('LANÇAMENTOS DIÁRIOS'!$G$5:$G$500,"H",'LANÇAMENTOS DIÁRIOS'!$C$5:$C$500,$A101,'LANÇAMENTOS DIÁRIOS'!$O$5:$O$500,"&lt;=128899",'LANÇAMENTOS DIÁRIOS'!$P$5:$P$500,"&gt;=128800")&gt;0,"X","")</f>
      </c>
      <c r="AU101" s="56" t="str">
        <f>IF(COUNTIFS('LANÇAMENTOS DIÁRIOS'!$G$5:$G$500,"H",'LANÇAMENTOS DIÁRIOS'!$C$5:$C$500,$A101,'LANÇAMENTOS DIÁRIOS'!$O$5:$O$500,"&lt;=128999",'LANÇAMENTOS DIÁRIOS'!$P$5:$P$500,"&gt;=128900")&gt;0,"X","")</f>
      </c>
      <c r="AV101" s="56" t="str">
        <f>IF(COUNTIFS('LANÇAMENTOS DIÁRIOS'!$G$5:$G$500,"H",'LANÇAMENTOS DIÁRIOS'!$C$5:$C$500,$A101,'LANÇAMENTOS DIÁRIOS'!$O$5:$O$500,"&lt;=129099",'LANÇAMENTOS DIÁRIOS'!$P$5:$P$500,"&gt;=129000")&gt;0,"X","")</f>
      </c>
      <c r="AW101" s="56" t="str">
        <f>IF(COUNTIFS('LANÇAMENTOS DIÁRIOS'!$G$5:$G$500,"H",'LANÇAMENTOS DIÁRIOS'!$C$5:$C$500,$A101,'LANÇAMENTOS DIÁRIOS'!$O$5:$O$500,"&lt;=129199",'LANÇAMENTOS DIÁRIOS'!$P$5:$P$500,"&gt;=129100")&gt;0,"X","")</f>
      </c>
      <c r="AX101" s="56" t="str">
        <f>IF(COUNTIFS('LANÇAMENTOS DIÁRIOS'!$G$5:$G$500,"H",'LANÇAMENTOS DIÁRIOS'!$C$5:$C$500,$A101,'LANÇAMENTOS DIÁRIOS'!$O$5:$O$500,"&lt;=129299",'LANÇAMENTOS DIÁRIOS'!$P$5:$P$500,"&gt;=129200")&gt;0,"X","")</f>
      </c>
      <c r="AY101" s="56" t="str">
        <f>IF(COUNTIFS('LANÇAMENTOS DIÁRIOS'!$G$5:$G$500,"H",'LANÇAMENTOS DIÁRIOS'!$C$5:$C$500,$A101,'LANÇAMENTOS DIÁRIOS'!$O$5:$O$500,"&lt;=129399",'LANÇAMENTOS DIÁRIOS'!$P$5:$P$500,"&gt;=129300")&gt;0,"X","")</f>
      </c>
      <c r="AZ101" s="56" t="str">
        <f>IF(COUNTIFS('LANÇAMENTOS DIÁRIOS'!$G$5:$G$500,"H",'LANÇAMENTOS DIÁRIOS'!$C$5:$C$500,$A101,'LANÇAMENTOS DIÁRIOS'!$O$5:$O$500,"&lt;=129400",'LANÇAMENTOS DIÁRIOS'!$P$5:$P$500,"&gt;=129400")&gt;0,"X","")</f>
      </c>
    </row>
    <row r="102" ht="21" customHeight="1">
      <c r="A102" s="60" t="str">
        <v>Segurança viária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</row>
    <row r="103" ht="19" customHeight="1">
      <c r="A103" s="68" t="str">
        <v>Instalação de barreira de concreto</v>
      </c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</row>
    <row r="104">
      <c r="A104" s="51" t="str">
        <v>Barreira rígida dupla baixa</v>
      </c>
      <c r="B104" s="56" t="str">
        <f>IF(COUNTIFS('LANÇAMENTOS DIÁRIOS'!$G$5:$G$500,"H",'LANÇAMENTOS DIÁRIOS'!$C$5:$C$500,$A104,'LANÇAMENTOS DIÁRIOS'!$O$5:$O$500,"&lt;=124499",'LANÇAMENTOS DIÁRIOS'!$P$5:$P$500,"&gt;=124400")&gt;0,"X","")</f>
      </c>
      <c r="C104" s="56" t="str">
        <f>IF(COUNTIFS('LANÇAMENTOS DIÁRIOS'!$G$5:$G$500,"H",'LANÇAMENTOS DIÁRIOS'!$C$5:$C$500,$A104,'LANÇAMENTOS DIÁRIOS'!$O$5:$O$500,"&lt;=124599",'LANÇAMENTOS DIÁRIOS'!$P$5:$P$500,"&gt;=124500")&gt;0,"X","")</f>
      </c>
      <c r="D104" s="56" t="str">
        <f>IF(COUNTIFS('LANÇAMENTOS DIÁRIOS'!$G$5:$G$500,"H",'LANÇAMENTOS DIÁRIOS'!$C$5:$C$500,$A104,'LANÇAMENTOS DIÁRIOS'!$O$5:$O$500,"&lt;=124699",'LANÇAMENTOS DIÁRIOS'!$P$5:$P$500,"&gt;=124600")&gt;0,"X","")</f>
      </c>
      <c r="E104" s="56" t="str">
        <f>IF(COUNTIFS('LANÇAMENTOS DIÁRIOS'!$G$5:$G$500,"H",'LANÇAMENTOS DIÁRIOS'!$C$5:$C$500,$A104,'LANÇAMENTOS DIÁRIOS'!$O$5:$O$500,"&lt;=124799",'LANÇAMENTOS DIÁRIOS'!$P$5:$P$500,"&gt;=124700")&gt;0,"X","")</f>
      </c>
      <c r="F104" s="56" t="str">
        <f>IF(COUNTIFS('LANÇAMENTOS DIÁRIOS'!$G$5:$G$500,"H",'LANÇAMENTOS DIÁRIOS'!$C$5:$C$500,$A104,'LANÇAMENTOS DIÁRIOS'!$O$5:$O$500,"&lt;=124899",'LANÇAMENTOS DIÁRIOS'!$P$5:$P$500,"&gt;=124800")&gt;0,"X","")</f>
      </c>
      <c r="G104" s="56" t="str">
        <f>IF(COUNTIFS('LANÇAMENTOS DIÁRIOS'!$G$5:$G$500,"H",'LANÇAMENTOS DIÁRIOS'!$C$5:$C$500,$A104,'LANÇAMENTOS DIÁRIOS'!$O$5:$O$500,"&lt;=124999",'LANÇAMENTOS DIÁRIOS'!$P$5:$P$500,"&gt;=124900")&gt;0,"X","")</f>
      </c>
      <c r="H104" s="56" t="str">
        <f>IF(COUNTIFS('LANÇAMENTOS DIÁRIOS'!$G$5:$G$500,"H",'LANÇAMENTOS DIÁRIOS'!$C$5:$C$500,$A104,'LANÇAMENTOS DIÁRIOS'!$O$5:$O$500,"&lt;=125099",'LANÇAMENTOS DIÁRIOS'!$P$5:$P$500,"&gt;=125000")&gt;0,"X","")</f>
      </c>
      <c r="I104" s="56" t="str">
        <f>IF(COUNTIFS('LANÇAMENTOS DIÁRIOS'!$G$5:$G$500,"H",'LANÇAMENTOS DIÁRIOS'!$C$5:$C$500,$A104,'LANÇAMENTOS DIÁRIOS'!$O$5:$O$500,"&lt;=125199",'LANÇAMENTOS DIÁRIOS'!$P$5:$P$500,"&gt;=125100")&gt;0,"X","")</f>
      </c>
      <c r="J104" s="56" t="str">
        <f>IF(COUNTIFS('LANÇAMENTOS DIÁRIOS'!$G$5:$G$500,"H",'LANÇAMENTOS DIÁRIOS'!$C$5:$C$500,$A104,'LANÇAMENTOS DIÁRIOS'!$O$5:$O$500,"&lt;=125299",'LANÇAMENTOS DIÁRIOS'!$P$5:$P$500,"&gt;=125200")&gt;0,"X","")</f>
      </c>
      <c r="K104" s="56" t="str">
        <f>IF(COUNTIFS('LANÇAMENTOS DIÁRIOS'!$G$5:$G$500,"H",'LANÇAMENTOS DIÁRIOS'!$C$5:$C$500,$A104,'LANÇAMENTOS DIÁRIOS'!$O$5:$O$500,"&lt;=125399",'LANÇAMENTOS DIÁRIOS'!$P$5:$P$500,"&gt;=125300")&gt;0,"X","")</f>
      </c>
      <c r="L104" s="56" t="str">
        <f>IF(COUNTIFS('LANÇAMENTOS DIÁRIOS'!$G$5:$G$500,"H",'LANÇAMENTOS DIÁRIOS'!$C$5:$C$500,$A104,'LANÇAMENTOS DIÁRIOS'!$O$5:$O$500,"&lt;=125499",'LANÇAMENTOS DIÁRIOS'!$P$5:$P$500,"&gt;=125400")&gt;0,"X","")</f>
      </c>
      <c r="M104" s="56" t="str">
        <f>IF(COUNTIFS('LANÇAMENTOS DIÁRIOS'!$G$5:$G$500,"H",'LANÇAMENTOS DIÁRIOS'!$C$5:$C$500,$A104,'LANÇAMENTOS DIÁRIOS'!$O$5:$O$500,"&lt;=125599",'LANÇAMENTOS DIÁRIOS'!$P$5:$P$500,"&gt;=125500")&gt;0,"X","")</f>
      </c>
      <c r="N104" s="56" t="str">
        <f>IF(COUNTIFS('LANÇAMENTOS DIÁRIOS'!$G$5:$G$500,"H",'LANÇAMENTOS DIÁRIOS'!$C$5:$C$500,$A104,'LANÇAMENTOS DIÁRIOS'!$O$5:$O$500,"&lt;=125699",'LANÇAMENTOS DIÁRIOS'!$P$5:$P$500,"&gt;=125600")&gt;0,"X","")</f>
      </c>
      <c r="O104" s="56" t="str">
        <f>IF(COUNTIFS('LANÇAMENTOS DIÁRIOS'!$G$5:$G$500,"H",'LANÇAMENTOS DIÁRIOS'!$C$5:$C$500,$A104,'LANÇAMENTOS DIÁRIOS'!$O$5:$O$500,"&lt;=125799",'LANÇAMENTOS DIÁRIOS'!$P$5:$P$500,"&gt;=125700")&gt;0,"X","")</f>
      </c>
      <c r="P104" s="56" t="str">
        <f>IF(COUNTIFS('LANÇAMENTOS DIÁRIOS'!$G$5:$G$500,"H",'LANÇAMENTOS DIÁRIOS'!$C$5:$C$500,$A104,'LANÇAMENTOS DIÁRIOS'!$O$5:$O$500,"&lt;=125899",'LANÇAMENTOS DIÁRIOS'!$P$5:$P$500,"&gt;=125800")&gt;0,"X","")</f>
      </c>
      <c r="Q104" s="56" t="str">
        <f>IF(COUNTIFS('LANÇAMENTOS DIÁRIOS'!$G$5:$G$500,"H",'LANÇAMENTOS DIÁRIOS'!$C$5:$C$500,$A104,'LANÇAMENTOS DIÁRIOS'!$O$5:$O$500,"&lt;=125999",'LANÇAMENTOS DIÁRIOS'!$P$5:$P$500,"&gt;=125900")&gt;0,"X","")</f>
      </c>
      <c r="R104" s="56" t="str">
        <f>IF(COUNTIFS('LANÇAMENTOS DIÁRIOS'!$G$5:$G$500,"H",'LANÇAMENTOS DIÁRIOS'!$C$5:$C$500,$A104,'LANÇAMENTOS DIÁRIOS'!$O$5:$O$500,"&lt;=126099",'LANÇAMENTOS DIÁRIOS'!$P$5:$P$500,"&gt;=126000")&gt;0,"X","")</f>
      </c>
      <c r="S104" s="56" t="str">
        <f>IF(COUNTIFS('LANÇAMENTOS DIÁRIOS'!$G$5:$G$500,"H",'LANÇAMENTOS DIÁRIOS'!$C$5:$C$500,$A104,'LANÇAMENTOS DIÁRIOS'!$O$5:$O$500,"&lt;=126199",'LANÇAMENTOS DIÁRIOS'!$P$5:$P$500,"&gt;=126100")&gt;0,"X","")</f>
      </c>
      <c r="T104" s="56" t="str">
        <f>IF(COUNTIFS('LANÇAMENTOS DIÁRIOS'!$G$5:$G$500,"H",'LANÇAMENTOS DIÁRIOS'!$C$5:$C$500,$A104,'LANÇAMENTOS DIÁRIOS'!$O$5:$O$500,"&lt;=126299",'LANÇAMENTOS DIÁRIOS'!$P$5:$P$500,"&gt;=126200")&gt;0,"X","")</f>
      </c>
      <c r="U104" s="56" t="str">
        <f>IF(COUNTIFS('LANÇAMENTOS DIÁRIOS'!$G$5:$G$500,"H",'LANÇAMENTOS DIÁRIOS'!$C$5:$C$500,$A104,'LANÇAMENTOS DIÁRIOS'!$O$5:$O$500,"&lt;=126399",'LANÇAMENTOS DIÁRIOS'!$P$5:$P$500,"&gt;=126300")&gt;0,"X","")</f>
      </c>
      <c r="V104" s="56" t="str">
        <f>IF(COUNTIFS('LANÇAMENTOS DIÁRIOS'!$G$5:$G$500,"H",'LANÇAMENTOS DIÁRIOS'!$C$5:$C$500,$A104,'LANÇAMENTOS DIÁRIOS'!$O$5:$O$500,"&lt;=126499",'LANÇAMENTOS DIÁRIOS'!$P$5:$P$500,"&gt;=126400")&gt;0,"X","")</f>
      </c>
      <c r="W104" s="56" t="str">
        <f>IF(COUNTIFS('LANÇAMENTOS DIÁRIOS'!$G$5:$G$500,"H",'LANÇAMENTOS DIÁRIOS'!$C$5:$C$500,$A104,'LANÇAMENTOS DIÁRIOS'!$O$5:$O$500,"&lt;=126599",'LANÇAMENTOS DIÁRIOS'!$P$5:$P$500,"&gt;=126500")&gt;0,"X","")</f>
      </c>
      <c r="X104" s="56" t="str">
        <f>IF(COUNTIFS('LANÇAMENTOS DIÁRIOS'!$G$5:$G$500,"H",'LANÇAMENTOS DIÁRIOS'!$C$5:$C$500,$A104,'LANÇAMENTOS DIÁRIOS'!$O$5:$O$500,"&lt;=126699",'LANÇAMENTOS DIÁRIOS'!$P$5:$P$500,"&gt;=126600")&gt;0,"X","")</f>
      </c>
      <c r="Y104" s="56" t="str">
        <f>IF(COUNTIFS('LANÇAMENTOS DIÁRIOS'!$G$5:$G$500,"H",'LANÇAMENTOS DIÁRIOS'!$C$5:$C$500,$A104,'LANÇAMENTOS DIÁRIOS'!$O$5:$O$500,"&lt;=126799",'LANÇAMENTOS DIÁRIOS'!$P$5:$P$500,"&gt;=126700")&gt;0,"X","")</f>
      </c>
      <c r="Z104" s="56" t="str">
        <f>IF(COUNTIFS('LANÇAMENTOS DIÁRIOS'!$G$5:$G$500,"H",'LANÇAMENTOS DIÁRIOS'!$C$5:$C$500,$A104,'LANÇAMENTOS DIÁRIOS'!$O$5:$O$500,"&lt;=126899",'LANÇAMENTOS DIÁRIOS'!$P$5:$P$500,"&gt;=126800")&gt;0,"X","")</f>
      </c>
      <c r="AA104" s="56" t="str">
        <f>IF(COUNTIFS('LANÇAMENTOS DIÁRIOS'!$G$5:$G$500,"H",'LANÇAMENTOS DIÁRIOS'!$C$5:$C$500,$A104,'LANÇAMENTOS DIÁRIOS'!$O$5:$O$500,"&lt;=126999",'LANÇAMENTOS DIÁRIOS'!$P$5:$P$500,"&gt;=126900")&gt;0,"X","")</f>
      </c>
      <c r="AB104" s="56" t="str">
        <f>IF(COUNTIFS('LANÇAMENTOS DIÁRIOS'!$G$5:$G$500,"H",'LANÇAMENTOS DIÁRIOS'!$C$5:$C$500,$A104,'LANÇAMENTOS DIÁRIOS'!$O$5:$O$500,"&lt;=127099",'LANÇAMENTOS DIÁRIOS'!$P$5:$P$500,"&gt;=127000")&gt;0,"X","")</f>
      </c>
      <c r="AC104" s="56" t="str">
        <f>IF(COUNTIFS('LANÇAMENTOS DIÁRIOS'!$G$5:$G$500,"H",'LANÇAMENTOS DIÁRIOS'!$C$5:$C$500,$A104,'LANÇAMENTOS DIÁRIOS'!$O$5:$O$500,"&lt;=127199",'LANÇAMENTOS DIÁRIOS'!$P$5:$P$500,"&gt;=127100")&gt;0,"X","")</f>
      </c>
      <c r="AD104" s="56" t="str">
        <f>IF(COUNTIFS('LANÇAMENTOS DIÁRIOS'!$G$5:$G$500,"H",'LANÇAMENTOS DIÁRIOS'!$C$5:$C$500,$A104,'LANÇAMENTOS DIÁRIOS'!$O$5:$O$500,"&lt;=127299",'LANÇAMENTOS DIÁRIOS'!$P$5:$P$500,"&gt;=127200")&gt;0,"X","")</f>
      </c>
      <c r="AE104" s="56" t="str">
        <f>IF(COUNTIFS('LANÇAMENTOS DIÁRIOS'!$G$5:$G$500,"H",'LANÇAMENTOS DIÁRIOS'!$C$5:$C$500,$A104,'LANÇAMENTOS DIÁRIOS'!$O$5:$O$500,"&lt;=127399",'LANÇAMENTOS DIÁRIOS'!$P$5:$P$500,"&gt;=127300")&gt;0,"X","")</f>
      </c>
      <c r="AF104" s="56" t="str">
        <f>IF(COUNTIFS('LANÇAMENTOS DIÁRIOS'!$G$5:$G$500,"H",'LANÇAMENTOS DIÁRIOS'!$C$5:$C$500,$A104,'LANÇAMENTOS DIÁRIOS'!$O$5:$O$500,"&lt;=127499",'LANÇAMENTOS DIÁRIOS'!$P$5:$P$500,"&gt;=127400")&gt;0,"X","")</f>
      </c>
      <c r="AG104" s="56" t="str">
        <f>IF(COUNTIFS('LANÇAMENTOS DIÁRIOS'!$G$5:$G$500,"H",'LANÇAMENTOS DIÁRIOS'!$C$5:$C$500,$A104,'LANÇAMENTOS DIÁRIOS'!$O$5:$O$500,"&lt;=127599",'LANÇAMENTOS DIÁRIOS'!$P$5:$P$500,"&gt;=127500")&gt;0,"X","")</f>
      </c>
      <c r="AH104" s="56" t="str">
        <f>IF(COUNTIFS('LANÇAMENTOS DIÁRIOS'!$G$5:$G$500,"H",'LANÇAMENTOS DIÁRIOS'!$C$5:$C$500,$A104,'LANÇAMENTOS DIÁRIOS'!$O$5:$O$500,"&lt;=127699",'LANÇAMENTOS DIÁRIOS'!$P$5:$P$500,"&gt;=127600")&gt;0,"X","")</f>
      </c>
      <c r="AI104" s="56" t="str">
        <f>IF(COUNTIFS('LANÇAMENTOS DIÁRIOS'!$G$5:$G$500,"H",'LANÇAMENTOS DIÁRIOS'!$C$5:$C$500,$A104,'LANÇAMENTOS DIÁRIOS'!$O$5:$O$500,"&lt;=127799",'LANÇAMENTOS DIÁRIOS'!$P$5:$P$500,"&gt;=127700")&gt;0,"X","")</f>
      </c>
      <c r="AJ104" s="56" t="str">
        <f>IF(COUNTIFS('LANÇAMENTOS DIÁRIOS'!$G$5:$G$500,"H",'LANÇAMENTOS DIÁRIOS'!$C$5:$C$500,$A104,'LANÇAMENTOS DIÁRIOS'!$O$5:$O$500,"&lt;=127899",'LANÇAMENTOS DIÁRIOS'!$P$5:$P$500,"&gt;=127800")&gt;0,"X","")</f>
      </c>
      <c r="AK104" s="56" t="str">
        <f>IF(COUNTIFS('LANÇAMENTOS DIÁRIOS'!$G$5:$G$500,"H",'LANÇAMENTOS DIÁRIOS'!$C$5:$C$500,$A104,'LANÇAMENTOS DIÁRIOS'!$O$5:$O$500,"&lt;=127999",'LANÇAMENTOS DIÁRIOS'!$P$5:$P$500,"&gt;=127900")&gt;0,"X","")</f>
      </c>
      <c r="AL104" s="56" t="str">
        <f>IF(COUNTIFS('LANÇAMENTOS DIÁRIOS'!$G$5:$G$500,"H",'LANÇAMENTOS DIÁRIOS'!$C$5:$C$500,$A104,'LANÇAMENTOS DIÁRIOS'!$O$5:$O$500,"&lt;=128099",'LANÇAMENTOS DIÁRIOS'!$P$5:$P$500,"&gt;=128000")&gt;0,"X","")</f>
      </c>
      <c r="AM104" s="56" t="str">
        <f>IF(COUNTIFS('LANÇAMENTOS DIÁRIOS'!$G$5:$G$500,"H",'LANÇAMENTOS DIÁRIOS'!$C$5:$C$500,$A104,'LANÇAMENTOS DIÁRIOS'!$O$5:$O$500,"&lt;=128199",'LANÇAMENTOS DIÁRIOS'!$P$5:$P$500,"&gt;=128100")&gt;0,"X","")</f>
      </c>
      <c r="AN104" s="56" t="str">
        <f>IF(COUNTIFS('LANÇAMENTOS DIÁRIOS'!$G$5:$G$500,"H",'LANÇAMENTOS DIÁRIOS'!$C$5:$C$500,$A104,'LANÇAMENTOS DIÁRIOS'!$O$5:$O$500,"&lt;=128299",'LANÇAMENTOS DIÁRIOS'!$P$5:$P$500,"&gt;=128200")&gt;0,"X","")</f>
      </c>
      <c r="AO104" s="56" t="str">
        <f>IF(COUNTIFS('LANÇAMENTOS DIÁRIOS'!$G$5:$G$500,"H",'LANÇAMENTOS DIÁRIOS'!$C$5:$C$500,$A104,'LANÇAMENTOS DIÁRIOS'!$O$5:$O$500,"&lt;=128399",'LANÇAMENTOS DIÁRIOS'!$P$5:$P$500,"&gt;=128300")&gt;0,"X","")</f>
      </c>
      <c r="AP104" s="56" t="str">
        <f>IF(COUNTIFS('LANÇAMENTOS DIÁRIOS'!$G$5:$G$500,"H",'LANÇAMENTOS DIÁRIOS'!$C$5:$C$500,$A104,'LANÇAMENTOS DIÁRIOS'!$O$5:$O$500,"&lt;=128499",'LANÇAMENTOS DIÁRIOS'!$P$5:$P$500,"&gt;=128400")&gt;0,"X","")</f>
      </c>
      <c r="AQ104" s="56" t="str">
        <f>IF(COUNTIFS('LANÇAMENTOS DIÁRIOS'!$G$5:$G$500,"H",'LANÇAMENTOS DIÁRIOS'!$C$5:$C$500,$A104,'LANÇAMENTOS DIÁRIOS'!$O$5:$O$500,"&lt;=128599",'LANÇAMENTOS DIÁRIOS'!$P$5:$P$500,"&gt;=128500")&gt;0,"X","")</f>
      </c>
      <c r="AR104" s="56" t="str">
        <f>IF(COUNTIFS('LANÇAMENTOS DIÁRIOS'!$G$5:$G$500,"H",'LANÇAMENTOS DIÁRIOS'!$C$5:$C$500,$A104,'LANÇAMENTOS DIÁRIOS'!$O$5:$O$500,"&lt;=128699",'LANÇAMENTOS DIÁRIOS'!$P$5:$P$500,"&gt;=128600")&gt;0,"X","")</f>
      </c>
      <c r="AS104" s="56" t="str">
        <f>IF(COUNTIFS('LANÇAMENTOS DIÁRIOS'!$G$5:$G$500,"H",'LANÇAMENTOS DIÁRIOS'!$C$5:$C$500,$A104,'LANÇAMENTOS DIÁRIOS'!$O$5:$O$500,"&lt;=128799",'LANÇAMENTOS DIÁRIOS'!$P$5:$P$500,"&gt;=128700")&gt;0,"X","")</f>
      </c>
      <c r="AT104" s="56" t="str">
        <f>IF(COUNTIFS('LANÇAMENTOS DIÁRIOS'!$G$5:$G$500,"H",'LANÇAMENTOS DIÁRIOS'!$C$5:$C$500,$A104,'LANÇAMENTOS DIÁRIOS'!$O$5:$O$500,"&lt;=128899",'LANÇAMENTOS DIÁRIOS'!$P$5:$P$500,"&gt;=128800")&gt;0,"X","")</f>
      </c>
      <c r="AU104" s="56" t="str">
        <f>IF(COUNTIFS('LANÇAMENTOS DIÁRIOS'!$G$5:$G$500,"H",'LANÇAMENTOS DIÁRIOS'!$C$5:$C$500,$A104,'LANÇAMENTOS DIÁRIOS'!$O$5:$O$500,"&lt;=128999",'LANÇAMENTOS DIÁRIOS'!$P$5:$P$500,"&gt;=128900")&gt;0,"X","")</f>
      </c>
      <c r="AV104" s="56" t="str">
        <f>IF(COUNTIFS('LANÇAMENTOS DIÁRIOS'!$G$5:$G$500,"H",'LANÇAMENTOS DIÁRIOS'!$C$5:$C$500,$A104,'LANÇAMENTOS DIÁRIOS'!$O$5:$O$500,"&lt;=129099",'LANÇAMENTOS DIÁRIOS'!$P$5:$P$500,"&gt;=129000")&gt;0,"X","")</f>
      </c>
      <c r="AW104" s="56" t="str">
        <f>IF(COUNTIFS('LANÇAMENTOS DIÁRIOS'!$G$5:$G$500,"H",'LANÇAMENTOS DIÁRIOS'!$C$5:$C$500,$A104,'LANÇAMENTOS DIÁRIOS'!$O$5:$O$500,"&lt;=129199",'LANÇAMENTOS DIÁRIOS'!$P$5:$P$500,"&gt;=129100")&gt;0,"X","")</f>
      </c>
      <c r="AX104" s="56" t="str">
        <f>IF(COUNTIFS('LANÇAMENTOS DIÁRIOS'!$G$5:$G$500,"H",'LANÇAMENTOS DIÁRIOS'!$C$5:$C$500,$A104,'LANÇAMENTOS DIÁRIOS'!$O$5:$O$500,"&lt;=129299",'LANÇAMENTOS DIÁRIOS'!$P$5:$P$500,"&gt;=129200")&gt;0,"X","")</f>
      </c>
      <c r="AY104" s="56" t="str">
        <f>IF(COUNTIFS('LANÇAMENTOS DIÁRIOS'!$G$5:$G$500,"H",'LANÇAMENTOS DIÁRIOS'!$C$5:$C$500,$A104,'LANÇAMENTOS DIÁRIOS'!$O$5:$O$500,"&lt;=129399",'LANÇAMENTOS DIÁRIOS'!$P$5:$P$500,"&gt;=129300")&gt;0,"X","")</f>
      </c>
      <c r="AZ104" s="56" t="str">
        <f>IF(COUNTIFS('LANÇAMENTOS DIÁRIOS'!$G$5:$G$500,"H",'LANÇAMENTOS DIÁRIOS'!$C$5:$C$500,$A104,'LANÇAMENTOS DIÁRIOS'!$O$5:$O$500,"&lt;=129400",'LANÇAMENTOS DIÁRIOS'!$P$5:$P$500,"&gt;=129400")&gt;0,"X","")</f>
      </c>
    </row>
    <row r="105">
      <c r="A105" s="51" t="str">
        <v>Barreira rígida simples baixa</v>
      </c>
      <c r="B105" s="56" t="str">
        <f>IF(COUNTIFS('LANÇAMENTOS DIÁRIOS'!$G$5:$G$500,"H",'LANÇAMENTOS DIÁRIOS'!$C$5:$C$500,$A105,'LANÇAMENTOS DIÁRIOS'!$O$5:$O$500,"&lt;=124499",'LANÇAMENTOS DIÁRIOS'!$P$5:$P$500,"&gt;=124400")&gt;0,"X","")</f>
      </c>
      <c r="C105" s="56" t="str">
        <f>IF(COUNTIFS('LANÇAMENTOS DIÁRIOS'!$G$5:$G$500,"H",'LANÇAMENTOS DIÁRIOS'!$C$5:$C$500,$A105,'LANÇAMENTOS DIÁRIOS'!$O$5:$O$500,"&lt;=124599",'LANÇAMENTOS DIÁRIOS'!$P$5:$P$500,"&gt;=124500")&gt;0,"X","")</f>
      </c>
      <c r="D105" s="56" t="str">
        <f>IF(COUNTIFS('LANÇAMENTOS DIÁRIOS'!$G$5:$G$500,"H",'LANÇAMENTOS DIÁRIOS'!$C$5:$C$500,$A105,'LANÇAMENTOS DIÁRIOS'!$O$5:$O$500,"&lt;=124699",'LANÇAMENTOS DIÁRIOS'!$P$5:$P$500,"&gt;=124600")&gt;0,"X","")</f>
      </c>
      <c r="E105" s="56" t="str">
        <f>IF(COUNTIFS('LANÇAMENTOS DIÁRIOS'!$G$5:$G$500,"H",'LANÇAMENTOS DIÁRIOS'!$C$5:$C$500,$A105,'LANÇAMENTOS DIÁRIOS'!$O$5:$O$500,"&lt;=124799",'LANÇAMENTOS DIÁRIOS'!$P$5:$P$500,"&gt;=124700")&gt;0,"X","")</f>
      </c>
      <c r="F105" s="56" t="str">
        <f>IF(COUNTIFS('LANÇAMENTOS DIÁRIOS'!$G$5:$G$500,"H",'LANÇAMENTOS DIÁRIOS'!$C$5:$C$500,$A105,'LANÇAMENTOS DIÁRIOS'!$O$5:$O$500,"&lt;=124899",'LANÇAMENTOS DIÁRIOS'!$P$5:$P$500,"&gt;=124800")&gt;0,"X","")</f>
      </c>
      <c r="G105" s="56" t="str">
        <f>IF(COUNTIFS('LANÇAMENTOS DIÁRIOS'!$G$5:$G$500,"H",'LANÇAMENTOS DIÁRIOS'!$C$5:$C$500,$A105,'LANÇAMENTOS DIÁRIOS'!$O$5:$O$500,"&lt;=124999",'LANÇAMENTOS DIÁRIOS'!$P$5:$P$500,"&gt;=124900")&gt;0,"X","")</f>
      </c>
      <c r="H105" s="56" t="str">
        <f>IF(COUNTIFS('LANÇAMENTOS DIÁRIOS'!$G$5:$G$500,"H",'LANÇAMENTOS DIÁRIOS'!$C$5:$C$500,$A105,'LANÇAMENTOS DIÁRIOS'!$O$5:$O$500,"&lt;=125099",'LANÇAMENTOS DIÁRIOS'!$P$5:$P$500,"&gt;=125000")&gt;0,"X","")</f>
      </c>
      <c r="I105" s="56" t="str">
        <f>IF(COUNTIFS('LANÇAMENTOS DIÁRIOS'!$G$5:$G$500,"H",'LANÇAMENTOS DIÁRIOS'!$C$5:$C$500,$A105,'LANÇAMENTOS DIÁRIOS'!$O$5:$O$500,"&lt;=125199",'LANÇAMENTOS DIÁRIOS'!$P$5:$P$500,"&gt;=125100")&gt;0,"X","")</f>
      </c>
      <c r="J105" s="56" t="str">
        <f>IF(COUNTIFS('LANÇAMENTOS DIÁRIOS'!$G$5:$G$500,"H",'LANÇAMENTOS DIÁRIOS'!$C$5:$C$500,$A105,'LANÇAMENTOS DIÁRIOS'!$O$5:$O$500,"&lt;=125299",'LANÇAMENTOS DIÁRIOS'!$P$5:$P$500,"&gt;=125200")&gt;0,"X","")</f>
      </c>
      <c r="K105" s="56" t="str">
        <f>IF(COUNTIFS('LANÇAMENTOS DIÁRIOS'!$G$5:$G$500,"H",'LANÇAMENTOS DIÁRIOS'!$C$5:$C$500,$A105,'LANÇAMENTOS DIÁRIOS'!$O$5:$O$500,"&lt;=125399",'LANÇAMENTOS DIÁRIOS'!$P$5:$P$500,"&gt;=125300")&gt;0,"X","")</f>
      </c>
      <c r="L105" s="56" t="str">
        <f>IF(COUNTIFS('LANÇAMENTOS DIÁRIOS'!$G$5:$G$500,"H",'LANÇAMENTOS DIÁRIOS'!$C$5:$C$500,$A105,'LANÇAMENTOS DIÁRIOS'!$O$5:$O$500,"&lt;=125499",'LANÇAMENTOS DIÁRIOS'!$P$5:$P$500,"&gt;=125400")&gt;0,"X","")</f>
      </c>
      <c r="M105" s="56" t="str">
        <f>IF(COUNTIFS('LANÇAMENTOS DIÁRIOS'!$G$5:$G$500,"H",'LANÇAMENTOS DIÁRIOS'!$C$5:$C$500,$A105,'LANÇAMENTOS DIÁRIOS'!$O$5:$O$500,"&lt;=125599",'LANÇAMENTOS DIÁRIOS'!$P$5:$P$500,"&gt;=125500")&gt;0,"X","")</f>
      </c>
      <c r="N105" s="56" t="str">
        <f>IF(COUNTIFS('LANÇAMENTOS DIÁRIOS'!$G$5:$G$500,"H",'LANÇAMENTOS DIÁRIOS'!$C$5:$C$500,$A105,'LANÇAMENTOS DIÁRIOS'!$O$5:$O$500,"&lt;=125699",'LANÇAMENTOS DIÁRIOS'!$P$5:$P$500,"&gt;=125600")&gt;0,"X","")</f>
      </c>
      <c r="O105" s="56" t="str">
        <f>IF(COUNTIFS('LANÇAMENTOS DIÁRIOS'!$G$5:$G$500,"H",'LANÇAMENTOS DIÁRIOS'!$C$5:$C$500,$A105,'LANÇAMENTOS DIÁRIOS'!$O$5:$O$500,"&lt;=125799",'LANÇAMENTOS DIÁRIOS'!$P$5:$P$500,"&gt;=125700")&gt;0,"X","")</f>
      </c>
      <c r="P105" s="56" t="str">
        <f>IF(COUNTIFS('LANÇAMENTOS DIÁRIOS'!$G$5:$G$500,"H",'LANÇAMENTOS DIÁRIOS'!$C$5:$C$500,$A105,'LANÇAMENTOS DIÁRIOS'!$O$5:$O$500,"&lt;=125899",'LANÇAMENTOS DIÁRIOS'!$P$5:$P$500,"&gt;=125800")&gt;0,"X","")</f>
      </c>
      <c r="Q105" s="56" t="str">
        <f>IF(COUNTIFS('LANÇAMENTOS DIÁRIOS'!$G$5:$G$500,"H",'LANÇAMENTOS DIÁRIOS'!$C$5:$C$500,$A105,'LANÇAMENTOS DIÁRIOS'!$O$5:$O$500,"&lt;=125999",'LANÇAMENTOS DIÁRIOS'!$P$5:$P$500,"&gt;=125900")&gt;0,"X","")</f>
      </c>
      <c r="R105" s="56" t="str">
        <f>IF(COUNTIFS('LANÇAMENTOS DIÁRIOS'!$G$5:$G$500,"H",'LANÇAMENTOS DIÁRIOS'!$C$5:$C$500,$A105,'LANÇAMENTOS DIÁRIOS'!$O$5:$O$500,"&lt;=126099",'LANÇAMENTOS DIÁRIOS'!$P$5:$P$500,"&gt;=126000")&gt;0,"X","")</f>
      </c>
      <c r="S105" s="56" t="str">
        <f>IF(COUNTIFS('LANÇAMENTOS DIÁRIOS'!$G$5:$G$500,"H",'LANÇAMENTOS DIÁRIOS'!$C$5:$C$500,$A105,'LANÇAMENTOS DIÁRIOS'!$O$5:$O$500,"&lt;=126199",'LANÇAMENTOS DIÁRIOS'!$P$5:$P$500,"&gt;=126100")&gt;0,"X","")</f>
      </c>
      <c r="T105" s="56" t="str">
        <f>IF(COUNTIFS('LANÇAMENTOS DIÁRIOS'!$G$5:$G$500,"H",'LANÇAMENTOS DIÁRIOS'!$C$5:$C$500,$A105,'LANÇAMENTOS DIÁRIOS'!$O$5:$O$500,"&lt;=126299",'LANÇAMENTOS DIÁRIOS'!$P$5:$P$500,"&gt;=126200")&gt;0,"X","")</f>
      </c>
      <c r="U105" s="56" t="str">
        <f>IF(COUNTIFS('LANÇAMENTOS DIÁRIOS'!$G$5:$G$500,"H",'LANÇAMENTOS DIÁRIOS'!$C$5:$C$500,$A105,'LANÇAMENTOS DIÁRIOS'!$O$5:$O$500,"&lt;=126399",'LANÇAMENTOS DIÁRIOS'!$P$5:$P$500,"&gt;=126300")&gt;0,"X","")</f>
      </c>
      <c r="V105" s="56" t="str">
        <f>IF(COUNTIFS('LANÇAMENTOS DIÁRIOS'!$G$5:$G$500,"H",'LANÇAMENTOS DIÁRIOS'!$C$5:$C$500,$A105,'LANÇAMENTOS DIÁRIOS'!$O$5:$O$500,"&lt;=126499",'LANÇAMENTOS DIÁRIOS'!$P$5:$P$500,"&gt;=126400")&gt;0,"X","")</f>
      </c>
      <c r="W105" s="56" t="str">
        <f>IF(COUNTIFS('LANÇAMENTOS DIÁRIOS'!$G$5:$G$500,"H",'LANÇAMENTOS DIÁRIOS'!$C$5:$C$500,$A105,'LANÇAMENTOS DIÁRIOS'!$O$5:$O$500,"&lt;=126599",'LANÇAMENTOS DIÁRIOS'!$P$5:$P$500,"&gt;=126500")&gt;0,"X","")</f>
      </c>
      <c r="X105" s="56" t="str">
        <f>IF(COUNTIFS('LANÇAMENTOS DIÁRIOS'!$G$5:$G$500,"H",'LANÇAMENTOS DIÁRIOS'!$C$5:$C$500,$A105,'LANÇAMENTOS DIÁRIOS'!$O$5:$O$500,"&lt;=126699",'LANÇAMENTOS DIÁRIOS'!$P$5:$P$500,"&gt;=126600")&gt;0,"X","")</f>
      </c>
      <c r="Y105" s="56" t="str">
        <f>IF(COUNTIFS('LANÇAMENTOS DIÁRIOS'!$G$5:$G$500,"H",'LANÇAMENTOS DIÁRIOS'!$C$5:$C$500,$A105,'LANÇAMENTOS DIÁRIOS'!$O$5:$O$500,"&lt;=126799",'LANÇAMENTOS DIÁRIOS'!$P$5:$P$500,"&gt;=126700")&gt;0,"X","")</f>
      </c>
      <c r="Z105" s="56" t="str">
        <f>IF(COUNTIFS('LANÇAMENTOS DIÁRIOS'!$G$5:$G$500,"H",'LANÇAMENTOS DIÁRIOS'!$C$5:$C$500,$A105,'LANÇAMENTOS DIÁRIOS'!$O$5:$O$500,"&lt;=126899",'LANÇAMENTOS DIÁRIOS'!$P$5:$P$500,"&gt;=126800")&gt;0,"X","")</f>
      </c>
      <c r="AA105" s="56" t="str">
        <f>IF(COUNTIFS('LANÇAMENTOS DIÁRIOS'!$G$5:$G$500,"H",'LANÇAMENTOS DIÁRIOS'!$C$5:$C$500,$A105,'LANÇAMENTOS DIÁRIOS'!$O$5:$O$500,"&lt;=126999",'LANÇAMENTOS DIÁRIOS'!$P$5:$P$500,"&gt;=126900")&gt;0,"X","")</f>
      </c>
      <c r="AB105" s="56" t="str">
        <f>IF(COUNTIFS('LANÇAMENTOS DIÁRIOS'!$G$5:$G$500,"H",'LANÇAMENTOS DIÁRIOS'!$C$5:$C$500,$A105,'LANÇAMENTOS DIÁRIOS'!$O$5:$O$500,"&lt;=127099",'LANÇAMENTOS DIÁRIOS'!$P$5:$P$500,"&gt;=127000")&gt;0,"X","")</f>
      </c>
      <c r="AC105" s="56" t="str">
        <f>IF(COUNTIFS('LANÇAMENTOS DIÁRIOS'!$G$5:$G$500,"H",'LANÇAMENTOS DIÁRIOS'!$C$5:$C$500,$A105,'LANÇAMENTOS DIÁRIOS'!$O$5:$O$500,"&lt;=127199",'LANÇAMENTOS DIÁRIOS'!$P$5:$P$500,"&gt;=127100")&gt;0,"X","")</f>
      </c>
      <c r="AD105" s="56" t="str">
        <f>IF(COUNTIFS('LANÇAMENTOS DIÁRIOS'!$G$5:$G$500,"H",'LANÇAMENTOS DIÁRIOS'!$C$5:$C$500,$A105,'LANÇAMENTOS DIÁRIOS'!$O$5:$O$500,"&lt;=127299",'LANÇAMENTOS DIÁRIOS'!$P$5:$P$500,"&gt;=127200")&gt;0,"X","")</f>
      </c>
      <c r="AE105" s="56" t="str">
        <f>IF(COUNTIFS('LANÇAMENTOS DIÁRIOS'!$G$5:$G$500,"H",'LANÇAMENTOS DIÁRIOS'!$C$5:$C$500,$A105,'LANÇAMENTOS DIÁRIOS'!$O$5:$O$500,"&lt;=127399",'LANÇAMENTOS DIÁRIOS'!$P$5:$P$500,"&gt;=127300")&gt;0,"X","")</f>
      </c>
      <c r="AF105" s="56" t="str">
        <f>IF(COUNTIFS('LANÇAMENTOS DIÁRIOS'!$G$5:$G$500,"H",'LANÇAMENTOS DIÁRIOS'!$C$5:$C$500,$A105,'LANÇAMENTOS DIÁRIOS'!$O$5:$O$500,"&lt;=127499",'LANÇAMENTOS DIÁRIOS'!$P$5:$P$500,"&gt;=127400")&gt;0,"X","")</f>
      </c>
      <c r="AG105" s="56" t="str">
        <f>IF(COUNTIFS('LANÇAMENTOS DIÁRIOS'!$G$5:$G$500,"H",'LANÇAMENTOS DIÁRIOS'!$C$5:$C$500,$A105,'LANÇAMENTOS DIÁRIOS'!$O$5:$O$500,"&lt;=127599",'LANÇAMENTOS DIÁRIOS'!$P$5:$P$500,"&gt;=127500")&gt;0,"X","")</f>
      </c>
      <c r="AH105" s="56" t="str">
        <f>IF(COUNTIFS('LANÇAMENTOS DIÁRIOS'!$G$5:$G$500,"H",'LANÇAMENTOS DIÁRIOS'!$C$5:$C$500,$A105,'LANÇAMENTOS DIÁRIOS'!$O$5:$O$500,"&lt;=127699",'LANÇAMENTOS DIÁRIOS'!$P$5:$P$500,"&gt;=127600")&gt;0,"X","")</f>
      </c>
      <c r="AI105" s="56" t="str">
        <f>IF(COUNTIFS('LANÇAMENTOS DIÁRIOS'!$G$5:$G$500,"H",'LANÇAMENTOS DIÁRIOS'!$C$5:$C$500,$A105,'LANÇAMENTOS DIÁRIOS'!$O$5:$O$500,"&lt;=127799",'LANÇAMENTOS DIÁRIOS'!$P$5:$P$500,"&gt;=127700")&gt;0,"X","")</f>
      </c>
      <c r="AJ105" s="56" t="str">
        <f>IF(COUNTIFS('LANÇAMENTOS DIÁRIOS'!$G$5:$G$500,"H",'LANÇAMENTOS DIÁRIOS'!$C$5:$C$500,$A105,'LANÇAMENTOS DIÁRIOS'!$O$5:$O$500,"&lt;=127899",'LANÇAMENTOS DIÁRIOS'!$P$5:$P$500,"&gt;=127800")&gt;0,"X","")</f>
      </c>
      <c r="AK105" s="56" t="str">
        <f>IF(COUNTIFS('LANÇAMENTOS DIÁRIOS'!$G$5:$G$500,"H",'LANÇAMENTOS DIÁRIOS'!$C$5:$C$500,$A105,'LANÇAMENTOS DIÁRIOS'!$O$5:$O$500,"&lt;=127999",'LANÇAMENTOS DIÁRIOS'!$P$5:$P$500,"&gt;=127900")&gt;0,"X","")</f>
      </c>
      <c r="AL105" s="56" t="str">
        <f>IF(COUNTIFS('LANÇAMENTOS DIÁRIOS'!$G$5:$G$500,"H",'LANÇAMENTOS DIÁRIOS'!$C$5:$C$500,$A105,'LANÇAMENTOS DIÁRIOS'!$O$5:$O$500,"&lt;=128099",'LANÇAMENTOS DIÁRIOS'!$P$5:$P$500,"&gt;=128000")&gt;0,"X","")</f>
      </c>
      <c r="AM105" s="56" t="str">
        <f>IF(COUNTIFS('LANÇAMENTOS DIÁRIOS'!$G$5:$G$500,"H",'LANÇAMENTOS DIÁRIOS'!$C$5:$C$500,$A105,'LANÇAMENTOS DIÁRIOS'!$O$5:$O$500,"&lt;=128199",'LANÇAMENTOS DIÁRIOS'!$P$5:$P$500,"&gt;=128100")&gt;0,"X","")</f>
      </c>
      <c r="AN105" s="56" t="str">
        <f>IF(COUNTIFS('LANÇAMENTOS DIÁRIOS'!$G$5:$G$500,"H",'LANÇAMENTOS DIÁRIOS'!$C$5:$C$500,$A105,'LANÇAMENTOS DIÁRIOS'!$O$5:$O$500,"&lt;=128299",'LANÇAMENTOS DIÁRIOS'!$P$5:$P$500,"&gt;=128200")&gt;0,"X","")</f>
      </c>
      <c r="AO105" s="56" t="str">
        <f>IF(COUNTIFS('LANÇAMENTOS DIÁRIOS'!$G$5:$G$500,"H",'LANÇAMENTOS DIÁRIOS'!$C$5:$C$500,$A105,'LANÇAMENTOS DIÁRIOS'!$O$5:$O$500,"&lt;=128399",'LANÇAMENTOS DIÁRIOS'!$P$5:$P$500,"&gt;=128300")&gt;0,"X","")</f>
      </c>
      <c r="AP105" s="56" t="str">
        <f>IF(COUNTIFS('LANÇAMENTOS DIÁRIOS'!$G$5:$G$500,"H",'LANÇAMENTOS DIÁRIOS'!$C$5:$C$500,$A105,'LANÇAMENTOS DIÁRIOS'!$O$5:$O$500,"&lt;=128499",'LANÇAMENTOS DIÁRIOS'!$P$5:$P$500,"&gt;=128400")&gt;0,"X","")</f>
      </c>
      <c r="AQ105" s="56" t="str">
        <f>IF(COUNTIFS('LANÇAMENTOS DIÁRIOS'!$G$5:$G$500,"H",'LANÇAMENTOS DIÁRIOS'!$C$5:$C$500,$A105,'LANÇAMENTOS DIÁRIOS'!$O$5:$O$500,"&lt;=128599",'LANÇAMENTOS DIÁRIOS'!$P$5:$P$500,"&gt;=128500")&gt;0,"X","")</f>
      </c>
      <c r="AR105" s="56" t="str">
        <f>IF(COUNTIFS('LANÇAMENTOS DIÁRIOS'!$G$5:$G$500,"H",'LANÇAMENTOS DIÁRIOS'!$C$5:$C$500,$A105,'LANÇAMENTOS DIÁRIOS'!$O$5:$O$500,"&lt;=128699",'LANÇAMENTOS DIÁRIOS'!$P$5:$P$500,"&gt;=128600")&gt;0,"X","")</f>
      </c>
      <c r="AS105" s="56" t="str">
        <f>IF(COUNTIFS('LANÇAMENTOS DIÁRIOS'!$G$5:$G$500,"H",'LANÇAMENTOS DIÁRIOS'!$C$5:$C$500,$A105,'LANÇAMENTOS DIÁRIOS'!$O$5:$O$500,"&lt;=128799",'LANÇAMENTOS DIÁRIOS'!$P$5:$P$500,"&gt;=128700")&gt;0,"X","")</f>
      </c>
      <c r="AT105" s="56" t="str">
        <f>IF(COUNTIFS('LANÇAMENTOS DIÁRIOS'!$G$5:$G$500,"H",'LANÇAMENTOS DIÁRIOS'!$C$5:$C$500,$A105,'LANÇAMENTOS DIÁRIOS'!$O$5:$O$500,"&lt;=128899",'LANÇAMENTOS DIÁRIOS'!$P$5:$P$500,"&gt;=128800")&gt;0,"X","")</f>
      </c>
      <c r="AU105" s="56" t="str">
        <f>IF(COUNTIFS('LANÇAMENTOS DIÁRIOS'!$G$5:$G$500,"H",'LANÇAMENTOS DIÁRIOS'!$C$5:$C$500,$A105,'LANÇAMENTOS DIÁRIOS'!$O$5:$O$500,"&lt;=128999",'LANÇAMENTOS DIÁRIOS'!$P$5:$P$500,"&gt;=128900")&gt;0,"X","")</f>
      </c>
      <c r="AV105" s="56" t="str">
        <f>IF(COUNTIFS('LANÇAMENTOS DIÁRIOS'!$G$5:$G$500,"H",'LANÇAMENTOS DIÁRIOS'!$C$5:$C$500,$A105,'LANÇAMENTOS DIÁRIOS'!$O$5:$O$500,"&lt;=129099",'LANÇAMENTOS DIÁRIOS'!$P$5:$P$500,"&gt;=129000")&gt;0,"X","")</f>
      </c>
      <c r="AW105" s="56" t="str">
        <f>IF(COUNTIFS('LANÇAMENTOS DIÁRIOS'!$G$5:$G$500,"H",'LANÇAMENTOS DIÁRIOS'!$C$5:$C$500,$A105,'LANÇAMENTOS DIÁRIOS'!$O$5:$O$500,"&lt;=129199",'LANÇAMENTOS DIÁRIOS'!$P$5:$P$500,"&gt;=129100")&gt;0,"X","")</f>
      </c>
      <c r="AX105" s="56" t="str">
        <f>IF(COUNTIFS('LANÇAMENTOS DIÁRIOS'!$G$5:$G$500,"H",'LANÇAMENTOS DIÁRIOS'!$C$5:$C$500,$A105,'LANÇAMENTOS DIÁRIOS'!$O$5:$O$500,"&lt;=129299",'LANÇAMENTOS DIÁRIOS'!$P$5:$P$500,"&gt;=129200")&gt;0,"X","")</f>
      </c>
      <c r="AY105" s="56" t="str">
        <f>IF(COUNTIFS('LANÇAMENTOS DIÁRIOS'!$G$5:$G$500,"H",'LANÇAMENTOS DIÁRIOS'!$C$5:$C$500,$A105,'LANÇAMENTOS DIÁRIOS'!$O$5:$O$500,"&lt;=129399",'LANÇAMENTOS DIÁRIOS'!$P$5:$P$500,"&gt;=129300")&gt;0,"X","")</f>
      </c>
      <c r="AZ105" s="56" t="str">
        <f>IF(COUNTIFS('LANÇAMENTOS DIÁRIOS'!$G$5:$G$500,"H",'LANÇAMENTOS DIÁRIOS'!$C$5:$C$500,$A105,'LANÇAMENTOS DIÁRIOS'!$O$5:$O$500,"&lt;=129400",'LANÇAMENTOS DIÁRIOS'!$P$5:$P$500,"&gt;=129400")&gt;0,"X","")</f>
      </c>
    </row>
  </sheetData>
  <conditionalFormatting sqref="B3:AZ105">
    <cfRule type="expression" dxfId="5" priority="1">
      <formula>B3="X"</formula>
    </cfRule>
  </conditionalFormatting>
  <pageMargins left="0.7" right="0.7" top="0.75" bottom="0.75" header="0.3" footer="0.3"/>
</worksheet>
</file>